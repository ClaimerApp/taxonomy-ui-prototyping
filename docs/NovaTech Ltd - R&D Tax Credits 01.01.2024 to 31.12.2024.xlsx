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6"/>
  </bookViews>
  <sheets>
    <sheet name="Notes" sheetId="1" state="hidden" r:id="rId3"/>
    <sheet name="QIA" sheetId="2" state="hidden" r:id="rId4"/>
    <sheet name="Summary" sheetId="3" state="visible" r:id="rId5"/>
    <sheet name="Spend by Project" sheetId="4" state="visible" r:id="rId6"/>
    <sheet name="R&amp;D Calculation (OLD)" sheetId="5" state="hidden" r:id="rId7"/>
    <sheet name="R&amp;D Calculation" sheetId="6" state="visible" r:id="rId8"/>
    <sheet name="Staff" sheetId="7" state="visible" r:id="rId9"/>
    <sheet name="Overseas Staff" sheetId="8" state="visible" r:id="rId10"/>
    <sheet name="Materials and Consumables" sheetId="9" state="visible" r:id="rId11"/>
    <sheet name="Subcontractors" sheetId="10" state="visible" r:id="rId12"/>
    <sheet name="Travel &amp; Subsistence" sheetId="11" state="visible" r:id="rId13"/>
    <sheet name="Training" sheetId="12" state="visible" r:id="rId14"/>
    <sheet name="Software" sheetId="13" state="visible" r:id="rId15"/>
    <sheet name="Recruitment &amp; Relocation" sheetId="14" state="visible" r:id="rId16"/>
    <sheet name="Appendix 1" sheetId="15" state="visible" r:id="rId17"/>
  </sheets>
  <definedNames>
    <definedName function="false" hidden="false" localSheetId="5" name="_xlnm.Print_Area" vbProcedure="false">'R&amp;D Calculation'!$A$2:$I$117</definedName>
    <definedName function="false" hidden="false" localSheetId="4" name="_xlnm.Print_Area" vbProcedure="false">'R&amp;D Calculation (OLD)'!$A$2:$J$122</definedName>
    <definedName function="false" hidden="false" name="SHARED_FORMULA_3_103_3_103_1" vbProcedure="false">#ref!+#ref!</definedName>
    <definedName function="false" hidden="false" name="SHARED_FORMULA_3_23_3_23_1" vbProcedure="false">#ref!+#ref!</definedName>
    <definedName function="false" hidden="false" name="SHARED_FORMULA_3_39_3_39_1" vbProcedure="false">#ref!+#ref!</definedName>
    <definedName function="false" hidden="false" name="SHARED_FORMULA_3_55_3_55_1" vbProcedure="false">#ref!+#ref!</definedName>
    <definedName function="false" hidden="false" name="SHARED_FORMULA_3_71_3_71_1" vbProcedure="false">#ref!+#ref!</definedName>
    <definedName function="false" hidden="false" name="SHARED_FORMULA_3_7_3_7_1" vbProcedure="false">#ref!+#ref!</definedName>
    <definedName function="false" hidden="false" name="SHARED_FORMULA_3_87_3_87_1" vbProcedure="false">#ref!+#ref!</definedName>
    <definedName function="false" hidden="false" name="SHARED_FORMULA_5_103_5_103_1" vbProcedure="false">#ref!*#ref!</definedName>
    <definedName function="false" hidden="false" name="SHARED_FORMULA_5_23_5_23_1" vbProcedure="false">#ref!*#ref!</definedName>
    <definedName function="false" hidden="false" name="SHARED_FORMULA_5_39_5_39_1" vbProcedure="false">#ref!*#ref!</definedName>
    <definedName function="false" hidden="false" name="SHARED_FORMULA_5_55_5_55_1" vbProcedure="false">#ref!*#ref!</definedName>
    <definedName function="false" hidden="false" name="SHARED_FORMULA_5_71_5_71_1" vbProcedure="false">#ref!*#ref!</definedName>
    <definedName function="false" hidden="false" name="SHARED_FORMULA_5_7_5_7_1" vbProcedure="false">#ref!*#ref!</definedName>
    <definedName function="false" hidden="false" name="SHARED_FORMULA_5_87_5_87_1" vbProcedure="false">#ref!*#ref!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tc={D2947A99-1E2A-47B0-AC02-D43390C96A47}</author>
  </authors>
  <commentList>
    <comment ref="Z3" authorId="0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workbook doesn't automatically deal with connected party - manual overrides will therefore be necessary if any connected party subcontractor costs have been incurred</t>
        </r>
      </text>
    </comment>
  </commentList>
</comments>
</file>

<file path=xl/sharedStrings.xml><?xml version="1.0" encoding="utf-8"?>
<sst xmlns="http://schemas.openxmlformats.org/spreadsheetml/2006/main" count="1673" uniqueCount="423">
  <si>
    <t xml:space="preserve">Notes</t>
  </si>
  <si>
    <t xml:space="preserve">HMRC guide to R&amp;D tax credits:</t>
  </si>
  <si>
    <t xml:space="preserve">http://www.hmrc.gov.uk/gds/cird/attachments/rdsimpleguide.pdf</t>
  </si>
  <si>
    <t xml:space="preserve">Industry funded projects:</t>
  </si>
  <si>
    <t xml:space="preserve">- If no risk then large company scheme (RDEC), &amp; only unfunded proportion claimable against R&amp;D tax credits</t>
  </si>
  <si>
    <t xml:space="preserve">- If risk (only paid on success) then small company scheme, &amp; only unfunded proportion claimable against R&amp;D tax credits</t>
  </si>
  <si>
    <t xml:space="preserve">Under large company scheme subcontracted labour costs are not allowable unless they are carried out by:</t>
  </si>
  <si>
    <t xml:space="preserve">- A qualifying body (a charity, an institution of higher education such as a university, a scientific research organisation or a health service body)</t>
  </si>
  <si>
    <t xml:space="preserve">- An individual</t>
  </si>
  <si>
    <t xml:space="preserve">- A partnership, each member of which is an individual</t>
  </si>
  <si>
    <t xml:space="preserve">Under the SME scheme rules sub contracted labour costs are subject to a 65% adjustment and also subject to connected party rules - lower of rate charged by provider or provider's own costs</t>
  </si>
  <si>
    <t xml:space="preserve">Note that any materials provided by the sub contractor are not subject to the 65% adjustment but are still subject to the connected party rules</t>
  </si>
  <si>
    <t xml:space="preserve">Costs of externally provided labour (e.g. payments to an agency for temporary labour) are allowable, but subject to 65% adjustment, and also subject to connected party rules - lower of rate charged by provider or providers own costs</t>
  </si>
  <si>
    <t xml:space="preserve">Sub contracted IT support not allowable for R&amp;D</t>
  </si>
  <si>
    <t xml:space="preserve">Spend on laboratory leasing, equipment leasing and equipment maintenance is not allowable for R&amp;D tax credits</t>
  </si>
  <si>
    <t xml:space="preserve">https://www.gov.uk/hmrc-internal-manuals/corporate-intangibles-research-and-development-manual/cird81900</t>
  </si>
  <si>
    <t xml:space="preserve">https://www.gov.uk/hmrc-internal-manuals/corporate-intangibles-research-and-development-manual/cird99500</t>
  </si>
  <si>
    <t xml:space="preserve">Grants:</t>
  </si>
  <si>
    <t xml:space="preserve">Innovate UK grants are notified state aid and therefore all expenditure for Innovate UK grant funded projects goes under Large Company / RDEC scheme.</t>
  </si>
  <si>
    <t xml:space="preserve">Other grants received could be either notified state aid or de-minimus state aid (provider of grant can confirm this).</t>
  </si>
  <si>
    <t xml:space="preserve">If de-minimus state aid then only project expenditure up to value of grant goes under Large Company / RDEC scheme, with the remaining project expenditure going under SME scheme.</t>
  </si>
  <si>
    <t xml:space="preserve">If notified state aid then all project expenditure goes under Large Company / RDEC scheme.</t>
  </si>
  <si>
    <t xml:space="preserve">Research work funded from other (maybe commercial) sources: only project expenditure up to value of funding goes under Large Company / RDEC scheme, with the remaining project expenditure going under SME scheme.</t>
  </si>
  <si>
    <t xml:space="preserve">Spend on travel &amp; subsistence that directly relates to R&amp;D activities is only allowable if paid for by the employee and then reclaimed from the company (i.e. only 'out of pocket' expenses qualify)</t>
  </si>
  <si>
    <t xml:space="preserve">Benefits in kind provided to R&amp;D workers - e.g. medical insurance cover - are not allowable</t>
  </si>
  <si>
    <t xml:space="preserve">Qualifying Indirect Activities</t>
  </si>
  <si>
    <t xml:space="preserve">Description</t>
  </si>
  <si>
    <t xml:space="preserve">Total Cost</t>
  </si>
  <si>
    <t xml:space="preserve">R&amp;D</t>
  </si>
  <si>
    <t xml:space="preserve">Shared admin / clerical costs:</t>
  </si>
  <si>
    <t xml:space="preserve">Payroll</t>
  </si>
  <si>
    <t xml:space="preserve">HR</t>
  </si>
  <si>
    <t xml:space="preserve">Other administration / clerical</t>
  </si>
  <si>
    <t xml:space="preserve">Dedicated costs:</t>
  </si>
  <si>
    <t xml:space="preserve">Admin associated with R&amp;D laboratory leasing</t>
  </si>
  <si>
    <t xml:space="preserve">NB The actual laboratory leasing cost does not qualify for R&amp;D tax credits</t>
  </si>
  <si>
    <t xml:space="preserve">Admin associated with R&amp;D equipment leasing</t>
  </si>
  <si>
    <t xml:space="preserve">NB The actual equipment leasing cost does not qualify for R&amp;D tax credits</t>
  </si>
  <si>
    <t xml:space="preserve">Admin associated with R&amp;D equipment maintenance</t>
  </si>
  <si>
    <t xml:space="preserve">NB The actual equipment maintenance cost does not qualify for R&amp;D tax credits</t>
  </si>
  <si>
    <t xml:space="preserve">Scientific &amp; technical information services &amp; research</t>
  </si>
  <si>
    <t xml:space="preserve">R&amp;D training</t>
  </si>
  <si>
    <t xml:space="preserve">HMRC list of qualifying indirect activities:</t>
  </si>
  <si>
    <t xml:space="preserve">a. scientific and technical information services, insofar as they are conducted for the purpose of R&amp;D support (such as the preparation of the original report of R&amp;D findings);</t>
  </si>
  <si>
    <t xml:space="preserve">b. indirect supporting activities such as maintenance, security, administration and clerical activities, and finance and personnel activities, insofar as undertaken for R&amp;D;</t>
  </si>
  <si>
    <t xml:space="preserve">c. ancillary activities essential to the undertaking of R&amp;D (e.g. taking on and paying staff, leasing laboratories and maintaining research and development equipment including computers used for R&amp;D purposes);</t>
  </si>
  <si>
    <t xml:space="preserve">d. training required to directly support an R&amp;D project;</t>
  </si>
  <si>
    <t xml:space="preserve">e. research by students and researchers carried out at universities;</t>
  </si>
  <si>
    <t xml:space="preserve">f. research (including related data collection) to devise new scientific or technological testing, survey, or sampling methods, where this research is not R&amp;D in its own right; and</t>
  </si>
  <si>
    <t xml:space="preserve">g. feasibility studies to inform the strategic direction of a specific R&amp;D activity.</t>
  </si>
  <si>
    <t xml:space="preserve">R&amp;D Tax Credit Claim</t>
  </si>
  <si>
    <t xml:space="preserve">NovaTech Solutions Ltd</t>
  </si>
  <si>
    <t xml:space="preserve">Tax Reference: 1234567890</t>
  </si>
  <si>
    <t xml:space="preserve">Period: 01/01/2024 to 31/12/2024</t>
  </si>
  <si>
    <t xml:space="preserve">R&amp;D Periods</t>
  </si>
  <si>
    <t xml:space="preserve">Period</t>
  </si>
  <si>
    <t xml:space="preserve">From</t>
  </si>
  <si>
    <t xml:space="preserve">To</t>
  </si>
  <si>
    <t xml:space="preserve">Months</t>
  </si>
  <si>
    <t xml:space="preserve">Period 1</t>
  </si>
  <si>
    <t xml:space="preserve">Period 2</t>
  </si>
  <si>
    <t xml:space="preserve">R&amp;D Projects</t>
  </si>
  <si>
    <t xml:space="preserve">Number</t>
  </si>
  <si>
    <t xml:space="preserve">Project Name</t>
  </si>
  <si>
    <t xml:space="preserve">Funded?</t>
  </si>
  <si>
    <t xml:space="preserve">De Minimis?</t>
  </si>
  <si>
    <t xml:space="preserve">Estimate of total R&amp;D Expenditure (%)</t>
  </si>
  <si>
    <t xml:space="preserve">Start Date</t>
  </si>
  <si>
    <t xml:space="preserve">End Date</t>
  </si>
  <si>
    <t xml:space="preserve">SME</t>
  </si>
  <si>
    <t xml:space="preserve">Automated Document Intelligence Platform</t>
  </si>
  <si>
    <t xml:space="preserve">No</t>
  </si>
  <si>
    <t xml:space="preserve">RDEC</t>
  </si>
  <si>
    <t xml:space="preserve">Real-Time Anomaly Detection Engine</t>
  </si>
  <si>
    <t xml:space="preserve">De Minimis</t>
  </si>
  <si>
    <t xml:space="preserve">Natural Language Query Interface</t>
  </si>
  <si>
    <t xml:space="preserve">Predictive Maintenance ML Pipeline</t>
  </si>
  <si>
    <t xml:space="preserve">Yes</t>
  </si>
  <si>
    <t xml:space="preserve">Privacy-Preserving Data Linkage</t>
  </si>
  <si>
    <t xml:space="preserve">N.B. The workbook hasn't yet been automated to calculate De Minimis - therefore any de minimis projects will require additional calculations</t>
  </si>
  <si>
    <t xml:space="preserve">Spend by Project</t>
  </si>
  <si>
    <t xml:space="preserve">Cost Category</t>
  </si>
  <si>
    <t xml:space="preserve">Total</t>
  </si>
  <si>
    <t xml:space="preserve">Total:</t>
  </si>
  <si>
    <t xml:space="preserve">UK Staff Salaries</t>
  </si>
  <si>
    <t xml:space="preserve">Overseas Staff</t>
  </si>
  <si>
    <t xml:space="preserve">Recruitment &amp; Relocation</t>
  </si>
  <si>
    <t xml:space="preserve">Training</t>
  </si>
  <si>
    <t xml:space="preserve">Travel &amp; Subsistence</t>
  </si>
  <si>
    <t xml:space="preserve">EPW</t>
  </si>
  <si>
    <t xml:space="preserve">Clinical Trial Participants</t>
  </si>
  <si>
    <t xml:space="preserve">Software</t>
  </si>
  <si>
    <t xml:space="preserve">Materials &amp; Consumables</t>
  </si>
  <si>
    <t xml:space="preserve">Sub-Contractors</t>
  </si>
  <si>
    <t xml:space="preserve">Total (£)</t>
  </si>
  <si>
    <t xml:space="preserve">Total SME or RDEC (%)</t>
  </si>
  <si>
    <t xml:space="preserve">-</t>
  </si>
  <si>
    <t xml:space="preserve">Total SME and RDEC (%)</t>
  </si>
  <si>
    <t xml:space="preserve">Direct costs:</t>
  </si>
  <si>
    <t xml:space="preserve">UK Staff Salaries - Direct</t>
  </si>
  <si>
    <t xml:space="preserve">Total direct costs (£)</t>
  </si>
  <si>
    <t xml:space="preserve">Indirect costs:</t>
  </si>
  <si>
    <t xml:space="preserve">UK Staff Salaries - Indirect</t>
  </si>
  <si>
    <t xml:space="preserve">Total indirect costs (£)</t>
  </si>
  <si>
    <t xml:space="preserve">Check</t>
  </si>
  <si>
    <t xml:space="preserve">SME Scheme</t>
  </si>
  <si>
    <t xml:space="preserve">Spend</t>
  </si>
  <si>
    <t xml:space="preserve">Allowable %</t>
  </si>
  <si>
    <t xml:space="preserve">Allowable Spend</t>
  </si>
  <si>
    <t xml:space="preserve">UK staff costs</t>
  </si>
  <si>
    <t xml:space="preserve">Overseas staff costs</t>
  </si>
  <si>
    <t xml:space="preserve">Recruitment &amp; relocation</t>
  </si>
  <si>
    <t xml:space="preserve">Travel &amp; subsistence (Out of pocket expenses only)</t>
  </si>
  <si>
    <t xml:space="preserve">Materials &amp; consumables</t>
  </si>
  <si>
    <t xml:space="preserve">Sub contractors (Connected parties)</t>
  </si>
  <si>
    <t xml:space="preserve">Sub contractors (Unconnected parties)</t>
  </si>
  <si>
    <t xml:space="preserve">Total relevant net expenditure</t>
  </si>
  <si>
    <t xml:space="preserve">Claim for enhancement:</t>
  </si>
  <si>
    <t xml:space="preserve">No. of Mths</t>
  </si>
  <si>
    <t xml:space="preserve">Jul 2022 - Mar 2023</t>
  </si>
  <si>
    <t xml:space="preserve">Apr 2023 - Jun 2023</t>
  </si>
  <si>
    <t xml:space="preserve">Normal taxable profit / (loss) on ordinary activities</t>
  </si>
  <si>
    <t xml:space="preserve">TBC</t>
  </si>
  <si>
    <t xml:space="preserve">Trading loss (after R&amp;D Relief)</t>
  </si>
  <si>
    <t xml:space="preserve">A</t>
  </si>
  <si>
    <t xml:space="preserve">Total enhanced R&amp;D spend</t>
  </si>
  <si>
    <t xml:space="preserve">B</t>
  </si>
  <si>
    <t xml:space="preserve">Loss qualifying for conversion to repayable credits</t>
  </si>
  <si>
    <t xml:space="preserve">Lower of A or B</t>
  </si>
  <si>
    <t xml:space="preserve">Payable tax credit under SME scheme</t>
  </si>
  <si>
    <t xml:space="preserve">SME intensive test</t>
  </si>
  <si>
    <t xml:space="preserve">Total R&amp;D expenditure</t>
  </si>
  <si>
    <t xml:space="preserve">Total CT eligible expenditure</t>
  </si>
  <si>
    <t xml:space="preserve">RDEC Scheme</t>
  </si>
  <si>
    <t xml:space="preserve">% Allowable</t>
  </si>
  <si>
    <t xml:space="preserve">Expenditure on R&amp;D for which Innovate UK grants received:</t>
  </si>
  <si>
    <t xml:space="preserve">Travel &amp; subsistence (out of pocket expenses only)</t>
  </si>
  <si>
    <t xml:space="preserve">Sub contractors</t>
  </si>
  <si>
    <t xml:space="preserve">RDEC Income</t>
  </si>
  <si>
    <t xml:space="preserve">Step 1</t>
  </si>
  <si>
    <t xml:space="preserve">CT Profit (Loss) before credit</t>
  </si>
  <si>
    <t xml:space="preserve">CT due</t>
  </si>
  <si>
    <t xml:space="preserve">RDEC amount remaining</t>
  </si>
  <si>
    <t xml:space="preserve">Step 2</t>
  </si>
  <si>
    <t xml:space="preserve">Amount remaining from Step 1</t>
  </si>
  <si>
    <t xml:space="preserve">Less potential CT on the credit:</t>
  </si>
  <si>
    <t xml:space="preserve">Net RDEC</t>
  </si>
  <si>
    <t xml:space="preserve">c/fwd</t>
  </si>
  <si>
    <t xml:space="preserve">Step 3</t>
  </si>
  <si>
    <t xml:space="preserve">b/fwd from Step 2</t>
  </si>
  <si>
    <t xml:space="preserve">C</t>
  </si>
  <si>
    <t xml:space="preserve">PAYE/NI liability on R&amp;D workers</t>
  </si>
  <si>
    <t xml:space="preserve">D</t>
  </si>
  <si>
    <t xml:space="preserve">Lower of C or D</t>
  </si>
  <si>
    <t xml:space="preserve">Step 4</t>
  </si>
  <si>
    <t xml:space="preserve">b/fwd from Step 3</t>
  </si>
  <si>
    <t xml:space="preserve">Other period CT liability</t>
  </si>
  <si>
    <t xml:space="preserve">Step 5</t>
  </si>
  <si>
    <t xml:space="preserve">b/fwd from Step 4</t>
  </si>
  <si>
    <t xml:space="preserve">CT liabilities of the group</t>
  </si>
  <si>
    <t xml:space="preserve">Step 6</t>
  </si>
  <si>
    <t xml:space="preserve">b/fwd from Step 5</t>
  </si>
  <si>
    <t xml:space="preserve">Any HMRC liability</t>
  </si>
  <si>
    <t xml:space="preserve">Step 7</t>
  </si>
  <si>
    <t xml:space="preserve">Payable to company</t>
  </si>
  <si>
    <t xml:space="preserve">RDEC Summary</t>
  </si>
  <si>
    <t xml:space="preserve">Tax withheld available to set off against future liability b/fwd</t>
  </si>
  <si>
    <t xml:space="preserve">Tax withheld available to set off against future liability (Step 2)</t>
  </si>
  <si>
    <t xml:space="preserve">PAYE capped credit b/fwd</t>
  </si>
  <si>
    <t xml:space="preserve">PAYE capped credit c/fwd (Step 3)</t>
  </si>
  <si>
    <t xml:space="preserve">Company CT liability of other accounting period (Step 4)</t>
  </si>
  <si>
    <t xml:space="preserve">Paid to company (Step 7)</t>
  </si>
  <si>
    <t xml:space="preserve">RDEC total c/fwd</t>
  </si>
  <si>
    <t xml:space="preserve">CT600 Summary</t>
  </si>
  <si>
    <t xml:space="preserve">Box 530 R&amp;D tax credit</t>
  </si>
  <si>
    <t xml:space="preserve">Box 650 / 655 - SME or Large Company</t>
  </si>
  <si>
    <t xml:space="preserve">Box 660 R&amp;D enhanced expenditure</t>
  </si>
  <si>
    <t xml:space="preserve">Box 875 Payable R&amp;D tax credit</t>
  </si>
  <si>
    <t xml:space="preserve">PAYE / NIC</t>
  </si>
  <si>
    <t xml:space="preserve">Limit for R&amp;D Tax Credits (Limit is £20,000 plus 3 x PAYE/NI)</t>
  </si>
  <si>
    <t xml:space="preserve">Limit applicable from 1st April 2021</t>
  </si>
  <si>
    <t xml:space="preserve">R&amp;D Calculation</t>
  </si>
  <si>
    <t xml:space="preserve">Qualifying expenditure for the period:</t>
  </si>
  <si>
    <t xml:space="preserve"> Total Spend</t>
  </si>
  <si>
    <t xml:space="preserve">Allowable</t>
  </si>
  <si>
    <t xml:space="preserve">Allowable Spend 1</t>
  </si>
  <si>
    <t xml:space="preserve">Allowable Spend 2</t>
  </si>
  <si>
    <t xml:space="preserve">Total Allowable</t>
  </si>
  <si>
    <t xml:space="preserve">Overseas Staff costs</t>
  </si>
  <si>
    <t xml:space="preserve">Subcontractors (Connected parties)</t>
  </si>
  <si>
    <t xml:space="preserve">Subcontractors (Unconnected parties)</t>
  </si>
  <si>
    <t xml:space="preserve">Surrendable tax credits:</t>
  </si>
  <si>
    <t xml:space="preserve">Trading loss (after R&amp;D relief)</t>
  </si>
  <si>
    <t xml:space="preserve">SME intensive test:</t>
  </si>
  <si>
    <t xml:space="preserve">Total SME + RDEC R&amp;D expenditure</t>
  </si>
  <si>
    <t xml:space="preserve">Total trading &amp; operating expenditure</t>
  </si>
  <si>
    <t xml:space="preserve">Intensitivity ratio</t>
  </si>
  <si>
    <t xml:space="preserve">Payable tax credit under SME scheme:</t>
  </si>
  <si>
    <t xml:space="preserve">Total payable SME tax credits</t>
  </si>
  <si>
    <t xml:space="preserve">Subcontractors</t>
  </si>
  <si>
    <t xml:space="preserve">RDEC income:</t>
  </si>
  <si>
    <t xml:space="preserve">RDEC restrictions:</t>
  </si>
  <si>
    <t xml:space="preserve">CT profit / (loss) before credit</t>
  </si>
  <si>
    <t xml:space="preserve">C/fwd</t>
  </si>
  <si>
    <t xml:space="preserve">B/fwd from Step 2</t>
  </si>
  <si>
    <t xml:space="preserve">B/fwd from Step 3</t>
  </si>
  <si>
    <t xml:space="preserve">B/fwd from Step 4</t>
  </si>
  <si>
    <t xml:space="preserve">B/fwd from Step 5</t>
  </si>
  <si>
    <t xml:space="preserve">RDEC Summary:</t>
  </si>
  <si>
    <t xml:space="preserve">Limit applicable from 1 April 2021:</t>
  </si>
  <si>
    <t xml:space="preserve">Threshold</t>
  </si>
  <si>
    <t xml:space="preserve">Staff Costs</t>
  </si>
  <si>
    <t xml:space="preserve">CLIENT INPUT</t>
  </si>
  <si>
    <t xml:space="preserve">DIRECT STAFF COSTS</t>
  </si>
  <si>
    <t xml:space="preserve">INDIRECT STAFF COSTS</t>
  </si>
  <si>
    <t xml:space="preserve">ENGINEERS (Y / N)</t>
  </si>
  <si>
    <t xml:space="preserve">Name</t>
  </si>
  <si>
    <t xml:space="preserve">Position / Job Title</t>
  </si>
  <si>
    <t xml:space="preserve">Month</t>
  </si>
  <si>
    <t xml:space="preserve">Gross pay</t>
  </si>
  <si>
    <t xml:space="preserve">PAYE</t>
  </si>
  <si>
    <t xml:space="preserve">Employee's NI</t>
  </si>
  <si>
    <t xml:space="preserve">Employer's NI</t>
  </si>
  <si>
    <t xml:space="preserve">Employers Pension Contribution</t>
  </si>
  <si>
    <t xml:space="preserve">Direct %</t>
  </si>
  <si>
    <t xml:space="preserve">Indirect %</t>
  </si>
  <si>
    <t xml:space="preserve">Job Title</t>
  </si>
  <si>
    <t xml:space="preserve">Engineer Y / N</t>
  </si>
  <si>
    <t xml:space="preserve">Cost</t>
  </si>
  <si>
    <t xml:space="preserve">R&amp;D %</t>
  </si>
  <si>
    <t xml:space="preserve">R&amp;D £</t>
  </si>
  <si>
    <t xml:space="preserve">%</t>
  </si>
  <si>
    <t xml:space="preserve">James Harrison</t>
  </si>
  <si>
    <t xml:space="preserve">Chief Technology Officer</t>
  </si>
  <si>
    <t xml:space="preserve">N</t>
  </si>
  <si>
    <t xml:space="preserve">Sarah Chen</t>
  </si>
  <si>
    <t xml:space="preserve">Senior ML Engineer</t>
  </si>
  <si>
    <t xml:space="preserve">David Okonkwo</t>
  </si>
  <si>
    <t xml:space="preserve">Backend Developer</t>
  </si>
  <si>
    <t xml:space="preserve">Emma Whitfield</t>
  </si>
  <si>
    <t xml:space="preserve">Data Scientist</t>
  </si>
  <si>
    <t xml:space="preserve">Raj Patel</t>
  </si>
  <si>
    <t xml:space="preserve">DevOps Engineer</t>
  </si>
  <si>
    <t xml:space="preserve">Olivia Martinez</t>
  </si>
  <si>
    <t xml:space="preserve">Frontend Developer</t>
  </si>
  <si>
    <t xml:space="preserve">Tom Baker</t>
  </si>
  <si>
    <t xml:space="preserve">QA Engineer</t>
  </si>
  <si>
    <t xml:space="preserve">Aisha Begum</t>
  </si>
  <si>
    <t xml:space="preserve">Research Engineer</t>
  </si>
  <si>
    <t xml:space="preserve">Chris Newland</t>
  </si>
  <si>
    <t xml:space="preserve">Junior Developer</t>
  </si>
  <si>
    <t xml:space="preserve">Fiona Campbell</t>
  </si>
  <si>
    <t xml:space="preserve">Project Manager</t>
  </si>
  <si>
    <t xml:space="preserve">TBA</t>
  </si>
  <si>
    <t xml:space="preserve">Total - All Staff</t>
  </si>
  <si>
    <t xml:space="preserve">Less Employment Allowance</t>
  </si>
  <si>
    <t xml:space="preserve">PAYE/NI Liability R&amp;D Workers</t>
  </si>
  <si>
    <t xml:space="preserve">RDEC PAYE</t>
  </si>
  <si>
    <t xml:space="preserve">Overseas Staff Costs</t>
  </si>
  <si>
    <t xml:space="preserve">DIRECT OVERSEAS STAFF COSTS</t>
  </si>
  <si>
    <t xml:space="preserve">INDIRECT OVERSEAS STAFF COSTS</t>
  </si>
  <si>
    <t xml:space="preserve">Gross Salary</t>
  </si>
  <si>
    <t xml:space="preserve">Materials and Consumables Transactions</t>
  </si>
  <si>
    <t xml:space="preserve">Date</t>
  </si>
  <si>
    <t xml:space="preserve">Type</t>
  </si>
  <si>
    <t xml:space="preserve">Transaction</t>
  </si>
  <si>
    <t xml:space="preserve">Reference</t>
  </si>
  <si>
    <t xml:space="preserve">Debit</t>
  </si>
  <si>
    <t xml:space="preserve">Nominal Code</t>
  </si>
  <si>
    <t xml:space="preserve">Xero / Project Tracking</t>
  </si>
  <si>
    <t xml:space="preserve">Purchase</t>
  </si>
  <si>
    <t xml:space="preserve">AWS cloud computing credits</t>
  </si>
  <si>
    <t xml:space="preserve">INV-2401-001</t>
  </si>
  <si>
    <t xml:space="preserve">GPU server components - NVIDIA A100</t>
  </si>
  <si>
    <t xml:space="preserve">INV-2402-015</t>
  </si>
  <si>
    <t xml:space="preserve">Development laptops x3</t>
  </si>
  <si>
    <t xml:space="preserve">INV-2402-028</t>
  </si>
  <si>
    <t xml:space="preserve">Testing datasets - medical imaging</t>
  </si>
  <si>
    <t xml:space="preserve">INV-2403-007</t>
  </si>
  <si>
    <t xml:space="preserve">AWS cloud computing credits Q2</t>
  </si>
  <si>
    <t xml:space="preserve">INV-2404-001</t>
  </si>
  <si>
    <t xml:space="preserve">Lab sensor equipment</t>
  </si>
  <si>
    <t xml:space="preserve">INV-2405-012</t>
  </si>
  <si>
    <t xml:space="preserve">Encrypted storage hardware</t>
  </si>
  <si>
    <t xml:space="preserve">INV-2406-009</t>
  </si>
  <si>
    <t xml:space="preserve">AWS cloud computing credits Q3</t>
  </si>
  <si>
    <t xml:space="preserve">INV-2407-001</t>
  </si>
  <si>
    <t xml:space="preserve">Annotation tooling hardware</t>
  </si>
  <si>
    <t xml:space="preserve">INV-2408-005</t>
  </si>
  <si>
    <t xml:space="preserve">Network testing equipment</t>
  </si>
  <si>
    <t xml:space="preserve">INV-2409-011</t>
  </si>
  <si>
    <t xml:space="preserve">AWS cloud computing credits Q4</t>
  </si>
  <si>
    <t xml:space="preserve">INV-2410-001</t>
  </si>
  <si>
    <t xml:space="preserve">Prototype PCB components</t>
  </si>
  <si>
    <t xml:space="preserve">INV-2411-019</t>
  </si>
  <si>
    <t xml:space="preserve">Data centre rack upgrade</t>
  </si>
  <si>
    <t xml:space="preserve">INV-2412-003</t>
  </si>
  <si>
    <t xml:space="preserve">Energy costs (heat and light, etc.)</t>
  </si>
  <si>
    <t xml:space="preserve">Sub-Contractors &amp; Consultants</t>
  </si>
  <si>
    <t xml:space="preserve">R&amp;D SUBCONTRACTOR LABOUR</t>
  </si>
  <si>
    <t xml:space="preserve">R&amp;D SUBCONTRACTOR MATERIALS</t>
  </si>
  <si>
    <t xml:space="preserve">Nominal Account</t>
  </si>
  <si>
    <t xml:space="preserve">Labour %</t>
  </si>
  <si>
    <t xml:space="preserve">Materials %</t>
  </si>
  <si>
    <t xml:space="preserve">Type of Organisation (only required if funded by Notifiable State Aid)</t>
  </si>
  <si>
    <t xml:space="preserve">Connected Party?</t>
  </si>
  <si>
    <t xml:space="preserve">Connected</t>
  </si>
  <si>
    <t xml:space="preserve">Unconnected</t>
  </si>
  <si>
    <t xml:space="preserve">Invoice</t>
  </si>
  <si>
    <t xml:space="preserve">DataAnnotate Ltd - ML training data labelling</t>
  </si>
  <si>
    <t xml:space="preserve">SA-001</t>
  </si>
  <si>
    <t xml:space="preserve">Limited Company</t>
  </si>
  <si>
    <t xml:space="preserve">CloudScale Consulting - infrastructure review</t>
  </si>
  <si>
    <t xml:space="preserve">SA-002</t>
  </si>
  <si>
    <t xml:space="preserve">Sole Trader / Partnership</t>
  </si>
  <si>
    <t xml:space="preserve">Prof Williams - Uni of Bristol - algorithm design</t>
  </si>
  <si>
    <t xml:space="preserve">SA-003</t>
  </si>
  <si>
    <t xml:space="preserve">University, Hospital / Scientific Research Organisation</t>
  </si>
  <si>
    <t xml:space="preserve">DataAnnotate Ltd - NLP corpus development</t>
  </si>
  <si>
    <t xml:space="preserve">SA-004</t>
  </si>
  <si>
    <t xml:space="preserve">SecureTest Partners - penetration testing</t>
  </si>
  <si>
    <t xml:space="preserve">SA-005</t>
  </si>
  <si>
    <t xml:space="preserve">MechParts Engineering - sensor housing prototypes</t>
  </si>
  <si>
    <t xml:space="preserve">SA-006</t>
  </si>
  <si>
    <t xml:space="preserve">Dr Ahmed Khan - freelance data science</t>
  </si>
  <si>
    <t xml:space="preserve">SA-007</t>
  </si>
  <si>
    <t xml:space="preserve">CloudScale Consulting - scaling architecture</t>
  </si>
  <si>
    <t xml:space="preserve">SA-008</t>
  </si>
  <si>
    <t xml:space="preserve">Prof Williams - Uni of Bristol - privacy research</t>
  </si>
  <si>
    <t xml:space="preserve">SA-009</t>
  </si>
  <si>
    <t xml:space="preserve">QualityAI Ltd - model validation services</t>
  </si>
  <si>
    <t xml:space="preserve">SA-010</t>
  </si>
  <si>
    <t xml:space="preserve">DataAnnotate Ltd - image recognition labelling</t>
  </si>
  <si>
    <t xml:space="preserve">SA-011</t>
  </si>
  <si>
    <t xml:space="preserve">TechBridge Solutions - API integration specialist</t>
  </si>
  <si>
    <t xml:space="preserve">SA-012</t>
  </si>
  <si>
    <t xml:space="preserve">Travel &amp; Subsistence - Out of Pocket Expenses Only</t>
  </si>
  <si>
    <t xml:space="preserve">Nominal</t>
  </si>
  <si>
    <t xml:space="preserve">Expense</t>
  </si>
  <si>
    <t xml:space="preserve">Train London-Bristol - client workshop</t>
  </si>
  <si>
    <t xml:space="preserve">TR-001</t>
  </si>
  <si>
    <t xml:space="preserve">Hotel - ML conference Manchester (2 nights)</t>
  </si>
  <si>
    <t xml:space="preserve">TR-002</t>
  </si>
  <si>
    <t xml:space="preserve">Flight London-Edinburgh - university collab</t>
  </si>
  <si>
    <t xml:space="preserve">TR-003</t>
  </si>
  <si>
    <t xml:space="preserve">Hotel Edinburgh - university collaboration</t>
  </si>
  <si>
    <t xml:space="preserve">TR-004</t>
  </si>
  <si>
    <t xml:space="preserve">Train London-Cambridge - sensor lab visit</t>
  </si>
  <si>
    <t xml:space="preserve">TR-005</t>
  </si>
  <si>
    <t xml:space="preserve">Mileage claims - testing site visits May</t>
  </si>
  <si>
    <t xml:space="preserve">TR-006</t>
  </si>
  <si>
    <t xml:space="preserve">Conference registration - AI Summit London</t>
  </si>
  <si>
    <t xml:space="preserve">TR-007</t>
  </si>
  <si>
    <t xml:space="preserve">Train London-Bristol - data partnership</t>
  </si>
  <si>
    <t xml:space="preserve">TR-008</t>
  </si>
  <si>
    <t xml:space="preserve">Mileage claims - client demos Aug</t>
  </si>
  <si>
    <t xml:space="preserve">TR-009</t>
  </si>
  <si>
    <t xml:space="preserve">Flight London-Amsterdam - NLP workshop</t>
  </si>
  <si>
    <t xml:space="preserve">TR-010</t>
  </si>
  <si>
    <t xml:space="preserve">Hotel Amsterdam (2 nights) - NLP workshop</t>
  </si>
  <si>
    <t xml:space="preserve">TR-011</t>
  </si>
  <si>
    <t xml:space="preserve">Train London-Oxford - research meeting</t>
  </si>
  <si>
    <t xml:space="preserve">TR-012</t>
  </si>
  <si>
    <t xml:space="preserve">Team travel - year-end technical review</t>
  </si>
  <si>
    <t xml:space="preserve">TR-013</t>
  </si>
  <si>
    <t xml:space="preserve">Staff Training</t>
  </si>
  <si>
    <t xml:space="preserve">AWS Solutions Architect cert - Raj Patel</t>
  </si>
  <si>
    <t xml:space="preserve">TN-001</t>
  </si>
  <si>
    <t xml:space="preserve">Advanced PyTorch course x2</t>
  </si>
  <si>
    <t xml:space="preserve">TN-002</t>
  </si>
  <si>
    <t xml:space="preserve">GDPR &amp; data privacy training - full team</t>
  </si>
  <si>
    <t xml:space="preserve">TN-003</t>
  </si>
  <si>
    <t xml:space="preserve">Kubernetes training x2</t>
  </si>
  <si>
    <t xml:space="preserve">TN-004</t>
  </si>
  <si>
    <t xml:space="preserve">NLP specialisation course - Chris Newland</t>
  </si>
  <si>
    <t xml:space="preserve">TN-005</t>
  </si>
  <si>
    <t xml:space="preserve">ML Ops best practices workshop</t>
  </si>
  <si>
    <t xml:space="preserve">TN-006</t>
  </si>
  <si>
    <t xml:space="preserve">GitHub Enterprise - annual licence</t>
  </si>
  <si>
    <t xml:space="preserve">SW-001</t>
  </si>
  <si>
    <t xml:space="preserve">JetBrains All Products Pack - 10 licences</t>
  </si>
  <si>
    <t xml:space="preserve">SW-002</t>
  </si>
  <si>
    <t xml:space="preserve">Weights &amp; Biases - ML experiment tracking</t>
  </si>
  <si>
    <t xml:space="preserve">SW-003</t>
  </si>
  <si>
    <t xml:space="preserve">Snowflake data warehouse - Q1</t>
  </si>
  <si>
    <t xml:space="preserve">SW-004</t>
  </si>
  <si>
    <t xml:space="preserve">DataDog monitoring - annual</t>
  </si>
  <si>
    <t xml:space="preserve">SW-005</t>
  </si>
  <si>
    <t xml:space="preserve">Snowflake data warehouse - Q2</t>
  </si>
  <si>
    <t xml:space="preserve">SW-006</t>
  </si>
  <si>
    <t xml:space="preserve">Labelbox - data annotation platform</t>
  </si>
  <si>
    <t xml:space="preserve">SW-007</t>
  </si>
  <si>
    <t xml:space="preserve">Snowflake data warehouse - Q3</t>
  </si>
  <si>
    <t xml:space="preserve">SW-008</t>
  </si>
  <si>
    <t xml:space="preserve">Figma - design tool annual</t>
  </si>
  <si>
    <t xml:space="preserve">SW-009</t>
  </si>
  <si>
    <t xml:space="preserve">Snowflake data warehouse - Q4</t>
  </si>
  <si>
    <t xml:space="preserve">SW-010</t>
  </si>
  <si>
    <t xml:space="preserve">Name of Employee Cost Relates To</t>
  </si>
  <si>
    <t xml:space="preserve">TechTalent Recruitment - placement fee</t>
  </si>
  <si>
    <t xml:space="preserve">RC-001</t>
  </si>
  <si>
    <t xml:space="preserve">LinkedIn Premium Recruiter - Q1</t>
  </si>
  <si>
    <t xml:space="preserve">RC-002</t>
  </si>
  <si>
    <t xml:space="preserve">Multiple roles</t>
  </si>
  <si>
    <t xml:space="preserve">Relocation allowance</t>
  </si>
  <si>
    <t xml:space="preserve">RC-003</t>
  </si>
  <si>
    <t xml:space="preserve">Conference recruitment stand - London Tech Week</t>
  </si>
  <si>
    <t xml:space="preserve">RC-004</t>
  </si>
  <si>
    <t xml:space="preserve">General hiring</t>
  </si>
  <si>
    <t xml:space="preserve">Appendix 1 (for R&amp;D Report) Staff R&amp;D Costs</t>
  </si>
  <si>
    <t xml:space="preserve">Employee Name</t>
  </si>
  <si>
    <t xml:space="preserve">Gross Pay </t>
  </si>
  <si>
    <t xml:space="preserve">ER NI </t>
  </si>
  <si>
    <t xml:space="preserve">ER Pension</t>
  </si>
  <si>
    <t xml:space="preserve">Large Co</t>
  </si>
  <si>
    <t xml:space="preserve">Subcontractor</t>
  </si>
  <si>
    <t xml:space="preserve">Total Spend</t>
  </si>
  <si>
    <t xml:space="preserve">SME **subject to 65% adj</t>
  </si>
  <si>
    <t xml:space="preserve">£</t>
  </si>
  <si>
    <t xml:space="preserve">←</t>
  </si>
  <si>
    <t xml:space="preserve">Formula</t>
  </si>
  <si>
    <t xml:space="preserve">XX</t>
  </si>
  <si>
    <t xml:space="preserve">SME 65% Adjustment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</si>
</sst>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.00\ ;\-#,##0.00\ ;&quot; -&quot;#\ ;@\ "/>
    <numFmt numFmtId="166" formatCode="_-* #,##0.00_-;\-* #,##0.00_-;_-* \-??_-;_-@_-"/>
    <numFmt numFmtId="167" formatCode="m/d/yyyy"/>
    <numFmt numFmtId="168" formatCode="0%"/>
    <numFmt numFmtId="169" formatCode="0.0%"/>
    <numFmt numFmtId="170" formatCode="#,##0\ ;\-#,##0\ ;&quot; -&quot;#\ ;@\ "/>
    <numFmt numFmtId="171" formatCode="\£#,##0\ ;&quot;£-&quot;#,##0\ ;&quot; £-&quot;#\ ;@"/>
    <numFmt numFmtId="172" formatCode="#,##0.00000000000_ ;\-#,##0.00000000000\ "/>
    <numFmt numFmtId="173" formatCode="[$£-809]#,##0.00;\-[$£-809]#,##0.00"/>
    <numFmt numFmtId="174" formatCode="mmm\-yy"/>
    <numFmt numFmtId="175" formatCode="0%\ "/>
    <numFmt numFmtId="176" formatCode="\£#,##0;&quot;-£&quot;#,##0"/>
    <numFmt numFmtId="177" formatCode="0.0%\ "/>
    <numFmt numFmtId="178" formatCode="yyyy\-mm\-dd"/>
    <numFmt numFmtId="179" formatCode="@"/>
    <numFmt numFmtId="180" formatCode="d/mm/yyyy"/>
    <numFmt numFmtId="181" formatCode="\£#,##0.00"/>
    <numFmt numFmtId="182" formatCode="\£#,##0"/>
  </numFmts>
  <fonts count="4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u val="single"/>
      <sz val="10"/>
      <name val="Arial"/>
      <family val="2"/>
      <charset val="1"/>
    </font>
    <font>
      <u val="single"/>
      <sz val="10"/>
      <color theme="10"/>
      <name val="Arial"/>
      <family val="2"/>
      <charset val="1"/>
    </font>
    <font>
      <sz val="11"/>
      <name val="Calibri"/>
      <family val="2"/>
      <charset val="1"/>
    </font>
    <font>
      <sz val="10"/>
      <color theme="3" tint="0.3999"/>
      <name val="Arial"/>
      <family val="2"/>
      <charset val="1"/>
    </font>
    <font>
      <sz val="11"/>
      <name val="Aptos"/>
      <family val="2"/>
      <charset val="1"/>
    </font>
    <font>
      <b val="true"/>
      <u val="single"/>
      <sz val="12"/>
      <color rgb="FF000000"/>
      <name val="Aptos"/>
      <family val="2"/>
      <charset val="1"/>
    </font>
    <font>
      <sz val="12"/>
      <name val="Aptos"/>
      <family val="2"/>
      <charset val="1"/>
    </font>
    <font>
      <b val="true"/>
      <sz val="11"/>
      <color rgb="FF0070C0"/>
      <name val="Aptos"/>
      <family val="2"/>
      <charset val="1"/>
    </font>
    <font>
      <b val="true"/>
      <sz val="11"/>
      <color theme="1"/>
      <name val="Aptos"/>
      <family val="2"/>
      <charset val="1"/>
    </font>
    <font>
      <sz val="11"/>
      <color rgb="FF333333"/>
      <name val="Aptos"/>
      <family val="2"/>
      <charset val="1"/>
    </font>
    <font>
      <sz val="11"/>
      <color theme="1"/>
      <name val="Aptos"/>
      <family val="2"/>
      <charset val="1"/>
    </font>
    <font>
      <b val="true"/>
      <sz val="11"/>
      <color theme="4"/>
      <name val="Aptos"/>
      <family val="2"/>
      <charset val="1"/>
    </font>
    <font>
      <b val="true"/>
      <u val="single"/>
      <sz val="11"/>
      <name val="Aptos"/>
      <family val="2"/>
      <charset val="1"/>
    </font>
    <font>
      <b val="true"/>
      <sz val="11"/>
      <name val="Aptos"/>
      <family val="2"/>
      <charset val="1"/>
    </font>
    <font>
      <sz val="11"/>
      <color rgb="FF0070C0"/>
      <name val="Aptos"/>
      <family val="2"/>
      <charset val="1"/>
    </font>
    <font>
      <sz val="11"/>
      <color theme="4"/>
      <name val="Aptos"/>
      <family val="2"/>
      <charset val="1"/>
    </font>
    <font>
      <u val="single"/>
      <sz val="11"/>
      <name val="Aptos"/>
      <family val="2"/>
      <charset val="1"/>
    </font>
    <font>
      <b val="true"/>
      <u val="single"/>
      <sz val="11"/>
      <color rgb="FFFF0000"/>
      <name val="Aptos"/>
      <family val="2"/>
      <charset val="1"/>
    </font>
    <font>
      <b val="true"/>
      <u val="single"/>
      <sz val="12"/>
      <name val="Aptos"/>
      <family val="2"/>
      <charset val="1"/>
    </font>
    <font>
      <b val="true"/>
      <sz val="11"/>
      <color rgb="FFFF0000"/>
      <name val="Aptos"/>
      <family val="2"/>
      <charset val="1"/>
    </font>
    <font>
      <b val="true"/>
      <sz val="14"/>
      <color rgb="FF000000"/>
      <name val="Arial"/>
      <family val="2"/>
      <charset val="1"/>
    </font>
    <font>
      <b val="true"/>
      <sz val="14"/>
      <color rgb="FF0070C0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2"/>
      <color rgb="FF0070C0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9"/>
      <color rgb="FF333333"/>
      <name val="Arial"/>
      <family val="2"/>
      <charset val="1"/>
    </font>
    <font>
      <b val="true"/>
      <sz val="10"/>
      <color rgb="FF0070C0"/>
      <name val="Arial"/>
      <family val="2"/>
      <charset val="1"/>
    </font>
    <font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sz val="10"/>
      <color theme="4"/>
      <name val="Arial"/>
      <family val="2"/>
      <charset val="1"/>
    </font>
    <font>
      <sz val="10"/>
      <color rgb="FF0070C0"/>
      <name val="Arial"/>
      <family val="2"/>
      <charset val="1"/>
    </font>
    <font>
      <u val="single"/>
      <sz val="10"/>
      <name val="Arial"/>
      <family val="2"/>
      <charset val="1"/>
    </font>
    <font>
      <i val="true"/>
      <sz val="11"/>
      <name val="Aptos"/>
      <family val="2"/>
      <charset val="1"/>
    </font>
    <font>
      <b val="true"/>
      <sz val="12"/>
      <name val="Aptos"/>
      <family val="2"/>
      <charset val="1"/>
    </font>
    <font>
      <b val="true"/>
      <sz val="11"/>
      <color rgb="FFFF0505"/>
      <name val="Aptos"/>
      <family val="2"/>
      <charset val="1"/>
    </font>
    <font>
      <sz val="11"/>
      <color theme="3"/>
      <name val="Aptos"/>
      <family val="2"/>
      <charset val="1"/>
    </font>
    <font>
      <sz val="12"/>
      <color theme="4"/>
      <name val="Aptos"/>
      <family val="2"/>
      <charset val="1"/>
    </font>
    <font>
      <b val="true"/>
      <sz val="12"/>
      <color theme="4"/>
      <name val="Aptos"/>
      <family val="2"/>
      <charset val="1"/>
    </font>
    <font>
      <sz val="10"/>
      <name val="Arial"/>
      <family val="2"/>
    </font>
    <font>
      <b val="true"/>
      <i val="true"/>
      <sz val="11"/>
      <name val="Aptos"/>
      <family val="2"/>
      <charset val="1"/>
    </font>
    <font>
      <u val="single"/>
      <sz val="12"/>
      <name val="Aptos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FCC"/>
        <bgColor rgb="FFEBF1DE"/>
      </patternFill>
    </fill>
    <fill>
      <patternFill patternType="solid">
        <fgColor theme="8" tint="0.7999"/>
        <bgColor rgb="FFDCE6F2"/>
      </patternFill>
    </fill>
    <fill>
      <patternFill patternType="solid">
        <fgColor rgb="FFFF9393"/>
        <bgColor rgb="FFFFC7CE"/>
      </patternFill>
    </fill>
    <fill>
      <patternFill patternType="solid">
        <fgColor theme="8" tint="0.3999"/>
        <bgColor rgb="FFB6CEE8"/>
      </patternFill>
    </fill>
    <fill>
      <patternFill patternType="solid">
        <fgColor theme="9" tint="0.5999"/>
        <bgColor rgb="FFFFC7CE"/>
      </patternFill>
    </fill>
    <fill>
      <patternFill patternType="solid">
        <fgColor theme="8" tint="0.5999"/>
        <bgColor rgb="FFB6CEE8"/>
      </patternFill>
    </fill>
    <fill>
      <patternFill patternType="solid">
        <fgColor theme="0" tint="-0.25"/>
        <bgColor rgb="FFB2B2B2"/>
      </patternFill>
    </fill>
    <fill>
      <patternFill patternType="solid">
        <fgColor theme="4" tint="0.7999"/>
        <bgColor rgb="FFDBEEF4"/>
      </patternFill>
    </fill>
    <fill>
      <patternFill patternType="solid">
        <fgColor theme="8"/>
        <bgColor rgb="FF558ED5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  <fill>
      <patternFill patternType="solid">
        <fgColor theme="9" tint="0.7999"/>
        <bgColor rgb="FFEBF1DE"/>
      </patternFill>
    </fill>
    <fill>
      <patternFill patternType="solid">
        <fgColor theme="6" tint="0.7999"/>
        <bgColor rgb="FFFDEADA"/>
      </patternFill>
    </fill>
    <fill>
      <patternFill patternType="solid">
        <fgColor theme="7" tint="0.7999"/>
        <bgColor rgb="FFDCE6F2"/>
      </patternFill>
    </fill>
    <fill>
      <patternFill patternType="solid">
        <fgColor rgb="FFB6CEE8"/>
        <bgColor rgb="FFB7DEE8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/>
      <top style="thin"/>
      <bottom/>
      <diagonal/>
    </border>
    <border diagonalUp="false" diagonalDown="false">
      <left style="dotted">
        <color rgb="FFB6CEE8"/>
      </left>
      <right style="dotted">
        <color rgb="FFB6CEE8"/>
      </right>
      <top style="dotted">
        <color rgb="FFB6CEE8"/>
      </top>
      <bottom style="dotted">
        <color rgb="FFB6CEE8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3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3" borderId="5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3" borderId="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0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6" borderId="15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6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5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5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4" fillId="6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4" fillId="6" borderId="1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6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6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6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6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6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6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7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7" borderId="4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6" borderId="4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6" borderId="25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7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7" borderId="27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6" borderId="27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6" borderId="28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6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8" fillId="6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6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6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7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2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3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15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6" fontId="0" fillId="0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36" fillId="0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0" fillId="0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7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37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7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29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15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30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7" fillId="9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3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8" fillId="8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8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1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0" borderId="2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0" borderId="9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3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6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3" borderId="31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3" borderId="6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4" fillId="3" borderId="5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3" borderId="5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9" fillId="3" borderId="10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5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39" fillId="3" borderId="5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4" fillId="3" borderId="7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3" borderId="7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39" fillId="3" borderId="12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39" fillId="3" borderId="7" xfId="15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5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10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5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4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8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4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0" borderId="4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9" fillId="3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2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3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0" borderId="29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29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2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3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8" fillId="0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4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8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9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15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1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12" borderId="6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1" fillId="12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12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1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1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15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9" fillId="1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14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15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9" fillId="13" borderId="5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13" borderId="5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9" fillId="13" borderId="5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1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5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0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14" borderId="5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6" fontId="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15" borderId="5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9" fillId="13" borderId="7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13" borderId="7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9" fillId="13" borderId="7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7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3" borderId="1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14" borderId="7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15" borderId="7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3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32" xfId="1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13" borderId="4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0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9" fillId="3" borderId="4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14" borderId="4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15" borderId="4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9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0" xfId="15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0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1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9" fillId="0" borderId="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13" borderId="3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3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14" borderId="3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8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2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12" borderId="7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7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14" borderId="29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14" borderId="8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5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3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14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4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1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9" fillId="13" borderId="6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6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14" borderId="6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15" borderId="6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15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9" fillId="13" borderId="4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8" fillId="13" borderId="3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3" borderId="3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8" fillId="14" borderId="33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9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1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18" fillId="0" borderId="3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3" fontId="1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14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29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7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9" fillId="14" borderId="7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9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6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8" fillId="13" borderId="33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18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12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2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3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3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14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0" xfId="1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8" fillId="12" borderId="3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4" fillId="12" borderId="1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8" fillId="3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14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1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6" fillId="1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13" borderId="6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3" borderId="6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5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3" borderId="5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13" borderId="7" xfId="19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13" borderId="7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8" fillId="13" borderId="33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16" borderId="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6" borderId="3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8" fillId="16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16" borderId="2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1" fontId="9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9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9" fillId="0" borderId="3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35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1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8" fillId="16" borderId="2" xfId="15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8" fillId="16" borderId="2" xfId="19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te 2" xfId="22"/>
    <cellStyle name="*unknown*" xfId="20" builtinId="8"/>
  </cellStyles>
  <dxfs count="2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558ED5"/>
      <rgbColor rgb="FFE6E0EC"/>
      <rgbColor rgb="FF993366"/>
      <rgbColor rgb="FFFFFFCC"/>
      <rgbColor rgb="FFDBEEF4"/>
      <rgbColor rgb="FF660066"/>
      <rgbColor rgb="FFFF9393"/>
      <rgbColor rgb="FF0070C0"/>
      <rgbColor rgb="FFB6C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BF1DE"/>
      <rgbColor rgb="FFFDEADA"/>
      <rgbColor rgb="FF93CDDD"/>
      <rgbColor rgb="FFFFC7CE"/>
      <rgbColor rgb="FFB7DEE8"/>
      <rgbColor rgb="FFFCD5B5"/>
      <rgbColor rgb="FF3366FF"/>
      <rgbColor rgb="FF4BACC6"/>
      <rgbColor rgb="FF99CC00"/>
      <rgbColor rgb="FFFFC000"/>
      <rgbColor rgb="FFFF9900"/>
      <rgbColor rgb="FFFF6600"/>
      <rgbColor rgb="FF4F81BD"/>
      <rgbColor rgb="FFB2B2B2"/>
      <rgbColor rgb="FF003366"/>
      <rgbColor rgb="FF339966"/>
      <rgbColor rgb="FF003300"/>
      <rgbColor rgb="FF3C3C3C"/>
      <rgbColor rgb="FFFF0505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39</xdr:row>
      <xdr:rowOff>0</xdr:rowOff>
    </xdr:from>
    <xdr:to>
      <xdr:col>18</xdr:col>
      <xdr:colOff>611280</xdr:colOff>
      <xdr:row>52</xdr:row>
      <xdr:rowOff>83160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6332760"/>
          <a:ext cx="11618280" cy="2188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hmrc.gov.uk/gds/cird/attachments/rdsimpleguide.pdf" TargetMode="External"/><Relationship Id="rId2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3" customFormat="false" ht="12.75" hidden="false" customHeight="false" outlineLevel="0" collapsed="false">
      <c r="A3" s="2" t="s">
        <v>1</v>
      </c>
    </row>
    <row r="4" customFormat="false" ht="12.65" hidden="false" customHeight="false" outlineLevel="0" collapsed="false">
      <c r="A4" s="3" t="s">
        <v>2</v>
      </c>
    </row>
    <row r="5" customFormat="false" ht="14.25" hidden="false" customHeight="true" outlineLevel="0" collapsed="false">
      <c r="A5" s="4"/>
    </row>
    <row r="6" customFormat="false" ht="12.75" hidden="false" customHeight="false" outlineLevel="0" collapsed="false">
      <c r="A6" s="2" t="s">
        <v>3</v>
      </c>
    </row>
    <row r="7" customFormat="false" ht="12.75" hidden="false" customHeight="false" outlineLevel="0" collapsed="false">
      <c r="A7" s="2" t="s">
        <v>4</v>
      </c>
    </row>
    <row r="8" customFormat="false" ht="12.75" hidden="false" customHeight="false" outlineLevel="0" collapsed="false">
      <c r="A8" s="2" t="s">
        <v>5</v>
      </c>
    </row>
    <row r="10" customFormat="false" ht="12.75" hidden="false" customHeight="false" outlineLevel="0" collapsed="false">
      <c r="A10" s="2" t="s">
        <v>6</v>
      </c>
    </row>
    <row r="11" customFormat="false" ht="12.75" hidden="false" customHeight="false" outlineLevel="0" collapsed="false">
      <c r="A11" s="2" t="s">
        <v>7</v>
      </c>
    </row>
    <row r="12" customFormat="false" ht="12.75" hidden="false" customHeight="false" outlineLevel="0" collapsed="false">
      <c r="A12" s="2" t="s">
        <v>8</v>
      </c>
    </row>
    <row r="13" customFormat="false" ht="12.75" hidden="false" customHeight="false" outlineLevel="0" collapsed="false">
      <c r="A13" s="2" t="s">
        <v>9</v>
      </c>
    </row>
    <row r="14" customFormat="false" ht="12.75" hidden="false" customHeight="false" outlineLevel="0" collapsed="false">
      <c r="A14" s="2"/>
    </row>
    <row r="15" customFormat="false" ht="12.75" hidden="false" customHeight="false" outlineLevel="0" collapsed="false">
      <c r="A15" s="2" t="s">
        <v>10</v>
      </c>
    </row>
    <row r="16" customFormat="false" ht="12.75" hidden="false" customHeight="false" outlineLevel="0" collapsed="false">
      <c r="A16" s="2" t="s">
        <v>11</v>
      </c>
    </row>
    <row r="17" customFormat="false" ht="12.75" hidden="false" customHeight="false" outlineLevel="0" collapsed="false">
      <c r="A17" s="2"/>
    </row>
    <row r="18" customFormat="false" ht="12.75" hidden="false" customHeight="false" outlineLevel="0" collapsed="false">
      <c r="A18" s="2" t="s">
        <v>12</v>
      </c>
    </row>
    <row r="20" customFormat="false" ht="12.75" hidden="false" customHeight="false" outlineLevel="0" collapsed="false">
      <c r="A20" s="2" t="s">
        <v>13</v>
      </c>
    </row>
    <row r="22" customFormat="false" ht="12.75" hidden="false" customHeight="false" outlineLevel="0" collapsed="false">
      <c r="A22" s="2" t="s">
        <v>14</v>
      </c>
    </row>
    <row r="24" customFormat="false" ht="12.75" hidden="false" customHeight="false" outlineLevel="0" collapsed="false">
      <c r="A24" s="2" t="s">
        <v>15</v>
      </c>
    </row>
    <row r="26" customFormat="false" ht="12.75" hidden="false" customHeight="false" outlineLevel="0" collapsed="false">
      <c r="A26" s="2" t="s">
        <v>16</v>
      </c>
    </row>
    <row r="28" customFormat="false" ht="12.75" hidden="false" customHeight="false" outlineLevel="0" collapsed="false">
      <c r="A28" s="2" t="s">
        <v>17</v>
      </c>
    </row>
    <row r="29" customFormat="false" ht="12.75" hidden="false" customHeight="false" outlineLevel="0" collapsed="false">
      <c r="A29" s="2" t="s">
        <v>18</v>
      </c>
    </row>
    <row r="30" customFormat="false" ht="12.75" hidden="false" customHeight="false" outlineLevel="0" collapsed="false">
      <c r="A30" s="2" t="s">
        <v>19</v>
      </c>
    </row>
    <row r="31" customFormat="false" ht="12.75" hidden="false" customHeight="false" outlineLevel="0" collapsed="false">
      <c r="A31" s="2" t="s">
        <v>20</v>
      </c>
    </row>
    <row r="32" customFormat="false" ht="12.75" hidden="false" customHeight="false" outlineLevel="0" collapsed="false">
      <c r="A32" s="2" t="s">
        <v>21</v>
      </c>
    </row>
    <row r="34" customFormat="false" ht="12.75" hidden="false" customHeight="false" outlineLevel="0" collapsed="false">
      <c r="A34" s="2" t="s">
        <v>22</v>
      </c>
    </row>
    <row r="36" customFormat="false" ht="12.75" hidden="false" customHeight="false" outlineLevel="0" collapsed="false">
      <c r="A36" s="2" t="s">
        <v>23</v>
      </c>
    </row>
    <row r="38" customFormat="false" ht="12.75" hidden="false" customHeight="false" outlineLevel="0" collapsed="false">
      <c r="A38" s="2" t="s">
        <v>24</v>
      </c>
    </row>
  </sheetData>
  <hyperlinks>
    <hyperlink ref="A4" r:id="rId1" display="http://www.hmrc.gov.uk/gds/cird/attachments/rdsimpleguide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2.75" customHeight="false" zeroHeight="false" outlineLevelRow="0" outlineLevelCol="0"/>
  <cols>
    <col collapsed="false" customWidth="true" hidden="false" outlineLevel="0" max="1" min="1" style="5" width="44.88"/>
    <col collapsed="false" customWidth="true" hidden="false" outlineLevel="0" max="2" min="2" style="5" width="9.67"/>
    <col collapsed="false" customWidth="false" hidden="false" outlineLevel="0" max="3" min="3" style="5" width="9.11"/>
    <col collapsed="false" customWidth="false" hidden="false" outlineLevel="0" max="4" min="4" style="6" width="9.11"/>
    <col collapsed="false" customWidth="false" hidden="false" outlineLevel="0" max="16384" min="5" style="5" width="9.11"/>
  </cols>
  <sheetData>
    <row r="1" customFormat="false" ht="12.75" hidden="false" customHeight="false" outlineLevel="0" collapsed="false">
      <c r="A1" s="7" t="s">
        <v>25</v>
      </c>
    </row>
    <row r="3" customFormat="false" ht="12.75" hidden="false" customHeight="false" outlineLevel="0" collapsed="false">
      <c r="A3" s="5" t="s">
        <v>26</v>
      </c>
      <c r="B3" s="5" t="s">
        <v>27</v>
      </c>
      <c r="D3" s="8" t="s">
        <v>28</v>
      </c>
    </row>
    <row r="5" customFormat="false" ht="12.75" hidden="false" customHeight="false" outlineLevel="0" collapsed="false">
      <c r="A5" s="5" t="s">
        <v>29</v>
      </c>
    </row>
    <row r="6" customFormat="false" ht="12.75" hidden="false" customHeight="false" outlineLevel="0" collapsed="false">
      <c r="A6" s="9" t="s">
        <v>30</v>
      </c>
      <c r="B6" s="10" t="n">
        <v>8500</v>
      </c>
      <c r="C6" s="11"/>
    </row>
    <row r="7" customFormat="false" ht="12.75" hidden="false" customHeight="false" outlineLevel="0" collapsed="false">
      <c r="A7" s="9" t="s">
        <v>31</v>
      </c>
      <c r="B7" s="10" t="n">
        <v>4200</v>
      </c>
      <c r="C7" s="11"/>
    </row>
    <row r="8" customFormat="false" ht="12.75" hidden="false" customHeight="false" outlineLevel="0" collapsed="false">
      <c r="A8" s="9" t="s">
        <v>32</v>
      </c>
      <c r="B8" s="10" t="n">
        <v>3100</v>
      </c>
      <c r="C8" s="11"/>
    </row>
    <row r="9" customFormat="false" ht="12.75" hidden="false" customHeight="false" outlineLevel="0" collapsed="false">
      <c r="B9" s="12"/>
      <c r="C9" s="11"/>
    </row>
    <row r="10" customFormat="false" ht="12.75" hidden="false" customHeight="false" outlineLevel="0" collapsed="false">
      <c r="B10" s="13" t="n">
        <f aca="false">SUM(B4:B9)</f>
        <v>15800</v>
      </c>
      <c r="C10" s="14" t="e">
        <f aca="false">staff!#ref!</f>
        <v>#NAME?</v>
      </c>
      <c r="D10" s="12" t="e">
        <f aca="false">B10*C10</f>
        <v>#NAME?</v>
      </c>
    </row>
    <row r="11" customFormat="false" ht="12.75" hidden="false" customHeight="false" outlineLevel="0" collapsed="false">
      <c r="D11" s="12"/>
    </row>
    <row r="12" customFormat="false" ht="12.75" hidden="false" customHeight="false" outlineLevel="0" collapsed="false">
      <c r="A12" s="5" t="s">
        <v>33</v>
      </c>
      <c r="D12" s="12"/>
    </row>
    <row r="13" customFormat="false" ht="12.75" hidden="false" customHeight="false" outlineLevel="0" collapsed="false">
      <c r="A13" s="9" t="s">
        <v>34</v>
      </c>
      <c r="D13" s="10" t="n">
        <v>1200</v>
      </c>
      <c r="G13" s="5" t="s">
        <v>35</v>
      </c>
    </row>
    <row r="14" customFormat="false" ht="12.75" hidden="false" customHeight="false" outlineLevel="0" collapsed="false">
      <c r="A14" s="9" t="s">
        <v>36</v>
      </c>
      <c r="D14" s="10" t="n">
        <v>800</v>
      </c>
      <c r="G14" s="5" t="s">
        <v>37</v>
      </c>
    </row>
    <row r="15" customFormat="false" ht="12.75" hidden="false" customHeight="false" outlineLevel="0" collapsed="false">
      <c r="A15" s="9" t="s">
        <v>38</v>
      </c>
      <c r="D15" s="10" t="n">
        <v>600</v>
      </c>
      <c r="G15" s="5" t="s">
        <v>39</v>
      </c>
    </row>
    <row r="16" customFormat="false" ht="12.75" hidden="false" customHeight="false" outlineLevel="0" collapsed="false">
      <c r="A16" s="9" t="s">
        <v>40</v>
      </c>
      <c r="D16" s="10" t="n">
        <v>2400</v>
      </c>
    </row>
    <row r="17" customFormat="false" ht="12.75" hidden="false" customHeight="false" outlineLevel="0" collapsed="false">
      <c r="A17" s="5" t="s">
        <v>41</v>
      </c>
      <c r="D17" s="12" t="n">
        <v>1800</v>
      </c>
    </row>
    <row r="19" customFormat="false" ht="12.75" hidden="false" customHeight="false" outlineLevel="0" collapsed="false">
      <c r="D19" s="12"/>
    </row>
    <row r="20" customFormat="false" ht="13.5" hidden="false" customHeight="true" outlineLevel="0" collapsed="false">
      <c r="D20" s="15" t="e">
        <f aca="false">SUM(D10:D19)</f>
        <v>#NAME?</v>
      </c>
    </row>
    <row r="21" customFormat="false" ht="13.5" hidden="false" customHeight="true" outlineLevel="0" collapsed="false"/>
    <row r="23" customFormat="false" ht="12.75" hidden="false" customHeight="false" outlineLevel="0" collapsed="false">
      <c r="A23" s="5" t="s">
        <v>42</v>
      </c>
    </row>
    <row r="24" customFormat="false" ht="12.75" hidden="false" customHeight="false" outlineLevel="0" collapsed="false">
      <c r="A24" s="16" t="s">
        <v>43</v>
      </c>
    </row>
    <row r="25" customFormat="false" ht="12.75" hidden="false" customHeight="false" outlineLevel="0" collapsed="false">
      <c r="A25" s="16" t="s">
        <v>44</v>
      </c>
    </row>
    <row r="26" customFormat="false" ht="12.75" hidden="false" customHeight="false" outlineLevel="0" collapsed="false">
      <c r="A26" s="16" t="s">
        <v>45</v>
      </c>
    </row>
    <row r="27" customFormat="false" ht="12.75" hidden="false" customHeight="false" outlineLevel="0" collapsed="false">
      <c r="A27" s="16" t="s">
        <v>46</v>
      </c>
    </row>
    <row r="28" customFormat="false" ht="12.75" hidden="false" customHeight="false" outlineLevel="0" collapsed="false">
      <c r="A28" s="16" t="s">
        <v>47</v>
      </c>
    </row>
    <row r="29" customFormat="false" ht="12.75" hidden="false" customHeight="false" outlineLevel="0" collapsed="false">
      <c r="A29" s="16" t="s">
        <v>48</v>
      </c>
    </row>
    <row r="30" customFormat="false" ht="12.75" hidden="false" customHeight="false" outlineLevel="0" collapsed="false">
      <c r="A30" s="16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17" width="14.67"/>
    <col collapsed="false" customWidth="true" hidden="false" outlineLevel="0" max="2" min="2" style="17" width="22.88"/>
    <col collapsed="false" customWidth="true" hidden="false" outlineLevel="0" max="4" min="3" style="18" width="22.88"/>
    <col collapsed="false" customWidth="true" hidden="false" outlineLevel="0" max="5" min="5" style="17" width="39.33"/>
    <col collapsed="false" customWidth="true" hidden="false" outlineLevel="0" max="7" min="6" style="17" width="14.11"/>
    <col collapsed="false" customWidth="false" hidden="false" outlineLevel="0" max="23" min="8" style="17" width="8.88"/>
    <col collapsed="false" customWidth="true" hidden="false" outlineLevel="0" max="24" min="24" style="17" width="11.89"/>
    <col collapsed="false" customWidth="false" hidden="false" outlineLevel="0" max="16384" min="25" style="17" width="8.88"/>
  </cols>
  <sheetData>
    <row r="1" s="22" customFormat="true" ht="15" hidden="false" customHeight="true" outlineLevel="0" collapsed="false">
      <c r="A1" s="19" t="s">
        <v>50</v>
      </c>
      <c r="B1" s="20"/>
      <c r="C1" s="21"/>
      <c r="D1" s="21"/>
      <c r="E1" s="20"/>
    </row>
    <row r="2" customFormat="false" ht="15" hidden="false" customHeight="true" outlineLevel="0" collapsed="false">
      <c r="A2" s="23" t="s">
        <v>51</v>
      </c>
      <c r="B2" s="24"/>
      <c r="C2" s="25"/>
      <c r="D2" s="25"/>
      <c r="E2" s="26"/>
    </row>
    <row r="3" customFormat="false" ht="15" hidden="false" customHeight="true" outlineLevel="0" collapsed="false">
      <c r="A3" s="23" t="s">
        <v>52</v>
      </c>
      <c r="B3" s="27"/>
      <c r="C3" s="25"/>
      <c r="D3" s="25"/>
      <c r="E3" s="26"/>
      <c r="F3" s="28"/>
    </row>
    <row r="4" customFormat="false" ht="15" hidden="false" customHeight="true" outlineLevel="0" collapsed="false">
      <c r="A4" s="23" t="s">
        <v>53</v>
      </c>
      <c r="B4" s="29"/>
      <c r="C4" s="30"/>
      <c r="D4" s="30"/>
      <c r="E4" s="26"/>
    </row>
    <row r="5" customFormat="false" ht="15" hidden="false" customHeight="true" outlineLevel="0" collapsed="false">
      <c r="A5" s="31"/>
      <c r="B5" s="29"/>
      <c r="C5" s="30"/>
      <c r="D5" s="30"/>
      <c r="E5" s="26"/>
    </row>
    <row r="6" customFormat="false" ht="15" hidden="false" customHeight="true" outlineLevel="0" collapsed="false">
      <c r="A6" s="32" t="s">
        <v>54</v>
      </c>
    </row>
    <row r="7" customFormat="false" ht="15" hidden="false" customHeight="true" outlineLevel="0" collapsed="false">
      <c r="A7" s="33" t="s">
        <v>55</v>
      </c>
      <c r="B7" s="33" t="s">
        <v>56</v>
      </c>
      <c r="C7" s="33" t="s">
        <v>57</v>
      </c>
      <c r="D7" s="33" t="s">
        <v>58</v>
      </c>
      <c r="E7" s="26"/>
    </row>
    <row r="8" customFormat="false" ht="15" hidden="false" customHeight="true" outlineLevel="0" collapsed="false">
      <c r="A8" s="34" t="s">
        <v>59</v>
      </c>
      <c r="B8" s="35" t="n">
        <v>45292</v>
      </c>
      <c r="C8" s="35" t="n">
        <v>45382</v>
      </c>
      <c r="D8" s="36" t="n">
        <f aca="false">IFERROR((DATEDIF(B8, C8, "M")+1), 0)</f>
        <v>3</v>
      </c>
      <c r="E8" s="26"/>
    </row>
    <row r="9" customFormat="false" ht="15" hidden="false" customHeight="true" outlineLevel="0" collapsed="false">
      <c r="A9" s="37" t="s">
        <v>60</v>
      </c>
      <c r="B9" s="38" t="n">
        <v>45383</v>
      </c>
      <c r="C9" s="38" t="n">
        <v>45657</v>
      </c>
      <c r="D9" s="39" t="n">
        <f aca="false">IFERROR((DATEDIF(B9, C9, "M")+1), 0)</f>
        <v>9</v>
      </c>
      <c r="E9" s="26"/>
    </row>
    <row r="10" customFormat="false" ht="15" hidden="false" customHeight="true" outlineLevel="0" collapsed="false">
      <c r="A10" s="40"/>
      <c r="B10" s="41"/>
      <c r="C10" s="41"/>
      <c r="D10" s="42" t="n">
        <f aca="false">SUM(D8:D9)</f>
        <v>12</v>
      </c>
      <c r="E10" s="26"/>
    </row>
    <row r="11" customFormat="false" ht="15" hidden="false" customHeight="true" outlineLevel="0" collapsed="false">
      <c r="A11" s="40"/>
      <c r="B11" s="26"/>
      <c r="E11" s="26"/>
    </row>
    <row r="12" customFormat="false" ht="15" hidden="false" customHeight="true" outlineLevel="0" collapsed="false">
      <c r="A12" s="32" t="s">
        <v>61</v>
      </c>
    </row>
    <row r="14" s="45" customFormat="true" ht="15" hidden="false" customHeight="true" outlineLevel="0" collapsed="false">
      <c r="A14" s="33" t="s">
        <v>62</v>
      </c>
      <c r="B14" s="33" t="s">
        <v>63</v>
      </c>
      <c r="C14" s="43" t="s">
        <v>64</v>
      </c>
      <c r="D14" s="43" t="s">
        <v>65</v>
      </c>
      <c r="E14" s="33" t="s">
        <v>66</v>
      </c>
      <c r="F14" s="33" t="s">
        <v>67</v>
      </c>
      <c r="G14" s="44" t="s">
        <v>68</v>
      </c>
      <c r="Y14" s="45" t="s">
        <v>69</v>
      </c>
    </row>
    <row r="15" customFormat="false" ht="15" hidden="false" customHeight="true" outlineLevel="0" collapsed="false">
      <c r="A15" s="34" t="n">
        <v>1</v>
      </c>
      <c r="B15" s="46" t="s">
        <v>70</v>
      </c>
      <c r="C15" s="47" t="s">
        <v>71</v>
      </c>
      <c r="D15" s="48" t="s">
        <v>71</v>
      </c>
      <c r="E15" s="34" t="n">
        <v>0.85</v>
      </c>
      <c r="F15" s="49" t="n">
        <v>45078</v>
      </c>
      <c r="G15" s="50" t="n">
        <v>45657</v>
      </c>
      <c r="Y15" s="17" t="s">
        <v>72</v>
      </c>
    </row>
    <row r="16" customFormat="false" ht="15" hidden="false" customHeight="true" outlineLevel="0" collapsed="false">
      <c r="A16" s="34" t="n">
        <v>2</v>
      </c>
      <c r="B16" s="46" t="s">
        <v>73</v>
      </c>
      <c r="C16" s="47" t="s">
        <v>71</v>
      </c>
      <c r="D16" s="48" t="s">
        <v>71</v>
      </c>
      <c r="E16" s="34" t="n">
        <v>0.9</v>
      </c>
      <c r="F16" s="49" t="n">
        <v>45292</v>
      </c>
      <c r="G16" s="50" t="n">
        <v>45657</v>
      </c>
      <c r="Y16" s="17" t="s">
        <v>74</v>
      </c>
    </row>
    <row r="17" customFormat="false" ht="15" hidden="false" customHeight="true" outlineLevel="0" collapsed="false">
      <c r="A17" s="34" t="n">
        <v>3</v>
      </c>
      <c r="B17" s="46" t="s">
        <v>75</v>
      </c>
      <c r="C17" s="47" t="s">
        <v>71</v>
      </c>
      <c r="D17" s="48" t="s">
        <v>71</v>
      </c>
      <c r="E17" s="34" t="n">
        <v>0.75</v>
      </c>
      <c r="F17" s="49" t="n">
        <v>45352</v>
      </c>
      <c r="G17" s="50" t="n">
        <v>45657</v>
      </c>
    </row>
    <row r="18" customFormat="false" ht="15" hidden="false" customHeight="true" outlineLevel="0" collapsed="false">
      <c r="A18" s="34" t="n">
        <v>4</v>
      </c>
      <c r="B18" s="46" t="s">
        <v>76</v>
      </c>
      <c r="C18" s="47" t="s">
        <v>77</v>
      </c>
      <c r="D18" s="48" t="s">
        <v>71</v>
      </c>
      <c r="E18" s="34" t="n">
        <v>0.8</v>
      </c>
      <c r="F18" s="49" t="n">
        <v>45170</v>
      </c>
      <c r="G18" s="50" t="n">
        <v>45565</v>
      </c>
    </row>
    <row r="19" customFormat="false" ht="15" hidden="false" customHeight="true" outlineLevel="0" collapsed="false">
      <c r="A19" s="34" t="n">
        <v>5</v>
      </c>
      <c r="B19" s="46" t="s">
        <v>78</v>
      </c>
      <c r="C19" s="47" t="s">
        <v>71</v>
      </c>
      <c r="D19" s="48" t="s">
        <v>71</v>
      </c>
      <c r="E19" s="34" t="n">
        <v>0.7</v>
      </c>
      <c r="F19" s="49" t="n">
        <v>45444</v>
      </c>
      <c r="G19" s="50" t="n">
        <v>45657</v>
      </c>
      <c r="Y19" s="17" t="s">
        <v>77</v>
      </c>
    </row>
    <row r="20" customFormat="false" ht="15" hidden="false" customHeight="true" outlineLevel="0" collapsed="false">
      <c r="A20" s="34" t="n">
        <v>6</v>
      </c>
      <c r="B20" s="46"/>
      <c r="C20" s="47"/>
      <c r="D20" s="48"/>
      <c r="E20" s="34"/>
      <c r="F20" s="49"/>
      <c r="G20" s="50"/>
      <c r="Y20" s="17" t="s">
        <v>71</v>
      </c>
    </row>
    <row r="21" customFormat="false" ht="15" hidden="false" customHeight="true" outlineLevel="0" collapsed="false">
      <c r="A21" s="34" t="n">
        <v>7</v>
      </c>
      <c r="B21" s="46"/>
      <c r="C21" s="47"/>
      <c r="D21" s="48"/>
      <c r="E21" s="34"/>
      <c r="F21" s="49"/>
      <c r="G21" s="50"/>
    </row>
    <row r="22" customFormat="false" ht="15" hidden="false" customHeight="true" outlineLevel="0" collapsed="false">
      <c r="A22" s="34" t="n">
        <v>8</v>
      </c>
      <c r="B22" s="46"/>
      <c r="C22" s="47"/>
      <c r="D22" s="48"/>
      <c r="E22" s="34"/>
      <c r="F22" s="49"/>
      <c r="G22" s="50"/>
    </row>
    <row r="23" customFormat="false" ht="15" hidden="false" customHeight="true" outlineLevel="0" collapsed="false">
      <c r="A23" s="34" t="n">
        <v>9</v>
      </c>
      <c r="B23" s="46"/>
      <c r="C23" s="47"/>
      <c r="D23" s="48"/>
      <c r="E23" s="34"/>
      <c r="F23" s="49"/>
      <c r="G23" s="50"/>
    </row>
    <row r="24" customFormat="false" ht="15" hidden="false" customHeight="true" outlineLevel="0" collapsed="false">
      <c r="A24" s="34" t="n">
        <v>10</v>
      </c>
      <c r="B24" s="46"/>
      <c r="C24" s="47"/>
      <c r="D24" s="48"/>
      <c r="E24" s="34"/>
      <c r="F24" s="49"/>
      <c r="G24" s="50"/>
    </row>
    <row r="25" customFormat="false" ht="15" hidden="false" customHeight="true" outlineLevel="0" collapsed="false">
      <c r="A25" s="34" t="n">
        <v>11</v>
      </c>
      <c r="B25" s="46"/>
      <c r="C25" s="47"/>
      <c r="D25" s="48"/>
      <c r="E25" s="34"/>
      <c r="F25" s="49"/>
      <c r="G25" s="50"/>
    </row>
    <row r="26" customFormat="false" ht="15" hidden="false" customHeight="true" outlineLevel="0" collapsed="false">
      <c r="A26" s="37" t="n">
        <v>12</v>
      </c>
      <c r="B26" s="51"/>
      <c r="C26" s="52"/>
      <c r="D26" s="53"/>
      <c r="E26" s="37"/>
      <c r="F26" s="54"/>
      <c r="G26" s="55"/>
    </row>
    <row r="28" customFormat="false" ht="15" hidden="false" customHeight="true" outlineLevel="0" collapsed="false">
      <c r="A28" s="56" t="s">
        <v>79</v>
      </c>
    </row>
  </sheetData>
  <dataValidations count="2">
    <dataValidation allowBlank="true" error="Maximum of 25 Characters" errorStyle="stop" errorTitle="Too Long!" operator="between" prompt="Maximum 25 characters." promptTitle="Project Name" showDropDown="false" showErrorMessage="true" showInputMessage="false" sqref="B15:B26" type="none">
      <formula1>0</formula1>
      <formula2>0</formula2>
    </dataValidation>
    <dataValidation allowBlank="true" error="Answer must be blank / yes / no per dropdown" errorStyle="stop" errorTitle="Invalid Data" operator="between" prompt="Maximum 25 characters." promptTitle="Project Name" showDropDown="false" showErrorMessage="true" showInputMessage="false" sqref="C15:D26" type="list">
      <formula1>$Y$19:$Y$20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17" width="31.88"/>
    <col collapsed="false" customWidth="true" hidden="false" outlineLevel="0" max="16" min="2" style="17" width="13"/>
    <col collapsed="false" customWidth="false" hidden="false" outlineLevel="0" max="16384" min="17" style="17" width="8.88"/>
  </cols>
  <sheetData>
    <row r="1" s="22" customFormat="true" ht="15" hidden="false" customHeight="true" outlineLevel="0" collapsed="false">
      <c r="A1" s="57" t="s">
        <v>80</v>
      </c>
    </row>
    <row r="3" customFormat="false" ht="15" hidden="false" customHeight="true" outlineLevel="0" collapsed="false">
      <c r="A3" s="58" t="s">
        <v>81</v>
      </c>
      <c r="B3" s="59" t="str">
        <f aca="false">IF(Summary!$B$15&gt;0,Summary!$B$15,"")</f>
        <v>Automated Document Intelligence Platform</v>
      </c>
      <c r="C3" s="59" t="str">
        <f aca="false">IF(Summary!$B$16&gt;0,Summary!$B$16,"")</f>
        <v>Real-Time Anomaly Detection Engine</v>
      </c>
      <c r="D3" s="59" t="str">
        <f aca="false">IF(Summary!$B$17&gt;0,Summary!$B$17,"")</f>
        <v>Natural Language Query Interface</v>
      </c>
      <c r="E3" s="59" t="str">
        <f aca="false">IF(Summary!$B$18&gt;0,Summary!$B$18,"")</f>
        <v>Predictive Maintenance ML Pipeline</v>
      </c>
      <c r="F3" s="59" t="str">
        <f aca="false">IF(Summary!$B$19&gt;0,Summary!$B$19,"")</f>
        <v>Privacy-Preserving Data Linkage</v>
      </c>
      <c r="G3" s="59" t="str">
        <f aca="false">IF(Summary!$B$20&gt;0,Summary!$B$20,"")</f>
        <v/>
      </c>
      <c r="H3" s="59" t="str">
        <f aca="false">IF(Summary!$B$21&gt;0,Summary!$B$21,"")</f>
        <v/>
      </c>
      <c r="I3" s="59" t="str">
        <f aca="false">IF(Summary!$B$22&gt;0,Summary!$B$22,"")</f>
        <v/>
      </c>
      <c r="J3" s="59" t="str">
        <f aca="false">IF(Summary!$B$23&gt;0,Summary!$B$23,"")</f>
        <v/>
      </c>
      <c r="K3" s="59" t="str">
        <f aca="false">IF(Summary!$B$24&gt;0,Summary!$B$24,"")</f>
        <v/>
      </c>
      <c r="L3" s="59" t="str">
        <f aca="false">IF(Summary!$B$25&gt;0,Summary!$B$25,"")</f>
        <v/>
      </c>
      <c r="M3" s="59" t="str">
        <f aca="false">IF(Summary!$B$26&gt;0,Summary!$B$26,"")</f>
        <v/>
      </c>
      <c r="N3" s="60" t="s">
        <v>82</v>
      </c>
      <c r="O3" s="60" t="s">
        <v>82</v>
      </c>
      <c r="P3" s="61" t="s">
        <v>82</v>
      </c>
    </row>
    <row r="4" customFormat="false" ht="15" hidden="false" customHeight="true" outlineLevel="0" collapsed="false">
      <c r="A4" s="62"/>
      <c r="B4" s="63" t="str">
        <f aca="false">IF(ISBLANK(Summary!$C$15),"", IF(Summary!$C$15="No", "SME", IF(AND(Summary!$C$15="Yes", Summary!$D$15="Yes"), "De Minimis", "RDEC")))</f>
        <v>SME</v>
      </c>
      <c r="C4" s="63" t="str">
        <f aca="false">IF(ISBLANK(Summary!$C$16),"", IF(Summary!$C$16="No", "SME", IF(AND(Summary!$C$16="Yes", Summary!$D$16="Yes"), "De Minimis", "RDEC")))</f>
        <v>SME</v>
      </c>
      <c r="D4" s="63" t="str">
        <f aca="false">IF(ISBLANK(Summary!$C$17),"", IF(Summary!$C$17="No", "SME", IF(AND(Summary!$C$17="Yes", Summary!$D$17="Yes"), "De Minimis", "RDEC")))</f>
        <v>SME</v>
      </c>
      <c r="E4" s="63" t="str">
        <f aca="false">IF(ISBLANK(Summary!$C$18),"", IF(Summary!$C$18="No", "SME", IF(AND(Summary!$C$18="Yes", Summary!$D$18="Yes"), "De Minimis", "RDEC")))</f>
        <v>RDEC</v>
      </c>
      <c r="F4" s="63" t="str">
        <f aca="false">IF(ISBLANK(Summary!$C$19),"", IF(Summary!$C$19="No", "SME", IF(AND(Summary!$C$19="Yes", Summary!$D$19="Yes"), "De Minimis", "RDEC")))</f>
        <v>SME</v>
      </c>
      <c r="G4" s="63" t="str">
        <f aca="false">IF(ISBLANK(Summary!$C$20),"", IF(Summary!$C$20="No", "SME", IF(AND(Summary!$C$20="Yes", Summary!$D$20="Yes"), "De Minimis", "RDEC")))</f>
        <v/>
      </c>
      <c r="H4" s="63" t="str">
        <f aca="false">IF(ISBLANK(Summary!$C$21),"", IF(Summary!$C$21="No", "SME", IF(AND(Summary!$C$21="Yes", Summary!$D$21="Yes"), "De Minimis", "RDEC")))</f>
        <v/>
      </c>
      <c r="I4" s="63" t="str">
        <f aca="false">IF(ISBLANK(Summary!$C$22),"", IF(Summary!$C$22="No", "SME", IF(AND(Summary!$C$22="Yes", Summary!$D$22="Yes"), "De Minimis", "RDEC")))</f>
        <v/>
      </c>
      <c r="J4" s="63" t="str">
        <f aca="false">IF(ISBLANK(Summary!$C$23),"", IF(Summary!$C$23="No", "SME", IF(AND(Summary!$C$23="Yes", Summary!$D$23="Yes"), "De Minimis", "RDEC")))</f>
        <v/>
      </c>
      <c r="K4" s="63" t="str">
        <f aca="false">IF(ISBLANK(Summary!$C$24),"", IF(Summary!$C$24="No", "SME", IF(AND(Summary!$C$24="Yes", Summary!$D$24="Yes"), "De Minimis", "RDEC")))</f>
        <v/>
      </c>
      <c r="L4" s="63" t="str">
        <f aca="false">IF(ISBLANK(Summary!$C$25),"", IF(Summary!$C$25="No", "SME", IF(AND(Summary!$C$25="Yes", Summary!$D$25="Yes"), "De Minimis", "RDEC")))</f>
        <v/>
      </c>
      <c r="M4" s="63" t="str">
        <f aca="false">IF(ISBLANK(Summary!$C$26),"", IF(Summary!$C$26="No", "SME", IF(AND(Summary!$C$26="Yes", Summary!$D$26="Yes"), "De Minimis", "RDEC")))</f>
        <v/>
      </c>
      <c r="N4" s="64" t="s">
        <v>69</v>
      </c>
      <c r="O4" s="64" t="s">
        <v>72</v>
      </c>
      <c r="P4" s="65"/>
    </row>
    <row r="5" customFormat="false" ht="15" hidden="false" customHeight="true" outlineLevel="0" collapsed="false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8"/>
      <c r="O5" s="68"/>
      <c r="P5" s="69"/>
    </row>
    <row r="6" customFormat="false" ht="15" hidden="false" customHeight="true" outlineLevel="0" collapsed="false">
      <c r="A6" s="70" t="s">
        <v>83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68"/>
      <c r="O6" s="68"/>
      <c r="P6" s="69"/>
    </row>
    <row r="7" customFormat="false" ht="15" hidden="false" customHeight="true" outlineLevel="0" collapsed="false">
      <c r="A7" s="72" t="s">
        <v>84</v>
      </c>
      <c r="B7" s="73" t="n">
        <f aca="false">+B26+B43</f>
        <v>207641.3655</v>
      </c>
      <c r="C7" s="73" t="n">
        <f aca="false">+C26+C43</f>
        <v>182945.4935</v>
      </c>
      <c r="D7" s="73" t="n">
        <f aca="false">+D26+D43</f>
        <v>122172.1565</v>
      </c>
      <c r="E7" s="73" t="n">
        <f aca="false">+E26+E43</f>
        <v>128104.258</v>
      </c>
      <c r="F7" s="73" t="n">
        <f aca="false">+F26+F43</f>
        <v>98788.4665</v>
      </c>
      <c r="G7" s="73" t="n">
        <f aca="false">+G26+G43</f>
        <v>0</v>
      </c>
      <c r="H7" s="73" t="n">
        <f aca="false">+H26+H43</f>
        <v>0</v>
      </c>
      <c r="I7" s="73" t="n">
        <f aca="false">+I26+I43</f>
        <v>0</v>
      </c>
      <c r="J7" s="73" t="n">
        <f aca="false">+J26+J43</f>
        <v>0</v>
      </c>
      <c r="K7" s="73" t="n">
        <f aca="false">+K26+K43</f>
        <v>0</v>
      </c>
      <c r="L7" s="73" t="n">
        <f aca="false">+L26+L43</f>
        <v>0</v>
      </c>
      <c r="M7" s="73" t="n">
        <f aca="false">+M26+M43</f>
        <v>0</v>
      </c>
      <c r="N7" s="74" t="n">
        <f aca="false">SUMIF($B$4:$M$4,$N$4, B7:M7)</f>
        <v>611547.482</v>
      </c>
      <c r="O7" s="74" t="n">
        <f aca="false">SUMIF($B$4:$M$4,$O$4, B7:M7)</f>
        <v>128104.258</v>
      </c>
      <c r="P7" s="75" t="n">
        <f aca="false">SUM(N7:O7)</f>
        <v>739651.74</v>
      </c>
    </row>
    <row r="8" customFormat="false" ht="15" hidden="false" customHeight="true" outlineLevel="0" collapsed="false">
      <c r="A8" s="72" t="s">
        <v>85</v>
      </c>
      <c r="B8" s="73" t="n">
        <f aca="false">'Overseas Staff'!Y905</f>
        <v>0</v>
      </c>
      <c r="C8" s="73" t="n">
        <f aca="false">'Overseas Staff'!Z905</f>
        <v>0</v>
      </c>
      <c r="D8" s="73" t="n">
        <f aca="false">'Overseas Staff'!AA905</f>
        <v>0</v>
      </c>
      <c r="E8" s="73" t="n">
        <f aca="false">'Overseas Staff'!AB905</f>
        <v>0</v>
      </c>
      <c r="F8" s="73" t="n">
        <f aca="false">'Overseas Staff'!AC905</f>
        <v>0</v>
      </c>
      <c r="G8" s="73" t="n">
        <f aca="false">'Overseas Staff'!AD905</f>
        <v>0</v>
      </c>
      <c r="H8" s="73" t="n">
        <f aca="false">'Overseas Staff'!AE905</f>
        <v>0</v>
      </c>
      <c r="I8" s="73" t="n">
        <f aca="false">'Overseas Staff'!AF905</f>
        <v>0</v>
      </c>
      <c r="J8" s="73" t="n">
        <f aca="false">'Overseas Staff'!AG905</f>
        <v>0</v>
      </c>
      <c r="K8" s="73" t="n">
        <f aca="false">'Overseas Staff'!AH905</f>
        <v>0</v>
      </c>
      <c r="L8" s="73" t="n">
        <f aca="false">'Overseas Staff'!AI905</f>
        <v>0</v>
      </c>
      <c r="M8" s="73" t="n">
        <f aca="false">'Overseas Staff'!AJ905</f>
        <v>0</v>
      </c>
      <c r="N8" s="74" t="n">
        <f aca="false">SUMIF($B$4:$M$4,$N$4, B8:M8)</f>
        <v>0</v>
      </c>
      <c r="O8" s="74" t="n">
        <f aca="false">SUMIF($B$4:$M$4,$O$4, B8:M8)</f>
        <v>0</v>
      </c>
      <c r="P8" s="75" t="n">
        <f aca="false">SUM(N8:O8)</f>
        <v>0</v>
      </c>
    </row>
    <row r="9" customFormat="false" ht="15" hidden="false" customHeight="true" outlineLevel="0" collapsed="false">
      <c r="A9" s="72" t="s">
        <v>86</v>
      </c>
      <c r="B9" s="73" t="n">
        <f aca="false">IF(B$4="SME", 'Recruitment &amp; Relocation'!X$50*0.65, 'Recruitment &amp; Relocation'!X$50)</f>
        <v>4348.5</v>
      </c>
      <c r="C9" s="73" t="n">
        <f aca="false">IF(C$4="SME", 'Recruitment &amp; Relocation'!Y$50*0.65, 'Recruitment &amp; Relocation'!Y$50)</f>
        <v>1131</v>
      </c>
      <c r="D9" s="73" t="n">
        <f aca="false">IF(D$4="SME", 'Recruitment &amp; Relocation'!Z$50*0.65, 'Recruitment &amp; Relocation'!Z$50)</f>
        <v>2281.5</v>
      </c>
      <c r="E9" s="73" t="n">
        <f aca="false">IF(E$4="SME", 'Recruitment &amp; Relocation'!AA$50*0.65, 'Recruitment &amp; Relocation'!AA$50)</f>
        <v>1300</v>
      </c>
      <c r="F9" s="73" t="n">
        <f aca="false">IF(F$4="SME", 'Recruitment &amp; Relocation'!AB$50*0.65, 'Recruitment &amp; Relocation'!AB$50)</f>
        <v>1404</v>
      </c>
      <c r="G9" s="73" t="n">
        <f aca="false">IF(G$4="SME", 'Recruitment &amp; Relocation'!AC$50*0.65, 'Recruitment &amp; Relocation'!AC$50)</f>
        <v>0</v>
      </c>
      <c r="H9" s="73" t="n">
        <f aca="false">IF(H$4="SME", 'Recruitment &amp; Relocation'!AD$50*0.65, 'Recruitment &amp; Relocation'!AD$50)</f>
        <v>0</v>
      </c>
      <c r="I9" s="73" t="n">
        <f aca="false">IF(I$4="SME", 'Recruitment &amp; Relocation'!AE$50*0.65, 'Recruitment &amp; Relocation'!AE$50)</f>
        <v>0</v>
      </c>
      <c r="J9" s="73" t="n">
        <f aca="false">IF(J$4="SME", 'Recruitment &amp; Relocation'!AF$50*0.65, 'Recruitment &amp; Relocation'!AF$50)</f>
        <v>0</v>
      </c>
      <c r="K9" s="73" t="n">
        <f aca="false">IF(K$4="SME", 'Recruitment &amp; Relocation'!AG$50*0.65, 'Recruitment &amp; Relocation'!AG$50)</f>
        <v>0</v>
      </c>
      <c r="L9" s="73" t="n">
        <f aca="false">IF(L$4="SME", 'Recruitment &amp; Relocation'!AH$50*0.65, 'Recruitment &amp; Relocation'!AH$50)</f>
        <v>0</v>
      </c>
      <c r="M9" s="73" t="n">
        <f aca="false">IF(M$4="SME", 'Recruitment &amp; Relocation'!AI$50*0.65, 'Recruitment &amp; Relocation'!AI$50)</f>
        <v>0</v>
      </c>
      <c r="N9" s="74" t="n">
        <f aca="false">SUMIF($B$4:$M$4,$N$4, B9:M9)</f>
        <v>9165</v>
      </c>
      <c r="O9" s="74" t="n">
        <f aca="false">SUMIF($B$4:$M$4,$O$4, B9:M9)</f>
        <v>1300</v>
      </c>
      <c r="P9" s="75" t="n">
        <f aca="false">SUM(N9:O9)</f>
        <v>10465</v>
      </c>
    </row>
    <row r="10" customFormat="false" ht="15" hidden="false" customHeight="true" outlineLevel="0" collapsed="false">
      <c r="A10" s="72" t="s">
        <v>87</v>
      </c>
      <c r="B10" s="73" t="n">
        <f aca="false">Training!V52</f>
        <v>2135</v>
      </c>
      <c r="C10" s="73" t="n">
        <f aca="false">Training!W52</f>
        <v>2210</v>
      </c>
      <c r="D10" s="73" t="n">
        <f aca="false">Training!X52</f>
        <v>2355</v>
      </c>
      <c r="E10" s="73" t="n">
        <f aca="false">Training!Y52</f>
        <v>800</v>
      </c>
      <c r="F10" s="73" t="n">
        <f aca="false">Training!Z52</f>
        <v>1950</v>
      </c>
      <c r="G10" s="73" t="n">
        <f aca="false">Training!AA52</f>
        <v>0</v>
      </c>
      <c r="H10" s="73" t="n">
        <f aca="false">Training!AB52</f>
        <v>0</v>
      </c>
      <c r="I10" s="73" t="n">
        <f aca="false">Training!AC52</f>
        <v>0</v>
      </c>
      <c r="J10" s="73" t="n">
        <f aca="false">Training!AD52</f>
        <v>0</v>
      </c>
      <c r="K10" s="73" t="n">
        <f aca="false">Training!AE52</f>
        <v>0</v>
      </c>
      <c r="L10" s="73" t="n">
        <f aca="false">Training!AF52</f>
        <v>0</v>
      </c>
      <c r="M10" s="73" t="n">
        <f aca="false">Training!AG52</f>
        <v>0</v>
      </c>
      <c r="N10" s="74" t="n">
        <f aca="false">SUMIF($B$4:$M$4,$N$4, B10:M10)</f>
        <v>8650</v>
      </c>
      <c r="O10" s="74" t="n">
        <f aca="false">SUMIF($B$4:$M$4,$O$4, B10:M10)</f>
        <v>800</v>
      </c>
      <c r="P10" s="75" t="n">
        <f aca="false">SUM(N10:O10)</f>
        <v>9450</v>
      </c>
    </row>
    <row r="11" customFormat="false" ht="15" hidden="false" customHeight="true" outlineLevel="0" collapsed="false">
      <c r="A11" s="72" t="s">
        <v>88</v>
      </c>
      <c r="B11" s="76" t="n">
        <f aca="false">'Travel &amp; Subsistence'!V101</f>
        <v>760.5</v>
      </c>
      <c r="C11" s="76" t="n">
        <f aca="false">'Travel &amp; Subsistence'!W101</f>
        <v>546.5</v>
      </c>
      <c r="D11" s="76" t="n">
        <f aca="false">'Travel &amp; Subsistence'!X101</f>
        <v>686.5</v>
      </c>
      <c r="E11" s="76" t="n">
        <f aca="false">'Travel &amp; Subsistence'!Y101</f>
        <v>353</v>
      </c>
      <c r="F11" s="76" t="n">
        <f aca="false">'Travel &amp; Subsistence'!Z101</f>
        <v>628.5</v>
      </c>
      <c r="G11" s="76" t="n">
        <f aca="false">'Travel &amp; Subsistence'!AA101</f>
        <v>0</v>
      </c>
      <c r="H11" s="76" t="n">
        <f aca="false">'Travel &amp; Subsistence'!AB101</f>
        <v>0</v>
      </c>
      <c r="I11" s="76" t="n">
        <f aca="false">'Travel &amp; Subsistence'!AC101</f>
        <v>0</v>
      </c>
      <c r="J11" s="76" t="n">
        <f aca="false">'Travel &amp; Subsistence'!AD101</f>
        <v>0</v>
      </c>
      <c r="K11" s="76" t="n">
        <f aca="false">'Travel &amp; Subsistence'!AE101</f>
        <v>0</v>
      </c>
      <c r="L11" s="76" t="n">
        <f aca="false">'Travel &amp; Subsistence'!AF101</f>
        <v>0</v>
      </c>
      <c r="M11" s="76" t="n">
        <f aca="false">'Travel &amp; Subsistence'!AG101</f>
        <v>0</v>
      </c>
      <c r="N11" s="77" t="n">
        <f aca="false">SUMIF($B$4:$M$4,$N$4, B11:M11)</f>
        <v>2622</v>
      </c>
      <c r="O11" s="77" t="n">
        <f aca="false">SUMIF($B$4:$M$4,$O$4, B11:M11)</f>
        <v>353</v>
      </c>
      <c r="P11" s="78" t="n">
        <f aca="false">SUM(N11:O11)</f>
        <v>2975</v>
      </c>
    </row>
    <row r="12" customFormat="false" ht="15" hidden="false" customHeight="true" outlineLevel="0" collapsed="false">
      <c r="A12" s="72"/>
      <c r="B12" s="73" t="n">
        <f aca="false">SUM(B7:B11)</f>
        <v>214885.3655</v>
      </c>
      <c r="C12" s="73" t="n">
        <f aca="false">SUM(C7:C11)</f>
        <v>186832.9935</v>
      </c>
      <c r="D12" s="73" t="n">
        <f aca="false">SUM(D7:D11)</f>
        <v>127495.1565</v>
      </c>
      <c r="E12" s="73" t="n">
        <f aca="false">SUM(E7:E11)</f>
        <v>130557.258</v>
      </c>
      <c r="F12" s="73" t="n">
        <f aca="false">SUM(F7:F11)</f>
        <v>102770.9665</v>
      </c>
      <c r="G12" s="73" t="n">
        <f aca="false">SUM(G7:G11)</f>
        <v>0</v>
      </c>
      <c r="H12" s="73" t="n">
        <f aca="false">SUM(H7:H11)</f>
        <v>0</v>
      </c>
      <c r="I12" s="73" t="n">
        <f aca="false">SUM(I7:I11)</f>
        <v>0</v>
      </c>
      <c r="J12" s="73" t="n">
        <f aca="false">SUM(J7:J11)</f>
        <v>0</v>
      </c>
      <c r="K12" s="73" t="n">
        <f aca="false">SUM(K7:K11)</f>
        <v>0</v>
      </c>
      <c r="L12" s="73" t="n">
        <f aca="false">SUM(L7:L11)</f>
        <v>0</v>
      </c>
      <c r="M12" s="73" t="n">
        <f aca="false">SUM(M7:M11)</f>
        <v>0</v>
      </c>
      <c r="N12" s="74" t="n">
        <f aca="false">SUM(N7:N11)</f>
        <v>631984.482</v>
      </c>
      <c r="O12" s="74" t="n">
        <f aca="false">SUM(O7:O11)</f>
        <v>130557.258</v>
      </c>
      <c r="P12" s="75" t="n">
        <f aca="false">SUM(P7:P11)</f>
        <v>762541.74</v>
      </c>
    </row>
    <row r="13" customFormat="false" ht="15" hidden="false" customHeight="true" outlineLevel="0" collapsed="false">
      <c r="A13" s="72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4"/>
      <c r="O13" s="74"/>
      <c r="P13" s="75"/>
    </row>
    <row r="14" customFormat="false" ht="15" hidden="false" customHeight="true" outlineLevel="0" collapsed="false">
      <c r="A14" s="72" t="s">
        <v>89</v>
      </c>
      <c r="B14" s="73" t="n">
        <v>0</v>
      </c>
      <c r="C14" s="73" t="n">
        <v>0</v>
      </c>
      <c r="D14" s="73" t="n">
        <v>0</v>
      </c>
      <c r="E14" s="73" t="n">
        <v>0</v>
      </c>
      <c r="F14" s="73" t="n">
        <v>0</v>
      </c>
      <c r="G14" s="73" t="n">
        <v>0</v>
      </c>
      <c r="H14" s="73" t="n">
        <v>0</v>
      </c>
      <c r="I14" s="73" t="n">
        <v>0</v>
      </c>
      <c r="J14" s="73" t="n">
        <v>0</v>
      </c>
      <c r="K14" s="73" t="n">
        <v>0</v>
      </c>
      <c r="L14" s="73" t="n">
        <v>0</v>
      </c>
      <c r="M14" s="73" t="n">
        <v>0</v>
      </c>
      <c r="N14" s="74" t="n">
        <f aca="false">SUMIF($B$4:$M$4,$N$4, B14:M14)</f>
        <v>0</v>
      </c>
      <c r="O14" s="74" t="n">
        <f aca="false">SUMIF($B$4:$M$4,$O$4, B14:M14)</f>
        <v>0</v>
      </c>
      <c r="P14" s="75" t="n">
        <f aca="false">SUM(N14:O14)</f>
        <v>0</v>
      </c>
    </row>
    <row r="15" customFormat="false" ht="15" hidden="false" customHeight="true" outlineLevel="0" collapsed="false">
      <c r="A15" s="72" t="s">
        <v>90</v>
      </c>
      <c r="B15" s="73" t="n">
        <v>0</v>
      </c>
      <c r="C15" s="73" t="n">
        <v>0</v>
      </c>
      <c r="D15" s="73" t="n">
        <v>0</v>
      </c>
      <c r="E15" s="73" t="n">
        <v>0</v>
      </c>
      <c r="F15" s="73" t="n">
        <v>0</v>
      </c>
      <c r="G15" s="73" t="n">
        <v>0</v>
      </c>
      <c r="H15" s="73" t="n">
        <v>0</v>
      </c>
      <c r="I15" s="73" t="n">
        <v>0</v>
      </c>
      <c r="J15" s="73" t="n">
        <v>0</v>
      </c>
      <c r="K15" s="73" t="n">
        <v>0</v>
      </c>
      <c r="L15" s="73" t="n">
        <v>0</v>
      </c>
      <c r="M15" s="73" t="n">
        <v>0</v>
      </c>
      <c r="N15" s="74" t="n">
        <f aca="false">SUMIF($B$4:$M$4,$N$4, B15:M15)</f>
        <v>0</v>
      </c>
      <c r="O15" s="74" t="n">
        <f aca="false">SUMIF($B$4:$M$4,$O$4, B15:M15)</f>
        <v>0</v>
      </c>
      <c r="P15" s="75" t="n">
        <f aca="false">SUM(N15:O15)</f>
        <v>0</v>
      </c>
    </row>
    <row r="16" customFormat="false" ht="15" hidden="false" customHeight="true" outlineLevel="0" collapsed="false">
      <c r="A16" s="72" t="s">
        <v>91</v>
      </c>
      <c r="B16" s="73" t="n">
        <f aca="false">Software!V247</f>
        <v>11172</v>
      </c>
      <c r="C16" s="73" t="n">
        <f aca="false">Software!W247</f>
        <v>10930</v>
      </c>
      <c r="D16" s="73" t="n">
        <f aca="false">Software!X247</f>
        <v>9630</v>
      </c>
      <c r="E16" s="73" t="n">
        <f aca="false">Software!Y247</f>
        <v>4368</v>
      </c>
      <c r="F16" s="73" t="n">
        <f aca="false">Software!Z247</f>
        <v>6940</v>
      </c>
      <c r="G16" s="73" t="n">
        <f aca="false">Software!AA247</f>
        <v>0</v>
      </c>
      <c r="H16" s="73" t="n">
        <f aca="false">Software!AB247</f>
        <v>0</v>
      </c>
      <c r="I16" s="73" t="n">
        <f aca="false">Software!AC247</f>
        <v>0</v>
      </c>
      <c r="J16" s="73" t="n">
        <f aca="false">Software!AD247</f>
        <v>0</v>
      </c>
      <c r="K16" s="73" t="n">
        <f aca="false">Software!AE247</f>
        <v>0</v>
      </c>
      <c r="L16" s="73" t="n">
        <f aca="false">Software!AF247</f>
        <v>0</v>
      </c>
      <c r="M16" s="73" t="n">
        <f aca="false">Software!AG247</f>
        <v>0</v>
      </c>
      <c r="N16" s="74" t="n">
        <f aca="false">SUMIF($B$4:$M$4,$N$4, B16:M16)</f>
        <v>38672</v>
      </c>
      <c r="O16" s="74" t="n">
        <f aca="false">SUMIF($B$4:$M$4,$O$4, B16:M16)</f>
        <v>4368</v>
      </c>
      <c r="P16" s="75" t="n">
        <f aca="false">SUM(N16:O16)</f>
        <v>43040</v>
      </c>
    </row>
    <row r="17" customFormat="false" ht="15" hidden="false" customHeight="true" outlineLevel="0" collapsed="false">
      <c r="A17" s="72" t="s">
        <v>92</v>
      </c>
      <c r="B17" s="73" t="n">
        <f aca="false">'Materials and Consumables'!V215+Subcontractors!AS210</f>
        <v>9499</v>
      </c>
      <c r="C17" s="73" t="n">
        <f aca="false">'Materials and Consumables'!W215+Subcontractors!AT210</f>
        <v>19671.5</v>
      </c>
      <c r="D17" s="73" t="n">
        <f aca="false">'Materials and Consumables'!X215+Subcontractors!AU210</f>
        <v>4513.5</v>
      </c>
      <c r="E17" s="73" t="n">
        <f aca="false">'Materials and Consumables'!Y215+Subcontractors!AV210</f>
        <v>22356</v>
      </c>
      <c r="F17" s="73" t="n">
        <f aca="false">'Materials and Consumables'!Z215+Subcontractors!AW210</f>
        <v>7470</v>
      </c>
      <c r="G17" s="73" t="n">
        <f aca="false">'Materials and Consumables'!AA215+Subcontractors!AX210</f>
        <v>0</v>
      </c>
      <c r="H17" s="73" t="n">
        <f aca="false">'Materials and Consumables'!AB215+Subcontractors!AY210</f>
        <v>0</v>
      </c>
      <c r="I17" s="73" t="n">
        <f aca="false">'Materials and Consumables'!AC215+Subcontractors!AZ210</f>
        <v>0</v>
      </c>
      <c r="J17" s="73" t="n">
        <f aca="false">'Materials and Consumables'!AD215+Subcontractors!BA210</f>
        <v>0</v>
      </c>
      <c r="K17" s="73" t="n">
        <f aca="false">'Materials and Consumables'!AE215+Subcontractors!BB210</f>
        <v>0</v>
      </c>
      <c r="L17" s="73" t="n">
        <f aca="false">'Materials and Consumables'!AF215+Subcontractors!BC210</f>
        <v>0</v>
      </c>
      <c r="M17" s="73" t="n">
        <f aca="false">'Materials and Consumables'!AG215+Subcontractors!BD210</f>
        <v>0</v>
      </c>
      <c r="N17" s="74" t="n">
        <f aca="false">SUMIF($B$4:$M$4,$N$4, B17:M17)</f>
        <v>41154</v>
      </c>
      <c r="O17" s="74" t="n">
        <f aca="false">SUMIF($B$4:$M$4,$O$4, B17:M17)</f>
        <v>22356</v>
      </c>
      <c r="P17" s="75" t="n">
        <f aca="false">SUM(N17:O17)</f>
        <v>63510</v>
      </c>
    </row>
    <row r="18" customFormat="false" ht="15" hidden="false" customHeight="true" outlineLevel="0" collapsed="false">
      <c r="A18" s="72" t="s">
        <v>93</v>
      </c>
      <c r="B18" s="73" t="n">
        <f aca="false">IF(B$4="SME", Subcontractors!AB$210*0.65, Subcontractors!AB$210)</f>
        <v>9404.2</v>
      </c>
      <c r="C18" s="73" t="n">
        <f aca="false">IF(C$4="SME", Subcontractors!AC$210*0.65, Subcontractors!AC$210)</f>
        <v>12166.7</v>
      </c>
      <c r="D18" s="73" t="n">
        <f aca="false">IF(D$4="SME", Subcontractors!AD$210*0.65, Subcontractors!AD$210)</f>
        <v>6825</v>
      </c>
      <c r="E18" s="73" t="n">
        <f aca="false">IF(E$4="SME", Subcontractors!AE$210*0.65, Subcontractors!AE$210)</f>
        <v>1680</v>
      </c>
      <c r="F18" s="73" t="n">
        <f aca="false">IF(F$4="SME", Subcontractors!AF$210*0.65, Subcontractors!AF$210)</f>
        <v>15977</v>
      </c>
      <c r="G18" s="73" t="n">
        <f aca="false">IF(G$4="SME", Subcontractors!AG$210*0.65, Subcontractors!AG$210)</f>
        <v>0</v>
      </c>
      <c r="H18" s="73" t="n">
        <f aca="false">IF(H$4="SME", Subcontractors!AH$210*0.65, Subcontractors!AH$210)</f>
        <v>0</v>
      </c>
      <c r="I18" s="73" t="n">
        <f aca="false">IF(I$4="SME", Subcontractors!AI$210*0.65, Subcontractors!AI$210)</f>
        <v>0</v>
      </c>
      <c r="J18" s="73" t="n">
        <f aca="false">IF(J$4="SME", Subcontractors!AJ$210*0.65, Subcontractors!AJ$210)</f>
        <v>0</v>
      </c>
      <c r="K18" s="73" t="n">
        <f aca="false">IF(K$4="SME", Subcontractors!AK$210*0.65, Subcontractors!AK$210)</f>
        <v>0</v>
      </c>
      <c r="L18" s="73" t="n">
        <f aca="false">IF(L$4="SME", Subcontractors!AL$210*0.65, Subcontractors!AL$210)</f>
        <v>0</v>
      </c>
      <c r="M18" s="73" t="n">
        <f aca="false">IF(M$4="SME", Subcontractors!AM$210*0.65, Subcontractors!AM$210)</f>
        <v>0</v>
      </c>
      <c r="N18" s="74" t="n">
        <f aca="false">SUMIF($B$4:$M$4,$N$4, B18:M18)</f>
        <v>44372.9</v>
      </c>
      <c r="O18" s="74" t="n">
        <f aca="false">SUMIF($B$4:$M$4,$O$4, B18:M18)</f>
        <v>1680</v>
      </c>
      <c r="P18" s="75" t="n">
        <f aca="false">SUM(N18:O18)</f>
        <v>46052.9</v>
      </c>
    </row>
    <row r="19" customFormat="false" ht="15" hidden="false" customHeight="true" outlineLevel="0" collapsed="false">
      <c r="A19" s="72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8"/>
      <c r="O19" s="68"/>
      <c r="P19" s="69"/>
    </row>
    <row r="20" customFormat="false" ht="15" hidden="false" customHeight="true" outlineLevel="0" collapsed="false">
      <c r="A20" s="79" t="s">
        <v>94</v>
      </c>
      <c r="B20" s="80" t="n">
        <f aca="false">SUM(B12:B19)</f>
        <v>244960.5655</v>
      </c>
      <c r="C20" s="80" t="n">
        <f aca="false">SUM(C12:C19)</f>
        <v>229601.1935</v>
      </c>
      <c r="D20" s="80" t="n">
        <f aca="false">SUM(D12:D19)</f>
        <v>148463.6565</v>
      </c>
      <c r="E20" s="80" t="n">
        <f aca="false">SUM(E12:E19)</f>
        <v>158961.258</v>
      </c>
      <c r="F20" s="80" t="n">
        <f aca="false">SUM(F12:F19)</f>
        <v>133157.9665</v>
      </c>
      <c r="G20" s="80" t="n">
        <f aca="false">SUM(G12:G19)</f>
        <v>0</v>
      </c>
      <c r="H20" s="80" t="n">
        <f aca="false">SUM(H12:H19)</f>
        <v>0</v>
      </c>
      <c r="I20" s="80" t="n">
        <f aca="false">SUM(I12:I19)</f>
        <v>0</v>
      </c>
      <c r="J20" s="80" t="n">
        <f aca="false">SUM(J12:J19)</f>
        <v>0</v>
      </c>
      <c r="K20" s="80" t="n">
        <f aca="false">SUM(K12:K19)</f>
        <v>0</v>
      </c>
      <c r="L20" s="80" t="n">
        <f aca="false">SUM(L12:L19)</f>
        <v>0</v>
      </c>
      <c r="M20" s="80" t="n">
        <f aca="false">SUM(M12:M19)</f>
        <v>0</v>
      </c>
      <c r="N20" s="81" t="n">
        <f aca="false">SUM(N12:N19)</f>
        <v>756183.382</v>
      </c>
      <c r="O20" s="81" t="n">
        <f aca="false">SUM(O12:O19)</f>
        <v>158961.258</v>
      </c>
      <c r="P20" s="82" t="n">
        <f aca="false">SUM(P12:P19)</f>
        <v>915144.64</v>
      </c>
    </row>
    <row r="21" customFormat="false" ht="15" hidden="false" customHeight="true" outlineLevel="0" collapsed="false">
      <c r="A21" s="83" t="s">
        <v>95</v>
      </c>
      <c r="B21" s="84" t="n">
        <f aca="false">IFERROR(IF(B4="SME",B20/$N$20,B20/$O$20),0)</f>
        <v>0.323943333496847</v>
      </c>
      <c r="C21" s="84" t="n">
        <f aca="false">IFERROR(IF(C4="SME",C20/$N$20,C20/$O$20),0)</f>
        <v>0.30363163085221</v>
      </c>
      <c r="D21" s="84" t="n">
        <f aca="false">IFERROR(IF(D4="SME",D20/$N$20,D20/$O$20),0)</f>
        <v>0.196332873789601</v>
      </c>
      <c r="E21" s="84" t="n">
        <f aca="false">IFERROR(IF(E4="SME",E20/$N$20,E20/$O$20),0)</f>
        <v>1</v>
      </c>
      <c r="F21" s="84" t="n">
        <f aca="false">IFERROR(IF(F4="SME",F20/$N$20,F20/$O$20),0)</f>
        <v>0.176092161861341</v>
      </c>
      <c r="G21" s="84" t="n">
        <f aca="false">IFERROR(IF(G4="SME",G20/$N$20,G20/$O$20),0)</f>
        <v>0</v>
      </c>
      <c r="H21" s="84" t="n">
        <f aca="false">IFERROR(IF(H4="SME",H20/$N$20,H20/$O$20),0)</f>
        <v>0</v>
      </c>
      <c r="I21" s="84" t="n">
        <f aca="false">IFERROR(IF(I4="SME",I20/$N$20,I20/$O$20),0)</f>
        <v>0</v>
      </c>
      <c r="J21" s="84" t="n">
        <f aca="false">IFERROR(IF(J4="SME",J20/$N$20,J20/$O$20),0)</f>
        <v>0</v>
      </c>
      <c r="K21" s="84" t="n">
        <f aca="false">IFERROR(IF(K4="SME",K20/$N$20,K20/$O$20),0)</f>
        <v>0</v>
      </c>
      <c r="L21" s="84" t="n">
        <f aca="false">IFERROR(IF(L4="SME",L20/$N$20,L20/$O$20),0)</f>
        <v>0</v>
      </c>
      <c r="M21" s="84" t="n">
        <f aca="false">IFERROR(IF(M4="SME",M20/$N$20,M20/$O$20),0)</f>
        <v>0</v>
      </c>
      <c r="N21" s="85" t="n">
        <v>1</v>
      </c>
      <c r="O21" s="85" t="n">
        <v>1</v>
      </c>
      <c r="P21" s="86" t="s">
        <v>96</v>
      </c>
    </row>
    <row r="22" customFormat="false" ht="15" hidden="false" customHeight="true" outlineLevel="0" collapsed="false">
      <c r="A22" s="87" t="s">
        <v>97</v>
      </c>
      <c r="B22" s="88" t="n">
        <f aca="false">IFERROR(B20/$P$20, 0)</f>
        <v>0.267674152033497</v>
      </c>
      <c r="C22" s="88" t="n">
        <f aca="false">IFERROR(C20/$P$20, 0)</f>
        <v>0.25089060621062</v>
      </c>
      <c r="D22" s="88" t="n">
        <f aca="false">IFERROR(D20/$P$20, 0)</f>
        <v>0.162229717588686</v>
      </c>
      <c r="E22" s="88" t="n">
        <f aca="false">IFERROR(E20/$P$20, 0)</f>
        <v>0.173700692821629</v>
      </c>
      <c r="F22" s="88" t="n">
        <f aca="false">IFERROR(F20/$P$20, 0)</f>
        <v>0.145504831345567</v>
      </c>
      <c r="G22" s="88" t="n">
        <f aca="false">IFERROR(G20/$P$20, 0)</f>
        <v>0</v>
      </c>
      <c r="H22" s="88" t="n">
        <f aca="false">IFERROR(H20/$P$20, 0)</f>
        <v>0</v>
      </c>
      <c r="I22" s="88" t="n">
        <f aca="false">IFERROR(I20/$P$20, 0)</f>
        <v>0</v>
      </c>
      <c r="J22" s="88" t="n">
        <f aca="false">IFERROR(J20/$P$20, 0)</f>
        <v>0</v>
      </c>
      <c r="K22" s="88" t="n">
        <f aca="false">IFERROR(K20/$P$20, 0)</f>
        <v>0</v>
      </c>
      <c r="L22" s="88" t="n">
        <f aca="false">IFERROR(L20/$P$20, 0)</f>
        <v>0</v>
      </c>
      <c r="M22" s="88" t="n">
        <f aca="false">IFERROR(M20/$P$20, 0)</f>
        <v>0</v>
      </c>
      <c r="N22" s="89" t="n">
        <f aca="false">IFERROR(N20/$P$20, 0)</f>
        <v>0.826299307178371</v>
      </c>
      <c r="O22" s="89" t="n">
        <f aca="false">IFERROR(O20/$P$20, 0)</f>
        <v>0.173700692821629</v>
      </c>
      <c r="P22" s="90" t="n">
        <f aca="false">IFERROR(P20/$P$20, 0)</f>
        <v>1</v>
      </c>
    </row>
    <row r="23" customFormat="false" ht="15" hidden="false" customHeight="true" outlineLevel="0" collapsed="false">
      <c r="A23" s="91"/>
      <c r="B23" s="91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</row>
    <row r="24" customFormat="false" ht="15" hidden="false" customHeight="true" outlineLevel="0" collapsed="false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4"/>
      <c r="O24" s="94"/>
      <c r="P24" s="95"/>
    </row>
    <row r="25" customFormat="false" ht="15" hidden="false" customHeight="true" outlineLevel="0" collapsed="false">
      <c r="A25" s="70" t="s">
        <v>98</v>
      </c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68"/>
      <c r="O25" s="68"/>
      <c r="P25" s="69"/>
    </row>
    <row r="26" customFormat="false" ht="15" hidden="false" customHeight="true" outlineLevel="0" collapsed="false">
      <c r="A26" s="72" t="s">
        <v>99</v>
      </c>
      <c r="B26" s="73" t="n">
        <f aca="false">Staff!AB921</f>
        <v>178267.7794</v>
      </c>
      <c r="C26" s="73" t="n">
        <f aca="false">Staff!AC921</f>
        <v>154465.807</v>
      </c>
      <c r="D26" s="73" t="n">
        <f aca="false">Staff!AD921</f>
        <v>102822.8919</v>
      </c>
      <c r="E26" s="73" t="n">
        <f aca="false">Staff!AE921</f>
        <v>108517.9665</v>
      </c>
      <c r="F26" s="73" t="n">
        <f aca="false">Staff!AF921</f>
        <v>84332.8492</v>
      </c>
      <c r="G26" s="73" t="n">
        <f aca="false">Staff!AG921</f>
        <v>0</v>
      </c>
      <c r="H26" s="73" t="n">
        <f aca="false">Staff!AH921</f>
        <v>0</v>
      </c>
      <c r="I26" s="73" t="n">
        <f aca="false">Staff!AI921</f>
        <v>0</v>
      </c>
      <c r="J26" s="73" t="n">
        <f aca="false">Staff!AJ921</f>
        <v>0</v>
      </c>
      <c r="K26" s="73" t="n">
        <f aca="false">Staff!AK921</f>
        <v>0</v>
      </c>
      <c r="L26" s="73" t="n">
        <f aca="false">Staff!AL921</f>
        <v>0</v>
      </c>
      <c r="M26" s="73" t="n">
        <f aca="false">Staff!AM921</f>
        <v>0</v>
      </c>
      <c r="N26" s="74" t="n">
        <f aca="false">SUMIF($B$4:$M$4,$N$4, B26:M26)</f>
        <v>519889.3275</v>
      </c>
      <c r="O26" s="74" t="n">
        <f aca="false">SUMIF($B$4:$M$4,$O$4, B26:M26)</f>
        <v>108517.9665</v>
      </c>
      <c r="P26" s="75" t="n">
        <f aca="false">SUM(N26:O26)</f>
        <v>628407.294</v>
      </c>
    </row>
    <row r="27" customFormat="false" ht="15" hidden="false" customHeight="true" outlineLevel="0" collapsed="false">
      <c r="A27" s="72" t="s">
        <v>85</v>
      </c>
      <c r="B27" s="73" t="n">
        <f aca="false">+B8</f>
        <v>0</v>
      </c>
      <c r="C27" s="73" t="n">
        <f aca="false">+C8</f>
        <v>0</v>
      </c>
      <c r="D27" s="73" t="n">
        <f aca="false">+D8</f>
        <v>0</v>
      </c>
      <c r="E27" s="73" t="n">
        <f aca="false">+E8</f>
        <v>0</v>
      </c>
      <c r="F27" s="73" t="n">
        <f aca="false">+F8</f>
        <v>0</v>
      </c>
      <c r="G27" s="73" t="n">
        <f aca="false">+G8</f>
        <v>0</v>
      </c>
      <c r="H27" s="73" t="n">
        <f aca="false">+H8</f>
        <v>0</v>
      </c>
      <c r="I27" s="73" t="n">
        <f aca="false">+I8</f>
        <v>0</v>
      </c>
      <c r="J27" s="73" t="n">
        <f aca="false">+J8</f>
        <v>0</v>
      </c>
      <c r="K27" s="73" t="n">
        <f aca="false">+K8</f>
        <v>0</v>
      </c>
      <c r="L27" s="73" t="n">
        <f aca="false">+L8</f>
        <v>0</v>
      </c>
      <c r="M27" s="73" t="n">
        <f aca="false">+M8</f>
        <v>0</v>
      </c>
      <c r="N27" s="74" t="n">
        <f aca="false">SUMIF($B$4:$M$4,$N$4, B27:M27)</f>
        <v>0</v>
      </c>
      <c r="O27" s="74" t="n">
        <f aca="false">SUMIF($B$4:$M$4,$O$4, B27:M27)</f>
        <v>0</v>
      </c>
      <c r="P27" s="75" t="n">
        <f aca="false">SUM(N27:O27)</f>
        <v>0</v>
      </c>
    </row>
    <row r="28" customFormat="false" ht="15" hidden="false" customHeight="true" outlineLevel="0" collapsed="false">
      <c r="A28" s="72" t="s">
        <v>86</v>
      </c>
      <c r="B28" s="73" t="n">
        <f aca="false">+B9</f>
        <v>4348.5</v>
      </c>
      <c r="C28" s="73" t="n">
        <f aca="false">+C9</f>
        <v>1131</v>
      </c>
      <c r="D28" s="73" t="n">
        <f aca="false">+D9</f>
        <v>2281.5</v>
      </c>
      <c r="E28" s="73" t="n">
        <f aca="false">+E9</f>
        <v>1300</v>
      </c>
      <c r="F28" s="73" t="n">
        <f aca="false">+F9</f>
        <v>1404</v>
      </c>
      <c r="G28" s="73" t="n">
        <f aca="false">+G9</f>
        <v>0</v>
      </c>
      <c r="H28" s="73" t="n">
        <f aca="false">+H9</f>
        <v>0</v>
      </c>
      <c r="I28" s="73" t="n">
        <f aca="false">+I9</f>
        <v>0</v>
      </c>
      <c r="J28" s="73" t="n">
        <f aca="false">+J9</f>
        <v>0</v>
      </c>
      <c r="K28" s="73" t="n">
        <f aca="false">+K9</f>
        <v>0</v>
      </c>
      <c r="L28" s="73" t="n">
        <f aca="false">+L9</f>
        <v>0</v>
      </c>
      <c r="M28" s="73" t="n">
        <f aca="false">+M9</f>
        <v>0</v>
      </c>
      <c r="N28" s="74" t="n">
        <f aca="false">SUMIF($B$4:$M$4,$N$4, B28:M28)</f>
        <v>9165</v>
      </c>
      <c r="O28" s="74" t="n">
        <f aca="false">SUMIF($B$4:$M$4,$O$4, B28:M28)</f>
        <v>1300</v>
      </c>
      <c r="P28" s="75" t="n">
        <f aca="false">SUM(N28:O28)</f>
        <v>10465</v>
      </c>
    </row>
    <row r="29" customFormat="false" ht="15" hidden="false" customHeight="true" outlineLevel="0" collapsed="false">
      <c r="A29" s="72" t="s">
        <v>87</v>
      </c>
      <c r="B29" s="73" t="n">
        <f aca="false">+B10</f>
        <v>2135</v>
      </c>
      <c r="C29" s="73" t="n">
        <f aca="false">+C10</f>
        <v>2210</v>
      </c>
      <c r="D29" s="73" t="n">
        <f aca="false">+D10</f>
        <v>2355</v>
      </c>
      <c r="E29" s="73" t="n">
        <f aca="false">+E10</f>
        <v>800</v>
      </c>
      <c r="F29" s="73" t="n">
        <f aca="false">+F10</f>
        <v>1950</v>
      </c>
      <c r="G29" s="73" t="n">
        <f aca="false">+G10</f>
        <v>0</v>
      </c>
      <c r="H29" s="73" t="n">
        <f aca="false">+H10</f>
        <v>0</v>
      </c>
      <c r="I29" s="73" t="n">
        <f aca="false">+I10</f>
        <v>0</v>
      </c>
      <c r="J29" s="73" t="n">
        <f aca="false">+J10</f>
        <v>0</v>
      </c>
      <c r="K29" s="73" t="n">
        <f aca="false">+K10</f>
        <v>0</v>
      </c>
      <c r="L29" s="73" t="n">
        <f aca="false">+L10</f>
        <v>0</v>
      </c>
      <c r="M29" s="73" t="n">
        <f aca="false">+M10</f>
        <v>0</v>
      </c>
      <c r="N29" s="74" t="n">
        <f aca="false">SUMIF($B$4:$M$4,$N$4, B29:M29)</f>
        <v>8650</v>
      </c>
      <c r="O29" s="74" t="n">
        <f aca="false">SUMIF($B$4:$M$4,$O$4, B29:M29)</f>
        <v>800</v>
      </c>
      <c r="P29" s="75" t="n">
        <f aca="false">SUM(N29:O29)</f>
        <v>9450</v>
      </c>
    </row>
    <row r="30" customFormat="false" ht="15" hidden="false" customHeight="true" outlineLevel="0" collapsed="false">
      <c r="A30" s="72" t="s">
        <v>88</v>
      </c>
      <c r="B30" s="76" t="n">
        <f aca="false">+B11</f>
        <v>760.5</v>
      </c>
      <c r="C30" s="76" t="n">
        <f aca="false">+C11</f>
        <v>546.5</v>
      </c>
      <c r="D30" s="76" t="n">
        <f aca="false">+D11</f>
        <v>686.5</v>
      </c>
      <c r="E30" s="76" t="n">
        <f aca="false">+E11</f>
        <v>353</v>
      </c>
      <c r="F30" s="76" t="n">
        <f aca="false">+F11</f>
        <v>628.5</v>
      </c>
      <c r="G30" s="76" t="n">
        <f aca="false">+G11</f>
        <v>0</v>
      </c>
      <c r="H30" s="76" t="n">
        <f aca="false">+H11</f>
        <v>0</v>
      </c>
      <c r="I30" s="76" t="n">
        <f aca="false">+I11</f>
        <v>0</v>
      </c>
      <c r="J30" s="76" t="n">
        <f aca="false">+J11</f>
        <v>0</v>
      </c>
      <c r="K30" s="76" t="n">
        <f aca="false">+K11</f>
        <v>0</v>
      </c>
      <c r="L30" s="76" t="n">
        <f aca="false">+L11</f>
        <v>0</v>
      </c>
      <c r="M30" s="76" t="n">
        <f aca="false">+M11</f>
        <v>0</v>
      </c>
      <c r="N30" s="77" t="n">
        <f aca="false">SUMIF($B$4:$M$4,$N$4, B30:M30)</f>
        <v>2622</v>
      </c>
      <c r="O30" s="77" t="n">
        <f aca="false">SUMIF($B$4:$M$4,$O$4, B30:M30)</f>
        <v>353</v>
      </c>
      <c r="P30" s="78" t="n">
        <f aca="false">SUM(N30:O30)</f>
        <v>2975</v>
      </c>
    </row>
    <row r="31" customFormat="false" ht="15" hidden="false" customHeight="true" outlineLevel="0" collapsed="false">
      <c r="A31" s="72"/>
      <c r="B31" s="73"/>
      <c r="C31" s="73" t="n">
        <f aca="false">SUM(C26:C30)</f>
        <v>158353.307</v>
      </c>
      <c r="D31" s="73" t="n">
        <f aca="false">SUM(D26:D30)</f>
        <v>108145.8919</v>
      </c>
      <c r="E31" s="73" t="n">
        <f aca="false">SUM(E26:E30)</f>
        <v>110970.9665</v>
      </c>
      <c r="F31" s="73" t="n">
        <f aca="false">SUM(F26:F30)</f>
        <v>88315.3492</v>
      </c>
      <c r="G31" s="73" t="n">
        <f aca="false">SUM(G26:G30)</f>
        <v>0</v>
      </c>
      <c r="H31" s="73" t="n">
        <f aca="false">SUM(H26:H30)</f>
        <v>0</v>
      </c>
      <c r="I31" s="73" t="n">
        <f aca="false">SUM(I26:I30)</f>
        <v>0</v>
      </c>
      <c r="J31" s="73" t="n">
        <f aca="false">SUM(J26:J30)</f>
        <v>0</v>
      </c>
      <c r="K31" s="73" t="n">
        <f aca="false">SUM(K26:K30)</f>
        <v>0</v>
      </c>
      <c r="L31" s="73" t="n">
        <f aca="false">SUM(L26:L30)</f>
        <v>0</v>
      </c>
      <c r="M31" s="73" t="n">
        <f aca="false">SUM(M26:M30)</f>
        <v>0</v>
      </c>
      <c r="N31" s="74" t="n">
        <f aca="false">SUM(N26:N30)</f>
        <v>540326.3275</v>
      </c>
      <c r="O31" s="74" t="n">
        <f aca="false">SUM(O26:O30)</f>
        <v>110970.9665</v>
      </c>
      <c r="P31" s="75" t="n">
        <f aca="false">SUM(P26:P30)</f>
        <v>651297.294</v>
      </c>
    </row>
    <row r="32" customFormat="false" ht="15" hidden="false" customHeight="true" outlineLevel="0" collapsed="false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4"/>
      <c r="O32" s="74"/>
      <c r="P32" s="75"/>
    </row>
    <row r="33" customFormat="false" ht="15" hidden="false" customHeight="true" outlineLevel="0" collapsed="false">
      <c r="A33" s="72" t="s">
        <v>89</v>
      </c>
      <c r="B33" s="73" t="n">
        <f aca="false">+B14</f>
        <v>0</v>
      </c>
      <c r="C33" s="73" t="n">
        <f aca="false">+C14</f>
        <v>0</v>
      </c>
      <c r="D33" s="73" t="n">
        <f aca="false">+D14</f>
        <v>0</v>
      </c>
      <c r="E33" s="73" t="n">
        <f aca="false">+E14</f>
        <v>0</v>
      </c>
      <c r="F33" s="73" t="n">
        <f aca="false">+F14</f>
        <v>0</v>
      </c>
      <c r="G33" s="73" t="n">
        <f aca="false">+G14</f>
        <v>0</v>
      </c>
      <c r="H33" s="73" t="n">
        <f aca="false">+H14</f>
        <v>0</v>
      </c>
      <c r="I33" s="73" t="n">
        <f aca="false">+I14</f>
        <v>0</v>
      </c>
      <c r="J33" s="73" t="n">
        <f aca="false">+J14</f>
        <v>0</v>
      </c>
      <c r="K33" s="73" t="n">
        <f aca="false">+K14</f>
        <v>0</v>
      </c>
      <c r="L33" s="73" t="n">
        <f aca="false">+L14</f>
        <v>0</v>
      </c>
      <c r="M33" s="73" t="n">
        <f aca="false">+M14</f>
        <v>0</v>
      </c>
      <c r="N33" s="74" t="n">
        <f aca="false">SUMIF($B$4:$M$4,$N$4, B33:M33)</f>
        <v>0</v>
      </c>
      <c r="O33" s="74" t="n">
        <f aca="false">SUMIF($B$4:$M$4,$O$4, B33:M33)</f>
        <v>0</v>
      </c>
      <c r="P33" s="75" t="n">
        <f aca="false">SUM(N33:O33)</f>
        <v>0</v>
      </c>
    </row>
    <row r="34" customFormat="false" ht="15" hidden="false" customHeight="true" outlineLevel="0" collapsed="false">
      <c r="A34" s="72" t="s">
        <v>90</v>
      </c>
      <c r="B34" s="73" t="n">
        <f aca="false">+B15</f>
        <v>0</v>
      </c>
      <c r="C34" s="73" t="n">
        <f aca="false">+C15</f>
        <v>0</v>
      </c>
      <c r="D34" s="73" t="n">
        <f aca="false">+D15</f>
        <v>0</v>
      </c>
      <c r="E34" s="73" t="n">
        <f aca="false">+E15</f>
        <v>0</v>
      </c>
      <c r="F34" s="73" t="n">
        <f aca="false">+F15</f>
        <v>0</v>
      </c>
      <c r="G34" s="73" t="n">
        <f aca="false">+G15</f>
        <v>0</v>
      </c>
      <c r="H34" s="73" t="n">
        <f aca="false">+H15</f>
        <v>0</v>
      </c>
      <c r="I34" s="73" t="n">
        <f aca="false">+I15</f>
        <v>0</v>
      </c>
      <c r="J34" s="73" t="n">
        <f aca="false">+J15</f>
        <v>0</v>
      </c>
      <c r="K34" s="73" t="n">
        <f aca="false">+K15</f>
        <v>0</v>
      </c>
      <c r="L34" s="73" t="n">
        <f aca="false">+L15</f>
        <v>0</v>
      </c>
      <c r="M34" s="73" t="n">
        <f aca="false">+M15</f>
        <v>0</v>
      </c>
      <c r="N34" s="74" t="n">
        <f aca="false">SUMIF($B$4:$M$4,$N$4, B34:M34)</f>
        <v>0</v>
      </c>
      <c r="O34" s="74" t="n">
        <f aca="false">SUMIF($B$4:$M$4,$O$4, B34:M34)</f>
        <v>0</v>
      </c>
      <c r="P34" s="75" t="n">
        <f aca="false">SUM(N34:O34)</f>
        <v>0</v>
      </c>
    </row>
    <row r="35" customFormat="false" ht="15" hidden="false" customHeight="true" outlineLevel="0" collapsed="false">
      <c r="A35" s="72" t="s">
        <v>91</v>
      </c>
      <c r="B35" s="73" t="n">
        <f aca="false">+B16</f>
        <v>11172</v>
      </c>
      <c r="C35" s="73" t="n">
        <f aca="false">+C16</f>
        <v>10930</v>
      </c>
      <c r="D35" s="73" t="n">
        <f aca="false">+D16</f>
        <v>9630</v>
      </c>
      <c r="E35" s="73" t="n">
        <f aca="false">+E16</f>
        <v>4368</v>
      </c>
      <c r="F35" s="73" t="n">
        <f aca="false">+F16</f>
        <v>6940</v>
      </c>
      <c r="G35" s="73" t="n">
        <f aca="false">+G16</f>
        <v>0</v>
      </c>
      <c r="H35" s="73" t="n">
        <f aca="false">+H16</f>
        <v>0</v>
      </c>
      <c r="I35" s="73" t="n">
        <f aca="false">+I16</f>
        <v>0</v>
      </c>
      <c r="J35" s="73" t="n">
        <f aca="false">+J16</f>
        <v>0</v>
      </c>
      <c r="K35" s="73" t="n">
        <f aca="false">+K16</f>
        <v>0</v>
      </c>
      <c r="L35" s="73" t="n">
        <f aca="false">+L16</f>
        <v>0</v>
      </c>
      <c r="M35" s="73" t="n">
        <f aca="false">+M16</f>
        <v>0</v>
      </c>
      <c r="N35" s="74" t="n">
        <f aca="false">SUMIF($B$4:$M$4,$N$4, B35:M35)</f>
        <v>38672</v>
      </c>
      <c r="O35" s="74" t="n">
        <f aca="false">SUMIF($B$4:$M$4,$O$4, B35:M35)</f>
        <v>4368</v>
      </c>
      <c r="P35" s="75" t="n">
        <f aca="false">SUM(N35:O35)</f>
        <v>43040</v>
      </c>
    </row>
    <row r="36" customFormat="false" ht="15" hidden="false" customHeight="true" outlineLevel="0" collapsed="false">
      <c r="A36" s="72" t="s">
        <v>92</v>
      </c>
      <c r="B36" s="73" t="n">
        <f aca="false">+B17</f>
        <v>9499</v>
      </c>
      <c r="C36" s="73" t="n">
        <f aca="false">+C17</f>
        <v>19671.5</v>
      </c>
      <c r="D36" s="73" t="n">
        <f aca="false">+D17</f>
        <v>4513.5</v>
      </c>
      <c r="E36" s="73" t="n">
        <f aca="false">+E17</f>
        <v>22356</v>
      </c>
      <c r="F36" s="73" t="n">
        <f aca="false">+F17</f>
        <v>7470</v>
      </c>
      <c r="G36" s="73" t="n">
        <f aca="false">+G17</f>
        <v>0</v>
      </c>
      <c r="H36" s="73" t="n">
        <f aca="false">+H17</f>
        <v>0</v>
      </c>
      <c r="I36" s="73" t="n">
        <f aca="false">+I17</f>
        <v>0</v>
      </c>
      <c r="J36" s="73" t="n">
        <f aca="false">+J17</f>
        <v>0</v>
      </c>
      <c r="K36" s="73" t="n">
        <f aca="false">+K17</f>
        <v>0</v>
      </c>
      <c r="L36" s="73" t="n">
        <f aca="false">+L17</f>
        <v>0</v>
      </c>
      <c r="M36" s="73" t="n">
        <f aca="false">+M17</f>
        <v>0</v>
      </c>
      <c r="N36" s="74" t="n">
        <f aca="false">SUMIF($B$4:$M$4,$N$4, B36:M36)</f>
        <v>41154</v>
      </c>
      <c r="O36" s="74" t="n">
        <f aca="false">SUMIF($B$4:$M$4,$O$4, B36:M36)</f>
        <v>22356</v>
      </c>
      <c r="P36" s="75" t="n">
        <f aca="false">SUM(N36:O36)</f>
        <v>63510</v>
      </c>
    </row>
    <row r="37" customFormat="false" ht="15" hidden="false" customHeight="true" outlineLevel="0" collapsed="false">
      <c r="A37" s="72" t="s">
        <v>93</v>
      </c>
      <c r="B37" s="73" t="n">
        <f aca="false">+B18</f>
        <v>9404.2</v>
      </c>
      <c r="C37" s="73" t="n">
        <f aca="false">+C18</f>
        <v>12166.7</v>
      </c>
      <c r="D37" s="73" t="n">
        <f aca="false">+D18</f>
        <v>6825</v>
      </c>
      <c r="E37" s="73" t="n">
        <f aca="false">+E18</f>
        <v>1680</v>
      </c>
      <c r="F37" s="73" t="n">
        <f aca="false">+F18</f>
        <v>15977</v>
      </c>
      <c r="G37" s="73" t="n">
        <f aca="false">+G18</f>
        <v>0</v>
      </c>
      <c r="H37" s="73" t="n">
        <f aca="false">+H18</f>
        <v>0</v>
      </c>
      <c r="I37" s="73" t="n">
        <f aca="false">+I18</f>
        <v>0</v>
      </c>
      <c r="J37" s="73" t="n">
        <f aca="false">+J18</f>
        <v>0</v>
      </c>
      <c r="K37" s="73" t="n">
        <f aca="false">+K18</f>
        <v>0</v>
      </c>
      <c r="L37" s="73" t="n">
        <f aca="false">+L18</f>
        <v>0</v>
      </c>
      <c r="M37" s="73" t="n">
        <f aca="false">+M18</f>
        <v>0</v>
      </c>
      <c r="N37" s="74" t="n">
        <f aca="false">SUMIF($B$4:$M$4,$N$4, B37:M37)</f>
        <v>44372.9</v>
      </c>
      <c r="O37" s="74" t="n">
        <f aca="false">SUMIF($B$4:$M$4,$O$4, B37:M37)</f>
        <v>1680</v>
      </c>
      <c r="P37" s="75" t="n">
        <f aca="false">SUM(N37:O37)</f>
        <v>46052.9</v>
      </c>
    </row>
    <row r="38" customFormat="false" ht="15" hidden="false" customHeight="true" outlineLevel="0" collapsed="false">
      <c r="A38" s="72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8"/>
      <c r="O38" s="68"/>
      <c r="P38" s="69"/>
    </row>
    <row r="39" customFormat="false" ht="15" hidden="false" customHeight="true" outlineLevel="0" collapsed="false">
      <c r="A39" s="96" t="s">
        <v>100</v>
      </c>
      <c r="B39" s="97" t="n">
        <f aca="false">SUM(B31:B38)</f>
        <v>30075.2</v>
      </c>
      <c r="C39" s="97" t="n">
        <f aca="false">SUM(C31:C38)</f>
        <v>201121.507</v>
      </c>
      <c r="D39" s="97" t="n">
        <f aca="false">SUM(D31:D38)</f>
        <v>129114.3919</v>
      </c>
      <c r="E39" s="97" t="n">
        <f aca="false">SUM(E31:E38)</f>
        <v>139374.9665</v>
      </c>
      <c r="F39" s="97" t="n">
        <f aca="false">SUM(F31:F38)</f>
        <v>118702.3492</v>
      </c>
      <c r="G39" s="97" t="n">
        <f aca="false">SUM(G31:G38)</f>
        <v>0</v>
      </c>
      <c r="H39" s="97" t="n">
        <f aca="false">SUM(H31:H38)</f>
        <v>0</v>
      </c>
      <c r="I39" s="97" t="n">
        <f aca="false">SUM(I31:I38)</f>
        <v>0</v>
      </c>
      <c r="J39" s="97" t="n">
        <f aca="false">SUM(J31:J38)</f>
        <v>0</v>
      </c>
      <c r="K39" s="97" t="n">
        <f aca="false">SUM(K31:K38)</f>
        <v>0</v>
      </c>
      <c r="L39" s="97" t="n">
        <f aca="false">SUM(L31:L38)</f>
        <v>0</v>
      </c>
      <c r="M39" s="97" t="n">
        <f aca="false">SUM(M31:M38)</f>
        <v>0</v>
      </c>
      <c r="N39" s="98" t="n">
        <f aca="false">SUM(N31:N38)</f>
        <v>664525.2275</v>
      </c>
      <c r="O39" s="98" t="n">
        <f aca="false">SUM(O31:O38)</f>
        <v>139374.9665</v>
      </c>
      <c r="P39" s="99" t="n">
        <f aca="false">SUM(P31:P38)</f>
        <v>803900.194</v>
      </c>
    </row>
    <row r="40" customFormat="false" ht="15" hidden="false" customHeight="true" outlineLevel="0" collapsed="false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</row>
    <row r="41" customFormat="false" ht="15" hidden="false" customHeight="true" outlineLevel="0" collapsed="false">
      <c r="A41" s="92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1"/>
      <c r="O41" s="101"/>
      <c r="P41" s="102"/>
    </row>
    <row r="42" customFormat="false" ht="15" hidden="false" customHeight="true" outlineLevel="0" collapsed="false">
      <c r="A42" s="70" t="s">
        <v>101</v>
      </c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68"/>
      <c r="O42" s="68"/>
      <c r="P42" s="69"/>
    </row>
    <row r="43" customFormat="false" ht="15" hidden="false" customHeight="true" outlineLevel="0" collapsed="false">
      <c r="A43" s="72" t="s">
        <v>102</v>
      </c>
      <c r="B43" s="73" t="n">
        <f aca="false">Staff!AR921</f>
        <v>29373.5861</v>
      </c>
      <c r="C43" s="73" t="n">
        <f aca="false">Staff!AS921</f>
        <v>28479.6865</v>
      </c>
      <c r="D43" s="73" t="n">
        <f aca="false">Staff!AT921</f>
        <v>19349.2646</v>
      </c>
      <c r="E43" s="73" t="n">
        <f aca="false">Staff!AU921</f>
        <v>19586.2915</v>
      </c>
      <c r="F43" s="73" t="n">
        <f aca="false">Staff!AV921</f>
        <v>14455.6173</v>
      </c>
      <c r="G43" s="73" t="n">
        <f aca="false">Staff!AW921</f>
        <v>0</v>
      </c>
      <c r="H43" s="73" t="n">
        <f aca="false">Staff!AX921</f>
        <v>0</v>
      </c>
      <c r="I43" s="73" t="n">
        <f aca="false">Staff!AY921</f>
        <v>0</v>
      </c>
      <c r="J43" s="73" t="n">
        <f aca="false">Staff!AZ921</f>
        <v>0</v>
      </c>
      <c r="K43" s="73" t="n">
        <f aca="false">Staff!BA921</f>
        <v>0</v>
      </c>
      <c r="L43" s="73" t="n">
        <f aca="false">Staff!BB921</f>
        <v>0</v>
      </c>
      <c r="M43" s="73" t="n">
        <f aca="false">Staff!BC921</f>
        <v>0</v>
      </c>
      <c r="N43" s="74" t="n">
        <f aca="false">SUMIF($B$4:$M$4,$N$4, B43:M43)</f>
        <v>91658.1545</v>
      </c>
      <c r="O43" s="74" t="n">
        <f aca="false">SUMIF($B$4:$M$4,$O$4, B43:M43)</f>
        <v>19586.2915</v>
      </c>
      <c r="P43" s="75" t="n">
        <f aca="false">SUM(N43:O43)</f>
        <v>111244.446</v>
      </c>
    </row>
    <row r="44" customFormat="false" ht="15" hidden="false" customHeight="true" outlineLevel="0" collapsed="false">
      <c r="A44" s="72" t="s">
        <v>85</v>
      </c>
      <c r="B44" s="73" t="n">
        <v>0</v>
      </c>
      <c r="C44" s="73" t="n">
        <v>0</v>
      </c>
      <c r="D44" s="73" t="n">
        <v>0</v>
      </c>
      <c r="E44" s="73" t="n">
        <v>0</v>
      </c>
      <c r="F44" s="73" t="n">
        <v>0</v>
      </c>
      <c r="G44" s="73" t="n">
        <v>0</v>
      </c>
      <c r="H44" s="73" t="n">
        <v>0</v>
      </c>
      <c r="I44" s="73" t="n">
        <v>0</v>
      </c>
      <c r="J44" s="73" t="n">
        <v>0</v>
      </c>
      <c r="K44" s="73" t="n">
        <v>0</v>
      </c>
      <c r="L44" s="73" t="n">
        <v>0</v>
      </c>
      <c r="M44" s="73" t="n">
        <v>0</v>
      </c>
      <c r="N44" s="74" t="n">
        <f aca="false">SUMIF($B$4:$M$4,$N$4, B44:M44)</f>
        <v>0</v>
      </c>
      <c r="O44" s="74" t="n">
        <f aca="false">SUMIF($B$4:$M$4,$O$4, B44:M44)</f>
        <v>0</v>
      </c>
      <c r="P44" s="75" t="n">
        <f aca="false">SUM(N44:O44)</f>
        <v>0</v>
      </c>
    </row>
    <row r="45" customFormat="false" ht="15" hidden="false" customHeight="true" outlineLevel="0" collapsed="false">
      <c r="A45" s="72" t="s">
        <v>86</v>
      </c>
      <c r="B45" s="73" t="n">
        <v>0</v>
      </c>
      <c r="C45" s="73" t="n">
        <v>0</v>
      </c>
      <c r="D45" s="73" t="n">
        <v>0</v>
      </c>
      <c r="E45" s="73" t="n">
        <v>0</v>
      </c>
      <c r="F45" s="73" t="n">
        <v>0</v>
      </c>
      <c r="G45" s="73" t="n">
        <v>0</v>
      </c>
      <c r="H45" s="73" t="n">
        <v>0</v>
      </c>
      <c r="I45" s="73" t="n">
        <v>0</v>
      </c>
      <c r="J45" s="73" t="n">
        <v>0</v>
      </c>
      <c r="K45" s="73" t="n">
        <v>0</v>
      </c>
      <c r="L45" s="73" t="n">
        <v>0</v>
      </c>
      <c r="M45" s="73" t="n">
        <v>0</v>
      </c>
      <c r="N45" s="74" t="n">
        <f aca="false">SUMIF($B$4:$M$4,$N$4, B45:M45)</f>
        <v>0</v>
      </c>
      <c r="O45" s="74" t="n">
        <f aca="false">SUMIF($B$4:$M$4,$O$4, B45:M45)</f>
        <v>0</v>
      </c>
      <c r="P45" s="75" t="n">
        <f aca="false">SUM(N45:O45)</f>
        <v>0</v>
      </c>
    </row>
    <row r="46" customFormat="false" ht="15" hidden="false" customHeight="true" outlineLevel="0" collapsed="false">
      <c r="A46" s="72" t="s">
        <v>87</v>
      </c>
      <c r="B46" s="73" t="n">
        <v>0</v>
      </c>
      <c r="C46" s="73" t="n">
        <v>0</v>
      </c>
      <c r="D46" s="73" t="n">
        <v>0</v>
      </c>
      <c r="E46" s="73" t="n">
        <v>0</v>
      </c>
      <c r="F46" s="73" t="n">
        <v>0</v>
      </c>
      <c r="G46" s="73" t="n">
        <v>0</v>
      </c>
      <c r="H46" s="73" t="n">
        <v>0</v>
      </c>
      <c r="I46" s="73" t="n">
        <v>0</v>
      </c>
      <c r="J46" s="73" t="n">
        <v>0</v>
      </c>
      <c r="K46" s="73" t="n">
        <v>0</v>
      </c>
      <c r="L46" s="73" t="n">
        <v>0</v>
      </c>
      <c r="M46" s="73" t="n">
        <v>0</v>
      </c>
      <c r="N46" s="74" t="n">
        <f aca="false">SUMIF($B$4:$M$4,$N$4, B46:M46)</f>
        <v>0</v>
      </c>
      <c r="O46" s="74" t="n">
        <f aca="false">SUMIF($B$4:$M$4,$O$4, B46:M46)</f>
        <v>0</v>
      </c>
      <c r="P46" s="75" t="n">
        <f aca="false">SUM(N46:O46)</f>
        <v>0</v>
      </c>
    </row>
    <row r="47" customFormat="false" ht="15" hidden="false" customHeight="true" outlineLevel="0" collapsed="false">
      <c r="A47" s="72" t="s">
        <v>88</v>
      </c>
      <c r="B47" s="76" t="n">
        <v>0</v>
      </c>
      <c r="C47" s="76" t="n">
        <v>0</v>
      </c>
      <c r="D47" s="76" t="n">
        <v>0</v>
      </c>
      <c r="E47" s="76" t="n">
        <v>0</v>
      </c>
      <c r="F47" s="76" t="n">
        <v>0</v>
      </c>
      <c r="G47" s="76" t="n">
        <v>0</v>
      </c>
      <c r="H47" s="76" t="n">
        <v>0</v>
      </c>
      <c r="I47" s="76" t="n">
        <v>0</v>
      </c>
      <c r="J47" s="76" t="n">
        <v>0</v>
      </c>
      <c r="K47" s="76" t="n">
        <v>0</v>
      </c>
      <c r="L47" s="76" t="n">
        <v>0</v>
      </c>
      <c r="M47" s="76" t="n">
        <v>0</v>
      </c>
      <c r="N47" s="77" t="n">
        <f aca="false">SUMIF($B$4:$M$4,$N$4, B47:M47)</f>
        <v>0</v>
      </c>
      <c r="O47" s="77" t="n">
        <f aca="false">SUMIF($B$4:$M$4,$O$4, B47:M47)</f>
        <v>0</v>
      </c>
      <c r="P47" s="78" t="n">
        <f aca="false">SUM(N47:O47)</f>
        <v>0</v>
      </c>
    </row>
    <row r="48" customFormat="false" ht="15" hidden="false" customHeight="true" outlineLevel="0" collapsed="false">
      <c r="A48" s="72"/>
      <c r="B48" s="73" t="n">
        <v>0</v>
      </c>
      <c r="C48" s="73" t="n">
        <v>0</v>
      </c>
      <c r="D48" s="73" t="n">
        <v>0</v>
      </c>
      <c r="E48" s="73" t="n">
        <v>0</v>
      </c>
      <c r="F48" s="73" t="n">
        <v>0</v>
      </c>
      <c r="G48" s="73" t="n">
        <v>0</v>
      </c>
      <c r="H48" s="73" t="n">
        <v>0</v>
      </c>
      <c r="I48" s="73" t="n">
        <v>0</v>
      </c>
      <c r="J48" s="73" t="n">
        <v>0</v>
      </c>
      <c r="K48" s="73" t="n">
        <v>0</v>
      </c>
      <c r="L48" s="73" t="n">
        <v>0</v>
      </c>
      <c r="M48" s="73" t="n">
        <v>0</v>
      </c>
      <c r="N48" s="74" t="n">
        <f aca="false">SUM(N43:N47)</f>
        <v>91658.1545</v>
      </c>
      <c r="O48" s="74" t="n">
        <f aca="false">SUM(O43:O47)</f>
        <v>19586.2915</v>
      </c>
      <c r="P48" s="75" t="n">
        <f aca="false">SUM(P43:P47)</f>
        <v>111244.446</v>
      </c>
    </row>
    <row r="49" customFormat="false" ht="15" hidden="false" customHeight="true" outlineLevel="0" collapsed="false">
      <c r="A49" s="72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4"/>
      <c r="O49" s="74"/>
      <c r="P49" s="75"/>
    </row>
    <row r="50" customFormat="false" ht="15" hidden="false" customHeight="true" outlineLevel="0" collapsed="false">
      <c r="A50" s="72" t="s">
        <v>89</v>
      </c>
      <c r="B50" s="73" t="n">
        <v>0</v>
      </c>
      <c r="C50" s="73" t="n">
        <v>0</v>
      </c>
      <c r="D50" s="73" t="n">
        <v>0</v>
      </c>
      <c r="E50" s="73" t="n">
        <v>0</v>
      </c>
      <c r="F50" s="73" t="n">
        <v>0</v>
      </c>
      <c r="G50" s="73" t="n">
        <v>0</v>
      </c>
      <c r="H50" s="73" t="n">
        <v>0</v>
      </c>
      <c r="I50" s="73" t="n">
        <v>0</v>
      </c>
      <c r="J50" s="73" t="n">
        <v>0</v>
      </c>
      <c r="K50" s="73" t="n">
        <v>0</v>
      </c>
      <c r="L50" s="73" t="n">
        <v>0</v>
      </c>
      <c r="M50" s="73" t="n">
        <v>0</v>
      </c>
      <c r="N50" s="74" t="n">
        <f aca="false">SUMIF($B$4:$M$4,$N$4, B50:M50)</f>
        <v>0</v>
      </c>
      <c r="O50" s="74" t="n">
        <f aca="false">SUMIF($B$4:$M$4,$O$4, B50:M50)</f>
        <v>0</v>
      </c>
      <c r="P50" s="75" t="n">
        <f aca="false">SUM(N50:O50)</f>
        <v>0</v>
      </c>
    </row>
    <row r="51" customFormat="false" ht="15" hidden="false" customHeight="true" outlineLevel="0" collapsed="false">
      <c r="A51" s="72" t="s">
        <v>90</v>
      </c>
      <c r="B51" s="73" t="n">
        <v>0</v>
      </c>
      <c r="C51" s="73" t="n">
        <v>0</v>
      </c>
      <c r="D51" s="73" t="n">
        <v>0</v>
      </c>
      <c r="E51" s="73" t="n">
        <v>0</v>
      </c>
      <c r="F51" s="73" t="n">
        <v>0</v>
      </c>
      <c r="G51" s="73" t="n">
        <v>0</v>
      </c>
      <c r="H51" s="73" t="n">
        <v>0</v>
      </c>
      <c r="I51" s="73" t="n">
        <v>0</v>
      </c>
      <c r="J51" s="73" t="n">
        <v>0</v>
      </c>
      <c r="K51" s="73" t="n">
        <v>0</v>
      </c>
      <c r="L51" s="73" t="n">
        <v>0</v>
      </c>
      <c r="M51" s="73" t="n">
        <v>0</v>
      </c>
      <c r="N51" s="74" t="n">
        <f aca="false">SUMIF($B$4:$M$4,$N$4, B51:M51)</f>
        <v>0</v>
      </c>
      <c r="O51" s="74" t="n">
        <f aca="false">SUMIF($B$4:$M$4,$O$4, B51:M51)</f>
        <v>0</v>
      </c>
      <c r="P51" s="75" t="n">
        <f aca="false">SUM(N51:O51)</f>
        <v>0</v>
      </c>
    </row>
    <row r="52" customFormat="false" ht="15" hidden="false" customHeight="true" outlineLevel="0" collapsed="false">
      <c r="A52" s="72" t="s">
        <v>91</v>
      </c>
      <c r="B52" s="73" t="n">
        <v>0</v>
      </c>
      <c r="C52" s="73" t="n">
        <v>0</v>
      </c>
      <c r="D52" s="73" t="n">
        <v>0</v>
      </c>
      <c r="E52" s="73" t="n">
        <v>0</v>
      </c>
      <c r="F52" s="73" t="n">
        <v>0</v>
      </c>
      <c r="G52" s="73" t="n">
        <v>0</v>
      </c>
      <c r="H52" s="73" t="n">
        <v>0</v>
      </c>
      <c r="I52" s="73" t="n">
        <v>0</v>
      </c>
      <c r="J52" s="73" t="n">
        <v>0</v>
      </c>
      <c r="K52" s="73" t="n">
        <v>0</v>
      </c>
      <c r="L52" s="73" t="n">
        <v>0</v>
      </c>
      <c r="M52" s="73" t="n">
        <v>0</v>
      </c>
      <c r="N52" s="74" t="n">
        <f aca="false">SUMIF($B$4:$M$4,$N$4, B52:M52)</f>
        <v>0</v>
      </c>
      <c r="O52" s="74" t="n">
        <f aca="false">SUMIF($B$4:$M$4,$O$4, B52:M52)</f>
        <v>0</v>
      </c>
      <c r="P52" s="75" t="n">
        <f aca="false">SUM(N52:O52)</f>
        <v>0</v>
      </c>
    </row>
    <row r="53" customFormat="false" ht="15" hidden="false" customHeight="true" outlineLevel="0" collapsed="false">
      <c r="A53" s="72" t="s">
        <v>92</v>
      </c>
      <c r="B53" s="73" t="n">
        <v>0</v>
      </c>
      <c r="C53" s="73" t="n">
        <v>0</v>
      </c>
      <c r="D53" s="73" t="n">
        <v>0</v>
      </c>
      <c r="E53" s="73" t="n">
        <v>0</v>
      </c>
      <c r="F53" s="73" t="n">
        <v>0</v>
      </c>
      <c r="G53" s="73" t="n">
        <v>0</v>
      </c>
      <c r="H53" s="73" t="n">
        <v>0</v>
      </c>
      <c r="I53" s="73" t="n">
        <v>0</v>
      </c>
      <c r="J53" s="73" t="n">
        <v>0</v>
      </c>
      <c r="K53" s="73" t="n">
        <v>0</v>
      </c>
      <c r="L53" s="73" t="n">
        <v>0</v>
      </c>
      <c r="M53" s="73" t="n">
        <v>0</v>
      </c>
      <c r="N53" s="74" t="n">
        <f aca="false">SUMIF($B$4:$M$4,$N$4, B53:M53)</f>
        <v>0</v>
      </c>
      <c r="O53" s="74" t="n">
        <f aca="false">SUMIF($B$4:$M$4,$O$4, B53:M53)</f>
        <v>0</v>
      </c>
      <c r="P53" s="75" t="n">
        <f aca="false">SUM(N53:O53)</f>
        <v>0</v>
      </c>
    </row>
    <row r="54" customFormat="false" ht="15" hidden="false" customHeight="true" outlineLevel="0" collapsed="false">
      <c r="A54" s="72" t="s">
        <v>93</v>
      </c>
      <c r="B54" s="73" t="n">
        <v>0</v>
      </c>
      <c r="C54" s="73" t="n">
        <v>0</v>
      </c>
      <c r="D54" s="73" t="n">
        <v>0</v>
      </c>
      <c r="E54" s="73" t="n">
        <v>0</v>
      </c>
      <c r="F54" s="73" t="n">
        <v>0</v>
      </c>
      <c r="G54" s="73" t="n">
        <v>0</v>
      </c>
      <c r="H54" s="73" t="n">
        <v>0</v>
      </c>
      <c r="I54" s="73" t="n">
        <v>0</v>
      </c>
      <c r="J54" s="73" t="n">
        <v>0</v>
      </c>
      <c r="K54" s="73" t="n">
        <v>0</v>
      </c>
      <c r="L54" s="73" t="n">
        <v>0</v>
      </c>
      <c r="M54" s="73" t="n">
        <v>0</v>
      </c>
      <c r="N54" s="74" t="n">
        <f aca="false">SUMIF($B$4:$M$4,$N$4, B54:M54)</f>
        <v>0</v>
      </c>
      <c r="O54" s="74" t="n">
        <f aca="false">SUMIF($B$4:$M$4,$O$4, B54:M54)</f>
        <v>0</v>
      </c>
      <c r="P54" s="75" t="n">
        <f aca="false">SUM(N54:O54)</f>
        <v>0</v>
      </c>
    </row>
    <row r="55" customFormat="false" ht="15" hidden="false" customHeight="true" outlineLevel="0" collapsed="false">
      <c r="A55" s="72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8"/>
      <c r="O55" s="68"/>
      <c r="P55" s="69"/>
    </row>
    <row r="56" customFormat="false" ht="15" hidden="false" customHeight="true" outlineLevel="0" collapsed="false">
      <c r="A56" s="96" t="s">
        <v>103</v>
      </c>
      <c r="B56" s="97" t="n">
        <f aca="false">SUM(B48:B55)</f>
        <v>0</v>
      </c>
      <c r="C56" s="97" t="n">
        <f aca="false">SUM(C48:C55)</f>
        <v>0</v>
      </c>
      <c r="D56" s="97" t="n">
        <f aca="false">SUM(D48:D55)</f>
        <v>0</v>
      </c>
      <c r="E56" s="97" t="n">
        <f aca="false">SUM(E48:E55)</f>
        <v>0</v>
      </c>
      <c r="F56" s="97" t="n">
        <f aca="false">SUM(F48:F55)</f>
        <v>0</v>
      </c>
      <c r="G56" s="97" t="n">
        <f aca="false">SUM(G48:G55)</f>
        <v>0</v>
      </c>
      <c r="H56" s="97" t="n">
        <f aca="false">SUM(H48:H55)</f>
        <v>0</v>
      </c>
      <c r="I56" s="97" t="n">
        <f aca="false">SUM(I48:I55)</f>
        <v>0</v>
      </c>
      <c r="J56" s="97" t="n">
        <f aca="false">SUM(J48:J55)</f>
        <v>0</v>
      </c>
      <c r="K56" s="97" t="n">
        <f aca="false">SUM(K48:K55)</f>
        <v>0</v>
      </c>
      <c r="L56" s="97" t="n">
        <f aca="false">SUM(L48:L55)</f>
        <v>0</v>
      </c>
      <c r="M56" s="97" t="n">
        <f aca="false">SUM(M48:M55)</f>
        <v>0</v>
      </c>
      <c r="N56" s="98" t="n">
        <f aca="false">SUM(N48:N55)</f>
        <v>91658.1545</v>
      </c>
      <c r="O56" s="98" t="n">
        <f aca="false">SUM(O48:O55)</f>
        <v>19586.2915</v>
      </c>
      <c r="P56" s="99" t="n">
        <f aca="false">SUM(P48:P55)</f>
        <v>111244.446</v>
      </c>
    </row>
    <row r="58" customFormat="false" ht="15" hidden="false" customHeight="true" outlineLevel="0" collapsed="false">
      <c r="A58" s="17" t="s">
        <v>104</v>
      </c>
      <c r="B58" s="103" t="n">
        <f aca="false">+B20-B39-B56</f>
        <v>214885.3655</v>
      </c>
      <c r="C58" s="103" t="n">
        <f aca="false">+C20-C39-C56</f>
        <v>28479.6865</v>
      </c>
      <c r="D58" s="103" t="n">
        <f aca="false">+D20-D39-D56</f>
        <v>19349.2646</v>
      </c>
      <c r="E58" s="103" t="n">
        <f aca="false">+E20-E39-E56</f>
        <v>19586.2915</v>
      </c>
      <c r="F58" s="103" t="n">
        <f aca="false">+F20-F39-F56</f>
        <v>14455.6173</v>
      </c>
      <c r="G58" s="103" t="n">
        <f aca="false">+G20-G39-G56</f>
        <v>0</v>
      </c>
      <c r="H58" s="103" t="n">
        <f aca="false">+H20-H39-H56</f>
        <v>0</v>
      </c>
      <c r="I58" s="103" t="n">
        <f aca="false">+I20-I39-I56</f>
        <v>0</v>
      </c>
      <c r="J58" s="103" t="n">
        <f aca="false">+J20-J39-J56</f>
        <v>0</v>
      </c>
      <c r="K58" s="103" t="n">
        <f aca="false">+K20-K39-K56</f>
        <v>0</v>
      </c>
      <c r="L58" s="103" t="n">
        <f aca="false">+L20-L39-L56</f>
        <v>0</v>
      </c>
      <c r="M58" s="103" t="n">
        <f aca="false">+M20-M39-M56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2.75" customHeight="false" zeroHeight="false" outlineLevelRow="0" outlineLevelCol="0"/>
  <cols>
    <col collapsed="false" customWidth="true" hidden="false" outlineLevel="0" max="1" min="1" style="5" width="51.56"/>
    <col collapsed="false" customWidth="true" hidden="false" outlineLevel="0" max="2" min="2" style="104" width="14.11"/>
    <col collapsed="false" customWidth="true" hidden="false" outlineLevel="0" max="3" min="3" style="5" width="3.34"/>
    <col collapsed="false" customWidth="true" hidden="false" outlineLevel="0" max="4" min="4" style="105" width="13.56"/>
    <col collapsed="false" customWidth="true" hidden="false" outlineLevel="0" max="6" min="6" style="5" width="12.88"/>
    <col collapsed="false" customWidth="true" hidden="false" outlineLevel="0" max="7" min="7" style="5" width="3.34"/>
    <col collapsed="false" customWidth="true" hidden="false" outlineLevel="0" max="10" min="8" style="105" width="13.56"/>
    <col collapsed="false" customWidth="true" hidden="false" outlineLevel="0" max="11" min="11" style="5" width="11.67"/>
    <col collapsed="false" customWidth="false" hidden="false" outlineLevel="0" max="14" min="12" style="5" width="9.11"/>
    <col collapsed="false" customWidth="true" hidden="false" outlineLevel="0" max="15" min="15" style="5" width="12.44"/>
    <col collapsed="false" customWidth="false" hidden="false" outlineLevel="0" max="16" min="16" style="5" width="9.11"/>
  </cols>
  <sheetData>
    <row r="1" customFormat="false" ht="17.25" hidden="false" customHeight="true" outlineLevel="0" collapsed="false">
      <c r="A1" s="106" t="s">
        <v>50</v>
      </c>
      <c r="F1" s="105"/>
    </row>
    <row r="2" customFormat="false" ht="17.25" hidden="false" customHeight="true" outlineLevel="0" collapsed="false">
      <c r="A2" s="107" t="str">
        <f aca="false">Summary!A2</f>
        <v>NovaTech Solutions Ltd</v>
      </c>
      <c r="D2" s="108"/>
      <c r="E2" s="109"/>
      <c r="F2" s="105"/>
      <c r="H2" s="108"/>
      <c r="I2" s="108"/>
      <c r="J2" s="108"/>
    </row>
    <row r="3" customFormat="false" ht="15" hidden="false" customHeight="true" outlineLevel="0" collapsed="false">
      <c r="A3" s="110" t="str">
        <f aca="false">Summary!A3</f>
        <v>Tax Reference: 1234567890</v>
      </c>
      <c r="B3" s="111"/>
      <c r="D3" s="112"/>
      <c r="E3" s="113"/>
      <c r="F3" s="105"/>
      <c r="H3" s="112"/>
      <c r="I3" s="112"/>
      <c r="J3" s="112"/>
    </row>
    <row r="4" customFormat="false" ht="6" hidden="false" customHeight="true" outlineLevel="0" collapsed="false">
      <c r="A4" s="114"/>
      <c r="F4" s="105"/>
    </row>
    <row r="5" customFormat="false" ht="15" hidden="false" customHeight="true" outlineLevel="0" collapsed="false">
      <c r="A5" s="110" t="str">
        <f aca="false">Summary!A4</f>
        <v>Period: 01/01/2024 to 31/12/2024</v>
      </c>
      <c r="D5" s="115"/>
      <c r="E5" s="116"/>
      <c r="F5" s="105"/>
      <c r="H5" s="115"/>
      <c r="I5" s="115"/>
      <c r="J5" s="115"/>
    </row>
    <row r="6" customFormat="false" ht="12.75" hidden="false" customHeight="false" outlineLevel="0" collapsed="false">
      <c r="A6" s="114"/>
      <c r="D6" s="117"/>
      <c r="E6" s="118"/>
      <c r="F6" s="105"/>
      <c r="H6" s="117"/>
      <c r="I6" s="117"/>
      <c r="J6" s="117"/>
    </row>
    <row r="7" customFormat="false" ht="12.75" hidden="false" customHeight="false" outlineLevel="0" collapsed="false">
      <c r="A7" s="114"/>
      <c r="D7" s="119" t="s">
        <v>82</v>
      </c>
      <c r="E7" s="119"/>
      <c r="F7" s="119"/>
      <c r="H7" s="117"/>
      <c r="I7" s="119"/>
      <c r="J7" s="119"/>
      <c r="K7" s="119"/>
    </row>
    <row r="8" customFormat="false" ht="6" hidden="false" customHeight="true" outlineLevel="0" collapsed="false">
      <c r="F8" s="105"/>
    </row>
    <row r="9" customFormat="false" ht="26.25" hidden="false" customHeight="true" outlineLevel="0" collapsed="false">
      <c r="A9" s="120" t="s">
        <v>105</v>
      </c>
      <c r="D9" s="121" t="s">
        <v>106</v>
      </c>
      <c r="E9" s="122" t="s">
        <v>107</v>
      </c>
      <c r="F9" s="121" t="s">
        <v>108</v>
      </c>
      <c r="H9" s="121" t="s">
        <v>59</v>
      </c>
      <c r="I9" s="121" t="s">
        <v>60</v>
      </c>
      <c r="J9" s="121" t="s">
        <v>104</v>
      </c>
    </row>
    <row r="10" customFormat="false" ht="12.75" hidden="false" customHeight="false" outlineLevel="0" collapsed="false">
      <c r="A10" s="120"/>
      <c r="D10" s="123"/>
      <c r="E10" s="122"/>
      <c r="F10" s="121"/>
      <c r="H10" s="124" t="n">
        <v>44743</v>
      </c>
      <c r="I10" s="124" t="n">
        <v>45017</v>
      </c>
      <c r="J10" s="124"/>
    </row>
    <row r="11" customFormat="false" ht="12.75" hidden="false" customHeight="false" outlineLevel="0" collapsed="false">
      <c r="A11" s="120"/>
      <c r="D11" s="123"/>
      <c r="E11" s="122"/>
      <c r="F11" s="121"/>
      <c r="H11" s="124" t="n">
        <v>45016</v>
      </c>
      <c r="I11" s="124" t="n">
        <v>45107</v>
      </c>
      <c r="J11" s="124"/>
    </row>
    <row r="12" customFormat="false" ht="6" hidden="false" customHeight="true" outlineLevel="0" collapsed="false">
      <c r="F12" s="105"/>
    </row>
    <row r="13" customFormat="false" ht="15" hidden="false" customHeight="true" outlineLevel="0" collapsed="false">
      <c r="A13" s="2" t="s">
        <v>109</v>
      </c>
      <c r="D13" s="12" t="n">
        <f aca="false">Staff!AO921+Staff!BE921</f>
        <v>611547.482</v>
      </c>
      <c r="E13" s="125" t="n">
        <v>1</v>
      </c>
      <c r="F13" s="105" t="n">
        <f aca="false">D13*E13</f>
        <v>611547.482</v>
      </c>
      <c r="H13" s="12"/>
      <c r="I13" s="12"/>
      <c r="J13" s="12" t="n">
        <f aca="false">+D13-H13-I13</f>
        <v>611547.482</v>
      </c>
      <c r="M13" s="126"/>
    </row>
    <row r="14" customFormat="false" ht="15" hidden="false" customHeight="true" outlineLevel="0" collapsed="false">
      <c r="A14" s="2" t="s">
        <v>110</v>
      </c>
      <c r="D14" s="12" t="n">
        <f aca="false">'Overseas Staff'!AL905</f>
        <v>0</v>
      </c>
      <c r="E14" s="125" t="n">
        <v>1</v>
      </c>
      <c r="F14" s="105" t="n">
        <f aca="false">D14*E14</f>
        <v>0</v>
      </c>
      <c r="H14" s="12"/>
      <c r="I14" s="12"/>
      <c r="J14" s="12" t="n">
        <f aca="false">+D14-H14-I14</f>
        <v>0</v>
      </c>
      <c r="M14" s="126"/>
    </row>
    <row r="15" customFormat="false" ht="15" hidden="false" customHeight="true" outlineLevel="0" collapsed="false">
      <c r="A15" s="2" t="s">
        <v>111</v>
      </c>
      <c r="D15" s="12" t="n">
        <f aca="false">'Recruitment &amp; Relocation'!AK50</f>
        <v>14100</v>
      </c>
      <c r="E15" s="125" t="n">
        <v>0.65</v>
      </c>
      <c r="F15" s="105" t="n">
        <f aca="false">D15*E15</f>
        <v>9165</v>
      </c>
      <c r="H15" s="12" t="n">
        <f aca="false">SUMIFS('Recruitment &amp; Relocation'!AK7:AK48, 'Recruitment &amp; Relocation'!A7:A48, "&gt;="&amp;H10, 'Recruitment &amp; Relocation'!A7:A48, "&lt;="&amp;H11)*0.65</f>
        <v>0</v>
      </c>
      <c r="I15" s="12" t="n">
        <f aca="false">SUMIFS('Recruitment &amp; Relocation'!AK7:AK48, 'Recruitment &amp; Relocation'!A7:A48, "&gt;="&amp;I10, 'Recruitment &amp; Relocation'!A7:A48, "&lt;="&amp;I11)*0.65</f>
        <v>0</v>
      </c>
      <c r="J15" s="12" t="n">
        <f aca="false">+F15-H15-I15</f>
        <v>9165</v>
      </c>
    </row>
    <row r="16" customFormat="false" ht="15" hidden="false" customHeight="true" outlineLevel="0" collapsed="false">
      <c r="A16" s="2" t="s">
        <v>87</v>
      </c>
      <c r="D16" s="12" t="n">
        <f aca="false">Training!AI52</f>
        <v>8650</v>
      </c>
      <c r="E16" s="125" t="n">
        <v>1</v>
      </c>
      <c r="F16" s="105" t="n">
        <f aca="false">D16*E16</f>
        <v>8650</v>
      </c>
      <c r="H16" s="12"/>
      <c r="I16" s="12"/>
      <c r="J16" s="12" t="n">
        <f aca="false">+D16-H16-I16</f>
        <v>8650</v>
      </c>
    </row>
    <row r="17" customFormat="false" ht="15" hidden="false" customHeight="true" outlineLevel="0" collapsed="false">
      <c r="A17" s="2" t="s">
        <v>112</v>
      </c>
      <c r="D17" s="12" t="n">
        <f aca="false">'Travel &amp; Subsistence'!AI101</f>
        <v>2622</v>
      </c>
      <c r="E17" s="125" t="n">
        <v>1</v>
      </c>
      <c r="F17" s="105" t="n">
        <f aca="false">D17*E17</f>
        <v>2622</v>
      </c>
      <c r="H17" s="12"/>
      <c r="I17" s="12"/>
      <c r="J17" s="12" t="n">
        <f aca="false">+D17-H17-I17</f>
        <v>2622</v>
      </c>
    </row>
    <row r="18" customFormat="false" ht="15" hidden="false" customHeight="true" outlineLevel="0" collapsed="false">
      <c r="A18" s="2" t="s">
        <v>91</v>
      </c>
      <c r="D18" s="12" t="n">
        <f aca="false">Software!AI247</f>
        <v>38672</v>
      </c>
      <c r="E18" s="125" t="n">
        <v>1</v>
      </c>
      <c r="F18" s="105" t="n">
        <f aca="false">D18*E18</f>
        <v>38672</v>
      </c>
      <c r="H18" s="12"/>
      <c r="I18" s="12"/>
      <c r="J18" s="12" t="n">
        <f aca="false">+D18-H18-I18</f>
        <v>38672</v>
      </c>
    </row>
    <row r="19" customFormat="false" ht="15" hidden="false" customHeight="true" outlineLevel="0" collapsed="false">
      <c r="A19" s="2" t="s">
        <v>113</v>
      </c>
      <c r="B19" s="127"/>
      <c r="D19" s="12" t="n">
        <f aca="false">'Materials and Consumables'!AI215+Subcontractors!BF210</f>
        <v>41154</v>
      </c>
      <c r="E19" s="125" t="n">
        <v>1</v>
      </c>
      <c r="F19" s="105" t="n">
        <f aca="false">D19*E19</f>
        <v>41154</v>
      </c>
      <c r="H19" s="12"/>
      <c r="I19" s="12"/>
      <c r="J19" s="12" t="n">
        <f aca="false">+D19-H19-I19</f>
        <v>41154</v>
      </c>
    </row>
    <row r="20" customFormat="false" ht="15" hidden="false" customHeight="true" outlineLevel="0" collapsed="false">
      <c r="A20" s="2" t="s">
        <v>114</v>
      </c>
      <c r="B20" s="127"/>
      <c r="D20" s="12" t="n">
        <f aca="false">+Subcontractors!AO210</f>
        <v>0</v>
      </c>
      <c r="E20" s="125" t="n">
        <v>1</v>
      </c>
      <c r="F20" s="105" t="n">
        <f aca="false">D20*E20</f>
        <v>0</v>
      </c>
      <c r="H20" s="12"/>
      <c r="I20" s="12"/>
      <c r="J20" s="12" t="n">
        <f aca="false">+D20-H20-I20</f>
        <v>0</v>
      </c>
    </row>
    <row r="21" customFormat="false" ht="15" hidden="false" customHeight="true" outlineLevel="0" collapsed="false">
      <c r="A21" s="2" t="s">
        <v>115</v>
      </c>
      <c r="D21" s="12" t="n">
        <f aca="false">+Subcontractors!AP210</f>
        <v>68266</v>
      </c>
      <c r="E21" s="125" t="n">
        <v>0.65</v>
      </c>
      <c r="F21" s="105" t="n">
        <f aca="false">D21*E21</f>
        <v>44372.9</v>
      </c>
      <c r="H21" s="12"/>
      <c r="I21" s="12"/>
      <c r="J21" s="12"/>
    </row>
    <row r="22" customFormat="false" ht="15" hidden="false" customHeight="true" outlineLevel="0" collapsed="false">
      <c r="A22" s="2" t="s">
        <v>116</v>
      </c>
      <c r="B22" s="127"/>
      <c r="D22" s="13" t="n">
        <f aca="false">SUM(D13:D21)</f>
        <v>785011.482</v>
      </c>
      <c r="F22" s="128" t="n">
        <f aca="false">SUM(F13:F21)</f>
        <v>756183.382</v>
      </c>
      <c r="H22" s="13" t="n">
        <f aca="false">SUM(H13:H21)</f>
        <v>0</v>
      </c>
      <c r="I22" s="13" t="n">
        <f aca="false">SUM(I13:I21)</f>
        <v>0</v>
      </c>
      <c r="J22" s="13"/>
    </row>
    <row r="23" customFormat="false" ht="15" hidden="false" customHeight="true" outlineLevel="0" collapsed="false">
      <c r="F23" s="105"/>
    </row>
    <row r="24" customFormat="false" ht="15" hidden="false" customHeight="true" outlineLevel="0" collapsed="false">
      <c r="A24" s="2" t="s">
        <v>117</v>
      </c>
      <c r="B24" s="104" t="s">
        <v>118</v>
      </c>
      <c r="F24" s="105"/>
    </row>
    <row r="25" customFormat="false" ht="15" hidden="false" customHeight="true" outlineLevel="0" collapsed="false">
      <c r="A25" s="129" t="s">
        <v>119</v>
      </c>
      <c r="B25" s="130" t="n">
        <v>9</v>
      </c>
      <c r="E25" s="131" t="n">
        <v>1.3</v>
      </c>
      <c r="F25" s="105" t="n">
        <f aca="false">(F22/$B$27*$B$25)*$E$25</f>
        <v>737278.79745</v>
      </c>
      <c r="H25" s="105" t="n">
        <f aca="false">+H22*E25</f>
        <v>0</v>
      </c>
      <c r="I25" s="105" t="n">
        <v>0</v>
      </c>
    </row>
    <row r="26" customFormat="false" ht="15" hidden="false" customHeight="true" outlineLevel="0" collapsed="false">
      <c r="A26" s="129" t="s">
        <v>120</v>
      </c>
      <c r="B26" s="130" t="n">
        <v>3</v>
      </c>
      <c r="E26" s="131" t="n">
        <v>0.86</v>
      </c>
      <c r="F26" s="105" t="n">
        <f aca="false">(F22/$B$27*$B$26)*$E$26</f>
        <v>162579.42713</v>
      </c>
      <c r="H26" s="105" t="n">
        <v>0</v>
      </c>
      <c r="I26" s="105" t="n">
        <f aca="false">+I22*E26</f>
        <v>0</v>
      </c>
    </row>
    <row r="27" customFormat="false" ht="15" hidden="false" customHeight="true" outlineLevel="0" collapsed="false">
      <c r="A27" s="2" t="s">
        <v>82</v>
      </c>
      <c r="B27" s="104" t="n">
        <f aca="false">SUM(B25:B26)</f>
        <v>12</v>
      </c>
      <c r="C27" s="132"/>
      <c r="E27" s="133"/>
      <c r="F27" s="134" t="n">
        <f aca="false">F25+F26</f>
        <v>899858.22458</v>
      </c>
      <c r="G27" s="132"/>
      <c r="H27" s="134" t="n">
        <f aca="false">H25+H26</f>
        <v>0</v>
      </c>
      <c r="I27" s="134" t="n">
        <f aca="false">I25+I26</f>
        <v>0</v>
      </c>
      <c r="J27" s="134"/>
      <c r="O27" s="132"/>
      <c r="P27" s="132"/>
      <c r="Q27" s="132"/>
    </row>
    <row r="28" customFormat="false" ht="15" hidden="false" customHeight="true" outlineLevel="0" collapsed="false">
      <c r="E28" s="133"/>
      <c r="F28" s="105"/>
    </row>
    <row r="29" customFormat="false" ht="15" hidden="false" customHeight="true" outlineLevel="0" collapsed="false">
      <c r="F29" s="105"/>
    </row>
    <row r="30" customFormat="false" ht="15" hidden="false" customHeight="true" outlineLevel="0" collapsed="false">
      <c r="A30" s="2" t="s">
        <v>121</v>
      </c>
      <c r="B30" s="130" t="s">
        <v>122</v>
      </c>
      <c r="F30" s="129" t="n">
        <v>0</v>
      </c>
    </row>
    <row r="31" customFormat="false" ht="15" hidden="false" customHeight="true" outlineLevel="0" collapsed="false">
      <c r="F31" s="105"/>
    </row>
    <row r="32" customFormat="false" ht="15" hidden="false" customHeight="true" outlineLevel="0" collapsed="false">
      <c r="F32" s="105"/>
    </row>
    <row r="33" customFormat="false" ht="15" hidden="false" customHeight="true" outlineLevel="0" collapsed="false">
      <c r="A33" s="2" t="s">
        <v>123</v>
      </c>
      <c r="B33" s="104" t="s">
        <v>124</v>
      </c>
      <c r="F33" s="105" t="n">
        <f aca="false">IF((-F30+F27)&gt;0,-F30+F27,0)</f>
        <v>899858.22458</v>
      </c>
    </row>
    <row r="34" customFormat="false" ht="15" hidden="false" customHeight="true" outlineLevel="0" collapsed="false">
      <c r="F34" s="105"/>
    </row>
    <row r="35" customFormat="false" ht="15" hidden="false" customHeight="true" outlineLevel="0" collapsed="false">
      <c r="A35" s="2" t="s">
        <v>125</v>
      </c>
      <c r="B35" s="104" t="s">
        <v>126</v>
      </c>
      <c r="F35" s="105" t="n">
        <f aca="false">F22+F27</f>
        <v>1656041.60658</v>
      </c>
    </row>
    <row r="36" customFormat="false" ht="15" hidden="false" customHeight="true" outlineLevel="0" collapsed="false">
      <c r="F36" s="105"/>
    </row>
    <row r="37" customFormat="false" ht="15" hidden="false" customHeight="true" outlineLevel="0" collapsed="false">
      <c r="A37" s="2" t="s">
        <v>127</v>
      </c>
      <c r="B37" s="104" t="s">
        <v>128</v>
      </c>
      <c r="F37" s="105" t="n">
        <f aca="false">IF(F33&lt;F35,F33,F35)</f>
        <v>899858.22458</v>
      </c>
    </row>
    <row r="38" customFormat="false" ht="15" hidden="false" customHeight="true" outlineLevel="0" collapsed="false">
      <c r="F38" s="105"/>
    </row>
    <row r="39" customFormat="false" ht="15" hidden="false" customHeight="true" outlineLevel="0" collapsed="false">
      <c r="F39" s="105"/>
    </row>
    <row r="40" customFormat="false" ht="15" hidden="false" customHeight="true" outlineLevel="0" collapsed="false">
      <c r="A40" s="2" t="s">
        <v>129</v>
      </c>
      <c r="F40" s="105"/>
    </row>
    <row r="41" customFormat="false" ht="15" hidden="false" customHeight="true" outlineLevel="0" collapsed="false">
      <c r="F41" s="105"/>
    </row>
    <row r="42" customFormat="false" ht="15" hidden="false" customHeight="true" outlineLevel="0" collapsed="false">
      <c r="A42" s="105" t="str">
        <f aca="false">A25</f>
        <v>Jul 2022 - Mar 2023</v>
      </c>
      <c r="D42" s="105" t="n">
        <f aca="false">((($F$37)/B27*B25))</f>
        <v>674893.668435</v>
      </c>
      <c r="E42" s="135" t="n">
        <v>0.145</v>
      </c>
      <c r="F42" s="105" t="n">
        <f aca="false">D42*E42</f>
        <v>97859.581923075</v>
      </c>
      <c r="H42" s="105" t="n">
        <f aca="false">((($F$37)/B27*B25))</f>
        <v>674893.668435</v>
      </c>
      <c r="I42" s="105" t="e">
        <f aca="false">((($F$37)/M27*M25))</f>
        <v>#DIV/0!</v>
      </c>
      <c r="L42" s="120" t="s">
        <v>130</v>
      </c>
    </row>
    <row r="43" customFormat="false" ht="15" hidden="false" customHeight="true" outlineLevel="0" collapsed="false">
      <c r="A43" s="105" t="str">
        <f aca="false">A26</f>
        <v>Apr 2023 - Jun 2023</v>
      </c>
      <c r="B43" s="127"/>
      <c r="D43" s="105" t="n">
        <f aca="false">((($F$37)/B27*B26))</f>
        <v>224964.556145</v>
      </c>
      <c r="E43" s="135" t="n">
        <v>0.1</v>
      </c>
      <c r="F43" s="105" t="n">
        <f aca="false">D43*E43</f>
        <v>22496.4556145</v>
      </c>
      <c r="H43" s="105" t="e">
        <f aca="false">((($F$37)/L27*L26))</f>
        <v>#DIV/0!</v>
      </c>
      <c r="I43" s="105" t="e">
        <f aca="false">((($F$37)/M27*M26))</f>
        <v>#DIV/0!</v>
      </c>
      <c r="L43" s="2" t="s">
        <v>131</v>
      </c>
      <c r="O43" s="12" t="n">
        <v>1</v>
      </c>
    </row>
    <row r="44" customFormat="false" ht="15" hidden="false" customHeight="true" outlineLevel="0" collapsed="false">
      <c r="A44" s="105" t="str">
        <f aca="false">+A43</f>
        <v>Apr 2023 - Jun 2023</v>
      </c>
      <c r="B44" s="127"/>
      <c r="E44" s="135" t="n">
        <v>0.045</v>
      </c>
      <c r="F44" s="105" t="n">
        <f aca="false">IF(O45&gt;0.4, D43*E44, 0)</f>
        <v>10123.405026525</v>
      </c>
      <c r="L44" s="2" t="s">
        <v>132</v>
      </c>
      <c r="O44" s="136" t="n">
        <v>1</v>
      </c>
    </row>
    <row r="45" customFormat="false" ht="15" hidden="false" customHeight="true" outlineLevel="0" collapsed="false">
      <c r="D45" s="128" t="n">
        <f aca="false">SUM(D42:D43)</f>
        <v>899858.22458</v>
      </c>
      <c r="F45" s="128" t="n">
        <f aca="false">SUM(F42:F44)</f>
        <v>130479.4425641</v>
      </c>
      <c r="H45" s="128" t="e">
        <f aca="false">SUM(H42:H43)</f>
        <v>#DIV/0!</v>
      </c>
      <c r="I45" s="128" t="e">
        <f aca="false">SUM(I42:I43)</f>
        <v>#DIV/0!</v>
      </c>
      <c r="J45" s="128"/>
      <c r="O45" s="132" t="n">
        <f aca="false">+O43/O44</f>
        <v>1</v>
      </c>
    </row>
    <row r="46" customFormat="false" ht="15" hidden="false" customHeight="true" outlineLevel="0" collapsed="false">
      <c r="F46" s="105"/>
    </row>
    <row r="47" customFormat="false" ht="15" hidden="false" customHeight="true" outlineLevel="0" collapsed="false"/>
    <row r="48" customFormat="false" ht="26.25" hidden="false" customHeight="true" outlineLevel="0" collapsed="false">
      <c r="A48" s="120" t="s">
        <v>133</v>
      </c>
      <c r="D48" s="123" t="s">
        <v>106</v>
      </c>
      <c r="E48" s="122" t="s">
        <v>134</v>
      </c>
      <c r="F48" s="121" t="s">
        <v>108</v>
      </c>
      <c r="H48" s="123"/>
      <c r="I48" s="123"/>
      <c r="J48" s="123"/>
    </row>
    <row r="49" customFormat="false" ht="6" hidden="false" customHeight="true" outlineLevel="0" collapsed="false">
      <c r="A49" s="120"/>
    </row>
    <row r="50" customFormat="false" ht="12.75" hidden="false" customHeight="false" outlineLevel="0" collapsed="false">
      <c r="A50" s="137" t="s">
        <v>135</v>
      </c>
    </row>
    <row r="51" customFormat="false" ht="15" hidden="false" customHeight="true" outlineLevel="0" collapsed="false">
      <c r="A51" s="2" t="s">
        <v>109</v>
      </c>
      <c r="D51" s="12" t="n">
        <f aca="false">Staff!AN921+Staff!BD921</f>
        <v>128104.258</v>
      </c>
      <c r="E51" s="133" t="n">
        <v>1</v>
      </c>
      <c r="F51" s="12" t="n">
        <f aca="false">D51*E51</f>
        <v>128104.258</v>
      </c>
      <c r="H51" s="12"/>
      <c r="I51" s="12"/>
      <c r="J51" s="12"/>
    </row>
    <row r="52" customFormat="false" ht="15" hidden="false" customHeight="true" outlineLevel="0" collapsed="false">
      <c r="A52" s="2" t="s">
        <v>110</v>
      </c>
      <c r="D52" s="12" t="n">
        <f aca="false">'Overseas Staff'!AK905</f>
        <v>0</v>
      </c>
      <c r="E52" s="133" t="n">
        <v>1</v>
      </c>
      <c r="F52" s="12" t="n">
        <f aca="false">D52*E52</f>
        <v>0</v>
      </c>
      <c r="H52" s="12"/>
      <c r="I52" s="12"/>
      <c r="J52" s="12"/>
    </row>
    <row r="53" customFormat="false" ht="15" hidden="false" customHeight="true" outlineLevel="0" collapsed="false">
      <c r="A53" s="2" t="s">
        <v>111</v>
      </c>
      <c r="D53" s="12" t="n">
        <f aca="false">'Recruitment &amp; Relocation'!AJ50</f>
        <v>1300</v>
      </c>
      <c r="E53" s="133" t="n">
        <v>1</v>
      </c>
      <c r="F53" s="12" t="n">
        <f aca="false">D53*E53</f>
        <v>1300</v>
      </c>
      <c r="H53" s="12"/>
      <c r="I53" s="12"/>
      <c r="J53" s="12"/>
    </row>
    <row r="54" customFormat="false" ht="15" hidden="false" customHeight="true" outlineLevel="0" collapsed="false">
      <c r="A54" s="2" t="s">
        <v>87</v>
      </c>
      <c r="D54" s="12" t="n">
        <f aca="false">Training!AH52</f>
        <v>800</v>
      </c>
      <c r="E54" s="133" t="n">
        <v>1</v>
      </c>
      <c r="F54" s="12" t="n">
        <f aca="false">D54*E54</f>
        <v>800</v>
      </c>
      <c r="H54" s="12"/>
      <c r="I54" s="12"/>
      <c r="J54" s="12"/>
    </row>
    <row r="55" customFormat="false" ht="15" hidden="false" customHeight="true" outlineLevel="0" collapsed="false">
      <c r="A55" s="2" t="s">
        <v>136</v>
      </c>
      <c r="D55" s="12" t="n">
        <f aca="false">'Travel &amp; Subsistence'!AH101</f>
        <v>353</v>
      </c>
      <c r="E55" s="133" t="n">
        <v>1</v>
      </c>
      <c r="F55" s="12" t="n">
        <f aca="false">D55*E55</f>
        <v>353</v>
      </c>
      <c r="H55" s="12"/>
      <c r="I55" s="12"/>
      <c r="J55" s="12"/>
    </row>
    <row r="56" customFormat="false" ht="15" hidden="false" customHeight="true" outlineLevel="0" collapsed="false">
      <c r="A56" s="2" t="s">
        <v>91</v>
      </c>
      <c r="B56" s="138"/>
      <c r="D56" s="12" t="n">
        <f aca="false">Software!AH247</f>
        <v>4368</v>
      </c>
      <c r="E56" s="133" t="n">
        <v>1</v>
      </c>
      <c r="F56" s="12" t="n">
        <f aca="false">D56*E56</f>
        <v>4368</v>
      </c>
      <c r="H56" s="12"/>
      <c r="I56" s="12"/>
      <c r="J56" s="12"/>
    </row>
    <row r="57" customFormat="false" ht="15" hidden="false" customHeight="true" outlineLevel="0" collapsed="false">
      <c r="A57" s="2" t="s">
        <v>113</v>
      </c>
      <c r="B57" s="138"/>
      <c r="D57" s="12" t="n">
        <f aca="false">'Materials and Consumables'!AH215+Subcontractors!BE210</f>
        <v>22356</v>
      </c>
      <c r="E57" s="133" t="n">
        <v>1</v>
      </c>
      <c r="F57" s="12" t="n">
        <f aca="false">D57*E57</f>
        <v>22356</v>
      </c>
      <c r="H57" s="12"/>
      <c r="I57" s="12"/>
      <c r="J57" s="12"/>
    </row>
    <row r="58" customFormat="false" ht="15" hidden="false" customHeight="true" outlineLevel="0" collapsed="false">
      <c r="A58" s="2" t="s">
        <v>137</v>
      </c>
      <c r="D58" s="12" t="n">
        <f aca="false">Subcontractors!AN210</f>
        <v>1680</v>
      </c>
      <c r="E58" s="133" t="n">
        <v>1</v>
      </c>
      <c r="F58" s="12" t="n">
        <f aca="false">D58*E58</f>
        <v>1680</v>
      </c>
      <c r="H58" s="12"/>
      <c r="I58" s="12"/>
      <c r="J58" s="12"/>
    </row>
    <row r="59" customFormat="false" ht="15" hidden="false" customHeight="true" outlineLevel="0" collapsed="false">
      <c r="A59" s="2" t="s">
        <v>116</v>
      </c>
      <c r="D59" s="13" t="n">
        <f aca="false">SUM(D51:D58)</f>
        <v>158961.258</v>
      </c>
      <c r="F59" s="15" t="n">
        <f aca="false">SUM(F51:F58)</f>
        <v>158961.258</v>
      </c>
      <c r="H59" s="12"/>
      <c r="I59" s="12"/>
      <c r="J59" s="12"/>
    </row>
    <row r="60" customFormat="false" ht="15" hidden="false" customHeight="true" outlineLevel="0" collapsed="false">
      <c r="F60" s="12"/>
    </row>
    <row r="61" customFormat="false" ht="15" hidden="false" customHeight="true" outlineLevel="0" collapsed="false">
      <c r="F61" s="12"/>
    </row>
    <row r="62" customFormat="false" ht="15" hidden="false" customHeight="true" outlineLevel="0" collapsed="false">
      <c r="F62" s="12"/>
    </row>
    <row r="63" customFormat="false" ht="15" hidden="false" customHeight="true" outlineLevel="0" collapsed="false">
      <c r="A63" s="2" t="s">
        <v>138</v>
      </c>
      <c r="F63" s="12"/>
      <c r="K63" s="12"/>
    </row>
    <row r="64" customFormat="false" ht="15" hidden="false" customHeight="true" outlineLevel="0" collapsed="false">
      <c r="A64" s="105" t="str">
        <f aca="false">A25</f>
        <v>Jul 2022 - Mar 2023</v>
      </c>
      <c r="E64" s="131" t="n">
        <v>0.13</v>
      </c>
      <c r="F64" s="12" t="n">
        <f aca="false">(F59/B27*B25)*E64</f>
        <v>15498.722655</v>
      </c>
    </row>
    <row r="65" customFormat="false" ht="15" hidden="false" customHeight="true" outlineLevel="0" collapsed="false">
      <c r="A65" s="105" t="str">
        <f aca="false">A26</f>
        <v>Apr 2023 - Jun 2023</v>
      </c>
      <c r="E65" s="131" t="n">
        <v>0.2</v>
      </c>
      <c r="F65" s="12" t="n">
        <f aca="false">(F59/B27*B26)*E65</f>
        <v>7948.0629</v>
      </c>
    </row>
    <row r="66" customFormat="false" ht="15" hidden="false" customHeight="true" outlineLevel="0" collapsed="false">
      <c r="A66" s="2" t="s">
        <v>82</v>
      </c>
      <c r="E66" s="133"/>
      <c r="F66" s="13" t="n">
        <f aca="false">F64+F65</f>
        <v>23446.785555</v>
      </c>
    </row>
    <row r="67" customFormat="false" ht="15" hidden="false" customHeight="true" outlineLevel="0" collapsed="false">
      <c r="F67" s="12"/>
    </row>
    <row r="68" customFormat="false" ht="15" hidden="false" customHeight="true" outlineLevel="0" collapsed="false">
      <c r="A68" s="139" t="s">
        <v>139</v>
      </c>
      <c r="E68" s="14"/>
      <c r="F68" s="12"/>
    </row>
    <row r="69" customFormat="false" ht="15" hidden="false" customHeight="true" outlineLevel="0" collapsed="false">
      <c r="A69" s="2" t="s">
        <v>140</v>
      </c>
      <c r="F69" s="12" t="n">
        <f aca="false">F30</f>
        <v>0</v>
      </c>
    </row>
    <row r="70" customFormat="false" ht="15" hidden="false" customHeight="true" outlineLevel="0" collapsed="false">
      <c r="A70" s="2" t="s">
        <v>141</v>
      </c>
      <c r="F70" s="12" t="n">
        <v>0</v>
      </c>
    </row>
    <row r="71" customFormat="false" ht="15" hidden="false" customHeight="true" outlineLevel="0" collapsed="false">
      <c r="A71" s="2" t="s">
        <v>142</v>
      </c>
      <c r="F71" s="140" t="n">
        <f aca="false">F66-F70</f>
        <v>23446.785555</v>
      </c>
    </row>
    <row r="72" customFormat="false" ht="15" hidden="false" customHeight="true" outlineLevel="0" collapsed="false">
      <c r="F72" s="12"/>
    </row>
    <row r="73" customFormat="false" ht="15" hidden="false" customHeight="true" outlineLevel="0" collapsed="false">
      <c r="A73" s="139" t="s">
        <v>143</v>
      </c>
      <c r="F73" s="12"/>
    </row>
    <row r="74" customFormat="false" ht="15" hidden="false" customHeight="true" outlineLevel="0" collapsed="false">
      <c r="A74" s="2" t="s">
        <v>144</v>
      </c>
      <c r="B74" s="104" t="s">
        <v>124</v>
      </c>
      <c r="F74" s="12" t="n">
        <f aca="false">F71</f>
        <v>23446.785555</v>
      </c>
    </row>
    <row r="75" customFormat="false" ht="15" hidden="false" customHeight="true" outlineLevel="0" collapsed="false">
      <c r="A75" s="2" t="s">
        <v>145</v>
      </c>
      <c r="F75" s="12"/>
    </row>
    <row r="76" customFormat="false" ht="15" hidden="false" customHeight="true" outlineLevel="0" collapsed="false">
      <c r="A76" s="141" t="str">
        <f aca="false">A25</f>
        <v>Jul 2022 - Mar 2023</v>
      </c>
      <c r="D76" s="131" t="n">
        <v>0.19</v>
      </c>
      <c r="E76" s="12" t="n">
        <f aca="false">F66/B27*B25*D76</f>
        <v>3341.1669415875</v>
      </c>
      <c r="H76" s="131"/>
      <c r="I76" s="131"/>
      <c r="J76" s="131"/>
    </row>
    <row r="77" customFormat="false" ht="15" hidden="false" customHeight="true" outlineLevel="0" collapsed="false">
      <c r="A77" s="141" t="str">
        <f aca="false">A26</f>
        <v>Apr 2023 - Jun 2023</v>
      </c>
      <c r="D77" s="131" t="n">
        <v>0.25</v>
      </c>
      <c r="E77" s="136" t="n">
        <f aca="false">F66/B27*B26*D77</f>
        <v>1465.4240971875</v>
      </c>
      <c r="H77" s="131"/>
      <c r="I77" s="131"/>
      <c r="J77" s="131"/>
    </row>
    <row r="78" customFormat="false" ht="15" hidden="false" customHeight="true" outlineLevel="0" collapsed="false">
      <c r="F78" s="136" t="n">
        <f aca="false">E76+E77</f>
        <v>4806.591038775</v>
      </c>
    </row>
    <row r="79" customFormat="false" ht="15" hidden="false" customHeight="true" outlineLevel="0" collapsed="false">
      <c r="A79" s="2" t="s">
        <v>146</v>
      </c>
      <c r="B79" s="104" t="s">
        <v>126</v>
      </c>
      <c r="F79" s="12" t="n">
        <f aca="false">F74-F78</f>
        <v>18640.194516225</v>
      </c>
    </row>
    <row r="80" customFormat="false" ht="15" hidden="false" customHeight="true" outlineLevel="0" collapsed="false">
      <c r="F80" s="12"/>
    </row>
    <row r="81" customFormat="false" ht="15" hidden="false" customHeight="true" outlineLevel="0" collapsed="false">
      <c r="A81" s="2" t="s">
        <v>147</v>
      </c>
      <c r="B81" s="104" t="s">
        <v>128</v>
      </c>
      <c r="F81" s="140" t="n">
        <f aca="false">IF(F79&lt;F74,F79,F74)</f>
        <v>18640.194516225</v>
      </c>
    </row>
    <row r="82" customFormat="false" ht="15" hidden="false" customHeight="true" outlineLevel="0" collapsed="false">
      <c r="F82" s="12"/>
    </row>
    <row r="83" customFormat="false" ht="15" hidden="false" customHeight="true" outlineLevel="0" collapsed="false">
      <c r="A83" s="139" t="s">
        <v>148</v>
      </c>
      <c r="F83" s="12"/>
    </row>
    <row r="84" customFormat="false" ht="15" hidden="false" customHeight="true" outlineLevel="0" collapsed="false">
      <c r="A84" s="2" t="s">
        <v>149</v>
      </c>
      <c r="B84" s="104" t="s">
        <v>150</v>
      </c>
      <c r="F84" s="12" t="n">
        <f aca="false">F81</f>
        <v>18640.194516225</v>
      </c>
    </row>
    <row r="85" customFormat="false" ht="15" hidden="false" customHeight="true" outlineLevel="0" collapsed="false">
      <c r="A85" s="2" t="s">
        <v>151</v>
      </c>
      <c r="B85" s="104" t="s">
        <v>152</v>
      </c>
      <c r="F85" s="12" t="n">
        <f aca="false">Staff!AN923</f>
        <v>50272.1787176897</v>
      </c>
    </row>
    <row r="86" customFormat="false" ht="15" hidden="false" customHeight="true" outlineLevel="0" collapsed="false">
      <c r="F86" s="12"/>
    </row>
    <row r="87" customFormat="false" ht="15" hidden="false" customHeight="true" outlineLevel="0" collapsed="false">
      <c r="A87" s="2" t="s">
        <v>147</v>
      </c>
      <c r="B87" s="104" t="s">
        <v>153</v>
      </c>
      <c r="F87" s="140" t="n">
        <f aca="false">IF(F85&lt;F84,F85,F84)</f>
        <v>18640.194516225</v>
      </c>
    </row>
    <row r="88" customFormat="false" ht="15" hidden="false" customHeight="true" outlineLevel="0" collapsed="false">
      <c r="F88" s="12"/>
    </row>
    <row r="89" customFormat="false" ht="15" hidden="false" customHeight="true" outlineLevel="0" collapsed="false">
      <c r="A89" s="139" t="s">
        <v>154</v>
      </c>
      <c r="F89" s="12"/>
    </row>
    <row r="90" customFormat="false" ht="15" hidden="false" customHeight="true" outlineLevel="0" collapsed="false">
      <c r="A90" s="2" t="s">
        <v>155</v>
      </c>
      <c r="F90" s="12" t="n">
        <f aca="false">F87</f>
        <v>18640.194516225</v>
      </c>
    </row>
    <row r="91" customFormat="false" ht="15" hidden="false" customHeight="true" outlineLevel="0" collapsed="false">
      <c r="A91" s="2" t="s">
        <v>156</v>
      </c>
      <c r="F91" s="12" t="n">
        <v>0</v>
      </c>
    </row>
    <row r="92" customFormat="false" ht="15" hidden="false" customHeight="true" outlineLevel="0" collapsed="false">
      <c r="A92" s="2" t="s">
        <v>147</v>
      </c>
      <c r="F92" s="140" t="n">
        <f aca="false">F90-F91</f>
        <v>18640.194516225</v>
      </c>
    </row>
    <row r="93" customFormat="false" ht="15" hidden="false" customHeight="true" outlineLevel="0" collapsed="false">
      <c r="F93" s="12"/>
    </row>
    <row r="94" customFormat="false" ht="15" hidden="false" customHeight="true" outlineLevel="0" collapsed="false">
      <c r="A94" s="139" t="s">
        <v>157</v>
      </c>
      <c r="F94" s="12"/>
    </row>
    <row r="95" customFormat="false" ht="15" hidden="false" customHeight="true" outlineLevel="0" collapsed="false">
      <c r="A95" s="2" t="s">
        <v>158</v>
      </c>
      <c r="F95" s="12" t="n">
        <f aca="false">F92</f>
        <v>18640.194516225</v>
      </c>
    </row>
    <row r="96" customFormat="false" ht="15" hidden="false" customHeight="true" outlineLevel="0" collapsed="false">
      <c r="A96" s="2" t="s">
        <v>159</v>
      </c>
      <c r="F96" s="12" t="n">
        <v>0</v>
      </c>
    </row>
    <row r="97" customFormat="false" ht="15" hidden="false" customHeight="true" outlineLevel="0" collapsed="false">
      <c r="A97" s="2" t="s">
        <v>147</v>
      </c>
      <c r="F97" s="140" t="n">
        <f aca="false">F95-F96</f>
        <v>18640.194516225</v>
      </c>
    </row>
    <row r="98" customFormat="false" ht="15" hidden="false" customHeight="true" outlineLevel="0" collapsed="false">
      <c r="F98" s="12"/>
    </row>
    <row r="99" customFormat="false" ht="15" hidden="false" customHeight="true" outlineLevel="0" collapsed="false">
      <c r="A99" s="139" t="s">
        <v>160</v>
      </c>
      <c r="F99" s="12"/>
    </row>
    <row r="100" customFormat="false" ht="15" hidden="false" customHeight="true" outlineLevel="0" collapsed="false">
      <c r="A100" s="2" t="s">
        <v>161</v>
      </c>
      <c r="F100" s="12" t="n">
        <f aca="false">F97</f>
        <v>18640.194516225</v>
      </c>
    </row>
    <row r="101" customFormat="false" ht="15" hidden="false" customHeight="true" outlineLevel="0" collapsed="false">
      <c r="A101" s="2" t="s">
        <v>162</v>
      </c>
      <c r="F101" s="12" t="n">
        <v>0</v>
      </c>
    </row>
    <row r="102" customFormat="false" ht="15" hidden="false" customHeight="true" outlineLevel="0" collapsed="false">
      <c r="A102" s="2" t="s">
        <v>147</v>
      </c>
      <c r="F102" s="140" t="n">
        <f aca="false">F100-F101</f>
        <v>18640.194516225</v>
      </c>
    </row>
    <row r="103" customFormat="false" ht="15" hidden="false" customHeight="true" outlineLevel="0" collapsed="false">
      <c r="F103" s="12"/>
    </row>
    <row r="104" customFormat="false" ht="15" hidden="false" customHeight="true" outlineLevel="0" collapsed="false">
      <c r="A104" s="139" t="s">
        <v>163</v>
      </c>
      <c r="F104" s="12"/>
    </row>
    <row r="105" customFormat="false" ht="15" hidden="false" customHeight="true" outlineLevel="0" collapsed="false">
      <c r="A105" s="2" t="s">
        <v>164</v>
      </c>
      <c r="F105" s="140" t="n">
        <f aca="false">F102</f>
        <v>18640.194516225</v>
      </c>
    </row>
    <row r="106" customFormat="false" ht="15" hidden="false" customHeight="true" outlineLevel="0" collapsed="false">
      <c r="F106" s="12"/>
    </row>
    <row r="107" customFormat="false" ht="15" hidden="false" customHeight="true" outlineLevel="0" collapsed="false">
      <c r="F107" s="12"/>
    </row>
    <row r="108" customFormat="false" ht="15" hidden="false" customHeight="true" outlineLevel="0" collapsed="false">
      <c r="A108" s="139" t="s">
        <v>165</v>
      </c>
      <c r="F108" s="12"/>
    </row>
    <row r="109" customFormat="false" ht="15" hidden="false" customHeight="true" outlineLevel="0" collapsed="false">
      <c r="A109" s="2" t="s">
        <v>166</v>
      </c>
      <c r="F109" s="142" t="n">
        <v>0</v>
      </c>
    </row>
    <row r="110" customFormat="false" ht="15" hidden="false" customHeight="true" outlineLevel="0" collapsed="false">
      <c r="A110" s="2" t="s">
        <v>167</v>
      </c>
      <c r="F110" s="12" t="n">
        <f aca="false">F78</f>
        <v>4806.591038775</v>
      </c>
    </row>
    <row r="111" customFormat="false" ht="15" hidden="false" customHeight="true" outlineLevel="0" collapsed="false">
      <c r="A111" s="2" t="s">
        <v>168</v>
      </c>
      <c r="F111" s="143" t="n">
        <v>0</v>
      </c>
    </row>
    <row r="112" customFormat="false" ht="15" hidden="false" customHeight="true" outlineLevel="0" collapsed="false">
      <c r="A112" s="2" t="s">
        <v>169</v>
      </c>
      <c r="F112" s="12" t="n">
        <f aca="false">IF(F85&lt;F84,F84-F85,0)</f>
        <v>0</v>
      </c>
    </row>
    <row r="113" customFormat="false" ht="15" hidden="false" customHeight="true" outlineLevel="0" collapsed="false">
      <c r="A113" s="2" t="s">
        <v>170</v>
      </c>
      <c r="F113" s="12" t="n">
        <f aca="false">F91</f>
        <v>0</v>
      </c>
    </row>
    <row r="114" customFormat="false" ht="15" hidden="false" customHeight="true" outlineLevel="0" collapsed="false">
      <c r="A114" s="2" t="s">
        <v>171</v>
      </c>
      <c r="F114" s="144" t="n">
        <f aca="false">F105</f>
        <v>18640.194516225</v>
      </c>
    </row>
    <row r="115" customFormat="false" ht="15" hidden="false" customHeight="true" outlineLevel="0" collapsed="false">
      <c r="A115" s="2" t="s">
        <v>172</v>
      </c>
      <c r="F115" s="144" t="n">
        <f aca="false">+F109+F110+F111+F112-F113</f>
        <v>4806.591038775</v>
      </c>
    </row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>
      <c r="A118" s="139" t="s">
        <v>173</v>
      </c>
    </row>
    <row r="119" customFormat="false" ht="15" hidden="false" customHeight="true" outlineLevel="0" collapsed="false">
      <c r="A119" s="2" t="s">
        <v>174</v>
      </c>
      <c r="F119" s="141" t="n">
        <f aca="false">F114+F111+F70+F45</f>
        <v>149119.637080325</v>
      </c>
    </row>
    <row r="120" customFormat="false" ht="15" hidden="false" customHeight="true" outlineLevel="0" collapsed="false">
      <c r="A120" s="2" t="s">
        <v>175</v>
      </c>
      <c r="F120" s="145" t="s">
        <v>69</v>
      </c>
    </row>
    <row r="121" customFormat="false" ht="15" hidden="false" customHeight="true" outlineLevel="0" collapsed="false">
      <c r="A121" s="2" t="s">
        <v>176</v>
      </c>
      <c r="F121" s="141" t="n">
        <f aca="false">F22+F27+F59</f>
        <v>1815002.86458</v>
      </c>
    </row>
    <row r="122" customFormat="false" ht="15" hidden="false" customHeight="true" outlineLevel="0" collapsed="false">
      <c r="A122" s="2" t="s">
        <v>177</v>
      </c>
      <c r="F122" s="141" t="n">
        <f aca="false">F119</f>
        <v>149119.637080325</v>
      </c>
      <c r="K122" s="141"/>
    </row>
    <row r="123" customFormat="false" ht="15" hidden="false" customHeight="true" outlineLevel="0" collapsed="false"/>
    <row r="124" customFormat="false" ht="15" hidden="false" customHeight="true" outlineLevel="0" collapsed="false">
      <c r="A124" s="2" t="s">
        <v>178</v>
      </c>
    </row>
    <row r="125" customFormat="false" ht="15" hidden="false" customHeight="true" outlineLevel="0" collapsed="false">
      <c r="A125" s="2" t="s">
        <v>179</v>
      </c>
      <c r="F125" s="141" t="n">
        <f aca="false">20000+((Staff!F916+Staff!G916+Staff!H921)*3)</f>
        <v>890788.49</v>
      </c>
    </row>
    <row r="126" customFormat="false" ht="15" hidden="false" customHeight="true" outlineLevel="0" collapsed="false">
      <c r="A126" s="2" t="s">
        <v>180</v>
      </c>
      <c r="B126" s="127"/>
    </row>
    <row r="127" customFormat="false" ht="15" hidden="false" customHeight="true" outlineLevel="0" collapsed="false"/>
  </sheetData>
  <printOptions headings="false" gridLines="false" gridLinesSet="true" horizontalCentered="true" verticalCentered="false"/>
  <pageMargins left="0.315277777777778" right="0.315277777777778" top="0.354166666666667" bottom="0.354166666666667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7" man="true" max="16383" min="0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9375" defaultRowHeight="15" customHeight="true" zeroHeight="false" outlineLevelRow="0" outlineLevelCol="1"/>
  <cols>
    <col collapsed="false" customWidth="true" hidden="false" outlineLevel="0" max="1" min="1" style="17" width="53.66"/>
    <col collapsed="false" customWidth="true" hidden="false" outlineLevel="1" max="4" min="2" style="146" width="15"/>
    <col collapsed="false" customWidth="true" hidden="false" outlineLevel="0" max="5" min="5" style="146" width="15"/>
    <col collapsed="false" customWidth="true" hidden="false" outlineLevel="0" max="6" min="6" style="17" width="15"/>
    <col collapsed="false" customWidth="true" hidden="false" outlineLevel="1" max="8" min="7" style="17" width="15"/>
    <col collapsed="false" customWidth="true" hidden="false" outlineLevel="0" max="10" min="9" style="17" width="15"/>
    <col collapsed="false" customWidth="false" hidden="false" outlineLevel="0" max="13" min="11" style="17" width="9.11"/>
    <col collapsed="false" customWidth="true" hidden="false" outlineLevel="0" max="14" min="14" style="17" width="12.44"/>
    <col collapsed="false" customWidth="false" hidden="false" outlineLevel="0" max="16384" min="15" style="17" width="9.11"/>
  </cols>
  <sheetData>
    <row r="1" s="22" customFormat="true" ht="15" hidden="false" customHeight="true" outlineLevel="0" collapsed="false">
      <c r="A1" s="19" t="s">
        <v>181</v>
      </c>
      <c r="B1" s="20"/>
      <c r="D1" s="20"/>
      <c r="E1" s="147"/>
      <c r="F1" s="20"/>
      <c r="G1" s="20"/>
    </row>
    <row r="2" customFormat="false" ht="15" hidden="false" customHeight="true" outlineLevel="0" collapsed="false">
      <c r="A2" s="23" t="str">
        <f aca="false">Summary!A2</f>
        <v>NovaTech Solutions Ltd</v>
      </c>
      <c r="B2" s="26"/>
      <c r="C2" s="28"/>
      <c r="D2" s="26"/>
      <c r="F2" s="26"/>
      <c r="G2" s="26"/>
    </row>
    <row r="3" customFormat="false" ht="15" hidden="false" customHeight="true" outlineLevel="0" collapsed="false">
      <c r="A3" s="23" t="str">
        <f aca="false">Summary!A3</f>
        <v>Tax Reference: 1234567890</v>
      </c>
      <c r="B3" s="148"/>
      <c r="C3" s="148"/>
      <c r="D3" s="148"/>
      <c r="E3" s="148"/>
      <c r="F3" s="28"/>
      <c r="G3" s="26"/>
      <c r="H3" s="26"/>
      <c r="I3" s="26"/>
      <c r="J3" s="26"/>
    </row>
    <row r="4" customFormat="false" ht="15" hidden="false" customHeight="true" outlineLevel="0" collapsed="false">
      <c r="A4" s="23" t="str">
        <f aca="false">Summary!A4</f>
        <v>Period: 01/01/2024 to 31/12/2024</v>
      </c>
      <c r="F4" s="149"/>
      <c r="G4" s="26"/>
      <c r="H4" s="26"/>
      <c r="I4" s="26"/>
      <c r="J4" s="26"/>
    </row>
    <row r="5" customFormat="false" ht="15" hidden="false" customHeight="true" outlineLevel="0" collapsed="false">
      <c r="A5" s="23"/>
      <c r="F5" s="149"/>
      <c r="G5" s="26"/>
      <c r="H5" s="26"/>
      <c r="I5" s="26"/>
      <c r="J5" s="26"/>
    </row>
    <row r="6" s="91" customFormat="true" ht="7.5" hidden="false" customHeight="true" outlineLevel="0" collapsed="false">
      <c r="A6" s="150"/>
      <c r="B6" s="151"/>
      <c r="C6" s="151"/>
      <c r="D6" s="151"/>
      <c r="E6" s="151"/>
      <c r="F6" s="150"/>
      <c r="G6" s="152"/>
      <c r="H6" s="152"/>
      <c r="I6" s="152"/>
      <c r="J6" s="153"/>
    </row>
    <row r="7" customFormat="false" ht="15" hidden="false" customHeight="true" outlineLevel="0" collapsed="false">
      <c r="A7" s="154" t="s">
        <v>105</v>
      </c>
      <c r="B7" s="155"/>
      <c r="C7" s="155"/>
      <c r="D7" s="155"/>
      <c r="E7" s="155"/>
      <c r="F7" s="156"/>
      <c r="G7" s="155"/>
      <c r="H7" s="155"/>
      <c r="I7" s="155"/>
      <c r="J7" s="157"/>
    </row>
    <row r="8" customFormat="false" ht="15" hidden="false" customHeight="true" outlineLevel="0" collapsed="false">
      <c r="A8" s="158" t="s">
        <v>182</v>
      </c>
      <c r="B8" s="159" t="s">
        <v>104</v>
      </c>
      <c r="C8" s="159" t="s">
        <v>59</v>
      </c>
      <c r="D8" s="159" t="s">
        <v>60</v>
      </c>
      <c r="E8" s="160" t="s">
        <v>183</v>
      </c>
      <c r="F8" s="161" t="s">
        <v>184</v>
      </c>
      <c r="G8" s="159" t="s">
        <v>185</v>
      </c>
      <c r="H8" s="159" t="s">
        <v>186</v>
      </c>
      <c r="I8" s="159" t="s">
        <v>187</v>
      </c>
      <c r="J8" s="159" t="s">
        <v>104</v>
      </c>
    </row>
    <row r="9" customFormat="false" ht="15" hidden="false" customHeight="true" outlineLevel="0" collapsed="false">
      <c r="A9" s="162"/>
      <c r="B9" s="163"/>
      <c r="C9" s="164" t="n">
        <f aca="false">+Summary!$B$8</f>
        <v>45292</v>
      </c>
      <c r="D9" s="164" t="n">
        <f aca="false">+Summary!$B$9</f>
        <v>45383</v>
      </c>
      <c r="E9" s="165"/>
      <c r="F9" s="166"/>
      <c r="G9" s="164" t="n">
        <f aca="false">+Summary!$B$8</f>
        <v>45292</v>
      </c>
      <c r="H9" s="164" t="n">
        <f aca="false">+Summary!$B$9</f>
        <v>45383</v>
      </c>
      <c r="I9" s="167"/>
      <c r="J9" s="167"/>
    </row>
    <row r="10" customFormat="false" ht="15" hidden="false" customHeight="true" outlineLevel="0" collapsed="false">
      <c r="A10" s="168"/>
      <c r="B10" s="169"/>
      <c r="C10" s="170" t="n">
        <f aca="false">+Summary!$C$8</f>
        <v>45382</v>
      </c>
      <c r="D10" s="170" t="n">
        <f aca="false">+Summary!$C$9</f>
        <v>45657</v>
      </c>
      <c r="E10" s="171"/>
      <c r="F10" s="172"/>
      <c r="G10" s="170" t="n">
        <f aca="false">+Summary!$C$8</f>
        <v>45382</v>
      </c>
      <c r="H10" s="170" t="n">
        <f aca="false">+Summary!$C$9</f>
        <v>45657</v>
      </c>
      <c r="I10" s="173"/>
      <c r="J10" s="173"/>
    </row>
    <row r="11" customFormat="false" ht="15" hidden="false" customHeight="true" outlineLevel="0" collapsed="false">
      <c r="A11" s="174" t="s">
        <v>109</v>
      </c>
      <c r="B11" s="175" t="n">
        <f aca="false">+E11-C11-D11</f>
        <v>0</v>
      </c>
      <c r="C11" s="175" t="n">
        <f aca="false">(SUMIFS(Staff!AO7:AO900,Staff!D7:D900,"&gt;="&amp;C9,Staff!D7:D900,"&lt;="&amp;C10))+(SUMIFS(Staff!BE7:BE900,Staff!D7:D900,"&gt;="&amp;C9,Staff!D7:D900,"&lt;="&amp;C10))-((Staff!AO919+Staff!BE919)/E25*E23)</f>
        <v>153360.3545</v>
      </c>
      <c r="D11" s="175" t="n">
        <f aca="false">(SUMIFS(Staff!AO7:AO900,Staff!D7:D900,"&gt;="&amp;D9,Staff!D7:D900,"&lt;="&amp;D10))+(SUMIFS(Staff!BE7:BE900,Staff!D7:D900,"&gt;="&amp;D9,Staff!D7:D900,"&lt;="&amp;D10))-((Staff!AO919+Staff!BE919)/E25*E24)</f>
        <v>458187.1275</v>
      </c>
      <c r="E11" s="176" t="n">
        <f aca="false">Staff!AO921+Staff!BE921</f>
        <v>611547.482</v>
      </c>
      <c r="F11" s="177" t="n">
        <v>1</v>
      </c>
      <c r="G11" s="178" t="n">
        <f aca="false">+C11*$F11</f>
        <v>153360.3545</v>
      </c>
      <c r="H11" s="178" t="n">
        <f aca="false">+D11*$F11</f>
        <v>458187.1275</v>
      </c>
      <c r="I11" s="178" t="n">
        <f aca="false">SUM(G11:H11)</f>
        <v>611547.482</v>
      </c>
      <c r="J11" s="178" t="n">
        <f aca="false">+(E11*F11)-I11</f>
        <v>0</v>
      </c>
      <c r="L11" s="179"/>
    </row>
    <row r="12" customFormat="false" ht="15" hidden="false" customHeight="true" outlineLevel="0" collapsed="false">
      <c r="A12" s="174" t="s">
        <v>188</v>
      </c>
      <c r="B12" s="175" t="n">
        <f aca="false">+E12-C12-D12</f>
        <v>0</v>
      </c>
      <c r="C12" s="175" t="n">
        <f aca="false">(SUMIFS('Overseas Staff'!AL7:AL902,'Overseas Staff'!D7:D902,"&gt;="&amp;C9,'Overseas Staff'!D7:D902,"&lt;="&amp;C10)) +(SUMIFS('Overseas Staff'!BB7:BB902,'Overseas Staff'!D7:D902,"&gt;="&amp;C9,'Overseas Staff'!D7:D902,"&lt;="&amp;C10))</f>
        <v>0</v>
      </c>
      <c r="D12" s="175" t="n">
        <f aca="false">(SUMIFS('Overseas Staff'!AL7:AL902,'Overseas Staff'!D7:D902,"&gt;="&amp;D9,'Overseas Staff'!D7:D902,"&lt;="&amp;D10)) +(SUMIFS('Overseas Staff'!BB7:BB902,'Overseas Staff'!D7:D902,"&gt;="&amp;D9,'Overseas Staff'!D7:D902,"&lt;="&amp;D10))</f>
        <v>0</v>
      </c>
      <c r="E12" s="176" t="n">
        <f aca="false">+'Overseas Staff'!AL905+'Overseas Staff'!BB905</f>
        <v>0</v>
      </c>
      <c r="F12" s="177" t="n">
        <v>1</v>
      </c>
      <c r="G12" s="178" t="n">
        <f aca="false">+C12*$F12</f>
        <v>0</v>
      </c>
      <c r="H12" s="178" t="n">
        <f aca="false">+D12*$F12</f>
        <v>0</v>
      </c>
      <c r="I12" s="178" t="n">
        <f aca="false">SUM(G12:H12)</f>
        <v>0</v>
      </c>
      <c r="J12" s="178" t="n">
        <f aca="false">+(E12*F12)-I12</f>
        <v>0</v>
      </c>
      <c r="L12" s="179"/>
    </row>
    <row r="13" customFormat="false" ht="15" hidden="false" customHeight="true" outlineLevel="0" collapsed="false">
      <c r="A13" s="174" t="s">
        <v>111</v>
      </c>
      <c r="B13" s="175" t="n">
        <f aca="false">+E13-C13-D13</f>
        <v>0</v>
      </c>
      <c r="C13" s="175" t="n">
        <f aca="false">SUMIFS('Recruitment &amp; Relocation'!AK7:AK48, 'Recruitment &amp; Relocation'!A7:A48, "&gt;="&amp;$C$9, 'Recruitment &amp; Relocation'!A7:A48, "&lt;="&amp;$C$10)</f>
        <v>10050</v>
      </c>
      <c r="D13" s="175" t="n">
        <f aca="false">SUMIFS('Recruitment &amp; Relocation'!AK7:AK48, 'Recruitment &amp; Relocation'!A7:A48, "&gt;="&amp;$D$9, 'Recruitment &amp; Relocation'!A7:A48, "&lt;="&amp;$D$10)</f>
        <v>4050</v>
      </c>
      <c r="E13" s="176" t="n">
        <f aca="false">'Recruitment &amp; Relocation'!AK50</f>
        <v>14100</v>
      </c>
      <c r="F13" s="177" t="n">
        <v>0.65</v>
      </c>
      <c r="G13" s="178" t="n">
        <f aca="false">+C13*$F13</f>
        <v>6532.5</v>
      </c>
      <c r="H13" s="178" t="n">
        <f aca="false">+D13*$F13</f>
        <v>2632.5</v>
      </c>
      <c r="I13" s="178" t="n">
        <f aca="false">SUM(G13:H13)</f>
        <v>9165</v>
      </c>
      <c r="J13" s="178" t="n">
        <f aca="false">+(E13*F13)-I13</f>
        <v>0</v>
      </c>
    </row>
    <row r="14" customFormat="false" ht="15" hidden="false" customHeight="true" outlineLevel="0" collapsed="false">
      <c r="A14" s="174" t="s">
        <v>87</v>
      </c>
      <c r="B14" s="175" t="n">
        <f aca="false">+E14-C14-D14</f>
        <v>0</v>
      </c>
      <c r="C14" s="175" t="n">
        <f aca="false">SUMIFS(Training!AI7:AI50,Training!A7:A50, "&gt;="&amp;$C$9,Training!A7:A50, "&lt;="&amp;$C$10)</f>
        <v>2550</v>
      </c>
      <c r="D14" s="175" t="n">
        <f aca="false">SUMIFS(Training!AI7:AI50,Training!A7:A50, "&gt;="&amp;$D$9,Training!A7:A50, "&lt;="&amp;$D$10)</f>
        <v>6100</v>
      </c>
      <c r="E14" s="176" t="n">
        <f aca="false">Training!AI52</f>
        <v>8650</v>
      </c>
      <c r="F14" s="177" t="n">
        <v>1</v>
      </c>
      <c r="G14" s="178" t="n">
        <f aca="false">+C14*$F14</f>
        <v>2550</v>
      </c>
      <c r="H14" s="178" t="n">
        <f aca="false">+D14*$F14</f>
        <v>6100</v>
      </c>
      <c r="I14" s="178" t="n">
        <f aca="false">SUM(G14:H14)</f>
        <v>8650</v>
      </c>
      <c r="J14" s="178" t="n">
        <f aca="false">+(E14*F14)-I14</f>
        <v>0</v>
      </c>
    </row>
    <row r="15" customFormat="false" ht="15" hidden="false" customHeight="true" outlineLevel="0" collapsed="false">
      <c r="A15" s="174" t="s">
        <v>112</v>
      </c>
      <c r="B15" s="175" t="n">
        <f aca="false">+E15-C15-D15</f>
        <v>0</v>
      </c>
      <c r="C15" s="175" t="n">
        <f aca="false">SUMIFS('Travel &amp; Subsistence'!AI7:AI99, 'Travel &amp; Subsistence'!A7:A99, "&gt;="&amp;$C$9, 'Travel &amp; Subsistence'!A7:A99, "&lt;="&amp;$C$10)</f>
        <v>795</v>
      </c>
      <c r="D15" s="175" t="n">
        <f aca="false">SUMIFS('Travel &amp; Subsistence'!AI7:AI99, 'Travel &amp; Subsistence'!A7:A99, "&gt;="&amp;$D$9, 'Travel &amp; Subsistence'!A7:A99, "&lt;="&amp;$D$10)</f>
        <v>1827</v>
      </c>
      <c r="E15" s="176" t="n">
        <f aca="false">'Travel &amp; Subsistence'!AI101</f>
        <v>2622</v>
      </c>
      <c r="F15" s="177" t="n">
        <v>1</v>
      </c>
      <c r="G15" s="178" t="n">
        <f aca="false">+C15*$F15</f>
        <v>795</v>
      </c>
      <c r="H15" s="178" t="n">
        <f aca="false">+D15*$F15</f>
        <v>1827</v>
      </c>
      <c r="I15" s="178" t="n">
        <f aca="false">SUM(G15:H15)</f>
        <v>2622</v>
      </c>
      <c r="J15" s="178" t="n">
        <f aca="false">+(E15*F15)-I15</f>
        <v>0</v>
      </c>
    </row>
    <row r="16" customFormat="false" ht="15" hidden="false" customHeight="true" outlineLevel="0" collapsed="false">
      <c r="A16" s="174" t="s">
        <v>91</v>
      </c>
      <c r="B16" s="175" t="n">
        <f aca="false">+E16-C16-D16</f>
        <v>0</v>
      </c>
      <c r="C16" s="175" t="n">
        <f aca="false">SUMIFS(Software!AI7:AI245, Software!A7:A245, "&gt;="&amp;$C$9, Software!A7:A245, "&lt;="&amp;$C$10)</f>
        <v>14080</v>
      </c>
      <c r="D16" s="175" t="n">
        <f aca="false">SUMIFS(Software!AI7:AI245, Software!A7:A245, "&gt;="&amp;$D$9, Software!A7:A245, "&lt;="&amp;$D$10)</f>
        <v>24592</v>
      </c>
      <c r="E16" s="176" t="n">
        <f aca="false">Software!AI247</f>
        <v>38672</v>
      </c>
      <c r="F16" s="177" t="n">
        <v>1</v>
      </c>
      <c r="G16" s="178" t="n">
        <f aca="false">+C16*$F16</f>
        <v>14080</v>
      </c>
      <c r="H16" s="178" t="n">
        <f aca="false">+D16*$F16</f>
        <v>24592</v>
      </c>
      <c r="I16" s="178" t="n">
        <f aca="false">SUM(G16:H16)</f>
        <v>38672</v>
      </c>
      <c r="J16" s="178" t="n">
        <f aca="false">+(E16*F16)-I16</f>
        <v>0</v>
      </c>
    </row>
    <row r="17" customFormat="false" ht="15" hidden="false" customHeight="true" outlineLevel="0" collapsed="false">
      <c r="A17" s="174" t="s">
        <v>113</v>
      </c>
      <c r="B17" s="175" t="n">
        <f aca="false">+E17-C17-D17</f>
        <v>0</v>
      </c>
      <c r="C17" s="175" t="n">
        <f aca="false">(SUMIFS('Materials and Consumables'!AI7:AI211,'Materials and Consumables'!A7:A211,"&gt;="&amp;$C$9,'Materials and Consumables'!A7:A211,"&lt;="&amp;$C$10))+(SUMIFS(Subcontractors!BF7:BF208,Subcontractors!A7:A208,"&gt;="&amp;$C$9,Subcontractors!A7:A208,"&lt;="&amp;$C$10))</f>
        <v>17134</v>
      </c>
      <c r="D17" s="175" t="n">
        <f aca="false">(SUMIFS('Materials and Consumables'!AI7:AI211,'Materials and Consumables'!A7:A211,"&gt;="&amp;$D$9,'Materials and Consumables'!A7:A211,"&lt;="&amp;$D$10))+(SUMIFS(Subcontractors!BF7:BF208,Subcontractors!A7:A208,"&gt;="&amp;$D$9,Subcontractors!A7:A208,"&lt;="&amp;$D$10))</f>
        <v>24020</v>
      </c>
      <c r="E17" s="176" t="n">
        <f aca="false">'Materials and Consumables'!AI215+Subcontractors!BF210</f>
        <v>41154</v>
      </c>
      <c r="F17" s="177" t="n">
        <v>1</v>
      </c>
      <c r="G17" s="178" t="n">
        <f aca="false">+C17*$F17</f>
        <v>17134</v>
      </c>
      <c r="H17" s="178" t="n">
        <f aca="false">+D17*$F17</f>
        <v>24020</v>
      </c>
      <c r="I17" s="178" t="n">
        <f aca="false">SUM(G17:H17)</f>
        <v>41154</v>
      </c>
      <c r="J17" s="178" t="n">
        <f aca="false">+(E17*F17)-I17</f>
        <v>0</v>
      </c>
    </row>
    <row r="18" customFormat="false" ht="15" hidden="false" customHeight="true" outlineLevel="0" collapsed="false">
      <c r="A18" s="174" t="s">
        <v>189</v>
      </c>
      <c r="B18" s="175" t="n">
        <f aca="false">+E18-C18-D18</f>
        <v>0</v>
      </c>
      <c r="C18" s="175" t="n">
        <f aca="false">SUMIFS(Subcontractors!AO7:AO208, Subcontractors!A7:A208, "&gt;="&amp;$C$9, Subcontractors!A7:A208, "&lt;="&amp;$C$10)</f>
        <v>0</v>
      </c>
      <c r="D18" s="175" t="n">
        <f aca="false">SUMIFS(Subcontractors!AO7:AO208, Subcontractors!A7:A208, "&gt;="&amp;$D$9, Subcontractors!A7:A208, "&lt;="&amp;$D$10)</f>
        <v>0</v>
      </c>
      <c r="E18" s="176" t="n">
        <f aca="false">+Subcontractors!AO210</f>
        <v>0</v>
      </c>
      <c r="F18" s="177" t="n">
        <v>1</v>
      </c>
      <c r="G18" s="178" t="n">
        <f aca="false">+C18*$F18</f>
        <v>0</v>
      </c>
      <c r="H18" s="178" t="n">
        <f aca="false">+D18*$F18</f>
        <v>0</v>
      </c>
      <c r="I18" s="178" t="n">
        <f aca="false">SUM(G18:H18)</f>
        <v>0</v>
      </c>
      <c r="J18" s="178" t="n">
        <f aca="false">+(E18*F18)-I18</f>
        <v>0</v>
      </c>
    </row>
    <row r="19" customFormat="false" ht="15" hidden="false" customHeight="true" outlineLevel="0" collapsed="false">
      <c r="A19" s="174" t="s">
        <v>190</v>
      </c>
      <c r="B19" s="175" t="n">
        <f aca="false">+E19-C19-D19</f>
        <v>0</v>
      </c>
      <c r="C19" s="175" t="n">
        <f aca="false">SUMIFS(Subcontractors!AP7:AP208, Subcontractors!A7:A208, "&gt;="&amp;$C$9, Subcontractors!A7:A208, "&lt;="&amp;$C$10)</f>
        <v>23476</v>
      </c>
      <c r="D19" s="175" t="n">
        <f aca="false">SUMIFS(Subcontractors!AP8:AP209, Subcontractors!A8:A209, "&gt;="&amp;$D$9, Subcontractors!A8:A209, "&lt;="&amp;$D$10)</f>
        <v>44790</v>
      </c>
      <c r="E19" s="176" t="n">
        <f aca="false">+Subcontractors!AP210</f>
        <v>68266</v>
      </c>
      <c r="F19" s="177" t="n">
        <v>0.65</v>
      </c>
      <c r="G19" s="178" t="n">
        <f aca="false">+C19*$F19</f>
        <v>15259.4</v>
      </c>
      <c r="H19" s="178" t="n">
        <f aca="false">+D19*$F19</f>
        <v>29113.5</v>
      </c>
      <c r="I19" s="178" t="n">
        <f aca="false">SUM(G19:H19)</f>
        <v>44372.9</v>
      </c>
      <c r="J19" s="178" t="n">
        <f aca="false">+(E19*F19)-I19</f>
        <v>0</v>
      </c>
    </row>
    <row r="20" customFormat="false" ht="15" hidden="false" customHeight="true" outlineLevel="0" collapsed="false">
      <c r="A20" s="180" t="s">
        <v>116</v>
      </c>
      <c r="B20" s="181" t="n">
        <f aca="false">SUM(B11:B19)</f>
        <v>0</v>
      </c>
      <c r="C20" s="181" t="n">
        <f aca="false">SUM(C11:C19)</f>
        <v>221445.3545</v>
      </c>
      <c r="D20" s="181" t="n">
        <f aca="false">SUM(D11:D19)</f>
        <v>563566.1275</v>
      </c>
      <c r="E20" s="182" t="n">
        <f aca="false">SUM(E11:E19)</f>
        <v>785011.482</v>
      </c>
      <c r="F20" s="183"/>
      <c r="G20" s="184" t="n">
        <f aca="false">SUM(G11:G19)</f>
        <v>209711.2545</v>
      </c>
      <c r="H20" s="184" t="n">
        <f aca="false">SUM(H11:H19)</f>
        <v>546472.1275</v>
      </c>
      <c r="I20" s="185" t="n">
        <f aca="false">SUM(I11:I19)</f>
        <v>756183.382</v>
      </c>
      <c r="J20" s="184" t="n">
        <f aca="false">SUM(J11:J19)</f>
        <v>0</v>
      </c>
    </row>
    <row r="21" customFormat="false" ht="15" hidden="false" customHeight="true" outlineLevel="0" collapsed="false">
      <c r="B21" s="26"/>
      <c r="C21" s="26"/>
      <c r="D21" s="26"/>
      <c r="G21" s="26"/>
      <c r="H21" s="26"/>
      <c r="I21" s="26"/>
      <c r="J21" s="26"/>
    </row>
    <row r="22" customFormat="false" ht="15" hidden="false" customHeight="true" outlineLevel="0" collapsed="false">
      <c r="A22" s="40" t="s">
        <v>117</v>
      </c>
      <c r="B22" s="26"/>
      <c r="C22" s="26"/>
      <c r="D22" s="26"/>
      <c r="G22" s="26"/>
      <c r="H22" s="26"/>
      <c r="I22" s="26"/>
      <c r="J22" s="26"/>
    </row>
    <row r="23" customFormat="false" ht="15" hidden="false" customHeight="true" outlineLevel="0" collapsed="false">
      <c r="A23" s="29" t="str">
        <f aca="false">(TEXT(C9,"MMM-YY")&amp;" to "&amp;(TEXT(C10,"mmm-yy")))</f>
        <v>Jan-24 to Mar-24</v>
      </c>
      <c r="B23" s="26"/>
      <c r="C23" s="186"/>
      <c r="D23" s="186"/>
      <c r="E23" s="187" t="n">
        <f aca="false">+Summary!D8</f>
        <v>3</v>
      </c>
      <c r="F23" s="188" t="n">
        <v>1.3</v>
      </c>
      <c r="G23" s="26" t="n">
        <f aca="false">+G20*F23</f>
        <v>272624.63085</v>
      </c>
      <c r="H23" s="26" t="n">
        <v>0</v>
      </c>
      <c r="I23" s="26" t="n">
        <f aca="false">SUM(G23:H23)</f>
        <v>272624.63085</v>
      </c>
    </row>
    <row r="24" customFormat="false" ht="15" hidden="false" customHeight="true" outlineLevel="0" collapsed="false">
      <c r="A24" s="29" t="str">
        <f aca="false">(TEXT(D9,"MMM-YY")&amp;" to "&amp;(TEXT(D10,"mmm-yy")))</f>
        <v>Apr-24 to Dec-24</v>
      </c>
      <c r="B24" s="186"/>
      <c r="C24" s="186"/>
      <c r="D24" s="186"/>
      <c r="E24" s="189" t="n">
        <f aca="false">+Summary!D9</f>
        <v>9</v>
      </c>
      <c r="F24" s="188" t="n">
        <v>0.86</v>
      </c>
      <c r="G24" s="26" t="n">
        <v>0</v>
      </c>
      <c r="H24" s="26" t="n">
        <f aca="false">+H20*F24</f>
        <v>469966.02965</v>
      </c>
      <c r="I24" s="26" t="n">
        <f aca="false">SUM(G24:H24)</f>
        <v>469966.02965</v>
      </c>
    </row>
    <row r="25" s="40" customFormat="true" ht="15" hidden="false" customHeight="true" outlineLevel="0" collapsed="false">
      <c r="A25" s="40" t="s">
        <v>82</v>
      </c>
      <c r="B25" s="190"/>
      <c r="C25" s="190"/>
      <c r="D25" s="190"/>
      <c r="E25" s="191" t="n">
        <f aca="false">SUM(E23:E24)</f>
        <v>12</v>
      </c>
      <c r="F25" s="192"/>
      <c r="G25" s="193" t="n">
        <f aca="false">SUM(G23:G24)</f>
        <v>272624.63085</v>
      </c>
      <c r="H25" s="193" t="n">
        <f aca="false">SUM(H23:H24)</f>
        <v>469966.02965</v>
      </c>
      <c r="I25" s="194" t="n">
        <f aca="false">SUM(I23:I24)</f>
        <v>742590.6605</v>
      </c>
      <c r="N25" s="195"/>
      <c r="O25" s="195"/>
      <c r="P25" s="195"/>
    </row>
    <row r="26" customFormat="false" ht="15" hidden="false" customHeight="true" outlineLevel="0" collapsed="false">
      <c r="G26" s="26"/>
      <c r="H26" s="26"/>
      <c r="I26" s="26"/>
      <c r="J26" s="26"/>
    </row>
    <row r="27" customFormat="false" ht="15" hidden="false" customHeight="true" outlineLevel="0" collapsed="false">
      <c r="A27" s="40" t="s">
        <v>191</v>
      </c>
      <c r="G27" s="26"/>
      <c r="H27" s="26"/>
      <c r="I27" s="26"/>
      <c r="J27" s="26"/>
    </row>
    <row r="28" customFormat="false" ht="15" hidden="false" customHeight="true" outlineLevel="0" collapsed="false">
      <c r="A28" s="29" t="s">
        <v>121</v>
      </c>
      <c r="B28" s="186"/>
      <c r="C28" s="186"/>
      <c r="D28" s="186"/>
      <c r="G28" s="26" t="n">
        <f aca="false">+$I$28/$E$25*$E$23</f>
        <v>-21250</v>
      </c>
      <c r="H28" s="26" t="n">
        <f aca="false">+$I$28/$E$25*$E$24</f>
        <v>-63750</v>
      </c>
      <c r="I28" s="196" t="n">
        <v>-85000</v>
      </c>
      <c r="J28" s="197" t="s">
        <v>122</v>
      </c>
    </row>
    <row r="29" customFormat="false" ht="15" hidden="false" customHeight="true" outlineLevel="0" collapsed="false">
      <c r="A29" s="29" t="s">
        <v>192</v>
      </c>
      <c r="G29" s="26" t="n">
        <f aca="false">IF((-G28+G25)&gt;0,-G28+G25,0)</f>
        <v>293874.63085</v>
      </c>
      <c r="H29" s="26" t="n">
        <f aca="false">IF((-H28+H25)&gt;0,-H28+H25,0)</f>
        <v>533716.02965</v>
      </c>
      <c r="I29" s="26" t="n">
        <f aca="false">IF((-I28+I25)&gt;0,-I28+I25,0)</f>
        <v>827590.6605</v>
      </c>
      <c r="J29" s="198" t="s">
        <v>124</v>
      </c>
    </row>
    <row r="30" customFormat="false" ht="15" hidden="false" customHeight="true" outlineLevel="0" collapsed="false">
      <c r="A30" s="29" t="s">
        <v>125</v>
      </c>
      <c r="G30" s="199" t="n">
        <f aca="false">G20+G25</f>
        <v>482335.88535</v>
      </c>
      <c r="H30" s="199" t="n">
        <f aca="false">H20+H25</f>
        <v>1016438.15715</v>
      </c>
      <c r="I30" s="199" t="n">
        <f aca="false">I20+I25</f>
        <v>1498774.0425</v>
      </c>
      <c r="J30" s="198" t="s">
        <v>126</v>
      </c>
    </row>
    <row r="31" s="40" customFormat="true" ht="15" hidden="false" customHeight="true" outlineLevel="0" collapsed="false">
      <c r="A31" s="40" t="s">
        <v>127</v>
      </c>
      <c r="B31" s="190"/>
      <c r="C31" s="190"/>
      <c r="D31" s="190"/>
      <c r="E31" s="190"/>
      <c r="G31" s="193" t="n">
        <f aca="false">IF(G29&lt;G30,G29,G30)</f>
        <v>293874.63085</v>
      </c>
      <c r="H31" s="193" t="n">
        <f aca="false">IF(H29&lt;H30,H29,H30)</f>
        <v>533716.02965</v>
      </c>
      <c r="I31" s="194" t="n">
        <f aca="false">IF(I29&lt;I30,I29,I30)</f>
        <v>827590.6605</v>
      </c>
      <c r="J31" s="198" t="s">
        <v>128</v>
      </c>
    </row>
    <row r="32" customFormat="false" ht="15" hidden="false" customHeight="true" outlineLevel="0" collapsed="false">
      <c r="G32" s="26"/>
      <c r="H32" s="26"/>
      <c r="I32" s="26"/>
      <c r="J32" s="26"/>
    </row>
    <row r="33" customFormat="false" ht="15" hidden="false" customHeight="true" outlineLevel="0" collapsed="false">
      <c r="A33" s="198" t="s">
        <v>193</v>
      </c>
      <c r="B33" s="17"/>
      <c r="E33" s="17"/>
      <c r="G33" s="26"/>
      <c r="H33" s="26"/>
      <c r="I33" s="26"/>
      <c r="J33" s="26"/>
    </row>
    <row r="34" customFormat="false" ht="15" hidden="false" customHeight="true" outlineLevel="0" collapsed="false">
      <c r="A34" s="29" t="s">
        <v>194</v>
      </c>
      <c r="B34" s="17"/>
      <c r="G34" s="26"/>
      <c r="H34" s="26"/>
      <c r="I34" s="200" t="n">
        <f aca="false">+I20+I58</f>
        <v>915144.64</v>
      </c>
      <c r="J34" s="26"/>
    </row>
    <row r="35" customFormat="false" ht="15" hidden="false" customHeight="true" outlineLevel="0" collapsed="false">
      <c r="A35" s="29" t="s">
        <v>195</v>
      </c>
      <c r="B35" s="17"/>
      <c r="G35" s="26"/>
      <c r="H35" s="26"/>
      <c r="I35" s="201" t="n">
        <v>1800000</v>
      </c>
      <c r="J35" s="197" t="s">
        <v>122</v>
      </c>
    </row>
    <row r="36" s="40" customFormat="true" ht="15" hidden="false" customHeight="true" outlineLevel="0" collapsed="false">
      <c r="A36" s="40" t="s">
        <v>196</v>
      </c>
      <c r="C36" s="190"/>
      <c r="D36" s="190"/>
      <c r="E36" s="190"/>
      <c r="G36" s="26"/>
      <c r="H36" s="26"/>
      <c r="I36" s="202" t="n">
        <f aca="false">IFERROR(I34/I35, 0)</f>
        <v>0.508413688888889</v>
      </c>
      <c r="J36" s="203"/>
    </row>
    <row r="37" customFormat="false" ht="15" hidden="false" customHeight="true" outlineLevel="0" collapsed="false">
      <c r="B37" s="17"/>
      <c r="E37" s="204"/>
      <c r="G37" s="26"/>
      <c r="H37" s="26"/>
      <c r="I37" s="26"/>
      <c r="J37" s="26"/>
    </row>
    <row r="38" customFormat="false" ht="15" hidden="false" customHeight="true" outlineLevel="0" collapsed="false">
      <c r="A38" s="40" t="s">
        <v>197</v>
      </c>
      <c r="G38" s="26"/>
      <c r="H38" s="26"/>
      <c r="I38" s="26"/>
      <c r="J38" s="26"/>
    </row>
    <row r="39" customFormat="false" ht="15" hidden="false" customHeight="true" outlineLevel="0" collapsed="false">
      <c r="A39" s="26" t="str">
        <f aca="false">A23</f>
        <v>Jan-24 to Mar-24</v>
      </c>
      <c r="F39" s="205" t="n">
        <v>0.145</v>
      </c>
      <c r="G39" s="26" t="n">
        <f aca="false">G31*F39</f>
        <v>42611.82147325</v>
      </c>
      <c r="H39" s="26" t="n">
        <v>0</v>
      </c>
      <c r="I39" s="26" t="n">
        <f aca="false">+G31*F39</f>
        <v>42611.82147325</v>
      </c>
      <c r="J39" s="26"/>
    </row>
    <row r="40" customFormat="false" ht="15" hidden="false" customHeight="true" outlineLevel="0" collapsed="false">
      <c r="A40" s="26" t="str">
        <f aca="false">A24</f>
        <v>Apr-24 to Dec-24</v>
      </c>
      <c r="B40" s="206"/>
      <c r="C40" s="206"/>
      <c r="D40" s="206"/>
      <c r="E40" s="206"/>
      <c r="F40" s="205" t="n">
        <v>0.1</v>
      </c>
      <c r="G40" s="26" t="n">
        <v>0</v>
      </c>
      <c r="H40" s="26" t="n">
        <f aca="false">+H31*F40</f>
        <v>53371.602965</v>
      </c>
      <c r="I40" s="26" t="n">
        <f aca="false">SUM(G40:H40)</f>
        <v>53371.602965</v>
      </c>
      <c r="J40" s="26"/>
    </row>
    <row r="41" customFormat="false" ht="15" hidden="false" customHeight="true" outlineLevel="0" collapsed="false">
      <c r="A41" s="26" t="str">
        <f aca="false">+A40</f>
        <v>Apr-24 to Dec-24</v>
      </c>
      <c r="B41" s="206"/>
      <c r="C41" s="206"/>
      <c r="D41" s="206"/>
      <c r="E41" s="206"/>
      <c r="F41" s="205" t="n">
        <v>0.045</v>
      </c>
      <c r="G41" s="26" t="n">
        <v>0</v>
      </c>
      <c r="H41" s="26" t="n">
        <f aca="false">IF(I36&gt;0.4,H31*F41, 0)</f>
        <v>24017.22133425</v>
      </c>
      <c r="I41" s="26" t="n">
        <f aca="false">SUM(G41:H41)</f>
        <v>24017.22133425</v>
      </c>
      <c r="J41" s="26"/>
    </row>
    <row r="42" customFormat="false" ht="15" hidden="false" customHeight="true" outlineLevel="0" collapsed="false">
      <c r="A42" s="40" t="s">
        <v>198</v>
      </c>
      <c r="B42" s="190"/>
      <c r="C42" s="190"/>
      <c r="D42" s="190"/>
      <c r="E42" s="190"/>
      <c r="F42" s="40"/>
      <c r="G42" s="207" t="n">
        <f aca="false">SUM(G39:G41)</f>
        <v>42611.82147325</v>
      </c>
      <c r="H42" s="207" t="n">
        <f aca="false">SUM(H39:H41)</f>
        <v>77388.82429925</v>
      </c>
      <c r="I42" s="208" t="n">
        <f aca="false">SUM(I39:I41)</f>
        <v>120000.6457725</v>
      </c>
      <c r="J42" s="26"/>
    </row>
    <row r="43" customFormat="false" ht="15" hidden="false" customHeight="true" outlineLevel="0" collapsed="false">
      <c r="A43" s="40"/>
      <c r="B43" s="190"/>
      <c r="C43" s="190"/>
      <c r="D43" s="190"/>
      <c r="E43" s="190"/>
      <c r="F43" s="40"/>
      <c r="G43" s="203"/>
      <c r="H43" s="203"/>
      <c r="I43" s="203"/>
      <c r="J43" s="26"/>
    </row>
    <row r="44" customFormat="false" ht="15" hidden="false" customHeight="true" outlineLevel="0" collapsed="false">
      <c r="A44" s="40"/>
      <c r="B44" s="190"/>
      <c r="C44" s="190"/>
      <c r="D44" s="190"/>
      <c r="E44" s="190"/>
      <c r="F44" s="40"/>
      <c r="G44" s="203"/>
      <c r="H44" s="203"/>
      <c r="I44" s="203"/>
      <c r="J44" s="26"/>
    </row>
    <row r="45" s="91" customFormat="true" ht="7.5" hidden="false" customHeight="true" outlineLevel="0" collapsed="false">
      <c r="A45" s="150"/>
      <c r="B45" s="151"/>
      <c r="C45" s="151"/>
      <c r="D45" s="151"/>
      <c r="E45" s="151"/>
      <c r="F45" s="150"/>
      <c r="G45" s="152"/>
      <c r="H45" s="152"/>
      <c r="I45" s="152"/>
      <c r="J45" s="153"/>
    </row>
    <row r="46" customFormat="false" ht="15" hidden="false" customHeight="true" outlineLevel="0" collapsed="false">
      <c r="A46" s="154" t="s">
        <v>133</v>
      </c>
      <c r="B46" s="209"/>
      <c r="C46" s="209"/>
      <c r="D46" s="209"/>
      <c r="E46" s="209"/>
      <c r="F46" s="209"/>
      <c r="G46" s="209"/>
      <c r="H46" s="209"/>
      <c r="I46" s="209"/>
      <c r="J46" s="210"/>
    </row>
    <row r="47" customFormat="false" ht="15" hidden="false" customHeight="true" outlineLevel="0" collapsed="false">
      <c r="A47" s="158" t="s">
        <v>135</v>
      </c>
      <c r="B47" s="159" t="s">
        <v>104</v>
      </c>
      <c r="C47" s="159" t="s">
        <v>59</v>
      </c>
      <c r="D47" s="159" t="s">
        <v>60</v>
      </c>
      <c r="E47" s="160" t="s">
        <v>106</v>
      </c>
      <c r="F47" s="161" t="s">
        <v>107</v>
      </c>
      <c r="G47" s="159" t="s">
        <v>185</v>
      </c>
      <c r="H47" s="159" t="s">
        <v>186</v>
      </c>
      <c r="I47" s="159" t="s">
        <v>187</v>
      </c>
      <c r="J47" s="159" t="s">
        <v>104</v>
      </c>
    </row>
    <row r="48" customFormat="false" ht="15" hidden="false" customHeight="true" outlineLevel="0" collapsed="false">
      <c r="A48" s="162"/>
      <c r="B48" s="163"/>
      <c r="C48" s="164" t="n">
        <f aca="false">+Summary!$B$8</f>
        <v>45292</v>
      </c>
      <c r="D48" s="164" t="n">
        <f aca="false">+Summary!$B$9</f>
        <v>45383</v>
      </c>
      <c r="E48" s="165"/>
      <c r="F48" s="166"/>
      <c r="G48" s="164" t="n">
        <f aca="false">+Summary!$B$8</f>
        <v>45292</v>
      </c>
      <c r="H48" s="164" t="n">
        <f aca="false">+Summary!$B$9</f>
        <v>45383</v>
      </c>
      <c r="I48" s="167"/>
      <c r="J48" s="167"/>
    </row>
    <row r="49" customFormat="false" ht="15" hidden="false" customHeight="true" outlineLevel="0" collapsed="false">
      <c r="A49" s="168"/>
      <c r="B49" s="169"/>
      <c r="C49" s="170" t="n">
        <f aca="false">+Summary!$C$8</f>
        <v>45382</v>
      </c>
      <c r="D49" s="170" t="n">
        <f aca="false">+Summary!$C$9</f>
        <v>45657</v>
      </c>
      <c r="E49" s="171"/>
      <c r="F49" s="172"/>
      <c r="G49" s="170" t="n">
        <f aca="false">+Summary!$C$8</f>
        <v>45382</v>
      </c>
      <c r="H49" s="170" t="n">
        <f aca="false">+Summary!$C$9</f>
        <v>45657</v>
      </c>
      <c r="I49" s="173"/>
      <c r="J49" s="173"/>
    </row>
    <row r="50" customFormat="false" ht="15" hidden="false" customHeight="true" outlineLevel="0" collapsed="false">
      <c r="A50" s="174" t="s">
        <v>109</v>
      </c>
      <c r="B50" s="175" t="n">
        <f aca="false">+E50-C50-D50</f>
        <v>0</v>
      </c>
      <c r="C50" s="175" t="n">
        <f aca="false">(SUMIFS(Staff!AN7:AN900,Staff!D7:D900,"&gt;="&amp;C48,Staff!D7:D900,"&lt;="&amp;C49))+(SUMIFS(Staff!BD7:BD900,Staff!D7:D900,"&gt;="&amp;C48,Staff!D7:D900,"&lt;="&amp;C49))-((Staff!AN919+Staff!BD919)/E63*E61)</f>
        <v>32134.2355</v>
      </c>
      <c r="D50" s="175" t="n">
        <f aca="false">(SUMIFS(Staff!AN7:AN900,Staff!D7:D900,"&gt;="&amp;D48,Staff!D7:D900,"&lt;="&amp;D49))+(SUMIFS(Staff!BD7:BD900,Staff!D7:D900,"&gt;="&amp;D48,Staff!D7:D900,"&lt;="&amp;D49))-((Staff!AN919+Staff!BD919)/E63*E62)</f>
        <v>95970.0225</v>
      </c>
      <c r="E50" s="176" t="n">
        <f aca="false">+Staff!$AN$921+Staff!$BD$921</f>
        <v>128104.258</v>
      </c>
      <c r="F50" s="177" t="n">
        <v>1</v>
      </c>
      <c r="G50" s="178" t="n">
        <f aca="false">+C50*$F50</f>
        <v>32134.2355</v>
      </c>
      <c r="H50" s="178" t="n">
        <f aca="false">+D50*$F50</f>
        <v>95970.0225</v>
      </c>
      <c r="I50" s="178" t="n">
        <f aca="false">SUM(G50:H50)</f>
        <v>128104.258</v>
      </c>
      <c r="J50" s="178" t="n">
        <f aca="false">+(E50*F50)-I50</f>
        <v>0</v>
      </c>
    </row>
    <row r="51" customFormat="false" ht="15" hidden="false" customHeight="true" outlineLevel="0" collapsed="false">
      <c r="A51" s="174" t="s">
        <v>110</v>
      </c>
      <c r="B51" s="175" t="n">
        <f aca="false">+E51-C51-D51</f>
        <v>0</v>
      </c>
      <c r="C51" s="175" t="n">
        <f aca="false">(SUMIFS('Overseas Staff'!AK7:AK902,'Overseas Staff'!D7:D902,"&gt;="&amp;C48,'Overseas Staff'!D7:D902,"&lt;="&amp;C49)) +(SUMIFS('Overseas Staff'!BA7:BA902,'Overseas Staff'!D7:D902,"&gt;="&amp;C48,'Overseas Staff'!D7:D902,"&lt;="&amp;C49))</f>
        <v>0</v>
      </c>
      <c r="D51" s="175" t="n">
        <f aca="false">(SUMIFS('Overseas Staff'!AK7:AK902,'Overseas Staff'!D7:D902,"&gt;="&amp;D48,'Overseas Staff'!D7:D902,"&lt;="&amp;D49)) +(SUMIFS('Overseas Staff'!BA7:BA902,'Overseas Staff'!D7:D902,"&gt;="&amp;D48,'Overseas Staff'!D7:D902,"&lt;="&amp;D49))</f>
        <v>0</v>
      </c>
      <c r="E51" s="176" t="n">
        <f aca="false">+'Overseas Staff'!$AK$905+'Overseas Staff'!$BA$905</f>
        <v>0</v>
      </c>
      <c r="F51" s="177" t="n">
        <v>1</v>
      </c>
      <c r="G51" s="178" t="n">
        <f aca="false">+C51*$F51</f>
        <v>0</v>
      </c>
      <c r="H51" s="178" t="n">
        <f aca="false">+D51*$F51</f>
        <v>0</v>
      </c>
      <c r="I51" s="178" t="n">
        <f aca="false">SUM(G51:H51)</f>
        <v>0</v>
      </c>
      <c r="J51" s="178" t="n">
        <f aca="false">+(E51*F51)-I51</f>
        <v>0</v>
      </c>
    </row>
    <row r="52" customFormat="false" ht="15" hidden="false" customHeight="true" outlineLevel="0" collapsed="false">
      <c r="A52" s="174" t="s">
        <v>111</v>
      </c>
      <c r="B52" s="175" t="n">
        <f aca="false">+E52-C52-D52</f>
        <v>0</v>
      </c>
      <c r="C52" s="175" t="n">
        <f aca="false">SUMIFS('Recruitment &amp; Relocation'!AJ7:AJ48, 'Recruitment &amp; Relocation'!A7:A48, "&gt;="&amp;C48, 'Recruitment &amp; Relocation'!A7:A48, "&lt;="&amp;C49)</f>
        <v>850</v>
      </c>
      <c r="D52" s="175" t="n">
        <f aca="false">SUMIFS('Recruitment &amp; Relocation'!AJ7:AJ48, 'Recruitment &amp; Relocation'!A7:A48, "&gt;="&amp;D48, 'Recruitment &amp; Relocation'!A7:A48, "&lt;="&amp;D49)</f>
        <v>450</v>
      </c>
      <c r="E52" s="176" t="n">
        <f aca="false">+'Recruitment &amp; Relocation'!$AJ$50</f>
        <v>1300</v>
      </c>
      <c r="F52" s="177" t="n">
        <v>1</v>
      </c>
      <c r="G52" s="178" t="n">
        <f aca="false">+C52*$F52</f>
        <v>850</v>
      </c>
      <c r="H52" s="178" t="n">
        <f aca="false">+D52*$F52</f>
        <v>450</v>
      </c>
      <c r="I52" s="178" t="n">
        <f aca="false">SUM(G52:H52)</f>
        <v>1300</v>
      </c>
      <c r="J52" s="178" t="n">
        <f aca="false">+(E52*F52)-I52</f>
        <v>0</v>
      </c>
    </row>
    <row r="53" customFormat="false" ht="15" hidden="false" customHeight="true" outlineLevel="0" collapsed="false">
      <c r="A53" s="174" t="s">
        <v>87</v>
      </c>
      <c r="B53" s="175" t="n">
        <f aca="false">+E53-C53-D53</f>
        <v>0</v>
      </c>
      <c r="C53" s="175" t="n">
        <f aca="false">SUMIFS(Training!AH7:AH50,Training!A7:A50, "&gt;="&amp;C48,Training!A7:A50, "&lt;="&amp;C49)</f>
        <v>450</v>
      </c>
      <c r="D53" s="175" t="n">
        <f aca="false">SUMIFS(Training!AH7:AH50,Training!A7:A50, "&gt;="&amp;D48,Training!A7:A50, "&lt;="&amp;D49)</f>
        <v>350</v>
      </c>
      <c r="E53" s="176" t="n">
        <f aca="false">+Training!$AH$52</f>
        <v>800</v>
      </c>
      <c r="F53" s="177" t="n">
        <v>1</v>
      </c>
      <c r="G53" s="178" t="n">
        <f aca="false">+C53*$F53</f>
        <v>450</v>
      </c>
      <c r="H53" s="178" t="n">
        <f aca="false">+D53*$F53</f>
        <v>350</v>
      </c>
      <c r="I53" s="178" t="n">
        <f aca="false">SUM(G53:H53)</f>
        <v>800</v>
      </c>
      <c r="J53" s="178" t="n">
        <f aca="false">+(E53*F53)-I53</f>
        <v>0</v>
      </c>
    </row>
    <row r="54" customFormat="false" ht="15" hidden="false" customHeight="true" outlineLevel="0" collapsed="false">
      <c r="A54" s="174" t="s">
        <v>136</v>
      </c>
      <c r="B54" s="175" t="n">
        <f aca="false">+E54-C54-D54</f>
        <v>0</v>
      </c>
      <c r="C54" s="175" t="n">
        <f aca="false">SUMIFS('Travel &amp; Subsistence'!AH7:AH99, 'Travel &amp; Subsistence'!A7:A99, "&gt;="&amp;$C$48, 'Travel &amp; Subsistence'!A7:A99, "&lt;="&amp;$C$49)</f>
        <v>0</v>
      </c>
      <c r="D54" s="175" t="n">
        <f aca="false">SUMIFS('Travel &amp; Subsistence'!AH7:AH99, 'Travel &amp; Subsistence'!A7:A99, "&gt;="&amp;$D$48, 'Travel &amp; Subsistence'!A7:A99, "&lt;="&amp;$D$49)</f>
        <v>353</v>
      </c>
      <c r="E54" s="176" t="n">
        <f aca="false">+'Travel &amp; Subsistence'!$AH$101</f>
        <v>353</v>
      </c>
      <c r="F54" s="177" t="n">
        <v>1</v>
      </c>
      <c r="G54" s="178" t="n">
        <f aca="false">+C54*$F54</f>
        <v>0</v>
      </c>
      <c r="H54" s="178" t="n">
        <f aca="false">+D54*$F54</f>
        <v>353</v>
      </c>
      <c r="I54" s="178" t="n">
        <f aca="false">SUM(G54:H54)</f>
        <v>353</v>
      </c>
      <c r="J54" s="178" t="n">
        <f aca="false">+(E54*F54)-I54</f>
        <v>0</v>
      </c>
    </row>
    <row r="55" customFormat="false" ht="15" hidden="false" customHeight="true" outlineLevel="0" collapsed="false">
      <c r="A55" s="174" t="s">
        <v>91</v>
      </c>
      <c r="B55" s="175" t="n">
        <f aca="false">+E55-C55-D55</f>
        <v>0</v>
      </c>
      <c r="C55" s="175" t="n">
        <f aca="false">SUMIFS(Software!AH7:AH245, Software!A7:A245, "&gt;="&amp;$C$48, Software!A7:A245, "&lt;="&amp;$C$49)</f>
        <v>1920</v>
      </c>
      <c r="D55" s="175" t="n">
        <f aca="false">SUMIFS(Software!AH7:AH245, Software!A7:A245, "&gt;="&amp;$D$48, Software!A7:A245, "&lt;="&amp;$D$49)</f>
        <v>2448</v>
      </c>
      <c r="E55" s="176" t="n">
        <f aca="false">+Software!$AH$247</f>
        <v>4368</v>
      </c>
      <c r="F55" s="177" t="n">
        <v>1</v>
      </c>
      <c r="G55" s="178" t="n">
        <f aca="false">+C55*$F55</f>
        <v>1920</v>
      </c>
      <c r="H55" s="178" t="n">
        <f aca="false">+D55*$F55</f>
        <v>2448</v>
      </c>
      <c r="I55" s="178" t="n">
        <f aca="false">SUM(G55:H55)</f>
        <v>4368</v>
      </c>
      <c r="J55" s="178" t="n">
        <f aca="false">+(E55*F55)-I55</f>
        <v>0</v>
      </c>
    </row>
    <row r="56" customFormat="false" ht="15" hidden="false" customHeight="true" outlineLevel="0" collapsed="false">
      <c r="A56" s="174" t="s">
        <v>113</v>
      </c>
      <c r="B56" s="175" t="n">
        <f aca="false">+E56-C56-D56</f>
        <v>-6936</v>
      </c>
      <c r="C56" s="175" t="n">
        <f aca="false">(SUMIFS('Materials and Consumables'!AH7:AH211,'Materials and Consumables'!A7:A211,"&gt;="&amp;$C$48,'Materials and Consumables'!A7:A211,"&lt;="&amp;$C$49))+(SUMIFS(Subcontractors!BE7:BE211,Subcontractors!A7:A211,"&gt;="&amp;$C$48,Subcontractors!A7:A211,"&lt;="&amp;$C$49))</f>
        <v>8056</v>
      </c>
      <c r="D56" s="175" t="n">
        <f aca="false">(SUMIFS('Materials and Consumables'!AH7:AH211,'Materials and Consumables'!A7:A211,"&gt;="&amp;$D$48,'Materials and Consumables'!A7:A211,"&lt;="&amp;$D$49))+(SUMIFS(Subcontractors!BE7:BE211,Subcontractors!A7:A211,"&gt;="&amp;$D$48,Subcontractors!A7:A211,"&lt;="&amp;$D$49))</f>
        <v>14300</v>
      </c>
      <c r="E56" s="176" t="n">
        <f aca="false">+'Materials and Consumables'!$AH$215+Subcontractors!$BE$211</f>
        <v>15420</v>
      </c>
      <c r="F56" s="177" t="n">
        <v>1</v>
      </c>
      <c r="G56" s="178" t="n">
        <f aca="false">+C56*$F56</f>
        <v>8056</v>
      </c>
      <c r="H56" s="178" t="n">
        <f aca="false">+D56*$F56</f>
        <v>14300</v>
      </c>
      <c r="I56" s="178" t="n">
        <f aca="false">SUM(G56:H56)</f>
        <v>22356</v>
      </c>
      <c r="J56" s="178" t="n">
        <f aca="false">+(E56*F56)-I56</f>
        <v>-6936</v>
      </c>
    </row>
    <row r="57" customFormat="false" ht="15" hidden="false" customHeight="true" outlineLevel="0" collapsed="false">
      <c r="A57" s="174" t="s">
        <v>199</v>
      </c>
      <c r="B57" s="175" t="n">
        <f aca="false">+E57-C57-D57</f>
        <v>0</v>
      </c>
      <c r="C57" s="175" t="n">
        <f aca="false">SUMIFS(Subcontractors!AN7:AN208, Subcontractors!A7:A208, "&gt;="&amp;$C$48, Subcontractors!A7:A208, "&lt;="&amp;$C$49)</f>
        <v>0</v>
      </c>
      <c r="D57" s="175" t="n">
        <f aca="false">SUMIFS(Subcontractors!AN7:AN208, Subcontractors!A7:A208, "&gt;="&amp;$D$48, Subcontractors!A7:A208, "&lt;="&amp;$D$49)</f>
        <v>1680</v>
      </c>
      <c r="E57" s="176" t="n">
        <f aca="false">+Subcontractors!$AN$210</f>
        <v>1680</v>
      </c>
      <c r="F57" s="177" t="n">
        <v>1</v>
      </c>
      <c r="G57" s="178" t="n">
        <f aca="false">+C57*$F57</f>
        <v>0</v>
      </c>
      <c r="H57" s="178" t="n">
        <f aca="false">+D57*$F57</f>
        <v>1680</v>
      </c>
      <c r="I57" s="178" t="n">
        <f aca="false">SUM(G57:H57)</f>
        <v>1680</v>
      </c>
      <c r="J57" s="178" t="n">
        <f aca="false">+(E57*F57)-I57</f>
        <v>0</v>
      </c>
    </row>
    <row r="58" customFormat="false" ht="15" hidden="false" customHeight="true" outlineLevel="0" collapsed="false">
      <c r="A58" s="180" t="s">
        <v>116</v>
      </c>
      <c r="B58" s="211" t="n">
        <f aca="false">SUM(B49:B57)</f>
        <v>-6936</v>
      </c>
      <c r="C58" s="211" t="n">
        <f aca="false">SUM(C50:C57)</f>
        <v>43410.2355</v>
      </c>
      <c r="D58" s="211" t="n">
        <f aca="false">SUM(D50:D57)</f>
        <v>115551.0225</v>
      </c>
      <c r="E58" s="212" t="n">
        <f aca="false">SUM(E50:E57)</f>
        <v>152025.258</v>
      </c>
      <c r="F58" s="183"/>
      <c r="G58" s="185" t="n">
        <f aca="false">SUM(G50:G57)</f>
        <v>43410.2355</v>
      </c>
      <c r="H58" s="185" t="n">
        <f aca="false">SUM(H50:H57)</f>
        <v>115551.0225</v>
      </c>
      <c r="I58" s="185" t="n">
        <f aca="false">SUM(I50:I57)</f>
        <v>158961.258</v>
      </c>
      <c r="J58" s="184" t="n">
        <f aca="false">SUM(J49:J57)</f>
        <v>-6936</v>
      </c>
    </row>
    <row r="59" customFormat="false" ht="15" hidden="false" customHeight="true" outlineLevel="0" collapsed="false">
      <c r="B59" s="26"/>
      <c r="C59" s="26"/>
      <c r="D59" s="26"/>
      <c r="G59" s="26"/>
      <c r="H59" s="26"/>
      <c r="I59" s="26"/>
      <c r="J59" s="26"/>
    </row>
    <row r="60" customFormat="false" ht="15" hidden="false" customHeight="true" outlineLevel="0" collapsed="false">
      <c r="A60" s="40" t="s">
        <v>200</v>
      </c>
      <c r="G60" s="200"/>
      <c r="H60" s="200"/>
      <c r="I60" s="200"/>
      <c r="J60" s="200"/>
    </row>
    <row r="61" customFormat="false" ht="15" hidden="false" customHeight="true" outlineLevel="0" collapsed="false">
      <c r="A61" s="26" t="str">
        <f aca="false">A23</f>
        <v>Jan-24 to Mar-24</v>
      </c>
      <c r="E61" s="187" t="n">
        <f aca="false">+E23</f>
        <v>3</v>
      </c>
      <c r="F61" s="213" t="n">
        <v>0.13</v>
      </c>
      <c r="G61" s="200" t="n">
        <f aca="false">+G58*F61</f>
        <v>5643.330615</v>
      </c>
      <c r="H61" s="200" t="n">
        <v>0</v>
      </c>
      <c r="I61" s="200" t="n">
        <f aca="false">SUM(G61:H61)</f>
        <v>5643.330615</v>
      </c>
    </row>
    <row r="62" customFormat="false" ht="15" hidden="false" customHeight="true" outlineLevel="0" collapsed="false">
      <c r="A62" s="26" t="str">
        <f aca="false">A24</f>
        <v>Apr-24 to Dec-24</v>
      </c>
      <c r="E62" s="189" t="n">
        <f aca="false">+E24</f>
        <v>9</v>
      </c>
      <c r="F62" s="213" t="n">
        <v>0.2</v>
      </c>
      <c r="G62" s="200" t="n">
        <v>0</v>
      </c>
      <c r="H62" s="200" t="n">
        <f aca="false">+H58*F62</f>
        <v>23110.2045</v>
      </c>
      <c r="I62" s="200" t="n">
        <f aca="false">SUM(G62:H62)</f>
        <v>23110.2045</v>
      </c>
    </row>
    <row r="63" customFormat="false" ht="15" hidden="false" customHeight="true" outlineLevel="0" collapsed="false">
      <c r="A63" s="40" t="s">
        <v>82</v>
      </c>
      <c r="B63" s="190"/>
      <c r="C63" s="190"/>
      <c r="D63" s="190"/>
      <c r="E63" s="214" t="n">
        <f aca="false">SUM(E61:E62)</f>
        <v>12</v>
      </c>
      <c r="F63" s="192"/>
      <c r="G63" s="215" t="n">
        <f aca="false">G61+G62</f>
        <v>5643.330615</v>
      </c>
      <c r="H63" s="215" t="n">
        <f aca="false">H61+H62</f>
        <v>23110.2045</v>
      </c>
      <c r="I63" s="216" t="n">
        <f aca="false">I61+I62</f>
        <v>28753.535115</v>
      </c>
    </row>
    <row r="64" customFormat="false" ht="15" hidden="false" customHeight="true" outlineLevel="0" collapsed="false">
      <c r="G64" s="200"/>
      <c r="H64" s="200"/>
      <c r="I64" s="200"/>
      <c r="J64" s="200"/>
    </row>
    <row r="65" customFormat="false" ht="15" hidden="false" customHeight="true" outlineLevel="0" collapsed="false">
      <c r="A65" s="40" t="s">
        <v>201</v>
      </c>
      <c r="G65" s="200"/>
      <c r="H65" s="200"/>
      <c r="I65" s="200"/>
      <c r="J65" s="200"/>
    </row>
    <row r="66" customFormat="false" ht="15" hidden="false" customHeight="true" outlineLevel="0" collapsed="false">
      <c r="A66" s="217" t="s">
        <v>139</v>
      </c>
      <c r="F66" s="218"/>
      <c r="G66" s="200"/>
      <c r="H66" s="200"/>
      <c r="I66" s="200"/>
      <c r="J66" s="200"/>
    </row>
    <row r="67" customFormat="false" ht="15" hidden="false" customHeight="true" outlineLevel="0" collapsed="false">
      <c r="A67" s="26" t="s">
        <v>202</v>
      </c>
      <c r="G67" s="200" t="n">
        <f aca="false">G28</f>
        <v>-21250</v>
      </c>
      <c r="H67" s="200" t="n">
        <f aca="false">H28</f>
        <v>-63750</v>
      </c>
      <c r="I67" s="200" t="n">
        <f aca="false">I28</f>
        <v>-85000</v>
      </c>
      <c r="J67" s="200"/>
    </row>
    <row r="68" customFormat="false" ht="15" hidden="false" customHeight="true" outlineLevel="0" collapsed="false">
      <c r="A68" s="26" t="s">
        <v>141</v>
      </c>
      <c r="G68" s="200" t="n">
        <f aca="false">IF(G67&gt;0, G67*F74, 0)</f>
        <v>0</v>
      </c>
      <c r="H68" s="200" t="n">
        <f aca="false">IF(H67&gt;0, H67*F75, 0)</f>
        <v>0</v>
      </c>
      <c r="I68" s="219" t="n">
        <f aca="false">SUM(G68:H68)</f>
        <v>0</v>
      </c>
      <c r="J68" s="197" t="s">
        <v>122</v>
      </c>
    </row>
    <row r="69" customFormat="false" ht="15" hidden="false" customHeight="true" outlineLevel="0" collapsed="false">
      <c r="A69" s="220" t="s">
        <v>142</v>
      </c>
      <c r="G69" s="215" t="n">
        <f aca="false">G63-G68</f>
        <v>5643.330615</v>
      </c>
      <c r="H69" s="215" t="n">
        <f aca="false">H63-H68</f>
        <v>23110.2045</v>
      </c>
      <c r="I69" s="216" t="n">
        <f aca="false">I63-I68</f>
        <v>28753.535115</v>
      </c>
      <c r="J69" s="200"/>
    </row>
    <row r="70" customFormat="false" ht="15" hidden="false" customHeight="true" outlineLevel="0" collapsed="false">
      <c r="A70" s="174"/>
      <c r="G70" s="200"/>
      <c r="H70" s="200"/>
      <c r="I70" s="200"/>
      <c r="J70" s="200"/>
    </row>
    <row r="71" customFormat="false" ht="15" hidden="false" customHeight="true" outlineLevel="0" collapsed="false">
      <c r="A71" s="217" t="s">
        <v>143</v>
      </c>
      <c r="G71" s="200"/>
      <c r="H71" s="200"/>
      <c r="I71" s="200"/>
      <c r="J71" s="200"/>
    </row>
    <row r="72" customFormat="false" ht="15" hidden="false" customHeight="true" outlineLevel="0" collapsed="false">
      <c r="A72" s="26" t="s">
        <v>144</v>
      </c>
      <c r="G72" s="200" t="n">
        <f aca="false">G69</f>
        <v>5643.330615</v>
      </c>
      <c r="H72" s="200" t="n">
        <f aca="false">H69</f>
        <v>23110.2045</v>
      </c>
      <c r="I72" s="200" t="n">
        <f aca="false">I69</f>
        <v>28753.535115</v>
      </c>
      <c r="J72" s="190" t="s">
        <v>124</v>
      </c>
    </row>
    <row r="73" customFormat="false" ht="15" hidden="false" customHeight="true" outlineLevel="0" collapsed="false">
      <c r="A73" s="26" t="s">
        <v>145</v>
      </c>
      <c r="G73" s="200"/>
      <c r="H73" s="200"/>
      <c r="I73" s="200"/>
      <c r="J73" s="146"/>
    </row>
    <row r="74" customFormat="false" ht="15" hidden="false" customHeight="true" outlineLevel="0" collapsed="false">
      <c r="A74" s="221" t="str">
        <f aca="false">A23</f>
        <v>Jan-24 to Mar-24</v>
      </c>
      <c r="F74" s="188" t="n">
        <v>0.19</v>
      </c>
      <c r="G74" s="200" t="n">
        <f aca="false">+G63*F74</f>
        <v>1072.23281685</v>
      </c>
      <c r="H74" s="200" t="n">
        <v>0</v>
      </c>
      <c r="I74" s="200" t="n">
        <f aca="false">SUM(G74:H74)</f>
        <v>1072.23281685</v>
      </c>
      <c r="J74" s="146"/>
    </row>
    <row r="75" customFormat="false" ht="15" hidden="false" customHeight="true" outlineLevel="0" collapsed="false">
      <c r="A75" s="221" t="str">
        <f aca="false">A24</f>
        <v>Apr-24 to Dec-24</v>
      </c>
      <c r="F75" s="188" t="n">
        <v>0.19</v>
      </c>
      <c r="G75" s="200" t="n">
        <v>0</v>
      </c>
      <c r="H75" s="200" t="n">
        <f aca="false">+H63*F75</f>
        <v>4390.938855</v>
      </c>
      <c r="I75" s="200" t="n">
        <f aca="false">SUM(G75:H75)</f>
        <v>4390.938855</v>
      </c>
      <c r="J75" s="146"/>
    </row>
    <row r="76" customFormat="false" ht="15" hidden="false" customHeight="true" outlineLevel="0" collapsed="false">
      <c r="A76" s="26" t="s">
        <v>146</v>
      </c>
      <c r="G76" s="200" t="n">
        <f aca="false">G72-SUM(G74:G75)</f>
        <v>4571.09779815</v>
      </c>
      <c r="H76" s="200" t="n">
        <f aca="false">H72-SUM(H74:H75)</f>
        <v>18719.265645</v>
      </c>
      <c r="I76" s="200" t="n">
        <f aca="false">I72-SUM(I74:I75)</f>
        <v>23290.36344315</v>
      </c>
      <c r="J76" s="190" t="s">
        <v>126</v>
      </c>
    </row>
    <row r="77" customFormat="false" ht="15" hidden="false" customHeight="true" outlineLevel="0" collapsed="false">
      <c r="A77" s="220" t="s">
        <v>203</v>
      </c>
      <c r="G77" s="215" t="n">
        <f aca="false">IF(G76&lt;G72,G76,G72)</f>
        <v>4571.09779815</v>
      </c>
      <c r="H77" s="215" t="n">
        <f aca="false">IF(H76&lt;H72,H76,H72)</f>
        <v>18719.265645</v>
      </c>
      <c r="I77" s="216" t="n">
        <f aca="false">IF(I76&lt;I72,I76,I72)</f>
        <v>23290.36344315</v>
      </c>
      <c r="J77" s="146" t="s">
        <v>128</v>
      </c>
    </row>
    <row r="78" customFormat="false" ht="15" hidden="false" customHeight="true" outlineLevel="0" collapsed="false">
      <c r="A78" s="174"/>
      <c r="G78" s="200"/>
      <c r="H78" s="200"/>
      <c r="I78" s="200"/>
      <c r="J78" s="146"/>
    </row>
    <row r="79" customFormat="false" ht="15" hidden="false" customHeight="true" outlineLevel="0" collapsed="false">
      <c r="A79" s="217" t="s">
        <v>148</v>
      </c>
      <c r="G79" s="200"/>
      <c r="H79" s="200"/>
      <c r="I79" s="200"/>
      <c r="J79" s="146"/>
    </row>
    <row r="80" customFormat="false" ht="15" hidden="false" customHeight="true" outlineLevel="0" collapsed="false">
      <c r="A80" s="26" t="s">
        <v>204</v>
      </c>
      <c r="G80" s="200" t="n">
        <f aca="false">G77</f>
        <v>4571.09779815</v>
      </c>
      <c r="H80" s="200" t="n">
        <f aca="false">H77</f>
        <v>18719.265645</v>
      </c>
      <c r="I80" s="200" t="n">
        <f aca="false">SUM(G80:H80)</f>
        <v>23290.36344315</v>
      </c>
      <c r="J80" s="190" t="s">
        <v>150</v>
      </c>
    </row>
    <row r="81" customFormat="false" ht="15" hidden="false" customHeight="true" outlineLevel="0" collapsed="false">
      <c r="A81" s="26" t="s">
        <v>151</v>
      </c>
      <c r="G81" s="200" t="n">
        <f aca="false">I81/E63*E61</f>
        <v>12568.0446794224</v>
      </c>
      <c r="H81" s="200" t="n">
        <f aca="false">I81/E63*E62</f>
        <v>37704.1340382673</v>
      </c>
      <c r="I81" s="200" t="n">
        <f aca="false">+Staff!AN923</f>
        <v>50272.1787176897</v>
      </c>
      <c r="J81" s="190" t="s">
        <v>152</v>
      </c>
    </row>
    <row r="82" customFormat="false" ht="15" hidden="false" customHeight="true" outlineLevel="0" collapsed="false">
      <c r="A82" s="220" t="s">
        <v>203</v>
      </c>
      <c r="G82" s="215" t="n">
        <f aca="false">IF(G81&lt;G80,G81,G80)</f>
        <v>4571.09779815</v>
      </c>
      <c r="H82" s="215" t="n">
        <f aca="false">IF(H81&lt;H80,H81,H80)</f>
        <v>18719.265645</v>
      </c>
      <c r="I82" s="216" t="n">
        <f aca="false">IF(I81&lt;I80,I81,I80)</f>
        <v>23290.36344315</v>
      </c>
      <c r="J82" s="146" t="s">
        <v>153</v>
      </c>
    </row>
    <row r="83" customFormat="false" ht="15" hidden="false" customHeight="true" outlineLevel="0" collapsed="false">
      <c r="A83" s="174"/>
      <c r="G83" s="200"/>
      <c r="H83" s="200"/>
      <c r="I83" s="200"/>
      <c r="J83" s="146"/>
    </row>
    <row r="84" customFormat="false" ht="15" hidden="false" customHeight="true" outlineLevel="0" collapsed="false">
      <c r="A84" s="217" t="s">
        <v>154</v>
      </c>
      <c r="G84" s="200"/>
      <c r="H84" s="200"/>
      <c r="I84" s="200"/>
      <c r="J84" s="200"/>
    </row>
    <row r="85" customFormat="false" ht="15" hidden="false" customHeight="true" outlineLevel="0" collapsed="false">
      <c r="A85" s="26" t="s">
        <v>205</v>
      </c>
      <c r="G85" s="200" t="n">
        <f aca="false">G82</f>
        <v>4571.09779815</v>
      </c>
      <c r="H85" s="200" t="n">
        <f aca="false">H82</f>
        <v>18719.265645</v>
      </c>
      <c r="I85" s="200" t="n">
        <f aca="false">SUM(G85:H85)</f>
        <v>23290.36344315</v>
      </c>
      <c r="J85" s="200"/>
    </row>
    <row r="86" customFormat="false" ht="15" hidden="false" customHeight="true" outlineLevel="0" collapsed="false">
      <c r="A86" s="26" t="s">
        <v>156</v>
      </c>
      <c r="G86" s="200" t="n">
        <f aca="false">+I86/$E$63*$E$61</f>
        <v>0</v>
      </c>
      <c r="H86" s="200" t="n">
        <f aca="false">+I86/$E$63*$E$62</f>
        <v>0</v>
      </c>
      <c r="I86" s="219" t="n">
        <v>0</v>
      </c>
      <c r="J86" s="197" t="s">
        <v>122</v>
      </c>
    </row>
    <row r="87" customFormat="false" ht="15" hidden="false" customHeight="true" outlineLevel="0" collapsed="false">
      <c r="A87" s="220" t="s">
        <v>203</v>
      </c>
      <c r="G87" s="215" t="n">
        <f aca="false">G85-G86</f>
        <v>4571.09779815</v>
      </c>
      <c r="H87" s="215" t="n">
        <f aca="false">H85-H86</f>
        <v>18719.265645</v>
      </c>
      <c r="I87" s="216" t="n">
        <f aca="false">I85-I86</f>
        <v>23290.36344315</v>
      </c>
      <c r="J87" s="200"/>
    </row>
    <row r="88" customFormat="false" ht="15" hidden="false" customHeight="true" outlineLevel="0" collapsed="false">
      <c r="A88" s="174"/>
      <c r="G88" s="200"/>
      <c r="H88" s="200"/>
      <c r="I88" s="200"/>
      <c r="J88" s="200"/>
    </row>
    <row r="89" customFormat="false" ht="15" hidden="false" customHeight="true" outlineLevel="0" collapsed="false">
      <c r="A89" s="217" t="s">
        <v>157</v>
      </c>
      <c r="G89" s="200"/>
      <c r="H89" s="200"/>
      <c r="I89" s="200"/>
      <c r="J89" s="200"/>
    </row>
    <row r="90" customFormat="false" ht="15" hidden="false" customHeight="true" outlineLevel="0" collapsed="false">
      <c r="A90" s="26" t="s">
        <v>206</v>
      </c>
      <c r="G90" s="200" t="n">
        <f aca="false">G87</f>
        <v>4571.09779815</v>
      </c>
      <c r="H90" s="200" t="n">
        <f aca="false">H87</f>
        <v>18719.265645</v>
      </c>
      <c r="I90" s="200" t="n">
        <f aca="false">SUM(G90:H90)</f>
        <v>23290.36344315</v>
      </c>
      <c r="J90" s="200"/>
    </row>
    <row r="91" customFormat="false" ht="15" hidden="false" customHeight="true" outlineLevel="0" collapsed="false">
      <c r="A91" s="26" t="s">
        <v>159</v>
      </c>
      <c r="G91" s="200" t="n">
        <f aca="false">+I91/$E$63*$E$61</f>
        <v>0</v>
      </c>
      <c r="H91" s="200" t="n">
        <f aca="false">+I91/$E$63*$E$62</f>
        <v>0</v>
      </c>
      <c r="I91" s="219" t="n">
        <v>0</v>
      </c>
      <c r="J91" s="197" t="s">
        <v>122</v>
      </c>
    </row>
    <row r="92" customFormat="false" ht="15" hidden="false" customHeight="true" outlineLevel="0" collapsed="false">
      <c r="A92" s="220" t="s">
        <v>203</v>
      </c>
      <c r="G92" s="215" t="n">
        <f aca="false">G90-G91</f>
        <v>4571.09779815</v>
      </c>
      <c r="H92" s="215" t="n">
        <f aca="false">H90-H91</f>
        <v>18719.265645</v>
      </c>
      <c r="I92" s="216" t="n">
        <f aca="false">I90-I91</f>
        <v>23290.36344315</v>
      </c>
      <c r="J92" s="200"/>
    </row>
    <row r="93" customFormat="false" ht="15" hidden="false" customHeight="true" outlineLevel="0" collapsed="false">
      <c r="A93" s="174"/>
      <c r="G93" s="200"/>
      <c r="H93" s="200"/>
      <c r="I93" s="200"/>
      <c r="J93" s="200"/>
    </row>
    <row r="94" customFormat="false" ht="15" hidden="false" customHeight="true" outlineLevel="0" collapsed="false">
      <c r="A94" s="217" t="s">
        <v>160</v>
      </c>
      <c r="G94" s="200"/>
      <c r="H94" s="200"/>
      <c r="I94" s="200"/>
      <c r="J94" s="200"/>
    </row>
    <row r="95" customFormat="false" ht="15" hidden="false" customHeight="true" outlineLevel="0" collapsed="false">
      <c r="A95" s="26" t="s">
        <v>207</v>
      </c>
      <c r="G95" s="200" t="n">
        <f aca="false">G92</f>
        <v>4571.09779815</v>
      </c>
      <c r="H95" s="200" t="n">
        <f aca="false">H92</f>
        <v>18719.265645</v>
      </c>
      <c r="I95" s="200" t="n">
        <f aca="false">SUM(G95:H95)</f>
        <v>23290.36344315</v>
      </c>
      <c r="J95" s="200"/>
    </row>
    <row r="96" customFormat="false" ht="15" hidden="false" customHeight="true" outlineLevel="0" collapsed="false">
      <c r="A96" s="26" t="s">
        <v>162</v>
      </c>
      <c r="G96" s="200" t="n">
        <f aca="false">+I96/$E$63*$E$61</f>
        <v>0</v>
      </c>
      <c r="H96" s="200" t="n">
        <f aca="false">+I96/$E$63*$E$62</f>
        <v>0</v>
      </c>
      <c r="I96" s="219" t="n">
        <v>0</v>
      </c>
      <c r="J96" s="197" t="s">
        <v>122</v>
      </c>
    </row>
    <row r="97" customFormat="false" ht="15" hidden="false" customHeight="true" outlineLevel="0" collapsed="false">
      <c r="A97" s="220" t="s">
        <v>203</v>
      </c>
      <c r="G97" s="215" t="n">
        <f aca="false">G95-G96</f>
        <v>4571.09779815</v>
      </c>
      <c r="H97" s="215" t="n">
        <f aca="false">H95-H96</f>
        <v>18719.265645</v>
      </c>
      <c r="I97" s="216" t="n">
        <f aca="false">I95-I96</f>
        <v>23290.36344315</v>
      </c>
      <c r="J97" s="200"/>
    </row>
    <row r="98" customFormat="false" ht="15" hidden="false" customHeight="true" outlineLevel="0" collapsed="false">
      <c r="A98" s="174"/>
      <c r="G98" s="200"/>
      <c r="H98" s="200"/>
      <c r="I98" s="200"/>
      <c r="J98" s="200"/>
    </row>
    <row r="99" customFormat="false" ht="15" hidden="false" customHeight="true" outlineLevel="0" collapsed="false">
      <c r="A99" s="217" t="s">
        <v>163</v>
      </c>
      <c r="G99" s="200"/>
      <c r="H99" s="200"/>
      <c r="I99" s="200"/>
      <c r="J99" s="200"/>
    </row>
    <row r="100" customFormat="false" ht="15" hidden="false" customHeight="true" outlineLevel="0" collapsed="false">
      <c r="A100" s="220" t="s">
        <v>164</v>
      </c>
      <c r="B100" s="190"/>
      <c r="C100" s="190"/>
      <c r="D100" s="190"/>
      <c r="E100" s="190"/>
      <c r="F100" s="40"/>
      <c r="G100" s="222" t="n">
        <f aca="false">G97</f>
        <v>4571.09779815</v>
      </c>
      <c r="H100" s="222" t="n">
        <f aca="false">H97</f>
        <v>18719.265645</v>
      </c>
      <c r="I100" s="223" t="n">
        <f aca="false">I97</f>
        <v>23290.36344315</v>
      </c>
      <c r="J100" s="200"/>
    </row>
    <row r="101" customFormat="false" ht="15" hidden="false" customHeight="true" outlineLevel="0" collapsed="false">
      <c r="A101" s="174"/>
      <c r="G101" s="200"/>
      <c r="H101" s="200"/>
      <c r="I101" s="200"/>
      <c r="J101" s="200"/>
    </row>
    <row r="102" customFormat="false" ht="15" hidden="false" customHeight="true" outlineLevel="0" collapsed="false">
      <c r="G102" s="200"/>
      <c r="H102" s="200"/>
      <c r="I102" s="200"/>
      <c r="J102" s="200"/>
    </row>
    <row r="103" customFormat="false" ht="15" hidden="false" customHeight="true" outlineLevel="0" collapsed="false">
      <c r="A103" s="40" t="s">
        <v>208</v>
      </c>
      <c r="G103" s="200"/>
      <c r="H103" s="200"/>
      <c r="I103" s="200"/>
      <c r="J103" s="200"/>
    </row>
    <row r="104" customFormat="false" ht="15" hidden="false" customHeight="true" outlineLevel="0" collapsed="false">
      <c r="A104" s="26" t="s">
        <v>166</v>
      </c>
      <c r="G104" s="224" t="n">
        <v>0</v>
      </c>
      <c r="H104" s="224" t="n">
        <v>0</v>
      </c>
      <c r="I104" s="225" t="n">
        <v>0</v>
      </c>
      <c r="J104" s="197" t="s">
        <v>122</v>
      </c>
    </row>
    <row r="105" customFormat="false" ht="15" hidden="false" customHeight="true" outlineLevel="0" collapsed="false">
      <c r="A105" s="26" t="s">
        <v>167</v>
      </c>
      <c r="G105" s="200" t="n">
        <f aca="false">+G74+G75</f>
        <v>1072.23281685</v>
      </c>
      <c r="H105" s="200" t="n">
        <f aca="false">+H74+H75</f>
        <v>4390.938855</v>
      </c>
      <c r="I105" s="200" t="n">
        <f aca="false">SUM(G105:H105)</f>
        <v>5463.17167185</v>
      </c>
      <c r="J105" s="200"/>
    </row>
    <row r="106" customFormat="false" ht="15" hidden="false" customHeight="true" outlineLevel="0" collapsed="false">
      <c r="A106" s="26" t="s">
        <v>168</v>
      </c>
      <c r="G106" s="226" t="n">
        <v>0</v>
      </c>
      <c r="H106" s="226" t="n">
        <v>0</v>
      </c>
      <c r="I106" s="227" t="n">
        <v>0</v>
      </c>
      <c r="J106" s="197" t="s">
        <v>122</v>
      </c>
    </row>
    <row r="107" customFormat="false" ht="15" hidden="false" customHeight="true" outlineLevel="0" collapsed="false">
      <c r="A107" s="26" t="s">
        <v>169</v>
      </c>
      <c r="G107" s="200" t="n">
        <f aca="false">IF(G81&lt;G80,G80-G81,0)</f>
        <v>0</v>
      </c>
      <c r="H107" s="200" t="n">
        <f aca="false">IF(H81&lt;H80,H80-H81,0)</f>
        <v>0</v>
      </c>
      <c r="I107" s="200" t="n">
        <f aca="false">IF(I81&lt;I80,I80-I81,0)</f>
        <v>0</v>
      </c>
      <c r="J107" s="200"/>
    </row>
    <row r="108" customFormat="false" ht="15" hidden="false" customHeight="true" outlineLevel="0" collapsed="false">
      <c r="A108" s="26" t="s">
        <v>170</v>
      </c>
      <c r="G108" s="200" t="n">
        <f aca="false">G86</f>
        <v>0</v>
      </c>
      <c r="H108" s="200" t="n">
        <f aca="false">H86</f>
        <v>0</v>
      </c>
      <c r="I108" s="200" t="n">
        <f aca="false">I86</f>
        <v>0</v>
      </c>
      <c r="J108" s="200"/>
    </row>
    <row r="109" customFormat="false" ht="15" hidden="false" customHeight="true" outlineLevel="0" collapsed="false">
      <c r="A109" s="26" t="s">
        <v>171</v>
      </c>
      <c r="G109" s="228" t="n">
        <f aca="false">G100</f>
        <v>4571.09779815</v>
      </c>
      <c r="H109" s="228" t="n">
        <f aca="false">H100</f>
        <v>18719.265645</v>
      </c>
      <c r="I109" s="228" t="n">
        <f aca="false">I100</f>
        <v>23290.36344315</v>
      </c>
      <c r="J109" s="228"/>
    </row>
    <row r="110" customFormat="false" ht="15" hidden="false" customHeight="true" outlineLevel="0" collapsed="false">
      <c r="A110" s="40" t="s">
        <v>172</v>
      </c>
      <c r="B110" s="190"/>
      <c r="C110" s="190"/>
      <c r="D110" s="190"/>
      <c r="E110" s="190"/>
      <c r="F110" s="40"/>
      <c r="G110" s="229" t="n">
        <f aca="false">+G104+G105+G106+G107-G108</f>
        <v>1072.23281685</v>
      </c>
      <c r="H110" s="229" t="n">
        <f aca="false">+H104+H105+H106+H107-H108</f>
        <v>4390.938855</v>
      </c>
      <c r="I110" s="229" t="n">
        <f aca="false">+I104+I105+I106+I107-I108</f>
        <v>5463.17167185</v>
      </c>
      <c r="J110" s="228"/>
    </row>
    <row r="112" s="91" customFormat="true" ht="7.5" hidden="false" customHeight="true" outlineLevel="0" collapsed="false">
      <c r="A112" s="150"/>
      <c r="B112" s="151"/>
      <c r="C112" s="151"/>
      <c r="D112" s="151"/>
      <c r="E112" s="151"/>
      <c r="F112" s="150"/>
      <c r="G112" s="152"/>
      <c r="H112" s="152"/>
      <c r="I112" s="152"/>
      <c r="J112" s="153"/>
    </row>
    <row r="113" customFormat="false" ht="15" hidden="false" customHeight="true" outlineLevel="0" collapsed="false">
      <c r="A113" s="230" t="s">
        <v>173</v>
      </c>
      <c r="B113" s="231"/>
      <c r="C113" s="231"/>
      <c r="D113" s="231"/>
      <c r="E113" s="231"/>
      <c r="F113" s="232"/>
      <c r="G113" s="232"/>
      <c r="H113" s="232"/>
      <c r="I113" s="232"/>
      <c r="J113" s="233"/>
    </row>
    <row r="114" customFormat="false" ht="15" hidden="false" customHeight="true" outlineLevel="0" collapsed="false">
      <c r="A114" s="17" t="s">
        <v>174</v>
      </c>
      <c r="I114" s="234" t="n">
        <f aca="false">I109+I106+I68+I42</f>
        <v>143291.00921565</v>
      </c>
      <c r="J114" s="234"/>
    </row>
    <row r="115" customFormat="false" ht="15" hidden="false" customHeight="true" outlineLevel="0" collapsed="false">
      <c r="A115" s="174" t="s">
        <v>175</v>
      </c>
      <c r="I115" s="235" t="s">
        <v>69</v>
      </c>
      <c r="J115" s="197" t="s">
        <v>122</v>
      </c>
    </row>
    <row r="116" customFormat="false" ht="15" hidden="false" customHeight="true" outlineLevel="0" collapsed="false">
      <c r="A116" s="17" t="s">
        <v>176</v>
      </c>
      <c r="I116" s="234" t="n">
        <f aca="false">I20+I25+I58</f>
        <v>1657735.3005</v>
      </c>
      <c r="J116" s="234"/>
    </row>
    <row r="117" customFormat="false" ht="15" hidden="false" customHeight="true" outlineLevel="0" collapsed="false">
      <c r="A117" s="17" t="s">
        <v>177</v>
      </c>
      <c r="I117" s="234" t="n">
        <f aca="false">I114</f>
        <v>143291.00921565</v>
      </c>
      <c r="J117" s="234"/>
    </row>
    <row r="119" customFormat="false" ht="15" hidden="false" customHeight="true" outlineLevel="0" collapsed="false">
      <c r="A119" s="40" t="s">
        <v>209</v>
      </c>
    </row>
    <row r="120" customFormat="false" ht="15" hidden="false" customHeight="true" outlineLevel="0" collapsed="false">
      <c r="A120" s="26" t="s">
        <v>178</v>
      </c>
      <c r="G120" s="234" t="n">
        <f aca="false">(SUMIFS(Staff!F904:F915, Staff!D904:D915, "&gt;="&amp;$C$48, Staff!D904:D915, "&lt;="&amp;$C$49))+(SUMIFS(Staff!G904:G915, Staff!D904:D915, "&gt;="&amp;$C$48, Staff!D904:D915, "&lt;="&amp;$C$49))+(SUMIFS(Staff!H904:H915, Staff!D904:D915, "&gt;="&amp;$C$48, Staff!D904:D915, "&lt;="&amp;$C$49))</f>
        <v>72811.38</v>
      </c>
      <c r="H120" s="234" t="n">
        <f aca="false">(SUMIFS(Staff!F904:F915, Staff!D904:D915, "&gt;="&amp;$D$48, Staff!D904:D915, "&lt;="&amp;$D$49))+(SUMIFS(Staff!G904:G915, Staff!D904:D915, "&gt;="&amp;$D$48, Staff!D904:D915, "&lt;="&amp;$D$49))+(SUMIFS(Staff!H904:H915, Staff!D904:D915, "&gt;="&amp;$D$48, Staff!D904:D915, "&lt;="&amp;$D$49))</f>
        <v>217451.45</v>
      </c>
      <c r="I120" s="234" t="n">
        <f aca="false">+Staff!F916+Staff!G916+Staff!H921</f>
        <v>290262.83</v>
      </c>
    </row>
    <row r="121" customFormat="false" ht="15" hidden="false" customHeight="true" outlineLevel="0" collapsed="false">
      <c r="A121" s="26" t="s">
        <v>210</v>
      </c>
      <c r="G121" s="234" t="n">
        <f aca="false">I121/E63*E61</f>
        <v>5000</v>
      </c>
      <c r="H121" s="234" t="n">
        <f aca="false">I121/E63*E62</f>
        <v>15000</v>
      </c>
      <c r="I121" s="234" t="n">
        <v>20000</v>
      </c>
    </row>
    <row r="122" customFormat="false" ht="15" hidden="false" customHeight="true" outlineLevel="0" collapsed="false">
      <c r="A122" s="40" t="s">
        <v>179</v>
      </c>
      <c r="G122" s="236" t="n">
        <f aca="false">+G121+(G120*3)</f>
        <v>223434.14</v>
      </c>
      <c r="H122" s="236" t="n">
        <f aca="false">+H121+(H120*3)</f>
        <v>667354.35</v>
      </c>
      <c r="I122" s="236" t="n">
        <f aca="false">+I121+(I120*3)</f>
        <v>890788.49</v>
      </c>
      <c r="J122" s="234"/>
    </row>
    <row r="123" customFormat="false" ht="15" hidden="false" customHeight="true" outlineLevel="0" collapsed="false">
      <c r="B123" s="206"/>
      <c r="C123" s="206"/>
      <c r="D123" s="206"/>
      <c r="E123" s="206"/>
    </row>
  </sheetData>
  <printOptions headings="false" gridLines="false" gridLinesSet="true" horizontalCentered="true" verticalCentered="false"/>
  <pageMargins left="0.315277777777778" right="0.315277777777778" top="0.354166666666667" bottom="0.354166666666667" header="0.511811023622047" footer="0.511811023622047"/>
  <pageSetup paperSize="9" scale="8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N932"/>
  <sheetViews>
    <sheetView showFormulas="false" showGridLines="true" showRowColHeaders="true" showZeros="true" rightToLeft="false" tabSelected="true" showOutlineSymbols="true" defaultGridColor="true" view="normal" topLeftCell="X1" colorId="64" zoomScale="55" zoomScaleNormal="55" zoomScalePageLayoutView="100" workbookViewId="0">
      <selection pane="topLeft" activeCell="AJ63" activeCellId="0" sqref="AJ63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40" width="4.67"/>
    <col collapsed="false" customWidth="true" hidden="false" outlineLevel="0" max="2" min="2" style="237" width="31.33"/>
    <col collapsed="false" customWidth="true" hidden="false" outlineLevel="0" max="3" min="3" style="237" width="26"/>
    <col collapsed="false" customWidth="true" hidden="false" outlineLevel="0" max="4" min="4" style="17" width="21.33"/>
    <col collapsed="false" customWidth="true" hidden="false" outlineLevel="0" max="5" min="5" style="237" width="13"/>
    <col collapsed="false" customWidth="true" hidden="false" outlineLevel="0" max="6" min="6" style="237" width="11.44"/>
    <col collapsed="false" customWidth="true" hidden="false" outlineLevel="0" max="7" min="7" style="237" width="13.34"/>
    <col collapsed="false" customWidth="true" hidden="false" outlineLevel="0" max="8" min="8" style="237" width="11.44"/>
    <col collapsed="false" customWidth="true" hidden="false" outlineLevel="0" max="9" min="9" style="237" width="13.34"/>
    <col collapsed="false" customWidth="true" hidden="false" outlineLevel="0" max="10" min="10" style="17" width="13"/>
    <col collapsed="false" customWidth="true" hidden="false" outlineLevel="0" max="11" min="11" style="17" width="4.67"/>
    <col collapsed="false" customWidth="true" hidden="false" outlineLevel="0" max="13" min="12" style="17" width="10.56"/>
    <col collapsed="false" customWidth="true" hidden="false" outlineLevel="0" max="14" min="14" style="17" width="4.67"/>
    <col collapsed="false" customWidth="true" hidden="false" outlineLevel="0" max="26" min="15" style="146" width="13"/>
    <col collapsed="false" customWidth="true" hidden="false" outlineLevel="0" max="27" min="27" style="146" width="4.67"/>
    <col collapsed="false" customWidth="true" hidden="false" outlineLevel="0" max="42" min="28" style="146" width="13"/>
    <col collapsed="false" customWidth="true" hidden="false" outlineLevel="0" max="43" min="43" style="146" width="4.67"/>
    <col collapsed="false" customWidth="true" hidden="false" outlineLevel="0" max="58" min="44" style="146" width="13"/>
    <col collapsed="false" customWidth="true" hidden="false" outlineLevel="0" max="59" min="59" style="146" width="4.67"/>
    <col collapsed="false" customWidth="true" hidden="false" outlineLevel="0" max="60" min="60" style="146" width="13"/>
    <col collapsed="false" customWidth="true" hidden="false" outlineLevel="0" max="61" min="61" style="146" width="4.67"/>
    <col collapsed="false" customWidth="true" hidden="false" outlineLevel="0" max="62" min="62" style="18" width="26.11"/>
    <col collapsed="false" customWidth="false" hidden="false" outlineLevel="0" max="63" min="63" style="18" width="8.88"/>
    <col collapsed="false" customWidth="true" hidden="false" outlineLevel="0" max="67" min="64" style="17" width="12.67"/>
    <col collapsed="false" customWidth="false" hidden="false" outlineLevel="0" max="16384" min="68" style="17" width="8.88"/>
  </cols>
  <sheetData>
    <row r="1" s="22" customFormat="true" ht="15" hidden="false" customHeight="true" outlineLevel="0" collapsed="false">
      <c r="A1" s="238" t="s">
        <v>211</v>
      </c>
      <c r="B1" s="238"/>
      <c r="C1" s="238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39"/>
      <c r="BB1" s="239"/>
      <c r="BC1" s="239"/>
      <c r="BD1" s="239"/>
      <c r="BE1" s="239"/>
      <c r="BF1" s="239"/>
      <c r="BG1" s="240"/>
      <c r="BH1" s="239"/>
      <c r="BI1" s="240"/>
      <c r="BJ1" s="21"/>
      <c r="BK1" s="21"/>
    </row>
    <row r="2" customFormat="false" ht="15" hidden="false" customHeight="true" outlineLevel="0" collapsed="false">
      <c r="D2" s="241"/>
      <c r="E2" s="242"/>
      <c r="F2" s="242"/>
      <c r="G2" s="242"/>
      <c r="H2" s="242"/>
      <c r="I2" s="242"/>
      <c r="J2" s="241"/>
      <c r="K2" s="241"/>
      <c r="L2" s="243" t="s">
        <v>212</v>
      </c>
      <c r="M2" s="243"/>
      <c r="N2" s="241"/>
      <c r="O2" s="244" t="s">
        <v>212</v>
      </c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B2" s="245" t="s">
        <v>213</v>
      </c>
      <c r="AC2" s="245"/>
      <c r="AD2" s="245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5"/>
      <c r="AP2" s="245"/>
      <c r="AR2" s="245" t="s">
        <v>214</v>
      </c>
      <c r="AS2" s="245"/>
      <c r="AT2" s="245"/>
      <c r="AU2" s="245"/>
      <c r="AV2" s="245"/>
      <c r="AW2" s="245"/>
      <c r="AX2" s="245"/>
      <c r="AY2" s="245"/>
      <c r="AZ2" s="245"/>
      <c r="BA2" s="245"/>
      <c r="BB2" s="245"/>
      <c r="BC2" s="245"/>
      <c r="BD2" s="245"/>
      <c r="BE2" s="245"/>
      <c r="BF2" s="245"/>
      <c r="BG2" s="246"/>
      <c r="BH2" s="246"/>
      <c r="BI2" s="246"/>
      <c r="BJ2" s="33" t="s">
        <v>215</v>
      </c>
      <c r="BK2" s="33"/>
      <c r="BL2" s="33"/>
      <c r="BM2" s="33"/>
      <c r="BN2" s="33"/>
    </row>
    <row r="3" s="256" customFormat="true" ht="45.75" hidden="false" customHeight="true" outlineLevel="0" collapsed="false">
      <c r="A3" s="247"/>
      <c r="B3" s="248" t="s">
        <v>216</v>
      </c>
      <c r="C3" s="248" t="s">
        <v>217</v>
      </c>
      <c r="D3" s="248" t="s">
        <v>218</v>
      </c>
      <c r="E3" s="248" t="s">
        <v>219</v>
      </c>
      <c r="F3" s="248" t="s">
        <v>220</v>
      </c>
      <c r="G3" s="248" t="s">
        <v>221</v>
      </c>
      <c r="H3" s="248" t="s">
        <v>222</v>
      </c>
      <c r="I3" s="248" t="s">
        <v>223</v>
      </c>
      <c r="J3" s="248" t="s">
        <v>82</v>
      </c>
      <c r="K3" s="249"/>
      <c r="L3" s="250" t="s">
        <v>224</v>
      </c>
      <c r="M3" s="250" t="s">
        <v>225</v>
      </c>
      <c r="N3" s="249"/>
      <c r="O3" s="251" t="str">
        <f aca="false">IF(Summary!$B$15&gt;0,Summary!$B$15,"")</f>
        <v>Automated Document Intelligence Platform</v>
      </c>
      <c r="P3" s="251" t="str">
        <f aca="false">IF(Summary!$B$16&gt;0,Summary!$B$16,"")</f>
        <v>Real-Time Anomaly Detection Engine</v>
      </c>
      <c r="Q3" s="251" t="str">
        <f aca="false">IF(Summary!$B$17&gt;0,Summary!$B$17,"")</f>
        <v>Natural Language Query Interface</v>
      </c>
      <c r="R3" s="251" t="str">
        <f aca="false">IF(Summary!$B$18&gt;0,Summary!$B$18,"")</f>
        <v>Predictive Maintenance ML Pipeline</v>
      </c>
      <c r="S3" s="251" t="str">
        <f aca="false">IF(Summary!$B$19&gt;0,Summary!$B$19,"")</f>
        <v>Privacy-Preserving Data Linkage</v>
      </c>
      <c r="T3" s="251" t="str">
        <f aca="false">IF(Summary!$B$20&gt;0,Summary!$B$20,"")</f>
        <v/>
      </c>
      <c r="U3" s="251" t="str">
        <f aca="false">IF(Summary!$B$21&gt;0,Summary!$B$21,"")</f>
        <v/>
      </c>
      <c r="V3" s="251" t="str">
        <f aca="false">IF(Summary!$B$22&gt;0,Summary!$B$22,"")</f>
        <v/>
      </c>
      <c r="W3" s="251" t="str">
        <f aca="false">IF(Summary!$B$23&gt;0,Summary!$B$23,"")</f>
        <v/>
      </c>
      <c r="X3" s="251" t="str">
        <f aca="false">IF(Summary!$B$24&gt;0,Summary!$B$24,"")</f>
        <v/>
      </c>
      <c r="Y3" s="251" t="str">
        <f aca="false">IF(Summary!$B$25&gt;0,Summary!$B$25,"")</f>
        <v/>
      </c>
      <c r="Z3" s="251" t="str">
        <f aca="false">IF(Summary!$B$26&gt;0,Summary!$B$26,"")</f>
        <v/>
      </c>
      <c r="AA3" s="252"/>
      <c r="AB3" s="251" t="str">
        <f aca="false">IF(Summary!$B$15&gt;0,Summary!$B$15,"")</f>
        <v>Automated Document Intelligence Platform</v>
      </c>
      <c r="AC3" s="251" t="str">
        <f aca="false">IF(Summary!$B$16&gt;0,Summary!$B$16,"")</f>
        <v>Real-Time Anomaly Detection Engine</v>
      </c>
      <c r="AD3" s="251" t="str">
        <f aca="false">IF(Summary!$B$17&gt;0,Summary!$B$17,"")</f>
        <v>Natural Language Query Interface</v>
      </c>
      <c r="AE3" s="251" t="str">
        <f aca="false">IF(Summary!$B$18&gt;0,Summary!$B$18,"")</f>
        <v>Predictive Maintenance ML Pipeline</v>
      </c>
      <c r="AF3" s="251" t="str">
        <f aca="false">IF(Summary!$B$19&gt;0,Summary!$B$19,"")</f>
        <v>Privacy-Preserving Data Linkage</v>
      </c>
      <c r="AG3" s="251" t="str">
        <f aca="false">IF(Summary!$B$20&gt;0,Summary!$B$20,"")</f>
        <v/>
      </c>
      <c r="AH3" s="251" t="str">
        <f aca="false">IF(Summary!$B$21&gt;0,Summary!$B$21,"")</f>
        <v/>
      </c>
      <c r="AI3" s="251" t="str">
        <f aca="false">IF(Summary!$B$22&gt;0,Summary!$B$22,"")</f>
        <v/>
      </c>
      <c r="AJ3" s="251" t="str">
        <f aca="false">IF(Summary!$B$23&gt;0,Summary!$B$23,"")</f>
        <v/>
      </c>
      <c r="AK3" s="251" t="str">
        <f aca="false">IF(Summary!$B$24&gt;0,Summary!$B$24,"")</f>
        <v/>
      </c>
      <c r="AL3" s="251" t="str">
        <f aca="false">IF(Summary!$B$25&gt;0,Summary!$B$25,"")</f>
        <v/>
      </c>
      <c r="AM3" s="251" t="str">
        <f aca="false">IF(Summary!$B$26&gt;0,Summary!$B$26,"")</f>
        <v/>
      </c>
      <c r="AN3" s="251" t="s">
        <v>72</v>
      </c>
      <c r="AO3" s="251" t="s">
        <v>69</v>
      </c>
      <c r="AP3" s="251" t="s">
        <v>74</v>
      </c>
      <c r="AQ3" s="252"/>
      <c r="AR3" s="251" t="str">
        <f aca="false">IF(Summary!$B$15&gt;0,Summary!$B$15,"")</f>
        <v>Automated Document Intelligence Platform</v>
      </c>
      <c r="AS3" s="251" t="str">
        <f aca="false">IF(Summary!$B$16&gt;0,Summary!$B$16,"")</f>
        <v>Real-Time Anomaly Detection Engine</v>
      </c>
      <c r="AT3" s="251" t="str">
        <f aca="false">IF(Summary!$B$17&gt;0,Summary!$B$17,"")</f>
        <v>Natural Language Query Interface</v>
      </c>
      <c r="AU3" s="251" t="str">
        <f aca="false">IF(Summary!$B$18&gt;0,Summary!$B$18,"")</f>
        <v>Predictive Maintenance ML Pipeline</v>
      </c>
      <c r="AV3" s="251" t="str">
        <f aca="false">IF(Summary!$B$19&gt;0,Summary!$B$19,"")</f>
        <v>Privacy-Preserving Data Linkage</v>
      </c>
      <c r="AW3" s="251" t="str">
        <f aca="false">IF(Summary!$B$20&gt;0,Summary!$B$20,"")</f>
        <v/>
      </c>
      <c r="AX3" s="251" t="str">
        <f aca="false">IF(Summary!$B$21&gt;0,Summary!$B$21,"")</f>
        <v/>
      </c>
      <c r="AY3" s="251" t="str">
        <f aca="false">IF(Summary!$B$22&gt;0,Summary!$B$22,"")</f>
        <v/>
      </c>
      <c r="AZ3" s="251" t="str">
        <f aca="false">IF(Summary!$B$23&gt;0,Summary!$B$23,"")</f>
        <v/>
      </c>
      <c r="BA3" s="251" t="str">
        <f aca="false">IF(Summary!$B$24&gt;0,Summary!$B$24,"")</f>
        <v/>
      </c>
      <c r="BB3" s="251" t="str">
        <f aca="false">IF(Summary!$B$25&gt;0,Summary!$B$25,"")</f>
        <v/>
      </c>
      <c r="BC3" s="251" t="str">
        <f aca="false">IF(Summary!$B$26&gt;0,Summary!$B$26,"")</f>
        <v/>
      </c>
      <c r="BD3" s="251" t="s">
        <v>72</v>
      </c>
      <c r="BE3" s="251" t="s">
        <v>69</v>
      </c>
      <c r="BF3" s="251" t="s">
        <v>74</v>
      </c>
      <c r="BG3" s="249"/>
      <c r="BH3" s="251" t="s">
        <v>104</v>
      </c>
      <c r="BI3" s="249"/>
      <c r="BJ3" s="253" t="s">
        <v>226</v>
      </c>
      <c r="BK3" s="254" t="s">
        <v>227</v>
      </c>
      <c r="BL3" s="254" t="s">
        <v>228</v>
      </c>
      <c r="BM3" s="254" t="s">
        <v>72</v>
      </c>
      <c r="BN3" s="255" t="s">
        <v>69</v>
      </c>
    </row>
    <row r="4" s="259" customFormat="true" ht="15" hidden="false" customHeight="true" outlineLevel="0" collapsed="false">
      <c r="A4" s="247"/>
      <c r="B4" s="247"/>
      <c r="C4" s="247"/>
      <c r="D4" s="247"/>
      <c r="E4" s="247"/>
      <c r="F4" s="247"/>
      <c r="G4" s="247"/>
      <c r="H4" s="247"/>
      <c r="I4" s="247"/>
      <c r="J4" s="247"/>
      <c r="K4" s="249"/>
      <c r="L4" s="250"/>
      <c r="M4" s="250"/>
      <c r="N4" s="249"/>
      <c r="O4" s="257" t="str">
        <f aca="false">IF(ISBLANK(Summary!$C$15),"", IF(Summary!$C$15="No", "SME", IF(AND(Summary!$C$15="Yes", Summary!$D$15="Yes"), "De Minimis", "RDEC")))</f>
        <v>SME</v>
      </c>
      <c r="P4" s="257" t="str">
        <f aca="false">IF(ISBLANK(Summary!$C$16),"", IF(Summary!$C$16="No", "SME", IF(AND(Summary!$C$16="Yes", Summary!$D$16="Yes"), "De Minimis", "RDEC")))</f>
        <v>SME</v>
      </c>
      <c r="Q4" s="257" t="str">
        <f aca="false">IF(ISBLANK(Summary!$C$17),"", IF(Summary!$C$17="No", "SME", IF(AND(Summary!$C$17="Yes", Summary!$D$17="Yes"), "De Minimis", "RDEC")))</f>
        <v>SME</v>
      </c>
      <c r="R4" s="257" t="str">
        <f aca="false">IF(ISBLANK(Summary!$C$18),"", IF(Summary!$C$18="No", "SME", IF(AND(Summary!$C$18="Yes", Summary!$D$18="Yes"), "De Minimis", "RDEC")))</f>
        <v>RDEC</v>
      </c>
      <c r="S4" s="257" t="str">
        <f aca="false">IF(ISBLANK(Summary!$C$19),"", IF(Summary!$C$19="No", "SME", IF(AND(Summary!$C$19="Yes", Summary!$D$19="Yes"), "De Minimis", "RDEC")))</f>
        <v>SME</v>
      </c>
      <c r="T4" s="257" t="str">
        <f aca="false">IF(ISBLANK(Summary!$C$20),"", IF(Summary!$C$20="No", "SME", IF(AND(Summary!$C$20="Yes", Summary!$D$20="Yes"), "De Minimis", "RDEC")))</f>
        <v/>
      </c>
      <c r="U4" s="257" t="str">
        <f aca="false">IF(ISBLANK(Summary!$C$21),"", IF(Summary!$C$21="No", "SME", IF(AND(Summary!$C$21="Yes", Summary!$D$21="Yes"), "De Minimis", "RDEC")))</f>
        <v/>
      </c>
      <c r="V4" s="257" t="str">
        <f aca="false">IF(ISBLANK(Summary!$C$22),"", IF(Summary!$C$22="No", "SME", IF(AND(Summary!$C$22="Yes", Summary!$D$22="Yes"), "De Minimis", "RDEC")))</f>
        <v/>
      </c>
      <c r="W4" s="257" t="str">
        <f aca="false">IF(ISBLANK(Summary!$C$23),"", IF(Summary!$C$23="No", "SME", IF(AND(Summary!$C$23="Yes", Summary!$D$23="Yes"), "De Minimis", "RDEC")))</f>
        <v/>
      </c>
      <c r="X4" s="257" t="str">
        <f aca="false">IF(ISBLANK(Summary!$C$24),"", IF(Summary!$C$24="No", "SME", IF(AND(Summary!$C$24="Yes", Summary!$D$24="Yes"), "De Minimis", "RDEC")))</f>
        <v/>
      </c>
      <c r="Y4" s="257" t="str">
        <f aca="false">IF(ISBLANK(Summary!$C$25),"", IF(Summary!$C$25="No", "SME", IF(AND(Summary!$C$25="Yes", Summary!$D$25="Yes"), "De Minimis", "RDEC")))</f>
        <v/>
      </c>
      <c r="Z4" s="257" t="str">
        <f aca="false">IF(ISBLANK(Summary!$C$26),"", IF(Summary!$C$26="No", "SME", IF(AND(Summary!$C$26="Yes", Summary!$D$26="Yes"), "De Minimis", "RDEC")))</f>
        <v/>
      </c>
      <c r="AA4" s="252"/>
      <c r="AB4" s="257" t="str">
        <f aca="false">IF(ISBLANK(Summary!$C$15),"", IF(Summary!$C$15="No", "SME", IF(AND(Summary!$C$15="Yes", Summary!$D$15="Yes"), "De Minimis", "RDEC")))</f>
        <v>SME</v>
      </c>
      <c r="AC4" s="257" t="str">
        <f aca="false">IF(ISBLANK(Summary!$C$16),"", IF(Summary!$C$16="No", "SME", IF(AND(Summary!$C$16="Yes", Summary!$D$16="Yes"), "De Minimis", "RDEC")))</f>
        <v>SME</v>
      </c>
      <c r="AD4" s="257" t="str">
        <f aca="false">IF(ISBLANK(Summary!$C$17),"", IF(Summary!$C$17="No", "SME", IF(AND(Summary!$C$17="Yes", Summary!$D$17="Yes"), "De Minimis", "RDEC")))</f>
        <v>SME</v>
      </c>
      <c r="AE4" s="257" t="str">
        <f aca="false">IF(ISBLANK(Summary!$C$18),"", IF(Summary!$C$18="No", "SME", IF(AND(Summary!$C$18="Yes", Summary!$D$18="Yes"), "De Minimis", "RDEC")))</f>
        <v>RDEC</v>
      </c>
      <c r="AF4" s="257" t="str">
        <f aca="false">IF(ISBLANK(Summary!$C$19),"", IF(Summary!$C$19="No", "SME", IF(AND(Summary!$C$19="Yes", Summary!$D$19="Yes"), "De Minimis", "RDEC")))</f>
        <v>SME</v>
      </c>
      <c r="AG4" s="257" t="str">
        <f aca="false">IF(ISBLANK(Summary!$C$20),"", IF(Summary!$C$20="No", "SME", IF(AND(Summary!$C$20="Yes", Summary!$D$20="Yes"), "De Minimis", "RDEC")))</f>
        <v/>
      </c>
      <c r="AH4" s="257" t="str">
        <f aca="false">IF(ISBLANK(Summary!$C$21),"", IF(Summary!$C$21="No", "SME", IF(AND(Summary!$C$21="Yes", Summary!$D$21="Yes"), "De Minimis", "RDEC")))</f>
        <v/>
      </c>
      <c r="AI4" s="257" t="str">
        <f aca="false">IF(ISBLANK(Summary!$C$22),"", IF(Summary!$C$22="No", "SME", IF(AND(Summary!$C$22="Yes", Summary!$D$22="Yes"), "De Minimis", "RDEC")))</f>
        <v/>
      </c>
      <c r="AJ4" s="257" t="str">
        <f aca="false">IF(ISBLANK(Summary!$C$23),"", IF(Summary!$C$23="No", "SME", IF(AND(Summary!$C$23="Yes", Summary!$D$23="Yes"), "De Minimis", "RDEC")))</f>
        <v/>
      </c>
      <c r="AK4" s="257" t="str">
        <f aca="false">IF(ISBLANK(Summary!$C$24),"", IF(Summary!$C$24="No", "SME", IF(AND(Summary!$C$24="Yes", Summary!$D$24="Yes"), "De Minimis", "RDEC")))</f>
        <v/>
      </c>
      <c r="AL4" s="257" t="str">
        <f aca="false">IF(ISBLANK(Summary!$C$25),"", IF(Summary!$C$25="No", "SME", IF(AND(Summary!$C$25="Yes", Summary!$D$25="Yes"), "De Minimis", "RDEC")))</f>
        <v/>
      </c>
      <c r="AM4" s="257" t="str">
        <f aca="false">IF(ISBLANK(Summary!$C$26),"", IF(Summary!$C$26="No", "SME", IF(AND(Summary!$C$26="Yes", Summary!$D$26="Yes"), "De Minimis", "RDEC")))</f>
        <v/>
      </c>
      <c r="AN4" s="257"/>
      <c r="AO4" s="257"/>
      <c r="AP4" s="257"/>
      <c r="AQ4" s="252"/>
      <c r="AR4" s="257" t="str">
        <f aca="false">IF(ISBLANK(Summary!$C$15),"", IF(Summary!$C$15="No", "SME", IF(AND(Summary!$C$15="Yes", Summary!$D$15="Yes"), "De Minimis", "RDEC")))</f>
        <v>SME</v>
      </c>
      <c r="AS4" s="257" t="str">
        <f aca="false">IF(ISBLANK(Summary!$C$16),"", IF(Summary!$C$16="No", "SME", IF(AND(Summary!$C$16="Yes", Summary!$D$16="Yes"), "De Minimis", "RDEC")))</f>
        <v>SME</v>
      </c>
      <c r="AT4" s="257" t="str">
        <f aca="false">IF(ISBLANK(Summary!$C$17),"", IF(Summary!$C$17="No", "SME", IF(AND(Summary!$C$17="Yes", Summary!$D$17="Yes"), "De Minimis", "RDEC")))</f>
        <v>SME</v>
      </c>
      <c r="AU4" s="257" t="str">
        <f aca="false">IF(ISBLANK(Summary!$C$18),"", IF(Summary!$C$18="No", "SME", IF(AND(Summary!$C$18="Yes", Summary!$D$18="Yes"), "De Minimis", "RDEC")))</f>
        <v>RDEC</v>
      </c>
      <c r="AV4" s="257" t="str">
        <f aca="false">IF(ISBLANK(Summary!$C$19),"", IF(Summary!$C$19="No", "SME", IF(AND(Summary!$C$19="Yes", Summary!$D$19="Yes"), "De Minimis", "RDEC")))</f>
        <v>SME</v>
      </c>
      <c r="AW4" s="257" t="str">
        <f aca="false">IF(ISBLANK(Summary!$C$20),"", IF(Summary!$C$20="No", "SME", IF(AND(Summary!$C$20="Yes", Summary!$D$20="Yes"), "De Minimis", "RDEC")))</f>
        <v/>
      </c>
      <c r="AX4" s="257" t="str">
        <f aca="false">IF(ISBLANK(Summary!$C$21),"", IF(Summary!$C$21="No", "SME", IF(AND(Summary!$C$21="Yes", Summary!$D$21="Yes"), "De Minimis", "RDEC")))</f>
        <v/>
      </c>
      <c r="AY4" s="257" t="str">
        <f aca="false">IF(ISBLANK(Summary!$C$22),"", IF(Summary!$C$22="No", "SME", IF(AND(Summary!$C$22="Yes", Summary!$D$22="Yes"), "De Minimis", "RDEC")))</f>
        <v/>
      </c>
      <c r="AZ4" s="257" t="str">
        <f aca="false">IF(ISBLANK(Summary!$C$23),"", IF(Summary!$C$23="No", "SME", IF(AND(Summary!$C$23="Yes", Summary!$D$23="Yes"), "De Minimis", "RDEC")))</f>
        <v/>
      </c>
      <c r="BA4" s="257" t="str">
        <f aca="false">IF(ISBLANK(Summary!$C$24),"", IF(Summary!$C$24="No", "SME", IF(AND(Summary!$C$24="Yes", Summary!$D$24="Yes"), "De Minimis", "RDEC")))</f>
        <v/>
      </c>
      <c r="BB4" s="257" t="str">
        <f aca="false">IF(ISBLANK(Summary!$C$25),"", IF(Summary!$C$25="No", "SME", IF(AND(Summary!$C$25="Yes", Summary!$D$25="Yes"), "De Minimis", "RDEC")))</f>
        <v/>
      </c>
      <c r="BC4" s="257" t="str">
        <f aca="false">IF(ISBLANK(Summary!$C$26),"", IF(Summary!$C$26="No", "SME", IF(AND(Summary!$C$26="Yes", Summary!$D$26="Yes"), "De Minimis", "RDEC")))</f>
        <v/>
      </c>
      <c r="BD4" s="257"/>
      <c r="BE4" s="257"/>
      <c r="BF4" s="257"/>
      <c r="BG4" s="252"/>
      <c r="BH4" s="258"/>
      <c r="BI4" s="252"/>
      <c r="BJ4" s="253"/>
      <c r="BK4" s="254"/>
      <c r="BL4" s="254"/>
      <c r="BM4" s="254"/>
      <c r="BN4" s="255"/>
    </row>
    <row r="5" s="241" customFormat="true" ht="15" hidden="false" customHeight="true" outlineLevel="0" collapsed="false">
      <c r="A5" s="247"/>
      <c r="B5" s="260"/>
      <c r="C5" s="260"/>
      <c r="E5" s="261"/>
      <c r="F5" s="261"/>
      <c r="G5" s="261"/>
      <c r="H5" s="261"/>
      <c r="I5" s="261"/>
      <c r="L5" s="262"/>
      <c r="M5" s="262"/>
      <c r="O5" s="262" t="s">
        <v>229</v>
      </c>
      <c r="P5" s="262" t="s">
        <v>229</v>
      </c>
      <c r="Q5" s="262" t="s">
        <v>229</v>
      </c>
      <c r="R5" s="262" t="s">
        <v>229</v>
      </c>
      <c r="S5" s="262" t="s">
        <v>229</v>
      </c>
      <c r="T5" s="262" t="s">
        <v>229</v>
      </c>
      <c r="U5" s="262" t="s">
        <v>229</v>
      </c>
      <c r="V5" s="262" t="s">
        <v>229</v>
      </c>
      <c r="W5" s="262" t="s">
        <v>229</v>
      </c>
      <c r="X5" s="262" t="s">
        <v>229</v>
      </c>
      <c r="Y5" s="262" t="s">
        <v>229</v>
      </c>
      <c r="Z5" s="262" t="s">
        <v>229</v>
      </c>
      <c r="AA5" s="259"/>
      <c r="AB5" s="263" t="s">
        <v>230</v>
      </c>
      <c r="AC5" s="263" t="s">
        <v>230</v>
      </c>
      <c r="AD5" s="263" t="s">
        <v>230</v>
      </c>
      <c r="AE5" s="263" t="s">
        <v>230</v>
      </c>
      <c r="AF5" s="263" t="s">
        <v>230</v>
      </c>
      <c r="AG5" s="263" t="s">
        <v>230</v>
      </c>
      <c r="AH5" s="263" t="s">
        <v>230</v>
      </c>
      <c r="AI5" s="263" t="s">
        <v>230</v>
      </c>
      <c r="AJ5" s="263" t="s">
        <v>230</v>
      </c>
      <c r="AK5" s="263" t="s">
        <v>230</v>
      </c>
      <c r="AL5" s="263" t="s">
        <v>230</v>
      </c>
      <c r="AM5" s="263" t="s">
        <v>230</v>
      </c>
      <c r="AN5" s="264" t="s">
        <v>230</v>
      </c>
      <c r="AO5" s="264" t="s">
        <v>230</v>
      </c>
      <c r="AP5" s="264" t="s">
        <v>230</v>
      </c>
      <c r="AQ5" s="259"/>
      <c r="AR5" s="263" t="s">
        <v>230</v>
      </c>
      <c r="AS5" s="263" t="s">
        <v>230</v>
      </c>
      <c r="AT5" s="263" t="s">
        <v>230</v>
      </c>
      <c r="AU5" s="263" t="s">
        <v>230</v>
      </c>
      <c r="AV5" s="263" t="s">
        <v>230</v>
      </c>
      <c r="AW5" s="263" t="s">
        <v>230</v>
      </c>
      <c r="AX5" s="263" t="s">
        <v>230</v>
      </c>
      <c r="AY5" s="263" t="s">
        <v>230</v>
      </c>
      <c r="AZ5" s="263" t="s">
        <v>230</v>
      </c>
      <c r="BA5" s="263" t="s">
        <v>230</v>
      </c>
      <c r="BB5" s="263" t="s">
        <v>230</v>
      </c>
      <c r="BC5" s="263" t="s">
        <v>230</v>
      </c>
      <c r="BD5" s="264" t="s">
        <v>230</v>
      </c>
      <c r="BE5" s="264" t="s">
        <v>230</v>
      </c>
      <c r="BF5" s="264" t="s">
        <v>230</v>
      </c>
      <c r="BG5" s="259"/>
      <c r="BH5" s="265" t="s">
        <v>231</v>
      </c>
      <c r="BI5" s="259"/>
      <c r="BJ5" s="256"/>
      <c r="BK5" s="256"/>
    </row>
    <row r="6" customFormat="false" ht="15" hidden="false" customHeight="true" outlineLevel="0" collapsed="false">
      <c r="A6" s="198" t="n">
        <v>1</v>
      </c>
      <c r="B6" s="266" t="s">
        <v>232</v>
      </c>
      <c r="C6" s="266" t="s">
        <v>233</v>
      </c>
      <c r="D6" s="267"/>
      <c r="E6" s="242"/>
      <c r="F6" s="242"/>
      <c r="G6" s="242"/>
      <c r="H6" s="242"/>
      <c r="I6" s="242"/>
      <c r="J6" s="241"/>
      <c r="K6" s="241"/>
      <c r="L6" s="241"/>
      <c r="M6" s="241"/>
      <c r="N6" s="241"/>
      <c r="O6" s="268"/>
      <c r="P6" s="268"/>
      <c r="Q6" s="268"/>
      <c r="R6" s="268"/>
      <c r="S6" s="268"/>
      <c r="T6" s="268"/>
      <c r="U6" s="268"/>
      <c r="V6" s="268"/>
      <c r="W6" s="268"/>
      <c r="X6" s="268"/>
      <c r="Y6" s="268"/>
      <c r="Z6" s="268"/>
      <c r="AA6" s="268"/>
      <c r="AB6" s="268"/>
      <c r="AC6" s="268"/>
      <c r="AD6" s="268"/>
      <c r="AE6" s="268"/>
      <c r="AF6" s="268"/>
      <c r="AG6" s="268"/>
      <c r="AH6" s="268"/>
      <c r="AI6" s="268"/>
      <c r="AJ6" s="268"/>
      <c r="AK6" s="268"/>
      <c r="AL6" s="268"/>
      <c r="AM6" s="268"/>
      <c r="AN6" s="268"/>
      <c r="AO6" s="268"/>
      <c r="AP6" s="268"/>
      <c r="AQ6" s="268"/>
      <c r="AR6" s="268"/>
      <c r="AS6" s="268"/>
      <c r="AT6" s="268"/>
      <c r="AU6" s="268"/>
      <c r="AV6" s="268"/>
      <c r="AW6" s="268"/>
      <c r="AX6" s="268"/>
      <c r="AY6" s="268"/>
      <c r="AZ6" s="268"/>
      <c r="BA6" s="268"/>
      <c r="BB6" s="268"/>
      <c r="BC6" s="268"/>
      <c r="BD6" s="268"/>
      <c r="BE6" s="268"/>
      <c r="BF6" s="268"/>
      <c r="BG6" s="268"/>
      <c r="BH6" s="268"/>
      <c r="BI6" s="268"/>
      <c r="BL6" s="200"/>
      <c r="BM6" s="200"/>
      <c r="BN6" s="200"/>
    </row>
    <row r="7" customFormat="false" ht="7.5" hidden="false" customHeight="true" outlineLevel="0" collapsed="false">
      <c r="A7" s="198"/>
      <c r="B7" s="266"/>
      <c r="C7" s="266"/>
      <c r="D7" s="267"/>
      <c r="E7" s="242"/>
      <c r="F7" s="242"/>
      <c r="G7" s="242"/>
      <c r="H7" s="242"/>
      <c r="I7" s="242"/>
      <c r="J7" s="241"/>
      <c r="K7" s="241"/>
      <c r="L7" s="269"/>
      <c r="M7" s="269"/>
      <c r="N7" s="270"/>
      <c r="O7" s="269"/>
      <c r="P7" s="269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8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271"/>
      <c r="AM7" s="272"/>
      <c r="AN7" s="273"/>
      <c r="AO7" s="273"/>
      <c r="AP7" s="273"/>
      <c r="AQ7" s="268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C7" s="272"/>
      <c r="BD7" s="273"/>
      <c r="BE7" s="273"/>
      <c r="BF7" s="273"/>
      <c r="BG7" s="268"/>
      <c r="BH7" s="274"/>
      <c r="BI7" s="268"/>
      <c r="BL7" s="200"/>
      <c r="BM7" s="200"/>
      <c r="BN7" s="200"/>
    </row>
    <row r="8" customFormat="false" ht="15" hidden="false" customHeight="true" outlineLevel="0" collapsed="false">
      <c r="B8" s="275"/>
      <c r="D8" s="276" t="n">
        <f aca="false">+Summary!B8</f>
        <v>45292</v>
      </c>
      <c r="E8" s="277" t="n">
        <v>8025.74</v>
      </c>
      <c r="F8" s="277" t="n">
        <v>2648.49</v>
      </c>
      <c r="G8" s="277" t="n">
        <v>581.39</v>
      </c>
      <c r="H8" s="277" t="n">
        <v>1002.9</v>
      </c>
      <c r="I8" s="277" t="n">
        <v>401.29</v>
      </c>
      <c r="J8" s="278" t="n">
        <f aca="false">E8+H8+I8</f>
        <v>9429.93</v>
      </c>
      <c r="K8" s="204"/>
      <c r="L8" s="279" t="n">
        <v>0.6</v>
      </c>
      <c r="M8" s="280" t="n">
        <f aca="false">1-L8</f>
        <v>0.4</v>
      </c>
      <c r="N8" s="281"/>
      <c r="O8" s="282" t="n">
        <v>0.3</v>
      </c>
      <c r="P8" s="282" t="n">
        <v>0.25</v>
      </c>
      <c r="Q8" s="282" t="n">
        <v>0.15</v>
      </c>
      <c r="R8" s="282" t="n">
        <v>0.2</v>
      </c>
      <c r="S8" s="282" t="n">
        <v>0.1</v>
      </c>
      <c r="T8" s="282"/>
      <c r="U8" s="282"/>
      <c r="V8" s="282"/>
      <c r="W8" s="282"/>
      <c r="X8" s="282"/>
      <c r="Y8" s="282"/>
      <c r="Z8" s="282"/>
      <c r="AA8" s="283"/>
      <c r="AB8" s="284" t="n">
        <f aca="false">IFERROR(($J8*O8)*$L8, "")</f>
        <v>1697.3874</v>
      </c>
      <c r="AC8" s="284" t="n">
        <f aca="false">IFERROR(($J8*P8)*$L8, "")</f>
        <v>1414.4895</v>
      </c>
      <c r="AD8" s="284" t="n">
        <f aca="false">IFERROR(($J8*Q8)*$L8, "")</f>
        <v>848.6937</v>
      </c>
      <c r="AE8" s="284" t="n">
        <f aca="false">IFERROR(($J8*R8)*$L8, "")</f>
        <v>1131.5916</v>
      </c>
      <c r="AF8" s="284" t="n">
        <f aca="false">IFERROR(($J8*S8)*$L8, "")</f>
        <v>565.7958</v>
      </c>
      <c r="AG8" s="284" t="n">
        <f aca="false">IFERROR(($J8*T8)*$L8, "")</f>
        <v>0</v>
      </c>
      <c r="AH8" s="284" t="n">
        <f aca="false">IFERROR(($J8*U8)*$L8, "")</f>
        <v>0</v>
      </c>
      <c r="AI8" s="284" t="n">
        <f aca="false">IFERROR(($J8*V8)*$L8, "")</f>
        <v>0</v>
      </c>
      <c r="AJ8" s="284" t="n">
        <f aca="false">IFERROR(($J8*W8)*$L8, "")</f>
        <v>0</v>
      </c>
      <c r="AK8" s="284" t="n">
        <f aca="false">IFERROR(($J8*X8)*$L8, "")</f>
        <v>0</v>
      </c>
      <c r="AL8" s="284" t="n">
        <f aca="false">IFERROR(($J8*Y8)*$L8, "")</f>
        <v>0</v>
      </c>
      <c r="AM8" s="285" t="n">
        <f aca="false">IFERROR(($J8*Z8)*$L8, "")</f>
        <v>0</v>
      </c>
      <c r="AN8" s="286" t="n">
        <f aca="false">IFERROR(SUMIF($AB$4:$AM$4, "RDEC", AB8:AM8), "")</f>
        <v>1131.5916</v>
      </c>
      <c r="AO8" s="286" t="n">
        <f aca="false">IFERROR(SUMIF($AB$4:$AM$4, "SME", AB8:AM8), "")</f>
        <v>4526.3664</v>
      </c>
      <c r="AP8" s="286" t="n">
        <f aca="false">IFERROR(SUMIF($AB$4:$AM$4, "De Minimis", AB8:AM8), "")</f>
        <v>0</v>
      </c>
      <c r="AQ8" s="283"/>
      <c r="AR8" s="284" t="n">
        <f aca="false">IFERROR(($J8*O8)*$M8, "")</f>
        <v>1131.5916</v>
      </c>
      <c r="AS8" s="284" t="n">
        <f aca="false">IFERROR(($J8*P8)*$M8, "")</f>
        <v>942.993</v>
      </c>
      <c r="AT8" s="284" t="n">
        <f aca="false">IFERROR(($J8*Q8)*$M8, "")</f>
        <v>565.7958</v>
      </c>
      <c r="AU8" s="284" t="n">
        <f aca="false">IFERROR(($J8*R8)*$M8, "")</f>
        <v>754.3944</v>
      </c>
      <c r="AV8" s="284" t="n">
        <f aca="false">IFERROR(($J8*S8)*$M8, "")</f>
        <v>377.1972</v>
      </c>
      <c r="AW8" s="284" t="n">
        <f aca="false">IFERROR(($J8*T8)*$M8, "")</f>
        <v>0</v>
      </c>
      <c r="AX8" s="284" t="n">
        <f aca="false">IFERROR(($J8*U8)*$M8, "")</f>
        <v>0</v>
      </c>
      <c r="AY8" s="284" t="n">
        <f aca="false">IFERROR(($J8*V8)*$M8, "")</f>
        <v>0</v>
      </c>
      <c r="AZ8" s="284" t="n">
        <f aca="false">IFERROR(($J8*W8)*$M8, "")</f>
        <v>0</v>
      </c>
      <c r="BA8" s="284" t="n">
        <f aca="false">IFERROR(($J8*X8)*$M8, "")</f>
        <v>0</v>
      </c>
      <c r="BB8" s="284" t="n">
        <f aca="false">IFERROR(($J8*Y8)*$M8, "")</f>
        <v>0</v>
      </c>
      <c r="BC8" s="285" t="n">
        <f aca="false">IFERROR(($J8*Z8)*$M8, "")</f>
        <v>0</v>
      </c>
      <c r="BD8" s="286" t="n">
        <f aca="false">IFERROR(SUMIF($AB$4:$AM$4, "RDEC", AR8:BC8), "")</f>
        <v>754.3944</v>
      </c>
      <c r="BE8" s="286" t="n">
        <f aca="false">IFERROR(SUMIF($AB$4:$AM$4, "SME", AR8:BC8), "")</f>
        <v>3017.5776</v>
      </c>
      <c r="BF8" s="286" t="n">
        <f aca="false">IFERROR(SUMIF($AB$4:$AM$4, "De Minimis", AR8:BC8), "")</f>
        <v>0</v>
      </c>
      <c r="BG8" s="287"/>
      <c r="BH8" s="288" t="str">
        <f aca="false">IF((SUM(O8:Z8)&gt;1),"ERROR","")</f>
        <v/>
      </c>
      <c r="BI8" s="287"/>
      <c r="BL8" s="200"/>
      <c r="BM8" s="200"/>
      <c r="BN8" s="200"/>
    </row>
    <row r="9" customFormat="false" ht="15" hidden="false" customHeight="true" outlineLevel="0" collapsed="false">
      <c r="B9" s="275"/>
      <c r="D9" s="276" t="n">
        <f aca="false">+EDATE(D8, 1)</f>
        <v>45323</v>
      </c>
      <c r="E9" s="277" t="n">
        <v>7800.89</v>
      </c>
      <c r="F9" s="277" t="n">
        <v>2574.29</v>
      </c>
      <c r="G9" s="277" t="n">
        <v>563.4</v>
      </c>
      <c r="H9" s="277" t="n">
        <v>971.87</v>
      </c>
      <c r="I9" s="277" t="n">
        <v>390.04</v>
      </c>
      <c r="J9" s="278" t="n">
        <f aca="false">E9+H9+I9</f>
        <v>9162.8</v>
      </c>
      <c r="K9" s="204"/>
      <c r="L9" s="279" t="n">
        <v>0.6</v>
      </c>
      <c r="M9" s="280" t="n">
        <f aca="false">1-L9</f>
        <v>0.4</v>
      </c>
      <c r="N9" s="281"/>
      <c r="O9" s="282" t="n">
        <v>0.3</v>
      </c>
      <c r="P9" s="282" t="n">
        <v>0.25</v>
      </c>
      <c r="Q9" s="282" t="n">
        <v>0.15</v>
      </c>
      <c r="R9" s="282" t="n">
        <v>0.2</v>
      </c>
      <c r="S9" s="282" t="n">
        <v>0.1</v>
      </c>
      <c r="T9" s="282"/>
      <c r="U9" s="282"/>
      <c r="V9" s="282"/>
      <c r="W9" s="282"/>
      <c r="X9" s="282"/>
      <c r="Y9" s="282"/>
      <c r="Z9" s="282"/>
      <c r="AA9" s="283"/>
      <c r="AB9" s="284" t="n">
        <f aca="false">IFERROR(($J9*O9)*$L9, "")</f>
        <v>1649.304</v>
      </c>
      <c r="AC9" s="284" t="n">
        <f aca="false">IFERROR(($J9*P9)*$L9, "")</f>
        <v>1374.42</v>
      </c>
      <c r="AD9" s="284" t="n">
        <f aca="false">IFERROR(($J9*Q9)*$L9, "")</f>
        <v>824.652</v>
      </c>
      <c r="AE9" s="284" t="n">
        <f aca="false">IFERROR(($J9*R9)*$L9, "")</f>
        <v>1099.536</v>
      </c>
      <c r="AF9" s="284" t="n">
        <f aca="false">IFERROR(($J9*S9)*$L9, "")</f>
        <v>549.768</v>
      </c>
      <c r="AG9" s="284" t="n">
        <f aca="false">IFERROR(($J9*T9)*$L9, "")</f>
        <v>0</v>
      </c>
      <c r="AH9" s="284" t="n">
        <f aca="false">IFERROR(($J9*U9)*$L9, "")</f>
        <v>0</v>
      </c>
      <c r="AI9" s="284" t="n">
        <f aca="false">IFERROR(($J9*V9)*$L9, "")</f>
        <v>0</v>
      </c>
      <c r="AJ9" s="284" t="n">
        <f aca="false">IFERROR(($J9*W9)*$L9, "")</f>
        <v>0</v>
      </c>
      <c r="AK9" s="284" t="n">
        <f aca="false">IFERROR(($J9*X9)*$L9, "")</f>
        <v>0</v>
      </c>
      <c r="AL9" s="284" t="n">
        <f aca="false">IFERROR(($J9*Y9)*$L9, "")</f>
        <v>0</v>
      </c>
      <c r="AM9" s="285" t="n">
        <f aca="false">IFERROR(($J9*Z9)*$L9, "")</f>
        <v>0</v>
      </c>
      <c r="AN9" s="286" t="n">
        <f aca="false">IFERROR(SUMIF($AB$4:$AM$4, "RDEC", AB9:AM9), "")</f>
        <v>1099.536</v>
      </c>
      <c r="AO9" s="286" t="n">
        <f aca="false">IFERROR(SUMIF($AB$4:$AM$4, "SME", AB9:AM9), "")</f>
        <v>4398.144</v>
      </c>
      <c r="AP9" s="286" t="n">
        <f aca="false">IFERROR(SUMIF($AB$4:$AM$4, "De Minimis", AB9:AM9), "")</f>
        <v>0</v>
      </c>
      <c r="AQ9" s="283"/>
      <c r="AR9" s="284" t="n">
        <f aca="false">IFERROR(($J9*O9)*$M9, "")</f>
        <v>1099.536</v>
      </c>
      <c r="AS9" s="284" t="n">
        <f aca="false">IFERROR(($J9*P9)*$M9, "")</f>
        <v>916.28</v>
      </c>
      <c r="AT9" s="284" t="n">
        <f aca="false">IFERROR(($J9*Q9)*$M9, "")</f>
        <v>549.768</v>
      </c>
      <c r="AU9" s="284" t="n">
        <f aca="false">IFERROR(($J9*R9)*$M9, "")</f>
        <v>733.024</v>
      </c>
      <c r="AV9" s="284" t="n">
        <f aca="false">IFERROR(($J9*S9)*$M9, "")</f>
        <v>366.512</v>
      </c>
      <c r="AW9" s="284" t="n">
        <f aca="false">IFERROR(($J9*T9)*$M9, "")</f>
        <v>0</v>
      </c>
      <c r="AX9" s="284" t="n">
        <f aca="false">IFERROR(($J9*U9)*$M9, "")</f>
        <v>0</v>
      </c>
      <c r="AY9" s="284" t="n">
        <f aca="false">IFERROR(($J9*V9)*$M9, "")</f>
        <v>0</v>
      </c>
      <c r="AZ9" s="284" t="n">
        <f aca="false">IFERROR(($J9*W9)*$M9, "")</f>
        <v>0</v>
      </c>
      <c r="BA9" s="284" t="n">
        <f aca="false">IFERROR(($J9*X9)*$M9, "")</f>
        <v>0</v>
      </c>
      <c r="BB9" s="284" t="n">
        <f aca="false">IFERROR(($J9*Y9)*$M9, "")</f>
        <v>0</v>
      </c>
      <c r="BC9" s="285" t="n">
        <f aca="false">IFERROR(($J9*Z9)*$M9, "")</f>
        <v>0</v>
      </c>
      <c r="BD9" s="286" t="n">
        <f aca="false">IFERROR(SUMIF($AB$4:$AM$4, "RDEC", AR9:BC9), "")</f>
        <v>733.024</v>
      </c>
      <c r="BE9" s="286" t="n">
        <f aca="false">IFERROR(SUMIF($AB$4:$AM$4, "SME", AR9:BC9), "")</f>
        <v>2932.096</v>
      </c>
      <c r="BF9" s="286" t="n">
        <f aca="false">IFERROR(SUMIF($AB$4:$AM$4, "De Minimis", AR9:BC9), "")</f>
        <v>0</v>
      </c>
      <c r="BG9" s="287"/>
      <c r="BH9" s="288" t="str">
        <f aca="false">IF((SUM(O9:Z9)&gt;1),"ERROR","")</f>
        <v/>
      </c>
      <c r="BI9" s="287"/>
      <c r="BL9" s="200"/>
      <c r="BM9" s="200"/>
      <c r="BN9" s="200"/>
    </row>
    <row r="10" customFormat="false" ht="15" hidden="false" customHeight="true" outlineLevel="0" collapsed="false">
      <c r="B10" s="275"/>
      <c r="D10" s="276" t="n">
        <f aca="false">+EDATE(D9, 1)</f>
        <v>45352</v>
      </c>
      <c r="E10" s="277" t="n">
        <v>8061.08</v>
      </c>
      <c r="F10" s="277" t="n">
        <v>2660.16</v>
      </c>
      <c r="G10" s="277" t="n">
        <v>584.22</v>
      </c>
      <c r="H10" s="277" t="n">
        <v>1007.78</v>
      </c>
      <c r="I10" s="277" t="n">
        <v>403.05</v>
      </c>
      <c r="J10" s="278" t="n">
        <f aca="false">E10+H10+I10</f>
        <v>9471.91</v>
      </c>
      <c r="K10" s="204"/>
      <c r="L10" s="279" t="n">
        <v>0.6</v>
      </c>
      <c r="M10" s="280" t="n">
        <f aca="false">1-L10</f>
        <v>0.4</v>
      </c>
      <c r="N10" s="281"/>
      <c r="O10" s="282" t="n">
        <v>0.3</v>
      </c>
      <c r="P10" s="282" t="n">
        <v>0.25</v>
      </c>
      <c r="Q10" s="282" t="n">
        <v>0.15</v>
      </c>
      <c r="R10" s="282" t="n">
        <v>0.2</v>
      </c>
      <c r="S10" s="282" t="n">
        <v>0.1</v>
      </c>
      <c r="T10" s="282"/>
      <c r="U10" s="282"/>
      <c r="V10" s="282"/>
      <c r="W10" s="282"/>
      <c r="X10" s="282"/>
      <c r="Y10" s="282"/>
      <c r="Z10" s="282"/>
      <c r="AA10" s="283"/>
      <c r="AB10" s="284" t="n">
        <f aca="false">IFERROR(($J10*O10)*$L10, "")</f>
        <v>1704.9438</v>
      </c>
      <c r="AC10" s="284" t="n">
        <f aca="false">IFERROR(($J10*P10)*$L10, "")</f>
        <v>1420.7865</v>
      </c>
      <c r="AD10" s="284" t="n">
        <f aca="false">IFERROR(($J10*Q10)*$L10, "")</f>
        <v>852.4719</v>
      </c>
      <c r="AE10" s="284" t="n">
        <f aca="false">IFERROR(($J10*R10)*$L10, "")</f>
        <v>1136.6292</v>
      </c>
      <c r="AF10" s="284" t="n">
        <f aca="false">IFERROR(($J10*S10)*$L10, "")</f>
        <v>568.3146</v>
      </c>
      <c r="AG10" s="284" t="n">
        <f aca="false">IFERROR(($J10*T10)*$L10, "")</f>
        <v>0</v>
      </c>
      <c r="AH10" s="284" t="n">
        <f aca="false">IFERROR(($J10*U10)*$L10, "")</f>
        <v>0</v>
      </c>
      <c r="AI10" s="284" t="n">
        <f aca="false">IFERROR(($J10*V10)*$L10, "")</f>
        <v>0</v>
      </c>
      <c r="AJ10" s="284" t="n">
        <f aca="false">IFERROR(($J10*W10)*$L10, "")</f>
        <v>0</v>
      </c>
      <c r="AK10" s="284" t="n">
        <f aca="false">IFERROR(($J10*X10)*$L10, "")</f>
        <v>0</v>
      </c>
      <c r="AL10" s="284" t="n">
        <f aca="false">IFERROR(($J10*Y10)*$L10, "")</f>
        <v>0</v>
      </c>
      <c r="AM10" s="285" t="n">
        <f aca="false">IFERROR(($J10*Z10)*$L10, "")</f>
        <v>0</v>
      </c>
      <c r="AN10" s="286" t="n">
        <f aca="false">IFERROR(SUMIF($AB$4:$AM$4, "RDEC", AB10:AM10), "")</f>
        <v>1136.6292</v>
      </c>
      <c r="AO10" s="286" t="n">
        <f aca="false">IFERROR(SUMIF($AB$4:$AM$4, "SME", AB10:AM10), "")</f>
        <v>4546.5168</v>
      </c>
      <c r="AP10" s="286" t="n">
        <f aca="false">IFERROR(SUMIF($AB$4:$AM$4, "De Minimis", AB10:AM10), "")</f>
        <v>0</v>
      </c>
      <c r="AQ10" s="283"/>
      <c r="AR10" s="284" t="n">
        <f aca="false">IFERROR(($J10*O10)*$M10, "")</f>
        <v>1136.6292</v>
      </c>
      <c r="AS10" s="284" t="n">
        <f aca="false">IFERROR(($J10*P10)*$M10, "")</f>
        <v>947.191</v>
      </c>
      <c r="AT10" s="284" t="n">
        <f aca="false">IFERROR(($J10*Q10)*$M10, "")</f>
        <v>568.3146</v>
      </c>
      <c r="AU10" s="284" t="n">
        <f aca="false">IFERROR(($J10*R10)*$M10, "")</f>
        <v>757.7528</v>
      </c>
      <c r="AV10" s="284" t="n">
        <f aca="false">IFERROR(($J10*S10)*$M10, "")</f>
        <v>378.8764</v>
      </c>
      <c r="AW10" s="284" t="n">
        <f aca="false">IFERROR(($J10*T10)*$M10, "")</f>
        <v>0</v>
      </c>
      <c r="AX10" s="284" t="n">
        <f aca="false">IFERROR(($J10*U10)*$M10, "")</f>
        <v>0</v>
      </c>
      <c r="AY10" s="284" t="n">
        <f aca="false">IFERROR(($J10*V10)*$M10, "")</f>
        <v>0</v>
      </c>
      <c r="AZ10" s="284" t="n">
        <f aca="false">IFERROR(($J10*W10)*$M10, "")</f>
        <v>0</v>
      </c>
      <c r="BA10" s="284" t="n">
        <f aca="false">IFERROR(($J10*X10)*$M10, "")</f>
        <v>0</v>
      </c>
      <c r="BB10" s="284" t="n">
        <f aca="false">IFERROR(($J10*Y10)*$M10, "")</f>
        <v>0</v>
      </c>
      <c r="BC10" s="285" t="n">
        <f aca="false">IFERROR(($J10*Z10)*$M10, "")</f>
        <v>0</v>
      </c>
      <c r="BD10" s="286" t="n">
        <f aca="false">IFERROR(SUMIF($AB$4:$AM$4, "RDEC", AR10:BC10), "")</f>
        <v>757.7528</v>
      </c>
      <c r="BE10" s="286" t="n">
        <f aca="false">IFERROR(SUMIF($AB$4:$AM$4, "SME", AR10:BC10), "")</f>
        <v>3031.0112</v>
      </c>
      <c r="BF10" s="286" t="n">
        <f aca="false">IFERROR(SUMIF($AB$4:$AM$4, "De Minimis", AR10:BC10), "")</f>
        <v>0</v>
      </c>
      <c r="BG10" s="287"/>
      <c r="BH10" s="288" t="str">
        <f aca="false">IF((SUM(O10:Z10)&gt;1),"ERROR","")</f>
        <v/>
      </c>
      <c r="BI10" s="287"/>
      <c r="BL10" s="200"/>
      <c r="BM10" s="200"/>
      <c r="BN10" s="200"/>
    </row>
    <row r="11" customFormat="false" ht="15" hidden="false" customHeight="true" outlineLevel="0" collapsed="false">
      <c r="B11" s="275"/>
      <c r="D11" s="276" t="n">
        <f aca="false">+EDATE(D10, 1)</f>
        <v>45383</v>
      </c>
      <c r="E11" s="277" t="n">
        <v>7833.69</v>
      </c>
      <c r="F11" s="277" t="n">
        <v>2585.12</v>
      </c>
      <c r="G11" s="277" t="n">
        <v>566.03</v>
      </c>
      <c r="H11" s="277" t="n">
        <v>976.4</v>
      </c>
      <c r="I11" s="277" t="n">
        <v>391.68</v>
      </c>
      <c r="J11" s="278" t="n">
        <f aca="false">E11+H11+I11</f>
        <v>9201.77</v>
      </c>
      <c r="K11" s="204"/>
      <c r="L11" s="279" t="n">
        <v>0.6</v>
      </c>
      <c r="M11" s="280" t="n">
        <f aca="false">1-L11</f>
        <v>0.4</v>
      </c>
      <c r="N11" s="281"/>
      <c r="O11" s="282" t="n">
        <v>0.3</v>
      </c>
      <c r="P11" s="282" t="n">
        <v>0.25</v>
      </c>
      <c r="Q11" s="282" t="n">
        <v>0.15</v>
      </c>
      <c r="R11" s="282" t="n">
        <v>0.2</v>
      </c>
      <c r="S11" s="282" t="n">
        <v>0.1</v>
      </c>
      <c r="T11" s="282"/>
      <c r="U11" s="282"/>
      <c r="V11" s="282"/>
      <c r="W11" s="282"/>
      <c r="X11" s="282"/>
      <c r="Y11" s="282"/>
      <c r="Z11" s="282"/>
      <c r="AA11" s="283"/>
      <c r="AB11" s="284" t="n">
        <f aca="false">IFERROR(($J11*O11)*$L11, "")</f>
        <v>1656.3186</v>
      </c>
      <c r="AC11" s="284" t="n">
        <f aca="false">IFERROR(($J11*P11)*$L11, "")</f>
        <v>1380.2655</v>
      </c>
      <c r="AD11" s="284" t="n">
        <f aca="false">IFERROR(($J11*Q11)*$L11, "")</f>
        <v>828.1593</v>
      </c>
      <c r="AE11" s="284" t="n">
        <f aca="false">IFERROR(($J11*R11)*$L11, "")</f>
        <v>1104.2124</v>
      </c>
      <c r="AF11" s="284" t="n">
        <f aca="false">IFERROR(($J11*S11)*$L11, "")</f>
        <v>552.1062</v>
      </c>
      <c r="AG11" s="284" t="n">
        <f aca="false">IFERROR(($J11*T11)*$L11, "")</f>
        <v>0</v>
      </c>
      <c r="AH11" s="284" t="n">
        <f aca="false">IFERROR(($J11*U11)*$L11, "")</f>
        <v>0</v>
      </c>
      <c r="AI11" s="284" t="n">
        <f aca="false">IFERROR(($J11*V11)*$L11, "")</f>
        <v>0</v>
      </c>
      <c r="AJ11" s="284" t="n">
        <f aca="false">IFERROR(($J11*W11)*$L11, "")</f>
        <v>0</v>
      </c>
      <c r="AK11" s="284" t="n">
        <f aca="false">IFERROR(($J11*X11)*$L11, "")</f>
        <v>0</v>
      </c>
      <c r="AL11" s="284" t="n">
        <f aca="false">IFERROR(($J11*Y11)*$L11, "")</f>
        <v>0</v>
      </c>
      <c r="AM11" s="285" t="n">
        <f aca="false">IFERROR(($J11*Z11)*$L11, "")</f>
        <v>0</v>
      </c>
      <c r="AN11" s="286" t="n">
        <f aca="false">IFERROR(SUMIF($AB$4:$AM$4, "RDEC", AB11:AM11), "")</f>
        <v>1104.2124</v>
      </c>
      <c r="AO11" s="286" t="n">
        <f aca="false">IFERROR(SUMIF($AB$4:$AM$4, "SME", AB11:AM11), "")</f>
        <v>4416.8496</v>
      </c>
      <c r="AP11" s="286" t="n">
        <f aca="false">IFERROR(SUMIF($AB$4:$AM$4, "De Minimis", AB11:AM11), "")</f>
        <v>0</v>
      </c>
      <c r="AQ11" s="283"/>
      <c r="AR11" s="284" t="n">
        <f aca="false">IFERROR(($J11*O11)*$M11, "")</f>
        <v>1104.2124</v>
      </c>
      <c r="AS11" s="284" t="n">
        <f aca="false">IFERROR(($J11*P11)*$M11, "")</f>
        <v>920.177</v>
      </c>
      <c r="AT11" s="284" t="n">
        <f aca="false">IFERROR(($J11*Q11)*$M11, "")</f>
        <v>552.1062</v>
      </c>
      <c r="AU11" s="284" t="n">
        <f aca="false">IFERROR(($J11*R11)*$M11, "")</f>
        <v>736.1416</v>
      </c>
      <c r="AV11" s="284" t="n">
        <f aca="false">IFERROR(($J11*S11)*$M11, "")</f>
        <v>368.0708</v>
      </c>
      <c r="AW11" s="284" t="n">
        <f aca="false">IFERROR(($J11*T11)*$M11, "")</f>
        <v>0</v>
      </c>
      <c r="AX11" s="284" t="n">
        <f aca="false">IFERROR(($J11*U11)*$M11, "")</f>
        <v>0</v>
      </c>
      <c r="AY11" s="284" t="n">
        <f aca="false">IFERROR(($J11*V11)*$M11, "")</f>
        <v>0</v>
      </c>
      <c r="AZ11" s="284" t="n">
        <f aca="false">IFERROR(($J11*W11)*$M11, "")</f>
        <v>0</v>
      </c>
      <c r="BA11" s="284" t="n">
        <f aca="false">IFERROR(($J11*X11)*$M11, "")</f>
        <v>0</v>
      </c>
      <c r="BB11" s="284" t="n">
        <f aca="false">IFERROR(($J11*Y11)*$M11, "")</f>
        <v>0</v>
      </c>
      <c r="BC11" s="285" t="n">
        <f aca="false">IFERROR(($J11*Z11)*$M11, "")</f>
        <v>0</v>
      </c>
      <c r="BD11" s="286" t="n">
        <f aca="false">IFERROR(SUMIF($AB$4:$AM$4, "RDEC", AR11:BC11), "")</f>
        <v>736.1416</v>
      </c>
      <c r="BE11" s="286" t="n">
        <f aca="false">IFERROR(SUMIF($AB$4:$AM$4, "SME", AR11:BC11), "")</f>
        <v>2944.5664</v>
      </c>
      <c r="BF11" s="286" t="n">
        <f aca="false">IFERROR(SUMIF($AB$4:$AM$4, "De Minimis", AR11:BC11), "")</f>
        <v>0</v>
      </c>
      <c r="BG11" s="287"/>
      <c r="BH11" s="288" t="str">
        <f aca="false">IF((SUM(O11:Z11)&gt;1),"ERROR","")</f>
        <v/>
      </c>
      <c r="BI11" s="287"/>
      <c r="BL11" s="200"/>
      <c r="BM11" s="200"/>
      <c r="BN11" s="200"/>
    </row>
    <row r="12" customFormat="false" ht="15" hidden="false" customHeight="true" outlineLevel="0" collapsed="false">
      <c r="B12" s="275"/>
      <c r="D12" s="276" t="n">
        <f aca="false">+EDATE(D11, 1)</f>
        <v>45413</v>
      </c>
      <c r="E12" s="277" t="n">
        <v>7833.09</v>
      </c>
      <c r="F12" s="277" t="n">
        <v>2584.92</v>
      </c>
      <c r="G12" s="277" t="n">
        <v>565.98</v>
      </c>
      <c r="H12" s="277" t="n">
        <v>976.32</v>
      </c>
      <c r="I12" s="277" t="n">
        <v>391.65</v>
      </c>
      <c r="J12" s="278" t="n">
        <f aca="false">E12+H12+I12</f>
        <v>9201.06</v>
      </c>
      <c r="K12" s="204"/>
      <c r="L12" s="279" t="n">
        <v>0.6</v>
      </c>
      <c r="M12" s="280" t="n">
        <f aca="false">1-L12</f>
        <v>0.4</v>
      </c>
      <c r="N12" s="281"/>
      <c r="O12" s="282" t="n">
        <v>0.3</v>
      </c>
      <c r="P12" s="282" t="n">
        <v>0.25</v>
      </c>
      <c r="Q12" s="282" t="n">
        <v>0.15</v>
      </c>
      <c r="R12" s="282" t="n">
        <v>0.2</v>
      </c>
      <c r="S12" s="282" t="n">
        <v>0.1</v>
      </c>
      <c r="T12" s="282"/>
      <c r="U12" s="282"/>
      <c r="V12" s="282"/>
      <c r="W12" s="282"/>
      <c r="X12" s="282"/>
      <c r="Y12" s="282"/>
      <c r="Z12" s="282"/>
      <c r="AA12" s="283"/>
      <c r="AB12" s="284" t="n">
        <f aca="false">IFERROR(($J12*O12)*$L12, "")</f>
        <v>1656.1908</v>
      </c>
      <c r="AC12" s="284" t="n">
        <f aca="false">IFERROR(($J12*P12)*$L12, "")</f>
        <v>1380.159</v>
      </c>
      <c r="AD12" s="284" t="n">
        <f aca="false">IFERROR(($J12*Q12)*$L12, "")</f>
        <v>828.0954</v>
      </c>
      <c r="AE12" s="284" t="n">
        <f aca="false">IFERROR(($J12*R12)*$L12, "")</f>
        <v>1104.1272</v>
      </c>
      <c r="AF12" s="284" t="n">
        <f aca="false">IFERROR(($J12*S12)*$L12, "")</f>
        <v>552.0636</v>
      </c>
      <c r="AG12" s="284" t="n">
        <f aca="false">IFERROR(($J12*T12)*$L12, "")</f>
        <v>0</v>
      </c>
      <c r="AH12" s="284" t="n">
        <f aca="false">IFERROR(($J12*U12)*$L12, "")</f>
        <v>0</v>
      </c>
      <c r="AI12" s="284" t="n">
        <f aca="false">IFERROR(($J12*V12)*$L12, "")</f>
        <v>0</v>
      </c>
      <c r="AJ12" s="284" t="n">
        <f aca="false">IFERROR(($J12*W12)*$L12, "")</f>
        <v>0</v>
      </c>
      <c r="AK12" s="284" t="n">
        <f aca="false">IFERROR(($J12*X12)*$L12, "")</f>
        <v>0</v>
      </c>
      <c r="AL12" s="284" t="n">
        <f aca="false">IFERROR(($J12*Y12)*$L12, "")</f>
        <v>0</v>
      </c>
      <c r="AM12" s="285" t="n">
        <f aca="false">IFERROR(($J12*Z12)*$L12, "")</f>
        <v>0</v>
      </c>
      <c r="AN12" s="286" t="n">
        <f aca="false">IFERROR(SUMIF($AB$4:$AM$4, "RDEC", AB12:AM12), "")</f>
        <v>1104.1272</v>
      </c>
      <c r="AO12" s="286" t="n">
        <f aca="false">IFERROR(SUMIF($AB$4:$AM$4, "SME", AB12:AM12), "")</f>
        <v>4416.5088</v>
      </c>
      <c r="AP12" s="286" t="n">
        <f aca="false">IFERROR(SUMIF($AB$4:$AM$4, "De Minimis", AB12:AM12), "")</f>
        <v>0</v>
      </c>
      <c r="AQ12" s="283"/>
      <c r="AR12" s="284" t="n">
        <f aca="false">IFERROR(($J12*O12)*$M12, "")</f>
        <v>1104.1272</v>
      </c>
      <c r="AS12" s="284" t="n">
        <f aca="false">IFERROR(($J12*P12)*$M12, "")</f>
        <v>920.106</v>
      </c>
      <c r="AT12" s="284" t="n">
        <f aca="false">IFERROR(($J12*Q12)*$M12, "")</f>
        <v>552.0636</v>
      </c>
      <c r="AU12" s="284" t="n">
        <f aca="false">IFERROR(($J12*R12)*$M12, "")</f>
        <v>736.0848</v>
      </c>
      <c r="AV12" s="284" t="n">
        <f aca="false">IFERROR(($J12*S12)*$M12, "")</f>
        <v>368.0424</v>
      </c>
      <c r="AW12" s="284" t="n">
        <f aca="false">IFERROR(($J12*T12)*$M12, "")</f>
        <v>0</v>
      </c>
      <c r="AX12" s="284" t="n">
        <f aca="false">IFERROR(($J12*U12)*$M12, "")</f>
        <v>0</v>
      </c>
      <c r="AY12" s="284" t="n">
        <f aca="false">IFERROR(($J12*V12)*$M12, "")</f>
        <v>0</v>
      </c>
      <c r="AZ12" s="284" t="n">
        <f aca="false">IFERROR(($J12*W12)*$M12, "")</f>
        <v>0</v>
      </c>
      <c r="BA12" s="284" t="n">
        <f aca="false">IFERROR(($J12*X12)*$M12, "")</f>
        <v>0</v>
      </c>
      <c r="BB12" s="284" t="n">
        <f aca="false">IFERROR(($J12*Y12)*$M12, "")</f>
        <v>0</v>
      </c>
      <c r="BC12" s="285" t="n">
        <f aca="false">IFERROR(($J12*Z12)*$M12, "")</f>
        <v>0</v>
      </c>
      <c r="BD12" s="286" t="n">
        <f aca="false">IFERROR(SUMIF($AB$4:$AM$4, "RDEC", AR12:BC12), "")</f>
        <v>736.0848</v>
      </c>
      <c r="BE12" s="286" t="n">
        <f aca="false">IFERROR(SUMIF($AB$4:$AM$4, "SME", AR12:BC12), "")</f>
        <v>2944.3392</v>
      </c>
      <c r="BF12" s="286" t="n">
        <f aca="false">IFERROR(SUMIF($AB$4:$AM$4, "De Minimis", AR12:BC12), "")</f>
        <v>0</v>
      </c>
      <c r="BG12" s="287"/>
      <c r="BH12" s="288" t="str">
        <f aca="false">IF((SUM(O12:Z12)&gt;1),"ERROR","")</f>
        <v/>
      </c>
      <c r="BI12" s="287"/>
      <c r="BL12" s="200"/>
      <c r="BM12" s="200"/>
      <c r="BN12" s="200"/>
    </row>
    <row r="13" customFormat="false" ht="15" hidden="false" customHeight="true" outlineLevel="0" collapsed="false">
      <c r="B13" s="275"/>
      <c r="D13" s="276" t="n">
        <f aca="false">+EDATE(D12, 1)</f>
        <v>45444</v>
      </c>
      <c r="E13" s="277" t="n">
        <v>7955.59</v>
      </c>
      <c r="F13" s="277" t="n">
        <v>2625.34</v>
      </c>
      <c r="G13" s="277" t="n">
        <v>575.78</v>
      </c>
      <c r="H13" s="277" t="n">
        <v>993.22</v>
      </c>
      <c r="I13" s="277" t="n">
        <v>397.78</v>
      </c>
      <c r="J13" s="278" t="n">
        <f aca="false">E13+H13+I13</f>
        <v>9346.59</v>
      </c>
      <c r="K13" s="204"/>
      <c r="L13" s="279" t="n">
        <v>0.6</v>
      </c>
      <c r="M13" s="280" t="n">
        <f aca="false">1-L13</f>
        <v>0.4</v>
      </c>
      <c r="N13" s="281"/>
      <c r="O13" s="282" t="n">
        <v>0.3</v>
      </c>
      <c r="P13" s="282" t="n">
        <v>0.25</v>
      </c>
      <c r="Q13" s="282" t="n">
        <v>0.15</v>
      </c>
      <c r="R13" s="282" t="n">
        <v>0.2</v>
      </c>
      <c r="S13" s="282" t="n">
        <v>0.1</v>
      </c>
      <c r="T13" s="282"/>
      <c r="U13" s="282"/>
      <c r="V13" s="282"/>
      <c r="W13" s="282"/>
      <c r="X13" s="282"/>
      <c r="Y13" s="282"/>
      <c r="Z13" s="282"/>
      <c r="AA13" s="283"/>
      <c r="AB13" s="284" t="n">
        <f aca="false">IFERROR(($J13*O13)*$L13, "")</f>
        <v>1682.3862</v>
      </c>
      <c r="AC13" s="284" t="n">
        <f aca="false">IFERROR(($J13*P13)*$L13, "")</f>
        <v>1401.9885</v>
      </c>
      <c r="AD13" s="284" t="n">
        <f aca="false">IFERROR(($J13*Q13)*$L13, "")</f>
        <v>841.1931</v>
      </c>
      <c r="AE13" s="284" t="n">
        <f aca="false">IFERROR(($J13*R13)*$L13, "")</f>
        <v>1121.5908</v>
      </c>
      <c r="AF13" s="284" t="n">
        <f aca="false">IFERROR(($J13*S13)*$L13, "")</f>
        <v>560.7954</v>
      </c>
      <c r="AG13" s="284" t="n">
        <f aca="false">IFERROR(($J13*T13)*$L13, "")</f>
        <v>0</v>
      </c>
      <c r="AH13" s="284" t="n">
        <f aca="false">IFERROR(($J13*U13)*$L13, "")</f>
        <v>0</v>
      </c>
      <c r="AI13" s="284" t="n">
        <f aca="false">IFERROR(($J13*V13)*$L13, "")</f>
        <v>0</v>
      </c>
      <c r="AJ13" s="284" t="n">
        <f aca="false">IFERROR(($J13*W13)*$L13, "")</f>
        <v>0</v>
      </c>
      <c r="AK13" s="284" t="n">
        <f aca="false">IFERROR(($J13*X13)*$L13, "")</f>
        <v>0</v>
      </c>
      <c r="AL13" s="284" t="n">
        <f aca="false">IFERROR(($J13*Y13)*$L13, "")</f>
        <v>0</v>
      </c>
      <c r="AM13" s="285" t="n">
        <f aca="false">IFERROR(($J13*Z13)*$L13, "")</f>
        <v>0</v>
      </c>
      <c r="AN13" s="286" t="n">
        <f aca="false">IFERROR(SUMIF($AB$4:$AM$4, "RDEC", AB13:AM13), "")</f>
        <v>1121.5908</v>
      </c>
      <c r="AO13" s="286" t="n">
        <f aca="false">IFERROR(SUMIF($AB$4:$AM$4, "SME", AB13:AM13), "")</f>
        <v>4486.3632</v>
      </c>
      <c r="AP13" s="286" t="n">
        <f aca="false">IFERROR(SUMIF($AB$4:$AM$4, "De Minimis", AB13:AM13), "")</f>
        <v>0</v>
      </c>
      <c r="AQ13" s="283"/>
      <c r="AR13" s="284" t="n">
        <f aca="false">IFERROR(($J13*O13)*$M13, "")</f>
        <v>1121.5908</v>
      </c>
      <c r="AS13" s="284" t="n">
        <f aca="false">IFERROR(($J13*P13)*$M13, "")</f>
        <v>934.659</v>
      </c>
      <c r="AT13" s="284" t="n">
        <f aca="false">IFERROR(($J13*Q13)*$M13, "")</f>
        <v>560.7954</v>
      </c>
      <c r="AU13" s="284" t="n">
        <f aca="false">IFERROR(($J13*R13)*$M13, "")</f>
        <v>747.7272</v>
      </c>
      <c r="AV13" s="284" t="n">
        <f aca="false">IFERROR(($J13*S13)*$M13, "")</f>
        <v>373.8636</v>
      </c>
      <c r="AW13" s="284" t="n">
        <f aca="false">IFERROR(($J13*T13)*$M13, "")</f>
        <v>0</v>
      </c>
      <c r="AX13" s="284" t="n">
        <f aca="false">IFERROR(($J13*U13)*$M13, "")</f>
        <v>0</v>
      </c>
      <c r="AY13" s="284" t="n">
        <f aca="false">IFERROR(($J13*V13)*$M13, "")</f>
        <v>0</v>
      </c>
      <c r="AZ13" s="284" t="n">
        <f aca="false">IFERROR(($J13*W13)*$M13, "")</f>
        <v>0</v>
      </c>
      <c r="BA13" s="284" t="n">
        <f aca="false">IFERROR(($J13*X13)*$M13, "")</f>
        <v>0</v>
      </c>
      <c r="BB13" s="284" t="n">
        <f aca="false">IFERROR(($J13*Y13)*$M13, "")</f>
        <v>0</v>
      </c>
      <c r="BC13" s="285" t="n">
        <f aca="false">IFERROR(($J13*Z13)*$M13, "")</f>
        <v>0</v>
      </c>
      <c r="BD13" s="286" t="n">
        <f aca="false">IFERROR(SUMIF($AB$4:$AM$4, "RDEC", AR13:BC13), "")</f>
        <v>747.7272</v>
      </c>
      <c r="BE13" s="286" t="n">
        <f aca="false">IFERROR(SUMIF($AB$4:$AM$4, "SME", AR13:BC13), "")</f>
        <v>2990.9088</v>
      </c>
      <c r="BF13" s="286" t="n">
        <f aca="false">IFERROR(SUMIF($AB$4:$AM$4, "De Minimis", AR13:BC13), "")</f>
        <v>0</v>
      </c>
      <c r="BG13" s="287"/>
      <c r="BH13" s="288" t="str">
        <f aca="false">IF((SUM(O13:Z13)&gt;1),"ERROR","")</f>
        <v/>
      </c>
      <c r="BI13" s="287"/>
      <c r="BL13" s="200"/>
      <c r="BM13" s="200"/>
      <c r="BN13" s="200"/>
    </row>
    <row r="14" customFormat="false" ht="15" hidden="false" customHeight="true" outlineLevel="0" collapsed="false">
      <c r="B14" s="275"/>
      <c r="D14" s="276" t="n">
        <f aca="false">+EDATE(D13, 1)</f>
        <v>45474</v>
      </c>
      <c r="E14" s="277" t="n">
        <v>8009.56</v>
      </c>
      <c r="F14" s="277" t="n">
        <v>2643.15</v>
      </c>
      <c r="G14" s="277" t="n">
        <v>580.1</v>
      </c>
      <c r="H14" s="277" t="n">
        <v>1000.67</v>
      </c>
      <c r="I14" s="277" t="n">
        <v>400.48</v>
      </c>
      <c r="J14" s="278" t="n">
        <f aca="false">E14+H14+I14</f>
        <v>9410.71</v>
      </c>
      <c r="K14" s="204"/>
      <c r="L14" s="279" t="n">
        <v>0.6</v>
      </c>
      <c r="M14" s="280" t="n">
        <f aca="false">1-L14</f>
        <v>0.4</v>
      </c>
      <c r="N14" s="281"/>
      <c r="O14" s="282" t="n">
        <v>0.3</v>
      </c>
      <c r="P14" s="282" t="n">
        <v>0.25</v>
      </c>
      <c r="Q14" s="282" t="n">
        <v>0.15</v>
      </c>
      <c r="R14" s="282" t="n">
        <v>0.2</v>
      </c>
      <c r="S14" s="282" t="n">
        <v>0.1</v>
      </c>
      <c r="T14" s="282"/>
      <c r="U14" s="282"/>
      <c r="V14" s="282"/>
      <c r="W14" s="282"/>
      <c r="X14" s="282"/>
      <c r="Y14" s="282"/>
      <c r="Z14" s="282"/>
      <c r="AA14" s="283"/>
      <c r="AB14" s="284" t="n">
        <f aca="false">IFERROR(($J14*O14)*$L14, "")</f>
        <v>1693.9278</v>
      </c>
      <c r="AC14" s="284" t="n">
        <f aca="false">IFERROR(($J14*P14)*$L14, "")</f>
        <v>1411.6065</v>
      </c>
      <c r="AD14" s="284" t="n">
        <f aca="false">IFERROR(($J14*Q14)*$L14, "")</f>
        <v>846.9639</v>
      </c>
      <c r="AE14" s="284" t="n">
        <f aca="false">IFERROR(($J14*R14)*$L14, "")</f>
        <v>1129.2852</v>
      </c>
      <c r="AF14" s="284" t="n">
        <f aca="false">IFERROR(($J14*S14)*$L14, "")</f>
        <v>564.6426</v>
      </c>
      <c r="AG14" s="284" t="n">
        <f aca="false">IFERROR(($J14*T14)*$L14, "")</f>
        <v>0</v>
      </c>
      <c r="AH14" s="284" t="n">
        <f aca="false">IFERROR(($J14*U14)*$L14, "")</f>
        <v>0</v>
      </c>
      <c r="AI14" s="284" t="n">
        <f aca="false">IFERROR(($J14*V14)*$L14, "")</f>
        <v>0</v>
      </c>
      <c r="AJ14" s="284" t="n">
        <f aca="false">IFERROR(($J14*W14)*$L14, "")</f>
        <v>0</v>
      </c>
      <c r="AK14" s="284" t="n">
        <f aca="false">IFERROR(($J14*X14)*$L14, "")</f>
        <v>0</v>
      </c>
      <c r="AL14" s="284" t="n">
        <f aca="false">IFERROR(($J14*Y14)*$L14, "")</f>
        <v>0</v>
      </c>
      <c r="AM14" s="285" t="n">
        <f aca="false">IFERROR(($J14*Z14)*$L14, "")</f>
        <v>0</v>
      </c>
      <c r="AN14" s="286" t="n">
        <f aca="false">IFERROR(SUMIF($AB$4:$AM$4, "RDEC", AB14:AM14), "")</f>
        <v>1129.2852</v>
      </c>
      <c r="AO14" s="286" t="n">
        <f aca="false">IFERROR(SUMIF($AB$4:$AM$4, "SME", AB14:AM14), "")</f>
        <v>4517.1408</v>
      </c>
      <c r="AP14" s="286" t="n">
        <f aca="false">IFERROR(SUMIF($AB$4:$AM$4, "De Minimis", AB14:AM14), "")</f>
        <v>0</v>
      </c>
      <c r="AQ14" s="283"/>
      <c r="AR14" s="284" t="n">
        <f aca="false">IFERROR(($J14*O14)*$M14, "")</f>
        <v>1129.2852</v>
      </c>
      <c r="AS14" s="284" t="n">
        <f aca="false">IFERROR(($J14*P14)*$M14, "")</f>
        <v>941.071</v>
      </c>
      <c r="AT14" s="284" t="n">
        <f aca="false">IFERROR(($J14*Q14)*$M14, "")</f>
        <v>564.6426</v>
      </c>
      <c r="AU14" s="284" t="n">
        <f aca="false">IFERROR(($J14*R14)*$M14, "")</f>
        <v>752.8568</v>
      </c>
      <c r="AV14" s="284" t="n">
        <f aca="false">IFERROR(($J14*S14)*$M14, "")</f>
        <v>376.4284</v>
      </c>
      <c r="AW14" s="284" t="n">
        <f aca="false">IFERROR(($J14*T14)*$M14, "")</f>
        <v>0</v>
      </c>
      <c r="AX14" s="284" t="n">
        <f aca="false">IFERROR(($J14*U14)*$M14, "")</f>
        <v>0</v>
      </c>
      <c r="AY14" s="284" t="n">
        <f aca="false">IFERROR(($J14*V14)*$M14, "")</f>
        <v>0</v>
      </c>
      <c r="AZ14" s="284" t="n">
        <f aca="false">IFERROR(($J14*W14)*$M14, "")</f>
        <v>0</v>
      </c>
      <c r="BA14" s="284" t="n">
        <f aca="false">IFERROR(($J14*X14)*$M14, "")</f>
        <v>0</v>
      </c>
      <c r="BB14" s="284" t="n">
        <f aca="false">IFERROR(($J14*Y14)*$M14, "")</f>
        <v>0</v>
      </c>
      <c r="BC14" s="285" t="n">
        <f aca="false">IFERROR(($J14*Z14)*$M14, "")</f>
        <v>0</v>
      </c>
      <c r="BD14" s="286" t="n">
        <f aca="false">IFERROR(SUMIF($AB$4:$AM$4, "RDEC", AR14:BC14), "")</f>
        <v>752.8568</v>
      </c>
      <c r="BE14" s="286" t="n">
        <f aca="false">IFERROR(SUMIF($AB$4:$AM$4, "SME", AR14:BC14), "")</f>
        <v>3011.4272</v>
      </c>
      <c r="BF14" s="286" t="n">
        <f aca="false">IFERROR(SUMIF($AB$4:$AM$4, "De Minimis", AR14:BC14), "")</f>
        <v>0</v>
      </c>
      <c r="BG14" s="287"/>
      <c r="BH14" s="288" t="str">
        <f aca="false">IF((SUM(O14:Z14)&gt;1),"ERROR","")</f>
        <v/>
      </c>
      <c r="BI14" s="287"/>
      <c r="BL14" s="200"/>
      <c r="BM14" s="200"/>
      <c r="BN14" s="200"/>
    </row>
    <row r="15" customFormat="false" ht="15" hidden="false" customHeight="true" outlineLevel="0" collapsed="false">
      <c r="B15" s="275"/>
      <c r="D15" s="276" t="n">
        <f aca="false">+EDATE(D14, 1)</f>
        <v>45505</v>
      </c>
      <c r="E15" s="277" t="n">
        <v>7860.88</v>
      </c>
      <c r="F15" s="277" t="n">
        <v>2594.09</v>
      </c>
      <c r="G15" s="277" t="n">
        <v>568.2</v>
      </c>
      <c r="H15" s="277" t="n">
        <v>980.15</v>
      </c>
      <c r="I15" s="277" t="n">
        <v>393.04</v>
      </c>
      <c r="J15" s="278" t="n">
        <f aca="false">E15+H15+I15</f>
        <v>9234.07</v>
      </c>
      <c r="K15" s="204"/>
      <c r="L15" s="279" t="n">
        <v>0.6</v>
      </c>
      <c r="M15" s="280" t="n">
        <f aca="false">1-L15</f>
        <v>0.4</v>
      </c>
      <c r="N15" s="281"/>
      <c r="O15" s="282" t="n">
        <v>0.3</v>
      </c>
      <c r="P15" s="282" t="n">
        <v>0.25</v>
      </c>
      <c r="Q15" s="282" t="n">
        <v>0.15</v>
      </c>
      <c r="R15" s="282" t="n">
        <v>0.2</v>
      </c>
      <c r="S15" s="282" t="n">
        <v>0.1</v>
      </c>
      <c r="T15" s="282"/>
      <c r="U15" s="282"/>
      <c r="V15" s="282"/>
      <c r="W15" s="282"/>
      <c r="X15" s="282"/>
      <c r="Y15" s="282"/>
      <c r="Z15" s="282"/>
      <c r="AA15" s="283"/>
      <c r="AB15" s="284" t="n">
        <f aca="false">IFERROR(($J15*O15)*$L15, "")</f>
        <v>1662.1326</v>
      </c>
      <c r="AC15" s="284" t="n">
        <f aca="false">IFERROR(($J15*P15)*$L15, "")</f>
        <v>1385.1105</v>
      </c>
      <c r="AD15" s="284" t="n">
        <f aca="false">IFERROR(($J15*Q15)*$L15, "")</f>
        <v>831.0663</v>
      </c>
      <c r="AE15" s="284" t="n">
        <f aca="false">IFERROR(($J15*R15)*$L15, "")</f>
        <v>1108.0884</v>
      </c>
      <c r="AF15" s="284" t="n">
        <f aca="false">IFERROR(($J15*S15)*$L15, "")</f>
        <v>554.0442</v>
      </c>
      <c r="AG15" s="284" t="n">
        <f aca="false">IFERROR(($J15*T15)*$L15, "")</f>
        <v>0</v>
      </c>
      <c r="AH15" s="284" t="n">
        <f aca="false">IFERROR(($J15*U15)*$L15, "")</f>
        <v>0</v>
      </c>
      <c r="AI15" s="284" t="n">
        <f aca="false">IFERROR(($J15*V15)*$L15, "")</f>
        <v>0</v>
      </c>
      <c r="AJ15" s="284" t="n">
        <f aca="false">IFERROR(($J15*W15)*$L15, "")</f>
        <v>0</v>
      </c>
      <c r="AK15" s="284" t="n">
        <f aca="false">IFERROR(($J15*X15)*$L15, "")</f>
        <v>0</v>
      </c>
      <c r="AL15" s="284" t="n">
        <f aca="false">IFERROR(($J15*Y15)*$L15, "")</f>
        <v>0</v>
      </c>
      <c r="AM15" s="285" t="n">
        <f aca="false">IFERROR(($J15*Z15)*$L15, "")</f>
        <v>0</v>
      </c>
      <c r="AN15" s="286" t="n">
        <f aca="false">IFERROR(SUMIF($AB$4:$AM$4, "RDEC", AB15:AM15), "")</f>
        <v>1108.0884</v>
      </c>
      <c r="AO15" s="286" t="n">
        <f aca="false">IFERROR(SUMIF($AB$4:$AM$4, "SME", AB15:AM15), "")</f>
        <v>4432.3536</v>
      </c>
      <c r="AP15" s="286" t="n">
        <f aca="false">IFERROR(SUMIF($AB$4:$AM$4, "De Minimis", AB15:AM15), "")</f>
        <v>0</v>
      </c>
      <c r="AQ15" s="283"/>
      <c r="AR15" s="284" t="n">
        <f aca="false">IFERROR(($J15*O15)*$M15, "")</f>
        <v>1108.0884</v>
      </c>
      <c r="AS15" s="284" t="n">
        <f aca="false">IFERROR(($J15*P15)*$M15, "")</f>
        <v>923.407</v>
      </c>
      <c r="AT15" s="284" t="n">
        <f aca="false">IFERROR(($J15*Q15)*$M15, "")</f>
        <v>554.0442</v>
      </c>
      <c r="AU15" s="284" t="n">
        <f aca="false">IFERROR(($J15*R15)*$M15, "")</f>
        <v>738.7256</v>
      </c>
      <c r="AV15" s="284" t="n">
        <f aca="false">IFERROR(($J15*S15)*$M15, "")</f>
        <v>369.3628</v>
      </c>
      <c r="AW15" s="284" t="n">
        <f aca="false">IFERROR(($J15*T15)*$M15, "")</f>
        <v>0</v>
      </c>
      <c r="AX15" s="284" t="n">
        <f aca="false">IFERROR(($J15*U15)*$M15, "")</f>
        <v>0</v>
      </c>
      <c r="AY15" s="284" t="n">
        <f aca="false">IFERROR(($J15*V15)*$M15, "")</f>
        <v>0</v>
      </c>
      <c r="AZ15" s="284" t="n">
        <f aca="false">IFERROR(($J15*W15)*$M15, "")</f>
        <v>0</v>
      </c>
      <c r="BA15" s="284" t="n">
        <f aca="false">IFERROR(($J15*X15)*$M15, "")</f>
        <v>0</v>
      </c>
      <c r="BB15" s="284" t="n">
        <f aca="false">IFERROR(($J15*Y15)*$M15, "")</f>
        <v>0</v>
      </c>
      <c r="BC15" s="285" t="n">
        <f aca="false">IFERROR(($J15*Z15)*$M15, "")</f>
        <v>0</v>
      </c>
      <c r="BD15" s="286" t="n">
        <f aca="false">IFERROR(SUMIF($AB$4:$AM$4, "RDEC", AR15:BC15), "")</f>
        <v>738.7256</v>
      </c>
      <c r="BE15" s="286" t="n">
        <f aca="false">IFERROR(SUMIF($AB$4:$AM$4, "SME", AR15:BC15), "")</f>
        <v>2954.9024</v>
      </c>
      <c r="BF15" s="286" t="n">
        <f aca="false">IFERROR(SUMIF($AB$4:$AM$4, "De Minimis", AR15:BC15), "")</f>
        <v>0</v>
      </c>
      <c r="BG15" s="287"/>
      <c r="BH15" s="288" t="str">
        <f aca="false">IF((SUM(O15:Z15)&gt;1),"ERROR","")</f>
        <v/>
      </c>
      <c r="BI15" s="287"/>
      <c r="BL15" s="200"/>
      <c r="BM15" s="200"/>
      <c r="BN15" s="200"/>
    </row>
    <row r="16" customFormat="false" ht="15" hidden="false" customHeight="true" outlineLevel="0" collapsed="false">
      <c r="B16" s="275"/>
      <c r="D16" s="276" t="n">
        <f aca="false">+EDATE(D15, 1)</f>
        <v>45536</v>
      </c>
      <c r="E16" s="277" t="n">
        <v>7830.13</v>
      </c>
      <c r="F16" s="277" t="n">
        <v>2583.94</v>
      </c>
      <c r="G16" s="277" t="n">
        <v>565.74</v>
      </c>
      <c r="H16" s="277" t="n">
        <v>975.91</v>
      </c>
      <c r="I16" s="277" t="n">
        <v>391.51</v>
      </c>
      <c r="J16" s="278" t="n">
        <f aca="false">E16+H16+I16</f>
        <v>9197.55</v>
      </c>
      <c r="K16" s="204"/>
      <c r="L16" s="279" t="n">
        <v>0.6</v>
      </c>
      <c r="M16" s="280" t="n">
        <f aca="false">1-L16</f>
        <v>0.4</v>
      </c>
      <c r="N16" s="281"/>
      <c r="O16" s="282" t="n">
        <v>0.3</v>
      </c>
      <c r="P16" s="282" t="n">
        <v>0.25</v>
      </c>
      <c r="Q16" s="282" t="n">
        <v>0.15</v>
      </c>
      <c r="R16" s="282" t="n">
        <v>0.2</v>
      </c>
      <c r="S16" s="282" t="n">
        <v>0.1</v>
      </c>
      <c r="T16" s="282"/>
      <c r="U16" s="282"/>
      <c r="V16" s="282"/>
      <c r="W16" s="282"/>
      <c r="X16" s="282"/>
      <c r="Y16" s="282"/>
      <c r="Z16" s="282"/>
      <c r="AA16" s="283"/>
      <c r="AB16" s="284" t="n">
        <f aca="false">IFERROR(($J16*O16)*$L16, "")</f>
        <v>1655.559</v>
      </c>
      <c r="AC16" s="284" t="n">
        <f aca="false">IFERROR(($J16*P16)*$L16, "")</f>
        <v>1379.6325</v>
      </c>
      <c r="AD16" s="284" t="n">
        <f aca="false">IFERROR(($J16*Q16)*$L16, "")</f>
        <v>827.7795</v>
      </c>
      <c r="AE16" s="284" t="n">
        <f aca="false">IFERROR(($J16*R16)*$L16, "")</f>
        <v>1103.706</v>
      </c>
      <c r="AF16" s="284" t="n">
        <f aca="false">IFERROR(($J16*S16)*$L16, "")</f>
        <v>551.853</v>
      </c>
      <c r="AG16" s="284" t="n">
        <f aca="false">IFERROR(($J16*T16)*$L16, "")</f>
        <v>0</v>
      </c>
      <c r="AH16" s="284" t="n">
        <f aca="false">IFERROR(($J16*U16)*$L16, "")</f>
        <v>0</v>
      </c>
      <c r="AI16" s="284" t="n">
        <f aca="false">IFERROR(($J16*V16)*$L16, "")</f>
        <v>0</v>
      </c>
      <c r="AJ16" s="284" t="n">
        <f aca="false">IFERROR(($J16*W16)*$L16, "")</f>
        <v>0</v>
      </c>
      <c r="AK16" s="284" t="n">
        <f aca="false">IFERROR(($J16*X16)*$L16, "")</f>
        <v>0</v>
      </c>
      <c r="AL16" s="284" t="n">
        <f aca="false">IFERROR(($J16*Y16)*$L16, "")</f>
        <v>0</v>
      </c>
      <c r="AM16" s="285" t="n">
        <f aca="false">IFERROR(($J16*Z16)*$L16, "")</f>
        <v>0</v>
      </c>
      <c r="AN16" s="286" t="n">
        <f aca="false">IFERROR(SUMIF($AB$4:$AM$4, "RDEC", AB16:AM16), "")</f>
        <v>1103.706</v>
      </c>
      <c r="AO16" s="286" t="n">
        <f aca="false">IFERROR(SUMIF($AB$4:$AM$4, "SME", AB16:AM16), "")</f>
        <v>4414.824</v>
      </c>
      <c r="AP16" s="286" t="n">
        <f aca="false">IFERROR(SUMIF($AB$4:$AM$4, "De Minimis", AB16:AM16), "")</f>
        <v>0</v>
      </c>
      <c r="AQ16" s="283"/>
      <c r="AR16" s="284" t="n">
        <f aca="false">IFERROR(($J16*O16)*$M16, "")</f>
        <v>1103.706</v>
      </c>
      <c r="AS16" s="284" t="n">
        <f aca="false">IFERROR(($J16*P16)*$M16, "")</f>
        <v>919.755</v>
      </c>
      <c r="AT16" s="284" t="n">
        <f aca="false">IFERROR(($J16*Q16)*$M16, "")</f>
        <v>551.853</v>
      </c>
      <c r="AU16" s="284" t="n">
        <f aca="false">IFERROR(($J16*R16)*$M16, "")</f>
        <v>735.804</v>
      </c>
      <c r="AV16" s="284" t="n">
        <f aca="false">IFERROR(($J16*S16)*$M16, "")</f>
        <v>367.902</v>
      </c>
      <c r="AW16" s="284" t="n">
        <f aca="false">IFERROR(($J16*T16)*$M16, "")</f>
        <v>0</v>
      </c>
      <c r="AX16" s="284" t="n">
        <f aca="false">IFERROR(($J16*U16)*$M16, "")</f>
        <v>0</v>
      </c>
      <c r="AY16" s="284" t="n">
        <f aca="false">IFERROR(($J16*V16)*$M16, "")</f>
        <v>0</v>
      </c>
      <c r="AZ16" s="284" t="n">
        <f aca="false">IFERROR(($J16*W16)*$M16, "")</f>
        <v>0</v>
      </c>
      <c r="BA16" s="284" t="n">
        <f aca="false">IFERROR(($J16*X16)*$M16, "")</f>
        <v>0</v>
      </c>
      <c r="BB16" s="284" t="n">
        <f aca="false">IFERROR(($J16*Y16)*$M16, "")</f>
        <v>0</v>
      </c>
      <c r="BC16" s="285" t="n">
        <f aca="false">IFERROR(($J16*Z16)*$M16, "")</f>
        <v>0</v>
      </c>
      <c r="BD16" s="286" t="n">
        <f aca="false">IFERROR(SUMIF($AB$4:$AM$4, "RDEC", AR16:BC16), "")</f>
        <v>735.804</v>
      </c>
      <c r="BE16" s="286" t="n">
        <f aca="false">IFERROR(SUMIF($AB$4:$AM$4, "SME", AR16:BC16), "")</f>
        <v>2943.216</v>
      </c>
      <c r="BF16" s="286" t="n">
        <f aca="false">IFERROR(SUMIF($AB$4:$AM$4, "De Minimis", AR16:BC16), "")</f>
        <v>0</v>
      </c>
      <c r="BG16" s="287"/>
      <c r="BH16" s="288" t="str">
        <f aca="false">IF((SUM(O16:Z16)&gt;1),"ERROR","")</f>
        <v/>
      </c>
      <c r="BI16" s="287"/>
      <c r="BL16" s="200"/>
      <c r="BM16" s="200"/>
      <c r="BN16" s="200"/>
    </row>
    <row r="17" customFormat="false" ht="15" hidden="false" customHeight="true" outlineLevel="0" collapsed="false">
      <c r="B17" s="275"/>
      <c r="D17" s="276" t="n">
        <f aca="false">+EDATE(D16, 1)</f>
        <v>45566</v>
      </c>
      <c r="E17" s="277" t="n">
        <v>7904.96</v>
      </c>
      <c r="F17" s="277" t="n">
        <v>2608.64</v>
      </c>
      <c r="G17" s="277" t="n">
        <v>571.73</v>
      </c>
      <c r="H17" s="277" t="n">
        <v>986.23</v>
      </c>
      <c r="I17" s="277" t="n">
        <v>395.25</v>
      </c>
      <c r="J17" s="278" t="n">
        <f aca="false">E17+H17+I17</f>
        <v>9286.44</v>
      </c>
      <c r="K17" s="204"/>
      <c r="L17" s="279" t="n">
        <v>0.6</v>
      </c>
      <c r="M17" s="280" t="n">
        <f aca="false">1-L17</f>
        <v>0.4</v>
      </c>
      <c r="N17" s="281"/>
      <c r="O17" s="282" t="n">
        <v>0.3</v>
      </c>
      <c r="P17" s="282" t="n">
        <v>0.25</v>
      </c>
      <c r="Q17" s="282" t="n">
        <v>0.15</v>
      </c>
      <c r="R17" s="282" t="n">
        <v>0.2</v>
      </c>
      <c r="S17" s="282" t="n">
        <v>0.1</v>
      </c>
      <c r="T17" s="282"/>
      <c r="U17" s="282"/>
      <c r="V17" s="282"/>
      <c r="W17" s="282"/>
      <c r="X17" s="282"/>
      <c r="Y17" s="282"/>
      <c r="Z17" s="282"/>
      <c r="AA17" s="283"/>
      <c r="AB17" s="284" t="n">
        <f aca="false">IFERROR(($J17*O17)*$L17, "")</f>
        <v>1671.5592</v>
      </c>
      <c r="AC17" s="284" t="n">
        <f aca="false">IFERROR(($J17*P17)*$L17, "")</f>
        <v>1392.966</v>
      </c>
      <c r="AD17" s="284" t="n">
        <f aca="false">IFERROR(($J17*Q17)*$L17, "")</f>
        <v>835.7796</v>
      </c>
      <c r="AE17" s="284" t="n">
        <f aca="false">IFERROR(($J17*R17)*$L17, "")</f>
        <v>1114.3728</v>
      </c>
      <c r="AF17" s="284" t="n">
        <f aca="false">IFERROR(($J17*S17)*$L17, "")</f>
        <v>557.1864</v>
      </c>
      <c r="AG17" s="284" t="n">
        <f aca="false">IFERROR(($J17*T17)*$L17, "")</f>
        <v>0</v>
      </c>
      <c r="AH17" s="284" t="n">
        <f aca="false">IFERROR(($J17*U17)*$L17, "")</f>
        <v>0</v>
      </c>
      <c r="AI17" s="284" t="n">
        <f aca="false">IFERROR(($J17*V17)*$L17, "")</f>
        <v>0</v>
      </c>
      <c r="AJ17" s="284" t="n">
        <f aca="false">IFERROR(($J17*W17)*$L17, "")</f>
        <v>0</v>
      </c>
      <c r="AK17" s="284" t="n">
        <f aca="false">IFERROR(($J17*X17)*$L17, "")</f>
        <v>0</v>
      </c>
      <c r="AL17" s="284" t="n">
        <f aca="false">IFERROR(($J17*Y17)*$L17, "")</f>
        <v>0</v>
      </c>
      <c r="AM17" s="285" t="n">
        <f aca="false">IFERROR(($J17*Z17)*$L17, "")</f>
        <v>0</v>
      </c>
      <c r="AN17" s="286" t="n">
        <f aca="false">IFERROR(SUMIF($AB$4:$AM$4, "RDEC", AB17:AM17), "")</f>
        <v>1114.3728</v>
      </c>
      <c r="AO17" s="286" t="n">
        <f aca="false">IFERROR(SUMIF($AB$4:$AM$4, "SME", AB17:AM17), "")</f>
        <v>4457.4912</v>
      </c>
      <c r="AP17" s="286" t="n">
        <f aca="false">IFERROR(SUMIF($AB$4:$AM$4, "De Minimis", AB17:AM17), "")</f>
        <v>0</v>
      </c>
      <c r="AQ17" s="283"/>
      <c r="AR17" s="284" t="n">
        <f aca="false">IFERROR(($J17*O17)*$M17, "")</f>
        <v>1114.3728</v>
      </c>
      <c r="AS17" s="284" t="n">
        <f aca="false">IFERROR(($J17*P17)*$M17, "")</f>
        <v>928.644</v>
      </c>
      <c r="AT17" s="284" t="n">
        <f aca="false">IFERROR(($J17*Q17)*$M17, "")</f>
        <v>557.1864</v>
      </c>
      <c r="AU17" s="284" t="n">
        <f aca="false">IFERROR(($J17*R17)*$M17, "")</f>
        <v>742.9152</v>
      </c>
      <c r="AV17" s="284" t="n">
        <f aca="false">IFERROR(($J17*S17)*$M17, "")</f>
        <v>371.4576</v>
      </c>
      <c r="AW17" s="284" t="n">
        <f aca="false">IFERROR(($J17*T17)*$M17, "")</f>
        <v>0</v>
      </c>
      <c r="AX17" s="284" t="n">
        <f aca="false">IFERROR(($J17*U17)*$M17, "")</f>
        <v>0</v>
      </c>
      <c r="AY17" s="284" t="n">
        <f aca="false">IFERROR(($J17*V17)*$M17, "")</f>
        <v>0</v>
      </c>
      <c r="AZ17" s="284" t="n">
        <f aca="false">IFERROR(($J17*W17)*$M17, "")</f>
        <v>0</v>
      </c>
      <c r="BA17" s="284" t="n">
        <f aca="false">IFERROR(($J17*X17)*$M17, "")</f>
        <v>0</v>
      </c>
      <c r="BB17" s="284" t="n">
        <f aca="false">IFERROR(($J17*Y17)*$M17, "")</f>
        <v>0</v>
      </c>
      <c r="BC17" s="285" t="n">
        <f aca="false">IFERROR(($J17*Z17)*$M17, "")</f>
        <v>0</v>
      </c>
      <c r="BD17" s="286" t="n">
        <f aca="false">IFERROR(SUMIF($AB$4:$AM$4, "RDEC", AR17:BC17), "")</f>
        <v>742.9152</v>
      </c>
      <c r="BE17" s="286" t="n">
        <f aca="false">IFERROR(SUMIF($AB$4:$AM$4, "SME", AR17:BC17), "")</f>
        <v>2971.6608</v>
      </c>
      <c r="BF17" s="286" t="n">
        <f aca="false">IFERROR(SUMIF($AB$4:$AM$4, "De Minimis", AR17:BC17), "")</f>
        <v>0</v>
      </c>
      <c r="BG17" s="287"/>
      <c r="BH17" s="288" t="str">
        <f aca="false">IF((SUM(O17:Z17)&gt;1),"ERROR","")</f>
        <v/>
      </c>
      <c r="BI17" s="287"/>
      <c r="BL17" s="200"/>
      <c r="BM17" s="200"/>
      <c r="BN17" s="200"/>
    </row>
    <row r="18" customFormat="false" ht="15" hidden="false" customHeight="true" outlineLevel="0" collapsed="false">
      <c r="B18" s="275"/>
      <c r="D18" s="276" t="n">
        <f aca="false">+EDATE(D17, 1)</f>
        <v>45597</v>
      </c>
      <c r="E18" s="277" t="n">
        <v>7939.28</v>
      </c>
      <c r="F18" s="277" t="n">
        <v>2619.96</v>
      </c>
      <c r="G18" s="277" t="n">
        <v>574.48</v>
      </c>
      <c r="H18" s="277" t="n">
        <v>990.97</v>
      </c>
      <c r="I18" s="277" t="n">
        <v>396.96</v>
      </c>
      <c r="J18" s="278" t="n">
        <f aca="false">E18+H18+I18</f>
        <v>9327.21</v>
      </c>
      <c r="K18" s="204"/>
      <c r="L18" s="279" t="n">
        <v>0.6</v>
      </c>
      <c r="M18" s="280" t="n">
        <f aca="false">1-L18</f>
        <v>0.4</v>
      </c>
      <c r="N18" s="281"/>
      <c r="O18" s="282" t="n">
        <v>0.3</v>
      </c>
      <c r="P18" s="282" t="n">
        <v>0.25</v>
      </c>
      <c r="Q18" s="282" t="n">
        <v>0.15</v>
      </c>
      <c r="R18" s="282" t="n">
        <v>0.2</v>
      </c>
      <c r="S18" s="282" t="n">
        <v>0.1</v>
      </c>
      <c r="T18" s="282"/>
      <c r="U18" s="282"/>
      <c r="V18" s="282"/>
      <c r="W18" s="282"/>
      <c r="X18" s="282"/>
      <c r="Y18" s="282"/>
      <c r="Z18" s="282"/>
      <c r="AA18" s="283"/>
      <c r="AB18" s="284" t="n">
        <f aca="false">IFERROR(($J18*O18)*$L18, "")</f>
        <v>1678.8978</v>
      </c>
      <c r="AC18" s="284" t="n">
        <f aca="false">IFERROR(($J18*P18)*$L18, "")</f>
        <v>1399.0815</v>
      </c>
      <c r="AD18" s="284" t="n">
        <f aca="false">IFERROR(($J18*Q18)*$L18, "")</f>
        <v>839.4489</v>
      </c>
      <c r="AE18" s="284" t="n">
        <f aca="false">IFERROR(($J18*R18)*$L18, "")</f>
        <v>1119.2652</v>
      </c>
      <c r="AF18" s="284" t="n">
        <f aca="false">IFERROR(($J18*S18)*$L18, "")</f>
        <v>559.6326</v>
      </c>
      <c r="AG18" s="284" t="n">
        <f aca="false">IFERROR(($J18*T18)*$L18, "")</f>
        <v>0</v>
      </c>
      <c r="AH18" s="284" t="n">
        <f aca="false">IFERROR(($J18*U18)*$L18, "")</f>
        <v>0</v>
      </c>
      <c r="AI18" s="284" t="n">
        <f aca="false">IFERROR(($J18*V18)*$L18, "")</f>
        <v>0</v>
      </c>
      <c r="AJ18" s="284" t="n">
        <f aca="false">IFERROR(($J18*W18)*$L18, "")</f>
        <v>0</v>
      </c>
      <c r="AK18" s="284" t="n">
        <f aca="false">IFERROR(($J18*X18)*$L18, "")</f>
        <v>0</v>
      </c>
      <c r="AL18" s="284" t="n">
        <f aca="false">IFERROR(($J18*Y18)*$L18, "")</f>
        <v>0</v>
      </c>
      <c r="AM18" s="285" t="n">
        <f aca="false">IFERROR(($J18*Z18)*$L18, "")</f>
        <v>0</v>
      </c>
      <c r="AN18" s="286" t="n">
        <f aca="false">IFERROR(SUMIF($AB$4:$AM$4, "RDEC", AB18:AM18), "")</f>
        <v>1119.2652</v>
      </c>
      <c r="AO18" s="286" t="n">
        <f aca="false">IFERROR(SUMIF($AB$4:$AM$4, "SME", AB18:AM18), "")</f>
        <v>4477.0608</v>
      </c>
      <c r="AP18" s="286" t="n">
        <f aca="false">IFERROR(SUMIF($AB$4:$AM$4, "De Minimis", AB18:AM18), "")</f>
        <v>0</v>
      </c>
      <c r="AQ18" s="283"/>
      <c r="AR18" s="284" t="n">
        <f aca="false">IFERROR(($J18*O18)*$M18, "")</f>
        <v>1119.2652</v>
      </c>
      <c r="AS18" s="284" t="n">
        <f aca="false">IFERROR(($J18*P18)*$M18, "")</f>
        <v>932.721</v>
      </c>
      <c r="AT18" s="284" t="n">
        <f aca="false">IFERROR(($J18*Q18)*$M18, "")</f>
        <v>559.6326</v>
      </c>
      <c r="AU18" s="284" t="n">
        <f aca="false">IFERROR(($J18*R18)*$M18, "")</f>
        <v>746.1768</v>
      </c>
      <c r="AV18" s="284" t="n">
        <f aca="false">IFERROR(($J18*S18)*$M18, "")</f>
        <v>373.0884</v>
      </c>
      <c r="AW18" s="284" t="n">
        <f aca="false">IFERROR(($J18*T18)*$M18, "")</f>
        <v>0</v>
      </c>
      <c r="AX18" s="284" t="n">
        <f aca="false">IFERROR(($J18*U18)*$M18, "")</f>
        <v>0</v>
      </c>
      <c r="AY18" s="284" t="n">
        <f aca="false">IFERROR(($J18*V18)*$M18, "")</f>
        <v>0</v>
      </c>
      <c r="AZ18" s="284" t="n">
        <f aca="false">IFERROR(($J18*W18)*$M18, "")</f>
        <v>0</v>
      </c>
      <c r="BA18" s="284" t="n">
        <f aca="false">IFERROR(($J18*X18)*$M18, "")</f>
        <v>0</v>
      </c>
      <c r="BB18" s="284" t="n">
        <f aca="false">IFERROR(($J18*Y18)*$M18, "")</f>
        <v>0</v>
      </c>
      <c r="BC18" s="285" t="n">
        <f aca="false">IFERROR(($J18*Z18)*$M18, "")</f>
        <v>0</v>
      </c>
      <c r="BD18" s="286" t="n">
        <f aca="false">IFERROR(SUMIF($AB$4:$AM$4, "RDEC", AR18:BC18), "")</f>
        <v>746.1768</v>
      </c>
      <c r="BE18" s="286" t="n">
        <f aca="false">IFERROR(SUMIF($AB$4:$AM$4, "SME", AR18:BC18), "")</f>
        <v>2984.7072</v>
      </c>
      <c r="BF18" s="286" t="n">
        <f aca="false">IFERROR(SUMIF($AB$4:$AM$4, "De Minimis", AR18:BC18), "")</f>
        <v>0</v>
      </c>
      <c r="BG18" s="287"/>
      <c r="BH18" s="288" t="str">
        <f aca="false">IF((SUM(O18:Z18)&gt;1),"ERROR","")</f>
        <v/>
      </c>
      <c r="BI18" s="287"/>
      <c r="BL18" s="200"/>
      <c r="BM18" s="200"/>
      <c r="BN18" s="200"/>
    </row>
    <row r="19" customFormat="false" ht="15" hidden="false" customHeight="true" outlineLevel="0" collapsed="false">
      <c r="B19" s="275"/>
      <c r="D19" s="276" t="n">
        <f aca="false">+EDATE(D18, 1)</f>
        <v>45627</v>
      </c>
      <c r="E19" s="277" t="n">
        <v>7901.59</v>
      </c>
      <c r="F19" s="277" t="n">
        <v>2607.52</v>
      </c>
      <c r="G19" s="277" t="n">
        <v>571.46</v>
      </c>
      <c r="H19" s="277" t="n">
        <v>985.77</v>
      </c>
      <c r="I19" s="277" t="n">
        <v>395.08</v>
      </c>
      <c r="J19" s="278" t="n">
        <f aca="false">E19+H19+I19</f>
        <v>9282.44</v>
      </c>
      <c r="K19" s="204"/>
      <c r="L19" s="289" t="n">
        <v>0.6</v>
      </c>
      <c r="M19" s="290" t="n">
        <f aca="false">1-L19</f>
        <v>0.4</v>
      </c>
      <c r="N19" s="281"/>
      <c r="O19" s="291" t="n">
        <v>0.3</v>
      </c>
      <c r="P19" s="291" t="n">
        <v>0.25</v>
      </c>
      <c r="Q19" s="291" t="n">
        <v>0.15</v>
      </c>
      <c r="R19" s="291" t="n">
        <v>0.2</v>
      </c>
      <c r="S19" s="291" t="n">
        <v>0.1</v>
      </c>
      <c r="T19" s="291"/>
      <c r="U19" s="291"/>
      <c r="V19" s="291"/>
      <c r="W19" s="291"/>
      <c r="X19" s="291"/>
      <c r="Y19" s="291"/>
      <c r="Z19" s="291"/>
      <c r="AA19" s="283"/>
      <c r="AB19" s="292" t="n">
        <f aca="false">IFERROR(($J19*O19)*$L19, "")</f>
        <v>1670.8392</v>
      </c>
      <c r="AC19" s="292" t="n">
        <f aca="false">IFERROR(($J19*P19)*$L19, "")</f>
        <v>1392.366</v>
      </c>
      <c r="AD19" s="292" t="n">
        <f aca="false">IFERROR(($J19*Q19)*$L19, "")</f>
        <v>835.4196</v>
      </c>
      <c r="AE19" s="292" t="n">
        <f aca="false">IFERROR(($J19*R19)*$L19, "")</f>
        <v>1113.8928</v>
      </c>
      <c r="AF19" s="292" t="n">
        <f aca="false">IFERROR(($J19*S19)*$L19, "")</f>
        <v>556.9464</v>
      </c>
      <c r="AG19" s="292" t="n">
        <f aca="false">IFERROR(($J19*T19)*$L19, "")</f>
        <v>0</v>
      </c>
      <c r="AH19" s="292" t="n">
        <f aca="false">IFERROR(($J19*U19)*$L19, "")</f>
        <v>0</v>
      </c>
      <c r="AI19" s="292" t="n">
        <f aca="false">IFERROR(($J19*V19)*$L19, "")</f>
        <v>0</v>
      </c>
      <c r="AJ19" s="292" t="n">
        <f aca="false">IFERROR(($J19*W19)*$L19, "")</f>
        <v>0</v>
      </c>
      <c r="AK19" s="292" t="n">
        <f aca="false">IFERROR(($J19*X19)*$L19, "")</f>
        <v>0</v>
      </c>
      <c r="AL19" s="292" t="n">
        <f aca="false">IFERROR(($J19*Y19)*$L19, "")</f>
        <v>0</v>
      </c>
      <c r="AM19" s="293" t="n">
        <f aca="false">IFERROR(($J19*Z19)*$L19, "")</f>
        <v>0</v>
      </c>
      <c r="AN19" s="294" t="n">
        <f aca="false">IFERROR(SUMIF($AB$4:$AM$4, "RDEC", AB19:AM19), "")</f>
        <v>1113.8928</v>
      </c>
      <c r="AO19" s="294" t="n">
        <f aca="false">IFERROR(SUMIF($AB$4:$AM$4, "SME", AB19:AM19), "")</f>
        <v>4455.5712</v>
      </c>
      <c r="AP19" s="294" t="n">
        <f aca="false">IFERROR(SUMIF($AB$4:$AM$4, "De Minimis", AB19:AM19), "")</f>
        <v>0</v>
      </c>
      <c r="AQ19" s="283"/>
      <c r="AR19" s="292" t="n">
        <f aca="false">IFERROR(($J19*O19)*$M19, "")</f>
        <v>1113.8928</v>
      </c>
      <c r="AS19" s="292" t="n">
        <f aca="false">IFERROR(($J19*P19)*$M19, "")</f>
        <v>928.244</v>
      </c>
      <c r="AT19" s="292" t="n">
        <f aca="false">IFERROR(($J19*Q19)*$M19, "")</f>
        <v>556.9464</v>
      </c>
      <c r="AU19" s="292" t="n">
        <f aca="false">IFERROR(($J19*R19)*$M19, "")</f>
        <v>742.5952</v>
      </c>
      <c r="AV19" s="292" t="n">
        <f aca="false">IFERROR(($J19*S19)*$M19, "")</f>
        <v>371.2976</v>
      </c>
      <c r="AW19" s="292" t="n">
        <f aca="false">IFERROR(($J19*T19)*$M19, "")</f>
        <v>0</v>
      </c>
      <c r="AX19" s="292" t="n">
        <f aca="false">IFERROR(($J19*U19)*$M19, "")</f>
        <v>0</v>
      </c>
      <c r="AY19" s="292" t="n">
        <f aca="false">IFERROR(($J19*V19)*$M19, "")</f>
        <v>0</v>
      </c>
      <c r="AZ19" s="292" t="n">
        <f aca="false">IFERROR(($J19*W19)*$M19, "")</f>
        <v>0</v>
      </c>
      <c r="BA19" s="292" t="n">
        <f aca="false">IFERROR(($J19*X19)*$M19, "")</f>
        <v>0</v>
      </c>
      <c r="BB19" s="292" t="n">
        <f aca="false">IFERROR(($J19*Y19)*$M19, "")</f>
        <v>0</v>
      </c>
      <c r="BC19" s="293" t="n">
        <f aca="false">IFERROR(($J19*Z19)*$M19, "")</f>
        <v>0</v>
      </c>
      <c r="BD19" s="294" t="n">
        <f aca="false">IFERROR(SUMIF($AB$4:$AM$4, "RDEC", AR19:BC19), "")</f>
        <v>742.5952</v>
      </c>
      <c r="BE19" s="294" t="n">
        <f aca="false">IFERROR(SUMIF($AB$4:$AM$4, "SME", AR19:BC19), "")</f>
        <v>2970.3808</v>
      </c>
      <c r="BF19" s="294" t="n">
        <f aca="false">IFERROR(SUMIF($AB$4:$AM$4, "De Minimis", AR19:BC19), "")</f>
        <v>0</v>
      </c>
      <c r="BG19" s="287"/>
      <c r="BH19" s="295" t="str">
        <f aca="false">IF((SUM(O19:Z19)&gt;1),"ERROR","")</f>
        <v/>
      </c>
      <c r="BI19" s="287"/>
      <c r="BL19" s="200"/>
      <c r="BM19" s="200"/>
      <c r="BN19" s="200"/>
    </row>
    <row r="20" customFormat="false" ht="15" hidden="false" customHeight="true" outlineLevel="0" collapsed="false">
      <c r="B20" s="296"/>
      <c r="D20" s="297" t="s">
        <v>82</v>
      </c>
      <c r="E20" s="298" t="n">
        <f aca="false">SUM(E8:E19)</f>
        <v>94956.48</v>
      </c>
      <c r="F20" s="298" t="n">
        <f aca="false">SUM(F8:F19)</f>
        <v>31335.62</v>
      </c>
      <c r="G20" s="298" t="n">
        <f aca="false">SUM(G8:G19)</f>
        <v>6868.51</v>
      </c>
      <c r="H20" s="298" t="n">
        <f aca="false">SUM(H8:H19)</f>
        <v>11848.19</v>
      </c>
      <c r="I20" s="298" t="n">
        <f aca="false">SUM(I8:I19)</f>
        <v>4747.81</v>
      </c>
      <c r="J20" s="299" t="n">
        <f aca="false">SUM(J8:J19)</f>
        <v>111552.48</v>
      </c>
      <c r="K20" s="300"/>
      <c r="L20" s="301" t="n">
        <f aca="false">AVERAGE(L8:L19)</f>
        <v>0.6</v>
      </c>
      <c r="M20" s="301" t="n">
        <f aca="false">AVERAGE(M8:M19)</f>
        <v>0.4</v>
      </c>
      <c r="N20" s="302"/>
      <c r="O20" s="290" t="n">
        <f aca="false">IF(SUM(O8:O19)&gt;0,((AB20+AR20)/J20),0)</f>
        <v>0.3</v>
      </c>
      <c r="P20" s="290" t="n">
        <f aca="false">IF(SUM(P8:P19)&gt;0,((AC20+AS20)/J20),0)</f>
        <v>0.25</v>
      </c>
      <c r="Q20" s="290" t="n">
        <f aca="false">IF(SUM(Q8:Q19)&gt;0,((AD20+AT20)/J20),0)</f>
        <v>0.15</v>
      </c>
      <c r="R20" s="290" t="n">
        <f aca="false">IF(SUM(R8:R19)&gt;0,((AE20+AU20)/J20),0)</f>
        <v>0.2</v>
      </c>
      <c r="S20" s="290" t="n">
        <f aca="false">IF(SUM(S8:S19)&gt;0,((AF20+AV20)/J20),0)</f>
        <v>0.1</v>
      </c>
      <c r="T20" s="290" t="n">
        <f aca="false">IF(SUM(T8:T19)&gt;0,((AG20+AW20)/J20),0)</f>
        <v>0</v>
      </c>
      <c r="U20" s="290" t="n">
        <f aca="false">IF(SUM(U8:U19)&gt;0,((AH20+AX20)/J20),0)</f>
        <v>0</v>
      </c>
      <c r="V20" s="290" t="n">
        <f aca="false">IF(SUM(V8:V19)&gt;0,((AI20+AY20)/J20),0)</f>
        <v>0</v>
      </c>
      <c r="W20" s="290" t="n">
        <f aca="false">IF(SUM(W8:W19)&gt;0,((AJ20+AZ20)/J20),0)</f>
        <v>0</v>
      </c>
      <c r="X20" s="290" t="n">
        <f aca="false">IF(SUM(X8:X19)&gt;0,((AK20+BA20)/J20),0)</f>
        <v>0</v>
      </c>
      <c r="Y20" s="290" t="n">
        <f aca="false">IF(SUM(Y8:Y19)&gt;0,((AL20+BB20)/J20),0)</f>
        <v>0</v>
      </c>
      <c r="Z20" s="290" t="n">
        <f aca="false">IF(SUM(Z8:Z19)&gt;0,((AM20+BC20)/J20),0)</f>
        <v>0</v>
      </c>
      <c r="AA20" s="303"/>
      <c r="AB20" s="292" t="n">
        <f aca="false">SUM(AB8:AB19)</f>
        <v>20079.4464</v>
      </c>
      <c r="AC20" s="304" t="n">
        <f aca="false">SUM(AC8:AC19)</f>
        <v>16732.872</v>
      </c>
      <c r="AD20" s="304" t="n">
        <f aca="false">SUM(AD8:AD19)</f>
        <v>10039.7232</v>
      </c>
      <c r="AE20" s="304" t="n">
        <f aca="false">SUM(AE8:AE19)</f>
        <v>13386.2976</v>
      </c>
      <c r="AF20" s="304" t="n">
        <f aca="false">SUM(AF8:AF19)</f>
        <v>6693.1488</v>
      </c>
      <c r="AG20" s="304" t="n">
        <f aca="false">SUM(AG8:AG19)</f>
        <v>0</v>
      </c>
      <c r="AH20" s="304" t="n">
        <f aca="false">SUM(AH8:AH19)</f>
        <v>0</v>
      </c>
      <c r="AI20" s="304" t="n">
        <f aca="false">SUM(AI8:AI19)</f>
        <v>0</v>
      </c>
      <c r="AJ20" s="304" t="n">
        <f aca="false">SUM(AJ8:AJ19)</f>
        <v>0</v>
      </c>
      <c r="AK20" s="304" t="n">
        <f aca="false">SUM(AK8:AK19)</f>
        <v>0</v>
      </c>
      <c r="AL20" s="304" t="n">
        <f aca="false">SUM(AL8:AL19)</f>
        <v>0</v>
      </c>
      <c r="AM20" s="304" t="n">
        <f aca="false">SUM(AM8:AM19)</f>
        <v>0</v>
      </c>
      <c r="AN20" s="305" t="n">
        <f aca="false">SUM(AN8:AN19)</f>
        <v>13386.2976</v>
      </c>
      <c r="AO20" s="305" t="n">
        <f aca="false">SUM(AO8:AO19)</f>
        <v>53545.1904</v>
      </c>
      <c r="AP20" s="305" t="n">
        <f aca="false">SUM(AP8:AP19)</f>
        <v>0</v>
      </c>
      <c r="AQ20" s="303"/>
      <c r="AR20" s="292" t="n">
        <f aca="false">SUM(AR8:AR19)</f>
        <v>13386.2976</v>
      </c>
      <c r="AS20" s="304" t="n">
        <f aca="false">SUM(AS8:AS19)</f>
        <v>11155.248</v>
      </c>
      <c r="AT20" s="304" t="n">
        <f aca="false">SUM(AT8:AT19)</f>
        <v>6693.1488</v>
      </c>
      <c r="AU20" s="304" t="n">
        <f aca="false">SUM(AU8:AU19)</f>
        <v>8924.1984</v>
      </c>
      <c r="AV20" s="304" t="n">
        <f aca="false">SUM(AV8:AV19)</f>
        <v>4462.0992</v>
      </c>
      <c r="AW20" s="304" t="n">
        <f aca="false">SUM(AW8:AW19)</f>
        <v>0</v>
      </c>
      <c r="AX20" s="304" t="n">
        <f aca="false">SUM(AX8:AX19)</f>
        <v>0</v>
      </c>
      <c r="AY20" s="304" t="n">
        <f aca="false">SUM(AY8:AY19)</f>
        <v>0</v>
      </c>
      <c r="AZ20" s="304" t="n">
        <f aca="false">SUM(AZ8:AZ19)</f>
        <v>0</v>
      </c>
      <c r="BA20" s="304" t="n">
        <f aca="false">SUM(BA8:BA19)</f>
        <v>0</v>
      </c>
      <c r="BB20" s="304" t="n">
        <f aca="false">SUM(BB8:BB19)</f>
        <v>0</v>
      </c>
      <c r="BC20" s="304" t="n">
        <f aca="false">SUM(BC8:BC19)</f>
        <v>0</v>
      </c>
      <c r="BD20" s="305" t="n">
        <f aca="false">SUM(BD8:BD19)</f>
        <v>8924.1984</v>
      </c>
      <c r="BE20" s="305" t="n">
        <f aca="false">SUM(BE8:BE19)</f>
        <v>35696.7936</v>
      </c>
      <c r="BF20" s="305" t="n">
        <f aca="false">SUM(BF8:BF19)</f>
        <v>0</v>
      </c>
      <c r="BG20" s="303"/>
      <c r="BH20" s="306"/>
      <c r="BI20" s="303"/>
      <c r="BJ20" s="307" t="str">
        <f aca="false">IF(C6&gt;0, C6, "")</f>
        <v>Chief Technology Officer</v>
      </c>
      <c r="BK20" s="18" t="s">
        <v>234</v>
      </c>
      <c r="BL20" s="200" t="n">
        <f aca="false">IF($BK20="Y",J20,0)</f>
        <v>0</v>
      </c>
      <c r="BM20" s="200" t="n">
        <f aca="false">IF(BK20="Y", AN20,0)</f>
        <v>0</v>
      </c>
      <c r="BN20" s="200" t="n">
        <f aca="false">IF((BK20="Y"),AO20,0)</f>
        <v>0</v>
      </c>
    </row>
    <row r="21" customFormat="false" ht="15" hidden="false" customHeight="true" outlineLevel="0" collapsed="false">
      <c r="B21" s="296"/>
      <c r="D21" s="297"/>
      <c r="E21" s="277"/>
      <c r="F21" s="277"/>
      <c r="G21" s="277"/>
      <c r="H21" s="277"/>
      <c r="I21" s="277"/>
      <c r="J21" s="300"/>
      <c r="K21" s="300"/>
      <c r="L21" s="302"/>
      <c r="M21" s="302"/>
      <c r="N21" s="302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303"/>
      <c r="AB21" s="303"/>
      <c r="AC21" s="303"/>
      <c r="AD21" s="303"/>
      <c r="AE21" s="303"/>
      <c r="AF21" s="303"/>
      <c r="AG21" s="303"/>
      <c r="AH21" s="303"/>
      <c r="AI21" s="303"/>
      <c r="AJ21" s="303"/>
      <c r="AK21" s="303"/>
      <c r="AL21" s="303"/>
      <c r="AM21" s="303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3"/>
      <c r="AY21" s="303"/>
      <c r="AZ21" s="303"/>
      <c r="BA21" s="303"/>
      <c r="BB21" s="303"/>
      <c r="BC21" s="303"/>
      <c r="BD21" s="303"/>
      <c r="BE21" s="303"/>
      <c r="BF21" s="303"/>
      <c r="BG21" s="303"/>
      <c r="BH21" s="303"/>
      <c r="BI21" s="303"/>
      <c r="BJ21" s="307" t="str">
        <f aca="false">IF(C8&gt;0, C8, "")</f>
        <v/>
      </c>
      <c r="BL21" s="200"/>
      <c r="BM21" s="200"/>
      <c r="BN21" s="200"/>
    </row>
    <row r="22" customFormat="false" ht="15" hidden="false" customHeight="true" outlineLevel="0" collapsed="false">
      <c r="A22" s="198" t="n">
        <v>2</v>
      </c>
      <c r="B22" s="266" t="s">
        <v>235</v>
      </c>
      <c r="C22" s="266" t="s">
        <v>236</v>
      </c>
      <c r="D22" s="267"/>
      <c r="E22" s="242"/>
      <c r="F22" s="242"/>
      <c r="G22" s="242"/>
      <c r="H22" s="242"/>
      <c r="I22" s="242"/>
      <c r="J22" s="241"/>
      <c r="K22" s="241"/>
      <c r="L22" s="241"/>
      <c r="M22" s="241"/>
      <c r="N22" s="241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  <c r="AE22" s="268"/>
      <c r="AF22" s="268"/>
      <c r="AG22" s="268"/>
      <c r="AH22" s="268"/>
      <c r="AI22" s="268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8"/>
      <c r="AU22" s="268"/>
      <c r="AV22" s="268"/>
      <c r="AW22" s="268"/>
      <c r="AX22" s="268"/>
      <c r="AY22" s="268"/>
      <c r="AZ22" s="268"/>
      <c r="BA22" s="268"/>
      <c r="BB22" s="268"/>
      <c r="BC22" s="268"/>
      <c r="BD22" s="268"/>
      <c r="BE22" s="268"/>
      <c r="BF22" s="268"/>
      <c r="BG22" s="268"/>
      <c r="BH22" s="268"/>
      <c r="BI22" s="268"/>
      <c r="BJ22" s="18" t="str">
        <f aca="false">IF(C9&gt;0, C9, "")</f>
        <v/>
      </c>
      <c r="BL22" s="200"/>
      <c r="BM22" s="200"/>
      <c r="BN22" s="200"/>
    </row>
    <row r="23" customFormat="false" ht="7.5" hidden="false" customHeight="true" outlineLevel="0" collapsed="false">
      <c r="A23" s="198"/>
      <c r="B23" s="266"/>
      <c r="C23" s="266"/>
      <c r="D23" s="267"/>
      <c r="E23" s="242"/>
      <c r="F23" s="242"/>
      <c r="G23" s="242"/>
      <c r="H23" s="242"/>
      <c r="I23" s="242"/>
      <c r="J23" s="241"/>
      <c r="K23" s="241"/>
      <c r="L23" s="269"/>
      <c r="M23" s="269"/>
      <c r="N23" s="270"/>
      <c r="O23" s="269"/>
      <c r="P23" s="269"/>
      <c r="Q23" s="269"/>
      <c r="R23" s="269"/>
      <c r="S23" s="269"/>
      <c r="T23" s="269"/>
      <c r="U23" s="269"/>
      <c r="V23" s="269"/>
      <c r="W23" s="269"/>
      <c r="X23" s="269"/>
      <c r="Y23" s="269"/>
      <c r="Z23" s="269"/>
      <c r="AA23" s="268"/>
      <c r="AB23" s="271"/>
      <c r="AC23" s="271"/>
      <c r="AD23" s="271"/>
      <c r="AE23" s="271"/>
      <c r="AF23" s="271"/>
      <c r="AG23" s="271"/>
      <c r="AH23" s="271"/>
      <c r="AI23" s="271"/>
      <c r="AJ23" s="271"/>
      <c r="AK23" s="271"/>
      <c r="AL23" s="271"/>
      <c r="AM23" s="272"/>
      <c r="AN23" s="273"/>
      <c r="AO23" s="273"/>
      <c r="AP23" s="273"/>
      <c r="AQ23" s="268"/>
      <c r="AR23" s="271"/>
      <c r="AS23" s="271"/>
      <c r="AT23" s="271"/>
      <c r="AU23" s="271"/>
      <c r="AV23" s="271"/>
      <c r="AW23" s="271"/>
      <c r="AX23" s="271"/>
      <c r="AY23" s="271"/>
      <c r="AZ23" s="271"/>
      <c r="BA23" s="271"/>
      <c r="BB23" s="271"/>
      <c r="BC23" s="272"/>
      <c r="BD23" s="273"/>
      <c r="BE23" s="273"/>
      <c r="BF23" s="273"/>
      <c r="BG23" s="268"/>
      <c r="BH23" s="274"/>
      <c r="BI23" s="268"/>
      <c r="BL23" s="200"/>
      <c r="BM23" s="200"/>
      <c r="BN23" s="200"/>
    </row>
    <row r="24" customFormat="false" ht="15" hidden="false" customHeight="true" outlineLevel="0" collapsed="false">
      <c r="B24" s="275"/>
      <c r="D24" s="276" t="n">
        <f aca="false">D8</f>
        <v>45292</v>
      </c>
      <c r="E24" s="277" t="n">
        <v>6407.87</v>
      </c>
      <c r="F24" s="277" t="n">
        <v>1730.12</v>
      </c>
      <c r="G24" s="277" t="n">
        <v>451.96</v>
      </c>
      <c r="H24" s="277" t="n">
        <v>779.64</v>
      </c>
      <c r="I24" s="277" t="n">
        <v>320.39</v>
      </c>
      <c r="J24" s="278" t="n">
        <f aca="false">E24+H24+I24</f>
        <v>7507.9</v>
      </c>
      <c r="K24" s="204"/>
      <c r="L24" s="279" t="n">
        <v>1</v>
      </c>
      <c r="M24" s="280" t="n">
        <f aca="false">1-L24</f>
        <v>0</v>
      </c>
      <c r="N24" s="281"/>
      <c r="O24" s="282" t="n">
        <v>0.4</v>
      </c>
      <c r="P24" s="282" t="n">
        <v>0.35</v>
      </c>
      <c r="Q24" s="282"/>
      <c r="R24" s="282" t="n">
        <v>0.25</v>
      </c>
      <c r="S24" s="282"/>
      <c r="T24" s="282"/>
      <c r="U24" s="282"/>
      <c r="V24" s="282"/>
      <c r="W24" s="282"/>
      <c r="X24" s="282"/>
      <c r="Y24" s="282"/>
      <c r="Z24" s="282"/>
      <c r="AA24" s="283"/>
      <c r="AB24" s="284" t="n">
        <f aca="false">IFERROR(($J24*O24)*$L24, "")</f>
        <v>3003.16</v>
      </c>
      <c r="AC24" s="284" t="n">
        <f aca="false">IFERROR(($J24*P24)*$L24, "")</f>
        <v>2627.765</v>
      </c>
      <c r="AD24" s="284" t="n">
        <f aca="false">IFERROR(($J24*Q24)*$L24, "")</f>
        <v>0</v>
      </c>
      <c r="AE24" s="284" t="n">
        <f aca="false">IFERROR(($J24*R24)*$L24, "")</f>
        <v>1876.975</v>
      </c>
      <c r="AF24" s="284" t="n">
        <f aca="false">IFERROR(($J24*S24)*$L24, "")</f>
        <v>0</v>
      </c>
      <c r="AG24" s="284" t="n">
        <f aca="false">IFERROR(($J24*T24)*$L24, "")</f>
        <v>0</v>
      </c>
      <c r="AH24" s="284" t="n">
        <f aca="false">IFERROR(($J24*U24)*$L24, "")</f>
        <v>0</v>
      </c>
      <c r="AI24" s="284" t="n">
        <f aca="false">IFERROR(($J24*V24)*$L24, "")</f>
        <v>0</v>
      </c>
      <c r="AJ24" s="284" t="n">
        <f aca="false">IFERROR(($J24*W24)*$L24, "")</f>
        <v>0</v>
      </c>
      <c r="AK24" s="284" t="n">
        <f aca="false">IFERROR(($J24*X24)*$L24, "")</f>
        <v>0</v>
      </c>
      <c r="AL24" s="284" t="n">
        <f aca="false">IFERROR(($J24*Y24)*$L24, "")</f>
        <v>0</v>
      </c>
      <c r="AM24" s="285" t="n">
        <f aca="false">IFERROR(($J24*Z24)*$L24, "")</f>
        <v>0</v>
      </c>
      <c r="AN24" s="286" t="n">
        <f aca="false">IFERROR(SUMIF($AB$4:$AM$4, "RDEC", AB24:AM24), "")</f>
        <v>1876.975</v>
      </c>
      <c r="AO24" s="286" t="n">
        <f aca="false">IFERROR(SUMIF($AB$4:$AM$4, "SME", AB24:AM24), "")</f>
        <v>5630.925</v>
      </c>
      <c r="AP24" s="286" t="n">
        <f aca="false">IFERROR(SUMIF($AB$4:$AM$4, "De Minimis", AB24:AM24), "")</f>
        <v>0</v>
      </c>
      <c r="AQ24" s="283"/>
      <c r="AR24" s="284" t="n">
        <f aca="false">IFERROR(($J24*O24)*$M24, "")</f>
        <v>0</v>
      </c>
      <c r="AS24" s="284" t="n">
        <f aca="false">IFERROR(($J24*P24)*$M24, "")</f>
        <v>0</v>
      </c>
      <c r="AT24" s="284" t="n">
        <f aca="false">IFERROR(($J24*Q24)*$M24, "")</f>
        <v>0</v>
      </c>
      <c r="AU24" s="284" t="n">
        <f aca="false">IFERROR(($J24*R24)*$M24, "")</f>
        <v>0</v>
      </c>
      <c r="AV24" s="284" t="n">
        <f aca="false">IFERROR(($J24*S24)*$M24, "")</f>
        <v>0</v>
      </c>
      <c r="AW24" s="284" t="n">
        <f aca="false">IFERROR(($J24*T24)*$M24, "")</f>
        <v>0</v>
      </c>
      <c r="AX24" s="284" t="n">
        <f aca="false">IFERROR(($J24*U24)*$M24, "")</f>
        <v>0</v>
      </c>
      <c r="AY24" s="284" t="n">
        <f aca="false">IFERROR(($J24*V24)*$M24, "")</f>
        <v>0</v>
      </c>
      <c r="AZ24" s="284" t="n">
        <f aca="false">IFERROR(($J24*W24)*$M24, "")</f>
        <v>0</v>
      </c>
      <c r="BA24" s="284" t="n">
        <f aca="false">IFERROR(($J24*X24)*$M24, "")</f>
        <v>0</v>
      </c>
      <c r="BB24" s="284" t="n">
        <f aca="false">IFERROR(($J24*Y24)*$M24, "")</f>
        <v>0</v>
      </c>
      <c r="BC24" s="285" t="n">
        <f aca="false">IFERROR(($J24*Z24)*$M24, "")</f>
        <v>0</v>
      </c>
      <c r="BD24" s="286" t="n">
        <f aca="false">IFERROR(SUMIF($AB$4:$AM$4, "RDEC", AR24:BC24), "")</f>
        <v>0</v>
      </c>
      <c r="BE24" s="286" t="n">
        <f aca="false">IFERROR(SUMIF($AB$4:$AM$4, "SME", AR24:BC24), "")</f>
        <v>0</v>
      </c>
      <c r="BF24" s="286" t="n">
        <f aca="false">IFERROR(SUMIF($AB$4:$AM$4, "De Minimis", AR24:BC24), "")</f>
        <v>0</v>
      </c>
      <c r="BG24" s="287"/>
      <c r="BH24" s="288" t="str">
        <f aca="false">IF((SUM(O24:Z24)&gt;1),"ERROR","")</f>
        <v/>
      </c>
      <c r="BI24" s="287"/>
      <c r="BJ24" s="18" t="str">
        <f aca="false">IF(C10&gt;0, C10, "")</f>
        <v/>
      </c>
      <c r="BL24" s="200"/>
      <c r="BM24" s="200"/>
      <c r="BN24" s="200"/>
    </row>
    <row r="25" customFormat="false" ht="15" hidden="false" customHeight="true" outlineLevel="0" collapsed="false">
      <c r="B25" s="275"/>
      <c r="D25" s="276" t="n">
        <f aca="false">D9</f>
        <v>45323</v>
      </c>
      <c r="E25" s="277" t="n">
        <v>6521.1</v>
      </c>
      <c r="F25" s="277" t="n">
        <v>1760.7</v>
      </c>
      <c r="G25" s="277" t="n">
        <v>461.02</v>
      </c>
      <c r="H25" s="277" t="n">
        <v>795.26</v>
      </c>
      <c r="I25" s="277" t="n">
        <v>326.06</v>
      </c>
      <c r="J25" s="278" t="n">
        <f aca="false">E25+H25+I25</f>
        <v>7642.42</v>
      </c>
      <c r="K25" s="204"/>
      <c r="L25" s="279" t="n">
        <v>1</v>
      </c>
      <c r="M25" s="280" t="n">
        <f aca="false">1-L25</f>
        <v>0</v>
      </c>
      <c r="N25" s="281"/>
      <c r="O25" s="282" t="n">
        <v>0.4</v>
      </c>
      <c r="P25" s="282" t="n">
        <v>0.35</v>
      </c>
      <c r="Q25" s="282"/>
      <c r="R25" s="282" t="n">
        <v>0.25</v>
      </c>
      <c r="S25" s="282"/>
      <c r="T25" s="282"/>
      <c r="U25" s="282"/>
      <c r="V25" s="282"/>
      <c r="W25" s="282"/>
      <c r="X25" s="282"/>
      <c r="Y25" s="282"/>
      <c r="Z25" s="282"/>
      <c r="AA25" s="283"/>
      <c r="AB25" s="284" t="n">
        <f aca="false">IFERROR(($J25*O25)*$L25, "")</f>
        <v>3056.968</v>
      </c>
      <c r="AC25" s="284" t="n">
        <f aca="false">IFERROR(($J25*P25)*$L25, "")</f>
        <v>2674.847</v>
      </c>
      <c r="AD25" s="284" t="n">
        <f aca="false">IFERROR(($J25*Q25)*$L25, "")</f>
        <v>0</v>
      </c>
      <c r="AE25" s="284" t="n">
        <f aca="false">IFERROR(($J25*R25)*$L25, "")</f>
        <v>1910.605</v>
      </c>
      <c r="AF25" s="284" t="n">
        <f aca="false">IFERROR(($J25*S25)*$L25, "")</f>
        <v>0</v>
      </c>
      <c r="AG25" s="284" t="n">
        <f aca="false">IFERROR(($J25*T25)*$L25, "")</f>
        <v>0</v>
      </c>
      <c r="AH25" s="284" t="n">
        <f aca="false">IFERROR(($J25*U25)*$L25, "")</f>
        <v>0</v>
      </c>
      <c r="AI25" s="284" t="n">
        <f aca="false">IFERROR(($J25*V25)*$L25, "")</f>
        <v>0</v>
      </c>
      <c r="AJ25" s="284" t="n">
        <f aca="false">IFERROR(($J25*W25)*$L25, "")</f>
        <v>0</v>
      </c>
      <c r="AK25" s="284" t="n">
        <f aca="false">IFERROR(($J25*X25)*$L25, "")</f>
        <v>0</v>
      </c>
      <c r="AL25" s="284" t="n">
        <f aca="false">IFERROR(($J25*Y25)*$L25, "")</f>
        <v>0</v>
      </c>
      <c r="AM25" s="285" t="n">
        <f aca="false">IFERROR(($J25*Z25)*$L25, "")</f>
        <v>0</v>
      </c>
      <c r="AN25" s="286" t="n">
        <f aca="false">IFERROR(SUMIF($AB$4:$AM$4, "RDEC", AB25:AM25), "")</f>
        <v>1910.605</v>
      </c>
      <c r="AO25" s="286" t="n">
        <f aca="false">IFERROR(SUMIF($AB$4:$AM$4, "SME", AB25:AM25), "")</f>
        <v>5731.815</v>
      </c>
      <c r="AP25" s="286" t="n">
        <f aca="false">IFERROR(SUMIF($AB$4:$AM$4, "De Minimis", AB25:AM25), "")</f>
        <v>0</v>
      </c>
      <c r="AQ25" s="283"/>
      <c r="AR25" s="284" t="n">
        <f aca="false">IFERROR(($J25*O25)*$M25, "")</f>
        <v>0</v>
      </c>
      <c r="AS25" s="284" t="n">
        <f aca="false">IFERROR(($J25*P25)*$M25, "")</f>
        <v>0</v>
      </c>
      <c r="AT25" s="284" t="n">
        <f aca="false">IFERROR(($J25*Q25)*$M25, "")</f>
        <v>0</v>
      </c>
      <c r="AU25" s="284" t="n">
        <f aca="false">IFERROR(($J25*R25)*$M25, "")</f>
        <v>0</v>
      </c>
      <c r="AV25" s="284" t="n">
        <f aca="false">IFERROR(($J25*S25)*$M25, "")</f>
        <v>0</v>
      </c>
      <c r="AW25" s="284" t="n">
        <f aca="false">IFERROR(($J25*T25)*$M25, "")</f>
        <v>0</v>
      </c>
      <c r="AX25" s="284" t="n">
        <f aca="false">IFERROR(($J25*U25)*$M25, "")</f>
        <v>0</v>
      </c>
      <c r="AY25" s="284" t="n">
        <f aca="false">IFERROR(($J25*V25)*$M25, "")</f>
        <v>0</v>
      </c>
      <c r="AZ25" s="284" t="n">
        <f aca="false">IFERROR(($J25*W25)*$M25, "")</f>
        <v>0</v>
      </c>
      <c r="BA25" s="284" t="n">
        <f aca="false">IFERROR(($J25*X25)*$M25, "")</f>
        <v>0</v>
      </c>
      <c r="BB25" s="284" t="n">
        <f aca="false">IFERROR(($J25*Y25)*$M25, "")</f>
        <v>0</v>
      </c>
      <c r="BC25" s="285" t="n">
        <f aca="false">IFERROR(($J25*Z25)*$M25, "")</f>
        <v>0</v>
      </c>
      <c r="BD25" s="286" t="n">
        <f aca="false">IFERROR(SUMIF($AB$4:$AM$4, "RDEC", AR25:BC25), "")</f>
        <v>0</v>
      </c>
      <c r="BE25" s="286" t="n">
        <f aca="false">IFERROR(SUMIF($AB$4:$AM$4, "SME", AR25:BC25), "")</f>
        <v>0</v>
      </c>
      <c r="BF25" s="286" t="n">
        <f aca="false">IFERROR(SUMIF($AB$4:$AM$4, "De Minimis", AR25:BC25), "")</f>
        <v>0</v>
      </c>
      <c r="BG25" s="287"/>
      <c r="BH25" s="288" t="str">
        <f aca="false">IF((SUM(O25:Z25)&gt;1),"ERROR","")</f>
        <v/>
      </c>
      <c r="BI25" s="287"/>
      <c r="BJ25" s="18" t="str">
        <f aca="false">IF(C11&gt;0, C11, "")</f>
        <v/>
      </c>
      <c r="BL25" s="200"/>
      <c r="BM25" s="200"/>
      <c r="BN25" s="200"/>
    </row>
    <row r="26" customFormat="false" ht="15" hidden="false" customHeight="true" outlineLevel="0" collapsed="false">
      <c r="B26" s="275"/>
      <c r="D26" s="276" t="n">
        <f aca="false">D10</f>
        <v>45352</v>
      </c>
      <c r="E26" s="277" t="n">
        <v>6408.52</v>
      </c>
      <c r="F26" s="277" t="n">
        <v>1730.3</v>
      </c>
      <c r="G26" s="277" t="n">
        <v>452.02</v>
      </c>
      <c r="H26" s="277" t="n">
        <v>779.73</v>
      </c>
      <c r="I26" s="277" t="n">
        <v>320.43</v>
      </c>
      <c r="J26" s="278" t="n">
        <f aca="false">E26+H26+I26</f>
        <v>7508.68</v>
      </c>
      <c r="K26" s="204"/>
      <c r="L26" s="279" t="n">
        <v>1</v>
      </c>
      <c r="M26" s="280" t="n">
        <f aca="false">1-L26</f>
        <v>0</v>
      </c>
      <c r="N26" s="281"/>
      <c r="O26" s="282" t="n">
        <v>0.4</v>
      </c>
      <c r="P26" s="282" t="n">
        <v>0.35</v>
      </c>
      <c r="Q26" s="282"/>
      <c r="R26" s="282" t="n">
        <v>0.25</v>
      </c>
      <c r="S26" s="282"/>
      <c r="T26" s="282"/>
      <c r="U26" s="282"/>
      <c r="V26" s="282"/>
      <c r="W26" s="282"/>
      <c r="X26" s="282"/>
      <c r="Y26" s="282"/>
      <c r="Z26" s="282"/>
      <c r="AA26" s="283"/>
      <c r="AB26" s="284" t="n">
        <f aca="false">IFERROR(($J26*O26)*$L26, "")</f>
        <v>3003.472</v>
      </c>
      <c r="AC26" s="284" t="n">
        <f aca="false">IFERROR(($J26*P26)*$L26, "")</f>
        <v>2628.038</v>
      </c>
      <c r="AD26" s="284" t="n">
        <f aca="false">IFERROR(($J26*Q26)*$L26, "")</f>
        <v>0</v>
      </c>
      <c r="AE26" s="284" t="n">
        <f aca="false">IFERROR(($J26*R26)*$L26, "")</f>
        <v>1877.17</v>
      </c>
      <c r="AF26" s="284" t="n">
        <f aca="false">IFERROR(($J26*S26)*$L26, "")</f>
        <v>0</v>
      </c>
      <c r="AG26" s="284" t="n">
        <f aca="false">IFERROR(($J26*T26)*$L26, "")</f>
        <v>0</v>
      </c>
      <c r="AH26" s="284" t="n">
        <f aca="false">IFERROR(($J26*U26)*$L26, "")</f>
        <v>0</v>
      </c>
      <c r="AI26" s="284" t="n">
        <f aca="false">IFERROR(($J26*V26)*$L26, "")</f>
        <v>0</v>
      </c>
      <c r="AJ26" s="284" t="n">
        <f aca="false">IFERROR(($J26*W26)*$L26, "")</f>
        <v>0</v>
      </c>
      <c r="AK26" s="284" t="n">
        <f aca="false">IFERROR(($J26*X26)*$L26, "")</f>
        <v>0</v>
      </c>
      <c r="AL26" s="284" t="n">
        <f aca="false">IFERROR(($J26*Y26)*$L26, "")</f>
        <v>0</v>
      </c>
      <c r="AM26" s="285" t="n">
        <f aca="false">IFERROR(($J26*Z26)*$L26, "")</f>
        <v>0</v>
      </c>
      <c r="AN26" s="286" t="n">
        <f aca="false">IFERROR(SUMIF($AB$4:$AM$4, "RDEC", AB26:AM26), "")</f>
        <v>1877.17</v>
      </c>
      <c r="AO26" s="286" t="n">
        <f aca="false">IFERROR(SUMIF($AB$4:$AM$4, "SME", AB26:AM26), "")</f>
        <v>5631.51</v>
      </c>
      <c r="AP26" s="286" t="n">
        <f aca="false">IFERROR(SUMIF($AB$4:$AM$4, "De Minimis", AB26:AM26), "")</f>
        <v>0</v>
      </c>
      <c r="AQ26" s="283"/>
      <c r="AR26" s="284" t="n">
        <f aca="false">IFERROR(($J26*O26)*$M26, "")</f>
        <v>0</v>
      </c>
      <c r="AS26" s="284" t="n">
        <f aca="false">IFERROR(($J26*P26)*$M26, "")</f>
        <v>0</v>
      </c>
      <c r="AT26" s="284" t="n">
        <f aca="false">IFERROR(($J26*Q26)*$M26, "")</f>
        <v>0</v>
      </c>
      <c r="AU26" s="284" t="n">
        <f aca="false">IFERROR(($J26*R26)*$M26, "")</f>
        <v>0</v>
      </c>
      <c r="AV26" s="284" t="n">
        <f aca="false">IFERROR(($J26*S26)*$M26, "")</f>
        <v>0</v>
      </c>
      <c r="AW26" s="284" t="n">
        <f aca="false">IFERROR(($J26*T26)*$M26, "")</f>
        <v>0</v>
      </c>
      <c r="AX26" s="284" t="n">
        <f aca="false">IFERROR(($J26*U26)*$M26, "")</f>
        <v>0</v>
      </c>
      <c r="AY26" s="284" t="n">
        <f aca="false">IFERROR(($J26*V26)*$M26, "")</f>
        <v>0</v>
      </c>
      <c r="AZ26" s="284" t="n">
        <f aca="false">IFERROR(($J26*W26)*$M26, "")</f>
        <v>0</v>
      </c>
      <c r="BA26" s="284" t="n">
        <f aca="false">IFERROR(($J26*X26)*$M26, "")</f>
        <v>0</v>
      </c>
      <c r="BB26" s="284" t="n">
        <f aca="false">IFERROR(($J26*Y26)*$M26, "")</f>
        <v>0</v>
      </c>
      <c r="BC26" s="285" t="n">
        <f aca="false">IFERROR(($J26*Z26)*$M26, "")</f>
        <v>0</v>
      </c>
      <c r="BD26" s="286" t="n">
        <f aca="false">IFERROR(SUMIF($AB$4:$AM$4, "RDEC", AR26:BC26), "")</f>
        <v>0</v>
      </c>
      <c r="BE26" s="286" t="n">
        <f aca="false">IFERROR(SUMIF($AB$4:$AM$4, "SME", AR26:BC26), "")</f>
        <v>0</v>
      </c>
      <c r="BF26" s="286" t="n">
        <f aca="false">IFERROR(SUMIF($AB$4:$AM$4, "De Minimis", AR26:BC26), "")</f>
        <v>0</v>
      </c>
      <c r="BG26" s="287"/>
      <c r="BH26" s="288" t="str">
        <f aca="false">IF((SUM(O26:Z26)&gt;1),"ERROR","")</f>
        <v/>
      </c>
      <c r="BI26" s="287"/>
      <c r="BJ26" s="18" t="str">
        <f aca="false">IF(C12&gt;0, C12, "")</f>
        <v/>
      </c>
      <c r="BL26" s="200"/>
      <c r="BM26" s="200"/>
      <c r="BN26" s="200"/>
    </row>
    <row r="27" customFormat="false" ht="15" hidden="false" customHeight="true" outlineLevel="0" collapsed="false">
      <c r="B27" s="275"/>
      <c r="D27" s="276" t="n">
        <f aca="false">D11</f>
        <v>45383</v>
      </c>
      <c r="E27" s="277" t="n">
        <v>6624.55</v>
      </c>
      <c r="F27" s="277" t="n">
        <v>1788.63</v>
      </c>
      <c r="G27" s="277" t="n">
        <v>469.3</v>
      </c>
      <c r="H27" s="277" t="n">
        <v>809.54</v>
      </c>
      <c r="I27" s="277" t="n">
        <v>331.23</v>
      </c>
      <c r="J27" s="278" t="n">
        <f aca="false">E27+H27+I27</f>
        <v>7765.32</v>
      </c>
      <c r="K27" s="204"/>
      <c r="L27" s="279" t="n">
        <v>1</v>
      </c>
      <c r="M27" s="280" t="n">
        <f aca="false">1-L27</f>
        <v>0</v>
      </c>
      <c r="N27" s="281"/>
      <c r="O27" s="282" t="n">
        <v>0.4</v>
      </c>
      <c r="P27" s="282" t="n">
        <v>0.35</v>
      </c>
      <c r="Q27" s="282"/>
      <c r="R27" s="282" t="n">
        <v>0.25</v>
      </c>
      <c r="S27" s="282"/>
      <c r="T27" s="282"/>
      <c r="U27" s="282"/>
      <c r="V27" s="282"/>
      <c r="W27" s="282"/>
      <c r="X27" s="282"/>
      <c r="Y27" s="282"/>
      <c r="Z27" s="282"/>
      <c r="AA27" s="283"/>
      <c r="AB27" s="284" t="n">
        <f aca="false">IFERROR(($J27*O27)*$L27, "")</f>
        <v>3106.128</v>
      </c>
      <c r="AC27" s="284" t="n">
        <f aca="false">IFERROR(($J27*P27)*$L27, "")</f>
        <v>2717.862</v>
      </c>
      <c r="AD27" s="284" t="n">
        <f aca="false">IFERROR(($J27*Q27)*$L27, "")</f>
        <v>0</v>
      </c>
      <c r="AE27" s="284" t="n">
        <f aca="false">IFERROR(($J27*R27)*$L27, "")</f>
        <v>1941.33</v>
      </c>
      <c r="AF27" s="284" t="n">
        <f aca="false">IFERROR(($J27*S27)*$L27, "")</f>
        <v>0</v>
      </c>
      <c r="AG27" s="284" t="n">
        <f aca="false">IFERROR(($J27*T27)*$L27, "")</f>
        <v>0</v>
      </c>
      <c r="AH27" s="284" t="n">
        <f aca="false">IFERROR(($J27*U27)*$L27, "")</f>
        <v>0</v>
      </c>
      <c r="AI27" s="284" t="n">
        <f aca="false">IFERROR(($J27*V27)*$L27, "")</f>
        <v>0</v>
      </c>
      <c r="AJ27" s="284" t="n">
        <f aca="false">IFERROR(($J27*W27)*$L27, "")</f>
        <v>0</v>
      </c>
      <c r="AK27" s="284" t="n">
        <f aca="false">IFERROR(($J27*X27)*$L27, "")</f>
        <v>0</v>
      </c>
      <c r="AL27" s="284" t="n">
        <f aca="false">IFERROR(($J27*Y27)*$L27, "")</f>
        <v>0</v>
      </c>
      <c r="AM27" s="285" t="n">
        <f aca="false">IFERROR(($J27*Z27)*$L27, "")</f>
        <v>0</v>
      </c>
      <c r="AN27" s="286" t="n">
        <f aca="false">IFERROR(SUMIF($AB$4:$AM$4, "RDEC", AB27:AM27), "")</f>
        <v>1941.33</v>
      </c>
      <c r="AO27" s="286" t="n">
        <f aca="false">IFERROR(SUMIF($AB$4:$AM$4, "SME", AB27:AM27), "")</f>
        <v>5823.99</v>
      </c>
      <c r="AP27" s="286" t="n">
        <f aca="false">IFERROR(SUMIF($AB$4:$AM$4, "De Minimis", AB27:AM27), "")</f>
        <v>0</v>
      </c>
      <c r="AQ27" s="283"/>
      <c r="AR27" s="284" t="n">
        <f aca="false">IFERROR(($J27*O27)*$M27, "")</f>
        <v>0</v>
      </c>
      <c r="AS27" s="284" t="n">
        <f aca="false">IFERROR(($J27*P27)*$M27, "")</f>
        <v>0</v>
      </c>
      <c r="AT27" s="284" t="n">
        <f aca="false">IFERROR(($J27*Q27)*$M27, "")</f>
        <v>0</v>
      </c>
      <c r="AU27" s="284" t="n">
        <f aca="false">IFERROR(($J27*R27)*$M27, "")</f>
        <v>0</v>
      </c>
      <c r="AV27" s="284" t="n">
        <f aca="false">IFERROR(($J27*S27)*$M27, "")</f>
        <v>0</v>
      </c>
      <c r="AW27" s="284" t="n">
        <f aca="false">IFERROR(($J27*T27)*$M27, "")</f>
        <v>0</v>
      </c>
      <c r="AX27" s="284" t="n">
        <f aca="false">IFERROR(($J27*U27)*$M27, "")</f>
        <v>0</v>
      </c>
      <c r="AY27" s="284" t="n">
        <f aca="false">IFERROR(($J27*V27)*$M27, "")</f>
        <v>0</v>
      </c>
      <c r="AZ27" s="284" t="n">
        <f aca="false">IFERROR(($J27*W27)*$M27, "")</f>
        <v>0</v>
      </c>
      <c r="BA27" s="284" t="n">
        <f aca="false">IFERROR(($J27*X27)*$M27, "")</f>
        <v>0</v>
      </c>
      <c r="BB27" s="284" t="n">
        <f aca="false">IFERROR(($J27*Y27)*$M27, "")</f>
        <v>0</v>
      </c>
      <c r="BC27" s="285" t="n">
        <f aca="false">IFERROR(($J27*Z27)*$M27, "")</f>
        <v>0</v>
      </c>
      <c r="BD27" s="286" t="n">
        <f aca="false">IFERROR(SUMIF($AB$4:$AM$4, "RDEC", AR27:BC27), "")</f>
        <v>0</v>
      </c>
      <c r="BE27" s="286" t="n">
        <f aca="false">IFERROR(SUMIF($AB$4:$AM$4, "SME", AR27:BC27), "")</f>
        <v>0</v>
      </c>
      <c r="BF27" s="286" t="n">
        <f aca="false">IFERROR(SUMIF($AB$4:$AM$4, "De Minimis", AR27:BC27), "")</f>
        <v>0</v>
      </c>
      <c r="BG27" s="287"/>
      <c r="BH27" s="288" t="str">
        <f aca="false">IF((SUM(O27:Z27)&gt;1),"ERROR","")</f>
        <v/>
      </c>
      <c r="BI27" s="287"/>
      <c r="BJ27" s="18" t="str">
        <f aca="false">IF(C13&gt;0, C13, "")</f>
        <v/>
      </c>
      <c r="BL27" s="200"/>
      <c r="BM27" s="200"/>
      <c r="BN27" s="200"/>
    </row>
    <row r="28" customFormat="false" ht="15" hidden="false" customHeight="true" outlineLevel="0" collapsed="false">
      <c r="B28" s="275"/>
      <c r="D28" s="276" t="n">
        <f aca="false">D12</f>
        <v>45413</v>
      </c>
      <c r="E28" s="277" t="n">
        <v>6619.59</v>
      </c>
      <c r="F28" s="277" t="n">
        <v>1787.29</v>
      </c>
      <c r="G28" s="277" t="n">
        <v>468.9</v>
      </c>
      <c r="H28" s="277" t="n">
        <v>808.85</v>
      </c>
      <c r="I28" s="277" t="n">
        <v>330.98</v>
      </c>
      <c r="J28" s="278" t="n">
        <f aca="false">E28+H28+I28</f>
        <v>7759.42</v>
      </c>
      <c r="K28" s="204"/>
      <c r="L28" s="279" t="n">
        <v>1</v>
      </c>
      <c r="M28" s="280" t="n">
        <f aca="false">1-L28</f>
        <v>0</v>
      </c>
      <c r="N28" s="281"/>
      <c r="O28" s="282" t="n">
        <v>0.4</v>
      </c>
      <c r="P28" s="282" t="n">
        <v>0.35</v>
      </c>
      <c r="Q28" s="282"/>
      <c r="R28" s="282" t="n">
        <v>0.25</v>
      </c>
      <c r="S28" s="282"/>
      <c r="T28" s="282"/>
      <c r="U28" s="282"/>
      <c r="V28" s="282"/>
      <c r="W28" s="282"/>
      <c r="X28" s="282"/>
      <c r="Y28" s="282"/>
      <c r="Z28" s="282"/>
      <c r="AA28" s="283"/>
      <c r="AB28" s="284" t="n">
        <f aca="false">IFERROR(($J28*O28)*$L28, "")</f>
        <v>3103.768</v>
      </c>
      <c r="AC28" s="284" t="n">
        <f aca="false">IFERROR(($J28*P28)*$L28, "")</f>
        <v>2715.797</v>
      </c>
      <c r="AD28" s="284" t="n">
        <f aca="false">IFERROR(($J28*Q28)*$L28, "")</f>
        <v>0</v>
      </c>
      <c r="AE28" s="284" t="n">
        <f aca="false">IFERROR(($J28*R28)*$L28, "")</f>
        <v>1939.855</v>
      </c>
      <c r="AF28" s="284" t="n">
        <f aca="false">IFERROR(($J28*S28)*$L28, "")</f>
        <v>0</v>
      </c>
      <c r="AG28" s="284" t="n">
        <f aca="false">IFERROR(($J28*T28)*$L28, "")</f>
        <v>0</v>
      </c>
      <c r="AH28" s="284" t="n">
        <f aca="false">IFERROR(($J28*U28)*$L28, "")</f>
        <v>0</v>
      </c>
      <c r="AI28" s="284" t="n">
        <f aca="false">IFERROR(($J28*V28)*$L28, "")</f>
        <v>0</v>
      </c>
      <c r="AJ28" s="284" t="n">
        <f aca="false">IFERROR(($J28*W28)*$L28, "")</f>
        <v>0</v>
      </c>
      <c r="AK28" s="284" t="n">
        <f aca="false">IFERROR(($J28*X28)*$L28, "")</f>
        <v>0</v>
      </c>
      <c r="AL28" s="284" t="n">
        <f aca="false">IFERROR(($J28*Y28)*$L28, "")</f>
        <v>0</v>
      </c>
      <c r="AM28" s="285" t="n">
        <f aca="false">IFERROR(($J28*Z28)*$L28, "")</f>
        <v>0</v>
      </c>
      <c r="AN28" s="286" t="n">
        <f aca="false">IFERROR(SUMIF($AB$4:$AM$4, "RDEC", AB28:AM28), "")</f>
        <v>1939.855</v>
      </c>
      <c r="AO28" s="286" t="n">
        <f aca="false">IFERROR(SUMIF($AB$4:$AM$4, "SME", AB28:AM28), "")</f>
        <v>5819.565</v>
      </c>
      <c r="AP28" s="286" t="n">
        <f aca="false">IFERROR(SUMIF($AB$4:$AM$4, "De Minimis", AB28:AM28), "")</f>
        <v>0</v>
      </c>
      <c r="AQ28" s="283"/>
      <c r="AR28" s="284" t="n">
        <f aca="false">IFERROR(($J28*O28)*$M28, "")</f>
        <v>0</v>
      </c>
      <c r="AS28" s="284" t="n">
        <f aca="false">IFERROR(($J28*P28)*$M28, "")</f>
        <v>0</v>
      </c>
      <c r="AT28" s="284" t="n">
        <f aca="false">IFERROR(($J28*Q28)*$M28, "")</f>
        <v>0</v>
      </c>
      <c r="AU28" s="284" t="n">
        <f aca="false">IFERROR(($J28*R28)*$M28, "")</f>
        <v>0</v>
      </c>
      <c r="AV28" s="284" t="n">
        <f aca="false">IFERROR(($J28*S28)*$M28, "")</f>
        <v>0</v>
      </c>
      <c r="AW28" s="284" t="n">
        <f aca="false">IFERROR(($J28*T28)*$M28, "")</f>
        <v>0</v>
      </c>
      <c r="AX28" s="284" t="n">
        <f aca="false">IFERROR(($J28*U28)*$M28, "")</f>
        <v>0</v>
      </c>
      <c r="AY28" s="284" t="n">
        <f aca="false">IFERROR(($J28*V28)*$M28, "")</f>
        <v>0</v>
      </c>
      <c r="AZ28" s="284" t="n">
        <f aca="false">IFERROR(($J28*W28)*$M28, "")</f>
        <v>0</v>
      </c>
      <c r="BA28" s="284" t="n">
        <f aca="false">IFERROR(($J28*X28)*$M28, "")</f>
        <v>0</v>
      </c>
      <c r="BB28" s="284" t="n">
        <f aca="false">IFERROR(($J28*Y28)*$M28, "")</f>
        <v>0</v>
      </c>
      <c r="BC28" s="285" t="n">
        <f aca="false">IFERROR(($J28*Z28)*$M28, "")</f>
        <v>0</v>
      </c>
      <c r="BD28" s="286" t="n">
        <f aca="false">IFERROR(SUMIF($AB$4:$AM$4, "RDEC", AR28:BC28), "")</f>
        <v>0</v>
      </c>
      <c r="BE28" s="286" t="n">
        <f aca="false">IFERROR(SUMIF($AB$4:$AM$4, "SME", AR28:BC28), "")</f>
        <v>0</v>
      </c>
      <c r="BF28" s="286" t="n">
        <f aca="false">IFERROR(SUMIF($AB$4:$AM$4, "De Minimis", AR28:BC28), "")</f>
        <v>0</v>
      </c>
      <c r="BG28" s="287"/>
      <c r="BH28" s="288" t="str">
        <f aca="false">IF((SUM(O28:Z28)&gt;1),"ERROR","")</f>
        <v/>
      </c>
      <c r="BI28" s="287"/>
      <c r="BJ28" s="18" t="str">
        <f aca="false">IF(C14&gt;0, C14, "")</f>
        <v/>
      </c>
      <c r="BL28" s="200"/>
      <c r="BM28" s="200"/>
      <c r="BN28" s="200"/>
    </row>
    <row r="29" customFormat="false" ht="15" hidden="false" customHeight="true" outlineLevel="0" collapsed="false">
      <c r="B29" s="275"/>
      <c r="D29" s="276" t="n">
        <f aca="false">D13</f>
        <v>45444</v>
      </c>
      <c r="E29" s="277" t="n">
        <v>6598.31</v>
      </c>
      <c r="F29" s="277" t="n">
        <v>1781.54</v>
      </c>
      <c r="G29" s="277" t="n">
        <v>467.2</v>
      </c>
      <c r="H29" s="277" t="n">
        <v>805.92</v>
      </c>
      <c r="I29" s="277" t="n">
        <v>329.92</v>
      </c>
      <c r="J29" s="278" t="n">
        <f aca="false">E29+H29+I29</f>
        <v>7734.15</v>
      </c>
      <c r="K29" s="204"/>
      <c r="L29" s="279" t="n">
        <v>1</v>
      </c>
      <c r="M29" s="280" t="n">
        <f aca="false">1-L29</f>
        <v>0</v>
      </c>
      <c r="N29" s="281"/>
      <c r="O29" s="282" t="n">
        <v>0.4</v>
      </c>
      <c r="P29" s="282" t="n">
        <v>0.35</v>
      </c>
      <c r="Q29" s="282"/>
      <c r="R29" s="282" t="n">
        <v>0.25</v>
      </c>
      <c r="S29" s="282"/>
      <c r="T29" s="282"/>
      <c r="U29" s="282"/>
      <c r="V29" s="282"/>
      <c r="W29" s="282"/>
      <c r="X29" s="282"/>
      <c r="Y29" s="282"/>
      <c r="Z29" s="282"/>
      <c r="AA29" s="283"/>
      <c r="AB29" s="284" t="n">
        <f aca="false">IFERROR(($J29*O29)*$L29, "")</f>
        <v>3093.66</v>
      </c>
      <c r="AC29" s="284" t="n">
        <f aca="false">IFERROR(($J29*P29)*$L29, "")</f>
        <v>2706.9525</v>
      </c>
      <c r="AD29" s="284" t="n">
        <f aca="false">IFERROR(($J29*Q29)*$L29, "")</f>
        <v>0</v>
      </c>
      <c r="AE29" s="284" t="n">
        <f aca="false">IFERROR(($J29*R29)*$L29, "")</f>
        <v>1933.5375</v>
      </c>
      <c r="AF29" s="284" t="n">
        <f aca="false">IFERROR(($J29*S29)*$L29, "")</f>
        <v>0</v>
      </c>
      <c r="AG29" s="284" t="n">
        <f aca="false">IFERROR(($J29*T29)*$L29, "")</f>
        <v>0</v>
      </c>
      <c r="AH29" s="284" t="n">
        <f aca="false">IFERROR(($J29*U29)*$L29, "")</f>
        <v>0</v>
      </c>
      <c r="AI29" s="284" t="n">
        <f aca="false">IFERROR(($J29*V29)*$L29, "")</f>
        <v>0</v>
      </c>
      <c r="AJ29" s="284" t="n">
        <f aca="false">IFERROR(($J29*W29)*$L29, "")</f>
        <v>0</v>
      </c>
      <c r="AK29" s="284" t="n">
        <f aca="false">IFERROR(($J29*X29)*$L29, "")</f>
        <v>0</v>
      </c>
      <c r="AL29" s="284" t="n">
        <f aca="false">IFERROR(($J29*Y29)*$L29, "")</f>
        <v>0</v>
      </c>
      <c r="AM29" s="285" t="n">
        <f aca="false">IFERROR(($J29*Z29)*$L29, "")</f>
        <v>0</v>
      </c>
      <c r="AN29" s="286" t="n">
        <f aca="false">IFERROR(SUMIF($AB$4:$AM$4, "RDEC", AB29:AM29), "")</f>
        <v>1933.5375</v>
      </c>
      <c r="AO29" s="286" t="n">
        <f aca="false">IFERROR(SUMIF($AB$4:$AM$4, "SME", AB29:AM29), "")</f>
        <v>5800.6125</v>
      </c>
      <c r="AP29" s="286" t="n">
        <f aca="false">IFERROR(SUMIF($AB$4:$AM$4, "De Minimis", AB29:AM29), "")</f>
        <v>0</v>
      </c>
      <c r="AQ29" s="283"/>
      <c r="AR29" s="284" t="n">
        <f aca="false">IFERROR(($J29*O29)*$M29, "")</f>
        <v>0</v>
      </c>
      <c r="AS29" s="284" t="n">
        <f aca="false">IFERROR(($J29*P29)*$M29, "")</f>
        <v>0</v>
      </c>
      <c r="AT29" s="284" t="n">
        <f aca="false">IFERROR(($J29*Q29)*$M29, "")</f>
        <v>0</v>
      </c>
      <c r="AU29" s="284" t="n">
        <f aca="false">IFERROR(($J29*R29)*$M29, "")</f>
        <v>0</v>
      </c>
      <c r="AV29" s="284" t="n">
        <f aca="false">IFERROR(($J29*S29)*$M29, "")</f>
        <v>0</v>
      </c>
      <c r="AW29" s="284" t="n">
        <f aca="false">IFERROR(($J29*T29)*$M29, "")</f>
        <v>0</v>
      </c>
      <c r="AX29" s="284" t="n">
        <f aca="false">IFERROR(($J29*U29)*$M29, "")</f>
        <v>0</v>
      </c>
      <c r="AY29" s="284" t="n">
        <f aca="false">IFERROR(($J29*V29)*$M29, "")</f>
        <v>0</v>
      </c>
      <c r="AZ29" s="284" t="n">
        <f aca="false">IFERROR(($J29*W29)*$M29, "")</f>
        <v>0</v>
      </c>
      <c r="BA29" s="284" t="n">
        <f aca="false">IFERROR(($J29*X29)*$M29, "")</f>
        <v>0</v>
      </c>
      <c r="BB29" s="284" t="n">
        <f aca="false">IFERROR(($J29*Y29)*$M29, "")</f>
        <v>0</v>
      </c>
      <c r="BC29" s="285" t="n">
        <f aca="false">IFERROR(($J29*Z29)*$M29, "")</f>
        <v>0</v>
      </c>
      <c r="BD29" s="286" t="n">
        <f aca="false">IFERROR(SUMIF($AB$4:$AM$4, "RDEC", AR29:BC29), "")</f>
        <v>0</v>
      </c>
      <c r="BE29" s="286" t="n">
        <f aca="false">IFERROR(SUMIF($AB$4:$AM$4, "SME", AR29:BC29), "")</f>
        <v>0</v>
      </c>
      <c r="BF29" s="286" t="n">
        <f aca="false">IFERROR(SUMIF($AB$4:$AM$4, "De Minimis", AR29:BC29), "")</f>
        <v>0</v>
      </c>
      <c r="BG29" s="287"/>
      <c r="BH29" s="288" t="str">
        <f aca="false">IF((SUM(O29:Z29)&gt;1),"ERROR","")</f>
        <v/>
      </c>
      <c r="BI29" s="287"/>
      <c r="BJ29" s="18" t="str">
        <f aca="false">IF(C15&gt;0, C15, "")</f>
        <v/>
      </c>
      <c r="BL29" s="200"/>
      <c r="BM29" s="200"/>
      <c r="BN29" s="200"/>
    </row>
    <row r="30" customFormat="false" ht="15" hidden="false" customHeight="true" outlineLevel="0" collapsed="false">
      <c r="B30" s="275"/>
      <c r="D30" s="276" t="n">
        <f aca="false">D14</f>
        <v>45474</v>
      </c>
      <c r="E30" s="277" t="n">
        <v>6554.78</v>
      </c>
      <c r="F30" s="277" t="n">
        <v>1769.79</v>
      </c>
      <c r="G30" s="277" t="n">
        <v>463.72</v>
      </c>
      <c r="H30" s="277" t="n">
        <v>799.91</v>
      </c>
      <c r="I30" s="277" t="n">
        <v>327.74</v>
      </c>
      <c r="J30" s="278" t="n">
        <f aca="false">E30+H30+I30</f>
        <v>7682.43</v>
      </c>
      <c r="K30" s="204"/>
      <c r="L30" s="279" t="n">
        <v>1</v>
      </c>
      <c r="M30" s="280" t="n">
        <f aca="false">1-L30</f>
        <v>0</v>
      </c>
      <c r="N30" s="281"/>
      <c r="O30" s="282" t="n">
        <v>0.4</v>
      </c>
      <c r="P30" s="282" t="n">
        <v>0.35</v>
      </c>
      <c r="Q30" s="282"/>
      <c r="R30" s="282" t="n">
        <v>0.25</v>
      </c>
      <c r="S30" s="282"/>
      <c r="T30" s="282"/>
      <c r="U30" s="282"/>
      <c r="V30" s="282"/>
      <c r="W30" s="282"/>
      <c r="X30" s="282"/>
      <c r="Y30" s="282"/>
      <c r="Z30" s="282"/>
      <c r="AA30" s="283"/>
      <c r="AB30" s="284" t="n">
        <f aca="false">IFERROR(($J30*O30)*$L30, "")</f>
        <v>3072.972</v>
      </c>
      <c r="AC30" s="284" t="n">
        <f aca="false">IFERROR(($J30*P30)*$L30, "")</f>
        <v>2688.8505</v>
      </c>
      <c r="AD30" s="284" t="n">
        <f aca="false">IFERROR(($J30*Q30)*$L30, "")</f>
        <v>0</v>
      </c>
      <c r="AE30" s="284" t="n">
        <f aca="false">IFERROR(($J30*R30)*$L30, "")</f>
        <v>1920.6075</v>
      </c>
      <c r="AF30" s="284" t="n">
        <f aca="false">IFERROR(($J30*S30)*$L30, "")</f>
        <v>0</v>
      </c>
      <c r="AG30" s="284" t="n">
        <f aca="false">IFERROR(($J30*T30)*$L30, "")</f>
        <v>0</v>
      </c>
      <c r="AH30" s="284" t="n">
        <f aca="false">IFERROR(($J30*U30)*$L30, "")</f>
        <v>0</v>
      </c>
      <c r="AI30" s="284" t="n">
        <f aca="false">IFERROR(($J30*V30)*$L30, "")</f>
        <v>0</v>
      </c>
      <c r="AJ30" s="284" t="n">
        <f aca="false">IFERROR(($J30*W30)*$L30, "")</f>
        <v>0</v>
      </c>
      <c r="AK30" s="284" t="n">
        <f aca="false">IFERROR(($J30*X30)*$L30, "")</f>
        <v>0</v>
      </c>
      <c r="AL30" s="284" t="n">
        <f aca="false">IFERROR(($J30*Y30)*$L30, "")</f>
        <v>0</v>
      </c>
      <c r="AM30" s="285" t="n">
        <f aca="false">IFERROR(($J30*Z30)*$L30, "")</f>
        <v>0</v>
      </c>
      <c r="AN30" s="286" t="n">
        <f aca="false">IFERROR(SUMIF($AB$4:$AM$4, "RDEC", AB30:AM30), "")</f>
        <v>1920.6075</v>
      </c>
      <c r="AO30" s="286" t="n">
        <f aca="false">IFERROR(SUMIF($AB$4:$AM$4, "SME", AB30:AM30), "")</f>
        <v>5761.8225</v>
      </c>
      <c r="AP30" s="286" t="n">
        <f aca="false">IFERROR(SUMIF($AB$4:$AM$4, "De Minimis", AB30:AM30), "")</f>
        <v>0</v>
      </c>
      <c r="AQ30" s="283"/>
      <c r="AR30" s="284" t="n">
        <f aca="false">IFERROR(($J30*O30)*$M30, "")</f>
        <v>0</v>
      </c>
      <c r="AS30" s="284" t="n">
        <f aca="false">IFERROR(($J30*P30)*$M30, "")</f>
        <v>0</v>
      </c>
      <c r="AT30" s="284" t="n">
        <f aca="false">IFERROR(($J30*Q30)*$M30, "")</f>
        <v>0</v>
      </c>
      <c r="AU30" s="284" t="n">
        <f aca="false">IFERROR(($J30*R30)*$M30, "")</f>
        <v>0</v>
      </c>
      <c r="AV30" s="284" t="n">
        <f aca="false">IFERROR(($J30*S30)*$M30, "")</f>
        <v>0</v>
      </c>
      <c r="AW30" s="284" t="n">
        <f aca="false">IFERROR(($J30*T30)*$M30, "")</f>
        <v>0</v>
      </c>
      <c r="AX30" s="284" t="n">
        <f aca="false">IFERROR(($J30*U30)*$M30, "")</f>
        <v>0</v>
      </c>
      <c r="AY30" s="284" t="n">
        <f aca="false">IFERROR(($J30*V30)*$M30, "")</f>
        <v>0</v>
      </c>
      <c r="AZ30" s="284" t="n">
        <f aca="false">IFERROR(($J30*W30)*$M30, "")</f>
        <v>0</v>
      </c>
      <c r="BA30" s="284" t="n">
        <f aca="false">IFERROR(($J30*X30)*$M30, "")</f>
        <v>0</v>
      </c>
      <c r="BB30" s="284" t="n">
        <f aca="false">IFERROR(($J30*Y30)*$M30, "")</f>
        <v>0</v>
      </c>
      <c r="BC30" s="285" t="n">
        <f aca="false">IFERROR(($J30*Z30)*$M30, "")</f>
        <v>0</v>
      </c>
      <c r="BD30" s="286" t="n">
        <f aca="false">IFERROR(SUMIF($AB$4:$AM$4, "RDEC", AR30:BC30), "")</f>
        <v>0</v>
      </c>
      <c r="BE30" s="286" t="n">
        <f aca="false">IFERROR(SUMIF($AB$4:$AM$4, "SME", AR30:BC30), "")</f>
        <v>0</v>
      </c>
      <c r="BF30" s="286" t="n">
        <f aca="false">IFERROR(SUMIF($AB$4:$AM$4, "De Minimis", AR30:BC30), "")</f>
        <v>0</v>
      </c>
      <c r="BG30" s="287"/>
      <c r="BH30" s="288" t="str">
        <f aca="false">IF((SUM(O30:Z30)&gt;1),"ERROR","")</f>
        <v/>
      </c>
      <c r="BI30" s="287"/>
      <c r="BJ30" s="18" t="str">
        <f aca="false">IF(C16&gt;0, C16, "")</f>
        <v/>
      </c>
      <c r="BL30" s="200"/>
      <c r="BM30" s="200"/>
      <c r="BN30" s="200"/>
    </row>
    <row r="31" customFormat="false" ht="15" hidden="false" customHeight="true" outlineLevel="0" collapsed="false">
      <c r="B31" s="275"/>
      <c r="D31" s="276" t="n">
        <f aca="false">D15</f>
        <v>45505</v>
      </c>
      <c r="E31" s="277" t="n">
        <v>6434.09</v>
      </c>
      <c r="F31" s="277" t="n">
        <v>1737.2</v>
      </c>
      <c r="G31" s="277" t="n">
        <v>454.06</v>
      </c>
      <c r="H31" s="277" t="n">
        <v>783.25</v>
      </c>
      <c r="I31" s="277" t="n">
        <v>321.7</v>
      </c>
      <c r="J31" s="278" t="n">
        <f aca="false">E31+H31+I31</f>
        <v>7539.04</v>
      </c>
      <c r="K31" s="204"/>
      <c r="L31" s="279" t="n">
        <v>1</v>
      </c>
      <c r="M31" s="280" t="n">
        <f aca="false">1-L31</f>
        <v>0</v>
      </c>
      <c r="N31" s="281"/>
      <c r="O31" s="282" t="n">
        <v>0.4</v>
      </c>
      <c r="P31" s="282" t="n">
        <v>0.35</v>
      </c>
      <c r="Q31" s="282"/>
      <c r="R31" s="282" t="n">
        <v>0.25</v>
      </c>
      <c r="S31" s="282"/>
      <c r="T31" s="282"/>
      <c r="U31" s="282"/>
      <c r="V31" s="282"/>
      <c r="W31" s="282"/>
      <c r="X31" s="282"/>
      <c r="Y31" s="282"/>
      <c r="Z31" s="282"/>
      <c r="AA31" s="283"/>
      <c r="AB31" s="284" t="n">
        <f aca="false">IFERROR(($J31*O31)*$L31, "")</f>
        <v>3015.616</v>
      </c>
      <c r="AC31" s="284" t="n">
        <f aca="false">IFERROR(($J31*P31)*$L31, "")</f>
        <v>2638.664</v>
      </c>
      <c r="AD31" s="284" t="n">
        <f aca="false">IFERROR(($J31*Q31)*$L31, "")</f>
        <v>0</v>
      </c>
      <c r="AE31" s="284" t="n">
        <f aca="false">IFERROR(($J31*R31)*$L31, "")</f>
        <v>1884.76</v>
      </c>
      <c r="AF31" s="284" t="n">
        <f aca="false">IFERROR(($J31*S31)*$L31, "")</f>
        <v>0</v>
      </c>
      <c r="AG31" s="284" t="n">
        <f aca="false">IFERROR(($J31*T31)*$L31, "")</f>
        <v>0</v>
      </c>
      <c r="AH31" s="284" t="n">
        <f aca="false">IFERROR(($J31*U31)*$L31, "")</f>
        <v>0</v>
      </c>
      <c r="AI31" s="284" t="n">
        <f aca="false">IFERROR(($J31*V31)*$L31, "")</f>
        <v>0</v>
      </c>
      <c r="AJ31" s="284" t="n">
        <f aca="false">IFERROR(($J31*W31)*$L31, "")</f>
        <v>0</v>
      </c>
      <c r="AK31" s="284" t="n">
        <f aca="false">IFERROR(($J31*X31)*$L31, "")</f>
        <v>0</v>
      </c>
      <c r="AL31" s="284" t="n">
        <f aca="false">IFERROR(($J31*Y31)*$L31, "")</f>
        <v>0</v>
      </c>
      <c r="AM31" s="285" t="n">
        <f aca="false">IFERROR(($J31*Z31)*$L31, "")</f>
        <v>0</v>
      </c>
      <c r="AN31" s="286" t="n">
        <f aca="false">IFERROR(SUMIF($AB$4:$AM$4, "RDEC", AB31:AM31), "")</f>
        <v>1884.76</v>
      </c>
      <c r="AO31" s="286" t="n">
        <f aca="false">IFERROR(SUMIF($AB$4:$AM$4, "SME", AB31:AM31), "")</f>
        <v>5654.28</v>
      </c>
      <c r="AP31" s="286" t="n">
        <f aca="false">IFERROR(SUMIF($AB$4:$AM$4, "De Minimis", AB31:AM31), "")</f>
        <v>0</v>
      </c>
      <c r="AQ31" s="283"/>
      <c r="AR31" s="284" t="n">
        <f aca="false">IFERROR(($J31*O31)*$M31, "")</f>
        <v>0</v>
      </c>
      <c r="AS31" s="284" t="n">
        <f aca="false">IFERROR(($J31*P31)*$M31, "")</f>
        <v>0</v>
      </c>
      <c r="AT31" s="284" t="n">
        <f aca="false">IFERROR(($J31*Q31)*$M31, "")</f>
        <v>0</v>
      </c>
      <c r="AU31" s="284" t="n">
        <f aca="false">IFERROR(($J31*R31)*$M31, "")</f>
        <v>0</v>
      </c>
      <c r="AV31" s="284" t="n">
        <f aca="false">IFERROR(($J31*S31)*$M31, "")</f>
        <v>0</v>
      </c>
      <c r="AW31" s="284" t="n">
        <f aca="false">IFERROR(($J31*T31)*$M31, "")</f>
        <v>0</v>
      </c>
      <c r="AX31" s="284" t="n">
        <f aca="false">IFERROR(($J31*U31)*$M31, "")</f>
        <v>0</v>
      </c>
      <c r="AY31" s="284" t="n">
        <f aca="false">IFERROR(($J31*V31)*$M31, "")</f>
        <v>0</v>
      </c>
      <c r="AZ31" s="284" t="n">
        <f aca="false">IFERROR(($J31*W31)*$M31, "")</f>
        <v>0</v>
      </c>
      <c r="BA31" s="284" t="n">
        <f aca="false">IFERROR(($J31*X31)*$M31, "")</f>
        <v>0</v>
      </c>
      <c r="BB31" s="284" t="n">
        <f aca="false">IFERROR(($J31*Y31)*$M31, "")</f>
        <v>0</v>
      </c>
      <c r="BC31" s="285" t="n">
        <f aca="false">IFERROR(($J31*Z31)*$M31, "")</f>
        <v>0</v>
      </c>
      <c r="BD31" s="286" t="n">
        <f aca="false">IFERROR(SUMIF($AB$4:$AM$4, "RDEC", AR31:BC31), "")</f>
        <v>0</v>
      </c>
      <c r="BE31" s="286" t="n">
        <f aca="false">IFERROR(SUMIF($AB$4:$AM$4, "SME", AR31:BC31), "")</f>
        <v>0</v>
      </c>
      <c r="BF31" s="286" t="n">
        <f aca="false">IFERROR(SUMIF($AB$4:$AM$4, "De Minimis", AR31:BC31), "")</f>
        <v>0</v>
      </c>
      <c r="BG31" s="287"/>
      <c r="BH31" s="288" t="str">
        <f aca="false">IF((SUM(O31:Z31)&gt;1),"ERROR","")</f>
        <v/>
      </c>
      <c r="BI31" s="287"/>
      <c r="BJ31" s="18" t="str">
        <f aca="false">IF(C17&gt;0, C17, "")</f>
        <v/>
      </c>
      <c r="BL31" s="200"/>
      <c r="BM31" s="200"/>
      <c r="BN31" s="200"/>
    </row>
    <row r="32" customFormat="false" ht="15" hidden="false" customHeight="true" outlineLevel="0" collapsed="false">
      <c r="B32" s="275"/>
      <c r="D32" s="276" t="n">
        <f aca="false">D16</f>
        <v>45536</v>
      </c>
      <c r="E32" s="277" t="n">
        <v>6403.94</v>
      </c>
      <c r="F32" s="277" t="n">
        <v>1729.06</v>
      </c>
      <c r="G32" s="277" t="n">
        <v>451.65</v>
      </c>
      <c r="H32" s="277" t="n">
        <v>779.09</v>
      </c>
      <c r="I32" s="277" t="n">
        <v>320.2</v>
      </c>
      <c r="J32" s="278" t="n">
        <f aca="false">E32+H32+I32</f>
        <v>7503.23</v>
      </c>
      <c r="K32" s="204"/>
      <c r="L32" s="279" t="n">
        <v>1</v>
      </c>
      <c r="M32" s="280" t="n">
        <f aca="false">1-L32</f>
        <v>0</v>
      </c>
      <c r="N32" s="281"/>
      <c r="O32" s="282" t="n">
        <v>0.4</v>
      </c>
      <c r="P32" s="282" t="n">
        <v>0.35</v>
      </c>
      <c r="Q32" s="282"/>
      <c r="R32" s="282" t="n">
        <v>0.25</v>
      </c>
      <c r="S32" s="282"/>
      <c r="T32" s="282"/>
      <c r="U32" s="282"/>
      <c r="V32" s="282"/>
      <c r="W32" s="282"/>
      <c r="X32" s="282"/>
      <c r="Y32" s="282"/>
      <c r="Z32" s="282"/>
      <c r="AA32" s="283"/>
      <c r="AB32" s="284" t="n">
        <f aca="false">IFERROR(($J32*O32)*$L32, "")</f>
        <v>3001.292</v>
      </c>
      <c r="AC32" s="284" t="n">
        <f aca="false">IFERROR(($J32*P32)*$L32, "")</f>
        <v>2626.1305</v>
      </c>
      <c r="AD32" s="284" t="n">
        <f aca="false">IFERROR(($J32*Q32)*$L32, "")</f>
        <v>0</v>
      </c>
      <c r="AE32" s="284" t="n">
        <f aca="false">IFERROR(($J32*R32)*$L32, "")</f>
        <v>1875.8075</v>
      </c>
      <c r="AF32" s="284" t="n">
        <f aca="false">IFERROR(($J32*S32)*$L32, "")</f>
        <v>0</v>
      </c>
      <c r="AG32" s="284" t="n">
        <f aca="false">IFERROR(($J32*T32)*$L32, "")</f>
        <v>0</v>
      </c>
      <c r="AH32" s="284" t="n">
        <f aca="false">IFERROR(($J32*U32)*$L32, "")</f>
        <v>0</v>
      </c>
      <c r="AI32" s="284" t="n">
        <f aca="false">IFERROR(($J32*V32)*$L32, "")</f>
        <v>0</v>
      </c>
      <c r="AJ32" s="284" t="n">
        <f aca="false">IFERROR(($J32*W32)*$L32, "")</f>
        <v>0</v>
      </c>
      <c r="AK32" s="284" t="n">
        <f aca="false">IFERROR(($J32*X32)*$L32, "")</f>
        <v>0</v>
      </c>
      <c r="AL32" s="284" t="n">
        <f aca="false">IFERROR(($J32*Y32)*$L32, "")</f>
        <v>0</v>
      </c>
      <c r="AM32" s="285" t="n">
        <f aca="false">IFERROR(($J32*Z32)*$L32, "")</f>
        <v>0</v>
      </c>
      <c r="AN32" s="286" t="n">
        <f aca="false">IFERROR(SUMIF($AB$4:$AM$4, "RDEC", AB32:AM32), "")</f>
        <v>1875.8075</v>
      </c>
      <c r="AO32" s="286" t="n">
        <f aca="false">IFERROR(SUMIF($AB$4:$AM$4, "SME", AB32:AM32), "")</f>
        <v>5627.4225</v>
      </c>
      <c r="AP32" s="286" t="n">
        <f aca="false">IFERROR(SUMIF($AB$4:$AM$4, "De Minimis", AB32:AM32), "")</f>
        <v>0</v>
      </c>
      <c r="AQ32" s="283"/>
      <c r="AR32" s="284" t="n">
        <f aca="false">IFERROR(($J32*O32)*$M32, "")</f>
        <v>0</v>
      </c>
      <c r="AS32" s="284" t="n">
        <f aca="false">IFERROR(($J32*P32)*$M32, "")</f>
        <v>0</v>
      </c>
      <c r="AT32" s="284" t="n">
        <f aca="false">IFERROR(($J32*Q32)*$M32, "")</f>
        <v>0</v>
      </c>
      <c r="AU32" s="284" t="n">
        <f aca="false">IFERROR(($J32*R32)*$M32, "")</f>
        <v>0</v>
      </c>
      <c r="AV32" s="284" t="n">
        <f aca="false">IFERROR(($J32*S32)*$M32, "")</f>
        <v>0</v>
      </c>
      <c r="AW32" s="284" t="n">
        <f aca="false">IFERROR(($J32*T32)*$M32, "")</f>
        <v>0</v>
      </c>
      <c r="AX32" s="284" t="n">
        <f aca="false">IFERROR(($J32*U32)*$M32, "")</f>
        <v>0</v>
      </c>
      <c r="AY32" s="284" t="n">
        <f aca="false">IFERROR(($J32*V32)*$M32, "")</f>
        <v>0</v>
      </c>
      <c r="AZ32" s="284" t="n">
        <f aca="false">IFERROR(($J32*W32)*$M32, "")</f>
        <v>0</v>
      </c>
      <c r="BA32" s="284" t="n">
        <f aca="false">IFERROR(($J32*X32)*$M32, "")</f>
        <v>0</v>
      </c>
      <c r="BB32" s="284" t="n">
        <f aca="false">IFERROR(($J32*Y32)*$M32, "")</f>
        <v>0</v>
      </c>
      <c r="BC32" s="285" t="n">
        <f aca="false">IFERROR(($J32*Z32)*$M32, "")</f>
        <v>0</v>
      </c>
      <c r="BD32" s="286" t="n">
        <f aca="false">IFERROR(SUMIF($AB$4:$AM$4, "RDEC", AR32:BC32), "")</f>
        <v>0</v>
      </c>
      <c r="BE32" s="286" t="n">
        <f aca="false">IFERROR(SUMIF($AB$4:$AM$4, "SME", AR32:BC32), "")</f>
        <v>0</v>
      </c>
      <c r="BF32" s="286" t="n">
        <f aca="false">IFERROR(SUMIF($AB$4:$AM$4, "De Minimis", AR32:BC32), "")</f>
        <v>0</v>
      </c>
      <c r="BG32" s="287"/>
      <c r="BH32" s="288" t="str">
        <f aca="false">IF((SUM(O32:Z32)&gt;1),"ERROR","")</f>
        <v/>
      </c>
      <c r="BI32" s="287"/>
      <c r="BJ32" s="18" t="str">
        <f aca="false">IF(C18&gt;0, C18, "")</f>
        <v/>
      </c>
      <c r="BL32" s="200"/>
      <c r="BM32" s="200"/>
      <c r="BN32" s="200"/>
    </row>
    <row r="33" customFormat="false" ht="15" hidden="false" customHeight="true" outlineLevel="0" collapsed="false">
      <c r="B33" s="275"/>
      <c r="D33" s="276" t="n">
        <f aca="false">D17</f>
        <v>45566</v>
      </c>
      <c r="E33" s="277" t="n">
        <v>6442.69</v>
      </c>
      <c r="F33" s="277" t="n">
        <v>1739.53</v>
      </c>
      <c r="G33" s="277" t="n">
        <v>454.75</v>
      </c>
      <c r="H33" s="277" t="n">
        <v>784.44</v>
      </c>
      <c r="I33" s="277" t="n">
        <v>322.13</v>
      </c>
      <c r="J33" s="278" t="n">
        <f aca="false">E33+H33+I33</f>
        <v>7549.26</v>
      </c>
      <c r="K33" s="204"/>
      <c r="L33" s="279" t="n">
        <v>1</v>
      </c>
      <c r="M33" s="280" t="n">
        <f aca="false">1-L33</f>
        <v>0</v>
      </c>
      <c r="N33" s="281"/>
      <c r="O33" s="282" t="n">
        <v>0.4</v>
      </c>
      <c r="P33" s="282" t="n">
        <v>0.35</v>
      </c>
      <c r="Q33" s="282"/>
      <c r="R33" s="282" t="n">
        <v>0.25</v>
      </c>
      <c r="S33" s="282"/>
      <c r="T33" s="282"/>
      <c r="U33" s="282"/>
      <c r="V33" s="282"/>
      <c r="W33" s="282"/>
      <c r="X33" s="282"/>
      <c r="Y33" s="282"/>
      <c r="Z33" s="282"/>
      <c r="AA33" s="283"/>
      <c r="AB33" s="284" t="n">
        <f aca="false">IFERROR(($J33*O33)*$L33, "")</f>
        <v>3019.704</v>
      </c>
      <c r="AC33" s="284" t="n">
        <f aca="false">IFERROR(($J33*P33)*$L33, "")</f>
        <v>2642.241</v>
      </c>
      <c r="AD33" s="284" t="n">
        <f aca="false">IFERROR(($J33*Q33)*$L33, "")</f>
        <v>0</v>
      </c>
      <c r="AE33" s="284" t="n">
        <f aca="false">IFERROR(($J33*R33)*$L33, "")</f>
        <v>1887.315</v>
      </c>
      <c r="AF33" s="284" t="n">
        <f aca="false">IFERROR(($J33*S33)*$L33, "")</f>
        <v>0</v>
      </c>
      <c r="AG33" s="284" t="n">
        <f aca="false">IFERROR(($J33*T33)*$L33, "")</f>
        <v>0</v>
      </c>
      <c r="AH33" s="284" t="n">
        <f aca="false">IFERROR(($J33*U33)*$L33, "")</f>
        <v>0</v>
      </c>
      <c r="AI33" s="284" t="n">
        <f aca="false">IFERROR(($J33*V33)*$L33, "")</f>
        <v>0</v>
      </c>
      <c r="AJ33" s="284" t="n">
        <f aca="false">IFERROR(($J33*W33)*$L33, "")</f>
        <v>0</v>
      </c>
      <c r="AK33" s="284" t="n">
        <f aca="false">IFERROR(($J33*X33)*$L33, "")</f>
        <v>0</v>
      </c>
      <c r="AL33" s="284" t="n">
        <f aca="false">IFERROR(($J33*Y33)*$L33, "")</f>
        <v>0</v>
      </c>
      <c r="AM33" s="285" t="n">
        <f aca="false">IFERROR(($J33*Z33)*$L33, "")</f>
        <v>0</v>
      </c>
      <c r="AN33" s="286" t="n">
        <f aca="false">IFERROR(SUMIF($AB$4:$AM$4, "RDEC", AB33:AM33), "")</f>
        <v>1887.315</v>
      </c>
      <c r="AO33" s="286" t="n">
        <f aca="false">IFERROR(SUMIF($AB$4:$AM$4, "SME", AB33:AM33), "")</f>
        <v>5661.945</v>
      </c>
      <c r="AP33" s="286" t="n">
        <f aca="false">IFERROR(SUMIF($AB$4:$AM$4, "De Minimis", AB33:AM33), "")</f>
        <v>0</v>
      </c>
      <c r="AQ33" s="283"/>
      <c r="AR33" s="284" t="n">
        <f aca="false">IFERROR(($J33*O33)*$M33, "")</f>
        <v>0</v>
      </c>
      <c r="AS33" s="284" t="n">
        <f aca="false">IFERROR(($J33*P33)*$M33, "")</f>
        <v>0</v>
      </c>
      <c r="AT33" s="284" t="n">
        <f aca="false">IFERROR(($J33*Q33)*$M33, "")</f>
        <v>0</v>
      </c>
      <c r="AU33" s="284" t="n">
        <f aca="false">IFERROR(($J33*R33)*$M33, "")</f>
        <v>0</v>
      </c>
      <c r="AV33" s="284" t="n">
        <f aca="false">IFERROR(($J33*S33)*$M33, "")</f>
        <v>0</v>
      </c>
      <c r="AW33" s="284" t="n">
        <f aca="false">IFERROR(($J33*T33)*$M33, "")</f>
        <v>0</v>
      </c>
      <c r="AX33" s="284" t="n">
        <f aca="false">IFERROR(($J33*U33)*$M33, "")</f>
        <v>0</v>
      </c>
      <c r="AY33" s="284" t="n">
        <f aca="false">IFERROR(($J33*V33)*$M33, "")</f>
        <v>0</v>
      </c>
      <c r="AZ33" s="284" t="n">
        <f aca="false">IFERROR(($J33*W33)*$M33, "")</f>
        <v>0</v>
      </c>
      <c r="BA33" s="284" t="n">
        <f aca="false">IFERROR(($J33*X33)*$M33, "")</f>
        <v>0</v>
      </c>
      <c r="BB33" s="284" t="n">
        <f aca="false">IFERROR(($J33*Y33)*$M33, "")</f>
        <v>0</v>
      </c>
      <c r="BC33" s="285" t="n">
        <f aca="false">IFERROR(($J33*Z33)*$M33, "")</f>
        <v>0</v>
      </c>
      <c r="BD33" s="286" t="n">
        <f aca="false">IFERROR(SUMIF($AB$4:$AM$4, "RDEC", AR33:BC33), "")</f>
        <v>0</v>
      </c>
      <c r="BE33" s="286" t="n">
        <f aca="false">IFERROR(SUMIF($AB$4:$AM$4, "SME", AR33:BC33), "")</f>
        <v>0</v>
      </c>
      <c r="BF33" s="286" t="n">
        <f aca="false">IFERROR(SUMIF($AB$4:$AM$4, "De Minimis", AR33:BC33), "")</f>
        <v>0</v>
      </c>
      <c r="BG33" s="287"/>
      <c r="BH33" s="288" t="str">
        <f aca="false">IF((SUM(O33:Z33)&gt;1),"ERROR","")</f>
        <v/>
      </c>
      <c r="BI33" s="287"/>
      <c r="BJ33" s="18" t="str">
        <f aca="false">IF(C19&gt;0, C19, "")</f>
        <v/>
      </c>
      <c r="BL33" s="200"/>
      <c r="BM33" s="200"/>
      <c r="BN33" s="200"/>
    </row>
    <row r="34" customFormat="false" ht="15" hidden="false" customHeight="true" outlineLevel="0" collapsed="false">
      <c r="B34" s="275"/>
      <c r="D34" s="276" t="n">
        <f aca="false">D18</f>
        <v>45597</v>
      </c>
      <c r="E34" s="277" t="n">
        <v>6612.91</v>
      </c>
      <c r="F34" s="277" t="n">
        <v>1785.49</v>
      </c>
      <c r="G34" s="277" t="n">
        <v>468.37</v>
      </c>
      <c r="H34" s="277" t="n">
        <v>807.93</v>
      </c>
      <c r="I34" s="277" t="n">
        <v>330.65</v>
      </c>
      <c r="J34" s="278" t="n">
        <f aca="false">E34+H34+I34</f>
        <v>7751.49</v>
      </c>
      <c r="K34" s="204"/>
      <c r="L34" s="279" t="n">
        <v>1</v>
      </c>
      <c r="M34" s="280" t="n">
        <f aca="false">1-L34</f>
        <v>0</v>
      </c>
      <c r="N34" s="281"/>
      <c r="O34" s="282" t="n">
        <v>0.4</v>
      </c>
      <c r="P34" s="282" t="n">
        <v>0.35</v>
      </c>
      <c r="Q34" s="282"/>
      <c r="R34" s="282" t="n">
        <v>0.25</v>
      </c>
      <c r="S34" s="282"/>
      <c r="T34" s="282"/>
      <c r="U34" s="282"/>
      <c r="V34" s="282"/>
      <c r="W34" s="282"/>
      <c r="X34" s="282"/>
      <c r="Y34" s="282"/>
      <c r="Z34" s="282"/>
      <c r="AA34" s="283"/>
      <c r="AB34" s="284" t="n">
        <f aca="false">IFERROR(($J34*O34)*$L34, "")</f>
        <v>3100.596</v>
      </c>
      <c r="AC34" s="284" t="n">
        <f aca="false">IFERROR(($J34*P34)*$L34, "")</f>
        <v>2713.0215</v>
      </c>
      <c r="AD34" s="284" t="n">
        <f aca="false">IFERROR(($J34*Q34)*$L34, "")</f>
        <v>0</v>
      </c>
      <c r="AE34" s="284" t="n">
        <f aca="false">IFERROR(($J34*R34)*$L34, "")</f>
        <v>1937.8725</v>
      </c>
      <c r="AF34" s="284" t="n">
        <f aca="false">IFERROR(($J34*S34)*$L34, "")</f>
        <v>0</v>
      </c>
      <c r="AG34" s="284" t="n">
        <f aca="false">IFERROR(($J34*T34)*$L34, "")</f>
        <v>0</v>
      </c>
      <c r="AH34" s="284" t="n">
        <f aca="false">IFERROR(($J34*U34)*$L34, "")</f>
        <v>0</v>
      </c>
      <c r="AI34" s="284" t="n">
        <f aca="false">IFERROR(($J34*V34)*$L34, "")</f>
        <v>0</v>
      </c>
      <c r="AJ34" s="284" t="n">
        <f aca="false">IFERROR(($J34*W34)*$L34, "")</f>
        <v>0</v>
      </c>
      <c r="AK34" s="284" t="n">
        <f aca="false">IFERROR(($J34*X34)*$L34, "")</f>
        <v>0</v>
      </c>
      <c r="AL34" s="284" t="n">
        <f aca="false">IFERROR(($J34*Y34)*$L34, "")</f>
        <v>0</v>
      </c>
      <c r="AM34" s="285" t="n">
        <f aca="false">IFERROR(($J34*Z34)*$L34, "")</f>
        <v>0</v>
      </c>
      <c r="AN34" s="286" t="n">
        <f aca="false">IFERROR(SUMIF($AB$4:$AM$4, "RDEC", AB34:AM34), "")</f>
        <v>1937.8725</v>
      </c>
      <c r="AO34" s="286" t="n">
        <f aca="false">IFERROR(SUMIF($AB$4:$AM$4, "SME", AB34:AM34), "")</f>
        <v>5813.6175</v>
      </c>
      <c r="AP34" s="286" t="n">
        <f aca="false">IFERROR(SUMIF($AB$4:$AM$4, "De Minimis", AB34:AM34), "")</f>
        <v>0</v>
      </c>
      <c r="AQ34" s="283"/>
      <c r="AR34" s="284" t="n">
        <f aca="false">IFERROR(($J34*O34)*$M34, "")</f>
        <v>0</v>
      </c>
      <c r="AS34" s="284" t="n">
        <f aca="false">IFERROR(($J34*P34)*$M34, "")</f>
        <v>0</v>
      </c>
      <c r="AT34" s="284" t="n">
        <f aca="false">IFERROR(($J34*Q34)*$M34, "")</f>
        <v>0</v>
      </c>
      <c r="AU34" s="284" t="n">
        <f aca="false">IFERROR(($J34*R34)*$M34, "")</f>
        <v>0</v>
      </c>
      <c r="AV34" s="284" t="n">
        <f aca="false">IFERROR(($J34*S34)*$M34, "")</f>
        <v>0</v>
      </c>
      <c r="AW34" s="284" t="n">
        <f aca="false">IFERROR(($J34*T34)*$M34, "")</f>
        <v>0</v>
      </c>
      <c r="AX34" s="284" t="n">
        <f aca="false">IFERROR(($J34*U34)*$M34, "")</f>
        <v>0</v>
      </c>
      <c r="AY34" s="284" t="n">
        <f aca="false">IFERROR(($J34*V34)*$M34, "")</f>
        <v>0</v>
      </c>
      <c r="AZ34" s="284" t="n">
        <f aca="false">IFERROR(($J34*W34)*$M34, "")</f>
        <v>0</v>
      </c>
      <c r="BA34" s="284" t="n">
        <f aca="false">IFERROR(($J34*X34)*$M34, "")</f>
        <v>0</v>
      </c>
      <c r="BB34" s="284" t="n">
        <f aca="false">IFERROR(($J34*Y34)*$M34, "")</f>
        <v>0</v>
      </c>
      <c r="BC34" s="285" t="n">
        <f aca="false">IFERROR(($J34*Z34)*$M34, "")</f>
        <v>0</v>
      </c>
      <c r="BD34" s="286" t="n">
        <f aca="false">IFERROR(SUMIF($AB$4:$AM$4, "RDEC", AR34:BC34), "")</f>
        <v>0</v>
      </c>
      <c r="BE34" s="286" t="n">
        <f aca="false">IFERROR(SUMIF($AB$4:$AM$4, "SME", AR34:BC34), "")</f>
        <v>0</v>
      </c>
      <c r="BF34" s="286" t="n">
        <f aca="false">IFERROR(SUMIF($AB$4:$AM$4, "De Minimis", AR34:BC34), "")</f>
        <v>0</v>
      </c>
      <c r="BG34" s="287"/>
      <c r="BH34" s="288" t="str">
        <f aca="false">IF((SUM(O34:Z34)&gt;1),"ERROR","")</f>
        <v/>
      </c>
      <c r="BI34" s="287"/>
      <c r="BJ34" s="18" t="str">
        <f aca="false">IF(C20&gt;0, C20, "")</f>
        <v/>
      </c>
      <c r="BL34" s="200"/>
      <c r="BM34" s="200"/>
      <c r="BN34" s="200"/>
    </row>
    <row r="35" customFormat="false" ht="15" hidden="false" customHeight="true" outlineLevel="0" collapsed="false">
      <c r="B35" s="275"/>
      <c r="D35" s="276" t="n">
        <f aca="false">D19</f>
        <v>45627</v>
      </c>
      <c r="E35" s="277" t="n">
        <v>6585.06</v>
      </c>
      <c r="F35" s="277" t="n">
        <v>1777.97</v>
      </c>
      <c r="G35" s="277" t="n">
        <v>466.14</v>
      </c>
      <c r="H35" s="277" t="n">
        <v>804.09</v>
      </c>
      <c r="I35" s="277" t="n">
        <v>329.25</v>
      </c>
      <c r="J35" s="278" t="n">
        <f aca="false">E35+H35+I35</f>
        <v>7718.4</v>
      </c>
      <c r="K35" s="204"/>
      <c r="L35" s="289" t="n">
        <v>1</v>
      </c>
      <c r="M35" s="290" t="n">
        <f aca="false">1-L35</f>
        <v>0</v>
      </c>
      <c r="N35" s="281"/>
      <c r="O35" s="291" t="n">
        <v>0.4</v>
      </c>
      <c r="P35" s="291" t="n">
        <v>0.35</v>
      </c>
      <c r="Q35" s="291"/>
      <c r="R35" s="291" t="n">
        <v>0.25</v>
      </c>
      <c r="S35" s="291"/>
      <c r="T35" s="291"/>
      <c r="U35" s="291"/>
      <c r="V35" s="291"/>
      <c r="W35" s="291"/>
      <c r="X35" s="291"/>
      <c r="Y35" s="291"/>
      <c r="Z35" s="291"/>
      <c r="AA35" s="283"/>
      <c r="AB35" s="292" t="n">
        <f aca="false">IFERROR(($J35*O35)*$L35, "")</f>
        <v>3087.36</v>
      </c>
      <c r="AC35" s="292" t="n">
        <f aca="false">IFERROR(($J35*P35)*$L35, "")</f>
        <v>2701.44</v>
      </c>
      <c r="AD35" s="292" t="n">
        <f aca="false">IFERROR(($J35*Q35)*$L35, "")</f>
        <v>0</v>
      </c>
      <c r="AE35" s="292" t="n">
        <f aca="false">IFERROR(($J35*R35)*$L35, "")</f>
        <v>1929.6</v>
      </c>
      <c r="AF35" s="292" t="n">
        <f aca="false">IFERROR(($J35*S35)*$L35, "")</f>
        <v>0</v>
      </c>
      <c r="AG35" s="292" t="n">
        <f aca="false">IFERROR(($J35*T35)*$L35, "")</f>
        <v>0</v>
      </c>
      <c r="AH35" s="292" t="n">
        <f aca="false">IFERROR(($J35*U35)*$L35, "")</f>
        <v>0</v>
      </c>
      <c r="AI35" s="292" t="n">
        <f aca="false">IFERROR(($J35*V35)*$L35, "")</f>
        <v>0</v>
      </c>
      <c r="AJ35" s="292" t="n">
        <f aca="false">IFERROR(($J35*W35)*$L35, "")</f>
        <v>0</v>
      </c>
      <c r="AK35" s="292" t="n">
        <f aca="false">IFERROR(($J35*X35)*$L35, "")</f>
        <v>0</v>
      </c>
      <c r="AL35" s="292" t="n">
        <f aca="false">IFERROR(($J35*Y35)*$L35, "")</f>
        <v>0</v>
      </c>
      <c r="AM35" s="293" t="n">
        <f aca="false">IFERROR(($J35*Z35)*$L35, "")</f>
        <v>0</v>
      </c>
      <c r="AN35" s="294" t="n">
        <f aca="false">IFERROR(SUMIF($AB$4:$AM$4, "RDEC", AB35:AM35), "")</f>
        <v>1929.6</v>
      </c>
      <c r="AO35" s="294" t="n">
        <f aca="false">IFERROR(SUMIF($AB$4:$AM$4, "SME", AB35:AM35), "")</f>
        <v>5788.8</v>
      </c>
      <c r="AP35" s="294" t="n">
        <f aca="false">IFERROR(SUMIF($AB$4:$AM$4, "De Minimis", AB35:AM35), "")</f>
        <v>0</v>
      </c>
      <c r="AQ35" s="283"/>
      <c r="AR35" s="292" t="n">
        <f aca="false">IFERROR(($J35*O35)*$M35, "")</f>
        <v>0</v>
      </c>
      <c r="AS35" s="292" t="n">
        <f aca="false">IFERROR(($J35*P35)*$M35, "")</f>
        <v>0</v>
      </c>
      <c r="AT35" s="292" t="n">
        <f aca="false">IFERROR(($J35*Q35)*$M35, "")</f>
        <v>0</v>
      </c>
      <c r="AU35" s="292" t="n">
        <f aca="false">IFERROR(($J35*R35)*$M35, "")</f>
        <v>0</v>
      </c>
      <c r="AV35" s="292" t="n">
        <f aca="false">IFERROR(($J35*S35)*$M35, "")</f>
        <v>0</v>
      </c>
      <c r="AW35" s="292" t="n">
        <f aca="false">IFERROR(($J35*T35)*$M35, "")</f>
        <v>0</v>
      </c>
      <c r="AX35" s="292" t="n">
        <f aca="false">IFERROR(($J35*U35)*$M35, "")</f>
        <v>0</v>
      </c>
      <c r="AY35" s="292" t="n">
        <f aca="false">IFERROR(($J35*V35)*$M35, "")</f>
        <v>0</v>
      </c>
      <c r="AZ35" s="292" t="n">
        <f aca="false">IFERROR(($J35*W35)*$M35, "")</f>
        <v>0</v>
      </c>
      <c r="BA35" s="292" t="n">
        <f aca="false">IFERROR(($J35*X35)*$M35, "")</f>
        <v>0</v>
      </c>
      <c r="BB35" s="292" t="n">
        <f aca="false">IFERROR(($J35*Y35)*$M35, "")</f>
        <v>0</v>
      </c>
      <c r="BC35" s="293" t="n">
        <f aca="false">IFERROR(($J35*Z35)*$M35, "")</f>
        <v>0</v>
      </c>
      <c r="BD35" s="294" t="n">
        <f aca="false">IFERROR(SUMIF($AB$4:$AM$4, "RDEC", AR35:BC35), "")</f>
        <v>0</v>
      </c>
      <c r="BE35" s="294" t="n">
        <f aca="false">IFERROR(SUMIF($AB$4:$AM$4, "SME", AR35:BC35), "")</f>
        <v>0</v>
      </c>
      <c r="BF35" s="294" t="n">
        <f aca="false">IFERROR(SUMIF($AB$4:$AM$4, "De Minimis", AR35:BC35), "")</f>
        <v>0</v>
      </c>
      <c r="BG35" s="287"/>
      <c r="BH35" s="295" t="str">
        <f aca="false">IF((SUM(O35:Z35)&gt;1),"ERROR","")</f>
        <v/>
      </c>
      <c r="BI35" s="287"/>
      <c r="BJ35" s="18" t="str">
        <f aca="false">IF(C21&gt;0, C21, "")</f>
        <v/>
      </c>
      <c r="BL35" s="200"/>
      <c r="BM35" s="200"/>
      <c r="BN35" s="200"/>
    </row>
    <row r="36" customFormat="false" ht="15" hidden="false" customHeight="true" outlineLevel="0" collapsed="false">
      <c r="B36" s="296"/>
      <c r="D36" s="297" t="s">
        <v>82</v>
      </c>
      <c r="E36" s="298" t="n">
        <f aca="false">SUM(E24:E35)</f>
        <v>78213.41</v>
      </c>
      <c r="F36" s="298" t="n">
        <f aca="false">SUM(F24:F35)</f>
        <v>21117.62</v>
      </c>
      <c r="G36" s="298" t="n">
        <f aca="false">SUM(G24:G35)</f>
        <v>5529.09</v>
      </c>
      <c r="H36" s="298" t="n">
        <f aca="false">SUM(H24:H35)</f>
        <v>9537.65</v>
      </c>
      <c r="I36" s="298" t="n">
        <f aca="false">SUM(I24:I35)</f>
        <v>3910.68</v>
      </c>
      <c r="J36" s="299" t="n">
        <f aca="false">SUM(J24:J35)</f>
        <v>91661.74</v>
      </c>
      <c r="K36" s="300"/>
      <c r="L36" s="301" t="n">
        <f aca="false">AVERAGE(L24:L35)</f>
        <v>1</v>
      </c>
      <c r="M36" s="301" t="n">
        <f aca="false">AVERAGE(M24:M35)</f>
        <v>0</v>
      </c>
      <c r="N36" s="302"/>
      <c r="O36" s="290" t="n">
        <f aca="false">IF(SUM(O24:O35)&gt;0,((AB36+AR36)/J36),0)</f>
        <v>0.4</v>
      </c>
      <c r="P36" s="290" t="n">
        <f aca="false">IF(SUM(P24:P35)&gt;0,((AC36+AS36)/J36),0)</f>
        <v>0.35</v>
      </c>
      <c r="Q36" s="290" t="n">
        <f aca="false">IF(SUM(Q24:Q35)&gt;0,((AD36+AT36)/J36),0)</f>
        <v>0</v>
      </c>
      <c r="R36" s="290" t="n">
        <f aca="false">IF(SUM(R24:R35)&gt;0,((AE36+AU36)/J36),0)</f>
        <v>0.25</v>
      </c>
      <c r="S36" s="290" t="n">
        <f aca="false">IF(SUM(S24:S35)&gt;0,((AF36+AV36)/J36),0)</f>
        <v>0</v>
      </c>
      <c r="T36" s="290" t="n">
        <f aca="false">IF(SUM(T24:T35)&gt;0,((AG36+AW36)/J36),0)</f>
        <v>0</v>
      </c>
      <c r="U36" s="290" t="n">
        <f aca="false">IF(SUM(U24:U35)&gt;0,((AH36+AX36)/J36),0)</f>
        <v>0</v>
      </c>
      <c r="V36" s="290" t="n">
        <f aca="false">IF(SUM(V24:V35)&gt;0,((AI36+AY36)/J36),0)</f>
        <v>0</v>
      </c>
      <c r="W36" s="290" t="n">
        <f aca="false">IF(SUM(W24:W35)&gt;0,((AJ36+AZ36)/J36),0)</f>
        <v>0</v>
      </c>
      <c r="X36" s="290" t="n">
        <f aca="false">IF(SUM(X24:X35)&gt;0,((AK36+BA36)/J36),0)</f>
        <v>0</v>
      </c>
      <c r="Y36" s="290" t="n">
        <f aca="false">IF(SUM(Y24:Y35)&gt;0,((AL36+BB36)/J36),0)</f>
        <v>0</v>
      </c>
      <c r="Z36" s="290" t="n">
        <f aca="false">IF(SUM(Z24:Z35)&gt;0,((AM36+BC36)/J36),0)</f>
        <v>0</v>
      </c>
      <c r="AA36" s="303"/>
      <c r="AB36" s="292" t="n">
        <f aca="false">SUM(AB24:AB35)</f>
        <v>36664.696</v>
      </c>
      <c r="AC36" s="304" t="n">
        <f aca="false">SUM(AC24:AC35)</f>
        <v>32081.609</v>
      </c>
      <c r="AD36" s="304" t="n">
        <f aca="false">SUM(AD24:AD35)</f>
        <v>0</v>
      </c>
      <c r="AE36" s="304" t="n">
        <f aca="false">SUM(AE24:AE35)</f>
        <v>22915.435</v>
      </c>
      <c r="AF36" s="304" t="n">
        <f aca="false">SUM(AF24:AF35)</f>
        <v>0</v>
      </c>
      <c r="AG36" s="304" t="n">
        <f aca="false">SUM(AG24:AG35)</f>
        <v>0</v>
      </c>
      <c r="AH36" s="304" t="n">
        <f aca="false">SUM(AH24:AH35)</f>
        <v>0</v>
      </c>
      <c r="AI36" s="304" t="n">
        <f aca="false">SUM(AI24:AI35)</f>
        <v>0</v>
      </c>
      <c r="AJ36" s="304" t="n">
        <f aca="false">SUM(AJ24:AJ35)</f>
        <v>0</v>
      </c>
      <c r="AK36" s="304" t="n">
        <f aca="false">SUM(AK24:AK35)</f>
        <v>0</v>
      </c>
      <c r="AL36" s="304" t="n">
        <f aca="false">SUM(AL24:AL35)</f>
        <v>0</v>
      </c>
      <c r="AM36" s="304" t="n">
        <f aca="false">SUM(AM24:AM35)</f>
        <v>0</v>
      </c>
      <c r="AN36" s="305" t="n">
        <f aca="false">SUM(AN24:AN35)</f>
        <v>22915.435</v>
      </c>
      <c r="AO36" s="305" t="n">
        <f aca="false">SUM(AO24:AO35)</f>
        <v>68746.305</v>
      </c>
      <c r="AP36" s="305" t="n">
        <f aca="false">SUM(AP24:AP35)</f>
        <v>0</v>
      </c>
      <c r="AQ36" s="303"/>
      <c r="AR36" s="292" t="n">
        <f aca="false">SUM(AR24:AR35)</f>
        <v>0</v>
      </c>
      <c r="AS36" s="304" t="n">
        <f aca="false">SUM(AS24:AS35)</f>
        <v>0</v>
      </c>
      <c r="AT36" s="304" t="n">
        <f aca="false">SUM(AT24:AT35)</f>
        <v>0</v>
      </c>
      <c r="AU36" s="304" t="n">
        <f aca="false">SUM(AU24:AU35)</f>
        <v>0</v>
      </c>
      <c r="AV36" s="304" t="n">
        <f aca="false">SUM(AV24:AV35)</f>
        <v>0</v>
      </c>
      <c r="AW36" s="304" t="n">
        <f aca="false">SUM(AW24:AW35)</f>
        <v>0</v>
      </c>
      <c r="AX36" s="304" t="n">
        <f aca="false">SUM(AX24:AX35)</f>
        <v>0</v>
      </c>
      <c r="AY36" s="304" t="n">
        <f aca="false">SUM(AY24:AY35)</f>
        <v>0</v>
      </c>
      <c r="AZ36" s="304" t="n">
        <f aca="false">SUM(AZ24:AZ35)</f>
        <v>0</v>
      </c>
      <c r="BA36" s="304" t="n">
        <f aca="false">SUM(BA24:BA35)</f>
        <v>0</v>
      </c>
      <c r="BB36" s="304" t="n">
        <f aca="false">SUM(BB24:BB35)</f>
        <v>0</v>
      </c>
      <c r="BC36" s="304" t="n">
        <f aca="false">SUM(BC24:BC35)</f>
        <v>0</v>
      </c>
      <c r="BD36" s="305" t="n">
        <f aca="false">SUM(BD24:BD35)</f>
        <v>0</v>
      </c>
      <c r="BE36" s="305" t="n">
        <f aca="false">SUM(BE24:BE35)</f>
        <v>0</v>
      </c>
      <c r="BF36" s="305" t="n">
        <f aca="false">SUM(BF24:BF35)</f>
        <v>0</v>
      </c>
      <c r="BG36" s="303"/>
      <c r="BH36" s="306"/>
      <c r="BI36" s="303"/>
      <c r="BJ36" s="307" t="str">
        <f aca="false">IF(C22&gt;0, C22, "")</f>
        <v>Senior ML Engineer</v>
      </c>
      <c r="BK36" s="18" t="s">
        <v>234</v>
      </c>
      <c r="BL36" s="200" t="n">
        <f aca="false">IF($BK36="Y",J36,0)</f>
        <v>0</v>
      </c>
      <c r="BM36" s="200" t="n">
        <f aca="false">IF(BK36="Y", AN36,0)</f>
        <v>0</v>
      </c>
      <c r="BN36" s="200" t="n">
        <f aca="false">IF((BK36="Y"),AO36,0)</f>
        <v>0</v>
      </c>
    </row>
    <row r="37" customFormat="false" ht="15" hidden="false" customHeight="true" outlineLevel="0" collapsed="false">
      <c r="B37" s="296"/>
      <c r="D37" s="297"/>
      <c r="E37" s="277"/>
      <c r="F37" s="277"/>
      <c r="G37" s="277"/>
      <c r="H37" s="277"/>
      <c r="I37" s="277"/>
      <c r="J37" s="300"/>
      <c r="K37" s="300"/>
      <c r="L37" s="302"/>
      <c r="M37" s="302"/>
      <c r="N37" s="302"/>
      <c r="O37" s="308"/>
      <c r="P37" s="308"/>
      <c r="Q37" s="308"/>
      <c r="R37" s="308"/>
      <c r="S37" s="308"/>
      <c r="T37" s="308"/>
      <c r="U37" s="308"/>
      <c r="V37" s="308"/>
      <c r="W37" s="308"/>
      <c r="X37" s="308"/>
      <c r="Y37" s="308"/>
      <c r="Z37" s="308"/>
      <c r="AA37" s="303"/>
      <c r="AB37" s="303"/>
      <c r="AC37" s="303"/>
      <c r="AD37" s="303"/>
      <c r="AE37" s="303"/>
      <c r="AF37" s="303"/>
      <c r="AG37" s="303"/>
      <c r="AH37" s="303"/>
      <c r="AI37" s="303"/>
      <c r="AJ37" s="303"/>
      <c r="AK37" s="303"/>
      <c r="AL37" s="303"/>
      <c r="AM37" s="303"/>
      <c r="AN37" s="303"/>
      <c r="AO37" s="303"/>
      <c r="AP37" s="303"/>
      <c r="AQ37" s="303"/>
      <c r="AR37" s="303"/>
      <c r="AS37" s="303"/>
      <c r="AT37" s="303"/>
      <c r="AU37" s="303"/>
      <c r="AV37" s="303"/>
      <c r="AW37" s="303"/>
      <c r="AX37" s="303"/>
      <c r="AY37" s="303"/>
      <c r="AZ37" s="303"/>
      <c r="BA37" s="303"/>
      <c r="BB37" s="303"/>
      <c r="BC37" s="303"/>
      <c r="BD37" s="303"/>
      <c r="BE37" s="303"/>
      <c r="BF37" s="303"/>
      <c r="BG37" s="303"/>
      <c r="BH37" s="303"/>
      <c r="BI37" s="303"/>
      <c r="BJ37" s="307" t="str">
        <f aca="false">IF(C24&gt;0, C24, "")</f>
        <v/>
      </c>
      <c r="BL37" s="200"/>
      <c r="BM37" s="200"/>
      <c r="BN37" s="200"/>
    </row>
    <row r="38" customFormat="false" ht="15" hidden="false" customHeight="true" outlineLevel="0" collapsed="false">
      <c r="A38" s="198" t="n">
        <v>3</v>
      </c>
      <c r="B38" s="266" t="s">
        <v>237</v>
      </c>
      <c r="C38" s="266" t="s">
        <v>238</v>
      </c>
      <c r="D38" s="267"/>
      <c r="E38" s="242"/>
      <c r="F38" s="242"/>
      <c r="G38" s="242"/>
      <c r="H38" s="242"/>
      <c r="I38" s="242"/>
      <c r="J38" s="241"/>
      <c r="K38" s="241"/>
      <c r="L38" s="241"/>
      <c r="M38" s="241"/>
      <c r="N38" s="241"/>
      <c r="O38" s="268"/>
      <c r="P38" s="268"/>
      <c r="Q38" s="268"/>
      <c r="R38" s="268"/>
      <c r="S38" s="268"/>
      <c r="T38" s="268"/>
      <c r="U38" s="268"/>
      <c r="V38" s="268"/>
      <c r="W38" s="268"/>
      <c r="X38" s="268"/>
      <c r="Y38" s="268"/>
      <c r="Z38" s="268"/>
      <c r="AA38" s="268"/>
      <c r="AB38" s="268"/>
      <c r="AC38" s="268"/>
      <c r="AD38" s="268"/>
      <c r="AE38" s="268"/>
      <c r="AF38" s="268"/>
      <c r="AG38" s="268"/>
      <c r="AH38" s="268"/>
      <c r="AI38" s="268"/>
      <c r="AJ38" s="268"/>
      <c r="AK38" s="268"/>
      <c r="AL38" s="268"/>
      <c r="AM38" s="268"/>
      <c r="AN38" s="268"/>
      <c r="AO38" s="268"/>
      <c r="AP38" s="268"/>
      <c r="AQ38" s="268"/>
      <c r="AR38" s="268"/>
      <c r="AS38" s="268"/>
      <c r="AT38" s="268"/>
      <c r="AU38" s="268"/>
      <c r="AV38" s="268"/>
      <c r="AW38" s="268"/>
      <c r="AX38" s="268"/>
      <c r="AY38" s="268"/>
      <c r="AZ38" s="268"/>
      <c r="BA38" s="268"/>
      <c r="BB38" s="268"/>
      <c r="BC38" s="268"/>
      <c r="BD38" s="268"/>
      <c r="BE38" s="268"/>
      <c r="BF38" s="268"/>
      <c r="BG38" s="268"/>
      <c r="BH38" s="268"/>
      <c r="BI38" s="268"/>
      <c r="BJ38" s="18" t="str">
        <f aca="false">IF(C25&gt;0, C25, "")</f>
        <v/>
      </c>
      <c r="BL38" s="200"/>
      <c r="BM38" s="200"/>
      <c r="BN38" s="200"/>
    </row>
    <row r="39" customFormat="false" ht="7.5" hidden="false" customHeight="true" outlineLevel="0" collapsed="false">
      <c r="A39" s="198"/>
      <c r="B39" s="266"/>
      <c r="C39" s="266"/>
      <c r="D39" s="267"/>
      <c r="E39" s="242"/>
      <c r="F39" s="242"/>
      <c r="G39" s="242"/>
      <c r="H39" s="242"/>
      <c r="I39" s="242"/>
      <c r="J39" s="241"/>
      <c r="K39" s="241"/>
      <c r="L39" s="269"/>
      <c r="M39" s="269"/>
      <c r="N39" s="270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8"/>
      <c r="AB39" s="271"/>
      <c r="AC39" s="271"/>
      <c r="AD39" s="271"/>
      <c r="AE39" s="271"/>
      <c r="AF39" s="271"/>
      <c r="AG39" s="271"/>
      <c r="AH39" s="271"/>
      <c r="AI39" s="271"/>
      <c r="AJ39" s="271"/>
      <c r="AK39" s="271"/>
      <c r="AL39" s="271"/>
      <c r="AM39" s="272"/>
      <c r="AN39" s="273"/>
      <c r="AO39" s="273"/>
      <c r="AP39" s="273"/>
      <c r="AQ39" s="268"/>
      <c r="AR39" s="271"/>
      <c r="AS39" s="271"/>
      <c r="AT39" s="271"/>
      <c r="AU39" s="271"/>
      <c r="AV39" s="271"/>
      <c r="AW39" s="271"/>
      <c r="AX39" s="271"/>
      <c r="AY39" s="271"/>
      <c r="AZ39" s="271"/>
      <c r="BA39" s="271"/>
      <c r="BB39" s="271"/>
      <c r="BC39" s="272"/>
      <c r="BD39" s="273"/>
      <c r="BE39" s="273"/>
      <c r="BF39" s="273"/>
      <c r="BG39" s="268"/>
      <c r="BH39" s="274"/>
      <c r="BI39" s="268"/>
      <c r="BL39" s="200"/>
      <c r="BM39" s="200"/>
      <c r="BN39" s="200"/>
    </row>
    <row r="40" customFormat="false" ht="15" hidden="false" customHeight="true" outlineLevel="0" collapsed="false">
      <c r="B40" s="275"/>
      <c r="D40" s="276" t="n">
        <f aca="false">D24</f>
        <v>45292</v>
      </c>
      <c r="E40" s="277" t="n">
        <v>5072.76</v>
      </c>
      <c r="F40" s="277" t="n">
        <v>1369.65</v>
      </c>
      <c r="G40" s="277" t="n">
        <v>345.15</v>
      </c>
      <c r="H40" s="277" t="n">
        <v>595.39</v>
      </c>
      <c r="I40" s="277" t="n">
        <v>253.64</v>
      </c>
      <c r="J40" s="278" t="n">
        <f aca="false">E40+H40+I40</f>
        <v>5921.79</v>
      </c>
      <c r="K40" s="204"/>
      <c r="L40" s="279" t="n">
        <v>1</v>
      </c>
      <c r="M40" s="280" t="n">
        <f aca="false">1-L40</f>
        <v>0</v>
      </c>
      <c r="N40" s="281"/>
      <c r="O40" s="282" t="n">
        <v>0.5</v>
      </c>
      <c r="P40" s="282" t="n">
        <v>0.3</v>
      </c>
      <c r="Q40" s="282" t="n">
        <v>0.2</v>
      </c>
      <c r="R40" s="282"/>
      <c r="S40" s="282"/>
      <c r="T40" s="282"/>
      <c r="U40" s="282"/>
      <c r="V40" s="282"/>
      <c r="W40" s="282"/>
      <c r="X40" s="282"/>
      <c r="Y40" s="282"/>
      <c r="Z40" s="282"/>
      <c r="AA40" s="283"/>
      <c r="AB40" s="284" t="n">
        <f aca="false">IFERROR(($J40*O40)*$L40, "")</f>
        <v>2960.895</v>
      </c>
      <c r="AC40" s="284" t="n">
        <f aca="false">IFERROR(($J40*P40)*$L40, "")</f>
        <v>1776.537</v>
      </c>
      <c r="AD40" s="284" t="n">
        <f aca="false">IFERROR(($J40*Q40)*$L40, "")</f>
        <v>1184.358</v>
      </c>
      <c r="AE40" s="284" t="n">
        <f aca="false">IFERROR(($J40*R40)*$L40, "")</f>
        <v>0</v>
      </c>
      <c r="AF40" s="284" t="n">
        <f aca="false">IFERROR(($J40*S40)*$L40, "")</f>
        <v>0</v>
      </c>
      <c r="AG40" s="284" t="n">
        <f aca="false">IFERROR(($J40*T40)*$L40, "")</f>
        <v>0</v>
      </c>
      <c r="AH40" s="284" t="n">
        <f aca="false">IFERROR(($J40*U40)*$L40, "")</f>
        <v>0</v>
      </c>
      <c r="AI40" s="284" t="n">
        <f aca="false">IFERROR(($J40*V40)*$L40, "")</f>
        <v>0</v>
      </c>
      <c r="AJ40" s="284" t="n">
        <f aca="false">IFERROR(($J40*W40)*$L40, "")</f>
        <v>0</v>
      </c>
      <c r="AK40" s="284" t="n">
        <f aca="false">IFERROR(($J40*X40)*$L40, "")</f>
        <v>0</v>
      </c>
      <c r="AL40" s="284" t="n">
        <f aca="false">IFERROR(($J40*Y40)*$L40, "")</f>
        <v>0</v>
      </c>
      <c r="AM40" s="285" t="n">
        <f aca="false">IFERROR(($J40*Z40)*$L40, "")</f>
        <v>0</v>
      </c>
      <c r="AN40" s="286" t="n">
        <f aca="false">IFERROR(SUMIF($AB$4:$AM$4, "RDEC", AB40:AM40), "")</f>
        <v>0</v>
      </c>
      <c r="AO40" s="286" t="n">
        <f aca="false">IFERROR(SUMIF($AB$4:$AM$4, "SME", AB40:AM40), "")</f>
        <v>5921.79</v>
      </c>
      <c r="AP40" s="286" t="n">
        <f aca="false">IFERROR(SUMIF($AB$4:$AM$4, "De Minimis", AB40:AM40), "")</f>
        <v>0</v>
      </c>
      <c r="AQ40" s="283"/>
      <c r="AR40" s="284" t="n">
        <f aca="false">IFERROR(($J40*O40)*$M40, "")</f>
        <v>0</v>
      </c>
      <c r="AS40" s="284" t="n">
        <f aca="false">IFERROR(($J40*P40)*$M40, "")</f>
        <v>0</v>
      </c>
      <c r="AT40" s="284" t="n">
        <f aca="false">IFERROR(($J40*Q40)*$M40, "")</f>
        <v>0</v>
      </c>
      <c r="AU40" s="284" t="n">
        <f aca="false">IFERROR(($J40*R40)*$M40, "")</f>
        <v>0</v>
      </c>
      <c r="AV40" s="284" t="n">
        <f aca="false">IFERROR(($J40*S40)*$M40, "")</f>
        <v>0</v>
      </c>
      <c r="AW40" s="284" t="n">
        <f aca="false">IFERROR(($J40*T40)*$M40, "")</f>
        <v>0</v>
      </c>
      <c r="AX40" s="284" t="n">
        <f aca="false">IFERROR(($J40*U40)*$M40, "")</f>
        <v>0</v>
      </c>
      <c r="AY40" s="284" t="n">
        <f aca="false">IFERROR(($J40*V40)*$M40, "")</f>
        <v>0</v>
      </c>
      <c r="AZ40" s="284" t="n">
        <f aca="false">IFERROR(($J40*W40)*$M40, "")</f>
        <v>0</v>
      </c>
      <c r="BA40" s="284" t="n">
        <f aca="false">IFERROR(($J40*X40)*$M40, "")</f>
        <v>0</v>
      </c>
      <c r="BB40" s="284" t="n">
        <f aca="false">IFERROR(($J40*Y40)*$M40, "")</f>
        <v>0</v>
      </c>
      <c r="BC40" s="285" t="n">
        <f aca="false">IFERROR(($J40*Z40)*$M40, "")</f>
        <v>0</v>
      </c>
      <c r="BD40" s="286" t="n">
        <f aca="false">IFERROR(SUMIF($AB$4:$AM$4, "RDEC", AR40:BC40), "")</f>
        <v>0</v>
      </c>
      <c r="BE40" s="286" t="n">
        <f aca="false">IFERROR(SUMIF($AB$4:$AM$4, "SME", AR40:BC40), "")</f>
        <v>0</v>
      </c>
      <c r="BF40" s="286" t="n">
        <f aca="false">IFERROR(SUMIF($AB$4:$AM$4, "De Minimis", AR40:BC40), "")</f>
        <v>0</v>
      </c>
      <c r="BG40" s="287"/>
      <c r="BH40" s="288" t="str">
        <f aca="false">IF((SUM(O40:Z40)&gt;1),"ERROR","")</f>
        <v/>
      </c>
      <c r="BI40" s="287"/>
      <c r="BJ40" s="18" t="str">
        <f aca="false">IF(C26&gt;0, C26, "")</f>
        <v/>
      </c>
      <c r="BL40" s="200"/>
      <c r="BM40" s="200"/>
      <c r="BN40" s="200"/>
    </row>
    <row r="41" customFormat="false" ht="15" hidden="false" customHeight="true" outlineLevel="0" collapsed="false">
      <c r="B41" s="275"/>
      <c r="D41" s="276" t="n">
        <f aca="false">D25</f>
        <v>45323</v>
      </c>
      <c r="E41" s="277" t="n">
        <v>5077.2</v>
      </c>
      <c r="F41" s="277" t="n">
        <v>1370.84</v>
      </c>
      <c r="G41" s="277" t="n">
        <v>345.51</v>
      </c>
      <c r="H41" s="277" t="n">
        <v>596</v>
      </c>
      <c r="I41" s="277" t="n">
        <v>253.86</v>
      </c>
      <c r="J41" s="278" t="n">
        <f aca="false">E41+H41+I41</f>
        <v>5927.06</v>
      </c>
      <c r="K41" s="204"/>
      <c r="L41" s="279" t="n">
        <v>1</v>
      </c>
      <c r="M41" s="280" t="n">
        <f aca="false">1-L41</f>
        <v>0</v>
      </c>
      <c r="N41" s="281"/>
      <c r="O41" s="282" t="n">
        <v>0.5</v>
      </c>
      <c r="P41" s="282" t="n">
        <v>0.3</v>
      </c>
      <c r="Q41" s="282" t="n">
        <v>0.2</v>
      </c>
      <c r="R41" s="282"/>
      <c r="S41" s="282"/>
      <c r="T41" s="282"/>
      <c r="U41" s="282"/>
      <c r="V41" s="282"/>
      <c r="W41" s="282"/>
      <c r="X41" s="282"/>
      <c r="Y41" s="282"/>
      <c r="Z41" s="282"/>
      <c r="AA41" s="283"/>
      <c r="AB41" s="284" t="n">
        <f aca="false">IFERROR(($J41*O41)*$L41, "")</f>
        <v>2963.53</v>
      </c>
      <c r="AC41" s="284" t="n">
        <f aca="false">IFERROR(($J41*P41)*$L41, "")</f>
        <v>1778.118</v>
      </c>
      <c r="AD41" s="284" t="n">
        <f aca="false">IFERROR(($J41*Q41)*$L41, "")</f>
        <v>1185.412</v>
      </c>
      <c r="AE41" s="284" t="n">
        <f aca="false">IFERROR(($J41*R41)*$L41, "")</f>
        <v>0</v>
      </c>
      <c r="AF41" s="284" t="n">
        <f aca="false">IFERROR(($J41*S41)*$L41, "")</f>
        <v>0</v>
      </c>
      <c r="AG41" s="284" t="n">
        <f aca="false">IFERROR(($J41*T41)*$L41, "")</f>
        <v>0</v>
      </c>
      <c r="AH41" s="284" t="n">
        <f aca="false">IFERROR(($J41*U41)*$L41, "")</f>
        <v>0</v>
      </c>
      <c r="AI41" s="284" t="n">
        <f aca="false">IFERROR(($J41*V41)*$L41, "")</f>
        <v>0</v>
      </c>
      <c r="AJ41" s="284" t="n">
        <f aca="false">IFERROR(($J41*W41)*$L41, "")</f>
        <v>0</v>
      </c>
      <c r="AK41" s="284" t="n">
        <f aca="false">IFERROR(($J41*X41)*$L41, "")</f>
        <v>0</v>
      </c>
      <c r="AL41" s="284" t="n">
        <f aca="false">IFERROR(($J41*Y41)*$L41, "")</f>
        <v>0</v>
      </c>
      <c r="AM41" s="285" t="n">
        <f aca="false">IFERROR(($J41*Z41)*$L41, "")</f>
        <v>0</v>
      </c>
      <c r="AN41" s="286" t="n">
        <f aca="false">IFERROR(SUMIF($AB$4:$AM$4, "RDEC", AB41:AM41), "")</f>
        <v>0</v>
      </c>
      <c r="AO41" s="286" t="n">
        <f aca="false">IFERROR(SUMIF($AB$4:$AM$4, "SME", AB41:AM41), "")</f>
        <v>5927.06</v>
      </c>
      <c r="AP41" s="286" t="n">
        <f aca="false">IFERROR(SUMIF($AB$4:$AM$4, "De Minimis", AB41:AM41), "")</f>
        <v>0</v>
      </c>
      <c r="AQ41" s="283"/>
      <c r="AR41" s="284" t="n">
        <f aca="false">IFERROR(($J41*O41)*$M41, "")</f>
        <v>0</v>
      </c>
      <c r="AS41" s="284" t="n">
        <f aca="false">IFERROR(($J41*P41)*$M41, "")</f>
        <v>0</v>
      </c>
      <c r="AT41" s="284" t="n">
        <f aca="false">IFERROR(($J41*Q41)*$M41, "")</f>
        <v>0</v>
      </c>
      <c r="AU41" s="284" t="n">
        <f aca="false">IFERROR(($J41*R41)*$M41, "")</f>
        <v>0</v>
      </c>
      <c r="AV41" s="284" t="n">
        <f aca="false">IFERROR(($J41*S41)*$M41, "")</f>
        <v>0</v>
      </c>
      <c r="AW41" s="284" t="n">
        <f aca="false">IFERROR(($J41*T41)*$M41, "")</f>
        <v>0</v>
      </c>
      <c r="AX41" s="284" t="n">
        <f aca="false">IFERROR(($J41*U41)*$M41, "")</f>
        <v>0</v>
      </c>
      <c r="AY41" s="284" t="n">
        <f aca="false">IFERROR(($J41*V41)*$M41, "")</f>
        <v>0</v>
      </c>
      <c r="AZ41" s="284" t="n">
        <f aca="false">IFERROR(($J41*W41)*$M41, "")</f>
        <v>0</v>
      </c>
      <c r="BA41" s="284" t="n">
        <f aca="false">IFERROR(($J41*X41)*$M41, "")</f>
        <v>0</v>
      </c>
      <c r="BB41" s="284" t="n">
        <f aca="false">IFERROR(($J41*Y41)*$M41, "")</f>
        <v>0</v>
      </c>
      <c r="BC41" s="285" t="n">
        <f aca="false">IFERROR(($J41*Z41)*$M41, "")</f>
        <v>0</v>
      </c>
      <c r="BD41" s="286" t="n">
        <f aca="false">IFERROR(SUMIF($AB$4:$AM$4, "RDEC", AR41:BC41), "")</f>
        <v>0</v>
      </c>
      <c r="BE41" s="286" t="n">
        <f aca="false">IFERROR(SUMIF($AB$4:$AM$4, "SME", AR41:BC41), "")</f>
        <v>0</v>
      </c>
      <c r="BF41" s="286" t="n">
        <f aca="false">IFERROR(SUMIF($AB$4:$AM$4, "De Minimis", AR41:BC41), "")</f>
        <v>0</v>
      </c>
      <c r="BG41" s="287"/>
      <c r="BH41" s="288" t="str">
        <f aca="false">IF((SUM(O41:Z41)&gt;1),"ERROR","")</f>
        <v/>
      </c>
      <c r="BI41" s="287"/>
      <c r="BJ41" s="18" t="str">
        <f aca="false">IF(C27&gt;0, C27, "")</f>
        <v/>
      </c>
      <c r="BL41" s="200"/>
      <c r="BM41" s="200"/>
      <c r="BN41" s="200"/>
    </row>
    <row r="42" customFormat="false" ht="15" hidden="false" customHeight="true" outlineLevel="0" collapsed="false">
      <c r="B42" s="275"/>
      <c r="D42" s="276" t="n">
        <f aca="false">D26</f>
        <v>45352</v>
      </c>
      <c r="E42" s="277" t="n">
        <v>5221.21</v>
      </c>
      <c r="F42" s="277" t="n">
        <v>1409.73</v>
      </c>
      <c r="G42" s="277" t="n">
        <v>357.03</v>
      </c>
      <c r="H42" s="277" t="n">
        <v>615.88</v>
      </c>
      <c r="I42" s="277" t="n">
        <v>261.06</v>
      </c>
      <c r="J42" s="278" t="n">
        <f aca="false">E42+H42+I42</f>
        <v>6098.15</v>
      </c>
      <c r="K42" s="204"/>
      <c r="L42" s="279" t="n">
        <v>1</v>
      </c>
      <c r="M42" s="280" t="n">
        <f aca="false">1-L42</f>
        <v>0</v>
      </c>
      <c r="N42" s="281"/>
      <c r="O42" s="282" t="n">
        <v>0.5</v>
      </c>
      <c r="P42" s="282" t="n">
        <v>0.3</v>
      </c>
      <c r="Q42" s="282" t="n">
        <v>0.2</v>
      </c>
      <c r="R42" s="282"/>
      <c r="S42" s="282"/>
      <c r="T42" s="282"/>
      <c r="U42" s="282"/>
      <c r="V42" s="282"/>
      <c r="W42" s="282"/>
      <c r="X42" s="282"/>
      <c r="Y42" s="282"/>
      <c r="Z42" s="282"/>
      <c r="AA42" s="283"/>
      <c r="AB42" s="284" t="n">
        <f aca="false">IFERROR(($J42*O42)*$L42, "")</f>
        <v>3049.075</v>
      </c>
      <c r="AC42" s="284" t="n">
        <f aca="false">IFERROR(($J42*P42)*$L42, "")</f>
        <v>1829.445</v>
      </c>
      <c r="AD42" s="284" t="n">
        <f aca="false">IFERROR(($J42*Q42)*$L42, "")</f>
        <v>1219.63</v>
      </c>
      <c r="AE42" s="284" t="n">
        <f aca="false">IFERROR(($J42*R42)*$L42, "")</f>
        <v>0</v>
      </c>
      <c r="AF42" s="284" t="n">
        <f aca="false">IFERROR(($J42*S42)*$L42, "")</f>
        <v>0</v>
      </c>
      <c r="AG42" s="284" t="n">
        <f aca="false">IFERROR(($J42*T42)*$L42, "")</f>
        <v>0</v>
      </c>
      <c r="AH42" s="284" t="n">
        <f aca="false">IFERROR(($J42*U42)*$L42, "")</f>
        <v>0</v>
      </c>
      <c r="AI42" s="284" t="n">
        <f aca="false">IFERROR(($J42*V42)*$L42, "")</f>
        <v>0</v>
      </c>
      <c r="AJ42" s="284" t="n">
        <f aca="false">IFERROR(($J42*W42)*$L42, "")</f>
        <v>0</v>
      </c>
      <c r="AK42" s="284" t="n">
        <f aca="false">IFERROR(($J42*X42)*$L42, "")</f>
        <v>0</v>
      </c>
      <c r="AL42" s="284" t="n">
        <f aca="false">IFERROR(($J42*Y42)*$L42, "")</f>
        <v>0</v>
      </c>
      <c r="AM42" s="285" t="n">
        <f aca="false">IFERROR(($J42*Z42)*$L42, "")</f>
        <v>0</v>
      </c>
      <c r="AN42" s="286" t="n">
        <f aca="false">IFERROR(SUMIF($AB$4:$AM$4, "RDEC", AB42:AM42), "")</f>
        <v>0</v>
      </c>
      <c r="AO42" s="286" t="n">
        <f aca="false">IFERROR(SUMIF($AB$4:$AM$4, "SME", AB42:AM42), "")</f>
        <v>6098.15</v>
      </c>
      <c r="AP42" s="286" t="n">
        <f aca="false">IFERROR(SUMIF($AB$4:$AM$4, "De Minimis", AB42:AM42), "")</f>
        <v>0</v>
      </c>
      <c r="AQ42" s="283"/>
      <c r="AR42" s="284" t="n">
        <f aca="false">IFERROR(($J42*O42)*$M42, "")</f>
        <v>0</v>
      </c>
      <c r="AS42" s="284" t="n">
        <f aca="false">IFERROR(($J42*P42)*$M42, "")</f>
        <v>0</v>
      </c>
      <c r="AT42" s="284" t="n">
        <f aca="false">IFERROR(($J42*Q42)*$M42, "")</f>
        <v>0</v>
      </c>
      <c r="AU42" s="284" t="n">
        <f aca="false">IFERROR(($J42*R42)*$M42, "")</f>
        <v>0</v>
      </c>
      <c r="AV42" s="284" t="n">
        <f aca="false">IFERROR(($J42*S42)*$M42, "")</f>
        <v>0</v>
      </c>
      <c r="AW42" s="284" t="n">
        <f aca="false">IFERROR(($J42*T42)*$M42, "")</f>
        <v>0</v>
      </c>
      <c r="AX42" s="284" t="n">
        <f aca="false">IFERROR(($J42*U42)*$M42, "")</f>
        <v>0</v>
      </c>
      <c r="AY42" s="284" t="n">
        <f aca="false">IFERROR(($J42*V42)*$M42, "")</f>
        <v>0</v>
      </c>
      <c r="AZ42" s="284" t="n">
        <f aca="false">IFERROR(($J42*W42)*$M42, "")</f>
        <v>0</v>
      </c>
      <c r="BA42" s="284" t="n">
        <f aca="false">IFERROR(($J42*X42)*$M42, "")</f>
        <v>0</v>
      </c>
      <c r="BB42" s="284" t="n">
        <f aca="false">IFERROR(($J42*Y42)*$M42, "")</f>
        <v>0</v>
      </c>
      <c r="BC42" s="285" t="n">
        <f aca="false">IFERROR(($J42*Z42)*$M42, "")</f>
        <v>0</v>
      </c>
      <c r="BD42" s="286" t="n">
        <f aca="false">IFERROR(SUMIF($AB$4:$AM$4, "RDEC", AR42:BC42), "")</f>
        <v>0</v>
      </c>
      <c r="BE42" s="286" t="n">
        <f aca="false">IFERROR(SUMIF($AB$4:$AM$4, "SME", AR42:BC42), "")</f>
        <v>0</v>
      </c>
      <c r="BF42" s="286" t="n">
        <f aca="false">IFERROR(SUMIF($AB$4:$AM$4, "De Minimis", AR42:BC42), "")</f>
        <v>0</v>
      </c>
      <c r="BG42" s="287"/>
      <c r="BH42" s="288" t="str">
        <f aca="false">IF((SUM(O42:Z42)&gt;1),"ERROR","")</f>
        <v/>
      </c>
      <c r="BI42" s="287"/>
      <c r="BJ42" s="18" t="str">
        <f aca="false">IF(C28&gt;0, C28, "")</f>
        <v/>
      </c>
      <c r="BL42" s="200"/>
      <c r="BM42" s="200"/>
      <c r="BN42" s="200"/>
    </row>
    <row r="43" customFormat="false" ht="15" hidden="false" customHeight="true" outlineLevel="0" collapsed="false">
      <c r="B43" s="275"/>
      <c r="D43" s="276" t="n">
        <f aca="false">D27</f>
        <v>45383</v>
      </c>
      <c r="E43" s="277" t="n">
        <v>5082.09</v>
      </c>
      <c r="F43" s="277" t="n">
        <v>1372.16</v>
      </c>
      <c r="G43" s="277" t="n">
        <v>345.9</v>
      </c>
      <c r="H43" s="277" t="n">
        <v>596.68</v>
      </c>
      <c r="I43" s="277" t="n">
        <v>254.1</v>
      </c>
      <c r="J43" s="278" t="n">
        <f aca="false">E43+H43+I43</f>
        <v>5932.87</v>
      </c>
      <c r="K43" s="204"/>
      <c r="L43" s="279" t="n">
        <v>1</v>
      </c>
      <c r="M43" s="280" t="n">
        <f aca="false">1-L43</f>
        <v>0</v>
      </c>
      <c r="N43" s="281"/>
      <c r="O43" s="282" t="n">
        <v>0.5</v>
      </c>
      <c r="P43" s="282" t="n">
        <v>0.3</v>
      </c>
      <c r="Q43" s="282" t="n">
        <v>0.2</v>
      </c>
      <c r="R43" s="282"/>
      <c r="S43" s="282"/>
      <c r="T43" s="282"/>
      <c r="U43" s="282"/>
      <c r="V43" s="282"/>
      <c r="W43" s="282"/>
      <c r="X43" s="282"/>
      <c r="Y43" s="282"/>
      <c r="Z43" s="282"/>
      <c r="AA43" s="283"/>
      <c r="AB43" s="284" t="n">
        <f aca="false">IFERROR(($J43*O43)*$L43, "")</f>
        <v>2966.435</v>
      </c>
      <c r="AC43" s="284" t="n">
        <f aca="false">IFERROR(($J43*P43)*$L43, "")</f>
        <v>1779.861</v>
      </c>
      <c r="AD43" s="284" t="n">
        <f aca="false">IFERROR(($J43*Q43)*$L43, "")</f>
        <v>1186.574</v>
      </c>
      <c r="AE43" s="284" t="n">
        <f aca="false">IFERROR(($J43*R43)*$L43, "")</f>
        <v>0</v>
      </c>
      <c r="AF43" s="284" t="n">
        <f aca="false">IFERROR(($J43*S43)*$L43, "")</f>
        <v>0</v>
      </c>
      <c r="AG43" s="284" t="n">
        <f aca="false">IFERROR(($J43*T43)*$L43, "")</f>
        <v>0</v>
      </c>
      <c r="AH43" s="284" t="n">
        <f aca="false">IFERROR(($J43*U43)*$L43, "")</f>
        <v>0</v>
      </c>
      <c r="AI43" s="284" t="n">
        <f aca="false">IFERROR(($J43*V43)*$L43, "")</f>
        <v>0</v>
      </c>
      <c r="AJ43" s="284" t="n">
        <f aca="false">IFERROR(($J43*W43)*$L43, "")</f>
        <v>0</v>
      </c>
      <c r="AK43" s="284" t="n">
        <f aca="false">IFERROR(($J43*X43)*$L43, "")</f>
        <v>0</v>
      </c>
      <c r="AL43" s="284" t="n">
        <f aca="false">IFERROR(($J43*Y43)*$L43, "")</f>
        <v>0</v>
      </c>
      <c r="AM43" s="285" t="n">
        <f aca="false">IFERROR(($J43*Z43)*$L43, "")</f>
        <v>0</v>
      </c>
      <c r="AN43" s="286" t="n">
        <f aca="false">IFERROR(SUMIF($AB$4:$AM$4, "RDEC", AB43:AM43), "")</f>
        <v>0</v>
      </c>
      <c r="AO43" s="286" t="n">
        <f aca="false">IFERROR(SUMIF($AB$4:$AM$4, "SME", AB43:AM43), "")</f>
        <v>5932.87</v>
      </c>
      <c r="AP43" s="286" t="n">
        <f aca="false">IFERROR(SUMIF($AB$4:$AM$4, "De Minimis", AB43:AM43), "")</f>
        <v>0</v>
      </c>
      <c r="AQ43" s="283"/>
      <c r="AR43" s="284" t="n">
        <f aca="false">IFERROR(($J43*O43)*$M43, "")</f>
        <v>0</v>
      </c>
      <c r="AS43" s="284" t="n">
        <f aca="false">IFERROR(($J43*P43)*$M43, "")</f>
        <v>0</v>
      </c>
      <c r="AT43" s="284" t="n">
        <f aca="false">IFERROR(($J43*Q43)*$M43, "")</f>
        <v>0</v>
      </c>
      <c r="AU43" s="284" t="n">
        <f aca="false">IFERROR(($J43*R43)*$M43, "")</f>
        <v>0</v>
      </c>
      <c r="AV43" s="284" t="n">
        <f aca="false">IFERROR(($J43*S43)*$M43, "")</f>
        <v>0</v>
      </c>
      <c r="AW43" s="284" t="n">
        <f aca="false">IFERROR(($J43*T43)*$M43, "")</f>
        <v>0</v>
      </c>
      <c r="AX43" s="284" t="n">
        <f aca="false">IFERROR(($J43*U43)*$M43, "")</f>
        <v>0</v>
      </c>
      <c r="AY43" s="284" t="n">
        <f aca="false">IFERROR(($J43*V43)*$M43, "")</f>
        <v>0</v>
      </c>
      <c r="AZ43" s="284" t="n">
        <f aca="false">IFERROR(($J43*W43)*$M43, "")</f>
        <v>0</v>
      </c>
      <c r="BA43" s="284" t="n">
        <f aca="false">IFERROR(($J43*X43)*$M43, "")</f>
        <v>0</v>
      </c>
      <c r="BB43" s="284" t="n">
        <f aca="false">IFERROR(($J43*Y43)*$M43, "")</f>
        <v>0</v>
      </c>
      <c r="BC43" s="285" t="n">
        <f aca="false">IFERROR(($J43*Z43)*$M43, "")</f>
        <v>0</v>
      </c>
      <c r="BD43" s="286" t="n">
        <f aca="false">IFERROR(SUMIF($AB$4:$AM$4, "RDEC", AR43:BC43), "")</f>
        <v>0</v>
      </c>
      <c r="BE43" s="286" t="n">
        <f aca="false">IFERROR(SUMIF($AB$4:$AM$4, "SME", AR43:BC43), "")</f>
        <v>0</v>
      </c>
      <c r="BF43" s="286" t="n">
        <f aca="false">IFERROR(SUMIF($AB$4:$AM$4, "De Minimis", AR43:BC43), "")</f>
        <v>0</v>
      </c>
      <c r="BG43" s="287"/>
      <c r="BH43" s="288" t="str">
        <f aca="false">IF((SUM(O43:Z43)&gt;1),"ERROR","")</f>
        <v/>
      </c>
      <c r="BI43" s="287"/>
      <c r="BJ43" s="18" t="str">
        <f aca="false">IF(C29&gt;0, C29, "")</f>
        <v/>
      </c>
      <c r="BL43" s="200"/>
      <c r="BM43" s="200"/>
      <c r="BN43" s="200"/>
    </row>
    <row r="44" customFormat="false" ht="15" hidden="false" customHeight="true" outlineLevel="0" collapsed="false">
      <c r="B44" s="275"/>
      <c r="D44" s="276" t="n">
        <f aca="false">D28</f>
        <v>45413</v>
      </c>
      <c r="E44" s="277" t="n">
        <v>5145.36</v>
      </c>
      <c r="F44" s="277" t="n">
        <v>1389.25</v>
      </c>
      <c r="G44" s="277" t="n">
        <v>350.96</v>
      </c>
      <c r="H44" s="277" t="n">
        <v>605.41</v>
      </c>
      <c r="I44" s="277" t="n">
        <v>257.27</v>
      </c>
      <c r="J44" s="278" t="n">
        <f aca="false">E44+H44+I44</f>
        <v>6008.04</v>
      </c>
      <c r="K44" s="204"/>
      <c r="L44" s="279" t="n">
        <v>1</v>
      </c>
      <c r="M44" s="280" t="n">
        <f aca="false">1-L44</f>
        <v>0</v>
      </c>
      <c r="N44" s="281"/>
      <c r="O44" s="282" t="n">
        <v>0.5</v>
      </c>
      <c r="P44" s="282" t="n">
        <v>0.3</v>
      </c>
      <c r="Q44" s="282" t="n">
        <v>0.2</v>
      </c>
      <c r="R44" s="282"/>
      <c r="S44" s="282"/>
      <c r="T44" s="282"/>
      <c r="U44" s="282"/>
      <c r="V44" s="282"/>
      <c r="W44" s="282"/>
      <c r="X44" s="282"/>
      <c r="Y44" s="282"/>
      <c r="Z44" s="282"/>
      <c r="AA44" s="283"/>
      <c r="AB44" s="284" t="n">
        <f aca="false">IFERROR(($J44*O44)*$L44, "")</f>
        <v>3004.02</v>
      </c>
      <c r="AC44" s="284" t="n">
        <f aca="false">IFERROR(($J44*P44)*$L44, "")</f>
        <v>1802.412</v>
      </c>
      <c r="AD44" s="284" t="n">
        <f aca="false">IFERROR(($J44*Q44)*$L44, "")</f>
        <v>1201.608</v>
      </c>
      <c r="AE44" s="284" t="n">
        <f aca="false">IFERROR(($J44*R44)*$L44, "")</f>
        <v>0</v>
      </c>
      <c r="AF44" s="284" t="n">
        <f aca="false">IFERROR(($J44*S44)*$L44, "")</f>
        <v>0</v>
      </c>
      <c r="AG44" s="284" t="n">
        <f aca="false">IFERROR(($J44*T44)*$L44, "")</f>
        <v>0</v>
      </c>
      <c r="AH44" s="284" t="n">
        <f aca="false">IFERROR(($J44*U44)*$L44, "")</f>
        <v>0</v>
      </c>
      <c r="AI44" s="284" t="n">
        <f aca="false">IFERROR(($J44*V44)*$L44, "")</f>
        <v>0</v>
      </c>
      <c r="AJ44" s="284" t="n">
        <f aca="false">IFERROR(($J44*W44)*$L44, "")</f>
        <v>0</v>
      </c>
      <c r="AK44" s="284" t="n">
        <f aca="false">IFERROR(($J44*X44)*$L44, "")</f>
        <v>0</v>
      </c>
      <c r="AL44" s="284" t="n">
        <f aca="false">IFERROR(($J44*Y44)*$L44, "")</f>
        <v>0</v>
      </c>
      <c r="AM44" s="285" t="n">
        <f aca="false">IFERROR(($J44*Z44)*$L44, "")</f>
        <v>0</v>
      </c>
      <c r="AN44" s="286" t="n">
        <f aca="false">IFERROR(SUMIF($AB$4:$AM$4, "RDEC", AB44:AM44), "")</f>
        <v>0</v>
      </c>
      <c r="AO44" s="286" t="n">
        <f aca="false">IFERROR(SUMIF($AB$4:$AM$4, "SME", AB44:AM44), "")</f>
        <v>6008.04</v>
      </c>
      <c r="AP44" s="286" t="n">
        <f aca="false">IFERROR(SUMIF($AB$4:$AM$4, "De Minimis", AB44:AM44), "")</f>
        <v>0</v>
      </c>
      <c r="AQ44" s="283"/>
      <c r="AR44" s="284" t="n">
        <f aca="false">IFERROR(($J44*O44)*$M44, "")</f>
        <v>0</v>
      </c>
      <c r="AS44" s="284" t="n">
        <f aca="false">IFERROR(($J44*P44)*$M44, "")</f>
        <v>0</v>
      </c>
      <c r="AT44" s="284" t="n">
        <f aca="false">IFERROR(($J44*Q44)*$M44, "")</f>
        <v>0</v>
      </c>
      <c r="AU44" s="284" t="n">
        <f aca="false">IFERROR(($J44*R44)*$M44, "")</f>
        <v>0</v>
      </c>
      <c r="AV44" s="284" t="n">
        <f aca="false">IFERROR(($J44*S44)*$M44, "")</f>
        <v>0</v>
      </c>
      <c r="AW44" s="284" t="n">
        <f aca="false">IFERROR(($J44*T44)*$M44, "")</f>
        <v>0</v>
      </c>
      <c r="AX44" s="284" t="n">
        <f aca="false">IFERROR(($J44*U44)*$M44, "")</f>
        <v>0</v>
      </c>
      <c r="AY44" s="284" t="n">
        <f aca="false">IFERROR(($J44*V44)*$M44, "")</f>
        <v>0</v>
      </c>
      <c r="AZ44" s="284" t="n">
        <f aca="false">IFERROR(($J44*W44)*$M44, "")</f>
        <v>0</v>
      </c>
      <c r="BA44" s="284" t="n">
        <f aca="false">IFERROR(($J44*X44)*$M44, "")</f>
        <v>0</v>
      </c>
      <c r="BB44" s="284" t="n">
        <f aca="false">IFERROR(($J44*Y44)*$M44, "")</f>
        <v>0</v>
      </c>
      <c r="BC44" s="285" t="n">
        <f aca="false">IFERROR(($J44*Z44)*$M44, "")</f>
        <v>0</v>
      </c>
      <c r="BD44" s="286" t="n">
        <f aca="false">IFERROR(SUMIF($AB$4:$AM$4, "RDEC", AR44:BC44), "")</f>
        <v>0</v>
      </c>
      <c r="BE44" s="286" t="n">
        <f aca="false">IFERROR(SUMIF($AB$4:$AM$4, "SME", AR44:BC44), "")</f>
        <v>0</v>
      </c>
      <c r="BF44" s="286" t="n">
        <f aca="false">IFERROR(SUMIF($AB$4:$AM$4, "De Minimis", AR44:BC44), "")</f>
        <v>0</v>
      </c>
      <c r="BG44" s="287"/>
      <c r="BH44" s="288" t="str">
        <f aca="false">IF((SUM(O44:Z44)&gt;1),"ERROR","")</f>
        <v/>
      </c>
      <c r="BI44" s="287"/>
      <c r="BJ44" s="18" t="str">
        <f aca="false">IF(C30&gt;0, C30, "")</f>
        <v/>
      </c>
      <c r="BL44" s="200"/>
      <c r="BM44" s="200"/>
      <c r="BN44" s="200"/>
    </row>
    <row r="45" customFormat="false" ht="15" hidden="false" customHeight="true" outlineLevel="0" collapsed="false">
      <c r="B45" s="275"/>
      <c r="D45" s="276" t="n">
        <f aca="false">D29</f>
        <v>45444</v>
      </c>
      <c r="E45" s="277" t="n">
        <v>5153.12</v>
      </c>
      <c r="F45" s="277" t="n">
        <v>1391.34</v>
      </c>
      <c r="G45" s="277" t="n">
        <v>351.58</v>
      </c>
      <c r="H45" s="277" t="n">
        <v>606.48</v>
      </c>
      <c r="I45" s="277" t="n">
        <v>257.66</v>
      </c>
      <c r="J45" s="278" t="n">
        <f aca="false">E45+H45+I45</f>
        <v>6017.26</v>
      </c>
      <c r="K45" s="204"/>
      <c r="L45" s="279" t="n">
        <v>1</v>
      </c>
      <c r="M45" s="280" t="n">
        <f aca="false">1-L45</f>
        <v>0</v>
      </c>
      <c r="N45" s="281"/>
      <c r="O45" s="282" t="n">
        <v>0.5</v>
      </c>
      <c r="P45" s="282" t="n">
        <v>0.3</v>
      </c>
      <c r="Q45" s="282" t="n">
        <v>0.2</v>
      </c>
      <c r="R45" s="282"/>
      <c r="S45" s="282"/>
      <c r="T45" s="282"/>
      <c r="U45" s="282"/>
      <c r="V45" s="282"/>
      <c r="W45" s="282"/>
      <c r="X45" s="282"/>
      <c r="Y45" s="282"/>
      <c r="Z45" s="282"/>
      <c r="AA45" s="283"/>
      <c r="AB45" s="284" t="n">
        <f aca="false">IFERROR(($J45*O45)*$L45, "")</f>
        <v>3008.63</v>
      </c>
      <c r="AC45" s="284" t="n">
        <f aca="false">IFERROR(($J45*P45)*$L45, "")</f>
        <v>1805.178</v>
      </c>
      <c r="AD45" s="284" t="n">
        <f aca="false">IFERROR(($J45*Q45)*$L45, "")</f>
        <v>1203.452</v>
      </c>
      <c r="AE45" s="284" t="n">
        <f aca="false">IFERROR(($J45*R45)*$L45, "")</f>
        <v>0</v>
      </c>
      <c r="AF45" s="284" t="n">
        <f aca="false">IFERROR(($J45*S45)*$L45, "")</f>
        <v>0</v>
      </c>
      <c r="AG45" s="284" t="n">
        <f aca="false">IFERROR(($J45*T45)*$L45, "")</f>
        <v>0</v>
      </c>
      <c r="AH45" s="284" t="n">
        <f aca="false">IFERROR(($J45*U45)*$L45, "")</f>
        <v>0</v>
      </c>
      <c r="AI45" s="284" t="n">
        <f aca="false">IFERROR(($J45*V45)*$L45, "")</f>
        <v>0</v>
      </c>
      <c r="AJ45" s="284" t="n">
        <f aca="false">IFERROR(($J45*W45)*$L45, "")</f>
        <v>0</v>
      </c>
      <c r="AK45" s="284" t="n">
        <f aca="false">IFERROR(($J45*X45)*$L45, "")</f>
        <v>0</v>
      </c>
      <c r="AL45" s="284" t="n">
        <f aca="false">IFERROR(($J45*Y45)*$L45, "")</f>
        <v>0</v>
      </c>
      <c r="AM45" s="285" t="n">
        <f aca="false">IFERROR(($J45*Z45)*$L45, "")</f>
        <v>0</v>
      </c>
      <c r="AN45" s="286" t="n">
        <f aca="false">IFERROR(SUMIF($AB$4:$AM$4, "RDEC", AB45:AM45), "")</f>
        <v>0</v>
      </c>
      <c r="AO45" s="286" t="n">
        <f aca="false">IFERROR(SUMIF($AB$4:$AM$4, "SME", AB45:AM45), "")</f>
        <v>6017.26</v>
      </c>
      <c r="AP45" s="286" t="n">
        <f aca="false">IFERROR(SUMIF($AB$4:$AM$4, "De Minimis", AB45:AM45), "")</f>
        <v>0</v>
      </c>
      <c r="AQ45" s="283"/>
      <c r="AR45" s="284" t="n">
        <f aca="false">IFERROR(($J45*O45)*$M45, "")</f>
        <v>0</v>
      </c>
      <c r="AS45" s="284" t="n">
        <f aca="false">IFERROR(($J45*P45)*$M45, "")</f>
        <v>0</v>
      </c>
      <c r="AT45" s="284" t="n">
        <f aca="false">IFERROR(($J45*Q45)*$M45, "")</f>
        <v>0</v>
      </c>
      <c r="AU45" s="284" t="n">
        <f aca="false">IFERROR(($J45*R45)*$M45, "")</f>
        <v>0</v>
      </c>
      <c r="AV45" s="284" t="n">
        <f aca="false">IFERROR(($J45*S45)*$M45, "")</f>
        <v>0</v>
      </c>
      <c r="AW45" s="284" t="n">
        <f aca="false">IFERROR(($J45*T45)*$M45, "")</f>
        <v>0</v>
      </c>
      <c r="AX45" s="284" t="n">
        <f aca="false">IFERROR(($J45*U45)*$M45, "")</f>
        <v>0</v>
      </c>
      <c r="AY45" s="284" t="n">
        <f aca="false">IFERROR(($J45*V45)*$M45, "")</f>
        <v>0</v>
      </c>
      <c r="AZ45" s="284" t="n">
        <f aca="false">IFERROR(($J45*W45)*$M45, "")</f>
        <v>0</v>
      </c>
      <c r="BA45" s="284" t="n">
        <f aca="false">IFERROR(($J45*X45)*$M45, "")</f>
        <v>0</v>
      </c>
      <c r="BB45" s="284" t="n">
        <f aca="false">IFERROR(($J45*Y45)*$M45, "")</f>
        <v>0</v>
      </c>
      <c r="BC45" s="285" t="n">
        <f aca="false">IFERROR(($J45*Z45)*$M45, "")</f>
        <v>0</v>
      </c>
      <c r="BD45" s="286" t="n">
        <f aca="false">IFERROR(SUMIF($AB$4:$AM$4, "RDEC", AR45:BC45), "")</f>
        <v>0</v>
      </c>
      <c r="BE45" s="286" t="n">
        <f aca="false">IFERROR(SUMIF($AB$4:$AM$4, "SME", AR45:BC45), "")</f>
        <v>0</v>
      </c>
      <c r="BF45" s="286" t="n">
        <f aca="false">IFERROR(SUMIF($AB$4:$AM$4, "De Minimis", AR45:BC45), "")</f>
        <v>0</v>
      </c>
      <c r="BG45" s="287"/>
      <c r="BH45" s="288" t="str">
        <f aca="false">IF((SUM(O45:Z45)&gt;1),"ERROR","")</f>
        <v/>
      </c>
      <c r="BI45" s="287"/>
      <c r="BJ45" s="18" t="str">
        <f aca="false">IF(C31&gt;0, C31, "")</f>
        <v/>
      </c>
      <c r="BL45" s="200"/>
      <c r="BM45" s="200"/>
      <c r="BN45" s="200"/>
    </row>
    <row r="46" customFormat="false" ht="15" hidden="false" customHeight="true" outlineLevel="0" collapsed="false">
      <c r="B46" s="275"/>
      <c r="D46" s="276" t="n">
        <f aca="false">D30</f>
        <v>45474</v>
      </c>
      <c r="E46" s="277" t="n">
        <v>5065.12</v>
      </c>
      <c r="F46" s="277" t="n">
        <v>1367.58</v>
      </c>
      <c r="G46" s="277" t="n">
        <v>344.54</v>
      </c>
      <c r="H46" s="277" t="n">
        <v>594.34</v>
      </c>
      <c r="I46" s="277" t="n">
        <v>253.26</v>
      </c>
      <c r="J46" s="278" t="n">
        <f aca="false">E46+H46+I46</f>
        <v>5912.72</v>
      </c>
      <c r="K46" s="204"/>
      <c r="L46" s="279" t="n">
        <v>1</v>
      </c>
      <c r="M46" s="280" t="n">
        <f aca="false">1-L46</f>
        <v>0</v>
      </c>
      <c r="N46" s="281"/>
      <c r="O46" s="282" t="n">
        <v>0.5</v>
      </c>
      <c r="P46" s="282" t="n">
        <v>0.3</v>
      </c>
      <c r="Q46" s="282" t="n">
        <v>0.2</v>
      </c>
      <c r="R46" s="282"/>
      <c r="S46" s="282"/>
      <c r="T46" s="282"/>
      <c r="U46" s="282"/>
      <c r="V46" s="282"/>
      <c r="W46" s="282"/>
      <c r="X46" s="282"/>
      <c r="Y46" s="282"/>
      <c r="Z46" s="282"/>
      <c r="AA46" s="283"/>
      <c r="AB46" s="284" t="n">
        <f aca="false">IFERROR(($J46*O46)*$L46, "")</f>
        <v>2956.36</v>
      </c>
      <c r="AC46" s="284" t="n">
        <f aca="false">IFERROR(($J46*P46)*$L46, "")</f>
        <v>1773.816</v>
      </c>
      <c r="AD46" s="284" t="n">
        <f aca="false">IFERROR(($J46*Q46)*$L46, "")</f>
        <v>1182.544</v>
      </c>
      <c r="AE46" s="284" t="n">
        <f aca="false">IFERROR(($J46*R46)*$L46, "")</f>
        <v>0</v>
      </c>
      <c r="AF46" s="284" t="n">
        <f aca="false">IFERROR(($J46*S46)*$L46, "")</f>
        <v>0</v>
      </c>
      <c r="AG46" s="284" t="n">
        <f aca="false">IFERROR(($J46*T46)*$L46, "")</f>
        <v>0</v>
      </c>
      <c r="AH46" s="284" t="n">
        <f aca="false">IFERROR(($J46*U46)*$L46, "")</f>
        <v>0</v>
      </c>
      <c r="AI46" s="284" t="n">
        <f aca="false">IFERROR(($J46*V46)*$L46, "")</f>
        <v>0</v>
      </c>
      <c r="AJ46" s="284" t="n">
        <f aca="false">IFERROR(($J46*W46)*$L46, "")</f>
        <v>0</v>
      </c>
      <c r="AK46" s="284" t="n">
        <f aca="false">IFERROR(($J46*X46)*$L46, "")</f>
        <v>0</v>
      </c>
      <c r="AL46" s="284" t="n">
        <f aca="false">IFERROR(($J46*Y46)*$L46, "")</f>
        <v>0</v>
      </c>
      <c r="AM46" s="285" t="n">
        <f aca="false">IFERROR(($J46*Z46)*$L46, "")</f>
        <v>0</v>
      </c>
      <c r="AN46" s="286" t="n">
        <f aca="false">IFERROR(SUMIF($AB$4:$AM$4, "RDEC", AB46:AM46), "")</f>
        <v>0</v>
      </c>
      <c r="AO46" s="286" t="n">
        <f aca="false">IFERROR(SUMIF($AB$4:$AM$4, "SME", AB46:AM46), "")</f>
        <v>5912.72</v>
      </c>
      <c r="AP46" s="286" t="n">
        <f aca="false">IFERROR(SUMIF($AB$4:$AM$4, "De Minimis", AB46:AM46), "")</f>
        <v>0</v>
      </c>
      <c r="AQ46" s="283"/>
      <c r="AR46" s="284" t="n">
        <f aca="false">IFERROR(($J46*O46)*$M46, "")</f>
        <v>0</v>
      </c>
      <c r="AS46" s="284" t="n">
        <f aca="false">IFERROR(($J46*P46)*$M46, "")</f>
        <v>0</v>
      </c>
      <c r="AT46" s="284" t="n">
        <f aca="false">IFERROR(($J46*Q46)*$M46, "")</f>
        <v>0</v>
      </c>
      <c r="AU46" s="284" t="n">
        <f aca="false">IFERROR(($J46*R46)*$M46, "")</f>
        <v>0</v>
      </c>
      <c r="AV46" s="284" t="n">
        <f aca="false">IFERROR(($J46*S46)*$M46, "")</f>
        <v>0</v>
      </c>
      <c r="AW46" s="284" t="n">
        <f aca="false">IFERROR(($J46*T46)*$M46, "")</f>
        <v>0</v>
      </c>
      <c r="AX46" s="284" t="n">
        <f aca="false">IFERROR(($J46*U46)*$M46, "")</f>
        <v>0</v>
      </c>
      <c r="AY46" s="284" t="n">
        <f aca="false">IFERROR(($J46*V46)*$M46, "")</f>
        <v>0</v>
      </c>
      <c r="AZ46" s="284" t="n">
        <f aca="false">IFERROR(($J46*W46)*$M46, "")</f>
        <v>0</v>
      </c>
      <c r="BA46" s="284" t="n">
        <f aca="false">IFERROR(($J46*X46)*$M46, "")</f>
        <v>0</v>
      </c>
      <c r="BB46" s="284" t="n">
        <f aca="false">IFERROR(($J46*Y46)*$M46, "")</f>
        <v>0</v>
      </c>
      <c r="BC46" s="285" t="n">
        <f aca="false">IFERROR(($J46*Z46)*$M46, "")</f>
        <v>0</v>
      </c>
      <c r="BD46" s="286" t="n">
        <f aca="false">IFERROR(SUMIF($AB$4:$AM$4, "RDEC", AR46:BC46), "")</f>
        <v>0</v>
      </c>
      <c r="BE46" s="286" t="n">
        <f aca="false">IFERROR(SUMIF($AB$4:$AM$4, "SME", AR46:BC46), "")</f>
        <v>0</v>
      </c>
      <c r="BF46" s="286" t="n">
        <f aca="false">IFERROR(SUMIF($AB$4:$AM$4, "De Minimis", AR46:BC46), "")</f>
        <v>0</v>
      </c>
      <c r="BG46" s="287"/>
      <c r="BH46" s="288" t="str">
        <f aca="false">IF((SUM(O46:Z46)&gt;1),"ERROR","")</f>
        <v/>
      </c>
      <c r="BI46" s="287"/>
      <c r="BJ46" s="18" t="str">
        <f aca="false">IF(C32&gt;0, C32, "")</f>
        <v/>
      </c>
      <c r="BL46" s="200"/>
      <c r="BM46" s="200"/>
      <c r="BN46" s="200"/>
    </row>
    <row r="47" customFormat="false" ht="15" hidden="false" customHeight="true" outlineLevel="0" collapsed="false">
      <c r="B47" s="275"/>
      <c r="D47" s="276" t="n">
        <f aca="false">D31</f>
        <v>45505</v>
      </c>
      <c r="E47" s="277" t="n">
        <v>5167.91</v>
      </c>
      <c r="F47" s="277" t="n">
        <v>1395.34</v>
      </c>
      <c r="G47" s="277" t="n">
        <v>352.77</v>
      </c>
      <c r="H47" s="277" t="n">
        <v>608.52</v>
      </c>
      <c r="I47" s="277" t="n">
        <v>258.4</v>
      </c>
      <c r="J47" s="278" t="n">
        <f aca="false">E47+H47+I47</f>
        <v>6034.83</v>
      </c>
      <c r="K47" s="204"/>
      <c r="L47" s="279" t="n">
        <v>1</v>
      </c>
      <c r="M47" s="280" t="n">
        <f aca="false">1-L47</f>
        <v>0</v>
      </c>
      <c r="N47" s="281"/>
      <c r="O47" s="282" t="n">
        <v>0.5</v>
      </c>
      <c r="P47" s="282" t="n">
        <v>0.3</v>
      </c>
      <c r="Q47" s="282" t="n">
        <v>0.2</v>
      </c>
      <c r="R47" s="282"/>
      <c r="S47" s="282"/>
      <c r="T47" s="282"/>
      <c r="U47" s="282"/>
      <c r="V47" s="282"/>
      <c r="W47" s="282"/>
      <c r="X47" s="282"/>
      <c r="Y47" s="282"/>
      <c r="Z47" s="282"/>
      <c r="AA47" s="283"/>
      <c r="AB47" s="284" t="n">
        <f aca="false">IFERROR(($J47*O47)*$L47, "")</f>
        <v>3017.415</v>
      </c>
      <c r="AC47" s="284" t="n">
        <f aca="false">IFERROR(($J47*P47)*$L47, "")</f>
        <v>1810.449</v>
      </c>
      <c r="AD47" s="284" t="n">
        <f aca="false">IFERROR(($J47*Q47)*$L47, "")</f>
        <v>1206.966</v>
      </c>
      <c r="AE47" s="284" t="n">
        <f aca="false">IFERROR(($J47*R47)*$L47, "")</f>
        <v>0</v>
      </c>
      <c r="AF47" s="284" t="n">
        <f aca="false">IFERROR(($J47*S47)*$L47, "")</f>
        <v>0</v>
      </c>
      <c r="AG47" s="284" t="n">
        <f aca="false">IFERROR(($J47*T47)*$L47, "")</f>
        <v>0</v>
      </c>
      <c r="AH47" s="284" t="n">
        <f aca="false">IFERROR(($J47*U47)*$L47, "")</f>
        <v>0</v>
      </c>
      <c r="AI47" s="284" t="n">
        <f aca="false">IFERROR(($J47*V47)*$L47, "")</f>
        <v>0</v>
      </c>
      <c r="AJ47" s="284" t="n">
        <f aca="false">IFERROR(($J47*W47)*$L47, "")</f>
        <v>0</v>
      </c>
      <c r="AK47" s="284" t="n">
        <f aca="false">IFERROR(($J47*X47)*$L47, "")</f>
        <v>0</v>
      </c>
      <c r="AL47" s="284" t="n">
        <f aca="false">IFERROR(($J47*Y47)*$L47, "")</f>
        <v>0</v>
      </c>
      <c r="AM47" s="285" t="n">
        <f aca="false">IFERROR(($J47*Z47)*$L47, "")</f>
        <v>0</v>
      </c>
      <c r="AN47" s="286" t="n">
        <f aca="false">IFERROR(SUMIF($AB$4:$AM$4, "RDEC", AB47:AM47), "")</f>
        <v>0</v>
      </c>
      <c r="AO47" s="286" t="n">
        <f aca="false">IFERROR(SUMIF($AB$4:$AM$4, "SME", AB47:AM47), "")</f>
        <v>6034.83</v>
      </c>
      <c r="AP47" s="286" t="n">
        <f aca="false">IFERROR(SUMIF($AB$4:$AM$4, "De Minimis", AB47:AM47), "")</f>
        <v>0</v>
      </c>
      <c r="AQ47" s="283"/>
      <c r="AR47" s="284" t="n">
        <f aca="false">IFERROR(($J47*O47)*$M47, "")</f>
        <v>0</v>
      </c>
      <c r="AS47" s="284" t="n">
        <f aca="false">IFERROR(($J47*P47)*$M47, "")</f>
        <v>0</v>
      </c>
      <c r="AT47" s="284" t="n">
        <f aca="false">IFERROR(($J47*Q47)*$M47, "")</f>
        <v>0</v>
      </c>
      <c r="AU47" s="284" t="n">
        <f aca="false">IFERROR(($J47*R47)*$M47, "")</f>
        <v>0</v>
      </c>
      <c r="AV47" s="284" t="n">
        <f aca="false">IFERROR(($J47*S47)*$M47, "")</f>
        <v>0</v>
      </c>
      <c r="AW47" s="284" t="n">
        <f aca="false">IFERROR(($J47*T47)*$M47, "")</f>
        <v>0</v>
      </c>
      <c r="AX47" s="284" t="n">
        <f aca="false">IFERROR(($J47*U47)*$M47, "")</f>
        <v>0</v>
      </c>
      <c r="AY47" s="284" t="n">
        <f aca="false">IFERROR(($J47*V47)*$M47, "")</f>
        <v>0</v>
      </c>
      <c r="AZ47" s="284" t="n">
        <f aca="false">IFERROR(($J47*W47)*$M47, "")</f>
        <v>0</v>
      </c>
      <c r="BA47" s="284" t="n">
        <f aca="false">IFERROR(($J47*X47)*$M47, "")</f>
        <v>0</v>
      </c>
      <c r="BB47" s="284" t="n">
        <f aca="false">IFERROR(($J47*Y47)*$M47, "")</f>
        <v>0</v>
      </c>
      <c r="BC47" s="285" t="n">
        <f aca="false">IFERROR(($J47*Z47)*$M47, "")</f>
        <v>0</v>
      </c>
      <c r="BD47" s="286" t="n">
        <f aca="false">IFERROR(SUMIF($AB$4:$AM$4, "RDEC", AR47:BC47), "")</f>
        <v>0</v>
      </c>
      <c r="BE47" s="286" t="n">
        <f aca="false">IFERROR(SUMIF($AB$4:$AM$4, "SME", AR47:BC47), "")</f>
        <v>0</v>
      </c>
      <c r="BF47" s="286" t="n">
        <f aca="false">IFERROR(SUMIF($AB$4:$AM$4, "De Minimis", AR47:BC47), "")</f>
        <v>0</v>
      </c>
      <c r="BG47" s="287"/>
      <c r="BH47" s="288" t="str">
        <f aca="false">IF((SUM(O47:Z47)&gt;1),"ERROR","")</f>
        <v/>
      </c>
      <c r="BI47" s="287"/>
      <c r="BJ47" s="18" t="str">
        <f aca="false">IF(C33&gt;0, C33, "")</f>
        <v/>
      </c>
      <c r="BL47" s="200"/>
      <c r="BM47" s="200"/>
      <c r="BN47" s="200"/>
    </row>
    <row r="48" customFormat="false" ht="15" hidden="false" customHeight="true" outlineLevel="0" collapsed="false">
      <c r="B48" s="275"/>
      <c r="D48" s="276" t="n">
        <f aca="false">D32</f>
        <v>45536</v>
      </c>
      <c r="E48" s="277" t="n">
        <v>5121.01</v>
      </c>
      <c r="F48" s="277" t="n">
        <v>1382.67</v>
      </c>
      <c r="G48" s="277" t="n">
        <v>349.01</v>
      </c>
      <c r="H48" s="277" t="n">
        <v>602.05</v>
      </c>
      <c r="I48" s="277" t="n">
        <v>256.05</v>
      </c>
      <c r="J48" s="278" t="n">
        <f aca="false">E48+H48+I48</f>
        <v>5979.11</v>
      </c>
      <c r="K48" s="204"/>
      <c r="L48" s="279" t="n">
        <v>1</v>
      </c>
      <c r="M48" s="280" t="n">
        <f aca="false">1-L48</f>
        <v>0</v>
      </c>
      <c r="N48" s="281"/>
      <c r="O48" s="282" t="n">
        <v>0.5</v>
      </c>
      <c r="P48" s="282" t="n">
        <v>0.3</v>
      </c>
      <c r="Q48" s="282" t="n">
        <v>0.2</v>
      </c>
      <c r="R48" s="282"/>
      <c r="S48" s="282"/>
      <c r="T48" s="282"/>
      <c r="U48" s="282"/>
      <c r="V48" s="282"/>
      <c r="W48" s="282"/>
      <c r="X48" s="282"/>
      <c r="Y48" s="282"/>
      <c r="Z48" s="282"/>
      <c r="AA48" s="283"/>
      <c r="AB48" s="284" t="n">
        <f aca="false">IFERROR(($J48*O48)*$L48, "")</f>
        <v>2989.555</v>
      </c>
      <c r="AC48" s="284" t="n">
        <f aca="false">IFERROR(($J48*P48)*$L48, "")</f>
        <v>1793.733</v>
      </c>
      <c r="AD48" s="284" t="n">
        <f aca="false">IFERROR(($J48*Q48)*$L48, "")</f>
        <v>1195.822</v>
      </c>
      <c r="AE48" s="284" t="n">
        <f aca="false">IFERROR(($J48*R48)*$L48, "")</f>
        <v>0</v>
      </c>
      <c r="AF48" s="284" t="n">
        <f aca="false">IFERROR(($J48*S48)*$L48, "")</f>
        <v>0</v>
      </c>
      <c r="AG48" s="284" t="n">
        <f aca="false">IFERROR(($J48*T48)*$L48, "")</f>
        <v>0</v>
      </c>
      <c r="AH48" s="284" t="n">
        <f aca="false">IFERROR(($J48*U48)*$L48, "")</f>
        <v>0</v>
      </c>
      <c r="AI48" s="284" t="n">
        <f aca="false">IFERROR(($J48*V48)*$L48, "")</f>
        <v>0</v>
      </c>
      <c r="AJ48" s="284" t="n">
        <f aca="false">IFERROR(($J48*W48)*$L48, "")</f>
        <v>0</v>
      </c>
      <c r="AK48" s="284" t="n">
        <f aca="false">IFERROR(($J48*X48)*$L48, "")</f>
        <v>0</v>
      </c>
      <c r="AL48" s="284" t="n">
        <f aca="false">IFERROR(($J48*Y48)*$L48, "")</f>
        <v>0</v>
      </c>
      <c r="AM48" s="285" t="n">
        <f aca="false">IFERROR(($J48*Z48)*$L48, "")</f>
        <v>0</v>
      </c>
      <c r="AN48" s="286" t="n">
        <f aca="false">IFERROR(SUMIF($AB$4:$AM$4, "RDEC", AB48:AM48), "")</f>
        <v>0</v>
      </c>
      <c r="AO48" s="286" t="n">
        <f aca="false">IFERROR(SUMIF($AB$4:$AM$4, "SME", AB48:AM48), "")</f>
        <v>5979.11</v>
      </c>
      <c r="AP48" s="286" t="n">
        <f aca="false">IFERROR(SUMIF($AB$4:$AM$4, "De Minimis", AB48:AM48), "")</f>
        <v>0</v>
      </c>
      <c r="AQ48" s="283"/>
      <c r="AR48" s="284" t="n">
        <f aca="false">IFERROR(($J48*O48)*$M48, "")</f>
        <v>0</v>
      </c>
      <c r="AS48" s="284" t="n">
        <f aca="false">IFERROR(($J48*P48)*$M48, "")</f>
        <v>0</v>
      </c>
      <c r="AT48" s="284" t="n">
        <f aca="false">IFERROR(($J48*Q48)*$M48, "")</f>
        <v>0</v>
      </c>
      <c r="AU48" s="284" t="n">
        <f aca="false">IFERROR(($J48*R48)*$M48, "")</f>
        <v>0</v>
      </c>
      <c r="AV48" s="284" t="n">
        <f aca="false">IFERROR(($J48*S48)*$M48, "")</f>
        <v>0</v>
      </c>
      <c r="AW48" s="284" t="n">
        <f aca="false">IFERROR(($J48*T48)*$M48, "")</f>
        <v>0</v>
      </c>
      <c r="AX48" s="284" t="n">
        <f aca="false">IFERROR(($J48*U48)*$M48, "")</f>
        <v>0</v>
      </c>
      <c r="AY48" s="284" t="n">
        <f aca="false">IFERROR(($J48*V48)*$M48, "")</f>
        <v>0</v>
      </c>
      <c r="AZ48" s="284" t="n">
        <f aca="false">IFERROR(($J48*W48)*$M48, "")</f>
        <v>0</v>
      </c>
      <c r="BA48" s="284" t="n">
        <f aca="false">IFERROR(($J48*X48)*$M48, "")</f>
        <v>0</v>
      </c>
      <c r="BB48" s="284" t="n">
        <f aca="false">IFERROR(($J48*Y48)*$M48, "")</f>
        <v>0</v>
      </c>
      <c r="BC48" s="285" t="n">
        <f aca="false">IFERROR(($J48*Z48)*$M48, "")</f>
        <v>0</v>
      </c>
      <c r="BD48" s="286" t="n">
        <f aca="false">IFERROR(SUMIF($AB$4:$AM$4, "RDEC", AR48:BC48), "")</f>
        <v>0</v>
      </c>
      <c r="BE48" s="286" t="n">
        <f aca="false">IFERROR(SUMIF($AB$4:$AM$4, "SME", AR48:BC48), "")</f>
        <v>0</v>
      </c>
      <c r="BF48" s="286" t="n">
        <f aca="false">IFERROR(SUMIF($AB$4:$AM$4, "De Minimis", AR48:BC48), "")</f>
        <v>0</v>
      </c>
      <c r="BG48" s="287"/>
      <c r="BH48" s="288" t="str">
        <f aca="false">IF((SUM(O48:Z48)&gt;1),"ERROR","")</f>
        <v/>
      </c>
      <c r="BI48" s="287"/>
      <c r="BJ48" s="18" t="str">
        <f aca="false">IF(C34&gt;0, C34, "")</f>
        <v/>
      </c>
      <c r="BL48" s="200"/>
      <c r="BM48" s="200"/>
      <c r="BN48" s="200"/>
    </row>
    <row r="49" customFormat="false" ht="15" hidden="false" customHeight="true" outlineLevel="0" collapsed="false">
      <c r="B49" s="275"/>
      <c r="D49" s="276" t="n">
        <f aca="false">D33</f>
        <v>45566</v>
      </c>
      <c r="E49" s="277" t="n">
        <v>5178.46</v>
      </c>
      <c r="F49" s="277" t="n">
        <v>1398.18</v>
      </c>
      <c r="G49" s="277" t="n">
        <v>353.61</v>
      </c>
      <c r="H49" s="277" t="n">
        <v>609.98</v>
      </c>
      <c r="I49" s="277" t="n">
        <v>258.92</v>
      </c>
      <c r="J49" s="278" t="n">
        <f aca="false">E49+H49+I49</f>
        <v>6047.36</v>
      </c>
      <c r="K49" s="204"/>
      <c r="L49" s="279" t="n">
        <v>1</v>
      </c>
      <c r="M49" s="280" t="n">
        <f aca="false">1-L49</f>
        <v>0</v>
      </c>
      <c r="N49" s="281"/>
      <c r="O49" s="282" t="n">
        <v>0.5</v>
      </c>
      <c r="P49" s="282" t="n">
        <v>0.3</v>
      </c>
      <c r="Q49" s="282" t="n">
        <v>0.2</v>
      </c>
      <c r="R49" s="282"/>
      <c r="S49" s="282"/>
      <c r="T49" s="282"/>
      <c r="U49" s="282"/>
      <c r="V49" s="282"/>
      <c r="W49" s="282"/>
      <c r="X49" s="282"/>
      <c r="Y49" s="282"/>
      <c r="Z49" s="282"/>
      <c r="AA49" s="283"/>
      <c r="AB49" s="284" t="n">
        <f aca="false">IFERROR(($J49*O49)*$L49, "")</f>
        <v>3023.68</v>
      </c>
      <c r="AC49" s="284" t="n">
        <f aca="false">IFERROR(($J49*P49)*$L49, "")</f>
        <v>1814.208</v>
      </c>
      <c r="AD49" s="284" t="n">
        <f aca="false">IFERROR(($J49*Q49)*$L49, "")</f>
        <v>1209.472</v>
      </c>
      <c r="AE49" s="284" t="n">
        <f aca="false">IFERROR(($J49*R49)*$L49, "")</f>
        <v>0</v>
      </c>
      <c r="AF49" s="284" t="n">
        <f aca="false">IFERROR(($J49*S49)*$L49, "")</f>
        <v>0</v>
      </c>
      <c r="AG49" s="284" t="n">
        <f aca="false">IFERROR(($J49*T49)*$L49, "")</f>
        <v>0</v>
      </c>
      <c r="AH49" s="284" t="n">
        <f aca="false">IFERROR(($J49*U49)*$L49, "")</f>
        <v>0</v>
      </c>
      <c r="AI49" s="284" t="n">
        <f aca="false">IFERROR(($J49*V49)*$L49, "")</f>
        <v>0</v>
      </c>
      <c r="AJ49" s="284" t="n">
        <f aca="false">IFERROR(($J49*W49)*$L49, "")</f>
        <v>0</v>
      </c>
      <c r="AK49" s="284" t="n">
        <f aca="false">IFERROR(($J49*X49)*$L49, "")</f>
        <v>0</v>
      </c>
      <c r="AL49" s="284" t="n">
        <f aca="false">IFERROR(($J49*Y49)*$L49, "")</f>
        <v>0</v>
      </c>
      <c r="AM49" s="285" t="n">
        <f aca="false">IFERROR(($J49*Z49)*$L49, "")</f>
        <v>0</v>
      </c>
      <c r="AN49" s="286" t="n">
        <f aca="false">IFERROR(SUMIF($AB$4:$AM$4, "RDEC", AB49:AM49), "")</f>
        <v>0</v>
      </c>
      <c r="AO49" s="286" t="n">
        <f aca="false">IFERROR(SUMIF($AB$4:$AM$4, "SME", AB49:AM49), "")</f>
        <v>6047.36</v>
      </c>
      <c r="AP49" s="286" t="n">
        <f aca="false">IFERROR(SUMIF($AB$4:$AM$4, "De Minimis", AB49:AM49), "")</f>
        <v>0</v>
      </c>
      <c r="AQ49" s="283"/>
      <c r="AR49" s="284" t="n">
        <f aca="false">IFERROR(($J49*O49)*$M49, "")</f>
        <v>0</v>
      </c>
      <c r="AS49" s="284" t="n">
        <f aca="false">IFERROR(($J49*P49)*$M49, "")</f>
        <v>0</v>
      </c>
      <c r="AT49" s="284" t="n">
        <f aca="false">IFERROR(($J49*Q49)*$M49, "")</f>
        <v>0</v>
      </c>
      <c r="AU49" s="284" t="n">
        <f aca="false">IFERROR(($J49*R49)*$M49, "")</f>
        <v>0</v>
      </c>
      <c r="AV49" s="284" t="n">
        <f aca="false">IFERROR(($J49*S49)*$M49, "")</f>
        <v>0</v>
      </c>
      <c r="AW49" s="284" t="n">
        <f aca="false">IFERROR(($J49*T49)*$M49, "")</f>
        <v>0</v>
      </c>
      <c r="AX49" s="284" t="n">
        <f aca="false">IFERROR(($J49*U49)*$M49, "")</f>
        <v>0</v>
      </c>
      <c r="AY49" s="284" t="n">
        <f aca="false">IFERROR(($J49*V49)*$M49, "")</f>
        <v>0</v>
      </c>
      <c r="AZ49" s="284" t="n">
        <f aca="false">IFERROR(($J49*W49)*$M49, "")</f>
        <v>0</v>
      </c>
      <c r="BA49" s="284" t="n">
        <f aca="false">IFERROR(($J49*X49)*$M49, "")</f>
        <v>0</v>
      </c>
      <c r="BB49" s="284" t="n">
        <f aca="false">IFERROR(($J49*Y49)*$M49, "")</f>
        <v>0</v>
      </c>
      <c r="BC49" s="285" t="n">
        <f aca="false">IFERROR(($J49*Z49)*$M49, "")</f>
        <v>0</v>
      </c>
      <c r="BD49" s="286" t="n">
        <f aca="false">IFERROR(SUMIF($AB$4:$AM$4, "RDEC", AR49:BC49), "")</f>
        <v>0</v>
      </c>
      <c r="BE49" s="286" t="n">
        <f aca="false">IFERROR(SUMIF($AB$4:$AM$4, "SME", AR49:BC49), "")</f>
        <v>0</v>
      </c>
      <c r="BF49" s="286" t="n">
        <f aca="false">IFERROR(SUMIF($AB$4:$AM$4, "De Minimis", AR49:BC49), "")</f>
        <v>0</v>
      </c>
      <c r="BG49" s="287"/>
      <c r="BH49" s="288" t="str">
        <f aca="false">IF((SUM(O49:Z49)&gt;1),"ERROR","")</f>
        <v/>
      </c>
      <c r="BI49" s="287"/>
      <c r="BJ49" s="18" t="str">
        <f aca="false">IF(C35&gt;0, C35, "")</f>
        <v/>
      </c>
      <c r="BL49" s="200"/>
      <c r="BM49" s="200"/>
      <c r="BN49" s="200"/>
    </row>
    <row r="50" customFormat="false" ht="15" hidden="false" customHeight="true" outlineLevel="0" collapsed="false">
      <c r="B50" s="275"/>
      <c r="D50" s="276" t="n">
        <f aca="false">D34</f>
        <v>45597</v>
      </c>
      <c r="E50" s="277" t="n">
        <v>5142.84</v>
      </c>
      <c r="F50" s="277" t="n">
        <v>1388.57</v>
      </c>
      <c r="G50" s="277" t="n">
        <v>350.76</v>
      </c>
      <c r="H50" s="277" t="n">
        <v>605.06</v>
      </c>
      <c r="I50" s="277" t="n">
        <v>257.14</v>
      </c>
      <c r="J50" s="278" t="n">
        <f aca="false">E50+H50+I50</f>
        <v>6005.04</v>
      </c>
      <c r="K50" s="204"/>
      <c r="L50" s="279" t="n">
        <v>1</v>
      </c>
      <c r="M50" s="280" t="n">
        <f aca="false">1-L50</f>
        <v>0</v>
      </c>
      <c r="N50" s="281"/>
      <c r="O50" s="282" t="n">
        <v>0.5</v>
      </c>
      <c r="P50" s="282" t="n">
        <v>0.3</v>
      </c>
      <c r="Q50" s="282" t="n">
        <v>0.2</v>
      </c>
      <c r="R50" s="282"/>
      <c r="S50" s="282"/>
      <c r="T50" s="282"/>
      <c r="U50" s="282"/>
      <c r="V50" s="282"/>
      <c r="W50" s="282"/>
      <c r="X50" s="282"/>
      <c r="Y50" s="282"/>
      <c r="Z50" s="282"/>
      <c r="AA50" s="283"/>
      <c r="AB50" s="284" t="n">
        <f aca="false">IFERROR(($J50*O50)*$L50, "")</f>
        <v>3002.52</v>
      </c>
      <c r="AC50" s="284" t="n">
        <f aca="false">IFERROR(($J50*P50)*$L50, "")</f>
        <v>1801.512</v>
      </c>
      <c r="AD50" s="284" t="n">
        <f aca="false">IFERROR(($J50*Q50)*$L50, "")</f>
        <v>1201.008</v>
      </c>
      <c r="AE50" s="284" t="n">
        <f aca="false">IFERROR(($J50*R50)*$L50, "")</f>
        <v>0</v>
      </c>
      <c r="AF50" s="284" t="n">
        <f aca="false">IFERROR(($J50*S50)*$L50, "")</f>
        <v>0</v>
      </c>
      <c r="AG50" s="284" t="n">
        <f aca="false">IFERROR(($J50*T50)*$L50, "")</f>
        <v>0</v>
      </c>
      <c r="AH50" s="284" t="n">
        <f aca="false">IFERROR(($J50*U50)*$L50, "")</f>
        <v>0</v>
      </c>
      <c r="AI50" s="284" t="n">
        <f aca="false">IFERROR(($J50*V50)*$L50, "")</f>
        <v>0</v>
      </c>
      <c r="AJ50" s="284" t="n">
        <f aca="false">IFERROR(($J50*W50)*$L50, "")</f>
        <v>0</v>
      </c>
      <c r="AK50" s="284" t="n">
        <f aca="false">IFERROR(($J50*X50)*$L50, "")</f>
        <v>0</v>
      </c>
      <c r="AL50" s="284" t="n">
        <f aca="false">IFERROR(($J50*Y50)*$L50, "")</f>
        <v>0</v>
      </c>
      <c r="AM50" s="285" t="n">
        <f aca="false">IFERROR(($J50*Z50)*$L50, "")</f>
        <v>0</v>
      </c>
      <c r="AN50" s="286" t="n">
        <f aca="false">IFERROR(SUMIF($AB$4:$AM$4, "RDEC", AB50:AM50), "")</f>
        <v>0</v>
      </c>
      <c r="AO50" s="286" t="n">
        <f aca="false">IFERROR(SUMIF($AB$4:$AM$4, "SME", AB50:AM50), "")</f>
        <v>6005.04</v>
      </c>
      <c r="AP50" s="286" t="n">
        <f aca="false">IFERROR(SUMIF($AB$4:$AM$4, "De Minimis", AB50:AM50), "")</f>
        <v>0</v>
      </c>
      <c r="AQ50" s="283"/>
      <c r="AR50" s="284" t="n">
        <f aca="false">IFERROR(($J50*O50)*$M50, "")</f>
        <v>0</v>
      </c>
      <c r="AS50" s="284" t="n">
        <f aca="false">IFERROR(($J50*P50)*$M50, "")</f>
        <v>0</v>
      </c>
      <c r="AT50" s="284" t="n">
        <f aca="false">IFERROR(($J50*Q50)*$M50, "")</f>
        <v>0</v>
      </c>
      <c r="AU50" s="284" t="n">
        <f aca="false">IFERROR(($J50*R50)*$M50, "")</f>
        <v>0</v>
      </c>
      <c r="AV50" s="284" t="n">
        <f aca="false">IFERROR(($J50*S50)*$M50, "")</f>
        <v>0</v>
      </c>
      <c r="AW50" s="284" t="n">
        <f aca="false">IFERROR(($J50*T50)*$M50, "")</f>
        <v>0</v>
      </c>
      <c r="AX50" s="284" t="n">
        <f aca="false">IFERROR(($J50*U50)*$M50, "")</f>
        <v>0</v>
      </c>
      <c r="AY50" s="284" t="n">
        <f aca="false">IFERROR(($J50*V50)*$M50, "")</f>
        <v>0</v>
      </c>
      <c r="AZ50" s="284" t="n">
        <f aca="false">IFERROR(($J50*W50)*$M50, "")</f>
        <v>0</v>
      </c>
      <c r="BA50" s="284" t="n">
        <f aca="false">IFERROR(($J50*X50)*$M50, "")</f>
        <v>0</v>
      </c>
      <c r="BB50" s="284" t="n">
        <f aca="false">IFERROR(($J50*Y50)*$M50, "")</f>
        <v>0</v>
      </c>
      <c r="BC50" s="285" t="n">
        <f aca="false">IFERROR(($J50*Z50)*$M50, "")</f>
        <v>0</v>
      </c>
      <c r="BD50" s="286" t="n">
        <f aca="false">IFERROR(SUMIF($AB$4:$AM$4, "RDEC", AR50:BC50), "")</f>
        <v>0</v>
      </c>
      <c r="BE50" s="286" t="n">
        <f aca="false">IFERROR(SUMIF($AB$4:$AM$4, "SME", AR50:BC50), "")</f>
        <v>0</v>
      </c>
      <c r="BF50" s="286" t="n">
        <f aca="false">IFERROR(SUMIF($AB$4:$AM$4, "De Minimis", AR50:BC50), "")</f>
        <v>0</v>
      </c>
      <c r="BG50" s="287"/>
      <c r="BH50" s="288" t="str">
        <f aca="false">IF((SUM(O50:Z50)&gt;1),"ERROR","")</f>
        <v/>
      </c>
      <c r="BI50" s="287"/>
      <c r="BJ50" s="18" t="str">
        <f aca="false">IF(C36&gt;0, C36, "")</f>
        <v/>
      </c>
      <c r="BL50" s="200"/>
      <c r="BM50" s="200"/>
      <c r="BN50" s="200"/>
    </row>
    <row r="51" customFormat="false" ht="15" hidden="false" customHeight="true" outlineLevel="0" collapsed="false">
      <c r="B51" s="275"/>
      <c r="D51" s="276" t="n">
        <f aca="false">D35</f>
        <v>45627</v>
      </c>
      <c r="E51" s="277" t="n">
        <v>5180.08</v>
      </c>
      <c r="F51" s="277" t="n">
        <v>1398.62</v>
      </c>
      <c r="G51" s="277" t="n">
        <v>353.74</v>
      </c>
      <c r="H51" s="277" t="n">
        <v>610.2</v>
      </c>
      <c r="I51" s="277" t="n">
        <v>259</v>
      </c>
      <c r="J51" s="278" t="n">
        <f aca="false">E51+H51+I51</f>
        <v>6049.28</v>
      </c>
      <c r="K51" s="204"/>
      <c r="L51" s="289" t="n">
        <v>1</v>
      </c>
      <c r="M51" s="290" t="n">
        <f aca="false">1-L51</f>
        <v>0</v>
      </c>
      <c r="N51" s="281"/>
      <c r="O51" s="291" t="n">
        <v>0.5</v>
      </c>
      <c r="P51" s="291" t="n">
        <v>0.3</v>
      </c>
      <c r="Q51" s="291" t="n">
        <v>0.2</v>
      </c>
      <c r="R51" s="291"/>
      <c r="S51" s="291"/>
      <c r="T51" s="291"/>
      <c r="U51" s="291"/>
      <c r="V51" s="291"/>
      <c r="W51" s="291"/>
      <c r="X51" s="291"/>
      <c r="Y51" s="291"/>
      <c r="Z51" s="291"/>
      <c r="AA51" s="283"/>
      <c r="AB51" s="292" t="n">
        <f aca="false">IFERROR(($J51*O51)*$L51, "")</f>
        <v>3024.64</v>
      </c>
      <c r="AC51" s="292" t="n">
        <f aca="false">IFERROR(($J51*P51)*$L51, "")</f>
        <v>1814.784</v>
      </c>
      <c r="AD51" s="292" t="n">
        <f aca="false">IFERROR(($J51*Q51)*$L51, "")</f>
        <v>1209.856</v>
      </c>
      <c r="AE51" s="292" t="n">
        <f aca="false">IFERROR(($J51*R51)*$L51, "")</f>
        <v>0</v>
      </c>
      <c r="AF51" s="292" t="n">
        <f aca="false">IFERROR(($J51*S51)*$L51, "")</f>
        <v>0</v>
      </c>
      <c r="AG51" s="292" t="n">
        <f aca="false">IFERROR(($J51*T51)*$L51, "")</f>
        <v>0</v>
      </c>
      <c r="AH51" s="292" t="n">
        <f aca="false">IFERROR(($J51*U51)*$L51, "")</f>
        <v>0</v>
      </c>
      <c r="AI51" s="292" t="n">
        <f aca="false">IFERROR(($J51*V51)*$L51, "")</f>
        <v>0</v>
      </c>
      <c r="AJ51" s="292" t="n">
        <f aca="false">IFERROR(($J51*W51)*$L51, "")</f>
        <v>0</v>
      </c>
      <c r="AK51" s="292" t="n">
        <f aca="false">IFERROR(($J51*X51)*$L51, "")</f>
        <v>0</v>
      </c>
      <c r="AL51" s="292" t="n">
        <f aca="false">IFERROR(($J51*Y51)*$L51, "")</f>
        <v>0</v>
      </c>
      <c r="AM51" s="293" t="n">
        <f aca="false">IFERROR(($J51*Z51)*$L51, "")</f>
        <v>0</v>
      </c>
      <c r="AN51" s="294" t="n">
        <f aca="false">IFERROR(SUMIF($AB$4:$AM$4, "RDEC", AB51:AM51), "")</f>
        <v>0</v>
      </c>
      <c r="AO51" s="294" t="n">
        <f aca="false">IFERROR(SUMIF($AB$4:$AM$4, "SME", AB51:AM51), "")</f>
        <v>6049.28</v>
      </c>
      <c r="AP51" s="294" t="n">
        <f aca="false">IFERROR(SUMIF($AB$4:$AM$4, "De Minimis", AB51:AM51), "")</f>
        <v>0</v>
      </c>
      <c r="AQ51" s="283"/>
      <c r="AR51" s="292" t="n">
        <f aca="false">IFERROR(($J51*O51)*$M51, "")</f>
        <v>0</v>
      </c>
      <c r="AS51" s="292" t="n">
        <f aca="false">IFERROR(($J51*P51)*$M51, "")</f>
        <v>0</v>
      </c>
      <c r="AT51" s="292" t="n">
        <f aca="false">IFERROR(($J51*Q51)*$M51, "")</f>
        <v>0</v>
      </c>
      <c r="AU51" s="292" t="n">
        <f aca="false">IFERROR(($J51*R51)*$M51, "")</f>
        <v>0</v>
      </c>
      <c r="AV51" s="292" t="n">
        <f aca="false">IFERROR(($J51*S51)*$M51, "")</f>
        <v>0</v>
      </c>
      <c r="AW51" s="292" t="n">
        <f aca="false">IFERROR(($J51*T51)*$M51, "")</f>
        <v>0</v>
      </c>
      <c r="AX51" s="292" t="n">
        <f aca="false">IFERROR(($J51*U51)*$M51, "")</f>
        <v>0</v>
      </c>
      <c r="AY51" s="292" t="n">
        <f aca="false">IFERROR(($J51*V51)*$M51, "")</f>
        <v>0</v>
      </c>
      <c r="AZ51" s="292" t="n">
        <f aca="false">IFERROR(($J51*W51)*$M51, "")</f>
        <v>0</v>
      </c>
      <c r="BA51" s="292" t="n">
        <f aca="false">IFERROR(($J51*X51)*$M51, "")</f>
        <v>0</v>
      </c>
      <c r="BB51" s="292" t="n">
        <f aca="false">IFERROR(($J51*Y51)*$M51, "")</f>
        <v>0</v>
      </c>
      <c r="BC51" s="293" t="n">
        <f aca="false">IFERROR(($J51*Z51)*$M51, "")</f>
        <v>0</v>
      </c>
      <c r="BD51" s="294" t="n">
        <f aca="false">IFERROR(SUMIF($AB$4:$AM$4, "RDEC", AR51:BC51), "")</f>
        <v>0</v>
      </c>
      <c r="BE51" s="294" t="n">
        <f aca="false">IFERROR(SUMIF($AB$4:$AM$4, "SME", AR51:BC51), "")</f>
        <v>0</v>
      </c>
      <c r="BF51" s="294" t="n">
        <f aca="false">IFERROR(SUMIF($AB$4:$AM$4, "De Minimis", AR51:BC51), "")</f>
        <v>0</v>
      </c>
      <c r="BG51" s="287"/>
      <c r="BH51" s="295" t="str">
        <f aca="false">IF((SUM(O51:Z51)&gt;1),"ERROR","")</f>
        <v/>
      </c>
      <c r="BI51" s="287"/>
      <c r="BJ51" s="18" t="str">
        <f aca="false">IF(C37&gt;0, C37, "")</f>
        <v/>
      </c>
      <c r="BL51" s="200"/>
      <c r="BM51" s="200"/>
      <c r="BN51" s="200"/>
    </row>
    <row r="52" customFormat="false" ht="15" hidden="false" customHeight="true" outlineLevel="0" collapsed="false">
      <c r="B52" s="296"/>
      <c r="D52" s="297" t="s">
        <v>82</v>
      </c>
      <c r="E52" s="298" t="n">
        <f aca="false">SUM(E39:E51)</f>
        <v>61607.16</v>
      </c>
      <c r="F52" s="298" t="n">
        <f aca="false">SUM(F39:F51)</f>
        <v>16633.93</v>
      </c>
      <c r="G52" s="298" t="n">
        <f aca="false">SUM(G39:G51)</f>
        <v>4200.56</v>
      </c>
      <c r="H52" s="298" t="n">
        <f aca="false">SUM(H39:H51)</f>
        <v>7245.99</v>
      </c>
      <c r="I52" s="298" t="n">
        <f aca="false">SUM(I39:I51)</f>
        <v>3080.36</v>
      </c>
      <c r="J52" s="299" t="n">
        <f aca="false">SUM(J39:J51)</f>
        <v>71933.51</v>
      </c>
      <c r="K52" s="300"/>
      <c r="L52" s="301" t="n">
        <f aca="false">AVERAGE(L39:L51)</f>
        <v>1</v>
      </c>
      <c r="M52" s="301" t="n">
        <f aca="false">AVERAGE(M39:M51)</f>
        <v>0</v>
      </c>
      <c r="N52" s="302"/>
      <c r="O52" s="290" t="n">
        <f aca="false">IF(SUM(O40:O51)&gt;0,((AB52+AR52)/J52),0)</f>
        <v>0.5</v>
      </c>
      <c r="P52" s="290" t="n">
        <f aca="false">IF(SUM(P40:P51)&gt;0,((AC52+AS52)/J52),0)</f>
        <v>0.3</v>
      </c>
      <c r="Q52" s="290" t="n">
        <f aca="false">IF(SUM(Q40:Q51)&gt;0,((AD52+AT52)/J52),0)</f>
        <v>0.2</v>
      </c>
      <c r="R52" s="290" t="n">
        <f aca="false">IF(SUM(R40:R51)&gt;0,((AE52+AU52)/J52),0)</f>
        <v>0</v>
      </c>
      <c r="S52" s="290" t="n">
        <f aca="false">IF(SUM(S40:S51)&gt;0,((AF52+AV52)/J52),0)</f>
        <v>0</v>
      </c>
      <c r="T52" s="290" t="n">
        <f aca="false">IF(SUM(T40:T51)&gt;0,((AG52+AW52)/J52),0)</f>
        <v>0</v>
      </c>
      <c r="U52" s="290" t="n">
        <f aca="false">IF(SUM(U40:U51)&gt;0,((AH52+AX52)/J52),0)</f>
        <v>0</v>
      </c>
      <c r="V52" s="290" t="n">
        <f aca="false">IF(SUM(V40:V51)&gt;0,((AI52+AY52)/J52),0)</f>
        <v>0</v>
      </c>
      <c r="W52" s="290" t="n">
        <f aca="false">IF(SUM(W40:W51)&gt;0,((AJ52+AZ52)/J52),0)</f>
        <v>0</v>
      </c>
      <c r="X52" s="290" t="n">
        <f aca="false">IF(SUM(X40:X51)&gt;0,((AK52+BA52)/J52),0)</f>
        <v>0</v>
      </c>
      <c r="Y52" s="290" t="n">
        <f aca="false">IF(SUM(Y40:Y51)&gt;0,((AL52+BB52)/J52),0)</f>
        <v>0</v>
      </c>
      <c r="Z52" s="290" t="n">
        <f aca="false">IF(SUM(Z40:Z51)&gt;0,((AM52+BC52)/J52),0)</f>
        <v>0</v>
      </c>
      <c r="AA52" s="303"/>
      <c r="AB52" s="292" t="n">
        <f aca="false">SUM(AB39:AB51)</f>
        <v>35966.755</v>
      </c>
      <c r="AC52" s="304" t="n">
        <f aca="false">SUM(AC39:AC51)</f>
        <v>21580.053</v>
      </c>
      <c r="AD52" s="304" t="n">
        <f aca="false">SUM(AD39:AD51)</f>
        <v>14386.702</v>
      </c>
      <c r="AE52" s="304" t="n">
        <f aca="false">SUM(AE39:AE51)</f>
        <v>0</v>
      </c>
      <c r="AF52" s="304" t="n">
        <f aca="false">SUM(AF39:AF51)</f>
        <v>0</v>
      </c>
      <c r="AG52" s="304" t="n">
        <f aca="false">SUM(AG39:AG51)</f>
        <v>0</v>
      </c>
      <c r="AH52" s="304" t="n">
        <f aca="false">SUM(AH39:AH51)</f>
        <v>0</v>
      </c>
      <c r="AI52" s="304" t="n">
        <f aca="false">SUM(AI39:AI51)</f>
        <v>0</v>
      </c>
      <c r="AJ52" s="304" t="n">
        <f aca="false">SUM(AJ39:AJ51)</f>
        <v>0</v>
      </c>
      <c r="AK52" s="304" t="n">
        <f aca="false">SUM(AK39:AK51)</f>
        <v>0</v>
      </c>
      <c r="AL52" s="304" t="n">
        <f aca="false">SUM(AL39:AL51)</f>
        <v>0</v>
      </c>
      <c r="AM52" s="304" t="n">
        <f aca="false">SUM(AM39:AM51)</f>
        <v>0</v>
      </c>
      <c r="AN52" s="305" t="n">
        <f aca="false">SUM(AN39:AN51)</f>
        <v>0</v>
      </c>
      <c r="AO52" s="305" t="n">
        <f aca="false">SUM(AO39:AO51)</f>
        <v>71933.51</v>
      </c>
      <c r="AP52" s="305" t="n">
        <f aca="false">SUM(AP39:AP51)</f>
        <v>0</v>
      </c>
      <c r="AQ52" s="303"/>
      <c r="AR52" s="292" t="n">
        <f aca="false">SUM(AR39:AR51)</f>
        <v>0</v>
      </c>
      <c r="AS52" s="304" t="n">
        <f aca="false">SUM(AS39:AS51)</f>
        <v>0</v>
      </c>
      <c r="AT52" s="304" t="n">
        <f aca="false">SUM(AT39:AT51)</f>
        <v>0</v>
      </c>
      <c r="AU52" s="304" t="n">
        <f aca="false">SUM(AU39:AU51)</f>
        <v>0</v>
      </c>
      <c r="AV52" s="304" t="n">
        <f aca="false">SUM(AV39:AV51)</f>
        <v>0</v>
      </c>
      <c r="AW52" s="304" t="n">
        <f aca="false">SUM(AW39:AW51)</f>
        <v>0</v>
      </c>
      <c r="AX52" s="304" t="n">
        <f aca="false">SUM(AX39:AX51)</f>
        <v>0</v>
      </c>
      <c r="AY52" s="304" t="n">
        <f aca="false">SUM(AY39:AY51)</f>
        <v>0</v>
      </c>
      <c r="AZ52" s="304" t="n">
        <f aca="false">SUM(AZ39:AZ51)</f>
        <v>0</v>
      </c>
      <c r="BA52" s="304" t="n">
        <f aca="false">SUM(BA39:BA51)</f>
        <v>0</v>
      </c>
      <c r="BB52" s="304" t="n">
        <f aca="false">SUM(BB39:BB51)</f>
        <v>0</v>
      </c>
      <c r="BC52" s="304" t="n">
        <f aca="false">SUM(BC39:BC51)</f>
        <v>0</v>
      </c>
      <c r="BD52" s="305" t="n">
        <f aca="false">SUM(BD39:BD51)</f>
        <v>0</v>
      </c>
      <c r="BE52" s="305" t="n">
        <f aca="false">SUM(BE39:BE51)</f>
        <v>0</v>
      </c>
      <c r="BF52" s="305" t="n">
        <f aca="false">SUM(BF39:BF51)</f>
        <v>0</v>
      </c>
      <c r="BG52" s="303"/>
      <c r="BH52" s="306"/>
      <c r="BI52" s="303"/>
      <c r="BJ52" s="307" t="str">
        <f aca="false">IF(C38&gt;0, C38, "")</f>
        <v>Backend Developer</v>
      </c>
      <c r="BK52" s="18" t="s">
        <v>234</v>
      </c>
      <c r="BL52" s="200" t="n">
        <f aca="false">IF($BK52="Y",J52,0)</f>
        <v>0</v>
      </c>
      <c r="BM52" s="200" t="n">
        <f aca="false">IF(BK52="Y", AN52,0)</f>
        <v>0</v>
      </c>
      <c r="BN52" s="200" t="n">
        <f aca="false">IF((BK52="Y"),AO52,0)</f>
        <v>0</v>
      </c>
    </row>
    <row r="53" customFormat="false" ht="15" hidden="false" customHeight="true" outlineLevel="0" collapsed="false">
      <c r="B53" s="296"/>
      <c r="D53" s="297"/>
      <c r="E53" s="277"/>
      <c r="F53" s="277"/>
      <c r="G53" s="277"/>
      <c r="H53" s="277"/>
      <c r="I53" s="277"/>
      <c r="J53" s="300"/>
      <c r="K53" s="300"/>
      <c r="L53" s="302"/>
      <c r="M53" s="302"/>
      <c r="N53" s="302"/>
      <c r="O53" s="308"/>
      <c r="P53" s="308"/>
      <c r="Q53" s="308"/>
      <c r="R53" s="308"/>
      <c r="S53" s="308"/>
      <c r="T53" s="308"/>
      <c r="U53" s="308"/>
      <c r="V53" s="308"/>
      <c r="W53" s="308"/>
      <c r="X53" s="308"/>
      <c r="Y53" s="308"/>
      <c r="Z53" s="308"/>
      <c r="AA53" s="303"/>
      <c r="AB53" s="303"/>
      <c r="AC53" s="303"/>
      <c r="AD53" s="303"/>
      <c r="AE53" s="303"/>
      <c r="AF53" s="303"/>
      <c r="AG53" s="303"/>
      <c r="AH53" s="303"/>
      <c r="AI53" s="303"/>
      <c r="AJ53" s="303"/>
      <c r="AK53" s="303"/>
      <c r="AL53" s="303"/>
      <c r="AM53" s="303"/>
      <c r="AN53" s="303"/>
      <c r="AO53" s="303"/>
      <c r="AP53" s="303"/>
      <c r="AQ53" s="303"/>
      <c r="AR53" s="303"/>
      <c r="AS53" s="303"/>
      <c r="AT53" s="303"/>
      <c r="AU53" s="303"/>
      <c r="AV53" s="303"/>
      <c r="AW53" s="303"/>
      <c r="AX53" s="303"/>
      <c r="AY53" s="303"/>
      <c r="AZ53" s="303"/>
      <c r="BA53" s="303"/>
      <c r="BB53" s="303"/>
      <c r="BC53" s="303"/>
      <c r="BD53" s="303"/>
      <c r="BE53" s="303"/>
      <c r="BF53" s="303"/>
      <c r="BG53" s="303"/>
      <c r="BH53" s="303"/>
      <c r="BI53" s="303"/>
      <c r="BJ53" s="307" t="str">
        <f aca="false">IF(C39&gt;0, C39, "")</f>
        <v/>
      </c>
      <c r="BL53" s="200"/>
      <c r="BM53" s="200"/>
      <c r="BN53" s="200"/>
    </row>
    <row r="54" customFormat="false" ht="15" hidden="false" customHeight="true" outlineLevel="0" collapsed="false">
      <c r="A54" s="198" t="n">
        <v>4</v>
      </c>
      <c r="B54" s="266" t="s">
        <v>239</v>
      </c>
      <c r="C54" s="266" t="s">
        <v>240</v>
      </c>
      <c r="D54" s="267"/>
      <c r="E54" s="242"/>
      <c r="F54" s="242"/>
      <c r="G54" s="242"/>
      <c r="H54" s="242"/>
      <c r="I54" s="242"/>
      <c r="J54" s="241"/>
      <c r="K54" s="241"/>
      <c r="L54" s="241"/>
      <c r="M54" s="241"/>
      <c r="N54" s="241"/>
      <c r="O54" s="268"/>
      <c r="P54" s="268"/>
      <c r="Q54" s="268"/>
      <c r="R54" s="268"/>
      <c r="S54" s="268"/>
      <c r="T54" s="268"/>
      <c r="U54" s="268"/>
      <c r="V54" s="268"/>
      <c r="W54" s="268"/>
      <c r="X54" s="268"/>
      <c r="Y54" s="268"/>
      <c r="Z54" s="268"/>
      <c r="AA54" s="268"/>
      <c r="AB54" s="268"/>
      <c r="AC54" s="268"/>
      <c r="AD54" s="268"/>
      <c r="AE54" s="268"/>
      <c r="AF54" s="268"/>
      <c r="AG54" s="268"/>
      <c r="AH54" s="268"/>
      <c r="AI54" s="268"/>
      <c r="AJ54" s="268"/>
      <c r="AK54" s="268"/>
      <c r="AL54" s="268"/>
      <c r="AM54" s="268"/>
      <c r="AN54" s="268"/>
      <c r="AO54" s="268"/>
      <c r="AP54" s="268"/>
      <c r="AQ54" s="268"/>
      <c r="AR54" s="268"/>
      <c r="AS54" s="268"/>
      <c r="AT54" s="268"/>
      <c r="AU54" s="268"/>
      <c r="AV54" s="268"/>
      <c r="AW54" s="268"/>
      <c r="AX54" s="268"/>
      <c r="AY54" s="268"/>
      <c r="AZ54" s="268"/>
      <c r="BA54" s="268"/>
      <c r="BB54" s="268"/>
      <c r="BC54" s="268"/>
      <c r="BD54" s="268"/>
      <c r="BE54" s="268"/>
      <c r="BF54" s="268"/>
      <c r="BG54" s="268"/>
      <c r="BH54" s="268"/>
      <c r="BI54" s="268"/>
      <c r="BJ54" s="18" t="str">
        <f aca="false">IF(C41&gt;0, C41, "")</f>
        <v/>
      </c>
      <c r="BL54" s="200"/>
      <c r="BM54" s="200"/>
      <c r="BN54" s="200"/>
    </row>
    <row r="55" customFormat="false" ht="7.5" hidden="false" customHeight="true" outlineLevel="0" collapsed="false">
      <c r="A55" s="198"/>
      <c r="B55" s="266"/>
      <c r="C55" s="266"/>
      <c r="D55" s="267"/>
      <c r="E55" s="242"/>
      <c r="F55" s="242"/>
      <c r="G55" s="242"/>
      <c r="H55" s="242"/>
      <c r="I55" s="242"/>
      <c r="J55" s="241"/>
      <c r="K55" s="241"/>
      <c r="L55" s="269"/>
      <c r="M55" s="269"/>
      <c r="N55" s="270"/>
      <c r="O55" s="269"/>
      <c r="P55" s="269"/>
      <c r="Q55" s="269"/>
      <c r="R55" s="269"/>
      <c r="S55" s="269"/>
      <c r="T55" s="269"/>
      <c r="U55" s="269"/>
      <c r="V55" s="269"/>
      <c r="W55" s="269"/>
      <c r="X55" s="269"/>
      <c r="Y55" s="269"/>
      <c r="Z55" s="269"/>
      <c r="AA55" s="268"/>
      <c r="AB55" s="271"/>
      <c r="AC55" s="271"/>
      <c r="AD55" s="271"/>
      <c r="AE55" s="271"/>
      <c r="AF55" s="271"/>
      <c r="AG55" s="271"/>
      <c r="AH55" s="271"/>
      <c r="AI55" s="271"/>
      <c r="AJ55" s="271"/>
      <c r="AK55" s="271"/>
      <c r="AL55" s="271"/>
      <c r="AM55" s="272"/>
      <c r="AN55" s="273"/>
      <c r="AO55" s="273"/>
      <c r="AP55" s="273"/>
      <c r="AQ55" s="268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71"/>
      <c r="BC55" s="272"/>
      <c r="BD55" s="273"/>
      <c r="BE55" s="273"/>
      <c r="BF55" s="273"/>
      <c r="BG55" s="268"/>
      <c r="BH55" s="274"/>
      <c r="BI55" s="268"/>
      <c r="BL55" s="200"/>
      <c r="BM55" s="200"/>
      <c r="BN55" s="200"/>
    </row>
    <row r="56" customFormat="false" ht="15" hidden="false" customHeight="true" outlineLevel="0" collapsed="false">
      <c r="B56" s="275"/>
      <c r="D56" s="276" t="n">
        <f aca="false">D40</f>
        <v>45292</v>
      </c>
      <c r="E56" s="277" t="n">
        <v>5688.81</v>
      </c>
      <c r="F56" s="277" t="n">
        <v>1535.98</v>
      </c>
      <c r="G56" s="277" t="n">
        <v>394.44</v>
      </c>
      <c r="H56" s="277" t="n">
        <v>680.41</v>
      </c>
      <c r="I56" s="277" t="n">
        <v>284.44</v>
      </c>
      <c r="J56" s="278" t="n">
        <f aca="false">E56+H56+I56</f>
        <v>6653.66</v>
      </c>
      <c r="K56" s="204"/>
      <c r="L56" s="279" t="n">
        <v>1</v>
      </c>
      <c r="M56" s="280" t="n">
        <f aca="false">1-L56</f>
        <v>0</v>
      </c>
      <c r="N56" s="281"/>
      <c r="O56" s="282"/>
      <c r="P56" s="282" t="n">
        <v>0.4</v>
      </c>
      <c r="Q56" s="282"/>
      <c r="R56" s="282" t="n">
        <v>0.35</v>
      </c>
      <c r="S56" s="282" t="n">
        <v>0.25</v>
      </c>
      <c r="T56" s="282"/>
      <c r="U56" s="282"/>
      <c r="V56" s="282"/>
      <c r="W56" s="282"/>
      <c r="X56" s="282"/>
      <c r="Y56" s="282"/>
      <c r="Z56" s="282"/>
      <c r="AA56" s="283"/>
      <c r="AB56" s="284" t="n">
        <f aca="false">IFERROR(($J56*O56)*$L56, "")</f>
        <v>0</v>
      </c>
      <c r="AC56" s="284" t="n">
        <f aca="false">IFERROR(($J56*P56)*$L56, "")</f>
        <v>2661.464</v>
      </c>
      <c r="AD56" s="284" t="n">
        <f aca="false">IFERROR(($J56*Q56)*$L56, "")</f>
        <v>0</v>
      </c>
      <c r="AE56" s="284" t="n">
        <f aca="false">IFERROR(($J56*R56)*$L56, "")</f>
        <v>2328.781</v>
      </c>
      <c r="AF56" s="284" t="n">
        <f aca="false">IFERROR(($J56*S56)*$L56, "")</f>
        <v>1663.415</v>
      </c>
      <c r="AG56" s="284" t="n">
        <f aca="false">IFERROR(($J56*T56)*$L56, "")</f>
        <v>0</v>
      </c>
      <c r="AH56" s="284" t="n">
        <f aca="false">IFERROR(($J56*U56)*$L56, "")</f>
        <v>0</v>
      </c>
      <c r="AI56" s="284" t="n">
        <f aca="false">IFERROR(($J56*V56)*$L56, "")</f>
        <v>0</v>
      </c>
      <c r="AJ56" s="284" t="n">
        <f aca="false">IFERROR(($J56*W56)*$L56, "")</f>
        <v>0</v>
      </c>
      <c r="AK56" s="284" t="n">
        <f aca="false">IFERROR(($J56*X56)*$L56, "")</f>
        <v>0</v>
      </c>
      <c r="AL56" s="284" t="n">
        <f aca="false">IFERROR(($J56*Y56)*$L56, "")</f>
        <v>0</v>
      </c>
      <c r="AM56" s="285" t="n">
        <f aca="false">IFERROR(($J56*Z56)*$L56, "")</f>
        <v>0</v>
      </c>
      <c r="AN56" s="286" t="n">
        <f aca="false">IFERROR(SUMIF($AB$4:$AM$4, "RDEC", AB56:AM56), "")</f>
        <v>2328.781</v>
      </c>
      <c r="AO56" s="286" t="n">
        <f aca="false">IFERROR(SUMIF($AB$4:$AM$4, "SME", AB56:AM56), "")</f>
        <v>4324.879</v>
      </c>
      <c r="AP56" s="286" t="n">
        <f aca="false">IFERROR(SUMIF($AB$4:$AM$4, "De Minimis", AB56:AM56), "")</f>
        <v>0</v>
      </c>
      <c r="AQ56" s="283"/>
      <c r="AR56" s="284" t="n">
        <f aca="false">IFERROR(($J56*O56)*$M56, "")</f>
        <v>0</v>
      </c>
      <c r="AS56" s="284" t="n">
        <f aca="false">IFERROR(($J56*P56)*$M56, "")</f>
        <v>0</v>
      </c>
      <c r="AT56" s="284" t="n">
        <f aca="false">IFERROR(($J56*Q56)*$M56, "")</f>
        <v>0</v>
      </c>
      <c r="AU56" s="284" t="n">
        <f aca="false">IFERROR(($J56*R56)*$M56, "")</f>
        <v>0</v>
      </c>
      <c r="AV56" s="284" t="n">
        <f aca="false">IFERROR(($J56*S56)*$M56, "")</f>
        <v>0</v>
      </c>
      <c r="AW56" s="284" t="n">
        <f aca="false">IFERROR(($J56*T56)*$M56, "")</f>
        <v>0</v>
      </c>
      <c r="AX56" s="284" t="n">
        <f aca="false">IFERROR(($J56*U56)*$M56, "")</f>
        <v>0</v>
      </c>
      <c r="AY56" s="284" t="n">
        <f aca="false">IFERROR(($J56*V56)*$M56, "")</f>
        <v>0</v>
      </c>
      <c r="AZ56" s="284" t="n">
        <f aca="false">IFERROR(($J56*W56)*$M56, "")</f>
        <v>0</v>
      </c>
      <c r="BA56" s="284" t="n">
        <f aca="false">IFERROR(($J56*X56)*$M56, "")</f>
        <v>0</v>
      </c>
      <c r="BB56" s="284" t="n">
        <f aca="false">IFERROR(($J56*Y56)*$M56, "")</f>
        <v>0</v>
      </c>
      <c r="BC56" s="285" t="n">
        <f aca="false">IFERROR(($J56*Z56)*$M56, "")</f>
        <v>0</v>
      </c>
      <c r="BD56" s="286" t="n">
        <f aca="false">IFERROR(SUMIF($AB$4:$AM$4, "RDEC", AR56:BC56), "")</f>
        <v>0</v>
      </c>
      <c r="BE56" s="286" t="n">
        <f aca="false">IFERROR(SUMIF($AB$4:$AM$4, "SME", AR56:BC56), "")</f>
        <v>0</v>
      </c>
      <c r="BF56" s="286" t="n">
        <f aca="false">IFERROR(SUMIF($AB$4:$AM$4, "De Minimis", AR56:BC56), "")</f>
        <v>0</v>
      </c>
      <c r="BG56" s="287"/>
      <c r="BH56" s="288" t="str">
        <f aca="false">IF((SUM(O56:Z56)&gt;1),"ERROR","")</f>
        <v/>
      </c>
      <c r="BI56" s="287"/>
      <c r="BJ56" s="18" t="str">
        <f aca="false">IF(C42&gt;0, C42, "")</f>
        <v/>
      </c>
      <c r="BL56" s="200"/>
      <c r="BM56" s="200"/>
      <c r="BN56" s="200"/>
    </row>
    <row r="57" customFormat="false" ht="15" hidden="false" customHeight="true" outlineLevel="0" collapsed="false">
      <c r="B57" s="275"/>
      <c r="D57" s="276" t="n">
        <f aca="false">D41</f>
        <v>45323</v>
      </c>
      <c r="E57" s="277" t="n">
        <v>5643.72</v>
      </c>
      <c r="F57" s="277" t="n">
        <v>1523.8</v>
      </c>
      <c r="G57" s="277" t="n">
        <v>390.83</v>
      </c>
      <c r="H57" s="277" t="n">
        <v>674.18</v>
      </c>
      <c r="I57" s="277" t="n">
        <v>282.19</v>
      </c>
      <c r="J57" s="278" t="n">
        <f aca="false">E57+H57+I57</f>
        <v>6600.09</v>
      </c>
      <c r="K57" s="204"/>
      <c r="L57" s="279" t="n">
        <v>1</v>
      </c>
      <c r="M57" s="280" t="n">
        <f aca="false">1-L57</f>
        <v>0</v>
      </c>
      <c r="N57" s="281"/>
      <c r="O57" s="282"/>
      <c r="P57" s="282" t="n">
        <v>0.4</v>
      </c>
      <c r="Q57" s="282"/>
      <c r="R57" s="282" t="n">
        <v>0.35</v>
      </c>
      <c r="S57" s="282" t="n">
        <v>0.25</v>
      </c>
      <c r="T57" s="282"/>
      <c r="U57" s="282"/>
      <c r="V57" s="282"/>
      <c r="W57" s="282"/>
      <c r="X57" s="282"/>
      <c r="Y57" s="282"/>
      <c r="Z57" s="282"/>
      <c r="AA57" s="283"/>
      <c r="AB57" s="284" t="n">
        <f aca="false">IFERROR(($J57*O57)*$L57, "")</f>
        <v>0</v>
      </c>
      <c r="AC57" s="284" t="n">
        <f aca="false">IFERROR(($J57*P57)*$L57, "")</f>
        <v>2640.036</v>
      </c>
      <c r="AD57" s="284" t="n">
        <f aca="false">IFERROR(($J57*Q57)*$L57, "")</f>
        <v>0</v>
      </c>
      <c r="AE57" s="284" t="n">
        <f aca="false">IFERROR(($J57*R57)*$L57, "")</f>
        <v>2310.0315</v>
      </c>
      <c r="AF57" s="284" t="n">
        <f aca="false">IFERROR(($J57*S57)*$L57, "")</f>
        <v>1650.0225</v>
      </c>
      <c r="AG57" s="284" t="n">
        <f aca="false">IFERROR(($J57*T57)*$L57, "")</f>
        <v>0</v>
      </c>
      <c r="AH57" s="284" t="n">
        <f aca="false">IFERROR(($J57*U57)*$L57, "")</f>
        <v>0</v>
      </c>
      <c r="AI57" s="284" t="n">
        <f aca="false">IFERROR(($J57*V57)*$L57, "")</f>
        <v>0</v>
      </c>
      <c r="AJ57" s="284" t="n">
        <f aca="false">IFERROR(($J57*W57)*$L57, "")</f>
        <v>0</v>
      </c>
      <c r="AK57" s="284" t="n">
        <f aca="false">IFERROR(($J57*X57)*$L57, "")</f>
        <v>0</v>
      </c>
      <c r="AL57" s="284" t="n">
        <f aca="false">IFERROR(($J57*Y57)*$L57, "")</f>
        <v>0</v>
      </c>
      <c r="AM57" s="285" t="n">
        <f aca="false">IFERROR(($J57*Z57)*$L57, "")</f>
        <v>0</v>
      </c>
      <c r="AN57" s="286" t="n">
        <f aca="false">IFERROR(SUMIF($AB$4:$AM$4, "RDEC", AB57:AM57), "")</f>
        <v>2310.0315</v>
      </c>
      <c r="AO57" s="286" t="n">
        <f aca="false">IFERROR(SUMIF($AB$4:$AM$4, "SME", AB57:AM57), "")</f>
        <v>4290.0585</v>
      </c>
      <c r="AP57" s="286" t="n">
        <f aca="false">IFERROR(SUMIF($AB$4:$AM$4, "De Minimis", AB57:AM57), "")</f>
        <v>0</v>
      </c>
      <c r="AQ57" s="283"/>
      <c r="AR57" s="284" t="n">
        <f aca="false">IFERROR(($J57*O57)*$M57, "")</f>
        <v>0</v>
      </c>
      <c r="AS57" s="284" t="n">
        <f aca="false">IFERROR(($J57*P57)*$M57, "")</f>
        <v>0</v>
      </c>
      <c r="AT57" s="284" t="n">
        <f aca="false">IFERROR(($J57*Q57)*$M57, "")</f>
        <v>0</v>
      </c>
      <c r="AU57" s="284" t="n">
        <f aca="false">IFERROR(($J57*R57)*$M57, "")</f>
        <v>0</v>
      </c>
      <c r="AV57" s="284" t="n">
        <f aca="false">IFERROR(($J57*S57)*$M57, "")</f>
        <v>0</v>
      </c>
      <c r="AW57" s="284" t="n">
        <f aca="false">IFERROR(($J57*T57)*$M57, "")</f>
        <v>0</v>
      </c>
      <c r="AX57" s="284" t="n">
        <f aca="false">IFERROR(($J57*U57)*$M57, "")</f>
        <v>0</v>
      </c>
      <c r="AY57" s="284" t="n">
        <f aca="false">IFERROR(($J57*V57)*$M57, "")</f>
        <v>0</v>
      </c>
      <c r="AZ57" s="284" t="n">
        <f aca="false">IFERROR(($J57*W57)*$M57, "")</f>
        <v>0</v>
      </c>
      <c r="BA57" s="284" t="n">
        <f aca="false">IFERROR(($J57*X57)*$M57, "")</f>
        <v>0</v>
      </c>
      <c r="BB57" s="284" t="n">
        <f aca="false">IFERROR(($J57*Y57)*$M57, "")</f>
        <v>0</v>
      </c>
      <c r="BC57" s="285" t="n">
        <f aca="false">IFERROR(($J57*Z57)*$M57, "")</f>
        <v>0</v>
      </c>
      <c r="BD57" s="286" t="n">
        <f aca="false">IFERROR(SUMIF($AB$4:$AM$4, "RDEC", AR57:BC57), "")</f>
        <v>0</v>
      </c>
      <c r="BE57" s="286" t="n">
        <f aca="false">IFERROR(SUMIF($AB$4:$AM$4, "SME", AR57:BC57), "")</f>
        <v>0</v>
      </c>
      <c r="BF57" s="286" t="n">
        <f aca="false">IFERROR(SUMIF($AB$4:$AM$4, "De Minimis", AR57:BC57), "")</f>
        <v>0</v>
      </c>
      <c r="BG57" s="287"/>
      <c r="BH57" s="288" t="str">
        <f aca="false">IF((SUM(O57:Z57)&gt;1),"ERROR","")</f>
        <v/>
      </c>
      <c r="BI57" s="287"/>
      <c r="BJ57" s="18" t="str">
        <f aca="false">IF(C43&gt;0, C43, "")</f>
        <v/>
      </c>
      <c r="BL57" s="200"/>
      <c r="BM57" s="200"/>
      <c r="BN57" s="200"/>
    </row>
    <row r="58" customFormat="false" ht="15" hidden="false" customHeight="true" outlineLevel="0" collapsed="false">
      <c r="B58" s="275"/>
      <c r="D58" s="276" t="n">
        <f aca="false">D42</f>
        <v>45352</v>
      </c>
      <c r="E58" s="277" t="n">
        <v>5772.12</v>
      </c>
      <c r="F58" s="277" t="n">
        <v>1558.47</v>
      </c>
      <c r="G58" s="277" t="n">
        <v>401.1</v>
      </c>
      <c r="H58" s="277" t="n">
        <v>691.9</v>
      </c>
      <c r="I58" s="277" t="n">
        <v>288.61</v>
      </c>
      <c r="J58" s="278" t="n">
        <f aca="false">E58+H58+I58</f>
        <v>6752.63</v>
      </c>
      <c r="K58" s="204"/>
      <c r="L58" s="279" t="n">
        <v>1</v>
      </c>
      <c r="M58" s="280" t="n">
        <f aca="false">1-L58</f>
        <v>0</v>
      </c>
      <c r="N58" s="281"/>
      <c r="O58" s="282"/>
      <c r="P58" s="282" t="n">
        <v>0.4</v>
      </c>
      <c r="Q58" s="282"/>
      <c r="R58" s="282" t="n">
        <v>0.35</v>
      </c>
      <c r="S58" s="282" t="n">
        <v>0.25</v>
      </c>
      <c r="T58" s="282"/>
      <c r="U58" s="282"/>
      <c r="V58" s="282"/>
      <c r="W58" s="282"/>
      <c r="X58" s="282"/>
      <c r="Y58" s="282"/>
      <c r="Z58" s="282"/>
      <c r="AA58" s="283"/>
      <c r="AB58" s="284" t="n">
        <f aca="false">IFERROR(($J58*O58)*$L58, "")</f>
        <v>0</v>
      </c>
      <c r="AC58" s="284" t="n">
        <f aca="false">IFERROR(($J58*P58)*$L58, "")</f>
        <v>2701.052</v>
      </c>
      <c r="AD58" s="284" t="n">
        <f aca="false">IFERROR(($J58*Q58)*$L58, "")</f>
        <v>0</v>
      </c>
      <c r="AE58" s="284" t="n">
        <f aca="false">IFERROR(($J58*R58)*$L58, "")</f>
        <v>2363.4205</v>
      </c>
      <c r="AF58" s="284" t="n">
        <f aca="false">IFERROR(($J58*S58)*$L58, "")</f>
        <v>1688.1575</v>
      </c>
      <c r="AG58" s="284" t="n">
        <f aca="false">IFERROR(($J58*T58)*$L58, "")</f>
        <v>0</v>
      </c>
      <c r="AH58" s="284" t="n">
        <f aca="false">IFERROR(($J58*U58)*$L58, "")</f>
        <v>0</v>
      </c>
      <c r="AI58" s="284" t="n">
        <f aca="false">IFERROR(($J58*V58)*$L58, "")</f>
        <v>0</v>
      </c>
      <c r="AJ58" s="284" t="n">
        <f aca="false">IFERROR(($J58*W58)*$L58, "")</f>
        <v>0</v>
      </c>
      <c r="AK58" s="284" t="n">
        <f aca="false">IFERROR(($J58*X58)*$L58, "")</f>
        <v>0</v>
      </c>
      <c r="AL58" s="284" t="n">
        <f aca="false">IFERROR(($J58*Y58)*$L58, "")</f>
        <v>0</v>
      </c>
      <c r="AM58" s="285" t="n">
        <f aca="false">IFERROR(($J58*Z58)*$L58, "")</f>
        <v>0</v>
      </c>
      <c r="AN58" s="286" t="n">
        <f aca="false">IFERROR(SUMIF($AB$4:$AM$4, "RDEC", AB58:AM58), "")</f>
        <v>2363.4205</v>
      </c>
      <c r="AO58" s="286" t="n">
        <f aca="false">IFERROR(SUMIF($AB$4:$AM$4, "SME", AB58:AM58), "")</f>
        <v>4389.2095</v>
      </c>
      <c r="AP58" s="286" t="n">
        <f aca="false">IFERROR(SUMIF($AB$4:$AM$4, "De Minimis", AB58:AM58), "")</f>
        <v>0</v>
      </c>
      <c r="AQ58" s="283"/>
      <c r="AR58" s="284" t="n">
        <f aca="false">IFERROR(($J58*O58)*$M58, "")</f>
        <v>0</v>
      </c>
      <c r="AS58" s="284" t="n">
        <f aca="false">IFERROR(($J58*P58)*$M58, "")</f>
        <v>0</v>
      </c>
      <c r="AT58" s="284" t="n">
        <f aca="false">IFERROR(($J58*Q58)*$M58, "")</f>
        <v>0</v>
      </c>
      <c r="AU58" s="284" t="n">
        <f aca="false">IFERROR(($J58*R58)*$M58, "")</f>
        <v>0</v>
      </c>
      <c r="AV58" s="284" t="n">
        <f aca="false">IFERROR(($J58*S58)*$M58, "")</f>
        <v>0</v>
      </c>
      <c r="AW58" s="284" t="n">
        <f aca="false">IFERROR(($J58*T58)*$M58, "")</f>
        <v>0</v>
      </c>
      <c r="AX58" s="284" t="n">
        <f aca="false">IFERROR(($J58*U58)*$M58, "")</f>
        <v>0</v>
      </c>
      <c r="AY58" s="284" t="n">
        <f aca="false">IFERROR(($J58*V58)*$M58, "")</f>
        <v>0</v>
      </c>
      <c r="AZ58" s="284" t="n">
        <f aca="false">IFERROR(($J58*W58)*$M58, "")</f>
        <v>0</v>
      </c>
      <c r="BA58" s="284" t="n">
        <f aca="false">IFERROR(($J58*X58)*$M58, "")</f>
        <v>0</v>
      </c>
      <c r="BB58" s="284" t="n">
        <f aca="false">IFERROR(($J58*Y58)*$M58, "")</f>
        <v>0</v>
      </c>
      <c r="BC58" s="285" t="n">
        <f aca="false">IFERROR(($J58*Z58)*$M58, "")</f>
        <v>0</v>
      </c>
      <c r="BD58" s="286" t="n">
        <f aca="false">IFERROR(SUMIF($AB$4:$AM$4, "RDEC", AR58:BC58), "")</f>
        <v>0</v>
      </c>
      <c r="BE58" s="286" t="n">
        <f aca="false">IFERROR(SUMIF($AB$4:$AM$4, "SME", AR58:BC58), "")</f>
        <v>0</v>
      </c>
      <c r="BF58" s="286" t="n">
        <f aca="false">IFERROR(SUMIF($AB$4:$AM$4, "De Minimis", AR58:BC58), "")</f>
        <v>0</v>
      </c>
      <c r="BG58" s="287"/>
      <c r="BH58" s="288" t="str">
        <f aca="false">IF((SUM(O58:Z58)&gt;1),"ERROR","")</f>
        <v/>
      </c>
      <c r="BI58" s="287"/>
      <c r="BJ58" s="18" t="str">
        <f aca="false">IF(C44&gt;0, C44, "")</f>
        <v/>
      </c>
      <c r="BL58" s="200"/>
      <c r="BM58" s="200"/>
      <c r="BN58" s="200"/>
    </row>
    <row r="59" customFormat="false" ht="15" hidden="false" customHeight="true" outlineLevel="0" collapsed="false">
      <c r="B59" s="275"/>
      <c r="D59" s="276" t="n">
        <f aca="false">D43</f>
        <v>45383</v>
      </c>
      <c r="E59" s="277" t="n">
        <v>5560.51</v>
      </c>
      <c r="F59" s="277" t="n">
        <v>1501.34</v>
      </c>
      <c r="G59" s="277" t="n">
        <v>384.17</v>
      </c>
      <c r="H59" s="277" t="n">
        <v>662.7</v>
      </c>
      <c r="I59" s="277" t="n">
        <v>278.03</v>
      </c>
      <c r="J59" s="278" t="n">
        <f aca="false">E59+H59+I59</f>
        <v>6501.24</v>
      </c>
      <c r="K59" s="204"/>
      <c r="L59" s="279" t="n">
        <v>1</v>
      </c>
      <c r="M59" s="280" t="n">
        <f aca="false">1-L59</f>
        <v>0</v>
      </c>
      <c r="N59" s="281"/>
      <c r="O59" s="282"/>
      <c r="P59" s="282" t="n">
        <v>0.4</v>
      </c>
      <c r="Q59" s="282"/>
      <c r="R59" s="282" t="n">
        <v>0.35</v>
      </c>
      <c r="S59" s="282" t="n">
        <v>0.25</v>
      </c>
      <c r="T59" s="282"/>
      <c r="U59" s="282"/>
      <c r="V59" s="282"/>
      <c r="W59" s="282"/>
      <c r="X59" s="282"/>
      <c r="Y59" s="282"/>
      <c r="Z59" s="282"/>
      <c r="AA59" s="283"/>
      <c r="AB59" s="284" t="n">
        <f aca="false">IFERROR(($J59*O59)*$L59, "")</f>
        <v>0</v>
      </c>
      <c r="AC59" s="284" t="n">
        <f aca="false">IFERROR(($J59*P59)*$L59, "")</f>
        <v>2600.496</v>
      </c>
      <c r="AD59" s="284" t="n">
        <f aca="false">IFERROR(($J59*Q59)*$L59, "")</f>
        <v>0</v>
      </c>
      <c r="AE59" s="284" t="n">
        <f aca="false">IFERROR(($J59*R59)*$L59, "")</f>
        <v>2275.434</v>
      </c>
      <c r="AF59" s="284" t="n">
        <f aca="false">IFERROR(($J59*S59)*$L59, "")</f>
        <v>1625.31</v>
      </c>
      <c r="AG59" s="284" t="n">
        <f aca="false">IFERROR(($J59*T59)*$L59, "")</f>
        <v>0</v>
      </c>
      <c r="AH59" s="284" t="n">
        <f aca="false">IFERROR(($J59*U59)*$L59, "")</f>
        <v>0</v>
      </c>
      <c r="AI59" s="284" t="n">
        <f aca="false">IFERROR(($J59*V59)*$L59, "")</f>
        <v>0</v>
      </c>
      <c r="AJ59" s="284" t="n">
        <f aca="false">IFERROR(($J59*W59)*$L59, "")</f>
        <v>0</v>
      </c>
      <c r="AK59" s="284" t="n">
        <f aca="false">IFERROR(($J59*X59)*$L59, "")</f>
        <v>0</v>
      </c>
      <c r="AL59" s="284" t="n">
        <f aca="false">IFERROR(($J59*Y59)*$L59, "")</f>
        <v>0</v>
      </c>
      <c r="AM59" s="285" t="n">
        <f aca="false">IFERROR(($J59*Z59)*$L59, "")</f>
        <v>0</v>
      </c>
      <c r="AN59" s="286" t="n">
        <f aca="false">IFERROR(SUMIF($AB$4:$AM$4, "RDEC", AB59:AM59), "")</f>
        <v>2275.434</v>
      </c>
      <c r="AO59" s="286" t="n">
        <f aca="false">IFERROR(SUMIF($AB$4:$AM$4, "SME", AB59:AM59), "")</f>
        <v>4225.806</v>
      </c>
      <c r="AP59" s="286" t="n">
        <f aca="false">IFERROR(SUMIF($AB$4:$AM$4, "De Minimis", AB59:AM59), "")</f>
        <v>0</v>
      </c>
      <c r="AQ59" s="283"/>
      <c r="AR59" s="284" t="n">
        <f aca="false">IFERROR(($J59*O59)*$M59, "")</f>
        <v>0</v>
      </c>
      <c r="AS59" s="284" t="n">
        <f aca="false">IFERROR(($J59*P59)*$M59, "")</f>
        <v>0</v>
      </c>
      <c r="AT59" s="284" t="n">
        <f aca="false">IFERROR(($J59*Q59)*$M59, "")</f>
        <v>0</v>
      </c>
      <c r="AU59" s="284" t="n">
        <f aca="false">IFERROR(($J59*R59)*$M59, "")</f>
        <v>0</v>
      </c>
      <c r="AV59" s="284" t="n">
        <f aca="false">IFERROR(($J59*S59)*$M59, "")</f>
        <v>0</v>
      </c>
      <c r="AW59" s="284" t="n">
        <f aca="false">IFERROR(($J59*T59)*$M59, "")</f>
        <v>0</v>
      </c>
      <c r="AX59" s="284" t="n">
        <f aca="false">IFERROR(($J59*U59)*$M59, "")</f>
        <v>0</v>
      </c>
      <c r="AY59" s="284" t="n">
        <f aca="false">IFERROR(($J59*V59)*$M59, "")</f>
        <v>0</v>
      </c>
      <c r="AZ59" s="284" t="n">
        <f aca="false">IFERROR(($J59*W59)*$M59, "")</f>
        <v>0</v>
      </c>
      <c r="BA59" s="284" t="n">
        <f aca="false">IFERROR(($J59*X59)*$M59, "")</f>
        <v>0</v>
      </c>
      <c r="BB59" s="284" t="n">
        <f aca="false">IFERROR(($J59*Y59)*$M59, "")</f>
        <v>0</v>
      </c>
      <c r="BC59" s="285" t="n">
        <f aca="false">IFERROR(($J59*Z59)*$M59, "")</f>
        <v>0</v>
      </c>
      <c r="BD59" s="286" t="n">
        <f aca="false">IFERROR(SUMIF($AB$4:$AM$4, "RDEC", AR59:BC59), "")</f>
        <v>0</v>
      </c>
      <c r="BE59" s="286" t="n">
        <f aca="false">IFERROR(SUMIF($AB$4:$AM$4, "SME", AR59:BC59), "")</f>
        <v>0</v>
      </c>
      <c r="BF59" s="286" t="n">
        <f aca="false">IFERROR(SUMIF($AB$4:$AM$4, "De Minimis", AR59:BC59), "")</f>
        <v>0</v>
      </c>
      <c r="BG59" s="287"/>
      <c r="BH59" s="288" t="str">
        <f aca="false">IF((SUM(O59:Z59)&gt;1),"ERROR","")</f>
        <v/>
      </c>
      <c r="BI59" s="287"/>
      <c r="BJ59" s="18" t="str">
        <f aca="false">IF(C45&gt;0, C45, "")</f>
        <v/>
      </c>
      <c r="BL59" s="200"/>
      <c r="BM59" s="200"/>
      <c r="BN59" s="200"/>
    </row>
    <row r="60" customFormat="false" ht="15" hidden="false" customHeight="true" outlineLevel="0" collapsed="false">
      <c r="B60" s="275"/>
      <c r="D60" s="276" t="n">
        <f aca="false">D44</f>
        <v>45413</v>
      </c>
      <c r="E60" s="277" t="n">
        <v>5583.68</v>
      </c>
      <c r="F60" s="277" t="n">
        <v>1507.59</v>
      </c>
      <c r="G60" s="277" t="n">
        <v>386.03</v>
      </c>
      <c r="H60" s="277" t="n">
        <v>665.9</v>
      </c>
      <c r="I60" s="277" t="n">
        <v>279.18</v>
      </c>
      <c r="J60" s="278" t="n">
        <f aca="false">E60+H60+I60</f>
        <v>6528.76</v>
      </c>
      <c r="K60" s="204"/>
      <c r="L60" s="279" t="n">
        <v>1</v>
      </c>
      <c r="M60" s="280" t="n">
        <f aca="false">1-L60</f>
        <v>0</v>
      </c>
      <c r="N60" s="281"/>
      <c r="O60" s="282"/>
      <c r="P60" s="282" t="n">
        <v>0.4</v>
      </c>
      <c r="Q60" s="282"/>
      <c r="R60" s="282" t="n">
        <v>0.35</v>
      </c>
      <c r="S60" s="282" t="n">
        <v>0.25</v>
      </c>
      <c r="T60" s="282"/>
      <c r="U60" s="282"/>
      <c r="V60" s="282"/>
      <c r="W60" s="282"/>
      <c r="X60" s="282"/>
      <c r="Y60" s="282"/>
      <c r="Z60" s="282"/>
      <c r="AA60" s="283"/>
      <c r="AB60" s="284" t="n">
        <f aca="false">IFERROR(($J60*O60)*$L60, "")</f>
        <v>0</v>
      </c>
      <c r="AC60" s="284" t="n">
        <f aca="false">IFERROR(($J60*P60)*$L60, "")</f>
        <v>2611.504</v>
      </c>
      <c r="AD60" s="284" t="n">
        <f aca="false">IFERROR(($J60*Q60)*$L60, "")</f>
        <v>0</v>
      </c>
      <c r="AE60" s="284" t="n">
        <f aca="false">IFERROR(($J60*R60)*$L60, "")</f>
        <v>2285.066</v>
      </c>
      <c r="AF60" s="284" t="n">
        <f aca="false">IFERROR(($J60*S60)*$L60, "")</f>
        <v>1632.19</v>
      </c>
      <c r="AG60" s="284" t="n">
        <f aca="false">IFERROR(($J60*T60)*$L60, "")</f>
        <v>0</v>
      </c>
      <c r="AH60" s="284" t="n">
        <f aca="false">IFERROR(($J60*U60)*$L60, "")</f>
        <v>0</v>
      </c>
      <c r="AI60" s="284" t="n">
        <f aca="false">IFERROR(($J60*V60)*$L60, "")</f>
        <v>0</v>
      </c>
      <c r="AJ60" s="284" t="n">
        <f aca="false">IFERROR(($J60*W60)*$L60, "")</f>
        <v>0</v>
      </c>
      <c r="AK60" s="284" t="n">
        <f aca="false">IFERROR(($J60*X60)*$L60, "")</f>
        <v>0</v>
      </c>
      <c r="AL60" s="284" t="n">
        <f aca="false">IFERROR(($J60*Y60)*$L60, "")</f>
        <v>0</v>
      </c>
      <c r="AM60" s="285" t="n">
        <f aca="false">IFERROR(($J60*Z60)*$L60, "")</f>
        <v>0</v>
      </c>
      <c r="AN60" s="286" t="n">
        <f aca="false">IFERROR(SUMIF($AB$4:$AM$4, "RDEC", AB60:AM60), "")</f>
        <v>2285.066</v>
      </c>
      <c r="AO60" s="286" t="n">
        <f aca="false">IFERROR(SUMIF($AB$4:$AM$4, "SME", AB60:AM60), "")</f>
        <v>4243.694</v>
      </c>
      <c r="AP60" s="286" t="n">
        <f aca="false">IFERROR(SUMIF($AB$4:$AM$4, "De Minimis", AB60:AM60), "")</f>
        <v>0</v>
      </c>
      <c r="AQ60" s="283"/>
      <c r="AR60" s="284" t="n">
        <f aca="false">IFERROR(($J60*O60)*$M60, "")</f>
        <v>0</v>
      </c>
      <c r="AS60" s="284" t="n">
        <f aca="false">IFERROR(($J60*P60)*$M60, "")</f>
        <v>0</v>
      </c>
      <c r="AT60" s="284" t="n">
        <f aca="false">IFERROR(($J60*Q60)*$M60, "")</f>
        <v>0</v>
      </c>
      <c r="AU60" s="284" t="n">
        <f aca="false">IFERROR(($J60*R60)*$M60, "")</f>
        <v>0</v>
      </c>
      <c r="AV60" s="284" t="n">
        <f aca="false">IFERROR(($J60*S60)*$M60, "")</f>
        <v>0</v>
      </c>
      <c r="AW60" s="284" t="n">
        <f aca="false">IFERROR(($J60*T60)*$M60, "")</f>
        <v>0</v>
      </c>
      <c r="AX60" s="284" t="n">
        <f aca="false">IFERROR(($J60*U60)*$M60, "")</f>
        <v>0</v>
      </c>
      <c r="AY60" s="284" t="n">
        <f aca="false">IFERROR(($J60*V60)*$M60, "")</f>
        <v>0</v>
      </c>
      <c r="AZ60" s="284" t="n">
        <f aca="false">IFERROR(($J60*W60)*$M60, "")</f>
        <v>0</v>
      </c>
      <c r="BA60" s="284" t="n">
        <f aca="false">IFERROR(($J60*X60)*$M60, "")</f>
        <v>0</v>
      </c>
      <c r="BB60" s="284" t="n">
        <f aca="false">IFERROR(($J60*Y60)*$M60, "")</f>
        <v>0</v>
      </c>
      <c r="BC60" s="285" t="n">
        <f aca="false">IFERROR(($J60*Z60)*$M60, "")</f>
        <v>0</v>
      </c>
      <c r="BD60" s="286" t="n">
        <f aca="false">IFERROR(SUMIF($AB$4:$AM$4, "RDEC", AR60:BC60), "")</f>
        <v>0</v>
      </c>
      <c r="BE60" s="286" t="n">
        <f aca="false">IFERROR(SUMIF($AB$4:$AM$4, "SME", AR60:BC60), "")</f>
        <v>0</v>
      </c>
      <c r="BF60" s="286" t="n">
        <f aca="false">IFERROR(SUMIF($AB$4:$AM$4, "De Minimis", AR60:BC60), "")</f>
        <v>0</v>
      </c>
      <c r="BG60" s="287"/>
      <c r="BH60" s="288" t="str">
        <f aca="false">IF((SUM(O60:Z60)&gt;1),"ERROR","")</f>
        <v/>
      </c>
      <c r="BI60" s="287"/>
      <c r="BJ60" s="18" t="str">
        <f aca="false">IF(C46&gt;0, C46, "")</f>
        <v/>
      </c>
      <c r="BL60" s="200"/>
      <c r="BM60" s="200"/>
      <c r="BN60" s="200"/>
    </row>
    <row r="61" customFormat="false" ht="15" hidden="false" customHeight="true" outlineLevel="0" collapsed="false">
      <c r="B61" s="275"/>
      <c r="D61" s="276" t="n">
        <f aca="false">D45</f>
        <v>45444</v>
      </c>
      <c r="E61" s="277" t="n">
        <v>5594.72</v>
      </c>
      <c r="F61" s="277" t="n">
        <v>1510.57</v>
      </c>
      <c r="G61" s="277" t="n">
        <v>386.91</v>
      </c>
      <c r="H61" s="277" t="n">
        <v>667.42</v>
      </c>
      <c r="I61" s="277" t="n">
        <v>279.74</v>
      </c>
      <c r="J61" s="278" t="n">
        <f aca="false">E61+H61+I61</f>
        <v>6541.88</v>
      </c>
      <c r="K61" s="204"/>
      <c r="L61" s="279" t="n">
        <v>1</v>
      </c>
      <c r="M61" s="280" t="n">
        <f aca="false">1-L61</f>
        <v>0</v>
      </c>
      <c r="N61" s="281"/>
      <c r="O61" s="282"/>
      <c r="P61" s="282" t="n">
        <v>0.4</v>
      </c>
      <c r="Q61" s="282"/>
      <c r="R61" s="282" t="n">
        <v>0.35</v>
      </c>
      <c r="S61" s="282" t="n">
        <v>0.25</v>
      </c>
      <c r="T61" s="282"/>
      <c r="U61" s="282"/>
      <c r="V61" s="282"/>
      <c r="W61" s="282"/>
      <c r="X61" s="282"/>
      <c r="Y61" s="282"/>
      <c r="Z61" s="282"/>
      <c r="AA61" s="283"/>
      <c r="AB61" s="284" t="n">
        <f aca="false">IFERROR(($J61*O61)*$L61, "")</f>
        <v>0</v>
      </c>
      <c r="AC61" s="284" t="n">
        <f aca="false">IFERROR(($J61*P61)*$L61, "")</f>
        <v>2616.752</v>
      </c>
      <c r="AD61" s="284" t="n">
        <f aca="false">IFERROR(($J61*Q61)*$L61, "")</f>
        <v>0</v>
      </c>
      <c r="AE61" s="284" t="n">
        <f aca="false">IFERROR(($J61*R61)*$L61, "")</f>
        <v>2289.658</v>
      </c>
      <c r="AF61" s="284" t="n">
        <f aca="false">IFERROR(($J61*S61)*$L61, "")</f>
        <v>1635.47</v>
      </c>
      <c r="AG61" s="284" t="n">
        <f aca="false">IFERROR(($J61*T61)*$L61, "")</f>
        <v>0</v>
      </c>
      <c r="AH61" s="284" t="n">
        <f aca="false">IFERROR(($J61*U61)*$L61, "")</f>
        <v>0</v>
      </c>
      <c r="AI61" s="284" t="n">
        <f aca="false">IFERROR(($J61*V61)*$L61, "")</f>
        <v>0</v>
      </c>
      <c r="AJ61" s="284" t="n">
        <f aca="false">IFERROR(($J61*W61)*$L61, "")</f>
        <v>0</v>
      </c>
      <c r="AK61" s="284" t="n">
        <f aca="false">IFERROR(($J61*X61)*$L61, "")</f>
        <v>0</v>
      </c>
      <c r="AL61" s="284" t="n">
        <f aca="false">IFERROR(($J61*Y61)*$L61, "")</f>
        <v>0</v>
      </c>
      <c r="AM61" s="285" t="n">
        <f aca="false">IFERROR(($J61*Z61)*$L61, "")</f>
        <v>0</v>
      </c>
      <c r="AN61" s="286" t="n">
        <f aca="false">IFERROR(SUMIF($AB$4:$AM$4, "RDEC", AB61:AM61), "")</f>
        <v>2289.658</v>
      </c>
      <c r="AO61" s="286" t="n">
        <f aca="false">IFERROR(SUMIF($AB$4:$AM$4, "SME", AB61:AM61), "")</f>
        <v>4252.222</v>
      </c>
      <c r="AP61" s="286" t="n">
        <f aca="false">IFERROR(SUMIF($AB$4:$AM$4, "De Minimis", AB61:AM61), "")</f>
        <v>0</v>
      </c>
      <c r="AQ61" s="283"/>
      <c r="AR61" s="284" t="n">
        <f aca="false">IFERROR(($J61*O61)*$M61, "")</f>
        <v>0</v>
      </c>
      <c r="AS61" s="284" t="n">
        <f aca="false">IFERROR(($J61*P61)*$M61, "")</f>
        <v>0</v>
      </c>
      <c r="AT61" s="284" t="n">
        <f aca="false">IFERROR(($J61*Q61)*$M61, "")</f>
        <v>0</v>
      </c>
      <c r="AU61" s="284" t="n">
        <f aca="false">IFERROR(($J61*R61)*$M61, "")</f>
        <v>0</v>
      </c>
      <c r="AV61" s="284" t="n">
        <f aca="false">IFERROR(($J61*S61)*$M61, "")</f>
        <v>0</v>
      </c>
      <c r="AW61" s="284" t="n">
        <f aca="false">IFERROR(($J61*T61)*$M61, "")</f>
        <v>0</v>
      </c>
      <c r="AX61" s="284" t="n">
        <f aca="false">IFERROR(($J61*U61)*$M61, "")</f>
        <v>0</v>
      </c>
      <c r="AY61" s="284" t="n">
        <f aca="false">IFERROR(($J61*V61)*$M61, "")</f>
        <v>0</v>
      </c>
      <c r="AZ61" s="284" t="n">
        <f aca="false">IFERROR(($J61*W61)*$M61, "")</f>
        <v>0</v>
      </c>
      <c r="BA61" s="284" t="n">
        <f aca="false">IFERROR(($J61*X61)*$M61, "")</f>
        <v>0</v>
      </c>
      <c r="BB61" s="284" t="n">
        <f aca="false">IFERROR(($J61*Y61)*$M61, "")</f>
        <v>0</v>
      </c>
      <c r="BC61" s="285" t="n">
        <f aca="false">IFERROR(($J61*Z61)*$M61, "")</f>
        <v>0</v>
      </c>
      <c r="BD61" s="286" t="n">
        <f aca="false">IFERROR(SUMIF($AB$4:$AM$4, "RDEC", AR61:BC61), "")</f>
        <v>0</v>
      </c>
      <c r="BE61" s="286" t="n">
        <f aca="false">IFERROR(SUMIF($AB$4:$AM$4, "SME", AR61:BC61), "")</f>
        <v>0</v>
      </c>
      <c r="BF61" s="286" t="n">
        <f aca="false">IFERROR(SUMIF($AB$4:$AM$4, "De Minimis", AR61:BC61), "")</f>
        <v>0</v>
      </c>
      <c r="BG61" s="287"/>
      <c r="BH61" s="288" t="str">
        <f aca="false">IF((SUM(O61:Z61)&gt;1),"ERROR","")</f>
        <v/>
      </c>
      <c r="BI61" s="287"/>
      <c r="BJ61" s="18" t="str">
        <f aca="false">IF(C47&gt;0, C47, "")</f>
        <v/>
      </c>
      <c r="BL61" s="200"/>
      <c r="BM61" s="200"/>
      <c r="BN61" s="200"/>
    </row>
    <row r="62" customFormat="false" ht="15" hidden="false" customHeight="true" outlineLevel="0" collapsed="false">
      <c r="B62" s="275"/>
      <c r="D62" s="276" t="n">
        <f aca="false">D46</f>
        <v>45474</v>
      </c>
      <c r="E62" s="277" t="n">
        <v>5650.77</v>
      </c>
      <c r="F62" s="277" t="n">
        <v>1525.71</v>
      </c>
      <c r="G62" s="277" t="n">
        <v>391.4</v>
      </c>
      <c r="H62" s="277" t="n">
        <v>675.16</v>
      </c>
      <c r="I62" s="277" t="n">
        <v>282.54</v>
      </c>
      <c r="J62" s="278" t="n">
        <f aca="false">E62+H62+I62</f>
        <v>6608.47</v>
      </c>
      <c r="K62" s="204"/>
      <c r="L62" s="279" t="n">
        <v>1</v>
      </c>
      <c r="M62" s="280" t="n">
        <f aca="false">1-L62</f>
        <v>0</v>
      </c>
      <c r="N62" s="281"/>
      <c r="O62" s="282"/>
      <c r="P62" s="282" t="n">
        <v>0.4</v>
      </c>
      <c r="Q62" s="282"/>
      <c r="R62" s="282" t="n">
        <v>0.35</v>
      </c>
      <c r="S62" s="282" t="n">
        <v>0.25</v>
      </c>
      <c r="T62" s="282"/>
      <c r="U62" s="282"/>
      <c r="V62" s="282"/>
      <c r="W62" s="282"/>
      <c r="X62" s="282"/>
      <c r="Y62" s="282"/>
      <c r="Z62" s="282"/>
      <c r="AA62" s="283"/>
      <c r="AB62" s="284" t="n">
        <f aca="false">IFERROR(($J62*O62)*$L62, "")</f>
        <v>0</v>
      </c>
      <c r="AC62" s="284" t="n">
        <f aca="false">IFERROR(($J62*P62)*$L62, "")</f>
        <v>2643.388</v>
      </c>
      <c r="AD62" s="284" t="n">
        <f aca="false">IFERROR(($J62*Q62)*$L62, "")</f>
        <v>0</v>
      </c>
      <c r="AE62" s="284" t="n">
        <f aca="false">IFERROR(($J62*R62)*$L62, "")</f>
        <v>2312.9645</v>
      </c>
      <c r="AF62" s="284" t="n">
        <f aca="false">IFERROR(($J62*S62)*$L62, "")</f>
        <v>1652.1175</v>
      </c>
      <c r="AG62" s="284" t="n">
        <f aca="false">IFERROR(($J62*T62)*$L62, "")</f>
        <v>0</v>
      </c>
      <c r="AH62" s="284" t="n">
        <f aca="false">IFERROR(($J62*U62)*$L62, "")</f>
        <v>0</v>
      </c>
      <c r="AI62" s="284" t="n">
        <f aca="false">IFERROR(($J62*V62)*$L62, "")</f>
        <v>0</v>
      </c>
      <c r="AJ62" s="284" t="n">
        <f aca="false">IFERROR(($J62*W62)*$L62, "")</f>
        <v>0</v>
      </c>
      <c r="AK62" s="284" t="n">
        <f aca="false">IFERROR(($J62*X62)*$L62, "")</f>
        <v>0</v>
      </c>
      <c r="AL62" s="284" t="n">
        <f aca="false">IFERROR(($J62*Y62)*$L62, "")</f>
        <v>0</v>
      </c>
      <c r="AM62" s="285" t="n">
        <f aca="false">IFERROR(($J62*Z62)*$L62, "")</f>
        <v>0</v>
      </c>
      <c r="AN62" s="286" t="n">
        <f aca="false">IFERROR(SUMIF($AB$4:$AM$4, "RDEC", AB62:AM62), "")</f>
        <v>2312.9645</v>
      </c>
      <c r="AO62" s="286" t="n">
        <f aca="false">IFERROR(SUMIF($AB$4:$AM$4, "SME", AB62:AM62), "")</f>
        <v>4295.5055</v>
      </c>
      <c r="AP62" s="286" t="n">
        <f aca="false">IFERROR(SUMIF($AB$4:$AM$4, "De Minimis", AB62:AM62), "")</f>
        <v>0</v>
      </c>
      <c r="AQ62" s="283"/>
      <c r="AR62" s="284" t="n">
        <f aca="false">IFERROR(($J62*O62)*$M62, "")</f>
        <v>0</v>
      </c>
      <c r="AS62" s="284" t="n">
        <f aca="false">IFERROR(($J62*P62)*$M62, "")</f>
        <v>0</v>
      </c>
      <c r="AT62" s="284" t="n">
        <f aca="false">IFERROR(($J62*Q62)*$M62, "")</f>
        <v>0</v>
      </c>
      <c r="AU62" s="284" t="n">
        <f aca="false">IFERROR(($J62*R62)*$M62, "")</f>
        <v>0</v>
      </c>
      <c r="AV62" s="284" t="n">
        <f aca="false">IFERROR(($J62*S62)*$M62, "")</f>
        <v>0</v>
      </c>
      <c r="AW62" s="284" t="n">
        <f aca="false">IFERROR(($J62*T62)*$M62, "")</f>
        <v>0</v>
      </c>
      <c r="AX62" s="284" t="n">
        <f aca="false">IFERROR(($J62*U62)*$M62, "")</f>
        <v>0</v>
      </c>
      <c r="AY62" s="284" t="n">
        <f aca="false">IFERROR(($J62*V62)*$M62, "")</f>
        <v>0</v>
      </c>
      <c r="AZ62" s="284" t="n">
        <f aca="false">IFERROR(($J62*W62)*$M62, "")</f>
        <v>0</v>
      </c>
      <c r="BA62" s="284" t="n">
        <f aca="false">IFERROR(($J62*X62)*$M62, "")</f>
        <v>0</v>
      </c>
      <c r="BB62" s="284" t="n">
        <f aca="false">IFERROR(($J62*Y62)*$M62, "")</f>
        <v>0</v>
      </c>
      <c r="BC62" s="285" t="n">
        <f aca="false">IFERROR(($J62*Z62)*$M62, "")</f>
        <v>0</v>
      </c>
      <c r="BD62" s="286" t="n">
        <f aca="false">IFERROR(SUMIF($AB$4:$AM$4, "RDEC", AR62:BC62), "")</f>
        <v>0</v>
      </c>
      <c r="BE62" s="286" t="n">
        <f aca="false">IFERROR(SUMIF($AB$4:$AM$4, "SME", AR62:BC62), "")</f>
        <v>0</v>
      </c>
      <c r="BF62" s="286" t="n">
        <f aca="false">IFERROR(SUMIF($AB$4:$AM$4, "De Minimis", AR62:BC62), "")</f>
        <v>0</v>
      </c>
      <c r="BG62" s="287"/>
      <c r="BH62" s="288" t="str">
        <f aca="false">IF((SUM(O62:Z62)&gt;1),"ERROR","")</f>
        <v/>
      </c>
      <c r="BI62" s="287"/>
      <c r="BJ62" s="18" t="str">
        <f aca="false">IF(C48&gt;0, C48, "")</f>
        <v/>
      </c>
      <c r="BL62" s="200"/>
      <c r="BM62" s="200"/>
      <c r="BN62" s="200"/>
    </row>
    <row r="63" customFormat="false" ht="15" hidden="false" customHeight="true" outlineLevel="0" collapsed="false">
      <c r="B63" s="275"/>
      <c r="D63" s="276" t="n">
        <f aca="false">D47</f>
        <v>45505</v>
      </c>
      <c r="E63" s="277" t="n">
        <v>5697.89</v>
      </c>
      <c r="F63" s="277" t="n">
        <v>1538.43</v>
      </c>
      <c r="G63" s="277" t="n">
        <v>395.16</v>
      </c>
      <c r="H63" s="277" t="n">
        <v>681.66</v>
      </c>
      <c r="I63" s="277" t="n">
        <v>284.89</v>
      </c>
      <c r="J63" s="278" t="n">
        <f aca="false">E63+H63+I63</f>
        <v>6664.44</v>
      </c>
      <c r="K63" s="204"/>
      <c r="L63" s="279" t="n">
        <v>1</v>
      </c>
      <c r="M63" s="280" t="n">
        <f aca="false">1-L63</f>
        <v>0</v>
      </c>
      <c r="N63" s="281"/>
      <c r="O63" s="282"/>
      <c r="P63" s="282" t="n">
        <v>0.4</v>
      </c>
      <c r="Q63" s="282"/>
      <c r="R63" s="282" t="n">
        <v>0.35</v>
      </c>
      <c r="S63" s="282" t="n">
        <v>0.25</v>
      </c>
      <c r="T63" s="282"/>
      <c r="U63" s="282"/>
      <c r="V63" s="282"/>
      <c r="W63" s="282"/>
      <c r="X63" s="282"/>
      <c r="Y63" s="282"/>
      <c r="Z63" s="282"/>
      <c r="AA63" s="283"/>
      <c r="AB63" s="284" t="n">
        <f aca="false">IFERROR(($J63*O63)*$L63, "")</f>
        <v>0</v>
      </c>
      <c r="AC63" s="284" t="n">
        <f aca="false">IFERROR(($J63*P63)*$L63, "")</f>
        <v>2665.776</v>
      </c>
      <c r="AD63" s="284" t="n">
        <f aca="false">IFERROR(($J63*Q63)*$L63, "")</f>
        <v>0</v>
      </c>
      <c r="AE63" s="284" t="n">
        <f aca="false">IFERROR(($J63*R63)*$L63, "")</f>
        <v>2332.554</v>
      </c>
      <c r="AF63" s="284" t="n">
        <f aca="false">IFERROR(($J63*S63)*$L63, "")</f>
        <v>1666.11</v>
      </c>
      <c r="AG63" s="284" t="n">
        <f aca="false">IFERROR(($J63*T63)*$L63, "")</f>
        <v>0</v>
      </c>
      <c r="AH63" s="284" t="n">
        <f aca="false">IFERROR(($J63*U63)*$L63, "")</f>
        <v>0</v>
      </c>
      <c r="AI63" s="284" t="n">
        <f aca="false">IFERROR(($J63*V63)*$L63, "")</f>
        <v>0</v>
      </c>
      <c r="AJ63" s="284" t="n">
        <f aca="false">IFERROR(($J63*W63)*$L63, "")</f>
        <v>0</v>
      </c>
      <c r="AK63" s="284" t="n">
        <f aca="false">IFERROR(($J63*X63)*$L63, "")</f>
        <v>0</v>
      </c>
      <c r="AL63" s="284" t="n">
        <f aca="false">IFERROR(($J63*Y63)*$L63, "")</f>
        <v>0</v>
      </c>
      <c r="AM63" s="285" t="n">
        <f aca="false">IFERROR(($J63*Z63)*$L63, "")</f>
        <v>0</v>
      </c>
      <c r="AN63" s="286" t="n">
        <f aca="false">IFERROR(SUMIF($AB$4:$AM$4, "RDEC", AB63:AM63), "")</f>
        <v>2332.554</v>
      </c>
      <c r="AO63" s="286" t="n">
        <f aca="false">IFERROR(SUMIF($AB$4:$AM$4, "SME", AB63:AM63), "")</f>
        <v>4331.886</v>
      </c>
      <c r="AP63" s="286" t="n">
        <f aca="false">IFERROR(SUMIF($AB$4:$AM$4, "De Minimis", AB63:AM63), "")</f>
        <v>0</v>
      </c>
      <c r="AQ63" s="283"/>
      <c r="AR63" s="284" t="n">
        <f aca="false">IFERROR(($J63*O63)*$M63, "")</f>
        <v>0</v>
      </c>
      <c r="AS63" s="284" t="n">
        <f aca="false">IFERROR(($J63*P63)*$M63, "")</f>
        <v>0</v>
      </c>
      <c r="AT63" s="284" t="n">
        <f aca="false">IFERROR(($J63*Q63)*$M63, "")</f>
        <v>0</v>
      </c>
      <c r="AU63" s="284" t="n">
        <f aca="false">IFERROR(($J63*R63)*$M63, "")</f>
        <v>0</v>
      </c>
      <c r="AV63" s="284" t="n">
        <f aca="false">IFERROR(($J63*S63)*$M63, "")</f>
        <v>0</v>
      </c>
      <c r="AW63" s="284" t="n">
        <f aca="false">IFERROR(($J63*T63)*$M63, "")</f>
        <v>0</v>
      </c>
      <c r="AX63" s="284" t="n">
        <f aca="false">IFERROR(($J63*U63)*$M63, "")</f>
        <v>0</v>
      </c>
      <c r="AY63" s="284" t="n">
        <f aca="false">IFERROR(($J63*V63)*$M63, "")</f>
        <v>0</v>
      </c>
      <c r="AZ63" s="284" t="n">
        <f aca="false">IFERROR(($J63*W63)*$M63, "")</f>
        <v>0</v>
      </c>
      <c r="BA63" s="284" t="n">
        <f aca="false">IFERROR(($J63*X63)*$M63, "")</f>
        <v>0</v>
      </c>
      <c r="BB63" s="284" t="n">
        <f aca="false">IFERROR(($J63*Y63)*$M63, "")</f>
        <v>0</v>
      </c>
      <c r="BC63" s="285" t="n">
        <f aca="false">IFERROR(($J63*Z63)*$M63, "")</f>
        <v>0</v>
      </c>
      <c r="BD63" s="286" t="n">
        <f aca="false">IFERROR(SUMIF($AB$4:$AM$4, "RDEC", AR63:BC63), "")</f>
        <v>0</v>
      </c>
      <c r="BE63" s="286" t="n">
        <f aca="false">IFERROR(SUMIF($AB$4:$AM$4, "SME", AR63:BC63), "")</f>
        <v>0</v>
      </c>
      <c r="BF63" s="286" t="n">
        <f aca="false">IFERROR(SUMIF($AB$4:$AM$4, "De Minimis", AR63:BC63), "")</f>
        <v>0</v>
      </c>
      <c r="BG63" s="287"/>
      <c r="BH63" s="288" t="str">
        <f aca="false">IF((SUM(O63:Z63)&gt;1),"ERROR","")</f>
        <v/>
      </c>
      <c r="BI63" s="287"/>
      <c r="BJ63" s="18" t="str">
        <f aca="false">IF(C49&gt;0, C49, "")</f>
        <v/>
      </c>
      <c r="BL63" s="200"/>
      <c r="BM63" s="200"/>
      <c r="BN63" s="200"/>
    </row>
    <row r="64" customFormat="false" ht="15" hidden="false" customHeight="true" outlineLevel="0" collapsed="false">
      <c r="B64" s="275"/>
      <c r="D64" s="276" t="n">
        <f aca="false">D48</f>
        <v>45536</v>
      </c>
      <c r="E64" s="277" t="n">
        <v>5595.81</v>
      </c>
      <c r="F64" s="277" t="n">
        <v>1510.87</v>
      </c>
      <c r="G64" s="277" t="n">
        <v>387</v>
      </c>
      <c r="H64" s="277" t="n">
        <v>667.57</v>
      </c>
      <c r="I64" s="277" t="n">
        <v>279.79</v>
      </c>
      <c r="J64" s="278" t="n">
        <f aca="false">E64+H64+I64</f>
        <v>6543.17</v>
      </c>
      <c r="K64" s="204"/>
      <c r="L64" s="279" t="n">
        <v>1</v>
      </c>
      <c r="M64" s="280" t="n">
        <f aca="false">1-L64</f>
        <v>0</v>
      </c>
      <c r="N64" s="281"/>
      <c r="O64" s="282"/>
      <c r="P64" s="282" t="n">
        <v>0.4</v>
      </c>
      <c r="Q64" s="282"/>
      <c r="R64" s="282" t="n">
        <v>0.35</v>
      </c>
      <c r="S64" s="282" t="n">
        <v>0.25</v>
      </c>
      <c r="T64" s="282"/>
      <c r="U64" s="282"/>
      <c r="V64" s="282"/>
      <c r="W64" s="282"/>
      <c r="X64" s="282"/>
      <c r="Y64" s="282"/>
      <c r="Z64" s="282"/>
      <c r="AA64" s="283"/>
      <c r="AB64" s="284" t="n">
        <f aca="false">IFERROR(($J64*O64)*$L64, "")</f>
        <v>0</v>
      </c>
      <c r="AC64" s="284" t="n">
        <f aca="false">IFERROR(($J64*P64)*$L64, "")</f>
        <v>2617.268</v>
      </c>
      <c r="AD64" s="284" t="n">
        <f aca="false">IFERROR(($J64*Q64)*$L64, "")</f>
        <v>0</v>
      </c>
      <c r="AE64" s="284" t="n">
        <f aca="false">IFERROR(($J64*R64)*$L64, "")</f>
        <v>2290.1095</v>
      </c>
      <c r="AF64" s="284" t="n">
        <f aca="false">IFERROR(($J64*S64)*$L64, "")</f>
        <v>1635.7925</v>
      </c>
      <c r="AG64" s="284" t="n">
        <f aca="false">IFERROR(($J64*T64)*$L64, "")</f>
        <v>0</v>
      </c>
      <c r="AH64" s="284" t="n">
        <f aca="false">IFERROR(($J64*U64)*$L64, "")</f>
        <v>0</v>
      </c>
      <c r="AI64" s="284" t="n">
        <f aca="false">IFERROR(($J64*V64)*$L64, "")</f>
        <v>0</v>
      </c>
      <c r="AJ64" s="284" t="n">
        <f aca="false">IFERROR(($J64*W64)*$L64, "")</f>
        <v>0</v>
      </c>
      <c r="AK64" s="284" t="n">
        <f aca="false">IFERROR(($J64*X64)*$L64, "")</f>
        <v>0</v>
      </c>
      <c r="AL64" s="284" t="n">
        <f aca="false">IFERROR(($J64*Y64)*$L64, "")</f>
        <v>0</v>
      </c>
      <c r="AM64" s="285" t="n">
        <f aca="false">IFERROR(($J64*Z64)*$L64, "")</f>
        <v>0</v>
      </c>
      <c r="AN64" s="286" t="n">
        <f aca="false">IFERROR(SUMIF($AB$4:$AM$4, "RDEC", AB64:AM64), "")</f>
        <v>2290.1095</v>
      </c>
      <c r="AO64" s="286" t="n">
        <f aca="false">IFERROR(SUMIF($AB$4:$AM$4, "SME", AB64:AM64), "")</f>
        <v>4253.0605</v>
      </c>
      <c r="AP64" s="286" t="n">
        <f aca="false">IFERROR(SUMIF($AB$4:$AM$4, "De Minimis", AB64:AM64), "")</f>
        <v>0</v>
      </c>
      <c r="AQ64" s="283"/>
      <c r="AR64" s="284" t="n">
        <f aca="false">IFERROR(($J64*O64)*$M64, "")</f>
        <v>0</v>
      </c>
      <c r="AS64" s="284" t="n">
        <f aca="false">IFERROR(($J64*P64)*$M64, "")</f>
        <v>0</v>
      </c>
      <c r="AT64" s="284" t="n">
        <f aca="false">IFERROR(($J64*Q64)*$M64, "")</f>
        <v>0</v>
      </c>
      <c r="AU64" s="284" t="n">
        <f aca="false">IFERROR(($J64*R64)*$M64, "")</f>
        <v>0</v>
      </c>
      <c r="AV64" s="284" t="n">
        <f aca="false">IFERROR(($J64*S64)*$M64, "")</f>
        <v>0</v>
      </c>
      <c r="AW64" s="284" t="n">
        <f aca="false">IFERROR(($J64*T64)*$M64, "")</f>
        <v>0</v>
      </c>
      <c r="AX64" s="284" t="n">
        <f aca="false">IFERROR(($J64*U64)*$M64, "")</f>
        <v>0</v>
      </c>
      <c r="AY64" s="284" t="n">
        <f aca="false">IFERROR(($J64*V64)*$M64, "")</f>
        <v>0</v>
      </c>
      <c r="AZ64" s="284" t="n">
        <f aca="false">IFERROR(($J64*W64)*$M64, "")</f>
        <v>0</v>
      </c>
      <c r="BA64" s="284" t="n">
        <f aca="false">IFERROR(($J64*X64)*$M64, "")</f>
        <v>0</v>
      </c>
      <c r="BB64" s="284" t="n">
        <f aca="false">IFERROR(($J64*Y64)*$M64, "")</f>
        <v>0</v>
      </c>
      <c r="BC64" s="285" t="n">
        <f aca="false">IFERROR(($J64*Z64)*$M64, "")</f>
        <v>0</v>
      </c>
      <c r="BD64" s="286" t="n">
        <f aca="false">IFERROR(SUMIF($AB$4:$AM$4, "RDEC", AR64:BC64), "")</f>
        <v>0</v>
      </c>
      <c r="BE64" s="286" t="n">
        <f aca="false">IFERROR(SUMIF($AB$4:$AM$4, "SME", AR64:BC64), "")</f>
        <v>0</v>
      </c>
      <c r="BF64" s="286" t="n">
        <f aca="false">IFERROR(SUMIF($AB$4:$AM$4, "De Minimis", AR64:BC64), "")</f>
        <v>0</v>
      </c>
      <c r="BG64" s="287"/>
      <c r="BH64" s="288" t="str">
        <f aca="false">IF((SUM(O64:Z64)&gt;1),"ERROR","")</f>
        <v/>
      </c>
      <c r="BI64" s="287"/>
      <c r="BJ64" s="18" t="str">
        <f aca="false">IF(C50&gt;0, C50, "")</f>
        <v/>
      </c>
      <c r="BL64" s="200"/>
      <c r="BM64" s="200"/>
      <c r="BN64" s="200"/>
    </row>
    <row r="65" customFormat="false" ht="15" hidden="false" customHeight="true" outlineLevel="0" collapsed="false">
      <c r="B65" s="275"/>
      <c r="D65" s="276" t="n">
        <f aca="false">D49</f>
        <v>45566</v>
      </c>
      <c r="E65" s="277" t="n">
        <v>5567.72</v>
      </c>
      <c r="F65" s="277" t="n">
        <v>1503.28</v>
      </c>
      <c r="G65" s="277" t="n">
        <v>384.75</v>
      </c>
      <c r="H65" s="277" t="n">
        <v>663.7</v>
      </c>
      <c r="I65" s="277" t="n">
        <v>278.39</v>
      </c>
      <c r="J65" s="278" t="n">
        <f aca="false">E65+H65+I65</f>
        <v>6509.81</v>
      </c>
      <c r="K65" s="204"/>
      <c r="L65" s="279" t="n">
        <v>1</v>
      </c>
      <c r="M65" s="280" t="n">
        <f aca="false">1-L65</f>
        <v>0</v>
      </c>
      <c r="N65" s="281"/>
      <c r="O65" s="282"/>
      <c r="P65" s="282" t="n">
        <v>0.4</v>
      </c>
      <c r="Q65" s="282"/>
      <c r="R65" s="282" t="n">
        <v>0.35</v>
      </c>
      <c r="S65" s="282" t="n">
        <v>0.25</v>
      </c>
      <c r="T65" s="282"/>
      <c r="U65" s="282"/>
      <c r="V65" s="282"/>
      <c r="W65" s="282"/>
      <c r="X65" s="282"/>
      <c r="Y65" s="282"/>
      <c r="Z65" s="282"/>
      <c r="AA65" s="283"/>
      <c r="AB65" s="284" t="n">
        <f aca="false">IFERROR(($J65*O65)*$L65, "")</f>
        <v>0</v>
      </c>
      <c r="AC65" s="284" t="n">
        <f aca="false">IFERROR(($J65*P65)*$L65, "")</f>
        <v>2603.924</v>
      </c>
      <c r="AD65" s="284" t="n">
        <f aca="false">IFERROR(($J65*Q65)*$L65, "")</f>
        <v>0</v>
      </c>
      <c r="AE65" s="284" t="n">
        <f aca="false">IFERROR(($J65*R65)*$L65, "")</f>
        <v>2278.4335</v>
      </c>
      <c r="AF65" s="284" t="n">
        <f aca="false">IFERROR(($J65*S65)*$L65, "")</f>
        <v>1627.4525</v>
      </c>
      <c r="AG65" s="284" t="n">
        <f aca="false">IFERROR(($J65*T65)*$L65, "")</f>
        <v>0</v>
      </c>
      <c r="AH65" s="284" t="n">
        <f aca="false">IFERROR(($J65*U65)*$L65, "")</f>
        <v>0</v>
      </c>
      <c r="AI65" s="284" t="n">
        <f aca="false">IFERROR(($J65*V65)*$L65, "")</f>
        <v>0</v>
      </c>
      <c r="AJ65" s="284" t="n">
        <f aca="false">IFERROR(($J65*W65)*$L65, "")</f>
        <v>0</v>
      </c>
      <c r="AK65" s="284" t="n">
        <f aca="false">IFERROR(($J65*X65)*$L65, "")</f>
        <v>0</v>
      </c>
      <c r="AL65" s="284" t="n">
        <f aca="false">IFERROR(($J65*Y65)*$L65, "")</f>
        <v>0</v>
      </c>
      <c r="AM65" s="285" t="n">
        <f aca="false">IFERROR(($J65*Z65)*$L65, "")</f>
        <v>0</v>
      </c>
      <c r="AN65" s="286" t="n">
        <f aca="false">IFERROR(SUMIF($AB$4:$AM$4, "RDEC", AB65:AM65), "")</f>
        <v>2278.4335</v>
      </c>
      <c r="AO65" s="286" t="n">
        <f aca="false">IFERROR(SUMIF($AB$4:$AM$4, "SME", AB65:AM65), "")</f>
        <v>4231.3765</v>
      </c>
      <c r="AP65" s="286" t="n">
        <f aca="false">IFERROR(SUMIF($AB$4:$AM$4, "De Minimis", AB65:AM65), "")</f>
        <v>0</v>
      </c>
      <c r="AQ65" s="283"/>
      <c r="AR65" s="284" t="n">
        <f aca="false">IFERROR(($J65*O65)*$M65, "")</f>
        <v>0</v>
      </c>
      <c r="AS65" s="284" t="n">
        <f aca="false">IFERROR(($J65*P65)*$M65, "")</f>
        <v>0</v>
      </c>
      <c r="AT65" s="284" t="n">
        <f aca="false">IFERROR(($J65*Q65)*$M65, "")</f>
        <v>0</v>
      </c>
      <c r="AU65" s="284" t="n">
        <f aca="false">IFERROR(($J65*R65)*$M65, "")</f>
        <v>0</v>
      </c>
      <c r="AV65" s="284" t="n">
        <f aca="false">IFERROR(($J65*S65)*$M65, "")</f>
        <v>0</v>
      </c>
      <c r="AW65" s="284" t="n">
        <f aca="false">IFERROR(($J65*T65)*$M65, "")</f>
        <v>0</v>
      </c>
      <c r="AX65" s="284" t="n">
        <f aca="false">IFERROR(($J65*U65)*$M65, "")</f>
        <v>0</v>
      </c>
      <c r="AY65" s="284" t="n">
        <f aca="false">IFERROR(($J65*V65)*$M65, "")</f>
        <v>0</v>
      </c>
      <c r="AZ65" s="284" t="n">
        <f aca="false">IFERROR(($J65*W65)*$M65, "")</f>
        <v>0</v>
      </c>
      <c r="BA65" s="284" t="n">
        <f aca="false">IFERROR(($J65*X65)*$M65, "")</f>
        <v>0</v>
      </c>
      <c r="BB65" s="284" t="n">
        <f aca="false">IFERROR(($J65*Y65)*$M65, "")</f>
        <v>0</v>
      </c>
      <c r="BC65" s="285" t="n">
        <f aca="false">IFERROR(($J65*Z65)*$M65, "")</f>
        <v>0</v>
      </c>
      <c r="BD65" s="286" t="n">
        <f aca="false">IFERROR(SUMIF($AB$4:$AM$4, "RDEC", AR65:BC65), "")</f>
        <v>0</v>
      </c>
      <c r="BE65" s="286" t="n">
        <f aca="false">IFERROR(SUMIF($AB$4:$AM$4, "SME", AR65:BC65), "")</f>
        <v>0</v>
      </c>
      <c r="BF65" s="286" t="n">
        <f aca="false">IFERROR(SUMIF($AB$4:$AM$4, "De Minimis", AR65:BC65), "")</f>
        <v>0</v>
      </c>
      <c r="BG65" s="287"/>
      <c r="BH65" s="288" t="str">
        <f aca="false">IF((SUM(O65:Z65)&gt;1),"ERROR","")</f>
        <v/>
      </c>
      <c r="BI65" s="287"/>
      <c r="BJ65" s="18" t="str">
        <f aca="false">IF(C51&gt;0, C51, "")</f>
        <v/>
      </c>
      <c r="BL65" s="200"/>
      <c r="BM65" s="200"/>
      <c r="BN65" s="200"/>
    </row>
    <row r="66" customFormat="false" ht="15" hidden="false" customHeight="true" outlineLevel="0" collapsed="false">
      <c r="B66" s="275"/>
      <c r="D66" s="276" t="n">
        <f aca="false">D50</f>
        <v>45597</v>
      </c>
      <c r="E66" s="277" t="n">
        <v>5678.24</v>
      </c>
      <c r="F66" s="277" t="n">
        <v>1533.12</v>
      </c>
      <c r="G66" s="277" t="n">
        <v>393.59</v>
      </c>
      <c r="H66" s="277" t="n">
        <v>678.95</v>
      </c>
      <c r="I66" s="277" t="n">
        <v>283.91</v>
      </c>
      <c r="J66" s="278" t="n">
        <f aca="false">E66+H66+I66</f>
        <v>6641.1</v>
      </c>
      <c r="K66" s="204"/>
      <c r="L66" s="279" t="n">
        <v>1</v>
      </c>
      <c r="M66" s="280" t="n">
        <f aca="false">1-L66</f>
        <v>0</v>
      </c>
      <c r="N66" s="281"/>
      <c r="O66" s="282"/>
      <c r="P66" s="282" t="n">
        <v>0.4</v>
      </c>
      <c r="Q66" s="282"/>
      <c r="R66" s="282" t="n">
        <v>0.35</v>
      </c>
      <c r="S66" s="282" t="n">
        <v>0.25</v>
      </c>
      <c r="T66" s="282"/>
      <c r="U66" s="282"/>
      <c r="V66" s="282"/>
      <c r="W66" s="282"/>
      <c r="X66" s="282"/>
      <c r="Y66" s="282"/>
      <c r="Z66" s="282"/>
      <c r="AA66" s="283"/>
      <c r="AB66" s="284" t="n">
        <f aca="false">IFERROR(($J66*O66)*$L66, "")</f>
        <v>0</v>
      </c>
      <c r="AC66" s="284" t="n">
        <f aca="false">IFERROR(($J66*P66)*$L66, "")</f>
        <v>2656.44</v>
      </c>
      <c r="AD66" s="284" t="n">
        <f aca="false">IFERROR(($J66*Q66)*$L66, "")</f>
        <v>0</v>
      </c>
      <c r="AE66" s="284" t="n">
        <f aca="false">IFERROR(($J66*R66)*$L66, "")</f>
        <v>2324.385</v>
      </c>
      <c r="AF66" s="284" t="n">
        <f aca="false">IFERROR(($J66*S66)*$L66, "")</f>
        <v>1660.275</v>
      </c>
      <c r="AG66" s="284" t="n">
        <f aca="false">IFERROR(($J66*T66)*$L66, "")</f>
        <v>0</v>
      </c>
      <c r="AH66" s="284" t="n">
        <f aca="false">IFERROR(($J66*U66)*$L66, "")</f>
        <v>0</v>
      </c>
      <c r="AI66" s="284" t="n">
        <f aca="false">IFERROR(($J66*V66)*$L66, "")</f>
        <v>0</v>
      </c>
      <c r="AJ66" s="284" t="n">
        <f aca="false">IFERROR(($J66*W66)*$L66, "")</f>
        <v>0</v>
      </c>
      <c r="AK66" s="284" t="n">
        <f aca="false">IFERROR(($J66*X66)*$L66, "")</f>
        <v>0</v>
      </c>
      <c r="AL66" s="284" t="n">
        <f aca="false">IFERROR(($J66*Y66)*$L66, "")</f>
        <v>0</v>
      </c>
      <c r="AM66" s="285" t="n">
        <f aca="false">IFERROR(($J66*Z66)*$L66, "")</f>
        <v>0</v>
      </c>
      <c r="AN66" s="286" t="n">
        <f aca="false">IFERROR(SUMIF($AB$4:$AM$4, "RDEC", AB66:AM66), "")</f>
        <v>2324.385</v>
      </c>
      <c r="AO66" s="286" t="n">
        <f aca="false">IFERROR(SUMIF($AB$4:$AM$4, "SME", AB66:AM66), "")</f>
        <v>4316.715</v>
      </c>
      <c r="AP66" s="286" t="n">
        <f aca="false">IFERROR(SUMIF($AB$4:$AM$4, "De Minimis", AB66:AM66), "")</f>
        <v>0</v>
      </c>
      <c r="AQ66" s="283"/>
      <c r="AR66" s="284" t="n">
        <f aca="false">IFERROR(($J66*O66)*$M66, "")</f>
        <v>0</v>
      </c>
      <c r="AS66" s="284" t="n">
        <f aca="false">IFERROR(($J66*P66)*$M66, "")</f>
        <v>0</v>
      </c>
      <c r="AT66" s="284" t="n">
        <f aca="false">IFERROR(($J66*Q66)*$M66, "")</f>
        <v>0</v>
      </c>
      <c r="AU66" s="284" t="n">
        <f aca="false">IFERROR(($J66*R66)*$M66, "")</f>
        <v>0</v>
      </c>
      <c r="AV66" s="284" t="n">
        <f aca="false">IFERROR(($J66*S66)*$M66, "")</f>
        <v>0</v>
      </c>
      <c r="AW66" s="284" t="n">
        <f aca="false">IFERROR(($J66*T66)*$M66, "")</f>
        <v>0</v>
      </c>
      <c r="AX66" s="284" t="n">
        <f aca="false">IFERROR(($J66*U66)*$M66, "")</f>
        <v>0</v>
      </c>
      <c r="AY66" s="284" t="n">
        <f aca="false">IFERROR(($J66*V66)*$M66, "")</f>
        <v>0</v>
      </c>
      <c r="AZ66" s="284" t="n">
        <f aca="false">IFERROR(($J66*W66)*$M66, "")</f>
        <v>0</v>
      </c>
      <c r="BA66" s="284" t="n">
        <f aca="false">IFERROR(($J66*X66)*$M66, "")</f>
        <v>0</v>
      </c>
      <c r="BB66" s="284" t="n">
        <f aca="false">IFERROR(($J66*Y66)*$M66, "")</f>
        <v>0</v>
      </c>
      <c r="BC66" s="285" t="n">
        <f aca="false">IFERROR(($J66*Z66)*$M66, "")</f>
        <v>0</v>
      </c>
      <c r="BD66" s="286" t="n">
        <f aca="false">IFERROR(SUMIF($AB$4:$AM$4, "RDEC", AR66:BC66), "")</f>
        <v>0</v>
      </c>
      <c r="BE66" s="286" t="n">
        <f aca="false">IFERROR(SUMIF($AB$4:$AM$4, "SME", AR66:BC66), "")</f>
        <v>0</v>
      </c>
      <c r="BF66" s="286" t="n">
        <f aca="false">IFERROR(SUMIF($AB$4:$AM$4, "De Minimis", AR66:BC66), "")</f>
        <v>0</v>
      </c>
      <c r="BG66" s="287"/>
      <c r="BH66" s="288" t="str">
        <f aca="false">IF((SUM(O66:Z66)&gt;1),"ERROR","")</f>
        <v/>
      </c>
      <c r="BI66" s="287"/>
      <c r="BJ66" s="18" t="str">
        <f aca="false">IF(C52&gt;0, C52, "")</f>
        <v/>
      </c>
      <c r="BL66" s="200"/>
      <c r="BM66" s="200"/>
      <c r="BN66" s="200"/>
    </row>
    <row r="67" customFormat="false" ht="15" hidden="false" customHeight="true" outlineLevel="0" collapsed="false">
      <c r="B67" s="275"/>
      <c r="D67" s="276" t="n">
        <f aca="false">D51</f>
        <v>45627</v>
      </c>
      <c r="E67" s="277" t="n">
        <v>5739.3</v>
      </c>
      <c r="F67" s="277" t="n">
        <v>1549.61</v>
      </c>
      <c r="G67" s="277" t="n">
        <v>398.48</v>
      </c>
      <c r="H67" s="277" t="n">
        <v>687.37</v>
      </c>
      <c r="I67" s="277" t="n">
        <v>286.97</v>
      </c>
      <c r="J67" s="278" t="n">
        <f aca="false">E67+H67+I67</f>
        <v>6713.64</v>
      </c>
      <c r="K67" s="204"/>
      <c r="L67" s="289" t="n">
        <v>1</v>
      </c>
      <c r="M67" s="290" t="n">
        <f aca="false">1-L67</f>
        <v>0</v>
      </c>
      <c r="N67" s="281"/>
      <c r="O67" s="291"/>
      <c r="P67" s="291" t="n">
        <v>0.4</v>
      </c>
      <c r="Q67" s="291"/>
      <c r="R67" s="291" t="n">
        <v>0.35</v>
      </c>
      <c r="S67" s="291" t="n">
        <v>0.25</v>
      </c>
      <c r="T67" s="291"/>
      <c r="U67" s="291"/>
      <c r="V67" s="291"/>
      <c r="W67" s="291"/>
      <c r="X67" s="291"/>
      <c r="Y67" s="291"/>
      <c r="Z67" s="291"/>
      <c r="AA67" s="283"/>
      <c r="AB67" s="292" t="n">
        <f aca="false">IFERROR(($J67*O67)*$L67, "")</f>
        <v>0</v>
      </c>
      <c r="AC67" s="292" t="n">
        <f aca="false">IFERROR(($J67*P67)*$L67, "")</f>
        <v>2685.456</v>
      </c>
      <c r="AD67" s="292" t="n">
        <f aca="false">IFERROR(($J67*Q67)*$L67, "")</f>
        <v>0</v>
      </c>
      <c r="AE67" s="292" t="n">
        <f aca="false">IFERROR(($J67*R67)*$L67, "")</f>
        <v>2349.774</v>
      </c>
      <c r="AF67" s="292" t="n">
        <f aca="false">IFERROR(($J67*S67)*$L67, "")</f>
        <v>1678.41</v>
      </c>
      <c r="AG67" s="292" t="n">
        <f aca="false">IFERROR(($J67*T67)*$L67, "")</f>
        <v>0</v>
      </c>
      <c r="AH67" s="292" t="n">
        <f aca="false">IFERROR(($J67*U67)*$L67, "")</f>
        <v>0</v>
      </c>
      <c r="AI67" s="292" t="n">
        <f aca="false">IFERROR(($J67*V67)*$L67, "")</f>
        <v>0</v>
      </c>
      <c r="AJ67" s="292" t="n">
        <f aca="false">IFERROR(($J67*W67)*$L67, "")</f>
        <v>0</v>
      </c>
      <c r="AK67" s="292" t="n">
        <f aca="false">IFERROR(($J67*X67)*$L67, "")</f>
        <v>0</v>
      </c>
      <c r="AL67" s="292" t="n">
        <f aca="false">IFERROR(($J67*Y67)*$L67, "")</f>
        <v>0</v>
      </c>
      <c r="AM67" s="293" t="n">
        <f aca="false">IFERROR(($J67*Z67)*$L67, "")</f>
        <v>0</v>
      </c>
      <c r="AN67" s="294" t="n">
        <f aca="false">IFERROR(SUMIF($AB$4:$AM$4, "RDEC", AB67:AM67), "")</f>
        <v>2349.774</v>
      </c>
      <c r="AO67" s="294" t="n">
        <f aca="false">IFERROR(SUMIF($AB$4:$AM$4, "SME", AB67:AM67), "")</f>
        <v>4363.866</v>
      </c>
      <c r="AP67" s="294" t="n">
        <f aca="false">IFERROR(SUMIF($AB$4:$AM$4, "De Minimis", AB67:AM67), "")</f>
        <v>0</v>
      </c>
      <c r="AQ67" s="283"/>
      <c r="AR67" s="292" t="n">
        <f aca="false">IFERROR(($J67*O67)*$M67, "")</f>
        <v>0</v>
      </c>
      <c r="AS67" s="292" t="n">
        <f aca="false">IFERROR(($J67*P67)*$M67, "")</f>
        <v>0</v>
      </c>
      <c r="AT67" s="292" t="n">
        <f aca="false">IFERROR(($J67*Q67)*$M67, "")</f>
        <v>0</v>
      </c>
      <c r="AU67" s="292" t="n">
        <f aca="false">IFERROR(($J67*R67)*$M67, "")</f>
        <v>0</v>
      </c>
      <c r="AV67" s="292" t="n">
        <f aca="false">IFERROR(($J67*S67)*$M67, "")</f>
        <v>0</v>
      </c>
      <c r="AW67" s="292" t="n">
        <f aca="false">IFERROR(($J67*T67)*$M67, "")</f>
        <v>0</v>
      </c>
      <c r="AX67" s="292" t="n">
        <f aca="false">IFERROR(($J67*U67)*$M67, "")</f>
        <v>0</v>
      </c>
      <c r="AY67" s="292" t="n">
        <f aca="false">IFERROR(($J67*V67)*$M67, "")</f>
        <v>0</v>
      </c>
      <c r="AZ67" s="292" t="n">
        <f aca="false">IFERROR(($J67*W67)*$M67, "")</f>
        <v>0</v>
      </c>
      <c r="BA67" s="292" t="n">
        <f aca="false">IFERROR(($J67*X67)*$M67, "")</f>
        <v>0</v>
      </c>
      <c r="BB67" s="292" t="n">
        <f aca="false">IFERROR(($J67*Y67)*$M67, "")</f>
        <v>0</v>
      </c>
      <c r="BC67" s="293" t="n">
        <f aca="false">IFERROR(($J67*Z67)*$M67, "")</f>
        <v>0</v>
      </c>
      <c r="BD67" s="294" t="n">
        <f aca="false">IFERROR(SUMIF($AB$4:$AM$4, "RDEC", AR67:BC67), "")</f>
        <v>0</v>
      </c>
      <c r="BE67" s="294" t="n">
        <f aca="false">IFERROR(SUMIF($AB$4:$AM$4, "SME", AR67:BC67), "")</f>
        <v>0</v>
      </c>
      <c r="BF67" s="294" t="n">
        <f aca="false">IFERROR(SUMIF($AB$4:$AM$4, "De Minimis", AR67:BC67), "")</f>
        <v>0</v>
      </c>
      <c r="BG67" s="287"/>
      <c r="BH67" s="295" t="str">
        <f aca="false">IF((SUM(O67:Z67)&gt;1),"ERROR","")</f>
        <v/>
      </c>
      <c r="BI67" s="287"/>
      <c r="BJ67" s="18" t="str">
        <f aca="false">IF(C53&gt;0, C53, "")</f>
        <v/>
      </c>
      <c r="BL67" s="200"/>
      <c r="BM67" s="200"/>
      <c r="BN67" s="200"/>
    </row>
    <row r="68" customFormat="false" ht="15" hidden="false" customHeight="true" outlineLevel="0" collapsed="false">
      <c r="B68" s="296"/>
      <c r="D68" s="297" t="s">
        <v>82</v>
      </c>
      <c r="E68" s="298" t="n">
        <f aca="false">SUM(E55:E67)</f>
        <v>67773.29</v>
      </c>
      <c r="F68" s="298" t="n">
        <f aca="false">SUM(F55:F67)</f>
        <v>18298.77</v>
      </c>
      <c r="G68" s="298" t="n">
        <f aca="false">SUM(G55:G67)</f>
        <v>4693.86</v>
      </c>
      <c r="H68" s="298" t="n">
        <f aca="false">SUM(H55:H67)</f>
        <v>8096.92</v>
      </c>
      <c r="I68" s="298" t="n">
        <f aca="false">SUM(I55:I67)</f>
        <v>3388.68</v>
      </c>
      <c r="J68" s="299" t="n">
        <f aca="false">SUM(J55:J67)</f>
        <v>79258.89</v>
      </c>
      <c r="K68" s="300"/>
      <c r="L68" s="301" t="n">
        <f aca="false">AVERAGE(L55:L67)</f>
        <v>1</v>
      </c>
      <c r="M68" s="301" t="n">
        <f aca="false">AVERAGE(M55:M67)</f>
        <v>0</v>
      </c>
      <c r="N68" s="302"/>
      <c r="O68" s="290" t="n">
        <f aca="false">IF(SUM(O56:O67)&gt;0,((AB68+AR68)/J68),0)</f>
        <v>0</v>
      </c>
      <c r="P68" s="290" t="n">
        <f aca="false">IF(SUM(P56:P67)&gt;0,((AC68+AS68)/J68),0)</f>
        <v>0.4</v>
      </c>
      <c r="Q68" s="290" t="n">
        <f aca="false">IF(SUM(Q56:Q67)&gt;0,((AD68+AT68)/J68),0)</f>
        <v>0</v>
      </c>
      <c r="R68" s="290" t="n">
        <f aca="false">IF(SUM(R56:R67)&gt;0,((AE68+AU68)/J68),0)</f>
        <v>0.35</v>
      </c>
      <c r="S68" s="290" t="n">
        <f aca="false">IF(SUM(S56:S67)&gt;0,((AF68+AV68)/J68),0)</f>
        <v>0.25</v>
      </c>
      <c r="T68" s="290" t="n">
        <f aca="false">IF(SUM(T56:T67)&gt;0,((AG68+AW68)/J68),0)</f>
        <v>0</v>
      </c>
      <c r="U68" s="290" t="n">
        <f aca="false">IF(SUM(U56:U67)&gt;0,((AH68+AX68)/J68),0)</f>
        <v>0</v>
      </c>
      <c r="V68" s="290" t="n">
        <f aca="false">IF(SUM(V56:V67)&gt;0,((AI68+AY68)/J68),0)</f>
        <v>0</v>
      </c>
      <c r="W68" s="290" t="n">
        <f aca="false">IF(SUM(W56:W67)&gt;0,((AJ68+AZ68)/J68),0)</f>
        <v>0</v>
      </c>
      <c r="X68" s="290" t="n">
        <f aca="false">IF(SUM(X56:X67)&gt;0,((AK68+BA68)/J68),0)</f>
        <v>0</v>
      </c>
      <c r="Y68" s="290" t="n">
        <f aca="false">IF(SUM(Y56:Y67)&gt;0,((AL68+BB68)/J68),0)</f>
        <v>0</v>
      </c>
      <c r="Z68" s="290" t="n">
        <f aca="false">IF(SUM(Z56:Z67)&gt;0,((AM68+BC68)/J68),0)</f>
        <v>0</v>
      </c>
      <c r="AA68" s="303"/>
      <c r="AB68" s="292" t="n">
        <f aca="false">SUM(AB55:AB67)</f>
        <v>0</v>
      </c>
      <c r="AC68" s="304" t="n">
        <f aca="false">SUM(AC55:AC67)</f>
        <v>31703.556</v>
      </c>
      <c r="AD68" s="304" t="n">
        <f aca="false">SUM(AD55:AD67)</f>
        <v>0</v>
      </c>
      <c r="AE68" s="304" t="n">
        <f aca="false">SUM(AE55:AE67)</f>
        <v>27740.6115</v>
      </c>
      <c r="AF68" s="304" t="n">
        <f aca="false">SUM(AF55:AF67)</f>
        <v>19814.7225</v>
      </c>
      <c r="AG68" s="304" t="n">
        <f aca="false">SUM(AG55:AG67)</f>
        <v>0</v>
      </c>
      <c r="AH68" s="304" t="n">
        <f aca="false">SUM(AH55:AH67)</f>
        <v>0</v>
      </c>
      <c r="AI68" s="304" t="n">
        <f aca="false">SUM(AI55:AI67)</f>
        <v>0</v>
      </c>
      <c r="AJ68" s="304" t="n">
        <f aca="false">SUM(AJ55:AJ67)</f>
        <v>0</v>
      </c>
      <c r="AK68" s="304" t="n">
        <f aca="false">SUM(AK55:AK67)</f>
        <v>0</v>
      </c>
      <c r="AL68" s="304" t="n">
        <f aca="false">SUM(AL55:AL67)</f>
        <v>0</v>
      </c>
      <c r="AM68" s="304" t="n">
        <f aca="false">SUM(AM55:AM67)</f>
        <v>0</v>
      </c>
      <c r="AN68" s="305" t="n">
        <f aca="false">SUM(AN55:AN67)</f>
        <v>27740.6115</v>
      </c>
      <c r="AO68" s="305" t="n">
        <f aca="false">SUM(AO55:AO67)</f>
        <v>51518.2785</v>
      </c>
      <c r="AP68" s="305" t="n">
        <f aca="false">SUM(AP55:AP67)</f>
        <v>0</v>
      </c>
      <c r="AQ68" s="303"/>
      <c r="AR68" s="292" t="n">
        <f aca="false">SUM(AR55:AR67)</f>
        <v>0</v>
      </c>
      <c r="AS68" s="304" t="n">
        <f aca="false">SUM(AS55:AS67)</f>
        <v>0</v>
      </c>
      <c r="AT68" s="304" t="n">
        <f aca="false">SUM(AT55:AT67)</f>
        <v>0</v>
      </c>
      <c r="AU68" s="304" t="n">
        <f aca="false">SUM(AU55:AU67)</f>
        <v>0</v>
      </c>
      <c r="AV68" s="304" t="n">
        <f aca="false">SUM(AV55:AV67)</f>
        <v>0</v>
      </c>
      <c r="AW68" s="304" t="n">
        <f aca="false">SUM(AW55:AW67)</f>
        <v>0</v>
      </c>
      <c r="AX68" s="304" t="n">
        <f aca="false">SUM(AX55:AX67)</f>
        <v>0</v>
      </c>
      <c r="AY68" s="304" t="n">
        <f aca="false">SUM(AY55:AY67)</f>
        <v>0</v>
      </c>
      <c r="AZ68" s="304" t="n">
        <f aca="false">SUM(AZ55:AZ67)</f>
        <v>0</v>
      </c>
      <c r="BA68" s="304" t="n">
        <f aca="false">SUM(BA55:BA67)</f>
        <v>0</v>
      </c>
      <c r="BB68" s="304" t="n">
        <f aca="false">SUM(BB55:BB67)</f>
        <v>0</v>
      </c>
      <c r="BC68" s="304" t="n">
        <f aca="false">SUM(BC55:BC67)</f>
        <v>0</v>
      </c>
      <c r="BD68" s="305" t="n">
        <f aca="false">SUM(BD55:BD67)</f>
        <v>0</v>
      </c>
      <c r="BE68" s="305" t="n">
        <f aca="false">SUM(BE55:BE67)</f>
        <v>0</v>
      </c>
      <c r="BF68" s="305" t="n">
        <f aca="false">SUM(BF55:BF67)</f>
        <v>0</v>
      </c>
      <c r="BG68" s="303"/>
      <c r="BH68" s="306"/>
      <c r="BI68" s="303"/>
      <c r="BJ68" s="307" t="str">
        <f aca="false">IF(C54&gt;0, C54, "")</f>
        <v>Data Scientist</v>
      </c>
      <c r="BK68" s="18" t="s">
        <v>234</v>
      </c>
      <c r="BL68" s="200" t="n">
        <f aca="false">IF($BK68="Y",J68,0)</f>
        <v>0</v>
      </c>
      <c r="BM68" s="200" t="n">
        <f aca="false">IF(BK68="Y", AN68,0)</f>
        <v>0</v>
      </c>
      <c r="BN68" s="200" t="n">
        <f aca="false">IF((BK68="Y"),AO68,0)</f>
        <v>0</v>
      </c>
    </row>
    <row r="69" customFormat="false" ht="15" hidden="false" customHeight="true" outlineLevel="0" collapsed="false">
      <c r="B69" s="296"/>
      <c r="D69" s="297"/>
      <c r="E69" s="277"/>
      <c r="F69" s="277"/>
      <c r="G69" s="277"/>
      <c r="H69" s="277"/>
      <c r="I69" s="277"/>
      <c r="J69" s="300"/>
      <c r="K69" s="300"/>
      <c r="L69" s="302"/>
      <c r="M69" s="302"/>
      <c r="N69" s="302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303"/>
      <c r="AB69" s="303"/>
      <c r="AC69" s="303"/>
      <c r="AD69" s="303"/>
      <c r="AE69" s="303"/>
      <c r="AF69" s="303"/>
      <c r="AG69" s="303"/>
      <c r="AH69" s="303"/>
      <c r="AI69" s="303"/>
      <c r="AJ69" s="303"/>
      <c r="AK69" s="303"/>
      <c r="AL69" s="303"/>
      <c r="AM69" s="303"/>
      <c r="AN69" s="303"/>
      <c r="AO69" s="303"/>
      <c r="AP69" s="303"/>
      <c r="AQ69" s="303"/>
      <c r="AR69" s="303"/>
      <c r="AS69" s="303"/>
      <c r="AT69" s="303"/>
      <c r="AU69" s="303"/>
      <c r="AV69" s="303"/>
      <c r="AW69" s="303"/>
      <c r="AX69" s="303"/>
      <c r="AY69" s="303"/>
      <c r="AZ69" s="303"/>
      <c r="BA69" s="303"/>
      <c r="BB69" s="303"/>
      <c r="BC69" s="303"/>
      <c r="BD69" s="303"/>
      <c r="BE69" s="303"/>
      <c r="BF69" s="303"/>
      <c r="BG69" s="303"/>
      <c r="BH69" s="303"/>
      <c r="BI69" s="303"/>
      <c r="BJ69" s="307" t="str">
        <f aca="false">IF(C55&gt;0, C55, "")</f>
        <v/>
      </c>
      <c r="BL69" s="200"/>
      <c r="BM69" s="200"/>
      <c r="BN69" s="200"/>
    </row>
    <row r="70" customFormat="false" ht="15" hidden="false" customHeight="true" outlineLevel="0" collapsed="false">
      <c r="A70" s="198" t="n">
        <v>5</v>
      </c>
      <c r="B70" s="266" t="s">
        <v>241</v>
      </c>
      <c r="C70" s="266" t="s">
        <v>242</v>
      </c>
      <c r="D70" s="267"/>
      <c r="E70" s="242"/>
      <c r="F70" s="242"/>
      <c r="G70" s="242"/>
      <c r="H70" s="242"/>
      <c r="I70" s="242"/>
      <c r="J70" s="241"/>
      <c r="K70" s="241"/>
      <c r="L70" s="241"/>
      <c r="M70" s="241"/>
      <c r="N70" s="241"/>
      <c r="O70" s="268"/>
      <c r="P70" s="268"/>
      <c r="Q70" s="268"/>
      <c r="R70" s="268"/>
      <c r="S70" s="268"/>
      <c r="T70" s="268"/>
      <c r="U70" s="268"/>
      <c r="V70" s="268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8"/>
      <c r="AQ70" s="268"/>
      <c r="AR70" s="268"/>
      <c r="AS70" s="268"/>
      <c r="AT70" s="268"/>
      <c r="AU70" s="268"/>
      <c r="AV70" s="268"/>
      <c r="AW70" s="268"/>
      <c r="AX70" s="268"/>
      <c r="AY70" s="268"/>
      <c r="AZ70" s="268"/>
      <c r="BA70" s="268"/>
      <c r="BB70" s="268"/>
      <c r="BC70" s="268"/>
      <c r="BD70" s="268"/>
      <c r="BE70" s="268"/>
      <c r="BF70" s="268"/>
      <c r="BG70" s="268"/>
      <c r="BH70" s="268"/>
      <c r="BI70" s="268"/>
      <c r="BJ70" s="18" t="str">
        <f aca="false">IF(C57&gt;0, C57, "")</f>
        <v/>
      </c>
      <c r="BL70" s="200"/>
      <c r="BM70" s="200"/>
      <c r="BN70" s="200"/>
    </row>
    <row r="71" customFormat="false" ht="7.5" hidden="false" customHeight="true" outlineLevel="0" collapsed="false">
      <c r="A71" s="198"/>
      <c r="B71" s="266"/>
      <c r="C71" s="266"/>
      <c r="D71" s="267"/>
      <c r="E71" s="242"/>
      <c r="F71" s="242"/>
      <c r="G71" s="242"/>
      <c r="H71" s="242"/>
      <c r="I71" s="242"/>
      <c r="J71" s="241"/>
      <c r="K71" s="241"/>
      <c r="L71" s="269"/>
      <c r="M71" s="269"/>
      <c r="N71" s="270"/>
      <c r="O71" s="269"/>
      <c r="P71" s="269"/>
      <c r="Q71" s="269"/>
      <c r="R71" s="269"/>
      <c r="S71" s="269"/>
      <c r="T71" s="269"/>
      <c r="U71" s="269"/>
      <c r="V71" s="269"/>
      <c r="W71" s="269"/>
      <c r="X71" s="269"/>
      <c r="Y71" s="269"/>
      <c r="Z71" s="269"/>
      <c r="AA71" s="268"/>
      <c r="AB71" s="271"/>
      <c r="AC71" s="271"/>
      <c r="AD71" s="271"/>
      <c r="AE71" s="271"/>
      <c r="AF71" s="271"/>
      <c r="AG71" s="271"/>
      <c r="AH71" s="271"/>
      <c r="AI71" s="271"/>
      <c r="AJ71" s="271"/>
      <c r="AK71" s="271"/>
      <c r="AL71" s="271"/>
      <c r="AM71" s="272"/>
      <c r="AN71" s="273"/>
      <c r="AO71" s="273"/>
      <c r="AP71" s="273"/>
      <c r="AQ71" s="268"/>
      <c r="AR71" s="271"/>
      <c r="AS71" s="271"/>
      <c r="AT71" s="271"/>
      <c r="AU71" s="271"/>
      <c r="AV71" s="271"/>
      <c r="AW71" s="271"/>
      <c r="AX71" s="271"/>
      <c r="AY71" s="271"/>
      <c r="AZ71" s="271"/>
      <c r="BA71" s="271"/>
      <c r="BB71" s="271"/>
      <c r="BC71" s="272"/>
      <c r="BD71" s="273"/>
      <c r="BE71" s="273"/>
      <c r="BF71" s="273"/>
      <c r="BG71" s="268"/>
      <c r="BH71" s="274"/>
      <c r="BI71" s="268"/>
      <c r="BL71" s="200"/>
      <c r="BM71" s="200"/>
      <c r="BN71" s="200"/>
    </row>
    <row r="72" customFormat="false" ht="15" hidden="false" customHeight="true" outlineLevel="0" collapsed="false">
      <c r="B72" s="275"/>
      <c r="D72" s="276" t="n">
        <f aca="false">D56</f>
        <v>45292</v>
      </c>
      <c r="E72" s="277" t="n">
        <v>4796.15</v>
      </c>
      <c r="F72" s="277" t="n">
        <v>1294.96</v>
      </c>
      <c r="G72" s="277" t="n">
        <v>323.03</v>
      </c>
      <c r="H72" s="277" t="n">
        <v>557.22</v>
      </c>
      <c r="I72" s="277" t="n">
        <v>191.85</v>
      </c>
      <c r="J72" s="278" t="n">
        <f aca="false">E72+H72+I72</f>
        <v>5545.22</v>
      </c>
      <c r="K72" s="204"/>
      <c r="L72" s="279" t="n">
        <v>0.8</v>
      </c>
      <c r="M72" s="280" t="n">
        <f aca="false">1-L72</f>
        <v>0.2</v>
      </c>
      <c r="N72" s="281"/>
      <c r="O72" s="282" t="n">
        <v>0.2</v>
      </c>
      <c r="P72" s="282" t="n">
        <v>0.3</v>
      </c>
      <c r="Q72" s="282" t="n">
        <v>0.15</v>
      </c>
      <c r="R72" s="282" t="n">
        <v>0.2</v>
      </c>
      <c r="S72" s="282" t="n">
        <v>0.15</v>
      </c>
      <c r="T72" s="282"/>
      <c r="U72" s="282"/>
      <c r="V72" s="282"/>
      <c r="W72" s="282"/>
      <c r="X72" s="282"/>
      <c r="Y72" s="282"/>
      <c r="Z72" s="282"/>
      <c r="AA72" s="283"/>
      <c r="AB72" s="284" t="n">
        <f aca="false">IFERROR(($J72*O72)*$L72, "")</f>
        <v>887.2352</v>
      </c>
      <c r="AC72" s="284" t="n">
        <f aca="false">IFERROR(($J72*P72)*$L72, "")</f>
        <v>1330.8528</v>
      </c>
      <c r="AD72" s="284" t="n">
        <f aca="false">IFERROR(($J72*Q72)*$L72, "")</f>
        <v>665.4264</v>
      </c>
      <c r="AE72" s="284" t="n">
        <f aca="false">IFERROR(($J72*R72)*$L72, "")</f>
        <v>887.2352</v>
      </c>
      <c r="AF72" s="284" t="n">
        <f aca="false">IFERROR(($J72*S72)*$L72, "")</f>
        <v>665.4264</v>
      </c>
      <c r="AG72" s="284" t="n">
        <f aca="false">IFERROR(($J72*T72)*$L72, "")</f>
        <v>0</v>
      </c>
      <c r="AH72" s="284" t="n">
        <f aca="false">IFERROR(($J72*U72)*$L72, "")</f>
        <v>0</v>
      </c>
      <c r="AI72" s="284" t="n">
        <f aca="false">IFERROR(($J72*V72)*$L72, "")</f>
        <v>0</v>
      </c>
      <c r="AJ72" s="284" t="n">
        <f aca="false">IFERROR(($J72*W72)*$L72, "")</f>
        <v>0</v>
      </c>
      <c r="AK72" s="284" t="n">
        <f aca="false">IFERROR(($J72*X72)*$L72, "")</f>
        <v>0</v>
      </c>
      <c r="AL72" s="284" t="n">
        <f aca="false">IFERROR(($J72*Y72)*$L72, "")</f>
        <v>0</v>
      </c>
      <c r="AM72" s="285" t="n">
        <f aca="false">IFERROR(($J72*Z72)*$L72, "")</f>
        <v>0</v>
      </c>
      <c r="AN72" s="286" t="n">
        <f aca="false">IFERROR(SUMIF($AB$4:$AM$4, "RDEC", AB72:AM72), "")</f>
        <v>887.2352</v>
      </c>
      <c r="AO72" s="286" t="n">
        <f aca="false">IFERROR(SUMIF($AB$4:$AM$4, "SME", AB72:AM72), "")</f>
        <v>3548.9408</v>
      </c>
      <c r="AP72" s="286" t="n">
        <f aca="false">IFERROR(SUMIF($AB$4:$AM$4, "De Minimis", AB72:AM72), "")</f>
        <v>0</v>
      </c>
      <c r="AQ72" s="283"/>
      <c r="AR72" s="284" t="n">
        <f aca="false">IFERROR(($J72*O72)*$M72, "")</f>
        <v>221.8088</v>
      </c>
      <c r="AS72" s="284" t="n">
        <f aca="false">IFERROR(($J72*P72)*$M72, "")</f>
        <v>332.7132</v>
      </c>
      <c r="AT72" s="284" t="n">
        <f aca="false">IFERROR(($J72*Q72)*$M72, "")</f>
        <v>166.3566</v>
      </c>
      <c r="AU72" s="284" t="n">
        <f aca="false">IFERROR(($J72*R72)*$M72, "")</f>
        <v>221.8088</v>
      </c>
      <c r="AV72" s="284" t="n">
        <f aca="false">IFERROR(($J72*S72)*$M72, "")</f>
        <v>166.3566</v>
      </c>
      <c r="AW72" s="284" t="n">
        <f aca="false">IFERROR(($J72*T72)*$M72, "")</f>
        <v>0</v>
      </c>
      <c r="AX72" s="284" t="n">
        <f aca="false">IFERROR(($J72*U72)*$M72, "")</f>
        <v>0</v>
      </c>
      <c r="AY72" s="284" t="n">
        <f aca="false">IFERROR(($J72*V72)*$M72, "")</f>
        <v>0</v>
      </c>
      <c r="AZ72" s="284" t="n">
        <f aca="false">IFERROR(($J72*W72)*$M72, "")</f>
        <v>0</v>
      </c>
      <c r="BA72" s="284" t="n">
        <f aca="false">IFERROR(($J72*X72)*$M72, "")</f>
        <v>0</v>
      </c>
      <c r="BB72" s="284" t="n">
        <f aca="false">IFERROR(($J72*Y72)*$M72, "")</f>
        <v>0</v>
      </c>
      <c r="BC72" s="285" t="n">
        <f aca="false">IFERROR(($J72*Z72)*$M72, "")</f>
        <v>0</v>
      </c>
      <c r="BD72" s="286" t="n">
        <f aca="false">IFERROR(SUMIF($AB$4:$AM$4, "RDEC", AR72:BC72), "")</f>
        <v>221.8088</v>
      </c>
      <c r="BE72" s="286" t="n">
        <f aca="false">IFERROR(SUMIF($AB$4:$AM$4, "SME", AR72:BC72), "")</f>
        <v>887.2352</v>
      </c>
      <c r="BF72" s="286" t="n">
        <f aca="false">IFERROR(SUMIF($AB$4:$AM$4, "De Minimis", AR72:BC72), "")</f>
        <v>0</v>
      </c>
      <c r="BG72" s="287"/>
      <c r="BH72" s="288" t="str">
        <f aca="false">IF((SUM(O72:Z72)&gt;1),"ERROR","")</f>
        <v/>
      </c>
      <c r="BI72" s="287"/>
      <c r="BJ72" s="18" t="str">
        <f aca="false">IF(C58&gt;0, C58, "")</f>
        <v/>
      </c>
      <c r="BL72" s="200"/>
      <c r="BM72" s="200"/>
      <c r="BN72" s="200"/>
    </row>
    <row r="73" customFormat="false" ht="15" hidden="false" customHeight="true" outlineLevel="0" collapsed="false">
      <c r="B73" s="275"/>
      <c r="D73" s="276" t="n">
        <f aca="false">D57</f>
        <v>45323</v>
      </c>
      <c r="E73" s="277" t="n">
        <v>4832.88</v>
      </c>
      <c r="F73" s="277" t="n">
        <v>1304.88</v>
      </c>
      <c r="G73" s="277" t="n">
        <v>325.96</v>
      </c>
      <c r="H73" s="277" t="n">
        <v>562.29</v>
      </c>
      <c r="I73" s="277" t="n">
        <v>193.32</v>
      </c>
      <c r="J73" s="278" t="n">
        <f aca="false">E73+H73+I73</f>
        <v>5588.49</v>
      </c>
      <c r="K73" s="204"/>
      <c r="L73" s="279" t="n">
        <v>0.8</v>
      </c>
      <c r="M73" s="280" t="n">
        <f aca="false">1-L73</f>
        <v>0.2</v>
      </c>
      <c r="N73" s="281"/>
      <c r="O73" s="282" t="n">
        <v>0.2</v>
      </c>
      <c r="P73" s="282" t="n">
        <v>0.3</v>
      </c>
      <c r="Q73" s="282" t="n">
        <v>0.15</v>
      </c>
      <c r="R73" s="282" t="n">
        <v>0.2</v>
      </c>
      <c r="S73" s="282" t="n">
        <v>0.15</v>
      </c>
      <c r="T73" s="282"/>
      <c r="U73" s="282"/>
      <c r="V73" s="282"/>
      <c r="W73" s="282"/>
      <c r="X73" s="282"/>
      <c r="Y73" s="282"/>
      <c r="Z73" s="282"/>
      <c r="AA73" s="283"/>
      <c r="AB73" s="284" t="n">
        <f aca="false">IFERROR(($J73*O73)*$L73, "")</f>
        <v>894.1584</v>
      </c>
      <c r="AC73" s="284" t="n">
        <f aca="false">IFERROR(($J73*P73)*$L73, "")</f>
        <v>1341.2376</v>
      </c>
      <c r="AD73" s="284" t="n">
        <f aca="false">IFERROR(($J73*Q73)*$L73, "")</f>
        <v>670.6188</v>
      </c>
      <c r="AE73" s="284" t="n">
        <f aca="false">IFERROR(($J73*R73)*$L73, "")</f>
        <v>894.1584</v>
      </c>
      <c r="AF73" s="284" t="n">
        <f aca="false">IFERROR(($J73*S73)*$L73, "")</f>
        <v>670.6188</v>
      </c>
      <c r="AG73" s="284" t="n">
        <f aca="false">IFERROR(($J73*T73)*$L73, "")</f>
        <v>0</v>
      </c>
      <c r="AH73" s="284" t="n">
        <f aca="false">IFERROR(($J73*U73)*$L73, "")</f>
        <v>0</v>
      </c>
      <c r="AI73" s="284" t="n">
        <f aca="false">IFERROR(($J73*V73)*$L73, "")</f>
        <v>0</v>
      </c>
      <c r="AJ73" s="284" t="n">
        <f aca="false">IFERROR(($J73*W73)*$L73, "")</f>
        <v>0</v>
      </c>
      <c r="AK73" s="284" t="n">
        <f aca="false">IFERROR(($J73*X73)*$L73, "")</f>
        <v>0</v>
      </c>
      <c r="AL73" s="284" t="n">
        <f aca="false">IFERROR(($J73*Y73)*$L73, "")</f>
        <v>0</v>
      </c>
      <c r="AM73" s="285" t="n">
        <f aca="false">IFERROR(($J73*Z73)*$L73, "")</f>
        <v>0</v>
      </c>
      <c r="AN73" s="286" t="n">
        <f aca="false">IFERROR(SUMIF($AB$4:$AM$4, "RDEC", AB73:AM73), "")</f>
        <v>894.1584</v>
      </c>
      <c r="AO73" s="286" t="n">
        <f aca="false">IFERROR(SUMIF($AB$4:$AM$4, "SME", AB73:AM73), "")</f>
        <v>3576.6336</v>
      </c>
      <c r="AP73" s="286" t="n">
        <f aca="false">IFERROR(SUMIF($AB$4:$AM$4, "De Minimis", AB73:AM73), "")</f>
        <v>0</v>
      </c>
      <c r="AQ73" s="283"/>
      <c r="AR73" s="284" t="n">
        <f aca="false">IFERROR(($J73*O73)*$M73, "")</f>
        <v>223.5396</v>
      </c>
      <c r="AS73" s="284" t="n">
        <f aca="false">IFERROR(($J73*P73)*$M73, "")</f>
        <v>335.3094</v>
      </c>
      <c r="AT73" s="284" t="n">
        <f aca="false">IFERROR(($J73*Q73)*$M73, "")</f>
        <v>167.6547</v>
      </c>
      <c r="AU73" s="284" t="n">
        <f aca="false">IFERROR(($J73*R73)*$M73, "")</f>
        <v>223.5396</v>
      </c>
      <c r="AV73" s="284" t="n">
        <f aca="false">IFERROR(($J73*S73)*$M73, "")</f>
        <v>167.6547</v>
      </c>
      <c r="AW73" s="284" t="n">
        <f aca="false">IFERROR(($J73*T73)*$M73, "")</f>
        <v>0</v>
      </c>
      <c r="AX73" s="284" t="n">
        <f aca="false">IFERROR(($J73*U73)*$M73, "")</f>
        <v>0</v>
      </c>
      <c r="AY73" s="284" t="n">
        <f aca="false">IFERROR(($J73*V73)*$M73, "")</f>
        <v>0</v>
      </c>
      <c r="AZ73" s="284" t="n">
        <f aca="false">IFERROR(($J73*W73)*$M73, "")</f>
        <v>0</v>
      </c>
      <c r="BA73" s="284" t="n">
        <f aca="false">IFERROR(($J73*X73)*$M73, "")</f>
        <v>0</v>
      </c>
      <c r="BB73" s="284" t="n">
        <f aca="false">IFERROR(($J73*Y73)*$M73, "")</f>
        <v>0</v>
      </c>
      <c r="BC73" s="285" t="n">
        <f aca="false">IFERROR(($J73*Z73)*$M73, "")</f>
        <v>0</v>
      </c>
      <c r="BD73" s="286" t="n">
        <f aca="false">IFERROR(SUMIF($AB$4:$AM$4, "RDEC", AR73:BC73), "")</f>
        <v>223.5396</v>
      </c>
      <c r="BE73" s="286" t="n">
        <f aca="false">IFERROR(SUMIF($AB$4:$AM$4, "SME", AR73:BC73), "")</f>
        <v>894.1584</v>
      </c>
      <c r="BF73" s="286" t="n">
        <f aca="false">IFERROR(SUMIF($AB$4:$AM$4, "De Minimis", AR73:BC73), "")</f>
        <v>0</v>
      </c>
      <c r="BG73" s="287"/>
      <c r="BH73" s="288" t="str">
        <f aca="false">IF((SUM(O73:Z73)&gt;1),"ERROR","")</f>
        <v/>
      </c>
      <c r="BI73" s="287"/>
      <c r="BJ73" s="18" t="str">
        <f aca="false">IF(C59&gt;0, C59, "")</f>
        <v/>
      </c>
      <c r="BL73" s="200"/>
      <c r="BM73" s="200"/>
      <c r="BN73" s="200"/>
    </row>
    <row r="74" customFormat="false" ht="15" hidden="false" customHeight="true" outlineLevel="0" collapsed="false">
      <c r="B74" s="275"/>
      <c r="D74" s="276" t="n">
        <f aca="false">D58</f>
        <v>45352</v>
      </c>
      <c r="E74" s="277" t="n">
        <v>4895.57</v>
      </c>
      <c r="F74" s="277" t="n">
        <v>1321.8</v>
      </c>
      <c r="G74" s="277" t="n">
        <v>330.98</v>
      </c>
      <c r="H74" s="277" t="n">
        <v>570.94</v>
      </c>
      <c r="I74" s="277" t="n">
        <v>195.82</v>
      </c>
      <c r="J74" s="278" t="n">
        <f aca="false">E74+H74+I74</f>
        <v>5662.33</v>
      </c>
      <c r="K74" s="204"/>
      <c r="L74" s="279" t="n">
        <v>0.8</v>
      </c>
      <c r="M74" s="280" t="n">
        <f aca="false">1-L74</f>
        <v>0.2</v>
      </c>
      <c r="N74" s="281"/>
      <c r="O74" s="282" t="n">
        <v>0.2</v>
      </c>
      <c r="P74" s="282" t="n">
        <v>0.3</v>
      </c>
      <c r="Q74" s="282" t="n">
        <v>0.15</v>
      </c>
      <c r="R74" s="282" t="n">
        <v>0.2</v>
      </c>
      <c r="S74" s="282" t="n">
        <v>0.15</v>
      </c>
      <c r="T74" s="282"/>
      <c r="U74" s="282"/>
      <c r="V74" s="282"/>
      <c r="W74" s="282"/>
      <c r="X74" s="282"/>
      <c r="Y74" s="282"/>
      <c r="Z74" s="282"/>
      <c r="AA74" s="283"/>
      <c r="AB74" s="284" t="n">
        <f aca="false">IFERROR(($J74*O74)*$L74, "")</f>
        <v>905.9728</v>
      </c>
      <c r="AC74" s="284" t="n">
        <f aca="false">IFERROR(($J74*P74)*$L74, "")</f>
        <v>1358.9592</v>
      </c>
      <c r="AD74" s="284" t="n">
        <f aca="false">IFERROR(($J74*Q74)*$L74, "")</f>
        <v>679.4796</v>
      </c>
      <c r="AE74" s="284" t="n">
        <f aca="false">IFERROR(($J74*R74)*$L74, "")</f>
        <v>905.9728</v>
      </c>
      <c r="AF74" s="284" t="n">
        <f aca="false">IFERROR(($J74*S74)*$L74, "")</f>
        <v>679.4796</v>
      </c>
      <c r="AG74" s="284" t="n">
        <f aca="false">IFERROR(($J74*T74)*$L74, "")</f>
        <v>0</v>
      </c>
      <c r="AH74" s="284" t="n">
        <f aca="false">IFERROR(($J74*U74)*$L74, "")</f>
        <v>0</v>
      </c>
      <c r="AI74" s="284" t="n">
        <f aca="false">IFERROR(($J74*V74)*$L74, "")</f>
        <v>0</v>
      </c>
      <c r="AJ74" s="284" t="n">
        <f aca="false">IFERROR(($J74*W74)*$L74, "")</f>
        <v>0</v>
      </c>
      <c r="AK74" s="284" t="n">
        <f aca="false">IFERROR(($J74*X74)*$L74, "")</f>
        <v>0</v>
      </c>
      <c r="AL74" s="284" t="n">
        <f aca="false">IFERROR(($J74*Y74)*$L74, "")</f>
        <v>0</v>
      </c>
      <c r="AM74" s="285" t="n">
        <f aca="false">IFERROR(($J74*Z74)*$L74, "")</f>
        <v>0</v>
      </c>
      <c r="AN74" s="286" t="n">
        <f aca="false">IFERROR(SUMIF($AB$4:$AM$4, "RDEC", AB74:AM74), "")</f>
        <v>905.9728</v>
      </c>
      <c r="AO74" s="286" t="n">
        <f aca="false">IFERROR(SUMIF($AB$4:$AM$4, "SME", AB74:AM74), "")</f>
        <v>3623.8912</v>
      </c>
      <c r="AP74" s="286" t="n">
        <f aca="false">IFERROR(SUMIF($AB$4:$AM$4, "De Minimis", AB74:AM74), "")</f>
        <v>0</v>
      </c>
      <c r="AQ74" s="283"/>
      <c r="AR74" s="284" t="n">
        <f aca="false">IFERROR(($J74*O74)*$M74, "")</f>
        <v>226.4932</v>
      </c>
      <c r="AS74" s="284" t="n">
        <f aca="false">IFERROR(($J74*P74)*$M74, "")</f>
        <v>339.7398</v>
      </c>
      <c r="AT74" s="284" t="n">
        <f aca="false">IFERROR(($J74*Q74)*$M74, "")</f>
        <v>169.8699</v>
      </c>
      <c r="AU74" s="284" t="n">
        <f aca="false">IFERROR(($J74*R74)*$M74, "")</f>
        <v>226.4932</v>
      </c>
      <c r="AV74" s="284" t="n">
        <f aca="false">IFERROR(($J74*S74)*$M74, "")</f>
        <v>169.8699</v>
      </c>
      <c r="AW74" s="284" t="n">
        <f aca="false">IFERROR(($J74*T74)*$M74, "")</f>
        <v>0</v>
      </c>
      <c r="AX74" s="284" t="n">
        <f aca="false">IFERROR(($J74*U74)*$M74, "")</f>
        <v>0</v>
      </c>
      <c r="AY74" s="284" t="n">
        <f aca="false">IFERROR(($J74*V74)*$M74, "")</f>
        <v>0</v>
      </c>
      <c r="AZ74" s="284" t="n">
        <f aca="false">IFERROR(($J74*W74)*$M74, "")</f>
        <v>0</v>
      </c>
      <c r="BA74" s="284" t="n">
        <f aca="false">IFERROR(($J74*X74)*$M74, "")</f>
        <v>0</v>
      </c>
      <c r="BB74" s="284" t="n">
        <f aca="false">IFERROR(($J74*Y74)*$M74, "")</f>
        <v>0</v>
      </c>
      <c r="BC74" s="285" t="n">
        <f aca="false">IFERROR(($J74*Z74)*$M74, "")</f>
        <v>0</v>
      </c>
      <c r="BD74" s="286" t="n">
        <f aca="false">IFERROR(SUMIF($AB$4:$AM$4, "RDEC", AR74:BC74), "")</f>
        <v>226.4932</v>
      </c>
      <c r="BE74" s="286" t="n">
        <f aca="false">IFERROR(SUMIF($AB$4:$AM$4, "SME", AR74:BC74), "")</f>
        <v>905.9728</v>
      </c>
      <c r="BF74" s="286" t="n">
        <f aca="false">IFERROR(SUMIF($AB$4:$AM$4, "De Minimis", AR74:BC74), "")</f>
        <v>0</v>
      </c>
      <c r="BG74" s="287"/>
      <c r="BH74" s="288" t="str">
        <f aca="false">IF((SUM(O74:Z74)&gt;1),"ERROR","")</f>
        <v/>
      </c>
      <c r="BI74" s="287"/>
      <c r="BJ74" s="18" t="str">
        <f aca="false">IF(C60&gt;0, C60, "")</f>
        <v/>
      </c>
      <c r="BL74" s="200"/>
      <c r="BM74" s="200"/>
      <c r="BN74" s="200"/>
    </row>
    <row r="75" customFormat="false" ht="15" hidden="false" customHeight="true" outlineLevel="0" collapsed="false">
      <c r="B75" s="275"/>
      <c r="D75" s="276" t="n">
        <f aca="false">D59</f>
        <v>45383</v>
      </c>
      <c r="E75" s="277" t="n">
        <v>4784.93</v>
      </c>
      <c r="F75" s="277" t="n">
        <v>1291.93</v>
      </c>
      <c r="G75" s="277" t="n">
        <v>322.13</v>
      </c>
      <c r="H75" s="277" t="n">
        <v>555.67</v>
      </c>
      <c r="I75" s="277" t="n">
        <v>191.4</v>
      </c>
      <c r="J75" s="278" t="n">
        <f aca="false">E75+H75+I75</f>
        <v>5532</v>
      </c>
      <c r="K75" s="204"/>
      <c r="L75" s="279" t="n">
        <v>0.8</v>
      </c>
      <c r="M75" s="280" t="n">
        <f aca="false">1-L75</f>
        <v>0.2</v>
      </c>
      <c r="N75" s="281"/>
      <c r="O75" s="282" t="n">
        <v>0.2</v>
      </c>
      <c r="P75" s="282" t="n">
        <v>0.3</v>
      </c>
      <c r="Q75" s="282" t="n">
        <v>0.15</v>
      </c>
      <c r="R75" s="282" t="n">
        <v>0.2</v>
      </c>
      <c r="S75" s="282" t="n">
        <v>0.15</v>
      </c>
      <c r="T75" s="282"/>
      <c r="U75" s="282"/>
      <c r="V75" s="282"/>
      <c r="W75" s="282"/>
      <c r="X75" s="282"/>
      <c r="Y75" s="282"/>
      <c r="Z75" s="282"/>
      <c r="AA75" s="283"/>
      <c r="AB75" s="284" t="n">
        <f aca="false">IFERROR(($J75*O75)*$L75, "")</f>
        <v>885.12</v>
      </c>
      <c r="AC75" s="284" t="n">
        <f aca="false">IFERROR(($J75*P75)*$L75, "")</f>
        <v>1327.68</v>
      </c>
      <c r="AD75" s="284" t="n">
        <f aca="false">IFERROR(($J75*Q75)*$L75, "")</f>
        <v>663.84</v>
      </c>
      <c r="AE75" s="284" t="n">
        <f aca="false">IFERROR(($J75*R75)*$L75, "")</f>
        <v>885.12</v>
      </c>
      <c r="AF75" s="284" t="n">
        <f aca="false">IFERROR(($J75*S75)*$L75, "")</f>
        <v>663.84</v>
      </c>
      <c r="AG75" s="284" t="n">
        <f aca="false">IFERROR(($J75*T75)*$L75, "")</f>
        <v>0</v>
      </c>
      <c r="AH75" s="284" t="n">
        <f aca="false">IFERROR(($J75*U75)*$L75, "")</f>
        <v>0</v>
      </c>
      <c r="AI75" s="284" t="n">
        <f aca="false">IFERROR(($J75*V75)*$L75, "")</f>
        <v>0</v>
      </c>
      <c r="AJ75" s="284" t="n">
        <f aca="false">IFERROR(($J75*W75)*$L75, "")</f>
        <v>0</v>
      </c>
      <c r="AK75" s="284" t="n">
        <f aca="false">IFERROR(($J75*X75)*$L75, "")</f>
        <v>0</v>
      </c>
      <c r="AL75" s="284" t="n">
        <f aca="false">IFERROR(($J75*Y75)*$L75, "")</f>
        <v>0</v>
      </c>
      <c r="AM75" s="285" t="n">
        <f aca="false">IFERROR(($J75*Z75)*$L75, "")</f>
        <v>0</v>
      </c>
      <c r="AN75" s="286" t="n">
        <f aca="false">IFERROR(SUMIF($AB$4:$AM$4, "RDEC", AB75:AM75), "")</f>
        <v>885.12</v>
      </c>
      <c r="AO75" s="286" t="n">
        <f aca="false">IFERROR(SUMIF($AB$4:$AM$4, "SME", AB75:AM75), "")</f>
        <v>3540.48</v>
      </c>
      <c r="AP75" s="286" t="n">
        <f aca="false">IFERROR(SUMIF($AB$4:$AM$4, "De Minimis", AB75:AM75), "")</f>
        <v>0</v>
      </c>
      <c r="AQ75" s="283"/>
      <c r="AR75" s="284" t="n">
        <f aca="false">IFERROR(($J75*O75)*$M75, "")</f>
        <v>221.28</v>
      </c>
      <c r="AS75" s="284" t="n">
        <f aca="false">IFERROR(($J75*P75)*$M75, "")</f>
        <v>331.92</v>
      </c>
      <c r="AT75" s="284" t="n">
        <f aca="false">IFERROR(($J75*Q75)*$M75, "")</f>
        <v>165.96</v>
      </c>
      <c r="AU75" s="284" t="n">
        <f aca="false">IFERROR(($J75*R75)*$M75, "")</f>
        <v>221.28</v>
      </c>
      <c r="AV75" s="284" t="n">
        <f aca="false">IFERROR(($J75*S75)*$M75, "")</f>
        <v>165.96</v>
      </c>
      <c r="AW75" s="284" t="n">
        <f aca="false">IFERROR(($J75*T75)*$M75, "")</f>
        <v>0</v>
      </c>
      <c r="AX75" s="284" t="n">
        <f aca="false">IFERROR(($J75*U75)*$M75, "")</f>
        <v>0</v>
      </c>
      <c r="AY75" s="284" t="n">
        <f aca="false">IFERROR(($J75*V75)*$M75, "")</f>
        <v>0</v>
      </c>
      <c r="AZ75" s="284" t="n">
        <f aca="false">IFERROR(($J75*W75)*$M75, "")</f>
        <v>0</v>
      </c>
      <c r="BA75" s="284" t="n">
        <f aca="false">IFERROR(($J75*X75)*$M75, "")</f>
        <v>0</v>
      </c>
      <c r="BB75" s="284" t="n">
        <f aca="false">IFERROR(($J75*Y75)*$M75, "")</f>
        <v>0</v>
      </c>
      <c r="BC75" s="285" t="n">
        <f aca="false">IFERROR(($J75*Z75)*$M75, "")</f>
        <v>0</v>
      </c>
      <c r="BD75" s="286" t="n">
        <f aca="false">IFERROR(SUMIF($AB$4:$AM$4, "RDEC", AR75:BC75), "")</f>
        <v>221.28</v>
      </c>
      <c r="BE75" s="286" t="n">
        <f aca="false">IFERROR(SUMIF($AB$4:$AM$4, "SME", AR75:BC75), "")</f>
        <v>885.12</v>
      </c>
      <c r="BF75" s="286" t="n">
        <f aca="false">IFERROR(SUMIF($AB$4:$AM$4, "De Minimis", AR75:BC75), "")</f>
        <v>0</v>
      </c>
      <c r="BG75" s="287"/>
      <c r="BH75" s="288" t="str">
        <f aca="false">IF((SUM(O75:Z75)&gt;1),"ERROR","")</f>
        <v/>
      </c>
      <c r="BI75" s="287"/>
      <c r="BJ75" s="18" t="str">
        <f aca="false">IF(C61&gt;0, C61, "")</f>
        <v/>
      </c>
      <c r="BL75" s="200"/>
      <c r="BM75" s="200"/>
      <c r="BN75" s="200"/>
    </row>
    <row r="76" customFormat="false" ht="15" hidden="false" customHeight="true" outlineLevel="0" collapsed="false">
      <c r="B76" s="275"/>
      <c r="D76" s="276" t="n">
        <f aca="false">D60</f>
        <v>45413</v>
      </c>
      <c r="E76" s="277" t="n">
        <v>4753.57</v>
      </c>
      <c r="F76" s="277" t="n">
        <v>1283.46</v>
      </c>
      <c r="G76" s="277" t="n">
        <v>319.62</v>
      </c>
      <c r="H76" s="277" t="n">
        <v>551.34</v>
      </c>
      <c r="I76" s="277" t="n">
        <v>190.14</v>
      </c>
      <c r="J76" s="278" t="n">
        <f aca="false">E76+H76+I76</f>
        <v>5495.05</v>
      </c>
      <c r="K76" s="204"/>
      <c r="L76" s="279" t="n">
        <v>0.8</v>
      </c>
      <c r="M76" s="280" t="n">
        <f aca="false">1-L76</f>
        <v>0.2</v>
      </c>
      <c r="N76" s="281"/>
      <c r="O76" s="282" t="n">
        <v>0.2</v>
      </c>
      <c r="P76" s="282" t="n">
        <v>0.3</v>
      </c>
      <c r="Q76" s="282" t="n">
        <v>0.15</v>
      </c>
      <c r="R76" s="282" t="n">
        <v>0.2</v>
      </c>
      <c r="S76" s="282" t="n">
        <v>0.15</v>
      </c>
      <c r="T76" s="282"/>
      <c r="U76" s="282"/>
      <c r="V76" s="282"/>
      <c r="W76" s="282"/>
      <c r="X76" s="282"/>
      <c r="Y76" s="282"/>
      <c r="Z76" s="282"/>
      <c r="AA76" s="283"/>
      <c r="AB76" s="284" t="n">
        <f aca="false">IFERROR(($J76*O76)*$L76, "")</f>
        <v>879.208</v>
      </c>
      <c r="AC76" s="284" t="n">
        <f aca="false">IFERROR(($J76*P76)*$L76, "")</f>
        <v>1318.812</v>
      </c>
      <c r="AD76" s="284" t="n">
        <f aca="false">IFERROR(($J76*Q76)*$L76, "")</f>
        <v>659.406</v>
      </c>
      <c r="AE76" s="284" t="n">
        <f aca="false">IFERROR(($J76*R76)*$L76, "")</f>
        <v>879.208</v>
      </c>
      <c r="AF76" s="284" t="n">
        <f aca="false">IFERROR(($J76*S76)*$L76, "")</f>
        <v>659.406</v>
      </c>
      <c r="AG76" s="284" t="n">
        <f aca="false">IFERROR(($J76*T76)*$L76, "")</f>
        <v>0</v>
      </c>
      <c r="AH76" s="284" t="n">
        <f aca="false">IFERROR(($J76*U76)*$L76, "")</f>
        <v>0</v>
      </c>
      <c r="AI76" s="284" t="n">
        <f aca="false">IFERROR(($J76*V76)*$L76, "")</f>
        <v>0</v>
      </c>
      <c r="AJ76" s="284" t="n">
        <f aca="false">IFERROR(($J76*W76)*$L76, "")</f>
        <v>0</v>
      </c>
      <c r="AK76" s="284" t="n">
        <f aca="false">IFERROR(($J76*X76)*$L76, "")</f>
        <v>0</v>
      </c>
      <c r="AL76" s="284" t="n">
        <f aca="false">IFERROR(($J76*Y76)*$L76, "")</f>
        <v>0</v>
      </c>
      <c r="AM76" s="285" t="n">
        <f aca="false">IFERROR(($J76*Z76)*$L76, "")</f>
        <v>0</v>
      </c>
      <c r="AN76" s="286" t="n">
        <f aca="false">IFERROR(SUMIF($AB$4:$AM$4, "RDEC", AB76:AM76), "")</f>
        <v>879.208</v>
      </c>
      <c r="AO76" s="286" t="n">
        <f aca="false">IFERROR(SUMIF($AB$4:$AM$4, "SME", AB76:AM76), "")</f>
        <v>3516.832</v>
      </c>
      <c r="AP76" s="286" t="n">
        <f aca="false">IFERROR(SUMIF($AB$4:$AM$4, "De Minimis", AB76:AM76), "")</f>
        <v>0</v>
      </c>
      <c r="AQ76" s="283"/>
      <c r="AR76" s="284" t="n">
        <f aca="false">IFERROR(($J76*O76)*$M76, "")</f>
        <v>219.802</v>
      </c>
      <c r="AS76" s="284" t="n">
        <f aca="false">IFERROR(($J76*P76)*$M76, "")</f>
        <v>329.703</v>
      </c>
      <c r="AT76" s="284" t="n">
        <f aca="false">IFERROR(($J76*Q76)*$M76, "")</f>
        <v>164.8515</v>
      </c>
      <c r="AU76" s="284" t="n">
        <f aca="false">IFERROR(($J76*R76)*$M76, "")</f>
        <v>219.802</v>
      </c>
      <c r="AV76" s="284" t="n">
        <f aca="false">IFERROR(($J76*S76)*$M76, "")</f>
        <v>164.8515</v>
      </c>
      <c r="AW76" s="284" t="n">
        <f aca="false">IFERROR(($J76*T76)*$M76, "")</f>
        <v>0</v>
      </c>
      <c r="AX76" s="284" t="n">
        <f aca="false">IFERROR(($J76*U76)*$M76, "")</f>
        <v>0</v>
      </c>
      <c r="AY76" s="284" t="n">
        <f aca="false">IFERROR(($J76*V76)*$M76, "")</f>
        <v>0</v>
      </c>
      <c r="AZ76" s="284" t="n">
        <f aca="false">IFERROR(($J76*W76)*$M76, "")</f>
        <v>0</v>
      </c>
      <c r="BA76" s="284" t="n">
        <f aca="false">IFERROR(($J76*X76)*$M76, "")</f>
        <v>0</v>
      </c>
      <c r="BB76" s="284" t="n">
        <f aca="false">IFERROR(($J76*Y76)*$M76, "")</f>
        <v>0</v>
      </c>
      <c r="BC76" s="285" t="n">
        <f aca="false">IFERROR(($J76*Z76)*$M76, "")</f>
        <v>0</v>
      </c>
      <c r="BD76" s="286" t="n">
        <f aca="false">IFERROR(SUMIF($AB$4:$AM$4, "RDEC", AR76:BC76), "")</f>
        <v>219.802</v>
      </c>
      <c r="BE76" s="286" t="n">
        <f aca="false">IFERROR(SUMIF($AB$4:$AM$4, "SME", AR76:BC76), "")</f>
        <v>879.208</v>
      </c>
      <c r="BF76" s="286" t="n">
        <f aca="false">IFERROR(SUMIF($AB$4:$AM$4, "De Minimis", AR76:BC76), "")</f>
        <v>0</v>
      </c>
      <c r="BG76" s="287"/>
      <c r="BH76" s="288" t="str">
        <f aca="false">IF((SUM(O76:Z76)&gt;1),"ERROR","")</f>
        <v/>
      </c>
      <c r="BI76" s="287"/>
      <c r="BJ76" s="18" t="str">
        <f aca="false">IF(C62&gt;0, C62, "")</f>
        <v/>
      </c>
      <c r="BL76" s="200"/>
      <c r="BM76" s="200"/>
      <c r="BN76" s="200"/>
    </row>
    <row r="77" customFormat="false" ht="15" hidden="false" customHeight="true" outlineLevel="0" collapsed="false">
      <c r="B77" s="275"/>
      <c r="D77" s="276" t="n">
        <f aca="false">D61</f>
        <v>45444</v>
      </c>
      <c r="E77" s="277" t="n">
        <v>4745.08</v>
      </c>
      <c r="F77" s="277" t="n">
        <v>1281.17</v>
      </c>
      <c r="G77" s="277" t="n">
        <v>318.94</v>
      </c>
      <c r="H77" s="277" t="n">
        <v>550.17</v>
      </c>
      <c r="I77" s="277" t="n">
        <v>189.8</v>
      </c>
      <c r="J77" s="278" t="n">
        <f aca="false">E77+H77+I77</f>
        <v>5485.05</v>
      </c>
      <c r="K77" s="204"/>
      <c r="L77" s="279" t="n">
        <v>0.8</v>
      </c>
      <c r="M77" s="280" t="n">
        <f aca="false">1-L77</f>
        <v>0.2</v>
      </c>
      <c r="N77" s="281"/>
      <c r="O77" s="282" t="n">
        <v>0.2</v>
      </c>
      <c r="P77" s="282" t="n">
        <v>0.3</v>
      </c>
      <c r="Q77" s="282" t="n">
        <v>0.15</v>
      </c>
      <c r="R77" s="282" t="n">
        <v>0.2</v>
      </c>
      <c r="S77" s="282" t="n">
        <v>0.15</v>
      </c>
      <c r="T77" s="282"/>
      <c r="U77" s="282"/>
      <c r="V77" s="282"/>
      <c r="W77" s="282"/>
      <c r="X77" s="282"/>
      <c r="Y77" s="282"/>
      <c r="Z77" s="282"/>
      <c r="AA77" s="283"/>
      <c r="AB77" s="284" t="n">
        <f aca="false">IFERROR(($J77*O77)*$L77, "")</f>
        <v>877.608</v>
      </c>
      <c r="AC77" s="284" t="n">
        <f aca="false">IFERROR(($J77*P77)*$L77, "")</f>
        <v>1316.412</v>
      </c>
      <c r="AD77" s="284" t="n">
        <f aca="false">IFERROR(($J77*Q77)*$L77, "")</f>
        <v>658.206</v>
      </c>
      <c r="AE77" s="284" t="n">
        <f aca="false">IFERROR(($J77*R77)*$L77, "")</f>
        <v>877.608</v>
      </c>
      <c r="AF77" s="284" t="n">
        <f aca="false">IFERROR(($J77*S77)*$L77, "")</f>
        <v>658.206</v>
      </c>
      <c r="AG77" s="284" t="n">
        <f aca="false">IFERROR(($J77*T77)*$L77, "")</f>
        <v>0</v>
      </c>
      <c r="AH77" s="284" t="n">
        <f aca="false">IFERROR(($J77*U77)*$L77, "")</f>
        <v>0</v>
      </c>
      <c r="AI77" s="284" t="n">
        <f aca="false">IFERROR(($J77*V77)*$L77, "")</f>
        <v>0</v>
      </c>
      <c r="AJ77" s="284" t="n">
        <f aca="false">IFERROR(($J77*W77)*$L77, "")</f>
        <v>0</v>
      </c>
      <c r="AK77" s="284" t="n">
        <f aca="false">IFERROR(($J77*X77)*$L77, "")</f>
        <v>0</v>
      </c>
      <c r="AL77" s="284" t="n">
        <f aca="false">IFERROR(($J77*Y77)*$L77, "")</f>
        <v>0</v>
      </c>
      <c r="AM77" s="285" t="n">
        <f aca="false">IFERROR(($J77*Z77)*$L77, "")</f>
        <v>0</v>
      </c>
      <c r="AN77" s="286" t="n">
        <f aca="false">IFERROR(SUMIF($AB$4:$AM$4, "RDEC", AB77:AM77), "")</f>
        <v>877.608</v>
      </c>
      <c r="AO77" s="286" t="n">
        <f aca="false">IFERROR(SUMIF($AB$4:$AM$4, "SME", AB77:AM77), "")</f>
        <v>3510.432</v>
      </c>
      <c r="AP77" s="286" t="n">
        <f aca="false">IFERROR(SUMIF($AB$4:$AM$4, "De Minimis", AB77:AM77), "")</f>
        <v>0</v>
      </c>
      <c r="AQ77" s="283"/>
      <c r="AR77" s="284" t="n">
        <f aca="false">IFERROR(($J77*O77)*$M77, "")</f>
        <v>219.402</v>
      </c>
      <c r="AS77" s="284" t="n">
        <f aca="false">IFERROR(($J77*P77)*$M77, "")</f>
        <v>329.103</v>
      </c>
      <c r="AT77" s="284" t="n">
        <f aca="false">IFERROR(($J77*Q77)*$M77, "")</f>
        <v>164.5515</v>
      </c>
      <c r="AU77" s="284" t="n">
        <f aca="false">IFERROR(($J77*R77)*$M77, "")</f>
        <v>219.402</v>
      </c>
      <c r="AV77" s="284" t="n">
        <f aca="false">IFERROR(($J77*S77)*$M77, "")</f>
        <v>164.5515</v>
      </c>
      <c r="AW77" s="284" t="n">
        <f aca="false">IFERROR(($J77*T77)*$M77, "")</f>
        <v>0</v>
      </c>
      <c r="AX77" s="284" t="n">
        <f aca="false">IFERROR(($J77*U77)*$M77, "")</f>
        <v>0</v>
      </c>
      <c r="AY77" s="284" t="n">
        <f aca="false">IFERROR(($J77*V77)*$M77, "")</f>
        <v>0</v>
      </c>
      <c r="AZ77" s="284" t="n">
        <f aca="false">IFERROR(($J77*W77)*$M77, "")</f>
        <v>0</v>
      </c>
      <c r="BA77" s="284" t="n">
        <f aca="false">IFERROR(($J77*X77)*$M77, "")</f>
        <v>0</v>
      </c>
      <c r="BB77" s="284" t="n">
        <f aca="false">IFERROR(($J77*Y77)*$M77, "")</f>
        <v>0</v>
      </c>
      <c r="BC77" s="285" t="n">
        <f aca="false">IFERROR(($J77*Z77)*$M77, "")</f>
        <v>0</v>
      </c>
      <c r="BD77" s="286" t="n">
        <f aca="false">IFERROR(SUMIF($AB$4:$AM$4, "RDEC", AR77:BC77), "")</f>
        <v>219.402</v>
      </c>
      <c r="BE77" s="286" t="n">
        <f aca="false">IFERROR(SUMIF($AB$4:$AM$4, "SME", AR77:BC77), "")</f>
        <v>877.608</v>
      </c>
      <c r="BF77" s="286" t="n">
        <f aca="false">IFERROR(SUMIF($AB$4:$AM$4, "De Minimis", AR77:BC77), "")</f>
        <v>0</v>
      </c>
      <c r="BG77" s="287"/>
      <c r="BH77" s="288" t="str">
        <f aca="false">IF((SUM(O77:Z77)&gt;1),"ERROR","")</f>
        <v/>
      </c>
      <c r="BI77" s="287"/>
      <c r="BJ77" s="18" t="str">
        <f aca="false">IF(C63&gt;0, C63, "")</f>
        <v/>
      </c>
      <c r="BL77" s="200"/>
      <c r="BM77" s="200"/>
      <c r="BN77" s="200"/>
    </row>
    <row r="78" customFormat="false" ht="15" hidden="false" customHeight="true" outlineLevel="0" collapsed="false">
      <c r="B78" s="275"/>
      <c r="D78" s="276" t="n">
        <f aca="false">D62</f>
        <v>45474</v>
      </c>
      <c r="E78" s="277" t="n">
        <v>4818.06</v>
      </c>
      <c r="F78" s="277" t="n">
        <v>1300.88</v>
      </c>
      <c r="G78" s="277" t="n">
        <v>324.78</v>
      </c>
      <c r="H78" s="277" t="n">
        <v>560.24</v>
      </c>
      <c r="I78" s="277" t="n">
        <v>192.72</v>
      </c>
      <c r="J78" s="278" t="n">
        <f aca="false">E78+H78+I78</f>
        <v>5571.02</v>
      </c>
      <c r="K78" s="204"/>
      <c r="L78" s="279" t="n">
        <v>0.8</v>
      </c>
      <c r="M78" s="280" t="n">
        <f aca="false">1-L78</f>
        <v>0.2</v>
      </c>
      <c r="N78" s="281"/>
      <c r="O78" s="282" t="n">
        <v>0.2</v>
      </c>
      <c r="P78" s="282" t="n">
        <v>0.3</v>
      </c>
      <c r="Q78" s="282" t="n">
        <v>0.15</v>
      </c>
      <c r="R78" s="282" t="n">
        <v>0.2</v>
      </c>
      <c r="S78" s="282" t="n">
        <v>0.15</v>
      </c>
      <c r="T78" s="282"/>
      <c r="U78" s="282"/>
      <c r="V78" s="282"/>
      <c r="W78" s="282"/>
      <c r="X78" s="282"/>
      <c r="Y78" s="282"/>
      <c r="Z78" s="282"/>
      <c r="AA78" s="283"/>
      <c r="AB78" s="284" t="n">
        <f aca="false">IFERROR(($J78*O78)*$L78, "")</f>
        <v>891.3632</v>
      </c>
      <c r="AC78" s="284" t="n">
        <f aca="false">IFERROR(($J78*P78)*$L78, "")</f>
        <v>1337.0448</v>
      </c>
      <c r="AD78" s="284" t="n">
        <f aca="false">IFERROR(($J78*Q78)*$L78, "")</f>
        <v>668.5224</v>
      </c>
      <c r="AE78" s="284" t="n">
        <f aca="false">IFERROR(($J78*R78)*$L78, "")</f>
        <v>891.3632</v>
      </c>
      <c r="AF78" s="284" t="n">
        <f aca="false">IFERROR(($J78*S78)*$L78, "")</f>
        <v>668.5224</v>
      </c>
      <c r="AG78" s="284" t="n">
        <f aca="false">IFERROR(($J78*T78)*$L78, "")</f>
        <v>0</v>
      </c>
      <c r="AH78" s="284" t="n">
        <f aca="false">IFERROR(($J78*U78)*$L78, "")</f>
        <v>0</v>
      </c>
      <c r="AI78" s="284" t="n">
        <f aca="false">IFERROR(($J78*V78)*$L78, "")</f>
        <v>0</v>
      </c>
      <c r="AJ78" s="284" t="n">
        <f aca="false">IFERROR(($J78*W78)*$L78, "")</f>
        <v>0</v>
      </c>
      <c r="AK78" s="284" t="n">
        <f aca="false">IFERROR(($J78*X78)*$L78, "")</f>
        <v>0</v>
      </c>
      <c r="AL78" s="284" t="n">
        <f aca="false">IFERROR(($J78*Y78)*$L78, "")</f>
        <v>0</v>
      </c>
      <c r="AM78" s="285" t="n">
        <f aca="false">IFERROR(($J78*Z78)*$L78, "")</f>
        <v>0</v>
      </c>
      <c r="AN78" s="286" t="n">
        <f aca="false">IFERROR(SUMIF($AB$4:$AM$4, "RDEC", AB78:AM78), "")</f>
        <v>891.3632</v>
      </c>
      <c r="AO78" s="286" t="n">
        <f aca="false">IFERROR(SUMIF($AB$4:$AM$4, "SME", AB78:AM78), "")</f>
        <v>3565.4528</v>
      </c>
      <c r="AP78" s="286" t="n">
        <f aca="false">IFERROR(SUMIF($AB$4:$AM$4, "De Minimis", AB78:AM78), "")</f>
        <v>0</v>
      </c>
      <c r="AQ78" s="283"/>
      <c r="AR78" s="284" t="n">
        <f aca="false">IFERROR(($J78*O78)*$M78, "")</f>
        <v>222.8408</v>
      </c>
      <c r="AS78" s="284" t="n">
        <f aca="false">IFERROR(($J78*P78)*$M78, "")</f>
        <v>334.2612</v>
      </c>
      <c r="AT78" s="284" t="n">
        <f aca="false">IFERROR(($J78*Q78)*$M78, "")</f>
        <v>167.1306</v>
      </c>
      <c r="AU78" s="284" t="n">
        <f aca="false">IFERROR(($J78*R78)*$M78, "")</f>
        <v>222.8408</v>
      </c>
      <c r="AV78" s="284" t="n">
        <f aca="false">IFERROR(($J78*S78)*$M78, "")</f>
        <v>167.1306</v>
      </c>
      <c r="AW78" s="284" t="n">
        <f aca="false">IFERROR(($J78*T78)*$M78, "")</f>
        <v>0</v>
      </c>
      <c r="AX78" s="284" t="n">
        <f aca="false">IFERROR(($J78*U78)*$M78, "")</f>
        <v>0</v>
      </c>
      <c r="AY78" s="284" t="n">
        <f aca="false">IFERROR(($J78*V78)*$M78, "")</f>
        <v>0</v>
      </c>
      <c r="AZ78" s="284" t="n">
        <f aca="false">IFERROR(($J78*W78)*$M78, "")</f>
        <v>0</v>
      </c>
      <c r="BA78" s="284" t="n">
        <f aca="false">IFERROR(($J78*X78)*$M78, "")</f>
        <v>0</v>
      </c>
      <c r="BB78" s="284" t="n">
        <f aca="false">IFERROR(($J78*Y78)*$M78, "")</f>
        <v>0</v>
      </c>
      <c r="BC78" s="285" t="n">
        <f aca="false">IFERROR(($J78*Z78)*$M78, "")</f>
        <v>0</v>
      </c>
      <c r="BD78" s="286" t="n">
        <f aca="false">IFERROR(SUMIF($AB$4:$AM$4, "RDEC", AR78:BC78), "")</f>
        <v>222.8408</v>
      </c>
      <c r="BE78" s="286" t="n">
        <f aca="false">IFERROR(SUMIF($AB$4:$AM$4, "SME", AR78:BC78), "")</f>
        <v>891.3632</v>
      </c>
      <c r="BF78" s="286" t="n">
        <f aca="false">IFERROR(SUMIF($AB$4:$AM$4, "De Minimis", AR78:BC78), "")</f>
        <v>0</v>
      </c>
      <c r="BG78" s="287"/>
      <c r="BH78" s="288" t="str">
        <f aca="false">IF((SUM(O78:Z78)&gt;1),"ERROR","")</f>
        <v/>
      </c>
      <c r="BI78" s="287"/>
      <c r="BJ78" s="18" t="str">
        <f aca="false">IF(C64&gt;0, C64, "")</f>
        <v/>
      </c>
      <c r="BL78" s="200"/>
      <c r="BM78" s="200"/>
      <c r="BN78" s="200"/>
    </row>
    <row r="79" customFormat="false" ht="15" hidden="false" customHeight="true" outlineLevel="0" collapsed="false">
      <c r="B79" s="275"/>
      <c r="D79" s="276" t="n">
        <f aca="false">D63</f>
        <v>45505</v>
      </c>
      <c r="E79" s="277" t="n">
        <v>4863.93</v>
      </c>
      <c r="F79" s="277" t="n">
        <v>1313.26</v>
      </c>
      <c r="G79" s="277" t="n">
        <v>328.45</v>
      </c>
      <c r="H79" s="277" t="n">
        <v>566.57</v>
      </c>
      <c r="I79" s="277" t="n">
        <v>194.56</v>
      </c>
      <c r="J79" s="278" t="n">
        <f aca="false">E79+H79+I79</f>
        <v>5625.06</v>
      </c>
      <c r="K79" s="204"/>
      <c r="L79" s="279" t="n">
        <v>0.8</v>
      </c>
      <c r="M79" s="280" t="n">
        <f aca="false">1-L79</f>
        <v>0.2</v>
      </c>
      <c r="N79" s="281"/>
      <c r="O79" s="282" t="n">
        <v>0.2</v>
      </c>
      <c r="P79" s="282" t="n">
        <v>0.3</v>
      </c>
      <c r="Q79" s="282" t="n">
        <v>0.15</v>
      </c>
      <c r="R79" s="282" t="n">
        <v>0.2</v>
      </c>
      <c r="S79" s="282" t="n">
        <v>0.15</v>
      </c>
      <c r="T79" s="282"/>
      <c r="U79" s="282"/>
      <c r="V79" s="282"/>
      <c r="W79" s="282"/>
      <c r="X79" s="282"/>
      <c r="Y79" s="282"/>
      <c r="Z79" s="282"/>
      <c r="AA79" s="283"/>
      <c r="AB79" s="284" t="n">
        <f aca="false">IFERROR(($J79*O79)*$L79, "")</f>
        <v>900.0096</v>
      </c>
      <c r="AC79" s="284" t="n">
        <f aca="false">IFERROR(($J79*P79)*$L79, "")</f>
        <v>1350.0144</v>
      </c>
      <c r="AD79" s="284" t="n">
        <f aca="false">IFERROR(($J79*Q79)*$L79, "")</f>
        <v>675.0072</v>
      </c>
      <c r="AE79" s="284" t="n">
        <f aca="false">IFERROR(($J79*R79)*$L79, "")</f>
        <v>900.0096</v>
      </c>
      <c r="AF79" s="284" t="n">
        <f aca="false">IFERROR(($J79*S79)*$L79, "")</f>
        <v>675.0072</v>
      </c>
      <c r="AG79" s="284" t="n">
        <f aca="false">IFERROR(($J79*T79)*$L79, "")</f>
        <v>0</v>
      </c>
      <c r="AH79" s="284" t="n">
        <f aca="false">IFERROR(($J79*U79)*$L79, "")</f>
        <v>0</v>
      </c>
      <c r="AI79" s="284" t="n">
        <f aca="false">IFERROR(($J79*V79)*$L79, "")</f>
        <v>0</v>
      </c>
      <c r="AJ79" s="284" t="n">
        <f aca="false">IFERROR(($J79*W79)*$L79, "")</f>
        <v>0</v>
      </c>
      <c r="AK79" s="284" t="n">
        <f aca="false">IFERROR(($J79*X79)*$L79, "")</f>
        <v>0</v>
      </c>
      <c r="AL79" s="284" t="n">
        <f aca="false">IFERROR(($J79*Y79)*$L79, "")</f>
        <v>0</v>
      </c>
      <c r="AM79" s="285" t="n">
        <f aca="false">IFERROR(($J79*Z79)*$L79, "")</f>
        <v>0</v>
      </c>
      <c r="AN79" s="286" t="n">
        <f aca="false">IFERROR(SUMIF($AB$4:$AM$4, "RDEC", AB79:AM79), "")</f>
        <v>900.0096</v>
      </c>
      <c r="AO79" s="286" t="n">
        <f aca="false">IFERROR(SUMIF($AB$4:$AM$4, "SME", AB79:AM79), "")</f>
        <v>3600.0384</v>
      </c>
      <c r="AP79" s="286" t="n">
        <f aca="false">IFERROR(SUMIF($AB$4:$AM$4, "De Minimis", AB79:AM79), "")</f>
        <v>0</v>
      </c>
      <c r="AQ79" s="283"/>
      <c r="AR79" s="284" t="n">
        <f aca="false">IFERROR(($J79*O79)*$M79, "")</f>
        <v>225.0024</v>
      </c>
      <c r="AS79" s="284" t="n">
        <f aca="false">IFERROR(($J79*P79)*$M79, "")</f>
        <v>337.5036</v>
      </c>
      <c r="AT79" s="284" t="n">
        <f aca="false">IFERROR(($J79*Q79)*$M79, "")</f>
        <v>168.7518</v>
      </c>
      <c r="AU79" s="284" t="n">
        <f aca="false">IFERROR(($J79*R79)*$M79, "")</f>
        <v>225.0024</v>
      </c>
      <c r="AV79" s="284" t="n">
        <f aca="false">IFERROR(($J79*S79)*$M79, "")</f>
        <v>168.7518</v>
      </c>
      <c r="AW79" s="284" t="n">
        <f aca="false">IFERROR(($J79*T79)*$M79, "")</f>
        <v>0</v>
      </c>
      <c r="AX79" s="284" t="n">
        <f aca="false">IFERROR(($J79*U79)*$M79, "")</f>
        <v>0</v>
      </c>
      <c r="AY79" s="284" t="n">
        <f aca="false">IFERROR(($J79*V79)*$M79, "")</f>
        <v>0</v>
      </c>
      <c r="AZ79" s="284" t="n">
        <f aca="false">IFERROR(($J79*W79)*$M79, "")</f>
        <v>0</v>
      </c>
      <c r="BA79" s="284" t="n">
        <f aca="false">IFERROR(($J79*X79)*$M79, "")</f>
        <v>0</v>
      </c>
      <c r="BB79" s="284" t="n">
        <f aca="false">IFERROR(($J79*Y79)*$M79, "")</f>
        <v>0</v>
      </c>
      <c r="BC79" s="285" t="n">
        <f aca="false">IFERROR(($J79*Z79)*$M79, "")</f>
        <v>0</v>
      </c>
      <c r="BD79" s="286" t="n">
        <f aca="false">IFERROR(SUMIF($AB$4:$AM$4, "RDEC", AR79:BC79), "")</f>
        <v>225.0024</v>
      </c>
      <c r="BE79" s="286" t="n">
        <f aca="false">IFERROR(SUMIF($AB$4:$AM$4, "SME", AR79:BC79), "")</f>
        <v>900.0096</v>
      </c>
      <c r="BF79" s="286" t="n">
        <f aca="false">IFERROR(SUMIF($AB$4:$AM$4, "De Minimis", AR79:BC79), "")</f>
        <v>0</v>
      </c>
      <c r="BG79" s="287"/>
      <c r="BH79" s="288" t="str">
        <f aca="false">IF((SUM(O79:Z79)&gt;1),"ERROR","")</f>
        <v/>
      </c>
      <c r="BI79" s="287"/>
      <c r="BJ79" s="18" t="str">
        <f aca="false">IF(C65&gt;0, C65, "")</f>
        <v/>
      </c>
      <c r="BL79" s="200"/>
      <c r="BM79" s="200"/>
      <c r="BN79" s="200"/>
    </row>
    <row r="80" customFormat="false" ht="15" hidden="false" customHeight="true" outlineLevel="0" collapsed="false">
      <c r="B80" s="275"/>
      <c r="D80" s="276" t="n">
        <f aca="false">D64</f>
        <v>45536</v>
      </c>
      <c r="E80" s="277" t="n">
        <v>4891.01</v>
      </c>
      <c r="F80" s="277" t="n">
        <v>1320.57</v>
      </c>
      <c r="G80" s="277" t="n">
        <v>330.61</v>
      </c>
      <c r="H80" s="277" t="n">
        <v>570.31</v>
      </c>
      <c r="I80" s="277" t="n">
        <v>195.64</v>
      </c>
      <c r="J80" s="278" t="n">
        <f aca="false">E80+H80+I80</f>
        <v>5656.96</v>
      </c>
      <c r="K80" s="204"/>
      <c r="L80" s="279" t="n">
        <v>0.8</v>
      </c>
      <c r="M80" s="280" t="n">
        <f aca="false">1-L80</f>
        <v>0.2</v>
      </c>
      <c r="N80" s="281"/>
      <c r="O80" s="282" t="n">
        <v>0.2</v>
      </c>
      <c r="P80" s="282" t="n">
        <v>0.3</v>
      </c>
      <c r="Q80" s="282" t="n">
        <v>0.15</v>
      </c>
      <c r="R80" s="282" t="n">
        <v>0.2</v>
      </c>
      <c r="S80" s="282" t="n">
        <v>0.15</v>
      </c>
      <c r="T80" s="282"/>
      <c r="U80" s="282"/>
      <c r="V80" s="282"/>
      <c r="W80" s="282"/>
      <c r="X80" s="282"/>
      <c r="Y80" s="282"/>
      <c r="Z80" s="282"/>
      <c r="AA80" s="283"/>
      <c r="AB80" s="284" t="n">
        <f aca="false">IFERROR(($J80*O80)*$L80, "")</f>
        <v>905.1136</v>
      </c>
      <c r="AC80" s="284" t="n">
        <f aca="false">IFERROR(($J80*P80)*$L80, "")</f>
        <v>1357.6704</v>
      </c>
      <c r="AD80" s="284" t="n">
        <f aca="false">IFERROR(($J80*Q80)*$L80, "")</f>
        <v>678.8352</v>
      </c>
      <c r="AE80" s="284" t="n">
        <f aca="false">IFERROR(($J80*R80)*$L80, "")</f>
        <v>905.1136</v>
      </c>
      <c r="AF80" s="284" t="n">
        <f aca="false">IFERROR(($J80*S80)*$L80, "")</f>
        <v>678.8352</v>
      </c>
      <c r="AG80" s="284" t="n">
        <f aca="false">IFERROR(($J80*T80)*$L80, "")</f>
        <v>0</v>
      </c>
      <c r="AH80" s="284" t="n">
        <f aca="false">IFERROR(($J80*U80)*$L80, "")</f>
        <v>0</v>
      </c>
      <c r="AI80" s="284" t="n">
        <f aca="false">IFERROR(($J80*V80)*$L80, "")</f>
        <v>0</v>
      </c>
      <c r="AJ80" s="284" t="n">
        <f aca="false">IFERROR(($J80*W80)*$L80, "")</f>
        <v>0</v>
      </c>
      <c r="AK80" s="284" t="n">
        <f aca="false">IFERROR(($J80*X80)*$L80, "")</f>
        <v>0</v>
      </c>
      <c r="AL80" s="284" t="n">
        <f aca="false">IFERROR(($J80*Y80)*$L80, "")</f>
        <v>0</v>
      </c>
      <c r="AM80" s="285" t="n">
        <f aca="false">IFERROR(($J80*Z80)*$L80, "")</f>
        <v>0</v>
      </c>
      <c r="AN80" s="286" t="n">
        <f aca="false">IFERROR(SUMIF($AB$4:$AM$4, "RDEC", AB80:AM80), "")</f>
        <v>905.1136</v>
      </c>
      <c r="AO80" s="286" t="n">
        <f aca="false">IFERROR(SUMIF($AB$4:$AM$4, "SME", AB80:AM80), "")</f>
        <v>3620.4544</v>
      </c>
      <c r="AP80" s="286" t="n">
        <f aca="false">IFERROR(SUMIF($AB$4:$AM$4, "De Minimis", AB80:AM80), "")</f>
        <v>0</v>
      </c>
      <c r="AQ80" s="283"/>
      <c r="AR80" s="284" t="n">
        <f aca="false">IFERROR(($J80*O80)*$M80, "")</f>
        <v>226.2784</v>
      </c>
      <c r="AS80" s="284" t="n">
        <f aca="false">IFERROR(($J80*P80)*$M80, "")</f>
        <v>339.4176</v>
      </c>
      <c r="AT80" s="284" t="n">
        <f aca="false">IFERROR(($J80*Q80)*$M80, "")</f>
        <v>169.7088</v>
      </c>
      <c r="AU80" s="284" t="n">
        <f aca="false">IFERROR(($J80*R80)*$M80, "")</f>
        <v>226.2784</v>
      </c>
      <c r="AV80" s="284" t="n">
        <f aca="false">IFERROR(($J80*S80)*$M80, "")</f>
        <v>169.7088</v>
      </c>
      <c r="AW80" s="284" t="n">
        <f aca="false">IFERROR(($J80*T80)*$M80, "")</f>
        <v>0</v>
      </c>
      <c r="AX80" s="284" t="n">
        <f aca="false">IFERROR(($J80*U80)*$M80, "")</f>
        <v>0</v>
      </c>
      <c r="AY80" s="284" t="n">
        <f aca="false">IFERROR(($J80*V80)*$M80, "")</f>
        <v>0</v>
      </c>
      <c r="AZ80" s="284" t="n">
        <f aca="false">IFERROR(($J80*W80)*$M80, "")</f>
        <v>0</v>
      </c>
      <c r="BA80" s="284" t="n">
        <f aca="false">IFERROR(($J80*X80)*$M80, "")</f>
        <v>0</v>
      </c>
      <c r="BB80" s="284" t="n">
        <f aca="false">IFERROR(($J80*Y80)*$M80, "")</f>
        <v>0</v>
      </c>
      <c r="BC80" s="285" t="n">
        <f aca="false">IFERROR(($J80*Z80)*$M80, "")</f>
        <v>0</v>
      </c>
      <c r="BD80" s="286" t="n">
        <f aca="false">IFERROR(SUMIF($AB$4:$AM$4, "RDEC", AR80:BC80), "")</f>
        <v>226.2784</v>
      </c>
      <c r="BE80" s="286" t="n">
        <f aca="false">IFERROR(SUMIF($AB$4:$AM$4, "SME", AR80:BC80), "")</f>
        <v>905.1136</v>
      </c>
      <c r="BF80" s="286" t="n">
        <f aca="false">IFERROR(SUMIF($AB$4:$AM$4, "De Minimis", AR80:BC80), "")</f>
        <v>0</v>
      </c>
      <c r="BG80" s="287"/>
      <c r="BH80" s="288" t="str">
        <f aca="false">IF((SUM(O80:Z80)&gt;1),"ERROR","")</f>
        <v/>
      </c>
      <c r="BI80" s="287"/>
      <c r="BJ80" s="18" t="str">
        <f aca="false">IF(C66&gt;0, C66, "")</f>
        <v/>
      </c>
      <c r="BL80" s="200"/>
      <c r="BM80" s="200"/>
      <c r="BN80" s="200"/>
    </row>
    <row r="81" customFormat="false" ht="15" hidden="false" customHeight="true" outlineLevel="0" collapsed="false">
      <c r="B81" s="275"/>
      <c r="D81" s="276" t="n">
        <f aca="false">D65</f>
        <v>45566</v>
      </c>
      <c r="E81" s="277" t="n">
        <v>4896.34</v>
      </c>
      <c r="F81" s="277" t="n">
        <v>1322.01</v>
      </c>
      <c r="G81" s="277" t="n">
        <v>331.04</v>
      </c>
      <c r="H81" s="277" t="n">
        <v>571.05</v>
      </c>
      <c r="I81" s="277" t="n">
        <v>195.85</v>
      </c>
      <c r="J81" s="278" t="n">
        <f aca="false">E81+H81+I81</f>
        <v>5663.24</v>
      </c>
      <c r="K81" s="204"/>
      <c r="L81" s="279" t="n">
        <v>0.8</v>
      </c>
      <c r="M81" s="280" t="n">
        <f aca="false">1-L81</f>
        <v>0.2</v>
      </c>
      <c r="N81" s="281"/>
      <c r="O81" s="282" t="n">
        <v>0.2</v>
      </c>
      <c r="P81" s="282" t="n">
        <v>0.3</v>
      </c>
      <c r="Q81" s="282" t="n">
        <v>0.15</v>
      </c>
      <c r="R81" s="282" t="n">
        <v>0.2</v>
      </c>
      <c r="S81" s="282" t="n">
        <v>0.15</v>
      </c>
      <c r="T81" s="282"/>
      <c r="U81" s="282"/>
      <c r="V81" s="282"/>
      <c r="W81" s="282"/>
      <c r="X81" s="282"/>
      <c r="Y81" s="282"/>
      <c r="Z81" s="282"/>
      <c r="AA81" s="283"/>
      <c r="AB81" s="284" t="n">
        <f aca="false">IFERROR(($J81*O81)*$L81, "")</f>
        <v>906.1184</v>
      </c>
      <c r="AC81" s="284" t="n">
        <f aca="false">IFERROR(($J81*P81)*$L81, "")</f>
        <v>1359.1776</v>
      </c>
      <c r="AD81" s="284" t="n">
        <f aca="false">IFERROR(($J81*Q81)*$L81, "")</f>
        <v>679.5888</v>
      </c>
      <c r="AE81" s="284" t="n">
        <f aca="false">IFERROR(($J81*R81)*$L81, "")</f>
        <v>906.1184</v>
      </c>
      <c r="AF81" s="284" t="n">
        <f aca="false">IFERROR(($J81*S81)*$L81, "")</f>
        <v>679.5888</v>
      </c>
      <c r="AG81" s="284" t="n">
        <f aca="false">IFERROR(($J81*T81)*$L81, "")</f>
        <v>0</v>
      </c>
      <c r="AH81" s="284" t="n">
        <f aca="false">IFERROR(($J81*U81)*$L81, "")</f>
        <v>0</v>
      </c>
      <c r="AI81" s="284" t="n">
        <f aca="false">IFERROR(($J81*V81)*$L81, "")</f>
        <v>0</v>
      </c>
      <c r="AJ81" s="284" t="n">
        <f aca="false">IFERROR(($J81*W81)*$L81, "")</f>
        <v>0</v>
      </c>
      <c r="AK81" s="284" t="n">
        <f aca="false">IFERROR(($J81*X81)*$L81, "")</f>
        <v>0</v>
      </c>
      <c r="AL81" s="284" t="n">
        <f aca="false">IFERROR(($J81*Y81)*$L81, "")</f>
        <v>0</v>
      </c>
      <c r="AM81" s="285" t="n">
        <f aca="false">IFERROR(($J81*Z81)*$L81, "")</f>
        <v>0</v>
      </c>
      <c r="AN81" s="286" t="n">
        <f aca="false">IFERROR(SUMIF($AB$4:$AM$4, "RDEC", AB81:AM81), "")</f>
        <v>906.1184</v>
      </c>
      <c r="AO81" s="286" t="n">
        <f aca="false">IFERROR(SUMIF($AB$4:$AM$4, "SME", AB81:AM81), "")</f>
        <v>3624.4736</v>
      </c>
      <c r="AP81" s="286" t="n">
        <f aca="false">IFERROR(SUMIF($AB$4:$AM$4, "De Minimis", AB81:AM81), "")</f>
        <v>0</v>
      </c>
      <c r="AQ81" s="283"/>
      <c r="AR81" s="284" t="n">
        <f aca="false">IFERROR(($J81*O81)*$M81, "")</f>
        <v>226.5296</v>
      </c>
      <c r="AS81" s="284" t="n">
        <f aca="false">IFERROR(($J81*P81)*$M81, "")</f>
        <v>339.7944</v>
      </c>
      <c r="AT81" s="284" t="n">
        <f aca="false">IFERROR(($J81*Q81)*$M81, "")</f>
        <v>169.8972</v>
      </c>
      <c r="AU81" s="284" t="n">
        <f aca="false">IFERROR(($J81*R81)*$M81, "")</f>
        <v>226.5296</v>
      </c>
      <c r="AV81" s="284" t="n">
        <f aca="false">IFERROR(($J81*S81)*$M81, "")</f>
        <v>169.8972</v>
      </c>
      <c r="AW81" s="284" t="n">
        <f aca="false">IFERROR(($J81*T81)*$M81, "")</f>
        <v>0</v>
      </c>
      <c r="AX81" s="284" t="n">
        <f aca="false">IFERROR(($J81*U81)*$M81, "")</f>
        <v>0</v>
      </c>
      <c r="AY81" s="284" t="n">
        <f aca="false">IFERROR(($J81*V81)*$M81, "")</f>
        <v>0</v>
      </c>
      <c r="AZ81" s="284" t="n">
        <f aca="false">IFERROR(($J81*W81)*$M81, "")</f>
        <v>0</v>
      </c>
      <c r="BA81" s="284" t="n">
        <f aca="false">IFERROR(($J81*X81)*$M81, "")</f>
        <v>0</v>
      </c>
      <c r="BB81" s="284" t="n">
        <f aca="false">IFERROR(($J81*Y81)*$M81, "")</f>
        <v>0</v>
      </c>
      <c r="BC81" s="285" t="n">
        <f aca="false">IFERROR(($J81*Z81)*$M81, "")</f>
        <v>0</v>
      </c>
      <c r="BD81" s="286" t="n">
        <f aca="false">IFERROR(SUMIF($AB$4:$AM$4, "RDEC", AR81:BC81), "")</f>
        <v>226.5296</v>
      </c>
      <c r="BE81" s="286" t="n">
        <f aca="false">IFERROR(SUMIF($AB$4:$AM$4, "SME", AR81:BC81), "")</f>
        <v>906.1184</v>
      </c>
      <c r="BF81" s="286" t="n">
        <f aca="false">IFERROR(SUMIF($AB$4:$AM$4, "De Minimis", AR81:BC81), "")</f>
        <v>0</v>
      </c>
      <c r="BG81" s="287"/>
      <c r="BH81" s="288" t="str">
        <f aca="false">IF((SUM(O81:Z81)&gt;1),"ERROR","")</f>
        <v/>
      </c>
      <c r="BI81" s="287"/>
      <c r="BJ81" s="18" t="str">
        <f aca="false">IF(C67&gt;0, C67, "")</f>
        <v/>
      </c>
      <c r="BL81" s="200"/>
      <c r="BM81" s="200"/>
      <c r="BN81" s="200"/>
    </row>
    <row r="82" customFormat="false" ht="15" hidden="false" customHeight="true" outlineLevel="0" collapsed="false">
      <c r="B82" s="275"/>
      <c r="D82" s="276" t="n">
        <f aca="false">D66</f>
        <v>45597</v>
      </c>
      <c r="E82" s="277" t="n">
        <v>4765.1</v>
      </c>
      <c r="F82" s="277" t="n">
        <v>1286.58</v>
      </c>
      <c r="G82" s="277" t="n">
        <v>320.54</v>
      </c>
      <c r="H82" s="277" t="n">
        <v>552.93</v>
      </c>
      <c r="I82" s="277" t="n">
        <v>190.6</v>
      </c>
      <c r="J82" s="278" t="n">
        <f aca="false">E82+H82+I82</f>
        <v>5508.63</v>
      </c>
      <c r="K82" s="204"/>
      <c r="L82" s="279" t="n">
        <v>0.8</v>
      </c>
      <c r="M82" s="280" t="n">
        <f aca="false">1-L82</f>
        <v>0.2</v>
      </c>
      <c r="N82" s="281"/>
      <c r="O82" s="282" t="n">
        <v>0.2</v>
      </c>
      <c r="P82" s="282" t="n">
        <v>0.3</v>
      </c>
      <c r="Q82" s="282" t="n">
        <v>0.15</v>
      </c>
      <c r="R82" s="282" t="n">
        <v>0.2</v>
      </c>
      <c r="S82" s="282" t="n">
        <v>0.15</v>
      </c>
      <c r="T82" s="282"/>
      <c r="U82" s="282"/>
      <c r="V82" s="282"/>
      <c r="W82" s="282"/>
      <c r="X82" s="282"/>
      <c r="Y82" s="282"/>
      <c r="Z82" s="282"/>
      <c r="AA82" s="283"/>
      <c r="AB82" s="284" t="n">
        <f aca="false">IFERROR(($J82*O82)*$L82, "")</f>
        <v>881.3808</v>
      </c>
      <c r="AC82" s="284" t="n">
        <f aca="false">IFERROR(($J82*P82)*$L82, "")</f>
        <v>1322.0712</v>
      </c>
      <c r="AD82" s="284" t="n">
        <f aca="false">IFERROR(($J82*Q82)*$L82, "")</f>
        <v>661.0356</v>
      </c>
      <c r="AE82" s="284" t="n">
        <f aca="false">IFERROR(($J82*R82)*$L82, "")</f>
        <v>881.3808</v>
      </c>
      <c r="AF82" s="284" t="n">
        <f aca="false">IFERROR(($J82*S82)*$L82, "")</f>
        <v>661.0356</v>
      </c>
      <c r="AG82" s="284" t="n">
        <f aca="false">IFERROR(($J82*T82)*$L82, "")</f>
        <v>0</v>
      </c>
      <c r="AH82" s="284" t="n">
        <f aca="false">IFERROR(($J82*U82)*$L82, "")</f>
        <v>0</v>
      </c>
      <c r="AI82" s="284" t="n">
        <f aca="false">IFERROR(($J82*V82)*$L82, "")</f>
        <v>0</v>
      </c>
      <c r="AJ82" s="284" t="n">
        <f aca="false">IFERROR(($J82*W82)*$L82, "")</f>
        <v>0</v>
      </c>
      <c r="AK82" s="284" t="n">
        <f aca="false">IFERROR(($J82*X82)*$L82, "")</f>
        <v>0</v>
      </c>
      <c r="AL82" s="284" t="n">
        <f aca="false">IFERROR(($J82*Y82)*$L82, "")</f>
        <v>0</v>
      </c>
      <c r="AM82" s="285" t="n">
        <f aca="false">IFERROR(($J82*Z82)*$L82, "")</f>
        <v>0</v>
      </c>
      <c r="AN82" s="286" t="n">
        <f aca="false">IFERROR(SUMIF($AB$4:$AM$4, "RDEC", AB82:AM82), "")</f>
        <v>881.3808</v>
      </c>
      <c r="AO82" s="286" t="n">
        <f aca="false">IFERROR(SUMIF($AB$4:$AM$4, "SME", AB82:AM82), "")</f>
        <v>3525.5232</v>
      </c>
      <c r="AP82" s="286" t="n">
        <f aca="false">IFERROR(SUMIF($AB$4:$AM$4, "De Minimis", AB82:AM82), "")</f>
        <v>0</v>
      </c>
      <c r="AQ82" s="283"/>
      <c r="AR82" s="284" t="n">
        <f aca="false">IFERROR(($J82*O82)*$M82, "")</f>
        <v>220.3452</v>
      </c>
      <c r="AS82" s="284" t="n">
        <f aca="false">IFERROR(($J82*P82)*$M82, "")</f>
        <v>330.5178</v>
      </c>
      <c r="AT82" s="284" t="n">
        <f aca="false">IFERROR(($J82*Q82)*$M82, "")</f>
        <v>165.2589</v>
      </c>
      <c r="AU82" s="284" t="n">
        <f aca="false">IFERROR(($J82*R82)*$M82, "")</f>
        <v>220.3452</v>
      </c>
      <c r="AV82" s="284" t="n">
        <f aca="false">IFERROR(($J82*S82)*$M82, "")</f>
        <v>165.2589</v>
      </c>
      <c r="AW82" s="284" t="n">
        <f aca="false">IFERROR(($J82*T82)*$M82, "")</f>
        <v>0</v>
      </c>
      <c r="AX82" s="284" t="n">
        <f aca="false">IFERROR(($J82*U82)*$M82, "")</f>
        <v>0</v>
      </c>
      <c r="AY82" s="284" t="n">
        <f aca="false">IFERROR(($J82*V82)*$M82, "")</f>
        <v>0</v>
      </c>
      <c r="AZ82" s="284" t="n">
        <f aca="false">IFERROR(($J82*W82)*$M82, "")</f>
        <v>0</v>
      </c>
      <c r="BA82" s="284" t="n">
        <f aca="false">IFERROR(($J82*X82)*$M82, "")</f>
        <v>0</v>
      </c>
      <c r="BB82" s="284" t="n">
        <f aca="false">IFERROR(($J82*Y82)*$M82, "")</f>
        <v>0</v>
      </c>
      <c r="BC82" s="285" t="n">
        <f aca="false">IFERROR(($J82*Z82)*$M82, "")</f>
        <v>0</v>
      </c>
      <c r="BD82" s="286" t="n">
        <f aca="false">IFERROR(SUMIF($AB$4:$AM$4, "RDEC", AR82:BC82), "")</f>
        <v>220.3452</v>
      </c>
      <c r="BE82" s="286" t="n">
        <f aca="false">IFERROR(SUMIF($AB$4:$AM$4, "SME", AR82:BC82), "")</f>
        <v>881.3808</v>
      </c>
      <c r="BF82" s="286" t="n">
        <f aca="false">IFERROR(SUMIF($AB$4:$AM$4, "De Minimis", AR82:BC82), "")</f>
        <v>0</v>
      </c>
      <c r="BG82" s="287"/>
      <c r="BH82" s="288" t="str">
        <f aca="false">IF((SUM(O82:Z82)&gt;1),"ERROR","")</f>
        <v/>
      </c>
      <c r="BI82" s="287"/>
      <c r="BJ82" s="18" t="str">
        <f aca="false">IF(C68&gt;0, C68, "")</f>
        <v/>
      </c>
      <c r="BL82" s="200"/>
      <c r="BM82" s="200"/>
      <c r="BN82" s="200"/>
    </row>
    <row r="83" customFormat="false" ht="15" hidden="false" customHeight="true" outlineLevel="0" collapsed="false">
      <c r="B83" s="275"/>
      <c r="D83" s="276" t="n">
        <f aca="false">D67</f>
        <v>45627</v>
      </c>
      <c r="E83" s="277" t="n">
        <v>4778.52</v>
      </c>
      <c r="F83" s="277" t="n">
        <v>1290.2</v>
      </c>
      <c r="G83" s="277" t="n">
        <v>321.62</v>
      </c>
      <c r="H83" s="277" t="n">
        <v>554.79</v>
      </c>
      <c r="I83" s="277" t="n">
        <v>191.14</v>
      </c>
      <c r="J83" s="278" t="n">
        <f aca="false">E83+H83+I83</f>
        <v>5524.45</v>
      </c>
      <c r="K83" s="204"/>
      <c r="L83" s="289" t="n">
        <v>0.8</v>
      </c>
      <c r="M83" s="290" t="n">
        <f aca="false">1-L83</f>
        <v>0.2</v>
      </c>
      <c r="N83" s="281"/>
      <c r="O83" s="291" t="n">
        <v>0.2</v>
      </c>
      <c r="P83" s="291" t="n">
        <v>0.3</v>
      </c>
      <c r="Q83" s="291" t="n">
        <v>0.15</v>
      </c>
      <c r="R83" s="291" t="n">
        <v>0.2</v>
      </c>
      <c r="S83" s="291" t="n">
        <v>0.15</v>
      </c>
      <c r="T83" s="291"/>
      <c r="U83" s="291"/>
      <c r="V83" s="291"/>
      <c r="W83" s="291"/>
      <c r="X83" s="291"/>
      <c r="Y83" s="291"/>
      <c r="Z83" s="291"/>
      <c r="AA83" s="283"/>
      <c r="AB83" s="292" t="n">
        <f aca="false">IFERROR(($J83*O83)*$L83, "")</f>
        <v>883.912</v>
      </c>
      <c r="AC83" s="292" t="n">
        <f aca="false">IFERROR(($J83*P83)*$L83, "")</f>
        <v>1325.868</v>
      </c>
      <c r="AD83" s="292" t="n">
        <f aca="false">IFERROR(($J83*Q83)*$L83, "")</f>
        <v>662.934</v>
      </c>
      <c r="AE83" s="292" t="n">
        <f aca="false">IFERROR(($J83*R83)*$L83, "")</f>
        <v>883.912</v>
      </c>
      <c r="AF83" s="292" t="n">
        <f aca="false">IFERROR(($J83*S83)*$L83, "")</f>
        <v>662.934</v>
      </c>
      <c r="AG83" s="292" t="n">
        <f aca="false">IFERROR(($J83*T83)*$L83, "")</f>
        <v>0</v>
      </c>
      <c r="AH83" s="292" t="n">
        <f aca="false">IFERROR(($J83*U83)*$L83, "")</f>
        <v>0</v>
      </c>
      <c r="AI83" s="292" t="n">
        <f aca="false">IFERROR(($J83*V83)*$L83, "")</f>
        <v>0</v>
      </c>
      <c r="AJ83" s="292" t="n">
        <f aca="false">IFERROR(($J83*W83)*$L83, "")</f>
        <v>0</v>
      </c>
      <c r="AK83" s="292" t="n">
        <f aca="false">IFERROR(($J83*X83)*$L83, "")</f>
        <v>0</v>
      </c>
      <c r="AL83" s="292" t="n">
        <f aca="false">IFERROR(($J83*Y83)*$L83, "")</f>
        <v>0</v>
      </c>
      <c r="AM83" s="293" t="n">
        <f aca="false">IFERROR(($J83*Z83)*$L83, "")</f>
        <v>0</v>
      </c>
      <c r="AN83" s="294" t="n">
        <f aca="false">IFERROR(SUMIF($AB$4:$AM$4, "RDEC", AB83:AM83), "")</f>
        <v>883.912</v>
      </c>
      <c r="AO83" s="294" t="n">
        <f aca="false">IFERROR(SUMIF($AB$4:$AM$4, "SME", AB83:AM83), "")</f>
        <v>3535.648</v>
      </c>
      <c r="AP83" s="294" t="n">
        <f aca="false">IFERROR(SUMIF($AB$4:$AM$4, "De Minimis", AB83:AM83), "")</f>
        <v>0</v>
      </c>
      <c r="AQ83" s="283"/>
      <c r="AR83" s="292" t="n">
        <f aca="false">IFERROR(($J83*O83)*$M83, "")</f>
        <v>220.978</v>
      </c>
      <c r="AS83" s="292" t="n">
        <f aca="false">IFERROR(($J83*P83)*$M83, "")</f>
        <v>331.467</v>
      </c>
      <c r="AT83" s="292" t="n">
        <f aca="false">IFERROR(($J83*Q83)*$M83, "")</f>
        <v>165.7335</v>
      </c>
      <c r="AU83" s="292" t="n">
        <f aca="false">IFERROR(($J83*R83)*$M83, "")</f>
        <v>220.978</v>
      </c>
      <c r="AV83" s="292" t="n">
        <f aca="false">IFERROR(($J83*S83)*$M83, "")</f>
        <v>165.7335</v>
      </c>
      <c r="AW83" s="292" t="n">
        <f aca="false">IFERROR(($J83*T83)*$M83, "")</f>
        <v>0</v>
      </c>
      <c r="AX83" s="292" t="n">
        <f aca="false">IFERROR(($J83*U83)*$M83, "")</f>
        <v>0</v>
      </c>
      <c r="AY83" s="292" t="n">
        <f aca="false">IFERROR(($J83*V83)*$M83, "")</f>
        <v>0</v>
      </c>
      <c r="AZ83" s="292" t="n">
        <f aca="false">IFERROR(($J83*W83)*$M83, "")</f>
        <v>0</v>
      </c>
      <c r="BA83" s="292" t="n">
        <f aca="false">IFERROR(($J83*X83)*$M83, "")</f>
        <v>0</v>
      </c>
      <c r="BB83" s="292" t="n">
        <f aca="false">IFERROR(($J83*Y83)*$M83, "")</f>
        <v>0</v>
      </c>
      <c r="BC83" s="293" t="n">
        <f aca="false">IFERROR(($J83*Z83)*$M83, "")</f>
        <v>0</v>
      </c>
      <c r="BD83" s="294" t="n">
        <f aca="false">IFERROR(SUMIF($AB$4:$AM$4, "RDEC", AR83:BC83), "")</f>
        <v>220.978</v>
      </c>
      <c r="BE83" s="294" t="n">
        <f aca="false">IFERROR(SUMIF($AB$4:$AM$4, "SME", AR83:BC83), "")</f>
        <v>883.912</v>
      </c>
      <c r="BF83" s="294" t="n">
        <f aca="false">IFERROR(SUMIF($AB$4:$AM$4, "De Minimis", AR83:BC83), "")</f>
        <v>0</v>
      </c>
      <c r="BG83" s="287"/>
      <c r="BH83" s="295" t="str">
        <f aca="false">IF((SUM(O83:Z83)&gt;1),"ERROR","")</f>
        <v/>
      </c>
      <c r="BI83" s="287"/>
      <c r="BJ83" s="18" t="str">
        <f aca="false">IF(C69&gt;0, C69, "")</f>
        <v/>
      </c>
      <c r="BL83" s="200"/>
      <c r="BM83" s="200"/>
      <c r="BN83" s="200"/>
    </row>
    <row r="84" customFormat="false" ht="15" hidden="false" customHeight="true" outlineLevel="0" collapsed="false">
      <c r="B84" s="296"/>
      <c r="D84" s="297" t="s">
        <v>82</v>
      </c>
      <c r="E84" s="298" t="n">
        <f aca="false">SUM(E71:E83)</f>
        <v>57821.14</v>
      </c>
      <c r="F84" s="298" t="n">
        <f aca="false">SUM(F71:F83)</f>
        <v>15611.7</v>
      </c>
      <c r="G84" s="298" t="n">
        <f aca="false">SUM(G71:G83)</f>
        <v>3897.7</v>
      </c>
      <c r="H84" s="298" t="n">
        <f aca="false">SUM(H71:H83)</f>
        <v>6723.52</v>
      </c>
      <c r="I84" s="298" t="n">
        <f aca="false">SUM(I71:I83)</f>
        <v>2312.84</v>
      </c>
      <c r="J84" s="299" t="n">
        <f aca="false">SUM(J71:J83)</f>
        <v>66857.5</v>
      </c>
      <c r="K84" s="300"/>
      <c r="L84" s="301" t="n">
        <f aca="false">AVERAGE(L71:L83)</f>
        <v>0.8</v>
      </c>
      <c r="M84" s="301" t="n">
        <f aca="false">AVERAGE(M71:M83)</f>
        <v>0.2</v>
      </c>
      <c r="N84" s="302"/>
      <c r="O84" s="290" t="n">
        <f aca="false">IF(SUM(O72:O83)&gt;0,((AB84+AR84)/J84),0)</f>
        <v>0.2</v>
      </c>
      <c r="P84" s="290" t="n">
        <f aca="false">IF(SUM(P72:P83)&gt;0,((AC84+AS84)/J84),0)</f>
        <v>0.3</v>
      </c>
      <c r="Q84" s="290" t="n">
        <f aca="false">IF(SUM(Q72:Q83)&gt;0,((AD84+AT84)/J84),0)</f>
        <v>0.15</v>
      </c>
      <c r="R84" s="290" t="n">
        <f aca="false">IF(SUM(R72:R83)&gt;0,((AE84+AU84)/J84),0)</f>
        <v>0.2</v>
      </c>
      <c r="S84" s="290" t="n">
        <f aca="false">IF(SUM(S72:S83)&gt;0,((AF84+AV84)/J84),0)</f>
        <v>0.15</v>
      </c>
      <c r="T84" s="290" t="n">
        <f aca="false">IF(SUM(T72:T83)&gt;0,((AG84+AW84)/J84),0)</f>
        <v>0</v>
      </c>
      <c r="U84" s="290" t="n">
        <f aca="false">IF(SUM(U72:U83)&gt;0,((AH84+AX84)/J84),0)</f>
        <v>0</v>
      </c>
      <c r="V84" s="290" t="n">
        <f aca="false">IF(SUM(V72:V83)&gt;0,((AI84+AY84)/J84),0)</f>
        <v>0</v>
      </c>
      <c r="W84" s="290" t="n">
        <f aca="false">IF(SUM(W72:W83)&gt;0,((AJ84+AZ84)/J84),0)</f>
        <v>0</v>
      </c>
      <c r="X84" s="290" t="n">
        <f aca="false">IF(SUM(X72:X83)&gt;0,((AK84+BA84)/J84),0)</f>
        <v>0</v>
      </c>
      <c r="Y84" s="290" t="n">
        <f aca="false">IF(SUM(Y72:Y83)&gt;0,((AL84+BB84)/J84),0)</f>
        <v>0</v>
      </c>
      <c r="Z84" s="290" t="n">
        <f aca="false">IF(SUM(Z72:Z83)&gt;0,((AM84+BC84)/J84),0)</f>
        <v>0</v>
      </c>
      <c r="AA84" s="303"/>
      <c r="AB84" s="292" t="n">
        <f aca="false">SUM(AB71:AB83)</f>
        <v>10697.2</v>
      </c>
      <c r="AC84" s="304" t="n">
        <f aca="false">SUM(AC71:AC83)</f>
        <v>16045.8</v>
      </c>
      <c r="AD84" s="304" t="n">
        <f aca="false">SUM(AD71:AD83)</f>
        <v>8022.9</v>
      </c>
      <c r="AE84" s="304" t="n">
        <f aca="false">SUM(AE71:AE83)</f>
        <v>10697.2</v>
      </c>
      <c r="AF84" s="304" t="n">
        <f aca="false">SUM(AF71:AF83)</f>
        <v>8022.9</v>
      </c>
      <c r="AG84" s="304" t="n">
        <f aca="false">SUM(AG71:AG83)</f>
        <v>0</v>
      </c>
      <c r="AH84" s="304" t="n">
        <f aca="false">SUM(AH71:AH83)</f>
        <v>0</v>
      </c>
      <c r="AI84" s="304" t="n">
        <f aca="false">SUM(AI71:AI83)</f>
        <v>0</v>
      </c>
      <c r="AJ84" s="304" t="n">
        <f aca="false">SUM(AJ71:AJ83)</f>
        <v>0</v>
      </c>
      <c r="AK84" s="304" t="n">
        <f aca="false">SUM(AK71:AK83)</f>
        <v>0</v>
      </c>
      <c r="AL84" s="304" t="n">
        <f aca="false">SUM(AL71:AL83)</f>
        <v>0</v>
      </c>
      <c r="AM84" s="304" t="n">
        <f aca="false">SUM(AM71:AM83)</f>
        <v>0</v>
      </c>
      <c r="AN84" s="305" t="n">
        <f aca="false">SUM(AN71:AN83)</f>
        <v>10697.2</v>
      </c>
      <c r="AO84" s="305" t="n">
        <f aca="false">SUM(AO71:AO83)</f>
        <v>42788.8</v>
      </c>
      <c r="AP84" s="305" t="n">
        <f aca="false">SUM(AP71:AP83)</f>
        <v>0</v>
      </c>
      <c r="AQ84" s="303"/>
      <c r="AR84" s="292" t="n">
        <f aca="false">SUM(AR71:AR83)</f>
        <v>2674.3</v>
      </c>
      <c r="AS84" s="304" t="n">
        <f aca="false">SUM(AS71:AS83)</f>
        <v>4011.45</v>
      </c>
      <c r="AT84" s="304" t="n">
        <f aca="false">SUM(AT71:AT83)</f>
        <v>2005.725</v>
      </c>
      <c r="AU84" s="304" t="n">
        <f aca="false">SUM(AU71:AU83)</f>
        <v>2674.3</v>
      </c>
      <c r="AV84" s="304" t="n">
        <f aca="false">SUM(AV71:AV83)</f>
        <v>2005.725</v>
      </c>
      <c r="AW84" s="304" t="n">
        <f aca="false">SUM(AW71:AW83)</f>
        <v>0</v>
      </c>
      <c r="AX84" s="304" t="n">
        <f aca="false">SUM(AX71:AX83)</f>
        <v>0</v>
      </c>
      <c r="AY84" s="304" t="n">
        <f aca="false">SUM(AY71:AY83)</f>
        <v>0</v>
      </c>
      <c r="AZ84" s="304" t="n">
        <f aca="false">SUM(AZ71:AZ83)</f>
        <v>0</v>
      </c>
      <c r="BA84" s="304" t="n">
        <f aca="false">SUM(BA71:BA83)</f>
        <v>0</v>
      </c>
      <c r="BB84" s="304" t="n">
        <f aca="false">SUM(BB71:BB83)</f>
        <v>0</v>
      </c>
      <c r="BC84" s="304" t="n">
        <f aca="false">SUM(BC71:BC83)</f>
        <v>0</v>
      </c>
      <c r="BD84" s="305" t="n">
        <f aca="false">SUM(BD71:BD83)</f>
        <v>2674.3</v>
      </c>
      <c r="BE84" s="305" t="n">
        <f aca="false">SUM(BE71:BE83)</f>
        <v>10697.2</v>
      </c>
      <c r="BF84" s="305" t="n">
        <f aca="false">SUM(BF71:BF83)</f>
        <v>0</v>
      </c>
      <c r="BG84" s="303"/>
      <c r="BH84" s="306"/>
      <c r="BI84" s="303"/>
      <c r="BJ84" s="307" t="str">
        <f aca="false">IF(C70&gt;0, C70, "")</f>
        <v>DevOps Engineer</v>
      </c>
      <c r="BK84" s="18" t="s">
        <v>234</v>
      </c>
      <c r="BL84" s="200" t="n">
        <f aca="false">IF($BK84="Y",J84,0)</f>
        <v>0</v>
      </c>
      <c r="BM84" s="200" t="n">
        <f aca="false">IF(BK84="Y", AN84,0)</f>
        <v>0</v>
      </c>
      <c r="BN84" s="200" t="n">
        <f aca="false">IF((BK84="Y"),AO84,0)</f>
        <v>0</v>
      </c>
    </row>
    <row r="85" customFormat="false" ht="15" hidden="false" customHeight="true" outlineLevel="0" collapsed="false">
      <c r="B85" s="296"/>
      <c r="D85" s="297"/>
      <c r="E85" s="277"/>
      <c r="F85" s="277"/>
      <c r="G85" s="277"/>
      <c r="H85" s="277"/>
      <c r="I85" s="277"/>
      <c r="J85" s="300"/>
      <c r="K85" s="300"/>
      <c r="L85" s="302"/>
      <c r="M85" s="302"/>
      <c r="N85" s="302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  <c r="Z85" s="308"/>
      <c r="AA85" s="303"/>
      <c r="AB85" s="303"/>
      <c r="AC85" s="303"/>
      <c r="AD85" s="303"/>
      <c r="AE85" s="303"/>
      <c r="AF85" s="303"/>
      <c r="AG85" s="303"/>
      <c r="AH85" s="303"/>
      <c r="AI85" s="303"/>
      <c r="AJ85" s="303"/>
      <c r="AK85" s="303"/>
      <c r="AL85" s="303"/>
      <c r="AM85" s="303"/>
      <c r="AN85" s="303"/>
      <c r="AO85" s="303"/>
      <c r="AP85" s="303"/>
      <c r="AQ85" s="303"/>
      <c r="AR85" s="303"/>
      <c r="AS85" s="303"/>
      <c r="AT85" s="303"/>
      <c r="AU85" s="303"/>
      <c r="AV85" s="303"/>
      <c r="AW85" s="303"/>
      <c r="AX85" s="303"/>
      <c r="AY85" s="303"/>
      <c r="AZ85" s="303"/>
      <c r="BA85" s="303"/>
      <c r="BB85" s="303"/>
      <c r="BC85" s="303"/>
      <c r="BD85" s="303"/>
      <c r="BE85" s="303"/>
      <c r="BF85" s="303"/>
      <c r="BG85" s="303"/>
      <c r="BH85" s="303"/>
      <c r="BI85" s="303"/>
      <c r="BJ85" s="307" t="str">
        <f aca="false">IF(C71&gt;0, C71, "")</f>
        <v/>
      </c>
      <c r="BL85" s="200"/>
      <c r="BM85" s="200"/>
      <c r="BN85" s="200"/>
    </row>
    <row r="86" customFormat="false" ht="15" hidden="false" customHeight="true" outlineLevel="0" collapsed="false">
      <c r="A86" s="198" t="n">
        <v>6</v>
      </c>
      <c r="B86" s="266" t="s">
        <v>243</v>
      </c>
      <c r="C86" s="266" t="s">
        <v>244</v>
      </c>
      <c r="D86" s="267"/>
      <c r="E86" s="242"/>
      <c r="F86" s="242"/>
      <c r="G86" s="242"/>
      <c r="H86" s="242"/>
      <c r="I86" s="242"/>
      <c r="J86" s="241"/>
      <c r="K86" s="241"/>
      <c r="L86" s="241"/>
      <c r="M86" s="241"/>
      <c r="N86" s="241"/>
      <c r="O86" s="268"/>
      <c r="P86" s="268"/>
      <c r="Q86" s="268"/>
      <c r="R86" s="268"/>
      <c r="S86" s="268"/>
      <c r="T86" s="268"/>
      <c r="U86" s="268"/>
      <c r="V86" s="268"/>
      <c r="W86" s="268"/>
      <c r="X86" s="268"/>
      <c r="Y86" s="268"/>
      <c r="Z86" s="268"/>
      <c r="AA86" s="268"/>
      <c r="AB86" s="268"/>
      <c r="AC86" s="268"/>
      <c r="AD86" s="268"/>
      <c r="AE86" s="268"/>
      <c r="AF86" s="268"/>
      <c r="AG86" s="268"/>
      <c r="AH86" s="268"/>
      <c r="AI86" s="268"/>
      <c r="AJ86" s="268"/>
      <c r="AK86" s="268"/>
      <c r="AL86" s="268"/>
      <c r="AM86" s="268"/>
      <c r="AN86" s="268"/>
      <c r="AO86" s="268"/>
      <c r="AP86" s="268"/>
      <c r="AQ86" s="268"/>
      <c r="AR86" s="268"/>
      <c r="AS86" s="268"/>
      <c r="AT86" s="268"/>
      <c r="AU86" s="268"/>
      <c r="AV86" s="268"/>
      <c r="AW86" s="268"/>
      <c r="AX86" s="268"/>
      <c r="AY86" s="268"/>
      <c r="AZ86" s="268"/>
      <c r="BA86" s="268"/>
      <c r="BB86" s="268"/>
      <c r="BC86" s="268"/>
      <c r="BD86" s="268"/>
      <c r="BE86" s="268"/>
      <c r="BF86" s="268"/>
      <c r="BG86" s="268"/>
      <c r="BH86" s="268"/>
      <c r="BI86" s="268"/>
      <c r="BJ86" s="18" t="str">
        <f aca="false">IF(C73&gt;0, C73, "")</f>
        <v/>
      </c>
      <c r="BL86" s="200"/>
      <c r="BM86" s="200"/>
      <c r="BN86" s="200"/>
    </row>
    <row r="87" customFormat="false" ht="7.5" hidden="false" customHeight="true" outlineLevel="0" collapsed="false">
      <c r="A87" s="198"/>
      <c r="B87" s="266"/>
      <c r="C87" s="266"/>
      <c r="D87" s="267"/>
      <c r="E87" s="242"/>
      <c r="F87" s="242"/>
      <c r="G87" s="242"/>
      <c r="H87" s="242"/>
      <c r="I87" s="242"/>
      <c r="J87" s="241"/>
      <c r="K87" s="241"/>
      <c r="L87" s="269"/>
      <c r="M87" s="269"/>
      <c r="N87" s="270"/>
      <c r="O87" s="269"/>
      <c r="P87" s="269"/>
      <c r="Q87" s="269"/>
      <c r="R87" s="269"/>
      <c r="S87" s="269"/>
      <c r="T87" s="269"/>
      <c r="U87" s="269"/>
      <c r="V87" s="269"/>
      <c r="W87" s="269"/>
      <c r="X87" s="269"/>
      <c r="Y87" s="269"/>
      <c r="Z87" s="269"/>
      <c r="AA87" s="268"/>
      <c r="AB87" s="271"/>
      <c r="AC87" s="271"/>
      <c r="AD87" s="271"/>
      <c r="AE87" s="271"/>
      <c r="AF87" s="271"/>
      <c r="AG87" s="271"/>
      <c r="AH87" s="271"/>
      <c r="AI87" s="271"/>
      <c r="AJ87" s="271"/>
      <c r="AK87" s="271"/>
      <c r="AL87" s="271"/>
      <c r="AM87" s="272"/>
      <c r="AN87" s="273"/>
      <c r="AO87" s="273"/>
      <c r="AP87" s="273"/>
      <c r="AQ87" s="268"/>
      <c r="AR87" s="271"/>
      <c r="AS87" s="271"/>
      <c r="AT87" s="271"/>
      <c r="AU87" s="271"/>
      <c r="AV87" s="271"/>
      <c r="AW87" s="271"/>
      <c r="AX87" s="271"/>
      <c r="AY87" s="271"/>
      <c r="AZ87" s="271"/>
      <c r="BA87" s="271"/>
      <c r="BB87" s="271"/>
      <c r="BC87" s="272"/>
      <c r="BD87" s="273"/>
      <c r="BE87" s="273"/>
      <c r="BF87" s="273"/>
      <c r="BG87" s="268"/>
      <c r="BH87" s="274"/>
      <c r="BI87" s="268"/>
      <c r="BL87" s="200"/>
      <c r="BM87" s="200"/>
      <c r="BN87" s="200"/>
    </row>
    <row r="88" customFormat="false" ht="15" hidden="false" customHeight="true" outlineLevel="0" collapsed="false">
      <c r="B88" s="275"/>
      <c r="D88" s="276" t="n">
        <f aca="false">D72</f>
        <v>45292</v>
      </c>
      <c r="E88" s="277" t="n">
        <v>4637.84</v>
      </c>
      <c r="F88" s="277" t="n">
        <v>1252.22</v>
      </c>
      <c r="G88" s="277" t="n">
        <v>310.36</v>
      </c>
      <c r="H88" s="277" t="n">
        <v>535.37</v>
      </c>
      <c r="I88" s="277" t="n">
        <v>185.51</v>
      </c>
      <c r="J88" s="278" t="n">
        <f aca="false">E88+H88+I88</f>
        <v>5358.72</v>
      </c>
      <c r="K88" s="204"/>
      <c r="L88" s="279" t="n">
        <v>1</v>
      </c>
      <c r="M88" s="280" t="n">
        <f aca="false">1-L88</f>
        <v>0</v>
      </c>
      <c r="N88" s="281"/>
      <c r="O88" s="282" t="n">
        <v>0.3</v>
      </c>
      <c r="P88" s="282"/>
      <c r="Q88" s="282" t="n">
        <v>0.5</v>
      </c>
      <c r="R88" s="282"/>
      <c r="S88" s="282" t="n">
        <v>0.2</v>
      </c>
      <c r="T88" s="282"/>
      <c r="U88" s="282"/>
      <c r="V88" s="282"/>
      <c r="W88" s="282"/>
      <c r="X88" s="282"/>
      <c r="Y88" s="282"/>
      <c r="Z88" s="282"/>
      <c r="AA88" s="283"/>
      <c r="AB88" s="284" t="n">
        <f aca="false">IFERROR(($J88*O88)*$L88, "")</f>
        <v>1607.616</v>
      </c>
      <c r="AC88" s="284" t="n">
        <f aca="false">IFERROR(($J88*P88)*$L88, "")</f>
        <v>0</v>
      </c>
      <c r="AD88" s="284" t="n">
        <f aca="false">IFERROR(($J88*Q88)*$L88, "")</f>
        <v>2679.36</v>
      </c>
      <c r="AE88" s="284" t="n">
        <f aca="false">IFERROR(($J88*R88)*$L88, "")</f>
        <v>0</v>
      </c>
      <c r="AF88" s="284" t="n">
        <f aca="false">IFERROR(($J88*S88)*$L88, "")</f>
        <v>1071.744</v>
      </c>
      <c r="AG88" s="284" t="n">
        <f aca="false">IFERROR(($J88*T88)*$L88, "")</f>
        <v>0</v>
      </c>
      <c r="AH88" s="284" t="n">
        <f aca="false">IFERROR(($J88*U88)*$L88, "")</f>
        <v>0</v>
      </c>
      <c r="AI88" s="284" t="n">
        <f aca="false">IFERROR(($J88*V88)*$L88, "")</f>
        <v>0</v>
      </c>
      <c r="AJ88" s="284" t="n">
        <f aca="false">IFERROR(($J88*W88)*$L88, "")</f>
        <v>0</v>
      </c>
      <c r="AK88" s="284" t="n">
        <f aca="false">IFERROR(($J88*X88)*$L88, "")</f>
        <v>0</v>
      </c>
      <c r="AL88" s="284" t="n">
        <f aca="false">IFERROR(($J88*Y88)*$L88, "")</f>
        <v>0</v>
      </c>
      <c r="AM88" s="285" t="n">
        <f aca="false">IFERROR(($J88*Z88)*$L88, "")</f>
        <v>0</v>
      </c>
      <c r="AN88" s="286" t="n">
        <f aca="false">IFERROR(SUMIF($AB$4:$AM$4, "RDEC", AB88:AM88), "")</f>
        <v>0</v>
      </c>
      <c r="AO88" s="286" t="n">
        <f aca="false">IFERROR(SUMIF($AB$4:$AM$4, "SME", AB88:AM88), "")</f>
        <v>5358.72</v>
      </c>
      <c r="AP88" s="286" t="n">
        <f aca="false">IFERROR(SUMIF($AB$4:$AM$4, "De Minimis", AB88:AM88), "")</f>
        <v>0</v>
      </c>
      <c r="AQ88" s="283"/>
      <c r="AR88" s="284" t="n">
        <f aca="false">IFERROR(($J88*O88)*$M88, "")</f>
        <v>0</v>
      </c>
      <c r="AS88" s="284" t="n">
        <f aca="false">IFERROR(($J88*P88)*$M88, "")</f>
        <v>0</v>
      </c>
      <c r="AT88" s="284" t="n">
        <f aca="false">IFERROR(($J88*Q88)*$M88, "")</f>
        <v>0</v>
      </c>
      <c r="AU88" s="284" t="n">
        <f aca="false">IFERROR(($J88*R88)*$M88, "")</f>
        <v>0</v>
      </c>
      <c r="AV88" s="284" t="n">
        <f aca="false">IFERROR(($J88*S88)*$M88, "")</f>
        <v>0</v>
      </c>
      <c r="AW88" s="284" t="n">
        <f aca="false">IFERROR(($J88*T88)*$M88, "")</f>
        <v>0</v>
      </c>
      <c r="AX88" s="284" t="n">
        <f aca="false">IFERROR(($J88*U88)*$M88, "")</f>
        <v>0</v>
      </c>
      <c r="AY88" s="284" t="n">
        <f aca="false">IFERROR(($J88*V88)*$M88, "")</f>
        <v>0</v>
      </c>
      <c r="AZ88" s="284" t="n">
        <f aca="false">IFERROR(($J88*W88)*$M88, "")</f>
        <v>0</v>
      </c>
      <c r="BA88" s="284" t="n">
        <f aca="false">IFERROR(($J88*X88)*$M88, "")</f>
        <v>0</v>
      </c>
      <c r="BB88" s="284" t="n">
        <f aca="false">IFERROR(($J88*Y88)*$M88, "")</f>
        <v>0</v>
      </c>
      <c r="BC88" s="285" t="n">
        <f aca="false">IFERROR(($J88*Z88)*$M88, "")</f>
        <v>0</v>
      </c>
      <c r="BD88" s="286" t="n">
        <f aca="false">IFERROR(SUMIF($AB$4:$AM$4, "RDEC", AR88:BC88), "")</f>
        <v>0</v>
      </c>
      <c r="BE88" s="286" t="n">
        <f aca="false">IFERROR(SUMIF($AB$4:$AM$4, "SME", AR88:BC88), "")</f>
        <v>0</v>
      </c>
      <c r="BF88" s="286" t="n">
        <f aca="false">IFERROR(SUMIF($AB$4:$AM$4, "De Minimis", AR88:BC88), "")</f>
        <v>0</v>
      </c>
      <c r="BG88" s="287"/>
      <c r="BH88" s="288" t="str">
        <f aca="false">IF((SUM(O88:Z88)&gt;1),"ERROR","")</f>
        <v/>
      </c>
      <c r="BI88" s="287"/>
      <c r="BJ88" s="18" t="str">
        <f aca="false">IF(C74&gt;0, C74, "")</f>
        <v/>
      </c>
      <c r="BL88" s="200"/>
      <c r="BM88" s="200"/>
      <c r="BN88" s="200"/>
    </row>
    <row r="89" customFormat="false" ht="15" hidden="false" customHeight="true" outlineLevel="0" collapsed="false">
      <c r="B89" s="275"/>
      <c r="D89" s="276" t="n">
        <f aca="false">D73</f>
        <v>45323</v>
      </c>
      <c r="E89" s="277" t="n">
        <v>4608.89</v>
      </c>
      <c r="F89" s="277" t="n">
        <v>1244.4</v>
      </c>
      <c r="G89" s="277" t="n">
        <v>308.04</v>
      </c>
      <c r="H89" s="277" t="n">
        <v>531.38</v>
      </c>
      <c r="I89" s="277" t="n">
        <v>184.36</v>
      </c>
      <c r="J89" s="278" t="n">
        <f aca="false">E89+H89+I89</f>
        <v>5324.63</v>
      </c>
      <c r="K89" s="204"/>
      <c r="L89" s="279" t="n">
        <v>1</v>
      </c>
      <c r="M89" s="280" t="n">
        <f aca="false">1-L89</f>
        <v>0</v>
      </c>
      <c r="N89" s="281"/>
      <c r="O89" s="282" t="n">
        <v>0.3</v>
      </c>
      <c r="P89" s="282"/>
      <c r="Q89" s="282" t="n">
        <v>0.5</v>
      </c>
      <c r="R89" s="282"/>
      <c r="S89" s="282" t="n">
        <v>0.2</v>
      </c>
      <c r="T89" s="282"/>
      <c r="U89" s="282"/>
      <c r="V89" s="282"/>
      <c r="W89" s="282"/>
      <c r="X89" s="282"/>
      <c r="Y89" s="282"/>
      <c r="Z89" s="282"/>
      <c r="AA89" s="283"/>
      <c r="AB89" s="284" t="n">
        <f aca="false">IFERROR(($J89*O89)*$L89, "")</f>
        <v>1597.389</v>
      </c>
      <c r="AC89" s="284" t="n">
        <f aca="false">IFERROR(($J89*P89)*$L89, "")</f>
        <v>0</v>
      </c>
      <c r="AD89" s="284" t="n">
        <f aca="false">IFERROR(($J89*Q89)*$L89, "")</f>
        <v>2662.315</v>
      </c>
      <c r="AE89" s="284" t="n">
        <f aca="false">IFERROR(($J89*R89)*$L89, "")</f>
        <v>0</v>
      </c>
      <c r="AF89" s="284" t="n">
        <f aca="false">IFERROR(($J89*S89)*$L89, "")</f>
        <v>1064.926</v>
      </c>
      <c r="AG89" s="284" t="n">
        <f aca="false">IFERROR(($J89*T89)*$L89, "")</f>
        <v>0</v>
      </c>
      <c r="AH89" s="284" t="n">
        <f aca="false">IFERROR(($J89*U89)*$L89, "")</f>
        <v>0</v>
      </c>
      <c r="AI89" s="284" t="n">
        <f aca="false">IFERROR(($J89*V89)*$L89, "")</f>
        <v>0</v>
      </c>
      <c r="AJ89" s="284" t="n">
        <f aca="false">IFERROR(($J89*W89)*$L89, "")</f>
        <v>0</v>
      </c>
      <c r="AK89" s="284" t="n">
        <f aca="false">IFERROR(($J89*X89)*$L89, "")</f>
        <v>0</v>
      </c>
      <c r="AL89" s="284" t="n">
        <f aca="false">IFERROR(($J89*Y89)*$L89, "")</f>
        <v>0</v>
      </c>
      <c r="AM89" s="285" t="n">
        <f aca="false">IFERROR(($J89*Z89)*$L89, "")</f>
        <v>0</v>
      </c>
      <c r="AN89" s="286" t="n">
        <f aca="false">IFERROR(SUMIF($AB$4:$AM$4, "RDEC", AB89:AM89), "")</f>
        <v>0</v>
      </c>
      <c r="AO89" s="286" t="n">
        <f aca="false">IFERROR(SUMIF($AB$4:$AM$4, "SME", AB89:AM89), "")</f>
        <v>5324.63</v>
      </c>
      <c r="AP89" s="286" t="n">
        <f aca="false">IFERROR(SUMIF($AB$4:$AM$4, "De Minimis", AB89:AM89), "")</f>
        <v>0</v>
      </c>
      <c r="AQ89" s="283"/>
      <c r="AR89" s="284" t="n">
        <f aca="false">IFERROR(($J89*O89)*$M89, "")</f>
        <v>0</v>
      </c>
      <c r="AS89" s="284" t="n">
        <f aca="false">IFERROR(($J89*P89)*$M89, "")</f>
        <v>0</v>
      </c>
      <c r="AT89" s="284" t="n">
        <f aca="false">IFERROR(($J89*Q89)*$M89, "")</f>
        <v>0</v>
      </c>
      <c r="AU89" s="284" t="n">
        <f aca="false">IFERROR(($J89*R89)*$M89, "")</f>
        <v>0</v>
      </c>
      <c r="AV89" s="284" t="n">
        <f aca="false">IFERROR(($J89*S89)*$M89, "")</f>
        <v>0</v>
      </c>
      <c r="AW89" s="284" t="n">
        <f aca="false">IFERROR(($J89*T89)*$M89, "")</f>
        <v>0</v>
      </c>
      <c r="AX89" s="284" t="n">
        <f aca="false">IFERROR(($J89*U89)*$M89, "")</f>
        <v>0</v>
      </c>
      <c r="AY89" s="284" t="n">
        <f aca="false">IFERROR(($J89*V89)*$M89, "")</f>
        <v>0</v>
      </c>
      <c r="AZ89" s="284" t="n">
        <f aca="false">IFERROR(($J89*W89)*$M89, "")</f>
        <v>0</v>
      </c>
      <c r="BA89" s="284" t="n">
        <f aca="false">IFERROR(($J89*X89)*$M89, "")</f>
        <v>0</v>
      </c>
      <c r="BB89" s="284" t="n">
        <f aca="false">IFERROR(($J89*Y89)*$M89, "")</f>
        <v>0</v>
      </c>
      <c r="BC89" s="285" t="n">
        <f aca="false">IFERROR(($J89*Z89)*$M89, "")</f>
        <v>0</v>
      </c>
      <c r="BD89" s="286" t="n">
        <f aca="false">IFERROR(SUMIF($AB$4:$AM$4, "RDEC", AR89:BC89), "")</f>
        <v>0</v>
      </c>
      <c r="BE89" s="286" t="n">
        <f aca="false">IFERROR(SUMIF($AB$4:$AM$4, "SME", AR89:BC89), "")</f>
        <v>0</v>
      </c>
      <c r="BF89" s="286" t="n">
        <f aca="false">IFERROR(SUMIF($AB$4:$AM$4, "De Minimis", AR89:BC89), "")</f>
        <v>0</v>
      </c>
      <c r="BG89" s="287"/>
      <c r="BH89" s="288" t="str">
        <f aca="false">IF((SUM(O89:Z89)&gt;1),"ERROR","")</f>
        <v/>
      </c>
      <c r="BI89" s="287"/>
      <c r="BJ89" s="18" t="str">
        <f aca="false">IF(C75&gt;0, C75, "")</f>
        <v/>
      </c>
      <c r="BL89" s="200"/>
      <c r="BM89" s="200"/>
      <c r="BN89" s="200"/>
    </row>
    <row r="90" customFormat="false" ht="15" hidden="false" customHeight="true" outlineLevel="0" collapsed="false">
      <c r="B90" s="275"/>
      <c r="D90" s="276" t="n">
        <f aca="false">D74</f>
        <v>45352</v>
      </c>
      <c r="E90" s="277" t="n">
        <v>4584.34</v>
      </c>
      <c r="F90" s="277" t="n">
        <v>1237.77</v>
      </c>
      <c r="G90" s="277" t="n">
        <v>306.08</v>
      </c>
      <c r="H90" s="277" t="n">
        <v>527.99</v>
      </c>
      <c r="I90" s="277" t="n">
        <v>183.37</v>
      </c>
      <c r="J90" s="278" t="n">
        <f aca="false">E90+H90+I90</f>
        <v>5295.7</v>
      </c>
      <c r="K90" s="204"/>
      <c r="L90" s="279" t="n">
        <v>1</v>
      </c>
      <c r="M90" s="280" t="n">
        <f aca="false">1-L90</f>
        <v>0</v>
      </c>
      <c r="N90" s="281"/>
      <c r="O90" s="282" t="n">
        <v>0.3</v>
      </c>
      <c r="P90" s="282"/>
      <c r="Q90" s="282" t="n">
        <v>0.5</v>
      </c>
      <c r="R90" s="282"/>
      <c r="S90" s="282" t="n">
        <v>0.2</v>
      </c>
      <c r="T90" s="282"/>
      <c r="U90" s="282"/>
      <c r="V90" s="282"/>
      <c r="W90" s="282"/>
      <c r="X90" s="282"/>
      <c r="Y90" s="282"/>
      <c r="Z90" s="282"/>
      <c r="AA90" s="283"/>
      <c r="AB90" s="284" t="n">
        <f aca="false">IFERROR(($J90*O90)*$L90, "")</f>
        <v>1588.71</v>
      </c>
      <c r="AC90" s="284" t="n">
        <f aca="false">IFERROR(($J90*P90)*$L90, "")</f>
        <v>0</v>
      </c>
      <c r="AD90" s="284" t="n">
        <f aca="false">IFERROR(($J90*Q90)*$L90, "")</f>
        <v>2647.85</v>
      </c>
      <c r="AE90" s="284" t="n">
        <f aca="false">IFERROR(($J90*R90)*$L90, "")</f>
        <v>0</v>
      </c>
      <c r="AF90" s="284" t="n">
        <f aca="false">IFERROR(($J90*S90)*$L90, "")</f>
        <v>1059.14</v>
      </c>
      <c r="AG90" s="284" t="n">
        <f aca="false">IFERROR(($J90*T90)*$L90, "")</f>
        <v>0</v>
      </c>
      <c r="AH90" s="284" t="n">
        <f aca="false">IFERROR(($J90*U90)*$L90, "")</f>
        <v>0</v>
      </c>
      <c r="AI90" s="284" t="n">
        <f aca="false">IFERROR(($J90*V90)*$L90, "")</f>
        <v>0</v>
      </c>
      <c r="AJ90" s="284" t="n">
        <f aca="false">IFERROR(($J90*W90)*$L90, "")</f>
        <v>0</v>
      </c>
      <c r="AK90" s="284" t="n">
        <f aca="false">IFERROR(($J90*X90)*$L90, "")</f>
        <v>0</v>
      </c>
      <c r="AL90" s="284" t="n">
        <f aca="false">IFERROR(($J90*Y90)*$L90, "")</f>
        <v>0</v>
      </c>
      <c r="AM90" s="285" t="n">
        <f aca="false">IFERROR(($J90*Z90)*$L90, "")</f>
        <v>0</v>
      </c>
      <c r="AN90" s="286" t="n">
        <f aca="false">IFERROR(SUMIF($AB$4:$AM$4, "RDEC", AB90:AM90), "")</f>
        <v>0</v>
      </c>
      <c r="AO90" s="286" t="n">
        <f aca="false">IFERROR(SUMIF($AB$4:$AM$4, "SME", AB90:AM90), "")</f>
        <v>5295.7</v>
      </c>
      <c r="AP90" s="286" t="n">
        <f aca="false">IFERROR(SUMIF($AB$4:$AM$4, "De Minimis", AB90:AM90), "")</f>
        <v>0</v>
      </c>
      <c r="AQ90" s="283"/>
      <c r="AR90" s="284" t="n">
        <f aca="false">IFERROR(($J90*O90)*$M90, "")</f>
        <v>0</v>
      </c>
      <c r="AS90" s="284" t="n">
        <f aca="false">IFERROR(($J90*P90)*$M90, "")</f>
        <v>0</v>
      </c>
      <c r="AT90" s="284" t="n">
        <f aca="false">IFERROR(($J90*Q90)*$M90, "")</f>
        <v>0</v>
      </c>
      <c r="AU90" s="284" t="n">
        <f aca="false">IFERROR(($J90*R90)*$M90, "")</f>
        <v>0</v>
      </c>
      <c r="AV90" s="284" t="n">
        <f aca="false">IFERROR(($J90*S90)*$M90, "")</f>
        <v>0</v>
      </c>
      <c r="AW90" s="284" t="n">
        <f aca="false">IFERROR(($J90*T90)*$M90, "")</f>
        <v>0</v>
      </c>
      <c r="AX90" s="284" t="n">
        <f aca="false">IFERROR(($J90*U90)*$M90, "")</f>
        <v>0</v>
      </c>
      <c r="AY90" s="284" t="n">
        <f aca="false">IFERROR(($J90*V90)*$M90, "")</f>
        <v>0</v>
      </c>
      <c r="AZ90" s="284" t="n">
        <f aca="false">IFERROR(($J90*W90)*$M90, "")</f>
        <v>0</v>
      </c>
      <c r="BA90" s="284" t="n">
        <f aca="false">IFERROR(($J90*X90)*$M90, "")</f>
        <v>0</v>
      </c>
      <c r="BB90" s="284" t="n">
        <f aca="false">IFERROR(($J90*Y90)*$M90, "")</f>
        <v>0</v>
      </c>
      <c r="BC90" s="285" t="n">
        <f aca="false">IFERROR(($J90*Z90)*$M90, "")</f>
        <v>0</v>
      </c>
      <c r="BD90" s="286" t="n">
        <f aca="false">IFERROR(SUMIF($AB$4:$AM$4, "RDEC", AR90:BC90), "")</f>
        <v>0</v>
      </c>
      <c r="BE90" s="286" t="n">
        <f aca="false">IFERROR(SUMIF($AB$4:$AM$4, "SME", AR90:BC90), "")</f>
        <v>0</v>
      </c>
      <c r="BF90" s="286" t="n">
        <f aca="false">IFERROR(SUMIF($AB$4:$AM$4, "De Minimis", AR90:BC90), "")</f>
        <v>0</v>
      </c>
      <c r="BG90" s="287"/>
      <c r="BH90" s="288" t="str">
        <f aca="false">IF((SUM(O90:Z90)&gt;1),"ERROR","")</f>
        <v/>
      </c>
      <c r="BI90" s="287"/>
      <c r="BJ90" s="18" t="str">
        <f aca="false">IF(C76&gt;0, C76, "")</f>
        <v/>
      </c>
      <c r="BL90" s="200"/>
      <c r="BM90" s="200"/>
      <c r="BN90" s="200"/>
    </row>
    <row r="91" customFormat="false" ht="15" hidden="false" customHeight="true" outlineLevel="0" collapsed="false">
      <c r="B91" s="275"/>
      <c r="D91" s="276" t="n">
        <f aca="false">D75</f>
        <v>45383</v>
      </c>
      <c r="E91" s="277" t="n">
        <v>4523.01</v>
      </c>
      <c r="F91" s="277" t="n">
        <v>1221.21</v>
      </c>
      <c r="G91" s="277" t="n">
        <v>301.17</v>
      </c>
      <c r="H91" s="277" t="n">
        <v>519.53</v>
      </c>
      <c r="I91" s="277" t="n">
        <v>180.92</v>
      </c>
      <c r="J91" s="278" t="n">
        <f aca="false">E91+H91+I91</f>
        <v>5223.46</v>
      </c>
      <c r="K91" s="204"/>
      <c r="L91" s="279" t="n">
        <v>1</v>
      </c>
      <c r="M91" s="280" t="n">
        <f aca="false">1-L91</f>
        <v>0</v>
      </c>
      <c r="N91" s="281"/>
      <c r="O91" s="282" t="n">
        <v>0.3</v>
      </c>
      <c r="P91" s="282"/>
      <c r="Q91" s="282" t="n">
        <v>0.5</v>
      </c>
      <c r="R91" s="282"/>
      <c r="S91" s="282" t="n">
        <v>0.2</v>
      </c>
      <c r="T91" s="282"/>
      <c r="U91" s="282"/>
      <c r="V91" s="282"/>
      <c r="W91" s="282"/>
      <c r="X91" s="282"/>
      <c r="Y91" s="282"/>
      <c r="Z91" s="282"/>
      <c r="AA91" s="283"/>
      <c r="AB91" s="284" t="n">
        <f aca="false">IFERROR(($J91*O91)*$L91, "")</f>
        <v>1567.038</v>
      </c>
      <c r="AC91" s="284" t="n">
        <f aca="false">IFERROR(($J91*P91)*$L91, "")</f>
        <v>0</v>
      </c>
      <c r="AD91" s="284" t="n">
        <f aca="false">IFERROR(($J91*Q91)*$L91, "")</f>
        <v>2611.73</v>
      </c>
      <c r="AE91" s="284" t="n">
        <f aca="false">IFERROR(($J91*R91)*$L91, "")</f>
        <v>0</v>
      </c>
      <c r="AF91" s="284" t="n">
        <f aca="false">IFERROR(($J91*S91)*$L91, "")</f>
        <v>1044.692</v>
      </c>
      <c r="AG91" s="284" t="n">
        <f aca="false">IFERROR(($J91*T91)*$L91, "")</f>
        <v>0</v>
      </c>
      <c r="AH91" s="284" t="n">
        <f aca="false">IFERROR(($J91*U91)*$L91, "")</f>
        <v>0</v>
      </c>
      <c r="AI91" s="284" t="n">
        <f aca="false">IFERROR(($J91*V91)*$L91, "")</f>
        <v>0</v>
      </c>
      <c r="AJ91" s="284" t="n">
        <f aca="false">IFERROR(($J91*W91)*$L91, "")</f>
        <v>0</v>
      </c>
      <c r="AK91" s="284" t="n">
        <f aca="false">IFERROR(($J91*X91)*$L91, "")</f>
        <v>0</v>
      </c>
      <c r="AL91" s="284" t="n">
        <f aca="false">IFERROR(($J91*Y91)*$L91, "")</f>
        <v>0</v>
      </c>
      <c r="AM91" s="285" t="n">
        <f aca="false">IFERROR(($J91*Z91)*$L91, "")</f>
        <v>0</v>
      </c>
      <c r="AN91" s="286" t="n">
        <f aca="false">IFERROR(SUMIF($AB$4:$AM$4, "RDEC", AB91:AM91), "")</f>
        <v>0</v>
      </c>
      <c r="AO91" s="286" t="n">
        <f aca="false">IFERROR(SUMIF($AB$4:$AM$4, "SME", AB91:AM91), "")</f>
        <v>5223.46</v>
      </c>
      <c r="AP91" s="286" t="n">
        <f aca="false">IFERROR(SUMIF($AB$4:$AM$4, "De Minimis", AB91:AM91), "")</f>
        <v>0</v>
      </c>
      <c r="AQ91" s="283"/>
      <c r="AR91" s="284" t="n">
        <f aca="false">IFERROR(($J91*O91)*$M91, "")</f>
        <v>0</v>
      </c>
      <c r="AS91" s="284" t="n">
        <f aca="false">IFERROR(($J91*P91)*$M91, "")</f>
        <v>0</v>
      </c>
      <c r="AT91" s="284" t="n">
        <f aca="false">IFERROR(($J91*Q91)*$M91, "")</f>
        <v>0</v>
      </c>
      <c r="AU91" s="284" t="n">
        <f aca="false">IFERROR(($J91*R91)*$M91, "")</f>
        <v>0</v>
      </c>
      <c r="AV91" s="284" t="n">
        <f aca="false">IFERROR(($J91*S91)*$M91, "")</f>
        <v>0</v>
      </c>
      <c r="AW91" s="284" t="n">
        <f aca="false">IFERROR(($J91*T91)*$M91, "")</f>
        <v>0</v>
      </c>
      <c r="AX91" s="284" t="n">
        <f aca="false">IFERROR(($J91*U91)*$M91, "")</f>
        <v>0</v>
      </c>
      <c r="AY91" s="284" t="n">
        <f aca="false">IFERROR(($J91*V91)*$M91, "")</f>
        <v>0</v>
      </c>
      <c r="AZ91" s="284" t="n">
        <f aca="false">IFERROR(($J91*W91)*$M91, "")</f>
        <v>0</v>
      </c>
      <c r="BA91" s="284" t="n">
        <f aca="false">IFERROR(($J91*X91)*$M91, "")</f>
        <v>0</v>
      </c>
      <c r="BB91" s="284" t="n">
        <f aca="false">IFERROR(($J91*Y91)*$M91, "")</f>
        <v>0</v>
      </c>
      <c r="BC91" s="285" t="n">
        <f aca="false">IFERROR(($J91*Z91)*$M91, "")</f>
        <v>0</v>
      </c>
      <c r="BD91" s="286" t="n">
        <f aca="false">IFERROR(SUMIF($AB$4:$AM$4, "RDEC", AR91:BC91), "")</f>
        <v>0</v>
      </c>
      <c r="BE91" s="286" t="n">
        <f aca="false">IFERROR(SUMIF($AB$4:$AM$4, "SME", AR91:BC91), "")</f>
        <v>0</v>
      </c>
      <c r="BF91" s="286" t="n">
        <f aca="false">IFERROR(SUMIF($AB$4:$AM$4, "De Minimis", AR91:BC91), "")</f>
        <v>0</v>
      </c>
      <c r="BG91" s="287"/>
      <c r="BH91" s="288" t="str">
        <f aca="false">IF((SUM(O91:Z91)&gt;1),"ERROR","")</f>
        <v/>
      </c>
      <c r="BI91" s="287"/>
      <c r="BJ91" s="18" t="str">
        <f aca="false">IF(C77&gt;0, C77, "")</f>
        <v/>
      </c>
      <c r="BL91" s="200"/>
      <c r="BM91" s="200"/>
      <c r="BN91" s="200"/>
    </row>
    <row r="92" customFormat="false" ht="15" hidden="false" customHeight="true" outlineLevel="0" collapsed="false">
      <c r="B92" s="275"/>
      <c r="D92" s="276" t="n">
        <f aca="false">D76</f>
        <v>45413</v>
      </c>
      <c r="E92" s="277" t="n">
        <v>4576.53</v>
      </c>
      <c r="F92" s="277" t="n">
        <v>1235.66</v>
      </c>
      <c r="G92" s="277" t="n">
        <v>305.46</v>
      </c>
      <c r="H92" s="277" t="n">
        <v>526.91</v>
      </c>
      <c r="I92" s="277" t="n">
        <v>183.06</v>
      </c>
      <c r="J92" s="278" t="n">
        <f aca="false">E92+H92+I92</f>
        <v>5286.5</v>
      </c>
      <c r="K92" s="204"/>
      <c r="L92" s="279" t="n">
        <v>1</v>
      </c>
      <c r="M92" s="280" t="n">
        <f aca="false">1-L92</f>
        <v>0</v>
      </c>
      <c r="N92" s="281"/>
      <c r="O92" s="282" t="n">
        <v>0.3</v>
      </c>
      <c r="P92" s="282"/>
      <c r="Q92" s="282" t="n">
        <v>0.5</v>
      </c>
      <c r="R92" s="282"/>
      <c r="S92" s="282" t="n">
        <v>0.2</v>
      </c>
      <c r="T92" s="282"/>
      <c r="U92" s="282"/>
      <c r="V92" s="282"/>
      <c r="W92" s="282"/>
      <c r="X92" s="282"/>
      <c r="Y92" s="282"/>
      <c r="Z92" s="282"/>
      <c r="AA92" s="283"/>
      <c r="AB92" s="284" t="n">
        <f aca="false">IFERROR(($J92*O92)*$L92, "")</f>
        <v>1585.95</v>
      </c>
      <c r="AC92" s="284" t="n">
        <f aca="false">IFERROR(($J92*P92)*$L92, "")</f>
        <v>0</v>
      </c>
      <c r="AD92" s="284" t="n">
        <f aca="false">IFERROR(($J92*Q92)*$L92, "")</f>
        <v>2643.25</v>
      </c>
      <c r="AE92" s="284" t="n">
        <f aca="false">IFERROR(($J92*R92)*$L92, "")</f>
        <v>0</v>
      </c>
      <c r="AF92" s="284" t="n">
        <f aca="false">IFERROR(($J92*S92)*$L92, "")</f>
        <v>1057.3</v>
      </c>
      <c r="AG92" s="284" t="n">
        <f aca="false">IFERROR(($J92*T92)*$L92, "")</f>
        <v>0</v>
      </c>
      <c r="AH92" s="284" t="n">
        <f aca="false">IFERROR(($J92*U92)*$L92, "")</f>
        <v>0</v>
      </c>
      <c r="AI92" s="284" t="n">
        <f aca="false">IFERROR(($J92*V92)*$L92, "")</f>
        <v>0</v>
      </c>
      <c r="AJ92" s="284" t="n">
        <f aca="false">IFERROR(($J92*W92)*$L92, "")</f>
        <v>0</v>
      </c>
      <c r="AK92" s="284" t="n">
        <f aca="false">IFERROR(($J92*X92)*$L92, "")</f>
        <v>0</v>
      </c>
      <c r="AL92" s="284" t="n">
        <f aca="false">IFERROR(($J92*Y92)*$L92, "")</f>
        <v>0</v>
      </c>
      <c r="AM92" s="285" t="n">
        <f aca="false">IFERROR(($J92*Z92)*$L92, "")</f>
        <v>0</v>
      </c>
      <c r="AN92" s="286" t="n">
        <f aca="false">IFERROR(SUMIF($AB$4:$AM$4, "RDEC", AB92:AM92), "")</f>
        <v>0</v>
      </c>
      <c r="AO92" s="286" t="n">
        <f aca="false">IFERROR(SUMIF($AB$4:$AM$4, "SME", AB92:AM92), "")</f>
        <v>5286.5</v>
      </c>
      <c r="AP92" s="286" t="n">
        <f aca="false">IFERROR(SUMIF($AB$4:$AM$4, "De Minimis", AB92:AM92), "")</f>
        <v>0</v>
      </c>
      <c r="AQ92" s="283"/>
      <c r="AR92" s="284" t="n">
        <f aca="false">IFERROR(($J92*O92)*$M92, "")</f>
        <v>0</v>
      </c>
      <c r="AS92" s="284" t="n">
        <f aca="false">IFERROR(($J92*P92)*$M92, "")</f>
        <v>0</v>
      </c>
      <c r="AT92" s="284" t="n">
        <f aca="false">IFERROR(($J92*Q92)*$M92, "")</f>
        <v>0</v>
      </c>
      <c r="AU92" s="284" t="n">
        <f aca="false">IFERROR(($J92*R92)*$M92, "")</f>
        <v>0</v>
      </c>
      <c r="AV92" s="284" t="n">
        <f aca="false">IFERROR(($J92*S92)*$M92, "")</f>
        <v>0</v>
      </c>
      <c r="AW92" s="284" t="n">
        <f aca="false">IFERROR(($J92*T92)*$M92, "")</f>
        <v>0</v>
      </c>
      <c r="AX92" s="284" t="n">
        <f aca="false">IFERROR(($J92*U92)*$M92, "")</f>
        <v>0</v>
      </c>
      <c r="AY92" s="284" t="n">
        <f aca="false">IFERROR(($J92*V92)*$M92, "")</f>
        <v>0</v>
      </c>
      <c r="AZ92" s="284" t="n">
        <f aca="false">IFERROR(($J92*W92)*$M92, "")</f>
        <v>0</v>
      </c>
      <c r="BA92" s="284" t="n">
        <f aca="false">IFERROR(($J92*X92)*$M92, "")</f>
        <v>0</v>
      </c>
      <c r="BB92" s="284" t="n">
        <f aca="false">IFERROR(($J92*Y92)*$M92, "")</f>
        <v>0</v>
      </c>
      <c r="BC92" s="285" t="n">
        <f aca="false">IFERROR(($J92*Z92)*$M92, "")</f>
        <v>0</v>
      </c>
      <c r="BD92" s="286" t="n">
        <f aca="false">IFERROR(SUMIF($AB$4:$AM$4, "RDEC", AR92:BC92), "")</f>
        <v>0</v>
      </c>
      <c r="BE92" s="286" t="n">
        <f aca="false">IFERROR(SUMIF($AB$4:$AM$4, "SME", AR92:BC92), "")</f>
        <v>0</v>
      </c>
      <c r="BF92" s="286" t="n">
        <f aca="false">IFERROR(SUMIF($AB$4:$AM$4, "De Minimis", AR92:BC92), "")</f>
        <v>0</v>
      </c>
      <c r="BG92" s="287"/>
      <c r="BH92" s="288" t="str">
        <f aca="false">IF((SUM(O92:Z92)&gt;1),"ERROR","")</f>
        <v/>
      </c>
      <c r="BI92" s="287"/>
      <c r="BJ92" s="18" t="str">
        <f aca="false">IF(C78&gt;0, C78, "")</f>
        <v/>
      </c>
      <c r="BL92" s="200"/>
      <c r="BM92" s="200"/>
      <c r="BN92" s="200"/>
    </row>
    <row r="93" customFormat="false" ht="15" hidden="false" customHeight="true" outlineLevel="0" collapsed="false">
      <c r="B93" s="275"/>
      <c r="D93" s="276" t="n">
        <f aca="false">D77</f>
        <v>45444</v>
      </c>
      <c r="E93" s="277" t="n">
        <v>4519.09</v>
      </c>
      <c r="F93" s="277" t="n">
        <v>1220.15</v>
      </c>
      <c r="G93" s="277" t="n">
        <v>300.86</v>
      </c>
      <c r="H93" s="277" t="n">
        <v>518.98</v>
      </c>
      <c r="I93" s="277" t="n">
        <v>180.76</v>
      </c>
      <c r="J93" s="278" t="n">
        <f aca="false">E93+H93+I93</f>
        <v>5218.83</v>
      </c>
      <c r="K93" s="204"/>
      <c r="L93" s="279" t="n">
        <v>1</v>
      </c>
      <c r="M93" s="280" t="n">
        <f aca="false">1-L93</f>
        <v>0</v>
      </c>
      <c r="N93" s="281"/>
      <c r="O93" s="282" t="n">
        <v>0.3</v>
      </c>
      <c r="P93" s="282"/>
      <c r="Q93" s="282" t="n">
        <v>0.5</v>
      </c>
      <c r="R93" s="282"/>
      <c r="S93" s="282" t="n">
        <v>0.2</v>
      </c>
      <c r="T93" s="282"/>
      <c r="U93" s="282"/>
      <c r="V93" s="282"/>
      <c r="W93" s="282"/>
      <c r="X93" s="282"/>
      <c r="Y93" s="282"/>
      <c r="Z93" s="282"/>
      <c r="AA93" s="283"/>
      <c r="AB93" s="284" t="n">
        <f aca="false">IFERROR(($J93*O93)*$L93, "")</f>
        <v>1565.649</v>
      </c>
      <c r="AC93" s="284" t="n">
        <f aca="false">IFERROR(($J93*P93)*$L93, "")</f>
        <v>0</v>
      </c>
      <c r="AD93" s="284" t="n">
        <f aca="false">IFERROR(($J93*Q93)*$L93, "")</f>
        <v>2609.415</v>
      </c>
      <c r="AE93" s="284" t="n">
        <f aca="false">IFERROR(($J93*R93)*$L93, "")</f>
        <v>0</v>
      </c>
      <c r="AF93" s="284" t="n">
        <f aca="false">IFERROR(($J93*S93)*$L93, "")</f>
        <v>1043.766</v>
      </c>
      <c r="AG93" s="284" t="n">
        <f aca="false">IFERROR(($J93*T93)*$L93, "")</f>
        <v>0</v>
      </c>
      <c r="AH93" s="284" t="n">
        <f aca="false">IFERROR(($J93*U93)*$L93, "")</f>
        <v>0</v>
      </c>
      <c r="AI93" s="284" t="n">
        <f aca="false">IFERROR(($J93*V93)*$L93, "")</f>
        <v>0</v>
      </c>
      <c r="AJ93" s="284" t="n">
        <f aca="false">IFERROR(($J93*W93)*$L93, "")</f>
        <v>0</v>
      </c>
      <c r="AK93" s="284" t="n">
        <f aca="false">IFERROR(($J93*X93)*$L93, "")</f>
        <v>0</v>
      </c>
      <c r="AL93" s="284" t="n">
        <f aca="false">IFERROR(($J93*Y93)*$L93, "")</f>
        <v>0</v>
      </c>
      <c r="AM93" s="285" t="n">
        <f aca="false">IFERROR(($J93*Z93)*$L93, "")</f>
        <v>0</v>
      </c>
      <c r="AN93" s="286" t="n">
        <f aca="false">IFERROR(SUMIF($AB$4:$AM$4, "RDEC", AB93:AM93), "")</f>
        <v>0</v>
      </c>
      <c r="AO93" s="286" t="n">
        <f aca="false">IFERROR(SUMIF($AB$4:$AM$4, "SME", AB93:AM93), "")</f>
        <v>5218.83</v>
      </c>
      <c r="AP93" s="286" t="n">
        <f aca="false">IFERROR(SUMIF($AB$4:$AM$4, "De Minimis", AB93:AM93), "")</f>
        <v>0</v>
      </c>
      <c r="AQ93" s="283"/>
      <c r="AR93" s="284" t="n">
        <f aca="false">IFERROR(($J93*O93)*$M93, "")</f>
        <v>0</v>
      </c>
      <c r="AS93" s="284" t="n">
        <f aca="false">IFERROR(($J93*P93)*$M93, "")</f>
        <v>0</v>
      </c>
      <c r="AT93" s="284" t="n">
        <f aca="false">IFERROR(($J93*Q93)*$M93, "")</f>
        <v>0</v>
      </c>
      <c r="AU93" s="284" t="n">
        <f aca="false">IFERROR(($J93*R93)*$M93, "")</f>
        <v>0</v>
      </c>
      <c r="AV93" s="284" t="n">
        <f aca="false">IFERROR(($J93*S93)*$M93, "")</f>
        <v>0</v>
      </c>
      <c r="AW93" s="284" t="n">
        <f aca="false">IFERROR(($J93*T93)*$M93, "")</f>
        <v>0</v>
      </c>
      <c r="AX93" s="284" t="n">
        <f aca="false">IFERROR(($J93*U93)*$M93, "")</f>
        <v>0</v>
      </c>
      <c r="AY93" s="284" t="n">
        <f aca="false">IFERROR(($J93*V93)*$M93, "")</f>
        <v>0</v>
      </c>
      <c r="AZ93" s="284" t="n">
        <f aca="false">IFERROR(($J93*W93)*$M93, "")</f>
        <v>0</v>
      </c>
      <c r="BA93" s="284" t="n">
        <f aca="false">IFERROR(($J93*X93)*$M93, "")</f>
        <v>0</v>
      </c>
      <c r="BB93" s="284" t="n">
        <f aca="false">IFERROR(($J93*Y93)*$M93, "")</f>
        <v>0</v>
      </c>
      <c r="BC93" s="285" t="n">
        <f aca="false">IFERROR(($J93*Z93)*$M93, "")</f>
        <v>0</v>
      </c>
      <c r="BD93" s="286" t="n">
        <f aca="false">IFERROR(SUMIF($AB$4:$AM$4, "RDEC", AR93:BC93), "")</f>
        <v>0</v>
      </c>
      <c r="BE93" s="286" t="n">
        <f aca="false">IFERROR(SUMIF($AB$4:$AM$4, "SME", AR93:BC93), "")</f>
        <v>0</v>
      </c>
      <c r="BF93" s="286" t="n">
        <f aca="false">IFERROR(SUMIF($AB$4:$AM$4, "De Minimis", AR93:BC93), "")</f>
        <v>0</v>
      </c>
      <c r="BG93" s="287"/>
      <c r="BH93" s="288" t="str">
        <f aca="false">IF((SUM(O93:Z93)&gt;1),"ERROR","")</f>
        <v/>
      </c>
      <c r="BI93" s="287"/>
      <c r="BJ93" s="18" t="str">
        <f aca="false">IF(C79&gt;0, C79, "")</f>
        <v/>
      </c>
      <c r="BL93" s="200"/>
      <c r="BM93" s="200"/>
      <c r="BN93" s="200"/>
    </row>
    <row r="94" customFormat="false" ht="15" hidden="false" customHeight="true" outlineLevel="0" collapsed="false">
      <c r="B94" s="275"/>
      <c r="D94" s="276" t="n">
        <f aca="false">D78</f>
        <v>45474</v>
      </c>
      <c r="E94" s="277" t="n">
        <v>4630.52</v>
      </c>
      <c r="F94" s="277" t="n">
        <v>1250.24</v>
      </c>
      <c r="G94" s="277" t="n">
        <v>309.78</v>
      </c>
      <c r="H94" s="277" t="n">
        <v>534.36</v>
      </c>
      <c r="I94" s="277" t="n">
        <v>185.22</v>
      </c>
      <c r="J94" s="278" t="n">
        <f aca="false">E94+H94+I94</f>
        <v>5350.1</v>
      </c>
      <c r="K94" s="204"/>
      <c r="L94" s="279" t="n">
        <v>1</v>
      </c>
      <c r="M94" s="280" t="n">
        <f aca="false">1-L94</f>
        <v>0</v>
      </c>
      <c r="N94" s="281"/>
      <c r="O94" s="282" t="n">
        <v>0.3</v>
      </c>
      <c r="P94" s="282"/>
      <c r="Q94" s="282" t="n">
        <v>0.5</v>
      </c>
      <c r="R94" s="282"/>
      <c r="S94" s="282" t="n">
        <v>0.2</v>
      </c>
      <c r="T94" s="282"/>
      <c r="U94" s="282"/>
      <c r="V94" s="282"/>
      <c r="W94" s="282"/>
      <c r="X94" s="282"/>
      <c r="Y94" s="282"/>
      <c r="Z94" s="282"/>
      <c r="AA94" s="283"/>
      <c r="AB94" s="284" t="n">
        <f aca="false">IFERROR(($J94*O94)*$L94, "")</f>
        <v>1605.03</v>
      </c>
      <c r="AC94" s="284" t="n">
        <f aca="false">IFERROR(($J94*P94)*$L94, "")</f>
        <v>0</v>
      </c>
      <c r="AD94" s="284" t="n">
        <f aca="false">IFERROR(($J94*Q94)*$L94, "")</f>
        <v>2675.05</v>
      </c>
      <c r="AE94" s="284" t="n">
        <f aca="false">IFERROR(($J94*R94)*$L94, "")</f>
        <v>0</v>
      </c>
      <c r="AF94" s="284" t="n">
        <f aca="false">IFERROR(($J94*S94)*$L94, "")</f>
        <v>1070.02</v>
      </c>
      <c r="AG94" s="284" t="n">
        <f aca="false">IFERROR(($J94*T94)*$L94, "")</f>
        <v>0</v>
      </c>
      <c r="AH94" s="284" t="n">
        <f aca="false">IFERROR(($J94*U94)*$L94, "")</f>
        <v>0</v>
      </c>
      <c r="AI94" s="284" t="n">
        <f aca="false">IFERROR(($J94*V94)*$L94, "")</f>
        <v>0</v>
      </c>
      <c r="AJ94" s="284" t="n">
        <f aca="false">IFERROR(($J94*W94)*$L94, "")</f>
        <v>0</v>
      </c>
      <c r="AK94" s="284" t="n">
        <f aca="false">IFERROR(($J94*X94)*$L94, "")</f>
        <v>0</v>
      </c>
      <c r="AL94" s="284" t="n">
        <f aca="false">IFERROR(($J94*Y94)*$L94, "")</f>
        <v>0</v>
      </c>
      <c r="AM94" s="285" t="n">
        <f aca="false">IFERROR(($J94*Z94)*$L94, "")</f>
        <v>0</v>
      </c>
      <c r="AN94" s="286" t="n">
        <f aca="false">IFERROR(SUMIF($AB$4:$AM$4, "RDEC", AB94:AM94), "")</f>
        <v>0</v>
      </c>
      <c r="AO94" s="286" t="n">
        <f aca="false">IFERROR(SUMIF($AB$4:$AM$4, "SME", AB94:AM94), "")</f>
        <v>5350.1</v>
      </c>
      <c r="AP94" s="286" t="n">
        <f aca="false">IFERROR(SUMIF($AB$4:$AM$4, "De Minimis", AB94:AM94), "")</f>
        <v>0</v>
      </c>
      <c r="AQ94" s="283"/>
      <c r="AR94" s="284" t="n">
        <f aca="false">IFERROR(($J94*O94)*$M94, "")</f>
        <v>0</v>
      </c>
      <c r="AS94" s="284" t="n">
        <f aca="false">IFERROR(($J94*P94)*$M94, "")</f>
        <v>0</v>
      </c>
      <c r="AT94" s="284" t="n">
        <f aca="false">IFERROR(($J94*Q94)*$M94, "")</f>
        <v>0</v>
      </c>
      <c r="AU94" s="284" t="n">
        <f aca="false">IFERROR(($J94*R94)*$M94, "")</f>
        <v>0</v>
      </c>
      <c r="AV94" s="284" t="n">
        <f aca="false">IFERROR(($J94*S94)*$M94, "")</f>
        <v>0</v>
      </c>
      <c r="AW94" s="284" t="n">
        <f aca="false">IFERROR(($J94*T94)*$M94, "")</f>
        <v>0</v>
      </c>
      <c r="AX94" s="284" t="n">
        <f aca="false">IFERROR(($J94*U94)*$M94, "")</f>
        <v>0</v>
      </c>
      <c r="AY94" s="284" t="n">
        <f aca="false">IFERROR(($J94*V94)*$M94, "")</f>
        <v>0</v>
      </c>
      <c r="AZ94" s="284" t="n">
        <f aca="false">IFERROR(($J94*W94)*$M94, "")</f>
        <v>0</v>
      </c>
      <c r="BA94" s="284" t="n">
        <f aca="false">IFERROR(($J94*X94)*$M94, "")</f>
        <v>0</v>
      </c>
      <c r="BB94" s="284" t="n">
        <f aca="false">IFERROR(($J94*Y94)*$M94, "")</f>
        <v>0</v>
      </c>
      <c r="BC94" s="285" t="n">
        <f aca="false">IFERROR(($J94*Z94)*$M94, "")</f>
        <v>0</v>
      </c>
      <c r="BD94" s="286" t="n">
        <f aca="false">IFERROR(SUMIF($AB$4:$AM$4, "RDEC", AR94:BC94), "")</f>
        <v>0</v>
      </c>
      <c r="BE94" s="286" t="n">
        <f aca="false">IFERROR(SUMIF($AB$4:$AM$4, "SME", AR94:BC94), "")</f>
        <v>0</v>
      </c>
      <c r="BF94" s="286" t="n">
        <f aca="false">IFERROR(SUMIF($AB$4:$AM$4, "De Minimis", AR94:BC94), "")</f>
        <v>0</v>
      </c>
      <c r="BG94" s="287"/>
      <c r="BH94" s="288" t="str">
        <f aca="false">IF((SUM(O94:Z94)&gt;1),"ERROR","")</f>
        <v/>
      </c>
      <c r="BI94" s="287"/>
      <c r="BJ94" s="18" t="str">
        <f aca="false">IF(C80&gt;0, C80, "")</f>
        <v/>
      </c>
      <c r="BL94" s="200"/>
      <c r="BM94" s="200"/>
      <c r="BN94" s="200"/>
    </row>
    <row r="95" customFormat="false" ht="15" hidden="false" customHeight="true" outlineLevel="0" collapsed="false">
      <c r="B95" s="275"/>
      <c r="D95" s="276" t="n">
        <f aca="false">D79</f>
        <v>45505</v>
      </c>
      <c r="E95" s="277" t="n">
        <v>4580.06</v>
      </c>
      <c r="F95" s="277" t="n">
        <v>1236.62</v>
      </c>
      <c r="G95" s="277" t="n">
        <v>305.74</v>
      </c>
      <c r="H95" s="277" t="n">
        <v>527.4</v>
      </c>
      <c r="I95" s="277" t="n">
        <v>183.2</v>
      </c>
      <c r="J95" s="278" t="n">
        <f aca="false">E95+H95+I95</f>
        <v>5290.66</v>
      </c>
      <c r="K95" s="204"/>
      <c r="L95" s="279" t="n">
        <v>1</v>
      </c>
      <c r="M95" s="280" t="n">
        <f aca="false">1-L95</f>
        <v>0</v>
      </c>
      <c r="N95" s="281"/>
      <c r="O95" s="282" t="n">
        <v>0.3</v>
      </c>
      <c r="P95" s="282"/>
      <c r="Q95" s="282" t="n">
        <v>0.5</v>
      </c>
      <c r="R95" s="282"/>
      <c r="S95" s="282" t="n">
        <v>0.2</v>
      </c>
      <c r="T95" s="282"/>
      <c r="U95" s="282"/>
      <c r="V95" s="282"/>
      <c r="W95" s="282"/>
      <c r="X95" s="282"/>
      <c r="Y95" s="282"/>
      <c r="Z95" s="282"/>
      <c r="AA95" s="283"/>
      <c r="AB95" s="284" t="n">
        <f aca="false">IFERROR(($J95*O95)*$L95, "")</f>
        <v>1587.198</v>
      </c>
      <c r="AC95" s="284" t="n">
        <f aca="false">IFERROR(($J95*P95)*$L95, "")</f>
        <v>0</v>
      </c>
      <c r="AD95" s="284" t="n">
        <f aca="false">IFERROR(($J95*Q95)*$L95, "")</f>
        <v>2645.33</v>
      </c>
      <c r="AE95" s="284" t="n">
        <f aca="false">IFERROR(($J95*R95)*$L95, "")</f>
        <v>0</v>
      </c>
      <c r="AF95" s="284" t="n">
        <f aca="false">IFERROR(($J95*S95)*$L95, "")</f>
        <v>1058.132</v>
      </c>
      <c r="AG95" s="284" t="n">
        <f aca="false">IFERROR(($J95*T95)*$L95, "")</f>
        <v>0</v>
      </c>
      <c r="AH95" s="284" t="n">
        <f aca="false">IFERROR(($J95*U95)*$L95, "")</f>
        <v>0</v>
      </c>
      <c r="AI95" s="284" t="n">
        <f aca="false">IFERROR(($J95*V95)*$L95, "")</f>
        <v>0</v>
      </c>
      <c r="AJ95" s="284" t="n">
        <f aca="false">IFERROR(($J95*W95)*$L95, "")</f>
        <v>0</v>
      </c>
      <c r="AK95" s="284" t="n">
        <f aca="false">IFERROR(($J95*X95)*$L95, "")</f>
        <v>0</v>
      </c>
      <c r="AL95" s="284" t="n">
        <f aca="false">IFERROR(($J95*Y95)*$L95, "")</f>
        <v>0</v>
      </c>
      <c r="AM95" s="285" t="n">
        <f aca="false">IFERROR(($J95*Z95)*$L95, "")</f>
        <v>0</v>
      </c>
      <c r="AN95" s="286" t="n">
        <f aca="false">IFERROR(SUMIF($AB$4:$AM$4, "RDEC", AB95:AM95), "")</f>
        <v>0</v>
      </c>
      <c r="AO95" s="286" t="n">
        <f aca="false">IFERROR(SUMIF($AB$4:$AM$4, "SME", AB95:AM95), "")</f>
        <v>5290.66</v>
      </c>
      <c r="AP95" s="286" t="n">
        <f aca="false">IFERROR(SUMIF($AB$4:$AM$4, "De Minimis", AB95:AM95), "")</f>
        <v>0</v>
      </c>
      <c r="AQ95" s="283"/>
      <c r="AR95" s="284" t="n">
        <f aca="false">IFERROR(($J95*O95)*$M95, "")</f>
        <v>0</v>
      </c>
      <c r="AS95" s="284" t="n">
        <f aca="false">IFERROR(($J95*P95)*$M95, "")</f>
        <v>0</v>
      </c>
      <c r="AT95" s="284" t="n">
        <f aca="false">IFERROR(($J95*Q95)*$M95, "")</f>
        <v>0</v>
      </c>
      <c r="AU95" s="284" t="n">
        <f aca="false">IFERROR(($J95*R95)*$M95, "")</f>
        <v>0</v>
      </c>
      <c r="AV95" s="284" t="n">
        <f aca="false">IFERROR(($J95*S95)*$M95, "")</f>
        <v>0</v>
      </c>
      <c r="AW95" s="284" t="n">
        <f aca="false">IFERROR(($J95*T95)*$M95, "")</f>
        <v>0</v>
      </c>
      <c r="AX95" s="284" t="n">
        <f aca="false">IFERROR(($J95*U95)*$M95, "")</f>
        <v>0</v>
      </c>
      <c r="AY95" s="284" t="n">
        <f aca="false">IFERROR(($J95*V95)*$M95, "")</f>
        <v>0</v>
      </c>
      <c r="AZ95" s="284" t="n">
        <f aca="false">IFERROR(($J95*W95)*$M95, "")</f>
        <v>0</v>
      </c>
      <c r="BA95" s="284" t="n">
        <f aca="false">IFERROR(($J95*X95)*$M95, "")</f>
        <v>0</v>
      </c>
      <c r="BB95" s="284" t="n">
        <f aca="false">IFERROR(($J95*Y95)*$M95, "")</f>
        <v>0</v>
      </c>
      <c r="BC95" s="285" t="n">
        <f aca="false">IFERROR(($J95*Z95)*$M95, "")</f>
        <v>0</v>
      </c>
      <c r="BD95" s="286" t="n">
        <f aca="false">IFERROR(SUMIF($AB$4:$AM$4, "RDEC", AR95:BC95), "")</f>
        <v>0</v>
      </c>
      <c r="BE95" s="286" t="n">
        <f aca="false">IFERROR(SUMIF($AB$4:$AM$4, "SME", AR95:BC95), "")</f>
        <v>0</v>
      </c>
      <c r="BF95" s="286" t="n">
        <f aca="false">IFERROR(SUMIF($AB$4:$AM$4, "De Minimis", AR95:BC95), "")</f>
        <v>0</v>
      </c>
      <c r="BG95" s="287"/>
      <c r="BH95" s="288" t="str">
        <f aca="false">IF((SUM(O95:Z95)&gt;1),"ERROR","")</f>
        <v/>
      </c>
      <c r="BI95" s="287"/>
      <c r="BJ95" s="18" t="str">
        <f aca="false">IF(C81&gt;0, C81, "")</f>
        <v/>
      </c>
      <c r="BL95" s="200"/>
      <c r="BM95" s="200"/>
      <c r="BN95" s="200"/>
    </row>
    <row r="96" customFormat="false" ht="15" hidden="false" customHeight="true" outlineLevel="0" collapsed="false">
      <c r="B96" s="275"/>
      <c r="D96" s="276" t="n">
        <f aca="false">D80</f>
        <v>45536</v>
      </c>
      <c r="E96" s="277" t="n">
        <v>4591</v>
      </c>
      <c r="F96" s="277" t="n">
        <v>1239.57</v>
      </c>
      <c r="G96" s="277" t="n">
        <v>306.61</v>
      </c>
      <c r="H96" s="277" t="n">
        <v>528.91</v>
      </c>
      <c r="I96" s="277" t="n">
        <v>183.64</v>
      </c>
      <c r="J96" s="278" t="n">
        <f aca="false">E96+H96+I96</f>
        <v>5303.55</v>
      </c>
      <c r="K96" s="204"/>
      <c r="L96" s="279" t="n">
        <v>1</v>
      </c>
      <c r="M96" s="280" t="n">
        <f aca="false">1-L96</f>
        <v>0</v>
      </c>
      <c r="N96" s="281"/>
      <c r="O96" s="282" t="n">
        <v>0.3</v>
      </c>
      <c r="P96" s="282"/>
      <c r="Q96" s="282" t="n">
        <v>0.5</v>
      </c>
      <c r="R96" s="282"/>
      <c r="S96" s="282" t="n">
        <v>0.2</v>
      </c>
      <c r="T96" s="282"/>
      <c r="U96" s="282"/>
      <c r="V96" s="282"/>
      <c r="W96" s="282"/>
      <c r="X96" s="282"/>
      <c r="Y96" s="282"/>
      <c r="Z96" s="282"/>
      <c r="AA96" s="283"/>
      <c r="AB96" s="284" t="n">
        <f aca="false">IFERROR(($J96*O96)*$L96, "")</f>
        <v>1591.065</v>
      </c>
      <c r="AC96" s="284" t="n">
        <f aca="false">IFERROR(($J96*P96)*$L96, "")</f>
        <v>0</v>
      </c>
      <c r="AD96" s="284" t="n">
        <f aca="false">IFERROR(($J96*Q96)*$L96, "")</f>
        <v>2651.775</v>
      </c>
      <c r="AE96" s="284" t="n">
        <f aca="false">IFERROR(($J96*R96)*$L96, "")</f>
        <v>0</v>
      </c>
      <c r="AF96" s="284" t="n">
        <f aca="false">IFERROR(($J96*S96)*$L96, "")</f>
        <v>1060.71</v>
      </c>
      <c r="AG96" s="284" t="n">
        <f aca="false">IFERROR(($J96*T96)*$L96, "")</f>
        <v>0</v>
      </c>
      <c r="AH96" s="284" t="n">
        <f aca="false">IFERROR(($J96*U96)*$L96, "")</f>
        <v>0</v>
      </c>
      <c r="AI96" s="284" t="n">
        <f aca="false">IFERROR(($J96*V96)*$L96, "")</f>
        <v>0</v>
      </c>
      <c r="AJ96" s="284" t="n">
        <f aca="false">IFERROR(($J96*W96)*$L96, "")</f>
        <v>0</v>
      </c>
      <c r="AK96" s="284" t="n">
        <f aca="false">IFERROR(($J96*X96)*$L96, "")</f>
        <v>0</v>
      </c>
      <c r="AL96" s="284" t="n">
        <f aca="false">IFERROR(($J96*Y96)*$L96, "")</f>
        <v>0</v>
      </c>
      <c r="AM96" s="285" t="n">
        <f aca="false">IFERROR(($J96*Z96)*$L96, "")</f>
        <v>0</v>
      </c>
      <c r="AN96" s="286" t="n">
        <f aca="false">IFERROR(SUMIF($AB$4:$AM$4, "RDEC", AB96:AM96), "")</f>
        <v>0</v>
      </c>
      <c r="AO96" s="286" t="n">
        <f aca="false">IFERROR(SUMIF($AB$4:$AM$4, "SME", AB96:AM96), "")</f>
        <v>5303.55</v>
      </c>
      <c r="AP96" s="286" t="n">
        <f aca="false">IFERROR(SUMIF($AB$4:$AM$4, "De Minimis", AB96:AM96), "")</f>
        <v>0</v>
      </c>
      <c r="AQ96" s="283"/>
      <c r="AR96" s="284" t="n">
        <f aca="false">IFERROR(($J96*O96)*$M96, "")</f>
        <v>0</v>
      </c>
      <c r="AS96" s="284" t="n">
        <f aca="false">IFERROR(($J96*P96)*$M96, "")</f>
        <v>0</v>
      </c>
      <c r="AT96" s="284" t="n">
        <f aca="false">IFERROR(($J96*Q96)*$M96, "")</f>
        <v>0</v>
      </c>
      <c r="AU96" s="284" t="n">
        <f aca="false">IFERROR(($J96*R96)*$M96, "")</f>
        <v>0</v>
      </c>
      <c r="AV96" s="284" t="n">
        <f aca="false">IFERROR(($J96*S96)*$M96, "")</f>
        <v>0</v>
      </c>
      <c r="AW96" s="284" t="n">
        <f aca="false">IFERROR(($J96*T96)*$M96, "")</f>
        <v>0</v>
      </c>
      <c r="AX96" s="284" t="n">
        <f aca="false">IFERROR(($J96*U96)*$M96, "")</f>
        <v>0</v>
      </c>
      <c r="AY96" s="284" t="n">
        <f aca="false">IFERROR(($J96*V96)*$M96, "")</f>
        <v>0</v>
      </c>
      <c r="AZ96" s="284" t="n">
        <f aca="false">IFERROR(($J96*W96)*$M96, "")</f>
        <v>0</v>
      </c>
      <c r="BA96" s="284" t="n">
        <f aca="false">IFERROR(($J96*X96)*$M96, "")</f>
        <v>0</v>
      </c>
      <c r="BB96" s="284" t="n">
        <f aca="false">IFERROR(($J96*Y96)*$M96, "")</f>
        <v>0</v>
      </c>
      <c r="BC96" s="285" t="n">
        <f aca="false">IFERROR(($J96*Z96)*$M96, "")</f>
        <v>0</v>
      </c>
      <c r="BD96" s="286" t="n">
        <f aca="false">IFERROR(SUMIF($AB$4:$AM$4, "RDEC", AR96:BC96), "")</f>
        <v>0</v>
      </c>
      <c r="BE96" s="286" t="n">
        <f aca="false">IFERROR(SUMIF($AB$4:$AM$4, "SME", AR96:BC96), "")</f>
        <v>0</v>
      </c>
      <c r="BF96" s="286" t="n">
        <f aca="false">IFERROR(SUMIF($AB$4:$AM$4, "De Minimis", AR96:BC96), "")</f>
        <v>0</v>
      </c>
      <c r="BG96" s="287"/>
      <c r="BH96" s="288" t="str">
        <f aca="false">IF((SUM(O96:Z96)&gt;1),"ERROR","")</f>
        <v/>
      </c>
      <c r="BI96" s="287"/>
      <c r="BJ96" s="18" t="str">
        <f aca="false">IF(C82&gt;0, C82, "")</f>
        <v/>
      </c>
      <c r="BL96" s="200"/>
      <c r="BM96" s="200"/>
      <c r="BN96" s="200"/>
    </row>
    <row r="97" customFormat="false" ht="15" hidden="false" customHeight="true" outlineLevel="0" collapsed="false">
      <c r="B97" s="275"/>
      <c r="D97" s="276" t="n">
        <f aca="false">D81</f>
        <v>45566</v>
      </c>
      <c r="E97" s="277" t="n">
        <v>4620.87</v>
      </c>
      <c r="F97" s="277" t="n">
        <v>1247.63</v>
      </c>
      <c r="G97" s="277" t="n">
        <v>309</v>
      </c>
      <c r="H97" s="277" t="n">
        <v>533.03</v>
      </c>
      <c r="I97" s="277" t="n">
        <v>184.83</v>
      </c>
      <c r="J97" s="278" t="n">
        <f aca="false">E97+H97+I97</f>
        <v>5338.73</v>
      </c>
      <c r="K97" s="204"/>
      <c r="L97" s="279" t="n">
        <v>1</v>
      </c>
      <c r="M97" s="280" t="n">
        <f aca="false">1-L97</f>
        <v>0</v>
      </c>
      <c r="N97" s="281"/>
      <c r="O97" s="282" t="n">
        <v>0.3</v>
      </c>
      <c r="P97" s="282"/>
      <c r="Q97" s="282" t="n">
        <v>0.5</v>
      </c>
      <c r="R97" s="282"/>
      <c r="S97" s="282" t="n">
        <v>0.2</v>
      </c>
      <c r="T97" s="282"/>
      <c r="U97" s="282"/>
      <c r="V97" s="282"/>
      <c r="W97" s="282"/>
      <c r="X97" s="282"/>
      <c r="Y97" s="282"/>
      <c r="Z97" s="282"/>
      <c r="AA97" s="283"/>
      <c r="AB97" s="284" t="n">
        <f aca="false">IFERROR(($J97*O97)*$L97, "")</f>
        <v>1601.619</v>
      </c>
      <c r="AC97" s="284" t="n">
        <f aca="false">IFERROR(($J97*P97)*$L97, "")</f>
        <v>0</v>
      </c>
      <c r="AD97" s="284" t="n">
        <f aca="false">IFERROR(($J97*Q97)*$L97, "")</f>
        <v>2669.365</v>
      </c>
      <c r="AE97" s="284" t="n">
        <f aca="false">IFERROR(($J97*R97)*$L97, "")</f>
        <v>0</v>
      </c>
      <c r="AF97" s="284" t="n">
        <f aca="false">IFERROR(($J97*S97)*$L97, "")</f>
        <v>1067.746</v>
      </c>
      <c r="AG97" s="284" t="n">
        <f aca="false">IFERROR(($J97*T97)*$L97, "")</f>
        <v>0</v>
      </c>
      <c r="AH97" s="284" t="n">
        <f aca="false">IFERROR(($J97*U97)*$L97, "")</f>
        <v>0</v>
      </c>
      <c r="AI97" s="284" t="n">
        <f aca="false">IFERROR(($J97*V97)*$L97, "")</f>
        <v>0</v>
      </c>
      <c r="AJ97" s="284" t="n">
        <f aca="false">IFERROR(($J97*W97)*$L97, "")</f>
        <v>0</v>
      </c>
      <c r="AK97" s="284" t="n">
        <f aca="false">IFERROR(($J97*X97)*$L97, "")</f>
        <v>0</v>
      </c>
      <c r="AL97" s="284" t="n">
        <f aca="false">IFERROR(($J97*Y97)*$L97, "")</f>
        <v>0</v>
      </c>
      <c r="AM97" s="285" t="n">
        <f aca="false">IFERROR(($J97*Z97)*$L97, "")</f>
        <v>0</v>
      </c>
      <c r="AN97" s="286" t="n">
        <f aca="false">IFERROR(SUMIF($AB$4:$AM$4, "RDEC", AB97:AM97), "")</f>
        <v>0</v>
      </c>
      <c r="AO97" s="286" t="n">
        <f aca="false">IFERROR(SUMIF($AB$4:$AM$4, "SME", AB97:AM97), "")</f>
        <v>5338.73</v>
      </c>
      <c r="AP97" s="286" t="n">
        <f aca="false">IFERROR(SUMIF($AB$4:$AM$4, "De Minimis", AB97:AM97), "")</f>
        <v>0</v>
      </c>
      <c r="AQ97" s="283"/>
      <c r="AR97" s="284" t="n">
        <f aca="false">IFERROR(($J97*O97)*$M97, "")</f>
        <v>0</v>
      </c>
      <c r="AS97" s="284" t="n">
        <f aca="false">IFERROR(($J97*P97)*$M97, "")</f>
        <v>0</v>
      </c>
      <c r="AT97" s="284" t="n">
        <f aca="false">IFERROR(($J97*Q97)*$M97, "")</f>
        <v>0</v>
      </c>
      <c r="AU97" s="284" t="n">
        <f aca="false">IFERROR(($J97*R97)*$M97, "")</f>
        <v>0</v>
      </c>
      <c r="AV97" s="284" t="n">
        <f aca="false">IFERROR(($J97*S97)*$M97, "")</f>
        <v>0</v>
      </c>
      <c r="AW97" s="284" t="n">
        <f aca="false">IFERROR(($J97*T97)*$M97, "")</f>
        <v>0</v>
      </c>
      <c r="AX97" s="284" t="n">
        <f aca="false">IFERROR(($J97*U97)*$M97, "")</f>
        <v>0</v>
      </c>
      <c r="AY97" s="284" t="n">
        <f aca="false">IFERROR(($J97*V97)*$M97, "")</f>
        <v>0</v>
      </c>
      <c r="AZ97" s="284" t="n">
        <f aca="false">IFERROR(($J97*W97)*$M97, "")</f>
        <v>0</v>
      </c>
      <c r="BA97" s="284" t="n">
        <f aca="false">IFERROR(($J97*X97)*$M97, "")</f>
        <v>0</v>
      </c>
      <c r="BB97" s="284" t="n">
        <f aca="false">IFERROR(($J97*Y97)*$M97, "")</f>
        <v>0</v>
      </c>
      <c r="BC97" s="285" t="n">
        <f aca="false">IFERROR(($J97*Z97)*$M97, "")</f>
        <v>0</v>
      </c>
      <c r="BD97" s="286" t="n">
        <f aca="false">IFERROR(SUMIF($AB$4:$AM$4, "RDEC", AR97:BC97), "")</f>
        <v>0</v>
      </c>
      <c r="BE97" s="286" t="n">
        <f aca="false">IFERROR(SUMIF($AB$4:$AM$4, "SME", AR97:BC97), "")</f>
        <v>0</v>
      </c>
      <c r="BF97" s="286" t="n">
        <f aca="false">IFERROR(SUMIF($AB$4:$AM$4, "De Minimis", AR97:BC97), "")</f>
        <v>0</v>
      </c>
      <c r="BG97" s="287"/>
      <c r="BH97" s="288" t="str">
        <f aca="false">IF((SUM(O97:Z97)&gt;1),"ERROR","")</f>
        <v/>
      </c>
      <c r="BI97" s="287"/>
      <c r="BJ97" s="18" t="str">
        <f aca="false">IF(C83&gt;0, C83, "")</f>
        <v/>
      </c>
      <c r="BL97" s="200"/>
      <c r="BM97" s="200"/>
      <c r="BN97" s="200"/>
    </row>
    <row r="98" customFormat="false" ht="15" hidden="false" customHeight="true" outlineLevel="0" collapsed="false">
      <c r="B98" s="275"/>
      <c r="D98" s="276" t="n">
        <f aca="false">D82</f>
        <v>45597</v>
      </c>
      <c r="E98" s="277" t="n">
        <v>4617.17</v>
      </c>
      <c r="F98" s="277" t="n">
        <v>1246.64</v>
      </c>
      <c r="G98" s="277" t="n">
        <v>308.71</v>
      </c>
      <c r="H98" s="277" t="n">
        <v>532.52</v>
      </c>
      <c r="I98" s="277" t="n">
        <v>184.69</v>
      </c>
      <c r="J98" s="278" t="n">
        <f aca="false">E98+H98+I98</f>
        <v>5334.38</v>
      </c>
      <c r="K98" s="204"/>
      <c r="L98" s="279" t="n">
        <v>1</v>
      </c>
      <c r="M98" s="280" t="n">
        <f aca="false">1-L98</f>
        <v>0</v>
      </c>
      <c r="N98" s="281"/>
      <c r="O98" s="282" t="n">
        <v>0.3</v>
      </c>
      <c r="P98" s="282"/>
      <c r="Q98" s="282" t="n">
        <v>0.5</v>
      </c>
      <c r="R98" s="282"/>
      <c r="S98" s="282" t="n">
        <v>0.2</v>
      </c>
      <c r="T98" s="282"/>
      <c r="U98" s="282"/>
      <c r="V98" s="282"/>
      <c r="W98" s="282"/>
      <c r="X98" s="282"/>
      <c r="Y98" s="282"/>
      <c r="Z98" s="282"/>
      <c r="AA98" s="283"/>
      <c r="AB98" s="284" t="n">
        <f aca="false">IFERROR(($J98*O98)*$L98, "")</f>
        <v>1600.314</v>
      </c>
      <c r="AC98" s="284" t="n">
        <f aca="false">IFERROR(($J98*P98)*$L98, "")</f>
        <v>0</v>
      </c>
      <c r="AD98" s="284" t="n">
        <f aca="false">IFERROR(($J98*Q98)*$L98, "")</f>
        <v>2667.19</v>
      </c>
      <c r="AE98" s="284" t="n">
        <f aca="false">IFERROR(($J98*R98)*$L98, "")</f>
        <v>0</v>
      </c>
      <c r="AF98" s="284" t="n">
        <f aca="false">IFERROR(($J98*S98)*$L98, "")</f>
        <v>1066.876</v>
      </c>
      <c r="AG98" s="284" t="n">
        <f aca="false">IFERROR(($J98*T98)*$L98, "")</f>
        <v>0</v>
      </c>
      <c r="AH98" s="284" t="n">
        <f aca="false">IFERROR(($J98*U98)*$L98, "")</f>
        <v>0</v>
      </c>
      <c r="AI98" s="284" t="n">
        <f aca="false">IFERROR(($J98*V98)*$L98, "")</f>
        <v>0</v>
      </c>
      <c r="AJ98" s="284" t="n">
        <f aca="false">IFERROR(($J98*W98)*$L98, "")</f>
        <v>0</v>
      </c>
      <c r="AK98" s="284" t="n">
        <f aca="false">IFERROR(($J98*X98)*$L98, "")</f>
        <v>0</v>
      </c>
      <c r="AL98" s="284" t="n">
        <f aca="false">IFERROR(($J98*Y98)*$L98, "")</f>
        <v>0</v>
      </c>
      <c r="AM98" s="285" t="n">
        <f aca="false">IFERROR(($J98*Z98)*$L98, "")</f>
        <v>0</v>
      </c>
      <c r="AN98" s="286" t="n">
        <f aca="false">IFERROR(SUMIF($AB$4:$AM$4, "RDEC", AB98:AM98), "")</f>
        <v>0</v>
      </c>
      <c r="AO98" s="286" t="n">
        <f aca="false">IFERROR(SUMIF($AB$4:$AM$4, "SME", AB98:AM98), "")</f>
        <v>5334.38</v>
      </c>
      <c r="AP98" s="286" t="n">
        <f aca="false">IFERROR(SUMIF($AB$4:$AM$4, "De Minimis", AB98:AM98), "")</f>
        <v>0</v>
      </c>
      <c r="AQ98" s="283"/>
      <c r="AR98" s="284" t="n">
        <f aca="false">IFERROR(($J98*O98)*$M98, "")</f>
        <v>0</v>
      </c>
      <c r="AS98" s="284" t="n">
        <f aca="false">IFERROR(($J98*P98)*$M98, "")</f>
        <v>0</v>
      </c>
      <c r="AT98" s="284" t="n">
        <f aca="false">IFERROR(($J98*Q98)*$M98, "")</f>
        <v>0</v>
      </c>
      <c r="AU98" s="284" t="n">
        <f aca="false">IFERROR(($J98*R98)*$M98, "")</f>
        <v>0</v>
      </c>
      <c r="AV98" s="284" t="n">
        <f aca="false">IFERROR(($J98*S98)*$M98, "")</f>
        <v>0</v>
      </c>
      <c r="AW98" s="284" t="n">
        <f aca="false">IFERROR(($J98*T98)*$M98, "")</f>
        <v>0</v>
      </c>
      <c r="AX98" s="284" t="n">
        <f aca="false">IFERROR(($J98*U98)*$M98, "")</f>
        <v>0</v>
      </c>
      <c r="AY98" s="284" t="n">
        <f aca="false">IFERROR(($J98*V98)*$M98, "")</f>
        <v>0</v>
      </c>
      <c r="AZ98" s="284" t="n">
        <f aca="false">IFERROR(($J98*W98)*$M98, "")</f>
        <v>0</v>
      </c>
      <c r="BA98" s="284" t="n">
        <f aca="false">IFERROR(($J98*X98)*$M98, "")</f>
        <v>0</v>
      </c>
      <c r="BB98" s="284" t="n">
        <f aca="false">IFERROR(($J98*Y98)*$M98, "")</f>
        <v>0</v>
      </c>
      <c r="BC98" s="285" t="n">
        <f aca="false">IFERROR(($J98*Z98)*$M98, "")</f>
        <v>0</v>
      </c>
      <c r="BD98" s="286" t="n">
        <f aca="false">IFERROR(SUMIF($AB$4:$AM$4, "RDEC", AR98:BC98), "")</f>
        <v>0</v>
      </c>
      <c r="BE98" s="286" t="n">
        <f aca="false">IFERROR(SUMIF($AB$4:$AM$4, "SME", AR98:BC98), "")</f>
        <v>0</v>
      </c>
      <c r="BF98" s="286" t="n">
        <f aca="false">IFERROR(SUMIF($AB$4:$AM$4, "De Minimis", AR98:BC98), "")</f>
        <v>0</v>
      </c>
      <c r="BG98" s="287"/>
      <c r="BH98" s="288" t="str">
        <f aca="false">IF((SUM(O98:Z98)&gt;1),"ERROR","")</f>
        <v/>
      </c>
      <c r="BI98" s="287"/>
      <c r="BJ98" s="18" t="str">
        <f aca="false">IF(C84&gt;0, C84, "")</f>
        <v/>
      </c>
      <c r="BL98" s="200"/>
      <c r="BM98" s="200"/>
      <c r="BN98" s="200"/>
    </row>
    <row r="99" customFormat="false" ht="15" hidden="false" customHeight="true" outlineLevel="0" collapsed="false">
      <c r="B99" s="275"/>
      <c r="D99" s="276" t="n">
        <f aca="false">D83</f>
        <v>45627</v>
      </c>
      <c r="E99" s="277" t="n">
        <v>4511.55</v>
      </c>
      <c r="F99" s="277" t="n">
        <v>1218.12</v>
      </c>
      <c r="G99" s="277" t="n">
        <v>300.26</v>
      </c>
      <c r="H99" s="277" t="n">
        <v>517.94</v>
      </c>
      <c r="I99" s="277" t="n">
        <v>180.46</v>
      </c>
      <c r="J99" s="278" t="n">
        <f aca="false">E99+H99+I99</f>
        <v>5209.95</v>
      </c>
      <c r="K99" s="204"/>
      <c r="L99" s="289" t="n">
        <v>1</v>
      </c>
      <c r="M99" s="290" t="n">
        <f aca="false">1-L99</f>
        <v>0</v>
      </c>
      <c r="N99" s="281"/>
      <c r="O99" s="291" t="n">
        <v>0.3</v>
      </c>
      <c r="P99" s="291"/>
      <c r="Q99" s="291" t="n">
        <v>0.5</v>
      </c>
      <c r="R99" s="291"/>
      <c r="S99" s="291" t="n">
        <v>0.2</v>
      </c>
      <c r="T99" s="291"/>
      <c r="U99" s="291"/>
      <c r="V99" s="291"/>
      <c r="W99" s="291"/>
      <c r="X99" s="291"/>
      <c r="Y99" s="291"/>
      <c r="Z99" s="291"/>
      <c r="AA99" s="283"/>
      <c r="AB99" s="292" t="n">
        <f aca="false">IFERROR(($J99*O99)*$L99, "")</f>
        <v>1562.985</v>
      </c>
      <c r="AC99" s="292" t="n">
        <f aca="false">IFERROR(($J99*P99)*$L99, "")</f>
        <v>0</v>
      </c>
      <c r="AD99" s="292" t="n">
        <f aca="false">IFERROR(($J99*Q99)*$L99, "")</f>
        <v>2604.975</v>
      </c>
      <c r="AE99" s="292" t="n">
        <f aca="false">IFERROR(($J99*R99)*$L99, "")</f>
        <v>0</v>
      </c>
      <c r="AF99" s="292" t="n">
        <f aca="false">IFERROR(($J99*S99)*$L99, "")</f>
        <v>1041.99</v>
      </c>
      <c r="AG99" s="292" t="n">
        <f aca="false">IFERROR(($J99*T99)*$L99, "")</f>
        <v>0</v>
      </c>
      <c r="AH99" s="292" t="n">
        <f aca="false">IFERROR(($J99*U99)*$L99, "")</f>
        <v>0</v>
      </c>
      <c r="AI99" s="292" t="n">
        <f aca="false">IFERROR(($J99*V99)*$L99, "")</f>
        <v>0</v>
      </c>
      <c r="AJ99" s="292" t="n">
        <f aca="false">IFERROR(($J99*W99)*$L99, "")</f>
        <v>0</v>
      </c>
      <c r="AK99" s="292" t="n">
        <f aca="false">IFERROR(($J99*X99)*$L99, "")</f>
        <v>0</v>
      </c>
      <c r="AL99" s="292" t="n">
        <f aca="false">IFERROR(($J99*Y99)*$L99, "")</f>
        <v>0</v>
      </c>
      <c r="AM99" s="293" t="n">
        <f aca="false">IFERROR(($J99*Z99)*$L99, "")</f>
        <v>0</v>
      </c>
      <c r="AN99" s="294" t="n">
        <f aca="false">IFERROR(SUMIF($AB$4:$AM$4, "RDEC", AB99:AM99), "")</f>
        <v>0</v>
      </c>
      <c r="AO99" s="294" t="n">
        <f aca="false">IFERROR(SUMIF($AB$4:$AM$4, "SME", AB99:AM99), "")</f>
        <v>5209.95</v>
      </c>
      <c r="AP99" s="294" t="n">
        <f aca="false">IFERROR(SUMIF($AB$4:$AM$4, "De Minimis", AB99:AM99), "")</f>
        <v>0</v>
      </c>
      <c r="AQ99" s="283"/>
      <c r="AR99" s="292" t="n">
        <f aca="false">IFERROR(($J99*O99)*$M99, "")</f>
        <v>0</v>
      </c>
      <c r="AS99" s="292" t="n">
        <f aca="false">IFERROR(($J99*P99)*$M99, "")</f>
        <v>0</v>
      </c>
      <c r="AT99" s="292" t="n">
        <f aca="false">IFERROR(($J99*Q99)*$M99, "")</f>
        <v>0</v>
      </c>
      <c r="AU99" s="292" t="n">
        <f aca="false">IFERROR(($J99*R99)*$M99, "")</f>
        <v>0</v>
      </c>
      <c r="AV99" s="292" t="n">
        <f aca="false">IFERROR(($J99*S99)*$M99, "")</f>
        <v>0</v>
      </c>
      <c r="AW99" s="292" t="n">
        <f aca="false">IFERROR(($J99*T99)*$M99, "")</f>
        <v>0</v>
      </c>
      <c r="AX99" s="292" t="n">
        <f aca="false">IFERROR(($J99*U99)*$M99, "")</f>
        <v>0</v>
      </c>
      <c r="AY99" s="292" t="n">
        <f aca="false">IFERROR(($J99*V99)*$M99, "")</f>
        <v>0</v>
      </c>
      <c r="AZ99" s="292" t="n">
        <f aca="false">IFERROR(($J99*W99)*$M99, "")</f>
        <v>0</v>
      </c>
      <c r="BA99" s="292" t="n">
        <f aca="false">IFERROR(($J99*X99)*$M99, "")</f>
        <v>0</v>
      </c>
      <c r="BB99" s="292" t="n">
        <f aca="false">IFERROR(($J99*Y99)*$M99, "")</f>
        <v>0</v>
      </c>
      <c r="BC99" s="293" t="n">
        <f aca="false">IFERROR(($J99*Z99)*$M99, "")</f>
        <v>0</v>
      </c>
      <c r="BD99" s="294" t="n">
        <f aca="false">IFERROR(SUMIF($AB$4:$AM$4, "RDEC", AR99:BC99), "")</f>
        <v>0</v>
      </c>
      <c r="BE99" s="294" t="n">
        <f aca="false">IFERROR(SUMIF($AB$4:$AM$4, "SME", AR99:BC99), "")</f>
        <v>0</v>
      </c>
      <c r="BF99" s="294" t="n">
        <f aca="false">IFERROR(SUMIF($AB$4:$AM$4, "De Minimis", AR99:BC99), "")</f>
        <v>0</v>
      </c>
      <c r="BG99" s="287"/>
      <c r="BH99" s="295" t="str">
        <f aca="false">IF((SUM(O99:Z99)&gt;1),"ERROR","")</f>
        <v/>
      </c>
      <c r="BI99" s="287"/>
      <c r="BJ99" s="18" t="str">
        <f aca="false">IF(C85&gt;0, C85, "")</f>
        <v/>
      </c>
      <c r="BL99" s="200"/>
      <c r="BM99" s="200"/>
      <c r="BN99" s="200"/>
    </row>
    <row r="100" customFormat="false" ht="15" hidden="false" customHeight="true" outlineLevel="0" collapsed="false">
      <c r="B100" s="296"/>
      <c r="D100" s="297" t="s">
        <v>82</v>
      </c>
      <c r="E100" s="298" t="n">
        <f aca="false">SUM(E87:E99)</f>
        <v>55000.87</v>
      </c>
      <c r="F100" s="298" t="n">
        <f aca="false">SUM(F87:F99)</f>
        <v>14850.23</v>
      </c>
      <c r="G100" s="298" t="n">
        <f aca="false">SUM(G87:G99)</f>
        <v>3672.07</v>
      </c>
      <c r="H100" s="298" t="n">
        <f aca="false">SUM(H87:H99)</f>
        <v>6334.32</v>
      </c>
      <c r="I100" s="298" t="n">
        <f aca="false">SUM(I87:I99)</f>
        <v>2200.02</v>
      </c>
      <c r="J100" s="299" t="n">
        <f aca="false">SUM(J87:J99)</f>
        <v>63535.21</v>
      </c>
      <c r="K100" s="300"/>
      <c r="L100" s="301" t="n">
        <f aca="false">AVERAGE(L87:L99)</f>
        <v>1</v>
      </c>
      <c r="M100" s="301" t="n">
        <f aca="false">AVERAGE(M87:M99)</f>
        <v>0</v>
      </c>
      <c r="N100" s="302"/>
      <c r="O100" s="290" t="n">
        <f aca="false">IF(SUM(O88:O99)&gt;0,((AB100+AR100)/J100),0)</f>
        <v>0.3</v>
      </c>
      <c r="P100" s="290" t="n">
        <f aca="false">IF(SUM(P88:P99)&gt;0,((AC100+AS100)/J100),0)</f>
        <v>0</v>
      </c>
      <c r="Q100" s="290" t="n">
        <f aca="false">IF(SUM(Q88:Q99)&gt;0,((AD100+AT100)/J100),0)</f>
        <v>0.5</v>
      </c>
      <c r="R100" s="290" t="n">
        <f aca="false">IF(SUM(R88:R99)&gt;0,((AE100+AU100)/J100),0)</f>
        <v>0</v>
      </c>
      <c r="S100" s="290" t="n">
        <f aca="false">IF(SUM(S88:S99)&gt;0,((AF100+AV100)/J100),0)</f>
        <v>0.2</v>
      </c>
      <c r="T100" s="290" t="n">
        <f aca="false">IF(SUM(T88:T99)&gt;0,((AG100+AW100)/J100),0)</f>
        <v>0</v>
      </c>
      <c r="U100" s="290" t="n">
        <f aca="false">IF(SUM(U88:U99)&gt;0,((AH100+AX100)/J100),0)</f>
        <v>0</v>
      </c>
      <c r="V100" s="290" t="n">
        <f aca="false">IF(SUM(V88:V99)&gt;0,((AI100+AY100)/J100),0)</f>
        <v>0</v>
      </c>
      <c r="W100" s="290" t="n">
        <f aca="false">IF(SUM(W88:W99)&gt;0,((AJ100+AZ100)/J100),0)</f>
        <v>0</v>
      </c>
      <c r="X100" s="290" t="n">
        <f aca="false">IF(SUM(X88:X99)&gt;0,((AK100+BA100)/J100),0)</f>
        <v>0</v>
      </c>
      <c r="Y100" s="290" t="n">
        <f aca="false">IF(SUM(Y88:Y99)&gt;0,((AL100+BB100)/J100),0)</f>
        <v>0</v>
      </c>
      <c r="Z100" s="290" t="n">
        <f aca="false">IF(SUM(Z88:Z99)&gt;0,((AM100+BC100)/J100),0)</f>
        <v>0</v>
      </c>
      <c r="AA100" s="303"/>
      <c r="AB100" s="292" t="n">
        <f aca="false">SUM(AB87:AB99)</f>
        <v>19060.563</v>
      </c>
      <c r="AC100" s="304" t="n">
        <f aca="false">SUM(AC87:AC99)</f>
        <v>0</v>
      </c>
      <c r="AD100" s="304" t="n">
        <f aca="false">SUM(AD87:AD99)</f>
        <v>31767.605</v>
      </c>
      <c r="AE100" s="304" t="n">
        <f aca="false">SUM(AE87:AE99)</f>
        <v>0</v>
      </c>
      <c r="AF100" s="304" t="n">
        <f aca="false">SUM(AF87:AF99)</f>
        <v>12707.042</v>
      </c>
      <c r="AG100" s="304" t="n">
        <f aca="false">SUM(AG87:AG99)</f>
        <v>0</v>
      </c>
      <c r="AH100" s="304" t="n">
        <f aca="false">SUM(AH87:AH99)</f>
        <v>0</v>
      </c>
      <c r="AI100" s="304" t="n">
        <f aca="false">SUM(AI87:AI99)</f>
        <v>0</v>
      </c>
      <c r="AJ100" s="304" t="n">
        <f aca="false">SUM(AJ87:AJ99)</f>
        <v>0</v>
      </c>
      <c r="AK100" s="304" t="n">
        <f aca="false">SUM(AK87:AK99)</f>
        <v>0</v>
      </c>
      <c r="AL100" s="304" t="n">
        <f aca="false">SUM(AL87:AL99)</f>
        <v>0</v>
      </c>
      <c r="AM100" s="304" t="n">
        <f aca="false">SUM(AM87:AM99)</f>
        <v>0</v>
      </c>
      <c r="AN100" s="305" t="n">
        <f aca="false">SUM(AN87:AN99)</f>
        <v>0</v>
      </c>
      <c r="AO100" s="305" t="n">
        <f aca="false">SUM(AO87:AO99)</f>
        <v>63535.21</v>
      </c>
      <c r="AP100" s="305" t="n">
        <f aca="false">SUM(AP87:AP99)</f>
        <v>0</v>
      </c>
      <c r="AQ100" s="303"/>
      <c r="AR100" s="292" t="n">
        <f aca="false">SUM(AR87:AR99)</f>
        <v>0</v>
      </c>
      <c r="AS100" s="304" t="n">
        <f aca="false">SUM(AS87:AS99)</f>
        <v>0</v>
      </c>
      <c r="AT100" s="304" t="n">
        <f aca="false">SUM(AT87:AT99)</f>
        <v>0</v>
      </c>
      <c r="AU100" s="304" t="n">
        <f aca="false">SUM(AU87:AU99)</f>
        <v>0</v>
      </c>
      <c r="AV100" s="304" t="n">
        <f aca="false">SUM(AV87:AV99)</f>
        <v>0</v>
      </c>
      <c r="AW100" s="304" t="n">
        <f aca="false">SUM(AW87:AW99)</f>
        <v>0</v>
      </c>
      <c r="AX100" s="304" t="n">
        <f aca="false">SUM(AX87:AX99)</f>
        <v>0</v>
      </c>
      <c r="AY100" s="304" t="n">
        <f aca="false">SUM(AY87:AY99)</f>
        <v>0</v>
      </c>
      <c r="AZ100" s="304" t="n">
        <f aca="false">SUM(AZ87:AZ99)</f>
        <v>0</v>
      </c>
      <c r="BA100" s="304" t="n">
        <f aca="false">SUM(BA87:BA99)</f>
        <v>0</v>
      </c>
      <c r="BB100" s="304" t="n">
        <f aca="false">SUM(BB87:BB99)</f>
        <v>0</v>
      </c>
      <c r="BC100" s="304" t="n">
        <f aca="false">SUM(BC87:BC99)</f>
        <v>0</v>
      </c>
      <c r="BD100" s="305" t="n">
        <f aca="false">SUM(BD87:BD99)</f>
        <v>0</v>
      </c>
      <c r="BE100" s="305" t="n">
        <f aca="false">SUM(BE87:BE99)</f>
        <v>0</v>
      </c>
      <c r="BF100" s="305" t="n">
        <f aca="false">SUM(BF87:BF99)</f>
        <v>0</v>
      </c>
      <c r="BG100" s="303"/>
      <c r="BH100" s="306"/>
      <c r="BI100" s="303"/>
      <c r="BJ100" s="307" t="str">
        <f aca="false">IF(C86&gt;0, C86, "")</f>
        <v>Frontend Developer</v>
      </c>
      <c r="BK100" s="18" t="s">
        <v>234</v>
      </c>
      <c r="BL100" s="200" t="n">
        <f aca="false">IF($BK100="Y",J100,0)</f>
        <v>0</v>
      </c>
      <c r="BM100" s="200" t="n">
        <f aca="false">IF(BK100="Y", AN100,0)</f>
        <v>0</v>
      </c>
      <c r="BN100" s="200" t="n">
        <f aca="false">IF((BK100="Y"),AO100,0)</f>
        <v>0</v>
      </c>
    </row>
    <row r="101" customFormat="false" ht="15" hidden="false" customHeight="true" outlineLevel="0" collapsed="false">
      <c r="B101" s="296"/>
      <c r="D101" s="297"/>
      <c r="E101" s="277"/>
      <c r="F101" s="277"/>
      <c r="G101" s="277"/>
      <c r="H101" s="277"/>
      <c r="I101" s="277"/>
      <c r="J101" s="300"/>
      <c r="K101" s="300"/>
      <c r="L101" s="302"/>
      <c r="M101" s="302"/>
      <c r="N101" s="302"/>
      <c r="O101" s="308"/>
      <c r="P101" s="308"/>
      <c r="Q101" s="308"/>
      <c r="R101" s="308"/>
      <c r="S101" s="308"/>
      <c r="T101" s="308"/>
      <c r="U101" s="308"/>
      <c r="V101" s="308"/>
      <c r="W101" s="308"/>
      <c r="X101" s="308"/>
      <c r="Y101" s="308"/>
      <c r="Z101" s="308"/>
      <c r="AA101" s="303"/>
      <c r="AB101" s="303"/>
      <c r="AC101" s="303"/>
      <c r="AD101" s="303"/>
      <c r="AE101" s="303"/>
      <c r="AF101" s="303"/>
      <c r="AG101" s="303"/>
      <c r="AH101" s="303"/>
      <c r="AI101" s="303"/>
      <c r="AJ101" s="303"/>
      <c r="AK101" s="303"/>
      <c r="AL101" s="303"/>
      <c r="AM101" s="303"/>
      <c r="AN101" s="303"/>
      <c r="AO101" s="303"/>
      <c r="AP101" s="303"/>
      <c r="AQ101" s="303"/>
      <c r="AR101" s="303"/>
      <c r="AS101" s="303"/>
      <c r="AT101" s="303"/>
      <c r="AU101" s="303"/>
      <c r="AV101" s="303"/>
      <c r="AW101" s="303"/>
      <c r="AX101" s="303"/>
      <c r="AY101" s="303"/>
      <c r="AZ101" s="303"/>
      <c r="BA101" s="303"/>
      <c r="BB101" s="303"/>
      <c r="BC101" s="303"/>
      <c r="BD101" s="303"/>
      <c r="BE101" s="303"/>
      <c r="BF101" s="303"/>
      <c r="BG101" s="303"/>
      <c r="BH101" s="303"/>
      <c r="BI101" s="303"/>
      <c r="BJ101" s="307" t="str">
        <f aca="false">IF(C87&gt;0, C87, "")</f>
        <v/>
      </c>
      <c r="BL101" s="200"/>
      <c r="BM101" s="200"/>
      <c r="BN101" s="200"/>
    </row>
    <row r="102" customFormat="false" ht="15" hidden="false" customHeight="true" outlineLevel="0" collapsed="false">
      <c r="A102" s="198" t="n">
        <v>7</v>
      </c>
      <c r="B102" s="266" t="s">
        <v>245</v>
      </c>
      <c r="C102" s="266" t="s">
        <v>246</v>
      </c>
      <c r="D102" s="267"/>
      <c r="E102" s="242"/>
      <c r="F102" s="242"/>
      <c r="G102" s="242"/>
      <c r="H102" s="242"/>
      <c r="I102" s="242"/>
      <c r="J102" s="241"/>
      <c r="K102" s="241"/>
      <c r="L102" s="241"/>
      <c r="M102" s="241"/>
      <c r="N102" s="241"/>
      <c r="O102" s="268"/>
      <c r="P102" s="268"/>
      <c r="Q102" s="268"/>
      <c r="R102" s="268"/>
      <c r="S102" s="268"/>
      <c r="T102" s="268"/>
      <c r="U102" s="268"/>
      <c r="V102" s="268"/>
      <c r="W102" s="268"/>
      <c r="X102" s="268"/>
      <c r="Y102" s="268"/>
      <c r="Z102" s="268"/>
      <c r="AA102" s="268"/>
      <c r="AB102" s="268"/>
      <c r="AC102" s="268"/>
      <c r="AD102" s="268"/>
      <c r="AE102" s="268"/>
      <c r="AF102" s="268"/>
      <c r="AG102" s="268"/>
      <c r="AH102" s="268"/>
      <c r="AI102" s="268"/>
      <c r="AJ102" s="268"/>
      <c r="AK102" s="268"/>
      <c r="AL102" s="268"/>
      <c r="AM102" s="268"/>
      <c r="AN102" s="268"/>
      <c r="AO102" s="268"/>
      <c r="AP102" s="268"/>
      <c r="AQ102" s="268"/>
      <c r="AR102" s="268"/>
      <c r="AS102" s="268"/>
      <c r="AT102" s="268"/>
      <c r="AU102" s="268"/>
      <c r="AV102" s="268"/>
      <c r="AW102" s="268"/>
      <c r="AX102" s="268"/>
      <c r="AY102" s="268"/>
      <c r="AZ102" s="268"/>
      <c r="BA102" s="268"/>
      <c r="BB102" s="268"/>
      <c r="BC102" s="268"/>
      <c r="BD102" s="268"/>
      <c r="BE102" s="268"/>
      <c r="BF102" s="268"/>
      <c r="BG102" s="268"/>
      <c r="BH102" s="268"/>
      <c r="BI102" s="268"/>
      <c r="BJ102" s="18" t="str">
        <f aca="false">IF(C89&gt;0, C89, "")</f>
        <v/>
      </c>
      <c r="BL102" s="200"/>
      <c r="BM102" s="200"/>
      <c r="BN102" s="200"/>
    </row>
    <row r="103" customFormat="false" ht="7.5" hidden="false" customHeight="true" outlineLevel="0" collapsed="false">
      <c r="A103" s="198"/>
      <c r="B103" s="266"/>
      <c r="C103" s="266"/>
      <c r="D103" s="267"/>
      <c r="E103" s="242"/>
      <c r="F103" s="242"/>
      <c r="G103" s="242"/>
      <c r="H103" s="242"/>
      <c r="I103" s="242"/>
      <c r="J103" s="241"/>
      <c r="K103" s="241"/>
      <c r="L103" s="269"/>
      <c r="M103" s="269"/>
      <c r="N103" s="270"/>
      <c r="O103" s="269"/>
      <c r="P103" s="269"/>
      <c r="Q103" s="269"/>
      <c r="R103" s="269"/>
      <c r="S103" s="269"/>
      <c r="T103" s="269"/>
      <c r="U103" s="269"/>
      <c r="V103" s="269"/>
      <c r="W103" s="269"/>
      <c r="X103" s="269"/>
      <c r="Y103" s="269"/>
      <c r="Z103" s="269"/>
      <c r="AA103" s="268"/>
      <c r="AB103" s="271"/>
      <c r="AC103" s="271"/>
      <c r="AD103" s="271"/>
      <c r="AE103" s="271"/>
      <c r="AF103" s="271"/>
      <c r="AG103" s="271"/>
      <c r="AH103" s="271"/>
      <c r="AI103" s="271"/>
      <c r="AJ103" s="271"/>
      <c r="AK103" s="271"/>
      <c r="AL103" s="271"/>
      <c r="AM103" s="272"/>
      <c r="AN103" s="273"/>
      <c r="AO103" s="273"/>
      <c r="AP103" s="273"/>
      <c r="AQ103" s="268"/>
      <c r="AR103" s="271"/>
      <c r="AS103" s="271"/>
      <c r="AT103" s="271"/>
      <c r="AU103" s="271"/>
      <c r="AV103" s="271"/>
      <c r="AW103" s="271"/>
      <c r="AX103" s="271"/>
      <c r="AY103" s="271"/>
      <c r="AZ103" s="271"/>
      <c r="BA103" s="271"/>
      <c r="BB103" s="271"/>
      <c r="BC103" s="272"/>
      <c r="BD103" s="273"/>
      <c r="BE103" s="273"/>
      <c r="BF103" s="273"/>
      <c r="BG103" s="268"/>
      <c r="BH103" s="274"/>
      <c r="BI103" s="268"/>
      <c r="BL103" s="200"/>
      <c r="BM103" s="200"/>
      <c r="BN103" s="200"/>
    </row>
    <row r="104" customFormat="false" ht="15" hidden="false" customHeight="true" outlineLevel="0" collapsed="false">
      <c r="B104" s="275"/>
      <c r="D104" s="276" t="n">
        <f aca="false">D88</f>
        <v>45292</v>
      </c>
      <c r="E104" s="277" t="n">
        <v>4070.49</v>
      </c>
      <c r="F104" s="277" t="n">
        <v>895.51</v>
      </c>
      <c r="G104" s="277" t="n">
        <v>264.97</v>
      </c>
      <c r="H104" s="277" t="n">
        <v>457.08</v>
      </c>
      <c r="I104" s="277" t="n">
        <v>162.82</v>
      </c>
      <c r="J104" s="278" t="n">
        <f aca="false">E104+H104+I104</f>
        <v>4690.39</v>
      </c>
      <c r="K104" s="204"/>
      <c r="L104" s="279" t="n">
        <v>1</v>
      </c>
      <c r="M104" s="280" t="n">
        <f aca="false">1-L104</f>
        <v>0</v>
      </c>
      <c r="N104" s="281"/>
      <c r="O104" s="282" t="n">
        <v>0.25</v>
      </c>
      <c r="P104" s="282" t="n">
        <v>0.25</v>
      </c>
      <c r="Q104" s="282" t="n">
        <v>0.25</v>
      </c>
      <c r="R104" s="282" t="n">
        <v>0.25</v>
      </c>
      <c r="S104" s="282"/>
      <c r="T104" s="282"/>
      <c r="U104" s="282"/>
      <c r="V104" s="282"/>
      <c r="W104" s="282"/>
      <c r="X104" s="282"/>
      <c r="Y104" s="282"/>
      <c r="Z104" s="282"/>
      <c r="AA104" s="283"/>
      <c r="AB104" s="284" t="n">
        <f aca="false">IFERROR(($J104*O104)*$L104, "")</f>
        <v>1172.5975</v>
      </c>
      <c r="AC104" s="284" t="n">
        <f aca="false">IFERROR(($J104*P104)*$L104, "")</f>
        <v>1172.5975</v>
      </c>
      <c r="AD104" s="284" t="n">
        <f aca="false">IFERROR(($J104*Q104)*$L104, "")</f>
        <v>1172.5975</v>
      </c>
      <c r="AE104" s="284" t="n">
        <f aca="false">IFERROR(($J104*R104)*$L104, "")</f>
        <v>1172.5975</v>
      </c>
      <c r="AF104" s="284" t="n">
        <f aca="false">IFERROR(($J104*S104)*$L104, "")</f>
        <v>0</v>
      </c>
      <c r="AG104" s="284" t="n">
        <f aca="false">IFERROR(($J104*T104)*$L104, "")</f>
        <v>0</v>
      </c>
      <c r="AH104" s="284" t="n">
        <f aca="false">IFERROR(($J104*U104)*$L104, "")</f>
        <v>0</v>
      </c>
      <c r="AI104" s="284" t="n">
        <f aca="false">IFERROR(($J104*V104)*$L104, "")</f>
        <v>0</v>
      </c>
      <c r="AJ104" s="284" t="n">
        <f aca="false">IFERROR(($J104*W104)*$L104, "")</f>
        <v>0</v>
      </c>
      <c r="AK104" s="284" t="n">
        <f aca="false">IFERROR(($J104*X104)*$L104, "")</f>
        <v>0</v>
      </c>
      <c r="AL104" s="284" t="n">
        <f aca="false">IFERROR(($J104*Y104)*$L104, "")</f>
        <v>0</v>
      </c>
      <c r="AM104" s="285" t="n">
        <f aca="false">IFERROR(($J104*Z104)*$L104, "")</f>
        <v>0</v>
      </c>
      <c r="AN104" s="286" t="n">
        <f aca="false">IFERROR(SUMIF($AB$4:$AM$4, "RDEC", AB104:AM104), "")</f>
        <v>1172.5975</v>
      </c>
      <c r="AO104" s="286" t="n">
        <f aca="false">IFERROR(SUMIF($AB$4:$AM$4, "SME", AB104:AM104), "")</f>
        <v>3517.7925</v>
      </c>
      <c r="AP104" s="286" t="n">
        <f aca="false">IFERROR(SUMIF($AB$4:$AM$4, "De Minimis", AB104:AM104), "")</f>
        <v>0</v>
      </c>
      <c r="AQ104" s="283"/>
      <c r="AR104" s="284" t="n">
        <f aca="false">IFERROR(($J104*O104)*$M104, "")</f>
        <v>0</v>
      </c>
      <c r="AS104" s="284" t="n">
        <f aca="false">IFERROR(($J104*P104)*$M104, "")</f>
        <v>0</v>
      </c>
      <c r="AT104" s="284" t="n">
        <f aca="false">IFERROR(($J104*Q104)*$M104, "")</f>
        <v>0</v>
      </c>
      <c r="AU104" s="284" t="n">
        <f aca="false">IFERROR(($J104*R104)*$M104, "")</f>
        <v>0</v>
      </c>
      <c r="AV104" s="284" t="n">
        <f aca="false">IFERROR(($J104*S104)*$M104, "")</f>
        <v>0</v>
      </c>
      <c r="AW104" s="284" t="n">
        <f aca="false">IFERROR(($J104*T104)*$M104, "")</f>
        <v>0</v>
      </c>
      <c r="AX104" s="284" t="n">
        <f aca="false">IFERROR(($J104*U104)*$M104, "")</f>
        <v>0</v>
      </c>
      <c r="AY104" s="284" t="n">
        <f aca="false">IFERROR(($J104*V104)*$M104, "")</f>
        <v>0</v>
      </c>
      <c r="AZ104" s="284" t="n">
        <f aca="false">IFERROR(($J104*W104)*$M104, "")</f>
        <v>0</v>
      </c>
      <c r="BA104" s="284" t="n">
        <f aca="false">IFERROR(($J104*X104)*$M104, "")</f>
        <v>0</v>
      </c>
      <c r="BB104" s="284" t="n">
        <f aca="false">IFERROR(($J104*Y104)*$M104, "")</f>
        <v>0</v>
      </c>
      <c r="BC104" s="285" t="n">
        <f aca="false">IFERROR(($J104*Z104)*$M104, "")</f>
        <v>0</v>
      </c>
      <c r="BD104" s="286" t="n">
        <f aca="false">IFERROR(SUMIF($AB$4:$AM$4, "RDEC", AR104:BC104), "")</f>
        <v>0</v>
      </c>
      <c r="BE104" s="286" t="n">
        <f aca="false">IFERROR(SUMIF($AB$4:$AM$4, "SME", AR104:BC104), "")</f>
        <v>0</v>
      </c>
      <c r="BF104" s="286" t="n">
        <f aca="false">IFERROR(SUMIF($AB$4:$AM$4, "De Minimis", AR104:BC104), "")</f>
        <v>0</v>
      </c>
      <c r="BG104" s="287"/>
      <c r="BH104" s="288" t="str">
        <f aca="false">IF((SUM(O104:Z104)&gt;1),"ERROR","")</f>
        <v/>
      </c>
      <c r="BI104" s="287"/>
      <c r="BJ104" s="18" t="str">
        <f aca="false">IF(C90&gt;0, C90, "")</f>
        <v/>
      </c>
      <c r="BL104" s="200"/>
      <c r="BM104" s="200"/>
      <c r="BN104" s="200"/>
    </row>
    <row r="105" customFormat="false" ht="15" hidden="false" customHeight="true" outlineLevel="0" collapsed="false">
      <c r="B105" s="275"/>
      <c r="D105" s="276" t="n">
        <f aca="false">D89</f>
        <v>45323</v>
      </c>
      <c r="E105" s="277" t="n">
        <v>3950.83</v>
      </c>
      <c r="F105" s="277" t="n">
        <v>869.18</v>
      </c>
      <c r="G105" s="277" t="n">
        <v>255.4</v>
      </c>
      <c r="H105" s="277" t="n">
        <v>440.57</v>
      </c>
      <c r="I105" s="277" t="n">
        <v>158.03</v>
      </c>
      <c r="J105" s="278" t="n">
        <f aca="false">E105+H105+I105</f>
        <v>4549.43</v>
      </c>
      <c r="K105" s="204"/>
      <c r="L105" s="279" t="n">
        <v>1</v>
      </c>
      <c r="M105" s="280" t="n">
        <f aca="false">1-L105</f>
        <v>0</v>
      </c>
      <c r="N105" s="281"/>
      <c r="O105" s="282" t="n">
        <v>0.25</v>
      </c>
      <c r="P105" s="282" t="n">
        <v>0.25</v>
      </c>
      <c r="Q105" s="282" t="n">
        <v>0.25</v>
      </c>
      <c r="R105" s="282" t="n">
        <v>0.25</v>
      </c>
      <c r="S105" s="282"/>
      <c r="T105" s="282"/>
      <c r="U105" s="282"/>
      <c r="V105" s="282"/>
      <c r="W105" s="282"/>
      <c r="X105" s="282"/>
      <c r="Y105" s="282"/>
      <c r="Z105" s="282"/>
      <c r="AA105" s="283"/>
      <c r="AB105" s="284" t="n">
        <f aca="false">IFERROR(($J105*O105)*$L105, "")</f>
        <v>1137.3575</v>
      </c>
      <c r="AC105" s="284" t="n">
        <f aca="false">IFERROR(($J105*P105)*$L105, "")</f>
        <v>1137.3575</v>
      </c>
      <c r="AD105" s="284" t="n">
        <f aca="false">IFERROR(($J105*Q105)*$L105, "")</f>
        <v>1137.3575</v>
      </c>
      <c r="AE105" s="284" t="n">
        <f aca="false">IFERROR(($J105*R105)*$L105, "")</f>
        <v>1137.3575</v>
      </c>
      <c r="AF105" s="284" t="n">
        <f aca="false">IFERROR(($J105*S105)*$L105, "")</f>
        <v>0</v>
      </c>
      <c r="AG105" s="284" t="n">
        <f aca="false">IFERROR(($J105*T105)*$L105, "")</f>
        <v>0</v>
      </c>
      <c r="AH105" s="284" t="n">
        <f aca="false">IFERROR(($J105*U105)*$L105, "")</f>
        <v>0</v>
      </c>
      <c r="AI105" s="284" t="n">
        <f aca="false">IFERROR(($J105*V105)*$L105, "")</f>
        <v>0</v>
      </c>
      <c r="AJ105" s="284" t="n">
        <f aca="false">IFERROR(($J105*W105)*$L105, "")</f>
        <v>0</v>
      </c>
      <c r="AK105" s="284" t="n">
        <f aca="false">IFERROR(($J105*X105)*$L105, "")</f>
        <v>0</v>
      </c>
      <c r="AL105" s="284" t="n">
        <f aca="false">IFERROR(($J105*Y105)*$L105, "")</f>
        <v>0</v>
      </c>
      <c r="AM105" s="285" t="n">
        <f aca="false">IFERROR(($J105*Z105)*$L105, "")</f>
        <v>0</v>
      </c>
      <c r="AN105" s="286" t="n">
        <f aca="false">IFERROR(SUMIF($AB$4:$AM$4, "RDEC", AB105:AM105), "")</f>
        <v>1137.3575</v>
      </c>
      <c r="AO105" s="286" t="n">
        <f aca="false">IFERROR(SUMIF($AB$4:$AM$4, "SME", AB105:AM105), "")</f>
        <v>3412.0725</v>
      </c>
      <c r="AP105" s="286" t="n">
        <f aca="false">IFERROR(SUMIF($AB$4:$AM$4, "De Minimis", AB105:AM105), "")</f>
        <v>0</v>
      </c>
      <c r="AQ105" s="283"/>
      <c r="AR105" s="284" t="n">
        <f aca="false">IFERROR(($J105*O105)*$M105, "")</f>
        <v>0</v>
      </c>
      <c r="AS105" s="284" t="n">
        <f aca="false">IFERROR(($J105*P105)*$M105, "")</f>
        <v>0</v>
      </c>
      <c r="AT105" s="284" t="n">
        <f aca="false">IFERROR(($J105*Q105)*$M105, "")</f>
        <v>0</v>
      </c>
      <c r="AU105" s="284" t="n">
        <f aca="false">IFERROR(($J105*R105)*$M105, "")</f>
        <v>0</v>
      </c>
      <c r="AV105" s="284" t="n">
        <f aca="false">IFERROR(($J105*S105)*$M105, "")</f>
        <v>0</v>
      </c>
      <c r="AW105" s="284" t="n">
        <f aca="false">IFERROR(($J105*T105)*$M105, "")</f>
        <v>0</v>
      </c>
      <c r="AX105" s="284" t="n">
        <f aca="false">IFERROR(($J105*U105)*$M105, "")</f>
        <v>0</v>
      </c>
      <c r="AY105" s="284" t="n">
        <f aca="false">IFERROR(($J105*V105)*$M105, "")</f>
        <v>0</v>
      </c>
      <c r="AZ105" s="284" t="n">
        <f aca="false">IFERROR(($J105*W105)*$M105, "")</f>
        <v>0</v>
      </c>
      <c r="BA105" s="284" t="n">
        <f aca="false">IFERROR(($J105*X105)*$M105, "")</f>
        <v>0</v>
      </c>
      <c r="BB105" s="284" t="n">
        <f aca="false">IFERROR(($J105*Y105)*$M105, "")</f>
        <v>0</v>
      </c>
      <c r="BC105" s="285" t="n">
        <f aca="false">IFERROR(($J105*Z105)*$M105, "")</f>
        <v>0</v>
      </c>
      <c r="BD105" s="286" t="n">
        <f aca="false">IFERROR(SUMIF($AB$4:$AM$4, "RDEC", AR105:BC105), "")</f>
        <v>0</v>
      </c>
      <c r="BE105" s="286" t="n">
        <f aca="false">IFERROR(SUMIF($AB$4:$AM$4, "SME", AR105:BC105), "")</f>
        <v>0</v>
      </c>
      <c r="BF105" s="286" t="n">
        <f aca="false">IFERROR(SUMIF($AB$4:$AM$4, "De Minimis", AR105:BC105), "")</f>
        <v>0</v>
      </c>
      <c r="BG105" s="287"/>
      <c r="BH105" s="288" t="str">
        <f aca="false">IF((SUM(O105:Z105)&gt;1),"ERROR","")</f>
        <v/>
      </c>
      <c r="BI105" s="287"/>
      <c r="BJ105" s="18" t="str">
        <f aca="false">IF(C91&gt;0, C91, "")</f>
        <v/>
      </c>
      <c r="BL105" s="200"/>
      <c r="BM105" s="200"/>
      <c r="BN105" s="200"/>
    </row>
    <row r="106" customFormat="false" ht="15" hidden="false" customHeight="true" outlineLevel="0" collapsed="false">
      <c r="B106" s="275"/>
      <c r="D106" s="276" t="n">
        <f aca="false">D90</f>
        <v>45352</v>
      </c>
      <c r="E106" s="277" t="n">
        <v>3984.2</v>
      </c>
      <c r="F106" s="277" t="n">
        <v>876.52</v>
      </c>
      <c r="G106" s="277" t="n">
        <v>258.07</v>
      </c>
      <c r="H106" s="277" t="n">
        <v>445.17</v>
      </c>
      <c r="I106" s="277" t="n">
        <v>159.37</v>
      </c>
      <c r="J106" s="278" t="n">
        <f aca="false">E106+H106+I106</f>
        <v>4588.74</v>
      </c>
      <c r="K106" s="204"/>
      <c r="L106" s="279" t="n">
        <v>1</v>
      </c>
      <c r="M106" s="280" t="n">
        <f aca="false">1-L106</f>
        <v>0</v>
      </c>
      <c r="N106" s="281"/>
      <c r="O106" s="282" t="n">
        <v>0.25</v>
      </c>
      <c r="P106" s="282" t="n">
        <v>0.25</v>
      </c>
      <c r="Q106" s="282" t="n">
        <v>0.25</v>
      </c>
      <c r="R106" s="282" t="n">
        <v>0.25</v>
      </c>
      <c r="S106" s="282"/>
      <c r="T106" s="282"/>
      <c r="U106" s="282"/>
      <c r="V106" s="282"/>
      <c r="W106" s="282"/>
      <c r="X106" s="282"/>
      <c r="Y106" s="282"/>
      <c r="Z106" s="282"/>
      <c r="AA106" s="283"/>
      <c r="AB106" s="284" t="n">
        <f aca="false">IFERROR(($J106*O106)*$L106, "")</f>
        <v>1147.185</v>
      </c>
      <c r="AC106" s="284" t="n">
        <f aca="false">IFERROR(($J106*P106)*$L106, "")</f>
        <v>1147.185</v>
      </c>
      <c r="AD106" s="284" t="n">
        <f aca="false">IFERROR(($J106*Q106)*$L106, "")</f>
        <v>1147.185</v>
      </c>
      <c r="AE106" s="284" t="n">
        <f aca="false">IFERROR(($J106*R106)*$L106, "")</f>
        <v>1147.185</v>
      </c>
      <c r="AF106" s="284" t="n">
        <f aca="false">IFERROR(($J106*S106)*$L106, "")</f>
        <v>0</v>
      </c>
      <c r="AG106" s="284" t="n">
        <f aca="false">IFERROR(($J106*T106)*$L106, "")</f>
        <v>0</v>
      </c>
      <c r="AH106" s="284" t="n">
        <f aca="false">IFERROR(($J106*U106)*$L106, "")</f>
        <v>0</v>
      </c>
      <c r="AI106" s="284" t="n">
        <f aca="false">IFERROR(($J106*V106)*$L106, "")</f>
        <v>0</v>
      </c>
      <c r="AJ106" s="284" t="n">
        <f aca="false">IFERROR(($J106*W106)*$L106, "")</f>
        <v>0</v>
      </c>
      <c r="AK106" s="284" t="n">
        <f aca="false">IFERROR(($J106*X106)*$L106, "")</f>
        <v>0</v>
      </c>
      <c r="AL106" s="284" t="n">
        <f aca="false">IFERROR(($J106*Y106)*$L106, "")</f>
        <v>0</v>
      </c>
      <c r="AM106" s="285" t="n">
        <f aca="false">IFERROR(($J106*Z106)*$L106, "")</f>
        <v>0</v>
      </c>
      <c r="AN106" s="286" t="n">
        <f aca="false">IFERROR(SUMIF($AB$4:$AM$4, "RDEC", AB106:AM106), "")</f>
        <v>1147.185</v>
      </c>
      <c r="AO106" s="286" t="n">
        <f aca="false">IFERROR(SUMIF($AB$4:$AM$4, "SME", AB106:AM106), "")</f>
        <v>3441.555</v>
      </c>
      <c r="AP106" s="286" t="n">
        <f aca="false">IFERROR(SUMIF($AB$4:$AM$4, "De Minimis", AB106:AM106), "")</f>
        <v>0</v>
      </c>
      <c r="AQ106" s="283"/>
      <c r="AR106" s="284" t="n">
        <f aca="false">IFERROR(($J106*O106)*$M106, "")</f>
        <v>0</v>
      </c>
      <c r="AS106" s="284" t="n">
        <f aca="false">IFERROR(($J106*P106)*$M106, "")</f>
        <v>0</v>
      </c>
      <c r="AT106" s="284" t="n">
        <f aca="false">IFERROR(($J106*Q106)*$M106, "")</f>
        <v>0</v>
      </c>
      <c r="AU106" s="284" t="n">
        <f aca="false">IFERROR(($J106*R106)*$M106, "")</f>
        <v>0</v>
      </c>
      <c r="AV106" s="284" t="n">
        <f aca="false">IFERROR(($J106*S106)*$M106, "")</f>
        <v>0</v>
      </c>
      <c r="AW106" s="284" t="n">
        <f aca="false">IFERROR(($J106*T106)*$M106, "")</f>
        <v>0</v>
      </c>
      <c r="AX106" s="284" t="n">
        <f aca="false">IFERROR(($J106*U106)*$M106, "")</f>
        <v>0</v>
      </c>
      <c r="AY106" s="284" t="n">
        <f aca="false">IFERROR(($J106*V106)*$M106, "")</f>
        <v>0</v>
      </c>
      <c r="AZ106" s="284" t="n">
        <f aca="false">IFERROR(($J106*W106)*$M106, "")</f>
        <v>0</v>
      </c>
      <c r="BA106" s="284" t="n">
        <f aca="false">IFERROR(($J106*X106)*$M106, "")</f>
        <v>0</v>
      </c>
      <c r="BB106" s="284" t="n">
        <f aca="false">IFERROR(($J106*Y106)*$M106, "")</f>
        <v>0</v>
      </c>
      <c r="BC106" s="285" t="n">
        <f aca="false">IFERROR(($J106*Z106)*$M106, "")</f>
        <v>0</v>
      </c>
      <c r="BD106" s="286" t="n">
        <f aca="false">IFERROR(SUMIF($AB$4:$AM$4, "RDEC", AR106:BC106), "")</f>
        <v>0</v>
      </c>
      <c r="BE106" s="286" t="n">
        <f aca="false">IFERROR(SUMIF($AB$4:$AM$4, "SME", AR106:BC106), "")</f>
        <v>0</v>
      </c>
      <c r="BF106" s="286" t="n">
        <f aca="false">IFERROR(SUMIF($AB$4:$AM$4, "De Minimis", AR106:BC106), "")</f>
        <v>0</v>
      </c>
      <c r="BG106" s="287"/>
      <c r="BH106" s="288" t="str">
        <f aca="false">IF((SUM(O106:Z106)&gt;1),"ERROR","")</f>
        <v/>
      </c>
      <c r="BI106" s="287"/>
      <c r="BJ106" s="18" t="str">
        <f aca="false">IF(C92&gt;0, C92, "")</f>
        <v/>
      </c>
      <c r="BL106" s="200"/>
      <c r="BM106" s="200"/>
      <c r="BN106" s="200"/>
    </row>
    <row r="107" customFormat="false" ht="15" hidden="false" customHeight="true" outlineLevel="0" collapsed="false">
      <c r="B107" s="275"/>
      <c r="D107" s="276" t="n">
        <f aca="false">D91</f>
        <v>45383</v>
      </c>
      <c r="E107" s="277" t="n">
        <v>3946.37</v>
      </c>
      <c r="F107" s="277" t="n">
        <v>868.2</v>
      </c>
      <c r="G107" s="277" t="n">
        <v>255.04</v>
      </c>
      <c r="H107" s="277" t="n">
        <v>439.95</v>
      </c>
      <c r="I107" s="277" t="n">
        <v>157.85</v>
      </c>
      <c r="J107" s="278" t="n">
        <f aca="false">E107+H107+I107</f>
        <v>4544.17</v>
      </c>
      <c r="K107" s="204"/>
      <c r="L107" s="279" t="n">
        <v>1</v>
      </c>
      <c r="M107" s="280" t="n">
        <f aca="false">1-L107</f>
        <v>0</v>
      </c>
      <c r="N107" s="281"/>
      <c r="O107" s="282" t="n">
        <v>0.25</v>
      </c>
      <c r="P107" s="282" t="n">
        <v>0.25</v>
      </c>
      <c r="Q107" s="282" t="n">
        <v>0.25</v>
      </c>
      <c r="R107" s="282" t="n">
        <v>0.25</v>
      </c>
      <c r="S107" s="282"/>
      <c r="T107" s="282"/>
      <c r="U107" s="282"/>
      <c r="V107" s="282"/>
      <c r="W107" s="282"/>
      <c r="X107" s="282"/>
      <c r="Y107" s="282"/>
      <c r="Z107" s="282"/>
      <c r="AA107" s="283"/>
      <c r="AB107" s="284" t="n">
        <f aca="false">IFERROR(($J107*O107)*$L107, "")</f>
        <v>1136.0425</v>
      </c>
      <c r="AC107" s="284" t="n">
        <f aca="false">IFERROR(($J107*P107)*$L107, "")</f>
        <v>1136.0425</v>
      </c>
      <c r="AD107" s="284" t="n">
        <f aca="false">IFERROR(($J107*Q107)*$L107, "")</f>
        <v>1136.0425</v>
      </c>
      <c r="AE107" s="284" t="n">
        <f aca="false">IFERROR(($J107*R107)*$L107, "")</f>
        <v>1136.0425</v>
      </c>
      <c r="AF107" s="284" t="n">
        <f aca="false">IFERROR(($J107*S107)*$L107, "")</f>
        <v>0</v>
      </c>
      <c r="AG107" s="284" t="n">
        <f aca="false">IFERROR(($J107*T107)*$L107, "")</f>
        <v>0</v>
      </c>
      <c r="AH107" s="284" t="n">
        <f aca="false">IFERROR(($J107*U107)*$L107, "")</f>
        <v>0</v>
      </c>
      <c r="AI107" s="284" t="n">
        <f aca="false">IFERROR(($J107*V107)*$L107, "")</f>
        <v>0</v>
      </c>
      <c r="AJ107" s="284" t="n">
        <f aca="false">IFERROR(($J107*W107)*$L107, "")</f>
        <v>0</v>
      </c>
      <c r="AK107" s="284" t="n">
        <f aca="false">IFERROR(($J107*X107)*$L107, "")</f>
        <v>0</v>
      </c>
      <c r="AL107" s="284" t="n">
        <f aca="false">IFERROR(($J107*Y107)*$L107, "")</f>
        <v>0</v>
      </c>
      <c r="AM107" s="285" t="n">
        <f aca="false">IFERROR(($J107*Z107)*$L107, "")</f>
        <v>0</v>
      </c>
      <c r="AN107" s="286" t="n">
        <f aca="false">IFERROR(SUMIF($AB$4:$AM$4, "RDEC", AB107:AM107), "")</f>
        <v>1136.0425</v>
      </c>
      <c r="AO107" s="286" t="n">
        <f aca="false">IFERROR(SUMIF($AB$4:$AM$4, "SME", AB107:AM107), "")</f>
        <v>3408.1275</v>
      </c>
      <c r="AP107" s="286" t="n">
        <f aca="false">IFERROR(SUMIF($AB$4:$AM$4, "De Minimis", AB107:AM107), "")</f>
        <v>0</v>
      </c>
      <c r="AQ107" s="283"/>
      <c r="AR107" s="284" t="n">
        <f aca="false">IFERROR(($J107*O107)*$M107, "")</f>
        <v>0</v>
      </c>
      <c r="AS107" s="284" t="n">
        <f aca="false">IFERROR(($J107*P107)*$M107, "")</f>
        <v>0</v>
      </c>
      <c r="AT107" s="284" t="n">
        <f aca="false">IFERROR(($J107*Q107)*$M107, "")</f>
        <v>0</v>
      </c>
      <c r="AU107" s="284" t="n">
        <f aca="false">IFERROR(($J107*R107)*$M107, "")</f>
        <v>0</v>
      </c>
      <c r="AV107" s="284" t="n">
        <f aca="false">IFERROR(($J107*S107)*$M107, "")</f>
        <v>0</v>
      </c>
      <c r="AW107" s="284" t="n">
        <f aca="false">IFERROR(($J107*T107)*$M107, "")</f>
        <v>0</v>
      </c>
      <c r="AX107" s="284" t="n">
        <f aca="false">IFERROR(($J107*U107)*$M107, "")</f>
        <v>0</v>
      </c>
      <c r="AY107" s="284" t="n">
        <f aca="false">IFERROR(($J107*V107)*$M107, "")</f>
        <v>0</v>
      </c>
      <c r="AZ107" s="284" t="n">
        <f aca="false">IFERROR(($J107*W107)*$M107, "")</f>
        <v>0</v>
      </c>
      <c r="BA107" s="284" t="n">
        <f aca="false">IFERROR(($J107*X107)*$M107, "")</f>
        <v>0</v>
      </c>
      <c r="BB107" s="284" t="n">
        <f aca="false">IFERROR(($J107*Y107)*$M107, "")</f>
        <v>0</v>
      </c>
      <c r="BC107" s="285" t="n">
        <f aca="false">IFERROR(($J107*Z107)*$M107, "")</f>
        <v>0</v>
      </c>
      <c r="BD107" s="286" t="n">
        <f aca="false">IFERROR(SUMIF($AB$4:$AM$4, "RDEC", AR107:BC107), "")</f>
        <v>0</v>
      </c>
      <c r="BE107" s="286" t="n">
        <f aca="false">IFERROR(SUMIF($AB$4:$AM$4, "SME", AR107:BC107), "")</f>
        <v>0</v>
      </c>
      <c r="BF107" s="286" t="n">
        <f aca="false">IFERROR(SUMIF($AB$4:$AM$4, "De Minimis", AR107:BC107), "")</f>
        <v>0</v>
      </c>
      <c r="BG107" s="287"/>
      <c r="BH107" s="288" t="str">
        <f aca="false">IF((SUM(O107:Z107)&gt;1),"ERROR","")</f>
        <v/>
      </c>
      <c r="BI107" s="287"/>
      <c r="BJ107" s="18" t="str">
        <f aca="false">IF(C93&gt;0, C93, "")</f>
        <v/>
      </c>
      <c r="BL107" s="200"/>
      <c r="BM107" s="200"/>
      <c r="BN107" s="200"/>
    </row>
    <row r="108" customFormat="false" ht="15" hidden="false" customHeight="true" outlineLevel="0" collapsed="false">
      <c r="B108" s="275"/>
      <c r="D108" s="276" t="n">
        <f aca="false">D92</f>
        <v>45413</v>
      </c>
      <c r="E108" s="277" t="n">
        <v>3930.26</v>
      </c>
      <c r="F108" s="277" t="n">
        <v>864.66</v>
      </c>
      <c r="G108" s="277" t="n">
        <v>253.75</v>
      </c>
      <c r="H108" s="277" t="n">
        <v>437.73</v>
      </c>
      <c r="I108" s="277" t="n">
        <v>157.21</v>
      </c>
      <c r="J108" s="278" t="n">
        <f aca="false">E108+H108+I108</f>
        <v>4525.2</v>
      </c>
      <c r="K108" s="204"/>
      <c r="L108" s="279" t="n">
        <v>1</v>
      </c>
      <c r="M108" s="280" t="n">
        <f aca="false">1-L108</f>
        <v>0</v>
      </c>
      <c r="N108" s="281"/>
      <c r="O108" s="282" t="n">
        <v>0.25</v>
      </c>
      <c r="P108" s="282" t="n">
        <v>0.25</v>
      </c>
      <c r="Q108" s="282" t="n">
        <v>0.25</v>
      </c>
      <c r="R108" s="282" t="n">
        <v>0.25</v>
      </c>
      <c r="S108" s="282"/>
      <c r="T108" s="282"/>
      <c r="U108" s="282"/>
      <c r="V108" s="282"/>
      <c r="W108" s="282"/>
      <c r="X108" s="282"/>
      <c r="Y108" s="282"/>
      <c r="Z108" s="282"/>
      <c r="AA108" s="283"/>
      <c r="AB108" s="284" t="n">
        <f aca="false">IFERROR(($J108*O108)*$L108, "")</f>
        <v>1131.3</v>
      </c>
      <c r="AC108" s="284" t="n">
        <f aca="false">IFERROR(($J108*P108)*$L108, "")</f>
        <v>1131.3</v>
      </c>
      <c r="AD108" s="284" t="n">
        <f aca="false">IFERROR(($J108*Q108)*$L108, "")</f>
        <v>1131.3</v>
      </c>
      <c r="AE108" s="284" t="n">
        <f aca="false">IFERROR(($J108*R108)*$L108, "")</f>
        <v>1131.3</v>
      </c>
      <c r="AF108" s="284" t="n">
        <f aca="false">IFERROR(($J108*S108)*$L108, "")</f>
        <v>0</v>
      </c>
      <c r="AG108" s="284" t="n">
        <f aca="false">IFERROR(($J108*T108)*$L108, "")</f>
        <v>0</v>
      </c>
      <c r="AH108" s="284" t="n">
        <f aca="false">IFERROR(($J108*U108)*$L108, "")</f>
        <v>0</v>
      </c>
      <c r="AI108" s="284" t="n">
        <f aca="false">IFERROR(($J108*V108)*$L108, "")</f>
        <v>0</v>
      </c>
      <c r="AJ108" s="284" t="n">
        <f aca="false">IFERROR(($J108*W108)*$L108, "")</f>
        <v>0</v>
      </c>
      <c r="AK108" s="284" t="n">
        <f aca="false">IFERROR(($J108*X108)*$L108, "")</f>
        <v>0</v>
      </c>
      <c r="AL108" s="284" t="n">
        <f aca="false">IFERROR(($J108*Y108)*$L108, "")</f>
        <v>0</v>
      </c>
      <c r="AM108" s="285" t="n">
        <f aca="false">IFERROR(($J108*Z108)*$L108, "")</f>
        <v>0</v>
      </c>
      <c r="AN108" s="286" t="n">
        <f aca="false">IFERROR(SUMIF($AB$4:$AM$4, "RDEC", AB108:AM108), "")</f>
        <v>1131.3</v>
      </c>
      <c r="AO108" s="286" t="n">
        <f aca="false">IFERROR(SUMIF($AB$4:$AM$4, "SME", AB108:AM108), "")</f>
        <v>3393.9</v>
      </c>
      <c r="AP108" s="286" t="n">
        <f aca="false">IFERROR(SUMIF($AB$4:$AM$4, "De Minimis", AB108:AM108), "")</f>
        <v>0</v>
      </c>
      <c r="AQ108" s="283"/>
      <c r="AR108" s="284" t="n">
        <f aca="false">IFERROR(($J108*O108)*$M108, "")</f>
        <v>0</v>
      </c>
      <c r="AS108" s="284" t="n">
        <f aca="false">IFERROR(($J108*P108)*$M108, "")</f>
        <v>0</v>
      </c>
      <c r="AT108" s="284" t="n">
        <f aca="false">IFERROR(($J108*Q108)*$M108, "")</f>
        <v>0</v>
      </c>
      <c r="AU108" s="284" t="n">
        <f aca="false">IFERROR(($J108*R108)*$M108, "")</f>
        <v>0</v>
      </c>
      <c r="AV108" s="284" t="n">
        <f aca="false">IFERROR(($J108*S108)*$M108, "")</f>
        <v>0</v>
      </c>
      <c r="AW108" s="284" t="n">
        <f aca="false">IFERROR(($J108*T108)*$M108, "")</f>
        <v>0</v>
      </c>
      <c r="AX108" s="284" t="n">
        <f aca="false">IFERROR(($J108*U108)*$M108, "")</f>
        <v>0</v>
      </c>
      <c r="AY108" s="284" t="n">
        <f aca="false">IFERROR(($J108*V108)*$M108, "")</f>
        <v>0</v>
      </c>
      <c r="AZ108" s="284" t="n">
        <f aca="false">IFERROR(($J108*W108)*$M108, "")</f>
        <v>0</v>
      </c>
      <c r="BA108" s="284" t="n">
        <f aca="false">IFERROR(($J108*X108)*$M108, "")</f>
        <v>0</v>
      </c>
      <c r="BB108" s="284" t="n">
        <f aca="false">IFERROR(($J108*Y108)*$M108, "")</f>
        <v>0</v>
      </c>
      <c r="BC108" s="285" t="n">
        <f aca="false">IFERROR(($J108*Z108)*$M108, "")</f>
        <v>0</v>
      </c>
      <c r="BD108" s="286" t="n">
        <f aca="false">IFERROR(SUMIF($AB$4:$AM$4, "RDEC", AR108:BC108), "")</f>
        <v>0</v>
      </c>
      <c r="BE108" s="286" t="n">
        <f aca="false">IFERROR(SUMIF($AB$4:$AM$4, "SME", AR108:BC108), "")</f>
        <v>0</v>
      </c>
      <c r="BF108" s="286" t="n">
        <f aca="false">IFERROR(SUMIF($AB$4:$AM$4, "De Minimis", AR108:BC108), "")</f>
        <v>0</v>
      </c>
      <c r="BG108" s="287"/>
      <c r="BH108" s="288" t="str">
        <f aca="false">IF((SUM(O108:Z108)&gt;1),"ERROR","")</f>
        <v/>
      </c>
      <c r="BI108" s="287"/>
      <c r="BJ108" s="18" t="str">
        <f aca="false">IF(C94&gt;0, C94, "")</f>
        <v/>
      </c>
      <c r="BL108" s="200"/>
      <c r="BM108" s="200"/>
      <c r="BN108" s="200"/>
    </row>
    <row r="109" customFormat="false" ht="15" hidden="false" customHeight="true" outlineLevel="0" collapsed="false">
      <c r="B109" s="275"/>
      <c r="D109" s="276" t="n">
        <f aca="false">D93</f>
        <v>45444</v>
      </c>
      <c r="E109" s="277" t="n">
        <v>3947.56</v>
      </c>
      <c r="F109" s="277" t="n">
        <v>868.46</v>
      </c>
      <c r="G109" s="277" t="n">
        <v>255.14</v>
      </c>
      <c r="H109" s="277" t="n">
        <v>440.11</v>
      </c>
      <c r="I109" s="277" t="n">
        <v>157.9</v>
      </c>
      <c r="J109" s="278" t="n">
        <f aca="false">E109+H109+I109</f>
        <v>4545.57</v>
      </c>
      <c r="K109" s="204"/>
      <c r="L109" s="279" t="n">
        <v>1</v>
      </c>
      <c r="M109" s="280" t="n">
        <f aca="false">1-L109</f>
        <v>0</v>
      </c>
      <c r="N109" s="281"/>
      <c r="O109" s="282" t="n">
        <v>0.25</v>
      </c>
      <c r="P109" s="282" t="n">
        <v>0.25</v>
      </c>
      <c r="Q109" s="282" t="n">
        <v>0.25</v>
      </c>
      <c r="R109" s="282" t="n">
        <v>0.25</v>
      </c>
      <c r="S109" s="282"/>
      <c r="T109" s="282"/>
      <c r="U109" s="282"/>
      <c r="V109" s="282"/>
      <c r="W109" s="282"/>
      <c r="X109" s="282"/>
      <c r="Y109" s="282"/>
      <c r="Z109" s="282"/>
      <c r="AA109" s="283"/>
      <c r="AB109" s="284" t="n">
        <f aca="false">IFERROR(($J109*O109)*$L109, "")</f>
        <v>1136.3925</v>
      </c>
      <c r="AC109" s="284" t="n">
        <f aca="false">IFERROR(($J109*P109)*$L109, "")</f>
        <v>1136.3925</v>
      </c>
      <c r="AD109" s="284" t="n">
        <f aca="false">IFERROR(($J109*Q109)*$L109, "")</f>
        <v>1136.3925</v>
      </c>
      <c r="AE109" s="284" t="n">
        <f aca="false">IFERROR(($J109*R109)*$L109, "")</f>
        <v>1136.3925</v>
      </c>
      <c r="AF109" s="284" t="n">
        <f aca="false">IFERROR(($J109*S109)*$L109, "")</f>
        <v>0</v>
      </c>
      <c r="AG109" s="284" t="n">
        <f aca="false">IFERROR(($J109*T109)*$L109, "")</f>
        <v>0</v>
      </c>
      <c r="AH109" s="284" t="n">
        <f aca="false">IFERROR(($J109*U109)*$L109, "")</f>
        <v>0</v>
      </c>
      <c r="AI109" s="284" t="n">
        <f aca="false">IFERROR(($J109*V109)*$L109, "")</f>
        <v>0</v>
      </c>
      <c r="AJ109" s="284" t="n">
        <f aca="false">IFERROR(($J109*W109)*$L109, "")</f>
        <v>0</v>
      </c>
      <c r="AK109" s="284" t="n">
        <f aca="false">IFERROR(($J109*X109)*$L109, "")</f>
        <v>0</v>
      </c>
      <c r="AL109" s="284" t="n">
        <f aca="false">IFERROR(($J109*Y109)*$L109, "")</f>
        <v>0</v>
      </c>
      <c r="AM109" s="285" t="n">
        <f aca="false">IFERROR(($J109*Z109)*$L109, "")</f>
        <v>0</v>
      </c>
      <c r="AN109" s="286" t="n">
        <f aca="false">IFERROR(SUMIF($AB$4:$AM$4, "RDEC", AB109:AM109), "")</f>
        <v>1136.3925</v>
      </c>
      <c r="AO109" s="286" t="n">
        <f aca="false">IFERROR(SUMIF($AB$4:$AM$4, "SME", AB109:AM109), "")</f>
        <v>3409.1775</v>
      </c>
      <c r="AP109" s="286" t="n">
        <f aca="false">IFERROR(SUMIF($AB$4:$AM$4, "De Minimis", AB109:AM109), "")</f>
        <v>0</v>
      </c>
      <c r="AQ109" s="283"/>
      <c r="AR109" s="284" t="n">
        <f aca="false">IFERROR(($J109*O109)*$M109, "")</f>
        <v>0</v>
      </c>
      <c r="AS109" s="284" t="n">
        <f aca="false">IFERROR(($J109*P109)*$M109, "")</f>
        <v>0</v>
      </c>
      <c r="AT109" s="284" t="n">
        <f aca="false">IFERROR(($J109*Q109)*$M109, "")</f>
        <v>0</v>
      </c>
      <c r="AU109" s="284" t="n">
        <f aca="false">IFERROR(($J109*R109)*$M109, "")</f>
        <v>0</v>
      </c>
      <c r="AV109" s="284" t="n">
        <f aca="false">IFERROR(($J109*S109)*$M109, "")</f>
        <v>0</v>
      </c>
      <c r="AW109" s="284" t="n">
        <f aca="false">IFERROR(($J109*T109)*$M109, "")</f>
        <v>0</v>
      </c>
      <c r="AX109" s="284" t="n">
        <f aca="false">IFERROR(($J109*U109)*$M109, "")</f>
        <v>0</v>
      </c>
      <c r="AY109" s="284" t="n">
        <f aca="false">IFERROR(($J109*V109)*$M109, "")</f>
        <v>0</v>
      </c>
      <c r="AZ109" s="284" t="n">
        <f aca="false">IFERROR(($J109*W109)*$M109, "")</f>
        <v>0</v>
      </c>
      <c r="BA109" s="284" t="n">
        <f aca="false">IFERROR(($J109*X109)*$M109, "")</f>
        <v>0</v>
      </c>
      <c r="BB109" s="284" t="n">
        <f aca="false">IFERROR(($J109*Y109)*$M109, "")</f>
        <v>0</v>
      </c>
      <c r="BC109" s="285" t="n">
        <f aca="false">IFERROR(($J109*Z109)*$M109, "")</f>
        <v>0</v>
      </c>
      <c r="BD109" s="286" t="n">
        <f aca="false">IFERROR(SUMIF($AB$4:$AM$4, "RDEC", AR109:BC109), "")</f>
        <v>0</v>
      </c>
      <c r="BE109" s="286" t="n">
        <f aca="false">IFERROR(SUMIF($AB$4:$AM$4, "SME", AR109:BC109), "")</f>
        <v>0</v>
      </c>
      <c r="BF109" s="286" t="n">
        <f aca="false">IFERROR(SUMIF($AB$4:$AM$4, "De Minimis", AR109:BC109), "")</f>
        <v>0</v>
      </c>
      <c r="BG109" s="287"/>
      <c r="BH109" s="288" t="str">
        <f aca="false">IF((SUM(O109:Z109)&gt;1),"ERROR","")</f>
        <v/>
      </c>
      <c r="BI109" s="287"/>
      <c r="BJ109" s="18" t="str">
        <f aca="false">IF(C95&gt;0, C95, "")</f>
        <v/>
      </c>
      <c r="BL109" s="200"/>
      <c r="BM109" s="200"/>
      <c r="BN109" s="200"/>
    </row>
    <row r="110" customFormat="false" ht="15" hidden="false" customHeight="true" outlineLevel="0" collapsed="false">
      <c r="B110" s="275"/>
      <c r="D110" s="276" t="n">
        <f aca="false">D94</f>
        <v>45474</v>
      </c>
      <c r="E110" s="277" t="n">
        <v>4037.63</v>
      </c>
      <c r="F110" s="277" t="n">
        <v>888.28</v>
      </c>
      <c r="G110" s="277" t="n">
        <v>262.34</v>
      </c>
      <c r="H110" s="277" t="n">
        <v>452.54</v>
      </c>
      <c r="I110" s="277" t="n">
        <v>161.51</v>
      </c>
      <c r="J110" s="278" t="n">
        <f aca="false">E110+H110+I110</f>
        <v>4651.68</v>
      </c>
      <c r="K110" s="204"/>
      <c r="L110" s="279" t="n">
        <v>1</v>
      </c>
      <c r="M110" s="280" t="n">
        <f aca="false">1-L110</f>
        <v>0</v>
      </c>
      <c r="N110" s="281"/>
      <c r="O110" s="282" t="n">
        <v>0.25</v>
      </c>
      <c r="P110" s="282" t="n">
        <v>0.25</v>
      </c>
      <c r="Q110" s="282" t="n">
        <v>0.25</v>
      </c>
      <c r="R110" s="282" t="n">
        <v>0.25</v>
      </c>
      <c r="S110" s="282"/>
      <c r="T110" s="282"/>
      <c r="U110" s="282"/>
      <c r="V110" s="282"/>
      <c r="W110" s="282"/>
      <c r="X110" s="282"/>
      <c r="Y110" s="282"/>
      <c r="Z110" s="282"/>
      <c r="AA110" s="283"/>
      <c r="AB110" s="284" t="n">
        <f aca="false">IFERROR(($J110*O110)*$L110, "")</f>
        <v>1162.92</v>
      </c>
      <c r="AC110" s="284" t="n">
        <f aca="false">IFERROR(($J110*P110)*$L110, "")</f>
        <v>1162.92</v>
      </c>
      <c r="AD110" s="284" t="n">
        <f aca="false">IFERROR(($J110*Q110)*$L110, "")</f>
        <v>1162.92</v>
      </c>
      <c r="AE110" s="284" t="n">
        <f aca="false">IFERROR(($J110*R110)*$L110, "")</f>
        <v>1162.92</v>
      </c>
      <c r="AF110" s="284" t="n">
        <f aca="false">IFERROR(($J110*S110)*$L110, "")</f>
        <v>0</v>
      </c>
      <c r="AG110" s="284" t="n">
        <f aca="false">IFERROR(($J110*T110)*$L110, "")</f>
        <v>0</v>
      </c>
      <c r="AH110" s="284" t="n">
        <f aca="false">IFERROR(($J110*U110)*$L110, "")</f>
        <v>0</v>
      </c>
      <c r="AI110" s="284" t="n">
        <f aca="false">IFERROR(($J110*V110)*$L110, "")</f>
        <v>0</v>
      </c>
      <c r="AJ110" s="284" t="n">
        <f aca="false">IFERROR(($J110*W110)*$L110, "")</f>
        <v>0</v>
      </c>
      <c r="AK110" s="284" t="n">
        <f aca="false">IFERROR(($J110*X110)*$L110, "")</f>
        <v>0</v>
      </c>
      <c r="AL110" s="284" t="n">
        <f aca="false">IFERROR(($J110*Y110)*$L110, "")</f>
        <v>0</v>
      </c>
      <c r="AM110" s="285" t="n">
        <f aca="false">IFERROR(($J110*Z110)*$L110, "")</f>
        <v>0</v>
      </c>
      <c r="AN110" s="286" t="n">
        <f aca="false">IFERROR(SUMIF($AB$4:$AM$4, "RDEC", AB110:AM110), "")</f>
        <v>1162.92</v>
      </c>
      <c r="AO110" s="286" t="n">
        <f aca="false">IFERROR(SUMIF($AB$4:$AM$4, "SME", AB110:AM110), "")</f>
        <v>3488.76</v>
      </c>
      <c r="AP110" s="286" t="n">
        <f aca="false">IFERROR(SUMIF($AB$4:$AM$4, "De Minimis", AB110:AM110), "")</f>
        <v>0</v>
      </c>
      <c r="AQ110" s="283"/>
      <c r="AR110" s="284" t="n">
        <f aca="false">IFERROR(($J110*O110)*$M110, "")</f>
        <v>0</v>
      </c>
      <c r="AS110" s="284" t="n">
        <f aca="false">IFERROR(($J110*P110)*$M110, "")</f>
        <v>0</v>
      </c>
      <c r="AT110" s="284" t="n">
        <f aca="false">IFERROR(($J110*Q110)*$M110, "")</f>
        <v>0</v>
      </c>
      <c r="AU110" s="284" t="n">
        <f aca="false">IFERROR(($J110*R110)*$M110, "")</f>
        <v>0</v>
      </c>
      <c r="AV110" s="284" t="n">
        <f aca="false">IFERROR(($J110*S110)*$M110, "")</f>
        <v>0</v>
      </c>
      <c r="AW110" s="284" t="n">
        <f aca="false">IFERROR(($J110*T110)*$M110, "")</f>
        <v>0</v>
      </c>
      <c r="AX110" s="284" t="n">
        <f aca="false">IFERROR(($J110*U110)*$M110, "")</f>
        <v>0</v>
      </c>
      <c r="AY110" s="284" t="n">
        <f aca="false">IFERROR(($J110*V110)*$M110, "")</f>
        <v>0</v>
      </c>
      <c r="AZ110" s="284" t="n">
        <f aca="false">IFERROR(($J110*W110)*$M110, "")</f>
        <v>0</v>
      </c>
      <c r="BA110" s="284" t="n">
        <f aca="false">IFERROR(($J110*X110)*$M110, "")</f>
        <v>0</v>
      </c>
      <c r="BB110" s="284" t="n">
        <f aca="false">IFERROR(($J110*Y110)*$M110, "")</f>
        <v>0</v>
      </c>
      <c r="BC110" s="285" t="n">
        <f aca="false">IFERROR(($J110*Z110)*$M110, "")</f>
        <v>0</v>
      </c>
      <c r="BD110" s="286" t="n">
        <f aca="false">IFERROR(SUMIF($AB$4:$AM$4, "RDEC", AR110:BC110), "")</f>
        <v>0</v>
      </c>
      <c r="BE110" s="286" t="n">
        <f aca="false">IFERROR(SUMIF($AB$4:$AM$4, "SME", AR110:BC110), "")</f>
        <v>0</v>
      </c>
      <c r="BF110" s="286" t="n">
        <f aca="false">IFERROR(SUMIF($AB$4:$AM$4, "De Minimis", AR110:BC110), "")</f>
        <v>0</v>
      </c>
      <c r="BG110" s="287"/>
      <c r="BH110" s="288" t="str">
        <f aca="false">IF((SUM(O110:Z110)&gt;1),"ERROR","")</f>
        <v/>
      </c>
      <c r="BI110" s="287"/>
      <c r="BJ110" s="18" t="str">
        <f aca="false">IF(C96&gt;0, C96, "")</f>
        <v/>
      </c>
      <c r="BL110" s="200"/>
      <c r="BM110" s="200"/>
      <c r="BN110" s="200"/>
    </row>
    <row r="111" customFormat="false" ht="15" hidden="false" customHeight="true" outlineLevel="0" collapsed="false">
      <c r="B111" s="275"/>
      <c r="D111" s="276" t="n">
        <f aca="false">D95</f>
        <v>45505</v>
      </c>
      <c r="E111" s="277" t="n">
        <v>4031.63</v>
      </c>
      <c r="F111" s="277" t="n">
        <v>886.96</v>
      </c>
      <c r="G111" s="277" t="n">
        <v>261.86</v>
      </c>
      <c r="H111" s="277" t="n">
        <v>451.72</v>
      </c>
      <c r="I111" s="277" t="n">
        <v>161.27</v>
      </c>
      <c r="J111" s="278" t="n">
        <f aca="false">E111+H111+I111</f>
        <v>4644.62</v>
      </c>
      <c r="K111" s="204"/>
      <c r="L111" s="279" t="n">
        <v>1</v>
      </c>
      <c r="M111" s="280" t="n">
        <f aca="false">1-L111</f>
        <v>0</v>
      </c>
      <c r="N111" s="281"/>
      <c r="O111" s="282" t="n">
        <v>0.25</v>
      </c>
      <c r="P111" s="282" t="n">
        <v>0.25</v>
      </c>
      <c r="Q111" s="282" t="n">
        <v>0.25</v>
      </c>
      <c r="R111" s="282" t="n">
        <v>0.25</v>
      </c>
      <c r="S111" s="282"/>
      <c r="T111" s="282"/>
      <c r="U111" s="282"/>
      <c r="V111" s="282"/>
      <c r="W111" s="282"/>
      <c r="X111" s="282"/>
      <c r="Y111" s="282"/>
      <c r="Z111" s="282"/>
      <c r="AA111" s="283"/>
      <c r="AB111" s="284" t="n">
        <f aca="false">IFERROR(($J111*O111)*$L111, "")</f>
        <v>1161.155</v>
      </c>
      <c r="AC111" s="284" t="n">
        <f aca="false">IFERROR(($J111*P111)*$L111, "")</f>
        <v>1161.155</v>
      </c>
      <c r="AD111" s="284" t="n">
        <f aca="false">IFERROR(($J111*Q111)*$L111, "")</f>
        <v>1161.155</v>
      </c>
      <c r="AE111" s="284" t="n">
        <f aca="false">IFERROR(($J111*R111)*$L111, "")</f>
        <v>1161.155</v>
      </c>
      <c r="AF111" s="284" t="n">
        <f aca="false">IFERROR(($J111*S111)*$L111, "")</f>
        <v>0</v>
      </c>
      <c r="AG111" s="284" t="n">
        <f aca="false">IFERROR(($J111*T111)*$L111, "")</f>
        <v>0</v>
      </c>
      <c r="AH111" s="284" t="n">
        <f aca="false">IFERROR(($J111*U111)*$L111, "")</f>
        <v>0</v>
      </c>
      <c r="AI111" s="284" t="n">
        <f aca="false">IFERROR(($J111*V111)*$L111, "")</f>
        <v>0</v>
      </c>
      <c r="AJ111" s="284" t="n">
        <f aca="false">IFERROR(($J111*W111)*$L111, "")</f>
        <v>0</v>
      </c>
      <c r="AK111" s="284" t="n">
        <f aca="false">IFERROR(($J111*X111)*$L111, "")</f>
        <v>0</v>
      </c>
      <c r="AL111" s="284" t="n">
        <f aca="false">IFERROR(($J111*Y111)*$L111, "")</f>
        <v>0</v>
      </c>
      <c r="AM111" s="285" t="n">
        <f aca="false">IFERROR(($J111*Z111)*$L111, "")</f>
        <v>0</v>
      </c>
      <c r="AN111" s="286" t="n">
        <f aca="false">IFERROR(SUMIF($AB$4:$AM$4, "RDEC", AB111:AM111), "")</f>
        <v>1161.155</v>
      </c>
      <c r="AO111" s="286" t="n">
        <f aca="false">IFERROR(SUMIF($AB$4:$AM$4, "SME", AB111:AM111), "")</f>
        <v>3483.465</v>
      </c>
      <c r="AP111" s="286" t="n">
        <f aca="false">IFERROR(SUMIF($AB$4:$AM$4, "De Minimis", AB111:AM111), "")</f>
        <v>0</v>
      </c>
      <c r="AQ111" s="283"/>
      <c r="AR111" s="284" t="n">
        <f aca="false">IFERROR(($J111*O111)*$M111, "")</f>
        <v>0</v>
      </c>
      <c r="AS111" s="284" t="n">
        <f aca="false">IFERROR(($J111*P111)*$M111, "")</f>
        <v>0</v>
      </c>
      <c r="AT111" s="284" t="n">
        <f aca="false">IFERROR(($J111*Q111)*$M111, "")</f>
        <v>0</v>
      </c>
      <c r="AU111" s="284" t="n">
        <f aca="false">IFERROR(($J111*R111)*$M111, "")</f>
        <v>0</v>
      </c>
      <c r="AV111" s="284" t="n">
        <f aca="false">IFERROR(($J111*S111)*$M111, "")</f>
        <v>0</v>
      </c>
      <c r="AW111" s="284" t="n">
        <f aca="false">IFERROR(($J111*T111)*$M111, "")</f>
        <v>0</v>
      </c>
      <c r="AX111" s="284" t="n">
        <f aca="false">IFERROR(($J111*U111)*$M111, "")</f>
        <v>0</v>
      </c>
      <c r="AY111" s="284" t="n">
        <f aca="false">IFERROR(($J111*V111)*$M111, "")</f>
        <v>0</v>
      </c>
      <c r="AZ111" s="284" t="n">
        <f aca="false">IFERROR(($J111*W111)*$M111, "")</f>
        <v>0</v>
      </c>
      <c r="BA111" s="284" t="n">
        <f aca="false">IFERROR(($J111*X111)*$M111, "")</f>
        <v>0</v>
      </c>
      <c r="BB111" s="284" t="n">
        <f aca="false">IFERROR(($J111*Y111)*$M111, "")</f>
        <v>0</v>
      </c>
      <c r="BC111" s="285" t="n">
        <f aca="false">IFERROR(($J111*Z111)*$M111, "")</f>
        <v>0</v>
      </c>
      <c r="BD111" s="286" t="n">
        <f aca="false">IFERROR(SUMIF($AB$4:$AM$4, "RDEC", AR111:BC111), "")</f>
        <v>0</v>
      </c>
      <c r="BE111" s="286" t="n">
        <f aca="false">IFERROR(SUMIF($AB$4:$AM$4, "SME", AR111:BC111), "")</f>
        <v>0</v>
      </c>
      <c r="BF111" s="286" t="n">
        <f aca="false">IFERROR(SUMIF($AB$4:$AM$4, "De Minimis", AR111:BC111), "")</f>
        <v>0</v>
      </c>
      <c r="BG111" s="287"/>
      <c r="BH111" s="288" t="str">
        <f aca="false">IF((SUM(O111:Z111)&gt;1),"ERROR","")</f>
        <v/>
      </c>
      <c r="BI111" s="287"/>
      <c r="BJ111" s="18" t="str">
        <f aca="false">IF(C97&gt;0, C97, "")</f>
        <v/>
      </c>
      <c r="BL111" s="200"/>
      <c r="BM111" s="200"/>
      <c r="BN111" s="200"/>
    </row>
    <row r="112" customFormat="false" ht="15" hidden="false" customHeight="true" outlineLevel="0" collapsed="false">
      <c r="B112" s="275"/>
      <c r="D112" s="276" t="n">
        <f aca="false">D96</f>
        <v>45536</v>
      </c>
      <c r="E112" s="277" t="n">
        <v>3941.01</v>
      </c>
      <c r="F112" s="277" t="n">
        <v>867.02</v>
      </c>
      <c r="G112" s="277" t="n">
        <v>254.61</v>
      </c>
      <c r="H112" s="277" t="n">
        <v>439.21</v>
      </c>
      <c r="I112" s="277" t="n">
        <v>157.64</v>
      </c>
      <c r="J112" s="278" t="n">
        <f aca="false">E112+H112+I112</f>
        <v>4537.86</v>
      </c>
      <c r="K112" s="204"/>
      <c r="L112" s="279" t="n">
        <v>1</v>
      </c>
      <c r="M112" s="280" t="n">
        <f aca="false">1-L112</f>
        <v>0</v>
      </c>
      <c r="N112" s="281"/>
      <c r="O112" s="282" t="n">
        <v>0.25</v>
      </c>
      <c r="P112" s="282" t="n">
        <v>0.25</v>
      </c>
      <c r="Q112" s="282" t="n">
        <v>0.25</v>
      </c>
      <c r="R112" s="282" t="n">
        <v>0.25</v>
      </c>
      <c r="S112" s="282"/>
      <c r="T112" s="282"/>
      <c r="U112" s="282"/>
      <c r="V112" s="282"/>
      <c r="W112" s="282"/>
      <c r="X112" s="282"/>
      <c r="Y112" s="282"/>
      <c r="Z112" s="282"/>
      <c r="AA112" s="283"/>
      <c r="AB112" s="284" t="n">
        <f aca="false">IFERROR(($J112*O112)*$L112, "")</f>
        <v>1134.465</v>
      </c>
      <c r="AC112" s="284" t="n">
        <f aca="false">IFERROR(($J112*P112)*$L112, "")</f>
        <v>1134.465</v>
      </c>
      <c r="AD112" s="284" t="n">
        <f aca="false">IFERROR(($J112*Q112)*$L112, "")</f>
        <v>1134.465</v>
      </c>
      <c r="AE112" s="284" t="n">
        <f aca="false">IFERROR(($J112*R112)*$L112, "")</f>
        <v>1134.465</v>
      </c>
      <c r="AF112" s="284" t="n">
        <f aca="false">IFERROR(($J112*S112)*$L112, "")</f>
        <v>0</v>
      </c>
      <c r="AG112" s="284" t="n">
        <f aca="false">IFERROR(($J112*T112)*$L112, "")</f>
        <v>0</v>
      </c>
      <c r="AH112" s="284" t="n">
        <f aca="false">IFERROR(($J112*U112)*$L112, "")</f>
        <v>0</v>
      </c>
      <c r="AI112" s="284" t="n">
        <f aca="false">IFERROR(($J112*V112)*$L112, "")</f>
        <v>0</v>
      </c>
      <c r="AJ112" s="284" t="n">
        <f aca="false">IFERROR(($J112*W112)*$L112, "")</f>
        <v>0</v>
      </c>
      <c r="AK112" s="284" t="n">
        <f aca="false">IFERROR(($J112*X112)*$L112, "")</f>
        <v>0</v>
      </c>
      <c r="AL112" s="284" t="n">
        <f aca="false">IFERROR(($J112*Y112)*$L112, "")</f>
        <v>0</v>
      </c>
      <c r="AM112" s="285" t="n">
        <f aca="false">IFERROR(($J112*Z112)*$L112, "")</f>
        <v>0</v>
      </c>
      <c r="AN112" s="286" t="n">
        <f aca="false">IFERROR(SUMIF($AB$4:$AM$4, "RDEC", AB112:AM112), "")</f>
        <v>1134.465</v>
      </c>
      <c r="AO112" s="286" t="n">
        <f aca="false">IFERROR(SUMIF($AB$4:$AM$4, "SME", AB112:AM112), "")</f>
        <v>3403.395</v>
      </c>
      <c r="AP112" s="286" t="n">
        <f aca="false">IFERROR(SUMIF($AB$4:$AM$4, "De Minimis", AB112:AM112), "")</f>
        <v>0</v>
      </c>
      <c r="AQ112" s="283"/>
      <c r="AR112" s="284" t="n">
        <f aca="false">IFERROR(($J112*O112)*$M112, "")</f>
        <v>0</v>
      </c>
      <c r="AS112" s="284" t="n">
        <f aca="false">IFERROR(($J112*P112)*$M112, "")</f>
        <v>0</v>
      </c>
      <c r="AT112" s="284" t="n">
        <f aca="false">IFERROR(($J112*Q112)*$M112, "")</f>
        <v>0</v>
      </c>
      <c r="AU112" s="284" t="n">
        <f aca="false">IFERROR(($J112*R112)*$M112, "")</f>
        <v>0</v>
      </c>
      <c r="AV112" s="284" t="n">
        <f aca="false">IFERROR(($J112*S112)*$M112, "")</f>
        <v>0</v>
      </c>
      <c r="AW112" s="284" t="n">
        <f aca="false">IFERROR(($J112*T112)*$M112, "")</f>
        <v>0</v>
      </c>
      <c r="AX112" s="284" t="n">
        <f aca="false">IFERROR(($J112*U112)*$M112, "")</f>
        <v>0</v>
      </c>
      <c r="AY112" s="284" t="n">
        <f aca="false">IFERROR(($J112*V112)*$M112, "")</f>
        <v>0</v>
      </c>
      <c r="AZ112" s="284" t="n">
        <f aca="false">IFERROR(($J112*W112)*$M112, "")</f>
        <v>0</v>
      </c>
      <c r="BA112" s="284" t="n">
        <f aca="false">IFERROR(($J112*X112)*$M112, "")</f>
        <v>0</v>
      </c>
      <c r="BB112" s="284" t="n">
        <f aca="false">IFERROR(($J112*Y112)*$M112, "")</f>
        <v>0</v>
      </c>
      <c r="BC112" s="285" t="n">
        <f aca="false">IFERROR(($J112*Z112)*$M112, "")</f>
        <v>0</v>
      </c>
      <c r="BD112" s="286" t="n">
        <f aca="false">IFERROR(SUMIF($AB$4:$AM$4, "RDEC", AR112:BC112), "")</f>
        <v>0</v>
      </c>
      <c r="BE112" s="286" t="n">
        <f aca="false">IFERROR(SUMIF($AB$4:$AM$4, "SME", AR112:BC112), "")</f>
        <v>0</v>
      </c>
      <c r="BF112" s="286" t="n">
        <f aca="false">IFERROR(SUMIF($AB$4:$AM$4, "De Minimis", AR112:BC112), "")</f>
        <v>0</v>
      </c>
      <c r="BG112" s="287"/>
      <c r="BH112" s="288" t="str">
        <f aca="false">IF((SUM(O112:Z112)&gt;1),"ERROR","")</f>
        <v/>
      </c>
      <c r="BI112" s="287"/>
      <c r="BJ112" s="18" t="str">
        <f aca="false">IF(C98&gt;0, C98, "")</f>
        <v/>
      </c>
      <c r="BL112" s="200"/>
      <c r="BM112" s="200"/>
      <c r="BN112" s="200"/>
    </row>
    <row r="113" customFormat="false" ht="15" hidden="false" customHeight="true" outlineLevel="0" collapsed="false">
      <c r="B113" s="275"/>
      <c r="D113" s="276" t="n">
        <f aca="false">D97</f>
        <v>45566</v>
      </c>
      <c r="E113" s="277" t="n">
        <v>4020.78</v>
      </c>
      <c r="F113" s="277" t="n">
        <v>884.57</v>
      </c>
      <c r="G113" s="277" t="n">
        <v>261</v>
      </c>
      <c r="H113" s="277" t="n">
        <v>450.22</v>
      </c>
      <c r="I113" s="277" t="n">
        <v>160.83</v>
      </c>
      <c r="J113" s="278" t="n">
        <f aca="false">E113+H113+I113</f>
        <v>4631.83</v>
      </c>
      <c r="K113" s="204"/>
      <c r="L113" s="279" t="n">
        <v>1</v>
      </c>
      <c r="M113" s="280" t="n">
        <f aca="false">1-L113</f>
        <v>0</v>
      </c>
      <c r="N113" s="281"/>
      <c r="O113" s="282" t="n">
        <v>0.25</v>
      </c>
      <c r="P113" s="282" t="n">
        <v>0.25</v>
      </c>
      <c r="Q113" s="282" t="n">
        <v>0.25</v>
      </c>
      <c r="R113" s="282" t="n">
        <v>0.25</v>
      </c>
      <c r="S113" s="282"/>
      <c r="T113" s="282"/>
      <c r="U113" s="282"/>
      <c r="V113" s="282"/>
      <c r="W113" s="282"/>
      <c r="X113" s="282"/>
      <c r="Y113" s="282"/>
      <c r="Z113" s="282"/>
      <c r="AA113" s="283"/>
      <c r="AB113" s="284" t="n">
        <f aca="false">IFERROR(($J113*O113)*$L113, "")</f>
        <v>1157.9575</v>
      </c>
      <c r="AC113" s="284" t="n">
        <f aca="false">IFERROR(($J113*P113)*$L113, "")</f>
        <v>1157.9575</v>
      </c>
      <c r="AD113" s="284" t="n">
        <f aca="false">IFERROR(($J113*Q113)*$L113, "")</f>
        <v>1157.9575</v>
      </c>
      <c r="AE113" s="284" t="n">
        <f aca="false">IFERROR(($J113*R113)*$L113, "")</f>
        <v>1157.9575</v>
      </c>
      <c r="AF113" s="284" t="n">
        <f aca="false">IFERROR(($J113*S113)*$L113, "")</f>
        <v>0</v>
      </c>
      <c r="AG113" s="284" t="n">
        <f aca="false">IFERROR(($J113*T113)*$L113, "")</f>
        <v>0</v>
      </c>
      <c r="AH113" s="284" t="n">
        <f aca="false">IFERROR(($J113*U113)*$L113, "")</f>
        <v>0</v>
      </c>
      <c r="AI113" s="284" t="n">
        <f aca="false">IFERROR(($J113*V113)*$L113, "")</f>
        <v>0</v>
      </c>
      <c r="AJ113" s="284" t="n">
        <f aca="false">IFERROR(($J113*W113)*$L113, "")</f>
        <v>0</v>
      </c>
      <c r="AK113" s="284" t="n">
        <f aca="false">IFERROR(($J113*X113)*$L113, "")</f>
        <v>0</v>
      </c>
      <c r="AL113" s="284" t="n">
        <f aca="false">IFERROR(($J113*Y113)*$L113, "")</f>
        <v>0</v>
      </c>
      <c r="AM113" s="285" t="n">
        <f aca="false">IFERROR(($J113*Z113)*$L113, "")</f>
        <v>0</v>
      </c>
      <c r="AN113" s="286" t="n">
        <f aca="false">IFERROR(SUMIF($AB$4:$AM$4, "RDEC", AB113:AM113), "")</f>
        <v>1157.9575</v>
      </c>
      <c r="AO113" s="286" t="n">
        <f aca="false">IFERROR(SUMIF($AB$4:$AM$4, "SME", AB113:AM113), "")</f>
        <v>3473.8725</v>
      </c>
      <c r="AP113" s="286" t="n">
        <f aca="false">IFERROR(SUMIF($AB$4:$AM$4, "De Minimis", AB113:AM113), "")</f>
        <v>0</v>
      </c>
      <c r="AQ113" s="283"/>
      <c r="AR113" s="284" t="n">
        <f aca="false">IFERROR(($J113*O113)*$M113, "")</f>
        <v>0</v>
      </c>
      <c r="AS113" s="284" t="n">
        <f aca="false">IFERROR(($J113*P113)*$M113, "")</f>
        <v>0</v>
      </c>
      <c r="AT113" s="284" t="n">
        <f aca="false">IFERROR(($J113*Q113)*$M113, "")</f>
        <v>0</v>
      </c>
      <c r="AU113" s="284" t="n">
        <f aca="false">IFERROR(($J113*R113)*$M113, "")</f>
        <v>0</v>
      </c>
      <c r="AV113" s="284" t="n">
        <f aca="false">IFERROR(($J113*S113)*$M113, "")</f>
        <v>0</v>
      </c>
      <c r="AW113" s="284" t="n">
        <f aca="false">IFERROR(($J113*T113)*$M113, "")</f>
        <v>0</v>
      </c>
      <c r="AX113" s="284" t="n">
        <f aca="false">IFERROR(($J113*U113)*$M113, "")</f>
        <v>0</v>
      </c>
      <c r="AY113" s="284" t="n">
        <f aca="false">IFERROR(($J113*V113)*$M113, "")</f>
        <v>0</v>
      </c>
      <c r="AZ113" s="284" t="n">
        <f aca="false">IFERROR(($J113*W113)*$M113, "")</f>
        <v>0</v>
      </c>
      <c r="BA113" s="284" t="n">
        <f aca="false">IFERROR(($J113*X113)*$M113, "")</f>
        <v>0</v>
      </c>
      <c r="BB113" s="284" t="n">
        <f aca="false">IFERROR(($J113*Y113)*$M113, "")</f>
        <v>0</v>
      </c>
      <c r="BC113" s="285" t="n">
        <f aca="false">IFERROR(($J113*Z113)*$M113, "")</f>
        <v>0</v>
      </c>
      <c r="BD113" s="286" t="n">
        <f aca="false">IFERROR(SUMIF($AB$4:$AM$4, "RDEC", AR113:BC113), "")</f>
        <v>0</v>
      </c>
      <c r="BE113" s="286" t="n">
        <f aca="false">IFERROR(SUMIF($AB$4:$AM$4, "SME", AR113:BC113), "")</f>
        <v>0</v>
      </c>
      <c r="BF113" s="286" t="n">
        <f aca="false">IFERROR(SUMIF($AB$4:$AM$4, "De Minimis", AR113:BC113), "")</f>
        <v>0</v>
      </c>
      <c r="BG113" s="287"/>
      <c r="BH113" s="288" t="str">
        <f aca="false">IF((SUM(O113:Z113)&gt;1),"ERROR","")</f>
        <v/>
      </c>
      <c r="BI113" s="287"/>
      <c r="BJ113" s="18" t="str">
        <f aca="false">IF(C99&gt;0, C99, "")</f>
        <v/>
      </c>
      <c r="BL113" s="200"/>
      <c r="BM113" s="200"/>
      <c r="BN113" s="200"/>
    </row>
    <row r="114" customFormat="false" ht="15" hidden="false" customHeight="true" outlineLevel="0" collapsed="false">
      <c r="B114" s="275"/>
      <c r="D114" s="276" t="n">
        <f aca="false">D98</f>
        <v>45597</v>
      </c>
      <c r="E114" s="277" t="n">
        <v>3991.17</v>
      </c>
      <c r="F114" s="277" t="n">
        <v>878.06</v>
      </c>
      <c r="G114" s="277" t="n">
        <v>258.63</v>
      </c>
      <c r="H114" s="277" t="n">
        <v>446.13</v>
      </c>
      <c r="I114" s="277" t="n">
        <v>159.65</v>
      </c>
      <c r="J114" s="278" t="n">
        <f aca="false">E114+H114+I114</f>
        <v>4596.95</v>
      </c>
      <c r="K114" s="204"/>
      <c r="L114" s="279" t="n">
        <v>1</v>
      </c>
      <c r="M114" s="280" t="n">
        <f aca="false">1-L114</f>
        <v>0</v>
      </c>
      <c r="N114" s="281"/>
      <c r="O114" s="282" t="n">
        <v>0.25</v>
      </c>
      <c r="P114" s="282" t="n">
        <v>0.25</v>
      </c>
      <c r="Q114" s="282" t="n">
        <v>0.25</v>
      </c>
      <c r="R114" s="282" t="n">
        <v>0.25</v>
      </c>
      <c r="S114" s="282"/>
      <c r="T114" s="282"/>
      <c r="U114" s="282"/>
      <c r="V114" s="282"/>
      <c r="W114" s="282"/>
      <c r="X114" s="282"/>
      <c r="Y114" s="282"/>
      <c r="Z114" s="282"/>
      <c r="AA114" s="283"/>
      <c r="AB114" s="284" t="n">
        <f aca="false">IFERROR(($J114*O114)*$L114, "")</f>
        <v>1149.2375</v>
      </c>
      <c r="AC114" s="284" t="n">
        <f aca="false">IFERROR(($J114*P114)*$L114, "")</f>
        <v>1149.2375</v>
      </c>
      <c r="AD114" s="284" t="n">
        <f aca="false">IFERROR(($J114*Q114)*$L114, "")</f>
        <v>1149.2375</v>
      </c>
      <c r="AE114" s="284" t="n">
        <f aca="false">IFERROR(($J114*R114)*$L114, "")</f>
        <v>1149.2375</v>
      </c>
      <c r="AF114" s="284" t="n">
        <f aca="false">IFERROR(($J114*S114)*$L114, "")</f>
        <v>0</v>
      </c>
      <c r="AG114" s="284" t="n">
        <f aca="false">IFERROR(($J114*T114)*$L114, "")</f>
        <v>0</v>
      </c>
      <c r="AH114" s="284" t="n">
        <f aca="false">IFERROR(($J114*U114)*$L114, "")</f>
        <v>0</v>
      </c>
      <c r="AI114" s="284" t="n">
        <f aca="false">IFERROR(($J114*V114)*$L114, "")</f>
        <v>0</v>
      </c>
      <c r="AJ114" s="284" t="n">
        <f aca="false">IFERROR(($J114*W114)*$L114, "")</f>
        <v>0</v>
      </c>
      <c r="AK114" s="284" t="n">
        <f aca="false">IFERROR(($J114*X114)*$L114, "")</f>
        <v>0</v>
      </c>
      <c r="AL114" s="284" t="n">
        <f aca="false">IFERROR(($J114*Y114)*$L114, "")</f>
        <v>0</v>
      </c>
      <c r="AM114" s="285" t="n">
        <f aca="false">IFERROR(($J114*Z114)*$L114, "")</f>
        <v>0</v>
      </c>
      <c r="AN114" s="286" t="n">
        <f aca="false">IFERROR(SUMIF($AB$4:$AM$4, "RDEC", AB114:AM114), "")</f>
        <v>1149.2375</v>
      </c>
      <c r="AO114" s="286" t="n">
        <f aca="false">IFERROR(SUMIF($AB$4:$AM$4, "SME", AB114:AM114), "")</f>
        <v>3447.7125</v>
      </c>
      <c r="AP114" s="286" t="n">
        <f aca="false">IFERROR(SUMIF($AB$4:$AM$4, "De Minimis", AB114:AM114), "")</f>
        <v>0</v>
      </c>
      <c r="AQ114" s="283"/>
      <c r="AR114" s="284" t="n">
        <f aca="false">IFERROR(($J114*O114)*$M114, "")</f>
        <v>0</v>
      </c>
      <c r="AS114" s="284" t="n">
        <f aca="false">IFERROR(($J114*P114)*$M114, "")</f>
        <v>0</v>
      </c>
      <c r="AT114" s="284" t="n">
        <f aca="false">IFERROR(($J114*Q114)*$M114, "")</f>
        <v>0</v>
      </c>
      <c r="AU114" s="284" t="n">
        <f aca="false">IFERROR(($J114*R114)*$M114, "")</f>
        <v>0</v>
      </c>
      <c r="AV114" s="284" t="n">
        <f aca="false">IFERROR(($J114*S114)*$M114, "")</f>
        <v>0</v>
      </c>
      <c r="AW114" s="284" t="n">
        <f aca="false">IFERROR(($J114*T114)*$M114, "")</f>
        <v>0</v>
      </c>
      <c r="AX114" s="284" t="n">
        <f aca="false">IFERROR(($J114*U114)*$M114, "")</f>
        <v>0</v>
      </c>
      <c r="AY114" s="284" t="n">
        <f aca="false">IFERROR(($J114*V114)*$M114, "")</f>
        <v>0</v>
      </c>
      <c r="AZ114" s="284" t="n">
        <f aca="false">IFERROR(($J114*W114)*$M114, "")</f>
        <v>0</v>
      </c>
      <c r="BA114" s="284" t="n">
        <f aca="false">IFERROR(($J114*X114)*$M114, "")</f>
        <v>0</v>
      </c>
      <c r="BB114" s="284" t="n">
        <f aca="false">IFERROR(($J114*Y114)*$M114, "")</f>
        <v>0</v>
      </c>
      <c r="BC114" s="285" t="n">
        <f aca="false">IFERROR(($J114*Z114)*$M114, "")</f>
        <v>0</v>
      </c>
      <c r="BD114" s="286" t="n">
        <f aca="false">IFERROR(SUMIF($AB$4:$AM$4, "RDEC", AR114:BC114), "")</f>
        <v>0</v>
      </c>
      <c r="BE114" s="286" t="n">
        <f aca="false">IFERROR(SUMIF($AB$4:$AM$4, "SME", AR114:BC114), "")</f>
        <v>0</v>
      </c>
      <c r="BF114" s="286" t="n">
        <f aca="false">IFERROR(SUMIF($AB$4:$AM$4, "De Minimis", AR114:BC114), "")</f>
        <v>0</v>
      </c>
      <c r="BG114" s="287"/>
      <c r="BH114" s="288" t="str">
        <f aca="false">IF((SUM(O114:Z114)&gt;1),"ERROR","")</f>
        <v/>
      </c>
      <c r="BI114" s="287"/>
      <c r="BJ114" s="18" t="str">
        <f aca="false">IF(C100&gt;0, C100, "")</f>
        <v/>
      </c>
      <c r="BL114" s="200"/>
      <c r="BM114" s="200"/>
      <c r="BN114" s="200"/>
    </row>
    <row r="115" customFormat="false" ht="15" hidden="false" customHeight="true" outlineLevel="0" collapsed="false">
      <c r="B115" s="275"/>
      <c r="D115" s="276" t="n">
        <f aca="false">D99</f>
        <v>45627</v>
      </c>
      <c r="E115" s="277" t="n">
        <v>4006.98</v>
      </c>
      <c r="F115" s="277" t="n">
        <v>881.54</v>
      </c>
      <c r="G115" s="277" t="n">
        <v>259.89</v>
      </c>
      <c r="H115" s="277" t="n">
        <v>448.31</v>
      </c>
      <c r="I115" s="277" t="n">
        <v>160.28</v>
      </c>
      <c r="J115" s="278" t="n">
        <f aca="false">E115+H115+I115</f>
        <v>4615.57</v>
      </c>
      <c r="K115" s="204"/>
      <c r="L115" s="289" t="n">
        <v>1</v>
      </c>
      <c r="M115" s="290" t="n">
        <f aca="false">1-L115</f>
        <v>0</v>
      </c>
      <c r="N115" s="281"/>
      <c r="O115" s="291" t="n">
        <v>0.25</v>
      </c>
      <c r="P115" s="291" t="n">
        <v>0.25</v>
      </c>
      <c r="Q115" s="291" t="n">
        <v>0.25</v>
      </c>
      <c r="R115" s="291" t="n">
        <v>0.25</v>
      </c>
      <c r="S115" s="291"/>
      <c r="T115" s="291"/>
      <c r="U115" s="291"/>
      <c r="V115" s="291"/>
      <c r="W115" s="291"/>
      <c r="X115" s="291"/>
      <c r="Y115" s="291"/>
      <c r="Z115" s="291"/>
      <c r="AA115" s="283"/>
      <c r="AB115" s="292" t="n">
        <f aca="false">IFERROR(($J115*O115)*$L115, "")</f>
        <v>1153.8925</v>
      </c>
      <c r="AC115" s="292" t="n">
        <f aca="false">IFERROR(($J115*P115)*$L115, "")</f>
        <v>1153.8925</v>
      </c>
      <c r="AD115" s="292" t="n">
        <f aca="false">IFERROR(($J115*Q115)*$L115, "")</f>
        <v>1153.8925</v>
      </c>
      <c r="AE115" s="292" t="n">
        <f aca="false">IFERROR(($J115*R115)*$L115, "")</f>
        <v>1153.8925</v>
      </c>
      <c r="AF115" s="292" t="n">
        <f aca="false">IFERROR(($J115*S115)*$L115, "")</f>
        <v>0</v>
      </c>
      <c r="AG115" s="292" t="n">
        <f aca="false">IFERROR(($J115*T115)*$L115, "")</f>
        <v>0</v>
      </c>
      <c r="AH115" s="292" t="n">
        <f aca="false">IFERROR(($J115*U115)*$L115, "")</f>
        <v>0</v>
      </c>
      <c r="AI115" s="292" t="n">
        <f aca="false">IFERROR(($J115*V115)*$L115, "")</f>
        <v>0</v>
      </c>
      <c r="AJ115" s="292" t="n">
        <f aca="false">IFERROR(($J115*W115)*$L115, "")</f>
        <v>0</v>
      </c>
      <c r="AK115" s="292" t="n">
        <f aca="false">IFERROR(($J115*X115)*$L115, "")</f>
        <v>0</v>
      </c>
      <c r="AL115" s="292" t="n">
        <f aca="false">IFERROR(($J115*Y115)*$L115, "")</f>
        <v>0</v>
      </c>
      <c r="AM115" s="293" t="n">
        <f aca="false">IFERROR(($J115*Z115)*$L115, "")</f>
        <v>0</v>
      </c>
      <c r="AN115" s="294" t="n">
        <f aca="false">IFERROR(SUMIF($AB$4:$AM$4, "RDEC", AB115:AM115), "")</f>
        <v>1153.8925</v>
      </c>
      <c r="AO115" s="294" t="n">
        <f aca="false">IFERROR(SUMIF($AB$4:$AM$4, "SME", AB115:AM115), "")</f>
        <v>3461.6775</v>
      </c>
      <c r="AP115" s="294" t="n">
        <f aca="false">IFERROR(SUMIF($AB$4:$AM$4, "De Minimis", AB115:AM115), "")</f>
        <v>0</v>
      </c>
      <c r="AQ115" s="283"/>
      <c r="AR115" s="292" t="n">
        <f aca="false">IFERROR(($J115*O115)*$M115, "")</f>
        <v>0</v>
      </c>
      <c r="AS115" s="292" t="n">
        <f aca="false">IFERROR(($J115*P115)*$M115, "")</f>
        <v>0</v>
      </c>
      <c r="AT115" s="292" t="n">
        <f aca="false">IFERROR(($J115*Q115)*$M115, "")</f>
        <v>0</v>
      </c>
      <c r="AU115" s="292" t="n">
        <f aca="false">IFERROR(($J115*R115)*$M115, "")</f>
        <v>0</v>
      </c>
      <c r="AV115" s="292" t="n">
        <f aca="false">IFERROR(($J115*S115)*$M115, "")</f>
        <v>0</v>
      </c>
      <c r="AW115" s="292" t="n">
        <f aca="false">IFERROR(($J115*T115)*$M115, "")</f>
        <v>0</v>
      </c>
      <c r="AX115" s="292" t="n">
        <f aca="false">IFERROR(($J115*U115)*$M115, "")</f>
        <v>0</v>
      </c>
      <c r="AY115" s="292" t="n">
        <f aca="false">IFERROR(($J115*V115)*$M115, "")</f>
        <v>0</v>
      </c>
      <c r="AZ115" s="292" t="n">
        <f aca="false">IFERROR(($J115*W115)*$M115, "")</f>
        <v>0</v>
      </c>
      <c r="BA115" s="292" t="n">
        <f aca="false">IFERROR(($J115*X115)*$M115, "")</f>
        <v>0</v>
      </c>
      <c r="BB115" s="292" t="n">
        <f aca="false">IFERROR(($J115*Y115)*$M115, "")</f>
        <v>0</v>
      </c>
      <c r="BC115" s="293" t="n">
        <f aca="false">IFERROR(($J115*Z115)*$M115, "")</f>
        <v>0</v>
      </c>
      <c r="BD115" s="294" t="n">
        <f aca="false">IFERROR(SUMIF($AB$4:$AM$4, "RDEC", AR115:BC115), "")</f>
        <v>0</v>
      </c>
      <c r="BE115" s="294" t="n">
        <f aca="false">IFERROR(SUMIF($AB$4:$AM$4, "SME", AR115:BC115), "")</f>
        <v>0</v>
      </c>
      <c r="BF115" s="294" t="n">
        <f aca="false">IFERROR(SUMIF($AB$4:$AM$4, "De Minimis", AR115:BC115), "")</f>
        <v>0</v>
      </c>
      <c r="BG115" s="287"/>
      <c r="BH115" s="295" t="str">
        <f aca="false">IF((SUM(O115:Z115)&gt;1),"ERROR","")</f>
        <v/>
      </c>
      <c r="BI115" s="287"/>
      <c r="BJ115" s="18" t="str">
        <f aca="false">IF(C101&gt;0, C101, "")</f>
        <v/>
      </c>
      <c r="BL115" s="200"/>
      <c r="BM115" s="200"/>
      <c r="BN115" s="200"/>
    </row>
    <row r="116" customFormat="false" ht="15" hidden="false" customHeight="true" outlineLevel="0" collapsed="false">
      <c r="B116" s="296"/>
      <c r="D116" s="297" t="s">
        <v>82</v>
      </c>
      <c r="E116" s="298" t="n">
        <f aca="false">SUM(E104:E115)</f>
        <v>47858.91</v>
      </c>
      <c r="F116" s="298" t="n">
        <f aca="false">SUM(F104:F115)</f>
        <v>10528.96</v>
      </c>
      <c r="G116" s="298" t="n">
        <f aca="false">SUM(G104:G115)</f>
        <v>3100.7</v>
      </c>
      <c r="H116" s="298" t="n">
        <f aca="false">SUM(H104:H115)</f>
        <v>5348.74</v>
      </c>
      <c r="I116" s="298" t="n">
        <f aca="false">SUM(I104:I115)</f>
        <v>1914.36</v>
      </c>
      <c r="J116" s="299" t="n">
        <f aca="false">SUM(J104:J115)</f>
        <v>55122.01</v>
      </c>
      <c r="K116" s="300"/>
      <c r="L116" s="301" t="n">
        <f aca="false">AVERAGE(L104:L115)</f>
        <v>1</v>
      </c>
      <c r="M116" s="301" t="n">
        <f aca="false">AVERAGE(M104:M115)</f>
        <v>0</v>
      </c>
      <c r="N116" s="302"/>
      <c r="O116" s="290" t="n">
        <f aca="false">IF(SUM(O104:O115)&gt;0,((AB116+AR116)/J116),0)</f>
        <v>0.25</v>
      </c>
      <c r="P116" s="290" t="n">
        <f aca="false">IF(SUM(P104:P115)&gt;0,((AC116+AS116)/J116),0)</f>
        <v>0.25</v>
      </c>
      <c r="Q116" s="290" t="n">
        <f aca="false">IF(SUM(Q104:Q115)&gt;0,((AD116+AT116)/J116),0)</f>
        <v>0.25</v>
      </c>
      <c r="R116" s="290" t="n">
        <f aca="false">IF(SUM(R104:R115)&gt;0,((AE116+AU116)/J116),0)</f>
        <v>0.25</v>
      </c>
      <c r="S116" s="290" t="n">
        <f aca="false">IF(SUM(S104:S115)&gt;0,((AF116+AV116)/J116),0)</f>
        <v>0</v>
      </c>
      <c r="T116" s="290" t="n">
        <f aca="false">IF(SUM(T104:T115)&gt;0,((AG116+AW116)/J116),0)</f>
        <v>0</v>
      </c>
      <c r="U116" s="290" t="n">
        <f aca="false">IF(SUM(U104:U115)&gt;0,((AH116+AX116)/J116),0)</f>
        <v>0</v>
      </c>
      <c r="V116" s="290" t="n">
        <f aca="false">IF(SUM(V104:V115)&gt;0,((AI116+AY116)/J116),0)</f>
        <v>0</v>
      </c>
      <c r="W116" s="290" t="n">
        <f aca="false">IF(SUM(W104:W115)&gt;0,((AJ116+AZ116)/J116),0)</f>
        <v>0</v>
      </c>
      <c r="X116" s="290" t="n">
        <f aca="false">IF(SUM(X104:X115)&gt;0,((AK116+BA116)/J116),0)</f>
        <v>0</v>
      </c>
      <c r="Y116" s="290" t="n">
        <f aca="false">IF(SUM(Y104:Y115)&gt;0,((AL116+BB116)/J116),0)</f>
        <v>0</v>
      </c>
      <c r="Z116" s="290" t="n">
        <f aca="false">IF(SUM(Z104:Z115)&gt;0,((AM116+BC116)/J116),0)</f>
        <v>0</v>
      </c>
      <c r="AA116" s="303"/>
      <c r="AB116" s="292" t="n">
        <f aca="false">SUM(AB104:AB115)</f>
        <v>13780.5025</v>
      </c>
      <c r="AC116" s="304" t="n">
        <f aca="false">SUM(AC104:AC115)</f>
        <v>13780.5025</v>
      </c>
      <c r="AD116" s="304" t="n">
        <f aca="false">SUM(AD104:AD115)</f>
        <v>13780.5025</v>
      </c>
      <c r="AE116" s="304" t="n">
        <f aca="false">SUM(AE104:AE115)</f>
        <v>13780.5025</v>
      </c>
      <c r="AF116" s="304" t="n">
        <f aca="false">SUM(AF104:AF115)</f>
        <v>0</v>
      </c>
      <c r="AG116" s="304" t="n">
        <f aca="false">SUM(AG104:AG115)</f>
        <v>0</v>
      </c>
      <c r="AH116" s="304" t="n">
        <f aca="false">SUM(AH104:AH115)</f>
        <v>0</v>
      </c>
      <c r="AI116" s="304" t="n">
        <f aca="false">SUM(AI104:AI115)</f>
        <v>0</v>
      </c>
      <c r="AJ116" s="304" t="n">
        <f aca="false">SUM(AJ104:AJ115)</f>
        <v>0</v>
      </c>
      <c r="AK116" s="304" t="n">
        <f aca="false">SUM(AK104:AK115)</f>
        <v>0</v>
      </c>
      <c r="AL116" s="304" t="n">
        <f aca="false">SUM(AL104:AL115)</f>
        <v>0</v>
      </c>
      <c r="AM116" s="304" t="n">
        <f aca="false">SUM(AM104:AM115)</f>
        <v>0</v>
      </c>
      <c r="AN116" s="305" t="n">
        <f aca="false">SUM(AN104:AN115)</f>
        <v>13780.5025</v>
      </c>
      <c r="AO116" s="305" t="n">
        <f aca="false">SUM(AO104:AO115)</f>
        <v>41341.5075</v>
      </c>
      <c r="AP116" s="305" t="n">
        <f aca="false">SUM(AP104:AP115)</f>
        <v>0</v>
      </c>
      <c r="AQ116" s="303"/>
      <c r="AR116" s="292" t="n">
        <f aca="false">SUM(AR104:AR115)</f>
        <v>0</v>
      </c>
      <c r="AS116" s="304" t="n">
        <f aca="false">SUM(AS104:AS115)</f>
        <v>0</v>
      </c>
      <c r="AT116" s="304" t="n">
        <f aca="false">SUM(AT104:AT115)</f>
        <v>0</v>
      </c>
      <c r="AU116" s="304" t="n">
        <f aca="false">SUM(AU104:AU115)</f>
        <v>0</v>
      </c>
      <c r="AV116" s="304" t="n">
        <f aca="false">SUM(AV104:AV115)</f>
        <v>0</v>
      </c>
      <c r="AW116" s="304" t="n">
        <f aca="false">SUM(AW104:AW115)</f>
        <v>0</v>
      </c>
      <c r="AX116" s="304" t="n">
        <f aca="false">SUM(AX104:AX115)</f>
        <v>0</v>
      </c>
      <c r="AY116" s="304" t="n">
        <f aca="false">SUM(AY104:AY115)</f>
        <v>0</v>
      </c>
      <c r="AZ116" s="304" t="n">
        <f aca="false">SUM(AZ104:AZ115)</f>
        <v>0</v>
      </c>
      <c r="BA116" s="304" t="n">
        <f aca="false">SUM(BA104:BA115)</f>
        <v>0</v>
      </c>
      <c r="BB116" s="304" t="n">
        <f aca="false">SUM(BB104:BB115)</f>
        <v>0</v>
      </c>
      <c r="BC116" s="304" t="n">
        <f aca="false">SUM(BC104:BC115)</f>
        <v>0</v>
      </c>
      <c r="BD116" s="305" t="n">
        <f aca="false">SUM(BD104:BD115)</f>
        <v>0</v>
      </c>
      <c r="BE116" s="305" t="n">
        <f aca="false">SUM(BE104:BE115)</f>
        <v>0</v>
      </c>
      <c r="BF116" s="305" t="n">
        <f aca="false">SUM(BF104:BF115)</f>
        <v>0</v>
      </c>
      <c r="BG116" s="303"/>
      <c r="BH116" s="306"/>
      <c r="BI116" s="303"/>
      <c r="BJ116" s="307" t="str">
        <f aca="false">IF(C102&gt;0, C102, "")</f>
        <v>QA Engineer</v>
      </c>
      <c r="BK116" s="18" t="s">
        <v>234</v>
      </c>
      <c r="BL116" s="200" t="n">
        <f aca="false">IF($BK116="Y",J116,0)</f>
        <v>0</v>
      </c>
      <c r="BM116" s="200" t="n">
        <f aca="false">IF(BK116="Y", AN116,0)</f>
        <v>0</v>
      </c>
      <c r="BN116" s="200" t="n">
        <f aca="false">IF((BK116="Y"),AO116,0)</f>
        <v>0</v>
      </c>
    </row>
    <row r="117" customFormat="false" ht="15" hidden="false" customHeight="true" outlineLevel="0" collapsed="false">
      <c r="B117" s="296"/>
      <c r="D117" s="297"/>
      <c r="E117" s="277"/>
      <c r="F117" s="277"/>
      <c r="G117" s="277"/>
      <c r="H117" s="277"/>
      <c r="I117" s="277"/>
      <c r="J117" s="300"/>
      <c r="K117" s="300"/>
      <c r="L117" s="302"/>
      <c r="M117" s="302"/>
      <c r="N117" s="302"/>
      <c r="O117" s="308"/>
      <c r="P117" s="308"/>
      <c r="Q117" s="308"/>
      <c r="R117" s="308"/>
      <c r="S117" s="308"/>
      <c r="T117" s="308"/>
      <c r="U117" s="308"/>
      <c r="V117" s="308"/>
      <c r="W117" s="308"/>
      <c r="X117" s="308"/>
      <c r="Y117" s="308"/>
      <c r="Z117" s="308"/>
      <c r="AA117" s="303"/>
      <c r="AB117" s="303"/>
      <c r="AC117" s="303"/>
      <c r="AD117" s="303"/>
      <c r="AE117" s="303"/>
      <c r="AF117" s="303"/>
      <c r="AG117" s="303"/>
      <c r="AH117" s="303"/>
      <c r="AI117" s="303"/>
      <c r="AJ117" s="303"/>
      <c r="AK117" s="303"/>
      <c r="AL117" s="303"/>
      <c r="AM117" s="303"/>
      <c r="AN117" s="303"/>
      <c r="AO117" s="303"/>
      <c r="AP117" s="303"/>
      <c r="AQ117" s="303"/>
      <c r="AR117" s="303"/>
      <c r="AS117" s="303"/>
      <c r="AT117" s="303"/>
      <c r="AU117" s="303"/>
      <c r="AV117" s="303"/>
      <c r="AW117" s="303"/>
      <c r="AX117" s="303"/>
      <c r="AY117" s="303"/>
      <c r="AZ117" s="303"/>
      <c r="BA117" s="303"/>
      <c r="BB117" s="303"/>
      <c r="BC117" s="303"/>
      <c r="BD117" s="303"/>
      <c r="BE117" s="303"/>
      <c r="BF117" s="303"/>
      <c r="BG117" s="303"/>
      <c r="BH117" s="303"/>
      <c r="BI117" s="303"/>
      <c r="BJ117" s="307" t="str">
        <f aca="false">IF(C104&gt;0, C104, "")</f>
        <v/>
      </c>
      <c r="BL117" s="200"/>
      <c r="BM117" s="200"/>
      <c r="BN117" s="200"/>
    </row>
    <row r="118" customFormat="false" ht="15" hidden="false" customHeight="true" outlineLevel="0" collapsed="false">
      <c r="A118" s="198" t="n">
        <v>8</v>
      </c>
      <c r="B118" s="266" t="s">
        <v>247</v>
      </c>
      <c r="C118" s="266" t="s">
        <v>248</v>
      </c>
      <c r="D118" s="267"/>
      <c r="E118" s="242"/>
      <c r="F118" s="242"/>
      <c r="G118" s="242"/>
      <c r="H118" s="242"/>
      <c r="I118" s="242"/>
      <c r="J118" s="241"/>
      <c r="K118" s="241"/>
      <c r="L118" s="241"/>
      <c r="M118" s="241"/>
      <c r="N118" s="241"/>
      <c r="O118" s="268"/>
      <c r="P118" s="268"/>
      <c r="Q118" s="268"/>
      <c r="R118" s="268"/>
      <c r="S118" s="268"/>
      <c r="T118" s="268"/>
      <c r="U118" s="268"/>
      <c r="V118" s="268"/>
      <c r="W118" s="268"/>
      <c r="X118" s="268"/>
      <c r="Y118" s="268"/>
      <c r="Z118" s="268"/>
      <c r="AA118" s="268"/>
      <c r="AB118" s="268"/>
      <c r="AC118" s="268"/>
      <c r="AD118" s="268"/>
      <c r="AE118" s="268"/>
      <c r="AF118" s="268"/>
      <c r="AG118" s="268"/>
      <c r="AH118" s="268"/>
      <c r="AI118" s="268"/>
      <c r="AJ118" s="268"/>
      <c r="AK118" s="268"/>
      <c r="AL118" s="268"/>
      <c r="AM118" s="268"/>
      <c r="AN118" s="268"/>
      <c r="AO118" s="268"/>
      <c r="AP118" s="268"/>
      <c r="AQ118" s="268"/>
      <c r="AR118" s="268"/>
      <c r="AS118" s="268"/>
      <c r="AT118" s="268"/>
      <c r="AU118" s="268"/>
      <c r="AV118" s="268"/>
      <c r="AW118" s="268"/>
      <c r="AX118" s="268"/>
      <c r="AY118" s="268"/>
      <c r="AZ118" s="268"/>
      <c r="BA118" s="268"/>
      <c r="BB118" s="268"/>
      <c r="BC118" s="268"/>
      <c r="BD118" s="268"/>
      <c r="BE118" s="268"/>
      <c r="BF118" s="268"/>
      <c r="BG118" s="268"/>
      <c r="BH118" s="268"/>
      <c r="BI118" s="268"/>
      <c r="BJ118" s="18" t="str">
        <f aca="false">IF(C105&gt;0, C105, "")</f>
        <v/>
      </c>
      <c r="BL118" s="200"/>
      <c r="BM118" s="200"/>
      <c r="BN118" s="200"/>
    </row>
    <row r="119" customFormat="false" ht="7.5" hidden="false" customHeight="true" outlineLevel="0" collapsed="false">
      <c r="A119" s="198"/>
      <c r="B119" s="266"/>
      <c r="C119" s="266"/>
      <c r="D119" s="267"/>
      <c r="E119" s="242"/>
      <c r="F119" s="242"/>
      <c r="G119" s="242"/>
      <c r="H119" s="242"/>
      <c r="I119" s="242"/>
      <c r="J119" s="241"/>
      <c r="K119" s="241"/>
      <c r="L119" s="269"/>
      <c r="M119" s="269"/>
      <c r="N119" s="270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  <c r="AA119" s="268"/>
      <c r="AB119" s="271"/>
      <c r="AC119" s="271"/>
      <c r="AD119" s="271"/>
      <c r="AE119" s="271"/>
      <c r="AF119" s="271"/>
      <c r="AG119" s="271"/>
      <c r="AH119" s="271"/>
      <c r="AI119" s="271"/>
      <c r="AJ119" s="271"/>
      <c r="AK119" s="271"/>
      <c r="AL119" s="271"/>
      <c r="AM119" s="272"/>
      <c r="AN119" s="273"/>
      <c r="AO119" s="273"/>
      <c r="AP119" s="273"/>
      <c r="AQ119" s="268"/>
      <c r="AR119" s="271"/>
      <c r="AS119" s="271"/>
      <c r="AT119" s="271"/>
      <c r="AU119" s="271"/>
      <c r="AV119" s="271"/>
      <c r="AW119" s="271"/>
      <c r="AX119" s="271"/>
      <c r="AY119" s="271"/>
      <c r="AZ119" s="271"/>
      <c r="BA119" s="271"/>
      <c r="BB119" s="271"/>
      <c r="BC119" s="272"/>
      <c r="BD119" s="273"/>
      <c r="BE119" s="273"/>
      <c r="BF119" s="273"/>
      <c r="BG119" s="268"/>
      <c r="BH119" s="274"/>
      <c r="BI119" s="268"/>
      <c r="BL119" s="200"/>
      <c r="BM119" s="200"/>
      <c r="BN119" s="200"/>
    </row>
    <row r="120" customFormat="false" ht="15" hidden="false" customHeight="true" outlineLevel="0" collapsed="false">
      <c r="B120" s="275"/>
      <c r="D120" s="276" t="n">
        <f aca="false">D104</f>
        <v>45292</v>
      </c>
      <c r="E120" s="277" t="n">
        <v>5919.89</v>
      </c>
      <c r="F120" s="277" t="n">
        <v>1598.37</v>
      </c>
      <c r="G120" s="277" t="n">
        <v>412.92</v>
      </c>
      <c r="H120" s="277" t="n">
        <v>712.3</v>
      </c>
      <c r="I120" s="277" t="n">
        <v>295.99</v>
      </c>
      <c r="J120" s="278" t="n">
        <f aca="false">E120+H120+I120</f>
        <v>6928.18</v>
      </c>
      <c r="K120" s="204"/>
      <c r="L120" s="279" t="n">
        <v>1</v>
      </c>
      <c r="M120" s="280" t="n">
        <f aca="false">1-L120</f>
        <v>0</v>
      </c>
      <c r="N120" s="281"/>
      <c r="O120" s="282" t="n">
        <v>0.15</v>
      </c>
      <c r="P120" s="282" t="n">
        <v>0.2</v>
      </c>
      <c r="Q120" s="282" t="n">
        <v>0.1</v>
      </c>
      <c r="R120" s="282" t="n">
        <v>0.15</v>
      </c>
      <c r="S120" s="282" t="n">
        <v>0.4</v>
      </c>
      <c r="T120" s="282"/>
      <c r="U120" s="282"/>
      <c r="V120" s="282"/>
      <c r="W120" s="282"/>
      <c r="X120" s="282"/>
      <c r="Y120" s="282"/>
      <c r="Z120" s="282"/>
      <c r="AA120" s="283"/>
      <c r="AB120" s="284" t="n">
        <f aca="false">IFERROR(($J120*O120)*$L120, "")</f>
        <v>1039.227</v>
      </c>
      <c r="AC120" s="284" t="n">
        <f aca="false">IFERROR(($J120*P120)*$L120, "")</f>
        <v>1385.636</v>
      </c>
      <c r="AD120" s="284" t="n">
        <f aca="false">IFERROR(($J120*Q120)*$L120, "")</f>
        <v>692.818</v>
      </c>
      <c r="AE120" s="284" t="n">
        <f aca="false">IFERROR(($J120*R120)*$L120, "")</f>
        <v>1039.227</v>
      </c>
      <c r="AF120" s="284" t="n">
        <f aca="false">IFERROR(($J120*S120)*$L120, "")</f>
        <v>2771.272</v>
      </c>
      <c r="AG120" s="284" t="n">
        <f aca="false">IFERROR(($J120*T120)*$L120, "")</f>
        <v>0</v>
      </c>
      <c r="AH120" s="284" t="n">
        <f aca="false">IFERROR(($J120*U120)*$L120, "")</f>
        <v>0</v>
      </c>
      <c r="AI120" s="284" t="n">
        <f aca="false">IFERROR(($J120*V120)*$L120, "")</f>
        <v>0</v>
      </c>
      <c r="AJ120" s="284" t="n">
        <f aca="false">IFERROR(($J120*W120)*$L120, "")</f>
        <v>0</v>
      </c>
      <c r="AK120" s="284" t="n">
        <f aca="false">IFERROR(($J120*X120)*$L120, "")</f>
        <v>0</v>
      </c>
      <c r="AL120" s="284" t="n">
        <f aca="false">IFERROR(($J120*Y120)*$L120, "")</f>
        <v>0</v>
      </c>
      <c r="AM120" s="285" t="n">
        <f aca="false">IFERROR(($J120*Z120)*$L120, "")</f>
        <v>0</v>
      </c>
      <c r="AN120" s="286" t="n">
        <f aca="false">IFERROR(SUMIF($AB$4:$AM$4, "RDEC", AB120:AM120), "")</f>
        <v>1039.227</v>
      </c>
      <c r="AO120" s="286" t="n">
        <f aca="false">IFERROR(SUMIF($AB$4:$AM$4, "SME", AB120:AM120), "")</f>
        <v>5888.953</v>
      </c>
      <c r="AP120" s="286" t="n">
        <f aca="false">IFERROR(SUMIF($AB$4:$AM$4, "De Minimis", AB120:AM120), "")</f>
        <v>0</v>
      </c>
      <c r="AQ120" s="283"/>
      <c r="AR120" s="284" t="n">
        <f aca="false">IFERROR(($J120*O120)*$M120, "")</f>
        <v>0</v>
      </c>
      <c r="AS120" s="284" t="n">
        <f aca="false">IFERROR(($J120*P120)*$M120, "")</f>
        <v>0</v>
      </c>
      <c r="AT120" s="284" t="n">
        <f aca="false">IFERROR(($J120*Q120)*$M120, "")</f>
        <v>0</v>
      </c>
      <c r="AU120" s="284" t="n">
        <f aca="false">IFERROR(($J120*R120)*$M120, "")</f>
        <v>0</v>
      </c>
      <c r="AV120" s="284" t="n">
        <f aca="false">IFERROR(($J120*S120)*$M120, "")</f>
        <v>0</v>
      </c>
      <c r="AW120" s="284" t="n">
        <f aca="false">IFERROR(($J120*T120)*$M120, "")</f>
        <v>0</v>
      </c>
      <c r="AX120" s="284" t="n">
        <f aca="false">IFERROR(($J120*U120)*$M120, "")</f>
        <v>0</v>
      </c>
      <c r="AY120" s="284" t="n">
        <f aca="false">IFERROR(($J120*V120)*$M120, "")</f>
        <v>0</v>
      </c>
      <c r="AZ120" s="284" t="n">
        <f aca="false">IFERROR(($J120*W120)*$M120, "")</f>
        <v>0</v>
      </c>
      <c r="BA120" s="284" t="n">
        <f aca="false">IFERROR(($J120*X120)*$M120, "")</f>
        <v>0</v>
      </c>
      <c r="BB120" s="284" t="n">
        <f aca="false">IFERROR(($J120*Y120)*$M120, "")</f>
        <v>0</v>
      </c>
      <c r="BC120" s="285" t="n">
        <f aca="false">IFERROR(($J120*Z120)*$M120, "")</f>
        <v>0</v>
      </c>
      <c r="BD120" s="286" t="n">
        <f aca="false">IFERROR(SUMIF($AB$4:$AM$4, "RDEC", AR120:BC120), "")</f>
        <v>0</v>
      </c>
      <c r="BE120" s="286" t="n">
        <f aca="false">IFERROR(SUMIF($AB$4:$AM$4, "SME", AR120:BC120), "")</f>
        <v>0</v>
      </c>
      <c r="BF120" s="286" t="n">
        <f aca="false">IFERROR(SUMIF($AB$4:$AM$4, "De Minimis", AR120:BC120), "")</f>
        <v>0</v>
      </c>
      <c r="BG120" s="287"/>
      <c r="BH120" s="288" t="str">
        <f aca="false">IF((SUM(O120:Z120)&gt;1),"ERROR","")</f>
        <v/>
      </c>
      <c r="BI120" s="287"/>
      <c r="BJ120" s="18" t="str">
        <f aca="false">IF(C106&gt;0, C106, "")</f>
        <v/>
      </c>
      <c r="BL120" s="200"/>
      <c r="BM120" s="200"/>
      <c r="BN120" s="200"/>
    </row>
    <row r="121" customFormat="false" ht="15" hidden="false" customHeight="true" outlineLevel="0" collapsed="false">
      <c r="B121" s="275"/>
      <c r="D121" s="276" t="n">
        <f aca="false">D105</f>
        <v>45323</v>
      </c>
      <c r="E121" s="277" t="n">
        <v>6059.31</v>
      </c>
      <c r="F121" s="277" t="n">
        <v>1636.01</v>
      </c>
      <c r="G121" s="277" t="n">
        <v>424.08</v>
      </c>
      <c r="H121" s="277" t="n">
        <v>731.54</v>
      </c>
      <c r="I121" s="277" t="n">
        <v>302.97</v>
      </c>
      <c r="J121" s="278" t="n">
        <f aca="false">E121+H121+I121</f>
        <v>7093.82</v>
      </c>
      <c r="K121" s="204"/>
      <c r="L121" s="279" t="n">
        <v>1</v>
      </c>
      <c r="M121" s="280" t="n">
        <f aca="false">1-L121</f>
        <v>0</v>
      </c>
      <c r="N121" s="281"/>
      <c r="O121" s="282" t="n">
        <v>0.15</v>
      </c>
      <c r="P121" s="282" t="n">
        <v>0.2</v>
      </c>
      <c r="Q121" s="282" t="n">
        <v>0.1</v>
      </c>
      <c r="R121" s="282" t="n">
        <v>0.15</v>
      </c>
      <c r="S121" s="282" t="n">
        <v>0.4</v>
      </c>
      <c r="T121" s="282"/>
      <c r="U121" s="282"/>
      <c r="V121" s="282"/>
      <c r="W121" s="282"/>
      <c r="X121" s="282"/>
      <c r="Y121" s="282"/>
      <c r="Z121" s="282"/>
      <c r="AA121" s="283"/>
      <c r="AB121" s="284" t="n">
        <f aca="false">IFERROR(($J121*O121)*$L121, "")</f>
        <v>1064.073</v>
      </c>
      <c r="AC121" s="284" t="n">
        <f aca="false">IFERROR(($J121*P121)*$L121, "")</f>
        <v>1418.764</v>
      </c>
      <c r="AD121" s="284" t="n">
        <f aca="false">IFERROR(($J121*Q121)*$L121, "")</f>
        <v>709.382</v>
      </c>
      <c r="AE121" s="284" t="n">
        <f aca="false">IFERROR(($J121*R121)*$L121, "")</f>
        <v>1064.073</v>
      </c>
      <c r="AF121" s="284" t="n">
        <f aca="false">IFERROR(($J121*S121)*$L121, "")</f>
        <v>2837.528</v>
      </c>
      <c r="AG121" s="284" t="n">
        <f aca="false">IFERROR(($J121*T121)*$L121, "")</f>
        <v>0</v>
      </c>
      <c r="AH121" s="284" t="n">
        <f aca="false">IFERROR(($J121*U121)*$L121, "")</f>
        <v>0</v>
      </c>
      <c r="AI121" s="284" t="n">
        <f aca="false">IFERROR(($J121*V121)*$L121, "")</f>
        <v>0</v>
      </c>
      <c r="AJ121" s="284" t="n">
        <f aca="false">IFERROR(($J121*W121)*$L121, "")</f>
        <v>0</v>
      </c>
      <c r="AK121" s="284" t="n">
        <f aca="false">IFERROR(($J121*X121)*$L121, "")</f>
        <v>0</v>
      </c>
      <c r="AL121" s="284" t="n">
        <f aca="false">IFERROR(($J121*Y121)*$L121, "")</f>
        <v>0</v>
      </c>
      <c r="AM121" s="285" t="n">
        <f aca="false">IFERROR(($J121*Z121)*$L121, "")</f>
        <v>0</v>
      </c>
      <c r="AN121" s="286" t="n">
        <f aca="false">IFERROR(SUMIF($AB$4:$AM$4, "RDEC", AB121:AM121), "")</f>
        <v>1064.073</v>
      </c>
      <c r="AO121" s="286" t="n">
        <f aca="false">IFERROR(SUMIF($AB$4:$AM$4, "SME", AB121:AM121), "")</f>
        <v>6029.747</v>
      </c>
      <c r="AP121" s="286" t="n">
        <f aca="false">IFERROR(SUMIF($AB$4:$AM$4, "De Minimis", AB121:AM121), "")</f>
        <v>0</v>
      </c>
      <c r="AQ121" s="283"/>
      <c r="AR121" s="284" t="n">
        <f aca="false">IFERROR(($J121*O121)*$M121, "")</f>
        <v>0</v>
      </c>
      <c r="AS121" s="284" t="n">
        <f aca="false">IFERROR(($J121*P121)*$M121, "")</f>
        <v>0</v>
      </c>
      <c r="AT121" s="284" t="n">
        <f aca="false">IFERROR(($J121*Q121)*$M121, "")</f>
        <v>0</v>
      </c>
      <c r="AU121" s="284" t="n">
        <f aca="false">IFERROR(($J121*R121)*$M121, "")</f>
        <v>0</v>
      </c>
      <c r="AV121" s="284" t="n">
        <f aca="false">IFERROR(($J121*S121)*$M121, "")</f>
        <v>0</v>
      </c>
      <c r="AW121" s="284" t="n">
        <f aca="false">IFERROR(($J121*T121)*$M121, "")</f>
        <v>0</v>
      </c>
      <c r="AX121" s="284" t="n">
        <f aca="false">IFERROR(($J121*U121)*$M121, "")</f>
        <v>0</v>
      </c>
      <c r="AY121" s="284" t="n">
        <f aca="false">IFERROR(($J121*V121)*$M121, "")</f>
        <v>0</v>
      </c>
      <c r="AZ121" s="284" t="n">
        <f aca="false">IFERROR(($J121*W121)*$M121, "")</f>
        <v>0</v>
      </c>
      <c r="BA121" s="284" t="n">
        <f aca="false">IFERROR(($J121*X121)*$M121, "")</f>
        <v>0</v>
      </c>
      <c r="BB121" s="284" t="n">
        <f aca="false">IFERROR(($J121*Y121)*$M121, "")</f>
        <v>0</v>
      </c>
      <c r="BC121" s="285" t="n">
        <f aca="false">IFERROR(($J121*Z121)*$M121, "")</f>
        <v>0</v>
      </c>
      <c r="BD121" s="286" t="n">
        <f aca="false">IFERROR(SUMIF($AB$4:$AM$4, "RDEC", AR121:BC121), "")</f>
        <v>0</v>
      </c>
      <c r="BE121" s="286" t="n">
        <f aca="false">IFERROR(SUMIF($AB$4:$AM$4, "SME", AR121:BC121), "")</f>
        <v>0</v>
      </c>
      <c r="BF121" s="286" t="n">
        <f aca="false">IFERROR(SUMIF($AB$4:$AM$4, "De Minimis", AR121:BC121), "")</f>
        <v>0</v>
      </c>
      <c r="BG121" s="287"/>
      <c r="BH121" s="288" t="str">
        <f aca="false">IF((SUM(O121:Z121)&gt;1),"ERROR","")</f>
        <v/>
      </c>
      <c r="BI121" s="287"/>
      <c r="BJ121" s="18" t="str">
        <f aca="false">IF(C107&gt;0, C107, "")</f>
        <v/>
      </c>
      <c r="BL121" s="200"/>
      <c r="BM121" s="200"/>
      <c r="BN121" s="200"/>
    </row>
    <row r="122" customFormat="false" ht="15" hidden="false" customHeight="true" outlineLevel="0" collapsed="false">
      <c r="B122" s="275"/>
      <c r="D122" s="276" t="n">
        <f aca="false">D106</f>
        <v>45352</v>
      </c>
      <c r="E122" s="277" t="n">
        <v>6063.69</v>
      </c>
      <c r="F122" s="277" t="n">
        <v>1637.2</v>
      </c>
      <c r="G122" s="277" t="n">
        <v>424.43</v>
      </c>
      <c r="H122" s="277" t="n">
        <v>732.14</v>
      </c>
      <c r="I122" s="277" t="n">
        <v>303.18</v>
      </c>
      <c r="J122" s="278" t="n">
        <f aca="false">E122+H122+I122</f>
        <v>7099.01</v>
      </c>
      <c r="K122" s="204"/>
      <c r="L122" s="279" t="n">
        <v>1</v>
      </c>
      <c r="M122" s="280" t="n">
        <f aca="false">1-L122</f>
        <v>0</v>
      </c>
      <c r="N122" s="281"/>
      <c r="O122" s="282" t="n">
        <v>0.15</v>
      </c>
      <c r="P122" s="282" t="n">
        <v>0.2</v>
      </c>
      <c r="Q122" s="282" t="n">
        <v>0.1</v>
      </c>
      <c r="R122" s="282" t="n">
        <v>0.15</v>
      </c>
      <c r="S122" s="282" t="n">
        <v>0.4</v>
      </c>
      <c r="T122" s="282"/>
      <c r="U122" s="282"/>
      <c r="V122" s="282"/>
      <c r="W122" s="282"/>
      <c r="X122" s="282"/>
      <c r="Y122" s="282"/>
      <c r="Z122" s="282"/>
      <c r="AA122" s="283"/>
      <c r="AB122" s="284" t="n">
        <f aca="false">IFERROR(($J122*O122)*$L122, "")</f>
        <v>1064.8515</v>
      </c>
      <c r="AC122" s="284" t="n">
        <f aca="false">IFERROR(($J122*P122)*$L122, "")</f>
        <v>1419.802</v>
      </c>
      <c r="AD122" s="284" t="n">
        <f aca="false">IFERROR(($J122*Q122)*$L122, "")</f>
        <v>709.901</v>
      </c>
      <c r="AE122" s="284" t="n">
        <f aca="false">IFERROR(($J122*R122)*$L122, "")</f>
        <v>1064.8515</v>
      </c>
      <c r="AF122" s="284" t="n">
        <f aca="false">IFERROR(($J122*S122)*$L122, "")</f>
        <v>2839.604</v>
      </c>
      <c r="AG122" s="284" t="n">
        <f aca="false">IFERROR(($J122*T122)*$L122, "")</f>
        <v>0</v>
      </c>
      <c r="AH122" s="284" t="n">
        <f aca="false">IFERROR(($J122*U122)*$L122, "")</f>
        <v>0</v>
      </c>
      <c r="AI122" s="284" t="n">
        <f aca="false">IFERROR(($J122*V122)*$L122, "")</f>
        <v>0</v>
      </c>
      <c r="AJ122" s="284" t="n">
        <f aca="false">IFERROR(($J122*W122)*$L122, "")</f>
        <v>0</v>
      </c>
      <c r="AK122" s="284" t="n">
        <f aca="false">IFERROR(($J122*X122)*$L122, "")</f>
        <v>0</v>
      </c>
      <c r="AL122" s="284" t="n">
        <f aca="false">IFERROR(($J122*Y122)*$L122, "")</f>
        <v>0</v>
      </c>
      <c r="AM122" s="285" t="n">
        <f aca="false">IFERROR(($J122*Z122)*$L122, "")</f>
        <v>0</v>
      </c>
      <c r="AN122" s="286" t="n">
        <f aca="false">IFERROR(SUMIF($AB$4:$AM$4, "RDEC", AB122:AM122), "")</f>
        <v>1064.8515</v>
      </c>
      <c r="AO122" s="286" t="n">
        <f aca="false">IFERROR(SUMIF($AB$4:$AM$4, "SME", AB122:AM122), "")</f>
        <v>6034.1585</v>
      </c>
      <c r="AP122" s="286" t="n">
        <f aca="false">IFERROR(SUMIF($AB$4:$AM$4, "De Minimis", AB122:AM122), "")</f>
        <v>0</v>
      </c>
      <c r="AQ122" s="283"/>
      <c r="AR122" s="284" t="n">
        <f aca="false">IFERROR(($J122*O122)*$M122, "")</f>
        <v>0</v>
      </c>
      <c r="AS122" s="284" t="n">
        <f aca="false">IFERROR(($J122*P122)*$M122, "")</f>
        <v>0</v>
      </c>
      <c r="AT122" s="284" t="n">
        <f aca="false">IFERROR(($J122*Q122)*$M122, "")</f>
        <v>0</v>
      </c>
      <c r="AU122" s="284" t="n">
        <f aca="false">IFERROR(($J122*R122)*$M122, "")</f>
        <v>0</v>
      </c>
      <c r="AV122" s="284" t="n">
        <f aca="false">IFERROR(($J122*S122)*$M122, "")</f>
        <v>0</v>
      </c>
      <c r="AW122" s="284" t="n">
        <f aca="false">IFERROR(($J122*T122)*$M122, "")</f>
        <v>0</v>
      </c>
      <c r="AX122" s="284" t="n">
        <f aca="false">IFERROR(($J122*U122)*$M122, "")</f>
        <v>0</v>
      </c>
      <c r="AY122" s="284" t="n">
        <f aca="false">IFERROR(($J122*V122)*$M122, "")</f>
        <v>0</v>
      </c>
      <c r="AZ122" s="284" t="n">
        <f aca="false">IFERROR(($J122*W122)*$M122, "")</f>
        <v>0</v>
      </c>
      <c r="BA122" s="284" t="n">
        <f aca="false">IFERROR(($J122*X122)*$M122, "")</f>
        <v>0</v>
      </c>
      <c r="BB122" s="284" t="n">
        <f aca="false">IFERROR(($J122*Y122)*$M122, "")</f>
        <v>0</v>
      </c>
      <c r="BC122" s="285" t="n">
        <f aca="false">IFERROR(($J122*Z122)*$M122, "")</f>
        <v>0</v>
      </c>
      <c r="BD122" s="286" t="n">
        <f aca="false">IFERROR(SUMIF($AB$4:$AM$4, "RDEC", AR122:BC122), "")</f>
        <v>0</v>
      </c>
      <c r="BE122" s="286" t="n">
        <f aca="false">IFERROR(SUMIF($AB$4:$AM$4, "SME", AR122:BC122), "")</f>
        <v>0</v>
      </c>
      <c r="BF122" s="286" t="n">
        <f aca="false">IFERROR(SUMIF($AB$4:$AM$4, "De Minimis", AR122:BC122), "")</f>
        <v>0</v>
      </c>
      <c r="BG122" s="287"/>
      <c r="BH122" s="288" t="str">
        <f aca="false">IF((SUM(O122:Z122)&gt;1),"ERROR","")</f>
        <v/>
      </c>
      <c r="BI122" s="287"/>
      <c r="BJ122" s="18" t="str">
        <f aca="false">IF(C108&gt;0, C108, "")</f>
        <v/>
      </c>
      <c r="BL122" s="200"/>
      <c r="BM122" s="200"/>
      <c r="BN122" s="200"/>
    </row>
    <row r="123" customFormat="false" ht="15" hidden="false" customHeight="true" outlineLevel="0" collapsed="false">
      <c r="B123" s="275"/>
      <c r="D123" s="276" t="n">
        <f aca="false">D107</f>
        <v>45383</v>
      </c>
      <c r="E123" s="277" t="n">
        <v>5892.03</v>
      </c>
      <c r="F123" s="277" t="n">
        <v>1590.85</v>
      </c>
      <c r="G123" s="277" t="n">
        <v>410.7</v>
      </c>
      <c r="H123" s="277" t="n">
        <v>708.45</v>
      </c>
      <c r="I123" s="277" t="n">
        <v>294.6</v>
      </c>
      <c r="J123" s="278" t="n">
        <f aca="false">E123+H123+I123</f>
        <v>6895.08</v>
      </c>
      <c r="K123" s="204"/>
      <c r="L123" s="279" t="n">
        <v>1</v>
      </c>
      <c r="M123" s="280" t="n">
        <f aca="false">1-L123</f>
        <v>0</v>
      </c>
      <c r="N123" s="281"/>
      <c r="O123" s="282" t="n">
        <v>0.15</v>
      </c>
      <c r="P123" s="282" t="n">
        <v>0.2</v>
      </c>
      <c r="Q123" s="282" t="n">
        <v>0.1</v>
      </c>
      <c r="R123" s="282" t="n">
        <v>0.15</v>
      </c>
      <c r="S123" s="282" t="n">
        <v>0.4</v>
      </c>
      <c r="T123" s="282"/>
      <c r="U123" s="282"/>
      <c r="V123" s="282"/>
      <c r="W123" s="282"/>
      <c r="X123" s="282"/>
      <c r="Y123" s="282"/>
      <c r="Z123" s="282"/>
      <c r="AA123" s="283"/>
      <c r="AB123" s="284" t="n">
        <f aca="false">IFERROR(($J123*O123)*$L123, "")</f>
        <v>1034.262</v>
      </c>
      <c r="AC123" s="284" t="n">
        <f aca="false">IFERROR(($J123*P123)*$L123, "")</f>
        <v>1379.016</v>
      </c>
      <c r="AD123" s="284" t="n">
        <f aca="false">IFERROR(($J123*Q123)*$L123, "")</f>
        <v>689.508</v>
      </c>
      <c r="AE123" s="284" t="n">
        <f aca="false">IFERROR(($J123*R123)*$L123, "")</f>
        <v>1034.262</v>
      </c>
      <c r="AF123" s="284" t="n">
        <f aca="false">IFERROR(($J123*S123)*$L123, "")</f>
        <v>2758.032</v>
      </c>
      <c r="AG123" s="284" t="n">
        <f aca="false">IFERROR(($J123*T123)*$L123, "")</f>
        <v>0</v>
      </c>
      <c r="AH123" s="284" t="n">
        <f aca="false">IFERROR(($J123*U123)*$L123, "")</f>
        <v>0</v>
      </c>
      <c r="AI123" s="284" t="n">
        <f aca="false">IFERROR(($J123*V123)*$L123, "")</f>
        <v>0</v>
      </c>
      <c r="AJ123" s="284" t="n">
        <f aca="false">IFERROR(($J123*W123)*$L123, "")</f>
        <v>0</v>
      </c>
      <c r="AK123" s="284" t="n">
        <f aca="false">IFERROR(($J123*X123)*$L123, "")</f>
        <v>0</v>
      </c>
      <c r="AL123" s="284" t="n">
        <f aca="false">IFERROR(($J123*Y123)*$L123, "")</f>
        <v>0</v>
      </c>
      <c r="AM123" s="285" t="n">
        <f aca="false">IFERROR(($J123*Z123)*$L123, "")</f>
        <v>0</v>
      </c>
      <c r="AN123" s="286" t="n">
        <f aca="false">IFERROR(SUMIF($AB$4:$AM$4, "RDEC", AB123:AM123), "")</f>
        <v>1034.262</v>
      </c>
      <c r="AO123" s="286" t="n">
        <f aca="false">IFERROR(SUMIF($AB$4:$AM$4, "SME", AB123:AM123), "")</f>
        <v>5860.818</v>
      </c>
      <c r="AP123" s="286" t="n">
        <f aca="false">IFERROR(SUMIF($AB$4:$AM$4, "De Minimis", AB123:AM123), "")</f>
        <v>0</v>
      </c>
      <c r="AQ123" s="283"/>
      <c r="AR123" s="284" t="n">
        <f aca="false">IFERROR(($J123*O123)*$M123, "")</f>
        <v>0</v>
      </c>
      <c r="AS123" s="284" t="n">
        <f aca="false">IFERROR(($J123*P123)*$M123, "")</f>
        <v>0</v>
      </c>
      <c r="AT123" s="284" t="n">
        <f aca="false">IFERROR(($J123*Q123)*$M123, "")</f>
        <v>0</v>
      </c>
      <c r="AU123" s="284" t="n">
        <f aca="false">IFERROR(($J123*R123)*$M123, "")</f>
        <v>0</v>
      </c>
      <c r="AV123" s="284" t="n">
        <f aca="false">IFERROR(($J123*S123)*$M123, "")</f>
        <v>0</v>
      </c>
      <c r="AW123" s="284" t="n">
        <f aca="false">IFERROR(($J123*T123)*$M123, "")</f>
        <v>0</v>
      </c>
      <c r="AX123" s="284" t="n">
        <f aca="false">IFERROR(($J123*U123)*$M123, "")</f>
        <v>0</v>
      </c>
      <c r="AY123" s="284" t="n">
        <f aca="false">IFERROR(($J123*V123)*$M123, "")</f>
        <v>0</v>
      </c>
      <c r="AZ123" s="284" t="n">
        <f aca="false">IFERROR(($J123*W123)*$M123, "")</f>
        <v>0</v>
      </c>
      <c r="BA123" s="284" t="n">
        <f aca="false">IFERROR(($J123*X123)*$M123, "")</f>
        <v>0</v>
      </c>
      <c r="BB123" s="284" t="n">
        <f aca="false">IFERROR(($J123*Y123)*$M123, "")</f>
        <v>0</v>
      </c>
      <c r="BC123" s="285" t="n">
        <f aca="false">IFERROR(($J123*Z123)*$M123, "")</f>
        <v>0</v>
      </c>
      <c r="BD123" s="286" t="n">
        <f aca="false">IFERROR(SUMIF($AB$4:$AM$4, "RDEC", AR123:BC123), "")</f>
        <v>0</v>
      </c>
      <c r="BE123" s="286" t="n">
        <f aca="false">IFERROR(SUMIF($AB$4:$AM$4, "SME", AR123:BC123), "")</f>
        <v>0</v>
      </c>
      <c r="BF123" s="286" t="n">
        <f aca="false">IFERROR(SUMIF($AB$4:$AM$4, "De Minimis", AR123:BC123), "")</f>
        <v>0</v>
      </c>
      <c r="BG123" s="287"/>
      <c r="BH123" s="288" t="str">
        <f aca="false">IF((SUM(O123:Z123)&gt;1),"ERROR","")</f>
        <v/>
      </c>
      <c r="BI123" s="287"/>
      <c r="BJ123" s="18" t="str">
        <f aca="false">IF(C109&gt;0, C109, "")</f>
        <v/>
      </c>
      <c r="BL123" s="200"/>
      <c r="BM123" s="200"/>
      <c r="BN123" s="200"/>
    </row>
    <row r="124" customFormat="false" ht="15" hidden="false" customHeight="true" outlineLevel="0" collapsed="false">
      <c r="B124" s="275"/>
      <c r="D124" s="276" t="n">
        <f aca="false">D108</f>
        <v>45413</v>
      </c>
      <c r="E124" s="277" t="n">
        <v>6081.81</v>
      </c>
      <c r="F124" s="277" t="n">
        <v>1642.09</v>
      </c>
      <c r="G124" s="277" t="n">
        <v>425.88</v>
      </c>
      <c r="H124" s="277" t="n">
        <v>734.64</v>
      </c>
      <c r="I124" s="277" t="n">
        <v>304.09</v>
      </c>
      <c r="J124" s="278" t="n">
        <f aca="false">E124+H124+I124</f>
        <v>7120.54</v>
      </c>
      <c r="K124" s="204"/>
      <c r="L124" s="279" t="n">
        <v>1</v>
      </c>
      <c r="M124" s="280" t="n">
        <f aca="false">1-L124</f>
        <v>0</v>
      </c>
      <c r="N124" s="281"/>
      <c r="O124" s="282" t="n">
        <v>0.15</v>
      </c>
      <c r="P124" s="282" t="n">
        <v>0.2</v>
      </c>
      <c r="Q124" s="282" t="n">
        <v>0.1</v>
      </c>
      <c r="R124" s="282" t="n">
        <v>0.15</v>
      </c>
      <c r="S124" s="282" t="n">
        <v>0.4</v>
      </c>
      <c r="T124" s="282"/>
      <c r="U124" s="282"/>
      <c r="V124" s="282"/>
      <c r="W124" s="282"/>
      <c r="X124" s="282"/>
      <c r="Y124" s="282"/>
      <c r="Z124" s="282"/>
      <c r="AA124" s="283"/>
      <c r="AB124" s="284" t="n">
        <f aca="false">IFERROR(($J124*O124)*$L124, "")</f>
        <v>1068.081</v>
      </c>
      <c r="AC124" s="284" t="n">
        <f aca="false">IFERROR(($J124*P124)*$L124, "")</f>
        <v>1424.108</v>
      </c>
      <c r="AD124" s="284" t="n">
        <f aca="false">IFERROR(($J124*Q124)*$L124, "")</f>
        <v>712.054</v>
      </c>
      <c r="AE124" s="284" t="n">
        <f aca="false">IFERROR(($J124*R124)*$L124, "")</f>
        <v>1068.081</v>
      </c>
      <c r="AF124" s="284" t="n">
        <f aca="false">IFERROR(($J124*S124)*$L124, "")</f>
        <v>2848.216</v>
      </c>
      <c r="AG124" s="284" t="n">
        <f aca="false">IFERROR(($J124*T124)*$L124, "")</f>
        <v>0</v>
      </c>
      <c r="AH124" s="284" t="n">
        <f aca="false">IFERROR(($J124*U124)*$L124, "")</f>
        <v>0</v>
      </c>
      <c r="AI124" s="284" t="n">
        <f aca="false">IFERROR(($J124*V124)*$L124, "")</f>
        <v>0</v>
      </c>
      <c r="AJ124" s="284" t="n">
        <f aca="false">IFERROR(($J124*W124)*$L124, "")</f>
        <v>0</v>
      </c>
      <c r="AK124" s="284" t="n">
        <f aca="false">IFERROR(($J124*X124)*$L124, "")</f>
        <v>0</v>
      </c>
      <c r="AL124" s="284" t="n">
        <f aca="false">IFERROR(($J124*Y124)*$L124, "")</f>
        <v>0</v>
      </c>
      <c r="AM124" s="285" t="n">
        <f aca="false">IFERROR(($J124*Z124)*$L124, "")</f>
        <v>0</v>
      </c>
      <c r="AN124" s="286" t="n">
        <f aca="false">IFERROR(SUMIF($AB$4:$AM$4, "RDEC", AB124:AM124), "")</f>
        <v>1068.081</v>
      </c>
      <c r="AO124" s="286" t="n">
        <f aca="false">IFERROR(SUMIF($AB$4:$AM$4, "SME", AB124:AM124), "")</f>
        <v>6052.459</v>
      </c>
      <c r="AP124" s="286" t="n">
        <f aca="false">IFERROR(SUMIF($AB$4:$AM$4, "De Minimis", AB124:AM124), "")</f>
        <v>0</v>
      </c>
      <c r="AQ124" s="283"/>
      <c r="AR124" s="284" t="n">
        <f aca="false">IFERROR(($J124*O124)*$M124, "")</f>
        <v>0</v>
      </c>
      <c r="AS124" s="284" t="n">
        <f aca="false">IFERROR(($J124*P124)*$M124, "")</f>
        <v>0</v>
      </c>
      <c r="AT124" s="284" t="n">
        <f aca="false">IFERROR(($J124*Q124)*$M124, "")</f>
        <v>0</v>
      </c>
      <c r="AU124" s="284" t="n">
        <f aca="false">IFERROR(($J124*R124)*$M124, "")</f>
        <v>0</v>
      </c>
      <c r="AV124" s="284" t="n">
        <f aca="false">IFERROR(($J124*S124)*$M124, "")</f>
        <v>0</v>
      </c>
      <c r="AW124" s="284" t="n">
        <f aca="false">IFERROR(($J124*T124)*$M124, "")</f>
        <v>0</v>
      </c>
      <c r="AX124" s="284" t="n">
        <f aca="false">IFERROR(($J124*U124)*$M124, "")</f>
        <v>0</v>
      </c>
      <c r="AY124" s="284" t="n">
        <f aca="false">IFERROR(($J124*V124)*$M124, "")</f>
        <v>0</v>
      </c>
      <c r="AZ124" s="284" t="n">
        <f aca="false">IFERROR(($J124*W124)*$M124, "")</f>
        <v>0</v>
      </c>
      <c r="BA124" s="284" t="n">
        <f aca="false">IFERROR(($J124*X124)*$M124, "")</f>
        <v>0</v>
      </c>
      <c r="BB124" s="284" t="n">
        <f aca="false">IFERROR(($J124*Y124)*$M124, "")</f>
        <v>0</v>
      </c>
      <c r="BC124" s="285" t="n">
        <f aca="false">IFERROR(($J124*Z124)*$M124, "")</f>
        <v>0</v>
      </c>
      <c r="BD124" s="286" t="n">
        <f aca="false">IFERROR(SUMIF($AB$4:$AM$4, "RDEC", AR124:BC124), "")</f>
        <v>0</v>
      </c>
      <c r="BE124" s="286" t="n">
        <f aca="false">IFERROR(SUMIF($AB$4:$AM$4, "SME", AR124:BC124), "")</f>
        <v>0</v>
      </c>
      <c r="BF124" s="286" t="n">
        <f aca="false">IFERROR(SUMIF($AB$4:$AM$4, "De Minimis", AR124:BC124), "")</f>
        <v>0</v>
      </c>
      <c r="BG124" s="287"/>
      <c r="BH124" s="288" t="str">
        <f aca="false">IF((SUM(O124:Z124)&gt;1),"ERROR","")</f>
        <v/>
      </c>
      <c r="BI124" s="287"/>
      <c r="BJ124" s="18" t="str">
        <f aca="false">IF(C110&gt;0, C110, "")</f>
        <v/>
      </c>
      <c r="BL124" s="200"/>
      <c r="BM124" s="200"/>
      <c r="BN124" s="200"/>
    </row>
    <row r="125" customFormat="false" ht="15" hidden="false" customHeight="true" outlineLevel="0" collapsed="false">
      <c r="B125" s="275"/>
      <c r="D125" s="276" t="n">
        <f aca="false">D109</f>
        <v>45444</v>
      </c>
      <c r="E125" s="277" t="n">
        <v>6067.2</v>
      </c>
      <c r="F125" s="277" t="n">
        <v>1638.14</v>
      </c>
      <c r="G125" s="277" t="n">
        <v>424.71</v>
      </c>
      <c r="H125" s="277" t="n">
        <v>732.62</v>
      </c>
      <c r="I125" s="277" t="n">
        <v>303.36</v>
      </c>
      <c r="J125" s="278" t="n">
        <f aca="false">E125+H125+I125</f>
        <v>7103.18</v>
      </c>
      <c r="K125" s="204"/>
      <c r="L125" s="279" t="n">
        <v>1</v>
      </c>
      <c r="M125" s="280" t="n">
        <f aca="false">1-L125</f>
        <v>0</v>
      </c>
      <c r="N125" s="281"/>
      <c r="O125" s="282" t="n">
        <v>0.15</v>
      </c>
      <c r="P125" s="282" t="n">
        <v>0.2</v>
      </c>
      <c r="Q125" s="282" t="n">
        <v>0.1</v>
      </c>
      <c r="R125" s="282" t="n">
        <v>0.15</v>
      </c>
      <c r="S125" s="282" t="n">
        <v>0.4</v>
      </c>
      <c r="T125" s="282"/>
      <c r="U125" s="282"/>
      <c r="V125" s="282"/>
      <c r="W125" s="282"/>
      <c r="X125" s="282"/>
      <c r="Y125" s="282"/>
      <c r="Z125" s="282"/>
      <c r="AA125" s="283"/>
      <c r="AB125" s="284" t="n">
        <f aca="false">IFERROR(($J125*O125)*$L125, "")</f>
        <v>1065.477</v>
      </c>
      <c r="AC125" s="284" t="n">
        <f aca="false">IFERROR(($J125*P125)*$L125, "")</f>
        <v>1420.636</v>
      </c>
      <c r="AD125" s="284" t="n">
        <f aca="false">IFERROR(($J125*Q125)*$L125, "")</f>
        <v>710.318</v>
      </c>
      <c r="AE125" s="284" t="n">
        <f aca="false">IFERROR(($J125*R125)*$L125, "")</f>
        <v>1065.477</v>
      </c>
      <c r="AF125" s="284" t="n">
        <f aca="false">IFERROR(($J125*S125)*$L125, "")</f>
        <v>2841.272</v>
      </c>
      <c r="AG125" s="284" t="n">
        <f aca="false">IFERROR(($J125*T125)*$L125, "")</f>
        <v>0</v>
      </c>
      <c r="AH125" s="284" t="n">
        <f aca="false">IFERROR(($J125*U125)*$L125, "")</f>
        <v>0</v>
      </c>
      <c r="AI125" s="284" t="n">
        <f aca="false">IFERROR(($J125*V125)*$L125, "")</f>
        <v>0</v>
      </c>
      <c r="AJ125" s="284" t="n">
        <f aca="false">IFERROR(($J125*W125)*$L125, "")</f>
        <v>0</v>
      </c>
      <c r="AK125" s="284" t="n">
        <f aca="false">IFERROR(($J125*X125)*$L125, "")</f>
        <v>0</v>
      </c>
      <c r="AL125" s="284" t="n">
        <f aca="false">IFERROR(($J125*Y125)*$L125, "")</f>
        <v>0</v>
      </c>
      <c r="AM125" s="285" t="n">
        <f aca="false">IFERROR(($J125*Z125)*$L125, "")</f>
        <v>0</v>
      </c>
      <c r="AN125" s="286" t="n">
        <f aca="false">IFERROR(SUMIF($AB$4:$AM$4, "RDEC", AB125:AM125), "")</f>
        <v>1065.477</v>
      </c>
      <c r="AO125" s="286" t="n">
        <f aca="false">IFERROR(SUMIF($AB$4:$AM$4, "SME", AB125:AM125), "")</f>
        <v>6037.703</v>
      </c>
      <c r="AP125" s="286" t="n">
        <f aca="false">IFERROR(SUMIF($AB$4:$AM$4, "De Minimis", AB125:AM125), "")</f>
        <v>0</v>
      </c>
      <c r="AQ125" s="283"/>
      <c r="AR125" s="284" t="n">
        <f aca="false">IFERROR(($J125*O125)*$M125, "")</f>
        <v>0</v>
      </c>
      <c r="AS125" s="284" t="n">
        <f aca="false">IFERROR(($J125*P125)*$M125, "")</f>
        <v>0</v>
      </c>
      <c r="AT125" s="284" t="n">
        <f aca="false">IFERROR(($J125*Q125)*$M125, "")</f>
        <v>0</v>
      </c>
      <c r="AU125" s="284" t="n">
        <f aca="false">IFERROR(($J125*R125)*$M125, "")</f>
        <v>0</v>
      </c>
      <c r="AV125" s="284" t="n">
        <f aca="false">IFERROR(($J125*S125)*$M125, "")</f>
        <v>0</v>
      </c>
      <c r="AW125" s="284" t="n">
        <f aca="false">IFERROR(($J125*T125)*$M125, "")</f>
        <v>0</v>
      </c>
      <c r="AX125" s="284" t="n">
        <f aca="false">IFERROR(($J125*U125)*$M125, "")</f>
        <v>0</v>
      </c>
      <c r="AY125" s="284" t="n">
        <f aca="false">IFERROR(($J125*V125)*$M125, "")</f>
        <v>0</v>
      </c>
      <c r="AZ125" s="284" t="n">
        <f aca="false">IFERROR(($J125*W125)*$M125, "")</f>
        <v>0</v>
      </c>
      <c r="BA125" s="284" t="n">
        <f aca="false">IFERROR(($J125*X125)*$M125, "")</f>
        <v>0</v>
      </c>
      <c r="BB125" s="284" t="n">
        <f aca="false">IFERROR(($J125*Y125)*$M125, "")</f>
        <v>0</v>
      </c>
      <c r="BC125" s="285" t="n">
        <f aca="false">IFERROR(($J125*Z125)*$M125, "")</f>
        <v>0</v>
      </c>
      <c r="BD125" s="286" t="n">
        <f aca="false">IFERROR(SUMIF($AB$4:$AM$4, "RDEC", AR125:BC125), "")</f>
        <v>0</v>
      </c>
      <c r="BE125" s="286" t="n">
        <f aca="false">IFERROR(SUMIF($AB$4:$AM$4, "SME", AR125:BC125), "")</f>
        <v>0</v>
      </c>
      <c r="BF125" s="286" t="n">
        <f aca="false">IFERROR(SUMIF($AB$4:$AM$4, "De Minimis", AR125:BC125), "")</f>
        <v>0</v>
      </c>
      <c r="BG125" s="287"/>
      <c r="BH125" s="288" t="str">
        <f aca="false">IF((SUM(O125:Z125)&gt;1),"ERROR","")</f>
        <v/>
      </c>
      <c r="BI125" s="287"/>
      <c r="BJ125" s="18" t="str">
        <f aca="false">IF(C111&gt;0, C111, "")</f>
        <v/>
      </c>
      <c r="BL125" s="200"/>
      <c r="BM125" s="200"/>
      <c r="BN125" s="200"/>
    </row>
    <row r="126" customFormat="false" ht="15" hidden="false" customHeight="true" outlineLevel="0" collapsed="false">
      <c r="B126" s="275"/>
      <c r="D126" s="276" t="n">
        <f aca="false">D110</f>
        <v>45474</v>
      </c>
      <c r="E126" s="277" t="n">
        <v>6029.91</v>
      </c>
      <c r="F126" s="277" t="n">
        <v>1628.08</v>
      </c>
      <c r="G126" s="277" t="n">
        <v>421.73</v>
      </c>
      <c r="H126" s="277" t="n">
        <v>727.48</v>
      </c>
      <c r="I126" s="277" t="n">
        <v>301.5</v>
      </c>
      <c r="J126" s="278" t="n">
        <f aca="false">E126+H126+I126</f>
        <v>7058.89</v>
      </c>
      <c r="K126" s="204"/>
      <c r="L126" s="279" t="n">
        <v>1</v>
      </c>
      <c r="M126" s="280" t="n">
        <f aca="false">1-L126</f>
        <v>0</v>
      </c>
      <c r="N126" s="281"/>
      <c r="O126" s="282" t="n">
        <v>0.15</v>
      </c>
      <c r="P126" s="282" t="n">
        <v>0.2</v>
      </c>
      <c r="Q126" s="282" t="n">
        <v>0.1</v>
      </c>
      <c r="R126" s="282" t="n">
        <v>0.15</v>
      </c>
      <c r="S126" s="282" t="n">
        <v>0.4</v>
      </c>
      <c r="T126" s="282"/>
      <c r="U126" s="282"/>
      <c r="V126" s="282"/>
      <c r="W126" s="282"/>
      <c r="X126" s="282"/>
      <c r="Y126" s="282"/>
      <c r="Z126" s="282"/>
      <c r="AA126" s="283"/>
      <c r="AB126" s="284" t="n">
        <f aca="false">IFERROR(($J126*O126)*$L126, "")</f>
        <v>1058.8335</v>
      </c>
      <c r="AC126" s="284" t="n">
        <f aca="false">IFERROR(($J126*P126)*$L126, "")</f>
        <v>1411.778</v>
      </c>
      <c r="AD126" s="284" t="n">
        <f aca="false">IFERROR(($J126*Q126)*$L126, "")</f>
        <v>705.889</v>
      </c>
      <c r="AE126" s="284" t="n">
        <f aca="false">IFERROR(($J126*R126)*$L126, "")</f>
        <v>1058.8335</v>
      </c>
      <c r="AF126" s="284" t="n">
        <f aca="false">IFERROR(($J126*S126)*$L126, "")</f>
        <v>2823.556</v>
      </c>
      <c r="AG126" s="284" t="n">
        <f aca="false">IFERROR(($J126*T126)*$L126, "")</f>
        <v>0</v>
      </c>
      <c r="AH126" s="284" t="n">
        <f aca="false">IFERROR(($J126*U126)*$L126, "")</f>
        <v>0</v>
      </c>
      <c r="AI126" s="284" t="n">
        <f aca="false">IFERROR(($J126*V126)*$L126, "")</f>
        <v>0</v>
      </c>
      <c r="AJ126" s="284" t="n">
        <f aca="false">IFERROR(($J126*W126)*$L126, "")</f>
        <v>0</v>
      </c>
      <c r="AK126" s="284" t="n">
        <f aca="false">IFERROR(($J126*X126)*$L126, "")</f>
        <v>0</v>
      </c>
      <c r="AL126" s="284" t="n">
        <f aca="false">IFERROR(($J126*Y126)*$L126, "")</f>
        <v>0</v>
      </c>
      <c r="AM126" s="285" t="n">
        <f aca="false">IFERROR(($J126*Z126)*$L126, "")</f>
        <v>0</v>
      </c>
      <c r="AN126" s="286" t="n">
        <f aca="false">IFERROR(SUMIF($AB$4:$AM$4, "RDEC", AB126:AM126), "")</f>
        <v>1058.8335</v>
      </c>
      <c r="AO126" s="286" t="n">
        <f aca="false">IFERROR(SUMIF($AB$4:$AM$4, "SME", AB126:AM126), "")</f>
        <v>6000.0565</v>
      </c>
      <c r="AP126" s="286" t="n">
        <f aca="false">IFERROR(SUMIF($AB$4:$AM$4, "De Minimis", AB126:AM126), "")</f>
        <v>0</v>
      </c>
      <c r="AQ126" s="283"/>
      <c r="AR126" s="284" t="n">
        <f aca="false">IFERROR(($J126*O126)*$M126, "")</f>
        <v>0</v>
      </c>
      <c r="AS126" s="284" t="n">
        <f aca="false">IFERROR(($J126*P126)*$M126, "")</f>
        <v>0</v>
      </c>
      <c r="AT126" s="284" t="n">
        <f aca="false">IFERROR(($J126*Q126)*$M126, "")</f>
        <v>0</v>
      </c>
      <c r="AU126" s="284" t="n">
        <f aca="false">IFERROR(($J126*R126)*$M126, "")</f>
        <v>0</v>
      </c>
      <c r="AV126" s="284" t="n">
        <f aca="false">IFERROR(($J126*S126)*$M126, "")</f>
        <v>0</v>
      </c>
      <c r="AW126" s="284" t="n">
        <f aca="false">IFERROR(($J126*T126)*$M126, "")</f>
        <v>0</v>
      </c>
      <c r="AX126" s="284" t="n">
        <f aca="false">IFERROR(($J126*U126)*$M126, "")</f>
        <v>0</v>
      </c>
      <c r="AY126" s="284" t="n">
        <f aca="false">IFERROR(($J126*V126)*$M126, "")</f>
        <v>0</v>
      </c>
      <c r="AZ126" s="284" t="n">
        <f aca="false">IFERROR(($J126*W126)*$M126, "")</f>
        <v>0</v>
      </c>
      <c r="BA126" s="284" t="n">
        <f aca="false">IFERROR(($J126*X126)*$M126, "")</f>
        <v>0</v>
      </c>
      <c r="BB126" s="284" t="n">
        <f aca="false">IFERROR(($J126*Y126)*$M126, "")</f>
        <v>0</v>
      </c>
      <c r="BC126" s="285" t="n">
        <f aca="false">IFERROR(($J126*Z126)*$M126, "")</f>
        <v>0</v>
      </c>
      <c r="BD126" s="286" t="n">
        <f aca="false">IFERROR(SUMIF($AB$4:$AM$4, "RDEC", AR126:BC126), "")</f>
        <v>0</v>
      </c>
      <c r="BE126" s="286" t="n">
        <f aca="false">IFERROR(SUMIF($AB$4:$AM$4, "SME", AR126:BC126), "")</f>
        <v>0</v>
      </c>
      <c r="BF126" s="286" t="n">
        <f aca="false">IFERROR(SUMIF($AB$4:$AM$4, "De Minimis", AR126:BC126), "")</f>
        <v>0</v>
      </c>
      <c r="BG126" s="287"/>
      <c r="BH126" s="288" t="str">
        <f aca="false">IF((SUM(O126:Z126)&gt;1),"ERROR","")</f>
        <v/>
      </c>
      <c r="BI126" s="287"/>
      <c r="BJ126" s="18" t="str">
        <f aca="false">IF(C112&gt;0, C112, "")</f>
        <v/>
      </c>
      <c r="BL126" s="200"/>
      <c r="BM126" s="200"/>
      <c r="BN126" s="200"/>
    </row>
    <row r="127" customFormat="false" ht="15" hidden="false" customHeight="true" outlineLevel="0" collapsed="false">
      <c r="B127" s="275"/>
      <c r="D127" s="276" t="n">
        <f aca="false">D111</f>
        <v>45505</v>
      </c>
      <c r="E127" s="277" t="n">
        <v>5884.23</v>
      </c>
      <c r="F127" s="277" t="n">
        <v>1588.74</v>
      </c>
      <c r="G127" s="277" t="n">
        <v>410.07</v>
      </c>
      <c r="H127" s="277" t="n">
        <v>707.37</v>
      </c>
      <c r="I127" s="277" t="n">
        <v>294.21</v>
      </c>
      <c r="J127" s="278" t="n">
        <f aca="false">E127+H127+I127</f>
        <v>6885.81</v>
      </c>
      <c r="K127" s="204"/>
      <c r="L127" s="279" t="n">
        <v>1</v>
      </c>
      <c r="M127" s="280" t="n">
        <f aca="false">1-L127</f>
        <v>0</v>
      </c>
      <c r="N127" s="281"/>
      <c r="O127" s="282" t="n">
        <v>0.15</v>
      </c>
      <c r="P127" s="282" t="n">
        <v>0.2</v>
      </c>
      <c r="Q127" s="282" t="n">
        <v>0.1</v>
      </c>
      <c r="R127" s="282" t="n">
        <v>0.15</v>
      </c>
      <c r="S127" s="282" t="n">
        <v>0.4</v>
      </c>
      <c r="T127" s="282"/>
      <c r="U127" s="282"/>
      <c r="V127" s="282"/>
      <c r="W127" s="282"/>
      <c r="X127" s="282"/>
      <c r="Y127" s="282"/>
      <c r="Z127" s="282"/>
      <c r="AA127" s="283"/>
      <c r="AB127" s="284" t="n">
        <f aca="false">IFERROR(($J127*O127)*$L127, "")</f>
        <v>1032.8715</v>
      </c>
      <c r="AC127" s="284" t="n">
        <f aca="false">IFERROR(($J127*P127)*$L127, "")</f>
        <v>1377.162</v>
      </c>
      <c r="AD127" s="284" t="n">
        <f aca="false">IFERROR(($J127*Q127)*$L127, "")</f>
        <v>688.581</v>
      </c>
      <c r="AE127" s="284" t="n">
        <f aca="false">IFERROR(($J127*R127)*$L127, "")</f>
        <v>1032.8715</v>
      </c>
      <c r="AF127" s="284" t="n">
        <f aca="false">IFERROR(($J127*S127)*$L127, "")</f>
        <v>2754.324</v>
      </c>
      <c r="AG127" s="284" t="n">
        <f aca="false">IFERROR(($J127*T127)*$L127, "")</f>
        <v>0</v>
      </c>
      <c r="AH127" s="284" t="n">
        <f aca="false">IFERROR(($J127*U127)*$L127, "")</f>
        <v>0</v>
      </c>
      <c r="AI127" s="284" t="n">
        <f aca="false">IFERROR(($J127*V127)*$L127, "")</f>
        <v>0</v>
      </c>
      <c r="AJ127" s="284" t="n">
        <f aca="false">IFERROR(($J127*W127)*$L127, "")</f>
        <v>0</v>
      </c>
      <c r="AK127" s="284" t="n">
        <f aca="false">IFERROR(($J127*X127)*$L127, "")</f>
        <v>0</v>
      </c>
      <c r="AL127" s="284" t="n">
        <f aca="false">IFERROR(($J127*Y127)*$L127, "")</f>
        <v>0</v>
      </c>
      <c r="AM127" s="285" t="n">
        <f aca="false">IFERROR(($J127*Z127)*$L127, "")</f>
        <v>0</v>
      </c>
      <c r="AN127" s="286" t="n">
        <f aca="false">IFERROR(SUMIF($AB$4:$AM$4, "RDEC", AB127:AM127), "")</f>
        <v>1032.8715</v>
      </c>
      <c r="AO127" s="286" t="n">
        <f aca="false">IFERROR(SUMIF($AB$4:$AM$4, "SME", AB127:AM127), "")</f>
        <v>5852.9385</v>
      </c>
      <c r="AP127" s="286" t="n">
        <f aca="false">IFERROR(SUMIF($AB$4:$AM$4, "De Minimis", AB127:AM127), "")</f>
        <v>0</v>
      </c>
      <c r="AQ127" s="283"/>
      <c r="AR127" s="284" t="n">
        <f aca="false">IFERROR(($J127*O127)*$M127, "")</f>
        <v>0</v>
      </c>
      <c r="AS127" s="284" t="n">
        <f aca="false">IFERROR(($J127*P127)*$M127, "")</f>
        <v>0</v>
      </c>
      <c r="AT127" s="284" t="n">
        <f aca="false">IFERROR(($J127*Q127)*$M127, "")</f>
        <v>0</v>
      </c>
      <c r="AU127" s="284" t="n">
        <f aca="false">IFERROR(($J127*R127)*$M127, "")</f>
        <v>0</v>
      </c>
      <c r="AV127" s="284" t="n">
        <f aca="false">IFERROR(($J127*S127)*$M127, "")</f>
        <v>0</v>
      </c>
      <c r="AW127" s="284" t="n">
        <f aca="false">IFERROR(($J127*T127)*$M127, "")</f>
        <v>0</v>
      </c>
      <c r="AX127" s="284" t="n">
        <f aca="false">IFERROR(($J127*U127)*$M127, "")</f>
        <v>0</v>
      </c>
      <c r="AY127" s="284" t="n">
        <f aca="false">IFERROR(($J127*V127)*$M127, "")</f>
        <v>0</v>
      </c>
      <c r="AZ127" s="284" t="n">
        <f aca="false">IFERROR(($J127*W127)*$M127, "")</f>
        <v>0</v>
      </c>
      <c r="BA127" s="284" t="n">
        <f aca="false">IFERROR(($J127*X127)*$M127, "")</f>
        <v>0</v>
      </c>
      <c r="BB127" s="284" t="n">
        <f aca="false">IFERROR(($J127*Y127)*$M127, "")</f>
        <v>0</v>
      </c>
      <c r="BC127" s="285" t="n">
        <f aca="false">IFERROR(($J127*Z127)*$M127, "")</f>
        <v>0</v>
      </c>
      <c r="BD127" s="286" t="n">
        <f aca="false">IFERROR(SUMIF($AB$4:$AM$4, "RDEC", AR127:BC127), "")</f>
        <v>0</v>
      </c>
      <c r="BE127" s="286" t="n">
        <f aca="false">IFERROR(SUMIF($AB$4:$AM$4, "SME", AR127:BC127), "")</f>
        <v>0</v>
      </c>
      <c r="BF127" s="286" t="n">
        <f aca="false">IFERROR(SUMIF($AB$4:$AM$4, "De Minimis", AR127:BC127), "")</f>
        <v>0</v>
      </c>
      <c r="BG127" s="287"/>
      <c r="BH127" s="288" t="str">
        <f aca="false">IF((SUM(O127:Z127)&gt;1),"ERROR","")</f>
        <v/>
      </c>
      <c r="BI127" s="287"/>
      <c r="BJ127" s="18" t="str">
        <f aca="false">IF(C113&gt;0, C113, "")</f>
        <v/>
      </c>
      <c r="BL127" s="200"/>
      <c r="BM127" s="200"/>
      <c r="BN127" s="200"/>
    </row>
    <row r="128" customFormat="false" ht="15" hidden="false" customHeight="true" outlineLevel="0" collapsed="false">
      <c r="B128" s="275"/>
      <c r="D128" s="276" t="n">
        <f aca="false">D112</f>
        <v>45536</v>
      </c>
      <c r="E128" s="277" t="n">
        <v>5909.86</v>
      </c>
      <c r="F128" s="277" t="n">
        <v>1595.66</v>
      </c>
      <c r="G128" s="277" t="n">
        <v>412.12</v>
      </c>
      <c r="H128" s="277" t="n">
        <v>710.91</v>
      </c>
      <c r="I128" s="277" t="n">
        <v>295.49</v>
      </c>
      <c r="J128" s="278" t="n">
        <f aca="false">E128+H128+I128</f>
        <v>6916.26</v>
      </c>
      <c r="K128" s="204"/>
      <c r="L128" s="279" t="n">
        <v>1</v>
      </c>
      <c r="M128" s="280" t="n">
        <f aca="false">1-L128</f>
        <v>0</v>
      </c>
      <c r="N128" s="281"/>
      <c r="O128" s="282" t="n">
        <v>0.15</v>
      </c>
      <c r="P128" s="282" t="n">
        <v>0.2</v>
      </c>
      <c r="Q128" s="282" t="n">
        <v>0.1</v>
      </c>
      <c r="R128" s="282" t="n">
        <v>0.15</v>
      </c>
      <c r="S128" s="282" t="n">
        <v>0.4</v>
      </c>
      <c r="T128" s="282"/>
      <c r="U128" s="282"/>
      <c r="V128" s="282"/>
      <c r="W128" s="282"/>
      <c r="X128" s="282"/>
      <c r="Y128" s="282"/>
      <c r="Z128" s="282"/>
      <c r="AA128" s="283"/>
      <c r="AB128" s="284" t="n">
        <f aca="false">IFERROR(($J128*O128)*$L128, "")</f>
        <v>1037.439</v>
      </c>
      <c r="AC128" s="284" t="n">
        <f aca="false">IFERROR(($J128*P128)*$L128, "")</f>
        <v>1383.252</v>
      </c>
      <c r="AD128" s="284" t="n">
        <f aca="false">IFERROR(($J128*Q128)*$L128, "")</f>
        <v>691.626</v>
      </c>
      <c r="AE128" s="284" t="n">
        <f aca="false">IFERROR(($J128*R128)*$L128, "")</f>
        <v>1037.439</v>
      </c>
      <c r="AF128" s="284" t="n">
        <f aca="false">IFERROR(($J128*S128)*$L128, "")</f>
        <v>2766.504</v>
      </c>
      <c r="AG128" s="284" t="n">
        <f aca="false">IFERROR(($J128*T128)*$L128, "")</f>
        <v>0</v>
      </c>
      <c r="AH128" s="284" t="n">
        <f aca="false">IFERROR(($J128*U128)*$L128, "")</f>
        <v>0</v>
      </c>
      <c r="AI128" s="284" t="n">
        <f aca="false">IFERROR(($J128*V128)*$L128, "")</f>
        <v>0</v>
      </c>
      <c r="AJ128" s="284" t="n">
        <f aca="false">IFERROR(($J128*W128)*$L128, "")</f>
        <v>0</v>
      </c>
      <c r="AK128" s="284" t="n">
        <f aca="false">IFERROR(($J128*X128)*$L128, "")</f>
        <v>0</v>
      </c>
      <c r="AL128" s="284" t="n">
        <f aca="false">IFERROR(($J128*Y128)*$L128, "")</f>
        <v>0</v>
      </c>
      <c r="AM128" s="285" t="n">
        <f aca="false">IFERROR(($J128*Z128)*$L128, "")</f>
        <v>0</v>
      </c>
      <c r="AN128" s="286" t="n">
        <f aca="false">IFERROR(SUMIF($AB$4:$AM$4, "RDEC", AB128:AM128), "")</f>
        <v>1037.439</v>
      </c>
      <c r="AO128" s="286" t="n">
        <f aca="false">IFERROR(SUMIF($AB$4:$AM$4, "SME", AB128:AM128), "")</f>
        <v>5878.821</v>
      </c>
      <c r="AP128" s="286" t="n">
        <f aca="false">IFERROR(SUMIF($AB$4:$AM$4, "De Minimis", AB128:AM128), "")</f>
        <v>0</v>
      </c>
      <c r="AQ128" s="283"/>
      <c r="AR128" s="284" t="n">
        <f aca="false">IFERROR(($J128*O128)*$M128, "")</f>
        <v>0</v>
      </c>
      <c r="AS128" s="284" t="n">
        <f aca="false">IFERROR(($J128*P128)*$M128, "")</f>
        <v>0</v>
      </c>
      <c r="AT128" s="284" t="n">
        <f aca="false">IFERROR(($J128*Q128)*$M128, "")</f>
        <v>0</v>
      </c>
      <c r="AU128" s="284" t="n">
        <f aca="false">IFERROR(($J128*R128)*$M128, "")</f>
        <v>0</v>
      </c>
      <c r="AV128" s="284" t="n">
        <f aca="false">IFERROR(($J128*S128)*$M128, "")</f>
        <v>0</v>
      </c>
      <c r="AW128" s="284" t="n">
        <f aca="false">IFERROR(($J128*T128)*$M128, "")</f>
        <v>0</v>
      </c>
      <c r="AX128" s="284" t="n">
        <f aca="false">IFERROR(($J128*U128)*$M128, "")</f>
        <v>0</v>
      </c>
      <c r="AY128" s="284" t="n">
        <f aca="false">IFERROR(($J128*V128)*$M128, "")</f>
        <v>0</v>
      </c>
      <c r="AZ128" s="284" t="n">
        <f aca="false">IFERROR(($J128*W128)*$M128, "")</f>
        <v>0</v>
      </c>
      <c r="BA128" s="284" t="n">
        <f aca="false">IFERROR(($J128*X128)*$M128, "")</f>
        <v>0</v>
      </c>
      <c r="BB128" s="284" t="n">
        <f aca="false">IFERROR(($J128*Y128)*$M128, "")</f>
        <v>0</v>
      </c>
      <c r="BC128" s="285" t="n">
        <f aca="false">IFERROR(($J128*Z128)*$M128, "")</f>
        <v>0</v>
      </c>
      <c r="BD128" s="286" t="n">
        <f aca="false">IFERROR(SUMIF($AB$4:$AM$4, "RDEC", AR128:BC128), "")</f>
        <v>0</v>
      </c>
      <c r="BE128" s="286" t="n">
        <f aca="false">IFERROR(SUMIF($AB$4:$AM$4, "SME", AR128:BC128), "")</f>
        <v>0</v>
      </c>
      <c r="BF128" s="286" t="n">
        <f aca="false">IFERROR(SUMIF($AB$4:$AM$4, "De Minimis", AR128:BC128), "")</f>
        <v>0</v>
      </c>
      <c r="BG128" s="287"/>
      <c r="BH128" s="288" t="str">
        <f aca="false">IF((SUM(O128:Z128)&gt;1),"ERROR","")</f>
        <v/>
      </c>
      <c r="BI128" s="287"/>
      <c r="BJ128" s="18" t="str">
        <f aca="false">IF(C114&gt;0, C114, "")</f>
        <v/>
      </c>
      <c r="BL128" s="200"/>
      <c r="BM128" s="200"/>
      <c r="BN128" s="200"/>
    </row>
    <row r="129" customFormat="false" ht="15" hidden="false" customHeight="true" outlineLevel="0" collapsed="false">
      <c r="B129" s="275"/>
      <c r="D129" s="276" t="n">
        <f aca="false">D113</f>
        <v>45566</v>
      </c>
      <c r="E129" s="277" t="n">
        <v>6008.2</v>
      </c>
      <c r="F129" s="277" t="n">
        <v>1622.21</v>
      </c>
      <c r="G129" s="277" t="n">
        <v>419.99</v>
      </c>
      <c r="H129" s="277" t="n">
        <v>724.48</v>
      </c>
      <c r="I129" s="277" t="n">
        <v>300.41</v>
      </c>
      <c r="J129" s="278" t="n">
        <f aca="false">E129+H129+I129</f>
        <v>7033.09</v>
      </c>
      <c r="K129" s="204"/>
      <c r="L129" s="279" t="n">
        <v>1</v>
      </c>
      <c r="M129" s="280" t="n">
        <f aca="false">1-L129</f>
        <v>0</v>
      </c>
      <c r="N129" s="281"/>
      <c r="O129" s="282" t="n">
        <v>0.15</v>
      </c>
      <c r="P129" s="282" t="n">
        <v>0.2</v>
      </c>
      <c r="Q129" s="282" t="n">
        <v>0.1</v>
      </c>
      <c r="R129" s="282" t="n">
        <v>0.15</v>
      </c>
      <c r="S129" s="282" t="n">
        <v>0.4</v>
      </c>
      <c r="T129" s="282"/>
      <c r="U129" s="282"/>
      <c r="V129" s="282"/>
      <c r="W129" s="282"/>
      <c r="X129" s="282"/>
      <c r="Y129" s="282"/>
      <c r="Z129" s="282"/>
      <c r="AA129" s="283"/>
      <c r="AB129" s="284" t="n">
        <f aca="false">IFERROR(($J129*O129)*$L129, "")</f>
        <v>1054.9635</v>
      </c>
      <c r="AC129" s="284" t="n">
        <f aca="false">IFERROR(($J129*P129)*$L129, "")</f>
        <v>1406.618</v>
      </c>
      <c r="AD129" s="284" t="n">
        <f aca="false">IFERROR(($J129*Q129)*$L129, "")</f>
        <v>703.309</v>
      </c>
      <c r="AE129" s="284" t="n">
        <f aca="false">IFERROR(($J129*R129)*$L129, "")</f>
        <v>1054.9635</v>
      </c>
      <c r="AF129" s="284" t="n">
        <f aca="false">IFERROR(($J129*S129)*$L129, "")</f>
        <v>2813.236</v>
      </c>
      <c r="AG129" s="284" t="n">
        <f aca="false">IFERROR(($J129*T129)*$L129, "")</f>
        <v>0</v>
      </c>
      <c r="AH129" s="284" t="n">
        <f aca="false">IFERROR(($J129*U129)*$L129, "")</f>
        <v>0</v>
      </c>
      <c r="AI129" s="284" t="n">
        <f aca="false">IFERROR(($J129*V129)*$L129, "")</f>
        <v>0</v>
      </c>
      <c r="AJ129" s="284" t="n">
        <f aca="false">IFERROR(($J129*W129)*$L129, "")</f>
        <v>0</v>
      </c>
      <c r="AK129" s="284" t="n">
        <f aca="false">IFERROR(($J129*X129)*$L129, "")</f>
        <v>0</v>
      </c>
      <c r="AL129" s="284" t="n">
        <f aca="false">IFERROR(($J129*Y129)*$L129, "")</f>
        <v>0</v>
      </c>
      <c r="AM129" s="285" t="n">
        <f aca="false">IFERROR(($J129*Z129)*$L129, "")</f>
        <v>0</v>
      </c>
      <c r="AN129" s="286" t="n">
        <f aca="false">IFERROR(SUMIF($AB$4:$AM$4, "RDEC", AB129:AM129), "")</f>
        <v>1054.9635</v>
      </c>
      <c r="AO129" s="286" t="n">
        <f aca="false">IFERROR(SUMIF($AB$4:$AM$4, "SME", AB129:AM129), "")</f>
        <v>5978.1265</v>
      </c>
      <c r="AP129" s="286" t="n">
        <f aca="false">IFERROR(SUMIF($AB$4:$AM$4, "De Minimis", AB129:AM129), "")</f>
        <v>0</v>
      </c>
      <c r="AQ129" s="283"/>
      <c r="AR129" s="284" t="n">
        <f aca="false">IFERROR(($J129*O129)*$M129, "")</f>
        <v>0</v>
      </c>
      <c r="AS129" s="284" t="n">
        <f aca="false">IFERROR(($J129*P129)*$M129, "")</f>
        <v>0</v>
      </c>
      <c r="AT129" s="284" t="n">
        <f aca="false">IFERROR(($J129*Q129)*$M129, "")</f>
        <v>0</v>
      </c>
      <c r="AU129" s="284" t="n">
        <f aca="false">IFERROR(($J129*R129)*$M129, "")</f>
        <v>0</v>
      </c>
      <c r="AV129" s="284" t="n">
        <f aca="false">IFERROR(($J129*S129)*$M129, "")</f>
        <v>0</v>
      </c>
      <c r="AW129" s="284" t="n">
        <f aca="false">IFERROR(($J129*T129)*$M129, "")</f>
        <v>0</v>
      </c>
      <c r="AX129" s="284" t="n">
        <f aca="false">IFERROR(($J129*U129)*$M129, "")</f>
        <v>0</v>
      </c>
      <c r="AY129" s="284" t="n">
        <f aca="false">IFERROR(($J129*V129)*$M129, "")</f>
        <v>0</v>
      </c>
      <c r="AZ129" s="284" t="n">
        <f aca="false">IFERROR(($J129*W129)*$M129, "")</f>
        <v>0</v>
      </c>
      <c r="BA129" s="284" t="n">
        <f aca="false">IFERROR(($J129*X129)*$M129, "")</f>
        <v>0</v>
      </c>
      <c r="BB129" s="284" t="n">
        <f aca="false">IFERROR(($J129*Y129)*$M129, "")</f>
        <v>0</v>
      </c>
      <c r="BC129" s="285" t="n">
        <f aca="false">IFERROR(($J129*Z129)*$M129, "")</f>
        <v>0</v>
      </c>
      <c r="BD129" s="286" t="n">
        <f aca="false">IFERROR(SUMIF($AB$4:$AM$4, "RDEC", AR129:BC129), "")</f>
        <v>0</v>
      </c>
      <c r="BE129" s="286" t="n">
        <f aca="false">IFERROR(SUMIF($AB$4:$AM$4, "SME", AR129:BC129), "")</f>
        <v>0</v>
      </c>
      <c r="BF129" s="286" t="n">
        <f aca="false">IFERROR(SUMIF($AB$4:$AM$4, "De Minimis", AR129:BC129), "")</f>
        <v>0</v>
      </c>
      <c r="BG129" s="287"/>
      <c r="BH129" s="288" t="str">
        <f aca="false">IF((SUM(O129:Z129)&gt;1),"ERROR","")</f>
        <v/>
      </c>
      <c r="BI129" s="287"/>
      <c r="BJ129" s="18" t="str">
        <f aca="false">IF(C115&gt;0, C115, "")</f>
        <v/>
      </c>
      <c r="BL129" s="200"/>
      <c r="BM129" s="200"/>
      <c r="BN129" s="200"/>
    </row>
    <row r="130" customFormat="false" ht="15" hidden="false" customHeight="true" outlineLevel="0" collapsed="false">
      <c r="B130" s="275"/>
      <c r="D130" s="276" t="n">
        <f aca="false">D114</f>
        <v>45597</v>
      </c>
      <c r="E130" s="277" t="n">
        <v>5971.34</v>
      </c>
      <c r="F130" s="277" t="n">
        <v>1612.26</v>
      </c>
      <c r="G130" s="277" t="n">
        <v>417.04</v>
      </c>
      <c r="H130" s="277" t="n">
        <v>719.4</v>
      </c>
      <c r="I130" s="277" t="n">
        <v>298.57</v>
      </c>
      <c r="J130" s="278" t="n">
        <f aca="false">E130+H130+I130</f>
        <v>6989.31</v>
      </c>
      <c r="K130" s="204"/>
      <c r="L130" s="279" t="n">
        <v>1</v>
      </c>
      <c r="M130" s="280" t="n">
        <f aca="false">1-L130</f>
        <v>0</v>
      </c>
      <c r="N130" s="281"/>
      <c r="O130" s="282" t="n">
        <v>0.15</v>
      </c>
      <c r="P130" s="282" t="n">
        <v>0.2</v>
      </c>
      <c r="Q130" s="282" t="n">
        <v>0.1</v>
      </c>
      <c r="R130" s="282" t="n">
        <v>0.15</v>
      </c>
      <c r="S130" s="282" t="n">
        <v>0.4</v>
      </c>
      <c r="T130" s="282"/>
      <c r="U130" s="282"/>
      <c r="V130" s="282"/>
      <c r="W130" s="282"/>
      <c r="X130" s="282"/>
      <c r="Y130" s="282"/>
      <c r="Z130" s="282"/>
      <c r="AA130" s="283"/>
      <c r="AB130" s="284" t="n">
        <f aca="false">IFERROR(($J130*O130)*$L130, "")</f>
        <v>1048.3965</v>
      </c>
      <c r="AC130" s="284" t="n">
        <f aca="false">IFERROR(($J130*P130)*$L130, "")</f>
        <v>1397.862</v>
      </c>
      <c r="AD130" s="284" t="n">
        <f aca="false">IFERROR(($J130*Q130)*$L130, "")</f>
        <v>698.931</v>
      </c>
      <c r="AE130" s="284" t="n">
        <f aca="false">IFERROR(($J130*R130)*$L130, "")</f>
        <v>1048.3965</v>
      </c>
      <c r="AF130" s="284" t="n">
        <f aca="false">IFERROR(($J130*S130)*$L130, "")</f>
        <v>2795.724</v>
      </c>
      <c r="AG130" s="284" t="n">
        <f aca="false">IFERROR(($J130*T130)*$L130, "")</f>
        <v>0</v>
      </c>
      <c r="AH130" s="284" t="n">
        <f aca="false">IFERROR(($J130*U130)*$L130, "")</f>
        <v>0</v>
      </c>
      <c r="AI130" s="284" t="n">
        <f aca="false">IFERROR(($J130*V130)*$L130, "")</f>
        <v>0</v>
      </c>
      <c r="AJ130" s="284" t="n">
        <f aca="false">IFERROR(($J130*W130)*$L130, "")</f>
        <v>0</v>
      </c>
      <c r="AK130" s="284" t="n">
        <f aca="false">IFERROR(($J130*X130)*$L130, "")</f>
        <v>0</v>
      </c>
      <c r="AL130" s="284" t="n">
        <f aca="false">IFERROR(($J130*Y130)*$L130, "")</f>
        <v>0</v>
      </c>
      <c r="AM130" s="285" t="n">
        <f aca="false">IFERROR(($J130*Z130)*$L130, "")</f>
        <v>0</v>
      </c>
      <c r="AN130" s="286" t="n">
        <f aca="false">IFERROR(SUMIF($AB$4:$AM$4, "RDEC", AB130:AM130), "")</f>
        <v>1048.3965</v>
      </c>
      <c r="AO130" s="286" t="n">
        <f aca="false">IFERROR(SUMIF($AB$4:$AM$4, "SME", AB130:AM130), "")</f>
        <v>5940.9135</v>
      </c>
      <c r="AP130" s="286" t="n">
        <f aca="false">IFERROR(SUMIF($AB$4:$AM$4, "De Minimis", AB130:AM130), "")</f>
        <v>0</v>
      </c>
      <c r="AQ130" s="283"/>
      <c r="AR130" s="284" t="n">
        <f aca="false">IFERROR(($J130*O130)*$M130, "")</f>
        <v>0</v>
      </c>
      <c r="AS130" s="284" t="n">
        <f aca="false">IFERROR(($J130*P130)*$M130, "")</f>
        <v>0</v>
      </c>
      <c r="AT130" s="284" t="n">
        <f aca="false">IFERROR(($J130*Q130)*$M130, "")</f>
        <v>0</v>
      </c>
      <c r="AU130" s="284" t="n">
        <f aca="false">IFERROR(($J130*R130)*$M130, "")</f>
        <v>0</v>
      </c>
      <c r="AV130" s="284" t="n">
        <f aca="false">IFERROR(($J130*S130)*$M130, "")</f>
        <v>0</v>
      </c>
      <c r="AW130" s="284" t="n">
        <f aca="false">IFERROR(($J130*T130)*$M130, "")</f>
        <v>0</v>
      </c>
      <c r="AX130" s="284" t="n">
        <f aca="false">IFERROR(($J130*U130)*$M130, "")</f>
        <v>0</v>
      </c>
      <c r="AY130" s="284" t="n">
        <f aca="false">IFERROR(($J130*V130)*$M130, "")</f>
        <v>0</v>
      </c>
      <c r="AZ130" s="284" t="n">
        <f aca="false">IFERROR(($J130*W130)*$M130, "")</f>
        <v>0</v>
      </c>
      <c r="BA130" s="284" t="n">
        <f aca="false">IFERROR(($J130*X130)*$M130, "")</f>
        <v>0</v>
      </c>
      <c r="BB130" s="284" t="n">
        <f aca="false">IFERROR(($J130*Y130)*$M130, "")</f>
        <v>0</v>
      </c>
      <c r="BC130" s="285" t="n">
        <f aca="false">IFERROR(($J130*Z130)*$M130, "")</f>
        <v>0</v>
      </c>
      <c r="BD130" s="286" t="n">
        <f aca="false">IFERROR(SUMIF($AB$4:$AM$4, "RDEC", AR130:BC130), "")</f>
        <v>0</v>
      </c>
      <c r="BE130" s="286" t="n">
        <f aca="false">IFERROR(SUMIF($AB$4:$AM$4, "SME", AR130:BC130), "")</f>
        <v>0</v>
      </c>
      <c r="BF130" s="286" t="n">
        <f aca="false">IFERROR(SUMIF($AB$4:$AM$4, "De Minimis", AR130:BC130), "")</f>
        <v>0</v>
      </c>
      <c r="BG130" s="287"/>
      <c r="BH130" s="288" t="str">
        <f aca="false">IF((SUM(O130:Z130)&gt;1),"ERROR","")</f>
        <v/>
      </c>
      <c r="BI130" s="287"/>
      <c r="BJ130" s="18" t="str">
        <f aca="false">IF(C116&gt;0, C116, "")</f>
        <v/>
      </c>
      <c r="BL130" s="200"/>
      <c r="BM130" s="200"/>
      <c r="BN130" s="200"/>
    </row>
    <row r="131" customFormat="false" ht="15" hidden="false" customHeight="true" outlineLevel="0" collapsed="false">
      <c r="B131" s="275"/>
      <c r="D131" s="276" t="n">
        <f aca="false">D115</f>
        <v>45627</v>
      </c>
      <c r="E131" s="277" t="n">
        <v>6027.54</v>
      </c>
      <c r="F131" s="277" t="n">
        <v>1627.44</v>
      </c>
      <c r="G131" s="277" t="n">
        <v>421.54</v>
      </c>
      <c r="H131" s="277" t="n">
        <v>727.15</v>
      </c>
      <c r="I131" s="277" t="n">
        <v>301.38</v>
      </c>
      <c r="J131" s="278" t="n">
        <f aca="false">E131+H131+I131</f>
        <v>7056.07</v>
      </c>
      <c r="K131" s="204"/>
      <c r="L131" s="289" t="n">
        <v>1</v>
      </c>
      <c r="M131" s="290" t="n">
        <f aca="false">1-L131</f>
        <v>0</v>
      </c>
      <c r="N131" s="281"/>
      <c r="O131" s="291" t="n">
        <v>0.15</v>
      </c>
      <c r="P131" s="291" t="n">
        <v>0.2</v>
      </c>
      <c r="Q131" s="291" t="n">
        <v>0.1</v>
      </c>
      <c r="R131" s="291" t="n">
        <v>0.15</v>
      </c>
      <c r="S131" s="291" t="n">
        <v>0.4</v>
      </c>
      <c r="T131" s="291"/>
      <c r="U131" s="291"/>
      <c r="V131" s="291"/>
      <c r="W131" s="291"/>
      <c r="X131" s="291"/>
      <c r="Y131" s="291"/>
      <c r="Z131" s="291"/>
      <c r="AA131" s="283"/>
      <c r="AB131" s="292" t="n">
        <f aca="false">IFERROR(($J131*O131)*$L131, "")</f>
        <v>1058.4105</v>
      </c>
      <c r="AC131" s="292" t="n">
        <f aca="false">IFERROR(($J131*P131)*$L131, "")</f>
        <v>1411.214</v>
      </c>
      <c r="AD131" s="292" t="n">
        <f aca="false">IFERROR(($J131*Q131)*$L131, "")</f>
        <v>705.607</v>
      </c>
      <c r="AE131" s="292" t="n">
        <f aca="false">IFERROR(($J131*R131)*$L131, "")</f>
        <v>1058.4105</v>
      </c>
      <c r="AF131" s="292" t="n">
        <f aca="false">IFERROR(($J131*S131)*$L131, "")</f>
        <v>2822.428</v>
      </c>
      <c r="AG131" s="292" t="n">
        <f aca="false">IFERROR(($J131*T131)*$L131, "")</f>
        <v>0</v>
      </c>
      <c r="AH131" s="292" t="n">
        <f aca="false">IFERROR(($J131*U131)*$L131, "")</f>
        <v>0</v>
      </c>
      <c r="AI131" s="292" t="n">
        <f aca="false">IFERROR(($J131*V131)*$L131, "")</f>
        <v>0</v>
      </c>
      <c r="AJ131" s="292" t="n">
        <f aca="false">IFERROR(($J131*W131)*$L131, "")</f>
        <v>0</v>
      </c>
      <c r="AK131" s="292" t="n">
        <f aca="false">IFERROR(($J131*X131)*$L131, "")</f>
        <v>0</v>
      </c>
      <c r="AL131" s="292" t="n">
        <f aca="false">IFERROR(($J131*Y131)*$L131, "")</f>
        <v>0</v>
      </c>
      <c r="AM131" s="293" t="n">
        <f aca="false">IFERROR(($J131*Z131)*$L131, "")</f>
        <v>0</v>
      </c>
      <c r="AN131" s="294" t="n">
        <f aca="false">IFERROR(SUMIF($AB$4:$AM$4, "RDEC", AB131:AM131), "")</f>
        <v>1058.4105</v>
      </c>
      <c r="AO131" s="294" t="n">
        <f aca="false">IFERROR(SUMIF($AB$4:$AM$4, "SME", AB131:AM131), "")</f>
        <v>5997.6595</v>
      </c>
      <c r="AP131" s="294" t="n">
        <f aca="false">IFERROR(SUMIF($AB$4:$AM$4, "De Minimis", AB131:AM131), "")</f>
        <v>0</v>
      </c>
      <c r="AQ131" s="283"/>
      <c r="AR131" s="292" t="n">
        <f aca="false">IFERROR(($J131*O131)*$M131, "")</f>
        <v>0</v>
      </c>
      <c r="AS131" s="292" t="n">
        <f aca="false">IFERROR(($J131*P131)*$M131, "")</f>
        <v>0</v>
      </c>
      <c r="AT131" s="292" t="n">
        <f aca="false">IFERROR(($J131*Q131)*$M131, "")</f>
        <v>0</v>
      </c>
      <c r="AU131" s="292" t="n">
        <f aca="false">IFERROR(($J131*R131)*$M131, "")</f>
        <v>0</v>
      </c>
      <c r="AV131" s="292" t="n">
        <f aca="false">IFERROR(($J131*S131)*$M131, "")</f>
        <v>0</v>
      </c>
      <c r="AW131" s="292" t="n">
        <f aca="false">IFERROR(($J131*T131)*$M131, "")</f>
        <v>0</v>
      </c>
      <c r="AX131" s="292" t="n">
        <f aca="false">IFERROR(($J131*U131)*$M131, "")</f>
        <v>0</v>
      </c>
      <c r="AY131" s="292" t="n">
        <f aca="false">IFERROR(($J131*V131)*$M131, "")</f>
        <v>0</v>
      </c>
      <c r="AZ131" s="292" t="n">
        <f aca="false">IFERROR(($J131*W131)*$M131, "")</f>
        <v>0</v>
      </c>
      <c r="BA131" s="292" t="n">
        <f aca="false">IFERROR(($J131*X131)*$M131, "")</f>
        <v>0</v>
      </c>
      <c r="BB131" s="292" t="n">
        <f aca="false">IFERROR(($J131*Y131)*$M131, "")</f>
        <v>0</v>
      </c>
      <c r="BC131" s="293" t="n">
        <f aca="false">IFERROR(($J131*Z131)*$M131, "")</f>
        <v>0</v>
      </c>
      <c r="BD131" s="294" t="n">
        <f aca="false">IFERROR(SUMIF($AB$4:$AM$4, "RDEC", AR131:BC131), "")</f>
        <v>0</v>
      </c>
      <c r="BE131" s="294" t="n">
        <f aca="false">IFERROR(SUMIF($AB$4:$AM$4, "SME", AR131:BC131), "")</f>
        <v>0</v>
      </c>
      <c r="BF131" s="294" t="n">
        <f aca="false">IFERROR(SUMIF($AB$4:$AM$4, "De Minimis", AR131:BC131), "")</f>
        <v>0</v>
      </c>
      <c r="BG131" s="287"/>
      <c r="BH131" s="295" t="str">
        <f aca="false">IF((SUM(O131:Z131)&gt;1),"ERROR","")</f>
        <v/>
      </c>
      <c r="BI131" s="287"/>
      <c r="BJ131" s="18" t="str">
        <f aca="false">IF(C117&gt;0, C117, "")</f>
        <v/>
      </c>
      <c r="BL131" s="200"/>
      <c r="BM131" s="200"/>
      <c r="BN131" s="200"/>
    </row>
    <row r="132" customFormat="false" ht="15" hidden="false" customHeight="true" outlineLevel="0" collapsed="false">
      <c r="B132" s="296"/>
      <c r="D132" s="297" t="s">
        <v>82</v>
      </c>
      <c r="E132" s="298" t="n">
        <f aca="false">SUM(E120:E131)</f>
        <v>71915.01</v>
      </c>
      <c r="F132" s="298" t="n">
        <f aca="false">SUM(F120:F131)</f>
        <v>19417.05</v>
      </c>
      <c r="G132" s="298" t="n">
        <f aca="false">SUM(G120:G131)</f>
        <v>5025.21</v>
      </c>
      <c r="H132" s="298" t="n">
        <f aca="false">SUM(H120:H131)</f>
        <v>8668.48</v>
      </c>
      <c r="I132" s="298" t="n">
        <f aca="false">SUM(I120:I131)</f>
        <v>3595.75</v>
      </c>
      <c r="J132" s="299" t="n">
        <f aca="false">SUM(J120:J131)</f>
        <v>84179.24</v>
      </c>
      <c r="K132" s="300"/>
      <c r="L132" s="301" t="n">
        <f aca="false">AVERAGE(L120:L131)</f>
        <v>1</v>
      </c>
      <c r="M132" s="301" t="n">
        <f aca="false">AVERAGE(M120:M131)</f>
        <v>0</v>
      </c>
      <c r="N132" s="302"/>
      <c r="O132" s="290" t="n">
        <f aca="false">IF(SUM(O120:O131)&gt;0,((AB132+AR132)/J132),0)</f>
        <v>0.15</v>
      </c>
      <c r="P132" s="290" t="n">
        <f aca="false">IF(SUM(P120:P131)&gt;0,((AC132+AS132)/J132),0)</f>
        <v>0.2</v>
      </c>
      <c r="Q132" s="290" t="n">
        <f aca="false">IF(SUM(Q120:Q131)&gt;0,((AD132+AT132)/J132),0)</f>
        <v>0.1</v>
      </c>
      <c r="R132" s="290" t="n">
        <f aca="false">IF(SUM(R120:R131)&gt;0,((AE132+AU132)/J132),0)</f>
        <v>0.15</v>
      </c>
      <c r="S132" s="290" t="n">
        <f aca="false">IF(SUM(S120:S131)&gt;0,((AF132+AV132)/J132),0)</f>
        <v>0.4</v>
      </c>
      <c r="T132" s="290" t="n">
        <f aca="false">IF(SUM(T120:T131)&gt;0,((AG132+AW132)/J132),0)</f>
        <v>0</v>
      </c>
      <c r="U132" s="290" t="n">
        <f aca="false">IF(SUM(U120:U131)&gt;0,((AH132+AX132)/J132),0)</f>
        <v>0</v>
      </c>
      <c r="V132" s="290" t="n">
        <f aca="false">IF(SUM(V120:V131)&gt;0,((AI132+AY132)/J132),0)</f>
        <v>0</v>
      </c>
      <c r="W132" s="290" t="n">
        <f aca="false">IF(SUM(W120:W131)&gt;0,((AJ132+AZ132)/J132),0)</f>
        <v>0</v>
      </c>
      <c r="X132" s="290" t="n">
        <f aca="false">IF(SUM(X120:X131)&gt;0,((AK132+BA132)/J132),0)</f>
        <v>0</v>
      </c>
      <c r="Y132" s="290" t="n">
        <f aca="false">IF(SUM(Y120:Y131)&gt;0,((AL132+BB132)/J132),0)</f>
        <v>0</v>
      </c>
      <c r="Z132" s="290" t="n">
        <f aca="false">IF(SUM(Z120:Z131)&gt;0,((AM132+BC132)/J132),0)</f>
        <v>0</v>
      </c>
      <c r="AA132" s="303"/>
      <c r="AB132" s="292" t="n">
        <f aca="false">SUM(AB120:AB131)</f>
        <v>12626.886</v>
      </c>
      <c r="AC132" s="304" t="n">
        <f aca="false">SUM(AC120:AC131)</f>
        <v>16835.848</v>
      </c>
      <c r="AD132" s="304" t="n">
        <f aca="false">SUM(AD120:AD131)</f>
        <v>8417.924</v>
      </c>
      <c r="AE132" s="304" t="n">
        <f aca="false">SUM(AE120:AE131)</f>
        <v>12626.886</v>
      </c>
      <c r="AF132" s="304" t="n">
        <f aca="false">SUM(AF120:AF131)</f>
        <v>33671.696</v>
      </c>
      <c r="AG132" s="304" t="n">
        <f aca="false">SUM(AG120:AG131)</f>
        <v>0</v>
      </c>
      <c r="AH132" s="304" t="n">
        <f aca="false">SUM(AH120:AH131)</f>
        <v>0</v>
      </c>
      <c r="AI132" s="304" t="n">
        <f aca="false">SUM(AI120:AI131)</f>
        <v>0</v>
      </c>
      <c r="AJ132" s="304" t="n">
        <f aca="false">SUM(AJ120:AJ131)</f>
        <v>0</v>
      </c>
      <c r="AK132" s="304" t="n">
        <f aca="false">SUM(AK120:AK131)</f>
        <v>0</v>
      </c>
      <c r="AL132" s="304" t="n">
        <f aca="false">SUM(AL120:AL131)</f>
        <v>0</v>
      </c>
      <c r="AM132" s="304" t="n">
        <f aca="false">SUM(AM120:AM131)</f>
        <v>0</v>
      </c>
      <c r="AN132" s="305" t="n">
        <f aca="false">SUM(AN120:AN131)</f>
        <v>12626.886</v>
      </c>
      <c r="AO132" s="305" t="n">
        <f aca="false">SUM(AO120:AO131)</f>
        <v>71552.354</v>
      </c>
      <c r="AP132" s="305" t="n">
        <f aca="false">SUM(AP120:AP131)</f>
        <v>0</v>
      </c>
      <c r="AQ132" s="303"/>
      <c r="AR132" s="292" t="n">
        <f aca="false">SUM(AR120:AR131)</f>
        <v>0</v>
      </c>
      <c r="AS132" s="304" t="n">
        <f aca="false">SUM(AS120:AS131)</f>
        <v>0</v>
      </c>
      <c r="AT132" s="304" t="n">
        <f aca="false">SUM(AT120:AT131)</f>
        <v>0</v>
      </c>
      <c r="AU132" s="304" t="n">
        <f aca="false">SUM(AU120:AU131)</f>
        <v>0</v>
      </c>
      <c r="AV132" s="304" t="n">
        <f aca="false">SUM(AV120:AV131)</f>
        <v>0</v>
      </c>
      <c r="AW132" s="304" t="n">
        <f aca="false">SUM(AW120:AW131)</f>
        <v>0</v>
      </c>
      <c r="AX132" s="304" t="n">
        <f aca="false">SUM(AX120:AX131)</f>
        <v>0</v>
      </c>
      <c r="AY132" s="304" t="n">
        <f aca="false">SUM(AY120:AY131)</f>
        <v>0</v>
      </c>
      <c r="AZ132" s="304" t="n">
        <f aca="false">SUM(AZ120:AZ131)</f>
        <v>0</v>
      </c>
      <c r="BA132" s="304" t="n">
        <f aca="false">SUM(BA120:BA131)</f>
        <v>0</v>
      </c>
      <c r="BB132" s="304" t="n">
        <f aca="false">SUM(BB120:BB131)</f>
        <v>0</v>
      </c>
      <c r="BC132" s="304" t="n">
        <f aca="false">SUM(BC120:BC131)</f>
        <v>0</v>
      </c>
      <c r="BD132" s="305" t="n">
        <f aca="false">SUM(BD120:BD131)</f>
        <v>0</v>
      </c>
      <c r="BE132" s="305" t="n">
        <f aca="false">SUM(BE120:BE131)</f>
        <v>0</v>
      </c>
      <c r="BF132" s="305" t="n">
        <f aca="false">SUM(BF120:BF131)</f>
        <v>0</v>
      </c>
      <c r="BG132" s="303"/>
      <c r="BH132" s="306"/>
      <c r="BI132" s="303"/>
      <c r="BJ132" s="307" t="str">
        <f aca="false">IF(C118&gt;0, C118, "")</f>
        <v>Research Engineer</v>
      </c>
      <c r="BK132" s="18" t="s">
        <v>234</v>
      </c>
      <c r="BL132" s="200" t="n">
        <f aca="false">IF($BK132="Y",J132,0)</f>
        <v>0</v>
      </c>
      <c r="BM132" s="200" t="n">
        <f aca="false">IF(BK132="Y", AN132,0)</f>
        <v>0</v>
      </c>
      <c r="BN132" s="200" t="n">
        <f aca="false">IF((BK132="Y"),AO132,0)</f>
        <v>0</v>
      </c>
    </row>
    <row r="133" customFormat="false" ht="15" hidden="false" customHeight="true" outlineLevel="0" collapsed="false">
      <c r="B133" s="296"/>
      <c r="D133" s="297"/>
      <c r="E133" s="277"/>
      <c r="F133" s="277"/>
      <c r="G133" s="277"/>
      <c r="H133" s="277"/>
      <c r="I133" s="277"/>
      <c r="J133" s="300"/>
      <c r="K133" s="300"/>
      <c r="L133" s="302"/>
      <c r="M133" s="302"/>
      <c r="N133" s="302"/>
      <c r="O133" s="308"/>
      <c r="P133" s="308"/>
      <c r="Q133" s="308"/>
      <c r="R133" s="308"/>
      <c r="S133" s="308"/>
      <c r="T133" s="308"/>
      <c r="U133" s="308"/>
      <c r="V133" s="308"/>
      <c r="W133" s="308"/>
      <c r="X133" s="308"/>
      <c r="Y133" s="308"/>
      <c r="Z133" s="308"/>
      <c r="AA133" s="303"/>
      <c r="AB133" s="303"/>
      <c r="AC133" s="303"/>
      <c r="AD133" s="303"/>
      <c r="AE133" s="303"/>
      <c r="AF133" s="303"/>
      <c r="AG133" s="303"/>
      <c r="AH133" s="303"/>
      <c r="AI133" s="303"/>
      <c r="AJ133" s="303"/>
      <c r="AK133" s="303"/>
      <c r="AL133" s="303"/>
      <c r="AM133" s="303"/>
      <c r="AN133" s="303"/>
      <c r="AO133" s="303"/>
      <c r="AP133" s="303"/>
      <c r="AQ133" s="303"/>
      <c r="AR133" s="303"/>
      <c r="AS133" s="303"/>
      <c r="AT133" s="303"/>
      <c r="AU133" s="303"/>
      <c r="AV133" s="303"/>
      <c r="AW133" s="303"/>
      <c r="AX133" s="303"/>
      <c r="AY133" s="303"/>
      <c r="AZ133" s="303"/>
      <c r="BA133" s="303"/>
      <c r="BB133" s="303"/>
      <c r="BC133" s="303"/>
      <c r="BD133" s="303"/>
      <c r="BE133" s="303"/>
      <c r="BF133" s="303"/>
      <c r="BG133" s="303"/>
      <c r="BH133" s="303"/>
      <c r="BI133" s="303"/>
      <c r="BJ133" s="307" t="str">
        <f aca="false">IF(C120&gt;0, C120, "")</f>
        <v/>
      </c>
      <c r="BL133" s="200"/>
      <c r="BM133" s="200"/>
      <c r="BN133" s="200"/>
    </row>
    <row r="134" customFormat="false" ht="15" hidden="false" customHeight="true" outlineLevel="0" collapsed="false">
      <c r="A134" s="198" t="n">
        <v>9</v>
      </c>
      <c r="B134" s="266" t="s">
        <v>249</v>
      </c>
      <c r="C134" s="266" t="s">
        <v>250</v>
      </c>
      <c r="D134" s="267"/>
      <c r="E134" s="242"/>
      <c r="F134" s="242"/>
      <c r="G134" s="242"/>
      <c r="H134" s="242"/>
      <c r="I134" s="242"/>
      <c r="J134" s="241"/>
      <c r="K134" s="241"/>
      <c r="L134" s="241"/>
      <c r="M134" s="241"/>
      <c r="N134" s="241"/>
      <c r="O134" s="268"/>
      <c r="P134" s="268"/>
      <c r="Q134" s="268"/>
      <c r="R134" s="268"/>
      <c r="S134" s="268"/>
      <c r="T134" s="268"/>
      <c r="U134" s="268"/>
      <c r="V134" s="268"/>
      <c r="W134" s="268"/>
      <c r="X134" s="268"/>
      <c r="Y134" s="268"/>
      <c r="Z134" s="268"/>
      <c r="AA134" s="268"/>
      <c r="AB134" s="268"/>
      <c r="AC134" s="268"/>
      <c r="AD134" s="268"/>
      <c r="AE134" s="268"/>
      <c r="AF134" s="268"/>
      <c r="AG134" s="268"/>
      <c r="AH134" s="268"/>
      <c r="AI134" s="268"/>
      <c r="AJ134" s="268"/>
      <c r="AK134" s="268"/>
      <c r="AL134" s="268"/>
      <c r="AM134" s="268"/>
      <c r="AN134" s="268"/>
      <c r="AO134" s="268"/>
      <c r="AP134" s="268"/>
      <c r="AQ134" s="268"/>
      <c r="AR134" s="268"/>
      <c r="AS134" s="268"/>
      <c r="AT134" s="268"/>
      <c r="AU134" s="268"/>
      <c r="AV134" s="268"/>
      <c r="AW134" s="268"/>
      <c r="AX134" s="268"/>
      <c r="AY134" s="268"/>
      <c r="AZ134" s="268"/>
      <c r="BA134" s="268"/>
      <c r="BB134" s="268"/>
      <c r="BC134" s="268"/>
      <c r="BD134" s="268"/>
      <c r="BE134" s="268"/>
      <c r="BF134" s="268"/>
      <c r="BG134" s="268"/>
      <c r="BH134" s="268"/>
      <c r="BI134" s="268"/>
      <c r="BJ134" s="18" t="str">
        <f aca="false">IF(C121&gt;0, C121, "")</f>
        <v/>
      </c>
      <c r="BL134" s="200"/>
      <c r="BM134" s="200"/>
      <c r="BN134" s="200"/>
    </row>
    <row r="135" customFormat="false" ht="7.5" hidden="false" customHeight="true" outlineLevel="0" collapsed="false">
      <c r="A135" s="198"/>
      <c r="B135" s="266"/>
      <c r="C135" s="266"/>
      <c r="D135" s="267"/>
      <c r="E135" s="242"/>
      <c r="F135" s="242"/>
      <c r="G135" s="242"/>
      <c r="H135" s="242"/>
      <c r="I135" s="242"/>
      <c r="J135" s="241"/>
      <c r="K135" s="241"/>
      <c r="L135" s="269"/>
      <c r="M135" s="269"/>
      <c r="N135" s="270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8"/>
      <c r="AB135" s="271"/>
      <c r="AC135" s="271"/>
      <c r="AD135" s="271"/>
      <c r="AE135" s="271"/>
      <c r="AF135" s="271"/>
      <c r="AG135" s="271"/>
      <c r="AH135" s="271"/>
      <c r="AI135" s="271"/>
      <c r="AJ135" s="271"/>
      <c r="AK135" s="271"/>
      <c r="AL135" s="271"/>
      <c r="AM135" s="272"/>
      <c r="AN135" s="273"/>
      <c r="AO135" s="273"/>
      <c r="AP135" s="273"/>
      <c r="AQ135" s="268"/>
      <c r="AR135" s="271"/>
      <c r="AS135" s="271"/>
      <c r="AT135" s="271"/>
      <c r="AU135" s="271"/>
      <c r="AV135" s="271"/>
      <c r="AW135" s="271"/>
      <c r="AX135" s="271"/>
      <c r="AY135" s="271"/>
      <c r="AZ135" s="271"/>
      <c r="BA135" s="271"/>
      <c r="BB135" s="271"/>
      <c r="BC135" s="272"/>
      <c r="BD135" s="273"/>
      <c r="BE135" s="273"/>
      <c r="BF135" s="273"/>
      <c r="BG135" s="268"/>
      <c r="BH135" s="274"/>
      <c r="BI135" s="268"/>
      <c r="BL135" s="200"/>
      <c r="BM135" s="200"/>
      <c r="BN135" s="200"/>
    </row>
    <row r="136" customFormat="false" ht="15" hidden="false" customHeight="true" outlineLevel="0" collapsed="false">
      <c r="B136" s="275"/>
      <c r="D136" s="276" t="n">
        <f aca="false">D120</f>
        <v>45292</v>
      </c>
      <c r="E136" s="277" t="n">
        <v>2936.66</v>
      </c>
      <c r="F136" s="277" t="n">
        <v>528.6</v>
      </c>
      <c r="G136" s="277" t="n">
        <v>174.27</v>
      </c>
      <c r="H136" s="277" t="n">
        <v>300.61</v>
      </c>
      <c r="I136" s="277" t="n">
        <v>88.1</v>
      </c>
      <c r="J136" s="278" t="n">
        <f aca="false">E136+H136+I136</f>
        <v>3325.37</v>
      </c>
      <c r="K136" s="204"/>
      <c r="L136" s="279" t="n">
        <v>1</v>
      </c>
      <c r="M136" s="280" t="n">
        <f aca="false">1-L136</f>
        <v>0</v>
      </c>
      <c r="N136" s="281"/>
      <c r="O136" s="282" t="n">
        <v>0.6</v>
      </c>
      <c r="P136" s="282"/>
      <c r="Q136" s="282" t="n">
        <v>0.3</v>
      </c>
      <c r="R136" s="282" t="n">
        <v>0.1</v>
      </c>
      <c r="S136" s="282"/>
      <c r="T136" s="282"/>
      <c r="U136" s="282"/>
      <c r="V136" s="282"/>
      <c r="W136" s="282"/>
      <c r="X136" s="282"/>
      <c r="Y136" s="282"/>
      <c r="Z136" s="282"/>
      <c r="AA136" s="283"/>
      <c r="AB136" s="284" t="n">
        <f aca="false">IFERROR(($J136*O136)*$L136, "")</f>
        <v>1995.222</v>
      </c>
      <c r="AC136" s="284" t="n">
        <f aca="false">IFERROR(($J136*P136)*$L136, "")</f>
        <v>0</v>
      </c>
      <c r="AD136" s="284" t="n">
        <f aca="false">IFERROR(($J136*Q136)*$L136, "")</f>
        <v>997.611</v>
      </c>
      <c r="AE136" s="284" t="n">
        <f aca="false">IFERROR(($J136*R136)*$L136, "")</f>
        <v>332.537</v>
      </c>
      <c r="AF136" s="284" t="n">
        <f aca="false">IFERROR(($J136*S136)*$L136, "")</f>
        <v>0</v>
      </c>
      <c r="AG136" s="284" t="n">
        <f aca="false">IFERROR(($J136*T136)*$L136, "")</f>
        <v>0</v>
      </c>
      <c r="AH136" s="284" t="n">
        <f aca="false">IFERROR(($J136*U136)*$L136, "")</f>
        <v>0</v>
      </c>
      <c r="AI136" s="284" t="n">
        <f aca="false">IFERROR(($J136*V136)*$L136, "")</f>
        <v>0</v>
      </c>
      <c r="AJ136" s="284" t="n">
        <f aca="false">IFERROR(($J136*W136)*$L136, "")</f>
        <v>0</v>
      </c>
      <c r="AK136" s="284" t="n">
        <f aca="false">IFERROR(($J136*X136)*$L136, "")</f>
        <v>0</v>
      </c>
      <c r="AL136" s="284" t="n">
        <f aca="false">IFERROR(($J136*Y136)*$L136, "")</f>
        <v>0</v>
      </c>
      <c r="AM136" s="285" t="n">
        <f aca="false">IFERROR(($J136*Z136)*$L136, "")</f>
        <v>0</v>
      </c>
      <c r="AN136" s="286" t="n">
        <f aca="false">IFERROR(SUMIF($AB$4:$AM$4, "RDEC", AB136:AM136), "")</f>
        <v>332.537</v>
      </c>
      <c r="AO136" s="286" t="n">
        <f aca="false">IFERROR(SUMIF($AB$4:$AM$4, "SME", AB136:AM136), "")</f>
        <v>2992.833</v>
      </c>
      <c r="AP136" s="286" t="n">
        <f aca="false">IFERROR(SUMIF($AB$4:$AM$4, "De Minimis", AB136:AM136), "")</f>
        <v>0</v>
      </c>
      <c r="AQ136" s="283"/>
      <c r="AR136" s="284" t="n">
        <f aca="false">IFERROR(($J136*O136)*$M136, "")</f>
        <v>0</v>
      </c>
      <c r="AS136" s="284" t="n">
        <f aca="false">IFERROR(($J136*P136)*$M136, "")</f>
        <v>0</v>
      </c>
      <c r="AT136" s="284" t="n">
        <f aca="false">IFERROR(($J136*Q136)*$M136, "")</f>
        <v>0</v>
      </c>
      <c r="AU136" s="284" t="n">
        <f aca="false">IFERROR(($J136*R136)*$M136, "")</f>
        <v>0</v>
      </c>
      <c r="AV136" s="284" t="n">
        <f aca="false">IFERROR(($J136*S136)*$M136, "")</f>
        <v>0</v>
      </c>
      <c r="AW136" s="284" t="n">
        <f aca="false">IFERROR(($J136*T136)*$M136, "")</f>
        <v>0</v>
      </c>
      <c r="AX136" s="284" t="n">
        <f aca="false">IFERROR(($J136*U136)*$M136, "")</f>
        <v>0</v>
      </c>
      <c r="AY136" s="284" t="n">
        <f aca="false">IFERROR(($J136*V136)*$M136, "")</f>
        <v>0</v>
      </c>
      <c r="AZ136" s="284" t="n">
        <f aca="false">IFERROR(($J136*W136)*$M136, "")</f>
        <v>0</v>
      </c>
      <c r="BA136" s="284" t="n">
        <f aca="false">IFERROR(($J136*X136)*$M136, "")</f>
        <v>0</v>
      </c>
      <c r="BB136" s="284" t="n">
        <f aca="false">IFERROR(($J136*Y136)*$M136, "")</f>
        <v>0</v>
      </c>
      <c r="BC136" s="285" t="n">
        <f aca="false">IFERROR(($J136*Z136)*$M136, "")</f>
        <v>0</v>
      </c>
      <c r="BD136" s="286" t="n">
        <f aca="false">IFERROR(SUMIF($AB$4:$AM$4, "RDEC", AR136:BC136), "")</f>
        <v>0</v>
      </c>
      <c r="BE136" s="286" t="n">
        <f aca="false">IFERROR(SUMIF($AB$4:$AM$4, "SME", AR136:BC136), "")</f>
        <v>0</v>
      </c>
      <c r="BF136" s="286" t="n">
        <f aca="false">IFERROR(SUMIF($AB$4:$AM$4, "De Minimis", AR136:BC136), "")</f>
        <v>0</v>
      </c>
      <c r="BG136" s="287"/>
      <c r="BH136" s="288" t="str">
        <f aca="false">IF((SUM(O136:Z136)&gt;1),"ERROR","")</f>
        <v/>
      </c>
      <c r="BI136" s="287"/>
      <c r="BJ136" s="18" t="str">
        <f aca="false">IF(C122&gt;0, C122, "")</f>
        <v/>
      </c>
      <c r="BL136" s="200"/>
      <c r="BM136" s="200"/>
      <c r="BN136" s="200"/>
    </row>
    <row r="137" customFormat="false" ht="15" hidden="false" customHeight="true" outlineLevel="0" collapsed="false">
      <c r="B137" s="275"/>
      <c r="D137" s="276" t="n">
        <f aca="false">D121</f>
        <v>45323</v>
      </c>
      <c r="E137" s="277" t="n">
        <v>2870.6</v>
      </c>
      <c r="F137" s="277" t="n">
        <v>516.71</v>
      </c>
      <c r="G137" s="277" t="n">
        <v>168.98</v>
      </c>
      <c r="H137" s="277" t="n">
        <v>291.49</v>
      </c>
      <c r="I137" s="277" t="n">
        <v>86.12</v>
      </c>
      <c r="J137" s="278" t="n">
        <f aca="false">E137+H137+I137</f>
        <v>3248.21</v>
      </c>
      <c r="K137" s="204"/>
      <c r="L137" s="279" t="n">
        <v>1</v>
      </c>
      <c r="M137" s="280" t="n">
        <f aca="false">1-L137</f>
        <v>0</v>
      </c>
      <c r="N137" s="281"/>
      <c r="O137" s="282" t="n">
        <v>0.6</v>
      </c>
      <c r="P137" s="282"/>
      <c r="Q137" s="282" t="n">
        <v>0.3</v>
      </c>
      <c r="R137" s="282" t="n">
        <v>0.1</v>
      </c>
      <c r="S137" s="282"/>
      <c r="T137" s="282"/>
      <c r="U137" s="282"/>
      <c r="V137" s="282"/>
      <c r="W137" s="282"/>
      <c r="X137" s="282"/>
      <c r="Y137" s="282"/>
      <c r="Z137" s="282"/>
      <c r="AA137" s="283"/>
      <c r="AB137" s="284" t="n">
        <f aca="false">IFERROR(($J137*O137)*$L137, "")</f>
        <v>1948.926</v>
      </c>
      <c r="AC137" s="284" t="n">
        <f aca="false">IFERROR(($J137*P137)*$L137, "")</f>
        <v>0</v>
      </c>
      <c r="AD137" s="284" t="n">
        <f aca="false">IFERROR(($J137*Q137)*$L137, "")</f>
        <v>974.463</v>
      </c>
      <c r="AE137" s="284" t="n">
        <f aca="false">IFERROR(($J137*R137)*$L137, "")</f>
        <v>324.821</v>
      </c>
      <c r="AF137" s="284" t="n">
        <f aca="false">IFERROR(($J137*S137)*$L137, "")</f>
        <v>0</v>
      </c>
      <c r="AG137" s="284" t="n">
        <f aca="false">IFERROR(($J137*T137)*$L137, "")</f>
        <v>0</v>
      </c>
      <c r="AH137" s="284" t="n">
        <f aca="false">IFERROR(($J137*U137)*$L137, "")</f>
        <v>0</v>
      </c>
      <c r="AI137" s="284" t="n">
        <f aca="false">IFERROR(($J137*V137)*$L137, "")</f>
        <v>0</v>
      </c>
      <c r="AJ137" s="284" t="n">
        <f aca="false">IFERROR(($J137*W137)*$L137, "")</f>
        <v>0</v>
      </c>
      <c r="AK137" s="284" t="n">
        <f aca="false">IFERROR(($J137*X137)*$L137, "")</f>
        <v>0</v>
      </c>
      <c r="AL137" s="284" t="n">
        <f aca="false">IFERROR(($J137*Y137)*$L137, "")</f>
        <v>0</v>
      </c>
      <c r="AM137" s="285" t="n">
        <f aca="false">IFERROR(($J137*Z137)*$L137, "")</f>
        <v>0</v>
      </c>
      <c r="AN137" s="286" t="n">
        <f aca="false">IFERROR(SUMIF($AB$4:$AM$4, "RDEC", AB137:AM137), "")</f>
        <v>324.821</v>
      </c>
      <c r="AO137" s="286" t="n">
        <f aca="false">IFERROR(SUMIF($AB$4:$AM$4, "SME", AB137:AM137), "")</f>
        <v>2923.389</v>
      </c>
      <c r="AP137" s="286" t="n">
        <f aca="false">IFERROR(SUMIF($AB$4:$AM$4, "De Minimis", AB137:AM137), "")</f>
        <v>0</v>
      </c>
      <c r="AQ137" s="283"/>
      <c r="AR137" s="284" t="n">
        <f aca="false">IFERROR(($J137*O137)*$M137, "")</f>
        <v>0</v>
      </c>
      <c r="AS137" s="284" t="n">
        <f aca="false">IFERROR(($J137*P137)*$M137, "")</f>
        <v>0</v>
      </c>
      <c r="AT137" s="284" t="n">
        <f aca="false">IFERROR(($J137*Q137)*$M137, "")</f>
        <v>0</v>
      </c>
      <c r="AU137" s="284" t="n">
        <f aca="false">IFERROR(($J137*R137)*$M137, "")</f>
        <v>0</v>
      </c>
      <c r="AV137" s="284" t="n">
        <f aca="false">IFERROR(($J137*S137)*$M137, "")</f>
        <v>0</v>
      </c>
      <c r="AW137" s="284" t="n">
        <f aca="false">IFERROR(($J137*T137)*$M137, "")</f>
        <v>0</v>
      </c>
      <c r="AX137" s="284" t="n">
        <f aca="false">IFERROR(($J137*U137)*$M137, "")</f>
        <v>0</v>
      </c>
      <c r="AY137" s="284" t="n">
        <f aca="false">IFERROR(($J137*V137)*$M137, "")</f>
        <v>0</v>
      </c>
      <c r="AZ137" s="284" t="n">
        <f aca="false">IFERROR(($J137*W137)*$M137, "")</f>
        <v>0</v>
      </c>
      <c r="BA137" s="284" t="n">
        <f aca="false">IFERROR(($J137*X137)*$M137, "")</f>
        <v>0</v>
      </c>
      <c r="BB137" s="284" t="n">
        <f aca="false">IFERROR(($J137*Y137)*$M137, "")</f>
        <v>0</v>
      </c>
      <c r="BC137" s="285" t="n">
        <f aca="false">IFERROR(($J137*Z137)*$M137, "")</f>
        <v>0</v>
      </c>
      <c r="BD137" s="286" t="n">
        <f aca="false">IFERROR(SUMIF($AB$4:$AM$4, "RDEC", AR137:BC137), "")</f>
        <v>0</v>
      </c>
      <c r="BE137" s="286" t="n">
        <f aca="false">IFERROR(SUMIF($AB$4:$AM$4, "SME", AR137:BC137), "")</f>
        <v>0</v>
      </c>
      <c r="BF137" s="286" t="n">
        <f aca="false">IFERROR(SUMIF($AB$4:$AM$4, "De Minimis", AR137:BC137), "")</f>
        <v>0</v>
      </c>
      <c r="BG137" s="287"/>
      <c r="BH137" s="288" t="str">
        <f aca="false">IF((SUM(O137:Z137)&gt;1),"ERROR","")</f>
        <v/>
      </c>
      <c r="BI137" s="287"/>
      <c r="BJ137" s="18" t="str">
        <f aca="false">IF(C123&gt;0, C123, "")</f>
        <v/>
      </c>
      <c r="BL137" s="200"/>
      <c r="BM137" s="200"/>
      <c r="BN137" s="200"/>
    </row>
    <row r="138" customFormat="false" ht="15" hidden="false" customHeight="true" outlineLevel="0" collapsed="false">
      <c r="B138" s="275"/>
      <c r="D138" s="276" t="n">
        <f aca="false">D122</f>
        <v>45352</v>
      </c>
      <c r="E138" s="277" t="n">
        <v>2922.35</v>
      </c>
      <c r="F138" s="277" t="n">
        <v>526.02</v>
      </c>
      <c r="G138" s="277" t="n">
        <v>173.12</v>
      </c>
      <c r="H138" s="277" t="n">
        <v>298.63</v>
      </c>
      <c r="I138" s="277" t="n">
        <v>87.67</v>
      </c>
      <c r="J138" s="278" t="n">
        <f aca="false">E138+H138+I138</f>
        <v>3308.65</v>
      </c>
      <c r="K138" s="204"/>
      <c r="L138" s="279" t="n">
        <v>1</v>
      </c>
      <c r="M138" s="280" t="n">
        <f aca="false">1-L138</f>
        <v>0</v>
      </c>
      <c r="N138" s="281"/>
      <c r="O138" s="282" t="n">
        <v>0.6</v>
      </c>
      <c r="P138" s="282"/>
      <c r="Q138" s="282" t="n">
        <v>0.3</v>
      </c>
      <c r="R138" s="282" t="n">
        <v>0.1</v>
      </c>
      <c r="S138" s="282"/>
      <c r="T138" s="282"/>
      <c r="U138" s="282"/>
      <c r="V138" s="282"/>
      <c r="W138" s="282"/>
      <c r="X138" s="282"/>
      <c r="Y138" s="282"/>
      <c r="Z138" s="282"/>
      <c r="AA138" s="283"/>
      <c r="AB138" s="284" t="n">
        <f aca="false">IFERROR(($J138*O138)*$L138, "")</f>
        <v>1985.19</v>
      </c>
      <c r="AC138" s="284" t="n">
        <f aca="false">IFERROR(($J138*P138)*$L138, "")</f>
        <v>0</v>
      </c>
      <c r="AD138" s="284" t="n">
        <f aca="false">IFERROR(($J138*Q138)*$L138, "")</f>
        <v>992.595</v>
      </c>
      <c r="AE138" s="284" t="n">
        <f aca="false">IFERROR(($J138*R138)*$L138, "")</f>
        <v>330.865</v>
      </c>
      <c r="AF138" s="284" t="n">
        <f aca="false">IFERROR(($J138*S138)*$L138, "")</f>
        <v>0</v>
      </c>
      <c r="AG138" s="284" t="n">
        <f aca="false">IFERROR(($J138*T138)*$L138, "")</f>
        <v>0</v>
      </c>
      <c r="AH138" s="284" t="n">
        <f aca="false">IFERROR(($J138*U138)*$L138, "")</f>
        <v>0</v>
      </c>
      <c r="AI138" s="284" t="n">
        <f aca="false">IFERROR(($J138*V138)*$L138, "")</f>
        <v>0</v>
      </c>
      <c r="AJ138" s="284" t="n">
        <f aca="false">IFERROR(($J138*W138)*$L138, "")</f>
        <v>0</v>
      </c>
      <c r="AK138" s="284" t="n">
        <f aca="false">IFERROR(($J138*X138)*$L138, "")</f>
        <v>0</v>
      </c>
      <c r="AL138" s="284" t="n">
        <f aca="false">IFERROR(($J138*Y138)*$L138, "")</f>
        <v>0</v>
      </c>
      <c r="AM138" s="285" t="n">
        <f aca="false">IFERROR(($J138*Z138)*$L138, "")</f>
        <v>0</v>
      </c>
      <c r="AN138" s="286" t="n">
        <f aca="false">IFERROR(SUMIF($AB$4:$AM$4, "RDEC", AB138:AM138), "")</f>
        <v>330.865</v>
      </c>
      <c r="AO138" s="286" t="n">
        <f aca="false">IFERROR(SUMIF($AB$4:$AM$4, "SME", AB138:AM138), "")</f>
        <v>2977.785</v>
      </c>
      <c r="AP138" s="286" t="n">
        <f aca="false">IFERROR(SUMIF($AB$4:$AM$4, "De Minimis", AB138:AM138), "")</f>
        <v>0</v>
      </c>
      <c r="AQ138" s="283"/>
      <c r="AR138" s="284" t="n">
        <f aca="false">IFERROR(($J138*O138)*$M138, "")</f>
        <v>0</v>
      </c>
      <c r="AS138" s="284" t="n">
        <f aca="false">IFERROR(($J138*P138)*$M138, "")</f>
        <v>0</v>
      </c>
      <c r="AT138" s="284" t="n">
        <f aca="false">IFERROR(($J138*Q138)*$M138, "")</f>
        <v>0</v>
      </c>
      <c r="AU138" s="284" t="n">
        <f aca="false">IFERROR(($J138*R138)*$M138, "")</f>
        <v>0</v>
      </c>
      <c r="AV138" s="284" t="n">
        <f aca="false">IFERROR(($J138*S138)*$M138, "")</f>
        <v>0</v>
      </c>
      <c r="AW138" s="284" t="n">
        <f aca="false">IFERROR(($J138*T138)*$M138, "")</f>
        <v>0</v>
      </c>
      <c r="AX138" s="284" t="n">
        <f aca="false">IFERROR(($J138*U138)*$M138, "")</f>
        <v>0</v>
      </c>
      <c r="AY138" s="284" t="n">
        <f aca="false">IFERROR(($J138*V138)*$M138, "")</f>
        <v>0</v>
      </c>
      <c r="AZ138" s="284" t="n">
        <f aca="false">IFERROR(($J138*W138)*$M138, "")</f>
        <v>0</v>
      </c>
      <c r="BA138" s="284" t="n">
        <f aca="false">IFERROR(($J138*X138)*$M138, "")</f>
        <v>0</v>
      </c>
      <c r="BB138" s="284" t="n">
        <f aca="false">IFERROR(($J138*Y138)*$M138, "")</f>
        <v>0</v>
      </c>
      <c r="BC138" s="285" t="n">
        <f aca="false">IFERROR(($J138*Z138)*$M138, "")</f>
        <v>0</v>
      </c>
      <c r="BD138" s="286" t="n">
        <f aca="false">IFERROR(SUMIF($AB$4:$AM$4, "RDEC", AR138:BC138), "")</f>
        <v>0</v>
      </c>
      <c r="BE138" s="286" t="n">
        <f aca="false">IFERROR(SUMIF($AB$4:$AM$4, "SME", AR138:BC138), "")</f>
        <v>0</v>
      </c>
      <c r="BF138" s="286" t="n">
        <f aca="false">IFERROR(SUMIF($AB$4:$AM$4, "De Minimis", AR138:BC138), "")</f>
        <v>0</v>
      </c>
      <c r="BG138" s="287"/>
      <c r="BH138" s="288" t="str">
        <f aca="false">IF((SUM(O138:Z138)&gt;1),"ERROR","")</f>
        <v/>
      </c>
      <c r="BI138" s="287"/>
      <c r="BJ138" s="18" t="str">
        <f aca="false">IF(C124&gt;0, C124, "")</f>
        <v/>
      </c>
      <c r="BL138" s="200"/>
      <c r="BM138" s="200"/>
      <c r="BN138" s="200"/>
    </row>
    <row r="139" customFormat="false" ht="15" hidden="false" customHeight="true" outlineLevel="0" collapsed="false">
      <c r="B139" s="275"/>
      <c r="D139" s="276" t="n">
        <f aca="false">D123</f>
        <v>45383</v>
      </c>
      <c r="E139" s="277" t="n">
        <v>2871.07</v>
      </c>
      <c r="F139" s="277" t="n">
        <v>516.79</v>
      </c>
      <c r="G139" s="277" t="n">
        <v>169.02</v>
      </c>
      <c r="H139" s="277" t="n">
        <v>291.56</v>
      </c>
      <c r="I139" s="277" t="n">
        <v>86.13</v>
      </c>
      <c r="J139" s="278" t="n">
        <f aca="false">E139+H139+I139</f>
        <v>3248.76</v>
      </c>
      <c r="K139" s="204"/>
      <c r="L139" s="279" t="n">
        <v>1</v>
      </c>
      <c r="M139" s="280" t="n">
        <f aca="false">1-L139</f>
        <v>0</v>
      </c>
      <c r="N139" s="281"/>
      <c r="O139" s="282" t="n">
        <v>0.6</v>
      </c>
      <c r="P139" s="282"/>
      <c r="Q139" s="282" t="n">
        <v>0.3</v>
      </c>
      <c r="R139" s="282" t="n">
        <v>0.1</v>
      </c>
      <c r="S139" s="282"/>
      <c r="T139" s="282"/>
      <c r="U139" s="282"/>
      <c r="V139" s="282"/>
      <c r="W139" s="282"/>
      <c r="X139" s="282"/>
      <c r="Y139" s="282"/>
      <c r="Z139" s="282"/>
      <c r="AA139" s="283"/>
      <c r="AB139" s="284" t="n">
        <f aca="false">IFERROR(($J139*O139)*$L139, "")</f>
        <v>1949.256</v>
      </c>
      <c r="AC139" s="284" t="n">
        <f aca="false">IFERROR(($J139*P139)*$L139, "")</f>
        <v>0</v>
      </c>
      <c r="AD139" s="284" t="n">
        <f aca="false">IFERROR(($J139*Q139)*$L139, "")</f>
        <v>974.628</v>
      </c>
      <c r="AE139" s="284" t="n">
        <f aca="false">IFERROR(($J139*R139)*$L139, "")</f>
        <v>324.876</v>
      </c>
      <c r="AF139" s="284" t="n">
        <f aca="false">IFERROR(($J139*S139)*$L139, "")</f>
        <v>0</v>
      </c>
      <c r="AG139" s="284" t="n">
        <f aca="false">IFERROR(($J139*T139)*$L139, "")</f>
        <v>0</v>
      </c>
      <c r="AH139" s="284" t="n">
        <f aca="false">IFERROR(($J139*U139)*$L139, "")</f>
        <v>0</v>
      </c>
      <c r="AI139" s="284" t="n">
        <f aca="false">IFERROR(($J139*V139)*$L139, "")</f>
        <v>0</v>
      </c>
      <c r="AJ139" s="284" t="n">
        <f aca="false">IFERROR(($J139*W139)*$L139, "")</f>
        <v>0</v>
      </c>
      <c r="AK139" s="284" t="n">
        <f aca="false">IFERROR(($J139*X139)*$L139, "")</f>
        <v>0</v>
      </c>
      <c r="AL139" s="284" t="n">
        <f aca="false">IFERROR(($J139*Y139)*$L139, "")</f>
        <v>0</v>
      </c>
      <c r="AM139" s="285" t="n">
        <f aca="false">IFERROR(($J139*Z139)*$L139, "")</f>
        <v>0</v>
      </c>
      <c r="AN139" s="286" t="n">
        <f aca="false">IFERROR(SUMIF($AB$4:$AM$4, "RDEC", AB139:AM139), "")</f>
        <v>324.876</v>
      </c>
      <c r="AO139" s="286" t="n">
        <f aca="false">IFERROR(SUMIF($AB$4:$AM$4, "SME", AB139:AM139), "")</f>
        <v>2923.884</v>
      </c>
      <c r="AP139" s="286" t="n">
        <f aca="false">IFERROR(SUMIF($AB$4:$AM$4, "De Minimis", AB139:AM139), "")</f>
        <v>0</v>
      </c>
      <c r="AQ139" s="283"/>
      <c r="AR139" s="284" t="n">
        <f aca="false">IFERROR(($J139*O139)*$M139, "")</f>
        <v>0</v>
      </c>
      <c r="AS139" s="284" t="n">
        <f aca="false">IFERROR(($J139*P139)*$M139, "")</f>
        <v>0</v>
      </c>
      <c r="AT139" s="284" t="n">
        <f aca="false">IFERROR(($J139*Q139)*$M139, "")</f>
        <v>0</v>
      </c>
      <c r="AU139" s="284" t="n">
        <f aca="false">IFERROR(($J139*R139)*$M139, "")</f>
        <v>0</v>
      </c>
      <c r="AV139" s="284" t="n">
        <f aca="false">IFERROR(($J139*S139)*$M139, "")</f>
        <v>0</v>
      </c>
      <c r="AW139" s="284" t="n">
        <f aca="false">IFERROR(($J139*T139)*$M139, "")</f>
        <v>0</v>
      </c>
      <c r="AX139" s="284" t="n">
        <f aca="false">IFERROR(($J139*U139)*$M139, "")</f>
        <v>0</v>
      </c>
      <c r="AY139" s="284" t="n">
        <f aca="false">IFERROR(($J139*V139)*$M139, "")</f>
        <v>0</v>
      </c>
      <c r="AZ139" s="284" t="n">
        <f aca="false">IFERROR(($J139*W139)*$M139, "")</f>
        <v>0</v>
      </c>
      <c r="BA139" s="284" t="n">
        <f aca="false">IFERROR(($J139*X139)*$M139, "")</f>
        <v>0</v>
      </c>
      <c r="BB139" s="284" t="n">
        <f aca="false">IFERROR(($J139*Y139)*$M139, "")</f>
        <v>0</v>
      </c>
      <c r="BC139" s="285" t="n">
        <f aca="false">IFERROR(($J139*Z139)*$M139, "")</f>
        <v>0</v>
      </c>
      <c r="BD139" s="286" t="n">
        <f aca="false">IFERROR(SUMIF($AB$4:$AM$4, "RDEC", AR139:BC139), "")</f>
        <v>0</v>
      </c>
      <c r="BE139" s="286" t="n">
        <f aca="false">IFERROR(SUMIF($AB$4:$AM$4, "SME", AR139:BC139), "")</f>
        <v>0</v>
      </c>
      <c r="BF139" s="286" t="n">
        <f aca="false">IFERROR(SUMIF($AB$4:$AM$4, "De Minimis", AR139:BC139), "")</f>
        <v>0</v>
      </c>
      <c r="BG139" s="287"/>
      <c r="BH139" s="288" t="str">
        <f aca="false">IF((SUM(O139:Z139)&gt;1),"ERROR","")</f>
        <v/>
      </c>
      <c r="BI139" s="287"/>
      <c r="BJ139" s="18" t="str">
        <f aca="false">IF(C125&gt;0, C125, "")</f>
        <v/>
      </c>
      <c r="BL139" s="200"/>
      <c r="BM139" s="200"/>
      <c r="BN139" s="200"/>
    </row>
    <row r="140" customFormat="false" ht="15" hidden="false" customHeight="true" outlineLevel="0" collapsed="false">
      <c r="B140" s="275"/>
      <c r="D140" s="276" t="n">
        <f aca="false">D124</f>
        <v>45413</v>
      </c>
      <c r="E140" s="277" t="n">
        <v>2914.21</v>
      </c>
      <c r="F140" s="277" t="n">
        <v>524.56</v>
      </c>
      <c r="G140" s="277" t="n">
        <v>172.47</v>
      </c>
      <c r="H140" s="277" t="n">
        <v>297.51</v>
      </c>
      <c r="I140" s="277" t="n">
        <v>87.43</v>
      </c>
      <c r="J140" s="278" t="n">
        <f aca="false">E140+H140+I140</f>
        <v>3299.15</v>
      </c>
      <c r="K140" s="204"/>
      <c r="L140" s="279" t="n">
        <v>1</v>
      </c>
      <c r="M140" s="280" t="n">
        <f aca="false">1-L140</f>
        <v>0</v>
      </c>
      <c r="N140" s="281"/>
      <c r="O140" s="282" t="n">
        <v>0.6</v>
      </c>
      <c r="P140" s="282"/>
      <c r="Q140" s="282" t="n">
        <v>0.3</v>
      </c>
      <c r="R140" s="282" t="n">
        <v>0.1</v>
      </c>
      <c r="S140" s="282"/>
      <c r="T140" s="282"/>
      <c r="U140" s="282"/>
      <c r="V140" s="282"/>
      <c r="W140" s="282"/>
      <c r="X140" s="282"/>
      <c r="Y140" s="282"/>
      <c r="Z140" s="282"/>
      <c r="AA140" s="283"/>
      <c r="AB140" s="284" t="n">
        <f aca="false">IFERROR(($J140*O140)*$L140, "")</f>
        <v>1979.49</v>
      </c>
      <c r="AC140" s="284" t="n">
        <f aca="false">IFERROR(($J140*P140)*$L140, "")</f>
        <v>0</v>
      </c>
      <c r="AD140" s="284" t="n">
        <f aca="false">IFERROR(($J140*Q140)*$L140, "")</f>
        <v>989.745</v>
      </c>
      <c r="AE140" s="284" t="n">
        <f aca="false">IFERROR(($J140*R140)*$L140, "")</f>
        <v>329.915</v>
      </c>
      <c r="AF140" s="284" t="n">
        <f aca="false">IFERROR(($J140*S140)*$L140, "")</f>
        <v>0</v>
      </c>
      <c r="AG140" s="284" t="n">
        <f aca="false">IFERROR(($J140*T140)*$L140, "")</f>
        <v>0</v>
      </c>
      <c r="AH140" s="284" t="n">
        <f aca="false">IFERROR(($J140*U140)*$L140, "")</f>
        <v>0</v>
      </c>
      <c r="AI140" s="284" t="n">
        <f aca="false">IFERROR(($J140*V140)*$L140, "")</f>
        <v>0</v>
      </c>
      <c r="AJ140" s="284" t="n">
        <f aca="false">IFERROR(($J140*W140)*$L140, "")</f>
        <v>0</v>
      </c>
      <c r="AK140" s="284" t="n">
        <f aca="false">IFERROR(($J140*X140)*$L140, "")</f>
        <v>0</v>
      </c>
      <c r="AL140" s="284" t="n">
        <f aca="false">IFERROR(($J140*Y140)*$L140, "")</f>
        <v>0</v>
      </c>
      <c r="AM140" s="285" t="n">
        <f aca="false">IFERROR(($J140*Z140)*$L140, "")</f>
        <v>0</v>
      </c>
      <c r="AN140" s="286" t="n">
        <f aca="false">IFERROR(SUMIF($AB$4:$AM$4, "RDEC", AB140:AM140), "")</f>
        <v>329.915</v>
      </c>
      <c r="AO140" s="286" t="n">
        <f aca="false">IFERROR(SUMIF($AB$4:$AM$4, "SME", AB140:AM140), "")</f>
        <v>2969.235</v>
      </c>
      <c r="AP140" s="286" t="n">
        <f aca="false">IFERROR(SUMIF($AB$4:$AM$4, "De Minimis", AB140:AM140), "")</f>
        <v>0</v>
      </c>
      <c r="AQ140" s="283"/>
      <c r="AR140" s="284" t="n">
        <f aca="false">IFERROR(($J140*O140)*$M140, "")</f>
        <v>0</v>
      </c>
      <c r="AS140" s="284" t="n">
        <f aca="false">IFERROR(($J140*P140)*$M140, "")</f>
        <v>0</v>
      </c>
      <c r="AT140" s="284" t="n">
        <f aca="false">IFERROR(($J140*Q140)*$M140, "")</f>
        <v>0</v>
      </c>
      <c r="AU140" s="284" t="n">
        <f aca="false">IFERROR(($J140*R140)*$M140, "")</f>
        <v>0</v>
      </c>
      <c r="AV140" s="284" t="n">
        <f aca="false">IFERROR(($J140*S140)*$M140, "")</f>
        <v>0</v>
      </c>
      <c r="AW140" s="284" t="n">
        <f aca="false">IFERROR(($J140*T140)*$M140, "")</f>
        <v>0</v>
      </c>
      <c r="AX140" s="284" t="n">
        <f aca="false">IFERROR(($J140*U140)*$M140, "")</f>
        <v>0</v>
      </c>
      <c r="AY140" s="284" t="n">
        <f aca="false">IFERROR(($J140*V140)*$M140, "")</f>
        <v>0</v>
      </c>
      <c r="AZ140" s="284" t="n">
        <f aca="false">IFERROR(($J140*W140)*$M140, "")</f>
        <v>0</v>
      </c>
      <c r="BA140" s="284" t="n">
        <f aca="false">IFERROR(($J140*X140)*$M140, "")</f>
        <v>0</v>
      </c>
      <c r="BB140" s="284" t="n">
        <f aca="false">IFERROR(($J140*Y140)*$M140, "")</f>
        <v>0</v>
      </c>
      <c r="BC140" s="285" t="n">
        <f aca="false">IFERROR(($J140*Z140)*$M140, "")</f>
        <v>0</v>
      </c>
      <c r="BD140" s="286" t="n">
        <f aca="false">IFERROR(SUMIF($AB$4:$AM$4, "RDEC", AR140:BC140), "")</f>
        <v>0</v>
      </c>
      <c r="BE140" s="286" t="n">
        <f aca="false">IFERROR(SUMIF($AB$4:$AM$4, "SME", AR140:BC140), "")</f>
        <v>0</v>
      </c>
      <c r="BF140" s="286" t="n">
        <f aca="false">IFERROR(SUMIF($AB$4:$AM$4, "De Minimis", AR140:BC140), "")</f>
        <v>0</v>
      </c>
      <c r="BG140" s="287"/>
      <c r="BH140" s="288" t="str">
        <f aca="false">IF((SUM(O140:Z140)&gt;1),"ERROR","")</f>
        <v/>
      </c>
      <c r="BI140" s="287"/>
      <c r="BJ140" s="18" t="str">
        <f aca="false">IF(C126&gt;0, C126, "")</f>
        <v/>
      </c>
      <c r="BL140" s="200"/>
      <c r="BM140" s="200"/>
      <c r="BN140" s="200"/>
    </row>
    <row r="141" customFormat="false" ht="15" hidden="false" customHeight="true" outlineLevel="0" collapsed="false">
      <c r="B141" s="275"/>
      <c r="D141" s="276" t="n">
        <f aca="false">D125</f>
        <v>45444</v>
      </c>
      <c r="E141" s="277" t="n">
        <v>2915.98</v>
      </c>
      <c r="F141" s="277" t="n">
        <v>524.88</v>
      </c>
      <c r="G141" s="277" t="n">
        <v>172.61</v>
      </c>
      <c r="H141" s="277" t="n">
        <v>297.76</v>
      </c>
      <c r="I141" s="277" t="n">
        <v>87.48</v>
      </c>
      <c r="J141" s="278" t="n">
        <f aca="false">E141+H141+I141</f>
        <v>3301.22</v>
      </c>
      <c r="K141" s="204"/>
      <c r="L141" s="279" t="n">
        <v>1</v>
      </c>
      <c r="M141" s="280" t="n">
        <f aca="false">1-L141</f>
        <v>0</v>
      </c>
      <c r="N141" s="281"/>
      <c r="O141" s="282" t="n">
        <v>0.6</v>
      </c>
      <c r="P141" s="282"/>
      <c r="Q141" s="282" t="n">
        <v>0.3</v>
      </c>
      <c r="R141" s="282" t="n">
        <v>0.1</v>
      </c>
      <c r="S141" s="282"/>
      <c r="T141" s="282"/>
      <c r="U141" s="282"/>
      <c r="V141" s="282"/>
      <c r="W141" s="282"/>
      <c r="X141" s="282"/>
      <c r="Y141" s="282"/>
      <c r="Z141" s="282"/>
      <c r="AA141" s="283"/>
      <c r="AB141" s="284" t="n">
        <f aca="false">IFERROR(($J141*O141)*$L141, "")</f>
        <v>1980.732</v>
      </c>
      <c r="AC141" s="284" t="n">
        <f aca="false">IFERROR(($J141*P141)*$L141, "")</f>
        <v>0</v>
      </c>
      <c r="AD141" s="284" t="n">
        <f aca="false">IFERROR(($J141*Q141)*$L141, "")</f>
        <v>990.366</v>
      </c>
      <c r="AE141" s="284" t="n">
        <f aca="false">IFERROR(($J141*R141)*$L141, "")</f>
        <v>330.122</v>
      </c>
      <c r="AF141" s="284" t="n">
        <f aca="false">IFERROR(($J141*S141)*$L141, "")</f>
        <v>0</v>
      </c>
      <c r="AG141" s="284" t="n">
        <f aca="false">IFERROR(($J141*T141)*$L141, "")</f>
        <v>0</v>
      </c>
      <c r="AH141" s="284" t="n">
        <f aca="false">IFERROR(($J141*U141)*$L141, "")</f>
        <v>0</v>
      </c>
      <c r="AI141" s="284" t="n">
        <f aca="false">IFERROR(($J141*V141)*$L141, "")</f>
        <v>0</v>
      </c>
      <c r="AJ141" s="284" t="n">
        <f aca="false">IFERROR(($J141*W141)*$L141, "")</f>
        <v>0</v>
      </c>
      <c r="AK141" s="284" t="n">
        <f aca="false">IFERROR(($J141*X141)*$L141, "")</f>
        <v>0</v>
      </c>
      <c r="AL141" s="284" t="n">
        <f aca="false">IFERROR(($J141*Y141)*$L141, "")</f>
        <v>0</v>
      </c>
      <c r="AM141" s="285" t="n">
        <f aca="false">IFERROR(($J141*Z141)*$L141, "")</f>
        <v>0</v>
      </c>
      <c r="AN141" s="286" t="n">
        <f aca="false">IFERROR(SUMIF($AB$4:$AM$4, "RDEC", AB141:AM141), "")</f>
        <v>330.122</v>
      </c>
      <c r="AO141" s="286" t="n">
        <f aca="false">IFERROR(SUMIF($AB$4:$AM$4, "SME", AB141:AM141), "")</f>
        <v>2971.098</v>
      </c>
      <c r="AP141" s="286" t="n">
        <f aca="false">IFERROR(SUMIF($AB$4:$AM$4, "De Minimis", AB141:AM141), "")</f>
        <v>0</v>
      </c>
      <c r="AQ141" s="283"/>
      <c r="AR141" s="284" t="n">
        <f aca="false">IFERROR(($J141*O141)*$M141, "")</f>
        <v>0</v>
      </c>
      <c r="AS141" s="284" t="n">
        <f aca="false">IFERROR(($J141*P141)*$M141, "")</f>
        <v>0</v>
      </c>
      <c r="AT141" s="284" t="n">
        <f aca="false">IFERROR(($J141*Q141)*$M141, "")</f>
        <v>0</v>
      </c>
      <c r="AU141" s="284" t="n">
        <f aca="false">IFERROR(($J141*R141)*$M141, "")</f>
        <v>0</v>
      </c>
      <c r="AV141" s="284" t="n">
        <f aca="false">IFERROR(($J141*S141)*$M141, "")</f>
        <v>0</v>
      </c>
      <c r="AW141" s="284" t="n">
        <f aca="false">IFERROR(($J141*T141)*$M141, "")</f>
        <v>0</v>
      </c>
      <c r="AX141" s="284" t="n">
        <f aca="false">IFERROR(($J141*U141)*$M141, "")</f>
        <v>0</v>
      </c>
      <c r="AY141" s="284" t="n">
        <f aca="false">IFERROR(($J141*V141)*$M141, "")</f>
        <v>0</v>
      </c>
      <c r="AZ141" s="284" t="n">
        <f aca="false">IFERROR(($J141*W141)*$M141, "")</f>
        <v>0</v>
      </c>
      <c r="BA141" s="284" t="n">
        <f aca="false">IFERROR(($J141*X141)*$M141, "")</f>
        <v>0</v>
      </c>
      <c r="BB141" s="284" t="n">
        <f aca="false">IFERROR(($J141*Y141)*$M141, "")</f>
        <v>0</v>
      </c>
      <c r="BC141" s="285" t="n">
        <f aca="false">IFERROR(($J141*Z141)*$M141, "")</f>
        <v>0</v>
      </c>
      <c r="BD141" s="286" t="n">
        <f aca="false">IFERROR(SUMIF($AB$4:$AM$4, "RDEC", AR141:BC141), "")</f>
        <v>0</v>
      </c>
      <c r="BE141" s="286" t="n">
        <f aca="false">IFERROR(SUMIF($AB$4:$AM$4, "SME", AR141:BC141), "")</f>
        <v>0</v>
      </c>
      <c r="BF141" s="286" t="n">
        <f aca="false">IFERROR(SUMIF($AB$4:$AM$4, "De Minimis", AR141:BC141), "")</f>
        <v>0</v>
      </c>
      <c r="BG141" s="287"/>
      <c r="BH141" s="288" t="str">
        <f aca="false">IF((SUM(O141:Z141)&gt;1),"ERROR","")</f>
        <v/>
      </c>
      <c r="BI141" s="287"/>
      <c r="BJ141" s="18" t="str">
        <f aca="false">IF(C127&gt;0, C127, "")</f>
        <v/>
      </c>
      <c r="BL141" s="200"/>
      <c r="BM141" s="200"/>
      <c r="BN141" s="200"/>
    </row>
    <row r="142" customFormat="false" ht="15" hidden="false" customHeight="true" outlineLevel="0" collapsed="false">
      <c r="B142" s="275"/>
      <c r="D142" s="276" t="n">
        <f aca="false">D126</f>
        <v>45474</v>
      </c>
      <c r="E142" s="277" t="n">
        <v>2966.09</v>
      </c>
      <c r="F142" s="277" t="n">
        <v>533.9</v>
      </c>
      <c r="G142" s="277" t="n">
        <v>176.62</v>
      </c>
      <c r="H142" s="277" t="n">
        <v>304.67</v>
      </c>
      <c r="I142" s="277" t="n">
        <v>88.98</v>
      </c>
      <c r="J142" s="278" t="n">
        <f aca="false">E142+H142+I142</f>
        <v>3359.74</v>
      </c>
      <c r="K142" s="204"/>
      <c r="L142" s="279" t="n">
        <v>1</v>
      </c>
      <c r="M142" s="280" t="n">
        <f aca="false">1-L142</f>
        <v>0</v>
      </c>
      <c r="N142" s="281"/>
      <c r="O142" s="282" t="n">
        <v>0.6</v>
      </c>
      <c r="P142" s="282"/>
      <c r="Q142" s="282" t="n">
        <v>0.3</v>
      </c>
      <c r="R142" s="282" t="n">
        <v>0.1</v>
      </c>
      <c r="S142" s="282"/>
      <c r="T142" s="282"/>
      <c r="U142" s="282"/>
      <c r="V142" s="282"/>
      <c r="W142" s="282"/>
      <c r="X142" s="282"/>
      <c r="Y142" s="282"/>
      <c r="Z142" s="282"/>
      <c r="AA142" s="283"/>
      <c r="AB142" s="284" t="n">
        <f aca="false">IFERROR(($J142*O142)*$L142, "")</f>
        <v>2015.844</v>
      </c>
      <c r="AC142" s="284" t="n">
        <f aca="false">IFERROR(($J142*P142)*$L142, "")</f>
        <v>0</v>
      </c>
      <c r="AD142" s="284" t="n">
        <f aca="false">IFERROR(($J142*Q142)*$L142, "")</f>
        <v>1007.922</v>
      </c>
      <c r="AE142" s="284" t="n">
        <f aca="false">IFERROR(($J142*R142)*$L142, "")</f>
        <v>335.974</v>
      </c>
      <c r="AF142" s="284" t="n">
        <f aca="false">IFERROR(($J142*S142)*$L142, "")</f>
        <v>0</v>
      </c>
      <c r="AG142" s="284" t="n">
        <f aca="false">IFERROR(($J142*T142)*$L142, "")</f>
        <v>0</v>
      </c>
      <c r="AH142" s="284" t="n">
        <f aca="false">IFERROR(($J142*U142)*$L142, "")</f>
        <v>0</v>
      </c>
      <c r="AI142" s="284" t="n">
        <f aca="false">IFERROR(($J142*V142)*$L142, "")</f>
        <v>0</v>
      </c>
      <c r="AJ142" s="284" t="n">
        <f aca="false">IFERROR(($J142*W142)*$L142, "")</f>
        <v>0</v>
      </c>
      <c r="AK142" s="284" t="n">
        <f aca="false">IFERROR(($J142*X142)*$L142, "")</f>
        <v>0</v>
      </c>
      <c r="AL142" s="284" t="n">
        <f aca="false">IFERROR(($J142*Y142)*$L142, "")</f>
        <v>0</v>
      </c>
      <c r="AM142" s="285" t="n">
        <f aca="false">IFERROR(($J142*Z142)*$L142, "")</f>
        <v>0</v>
      </c>
      <c r="AN142" s="286" t="n">
        <f aca="false">IFERROR(SUMIF($AB$4:$AM$4, "RDEC", AB142:AM142), "")</f>
        <v>335.974</v>
      </c>
      <c r="AO142" s="286" t="n">
        <f aca="false">IFERROR(SUMIF($AB$4:$AM$4, "SME", AB142:AM142), "")</f>
        <v>3023.766</v>
      </c>
      <c r="AP142" s="286" t="n">
        <f aca="false">IFERROR(SUMIF($AB$4:$AM$4, "De Minimis", AB142:AM142), "")</f>
        <v>0</v>
      </c>
      <c r="AQ142" s="283"/>
      <c r="AR142" s="284" t="n">
        <f aca="false">IFERROR(($J142*O142)*$M142, "")</f>
        <v>0</v>
      </c>
      <c r="AS142" s="284" t="n">
        <f aca="false">IFERROR(($J142*P142)*$M142, "")</f>
        <v>0</v>
      </c>
      <c r="AT142" s="284" t="n">
        <f aca="false">IFERROR(($J142*Q142)*$M142, "")</f>
        <v>0</v>
      </c>
      <c r="AU142" s="284" t="n">
        <f aca="false">IFERROR(($J142*R142)*$M142, "")</f>
        <v>0</v>
      </c>
      <c r="AV142" s="284" t="n">
        <f aca="false">IFERROR(($J142*S142)*$M142, "")</f>
        <v>0</v>
      </c>
      <c r="AW142" s="284" t="n">
        <f aca="false">IFERROR(($J142*T142)*$M142, "")</f>
        <v>0</v>
      </c>
      <c r="AX142" s="284" t="n">
        <f aca="false">IFERROR(($J142*U142)*$M142, "")</f>
        <v>0</v>
      </c>
      <c r="AY142" s="284" t="n">
        <f aca="false">IFERROR(($J142*V142)*$M142, "")</f>
        <v>0</v>
      </c>
      <c r="AZ142" s="284" t="n">
        <f aca="false">IFERROR(($J142*W142)*$M142, "")</f>
        <v>0</v>
      </c>
      <c r="BA142" s="284" t="n">
        <f aca="false">IFERROR(($J142*X142)*$M142, "")</f>
        <v>0</v>
      </c>
      <c r="BB142" s="284" t="n">
        <f aca="false">IFERROR(($J142*Y142)*$M142, "")</f>
        <v>0</v>
      </c>
      <c r="BC142" s="285" t="n">
        <f aca="false">IFERROR(($J142*Z142)*$M142, "")</f>
        <v>0</v>
      </c>
      <c r="BD142" s="286" t="n">
        <f aca="false">IFERROR(SUMIF($AB$4:$AM$4, "RDEC", AR142:BC142), "")</f>
        <v>0</v>
      </c>
      <c r="BE142" s="286" t="n">
        <f aca="false">IFERROR(SUMIF($AB$4:$AM$4, "SME", AR142:BC142), "")</f>
        <v>0</v>
      </c>
      <c r="BF142" s="286" t="n">
        <f aca="false">IFERROR(SUMIF($AB$4:$AM$4, "De Minimis", AR142:BC142), "")</f>
        <v>0</v>
      </c>
      <c r="BG142" s="287"/>
      <c r="BH142" s="288" t="str">
        <f aca="false">IF((SUM(O142:Z142)&gt;1),"ERROR","")</f>
        <v/>
      </c>
      <c r="BI142" s="287"/>
      <c r="BJ142" s="18" t="str">
        <f aca="false">IF(C128&gt;0, C128, "")</f>
        <v/>
      </c>
      <c r="BL142" s="200"/>
      <c r="BM142" s="200"/>
      <c r="BN142" s="200"/>
    </row>
    <row r="143" customFormat="false" ht="15" hidden="false" customHeight="true" outlineLevel="0" collapsed="false">
      <c r="B143" s="275"/>
      <c r="D143" s="276" t="n">
        <f aca="false">D127</f>
        <v>45505</v>
      </c>
      <c r="E143" s="277" t="n">
        <v>2901.22</v>
      </c>
      <c r="F143" s="277" t="n">
        <v>522.22</v>
      </c>
      <c r="G143" s="277" t="n">
        <v>171.43</v>
      </c>
      <c r="H143" s="277" t="n">
        <v>295.72</v>
      </c>
      <c r="I143" s="277" t="n">
        <v>87.04</v>
      </c>
      <c r="J143" s="278" t="n">
        <f aca="false">E143+H143+I143</f>
        <v>3283.98</v>
      </c>
      <c r="K143" s="204"/>
      <c r="L143" s="279" t="n">
        <v>1</v>
      </c>
      <c r="M143" s="280" t="n">
        <f aca="false">1-L143</f>
        <v>0</v>
      </c>
      <c r="N143" s="281"/>
      <c r="O143" s="282" t="n">
        <v>0.6</v>
      </c>
      <c r="P143" s="282"/>
      <c r="Q143" s="282" t="n">
        <v>0.3</v>
      </c>
      <c r="R143" s="282" t="n">
        <v>0.1</v>
      </c>
      <c r="S143" s="282"/>
      <c r="T143" s="282"/>
      <c r="U143" s="282"/>
      <c r="V143" s="282"/>
      <c r="W143" s="282"/>
      <c r="X143" s="282"/>
      <c r="Y143" s="282"/>
      <c r="Z143" s="282"/>
      <c r="AA143" s="283"/>
      <c r="AB143" s="284" t="n">
        <f aca="false">IFERROR(($J143*O143)*$L143, "")</f>
        <v>1970.388</v>
      </c>
      <c r="AC143" s="284" t="n">
        <f aca="false">IFERROR(($J143*P143)*$L143, "")</f>
        <v>0</v>
      </c>
      <c r="AD143" s="284" t="n">
        <f aca="false">IFERROR(($J143*Q143)*$L143, "")</f>
        <v>985.194</v>
      </c>
      <c r="AE143" s="284" t="n">
        <f aca="false">IFERROR(($J143*R143)*$L143, "")</f>
        <v>328.398</v>
      </c>
      <c r="AF143" s="284" t="n">
        <f aca="false">IFERROR(($J143*S143)*$L143, "")</f>
        <v>0</v>
      </c>
      <c r="AG143" s="284" t="n">
        <f aca="false">IFERROR(($J143*T143)*$L143, "")</f>
        <v>0</v>
      </c>
      <c r="AH143" s="284" t="n">
        <f aca="false">IFERROR(($J143*U143)*$L143, "")</f>
        <v>0</v>
      </c>
      <c r="AI143" s="284" t="n">
        <f aca="false">IFERROR(($J143*V143)*$L143, "")</f>
        <v>0</v>
      </c>
      <c r="AJ143" s="284" t="n">
        <f aca="false">IFERROR(($J143*W143)*$L143, "")</f>
        <v>0</v>
      </c>
      <c r="AK143" s="284" t="n">
        <f aca="false">IFERROR(($J143*X143)*$L143, "")</f>
        <v>0</v>
      </c>
      <c r="AL143" s="284" t="n">
        <f aca="false">IFERROR(($J143*Y143)*$L143, "")</f>
        <v>0</v>
      </c>
      <c r="AM143" s="285" t="n">
        <f aca="false">IFERROR(($J143*Z143)*$L143, "")</f>
        <v>0</v>
      </c>
      <c r="AN143" s="286" t="n">
        <f aca="false">IFERROR(SUMIF($AB$4:$AM$4, "RDEC", AB143:AM143), "")</f>
        <v>328.398</v>
      </c>
      <c r="AO143" s="286" t="n">
        <f aca="false">IFERROR(SUMIF($AB$4:$AM$4, "SME", AB143:AM143), "")</f>
        <v>2955.582</v>
      </c>
      <c r="AP143" s="286" t="n">
        <f aca="false">IFERROR(SUMIF($AB$4:$AM$4, "De Minimis", AB143:AM143), "")</f>
        <v>0</v>
      </c>
      <c r="AQ143" s="283"/>
      <c r="AR143" s="284" t="n">
        <f aca="false">IFERROR(($J143*O143)*$M143, "")</f>
        <v>0</v>
      </c>
      <c r="AS143" s="284" t="n">
        <f aca="false">IFERROR(($J143*P143)*$M143, "")</f>
        <v>0</v>
      </c>
      <c r="AT143" s="284" t="n">
        <f aca="false">IFERROR(($J143*Q143)*$M143, "")</f>
        <v>0</v>
      </c>
      <c r="AU143" s="284" t="n">
        <f aca="false">IFERROR(($J143*R143)*$M143, "")</f>
        <v>0</v>
      </c>
      <c r="AV143" s="284" t="n">
        <f aca="false">IFERROR(($J143*S143)*$M143, "")</f>
        <v>0</v>
      </c>
      <c r="AW143" s="284" t="n">
        <f aca="false">IFERROR(($J143*T143)*$M143, "")</f>
        <v>0</v>
      </c>
      <c r="AX143" s="284" t="n">
        <f aca="false">IFERROR(($J143*U143)*$M143, "")</f>
        <v>0</v>
      </c>
      <c r="AY143" s="284" t="n">
        <f aca="false">IFERROR(($J143*V143)*$M143, "")</f>
        <v>0</v>
      </c>
      <c r="AZ143" s="284" t="n">
        <f aca="false">IFERROR(($J143*W143)*$M143, "")</f>
        <v>0</v>
      </c>
      <c r="BA143" s="284" t="n">
        <f aca="false">IFERROR(($J143*X143)*$M143, "")</f>
        <v>0</v>
      </c>
      <c r="BB143" s="284" t="n">
        <f aca="false">IFERROR(($J143*Y143)*$M143, "")</f>
        <v>0</v>
      </c>
      <c r="BC143" s="285" t="n">
        <f aca="false">IFERROR(($J143*Z143)*$M143, "")</f>
        <v>0</v>
      </c>
      <c r="BD143" s="286" t="n">
        <f aca="false">IFERROR(SUMIF($AB$4:$AM$4, "RDEC", AR143:BC143), "")</f>
        <v>0</v>
      </c>
      <c r="BE143" s="286" t="n">
        <f aca="false">IFERROR(SUMIF($AB$4:$AM$4, "SME", AR143:BC143), "")</f>
        <v>0</v>
      </c>
      <c r="BF143" s="286" t="n">
        <f aca="false">IFERROR(SUMIF($AB$4:$AM$4, "De Minimis", AR143:BC143), "")</f>
        <v>0</v>
      </c>
      <c r="BG143" s="287"/>
      <c r="BH143" s="288" t="str">
        <f aca="false">IF((SUM(O143:Z143)&gt;1),"ERROR","")</f>
        <v/>
      </c>
      <c r="BI143" s="287"/>
      <c r="BJ143" s="18" t="str">
        <f aca="false">IF(C129&gt;0, C129, "")</f>
        <v/>
      </c>
      <c r="BL143" s="200"/>
      <c r="BM143" s="200"/>
      <c r="BN143" s="200"/>
    </row>
    <row r="144" customFormat="false" ht="15" hidden="false" customHeight="true" outlineLevel="0" collapsed="false">
      <c r="B144" s="275"/>
      <c r="D144" s="276" t="n">
        <f aca="false">D128</f>
        <v>45536</v>
      </c>
      <c r="E144" s="277" t="n">
        <v>2900.85</v>
      </c>
      <c r="F144" s="277" t="n">
        <v>522.15</v>
      </c>
      <c r="G144" s="277" t="n">
        <v>171.4</v>
      </c>
      <c r="H144" s="277" t="n">
        <v>295.67</v>
      </c>
      <c r="I144" s="277" t="n">
        <v>87.03</v>
      </c>
      <c r="J144" s="278" t="n">
        <f aca="false">E144+H144+I144</f>
        <v>3283.55</v>
      </c>
      <c r="K144" s="204"/>
      <c r="L144" s="279" t="n">
        <v>1</v>
      </c>
      <c r="M144" s="280" t="n">
        <f aca="false">1-L144</f>
        <v>0</v>
      </c>
      <c r="N144" s="281"/>
      <c r="O144" s="282" t="n">
        <v>0.6</v>
      </c>
      <c r="P144" s="282"/>
      <c r="Q144" s="282" t="n">
        <v>0.3</v>
      </c>
      <c r="R144" s="282" t="n">
        <v>0.1</v>
      </c>
      <c r="S144" s="282"/>
      <c r="T144" s="282"/>
      <c r="U144" s="282"/>
      <c r="V144" s="282"/>
      <c r="W144" s="282"/>
      <c r="X144" s="282"/>
      <c r="Y144" s="282"/>
      <c r="Z144" s="282"/>
      <c r="AA144" s="283"/>
      <c r="AB144" s="284" t="n">
        <f aca="false">IFERROR(($J144*O144)*$L144, "")</f>
        <v>1970.13</v>
      </c>
      <c r="AC144" s="284" t="n">
        <f aca="false">IFERROR(($J144*P144)*$L144, "")</f>
        <v>0</v>
      </c>
      <c r="AD144" s="284" t="n">
        <f aca="false">IFERROR(($J144*Q144)*$L144, "")</f>
        <v>985.065</v>
      </c>
      <c r="AE144" s="284" t="n">
        <f aca="false">IFERROR(($J144*R144)*$L144, "")</f>
        <v>328.355</v>
      </c>
      <c r="AF144" s="284" t="n">
        <f aca="false">IFERROR(($J144*S144)*$L144, "")</f>
        <v>0</v>
      </c>
      <c r="AG144" s="284" t="n">
        <f aca="false">IFERROR(($J144*T144)*$L144, "")</f>
        <v>0</v>
      </c>
      <c r="AH144" s="284" t="n">
        <f aca="false">IFERROR(($J144*U144)*$L144, "")</f>
        <v>0</v>
      </c>
      <c r="AI144" s="284" t="n">
        <f aca="false">IFERROR(($J144*V144)*$L144, "")</f>
        <v>0</v>
      </c>
      <c r="AJ144" s="284" t="n">
        <f aca="false">IFERROR(($J144*W144)*$L144, "")</f>
        <v>0</v>
      </c>
      <c r="AK144" s="284" t="n">
        <f aca="false">IFERROR(($J144*X144)*$L144, "")</f>
        <v>0</v>
      </c>
      <c r="AL144" s="284" t="n">
        <f aca="false">IFERROR(($J144*Y144)*$L144, "")</f>
        <v>0</v>
      </c>
      <c r="AM144" s="285" t="n">
        <f aca="false">IFERROR(($J144*Z144)*$L144, "")</f>
        <v>0</v>
      </c>
      <c r="AN144" s="286" t="n">
        <f aca="false">IFERROR(SUMIF($AB$4:$AM$4, "RDEC", AB144:AM144), "")</f>
        <v>328.355</v>
      </c>
      <c r="AO144" s="286" t="n">
        <f aca="false">IFERROR(SUMIF($AB$4:$AM$4, "SME", AB144:AM144), "")</f>
        <v>2955.195</v>
      </c>
      <c r="AP144" s="286" t="n">
        <f aca="false">IFERROR(SUMIF($AB$4:$AM$4, "De Minimis", AB144:AM144), "")</f>
        <v>0</v>
      </c>
      <c r="AQ144" s="283"/>
      <c r="AR144" s="284" t="n">
        <f aca="false">IFERROR(($J144*O144)*$M144, "")</f>
        <v>0</v>
      </c>
      <c r="AS144" s="284" t="n">
        <f aca="false">IFERROR(($J144*P144)*$M144, "")</f>
        <v>0</v>
      </c>
      <c r="AT144" s="284" t="n">
        <f aca="false">IFERROR(($J144*Q144)*$M144, "")</f>
        <v>0</v>
      </c>
      <c r="AU144" s="284" t="n">
        <f aca="false">IFERROR(($J144*R144)*$M144, "")</f>
        <v>0</v>
      </c>
      <c r="AV144" s="284" t="n">
        <f aca="false">IFERROR(($J144*S144)*$M144, "")</f>
        <v>0</v>
      </c>
      <c r="AW144" s="284" t="n">
        <f aca="false">IFERROR(($J144*T144)*$M144, "")</f>
        <v>0</v>
      </c>
      <c r="AX144" s="284" t="n">
        <f aca="false">IFERROR(($J144*U144)*$M144, "")</f>
        <v>0</v>
      </c>
      <c r="AY144" s="284" t="n">
        <f aca="false">IFERROR(($J144*V144)*$M144, "")</f>
        <v>0</v>
      </c>
      <c r="AZ144" s="284" t="n">
        <f aca="false">IFERROR(($J144*W144)*$M144, "")</f>
        <v>0</v>
      </c>
      <c r="BA144" s="284" t="n">
        <f aca="false">IFERROR(($J144*X144)*$M144, "")</f>
        <v>0</v>
      </c>
      <c r="BB144" s="284" t="n">
        <f aca="false">IFERROR(($J144*Y144)*$M144, "")</f>
        <v>0</v>
      </c>
      <c r="BC144" s="285" t="n">
        <f aca="false">IFERROR(($J144*Z144)*$M144, "")</f>
        <v>0</v>
      </c>
      <c r="BD144" s="286" t="n">
        <f aca="false">IFERROR(SUMIF($AB$4:$AM$4, "RDEC", AR144:BC144), "")</f>
        <v>0</v>
      </c>
      <c r="BE144" s="286" t="n">
        <f aca="false">IFERROR(SUMIF($AB$4:$AM$4, "SME", AR144:BC144), "")</f>
        <v>0</v>
      </c>
      <c r="BF144" s="286" t="n">
        <f aca="false">IFERROR(SUMIF($AB$4:$AM$4, "De Minimis", AR144:BC144), "")</f>
        <v>0</v>
      </c>
      <c r="BG144" s="287"/>
      <c r="BH144" s="288" t="str">
        <f aca="false">IF((SUM(O144:Z144)&gt;1),"ERROR","")</f>
        <v/>
      </c>
      <c r="BI144" s="287"/>
      <c r="BJ144" s="18" t="str">
        <f aca="false">IF(C130&gt;0, C130, "")</f>
        <v/>
      </c>
      <c r="BL144" s="200"/>
      <c r="BM144" s="200"/>
      <c r="BN144" s="200"/>
    </row>
    <row r="145" customFormat="false" ht="15" hidden="false" customHeight="true" outlineLevel="0" collapsed="false">
      <c r="B145" s="275"/>
      <c r="D145" s="276" t="n">
        <f aca="false">D129</f>
        <v>45566</v>
      </c>
      <c r="E145" s="277" t="n">
        <v>2864.2</v>
      </c>
      <c r="F145" s="277" t="n">
        <v>515.56</v>
      </c>
      <c r="G145" s="277" t="n">
        <v>168.47</v>
      </c>
      <c r="H145" s="277" t="n">
        <v>290.61</v>
      </c>
      <c r="I145" s="277" t="n">
        <v>85.93</v>
      </c>
      <c r="J145" s="278" t="n">
        <f aca="false">E145+H145+I145</f>
        <v>3240.74</v>
      </c>
      <c r="K145" s="204"/>
      <c r="L145" s="279" t="n">
        <v>1</v>
      </c>
      <c r="M145" s="280" t="n">
        <f aca="false">1-L145</f>
        <v>0</v>
      </c>
      <c r="N145" s="281"/>
      <c r="O145" s="282" t="n">
        <v>0.6</v>
      </c>
      <c r="P145" s="282"/>
      <c r="Q145" s="282" t="n">
        <v>0.3</v>
      </c>
      <c r="R145" s="282" t="n">
        <v>0.1</v>
      </c>
      <c r="S145" s="282"/>
      <c r="T145" s="282"/>
      <c r="U145" s="282"/>
      <c r="V145" s="282"/>
      <c r="W145" s="282"/>
      <c r="X145" s="282"/>
      <c r="Y145" s="282"/>
      <c r="Z145" s="282"/>
      <c r="AA145" s="283"/>
      <c r="AB145" s="284" t="n">
        <f aca="false">IFERROR(($J145*O145)*$L145, "")</f>
        <v>1944.444</v>
      </c>
      <c r="AC145" s="284" t="n">
        <f aca="false">IFERROR(($J145*P145)*$L145, "")</f>
        <v>0</v>
      </c>
      <c r="AD145" s="284" t="n">
        <f aca="false">IFERROR(($J145*Q145)*$L145, "")</f>
        <v>972.222</v>
      </c>
      <c r="AE145" s="284" t="n">
        <f aca="false">IFERROR(($J145*R145)*$L145, "")</f>
        <v>324.074</v>
      </c>
      <c r="AF145" s="284" t="n">
        <f aca="false">IFERROR(($J145*S145)*$L145, "")</f>
        <v>0</v>
      </c>
      <c r="AG145" s="284" t="n">
        <f aca="false">IFERROR(($J145*T145)*$L145, "")</f>
        <v>0</v>
      </c>
      <c r="AH145" s="284" t="n">
        <f aca="false">IFERROR(($J145*U145)*$L145, "")</f>
        <v>0</v>
      </c>
      <c r="AI145" s="284" t="n">
        <f aca="false">IFERROR(($J145*V145)*$L145, "")</f>
        <v>0</v>
      </c>
      <c r="AJ145" s="284" t="n">
        <f aca="false">IFERROR(($J145*W145)*$L145, "")</f>
        <v>0</v>
      </c>
      <c r="AK145" s="284" t="n">
        <f aca="false">IFERROR(($J145*X145)*$L145, "")</f>
        <v>0</v>
      </c>
      <c r="AL145" s="284" t="n">
        <f aca="false">IFERROR(($J145*Y145)*$L145, "")</f>
        <v>0</v>
      </c>
      <c r="AM145" s="285" t="n">
        <f aca="false">IFERROR(($J145*Z145)*$L145, "")</f>
        <v>0</v>
      </c>
      <c r="AN145" s="286" t="n">
        <f aca="false">IFERROR(SUMIF($AB$4:$AM$4, "RDEC", AB145:AM145), "")</f>
        <v>324.074</v>
      </c>
      <c r="AO145" s="286" t="n">
        <f aca="false">IFERROR(SUMIF($AB$4:$AM$4, "SME", AB145:AM145), "")</f>
        <v>2916.666</v>
      </c>
      <c r="AP145" s="286" t="n">
        <f aca="false">IFERROR(SUMIF($AB$4:$AM$4, "De Minimis", AB145:AM145), "")</f>
        <v>0</v>
      </c>
      <c r="AQ145" s="283"/>
      <c r="AR145" s="284" t="n">
        <f aca="false">IFERROR(($J145*O145)*$M145, "")</f>
        <v>0</v>
      </c>
      <c r="AS145" s="284" t="n">
        <f aca="false">IFERROR(($J145*P145)*$M145, "")</f>
        <v>0</v>
      </c>
      <c r="AT145" s="284" t="n">
        <f aca="false">IFERROR(($J145*Q145)*$M145, "")</f>
        <v>0</v>
      </c>
      <c r="AU145" s="284" t="n">
        <f aca="false">IFERROR(($J145*R145)*$M145, "")</f>
        <v>0</v>
      </c>
      <c r="AV145" s="284" t="n">
        <f aca="false">IFERROR(($J145*S145)*$M145, "")</f>
        <v>0</v>
      </c>
      <c r="AW145" s="284" t="n">
        <f aca="false">IFERROR(($J145*T145)*$M145, "")</f>
        <v>0</v>
      </c>
      <c r="AX145" s="284" t="n">
        <f aca="false">IFERROR(($J145*U145)*$M145, "")</f>
        <v>0</v>
      </c>
      <c r="AY145" s="284" t="n">
        <f aca="false">IFERROR(($J145*V145)*$M145, "")</f>
        <v>0</v>
      </c>
      <c r="AZ145" s="284" t="n">
        <f aca="false">IFERROR(($J145*W145)*$M145, "")</f>
        <v>0</v>
      </c>
      <c r="BA145" s="284" t="n">
        <f aca="false">IFERROR(($J145*X145)*$M145, "")</f>
        <v>0</v>
      </c>
      <c r="BB145" s="284" t="n">
        <f aca="false">IFERROR(($J145*Y145)*$M145, "")</f>
        <v>0</v>
      </c>
      <c r="BC145" s="285" t="n">
        <f aca="false">IFERROR(($J145*Z145)*$M145, "")</f>
        <v>0</v>
      </c>
      <c r="BD145" s="286" t="n">
        <f aca="false">IFERROR(SUMIF($AB$4:$AM$4, "RDEC", AR145:BC145), "")</f>
        <v>0</v>
      </c>
      <c r="BE145" s="286" t="n">
        <f aca="false">IFERROR(SUMIF($AB$4:$AM$4, "SME", AR145:BC145), "")</f>
        <v>0</v>
      </c>
      <c r="BF145" s="286" t="n">
        <f aca="false">IFERROR(SUMIF($AB$4:$AM$4, "De Minimis", AR145:BC145), "")</f>
        <v>0</v>
      </c>
      <c r="BG145" s="287"/>
      <c r="BH145" s="288" t="str">
        <f aca="false">IF((SUM(O145:Z145)&gt;1),"ERROR","")</f>
        <v/>
      </c>
      <c r="BI145" s="287"/>
      <c r="BJ145" s="18" t="str">
        <f aca="false">IF(C131&gt;0, C131, "")</f>
        <v/>
      </c>
      <c r="BL145" s="200"/>
      <c r="BM145" s="200"/>
      <c r="BN145" s="200"/>
    </row>
    <row r="146" customFormat="false" ht="15" hidden="false" customHeight="true" outlineLevel="0" collapsed="false">
      <c r="B146" s="275"/>
      <c r="D146" s="276" t="n">
        <f aca="false">D130</f>
        <v>45597</v>
      </c>
      <c r="E146" s="277" t="n">
        <v>2941.71</v>
      </c>
      <c r="F146" s="277" t="n">
        <v>529.51</v>
      </c>
      <c r="G146" s="277" t="n">
        <v>174.67</v>
      </c>
      <c r="H146" s="277" t="n">
        <v>301.31</v>
      </c>
      <c r="I146" s="277" t="n">
        <v>88.25</v>
      </c>
      <c r="J146" s="278" t="n">
        <f aca="false">E146+H146+I146</f>
        <v>3331.27</v>
      </c>
      <c r="K146" s="204"/>
      <c r="L146" s="279" t="n">
        <v>1</v>
      </c>
      <c r="M146" s="280" t="n">
        <f aca="false">1-L146</f>
        <v>0</v>
      </c>
      <c r="N146" s="281"/>
      <c r="O146" s="282" t="n">
        <v>0.6</v>
      </c>
      <c r="P146" s="282"/>
      <c r="Q146" s="282" t="n">
        <v>0.3</v>
      </c>
      <c r="R146" s="282" t="n">
        <v>0.1</v>
      </c>
      <c r="S146" s="282"/>
      <c r="T146" s="282"/>
      <c r="U146" s="282"/>
      <c r="V146" s="282"/>
      <c r="W146" s="282"/>
      <c r="X146" s="282"/>
      <c r="Y146" s="282"/>
      <c r="Z146" s="282"/>
      <c r="AA146" s="283"/>
      <c r="AB146" s="284" t="n">
        <f aca="false">IFERROR(($J146*O146)*$L146, "")</f>
        <v>1998.762</v>
      </c>
      <c r="AC146" s="284" t="n">
        <f aca="false">IFERROR(($J146*P146)*$L146, "")</f>
        <v>0</v>
      </c>
      <c r="AD146" s="284" t="n">
        <f aca="false">IFERROR(($J146*Q146)*$L146, "")</f>
        <v>999.381</v>
      </c>
      <c r="AE146" s="284" t="n">
        <f aca="false">IFERROR(($J146*R146)*$L146, "")</f>
        <v>333.127</v>
      </c>
      <c r="AF146" s="284" t="n">
        <f aca="false">IFERROR(($J146*S146)*$L146, "")</f>
        <v>0</v>
      </c>
      <c r="AG146" s="284" t="n">
        <f aca="false">IFERROR(($J146*T146)*$L146, "")</f>
        <v>0</v>
      </c>
      <c r="AH146" s="284" t="n">
        <f aca="false">IFERROR(($J146*U146)*$L146, "")</f>
        <v>0</v>
      </c>
      <c r="AI146" s="284" t="n">
        <f aca="false">IFERROR(($J146*V146)*$L146, "")</f>
        <v>0</v>
      </c>
      <c r="AJ146" s="284" t="n">
        <f aca="false">IFERROR(($J146*W146)*$L146, "")</f>
        <v>0</v>
      </c>
      <c r="AK146" s="284" t="n">
        <f aca="false">IFERROR(($J146*X146)*$L146, "")</f>
        <v>0</v>
      </c>
      <c r="AL146" s="284" t="n">
        <f aca="false">IFERROR(($J146*Y146)*$L146, "")</f>
        <v>0</v>
      </c>
      <c r="AM146" s="285" t="n">
        <f aca="false">IFERROR(($J146*Z146)*$L146, "")</f>
        <v>0</v>
      </c>
      <c r="AN146" s="286" t="n">
        <f aca="false">IFERROR(SUMIF($AB$4:$AM$4, "RDEC", AB146:AM146), "")</f>
        <v>333.127</v>
      </c>
      <c r="AO146" s="286" t="n">
        <f aca="false">IFERROR(SUMIF($AB$4:$AM$4, "SME", AB146:AM146), "")</f>
        <v>2998.143</v>
      </c>
      <c r="AP146" s="286" t="n">
        <f aca="false">IFERROR(SUMIF($AB$4:$AM$4, "De Minimis", AB146:AM146), "")</f>
        <v>0</v>
      </c>
      <c r="AQ146" s="283"/>
      <c r="AR146" s="284" t="n">
        <f aca="false">IFERROR(($J146*O146)*$M146, "")</f>
        <v>0</v>
      </c>
      <c r="AS146" s="284" t="n">
        <f aca="false">IFERROR(($J146*P146)*$M146, "")</f>
        <v>0</v>
      </c>
      <c r="AT146" s="284" t="n">
        <f aca="false">IFERROR(($J146*Q146)*$M146, "")</f>
        <v>0</v>
      </c>
      <c r="AU146" s="284" t="n">
        <f aca="false">IFERROR(($J146*R146)*$M146, "")</f>
        <v>0</v>
      </c>
      <c r="AV146" s="284" t="n">
        <f aca="false">IFERROR(($J146*S146)*$M146, "")</f>
        <v>0</v>
      </c>
      <c r="AW146" s="284" t="n">
        <f aca="false">IFERROR(($J146*T146)*$M146, "")</f>
        <v>0</v>
      </c>
      <c r="AX146" s="284" t="n">
        <f aca="false">IFERROR(($J146*U146)*$M146, "")</f>
        <v>0</v>
      </c>
      <c r="AY146" s="284" t="n">
        <f aca="false">IFERROR(($J146*V146)*$M146, "")</f>
        <v>0</v>
      </c>
      <c r="AZ146" s="284" t="n">
        <f aca="false">IFERROR(($J146*W146)*$M146, "")</f>
        <v>0</v>
      </c>
      <c r="BA146" s="284" t="n">
        <f aca="false">IFERROR(($J146*X146)*$M146, "")</f>
        <v>0</v>
      </c>
      <c r="BB146" s="284" t="n">
        <f aca="false">IFERROR(($J146*Y146)*$M146, "")</f>
        <v>0</v>
      </c>
      <c r="BC146" s="285" t="n">
        <f aca="false">IFERROR(($J146*Z146)*$M146, "")</f>
        <v>0</v>
      </c>
      <c r="BD146" s="286" t="n">
        <f aca="false">IFERROR(SUMIF($AB$4:$AM$4, "RDEC", AR146:BC146), "")</f>
        <v>0</v>
      </c>
      <c r="BE146" s="286" t="n">
        <f aca="false">IFERROR(SUMIF($AB$4:$AM$4, "SME", AR146:BC146), "")</f>
        <v>0</v>
      </c>
      <c r="BF146" s="286" t="n">
        <f aca="false">IFERROR(SUMIF($AB$4:$AM$4, "De Minimis", AR146:BC146), "")</f>
        <v>0</v>
      </c>
      <c r="BG146" s="287"/>
      <c r="BH146" s="288" t="str">
        <f aca="false">IF((SUM(O146:Z146)&gt;1),"ERROR","")</f>
        <v/>
      </c>
      <c r="BI146" s="287"/>
      <c r="BJ146" s="18" t="str">
        <f aca="false">IF(C132&gt;0, C132, "")</f>
        <v/>
      </c>
      <c r="BL146" s="200"/>
      <c r="BM146" s="200"/>
      <c r="BN146" s="200"/>
    </row>
    <row r="147" customFormat="false" ht="15" hidden="false" customHeight="true" outlineLevel="0" collapsed="false">
      <c r="B147" s="275"/>
      <c r="D147" s="276" t="n">
        <f aca="false">D131</f>
        <v>45627</v>
      </c>
      <c r="E147" s="277" t="n">
        <v>2868.96</v>
      </c>
      <c r="F147" s="277" t="n">
        <v>516.41</v>
      </c>
      <c r="G147" s="277" t="n">
        <v>168.85</v>
      </c>
      <c r="H147" s="277" t="n">
        <v>291.27</v>
      </c>
      <c r="I147" s="277" t="n">
        <v>86.07</v>
      </c>
      <c r="J147" s="278" t="n">
        <f aca="false">E147+H147+I147</f>
        <v>3246.3</v>
      </c>
      <c r="K147" s="204"/>
      <c r="L147" s="289" t="n">
        <v>1</v>
      </c>
      <c r="M147" s="290" t="n">
        <f aca="false">1-L147</f>
        <v>0</v>
      </c>
      <c r="N147" s="281"/>
      <c r="O147" s="291" t="n">
        <v>0.6</v>
      </c>
      <c r="P147" s="291"/>
      <c r="Q147" s="291" t="n">
        <v>0.3</v>
      </c>
      <c r="R147" s="291" t="n">
        <v>0.1</v>
      </c>
      <c r="S147" s="291"/>
      <c r="T147" s="291"/>
      <c r="U147" s="291"/>
      <c r="V147" s="291"/>
      <c r="W147" s="291"/>
      <c r="X147" s="291"/>
      <c r="Y147" s="291"/>
      <c r="Z147" s="291"/>
      <c r="AA147" s="283"/>
      <c r="AB147" s="292" t="n">
        <f aca="false">IFERROR(($J147*O147)*$L147, "")</f>
        <v>1947.78</v>
      </c>
      <c r="AC147" s="292" t="n">
        <f aca="false">IFERROR(($J147*P147)*$L147, "")</f>
        <v>0</v>
      </c>
      <c r="AD147" s="292" t="n">
        <f aca="false">IFERROR(($J147*Q147)*$L147, "")</f>
        <v>973.89</v>
      </c>
      <c r="AE147" s="292" t="n">
        <f aca="false">IFERROR(($J147*R147)*$L147, "")</f>
        <v>324.63</v>
      </c>
      <c r="AF147" s="292" t="n">
        <f aca="false">IFERROR(($J147*S147)*$L147, "")</f>
        <v>0</v>
      </c>
      <c r="AG147" s="292" t="n">
        <f aca="false">IFERROR(($J147*T147)*$L147, "")</f>
        <v>0</v>
      </c>
      <c r="AH147" s="292" t="n">
        <f aca="false">IFERROR(($J147*U147)*$L147, "")</f>
        <v>0</v>
      </c>
      <c r="AI147" s="292" t="n">
        <f aca="false">IFERROR(($J147*V147)*$L147, "")</f>
        <v>0</v>
      </c>
      <c r="AJ147" s="292" t="n">
        <f aca="false">IFERROR(($J147*W147)*$L147, "")</f>
        <v>0</v>
      </c>
      <c r="AK147" s="292" t="n">
        <f aca="false">IFERROR(($J147*X147)*$L147, "")</f>
        <v>0</v>
      </c>
      <c r="AL147" s="292" t="n">
        <f aca="false">IFERROR(($J147*Y147)*$L147, "")</f>
        <v>0</v>
      </c>
      <c r="AM147" s="293" t="n">
        <f aca="false">IFERROR(($J147*Z147)*$L147, "")</f>
        <v>0</v>
      </c>
      <c r="AN147" s="294" t="n">
        <f aca="false">IFERROR(SUMIF($AB$4:$AM$4, "RDEC", AB147:AM147), "")</f>
        <v>324.63</v>
      </c>
      <c r="AO147" s="294" t="n">
        <f aca="false">IFERROR(SUMIF($AB$4:$AM$4, "SME", AB147:AM147), "")</f>
        <v>2921.67</v>
      </c>
      <c r="AP147" s="294" t="n">
        <f aca="false">IFERROR(SUMIF($AB$4:$AM$4, "De Minimis", AB147:AM147), "")</f>
        <v>0</v>
      </c>
      <c r="AQ147" s="283"/>
      <c r="AR147" s="292" t="n">
        <f aca="false">IFERROR(($J147*O147)*$M147, "")</f>
        <v>0</v>
      </c>
      <c r="AS147" s="292" t="n">
        <f aca="false">IFERROR(($J147*P147)*$M147, "")</f>
        <v>0</v>
      </c>
      <c r="AT147" s="292" t="n">
        <f aca="false">IFERROR(($J147*Q147)*$M147, "")</f>
        <v>0</v>
      </c>
      <c r="AU147" s="292" t="n">
        <f aca="false">IFERROR(($J147*R147)*$M147, "")</f>
        <v>0</v>
      </c>
      <c r="AV147" s="292" t="n">
        <f aca="false">IFERROR(($J147*S147)*$M147, "")</f>
        <v>0</v>
      </c>
      <c r="AW147" s="292" t="n">
        <f aca="false">IFERROR(($J147*T147)*$M147, "")</f>
        <v>0</v>
      </c>
      <c r="AX147" s="292" t="n">
        <f aca="false">IFERROR(($J147*U147)*$M147, "")</f>
        <v>0</v>
      </c>
      <c r="AY147" s="292" t="n">
        <f aca="false">IFERROR(($J147*V147)*$M147, "")</f>
        <v>0</v>
      </c>
      <c r="AZ147" s="292" t="n">
        <f aca="false">IFERROR(($J147*W147)*$M147, "")</f>
        <v>0</v>
      </c>
      <c r="BA147" s="292" t="n">
        <f aca="false">IFERROR(($J147*X147)*$M147, "")</f>
        <v>0</v>
      </c>
      <c r="BB147" s="292" t="n">
        <f aca="false">IFERROR(($J147*Y147)*$M147, "")</f>
        <v>0</v>
      </c>
      <c r="BC147" s="293" t="n">
        <f aca="false">IFERROR(($J147*Z147)*$M147, "")</f>
        <v>0</v>
      </c>
      <c r="BD147" s="294" t="n">
        <f aca="false">IFERROR(SUMIF($AB$4:$AM$4, "RDEC", AR147:BC147), "")</f>
        <v>0</v>
      </c>
      <c r="BE147" s="294" t="n">
        <f aca="false">IFERROR(SUMIF($AB$4:$AM$4, "SME", AR147:BC147), "")</f>
        <v>0</v>
      </c>
      <c r="BF147" s="294" t="n">
        <f aca="false">IFERROR(SUMIF($AB$4:$AM$4, "De Minimis", AR147:BC147), "")</f>
        <v>0</v>
      </c>
      <c r="BG147" s="287"/>
      <c r="BH147" s="295" t="str">
        <f aca="false">IF((SUM(O147:Z147)&gt;1),"ERROR","")</f>
        <v/>
      </c>
      <c r="BI147" s="287"/>
      <c r="BJ147" s="18" t="str">
        <f aca="false">IF(C133&gt;0, C133, "")</f>
        <v/>
      </c>
      <c r="BL147" s="200"/>
      <c r="BM147" s="200"/>
      <c r="BN147" s="200"/>
    </row>
    <row r="148" customFormat="false" ht="15" hidden="false" customHeight="true" outlineLevel="0" collapsed="false">
      <c r="B148" s="296"/>
      <c r="D148" s="297" t="s">
        <v>82</v>
      </c>
      <c r="E148" s="298" t="n">
        <f aca="false">SUM(E136:E147)</f>
        <v>34873.9</v>
      </c>
      <c r="F148" s="298" t="n">
        <f aca="false">SUM(F136:F147)</f>
        <v>6277.31</v>
      </c>
      <c r="G148" s="298" t="n">
        <f aca="false">SUM(G136:G147)</f>
        <v>2061.91</v>
      </c>
      <c r="H148" s="298" t="n">
        <f aca="false">SUM(H136:H147)</f>
        <v>3556.81</v>
      </c>
      <c r="I148" s="298" t="n">
        <f aca="false">SUM(I136:I147)</f>
        <v>1046.23</v>
      </c>
      <c r="J148" s="299" t="n">
        <f aca="false">SUM(J136:J147)</f>
        <v>39476.94</v>
      </c>
      <c r="K148" s="300"/>
      <c r="L148" s="301" t="n">
        <f aca="false">AVERAGE(L136:L147)</f>
        <v>1</v>
      </c>
      <c r="M148" s="301" t="n">
        <f aca="false">AVERAGE(M136:M147)</f>
        <v>0</v>
      </c>
      <c r="N148" s="302"/>
      <c r="O148" s="290" t="n">
        <f aca="false">IF(SUM(O136:O147)&gt;0,((AB148+AR148)/J148),0)</f>
        <v>0.6</v>
      </c>
      <c r="P148" s="290" t="n">
        <f aca="false">IF(SUM(P136:P147)&gt;0,((AC148+AS148)/J148),0)</f>
        <v>0</v>
      </c>
      <c r="Q148" s="290" t="n">
        <f aca="false">IF(SUM(Q136:Q147)&gt;0,((AD148+AT148)/J148),0)</f>
        <v>0.3</v>
      </c>
      <c r="R148" s="290" t="n">
        <f aca="false">IF(SUM(R136:R147)&gt;0,((AE148+AU148)/J148),0)</f>
        <v>0.1</v>
      </c>
      <c r="S148" s="290" t="n">
        <f aca="false">IF(SUM(S136:S147)&gt;0,((AF148+AV148)/J148),0)</f>
        <v>0</v>
      </c>
      <c r="T148" s="290" t="n">
        <f aca="false">IF(SUM(T136:T147)&gt;0,((AG148+AW148)/J148),0)</f>
        <v>0</v>
      </c>
      <c r="U148" s="290" t="n">
        <f aca="false">IF(SUM(U136:U147)&gt;0,((AH148+AX148)/J148),0)</f>
        <v>0</v>
      </c>
      <c r="V148" s="290" t="n">
        <f aca="false">IF(SUM(V136:V147)&gt;0,((AI148+AY148)/J148),0)</f>
        <v>0</v>
      </c>
      <c r="W148" s="290" t="n">
        <f aca="false">IF(SUM(W136:W147)&gt;0,((AJ148+AZ148)/J148),0)</f>
        <v>0</v>
      </c>
      <c r="X148" s="290" t="n">
        <f aca="false">IF(SUM(X136:X147)&gt;0,((AK148+BA148)/J148),0)</f>
        <v>0</v>
      </c>
      <c r="Y148" s="290" t="n">
        <f aca="false">IF(SUM(Y136:Y147)&gt;0,((AL148+BB148)/J148),0)</f>
        <v>0</v>
      </c>
      <c r="Z148" s="290" t="n">
        <f aca="false">IF(SUM(Z136:Z147)&gt;0,((AM148+BC148)/J148),0)</f>
        <v>0</v>
      </c>
      <c r="AA148" s="303"/>
      <c r="AB148" s="292" t="n">
        <f aca="false">SUM(AB136:AB147)</f>
        <v>23686.164</v>
      </c>
      <c r="AC148" s="304" t="n">
        <f aca="false">SUM(AC136:AC147)</f>
        <v>0</v>
      </c>
      <c r="AD148" s="304" t="n">
        <f aca="false">SUM(AD136:AD147)</f>
        <v>11843.082</v>
      </c>
      <c r="AE148" s="304" t="n">
        <f aca="false">SUM(AE136:AE147)</f>
        <v>3947.694</v>
      </c>
      <c r="AF148" s="304" t="n">
        <f aca="false">SUM(AF136:AF147)</f>
        <v>0</v>
      </c>
      <c r="AG148" s="304" t="n">
        <f aca="false">SUM(AG136:AG147)</f>
        <v>0</v>
      </c>
      <c r="AH148" s="304" t="n">
        <f aca="false">SUM(AH136:AH147)</f>
        <v>0</v>
      </c>
      <c r="AI148" s="304" t="n">
        <f aca="false">SUM(AI136:AI147)</f>
        <v>0</v>
      </c>
      <c r="AJ148" s="304" t="n">
        <f aca="false">SUM(AJ136:AJ147)</f>
        <v>0</v>
      </c>
      <c r="AK148" s="304" t="n">
        <f aca="false">SUM(AK136:AK147)</f>
        <v>0</v>
      </c>
      <c r="AL148" s="304" t="n">
        <f aca="false">SUM(AL136:AL147)</f>
        <v>0</v>
      </c>
      <c r="AM148" s="304" t="n">
        <f aca="false">SUM(AM136:AM147)</f>
        <v>0</v>
      </c>
      <c r="AN148" s="305" t="n">
        <f aca="false">SUM(AN136:AN147)</f>
        <v>3947.694</v>
      </c>
      <c r="AO148" s="305" t="n">
        <f aca="false">SUM(AO136:AO147)</f>
        <v>35529.246</v>
      </c>
      <c r="AP148" s="305" t="n">
        <f aca="false">SUM(AP136:AP147)</f>
        <v>0</v>
      </c>
      <c r="AQ148" s="303"/>
      <c r="AR148" s="292" t="n">
        <f aca="false">SUM(AR136:AR147)</f>
        <v>0</v>
      </c>
      <c r="AS148" s="304" t="n">
        <f aca="false">SUM(AS136:AS147)</f>
        <v>0</v>
      </c>
      <c r="AT148" s="304" t="n">
        <f aca="false">SUM(AT136:AT147)</f>
        <v>0</v>
      </c>
      <c r="AU148" s="304" t="n">
        <f aca="false">SUM(AU136:AU147)</f>
        <v>0</v>
      </c>
      <c r="AV148" s="304" t="n">
        <f aca="false">SUM(AV136:AV147)</f>
        <v>0</v>
      </c>
      <c r="AW148" s="304" t="n">
        <f aca="false">SUM(AW136:AW147)</f>
        <v>0</v>
      </c>
      <c r="AX148" s="304" t="n">
        <f aca="false">SUM(AX136:AX147)</f>
        <v>0</v>
      </c>
      <c r="AY148" s="304" t="n">
        <f aca="false">SUM(AY136:AY147)</f>
        <v>0</v>
      </c>
      <c r="AZ148" s="304" t="n">
        <f aca="false">SUM(AZ136:AZ147)</f>
        <v>0</v>
      </c>
      <c r="BA148" s="304" t="n">
        <f aca="false">SUM(BA136:BA147)</f>
        <v>0</v>
      </c>
      <c r="BB148" s="304" t="n">
        <f aca="false">SUM(BB136:BB147)</f>
        <v>0</v>
      </c>
      <c r="BC148" s="304" t="n">
        <f aca="false">SUM(BC136:BC147)</f>
        <v>0</v>
      </c>
      <c r="BD148" s="305" t="n">
        <f aca="false">SUM(BD136:BD147)</f>
        <v>0</v>
      </c>
      <c r="BE148" s="305" t="n">
        <f aca="false">SUM(BE136:BE147)</f>
        <v>0</v>
      </c>
      <c r="BF148" s="305" t="n">
        <f aca="false">SUM(BF136:BF147)</f>
        <v>0</v>
      </c>
      <c r="BG148" s="303"/>
      <c r="BH148" s="306"/>
      <c r="BI148" s="303"/>
      <c r="BJ148" s="307" t="str">
        <f aca="false">IF(C134&gt;0, C134, "")</f>
        <v>Junior Developer</v>
      </c>
      <c r="BK148" s="18" t="s">
        <v>234</v>
      </c>
      <c r="BL148" s="200" t="n">
        <f aca="false">IF($BK148="Y",J148,0)</f>
        <v>0</v>
      </c>
      <c r="BM148" s="200" t="n">
        <f aca="false">IF(BK148="Y", AN148,0)</f>
        <v>0</v>
      </c>
      <c r="BN148" s="200" t="n">
        <f aca="false">IF((BK148="Y"),AO148,0)</f>
        <v>0</v>
      </c>
    </row>
    <row r="149" customFormat="false" ht="15" hidden="false" customHeight="true" outlineLevel="0" collapsed="false">
      <c r="B149" s="296"/>
      <c r="D149" s="297"/>
      <c r="E149" s="277"/>
      <c r="F149" s="277"/>
      <c r="G149" s="277"/>
      <c r="H149" s="277"/>
      <c r="I149" s="277"/>
      <c r="J149" s="300"/>
      <c r="K149" s="300"/>
      <c r="L149" s="302"/>
      <c r="M149" s="302"/>
      <c r="N149" s="302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08"/>
      <c r="Z149" s="308"/>
      <c r="AA149" s="303"/>
      <c r="AB149" s="303"/>
      <c r="AC149" s="303"/>
      <c r="AD149" s="303"/>
      <c r="AE149" s="303"/>
      <c r="AF149" s="303"/>
      <c r="AG149" s="303"/>
      <c r="AH149" s="303"/>
      <c r="AI149" s="303"/>
      <c r="AJ149" s="303"/>
      <c r="AK149" s="303"/>
      <c r="AL149" s="303"/>
      <c r="AM149" s="303"/>
      <c r="AN149" s="303"/>
      <c r="AO149" s="303"/>
      <c r="AP149" s="303"/>
      <c r="AQ149" s="303"/>
      <c r="AR149" s="303"/>
      <c r="AS149" s="303"/>
      <c r="AT149" s="303"/>
      <c r="AU149" s="303"/>
      <c r="AV149" s="303"/>
      <c r="AW149" s="303"/>
      <c r="AX149" s="303"/>
      <c r="AY149" s="303"/>
      <c r="AZ149" s="303"/>
      <c r="BA149" s="303"/>
      <c r="BB149" s="303"/>
      <c r="BC149" s="303"/>
      <c r="BD149" s="303"/>
      <c r="BE149" s="303"/>
      <c r="BF149" s="303"/>
      <c r="BG149" s="303"/>
      <c r="BH149" s="303"/>
      <c r="BI149" s="303"/>
      <c r="BJ149" s="307" t="str">
        <f aca="false">IF(C136&gt;0, C136, "")</f>
        <v/>
      </c>
      <c r="BL149" s="200"/>
      <c r="BM149" s="200"/>
      <c r="BN149" s="200"/>
    </row>
    <row r="150" customFormat="false" ht="15" hidden="false" customHeight="true" outlineLevel="0" collapsed="false">
      <c r="A150" s="198" t="n">
        <v>10</v>
      </c>
      <c r="B150" s="266" t="s">
        <v>251</v>
      </c>
      <c r="C150" s="266" t="s">
        <v>252</v>
      </c>
      <c r="D150" s="267"/>
      <c r="E150" s="242"/>
      <c r="F150" s="242"/>
      <c r="G150" s="242"/>
      <c r="H150" s="242"/>
      <c r="I150" s="242"/>
      <c r="J150" s="241"/>
      <c r="K150" s="241"/>
      <c r="L150" s="241"/>
      <c r="M150" s="241"/>
      <c r="N150" s="241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  <c r="AF150" s="268"/>
      <c r="AG150" s="268"/>
      <c r="AH150" s="268"/>
      <c r="AI150" s="268"/>
      <c r="AJ150" s="268"/>
      <c r="AK150" s="268"/>
      <c r="AL150" s="268"/>
      <c r="AM150" s="268"/>
      <c r="AN150" s="268"/>
      <c r="AO150" s="268"/>
      <c r="AP150" s="268"/>
      <c r="AQ150" s="268"/>
      <c r="AR150" s="268"/>
      <c r="AS150" s="268"/>
      <c r="AT150" s="268"/>
      <c r="AU150" s="268"/>
      <c r="AV150" s="268"/>
      <c r="AW150" s="268"/>
      <c r="AX150" s="268"/>
      <c r="AY150" s="268"/>
      <c r="AZ150" s="268"/>
      <c r="BA150" s="268"/>
      <c r="BB150" s="268"/>
      <c r="BC150" s="268"/>
      <c r="BD150" s="268"/>
      <c r="BE150" s="268"/>
      <c r="BF150" s="268"/>
      <c r="BG150" s="268"/>
      <c r="BH150" s="268"/>
      <c r="BI150" s="268"/>
      <c r="BJ150" s="18" t="str">
        <f aca="false">IF(C137&gt;0, C137, "")</f>
        <v/>
      </c>
      <c r="BL150" s="200"/>
      <c r="BM150" s="200"/>
      <c r="BN150" s="200"/>
    </row>
    <row r="151" customFormat="false" ht="7.5" hidden="false" customHeight="true" outlineLevel="0" collapsed="false">
      <c r="A151" s="198"/>
      <c r="B151" s="266"/>
      <c r="C151" s="266"/>
      <c r="D151" s="267"/>
      <c r="E151" s="242"/>
      <c r="F151" s="242"/>
      <c r="G151" s="242"/>
      <c r="H151" s="242"/>
      <c r="I151" s="242"/>
      <c r="J151" s="241"/>
      <c r="K151" s="241"/>
      <c r="L151" s="269"/>
      <c r="M151" s="269"/>
      <c r="N151" s="270"/>
      <c r="O151" s="269"/>
      <c r="P151" s="269"/>
      <c r="Q151" s="269"/>
      <c r="R151" s="269"/>
      <c r="S151" s="269"/>
      <c r="T151" s="269"/>
      <c r="U151" s="269"/>
      <c r="V151" s="269"/>
      <c r="W151" s="269"/>
      <c r="X151" s="269"/>
      <c r="Y151" s="269"/>
      <c r="Z151" s="269"/>
      <c r="AA151" s="268"/>
      <c r="AB151" s="271"/>
      <c r="AC151" s="271"/>
      <c r="AD151" s="271"/>
      <c r="AE151" s="271"/>
      <c r="AF151" s="271"/>
      <c r="AG151" s="271"/>
      <c r="AH151" s="271"/>
      <c r="AI151" s="271"/>
      <c r="AJ151" s="271"/>
      <c r="AK151" s="271"/>
      <c r="AL151" s="271"/>
      <c r="AM151" s="272"/>
      <c r="AN151" s="273"/>
      <c r="AO151" s="273"/>
      <c r="AP151" s="273"/>
      <c r="AQ151" s="268"/>
      <c r="AR151" s="271"/>
      <c r="AS151" s="271"/>
      <c r="AT151" s="271"/>
      <c r="AU151" s="271"/>
      <c r="AV151" s="271"/>
      <c r="AW151" s="271"/>
      <c r="AX151" s="271"/>
      <c r="AY151" s="271"/>
      <c r="AZ151" s="271"/>
      <c r="BA151" s="271"/>
      <c r="BB151" s="271"/>
      <c r="BC151" s="272"/>
      <c r="BD151" s="273"/>
      <c r="BE151" s="273"/>
      <c r="BF151" s="273"/>
      <c r="BG151" s="268"/>
      <c r="BH151" s="274"/>
      <c r="BI151" s="268"/>
      <c r="BL151" s="200"/>
      <c r="BM151" s="200"/>
      <c r="BN151" s="200"/>
    </row>
    <row r="152" customFormat="false" ht="15" hidden="false" customHeight="true" outlineLevel="0" collapsed="false">
      <c r="B152" s="275"/>
      <c r="D152" s="276" t="n">
        <f aca="false">D136</f>
        <v>45292</v>
      </c>
      <c r="E152" s="277" t="n">
        <v>5511.28</v>
      </c>
      <c r="F152" s="277" t="n">
        <v>1488.05</v>
      </c>
      <c r="G152" s="277" t="n">
        <v>380.24</v>
      </c>
      <c r="H152" s="277" t="n">
        <v>655.91</v>
      </c>
      <c r="I152" s="277" t="n">
        <v>275.56</v>
      </c>
      <c r="J152" s="278" t="n">
        <f aca="false">E152+H152+I152</f>
        <v>6442.75</v>
      </c>
      <c r="K152" s="204"/>
      <c r="L152" s="279" t="n">
        <v>0.3</v>
      </c>
      <c r="M152" s="280" t="n">
        <f aca="false">1-L152</f>
        <v>0.7</v>
      </c>
      <c r="N152" s="281"/>
      <c r="O152" s="282" t="n">
        <v>0.25</v>
      </c>
      <c r="P152" s="282" t="n">
        <v>0.25</v>
      </c>
      <c r="Q152" s="282" t="n">
        <v>0.2</v>
      </c>
      <c r="R152" s="282" t="n">
        <v>0.15</v>
      </c>
      <c r="S152" s="282" t="n">
        <v>0.15</v>
      </c>
      <c r="T152" s="282"/>
      <c r="U152" s="282"/>
      <c r="V152" s="282"/>
      <c r="W152" s="282"/>
      <c r="X152" s="282"/>
      <c r="Y152" s="282"/>
      <c r="Z152" s="282"/>
      <c r="AA152" s="283"/>
      <c r="AB152" s="284" t="n">
        <f aca="false">IFERROR(($J152*O152)*$L152, "")</f>
        <v>483.20625</v>
      </c>
      <c r="AC152" s="284" t="n">
        <f aca="false">IFERROR(($J152*P152)*$L152, "")</f>
        <v>483.20625</v>
      </c>
      <c r="AD152" s="284" t="n">
        <f aca="false">IFERROR(($J152*Q152)*$L152, "")</f>
        <v>386.565</v>
      </c>
      <c r="AE152" s="284" t="n">
        <f aca="false">IFERROR(($J152*R152)*$L152, "")</f>
        <v>289.92375</v>
      </c>
      <c r="AF152" s="284" t="n">
        <f aca="false">IFERROR(($J152*S152)*$L152, "")</f>
        <v>289.92375</v>
      </c>
      <c r="AG152" s="284" t="n">
        <f aca="false">IFERROR(($J152*T152)*$L152, "")</f>
        <v>0</v>
      </c>
      <c r="AH152" s="284" t="n">
        <f aca="false">IFERROR(($J152*U152)*$L152, "")</f>
        <v>0</v>
      </c>
      <c r="AI152" s="284" t="n">
        <f aca="false">IFERROR(($J152*V152)*$L152, "")</f>
        <v>0</v>
      </c>
      <c r="AJ152" s="284" t="n">
        <f aca="false">IFERROR(($J152*W152)*$L152, "")</f>
        <v>0</v>
      </c>
      <c r="AK152" s="284" t="n">
        <f aca="false">IFERROR(($J152*X152)*$L152, "")</f>
        <v>0</v>
      </c>
      <c r="AL152" s="284" t="n">
        <f aca="false">IFERROR(($J152*Y152)*$L152, "")</f>
        <v>0</v>
      </c>
      <c r="AM152" s="285" t="n">
        <f aca="false">IFERROR(($J152*Z152)*$L152, "")</f>
        <v>0</v>
      </c>
      <c r="AN152" s="286" t="n">
        <f aca="false">IFERROR(SUMIF($AB$4:$AM$4, "RDEC", AB152:AM152), "")</f>
        <v>289.92375</v>
      </c>
      <c r="AO152" s="286" t="n">
        <f aca="false">IFERROR(SUMIF($AB$4:$AM$4, "SME", AB152:AM152), "")</f>
        <v>1642.90125</v>
      </c>
      <c r="AP152" s="286" t="n">
        <f aca="false">IFERROR(SUMIF($AB$4:$AM$4, "De Minimis", AB152:AM152), "")</f>
        <v>0</v>
      </c>
      <c r="AQ152" s="283"/>
      <c r="AR152" s="284" t="n">
        <f aca="false">IFERROR(($J152*O152)*$M152, "")</f>
        <v>1127.48125</v>
      </c>
      <c r="AS152" s="284" t="n">
        <f aca="false">IFERROR(($J152*P152)*$M152, "")</f>
        <v>1127.48125</v>
      </c>
      <c r="AT152" s="284" t="n">
        <f aca="false">IFERROR(($J152*Q152)*$M152, "")</f>
        <v>901.985</v>
      </c>
      <c r="AU152" s="284" t="n">
        <f aca="false">IFERROR(($J152*R152)*$M152, "")</f>
        <v>676.48875</v>
      </c>
      <c r="AV152" s="284" t="n">
        <f aca="false">IFERROR(($J152*S152)*$M152, "")</f>
        <v>676.48875</v>
      </c>
      <c r="AW152" s="284" t="n">
        <f aca="false">IFERROR(($J152*T152)*$M152, "")</f>
        <v>0</v>
      </c>
      <c r="AX152" s="284" t="n">
        <f aca="false">IFERROR(($J152*U152)*$M152, "")</f>
        <v>0</v>
      </c>
      <c r="AY152" s="284" t="n">
        <f aca="false">IFERROR(($J152*V152)*$M152, "")</f>
        <v>0</v>
      </c>
      <c r="AZ152" s="284" t="n">
        <f aca="false">IFERROR(($J152*W152)*$M152, "")</f>
        <v>0</v>
      </c>
      <c r="BA152" s="284" t="n">
        <f aca="false">IFERROR(($J152*X152)*$M152, "")</f>
        <v>0</v>
      </c>
      <c r="BB152" s="284" t="n">
        <f aca="false">IFERROR(($J152*Y152)*$M152, "")</f>
        <v>0</v>
      </c>
      <c r="BC152" s="285" t="n">
        <f aca="false">IFERROR(($J152*Z152)*$M152, "")</f>
        <v>0</v>
      </c>
      <c r="BD152" s="286" t="n">
        <f aca="false">IFERROR(SUMIF($AB$4:$AM$4, "RDEC", AR152:BC152), "")</f>
        <v>676.48875</v>
      </c>
      <c r="BE152" s="286" t="n">
        <f aca="false">IFERROR(SUMIF($AB$4:$AM$4, "SME", AR152:BC152), "")</f>
        <v>3833.43625</v>
      </c>
      <c r="BF152" s="286" t="n">
        <f aca="false">IFERROR(SUMIF($AB$4:$AM$4, "De Minimis", AR152:BC152), "")</f>
        <v>0</v>
      </c>
      <c r="BG152" s="287"/>
      <c r="BH152" s="288" t="str">
        <f aca="false">IF((SUM(O152:Z152)&gt;1),"ERROR","")</f>
        <v/>
      </c>
      <c r="BI152" s="287"/>
      <c r="BJ152" s="18" t="str">
        <f aca="false">IF(C138&gt;0, C138, "")</f>
        <v/>
      </c>
      <c r="BL152" s="200"/>
      <c r="BM152" s="200"/>
      <c r="BN152" s="200"/>
    </row>
    <row r="153" customFormat="false" ht="15" hidden="false" customHeight="true" outlineLevel="0" collapsed="false">
      <c r="B153" s="275"/>
      <c r="D153" s="276" t="n">
        <f aca="false">D137</f>
        <v>45323</v>
      </c>
      <c r="E153" s="277" t="n">
        <v>5401.77</v>
      </c>
      <c r="F153" s="277" t="n">
        <v>1458.48</v>
      </c>
      <c r="G153" s="277" t="n">
        <v>371.48</v>
      </c>
      <c r="H153" s="277" t="n">
        <v>640.79</v>
      </c>
      <c r="I153" s="277" t="n">
        <v>270.09</v>
      </c>
      <c r="J153" s="278" t="n">
        <f aca="false">E153+H153+I153</f>
        <v>6312.65</v>
      </c>
      <c r="K153" s="204"/>
      <c r="L153" s="279" t="n">
        <v>0.3</v>
      </c>
      <c r="M153" s="280" t="n">
        <f aca="false">1-L153</f>
        <v>0.7</v>
      </c>
      <c r="N153" s="281"/>
      <c r="O153" s="282" t="n">
        <v>0.25</v>
      </c>
      <c r="P153" s="282" t="n">
        <v>0.25</v>
      </c>
      <c r="Q153" s="282" t="n">
        <v>0.2</v>
      </c>
      <c r="R153" s="282" t="n">
        <v>0.15</v>
      </c>
      <c r="S153" s="282" t="n">
        <v>0.15</v>
      </c>
      <c r="T153" s="282"/>
      <c r="U153" s="282"/>
      <c r="V153" s="282"/>
      <c r="W153" s="282"/>
      <c r="X153" s="282"/>
      <c r="Y153" s="282"/>
      <c r="Z153" s="282"/>
      <c r="AA153" s="283"/>
      <c r="AB153" s="284" t="n">
        <f aca="false">IFERROR(($J153*O153)*$L153, "")</f>
        <v>473.44875</v>
      </c>
      <c r="AC153" s="284" t="n">
        <f aca="false">IFERROR(($J153*P153)*$L153, "")</f>
        <v>473.44875</v>
      </c>
      <c r="AD153" s="284" t="n">
        <f aca="false">IFERROR(($J153*Q153)*$L153, "")</f>
        <v>378.759</v>
      </c>
      <c r="AE153" s="284" t="n">
        <f aca="false">IFERROR(($J153*R153)*$L153, "")</f>
        <v>284.06925</v>
      </c>
      <c r="AF153" s="284" t="n">
        <f aca="false">IFERROR(($J153*S153)*$L153, "")</f>
        <v>284.06925</v>
      </c>
      <c r="AG153" s="284" t="n">
        <f aca="false">IFERROR(($J153*T153)*$L153, "")</f>
        <v>0</v>
      </c>
      <c r="AH153" s="284" t="n">
        <f aca="false">IFERROR(($J153*U153)*$L153, "")</f>
        <v>0</v>
      </c>
      <c r="AI153" s="284" t="n">
        <f aca="false">IFERROR(($J153*V153)*$L153, "")</f>
        <v>0</v>
      </c>
      <c r="AJ153" s="284" t="n">
        <f aca="false">IFERROR(($J153*W153)*$L153, "")</f>
        <v>0</v>
      </c>
      <c r="AK153" s="284" t="n">
        <f aca="false">IFERROR(($J153*X153)*$L153, "")</f>
        <v>0</v>
      </c>
      <c r="AL153" s="284" t="n">
        <f aca="false">IFERROR(($J153*Y153)*$L153, "")</f>
        <v>0</v>
      </c>
      <c r="AM153" s="285" t="n">
        <f aca="false">IFERROR(($J153*Z153)*$L153, "")</f>
        <v>0</v>
      </c>
      <c r="AN153" s="286" t="n">
        <f aca="false">IFERROR(SUMIF($AB$4:$AM$4, "RDEC", AB153:AM153), "")</f>
        <v>284.06925</v>
      </c>
      <c r="AO153" s="286" t="n">
        <f aca="false">IFERROR(SUMIF($AB$4:$AM$4, "SME", AB153:AM153), "")</f>
        <v>1609.72575</v>
      </c>
      <c r="AP153" s="286" t="n">
        <f aca="false">IFERROR(SUMIF($AB$4:$AM$4, "De Minimis", AB153:AM153), "")</f>
        <v>0</v>
      </c>
      <c r="AQ153" s="283"/>
      <c r="AR153" s="284" t="n">
        <f aca="false">IFERROR(($J153*O153)*$M153, "")</f>
        <v>1104.71375</v>
      </c>
      <c r="AS153" s="284" t="n">
        <f aca="false">IFERROR(($J153*P153)*$M153, "")</f>
        <v>1104.71375</v>
      </c>
      <c r="AT153" s="284" t="n">
        <f aca="false">IFERROR(($J153*Q153)*$M153, "")</f>
        <v>883.771</v>
      </c>
      <c r="AU153" s="284" t="n">
        <f aca="false">IFERROR(($J153*R153)*$M153, "")</f>
        <v>662.82825</v>
      </c>
      <c r="AV153" s="284" t="n">
        <f aca="false">IFERROR(($J153*S153)*$M153, "")</f>
        <v>662.82825</v>
      </c>
      <c r="AW153" s="284" t="n">
        <f aca="false">IFERROR(($J153*T153)*$M153, "")</f>
        <v>0</v>
      </c>
      <c r="AX153" s="284" t="n">
        <f aca="false">IFERROR(($J153*U153)*$M153, "")</f>
        <v>0</v>
      </c>
      <c r="AY153" s="284" t="n">
        <f aca="false">IFERROR(($J153*V153)*$M153, "")</f>
        <v>0</v>
      </c>
      <c r="AZ153" s="284" t="n">
        <f aca="false">IFERROR(($J153*W153)*$M153, "")</f>
        <v>0</v>
      </c>
      <c r="BA153" s="284" t="n">
        <f aca="false">IFERROR(($J153*X153)*$M153, "")</f>
        <v>0</v>
      </c>
      <c r="BB153" s="284" t="n">
        <f aca="false">IFERROR(($J153*Y153)*$M153, "")</f>
        <v>0</v>
      </c>
      <c r="BC153" s="285" t="n">
        <f aca="false">IFERROR(($J153*Z153)*$M153, "")</f>
        <v>0</v>
      </c>
      <c r="BD153" s="286" t="n">
        <f aca="false">IFERROR(SUMIF($AB$4:$AM$4, "RDEC", AR153:BC153), "")</f>
        <v>662.82825</v>
      </c>
      <c r="BE153" s="286" t="n">
        <f aca="false">IFERROR(SUMIF($AB$4:$AM$4, "SME", AR153:BC153), "")</f>
        <v>3756.02675</v>
      </c>
      <c r="BF153" s="286" t="n">
        <f aca="false">IFERROR(SUMIF($AB$4:$AM$4, "De Minimis", AR153:BC153), "")</f>
        <v>0</v>
      </c>
      <c r="BG153" s="287"/>
      <c r="BH153" s="288" t="str">
        <f aca="false">IF((SUM(O153:Z153)&gt;1),"ERROR","")</f>
        <v/>
      </c>
      <c r="BI153" s="287"/>
      <c r="BJ153" s="18" t="str">
        <f aca="false">IF(C139&gt;0, C139, "")</f>
        <v/>
      </c>
      <c r="BL153" s="200"/>
      <c r="BM153" s="200"/>
      <c r="BN153" s="200"/>
    </row>
    <row r="154" customFormat="false" ht="15" hidden="false" customHeight="true" outlineLevel="0" collapsed="false">
      <c r="B154" s="275"/>
      <c r="D154" s="276" t="n">
        <f aca="false">D138</f>
        <v>45352</v>
      </c>
      <c r="E154" s="277" t="n">
        <v>5521.83</v>
      </c>
      <c r="F154" s="277" t="n">
        <v>1490.89</v>
      </c>
      <c r="G154" s="277" t="n">
        <v>381.08</v>
      </c>
      <c r="H154" s="277" t="n">
        <v>657.36</v>
      </c>
      <c r="I154" s="277" t="n">
        <v>276.09</v>
      </c>
      <c r="J154" s="278" t="n">
        <f aca="false">E154+H154+I154</f>
        <v>6455.28</v>
      </c>
      <c r="K154" s="204"/>
      <c r="L154" s="279" t="n">
        <v>0.3</v>
      </c>
      <c r="M154" s="280" t="n">
        <f aca="false">1-L154</f>
        <v>0.7</v>
      </c>
      <c r="N154" s="281"/>
      <c r="O154" s="282" t="n">
        <v>0.25</v>
      </c>
      <c r="P154" s="282" t="n">
        <v>0.25</v>
      </c>
      <c r="Q154" s="282" t="n">
        <v>0.2</v>
      </c>
      <c r="R154" s="282" t="n">
        <v>0.15</v>
      </c>
      <c r="S154" s="282" t="n">
        <v>0.15</v>
      </c>
      <c r="T154" s="282"/>
      <c r="U154" s="282"/>
      <c r="V154" s="282"/>
      <c r="W154" s="282"/>
      <c r="X154" s="282"/>
      <c r="Y154" s="282"/>
      <c r="Z154" s="282"/>
      <c r="AA154" s="283"/>
      <c r="AB154" s="284" t="n">
        <f aca="false">IFERROR(($J154*O154)*$L154, "")</f>
        <v>484.146</v>
      </c>
      <c r="AC154" s="284" t="n">
        <f aca="false">IFERROR(($J154*P154)*$L154, "")</f>
        <v>484.146</v>
      </c>
      <c r="AD154" s="284" t="n">
        <f aca="false">IFERROR(($J154*Q154)*$L154, "")</f>
        <v>387.3168</v>
      </c>
      <c r="AE154" s="284" t="n">
        <f aca="false">IFERROR(($J154*R154)*$L154, "")</f>
        <v>290.4876</v>
      </c>
      <c r="AF154" s="284" t="n">
        <f aca="false">IFERROR(($J154*S154)*$L154, "")</f>
        <v>290.4876</v>
      </c>
      <c r="AG154" s="284" t="n">
        <f aca="false">IFERROR(($J154*T154)*$L154, "")</f>
        <v>0</v>
      </c>
      <c r="AH154" s="284" t="n">
        <f aca="false">IFERROR(($J154*U154)*$L154, "")</f>
        <v>0</v>
      </c>
      <c r="AI154" s="284" t="n">
        <f aca="false">IFERROR(($J154*V154)*$L154, "")</f>
        <v>0</v>
      </c>
      <c r="AJ154" s="284" t="n">
        <f aca="false">IFERROR(($J154*W154)*$L154, "")</f>
        <v>0</v>
      </c>
      <c r="AK154" s="284" t="n">
        <f aca="false">IFERROR(($J154*X154)*$L154, "")</f>
        <v>0</v>
      </c>
      <c r="AL154" s="284" t="n">
        <f aca="false">IFERROR(($J154*Y154)*$L154, "")</f>
        <v>0</v>
      </c>
      <c r="AM154" s="285" t="n">
        <f aca="false">IFERROR(($J154*Z154)*$L154, "")</f>
        <v>0</v>
      </c>
      <c r="AN154" s="286" t="n">
        <f aca="false">IFERROR(SUMIF($AB$4:$AM$4, "RDEC", AB154:AM154), "")</f>
        <v>290.4876</v>
      </c>
      <c r="AO154" s="286" t="n">
        <f aca="false">IFERROR(SUMIF($AB$4:$AM$4, "SME", AB154:AM154), "")</f>
        <v>1646.0964</v>
      </c>
      <c r="AP154" s="286" t="n">
        <f aca="false">IFERROR(SUMIF($AB$4:$AM$4, "De Minimis", AB154:AM154), "")</f>
        <v>0</v>
      </c>
      <c r="AQ154" s="283"/>
      <c r="AR154" s="284" t="n">
        <f aca="false">IFERROR(($J154*O154)*$M154, "")</f>
        <v>1129.674</v>
      </c>
      <c r="AS154" s="284" t="n">
        <f aca="false">IFERROR(($J154*P154)*$M154, "")</f>
        <v>1129.674</v>
      </c>
      <c r="AT154" s="284" t="n">
        <f aca="false">IFERROR(($J154*Q154)*$M154, "")</f>
        <v>903.7392</v>
      </c>
      <c r="AU154" s="284" t="n">
        <f aca="false">IFERROR(($J154*R154)*$M154, "")</f>
        <v>677.8044</v>
      </c>
      <c r="AV154" s="284" t="n">
        <f aca="false">IFERROR(($J154*S154)*$M154, "")</f>
        <v>677.8044</v>
      </c>
      <c r="AW154" s="284" t="n">
        <f aca="false">IFERROR(($J154*T154)*$M154, "")</f>
        <v>0</v>
      </c>
      <c r="AX154" s="284" t="n">
        <f aca="false">IFERROR(($J154*U154)*$M154, "")</f>
        <v>0</v>
      </c>
      <c r="AY154" s="284" t="n">
        <f aca="false">IFERROR(($J154*V154)*$M154, "")</f>
        <v>0</v>
      </c>
      <c r="AZ154" s="284" t="n">
        <f aca="false">IFERROR(($J154*W154)*$M154, "")</f>
        <v>0</v>
      </c>
      <c r="BA154" s="284" t="n">
        <f aca="false">IFERROR(($J154*X154)*$M154, "")</f>
        <v>0</v>
      </c>
      <c r="BB154" s="284" t="n">
        <f aca="false">IFERROR(($J154*Y154)*$M154, "")</f>
        <v>0</v>
      </c>
      <c r="BC154" s="285" t="n">
        <f aca="false">IFERROR(($J154*Z154)*$M154, "")</f>
        <v>0</v>
      </c>
      <c r="BD154" s="286" t="n">
        <f aca="false">IFERROR(SUMIF($AB$4:$AM$4, "RDEC", AR154:BC154), "")</f>
        <v>677.8044</v>
      </c>
      <c r="BE154" s="286" t="n">
        <f aca="false">IFERROR(SUMIF($AB$4:$AM$4, "SME", AR154:BC154), "")</f>
        <v>3840.8916</v>
      </c>
      <c r="BF154" s="286" t="n">
        <f aca="false">IFERROR(SUMIF($AB$4:$AM$4, "De Minimis", AR154:BC154), "")</f>
        <v>0</v>
      </c>
      <c r="BG154" s="287"/>
      <c r="BH154" s="288" t="str">
        <f aca="false">IF((SUM(O154:Z154)&gt;1),"ERROR","")</f>
        <v/>
      </c>
      <c r="BI154" s="287"/>
      <c r="BJ154" s="18" t="str">
        <f aca="false">IF(C140&gt;0, C140, "")</f>
        <v/>
      </c>
      <c r="BL154" s="200"/>
      <c r="BM154" s="200"/>
      <c r="BN154" s="200"/>
    </row>
    <row r="155" customFormat="false" ht="15" hidden="false" customHeight="true" outlineLevel="0" collapsed="false">
      <c r="B155" s="275"/>
      <c r="D155" s="276" t="n">
        <f aca="false">D139</f>
        <v>45383</v>
      </c>
      <c r="E155" s="277" t="n">
        <v>5317.46</v>
      </c>
      <c r="F155" s="277" t="n">
        <v>1435.71</v>
      </c>
      <c r="G155" s="277" t="n">
        <v>364.73</v>
      </c>
      <c r="H155" s="277" t="n">
        <v>629.16</v>
      </c>
      <c r="I155" s="277" t="n">
        <v>265.87</v>
      </c>
      <c r="J155" s="278" t="n">
        <f aca="false">E155+H155+I155</f>
        <v>6212.49</v>
      </c>
      <c r="K155" s="204"/>
      <c r="L155" s="279" t="n">
        <v>0.3</v>
      </c>
      <c r="M155" s="280" t="n">
        <f aca="false">1-L155</f>
        <v>0.7</v>
      </c>
      <c r="N155" s="281"/>
      <c r="O155" s="282" t="n">
        <v>0.25</v>
      </c>
      <c r="P155" s="282" t="n">
        <v>0.25</v>
      </c>
      <c r="Q155" s="282" t="n">
        <v>0.2</v>
      </c>
      <c r="R155" s="282" t="n">
        <v>0.15</v>
      </c>
      <c r="S155" s="282" t="n">
        <v>0.15</v>
      </c>
      <c r="T155" s="282"/>
      <c r="U155" s="282"/>
      <c r="V155" s="282"/>
      <c r="W155" s="282"/>
      <c r="X155" s="282"/>
      <c r="Y155" s="282"/>
      <c r="Z155" s="282"/>
      <c r="AA155" s="283"/>
      <c r="AB155" s="284" t="n">
        <f aca="false">IFERROR(($J155*O155)*$L155, "")</f>
        <v>465.93675</v>
      </c>
      <c r="AC155" s="284" t="n">
        <f aca="false">IFERROR(($J155*P155)*$L155, "")</f>
        <v>465.93675</v>
      </c>
      <c r="AD155" s="284" t="n">
        <f aca="false">IFERROR(($J155*Q155)*$L155, "")</f>
        <v>372.7494</v>
      </c>
      <c r="AE155" s="284" t="n">
        <f aca="false">IFERROR(($J155*R155)*$L155, "")</f>
        <v>279.56205</v>
      </c>
      <c r="AF155" s="284" t="n">
        <f aca="false">IFERROR(($J155*S155)*$L155, "")</f>
        <v>279.56205</v>
      </c>
      <c r="AG155" s="284" t="n">
        <f aca="false">IFERROR(($J155*T155)*$L155, "")</f>
        <v>0</v>
      </c>
      <c r="AH155" s="284" t="n">
        <f aca="false">IFERROR(($J155*U155)*$L155, "")</f>
        <v>0</v>
      </c>
      <c r="AI155" s="284" t="n">
        <f aca="false">IFERROR(($J155*V155)*$L155, "")</f>
        <v>0</v>
      </c>
      <c r="AJ155" s="284" t="n">
        <f aca="false">IFERROR(($J155*W155)*$L155, "")</f>
        <v>0</v>
      </c>
      <c r="AK155" s="284" t="n">
        <f aca="false">IFERROR(($J155*X155)*$L155, "")</f>
        <v>0</v>
      </c>
      <c r="AL155" s="284" t="n">
        <f aca="false">IFERROR(($J155*Y155)*$L155, "")</f>
        <v>0</v>
      </c>
      <c r="AM155" s="285" t="n">
        <f aca="false">IFERROR(($J155*Z155)*$L155, "")</f>
        <v>0</v>
      </c>
      <c r="AN155" s="286" t="n">
        <f aca="false">IFERROR(SUMIF($AB$4:$AM$4, "RDEC", AB155:AM155), "")</f>
        <v>279.56205</v>
      </c>
      <c r="AO155" s="286" t="n">
        <f aca="false">IFERROR(SUMIF($AB$4:$AM$4, "SME", AB155:AM155), "")</f>
        <v>1584.18495</v>
      </c>
      <c r="AP155" s="286" t="n">
        <f aca="false">IFERROR(SUMIF($AB$4:$AM$4, "De Minimis", AB155:AM155), "")</f>
        <v>0</v>
      </c>
      <c r="AQ155" s="283"/>
      <c r="AR155" s="284" t="n">
        <f aca="false">IFERROR(($J155*O155)*$M155, "")</f>
        <v>1087.18575</v>
      </c>
      <c r="AS155" s="284" t="n">
        <f aca="false">IFERROR(($J155*P155)*$M155, "")</f>
        <v>1087.18575</v>
      </c>
      <c r="AT155" s="284" t="n">
        <f aca="false">IFERROR(($J155*Q155)*$M155, "")</f>
        <v>869.7486</v>
      </c>
      <c r="AU155" s="284" t="n">
        <f aca="false">IFERROR(($J155*R155)*$M155, "")</f>
        <v>652.31145</v>
      </c>
      <c r="AV155" s="284" t="n">
        <f aca="false">IFERROR(($J155*S155)*$M155, "")</f>
        <v>652.31145</v>
      </c>
      <c r="AW155" s="284" t="n">
        <f aca="false">IFERROR(($J155*T155)*$M155, "")</f>
        <v>0</v>
      </c>
      <c r="AX155" s="284" t="n">
        <f aca="false">IFERROR(($J155*U155)*$M155, "")</f>
        <v>0</v>
      </c>
      <c r="AY155" s="284" t="n">
        <f aca="false">IFERROR(($J155*V155)*$M155, "")</f>
        <v>0</v>
      </c>
      <c r="AZ155" s="284" t="n">
        <f aca="false">IFERROR(($J155*W155)*$M155, "")</f>
        <v>0</v>
      </c>
      <c r="BA155" s="284" t="n">
        <f aca="false">IFERROR(($J155*X155)*$M155, "")</f>
        <v>0</v>
      </c>
      <c r="BB155" s="284" t="n">
        <f aca="false">IFERROR(($J155*Y155)*$M155, "")</f>
        <v>0</v>
      </c>
      <c r="BC155" s="285" t="n">
        <f aca="false">IFERROR(($J155*Z155)*$M155, "")</f>
        <v>0</v>
      </c>
      <c r="BD155" s="286" t="n">
        <f aca="false">IFERROR(SUMIF($AB$4:$AM$4, "RDEC", AR155:BC155), "")</f>
        <v>652.31145</v>
      </c>
      <c r="BE155" s="286" t="n">
        <f aca="false">IFERROR(SUMIF($AB$4:$AM$4, "SME", AR155:BC155), "")</f>
        <v>3696.43155</v>
      </c>
      <c r="BF155" s="286" t="n">
        <f aca="false">IFERROR(SUMIF($AB$4:$AM$4, "De Minimis", AR155:BC155), "")</f>
        <v>0</v>
      </c>
      <c r="BG155" s="287"/>
      <c r="BH155" s="288" t="str">
        <f aca="false">IF((SUM(O155:Z155)&gt;1),"ERROR","")</f>
        <v/>
      </c>
      <c r="BI155" s="287"/>
      <c r="BJ155" s="18" t="str">
        <f aca="false">IF(C141&gt;0, C141, "")</f>
        <v/>
      </c>
      <c r="BL155" s="200"/>
      <c r="BM155" s="200"/>
      <c r="BN155" s="200"/>
    </row>
    <row r="156" customFormat="false" ht="15" hidden="false" customHeight="true" outlineLevel="0" collapsed="false">
      <c r="B156" s="275"/>
      <c r="D156" s="276" t="n">
        <f aca="false">D140</f>
        <v>45413</v>
      </c>
      <c r="E156" s="277" t="n">
        <v>5462.5</v>
      </c>
      <c r="F156" s="277" t="n">
        <v>1474.88</v>
      </c>
      <c r="G156" s="277" t="n">
        <v>376.33</v>
      </c>
      <c r="H156" s="277" t="n">
        <v>649.18</v>
      </c>
      <c r="I156" s="277" t="n">
        <v>273.12</v>
      </c>
      <c r="J156" s="278" t="n">
        <f aca="false">E156+H156+I156</f>
        <v>6384.8</v>
      </c>
      <c r="K156" s="204"/>
      <c r="L156" s="279" t="n">
        <v>0.3</v>
      </c>
      <c r="M156" s="280" t="n">
        <f aca="false">1-L156</f>
        <v>0.7</v>
      </c>
      <c r="N156" s="281"/>
      <c r="O156" s="282" t="n">
        <v>0.25</v>
      </c>
      <c r="P156" s="282" t="n">
        <v>0.25</v>
      </c>
      <c r="Q156" s="282" t="n">
        <v>0.2</v>
      </c>
      <c r="R156" s="282" t="n">
        <v>0.15</v>
      </c>
      <c r="S156" s="282" t="n">
        <v>0.15</v>
      </c>
      <c r="T156" s="282"/>
      <c r="U156" s="282"/>
      <c r="V156" s="282"/>
      <c r="W156" s="282"/>
      <c r="X156" s="282"/>
      <c r="Y156" s="282"/>
      <c r="Z156" s="282"/>
      <c r="AA156" s="283"/>
      <c r="AB156" s="284" t="n">
        <f aca="false">IFERROR(($J156*O156)*$L156, "")</f>
        <v>478.86</v>
      </c>
      <c r="AC156" s="284" t="n">
        <f aca="false">IFERROR(($J156*P156)*$L156, "")</f>
        <v>478.86</v>
      </c>
      <c r="AD156" s="284" t="n">
        <f aca="false">IFERROR(($J156*Q156)*$L156, "")</f>
        <v>383.088</v>
      </c>
      <c r="AE156" s="284" t="n">
        <f aca="false">IFERROR(($J156*R156)*$L156, "")</f>
        <v>287.316</v>
      </c>
      <c r="AF156" s="284" t="n">
        <f aca="false">IFERROR(($J156*S156)*$L156, "")</f>
        <v>287.316</v>
      </c>
      <c r="AG156" s="284" t="n">
        <f aca="false">IFERROR(($J156*T156)*$L156, "")</f>
        <v>0</v>
      </c>
      <c r="AH156" s="284" t="n">
        <f aca="false">IFERROR(($J156*U156)*$L156, "")</f>
        <v>0</v>
      </c>
      <c r="AI156" s="284" t="n">
        <f aca="false">IFERROR(($J156*V156)*$L156, "")</f>
        <v>0</v>
      </c>
      <c r="AJ156" s="284" t="n">
        <f aca="false">IFERROR(($J156*W156)*$L156, "")</f>
        <v>0</v>
      </c>
      <c r="AK156" s="284" t="n">
        <f aca="false">IFERROR(($J156*X156)*$L156, "")</f>
        <v>0</v>
      </c>
      <c r="AL156" s="284" t="n">
        <f aca="false">IFERROR(($J156*Y156)*$L156, "")</f>
        <v>0</v>
      </c>
      <c r="AM156" s="285" t="n">
        <f aca="false">IFERROR(($J156*Z156)*$L156, "")</f>
        <v>0</v>
      </c>
      <c r="AN156" s="286" t="n">
        <f aca="false">IFERROR(SUMIF($AB$4:$AM$4, "RDEC", AB156:AM156), "")</f>
        <v>287.316</v>
      </c>
      <c r="AO156" s="286" t="n">
        <f aca="false">IFERROR(SUMIF($AB$4:$AM$4, "SME", AB156:AM156), "")</f>
        <v>1628.124</v>
      </c>
      <c r="AP156" s="286" t="n">
        <f aca="false">IFERROR(SUMIF($AB$4:$AM$4, "De Minimis", AB156:AM156), "")</f>
        <v>0</v>
      </c>
      <c r="AQ156" s="283"/>
      <c r="AR156" s="284" t="n">
        <f aca="false">IFERROR(($J156*O156)*$M156, "")</f>
        <v>1117.34</v>
      </c>
      <c r="AS156" s="284" t="n">
        <f aca="false">IFERROR(($J156*P156)*$M156, "")</f>
        <v>1117.34</v>
      </c>
      <c r="AT156" s="284" t="n">
        <f aca="false">IFERROR(($J156*Q156)*$M156, "")</f>
        <v>893.872</v>
      </c>
      <c r="AU156" s="284" t="n">
        <f aca="false">IFERROR(($J156*R156)*$M156, "")</f>
        <v>670.404</v>
      </c>
      <c r="AV156" s="284" t="n">
        <f aca="false">IFERROR(($J156*S156)*$M156, "")</f>
        <v>670.404</v>
      </c>
      <c r="AW156" s="284" t="n">
        <f aca="false">IFERROR(($J156*T156)*$M156, "")</f>
        <v>0</v>
      </c>
      <c r="AX156" s="284" t="n">
        <f aca="false">IFERROR(($J156*U156)*$M156, "")</f>
        <v>0</v>
      </c>
      <c r="AY156" s="284" t="n">
        <f aca="false">IFERROR(($J156*V156)*$M156, "")</f>
        <v>0</v>
      </c>
      <c r="AZ156" s="284" t="n">
        <f aca="false">IFERROR(($J156*W156)*$M156, "")</f>
        <v>0</v>
      </c>
      <c r="BA156" s="284" t="n">
        <f aca="false">IFERROR(($J156*X156)*$M156, "")</f>
        <v>0</v>
      </c>
      <c r="BB156" s="284" t="n">
        <f aca="false">IFERROR(($J156*Y156)*$M156, "")</f>
        <v>0</v>
      </c>
      <c r="BC156" s="285" t="n">
        <f aca="false">IFERROR(($J156*Z156)*$M156, "")</f>
        <v>0</v>
      </c>
      <c r="BD156" s="286" t="n">
        <f aca="false">IFERROR(SUMIF($AB$4:$AM$4, "RDEC", AR156:BC156), "")</f>
        <v>670.404</v>
      </c>
      <c r="BE156" s="286" t="n">
        <f aca="false">IFERROR(SUMIF($AB$4:$AM$4, "SME", AR156:BC156), "")</f>
        <v>3798.956</v>
      </c>
      <c r="BF156" s="286" t="n">
        <f aca="false">IFERROR(SUMIF($AB$4:$AM$4, "De Minimis", AR156:BC156), "")</f>
        <v>0</v>
      </c>
      <c r="BG156" s="287"/>
      <c r="BH156" s="288" t="str">
        <f aca="false">IF((SUM(O156:Z156)&gt;1),"ERROR","")</f>
        <v/>
      </c>
      <c r="BI156" s="287"/>
      <c r="BJ156" s="18" t="str">
        <f aca="false">IF(C142&gt;0, C142, "")</f>
        <v/>
      </c>
      <c r="BL156" s="200"/>
      <c r="BM156" s="200"/>
      <c r="BN156" s="200"/>
    </row>
    <row r="157" customFormat="false" ht="15" hidden="false" customHeight="true" outlineLevel="0" collapsed="false">
      <c r="B157" s="275"/>
      <c r="D157" s="276" t="n">
        <f aca="false">D141</f>
        <v>45444</v>
      </c>
      <c r="E157" s="277" t="n">
        <v>5456.55</v>
      </c>
      <c r="F157" s="277" t="n">
        <v>1473.27</v>
      </c>
      <c r="G157" s="277" t="n">
        <v>375.86</v>
      </c>
      <c r="H157" s="277" t="n">
        <v>648.35</v>
      </c>
      <c r="I157" s="277" t="n">
        <v>272.83</v>
      </c>
      <c r="J157" s="278" t="n">
        <f aca="false">E157+H157+I157</f>
        <v>6377.73</v>
      </c>
      <c r="K157" s="204"/>
      <c r="L157" s="279" t="n">
        <v>0.3</v>
      </c>
      <c r="M157" s="280" t="n">
        <f aca="false">1-L157</f>
        <v>0.7</v>
      </c>
      <c r="N157" s="281"/>
      <c r="O157" s="282" t="n">
        <v>0.25</v>
      </c>
      <c r="P157" s="282" t="n">
        <v>0.25</v>
      </c>
      <c r="Q157" s="282" t="n">
        <v>0.2</v>
      </c>
      <c r="R157" s="282" t="n">
        <v>0.15</v>
      </c>
      <c r="S157" s="282" t="n">
        <v>0.15</v>
      </c>
      <c r="T157" s="282"/>
      <c r="U157" s="282"/>
      <c r="V157" s="282"/>
      <c r="W157" s="282"/>
      <c r="X157" s="282"/>
      <c r="Y157" s="282"/>
      <c r="Z157" s="282"/>
      <c r="AA157" s="283"/>
      <c r="AB157" s="284" t="n">
        <f aca="false">IFERROR(($J157*O157)*$L157, "")</f>
        <v>478.32975</v>
      </c>
      <c r="AC157" s="284" t="n">
        <f aca="false">IFERROR(($J157*P157)*$L157, "")</f>
        <v>478.32975</v>
      </c>
      <c r="AD157" s="284" t="n">
        <f aca="false">IFERROR(($J157*Q157)*$L157, "")</f>
        <v>382.6638</v>
      </c>
      <c r="AE157" s="284" t="n">
        <f aca="false">IFERROR(($J157*R157)*$L157, "")</f>
        <v>286.99785</v>
      </c>
      <c r="AF157" s="284" t="n">
        <f aca="false">IFERROR(($J157*S157)*$L157, "")</f>
        <v>286.99785</v>
      </c>
      <c r="AG157" s="284" t="n">
        <f aca="false">IFERROR(($J157*T157)*$L157, "")</f>
        <v>0</v>
      </c>
      <c r="AH157" s="284" t="n">
        <f aca="false">IFERROR(($J157*U157)*$L157, "")</f>
        <v>0</v>
      </c>
      <c r="AI157" s="284" t="n">
        <f aca="false">IFERROR(($J157*V157)*$L157, "")</f>
        <v>0</v>
      </c>
      <c r="AJ157" s="284" t="n">
        <f aca="false">IFERROR(($J157*W157)*$L157, "")</f>
        <v>0</v>
      </c>
      <c r="AK157" s="284" t="n">
        <f aca="false">IFERROR(($J157*X157)*$L157, "")</f>
        <v>0</v>
      </c>
      <c r="AL157" s="284" t="n">
        <f aca="false">IFERROR(($J157*Y157)*$L157, "")</f>
        <v>0</v>
      </c>
      <c r="AM157" s="285" t="n">
        <f aca="false">IFERROR(($J157*Z157)*$L157, "")</f>
        <v>0</v>
      </c>
      <c r="AN157" s="286" t="n">
        <f aca="false">IFERROR(SUMIF($AB$4:$AM$4, "RDEC", AB157:AM157), "")</f>
        <v>286.99785</v>
      </c>
      <c r="AO157" s="286" t="n">
        <f aca="false">IFERROR(SUMIF($AB$4:$AM$4, "SME", AB157:AM157), "")</f>
        <v>1626.32115</v>
      </c>
      <c r="AP157" s="286" t="n">
        <f aca="false">IFERROR(SUMIF($AB$4:$AM$4, "De Minimis", AB157:AM157), "")</f>
        <v>0</v>
      </c>
      <c r="AQ157" s="283"/>
      <c r="AR157" s="284" t="n">
        <f aca="false">IFERROR(($J157*O157)*$M157, "")</f>
        <v>1116.10275</v>
      </c>
      <c r="AS157" s="284" t="n">
        <f aca="false">IFERROR(($J157*P157)*$M157, "")</f>
        <v>1116.10275</v>
      </c>
      <c r="AT157" s="284" t="n">
        <f aca="false">IFERROR(($J157*Q157)*$M157, "")</f>
        <v>892.8822</v>
      </c>
      <c r="AU157" s="284" t="n">
        <f aca="false">IFERROR(($J157*R157)*$M157, "")</f>
        <v>669.66165</v>
      </c>
      <c r="AV157" s="284" t="n">
        <f aca="false">IFERROR(($J157*S157)*$M157, "")</f>
        <v>669.66165</v>
      </c>
      <c r="AW157" s="284" t="n">
        <f aca="false">IFERROR(($J157*T157)*$M157, "")</f>
        <v>0</v>
      </c>
      <c r="AX157" s="284" t="n">
        <f aca="false">IFERROR(($J157*U157)*$M157, "")</f>
        <v>0</v>
      </c>
      <c r="AY157" s="284" t="n">
        <f aca="false">IFERROR(($J157*V157)*$M157, "")</f>
        <v>0</v>
      </c>
      <c r="AZ157" s="284" t="n">
        <f aca="false">IFERROR(($J157*W157)*$M157, "")</f>
        <v>0</v>
      </c>
      <c r="BA157" s="284" t="n">
        <f aca="false">IFERROR(($J157*X157)*$M157, "")</f>
        <v>0</v>
      </c>
      <c r="BB157" s="284" t="n">
        <f aca="false">IFERROR(($J157*Y157)*$M157, "")</f>
        <v>0</v>
      </c>
      <c r="BC157" s="285" t="n">
        <f aca="false">IFERROR(($J157*Z157)*$M157, "")</f>
        <v>0</v>
      </c>
      <c r="BD157" s="286" t="n">
        <f aca="false">IFERROR(SUMIF($AB$4:$AM$4, "RDEC", AR157:BC157), "")</f>
        <v>669.66165</v>
      </c>
      <c r="BE157" s="286" t="n">
        <f aca="false">IFERROR(SUMIF($AB$4:$AM$4, "SME", AR157:BC157), "")</f>
        <v>3794.74935</v>
      </c>
      <c r="BF157" s="286" t="n">
        <f aca="false">IFERROR(SUMIF($AB$4:$AM$4, "De Minimis", AR157:BC157), "")</f>
        <v>0</v>
      </c>
      <c r="BG157" s="287"/>
      <c r="BH157" s="288" t="str">
        <f aca="false">IF((SUM(O157:Z157)&gt;1),"ERROR","")</f>
        <v/>
      </c>
      <c r="BI157" s="287"/>
      <c r="BJ157" s="18" t="str">
        <f aca="false">IF(C143&gt;0, C143, "")</f>
        <v/>
      </c>
      <c r="BL157" s="200"/>
      <c r="BM157" s="200"/>
      <c r="BN157" s="200"/>
    </row>
    <row r="158" customFormat="false" ht="15" hidden="false" customHeight="true" outlineLevel="0" collapsed="false">
      <c r="B158" s="275"/>
      <c r="D158" s="276" t="n">
        <f aca="false">D142</f>
        <v>45474</v>
      </c>
      <c r="E158" s="277" t="n">
        <v>5308.59</v>
      </c>
      <c r="F158" s="277" t="n">
        <v>1433.32</v>
      </c>
      <c r="G158" s="277" t="n">
        <v>364.02</v>
      </c>
      <c r="H158" s="277" t="n">
        <v>627.94</v>
      </c>
      <c r="I158" s="277" t="n">
        <v>265.43</v>
      </c>
      <c r="J158" s="278" t="n">
        <f aca="false">E158+H158+I158</f>
        <v>6201.96</v>
      </c>
      <c r="K158" s="204"/>
      <c r="L158" s="279" t="n">
        <v>0.3</v>
      </c>
      <c r="M158" s="280" t="n">
        <f aca="false">1-L158</f>
        <v>0.7</v>
      </c>
      <c r="N158" s="281"/>
      <c r="O158" s="282" t="n">
        <v>0.25</v>
      </c>
      <c r="P158" s="282" t="n">
        <v>0.25</v>
      </c>
      <c r="Q158" s="282" t="n">
        <v>0.2</v>
      </c>
      <c r="R158" s="282" t="n">
        <v>0.15</v>
      </c>
      <c r="S158" s="282" t="n">
        <v>0.15</v>
      </c>
      <c r="T158" s="282"/>
      <c r="U158" s="282"/>
      <c r="V158" s="282"/>
      <c r="W158" s="282"/>
      <c r="X158" s="282"/>
      <c r="Y158" s="282"/>
      <c r="Z158" s="282"/>
      <c r="AA158" s="283"/>
      <c r="AB158" s="284" t="n">
        <f aca="false">IFERROR(($J158*O158)*$L158, "")</f>
        <v>465.147</v>
      </c>
      <c r="AC158" s="284" t="n">
        <f aca="false">IFERROR(($J158*P158)*$L158, "")</f>
        <v>465.147</v>
      </c>
      <c r="AD158" s="284" t="n">
        <f aca="false">IFERROR(($J158*Q158)*$L158, "")</f>
        <v>372.1176</v>
      </c>
      <c r="AE158" s="284" t="n">
        <f aca="false">IFERROR(($J158*R158)*$L158, "")</f>
        <v>279.0882</v>
      </c>
      <c r="AF158" s="284" t="n">
        <f aca="false">IFERROR(($J158*S158)*$L158, "")</f>
        <v>279.0882</v>
      </c>
      <c r="AG158" s="284" t="n">
        <f aca="false">IFERROR(($J158*T158)*$L158, "")</f>
        <v>0</v>
      </c>
      <c r="AH158" s="284" t="n">
        <f aca="false">IFERROR(($J158*U158)*$L158, "")</f>
        <v>0</v>
      </c>
      <c r="AI158" s="284" t="n">
        <f aca="false">IFERROR(($J158*V158)*$L158, "")</f>
        <v>0</v>
      </c>
      <c r="AJ158" s="284" t="n">
        <f aca="false">IFERROR(($J158*W158)*$L158, "")</f>
        <v>0</v>
      </c>
      <c r="AK158" s="284" t="n">
        <f aca="false">IFERROR(($J158*X158)*$L158, "")</f>
        <v>0</v>
      </c>
      <c r="AL158" s="284" t="n">
        <f aca="false">IFERROR(($J158*Y158)*$L158, "")</f>
        <v>0</v>
      </c>
      <c r="AM158" s="285" t="n">
        <f aca="false">IFERROR(($J158*Z158)*$L158, "")</f>
        <v>0</v>
      </c>
      <c r="AN158" s="286" t="n">
        <f aca="false">IFERROR(SUMIF($AB$4:$AM$4, "RDEC", AB158:AM158), "")</f>
        <v>279.0882</v>
      </c>
      <c r="AO158" s="286" t="n">
        <f aca="false">IFERROR(SUMIF($AB$4:$AM$4, "SME", AB158:AM158), "")</f>
        <v>1581.4998</v>
      </c>
      <c r="AP158" s="286" t="n">
        <f aca="false">IFERROR(SUMIF($AB$4:$AM$4, "De Minimis", AB158:AM158), "")</f>
        <v>0</v>
      </c>
      <c r="AQ158" s="283"/>
      <c r="AR158" s="284" t="n">
        <f aca="false">IFERROR(($J158*O158)*$M158, "")</f>
        <v>1085.343</v>
      </c>
      <c r="AS158" s="284" t="n">
        <f aca="false">IFERROR(($J158*P158)*$M158, "")</f>
        <v>1085.343</v>
      </c>
      <c r="AT158" s="284" t="n">
        <f aca="false">IFERROR(($J158*Q158)*$M158, "")</f>
        <v>868.2744</v>
      </c>
      <c r="AU158" s="284" t="n">
        <f aca="false">IFERROR(($J158*R158)*$M158, "")</f>
        <v>651.2058</v>
      </c>
      <c r="AV158" s="284" t="n">
        <f aca="false">IFERROR(($J158*S158)*$M158, "")</f>
        <v>651.2058</v>
      </c>
      <c r="AW158" s="284" t="n">
        <f aca="false">IFERROR(($J158*T158)*$M158, "")</f>
        <v>0</v>
      </c>
      <c r="AX158" s="284" t="n">
        <f aca="false">IFERROR(($J158*U158)*$M158, "")</f>
        <v>0</v>
      </c>
      <c r="AY158" s="284" t="n">
        <f aca="false">IFERROR(($J158*V158)*$M158, "")</f>
        <v>0</v>
      </c>
      <c r="AZ158" s="284" t="n">
        <f aca="false">IFERROR(($J158*W158)*$M158, "")</f>
        <v>0</v>
      </c>
      <c r="BA158" s="284" t="n">
        <f aca="false">IFERROR(($J158*X158)*$M158, "")</f>
        <v>0</v>
      </c>
      <c r="BB158" s="284" t="n">
        <f aca="false">IFERROR(($J158*Y158)*$M158, "")</f>
        <v>0</v>
      </c>
      <c r="BC158" s="285" t="n">
        <f aca="false">IFERROR(($J158*Z158)*$M158, "")</f>
        <v>0</v>
      </c>
      <c r="BD158" s="286" t="n">
        <f aca="false">IFERROR(SUMIF($AB$4:$AM$4, "RDEC", AR158:BC158), "")</f>
        <v>651.2058</v>
      </c>
      <c r="BE158" s="286" t="n">
        <f aca="false">IFERROR(SUMIF($AB$4:$AM$4, "SME", AR158:BC158), "")</f>
        <v>3690.1662</v>
      </c>
      <c r="BF158" s="286" t="n">
        <f aca="false">IFERROR(SUMIF($AB$4:$AM$4, "De Minimis", AR158:BC158), "")</f>
        <v>0</v>
      </c>
      <c r="BG158" s="287"/>
      <c r="BH158" s="288" t="str">
        <f aca="false">IF((SUM(O158:Z158)&gt;1),"ERROR","")</f>
        <v/>
      </c>
      <c r="BI158" s="287"/>
      <c r="BJ158" s="18" t="str">
        <f aca="false">IF(C144&gt;0, C144, "")</f>
        <v/>
      </c>
      <c r="BL158" s="200"/>
      <c r="BM158" s="200"/>
      <c r="BN158" s="200"/>
    </row>
    <row r="159" customFormat="false" ht="15" hidden="false" customHeight="true" outlineLevel="0" collapsed="false">
      <c r="B159" s="275"/>
      <c r="D159" s="276" t="n">
        <f aca="false">D143</f>
        <v>45505</v>
      </c>
      <c r="E159" s="277" t="n">
        <v>5460.34</v>
      </c>
      <c r="F159" s="277" t="n">
        <v>1474.29</v>
      </c>
      <c r="G159" s="277" t="n">
        <v>376.16</v>
      </c>
      <c r="H159" s="277" t="n">
        <v>648.88</v>
      </c>
      <c r="I159" s="277" t="n">
        <v>273.02</v>
      </c>
      <c r="J159" s="278" t="n">
        <f aca="false">E159+H159+I159</f>
        <v>6382.24</v>
      </c>
      <c r="K159" s="204"/>
      <c r="L159" s="279" t="n">
        <v>0.3</v>
      </c>
      <c r="M159" s="280" t="n">
        <f aca="false">1-L159</f>
        <v>0.7</v>
      </c>
      <c r="N159" s="281"/>
      <c r="O159" s="282" t="n">
        <v>0.25</v>
      </c>
      <c r="P159" s="282" t="n">
        <v>0.25</v>
      </c>
      <c r="Q159" s="282" t="n">
        <v>0.2</v>
      </c>
      <c r="R159" s="282" t="n">
        <v>0.15</v>
      </c>
      <c r="S159" s="282" t="n">
        <v>0.15</v>
      </c>
      <c r="T159" s="282"/>
      <c r="U159" s="282"/>
      <c r="V159" s="282"/>
      <c r="W159" s="282"/>
      <c r="X159" s="282"/>
      <c r="Y159" s="282"/>
      <c r="Z159" s="282"/>
      <c r="AA159" s="283"/>
      <c r="AB159" s="284" t="n">
        <f aca="false">IFERROR(($J159*O159)*$L159, "")</f>
        <v>478.668</v>
      </c>
      <c r="AC159" s="284" t="n">
        <f aca="false">IFERROR(($J159*P159)*$L159, "")</f>
        <v>478.668</v>
      </c>
      <c r="AD159" s="284" t="n">
        <f aca="false">IFERROR(($J159*Q159)*$L159, "")</f>
        <v>382.9344</v>
      </c>
      <c r="AE159" s="284" t="n">
        <f aca="false">IFERROR(($J159*R159)*$L159, "")</f>
        <v>287.2008</v>
      </c>
      <c r="AF159" s="284" t="n">
        <f aca="false">IFERROR(($J159*S159)*$L159, "")</f>
        <v>287.2008</v>
      </c>
      <c r="AG159" s="284" t="n">
        <f aca="false">IFERROR(($J159*T159)*$L159, "")</f>
        <v>0</v>
      </c>
      <c r="AH159" s="284" t="n">
        <f aca="false">IFERROR(($J159*U159)*$L159, "")</f>
        <v>0</v>
      </c>
      <c r="AI159" s="284" t="n">
        <f aca="false">IFERROR(($J159*V159)*$L159, "")</f>
        <v>0</v>
      </c>
      <c r="AJ159" s="284" t="n">
        <f aca="false">IFERROR(($J159*W159)*$L159, "")</f>
        <v>0</v>
      </c>
      <c r="AK159" s="284" t="n">
        <f aca="false">IFERROR(($J159*X159)*$L159, "")</f>
        <v>0</v>
      </c>
      <c r="AL159" s="284" t="n">
        <f aca="false">IFERROR(($J159*Y159)*$L159, "")</f>
        <v>0</v>
      </c>
      <c r="AM159" s="285" t="n">
        <f aca="false">IFERROR(($J159*Z159)*$L159, "")</f>
        <v>0</v>
      </c>
      <c r="AN159" s="286" t="n">
        <f aca="false">IFERROR(SUMIF($AB$4:$AM$4, "RDEC", AB159:AM159), "")</f>
        <v>287.2008</v>
      </c>
      <c r="AO159" s="286" t="n">
        <f aca="false">IFERROR(SUMIF($AB$4:$AM$4, "SME", AB159:AM159), "")</f>
        <v>1627.4712</v>
      </c>
      <c r="AP159" s="286" t="n">
        <f aca="false">IFERROR(SUMIF($AB$4:$AM$4, "De Minimis", AB159:AM159), "")</f>
        <v>0</v>
      </c>
      <c r="AQ159" s="283"/>
      <c r="AR159" s="284" t="n">
        <f aca="false">IFERROR(($J159*O159)*$M159, "")</f>
        <v>1116.892</v>
      </c>
      <c r="AS159" s="284" t="n">
        <f aca="false">IFERROR(($J159*P159)*$M159, "")</f>
        <v>1116.892</v>
      </c>
      <c r="AT159" s="284" t="n">
        <f aca="false">IFERROR(($J159*Q159)*$M159, "")</f>
        <v>893.5136</v>
      </c>
      <c r="AU159" s="284" t="n">
        <f aca="false">IFERROR(($J159*R159)*$M159, "")</f>
        <v>670.1352</v>
      </c>
      <c r="AV159" s="284" t="n">
        <f aca="false">IFERROR(($J159*S159)*$M159, "")</f>
        <v>670.1352</v>
      </c>
      <c r="AW159" s="284" t="n">
        <f aca="false">IFERROR(($J159*T159)*$M159, "")</f>
        <v>0</v>
      </c>
      <c r="AX159" s="284" t="n">
        <f aca="false">IFERROR(($J159*U159)*$M159, "")</f>
        <v>0</v>
      </c>
      <c r="AY159" s="284" t="n">
        <f aca="false">IFERROR(($J159*V159)*$M159, "")</f>
        <v>0</v>
      </c>
      <c r="AZ159" s="284" t="n">
        <f aca="false">IFERROR(($J159*W159)*$M159, "")</f>
        <v>0</v>
      </c>
      <c r="BA159" s="284" t="n">
        <f aca="false">IFERROR(($J159*X159)*$M159, "")</f>
        <v>0</v>
      </c>
      <c r="BB159" s="284" t="n">
        <f aca="false">IFERROR(($J159*Y159)*$M159, "")</f>
        <v>0</v>
      </c>
      <c r="BC159" s="285" t="n">
        <f aca="false">IFERROR(($J159*Z159)*$M159, "")</f>
        <v>0</v>
      </c>
      <c r="BD159" s="286" t="n">
        <f aca="false">IFERROR(SUMIF($AB$4:$AM$4, "RDEC", AR159:BC159), "")</f>
        <v>670.1352</v>
      </c>
      <c r="BE159" s="286" t="n">
        <f aca="false">IFERROR(SUMIF($AB$4:$AM$4, "SME", AR159:BC159), "")</f>
        <v>3797.4328</v>
      </c>
      <c r="BF159" s="286" t="n">
        <f aca="false">IFERROR(SUMIF($AB$4:$AM$4, "De Minimis", AR159:BC159), "")</f>
        <v>0</v>
      </c>
      <c r="BG159" s="287"/>
      <c r="BH159" s="288" t="str">
        <f aca="false">IF((SUM(O159:Z159)&gt;1),"ERROR","")</f>
        <v/>
      </c>
      <c r="BI159" s="287"/>
      <c r="BJ159" s="18" t="str">
        <f aca="false">IF(C145&gt;0, C145, "")</f>
        <v/>
      </c>
      <c r="BL159" s="200"/>
      <c r="BM159" s="200"/>
      <c r="BN159" s="200"/>
    </row>
    <row r="160" customFormat="false" ht="15" hidden="false" customHeight="true" outlineLevel="0" collapsed="false">
      <c r="B160" s="275"/>
      <c r="D160" s="276" t="n">
        <f aca="false">D144</f>
        <v>45536</v>
      </c>
      <c r="E160" s="277" t="n">
        <v>5448.42</v>
      </c>
      <c r="F160" s="277" t="n">
        <v>1471.07</v>
      </c>
      <c r="G160" s="277" t="n">
        <v>375.21</v>
      </c>
      <c r="H160" s="277" t="n">
        <v>647.23</v>
      </c>
      <c r="I160" s="277" t="n">
        <v>272.42</v>
      </c>
      <c r="J160" s="278" t="n">
        <f aca="false">E160+H160+I160</f>
        <v>6368.07</v>
      </c>
      <c r="K160" s="204"/>
      <c r="L160" s="279" t="n">
        <v>0.3</v>
      </c>
      <c r="M160" s="280" t="n">
        <f aca="false">1-L160</f>
        <v>0.7</v>
      </c>
      <c r="N160" s="281"/>
      <c r="O160" s="282" t="n">
        <v>0.25</v>
      </c>
      <c r="P160" s="282" t="n">
        <v>0.25</v>
      </c>
      <c r="Q160" s="282" t="n">
        <v>0.2</v>
      </c>
      <c r="R160" s="282" t="n">
        <v>0.15</v>
      </c>
      <c r="S160" s="282" t="n">
        <v>0.15</v>
      </c>
      <c r="T160" s="282"/>
      <c r="U160" s="282"/>
      <c r="V160" s="282"/>
      <c r="W160" s="282"/>
      <c r="X160" s="282"/>
      <c r="Y160" s="282"/>
      <c r="Z160" s="282"/>
      <c r="AA160" s="283"/>
      <c r="AB160" s="284" t="n">
        <f aca="false">IFERROR(($J160*O160)*$L160, "")</f>
        <v>477.60525</v>
      </c>
      <c r="AC160" s="284" t="n">
        <f aca="false">IFERROR(($J160*P160)*$L160, "")</f>
        <v>477.60525</v>
      </c>
      <c r="AD160" s="284" t="n">
        <f aca="false">IFERROR(($J160*Q160)*$L160, "")</f>
        <v>382.0842</v>
      </c>
      <c r="AE160" s="284" t="n">
        <f aca="false">IFERROR(($J160*R160)*$L160, "")</f>
        <v>286.56315</v>
      </c>
      <c r="AF160" s="284" t="n">
        <f aca="false">IFERROR(($J160*S160)*$L160, "")</f>
        <v>286.56315</v>
      </c>
      <c r="AG160" s="284" t="n">
        <f aca="false">IFERROR(($J160*T160)*$L160, "")</f>
        <v>0</v>
      </c>
      <c r="AH160" s="284" t="n">
        <f aca="false">IFERROR(($J160*U160)*$L160, "")</f>
        <v>0</v>
      </c>
      <c r="AI160" s="284" t="n">
        <f aca="false">IFERROR(($J160*V160)*$L160, "")</f>
        <v>0</v>
      </c>
      <c r="AJ160" s="284" t="n">
        <f aca="false">IFERROR(($J160*W160)*$L160, "")</f>
        <v>0</v>
      </c>
      <c r="AK160" s="284" t="n">
        <f aca="false">IFERROR(($J160*X160)*$L160, "")</f>
        <v>0</v>
      </c>
      <c r="AL160" s="284" t="n">
        <f aca="false">IFERROR(($J160*Y160)*$L160, "")</f>
        <v>0</v>
      </c>
      <c r="AM160" s="285" t="n">
        <f aca="false">IFERROR(($J160*Z160)*$L160, "")</f>
        <v>0</v>
      </c>
      <c r="AN160" s="286" t="n">
        <f aca="false">IFERROR(SUMIF($AB$4:$AM$4, "RDEC", AB160:AM160), "")</f>
        <v>286.56315</v>
      </c>
      <c r="AO160" s="286" t="n">
        <f aca="false">IFERROR(SUMIF($AB$4:$AM$4, "SME", AB160:AM160), "")</f>
        <v>1623.85785</v>
      </c>
      <c r="AP160" s="286" t="n">
        <f aca="false">IFERROR(SUMIF($AB$4:$AM$4, "De Minimis", AB160:AM160), "")</f>
        <v>0</v>
      </c>
      <c r="AQ160" s="283"/>
      <c r="AR160" s="284" t="n">
        <f aca="false">IFERROR(($J160*O160)*$M160, "")</f>
        <v>1114.41225</v>
      </c>
      <c r="AS160" s="284" t="n">
        <f aca="false">IFERROR(($J160*P160)*$M160, "")</f>
        <v>1114.41225</v>
      </c>
      <c r="AT160" s="284" t="n">
        <f aca="false">IFERROR(($J160*Q160)*$M160, "")</f>
        <v>891.5298</v>
      </c>
      <c r="AU160" s="284" t="n">
        <f aca="false">IFERROR(($J160*R160)*$M160, "")</f>
        <v>668.64735</v>
      </c>
      <c r="AV160" s="284" t="n">
        <f aca="false">IFERROR(($J160*S160)*$M160, "")</f>
        <v>668.64735</v>
      </c>
      <c r="AW160" s="284" t="n">
        <f aca="false">IFERROR(($J160*T160)*$M160, "")</f>
        <v>0</v>
      </c>
      <c r="AX160" s="284" t="n">
        <f aca="false">IFERROR(($J160*U160)*$M160, "")</f>
        <v>0</v>
      </c>
      <c r="AY160" s="284" t="n">
        <f aca="false">IFERROR(($J160*V160)*$M160, "")</f>
        <v>0</v>
      </c>
      <c r="AZ160" s="284" t="n">
        <f aca="false">IFERROR(($J160*W160)*$M160, "")</f>
        <v>0</v>
      </c>
      <c r="BA160" s="284" t="n">
        <f aca="false">IFERROR(($J160*X160)*$M160, "")</f>
        <v>0</v>
      </c>
      <c r="BB160" s="284" t="n">
        <f aca="false">IFERROR(($J160*Y160)*$M160, "")</f>
        <v>0</v>
      </c>
      <c r="BC160" s="285" t="n">
        <f aca="false">IFERROR(($J160*Z160)*$M160, "")</f>
        <v>0</v>
      </c>
      <c r="BD160" s="286" t="n">
        <f aca="false">IFERROR(SUMIF($AB$4:$AM$4, "RDEC", AR160:BC160), "")</f>
        <v>668.64735</v>
      </c>
      <c r="BE160" s="286" t="n">
        <f aca="false">IFERROR(SUMIF($AB$4:$AM$4, "SME", AR160:BC160), "")</f>
        <v>3789.00165</v>
      </c>
      <c r="BF160" s="286" t="n">
        <f aca="false">IFERROR(SUMIF($AB$4:$AM$4, "De Minimis", AR160:BC160), "")</f>
        <v>0</v>
      </c>
      <c r="BG160" s="287"/>
      <c r="BH160" s="288" t="str">
        <f aca="false">IF((SUM(O160:Z160)&gt;1),"ERROR","")</f>
        <v/>
      </c>
      <c r="BI160" s="287"/>
      <c r="BJ160" s="18" t="str">
        <f aca="false">IF(C146&gt;0, C146, "")</f>
        <v/>
      </c>
      <c r="BL160" s="200"/>
      <c r="BM160" s="200"/>
      <c r="BN160" s="200"/>
    </row>
    <row r="161" customFormat="false" ht="15" hidden="false" customHeight="true" outlineLevel="0" collapsed="false">
      <c r="B161" s="275"/>
      <c r="D161" s="276" t="n">
        <f aca="false">D145</f>
        <v>45566</v>
      </c>
      <c r="E161" s="277" t="n">
        <v>5352.96</v>
      </c>
      <c r="F161" s="277" t="n">
        <v>1445.3</v>
      </c>
      <c r="G161" s="277" t="n">
        <v>367.57</v>
      </c>
      <c r="H161" s="277" t="n">
        <v>634.06</v>
      </c>
      <c r="I161" s="277" t="n">
        <v>267.65</v>
      </c>
      <c r="J161" s="278" t="n">
        <f aca="false">E161+H161+I161</f>
        <v>6254.67</v>
      </c>
      <c r="K161" s="204"/>
      <c r="L161" s="279" t="n">
        <v>0.3</v>
      </c>
      <c r="M161" s="280" t="n">
        <f aca="false">1-L161</f>
        <v>0.7</v>
      </c>
      <c r="N161" s="281"/>
      <c r="O161" s="282" t="n">
        <v>0.25</v>
      </c>
      <c r="P161" s="282" t="n">
        <v>0.25</v>
      </c>
      <c r="Q161" s="282" t="n">
        <v>0.2</v>
      </c>
      <c r="R161" s="282" t="n">
        <v>0.15</v>
      </c>
      <c r="S161" s="282" t="n">
        <v>0.15</v>
      </c>
      <c r="T161" s="282"/>
      <c r="U161" s="282"/>
      <c r="V161" s="282"/>
      <c r="W161" s="282"/>
      <c r="X161" s="282"/>
      <c r="Y161" s="282"/>
      <c r="Z161" s="282"/>
      <c r="AA161" s="283"/>
      <c r="AB161" s="284" t="n">
        <f aca="false">IFERROR(($J161*O161)*$L161, "")</f>
        <v>469.10025</v>
      </c>
      <c r="AC161" s="284" t="n">
        <f aca="false">IFERROR(($J161*P161)*$L161, "")</f>
        <v>469.10025</v>
      </c>
      <c r="AD161" s="284" t="n">
        <f aca="false">IFERROR(($J161*Q161)*$L161, "")</f>
        <v>375.2802</v>
      </c>
      <c r="AE161" s="284" t="n">
        <f aca="false">IFERROR(($J161*R161)*$L161, "")</f>
        <v>281.46015</v>
      </c>
      <c r="AF161" s="284" t="n">
        <f aca="false">IFERROR(($J161*S161)*$L161, "")</f>
        <v>281.46015</v>
      </c>
      <c r="AG161" s="284" t="n">
        <f aca="false">IFERROR(($J161*T161)*$L161, "")</f>
        <v>0</v>
      </c>
      <c r="AH161" s="284" t="n">
        <f aca="false">IFERROR(($J161*U161)*$L161, "")</f>
        <v>0</v>
      </c>
      <c r="AI161" s="284" t="n">
        <f aca="false">IFERROR(($J161*V161)*$L161, "")</f>
        <v>0</v>
      </c>
      <c r="AJ161" s="284" t="n">
        <f aca="false">IFERROR(($J161*W161)*$L161, "")</f>
        <v>0</v>
      </c>
      <c r="AK161" s="284" t="n">
        <f aca="false">IFERROR(($J161*X161)*$L161, "")</f>
        <v>0</v>
      </c>
      <c r="AL161" s="284" t="n">
        <f aca="false">IFERROR(($J161*Y161)*$L161, "")</f>
        <v>0</v>
      </c>
      <c r="AM161" s="285" t="n">
        <f aca="false">IFERROR(($J161*Z161)*$L161, "")</f>
        <v>0</v>
      </c>
      <c r="AN161" s="286" t="n">
        <f aca="false">IFERROR(SUMIF($AB$4:$AM$4, "RDEC", AB161:AM161), "")</f>
        <v>281.46015</v>
      </c>
      <c r="AO161" s="286" t="n">
        <f aca="false">IFERROR(SUMIF($AB$4:$AM$4, "SME", AB161:AM161), "")</f>
        <v>1594.94085</v>
      </c>
      <c r="AP161" s="286" t="n">
        <f aca="false">IFERROR(SUMIF($AB$4:$AM$4, "De Minimis", AB161:AM161), "")</f>
        <v>0</v>
      </c>
      <c r="AQ161" s="283"/>
      <c r="AR161" s="284" t="n">
        <f aca="false">IFERROR(($J161*O161)*$M161, "")</f>
        <v>1094.56725</v>
      </c>
      <c r="AS161" s="284" t="n">
        <f aca="false">IFERROR(($J161*P161)*$M161, "")</f>
        <v>1094.56725</v>
      </c>
      <c r="AT161" s="284" t="n">
        <f aca="false">IFERROR(($J161*Q161)*$M161, "")</f>
        <v>875.6538</v>
      </c>
      <c r="AU161" s="284" t="n">
        <f aca="false">IFERROR(($J161*R161)*$M161, "")</f>
        <v>656.74035</v>
      </c>
      <c r="AV161" s="284" t="n">
        <f aca="false">IFERROR(($J161*S161)*$M161, "")</f>
        <v>656.74035</v>
      </c>
      <c r="AW161" s="284" t="n">
        <f aca="false">IFERROR(($J161*T161)*$M161, "")</f>
        <v>0</v>
      </c>
      <c r="AX161" s="284" t="n">
        <f aca="false">IFERROR(($J161*U161)*$M161, "")</f>
        <v>0</v>
      </c>
      <c r="AY161" s="284" t="n">
        <f aca="false">IFERROR(($J161*V161)*$M161, "")</f>
        <v>0</v>
      </c>
      <c r="AZ161" s="284" t="n">
        <f aca="false">IFERROR(($J161*W161)*$M161, "")</f>
        <v>0</v>
      </c>
      <c r="BA161" s="284" t="n">
        <f aca="false">IFERROR(($J161*X161)*$M161, "")</f>
        <v>0</v>
      </c>
      <c r="BB161" s="284" t="n">
        <f aca="false">IFERROR(($J161*Y161)*$M161, "")</f>
        <v>0</v>
      </c>
      <c r="BC161" s="285" t="n">
        <f aca="false">IFERROR(($J161*Z161)*$M161, "")</f>
        <v>0</v>
      </c>
      <c r="BD161" s="286" t="n">
        <f aca="false">IFERROR(SUMIF($AB$4:$AM$4, "RDEC", AR161:BC161), "")</f>
        <v>656.74035</v>
      </c>
      <c r="BE161" s="286" t="n">
        <f aca="false">IFERROR(SUMIF($AB$4:$AM$4, "SME", AR161:BC161), "")</f>
        <v>3721.52865</v>
      </c>
      <c r="BF161" s="286" t="n">
        <f aca="false">IFERROR(SUMIF($AB$4:$AM$4, "De Minimis", AR161:BC161), "")</f>
        <v>0</v>
      </c>
      <c r="BG161" s="287"/>
      <c r="BH161" s="288" t="str">
        <f aca="false">IF((SUM(O161:Z161)&gt;1),"ERROR","")</f>
        <v/>
      </c>
      <c r="BI161" s="287"/>
      <c r="BJ161" s="18" t="str">
        <f aca="false">IF(C147&gt;0, C147, "")</f>
        <v/>
      </c>
      <c r="BL161" s="200"/>
      <c r="BM161" s="200"/>
      <c r="BN161" s="200"/>
    </row>
    <row r="162" customFormat="false" ht="15" hidden="false" customHeight="true" outlineLevel="0" collapsed="false">
      <c r="B162" s="275"/>
      <c r="D162" s="276" t="n">
        <f aca="false">D146</f>
        <v>45597</v>
      </c>
      <c r="E162" s="277" t="n">
        <v>5443.5</v>
      </c>
      <c r="F162" s="277" t="n">
        <v>1469.75</v>
      </c>
      <c r="G162" s="277" t="n">
        <v>374.81</v>
      </c>
      <c r="H162" s="277" t="n">
        <v>646.55</v>
      </c>
      <c r="I162" s="277" t="n">
        <v>272.18</v>
      </c>
      <c r="J162" s="278" t="n">
        <f aca="false">E162+H162+I162</f>
        <v>6362.23</v>
      </c>
      <c r="K162" s="204"/>
      <c r="L162" s="279" t="n">
        <v>0.3</v>
      </c>
      <c r="M162" s="280" t="n">
        <f aca="false">1-L162</f>
        <v>0.7</v>
      </c>
      <c r="N162" s="281"/>
      <c r="O162" s="282" t="n">
        <v>0.25</v>
      </c>
      <c r="P162" s="282" t="n">
        <v>0.25</v>
      </c>
      <c r="Q162" s="282" t="n">
        <v>0.2</v>
      </c>
      <c r="R162" s="282" t="n">
        <v>0.15</v>
      </c>
      <c r="S162" s="282" t="n">
        <v>0.15</v>
      </c>
      <c r="T162" s="282"/>
      <c r="U162" s="282"/>
      <c r="V162" s="282"/>
      <c r="W162" s="282"/>
      <c r="X162" s="282"/>
      <c r="Y162" s="282"/>
      <c r="Z162" s="282"/>
      <c r="AA162" s="283"/>
      <c r="AB162" s="284" t="n">
        <f aca="false">IFERROR(($J162*O162)*$L162, "")</f>
        <v>477.16725</v>
      </c>
      <c r="AC162" s="284" t="n">
        <f aca="false">IFERROR(($J162*P162)*$L162, "")</f>
        <v>477.16725</v>
      </c>
      <c r="AD162" s="284" t="n">
        <f aca="false">IFERROR(($J162*Q162)*$L162, "")</f>
        <v>381.7338</v>
      </c>
      <c r="AE162" s="284" t="n">
        <f aca="false">IFERROR(($J162*R162)*$L162, "")</f>
        <v>286.30035</v>
      </c>
      <c r="AF162" s="284" t="n">
        <f aca="false">IFERROR(($J162*S162)*$L162, "")</f>
        <v>286.30035</v>
      </c>
      <c r="AG162" s="284" t="n">
        <f aca="false">IFERROR(($J162*T162)*$L162, "")</f>
        <v>0</v>
      </c>
      <c r="AH162" s="284" t="n">
        <f aca="false">IFERROR(($J162*U162)*$L162, "")</f>
        <v>0</v>
      </c>
      <c r="AI162" s="284" t="n">
        <f aca="false">IFERROR(($J162*V162)*$L162, "")</f>
        <v>0</v>
      </c>
      <c r="AJ162" s="284" t="n">
        <f aca="false">IFERROR(($J162*W162)*$L162, "")</f>
        <v>0</v>
      </c>
      <c r="AK162" s="284" t="n">
        <f aca="false">IFERROR(($J162*X162)*$L162, "")</f>
        <v>0</v>
      </c>
      <c r="AL162" s="284" t="n">
        <f aca="false">IFERROR(($J162*Y162)*$L162, "")</f>
        <v>0</v>
      </c>
      <c r="AM162" s="285" t="n">
        <f aca="false">IFERROR(($J162*Z162)*$L162, "")</f>
        <v>0</v>
      </c>
      <c r="AN162" s="286" t="n">
        <f aca="false">IFERROR(SUMIF($AB$4:$AM$4, "RDEC", AB162:AM162), "")</f>
        <v>286.30035</v>
      </c>
      <c r="AO162" s="286" t="n">
        <f aca="false">IFERROR(SUMIF($AB$4:$AM$4, "SME", AB162:AM162), "")</f>
        <v>1622.36865</v>
      </c>
      <c r="AP162" s="286" t="n">
        <f aca="false">IFERROR(SUMIF($AB$4:$AM$4, "De Minimis", AB162:AM162), "")</f>
        <v>0</v>
      </c>
      <c r="AQ162" s="283"/>
      <c r="AR162" s="284" t="n">
        <f aca="false">IFERROR(($J162*O162)*$M162, "")</f>
        <v>1113.39025</v>
      </c>
      <c r="AS162" s="284" t="n">
        <f aca="false">IFERROR(($J162*P162)*$M162, "")</f>
        <v>1113.39025</v>
      </c>
      <c r="AT162" s="284" t="n">
        <f aca="false">IFERROR(($J162*Q162)*$M162, "")</f>
        <v>890.7122</v>
      </c>
      <c r="AU162" s="284" t="n">
        <f aca="false">IFERROR(($J162*R162)*$M162, "")</f>
        <v>668.03415</v>
      </c>
      <c r="AV162" s="284" t="n">
        <f aca="false">IFERROR(($J162*S162)*$M162, "")</f>
        <v>668.03415</v>
      </c>
      <c r="AW162" s="284" t="n">
        <f aca="false">IFERROR(($J162*T162)*$M162, "")</f>
        <v>0</v>
      </c>
      <c r="AX162" s="284" t="n">
        <f aca="false">IFERROR(($J162*U162)*$M162, "")</f>
        <v>0</v>
      </c>
      <c r="AY162" s="284" t="n">
        <f aca="false">IFERROR(($J162*V162)*$M162, "")</f>
        <v>0</v>
      </c>
      <c r="AZ162" s="284" t="n">
        <f aca="false">IFERROR(($J162*W162)*$M162, "")</f>
        <v>0</v>
      </c>
      <c r="BA162" s="284" t="n">
        <f aca="false">IFERROR(($J162*X162)*$M162, "")</f>
        <v>0</v>
      </c>
      <c r="BB162" s="284" t="n">
        <f aca="false">IFERROR(($J162*Y162)*$M162, "")</f>
        <v>0</v>
      </c>
      <c r="BC162" s="285" t="n">
        <f aca="false">IFERROR(($J162*Z162)*$M162, "")</f>
        <v>0</v>
      </c>
      <c r="BD162" s="286" t="n">
        <f aca="false">IFERROR(SUMIF($AB$4:$AM$4, "RDEC", AR162:BC162), "")</f>
        <v>668.03415</v>
      </c>
      <c r="BE162" s="286" t="n">
        <f aca="false">IFERROR(SUMIF($AB$4:$AM$4, "SME", AR162:BC162), "")</f>
        <v>3785.52685</v>
      </c>
      <c r="BF162" s="286" t="n">
        <f aca="false">IFERROR(SUMIF($AB$4:$AM$4, "De Minimis", AR162:BC162), "")</f>
        <v>0</v>
      </c>
      <c r="BG162" s="287"/>
      <c r="BH162" s="288" t="str">
        <f aca="false">IF((SUM(O162:Z162)&gt;1),"ERROR","")</f>
        <v/>
      </c>
      <c r="BI162" s="287"/>
      <c r="BJ162" s="18" t="str">
        <f aca="false">IF(C148&gt;0, C148, "")</f>
        <v/>
      </c>
      <c r="BL162" s="200"/>
      <c r="BM162" s="200"/>
      <c r="BN162" s="200"/>
    </row>
    <row r="163" customFormat="false" ht="15" hidden="false" customHeight="true" outlineLevel="0" collapsed="false">
      <c r="B163" s="275"/>
      <c r="D163" s="276" t="n">
        <f aca="false">D147</f>
        <v>45627</v>
      </c>
      <c r="E163" s="277" t="n">
        <v>5407.41</v>
      </c>
      <c r="F163" s="277" t="n">
        <v>1460</v>
      </c>
      <c r="G163" s="277" t="n">
        <v>371.93</v>
      </c>
      <c r="H163" s="277" t="n">
        <v>641.57</v>
      </c>
      <c r="I163" s="277" t="n">
        <v>270.37</v>
      </c>
      <c r="J163" s="278" t="n">
        <f aca="false">E163+H163+I163</f>
        <v>6319.35</v>
      </c>
      <c r="K163" s="204"/>
      <c r="L163" s="289" t="n">
        <v>0.3</v>
      </c>
      <c r="M163" s="290" t="n">
        <f aca="false">1-L163</f>
        <v>0.7</v>
      </c>
      <c r="N163" s="281"/>
      <c r="O163" s="291" t="n">
        <v>0.25</v>
      </c>
      <c r="P163" s="291" t="n">
        <v>0.25</v>
      </c>
      <c r="Q163" s="291" t="n">
        <v>0.2</v>
      </c>
      <c r="R163" s="291" t="n">
        <v>0.15</v>
      </c>
      <c r="S163" s="291" t="n">
        <v>0.15</v>
      </c>
      <c r="T163" s="291"/>
      <c r="U163" s="291"/>
      <c r="V163" s="291"/>
      <c r="W163" s="291"/>
      <c r="X163" s="291"/>
      <c r="Y163" s="291"/>
      <c r="Z163" s="291"/>
      <c r="AA163" s="283"/>
      <c r="AB163" s="292" t="n">
        <f aca="false">IFERROR(($J163*O163)*$L163, "")</f>
        <v>473.95125</v>
      </c>
      <c r="AC163" s="292" t="n">
        <f aca="false">IFERROR(($J163*P163)*$L163, "")</f>
        <v>473.95125</v>
      </c>
      <c r="AD163" s="292" t="n">
        <f aca="false">IFERROR(($J163*Q163)*$L163, "")</f>
        <v>379.161</v>
      </c>
      <c r="AE163" s="292" t="n">
        <f aca="false">IFERROR(($J163*R163)*$L163, "")</f>
        <v>284.37075</v>
      </c>
      <c r="AF163" s="292" t="n">
        <f aca="false">IFERROR(($J163*S163)*$L163, "")</f>
        <v>284.37075</v>
      </c>
      <c r="AG163" s="292" t="n">
        <f aca="false">IFERROR(($J163*T163)*$L163, "")</f>
        <v>0</v>
      </c>
      <c r="AH163" s="292" t="n">
        <f aca="false">IFERROR(($J163*U163)*$L163, "")</f>
        <v>0</v>
      </c>
      <c r="AI163" s="292" t="n">
        <f aca="false">IFERROR(($J163*V163)*$L163, "")</f>
        <v>0</v>
      </c>
      <c r="AJ163" s="292" t="n">
        <f aca="false">IFERROR(($J163*W163)*$L163, "")</f>
        <v>0</v>
      </c>
      <c r="AK163" s="292" t="n">
        <f aca="false">IFERROR(($J163*X163)*$L163, "")</f>
        <v>0</v>
      </c>
      <c r="AL163" s="292" t="n">
        <f aca="false">IFERROR(($J163*Y163)*$L163, "")</f>
        <v>0</v>
      </c>
      <c r="AM163" s="293" t="n">
        <f aca="false">IFERROR(($J163*Z163)*$L163, "")</f>
        <v>0</v>
      </c>
      <c r="AN163" s="294" t="n">
        <f aca="false">IFERROR(SUMIF($AB$4:$AM$4, "RDEC", AB163:AM163), "")</f>
        <v>284.37075</v>
      </c>
      <c r="AO163" s="294" t="n">
        <f aca="false">IFERROR(SUMIF($AB$4:$AM$4, "SME", AB163:AM163), "")</f>
        <v>1611.43425</v>
      </c>
      <c r="AP163" s="294" t="n">
        <f aca="false">IFERROR(SUMIF($AB$4:$AM$4, "De Minimis", AB163:AM163), "")</f>
        <v>0</v>
      </c>
      <c r="AQ163" s="283"/>
      <c r="AR163" s="292" t="n">
        <f aca="false">IFERROR(($J163*O163)*$M163, "")</f>
        <v>1105.88625</v>
      </c>
      <c r="AS163" s="292" t="n">
        <f aca="false">IFERROR(($J163*P163)*$M163, "")</f>
        <v>1105.88625</v>
      </c>
      <c r="AT163" s="292" t="n">
        <f aca="false">IFERROR(($J163*Q163)*$M163, "")</f>
        <v>884.709</v>
      </c>
      <c r="AU163" s="292" t="n">
        <f aca="false">IFERROR(($J163*R163)*$M163, "")</f>
        <v>663.53175</v>
      </c>
      <c r="AV163" s="292" t="n">
        <f aca="false">IFERROR(($J163*S163)*$M163, "")</f>
        <v>663.53175</v>
      </c>
      <c r="AW163" s="292" t="n">
        <f aca="false">IFERROR(($J163*T163)*$M163, "")</f>
        <v>0</v>
      </c>
      <c r="AX163" s="292" t="n">
        <f aca="false">IFERROR(($J163*U163)*$M163, "")</f>
        <v>0</v>
      </c>
      <c r="AY163" s="292" t="n">
        <f aca="false">IFERROR(($J163*V163)*$M163, "")</f>
        <v>0</v>
      </c>
      <c r="AZ163" s="292" t="n">
        <f aca="false">IFERROR(($J163*W163)*$M163, "")</f>
        <v>0</v>
      </c>
      <c r="BA163" s="292" t="n">
        <f aca="false">IFERROR(($J163*X163)*$M163, "")</f>
        <v>0</v>
      </c>
      <c r="BB163" s="292" t="n">
        <f aca="false">IFERROR(($J163*Y163)*$M163, "")</f>
        <v>0</v>
      </c>
      <c r="BC163" s="293" t="n">
        <f aca="false">IFERROR(($J163*Z163)*$M163, "")</f>
        <v>0</v>
      </c>
      <c r="BD163" s="294" t="n">
        <f aca="false">IFERROR(SUMIF($AB$4:$AM$4, "RDEC", AR163:BC163), "")</f>
        <v>663.53175</v>
      </c>
      <c r="BE163" s="294" t="n">
        <f aca="false">IFERROR(SUMIF($AB$4:$AM$4, "SME", AR163:BC163), "")</f>
        <v>3760.01325</v>
      </c>
      <c r="BF163" s="294" t="n">
        <f aca="false">IFERROR(SUMIF($AB$4:$AM$4, "De Minimis", AR163:BC163), "")</f>
        <v>0</v>
      </c>
      <c r="BG163" s="287"/>
      <c r="BH163" s="295" t="str">
        <f aca="false">IF((SUM(O163:Z163)&gt;1),"ERROR","")</f>
        <v/>
      </c>
      <c r="BI163" s="287"/>
      <c r="BJ163" s="18" t="str">
        <f aca="false">IF(C149&gt;0, C149, "")</f>
        <v/>
      </c>
      <c r="BL163" s="200"/>
      <c r="BM163" s="200"/>
      <c r="BN163" s="200"/>
    </row>
    <row r="164" customFormat="false" ht="15" hidden="false" customHeight="true" outlineLevel="0" collapsed="false">
      <c r="B164" s="296"/>
      <c r="D164" s="297" t="s">
        <v>82</v>
      </c>
      <c r="E164" s="298" t="n">
        <f aca="false">SUM(E152:E163)</f>
        <v>65092.61</v>
      </c>
      <c r="F164" s="298" t="n">
        <f aca="false">SUM(F152:F163)</f>
        <v>17575.01</v>
      </c>
      <c r="G164" s="298" t="n">
        <f aca="false">SUM(G152:G163)</f>
        <v>4479.42</v>
      </c>
      <c r="H164" s="298" t="n">
        <f aca="false">SUM(H152:H163)</f>
        <v>7726.98</v>
      </c>
      <c r="I164" s="298" t="n">
        <f aca="false">SUM(I152:I163)</f>
        <v>3254.63</v>
      </c>
      <c r="J164" s="299" t="n">
        <f aca="false">SUM(J152:J163)</f>
        <v>76074.22</v>
      </c>
      <c r="K164" s="300"/>
      <c r="L164" s="301" t="n">
        <f aca="false">AVERAGE(L152:L163)</f>
        <v>0.3</v>
      </c>
      <c r="M164" s="301" t="n">
        <f aca="false">AVERAGE(M152:M163)</f>
        <v>0.7</v>
      </c>
      <c r="N164" s="302"/>
      <c r="O164" s="290" t="n">
        <f aca="false">IF(SUM(O152:O163)&gt;0,((AB164+AR164)/J164),0)</f>
        <v>0.25</v>
      </c>
      <c r="P164" s="290" t="n">
        <f aca="false">IF(SUM(P152:P163)&gt;0,((AC164+AS164)/J164),0)</f>
        <v>0.25</v>
      </c>
      <c r="Q164" s="290" t="n">
        <f aca="false">IF(SUM(Q152:Q163)&gt;0,((AD164+AT164)/J164),0)</f>
        <v>0.2</v>
      </c>
      <c r="R164" s="290" t="n">
        <f aca="false">IF(SUM(R152:R163)&gt;0,((AE164+AU164)/J164),0)</f>
        <v>0.15</v>
      </c>
      <c r="S164" s="290" t="n">
        <f aca="false">IF(SUM(S152:S163)&gt;0,((AF164+AV164)/J164),0)</f>
        <v>0.15</v>
      </c>
      <c r="T164" s="290" t="n">
        <f aca="false">IF(SUM(T152:T163)&gt;0,((AG164+AW164)/J164),0)</f>
        <v>0</v>
      </c>
      <c r="U164" s="290" t="n">
        <f aca="false">IF(SUM(U152:U163)&gt;0,((AH164+AX164)/J164),0)</f>
        <v>0</v>
      </c>
      <c r="V164" s="290" t="n">
        <f aca="false">IF(SUM(V152:V163)&gt;0,((AI164+AY164)/J164),0)</f>
        <v>0</v>
      </c>
      <c r="W164" s="290" t="n">
        <f aca="false">IF(SUM(W152:W163)&gt;0,((AJ164+AZ164)/J164),0)</f>
        <v>0</v>
      </c>
      <c r="X164" s="290" t="n">
        <f aca="false">IF(SUM(X152:X163)&gt;0,((AK164+BA164)/J164),0)</f>
        <v>0</v>
      </c>
      <c r="Y164" s="290" t="n">
        <f aca="false">IF(SUM(Y152:Y163)&gt;0,((AL164+BB164)/J164),0)</f>
        <v>0</v>
      </c>
      <c r="Z164" s="290" t="n">
        <f aca="false">IF(SUM(Z152:Z163)&gt;0,((AM164+BC164)/J164),0)</f>
        <v>0</v>
      </c>
      <c r="AA164" s="303"/>
      <c r="AB164" s="292" t="n">
        <f aca="false">SUM(AB152:AB163)</f>
        <v>5705.5665</v>
      </c>
      <c r="AC164" s="304" t="n">
        <f aca="false">SUM(AC152:AC163)</f>
        <v>5705.5665</v>
      </c>
      <c r="AD164" s="304" t="n">
        <f aca="false">SUM(AD152:AD163)</f>
        <v>4564.4532</v>
      </c>
      <c r="AE164" s="304" t="n">
        <f aca="false">SUM(AE152:AE163)</f>
        <v>3423.3399</v>
      </c>
      <c r="AF164" s="304" t="n">
        <f aca="false">SUM(AF152:AF163)</f>
        <v>3423.3399</v>
      </c>
      <c r="AG164" s="304" t="n">
        <f aca="false">SUM(AG152:AG163)</f>
        <v>0</v>
      </c>
      <c r="AH164" s="304" t="n">
        <f aca="false">SUM(AH152:AH163)</f>
        <v>0</v>
      </c>
      <c r="AI164" s="304" t="n">
        <f aca="false">SUM(AI152:AI163)</f>
        <v>0</v>
      </c>
      <c r="AJ164" s="304" t="n">
        <f aca="false">SUM(AJ152:AJ163)</f>
        <v>0</v>
      </c>
      <c r="AK164" s="304" t="n">
        <f aca="false">SUM(AK152:AK163)</f>
        <v>0</v>
      </c>
      <c r="AL164" s="304" t="n">
        <f aca="false">SUM(AL152:AL163)</f>
        <v>0</v>
      </c>
      <c r="AM164" s="304" t="n">
        <f aca="false">SUM(AM152:AM163)</f>
        <v>0</v>
      </c>
      <c r="AN164" s="305" t="n">
        <f aca="false">SUM(AN152:AN163)</f>
        <v>3423.3399</v>
      </c>
      <c r="AO164" s="305" t="n">
        <f aca="false">SUM(AO152:AO163)</f>
        <v>19398.9261</v>
      </c>
      <c r="AP164" s="305" t="n">
        <f aca="false">SUM(AP152:AP163)</f>
        <v>0</v>
      </c>
      <c r="AQ164" s="303"/>
      <c r="AR164" s="292" t="n">
        <f aca="false">SUM(AR152:AR163)</f>
        <v>13312.9885</v>
      </c>
      <c r="AS164" s="304" t="n">
        <f aca="false">SUM(AS152:AS163)</f>
        <v>13312.9885</v>
      </c>
      <c r="AT164" s="304" t="n">
        <f aca="false">SUM(AT152:AT163)</f>
        <v>10650.3908</v>
      </c>
      <c r="AU164" s="304" t="n">
        <f aca="false">SUM(AU152:AU163)</f>
        <v>7987.7931</v>
      </c>
      <c r="AV164" s="304" t="n">
        <f aca="false">SUM(AV152:AV163)</f>
        <v>7987.7931</v>
      </c>
      <c r="AW164" s="304" t="n">
        <f aca="false">SUM(AW152:AW163)</f>
        <v>0</v>
      </c>
      <c r="AX164" s="304" t="n">
        <f aca="false">SUM(AX152:AX163)</f>
        <v>0</v>
      </c>
      <c r="AY164" s="304" t="n">
        <f aca="false">SUM(AY152:AY163)</f>
        <v>0</v>
      </c>
      <c r="AZ164" s="304" t="n">
        <f aca="false">SUM(AZ152:AZ163)</f>
        <v>0</v>
      </c>
      <c r="BA164" s="304" t="n">
        <f aca="false">SUM(BA152:BA163)</f>
        <v>0</v>
      </c>
      <c r="BB164" s="304" t="n">
        <f aca="false">SUM(BB152:BB163)</f>
        <v>0</v>
      </c>
      <c r="BC164" s="304" t="n">
        <f aca="false">SUM(BC152:BC163)</f>
        <v>0</v>
      </c>
      <c r="BD164" s="305" t="n">
        <f aca="false">SUM(BD152:BD163)</f>
        <v>7987.7931</v>
      </c>
      <c r="BE164" s="305" t="n">
        <f aca="false">SUM(BE152:BE163)</f>
        <v>45264.1609</v>
      </c>
      <c r="BF164" s="305" t="n">
        <f aca="false">SUM(BF152:BF163)</f>
        <v>0</v>
      </c>
      <c r="BG164" s="303"/>
      <c r="BH164" s="306"/>
      <c r="BI164" s="303"/>
      <c r="BJ164" s="307" t="str">
        <f aca="false">IF(C150&gt;0, C150, "")</f>
        <v>Project Manager</v>
      </c>
      <c r="BK164" s="18" t="s">
        <v>234</v>
      </c>
      <c r="BL164" s="200" t="n">
        <f aca="false">IF($BK164="Y",J164,0)</f>
        <v>0</v>
      </c>
      <c r="BM164" s="200" t="n">
        <f aca="false">IF(BK164="Y", AN164,0)</f>
        <v>0</v>
      </c>
      <c r="BN164" s="200" t="n">
        <f aca="false">IF((BK164="Y"),AO164,0)</f>
        <v>0</v>
      </c>
    </row>
    <row r="165" customFormat="false" ht="15" hidden="false" customHeight="true" outlineLevel="0" collapsed="false">
      <c r="B165" s="296"/>
      <c r="D165" s="297"/>
      <c r="E165" s="277"/>
      <c r="F165" s="277"/>
      <c r="G165" s="277"/>
      <c r="H165" s="277"/>
      <c r="I165" s="277"/>
      <c r="J165" s="300"/>
      <c r="K165" s="300"/>
      <c r="L165" s="302"/>
      <c r="M165" s="302"/>
      <c r="N165" s="302"/>
      <c r="O165" s="308"/>
      <c r="P165" s="308"/>
      <c r="Q165" s="308"/>
      <c r="R165" s="308"/>
      <c r="S165" s="308"/>
      <c r="T165" s="308"/>
      <c r="U165" s="308"/>
      <c r="V165" s="308"/>
      <c r="W165" s="308"/>
      <c r="X165" s="308"/>
      <c r="Y165" s="308"/>
      <c r="Z165" s="308"/>
      <c r="AA165" s="303"/>
      <c r="AB165" s="303"/>
      <c r="AC165" s="303"/>
      <c r="AD165" s="303"/>
      <c r="AE165" s="303"/>
      <c r="AF165" s="303"/>
      <c r="AG165" s="303"/>
      <c r="AH165" s="303"/>
      <c r="AI165" s="303"/>
      <c r="AJ165" s="303"/>
      <c r="AK165" s="303"/>
      <c r="AL165" s="303"/>
      <c r="AM165" s="303"/>
      <c r="AN165" s="303"/>
      <c r="AO165" s="303"/>
      <c r="AP165" s="303"/>
      <c r="AQ165" s="303"/>
      <c r="AR165" s="303"/>
      <c r="AS165" s="303"/>
      <c r="AT165" s="303"/>
      <c r="AU165" s="303"/>
      <c r="AV165" s="303"/>
      <c r="AW165" s="303"/>
      <c r="AX165" s="303"/>
      <c r="AY165" s="303"/>
      <c r="AZ165" s="303"/>
      <c r="BA165" s="303"/>
      <c r="BB165" s="303"/>
      <c r="BC165" s="303"/>
      <c r="BD165" s="303"/>
      <c r="BE165" s="303"/>
      <c r="BF165" s="303"/>
      <c r="BG165" s="303"/>
      <c r="BH165" s="303"/>
      <c r="BI165" s="303"/>
      <c r="BJ165" s="307" t="str">
        <f aca="false">IF(C152&gt;0, C152, "")</f>
        <v/>
      </c>
      <c r="BL165" s="200"/>
      <c r="BM165" s="200"/>
      <c r="BN165" s="200"/>
    </row>
    <row r="166" customFormat="false" ht="15" hidden="false" customHeight="true" outlineLevel="0" collapsed="false">
      <c r="A166" s="198" t="n">
        <f aca="false">A150+1</f>
        <v>11</v>
      </c>
      <c r="B166" s="266" t="s">
        <v>253</v>
      </c>
      <c r="C166" s="266" t="s">
        <v>253</v>
      </c>
      <c r="D166" s="267"/>
      <c r="E166" s="242"/>
      <c r="F166" s="242"/>
      <c r="G166" s="242"/>
      <c r="H166" s="242"/>
      <c r="I166" s="242"/>
      <c r="J166" s="241"/>
      <c r="K166" s="241"/>
      <c r="L166" s="241"/>
      <c r="M166" s="241"/>
      <c r="N166" s="241"/>
      <c r="O166" s="268"/>
      <c r="P166" s="268"/>
      <c r="Q166" s="268"/>
      <c r="R166" s="268"/>
      <c r="S166" s="268"/>
      <c r="T166" s="268"/>
      <c r="U166" s="268"/>
      <c r="V166" s="268"/>
      <c r="W166" s="268"/>
      <c r="X166" s="268"/>
      <c r="Y166" s="268"/>
      <c r="Z166" s="268"/>
      <c r="AA166" s="268"/>
      <c r="AB166" s="268"/>
      <c r="AC166" s="268"/>
      <c r="AD166" s="268"/>
      <c r="AE166" s="268"/>
      <c r="AF166" s="268"/>
      <c r="AG166" s="268"/>
      <c r="AH166" s="268"/>
      <c r="AI166" s="268"/>
      <c r="AJ166" s="268"/>
      <c r="AK166" s="268"/>
      <c r="AL166" s="268"/>
      <c r="AM166" s="268"/>
      <c r="AN166" s="268"/>
      <c r="AO166" s="268"/>
      <c r="AP166" s="268"/>
      <c r="AQ166" s="268"/>
      <c r="AR166" s="268"/>
      <c r="AS166" s="268"/>
      <c r="AT166" s="268"/>
      <c r="AU166" s="268"/>
      <c r="AV166" s="268"/>
      <c r="AW166" s="268"/>
      <c r="AX166" s="268"/>
      <c r="AY166" s="268"/>
      <c r="AZ166" s="268"/>
      <c r="BA166" s="268"/>
      <c r="BB166" s="268"/>
      <c r="BC166" s="268"/>
      <c r="BD166" s="268"/>
      <c r="BE166" s="268"/>
      <c r="BF166" s="268"/>
      <c r="BG166" s="268"/>
      <c r="BH166" s="268"/>
      <c r="BI166" s="268"/>
      <c r="BJ166" s="18" t="str">
        <f aca="false">IF(C153&gt;0, C153, "")</f>
        <v/>
      </c>
      <c r="BL166" s="200"/>
      <c r="BM166" s="200"/>
      <c r="BN166" s="200"/>
    </row>
    <row r="167" customFormat="false" ht="7.5" hidden="false" customHeight="true" outlineLevel="0" collapsed="false">
      <c r="A167" s="198"/>
      <c r="B167" s="266"/>
      <c r="C167" s="266"/>
      <c r="D167" s="267"/>
      <c r="E167" s="242"/>
      <c r="F167" s="242"/>
      <c r="G167" s="242"/>
      <c r="H167" s="242"/>
      <c r="I167" s="242"/>
      <c r="J167" s="241"/>
      <c r="K167" s="241"/>
      <c r="L167" s="269"/>
      <c r="M167" s="269"/>
      <c r="N167" s="270"/>
      <c r="O167" s="269"/>
      <c r="P167" s="269"/>
      <c r="Q167" s="269"/>
      <c r="R167" s="269"/>
      <c r="S167" s="269"/>
      <c r="T167" s="269"/>
      <c r="U167" s="269"/>
      <c r="V167" s="269"/>
      <c r="W167" s="269"/>
      <c r="X167" s="269"/>
      <c r="Y167" s="269"/>
      <c r="Z167" s="269"/>
      <c r="AA167" s="268"/>
      <c r="AB167" s="271"/>
      <c r="AC167" s="271"/>
      <c r="AD167" s="271"/>
      <c r="AE167" s="271"/>
      <c r="AF167" s="271"/>
      <c r="AG167" s="271"/>
      <c r="AH167" s="271"/>
      <c r="AI167" s="271"/>
      <c r="AJ167" s="271"/>
      <c r="AK167" s="271"/>
      <c r="AL167" s="271"/>
      <c r="AM167" s="272"/>
      <c r="AN167" s="273"/>
      <c r="AO167" s="273"/>
      <c r="AP167" s="273"/>
      <c r="AQ167" s="268"/>
      <c r="AR167" s="271"/>
      <c r="AS167" s="271"/>
      <c r="AT167" s="271"/>
      <c r="AU167" s="271"/>
      <c r="AV167" s="271"/>
      <c r="AW167" s="271"/>
      <c r="AX167" s="271"/>
      <c r="AY167" s="271"/>
      <c r="AZ167" s="271"/>
      <c r="BA167" s="271"/>
      <c r="BB167" s="271"/>
      <c r="BC167" s="272"/>
      <c r="BD167" s="273"/>
      <c r="BE167" s="273"/>
      <c r="BF167" s="273"/>
      <c r="BG167" s="268"/>
      <c r="BH167" s="274"/>
      <c r="BI167" s="268"/>
      <c r="BL167" s="200"/>
      <c r="BM167" s="200"/>
      <c r="BN167" s="200"/>
    </row>
    <row r="168" customFormat="false" ht="15" hidden="false" customHeight="true" outlineLevel="0" collapsed="false">
      <c r="B168" s="275"/>
      <c r="D168" s="276" t="n">
        <f aca="false">D152</f>
        <v>45292</v>
      </c>
      <c r="E168" s="277" t="n">
        <v>0</v>
      </c>
      <c r="F168" s="277" t="n">
        <v>0</v>
      </c>
      <c r="G168" s="277" t="n">
        <v>0</v>
      </c>
      <c r="H168" s="277" t="n">
        <v>0</v>
      </c>
      <c r="I168" s="277" t="n">
        <v>0</v>
      </c>
      <c r="J168" s="278" t="n">
        <f aca="false">E168+H168+I168</f>
        <v>0</v>
      </c>
      <c r="K168" s="204"/>
      <c r="L168" s="279" t="n">
        <v>1</v>
      </c>
      <c r="M168" s="280" t="n">
        <f aca="false">1-L168</f>
        <v>0</v>
      </c>
      <c r="N168" s="281"/>
      <c r="O168" s="282"/>
      <c r="P168" s="282"/>
      <c r="Q168" s="282"/>
      <c r="R168" s="282"/>
      <c r="S168" s="282"/>
      <c r="T168" s="282"/>
      <c r="U168" s="282"/>
      <c r="V168" s="282"/>
      <c r="W168" s="282"/>
      <c r="X168" s="282"/>
      <c r="Y168" s="282"/>
      <c r="Z168" s="282"/>
      <c r="AA168" s="283"/>
      <c r="AB168" s="284" t="n">
        <f aca="false">IFERROR(($J168*O168)*$L168, "")</f>
        <v>0</v>
      </c>
      <c r="AC168" s="284" t="n">
        <f aca="false">IFERROR(($J168*P168)*$L168, "")</f>
        <v>0</v>
      </c>
      <c r="AD168" s="284" t="n">
        <f aca="false">IFERROR(($J168*Q168)*$L168, "")</f>
        <v>0</v>
      </c>
      <c r="AE168" s="284" t="n">
        <f aca="false">IFERROR(($J168*R168)*$L168, "")</f>
        <v>0</v>
      </c>
      <c r="AF168" s="284" t="n">
        <f aca="false">IFERROR(($J168*S168)*$L168, "")</f>
        <v>0</v>
      </c>
      <c r="AG168" s="284" t="n">
        <f aca="false">IFERROR(($J168*T168)*$L168, "")</f>
        <v>0</v>
      </c>
      <c r="AH168" s="284" t="n">
        <f aca="false">IFERROR(($J168*U168)*$L168, "")</f>
        <v>0</v>
      </c>
      <c r="AI168" s="284" t="n">
        <f aca="false">IFERROR(($J168*V168)*$L168, "")</f>
        <v>0</v>
      </c>
      <c r="AJ168" s="284" t="n">
        <f aca="false">IFERROR(($J168*W168)*$L168, "")</f>
        <v>0</v>
      </c>
      <c r="AK168" s="284" t="n">
        <f aca="false">IFERROR(($J168*X168)*$L168, "")</f>
        <v>0</v>
      </c>
      <c r="AL168" s="284" t="n">
        <f aca="false">IFERROR(($J168*Y168)*$L168, "")</f>
        <v>0</v>
      </c>
      <c r="AM168" s="285" t="n">
        <f aca="false">IFERROR(($J168*Z168)*$L168, "")</f>
        <v>0</v>
      </c>
      <c r="AN168" s="286" t="n">
        <f aca="false">IFERROR(SUMIF($AB$4:$AM$4, "RDEC", AB168:AM168), "")</f>
        <v>0</v>
      </c>
      <c r="AO168" s="286" t="n">
        <f aca="false">IFERROR(SUMIF($AB$4:$AM$4, "SME", AB168:AM168), "")</f>
        <v>0</v>
      </c>
      <c r="AP168" s="286" t="n">
        <f aca="false">IFERROR(SUMIF($AB$4:$AM$4, "De Minimis", AB168:AM168), "")</f>
        <v>0</v>
      </c>
      <c r="AQ168" s="283"/>
      <c r="AR168" s="284" t="n">
        <f aca="false">IFERROR(($J168*O168)*$M168, "")</f>
        <v>0</v>
      </c>
      <c r="AS168" s="284" t="n">
        <f aca="false">IFERROR(($J168*P168)*$M168, "")</f>
        <v>0</v>
      </c>
      <c r="AT168" s="284" t="n">
        <f aca="false">IFERROR(($J168*Q168)*$M168, "")</f>
        <v>0</v>
      </c>
      <c r="AU168" s="284" t="n">
        <f aca="false">IFERROR(($J168*R168)*$M168, "")</f>
        <v>0</v>
      </c>
      <c r="AV168" s="284" t="n">
        <f aca="false">IFERROR(($J168*S168)*$M168, "")</f>
        <v>0</v>
      </c>
      <c r="AW168" s="284" t="n">
        <f aca="false">IFERROR(($J168*T168)*$M168, "")</f>
        <v>0</v>
      </c>
      <c r="AX168" s="284" t="n">
        <f aca="false">IFERROR(($J168*U168)*$M168, "")</f>
        <v>0</v>
      </c>
      <c r="AY168" s="284" t="n">
        <f aca="false">IFERROR(($J168*V168)*$M168, "")</f>
        <v>0</v>
      </c>
      <c r="AZ168" s="284" t="n">
        <f aca="false">IFERROR(($J168*W168)*$M168, "")</f>
        <v>0</v>
      </c>
      <c r="BA168" s="284" t="n">
        <f aca="false">IFERROR(($J168*X168)*$M168, "")</f>
        <v>0</v>
      </c>
      <c r="BB168" s="284" t="n">
        <f aca="false">IFERROR(($J168*Y168)*$M168, "")</f>
        <v>0</v>
      </c>
      <c r="BC168" s="285" t="n">
        <f aca="false">IFERROR(($J168*Z168)*$M168, "")</f>
        <v>0</v>
      </c>
      <c r="BD168" s="286" t="n">
        <f aca="false">IFERROR(SUMIF($AB$4:$AM$4, "RDEC", AR168:BC168), "")</f>
        <v>0</v>
      </c>
      <c r="BE168" s="286" t="n">
        <f aca="false">IFERROR(SUMIF($AB$4:$AM$4, "SME", AR168:BC168), "")</f>
        <v>0</v>
      </c>
      <c r="BF168" s="286" t="n">
        <f aca="false">IFERROR(SUMIF($AB$4:$AM$4, "De Minimis", AR168:BC168), "")</f>
        <v>0</v>
      </c>
      <c r="BG168" s="287"/>
      <c r="BH168" s="288" t="str">
        <f aca="false">IF((SUM(O168:Z168)&gt;1),"ERROR","")</f>
        <v/>
      </c>
      <c r="BI168" s="287"/>
      <c r="BJ168" s="18" t="str">
        <f aca="false">IF(C154&gt;0, C154, "")</f>
        <v/>
      </c>
      <c r="BL168" s="200"/>
      <c r="BM168" s="200"/>
      <c r="BN168" s="200"/>
    </row>
    <row r="169" customFormat="false" ht="15" hidden="false" customHeight="true" outlineLevel="0" collapsed="false">
      <c r="B169" s="275"/>
      <c r="D169" s="276" t="n">
        <f aca="false">D153</f>
        <v>45323</v>
      </c>
      <c r="E169" s="277" t="n">
        <v>0</v>
      </c>
      <c r="F169" s="277" t="n">
        <v>0</v>
      </c>
      <c r="G169" s="277" t="n">
        <v>0</v>
      </c>
      <c r="H169" s="277" t="n">
        <v>0</v>
      </c>
      <c r="I169" s="277" t="n">
        <v>0</v>
      </c>
      <c r="J169" s="278" t="n">
        <f aca="false">E169+H169+I169</f>
        <v>0</v>
      </c>
      <c r="K169" s="204"/>
      <c r="L169" s="279" t="n">
        <v>1</v>
      </c>
      <c r="M169" s="280" t="n">
        <f aca="false">1-L169</f>
        <v>0</v>
      </c>
      <c r="N169" s="281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  <c r="AA169" s="283"/>
      <c r="AB169" s="284" t="n">
        <f aca="false">IFERROR(($J169*O169)*$L169, "")</f>
        <v>0</v>
      </c>
      <c r="AC169" s="284" t="n">
        <f aca="false">IFERROR(($J169*P169)*$L169, "")</f>
        <v>0</v>
      </c>
      <c r="AD169" s="284" t="n">
        <f aca="false">IFERROR(($J169*Q169)*$L169, "")</f>
        <v>0</v>
      </c>
      <c r="AE169" s="284" t="n">
        <f aca="false">IFERROR(($J169*R169)*$L169, "")</f>
        <v>0</v>
      </c>
      <c r="AF169" s="284" t="n">
        <f aca="false">IFERROR(($J169*S169)*$L169, "")</f>
        <v>0</v>
      </c>
      <c r="AG169" s="284" t="n">
        <f aca="false">IFERROR(($J169*T169)*$L169, "")</f>
        <v>0</v>
      </c>
      <c r="AH169" s="284" t="n">
        <f aca="false">IFERROR(($J169*U169)*$L169, "")</f>
        <v>0</v>
      </c>
      <c r="AI169" s="284" t="n">
        <f aca="false">IFERROR(($J169*V169)*$L169, "")</f>
        <v>0</v>
      </c>
      <c r="AJ169" s="284" t="n">
        <f aca="false">IFERROR(($J169*W169)*$L169, "")</f>
        <v>0</v>
      </c>
      <c r="AK169" s="284" t="n">
        <f aca="false">IFERROR(($J169*X169)*$L169, "")</f>
        <v>0</v>
      </c>
      <c r="AL169" s="284" t="n">
        <f aca="false">IFERROR(($J169*Y169)*$L169, "")</f>
        <v>0</v>
      </c>
      <c r="AM169" s="285" t="n">
        <f aca="false">IFERROR(($J169*Z169)*$L169, "")</f>
        <v>0</v>
      </c>
      <c r="AN169" s="286" t="n">
        <f aca="false">IFERROR(SUMIF($AB$4:$AM$4, "RDEC", AB169:AM169), "")</f>
        <v>0</v>
      </c>
      <c r="AO169" s="286" t="n">
        <f aca="false">IFERROR(SUMIF($AB$4:$AM$4, "SME", AB169:AM169), "")</f>
        <v>0</v>
      </c>
      <c r="AP169" s="286" t="n">
        <f aca="false">IFERROR(SUMIF($AB$4:$AM$4, "De Minimis", AB169:AM169), "")</f>
        <v>0</v>
      </c>
      <c r="AQ169" s="283"/>
      <c r="AR169" s="284" t="n">
        <f aca="false">IFERROR(($J169*O169)*$M169, "")</f>
        <v>0</v>
      </c>
      <c r="AS169" s="284" t="n">
        <f aca="false">IFERROR(($J169*P169)*$M169, "")</f>
        <v>0</v>
      </c>
      <c r="AT169" s="284" t="n">
        <f aca="false">IFERROR(($J169*Q169)*$M169, "")</f>
        <v>0</v>
      </c>
      <c r="AU169" s="284" t="n">
        <f aca="false">IFERROR(($J169*R169)*$M169, "")</f>
        <v>0</v>
      </c>
      <c r="AV169" s="284" t="n">
        <f aca="false">IFERROR(($J169*S169)*$M169, "")</f>
        <v>0</v>
      </c>
      <c r="AW169" s="284" t="n">
        <f aca="false">IFERROR(($J169*T169)*$M169, "")</f>
        <v>0</v>
      </c>
      <c r="AX169" s="284" t="n">
        <f aca="false">IFERROR(($J169*U169)*$M169, "")</f>
        <v>0</v>
      </c>
      <c r="AY169" s="284" t="n">
        <f aca="false">IFERROR(($J169*V169)*$M169, "")</f>
        <v>0</v>
      </c>
      <c r="AZ169" s="284" t="n">
        <f aca="false">IFERROR(($J169*W169)*$M169, "")</f>
        <v>0</v>
      </c>
      <c r="BA169" s="284" t="n">
        <f aca="false">IFERROR(($J169*X169)*$M169, "")</f>
        <v>0</v>
      </c>
      <c r="BB169" s="284" t="n">
        <f aca="false">IFERROR(($J169*Y169)*$M169, "")</f>
        <v>0</v>
      </c>
      <c r="BC169" s="285" t="n">
        <f aca="false">IFERROR(($J169*Z169)*$M169, "")</f>
        <v>0</v>
      </c>
      <c r="BD169" s="286" t="n">
        <f aca="false">IFERROR(SUMIF($AB$4:$AM$4, "RDEC", AR169:BC169), "")</f>
        <v>0</v>
      </c>
      <c r="BE169" s="286" t="n">
        <f aca="false">IFERROR(SUMIF($AB$4:$AM$4, "SME", AR169:BC169), "")</f>
        <v>0</v>
      </c>
      <c r="BF169" s="286" t="n">
        <f aca="false">IFERROR(SUMIF($AB$4:$AM$4, "De Minimis", AR169:BC169), "")</f>
        <v>0</v>
      </c>
      <c r="BG169" s="287"/>
      <c r="BH169" s="288" t="str">
        <f aca="false">IF((SUM(O169:Z169)&gt;1),"ERROR","")</f>
        <v/>
      </c>
      <c r="BI169" s="287"/>
      <c r="BJ169" s="18" t="str">
        <f aca="false">IF(C155&gt;0, C155, "")</f>
        <v/>
      </c>
      <c r="BL169" s="200"/>
      <c r="BM169" s="200"/>
      <c r="BN169" s="200"/>
    </row>
    <row r="170" customFormat="false" ht="15" hidden="false" customHeight="true" outlineLevel="0" collapsed="false">
      <c r="B170" s="275"/>
      <c r="D170" s="276" t="n">
        <f aca="false">D154</f>
        <v>45352</v>
      </c>
      <c r="E170" s="277" t="n">
        <v>0</v>
      </c>
      <c r="F170" s="277" t="n">
        <v>0</v>
      </c>
      <c r="G170" s="277" t="n">
        <v>0</v>
      </c>
      <c r="H170" s="277" t="n">
        <v>0</v>
      </c>
      <c r="I170" s="277" t="n">
        <v>0</v>
      </c>
      <c r="J170" s="278" t="n">
        <f aca="false">E170+H170+I170</f>
        <v>0</v>
      </c>
      <c r="K170" s="204"/>
      <c r="L170" s="279" t="n">
        <v>1</v>
      </c>
      <c r="M170" s="280" t="n">
        <f aca="false">1-L170</f>
        <v>0</v>
      </c>
      <c r="N170" s="281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  <c r="AA170" s="283"/>
      <c r="AB170" s="284" t="n">
        <f aca="false">IFERROR(($J170*O170)*$L170, "")</f>
        <v>0</v>
      </c>
      <c r="AC170" s="284" t="n">
        <f aca="false">IFERROR(($J170*P170)*$L170, "")</f>
        <v>0</v>
      </c>
      <c r="AD170" s="284" t="n">
        <f aca="false">IFERROR(($J170*Q170)*$L170, "")</f>
        <v>0</v>
      </c>
      <c r="AE170" s="284" t="n">
        <f aca="false">IFERROR(($J170*R170)*$L170, "")</f>
        <v>0</v>
      </c>
      <c r="AF170" s="284" t="n">
        <f aca="false">IFERROR(($J170*S170)*$L170, "")</f>
        <v>0</v>
      </c>
      <c r="AG170" s="284" t="n">
        <f aca="false">IFERROR(($J170*T170)*$L170, "")</f>
        <v>0</v>
      </c>
      <c r="AH170" s="284" t="n">
        <f aca="false">IFERROR(($J170*U170)*$L170, "")</f>
        <v>0</v>
      </c>
      <c r="AI170" s="284" t="n">
        <f aca="false">IFERROR(($J170*V170)*$L170, "")</f>
        <v>0</v>
      </c>
      <c r="AJ170" s="284" t="n">
        <f aca="false">IFERROR(($J170*W170)*$L170, "")</f>
        <v>0</v>
      </c>
      <c r="AK170" s="284" t="n">
        <f aca="false">IFERROR(($J170*X170)*$L170, "")</f>
        <v>0</v>
      </c>
      <c r="AL170" s="284" t="n">
        <f aca="false">IFERROR(($J170*Y170)*$L170, "")</f>
        <v>0</v>
      </c>
      <c r="AM170" s="285" t="n">
        <f aca="false">IFERROR(($J170*Z170)*$L170, "")</f>
        <v>0</v>
      </c>
      <c r="AN170" s="286" t="n">
        <f aca="false">IFERROR(SUMIF($AB$4:$AM$4, "RDEC", AB170:AM170), "")</f>
        <v>0</v>
      </c>
      <c r="AO170" s="286" t="n">
        <f aca="false">IFERROR(SUMIF($AB$4:$AM$4, "SME", AB170:AM170), "")</f>
        <v>0</v>
      </c>
      <c r="AP170" s="286" t="n">
        <f aca="false">IFERROR(SUMIF($AB$4:$AM$4, "De Minimis", AB170:AM170), "")</f>
        <v>0</v>
      </c>
      <c r="AQ170" s="283"/>
      <c r="AR170" s="284" t="n">
        <f aca="false">IFERROR(($J170*O170)*$M170, "")</f>
        <v>0</v>
      </c>
      <c r="AS170" s="284" t="n">
        <f aca="false">IFERROR(($J170*P170)*$M170, "")</f>
        <v>0</v>
      </c>
      <c r="AT170" s="284" t="n">
        <f aca="false">IFERROR(($J170*Q170)*$M170, "")</f>
        <v>0</v>
      </c>
      <c r="AU170" s="284" t="n">
        <f aca="false">IFERROR(($J170*R170)*$M170, "")</f>
        <v>0</v>
      </c>
      <c r="AV170" s="284" t="n">
        <f aca="false">IFERROR(($J170*S170)*$M170, "")</f>
        <v>0</v>
      </c>
      <c r="AW170" s="284" t="n">
        <f aca="false">IFERROR(($J170*T170)*$M170, "")</f>
        <v>0</v>
      </c>
      <c r="AX170" s="284" t="n">
        <f aca="false">IFERROR(($J170*U170)*$M170, "")</f>
        <v>0</v>
      </c>
      <c r="AY170" s="284" t="n">
        <f aca="false">IFERROR(($J170*V170)*$M170, "")</f>
        <v>0</v>
      </c>
      <c r="AZ170" s="284" t="n">
        <f aca="false">IFERROR(($J170*W170)*$M170, "")</f>
        <v>0</v>
      </c>
      <c r="BA170" s="284" t="n">
        <f aca="false">IFERROR(($J170*X170)*$M170, "")</f>
        <v>0</v>
      </c>
      <c r="BB170" s="284" t="n">
        <f aca="false">IFERROR(($J170*Y170)*$M170, "")</f>
        <v>0</v>
      </c>
      <c r="BC170" s="285" t="n">
        <f aca="false">IFERROR(($J170*Z170)*$M170, "")</f>
        <v>0</v>
      </c>
      <c r="BD170" s="286" t="n">
        <f aca="false">IFERROR(SUMIF($AB$4:$AM$4, "RDEC", AR170:BC170), "")</f>
        <v>0</v>
      </c>
      <c r="BE170" s="286" t="n">
        <f aca="false">IFERROR(SUMIF($AB$4:$AM$4, "SME", AR170:BC170), "")</f>
        <v>0</v>
      </c>
      <c r="BF170" s="286" t="n">
        <f aca="false">IFERROR(SUMIF($AB$4:$AM$4, "De Minimis", AR170:BC170), "")</f>
        <v>0</v>
      </c>
      <c r="BG170" s="287"/>
      <c r="BH170" s="288" t="str">
        <f aca="false">IF((SUM(O170:Z170)&gt;1),"ERROR","")</f>
        <v/>
      </c>
      <c r="BI170" s="287"/>
      <c r="BJ170" s="18" t="str">
        <f aca="false">IF(C156&gt;0, C156, "")</f>
        <v/>
      </c>
      <c r="BL170" s="200"/>
      <c r="BM170" s="200"/>
      <c r="BN170" s="200"/>
    </row>
    <row r="171" customFormat="false" ht="15" hidden="false" customHeight="true" outlineLevel="0" collapsed="false">
      <c r="B171" s="275"/>
      <c r="D171" s="276" t="n">
        <f aca="false">D155</f>
        <v>45383</v>
      </c>
      <c r="E171" s="277" t="n">
        <v>0</v>
      </c>
      <c r="F171" s="277" t="n">
        <v>0</v>
      </c>
      <c r="G171" s="277" t="n">
        <v>0</v>
      </c>
      <c r="H171" s="277" t="n">
        <v>0</v>
      </c>
      <c r="I171" s="277" t="n">
        <v>0</v>
      </c>
      <c r="J171" s="278" t="n">
        <f aca="false">E171+H171+I171</f>
        <v>0</v>
      </c>
      <c r="K171" s="204"/>
      <c r="L171" s="279" t="n">
        <v>1</v>
      </c>
      <c r="M171" s="280" t="n">
        <f aca="false">1-L171</f>
        <v>0</v>
      </c>
      <c r="N171" s="281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  <c r="AA171" s="283"/>
      <c r="AB171" s="284" t="n">
        <f aca="false">IFERROR(($J171*O171)*$L171, "")</f>
        <v>0</v>
      </c>
      <c r="AC171" s="284" t="n">
        <f aca="false">IFERROR(($J171*P171)*$L171, "")</f>
        <v>0</v>
      </c>
      <c r="AD171" s="284" t="n">
        <f aca="false">IFERROR(($J171*Q171)*$L171, "")</f>
        <v>0</v>
      </c>
      <c r="AE171" s="284" t="n">
        <f aca="false">IFERROR(($J171*R171)*$L171, "")</f>
        <v>0</v>
      </c>
      <c r="AF171" s="284" t="n">
        <f aca="false">IFERROR(($J171*S171)*$L171, "")</f>
        <v>0</v>
      </c>
      <c r="AG171" s="284" t="n">
        <f aca="false">IFERROR(($J171*T171)*$L171, "")</f>
        <v>0</v>
      </c>
      <c r="AH171" s="284" t="n">
        <f aca="false">IFERROR(($J171*U171)*$L171, "")</f>
        <v>0</v>
      </c>
      <c r="AI171" s="284" t="n">
        <f aca="false">IFERROR(($J171*V171)*$L171, "")</f>
        <v>0</v>
      </c>
      <c r="AJ171" s="284" t="n">
        <f aca="false">IFERROR(($J171*W171)*$L171, "")</f>
        <v>0</v>
      </c>
      <c r="AK171" s="284" t="n">
        <f aca="false">IFERROR(($J171*X171)*$L171, "")</f>
        <v>0</v>
      </c>
      <c r="AL171" s="284" t="n">
        <f aca="false">IFERROR(($J171*Y171)*$L171, "")</f>
        <v>0</v>
      </c>
      <c r="AM171" s="285" t="n">
        <f aca="false">IFERROR(($J171*Z171)*$L171, "")</f>
        <v>0</v>
      </c>
      <c r="AN171" s="286" t="n">
        <f aca="false">IFERROR(SUMIF($AB$4:$AM$4, "RDEC", AB171:AM171), "")</f>
        <v>0</v>
      </c>
      <c r="AO171" s="286" t="n">
        <f aca="false">IFERROR(SUMIF($AB$4:$AM$4, "SME", AB171:AM171), "")</f>
        <v>0</v>
      </c>
      <c r="AP171" s="286" t="n">
        <f aca="false">IFERROR(SUMIF($AB$4:$AM$4, "De Minimis", AB171:AM171), "")</f>
        <v>0</v>
      </c>
      <c r="AQ171" s="283"/>
      <c r="AR171" s="284" t="n">
        <f aca="false">IFERROR(($J171*O171)*$M171, "")</f>
        <v>0</v>
      </c>
      <c r="AS171" s="284" t="n">
        <f aca="false">IFERROR(($J171*P171)*$M171, "")</f>
        <v>0</v>
      </c>
      <c r="AT171" s="284" t="n">
        <f aca="false">IFERROR(($J171*Q171)*$M171, "")</f>
        <v>0</v>
      </c>
      <c r="AU171" s="284" t="n">
        <f aca="false">IFERROR(($J171*R171)*$M171, "")</f>
        <v>0</v>
      </c>
      <c r="AV171" s="284" t="n">
        <f aca="false">IFERROR(($J171*S171)*$M171, "")</f>
        <v>0</v>
      </c>
      <c r="AW171" s="284" t="n">
        <f aca="false">IFERROR(($J171*T171)*$M171, "")</f>
        <v>0</v>
      </c>
      <c r="AX171" s="284" t="n">
        <f aca="false">IFERROR(($J171*U171)*$M171, "")</f>
        <v>0</v>
      </c>
      <c r="AY171" s="284" t="n">
        <f aca="false">IFERROR(($J171*V171)*$M171, "")</f>
        <v>0</v>
      </c>
      <c r="AZ171" s="284" t="n">
        <f aca="false">IFERROR(($J171*W171)*$M171, "")</f>
        <v>0</v>
      </c>
      <c r="BA171" s="284" t="n">
        <f aca="false">IFERROR(($J171*X171)*$M171, "")</f>
        <v>0</v>
      </c>
      <c r="BB171" s="284" t="n">
        <f aca="false">IFERROR(($J171*Y171)*$M171, "")</f>
        <v>0</v>
      </c>
      <c r="BC171" s="285" t="n">
        <f aca="false">IFERROR(($J171*Z171)*$M171, "")</f>
        <v>0</v>
      </c>
      <c r="BD171" s="286" t="n">
        <f aca="false">IFERROR(SUMIF($AB$4:$AM$4, "RDEC", AR171:BC171), "")</f>
        <v>0</v>
      </c>
      <c r="BE171" s="286" t="n">
        <f aca="false">IFERROR(SUMIF($AB$4:$AM$4, "SME", AR171:BC171), "")</f>
        <v>0</v>
      </c>
      <c r="BF171" s="286" t="n">
        <f aca="false">IFERROR(SUMIF($AB$4:$AM$4, "De Minimis", AR171:BC171), "")</f>
        <v>0</v>
      </c>
      <c r="BG171" s="287"/>
      <c r="BH171" s="288" t="str">
        <f aca="false">IF((SUM(O171:Z171)&gt;1),"ERROR","")</f>
        <v/>
      </c>
      <c r="BI171" s="287"/>
      <c r="BJ171" s="18" t="str">
        <f aca="false">IF(C157&gt;0, C157, "")</f>
        <v/>
      </c>
      <c r="BL171" s="200"/>
      <c r="BM171" s="200"/>
      <c r="BN171" s="200"/>
    </row>
    <row r="172" customFormat="false" ht="15" hidden="false" customHeight="true" outlineLevel="0" collapsed="false">
      <c r="B172" s="275"/>
      <c r="D172" s="276" t="n">
        <f aca="false">D156</f>
        <v>45413</v>
      </c>
      <c r="E172" s="277" t="n">
        <v>0</v>
      </c>
      <c r="F172" s="277" t="n">
        <v>0</v>
      </c>
      <c r="G172" s="277" t="n">
        <v>0</v>
      </c>
      <c r="H172" s="277" t="n">
        <v>0</v>
      </c>
      <c r="I172" s="277" t="n">
        <v>0</v>
      </c>
      <c r="J172" s="278" t="n">
        <f aca="false">E172+H172+I172</f>
        <v>0</v>
      </c>
      <c r="K172" s="204"/>
      <c r="L172" s="279" t="n">
        <v>1</v>
      </c>
      <c r="M172" s="280" t="n">
        <f aca="false">1-L172</f>
        <v>0</v>
      </c>
      <c r="N172" s="281"/>
      <c r="O172" s="282"/>
      <c r="P172" s="282"/>
      <c r="Q172" s="282"/>
      <c r="R172" s="282"/>
      <c r="S172" s="282"/>
      <c r="T172" s="282"/>
      <c r="U172" s="282"/>
      <c r="V172" s="282"/>
      <c r="W172" s="282"/>
      <c r="X172" s="282"/>
      <c r="Y172" s="282"/>
      <c r="Z172" s="282"/>
      <c r="AA172" s="283"/>
      <c r="AB172" s="284" t="n">
        <f aca="false">IFERROR(($J172*O172)*$L172, "")</f>
        <v>0</v>
      </c>
      <c r="AC172" s="284" t="n">
        <f aca="false">IFERROR(($J172*P172)*$L172, "")</f>
        <v>0</v>
      </c>
      <c r="AD172" s="284" t="n">
        <f aca="false">IFERROR(($J172*Q172)*$L172, "")</f>
        <v>0</v>
      </c>
      <c r="AE172" s="284" t="n">
        <f aca="false">IFERROR(($J172*R172)*$L172, "")</f>
        <v>0</v>
      </c>
      <c r="AF172" s="284" t="n">
        <f aca="false">IFERROR(($J172*S172)*$L172, "")</f>
        <v>0</v>
      </c>
      <c r="AG172" s="284" t="n">
        <f aca="false">IFERROR(($J172*T172)*$L172, "")</f>
        <v>0</v>
      </c>
      <c r="AH172" s="284" t="n">
        <f aca="false">IFERROR(($J172*U172)*$L172, "")</f>
        <v>0</v>
      </c>
      <c r="AI172" s="284" t="n">
        <f aca="false">IFERROR(($J172*V172)*$L172, "")</f>
        <v>0</v>
      </c>
      <c r="AJ172" s="284" t="n">
        <f aca="false">IFERROR(($J172*W172)*$L172, "")</f>
        <v>0</v>
      </c>
      <c r="AK172" s="284" t="n">
        <f aca="false">IFERROR(($J172*X172)*$L172, "")</f>
        <v>0</v>
      </c>
      <c r="AL172" s="284" t="n">
        <f aca="false">IFERROR(($J172*Y172)*$L172, "")</f>
        <v>0</v>
      </c>
      <c r="AM172" s="285" t="n">
        <f aca="false">IFERROR(($J172*Z172)*$L172, "")</f>
        <v>0</v>
      </c>
      <c r="AN172" s="286" t="n">
        <f aca="false">IFERROR(SUMIF($AB$4:$AM$4, "RDEC", AB172:AM172), "")</f>
        <v>0</v>
      </c>
      <c r="AO172" s="286" t="n">
        <f aca="false">IFERROR(SUMIF($AB$4:$AM$4, "SME", AB172:AM172), "")</f>
        <v>0</v>
      </c>
      <c r="AP172" s="286" t="n">
        <f aca="false">IFERROR(SUMIF($AB$4:$AM$4, "De Minimis", AB172:AM172), "")</f>
        <v>0</v>
      </c>
      <c r="AQ172" s="283"/>
      <c r="AR172" s="284" t="n">
        <f aca="false">IFERROR(($J172*O172)*$M172, "")</f>
        <v>0</v>
      </c>
      <c r="AS172" s="284" t="n">
        <f aca="false">IFERROR(($J172*P172)*$M172, "")</f>
        <v>0</v>
      </c>
      <c r="AT172" s="284" t="n">
        <f aca="false">IFERROR(($J172*Q172)*$M172, "")</f>
        <v>0</v>
      </c>
      <c r="AU172" s="284" t="n">
        <f aca="false">IFERROR(($J172*R172)*$M172, "")</f>
        <v>0</v>
      </c>
      <c r="AV172" s="284" t="n">
        <f aca="false">IFERROR(($J172*S172)*$M172, "")</f>
        <v>0</v>
      </c>
      <c r="AW172" s="284" t="n">
        <f aca="false">IFERROR(($J172*T172)*$M172, "")</f>
        <v>0</v>
      </c>
      <c r="AX172" s="284" t="n">
        <f aca="false">IFERROR(($J172*U172)*$M172, "")</f>
        <v>0</v>
      </c>
      <c r="AY172" s="284" t="n">
        <f aca="false">IFERROR(($J172*V172)*$M172, "")</f>
        <v>0</v>
      </c>
      <c r="AZ172" s="284" t="n">
        <f aca="false">IFERROR(($J172*W172)*$M172, "")</f>
        <v>0</v>
      </c>
      <c r="BA172" s="284" t="n">
        <f aca="false">IFERROR(($J172*X172)*$M172, "")</f>
        <v>0</v>
      </c>
      <c r="BB172" s="284" t="n">
        <f aca="false">IFERROR(($J172*Y172)*$M172, "")</f>
        <v>0</v>
      </c>
      <c r="BC172" s="285" t="n">
        <f aca="false">IFERROR(($J172*Z172)*$M172, "")</f>
        <v>0</v>
      </c>
      <c r="BD172" s="286" t="n">
        <f aca="false">IFERROR(SUMIF($AB$4:$AM$4, "RDEC", AR172:BC172), "")</f>
        <v>0</v>
      </c>
      <c r="BE172" s="286" t="n">
        <f aca="false">IFERROR(SUMIF($AB$4:$AM$4, "SME", AR172:BC172), "")</f>
        <v>0</v>
      </c>
      <c r="BF172" s="286" t="n">
        <f aca="false">IFERROR(SUMIF($AB$4:$AM$4, "De Minimis", AR172:BC172), "")</f>
        <v>0</v>
      </c>
      <c r="BG172" s="287"/>
      <c r="BH172" s="288" t="str">
        <f aca="false">IF((SUM(O172:Z172)&gt;1),"ERROR","")</f>
        <v/>
      </c>
      <c r="BI172" s="287"/>
      <c r="BJ172" s="18" t="str">
        <f aca="false">IF(C158&gt;0, C158, "")</f>
        <v/>
      </c>
      <c r="BL172" s="200"/>
      <c r="BM172" s="200"/>
      <c r="BN172" s="200"/>
    </row>
    <row r="173" customFormat="false" ht="15" hidden="false" customHeight="true" outlineLevel="0" collapsed="false">
      <c r="B173" s="275"/>
      <c r="D173" s="276" t="n">
        <f aca="false">D157</f>
        <v>45444</v>
      </c>
      <c r="E173" s="277" t="n">
        <v>0</v>
      </c>
      <c r="F173" s="277" t="n">
        <v>0</v>
      </c>
      <c r="G173" s="277" t="n">
        <v>0</v>
      </c>
      <c r="H173" s="277" t="n">
        <v>0</v>
      </c>
      <c r="I173" s="277" t="n">
        <v>0</v>
      </c>
      <c r="J173" s="278" t="n">
        <f aca="false">E173+H173+I173</f>
        <v>0</v>
      </c>
      <c r="K173" s="204"/>
      <c r="L173" s="279" t="n">
        <v>1</v>
      </c>
      <c r="M173" s="280" t="n">
        <f aca="false">1-L173</f>
        <v>0</v>
      </c>
      <c r="N173" s="281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83"/>
      <c r="AB173" s="284" t="n">
        <f aca="false">IFERROR(($J173*O173)*$L173, "")</f>
        <v>0</v>
      </c>
      <c r="AC173" s="284" t="n">
        <f aca="false">IFERROR(($J173*P173)*$L173, "")</f>
        <v>0</v>
      </c>
      <c r="AD173" s="284" t="n">
        <f aca="false">IFERROR(($J173*Q173)*$L173, "")</f>
        <v>0</v>
      </c>
      <c r="AE173" s="284" t="n">
        <f aca="false">IFERROR(($J173*R173)*$L173, "")</f>
        <v>0</v>
      </c>
      <c r="AF173" s="284" t="n">
        <f aca="false">IFERROR(($J173*S173)*$L173, "")</f>
        <v>0</v>
      </c>
      <c r="AG173" s="284" t="n">
        <f aca="false">IFERROR(($J173*T173)*$L173, "")</f>
        <v>0</v>
      </c>
      <c r="AH173" s="284" t="n">
        <f aca="false">IFERROR(($J173*U173)*$L173, "")</f>
        <v>0</v>
      </c>
      <c r="AI173" s="284" t="n">
        <f aca="false">IFERROR(($J173*V173)*$L173, "")</f>
        <v>0</v>
      </c>
      <c r="AJ173" s="284" t="n">
        <f aca="false">IFERROR(($J173*W173)*$L173, "")</f>
        <v>0</v>
      </c>
      <c r="AK173" s="284" t="n">
        <f aca="false">IFERROR(($J173*X173)*$L173, "")</f>
        <v>0</v>
      </c>
      <c r="AL173" s="284" t="n">
        <f aca="false">IFERROR(($J173*Y173)*$L173, "")</f>
        <v>0</v>
      </c>
      <c r="AM173" s="285" t="n">
        <f aca="false">IFERROR(($J173*Z173)*$L173, "")</f>
        <v>0</v>
      </c>
      <c r="AN173" s="286" t="n">
        <f aca="false">IFERROR(SUMIF($AB$4:$AM$4, "RDEC", AB173:AM173), "")</f>
        <v>0</v>
      </c>
      <c r="AO173" s="286" t="n">
        <f aca="false">IFERROR(SUMIF($AB$4:$AM$4, "SME", AB173:AM173), "")</f>
        <v>0</v>
      </c>
      <c r="AP173" s="286" t="n">
        <f aca="false">IFERROR(SUMIF($AB$4:$AM$4, "De Minimis", AB173:AM173), "")</f>
        <v>0</v>
      </c>
      <c r="AQ173" s="283"/>
      <c r="AR173" s="284" t="n">
        <f aca="false">IFERROR(($J173*O173)*$M173, "")</f>
        <v>0</v>
      </c>
      <c r="AS173" s="284" t="n">
        <f aca="false">IFERROR(($J173*P173)*$M173, "")</f>
        <v>0</v>
      </c>
      <c r="AT173" s="284" t="n">
        <f aca="false">IFERROR(($J173*Q173)*$M173, "")</f>
        <v>0</v>
      </c>
      <c r="AU173" s="284" t="n">
        <f aca="false">IFERROR(($J173*R173)*$M173, "")</f>
        <v>0</v>
      </c>
      <c r="AV173" s="284" t="n">
        <f aca="false">IFERROR(($J173*S173)*$M173, "")</f>
        <v>0</v>
      </c>
      <c r="AW173" s="284" t="n">
        <f aca="false">IFERROR(($J173*T173)*$M173, "")</f>
        <v>0</v>
      </c>
      <c r="AX173" s="284" t="n">
        <f aca="false">IFERROR(($J173*U173)*$M173, "")</f>
        <v>0</v>
      </c>
      <c r="AY173" s="284" t="n">
        <f aca="false">IFERROR(($J173*V173)*$M173, "")</f>
        <v>0</v>
      </c>
      <c r="AZ173" s="284" t="n">
        <f aca="false">IFERROR(($J173*W173)*$M173, "")</f>
        <v>0</v>
      </c>
      <c r="BA173" s="284" t="n">
        <f aca="false">IFERROR(($J173*X173)*$M173, "")</f>
        <v>0</v>
      </c>
      <c r="BB173" s="284" t="n">
        <f aca="false">IFERROR(($J173*Y173)*$M173, "")</f>
        <v>0</v>
      </c>
      <c r="BC173" s="285" t="n">
        <f aca="false">IFERROR(($J173*Z173)*$M173, "")</f>
        <v>0</v>
      </c>
      <c r="BD173" s="286" t="n">
        <f aca="false">IFERROR(SUMIF($AB$4:$AM$4, "RDEC", AR173:BC173), "")</f>
        <v>0</v>
      </c>
      <c r="BE173" s="286" t="n">
        <f aca="false">IFERROR(SUMIF($AB$4:$AM$4, "SME", AR173:BC173), "")</f>
        <v>0</v>
      </c>
      <c r="BF173" s="286" t="n">
        <f aca="false">IFERROR(SUMIF($AB$4:$AM$4, "De Minimis", AR173:BC173), "")</f>
        <v>0</v>
      </c>
      <c r="BG173" s="287"/>
      <c r="BH173" s="288" t="str">
        <f aca="false">IF((SUM(O173:Z173)&gt;1),"ERROR","")</f>
        <v/>
      </c>
      <c r="BI173" s="287"/>
      <c r="BJ173" s="18" t="str">
        <f aca="false">IF(C159&gt;0, C159, "")</f>
        <v/>
      </c>
      <c r="BL173" s="200"/>
      <c r="BM173" s="200"/>
      <c r="BN173" s="200"/>
    </row>
    <row r="174" customFormat="false" ht="15" hidden="false" customHeight="true" outlineLevel="0" collapsed="false">
      <c r="B174" s="275"/>
      <c r="D174" s="276" t="n">
        <f aca="false">D158</f>
        <v>45474</v>
      </c>
      <c r="E174" s="277" t="n">
        <v>0</v>
      </c>
      <c r="F174" s="277" t="n">
        <v>0</v>
      </c>
      <c r="G174" s="277" t="n">
        <v>0</v>
      </c>
      <c r="H174" s="277" t="n">
        <v>0</v>
      </c>
      <c r="I174" s="277" t="n">
        <v>0</v>
      </c>
      <c r="J174" s="278" t="n">
        <f aca="false">E174+H174+I174</f>
        <v>0</v>
      </c>
      <c r="K174" s="204"/>
      <c r="L174" s="279" t="n">
        <v>1</v>
      </c>
      <c r="M174" s="280" t="n">
        <f aca="false">1-L174</f>
        <v>0</v>
      </c>
      <c r="N174" s="281"/>
      <c r="O174" s="282"/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  <c r="AA174" s="283"/>
      <c r="AB174" s="284" t="n">
        <f aca="false">IFERROR(($J174*O174)*$L174, "")</f>
        <v>0</v>
      </c>
      <c r="AC174" s="284" t="n">
        <f aca="false">IFERROR(($J174*P174)*$L174, "")</f>
        <v>0</v>
      </c>
      <c r="AD174" s="284" t="n">
        <f aca="false">IFERROR(($J174*Q174)*$L174, "")</f>
        <v>0</v>
      </c>
      <c r="AE174" s="284" t="n">
        <f aca="false">IFERROR(($J174*R174)*$L174, "")</f>
        <v>0</v>
      </c>
      <c r="AF174" s="284" t="n">
        <f aca="false">IFERROR(($J174*S174)*$L174, "")</f>
        <v>0</v>
      </c>
      <c r="AG174" s="284" t="n">
        <f aca="false">IFERROR(($J174*T174)*$L174, "")</f>
        <v>0</v>
      </c>
      <c r="AH174" s="284" t="n">
        <f aca="false">IFERROR(($J174*U174)*$L174, "")</f>
        <v>0</v>
      </c>
      <c r="AI174" s="284" t="n">
        <f aca="false">IFERROR(($J174*V174)*$L174, "")</f>
        <v>0</v>
      </c>
      <c r="AJ174" s="284" t="n">
        <f aca="false">IFERROR(($J174*W174)*$L174, "")</f>
        <v>0</v>
      </c>
      <c r="AK174" s="284" t="n">
        <f aca="false">IFERROR(($J174*X174)*$L174, "")</f>
        <v>0</v>
      </c>
      <c r="AL174" s="284" t="n">
        <f aca="false">IFERROR(($J174*Y174)*$L174, "")</f>
        <v>0</v>
      </c>
      <c r="AM174" s="285" t="n">
        <f aca="false">IFERROR(($J174*Z174)*$L174, "")</f>
        <v>0</v>
      </c>
      <c r="AN174" s="286" t="n">
        <f aca="false">IFERROR(SUMIF($AB$4:$AM$4, "RDEC", AB174:AM174), "")</f>
        <v>0</v>
      </c>
      <c r="AO174" s="286" t="n">
        <f aca="false">IFERROR(SUMIF($AB$4:$AM$4, "SME", AB174:AM174), "")</f>
        <v>0</v>
      </c>
      <c r="AP174" s="286" t="n">
        <f aca="false">IFERROR(SUMIF($AB$4:$AM$4, "De Minimis", AB174:AM174), "")</f>
        <v>0</v>
      </c>
      <c r="AQ174" s="283"/>
      <c r="AR174" s="284" t="n">
        <f aca="false">IFERROR(($J174*O174)*$M174, "")</f>
        <v>0</v>
      </c>
      <c r="AS174" s="284" t="n">
        <f aca="false">IFERROR(($J174*P174)*$M174, "")</f>
        <v>0</v>
      </c>
      <c r="AT174" s="284" t="n">
        <f aca="false">IFERROR(($J174*Q174)*$M174, "")</f>
        <v>0</v>
      </c>
      <c r="AU174" s="284" t="n">
        <f aca="false">IFERROR(($J174*R174)*$M174, "")</f>
        <v>0</v>
      </c>
      <c r="AV174" s="284" t="n">
        <f aca="false">IFERROR(($J174*S174)*$M174, "")</f>
        <v>0</v>
      </c>
      <c r="AW174" s="284" t="n">
        <f aca="false">IFERROR(($J174*T174)*$M174, "")</f>
        <v>0</v>
      </c>
      <c r="AX174" s="284" t="n">
        <f aca="false">IFERROR(($J174*U174)*$M174, "")</f>
        <v>0</v>
      </c>
      <c r="AY174" s="284" t="n">
        <f aca="false">IFERROR(($J174*V174)*$M174, "")</f>
        <v>0</v>
      </c>
      <c r="AZ174" s="284" t="n">
        <f aca="false">IFERROR(($J174*W174)*$M174, "")</f>
        <v>0</v>
      </c>
      <c r="BA174" s="284" t="n">
        <f aca="false">IFERROR(($J174*X174)*$M174, "")</f>
        <v>0</v>
      </c>
      <c r="BB174" s="284" t="n">
        <f aca="false">IFERROR(($J174*Y174)*$M174, "")</f>
        <v>0</v>
      </c>
      <c r="BC174" s="285" t="n">
        <f aca="false">IFERROR(($J174*Z174)*$M174, "")</f>
        <v>0</v>
      </c>
      <c r="BD174" s="286" t="n">
        <f aca="false">IFERROR(SUMIF($AB$4:$AM$4, "RDEC", AR174:BC174), "")</f>
        <v>0</v>
      </c>
      <c r="BE174" s="286" t="n">
        <f aca="false">IFERROR(SUMIF($AB$4:$AM$4, "SME", AR174:BC174), "")</f>
        <v>0</v>
      </c>
      <c r="BF174" s="286" t="n">
        <f aca="false">IFERROR(SUMIF($AB$4:$AM$4, "De Minimis", AR174:BC174), "")</f>
        <v>0</v>
      </c>
      <c r="BG174" s="287"/>
      <c r="BH174" s="288" t="str">
        <f aca="false">IF((SUM(O174:Z174)&gt;1),"ERROR","")</f>
        <v/>
      </c>
      <c r="BI174" s="287"/>
      <c r="BJ174" s="18" t="str">
        <f aca="false">IF(C160&gt;0, C160, "")</f>
        <v/>
      </c>
      <c r="BL174" s="200"/>
      <c r="BM174" s="200"/>
      <c r="BN174" s="200"/>
    </row>
    <row r="175" customFormat="false" ht="15" hidden="false" customHeight="true" outlineLevel="0" collapsed="false">
      <c r="B175" s="275"/>
      <c r="D175" s="276" t="n">
        <f aca="false">D159</f>
        <v>45505</v>
      </c>
      <c r="E175" s="277" t="n">
        <v>0</v>
      </c>
      <c r="F175" s="277" t="n">
        <v>0</v>
      </c>
      <c r="G175" s="277" t="n">
        <v>0</v>
      </c>
      <c r="H175" s="277" t="n">
        <v>0</v>
      </c>
      <c r="I175" s="277" t="n">
        <v>0</v>
      </c>
      <c r="J175" s="278" t="n">
        <f aca="false">E175+H175+I175</f>
        <v>0</v>
      </c>
      <c r="K175" s="204"/>
      <c r="L175" s="279" t="n">
        <v>1</v>
      </c>
      <c r="M175" s="280" t="n">
        <f aca="false">1-L175</f>
        <v>0</v>
      </c>
      <c r="N175" s="281"/>
      <c r="O175" s="282"/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  <c r="AA175" s="283"/>
      <c r="AB175" s="284" t="n">
        <f aca="false">IFERROR(($J175*O175)*$L175, "")</f>
        <v>0</v>
      </c>
      <c r="AC175" s="284" t="n">
        <f aca="false">IFERROR(($J175*P175)*$L175, "")</f>
        <v>0</v>
      </c>
      <c r="AD175" s="284" t="n">
        <f aca="false">IFERROR(($J175*Q175)*$L175, "")</f>
        <v>0</v>
      </c>
      <c r="AE175" s="284" t="n">
        <f aca="false">IFERROR(($J175*R175)*$L175, "")</f>
        <v>0</v>
      </c>
      <c r="AF175" s="284" t="n">
        <f aca="false">IFERROR(($J175*S175)*$L175, "")</f>
        <v>0</v>
      </c>
      <c r="AG175" s="284" t="n">
        <f aca="false">IFERROR(($J175*T175)*$L175, "")</f>
        <v>0</v>
      </c>
      <c r="AH175" s="284" t="n">
        <f aca="false">IFERROR(($J175*U175)*$L175, "")</f>
        <v>0</v>
      </c>
      <c r="AI175" s="284" t="n">
        <f aca="false">IFERROR(($J175*V175)*$L175, "")</f>
        <v>0</v>
      </c>
      <c r="AJ175" s="284" t="n">
        <f aca="false">IFERROR(($J175*W175)*$L175, "")</f>
        <v>0</v>
      </c>
      <c r="AK175" s="284" t="n">
        <f aca="false">IFERROR(($J175*X175)*$L175, "")</f>
        <v>0</v>
      </c>
      <c r="AL175" s="284" t="n">
        <f aca="false">IFERROR(($J175*Y175)*$L175, "")</f>
        <v>0</v>
      </c>
      <c r="AM175" s="285" t="n">
        <f aca="false">IFERROR(($J175*Z175)*$L175, "")</f>
        <v>0</v>
      </c>
      <c r="AN175" s="286" t="n">
        <f aca="false">IFERROR(SUMIF($AB$4:$AM$4, "RDEC", AB175:AM175), "")</f>
        <v>0</v>
      </c>
      <c r="AO175" s="286" t="n">
        <f aca="false">IFERROR(SUMIF($AB$4:$AM$4, "SME", AB175:AM175), "")</f>
        <v>0</v>
      </c>
      <c r="AP175" s="286" t="n">
        <f aca="false">IFERROR(SUMIF($AB$4:$AM$4, "De Minimis", AB175:AM175), "")</f>
        <v>0</v>
      </c>
      <c r="AQ175" s="283"/>
      <c r="AR175" s="284" t="n">
        <f aca="false">IFERROR(($J175*O175)*$M175, "")</f>
        <v>0</v>
      </c>
      <c r="AS175" s="284" t="n">
        <f aca="false">IFERROR(($J175*P175)*$M175, "")</f>
        <v>0</v>
      </c>
      <c r="AT175" s="284" t="n">
        <f aca="false">IFERROR(($J175*Q175)*$M175, "")</f>
        <v>0</v>
      </c>
      <c r="AU175" s="284" t="n">
        <f aca="false">IFERROR(($J175*R175)*$M175, "")</f>
        <v>0</v>
      </c>
      <c r="AV175" s="284" t="n">
        <f aca="false">IFERROR(($J175*S175)*$M175, "")</f>
        <v>0</v>
      </c>
      <c r="AW175" s="284" t="n">
        <f aca="false">IFERROR(($J175*T175)*$M175, "")</f>
        <v>0</v>
      </c>
      <c r="AX175" s="284" t="n">
        <f aca="false">IFERROR(($J175*U175)*$M175, "")</f>
        <v>0</v>
      </c>
      <c r="AY175" s="284" t="n">
        <f aca="false">IFERROR(($J175*V175)*$M175, "")</f>
        <v>0</v>
      </c>
      <c r="AZ175" s="284" t="n">
        <f aca="false">IFERROR(($J175*W175)*$M175, "")</f>
        <v>0</v>
      </c>
      <c r="BA175" s="284" t="n">
        <f aca="false">IFERROR(($J175*X175)*$M175, "")</f>
        <v>0</v>
      </c>
      <c r="BB175" s="284" t="n">
        <f aca="false">IFERROR(($J175*Y175)*$M175, "")</f>
        <v>0</v>
      </c>
      <c r="BC175" s="285" t="n">
        <f aca="false">IFERROR(($J175*Z175)*$M175, "")</f>
        <v>0</v>
      </c>
      <c r="BD175" s="286" t="n">
        <f aca="false">IFERROR(SUMIF($AB$4:$AM$4, "RDEC", AR175:BC175), "")</f>
        <v>0</v>
      </c>
      <c r="BE175" s="286" t="n">
        <f aca="false">IFERROR(SUMIF($AB$4:$AM$4, "SME", AR175:BC175), "")</f>
        <v>0</v>
      </c>
      <c r="BF175" s="286" t="n">
        <f aca="false">IFERROR(SUMIF($AB$4:$AM$4, "De Minimis", AR175:BC175), "")</f>
        <v>0</v>
      </c>
      <c r="BG175" s="287"/>
      <c r="BH175" s="288" t="str">
        <f aca="false">IF((SUM(O175:Z175)&gt;1),"ERROR","")</f>
        <v/>
      </c>
      <c r="BI175" s="287"/>
      <c r="BJ175" s="18" t="str">
        <f aca="false">IF(C161&gt;0, C161, "")</f>
        <v/>
      </c>
      <c r="BL175" s="200"/>
      <c r="BM175" s="200"/>
      <c r="BN175" s="200"/>
    </row>
    <row r="176" customFormat="false" ht="15" hidden="false" customHeight="true" outlineLevel="0" collapsed="false">
      <c r="B176" s="275"/>
      <c r="D176" s="276" t="n">
        <f aca="false">D160</f>
        <v>45536</v>
      </c>
      <c r="E176" s="277" t="n">
        <v>0</v>
      </c>
      <c r="F176" s="277" t="n">
        <v>0</v>
      </c>
      <c r="G176" s="277" t="n">
        <v>0</v>
      </c>
      <c r="H176" s="277" t="n">
        <v>0</v>
      </c>
      <c r="I176" s="277" t="n">
        <v>0</v>
      </c>
      <c r="J176" s="278" t="n">
        <f aca="false">E176+H176+I176</f>
        <v>0</v>
      </c>
      <c r="K176" s="204"/>
      <c r="L176" s="279" t="n">
        <v>1</v>
      </c>
      <c r="M176" s="280" t="n">
        <f aca="false">1-L176</f>
        <v>0</v>
      </c>
      <c r="N176" s="281"/>
      <c r="O176" s="282"/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  <c r="AA176" s="283"/>
      <c r="AB176" s="284" t="n">
        <f aca="false">IFERROR(($J176*O176)*$L176, "")</f>
        <v>0</v>
      </c>
      <c r="AC176" s="284" t="n">
        <f aca="false">IFERROR(($J176*P176)*$L176, "")</f>
        <v>0</v>
      </c>
      <c r="AD176" s="284" t="n">
        <f aca="false">IFERROR(($J176*Q176)*$L176, "")</f>
        <v>0</v>
      </c>
      <c r="AE176" s="284" t="n">
        <f aca="false">IFERROR(($J176*R176)*$L176, "")</f>
        <v>0</v>
      </c>
      <c r="AF176" s="284" t="n">
        <f aca="false">IFERROR(($J176*S176)*$L176, "")</f>
        <v>0</v>
      </c>
      <c r="AG176" s="284" t="n">
        <f aca="false">IFERROR(($J176*T176)*$L176, "")</f>
        <v>0</v>
      </c>
      <c r="AH176" s="284" t="n">
        <f aca="false">IFERROR(($J176*U176)*$L176, "")</f>
        <v>0</v>
      </c>
      <c r="AI176" s="284" t="n">
        <f aca="false">IFERROR(($J176*V176)*$L176, "")</f>
        <v>0</v>
      </c>
      <c r="AJ176" s="284" t="n">
        <f aca="false">IFERROR(($J176*W176)*$L176, "")</f>
        <v>0</v>
      </c>
      <c r="AK176" s="284" t="n">
        <f aca="false">IFERROR(($J176*X176)*$L176, "")</f>
        <v>0</v>
      </c>
      <c r="AL176" s="284" t="n">
        <f aca="false">IFERROR(($J176*Y176)*$L176, "")</f>
        <v>0</v>
      </c>
      <c r="AM176" s="285" t="n">
        <f aca="false">IFERROR(($J176*Z176)*$L176, "")</f>
        <v>0</v>
      </c>
      <c r="AN176" s="286" t="n">
        <f aca="false">IFERROR(SUMIF($AB$4:$AM$4, "RDEC", AB176:AM176), "")</f>
        <v>0</v>
      </c>
      <c r="AO176" s="286" t="n">
        <f aca="false">IFERROR(SUMIF($AB$4:$AM$4, "SME", AB176:AM176), "")</f>
        <v>0</v>
      </c>
      <c r="AP176" s="286" t="n">
        <f aca="false">IFERROR(SUMIF($AB$4:$AM$4, "De Minimis", AB176:AM176), "")</f>
        <v>0</v>
      </c>
      <c r="AQ176" s="283"/>
      <c r="AR176" s="284" t="n">
        <f aca="false">IFERROR(($J176*O176)*$M176, "")</f>
        <v>0</v>
      </c>
      <c r="AS176" s="284" t="n">
        <f aca="false">IFERROR(($J176*P176)*$M176, "")</f>
        <v>0</v>
      </c>
      <c r="AT176" s="284" t="n">
        <f aca="false">IFERROR(($J176*Q176)*$M176, "")</f>
        <v>0</v>
      </c>
      <c r="AU176" s="284" t="n">
        <f aca="false">IFERROR(($J176*R176)*$M176, "")</f>
        <v>0</v>
      </c>
      <c r="AV176" s="284" t="n">
        <f aca="false">IFERROR(($J176*S176)*$M176, "")</f>
        <v>0</v>
      </c>
      <c r="AW176" s="284" t="n">
        <f aca="false">IFERROR(($J176*T176)*$M176, "")</f>
        <v>0</v>
      </c>
      <c r="AX176" s="284" t="n">
        <f aca="false">IFERROR(($J176*U176)*$M176, "")</f>
        <v>0</v>
      </c>
      <c r="AY176" s="284" t="n">
        <f aca="false">IFERROR(($J176*V176)*$M176, "")</f>
        <v>0</v>
      </c>
      <c r="AZ176" s="284" t="n">
        <f aca="false">IFERROR(($J176*W176)*$M176, "")</f>
        <v>0</v>
      </c>
      <c r="BA176" s="284" t="n">
        <f aca="false">IFERROR(($J176*X176)*$M176, "")</f>
        <v>0</v>
      </c>
      <c r="BB176" s="284" t="n">
        <f aca="false">IFERROR(($J176*Y176)*$M176, "")</f>
        <v>0</v>
      </c>
      <c r="BC176" s="285" t="n">
        <f aca="false">IFERROR(($J176*Z176)*$M176, "")</f>
        <v>0</v>
      </c>
      <c r="BD176" s="286" t="n">
        <f aca="false">IFERROR(SUMIF($AB$4:$AM$4, "RDEC", AR176:BC176), "")</f>
        <v>0</v>
      </c>
      <c r="BE176" s="286" t="n">
        <f aca="false">IFERROR(SUMIF($AB$4:$AM$4, "SME", AR176:BC176), "")</f>
        <v>0</v>
      </c>
      <c r="BF176" s="286" t="n">
        <f aca="false">IFERROR(SUMIF($AB$4:$AM$4, "De Minimis", AR176:BC176), "")</f>
        <v>0</v>
      </c>
      <c r="BG176" s="287"/>
      <c r="BH176" s="288" t="str">
        <f aca="false">IF((SUM(O176:Z176)&gt;1),"ERROR","")</f>
        <v/>
      </c>
      <c r="BI176" s="287"/>
      <c r="BJ176" s="18" t="str">
        <f aca="false">IF(C162&gt;0, C162, "")</f>
        <v/>
      </c>
      <c r="BL176" s="200"/>
      <c r="BM176" s="200"/>
      <c r="BN176" s="200"/>
    </row>
    <row r="177" customFormat="false" ht="15" hidden="false" customHeight="true" outlineLevel="0" collapsed="false">
      <c r="B177" s="275"/>
      <c r="D177" s="276" t="n">
        <f aca="false">D161</f>
        <v>45566</v>
      </c>
      <c r="E177" s="277" t="n">
        <v>0</v>
      </c>
      <c r="F177" s="277" t="n">
        <v>0</v>
      </c>
      <c r="G177" s="277" t="n">
        <v>0</v>
      </c>
      <c r="H177" s="277" t="n">
        <v>0</v>
      </c>
      <c r="I177" s="277" t="n">
        <v>0</v>
      </c>
      <c r="J177" s="278" t="n">
        <f aca="false">E177+H177+I177</f>
        <v>0</v>
      </c>
      <c r="K177" s="204"/>
      <c r="L177" s="279" t="n">
        <v>1</v>
      </c>
      <c r="M177" s="280" t="n">
        <f aca="false">1-L177</f>
        <v>0</v>
      </c>
      <c r="N177" s="281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  <c r="AA177" s="283"/>
      <c r="AB177" s="284" t="n">
        <f aca="false">IFERROR(($J177*O177)*$L177, "")</f>
        <v>0</v>
      </c>
      <c r="AC177" s="284" t="n">
        <f aca="false">IFERROR(($J177*P177)*$L177, "")</f>
        <v>0</v>
      </c>
      <c r="AD177" s="284" t="n">
        <f aca="false">IFERROR(($J177*Q177)*$L177, "")</f>
        <v>0</v>
      </c>
      <c r="AE177" s="284" t="n">
        <f aca="false">IFERROR(($J177*R177)*$L177, "")</f>
        <v>0</v>
      </c>
      <c r="AF177" s="284" t="n">
        <f aca="false">IFERROR(($J177*S177)*$L177, "")</f>
        <v>0</v>
      </c>
      <c r="AG177" s="284" t="n">
        <f aca="false">IFERROR(($J177*T177)*$L177, "")</f>
        <v>0</v>
      </c>
      <c r="AH177" s="284" t="n">
        <f aca="false">IFERROR(($J177*U177)*$L177, "")</f>
        <v>0</v>
      </c>
      <c r="AI177" s="284" t="n">
        <f aca="false">IFERROR(($J177*V177)*$L177, "")</f>
        <v>0</v>
      </c>
      <c r="AJ177" s="284" t="n">
        <f aca="false">IFERROR(($J177*W177)*$L177, "")</f>
        <v>0</v>
      </c>
      <c r="AK177" s="284" t="n">
        <f aca="false">IFERROR(($J177*X177)*$L177, "")</f>
        <v>0</v>
      </c>
      <c r="AL177" s="284" t="n">
        <f aca="false">IFERROR(($J177*Y177)*$L177, "")</f>
        <v>0</v>
      </c>
      <c r="AM177" s="285" t="n">
        <f aca="false">IFERROR(($J177*Z177)*$L177, "")</f>
        <v>0</v>
      </c>
      <c r="AN177" s="286" t="n">
        <f aca="false">IFERROR(SUMIF($AB$4:$AM$4, "RDEC", AB177:AM177), "")</f>
        <v>0</v>
      </c>
      <c r="AO177" s="286" t="n">
        <f aca="false">IFERROR(SUMIF($AB$4:$AM$4, "SME", AB177:AM177), "")</f>
        <v>0</v>
      </c>
      <c r="AP177" s="286" t="n">
        <f aca="false">IFERROR(SUMIF($AB$4:$AM$4, "De Minimis", AB177:AM177), "")</f>
        <v>0</v>
      </c>
      <c r="AQ177" s="283"/>
      <c r="AR177" s="284" t="n">
        <f aca="false">IFERROR(($J177*O177)*$M177, "")</f>
        <v>0</v>
      </c>
      <c r="AS177" s="284" t="n">
        <f aca="false">IFERROR(($J177*P177)*$M177, "")</f>
        <v>0</v>
      </c>
      <c r="AT177" s="284" t="n">
        <f aca="false">IFERROR(($J177*Q177)*$M177, "")</f>
        <v>0</v>
      </c>
      <c r="AU177" s="284" t="n">
        <f aca="false">IFERROR(($J177*R177)*$M177, "")</f>
        <v>0</v>
      </c>
      <c r="AV177" s="284" t="n">
        <f aca="false">IFERROR(($J177*S177)*$M177, "")</f>
        <v>0</v>
      </c>
      <c r="AW177" s="284" t="n">
        <f aca="false">IFERROR(($J177*T177)*$M177, "")</f>
        <v>0</v>
      </c>
      <c r="AX177" s="284" t="n">
        <f aca="false">IFERROR(($J177*U177)*$M177, "")</f>
        <v>0</v>
      </c>
      <c r="AY177" s="284" t="n">
        <f aca="false">IFERROR(($J177*V177)*$M177, "")</f>
        <v>0</v>
      </c>
      <c r="AZ177" s="284" t="n">
        <f aca="false">IFERROR(($J177*W177)*$M177, "")</f>
        <v>0</v>
      </c>
      <c r="BA177" s="284" t="n">
        <f aca="false">IFERROR(($J177*X177)*$M177, "")</f>
        <v>0</v>
      </c>
      <c r="BB177" s="284" t="n">
        <f aca="false">IFERROR(($J177*Y177)*$M177, "")</f>
        <v>0</v>
      </c>
      <c r="BC177" s="285" t="n">
        <f aca="false">IFERROR(($J177*Z177)*$M177, "")</f>
        <v>0</v>
      </c>
      <c r="BD177" s="286" t="n">
        <f aca="false">IFERROR(SUMIF($AB$4:$AM$4, "RDEC", AR177:BC177), "")</f>
        <v>0</v>
      </c>
      <c r="BE177" s="286" t="n">
        <f aca="false">IFERROR(SUMIF($AB$4:$AM$4, "SME", AR177:BC177), "")</f>
        <v>0</v>
      </c>
      <c r="BF177" s="286" t="n">
        <f aca="false">IFERROR(SUMIF($AB$4:$AM$4, "De Minimis", AR177:BC177), "")</f>
        <v>0</v>
      </c>
      <c r="BG177" s="287"/>
      <c r="BH177" s="288" t="str">
        <f aca="false">IF((SUM(O177:Z177)&gt;1),"ERROR","")</f>
        <v/>
      </c>
      <c r="BI177" s="287"/>
      <c r="BJ177" s="18" t="str">
        <f aca="false">IF(C163&gt;0, C163, "")</f>
        <v/>
      </c>
      <c r="BL177" s="200"/>
      <c r="BM177" s="200"/>
      <c r="BN177" s="200"/>
    </row>
    <row r="178" customFormat="false" ht="15" hidden="false" customHeight="true" outlineLevel="0" collapsed="false">
      <c r="B178" s="275"/>
      <c r="D178" s="276" t="n">
        <f aca="false">D162</f>
        <v>45597</v>
      </c>
      <c r="E178" s="277" t="n">
        <v>0</v>
      </c>
      <c r="F178" s="277" t="n">
        <v>0</v>
      </c>
      <c r="G178" s="277" t="n">
        <v>0</v>
      </c>
      <c r="H178" s="277" t="n">
        <v>0</v>
      </c>
      <c r="I178" s="277" t="n">
        <v>0</v>
      </c>
      <c r="J178" s="278" t="n">
        <f aca="false">E178+H178+I178</f>
        <v>0</v>
      </c>
      <c r="K178" s="204"/>
      <c r="L178" s="279" t="n">
        <v>1</v>
      </c>
      <c r="M178" s="280" t="n">
        <f aca="false">1-L178</f>
        <v>0</v>
      </c>
      <c r="N178" s="281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83"/>
      <c r="AB178" s="284" t="n">
        <f aca="false">IFERROR(($J178*O178)*$L178, "")</f>
        <v>0</v>
      </c>
      <c r="AC178" s="284" t="n">
        <f aca="false">IFERROR(($J178*P178)*$L178, "")</f>
        <v>0</v>
      </c>
      <c r="AD178" s="284" t="n">
        <f aca="false">IFERROR(($J178*Q178)*$L178, "")</f>
        <v>0</v>
      </c>
      <c r="AE178" s="284" t="n">
        <f aca="false">IFERROR(($J178*R178)*$L178, "")</f>
        <v>0</v>
      </c>
      <c r="AF178" s="284" t="n">
        <f aca="false">IFERROR(($J178*S178)*$L178, "")</f>
        <v>0</v>
      </c>
      <c r="AG178" s="284" t="n">
        <f aca="false">IFERROR(($J178*T178)*$L178, "")</f>
        <v>0</v>
      </c>
      <c r="AH178" s="284" t="n">
        <f aca="false">IFERROR(($J178*U178)*$L178, "")</f>
        <v>0</v>
      </c>
      <c r="AI178" s="284" t="n">
        <f aca="false">IFERROR(($J178*V178)*$L178, "")</f>
        <v>0</v>
      </c>
      <c r="AJ178" s="284" t="n">
        <f aca="false">IFERROR(($J178*W178)*$L178, "")</f>
        <v>0</v>
      </c>
      <c r="AK178" s="284" t="n">
        <f aca="false">IFERROR(($J178*X178)*$L178, "")</f>
        <v>0</v>
      </c>
      <c r="AL178" s="284" t="n">
        <f aca="false">IFERROR(($J178*Y178)*$L178, "")</f>
        <v>0</v>
      </c>
      <c r="AM178" s="285" t="n">
        <f aca="false">IFERROR(($J178*Z178)*$L178, "")</f>
        <v>0</v>
      </c>
      <c r="AN178" s="286" t="n">
        <f aca="false">IFERROR(SUMIF($AB$4:$AM$4, "RDEC", AB178:AM178), "")</f>
        <v>0</v>
      </c>
      <c r="AO178" s="286" t="n">
        <f aca="false">IFERROR(SUMIF($AB$4:$AM$4, "SME", AB178:AM178), "")</f>
        <v>0</v>
      </c>
      <c r="AP178" s="286" t="n">
        <f aca="false">IFERROR(SUMIF($AB$4:$AM$4, "De Minimis", AB178:AM178), "")</f>
        <v>0</v>
      </c>
      <c r="AQ178" s="283"/>
      <c r="AR178" s="284" t="n">
        <f aca="false">IFERROR(($J178*O178)*$M178, "")</f>
        <v>0</v>
      </c>
      <c r="AS178" s="284" t="n">
        <f aca="false">IFERROR(($J178*P178)*$M178, "")</f>
        <v>0</v>
      </c>
      <c r="AT178" s="284" t="n">
        <f aca="false">IFERROR(($J178*Q178)*$M178, "")</f>
        <v>0</v>
      </c>
      <c r="AU178" s="284" t="n">
        <f aca="false">IFERROR(($J178*R178)*$M178, "")</f>
        <v>0</v>
      </c>
      <c r="AV178" s="284" t="n">
        <f aca="false">IFERROR(($J178*S178)*$M178, "")</f>
        <v>0</v>
      </c>
      <c r="AW178" s="284" t="n">
        <f aca="false">IFERROR(($J178*T178)*$M178, "")</f>
        <v>0</v>
      </c>
      <c r="AX178" s="284" t="n">
        <f aca="false">IFERROR(($J178*U178)*$M178, "")</f>
        <v>0</v>
      </c>
      <c r="AY178" s="284" t="n">
        <f aca="false">IFERROR(($J178*V178)*$M178, "")</f>
        <v>0</v>
      </c>
      <c r="AZ178" s="284" t="n">
        <f aca="false">IFERROR(($J178*W178)*$M178, "")</f>
        <v>0</v>
      </c>
      <c r="BA178" s="284" t="n">
        <f aca="false">IFERROR(($J178*X178)*$M178, "")</f>
        <v>0</v>
      </c>
      <c r="BB178" s="284" t="n">
        <f aca="false">IFERROR(($J178*Y178)*$M178, "")</f>
        <v>0</v>
      </c>
      <c r="BC178" s="285" t="n">
        <f aca="false">IFERROR(($J178*Z178)*$M178, "")</f>
        <v>0</v>
      </c>
      <c r="BD178" s="286" t="n">
        <f aca="false">IFERROR(SUMIF($AB$4:$AM$4, "RDEC", AR178:BC178), "")</f>
        <v>0</v>
      </c>
      <c r="BE178" s="286" t="n">
        <f aca="false">IFERROR(SUMIF($AB$4:$AM$4, "SME", AR178:BC178), "")</f>
        <v>0</v>
      </c>
      <c r="BF178" s="286" t="n">
        <f aca="false">IFERROR(SUMIF($AB$4:$AM$4, "De Minimis", AR178:BC178), "")</f>
        <v>0</v>
      </c>
      <c r="BG178" s="287"/>
      <c r="BH178" s="288" t="str">
        <f aca="false">IF((SUM(O178:Z178)&gt;1),"ERROR","")</f>
        <v/>
      </c>
      <c r="BI178" s="287"/>
      <c r="BJ178" s="18" t="str">
        <f aca="false">IF(C164&gt;0, C164, "")</f>
        <v/>
      </c>
      <c r="BL178" s="200"/>
      <c r="BM178" s="200"/>
      <c r="BN178" s="200"/>
    </row>
    <row r="179" customFormat="false" ht="15" hidden="false" customHeight="true" outlineLevel="0" collapsed="false">
      <c r="B179" s="275"/>
      <c r="D179" s="276" t="n">
        <f aca="false">D163</f>
        <v>45627</v>
      </c>
      <c r="E179" s="277" t="n">
        <v>0</v>
      </c>
      <c r="F179" s="277" t="n">
        <v>0</v>
      </c>
      <c r="G179" s="277" t="n">
        <v>0</v>
      </c>
      <c r="H179" s="277" t="n">
        <v>0</v>
      </c>
      <c r="I179" s="277" t="n">
        <v>0</v>
      </c>
      <c r="J179" s="278" t="n">
        <f aca="false">E179+H179+I179</f>
        <v>0</v>
      </c>
      <c r="K179" s="204"/>
      <c r="L179" s="289" t="n">
        <v>1</v>
      </c>
      <c r="M179" s="290" t="n">
        <f aca="false">1-L179</f>
        <v>0</v>
      </c>
      <c r="N179" s="281"/>
      <c r="O179" s="291"/>
      <c r="P179" s="291"/>
      <c r="Q179" s="291"/>
      <c r="R179" s="291"/>
      <c r="S179" s="291"/>
      <c r="T179" s="291"/>
      <c r="U179" s="291"/>
      <c r="V179" s="291"/>
      <c r="W179" s="291"/>
      <c r="X179" s="291"/>
      <c r="Y179" s="291"/>
      <c r="Z179" s="291"/>
      <c r="AA179" s="283"/>
      <c r="AB179" s="292" t="n">
        <f aca="false">IFERROR(($J179*O179)*$L179, "")</f>
        <v>0</v>
      </c>
      <c r="AC179" s="292" t="n">
        <f aca="false">IFERROR(($J179*P179)*$L179, "")</f>
        <v>0</v>
      </c>
      <c r="AD179" s="292" t="n">
        <f aca="false">IFERROR(($J179*Q179)*$L179, "")</f>
        <v>0</v>
      </c>
      <c r="AE179" s="292" t="n">
        <f aca="false">IFERROR(($J179*R179)*$L179, "")</f>
        <v>0</v>
      </c>
      <c r="AF179" s="292" t="n">
        <f aca="false">IFERROR(($J179*S179)*$L179, "")</f>
        <v>0</v>
      </c>
      <c r="AG179" s="292" t="n">
        <f aca="false">IFERROR(($J179*T179)*$L179, "")</f>
        <v>0</v>
      </c>
      <c r="AH179" s="292" t="n">
        <f aca="false">IFERROR(($J179*U179)*$L179, "")</f>
        <v>0</v>
      </c>
      <c r="AI179" s="292" t="n">
        <f aca="false">IFERROR(($J179*V179)*$L179, "")</f>
        <v>0</v>
      </c>
      <c r="AJ179" s="292" t="n">
        <f aca="false">IFERROR(($J179*W179)*$L179, "")</f>
        <v>0</v>
      </c>
      <c r="AK179" s="292" t="n">
        <f aca="false">IFERROR(($J179*X179)*$L179, "")</f>
        <v>0</v>
      </c>
      <c r="AL179" s="292" t="n">
        <f aca="false">IFERROR(($J179*Y179)*$L179, "")</f>
        <v>0</v>
      </c>
      <c r="AM179" s="293" t="n">
        <f aca="false">IFERROR(($J179*Z179)*$L179, "")</f>
        <v>0</v>
      </c>
      <c r="AN179" s="294" t="n">
        <f aca="false">IFERROR(SUMIF($AB$4:$AM$4, "RDEC", AB179:AM179), "")</f>
        <v>0</v>
      </c>
      <c r="AO179" s="294" t="n">
        <f aca="false">IFERROR(SUMIF($AB$4:$AM$4, "SME", AB179:AM179), "")</f>
        <v>0</v>
      </c>
      <c r="AP179" s="294" t="n">
        <f aca="false">IFERROR(SUMIF($AB$4:$AM$4, "De Minimis", AB179:AM179), "")</f>
        <v>0</v>
      </c>
      <c r="AQ179" s="283"/>
      <c r="AR179" s="292" t="n">
        <f aca="false">IFERROR(($J179*O179)*$M179, "")</f>
        <v>0</v>
      </c>
      <c r="AS179" s="292" t="n">
        <f aca="false">IFERROR(($J179*P179)*$M179, "")</f>
        <v>0</v>
      </c>
      <c r="AT179" s="292" t="n">
        <f aca="false">IFERROR(($J179*Q179)*$M179, "")</f>
        <v>0</v>
      </c>
      <c r="AU179" s="292" t="n">
        <f aca="false">IFERROR(($J179*R179)*$M179, "")</f>
        <v>0</v>
      </c>
      <c r="AV179" s="292" t="n">
        <f aca="false">IFERROR(($J179*S179)*$M179, "")</f>
        <v>0</v>
      </c>
      <c r="AW179" s="292" t="n">
        <f aca="false">IFERROR(($J179*T179)*$M179, "")</f>
        <v>0</v>
      </c>
      <c r="AX179" s="292" t="n">
        <f aca="false">IFERROR(($J179*U179)*$M179, "")</f>
        <v>0</v>
      </c>
      <c r="AY179" s="292" t="n">
        <f aca="false">IFERROR(($J179*V179)*$M179, "")</f>
        <v>0</v>
      </c>
      <c r="AZ179" s="292" t="n">
        <f aca="false">IFERROR(($J179*W179)*$M179, "")</f>
        <v>0</v>
      </c>
      <c r="BA179" s="292" t="n">
        <f aca="false">IFERROR(($J179*X179)*$M179, "")</f>
        <v>0</v>
      </c>
      <c r="BB179" s="292" t="n">
        <f aca="false">IFERROR(($J179*Y179)*$M179, "")</f>
        <v>0</v>
      </c>
      <c r="BC179" s="293" t="n">
        <f aca="false">IFERROR(($J179*Z179)*$M179, "")</f>
        <v>0</v>
      </c>
      <c r="BD179" s="294" t="n">
        <f aca="false">IFERROR(SUMIF($AB$4:$AM$4, "RDEC", AR179:BC179), "")</f>
        <v>0</v>
      </c>
      <c r="BE179" s="294" t="n">
        <f aca="false">IFERROR(SUMIF($AB$4:$AM$4, "SME", AR179:BC179), "")</f>
        <v>0</v>
      </c>
      <c r="BF179" s="294" t="n">
        <f aca="false">IFERROR(SUMIF($AB$4:$AM$4, "De Minimis", AR179:BC179), "")</f>
        <v>0</v>
      </c>
      <c r="BG179" s="287"/>
      <c r="BH179" s="295" t="str">
        <f aca="false">IF((SUM(O179:Z179)&gt;1),"ERROR","")</f>
        <v/>
      </c>
      <c r="BI179" s="287"/>
      <c r="BJ179" s="18" t="str">
        <f aca="false">IF(C165&gt;0, C165, "")</f>
        <v/>
      </c>
      <c r="BL179" s="200"/>
      <c r="BM179" s="200"/>
      <c r="BN179" s="200"/>
    </row>
    <row r="180" customFormat="false" ht="15" hidden="false" customHeight="true" outlineLevel="0" collapsed="false">
      <c r="B180" s="296"/>
      <c r="D180" s="297" t="s">
        <v>82</v>
      </c>
      <c r="E180" s="298" t="n">
        <f aca="false">SUM(E168:E179)</f>
        <v>0</v>
      </c>
      <c r="F180" s="298" t="n">
        <f aca="false">SUM(F168:F179)</f>
        <v>0</v>
      </c>
      <c r="G180" s="298" t="n">
        <f aca="false">SUM(G168:G179)</f>
        <v>0</v>
      </c>
      <c r="H180" s="298" t="n">
        <f aca="false">SUM(H168:H179)</f>
        <v>0</v>
      </c>
      <c r="I180" s="298" t="n">
        <f aca="false">SUM(I168:I179)</f>
        <v>0</v>
      </c>
      <c r="J180" s="299" t="n">
        <f aca="false">SUM(J168:J179)</f>
        <v>0</v>
      </c>
      <c r="K180" s="300"/>
      <c r="L180" s="301" t="n">
        <f aca="false">AVERAGE(L168:L179)</f>
        <v>1</v>
      </c>
      <c r="M180" s="301" t="n">
        <f aca="false">AVERAGE(M168:M179)</f>
        <v>0</v>
      </c>
      <c r="N180" s="302"/>
      <c r="O180" s="290" t="n">
        <f aca="false">IF(SUM(O168:O179)&gt;0,((AB180+AR180)/J180),0)</f>
        <v>0</v>
      </c>
      <c r="P180" s="290" t="n">
        <f aca="false">IF(SUM(P168:P179)&gt;0,((AC180+AS180)/J180),0)</f>
        <v>0</v>
      </c>
      <c r="Q180" s="290" t="n">
        <f aca="false">IF(SUM(Q168:Q179)&gt;0,((AD180+AT180)/J180),0)</f>
        <v>0</v>
      </c>
      <c r="R180" s="290" t="n">
        <f aca="false">IF(SUM(R168:R179)&gt;0,((AE180+AU180)/J180),0)</f>
        <v>0</v>
      </c>
      <c r="S180" s="290" t="n">
        <f aca="false">IF(SUM(S168:S179)&gt;0,((AF180+AV180)/J180),0)</f>
        <v>0</v>
      </c>
      <c r="T180" s="290" t="n">
        <f aca="false">IF(SUM(T168:T179)&gt;0,((AG180+AW180)/J180),0)</f>
        <v>0</v>
      </c>
      <c r="U180" s="290" t="n">
        <f aca="false">IF(SUM(U168:U179)&gt;0,((AH180+AX180)/J180),0)</f>
        <v>0</v>
      </c>
      <c r="V180" s="290" t="n">
        <f aca="false">IF(SUM(V168:V179)&gt;0,((AI180+AY180)/J180),0)</f>
        <v>0</v>
      </c>
      <c r="W180" s="290" t="n">
        <f aca="false">IF(SUM(W168:W179)&gt;0,((AJ180+AZ180)/J180),0)</f>
        <v>0</v>
      </c>
      <c r="X180" s="290" t="n">
        <f aca="false">IF(SUM(X168:X179)&gt;0,((AK180+BA180)/J180),0)</f>
        <v>0</v>
      </c>
      <c r="Y180" s="290" t="n">
        <f aca="false">IF(SUM(Y168:Y179)&gt;0,((AL180+BB180)/J180),0)</f>
        <v>0</v>
      </c>
      <c r="Z180" s="290" t="n">
        <f aca="false">IF(SUM(Z168:Z179)&gt;0,((AM180+BC180)/J180),0)</f>
        <v>0</v>
      </c>
      <c r="AA180" s="303"/>
      <c r="AB180" s="292" t="n">
        <f aca="false">SUM(AB168:AB179)</f>
        <v>0</v>
      </c>
      <c r="AC180" s="304" t="n">
        <f aca="false">SUM(AC168:AC179)</f>
        <v>0</v>
      </c>
      <c r="AD180" s="304" t="n">
        <f aca="false">SUM(AD168:AD179)</f>
        <v>0</v>
      </c>
      <c r="AE180" s="304" t="n">
        <f aca="false">SUM(AE168:AE179)</f>
        <v>0</v>
      </c>
      <c r="AF180" s="304" t="n">
        <f aca="false">SUM(AF168:AF179)</f>
        <v>0</v>
      </c>
      <c r="AG180" s="304" t="n">
        <f aca="false">SUM(AG168:AG179)</f>
        <v>0</v>
      </c>
      <c r="AH180" s="304" t="n">
        <f aca="false">SUM(AH168:AH179)</f>
        <v>0</v>
      </c>
      <c r="AI180" s="304" t="n">
        <f aca="false">SUM(AI168:AI179)</f>
        <v>0</v>
      </c>
      <c r="AJ180" s="304" t="n">
        <f aca="false">SUM(AJ168:AJ179)</f>
        <v>0</v>
      </c>
      <c r="AK180" s="304" t="n">
        <f aca="false">SUM(AK168:AK179)</f>
        <v>0</v>
      </c>
      <c r="AL180" s="304" t="n">
        <f aca="false">SUM(AL168:AL179)</f>
        <v>0</v>
      </c>
      <c r="AM180" s="304" t="n">
        <f aca="false">SUM(AM168:AM179)</f>
        <v>0</v>
      </c>
      <c r="AN180" s="305" t="n">
        <f aca="false">SUM(AN168:AN179)</f>
        <v>0</v>
      </c>
      <c r="AO180" s="305" t="n">
        <f aca="false">SUM(AO168:AO179)</f>
        <v>0</v>
      </c>
      <c r="AP180" s="305" t="n">
        <f aca="false">SUM(AP168:AP179)</f>
        <v>0</v>
      </c>
      <c r="AQ180" s="303"/>
      <c r="AR180" s="292" t="n">
        <f aca="false">SUM(AR168:AR179)</f>
        <v>0</v>
      </c>
      <c r="AS180" s="304" t="n">
        <f aca="false">SUM(AS168:AS179)</f>
        <v>0</v>
      </c>
      <c r="AT180" s="304" t="n">
        <f aca="false">SUM(AT168:AT179)</f>
        <v>0</v>
      </c>
      <c r="AU180" s="304" t="n">
        <f aca="false">SUM(AU168:AU179)</f>
        <v>0</v>
      </c>
      <c r="AV180" s="304" t="n">
        <f aca="false">SUM(AV168:AV179)</f>
        <v>0</v>
      </c>
      <c r="AW180" s="304" t="n">
        <f aca="false">SUM(AW168:AW179)</f>
        <v>0</v>
      </c>
      <c r="AX180" s="304" t="n">
        <f aca="false">SUM(AX168:AX179)</f>
        <v>0</v>
      </c>
      <c r="AY180" s="304" t="n">
        <f aca="false">SUM(AY168:AY179)</f>
        <v>0</v>
      </c>
      <c r="AZ180" s="304" t="n">
        <f aca="false">SUM(AZ168:AZ179)</f>
        <v>0</v>
      </c>
      <c r="BA180" s="304" t="n">
        <f aca="false">SUM(BA168:BA179)</f>
        <v>0</v>
      </c>
      <c r="BB180" s="304" t="n">
        <f aca="false">SUM(BB168:BB179)</f>
        <v>0</v>
      </c>
      <c r="BC180" s="304" t="n">
        <f aca="false">SUM(BC168:BC179)</f>
        <v>0</v>
      </c>
      <c r="BD180" s="305" t="n">
        <f aca="false">SUM(BD168:BD179)</f>
        <v>0</v>
      </c>
      <c r="BE180" s="305" t="n">
        <f aca="false">SUM(BE168:BE179)</f>
        <v>0</v>
      </c>
      <c r="BF180" s="305" t="n">
        <f aca="false">SUM(BF168:BF179)</f>
        <v>0</v>
      </c>
      <c r="BG180" s="303"/>
      <c r="BH180" s="306"/>
      <c r="BI180" s="303"/>
      <c r="BJ180" s="307" t="str">
        <f aca="false">IF(C166&gt;0, C166, "")</f>
        <v>TBA</v>
      </c>
      <c r="BK180" s="18" t="s">
        <v>234</v>
      </c>
      <c r="BL180" s="200" t="n">
        <f aca="false">IF($BK180="Y",J180,0)</f>
        <v>0</v>
      </c>
      <c r="BM180" s="200" t="n">
        <f aca="false">IF(BK180="Y", AN180,0)</f>
        <v>0</v>
      </c>
      <c r="BN180" s="200" t="n">
        <f aca="false">IF((BK180="Y"),AO180,0)</f>
        <v>0</v>
      </c>
    </row>
    <row r="181" customFormat="false" ht="15" hidden="false" customHeight="true" outlineLevel="0" collapsed="false">
      <c r="B181" s="296"/>
      <c r="D181" s="297"/>
      <c r="E181" s="277"/>
      <c r="F181" s="277"/>
      <c r="G181" s="277"/>
      <c r="H181" s="277"/>
      <c r="I181" s="277"/>
      <c r="J181" s="300"/>
      <c r="K181" s="300"/>
      <c r="L181" s="302"/>
      <c r="M181" s="302"/>
      <c r="N181" s="302"/>
      <c r="O181" s="308"/>
      <c r="P181" s="308"/>
      <c r="Q181" s="308"/>
      <c r="R181" s="308"/>
      <c r="S181" s="308"/>
      <c r="T181" s="308"/>
      <c r="U181" s="308"/>
      <c r="V181" s="308"/>
      <c r="W181" s="308"/>
      <c r="X181" s="308"/>
      <c r="Y181" s="308"/>
      <c r="Z181" s="308"/>
      <c r="AA181" s="303"/>
      <c r="AB181" s="303"/>
      <c r="AC181" s="303"/>
      <c r="AD181" s="303"/>
      <c r="AE181" s="303"/>
      <c r="AF181" s="303"/>
      <c r="AG181" s="303"/>
      <c r="AH181" s="303"/>
      <c r="AI181" s="303"/>
      <c r="AJ181" s="303"/>
      <c r="AK181" s="303"/>
      <c r="AL181" s="303"/>
      <c r="AM181" s="303"/>
      <c r="AN181" s="303"/>
      <c r="AO181" s="303"/>
      <c r="AP181" s="303"/>
      <c r="AQ181" s="303"/>
      <c r="AR181" s="303"/>
      <c r="AS181" s="303"/>
      <c r="AT181" s="303"/>
      <c r="AU181" s="303"/>
      <c r="AV181" s="303"/>
      <c r="AW181" s="303"/>
      <c r="AX181" s="303"/>
      <c r="AY181" s="303"/>
      <c r="AZ181" s="303"/>
      <c r="BA181" s="303"/>
      <c r="BB181" s="303"/>
      <c r="BC181" s="303"/>
      <c r="BD181" s="303"/>
      <c r="BE181" s="303"/>
      <c r="BF181" s="303"/>
      <c r="BG181" s="303"/>
      <c r="BH181" s="303"/>
      <c r="BI181" s="303"/>
      <c r="BJ181" s="307" t="str">
        <f aca="false">IF(C168&gt;0, C168, "")</f>
        <v/>
      </c>
      <c r="BL181" s="200"/>
      <c r="BM181" s="200"/>
      <c r="BN181" s="200"/>
    </row>
    <row r="182" customFormat="false" ht="15" hidden="false" customHeight="true" outlineLevel="0" collapsed="false">
      <c r="A182" s="198" t="n">
        <f aca="false">A166+1</f>
        <v>12</v>
      </c>
      <c r="B182" s="266" t="s">
        <v>253</v>
      </c>
      <c r="C182" s="266" t="s">
        <v>253</v>
      </c>
      <c r="D182" s="267"/>
      <c r="E182" s="242"/>
      <c r="F182" s="242"/>
      <c r="G182" s="242"/>
      <c r="H182" s="242"/>
      <c r="I182" s="242"/>
      <c r="J182" s="241"/>
      <c r="K182" s="241"/>
      <c r="L182" s="241"/>
      <c r="M182" s="241"/>
      <c r="N182" s="241"/>
      <c r="O182" s="268"/>
      <c r="P182" s="268"/>
      <c r="Q182" s="268"/>
      <c r="R182" s="268"/>
      <c r="S182" s="268"/>
      <c r="T182" s="268"/>
      <c r="U182" s="268"/>
      <c r="V182" s="268"/>
      <c r="W182" s="268"/>
      <c r="X182" s="268"/>
      <c r="Y182" s="268"/>
      <c r="Z182" s="268"/>
      <c r="AA182" s="268"/>
      <c r="AB182" s="268"/>
      <c r="AC182" s="268"/>
      <c r="AD182" s="268"/>
      <c r="AE182" s="268"/>
      <c r="AF182" s="268"/>
      <c r="AG182" s="268"/>
      <c r="AH182" s="268"/>
      <c r="AI182" s="268"/>
      <c r="AJ182" s="268"/>
      <c r="AK182" s="268"/>
      <c r="AL182" s="268"/>
      <c r="AM182" s="268"/>
      <c r="AN182" s="268"/>
      <c r="AO182" s="268"/>
      <c r="AP182" s="268"/>
      <c r="AQ182" s="268"/>
      <c r="AR182" s="268"/>
      <c r="AS182" s="268"/>
      <c r="AT182" s="268"/>
      <c r="AU182" s="268"/>
      <c r="AV182" s="268"/>
      <c r="AW182" s="268"/>
      <c r="AX182" s="268"/>
      <c r="AY182" s="268"/>
      <c r="AZ182" s="268"/>
      <c r="BA182" s="268"/>
      <c r="BB182" s="268"/>
      <c r="BC182" s="268"/>
      <c r="BD182" s="268"/>
      <c r="BE182" s="268"/>
      <c r="BF182" s="268"/>
      <c r="BG182" s="268"/>
      <c r="BH182" s="268"/>
      <c r="BI182" s="268"/>
      <c r="BJ182" s="18" t="str">
        <f aca="false">IF(C169&gt;0, C169, "")</f>
        <v/>
      </c>
      <c r="BL182" s="200"/>
      <c r="BM182" s="200"/>
      <c r="BN182" s="200"/>
    </row>
    <row r="183" customFormat="false" ht="7.5" hidden="false" customHeight="true" outlineLevel="0" collapsed="false">
      <c r="A183" s="198"/>
      <c r="B183" s="266"/>
      <c r="C183" s="266"/>
      <c r="D183" s="267"/>
      <c r="E183" s="242"/>
      <c r="F183" s="242"/>
      <c r="G183" s="242"/>
      <c r="H183" s="242"/>
      <c r="I183" s="242"/>
      <c r="J183" s="241"/>
      <c r="K183" s="241"/>
      <c r="L183" s="269"/>
      <c r="M183" s="269"/>
      <c r="N183" s="270"/>
      <c r="O183" s="269"/>
      <c r="P183" s="269"/>
      <c r="Q183" s="269"/>
      <c r="R183" s="269"/>
      <c r="S183" s="269"/>
      <c r="T183" s="269"/>
      <c r="U183" s="269"/>
      <c r="V183" s="269"/>
      <c r="W183" s="269"/>
      <c r="X183" s="269"/>
      <c r="Y183" s="269"/>
      <c r="Z183" s="269"/>
      <c r="AA183" s="268"/>
      <c r="AB183" s="271"/>
      <c r="AC183" s="271"/>
      <c r="AD183" s="271"/>
      <c r="AE183" s="271"/>
      <c r="AF183" s="271"/>
      <c r="AG183" s="271"/>
      <c r="AH183" s="271"/>
      <c r="AI183" s="271"/>
      <c r="AJ183" s="271"/>
      <c r="AK183" s="271"/>
      <c r="AL183" s="271"/>
      <c r="AM183" s="272"/>
      <c r="AN183" s="273"/>
      <c r="AO183" s="273"/>
      <c r="AP183" s="273"/>
      <c r="AQ183" s="268"/>
      <c r="AR183" s="271"/>
      <c r="AS183" s="271"/>
      <c r="AT183" s="271"/>
      <c r="AU183" s="271"/>
      <c r="AV183" s="271"/>
      <c r="AW183" s="271"/>
      <c r="AX183" s="271"/>
      <c r="AY183" s="271"/>
      <c r="AZ183" s="271"/>
      <c r="BA183" s="271"/>
      <c r="BB183" s="271"/>
      <c r="BC183" s="272"/>
      <c r="BD183" s="273"/>
      <c r="BE183" s="273"/>
      <c r="BF183" s="273"/>
      <c r="BG183" s="268"/>
      <c r="BH183" s="274"/>
      <c r="BI183" s="268"/>
      <c r="BL183" s="200"/>
      <c r="BM183" s="200"/>
      <c r="BN183" s="200"/>
    </row>
    <row r="184" customFormat="false" ht="15" hidden="false" customHeight="true" outlineLevel="0" collapsed="false">
      <c r="B184" s="275"/>
      <c r="D184" s="276" t="n">
        <f aca="false">D168</f>
        <v>45292</v>
      </c>
      <c r="E184" s="277" t="n">
        <v>0</v>
      </c>
      <c r="F184" s="277" t="n">
        <v>0</v>
      </c>
      <c r="G184" s="277" t="n">
        <v>0</v>
      </c>
      <c r="H184" s="277" t="n">
        <v>0</v>
      </c>
      <c r="I184" s="277" t="n">
        <v>0</v>
      </c>
      <c r="J184" s="278" t="n">
        <f aca="false">E184+H184+I184</f>
        <v>0</v>
      </c>
      <c r="K184" s="204"/>
      <c r="L184" s="279" t="n">
        <v>1</v>
      </c>
      <c r="M184" s="280" t="n">
        <f aca="false">1-L184</f>
        <v>0</v>
      </c>
      <c r="N184" s="281"/>
      <c r="O184" s="282"/>
      <c r="P184" s="282"/>
      <c r="Q184" s="282"/>
      <c r="R184" s="282"/>
      <c r="S184" s="282"/>
      <c r="T184" s="282"/>
      <c r="U184" s="282"/>
      <c r="V184" s="282"/>
      <c r="W184" s="282"/>
      <c r="X184" s="282"/>
      <c r="Y184" s="282"/>
      <c r="Z184" s="282"/>
      <c r="AA184" s="283"/>
      <c r="AB184" s="284" t="n">
        <f aca="false">IFERROR(($J184*O184)*$L184, "")</f>
        <v>0</v>
      </c>
      <c r="AC184" s="284" t="n">
        <f aca="false">IFERROR(($J184*P184)*$L184, "")</f>
        <v>0</v>
      </c>
      <c r="AD184" s="284" t="n">
        <f aca="false">IFERROR(($J184*Q184)*$L184, "")</f>
        <v>0</v>
      </c>
      <c r="AE184" s="284" t="n">
        <f aca="false">IFERROR(($J184*R184)*$L184, "")</f>
        <v>0</v>
      </c>
      <c r="AF184" s="284" t="n">
        <f aca="false">IFERROR(($J184*S184)*$L184, "")</f>
        <v>0</v>
      </c>
      <c r="AG184" s="284" t="n">
        <f aca="false">IFERROR(($J184*T184)*$L184, "")</f>
        <v>0</v>
      </c>
      <c r="AH184" s="284" t="n">
        <f aca="false">IFERROR(($J184*U184)*$L184, "")</f>
        <v>0</v>
      </c>
      <c r="AI184" s="284" t="n">
        <f aca="false">IFERROR(($J184*V184)*$L184, "")</f>
        <v>0</v>
      </c>
      <c r="AJ184" s="284" t="n">
        <f aca="false">IFERROR(($J184*W184)*$L184, "")</f>
        <v>0</v>
      </c>
      <c r="AK184" s="284" t="n">
        <f aca="false">IFERROR(($J184*X184)*$L184, "")</f>
        <v>0</v>
      </c>
      <c r="AL184" s="284" t="n">
        <f aca="false">IFERROR(($J184*Y184)*$L184, "")</f>
        <v>0</v>
      </c>
      <c r="AM184" s="285" t="n">
        <f aca="false">IFERROR(($J184*Z184)*$L184, "")</f>
        <v>0</v>
      </c>
      <c r="AN184" s="286" t="n">
        <f aca="false">IFERROR(SUMIF($AB$4:$AM$4, "RDEC", AB184:AM184), "")</f>
        <v>0</v>
      </c>
      <c r="AO184" s="286" t="n">
        <f aca="false">IFERROR(SUMIF($AB$4:$AM$4, "SME", AB184:AM184), "")</f>
        <v>0</v>
      </c>
      <c r="AP184" s="286" t="n">
        <f aca="false">IFERROR(SUMIF($AB$4:$AM$4, "De Minimis", AB184:AM184), "")</f>
        <v>0</v>
      </c>
      <c r="AQ184" s="283"/>
      <c r="AR184" s="284" t="n">
        <f aca="false">IFERROR(($J184*O184)*$M184, "")</f>
        <v>0</v>
      </c>
      <c r="AS184" s="284" t="n">
        <f aca="false">IFERROR(($J184*P184)*$M184, "")</f>
        <v>0</v>
      </c>
      <c r="AT184" s="284" t="n">
        <f aca="false">IFERROR(($J184*Q184)*$M184, "")</f>
        <v>0</v>
      </c>
      <c r="AU184" s="284" t="n">
        <f aca="false">IFERROR(($J184*R184)*$M184, "")</f>
        <v>0</v>
      </c>
      <c r="AV184" s="284" t="n">
        <f aca="false">IFERROR(($J184*S184)*$M184, "")</f>
        <v>0</v>
      </c>
      <c r="AW184" s="284" t="n">
        <f aca="false">IFERROR(($J184*T184)*$M184, "")</f>
        <v>0</v>
      </c>
      <c r="AX184" s="284" t="n">
        <f aca="false">IFERROR(($J184*U184)*$M184, "")</f>
        <v>0</v>
      </c>
      <c r="AY184" s="284" t="n">
        <f aca="false">IFERROR(($J184*V184)*$M184, "")</f>
        <v>0</v>
      </c>
      <c r="AZ184" s="284" t="n">
        <f aca="false">IFERROR(($J184*W184)*$M184, "")</f>
        <v>0</v>
      </c>
      <c r="BA184" s="284" t="n">
        <f aca="false">IFERROR(($J184*X184)*$M184, "")</f>
        <v>0</v>
      </c>
      <c r="BB184" s="284" t="n">
        <f aca="false">IFERROR(($J184*Y184)*$M184, "")</f>
        <v>0</v>
      </c>
      <c r="BC184" s="285" t="n">
        <f aca="false">IFERROR(($J184*Z184)*$M184, "")</f>
        <v>0</v>
      </c>
      <c r="BD184" s="286" t="n">
        <f aca="false">IFERROR(SUMIF($AB$4:$AM$4, "RDEC", AR184:BC184), "")</f>
        <v>0</v>
      </c>
      <c r="BE184" s="286" t="n">
        <f aca="false">IFERROR(SUMIF($AB$4:$AM$4, "SME", AR184:BC184), "")</f>
        <v>0</v>
      </c>
      <c r="BF184" s="286" t="n">
        <f aca="false">IFERROR(SUMIF($AB$4:$AM$4, "De Minimis", AR184:BC184), "")</f>
        <v>0</v>
      </c>
      <c r="BG184" s="287"/>
      <c r="BH184" s="288" t="str">
        <f aca="false">IF((SUM(O184:Z184)&gt;1),"ERROR","")</f>
        <v/>
      </c>
      <c r="BI184" s="287"/>
      <c r="BJ184" s="18" t="str">
        <f aca="false">IF(C170&gt;0, C170, "")</f>
        <v/>
      </c>
      <c r="BL184" s="200"/>
      <c r="BM184" s="200"/>
      <c r="BN184" s="200"/>
    </row>
    <row r="185" customFormat="false" ht="15" hidden="false" customHeight="true" outlineLevel="0" collapsed="false">
      <c r="B185" s="275"/>
      <c r="D185" s="276" t="n">
        <f aca="false">D169</f>
        <v>45323</v>
      </c>
      <c r="E185" s="277" t="n">
        <v>0</v>
      </c>
      <c r="F185" s="277" t="n">
        <v>0</v>
      </c>
      <c r="G185" s="277" t="n">
        <v>0</v>
      </c>
      <c r="H185" s="277" t="n">
        <v>0</v>
      </c>
      <c r="I185" s="277" t="n">
        <v>0</v>
      </c>
      <c r="J185" s="278" t="n">
        <f aca="false">E185+H185+I185</f>
        <v>0</v>
      </c>
      <c r="K185" s="204"/>
      <c r="L185" s="279" t="n">
        <v>1</v>
      </c>
      <c r="M185" s="280" t="n">
        <f aca="false">1-L185</f>
        <v>0</v>
      </c>
      <c r="N185" s="281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  <c r="AA185" s="283"/>
      <c r="AB185" s="284" t="n">
        <f aca="false">IFERROR(($J185*O185)*$L185, "")</f>
        <v>0</v>
      </c>
      <c r="AC185" s="284" t="n">
        <f aca="false">IFERROR(($J185*P185)*$L185, "")</f>
        <v>0</v>
      </c>
      <c r="AD185" s="284" t="n">
        <f aca="false">IFERROR(($J185*Q185)*$L185, "")</f>
        <v>0</v>
      </c>
      <c r="AE185" s="284" t="n">
        <f aca="false">IFERROR(($J185*R185)*$L185, "")</f>
        <v>0</v>
      </c>
      <c r="AF185" s="284" t="n">
        <f aca="false">IFERROR(($J185*S185)*$L185, "")</f>
        <v>0</v>
      </c>
      <c r="AG185" s="284" t="n">
        <f aca="false">IFERROR(($J185*T185)*$L185, "")</f>
        <v>0</v>
      </c>
      <c r="AH185" s="284" t="n">
        <f aca="false">IFERROR(($J185*U185)*$L185, "")</f>
        <v>0</v>
      </c>
      <c r="AI185" s="284" t="n">
        <f aca="false">IFERROR(($J185*V185)*$L185, "")</f>
        <v>0</v>
      </c>
      <c r="AJ185" s="284" t="n">
        <f aca="false">IFERROR(($J185*W185)*$L185, "")</f>
        <v>0</v>
      </c>
      <c r="AK185" s="284" t="n">
        <f aca="false">IFERROR(($J185*X185)*$L185, "")</f>
        <v>0</v>
      </c>
      <c r="AL185" s="284" t="n">
        <f aca="false">IFERROR(($J185*Y185)*$L185, "")</f>
        <v>0</v>
      </c>
      <c r="AM185" s="285" t="n">
        <f aca="false">IFERROR(($J185*Z185)*$L185, "")</f>
        <v>0</v>
      </c>
      <c r="AN185" s="286" t="n">
        <f aca="false">IFERROR(SUMIF($AB$4:$AM$4, "RDEC", AB185:AM185), "")</f>
        <v>0</v>
      </c>
      <c r="AO185" s="286" t="n">
        <f aca="false">IFERROR(SUMIF($AB$4:$AM$4, "SME", AB185:AM185), "")</f>
        <v>0</v>
      </c>
      <c r="AP185" s="286" t="n">
        <f aca="false">IFERROR(SUMIF($AB$4:$AM$4, "De Minimis", AB185:AM185), "")</f>
        <v>0</v>
      </c>
      <c r="AQ185" s="283"/>
      <c r="AR185" s="284" t="n">
        <f aca="false">IFERROR(($J185*O185)*$M185, "")</f>
        <v>0</v>
      </c>
      <c r="AS185" s="284" t="n">
        <f aca="false">IFERROR(($J185*P185)*$M185, "")</f>
        <v>0</v>
      </c>
      <c r="AT185" s="284" t="n">
        <f aca="false">IFERROR(($J185*Q185)*$M185, "")</f>
        <v>0</v>
      </c>
      <c r="AU185" s="284" t="n">
        <f aca="false">IFERROR(($J185*R185)*$M185, "")</f>
        <v>0</v>
      </c>
      <c r="AV185" s="284" t="n">
        <f aca="false">IFERROR(($J185*S185)*$M185, "")</f>
        <v>0</v>
      </c>
      <c r="AW185" s="284" t="n">
        <f aca="false">IFERROR(($J185*T185)*$M185, "")</f>
        <v>0</v>
      </c>
      <c r="AX185" s="284" t="n">
        <f aca="false">IFERROR(($J185*U185)*$M185, "")</f>
        <v>0</v>
      </c>
      <c r="AY185" s="284" t="n">
        <f aca="false">IFERROR(($J185*V185)*$M185, "")</f>
        <v>0</v>
      </c>
      <c r="AZ185" s="284" t="n">
        <f aca="false">IFERROR(($J185*W185)*$M185, "")</f>
        <v>0</v>
      </c>
      <c r="BA185" s="284" t="n">
        <f aca="false">IFERROR(($J185*X185)*$M185, "")</f>
        <v>0</v>
      </c>
      <c r="BB185" s="284" t="n">
        <f aca="false">IFERROR(($J185*Y185)*$M185, "")</f>
        <v>0</v>
      </c>
      <c r="BC185" s="285" t="n">
        <f aca="false">IFERROR(($J185*Z185)*$M185, "")</f>
        <v>0</v>
      </c>
      <c r="BD185" s="286" t="n">
        <f aca="false">IFERROR(SUMIF($AB$4:$AM$4, "RDEC", AR185:BC185), "")</f>
        <v>0</v>
      </c>
      <c r="BE185" s="286" t="n">
        <f aca="false">IFERROR(SUMIF($AB$4:$AM$4, "SME", AR185:BC185), "")</f>
        <v>0</v>
      </c>
      <c r="BF185" s="286" t="n">
        <f aca="false">IFERROR(SUMIF($AB$4:$AM$4, "De Minimis", AR185:BC185), "")</f>
        <v>0</v>
      </c>
      <c r="BG185" s="287"/>
      <c r="BH185" s="288" t="str">
        <f aca="false">IF((SUM(O185:Z185)&gt;1),"ERROR","")</f>
        <v/>
      </c>
      <c r="BI185" s="287"/>
      <c r="BJ185" s="18" t="str">
        <f aca="false">IF(C171&gt;0, C171, "")</f>
        <v/>
      </c>
      <c r="BL185" s="200"/>
      <c r="BM185" s="200"/>
      <c r="BN185" s="200"/>
    </row>
    <row r="186" customFormat="false" ht="15" hidden="false" customHeight="true" outlineLevel="0" collapsed="false">
      <c r="B186" s="275"/>
      <c r="D186" s="276" t="n">
        <f aca="false">D170</f>
        <v>45352</v>
      </c>
      <c r="E186" s="277" t="n">
        <v>0</v>
      </c>
      <c r="F186" s="277" t="n">
        <v>0</v>
      </c>
      <c r="G186" s="277" t="n">
        <v>0</v>
      </c>
      <c r="H186" s="277" t="n">
        <v>0</v>
      </c>
      <c r="I186" s="277" t="n">
        <v>0</v>
      </c>
      <c r="J186" s="278" t="n">
        <f aca="false">E186+H186+I186</f>
        <v>0</v>
      </c>
      <c r="K186" s="204"/>
      <c r="L186" s="279" t="n">
        <v>1</v>
      </c>
      <c r="M186" s="280" t="n">
        <f aca="false">1-L186</f>
        <v>0</v>
      </c>
      <c r="N186" s="281"/>
      <c r="O186" s="282"/>
      <c r="P186" s="282"/>
      <c r="Q186" s="282"/>
      <c r="R186" s="282"/>
      <c r="S186" s="282"/>
      <c r="T186" s="282"/>
      <c r="U186" s="282"/>
      <c r="V186" s="282"/>
      <c r="W186" s="282"/>
      <c r="X186" s="282"/>
      <c r="Y186" s="282"/>
      <c r="Z186" s="282"/>
      <c r="AA186" s="283"/>
      <c r="AB186" s="284" t="n">
        <f aca="false">IFERROR(($J186*O186)*$L186, "")</f>
        <v>0</v>
      </c>
      <c r="AC186" s="284" t="n">
        <f aca="false">IFERROR(($J186*P186)*$L186, "")</f>
        <v>0</v>
      </c>
      <c r="AD186" s="284" t="n">
        <f aca="false">IFERROR(($J186*Q186)*$L186, "")</f>
        <v>0</v>
      </c>
      <c r="AE186" s="284" t="n">
        <f aca="false">IFERROR(($J186*R186)*$L186, "")</f>
        <v>0</v>
      </c>
      <c r="AF186" s="284" t="n">
        <f aca="false">IFERROR(($J186*S186)*$L186, "")</f>
        <v>0</v>
      </c>
      <c r="AG186" s="284" t="n">
        <f aca="false">IFERROR(($J186*T186)*$L186, "")</f>
        <v>0</v>
      </c>
      <c r="AH186" s="284" t="n">
        <f aca="false">IFERROR(($J186*U186)*$L186, "")</f>
        <v>0</v>
      </c>
      <c r="AI186" s="284" t="n">
        <f aca="false">IFERROR(($J186*V186)*$L186, "")</f>
        <v>0</v>
      </c>
      <c r="AJ186" s="284" t="n">
        <f aca="false">IFERROR(($J186*W186)*$L186, "")</f>
        <v>0</v>
      </c>
      <c r="AK186" s="284" t="n">
        <f aca="false">IFERROR(($J186*X186)*$L186, "")</f>
        <v>0</v>
      </c>
      <c r="AL186" s="284" t="n">
        <f aca="false">IFERROR(($J186*Y186)*$L186, "")</f>
        <v>0</v>
      </c>
      <c r="AM186" s="285" t="n">
        <f aca="false">IFERROR(($J186*Z186)*$L186, "")</f>
        <v>0</v>
      </c>
      <c r="AN186" s="286" t="n">
        <f aca="false">IFERROR(SUMIF($AB$4:$AM$4, "RDEC", AB186:AM186), "")</f>
        <v>0</v>
      </c>
      <c r="AO186" s="286" t="n">
        <f aca="false">IFERROR(SUMIF($AB$4:$AM$4, "SME", AB186:AM186), "")</f>
        <v>0</v>
      </c>
      <c r="AP186" s="286" t="n">
        <f aca="false">IFERROR(SUMIF($AB$4:$AM$4, "De Minimis", AB186:AM186), "")</f>
        <v>0</v>
      </c>
      <c r="AQ186" s="283"/>
      <c r="AR186" s="284" t="n">
        <f aca="false">IFERROR(($J186*O186)*$M186, "")</f>
        <v>0</v>
      </c>
      <c r="AS186" s="284" t="n">
        <f aca="false">IFERROR(($J186*P186)*$M186, "")</f>
        <v>0</v>
      </c>
      <c r="AT186" s="284" t="n">
        <f aca="false">IFERROR(($J186*Q186)*$M186, "")</f>
        <v>0</v>
      </c>
      <c r="AU186" s="284" t="n">
        <f aca="false">IFERROR(($J186*R186)*$M186, "")</f>
        <v>0</v>
      </c>
      <c r="AV186" s="284" t="n">
        <f aca="false">IFERROR(($J186*S186)*$M186, "")</f>
        <v>0</v>
      </c>
      <c r="AW186" s="284" t="n">
        <f aca="false">IFERROR(($J186*T186)*$M186, "")</f>
        <v>0</v>
      </c>
      <c r="AX186" s="284" t="n">
        <f aca="false">IFERROR(($J186*U186)*$M186, "")</f>
        <v>0</v>
      </c>
      <c r="AY186" s="284" t="n">
        <f aca="false">IFERROR(($J186*V186)*$M186, "")</f>
        <v>0</v>
      </c>
      <c r="AZ186" s="284" t="n">
        <f aca="false">IFERROR(($J186*W186)*$M186, "")</f>
        <v>0</v>
      </c>
      <c r="BA186" s="284" t="n">
        <f aca="false">IFERROR(($J186*X186)*$M186, "")</f>
        <v>0</v>
      </c>
      <c r="BB186" s="284" t="n">
        <f aca="false">IFERROR(($J186*Y186)*$M186, "")</f>
        <v>0</v>
      </c>
      <c r="BC186" s="285" t="n">
        <f aca="false">IFERROR(($J186*Z186)*$M186, "")</f>
        <v>0</v>
      </c>
      <c r="BD186" s="286" t="n">
        <f aca="false">IFERROR(SUMIF($AB$4:$AM$4, "RDEC", AR186:BC186), "")</f>
        <v>0</v>
      </c>
      <c r="BE186" s="286" t="n">
        <f aca="false">IFERROR(SUMIF($AB$4:$AM$4, "SME", AR186:BC186), "")</f>
        <v>0</v>
      </c>
      <c r="BF186" s="286" t="n">
        <f aca="false">IFERROR(SUMIF($AB$4:$AM$4, "De Minimis", AR186:BC186), "")</f>
        <v>0</v>
      </c>
      <c r="BG186" s="287"/>
      <c r="BH186" s="288" t="str">
        <f aca="false">IF((SUM(O186:Z186)&gt;1),"ERROR","")</f>
        <v/>
      </c>
      <c r="BI186" s="287"/>
      <c r="BJ186" s="18" t="str">
        <f aca="false">IF(C172&gt;0, C172, "")</f>
        <v/>
      </c>
      <c r="BL186" s="200"/>
      <c r="BM186" s="200"/>
      <c r="BN186" s="200"/>
    </row>
    <row r="187" customFormat="false" ht="15" hidden="false" customHeight="true" outlineLevel="0" collapsed="false">
      <c r="B187" s="275"/>
      <c r="D187" s="276" t="n">
        <f aca="false">D171</f>
        <v>45383</v>
      </c>
      <c r="E187" s="277" t="n">
        <v>0</v>
      </c>
      <c r="F187" s="277" t="n">
        <v>0</v>
      </c>
      <c r="G187" s="277" t="n">
        <v>0</v>
      </c>
      <c r="H187" s="277" t="n">
        <v>0</v>
      </c>
      <c r="I187" s="277" t="n">
        <v>0</v>
      </c>
      <c r="J187" s="278" t="n">
        <f aca="false">E187+H187+I187</f>
        <v>0</v>
      </c>
      <c r="K187" s="204"/>
      <c r="L187" s="279" t="n">
        <v>1</v>
      </c>
      <c r="M187" s="280" t="n">
        <f aca="false">1-L187</f>
        <v>0</v>
      </c>
      <c r="N187" s="281"/>
      <c r="O187" s="282"/>
      <c r="P187" s="282"/>
      <c r="Q187" s="282"/>
      <c r="R187" s="282"/>
      <c r="S187" s="282"/>
      <c r="T187" s="282"/>
      <c r="U187" s="282"/>
      <c r="V187" s="282"/>
      <c r="W187" s="282"/>
      <c r="X187" s="282"/>
      <c r="Y187" s="282"/>
      <c r="Z187" s="282"/>
      <c r="AA187" s="283"/>
      <c r="AB187" s="284" t="n">
        <f aca="false">IFERROR(($J187*O187)*$L187, "")</f>
        <v>0</v>
      </c>
      <c r="AC187" s="284" t="n">
        <f aca="false">IFERROR(($J187*P187)*$L187, "")</f>
        <v>0</v>
      </c>
      <c r="AD187" s="284" t="n">
        <f aca="false">IFERROR(($J187*Q187)*$L187, "")</f>
        <v>0</v>
      </c>
      <c r="AE187" s="284" t="n">
        <f aca="false">IFERROR(($J187*R187)*$L187, "")</f>
        <v>0</v>
      </c>
      <c r="AF187" s="284" t="n">
        <f aca="false">IFERROR(($J187*S187)*$L187, "")</f>
        <v>0</v>
      </c>
      <c r="AG187" s="284" t="n">
        <f aca="false">IFERROR(($J187*T187)*$L187, "")</f>
        <v>0</v>
      </c>
      <c r="AH187" s="284" t="n">
        <f aca="false">IFERROR(($J187*U187)*$L187, "")</f>
        <v>0</v>
      </c>
      <c r="AI187" s="284" t="n">
        <f aca="false">IFERROR(($J187*V187)*$L187, "")</f>
        <v>0</v>
      </c>
      <c r="AJ187" s="284" t="n">
        <f aca="false">IFERROR(($J187*W187)*$L187, "")</f>
        <v>0</v>
      </c>
      <c r="AK187" s="284" t="n">
        <f aca="false">IFERROR(($J187*X187)*$L187, "")</f>
        <v>0</v>
      </c>
      <c r="AL187" s="284" t="n">
        <f aca="false">IFERROR(($J187*Y187)*$L187, "")</f>
        <v>0</v>
      </c>
      <c r="AM187" s="285" t="n">
        <f aca="false">IFERROR(($J187*Z187)*$L187, "")</f>
        <v>0</v>
      </c>
      <c r="AN187" s="286" t="n">
        <f aca="false">IFERROR(SUMIF($AB$4:$AM$4, "RDEC", AB187:AM187), "")</f>
        <v>0</v>
      </c>
      <c r="AO187" s="286" t="n">
        <f aca="false">IFERROR(SUMIF($AB$4:$AM$4, "SME", AB187:AM187), "")</f>
        <v>0</v>
      </c>
      <c r="AP187" s="286" t="n">
        <f aca="false">IFERROR(SUMIF($AB$4:$AM$4, "De Minimis", AB187:AM187), "")</f>
        <v>0</v>
      </c>
      <c r="AQ187" s="283"/>
      <c r="AR187" s="284" t="n">
        <f aca="false">IFERROR(($J187*O187)*$M187, "")</f>
        <v>0</v>
      </c>
      <c r="AS187" s="284" t="n">
        <f aca="false">IFERROR(($J187*P187)*$M187, "")</f>
        <v>0</v>
      </c>
      <c r="AT187" s="284" t="n">
        <f aca="false">IFERROR(($J187*Q187)*$M187, "")</f>
        <v>0</v>
      </c>
      <c r="AU187" s="284" t="n">
        <f aca="false">IFERROR(($J187*R187)*$M187, "")</f>
        <v>0</v>
      </c>
      <c r="AV187" s="284" t="n">
        <f aca="false">IFERROR(($J187*S187)*$M187, "")</f>
        <v>0</v>
      </c>
      <c r="AW187" s="284" t="n">
        <f aca="false">IFERROR(($J187*T187)*$M187, "")</f>
        <v>0</v>
      </c>
      <c r="AX187" s="284" t="n">
        <f aca="false">IFERROR(($J187*U187)*$M187, "")</f>
        <v>0</v>
      </c>
      <c r="AY187" s="284" t="n">
        <f aca="false">IFERROR(($J187*V187)*$M187, "")</f>
        <v>0</v>
      </c>
      <c r="AZ187" s="284" t="n">
        <f aca="false">IFERROR(($J187*W187)*$M187, "")</f>
        <v>0</v>
      </c>
      <c r="BA187" s="284" t="n">
        <f aca="false">IFERROR(($J187*X187)*$M187, "")</f>
        <v>0</v>
      </c>
      <c r="BB187" s="284" t="n">
        <f aca="false">IFERROR(($J187*Y187)*$M187, "")</f>
        <v>0</v>
      </c>
      <c r="BC187" s="285" t="n">
        <f aca="false">IFERROR(($J187*Z187)*$M187, "")</f>
        <v>0</v>
      </c>
      <c r="BD187" s="286" t="n">
        <f aca="false">IFERROR(SUMIF($AB$4:$AM$4, "RDEC", AR187:BC187), "")</f>
        <v>0</v>
      </c>
      <c r="BE187" s="286" t="n">
        <f aca="false">IFERROR(SUMIF($AB$4:$AM$4, "SME", AR187:BC187), "")</f>
        <v>0</v>
      </c>
      <c r="BF187" s="286" t="n">
        <f aca="false">IFERROR(SUMIF($AB$4:$AM$4, "De Minimis", AR187:BC187), "")</f>
        <v>0</v>
      </c>
      <c r="BG187" s="287"/>
      <c r="BH187" s="288" t="str">
        <f aca="false">IF((SUM(O187:Z187)&gt;1),"ERROR","")</f>
        <v/>
      </c>
      <c r="BI187" s="287"/>
      <c r="BJ187" s="18" t="str">
        <f aca="false">IF(C173&gt;0, C173, "")</f>
        <v/>
      </c>
      <c r="BL187" s="200"/>
      <c r="BM187" s="200"/>
      <c r="BN187" s="200"/>
    </row>
    <row r="188" customFormat="false" ht="15" hidden="false" customHeight="true" outlineLevel="0" collapsed="false">
      <c r="B188" s="275"/>
      <c r="D188" s="276" t="n">
        <f aca="false">D172</f>
        <v>45413</v>
      </c>
      <c r="E188" s="277" t="n">
        <v>0</v>
      </c>
      <c r="F188" s="277" t="n">
        <v>0</v>
      </c>
      <c r="G188" s="277" t="n">
        <v>0</v>
      </c>
      <c r="H188" s="277" t="n">
        <v>0</v>
      </c>
      <c r="I188" s="277" t="n">
        <v>0</v>
      </c>
      <c r="J188" s="278" t="n">
        <f aca="false">E188+H188+I188</f>
        <v>0</v>
      </c>
      <c r="K188" s="204"/>
      <c r="L188" s="279" t="n">
        <v>1</v>
      </c>
      <c r="M188" s="280" t="n">
        <f aca="false">1-L188</f>
        <v>0</v>
      </c>
      <c r="N188" s="281"/>
      <c r="O188" s="282"/>
      <c r="P188" s="282"/>
      <c r="Q188" s="282"/>
      <c r="R188" s="282"/>
      <c r="S188" s="282"/>
      <c r="T188" s="282"/>
      <c r="U188" s="282"/>
      <c r="V188" s="282"/>
      <c r="W188" s="282"/>
      <c r="X188" s="282"/>
      <c r="Y188" s="282"/>
      <c r="Z188" s="282"/>
      <c r="AA188" s="283"/>
      <c r="AB188" s="284" t="n">
        <f aca="false">IFERROR(($J188*O188)*$L188, "")</f>
        <v>0</v>
      </c>
      <c r="AC188" s="284" t="n">
        <f aca="false">IFERROR(($J188*P188)*$L188, "")</f>
        <v>0</v>
      </c>
      <c r="AD188" s="284" t="n">
        <f aca="false">IFERROR(($J188*Q188)*$L188, "")</f>
        <v>0</v>
      </c>
      <c r="AE188" s="284" t="n">
        <f aca="false">IFERROR(($J188*R188)*$L188, "")</f>
        <v>0</v>
      </c>
      <c r="AF188" s="284" t="n">
        <f aca="false">IFERROR(($J188*S188)*$L188, "")</f>
        <v>0</v>
      </c>
      <c r="AG188" s="284" t="n">
        <f aca="false">IFERROR(($J188*T188)*$L188, "")</f>
        <v>0</v>
      </c>
      <c r="AH188" s="284" t="n">
        <f aca="false">IFERROR(($J188*U188)*$L188, "")</f>
        <v>0</v>
      </c>
      <c r="AI188" s="284" t="n">
        <f aca="false">IFERROR(($J188*V188)*$L188, "")</f>
        <v>0</v>
      </c>
      <c r="AJ188" s="284" t="n">
        <f aca="false">IFERROR(($J188*W188)*$L188, "")</f>
        <v>0</v>
      </c>
      <c r="AK188" s="284" t="n">
        <f aca="false">IFERROR(($J188*X188)*$L188, "")</f>
        <v>0</v>
      </c>
      <c r="AL188" s="284" t="n">
        <f aca="false">IFERROR(($J188*Y188)*$L188, "")</f>
        <v>0</v>
      </c>
      <c r="AM188" s="285" t="n">
        <f aca="false">IFERROR(($J188*Z188)*$L188, "")</f>
        <v>0</v>
      </c>
      <c r="AN188" s="286" t="n">
        <f aca="false">IFERROR(SUMIF($AB$4:$AM$4, "RDEC", AB188:AM188), "")</f>
        <v>0</v>
      </c>
      <c r="AO188" s="286" t="n">
        <f aca="false">IFERROR(SUMIF($AB$4:$AM$4, "SME", AB188:AM188), "")</f>
        <v>0</v>
      </c>
      <c r="AP188" s="286" t="n">
        <f aca="false">IFERROR(SUMIF($AB$4:$AM$4, "De Minimis", AB188:AM188), "")</f>
        <v>0</v>
      </c>
      <c r="AQ188" s="283"/>
      <c r="AR188" s="284" t="n">
        <f aca="false">IFERROR(($J188*O188)*$M188, "")</f>
        <v>0</v>
      </c>
      <c r="AS188" s="284" t="n">
        <f aca="false">IFERROR(($J188*P188)*$M188, "")</f>
        <v>0</v>
      </c>
      <c r="AT188" s="284" t="n">
        <f aca="false">IFERROR(($J188*Q188)*$M188, "")</f>
        <v>0</v>
      </c>
      <c r="AU188" s="284" t="n">
        <f aca="false">IFERROR(($J188*R188)*$M188, "")</f>
        <v>0</v>
      </c>
      <c r="AV188" s="284" t="n">
        <f aca="false">IFERROR(($J188*S188)*$M188, "")</f>
        <v>0</v>
      </c>
      <c r="AW188" s="284" t="n">
        <f aca="false">IFERROR(($J188*T188)*$M188, "")</f>
        <v>0</v>
      </c>
      <c r="AX188" s="284" t="n">
        <f aca="false">IFERROR(($J188*U188)*$M188, "")</f>
        <v>0</v>
      </c>
      <c r="AY188" s="284" t="n">
        <f aca="false">IFERROR(($J188*V188)*$M188, "")</f>
        <v>0</v>
      </c>
      <c r="AZ188" s="284" t="n">
        <f aca="false">IFERROR(($J188*W188)*$M188, "")</f>
        <v>0</v>
      </c>
      <c r="BA188" s="284" t="n">
        <f aca="false">IFERROR(($J188*X188)*$M188, "")</f>
        <v>0</v>
      </c>
      <c r="BB188" s="284" t="n">
        <f aca="false">IFERROR(($J188*Y188)*$M188, "")</f>
        <v>0</v>
      </c>
      <c r="BC188" s="285" t="n">
        <f aca="false">IFERROR(($J188*Z188)*$M188, "")</f>
        <v>0</v>
      </c>
      <c r="BD188" s="286" t="n">
        <f aca="false">IFERROR(SUMIF($AB$4:$AM$4, "RDEC", AR188:BC188), "")</f>
        <v>0</v>
      </c>
      <c r="BE188" s="286" t="n">
        <f aca="false">IFERROR(SUMIF($AB$4:$AM$4, "SME", AR188:BC188), "")</f>
        <v>0</v>
      </c>
      <c r="BF188" s="286" t="n">
        <f aca="false">IFERROR(SUMIF($AB$4:$AM$4, "De Minimis", AR188:BC188), "")</f>
        <v>0</v>
      </c>
      <c r="BG188" s="287"/>
      <c r="BH188" s="288" t="str">
        <f aca="false">IF((SUM(O188:Z188)&gt;1),"ERROR","")</f>
        <v/>
      </c>
      <c r="BI188" s="287"/>
      <c r="BJ188" s="18" t="str">
        <f aca="false">IF(C174&gt;0, C174, "")</f>
        <v/>
      </c>
      <c r="BL188" s="200"/>
      <c r="BM188" s="200"/>
      <c r="BN188" s="200"/>
    </row>
    <row r="189" customFormat="false" ht="15" hidden="false" customHeight="true" outlineLevel="0" collapsed="false">
      <c r="B189" s="275"/>
      <c r="D189" s="276" t="n">
        <f aca="false">D173</f>
        <v>45444</v>
      </c>
      <c r="E189" s="277" t="n">
        <v>0</v>
      </c>
      <c r="F189" s="277" t="n">
        <v>0</v>
      </c>
      <c r="G189" s="277" t="n">
        <v>0</v>
      </c>
      <c r="H189" s="277" t="n">
        <v>0</v>
      </c>
      <c r="I189" s="277" t="n">
        <v>0</v>
      </c>
      <c r="J189" s="278" t="n">
        <f aca="false">E189+H189+I189</f>
        <v>0</v>
      </c>
      <c r="K189" s="204"/>
      <c r="L189" s="279" t="n">
        <v>1</v>
      </c>
      <c r="M189" s="280" t="n">
        <f aca="false">1-L189</f>
        <v>0</v>
      </c>
      <c r="N189" s="281"/>
      <c r="O189" s="282"/>
      <c r="P189" s="282"/>
      <c r="Q189" s="282"/>
      <c r="R189" s="282"/>
      <c r="S189" s="282"/>
      <c r="T189" s="282"/>
      <c r="U189" s="282"/>
      <c r="V189" s="282"/>
      <c r="W189" s="282"/>
      <c r="X189" s="282"/>
      <c r="Y189" s="282"/>
      <c r="Z189" s="282"/>
      <c r="AA189" s="283"/>
      <c r="AB189" s="284" t="n">
        <f aca="false">IFERROR(($J189*O189)*$L189, "")</f>
        <v>0</v>
      </c>
      <c r="AC189" s="284" t="n">
        <f aca="false">IFERROR(($J189*P189)*$L189, "")</f>
        <v>0</v>
      </c>
      <c r="AD189" s="284" t="n">
        <f aca="false">IFERROR(($J189*Q189)*$L189, "")</f>
        <v>0</v>
      </c>
      <c r="AE189" s="284" t="n">
        <f aca="false">IFERROR(($J189*R189)*$L189, "")</f>
        <v>0</v>
      </c>
      <c r="AF189" s="284" t="n">
        <f aca="false">IFERROR(($J189*S189)*$L189, "")</f>
        <v>0</v>
      </c>
      <c r="AG189" s="284" t="n">
        <f aca="false">IFERROR(($J189*T189)*$L189, "")</f>
        <v>0</v>
      </c>
      <c r="AH189" s="284" t="n">
        <f aca="false">IFERROR(($J189*U189)*$L189, "")</f>
        <v>0</v>
      </c>
      <c r="AI189" s="284" t="n">
        <f aca="false">IFERROR(($J189*V189)*$L189, "")</f>
        <v>0</v>
      </c>
      <c r="AJ189" s="284" t="n">
        <f aca="false">IFERROR(($J189*W189)*$L189, "")</f>
        <v>0</v>
      </c>
      <c r="AK189" s="284" t="n">
        <f aca="false">IFERROR(($J189*X189)*$L189, "")</f>
        <v>0</v>
      </c>
      <c r="AL189" s="284" t="n">
        <f aca="false">IFERROR(($J189*Y189)*$L189, "")</f>
        <v>0</v>
      </c>
      <c r="AM189" s="285" t="n">
        <f aca="false">IFERROR(($J189*Z189)*$L189, "")</f>
        <v>0</v>
      </c>
      <c r="AN189" s="286" t="n">
        <f aca="false">IFERROR(SUMIF($AB$4:$AM$4, "RDEC", AB189:AM189), "")</f>
        <v>0</v>
      </c>
      <c r="AO189" s="286" t="n">
        <f aca="false">IFERROR(SUMIF($AB$4:$AM$4, "SME", AB189:AM189), "")</f>
        <v>0</v>
      </c>
      <c r="AP189" s="286" t="n">
        <f aca="false">IFERROR(SUMIF($AB$4:$AM$4, "De Minimis", AB189:AM189), "")</f>
        <v>0</v>
      </c>
      <c r="AQ189" s="283"/>
      <c r="AR189" s="284" t="n">
        <f aca="false">IFERROR(($J189*O189)*$M189, "")</f>
        <v>0</v>
      </c>
      <c r="AS189" s="284" t="n">
        <f aca="false">IFERROR(($J189*P189)*$M189, "")</f>
        <v>0</v>
      </c>
      <c r="AT189" s="284" t="n">
        <f aca="false">IFERROR(($J189*Q189)*$M189, "")</f>
        <v>0</v>
      </c>
      <c r="AU189" s="284" t="n">
        <f aca="false">IFERROR(($J189*R189)*$M189, "")</f>
        <v>0</v>
      </c>
      <c r="AV189" s="284" t="n">
        <f aca="false">IFERROR(($J189*S189)*$M189, "")</f>
        <v>0</v>
      </c>
      <c r="AW189" s="284" t="n">
        <f aca="false">IFERROR(($J189*T189)*$M189, "")</f>
        <v>0</v>
      </c>
      <c r="AX189" s="284" t="n">
        <f aca="false">IFERROR(($J189*U189)*$M189, "")</f>
        <v>0</v>
      </c>
      <c r="AY189" s="284" t="n">
        <f aca="false">IFERROR(($J189*V189)*$M189, "")</f>
        <v>0</v>
      </c>
      <c r="AZ189" s="284" t="n">
        <f aca="false">IFERROR(($J189*W189)*$M189, "")</f>
        <v>0</v>
      </c>
      <c r="BA189" s="284" t="n">
        <f aca="false">IFERROR(($J189*X189)*$M189, "")</f>
        <v>0</v>
      </c>
      <c r="BB189" s="284" t="n">
        <f aca="false">IFERROR(($J189*Y189)*$M189, "")</f>
        <v>0</v>
      </c>
      <c r="BC189" s="285" t="n">
        <f aca="false">IFERROR(($J189*Z189)*$M189, "")</f>
        <v>0</v>
      </c>
      <c r="BD189" s="286" t="n">
        <f aca="false">IFERROR(SUMIF($AB$4:$AM$4, "RDEC", AR189:BC189), "")</f>
        <v>0</v>
      </c>
      <c r="BE189" s="286" t="n">
        <f aca="false">IFERROR(SUMIF($AB$4:$AM$4, "SME", AR189:BC189), "")</f>
        <v>0</v>
      </c>
      <c r="BF189" s="286" t="n">
        <f aca="false">IFERROR(SUMIF($AB$4:$AM$4, "De Minimis", AR189:BC189), "")</f>
        <v>0</v>
      </c>
      <c r="BG189" s="287"/>
      <c r="BH189" s="288" t="str">
        <f aca="false">IF((SUM(O189:Z189)&gt;1),"ERROR","")</f>
        <v/>
      </c>
      <c r="BI189" s="287"/>
      <c r="BJ189" s="18" t="str">
        <f aca="false">IF(C175&gt;0, C175, "")</f>
        <v/>
      </c>
      <c r="BL189" s="200"/>
      <c r="BM189" s="200"/>
      <c r="BN189" s="200"/>
    </row>
    <row r="190" customFormat="false" ht="15" hidden="false" customHeight="true" outlineLevel="0" collapsed="false">
      <c r="B190" s="275"/>
      <c r="D190" s="276" t="n">
        <f aca="false">D174</f>
        <v>45474</v>
      </c>
      <c r="E190" s="277" t="n">
        <v>0</v>
      </c>
      <c r="F190" s="277" t="n">
        <v>0</v>
      </c>
      <c r="G190" s="277" t="n">
        <v>0</v>
      </c>
      <c r="H190" s="277" t="n">
        <v>0</v>
      </c>
      <c r="I190" s="277" t="n">
        <v>0</v>
      </c>
      <c r="J190" s="278" t="n">
        <f aca="false">E190+H190+I190</f>
        <v>0</v>
      </c>
      <c r="K190" s="204"/>
      <c r="L190" s="279" t="n">
        <v>1</v>
      </c>
      <c r="M190" s="280" t="n">
        <f aca="false">1-L190</f>
        <v>0</v>
      </c>
      <c r="N190" s="281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83"/>
      <c r="AB190" s="284" t="n">
        <f aca="false">IFERROR(($J190*O190)*$L190, "")</f>
        <v>0</v>
      </c>
      <c r="AC190" s="284" t="n">
        <f aca="false">IFERROR(($J190*P190)*$L190, "")</f>
        <v>0</v>
      </c>
      <c r="AD190" s="284" t="n">
        <f aca="false">IFERROR(($J190*Q190)*$L190, "")</f>
        <v>0</v>
      </c>
      <c r="AE190" s="284" t="n">
        <f aca="false">IFERROR(($J190*R190)*$L190, "")</f>
        <v>0</v>
      </c>
      <c r="AF190" s="284" t="n">
        <f aca="false">IFERROR(($J190*S190)*$L190, "")</f>
        <v>0</v>
      </c>
      <c r="AG190" s="284" t="n">
        <f aca="false">IFERROR(($J190*T190)*$L190, "")</f>
        <v>0</v>
      </c>
      <c r="AH190" s="284" t="n">
        <f aca="false">IFERROR(($J190*U190)*$L190, "")</f>
        <v>0</v>
      </c>
      <c r="AI190" s="284" t="n">
        <f aca="false">IFERROR(($J190*V190)*$L190, "")</f>
        <v>0</v>
      </c>
      <c r="AJ190" s="284" t="n">
        <f aca="false">IFERROR(($J190*W190)*$L190, "")</f>
        <v>0</v>
      </c>
      <c r="AK190" s="284" t="n">
        <f aca="false">IFERROR(($J190*X190)*$L190, "")</f>
        <v>0</v>
      </c>
      <c r="AL190" s="284" t="n">
        <f aca="false">IFERROR(($J190*Y190)*$L190, "")</f>
        <v>0</v>
      </c>
      <c r="AM190" s="285" t="n">
        <f aca="false">IFERROR(($J190*Z190)*$L190, "")</f>
        <v>0</v>
      </c>
      <c r="AN190" s="286" t="n">
        <f aca="false">IFERROR(SUMIF($AB$4:$AM$4, "RDEC", AB190:AM190), "")</f>
        <v>0</v>
      </c>
      <c r="AO190" s="286" t="n">
        <f aca="false">IFERROR(SUMIF($AB$4:$AM$4, "SME", AB190:AM190), "")</f>
        <v>0</v>
      </c>
      <c r="AP190" s="286" t="n">
        <f aca="false">IFERROR(SUMIF($AB$4:$AM$4, "De Minimis", AB190:AM190), "")</f>
        <v>0</v>
      </c>
      <c r="AQ190" s="283"/>
      <c r="AR190" s="284" t="n">
        <f aca="false">IFERROR(($J190*O190)*$M190, "")</f>
        <v>0</v>
      </c>
      <c r="AS190" s="284" t="n">
        <f aca="false">IFERROR(($J190*P190)*$M190, "")</f>
        <v>0</v>
      </c>
      <c r="AT190" s="284" t="n">
        <f aca="false">IFERROR(($J190*Q190)*$M190, "")</f>
        <v>0</v>
      </c>
      <c r="AU190" s="284" t="n">
        <f aca="false">IFERROR(($J190*R190)*$M190, "")</f>
        <v>0</v>
      </c>
      <c r="AV190" s="284" t="n">
        <f aca="false">IFERROR(($J190*S190)*$M190, "")</f>
        <v>0</v>
      </c>
      <c r="AW190" s="284" t="n">
        <f aca="false">IFERROR(($J190*T190)*$M190, "")</f>
        <v>0</v>
      </c>
      <c r="AX190" s="284" t="n">
        <f aca="false">IFERROR(($J190*U190)*$M190, "")</f>
        <v>0</v>
      </c>
      <c r="AY190" s="284" t="n">
        <f aca="false">IFERROR(($J190*V190)*$M190, "")</f>
        <v>0</v>
      </c>
      <c r="AZ190" s="284" t="n">
        <f aca="false">IFERROR(($J190*W190)*$M190, "")</f>
        <v>0</v>
      </c>
      <c r="BA190" s="284" t="n">
        <f aca="false">IFERROR(($J190*X190)*$M190, "")</f>
        <v>0</v>
      </c>
      <c r="BB190" s="284" t="n">
        <f aca="false">IFERROR(($J190*Y190)*$M190, "")</f>
        <v>0</v>
      </c>
      <c r="BC190" s="285" t="n">
        <f aca="false">IFERROR(($J190*Z190)*$M190, "")</f>
        <v>0</v>
      </c>
      <c r="BD190" s="286" t="n">
        <f aca="false">IFERROR(SUMIF($AB$4:$AM$4, "RDEC", AR190:BC190), "")</f>
        <v>0</v>
      </c>
      <c r="BE190" s="286" t="n">
        <f aca="false">IFERROR(SUMIF($AB$4:$AM$4, "SME", AR190:BC190), "")</f>
        <v>0</v>
      </c>
      <c r="BF190" s="286" t="n">
        <f aca="false">IFERROR(SUMIF($AB$4:$AM$4, "De Minimis", AR190:BC190), "")</f>
        <v>0</v>
      </c>
      <c r="BG190" s="287"/>
      <c r="BH190" s="288" t="str">
        <f aca="false">IF((SUM(O190:Z190)&gt;1),"ERROR","")</f>
        <v/>
      </c>
      <c r="BI190" s="287"/>
      <c r="BJ190" s="18" t="str">
        <f aca="false">IF(C176&gt;0, C176, "")</f>
        <v/>
      </c>
      <c r="BL190" s="200"/>
      <c r="BM190" s="200"/>
      <c r="BN190" s="200"/>
    </row>
    <row r="191" customFormat="false" ht="15" hidden="false" customHeight="true" outlineLevel="0" collapsed="false">
      <c r="B191" s="275"/>
      <c r="D191" s="276" t="n">
        <f aca="false">D175</f>
        <v>45505</v>
      </c>
      <c r="E191" s="277" t="n">
        <v>0</v>
      </c>
      <c r="F191" s="277" t="n">
        <v>0</v>
      </c>
      <c r="G191" s="277" t="n">
        <v>0</v>
      </c>
      <c r="H191" s="277" t="n">
        <v>0</v>
      </c>
      <c r="I191" s="277" t="n">
        <v>0</v>
      </c>
      <c r="J191" s="278" t="n">
        <f aca="false">E191+H191+I191</f>
        <v>0</v>
      </c>
      <c r="K191" s="204"/>
      <c r="L191" s="279" t="n">
        <v>1</v>
      </c>
      <c r="M191" s="280" t="n">
        <f aca="false">1-L191</f>
        <v>0</v>
      </c>
      <c r="N191" s="281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83"/>
      <c r="AB191" s="284" t="n">
        <f aca="false">IFERROR(($J191*O191)*$L191, "")</f>
        <v>0</v>
      </c>
      <c r="AC191" s="284" t="n">
        <f aca="false">IFERROR(($J191*P191)*$L191, "")</f>
        <v>0</v>
      </c>
      <c r="AD191" s="284" t="n">
        <f aca="false">IFERROR(($J191*Q191)*$L191, "")</f>
        <v>0</v>
      </c>
      <c r="AE191" s="284" t="n">
        <f aca="false">IFERROR(($J191*R191)*$L191, "")</f>
        <v>0</v>
      </c>
      <c r="AF191" s="284" t="n">
        <f aca="false">IFERROR(($J191*S191)*$L191, "")</f>
        <v>0</v>
      </c>
      <c r="AG191" s="284" t="n">
        <f aca="false">IFERROR(($J191*T191)*$L191, "")</f>
        <v>0</v>
      </c>
      <c r="AH191" s="284" t="n">
        <f aca="false">IFERROR(($J191*U191)*$L191, "")</f>
        <v>0</v>
      </c>
      <c r="AI191" s="284" t="n">
        <f aca="false">IFERROR(($J191*V191)*$L191, "")</f>
        <v>0</v>
      </c>
      <c r="AJ191" s="284" t="n">
        <f aca="false">IFERROR(($J191*W191)*$L191, "")</f>
        <v>0</v>
      </c>
      <c r="AK191" s="284" t="n">
        <f aca="false">IFERROR(($J191*X191)*$L191, "")</f>
        <v>0</v>
      </c>
      <c r="AL191" s="284" t="n">
        <f aca="false">IFERROR(($J191*Y191)*$L191, "")</f>
        <v>0</v>
      </c>
      <c r="AM191" s="285" t="n">
        <f aca="false">IFERROR(($J191*Z191)*$L191, "")</f>
        <v>0</v>
      </c>
      <c r="AN191" s="286" t="n">
        <f aca="false">IFERROR(SUMIF($AB$4:$AM$4, "RDEC", AB191:AM191), "")</f>
        <v>0</v>
      </c>
      <c r="AO191" s="286" t="n">
        <f aca="false">IFERROR(SUMIF($AB$4:$AM$4, "SME", AB191:AM191), "")</f>
        <v>0</v>
      </c>
      <c r="AP191" s="286" t="n">
        <f aca="false">IFERROR(SUMIF($AB$4:$AM$4, "De Minimis", AB191:AM191), "")</f>
        <v>0</v>
      </c>
      <c r="AQ191" s="283"/>
      <c r="AR191" s="284" t="n">
        <f aca="false">IFERROR(($J191*O191)*$M191, "")</f>
        <v>0</v>
      </c>
      <c r="AS191" s="284" t="n">
        <f aca="false">IFERROR(($J191*P191)*$M191, "")</f>
        <v>0</v>
      </c>
      <c r="AT191" s="284" t="n">
        <f aca="false">IFERROR(($J191*Q191)*$M191, "")</f>
        <v>0</v>
      </c>
      <c r="AU191" s="284" t="n">
        <f aca="false">IFERROR(($J191*R191)*$M191, "")</f>
        <v>0</v>
      </c>
      <c r="AV191" s="284" t="n">
        <f aca="false">IFERROR(($J191*S191)*$M191, "")</f>
        <v>0</v>
      </c>
      <c r="AW191" s="284" t="n">
        <f aca="false">IFERROR(($J191*T191)*$M191, "")</f>
        <v>0</v>
      </c>
      <c r="AX191" s="284" t="n">
        <f aca="false">IFERROR(($J191*U191)*$M191, "")</f>
        <v>0</v>
      </c>
      <c r="AY191" s="284" t="n">
        <f aca="false">IFERROR(($J191*V191)*$M191, "")</f>
        <v>0</v>
      </c>
      <c r="AZ191" s="284" t="n">
        <f aca="false">IFERROR(($J191*W191)*$M191, "")</f>
        <v>0</v>
      </c>
      <c r="BA191" s="284" t="n">
        <f aca="false">IFERROR(($J191*X191)*$M191, "")</f>
        <v>0</v>
      </c>
      <c r="BB191" s="284" t="n">
        <f aca="false">IFERROR(($J191*Y191)*$M191, "")</f>
        <v>0</v>
      </c>
      <c r="BC191" s="285" t="n">
        <f aca="false">IFERROR(($J191*Z191)*$M191, "")</f>
        <v>0</v>
      </c>
      <c r="BD191" s="286" t="n">
        <f aca="false">IFERROR(SUMIF($AB$4:$AM$4, "RDEC", AR191:BC191), "")</f>
        <v>0</v>
      </c>
      <c r="BE191" s="286" t="n">
        <f aca="false">IFERROR(SUMIF($AB$4:$AM$4, "SME", AR191:BC191), "")</f>
        <v>0</v>
      </c>
      <c r="BF191" s="286" t="n">
        <f aca="false">IFERROR(SUMIF($AB$4:$AM$4, "De Minimis", AR191:BC191), "")</f>
        <v>0</v>
      </c>
      <c r="BG191" s="287"/>
      <c r="BH191" s="288" t="str">
        <f aca="false">IF((SUM(O191:Z191)&gt;1),"ERROR","")</f>
        <v/>
      </c>
      <c r="BI191" s="287"/>
      <c r="BJ191" s="18" t="str">
        <f aca="false">IF(C177&gt;0, C177, "")</f>
        <v/>
      </c>
      <c r="BL191" s="200"/>
      <c r="BM191" s="200"/>
      <c r="BN191" s="200"/>
    </row>
    <row r="192" customFormat="false" ht="15" hidden="false" customHeight="true" outlineLevel="0" collapsed="false">
      <c r="B192" s="275"/>
      <c r="D192" s="276" t="n">
        <f aca="false">D176</f>
        <v>45536</v>
      </c>
      <c r="E192" s="277" t="n">
        <v>0</v>
      </c>
      <c r="F192" s="277" t="n">
        <v>0</v>
      </c>
      <c r="G192" s="277" t="n">
        <v>0</v>
      </c>
      <c r="H192" s="277" t="n">
        <v>0</v>
      </c>
      <c r="I192" s="277" t="n">
        <v>0</v>
      </c>
      <c r="J192" s="278" t="n">
        <f aca="false">E192+H192+I192</f>
        <v>0</v>
      </c>
      <c r="K192" s="204"/>
      <c r="L192" s="279" t="n">
        <v>1</v>
      </c>
      <c r="M192" s="280" t="n">
        <f aca="false">1-L192</f>
        <v>0</v>
      </c>
      <c r="N192" s="281"/>
      <c r="O192" s="282"/>
      <c r="P192" s="282"/>
      <c r="Q192" s="282"/>
      <c r="R192" s="282"/>
      <c r="S192" s="282"/>
      <c r="T192" s="282"/>
      <c r="U192" s="282"/>
      <c r="V192" s="282"/>
      <c r="W192" s="282"/>
      <c r="X192" s="282"/>
      <c r="Y192" s="282"/>
      <c r="Z192" s="282"/>
      <c r="AA192" s="283"/>
      <c r="AB192" s="284" t="n">
        <f aca="false">IFERROR(($J192*O192)*$L192, "")</f>
        <v>0</v>
      </c>
      <c r="AC192" s="284" t="n">
        <f aca="false">IFERROR(($J192*P192)*$L192, "")</f>
        <v>0</v>
      </c>
      <c r="AD192" s="284" t="n">
        <f aca="false">IFERROR(($J192*Q192)*$L192, "")</f>
        <v>0</v>
      </c>
      <c r="AE192" s="284" t="n">
        <f aca="false">IFERROR(($J192*R192)*$L192, "")</f>
        <v>0</v>
      </c>
      <c r="AF192" s="284" t="n">
        <f aca="false">IFERROR(($J192*S192)*$L192, "")</f>
        <v>0</v>
      </c>
      <c r="AG192" s="284" t="n">
        <f aca="false">IFERROR(($J192*T192)*$L192, "")</f>
        <v>0</v>
      </c>
      <c r="AH192" s="284" t="n">
        <f aca="false">IFERROR(($J192*U192)*$L192, "")</f>
        <v>0</v>
      </c>
      <c r="AI192" s="284" t="n">
        <f aca="false">IFERROR(($J192*V192)*$L192, "")</f>
        <v>0</v>
      </c>
      <c r="AJ192" s="284" t="n">
        <f aca="false">IFERROR(($J192*W192)*$L192, "")</f>
        <v>0</v>
      </c>
      <c r="AK192" s="284" t="n">
        <f aca="false">IFERROR(($J192*X192)*$L192, "")</f>
        <v>0</v>
      </c>
      <c r="AL192" s="284" t="n">
        <f aca="false">IFERROR(($J192*Y192)*$L192, "")</f>
        <v>0</v>
      </c>
      <c r="AM192" s="285" t="n">
        <f aca="false">IFERROR(($J192*Z192)*$L192, "")</f>
        <v>0</v>
      </c>
      <c r="AN192" s="286" t="n">
        <f aca="false">IFERROR(SUMIF($AB$4:$AM$4, "RDEC", AB192:AM192), "")</f>
        <v>0</v>
      </c>
      <c r="AO192" s="286" t="n">
        <f aca="false">IFERROR(SUMIF($AB$4:$AM$4, "SME", AB192:AM192), "")</f>
        <v>0</v>
      </c>
      <c r="AP192" s="286" t="n">
        <f aca="false">IFERROR(SUMIF($AB$4:$AM$4, "De Minimis", AB192:AM192), "")</f>
        <v>0</v>
      </c>
      <c r="AQ192" s="283"/>
      <c r="AR192" s="284" t="n">
        <f aca="false">IFERROR(($J192*O192)*$M192, "")</f>
        <v>0</v>
      </c>
      <c r="AS192" s="284" t="n">
        <f aca="false">IFERROR(($J192*P192)*$M192, "")</f>
        <v>0</v>
      </c>
      <c r="AT192" s="284" t="n">
        <f aca="false">IFERROR(($J192*Q192)*$M192, "")</f>
        <v>0</v>
      </c>
      <c r="AU192" s="284" t="n">
        <f aca="false">IFERROR(($J192*R192)*$M192, "")</f>
        <v>0</v>
      </c>
      <c r="AV192" s="284" t="n">
        <f aca="false">IFERROR(($J192*S192)*$M192, "")</f>
        <v>0</v>
      </c>
      <c r="AW192" s="284" t="n">
        <f aca="false">IFERROR(($J192*T192)*$M192, "")</f>
        <v>0</v>
      </c>
      <c r="AX192" s="284" t="n">
        <f aca="false">IFERROR(($J192*U192)*$M192, "")</f>
        <v>0</v>
      </c>
      <c r="AY192" s="284" t="n">
        <f aca="false">IFERROR(($J192*V192)*$M192, "")</f>
        <v>0</v>
      </c>
      <c r="AZ192" s="284" t="n">
        <f aca="false">IFERROR(($J192*W192)*$M192, "")</f>
        <v>0</v>
      </c>
      <c r="BA192" s="284" t="n">
        <f aca="false">IFERROR(($J192*X192)*$M192, "")</f>
        <v>0</v>
      </c>
      <c r="BB192" s="284" t="n">
        <f aca="false">IFERROR(($J192*Y192)*$M192, "")</f>
        <v>0</v>
      </c>
      <c r="BC192" s="285" t="n">
        <f aca="false">IFERROR(($J192*Z192)*$M192, "")</f>
        <v>0</v>
      </c>
      <c r="BD192" s="286" t="n">
        <f aca="false">IFERROR(SUMIF($AB$4:$AM$4, "RDEC", AR192:BC192), "")</f>
        <v>0</v>
      </c>
      <c r="BE192" s="286" t="n">
        <f aca="false">IFERROR(SUMIF($AB$4:$AM$4, "SME", AR192:BC192), "")</f>
        <v>0</v>
      </c>
      <c r="BF192" s="286" t="n">
        <f aca="false">IFERROR(SUMIF($AB$4:$AM$4, "De Minimis", AR192:BC192), "")</f>
        <v>0</v>
      </c>
      <c r="BG192" s="287"/>
      <c r="BH192" s="288" t="str">
        <f aca="false">IF((SUM(O192:Z192)&gt;1),"ERROR","")</f>
        <v/>
      </c>
      <c r="BI192" s="287"/>
      <c r="BJ192" s="18" t="str">
        <f aca="false">IF(C178&gt;0, C178, "")</f>
        <v/>
      </c>
      <c r="BL192" s="200"/>
      <c r="BM192" s="200"/>
      <c r="BN192" s="200"/>
    </row>
    <row r="193" customFormat="false" ht="15" hidden="false" customHeight="true" outlineLevel="0" collapsed="false">
      <c r="B193" s="275"/>
      <c r="D193" s="276" t="n">
        <f aca="false">D177</f>
        <v>45566</v>
      </c>
      <c r="E193" s="277" t="n">
        <v>0</v>
      </c>
      <c r="F193" s="277" t="n">
        <v>0</v>
      </c>
      <c r="G193" s="277" t="n">
        <v>0</v>
      </c>
      <c r="H193" s="277" t="n">
        <v>0</v>
      </c>
      <c r="I193" s="277" t="n">
        <v>0</v>
      </c>
      <c r="J193" s="278" t="n">
        <f aca="false">E193+H193+I193</f>
        <v>0</v>
      </c>
      <c r="K193" s="204"/>
      <c r="L193" s="279" t="n">
        <v>1</v>
      </c>
      <c r="M193" s="280" t="n">
        <f aca="false">1-L193</f>
        <v>0</v>
      </c>
      <c r="N193" s="281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  <c r="AA193" s="283"/>
      <c r="AB193" s="284" t="n">
        <f aca="false">IFERROR(($J193*O193)*$L193, "")</f>
        <v>0</v>
      </c>
      <c r="AC193" s="284" t="n">
        <f aca="false">IFERROR(($J193*P193)*$L193, "")</f>
        <v>0</v>
      </c>
      <c r="AD193" s="284" t="n">
        <f aca="false">IFERROR(($J193*Q193)*$L193, "")</f>
        <v>0</v>
      </c>
      <c r="AE193" s="284" t="n">
        <f aca="false">IFERROR(($J193*R193)*$L193, "")</f>
        <v>0</v>
      </c>
      <c r="AF193" s="284" t="n">
        <f aca="false">IFERROR(($J193*S193)*$L193, "")</f>
        <v>0</v>
      </c>
      <c r="AG193" s="284" t="n">
        <f aca="false">IFERROR(($J193*T193)*$L193, "")</f>
        <v>0</v>
      </c>
      <c r="AH193" s="284" t="n">
        <f aca="false">IFERROR(($J193*U193)*$L193, "")</f>
        <v>0</v>
      </c>
      <c r="AI193" s="284" t="n">
        <f aca="false">IFERROR(($J193*V193)*$L193, "")</f>
        <v>0</v>
      </c>
      <c r="AJ193" s="284" t="n">
        <f aca="false">IFERROR(($J193*W193)*$L193, "")</f>
        <v>0</v>
      </c>
      <c r="AK193" s="284" t="n">
        <f aca="false">IFERROR(($J193*X193)*$L193, "")</f>
        <v>0</v>
      </c>
      <c r="AL193" s="284" t="n">
        <f aca="false">IFERROR(($J193*Y193)*$L193, "")</f>
        <v>0</v>
      </c>
      <c r="AM193" s="285" t="n">
        <f aca="false">IFERROR(($J193*Z193)*$L193, "")</f>
        <v>0</v>
      </c>
      <c r="AN193" s="286" t="n">
        <f aca="false">IFERROR(SUMIF($AB$4:$AM$4, "RDEC", AB193:AM193), "")</f>
        <v>0</v>
      </c>
      <c r="AO193" s="286" t="n">
        <f aca="false">IFERROR(SUMIF($AB$4:$AM$4, "SME", AB193:AM193), "")</f>
        <v>0</v>
      </c>
      <c r="AP193" s="286" t="n">
        <f aca="false">IFERROR(SUMIF($AB$4:$AM$4, "De Minimis", AB193:AM193), "")</f>
        <v>0</v>
      </c>
      <c r="AQ193" s="283"/>
      <c r="AR193" s="284" t="n">
        <f aca="false">IFERROR(($J193*O193)*$M193, "")</f>
        <v>0</v>
      </c>
      <c r="AS193" s="284" t="n">
        <f aca="false">IFERROR(($J193*P193)*$M193, "")</f>
        <v>0</v>
      </c>
      <c r="AT193" s="284" t="n">
        <f aca="false">IFERROR(($J193*Q193)*$M193, "")</f>
        <v>0</v>
      </c>
      <c r="AU193" s="284" t="n">
        <f aca="false">IFERROR(($J193*R193)*$M193, "")</f>
        <v>0</v>
      </c>
      <c r="AV193" s="284" t="n">
        <f aca="false">IFERROR(($J193*S193)*$M193, "")</f>
        <v>0</v>
      </c>
      <c r="AW193" s="284" t="n">
        <f aca="false">IFERROR(($J193*T193)*$M193, "")</f>
        <v>0</v>
      </c>
      <c r="AX193" s="284" t="n">
        <f aca="false">IFERROR(($J193*U193)*$M193, "")</f>
        <v>0</v>
      </c>
      <c r="AY193" s="284" t="n">
        <f aca="false">IFERROR(($J193*V193)*$M193, "")</f>
        <v>0</v>
      </c>
      <c r="AZ193" s="284" t="n">
        <f aca="false">IFERROR(($J193*W193)*$M193, "")</f>
        <v>0</v>
      </c>
      <c r="BA193" s="284" t="n">
        <f aca="false">IFERROR(($J193*X193)*$M193, "")</f>
        <v>0</v>
      </c>
      <c r="BB193" s="284" t="n">
        <f aca="false">IFERROR(($J193*Y193)*$M193, "")</f>
        <v>0</v>
      </c>
      <c r="BC193" s="285" t="n">
        <f aca="false">IFERROR(($J193*Z193)*$M193, "")</f>
        <v>0</v>
      </c>
      <c r="BD193" s="286" t="n">
        <f aca="false">IFERROR(SUMIF($AB$4:$AM$4, "RDEC", AR193:BC193), "")</f>
        <v>0</v>
      </c>
      <c r="BE193" s="286" t="n">
        <f aca="false">IFERROR(SUMIF($AB$4:$AM$4, "SME", AR193:BC193), "")</f>
        <v>0</v>
      </c>
      <c r="BF193" s="286" t="n">
        <f aca="false">IFERROR(SUMIF($AB$4:$AM$4, "De Minimis", AR193:BC193), "")</f>
        <v>0</v>
      </c>
      <c r="BG193" s="287"/>
      <c r="BH193" s="288" t="str">
        <f aca="false">IF((SUM(O193:Z193)&gt;1),"ERROR","")</f>
        <v/>
      </c>
      <c r="BI193" s="287"/>
      <c r="BJ193" s="18" t="str">
        <f aca="false">IF(C179&gt;0, C179, "")</f>
        <v/>
      </c>
      <c r="BL193" s="200"/>
      <c r="BM193" s="200"/>
      <c r="BN193" s="200"/>
    </row>
    <row r="194" customFormat="false" ht="15" hidden="false" customHeight="true" outlineLevel="0" collapsed="false">
      <c r="B194" s="275"/>
      <c r="D194" s="276" t="n">
        <f aca="false">D178</f>
        <v>45597</v>
      </c>
      <c r="E194" s="277" t="n">
        <v>0</v>
      </c>
      <c r="F194" s="277" t="n">
        <v>0</v>
      </c>
      <c r="G194" s="277" t="n">
        <v>0</v>
      </c>
      <c r="H194" s="277" t="n">
        <v>0</v>
      </c>
      <c r="I194" s="277" t="n">
        <v>0</v>
      </c>
      <c r="J194" s="278" t="n">
        <f aca="false">E194+H194+I194</f>
        <v>0</v>
      </c>
      <c r="K194" s="204"/>
      <c r="L194" s="279" t="n">
        <v>1</v>
      </c>
      <c r="M194" s="280" t="n">
        <f aca="false">1-L194</f>
        <v>0</v>
      </c>
      <c r="N194" s="281"/>
      <c r="O194" s="282"/>
      <c r="P194" s="282"/>
      <c r="Q194" s="282"/>
      <c r="R194" s="282"/>
      <c r="S194" s="282"/>
      <c r="T194" s="282"/>
      <c r="U194" s="282"/>
      <c r="V194" s="282"/>
      <c r="W194" s="282"/>
      <c r="X194" s="282"/>
      <c r="Y194" s="282"/>
      <c r="Z194" s="282"/>
      <c r="AA194" s="283"/>
      <c r="AB194" s="284" t="n">
        <f aca="false">IFERROR(($J194*O194)*$L194, "")</f>
        <v>0</v>
      </c>
      <c r="AC194" s="284" t="n">
        <f aca="false">IFERROR(($J194*P194)*$L194, "")</f>
        <v>0</v>
      </c>
      <c r="AD194" s="284" t="n">
        <f aca="false">IFERROR(($J194*Q194)*$L194, "")</f>
        <v>0</v>
      </c>
      <c r="AE194" s="284" t="n">
        <f aca="false">IFERROR(($J194*R194)*$L194, "")</f>
        <v>0</v>
      </c>
      <c r="AF194" s="284" t="n">
        <f aca="false">IFERROR(($J194*S194)*$L194, "")</f>
        <v>0</v>
      </c>
      <c r="AG194" s="284" t="n">
        <f aca="false">IFERROR(($J194*T194)*$L194, "")</f>
        <v>0</v>
      </c>
      <c r="AH194" s="284" t="n">
        <f aca="false">IFERROR(($J194*U194)*$L194, "")</f>
        <v>0</v>
      </c>
      <c r="AI194" s="284" t="n">
        <f aca="false">IFERROR(($J194*V194)*$L194, "")</f>
        <v>0</v>
      </c>
      <c r="AJ194" s="284" t="n">
        <f aca="false">IFERROR(($J194*W194)*$L194, "")</f>
        <v>0</v>
      </c>
      <c r="AK194" s="284" t="n">
        <f aca="false">IFERROR(($J194*X194)*$L194, "")</f>
        <v>0</v>
      </c>
      <c r="AL194" s="284" t="n">
        <f aca="false">IFERROR(($J194*Y194)*$L194, "")</f>
        <v>0</v>
      </c>
      <c r="AM194" s="285" t="n">
        <f aca="false">IFERROR(($J194*Z194)*$L194, "")</f>
        <v>0</v>
      </c>
      <c r="AN194" s="286" t="n">
        <f aca="false">IFERROR(SUMIF($AB$4:$AM$4, "RDEC", AB194:AM194), "")</f>
        <v>0</v>
      </c>
      <c r="AO194" s="286" t="n">
        <f aca="false">IFERROR(SUMIF($AB$4:$AM$4, "SME", AB194:AM194), "")</f>
        <v>0</v>
      </c>
      <c r="AP194" s="286" t="n">
        <f aca="false">IFERROR(SUMIF($AB$4:$AM$4, "De Minimis", AB194:AM194), "")</f>
        <v>0</v>
      </c>
      <c r="AQ194" s="283"/>
      <c r="AR194" s="284" t="n">
        <f aca="false">IFERROR(($J194*O194)*$M194, "")</f>
        <v>0</v>
      </c>
      <c r="AS194" s="284" t="n">
        <f aca="false">IFERROR(($J194*P194)*$M194, "")</f>
        <v>0</v>
      </c>
      <c r="AT194" s="284" t="n">
        <f aca="false">IFERROR(($J194*Q194)*$M194, "")</f>
        <v>0</v>
      </c>
      <c r="AU194" s="284" t="n">
        <f aca="false">IFERROR(($J194*R194)*$M194, "")</f>
        <v>0</v>
      </c>
      <c r="AV194" s="284" t="n">
        <f aca="false">IFERROR(($J194*S194)*$M194, "")</f>
        <v>0</v>
      </c>
      <c r="AW194" s="284" t="n">
        <f aca="false">IFERROR(($J194*T194)*$M194, "")</f>
        <v>0</v>
      </c>
      <c r="AX194" s="284" t="n">
        <f aca="false">IFERROR(($J194*U194)*$M194, "")</f>
        <v>0</v>
      </c>
      <c r="AY194" s="284" t="n">
        <f aca="false">IFERROR(($J194*V194)*$M194, "")</f>
        <v>0</v>
      </c>
      <c r="AZ194" s="284" t="n">
        <f aca="false">IFERROR(($J194*W194)*$M194, "")</f>
        <v>0</v>
      </c>
      <c r="BA194" s="284" t="n">
        <f aca="false">IFERROR(($J194*X194)*$M194, "")</f>
        <v>0</v>
      </c>
      <c r="BB194" s="284" t="n">
        <f aca="false">IFERROR(($J194*Y194)*$M194, "")</f>
        <v>0</v>
      </c>
      <c r="BC194" s="285" t="n">
        <f aca="false">IFERROR(($J194*Z194)*$M194, "")</f>
        <v>0</v>
      </c>
      <c r="BD194" s="286" t="n">
        <f aca="false">IFERROR(SUMIF($AB$4:$AM$4, "RDEC", AR194:BC194), "")</f>
        <v>0</v>
      </c>
      <c r="BE194" s="286" t="n">
        <f aca="false">IFERROR(SUMIF($AB$4:$AM$4, "SME", AR194:BC194), "")</f>
        <v>0</v>
      </c>
      <c r="BF194" s="286" t="n">
        <f aca="false">IFERROR(SUMIF($AB$4:$AM$4, "De Minimis", AR194:BC194), "")</f>
        <v>0</v>
      </c>
      <c r="BG194" s="287"/>
      <c r="BH194" s="288" t="str">
        <f aca="false">IF((SUM(O194:Z194)&gt;1),"ERROR","")</f>
        <v/>
      </c>
      <c r="BI194" s="287"/>
      <c r="BJ194" s="18" t="str">
        <f aca="false">IF(C180&gt;0, C180, "")</f>
        <v/>
      </c>
      <c r="BL194" s="200"/>
      <c r="BM194" s="200"/>
      <c r="BN194" s="200"/>
    </row>
    <row r="195" customFormat="false" ht="15" hidden="false" customHeight="true" outlineLevel="0" collapsed="false">
      <c r="B195" s="275"/>
      <c r="D195" s="276" t="n">
        <f aca="false">D179</f>
        <v>45627</v>
      </c>
      <c r="E195" s="277" t="n">
        <v>0</v>
      </c>
      <c r="F195" s="277" t="n">
        <v>0</v>
      </c>
      <c r="G195" s="277" t="n">
        <v>0</v>
      </c>
      <c r="H195" s="277" t="n">
        <v>0</v>
      </c>
      <c r="I195" s="277" t="n">
        <v>0</v>
      </c>
      <c r="J195" s="278" t="n">
        <f aca="false">E195+H195+I195</f>
        <v>0</v>
      </c>
      <c r="K195" s="204"/>
      <c r="L195" s="289" t="n">
        <v>1</v>
      </c>
      <c r="M195" s="290" t="n">
        <f aca="false">1-L195</f>
        <v>0</v>
      </c>
      <c r="N195" s="281"/>
      <c r="O195" s="291"/>
      <c r="P195" s="291"/>
      <c r="Q195" s="291"/>
      <c r="R195" s="291"/>
      <c r="S195" s="291"/>
      <c r="T195" s="291"/>
      <c r="U195" s="291"/>
      <c r="V195" s="291"/>
      <c r="W195" s="291"/>
      <c r="X195" s="291"/>
      <c r="Y195" s="291"/>
      <c r="Z195" s="291"/>
      <c r="AA195" s="283"/>
      <c r="AB195" s="292" t="n">
        <f aca="false">IFERROR(($J195*O195)*$L195, "")</f>
        <v>0</v>
      </c>
      <c r="AC195" s="292" t="n">
        <f aca="false">IFERROR(($J195*P195)*$L195, "")</f>
        <v>0</v>
      </c>
      <c r="AD195" s="292" t="n">
        <f aca="false">IFERROR(($J195*Q195)*$L195, "")</f>
        <v>0</v>
      </c>
      <c r="AE195" s="292" t="n">
        <f aca="false">IFERROR(($J195*R195)*$L195, "")</f>
        <v>0</v>
      </c>
      <c r="AF195" s="292" t="n">
        <f aca="false">IFERROR(($J195*S195)*$L195, "")</f>
        <v>0</v>
      </c>
      <c r="AG195" s="292" t="n">
        <f aca="false">IFERROR(($J195*T195)*$L195, "")</f>
        <v>0</v>
      </c>
      <c r="AH195" s="292" t="n">
        <f aca="false">IFERROR(($J195*U195)*$L195, "")</f>
        <v>0</v>
      </c>
      <c r="AI195" s="292" t="n">
        <f aca="false">IFERROR(($J195*V195)*$L195, "")</f>
        <v>0</v>
      </c>
      <c r="AJ195" s="292" t="n">
        <f aca="false">IFERROR(($J195*W195)*$L195, "")</f>
        <v>0</v>
      </c>
      <c r="AK195" s="292" t="n">
        <f aca="false">IFERROR(($J195*X195)*$L195, "")</f>
        <v>0</v>
      </c>
      <c r="AL195" s="292" t="n">
        <f aca="false">IFERROR(($J195*Y195)*$L195, "")</f>
        <v>0</v>
      </c>
      <c r="AM195" s="293" t="n">
        <f aca="false">IFERROR(($J195*Z195)*$L195, "")</f>
        <v>0</v>
      </c>
      <c r="AN195" s="294" t="n">
        <f aca="false">IFERROR(SUMIF($AB$4:$AM$4, "RDEC", AB195:AM195), "")</f>
        <v>0</v>
      </c>
      <c r="AO195" s="294" t="n">
        <f aca="false">IFERROR(SUMIF($AB$4:$AM$4, "SME", AB195:AM195), "")</f>
        <v>0</v>
      </c>
      <c r="AP195" s="294" t="n">
        <f aca="false">IFERROR(SUMIF($AB$4:$AM$4, "De Minimis", AB195:AM195), "")</f>
        <v>0</v>
      </c>
      <c r="AQ195" s="283"/>
      <c r="AR195" s="292" t="n">
        <f aca="false">IFERROR(($J195*O195)*$M195, "")</f>
        <v>0</v>
      </c>
      <c r="AS195" s="292" t="n">
        <f aca="false">IFERROR(($J195*P195)*$M195, "")</f>
        <v>0</v>
      </c>
      <c r="AT195" s="292" t="n">
        <f aca="false">IFERROR(($J195*Q195)*$M195, "")</f>
        <v>0</v>
      </c>
      <c r="AU195" s="292" t="n">
        <f aca="false">IFERROR(($J195*R195)*$M195, "")</f>
        <v>0</v>
      </c>
      <c r="AV195" s="292" t="n">
        <f aca="false">IFERROR(($J195*S195)*$M195, "")</f>
        <v>0</v>
      </c>
      <c r="AW195" s="292" t="n">
        <f aca="false">IFERROR(($J195*T195)*$M195, "")</f>
        <v>0</v>
      </c>
      <c r="AX195" s="292" t="n">
        <f aca="false">IFERROR(($J195*U195)*$M195, "")</f>
        <v>0</v>
      </c>
      <c r="AY195" s="292" t="n">
        <f aca="false">IFERROR(($J195*V195)*$M195, "")</f>
        <v>0</v>
      </c>
      <c r="AZ195" s="292" t="n">
        <f aca="false">IFERROR(($J195*W195)*$M195, "")</f>
        <v>0</v>
      </c>
      <c r="BA195" s="292" t="n">
        <f aca="false">IFERROR(($J195*X195)*$M195, "")</f>
        <v>0</v>
      </c>
      <c r="BB195" s="292" t="n">
        <f aca="false">IFERROR(($J195*Y195)*$M195, "")</f>
        <v>0</v>
      </c>
      <c r="BC195" s="293" t="n">
        <f aca="false">IFERROR(($J195*Z195)*$M195, "")</f>
        <v>0</v>
      </c>
      <c r="BD195" s="294" t="n">
        <f aca="false">IFERROR(SUMIF($AB$4:$AM$4, "RDEC", AR195:BC195), "")</f>
        <v>0</v>
      </c>
      <c r="BE195" s="294" t="n">
        <f aca="false">IFERROR(SUMIF($AB$4:$AM$4, "SME", AR195:BC195), "")</f>
        <v>0</v>
      </c>
      <c r="BF195" s="294" t="n">
        <f aca="false">IFERROR(SUMIF($AB$4:$AM$4, "De Minimis", AR195:BC195), "")</f>
        <v>0</v>
      </c>
      <c r="BG195" s="287"/>
      <c r="BH195" s="295" t="str">
        <f aca="false">IF((SUM(O195:Z195)&gt;1),"ERROR","")</f>
        <v/>
      </c>
      <c r="BI195" s="287"/>
      <c r="BJ195" s="18" t="str">
        <f aca="false">IF(C181&gt;0, C181, "")</f>
        <v/>
      </c>
      <c r="BL195" s="200"/>
      <c r="BM195" s="200"/>
      <c r="BN195" s="200"/>
    </row>
    <row r="196" customFormat="false" ht="15" hidden="false" customHeight="true" outlineLevel="0" collapsed="false">
      <c r="B196" s="296"/>
      <c r="D196" s="297" t="s">
        <v>82</v>
      </c>
      <c r="E196" s="298" t="n">
        <f aca="false">SUM(E184:E195)</f>
        <v>0</v>
      </c>
      <c r="F196" s="298" t="n">
        <f aca="false">SUM(F184:F195)</f>
        <v>0</v>
      </c>
      <c r="G196" s="298" t="n">
        <f aca="false">SUM(G184:G195)</f>
        <v>0</v>
      </c>
      <c r="H196" s="298" t="n">
        <f aca="false">SUM(H184:H195)</f>
        <v>0</v>
      </c>
      <c r="I196" s="298" t="n">
        <f aca="false">SUM(I184:I195)</f>
        <v>0</v>
      </c>
      <c r="J196" s="299" t="n">
        <f aca="false">SUM(J184:J195)</f>
        <v>0</v>
      </c>
      <c r="K196" s="300"/>
      <c r="L196" s="301" t="n">
        <f aca="false">AVERAGE(L184:L195)</f>
        <v>1</v>
      </c>
      <c r="M196" s="301" t="n">
        <f aca="false">AVERAGE(M184:M195)</f>
        <v>0</v>
      </c>
      <c r="N196" s="302"/>
      <c r="O196" s="290" t="n">
        <f aca="false">IF(SUM(O184:O195)&gt;0,((AB196+AR196)/J196),0)</f>
        <v>0</v>
      </c>
      <c r="P196" s="290" t="n">
        <f aca="false">IF(SUM(P184:P195)&gt;0,((AC196+AS196)/J196),0)</f>
        <v>0</v>
      </c>
      <c r="Q196" s="290" t="n">
        <f aca="false">IF(SUM(Q184:Q195)&gt;0,((AD196+AT196)/J196),0)</f>
        <v>0</v>
      </c>
      <c r="R196" s="290" t="n">
        <f aca="false">IF(SUM(R184:R195)&gt;0,((AE196+AU196)/J196),0)</f>
        <v>0</v>
      </c>
      <c r="S196" s="290" t="n">
        <f aca="false">IF(SUM(S184:S195)&gt;0,((AF196+AV196)/J196),0)</f>
        <v>0</v>
      </c>
      <c r="T196" s="290" t="n">
        <f aca="false">IF(SUM(T184:T195)&gt;0,((AG196+AW196)/J196),0)</f>
        <v>0</v>
      </c>
      <c r="U196" s="290" t="n">
        <f aca="false">IF(SUM(U184:U195)&gt;0,((AH196+AX196)/J196),0)</f>
        <v>0</v>
      </c>
      <c r="V196" s="290" t="n">
        <f aca="false">IF(SUM(V184:V195)&gt;0,((AI196+AY196)/J196),0)</f>
        <v>0</v>
      </c>
      <c r="W196" s="290" t="n">
        <f aca="false">IF(SUM(W184:W195)&gt;0,((AJ196+AZ196)/J196),0)</f>
        <v>0</v>
      </c>
      <c r="X196" s="290" t="n">
        <f aca="false">IF(SUM(X184:X195)&gt;0,((AK196+BA196)/J196),0)</f>
        <v>0</v>
      </c>
      <c r="Y196" s="290" t="n">
        <f aca="false">IF(SUM(Y184:Y195)&gt;0,((AL196+BB196)/J196),0)</f>
        <v>0</v>
      </c>
      <c r="Z196" s="290" t="n">
        <f aca="false">IF(SUM(Z184:Z195)&gt;0,((AM196+BC196)/J196),0)</f>
        <v>0</v>
      </c>
      <c r="AA196" s="303"/>
      <c r="AB196" s="292" t="n">
        <f aca="false">SUM(AB184:AB195)</f>
        <v>0</v>
      </c>
      <c r="AC196" s="304" t="n">
        <f aca="false">SUM(AC184:AC195)</f>
        <v>0</v>
      </c>
      <c r="AD196" s="304" t="n">
        <f aca="false">SUM(AD184:AD195)</f>
        <v>0</v>
      </c>
      <c r="AE196" s="304" t="n">
        <f aca="false">SUM(AE184:AE195)</f>
        <v>0</v>
      </c>
      <c r="AF196" s="304" t="n">
        <f aca="false">SUM(AF184:AF195)</f>
        <v>0</v>
      </c>
      <c r="AG196" s="304" t="n">
        <f aca="false">SUM(AG184:AG195)</f>
        <v>0</v>
      </c>
      <c r="AH196" s="304" t="n">
        <f aca="false">SUM(AH184:AH195)</f>
        <v>0</v>
      </c>
      <c r="AI196" s="304" t="n">
        <f aca="false">SUM(AI184:AI195)</f>
        <v>0</v>
      </c>
      <c r="AJ196" s="304" t="n">
        <f aca="false">SUM(AJ184:AJ195)</f>
        <v>0</v>
      </c>
      <c r="AK196" s="304" t="n">
        <f aca="false">SUM(AK184:AK195)</f>
        <v>0</v>
      </c>
      <c r="AL196" s="304" t="n">
        <f aca="false">SUM(AL184:AL195)</f>
        <v>0</v>
      </c>
      <c r="AM196" s="304" t="n">
        <f aca="false">SUM(AM184:AM195)</f>
        <v>0</v>
      </c>
      <c r="AN196" s="305" t="n">
        <f aca="false">SUM(AN184:AN195)</f>
        <v>0</v>
      </c>
      <c r="AO196" s="305" t="n">
        <f aca="false">SUM(AO184:AO195)</f>
        <v>0</v>
      </c>
      <c r="AP196" s="305" t="n">
        <f aca="false">SUM(AP184:AP195)</f>
        <v>0</v>
      </c>
      <c r="AQ196" s="303"/>
      <c r="AR196" s="292" t="n">
        <f aca="false">SUM(AR184:AR195)</f>
        <v>0</v>
      </c>
      <c r="AS196" s="304" t="n">
        <f aca="false">SUM(AS184:AS195)</f>
        <v>0</v>
      </c>
      <c r="AT196" s="304" t="n">
        <f aca="false">SUM(AT184:AT195)</f>
        <v>0</v>
      </c>
      <c r="AU196" s="304" t="n">
        <f aca="false">SUM(AU184:AU195)</f>
        <v>0</v>
      </c>
      <c r="AV196" s="304" t="n">
        <f aca="false">SUM(AV184:AV195)</f>
        <v>0</v>
      </c>
      <c r="AW196" s="304" t="n">
        <f aca="false">SUM(AW184:AW195)</f>
        <v>0</v>
      </c>
      <c r="AX196" s="304" t="n">
        <f aca="false">SUM(AX184:AX195)</f>
        <v>0</v>
      </c>
      <c r="AY196" s="304" t="n">
        <f aca="false">SUM(AY184:AY195)</f>
        <v>0</v>
      </c>
      <c r="AZ196" s="304" t="n">
        <f aca="false">SUM(AZ184:AZ195)</f>
        <v>0</v>
      </c>
      <c r="BA196" s="304" t="n">
        <f aca="false">SUM(BA184:BA195)</f>
        <v>0</v>
      </c>
      <c r="BB196" s="304" t="n">
        <f aca="false">SUM(BB184:BB195)</f>
        <v>0</v>
      </c>
      <c r="BC196" s="304" t="n">
        <f aca="false">SUM(BC184:BC195)</f>
        <v>0</v>
      </c>
      <c r="BD196" s="305" t="n">
        <f aca="false">SUM(BD184:BD195)</f>
        <v>0</v>
      </c>
      <c r="BE196" s="305" t="n">
        <f aca="false">SUM(BE184:BE195)</f>
        <v>0</v>
      </c>
      <c r="BF196" s="305" t="n">
        <f aca="false">SUM(BF184:BF195)</f>
        <v>0</v>
      </c>
      <c r="BG196" s="303"/>
      <c r="BH196" s="306"/>
      <c r="BI196" s="303"/>
      <c r="BJ196" s="307" t="str">
        <f aca="false">IF(C182&gt;0, C182, "")</f>
        <v>TBA</v>
      </c>
      <c r="BK196" s="18" t="s">
        <v>234</v>
      </c>
      <c r="BL196" s="200" t="n">
        <f aca="false">IF($BK196="Y",J196,0)</f>
        <v>0</v>
      </c>
      <c r="BM196" s="200" t="n">
        <f aca="false">IF(BK196="Y", AN196,0)</f>
        <v>0</v>
      </c>
      <c r="BN196" s="200" t="n">
        <f aca="false">IF((BK196="Y"),AO196,0)</f>
        <v>0</v>
      </c>
    </row>
    <row r="197" customFormat="false" ht="15" hidden="false" customHeight="true" outlineLevel="0" collapsed="false">
      <c r="B197" s="296"/>
      <c r="D197" s="297"/>
      <c r="E197" s="277"/>
      <c r="F197" s="277"/>
      <c r="G197" s="277"/>
      <c r="H197" s="277"/>
      <c r="I197" s="277"/>
      <c r="J197" s="300"/>
      <c r="K197" s="300"/>
      <c r="L197" s="302"/>
      <c r="M197" s="302"/>
      <c r="N197" s="302"/>
      <c r="O197" s="308"/>
      <c r="P197" s="308"/>
      <c r="Q197" s="308"/>
      <c r="R197" s="308"/>
      <c r="S197" s="308"/>
      <c r="T197" s="308"/>
      <c r="U197" s="308"/>
      <c r="V197" s="308"/>
      <c r="W197" s="308"/>
      <c r="X197" s="308"/>
      <c r="Y197" s="308"/>
      <c r="Z197" s="308"/>
      <c r="AA197" s="303"/>
      <c r="AB197" s="303"/>
      <c r="AC197" s="303"/>
      <c r="AD197" s="303"/>
      <c r="AE197" s="303"/>
      <c r="AF197" s="303"/>
      <c r="AG197" s="303"/>
      <c r="AH197" s="303"/>
      <c r="AI197" s="303"/>
      <c r="AJ197" s="303"/>
      <c r="AK197" s="303"/>
      <c r="AL197" s="303"/>
      <c r="AM197" s="303"/>
      <c r="AN197" s="303"/>
      <c r="AO197" s="303"/>
      <c r="AP197" s="303"/>
      <c r="AQ197" s="303"/>
      <c r="AR197" s="303"/>
      <c r="AS197" s="303"/>
      <c r="AT197" s="303"/>
      <c r="AU197" s="303"/>
      <c r="AV197" s="303"/>
      <c r="AW197" s="303"/>
      <c r="AX197" s="303"/>
      <c r="AY197" s="303"/>
      <c r="AZ197" s="303"/>
      <c r="BA197" s="303"/>
      <c r="BB197" s="303"/>
      <c r="BC197" s="303"/>
      <c r="BD197" s="303"/>
      <c r="BE197" s="303"/>
      <c r="BF197" s="303"/>
      <c r="BG197" s="303"/>
      <c r="BH197" s="303"/>
      <c r="BI197" s="303"/>
      <c r="BJ197" s="307" t="str">
        <f aca="false">IF(C184&gt;0, C184, "")</f>
        <v/>
      </c>
      <c r="BL197" s="200"/>
      <c r="BM197" s="200"/>
      <c r="BN197" s="200"/>
    </row>
    <row r="198" customFormat="false" ht="15" hidden="false" customHeight="true" outlineLevel="0" collapsed="false">
      <c r="A198" s="198" t="n">
        <f aca="false">A182+1</f>
        <v>13</v>
      </c>
      <c r="B198" s="266" t="s">
        <v>253</v>
      </c>
      <c r="C198" s="266" t="s">
        <v>253</v>
      </c>
      <c r="D198" s="267"/>
      <c r="E198" s="242"/>
      <c r="F198" s="242"/>
      <c r="G198" s="242"/>
      <c r="H198" s="242"/>
      <c r="I198" s="242"/>
      <c r="J198" s="241"/>
      <c r="K198" s="241"/>
      <c r="L198" s="241"/>
      <c r="M198" s="241"/>
      <c r="N198" s="241"/>
      <c r="O198" s="268"/>
      <c r="P198" s="268"/>
      <c r="Q198" s="268"/>
      <c r="R198" s="268"/>
      <c r="S198" s="268"/>
      <c r="T198" s="268"/>
      <c r="U198" s="268"/>
      <c r="V198" s="268"/>
      <c r="W198" s="268"/>
      <c r="X198" s="268"/>
      <c r="Y198" s="268"/>
      <c r="Z198" s="268"/>
      <c r="AA198" s="268"/>
      <c r="AB198" s="268"/>
      <c r="AC198" s="268"/>
      <c r="AD198" s="268"/>
      <c r="AE198" s="268"/>
      <c r="AF198" s="268"/>
      <c r="AG198" s="268"/>
      <c r="AH198" s="268"/>
      <c r="AI198" s="268"/>
      <c r="AJ198" s="268"/>
      <c r="AK198" s="268"/>
      <c r="AL198" s="268"/>
      <c r="AM198" s="268"/>
      <c r="AN198" s="268"/>
      <c r="AO198" s="268"/>
      <c r="AP198" s="268"/>
      <c r="AQ198" s="268"/>
      <c r="AR198" s="268"/>
      <c r="AS198" s="268"/>
      <c r="AT198" s="268"/>
      <c r="AU198" s="268"/>
      <c r="AV198" s="268"/>
      <c r="AW198" s="268"/>
      <c r="AX198" s="268"/>
      <c r="AY198" s="268"/>
      <c r="AZ198" s="268"/>
      <c r="BA198" s="268"/>
      <c r="BB198" s="268"/>
      <c r="BC198" s="268"/>
      <c r="BD198" s="268"/>
      <c r="BE198" s="268"/>
      <c r="BF198" s="268"/>
      <c r="BG198" s="268"/>
      <c r="BH198" s="268"/>
      <c r="BI198" s="268"/>
      <c r="BJ198" s="18" t="str">
        <f aca="false">IF(C185&gt;0, C185, "")</f>
        <v/>
      </c>
      <c r="BL198" s="200"/>
      <c r="BM198" s="200"/>
      <c r="BN198" s="200"/>
    </row>
    <row r="199" customFormat="false" ht="7.5" hidden="false" customHeight="true" outlineLevel="0" collapsed="false">
      <c r="A199" s="198"/>
      <c r="B199" s="266"/>
      <c r="C199" s="266"/>
      <c r="D199" s="267"/>
      <c r="E199" s="242"/>
      <c r="F199" s="242"/>
      <c r="G199" s="242"/>
      <c r="H199" s="242"/>
      <c r="I199" s="242"/>
      <c r="J199" s="241"/>
      <c r="K199" s="241"/>
      <c r="L199" s="269"/>
      <c r="M199" s="269"/>
      <c r="N199" s="270"/>
      <c r="O199" s="269"/>
      <c r="P199" s="269"/>
      <c r="Q199" s="269"/>
      <c r="R199" s="269"/>
      <c r="S199" s="269"/>
      <c r="T199" s="269"/>
      <c r="U199" s="269"/>
      <c r="V199" s="269"/>
      <c r="W199" s="269"/>
      <c r="X199" s="269"/>
      <c r="Y199" s="269"/>
      <c r="Z199" s="269"/>
      <c r="AA199" s="268"/>
      <c r="AB199" s="271"/>
      <c r="AC199" s="271"/>
      <c r="AD199" s="271"/>
      <c r="AE199" s="271"/>
      <c r="AF199" s="271"/>
      <c r="AG199" s="271"/>
      <c r="AH199" s="271"/>
      <c r="AI199" s="271"/>
      <c r="AJ199" s="271"/>
      <c r="AK199" s="271"/>
      <c r="AL199" s="271"/>
      <c r="AM199" s="272"/>
      <c r="AN199" s="273"/>
      <c r="AO199" s="273"/>
      <c r="AP199" s="273"/>
      <c r="AQ199" s="268"/>
      <c r="AR199" s="271"/>
      <c r="AS199" s="271"/>
      <c r="AT199" s="271"/>
      <c r="AU199" s="271"/>
      <c r="AV199" s="271"/>
      <c r="AW199" s="271"/>
      <c r="AX199" s="271"/>
      <c r="AY199" s="271"/>
      <c r="AZ199" s="271"/>
      <c r="BA199" s="271"/>
      <c r="BB199" s="271"/>
      <c r="BC199" s="272"/>
      <c r="BD199" s="273"/>
      <c r="BE199" s="273"/>
      <c r="BF199" s="273"/>
      <c r="BG199" s="268"/>
      <c r="BH199" s="274"/>
      <c r="BI199" s="268"/>
      <c r="BL199" s="200"/>
      <c r="BM199" s="200"/>
      <c r="BN199" s="200"/>
    </row>
    <row r="200" customFormat="false" ht="15" hidden="false" customHeight="true" outlineLevel="0" collapsed="false">
      <c r="B200" s="275"/>
      <c r="D200" s="276" t="n">
        <f aca="false">D184</f>
        <v>45292</v>
      </c>
      <c r="E200" s="277" t="n">
        <v>0</v>
      </c>
      <c r="F200" s="277" t="n">
        <v>0</v>
      </c>
      <c r="G200" s="277" t="n">
        <v>0</v>
      </c>
      <c r="H200" s="277" t="n">
        <v>0</v>
      </c>
      <c r="I200" s="277" t="n">
        <v>0</v>
      </c>
      <c r="J200" s="278" t="n">
        <f aca="false">E200+H200+I200</f>
        <v>0</v>
      </c>
      <c r="K200" s="204"/>
      <c r="L200" s="279" t="n">
        <v>1</v>
      </c>
      <c r="M200" s="280" t="n">
        <f aca="false">1-L200</f>
        <v>0</v>
      </c>
      <c r="N200" s="281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  <c r="AA200" s="283"/>
      <c r="AB200" s="284" t="n">
        <f aca="false">IFERROR(($J200*O200)*$L200, "")</f>
        <v>0</v>
      </c>
      <c r="AC200" s="284" t="n">
        <f aca="false">IFERROR(($J200*P200)*$L200, "")</f>
        <v>0</v>
      </c>
      <c r="AD200" s="284" t="n">
        <f aca="false">IFERROR(($J200*Q200)*$L200, "")</f>
        <v>0</v>
      </c>
      <c r="AE200" s="284" t="n">
        <f aca="false">IFERROR(($J200*R200)*$L200, "")</f>
        <v>0</v>
      </c>
      <c r="AF200" s="284" t="n">
        <f aca="false">IFERROR(($J200*S200)*$L200, "")</f>
        <v>0</v>
      </c>
      <c r="AG200" s="284" t="n">
        <f aca="false">IFERROR(($J200*T200)*$L200, "")</f>
        <v>0</v>
      </c>
      <c r="AH200" s="284" t="n">
        <f aca="false">IFERROR(($J200*U200)*$L200, "")</f>
        <v>0</v>
      </c>
      <c r="AI200" s="284" t="n">
        <f aca="false">IFERROR(($J200*V200)*$L200, "")</f>
        <v>0</v>
      </c>
      <c r="AJ200" s="284" t="n">
        <f aca="false">IFERROR(($J200*W200)*$L200, "")</f>
        <v>0</v>
      </c>
      <c r="AK200" s="284" t="n">
        <f aca="false">IFERROR(($J200*X200)*$L200, "")</f>
        <v>0</v>
      </c>
      <c r="AL200" s="284" t="n">
        <f aca="false">IFERROR(($J200*Y200)*$L200, "")</f>
        <v>0</v>
      </c>
      <c r="AM200" s="285" t="n">
        <f aca="false">IFERROR(($J200*Z200)*$L200, "")</f>
        <v>0</v>
      </c>
      <c r="AN200" s="286" t="n">
        <f aca="false">IFERROR(SUMIF($AB$4:$AM$4, "RDEC", AB200:AM200), "")</f>
        <v>0</v>
      </c>
      <c r="AO200" s="286" t="n">
        <f aca="false">IFERROR(SUMIF($AB$4:$AM$4, "SME", AB200:AM200), "")</f>
        <v>0</v>
      </c>
      <c r="AP200" s="286" t="n">
        <f aca="false">IFERROR(SUMIF($AB$4:$AM$4, "De Minimis", AB200:AM200), "")</f>
        <v>0</v>
      </c>
      <c r="AQ200" s="283"/>
      <c r="AR200" s="284" t="n">
        <f aca="false">IFERROR(($J200*O200)*$M200, "")</f>
        <v>0</v>
      </c>
      <c r="AS200" s="284" t="n">
        <f aca="false">IFERROR(($J200*P200)*$M200, "")</f>
        <v>0</v>
      </c>
      <c r="AT200" s="284" t="n">
        <f aca="false">IFERROR(($J200*Q200)*$M200, "")</f>
        <v>0</v>
      </c>
      <c r="AU200" s="284" t="n">
        <f aca="false">IFERROR(($J200*R200)*$M200, "")</f>
        <v>0</v>
      </c>
      <c r="AV200" s="284" t="n">
        <f aca="false">IFERROR(($J200*S200)*$M200, "")</f>
        <v>0</v>
      </c>
      <c r="AW200" s="284" t="n">
        <f aca="false">IFERROR(($J200*T200)*$M200, "")</f>
        <v>0</v>
      </c>
      <c r="AX200" s="284" t="n">
        <f aca="false">IFERROR(($J200*U200)*$M200, "")</f>
        <v>0</v>
      </c>
      <c r="AY200" s="284" t="n">
        <f aca="false">IFERROR(($J200*V200)*$M200, "")</f>
        <v>0</v>
      </c>
      <c r="AZ200" s="284" t="n">
        <f aca="false">IFERROR(($J200*W200)*$M200, "")</f>
        <v>0</v>
      </c>
      <c r="BA200" s="284" t="n">
        <f aca="false">IFERROR(($J200*X200)*$M200, "")</f>
        <v>0</v>
      </c>
      <c r="BB200" s="284" t="n">
        <f aca="false">IFERROR(($J200*Y200)*$M200, "")</f>
        <v>0</v>
      </c>
      <c r="BC200" s="285" t="n">
        <f aca="false">IFERROR(($J200*Z200)*$M200, "")</f>
        <v>0</v>
      </c>
      <c r="BD200" s="286" t="n">
        <f aca="false">IFERROR(SUMIF($AB$4:$AM$4, "RDEC", AR200:BC200), "")</f>
        <v>0</v>
      </c>
      <c r="BE200" s="286" t="n">
        <f aca="false">IFERROR(SUMIF($AB$4:$AM$4, "SME", AR200:BC200), "")</f>
        <v>0</v>
      </c>
      <c r="BF200" s="286" t="n">
        <f aca="false">IFERROR(SUMIF($AB$4:$AM$4, "De Minimis", AR200:BC200), "")</f>
        <v>0</v>
      </c>
      <c r="BG200" s="287"/>
      <c r="BH200" s="288" t="str">
        <f aca="false">IF((SUM(O200:Z200)&gt;1),"ERROR","")</f>
        <v/>
      </c>
      <c r="BI200" s="287"/>
      <c r="BJ200" s="18" t="str">
        <f aca="false">IF(C186&gt;0, C186, "")</f>
        <v/>
      </c>
      <c r="BL200" s="200"/>
      <c r="BM200" s="200"/>
      <c r="BN200" s="200"/>
    </row>
    <row r="201" customFormat="false" ht="15" hidden="false" customHeight="true" outlineLevel="0" collapsed="false">
      <c r="B201" s="275"/>
      <c r="D201" s="276" t="n">
        <f aca="false">D185</f>
        <v>45323</v>
      </c>
      <c r="E201" s="277" t="n">
        <v>0</v>
      </c>
      <c r="F201" s="277" t="n">
        <v>0</v>
      </c>
      <c r="G201" s="277" t="n">
        <v>0</v>
      </c>
      <c r="H201" s="277" t="n">
        <v>0</v>
      </c>
      <c r="I201" s="277" t="n">
        <v>0</v>
      </c>
      <c r="J201" s="278" t="n">
        <f aca="false">E201+H201+I201</f>
        <v>0</v>
      </c>
      <c r="K201" s="204"/>
      <c r="L201" s="279" t="n">
        <v>1</v>
      </c>
      <c r="M201" s="280" t="n">
        <f aca="false">1-L201</f>
        <v>0</v>
      </c>
      <c r="N201" s="281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  <c r="AA201" s="283"/>
      <c r="AB201" s="284" t="n">
        <f aca="false">IFERROR(($J201*O201)*$L201, "")</f>
        <v>0</v>
      </c>
      <c r="AC201" s="284" t="n">
        <f aca="false">IFERROR(($J201*P201)*$L201, "")</f>
        <v>0</v>
      </c>
      <c r="AD201" s="284" t="n">
        <f aca="false">IFERROR(($J201*Q201)*$L201, "")</f>
        <v>0</v>
      </c>
      <c r="AE201" s="284" t="n">
        <f aca="false">IFERROR(($J201*R201)*$L201, "")</f>
        <v>0</v>
      </c>
      <c r="AF201" s="284" t="n">
        <f aca="false">IFERROR(($J201*S201)*$L201, "")</f>
        <v>0</v>
      </c>
      <c r="AG201" s="284" t="n">
        <f aca="false">IFERROR(($J201*T201)*$L201, "")</f>
        <v>0</v>
      </c>
      <c r="AH201" s="284" t="n">
        <f aca="false">IFERROR(($J201*U201)*$L201, "")</f>
        <v>0</v>
      </c>
      <c r="AI201" s="284" t="n">
        <f aca="false">IFERROR(($J201*V201)*$L201, "")</f>
        <v>0</v>
      </c>
      <c r="AJ201" s="284" t="n">
        <f aca="false">IFERROR(($J201*W201)*$L201, "")</f>
        <v>0</v>
      </c>
      <c r="AK201" s="284" t="n">
        <f aca="false">IFERROR(($J201*X201)*$L201, "")</f>
        <v>0</v>
      </c>
      <c r="AL201" s="284" t="n">
        <f aca="false">IFERROR(($J201*Y201)*$L201, "")</f>
        <v>0</v>
      </c>
      <c r="AM201" s="285" t="n">
        <f aca="false">IFERROR(($J201*Z201)*$L201, "")</f>
        <v>0</v>
      </c>
      <c r="AN201" s="286" t="n">
        <f aca="false">IFERROR(SUMIF($AB$4:$AM$4, "RDEC", AB201:AM201), "")</f>
        <v>0</v>
      </c>
      <c r="AO201" s="286" t="n">
        <f aca="false">IFERROR(SUMIF($AB$4:$AM$4, "SME", AB201:AM201), "")</f>
        <v>0</v>
      </c>
      <c r="AP201" s="286" t="n">
        <f aca="false">IFERROR(SUMIF($AB$4:$AM$4, "De Minimis", AB201:AM201), "")</f>
        <v>0</v>
      </c>
      <c r="AQ201" s="283"/>
      <c r="AR201" s="284" t="n">
        <f aca="false">IFERROR(($J201*O201)*$M201, "")</f>
        <v>0</v>
      </c>
      <c r="AS201" s="284" t="n">
        <f aca="false">IFERROR(($J201*P201)*$M201, "")</f>
        <v>0</v>
      </c>
      <c r="AT201" s="284" t="n">
        <f aca="false">IFERROR(($J201*Q201)*$M201, "")</f>
        <v>0</v>
      </c>
      <c r="AU201" s="284" t="n">
        <f aca="false">IFERROR(($J201*R201)*$M201, "")</f>
        <v>0</v>
      </c>
      <c r="AV201" s="284" t="n">
        <f aca="false">IFERROR(($J201*S201)*$M201, "")</f>
        <v>0</v>
      </c>
      <c r="AW201" s="284" t="n">
        <f aca="false">IFERROR(($J201*T201)*$M201, "")</f>
        <v>0</v>
      </c>
      <c r="AX201" s="284" t="n">
        <f aca="false">IFERROR(($J201*U201)*$M201, "")</f>
        <v>0</v>
      </c>
      <c r="AY201" s="284" t="n">
        <f aca="false">IFERROR(($J201*V201)*$M201, "")</f>
        <v>0</v>
      </c>
      <c r="AZ201" s="284" t="n">
        <f aca="false">IFERROR(($J201*W201)*$M201, "")</f>
        <v>0</v>
      </c>
      <c r="BA201" s="284" t="n">
        <f aca="false">IFERROR(($J201*X201)*$M201, "")</f>
        <v>0</v>
      </c>
      <c r="BB201" s="284" t="n">
        <f aca="false">IFERROR(($J201*Y201)*$M201, "")</f>
        <v>0</v>
      </c>
      <c r="BC201" s="285" t="n">
        <f aca="false">IFERROR(($J201*Z201)*$M201, "")</f>
        <v>0</v>
      </c>
      <c r="BD201" s="286" t="n">
        <f aca="false">IFERROR(SUMIF($AB$4:$AM$4, "RDEC", AR201:BC201), "")</f>
        <v>0</v>
      </c>
      <c r="BE201" s="286" t="n">
        <f aca="false">IFERROR(SUMIF($AB$4:$AM$4, "SME", AR201:BC201), "")</f>
        <v>0</v>
      </c>
      <c r="BF201" s="286" t="n">
        <f aca="false">IFERROR(SUMIF($AB$4:$AM$4, "De Minimis", AR201:BC201), "")</f>
        <v>0</v>
      </c>
      <c r="BG201" s="287"/>
      <c r="BH201" s="288" t="str">
        <f aca="false">IF((SUM(O201:Z201)&gt;1),"ERROR","")</f>
        <v/>
      </c>
      <c r="BI201" s="287"/>
      <c r="BJ201" s="18" t="str">
        <f aca="false">IF(C187&gt;0, C187, "")</f>
        <v/>
      </c>
      <c r="BL201" s="200"/>
      <c r="BM201" s="200"/>
      <c r="BN201" s="200"/>
    </row>
    <row r="202" customFormat="false" ht="15" hidden="false" customHeight="true" outlineLevel="0" collapsed="false">
      <c r="B202" s="275"/>
      <c r="D202" s="276" t="n">
        <f aca="false">D186</f>
        <v>45352</v>
      </c>
      <c r="E202" s="277" t="n">
        <v>0</v>
      </c>
      <c r="F202" s="277" t="n">
        <v>0</v>
      </c>
      <c r="G202" s="277" t="n">
        <v>0</v>
      </c>
      <c r="H202" s="277" t="n">
        <v>0</v>
      </c>
      <c r="I202" s="277" t="n">
        <v>0</v>
      </c>
      <c r="J202" s="278" t="n">
        <f aca="false">E202+H202+I202</f>
        <v>0</v>
      </c>
      <c r="K202" s="204"/>
      <c r="L202" s="279" t="n">
        <v>1</v>
      </c>
      <c r="M202" s="280" t="n">
        <f aca="false">1-L202</f>
        <v>0</v>
      </c>
      <c r="N202" s="281"/>
      <c r="O202" s="282"/>
      <c r="P202" s="282"/>
      <c r="Q202" s="282"/>
      <c r="R202" s="282"/>
      <c r="S202" s="282"/>
      <c r="T202" s="282"/>
      <c r="U202" s="282"/>
      <c r="V202" s="282"/>
      <c r="W202" s="282"/>
      <c r="X202" s="282"/>
      <c r="Y202" s="282"/>
      <c r="Z202" s="282"/>
      <c r="AA202" s="283"/>
      <c r="AB202" s="284" t="n">
        <f aca="false">IFERROR(($J202*O202)*$L202, "")</f>
        <v>0</v>
      </c>
      <c r="AC202" s="284" t="n">
        <f aca="false">IFERROR(($J202*P202)*$L202, "")</f>
        <v>0</v>
      </c>
      <c r="AD202" s="284" t="n">
        <f aca="false">IFERROR(($J202*Q202)*$L202, "")</f>
        <v>0</v>
      </c>
      <c r="AE202" s="284" t="n">
        <f aca="false">IFERROR(($J202*R202)*$L202, "")</f>
        <v>0</v>
      </c>
      <c r="AF202" s="284" t="n">
        <f aca="false">IFERROR(($J202*S202)*$L202, "")</f>
        <v>0</v>
      </c>
      <c r="AG202" s="284" t="n">
        <f aca="false">IFERROR(($J202*T202)*$L202, "")</f>
        <v>0</v>
      </c>
      <c r="AH202" s="284" t="n">
        <f aca="false">IFERROR(($J202*U202)*$L202, "")</f>
        <v>0</v>
      </c>
      <c r="AI202" s="284" t="n">
        <f aca="false">IFERROR(($J202*V202)*$L202, "")</f>
        <v>0</v>
      </c>
      <c r="AJ202" s="284" t="n">
        <f aca="false">IFERROR(($J202*W202)*$L202, "")</f>
        <v>0</v>
      </c>
      <c r="AK202" s="284" t="n">
        <f aca="false">IFERROR(($J202*X202)*$L202, "")</f>
        <v>0</v>
      </c>
      <c r="AL202" s="284" t="n">
        <f aca="false">IFERROR(($J202*Y202)*$L202, "")</f>
        <v>0</v>
      </c>
      <c r="AM202" s="285" t="n">
        <f aca="false">IFERROR(($J202*Z202)*$L202, "")</f>
        <v>0</v>
      </c>
      <c r="AN202" s="286" t="n">
        <f aca="false">IFERROR(SUMIF($AB$4:$AM$4, "RDEC", AB202:AM202), "")</f>
        <v>0</v>
      </c>
      <c r="AO202" s="286" t="n">
        <f aca="false">IFERROR(SUMIF($AB$4:$AM$4, "SME", AB202:AM202), "")</f>
        <v>0</v>
      </c>
      <c r="AP202" s="286" t="n">
        <f aca="false">IFERROR(SUMIF($AB$4:$AM$4, "De Minimis", AB202:AM202), "")</f>
        <v>0</v>
      </c>
      <c r="AQ202" s="283"/>
      <c r="AR202" s="284" t="n">
        <f aca="false">IFERROR(($J202*O202)*$M202, "")</f>
        <v>0</v>
      </c>
      <c r="AS202" s="284" t="n">
        <f aca="false">IFERROR(($J202*P202)*$M202, "")</f>
        <v>0</v>
      </c>
      <c r="AT202" s="284" t="n">
        <f aca="false">IFERROR(($J202*Q202)*$M202, "")</f>
        <v>0</v>
      </c>
      <c r="AU202" s="284" t="n">
        <f aca="false">IFERROR(($J202*R202)*$M202, "")</f>
        <v>0</v>
      </c>
      <c r="AV202" s="284" t="n">
        <f aca="false">IFERROR(($J202*S202)*$M202, "")</f>
        <v>0</v>
      </c>
      <c r="AW202" s="284" t="n">
        <f aca="false">IFERROR(($J202*T202)*$M202, "")</f>
        <v>0</v>
      </c>
      <c r="AX202" s="284" t="n">
        <f aca="false">IFERROR(($J202*U202)*$M202, "")</f>
        <v>0</v>
      </c>
      <c r="AY202" s="284" t="n">
        <f aca="false">IFERROR(($J202*V202)*$M202, "")</f>
        <v>0</v>
      </c>
      <c r="AZ202" s="284" t="n">
        <f aca="false">IFERROR(($J202*W202)*$M202, "")</f>
        <v>0</v>
      </c>
      <c r="BA202" s="284" t="n">
        <f aca="false">IFERROR(($J202*X202)*$M202, "")</f>
        <v>0</v>
      </c>
      <c r="BB202" s="284" t="n">
        <f aca="false">IFERROR(($J202*Y202)*$M202, "")</f>
        <v>0</v>
      </c>
      <c r="BC202" s="285" t="n">
        <f aca="false">IFERROR(($J202*Z202)*$M202, "")</f>
        <v>0</v>
      </c>
      <c r="BD202" s="286" t="n">
        <f aca="false">IFERROR(SUMIF($AB$4:$AM$4, "RDEC", AR202:BC202), "")</f>
        <v>0</v>
      </c>
      <c r="BE202" s="286" t="n">
        <f aca="false">IFERROR(SUMIF($AB$4:$AM$4, "SME", AR202:BC202), "")</f>
        <v>0</v>
      </c>
      <c r="BF202" s="286" t="n">
        <f aca="false">IFERROR(SUMIF($AB$4:$AM$4, "De Minimis", AR202:BC202), "")</f>
        <v>0</v>
      </c>
      <c r="BG202" s="287"/>
      <c r="BH202" s="288" t="str">
        <f aca="false">IF((SUM(O202:Z202)&gt;1),"ERROR","")</f>
        <v/>
      </c>
      <c r="BI202" s="287"/>
      <c r="BJ202" s="18" t="str">
        <f aca="false">IF(C188&gt;0, C188, "")</f>
        <v/>
      </c>
      <c r="BL202" s="200"/>
      <c r="BM202" s="200"/>
      <c r="BN202" s="200"/>
    </row>
    <row r="203" customFormat="false" ht="15" hidden="false" customHeight="true" outlineLevel="0" collapsed="false">
      <c r="B203" s="275"/>
      <c r="D203" s="276" t="n">
        <f aca="false">D187</f>
        <v>45383</v>
      </c>
      <c r="E203" s="277" t="n">
        <v>0</v>
      </c>
      <c r="F203" s="277" t="n">
        <v>0</v>
      </c>
      <c r="G203" s="277" t="n">
        <v>0</v>
      </c>
      <c r="H203" s="277" t="n">
        <v>0</v>
      </c>
      <c r="I203" s="277" t="n">
        <v>0</v>
      </c>
      <c r="J203" s="278" t="n">
        <f aca="false">E203+H203+I203</f>
        <v>0</v>
      </c>
      <c r="K203" s="204"/>
      <c r="L203" s="279" t="n">
        <v>1</v>
      </c>
      <c r="M203" s="280" t="n">
        <f aca="false">1-L203</f>
        <v>0</v>
      </c>
      <c r="N203" s="281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83"/>
      <c r="AB203" s="284" t="n">
        <f aca="false">IFERROR(($J203*O203)*$L203, "")</f>
        <v>0</v>
      </c>
      <c r="AC203" s="284" t="n">
        <f aca="false">IFERROR(($J203*P203)*$L203, "")</f>
        <v>0</v>
      </c>
      <c r="AD203" s="284" t="n">
        <f aca="false">IFERROR(($J203*Q203)*$L203, "")</f>
        <v>0</v>
      </c>
      <c r="AE203" s="284" t="n">
        <f aca="false">IFERROR(($J203*R203)*$L203, "")</f>
        <v>0</v>
      </c>
      <c r="AF203" s="284" t="n">
        <f aca="false">IFERROR(($J203*S203)*$L203, "")</f>
        <v>0</v>
      </c>
      <c r="AG203" s="284" t="n">
        <f aca="false">IFERROR(($J203*T203)*$L203, "")</f>
        <v>0</v>
      </c>
      <c r="AH203" s="284" t="n">
        <f aca="false">IFERROR(($J203*U203)*$L203, "")</f>
        <v>0</v>
      </c>
      <c r="AI203" s="284" t="n">
        <f aca="false">IFERROR(($J203*V203)*$L203, "")</f>
        <v>0</v>
      </c>
      <c r="AJ203" s="284" t="n">
        <f aca="false">IFERROR(($J203*W203)*$L203, "")</f>
        <v>0</v>
      </c>
      <c r="AK203" s="284" t="n">
        <f aca="false">IFERROR(($J203*X203)*$L203, "")</f>
        <v>0</v>
      </c>
      <c r="AL203" s="284" t="n">
        <f aca="false">IFERROR(($J203*Y203)*$L203, "")</f>
        <v>0</v>
      </c>
      <c r="AM203" s="285" t="n">
        <f aca="false">IFERROR(($J203*Z203)*$L203, "")</f>
        <v>0</v>
      </c>
      <c r="AN203" s="286" t="n">
        <f aca="false">IFERROR(SUMIF($AB$4:$AM$4, "RDEC", AB203:AM203), "")</f>
        <v>0</v>
      </c>
      <c r="AO203" s="286" t="n">
        <f aca="false">IFERROR(SUMIF($AB$4:$AM$4, "SME", AB203:AM203), "")</f>
        <v>0</v>
      </c>
      <c r="AP203" s="286" t="n">
        <f aca="false">IFERROR(SUMIF($AB$4:$AM$4, "De Minimis", AB203:AM203), "")</f>
        <v>0</v>
      </c>
      <c r="AQ203" s="283"/>
      <c r="AR203" s="284" t="n">
        <f aca="false">IFERROR(($J203*O203)*$M203, "")</f>
        <v>0</v>
      </c>
      <c r="AS203" s="284" t="n">
        <f aca="false">IFERROR(($J203*P203)*$M203, "")</f>
        <v>0</v>
      </c>
      <c r="AT203" s="284" t="n">
        <f aca="false">IFERROR(($J203*Q203)*$M203, "")</f>
        <v>0</v>
      </c>
      <c r="AU203" s="284" t="n">
        <f aca="false">IFERROR(($J203*R203)*$M203, "")</f>
        <v>0</v>
      </c>
      <c r="AV203" s="284" t="n">
        <f aca="false">IFERROR(($J203*S203)*$M203, "")</f>
        <v>0</v>
      </c>
      <c r="AW203" s="284" t="n">
        <f aca="false">IFERROR(($J203*T203)*$M203, "")</f>
        <v>0</v>
      </c>
      <c r="AX203" s="284" t="n">
        <f aca="false">IFERROR(($J203*U203)*$M203, "")</f>
        <v>0</v>
      </c>
      <c r="AY203" s="284" t="n">
        <f aca="false">IFERROR(($J203*V203)*$M203, "")</f>
        <v>0</v>
      </c>
      <c r="AZ203" s="284" t="n">
        <f aca="false">IFERROR(($J203*W203)*$M203, "")</f>
        <v>0</v>
      </c>
      <c r="BA203" s="284" t="n">
        <f aca="false">IFERROR(($J203*X203)*$M203, "")</f>
        <v>0</v>
      </c>
      <c r="BB203" s="284" t="n">
        <f aca="false">IFERROR(($J203*Y203)*$M203, "")</f>
        <v>0</v>
      </c>
      <c r="BC203" s="285" t="n">
        <f aca="false">IFERROR(($J203*Z203)*$M203, "")</f>
        <v>0</v>
      </c>
      <c r="BD203" s="286" t="n">
        <f aca="false">IFERROR(SUMIF($AB$4:$AM$4, "RDEC", AR203:BC203), "")</f>
        <v>0</v>
      </c>
      <c r="BE203" s="286" t="n">
        <f aca="false">IFERROR(SUMIF($AB$4:$AM$4, "SME", AR203:BC203), "")</f>
        <v>0</v>
      </c>
      <c r="BF203" s="286" t="n">
        <f aca="false">IFERROR(SUMIF($AB$4:$AM$4, "De Minimis", AR203:BC203), "")</f>
        <v>0</v>
      </c>
      <c r="BG203" s="287"/>
      <c r="BH203" s="288" t="str">
        <f aca="false">IF((SUM(O203:Z203)&gt;1),"ERROR","")</f>
        <v/>
      </c>
      <c r="BI203" s="287"/>
      <c r="BJ203" s="18" t="str">
        <f aca="false">IF(C189&gt;0, C189, "")</f>
        <v/>
      </c>
      <c r="BL203" s="200"/>
      <c r="BM203" s="200"/>
      <c r="BN203" s="200"/>
    </row>
    <row r="204" customFormat="false" ht="15" hidden="false" customHeight="true" outlineLevel="0" collapsed="false">
      <c r="B204" s="275"/>
      <c r="D204" s="276" t="n">
        <f aca="false">D188</f>
        <v>45413</v>
      </c>
      <c r="E204" s="277" t="n">
        <v>0</v>
      </c>
      <c r="F204" s="277" t="n">
        <v>0</v>
      </c>
      <c r="G204" s="277" t="n">
        <v>0</v>
      </c>
      <c r="H204" s="277" t="n">
        <v>0</v>
      </c>
      <c r="I204" s="277" t="n">
        <v>0</v>
      </c>
      <c r="J204" s="278" t="n">
        <f aca="false">E204+H204+I204</f>
        <v>0</v>
      </c>
      <c r="K204" s="204"/>
      <c r="L204" s="279" t="n">
        <v>1</v>
      </c>
      <c r="M204" s="280" t="n">
        <f aca="false">1-L204</f>
        <v>0</v>
      </c>
      <c r="N204" s="281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83"/>
      <c r="AB204" s="284" t="n">
        <f aca="false">IFERROR(($J204*O204)*$L204, "")</f>
        <v>0</v>
      </c>
      <c r="AC204" s="284" t="n">
        <f aca="false">IFERROR(($J204*P204)*$L204, "")</f>
        <v>0</v>
      </c>
      <c r="AD204" s="284" t="n">
        <f aca="false">IFERROR(($J204*Q204)*$L204, "")</f>
        <v>0</v>
      </c>
      <c r="AE204" s="284" t="n">
        <f aca="false">IFERROR(($J204*R204)*$L204, "")</f>
        <v>0</v>
      </c>
      <c r="AF204" s="284" t="n">
        <f aca="false">IFERROR(($J204*S204)*$L204, "")</f>
        <v>0</v>
      </c>
      <c r="AG204" s="284" t="n">
        <f aca="false">IFERROR(($J204*T204)*$L204, "")</f>
        <v>0</v>
      </c>
      <c r="AH204" s="284" t="n">
        <f aca="false">IFERROR(($J204*U204)*$L204, "")</f>
        <v>0</v>
      </c>
      <c r="AI204" s="284" t="n">
        <f aca="false">IFERROR(($J204*V204)*$L204, "")</f>
        <v>0</v>
      </c>
      <c r="AJ204" s="284" t="n">
        <f aca="false">IFERROR(($J204*W204)*$L204, "")</f>
        <v>0</v>
      </c>
      <c r="AK204" s="284" t="n">
        <f aca="false">IFERROR(($J204*X204)*$L204, "")</f>
        <v>0</v>
      </c>
      <c r="AL204" s="284" t="n">
        <f aca="false">IFERROR(($J204*Y204)*$L204, "")</f>
        <v>0</v>
      </c>
      <c r="AM204" s="285" t="n">
        <f aca="false">IFERROR(($J204*Z204)*$L204, "")</f>
        <v>0</v>
      </c>
      <c r="AN204" s="286" t="n">
        <f aca="false">IFERROR(SUMIF($AB$4:$AM$4, "RDEC", AB204:AM204), "")</f>
        <v>0</v>
      </c>
      <c r="AO204" s="286" t="n">
        <f aca="false">IFERROR(SUMIF($AB$4:$AM$4, "SME", AB204:AM204), "")</f>
        <v>0</v>
      </c>
      <c r="AP204" s="286" t="n">
        <f aca="false">IFERROR(SUMIF($AB$4:$AM$4, "De Minimis", AB204:AM204), "")</f>
        <v>0</v>
      </c>
      <c r="AQ204" s="283"/>
      <c r="AR204" s="284" t="n">
        <f aca="false">IFERROR(($J204*O204)*$M204, "")</f>
        <v>0</v>
      </c>
      <c r="AS204" s="284" t="n">
        <f aca="false">IFERROR(($J204*P204)*$M204, "")</f>
        <v>0</v>
      </c>
      <c r="AT204" s="284" t="n">
        <f aca="false">IFERROR(($J204*Q204)*$M204, "")</f>
        <v>0</v>
      </c>
      <c r="AU204" s="284" t="n">
        <f aca="false">IFERROR(($J204*R204)*$M204, "")</f>
        <v>0</v>
      </c>
      <c r="AV204" s="284" t="n">
        <f aca="false">IFERROR(($J204*S204)*$M204, "")</f>
        <v>0</v>
      </c>
      <c r="AW204" s="284" t="n">
        <f aca="false">IFERROR(($J204*T204)*$M204, "")</f>
        <v>0</v>
      </c>
      <c r="AX204" s="284" t="n">
        <f aca="false">IFERROR(($J204*U204)*$M204, "")</f>
        <v>0</v>
      </c>
      <c r="AY204" s="284" t="n">
        <f aca="false">IFERROR(($J204*V204)*$M204, "")</f>
        <v>0</v>
      </c>
      <c r="AZ204" s="284" t="n">
        <f aca="false">IFERROR(($J204*W204)*$M204, "")</f>
        <v>0</v>
      </c>
      <c r="BA204" s="284" t="n">
        <f aca="false">IFERROR(($J204*X204)*$M204, "")</f>
        <v>0</v>
      </c>
      <c r="BB204" s="284" t="n">
        <f aca="false">IFERROR(($J204*Y204)*$M204, "")</f>
        <v>0</v>
      </c>
      <c r="BC204" s="285" t="n">
        <f aca="false">IFERROR(($J204*Z204)*$M204, "")</f>
        <v>0</v>
      </c>
      <c r="BD204" s="286" t="n">
        <f aca="false">IFERROR(SUMIF($AB$4:$AM$4, "RDEC", AR204:BC204), "")</f>
        <v>0</v>
      </c>
      <c r="BE204" s="286" t="n">
        <f aca="false">IFERROR(SUMIF($AB$4:$AM$4, "SME", AR204:BC204), "")</f>
        <v>0</v>
      </c>
      <c r="BF204" s="286" t="n">
        <f aca="false">IFERROR(SUMIF($AB$4:$AM$4, "De Minimis", AR204:BC204), "")</f>
        <v>0</v>
      </c>
      <c r="BG204" s="287"/>
      <c r="BH204" s="288" t="str">
        <f aca="false">IF((SUM(O204:Z204)&gt;1),"ERROR","")</f>
        <v/>
      </c>
      <c r="BI204" s="287"/>
      <c r="BJ204" s="18" t="str">
        <f aca="false">IF(C190&gt;0, C190, "")</f>
        <v/>
      </c>
      <c r="BL204" s="200"/>
      <c r="BM204" s="200"/>
      <c r="BN204" s="200"/>
    </row>
    <row r="205" customFormat="false" ht="15" hidden="false" customHeight="true" outlineLevel="0" collapsed="false">
      <c r="B205" s="275"/>
      <c r="D205" s="276" t="n">
        <f aca="false">D189</f>
        <v>45444</v>
      </c>
      <c r="E205" s="277" t="n">
        <v>0</v>
      </c>
      <c r="F205" s="277" t="n">
        <v>0</v>
      </c>
      <c r="G205" s="277" t="n">
        <v>0</v>
      </c>
      <c r="H205" s="277" t="n">
        <v>0</v>
      </c>
      <c r="I205" s="277" t="n">
        <v>0</v>
      </c>
      <c r="J205" s="278" t="n">
        <f aca="false">E205+H205+I205</f>
        <v>0</v>
      </c>
      <c r="K205" s="204"/>
      <c r="L205" s="279" t="n">
        <v>1</v>
      </c>
      <c r="M205" s="280" t="n">
        <f aca="false">1-L205</f>
        <v>0</v>
      </c>
      <c r="N205" s="281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  <c r="AA205" s="283"/>
      <c r="AB205" s="284" t="n">
        <f aca="false">IFERROR(($J205*O205)*$L205, "")</f>
        <v>0</v>
      </c>
      <c r="AC205" s="284" t="n">
        <f aca="false">IFERROR(($J205*P205)*$L205, "")</f>
        <v>0</v>
      </c>
      <c r="AD205" s="284" t="n">
        <f aca="false">IFERROR(($J205*Q205)*$L205, "")</f>
        <v>0</v>
      </c>
      <c r="AE205" s="284" t="n">
        <f aca="false">IFERROR(($J205*R205)*$L205, "")</f>
        <v>0</v>
      </c>
      <c r="AF205" s="284" t="n">
        <f aca="false">IFERROR(($J205*S205)*$L205, "")</f>
        <v>0</v>
      </c>
      <c r="AG205" s="284" t="n">
        <f aca="false">IFERROR(($J205*T205)*$L205, "")</f>
        <v>0</v>
      </c>
      <c r="AH205" s="284" t="n">
        <f aca="false">IFERROR(($J205*U205)*$L205, "")</f>
        <v>0</v>
      </c>
      <c r="AI205" s="284" t="n">
        <f aca="false">IFERROR(($J205*V205)*$L205, "")</f>
        <v>0</v>
      </c>
      <c r="AJ205" s="284" t="n">
        <f aca="false">IFERROR(($J205*W205)*$L205, "")</f>
        <v>0</v>
      </c>
      <c r="AK205" s="284" t="n">
        <f aca="false">IFERROR(($J205*X205)*$L205, "")</f>
        <v>0</v>
      </c>
      <c r="AL205" s="284" t="n">
        <f aca="false">IFERROR(($J205*Y205)*$L205, "")</f>
        <v>0</v>
      </c>
      <c r="AM205" s="285" t="n">
        <f aca="false">IFERROR(($J205*Z205)*$L205, "")</f>
        <v>0</v>
      </c>
      <c r="AN205" s="286" t="n">
        <f aca="false">IFERROR(SUMIF($AB$4:$AM$4, "RDEC", AB205:AM205), "")</f>
        <v>0</v>
      </c>
      <c r="AO205" s="286" t="n">
        <f aca="false">IFERROR(SUMIF($AB$4:$AM$4, "SME", AB205:AM205), "")</f>
        <v>0</v>
      </c>
      <c r="AP205" s="286" t="n">
        <f aca="false">IFERROR(SUMIF($AB$4:$AM$4, "De Minimis", AB205:AM205), "")</f>
        <v>0</v>
      </c>
      <c r="AQ205" s="283"/>
      <c r="AR205" s="284" t="n">
        <f aca="false">IFERROR(($J205*O205)*$M205, "")</f>
        <v>0</v>
      </c>
      <c r="AS205" s="284" t="n">
        <f aca="false">IFERROR(($J205*P205)*$M205, "")</f>
        <v>0</v>
      </c>
      <c r="AT205" s="284" t="n">
        <f aca="false">IFERROR(($J205*Q205)*$M205, "")</f>
        <v>0</v>
      </c>
      <c r="AU205" s="284" t="n">
        <f aca="false">IFERROR(($J205*R205)*$M205, "")</f>
        <v>0</v>
      </c>
      <c r="AV205" s="284" t="n">
        <f aca="false">IFERROR(($J205*S205)*$M205, "")</f>
        <v>0</v>
      </c>
      <c r="AW205" s="284" t="n">
        <f aca="false">IFERROR(($J205*T205)*$M205, "")</f>
        <v>0</v>
      </c>
      <c r="AX205" s="284" t="n">
        <f aca="false">IFERROR(($J205*U205)*$M205, "")</f>
        <v>0</v>
      </c>
      <c r="AY205" s="284" t="n">
        <f aca="false">IFERROR(($J205*V205)*$M205, "")</f>
        <v>0</v>
      </c>
      <c r="AZ205" s="284" t="n">
        <f aca="false">IFERROR(($J205*W205)*$M205, "")</f>
        <v>0</v>
      </c>
      <c r="BA205" s="284" t="n">
        <f aca="false">IFERROR(($J205*X205)*$M205, "")</f>
        <v>0</v>
      </c>
      <c r="BB205" s="284" t="n">
        <f aca="false">IFERROR(($J205*Y205)*$M205, "")</f>
        <v>0</v>
      </c>
      <c r="BC205" s="285" t="n">
        <f aca="false">IFERROR(($J205*Z205)*$M205, "")</f>
        <v>0</v>
      </c>
      <c r="BD205" s="286" t="n">
        <f aca="false">IFERROR(SUMIF($AB$4:$AM$4, "RDEC", AR205:BC205), "")</f>
        <v>0</v>
      </c>
      <c r="BE205" s="286" t="n">
        <f aca="false">IFERROR(SUMIF($AB$4:$AM$4, "SME", AR205:BC205), "")</f>
        <v>0</v>
      </c>
      <c r="BF205" s="286" t="n">
        <f aca="false">IFERROR(SUMIF($AB$4:$AM$4, "De Minimis", AR205:BC205), "")</f>
        <v>0</v>
      </c>
      <c r="BG205" s="287"/>
      <c r="BH205" s="288" t="str">
        <f aca="false">IF((SUM(O205:Z205)&gt;1),"ERROR","")</f>
        <v/>
      </c>
      <c r="BI205" s="287"/>
      <c r="BJ205" s="18" t="str">
        <f aca="false">IF(C191&gt;0, C191, "")</f>
        <v/>
      </c>
      <c r="BL205" s="200"/>
      <c r="BM205" s="200"/>
      <c r="BN205" s="200"/>
    </row>
    <row r="206" customFormat="false" ht="15" hidden="false" customHeight="true" outlineLevel="0" collapsed="false">
      <c r="B206" s="275"/>
      <c r="D206" s="276" t="n">
        <f aca="false">D190</f>
        <v>45474</v>
      </c>
      <c r="E206" s="277" t="n">
        <v>0</v>
      </c>
      <c r="F206" s="277" t="n">
        <v>0</v>
      </c>
      <c r="G206" s="277" t="n">
        <v>0</v>
      </c>
      <c r="H206" s="277" t="n">
        <v>0</v>
      </c>
      <c r="I206" s="277" t="n">
        <v>0</v>
      </c>
      <c r="J206" s="278" t="n">
        <f aca="false">E206+H206+I206</f>
        <v>0</v>
      </c>
      <c r="K206" s="204"/>
      <c r="L206" s="279" t="n">
        <v>1</v>
      </c>
      <c r="M206" s="280" t="n">
        <f aca="false">1-L206</f>
        <v>0</v>
      </c>
      <c r="N206" s="281"/>
      <c r="O206" s="282"/>
      <c r="P206" s="282"/>
      <c r="Q206" s="282"/>
      <c r="R206" s="282"/>
      <c r="S206" s="282"/>
      <c r="T206" s="282"/>
      <c r="U206" s="282"/>
      <c r="V206" s="282"/>
      <c r="W206" s="282"/>
      <c r="X206" s="282"/>
      <c r="Y206" s="282"/>
      <c r="Z206" s="282"/>
      <c r="AA206" s="283"/>
      <c r="AB206" s="284" t="n">
        <f aca="false">IFERROR(($J206*O206)*$L206, "")</f>
        <v>0</v>
      </c>
      <c r="AC206" s="284" t="n">
        <f aca="false">IFERROR(($J206*P206)*$L206, "")</f>
        <v>0</v>
      </c>
      <c r="AD206" s="284" t="n">
        <f aca="false">IFERROR(($J206*Q206)*$L206, "")</f>
        <v>0</v>
      </c>
      <c r="AE206" s="284" t="n">
        <f aca="false">IFERROR(($J206*R206)*$L206, "")</f>
        <v>0</v>
      </c>
      <c r="AF206" s="284" t="n">
        <f aca="false">IFERROR(($J206*S206)*$L206, "")</f>
        <v>0</v>
      </c>
      <c r="AG206" s="284" t="n">
        <f aca="false">IFERROR(($J206*T206)*$L206, "")</f>
        <v>0</v>
      </c>
      <c r="AH206" s="284" t="n">
        <f aca="false">IFERROR(($J206*U206)*$L206, "")</f>
        <v>0</v>
      </c>
      <c r="AI206" s="284" t="n">
        <f aca="false">IFERROR(($J206*V206)*$L206, "")</f>
        <v>0</v>
      </c>
      <c r="AJ206" s="284" t="n">
        <f aca="false">IFERROR(($J206*W206)*$L206, "")</f>
        <v>0</v>
      </c>
      <c r="AK206" s="284" t="n">
        <f aca="false">IFERROR(($J206*X206)*$L206, "")</f>
        <v>0</v>
      </c>
      <c r="AL206" s="284" t="n">
        <f aca="false">IFERROR(($J206*Y206)*$L206, "")</f>
        <v>0</v>
      </c>
      <c r="AM206" s="285" t="n">
        <f aca="false">IFERROR(($J206*Z206)*$L206, "")</f>
        <v>0</v>
      </c>
      <c r="AN206" s="286" t="n">
        <f aca="false">IFERROR(SUMIF($AB$4:$AM$4, "RDEC", AB206:AM206), "")</f>
        <v>0</v>
      </c>
      <c r="AO206" s="286" t="n">
        <f aca="false">IFERROR(SUMIF($AB$4:$AM$4, "SME", AB206:AM206), "")</f>
        <v>0</v>
      </c>
      <c r="AP206" s="286" t="n">
        <f aca="false">IFERROR(SUMIF($AB$4:$AM$4, "De Minimis", AB206:AM206), "")</f>
        <v>0</v>
      </c>
      <c r="AQ206" s="283"/>
      <c r="AR206" s="284" t="n">
        <f aca="false">IFERROR(($J206*O206)*$M206, "")</f>
        <v>0</v>
      </c>
      <c r="AS206" s="284" t="n">
        <f aca="false">IFERROR(($J206*P206)*$M206, "")</f>
        <v>0</v>
      </c>
      <c r="AT206" s="284" t="n">
        <f aca="false">IFERROR(($J206*Q206)*$M206, "")</f>
        <v>0</v>
      </c>
      <c r="AU206" s="284" t="n">
        <f aca="false">IFERROR(($J206*R206)*$M206, "")</f>
        <v>0</v>
      </c>
      <c r="AV206" s="284" t="n">
        <f aca="false">IFERROR(($J206*S206)*$M206, "")</f>
        <v>0</v>
      </c>
      <c r="AW206" s="284" t="n">
        <f aca="false">IFERROR(($J206*T206)*$M206, "")</f>
        <v>0</v>
      </c>
      <c r="AX206" s="284" t="n">
        <f aca="false">IFERROR(($J206*U206)*$M206, "")</f>
        <v>0</v>
      </c>
      <c r="AY206" s="284" t="n">
        <f aca="false">IFERROR(($J206*V206)*$M206, "")</f>
        <v>0</v>
      </c>
      <c r="AZ206" s="284" t="n">
        <f aca="false">IFERROR(($J206*W206)*$M206, "")</f>
        <v>0</v>
      </c>
      <c r="BA206" s="284" t="n">
        <f aca="false">IFERROR(($J206*X206)*$M206, "")</f>
        <v>0</v>
      </c>
      <c r="BB206" s="284" t="n">
        <f aca="false">IFERROR(($J206*Y206)*$M206, "")</f>
        <v>0</v>
      </c>
      <c r="BC206" s="285" t="n">
        <f aca="false">IFERROR(($J206*Z206)*$M206, "")</f>
        <v>0</v>
      </c>
      <c r="BD206" s="286" t="n">
        <f aca="false">IFERROR(SUMIF($AB$4:$AM$4, "RDEC", AR206:BC206), "")</f>
        <v>0</v>
      </c>
      <c r="BE206" s="286" t="n">
        <f aca="false">IFERROR(SUMIF($AB$4:$AM$4, "SME", AR206:BC206), "")</f>
        <v>0</v>
      </c>
      <c r="BF206" s="286" t="n">
        <f aca="false">IFERROR(SUMIF($AB$4:$AM$4, "De Minimis", AR206:BC206), "")</f>
        <v>0</v>
      </c>
      <c r="BG206" s="287"/>
      <c r="BH206" s="288" t="str">
        <f aca="false">IF((SUM(O206:Z206)&gt;1),"ERROR","")</f>
        <v/>
      </c>
      <c r="BI206" s="287"/>
      <c r="BJ206" s="18" t="str">
        <f aca="false">IF(C192&gt;0, C192, "")</f>
        <v/>
      </c>
      <c r="BL206" s="200"/>
      <c r="BM206" s="200"/>
      <c r="BN206" s="200"/>
    </row>
    <row r="207" customFormat="false" ht="15" hidden="false" customHeight="true" outlineLevel="0" collapsed="false">
      <c r="B207" s="275"/>
      <c r="D207" s="276" t="n">
        <f aca="false">D191</f>
        <v>45505</v>
      </c>
      <c r="E207" s="277" t="n">
        <v>0</v>
      </c>
      <c r="F207" s="277" t="n">
        <v>0</v>
      </c>
      <c r="G207" s="277" t="n">
        <v>0</v>
      </c>
      <c r="H207" s="277" t="n">
        <v>0</v>
      </c>
      <c r="I207" s="277" t="n">
        <v>0</v>
      </c>
      <c r="J207" s="278" t="n">
        <f aca="false">E207+H207+I207</f>
        <v>0</v>
      </c>
      <c r="K207" s="204"/>
      <c r="L207" s="279" t="n">
        <v>1</v>
      </c>
      <c r="M207" s="280" t="n">
        <f aca="false">1-L207</f>
        <v>0</v>
      </c>
      <c r="N207" s="281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  <c r="AA207" s="283"/>
      <c r="AB207" s="284" t="n">
        <f aca="false">IFERROR(($J207*O207)*$L207, "")</f>
        <v>0</v>
      </c>
      <c r="AC207" s="284" t="n">
        <f aca="false">IFERROR(($J207*P207)*$L207, "")</f>
        <v>0</v>
      </c>
      <c r="AD207" s="284" t="n">
        <f aca="false">IFERROR(($J207*Q207)*$L207, "")</f>
        <v>0</v>
      </c>
      <c r="AE207" s="284" t="n">
        <f aca="false">IFERROR(($J207*R207)*$L207, "")</f>
        <v>0</v>
      </c>
      <c r="AF207" s="284" t="n">
        <f aca="false">IFERROR(($J207*S207)*$L207, "")</f>
        <v>0</v>
      </c>
      <c r="AG207" s="284" t="n">
        <f aca="false">IFERROR(($J207*T207)*$L207, "")</f>
        <v>0</v>
      </c>
      <c r="AH207" s="284" t="n">
        <f aca="false">IFERROR(($J207*U207)*$L207, "")</f>
        <v>0</v>
      </c>
      <c r="AI207" s="284" t="n">
        <f aca="false">IFERROR(($J207*V207)*$L207, "")</f>
        <v>0</v>
      </c>
      <c r="AJ207" s="284" t="n">
        <f aca="false">IFERROR(($J207*W207)*$L207, "")</f>
        <v>0</v>
      </c>
      <c r="AK207" s="284" t="n">
        <f aca="false">IFERROR(($J207*X207)*$L207, "")</f>
        <v>0</v>
      </c>
      <c r="AL207" s="284" t="n">
        <f aca="false">IFERROR(($J207*Y207)*$L207, "")</f>
        <v>0</v>
      </c>
      <c r="AM207" s="285" t="n">
        <f aca="false">IFERROR(($J207*Z207)*$L207, "")</f>
        <v>0</v>
      </c>
      <c r="AN207" s="286" t="n">
        <f aca="false">IFERROR(SUMIF($AB$4:$AM$4, "RDEC", AB207:AM207), "")</f>
        <v>0</v>
      </c>
      <c r="AO207" s="286" t="n">
        <f aca="false">IFERROR(SUMIF($AB$4:$AM$4, "SME", AB207:AM207), "")</f>
        <v>0</v>
      </c>
      <c r="AP207" s="286" t="n">
        <f aca="false">IFERROR(SUMIF($AB$4:$AM$4, "De Minimis", AB207:AM207), "")</f>
        <v>0</v>
      </c>
      <c r="AQ207" s="283"/>
      <c r="AR207" s="284" t="n">
        <f aca="false">IFERROR(($J207*O207)*$M207, "")</f>
        <v>0</v>
      </c>
      <c r="AS207" s="284" t="n">
        <f aca="false">IFERROR(($J207*P207)*$M207, "")</f>
        <v>0</v>
      </c>
      <c r="AT207" s="284" t="n">
        <f aca="false">IFERROR(($J207*Q207)*$M207, "")</f>
        <v>0</v>
      </c>
      <c r="AU207" s="284" t="n">
        <f aca="false">IFERROR(($J207*R207)*$M207, "")</f>
        <v>0</v>
      </c>
      <c r="AV207" s="284" t="n">
        <f aca="false">IFERROR(($J207*S207)*$M207, "")</f>
        <v>0</v>
      </c>
      <c r="AW207" s="284" t="n">
        <f aca="false">IFERROR(($J207*T207)*$M207, "")</f>
        <v>0</v>
      </c>
      <c r="AX207" s="284" t="n">
        <f aca="false">IFERROR(($J207*U207)*$M207, "")</f>
        <v>0</v>
      </c>
      <c r="AY207" s="284" t="n">
        <f aca="false">IFERROR(($J207*V207)*$M207, "")</f>
        <v>0</v>
      </c>
      <c r="AZ207" s="284" t="n">
        <f aca="false">IFERROR(($J207*W207)*$M207, "")</f>
        <v>0</v>
      </c>
      <c r="BA207" s="284" t="n">
        <f aca="false">IFERROR(($J207*X207)*$M207, "")</f>
        <v>0</v>
      </c>
      <c r="BB207" s="284" t="n">
        <f aca="false">IFERROR(($J207*Y207)*$M207, "")</f>
        <v>0</v>
      </c>
      <c r="BC207" s="285" t="n">
        <f aca="false">IFERROR(($J207*Z207)*$M207, "")</f>
        <v>0</v>
      </c>
      <c r="BD207" s="286" t="n">
        <f aca="false">IFERROR(SUMIF($AB$4:$AM$4, "RDEC", AR207:BC207), "")</f>
        <v>0</v>
      </c>
      <c r="BE207" s="286" t="n">
        <f aca="false">IFERROR(SUMIF($AB$4:$AM$4, "SME", AR207:BC207), "")</f>
        <v>0</v>
      </c>
      <c r="BF207" s="286" t="n">
        <f aca="false">IFERROR(SUMIF($AB$4:$AM$4, "De Minimis", AR207:BC207), "")</f>
        <v>0</v>
      </c>
      <c r="BG207" s="287"/>
      <c r="BH207" s="288" t="str">
        <f aca="false">IF((SUM(O207:Z207)&gt;1),"ERROR","")</f>
        <v/>
      </c>
      <c r="BI207" s="287"/>
      <c r="BJ207" s="18" t="str">
        <f aca="false">IF(C193&gt;0, C193, "")</f>
        <v/>
      </c>
      <c r="BL207" s="200"/>
      <c r="BM207" s="200"/>
      <c r="BN207" s="200"/>
    </row>
    <row r="208" customFormat="false" ht="15" hidden="false" customHeight="true" outlineLevel="0" collapsed="false">
      <c r="B208" s="275"/>
      <c r="D208" s="276" t="n">
        <f aca="false">D192</f>
        <v>45536</v>
      </c>
      <c r="E208" s="277" t="n">
        <v>0</v>
      </c>
      <c r="F208" s="277" t="n">
        <v>0</v>
      </c>
      <c r="G208" s="277" t="n">
        <v>0</v>
      </c>
      <c r="H208" s="277" t="n">
        <v>0</v>
      </c>
      <c r="I208" s="277" t="n">
        <v>0</v>
      </c>
      <c r="J208" s="278" t="n">
        <f aca="false">E208+H208+I208</f>
        <v>0</v>
      </c>
      <c r="K208" s="204"/>
      <c r="L208" s="279" t="n">
        <v>1</v>
      </c>
      <c r="M208" s="280" t="n">
        <f aca="false">1-L208</f>
        <v>0</v>
      </c>
      <c r="N208" s="281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83"/>
      <c r="AB208" s="284" t="n">
        <f aca="false">IFERROR(($J208*O208)*$L208, "")</f>
        <v>0</v>
      </c>
      <c r="AC208" s="284" t="n">
        <f aca="false">IFERROR(($J208*P208)*$L208, "")</f>
        <v>0</v>
      </c>
      <c r="AD208" s="284" t="n">
        <f aca="false">IFERROR(($J208*Q208)*$L208, "")</f>
        <v>0</v>
      </c>
      <c r="AE208" s="284" t="n">
        <f aca="false">IFERROR(($J208*R208)*$L208, "")</f>
        <v>0</v>
      </c>
      <c r="AF208" s="284" t="n">
        <f aca="false">IFERROR(($J208*S208)*$L208, "")</f>
        <v>0</v>
      </c>
      <c r="AG208" s="284" t="n">
        <f aca="false">IFERROR(($J208*T208)*$L208, "")</f>
        <v>0</v>
      </c>
      <c r="AH208" s="284" t="n">
        <f aca="false">IFERROR(($J208*U208)*$L208, "")</f>
        <v>0</v>
      </c>
      <c r="AI208" s="284" t="n">
        <f aca="false">IFERROR(($J208*V208)*$L208, "")</f>
        <v>0</v>
      </c>
      <c r="AJ208" s="284" t="n">
        <f aca="false">IFERROR(($J208*W208)*$L208, "")</f>
        <v>0</v>
      </c>
      <c r="AK208" s="284" t="n">
        <f aca="false">IFERROR(($J208*X208)*$L208, "")</f>
        <v>0</v>
      </c>
      <c r="AL208" s="284" t="n">
        <f aca="false">IFERROR(($J208*Y208)*$L208, "")</f>
        <v>0</v>
      </c>
      <c r="AM208" s="285" t="n">
        <f aca="false">IFERROR(($J208*Z208)*$L208, "")</f>
        <v>0</v>
      </c>
      <c r="AN208" s="286" t="n">
        <f aca="false">IFERROR(SUMIF($AB$4:$AM$4, "RDEC", AB208:AM208), "")</f>
        <v>0</v>
      </c>
      <c r="AO208" s="286" t="n">
        <f aca="false">IFERROR(SUMIF($AB$4:$AM$4, "SME", AB208:AM208), "")</f>
        <v>0</v>
      </c>
      <c r="AP208" s="286" t="n">
        <f aca="false">IFERROR(SUMIF($AB$4:$AM$4, "De Minimis", AB208:AM208), "")</f>
        <v>0</v>
      </c>
      <c r="AQ208" s="283"/>
      <c r="AR208" s="284" t="n">
        <f aca="false">IFERROR(($J208*O208)*$M208, "")</f>
        <v>0</v>
      </c>
      <c r="AS208" s="284" t="n">
        <f aca="false">IFERROR(($J208*P208)*$M208, "")</f>
        <v>0</v>
      </c>
      <c r="AT208" s="284" t="n">
        <f aca="false">IFERROR(($J208*Q208)*$M208, "")</f>
        <v>0</v>
      </c>
      <c r="AU208" s="284" t="n">
        <f aca="false">IFERROR(($J208*R208)*$M208, "")</f>
        <v>0</v>
      </c>
      <c r="AV208" s="284" t="n">
        <f aca="false">IFERROR(($J208*S208)*$M208, "")</f>
        <v>0</v>
      </c>
      <c r="AW208" s="284" t="n">
        <f aca="false">IFERROR(($J208*T208)*$M208, "")</f>
        <v>0</v>
      </c>
      <c r="AX208" s="284" t="n">
        <f aca="false">IFERROR(($J208*U208)*$M208, "")</f>
        <v>0</v>
      </c>
      <c r="AY208" s="284" t="n">
        <f aca="false">IFERROR(($J208*V208)*$M208, "")</f>
        <v>0</v>
      </c>
      <c r="AZ208" s="284" t="n">
        <f aca="false">IFERROR(($J208*W208)*$M208, "")</f>
        <v>0</v>
      </c>
      <c r="BA208" s="284" t="n">
        <f aca="false">IFERROR(($J208*X208)*$M208, "")</f>
        <v>0</v>
      </c>
      <c r="BB208" s="284" t="n">
        <f aca="false">IFERROR(($J208*Y208)*$M208, "")</f>
        <v>0</v>
      </c>
      <c r="BC208" s="285" t="n">
        <f aca="false">IFERROR(($J208*Z208)*$M208, "")</f>
        <v>0</v>
      </c>
      <c r="BD208" s="286" t="n">
        <f aca="false">IFERROR(SUMIF($AB$4:$AM$4, "RDEC", AR208:BC208), "")</f>
        <v>0</v>
      </c>
      <c r="BE208" s="286" t="n">
        <f aca="false">IFERROR(SUMIF($AB$4:$AM$4, "SME", AR208:BC208), "")</f>
        <v>0</v>
      </c>
      <c r="BF208" s="286" t="n">
        <f aca="false">IFERROR(SUMIF($AB$4:$AM$4, "De Minimis", AR208:BC208), "")</f>
        <v>0</v>
      </c>
      <c r="BG208" s="287"/>
      <c r="BH208" s="288" t="str">
        <f aca="false">IF((SUM(O208:Z208)&gt;1),"ERROR","")</f>
        <v/>
      </c>
      <c r="BI208" s="287"/>
      <c r="BJ208" s="18" t="str">
        <f aca="false">IF(C194&gt;0, C194, "")</f>
        <v/>
      </c>
      <c r="BL208" s="200"/>
      <c r="BM208" s="200"/>
      <c r="BN208" s="200"/>
    </row>
    <row r="209" customFormat="false" ht="15" hidden="false" customHeight="true" outlineLevel="0" collapsed="false">
      <c r="B209" s="275"/>
      <c r="D209" s="276" t="n">
        <f aca="false">D193</f>
        <v>45566</v>
      </c>
      <c r="E209" s="277" t="n">
        <v>0</v>
      </c>
      <c r="F209" s="277" t="n">
        <v>0</v>
      </c>
      <c r="G209" s="277" t="n">
        <v>0</v>
      </c>
      <c r="H209" s="277" t="n">
        <v>0</v>
      </c>
      <c r="I209" s="277" t="n">
        <v>0</v>
      </c>
      <c r="J209" s="278" t="n">
        <f aca="false">E209+H209+I209</f>
        <v>0</v>
      </c>
      <c r="K209" s="204"/>
      <c r="L209" s="279" t="n">
        <v>1</v>
      </c>
      <c r="M209" s="280" t="n">
        <f aca="false">1-L209</f>
        <v>0</v>
      </c>
      <c r="N209" s="281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  <c r="AA209" s="283"/>
      <c r="AB209" s="284" t="n">
        <f aca="false">IFERROR(($J209*O209)*$L209, "")</f>
        <v>0</v>
      </c>
      <c r="AC209" s="284" t="n">
        <f aca="false">IFERROR(($J209*P209)*$L209, "")</f>
        <v>0</v>
      </c>
      <c r="AD209" s="284" t="n">
        <f aca="false">IFERROR(($J209*Q209)*$L209, "")</f>
        <v>0</v>
      </c>
      <c r="AE209" s="284" t="n">
        <f aca="false">IFERROR(($J209*R209)*$L209, "")</f>
        <v>0</v>
      </c>
      <c r="AF209" s="284" t="n">
        <f aca="false">IFERROR(($J209*S209)*$L209, "")</f>
        <v>0</v>
      </c>
      <c r="AG209" s="284" t="n">
        <f aca="false">IFERROR(($J209*T209)*$L209, "")</f>
        <v>0</v>
      </c>
      <c r="AH209" s="284" t="n">
        <f aca="false">IFERROR(($J209*U209)*$L209, "")</f>
        <v>0</v>
      </c>
      <c r="AI209" s="284" t="n">
        <f aca="false">IFERROR(($J209*V209)*$L209, "")</f>
        <v>0</v>
      </c>
      <c r="AJ209" s="284" t="n">
        <f aca="false">IFERROR(($J209*W209)*$L209, "")</f>
        <v>0</v>
      </c>
      <c r="AK209" s="284" t="n">
        <f aca="false">IFERROR(($J209*X209)*$L209, "")</f>
        <v>0</v>
      </c>
      <c r="AL209" s="284" t="n">
        <f aca="false">IFERROR(($J209*Y209)*$L209, "")</f>
        <v>0</v>
      </c>
      <c r="AM209" s="285" t="n">
        <f aca="false">IFERROR(($J209*Z209)*$L209, "")</f>
        <v>0</v>
      </c>
      <c r="AN209" s="286" t="n">
        <f aca="false">IFERROR(SUMIF($AB$4:$AM$4, "RDEC", AB209:AM209), "")</f>
        <v>0</v>
      </c>
      <c r="AO209" s="286" t="n">
        <f aca="false">IFERROR(SUMIF($AB$4:$AM$4, "SME", AB209:AM209), "")</f>
        <v>0</v>
      </c>
      <c r="AP209" s="286" t="n">
        <f aca="false">IFERROR(SUMIF($AB$4:$AM$4, "De Minimis", AB209:AM209), "")</f>
        <v>0</v>
      </c>
      <c r="AQ209" s="283"/>
      <c r="AR209" s="284" t="n">
        <f aca="false">IFERROR(($J209*O209)*$M209, "")</f>
        <v>0</v>
      </c>
      <c r="AS209" s="284" t="n">
        <f aca="false">IFERROR(($J209*P209)*$M209, "")</f>
        <v>0</v>
      </c>
      <c r="AT209" s="284" t="n">
        <f aca="false">IFERROR(($J209*Q209)*$M209, "")</f>
        <v>0</v>
      </c>
      <c r="AU209" s="284" t="n">
        <f aca="false">IFERROR(($J209*R209)*$M209, "")</f>
        <v>0</v>
      </c>
      <c r="AV209" s="284" t="n">
        <f aca="false">IFERROR(($J209*S209)*$M209, "")</f>
        <v>0</v>
      </c>
      <c r="AW209" s="284" t="n">
        <f aca="false">IFERROR(($J209*T209)*$M209, "")</f>
        <v>0</v>
      </c>
      <c r="AX209" s="284" t="n">
        <f aca="false">IFERROR(($J209*U209)*$M209, "")</f>
        <v>0</v>
      </c>
      <c r="AY209" s="284" t="n">
        <f aca="false">IFERROR(($J209*V209)*$M209, "")</f>
        <v>0</v>
      </c>
      <c r="AZ209" s="284" t="n">
        <f aca="false">IFERROR(($J209*W209)*$M209, "")</f>
        <v>0</v>
      </c>
      <c r="BA209" s="284" t="n">
        <f aca="false">IFERROR(($J209*X209)*$M209, "")</f>
        <v>0</v>
      </c>
      <c r="BB209" s="284" t="n">
        <f aca="false">IFERROR(($J209*Y209)*$M209, "")</f>
        <v>0</v>
      </c>
      <c r="BC209" s="285" t="n">
        <f aca="false">IFERROR(($J209*Z209)*$M209, "")</f>
        <v>0</v>
      </c>
      <c r="BD209" s="286" t="n">
        <f aca="false">IFERROR(SUMIF($AB$4:$AM$4, "RDEC", AR209:BC209), "")</f>
        <v>0</v>
      </c>
      <c r="BE209" s="286" t="n">
        <f aca="false">IFERROR(SUMIF($AB$4:$AM$4, "SME", AR209:BC209), "")</f>
        <v>0</v>
      </c>
      <c r="BF209" s="286" t="n">
        <f aca="false">IFERROR(SUMIF($AB$4:$AM$4, "De Minimis", AR209:BC209), "")</f>
        <v>0</v>
      </c>
      <c r="BG209" s="287"/>
      <c r="BH209" s="288" t="str">
        <f aca="false">IF((SUM(O209:Z209)&gt;1),"ERROR","")</f>
        <v/>
      </c>
      <c r="BI209" s="287"/>
      <c r="BJ209" s="18" t="str">
        <f aca="false">IF(C195&gt;0, C195, "")</f>
        <v/>
      </c>
      <c r="BL209" s="200"/>
      <c r="BM209" s="200"/>
      <c r="BN209" s="200"/>
    </row>
    <row r="210" customFormat="false" ht="15" hidden="false" customHeight="true" outlineLevel="0" collapsed="false">
      <c r="B210" s="275"/>
      <c r="D210" s="276" t="n">
        <f aca="false">D194</f>
        <v>45597</v>
      </c>
      <c r="E210" s="277" t="n">
        <v>0</v>
      </c>
      <c r="F210" s="277" t="n">
        <v>0</v>
      </c>
      <c r="G210" s="277" t="n">
        <v>0</v>
      </c>
      <c r="H210" s="277" t="n">
        <v>0</v>
      </c>
      <c r="I210" s="277" t="n">
        <v>0</v>
      </c>
      <c r="J210" s="278" t="n">
        <f aca="false">E210+H210+I210</f>
        <v>0</v>
      </c>
      <c r="K210" s="204"/>
      <c r="L210" s="279" t="n">
        <v>1</v>
      </c>
      <c r="M210" s="280" t="n">
        <f aca="false">1-L210</f>
        <v>0</v>
      </c>
      <c r="N210" s="281"/>
      <c r="O210" s="282"/>
      <c r="P210" s="282"/>
      <c r="Q210" s="282"/>
      <c r="R210" s="282"/>
      <c r="S210" s="282"/>
      <c r="T210" s="282"/>
      <c r="U210" s="282"/>
      <c r="V210" s="282"/>
      <c r="W210" s="282"/>
      <c r="X210" s="282"/>
      <c r="Y210" s="282"/>
      <c r="Z210" s="282"/>
      <c r="AA210" s="283"/>
      <c r="AB210" s="284" t="n">
        <f aca="false">IFERROR(($J210*O210)*$L210, "")</f>
        <v>0</v>
      </c>
      <c r="AC210" s="284" t="n">
        <f aca="false">IFERROR(($J210*P210)*$L210, "")</f>
        <v>0</v>
      </c>
      <c r="AD210" s="284" t="n">
        <f aca="false">IFERROR(($J210*Q210)*$L210, "")</f>
        <v>0</v>
      </c>
      <c r="AE210" s="284" t="n">
        <f aca="false">IFERROR(($J210*R210)*$L210, "")</f>
        <v>0</v>
      </c>
      <c r="AF210" s="284" t="n">
        <f aca="false">IFERROR(($J210*S210)*$L210, "")</f>
        <v>0</v>
      </c>
      <c r="AG210" s="284" t="n">
        <f aca="false">IFERROR(($J210*T210)*$L210, "")</f>
        <v>0</v>
      </c>
      <c r="AH210" s="284" t="n">
        <f aca="false">IFERROR(($J210*U210)*$L210, "")</f>
        <v>0</v>
      </c>
      <c r="AI210" s="284" t="n">
        <f aca="false">IFERROR(($J210*V210)*$L210, "")</f>
        <v>0</v>
      </c>
      <c r="AJ210" s="284" t="n">
        <f aca="false">IFERROR(($J210*W210)*$L210, "")</f>
        <v>0</v>
      </c>
      <c r="AK210" s="284" t="n">
        <f aca="false">IFERROR(($J210*X210)*$L210, "")</f>
        <v>0</v>
      </c>
      <c r="AL210" s="284" t="n">
        <f aca="false">IFERROR(($J210*Y210)*$L210, "")</f>
        <v>0</v>
      </c>
      <c r="AM210" s="285" t="n">
        <f aca="false">IFERROR(($J210*Z210)*$L210, "")</f>
        <v>0</v>
      </c>
      <c r="AN210" s="286" t="n">
        <f aca="false">IFERROR(SUMIF($AB$4:$AM$4, "RDEC", AB210:AM210), "")</f>
        <v>0</v>
      </c>
      <c r="AO210" s="286" t="n">
        <f aca="false">IFERROR(SUMIF($AB$4:$AM$4, "SME", AB210:AM210), "")</f>
        <v>0</v>
      </c>
      <c r="AP210" s="286" t="n">
        <f aca="false">IFERROR(SUMIF($AB$4:$AM$4, "De Minimis", AB210:AM210), "")</f>
        <v>0</v>
      </c>
      <c r="AQ210" s="283"/>
      <c r="AR210" s="284" t="n">
        <f aca="false">IFERROR(($J210*O210)*$M210, "")</f>
        <v>0</v>
      </c>
      <c r="AS210" s="284" t="n">
        <f aca="false">IFERROR(($J210*P210)*$M210, "")</f>
        <v>0</v>
      </c>
      <c r="AT210" s="284" t="n">
        <f aca="false">IFERROR(($J210*Q210)*$M210, "")</f>
        <v>0</v>
      </c>
      <c r="AU210" s="284" t="n">
        <f aca="false">IFERROR(($J210*R210)*$M210, "")</f>
        <v>0</v>
      </c>
      <c r="AV210" s="284" t="n">
        <f aca="false">IFERROR(($J210*S210)*$M210, "")</f>
        <v>0</v>
      </c>
      <c r="AW210" s="284" t="n">
        <f aca="false">IFERROR(($J210*T210)*$M210, "")</f>
        <v>0</v>
      </c>
      <c r="AX210" s="284" t="n">
        <f aca="false">IFERROR(($J210*U210)*$M210, "")</f>
        <v>0</v>
      </c>
      <c r="AY210" s="284" t="n">
        <f aca="false">IFERROR(($J210*V210)*$M210, "")</f>
        <v>0</v>
      </c>
      <c r="AZ210" s="284" t="n">
        <f aca="false">IFERROR(($J210*W210)*$M210, "")</f>
        <v>0</v>
      </c>
      <c r="BA210" s="284" t="n">
        <f aca="false">IFERROR(($J210*X210)*$M210, "")</f>
        <v>0</v>
      </c>
      <c r="BB210" s="284" t="n">
        <f aca="false">IFERROR(($J210*Y210)*$M210, "")</f>
        <v>0</v>
      </c>
      <c r="BC210" s="285" t="n">
        <f aca="false">IFERROR(($J210*Z210)*$M210, "")</f>
        <v>0</v>
      </c>
      <c r="BD210" s="286" t="n">
        <f aca="false">IFERROR(SUMIF($AB$4:$AM$4, "RDEC", AR210:BC210), "")</f>
        <v>0</v>
      </c>
      <c r="BE210" s="286" t="n">
        <f aca="false">IFERROR(SUMIF($AB$4:$AM$4, "SME", AR210:BC210), "")</f>
        <v>0</v>
      </c>
      <c r="BF210" s="286" t="n">
        <f aca="false">IFERROR(SUMIF($AB$4:$AM$4, "De Minimis", AR210:BC210), "")</f>
        <v>0</v>
      </c>
      <c r="BG210" s="287"/>
      <c r="BH210" s="288" t="str">
        <f aca="false">IF((SUM(O210:Z210)&gt;1),"ERROR","")</f>
        <v/>
      </c>
      <c r="BI210" s="287"/>
      <c r="BJ210" s="18" t="str">
        <f aca="false">IF(C196&gt;0, C196, "")</f>
        <v/>
      </c>
      <c r="BL210" s="200"/>
      <c r="BM210" s="200"/>
      <c r="BN210" s="200"/>
    </row>
    <row r="211" customFormat="false" ht="15" hidden="false" customHeight="true" outlineLevel="0" collapsed="false">
      <c r="B211" s="275"/>
      <c r="D211" s="276" t="n">
        <f aca="false">D195</f>
        <v>45627</v>
      </c>
      <c r="E211" s="277" t="n">
        <v>0</v>
      </c>
      <c r="F211" s="277" t="n">
        <v>0</v>
      </c>
      <c r="G211" s="277" t="n">
        <v>0</v>
      </c>
      <c r="H211" s="277" t="n">
        <v>0</v>
      </c>
      <c r="I211" s="277" t="n">
        <v>0</v>
      </c>
      <c r="J211" s="278" t="n">
        <f aca="false">E211+H211+I211</f>
        <v>0</v>
      </c>
      <c r="K211" s="204"/>
      <c r="L211" s="289" t="n">
        <v>1</v>
      </c>
      <c r="M211" s="290" t="n">
        <f aca="false">1-L211</f>
        <v>0</v>
      </c>
      <c r="N211" s="281"/>
      <c r="O211" s="291"/>
      <c r="P211" s="291"/>
      <c r="Q211" s="291"/>
      <c r="R211" s="291"/>
      <c r="S211" s="291"/>
      <c r="T211" s="291"/>
      <c r="U211" s="291"/>
      <c r="V211" s="291"/>
      <c r="W211" s="291"/>
      <c r="X211" s="291"/>
      <c r="Y211" s="291"/>
      <c r="Z211" s="291"/>
      <c r="AA211" s="283"/>
      <c r="AB211" s="292" t="n">
        <f aca="false">IFERROR(($J211*O211)*$L211, "")</f>
        <v>0</v>
      </c>
      <c r="AC211" s="292" t="n">
        <f aca="false">IFERROR(($J211*P211)*$L211, "")</f>
        <v>0</v>
      </c>
      <c r="AD211" s="292" t="n">
        <f aca="false">IFERROR(($J211*Q211)*$L211, "")</f>
        <v>0</v>
      </c>
      <c r="AE211" s="292" t="n">
        <f aca="false">IFERROR(($J211*R211)*$L211, "")</f>
        <v>0</v>
      </c>
      <c r="AF211" s="292" t="n">
        <f aca="false">IFERROR(($J211*S211)*$L211, "")</f>
        <v>0</v>
      </c>
      <c r="AG211" s="292" t="n">
        <f aca="false">IFERROR(($J211*T211)*$L211, "")</f>
        <v>0</v>
      </c>
      <c r="AH211" s="292" t="n">
        <f aca="false">IFERROR(($J211*U211)*$L211, "")</f>
        <v>0</v>
      </c>
      <c r="AI211" s="292" t="n">
        <f aca="false">IFERROR(($J211*V211)*$L211, "")</f>
        <v>0</v>
      </c>
      <c r="AJ211" s="292" t="n">
        <f aca="false">IFERROR(($J211*W211)*$L211, "")</f>
        <v>0</v>
      </c>
      <c r="AK211" s="292" t="n">
        <f aca="false">IFERROR(($J211*X211)*$L211, "")</f>
        <v>0</v>
      </c>
      <c r="AL211" s="292" t="n">
        <f aca="false">IFERROR(($J211*Y211)*$L211, "")</f>
        <v>0</v>
      </c>
      <c r="AM211" s="293" t="n">
        <f aca="false">IFERROR(($J211*Z211)*$L211, "")</f>
        <v>0</v>
      </c>
      <c r="AN211" s="294" t="n">
        <f aca="false">IFERROR(SUMIF($AB$4:$AM$4, "RDEC", AB211:AM211), "")</f>
        <v>0</v>
      </c>
      <c r="AO211" s="294" t="n">
        <f aca="false">IFERROR(SUMIF($AB$4:$AM$4, "SME", AB211:AM211), "")</f>
        <v>0</v>
      </c>
      <c r="AP211" s="294" t="n">
        <f aca="false">IFERROR(SUMIF($AB$4:$AM$4, "De Minimis", AB211:AM211), "")</f>
        <v>0</v>
      </c>
      <c r="AQ211" s="283"/>
      <c r="AR211" s="292" t="n">
        <f aca="false">IFERROR(($J211*O211)*$M211, "")</f>
        <v>0</v>
      </c>
      <c r="AS211" s="292" t="n">
        <f aca="false">IFERROR(($J211*P211)*$M211, "")</f>
        <v>0</v>
      </c>
      <c r="AT211" s="292" t="n">
        <f aca="false">IFERROR(($J211*Q211)*$M211, "")</f>
        <v>0</v>
      </c>
      <c r="AU211" s="292" t="n">
        <f aca="false">IFERROR(($J211*R211)*$M211, "")</f>
        <v>0</v>
      </c>
      <c r="AV211" s="292" t="n">
        <f aca="false">IFERROR(($J211*S211)*$M211, "")</f>
        <v>0</v>
      </c>
      <c r="AW211" s="292" t="n">
        <f aca="false">IFERROR(($J211*T211)*$M211, "")</f>
        <v>0</v>
      </c>
      <c r="AX211" s="292" t="n">
        <f aca="false">IFERROR(($J211*U211)*$M211, "")</f>
        <v>0</v>
      </c>
      <c r="AY211" s="292" t="n">
        <f aca="false">IFERROR(($J211*V211)*$M211, "")</f>
        <v>0</v>
      </c>
      <c r="AZ211" s="292" t="n">
        <f aca="false">IFERROR(($J211*W211)*$M211, "")</f>
        <v>0</v>
      </c>
      <c r="BA211" s="292" t="n">
        <f aca="false">IFERROR(($J211*X211)*$M211, "")</f>
        <v>0</v>
      </c>
      <c r="BB211" s="292" t="n">
        <f aca="false">IFERROR(($J211*Y211)*$M211, "")</f>
        <v>0</v>
      </c>
      <c r="BC211" s="293" t="n">
        <f aca="false">IFERROR(($J211*Z211)*$M211, "")</f>
        <v>0</v>
      </c>
      <c r="BD211" s="294" t="n">
        <f aca="false">IFERROR(SUMIF($AB$4:$AM$4, "RDEC", AR211:BC211), "")</f>
        <v>0</v>
      </c>
      <c r="BE211" s="294" t="n">
        <f aca="false">IFERROR(SUMIF($AB$4:$AM$4, "SME", AR211:BC211), "")</f>
        <v>0</v>
      </c>
      <c r="BF211" s="294" t="n">
        <f aca="false">IFERROR(SUMIF($AB$4:$AM$4, "De Minimis", AR211:BC211), "")</f>
        <v>0</v>
      </c>
      <c r="BG211" s="287"/>
      <c r="BH211" s="295" t="str">
        <f aca="false">IF((SUM(O211:Z211)&gt;1),"ERROR","")</f>
        <v/>
      </c>
      <c r="BI211" s="287"/>
      <c r="BJ211" s="18" t="str">
        <f aca="false">IF(C197&gt;0, C197, "")</f>
        <v/>
      </c>
      <c r="BL211" s="200"/>
      <c r="BM211" s="200"/>
      <c r="BN211" s="200"/>
    </row>
    <row r="212" customFormat="false" ht="15" hidden="false" customHeight="true" outlineLevel="0" collapsed="false">
      <c r="B212" s="296"/>
      <c r="D212" s="297" t="s">
        <v>82</v>
      </c>
      <c r="E212" s="298" t="n">
        <f aca="false">SUM(E200:E211)</f>
        <v>0</v>
      </c>
      <c r="F212" s="298" t="n">
        <f aca="false">SUM(F200:F211)</f>
        <v>0</v>
      </c>
      <c r="G212" s="298" t="n">
        <f aca="false">SUM(G200:G211)</f>
        <v>0</v>
      </c>
      <c r="H212" s="298" t="n">
        <f aca="false">SUM(H200:H211)</f>
        <v>0</v>
      </c>
      <c r="I212" s="298" t="n">
        <f aca="false">SUM(I200:I211)</f>
        <v>0</v>
      </c>
      <c r="J212" s="299" t="n">
        <f aca="false">SUM(J200:J211)</f>
        <v>0</v>
      </c>
      <c r="K212" s="300"/>
      <c r="L212" s="301" t="n">
        <f aca="false">AVERAGE(L200:L211)</f>
        <v>1</v>
      </c>
      <c r="M212" s="301" t="n">
        <f aca="false">AVERAGE(M200:M211)</f>
        <v>0</v>
      </c>
      <c r="N212" s="302"/>
      <c r="O212" s="290" t="n">
        <f aca="false">IF(SUM(O200:O211)&gt;0,((AB212+AR212)/J212),0)</f>
        <v>0</v>
      </c>
      <c r="P212" s="290" t="n">
        <f aca="false">IF(SUM(P200:P211)&gt;0,((AC212+AS212)/J212),0)</f>
        <v>0</v>
      </c>
      <c r="Q212" s="290" t="n">
        <f aca="false">IF(SUM(Q200:Q211)&gt;0,((AD212+AT212)/J212),0)</f>
        <v>0</v>
      </c>
      <c r="R212" s="290" t="n">
        <f aca="false">IF(SUM(R200:R211)&gt;0,((AE212+AU212)/J212),0)</f>
        <v>0</v>
      </c>
      <c r="S212" s="290" t="n">
        <f aca="false">IF(SUM(S200:S211)&gt;0,((AF212+AV212)/J212),0)</f>
        <v>0</v>
      </c>
      <c r="T212" s="290" t="n">
        <f aca="false">IF(SUM(T200:T211)&gt;0,((AG212+AW212)/J212),0)</f>
        <v>0</v>
      </c>
      <c r="U212" s="290" t="n">
        <f aca="false">IF(SUM(U200:U211)&gt;0,((AH212+AX212)/J212),0)</f>
        <v>0</v>
      </c>
      <c r="V212" s="290" t="n">
        <f aca="false">IF(SUM(V200:V211)&gt;0,((AI212+AY212)/J212),0)</f>
        <v>0</v>
      </c>
      <c r="W212" s="290" t="n">
        <f aca="false">IF(SUM(W200:W211)&gt;0,((AJ212+AZ212)/J212),0)</f>
        <v>0</v>
      </c>
      <c r="X212" s="290" t="n">
        <f aca="false">IF(SUM(X200:X211)&gt;0,((AK212+BA212)/J212),0)</f>
        <v>0</v>
      </c>
      <c r="Y212" s="290" t="n">
        <f aca="false">IF(SUM(Y200:Y211)&gt;0,((AL212+BB212)/J212),0)</f>
        <v>0</v>
      </c>
      <c r="Z212" s="290" t="n">
        <f aca="false">IF(SUM(Z200:Z211)&gt;0,((AM212+BC212)/J212),0)</f>
        <v>0</v>
      </c>
      <c r="AA212" s="303"/>
      <c r="AB212" s="292" t="n">
        <f aca="false">SUM(AB200:AB211)</f>
        <v>0</v>
      </c>
      <c r="AC212" s="304" t="n">
        <f aca="false">SUM(AC200:AC211)</f>
        <v>0</v>
      </c>
      <c r="AD212" s="304" t="n">
        <f aca="false">SUM(AD200:AD211)</f>
        <v>0</v>
      </c>
      <c r="AE212" s="304" t="n">
        <f aca="false">SUM(AE200:AE211)</f>
        <v>0</v>
      </c>
      <c r="AF212" s="304" t="n">
        <f aca="false">SUM(AF200:AF211)</f>
        <v>0</v>
      </c>
      <c r="AG212" s="304" t="n">
        <f aca="false">SUM(AG200:AG211)</f>
        <v>0</v>
      </c>
      <c r="AH212" s="304" t="n">
        <f aca="false">SUM(AH200:AH211)</f>
        <v>0</v>
      </c>
      <c r="AI212" s="304" t="n">
        <f aca="false">SUM(AI200:AI211)</f>
        <v>0</v>
      </c>
      <c r="AJ212" s="304" t="n">
        <f aca="false">SUM(AJ200:AJ211)</f>
        <v>0</v>
      </c>
      <c r="AK212" s="304" t="n">
        <f aca="false">SUM(AK200:AK211)</f>
        <v>0</v>
      </c>
      <c r="AL212" s="304" t="n">
        <f aca="false">SUM(AL200:AL211)</f>
        <v>0</v>
      </c>
      <c r="AM212" s="304" t="n">
        <f aca="false">SUM(AM200:AM211)</f>
        <v>0</v>
      </c>
      <c r="AN212" s="305" t="n">
        <f aca="false">SUM(AN200:AN211)</f>
        <v>0</v>
      </c>
      <c r="AO212" s="305" t="n">
        <f aca="false">SUM(AO200:AO211)</f>
        <v>0</v>
      </c>
      <c r="AP212" s="305" t="n">
        <f aca="false">SUM(AP200:AP211)</f>
        <v>0</v>
      </c>
      <c r="AQ212" s="303"/>
      <c r="AR212" s="292" t="n">
        <f aca="false">SUM(AR200:AR211)</f>
        <v>0</v>
      </c>
      <c r="AS212" s="304" t="n">
        <f aca="false">SUM(AS200:AS211)</f>
        <v>0</v>
      </c>
      <c r="AT212" s="304" t="n">
        <f aca="false">SUM(AT200:AT211)</f>
        <v>0</v>
      </c>
      <c r="AU212" s="304" t="n">
        <f aca="false">SUM(AU200:AU211)</f>
        <v>0</v>
      </c>
      <c r="AV212" s="304" t="n">
        <f aca="false">SUM(AV200:AV211)</f>
        <v>0</v>
      </c>
      <c r="AW212" s="304" t="n">
        <f aca="false">SUM(AW200:AW211)</f>
        <v>0</v>
      </c>
      <c r="AX212" s="304" t="n">
        <f aca="false">SUM(AX200:AX211)</f>
        <v>0</v>
      </c>
      <c r="AY212" s="304" t="n">
        <f aca="false">SUM(AY200:AY211)</f>
        <v>0</v>
      </c>
      <c r="AZ212" s="304" t="n">
        <f aca="false">SUM(AZ200:AZ211)</f>
        <v>0</v>
      </c>
      <c r="BA212" s="304" t="n">
        <f aca="false">SUM(BA200:BA211)</f>
        <v>0</v>
      </c>
      <c r="BB212" s="304" t="n">
        <f aca="false">SUM(BB200:BB211)</f>
        <v>0</v>
      </c>
      <c r="BC212" s="304" t="n">
        <f aca="false">SUM(BC200:BC211)</f>
        <v>0</v>
      </c>
      <c r="BD212" s="305" t="n">
        <f aca="false">SUM(BD200:BD211)</f>
        <v>0</v>
      </c>
      <c r="BE212" s="305" t="n">
        <f aca="false">SUM(BE200:BE211)</f>
        <v>0</v>
      </c>
      <c r="BF212" s="305" t="n">
        <f aca="false">SUM(BF200:BF211)</f>
        <v>0</v>
      </c>
      <c r="BG212" s="303"/>
      <c r="BH212" s="306"/>
      <c r="BI212" s="303"/>
      <c r="BJ212" s="307" t="str">
        <f aca="false">IF(C198&gt;0, C198, "")</f>
        <v>TBA</v>
      </c>
      <c r="BK212" s="18" t="s">
        <v>234</v>
      </c>
      <c r="BL212" s="200" t="n">
        <f aca="false">IF($BK212="Y",J212,0)</f>
        <v>0</v>
      </c>
      <c r="BM212" s="200" t="n">
        <f aca="false">IF(BK212="Y", AN212,0)</f>
        <v>0</v>
      </c>
      <c r="BN212" s="200" t="n">
        <f aca="false">IF((BK212="Y"),AO212,0)</f>
        <v>0</v>
      </c>
    </row>
    <row r="213" customFormat="false" ht="15" hidden="false" customHeight="true" outlineLevel="0" collapsed="false">
      <c r="B213" s="296"/>
      <c r="D213" s="297"/>
      <c r="E213" s="277"/>
      <c r="F213" s="277"/>
      <c r="G213" s="277"/>
      <c r="H213" s="277"/>
      <c r="I213" s="277"/>
      <c r="J213" s="300"/>
      <c r="K213" s="300"/>
      <c r="L213" s="302"/>
      <c r="M213" s="302"/>
      <c r="N213" s="302"/>
      <c r="O213" s="308"/>
      <c r="P213" s="308"/>
      <c r="Q213" s="308"/>
      <c r="R213" s="308"/>
      <c r="S213" s="308"/>
      <c r="T213" s="308"/>
      <c r="U213" s="308"/>
      <c r="V213" s="308"/>
      <c r="W213" s="308"/>
      <c r="X213" s="308"/>
      <c r="Y213" s="308"/>
      <c r="Z213" s="308"/>
      <c r="AA213" s="303"/>
      <c r="AB213" s="303"/>
      <c r="AC213" s="303"/>
      <c r="AD213" s="303"/>
      <c r="AE213" s="303"/>
      <c r="AF213" s="303"/>
      <c r="AG213" s="303"/>
      <c r="AH213" s="303"/>
      <c r="AI213" s="303"/>
      <c r="AJ213" s="303"/>
      <c r="AK213" s="303"/>
      <c r="AL213" s="303"/>
      <c r="AM213" s="303"/>
      <c r="AN213" s="303"/>
      <c r="AO213" s="303"/>
      <c r="AP213" s="303"/>
      <c r="AQ213" s="303"/>
      <c r="AR213" s="303"/>
      <c r="AS213" s="303"/>
      <c r="AT213" s="303"/>
      <c r="AU213" s="303"/>
      <c r="AV213" s="303"/>
      <c r="AW213" s="303"/>
      <c r="AX213" s="303"/>
      <c r="AY213" s="303"/>
      <c r="AZ213" s="303"/>
      <c r="BA213" s="303"/>
      <c r="BB213" s="303"/>
      <c r="BC213" s="303"/>
      <c r="BD213" s="303"/>
      <c r="BE213" s="303"/>
      <c r="BF213" s="303"/>
      <c r="BG213" s="303"/>
      <c r="BH213" s="303"/>
      <c r="BI213" s="303"/>
      <c r="BJ213" s="307" t="str">
        <f aca="false">IF(C200&gt;0, C200, "")</f>
        <v/>
      </c>
      <c r="BL213" s="200"/>
      <c r="BM213" s="200"/>
      <c r="BN213" s="200"/>
    </row>
    <row r="214" customFormat="false" ht="15" hidden="false" customHeight="true" outlineLevel="0" collapsed="false">
      <c r="A214" s="198" t="n">
        <f aca="false">A198+1</f>
        <v>14</v>
      </c>
      <c r="B214" s="266" t="s">
        <v>253</v>
      </c>
      <c r="C214" s="266" t="s">
        <v>253</v>
      </c>
      <c r="D214" s="267"/>
      <c r="E214" s="242"/>
      <c r="F214" s="242"/>
      <c r="G214" s="242"/>
      <c r="H214" s="242"/>
      <c r="I214" s="242"/>
      <c r="J214" s="241"/>
      <c r="K214" s="241"/>
      <c r="L214" s="241"/>
      <c r="M214" s="241"/>
      <c r="N214" s="241"/>
      <c r="O214" s="268"/>
      <c r="P214" s="268"/>
      <c r="Q214" s="268"/>
      <c r="R214" s="268"/>
      <c r="S214" s="268"/>
      <c r="T214" s="268"/>
      <c r="U214" s="268"/>
      <c r="V214" s="268"/>
      <c r="W214" s="268"/>
      <c r="X214" s="268"/>
      <c r="Y214" s="268"/>
      <c r="Z214" s="268"/>
      <c r="AA214" s="268"/>
      <c r="AB214" s="268"/>
      <c r="AC214" s="268"/>
      <c r="AD214" s="268"/>
      <c r="AE214" s="268"/>
      <c r="AF214" s="268"/>
      <c r="AG214" s="268"/>
      <c r="AH214" s="268"/>
      <c r="AI214" s="268"/>
      <c r="AJ214" s="268"/>
      <c r="AK214" s="268"/>
      <c r="AL214" s="268"/>
      <c r="AM214" s="268"/>
      <c r="AN214" s="268"/>
      <c r="AO214" s="268"/>
      <c r="AP214" s="268"/>
      <c r="AQ214" s="268"/>
      <c r="AR214" s="268"/>
      <c r="AS214" s="268"/>
      <c r="AT214" s="268"/>
      <c r="AU214" s="268"/>
      <c r="AV214" s="268"/>
      <c r="AW214" s="268"/>
      <c r="AX214" s="268"/>
      <c r="AY214" s="268"/>
      <c r="AZ214" s="268"/>
      <c r="BA214" s="268"/>
      <c r="BB214" s="268"/>
      <c r="BC214" s="268"/>
      <c r="BD214" s="268"/>
      <c r="BE214" s="268"/>
      <c r="BF214" s="268"/>
      <c r="BG214" s="268"/>
      <c r="BH214" s="268"/>
      <c r="BI214" s="268"/>
      <c r="BJ214" s="18" t="str">
        <f aca="false">IF(C201&gt;0, C201, "")</f>
        <v/>
      </c>
      <c r="BL214" s="200"/>
      <c r="BM214" s="200"/>
      <c r="BN214" s="200"/>
    </row>
    <row r="215" customFormat="false" ht="7.5" hidden="false" customHeight="true" outlineLevel="0" collapsed="false">
      <c r="A215" s="198"/>
      <c r="B215" s="266"/>
      <c r="C215" s="266"/>
      <c r="D215" s="267"/>
      <c r="E215" s="242"/>
      <c r="F215" s="242"/>
      <c r="G215" s="242"/>
      <c r="H215" s="242"/>
      <c r="I215" s="242"/>
      <c r="J215" s="241"/>
      <c r="K215" s="241"/>
      <c r="L215" s="269"/>
      <c r="M215" s="269"/>
      <c r="N215" s="270"/>
      <c r="O215" s="269"/>
      <c r="P215" s="269"/>
      <c r="Q215" s="269"/>
      <c r="R215" s="269"/>
      <c r="S215" s="269"/>
      <c r="T215" s="269"/>
      <c r="U215" s="269"/>
      <c r="V215" s="269"/>
      <c r="W215" s="269"/>
      <c r="X215" s="269"/>
      <c r="Y215" s="269"/>
      <c r="Z215" s="269"/>
      <c r="AA215" s="268"/>
      <c r="AB215" s="271"/>
      <c r="AC215" s="271"/>
      <c r="AD215" s="271"/>
      <c r="AE215" s="271"/>
      <c r="AF215" s="271"/>
      <c r="AG215" s="271"/>
      <c r="AH215" s="271"/>
      <c r="AI215" s="271"/>
      <c r="AJ215" s="271"/>
      <c r="AK215" s="271"/>
      <c r="AL215" s="271"/>
      <c r="AM215" s="272"/>
      <c r="AN215" s="273"/>
      <c r="AO215" s="273"/>
      <c r="AP215" s="273"/>
      <c r="AQ215" s="268"/>
      <c r="AR215" s="271"/>
      <c r="AS215" s="271"/>
      <c r="AT215" s="271"/>
      <c r="AU215" s="271"/>
      <c r="AV215" s="271"/>
      <c r="AW215" s="271"/>
      <c r="AX215" s="271"/>
      <c r="AY215" s="271"/>
      <c r="AZ215" s="271"/>
      <c r="BA215" s="271"/>
      <c r="BB215" s="271"/>
      <c r="BC215" s="272"/>
      <c r="BD215" s="273"/>
      <c r="BE215" s="273"/>
      <c r="BF215" s="273"/>
      <c r="BG215" s="268"/>
      <c r="BH215" s="274"/>
      <c r="BI215" s="268"/>
      <c r="BL215" s="200"/>
      <c r="BM215" s="200"/>
      <c r="BN215" s="200"/>
    </row>
    <row r="216" customFormat="false" ht="15" hidden="false" customHeight="true" outlineLevel="0" collapsed="false">
      <c r="B216" s="275"/>
      <c r="D216" s="276" t="n">
        <f aca="false">D200</f>
        <v>45292</v>
      </c>
      <c r="E216" s="277" t="n">
        <v>0</v>
      </c>
      <c r="F216" s="277" t="n">
        <v>0</v>
      </c>
      <c r="G216" s="277" t="n">
        <v>0</v>
      </c>
      <c r="H216" s="277" t="n">
        <v>0</v>
      </c>
      <c r="I216" s="277" t="n">
        <v>0</v>
      </c>
      <c r="J216" s="278" t="n">
        <f aca="false">E216+H216+I216</f>
        <v>0</v>
      </c>
      <c r="K216" s="204"/>
      <c r="L216" s="279" t="n">
        <v>1</v>
      </c>
      <c r="M216" s="280" t="n">
        <f aca="false">1-L216</f>
        <v>0</v>
      </c>
      <c r="N216" s="281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  <c r="AA216" s="283"/>
      <c r="AB216" s="284" t="n">
        <f aca="false">IFERROR(($J216*O216)*$L216, "")</f>
        <v>0</v>
      </c>
      <c r="AC216" s="284" t="n">
        <f aca="false">IFERROR(($J216*P216)*$L216, "")</f>
        <v>0</v>
      </c>
      <c r="AD216" s="284" t="n">
        <f aca="false">IFERROR(($J216*Q216)*$L216, "")</f>
        <v>0</v>
      </c>
      <c r="AE216" s="284" t="n">
        <f aca="false">IFERROR(($J216*R216)*$L216, "")</f>
        <v>0</v>
      </c>
      <c r="AF216" s="284" t="n">
        <f aca="false">IFERROR(($J216*S216)*$L216, "")</f>
        <v>0</v>
      </c>
      <c r="AG216" s="284" t="n">
        <f aca="false">IFERROR(($J216*T216)*$L216, "")</f>
        <v>0</v>
      </c>
      <c r="AH216" s="284" t="n">
        <f aca="false">IFERROR(($J216*U216)*$L216, "")</f>
        <v>0</v>
      </c>
      <c r="AI216" s="284" t="n">
        <f aca="false">IFERROR(($J216*V216)*$L216, "")</f>
        <v>0</v>
      </c>
      <c r="AJ216" s="284" t="n">
        <f aca="false">IFERROR(($J216*W216)*$L216, "")</f>
        <v>0</v>
      </c>
      <c r="AK216" s="284" t="n">
        <f aca="false">IFERROR(($J216*X216)*$L216, "")</f>
        <v>0</v>
      </c>
      <c r="AL216" s="284" t="n">
        <f aca="false">IFERROR(($J216*Y216)*$L216, "")</f>
        <v>0</v>
      </c>
      <c r="AM216" s="285" t="n">
        <f aca="false">IFERROR(($J216*Z216)*$L216, "")</f>
        <v>0</v>
      </c>
      <c r="AN216" s="286" t="n">
        <f aca="false">IFERROR(SUMIF($AB$4:$AM$4, "RDEC", AB216:AM216), "")</f>
        <v>0</v>
      </c>
      <c r="AO216" s="286" t="n">
        <f aca="false">IFERROR(SUMIF($AB$4:$AM$4, "SME", AB216:AM216), "")</f>
        <v>0</v>
      </c>
      <c r="AP216" s="286" t="n">
        <f aca="false">IFERROR(SUMIF($AB$4:$AM$4, "De Minimis", AB216:AM216), "")</f>
        <v>0</v>
      </c>
      <c r="AQ216" s="283"/>
      <c r="AR216" s="284" t="n">
        <f aca="false">IFERROR(($J216*O216)*$M216, "")</f>
        <v>0</v>
      </c>
      <c r="AS216" s="284" t="n">
        <f aca="false">IFERROR(($J216*P216)*$M216, "")</f>
        <v>0</v>
      </c>
      <c r="AT216" s="284" t="n">
        <f aca="false">IFERROR(($J216*Q216)*$M216, "")</f>
        <v>0</v>
      </c>
      <c r="AU216" s="284" t="n">
        <f aca="false">IFERROR(($J216*R216)*$M216, "")</f>
        <v>0</v>
      </c>
      <c r="AV216" s="284" t="n">
        <f aca="false">IFERROR(($J216*S216)*$M216, "")</f>
        <v>0</v>
      </c>
      <c r="AW216" s="284" t="n">
        <f aca="false">IFERROR(($J216*T216)*$M216, "")</f>
        <v>0</v>
      </c>
      <c r="AX216" s="284" t="n">
        <f aca="false">IFERROR(($J216*U216)*$M216, "")</f>
        <v>0</v>
      </c>
      <c r="AY216" s="284" t="n">
        <f aca="false">IFERROR(($J216*V216)*$M216, "")</f>
        <v>0</v>
      </c>
      <c r="AZ216" s="284" t="n">
        <f aca="false">IFERROR(($J216*W216)*$M216, "")</f>
        <v>0</v>
      </c>
      <c r="BA216" s="284" t="n">
        <f aca="false">IFERROR(($J216*X216)*$M216, "")</f>
        <v>0</v>
      </c>
      <c r="BB216" s="284" t="n">
        <f aca="false">IFERROR(($J216*Y216)*$M216, "")</f>
        <v>0</v>
      </c>
      <c r="BC216" s="285" t="n">
        <f aca="false">IFERROR(($J216*Z216)*$M216, "")</f>
        <v>0</v>
      </c>
      <c r="BD216" s="286" t="n">
        <f aca="false">IFERROR(SUMIF($AB$4:$AM$4, "RDEC", AR216:BC216), "")</f>
        <v>0</v>
      </c>
      <c r="BE216" s="286" t="n">
        <f aca="false">IFERROR(SUMIF($AB$4:$AM$4, "SME", AR216:BC216), "")</f>
        <v>0</v>
      </c>
      <c r="BF216" s="286" t="n">
        <f aca="false">IFERROR(SUMIF($AB$4:$AM$4, "De Minimis", AR216:BC216), "")</f>
        <v>0</v>
      </c>
      <c r="BG216" s="287"/>
      <c r="BH216" s="288" t="str">
        <f aca="false">IF((SUM(O216:Z216)&gt;1),"ERROR","")</f>
        <v/>
      </c>
      <c r="BI216" s="287"/>
      <c r="BJ216" s="18" t="str">
        <f aca="false">IF(C202&gt;0, C202, "")</f>
        <v/>
      </c>
      <c r="BL216" s="200"/>
      <c r="BM216" s="200"/>
      <c r="BN216" s="200"/>
    </row>
    <row r="217" customFormat="false" ht="15" hidden="false" customHeight="true" outlineLevel="0" collapsed="false">
      <c r="B217" s="275"/>
      <c r="D217" s="276" t="n">
        <f aca="false">D201</f>
        <v>45323</v>
      </c>
      <c r="E217" s="277" t="n">
        <v>0</v>
      </c>
      <c r="F217" s="277" t="n">
        <v>0</v>
      </c>
      <c r="G217" s="277" t="n">
        <v>0</v>
      </c>
      <c r="H217" s="277" t="n">
        <v>0</v>
      </c>
      <c r="I217" s="277" t="n">
        <v>0</v>
      </c>
      <c r="J217" s="278" t="n">
        <f aca="false">E217+H217+I217</f>
        <v>0</v>
      </c>
      <c r="K217" s="204"/>
      <c r="L217" s="279" t="n">
        <v>1</v>
      </c>
      <c r="M217" s="280" t="n">
        <f aca="false">1-L217</f>
        <v>0</v>
      </c>
      <c r="N217" s="281"/>
      <c r="O217" s="282"/>
      <c r="P217" s="282"/>
      <c r="Q217" s="282"/>
      <c r="R217" s="282"/>
      <c r="S217" s="282"/>
      <c r="T217" s="282"/>
      <c r="U217" s="282"/>
      <c r="V217" s="282"/>
      <c r="W217" s="282"/>
      <c r="X217" s="282"/>
      <c r="Y217" s="282"/>
      <c r="Z217" s="282"/>
      <c r="AA217" s="283"/>
      <c r="AB217" s="284" t="n">
        <f aca="false">IFERROR(($J217*O217)*$L217, "")</f>
        <v>0</v>
      </c>
      <c r="AC217" s="284" t="n">
        <f aca="false">IFERROR(($J217*P217)*$L217, "")</f>
        <v>0</v>
      </c>
      <c r="AD217" s="284" t="n">
        <f aca="false">IFERROR(($J217*Q217)*$L217, "")</f>
        <v>0</v>
      </c>
      <c r="AE217" s="284" t="n">
        <f aca="false">IFERROR(($J217*R217)*$L217, "")</f>
        <v>0</v>
      </c>
      <c r="AF217" s="284" t="n">
        <f aca="false">IFERROR(($J217*S217)*$L217, "")</f>
        <v>0</v>
      </c>
      <c r="AG217" s="284" t="n">
        <f aca="false">IFERROR(($J217*T217)*$L217, "")</f>
        <v>0</v>
      </c>
      <c r="AH217" s="284" t="n">
        <f aca="false">IFERROR(($J217*U217)*$L217, "")</f>
        <v>0</v>
      </c>
      <c r="AI217" s="284" t="n">
        <f aca="false">IFERROR(($J217*V217)*$L217, "")</f>
        <v>0</v>
      </c>
      <c r="AJ217" s="284" t="n">
        <f aca="false">IFERROR(($J217*W217)*$L217, "")</f>
        <v>0</v>
      </c>
      <c r="AK217" s="284" t="n">
        <f aca="false">IFERROR(($J217*X217)*$L217, "")</f>
        <v>0</v>
      </c>
      <c r="AL217" s="284" t="n">
        <f aca="false">IFERROR(($J217*Y217)*$L217, "")</f>
        <v>0</v>
      </c>
      <c r="AM217" s="285" t="n">
        <f aca="false">IFERROR(($J217*Z217)*$L217, "")</f>
        <v>0</v>
      </c>
      <c r="AN217" s="286" t="n">
        <f aca="false">IFERROR(SUMIF($AB$4:$AM$4, "RDEC", AB217:AM217), "")</f>
        <v>0</v>
      </c>
      <c r="AO217" s="286" t="n">
        <f aca="false">IFERROR(SUMIF($AB$4:$AM$4, "SME", AB217:AM217), "")</f>
        <v>0</v>
      </c>
      <c r="AP217" s="286" t="n">
        <f aca="false">IFERROR(SUMIF($AB$4:$AM$4, "De Minimis", AB217:AM217), "")</f>
        <v>0</v>
      </c>
      <c r="AQ217" s="283"/>
      <c r="AR217" s="284" t="n">
        <f aca="false">IFERROR(($J217*O217)*$M217, "")</f>
        <v>0</v>
      </c>
      <c r="AS217" s="284" t="n">
        <f aca="false">IFERROR(($J217*P217)*$M217, "")</f>
        <v>0</v>
      </c>
      <c r="AT217" s="284" t="n">
        <f aca="false">IFERROR(($J217*Q217)*$M217, "")</f>
        <v>0</v>
      </c>
      <c r="AU217" s="284" t="n">
        <f aca="false">IFERROR(($J217*R217)*$M217, "")</f>
        <v>0</v>
      </c>
      <c r="AV217" s="284" t="n">
        <f aca="false">IFERROR(($J217*S217)*$M217, "")</f>
        <v>0</v>
      </c>
      <c r="AW217" s="284" t="n">
        <f aca="false">IFERROR(($J217*T217)*$M217, "")</f>
        <v>0</v>
      </c>
      <c r="AX217" s="284" t="n">
        <f aca="false">IFERROR(($J217*U217)*$M217, "")</f>
        <v>0</v>
      </c>
      <c r="AY217" s="284" t="n">
        <f aca="false">IFERROR(($J217*V217)*$M217, "")</f>
        <v>0</v>
      </c>
      <c r="AZ217" s="284" t="n">
        <f aca="false">IFERROR(($J217*W217)*$M217, "")</f>
        <v>0</v>
      </c>
      <c r="BA217" s="284" t="n">
        <f aca="false">IFERROR(($J217*X217)*$M217, "")</f>
        <v>0</v>
      </c>
      <c r="BB217" s="284" t="n">
        <f aca="false">IFERROR(($J217*Y217)*$M217, "")</f>
        <v>0</v>
      </c>
      <c r="BC217" s="285" t="n">
        <f aca="false">IFERROR(($J217*Z217)*$M217, "")</f>
        <v>0</v>
      </c>
      <c r="BD217" s="286" t="n">
        <f aca="false">IFERROR(SUMIF($AB$4:$AM$4, "RDEC", AR217:BC217), "")</f>
        <v>0</v>
      </c>
      <c r="BE217" s="286" t="n">
        <f aca="false">IFERROR(SUMIF($AB$4:$AM$4, "SME", AR217:BC217), "")</f>
        <v>0</v>
      </c>
      <c r="BF217" s="286" t="n">
        <f aca="false">IFERROR(SUMIF($AB$4:$AM$4, "De Minimis", AR217:BC217), "")</f>
        <v>0</v>
      </c>
      <c r="BG217" s="287"/>
      <c r="BH217" s="288" t="str">
        <f aca="false">IF((SUM(O217:Z217)&gt;1),"ERROR","")</f>
        <v/>
      </c>
      <c r="BI217" s="287"/>
      <c r="BJ217" s="18" t="str">
        <f aca="false">IF(C203&gt;0, C203, "")</f>
        <v/>
      </c>
      <c r="BL217" s="200"/>
      <c r="BM217" s="200"/>
      <c r="BN217" s="200"/>
    </row>
    <row r="218" customFormat="false" ht="15" hidden="false" customHeight="true" outlineLevel="0" collapsed="false">
      <c r="B218" s="275"/>
      <c r="D218" s="276" t="n">
        <f aca="false">D202</f>
        <v>45352</v>
      </c>
      <c r="E218" s="277" t="n">
        <v>0</v>
      </c>
      <c r="F218" s="277" t="n">
        <v>0</v>
      </c>
      <c r="G218" s="277" t="n">
        <v>0</v>
      </c>
      <c r="H218" s="277" t="n">
        <v>0</v>
      </c>
      <c r="I218" s="277" t="n">
        <v>0</v>
      </c>
      <c r="J218" s="278" t="n">
        <f aca="false">E218+H218+I218</f>
        <v>0</v>
      </c>
      <c r="K218" s="204"/>
      <c r="L218" s="279" t="n">
        <v>1</v>
      </c>
      <c r="M218" s="280" t="n">
        <f aca="false">1-L218</f>
        <v>0</v>
      </c>
      <c r="N218" s="281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  <c r="AA218" s="283"/>
      <c r="AB218" s="284" t="n">
        <f aca="false">IFERROR(($J218*O218)*$L218, "")</f>
        <v>0</v>
      </c>
      <c r="AC218" s="284" t="n">
        <f aca="false">IFERROR(($J218*P218)*$L218, "")</f>
        <v>0</v>
      </c>
      <c r="AD218" s="284" t="n">
        <f aca="false">IFERROR(($J218*Q218)*$L218, "")</f>
        <v>0</v>
      </c>
      <c r="AE218" s="284" t="n">
        <f aca="false">IFERROR(($J218*R218)*$L218, "")</f>
        <v>0</v>
      </c>
      <c r="AF218" s="284" t="n">
        <f aca="false">IFERROR(($J218*S218)*$L218, "")</f>
        <v>0</v>
      </c>
      <c r="AG218" s="284" t="n">
        <f aca="false">IFERROR(($J218*T218)*$L218, "")</f>
        <v>0</v>
      </c>
      <c r="AH218" s="284" t="n">
        <f aca="false">IFERROR(($J218*U218)*$L218, "")</f>
        <v>0</v>
      </c>
      <c r="AI218" s="284" t="n">
        <f aca="false">IFERROR(($J218*V218)*$L218, "")</f>
        <v>0</v>
      </c>
      <c r="AJ218" s="284" t="n">
        <f aca="false">IFERROR(($J218*W218)*$L218, "")</f>
        <v>0</v>
      </c>
      <c r="AK218" s="284" t="n">
        <f aca="false">IFERROR(($J218*X218)*$L218, "")</f>
        <v>0</v>
      </c>
      <c r="AL218" s="284" t="n">
        <f aca="false">IFERROR(($J218*Y218)*$L218, "")</f>
        <v>0</v>
      </c>
      <c r="AM218" s="285" t="n">
        <f aca="false">IFERROR(($J218*Z218)*$L218, "")</f>
        <v>0</v>
      </c>
      <c r="AN218" s="286" t="n">
        <f aca="false">IFERROR(SUMIF($AB$4:$AM$4, "RDEC", AB218:AM218), "")</f>
        <v>0</v>
      </c>
      <c r="AO218" s="286" t="n">
        <f aca="false">IFERROR(SUMIF($AB$4:$AM$4, "SME", AB218:AM218), "")</f>
        <v>0</v>
      </c>
      <c r="AP218" s="286" t="n">
        <f aca="false">IFERROR(SUMIF($AB$4:$AM$4, "De Minimis", AB218:AM218), "")</f>
        <v>0</v>
      </c>
      <c r="AQ218" s="283"/>
      <c r="AR218" s="284" t="n">
        <f aca="false">IFERROR(($J218*O218)*$M218, "")</f>
        <v>0</v>
      </c>
      <c r="AS218" s="284" t="n">
        <f aca="false">IFERROR(($J218*P218)*$M218, "")</f>
        <v>0</v>
      </c>
      <c r="AT218" s="284" t="n">
        <f aca="false">IFERROR(($J218*Q218)*$M218, "")</f>
        <v>0</v>
      </c>
      <c r="AU218" s="284" t="n">
        <f aca="false">IFERROR(($J218*R218)*$M218, "")</f>
        <v>0</v>
      </c>
      <c r="AV218" s="284" t="n">
        <f aca="false">IFERROR(($J218*S218)*$M218, "")</f>
        <v>0</v>
      </c>
      <c r="AW218" s="284" t="n">
        <f aca="false">IFERROR(($J218*T218)*$M218, "")</f>
        <v>0</v>
      </c>
      <c r="AX218" s="284" t="n">
        <f aca="false">IFERROR(($J218*U218)*$M218, "")</f>
        <v>0</v>
      </c>
      <c r="AY218" s="284" t="n">
        <f aca="false">IFERROR(($J218*V218)*$M218, "")</f>
        <v>0</v>
      </c>
      <c r="AZ218" s="284" t="n">
        <f aca="false">IFERROR(($J218*W218)*$M218, "")</f>
        <v>0</v>
      </c>
      <c r="BA218" s="284" t="n">
        <f aca="false">IFERROR(($J218*X218)*$M218, "")</f>
        <v>0</v>
      </c>
      <c r="BB218" s="284" t="n">
        <f aca="false">IFERROR(($J218*Y218)*$M218, "")</f>
        <v>0</v>
      </c>
      <c r="BC218" s="285" t="n">
        <f aca="false">IFERROR(($J218*Z218)*$M218, "")</f>
        <v>0</v>
      </c>
      <c r="BD218" s="286" t="n">
        <f aca="false">IFERROR(SUMIF($AB$4:$AM$4, "RDEC", AR218:BC218), "")</f>
        <v>0</v>
      </c>
      <c r="BE218" s="286" t="n">
        <f aca="false">IFERROR(SUMIF($AB$4:$AM$4, "SME", AR218:BC218), "")</f>
        <v>0</v>
      </c>
      <c r="BF218" s="286" t="n">
        <f aca="false">IFERROR(SUMIF($AB$4:$AM$4, "De Minimis", AR218:BC218), "")</f>
        <v>0</v>
      </c>
      <c r="BG218" s="287"/>
      <c r="BH218" s="288" t="str">
        <f aca="false">IF((SUM(O218:Z218)&gt;1),"ERROR","")</f>
        <v/>
      </c>
      <c r="BI218" s="287"/>
      <c r="BJ218" s="18" t="str">
        <f aca="false">IF(C204&gt;0, C204, "")</f>
        <v/>
      </c>
      <c r="BL218" s="200"/>
      <c r="BM218" s="200"/>
      <c r="BN218" s="200"/>
    </row>
    <row r="219" customFormat="false" ht="15" hidden="false" customHeight="true" outlineLevel="0" collapsed="false">
      <c r="B219" s="275"/>
      <c r="D219" s="276" t="n">
        <f aca="false">D203</f>
        <v>45383</v>
      </c>
      <c r="E219" s="277" t="n">
        <v>0</v>
      </c>
      <c r="F219" s="277" t="n">
        <v>0</v>
      </c>
      <c r="G219" s="277" t="n">
        <v>0</v>
      </c>
      <c r="H219" s="277" t="n">
        <v>0</v>
      </c>
      <c r="I219" s="277" t="n">
        <v>0</v>
      </c>
      <c r="J219" s="278" t="n">
        <f aca="false">E219+H219+I219</f>
        <v>0</v>
      </c>
      <c r="K219" s="204"/>
      <c r="L219" s="279" t="n">
        <v>1</v>
      </c>
      <c r="M219" s="280" t="n">
        <f aca="false">1-L219</f>
        <v>0</v>
      </c>
      <c r="N219" s="281"/>
      <c r="O219" s="282"/>
      <c r="P219" s="282"/>
      <c r="Q219" s="282"/>
      <c r="R219" s="282"/>
      <c r="S219" s="282"/>
      <c r="T219" s="282"/>
      <c r="U219" s="282"/>
      <c r="V219" s="282"/>
      <c r="W219" s="282"/>
      <c r="X219" s="282"/>
      <c r="Y219" s="282"/>
      <c r="Z219" s="282"/>
      <c r="AA219" s="283"/>
      <c r="AB219" s="284" t="n">
        <f aca="false">IFERROR(($J219*O219)*$L219, "")</f>
        <v>0</v>
      </c>
      <c r="AC219" s="284" t="n">
        <f aca="false">IFERROR(($J219*P219)*$L219, "")</f>
        <v>0</v>
      </c>
      <c r="AD219" s="284" t="n">
        <f aca="false">IFERROR(($J219*Q219)*$L219, "")</f>
        <v>0</v>
      </c>
      <c r="AE219" s="284" t="n">
        <f aca="false">IFERROR(($J219*R219)*$L219, "")</f>
        <v>0</v>
      </c>
      <c r="AF219" s="284" t="n">
        <f aca="false">IFERROR(($J219*S219)*$L219, "")</f>
        <v>0</v>
      </c>
      <c r="AG219" s="284" t="n">
        <f aca="false">IFERROR(($J219*T219)*$L219, "")</f>
        <v>0</v>
      </c>
      <c r="AH219" s="284" t="n">
        <f aca="false">IFERROR(($J219*U219)*$L219, "")</f>
        <v>0</v>
      </c>
      <c r="AI219" s="284" t="n">
        <f aca="false">IFERROR(($J219*V219)*$L219, "")</f>
        <v>0</v>
      </c>
      <c r="AJ219" s="284" t="n">
        <f aca="false">IFERROR(($J219*W219)*$L219, "")</f>
        <v>0</v>
      </c>
      <c r="AK219" s="284" t="n">
        <f aca="false">IFERROR(($J219*X219)*$L219, "")</f>
        <v>0</v>
      </c>
      <c r="AL219" s="284" t="n">
        <f aca="false">IFERROR(($J219*Y219)*$L219, "")</f>
        <v>0</v>
      </c>
      <c r="AM219" s="285" t="n">
        <f aca="false">IFERROR(($J219*Z219)*$L219, "")</f>
        <v>0</v>
      </c>
      <c r="AN219" s="286" t="n">
        <f aca="false">IFERROR(SUMIF($AB$4:$AM$4, "RDEC", AB219:AM219), "")</f>
        <v>0</v>
      </c>
      <c r="AO219" s="286" t="n">
        <f aca="false">IFERROR(SUMIF($AB$4:$AM$4, "SME", AB219:AM219), "")</f>
        <v>0</v>
      </c>
      <c r="AP219" s="286" t="n">
        <f aca="false">IFERROR(SUMIF($AB$4:$AM$4, "De Minimis", AB219:AM219), "")</f>
        <v>0</v>
      </c>
      <c r="AQ219" s="283"/>
      <c r="AR219" s="284" t="n">
        <f aca="false">IFERROR(($J219*O219)*$M219, "")</f>
        <v>0</v>
      </c>
      <c r="AS219" s="284" t="n">
        <f aca="false">IFERROR(($J219*P219)*$M219, "")</f>
        <v>0</v>
      </c>
      <c r="AT219" s="284" t="n">
        <f aca="false">IFERROR(($J219*Q219)*$M219, "")</f>
        <v>0</v>
      </c>
      <c r="AU219" s="284" t="n">
        <f aca="false">IFERROR(($J219*R219)*$M219, "")</f>
        <v>0</v>
      </c>
      <c r="AV219" s="284" t="n">
        <f aca="false">IFERROR(($J219*S219)*$M219, "")</f>
        <v>0</v>
      </c>
      <c r="AW219" s="284" t="n">
        <f aca="false">IFERROR(($J219*T219)*$M219, "")</f>
        <v>0</v>
      </c>
      <c r="AX219" s="284" t="n">
        <f aca="false">IFERROR(($J219*U219)*$M219, "")</f>
        <v>0</v>
      </c>
      <c r="AY219" s="284" t="n">
        <f aca="false">IFERROR(($J219*V219)*$M219, "")</f>
        <v>0</v>
      </c>
      <c r="AZ219" s="284" t="n">
        <f aca="false">IFERROR(($J219*W219)*$M219, "")</f>
        <v>0</v>
      </c>
      <c r="BA219" s="284" t="n">
        <f aca="false">IFERROR(($J219*X219)*$M219, "")</f>
        <v>0</v>
      </c>
      <c r="BB219" s="284" t="n">
        <f aca="false">IFERROR(($J219*Y219)*$M219, "")</f>
        <v>0</v>
      </c>
      <c r="BC219" s="285" t="n">
        <f aca="false">IFERROR(($J219*Z219)*$M219, "")</f>
        <v>0</v>
      </c>
      <c r="BD219" s="286" t="n">
        <f aca="false">IFERROR(SUMIF($AB$4:$AM$4, "RDEC", AR219:BC219), "")</f>
        <v>0</v>
      </c>
      <c r="BE219" s="286" t="n">
        <f aca="false">IFERROR(SUMIF($AB$4:$AM$4, "SME", AR219:BC219), "")</f>
        <v>0</v>
      </c>
      <c r="BF219" s="286" t="n">
        <f aca="false">IFERROR(SUMIF($AB$4:$AM$4, "De Minimis", AR219:BC219), "")</f>
        <v>0</v>
      </c>
      <c r="BG219" s="287"/>
      <c r="BH219" s="288" t="str">
        <f aca="false">IF((SUM(O219:Z219)&gt;1),"ERROR","")</f>
        <v/>
      </c>
      <c r="BI219" s="287"/>
      <c r="BJ219" s="18" t="str">
        <f aca="false">IF(C205&gt;0, C205, "")</f>
        <v/>
      </c>
      <c r="BL219" s="200"/>
      <c r="BM219" s="200"/>
      <c r="BN219" s="200"/>
    </row>
    <row r="220" customFormat="false" ht="15" hidden="false" customHeight="true" outlineLevel="0" collapsed="false">
      <c r="B220" s="275"/>
      <c r="D220" s="276" t="n">
        <f aca="false">D204</f>
        <v>45413</v>
      </c>
      <c r="E220" s="277" t="n">
        <v>0</v>
      </c>
      <c r="F220" s="277" t="n">
        <v>0</v>
      </c>
      <c r="G220" s="277" t="n">
        <v>0</v>
      </c>
      <c r="H220" s="277" t="n">
        <v>0</v>
      </c>
      <c r="I220" s="277" t="n">
        <v>0</v>
      </c>
      <c r="J220" s="278" t="n">
        <f aca="false">E220+H220+I220</f>
        <v>0</v>
      </c>
      <c r="K220" s="204"/>
      <c r="L220" s="279" t="n">
        <v>1</v>
      </c>
      <c r="M220" s="280" t="n">
        <f aca="false">1-L220</f>
        <v>0</v>
      </c>
      <c r="N220" s="281"/>
      <c r="O220" s="282"/>
      <c r="P220" s="282"/>
      <c r="Q220" s="282"/>
      <c r="R220" s="282"/>
      <c r="S220" s="282"/>
      <c r="T220" s="282"/>
      <c r="U220" s="282"/>
      <c r="V220" s="282"/>
      <c r="W220" s="282"/>
      <c r="X220" s="282"/>
      <c r="Y220" s="282"/>
      <c r="Z220" s="282"/>
      <c r="AA220" s="283"/>
      <c r="AB220" s="284" t="n">
        <f aca="false">IFERROR(($J220*O220)*$L220, "")</f>
        <v>0</v>
      </c>
      <c r="AC220" s="284" t="n">
        <f aca="false">IFERROR(($J220*P220)*$L220, "")</f>
        <v>0</v>
      </c>
      <c r="AD220" s="284" t="n">
        <f aca="false">IFERROR(($J220*Q220)*$L220, "")</f>
        <v>0</v>
      </c>
      <c r="AE220" s="284" t="n">
        <f aca="false">IFERROR(($J220*R220)*$L220, "")</f>
        <v>0</v>
      </c>
      <c r="AF220" s="284" t="n">
        <f aca="false">IFERROR(($J220*S220)*$L220, "")</f>
        <v>0</v>
      </c>
      <c r="AG220" s="284" t="n">
        <f aca="false">IFERROR(($J220*T220)*$L220, "")</f>
        <v>0</v>
      </c>
      <c r="AH220" s="284" t="n">
        <f aca="false">IFERROR(($J220*U220)*$L220, "")</f>
        <v>0</v>
      </c>
      <c r="AI220" s="284" t="n">
        <f aca="false">IFERROR(($J220*V220)*$L220, "")</f>
        <v>0</v>
      </c>
      <c r="AJ220" s="284" t="n">
        <f aca="false">IFERROR(($J220*W220)*$L220, "")</f>
        <v>0</v>
      </c>
      <c r="AK220" s="284" t="n">
        <f aca="false">IFERROR(($J220*X220)*$L220, "")</f>
        <v>0</v>
      </c>
      <c r="AL220" s="284" t="n">
        <f aca="false">IFERROR(($J220*Y220)*$L220, "")</f>
        <v>0</v>
      </c>
      <c r="AM220" s="285" t="n">
        <f aca="false">IFERROR(($J220*Z220)*$L220, "")</f>
        <v>0</v>
      </c>
      <c r="AN220" s="286" t="n">
        <f aca="false">IFERROR(SUMIF($AB$4:$AM$4, "RDEC", AB220:AM220), "")</f>
        <v>0</v>
      </c>
      <c r="AO220" s="286" t="n">
        <f aca="false">IFERROR(SUMIF($AB$4:$AM$4, "SME", AB220:AM220), "")</f>
        <v>0</v>
      </c>
      <c r="AP220" s="286" t="n">
        <f aca="false">IFERROR(SUMIF($AB$4:$AM$4, "De Minimis", AB220:AM220), "")</f>
        <v>0</v>
      </c>
      <c r="AQ220" s="283"/>
      <c r="AR220" s="284" t="n">
        <f aca="false">IFERROR(($J220*O220)*$M220, "")</f>
        <v>0</v>
      </c>
      <c r="AS220" s="284" t="n">
        <f aca="false">IFERROR(($J220*P220)*$M220, "")</f>
        <v>0</v>
      </c>
      <c r="AT220" s="284" t="n">
        <f aca="false">IFERROR(($J220*Q220)*$M220, "")</f>
        <v>0</v>
      </c>
      <c r="AU220" s="284" t="n">
        <f aca="false">IFERROR(($J220*R220)*$M220, "")</f>
        <v>0</v>
      </c>
      <c r="AV220" s="284" t="n">
        <f aca="false">IFERROR(($J220*S220)*$M220, "")</f>
        <v>0</v>
      </c>
      <c r="AW220" s="284" t="n">
        <f aca="false">IFERROR(($J220*T220)*$M220, "")</f>
        <v>0</v>
      </c>
      <c r="AX220" s="284" t="n">
        <f aca="false">IFERROR(($J220*U220)*$M220, "")</f>
        <v>0</v>
      </c>
      <c r="AY220" s="284" t="n">
        <f aca="false">IFERROR(($J220*V220)*$M220, "")</f>
        <v>0</v>
      </c>
      <c r="AZ220" s="284" t="n">
        <f aca="false">IFERROR(($J220*W220)*$M220, "")</f>
        <v>0</v>
      </c>
      <c r="BA220" s="284" t="n">
        <f aca="false">IFERROR(($J220*X220)*$M220, "")</f>
        <v>0</v>
      </c>
      <c r="BB220" s="284" t="n">
        <f aca="false">IFERROR(($J220*Y220)*$M220, "")</f>
        <v>0</v>
      </c>
      <c r="BC220" s="285" t="n">
        <f aca="false">IFERROR(($J220*Z220)*$M220, "")</f>
        <v>0</v>
      </c>
      <c r="BD220" s="286" t="n">
        <f aca="false">IFERROR(SUMIF($AB$4:$AM$4, "RDEC", AR220:BC220), "")</f>
        <v>0</v>
      </c>
      <c r="BE220" s="286" t="n">
        <f aca="false">IFERROR(SUMIF($AB$4:$AM$4, "SME", AR220:BC220), "")</f>
        <v>0</v>
      </c>
      <c r="BF220" s="286" t="n">
        <f aca="false">IFERROR(SUMIF($AB$4:$AM$4, "De Minimis", AR220:BC220), "")</f>
        <v>0</v>
      </c>
      <c r="BG220" s="287"/>
      <c r="BH220" s="288" t="str">
        <f aca="false">IF((SUM(O220:Z220)&gt;1),"ERROR","")</f>
        <v/>
      </c>
      <c r="BI220" s="287"/>
      <c r="BJ220" s="18" t="str">
        <f aca="false">IF(C206&gt;0, C206, "")</f>
        <v/>
      </c>
      <c r="BL220" s="200"/>
      <c r="BM220" s="200"/>
      <c r="BN220" s="200"/>
    </row>
    <row r="221" customFormat="false" ht="15" hidden="false" customHeight="true" outlineLevel="0" collapsed="false">
      <c r="B221" s="275"/>
      <c r="D221" s="276" t="n">
        <f aca="false">D205</f>
        <v>45444</v>
      </c>
      <c r="E221" s="277" t="n">
        <v>0</v>
      </c>
      <c r="F221" s="277" t="n">
        <v>0</v>
      </c>
      <c r="G221" s="277" t="n">
        <v>0</v>
      </c>
      <c r="H221" s="277" t="n">
        <v>0</v>
      </c>
      <c r="I221" s="277" t="n">
        <v>0</v>
      </c>
      <c r="J221" s="278" t="n">
        <f aca="false">E221+H221+I221</f>
        <v>0</v>
      </c>
      <c r="K221" s="204"/>
      <c r="L221" s="279" t="n">
        <v>1</v>
      </c>
      <c r="M221" s="280" t="n">
        <f aca="false">1-L221</f>
        <v>0</v>
      </c>
      <c r="N221" s="281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83"/>
      <c r="AB221" s="284" t="n">
        <f aca="false">IFERROR(($J221*O221)*$L221, "")</f>
        <v>0</v>
      </c>
      <c r="AC221" s="284" t="n">
        <f aca="false">IFERROR(($J221*P221)*$L221, "")</f>
        <v>0</v>
      </c>
      <c r="AD221" s="284" t="n">
        <f aca="false">IFERROR(($J221*Q221)*$L221, "")</f>
        <v>0</v>
      </c>
      <c r="AE221" s="284" t="n">
        <f aca="false">IFERROR(($J221*R221)*$L221, "")</f>
        <v>0</v>
      </c>
      <c r="AF221" s="284" t="n">
        <f aca="false">IFERROR(($J221*S221)*$L221, "")</f>
        <v>0</v>
      </c>
      <c r="AG221" s="284" t="n">
        <f aca="false">IFERROR(($J221*T221)*$L221, "")</f>
        <v>0</v>
      </c>
      <c r="AH221" s="284" t="n">
        <f aca="false">IFERROR(($J221*U221)*$L221, "")</f>
        <v>0</v>
      </c>
      <c r="AI221" s="284" t="n">
        <f aca="false">IFERROR(($J221*V221)*$L221, "")</f>
        <v>0</v>
      </c>
      <c r="AJ221" s="284" t="n">
        <f aca="false">IFERROR(($J221*W221)*$L221, "")</f>
        <v>0</v>
      </c>
      <c r="AK221" s="284" t="n">
        <f aca="false">IFERROR(($J221*X221)*$L221, "")</f>
        <v>0</v>
      </c>
      <c r="AL221" s="284" t="n">
        <f aca="false">IFERROR(($J221*Y221)*$L221, "")</f>
        <v>0</v>
      </c>
      <c r="AM221" s="285" t="n">
        <f aca="false">IFERROR(($J221*Z221)*$L221, "")</f>
        <v>0</v>
      </c>
      <c r="AN221" s="286" t="n">
        <f aca="false">IFERROR(SUMIF($AB$4:$AM$4, "RDEC", AB221:AM221), "")</f>
        <v>0</v>
      </c>
      <c r="AO221" s="286" t="n">
        <f aca="false">IFERROR(SUMIF($AB$4:$AM$4, "SME", AB221:AM221), "")</f>
        <v>0</v>
      </c>
      <c r="AP221" s="286" t="n">
        <f aca="false">IFERROR(SUMIF($AB$4:$AM$4, "De Minimis", AB221:AM221), "")</f>
        <v>0</v>
      </c>
      <c r="AQ221" s="283"/>
      <c r="AR221" s="284" t="n">
        <f aca="false">IFERROR(($J221*O221)*$M221, "")</f>
        <v>0</v>
      </c>
      <c r="AS221" s="284" t="n">
        <f aca="false">IFERROR(($J221*P221)*$M221, "")</f>
        <v>0</v>
      </c>
      <c r="AT221" s="284" t="n">
        <f aca="false">IFERROR(($J221*Q221)*$M221, "")</f>
        <v>0</v>
      </c>
      <c r="AU221" s="284" t="n">
        <f aca="false">IFERROR(($J221*R221)*$M221, "")</f>
        <v>0</v>
      </c>
      <c r="AV221" s="284" t="n">
        <f aca="false">IFERROR(($J221*S221)*$M221, "")</f>
        <v>0</v>
      </c>
      <c r="AW221" s="284" t="n">
        <f aca="false">IFERROR(($J221*T221)*$M221, "")</f>
        <v>0</v>
      </c>
      <c r="AX221" s="284" t="n">
        <f aca="false">IFERROR(($J221*U221)*$M221, "")</f>
        <v>0</v>
      </c>
      <c r="AY221" s="284" t="n">
        <f aca="false">IFERROR(($J221*V221)*$M221, "")</f>
        <v>0</v>
      </c>
      <c r="AZ221" s="284" t="n">
        <f aca="false">IFERROR(($J221*W221)*$M221, "")</f>
        <v>0</v>
      </c>
      <c r="BA221" s="284" t="n">
        <f aca="false">IFERROR(($J221*X221)*$M221, "")</f>
        <v>0</v>
      </c>
      <c r="BB221" s="284" t="n">
        <f aca="false">IFERROR(($J221*Y221)*$M221, "")</f>
        <v>0</v>
      </c>
      <c r="BC221" s="285" t="n">
        <f aca="false">IFERROR(($J221*Z221)*$M221, "")</f>
        <v>0</v>
      </c>
      <c r="BD221" s="286" t="n">
        <f aca="false">IFERROR(SUMIF($AB$4:$AM$4, "RDEC", AR221:BC221), "")</f>
        <v>0</v>
      </c>
      <c r="BE221" s="286" t="n">
        <f aca="false">IFERROR(SUMIF($AB$4:$AM$4, "SME", AR221:BC221), "")</f>
        <v>0</v>
      </c>
      <c r="BF221" s="286" t="n">
        <f aca="false">IFERROR(SUMIF($AB$4:$AM$4, "De Minimis", AR221:BC221), "")</f>
        <v>0</v>
      </c>
      <c r="BG221" s="287"/>
      <c r="BH221" s="288" t="str">
        <f aca="false">IF((SUM(O221:Z221)&gt;1),"ERROR","")</f>
        <v/>
      </c>
      <c r="BI221" s="287"/>
      <c r="BJ221" s="18" t="str">
        <f aca="false">IF(C207&gt;0, C207, "")</f>
        <v/>
      </c>
      <c r="BL221" s="200"/>
      <c r="BM221" s="200"/>
      <c r="BN221" s="200"/>
    </row>
    <row r="222" customFormat="false" ht="15" hidden="false" customHeight="true" outlineLevel="0" collapsed="false">
      <c r="B222" s="275"/>
      <c r="D222" s="276" t="n">
        <f aca="false">D206</f>
        <v>45474</v>
      </c>
      <c r="E222" s="277" t="n">
        <v>0</v>
      </c>
      <c r="F222" s="277" t="n">
        <v>0</v>
      </c>
      <c r="G222" s="277" t="n">
        <v>0</v>
      </c>
      <c r="H222" s="277" t="n">
        <v>0</v>
      </c>
      <c r="I222" s="277" t="n">
        <v>0</v>
      </c>
      <c r="J222" s="278" t="n">
        <f aca="false">E222+H222+I222</f>
        <v>0</v>
      </c>
      <c r="K222" s="204"/>
      <c r="L222" s="279" t="n">
        <v>1</v>
      </c>
      <c r="M222" s="280" t="n">
        <f aca="false">1-L222</f>
        <v>0</v>
      </c>
      <c r="N222" s="281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83"/>
      <c r="AB222" s="284" t="n">
        <f aca="false">IFERROR(($J222*O222)*$L222, "")</f>
        <v>0</v>
      </c>
      <c r="AC222" s="284" t="n">
        <f aca="false">IFERROR(($J222*P222)*$L222, "")</f>
        <v>0</v>
      </c>
      <c r="AD222" s="284" t="n">
        <f aca="false">IFERROR(($J222*Q222)*$L222, "")</f>
        <v>0</v>
      </c>
      <c r="AE222" s="284" t="n">
        <f aca="false">IFERROR(($J222*R222)*$L222, "")</f>
        <v>0</v>
      </c>
      <c r="AF222" s="284" t="n">
        <f aca="false">IFERROR(($J222*S222)*$L222, "")</f>
        <v>0</v>
      </c>
      <c r="AG222" s="284" t="n">
        <f aca="false">IFERROR(($J222*T222)*$L222, "")</f>
        <v>0</v>
      </c>
      <c r="AH222" s="284" t="n">
        <f aca="false">IFERROR(($J222*U222)*$L222, "")</f>
        <v>0</v>
      </c>
      <c r="AI222" s="284" t="n">
        <f aca="false">IFERROR(($J222*V222)*$L222, "")</f>
        <v>0</v>
      </c>
      <c r="AJ222" s="284" t="n">
        <f aca="false">IFERROR(($J222*W222)*$L222, "")</f>
        <v>0</v>
      </c>
      <c r="AK222" s="284" t="n">
        <f aca="false">IFERROR(($J222*X222)*$L222, "")</f>
        <v>0</v>
      </c>
      <c r="AL222" s="284" t="n">
        <f aca="false">IFERROR(($J222*Y222)*$L222, "")</f>
        <v>0</v>
      </c>
      <c r="AM222" s="285" t="n">
        <f aca="false">IFERROR(($J222*Z222)*$L222, "")</f>
        <v>0</v>
      </c>
      <c r="AN222" s="286" t="n">
        <f aca="false">IFERROR(SUMIF($AB$4:$AM$4, "RDEC", AB222:AM222), "")</f>
        <v>0</v>
      </c>
      <c r="AO222" s="286" t="n">
        <f aca="false">IFERROR(SUMIF($AB$4:$AM$4, "SME", AB222:AM222), "")</f>
        <v>0</v>
      </c>
      <c r="AP222" s="286" t="n">
        <f aca="false">IFERROR(SUMIF($AB$4:$AM$4, "De Minimis", AB222:AM222), "")</f>
        <v>0</v>
      </c>
      <c r="AQ222" s="283"/>
      <c r="AR222" s="284" t="n">
        <f aca="false">IFERROR(($J222*O222)*$M222, "")</f>
        <v>0</v>
      </c>
      <c r="AS222" s="284" t="n">
        <f aca="false">IFERROR(($J222*P222)*$M222, "")</f>
        <v>0</v>
      </c>
      <c r="AT222" s="284" t="n">
        <f aca="false">IFERROR(($J222*Q222)*$M222, "")</f>
        <v>0</v>
      </c>
      <c r="AU222" s="284" t="n">
        <f aca="false">IFERROR(($J222*R222)*$M222, "")</f>
        <v>0</v>
      </c>
      <c r="AV222" s="284" t="n">
        <f aca="false">IFERROR(($J222*S222)*$M222, "")</f>
        <v>0</v>
      </c>
      <c r="AW222" s="284" t="n">
        <f aca="false">IFERROR(($J222*T222)*$M222, "")</f>
        <v>0</v>
      </c>
      <c r="AX222" s="284" t="n">
        <f aca="false">IFERROR(($J222*U222)*$M222, "")</f>
        <v>0</v>
      </c>
      <c r="AY222" s="284" t="n">
        <f aca="false">IFERROR(($J222*V222)*$M222, "")</f>
        <v>0</v>
      </c>
      <c r="AZ222" s="284" t="n">
        <f aca="false">IFERROR(($J222*W222)*$M222, "")</f>
        <v>0</v>
      </c>
      <c r="BA222" s="284" t="n">
        <f aca="false">IFERROR(($J222*X222)*$M222, "")</f>
        <v>0</v>
      </c>
      <c r="BB222" s="284" t="n">
        <f aca="false">IFERROR(($J222*Y222)*$M222, "")</f>
        <v>0</v>
      </c>
      <c r="BC222" s="285" t="n">
        <f aca="false">IFERROR(($J222*Z222)*$M222, "")</f>
        <v>0</v>
      </c>
      <c r="BD222" s="286" t="n">
        <f aca="false">IFERROR(SUMIF($AB$4:$AM$4, "RDEC", AR222:BC222), "")</f>
        <v>0</v>
      </c>
      <c r="BE222" s="286" t="n">
        <f aca="false">IFERROR(SUMIF($AB$4:$AM$4, "SME", AR222:BC222), "")</f>
        <v>0</v>
      </c>
      <c r="BF222" s="286" t="n">
        <f aca="false">IFERROR(SUMIF($AB$4:$AM$4, "De Minimis", AR222:BC222), "")</f>
        <v>0</v>
      </c>
      <c r="BG222" s="287"/>
      <c r="BH222" s="288" t="str">
        <f aca="false">IF((SUM(O222:Z222)&gt;1),"ERROR","")</f>
        <v/>
      </c>
      <c r="BI222" s="287"/>
      <c r="BJ222" s="18" t="str">
        <f aca="false">IF(C208&gt;0, C208, "")</f>
        <v/>
      </c>
      <c r="BL222" s="200"/>
      <c r="BM222" s="200"/>
      <c r="BN222" s="200"/>
    </row>
    <row r="223" customFormat="false" ht="15" hidden="false" customHeight="true" outlineLevel="0" collapsed="false">
      <c r="B223" s="275"/>
      <c r="D223" s="276" t="n">
        <f aca="false">D207</f>
        <v>45505</v>
      </c>
      <c r="E223" s="277" t="n">
        <v>0</v>
      </c>
      <c r="F223" s="277" t="n">
        <v>0</v>
      </c>
      <c r="G223" s="277" t="n">
        <v>0</v>
      </c>
      <c r="H223" s="277" t="n">
        <v>0</v>
      </c>
      <c r="I223" s="277" t="n">
        <v>0</v>
      </c>
      <c r="J223" s="278" t="n">
        <f aca="false">E223+H223+I223</f>
        <v>0</v>
      </c>
      <c r="K223" s="204"/>
      <c r="L223" s="279" t="n">
        <v>1</v>
      </c>
      <c r="M223" s="280" t="n">
        <f aca="false">1-L223</f>
        <v>0</v>
      </c>
      <c r="N223" s="281"/>
      <c r="O223" s="282"/>
      <c r="P223" s="282"/>
      <c r="Q223" s="282"/>
      <c r="R223" s="282"/>
      <c r="S223" s="282"/>
      <c r="T223" s="282"/>
      <c r="U223" s="282"/>
      <c r="V223" s="282"/>
      <c r="W223" s="282"/>
      <c r="X223" s="282"/>
      <c r="Y223" s="282"/>
      <c r="Z223" s="282"/>
      <c r="AA223" s="283"/>
      <c r="AB223" s="284" t="n">
        <f aca="false">IFERROR(($J223*O223)*$L223, "")</f>
        <v>0</v>
      </c>
      <c r="AC223" s="284" t="n">
        <f aca="false">IFERROR(($J223*P223)*$L223, "")</f>
        <v>0</v>
      </c>
      <c r="AD223" s="284" t="n">
        <f aca="false">IFERROR(($J223*Q223)*$L223, "")</f>
        <v>0</v>
      </c>
      <c r="AE223" s="284" t="n">
        <f aca="false">IFERROR(($J223*R223)*$L223, "")</f>
        <v>0</v>
      </c>
      <c r="AF223" s="284" t="n">
        <f aca="false">IFERROR(($J223*S223)*$L223, "")</f>
        <v>0</v>
      </c>
      <c r="AG223" s="284" t="n">
        <f aca="false">IFERROR(($J223*T223)*$L223, "")</f>
        <v>0</v>
      </c>
      <c r="AH223" s="284" t="n">
        <f aca="false">IFERROR(($J223*U223)*$L223, "")</f>
        <v>0</v>
      </c>
      <c r="AI223" s="284" t="n">
        <f aca="false">IFERROR(($J223*V223)*$L223, "")</f>
        <v>0</v>
      </c>
      <c r="AJ223" s="284" t="n">
        <f aca="false">IFERROR(($J223*W223)*$L223, "")</f>
        <v>0</v>
      </c>
      <c r="AK223" s="284" t="n">
        <f aca="false">IFERROR(($J223*X223)*$L223, "")</f>
        <v>0</v>
      </c>
      <c r="AL223" s="284" t="n">
        <f aca="false">IFERROR(($J223*Y223)*$L223, "")</f>
        <v>0</v>
      </c>
      <c r="AM223" s="285" t="n">
        <f aca="false">IFERROR(($J223*Z223)*$L223, "")</f>
        <v>0</v>
      </c>
      <c r="AN223" s="286" t="n">
        <f aca="false">IFERROR(SUMIF($AB$4:$AM$4, "RDEC", AB223:AM223), "")</f>
        <v>0</v>
      </c>
      <c r="AO223" s="286" t="n">
        <f aca="false">IFERROR(SUMIF($AB$4:$AM$4, "SME", AB223:AM223), "")</f>
        <v>0</v>
      </c>
      <c r="AP223" s="286" t="n">
        <f aca="false">IFERROR(SUMIF($AB$4:$AM$4, "De Minimis", AB223:AM223), "")</f>
        <v>0</v>
      </c>
      <c r="AQ223" s="283"/>
      <c r="AR223" s="284" t="n">
        <f aca="false">IFERROR(($J223*O223)*$M223, "")</f>
        <v>0</v>
      </c>
      <c r="AS223" s="284" t="n">
        <f aca="false">IFERROR(($J223*P223)*$M223, "")</f>
        <v>0</v>
      </c>
      <c r="AT223" s="284" t="n">
        <f aca="false">IFERROR(($J223*Q223)*$M223, "")</f>
        <v>0</v>
      </c>
      <c r="AU223" s="284" t="n">
        <f aca="false">IFERROR(($J223*R223)*$M223, "")</f>
        <v>0</v>
      </c>
      <c r="AV223" s="284" t="n">
        <f aca="false">IFERROR(($J223*S223)*$M223, "")</f>
        <v>0</v>
      </c>
      <c r="AW223" s="284" t="n">
        <f aca="false">IFERROR(($J223*T223)*$M223, "")</f>
        <v>0</v>
      </c>
      <c r="AX223" s="284" t="n">
        <f aca="false">IFERROR(($J223*U223)*$M223, "")</f>
        <v>0</v>
      </c>
      <c r="AY223" s="284" t="n">
        <f aca="false">IFERROR(($J223*V223)*$M223, "")</f>
        <v>0</v>
      </c>
      <c r="AZ223" s="284" t="n">
        <f aca="false">IFERROR(($J223*W223)*$M223, "")</f>
        <v>0</v>
      </c>
      <c r="BA223" s="284" t="n">
        <f aca="false">IFERROR(($J223*X223)*$M223, "")</f>
        <v>0</v>
      </c>
      <c r="BB223" s="284" t="n">
        <f aca="false">IFERROR(($J223*Y223)*$M223, "")</f>
        <v>0</v>
      </c>
      <c r="BC223" s="285" t="n">
        <f aca="false">IFERROR(($J223*Z223)*$M223, "")</f>
        <v>0</v>
      </c>
      <c r="BD223" s="286" t="n">
        <f aca="false">IFERROR(SUMIF($AB$4:$AM$4, "RDEC", AR223:BC223), "")</f>
        <v>0</v>
      </c>
      <c r="BE223" s="286" t="n">
        <f aca="false">IFERROR(SUMIF($AB$4:$AM$4, "SME", AR223:BC223), "")</f>
        <v>0</v>
      </c>
      <c r="BF223" s="286" t="n">
        <f aca="false">IFERROR(SUMIF($AB$4:$AM$4, "De Minimis", AR223:BC223), "")</f>
        <v>0</v>
      </c>
      <c r="BG223" s="287"/>
      <c r="BH223" s="288" t="str">
        <f aca="false">IF((SUM(O223:Z223)&gt;1),"ERROR","")</f>
        <v/>
      </c>
      <c r="BI223" s="287"/>
      <c r="BJ223" s="18" t="str">
        <f aca="false">IF(C209&gt;0, C209, "")</f>
        <v/>
      </c>
      <c r="BL223" s="200"/>
      <c r="BM223" s="200"/>
      <c r="BN223" s="200"/>
    </row>
    <row r="224" customFormat="false" ht="15" hidden="false" customHeight="true" outlineLevel="0" collapsed="false">
      <c r="B224" s="275"/>
      <c r="D224" s="276" t="n">
        <f aca="false">D208</f>
        <v>45536</v>
      </c>
      <c r="E224" s="277" t="n">
        <v>0</v>
      </c>
      <c r="F224" s="277" t="n">
        <v>0</v>
      </c>
      <c r="G224" s="277" t="n">
        <v>0</v>
      </c>
      <c r="H224" s="277" t="n">
        <v>0</v>
      </c>
      <c r="I224" s="277" t="n">
        <v>0</v>
      </c>
      <c r="J224" s="278" t="n">
        <f aca="false">E224+H224+I224</f>
        <v>0</v>
      </c>
      <c r="K224" s="204"/>
      <c r="L224" s="279" t="n">
        <v>1</v>
      </c>
      <c r="M224" s="280" t="n">
        <f aca="false">1-L224</f>
        <v>0</v>
      </c>
      <c r="N224" s="281"/>
      <c r="O224" s="282"/>
      <c r="P224" s="282"/>
      <c r="Q224" s="282"/>
      <c r="R224" s="282"/>
      <c r="S224" s="282"/>
      <c r="T224" s="282"/>
      <c r="U224" s="282"/>
      <c r="V224" s="282"/>
      <c r="W224" s="282"/>
      <c r="X224" s="282"/>
      <c r="Y224" s="282"/>
      <c r="Z224" s="282"/>
      <c r="AA224" s="283"/>
      <c r="AB224" s="284" t="n">
        <f aca="false">IFERROR(($J224*O224)*$L224, "")</f>
        <v>0</v>
      </c>
      <c r="AC224" s="284" t="n">
        <f aca="false">IFERROR(($J224*P224)*$L224, "")</f>
        <v>0</v>
      </c>
      <c r="AD224" s="284" t="n">
        <f aca="false">IFERROR(($J224*Q224)*$L224, "")</f>
        <v>0</v>
      </c>
      <c r="AE224" s="284" t="n">
        <f aca="false">IFERROR(($J224*R224)*$L224, "")</f>
        <v>0</v>
      </c>
      <c r="AF224" s="284" t="n">
        <f aca="false">IFERROR(($J224*S224)*$L224, "")</f>
        <v>0</v>
      </c>
      <c r="AG224" s="284" t="n">
        <f aca="false">IFERROR(($J224*T224)*$L224, "")</f>
        <v>0</v>
      </c>
      <c r="AH224" s="284" t="n">
        <f aca="false">IFERROR(($J224*U224)*$L224, "")</f>
        <v>0</v>
      </c>
      <c r="AI224" s="284" t="n">
        <f aca="false">IFERROR(($J224*V224)*$L224, "")</f>
        <v>0</v>
      </c>
      <c r="AJ224" s="284" t="n">
        <f aca="false">IFERROR(($J224*W224)*$L224, "")</f>
        <v>0</v>
      </c>
      <c r="AK224" s="284" t="n">
        <f aca="false">IFERROR(($J224*X224)*$L224, "")</f>
        <v>0</v>
      </c>
      <c r="AL224" s="284" t="n">
        <f aca="false">IFERROR(($J224*Y224)*$L224, "")</f>
        <v>0</v>
      </c>
      <c r="AM224" s="285" t="n">
        <f aca="false">IFERROR(($J224*Z224)*$L224, "")</f>
        <v>0</v>
      </c>
      <c r="AN224" s="286" t="n">
        <f aca="false">IFERROR(SUMIF($AB$4:$AM$4, "RDEC", AB224:AM224), "")</f>
        <v>0</v>
      </c>
      <c r="AO224" s="286" t="n">
        <f aca="false">IFERROR(SUMIF($AB$4:$AM$4, "SME", AB224:AM224), "")</f>
        <v>0</v>
      </c>
      <c r="AP224" s="286" t="n">
        <f aca="false">IFERROR(SUMIF($AB$4:$AM$4, "De Minimis", AB224:AM224), "")</f>
        <v>0</v>
      </c>
      <c r="AQ224" s="283"/>
      <c r="AR224" s="284" t="n">
        <f aca="false">IFERROR(($J224*O224)*$M224, "")</f>
        <v>0</v>
      </c>
      <c r="AS224" s="284" t="n">
        <f aca="false">IFERROR(($J224*P224)*$M224, "")</f>
        <v>0</v>
      </c>
      <c r="AT224" s="284" t="n">
        <f aca="false">IFERROR(($J224*Q224)*$M224, "")</f>
        <v>0</v>
      </c>
      <c r="AU224" s="284" t="n">
        <f aca="false">IFERROR(($J224*R224)*$M224, "")</f>
        <v>0</v>
      </c>
      <c r="AV224" s="284" t="n">
        <f aca="false">IFERROR(($J224*S224)*$M224, "")</f>
        <v>0</v>
      </c>
      <c r="AW224" s="284" t="n">
        <f aca="false">IFERROR(($J224*T224)*$M224, "")</f>
        <v>0</v>
      </c>
      <c r="AX224" s="284" t="n">
        <f aca="false">IFERROR(($J224*U224)*$M224, "")</f>
        <v>0</v>
      </c>
      <c r="AY224" s="284" t="n">
        <f aca="false">IFERROR(($J224*V224)*$M224, "")</f>
        <v>0</v>
      </c>
      <c r="AZ224" s="284" t="n">
        <f aca="false">IFERROR(($J224*W224)*$M224, "")</f>
        <v>0</v>
      </c>
      <c r="BA224" s="284" t="n">
        <f aca="false">IFERROR(($J224*X224)*$M224, "")</f>
        <v>0</v>
      </c>
      <c r="BB224" s="284" t="n">
        <f aca="false">IFERROR(($J224*Y224)*$M224, "")</f>
        <v>0</v>
      </c>
      <c r="BC224" s="285" t="n">
        <f aca="false">IFERROR(($J224*Z224)*$M224, "")</f>
        <v>0</v>
      </c>
      <c r="BD224" s="286" t="n">
        <f aca="false">IFERROR(SUMIF($AB$4:$AM$4, "RDEC", AR224:BC224), "")</f>
        <v>0</v>
      </c>
      <c r="BE224" s="286" t="n">
        <f aca="false">IFERROR(SUMIF($AB$4:$AM$4, "SME", AR224:BC224), "")</f>
        <v>0</v>
      </c>
      <c r="BF224" s="286" t="n">
        <f aca="false">IFERROR(SUMIF($AB$4:$AM$4, "De Minimis", AR224:BC224), "")</f>
        <v>0</v>
      </c>
      <c r="BG224" s="287"/>
      <c r="BH224" s="288" t="str">
        <f aca="false">IF((SUM(O224:Z224)&gt;1),"ERROR","")</f>
        <v/>
      </c>
      <c r="BI224" s="287"/>
      <c r="BJ224" s="18" t="str">
        <f aca="false">IF(C210&gt;0, C210, "")</f>
        <v/>
      </c>
      <c r="BL224" s="200"/>
      <c r="BM224" s="200"/>
      <c r="BN224" s="200"/>
    </row>
    <row r="225" customFormat="false" ht="15" hidden="false" customHeight="true" outlineLevel="0" collapsed="false">
      <c r="B225" s="275"/>
      <c r="D225" s="276" t="n">
        <f aca="false">D209</f>
        <v>45566</v>
      </c>
      <c r="E225" s="277" t="n">
        <v>0</v>
      </c>
      <c r="F225" s="277" t="n">
        <v>0</v>
      </c>
      <c r="G225" s="277" t="n">
        <v>0</v>
      </c>
      <c r="H225" s="277" t="n">
        <v>0</v>
      </c>
      <c r="I225" s="277" t="n">
        <v>0</v>
      </c>
      <c r="J225" s="278" t="n">
        <f aca="false">E225+H225+I225</f>
        <v>0</v>
      </c>
      <c r="K225" s="204"/>
      <c r="L225" s="279" t="n">
        <v>1</v>
      </c>
      <c r="M225" s="280" t="n">
        <f aca="false">1-L225</f>
        <v>0</v>
      </c>
      <c r="N225" s="281"/>
      <c r="O225" s="282"/>
      <c r="P225" s="282"/>
      <c r="Q225" s="282"/>
      <c r="R225" s="282"/>
      <c r="S225" s="282"/>
      <c r="T225" s="282"/>
      <c r="U225" s="282"/>
      <c r="V225" s="282"/>
      <c r="W225" s="282"/>
      <c r="X225" s="282"/>
      <c r="Y225" s="282"/>
      <c r="Z225" s="282"/>
      <c r="AA225" s="283"/>
      <c r="AB225" s="284" t="n">
        <f aca="false">IFERROR(($J225*O225)*$L225, "")</f>
        <v>0</v>
      </c>
      <c r="AC225" s="284" t="n">
        <f aca="false">IFERROR(($J225*P225)*$L225, "")</f>
        <v>0</v>
      </c>
      <c r="AD225" s="284" t="n">
        <f aca="false">IFERROR(($J225*Q225)*$L225, "")</f>
        <v>0</v>
      </c>
      <c r="AE225" s="284" t="n">
        <f aca="false">IFERROR(($J225*R225)*$L225, "")</f>
        <v>0</v>
      </c>
      <c r="AF225" s="284" t="n">
        <f aca="false">IFERROR(($J225*S225)*$L225, "")</f>
        <v>0</v>
      </c>
      <c r="AG225" s="284" t="n">
        <f aca="false">IFERROR(($J225*T225)*$L225, "")</f>
        <v>0</v>
      </c>
      <c r="AH225" s="284" t="n">
        <f aca="false">IFERROR(($J225*U225)*$L225, "")</f>
        <v>0</v>
      </c>
      <c r="AI225" s="284" t="n">
        <f aca="false">IFERROR(($J225*V225)*$L225, "")</f>
        <v>0</v>
      </c>
      <c r="AJ225" s="284" t="n">
        <f aca="false">IFERROR(($J225*W225)*$L225, "")</f>
        <v>0</v>
      </c>
      <c r="AK225" s="284" t="n">
        <f aca="false">IFERROR(($J225*X225)*$L225, "")</f>
        <v>0</v>
      </c>
      <c r="AL225" s="284" t="n">
        <f aca="false">IFERROR(($J225*Y225)*$L225, "")</f>
        <v>0</v>
      </c>
      <c r="AM225" s="285" t="n">
        <f aca="false">IFERROR(($J225*Z225)*$L225, "")</f>
        <v>0</v>
      </c>
      <c r="AN225" s="286" t="n">
        <f aca="false">IFERROR(SUMIF($AB$4:$AM$4, "RDEC", AB225:AM225), "")</f>
        <v>0</v>
      </c>
      <c r="AO225" s="286" t="n">
        <f aca="false">IFERROR(SUMIF($AB$4:$AM$4, "SME", AB225:AM225), "")</f>
        <v>0</v>
      </c>
      <c r="AP225" s="286" t="n">
        <f aca="false">IFERROR(SUMIF($AB$4:$AM$4, "De Minimis", AB225:AM225), "")</f>
        <v>0</v>
      </c>
      <c r="AQ225" s="283"/>
      <c r="AR225" s="284" t="n">
        <f aca="false">IFERROR(($J225*O225)*$M225, "")</f>
        <v>0</v>
      </c>
      <c r="AS225" s="284" t="n">
        <f aca="false">IFERROR(($J225*P225)*$M225, "")</f>
        <v>0</v>
      </c>
      <c r="AT225" s="284" t="n">
        <f aca="false">IFERROR(($J225*Q225)*$M225, "")</f>
        <v>0</v>
      </c>
      <c r="AU225" s="284" t="n">
        <f aca="false">IFERROR(($J225*R225)*$M225, "")</f>
        <v>0</v>
      </c>
      <c r="AV225" s="284" t="n">
        <f aca="false">IFERROR(($J225*S225)*$M225, "")</f>
        <v>0</v>
      </c>
      <c r="AW225" s="284" t="n">
        <f aca="false">IFERROR(($J225*T225)*$M225, "")</f>
        <v>0</v>
      </c>
      <c r="AX225" s="284" t="n">
        <f aca="false">IFERROR(($J225*U225)*$M225, "")</f>
        <v>0</v>
      </c>
      <c r="AY225" s="284" t="n">
        <f aca="false">IFERROR(($J225*V225)*$M225, "")</f>
        <v>0</v>
      </c>
      <c r="AZ225" s="284" t="n">
        <f aca="false">IFERROR(($J225*W225)*$M225, "")</f>
        <v>0</v>
      </c>
      <c r="BA225" s="284" t="n">
        <f aca="false">IFERROR(($J225*X225)*$M225, "")</f>
        <v>0</v>
      </c>
      <c r="BB225" s="284" t="n">
        <f aca="false">IFERROR(($J225*Y225)*$M225, "")</f>
        <v>0</v>
      </c>
      <c r="BC225" s="285" t="n">
        <f aca="false">IFERROR(($J225*Z225)*$M225, "")</f>
        <v>0</v>
      </c>
      <c r="BD225" s="286" t="n">
        <f aca="false">IFERROR(SUMIF($AB$4:$AM$4, "RDEC", AR225:BC225), "")</f>
        <v>0</v>
      </c>
      <c r="BE225" s="286" t="n">
        <f aca="false">IFERROR(SUMIF($AB$4:$AM$4, "SME", AR225:BC225), "")</f>
        <v>0</v>
      </c>
      <c r="BF225" s="286" t="n">
        <f aca="false">IFERROR(SUMIF($AB$4:$AM$4, "De Minimis", AR225:BC225), "")</f>
        <v>0</v>
      </c>
      <c r="BG225" s="287"/>
      <c r="BH225" s="288" t="str">
        <f aca="false">IF((SUM(O225:Z225)&gt;1),"ERROR","")</f>
        <v/>
      </c>
      <c r="BI225" s="287"/>
      <c r="BJ225" s="18" t="str">
        <f aca="false">IF(C211&gt;0, C211, "")</f>
        <v/>
      </c>
      <c r="BL225" s="200"/>
      <c r="BM225" s="200"/>
      <c r="BN225" s="200"/>
    </row>
    <row r="226" customFormat="false" ht="15" hidden="false" customHeight="true" outlineLevel="0" collapsed="false">
      <c r="B226" s="275"/>
      <c r="D226" s="276" t="n">
        <f aca="false">D210</f>
        <v>45597</v>
      </c>
      <c r="E226" s="277" t="n">
        <v>0</v>
      </c>
      <c r="F226" s="277" t="n">
        <v>0</v>
      </c>
      <c r="G226" s="277" t="n">
        <v>0</v>
      </c>
      <c r="H226" s="277" t="n">
        <v>0</v>
      </c>
      <c r="I226" s="277" t="n">
        <v>0</v>
      </c>
      <c r="J226" s="278" t="n">
        <f aca="false">E226+H226+I226</f>
        <v>0</v>
      </c>
      <c r="K226" s="204"/>
      <c r="L226" s="279" t="n">
        <v>1</v>
      </c>
      <c r="M226" s="280" t="n">
        <f aca="false">1-L226</f>
        <v>0</v>
      </c>
      <c r="N226" s="281"/>
      <c r="O226" s="282"/>
      <c r="P226" s="282"/>
      <c r="Q226" s="282"/>
      <c r="R226" s="282"/>
      <c r="S226" s="282"/>
      <c r="T226" s="282"/>
      <c r="U226" s="282"/>
      <c r="V226" s="282"/>
      <c r="W226" s="282"/>
      <c r="X226" s="282"/>
      <c r="Y226" s="282"/>
      <c r="Z226" s="282"/>
      <c r="AA226" s="283"/>
      <c r="AB226" s="284" t="n">
        <f aca="false">IFERROR(($J226*O226)*$L226, "")</f>
        <v>0</v>
      </c>
      <c r="AC226" s="284" t="n">
        <f aca="false">IFERROR(($J226*P226)*$L226, "")</f>
        <v>0</v>
      </c>
      <c r="AD226" s="284" t="n">
        <f aca="false">IFERROR(($J226*Q226)*$L226, "")</f>
        <v>0</v>
      </c>
      <c r="AE226" s="284" t="n">
        <f aca="false">IFERROR(($J226*R226)*$L226, "")</f>
        <v>0</v>
      </c>
      <c r="AF226" s="284" t="n">
        <f aca="false">IFERROR(($J226*S226)*$L226, "")</f>
        <v>0</v>
      </c>
      <c r="AG226" s="284" t="n">
        <f aca="false">IFERROR(($J226*T226)*$L226, "")</f>
        <v>0</v>
      </c>
      <c r="AH226" s="284" t="n">
        <f aca="false">IFERROR(($J226*U226)*$L226, "")</f>
        <v>0</v>
      </c>
      <c r="AI226" s="284" t="n">
        <f aca="false">IFERROR(($J226*V226)*$L226, "")</f>
        <v>0</v>
      </c>
      <c r="AJ226" s="284" t="n">
        <f aca="false">IFERROR(($J226*W226)*$L226, "")</f>
        <v>0</v>
      </c>
      <c r="AK226" s="284" t="n">
        <f aca="false">IFERROR(($J226*X226)*$L226, "")</f>
        <v>0</v>
      </c>
      <c r="AL226" s="284" t="n">
        <f aca="false">IFERROR(($J226*Y226)*$L226, "")</f>
        <v>0</v>
      </c>
      <c r="AM226" s="285" t="n">
        <f aca="false">IFERROR(($J226*Z226)*$L226, "")</f>
        <v>0</v>
      </c>
      <c r="AN226" s="286" t="n">
        <f aca="false">IFERROR(SUMIF($AB$4:$AM$4, "RDEC", AB226:AM226), "")</f>
        <v>0</v>
      </c>
      <c r="AO226" s="286" t="n">
        <f aca="false">IFERROR(SUMIF($AB$4:$AM$4, "SME", AB226:AM226), "")</f>
        <v>0</v>
      </c>
      <c r="AP226" s="286" t="n">
        <f aca="false">IFERROR(SUMIF($AB$4:$AM$4, "De Minimis", AB226:AM226), "")</f>
        <v>0</v>
      </c>
      <c r="AQ226" s="283"/>
      <c r="AR226" s="284" t="n">
        <f aca="false">IFERROR(($J226*O226)*$M226, "")</f>
        <v>0</v>
      </c>
      <c r="AS226" s="284" t="n">
        <f aca="false">IFERROR(($J226*P226)*$M226, "")</f>
        <v>0</v>
      </c>
      <c r="AT226" s="284" t="n">
        <f aca="false">IFERROR(($J226*Q226)*$M226, "")</f>
        <v>0</v>
      </c>
      <c r="AU226" s="284" t="n">
        <f aca="false">IFERROR(($J226*R226)*$M226, "")</f>
        <v>0</v>
      </c>
      <c r="AV226" s="284" t="n">
        <f aca="false">IFERROR(($J226*S226)*$M226, "")</f>
        <v>0</v>
      </c>
      <c r="AW226" s="284" t="n">
        <f aca="false">IFERROR(($J226*T226)*$M226, "")</f>
        <v>0</v>
      </c>
      <c r="AX226" s="284" t="n">
        <f aca="false">IFERROR(($J226*U226)*$M226, "")</f>
        <v>0</v>
      </c>
      <c r="AY226" s="284" t="n">
        <f aca="false">IFERROR(($J226*V226)*$M226, "")</f>
        <v>0</v>
      </c>
      <c r="AZ226" s="284" t="n">
        <f aca="false">IFERROR(($J226*W226)*$M226, "")</f>
        <v>0</v>
      </c>
      <c r="BA226" s="284" t="n">
        <f aca="false">IFERROR(($J226*X226)*$M226, "")</f>
        <v>0</v>
      </c>
      <c r="BB226" s="284" t="n">
        <f aca="false">IFERROR(($J226*Y226)*$M226, "")</f>
        <v>0</v>
      </c>
      <c r="BC226" s="285" t="n">
        <f aca="false">IFERROR(($J226*Z226)*$M226, "")</f>
        <v>0</v>
      </c>
      <c r="BD226" s="286" t="n">
        <f aca="false">IFERROR(SUMIF($AB$4:$AM$4, "RDEC", AR226:BC226), "")</f>
        <v>0</v>
      </c>
      <c r="BE226" s="286" t="n">
        <f aca="false">IFERROR(SUMIF($AB$4:$AM$4, "SME", AR226:BC226), "")</f>
        <v>0</v>
      </c>
      <c r="BF226" s="286" t="n">
        <f aca="false">IFERROR(SUMIF($AB$4:$AM$4, "De Minimis", AR226:BC226), "")</f>
        <v>0</v>
      </c>
      <c r="BG226" s="287"/>
      <c r="BH226" s="288" t="str">
        <f aca="false">IF((SUM(O226:Z226)&gt;1),"ERROR","")</f>
        <v/>
      </c>
      <c r="BI226" s="287"/>
      <c r="BJ226" s="18" t="str">
        <f aca="false">IF(C212&gt;0, C212, "")</f>
        <v/>
      </c>
      <c r="BL226" s="200"/>
      <c r="BM226" s="200"/>
      <c r="BN226" s="200"/>
    </row>
    <row r="227" customFormat="false" ht="15" hidden="false" customHeight="true" outlineLevel="0" collapsed="false">
      <c r="B227" s="275"/>
      <c r="D227" s="276" t="n">
        <f aca="false">D211</f>
        <v>45627</v>
      </c>
      <c r="E227" s="277" t="n">
        <v>0</v>
      </c>
      <c r="F227" s="277" t="n">
        <v>0</v>
      </c>
      <c r="G227" s="277" t="n">
        <v>0</v>
      </c>
      <c r="H227" s="277" t="n">
        <v>0</v>
      </c>
      <c r="I227" s="277" t="n">
        <v>0</v>
      </c>
      <c r="J227" s="278" t="n">
        <f aca="false">E227+H227+I227</f>
        <v>0</v>
      </c>
      <c r="K227" s="204"/>
      <c r="L227" s="289" t="n">
        <v>1</v>
      </c>
      <c r="M227" s="290" t="n">
        <f aca="false">1-L227</f>
        <v>0</v>
      </c>
      <c r="N227" s="281"/>
      <c r="O227" s="291"/>
      <c r="P227" s="291"/>
      <c r="Q227" s="291"/>
      <c r="R227" s="291"/>
      <c r="S227" s="291"/>
      <c r="T227" s="291"/>
      <c r="U227" s="291"/>
      <c r="V227" s="291"/>
      <c r="W227" s="291"/>
      <c r="X227" s="291"/>
      <c r="Y227" s="291"/>
      <c r="Z227" s="291"/>
      <c r="AA227" s="283"/>
      <c r="AB227" s="292" t="n">
        <f aca="false">IFERROR(($J227*O227)*$L227, "")</f>
        <v>0</v>
      </c>
      <c r="AC227" s="292" t="n">
        <f aca="false">IFERROR(($J227*P227)*$L227, "")</f>
        <v>0</v>
      </c>
      <c r="AD227" s="292" t="n">
        <f aca="false">IFERROR(($J227*Q227)*$L227, "")</f>
        <v>0</v>
      </c>
      <c r="AE227" s="292" t="n">
        <f aca="false">IFERROR(($J227*R227)*$L227, "")</f>
        <v>0</v>
      </c>
      <c r="AF227" s="292" t="n">
        <f aca="false">IFERROR(($J227*S227)*$L227, "")</f>
        <v>0</v>
      </c>
      <c r="AG227" s="292" t="n">
        <f aca="false">IFERROR(($J227*T227)*$L227, "")</f>
        <v>0</v>
      </c>
      <c r="AH227" s="292" t="n">
        <f aca="false">IFERROR(($J227*U227)*$L227, "")</f>
        <v>0</v>
      </c>
      <c r="AI227" s="292" t="n">
        <f aca="false">IFERROR(($J227*V227)*$L227, "")</f>
        <v>0</v>
      </c>
      <c r="AJ227" s="292" t="n">
        <f aca="false">IFERROR(($J227*W227)*$L227, "")</f>
        <v>0</v>
      </c>
      <c r="AK227" s="292" t="n">
        <f aca="false">IFERROR(($J227*X227)*$L227, "")</f>
        <v>0</v>
      </c>
      <c r="AL227" s="292" t="n">
        <f aca="false">IFERROR(($J227*Y227)*$L227, "")</f>
        <v>0</v>
      </c>
      <c r="AM227" s="293" t="n">
        <f aca="false">IFERROR(($J227*Z227)*$L227, "")</f>
        <v>0</v>
      </c>
      <c r="AN227" s="294" t="n">
        <f aca="false">IFERROR(SUMIF($AB$4:$AM$4, "RDEC", AB227:AM227), "")</f>
        <v>0</v>
      </c>
      <c r="AO227" s="294" t="n">
        <f aca="false">IFERROR(SUMIF($AB$4:$AM$4, "SME", AB227:AM227), "")</f>
        <v>0</v>
      </c>
      <c r="AP227" s="294" t="n">
        <f aca="false">IFERROR(SUMIF($AB$4:$AM$4, "De Minimis", AB227:AM227), "")</f>
        <v>0</v>
      </c>
      <c r="AQ227" s="283"/>
      <c r="AR227" s="292" t="n">
        <f aca="false">IFERROR(($J227*O227)*$M227, "")</f>
        <v>0</v>
      </c>
      <c r="AS227" s="292" t="n">
        <f aca="false">IFERROR(($J227*P227)*$M227, "")</f>
        <v>0</v>
      </c>
      <c r="AT227" s="292" t="n">
        <f aca="false">IFERROR(($J227*Q227)*$M227, "")</f>
        <v>0</v>
      </c>
      <c r="AU227" s="292" t="n">
        <f aca="false">IFERROR(($J227*R227)*$M227, "")</f>
        <v>0</v>
      </c>
      <c r="AV227" s="292" t="n">
        <f aca="false">IFERROR(($J227*S227)*$M227, "")</f>
        <v>0</v>
      </c>
      <c r="AW227" s="292" t="n">
        <f aca="false">IFERROR(($J227*T227)*$M227, "")</f>
        <v>0</v>
      </c>
      <c r="AX227" s="292" t="n">
        <f aca="false">IFERROR(($J227*U227)*$M227, "")</f>
        <v>0</v>
      </c>
      <c r="AY227" s="292" t="n">
        <f aca="false">IFERROR(($J227*V227)*$M227, "")</f>
        <v>0</v>
      </c>
      <c r="AZ227" s="292" t="n">
        <f aca="false">IFERROR(($J227*W227)*$M227, "")</f>
        <v>0</v>
      </c>
      <c r="BA227" s="292" t="n">
        <f aca="false">IFERROR(($J227*X227)*$M227, "")</f>
        <v>0</v>
      </c>
      <c r="BB227" s="292" t="n">
        <f aca="false">IFERROR(($J227*Y227)*$M227, "")</f>
        <v>0</v>
      </c>
      <c r="BC227" s="293" t="n">
        <f aca="false">IFERROR(($J227*Z227)*$M227, "")</f>
        <v>0</v>
      </c>
      <c r="BD227" s="294" t="n">
        <f aca="false">IFERROR(SUMIF($AB$4:$AM$4, "RDEC", AR227:BC227), "")</f>
        <v>0</v>
      </c>
      <c r="BE227" s="294" t="n">
        <f aca="false">IFERROR(SUMIF($AB$4:$AM$4, "SME", AR227:BC227), "")</f>
        <v>0</v>
      </c>
      <c r="BF227" s="294" t="n">
        <f aca="false">IFERROR(SUMIF($AB$4:$AM$4, "De Minimis", AR227:BC227), "")</f>
        <v>0</v>
      </c>
      <c r="BG227" s="287"/>
      <c r="BH227" s="295" t="str">
        <f aca="false">IF((SUM(O227:Z227)&gt;1),"ERROR","")</f>
        <v/>
      </c>
      <c r="BI227" s="287"/>
      <c r="BJ227" s="18" t="str">
        <f aca="false">IF(C213&gt;0, C213, "")</f>
        <v/>
      </c>
      <c r="BL227" s="200"/>
      <c r="BM227" s="200"/>
      <c r="BN227" s="200"/>
    </row>
    <row r="228" customFormat="false" ht="15" hidden="false" customHeight="true" outlineLevel="0" collapsed="false">
      <c r="B228" s="296"/>
      <c r="D228" s="297" t="s">
        <v>82</v>
      </c>
      <c r="E228" s="298" t="n">
        <f aca="false">SUM(E216:E227)</f>
        <v>0</v>
      </c>
      <c r="F228" s="298" t="n">
        <f aca="false">SUM(F216:F227)</f>
        <v>0</v>
      </c>
      <c r="G228" s="298" t="n">
        <f aca="false">SUM(G216:G227)</f>
        <v>0</v>
      </c>
      <c r="H228" s="298" t="n">
        <f aca="false">SUM(H216:H227)</f>
        <v>0</v>
      </c>
      <c r="I228" s="298" t="n">
        <f aca="false">SUM(I216:I227)</f>
        <v>0</v>
      </c>
      <c r="J228" s="299" t="n">
        <f aca="false">SUM(J216:J227)</f>
        <v>0</v>
      </c>
      <c r="K228" s="300"/>
      <c r="L228" s="301" t="n">
        <f aca="false">AVERAGE(L216:L227)</f>
        <v>1</v>
      </c>
      <c r="M228" s="301" t="n">
        <f aca="false">AVERAGE(M216:M227)</f>
        <v>0</v>
      </c>
      <c r="N228" s="302"/>
      <c r="O228" s="290" t="n">
        <f aca="false">IF(SUM(O216:O227)&gt;0,((AB228+AR228)/J228),0)</f>
        <v>0</v>
      </c>
      <c r="P228" s="290" t="n">
        <f aca="false">IF(SUM(P216:P227)&gt;0,((AC228+AS228)/J228),0)</f>
        <v>0</v>
      </c>
      <c r="Q228" s="290" t="n">
        <f aca="false">IF(SUM(Q216:Q227)&gt;0,((AD228+AT228)/J228),0)</f>
        <v>0</v>
      </c>
      <c r="R228" s="290" t="n">
        <f aca="false">IF(SUM(R216:R227)&gt;0,((AE228+AU228)/J228),0)</f>
        <v>0</v>
      </c>
      <c r="S228" s="290" t="n">
        <f aca="false">IF(SUM(S216:S227)&gt;0,((AF228+AV228)/J228),0)</f>
        <v>0</v>
      </c>
      <c r="T228" s="290" t="n">
        <f aca="false">IF(SUM(T216:T227)&gt;0,((AG228+AW228)/J228),0)</f>
        <v>0</v>
      </c>
      <c r="U228" s="290" t="n">
        <f aca="false">IF(SUM(U216:U227)&gt;0,((AH228+AX228)/J228),0)</f>
        <v>0</v>
      </c>
      <c r="V228" s="290" t="n">
        <f aca="false">IF(SUM(V216:V227)&gt;0,((AI228+AY228)/J228),0)</f>
        <v>0</v>
      </c>
      <c r="W228" s="290" t="n">
        <f aca="false">IF(SUM(W216:W227)&gt;0,((AJ228+AZ228)/J228),0)</f>
        <v>0</v>
      </c>
      <c r="X228" s="290" t="n">
        <f aca="false">IF(SUM(X216:X227)&gt;0,((AK228+BA228)/J228),0)</f>
        <v>0</v>
      </c>
      <c r="Y228" s="290" t="n">
        <f aca="false">IF(SUM(Y216:Y227)&gt;0,((AL228+BB228)/J228),0)</f>
        <v>0</v>
      </c>
      <c r="Z228" s="290" t="n">
        <f aca="false">IF(SUM(Z216:Z227)&gt;0,((AM228+BC228)/J228),0)</f>
        <v>0</v>
      </c>
      <c r="AA228" s="303"/>
      <c r="AB228" s="292" t="n">
        <f aca="false">SUM(AB216:AB227)</f>
        <v>0</v>
      </c>
      <c r="AC228" s="304" t="n">
        <f aca="false">SUM(AC216:AC227)</f>
        <v>0</v>
      </c>
      <c r="AD228" s="304" t="n">
        <f aca="false">SUM(AD216:AD227)</f>
        <v>0</v>
      </c>
      <c r="AE228" s="304" t="n">
        <f aca="false">SUM(AE216:AE227)</f>
        <v>0</v>
      </c>
      <c r="AF228" s="304" t="n">
        <f aca="false">SUM(AF216:AF227)</f>
        <v>0</v>
      </c>
      <c r="AG228" s="304" t="n">
        <f aca="false">SUM(AG216:AG227)</f>
        <v>0</v>
      </c>
      <c r="AH228" s="304" t="n">
        <f aca="false">SUM(AH216:AH227)</f>
        <v>0</v>
      </c>
      <c r="AI228" s="304" t="n">
        <f aca="false">SUM(AI216:AI227)</f>
        <v>0</v>
      </c>
      <c r="AJ228" s="304" t="n">
        <f aca="false">SUM(AJ216:AJ227)</f>
        <v>0</v>
      </c>
      <c r="AK228" s="304" t="n">
        <f aca="false">SUM(AK216:AK227)</f>
        <v>0</v>
      </c>
      <c r="AL228" s="304" t="n">
        <f aca="false">SUM(AL216:AL227)</f>
        <v>0</v>
      </c>
      <c r="AM228" s="304" t="n">
        <f aca="false">SUM(AM216:AM227)</f>
        <v>0</v>
      </c>
      <c r="AN228" s="305" t="n">
        <f aca="false">SUM(AN216:AN227)</f>
        <v>0</v>
      </c>
      <c r="AO228" s="305" t="n">
        <f aca="false">SUM(AO216:AO227)</f>
        <v>0</v>
      </c>
      <c r="AP228" s="305" t="n">
        <f aca="false">SUM(AP216:AP227)</f>
        <v>0</v>
      </c>
      <c r="AQ228" s="303"/>
      <c r="AR228" s="292" t="n">
        <f aca="false">SUM(AR216:AR227)</f>
        <v>0</v>
      </c>
      <c r="AS228" s="304" t="n">
        <f aca="false">SUM(AS216:AS227)</f>
        <v>0</v>
      </c>
      <c r="AT228" s="304" t="n">
        <f aca="false">SUM(AT216:AT227)</f>
        <v>0</v>
      </c>
      <c r="AU228" s="304" t="n">
        <f aca="false">SUM(AU216:AU227)</f>
        <v>0</v>
      </c>
      <c r="AV228" s="304" t="n">
        <f aca="false">SUM(AV216:AV227)</f>
        <v>0</v>
      </c>
      <c r="AW228" s="304" t="n">
        <f aca="false">SUM(AW216:AW227)</f>
        <v>0</v>
      </c>
      <c r="AX228" s="304" t="n">
        <f aca="false">SUM(AX216:AX227)</f>
        <v>0</v>
      </c>
      <c r="AY228" s="304" t="n">
        <f aca="false">SUM(AY216:AY227)</f>
        <v>0</v>
      </c>
      <c r="AZ228" s="304" t="n">
        <f aca="false">SUM(AZ216:AZ227)</f>
        <v>0</v>
      </c>
      <c r="BA228" s="304" t="n">
        <f aca="false">SUM(BA216:BA227)</f>
        <v>0</v>
      </c>
      <c r="BB228" s="304" t="n">
        <f aca="false">SUM(BB216:BB227)</f>
        <v>0</v>
      </c>
      <c r="BC228" s="304" t="n">
        <f aca="false">SUM(BC216:BC227)</f>
        <v>0</v>
      </c>
      <c r="BD228" s="305" t="n">
        <f aca="false">SUM(BD216:BD227)</f>
        <v>0</v>
      </c>
      <c r="BE228" s="305" t="n">
        <f aca="false">SUM(BE216:BE227)</f>
        <v>0</v>
      </c>
      <c r="BF228" s="305" t="n">
        <f aca="false">SUM(BF216:BF227)</f>
        <v>0</v>
      </c>
      <c r="BG228" s="303"/>
      <c r="BH228" s="306"/>
      <c r="BI228" s="303"/>
      <c r="BJ228" s="307" t="str">
        <f aca="false">IF(C214&gt;0, C214, "")</f>
        <v>TBA</v>
      </c>
      <c r="BK228" s="18" t="s">
        <v>234</v>
      </c>
      <c r="BL228" s="200" t="n">
        <f aca="false">IF($BK228="Y",J228,0)</f>
        <v>0</v>
      </c>
      <c r="BM228" s="200" t="n">
        <f aca="false">IF(BK228="Y", AN228,0)</f>
        <v>0</v>
      </c>
      <c r="BN228" s="200" t="n">
        <f aca="false">IF((BK228="Y"),AO228,0)</f>
        <v>0</v>
      </c>
    </row>
    <row r="229" customFormat="false" ht="15" hidden="false" customHeight="true" outlineLevel="0" collapsed="false">
      <c r="B229" s="296"/>
      <c r="D229" s="297"/>
      <c r="E229" s="277"/>
      <c r="F229" s="277"/>
      <c r="G229" s="277"/>
      <c r="H229" s="277"/>
      <c r="I229" s="277"/>
      <c r="J229" s="300"/>
      <c r="K229" s="300"/>
      <c r="L229" s="302"/>
      <c r="M229" s="302"/>
      <c r="N229" s="302"/>
      <c r="O229" s="308"/>
      <c r="P229" s="308"/>
      <c r="Q229" s="308"/>
      <c r="R229" s="308"/>
      <c r="S229" s="308"/>
      <c r="T229" s="308"/>
      <c r="U229" s="308"/>
      <c r="V229" s="308"/>
      <c r="W229" s="308"/>
      <c r="X229" s="308"/>
      <c r="Y229" s="308"/>
      <c r="Z229" s="308"/>
      <c r="AA229" s="303"/>
      <c r="AB229" s="303"/>
      <c r="AC229" s="303"/>
      <c r="AD229" s="303"/>
      <c r="AE229" s="303"/>
      <c r="AF229" s="303"/>
      <c r="AG229" s="303"/>
      <c r="AH229" s="303"/>
      <c r="AI229" s="303"/>
      <c r="AJ229" s="303"/>
      <c r="AK229" s="303"/>
      <c r="AL229" s="303"/>
      <c r="AM229" s="303"/>
      <c r="AN229" s="303"/>
      <c r="AO229" s="303"/>
      <c r="AP229" s="303"/>
      <c r="AQ229" s="303"/>
      <c r="AR229" s="303"/>
      <c r="AS229" s="303"/>
      <c r="AT229" s="303"/>
      <c r="AU229" s="303"/>
      <c r="AV229" s="303"/>
      <c r="AW229" s="303"/>
      <c r="AX229" s="303"/>
      <c r="AY229" s="303"/>
      <c r="AZ229" s="303"/>
      <c r="BA229" s="303"/>
      <c r="BB229" s="303"/>
      <c r="BC229" s="303"/>
      <c r="BD229" s="303"/>
      <c r="BE229" s="303"/>
      <c r="BF229" s="303"/>
      <c r="BG229" s="303"/>
      <c r="BH229" s="303"/>
      <c r="BI229" s="303"/>
      <c r="BJ229" s="307" t="str">
        <f aca="false">IF(C216&gt;0, C216, "")</f>
        <v/>
      </c>
      <c r="BL229" s="200"/>
      <c r="BM229" s="200"/>
      <c r="BN229" s="200"/>
    </row>
    <row r="230" customFormat="false" ht="15" hidden="false" customHeight="true" outlineLevel="0" collapsed="false">
      <c r="A230" s="198" t="n">
        <f aca="false">A214+1</f>
        <v>15</v>
      </c>
      <c r="B230" s="266" t="s">
        <v>253</v>
      </c>
      <c r="C230" s="266" t="s">
        <v>253</v>
      </c>
      <c r="D230" s="267"/>
      <c r="E230" s="242"/>
      <c r="F230" s="242"/>
      <c r="G230" s="242"/>
      <c r="H230" s="242"/>
      <c r="I230" s="242"/>
      <c r="J230" s="241"/>
      <c r="K230" s="241"/>
      <c r="L230" s="241"/>
      <c r="M230" s="241"/>
      <c r="N230" s="241"/>
      <c r="O230" s="268"/>
      <c r="P230" s="268"/>
      <c r="Q230" s="268"/>
      <c r="R230" s="268"/>
      <c r="S230" s="268"/>
      <c r="T230" s="268"/>
      <c r="U230" s="268"/>
      <c r="V230" s="268"/>
      <c r="W230" s="268"/>
      <c r="X230" s="268"/>
      <c r="Y230" s="268"/>
      <c r="Z230" s="268"/>
      <c r="AA230" s="268"/>
      <c r="AB230" s="268"/>
      <c r="AC230" s="268"/>
      <c r="AD230" s="268"/>
      <c r="AE230" s="268"/>
      <c r="AF230" s="268"/>
      <c r="AG230" s="268"/>
      <c r="AH230" s="268"/>
      <c r="AI230" s="268"/>
      <c r="AJ230" s="268"/>
      <c r="AK230" s="268"/>
      <c r="AL230" s="268"/>
      <c r="AM230" s="268"/>
      <c r="AN230" s="268"/>
      <c r="AO230" s="268"/>
      <c r="AP230" s="268"/>
      <c r="AQ230" s="268"/>
      <c r="AR230" s="268"/>
      <c r="AS230" s="268"/>
      <c r="AT230" s="268"/>
      <c r="AU230" s="268"/>
      <c r="AV230" s="268"/>
      <c r="AW230" s="268"/>
      <c r="AX230" s="268"/>
      <c r="AY230" s="268"/>
      <c r="AZ230" s="268"/>
      <c r="BA230" s="268"/>
      <c r="BB230" s="268"/>
      <c r="BC230" s="268"/>
      <c r="BD230" s="268"/>
      <c r="BE230" s="268"/>
      <c r="BF230" s="268"/>
      <c r="BG230" s="268"/>
      <c r="BH230" s="268"/>
      <c r="BI230" s="268"/>
      <c r="BJ230" s="18" t="str">
        <f aca="false">IF(C217&gt;0, C217, "")</f>
        <v/>
      </c>
      <c r="BL230" s="200"/>
      <c r="BM230" s="200"/>
      <c r="BN230" s="200"/>
    </row>
    <row r="231" customFormat="false" ht="7.5" hidden="false" customHeight="true" outlineLevel="0" collapsed="false">
      <c r="A231" s="198"/>
      <c r="B231" s="266"/>
      <c r="C231" s="266"/>
      <c r="D231" s="267"/>
      <c r="E231" s="242"/>
      <c r="F231" s="242"/>
      <c r="G231" s="242"/>
      <c r="H231" s="242"/>
      <c r="I231" s="242"/>
      <c r="J231" s="241"/>
      <c r="K231" s="241"/>
      <c r="L231" s="269"/>
      <c r="M231" s="269"/>
      <c r="N231" s="270"/>
      <c r="O231" s="269"/>
      <c r="P231" s="269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  <c r="AA231" s="268"/>
      <c r="AB231" s="271"/>
      <c r="AC231" s="271"/>
      <c r="AD231" s="271"/>
      <c r="AE231" s="271"/>
      <c r="AF231" s="271"/>
      <c r="AG231" s="271"/>
      <c r="AH231" s="271"/>
      <c r="AI231" s="271"/>
      <c r="AJ231" s="271"/>
      <c r="AK231" s="271"/>
      <c r="AL231" s="271"/>
      <c r="AM231" s="272"/>
      <c r="AN231" s="273"/>
      <c r="AO231" s="273"/>
      <c r="AP231" s="273"/>
      <c r="AQ231" s="268"/>
      <c r="AR231" s="271"/>
      <c r="AS231" s="271"/>
      <c r="AT231" s="271"/>
      <c r="AU231" s="271"/>
      <c r="AV231" s="271"/>
      <c r="AW231" s="271"/>
      <c r="AX231" s="271"/>
      <c r="AY231" s="271"/>
      <c r="AZ231" s="271"/>
      <c r="BA231" s="271"/>
      <c r="BB231" s="271"/>
      <c r="BC231" s="272"/>
      <c r="BD231" s="273"/>
      <c r="BE231" s="273"/>
      <c r="BF231" s="273"/>
      <c r="BG231" s="268"/>
      <c r="BH231" s="274"/>
      <c r="BI231" s="268"/>
      <c r="BL231" s="200"/>
      <c r="BM231" s="200"/>
      <c r="BN231" s="200"/>
    </row>
    <row r="232" customFormat="false" ht="15" hidden="false" customHeight="true" outlineLevel="0" collapsed="false">
      <c r="B232" s="275"/>
      <c r="D232" s="276" t="n">
        <f aca="false">D216</f>
        <v>45292</v>
      </c>
      <c r="E232" s="277" t="n">
        <v>0</v>
      </c>
      <c r="F232" s="277" t="n">
        <v>0</v>
      </c>
      <c r="G232" s="277" t="n">
        <v>0</v>
      </c>
      <c r="H232" s="277" t="n">
        <v>0</v>
      </c>
      <c r="I232" s="277" t="n">
        <v>0</v>
      </c>
      <c r="J232" s="278" t="n">
        <f aca="false">E232+H232+I232</f>
        <v>0</v>
      </c>
      <c r="K232" s="204"/>
      <c r="L232" s="279" t="n">
        <v>1</v>
      </c>
      <c r="M232" s="280" t="n">
        <f aca="false">1-L232</f>
        <v>0</v>
      </c>
      <c r="N232" s="281"/>
      <c r="O232" s="282"/>
      <c r="P232" s="282"/>
      <c r="Q232" s="282"/>
      <c r="R232" s="282"/>
      <c r="S232" s="282"/>
      <c r="T232" s="282"/>
      <c r="U232" s="282"/>
      <c r="V232" s="282"/>
      <c r="W232" s="282"/>
      <c r="X232" s="282"/>
      <c r="Y232" s="282"/>
      <c r="Z232" s="282"/>
      <c r="AA232" s="283"/>
      <c r="AB232" s="284" t="n">
        <f aca="false">IFERROR(($J232*O232)*$L232, "")</f>
        <v>0</v>
      </c>
      <c r="AC232" s="284" t="n">
        <f aca="false">IFERROR(($J232*P232)*$L232, "")</f>
        <v>0</v>
      </c>
      <c r="AD232" s="284" t="n">
        <f aca="false">IFERROR(($J232*Q232)*$L232, "")</f>
        <v>0</v>
      </c>
      <c r="AE232" s="284" t="n">
        <f aca="false">IFERROR(($J232*R232)*$L232, "")</f>
        <v>0</v>
      </c>
      <c r="AF232" s="284" t="n">
        <f aca="false">IFERROR(($J232*S232)*$L232, "")</f>
        <v>0</v>
      </c>
      <c r="AG232" s="284" t="n">
        <f aca="false">IFERROR(($J232*T232)*$L232, "")</f>
        <v>0</v>
      </c>
      <c r="AH232" s="284" t="n">
        <f aca="false">IFERROR(($J232*U232)*$L232, "")</f>
        <v>0</v>
      </c>
      <c r="AI232" s="284" t="n">
        <f aca="false">IFERROR(($J232*V232)*$L232, "")</f>
        <v>0</v>
      </c>
      <c r="AJ232" s="284" t="n">
        <f aca="false">IFERROR(($J232*W232)*$L232, "")</f>
        <v>0</v>
      </c>
      <c r="AK232" s="284" t="n">
        <f aca="false">IFERROR(($J232*X232)*$L232, "")</f>
        <v>0</v>
      </c>
      <c r="AL232" s="284" t="n">
        <f aca="false">IFERROR(($J232*Y232)*$L232, "")</f>
        <v>0</v>
      </c>
      <c r="AM232" s="285" t="n">
        <f aca="false">IFERROR(($J232*Z232)*$L232, "")</f>
        <v>0</v>
      </c>
      <c r="AN232" s="286" t="n">
        <f aca="false">IFERROR(SUMIF($AB$4:$AM$4, "RDEC", AB232:AM232), "")</f>
        <v>0</v>
      </c>
      <c r="AO232" s="286" t="n">
        <f aca="false">IFERROR(SUMIF($AB$4:$AM$4, "SME", AB232:AM232), "")</f>
        <v>0</v>
      </c>
      <c r="AP232" s="286" t="n">
        <f aca="false">IFERROR(SUMIF($AB$4:$AM$4, "De Minimis", AB232:AM232), "")</f>
        <v>0</v>
      </c>
      <c r="AQ232" s="283"/>
      <c r="AR232" s="284" t="n">
        <f aca="false">IFERROR(($J232*O232)*$M232, "")</f>
        <v>0</v>
      </c>
      <c r="AS232" s="284" t="n">
        <f aca="false">IFERROR(($J232*P232)*$M232, "")</f>
        <v>0</v>
      </c>
      <c r="AT232" s="284" t="n">
        <f aca="false">IFERROR(($J232*Q232)*$M232, "")</f>
        <v>0</v>
      </c>
      <c r="AU232" s="284" t="n">
        <f aca="false">IFERROR(($J232*R232)*$M232, "")</f>
        <v>0</v>
      </c>
      <c r="AV232" s="284" t="n">
        <f aca="false">IFERROR(($J232*S232)*$M232, "")</f>
        <v>0</v>
      </c>
      <c r="AW232" s="284" t="n">
        <f aca="false">IFERROR(($J232*T232)*$M232, "")</f>
        <v>0</v>
      </c>
      <c r="AX232" s="284" t="n">
        <f aca="false">IFERROR(($J232*U232)*$M232, "")</f>
        <v>0</v>
      </c>
      <c r="AY232" s="284" t="n">
        <f aca="false">IFERROR(($J232*V232)*$M232, "")</f>
        <v>0</v>
      </c>
      <c r="AZ232" s="284" t="n">
        <f aca="false">IFERROR(($J232*W232)*$M232, "")</f>
        <v>0</v>
      </c>
      <c r="BA232" s="284" t="n">
        <f aca="false">IFERROR(($J232*X232)*$M232, "")</f>
        <v>0</v>
      </c>
      <c r="BB232" s="284" t="n">
        <f aca="false">IFERROR(($J232*Y232)*$M232, "")</f>
        <v>0</v>
      </c>
      <c r="BC232" s="285" t="n">
        <f aca="false">IFERROR(($J232*Z232)*$M232, "")</f>
        <v>0</v>
      </c>
      <c r="BD232" s="286" t="n">
        <f aca="false">IFERROR(SUMIF($AB$4:$AM$4, "RDEC", AR232:BC232), "")</f>
        <v>0</v>
      </c>
      <c r="BE232" s="286" t="n">
        <f aca="false">IFERROR(SUMIF($AB$4:$AM$4, "SME", AR232:BC232), "")</f>
        <v>0</v>
      </c>
      <c r="BF232" s="286" t="n">
        <f aca="false">IFERROR(SUMIF($AB$4:$AM$4, "De Minimis", AR232:BC232), "")</f>
        <v>0</v>
      </c>
      <c r="BG232" s="287"/>
      <c r="BH232" s="288" t="str">
        <f aca="false">IF((SUM(O232:Z232)&gt;1),"ERROR","")</f>
        <v/>
      </c>
      <c r="BI232" s="287"/>
      <c r="BJ232" s="18" t="str">
        <f aca="false">IF(C218&gt;0, C218, "")</f>
        <v/>
      </c>
      <c r="BL232" s="200"/>
      <c r="BM232" s="200"/>
      <c r="BN232" s="200"/>
    </row>
    <row r="233" customFormat="false" ht="15" hidden="false" customHeight="true" outlineLevel="0" collapsed="false">
      <c r="B233" s="275"/>
      <c r="D233" s="276" t="n">
        <f aca="false">D217</f>
        <v>45323</v>
      </c>
      <c r="E233" s="277" t="n">
        <v>0</v>
      </c>
      <c r="F233" s="277" t="n">
        <v>0</v>
      </c>
      <c r="G233" s="277" t="n">
        <v>0</v>
      </c>
      <c r="H233" s="277" t="n">
        <v>0</v>
      </c>
      <c r="I233" s="277" t="n">
        <v>0</v>
      </c>
      <c r="J233" s="278" t="n">
        <f aca="false">E233+H233+I233</f>
        <v>0</v>
      </c>
      <c r="K233" s="204"/>
      <c r="L233" s="279" t="n">
        <v>1</v>
      </c>
      <c r="M233" s="280" t="n">
        <f aca="false">1-L233</f>
        <v>0</v>
      </c>
      <c r="N233" s="281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83"/>
      <c r="AB233" s="284" t="n">
        <f aca="false">IFERROR(($J233*O233)*$L233, "")</f>
        <v>0</v>
      </c>
      <c r="AC233" s="284" t="n">
        <f aca="false">IFERROR(($J233*P233)*$L233, "")</f>
        <v>0</v>
      </c>
      <c r="AD233" s="284" t="n">
        <f aca="false">IFERROR(($J233*Q233)*$L233, "")</f>
        <v>0</v>
      </c>
      <c r="AE233" s="284" t="n">
        <f aca="false">IFERROR(($J233*R233)*$L233, "")</f>
        <v>0</v>
      </c>
      <c r="AF233" s="284" t="n">
        <f aca="false">IFERROR(($J233*S233)*$L233, "")</f>
        <v>0</v>
      </c>
      <c r="AG233" s="284" t="n">
        <f aca="false">IFERROR(($J233*T233)*$L233, "")</f>
        <v>0</v>
      </c>
      <c r="AH233" s="284" t="n">
        <f aca="false">IFERROR(($J233*U233)*$L233, "")</f>
        <v>0</v>
      </c>
      <c r="AI233" s="284" t="n">
        <f aca="false">IFERROR(($J233*V233)*$L233, "")</f>
        <v>0</v>
      </c>
      <c r="AJ233" s="284" t="n">
        <f aca="false">IFERROR(($J233*W233)*$L233, "")</f>
        <v>0</v>
      </c>
      <c r="AK233" s="284" t="n">
        <f aca="false">IFERROR(($J233*X233)*$L233, "")</f>
        <v>0</v>
      </c>
      <c r="AL233" s="284" t="n">
        <f aca="false">IFERROR(($J233*Y233)*$L233, "")</f>
        <v>0</v>
      </c>
      <c r="AM233" s="285" t="n">
        <f aca="false">IFERROR(($J233*Z233)*$L233, "")</f>
        <v>0</v>
      </c>
      <c r="AN233" s="286" t="n">
        <f aca="false">IFERROR(SUMIF($AB$4:$AM$4, "RDEC", AB233:AM233), "")</f>
        <v>0</v>
      </c>
      <c r="AO233" s="286" t="n">
        <f aca="false">IFERROR(SUMIF($AB$4:$AM$4, "SME", AB233:AM233), "")</f>
        <v>0</v>
      </c>
      <c r="AP233" s="286" t="n">
        <f aca="false">IFERROR(SUMIF($AB$4:$AM$4, "De Minimis", AB233:AM233), "")</f>
        <v>0</v>
      </c>
      <c r="AQ233" s="283"/>
      <c r="AR233" s="284" t="n">
        <f aca="false">IFERROR(($J233*O233)*$M233, "")</f>
        <v>0</v>
      </c>
      <c r="AS233" s="284" t="n">
        <f aca="false">IFERROR(($J233*P233)*$M233, "")</f>
        <v>0</v>
      </c>
      <c r="AT233" s="284" t="n">
        <f aca="false">IFERROR(($J233*Q233)*$M233, "")</f>
        <v>0</v>
      </c>
      <c r="AU233" s="284" t="n">
        <f aca="false">IFERROR(($J233*R233)*$M233, "")</f>
        <v>0</v>
      </c>
      <c r="AV233" s="284" t="n">
        <f aca="false">IFERROR(($J233*S233)*$M233, "")</f>
        <v>0</v>
      </c>
      <c r="AW233" s="284" t="n">
        <f aca="false">IFERROR(($J233*T233)*$M233, "")</f>
        <v>0</v>
      </c>
      <c r="AX233" s="284" t="n">
        <f aca="false">IFERROR(($J233*U233)*$M233, "")</f>
        <v>0</v>
      </c>
      <c r="AY233" s="284" t="n">
        <f aca="false">IFERROR(($J233*V233)*$M233, "")</f>
        <v>0</v>
      </c>
      <c r="AZ233" s="284" t="n">
        <f aca="false">IFERROR(($J233*W233)*$M233, "")</f>
        <v>0</v>
      </c>
      <c r="BA233" s="284" t="n">
        <f aca="false">IFERROR(($J233*X233)*$M233, "")</f>
        <v>0</v>
      </c>
      <c r="BB233" s="284" t="n">
        <f aca="false">IFERROR(($J233*Y233)*$M233, "")</f>
        <v>0</v>
      </c>
      <c r="BC233" s="285" t="n">
        <f aca="false">IFERROR(($J233*Z233)*$M233, "")</f>
        <v>0</v>
      </c>
      <c r="BD233" s="286" t="n">
        <f aca="false">IFERROR(SUMIF($AB$4:$AM$4, "RDEC", AR233:BC233), "")</f>
        <v>0</v>
      </c>
      <c r="BE233" s="286" t="n">
        <f aca="false">IFERROR(SUMIF($AB$4:$AM$4, "SME", AR233:BC233), "")</f>
        <v>0</v>
      </c>
      <c r="BF233" s="286" t="n">
        <f aca="false">IFERROR(SUMIF($AB$4:$AM$4, "De Minimis", AR233:BC233), "")</f>
        <v>0</v>
      </c>
      <c r="BG233" s="287"/>
      <c r="BH233" s="288" t="str">
        <f aca="false">IF((SUM(O233:Z233)&gt;1),"ERROR","")</f>
        <v/>
      </c>
      <c r="BI233" s="287"/>
      <c r="BJ233" s="18" t="str">
        <f aca="false">IF(C219&gt;0, C219, "")</f>
        <v/>
      </c>
      <c r="BL233" s="200"/>
      <c r="BM233" s="200"/>
      <c r="BN233" s="200"/>
    </row>
    <row r="234" customFormat="false" ht="15" hidden="false" customHeight="true" outlineLevel="0" collapsed="false">
      <c r="B234" s="275"/>
      <c r="D234" s="276" t="n">
        <f aca="false">D218</f>
        <v>45352</v>
      </c>
      <c r="E234" s="277" t="n">
        <v>0</v>
      </c>
      <c r="F234" s="277" t="n">
        <v>0</v>
      </c>
      <c r="G234" s="277" t="n">
        <v>0</v>
      </c>
      <c r="H234" s="277" t="n">
        <v>0</v>
      </c>
      <c r="I234" s="277" t="n">
        <v>0</v>
      </c>
      <c r="J234" s="278" t="n">
        <f aca="false">E234+H234+I234</f>
        <v>0</v>
      </c>
      <c r="K234" s="204"/>
      <c r="L234" s="279" t="n">
        <v>1</v>
      </c>
      <c r="M234" s="280" t="n">
        <f aca="false">1-L234</f>
        <v>0</v>
      </c>
      <c r="N234" s="281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83"/>
      <c r="AB234" s="284" t="n">
        <f aca="false">IFERROR(($J234*O234)*$L234, "")</f>
        <v>0</v>
      </c>
      <c r="AC234" s="284" t="n">
        <f aca="false">IFERROR(($J234*P234)*$L234, "")</f>
        <v>0</v>
      </c>
      <c r="AD234" s="284" t="n">
        <f aca="false">IFERROR(($J234*Q234)*$L234, "")</f>
        <v>0</v>
      </c>
      <c r="AE234" s="284" t="n">
        <f aca="false">IFERROR(($J234*R234)*$L234, "")</f>
        <v>0</v>
      </c>
      <c r="AF234" s="284" t="n">
        <f aca="false">IFERROR(($J234*S234)*$L234, "")</f>
        <v>0</v>
      </c>
      <c r="AG234" s="284" t="n">
        <f aca="false">IFERROR(($J234*T234)*$L234, "")</f>
        <v>0</v>
      </c>
      <c r="AH234" s="284" t="n">
        <f aca="false">IFERROR(($J234*U234)*$L234, "")</f>
        <v>0</v>
      </c>
      <c r="AI234" s="284" t="n">
        <f aca="false">IFERROR(($J234*V234)*$L234, "")</f>
        <v>0</v>
      </c>
      <c r="AJ234" s="284" t="n">
        <f aca="false">IFERROR(($J234*W234)*$L234, "")</f>
        <v>0</v>
      </c>
      <c r="AK234" s="284" t="n">
        <f aca="false">IFERROR(($J234*X234)*$L234, "")</f>
        <v>0</v>
      </c>
      <c r="AL234" s="284" t="n">
        <f aca="false">IFERROR(($J234*Y234)*$L234, "")</f>
        <v>0</v>
      </c>
      <c r="AM234" s="285" t="n">
        <f aca="false">IFERROR(($J234*Z234)*$L234, "")</f>
        <v>0</v>
      </c>
      <c r="AN234" s="286" t="n">
        <f aca="false">IFERROR(SUMIF($AB$4:$AM$4, "RDEC", AB234:AM234), "")</f>
        <v>0</v>
      </c>
      <c r="AO234" s="286" t="n">
        <f aca="false">IFERROR(SUMIF($AB$4:$AM$4, "SME", AB234:AM234), "")</f>
        <v>0</v>
      </c>
      <c r="AP234" s="286" t="n">
        <f aca="false">IFERROR(SUMIF($AB$4:$AM$4, "De Minimis", AB234:AM234), "")</f>
        <v>0</v>
      </c>
      <c r="AQ234" s="283"/>
      <c r="AR234" s="284" t="n">
        <f aca="false">IFERROR(($J234*O234)*$M234, "")</f>
        <v>0</v>
      </c>
      <c r="AS234" s="284" t="n">
        <f aca="false">IFERROR(($J234*P234)*$M234, "")</f>
        <v>0</v>
      </c>
      <c r="AT234" s="284" t="n">
        <f aca="false">IFERROR(($J234*Q234)*$M234, "")</f>
        <v>0</v>
      </c>
      <c r="AU234" s="284" t="n">
        <f aca="false">IFERROR(($J234*R234)*$M234, "")</f>
        <v>0</v>
      </c>
      <c r="AV234" s="284" t="n">
        <f aca="false">IFERROR(($J234*S234)*$M234, "")</f>
        <v>0</v>
      </c>
      <c r="AW234" s="284" t="n">
        <f aca="false">IFERROR(($J234*T234)*$M234, "")</f>
        <v>0</v>
      </c>
      <c r="AX234" s="284" t="n">
        <f aca="false">IFERROR(($J234*U234)*$M234, "")</f>
        <v>0</v>
      </c>
      <c r="AY234" s="284" t="n">
        <f aca="false">IFERROR(($J234*V234)*$M234, "")</f>
        <v>0</v>
      </c>
      <c r="AZ234" s="284" t="n">
        <f aca="false">IFERROR(($J234*W234)*$M234, "")</f>
        <v>0</v>
      </c>
      <c r="BA234" s="284" t="n">
        <f aca="false">IFERROR(($J234*X234)*$M234, "")</f>
        <v>0</v>
      </c>
      <c r="BB234" s="284" t="n">
        <f aca="false">IFERROR(($J234*Y234)*$M234, "")</f>
        <v>0</v>
      </c>
      <c r="BC234" s="285" t="n">
        <f aca="false">IFERROR(($J234*Z234)*$M234, "")</f>
        <v>0</v>
      </c>
      <c r="BD234" s="286" t="n">
        <f aca="false">IFERROR(SUMIF($AB$4:$AM$4, "RDEC", AR234:BC234), "")</f>
        <v>0</v>
      </c>
      <c r="BE234" s="286" t="n">
        <f aca="false">IFERROR(SUMIF($AB$4:$AM$4, "SME", AR234:BC234), "")</f>
        <v>0</v>
      </c>
      <c r="BF234" s="286" t="n">
        <f aca="false">IFERROR(SUMIF($AB$4:$AM$4, "De Minimis", AR234:BC234), "")</f>
        <v>0</v>
      </c>
      <c r="BG234" s="287"/>
      <c r="BH234" s="288" t="str">
        <f aca="false">IF((SUM(O234:Z234)&gt;1),"ERROR","")</f>
        <v/>
      </c>
      <c r="BI234" s="287"/>
      <c r="BJ234" s="18" t="str">
        <f aca="false">IF(C220&gt;0, C220, "")</f>
        <v/>
      </c>
      <c r="BL234" s="200"/>
      <c r="BM234" s="200"/>
      <c r="BN234" s="200"/>
    </row>
    <row r="235" customFormat="false" ht="15" hidden="false" customHeight="true" outlineLevel="0" collapsed="false">
      <c r="B235" s="275"/>
      <c r="D235" s="276" t="n">
        <f aca="false">D219</f>
        <v>45383</v>
      </c>
      <c r="E235" s="277" t="n">
        <v>0</v>
      </c>
      <c r="F235" s="277" t="n">
        <v>0</v>
      </c>
      <c r="G235" s="277" t="n">
        <v>0</v>
      </c>
      <c r="H235" s="277" t="n">
        <v>0</v>
      </c>
      <c r="I235" s="277" t="n">
        <v>0</v>
      </c>
      <c r="J235" s="278" t="n">
        <f aca="false">E235+H235+I235</f>
        <v>0</v>
      </c>
      <c r="K235" s="204"/>
      <c r="L235" s="279" t="n">
        <v>1</v>
      </c>
      <c r="M235" s="280" t="n">
        <f aca="false">1-L235</f>
        <v>0</v>
      </c>
      <c r="N235" s="281"/>
      <c r="O235" s="282"/>
      <c r="P235" s="282"/>
      <c r="Q235" s="282"/>
      <c r="R235" s="282"/>
      <c r="S235" s="282"/>
      <c r="T235" s="282"/>
      <c r="U235" s="282"/>
      <c r="V235" s="282"/>
      <c r="W235" s="282"/>
      <c r="X235" s="282"/>
      <c r="Y235" s="282"/>
      <c r="Z235" s="282"/>
      <c r="AA235" s="283"/>
      <c r="AB235" s="284" t="n">
        <f aca="false">IFERROR(($J235*O235)*$L235, "")</f>
        <v>0</v>
      </c>
      <c r="AC235" s="284" t="n">
        <f aca="false">IFERROR(($J235*P235)*$L235, "")</f>
        <v>0</v>
      </c>
      <c r="AD235" s="284" t="n">
        <f aca="false">IFERROR(($J235*Q235)*$L235, "")</f>
        <v>0</v>
      </c>
      <c r="AE235" s="284" t="n">
        <f aca="false">IFERROR(($J235*R235)*$L235, "")</f>
        <v>0</v>
      </c>
      <c r="AF235" s="284" t="n">
        <f aca="false">IFERROR(($J235*S235)*$L235, "")</f>
        <v>0</v>
      </c>
      <c r="AG235" s="284" t="n">
        <f aca="false">IFERROR(($J235*T235)*$L235, "")</f>
        <v>0</v>
      </c>
      <c r="AH235" s="284" t="n">
        <f aca="false">IFERROR(($J235*U235)*$L235, "")</f>
        <v>0</v>
      </c>
      <c r="AI235" s="284" t="n">
        <f aca="false">IFERROR(($J235*V235)*$L235, "")</f>
        <v>0</v>
      </c>
      <c r="AJ235" s="284" t="n">
        <f aca="false">IFERROR(($J235*W235)*$L235, "")</f>
        <v>0</v>
      </c>
      <c r="AK235" s="284" t="n">
        <f aca="false">IFERROR(($J235*X235)*$L235, "")</f>
        <v>0</v>
      </c>
      <c r="AL235" s="284" t="n">
        <f aca="false">IFERROR(($J235*Y235)*$L235, "")</f>
        <v>0</v>
      </c>
      <c r="AM235" s="285" t="n">
        <f aca="false">IFERROR(($J235*Z235)*$L235, "")</f>
        <v>0</v>
      </c>
      <c r="AN235" s="286" t="n">
        <f aca="false">IFERROR(SUMIF($AB$4:$AM$4, "RDEC", AB235:AM235), "")</f>
        <v>0</v>
      </c>
      <c r="AO235" s="286" t="n">
        <f aca="false">IFERROR(SUMIF($AB$4:$AM$4, "SME", AB235:AM235), "")</f>
        <v>0</v>
      </c>
      <c r="AP235" s="286" t="n">
        <f aca="false">IFERROR(SUMIF($AB$4:$AM$4, "De Minimis", AB235:AM235), "")</f>
        <v>0</v>
      </c>
      <c r="AQ235" s="283"/>
      <c r="AR235" s="284" t="n">
        <f aca="false">IFERROR(($J235*O235)*$M235, "")</f>
        <v>0</v>
      </c>
      <c r="AS235" s="284" t="n">
        <f aca="false">IFERROR(($J235*P235)*$M235, "")</f>
        <v>0</v>
      </c>
      <c r="AT235" s="284" t="n">
        <f aca="false">IFERROR(($J235*Q235)*$M235, "")</f>
        <v>0</v>
      </c>
      <c r="AU235" s="284" t="n">
        <f aca="false">IFERROR(($J235*R235)*$M235, "")</f>
        <v>0</v>
      </c>
      <c r="AV235" s="284" t="n">
        <f aca="false">IFERROR(($J235*S235)*$M235, "")</f>
        <v>0</v>
      </c>
      <c r="AW235" s="284" t="n">
        <f aca="false">IFERROR(($J235*T235)*$M235, "")</f>
        <v>0</v>
      </c>
      <c r="AX235" s="284" t="n">
        <f aca="false">IFERROR(($J235*U235)*$M235, "")</f>
        <v>0</v>
      </c>
      <c r="AY235" s="284" t="n">
        <f aca="false">IFERROR(($J235*V235)*$M235, "")</f>
        <v>0</v>
      </c>
      <c r="AZ235" s="284" t="n">
        <f aca="false">IFERROR(($J235*W235)*$M235, "")</f>
        <v>0</v>
      </c>
      <c r="BA235" s="284" t="n">
        <f aca="false">IFERROR(($J235*X235)*$M235, "")</f>
        <v>0</v>
      </c>
      <c r="BB235" s="284" t="n">
        <f aca="false">IFERROR(($J235*Y235)*$M235, "")</f>
        <v>0</v>
      </c>
      <c r="BC235" s="285" t="n">
        <f aca="false">IFERROR(($J235*Z235)*$M235, "")</f>
        <v>0</v>
      </c>
      <c r="BD235" s="286" t="n">
        <f aca="false">IFERROR(SUMIF($AB$4:$AM$4, "RDEC", AR235:BC235), "")</f>
        <v>0</v>
      </c>
      <c r="BE235" s="286" t="n">
        <f aca="false">IFERROR(SUMIF($AB$4:$AM$4, "SME", AR235:BC235), "")</f>
        <v>0</v>
      </c>
      <c r="BF235" s="286" t="n">
        <f aca="false">IFERROR(SUMIF($AB$4:$AM$4, "De Minimis", AR235:BC235), "")</f>
        <v>0</v>
      </c>
      <c r="BG235" s="287"/>
      <c r="BH235" s="288" t="str">
        <f aca="false">IF((SUM(O235:Z235)&gt;1),"ERROR","")</f>
        <v/>
      </c>
      <c r="BI235" s="287"/>
      <c r="BJ235" s="18" t="str">
        <f aca="false">IF(C221&gt;0, C221, "")</f>
        <v/>
      </c>
      <c r="BL235" s="200"/>
      <c r="BM235" s="200"/>
      <c r="BN235" s="200"/>
    </row>
    <row r="236" customFormat="false" ht="15" hidden="false" customHeight="true" outlineLevel="0" collapsed="false">
      <c r="B236" s="275"/>
      <c r="D236" s="276" t="n">
        <f aca="false">D220</f>
        <v>45413</v>
      </c>
      <c r="E236" s="277" t="n">
        <v>0</v>
      </c>
      <c r="F236" s="277" t="n">
        <v>0</v>
      </c>
      <c r="G236" s="277" t="n">
        <v>0</v>
      </c>
      <c r="H236" s="277" t="n">
        <v>0</v>
      </c>
      <c r="I236" s="277" t="n">
        <v>0</v>
      </c>
      <c r="J236" s="278" t="n">
        <f aca="false">E236+H236+I236</f>
        <v>0</v>
      </c>
      <c r="K236" s="204"/>
      <c r="L236" s="279" t="n">
        <v>1</v>
      </c>
      <c r="M236" s="280" t="n">
        <f aca="false">1-L236</f>
        <v>0</v>
      </c>
      <c r="N236" s="281"/>
      <c r="O236" s="282"/>
      <c r="P236" s="282"/>
      <c r="Q236" s="282"/>
      <c r="R236" s="282"/>
      <c r="S236" s="282"/>
      <c r="T236" s="282"/>
      <c r="U236" s="282"/>
      <c r="V236" s="282"/>
      <c r="W236" s="282"/>
      <c r="X236" s="282"/>
      <c r="Y236" s="282"/>
      <c r="Z236" s="282"/>
      <c r="AA236" s="283"/>
      <c r="AB236" s="284" t="n">
        <f aca="false">IFERROR(($J236*O236)*$L236, "")</f>
        <v>0</v>
      </c>
      <c r="AC236" s="284" t="n">
        <f aca="false">IFERROR(($J236*P236)*$L236, "")</f>
        <v>0</v>
      </c>
      <c r="AD236" s="284" t="n">
        <f aca="false">IFERROR(($J236*Q236)*$L236, "")</f>
        <v>0</v>
      </c>
      <c r="AE236" s="284" t="n">
        <f aca="false">IFERROR(($J236*R236)*$L236, "")</f>
        <v>0</v>
      </c>
      <c r="AF236" s="284" t="n">
        <f aca="false">IFERROR(($J236*S236)*$L236, "")</f>
        <v>0</v>
      </c>
      <c r="AG236" s="284" t="n">
        <f aca="false">IFERROR(($J236*T236)*$L236, "")</f>
        <v>0</v>
      </c>
      <c r="AH236" s="284" t="n">
        <f aca="false">IFERROR(($J236*U236)*$L236, "")</f>
        <v>0</v>
      </c>
      <c r="AI236" s="284" t="n">
        <f aca="false">IFERROR(($J236*V236)*$L236, "")</f>
        <v>0</v>
      </c>
      <c r="AJ236" s="284" t="n">
        <f aca="false">IFERROR(($J236*W236)*$L236, "")</f>
        <v>0</v>
      </c>
      <c r="AK236" s="284" t="n">
        <f aca="false">IFERROR(($J236*X236)*$L236, "")</f>
        <v>0</v>
      </c>
      <c r="AL236" s="284" t="n">
        <f aca="false">IFERROR(($J236*Y236)*$L236, "")</f>
        <v>0</v>
      </c>
      <c r="AM236" s="285" t="n">
        <f aca="false">IFERROR(($J236*Z236)*$L236, "")</f>
        <v>0</v>
      </c>
      <c r="AN236" s="286" t="n">
        <f aca="false">IFERROR(SUMIF($AB$4:$AM$4, "RDEC", AB236:AM236), "")</f>
        <v>0</v>
      </c>
      <c r="AO236" s="286" t="n">
        <f aca="false">IFERROR(SUMIF($AB$4:$AM$4, "SME", AB236:AM236), "")</f>
        <v>0</v>
      </c>
      <c r="AP236" s="286" t="n">
        <f aca="false">IFERROR(SUMIF($AB$4:$AM$4, "De Minimis", AB236:AM236), "")</f>
        <v>0</v>
      </c>
      <c r="AQ236" s="283"/>
      <c r="AR236" s="284" t="n">
        <f aca="false">IFERROR(($J236*O236)*$M236, "")</f>
        <v>0</v>
      </c>
      <c r="AS236" s="284" t="n">
        <f aca="false">IFERROR(($J236*P236)*$M236, "")</f>
        <v>0</v>
      </c>
      <c r="AT236" s="284" t="n">
        <f aca="false">IFERROR(($J236*Q236)*$M236, "")</f>
        <v>0</v>
      </c>
      <c r="AU236" s="284" t="n">
        <f aca="false">IFERROR(($J236*R236)*$M236, "")</f>
        <v>0</v>
      </c>
      <c r="AV236" s="284" t="n">
        <f aca="false">IFERROR(($J236*S236)*$M236, "")</f>
        <v>0</v>
      </c>
      <c r="AW236" s="284" t="n">
        <f aca="false">IFERROR(($J236*T236)*$M236, "")</f>
        <v>0</v>
      </c>
      <c r="AX236" s="284" t="n">
        <f aca="false">IFERROR(($J236*U236)*$M236, "")</f>
        <v>0</v>
      </c>
      <c r="AY236" s="284" t="n">
        <f aca="false">IFERROR(($J236*V236)*$M236, "")</f>
        <v>0</v>
      </c>
      <c r="AZ236" s="284" t="n">
        <f aca="false">IFERROR(($J236*W236)*$M236, "")</f>
        <v>0</v>
      </c>
      <c r="BA236" s="284" t="n">
        <f aca="false">IFERROR(($J236*X236)*$M236, "")</f>
        <v>0</v>
      </c>
      <c r="BB236" s="284" t="n">
        <f aca="false">IFERROR(($J236*Y236)*$M236, "")</f>
        <v>0</v>
      </c>
      <c r="BC236" s="285" t="n">
        <f aca="false">IFERROR(($J236*Z236)*$M236, "")</f>
        <v>0</v>
      </c>
      <c r="BD236" s="286" t="n">
        <f aca="false">IFERROR(SUMIF($AB$4:$AM$4, "RDEC", AR236:BC236), "")</f>
        <v>0</v>
      </c>
      <c r="BE236" s="286" t="n">
        <f aca="false">IFERROR(SUMIF($AB$4:$AM$4, "SME", AR236:BC236), "")</f>
        <v>0</v>
      </c>
      <c r="BF236" s="286" t="n">
        <f aca="false">IFERROR(SUMIF($AB$4:$AM$4, "De Minimis", AR236:BC236), "")</f>
        <v>0</v>
      </c>
      <c r="BG236" s="287"/>
      <c r="BH236" s="288" t="str">
        <f aca="false">IF((SUM(O236:Z236)&gt;1),"ERROR","")</f>
        <v/>
      </c>
      <c r="BI236" s="287"/>
      <c r="BJ236" s="18" t="str">
        <f aca="false">IF(C222&gt;0, C222, "")</f>
        <v/>
      </c>
      <c r="BL236" s="200"/>
      <c r="BM236" s="200"/>
      <c r="BN236" s="200"/>
    </row>
    <row r="237" customFormat="false" ht="15" hidden="false" customHeight="true" outlineLevel="0" collapsed="false">
      <c r="B237" s="275"/>
      <c r="D237" s="276" t="n">
        <f aca="false">D221</f>
        <v>45444</v>
      </c>
      <c r="E237" s="277" t="n">
        <v>0</v>
      </c>
      <c r="F237" s="277" t="n">
        <v>0</v>
      </c>
      <c r="G237" s="277" t="n">
        <v>0</v>
      </c>
      <c r="H237" s="277" t="n">
        <v>0</v>
      </c>
      <c r="I237" s="277" t="n">
        <v>0</v>
      </c>
      <c r="J237" s="278" t="n">
        <f aca="false">E237+H237+I237</f>
        <v>0</v>
      </c>
      <c r="K237" s="204"/>
      <c r="L237" s="279" t="n">
        <v>1</v>
      </c>
      <c r="M237" s="280" t="n">
        <f aca="false">1-L237</f>
        <v>0</v>
      </c>
      <c r="N237" s="281"/>
      <c r="O237" s="282"/>
      <c r="P237" s="282"/>
      <c r="Q237" s="282"/>
      <c r="R237" s="282"/>
      <c r="S237" s="282"/>
      <c r="T237" s="282"/>
      <c r="U237" s="282"/>
      <c r="V237" s="282"/>
      <c r="W237" s="282"/>
      <c r="X237" s="282"/>
      <c r="Y237" s="282"/>
      <c r="Z237" s="282"/>
      <c r="AA237" s="283"/>
      <c r="AB237" s="284" t="n">
        <f aca="false">IFERROR(($J237*O237)*$L237, "")</f>
        <v>0</v>
      </c>
      <c r="AC237" s="284" t="n">
        <f aca="false">IFERROR(($J237*P237)*$L237, "")</f>
        <v>0</v>
      </c>
      <c r="AD237" s="284" t="n">
        <f aca="false">IFERROR(($J237*Q237)*$L237, "")</f>
        <v>0</v>
      </c>
      <c r="AE237" s="284" t="n">
        <f aca="false">IFERROR(($J237*R237)*$L237, "")</f>
        <v>0</v>
      </c>
      <c r="AF237" s="284" t="n">
        <f aca="false">IFERROR(($J237*S237)*$L237, "")</f>
        <v>0</v>
      </c>
      <c r="AG237" s="284" t="n">
        <f aca="false">IFERROR(($J237*T237)*$L237, "")</f>
        <v>0</v>
      </c>
      <c r="AH237" s="284" t="n">
        <f aca="false">IFERROR(($J237*U237)*$L237, "")</f>
        <v>0</v>
      </c>
      <c r="AI237" s="284" t="n">
        <f aca="false">IFERROR(($J237*V237)*$L237, "")</f>
        <v>0</v>
      </c>
      <c r="AJ237" s="284" t="n">
        <f aca="false">IFERROR(($J237*W237)*$L237, "")</f>
        <v>0</v>
      </c>
      <c r="AK237" s="284" t="n">
        <f aca="false">IFERROR(($J237*X237)*$L237, "")</f>
        <v>0</v>
      </c>
      <c r="AL237" s="284" t="n">
        <f aca="false">IFERROR(($J237*Y237)*$L237, "")</f>
        <v>0</v>
      </c>
      <c r="AM237" s="285" t="n">
        <f aca="false">IFERROR(($J237*Z237)*$L237, "")</f>
        <v>0</v>
      </c>
      <c r="AN237" s="286" t="n">
        <f aca="false">IFERROR(SUMIF($AB$4:$AM$4, "RDEC", AB237:AM237), "")</f>
        <v>0</v>
      </c>
      <c r="AO237" s="286" t="n">
        <f aca="false">IFERROR(SUMIF($AB$4:$AM$4, "SME", AB237:AM237), "")</f>
        <v>0</v>
      </c>
      <c r="AP237" s="286" t="n">
        <f aca="false">IFERROR(SUMIF($AB$4:$AM$4, "De Minimis", AB237:AM237), "")</f>
        <v>0</v>
      </c>
      <c r="AQ237" s="283"/>
      <c r="AR237" s="284" t="n">
        <f aca="false">IFERROR(($J237*O237)*$M237, "")</f>
        <v>0</v>
      </c>
      <c r="AS237" s="284" t="n">
        <f aca="false">IFERROR(($J237*P237)*$M237, "")</f>
        <v>0</v>
      </c>
      <c r="AT237" s="284" t="n">
        <f aca="false">IFERROR(($J237*Q237)*$M237, "")</f>
        <v>0</v>
      </c>
      <c r="AU237" s="284" t="n">
        <f aca="false">IFERROR(($J237*R237)*$M237, "")</f>
        <v>0</v>
      </c>
      <c r="AV237" s="284" t="n">
        <f aca="false">IFERROR(($J237*S237)*$M237, "")</f>
        <v>0</v>
      </c>
      <c r="AW237" s="284" t="n">
        <f aca="false">IFERROR(($J237*T237)*$M237, "")</f>
        <v>0</v>
      </c>
      <c r="AX237" s="284" t="n">
        <f aca="false">IFERROR(($J237*U237)*$M237, "")</f>
        <v>0</v>
      </c>
      <c r="AY237" s="284" t="n">
        <f aca="false">IFERROR(($J237*V237)*$M237, "")</f>
        <v>0</v>
      </c>
      <c r="AZ237" s="284" t="n">
        <f aca="false">IFERROR(($J237*W237)*$M237, "")</f>
        <v>0</v>
      </c>
      <c r="BA237" s="284" t="n">
        <f aca="false">IFERROR(($J237*X237)*$M237, "")</f>
        <v>0</v>
      </c>
      <c r="BB237" s="284" t="n">
        <f aca="false">IFERROR(($J237*Y237)*$M237, "")</f>
        <v>0</v>
      </c>
      <c r="BC237" s="285" t="n">
        <f aca="false">IFERROR(($J237*Z237)*$M237, "")</f>
        <v>0</v>
      </c>
      <c r="BD237" s="286" t="n">
        <f aca="false">IFERROR(SUMIF($AB$4:$AM$4, "RDEC", AR237:BC237), "")</f>
        <v>0</v>
      </c>
      <c r="BE237" s="286" t="n">
        <f aca="false">IFERROR(SUMIF($AB$4:$AM$4, "SME", AR237:BC237), "")</f>
        <v>0</v>
      </c>
      <c r="BF237" s="286" t="n">
        <f aca="false">IFERROR(SUMIF($AB$4:$AM$4, "De Minimis", AR237:BC237), "")</f>
        <v>0</v>
      </c>
      <c r="BG237" s="287"/>
      <c r="BH237" s="288" t="str">
        <f aca="false">IF((SUM(O237:Z237)&gt;1),"ERROR","")</f>
        <v/>
      </c>
      <c r="BI237" s="287"/>
      <c r="BJ237" s="18" t="str">
        <f aca="false">IF(C223&gt;0, C223, "")</f>
        <v/>
      </c>
      <c r="BL237" s="200"/>
      <c r="BM237" s="200"/>
      <c r="BN237" s="200"/>
    </row>
    <row r="238" customFormat="false" ht="15" hidden="false" customHeight="true" outlineLevel="0" collapsed="false">
      <c r="B238" s="275"/>
      <c r="D238" s="276" t="n">
        <f aca="false">D222</f>
        <v>45474</v>
      </c>
      <c r="E238" s="277" t="n">
        <v>0</v>
      </c>
      <c r="F238" s="277" t="n">
        <v>0</v>
      </c>
      <c r="G238" s="277" t="n">
        <v>0</v>
      </c>
      <c r="H238" s="277" t="n">
        <v>0</v>
      </c>
      <c r="I238" s="277" t="n">
        <v>0</v>
      </c>
      <c r="J238" s="278" t="n">
        <f aca="false">E238+H238+I238</f>
        <v>0</v>
      </c>
      <c r="K238" s="204"/>
      <c r="L238" s="279" t="n">
        <v>1</v>
      </c>
      <c r="M238" s="280" t="n">
        <f aca="false">1-L238</f>
        <v>0</v>
      </c>
      <c r="N238" s="281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83"/>
      <c r="AB238" s="284" t="n">
        <f aca="false">IFERROR(($J238*O238)*$L238, "")</f>
        <v>0</v>
      </c>
      <c r="AC238" s="284" t="n">
        <f aca="false">IFERROR(($J238*P238)*$L238, "")</f>
        <v>0</v>
      </c>
      <c r="AD238" s="284" t="n">
        <f aca="false">IFERROR(($J238*Q238)*$L238, "")</f>
        <v>0</v>
      </c>
      <c r="AE238" s="284" t="n">
        <f aca="false">IFERROR(($J238*R238)*$L238, "")</f>
        <v>0</v>
      </c>
      <c r="AF238" s="284" t="n">
        <f aca="false">IFERROR(($J238*S238)*$L238, "")</f>
        <v>0</v>
      </c>
      <c r="AG238" s="284" t="n">
        <f aca="false">IFERROR(($J238*T238)*$L238, "")</f>
        <v>0</v>
      </c>
      <c r="AH238" s="284" t="n">
        <f aca="false">IFERROR(($J238*U238)*$L238, "")</f>
        <v>0</v>
      </c>
      <c r="AI238" s="284" t="n">
        <f aca="false">IFERROR(($J238*V238)*$L238, "")</f>
        <v>0</v>
      </c>
      <c r="AJ238" s="284" t="n">
        <f aca="false">IFERROR(($J238*W238)*$L238, "")</f>
        <v>0</v>
      </c>
      <c r="AK238" s="284" t="n">
        <f aca="false">IFERROR(($J238*X238)*$L238, "")</f>
        <v>0</v>
      </c>
      <c r="AL238" s="284" t="n">
        <f aca="false">IFERROR(($J238*Y238)*$L238, "")</f>
        <v>0</v>
      </c>
      <c r="AM238" s="285" t="n">
        <f aca="false">IFERROR(($J238*Z238)*$L238, "")</f>
        <v>0</v>
      </c>
      <c r="AN238" s="286" t="n">
        <f aca="false">IFERROR(SUMIF($AB$4:$AM$4, "RDEC", AB238:AM238), "")</f>
        <v>0</v>
      </c>
      <c r="AO238" s="286" t="n">
        <f aca="false">IFERROR(SUMIF($AB$4:$AM$4, "SME", AB238:AM238), "")</f>
        <v>0</v>
      </c>
      <c r="AP238" s="286" t="n">
        <f aca="false">IFERROR(SUMIF($AB$4:$AM$4, "De Minimis", AB238:AM238), "")</f>
        <v>0</v>
      </c>
      <c r="AQ238" s="283"/>
      <c r="AR238" s="284" t="n">
        <f aca="false">IFERROR(($J238*O238)*$M238, "")</f>
        <v>0</v>
      </c>
      <c r="AS238" s="284" t="n">
        <f aca="false">IFERROR(($J238*P238)*$M238, "")</f>
        <v>0</v>
      </c>
      <c r="AT238" s="284" t="n">
        <f aca="false">IFERROR(($J238*Q238)*$M238, "")</f>
        <v>0</v>
      </c>
      <c r="AU238" s="284" t="n">
        <f aca="false">IFERROR(($J238*R238)*$M238, "")</f>
        <v>0</v>
      </c>
      <c r="AV238" s="284" t="n">
        <f aca="false">IFERROR(($J238*S238)*$M238, "")</f>
        <v>0</v>
      </c>
      <c r="AW238" s="284" t="n">
        <f aca="false">IFERROR(($J238*T238)*$M238, "")</f>
        <v>0</v>
      </c>
      <c r="AX238" s="284" t="n">
        <f aca="false">IFERROR(($J238*U238)*$M238, "")</f>
        <v>0</v>
      </c>
      <c r="AY238" s="284" t="n">
        <f aca="false">IFERROR(($J238*V238)*$M238, "")</f>
        <v>0</v>
      </c>
      <c r="AZ238" s="284" t="n">
        <f aca="false">IFERROR(($J238*W238)*$M238, "")</f>
        <v>0</v>
      </c>
      <c r="BA238" s="284" t="n">
        <f aca="false">IFERROR(($J238*X238)*$M238, "")</f>
        <v>0</v>
      </c>
      <c r="BB238" s="284" t="n">
        <f aca="false">IFERROR(($J238*Y238)*$M238, "")</f>
        <v>0</v>
      </c>
      <c r="BC238" s="285" t="n">
        <f aca="false">IFERROR(($J238*Z238)*$M238, "")</f>
        <v>0</v>
      </c>
      <c r="BD238" s="286" t="n">
        <f aca="false">IFERROR(SUMIF($AB$4:$AM$4, "RDEC", AR238:BC238), "")</f>
        <v>0</v>
      </c>
      <c r="BE238" s="286" t="n">
        <f aca="false">IFERROR(SUMIF($AB$4:$AM$4, "SME", AR238:BC238), "")</f>
        <v>0</v>
      </c>
      <c r="BF238" s="286" t="n">
        <f aca="false">IFERROR(SUMIF($AB$4:$AM$4, "De Minimis", AR238:BC238), "")</f>
        <v>0</v>
      </c>
      <c r="BG238" s="287"/>
      <c r="BH238" s="288" t="str">
        <f aca="false">IF((SUM(O238:Z238)&gt;1),"ERROR","")</f>
        <v/>
      </c>
      <c r="BI238" s="287"/>
      <c r="BJ238" s="18" t="str">
        <f aca="false">IF(C224&gt;0, C224, "")</f>
        <v/>
      </c>
      <c r="BL238" s="200"/>
      <c r="BM238" s="200"/>
      <c r="BN238" s="200"/>
    </row>
    <row r="239" customFormat="false" ht="15" hidden="false" customHeight="true" outlineLevel="0" collapsed="false">
      <c r="B239" s="275"/>
      <c r="D239" s="276" t="n">
        <f aca="false">D223</f>
        <v>45505</v>
      </c>
      <c r="E239" s="277" t="n">
        <v>0</v>
      </c>
      <c r="F239" s="277" t="n">
        <v>0</v>
      </c>
      <c r="G239" s="277" t="n">
        <v>0</v>
      </c>
      <c r="H239" s="277" t="n">
        <v>0</v>
      </c>
      <c r="I239" s="277" t="n">
        <v>0</v>
      </c>
      <c r="J239" s="278" t="n">
        <f aca="false">E239+H239+I239</f>
        <v>0</v>
      </c>
      <c r="K239" s="204"/>
      <c r="L239" s="279" t="n">
        <v>1</v>
      </c>
      <c r="M239" s="280" t="n">
        <f aca="false">1-L239</f>
        <v>0</v>
      </c>
      <c r="N239" s="281"/>
      <c r="O239" s="282"/>
      <c r="P239" s="282"/>
      <c r="Q239" s="282"/>
      <c r="R239" s="282"/>
      <c r="S239" s="282"/>
      <c r="T239" s="282"/>
      <c r="U239" s="282"/>
      <c r="V239" s="282"/>
      <c r="W239" s="282"/>
      <c r="X239" s="282"/>
      <c r="Y239" s="282"/>
      <c r="Z239" s="282"/>
      <c r="AA239" s="283"/>
      <c r="AB239" s="284" t="n">
        <f aca="false">IFERROR(($J239*O239)*$L239, "")</f>
        <v>0</v>
      </c>
      <c r="AC239" s="284" t="n">
        <f aca="false">IFERROR(($J239*P239)*$L239, "")</f>
        <v>0</v>
      </c>
      <c r="AD239" s="284" t="n">
        <f aca="false">IFERROR(($J239*Q239)*$L239, "")</f>
        <v>0</v>
      </c>
      <c r="AE239" s="284" t="n">
        <f aca="false">IFERROR(($J239*R239)*$L239, "")</f>
        <v>0</v>
      </c>
      <c r="AF239" s="284" t="n">
        <f aca="false">IFERROR(($J239*S239)*$L239, "")</f>
        <v>0</v>
      </c>
      <c r="AG239" s="284" t="n">
        <f aca="false">IFERROR(($J239*T239)*$L239, "")</f>
        <v>0</v>
      </c>
      <c r="AH239" s="284" t="n">
        <f aca="false">IFERROR(($J239*U239)*$L239, "")</f>
        <v>0</v>
      </c>
      <c r="AI239" s="284" t="n">
        <f aca="false">IFERROR(($J239*V239)*$L239, "")</f>
        <v>0</v>
      </c>
      <c r="AJ239" s="284" t="n">
        <f aca="false">IFERROR(($J239*W239)*$L239, "")</f>
        <v>0</v>
      </c>
      <c r="AK239" s="284" t="n">
        <f aca="false">IFERROR(($J239*X239)*$L239, "")</f>
        <v>0</v>
      </c>
      <c r="AL239" s="284" t="n">
        <f aca="false">IFERROR(($J239*Y239)*$L239, "")</f>
        <v>0</v>
      </c>
      <c r="AM239" s="285" t="n">
        <f aca="false">IFERROR(($J239*Z239)*$L239, "")</f>
        <v>0</v>
      </c>
      <c r="AN239" s="286" t="n">
        <f aca="false">IFERROR(SUMIF($AB$4:$AM$4, "RDEC", AB239:AM239), "")</f>
        <v>0</v>
      </c>
      <c r="AO239" s="286" t="n">
        <f aca="false">IFERROR(SUMIF($AB$4:$AM$4, "SME", AB239:AM239), "")</f>
        <v>0</v>
      </c>
      <c r="AP239" s="286" t="n">
        <f aca="false">IFERROR(SUMIF($AB$4:$AM$4, "De Minimis", AB239:AM239), "")</f>
        <v>0</v>
      </c>
      <c r="AQ239" s="283"/>
      <c r="AR239" s="284" t="n">
        <f aca="false">IFERROR(($J239*O239)*$M239, "")</f>
        <v>0</v>
      </c>
      <c r="AS239" s="284" t="n">
        <f aca="false">IFERROR(($J239*P239)*$M239, "")</f>
        <v>0</v>
      </c>
      <c r="AT239" s="284" t="n">
        <f aca="false">IFERROR(($J239*Q239)*$M239, "")</f>
        <v>0</v>
      </c>
      <c r="AU239" s="284" t="n">
        <f aca="false">IFERROR(($J239*R239)*$M239, "")</f>
        <v>0</v>
      </c>
      <c r="AV239" s="284" t="n">
        <f aca="false">IFERROR(($J239*S239)*$M239, "")</f>
        <v>0</v>
      </c>
      <c r="AW239" s="284" t="n">
        <f aca="false">IFERROR(($J239*T239)*$M239, "")</f>
        <v>0</v>
      </c>
      <c r="AX239" s="284" t="n">
        <f aca="false">IFERROR(($J239*U239)*$M239, "")</f>
        <v>0</v>
      </c>
      <c r="AY239" s="284" t="n">
        <f aca="false">IFERROR(($J239*V239)*$M239, "")</f>
        <v>0</v>
      </c>
      <c r="AZ239" s="284" t="n">
        <f aca="false">IFERROR(($J239*W239)*$M239, "")</f>
        <v>0</v>
      </c>
      <c r="BA239" s="284" t="n">
        <f aca="false">IFERROR(($J239*X239)*$M239, "")</f>
        <v>0</v>
      </c>
      <c r="BB239" s="284" t="n">
        <f aca="false">IFERROR(($J239*Y239)*$M239, "")</f>
        <v>0</v>
      </c>
      <c r="BC239" s="285" t="n">
        <f aca="false">IFERROR(($J239*Z239)*$M239, "")</f>
        <v>0</v>
      </c>
      <c r="BD239" s="286" t="n">
        <f aca="false">IFERROR(SUMIF($AB$4:$AM$4, "RDEC", AR239:BC239), "")</f>
        <v>0</v>
      </c>
      <c r="BE239" s="286" t="n">
        <f aca="false">IFERROR(SUMIF($AB$4:$AM$4, "SME", AR239:BC239), "")</f>
        <v>0</v>
      </c>
      <c r="BF239" s="286" t="n">
        <f aca="false">IFERROR(SUMIF($AB$4:$AM$4, "De Minimis", AR239:BC239), "")</f>
        <v>0</v>
      </c>
      <c r="BG239" s="287"/>
      <c r="BH239" s="288" t="str">
        <f aca="false">IF((SUM(O239:Z239)&gt;1),"ERROR","")</f>
        <v/>
      </c>
      <c r="BI239" s="287"/>
      <c r="BJ239" s="18" t="str">
        <f aca="false">IF(C225&gt;0, C225, "")</f>
        <v/>
      </c>
      <c r="BL239" s="200"/>
      <c r="BM239" s="200"/>
      <c r="BN239" s="200"/>
    </row>
    <row r="240" customFormat="false" ht="15" hidden="false" customHeight="true" outlineLevel="0" collapsed="false">
      <c r="B240" s="275"/>
      <c r="D240" s="276" t="n">
        <f aca="false">D224</f>
        <v>45536</v>
      </c>
      <c r="E240" s="277" t="n">
        <v>0</v>
      </c>
      <c r="F240" s="277" t="n">
        <v>0</v>
      </c>
      <c r="G240" s="277" t="n">
        <v>0</v>
      </c>
      <c r="H240" s="277" t="n">
        <v>0</v>
      </c>
      <c r="I240" s="277" t="n">
        <v>0</v>
      </c>
      <c r="J240" s="278" t="n">
        <f aca="false">E240+H240+I240</f>
        <v>0</v>
      </c>
      <c r="K240" s="204"/>
      <c r="L240" s="279" t="n">
        <v>1</v>
      </c>
      <c r="M240" s="280" t="n">
        <f aca="false">1-L240</f>
        <v>0</v>
      </c>
      <c r="N240" s="281"/>
      <c r="O240" s="282"/>
      <c r="P240" s="282"/>
      <c r="Q240" s="282"/>
      <c r="R240" s="282"/>
      <c r="S240" s="282"/>
      <c r="T240" s="282"/>
      <c r="U240" s="282"/>
      <c r="V240" s="282"/>
      <c r="W240" s="282"/>
      <c r="X240" s="282"/>
      <c r="Y240" s="282"/>
      <c r="Z240" s="282"/>
      <c r="AA240" s="283"/>
      <c r="AB240" s="284" t="n">
        <f aca="false">IFERROR(($J240*O240)*$L240, "")</f>
        <v>0</v>
      </c>
      <c r="AC240" s="284" t="n">
        <f aca="false">IFERROR(($J240*P240)*$L240, "")</f>
        <v>0</v>
      </c>
      <c r="AD240" s="284" t="n">
        <f aca="false">IFERROR(($J240*Q240)*$L240, "")</f>
        <v>0</v>
      </c>
      <c r="AE240" s="284" t="n">
        <f aca="false">IFERROR(($J240*R240)*$L240, "")</f>
        <v>0</v>
      </c>
      <c r="AF240" s="284" t="n">
        <f aca="false">IFERROR(($J240*S240)*$L240, "")</f>
        <v>0</v>
      </c>
      <c r="AG240" s="284" t="n">
        <f aca="false">IFERROR(($J240*T240)*$L240, "")</f>
        <v>0</v>
      </c>
      <c r="AH240" s="284" t="n">
        <f aca="false">IFERROR(($J240*U240)*$L240, "")</f>
        <v>0</v>
      </c>
      <c r="AI240" s="284" t="n">
        <f aca="false">IFERROR(($J240*V240)*$L240, "")</f>
        <v>0</v>
      </c>
      <c r="AJ240" s="284" t="n">
        <f aca="false">IFERROR(($J240*W240)*$L240, "")</f>
        <v>0</v>
      </c>
      <c r="AK240" s="284" t="n">
        <f aca="false">IFERROR(($J240*X240)*$L240, "")</f>
        <v>0</v>
      </c>
      <c r="AL240" s="284" t="n">
        <f aca="false">IFERROR(($J240*Y240)*$L240, "")</f>
        <v>0</v>
      </c>
      <c r="AM240" s="285" t="n">
        <f aca="false">IFERROR(($J240*Z240)*$L240, "")</f>
        <v>0</v>
      </c>
      <c r="AN240" s="286" t="n">
        <f aca="false">IFERROR(SUMIF($AB$4:$AM$4, "RDEC", AB240:AM240), "")</f>
        <v>0</v>
      </c>
      <c r="AO240" s="286" t="n">
        <f aca="false">IFERROR(SUMIF($AB$4:$AM$4, "SME", AB240:AM240), "")</f>
        <v>0</v>
      </c>
      <c r="AP240" s="286" t="n">
        <f aca="false">IFERROR(SUMIF($AB$4:$AM$4, "De Minimis", AB240:AM240), "")</f>
        <v>0</v>
      </c>
      <c r="AQ240" s="283"/>
      <c r="AR240" s="284" t="n">
        <f aca="false">IFERROR(($J240*O240)*$M240, "")</f>
        <v>0</v>
      </c>
      <c r="AS240" s="284" t="n">
        <f aca="false">IFERROR(($J240*P240)*$M240, "")</f>
        <v>0</v>
      </c>
      <c r="AT240" s="284" t="n">
        <f aca="false">IFERROR(($J240*Q240)*$M240, "")</f>
        <v>0</v>
      </c>
      <c r="AU240" s="284" t="n">
        <f aca="false">IFERROR(($J240*R240)*$M240, "")</f>
        <v>0</v>
      </c>
      <c r="AV240" s="284" t="n">
        <f aca="false">IFERROR(($J240*S240)*$M240, "")</f>
        <v>0</v>
      </c>
      <c r="AW240" s="284" t="n">
        <f aca="false">IFERROR(($J240*T240)*$M240, "")</f>
        <v>0</v>
      </c>
      <c r="AX240" s="284" t="n">
        <f aca="false">IFERROR(($J240*U240)*$M240, "")</f>
        <v>0</v>
      </c>
      <c r="AY240" s="284" t="n">
        <f aca="false">IFERROR(($J240*V240)*$M240, "")</f>
        <v>0</v>
      </c>
      <c r="AZ240" s="284" t="n">
        <f aca="false">IFERROR(($J240*W240)*$M240, "")</f>
        <v>0</v>
      </c>
      <c r="BA240" s="284" t="n">
        <f aca="false">IFERROR(($J240*X240)*$M240, "")</f>
        <v>0</v>
      </c>
      <c r="BB240" s="284" t="n">
        <f aca="false">IFERROR(($J240*Y240)*$M240, "")</f>
        <v>0</v>
      </c>
      <c r="BC240" s="285" t="n">
        <f aca="false">IFERROR(($J240*Z240)*$M240, "")</f>
        <v>0</v>
      </c>
      <c r="BD240" s="286" t="n">
        <f aca="false">IFERROR(SUMIF($AB$4:$AM$4, "RDEC", AR240:BC240), "")</f>
        <v>0</v>
      </c>
      <c r="BE240" s="286" t="n">
        <f aca="false">IFERROR(SUMIF($AB$4:$AM$4, "SME", AR240:BC240), "")</f>
        <v>0</v>
      </c>
      <c r="BF240" s="286" t="n">
        <f aca="false">IFERROR(SUMIF($AB$4:$AM$4, "De Minimis", AR240:BC240), "")</f>
        <v>0</v>
      </c>
      <c r="BG240" s="287"/>
      <c r="BH240" s="288" t="str">
        <f aca="false">IF((SUM(O240:Z240)&gt;1),"ERROR","")</f>
        <v/>
      </c>
      <c r="BI240" s="287"/>
      <c r="BJ240" s="18" t="str">
        <f aca="false">IF(C226&gt;0, C226, "")</f>
        <v/>
      </c>
      <c r="BL240" s="200"/>
      <c r="BM240" s="200"/>
      <c r="BN240" s="200"/>
    </row>
    <row r="241" customFormat="false" ht="15" hidden="false" customHeight="true" outlineLevel="0" collapsed="false">
      <c r="B241" s="275"/>
      <c r="D241" s="276" t="n">
        <f aca="false">D225</f>
        <v>45566</v>
      </c>
      <c r="E241" s="277" t="n">
        <v>0</v>
      </c>
      <c r="F241" s="277" t="n">
        <v>0</v>
      </c>
      <c r="G241" s="277" t="n">
        <v>0</v>
      </c>
      <c r="H241" s="277" t="n">
        <v>0</v>
      </c>
      <c r="I241" s="277" t="n">
        <v>0</v>
      </c>
      <c r="J241" s="278" t="n">
        <f aca="false">E241+H241+I241</f>
        <v>0</v>
      </c>
      <c r="K241" s="204"/>
      <c r="L241" s="279" t="n">
        <v>1</v>
      </c>
      <c r="M241" s="280" t="n">
        <f aca="false">1-L241</f>
        <v>0</v>
      </c>
      <c r="N241" s="281"/>
      <c r="O241" s="282"/>
      <c r="P241" s="282"/>
      <c r="Q241" s="282"/>
      <c r="R241" s="282"/>
      <c r="S241" s="282"/>
      <c r="T241" s="282"/>
      <c r="U241" s="282"/>
      <c r="V241" s="282"/>
      <c r="W241" s="282"/>
      <c r="X241" s="282"/>
      <c r="Y241" s="282"/>
      <c r="Z241" s="282"/>
      <c r="AA241" s="283"/>
      <c r="AB241" s="284" t="n">
        <f aca="false">IFERROR(($J241*O241)*$L241, "")</f>
        <v>0</v>
      </c>
      <c r="AC241" s="284" t="n">
        <f aca="false">IFERROR(($J241*P241)*$L241, "")</f>
        <v>0</v>
      </c>
      <c r="AD241" s="284" t="n">
        <f aca="false">IFERROR(($J241*Q241)*$L241, "")</f>
        <v>0</v>
      </c>
      <c r="AE241" s="284" t="n">
        <f aca="false">IFERROR(($J241*R241)*$L241, "")</f>
        <v>0</v>
      </c>
      <c r="AF241" s="284" t="n">
        <f aca="false">IFERROR(($J241*S241)*$L241, "")</f>
        <v>0</v>
      </c>
      <c r="AG241" s="284" t="n">
        <f aca="false">IFERROR(($J241*T241)*$L241, "")</f>
        <v>0</v>
      </c>
      <c r="AH241" s="284" t="n">
        <f aca="false">IFERROR(($J241*U241)*$L241, "")</f>
        <v>0</v>
      </c>
      <c r="AI241" s="284" t="n">
        <f aca="false">IFERROR(($J241*V241)*$L241, "")</f>
        <v>0</v>
      </c>
      <c r="AJ241" s="284" t="n">
        <f aca="false">IFERROR(($J241*W241)*$L241, "")</f>
        <v>0</v>
      </c>
      <c r="AK241" s="284" t="n">
        <f aca="false">IFERROR(($J241*X241)*$L241, "")</f>
        <v>0</v>
      </c>
      <c r="AL241" s="284" t="n">
        <f aca="false">IFERROR(($J241*Y241)*$L241, "")</f>
        <v>0</v>
      </c>
      <c r="AM241" s="285" t="n">
        <f aca="false">IFERROR(($J241*Z241)*$L241, "")</f>
        <v>0</v>
      </c>
      <c r="AN241" s="286" t="n">
        <f aca="false">IFERROR(SUMIF($AB$4:$AM$4, "RDEC", AB241:AM241), "")</f>
        <v>0</v>
      </c>
      <c r="AO241" s="286" t="n">
        <f aca="false">IFERROR(SUMIF($AB$4:$AM$4, "SME", AB241:AM241), "")</f>
        <v>0</v>
      </c>
      <c r="AP241" s="286" t="n">
        <f aca="false">IFERROR(SUMIF($AB$4:$AM$4, "De Minimis", AB241:AM241), "")</f>
        <v>0</v>
      </c>
      <c r="AQ241" s="283"/>
      <c r="AR241" s="284" t="n">
        <f aca="false">IFERROR(($J241*O241)*$M241, "")</f>
        <v>0</v>
      </c>
      <c r="AS241" s="284" t="n">
        <f aca="false">IFERROR(($J241*P241)*$M241, "")</f>
        <v>0</v>
      </c>
      <c r="AT241" s="284" t="n">
        <f aca="false">IFERROR(($J241*Q241)*$M241, "")</f>
        <v>0</v>
      </c>
      <c r="AU241" s="284" t="n">
        <f aca="false">IFERROR(($J241*R241)*$M241, "")</f>
        <v>0</v>
      </c>
      <c r="AV241" s="284" t="n">
        <f aca="false">IFERROR(($J241*S241)*$M241, "")</f>
        <v>0</v>
      </c>
      <c r="AW241" s="284" t="n">
        <f aca="false">IFERROR(($J241*T241)*$M241, "")</f>
        <v>0</v>
      </c>
      <c r="AX241" s="284" t="n">
        <f aca="false">IFERROR(($J241*U241)*$M241, "")</f>
        <v>0</v>
      </c>
      <c r="AY241" s="284" t="n">
        <f aca="false">IFERROR(($J241*V241)*$M241, "")</f>
        <v>0</v>
      </c>
      <c r="AZ241" s="284" t="n">
        <f aca="false">IFERROR(($J241*W241)*$M241, "")</f>
        <v>0</v>
      </c>
      <c r="BA241" s="284" t="n">
        <f aca="false">IFERROR(($J241*X241)*$M241, "")</f>
        <v>0</v>
      </c>
      <c r="BB241" s="284" t="n">
        <f aca="false">IFERROR(($J241*Y241)*$M241, "")</f>
        <v>0</v>
      </c>
      <c r="BC241" s="285" t="n">
        <f aca="false">IFERROR(($J241*Z241)*$M241, "")</f>
        <v>0</v>
      </c>
      <c r="BD241" s="286" t="n">
        <f aca="false">IFERROR(SUMIF($AB$4:$AM$4, "RDEC", AR241:BC241), "")</f>
        <v>0</v>
      </c>
      <c r="BE241" s="286" t="n">
        <f aca="false">IFERROR(SUMIF($AB$4:$AM$4, "SME", AR241:BC241), "")</f>
        <v>0</v>
      </c>
      <c r="BF241" s="286" t="n">
        <f aca="false">IFERROR(SUMIF($AB$4:$AM$4, "De Minimis", AR241:BC241), "")</f>
        <v>0</v>
      </c>
      <c r="BG241" s="287"/>
      <c r="BH241" s="288" t="str">
        <f aca="false">IF((SUM(O241:Z241)&gt;1),"ERROR","")</f>
        <v/>
      </c>
      <c r="BI241" s="287"/>
      <c r="BJ241" s="18" t="str">
        <f aca="false">IF(C227&gt;0, C227, "")</f>
        <v/>
      </c>
      <c r="BL241" s="200"/>
      <c r="BM241" s="200"/>
      <c r="BN241" s="200"/>
    </row>
    <row r="242" customFormat="false" ht="15" hidden="false" customHeight="true" outlineLevel="0" collapsed="false">
      <c r="B242" s="275"/>
      <c r="D242" s="276" t="n">
        <f aca="false">D226</f>
        <v>45597</v>
      </c>
      <c r="E242" s="277" t="n">
        <v>0</v>
      </c>
      <c r="F242" s="277" t="n">
        <v>0</v>
      </c>
      <c r="G242" s="277" t="n">
        <v>0</v>
      </c>
      <c r="H242" s="277" t="n">
        <v>0</v>
      </c>
      <c r="I242" s="277" t="n">
        <v>0</v>
      </c>
      <c r="J242" s="278" t="n">
        <f aca="false">E242+H242+I242</f>
        <v>0</v>
      </c>
      <c r="K242" s="204"/>
      <c r="L242" s="279" t="n">
        <v>1</v>
      </c>
      <c r="M242" s="280" t="n">
        <f aca="false">1-L242</f>
        <v>0</v>
      </c>
      <c r="N242" s="281"/>
      <c r="O242" s="282"/>
      <c r="P242" s="282"/>
      <c r="Q242" s="282"/>
      <c r="R242" s="282"/>
      <c r="S242" s="282"/>
      <c r="T242" s="282"/>
      <c r="U242" s="282"/>
      <c r="V242" s="282"/>
      <c r="W242" s="282"/>
      <c r="X242" s="282"/>
      <c r="Y242" s="282"/>
      <c r="Z242" s="282"/>
      <c r="AA242" s="283"/>
      <c r="AB242" s="284" t="n">
        <f aca="false">IFERROR(($J242*O242)*$L242, "")</f>
        <v>0</v>
      </c>
      <c r="AC242" s="284" t="n">
        <f aca="false">IFERROR(($J242*P242)*$L242, "")</f>
        <v>0</v>
      </c>
      <c r="AD242" s="284" t="n">
        <f aca="false">IFERROR(($J242*Q242)*$L242, "")</f>
        <v>0</v>
      </c>
      <c r="AE242" s="284" t="n">
        <f aca="false">IFERROR(($J242*R242)*$L242, "")</f>
        <v>0</v>
      </c>
      <c r="AF242" s="284" t="n">
        <f aca="false">IFERROR(($J242*S242)*$L242, "")</f>
        <v>0</v>
      </c>
      <c r="AG242" s="284" t="n">
        <f aca="false">IFERROR(($J242*T242)*$L242, "")</f>
        <v>0</v>
      </c>
      <c r="AH242" s="284" t="n">
        <f aca="false">IFERROR(($J242*U242)*$L242, "")</f>
        <v>0</v>
      </c>
      <c r="AI242" s="284" t="n">
        <f aca="false">IFERROR(($J242*V242)*$L242, "")</f>
        <v>0</v>
      </c>
      <c r="AJ242" s="284" t="n">
        <f aca="false">IFERROR(($J242*W242)*$L242, "")</f>
        <v>0</v>
      </c>
      <c r="AK242" s="284" t="n">
        <f aca="false">IFERROR(($J242*X242)*$L242, "")</f>
        <v>0</v>
      </c>
      <c r="AL242" s="284" t="n">
        <f aca="false">IFERROR(($J242*Y242)*$L242, "")</f>
        <v>0</v>
      </c>
      <c r="AM242" s="285" t="n">
        <f aca="false">IFERROR(($J242*Z242)*$L242, "")</f>
        <v>0</v>
      </c>
      <c r="AN242" s="286" t="n">
        <f aca="false">IFERROR(SUMIF($AB$4:$AM$4, "RDEC", AB242:AM242), "")</f>
        <v>0</v>
      </c>
      <c r="AO242" s="286" t="n">
        <f aca="false">IFERROR(SUMIF($AB$4:$AM$4, "SME", AB242:AM242), "")</f>
        <v>0</v>
      </c>
      <c r="AP242" s="286" t="n">
        <f aca="false">IFERROR(SUMIF($AB$4:$AM$4, "De Minimis", AB242:AM242), "")</f>
        <v>0</v>
      </c>
      <c r="AQ242" s="283"/>
      <c r="AR242" s="284" t="n">
        <f aca="false">IFERROR(($J242*O242)*$M242, "")</f>
        <v>0</v>
      </c>
      <c r="AS242" s="284" t="n">
        <f aca="false">IFERROR(($J242*P242)*$M242, "")</f>
        <v>0</v>
      </c>
      <c r="AT242" s="284" t="n">
        <f aca="false">IFERROR(($J242*Q242)*$M242, "")</f>
        <v>0</v>
      </c>
      <c r="AU242" s="284" t="n">
        <f aca="false">IFERROR(($J242*R242)*$M242, "")</f>
        <v>0</v>
      </c>
      <c r="AV242" s="284" t="n">
        <f aca="false">IFERROR(($J242*S242)*$M242, "")</f>
        <v>0</v>
      </c>
      <c r="AW242" s="284" t="n">
        <f aca="false">IFERROR(($J242*T242)*$M242, "")</f>
        <v>0</v>
      </c>
      <c r="AX242" s="284" t="n">
        <f aca="false">IFERROR(($J242*U242)*$M242, "")</f>
        <v>0</v>
      </c>
      <c r="AY242" s="284" t="n">
        <f aca="false">IFERROR(($J242*V242)*$M242, "")</f>
        <v>0</v>
      </c>
      <c r="AZ242" s="284" t="n">
        <f aca="false">IFERROR(($J242*W242)*$M242, "")</f>
        <v>0</v>
      </c>
      <c r="BA242" s="284" t="n">
        <f aca="false">IFERROR(($J242*X242)*$M242, "")</f>
        <v>0</v>
      </c>
      <c r="BB242" s="284" t="n">
        <f aca="false">IFERROR(($J242*Y242)*$M242, "")</f>
        <v>0</v>
      </c>
      <c r="BC242" s="285" t="n">
        <f aca="false">IFERROR(($J242*Z242)*$M242, "")</f>
        <v>0</v>
      </c>
      <c r="BD242" s="286" t="n">
        <f aca="false">IFERROR(SUMIF($AB$4:$AM$4, "RDEC", AR242:BC242), "")</f>
        <v>0</v>
      </c>
      <c r="BE242" s="286" t="n">
        <f aca="false">IFERROR(SUMIF($AB$4:$AM$4, "SME", AR242:BC242), "")</f>
        <v>0</v>
      </c>
      <c r="BF242" s="286" t="n">
        <f aca="false">IFERROR(SUMIF($AB$4:$AM$4, "De Minimis", AR242:BC242), "")</f>
        <v>0</v>
      </c>
      <c r="BG242" s="287"/>
      <c r="BH242" s="288" t="str">
        <f aca="false">IF((SUM(O242:Z242)&gt;1),"ERROR","")</f>
        <v/>
      </c>
      <c r="BI242" s="287"/>
      <c r="BJ242" s="18" t="str">
        <f aca="false">IF(C228&gt;0, C228, "")</f>
        <v/>
      </c>
      <c r="BL242" s="200"/>
      <c r="BM242" s="200"/>
      <c r="BN242" s="200"/>
    </row>
    <row r="243" customFormat="false" ht="15" hidden="false" customHeight="true" outlineLevel="0" collapsed="false">
      <c r="B243" s="275"/>
      <c r="D243" s="276" t="n">
        <f aca="false">D227</f>
        <v>45627</v>
      </c>
      <c r="E243" s="277" t="n">
        <v>0</v>
      </c>
      <c r="F243" s="277" t="n">
        <v>0</v>
      </c>
      <c r="G243" s="277" t="n">
        <v>0</v>
      </c>
      <c r="H243" s="277" t="n">
        <v>0</v>
      </c>
      <c r="I243" s="277" t="n">
        <v>0</v>
      </c>
      <c r="J243" s="278" t="n">
        <f aca="false">E243+H243+I243</f>
        <v>0</v>
      </c>
      <c r="K243" s="204"/>
      <c r="L243" s="289" t="n">
        <v>1</v>
      </c>
      <c r="M243" s="290" t="n">
        <f aca="false">1-L243</f>
        <v>0</v>
      </c>
      <c r="N243" s="281"/>
      <c r="O243" s="291"/>
      <c r="P243" s="291"/>
      <c r="Q243" s="291"/>
      <c r="R243" s="291"/>
      <c r="S243" s="291"/>
      <c r="T243" s="291"/>
      <c r="U243" s="291"/>
      <c r="V243" s="291"/>
      <c r="W243" s="291"/>
      <c r="X243" s="291"/>
      <c r="Y243" s="291"/>
      <c r="Z243" s="291"/>
      <c r="AA243" s="283"/>
      <c r="AB243" s="292" t="n">
        <f aca="false">IFERROR(($J243*O243)*$L243, "")</f>
        <v>0</v>
      </c>
      <c r="AC243" s="292" t="n">
        <f aca="false">IFERROR(($J243*P243)*$L243, "")</f>
        <v>0</v>
      </c>
      <c r="AD243" s="292" t="n">
        <f aca="false">IFERROR(($J243*Q243)*$L243, "")</f>
        <v>0</v>
      </c>
      <c r="AE243" s="292" t="n">
        <f aca="false">IFERROR(($J243*R243)*$L243, "")</f>
        <v>0</v>
      </c>
      <c r="AF243" s="292" t="n">
        <f aca="false">IFERROR(($J243*S243)*$L243, "")</f>
        <v>0</v>
      </c>
      <c r="AG243" s="292" t="n">
        <f aca="false">IFERROR(($J243*T243)*$L243, "")</f>
        <v>0</v>
      </c>
      <c r="AH243" s="292" t="n">
        <f aca="false">IFERROR(($J243*U243)*$L243, "")</f>
        <v>0</v>
      </c>
      <c r="AI243" s="292" t="n">
        <f aca="false">IFERROR(($J243*V243)*$L243, "")</f>
        <v>0</v>
      </c>
      <c r="AJ243" s="292" t="n">
        <f aca="false">IFERROR(($J243*W243)*$L243, "")</f>
        <v>0</v>
      </c>
      <c r="AK243" s="292" t="n">
        <f aca="false">IFERROR(($J243*X243)*$L243, "")</f>
        <v>0</v>
      </c>
      <c r="AL243" s="292" t="n">
        <f aca="false">IFERROR(($J243*Y243)*$L243, "")</f>
        <v>0</v>
      </c>
      <c r="AM243" s="293" t="n">
        <f aca="false">IFERROR(($J243*Z243)*$L243, "")</f>
        <v>0</v>
      </c>
      <c r="AN243" s="294" t="n">
        <f aca="false">IFERROR(SUMIF($AB$4:$AM$4, "RDEC", AB243:AM243), "")</f>
        <v>0</v>
      </c>
      <c r="AO243" s="294" t="n">
        <f aca="false">IFERROR(SUMIF($AB$4:$AM$4, "SME", AB243:AM243), "")</f>
        <v>0</v>
      </c>
      <c r="AP243" s="294" t="n">
        <f aca="false">IFERROR(SUMIF($AB$4:$AM$4, "De Minimis", AB243:AM243), "")</f>
        <v>0</v>
      </c>
      <c r="AQ243" s="283"/>
      <c r="AR243" s="292" t="n">
        <f aca="false">IFERROR(($J243*O243)*$M243, "")</f>
        <v>0</v>
      </c>
      <c r="AS243" s="292" t="n">
        <f aca="false">IFERROR(($J243*P243)*$M243, "")</f>
        <v>0</v>
      </c>
      <c r="AT243" s="292" t="n">
        <f aca="false">IFERROR(($J243*Q243)*$M243, "")</f>
        <v>0</v>
      </c>
      <c r="AU243" s="292" t="n">
        <f aca="false">IFERROR(($J243*R243)*$M243, "")</f>
        <v>0</v>
      </c>
      <c r="AV243" s="292" t="n">
        <f aca="false">IFERROR(($J243*S243)*$M243, "")</f>
        <v>0</v>
      </c>
      <c r="AW243" s="292" t="n">
        <f aca="false">IFERROR(($J243*T243)*$M243, "")</f>
        <v>0</v>
      </c>
      <c r="AX243" s="292" t="n">
        <f aca="false">IFERROR(($J243*U243)*$M243, "")</f>
        <v>0</v>
      </c>
      <c r="AY243" s="292" t="n">
        <f aca="false">IFERROR(($J243*V243)*$M243, "")</f>
        <v>0</v>
      </c>
      <c r="AZ243" s="292" t="n">
        <f aca="false">IFERROR(($J243*W243)*$M243, "")</f>
        <v>0</v>
      </c>
      <c r="BA243" s="292" t="n">
        <f aca="false">IFERROR(($J243*X243)*$M243, "")</f>
        <v>0</v>
      </c>
      <c r="BB243" s="292" t="n">
        <f aca="false">IFERROR(($J243*Y243)*$M243, "")</f>
        <v>0</v>
      </c>
      <c r="BC243" s="293" t="n">
        <f aca="false">IFERROR(($J243*Z243)*$M243, "")</f>
        <v>0</v>
      </c>
      <c r="BD243" s="294" t="n">
        <f aca="false">IFERROR(SUMIF($AB$4:$AM$4, "RDEC", AR243:BC243), "")</f>
        <v>0</v>
      </c>
      <c r="BE243" s="294" t="n">
        <f aca="false">IFERROR(SUMIF($AB$4:$AM$4, "SME", AR243:BC243), "")</f>
        <v>0</v>
      </c>
      <c r="BF243" s="294" t="n">
        <f aca="false">IFERROR(SUMIF($AB$4:$AM$4, "De Minimis", AR243:BC243), "")</f>
        <v>0</v>
      </c>
      <c r="BG243" s="287"/>
      <c r="BH243" s="295" t="str">
        <f aca="false">IF((SUM(O243:Z243)&gt;1),"ERROR","")</f>
        <v/>
      </c>
      <c r="BI243" s="287"/>
      <c r="BJ243" s="18" t="str">
        <f aca="false">IF(C229&gt;0, C229, "")</f>
        <v/>
      </c>
      <c r="BL243" s="200"/>
      <c r="BM243" s="200"/>
      <c r="BN243" s="200"/>
    </row>
    <row r="244" customFormat="false" ht="15" hidden="false" customHeight="true" outlineLevel="0" collapsed="false">
      <c r="B244" s="296"/>
      <c r="D244" s="297" t="s">
        <v>82</v>
      </c>
      <c r="E244" s="298" t="n">
        <f aca="false">SUM(E232:E243)</f>
        <v>0</v>
      </c>
      <c r="F244" s="298" t="n">
        <f aca="false">SUM(F232:F243)</f>
        <v>0</v>
      </c>
      <c r="G244" s="298" t="n">
        <f aca="false">SUM(G232:G243)</f>
        <v>0</v>
      </c>
      <c r="H244" s="298" t="n">
        <f aca="false">SUM(H232:H243)</f>
        <v>0</v>
      </c>
      <c r="I244" s="298" t="n">
        <f aca="false">SUM(I232:I243)</f>
        <v>0</v>
      </c>
      <c r="J244" s="299" t="n">
        <f aca="false">SUM(J232:J243)</f>
        <v>0</v>
      </c>
      <c r="K244" s="300"/>
      <c r="L244" s="301" t="n">
        <f aca="false">AVERAGE(L232:L243)</f>
        <v>1</v>
      </c>
      <c r="M244" s="301" t="n">
        <f aca="false">AVERAGE(M232:M243)</f>
        <v>0</v>
      </c>
      <c r="N244" s="302"/>
      <c r="O244" s="290" t="n">
        <f aca="false">IF(SUM(O232:O243)&gt;0,((AB244+AR244)/J244),0)</f>
        <v>0</v>
      </c>
      <c r="P244" s="290" t="n">
        <f aca="false">IF(SUM(P232:P243)&gt;0,((AC244+AS244)/J244),0)</f>
        <v>0</v>
      </c>
      <c r="Q244" s="290" t="n">
        <f aca="false">IF(SUM(Q232:Q243)&gt;0,((AD244+AT244)/J244),0)</f>
        <v>0</v>
      </c>
      <c r="R244" s="290" t="n">
        <f aca="false">IF(SUM(R232:R243)&gt;0,((AE244+AU244)/J244),0)</f>
        <v>0</v>
      </c>
      <c r="S244" s="290" t="n">
        <f aca="false">IF(SUM(S232:S243)&gt;0,((AF244+AV244)/J244),0)</f>
        <v>0</v>
      </c>
      <c r="T244" s="290" t="n">
        <f aca="false">IF(SUM(T232:T243)&gt;0,((AG244+AW244)/J244),0)</f>
        <v>0</v>
      </c>
      <c r="U244" s="290" t="n">
        <f aca="false">IF(SUM(U232:U243)&gt;0,((AH244+AX244)/J244),0)</f>
        <v>0</v>
      </c>
      <c r="V244" s="290" t="n">
        <f aca="false">IF(SUM(V232:V243)&gt;0,((AI244+AY244)/J244),0)</f>
        <v>0</v>
      </c>
      <c r="W244" s="290" t="n">
        <f aca="false">IF(SUM(W232:W243)&gt;0,((AJ244+AZ244)/J244),0)</f>
        <v>0</v>
      </c>
      <c r="X244" s="290" t="n">
        <f aca="false">IF(SUM(X232:X243)&gt;0,((AK244+BA244)/J244),0)</f>
        <v>0</v>
      </c>
      <c r="Y244" s="290" t="n">
        <f aca="false">IF(SUM(Y232:Y243)&gt;0,((AL244+BB244)/J244),0)</f>
        <v>0</v>
      </c>
      <c r="Z244" s="290" t="n">
        <f aca="false">IF(SUM(Z232:Z243)&gt;0,((AM244+BC244)/J244),0)</f>
        <v>0</v>
      </c>
      <c r="AA244" s="303"/>
      <c r="AB244" s="292" t="n">
        <f aca="false">SUM(AB232:AB243)</f>
        <v>0</v>
      </c>
      <c r="AC244" s="304" t="n">
        <f aca="false">SUM(AC232:AC243)</f>
        <v>0</v>
      </c>
      <c r="AD244" s="304" t="n">
        <f aca="false">SUM(AD232:AD243)</f>
        <v>0</v>
      </c>
      <c r="AE244" s="304" t="n">
        <f aca="false">SUM(AE232:AE243)</f>
        <v>0</v>
      </c>
      <c r="AF244" s="304" t="n">
        <f aca="false">SUM(AF232:AF243)</f>
        <v>0</v>
      </c>
      <c r="AG244" s="304" t="n">
        <f aca="false">SUM(AG232:AG243)</f>
        <v>0</v>
      </c>
      <c r="AH244" s="304" t="n">
        <f aca="false">SUM(AH232:AH243)</f>
        <v>0</v>
      </c>
      <c r="AI244" s="304" t="n">
        <f aca="false">SUM(AI232:AI243)</f>
        <v>0</v>
      </c>
      <c r="AJ244" s="304" t="n">
        <f aca="false">SUM(AJ232:AJ243)</f>
        <v>0</v>
      </c>
      <c r="AK244" s="304" t="n">
        <f aca="false">SUM(AK232:AK243)</f>
        <v>0</v>
      </c>
      <c r="AL244" s="304" t="n">
        <f aca="false">SUM(AL232:AL243)</f>
        <v>0</v>
      </c>
      <c r="AM244" s="304" t="n">
        <f aca="false">SUM(AM232:AM243)</f>
        <v>0</v>
      </c>
      <c r="AN244" s="305" t="n">
        <f aca="false">SUM(AN232:AN243)</f>
        <v>0</v>
      </c>
      <c r="AO244" s="305" t="n">
        <f aca="false">SUM(AO232:AO243)</f>
        <v>0</v>
      </c>
      <c r="AP244" s="305" t="n">
        <f aca="false">SUM(AP232:AP243)</f>
        <v>0</v>
      </c>
      <c r="AQ244" s="303"/>
      <c r="AR244" s="292" t="n">
        <f aca="false">SUM(AR232:AR243)</f>
        <v>0</v>
      </c>
      <c r="AS244" s="304" t="n">
        <f aca="false">SUM(AS232:AS243)</f>
        <v>0</v>
      </c>
      <c r="AT244" s="304" t="n">
        <f aca="false">SUM(AT232:AT243)</f>
        <v>0</v>
      </c>
      <c r="AU244" s="304" t="n">
        <f aca="false">SUM(AU232:AU243)</f>
        <v>0</v>
      </c>
      <c r="AV244" s="304" t="n">
        <f aca="false">SUM(AV232:AV243)</f>
        <v>0</v>
      </c>
      <c r="AW244" s="304" t="n">
        <f aca="false">SUM(AW232:AW243)</f>
        <v>0</v>
      </c>
      <c r="AX244" s="304" t="n">
        <f aca="false">SUM(AX232:AX243)</f>
        <v>0</v>
      </c>
      <c r="AY244" s="304" t="n">
        <f aca="false">SUM(AY232:AY243)</f>
        <v>0</v>
      </c>
      <c r="AZ244" s="304" t="n">
        <f aca="false">SUM(AZ232:AZ243)</f>
        <v>0</v>
      </c>
      <c r="BA244" s="304" t="n">
        <f aca="false">SUM(BA232:BA243)</f>
        <v>0</v>
      </c>
      <c r="BB244" s="304" t="n">
        <f aca="false">SUM(BB232:BB243)</f>
        <v>0</v>
      </c>
      <c r="BC244" s="304" t="n">
        <f aca="false">SUM(BC232:BC243)</f>
        <v>0</v>
      </c>
      <c r="BD244" s="305" t="n">
        <f aca="false">SUM(BD232:BD243)</f>
        <v>0</v>
      </c>
      <c r="BE244" s="305" t="n">
        <f aca="false">SUM(BE232:BE243)</f>
        <v>0</v>
      </c>
      <c r="BF244" s="305" t="n">
        <f aca="false">SUM(BF232:BF243)</f>
        <v>0</v>
      </c>
      <c r="BG244" s="303"/>
      <c r="BH244" s="306"/>
      <c r="BI244" s="303"/>
      <c r="BJ244" s="307" t="str">
        <f aca="false">IF(C230&gt;0, C230, "")</f>
        <v>TBA</v>
      </c>
      <c r="BK244" s="18" t="s">
        <v>234</v>
      </c>
      <c r="BL244" s="200" t="n">
        <f aca="false">IF($BK244="Y",J244,0)</f>
        <v>0</v>
      </c>
      <c r="BM244" s="200" t="n">
        <f aca="false">IF(BK244="Y", AN244,0)</f>
        <v>0</v>
      </c>
      <c r="BN244" s="200" t="n">
        <f aca="false">IF((BK244="Y"),AO244,0)</f>
        <v>0</v>
      </c>
    </row>
    <row r="245" customFormat="false" ht="15" hidden="false" customHeight="true" outlineLevel="0" collapsed="false">
      <c r="B245" s="296"/>
      <c r="D245" s="297"/>
      <c r="E245" s="277"/>
      <c r="F245" s="277"/>
      <c r="G245" s="277"/>
      <c r="H245" s="277"/>
      <c r="I245" s="277"/>
      <c r="J245" s="300"/>
      <c r="K245" s="300"/>
      <c r="L245" s="302"/>
      <c r="M245" s="302"/>
      <c r="N245" s="302"/>
      <c r="O245" s="308"/>
      <c r="P245" s="308"/>
      <c r="Q245" s="308"/>
      <c r="R245" s="308"/>
      <c r="S245" s="308"/>
      <c r="T245" s="308"/>
      <c r="U245" s="308"/>
      <c r="V245" s="308"/>
      <c r="W245" s="308"/>
      <c r="X245" s="308"/>
      <c r="Y245" s="308"/>
      <c r="Z245" s="308"/>
      <c r="AA245" s="303"/>
      <c r="AB245" s="303"/>
      <c r="AC245" s="303"/>
      <c r="AD245" s="303"/>
      <c r="AE245" s="303"/>
      <c r="AF245" s="303"/>
      <c r="AG245" s="303"/>
      <c r="AH245" s="303"/>
      <c r="AI245" s="303"/>
      <c r="AJ245" s="303"/>
      <c r="AK245" s="303"/>
      <c r="AL245" s="303"/>
      <c r="AM245" s="303"/>
      <c r="AN245" s="303"/>
      <c r="AO245" s="303"/>
      <c r="AP245" s="303"/>
      <c r="AQ245" s="303"/>
      <c r="AR245" s="303"/>
      <c r="AS245" s="303"/>
      <c r="AT245" s="303"/>
      <c r="AU245" s="303"/>
      <c r="AV245" s="303"/>
      <c r="AW245" s="303"/>
      <c r="AX245" s="303"/>
      <c r="AY245" s="303"/>
      <c r="AZ245" s="303"/>
      <c r="BA245" s="303"/>
      <c r="BB245" s="303"/>
      <c r="BC245" s="303"/>
      <c r="BD245" s="303"/>
      <c r="BE245" s="303"/>
      <c r="BF245" s="303"/>
      <c r="BG245" s="303"/>
      <c r="BH245" s="303"/>
      <c r="BI245" s="303"/>
      <c r="BJ245" s="307" t="str">
        <f aca="false">IF(C232&gt;0, C232, "")</f>
        <v/>
      </c>
      <c r="BL245" s="200"/>
      <c r="BM245" s="200"/>
      <c r="BN245" s="200"/>
    </row>
    <row r="246" customFormat="false" ht="15" hidden="false" customHeight="true" outlineLevel="0" collapsed="false">
      <c r="A246" s="198" t="n">
        <f aca="false">A230+1</f>
        <v>16</v>
      </c>
      <c r="B246" s="266" t="s">
        <v>253</v>
      </c>
      <c r="C246" s="266" t="s">
        <v>253</v>
      </c>
      <c r="D246" s="267"/>
      <c r="E246" s="242"/>
      <c r="F246" s="242"/>
      <c r="G246" s="242"/>
      <c r="H246" s="242"/>
      <c r="I246" s="242"/>
      <c r="J246" s="241"/>
      <c r="K246" s="241"/>
      <c r="L246" s="241"/>
      <c r="M246" s="241"/>
      <c r="N246" s="241"/>
      <c r="O246" s="268"/>
      <c r="P246" s="268"/>
      <c r="Q246" s="268"/>
      <c r="R246" s="268"/>
      <c r="S246" s="268"/>
      <c r="T246" s="268"/>
      <c r="U246" s="268"/>
      <c r="V246" s="268"/>
      <c r="W246" s="268"/>
      <c r="X246" s="268"/>
      <c r="Y246" s="268"/>
      <c r="Z246" s="268"/>
      <c r="AA246" s="268"/>
      <c r="AB246" s="268"/>
      <c r="AC246" s="268"/>
      <c r="AD246" s="268"/>
      <c r="AE246" s="268"/>
      <c r="AF246" s="268"/>
      <c r="AG246" s="268"/>
      <c r="AH246" s="268"/>
      <c r="AI246" s="268"/>
      <c r="AJ246" s="268"/>
      <c r="AK246" s="268"/>
      <c r="AL246" s="268"/>
      <c r="AM246" s="268"/>
      <c r="AN246" s="268"/>
      <c r="AO246" s="268"/>
      <c r="AP246" s="268"/>
      <c r="AQ246" s="268"/>
      <c r="AR246" s="268"/>
      <c r="AS246" s="268"/>
      <c r="AT246" s="268"/>
      <c r="AU246" s="268"/>
      <c r="AV246" s="268"/>
      <c r="AW246" s="268"/>
      <c r="AX246" s="268"/>
      <c r="AY246" s="268"/>
      <c r="AZ246" s="268"/>
      <c r="BA246" s="268"/>
      <c r="BB246" s="268"/>
      <c r="BC246" s="268"/>
      <c r="BD246" s="268"/>
      <c r="BE246" s="268"/>
      <c r="BF246" s="268"/>
      <c r="BG246" s="268"/>
      <c r="BH246" s="268"/>
      <c r="BI246" s="268"/>
      <c r="BJ246" s="18" t="str">
        <f aca="false">IF(C233&gt;0, C233, "")</f>
        <v/>
      </c>
      <c r="BL246" s="200"/>
      <c r="BM246" s="200"/>
      <c r="BN246" s="200"/>
    </row>
    <row r="247" customFormat="false" ht="7.5" hidden="false" customHeight="true" outlineLevel="0" collapsed="false">
      <c r="A247" s="198"/>
      <c r="B247" s="266"/>
      <c r="C247" s="266"/>
      <c r="D247" s="267"/>
      <c r="E247" s="242"/>
      <c r="F247" s="242"/>
      <c r="G247" s="242"/>
      <c r="H247" s="242"/>
      <c r="I247" s="242"/>
      <c r="J247" s="241"/>
      <c r="K247" s="241"/>
      <c r="L247" s="269"/>
      <c r="M247" s="269"/>
      <c r="N247" s="270"/>
      <c r="O247" s="269"/>
      <c r="P247" s="269"/>
      <c r="Q247" s="269"/>
      <c r="R247" s="269"/>
      <c r="S247" s="269"/>
      <c r="T247" s="269"/>
      <c r="U247" s="269"/>
      <c r="V247" s="269"/>
      <c r="W247" s="269"/>
      <c r="X247" s="269"/>
      <c r="Y247" s="269"/>
      <c r="Z247" s="269"/>
      <c r="AA247" s="268"/>
      <c r="AB247" s="271"/>
      <c r="AC247" s="271"/>
      <c r="AD247" s="271"/>
      <c r="AE247" s="271"/>
      <c r="AF247" s="271"/>
      <c r="AG247" s="271"/>
      <c r="AH247" s="271"/>
      <c r="AI247" s="271"/>
      <c r="AJ247" s="271"/>
      <c r="AK247" s="271"/>
      <c r="AL247" s="271"/>
      <c r="AM247" s="272"/>
      <c r="AN247" s="273"/>
      <c r="AO247" s="273"/>
      <c r="AP247" s="273"/>
      <c r="AQ247" s="268"/>
      <c r="AR247" s="271"/>
      <c r="AS247" s="271"/>
      <c r="AT247" s="271"/>
      <c r="AU247" s="271"/>
      <c r="AV247" s="271"/>
      <c r="AW247" s="271"/>
      <c r="AX247" s="271"/>
      <c r="AY247" s="271"/>
      <c r="AZ247" s="271"/>
      <c r="BA247" s="271"/>
      <c r="BB247" s="271"/>
      <c r="BC247" s="272"/>
      <c r="BD247" s="273"/>
      <c r="BE247" s="273"/>
      <c r="BF247" s="273"/>
      <c r="BG247" s="268"/>
      <c r="BH247" s="274"/>
      <c r="BI247" s="268"/>
      <c r="BL247" s="200"/>
      <c r="BM247" s="200"/>
      <c r="BN247" s="200"/>
    </row>
    <row r="248" customFormat="false" ht="15" hidden="false" customHeight="true" outlineLevel="0" collapsed="false">
      <c r="B248" s="275"/>
      <c r="D248" s="276" t="n">
        <f aca="false">D232</f>
        <v>45292</v>
      </c>
      <c r="E248" s="277" t="n">
        <v>0</v>
      </c>
      <c r="F248" s="277" t="n">
        <v>0</v>
      </c>
      <c r="G248" s="277" t="n">
        <v>0</v>
      </c>
      <c r="H248" s="277" t="n">
        <v>0</v>
      </c>
      <c r="I248" s="277" t="n">
        <v>0</v>
      </c>
      <c r="J248" s="278" t="n">
        <f aca="false">E248+H248+I248</f>
        <v>0</v>
      </c>
      <c r="K248" s="204"/>
      <c r="L248" s="279" t="n">
        <v>1</v>
      </c>
      <c r="M248" s="280" t="n">
        <f aca="false">1-L248</f>
        <v>0</v>
      </c>
      <c r="N248" s="281"/>
      <c r="O248" s="282"/>
      <c r="P248" s="282"/>
      <c r="Q248" s="282"/>
      <c r="R248" s="282"/>
      <c r="S248" s="282"/>
      <c r="T248" s="282"/>
      <c r="U248" s="282"/>
      <c r="V248" s="282"/>
      <c r="W248" s="282"/>
      <c r="X248" s="282"/>
      <c r="Y248" s="282"/>
      <c r="Z248" s="282"/>
      <c r="AA248" s="283"/>
      <c r="AB248" s="284" t="n">
        <f aca="false">IFERROR(($J248*O248)*$L248, "")</f>
        <v>0</v>
      </c>
      <c r="AC248" s="284" t="n">
        <f aca="false">IFERROR(($J248*P248)*$L248, "")</f>
        <v>0</v>
      </c>
      <c r="AD248" s="284" t="n">
        <f aca="false">IFERROR(($J248*Q248)*$L248, "")</f>
        <v>0</v>
      </c>
      <c r="AE248" s="284" t="n">
        <f aca="false">IFERROR(($J248*R248)*$L248, "")</f>
        <v>0</v>
      </c>
      <c r="AF248" s="284" t="n">
        <f aca="false">IFERROR(($J248*S248)*$L248, "")</f>
        <v>0</v>
      </c>
      <c r="AG248" s="284" t="n">
        <f aca="false">IFERROR(($J248*T248)*$L248, "")</f>
        <v>0</v>
      </c>
      <c r="AH248" s="284" t="n">
        <f aca="false">IFERROR(($J248*U248)*$L248, "")</f>
        <v>0</v>
      </c>
      <c r="AI248" s="284" t="n">
        <f aca="false">IFERROR(($J248*V248)*$L248, "")</f>
        <v>0</v>
      </c>
      <c r="AJ248" s="284" t="n">
        <f aca="false">IFERROR(($J248*W248)*$L248, "")</f>
        <v>0</v>
      </c>
      <c r="AK248" s="284" t="n">
        <f aca="false">IFERROR(($J248*X248)*$L248, "")</f>
        <v>0</v>
      </c>
      <c r="AL248" s="284" t="n">
        <f aca="false">IFERROR(($J248*Y248)*$L248, "")</f>
        <v>0</v>
      </c>
      <c r="AM248" s="285" t="n">
        <f aca="false">IFERROR(($J248*Z248)*$L248, "")</f>
        <v>0</v>
      </c>
      <c r="AN248" s="286" t="n">
        <f aca="false">IFERROR(SUMIF($AB$4:$AM$4, "RDEC", AB248:AM248), "")</f>
        <v>0</v>
      </c>
      <c r="AO248" s="286" t="n">
        <f aca="false">IFERROR(SUMIF($AB$4:$AM$4, "SME", AB248:AM248), "")</f>
        <v>0</v>
      </c>
      <c r="AP248" s="286" t="n">
        <f aca="false">IFERROR(SUMIF($AB$4:$AM$4, "De Minimis", AB248:AM248), "")</f>
        <v>0</v>
      </c>
      <c r="AQ248" s="283"/>
      <c r="AR248" s="284" t="n">
        <f aca="false">IFERROR(($J248*O248)*$M248, "")</f>
        <v>0</v>
      </c>
      <c r="AS248" s="284" t="n">
        <f aca="false">IFERROR(($J248*P248)*$M248, "")</f>
        <v>0</v>
      </c>
      <c r="AT248" s="284" t="n">
        <f aca="false">IFERROR(($J248*Q248)*$M248, "")</f>
        <v>0</v>
      </c>
      <c r="AU248" s="284" t="n">
        <f aca="false">IFERROR(($J248*R248)*$M248, "")</f>
        <v>0</v>
      </c>
      <c r="AV248" s="284" t="n">
        <f aca="false">IFERROR(($J248*S248)*$M248, "")</f>
        <v>0</v>
      </c>
      <c r="AW248" s="284" t="n">
        <f aca="false">IFERROR(($J248*T248)*$M248, "")</f>
        <v>0</v>
      </c>
      <c r="AX248" s="284" t="n">
        <f aca="false">IFERROR(($J248*U248)*$M248, "")</f>
        <v>0</v>
      </c>
      <c r="AY248" s="284" t="n">
        <f aca="false">IFERROR(($J248*V248)*$M248, "")</f>
        <v>0</v>
      </c>
      <c r="AZ248" s="284" t="n">
        <f aca="false">IFERROR(($J248*W248)*$M248, "")</f>
        <v>0</v>
      </c>
      <c r="BA248" s="284" t="n">
        <f aca="false">IFERROR(($J248*X248)*$M248, "")</f>
        <v>0</v>
      </c>
      <c r="BB248" s="284" t="n">
        <f aca="false">IFERROR(($J248*Y248)*$M248, "")</f>
        <v>0</v>
      </c>
      <c r="BC248" s="285" t="n">
        <f aca="false">IFERROR(($J248*Z248)*$M248, "")</f>
        <v>0</v>
      </c>
      <c r="BD248" s="286" t="n">
        <f aca="false">IFERROR(SUMIF($AB$4:$AM$4, "RDEC", AR248:BC248), "")</f>
        <v>0</v>
      </c>
      <c r="BE248" s="286" t="n">
        <f aca="false">IFERROR(SUMIF($AB$4:$AM$4, "SME", AR248:BC248), "")</f>
        <v>0</v>
      </c>
      <c r="BF248" s="286" t="n">
        <f aca="false">IFERROR(SUMIF($AB$4:$AM$4, "De Minimis", AR248:BC248), "")</f>
        <v>0</v>
      </c>
      <c r="BG248" s="287"/>
      <c r="BH248" s="288" t="str">
        <f aca="false">IF((SUM(O248:Z248)&gt;1),"ERROR","")</f>
        <v/>
      </c>
      <c r="BI248" s="287"/>
      <c r="BJ248" s="18" t="str">
        <f aca="false">IF(C234&gt;0, C234, "")</f>
        <v/>
      </c>
      <c r="BL248" s="200"/>
      <c r="BM248" s="200"/>
      <c r="BN248" s="200"/>
    </row>
    <row r="249" customFormat="false" ht="15" hidden="false" customHeight="true" outlineLevel="0" collapsed="false">
      <c r="B249" s="275"/>
      <c r="D249" s="276" t="n">
        <f aca="false">D233</f>
        <v>45323</v>
      </c>
      <c r="E249" s="277" t="n">
        <v>0</v>
      </c>
      <c r="F249" s="277" t="n">
        <v>0</v>
      </c>
      <c r="G249" s="277" t="n">
        <v>0</v>
      </c>
      <c r="H249" s="277" t="n">
        <v>0</v>
      </c>
      <c r="I249" s="277" t="n">
        <v>0</v>
      </c>
      <c r="J249" s="278" t="n">
        <f aca="false">E249+H249+I249</f>
        <v>0</v>
      </c>
      <c r="K249" s="204"/>
      <c r="L249" s="279" t="n">
        <v>1</v>
      </c>
      <c r="M249" s="280" t="n">
        <f aca="false">1-L249</f>
        <v>0</v>
      </c>
      <c r="N249" s="281"/>
      <c r="O249" s="282"/>
      <c r="P249" s="282"/>
      <c r="Q249" s="282"/>
      <c r="R249" s="282"/>
      <c r="S249" s="282"/>
      <c r="T249" s="282"/>
      <c r="U249" s="282"/>
      <c r="V249" s="282"/>
      <c r="W249" s="282"/>
      <c r="X249" s="282"/>
      <c r="Y249" s="282"/>
      <c r="Z249" s="282"/>
      <c r="AA249" s="283"/>
      <c r="AB249" s="284" t="n">
        <f aca="false">IFERROR(($J249*O249)*$L249, "")</f>
        <v>0</v>
      </c>
      <c r="AC249" s="284" t="n">
        <f aca="false">IFERROR(($J249*P249)*$L249, "")</f>
        <v>0</v>
      </c>
      <c r="AD249" s="284" t="n">
        <f aca="false">IFERROR(($J249*Q249)*$L249, "")</f>
        <v>0</v>
      </c>
      <c r="AE249" s="284" t="n">
        <f aca="false">IFERROR(($J249*R249)*$L249, "")</f>
        <v>0</v>
      </c>
      <c r="AF249" s="284" t="n">
        <f aca="false">IFERROR(($J249*S249)*$L249, "")</f>
        <v>0</v>
      </c>
      <c r="AG249" s="284" t="n">
        <f aca="false">IFERROR(($J249*T249)*$L249, "")</f>
        <v>0</v>
      </c>
      <c r="AH249" s="284" t="n">
        <f aca="false">IFERROR(($J249*U249)*$L249, "")</f>
        <v>0</v>
      </c>
      <c r="AI249" s="284" t="n">
        <f aca="false">IFERROR(($J249*V249)*$L249, "")</f>
        <v>0</v>
      </c>
      <c r="AJ249" s="284" t="n">
        <f aca="false">IFERROR(($J249*W249)*$L249, "")</f>
        <v>0</v>
      </c>
      <c r="AK249" s="284" t="n">
        <f aca="false">IFERROR(($J249*X249)*$L249, "")</f>
        <v>0</v>
      </c>
      <c r="AL249" s="284" t="n">
        <f aca="false">IFERROR(($J249*Y249)*$L249, "")</f>
        <v>0</v>
      </c>
      <c r="AM249" s="285" t="n">
        <f aca="false">IFERROR(($J249*Z249)*$L249, "")</f>
        <v>0</v>
      </c>
      <c r="AN249" s="286" t="n">
        <f aca="false">IFERROR(SUMIF($AB$4:$AM$4, "RDEC", AB249:AM249), "")</f>
        <v>0</v>
      </c>
      <c r="AO249" s="286" t="n">
        <f aca="false">IFERROR(SUMIF($AB$4:$AM$4, "SME", AB249:AM249), "")</f>
        <v>0</v>
      </c>
      <c r="AP249" s="286" t="n">
        <f aca="false">IFERROR(SUMIF($AB$4:$AM$4, "De Minimis", AB249:AM249), "")</f>
        <v>0</v>
      </c>
      <c r="AQ249" s="283"/>
      <c r="AR249" s="284" t="n">
        <f aca="false">IFERROR(($J249*O249)*$M249, "")</f>
        <v>0</v>
      </c>
      <c r="AS249" s="284" t="n">
        <f aca="false">IFERROR(($J249*P249)*$M249, "")</f>
        <v>0</v>
      </c>
      <c r="AT249" s="284" t="n">
        <f aca="false">IFERROR(($J249*Q249)*$M249, "")</f>
        <v>0</v>
      </c>
      <c r="AU249" s="284" t="n">
        <f aca="false">IFERROR(($J249*R249)*$M249, "")</f>
        <v>0</v>
      </c>
      <c r="AV249" s="284" t="n">
        <f aca="false">IFERROR(($J249*S249)*$M249, "")</f>
        <v>0</v>
      </c>
      <c r="AW249" s="284" t="n">
        <f aca="false">IFERROR(($J249*T249)*$M249, "")</f>
        <v>0</v>
      </c>
      <c r="AX249" s="284" t="n">
        <f aca="false">IFERROR(($J249*U249)*$M249, "")</f>
        <v>0</v>
      </c>
      <c r="AY249" s="284" t="n">
        <f aca="false">IFERROR(($J249*V249)*$M249, "")</f>
        <v>0</v>
      </c>
      <c r="AZ249" s="284" t="n">
        <f aca="false">IFERROR(($J249*W249)*$M249, "")</f>
        <v>0</v>
      </c>
      <c r="BA249" s="284" t="n">
        <f aca="false">IFERROR(($J249*X249)*$M249, "")</f>
        <v>0</v>
      </c>
      <c r="BB249" s="284" t="n">
        <f aca="false">IFERROR(($J249*Y249)*$M249, "")</f>
        <v>0</v>
      </c>
      <c r="BC249" s="285" t="n">
        <f aca="false">IFERROR(($J249*Z249)*$M249, "")</f>
        <v>0</v>
      </c>
      <c r="BD249" s="286" t="n">
        <f aca="false">IFERROR(SUMIF($AB$4:$AM$4, "RDEC", AR249:BC249), "")</f>
        <v>0</v>
      </c>
      <c r="BE249" s="286" t="n">
        <f aca="false">IFERROR(SUMIF($AB$4:$AM$4, "SME", AR249:BC249), "")</f>
        <v>0</v>
      </c>
      <c r="BF249" s="286" t="n">
        <f aca="false">IFERROR(SUMIF($AB$4:$AM$4, "De Minimis", AR249:BC249), "")</f>
        <v>0</v>
      </c>
      <c r="BG249" s="287"/>
      <c r="BH249" s="288" t="str">
        <f aca="false">IF((SUM(O249:Z249)&gt;1),"ERROR","")</f>
        <v/>
      </c>
      <c r="BI249" s="287"/>
      <c r="BJ249" s="18" t="str">
        <f aca="false">IF(C235&gt;0, C235, "")</f>
        <v/>
      </c>
      <c r="BL249" s="200"/>
      <c r="BM249" s="200"/>
      <c r="BN249" s="200"/>
    </row>
    <row r="250" customFormat="false" ht="15" hidden="false" customHeight="true" outlineLevel="0" collapsed="false">
      <c r="B250" s="275"/>
      <c r="D250" s="276" t="n">
        <f aca="false">D234</f>
        <v>45352</v>
      </c>
      <c r="E250" s="277" t="n">
        <v>0</v>
      </c>
      <c r="F250" s="277" t="n">
        <v>0</v>
      </c>
      <c r="G250" s="277" t="n">
        <v>0</v>
      </c>
      <c r="H250" s="277" t="n">
        <v>0</v>
      </c>
      <c r="I250" s="277" t="n">
        <v>0</v>
      </c>
      <c r="J250" s="278" t="n">
        <f aca="false">E250+H250+I250</f>
        <v>0</v>
      </c>
      <c r="K250" s="204"/>
      <c r="L250" s="279" t="n">
        <v>1</v>
      </c>
      <c r="M250" s="280" t="n">
        <f aca="false">1-L250</f>
        <v>0</v>
      </c>
      <c r="N250" s="281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83"/>
      <c r="AB250" s="284" t="n">
        <f aca="false">IFERROR(($J250*O250)*$L250, "")</f>
        <v>0</v>
      </c>
      <c r="AC250" s="284" t="n">
        <f aca="false">IFERROR(($J250*P250)*$L250, "")</f>
        <v>0</v>
      </c>
      <c r="AD250" s="284" t="n">
        <f aca="false">IFERROR(($J250*Q250)*$L250, "")</f>
        <v>0</v>
      </c>
      <c r="AE250" s="284" t="n">
        <f aca="false">IFERROR(($J250*R250)*$L250, "")</f>
        <v>0</v>
      </c>
      <c r="AF250" s="284" t="n">
        <f aca="false">IFERROR(($J250*S250)*$L250, "")</f>
        <v>0</v>
      </c>
      <c r="AG250" s="284" t="n">
        <f aca="false">IFERROR(($J250*T250)*$L250, "")</f>
        <v>0</v>
      </c>
      <c r="AH250" s="284" t="n">
        <f aca="false">IFERROR(($J250*U250)*$L250, "")</f>
        <v>0</v>
      </c>
      <c r="AI250" s="284" t="n">
        <f aca="false">IFERROR(($J250*V250)*$L250, "")</f>
        <v>0</v>
      </c>
      <c r="AJ250" s="284" t="n">
        <f aca="false">IFERROR(($J250*W250)*$L250, "")</f>
        <v>0</v>
      </c>
      <c r="AK250" s="284" t="n">
        <f aca="false">IFERROR(($J250*X250)*$L250, "")</f>
        <v>0</v>
      </c>
      <c r="AL250" s="284" t="n">
        <f aca="false">IFERROR(($J250*Y250)*$L250, "")</f>
        <v>0</v>
      </c>
      <c r="AM250" s="285" t="n">
        <f aca="false">IFERROR(($J250*Z250)*$L250, "")</f>
        <v>0</v>
      </c>
      <c r="AN250" s="286" t="n">
        <f aca="false">IFERROR(SUMIF($AB$4:$AM$4, "RDEC", AB250:AM250), "")</f>
        <v>0</v>
      </c>
      <c r="AO250" s="286" t="n">
        <f aca="false">IFERROR(SUMIF($AB$4:$AM$4, "SME", AB250:AM250), "")</f>
        <v>0</v>
      </c>
      <c r="AP250" s="286" t="n">
        <f aca="false">IFERROR(SUMIF($AB$4:$AM$4, "De Minimis", AB250:AM250), "")</f>
        <v>0</v>
      </c>
      <c r="AQ250" s="283"/>
      <c r="AR250" s="284" t="n">
        <f aca="false">IFERROR(($J250*O250)*$M250, "")</f>
        <v>0</v>
      </c>
      <c r="AS250" s="284" t="n">
        <f aca="false">IFERROR(($J250*P250)*$M250, "")</f>
        <v>0</v>
      </c>
      <c r="AT250" s="284" t="n">
        <f aca="false">IFERROR(($J250*Q250)*$M250, "")</f>
        <v>0</v>
      </c>
      <c r="AU250" s="284" t="n">
        <f aca="false">IFERROR(($J250*R250)*$M250, "")</f>
        <v>0</v>
      </c>
      <c r="AV250" s="284" t="n">
        <f aca="false">IFERROR(($J250*S250)*$M250, "")</f>
        <v>0</v>
      </c>
      <c r="AW250" s="284" t="n">
        <f aca="false">IFERROR(($J250*T250)*$M250, "")</f>
        <v>0</v>
      </c>
      <c r="AX250" s="284" t="n">
        <f aca="false">IFERROR(($J250*U250)*$M250, "")</f>
        <v>0</v>
      </c>
      <c r="AY250" s="284" t="n">
        <f aca="false">IFERROR(($J250*V250)*$M250, "")</f>
        <v>0</v>
      </c>
      <c r="AZ250" s="284" t="n">
        <f aca="false">IFERROR(($J250*W250)*$M250, "")</f>
        <v>0</v>
      </c>
      <c r="BA250" s="284" t="n">
        <f aca="false">IFERROR(($J250*X250)*$M250, "")</f>
        <v>0</v>
      </c>
      <c r="BB250" s="284" t="n">
        <f aca="false">IFERROR(($J250*Y250)*$M250, "")</f>
        <v>0</v>
      </c>
      <c r="BC250" s="285" t="n">
        <f aca="false">IFERROR(($J250*Z250)*$M250, "")</f>
        <v>0</v>
      </c>
      <c r="BD250" s="286" t="n">
        <f aca="false">IFERROR(SUMIF($AB$4:$AM$4, "RDEC", AR250:BC250), "")</f>
        <v>0</v>
      </c>
      <c r="BE250" s="286" t="n">
        <f aca="false">IFERROR(SUMIF($AB$4:$AM$4, "SME", AR250:BC250), "")</f>
        <v>0</v>
      </c>
      <c r="BF250" s="286" t="n">
        <f aca="false">IFERROR(SUMIF($AB$4:$AM$4, "De Minimis", AR250:BC250), "")</f>
        <v>0</v>
      </c>
      <c r="BG250" s="287"/>
      <c r="BH250" s="288" t="str">
        <f aca="false">IF((SUM(O250:Z250)&gt;1),"ERROR","")</f>
        <v/>
      </c>
      <c r="BI250" s="287"/>
      <c r="BJ250" s="18" t="str">
        <f aca="false">IF(C236&gt;0, C236, "")</f>
        <v/>
      </c>
      <c r="BL250" s="200"/>
      <c r="BM250" s="200"/>
      <c r="BN250" s="200"/>
    </row>
    <row r="251" customFormat="false" ht="15" hidden="false" customHeight="true" outlineLevel="0" collapsed="false">
      <c r="B251" s="275"/>
      <c r="D251" s="276" t="n">
        <f aca="false">D235</f>
        <v>45383</v>
      </c>
      <c r="E251" s="277" t="n">
        <v>0</v>
      </c>
      <c r="F251" s="277" t="n">
        <v>0</v>
      </c>
      <c r="G251" s="277" t="n">
        <v>0</v>
      </c>
      <c r="H251" s="277" t="n">
        <v>0</v>
      </c>
      <c r="I251" s="277" t="n">
        <v>0</v>
      </c>
      <c r="J251" s="278" t="n">
        <f aca="false">E251+H251+I251</f>
        <v>0</v>
      </c>
      <c r="K251" s="204"/>
      <c r="L251" s="279" t="n">
        <v>1</v>
      </c>
      <c r="M251" s="280" t="n">
        <f aca="false">1-L251</f>
        <v>0</v>
      </c>
      <c r="N251" s="281"/>
      <c r="O251" s="282"/>
      <c r="P251" s="282"/>
      <c r="Q251" s="282"/>
      <c r="R251" s="282"/>
      <c r="S251" s="282"/>
      <c r="T251" s="282"/>
      <c r="U251" s="282"/>
      <c r="V251" s="282"/>
      <c r="W251" s="282"/>
      <c r="X251" s="282"/>
      <c r="Y251" s="282"/>
      <c r="Z251" s="282"/>
      <c r="AA251" s="283"/>
      <c r="AB251" s="284" t="n">
        <f aca="false">IFERROR(($J251*O251)*$L251, "")</f>
        <v>0</v>
      </c>
      <c r="AC251" s="284" t="n">
        <f aca="false">IFERROR(($J251*P251)*$L251, "")</f>
        <v>0</v>
      </c>
      <c r="AD251" s="284" t="n">
        <f aca="false">IFERROR(($J251*Q251)*$L251, "")</f>
        <v>0</v>
      </c>
      <c r="AE251" s="284" t="n">
        <f aca="false">IFERROR(($J251*R251)*$L251, "")</f>
        <v>0</v>
      </c>
      <c r="AF251" s="284" t="n">
        <f aca="false">IFERROR(($J251*S251)*$L251, "")</f>
        <v>0</v>
      </c>
      <c r="AG251" s="284" t="n">
        <f aca="false">IFERROR(($J251*T251)*$L251, "")</f>
        <v>0</v>
      </c>
      <c r="AH251" s="284" t="n">
        <f aca="false">IFERROR(($J251*U251)*$L251, "")</f>
        <v>0</v>
      </c>
      <c r="AI251" s="284" t="n">
        <f aca="false">IFERROR(($J251*V251)*$L251, "")</f>
        <v>0</v>
      </c>
      <c r="AJ251" s="284" t="n">
        <f aca="false">IFERROR(($J251*W251)*$L251, "")</f>
        <v>0</v>
      </c>
      <c r="AK251" s="284" t="n">
        <f aca="false">IFERROR(($J251*X251)*$L251, "")</f>
        <v>0</v>
      </c>
      <c r="AL251" s="284" t="n">
        <f aca="false">IFERROR(($J251*Y251)*$L251, "")</f>
        <v>0</v>
      </c>
      <c r="AM251" s="285" t="n">
        <f aca="false">IFERROR(($J251*Z251)*$L251, "")</f>
        <v>0</v>
      </c>
      <c r="AN251" s="286" t="n">
        <f aca="false">IFERROR(SUMIF($AB$4:$AM$4, "RDEC", AB251:AM251), "")</f>
        <v>0</v>
      </c>
      <c r="AO251" s="286" t="n">
        <f aca="false">IFERROR(SUMIF($AB$4:$AM$4, "SME", AB251:AM251), "")</f>
        <v>0</v>
      </c>
      <c r="AP251" s="286" t="n">
        <f aca="false">IFERROR(SUMIF($AB$4:$AM$4, "De Minimis", AB251:AM251), "")</f>
        <v>0</v>
      </c>
      <c r="AQ251" s="283"/>
      <c r="AR251" s="284" t="n">
        <f aca="false">IFERROR(($J251*O251)*$M251, "")</f>
        <v>0</v>
      </c>
      <c r="AS251" s="284" t="n">
        <f aca="false">IFERROR(($J251*P251)*$M251, "")</f>
        <v>0</v>
      </c>
      <c r="AT251" s="284" t="n">
        <f aca="false">IFERROR(($J251*Q251)*$M251, "")</f>
        <v>0</v>
      </c>
      <c r="AU251" s="284" t="n">
        <f aca="false">IFERROR(($J251*R251)*$M251, "")</f>
        <v>0</v>
      </c>
      <c r="AV251" s="284" t="n">
        <f aca="false">IFERROR(($J251*S251)*$M251, "")</f>
        <v>0</v>
      </c>
      <c r="AW251" s="284" t="n">
        <f aca="false">IFERROR(($J251*T251)*$M251, "")</f>
        <v>0</v>
      </c>
      <c r="AX251" s="284" t="n">
        <f aca="false">IFERROR(($J251*U251)*$M251, "")</f>
        <v>0</v>
      </c>
      <c r="AY251" s="284" t="n">
        <f aca="false">IFERROR(($J251*V251)*$M251, "")</f>
        <v>0</v>
      </c>
      <c r="AZ251" s="284" t="n">
        <f aca="false">IFERROR(($J251*W251)*$M251, "")</f>
        <v>0</v>
      </c>
      <c r="BA251" s="284" t="n">
        <f aca="false">IFERROR(($J251*X251)*$M251, "")</f>
        <v>0</v>
      </c>
      <c r="BB251" s="284" t="n">
        <f aca="false">IFERROR(($J251*Y251)*$M251, "")</f>
        <v>0</v>
      </c>
      <c r="BC251" s="285" t="n">
        <f aca="false">IFERROR(($J251*Z251)*$M251, "")</f>
        <v>0</v>
      </c>
      <c r="BD251" s="286" t="n">
        <f aca="false">IFERROR(SUMIF($AB$4:$AM$4, "RDEC", AR251:BC251), "")</f>
        <v>0</v>
      </c>
      <c r="BE251" s="286" t="n">
        <f aca="false">IFERROR(SUMIF($AB$4:$AM$4, "SME", AR251:BC251), "")</f>
        <v>0</v>
      </c>
      <c r="BF251" s="286" t="n">
        <f aca="false">IFERROR(SUMIF($AB$4:$AM$4, "De Minimis", AR251:BC251), "")</f>
        <v>0</v>
      </c>
      <c r="BG251" s="287"/>
      <c r="BH251" s="288" t="str">
        <f aca="false">IF((SUM(O251:Z251)&gt;1),"ERROR","")</f>
        <v/>
      </c>
      <c r="BI251" s="287"/>
      <c r="BJ251" s="18" t="str">
        <f aca="false">IF(C237&gt;0, C237, "")</f>
        <v/>
      </c>
      <c r="BL251" s="200"/>
      <c r="BM251" s="200"/>
      <c r="BN251" s="200"/>
    </row>
    <row r="252" customFormat="false" ht="15" hidden="false" customHeight="true" outlineLevel="0" collapsed="false">
      <c r="B252" s="275"/>
      <c r="D252" s="276" t="n">
        <f aca="false">D236</f>
        <v>45413</v>
      </c>
      <c r="E252" s="277" t="n">
        <v>0</v>
      </c>
      <c r="F252" s="277" t="n">
        <v>0</v>
      </c>
      <c r="G252" s="277" t="n">
        <v>0</v>
      </c>
      <c r="H252" s="277" t="n">
        <v>0</v>
      </c>
      <c r="I252" s="277" t="n">
        <v>0</v>
      </c>
      <c r="J252" s="278" t="n">
        <f aca="false">E252+H252+I252</f>
        <v>0</v>
      </c>
      <c r="K252" s="204"/>
      <c r="L252" s="279" t="n">
        <v>1</v>
      </c>
      <c r="M252" s="280" t="n">
        <f aca="false">1-L252</f>
        <v>0</v>
      </c>
      <c r="N252" s="281"/>
      <c r="O252" s="282"/>
      <c r="P252" s="282"/>
      <c r="Q252" s="282"/>
      <c r="R252" s="282"/>
      <c r="S252" s="282"/>
      <c r="T252" s="282"/>
      <c r="U252" s="282"/>
      <c r="V252" s="282"/>
      <c r="W252" s="282"/>
      <c r="X252" s="282"/>
      <c r="Y252" s="282"/>
      <c r="Z252" s="282"/>
      <c r="AA252" s="283"/>
      <c r="AB252" s="284" t="n">
        <f aca="false">IFERROR(($J252*O252)*$L252, "")</f>
        <v>0</v>
      </c>
      <c r="AC252" s="284" t="n">
        <f aca="false">IFERROR(($J252*P252)*$L252, "")</f>
        <v>0</v>
      </c>
      <c r="AD252" s="284" t="n">
        <f aca="false">IFERROR(($J252*Q252)*$L252, "")</f>
        <v>0</v>
      </c>
      <c r="AE252" s="284" t="n">
        <f aca="false">IFERROR(($J252*R252)*$L252, "")</f>
        <v>0</v>
      </c>
      <c r="AF252" s="284" t="n">
        <f aca="false">IFERROR(($J252*S252)*$L252, "")</f>
        <v>0</v>
      </c>
      <c r="AG252" s="284" t="n">
        <f aca="false">IFERROR(($J252*T252)*$L252, "")</f>
        <v>0</v>
      </c>
      <c r="AH252" s="284" t="n">
        <f aca="false">IFERROR(($J252*U252)*$L252, "")</f>
        <v>0</v>
      </c>
      <c r="AI252" s="284" t="n">
        <f aca="false">IFERROR(($J252*V252)*$L252, "")</f>
        <v>0</v>
      </c>
      <c r="AJ252" s="284" t="n">
        <f aca="false">IFERROR(($J252*W252)*$L252, "")</f>
        <v>0</v>
      </c>
      <c r="AK252" s="284" t="n">
        <f aca="false">IFERROR(($J252*X252)*$L252, "")</f>
        <v>0</v>
      </c>
      <c r="AL252" s="284" t="n">
        <f aca="false">IFERROR(($J252*Y252)*$L252, "")</f>
        <v>0</v>
      </c>
      <c r="AM252" s="285" t="n">
        <f aca="false">IFERROR(($J252*Z252)*$L252, "")</f>
        <v>0</v>
      </c>
      <c r="AN252" s="286" t="n">
        <f aca="false">IFERROR(SUMIF($AB$4:$AM$4, "RDEC", AB252:AM252), "")</f>
        <v>0</v>
      </c>
      <c r="AO252" s="286" t="n">
        <f aca="false">IFERROR(SUMIF($AB$4:$AM$4, "SME", AB252:AM252), "")</f>
        <v>0</v>
      </c>
      <c r="AP252" s="286" t="n">
        <f aca="false">IFERROR(SUMIF($AB$4:$AM$4, "De Minimis", AB252:AM252), "")</f>
        <v>0</v>
      </c>
      <c r="AQ252" s="283"/>
      <c r="AR252" s="284" t="n">
        <f aca="false">IFERROR(($J252*O252)*$M252, "")</f>
        <v>0</v>
      </c>
      <c r="AS252" s="284" t="n">
        <f aca="false">IFERROR(($J252*P252)*$M252, "")</f>
        <v>0</v>
      </c>
      <c r="AT252" s="284" t="n">
        <f aca="false">IFERROR(($J252*Q252)*$M252, "")</f>
        <v>0</v>
      </c>
      <c r="AU252" s="284" t="n">
        <f aca="false">IFERROR(($J252*R252)*$M252, "")</f>
        <v>0</v>
      </c>
      <c r="AV252" s="284" t="n">
        <f aca="false">IFERROR(($J252*S252)*$M252, "")</f>
        <v>0</v>
      </c>
      <c r="AW252" s="284" t="n">
        <f aca="false">IFERROR(($J252*T252)*$M252, "")</f>
        <v>0</v>
      </c>
      <c r="AX252" s="284" t="n">
        <f aca="false">IFERROR(($J252*U252)*$M252, "")</f>
        <v>0</v>
      </c>
      <c r="AY252" s="284" t="n">
        <f aca="false">IFERROR(($J252*V252)*$M252, "")</f>
        <v>0</v>
      </c>
      <c r="AZ252" s="284" t="n">
        <f aca="false">IFERROR(($J252*W252)*$M252, "")</f>
        <v>0</v>
      </c>
      <c r="BA252" s="284" t="n">
        <f aca="false">IFERROR(($J252*X252)*$M252, "")</f>
        <v>0</v>
      </c>
      <c r="BB252" s="284" t="n">
        <f aca="false">IFERROR(($J252*Y252)*$M252, "")</f>
        <v>0</v>
      </c>
      <c r="BC252" s="285" t="n">
        <f aca="false">IFERROR(($J252*Z252)*$M252, "")</f>
        <v>0</v>
      </c>
      <c r="BD252" s="286" t="n">
        <f aca="false">IFERROR(SUMIF($AB$4:$AM$4, "RDEC", AR252:BC252), "")</f>
        <v>0</v>
      </c>
      <c r="BE252" s="286" t="n">
        <f aca="false">IFERROR(SUMIF($AB$4:$AM$4, "SME", AR252:BC252), "")</f>
        <v>0</v>
      </c>
      <c r="BF252" s="286" t="n">
        <f aca="false">IFERROR(SUMIF($AB$4:$AM$4, "De Minimis", AR252:BC252), "")</f>
        <v>0</v>
      </c>
      <c r="BG252" s="287"/>
      <c r="BH252" s="288" t="str">
        <f aca="false">IF((SUM(O252:Z252)&gt;1),"ERROR","")</f>
        <v/>
      </c>
      <c r="BI252" s="287"/>
      <c r="BJ252" s="18" t="str">
        <f aca="false">IF(C238&gt;0, C238, "")</f>
        <v/>
      </c>
      <c r="BL252" s="200"/>
      <c r="BM252" s="200"/>
      <c r="BN252" s="200"/>
    </row>
    <row r="253" customFormat="false" ht="15" hidden="false" customHeight="true" outlineLevel="0" collapsed="false">
      <c r="B253" s="275"/>
      <c r="D253" s="276" t="n">
        <f aca="false">D237</f>
        <v>45444</v>
      </c>
      <c r="E253" s="277" t="n">
        <v>0</v>
      </c>
      <c r="F253" s="277" t="n">
        <v>0</v>
      </c>
      <c r="G253" s="277" t="n">
        <v>0</v>
      </c>
      <c r="H253" s="277" t="n">
        <v>0</v>
      </c>
      <c r="I253" s="277" t="n">
        <v>0</v>
      </c>
      <c r="J253" s="278" t="n">
        <f aca="false">E253+H253+I253</f>
        <v>0</v>
      </c>
      <c r="K253" s="204"/>
      <c r="L253" s="279" t="n">
        <v>1</v>
      </c>
      <c r="M253" s="280" t="n">
        <f aca="false">1-L253</f>
        <v>0</v>
      </c>
      <c r="N253" s="281"/>
      <c r="O253" s="282"/>
      <c r="P253" s="282"/>
      <c r="Q253" s="282"/>
      <c r="R253" s="282"/>
      <c r="S253" s="282"/>
      <c r="T253" s="282"/>
      <c r="U253" s="282"/>
      <c r="V253" s="282"/>
      <c r="W253" s="282"/>
      <c r="X253" s="282"/>
      <c r="Y253" s="282"/>
      <c r="Z253" s="282"/>
      <c r="AA253" s="283"/>
      <c r="AB253" s="284" t="n">
        <f aca="false">IFERROR(($J253*O253)*$L253, "")</f>
        <v>0</v>
      </c>
      <c r="AC253" s="284" t="n">
        <f aca="false">IFERROR(($J253*P253)*$L253, "")</f>
        <v>0</v>
      </c>
      <c r="AD253" s="284" t="n">
        <f aca="false">IFERROR(($J253*Q253)*$L253, "")</f>
        <v>0</v>
      </c>
      <c r="AE253" s="284" t="n">
        <f aca="false">IFERROR(($J253*R253)*$L253, "")</f>
        <v>0</v>
      </c>
      <c r="AF253" s="284" t="n">
        <f aca="false">IFERROR(($J253*S253)*$L253, "")</f>
        <v>0</v>
      </c>
      <c r="AG253" s="284" t="n">
        <f aca="false">IFERROR(($J253*T253)*$L253, "")</f>
        <v>0</v>
      </c>
      <c r="AH253" s="284" t="n">
        <f aca="false">IFERROR(($J253*U253)*$L253, "")</f>
        <v>0</v>
      </c>
      <c r="AI253" s="284" t="n">
        <f aca="false">IFERROR(($J253*V253)*$L253, "")</f>
        <v>0</v>
      </c>
      <c r="AJ253" s="284" t="n">
        <f aca="false">IFERROR(($J253*W253)*$L253, "")</f>
        <v>0</v>
      </c>
      <c r="AK253" s="284" t="n">
        <f aca="false">IFERROR(($J253*X253)*$L253, "")</f>
        <v>0</v>
      </c>
      <c r="AL253" s="284" t="n">
        <f aca="false">IFERROR(($J253*Y253)*$L253, "")</f>
        <v>0</v>
      </c>
      <c r="AM253" s="285" t="n">
        <f aca="false">IFERROR(($J253*Z253)*$L253, "")</f>
        <v>0</v>
      </c>
      <c r="AN253" s="286" t="n">
        <f aca="false">IFERROR(SUMIF($AB$4:$AM$4, "RDEC", AB253:AM253), "")</f>
        <v>0</v>
      </c>
      <c r="AO253" s="286" t="n">
        <f aca="false">IFERROR(SUMIF($AB$4:$AM$4, "SME", AB253:AM253), "")</f>
        <v>0</v>
      </c>
      <c r="AP253" s="286" t="n">
        <f aca="false">IFERROR(SUMIF($AB$4:$AM$4, "De Minimis", AB253:AM253), "")</f>
        <v>0</v>
      </c>
      <c r="AQ253" s="283"/>
      <c r="AR253" s="284" t="n">
        <f aca="false">IFERROR(($J253*O253)*$M253, "")</f>
        <v>0</v>
      </c>
      <c r="AS253" s="284" t="n">
        <f aca="false">IFERROR(($J253*P253)*$M253, "")</f>
        <v>0</v>
      </c>
      <c r="AT253" s="284" t="n">
        <f aca="false">IFERROR(($J253*Q253)*$M253, "")</f>
        <v>0</v>
      </c>
      <c r="AU253" s="284" t="n">
        <f aca="false">IFERROR(($J253*R253)*$M253, "")</f>
        <v>0</v>
      </c>
      <c r="AV253" s="284" t="n">
        <f aca="false">IFERROR(($J253*S253)*$M253, "")</f>
        <v>0</v>
      </c>
      <c r="AW253" s="284" t="n">
        <f aca="false">IFERROR(($J253*T253)*$M253, "")</f>
        <v>0</v>
      </c>
      <c r="AX253" s="284" t="n">
        <f aca="false">IFERROR(($J253*U253)*$M253, "")</f>
        <v>0</v>
      </c>
      <c r="AY253" s="284" t="n">
        <f aca="false">IFERROR(($J253*V253)*$M253, "")</f>
        <v>0</v>
      </c>
      <c r="AZ253" s="284" t="n">
        <f aca="false">IFERROR(($J253*W253)*$M253, "")</f>
        <v>0</v>
      </c>
      <c r="BA253" s="284" t="n">
        <f aca="false">IFERROR(($J253*X253)*$M253, "")</f>
        <v>0</v>
      </c>
      <c r="BB253" s="284" t="n">
        <f aca="false">IFERROR(($J253*Y253)*$M253, "")</f>
        <v>0</v>
      </c>
      <c r="BC253" s="285" t="n">
        <f aca="false">IFERROR(($J253*Z253)*$M253, "")</f>
        <v>0</v>
      </c>
      <c r="BD253" s="286" t="n">
        <f aca="false">IFERROR(SUMIF($AB$4:$AM$4, "RDEC", AR253:BC253), "")</f>
        <v>0</v>
      </c>
      <c r="BE253" s="286" t="n">
        <f aca="false">IFERROR(SUMIF($AB$4:$AM$4, "SME", AR253:BC253), "")</f>
        <v>0</v>
      </c>
      <c r="BF253" s="286" t="n">
        <f aca="false">IFERROR(SUMIF($AB$4:$AM$4, "De Minimis", AR253:BC253), "")</f>
        <v>0</v>
      </c>
      <c r="BG253" s="287"/>
      <c r="BH253" s="288" t="str">
        <f aca="false">IF((SUM(O253:Z253)&gt;1),"ERROR","")</f>
        <v/>
      </c>
      <c r="BI253" s="287"/>
      <c r="BJ253" s="18" t="str">
        <f aca="false">IF(C239&gt;0, C239, "")</f>
        <v/>
      </c>
      <c r="BL253" s="200"/>
      <c r="BM253" s="200"/>
      <c r="BN253" s="200"/>
    </row>
    <row r="254" customFormat="false" ht="15" hidden="false" customHeight="true" outlineLevel="0" collapsed="false">
      <c r="B254" s="275"/>
      <c r="D254" s="276" t="n">
        <f aca="false">D238</f>
        <v>45474</v>
      </c>
      <c r="E254" s="277" t="n">
        <v>0</v>
      </c>
      <c r="F254" s="277" t="n">
        <v>0</v>
      </c>
      <c r="G254" s="277" t="n">
        <v>0</v>
      </c>
      <c r="H254" s="277" t="n">
        <v>0</v>
      </c>
      <c r="I254" s="277" t="n">
        <v>0</v>
      </c>
      <c r="J254" s="278" t="n">
        <f aca="false">E254+H254+I254</f>
        <v>0</v>
      </c>
      <c r="K254" s="204"/>
      <c r="L254" s="279" t="n">
        <v>1</v>
      </c>
      <c r="M254" s="280" t="n">
        <f aca="false">1-L254</f>
        <v>0</v>
      </c>
      <c r="N254" s="281"/>
      <c r="O254" s="282"/>
      <c r="P254" s="282"/>
      <c r="Q254" s="282"/>
      <c r="R254" s="282"/>
      <c r="S254" s="282"/>
      <c r="T254" s="282"/>
      <c r="U254" s="282"/>
      <c r="V254" s="282"/>
      <c r="W254" s="282"/>
      <c r="X254" s="282"/>
      <c r="Y254" s="282"/>
      <c r="Z254" s="282"/>
      <c r="AA254" s="283"/>
      <c r="AB254" s="284" t="n">
        <f aca="false">IFERROR(($J254*O254)*$L254, "")</f>
        <v>0</v>
      </c>
      <c r="AC254" s="284" t="n">
        <f aca="false">IFERROR(($J254*P254)*$L254, "")</f>
        <v>0</v>
      </c>
      <c r="AD254" s="284" t="n">
        <f aca="false">IFERROR(($J254*Q254)*$L254, "")</f>
        <v>0</v>
      </c>
      <c r="AE254" s="284" t="n">
        <f aca="false">IFERROR(($J254*R254)*$L254, "")</f>
        <v>0</v>
      </c>
      <c r="AF254" s="284" t="n">
        <f aca="false">IFERROR(($J254*S254)*$L254, "")</f>
        <v>0</v>
      </c>
      <c r="AG254" s="284" t="n">
        <f aca="false">IFERROR(($J254*T254)*$L254, "")</f>
        <v>0</v>
      </c>
      <c r="AH254" s="284" t="n">
        <f aca="false">IFERROR(($J254*U254)*$L254, "")</f>
        <v>0</v>
      </c>
      <c r="AI254" s="284" t="n">
        <f aca="false">IFERROR(($J254*V254)*$L254, "")</f>
        <v>0</v>
      </c>
      <c r="AJ254" s="284" t="n">
        <f aca="false">IFERROR(($J254*W254)*$L254, "")</f>
        <v>0</v>
      </c>
      <c r="AK254" s="284" t="n">
        <f aca="false">IFERROR(($J254*X254)*$L254, "")</f>
        <v>0</v>
      </c>
      <c r="AL254" s="284" t="n">
        <f aca="false">IFERROR(($J254*Y254)*$L254, "")</f>
        <v>0</v>
      </c>
      <c r="AM254" s="285" t="n">
        <f aca="false">IFERROR(($J254*Z254)*$L254, "")</f>
        <v>0</v>
      </c>
      <c r="AN254" s="286" t="n">
        <f aca="false">IFERROR(SUMIF($AB$4:$AM$4, "RDEC", AB254:AM254), "")</f>
        <v>0</v>
      </c>
      <c r="AO254" s="286" t="n">
        <f aca="false">IFERROR(SUMIF($AB$4:$AM$4, "SME", AB254:AM254), "")</f>
        <v>0</v>
      </c>
      <c r="AP254" s="286" t="n">
        <f aca="false">IFERROR(SUMIF($AB$4:$AM$4, "De Minimis", AB254:AM254), "")</f>
        <v>0</v>
      </c>
      <c r="AQ254" s="283"/>
      <c r="AR254" s="284" t="n">
        <f aca="false">IFERROR(($J254*O254)*$M254, "")</f>
        <v>0</v>
      </c>
      <c r="AS254" s="284" t="n">
        <f aca="false">IFERROR(($J254*P254)*$M254, "")</f>
        <v>0</v>
      </c>
      <c r="AT254" s="284" t="n">
        <f aca="false">IFERROR(($J254*Q254)*$M254, "")</f>
        <v>0</v>
      </c>
      <c r="AU254" s="284" t="n">
        <f aca="false">IFERROR(($J254*R254)*$M254, "")</f>
        <v>0</v>
      </c>
      <c r="AV254" s="284" t="n">
        <f aca="false">IFERROR(($J254*S254)*$M254, "")</f>
        <v>0</v>
      </c>
      <c r="AW254" s="284" t="n">
        <f aca="false">IFERROR(($J254*T254)*$M254, "")</f>
        <v>0</v>
      </c>
      <c r="AX254" s="284" t="n">
        <f aca="false">IFERROR(($J254*U254)*$M254, "")</f>
        <v>0</v>
      </c>
      <c r="AY254" s="284" t="n">
        <f aca="false">IFERROR(($J254*V254)*$M254, "")</f>
        <v>0</v>
      </c>
      <c r="AZ254" s="284" t="n">
        <f aca="false">IFERROR(($J254*W254)*$M254, "")</f>
        <v>0</v>
      </c>
      <c r="BA254" s="284" t="n">
        <f aca="false">IFERROR(($J254*X254)*$M254, "")</f>
        <v>0</v>
      </c>
      <c r="BB254" s="284" t="n">
        <f aca="false">IFERROR(($J254*Y254)*$M254, "")</f>
        <v>0</v>
      </c>
      <c r="BC254" s="285" t="n">
        <f aca="false">IFERROR(($J254*Z254)*$M254, "")</f>
        <v>0</v>
      </c>
      <c r="BD254" s="286" t="n">
        <f aca="false">IFERROR(SUMIF($AB$4:$AM$4, "RDEC", AR254:BC254), "")</f>
        <v>0</v>
      </c>
      <c r="BE254" s="286" t="n">
        <f aca="false">IFERROR(SUMIF($AB$4:$AM$4, "SME", AR254:BC254), "")</f>
        <v>0</v>
      </c>
      <c r="BF254" s="286" t="n">
        <f aca="false">IFERROR(SUMIF($AB$4:$AM$4, "De Minimis", AR254:BC254), "")</f>
        <v>0</v>
      </c>
      <c r="BG254" s="287"/>
      <c r="BH254" s="288" t="str">
        <f aca="false">IF((SUM(O254:Z254)&gt;1),"ERROR","")</f>
        <v/>
      </c>
      <c r="BI254" s="287"/>
      <c r="BJ254" s="18" t="str">
        <f aca="false">IF(C240&gt;0, C240, "")</f>
        <v/>
      </c>
      <c r="BL254" s="200"/>
      <c r="BM254" s="200"/>
      <c r="BN254" s="200"/>
    </row>
    <row r="255" customFormat="false" ht="15" hidden="false" customHeight="true" outlineLevel="0" collapsed="false">
      <c r="B255" s="275"/>
      <c r="D255" s="276" t="n">
        <f aca="false">D239</f>
        <v>45505</v>
      </c>
      <c r="E255" s="277" t="n">
        <v>0</v>
      </c>
      <c r="F255" s="277" t="n">
        <v>0</v>
      </c>
      <c r="G255" s="277" t="n">
        <v>0</v>
      </c>
      <c r="H255" s="277" t="n">
        <v>0</v>
      </c>
      <c r="I255" s="277" t="n">
        <v>0</v>
      </c>
      <c r="J255" s="278" t="n">
        <f aca="false">E255+H255+I255</f>
        <v>0</v>
      </c>
      <c r="K255" s="204"/>
      <c r="L255" s="279" t="n">
        <v>1</v>
      </c>
      <c r="M255" s="280" t="n">
        <f aca="false">1-L255</f>
        <v>0</v>
      </c>
      <c r="N255" s="281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83"/>
      <c r="AB255" s="284" t="n">
        <f aca="false">IFERROR(($J255*O255)*$L255, "")</f>
        <v>0</v>
      </c>
      <c r="AC255" s="284" t="n">
        <f aca="false">IFERROR(($J255*P255)*$L255, "")</f>
        <v>0</v>
      </c>
      <c r="AD255" s="284" t="n">
        <f aca="false">IFERROR(($J255*Q255)*$L255, "")</f>
        <v>0</v>
      </c>
      <c r="AE255" s="284" t="n">
        <f aca="false">IFERROR(($J255*R255)*$L255, "")</f>
        <v>0</v>
      </c>
      <c r="AF255" s="284" t="n">
        <f aca="false">IFERROR(($J255*S255)*$L255, "")</f>
        <v>0</v>
      </c>
      <c r="AG255" s="284" t="n">
        <f aca="false">IFERROR(($J255*T255)*$L255, "")</f>
        <v>0</v>
      </c>
      <c r="AH255" s="284" t="n">
        <f aca="false">IFERROR(($J255*U255)*$L255, "")</f>
        <v>0</v>
      </c>
      <c r="AI255" s="284" t="n">
        <f aca="false">IFERROR(($J255*V255)*$L255, "")</f>
        <v>0</v>
      </c>
      <c r="AJ255" s="284" t="n">
        <f aca="false">IFERROR(($J255*W255)*$L255, "")</f>
        <v>0</v>
      </c>
      <c r="AK255" s="284" t="n">
        <f aca="false">IFERROR(($J255*X255)*$L255, "")</f>
        <v>0</v>
      </c>
      <c r="AL255" s="284" t="n">
        <f aca="false">IFERROR(($J255*Y255)*$L255, "")</f>
        <v>0</v>
      </c>
      <c r="AM255" s="285" t="n">
        <f aca="false">IFERROR(($J255*Z255)*$L255, "")</f>
        <v>0</v>
      </c>
      <c r="AN255" s="286" t="n">
        <f aca="false">IFERROR(SUMIF($AB$4:$AM$4, "RDEC", AB255:AM255), "")</f>
        <v>0</v>
      </c>
      <c r="AO255" s="286" t="n">
        <f aca="false">IFERROR(SUMIF($AB$4:$AM$4, "SME", AB255:AM255), "")</f>
        <v>0</v>
      </c>
      <c r="AP255" s="286" t="n">
        <f aca="false">IFERROR(SUMIF($AB$4:$AM$4, "De Minimis", AB255:AM255), "")</f>
        <v>0</v>
      </c>
      <c r="AQ255" s="283"/>
      <c r="AR255" s="284" t="n">
        <f aca="false">IFERROR(($J255*O255)*$M255, "")</f>
        <v>0</v>
      </c>
      <c r="AS255" s="284" t="n">
        <f aca="false">IFERROR(($J255*P255)*$M255, "")</f>
        <v>0</v>
      </c>
      <c r="AT255" s="284" t="n">
        <f aca="false">IFERROR(($J255*Q255)*$M255, "")</f>
        <v>0</v>
      </c>
      <c r="AU255" s="284" t="n">
        <f aca="false">IFERROR(($J255*R255)*$M255, "")</f>
        <v>0</v>
      </c>
      <c r="AV255" s="284" t="n">
        <f aca="false">IFERROR(($J255*S255)*$M255, "")</f>
        <v>0</v>
      </c>
      <c r="AW255" s="284" t="n">
        <f aca="false">IFERROR(($J255*T255)*$M255, "")</f>
        <v>0</v>
      </c>
      <c r="AX255" s="284" t="n">
        <f aca="false">IFERROR(($J255*U255)*$M255, "")</f>
        <v>0</v>
      </c>
      <c r="AY255" s="284" t="n">
        <f aca="false">IFERROR(($J255*V255)*$M255, "")</f>
        <v>0</v>
      </c>
      <c r="AZ255" s="284" t="n">
        <f aca="false">IFERROR(($J255*W255)*$M255, "")</f>
        <v>0</v>
      </c>
      <c r="BA255" s="284" t="n">
        <f aca="false">IFERROR(($J255*X255)*$M255, "")</f>
        <v>0</v>
      </c>
      <c r="BB255" s="284" t="n">
        <f aca="false">IFERROR(($J255*Y255)*$M255, "")</f>
        <v>0</v>
      </c>
      <c r="BC255" s="285" t="n">
        <f aca="false">IFERROR(($J255*Z255)*$M255, "")</f>
        <v>0</v>
      </c>
      <c r="BD255" s="286" t="n">
        <f aca="false">IFERROR(SUMIF($AB$4:$AM$4, "RDEC", AR255:BC255), "")</f>
        <v>0</v>
      </c>
      <c r="BE255" s="286" t="n">
        <f aca="false">IFERROR(SUMIF($AB$4:$AM$4, "SME", AR255:BC255), "")</f>
        <v>0</v>
      </c>
      <c r="BF255" s="286" t="n">
        <f aca="false">IFERROR(SUMIF($AB$4:$AM$4, "De Minimis", AR255:BC255), "")</f>
        <v>0</v>
      </c>
      <c r="BG255" s="287"/>
      <c r="BH255" s="288" t="str">
        <f aca="false">IF((SUM(O255:Z255)&gt;1),"ERROR","")</f>
        <v/>
      </c>
      <c r="BI255" s="287"/>
      <c r="BJ255" s="18" t="str">
        <f aca="false">IF(C241&gt;0, C241, "")</f>
        <v/>
      </c>
      <c r="BL255" s="200"/>
      <c r="BM255" s="200"/>
      <c r="BN255" s="200"/>
    </row>
    <row r="256" customFormat="false" ht="15" hidden="false" customHeight="true" outlineLevel="0" collapsed="false">
      <c r="B256" s="275"/>
      <c r="D256" s="276" t="n">
        <f aca="false">D240</f>
        <v>45536</v>
      </c>
      <c r="E256" s="277" t="n">
        <v>0</v>
      </c>
      <c r="F256" s="277" t="n">
        <v>0</v>
      </c>
      <c r="G256" s="277" t="n">
        <v>0</v>
      </c>
      <c r="H256" s="277" t="n">
        <v>0</v>
      </c>
      <c r="I256" s="277" t="n">
        <v>0</v>
      </c>
      <c r="J256" s="278" t="n">
        <f aca="false">E256+H256+I256</f>
        <v>0</v>
      </c>
      <c r="K256" s="204"/>
      <c r="L256" s="279" t="n">
        <v>1</v>
      </c>
      <c r="M256" s="280" t="n">
        <f aca="false">1-L256</f>
        <v>0</v>
      </c>
      <c r="N256" s="281"/>
      <c r="O256" s="282"/>
      <c r="P256" s="282"/>
      <c r="Q256" s="282"/>
      <c r="R256" s="282"/>
      <c r="S256" s="282"/>
      <c r="T256" s="282"/>
      <c r="U256" s="282"/>
      <c r="V256" s="282"/>
      <c r="W256" s="282"/>
      <c r="X256" s="282"/>
      <c r="Y256" s="282"/>
      <c r="Z256" s="282"/>
      <c r="AA256" s="283"/>
      <c r="AB256" s="284" t="n">
        <f aca="false">IFERROR(($J256*O256)*$L256, "")</f>
        <v>0</v>
      </c>
      <c r="AC256" s="284" t="n">
        <f aca="false">IFERROR(($J256*P256)*$L256, "")</f>
        <v>0</v>
      </c>
      <c r="AD256" s="284" t="n">
        <f aca="false">IFERROR(($J256*Q256)*$L256, "")</f>
        <v>0</v>
      </c>
      <c r="AE256" s="284" t="n">
        <f aca="false">IFERROR(($J256*R256)*$L256, "")</f>
        <v>0</v>
      </c>
      <c r="AF256" s="284" t="n">
        <f aca="false">IFERROR(($J256*S256)*$L256, "")</f>
        <v>0</v>
      </c>
      <c r="AG256" s="284" t="n">
        <f aca="false">IFERROR(($J256*T256)*$L256, "")</f>
        <v>0</v>
      </c>
      <c r="AH256" s="284" t="n">
        <f aca="false">IFERROR(($J256*U256)*$L256, "")</f>
        <v>0</v>
      </c>
      <c r="AI256" s="284" t="n">
        <f aca="false">IFERROR(($J256*V256)*$L256, "")</f>
        <v>0</v>
      </c>
      <c r="AJ256" s="284" t="n">
        <f aca="false">IFERROR(($J256*W256)*$L256, "")</f>
        <v>0</v>
      </c>
      <c r="AK256" s="284" t="n">
        <f aca="false">IFERROR(($J256*X256)*$L256, "")</f>
        <v>0</v>
      </c>
      <c r="AL256" s="284" t="n">
        <f aca="false">IFERROR(($J256*Y256)*$L256, "")</f>
        <v>0</v>
      </c>
      <c r="AM256" s="285" t="n">
        <f aca="false">IFERROR(($J256*Z256)*$L256, "")</f>
        <v>0</v>
      </c>
      <c r="AN256" s="286" t="n">
        <f aca="false">IFERROR(SUMIF($AB$4:$AM$4, "RDEC", AB256:AM256), "")</f>
        <v>0</v>
      </c>
      <c r="AO256" s="286" t="n">
        <f aca="false">IFERROR(SUMIF($AB$4:$AM$4, "SME", AB256:AM256), "")</f>
        <v>0</v>
      </c>
      <c r="AP256" s="286" t="n">
        <f aca="false">IFERROR(SUMIF($AB$4:$AM$4, "De Minimis", AB256:AM256), "")</f>
        <v>0</v>
      </c>
      <c r="AQ256" s="283"/>
      <c r="AR256" s="284" t="n">
        <f aca="false">IFERROR(($J256*O256)*$M256, "")</f>
        <v>0</v>
      </c>
      <c r="AS256" s="284" t="n">
        <f aca="false">IFERROR(($J256*P256)*$M256, "")</f>
        <v>0</v>
      </c>
      <c r="AT256" s="284" t="n">
        <f aca="false">IFERROR(($J256*Q256)*$M256, "")</f>
        <v>0</v>
      </c>
      <c r="AU256" s="284" t="n">
        <f aca="false">IFERROR(($J256*R256)*$M256, "")</f>
        <v>0</v>
      </c>
      <c r="AV256" s="284" t="n">
        <f aca="false">IFERROR(($J256*S256)*$M256, "")</f>
        <v>0</v>
      </c>
      <c r="AW256" s="284" t="n">
        <f aca="false">IFERROR(($J256*T256)*$M256, "")</f>
        <v>0</v>
      </c>
      <c r="AX256" s="284" t="n">
        <f aca="false">IFERROR(($J256*U256)*$M256, "")</f>
        <v>0</v>
      </c>
      <c r="AY256" s="284" t="n">
        <f aca="false">IFERROR(($J256*V256)*$M256, "")</f>
        <v>0</v>
      </c>
      <c r="AZ256" s="284" t="n">
        <f aca="false">IFERROR(($J256*W256)*$M256, "")</f>
        <v>0</v>
      </c>
      <c r="BA256" s="284" t="n">
        <f aca="false">IFERROR(($J256*X256)*$M256, "")</f>
        <v>0</v>
      </c>
      <c r="BB256" s="284" t="n">
        <f aca="false">IFERROR(($J256*Y256)*$M256, "")</f>
        <v>0</v>
      </c>
      <c r="BC256" s="285" t="n">
        <f aca="false">IFERROR(($J256*Z256)*$M256, "")</f>
        <v>0</v>
      </c>
      <c r="BD256" s="286" t="n">
        <f aca="false">IFERROR(SUMIF($AB$4:$AM$4, "RDEC", AR256:BC256), "")</f>
        <v>0</v>
      </c>
      <c r="BE256" s="286" t="n">
        <f aca="false">IFERROR(SUMIF($AB$4:$AM$4, "SME", AR256:BC256), "")</f>
        <v>0</v>
      </c>
      <c r="BF256" s="286" t="n">
        <f aca="false">IFERROR(SUMIF($AB$4:$AM$4, "De Minimis", AR256:BC256), "")</f>
        <v>0</v>
      </c>
      <c r="BG256" s="287"/>
      <c r="BH256" s="288" t="str">
        <f aca="false">IF((SUM(O256:Z256)&gt;1),"ERROR","")</f>
        <v/>
      </c>
      <c r="BI256" s="287"/>
      <c r="BJ256" s="18" t="str">
        <f aca="false">IF(C242&gt;0, C242, "")</f>
        <v/>
      </c>
      <c r="BL256" s="200"/>
      <c r="BM256" s="200"/>
      <c r="BN256" s="200"/>
    </row>
    <row r="257" customFormat="false" ht="15" hidden="false" customHeight="true" outlineLevel="0" collapsed="false">
      <c r="B257" s="275"/>
      <c r="D257" s="276" t="n">
        <f aca="false">D241</f>
        <v>45566</v>
      </c>
      <c r="E257" s="277" t="n">
        <v>0</v>
      </c>
      <c r="F257" s="277" t="n">
        <v>0</v>
      </c>
      <c r="G257" s="277" t="n">
        <v>0</v>
      </c>
      <c r="H257" s="277" t="n">
        <v>0</v>
      </c>
      <c r="I257" s="277" t="n">
        <v>0</v>
      </c>
      <c r="J257" s="278" t="n">
        <f aca="false">E257+H257+I257</f>
        <v>0</v>
      </c>
      <c r="K257" s="204"/>
      <c r="L257" s="279" t="n">
        <v>1</v>
      </c>
      <c r="M257" s="280" t="n">
        <f aca="false">1-L257</f>
        <v>0</v>
      </c>
      <c r="N257" s="281"/>
      <c r="O257" s="282"/>
      <c r="P257" s="282"/>
      <c r="Q257" s="282"/>
      <c r="R257" s="282"/>
      <c r="S257" s="282"/>
      <c r="T257" s="282"/>
      <c r="U257" s="282"/>
      <c r="V257" s="282"/>
      <c r="W257" s="282"/>
      <c r="X257" s="282"/>
      <c r="Y257" s="282"/>
      <c r="Z257" s="282"/>
      <c r="AA257" s="283"/>
      <c r="AB257" s="284" t="n">
        <f aca="false">IFERROR(($J257*O257)*$L257, "")</f>
        <v>0</v>
      </c>
      <c r="AC257" s="284" t="n">
        <f aca="false">IFERROR(($J257*P257)*$L257, "")</f>
        <v>0</v>
      </c>
      <c r="AD257" s="284" t="n">
        <f aca="false">IFERROR(($J257*Q257)*$L257, "")</f>
        <v>0</v>
      </c>
      <c r="AE257" s="284" t="n">
        <f aca="false">IFERROR(($J257*R257)*$L257, "")</f>
        <v>0</v>
      </c>
      <c r="AF257" s="284" t="n">
        <f aca="false">IFERROR(($J257*S257)*$L257, "")</f>
        <v>0</v>
      </c>
      <c r="AG257" s="284" t="n">
        <f aca="false">IFERROR(($J257*T257)*$L257, "")</f>
        <v>0</v>
      </c>
      <c r="AH257" s="284" t="n">
        <f aca="false">IFERROR(($J257*U257)*$L257, "")</f>
        <v>0</v>
      </c>
      <c r="AI257" s="284" t="n">
        <f aca="false">IFERROR(($J257*V257)*$L257, "")</f>
        <v>0</v>
      </c>
      <c r="AJ257" s="284" t="n">
        <f aca="false">IFERROR(($J257*W257)*$L257, "")</f>
        <v>0</v>
      </c>
      <c r="AK257" s="284" t="n">
        <f aca="false">IFERROR(($J257*X257)*$L257, "")</f>
        <v>0</v>
      </c>
      <c r="AL257" s="284" t="n">
        <f aca="false">IFERROR(($J257*Y257)*$L257, "")</f>
        <v>0</v>
      </c>
      <c r="AM257" s="285" t="n">
        <f aca="false">IFERROR(($J257*Z257)*$L257, "")</f>
        <v>0</v>
      </c>
      <c r="AN257" s="286" t="n">
        <f aca="false">IFERROR(SUMIF($AB$4:$AM$4, "RDEC", AB257:AM257), "")</f>
        <v>0</v>
      </c>
      <c r="AO257" s="286" t="n">
        <f aca="false">IFERROR(SUMIF($AB$4:$AM$4, "SME", AB257:AM257), "")</f>
        <v>0</v>
      </c>
      <c r="AP257" s="286" t="n">
        <f aca="false">IFERROR(SUMIF($AB$4:$AM$4, "De Minimis", AB257:AM257), "")</f>
        <v>0</v>
      </c>
      <c r="AQ257" s="283"/>
      <c r="AR257" s="284" t="n">
        <f aca="false">IFERROR(($J257*O257)*$M257, "")</f>
        <v>0</v>
      </c>
      <c r="AS257" s="284" t="n">
        <f aca="false">IFERROR(($J257*P257)*$M257, "")</f>
        <v>0</v>
      </c>
      <c r="AT257" s="284" t="n">
        <f aca="false">IFERROR(($J257*Q257)*$M257, "")</f>
        <v>0</v>
      </c>
      <c r="AU257" s="284" t="n">
        <f aca="false">IFERROR(($J257*R257)*$M257, "")</f>
        <v>0</v>
      </c>
      <c r="AV257" s="284" t="n">
        <f aca="false">IFERROR(($J257*S257)*$M257, "")</f>
        <v>0</v>
      </c>
      <c r="AW257" s="284" t="n">
        <f aca="false">IFERROR(($J257*T257)*$M257, "")</f>
        <v>0</v>
      </c>
      <c r="AX257" s="284" t="n">
        <f aca="false">IFERROR(($J257*U257)*$M257, "")</f>
        <v>0</v>
      </c>
      <c r="AY257" s="284" t="n">
        <f aca="false">IFERROR(($J257*V257)*$M257, "")</f>
        <v>0</v>
      </c>
      <c r="AZ257" s="284" t="n">
        <f aca="false">IFERROR(($J257*W257)*$M257, "")</f>
        <v>0</v>
      </c>
      <c r="BA257" s="284" t="n">
        <f aca="false">IFERROR(($J257*X257)*$M257, "")</f>
        <v>0</v>
      </c>
      <c r="BB257" s="284" t="n">
        <f aca="false">IFERROR(($J257*Y257)*$M257, "")</f>
        <v>0</v>
      </c>
      <c r="BC257" s="285" t="n">
        <f aca="false">IFERROR(($J257*Z257)*$M257, "")</f>
        <v>0</v>
      </c>
      <c r="BD257" s="286" t="n">
        <f aca="false">IFERROR(SUMIF($AB$4:$AM$4, "RDEC", AR257:BC257), "")</f>
        <v>0</v>
      </c>
      <c r="BE257" s="286" t="n">
        <f aca="false">IFERROR(SUMIF($AB$4:$AM$4, "SME", AR257:BC257), "")</f>
        <v>0</v>
      </c>
      <c r="BF257" s="286" t="n">
        <f aca="false">IFERROR(SUMIF($AB$4:$AM$4, "De Minimis", AR257:BC257), "")</f>
        <v>0</v>
      </c>
      <c r="BG257" s="287"/>
      <c r="BH257" s="288" t="str">
        <f aca="false">IF((SUM(O257:Z257)&gt;1),"ERROR","")</f>
        <v/>
      </c>
      <c r="BI257" s="287"/>
      <c r="BJ257" s="18" t="str">
        <f aca="false">IF(C243&gt;0, C243, "")</f>
        <v/>
      </c>
      <c r="BL257" s="200"/>
      <c r="BM257" s="200"/>
      <c r="BN257" s="200"/>
    </row>
    <row r="258" customFormat="false" ht="15" hidden="false" customHeight="true" outlineLevel="0" collapsed="false">
      <c r="B258" s="275"/>
      <c r="D258" s="276" t="n">
        <f aca="false">D242</f>
        <v>45597</v>
      </c>
      <c r="E258" s="277" t="n">
        <v>0</v>
      </c>
      <c r="F258" s="277" t="n">
        <v>0</v>
      </c>
      <c r="G258" s="277" t="n">
        <v>0</v>
      </c>
      <c r="H258" s="277" t="n">
        <v>0</v>
      </c>
      <c r="I258" s="277" t="n">
        <v>0</v>
      </c>
      <c r="J258" s="278" t="n">
        <f aca="false">E258+H258+I258</f>
        <v>0</v>
      </c>
      <c r="K258" s="204"/>
      <c r="L258" s="279" t="n">
        <v>1</v>
      </c>
      <c r="M258" s="280" t="n">
        <f aca="false">1-L258</f>
        <v>0</v>
      </c>
      <c r="N258" s="281"/>
      <c r="O258" s="282"/>
      <c r="P258" s="282"/>
      <c r="Q258" s="282"/>
      <c r="R258" s="282"/>
      <c r="S258" s="282"/>
      <c r="T258" s="282"/>
      <c r="U258" s="282"/>
      <c r="V258" s="282"/>
      <c r="W258" s="282"/>
      <c r="X258" s="282"/>
      <c r="Y258" s="282"/>
      <c r="Z258" s="282"/>
      <c r="AA258" s="283"/>
      <c r="AB258" s="284" t="n">
        <f aca="false">IFERROR(($J258*O258)*$L258, "")</f>
        <v>0</v>
      </c>
      <c r="AC258" s="284" t="n">
        <f aca="false">IFERROR(($J258*P258)*$L258, "")</f>
        <v>0</v>
      </c>
      <c r="AD258" s="284" t="n">
        <f aca="false">IFERROR(($J258*Q258)*$L258, "")</f>
        <v>0</v>
      </c>
      <c r="AE258" s="284" t="n">
        <f aca="false">IFERROR(($J258*R258)*$L258, "")</f>
        <v>0</v>
      </c>
      <c r="AF258" s="284" t="n">
        <f aca="false">IFERROR(($J258*S258)*$L258, "")</f>
        <v>0</v>
      </c>
      <c r="AG258" s="284" t="n">
        <f aca="false">IFERROR(($J258*T258)*$L258, "")</f>
        <v>0</v>
      </c>
      <c r="AH258" s="284" t="n">
        <f aca="false">IFERROR(($J258*U258)*$L258, "")</f>
        <v>0</v>
      </c>
      <c r="AI258" s="284" t="n">
        <f aca="false">IFERROR(($J258*V258)*$L258, "")</f>
        <v>0</v>
      </c>
      <c r="AJ258" s="284" t="n">
        <f aca="false">IFERROR(($J258*W258)*$L258, "")</f>
        <v>0</v>
      </c>
      <c r="AK258" s="284" t="n">
        <f aca="false">IFERROR(($J258*X258)*$L258, "")</f>
        <v>0</v>
      </c>
      <c r="AL258" s="284" t="n">
        <f aca="false">IFERROR(($J258*Y258)*$L258, "")</f>
        <v>0</v>
      </c>
      <c r="AM258" s="285" t="n">
        <f aca="false">IFERROR(($J258*Z258)*$L258, "")</f>
        <v>0</v>
      </c>
      <c r="AN258" s="286" t="n">
        <f aca="false">IFERROR(SUMIF($AB$4:$AM$4, "RDEC", AB258:AM258), "")</f>
        <v>0</v>
      </c>
      <c r="AO258" s="286" t="n">
        <f aca="false">IFERROR(SUMIF($AB$4:$AM$4, "SME", AB258:AM258), "")</f>
        <v>0</v>
      </c>
      <c r="AP258" s="286" t="n">
        <f aca="false">IFERROR(SUMIF($AB$4:$AM$4, "De Minimis", AB258:AM258), "")</f>
        <v>0</v>
      </c>
      <c r="AQ258" s="283"/>
      <c r="AR258" s="284" t="n">
        <f aca="false">IFERROR(($J258*O258)*$M258, "")</f>
        <v>0</v>
      </c>
      <c r="AS258" s="284" t="n">
        <f aca="false">IFERROR(($J258*P258)*$M258, "")</f>
        <v>0</v>
      </c>
      <c r="AT258" s="284" t="n">
        <f aca="false">IFERROR(($J258*Q258)*$M258, "")</f>
        <v>0</v>
      </c>
      <c r="AU258" s="284" t="n">
        <f aca="false">IFERROR(($J258*R258)*$M258, "")</f>
        <v>0</v>
      </c>
      <c r="AV258" s="284" t="n">
        <f aca="false">IFERROR(($J258*S258)*$M258, "")</f>
        <v>0</v>
      </c>
      <c r="AW258" s="284" t="n">
        <f aca="false">IFERROR(($J258*T258)*$M258, "")</f>
        <v>0</v>
      </c>
      <c r="AX258" s="284" t="n">
        <f aca="false">IFERROR(($J258*U258)*$M258, "")</f>
        <v>0</v>
      </c>
      <c r="AY258" s="284" t="n">
        <f aca="false">IFERROR(($J258*V258)*$M258, "")</f>
        <v>0</v>
      </c>
      <c r="AZ258" s="284" t="n">
        <f aca="false">IFERROR(($J258*W258)*$M258, "")</f>
        <v>0</v>
      </c>
      <c r="BA258" s="284" t="n">
        <f aca="false">IFERROR(($J258*X258)*$M258, "")</f>
        <v>0</v>
      </c>
      <c r="BB258" s="284" t="n">
        <f aca="false">IFERROR(($J258*Y258)*$M258, "")</f>
        <v>0</v>
      </c>
      <c r="BC258" s="285" t="n">
        <f aca="false">IFERROR(($J258*Z258)*$M258, "")</f>
        <v>0</v>
      </c>
      <c r="BD258" s="286" t="n">
        <f aca="false">IFERROR(SUMIF($AB$4:$AM$4, "RDEC", AR258:BC258), "")</f>
        <v>0</v>
      </c>
      <c r="BE258" s="286" t="n">
        <f aca="false">IFERROR(SUMIF($AB$4:$AM$4, "SME", AR258:BC258), "")</f>
        <v>0</v>
      </c>
      <c r="BF258" s="286" t="n">
        <f aca="false">IFERROR(SUMIF($AB$4:$AM$4, "De Minimis", AR258:BC258), "")</f>
        <v>0</v>
      </c>
      <c r="BG258" s="287"/>
      <c r="BH258" s="288" t="str">
        <f aca="false">IF((SUM(O258:Z258)&gt;1),"ERROR","")</f>
        <v/>
      </c>
      <c r="BI258" s="287"/>
      <c r="BJ258" s="18" t="str">
        <f aca="false">IF(C244&gt;0, C244, "")</f>
        <v/>
      </c>
      <c r="BL258" s="200"/>
      <c r="BM258" s="200"/>
      <c r="BN258" s="200"/>
    </row>
    <row r="259" customFormat="false" ht="15" hidden="false" customHeight="true" outlineLevel="0" collapsed="false">
      <c r="B259" s="275"/>
      <c r="D259" s="276" t="n">
        <f aca="false">D243</f>
        <v>45627</v>
      </c>
      <c r="E259" s="277" t="n">
        <v>0</v>
      </c>
      <c r="F259" s="277" t="n">
        <v>0</v>
      </c>
      <c r="G259" s="277" t="n">
        <v>0</v>
      </c>
      <c r="H259" s="277" t="n">
        <v>0</v>
      </c>
      <c r="I259" s="277" t="n">
        <v>0</v>
      </c>
      <c r="J259" s="278" t="n">
        <f aca="false">E259+H259+I259</f>
        <v>0</v>
      </c>
      <c r="K259" s="204"/>
      <c r="L259" s="289" t="n">
        <v>1</v>
      </c>
      <c r="M259" s="290" t="n">
        <f aca="false">1-L259</f>
        <v>0</v>
      </c>
      <c r="N259" s="281"/>
      <c r="O259" s="291"/>
      <c r="P259" s="291"/>
      <c r="Q259" s="291"/>
      <c r="R259" s="291"/>
      <c r="S259" s="291"/>
      <c r="T259" s="291"/>
      <c r="U259" s="291"/>
      <c r="V259" s="291"/>
      <c r="W259" s="291"/>
      <c r="X259" s="291"/>
      <c r="Y259" s="291"/>
      <c r="Z259" s="291"/>
      <c r="AA259" s="283"/>
      <c r="AB259" s="292" t="n">
        <f aca="false">IFERROR(($J259*O259)*$L259, "")</f>
        <v>0</v>
      </c>
      <c r="AC259" s="292" t="n">
        <f aca="false">IFERROR(($J259*P259)*$L259, "")</f>
        <v>0</v>
      </c>
      <c r="AD259" s="292" t="n">
        <f aca="false">IFERROR(($J259*Q259)*$L259, "")</f>
        <v>0</v>
      </c>
      <c r="AE259" s="292" t="n">
        <f aca="false">IFERROR(($J259*R259)*$L259, "")</f>
        <v>0</v>
      </c>
      <c r="AF259" s="292" t="n">
        <f aca="false">IFERROR(($J259*S259)*$L259, "")</f>
        <v>0</v>
      </c>
      <c r="AG259" s="292" t="n">
        <f aca="false">IFERROR(($J259*T259)*$L259, "")</f>
        <v>0</v>
      </c>
      <c r="AH259" s="292" t="n">
        <f aca="false">IFERROR(($J259*U259)*$L259, "")</f>
        <v>0</v>
      </c>
      <c r="AI259" s="292" t="n">
        <f aca="false">IFERROR(($J259*V259)*$L259, "")</f>
        <v>0</v>
      </c>
      <c r="AJ259" s="292" t="n">
        <f aca="false">IFERROR(($J259*W259)*$L259, "")</f>
        <v>0</v>
      </c>
      <c r="AK259" s="292" t="n">
        <f aca="false">IFERROR(($J259*X259)*$L259, "")</f>
        <v>0</v>
      </c>
      <c r="AL259" s="292" t="n">
        <f aca="false">IFERROR(($J259*Y259)*$L259, "")</f>
        <v>0</v>
      </c>
      <c r="AM259" s="293" t="n">
        <f aca="false">IFERROR(($J259*Z259)*$L259, "")</f>
        <v>0</v>
      </c>
      <c r="AN259" s="294" t="n">
        <f aca="false">IFERROR(SUMIF($AB$4:$AM$4, "RDEC", AB259:AM259), "")</f>
        <v>0</v>
      </c>
      <c r="AO259" s="294" t="n">
        <f aca="false">IFERROR(SUMIF($AB$4:$AM$4, "SME", AB259:AM259), "")</f>
        <v>0</v>
      </c>
      <c r="AP259" s="294" t="n">
        <f aca="false">IFERROR(SUMIF($AB$4:$AM$4, "De Minimis", AB259:AM259), "")</f>
        <v>0</v>
      </c>
      <c r="AQ259" s="283"/>
      <c r="AR259" s="292" t="n">
        <f aca="false">IFERROR(($J259*O259)*$M259, "")</f>
        <v>0</v>
      </c>
      <c r="AS259" s="292" t="n">
        <f aca="false">IFERROR(($J259*P259)*$M259, "")</f>
        <v>0</v>
      </c>
      <c r="AT259" s="292" t="n">
        <f aca="false">IFERROR(($J259*Q259)*$M259, "")</f>
        <v>0</v>
      </c>
      <c r="AU259" s="292" t="n">
        <f aca="false">IFERROR(($J259*R259)*$M259, "")</f>
        <v>0</v>
      </c>
      <c r="AV259" s="292" t="n">
        <f aca="false">IFERROR(($J259*S259)*$M259, "")</f>
        <v>0</v>
      </c>
      <c r="AW259" s="292" t="n">
        <f aca="false">IFERROR(($J259*T259)*$M259, "")</f>
        <v>0</v>
      </c>
      <c r="AX259" s="292" t="n">
        <f aca="false">IFERROR(($J259*U259)*$M259, "")</f>
        <v>0</v>
      </c>
      <c r="AY259" s="292" t="n">
        <f aca="false">IFERROR(($J259*V259)*$M259, "")</f>
        <v>0</v>
      </c>
      <c r="AZ259" s="292" t="n">
        <f aca="false">IFERROR(($J259*W259)*$M259, "")</f>
        <v>0</v>
      </c>
      <c r="BA259" s="292" t="n">
        <f aca="false">IFERROR(($J259*X259)*$M259, "")</f>
        <v>0</v>
      </c>
      <c r="BB259" s="292" t="n">
        <f aca="false">IFERROR(($J259*Y259)*$M259, "")</f>
        <v>0</v>
      </c>
      <c r="BC259" s="293" t="n">
        <f aca="false">IFERROR(($J259*Z259)*$M259, "")</f>
        <v>0</v>
      </c>
      <c r="BD259" s="294" t="n">
        <f aca="false">IFERROR(SUMIF($AB$4:$AM$4, "RDEC", AR259:BC259), "")</f>
        <v>0</v>
      </c>
      <c r="BE259" s="294" t="n">
        <f aca="false">IFERROR(SUMIF($AB$4:$AM$4, "SME", AR259:BC259), "")</f>
        <v>0</v>
      </c>
      <c r="BF259" s="294" t="n">
        <f aca="false">IFERROR(SUMIF($AB$4:$AM$4, "De Minimis", AR259:BC259), "")</f>
        <v>0</v>
      </c>
      <c r="BG259" s="287"/>
      <c r="BH259" s="295" t="str">
        <f aca="false">IF((SUM(O259:Z259)&gt;1),"ERROR","")</f>
        <v/>
      </c>
      <c r="BI259" s="287"/>
      <c r="BJ259" s="18" t="str">
        <f aca="false">IF(C245&gt;0, C245, "")</f>
        <v/>
      </c>
      <c r="BL259" s="200"/>
      <c r="BM259" s="200"/>
      <c r="BN259" s="200"/>
    </row>
    <row r="260" customFormat="false" ht="15" hidden="false" customHeight="true" outlineLevel="0" collapsed="false">
      <c r="B260" s="296"/>
      <c r="D260" s="297" t="s">
        <v>82</v>
      </c>
      <c r="E260" s="298" t="n">
        <f aca="false">SUM(E248:E259)</f>
        <v>0</v>
      </c>
      <c r="F260" s="298" t="n">
        <f aca="false">SUM(F248:F259)</f>
        <v>0</v>
      </c>
      <c r="G260" s="298" t="n">
        <f aca="false">SUM(G248:G259)</f>
        <v>0</v>
      </c>
      <c r="H260" s="298" t="n">
        <f aca="false">SUM(H248:H259)</f>
        <v>0</v>
      </c>
      <c r="I260" s="298" t="n">
        <f aca="false">SUM(I248:I259)</f>
        <v>0</v>
      </c>
      <c r="J260" s="299" t="n">
        <f aca="false">SUM(J248:J259)</f>
        <v>0</v>
      </c>
      <c r="K260" s="300"/>
      <c r="L260" s="301" t="n">
        <f aca="false">AVERAGE(L248:L259)</f>
        <v>1</v>
      </c>
      <c r="M260" s="301" t="n">
        <f aca="false">AVERAGE(M248:M259)</f>
        <v>0</v>
      </c>
      <c r="N260" s="302"/>
      <c r="O260" s="290" t="n">
        <f aca="false">IF(SUM(O248:O259)&gt;0,((AB260+AR260)/J260),0)</f>
        <v>0</v>
      </c>
      <c r="P260" s="290" t="n">
        <f aca="false">IF(SUM(P248:P259)&gt;0,((AC260+AS260)/J260),0)</f>
        <v>0</v>
      </c>
      <c r="Q260" s="290" t="n">
        <f aca="false">IF(SUM(Q248:Q259)&gt;0,((AD260+AT260)/J260),0)</f>
        <v>0</v>
      </c>
      <c r="R260" s="290" t="n">
        <f aca="false">IF(SUM(R248:R259)&gt;0,((AE260+AU260)/J260),0)</f>
        <v>0</v>
      </c>
      <c r="S260" s="290" t="n">
        <f aca="false">IF(SUM(S248:S259)&gt;0,((AF260+AV260)/J260),0)</f>
        <v>0</v>
      </c>
      <c r="T260" s="290" t="n">
        <f aca="false">IF(SUM(T248:T259)&gt;0,((AG260+AW260)/J260),0)</f>
        <v>0</v>
      </c>
      <c r="U260" s="290" t="n">
        <f aca="false">IF(SUM(U248:U259)&gt;0,((AH260+AX260)/J260),0)</f>
        <v>0</v>
      </c>
      <c r="V260" s="290" t="n">
        <f aca="false">IF(SUM(V248:V259)&gt;0,((AI260+AY260)/J260),0)</f>
        <v>0</v>
      </c>
      <c r="W260" s="290" t="n">
        <f aca="false">IF(SUM(W248:W259)&gt;0,((AJ260+AZ260)/J260),0)</f>
        <v>0</v>
      </c>
      <c r="X260" s="290" t="n">
        <f aca="false">IF(SUM(X248:X259)&gt;0,((AK260+BA260)/J260),0)</f>
        <v>0</v>
      </c>
      <c r="Y260" s="290" t="n">
        <f aca="false">IF(SUM(Y248:Y259)&gt;0,((AL260+BB260)/J260),0)</f>
        <v>0</v>
      </c>
      <c r="Z260" s="290" t="n">
        <f aca="false">IF(SUM(Z248:Z259)&gt;0,((AM260+BC260)/J260),0)</f>
        <v>0</v>
      </c>
      <c r="AA260" s="303"/>
      <c r="AB260" s="292" t="n">
        <f aca="false">SUM(AB248:AB259)</f>
        <v>0</v>
      </c>
      <c r="AC260" s="304" t="n">
        <f aca="false">SUM(AC248:AC259)</f>
        <v>0</v>
      </c>
      <c r="AD260" s="304" t="n">
        <f aca="false">SUM(AD248:AD259)</f>
        <v>0</v>
      </c>
      <c r="AE260" s="304" t="n">
        <f aca="false">SUM(AE248:AE259)</f>
        <v>0</v>
      </c>
      <c r="AF260" s="304" t="n">
        <f aca="false">SUM(AF248:AF259)</f>
        <v>0</v>
      </c>
      <c r="AG260" s="304" t="n">
        <f aca="false">SUM(AG248:AG259)</f>
        <v>0</v>
      </c>
      <c r="AH260" s="304" t="n">
        <f aca="false">SUM(AH248:AH259)</f>
        <v>0</v>
      </c>
      <c r="AI260" s="304" t="n">
        <f aca="false">SUM(AI248:AI259)</f>
        <v>0</v>
      </c>
      <c r="AJ260" s="304" t="n">
        <f aca="false">SUM(AJ248:AJ259)</f>
        <v>0</v>
      </c>
      <c r="AK260" s="304" t="n">
        <f aca="false">SUM(AK248:AK259)</f>
        <v>0</v>
      </c>
      <c r="AL260" s="304" t="n">
        <f aca="false">SUM(AL248:AL259)</f>
        <v>0</v>
      </c>
      <c r="AM260" s="304" t="n">
        <f aca="false">SUM(AM248:AM259)</f>
        <v>0</v>
      </c>
      <c r="AN260" s="305" t="n">
        <f aca="false">SUM(AN248:AN259)</f>
        <v>0</v>
      </c>
      <c r="AO260" s="305" t="n">
        <f aca="false">SUM(AO248:AO259)</f>
        <v>0</v>
      </c>
      <c r="AP260" s="305" t="n">
        <f aca="false">SUM(AP248:AP259)</f>
        <v>0</v>
      </c>
      <c r="AQ260" s="303"/>
      <c r="AR260" s="292" t="n">
        <f aca="false">SUM(AR248:AR259)</f>
        <v>0</v>
      </c>
      <c r="AS260" s="304" t="n">
        <f aca="false">SUM(AS248:AS259)</f>
        <v>0</v>
      </c>
      <c r="AT260" s="304" t="n">
        <f aca="false">SUM(AT248:AT259)</f>
        <v>0</v>
      </c>
      <c r="AU260" s="304" t="n">
        <f aca="false">SUM(AU248:AU259)</f>
        <v>0</v>
      </c>
      <c r="AV260" s="304" t="n">
        <f aca="false">SUM(AV248:AV259)</f>
        <v>0</v>
      </c>
      <c r="AW260" s="304" t="n">
        <f aca="false">SUM(AW248:AW259)</f>
        <v>0</v>
      </c>
      <c r="AX260" s="304" t="n">
        <f aca="false">SUM(AX248:AX259)</f>
        <v>0</v>
      </c>
      <c r="AY260" s="304" t="n">
        <f aca="false">SUM(AY248:AY259)</f>
        <v>0</v>
      </c>
      <c r="AZ260" s="304" t="n">
        <f aca="false">SUM(AZ248:AZ259)</f>
        <v>0</v>
      </c>
      <c r="BA260" s="304" t="n">
        <f aca="false">SUM(BA248:BA259)</f>
        <v>0</v>
      </c>
      <c r="BB260" s="304" t="n">
        <f aca="false">SUM(BB248:BB259)</f>
        <v>0</v>
      </c>
      <c r="BC260" s="304" t="n">
        <f aca="false">SUM(BC248:BC259)</f>
        <v>0</v>
      </c>
      <c r="BD260" s="305" t="n">
        <f aca="false">SUM(BD248:BD259)</f>
        <v>0</v>
      </c>
      <c r="BE260" s="305" t="n">
        <f aca="false">SUM(BE248:BE259)</f>
        <v>0</v>
      </c>
      <c r="BF260" s="305" t="n">
        <f aca="false">SUM(BF248:BF259)</f>
        <v>0</v>
      </c>
      <c r="BG260" s="303"/>
      <c r="BH260" s="306"/>
      <c r="BI260" s="303"/>
      <c r="BJ260" s="307" t="str">
        <f aca="false">IF(C246&gt;0, C246, "")</f>
        <v>TBA</v>
      </c>
      <c r="BK260" s="18" t="s">
        <v>234</v>
      </c>
      <c r="BL260" s="200" t="n">
        <f aca="false">IF($BK260="Y",J260,0)</f>
        <v>0</v>
      </c>
      <c r="BM260" s="200" t="n">
        <f aca="false">IF(BK260="Y", AN260,0)</f>
        <v>0</v>
      </c>
      <c r="BN260" s="200" t="n">
        <f aca="false">IF((BK260="Y"),AO260,0)</f>
        <v>0</v>
      </c>
    </row>
    <row r="261" customFormat="false" ht="15" hidden="false" customHeight="true" outlineLevel="0" collapsed="false">
      <c r="B261" s="296"/>
      <c r="D261" s="297"/>
      <c r="E261" s="277"/>
      <c r="F261" s="277"/>
      <c r="G261" s="277"/>
      <c r="H261" s="277"/>
      <c r="I261" s="277"/>
      <c r="J261" s="300"/>
      <c r="K261" s="300"/>
      <c r="L261" s="302"/>
      <c r="M261" s="302"/>
      <c r="N261" s="302"/>
      <c r="O261" s="308"/>
      <c r="P261" s="308"/>
      <c r="Q261" s="308"/>
      <c r="R261" s="308"/>
      <c r="S261" s="308"/>
      <c r="T261" s="308"/>
      <c r="U261" s="308"/>
      <c r="V261" s="308"/>
      <c r="W261" s="308"/>
      <c r="X261" s="308"/>
      <c r="Y261" s="308"/>
      <c r="Z261" s="308"/>
      <c r="AA261" s="303"/>
      <c r="AB261" s="303"/>
      <c r="AC261" s="303"/>
      <c r="AD261" s="303"/>
      <c r="AE261" s="303"/>
      <c r="AF261" s="303"/>
      <c r="AG261" s="303"/>
      <c r="AH261" s="303"/>
      <c r="AI261" s="303"/>
      <c r="AJ261" s="303"/>
      <c r="AK261" s="303"/>
      <c r="AL261" s="303"/>
      <c r="AM261" s="303"/>
      <c r="AN261" s="303"/>
      <c r="AO261" s="303"/>
      <c r="AP261" s="303"/>
      <c r="AQ261" s="303"/>
      <c r="AR261" s="303"/>
      <c r="AS261" s="303"/>
      <c r="AT261" s="303"/>
      <c r="AU261" s="303"/>
      <c r="AV261" s="303"/>
      <c r="AW261" s="303"/>
      <c r="AX261" s="303"/>
      <c r="AY261" s="303"/>
      <c r="AZ261" s="303"/>
      <c r="BA261" s="303"/>
      <c r="BB261" s="303"/>
      <c r="BC261" s="303"/>
      <c r="BD261" s="303"/>
      <c r="BE261" s="303"/>
      <c r="BF261" s="303"/>
      <c r="BG261" s="303"/>
      <c r="BH261" s="303"/>
      <c r="BI261" s="303"/>
      <c r="BJ261" s="307" t="str">
        <f aca="false">IF(C248&gt;0, C248, "")</f>
        <v/>
      </c>
      <c r="BL261" s="200"/>
      <c r="BM261" s="200"/>
      <c r="BN261" s="200"/>
    </row>
    <row r="262" customFormat="false" ht="15" hidden="false" customHeight="true" outlineLevel="0" collapsed="false">
      <c r="A262" s="198" t="n">
        <f aca="false">A246+1</f>
        <v>17</v>
      </c>
      <c r="B262" s="266" t="s">
        <v>253</v>
      </c>
      <c r="C262" s="266" t="s">
        <v>253</v>
      </c>
      <c r="D262" s="267"/>
      <c r="E262" s="242"/>
      <c r="F262" s="242"/>
      <c r="G262" s="242"/>
      <c r="H262" s="242"/>
      <c r="I262" s="242"/>
      <c r="J262" s="241"/>
      <c r="K262" s="241"/>
      <c r="L262" s="241"/>
      <c r="M262" s="241"/>
      <c r="N262" s="241"/>
      <c r="O262" s="268"/>
      <c r="P262" s="268"/>
      <c r="Q262" s="268"/>
      <c r="R262" s="268"/>
      <c r="S262" s="268"/>
      <c r="T262" s="268"/>
      <c r="U262" s="268"/>
      <c r="V262" s="268"/>
      <c r="W262" s="268"/>
      <c r="X262" s="268"/>
      <c r="Y262" s="268"/>
      <c r="Z262" s="268"/>
      <c r="AA262" s="268"/>
      <c r="AB262" s="268"/>
      <c r="AC262" s="268"/>
      <c r="AD262" s="268"/>
      <c r="AE262" s="268"/>
      <c r="AF262" s="268"/>
      <c r="AG262" s="268"/>
      <c r="AH262" s="268"/>
      <c r="AI262" s="268"/>
      <c r="AJ262" s="268"/>
      <c r="AK262" s="268"/>
      <c r="AL262" s="268"/>
      <c r="AM262" s="268"/>
      <c r="AN262" s="268"/>
      <c r="AO262" s="268"/>
      <c r="AP262" s="268"/>
      <c r="AQ262" s="268"/>
      <c r="AR262" s="268"/>
      <c r="AS262" s="268"/>
      <c r="AT262" s="268"/>
      <c r="AU262" s="268"/>
      <c r="AV262" s="268"/>
      <c r="AW262" s="268"/>
      <c r="AX262" s="268"/>
      <c r="AY262" s="268"/>
      <c r="AZ262" s="268"/>
      <c r="BA262" s="268"/>
      <c r="BB262" s="268"/>
      <c r="BC262" s="268"/>
      <c r="BD262" s="268"/>
      <c r="BE262" s="268"/>
      <c r="BF262" s="268"/>
      <c r="BG262" s="268"/>
      <c r="BH262" s="268"/>
      <c r="BI262" s="268"/>
      <c r="BJ262" s="18" t="str">
        <f aca="false">IF(C249&gt;0, C249, "")</f>
        <v/>
      </c>
      <c r="BL262" s="200"/>
      <c r="BM262" s="200"/>
      <c r="BN262" s="200"/>
    </row>
    <row r="263" customFormat="false" ht="7.5" hidden="false" customHeight="true" outlineLevel="0" collapsed="false">
      <c r="A263" s="198"/>
      <c r="B263" s="266"/>
      <c r="C263" s="266"/>
      <c r="D263" s="267"/>
      <c r="E263" s="242"/>
      <c r="F263" s="242"/>
      <c r="G263" s="242"/>
      <c r="H263" s="242"/>
      <c r="I263" s="242"/>
      <c r="J263" s="241"/>
      <c r="K263" s="241"/>
      <c r="L263" s="269"/>
      <c r="M263" s="269"/>
      <c r="N263" s="270"/>
      <c r="O263" s="269"/>
      <c r="P263" s="269"/>
      <c r="Q263" s="269"/>
      <c r="R263" s="269"/>
      <c r="S263" s="269"/>
      <c r="T263" s="269"/>
      <c r="U263" s="269"/>
      <c r="V263" s="269"/>
      <c r="W263" s="269"/>
      <c r="X263" s="269"/>
      <c r="Y263" s="269"/>
      <c r="Z263" s="269"/>
      <c r="AA263" s="268"/>
      <c r="AB263" s="271"/>
      <c r="AC263" s="271"/>
      <c r="AD263" s="271"/>
      <c r="AE263" s="271"/>
      <c r="AF263" s="271"/>
      <c r="AG263" s="271"/>
      <c r="AH263" s="271"/>
      <c r="AI263" s="271"/>
      <c r="AJ263" s="271"/>
      <c r="AK263" s="271"/>
      <c r="AL263" s="271"/>
      <c r="AM263" s="272"/>
      <c r="AN263" s="273"/>
      <c r="AO263" s="273"/>
      <c r="AP263" s="273"/>
      <c r="AQ263" s="268"/>
      <c r="AR263" s="271"/>
      <c r="AS263" s="271"/>
      <c r="AT263" s="271"/>
      <c r="AU263" s="271"/>
      <c r="AV263" s="271"/>
      <c r="AW263" s="271"/>
      <c r="AX263" s="271"/>
      <c r="AY263" s="271"/>
      <c r="AZ263" s="271"/>
      <c r="BA263" s="271"/>
      <c r="BB263" s="271"/>
      <c r="BC263" s="272"/>
      <c r="BD263" s="273"/>
      <c r="BE263" s="273"/>
      <c r="BF263" s="273"/>
      <c r="BG263" s="268"/>
      <c r="BH263" s="274"/>
      <c r="BI263" s="268"/>
      <c r="BL263" s="200"/>
      <c r="BM263" s="200"/>
      <c r="BN263" s="200"/>
    </row>
    <row r="264" customFormat="false" ht="15" hidden="false" customHeight="true" outlineLevel="0" collapsed="false">
      <c r="B264" s="275"/>
      <c r="D264" s="276" t="n">
        <f aca="false">D248</f>
        <v>45292</v>
      </c>
      <c r="E264" s="277" t="n">
        <v>0</v>
      </c>
      <c r="F264" s="277" t="n">
        <v>0</v>
      </c>
      <c r="G264" s="277" t="n">
        <v>0</v>
      </c>
      <c r="H264" s="277" t="n">
        <v>0</v>
      </c>
      <c r="I264" s="277" t="n">
        <v>0</v>
      </c>
      <c r="J264" s="278" t="n">
        <f aca="false">E264+H264+I264</f>
        <v>0</v>
      </c>
      <c r="K264" s="204"/>
      <c r="L264" s="279" t="n">
        <v>1</v>
      </c>
      <c r="M264" s="280" t="n">
        <f aca="false">1-L264</f>
        <v>0</v>
      </c>
      <c r="N264" s="281"/>
      <c r="O264" s="282"/>
      <c r="P264" s="282"/>
      <c r="Q264" s="282"/>
      <c r="R264" s="282"/>
      <c r="S264" s="282"/>
      <c r="T264" s="282"/>
      <c r="U264" s="282"/>
      <c r="V264" s="282"/>
      <c r="W264" s="282"/>
      <c r="X264" s="282"/>
      <c r="Y264" s="282"/>
      <c r="Z264" s="282"/>
      <c r="AA264" s="283"/>
      <c r="AB264" s="284" t="n">
        <f aca="false">IFERROR(($J264*O264)*$L264, "")</f>
        <v>0</v>
      </c>
      <c r="AC264" s="284" t="n">
        <f aca="false">IFERROR(($J264*P264)*$L264, "")</f>
        <v>0</v>
      </c>
      <c r="AD264" s="284" t="n">
        <f aca="false">IFERROR(($J264*Q264)*$L264, "")</f>
        <v>0</v>
      </c>
      <c r="AE264" s="284" t="n">
        <f aca="false">IFERROR(($J264*R264)*$L264, "")</f>
        <v>0</v>
      </c>
      <c r="AF264" s="284" t="n">
        <f aca="false">IFERROR(($J264*S264)*$L264, "")</f>
        <v>0</v>
      </c>
      <c r="AG264" s="284" t="n">
        <f aca="false">IFERROR(($J264*T264)*$L264, "")</f>
        <v>0</v>
      </c>
      <c r="AH264" s="284" t="n">
        <f aca="false">IFERROR(($J264*U264)*$L264, "")</f>
        <v>0</v>
      </c>
      <c r="AI264" s="284" t="n">
        <f aca="false">IFERROR(($J264*V264)*$L264, "")</f>
        <v>0</v>
      </c>
      <c r="AJ264" s="284" t="n">
        <f aca="false">IFERROR(($J264*W264)*$L264, "")</f>
        <v>0</v>
      </c>
      <c r="AK264" s="284" t="n">
        <f aca="false">IFERROR(($J264*X264)*$L264, "")</f>
        <v>0</v>
      </c>
      <c r="AL264" s="284" t="n">
        <f aca="false">IFERROR(($J264*Y264)*$L264, "")</f>
        <v>0</v>
      </c>
      <c r="AM264" s="285" t="n">
        <f aca="false">IFERROR(($J264*Z264)*$L264, "")</f>
        <v>0</v>
      </c>
      <c r="AN264" s="286" t="n">
        <f aca="false">IFERROR(SUMIF($AB$4:$AM$4, "RDEC", AB264:AM264), "")</f>
        <v>0</v>
      </c>
      <c r="AO264" s="286" t="n">
        <f aca="false">IFERROR(SUMIF($AB$4:$AM$4, "SME", AB264:AM264), "")</f>
        <v>0</v>
      </c>
      <c r="AP264" s="286" t="n">
        <f aca="false">IFERROR(SUMIF($AB$4:$AM$4, "De Minimis", AB264:AM264), "")</f>
        <v>0</v>
      </c>
      <c r="AQ264" s="283"/>
      <c r="AR264" s="284" t="n">
        <f aca="false">IFERROR(($J264*O264)*$M264, "")</f>
        <v>0</v>
      </c>
      <c r="AS264" s="284" t="n">
        <f aca="false">IFERROR(($J264*P264)*$M264, "")</f>
        <v>0</v>
      </c>
      <c r="AT264" s="284" t="n">
        <f aca="false">IFERROR(($J264*Q264)*$M264, "")</f>
        <v>0</v>
      </c>
      <c r="AU264" s="284" t="n">
        <f aca="false">IFERROR(($J264*R264)*$M264, "")</f>
        <v>0</v>
      </c>
      <c r="AV264" s="284" t="n">
        <f aca="false">IFERROR(($J264*S264)*$M264, "")</f>
        <v>0</v>
      </c>
      <c r="AW264" s="284" t="n">
        <f aca="false">IFERROR(($J264*T264)*$M264, "")</f>
        <v>0</v>
      </c>
      <c r="AX264" s="284" t="n">
        <f aca="false">IFERROR(($J264*U264)*$M264, "")</f>
        <v>0</v>
      </c>
      <c r="AY264" s="284" t="n">
        <f aca="false">IFERROR(($J264*V264)*$M264, "")</f>
        <v>0</v>
      </c>
      <c r="AZ264" s="284" t="n">
        <f aca="false">IFERROR(($J264*W264)*$M264, "")</f>
        <v>0</v>
      </c>
      <c r="BA264" s="284" t="n">
        <f aca="false">IFERROR(($J264*X264)*$M264, "")</f>
        <v>0</v>
      </c>
      <c r="BB264" s="284" t="n">
        <f aca="false">IFERROR(($J264*Y264)*$M264, "")</f>
        <v>0</v>
      </c>
      <c r="BC264" s="285" t="n">
        <f aca="false">IFERROR(($J264*Z264)*$M264, "")</f>
        <v>0</v>
      </c>
      <c r="BD264" s="286" t="n">
        <f aca="false">IFERROR(SUMIF($AB$4:$AM$4, "RDEC", AR264:BC264), "")</f>
        <v>0</v>
      </c>
      <c r="BE264" s="286" t="n">
        <f aca="false">IFERROR(SUMIF($AB$4:$AM$4, "SME", AR264:BC264), "")</f>
        <v>0</v>
      </c>
      <c r="BF264" s="286" t="n">
        <f aca="false">IFERROR(SUMIF($AB$4:$AM$4, "De Minimis", AR264:BC264), "")</f>
        <v>0</v>
      </c>
      <c r="BG264" s="287"/>
      <c r="BH264" s="288" t="str">
        <f aca="false">IF((SUM(O264:Z264)&gt;1),"ERROR","")</f>
        <v/>
      </c>
      <c r="BI264" s="287"/>
      <c r="BJ264" s="18" t="str">
        <f aca="false">IF(C250&gt;0, C250, "")</f>
        <v/>
      </c>
      <c r="BL264" s="200"/>
      <c r="BM264" s="200"/>
      <c r="BN264" s="200"/>
    </row>
    <row r="265" customFormat="false" ht="15" hidden="false" customHeight="true" outlineLevel="0" collapsed="false">
      <c r="B265" s="275"/>
      <c r="D265" s="276" t="n">
        <f aca="false">D249</f>
        <v>45323</v>
      </c>
      <c r="E265" s="277" t="n">
        <v>0</v>
      </c>
      <c r="F265" s="277" t="n">
        <v>0</v>
      </c>
      <c r="G265" s="277" t="n">
        <v>0</v>
      </c>
      <c r="H265" s="277" t="n">
        <v>0</v>
      </c>
      <c r="I265" s="277" t="n">
        <v>0</v>
      </c>
      <c r="J265" s="278" t="n">
        <f aca="false">E265+H265+I265</f>
        <v>0</v>
      </c>
      <c r="K265" s="204"/>
      <c r="L265" s="279" t="n">
        <v>1</v>
      </c>
      <c r="M265" s="280" t="n">
        <f aca="false">1-L265</f>
        <v>0</v>
      </c>
      <c r="N265" s="281"/>
      <c r="O265" s="282"/>
      <c r="P265" s="282"/>
      <c r="Q265" s="282"/>
      <c r="R265" s="282"/>
      <c r="S265" s="282"/>
      <c r="T265" s="282"/>
      <c r="U265" s="282"/>
      <c r="V265" s="282"/>
      <c r="W265" s="282"/>
      <c r="X265" s="282"/>
      <c r="Y265" s="282"/>
      <c r="Z265" s="282"/>
      <c r="AA265" s="283"/>
      <c r="AB265" s="284" t="n">
        <f aca="false">IFERROR(($J265*O265)*$L265, "")</f>
        <v>0</v>
      </c>
      <c r="AC265" s="284" t="n">
        <f aca="false">IFERROR(($J265*P265)*$L265, "")</f>
        <v>0</v>
      </c>
      <c r="AD265" s="284" t="n">
        <f aca="false">IFERROR(($J265*Q265)*$L265, "")</f>
        <v>0</v>
      </c>
      <c r="AE265" s="284" t="n">
        <f aca="false">IFERROR(($J265*R265)*$L265, "")</f>
        <v>0</v>
      </c>
      <c r="AF265" s="284" t="n">
        <f aca="false">IFERROR(($J265*S265)*$L265, "")</f>
        <v>0</v>
      </c>
      <c r="AG265" s="284" t="n">
        <f aca="false">IFERROR(($J265*T265)*$L265, "")</f>
        <v>0</v>
      </c>
      <c r="AH265" s="284" t="n">
        <f aca="false">IFERROR(($J265*U265)*$L265, "")</f>
        <v>0</v>
      </c>
      <c r="AI265" s="284" t="n">
        <f aca="false">IFERROR(($J265*V265)*$L265, "")</f>
        <v>0</v>
      </c>
      <c r="AJ265" s="284" t="n">
        <f aca="false">IFERROR(($J265*W265)*$L265, "")</f>
        <v>0</v>
      </c>
      <c r="AK265" s="284" t="n">
        <f aca="false">IFERROR(($J265*X265)*$L265, "")</f>
        <v>0</v>
      </c>
      <c r="AL265" s="284" t="n">
        <f aca="false">IFERROR(($J265*Y265)*$L265, "")</f>
        <v>0</v>
      </c>
      <c r="AM265" s="285" t="n">
        <f aca="false">IFERROR(($J265*Z265)*$L265, "")</f>
        <v>0</v>
      </c>
      <c r="AN265" s="286" t="n">
        <f aca="false">IFERROR(SUMIF($AB$4:$AM$4, "RDEC", AB265:AM265), "")</f>
        <v>0</v>
      </c>
      <c r="AO265" s="286" t="n">
        <f aca="false">IFERROR(SUMIF($AB$4:$AM$4, "SME", AB265:AM265), "")</f>
        <v>0</v>
      </c>
      <c r="AP265" s="286" t="n">
        <f aca="false">IFERROR(SUMIF($AB$4:$AM$4, "De Minimis", AB265:AM265), "")</f>
        <v>0</v>
      </c>
      <c r="AQ265" s="283"/>
      <c r="AR265" s="284" t="n">
        <f aca="false">IFERROR(($J265*O265)*$M265, "")</f>
        <v>0</v>
      </c>
      <c r="AS265" s="284" t="n">
        <f aca="false">IFERROR(($J265*P265)*$M265, "")</f>
        <v>0</v>
      </c>
      <c r="AT265" s="284" t="n">
        <f aca="false">IFERROR(($J265*Q265)*$M265, "")</f>
        <v>0</v>
      </c>
      <c r="AU265" s="284" t="n">
        <f aca="false">IFERROR(($J265*R265)*$M265, "")</f>
        <v>0</v>
      </c>
      <c r="AV265" s="284" t="n">
        <f aca="false">IFERROR(($J265*S265)*$M265, "")</f>
        <v>0</v>
      </c>
      <c r="AW265" s="284" t="n">
        <f aca="false">IFERROR(($J265*T265)*$M265, "")</f>
        <v>0</v>
      </c>
      <c r="AX265" s="284" t="n">
        <f aca="false">IFERROR(($J265*U265)*$M265, "")</f>
        <v>0</v>
      </c>
      <c r="AY265" s="284" t="n">
        <f aca="false">IFERROR(($J265*V265)*$M265, "")</f>
        <v>0</v>
      </c>
      <c r="AZ265" s="284" t="n">
        <f aca="false">IFERROR(($J265*W265)*$M265, "")</f>
        <v>0</v>
      </c>
      <c r="BA265" s="284" t="n">
        <f aca="false">IFERROR(($J265*X265)*$M265, "")</f>
        <v>0</v>
      </c>
      <c r="BB265" s="284" t="n">
        <f aca="false">IFERROR(($J265*Y265)*$M265, "")</f>
        <v>0</v>
      </c>
      <c r="BC265" s="285" t="n">
        <f aca="false">IFERROR(($J265*Z265)*$M265, "")</f>
        <v>0</v>
      </c>
      <c r="BD265" s="286" t="n">
        <f aca="false">IFERROR(SUMIF($AB$4:$AM$4, "RDEC", AR265:BC265), "")</f>
        <v>0</v>
      </c>
      <c r="BE265" s="286" t="n">
        <f aca="false">IFERROR(SUMIF($AB$4:$AM$4, "SME", AR265:BC265), "")</f>
        <v>0</v>
      </c>
      <c r="BF265" s="286" t="n">
        <f aca="false">IFERROR(SUMIF($AB$4:$AM$4, "De Minimis", AR265:BC265), "")</f>
        <v>0</v>
      </c>
      <c r="BG265" s="287"/>
      <c r="BH265" s="288" t="str">
        <f aca="false">IF((SUM(O265:Z265)&gt;1),"ERROR","")</f>
        <v/>
      </c>
      <c r="BI265" s="287"/>
      <c r="BJ265" s="18" t="str">
        <f aca="false">IF(C251&gt;0, C251, "")</f>
        <v/>
      </c>
      <c r="BL265" s="200"/>
      <c r="BM265" s="200"/>
      <c r="BN265" s="200"/>
    </row>
    <row r="266" customFormat="false" ht="15" hidden="false" customHeight="true" outlineLevel="0" collapsed="false">
      <c r="B266" s="275"/>
      <c r="D266" s="276" t="n">
        <f aca="false">D250</f>
        <v>45352</v>
      </c>
      <c r="E266" s="277" t="n">
        <v>0</v>
      </c>
      <c r="F266" s="277" t="n">
        <v>0</v>
      </c>
      <c r="G266" s="277" t="n">
        <v>0</v>
      </c>
      <c r="H266" s="277" t="n">
        <v>0</v>
      </c>
      <c r="I266" s="277" t="n">
        <v>0</v>
      </c>
      <c r="J266" s="278" t="n">
        <f aca="false">E266+H266+I266</f>
        <v>0</v>
      </c>
      <c r="K266" s="204"/>
      <c r="L266" s="279" t="n">
        <v>1</v>
      </c>
      <c r="M266" s="280" t="n">
        <f aca="false">1-L266</f>
        <v>0</v>
      </c>
      <c r="N266" s="281"/>
      <c r="O266" s="282"/>
      <c r="P266" s="282"/>
      <c r="Q266" s="282"/>
      <c r="R266" s="282"/>
      <c r="S266" s="282"/>
      <c r="T266" s="282"/>
      <c r="U266" s="282"/>
      <c r="V266" s="282"/>
      <c r="W266" s="282"/>
      <c r="X266" s="282"/>
      <c r="Y266" s="282"/>
      <c r="Z266" s="282"/>
      <c r="AA266" s="283"/>
      <c r="AB266" s="284" t="n">
        <f aca="false">IFERROR(($J266*O266)*$L266, "")</f>
        <v>0</v>
      </c>
      <c r="AC266" s="284" t="n">
        <f aca="false">IFERROR(($J266*P266)*$L266, "")</f>
        <v>0</v>
      </c>
      <c r="AD266" s="284" t="n">
        <f aca="false">IFERROR(($J266*Q266)*$L266, "")</f>
        <v>0</v>
      </c>
      <c r="AE266" s="284" t="n">
        <f aca="false">IFERROR(($J266*R266)*$L266, "")</f>
        <v>0</v>
      </c>
      <c r="AF266" s="284" t="n">
        <f aca="false">IFERROR(($J266*S266)*$L266, "")</f>
        <v>0</v>
      </c>
      <c r="AG266" s="284" t="n">
        <f aca="false">IFERROR(($J266*T266)*$L266, "")</f>
        <v>0</v>
      </c>
      <c r="AH266" s="284" t="n">
        <f aca="false">IFERROR(($J266*U266)*$L266, "")</f>
        <v>0</v>
      </c>
      <c r="AI266" s="284" t="n">
        <f aca="false">IFERROR(($J266*V266)*$L266, "")</f>
        <v>0</v>
      </c>
      <c r="AJ266" s="284" t="n">
        <f aca="false">IFERROR(($J266*W266)*$L266, "")</f>
        <v>0</v>
      </c>
      <c r="AK266" s="284" t="n">
        <f aca="false">IFERROR(($J266*X266)*$L266, "")</f>
        <v>0</v>
      </c>
      <c r="AL266" s="284" t="n">
        <f aca="false">IFERROR(($J266*Y266)*$L266, "")</f>
        <v>0</v>
      </c>
      <c r="AM266" s="285" t="n">
        <f aca="false">IFERROR(($J266*Z266)*$L266, "")</f>
        <v>0</v>
      </c>
      <c r="AN266" s="286" t="n">
        <f aca="false">IFERROR(SUMIF($AB$4:$AM$4, "RDEC", AB266:AM266), "")</f>
        <v>0</v>
      </c>
      <c r="AO266" s="286" t="n">
        <f aca="false">IFERROR(SUMIF($AB$4:$AM$4, "SME", AB266:AM266), "")</f>
        <v>0</v>
      </c>
      <c r="AP266" s="286" t="n">
        <f aca="false">IFERROR(SUMIF($AB$4:$AM$4, "De Minimis", AB266:AM266), "")</f>
        <v>0</v>
      </c>
      <c r="AQ266" s="283"/>
      <c r="AR266" s="284" t="n">
        <f aca="false">IFERROR(($J266*O266)*$M266, "")</f>
        <v>0</v>
      </c>
      <c r="AS266" s="284" t="n">
        <f aca="false">IFERROR(($J266*P266)*$M266, "")</f>
        <v>0</v>
      </c>
      <c r="AT266" s="284" t="n">
        <f aca="false">IFERROR(($J266*Q266)*$M266, "")</f>
        <v>0</v>
      </c>
      <c r="AU266" s="284" t="n">
        <f aca="false">IFERROR(($J266*R266)*$M266, "")</f>
        <v>0</v>
      </c>
      <c r="AV266" s="284" t="n">
        <f aca="false">IFERROR(($J266*S266)*$M266, "")</f>
        <v>0</v>
      </c>
      <c r="AW266" s="284" t="n">
        <f aca="false">IFERROR(($J266*T266)*$M266, "")</f>
        <v>0</v>
      </c>
      <c r="AX266" s="284" t="n">
        <f aca="false">IFERROR(($J266*U266)*$M266, "")</f>
        <v>0</v>
      </c>
      <c r="AY266" s="284" t="n">
        <f aca="false">IFERROR(($J266*V266)*$M266, "")</f>
        <v>0</v>
      </c>
      <c r="AZ266" s="284" t="n">
        <f aca="false">IFERROR(($J266*W266)*$M266, "")</f>
        <v>0</v>
      </c>
      <c r="BA266" s="284" t="n">
        <f aca="false">IFERROR(($J266*X266)*$M266, "")</f>
        <v>0</v>
      </c>
      <c r="BB266" s="284" t="n">
        <f aca="false">IFERROR(($J266*Y266)*$M266, "")</f>
        <v>0</v>
      </c>
      <c r="BC266" s="285" t="n">
        <f aca="false">IFERROR(($J266*Z266)*$M266, "")</f>
        <v>0</v>
      </c>
      <c r="BD266" s="286" t="n">
        <f aca="false">IFERROR(SUMIF($AB$4:$AM$4, "RDEC", AR266:BC266), "")</f>
        <v>0</v>
      </c>
      <c r="BE266" s="286" t="n">
        <f aca="false">IFERROR(SUMIF($AB$4:$AM$4, "SME", AR266:BC266), "")</f>
        <v>0</v>
      </c>
      <c r="BF266" s="286" t="n">
        <f aca="false">IFERROR(SUMIF($AB$4:$AM$4, "De Minimis", AR266:BC266), "")</f>
        <v>0</v>
      </c>
      <c r="BG266" s="287"/>
      <c r="BH266" s="288" t="str">
        <f aca="false">IF((SUM(O266:Z266)&gt;1),"ERROR","")</f>
        <v/>
      </c>
      <c r="BI266" s="287"/>
      <c r="BJ266" s="18" t="str">
        <f aca="false">IF(C252&gt;0, C252, "")</f>
        <v/>
      </c>
      <c r="BL266" s="200"/>
      <c r="BM266" s="200"/>
      <c r="BN266" s="200"/>
    </row>
    <row r="267" customFormat="false" ht="15" hidden="false" customHeight="true" outlineLevel="0" collapsed="false">
      <c r="B267" s="275"/>
      <c r="D267" s="276" t="n">
        <f aca="false">D251</f>
        <v>45383</v>
      </c>
      <c r="E267" s="277" t="n">
        <v>0</v>
      </c>
      <c r="F267" s="277" t="n">
        <v>0</v>
      </c>
      <c r="G267" s="277" t="n">
        <v>0</v>
      </c>
      <c r="H267" s="277" t="n">
        <v>0</v>
      </c>
      <c r="I267" s="277" t="n">
        <v>0</v>
      </c>
      <c r="J267" s="278" t="n">
        <f aca="false">E267+H267+I267</f>
        <v>0</v>
      </c>
      <c r="K267" s="204"/>
      <c r="L267" s="279" t="n">
        <v>1</v>
      </c>
      <c r="M267" s="280" t="n">
        <f aca="false">1-L267</f>
        <v>0</v>
      </c>
      <c r="N267" s="281"/>
      <c r="O267" s="282"/>
      <c r="P267" s="282"/>
      <c r="Q267" s="282"/>
      <c r="R267" s="282"/>
      <c r="S267" s="282"/>
      <c r="T267" s="282"/>
      <c r="U267" s="282"/>
      <c r="V267" s="282"/>
      <c r="W267" s="282"/>
      <c r="X267" s="282"/>
      <c r="Y267" s="282"/>
      <c r="Z267" s="282"/>
      <c r="AA267" s="283"/>
      <c r="AB267" s="284" t="n">
        <f aca="false">IFERROR(($J267*O267)*$L267, "")</f>
        <v>0</v>
      </c>
      <c r="AC267" s="284" t="n">
        <f aca="false">IFERROR(($J267*P267)*$L267, "")</f>
        <v>0</v>
      </c>
      <c r="AD267" s="284" t="n">
        <f aca="false">IFERROR(($J267*Q267)*$L267, "")</f>
        <v>0</v>
      </c>
      <c r="AE267" s="284" t="n">
        <f aca="false">IFERROR(($J267*R267)*$L267, "")</f>
        <v>0</v>
      </c>
      <c r="AF267" s="284" t="n">
        <f aca="false">IFERROR(($J267*S267)*$L267, "")</f>
        <v>0</v>
      </c>
      <c r="AG267" s="284" t="n">
        <f aca="false">IFERROR(($J267*T267)*$L267, "")</f>
        <v>0</v>
      </c>
      <c r="AH267" s="284" t="n">
        <f aca="false">IFERROR(($J267*U267)*$L267, "")</f>
        <v>0</v>
      </c>
      <c r="AI267" s="284" t="n">
        <f aca="false">IFERROR(($J267*V267)*$L267, "")</f>
        <v>0</v>
      </c>
      <c r="AJ267" s="284" t="n">
        <f aca="false">IFERROR(($J267*W267)*$L267, "")</f>
        <v>0</v>
      </c>
      <c r="AK267" s="284" t="n">
        <f aca="false">IFERROR(($J267*X267)*$L267, "")</f>
        <v>0</v>
      </c>
      <c r="AL267" s="284" t="n">
        <f aca="false">IFERROR(($J267*Y267)*$L267, "")</f>
        <v>0</v>
      </c>
      <c r="AM267" s="285" t="n">
        <f aca="false">IFERROR(($J267*Z267)*$L267, "")</f>
        <v>0</v>
      </c>
      <c r="AN267" s="286" t="n">
        <f aca="false">IFERROR(SUMIF($AB$4:$AM$4, "RDEC", AB267:AM267), "")</f>
        <v>0</v>
      </c>
      <c r="AO267" s="286" t="n">
        <f aca="false">IFERROR(SUMIF($AB$4:$AM$4, "SME", AB267:AM267), "")</f>
        <v>0</v>
      </c>
      <c r="AP267" s="286" t="n">
        <f aca="false">IFERROR(SUMIF($AB$4:$AM$4, "De Minimis", AB267:AM267), "")</f>
        <v>0</v>
      </c>
      <c r="AQ267" s="283"/>
      <c r="AR267" s="284" t="n">
        <f aca="false">IFERROR(($J267*O267)*$M267, "")</f>
        <v>0</v>
      </c>
      <c r="AS267" s="284" t="n">
        <f aca="false">IFERROR(($J267*P267)*$M267, "")</f>
        <v>0</v>
      </c>
      <c r="AT267" s="284" t="n">
        <f aca="false">IFERROR(($J267*Q267)*$M267, "")</f>
        <v>0</v>
      </c>
      <c r="AU267" s="284" t="n">
        <f aca="false">IFERROR(($J267*R267)*$M267, "")</f>
        <v>0</v>
      </c>
      <c r="AV267" s="284" t="n">
        <f aca="false">IFERROR(($J267*S267)*$M267, "")</f>
        <v>0</v>
      </c>
      <c r="AW267" s="284" t="n">
        <f aca="false">IFERROR(($J267*T267)*$M267, "")</f>
        <v>0</v>
      </c>
      <c r="AX267" s="284" t="n">
        <f aca="false">IFERROR(($J267*U267)*$M267, "")</f>
        <v>0</v>
      </c>
      <c r="AY267" s="284" t="n">
        <f aca="false">IFERROR(($J267*V267)*$M267, "")</f>
        <v>0</v>
      </c>
      <c r="AZ267" s="284" t="n">
        <f aca="false">IFERROR(($J267*W267)*$M267, "")</f>
        <v>0</v>
      </c>
      <c r="BA267" s="284" t="n">
        <f aca="false">IFERROR(($J267*X267)*$M267, "")</f>
        <v>0</v>
      </c>
      <c r="BB267" s="284" t="n">
        <f aca="false">IFERROR(($J267*Y267)*$M267, "")</f>
        <v>0</v>
      </c>
      <c r="BC267" s="285" t="n">
        <f aca="false">IFERROR(($J267*Z267)*$M267, "")</f>
        <v>0</v>
      </c>
      <c r="BD267" s="286" t="n">
        <f aca="false">IFERROR(SUMIF($AB$4:$AM$4, "RDEC", AR267:BC267), "")</f>
        <v>0</v>
      </c>
      <c r="BE267" s="286" t="n">
        <f aca="false">IFERROR(SUMIF($AB$4:$AM$4, "SME", AR267:BC267), "")</f>
        <v>0</v>
      </c>
      <c r="BF267" s="286" t="n">
        <f aca="false">IFERROR(SUMIF($AB$4:$AM$4, "De Minimis", AR267:BC267), "")</f>
        <v>0</v>
      </c>
      <c r="BG267" s="287"/>
      <c r="BH267" s="288" t="str">
        <f aca="false">IF((SUM(O267:Z267)&gt;1),"ERROR","")</f>
        <v/>
      </c>
      <c r="BI267" s="287"/>
      <c r="BJ267" s="18" t="str">
        <f aca="false">IF(C253&gt;0, C253, "")</f>
        <v/>
      </c>
      <c r="BL267" s="200"/>
      <c r="BM267" s="200"/>
      <c r="BN267" s="200"/>
    </row>
    <row r="268" customFormat="false" ht="15" hidden="false" customHeight="true" outlineLevel="0" collapsed="false">
      <c r="B268" s="275"/>
      <c r="D268" s="276" t="n">
        <f aca="false">D252</f>
        <v>45413</v>
      </c>
      <c r="E268" s="277" t="n">
        <v>0</v>
      </c>
      <c r="F268" s="277" t="n">
        <v>0</v>
      </c>
      <c r="G268" s="277" t="n">
        <v>0</v>
      </c>
      <c r="H268" s="277" t="n">
        <v>0</v>
      </c>
      <c r="I268" s="277" t="n">
        <v>0</v>
      </c>
      <c r="J268" s="278" t="n">
        <f aca="false">E268+H268+I268</f>
        <v>0</v>
      </c>
      <c r="K268" s="204"/>
      <c r="L268" s="279" t="n">
        <v>1</v>
      </c>
      <c r="M268" s="280" t="n">
        <f aca="false">1-L268</f>
        <v>0</v>
      </c>
      <c r="N268" s="281"/>
      <c r="O268" s="282"/>
      <c r="P268" s="282"/>
      <c r="Q268" s="282"/>
      <c r="R268" s="282"/>
      <c r="S268" s="282"/>
      <c r="T268" s="282"/>
      <c r="U268" s="282"/>
      <c r="V268" s="282"/>
      <c r="W268" s="282"/>
      <c r="X268" s="282"/>
      <c r="Y268" s="282"/>
      <c r="Z268" s="282"/>
      <c r="AA268" s="283"/>
      <c r="AB268" s="284" t="n">
        <f aca="false">IFERROR(($J268*O268)*$L268, "")</f>
        <v>0</v>
      </c>
      <c r="AC268" s="284" t="n">
        <f aca="false">IFERROR(($J268*P268)*$L268, "")</f>
        <v>0</v>
      </c>
      <c r="AD268" s="284" t="n">
        <f aca="false">IFERROR(($J268*Q268)*$L268, "")</f>
        <v>0</v>
      </c>
      <c r="AE268" s="284" t="n">
        <f aca="false">IFERROR(($J268*R268)*$L268, "")</f>
        <v>0</v>
      </c>
      <c r="AF268" s="284" t="n">
        <f aca="false">IFERROR(($J268*S268)*$L268, "")</f>
        <v>0</v>
      </c>
      <c r="AG268" s="284" t="n">
        <f aca="false">IFERROR(($J268*T268)*$L268, "")</f>
        <v>0</v>
      </c>
      <c r="AH268" s="284" t="n">
        <f aca="false">IFERROR(($J268*U268)*$L268, "")</f>
        <v>0</v>
      </c>
      <c r="AI268" s="284" t="n">
        <f aca="false">IFERROR(($J268*V268)*$L268, "")</f>
        <v>0</v>
      </c>
      <c r="AJ268" s="284" t="n">
        <f aca="false">IFERROR(($J268*W268)*$L268, "")</f>
        <v>0</v>
      </c>
      <c r="AK268" s="284" t="n">
        <f aca="false">IFERROR(($J268*X268)*$L268, "")</f>
        <v>0</v>
      </c>
      <c r="AL268" s="284" t="n">
        <f aca="false">IFERROR(($J268*Y268)*$L268, "")</f>
        <v>0</v>
      </c>
      <c r="AM268" s="285" t="n">
        <f aca="false">IFERROR(($J268*Z268)*$L268, "")</f>
        <v>0</v>
      </c>
      <c r="AN268" s="286" t="n">
        <f aca="false">IFERROR(SUMIF($AB$4:$AM$4, "RDEC", AB268:AM268), "")</f>
        <v>0</v>
      </c>
      <c r="AO268" s="286" t="n">
        <f aca="false">IFERROR(SUMIF($AB$4:$AM$4, "SME", AB268:AM268), "")</f>
        <v>0</v>
      </c>
      <c r="AP268" s="286" t="n">
        <f aca="false">IFERROR(SUMIF($AB$4:$AM$4, "De Minimis", AB268:AM268), "")</f>
        <v>0</v>
      </c>
      <c r="AQ268" s="283"/>
      <c r="AR268" s="284" t="n">
        <f aca="false">IFERROR(($J268*O268)*$M268, "")</f>
        <v>0</v>
      </c>
      <c r="AS268" s="284" t="n">
        <f aca="false">IFERROR(($J268*P268)*$M268, "")</f>
        <v>0</v>
      </c>
      <c r="AT268" s="284" t="n">
        <f aca="false">IFERROR(($J268*Q268)*$M268, "")</f>
        <v>0</v>
      </c>
      <c r="AU268" s="284" t="n">
        <f aca="false">IFERROR(($J268*R268)*$M268, "")</f>
        <v>0</v>
      </c>
      <c r="AV268" s="284" t="n">
        <f aca="false">IFERROR(($J268*S268)*$M268, "")</f>
        <v>0</v>
      </c>
      <c r="AW268" s="284" t="n">
        <f aca="false">IFERROR(($J268*T268)*$M268, "")</f>
        <v>0</v>
      </c>
      <c r="AX268" s="284" t="n">
        <f aca="false">IFERROR(($J268*U268)*$M268, "")</f>
        <v>0</v>
      </c>
      <c r="AY268" s="284" t="n">
        <f aca="false">IFERROR(($J268*V268)*$M268, "")</f>
        <v>0</v>
      </c>
      <c r="AZ268" s="284" t="n">
        <f aca="false">IFERROR(($J268*W268)*$M268, "")</f>
        <v>0</v>
      </c>
      <c r="BA268" s="284" t="n">
        <f aca="false">IFERROR(($J268*X268)*$M268, "")</f>
        <v>0</v>
      </c>
      <c r="BB268" s="284" t="n">
        <f aca="false">IFERROR(($J268*Y268)*$M268, "")</f>
        <v>0</v>
      </c>
      <c r="BC268" s="285" t="n">
        <f aca="false">IFERROR(($J268*Z268)*$M268, "")</f>
        <v>0</v>
      </c>
      <c r="BD268" s="286" t="n">
        <f aca="false">IFERROR(SUMIF($AB$4:$AM$4, "RDEC", AR268:BC268), "")</f>
        <v>0</v>
      </c>
      <c r="BE268" s="286" t="n">
        <f aca="false">IFERROR(SUMIF($AB$4:$AM$4, "SME", AR268:BC268), "")</f>
        <v>0</v>
      </c>
      <c r="BF268" s="286" t="n">
        <f aca="false">IFERROR(SUMIF($AB$4:$AM$4, "De Minimis", AR268:BC268), "")</f>
        <v>0</v>
      </c>
      <c r="BG268" s="287"/>
      <c r="BH268" s="288" t="str">
        <f aca="false">IF((SUM(O268:Z268)&gt;1),"ERROR","")</f>
        <v/>
      </c>
      <c r="BI268" s="287"/>
      <c r="BJ268" s="18" t="str">
        <f aca="false">IF(C254&gt;0, C254, "")</f>
        <v/>
      </c>
      <c r="BL268" s="200"/>
      <c r="BM268" s="200"/>
      <c r="BN268" s="200"/>
    </row>
    <row r="269" customFormat="false" ht="15" hidden="false" customHeight="true" outlineLevel="0" collapsed="false">
      <c r="B269" s="275"/>
      <c r="D269" s="276" t="n">
        <f aca="false">D253</f>
        <v>45444</v>
      </c>
      <c r="E269" s="277" t="n">
        <v>0</v>
      </c>
      <c r="F269" s="277" t="n">
        <v>0</v>
      </c>
      <c r="G269" s="277" t="n">
        <v>0</v>
      </c>
      <c r="H269" s="277" t="n">
        <v>0</v>
      </c>
      <c r="I269" s="277" t="n">
        <v>0</v>
      </c>
      <c r="J269" s="278" t="n">
        <f aca="false">E269+H269+I269</f>
        <v>0</v>
      </c>
      <c r="K269" s="204"/>
      <c r="L269" s="279" t="n">
        <v>1</v>
      </c>
      <c r="M269" s="280" t="n">
        <f aca="false">1-L269</f>
        <v>0</v>
      </c>
      <c r="N269" s="281"/>
      <c r="O269" s="282"/>
      <c r="P269" s="282"/>
      <c r="Q269" s="282"/>
      <c r="R269" s="282"/>
      <c r="S269" s="282"/>
      <c r="T269" s="282"/>
      <c r="U269" s="282"/>
      <c r="V269" s="282"/>
      <c r="W269" s="282"/>
      <c r="X269" s="282"/>
      <c r="Y269" s="282"/>
      <c r="Z269" s="282"/>
      <c r="AA269" s="283"/>
      <c r="AB269" s="284" t="n">
        <f aca="false">IFERROR(($J269*O269)*$L269, "")</f>
        <v>0</v>
      </c>
      <c r="AC269" s="284" t="n">
        <f aca="false">IFERROR(($J269*P269)*$L269, "")</f>
        <v>0</v>
      </c>
      <c r="AD269" s="284" t="n">
        <f aca="false">IFERROR(($J269*Q269)*$L269, "")</f>
        <v>0</v>
      </c>
      <c r="AE269" s="284" t="n">
        <f aca="false">IFERROR(($J269*R269)*$L269, "")</f>
        <v>0</v>
      </c>
      <c r="AF269" s="284" t="n">
        <f aca="false">IFERROR(($J269*S269)*$L269, "")</f>
        <v>0</v>
      </c>
      <c r="AG269" s="284" t="n">
        <f aca="false">IFERROR(($J269*T269)*$L269, "")</f>
        <v>0</v>
      </c>
      <c r="AH269" s="284" t="n">
        <f aca="false">IFERROR(($J269*U269)*$L269, "")</f>
        <v>0</v>
      </c>
      <c r="AI269" s="284" t="n">
        <f aca="false">IFERROR(($J269*V269)*$L269, "")</f>
        <v>0</v>
      </c>
      <c r="AJ269" s="284" t="n">
        <f aca="false">IFERROR(($J269*W269)*$L269, "")</f>
        <v>0</v>
      </c>
      <c r="AK269" s="284" t="n">
        <f aca="false">IFERROR(($J269*X269)*$L269, "")</f>
        <v>0</v>
      </c>
      <c r="AL269" s="284" t="n">
        <f aca="false">IFERROR(($J269*Y269)*$L269, "")</f>
        <v>0</v>
      </c>
      <c r="AM269" s="285" t="n">
        <f aca="false">IFERROR(($J269*Z269)*$L269, "")</f>
        <v>0</v>
      </c>
      <c r="AN269" s="286" t="n">
        <f aca="false">IFERROR(SUMIF($AB$4:$AM$4, "RDEC", AB269:AM269), "")</f>
        <v>0</v>
      </c>
      <c r="AO269" s="286" t="n">
        <f aca="false">IFERROR(SUMIF($AB$4:$AM$4, "SME", AB269:AM269), "")</f>
        <v>0</v>
      </c>
      <c r="AP269" s="286" t="n">
        <f aca="false">IFERROR(SUMIF($AB$4:$AM$4, "De Minimis", AB269:AM269), "")</f>
        <v>0</v>
      </c>
      <c r="AQ269" s="283"/>
      <c r="AR269" s="284" t="n">
        <f aca="false">IFERROR(($J269*O269)*$M269, "")</f>
        <v>0</v>
      </c>
      <c r="AS269" s="284" t="n">
        <f aca="false">IFERROR(($J269*P269)*$M269, "")</f>
        <v>0</v>
      </c>
      <c r="AT269" s="284" t="n">
        <f aca="false">IFERROR(($J269*Q269)*$M269, "")</f>
        <v>0</v>
      </c>
      <c r="AU269" s="284" t="n">
        <f aca="false">IFERROR(($J269*R269)*$M269, "")</f>
        <v>0</v>
      </c>
      <c r="AV269" s="284" t="n">
        <f aca="false">IFERROR(($J269*S269)*$M269, "")</f>
        <v>0</v>
      </c>
      <c r="AW269" s="284" t="n">
        <f aca="false">IFERROR(($J269*T269)*$M269, "")</f>
        <v>0</v>
      </c>
      <c r="AX269" s="284" t="n">
        <f aca="false">IFERROR(($J269*U269)*$M269, "")</f>
        <v>0</v>
      </c>
      <c r="AY269" s="284" t="n">
        <f aca="false">IFERROR(($J269*V269)*$M269, "")</f>
        <v>0</v>
      </c>
      <c r="AZ269" s="284" t="n">
        <f aca="false">IFERROR(($J269*W269)*$M269, "")</f>
        <v>0</v>
      </c>
      <c r="BA269" s="284" t="n">
        <f aca="false">IFERROR(($J269*X269)*$M269, "")</f>
        <v>0</v>
      </c>
      <c r="BB269" s="284" t="n">
        <f aca="false">IFERROR(($J269*Y269)*$M269, "")</f>
        <v>0</v>
      </c>
      <c r="BC269" s="285" t="n">
        <f aca="false">IFERROR(($J269*Z269)*$M269, "")</f>
        <v>0</v>
      </c>
      <c r="BD269" s="286" t="n">
        <f aca="false">IFERROR(SUMIF($AB$4:$AM$4, "RDEC", AR269:BC269), "")</f>
        <v>0</v>
      </c>
      <c r="BE269" s="286" t="n">
        <f aca="false">IFERROR(SUMIF($AB$4:$AM$4, "SME", AR269:BC269), "")</f>
        <v>0</v>
      </c>
      <c r="BF269" s="286" t="n">
        <f aca="false">IFERROR(SUMIF($AB$4:$AM$4, "De Minimis", AR269:BC269), "")</f>
        <v>0</v>
      </c>
      <c r="BG269" s="287"/>
      <c r="BH269" s="288" t="str">
        <f aca="false">IF((SUM(O269:Z269)&gt;1),"ERROR","")</f>
        <v/>
      </c>
      <c r="BI269" s="287"/>
      <c r="BJ269" s="18" t="str">
        <f aca="false">IF(C255&gt;0, C255, "")</f>
        <v/>
      </c>
      <c r="BL269" s="200"/>
      <c r="BM269" s="200"/>
      <c r="BN269" s="200"/>
    </row>
    <row r="270" customFormat="false" ht="15" hidden="false" customHeight="true" outlineLevel="0" collapsed="false">
      <c r="B270" s="275"/>
      <c r="D270" s="276" t="n">
        <f aca="false">D254</f>
        <v>45474</v>
      </c>
      <c r="E270" s="277" t="n">
        <v>0</v>
      </c>
      <c r="F270" s="277" t="n">
        <v>0</v>
      </c>
      <c r="G270" s="277" t="n">
        <v>0</v>
      </c>
      <c r="H270" s="277" t="n">
        <v>0</v>
      </c>
      <c r="I270" s="277" t="n">
        <v>0</v>
      </c>
      <c r="J270" s="278" t="n">
        <f aca="false">E270+H270+I270</f>
        <v>0</v>
      </c>
      <c r="K270" s="204"/>
      <c r="L270" s="279" t="n">
        <v>1</v>
      </c>
      <c r="M270" s="280" t="n">
        <f aca="false">1-L270</f>
        <v>0</v>
      </c>
      <c r="N270" s="281"/>
      <c r="O270" s="282"/>
      <c r="P270" s="282"/>
      <c r="Q270" s="282"/>
      <c r="R270" s="282"/>
      <c r="S270" s="282"/>
      <c r="T270" s="282"/>
      <c r="U270" s="282"/>
      <c r="V270" s="282"/>
      <c r="W270" s="282"/>
      <c r="X270" s="282"/>
      <c r="Y270" s="282"/>
      <c r="Z270" s="282"/>
      <c r="AA270" s="283"/>
      <c r="AB270" s="284" t="n">
        <f aca="false">IFERROR(($J270*O270)*$L270, "")</f>
        <v>0</v>
      </c>
      <c r="AC270" s="284" t="n">
        <f aca="false">IFERROR(($J270*P270)*$L270, "")</f>
        <v>0</v>
      </c>
      <c r="AD270" s="284" t="n">
        <f aca="false">IFERROR(($J270*Q270)*$L270, "")</f>
        <v>0</v>
      </c>
      <c r="AE270" s="284" t="n">
        <f aca="false">IFERROR(($J270*R270)*$L270, "")</f>
        <v>0</v>
      </c>
      <c r="AF270" s="284" t="n">
        <f aca="false">IFERROR(($J270*S270)*$L270, "")</f>
        <v>0</v>
      </c>
      <c r="AG270" s="284" t="n">
        <f aca="false">IFERROR(($J270*T270)*$L270, "")</f>
        <v>0</v>
      </c>
      <c r="AH270" s="284" t="n">
        <f aca="false">IFERROR(($J270*U270)*$L270, "")</f>
        <v>0</v>
      </c>
      <c r="AI270" s="284" t="n">
        <f aca="false">IFERROR(($J270*V270)*$L270, "")</f>
        <v>0</v>
      </c>
      <c r="AJ270" s="284" t="n">
        <f aca="false">IFERROR(($J270*W270)*$L270, "")</f>
        <v>0</v>
      </c>
      <c r="AK270" s="284" t="n">
        <f aca="false">IFERROR(($J270*X270)*$L270, "")</f>
        <v>0</v>
      </c>
      <c r="AL270" s="284" t="n">
        <f aca="false">IFERROR(($J270*Y270)*$L270, "")</f>
        <v>0</v>
      </c>
      <c r="AM270" s="285" t="n">
        <f aca="false">IFERROR(($J270*Z270)*$L270, "")</f>
        <v>0</v>
      </c>
      <c r="AN270" s="286" t="n">
        <f aca="false">IFERROR(SUMIF($AB$4:$AM$4, "RDEC", AB270:AM270), "")</f>
        <v>0</v>
      </c>
      <c r="AO270" s="286" t="n">
        <f aca="false">IFERROR(SUMIF($AB$4:$AM$4, "SME", AB270:AM270), "")</f>
        <v>0</v>
      </c>
      <c r="AP270" s="286" t="n">
        <f aca="false">IFERROR(SUMIF($AB$4:$AM$4, "De Minimis", AB270:AM270), "")</f>
        <v>0</v>
      </c>
      <c r="AQ270" s="283"/>
      <c r="AR270" s="284" t="n">
        <f aca="false">IFERROR(($J270*O270)*$M270, "")</f>
        <v>0</v>
      </c>
      <c r="AS270" s="284" t="n">
        <f aca="false">IFERROR(($J270*P270)*$M270, "")</f>
        <v>0</v>
      </c>
      <c r="AT270" s="284" t="n">
        <f aca="false">IFERROR(($J270*Q270)*$M270, "")</f>
        <v>0</v>
      </c>
      <c r="AU270" s="284" t="n">
        <f aca="false">IFERROR(($J270*R270)*$M270, "")</f>
        <v>0</v>
      </c>
      <c r="AV270" s="284" t="n">
        <f aca="false">IFERROR(($J270*S270)*$M270, "")</f>
        <v>0</v>
      </c>
      <c r="AW270" s="284" t="n">
        <f aca="false">IFERROR(($J270*T270)*$M270, "")</f>
        <v>0</v>
      </c>
      <c r="AX270" s="284" t="n">
        <f aca="false">IFERROR(($J270*U270)*$M270, "")</f>
        <v>0</v>
      </c>
      <c r="AY270" s="284" t="n">
        <f aca="false">IFERROR(($J270*V270)*$M270, "")</f>
        <v>0</v>
      </c>
      <c r="AZ270" s="284" t="n">
        <f aca="false">IFERROR(($J270*W270)*$M270, "")</f>
        <v>0</v>
      </c>
      <c r="BA270" s="284" t="n">
        <f aca="false">IFERROR(($J270*X270)*$M270, "")</f>
        <v>0</v>
      </c>
      <c r="BB270" s="284" t="n">
        <f aca="false">IFERROR(($J270*Y270)*$M270, "")</f>
        <v>0</v>
      </c>
      <c r="BC270" s="285" t="n">
        <f aca="false">IFERROR(($J270*Z270)*$M270, "")</f>
        <v>0</v>
      </c>
      <c r="BD270" s="286" t="n">
        <f aca="false">IFERROR(SUMIF($AB$4:$AM$4, "RDEC", AR270:BC270), "")</f>
        <v>0</v>
      </c>
      <c r="BE270" s="286" t="n">
        <f aca="false">IFERROR(SUMIF($AB$4:$AM$4, "SME", AR270:BC270), "")</f>
        <v>0</v>
      </c>
      <c r="BF270" s="286" t="n">
        <f aca="false">IFERROR(SUMIF($AB$4:$AM$4, "De Minimis", AR270:BC270), "")</f>
        <v>0</v>
      </c>
      <c r="BG270" s="287"/>
      <c r="BH270" s="288" t="str">
        <f aca="false">IF((SUM(O270:Z270)&gt;1),"ERROR","")</f>
        <v/>
      </c>
      <c r="BI270" s="287"/>
      <c r="BJ270" s="18" t="str">
        <f aca="false">IF(C256&gt;0, C256, "")</f>
        <v/>
      </c>
      <c r="BL270" s="200"/>
      <c r="BM270" s="200"/>
      <c r="BN270" s="200"/>
    </row>
    <row r="271" customFormat="false" ht="15" hidden="false" customHeight="true" outlineLevel="0" collapsed="false">
      <c r="B271" s="275"/>
      <c r="D271" s="276" t="n">
        <f aca="false">D255</f>
        <v>45505</v>
      </c>
      <c r="E271" s="277" t="n">
        <v>0</v>
      </c>
      <c r="F271" s="277" t="n">
        <v>0</v>
      </c>
      <c r="G271" s="277" t="n">
        <v>0</v>
      </c>
      <c r="H271" s="277" t="n">
        <v>0</v>
      </c>
      <c r="I271" s="277" t="n">
        <v>0</v>
      </c>
      <c r="J271" s="278" t="n">
        <f aca="false">E271+H271+I271</f>
        <v>0</v>
      </c>
      <c r="K271" s="204"/>
      <c r="L271" s="279" t="n">
        <v>1</v>
      </c>
      <c r="M271" s="280" t="n">
        <f aca="false">1-L271</f>
        <v>0</v>
      </c>
      <c r="N271" s="281"/>
      <c r="O271" s="282"/>
      <c r="P271" s="282"/>
      <c r="Q271" s="282"/>
      <c r="R271" s="282"/>
      <c r="S271" s="282"/>
      <c r="T271" s="282"/>
      <c r="U271" s="282"/>
      <c r="V271" s="282"/>
      <c r="W271" s="282"/>
      <c r="X271" s="282"/>
      <c r="Y271" s="282"/>
      <c r="Z271" s="282"/>
      <c r="AA271" s="283"/>
      <c r="AB271" s="284" t="n">
        <f aca="false">IFERROR(($J271*O271)*$L271, "")</f>
        <v>0</v>
      </c>
      <c r="AC271" s="284" t="n">
        <f aca="false">IFERROR(($J271*P271)*$L271, "")</f>
        <v>0</v>
      </c>
      <c r="AD271" s="284" t="n">
        <f aca="false">IFERROR(($J271*Q271)*$L271, "")</f>
        <v>0</v>
      </c>
      <c r="AE271" s="284" t="n">
        <f aca="false">IFERROR(($J271*R271)*$L271, "")</f>
        <v>0</v>
      </c>
      <c r="AF271" s="284" t="n">
        <f aca="false">IFERROR(($J271*S271)*$L271, "")</f>
        <v>0</v>
      </c>
      <c r="AG271" s="284" t="n">
        <f aca="false">IFERROR(($J271*T271)*$L271, "")</f>
        <v>0</v>
      </c>
      <c r="AH271" s="284" t="n">
        <f aca="false">IFERROR(($J271*U271)*$L271, "")</f>
        <v>0</v>
      </c>
      <c r="AI271" s="284" t="n">
        <f aca="false">IFERROR(($J271*V271)*$L271, "")</f>
        <v>0</v>
      </c>
      <c r="AJ271" s="284" t="n">
        <f aca="false">IFERROR(($J271*W271)*$L271, "")</f>
        <v>0</v>
      </c>
      <c r="AK271" s="284" t="n">
        <f aca="false">IFERROR(($J271*X271)*$L271, "")</f>
        <v>0</v>
      </c>
      <c r="AL271" s="284" t="n">
        <f aca="false">IFERROR(($J271*Y271)*$L271, "")</f>
        <v>0</v>
      </c>
      <c r="AM271" s="285" t="n">
        <f aca="false">IFERROR(($J271*Z271)*$L271, "")</f>
        <v>0</v>
      </c>
      <c r="AN271" s="286" t="n">
        <f aca="false">IFERROR(SUMIF($AB$4:$AM$4, "RDEC", AB271:AM271), "")</f>
        <v>0</v>
      </c>
      <c r="AO271" s="286" t="n">
        <f aca="false">IFERROR(SUMIF($AB$4:$AM$4, "SME", AB271:AM271), "")</f>
        <v>0</v>
      </c>
      <c r="AP271" s="286" t="n">
        <f aca="false">IFERROR(SUMIF($AB$4:$AM$4, "De Minimis", AB271:AM271), "")</f>
        <v>0</v>
      </c>
      <c r="AQ271" s="283"/>
      <c r="AR271" s="284" t="n">
        <f aca="false">IFERROR(($J271*O271)*$M271, "")</f>
        <v>0</v>
      </c>
      <c r="AS271" s="284" t="n">
        <f aca="false">IFERROR(($J271*P271)*$M271, "")</f>
        <v>0</v>
      </c>
      <c r="AT271" s="284" t="n">
        <f aca="false">IFERROR(($J271*Q271)*$M271, "")</f>
        <v>0</v>
      </c>
      <c r="AU271" s="284" t="n">
        <f aca="false">IFERROR(($J271*R271)*$M271, "")</f>
        <v>0</v>
      </c>
      <c r="AV271" s="284" t="n">
        <f aca="false">IFERROR(($J271*S271)*$M271, "")</f>
        <v>0</v>
      </c>
      <c r="AW271" s="284" t="n">
        <f aca="false">IFERROR(($J271*T271)*$M271, "")</f>
        <v>0</v>
      </c>
      <c r="AX271" s="284" t="n">
        <f aca="false">IFERROR(($J271*U271)*$M271, "")</f>
        <v>0</v>
      </c>
      <c r="AY271" s="284" t="n">
        <f aca="false">IFERROR(($J271*V271)*$M271, "")</f>
        <v>0</v>
      </c>
      <c r="AZ271" s="284" t="n">
        <f aca="false">IFERROR(($J271*W271)*$M271, "")</f>
        <v>0</v>
      </c>
      <c r="BA271" s="284" t="n">
        <f aca="false">IFERROR(($J271*X271)*$M271, "")</f>
        <v>0</v>
      </c>
      <c r="BB271" s="284" t="n">
        <f aca="false">IFERROR(($J271*Y271)*$M271, "")</f>
        <v>0</v>
      </c>
      <c r="BC271" s="285" t="n">
        <f aca="false">IFERROR(($J271*Z271)*$M271, "")</f>
        <v>0</v>
      </c>
      <c r="BD271" s="286" t="n">
        <f aca="false">IFERROR(SUMIF($AB$4:$AM$4, "RDEC", AR271:BC271), "")</f>
        <v>0</v>
      </c>
      <c r="BE271" s="286" t="n">
        <f aca="false">IFERROR(SUMIF($AB$4:$AM$4, "SME", AR271:BC271), "")</f>
        <v>0</v>
      </c>
      <c r="BF271" s="286" t="n">
        <f aca="false">IFERROR(SUMIF($AB$4:$AM$4, "De Minimis", AR271:BC271), "")</f>
        <v>0</v>
      </c>
      <c r="BG271" s="287"/>
      <c r="BH271" s="288" t="str">
        <f aca="false">IF((SUM(O271:Z271)&gt;1),"ERROR","")</f>
        <v/>
      </c>
      <c r="BI271" s="287"/>
      <c r="BJ271" s="18" t="str">
        <f aca="false">IF(C257&gt;0, C257, "")</f>
        <v/>
      </c>
      <c r="BL271" s="200"/>
      <c r="BM271" s="200"/>
      <c r="BN271" s="200"/>
    </row>
    <row r="272" customFormat="false" ht="15" hidden="false" customHeight="true" outlineLevel="0" collapsed="false">
      <c r="B272" s="275"/>
      <c r="D272" s="276" t="n">
        <f aca="false">D256</f>
        <v>45536</v>
      </c>
      <c r="E272" s="277" t="n">
        <v>0</v>
      </c>
      <c r="F272" s="277" t="n">
        <v>0</v>
      </c>
      <c r="G272" s="277" t="n">
        <v>0</v>
      </c>
      <c r="H272" s="277" t="n">
        <v>0</v>
      </c>
      <c r="I272" s="277" t="n">
        <v>0</v>
      </c>
      <c r="J272" s="278" t="n">
        <f aca="false">E272+H272+I272</f>
        <v>0</v>
      </c>
      <c r="K272" s="204"/>
      <c r="L272" s="279" t="n">
        <v>1</v>
      </c>
      <c r="M272" s="280" t="n">
        <f aca="false">1-L272</f>
        <v>0</v>
      </c>
      <c r="N272" s="281"/>
      <c r="O272" s="282"/>
      <c r="P272" s="282"/>
      <c r="Q272" s="282"/>
      <c r="R272" s="282"/>
      <c r="S272" s="282"/>
      <c r="T272" s="282"/>
      <c r="U272" s="282"/>
      <c r="V272" s="282"/>
      <c r="W272" s="282"/>
      <c r="X272" s="282"/>
      <c r="Y272" s="282"/>
      <c r="Z272" s="282"/>
      <c r="AA272" s="283"/>
      <c r="AB272" s="284" t="n">
        <f aca="false">IFERROR(($J272*O272)*$L272, "")</f>
        <v>0</v>
      </c>
      <c r="AC272" s="284" t="n">
        <f aca="false">IFERROR(($J272*P272)*$L272, "")</f>
        <v>0</v>
      </c>
      <c r="AD272" s="284" t="n">
        <f aca="false">IFERROR(($J272*Q272)*$L272, "")</f>
        <v>0</v>
      </c>
      <c r="AE272" s="284" t="n">
        <f aca="false">IFERROR(($J272*R272)*$L272, "")</f>
        <v>0</v>
      </c>
      <c r="AF272" s="284" t="n">
        <f aca="false">IFERROR(($J272*S272)*$L272, "")</f>
        <v>0</v>
      </c>
      <c r="AG272" s="284" t="n">
        <f aca="false">IFERROR(($J272*T272)*$L272, "")</f>
        <v>0</v>
      </c>
      <c r="AH272" s="284" t="n">
        <f aca="false">IFERROR(($J272*U272)*$L272, "")</f>
        <v>0</v>
      </c>
      <c r="AI272" s="284" t="n">
        <f aca="false">IFERROR(($J272*V272)*$L272, "")</f>
        <v>0</v>
      </c>
      <c r="AJ272" s="284" t="n">
        <f aca="false">IFERROR(($J272*W272)*$L272, "")</f>
        <v>0</v>
      </c>
      <c r="AK272" s="284" t="n">
        <f aca="false">IFERROR(($J272*X272)*$L272, "")</f>
        <v>0</v>
      </c>
      <c r="AL272" s="284" t="n">
        <f aca="false">IFERROR(($J272*Y272)*$L272, "")</f>
        <v>0</v>
      </c>
      <c r="AM272" s="285" t="n">
        <f aca="false">IFERROR(($J272*Z272)*$L272, "")</f>
        <v>0</v>
      </c>
      <c r="AN272" s="286" t="n">
        <f aca="false">IFERROR(SUMIF($AB$4:$AM$4, "RDEC", AB272:AM272), "")</f>
        <v>0</v>
      </c>
      <c r="AO272" s="286" t="n">
        <f aca="false">IFERROR(SUMIF($AB$4:$AM$4, "SME", AB272:AM272), "")</f>
        <v>0</v>
      </c>
      <c r="AP272" s="286" t="n">
        <f aca="false">IFERROR(SUMIF($AB$4:$AM$4, "De Minimis", AB272:AM272), "")</f>
        <v>0</v>
      </c>
      <c r="AQ272" s="283"/>
      <c r="AR272" s="284" t="n">
        <f aca="false">IFERROR(($J272*O272)*$M272, "")</f>
        <v>0</v>
      </c>
      <c r="AS272" s="284" t="n">
        <f aca="false">IFERROR(($J272*P272)*$M272, "")</f>
        <v>0</v>
      </c>
      <c r="AT272" s="284" t="n">
        <f aca="false">IFERROR(($J272*Q272)*$M272, "")</f>
        <v>0</v>
      </c>
      <c r="AU272" s="284" t="n">
        <f aca="false">IFERROR(($J272*R272)*$M272, "")</f>
        <v>0</v>
      </c>
      <c r="AV272" s="284" t="n">
        <f aca="false">IFERROR(($J272*S272)*$M272, "")</f>
        <v>0</v>
      </c>
      <c r="AW272" s="284" t="n">
        <f aca="false">IFERROR(($J272*T272)*$M272, "")</f>
        <v>0</v>
      </c>
      <c r="AX272" s="284" t="n">
        <f aca="false">IFERROR(($J272*U272)*$M272, "")</f>
        <v>0</v>
      </c>
      <c r="AY272" s="284" t="n">
        <f aca="false">IFERROR(($J272*V272)*$M272, "")</f>
        <v>0</v>
      </c>
      <c r="AZ272" s="284" t="n">
        <f aca="false">IFERROR(($J272*W272)*$M272, "")</f>
        <v>0</v>
      </c>
      <c r="BA272" s="284" t="n">
        <f aca="false">IFERROR(($J272*X272)*$M272, "")</f>
        <v>0</v>
      </c>
      <c r="BB272" s="284" t="n">
        <f aca="false">IFERROR(($J272*Y272)*$M272, "")</f>
        <v>0</v>
      </c>
      <c r="BC272" s="285" t="n">
        <f aca="false">IFERROR(($J272*Z272)*$M272, "")</f>
        <v>0</v>
      </c>
      <c r="BD272" s="286" t="n">
        <f aca="false">IFERROR(SUMIF($AB$4:$AM$4, "RDEC", AR272:BC272), "")</f>
        <v>0</v>
      </c>
      <c r="BE272" s="286" t="n">
        <f aca="false">IFERROR(SUMIF($AB$4:$AM$4, "SME", AR272:BC272), "")</f>
        <v>0</v>
      </c>
      <c r="BF272" s="286" t="n">
        <f aca="false">IFERROR(SUMIF($AB$4:$AM$4, "De Minimis", AR272:BC272), "")</f>
        <v>0</v>
      </c>
      <c r="BG272" s="287"/>
      <c r="BH272" s="288" t="str">
        <f aca="false">IF((SUM(O272:Z272)&gt;1),"ERROR","")</f>
        <v/>
      </c>
      <c r="BI272" s="287"/>
      <c r="BJ272" s="18" t="str">
        <f aca="false">IF(C258&gt;0, C258, "")</f>
        <v/>
      </c>
      <c r="BL272" s="200"/>
      <c r="BM272" s="200"/>
      <c r="BN272" s="200"/>
    </row>
    <row r="273" customFormat="false" ht="15" hidden="false" customHeight="true" outlineLevel="0" collapsed="false">
      <c r="B273" s="275"/>
      <c r="D273" s="276" t="n">
        <f aca="false">D257</f>
        <v>45566</v>
      </c>
      <c r="E273" s="277" t="n">
        <v>0</v>
      </c>
      <c r="F273" s="277" t="n">
        <v>0</v>
      </c>
      <c r="G273" s="277" t="n">
        <v>0</v>
      </c>
      <c r="H273" s="277" t="n">
        <v>0</v>
      </c>
      <c r="I273" s="277" t="n">
        <v>0</v>
      </c>
      <c r="J273" s="278" t="n">
        <f aca="false">E273+H273+I273</f>
        <v>0</v>
      </c>
      <c r="K273" s="204"/>
      <c r="L273" s="279" t="n">
        <v>1</v>
      </c>
      <c r="M273" s="280" t="n">
        <f aca="false">1-L273</f>
        <v>0</v>
      </c>
      <c r="N273" s="281"/>
      <c r="O273" s="282"/>
      <c r="P273" s="282"/>
      <c r="Q273" s="282"/>
      <c r="R273" s="282"/>
      <c r="S273" s="282"/>
      <c r="T273" s="282"/>
      <c r="U273" s="282"/>
      <c r="V273" s="282"/>
      <c r="W273" s="282"/>
      <c r="X273" s="282"/>
      <c r="Y273" s="282"/>
      <c r="Z273" s="282"/>
      <c r="AA273" s="283"/>
      <c r="AB273" s="284" t="n">
        <f aca="false">IFERROR(($J273*O273)*$L273, "")</f>
        <v>0</v>
      </c>
      <c r="AC273" s="284" t="n">
        <f aca="false">IFERROR(($J273*P273)*$L273, "")</f>
        <v>0</v>
      </c>
      <c r="AD273" s="284" t="n">
        <f aca="false">IFERROR(($J273*Q273)*$L273, "")</f>
        <v>0</v>
      </c>
      <c r="AE273" s="284" t="n">
        <f aca="false">IFERROR(($J273*R273)*$L273, "")</f>
        <v>0</v>
      </c>
      <c r="AF273" s="284" t="n">
        <f aca="false">IFERROR(($J273*S273)*$L273, "")</f>
        <v>0</v>
      </c>
      <c r="AG273" s="284" t="n">
        <f aca="false">IFERROR(($J273*T273)*$L273, "")</f>
        <v>0</v>
      </c>
      <c r="AH273" s="284" t="n">
        <f aca="false">IFERROR(($J273*U273)*$L273, "")</f>
        <v>0</v>
      </c>
      <c r="AI273" s="284" t="n">
        <f aca="false">IFERROR(($J273*V273)*$L273, "")</f>
        <v>0</v>
      </c>
      <c r="AJ273" s="284" t="n">
        <f aca="false">IFERROR(($J273*W273)*$L273, "")</f>
        <v>0</v>
      </c>
      <c r="AK273" s="284" t="n">
        <f aca="false">IFERROR(($J273*X273)*$L273, "")</f>
        <v>0</v>
      </c>
      <c r="AL273" s="284" t="n">
        <f aca="false">IFERROR(($J273*Y273)*$L273, "")</f>
        <v>0</v>
      </c>
      <c r="AM273" s="285" t="n">
        <f aca="false">IFERROR(($J273*Z273)*$L273, "")</f>
        <v>0</v>
      </c>
      <c r="AN273" s="286" t="n">
        <f aca="false">IFERROR(SUMIF($AB$4:$AM$4, "RDEC", AB273:AM273), "")</f>
        <v>0</v>
      </c>
      <c r="AO273" s="286" t="n">
        <f aca="false">IFERROR(SUMIF($AB$4:$AM$4, "SME", AB273:AM273), "")</f>
        <v>0</v>
      </c>
      <c r="AP273" s="286" t="n">
        <f aca="false">IFERROR(SUMIF($AB$4:$AM$4, "De Minimis", AB273:AM273), "")</f>
        <v>0</v>
      </c>
      <c r="AQ273" s="283"/>
      <c r="AR273" s="284" t="n">
        <f aca="false">IFERROR(($J273*O273)*$M273, "")</f>
        <v>0</v>
      </c>
      <c r="AS273" s="284" t="n">
        <f aca="false">IFERROR(($J273*P273)*$M273, "")</f>
        <v>0</v>
      </c>
      <c r="AT273" s="284" t="n">
        <f aca="false">IFERROR(($J273*Q273)*$M273, "")</f>
        <v>0</v>
      </c>
      <c r="AU273" s="284" t="n">
        <f aca="false">IFERROR(($J273*R273)*$M273, "")</f>
        <v>0</v>
      </c>
      <c r="AV273" s="284" t="n">
        <f aca="false">IFERROR(($J273*S273)*$M273, "")</f>
        <v>0</v>
      </c>
      <c r="AW273" s="284" t="n">
        <f aca="false">IFERROR(($J273*T273)*$M273, "")</f>
        <v>0</v>
      </c>
      <c r="AX273" s="284" t="n">
        <f aca="false">IFERROR(($J273*U273)*$M273, "")</f>
        <v>0</v>
      </c>
      <c r="AY273" s="284" t="n">
        <f aca="false">IFERROR(($J273*V273)*$M273, "")</f>
        <v>0</v>
      </c>
      <c r="AZ273" s="284" t="n">
        <f aca="false">IFERROR(($J273*W273)*$M273, "")</f>
        <v>0</v>
      </c>
      <c r="BA273" s="284" t="n">
        <f aca="false">IFERROR(($J273*X273)*$M273, "")</f>
        <v>0</v>
      </c>
      <c r="BB273" s="284" t="n">
        <f aca="false">IFERROR(($J273*Y273)*$M273, "")</f>
        <v>0</v>
      </c>
      <c r="BC273" s="285" t="n">
        <f aca="false">IFERROR(($J273*Z273)*$M273, "")</f>
        <v>0</v>
      </c>
      <c r="BD273" s="286" t="n">
        <f aca="false">IFERROR(SUMIF($AB$4:$AM$4, "RDEC", AR273:BC273), "")</f>
        <v>0</v>
      </c>
      <c r="BE273" s="286" t="n">
        <f aca="false">IFERROR(SUMIF($AB$4:$AM$4, "SME", AR273:BC273), "")</f>
        <v>0</v>
      </c>
      <c r="BF273" s="286" t="n">
        <f aca="false">IFERROR(SUMIF($AB$4:$AM$4, "De Minimis", AR273:BC273), "")</f>
        <v>0</v>
      </c>
      <c r="BG273" s="287"/>
      <c r="BH273" s="288" t="str">
        <f aca="false">IF((SUM(O273:Z273)&gt;1),"ERROR","")</f>
        <v/>
      </c>
      <c r="BI273" s="287"/>
      <c r="BJ273" s="18" t="str">
        <f aca="false">IF(C259&gt;0, C259, "")</f>
        <v/>
      </c>
      <c r="BL273" s="200"/>
      <c r="BM273" s="200"/>
      <c r="BN273" s="200"/>
    </row>
    <row r="274" customFormat="false" ht="15" hidden="false" customHeight="true" outlineLevel="0" collapsed="false">
      <c r="B274" s="275"/>
      <c r="D274" s="276" t="n">
        <f aca="false">D258</f>
        <v>45597</v>
      </c>
      <c r="E274" s="277" t="n">
        <v>0</v>
      </c>
      <c r="F274" s="277" t="n">
        <v>0</v>
      </c>
      <c r="G274" s="277" t="n">
        <v>0</v>
      </c>
      <c r="H274" s="277" t="n">
        <v>0</v>
      </c>
      <c r="I274" s="277" t="n">
        <v>0</v>
      </c>
      <c r="J274" s="278" t="n">
        <f aca="false">E274+H274+I274</f>
        <v>0</v>
      </c>
      <c r="K274" s="204"/>
      <c r="L274" s="279" t="n">
        <v>1</v>
      </c>
      <c r="M274" s="280" t="n">
        <f aca="false">1-L274</f>
        <v>0</v>
      </c>
      <c r="N274" s="281"/>
      <c r="O274" s="282"/>
      <c r="P274" s="282"/>
      <c r="Q274" s="282"/>
      <c r="R274" s="282"/>
      <c r="S274" s="282"/>
      <c r="T274" s="282"/>
      <c r="U274" s="282"/>
      <c r="V274" s="282"/>
      <c r="W274" s="282"/>
      <c r="X274" s="282"/>
      <c r="Y274" s="282"/>
      <c r="Z274" s="282"/>
      <c r="AA274" s="283"/>
      <c r="AB274" s="284" t="n">
        <f aca="false">IFERROR(($J274*O274)*$L274, "")</f>
        <v>0</v>
      </c>
      <c r="AC274" s="284" t="n">
        <f aca="false">IFERROR(($J274*P274)*$L274, "")</f>
        <v>0</v>
      </c>
      <c r="AD274" s="284" t="n">
        <f aca="false">IFERROR(($J274*Q274)*$L274, "")</f>
        <v>0</v>
      </c>
      <c r="AE274" s="284" t="n">
        <f aca="false">IFERROR(($J274*R274)*$L274, "")</f>
        <v>0</v>
      </c>
      <c r="AF274" s="284" t="n">
        <f aca="false">IFERROR(($J274*S274)*$L274, "")</f>
        <v>0</v>
      </c>
      <c r="AG274" s="284" t="n">
        <f aca="false">IFERROR(($J274*T274)*$L274, "")</f>
        <v>0</v>
      </c>
      <c r="AH274" s="284" t="n">
        <f aca="false">IFERROR(($J274*U274)*$L274, "")</f>
        <v>0</v>
      </c>
      <c r="AI274" s="284" t="n">
        <f aca="false">IFERROR(($J274*V274)*$L274, "")</f>
        <v>0</v>
      </c>
      <c r="AJ274" s="284" t="n">
        <f aca="false">IFERROR(($J274*W274)*$L274, "")</f>
        <v>0</v>
      </c>
      <c r="AK274" s="284" t="n">
        <f aca="false">IFERROR(($J274*X274)*$L274, "")</f>
        <v>0</v>
      </c>
      <c r="AL274" s="284" t="n">
        <f aca="false">IFERROR(($J274*Y274)*$L274, "")</f>
        <v>0</v>
      </c>
      <c r="AM274" s="285" t="n">
        <f aca="false">IFERROR(($J274*Z274)*$L274, "")</f>
        <v>0</v>
      </c>
      <c r="AN274" s="286" t="n">
        <f aca="false">IFERROR(SUMIF($AB$4:$AM$4, "RDEC", AB274:AM274), "")</f>
        <v>0</v>
      </c>
      <c r="AO274" s="286" t="n">
        <f aca="false">IFERROR(SUMIF($AB$4:$AM$4, "SME", AB274:AM274), "")</f>
        <v>0</v>
      </c>
      <c r="AP274" s="286" t="n">
        <f aca="false">IFERROR(SUMIF($AB$4:$AM$4, "De Minimis", AB274:AM274), "")</f>
        <v>0</v>
      </c>
      <c r="AQ274" s="283"/>
      <c r="AR274" s="284" t="n">
        <f aca="false">IFERROR(($J274*O274)*$M274, "")</f>
        <v>0</v>
      </c>
      <c r="AS274" s="284" t="n">
        <f aca="false">IFERROR(($J274*P274)*$M274, "")</f>
        <v>0</v>
      </c>
      <c r="AT274" s="284" t="n">
        <f aca="false">IFERROR(($J274*Q274)*$M274, "")</f>
        <v>0</v>
      </c>
      <c r="AU274" s="284" t="n">
        <f aca="false">IFERROR(($J274*R274)*$M274, "")</f>
        <v>0</v>
      </c>
      <c r="AV274" s="284" t="n">
        <f aca="false">IFERROR(($J274*S274)*$M274, "")</f>
        <v>0</v>
      </c>
      <c r="AW274" s="284" t="n">
        <f aca="false">IFERROR(($J274*T274)*$M274, "")</f>
        <v>0</v>
      </c>
      <c r="AX274" s="284" t="n">
        <f aca="false">IFERROR(($J274*U274)*$M274, "")</f>
        <v>0</v>
      </c>
      <c r="AY274" s="284" t="n">
        <f aca="false">IFERROR(($J274*V274)*$M274, "")</f>
        <v>0</v>
      </c>
      <c r="AZ274" s="284" t="n">
        <f aca="false">IFERROR(($J274*W274)*$M274, "")</f>
        <v>0</v>
      </c>
      <c r="BA274" s="284" t="n">
        <f aca="false">IFERROR(($J274*X274)*$M274, "")</f>
        <v>0</v>
      </c>
      <c r="BB274" s="284" t="n">
        <f aca="false">IFERROR(($J274*Y274)*$M274, "")</f>
        <v>0</v>
      </c>
      <c r="BC274" s="285" t="n">
        <f aca="false">IFERROR(($J274*Z274)*$M274, "")</f>
        <v>0</v>
      </c>
      <c r="BD274" s="286" t="n">
        <f aca="false">IFERROR(SUMIF($AB$4:$AM$4, "RDEC", AR274:BC274), "")</f>
        <v>0</v>
      </c>
      <c r="BE274" s="286" t="n">
        <f aca="false">IFERROR(SUMIF($AB$4:$AM$4, "SME", AR274:BC274), "")</f>
        <v>0</v>
      </c>
      <c r="BF274" s="286" t="n">
        <f aca="false">IFERROR(SUMIF($AB$4:$AM$4, "De Minimis", AR274:BC274), "")</f>
        <v>0</v>
      </c>
      <c r="BG274" s="287"/>
      <c r="BH274" s="288" t="str">
        <f aca="false">IF((SUM(O274:Z274)&gt;1),"ERROR","")</f>
        <v/>
      </c>
      <c r="BI274" s="287"/>
      <c r="BJ274" s="18" t="str">
        <f aca="false">IF(C260&gt;0, C260, "")</f>
        <v/>
      </c>
      <c r="BL274" s="200"/>
      <c r="BM274" s="200"/>
      <c r="BN274" s="200"/>
    </row>
    <row r="275" customFormat="false" ht="15" hidden="false" customHeight="true" outlineLevel="0" collapsed="false">
      <c r="B275" s="275"/>
      <c r="D275" s="276" t="n">
        <f aca="false">D259</f>
        <v>45627</v>
      </c>
      <c r="E275" s="277" t="n">
        <v>0</v>
      </c>
      <c r="F275" s="277" t="n">
        <v>0</v>
      </c>
      <c r="G275" s="277" t="n">
        <v>0</v>
      </c>
      <c r="H275" s="277" t="n">
        <v>0</v>
      </c>
      <c r="I275" s="277" t="n">
        <v>0</v>
      </c>
      <c r="J275" s="278" t="n">
        <f aca="false">E275+H275+I275</f>
        <v>0</v>
      </c>
      <c r="K275" s="204"/>
      <c r="L275" s="289" t="n">
        <v>1</v>
      </c>
      <c r="M275" s="290" t="n">
        <f aca="false">1-L275</f>
        <v>0</v>
      </c>
      <c r="N275" s="281"/>
      <c r="O275" s="291"/>
      <c r="P275" s="291"/>
      <c r="Q275" s="291"/>
      <c r="R275" s="291"/>
      <c r="S275" s="291"/>
      <c r="T275" s="291"/>
      <c r="U275" s="291"/>
      <c r="V275" s="291"/>
      <c r="W275" s="291"/>
      <c r="X275" s="291"/>
      <c r="Y275" s="291"/>
      <c r="Z275" s="291"/>
      <c r="AA275" s="283"/>
      <c r="AB275" s="292" t="n">
        <f aca="false">IFERROR(($J275*O275)*$L275, "")</f>
        <v>0</v>
      </c>
      <c r="AC275" s="292" t="n">
        <f aca="false">IFERROR(($J275*P275)*$L275, "")</f>
        <v>0</v>
      </c>
      <c r="AD275" s="292" t="n">
        <f aca="false">IFERROR(($J275*Q275)*$L275, "")</f>
        <v>0</v>
      </c>
      <c r="AE275" s="292" t="n">
        <f aca="false">IFERROR(($J275*R275)*$L275, "")</f>
        <v>0</v>
      </c>
      <c r="AF275" s="292" t="n">
        <f aca="false">IFERROR(($J275*S275)*$L275, "")</f>
        <v>0</v>
      </c>
      <c r="AG275" s="292" t="n">
        <f aca="false">IFERROR(($J275*T275)*$L275, "")</f>
        <v>0</v>
      </c>
      <c r="AH275" s="292" t="n">
        <f aca="false">IFERROR(($J275*U275)*$L275, "")</f>
        <v>0</v>
      </c>
      <c r="AI275" s="292" t="n">
        <f aca="false">IFERROR(($J275*V275)*$L275, "")</f>
        <v>0</v>
      </c>
      <c r="AJ275" s="292" t="n">
        <f aca="false">IFERROR(($J275*W275)*$L275, "")</f>
        <v>0</v>
      </c>
      <c r="AK275" s="292" t="n">
        <f aca="false">IFERROR(($J275*X275)*$L275, "")</f>
        <v>0</v>
      </c>
      <c r="AL275" s="292" t="n">
        <f aca="false">IFERROR(($J275*Y275)*$L275, "")</f>
        <v>0</v>
      </c>
      <c r="AM275" s="293" t="n">
        <f aca="false">IFERROR(($J275*Z275)*$L275, "")</f>
        <v>0</v>
      </c>
      <c r="AN275" s="294" t="n">
        <f aca="false">IFERROR(SUMIF($AB$4:$AM$4, "RDEC", AB275:AM275), "")</f>
        <v>0</v>
      </c>
      <c r="AO275" s="294" t="n">
        <f aca="false">IFERROR(SUMIF($AB$4:$AM$4, "SME", AB275:AM275), "")</f>
        <v>0</v>
      </c>
      <c r="AP275" s="294" t="n">
        <f aca="false">IFERROR(SUMIF($AB$4:$AM$4, "De Minimis", AB275:AM275), "")</f>
        <v>0</v>
      </c>
      <c r="AQ275" s="283"/>
      <c r="AR275" s="292" t="n">
        <f aca="false">IFERROR(($J275*O275)*$M275, "")</f>
        <v>0</v>
      </c>
      <c r="AS275" s="292" t="n">
        <f aca="false">IFERROR(($J275*P275)*$M275, "")</f>
        <v>0</v>
      </c>
      <c r="AT275" s="292" t="n">
        <f aca="false">IFERROR(($J275*Q275)*$M275, "")</f>
        <v>0</v>
      </c>
      <c r="AU275" s="292" t="n">
        <f aca="false">IFERROR(($J275*R275)*$M275, "")</f>
        <v>0</v>
      </c>
      <c r="AV275" s="292" t="n">
        <f aca="false">IFERROR(($J275*S275)*$M275, "")</f>
        <v>0</v>
      </c>
      <c r="AW275" s="292" t="n">
        <f aca="false">IFERROR(($J275*T275)*$M275, "")</f>
        <v>0</v>
      </c>
      <c r="AX275" s="292" t="n">
        <f aca="false">IFERROR(($J275*U275)*$M275, "")</f>
        <v>0</v>
      </c>
      <c r="AY275" s="292" t="n">
        <f aca="false">IFERROR(($J275*V275)*$M275, "")</f>
        <v>0</v>
      </c>
      <c r="AZ275" s="292" t="n">
        <f aca="false">IFERROR(($J275*W275)*$M275, "")</f>
        <v>0</v>
      </c>
      <c r="BA275" s="292" t="n">
        <f aca="false">IFERROR(($J275*X275)*$M275, "")</f>
        <v>0</v>
      </c>
      <c r="BB275" s="292" t="n">
        <f aca="false">IFERROR(($J275*Y275)*$M275, "")</f>
        <v>0</v>
      </c>
      <c r="BC275" s="293" t="n">
        <f aca="false">IFERROR(($J275*Z275)*$M275, "")</f>
        <v>0</v>
      </c>
      <c r="BD275" s="294" t="n">
        <f aca="false">IFERROR(SUMIF($AB$4:$AM$4, "RDEC", AR275:BC275), "")</f>
        <v>0</v>
      </c>
      <c r="BE275" s="294" t="n">
        <f aca="false">IFERROR(SUMIF($AB$4:$AM$4, "SME", AR275:BC275), "")</f>
        <v>0</v>
      </c>
      <c r="BF275" s="294" t="n">
        <f aca="false">IFERROR(SUMIF($AB$4:$AM$4, "De Minimis", AR275:BC275), "")</f>
        <v>0</v>
      </c>
      <c r="BG275" s="287"/>
      <c r="BH275" s="295" t="str">
        <f aca="false">IF((SUM(O275:Z275)&gt;1),"ERROR","")</f>
        <v/>
      </c>
      <c r="BI275" s="287"/>
      <c r="BJ275" s="18" t="str">
        <f aca="false">IF(C261&gt;0, C261, "")</f>
        <v/>
      </c>
      <c r="BL275" s="200"/>
      <c r="BM275" s="200"/>
      <c r="BN275" s="200"/>
    </row>
    <row r="276" customFormat="false" ht="15" hidden="false" customHeight="true" outlineLevel="0" collapsed="false">
      <c r="B276" s="296"/>
      <c r="D276" s="297" t="s">
        <v>82</v>
      </c>
      <c r="E276" s="298" t="n">
        <f aca="false">SUM(E264:E275)</f>
        <v>0</v>
      </c>
      <c r="F276" s="298" t="n">
        <f aca="false">SUM(F264:F275)</f>
        <v>0</v>
      </c>
      <c r="G276" s="298" t="n">
        <f aca="false">SUM(G264:G275)</f>
        <v>0</v>
      </c>
      <c r="H276" s="298" t="n">
        <f aca="false">SUM(H264:H275)</f>
        <v>0</v>
      </c>
      <c r="I276" s="298" t="n">
        <f aca="false">SUM(I264:I275)</f>
        <v>0</v>
      </c>
      <c r="J276" s="299" t="n">
        <f aca="false">SUM(J264:J275)</f>
        <v>0</v>
      </c>
      <c r="K276" s="300"/>
      <c r="L276" s="301" t="n">
        <f aca="false">AVERAGE(L264:L275)</f>
        <v>1</v>
      </c>
      <c r="M276" s="301" t="n">
        <f aca="false">AVERAGE(M264:M275)</f>
        <v>0</v>
      </c>
      <c r="N276" s="302"/>
      <c r="O276" s="290" t="n">
        <f aca="false">IF(SUM(O264:O275)&gt;0,((AB276+AR276)/J276),0)</f>
        <v>0</v>
      </c>
      <c r="P276" s="290" t="n">
        <f aca="false">IF(SUM(P264:P275)&gt;0,((AC276+AS276)/J276),0)</f>
        <v>0</v>
      </c>
      <c r="Q276" s="290" t="n">
        <f aca="false">IF(SUM(Q264:Q275)&gt;0,((AD276+AT276)/J276),0)</f>
        <v>0</v>
      </c>
      <c r="R276" s="290" t="n">
        <f aca="false">IF(SUM(R264:R275)&gt;0,((AE276+AU276)/J276),0)</f>
        <v>0</v>
      </c>
      <c r="S276" s="290" t="n">
        <f aca="false">IF(SUM(S264:S275)&gt;0,((AF276+AV276)/J276),0)</f>
        <v>0</v>
      </c>
      <c r="T276" s="290" t="n">
        <f aca="false">IF(SUM(T264:T275)&gt;0,((AG276+AW276)/J276),0)</f>
        <v>0</v>
      </c>
      <c r="U276" s="290" t="n">
        <f aca="false">IF(SUM(U264:U275)&gt;0,((AH276+AX276)/J276),0)</f>
        <v>0</v>
      </c>
      <c r="V276" s="290" t="n">
        <f aca="false">IF(SUM(V264:V275)&gt;0,((AI276+AY276)/J276),0)</f>
        <v>0</v>
      </c>
      <c r="W276" s="290" t="n">
        <f aca="false">IF(SUM(W264:W275)&gt;0,((AJ276+AZ276)/J276),0)</f>
        <v>0</v>
      </c>
      <c r="X276" s="290" t="n">
        <f aca="false">IF(SUM(X264:X275)&gt;0,((AK276+BA276)/J276),0)</f>
        <v>0</v>
      </c>
      <c r="Y276" s="290" t="n">
        <f aca="false">IF(SUM(Y264:Y275)&gt;0,((AL276+BB276)/J276),0)</f>
        <v>0</v>
      </c>
      <c r="Z276" s="290" t="n">
        <f aca="false">IF(SUM(Z264:Z275)&gt;0,((AM276+BC276)/J276),0)</f>
        <v>0</v>
      </c>
      <c r="AA276" s="303"/>
      <c r="AB276" s="292" t="n">
        <f aca="false">SUM(AB264:AB275)</f>
        <v>0</v>
      </c>
      <c r="AC276" s="304" t="n">
        <f aca="false">SUM(AC264:AC275)</f>
        <v>0</v>
      </c>
      <c r="AD276" s="304" t="n">
        <f aca="false">SUM(AD264:AD275)</f>
        <v>0</v>
      </c>
      <c r="AE276" s="304" t="n">
        <f aca="false">SUM(AE264:AE275)</f>
        <v>0</v>
      </c>
      <c r="AF276" s="304" t="n">
        <f aca="false">SUM(AF264:AF275)</f>
        <v>0</v>
      </c>
      <c r="AG276" s="304" t="n">
        <f aca="false">SUM(AG264:AG275)</f>
        <v>0</v>
      </c>
      <c r="AH276" s="304" t="n">
        <f aca="false">SUM(AH264:AH275)</f>
        <v>0</v>
      </c>
      <c r="AI276" s="304" t="n">
        <f aca="false">SUM(AI264:AI275)</f>
        <v>0</v>
      </c>
      <c r="AJ276" s="304" t="n">
        <f aca="false">SUM(AJ264:AJ275)</f>
        <v>0</v>
      </c>
      <c r="AK276" s="304" t="n">
        <f aca="false">SUM(AK264:AK275)</f>
        <v>0</v>
      </c>
      <c r="AL276" s="304" t="n">
        <f aca="false">SUM(AL264:AL275)</f>
        <v>0</v>
      </c>
      <c r="AM276" s="304" t="n">
        <f aca="false">SUM(AM264:AM275)</f>
        <v>0</v>
      </c>
      <c r="AN276" s="305" t="n">
        <f aca="false">SUM(AN264:AN275)</f>
        <v>0</v>
      </c>
      <c r="AO276" s="305" t="n">
        <f aca="false">SUM(AO264:AO275)</f>
        <v>0</v>
      </c>
      <c r="AP276" s="305" t="n">
        <f aca="false">SUM(AP264:AP275)</f>
        <v>0</v>
      </c>
      <c r="AQ276" s="303"/>
      <c r="AR276" s="292" t="n">
        <f aca="false">SUM(AR264:AR275)</f>
        <v>0</v>
      </c>
      <c r="AS276" s="304" t="n">
        <f aca="false">SUM(AS264:AS275)</f>
        <v>0</v>
      </c>
      <c r="AT276" s="304" t="n">
        <f aca="false">SUM(AT264:AT275)</f>
        <v>0</v>
      </c>
      <c r="AU276" s="304" t="n">
        <f aca="false">SUM(AU264:AU275)</f>
        <v>0</v>
      </c>
      <c r="AV276" s="304" t="n">
        <f aca="false">SUM(AV264:AV275)</f>
        <v>0</v>
      </c>
      <c r="AW276" s="304" t="n">
        <f aca="false">SUM(AW264:AW275)</f>
        <v>0</v>
      </c>
      <c r="AX276" s="304" t="n">
        <f aca="false">SUM(AX264:AX275)</f>
        <v>0</v>
      </c>
      <c r="AY276" s="304" t="n">
        <f aca="false">SUM(AY264:AY275)</f>
        <v>0</v>
      </c>
      <c r="AZ276" s="304" t="n">
        <f aca="false">SUM(AZ264:AZ275)</f>
        <v>0</v>
      </c>
      <c r="BA276" s="304" t="n">
        <f aca="false">SUM(BA264:BA275)</f>
        <v>0</v>
      </c>
      <c r="BB276" s="304" t="n">
        <f aca="false">SUM(BB264:BB275)</f>
        <v>0</v>
      </c>
      <c r="BC276" s="304" t="n">
        <f aca="false">SUM(BC264:BC275)</f>
        <v>0</v>
      </c>
      <c r="BD276" s="305" t="n">
        <f aca="false">SUM(BD264:BD275)</f>
        <v>0</v>
      </c>
      <c r="BE276" s="305" t="n">
        <f aca="false">SUM(BE264:BE275)</f>
        <v>0</v>
      </c>
      <c r="BF276" s="305" t="n">
        <f aca="false">SUM(BF264:BF275)</f>
        <v>0</v>
      </c>
      <c r="BG276" s="303"/>
      <c r="BH276" s="306"/>
      <c r="BI276" s="303"/>
      <c r="BJ276" s="307" t="str">
        <f aca="false">IF(C262&gt;0, C262, "")</f>
        <v>TBA</v>
      </c>
      <c r="BK276" s="18" t="s">
        <v>234</v>
      </c>
      <c r="BL276" s="200" t="n">
        <f aca="false">IF($BK276="Y",J276,0)</f>
        <v>0</v>
      </c>
      <c r="BM276" s="200" t="n">
        <f aca="false">IF(BK276="Y", AN276,0)</f>
        <v>0</v>
      </c>
      <c r="BN276" s="200" t="n">
        <f aca="false">IF((BK276="Y"),AO276,0)</f>
        <v>0</v>
      </c>
    </row>
    <row r="277" customFormat="false" ht="15" hidden="false" customHeight="true" outlineLevel="0" collapsed="false">
      <c r="B277" s="296"/>
      <c r="D277" s="297"/>
      <c r="E277" s="277"/>
      <c r="F277" s="277"/>
      <c r="G277" s="277"/>
      <c r="H277" s="277"/>
      <c r="I277" s="277"/>
      <c r="J277" s="300"/>
      <c r="K277" s="300"/>
      <c r="L277" s="302"/>
      <c r="M277" s="302"/>
      <c r="N277" s="302"/>
      <c r="O277" s="308"/>
      <c r="P277" s="308"/>
      <c r="Q277" s="308"/>
      <c r="R277" s="308"/>
      <c r="S277" s="308"/>
      <c r="T277" s="308"/>
      <c r="U277" s="308"/>
      <c r="V277" s="308"/>
      <c r="W277" s="308"/>
      <c r="X277" s="308"/>
      <c r="Y277" s="308"/>
      <c r="Z277" s="308"/>
      <c r="AA277" s="303"/>
      <c r="AB277" s="303"/>
      <c r="AC277" s="303"/>
      <c r="AD277" s="303"/>
      <c r="AE277" s="303"/>
      <c r="AF277" s="303"/>
      <c r="AG277" s="303"/>
      <c r="AH277" s="303"/>
      <c r="AI277" s="303"/>
      <c r="AJ277" s="303"/>
      <c r="AK277" s="303"/>
      <c r="AL277" s="303"/>
      <c r="AM277" s="303"/>
      <c r="AN277" s="303"/>
      <c r="AO277" s="303"/>
      <c r="AP277" s="303"/>
      <c r="AQ277" s="303"/>
      <c r="AR277" s="303"/>
      <c r="AS277" s="303"/>
      <c r="AT277" s="303"/>
      <c r="AU277" s="303"/>
      <c r="AV277" s="303"/>
      <c r="AW277" s="303"/>
      <c r="AX277" s="303"/>
      <c r="AY277" s="303"/>
      <c r="AZ277" s="303"/>
      <c r="BA277" s="303"/>
      <c r="BB277" s="303"/>
      <c r="BC277" s="303"/>
      <c r="BD277" s="303"/>
      <c r="BE277" s="303"/>
      <c r="BF277" s="303"/>
      <c r="BG277" s="303"/>
      <c r="BH277" s="303"/>
      <c r="BI277" s="303"/>
      <c r="BJ277" s="307" t="str">
        <f aca="false">IF(C264&gt;0, C264, "")</f>
        <v/>
      </c>
      <c r="BL277" s="200"/>
      <c r="BM277" s="200"/>
      <c r="BN277" s="200"/>
    </row>
    <row r="278" customFormat="false" ht="15" hidden="false" customHeight="true" outlineLevel="0" collapsed="false">
      <c r="A278" s="198" t="n">
        <f aca="false">A262+1</f>
        <v>18</v>
      </c>
      <c r="B278" s="266" t="s">
        <v>253</v>
      </c>
      <c r="C278" s="266" t="s">
        <v>253</v>
      </c>
      <c r="D278" s="267"/>
      <c r="E278" s="242"/>
      <c r="F278" s="242"/>
      <c r="G278" s="242"/>
      <c r="H278" s="242"/>
      <c r="I278" s="242"/>
      <c r="J278" s="241"/>
      <c r="K278" s="241"/>
      <c r="L278" s="241"/>
      <c r="M278" s="241"/>
      <c r="N278" s="241"/>
      <c r="O278" s="268"/>
      <c r="P278" s="268"/>
      <c r="Q278" s="268"/>
      <c r="R278" s="268"/>
      <c r="S278" s="268"/>
      <c r="T278" s="268"/>
      <c r="U278" s="268"/>
      <c r="V278" s="268"/>
      <c r="W278" s="268"/>
      <c r="X278" s="268"/>
      <c r="Y278" s="268"/>
      <c r="Z278" s="268"/>
      <c r="AA278" s="268"/>
      <c r="AB278" s="268"/>
      <c r="AC278" s="268"/>
      <c r="AD278" s="268"/>
      <c r="AE278" s="268"/>
      <c r="AF278" s="268"/>
      <c r="AG278" s="268"/>
      <c r="AH278" s="268"/>
      <c r="AI278" s="268"/>
      <c r="AJ278" s="268"/>
      <c r="AK278" s="268"/>
      <c r="AL278" s="268"/>
      <c r="AM278" s="268"/>
      <c r="AN278" s="268"/>
      <c r="AO278" s="268"/>
      <c r="AP278" s="268"/>
      <c r="AQ278" s="268"/>
      <c r="AR278" s="268"/>
      <c r="AS278" s="268"/>
      <c r="AT278" s="268"/>
      <c r="AU278" s="268"/>
      <c r="AV278" s="268"/>
      <c r="AW278" s="268"/>
      <c r="AX278" s="268"/>
      <c r="AY278" s="268"/>
      <c r="AZ278" s="268"/>
      <c r="BA278" s="268"/>
      <c r="BB278" s="268"/>
      <c r="BC278" s="268"/>
      <c r="BD278" s="268"/>
      <c r="BE278" s="268"/>
      <c r="BF278" s="268"/>
      <c r="BG278" s="268"/>
      <c r="BH278" s="268"/>
      <c r="BI278" s="268"/>
      <c r="BJ278" s="18" t="str">
        <f aca="false">IF(C265&gt;0, C265, "")</f>
        <v/>
      </c>
      <c r="BL278" s="200"/>
      <c r="BM278" s="200"/>
      <c r="BN278" s="200"/>
    </row>
    <row r="279" customFormat="false" ht="7.5" hidden="false" customHeight="true" outlineLevel="0" collapsed="false">
      <c r="A279" s="198"/>
      <c r="B279" s="266"/>
      <c r="C279" s="266"/>
      <c r="D279" s="267"/>
      <c r="E279" s="242"/>
      <c r="F279" s="242"/>
      <c r="G279" s="242"/>
      <c r="H279" s="242"/>
      <c r="I279" s="242"/>
      <c r="J279" s="241"/>
      <c r="K279" s="241"/>
      <c r="L279" s="269"/>
      <c r="M279" s="269"/>
      <c r="N279" s="270"/>
      <c r="O279" s="269"/>
      <c r="P279" s="269"/>
      <c r="Q279" s="269"/>
      <c r="R279" s="269"/>
      <c r="S279" s="269"/>
      <c r="T279" s="269"/>
      <c r="U279" s="269"/>
      <c r="V279" s="269"/>
      <c r="W279" s="269"/>
      <c r="X279" s="269"/>
      <c r="Y279" s="269"/>
      <c r="Z279" s="269"/>
      <c r="AA279" s="268"/>
      <c r="AB279" s="271"/>
      <c r="AC279" s="271"/>
      <c r="AD279" s="271"/>
      <c r="AE279" s="271"/>
      <c r="AF279" s="271"/>
      <c r="AG279" s="271"/>
      <c r="AH279" s="271"/>
      <c r="AI279" s="271"/>
      <c r="AJ279" s="271"/>
      <c r="AK279" s="271"/>
      <c r="AL279" s="271"/>
      <c r="AM279" s="272"/>
      <c r="AN279" s="273"/>
      <c r="AO279" s="273"/>
      <c r="AP279" s="273"/>
      <c r="AQ279" s="268"/>
      <c r="AR279" s="271"/>
      <c r="AS279" s="271"/>
      <c r="AT279" s="271"/>
      <c r="AU279" s="271"/>
      <c r="AV279" s="271"/>
      <c r="AW279" s="271"/>
      <c r="AX279" s="271"/>
      <c r="AY279" s="271"/>
      <c r="AZ279" s="271"/>
      <c r="BA279" s="271"/>
      <c r="BB279" s="271"/>
      <c r="BC279" s="272"/>
      <c r="BD279" s="273"/>
      <c r="BE279" s="273"/>
      <c r="BF279" s="273"/>
      <c r="BG279" s="268"/>
      <c r="BH279" s="274"/>
      <c r="BI279" s="268"/>
      <c r="BL279" s="200"/>
      <c r="BM279" s="200"/>
      <c r="BN279" s="200"/>
    </row>
    <row r="280" customFormat="false" ht="15" hidden="false" customHeight="true" outlineLevel="0" collapsed="false">
      <c r="B280" s="275"/>
      <c r="D280" s="276" t="n">
        <f aca="false">D264</f>
        <v>45292</v>
      </c>
      <c r="E280" s="277" t="n">
        <v>0</v>
      </c>
      <c r="F280" s="277" t="n">
        <v>0</v>
      </c>
      <c r="G280" s="277" t="n">
        <v>0</v>
      </c>
      <c r="H280" s="277" t="n">
        <v>0</v>
      </c>
      <c r="I280" s="277" t="n">
        <v>0</v>
      </c>
      <c r="J280" s="278" t="n">
        <f aca="false">E280+H280+I280</f>
        <v>0</v>
      </c>
      <c r="K280" s="204"/>
      <c r="L280" s="279" t="n">
        <v>1</v>
      </c>
      <c r="M280" s="280" t="n">
        <f aca="false">1-L280</f>
        <v>0</v>
      </c>
      <c r="N280" s="281"/>
      <c r="O280" s="282"/>
      <c r="P280" s="282"/>
      <c r="Q280" s="282"/>
      <c r="R280" s="282"/>
      <c r="S280" s="282"/>
      <c r="T280" s="282"/>
      <c r="U280" s="282"/>
      <c r="V280" s="282"/>
      <c r="W280" s="282"/>
      <c r="X280" s="282"/>
      <c r="Y280" s="282"/>
      <c r="Z280" s="282"/>
      <c r="AA280" s="283"/>
      <c r="AB280" s="284" t="n">
        <f aca="false">IFERROR(($J280*O280)*$L280, "")</f>
        <v>0</v>
      </c>
      <c r="AC280" s="284" t="n">
        <f aca="false">IFERROR(($J280*P280)*$L280, "")</f>
        <v>0</v>
      </c>
      <c r="AD280" s="284" t="n">
        <f aca="false">IFERROR(($J280*Q280)*$L280, "")</f>
        <v>0</v>
      </c>
      <c r="AE280" s="284" t="n">
        <f aca="false">IFERROR(($J280*R280)*$L280, "")</f>
        <v>0</v>
      </c>
      <c r="AF280" s="284" t="n">
        <f aca="false">IFERROR(($J280*S280)*$L280, "")</f>
        <v>0</v>
      </c>
      <c r="AG280" s="284" t="n">
        <f aca="false">IFERROR(($J280*T280)*$L280, "")</f>
        <v>0</v>
      </c>
      <c r="AH280" s="284" t="n">
        <f aca="false">IFERROR(($J280*U280)*$L280, "")</f>
        <v>0</v>
      </c>
      <c r="AI280" s="284" t="n">
        <f aca="false">IFERROR(($J280*V280)*$L280, "")</f>
        <v>0</v>
      </c>
      <c r="AJ280" s="284" t="n">
        <f aca="false">IFERROR(($J280*W280)*$L280, "")</f>
        <v>0</v>
      </c>
      <c r="AK280" s="284" t="n">
        <f aca="false">IFERROR(($J280*X280)*$L280, "")</f>
        <v>0</v>
      </c>
      <c r="AL280" s="284" t="n">
        <f aca="false">IFERROR(($J280*Y280)*$L280, "")</f>
        <v>0</v>
      </c>
      <c r="AM280" s="285" t="n">
        <f aca="false">IFERROR(($J280*Z280)*$L280, "")</f>
        <v>0</v>
      </c>
      <c r="AN280" s="286" t="n">
        <f aca="false">IFERROR(SUMIF($AB$4:$AM$4, "RDEC", AB280:AM280), "")</f>
        <v>0</v>
      </c>
      <c r="AO280" s="286" t="n">
        <f aca="false">IFERROR(SUMIF($AB$4:$AM$4, "SME", AB280:AM280), "")</f>
        <v>0</v>
      </c>
      <c r="AP280" s="286" t="n">
        <f aca="false">IFERROR(SUMIF($AB$4:$AM$4, "De Minimis", AB280:AM280), "")</f>
        <v>0</v>
      </c>
      <c r="AQ280" s="283"/>
      <c r="AR280" s="284" t="n">
        <f aca="false">IFERROR(($J280*O280)*$M280, "")</f>
        <v>0</v>
      </c>
      <c r="AS280" s="284" t="n">
        <f aca="false">IFERROR(($J280*P280)*$M280, "")</f>
        <v>0</v>
      </c>
      <c r="AT280" s="284" t="n">
        <f aca="false">IFERROR(($J280*Q280)*$M280, "")</f>
        <v>0</v>
      </c>
      <c r="AU280" s="284" t="n">
        <f aca="false">IFERROR(($J280*R280)*$M280, "")</f>
        <v>0</v>
      </c>
      <c r="AV280" s="284" t="n">
        <f aca="false">IFERROR(($J280*S280)*$M280, "")</f>
        <v>0</v>
      </c>
      <c r="AW280" s="284" t="n">
        <f aca="false">IFERROR(($J280*T280)*$M280, "")</f>
        <v>0</v>
      </c>
      <c r="AX280" s="284" t="n">
        <f aca="false">IFERROR(($J280*U280)*$M280, "")</f>
        <v>0</v>
      </c>
      <c r="AY280" s="284" t="n">
        <f aca="false">IFERROR(($J280*V280)*$M280, "")</f>
        <v>0</v>
      </c>
      <c r="AZ280" s="284" t="n">
        <f aca="false">IFERROR(($J280*W280)*$M280, "")</f>
        <v>0</v>
      </c>
      <c r="BA280" s="284" t="n">
        <f aca="false">IFERROR(($J280*X280)*$M280, "")</f>
        <v>0</v>
      </c>
      <c r="BB280" s="284" t="n">
        <f aca="false">IFERROR(($J280*Y280)*$M280, "")</f>
        <v>0</v>
      </c>
      <c r="BC280" s="285" t="n">
        <f aca="false">IFERROR(($J280*Z280)*$M280, "")</f>
        <v>0</v>
      </c>
      <c r="BD280" s="286" t="n">
        <f aca="false">IFERROR(SUMIF($AB$4:$AM$4, "RDEC", AR280:BC280), "")</f>
        <v>0</v>
      </c>
      <c r="BE280" s="286" t="n">
        <f aca="false">IFERROR(SUMIF($AB$4:$AM$4, "SME", AR280:BC280), "")</f>
        <v>0</v>
      </c>
      <c r="BF280" s="286" t="n">
        <f aca="false">IFERROR(SUMIF($AB$4:$AM$4, "De Minimis", AR280:BC280), "")</f>
        <v>0</v>
      </c>
      <c r="BG280" s="287"/>
      <c r="BH280" s="288" t="str">
        <f aca="false">IF((SUM(O280:Z280)&gt;1),"ERROR","")</f>
        <v/>
      </c>
      <c r="BI280" s="287"/>
      <c r="BJ280" s="18" t="str">
        <f aca="false">IF(C266&gt;0, C266, "")</f>
        <v/>
      </c>
      <c r="BL280" s="200"/>
      <c r="BM280" s="200"/>
      <c r="BN280" s="200"/>
    </row>
    <row r="281" customFormat="false" ht="15" hidden="false" customHeight="true" outlineLevel="0" collapsed="false">
      <c r="B281" s="275"/>
      <c r="D281" s="276" t="n">
        <f aca="false">D265</f>
        <v>45323</v>
      </c>
      <c r="E281" s="277" t="n">
        <v>0</v>
      </c>
      <c r="F281" s="277" t="n">
        <v>0</v>
      </c>
      <c r="G281" s="277" t="n">
        <v>0</v>
      </c>
      <c r="H281" s="277" t="n">
        <v>0</v>
      </c>
      <c r="I281" s="277" t="n">
        <v>0</v>
      </c>
      <c r="J281" s="278" t="n">
        <f aca="false">E281+H281+I281</f>
        <v>0</v>
      </c>
      <c r="K281" s="204"/>
      <c r="L281" s="279" t="n">
        <v>1</v>
      </c>
      <c r="M281" s="280" t="n">
        <f aca="false">1-L281</f>
        <v>0</v>
      </c>
      <c r="N281" s="281"/>
      <c r="O281" s="282"/>
      <c r="P281" s="282"/>
      <c r="Q281" s="282"/>
      <c r="R281" s="282"/>
      <c r="S281" s="282"/>
      <c r="T281" s="282"/>
      <c r="U281" s="282"/>
      <c r="V281" s="282"/>
      <c r="W281" s="282"/>
      <c r="X281" s="282"/>
      <c r="Y281" s="282"/>
      <c r="Z281" s="282"/>
      <c r="AA281" s="283"/>
      <c r="AB281" s="284" t="n">
        <f aca="false">IFERROR(($J281*O281)*$L281, "")</f>
        <v>0</v>
      </c>
      <c r="AC281" s="284" t="n">
        <f aca="false">IFERROR(($J281*P281)*$L281, "")</f>
        <v>0</v>
      </c>
      <c r="AD281" s="284" t="n">
        <f aca="false">IFERROR(($J281*Q281)*$L281, "")</f>
        <v>0</v>
      </c>
      <c r="AE281" s="284" t="n">
        <f aca="false">IFERROR(($J281*R281)*$L281, "")</f>
        <v>0</v>
      </c>
      <c r="AF281" s="284" t="n">
        <f aca="false">IFERROR(($J281*S281)*$L281, "")</f>
        <v>0</v>
      </c>
      <c r="AG281" s="284" t="n">
        <f aca="false">IFERROR(($J281*T281)*$L281, "")</f>
        <v>0</v>
      </c>
      <c r="AH281" s="284" t="n">
        <f aca="false">IFERROR(($J281*U281)*$L281, "")</f>
        <v>0</v>
      </c>
      <c r="AI281" s="284" t="n">
        <f aca="false">IFERROR(($J281*V281)*$L281, "")</f>
        <v>0</v>
      </c>
      <c r="AJ281" s="284" t="n">
        <f aca="false">IFERROR(($J281*W281)*$L281, "")</f>
        <v>0</v>
      </c>
      <c r="AK281" s="284" t="n">
        <f aca="false">IFERROR(($J281*X281)*$L281, "")</f>
        <v>0</v>
      </c>
      <c r="AL281" s="284" t="n">
        <f aca="false">IFERROR(($J281*Y281)*$L281, "")</f>
        <v>0</v>
      </c>
      <c r="AM281" s="285" t="n">
        <f aca="false">IFERROR(($J281*Z281)*$L281, "")</f>
        <v>0</v>
      </c>
      <c r="AN281" s="286" t="n">
        <f aca="false">IFERROR(SUMIF($AB$4:$AM$4, "RDEC", AB281:AM281), "")</f>
        <v>0</v>
      </c>
      <c r="AO281" s="286" t="n">
        <f aca="false">IFERROR(SUMIF($AB$4:$AM$4, "SME", AB281:AM281), "")</f>
        <v>0</v>
      </c>
      <c r="AP281" s="286" t="n">
        <f aca="false">IFERROR(SUMIF($AB$4:$AM$4, "De Minimis", AB281:AM281), "")</f>
        <v>0</v>
      </c>
      <c r="AQ281" s="283"/>
      <c r="AR281" s="284" t="n">
        <f aca="false">IFERROR(($J281*O281)*$M281, "")</f>
        <v>0</v>
      </c>
      <c r="AS281" s="284" t="n">
        <f aca="false">IFERROR(($J281*P281)*$M281, "")</f>
        <v>0</v>
      </c>
      <c r="AT281" s="284" t="n">
        <f aca="false">IFERROR(($J281*Q281)*$M281, "")</f>
        <v>0</v>
      </c>
      <c r="AU281" s="284" t="n">
        <f aca="false">IFERROR(($J281*R281)*$M281, "")</f>
        <v>0</v>
      </c>
      <c r="AV281" s="284" t="n">
        <f aca="false">IFERROR(($J281*S281)*$M281, "")</f>
        <v>0</v>
      </c>
      <c r="AW281" s="284" t="n">
        <f aca="false">IFERROR(($J281*T281)*$M281, "")</f>
        <v>0</v>
      </c>
      <c r="AX281" s="284" t="n">
        <f aca="false">IFERROR(($J281*U281)*$M281, "")</f>
        <v>0</v>
      </c>
      <c r="AY281" s="284" t="n">
        <f aca="false">IFERROR(($J281*V281)*$M281, "")</f>
        <v>0</v>
      </c>
      <c r="AZ281" s="284" t="n">
        <f aca="false">IFERROR(($J281*W281)*$M281, "")</f>
        <v>0</v>
      </c>
      <c r="BA281" s="284" t="n">
        <f aca="false">IFERROR(($J281*X281)*$M281, "")</f>
        <v>0</v>
      </c>
      <c r="BB281" s="284" t="n">
        <f aca="false">IFERROR(($J281*Y281)*$M281, "")</f>
        <v>0</v>
      </c>
      <c r="BC281" s="285" t="n">
        <f aca="false">IFERROR(($J281*Z281)*$M281, "")</f>
        <v>0</v>
      </c>
      <c r="BD281" s="286" t="n">
        <f aca="false">IFERROR(SUMIF($AB$4:$AM$4, "RDEC", AR281:BC281), "")</f>
        <v>0</v>
      </c>
      <c r="BE281" s="286" t="n">
        <f aca="false">IFERROR(SUMIF($AB$4:$AM$4, "SME", AR281:BC281), "")</f>
        <v>0</v>
      </c>
      <c r="BF281" s="286" t="n">
        <f aca="false">IFERROR(SUMIF($AB$4:$AM$4, "De Minimis", AR281:BC281), "")</f>
        <v>0</v>
      </c>
      <c r="BG281" s="287"/>
      <c r="BH281" s="288" t="str">
        <f aca="false">IF((SUM(O281:Z281)&gt;1),"ERROR","")</f>
        <v/>
      </c>
      <c r="BI281" s="287"/>
      <c r="BJ281" s="18" t="str">
        <f aca="false">IF(C267&gt;0, C267, "")</f>
        <v/>
      </c>
      <c r="BL281" s="200"/>
      <c r="BM281" s="200"/>
      <c r="BN281" s="200"/>
    </row>
    <row r="282" customFormat="false" ht="15" hidden="false" customHeight="true" outlineLevel="0" collapsed="false">
      <c r="B282" s="275"/>
      <c r="D282" s="276" t="n">
        <f aca="false">D266</f>
        <v>45352</v>
      </c>
      <c r="E282" s="277" t="n">
        <v>0</v>
      </c>
      <c r="F282" s="277" t="n">
        <v>0</v>
      </c>
      <c r="G282" s="277" t="n">
        <v>0</v>
      </c>
      <c r="H282" s="277" t="n">
        <v>0</v>
      </c>
      <c r="I282" s="277" t="n">
        <v>0</v>
      </c>
      <c r="J282" s="278" t="n">
        <f aca="false">E282+H282+I282</f>
        <v>0</v>
      </c>
      <c r="K282" s="204"/>
      <c r="L282" s="279" t="n">
        <v>1</v>
      </c>
      <c r="M282" s="280" t="n">
        <f aca="false">1-L282</f>
        <v>0</v>
      </c>
      <c r="N282" s="281"/>
      <c r="O282" s="282"/>
      <c r="P282" s="282"/>
      <c r="Q282" s="282"/>
      <c r="R282" s="282"/>
      <c r="S282" s="282"/>
      <c r="T282" s="282"/>
      <c r="U282" s="282"/>
      <c r="V282" s="282"/>
      <c r="W282" s="282"/>
      <c r="X282" s="282"/>
      <c r="Y282" s="282"/>
      <c r="Z282" s="282"/>
      <c r="AA282" s="283"/>
      <c r="AB282" s="284" t="n">
        <f aca="false">IFERROR(($J282*O282)*$L282, "")</f>
        <v>0</v>
      </c>
      <c r="AC282" s="284" t="n">
        <f aca="false">IFERROR(($J282*P282)*$L282, "")</f>
        <v>0</v>
      </c>
      <c r="AD282" s="284" t="n">
        <f aca="false">IFERROR(($J282*Q282)*$L282, "")</f>
        <v>0</v>
      </c>
      <c r="AE282" s="284" t="n">
        <f aca="false">IFERROR(($J282*R282)*$L282, "")</f>
        <v>0</v>
      </c>
      <c r="AF282" s="284" t="n">
        <f aca="false">IFERROR(($J282*S282)*$L282, "")</f>
        <v>0</v>
      </c>
      <c r="AG282" s="284" t="n">
        <f aca="false">IFERROR(($J282*T282)*$L282, "")</f>
        <v>0</v>
      </c>
      <c r="AH282" s="284" t="n">
        <f aca="false">IFERROR(($J282*U282)*$L282, "")</f>
        <v>0</v>
      </c>
      <c r="AI282" s="284" t="n">
        <f aca="false">IFERROR(($J282*V282)*$L282, "")</f>
        <v>0</v>
      </c>
      <c r="AJ282" s="284" t="n">
        <f aca="false">IFERROR(($J282*W282)*$L282, "")</f>
        <v>0</v>
      </c>
      <c r="AK282" s="284" t="n">
        <f aca="false">IFERROR(($J282*X282)*$L282, "")</f>
        <v>0</v>
      </c>
      <c r="AL282" s="284" t="n">
        <f aca="false">IFERROR(($J282*Y282)*$L282, "")</f>
        <v>0</v>
      </c>
      <c r="AM282" s="285" t="n">
        <f aca="false">IFERROR(($J282*Z282)*$L282, "")</f>
        <v>0</v>
      </c>
      <c r="AN282" s="286" t="n">
        <f aca="false">IFERROR(SUMIF($AB$4:$AM$4, "RDEC", AB282:AM282), "")</f>
        <v>0</v>
      </c>
      <c r="AO282" s="286" t="n">
        <f aca="false">IFERROR(SUMIF($AB$4:$AM$4, "SME", AB282:AM282), "")</f>
        <v>0</v>
      </c>
      <c r="AP282" s="286" t="n">
        <f aca="false">IFERROR(SUMIF($AB$4:$AM$4, "De Minimis", AB282:AM282), "")</f>
        <v>0</v>
      </c>
      <c r="AQ282" s="283"/>
      <c r="AR282" s="284" t="n">
        <f aca="false">IFERROR(($J282*O282)*$M282, "")</f>
        <v>0</v>
      </c>
      <c r="AS282" s="284" t="n">
        <f aca="false">IFERROR(($J282*P282)*$M282, "")</f>
        <v>0</v>
      </c>
      <c r="AT282" s="284" t="n">
        <f aca="false">IFERROR(($J282*Q282)*$M282, "")</f>
        <v>0</v>
      </c>
      <c r="AU282" s="284" t="n">
        <f aca="false">IFERROR(($J282*R282)*$M282, "")</f>
        <v>0</v>
      </c>
      <c r="AV282" s="284" t="n">
        <f aca="false">IFERROR(($J282*S282)*$M282, "")</f>
        <v>0</v>
      </c>
      <c r="AW282" s="284" t="n">
        <f aca="false">IFERROR(($J282*T282)*$M282, "")</f>
        <v>0</v>
      </c>
      <c r="AX282" s="284" t="n">
        <f aca="false">IFERROR(($J282*U282)*$M282, "")</f>
        <v>0</v>
      </c>
      <c r="AY282" s="284" t="n">
        <f aca="false">IFERROR(($J282*V282)*$M282, "")</f>
        <v>0</v>
      </c>
      <c r="AZ282" s="284" t="n">
        <f aca="false">IFERROR(($J282*W282)*$M282, "")</f>
        <v>0</v>
      </c>
      <c r="BA282" s="284" t="n">
        <f aca="false">IFERROR(($J282*X282)*$M282, "")</f>
        <v>0</v>
      </c>
      <c r="BB282" s="284" t="n">
        <f aca="false">IFERROR(($J282*Y282)*$M282, "")</f>
        <v>0</v>
      </c>
      <c r="BC282" s="285" t="n">
        <f aca="false">IFERROR(($J282*Z282)*$M282, "")</f>
        <v>0</v>
      </c>
      <c r="BD282" s="286" t="n">
        <f aca="false">IFERROR(SUMIF($AB$4:$AM$4, "RDEC", AR282:BC282), "")</f>
        <v>0</v>
      </c>
      <c r="BE282" s="286" t="n">
        <f aca="false">IFERROR(SUMIF($AB$4:$AM$4, "SME", AR282:BC282), "")</f>
        <v>0</v>
      </c>
      <c r="BF282" s="286" t="n">
        <f aca="false">IFERROR(SUMIF($AB$4:$AM$4, "De Minimis", AR282:BC282), "")</f>
        <v>0</v>
      </c>
      <c r="BG282" s="287"/>
      <c r="BH282" s="288" t="str">
        <f aca="false">IF((SUM(O282:Z282)&gt;1),"ERROR","")</f>
        <v/>
      </c>
      <c r="BI282" s="287"/>
      <c r="BJ282" s="18" t="str">
        <f aca="false">IF(C268&gt;0, C268, "")</f>
        <v/>
      </c>
      <c r="BL282" s="200"/>
      <c r="BM282" s="200"/>
      <c r="BN282" s="200"/>
    </row>
    <row r="283" customFormat="false" ht="15" hidden="false" customHeight="true" outlineLevel="0" collapsed="false">
      <c r="B283" s="275"/>
      <c r="D283" s="276" t="n">
        <f aca="false">D267</f>
        <v>45383</v>
      </c>
      <c r="E283" s="277" t="n">
        <v>0</v>
      </c>
      <c r="F283" s="277" t="n">
        <v>0</v>
      </c>
      <c r="G283" s="277" t="n">
        <v>0</v>
      </c>
      <c r="H283" s="277" t="n">
        <v>0</v>
      </c>
      <c r="I283" s="277" t="n">
        <v>0</v>
      </c>
      <c r="J283" s="278" t="n">
        <f aca="false">E283+H283+I283</f>
        <v>0</v>
      </c>
      <c r="K283" s="204"/>
      <c r="L283" s="279" t="n">
        <v>1</v>
      </c>
      <c r="M283" s="280" t="n">
        <f aca="false">1-L283</f>
        <v>0</v>
      </c>
      <c r="N283" s="281"/>
      <c r="O283" s="282"/>
      <c r="P283" s="282"/>
      <c r="Q283" s="282"/>
      <c r="R283" s="282"/>
      <c r="S283" s="282"/>
      <c r="T283" s="282"/>
      <c r="U283" s="282"/>
      <c r="V283" s="282"/>
      <c r="W283" s="282"/>
      <c r="X283" s="282"/>
      <c r="Y283" s="282"/>
      <c r="Z283" s="282"/>
      <c r="AA283" s="283"/>
      <c r="AB283" s="284" t="n">
        <f aca="false">IFERROR(($J283*O283)*$L283, "")</f>
        <v>0</v>
      </c>
      <c r="AC283" s="284" t="n">
        <f aca="false">IFERROR(($J283*P283)*$L283, "")</f>
        <v>0</v>
      </c>
      <c r="AD283" s="284" t="n">
        <f aca="false">IFERROR(($J283*Q283)*$L283, "")</f>
        <v>0</v>
      </c>
      <c r="AE283" s="284" t="n">
        <f aca="false">IFERROR(($J283*R283)*$L283, "")</f>
        <v>0</v>
      </c>
      <c r="AF283" s="284" t="n">
        <f aca="false">IFERROR(($J283*S283)*$L283, "")</f>
        <v>0</v>
      </c>
      <c r="AG283" s="284" t="n">
        <f aca="false">IFERROR(($J283*T283)*$L283, "")</f>
        <v>0</v>
      </c>
      <c r="AH283" s="284" t="n">
        <f aca="false">IFERROR(($J283*U283)*$L283, "")</f>
        <v>0</v>
      </c>
      <c r="AI283" s="284" t="n">
        <f aca="false">IFERROR(($J283*V283)*$L283, "")</f>
        <v>0</v>
      </c>
      <c r="AJ283" s="284" t="n">
        <f aca="false">IFERROR(($J283*W283)*$L283, "")</f>
        <v>0</v>
      </c>
      <c r="AK283" s="284" t="n">
        <f aca="false">IFERROR(($J283*X283)*$L283, "")</f>
        <v>0</v>
      </c>
      <c r="AL283" s="284" t="n">
        <f aca="false">IFERROR(($J283*Y283)*$L283, "")</f>
        <v>0</v>
      </c>
      <c r="AM283" s="285" t="n">
        <f aca="false">IFERROR(($J283*Z283)*$L283, "")</f>
        <v>0</v>
      </c>
      <c r="AN283" s="286" t="n">
        <f aca="false">IFERROR(SUMIF($AB$4:$AM$4, "RDEC", AB283:AM283), "")</f>
        <v>0</v>
      </c>
      <c r="AO283" s="286" t="n">
        <f aca="false">IFERROR(SUMIF($AB$4:$AM$4, "SME", AB283:AM283), "")</f>
        <v>0</v>
      </c>
      <c r="AP283" s="286" t="n">
        <f aca="false">IFERROR(SUMIF($AB$4:$AM$4, "De Minimis", AB283:AM283), "")</f>
        <v>0</v>
      </c>
      <c r="AQ283" s="283"/>
      <c r="AR283" s="284" t="n">
        <f aca="false">IFERROR(($J283*O283)*$M283, "")</f>
        <v>0</v>
      </c>
      <c r="AS283" s="284" t="n">
        <f aca="false">IFERROR(($J283*P283)*$M283, "")</f>
        <v>0</v>
      </c>
      <c r="AT283" s="284" t="n">
        <f aca="false">IFERROR(($J283*Q283)*$M283, "")</f>
        <v>0</v>
      </c>
      <c r="AU283" s="284" t="n">
        <f aca="false">IFERROR(($J283*R283)*$M283, "")</f>
        <v>0</v>
      </c>
      <c r="AV283" s="284" t="n">
        <f aca="false">IFERROR(($J283*S283)*$M283, "")</f>
        <v>0</v>
      </c>
      <c r="AW283" s="284" t="n">
        <f aca="false">IFERROR(($J283*T283)*$M283, "")</f>
        <v>0</v>
      </c>
      <c r="AX283" s="284" t="n">
        <f aca="false">IFERROR(($J283*U283)*$M283, "")</f>
        <v>0</v>
      </c>
      <c r="AY283" s="284" t="n">
        <f aca="false">IFERROR(($J283*V283)*$M283, "")</f>
        <v>0</v>
      </c>
      <c r="AZ283" s="284" t="n">
        <f aca="false">IFERROR(($J283*W283)*$M283, "")</f>
        <v>0</v>
      </c>
      <c r="BA283" s="284" t="n">
        <f aca="false">IFERROR(($J283*X283)*$M283, "")</f>
        <v>0</v>
      </c>
      <c r="BB283" s="284" t="n">
        <f aca="false">IFERROR(($J283*Y283)*$M283, "")</f>
        <v>0</v>
      </c>
      <c r="BC283" s="285" t="n">
        <f aca="false">IFERROR(($J283*Z283)*$M283, "")</f>
        <v>0</v>
      </c>
      <c r="BD283" s="286" t="n">
        <f aca="false">IFERROR(SUMIF($AB$4:$AM$4, "RDEC", AR283:BC283), "")</f>
        <v>0</v>
      </c>
      <c r="BE283" s="286" t="n">
        <f aca="false">IFERROR(SUMIF($AB$4:$AM$4, "SME", AR283:BC283), "")</f>
        <v>0</v>
      </c>
      <c r="BF283" s="286" t="n">
        <f aca="false">IFERROR(SUMIF($AB$4:$AM$4, "De Minimis", AR283:BC283), "")</f>
        <v>0</v>
      </c>
      <c r="BG283" s="287"/>
      <c r="BH283" s="288" t="str">
        <f aca="false">IF((SUM(O283:Z283)&gt;1),"ERROR","")</f>
        <v/>
      </c>
      <c r="BI283" s="287"/>
      <c r="BJ283" s="18" t="str">
        <f aca="false">IF(C269&gt;0, C269, "")</f>
        <v/>
      </c>
      <c r="BL283" s="200"/>
      <c r="BM283" s="200"/>
      <c r="BN283" s="200"/>
    </row>
    <row r="284" customFormat="false" ht="15" hidden="false" customHeight="true" outlineLevel="0" collapsed="false">
      <c r="B284" s="275"/>
      <c r="D284" s="276" t="n">
        <f aca="false">D268</f>
        <v>45413</v>
      </c>
      <c r="E284" s="277" t="n">
        <v>0</v>
      </c>
      <c r="F284" s="277" t="n">
        <v>0</v>
      </c>
      <c r="G284" s="277" t="n">
        <v>0</v>
      </c>
      <c r="H284" s="277" t="n">
        <v>0</v>
      </c>
      <c r="I284" s="277" t="n">
        <v>0</v>
      </c>
      <c r="J284" s="278" t="n">
        <f aca="false">E284+H284+I284</f>
        <v>0</v>
      </c>
      <c r="K284" s="204"/>
      <c r="L284" s="279" t="n">
        <v>1</v>
      </c>
      <c r="M284" s="280" t="n">
        <f aca="false">1-L284</f>
        <v>0</v>
      </c>
      <c r="N284" s="281"/>
      <c r="O284" s="282"/>
      <c r="P284" s="282"/>
      <c r="Q284" s="282"/>
      <c r="R284" s="282"/>
      <c r="S284" s="282"/>
      <c r="T284" s="282"/>
      <c r="U284" s="282"/>
      <c r="V284" s="282"/>
      <c r="W284" s="282"/>
      <c r="X284" s="282"/>
      <c r="Y284" s="282"/>
      <c r="Z284" s="282"/>
      <c r="AA284" s="283"/>
      <c r="AB284" s="284" t="n">
        <f aca="false">IFERROR(($J284*O284)*$L284, "")</f>
        <v>0</v>
      </c>
      <c r="AC284" s="284" t="n">
        <f aca="false">IFERROR(($J284*P284)*$L284, "")</f>
        <v>0</v>
      </c>
      <c r="AD284" s="284" t="n">
        <f aca="false">IFERROR(($J284*Q284)*$L284, "")</f>
        <v>0</v>
      </c>
      <c r="AE284" s="284" t="n">
        <f aca="false">IFERROR(($J284*R284)*$L284, "")</f>
        <v>0</v>
      </c>
      <c r="AF284" s="284" t="n">
        <f aca="false">IFERROR(($J284*S284)*$L284, "")</f>
        <v>0</v>
      </c>
      <c r="AG284" s="284" t="n">
        <f aca="false">IFERROR(($J284*T284)*$L284, "")</f>
        <v>0</v>
      </c>
      <c r="AH284" s="284" t="n">
        <f aca="false">IFERROR(($J284*U284)*$L284, "")</f>
        <v>0</v>
      </c>
      <c r="AI284" s="284" t="n">
        <f aca="false">IFERROR(($J284*V284)*$L284, "")</f>
        <v>0</v>
      </c>
      <c r="AJ284" s="284" t="n">
        <f aca="false">IFERROR(($J284*W284)*$L284, "")</f>
        <v>0</v>
      </c>
      <c r="AK284" s="284" t="n">
        <f aca="false">IFERROR(($J284*X284)*$L284, "")</f>
        <v>0</v>
      </c>
      <c r="AL284" s="284" t="n">
        <f aca="false">IFERROR(($J284*Y284)*$L284, "")</f>
        <v>0</v>
      </c>
      <c r="AM284" s="285" t="n">
        <f aca="false">IFERROR(($J284*Z284)*$L284, "")</f>
        <v>0</v>
      </c>
      <c r="AN284" s="286" t="n">
        <f aca="false">IFERROR(SUMIF($AB$4:$AM$4, "RDEC", AB284:AM284), "")</f>
        <v>0</v>
      </c>
      <c r="AO284" s="286" t="n">
        <f aca="false">IFERROR(SUMIF($AB$4:$AM$4, "SME", AB284:AM284), "")</f>
        <v>0</v>
      </c>
      <c r="AP284" s="286" t="n">
        <f aca="false">IFERROR(SUMIF($AB$4:$AM$4, "De Minimis", AB284:AM284), "")</f>
        <v>0</v>
      </c>
      <c r="AQ284" s="283"/>
      <c r="AR284" s="284" t="n">
        <f aca="false">IFERROR(($J284*O284)*$M284, "")</f>
        <v>0</v>
      </c>
      <c r="AS284" s="284" t="n">
        <f aca="false">IFERROR(($J284*P284)*$M284, "")</f>
        <v>0</v>
      </c>
      <c r="AT284" s="284" t="n">
        <f aca="false">IFERROR(($J284*Q284)*$M284, "")</f>
        <v>0</v>
      </c>
      <c r="AU284" s="284" t="n">
        <f aca="false">IFERROR(($J284*R284)*$M284, "")</f>
        <v>0</v>
      </c>
      <c r="AV284" s="284" t="n">
        <f aca="false">IFERROR(($J284*S284)*$M284, "")</f>
        <v>0</v>
      </c>
      <c r="AW284" s="284" t="n">
        <f aca="false">IFERROR(($J284*T284)*$M284, "")</f>
        <v>0</v>
      </c>
      <c r="AX284" s="284" t="n">
        <f aca="false">IFERROR(($J284*U284)*$M284, "")</f>
        <v>0</v>
      </c>
      <c r="AY284" s="284" t="n">
        <f aca="false">IFERROR(($J284*V284)*$M284, "")</f>
        <v>0</v>
      </c>
      <c r="AZ284" s="284" t="n">
        <f aca="false">IFERROR(($J284*W284)*$M284, "")</f>
        <v>0</v>
      </c>
      <c r="BA284" s="284" t="n">
        <f aca="false">IFERROR(($J284*X284)*$M284, "")</f>
        <v>0</v>
      </c>
      <c r="BB284" s="284" t="n">
        <f aca="false">IFERROR(($J284*Y284)*$M284, "")</f>
        <v>0</v>
      </c>
      <c r="BC284" s="285" t="n">
        <f aca="false">IFERROR(($J284*Z284)*$M284, "")</f>
        <v>0</v>
      </c>
      <c r="BD284" s="286" t="n">
        <f aca="false">IFERROR(SUMIF($AB$4:$AM$4, "RDEC", AR284:BC284), "")</f>
        <v>0</v>
      </c>
      <c r="BE284" s="286" t="n">
        <f aca="false">IFERROR(SUMIF($AB$4:$AM$4, "SME", AR284:BC284), "")</f>
        <v>0</v>
      </c>
      <c r="BF284" s="286" t="n">
        <f aca="false">IFERROR(SUMIF($AB$4:$AM$4, "De Minimis", AR284:BC284), "")</f>
        <v>0</v>
      </c>
      <c r="BG284" s="287"/>
      <c r="BH284" s="288" t="str">
        <f aca="false">IF((SUM(O284:Z284)&gt;1),"ERROR","")</f>
        <v/>
      </c>
      <c r="BI284" s="287"/>
      <c r="BJ284" s="18" t="str">
        <f aca="false">IF(C270&gt;0, C270, "")</f>
        <v/>
      </c>
      <c r="BL284" s="200"/>
      <c r="BM284" s="200"/>
      <c r="BN284" s="200"/>
    </row>
    <row r="285" customFormat="false" ht="15" hidden="false" customHeight="true" outlineLevel="0" collapsed="false">
      <c r="B285" s="275"/>
      <c r="D285" s="276" t="n">
        <f aca="false">D269</f>
        <v>45444</v>
      </c>
      <c r="E285" s="277" t="n">
        <v>0</v>
      </c>
      <c r="F285" s="277" t="n">
        <v>0</v>
      </c>
      <c r="G285" s="277" t="n">
        <v>0</v>
      </c>
      <c r="H285" s="277" t="n">
        <v>0</v>
      </c>
      <c r="I285" s="277" t="n">
        <v>0</v>
      </c>
      <c r="J285" s="278" t="n">
        <f aca="false">E285+H285+I285</f>
        <v>0</v>
      </c>
      <c r="K285" s="204"/>
      <c r="L285" s="279" t="n">
        <v>1</v>
      </c>
      <c r="M285" s="280" t="n">
        <f aca="false">1-L285</f>
        <v>0</v>
      </c>
      <c r="N285" s="281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  <c r="AA285" s="283"/>
      <c r="AB285" s="284" t="n">
        <f aca="false">IFERROR(($J285*O285)*$L285, "")</f>
        <v>0</v>
      </c>
      <c r="AC285" s="284" t="n">
        <f aca="false">IFERROR(($J285*P285)*$L285, "")</f>
        <v>0</v>
      </c>
      <c r="AD285" s="284" t="n">
        <f aca="false">IFERROR(($J285*Q285)*$L285, "")</f>
        <v>0</v>
      </c>
      <c r="AE285" s="284" t="n">
        <f aca="false">IFERROR(($J285*R285)*$L285, "")</f>
        <v>0</v>
      </c>
      <c r="AF285" s="284" t="n">
        <f aca="false">IFERROR(($J285*S285)*$L285, "")</f>
        <v>0</v>
      </c>
      <c r="AG285" s="284" t="n">
        <f aca="false">IFERROR(($J285*T285)*$L285, "")</f>
        <v>0</v>
      </c>
      <c r="AH285" s="284" t="n">
        <f aca="false">IFERROR(($J285*U285)*$L285, "")</f>
        <v>0</v>
      </c>
      <c r="AI285" s="284" t="n">
        <f aca="false">IFERROR(($J285*V285)*$L285, "")</f>
        <v>0</v>
      </c>
      <c r="AJ285" s="284" t="n">
        <f aca="false">IFERROR(($J285*W285)*$L285, "")</f>
        <v>0</v>
      </c>
      <c r="AK285" s="284" t="n">
        <f aca="false">IFERROR(($J285*X285)*$L285, "")</f>
        <v>0</v>
      </c>
      <c r="AL285" s="284" t="n">
        <f aca="false">IFERROR(($J285*Y285)*$L285, "")</f>
        <v>0</v>
      </c>
      <c r="AM285" s="285" t="n">
        <f aca="false">IFERROR(($J285*Z285)*$L285, "")</f>
        <v>0</v>
      </c>
      <c r="AN285" s="286" t="n">
        <f aca="false">IFERROR(SUMIF($AB$4:$AM$4, "RDEC", AB285:AM285), "")</f>
        <v>0</v>
      </c>
      <c r="AO285" s="286" t="n">
        <f aca="false">IFERROR(SUMIF($AB$4:$AM$4, "SME", AB285:AM285), "")</f>
        <v>0</v>
      </c>
      <c r="AP285" s="286" t="n">
        <f aca="false">IFERROR(SUMIF($AB$4:$AM$4, "De Minimis", AB285:AM285), "")</f>
        <v>0</v>
      </c>
      <c r="AQ285" s="283"/>
      <c r="AR285" s="284" t="n">
        <f aca="false">IFERROR(($J285*O285)*$M285, "")</f>
        <v>0</v>
      </c>
      <c r="AS285" s="284" t="n">
        <f aca="false">IFERROR(($J285*P285)*$M285, "")</f>
        <v>0</v>
      </c>
      <c r="AT285" s="284" t="n">
        <f aca="false">IFERROR(($J285*Q285)*$M285, "")</f>
        <v>0</v>
      </c>
      <c r="AU285" s="284" t="n">
        <f aca="false">IFERROR(($J285*R285)*$M285, "")</f>
        <v>0</v>
      </c>
      <c r="AV285" s="284" t="n">
        <f aca="false">IFERROR(($J285*S285)*$M285, "")</f>
        <v>0</v>
      </c>
      <c r="AW285" s="284" t="n">
        <f aca="false">IFERROR(($J285*T285)*$M285, "")</f>
        <v>0</v>
      </c>
      <c r="AX285" s="284" t="n">
        <f aca="false">IFERROR(($J285*U285)*$M285, "")</f>
        <v>0</v>
      </c>
      <c r="AY285" s="284" t="n">
        <f aca="false">IFERROR(($J285*V285)*$M285, "")</f>
        <v>0</v>
      </c>
      <c r="AZ285" s="284" t="n">
        <f aca="false">IFERROR(($J285*W285)*$M285, "")</f>
        <v>0</v>
      </c>
      <c r="BA285" s="284" t="n">
        <f aca="false">IFERROR(($J285*X285)*$M285, "")</f>
        <v>0</v>
      </c>
      <c r="BB285" s="284" t="n">
        <f aca="false">IFERROR(($J285*Y285)*$M285, "")</f>
        <v>0</v>
      </c>
      <c r="BC285" s="285" t="n">
        <f aca="false">IFERROR(($J285*Z285)*$M285, "")</f>
        <v>0</v>
      </c>
      <c r="BD285" s="286" t="n">
        <f aca="false">IFERROR(SUMIF($AB$4:$AM$4, "RDEC", AR285:BC285), "")</f>
        <v>0</v>
      </c>
      <c r="BE285" s="286" t="n">
        <f aca="false">IFERROR(SUMIF($AB$4:$AM$4, "SME", AR285:BC285), "")</f>
        <v>0</v>
      </c>
      <c r="BF285" s="286" t="n">
        <f aca="false">IFERROR(SUMIF($AB$4:$AM$4, "De Minimis", AR285:BC285), "")</f>
        <v>0</v>
      </c>
      <c r="BG285" s="287"/>
      <c r="BH285" s="288" t="str">
        <f aca="false">IF((SUM(O285:Z285)&gt;1),"ERROR","")</f>
        <v/>
      </c>
      <c r="BI285" s="287"/>
      <c r="BJ285" s="18" t="str">
        <f aca="false">IF(C271&gt;0, C271, "")</f>
        <v/>
      </c>
      <c r="BL285" s="200"/>
      <c r="BM285" s="200"/>
      <c r="BN285" s="200"/>
    </row>
    <row r="286" customFormat="false" ht="15" hidden="false" customHeight="true" outlineLevel="0" collapsed="false">
      <c r="B286" s="275"/>
      <c r="D286" s="276" t="n">
        <f aca="false">D270</f>
        <v>45474</v>
      </c>
      <c r="E286" s="277" t="n">
        <v>0</v>
      </c>
      <c r="F286" s="277" t="n">
        <v>0</v>
      </c>
      <c r="G286" s="277" t="n">
        <v>0</v>
      </c>
      <c r="H286" s="277" t="n">
        <v>0</v>
      </c>
      <c r="I286" s="277" t="n">
        <v>0</v>
      </c>
      <c r="J286" s="278" t="n">
        <f aca="false">E286+H286+I286</f>
        <v>0</v>
      </c>
      <c r="K286" s="204"/>
      <c r="L286" s="279" t="n">
        <v>1</v>
      </c>
      <c r="M286" s="280" t="n">
        <f aca="false">1-L286</f>
        <v>0</v>
      </c>
      <c r="N286" s="281"/>
      <c r="O286" s="282"/>
      <c r="P286" s="282"/>
      <c r="Q286" s="282"/>
      <c r="R286" s="282"/>
      <c r="S286" s="282"/>
      <c r="T286" s="282"/>
      <c r="U286" s="282"/>
      <c r="V286" s="282"/>
      <c r="W286" s="282"/>
      <c r="X286" s="282"/>
      <c r="Y286" s="282"/>
      <c r="Z286" s="282"/>
      <c r="AA286" s="283"/>
      <c r="AB286" s="284" t="n">
        <f aca="false">IFERROR(($J286*O286)*$L286, "")</f>
        <v>0</v>
      </c>
      <c r="AC286" s="284" t="n">
        <f aca="false">IFERROR(($J286*P286)*$L286, "")</f>
        <v>0</v>
      </c>
      <c r="AD286" s="284" t="n">
        <f aca="false">IFERROR(($J286*Q286)*$L286, "")</f>
        <v>0</v>
      </c>
      <c r="AE286" s="284" t="n">
        <f aca="false">IFERROR(($J286*R286)*$L286, "")</f>
        <v>0</v>
      </c>
      <c r="AF286" s="284" t="n">
        <f aca="false">IFERROR(($J286*S286)*$L286, "")</f>
        <v>0</v>
      </c>
      <c r="AG286" s="284" t="n">
        <f aca="false">IFERROR(($J286*T286)*$L286, "")</f>
        <v>0</v>
      </c>
      <c r="AH286" s="284" t="n">
        <f aca="false">IFERROR(($J286*U286)*$L286, "")</f>
        <v>0</v>
      </c>
      <c r="AI286" s="284" t="n">
        <f aca="false">IFERROR(($J286*V286)*$L286, "")</f>
        <v>0</v>
      </c>
      <c r="AJ286" s="284" t="n">
        <f aca="false">IFERROR(($J286*W286)*$L286, "")</f>
        <v>0</v>
      </c>
      <c r="AK286" s="284" t="n">
        <f aca="false">IFERROR(($J286*X286)*$L286, "")</f>
        <v>0</v>
      </c>
      <c r="AL286" s="284" t="n">
        <f aca="false">IFERROR(($J286*Y286)*$L286, "")</f>
        <v>0</v>
      </c>
      <c r="AM286" s="285" t="n">
        <f aca="false">IFERROR(($J286*Z286)*$L286, "")</f>
        <v>0</v>
      </c>
      <c r="AN286" s="286" t="n">
        <f aca="false">IFERROR(SUMIF($AB$4:$AM$4, "RDEC", AB286:AM286), "")</f>
        <v>0</v>
      </c>
      <c r="AO286" s="286" t="n">
        <f aca="false">IFERROR(SUMIF($AB$4:$AM$4, "SME", AB286:AM286), "")</f>
        <v>0</v>
      </c>
      <c r="AP286" s="286" t="n">
        <f aca="false">IFERROR(SUMIF($AB$4:$AM$4, "De Minimis", AB286:AM286), "")</f>
        <v>0</v>
      </c>
      <c r="AQ286" s="283"/>
      <c r="AR286" s="284" t="n">
        <f aca="false">IFERROR(($J286*O286)*$M286, "")</f>
        <v>0</v>
      </c>
      <c r="AS286" s="284" t="n">
        <f aca="false">IFERROR(($J286*P286)*$M286, "")</f>
        <v>0</v>
      </c>
      <c r="AT286" s="284" t="n">
        <f aca="false">IFERROR(($J286*Q286)*$M286, "")</f>
        <v>0</v>
      </c>
      <c r="AU286" s="284" t="n">
        <f aca="false">IFERROR(($J286*R286)*$M286, "")</f>
        <v>0</v>
      </c>
      <c r="AV286" s="284" t="n">
        <f aca="false">IFERROR(($J286*S286)*$M286, "")</f>
        <v>0</v>
      </c>
      <c r="AW286" s="284" t="n">
        <f aca="false">IFERROR(($J286*T286)*$M286, "")</f>
        <v>0</v>
      </c>
      <c r="AX286" s="284" t="n">
        <f aca="false">IFERROR(($J286*U286)*$M286, "")</f>
        <v>0</v>
      </c>
      <c r="AY286" s="284" t="n">
        <f aca="false">IFERROR(($J286*V286)*$M286, "")</f>
        <v>0</v>
      </c>
      <c r="AZ286" s="284" t="n">
        <f aca="false">IFERROR(($J286*W286)*$M286, "")</f>
        <v>0</v>
      </c>
      <c r="BA286" s="284" t="n">
        <f aca="false">IFERROR(($J286*X286)*$M286, "")</f>
        <v>0</v>
      </c>
      <c r="BB286" s="284" t="n">
        <f aca="false">IFERROR(($J286*Y286)*$M286, "")</f>
        <v>0</v>
      </c>
      <c r="BC286" s="285" t="n">
        <f aca="false">IFERROR(($J286*Z286)*$M286, "")</f>
        <v>0</v>
      </c>
      <c r="BD286" s="286" t="n">
        <f aca="false">IFERROR(SUMIF($AB$4:$AM$4, "RDEC", AR286:BC286), "")</f>
        <v>0</v>
      </c>
      <c r="BE286" s="286" t="n">
        <f aca="false">IFERROR(SUMIF($AB$4:$AM$4, "SME", AR286:BC286), "")</f>
        <v>0</v>
      </c>
      <c r="BF286" s="286" t="n">
        <f aca="false">IFERROR(SUMIF($AB$4:$AM$4, "De Minimis", AR286:BC286), "")</f>
        <v>0</v>
      </c>
      <c r="BG286" s="287"/>
      <c r="BH286" s="288" t="str">
        <f aca="false">IF((SUM(O286:Z286)&gt;1),"ERROR","")</f>
        <v/>
      </c>
      <c r="BI286" s="287"/>
      <c r="BJ286" s="18" t="str">
        <f aca="false">IF(C272&gt;0, C272, "")</f>
        <v/>
      </c>
      <c r="BL286" s="200"/>
      <c r="BM286" s="200"/>
      <c r="BN286" s="200"/>
    </row>
    <row r="287" customFormat="false" ht="15" hidden="false" customHeight="true" outlineLevel="0" collapsed="false">
      <c r="B287" s="275"/>
      <c r="D287" s="276" t="n">
        <f aca="false">D271</f>
        <v>45505</v>
      </c>
      <c r="E287" s="277" t="n">
        <v>0</v>
      </c>
      <c r="F287" s="277" t="n">
        <v>0</v>
      </c>
      <c r="G287" s="277" t="n">
        <v>0</v>
      </c>
      <c r="H287" s="277" t="n">
        <v>0</v>
      </c>
      <c r="I287" s="277" t="n">
        <v>0</v>
      </c>
      <c r="J287" s="278" t="n">
        <f aca="false">E287+H287+I287</f>
        <v>0</v>
      </c>
      <c r="K287" s="204"/>
      <c r="L287" s="279" t="n">
        <v>1</v>
      </c>
      <c r="M287" s="280" t="n">
        <f aca="false">1-L287</f>
        <v>0</v>
      </c>
      <c r="N287" s="281"/>
      <c r="O287" s="282"/>
      <c r="P287" s="282"/>
      <c r="Q287" s="282"/>
      <c r="R287" s="282"/>
      <c r="S287" s="282"/>
      <c r="T287" s="282"/>
      <c r="U287" s="282"/>
      <c r="V287" s="282"/>
      <c r="W287" s="282"/>
      <c r="X287" s="282"/>
      <c r="Y287" s="282"/>
      <c r="Z287" s="282"/>
      <c r="AA287" s="283"/>
      <c r="AB287" s="284" t="n">
        <f aca="false">IFERROR(($J287*O287)*$L287, "")</f>
        <v>0</v>
      </c>
      <c r="AC287" s="284" t="n">
        <f aca="false">IFERROR(($J287*P287)*$L287, "")</f>
        <v>0</v>
      </c>
      <c r="AD287" s="284" t="n">
        <f aca="false">IFERROR(($J287*Q287)*$L287, "")</f>
        <v>0</v>
      </c>
      <c r="AE287" s="284" t="n">
        <f aca="false">IFERROR(($J287*R287)*$L287, "")</f>
        <v>0</v>
      </c>
      <c r="AF287" s="284" t="n">
        <f aca="false">IFERROR(($J287*S287)*$L287, "")</f>
        <v>0</v>
      </c>
      <c r="AG287" s="284" t="n">
        <f aca="false">IFERROR(($J287*T287)*$L287, "")</f>
        <v>0</v>
      </c>
      <c r="AH287" s="284" t="n">
        <f aca="false">IFERROR(($J287*U287)*$L287, "")</f>
        <v>0</v>
      </c>
      <c r="AI287" s="284" t="n">
        <f aca="false">IFERROR(($J287*V287)*$L287, "")</f>
        <v>0</v>
      </c>
      <c r="AJ287" s="284" t="n">
        <f aca="false">IFERROR(($J287*W287)*$L287, "")</f>
        <v>0</v>
      </c>
      <c r="AK287" s="284" t="n">
        <f aca="false">IFERROR(($J287*X287)*$L287, "")</f>
        <v>0</v>
      </c>
      <c r="AL287" s="284" t="n">
        <f aca="false">IFERROR(($J287*Y287)*$L287, "")</f>
        <v>0</v>
      </c>
      <c r="AM287" s="285" t="n">
        <f aca="false">IFERROR(($J287*Z287)*$L287, "")</f>
        <v>0</v>
      </c>
      <c r="AN287" s="286" t="n">
        <f aca="false">IFERROR(SUMIF($AB$4:$AM$4, "RDEC", AB287:AM287), "")</f>
        <v>0</v>
      </c>
      <c r="AO287" s="286" t="n">
        <f aca="false">IFERROR(SUMIF($AB$4:$AM$4, "SME", AB287:AM287), "")</f>
        <v>0</v>
      </c>
      <c r="AP287" s="286" t="n">
        <f aca="false">IFERROR(SUMIF($AB$4:$AM$4, "De Minimis", AB287:AM287), "")</f>
        <v>0</v>
      </c>
      <c r="AQ287" s="283"/>
      <c r="AR287" s="284" t="n">
        <f aca="false">IFERROR(($J287*O287)*$M287, "")</f>
        <v>0</v>
      </c>
      <c r="AS287" s="284" t="n">
        <f aca="false">IFERROR(($J287*P287)*$M287, "")</f>
        <v>0</v>
      </c>
      <c r="AT287" s="284" t="n">
        <f aca="false">IFERROR(($J287*Q287)*$M287, "")</f>
        <v>0</v>
      </c>
      <c r="AU287" s="284" t="n">
        <f aca="false">IFERROR(($J287*R287)*$M287, "")</f>
        <v>0</v>
      </c>
      <c r="AV287" s="284" t="n">
        <f aca="false">IFERROR(($J287*S287)*$M287, "")</f>
        <v>0</v>
      </c>
      <c r="AW287" s="284" t="n">
        <f aca="false">IFERROR(($J287*T287)*$M287, "")</f>
        <v>0</v>
      </c>
      <c r="AX287" s="284" t="n">
        <f aca="false">IFERROR(($J287*U287)*$M287, "")</f>
        <v>0</v>
      </c>
      <c r="AY287" s="284" t="n">
        <f aca="false">IFERROR(($J287*V287)*$M287, "")</f>
        <v>0</v>
      </c>
      <c r="AZ287" s="284" t="n">
        <f aca="false">IFERROR(($J287*W287)*$M287, "")</f>
        <v>0</v>
      </c>
      <c r="BA287" s="284" t="n">
        <f aca="false">IFERROR(($J287*X287)*$M287, "")</f>
        <v>0</v>
      </c>
      <c r="BB287" s="284" t="n">
        <f aca="false">IFERROR(($J287*Y287)*$M287, "")</f>
        <v>0</v>
      </c>
      <c r="BC287" s="285" t="n">
        <f aca="false">IFERROR(($J287*Z287)*$M287, "")</f>
        <v>0</v>
      </c>
      <c r="BD287" s="286" t="n">
        <f aca="false">IFERROR(SUMIF($AB$4:$AM$4, "RDEC", AR287:BC287), "")</f>
        <v>0</v>
      </c>
      <c r="BE287" s="286" t="n">
        <f aca="false">IFERROR(SUMIF($AB$4:$AM$4, "SME", AR287:BC287), "")</f>
        <v>0</v>
      </c>
      <c r="BF287" s="286" t="n">
        <f aca="false">IFERROR(SUMIF($AB$4:$AM$4, "De Minimis", AR287:BC287), "")</f>
        <v>0</v>
      </c>
      <c r="BG287" s="287"/>
      <c r="BH287" s="288" t="str">
        <f aca="false">IF((SUM(O287:Z287)&gt;1),"ERROR","")</f>
        <v/>
      </c>
      <c r="BI287" s="287"/>
      <c r="BJ287" s="18" t="str">
        <f aca="false">IF(C273&gt;0, C273, "")</f>
        <v/>
      </c>
      <c r="BL287" s="200"/>
      <c r="BM287" s="200"/>
      <c r="BN287" s="200"/>
    </row>
    <row r="288" customFormat="false" ht="15" hidden="false" customHeight="true" outlineLevel="0" collapsed="false">
      <c r="B288" s="275"/>
      <c r="D288" s="276" t="n">
        <f aca="false">D272</f>
        <v>45536</v>
      </c>
      <c r="E288" s="277" t="n">
        <v>0</v>
      </c>
      <c r="F288" s="277" t="n">
        <v>0</v>
      </c>
      <c r="G288" s="277" t="n">
        <v>0</v>
      </c>
      <c r="H288" s="277" t="n">
        <v>0</v>
      </c>
      <c r="I288" s="277" t="n">
        <v>0</v>
      </c>
      <c r="J288" s="278" t="n">
        <f aca="false">E288+H288+I288</f>
        <v>0</v>
      </c>
      <c r="K288" s="204"/>
      <c r="L288" s="279" t="n">
        <v>1</v>
      </c>
      <c r="M288" s="280" t="n">
        <f aca="false">1-L288</f>
        <v>0</v>
      </c>
      <c r="N288" s="281"/>
      <c r="O288" s="282"/>
      <c r="P288" s="282"/>
      <c r="Q288" s="282"/>
      <c r="R288" s="282"/>
      <c r="S288" s="282"/>
      <c r="T288" s="282"/>
      <c r="U288" s="282"/>
      <c r="V288" s="282"/>
      <c r="W288" s="282"/>
      <c r="X288" s="282"/>
      <c r="Y288" s="282"/>
      <c r="Z288" s="282"/>
      <c r="AA288" s="283"/>
      <c r="AB288" s="284" t="n">
        <f aca="false">IFERROR(($J288*O288)*$L288, "")</f>
        <v>0</v>
      </c>
      <c r="AC288" s="284" t="n">
        <f aca="false">IFERROR(($J288*P288)*$L288, "")</f>
        <v>0</v>
      </c>
      <c r="AD288" s="284" t="n">
        <f aca="false">IFERROR(($J288*Q288)*$L288, "")</f>
        <v>0</v>
      </c>
      <c r="AE288" s="284" t="n">
        <f aca="false">IFERROR(($J288*R288)*$L288, "")</f>
        <v>0</v>
      </c>
      <c r="AF288" s="284" t="n">
        <f aca="false">IFERROR(($J288*S288)*$L288, "")</f>
        <v>0</v>
      </c>
      <c r="AG288" s="284" t="n">
        <f aca="false">IFERROR(($J288*T288)*$L288, "")</f>
        <v>0</v>
      </c>
      <c r="AH288" s="284" t="n">
        <f aca="false">IFERROR(($J288*U288)*$L288, "")</f>
        <v>0</v>
      </c>
      <c r="AI288" s="284" t="n">
        <f aca="false">IFERROR(($J288*V288)*$L288, "")</f>
        <v>0</v>
      </c>
      <c r="AJ288" s="284" t="n">
        <f aca="false">IFERROR(($J288*W288)*$L288, "")</f>
        <v>0</v>
      </c>
      <c r="AK288" s="284" t="n">
        <f aca="false">IFERROR(($J288*X288)*$L288, "")</f>
        <v>0</v>
      </c>
      <c r="AL288" s="284" t="n">
        <f aca="false">IFERROR(($J288*Y288)*$L288, "")</f>
        <v>0</v>
      </c>
      <c r="AM288" s="285" t="n">
        <f aca="false">IFERROR(($J288*Z288)*$L288, "")</f>
        <v>0</v>
      </c>
      <c r="AN288" s="286" t="n">
        <f aca="false">IFERROR(SUMIF($AB$4:$AM$4, "RDEC", AB288:AM288), "")</f>
        <v>0</v>
      </c>
      <c r="AO288" s="286" t="n">
        <f aca="false">IFERROR(SUMIF($AB$4:$AM$4, "SME", AB288:AM288), "")</f>
        <v>0</v>
      </c>
      <c r="AP288" s="286" t="n">
        <f aca="false">IFERROR(SUMIF($AB$4:$AM$4, "De Minimis", AB288:AM288), "")</f>
        <v>0</v>
      </c>
      <c r="AQ288" s="283"/>
      <c r="AR288" s="284" t="n">
        <f aca="false">IFERROR(($J288*O288)*$M288, "")</f>
        <v>0</v>
      </c>
      <c r="AS288" s="284" t="n">
        <f aca="false">IFERROR(($J288*P288)*$M288, "")</f>
        <v>0</v>
      </c>
      <c r="AT288" s="284" t="n">
        <f aca="false">IFERROR(($J288*Q288)*$M288, "")</f>
        <v>0</v>
      </c>
      <c r="AU288" s="284" t="n">
        <f aca="false">IFERROR(($J288*R288)*$M288, "")</f>
        <v>0</v>
      </c>
      <c r="AV288" s="284" t="n">
        <f aca="false">IFERROR(($J288*S288)*$M288, "")</f>
        <v>0</v>
      </c>
      <c r="AW288" s="284" t="n">
        <f aca="false">IFERROR(($J288*T288)*$M288, "")</f>
        <v>0</v>
      </c>
      <c r="AX288" s="284" t="n">
        <f aca="false">IFERROR(($J288*U288)*$M288, "")</f>
        <v>0</v>
      </c>
      <c r="AY288" s="284" t="n">
        <f aca="false">IFERROR(($J288*V288)*$M288, "")</f>
        <v>0</v>
      </c>
      <c r="AZ288" s="284" t="n">
        <f aca="false">IFERROR(($J288*W288)*$M288, "")</f>
        <v>0</v>
      </c>
      <c r="BA288" s="284" t="n">
        <f aca="false">IFERROR(($J288*X288)*$M288, "")</f>
        <v>0</v>
      </c>
      <c r="BB288" s="284" t="n">
        <f aca="false">IFERROR(($J288*Y288)*$M288, "")</f>
        <v>0</v>
      </c>
      <c r="BC288" s="285" t="n">
        <f aca="false">IFERROR(($J288*Z288)*$M288, "")</f>
        <v>0</v>
      </c>
      <c r="BD288" s="286" t="n">
        <f aca="false">IFERROR(SUMIF($AB$4:$AM$4, "RDEC", AR288:BC288), "")</f>
        <v>0</v>
      </c>
      <c r="BE288" s="286" t="n">
        <f aca="false">IFERROR(SUMIF($AB$4:$AM$4, "SME", AR288:BC288), "")</f>
        <v>0</v>
      </c>
      <c r="BF288" s="286" t="n">
        <f aca="false">IFERROR(SUMIF($AB$4:$AM$4, "De Minimis", AR288:BC288), "")</f>
        <v>0</v>
      </c>
      <c r="BG288" s="287"/>
      <c r="BH288" s="288" t="str">
        <f aca="false">IF((SUM(O288:Z288)&gt;1),"ERROR","")</f>
        <v/>
      </c>
      <c r="BI288" s="287"/>
      <c r="BJ288" s="18" t="str">
        <f aca="false">IF(C274&gt;0, C274, "")</f>
        <v/>
      </c>
      <c r="BL288" s="200"/>
      <c r="BM288" s="200"/>
      <c r="BN288" s="200"/>
    </row>
    <row r="289" customFormat="false" ht="15" hidden="false" customHeight="true" outlineLevel="0" collapsed="false">
      <c r="B289" s="275"/>
      <c r="D289" s="276" t="n">
        <f aca="false">D273</f>
        <v>45566</v>
      </c>
      <c r="E289" s="277" t="n">
        <v>0</v>
      </c>
      <c r="F289" s="277" t="n">
        <v>0</v>
      </c>
      <c r="G289" s="277" t="n">
        <v>0</v>
      </c>
      <c r="H289" s="277" t="n">
        <v>0</v>
      </c>
      <c r="I289" s="277" t="n">
        <v>0</v>
      </c>
      <c r="J289" s="278" t="n">
        <f aca="false">E289+H289+I289</f>
        <v>0</v>
      </c>
      <c r="K289" s="204"/>
      <c r="L289" s="279" t="n">
        <v>1</v>
      </c>
      <c r="M289" s="280" t="n">
        <f aca="false">1-L289</f>
        <v>0</v>
      </c>
      <c r="N289" s="281"/>
      <c r="O289" s="282"/>
      <c r="P289" s="282"/>
      <c r="Q289" s="282"/>
      <c r="R289" s="282"/>
      <c r="S289" s="282"/>
      <c r="T289" s="282"/>
      <c r="U289" s="282"/>
      <c r="V289" s="282"/>
      <c r="W289" s="282"/>
      <c r="X289" s="282"/>
      <c r="Y289" s="282"/>
      <c r="Z289" s="282"/>
      <c r="AA289" s="283"/>
      <c r="AB289" s="284" t="n">
        <f aca="false">IFERROR(($J289*O289)*$L289, "")</f>
        <v>0</v>
      </c>
      <c r="AC289" s="284" t="n">
        <f aca="false">IFERROR(($J289*P289)*$L289, "")</f>
        <v>0</v>
      </c>
      <c r="AD289" s="284" t="n">
        <f aca="false">IFERROR(($J289*Q289)*$L289, "")</f>
        <v>0</v>
      </c>
      <c r="AE289" s="284" t="n">
        <f aca="false">IFERROR(($J289*R289)*$L289, "")</f>
        <v>0</v>
      </c>
      <c r="AF289" s="284" t="n">
        <f aca="false">IFERROR(($J289*S289)*$L289, "")</f>
        <v>0</v>
      </c>
      <c r="AG289" s="284" t="n">
        <f aca="false">IFERROR(($J289*T289)*$L289, "")</f>
        <v>0</v>
      </c>
      <c r="AH289" s="284" t="n">
        <f aca="false">IFERROR(($J289*U289)*$L289, "")</f>
        <v>0</v>
      </c>
      <c r="AI289" s="284" t="n">
        <f aca="false">IFERROR(($J289*V289)*$L289, "")</f>
        <v>0</v>
      </c>
      <c r="AJ289" s="284" t="n">
        <f aca="false">IFERROR(($J289*W289)*$L289, "")</f>
        <v>0</v>
      </c>
      <c r="AK289" s="284" t="n">
        <f aca="false">IFERROR(($J289*X289)*$L289, "")</f>
        <v>0</v>
      </c>
      <c r="AL289" s="284" t="n">
        <f aca="false">IFERROR(($J289*Y289)*$L289, "")</f>
        <v>0</v>
      </c>
      <c r="AM289" s="285" t="n">
        <f aca="false">IFERROR(($J289*Z289)*$L289, "")</f>
        <v>0</v>
      </c>
      <c r="AN289" s="286" t="n">
        <f aca="false">IFERROR(SUMIF($AB$4:$AM$4, "RDEC", AB289:AM289), "")</f>
        <v>0</v>
      </c>
      <c r="AO289" s="286" t="n">
        <f aca="false">IFERROR(SUMIF($AB$4:$AM$4, "SME", AB289:AM289), "")</f>
        <v>0</v>
      </c>
      <c r="AP289" s="286" t="n">
        <f aca="false">IFERROR(SUMIF($AB$4:$AM$4, "De Minimis", AB289:AM289), "")</f>
        <v>0</v>
      </c>
      <c r="AQ289" s="283"/>
      <c r="AR289" s="284" t="n">
        <f aca="false">IFERROR(($J289*O289)*$M289, "")</f>
        <v>0</v>
      </c>
      <c r="AS289" s="284" t="n">
        <f aca="false">IFERROR(($J289*P289)*$M289, "")</f>
        <v>0</v>
      </c>
      <c r="AT289" s="284" t="n">
        <f aca="false">IFERROR(($J289*Q289)*$M289, "")</f>
        <v>0</v>
      </c>
      <c r="AU289" s="284" t="n">
        <f aca="false">IFERROR(($J289*R289)*$M289, "")</f>
        <v>0</v>
      </c>
      <c r="AV289" s="284" t="n">
        <f aca="false">IFERROR(($J289*S289)*$M289, "")</f>
        <v>0</v>
      </c>
      <c r="AW289" s="284" t="n">
        <f aca="false">IFERROR(($J289*T289)*$M289, "")</f>
        <v>0</v>
      </c>
      <c r="AX289" s="284" t="n">
        <f aca="false">IFERROR(($J289*U289)*$M289, "")</f>
        <v>0</v>
      </c>
      <c r="AY289" s="284" t="n">
        <f aca="false">IFERROR(($J289*V289)*$M289, "")</f>
        <v>0</v>
      </c>
      <c r="AZ289" s="284" t="n">
        <f aca="false">IFERROR(($J289*W289)*$M289, "")</f>
        <v>0</v>
      </c>
      <c r="BA289" s="284" t="n">
        <f aca="false">IFERROR(($J289*X289)*$M289, "")</f>
        <v>0</v>
      </c>
      <c r="BB289" s="284" t="n">
        <f aca="false">IFERROR(($J289*Y289)*$M289, "")</f>
        <v>0</v>
      </c>
      <c r="BC289" s="285" t="n">
        <f aca="false">IFERROR(($J289*Z289)*$M289, "")</f>
        <v>0</v>
      </c>
      <c r="BD289" s="286" t="n">
        <f aca="false">IFERROR(SUMIF($AB$4:$AM$4, "RDEC", AR289:BC289), "")</f>
        <v>0</v>
      </c>
      <c r="BE289" s="286" t="n">
        <f aca="false">IFERROR(SUMIF($AB$4:$AM$4, "SME", AR289:BC289), "")</f>
        <v>0</v>
      </c>
      <c r="BF289" s="286" t="n">
        <f aca="false">IFERROR(SUMIF($AB$4:$AM$4, "De Minimis", AR289:BC289), "")</f>
        <v>0</v>
      </c>
      <c r="BG289" s="287"/>
      <c r="BH289" s="288" t="str">
        <f aca="false">IF((SUM(O289:Z289)&gt;1),"ERROR","")</f>
        <v/>
      </c>
      <c r="BI289" s="287"/>
      <c r="BJ289" s="18" t="str">
        <f aca="false">IF(C275&gt;0, C275, "")</f>
        <v/>
      </c>
      <c r="BL289" s="200"/>
      <c r="BM289" s="200"/>
      <c r="BN289" s="200"/>
    </row>
    <row r="290" customFormat="false" ht="15" hidden="false" customHeight="true" outlineLevel="0" collapsed="false">
      <c r="B290" s="275"/>
      <c r="D290" s="276" t="n">
        <f aca="false">D274</f>
        <v>45597</v>
      </c>
      <c r="E290" s="277" t="n">
        <v>0</v>
      </c>
      <c r="F290" s="277" t="n">
        <v>0</v>
      </c>
      <c r="G290" s="277" t="n">
        <v>0</v>
      </c>
      <c r="H290" s="277" t="n">
        <v>0</v>
      </c>
      <c r="I290" s="277" t="n">
        <v>0</v>
      </c>
      <c r="J290" s="278" t="n">
        <f aca="false">E290+H290+I290</f>
        <v>0</v>
      </c>
      <c r="K290" s="204"/>
      <c r="L290" s="279" t="n">
        <v>1</v>
      </c>
      <c r="M290" s="280" t="n">
        <f aca="false">1-L290</f>
        <v>0</v>
      </c>
      <c r="N290" s="281"/>
      <c r="O290" s="282"/>
      <c r="P290" s="282"/>
      <c r="Q290" s="282"/>
      <c r="R290" s="282"/>
      <c r="S290" s="282"/>
      <c r="T290" s="282"/>
      <c r="U290" s="282"/>
      <c r="V290" s="282"/>
      <c r="W290" s="282"/>
      <c r="X290" s="282"/>
      <c r="Y290" s="282"/>
      <c r="Z290" s="282"/>
      <c r="AA290" s="283"/>
      <c r="AB290" s="284" t="n">
        <f aca="false">IFERROR(($J290*O290)*$L290, "")</f>
        <v>0</v>
      </c>
      <c r="AC290" s="284" t="n">
        <f aca="false">IFERROR(($J290*P290)*$L290, "")</f>
        <v>0</v>
      </c>
      <c r="AD290" s="284" t="n">
        <f aca="false">IFERROR(($J290*Q290)*$L290, "")</f>
        <v>0</v>
      </c>
      <c r="AE290" s="284" t="n">
        <f aca="false">IFERROR(($J290*R290)*$L290, "")</f>
        <v>0</v>
      </c>
      <c r="AF290" s="284" t="n">
        <f aca="false">IFERROR(($J290*S290)*$L290, "")</f>
        <v>0</v>
      </c>
      <c r="AG290" s="284" t="n">
        <f aca="false">IFERROR(($J290*T290)*$L290, "")</f>
        <v>0</v>
      </c>
      <c r="AH290" s="284" t="n">
        <f aca="false">IFERROR(($J290*U290)*$L290, "")</f>
        <v>0</v>
      </c>
      <c r="AI290" s="284" t="n">
        <f aca="false">IFERROR(($J290*V290)*$L290, "")</f>
        <v>0</v>
      </c>
      <c r="AJ290" s="284" t="n">
        <f aca="false">IFERROR(($J290*W290)*$L290, "")</f>
        <v>0</v>
      </c>
      <c r="AK290" s="284" t="n">
        <f aca="false">IFERROR(($J290*X290)*$L290, "")</f>
        <v>0</v>
      </c>
      <c r="AL290" s="284" t="n">
        <f aca="false">IFERROR(($J290*Y290)*$L290, "")</f>
        <v>0</v>
      </c>
      <c r="AM290" s="285" t="n">
        <f aca="false">IFERROR(($J290*Z290)*$L290, "")</f>
        <v>0</v>
      </c>
      <c r="AN290" s="286" t="n">
        <f aca="false">IFERROR(SUMIF($AB$4:$AM$4, "RDEC", AB290:AM290), "")</f>
        <v>0</v>
      </c>
      <c r="AO290" s="286" t="n">
        <f aca="false">IFERROR(SUMIF($AB$4:$AM$4, "SME", AB290:AM290), "")</f>
        <v>0</v>
      </c>
      <c r="AP290" s="286" t="n">
        <f aca="false">IFERROR(SUMIF($AB$4:$AM$4, "De Minimis", AB290:AM290), "")</f>
        <v>0</v>
      </c>
      <c r="AQ290" s="283"/>
      <c r="AR290" s="284" t="n">
        <f aca="false">IFERROR(($J290*O290)*$M290, "")</f>
        <v>0</v>
      </c>
      <c r="AS290" s="284" t="n">
        <f aca="false">IFERROR(($J290*P290)*$M290, "")</f>
        <v>0</v>
      </c>
      <c r="AT290" s="284" t="n">
        <f aca="false">IFERROR(($J290*Q290)*$M290, "")</f>
        <v>0</v>
      </c>
      <c r="AU290" s="284" t="n">
        <f aca="false">IFERROR(($J290*R290)*$M290, "")</f>
        <v>0</v>
      </c>
      <c r="AV290" s="284" t="n">
        <f aca="false">IFERROR(($J290*S290)*$M290, "")</f>
        <v>0</v>
      </c>
      <c r="AW290" s="284" t="n">
        <f aca="false">IFERROR(($J290*T290)*$M290, "")</f>
        <v>0</v>
      </c>
      <c r="AX290" s="284" t="n">
        <f aca="false">IFERROR(($J290*U290)*$M290, "")</f>
        <v>0</v>
      </c>
      <c r="AY290" s="284" t="n">
        <f aca="false">IFERROR(($J290*V290)*$M290, "")</f>
        <v>0</v>
      </c>
      <c r="AZ290" s="284" t="n">
        <f aca="false">IFERROR(($J290*W290)*$M290, "")</f>
        <v>0</v>
      </c>
      <c r="BA290" s="284" t="n">
        <f aca="false">IFERROR(($J290*X290)*$M290, "")</f>
        <v>0</v>
      </c>
      <c r="BB290" s="284" t="n">
        <f aca="false">IFERROR(($J290*Y290)*$M290, "")</f>
        <v>0</v>
      </c>
      <c r="BC290" s="285" t="n">
        <f aca="false">IFERROR(($J290*Z290)*$M290, "")</f>
        <v>0</v>
      </c>
      <c r="BD290" s="286" t="n">
        <f aca="false">IFERROR(SUMIF($AB$4:$AM$4, "RDEC", AR290:BC290), "")</f>
        <v>0</v>
      </c>
      <c r="BE290" s="286" t="n">
        <f aca="false">IFERROR(SUMIF($AB$4:$AM$4, "SME", AR290:BC290), "")</f>
        <v>0</v>
      </c>
      <c r="BF290" s="286" t="n">
        <f aca="false">IFERROR(SUMIF($AB$4:$AM$4, "De Minimis", AR290:BC290), "")</f>
        <v>0</v>
      </c>
      <c r="BG290" s="287"/>
      <c r="BH290" s="288" t="str">
        <f aca="false">IF((SUM(O290:Z290)&gt;1),"ERROR","")</f>
        <v/>
      </c>
      <c r="BI290" s="287"/>
      <c r="BJ290" s="18" t="str">
        <f aca="false">IF(C276&gt;0, C276, "")</f>
        <v/>
      </c>
      <c r="BL290" s="200"/>
      <c r="BM290" s="200"/>
      <c r="BN290" s="200"/>
    </row>
    <row r="291" customFormat="false" ht="15" hidden="false" customHeight="true" outlineLevel="0" collapsed="false">
      <c r="B291" s="275"/>
      <c r="D291" s="276" t="n">
        <f aca="false">D275</f>
        <v>45627</v>
      </c>
      <c r="E291" s="277" t="n">
        <v>0</v>
      </c>
      <c r="F291" s="277" t="n">
        <v>0</v>
      </c>
      <c r="G291" s="277" t="n">
        <v>0</v>
      </c>
      <c r="H291" s="277" t="n">
        <v>0</v>
      </c>
      <c r="I291" s="277" t="n">
        <v>0</v>
      </c>
      <c r="J291" s="278" t="n">
        <f aca="false">E291+H291+I291</f>
        <v>0</v>
      </c>
      <c r="K291" s="204"/>
      <c r="L291" s="289" t="n">
        <v>1</v>
      </c>
      <c r="M291" s="290" t="n">
        <f aca="false">1-L291</f>
        <v>0</v>
      </c>
      <c r="N291" s="281"/>
      <c r="O291" s="291"/>
      <c r="P291" s="291"/>
      <c r="Q291" s="291"/>
      <c r="R291" s="291"/>
      <c r="S291" s="291"/>
      <c r="T291" s="291"/>
      <c r="U291" s="291"/>
      <c r="V291" s="291"/>
      <c r="W291" s="291"/>
      <c r="X291" s="291"/>
      <c r="Y291" s="291"/>
      <c r="Z291" s="291"/>
      <c r="AA291" s="283"/>
      <c r="AB291" s="292" t="n">
        <f aca="false">IFERROR(($J291*O291)*$L291, "")</f>
        <v>0</v>
      </c>
      <c r="AC291" s="292" t="n">
        <f aca="false">IFERROR(($J291*P291)*$L291, "")</f>
        <v>0</v>
      </c>
      <c r="AD291" s="292" t="n">
        <f aca="false">IFERROR(($J291*Q291)*$L291, "")</f>
        <v>0</v>
      </c>
      <c r="AE291" s="292" t="n">
        <f aca="false">IFERROR(($J291*R291)*$L291, "")</f>
        <v>0</v>
      </c>
      <c r="AF291" s="292" t="n">
        <f aca="false">IFERROR(($J291*S291)*$L291, "")</f>
        <v>0</v>
      </c>
      <c r="AG291" s="292" t="n">
        <f aca="false">IFERROR(($J291*T291)*$L291, "")</f>
        <v>0</v>
      </c>
      <c r="AH291" s="292" t="n">
        <f aca="false">IFERROR(($J291*U291)*$L291, "")</f>
        <v>0</v>
      </c>
      <c r="AI291" s="292" t="n">
        <f aca="false">IFERROR(($J291*V291)*$L291, "")</f>
        <v>0</v>
      </c>
      <c r="AJ291" s="292" t="n">
        <f aca="false">IFERROR(($J291*W291)*$L291, "")</f>
        <v>0</v>
      </c>
      <c r="AK291" s="292" t="n">
        <f aca="false">IFERROR(($J291*X291)*$L291, "")</f>
        <v>0</v>
      </c>
      <c r="AL291" s="292" t="n">
        <f aca="false">IFERROR(($J291*Y291)*$L291, "")</f>
        <v>0</v>
      </c>
      <c r="AM291" s="293" t="n">
        <f aca="false">IFERROR(($J291*Z291)*$L291, "")</f>
        <v>0</v>
      </c>
      <c r="AN291" s="294" t="n">
        <f aca="false">IFERROR(SUMIF($AB$4:$AM$4, "RDEC", AB291:AM291), "")</f>
        <v>0</v>
      </c>
      <c r="AO291" s="294" t="n">
        <f aca="false">IFERROR(SUMIF($AB$4:$AM$4, "SME", AB291:AM291), "")</f>
        <v>0</v>
      </c>
      <c r="AP291" s="294" t="n">
        <f aca="false">IFERROR(SUMIF($AB$4:$AM$4, "De Minimis", AB291:AM291), "")</f>
        <v>0</v>
      </c>
      <c r="AQ291" s="283"/>
      <c r="AR291" s="292" t="n">
        <f aca="false">IFERROR(($J291*O291)*$M291, "")</f>
        <v>0</v>
      </c>
      <c r="AS291" s="292" t="n">
        <f aca="false">IFERROR(($J291*P291)*$M291, "")</f>
        <v>0</v>
      </c>
      <c r="AT291" s="292" t="n">
        <f aca="false">IFERROR(($J291*Q291)*$M291, "")</f>
        <v>0</v>
      </c>
      <c r="AU291" s="292" t="n">
        <f aca="false">IFERROR(($J291*R291)*$M291, "")</f>
        <v>0</v>
      </c>
      <c r="AV291" s="292" t="n">
        <f aca="false">IFERROR(($J291*S291)*$M291, "")</f>
        <v>0</v>
      </c>
      <c r="AW291" s="292" t="n">
        <f aca="false">IFERROR(($J291*T291)*$M291, "")</f>
        <v>0</v>
      </c>
      <c r="AX291" s="292" t="n">
        <f aca="false">IFERROR(($J291*U291)*$M291, "")</f>
        <v>0</v>
      </c>
      <c r="AY291" s="292" t="n">
        <f aca="false">IFERROR(($J291*V291)*$M291, "")</f>
        <v>0</v>
      </c>
      <c r="AZ291" s="292" t="n">
        <f aca="false">IFERROR(($J291*W291)*$M291, "")</f>
        <v>0</v>
      </c>
      <c r="BA291" s="292" t="n">
        <f aca="false">IFERROR(($J291*X291)*$M291, "")</f>
        <v>0</v>
      </c>
      <c r="BB291" s="292" t="n">
        <f aca="false">IFERROR(($J291*Y291)*$M291, "")</f>
        <v>0</v>
      </c>
      <c r="BC291" s="293" t="n">
        <f aca="false">IFERROR(($J291*Z291)*$M291, "")</f>
        <v>0</v>
      </c>
      <c r="BD291" s="294" t="n">
        <f aca="false">IFERROR(SUMIF($AB$4:$AM$4, "RDEC", AR291:BC291), "")</f>
        <v>0</v>
      </c>
      <c r="BE291" s="294" t="n">
        <f aca="false">IFERROR(SUMIF($AB$4:$AM$4, "SME", AR291:BC291), "")</f>
        <v>0</v>
      </c>
      <c r="BF291" s="294" t="n">
        <f aca="false">IFERROR(SUMIF($AB$4:$AM$4, "De Minimis", AR291:BC291), "")</f>
        <v>0</v>
      </c>
      <c r="BG291" s="287"/>
      <c r="BH291" s="295" t="str">
        <f aca="false">IF((SUM(O291:Z291)&gt;1),"ERROR","")</f>
        <v/>
      </c>
      <c r="BI291" s="287"/>
      <c r="BJ291" s="18" t="str">
        <f aca="false">IF(C277&gt;0, C277, "")</f>
        <v/>
      </c>
      <c r="BL291" s="200"/>
      <c r="BM291" s="200"/>
      <c r="BN291" s="200"/>
    </row>
    <row r="292" customFormat="false" ht="15" hidden="false" customHeight="true" outlineLevel="0" collapsed="false">
      <c r="B292" s="296"/>
      <c r="D292" s="297" t="s">
        <v>82</v>
      </c>
      <c r="E292" s="298" t="n">
        <f aca="false">SUM(E280:E291)</f>
        <v>0</v>
      </c>
      <c r="F292" s="298" t="n">
        <f aca="false">SUM(F280:F291)</f>
        <v>0</v>
      </c>
      <c r="G292" s="298" t="n">
        <f aca="false">SUM(G280:G291)</f>
        <v>0</v>
      </c>
      <c r="H292" s="298" t="n">
        <f aca="false">SUM(H280:H291)</f>
        <v>0</v>
      </c>
      <c r="I292" s="298" t="n">
        <f aca="false">SUM(I280:I291)</f>
        <v>0</v>
      </c>
      <c r="J292" s="299" t="n">
        <f aca="false">SUM(J280:J291)</f>
        <v>0</v>
      </c>
      <c r="K292" s="300"/>
      <c r="L292" s="301" t="n">
        <f aca="false">AVERAGE(L280:L291)</f>
        <v>1</v>
      </c>
      <c r="M292" s="301" t="n">
        <f aca="false">AVERAGE(M280:M291)</f>
        <v>0</v>
      </c>
      <c r="N292" s="302"/>
      <c r="O292" s="290" t="n">
        <f aca="false">IF(SUM(O280:O291)&gt;0,((AB292+AR292)/J292),0)</f>
        <v>0</v>
      </c>
      <c r="P292" s="290" t="n">
        <f aca="false">IF(SUM(P280:P291)&gt;0,((AC292+AS292)/J292),0)</f>
        <v>0</v>
      </c>
      <c r="Q292" s="290" t="n">
        <f aca="false">IF(SUM(Q280:Q291)&gt;0,((AD292+AT292)/J292),0)</f>
        <v>0</v>
      </c>
      <c r="R292" s="290" t="n">
        <f aca="false">IF(SUM(R280:R291)&gt;0,((AE292+AU292)/J292),0)</f>
        <v>0</v>
      </c>
      <c r="S292" s="290" t="n">
        <f aca="false">IF(SUM(S280:S291)&gt;0,((AF292+AV292)/J292),0)</f>
        <v>0</v>
      </c>
      <c r="T292" s="290" t="n">
        <f aca="false">IF(SUM(T280:T291)&gt;0,((AG292+AW292)/J292),0)</f>
        <v>0</v>
      </c>
      <c r="U292" s="290" t="n">
        <f aca="false">IF(SUM(U280:U291)&gt;0,((AH292+AX292)/J292),0)</f>
        <v>0</v>
      </c>
      <c r="V292" s="290" t="n">
        <f aca="false">IF(SUM(V280:V291)&gt;0,((AI292+AY292)/J292),0)</f>
        <v>0</v>
      </c>
      <c r="W292" s="290" t="n">
        <f aca="false">IF(SUM(W280:W291)&gt;0,((AJ292+AZ292)/J292),0)</f>
        <v>0</v>
      </c>
      <c r="X292" s="290" t="n">
        <f aca="false">IF(SUM(X280:X291)&gt;0,((AK292+BA292)/J292),0)</f>
        <v>0</v>
      </c>
      <c r="Y292" s="290" t="n">
        <f aca="false">IF(SUM(Y280:Y291)&gt;0,((AL292+BB292)/J292),0)</f>
        <v>0</v>
      </c>
      <c r="Z292" s="290" t="n">
        <f aca="false">IF(SUM(Z280:Z291)&gt;0,((AM292+BC292)/J292),0)</f>
        <v>0</v>
      </c>
      <c r="AA292" s="303"/>
      <c r="AB292" s="292" t="n">
        <f aca="false">SUM(AB280:AB291)</f>
        <v>0</v>
      </c>
      <c r="AC292" s="304" t="n">
        <f aca="false">SUM(AC280:AC291)</f>
        <v>0</v>
      </c>
      <c r="AD292" s="304" t="n">
        <f aca="false">SUM(AD280:AD291)</f>
        <v>0</v>
      </c>
      <c r="AE292" s="304" t="n">
        <f aca="false">SUM(AE280:AE291)</f>
        <v>0</v>
      </c>
      <c r="AF292" s="304" t="n">
        <f aca="false">SUM(AF280:AF291)</f>
        <v>0</v>
      </c>
      <c r="AG292" s="304" t="n">
        <f aca="false">SUM(AG280:AG291)</f>
        <v>0</v>
      </c>
      <c r="AH292" s="304" t="n">
        <f aca="false">SUM(AH280:AH291)</f>
        <v>0</v>
      </c>
      <c r="AI292" s="304" t="n">
        <f aca="false">SUM(AI280:AI291)</f>
        <v>0</v>
      </c>
      <c r="AJ292" s="304" t="n">
        <f aca="false">SUM(AJ280:AJ291)</f>
        <v>0</v>
      </c>
      <c r="AK292" s="304" t="n">
        <f aca="false">SUM(AK280:AK291)</f>
        <v>0</v>
      </c>
      <c r="AL292" s="304" t="n">
        <f aca="false">SUM(AL280:AL291)</f>
        <v>0</v>
      </c>
      <c r="AM292" s="304" t="n">
        <f aca="false">SUM(AM280:AM291)</f>
        <v>0</v>
      </c>
      <c r="AN292" s="305" t="n">
        <f aca="false">SUM(AN280:AN291)</f>
        <v>0</v>
      </c>
      <c r="AO292" s="305" t="n">
        <f aca="false">SUM(AO280:AO291)</f>
        <v>0</v>
      </c>
      <c r="AP292" s="305" t="n">
        <f aca="false">SUM(AP280:AP291)</f>
        <v>0</v>
      </c>
      <c r="AQ292" s="303"/>
      <c r="AR292" s="292" t="n">
        <f aca="false">SUM(AR280:AR291)</f>
        <v>0</v>
      </c>
      <c r="AS292" s="304" t="n">
        <f aca="false">SUM(AS280:AS291)</f>
        <v>0</v>
      </c>
      <c r="AT292" s="304" t="n">
        <f aca="false">SUM(AT280:AT291)</f>
        <v>0</v>
      </c>
      <c r="AU292" s="304" t="n">
        <f aca="false">SUM(AU280:AU291)</f>
        <v>0</v>
      </c>
      <c r="AV292" s="304" t="n">
        <f aca="false">SUM(AV280:AV291)</f>
        <v>0</v>
      </c>
      <c r="AW292" s="304" t="n">
        <f aca="false">SUM(AW280:AW291)</f>
        <v>0</v>
      </c>
      <c r="AX292" s="304" t="n">
        <f aca="false">SUM(AX280:AX291)</f>
        <v>0</v>
      </c>
      <c r="AY292" s="304" t="n">
        <f aca="false">SUM(AY280:AY291)</f>
        <v>0</v>
      </c>
      <c r="AZ292" s="304" t="n">
        <f aca="false">SUM(AZ280:AZ291)</f>
        <v>0</v>
      </c>
      <c r="BA292" s="304" t="n">
        <f aca="false">SUM(BA280:BA291)</f>
        <v>0</v>
      </c>
      <c r="BB292" s="304" t="n">
        <f aca="false">SUM(BB280:BB291)</f>
        <v>0</v>
      </c>
      <c r="BC292" s="304" t="n">
        <f aca="false">SUM(BC280:BC291)</f>
        <v>0</v>
      </c>
      <c r="BD292" s="305" t="n">
        <f aca="false">SUM(BD280:BD291)</f>
        <v>0</v>
      </c>
      <c r="BE292" s="305" t="n">
        <f aca="false">SUM(BE280:BE291)</f>
        <v>0</v>
      </c>
      <c r="BF292" s="305" t="n">
        <f aca="false">SUM(BF280:BF291)</f>
        <v>0</v>
      </c>
      <c r="BG292" s="303"/>
      <c r="BH292" s="306"/>
      <c r="BI292" s="303"/>
      <c r="BJ292" s="307" t="str">
        <f aca="false">IF(C278&gt;0, C278, "")</f>
        <v>TBA</v>
      </c>
      <c r="BK292" s="18" t="s">
        <v>234</v>
      </c>
      <c r="BL292" s="200" t="n">
        <f aca="false">IF($BK292="Y",J292,0)</f>
        <v>0</v>
      </c>
      <c r="BM292" s="200" t="n">
        <f aca="false">IF(BK292="Y", AN292,0)</f>
        <v>0</v>
      </c>
      <c r="BN292" s="200" t="n">
        <f aca="false">IF((BK292="Y"),AO292,0)</f>
        <v>0</v>
      </c>
    </row>
    <row r="293" customFormat="false" ht="15" hidden="false" customHeight="true" outlineLevel="0" collapsed="false">
      <c r="B293" s="296"/>
      <c r="D293" s="297"/>
      <c r="E293" s="277"/>
      <c r="F293" s="277"/>
      <c r="G293" s="277"/>
      <c r="H293" s="277"/>
      <c r="I293" s="277"/>
      <c r="J293" s="300"/>
      <c r="K293" s="300"/>
      <c r="L293" s="302"/>
      <c r="M293" s="302"/>
      <c r="N293" s="302"/>
      <c r="O293" s="308"/>
      <c r="P293" s="308"/>
      <c r="Q293" s="308"/>
      <c r="R293" s="308"/>
      <c r="S293" s="308"/>
      <c r="T293" s="308"/>
      <c r="U293" s="308"/>
      <c r="V293" s="308"/>
      <c r="W293" s="308"/>
      <c r="X293" s="308"/>
      <c r="Y293" s="308"/>
      <c r="Z293" s="308"/>
      <c r="AA293" s="303"/>
      <c r="AB293" s="303"/>
      <c r="AC293" s="303"/>
      <c r="AD293" s="303"/>
      <c r="AE293" s="303"/>
      <c r="AF293" s="303"/>
      <c r="AG293" s="303"/>
      <c r="AH293" s="303"/>
      <c r="AI293" s="303"/>
      <c r="AJ293" s="303"/>
      <c r="AK293" s="303"/>
      <c r="AL293" s="303"/>
      <c r="AM293" s="303"/>
      <c r="AN293" s="303"/>
      <c r="AO293" s="303"/>
      <c r="AP293" s="303"/>
      <c r="AQ293" s="303"/>
      <c r="AR293" s="303"/>
      <c r="AS293" s="303"/>
      <c r="AT293" s="303"/>
      <c r="AU293" s="303"/>
      <c r="AV293" s="303"/>
      <c r="AW293" s="303"/>
      <c r="AX293" s="303"/>
      <c r="AY293" s="303"/>
      <c r="AZ293" s="303"/>
      <c r="BA293" s="303"/>
      <c r="BB293" s="303"/>
      <c r="BC293" s="303"/>
      <c r="BD293" s="303"/>
      <c r="BE293" s="303"/>
      <c r="BF293" s="303"/>
      <c r="BG293" s="303"/>
      <c r="BH293" s="303"/>
      <c r="BI293" s="303"/>
      <c r="BJ293" s="307" t="str">
        <f aca="false">IF(C280&gt;0, C280, "")</f>
        <v/>
      </c>
      <c r="BL293" s="200"/>
      <c r="BM293" s="200"/>
      <c r="BN293" s="200"/>
    </row>
    <row r="294" customFormat="false" ht="15" hidden="false" customHeight="true" outlineLevel="0" collapsed="false">
      <c r="A294" s="198" t="n">
        <f aca="false">A278+1</f>
        <v>19</v>
      </c>
      <c r="B294" s="266" t="s">
        <v>253</v>
      </c>
      <c r="C294" s="266" t="s">
        <v>253</v>
      </c>
      <c r="D294" s="267"/>
      <c r="E294" s="242"/>
      <c r="F294" s="242"/>
      <c r="G294" s="242"/>
      <c r="H294" s="242"/>
      <c r="I294" s="242"/>
      <c r="J294" s="241"/>
      <c r="K294" s="241"/>
      <c r="L294" s="241"/>
      <c r="M294" s="241"/>
      <c r="N294" s="241"/>
      <c r="O294" s="268"/>
      <c r="P294" s="268"/>
      <c r="Q294" s="268"/>
      <c r="R294" s="268"/>
      <c r="S294" s="268"/>
      <c r="T294" s="268"/>
      <c r="U294" s="268"/>
      <c r="V294" s="268"/>
      <c r="W294" s="268"/>
      <c r="X294" s="268"/>
      <c r="Y294" s="268"/>
      <c r="Z294" s="268"/>
      <c r="AA294" s="268"/>
      <c r="AB294" s="268"/>
      <c r="AC294" s="268"/>
      <c r="AD294" s="268"/>
      <c r="AE294" s="268"/>
      <c r="AF294" s="268"/>
      <c r="AG294" s="268"/>
      <c r="AH294" s="268"/>
      <c r="AI294" s="268"/>
      <c r="AJ294" s="268"/>
      <c r="AK294" s="268"/>
      <c r="AL294" s="268"/>
      <c r="AM294" s="268"/>
      <c r="AN294" s="268"/>
      <c r="AO294" s="268"/>
      <c r="AP294" s="268"/>
      <c r="AQ294" s="268"/>
      <c r="AR294" s="268"/>
      <c r="AS294" s="268"/>
      <c r="AT294" s="268"/>
      <c r="AU294" s="268"/>
      <c r="AV294" s="268"/>
      <c r="AW294" s="268"/>
      <c r="AX294" s="268"/>
      <c r="AY294" s="268"/>
      <c r="AZ294" s="268"/>
      <c r="BA294" s="268"/>
      <c r="BB294" s="268"/>
      <c r="BC294" s="268"/>
      <c r="BD294" s="268"/>
      <c r="BE294" s="268"/>
      <c r="BF294" s="268"/>
      <c r="BG294" s="268"/>
      <c r="BH294" s="268"/>
      <c r="BI294" s="268"/>
      <c r="BJ294" s="18" t="str">
        <f aca="false">IF(C281&gt;0, C281, "")</f>
        <v/>
      </c>
      <c r="BL294" s="200"/>
      <c r="BM294" s="200"/>
      <c r="BN294" s="200"/>
    </row>
    <row r="295" customFormat="false" ht="7.5" hidden="false" customHeight="true" outlineLevel="0" collapsed="false">
      <c r="A295" s="198"/>
      <c r="B295" s="266"/>
      <c r="C295" s="266"/>
      <c r="D295" s="267"/>
      <c r="E295" s="242"/>
      <c r="F295" s="242"/>
      <c r="G295" s="242"/>
      <c r="H295" s="242"/>
      <c r="I295" s="242"/>
      <c r="J295" s="241"/>
      <c r="K295" s="241"/>
      <c r="L295" s="269"/>
      <c r="M295" s="269"/>
      <c r="N295" s="270"/>
      <c r="O295" s="269"/>
      <c r="P295" s="269"/>
      <c r="Q295" s="269"/>
      <c r="R295" s="269"/>
      <c r="S295" s="269"/>
      <c r="T295" s="269"/>
      <c r="U295" s="269"/>
      <c r="V295" s="269"/>
      <c r="W295" s="269"/>
      <c r="X295" s="269"/>
      <c r="Y295" s="269"/>
      <c r="Z295" s="269"/>
      <c r="AA295" s="268"/>
      <c r="AB295" s="271"/>
      <c r="AC295" s="271"/>
      <c r="AD295" s="271"/>
      <c r="AE295" s="271"/>
      <c r="AF295" s="271"/>
      <c r="AG295" s="271"/>
      <c r="AH295" s="271"/>
      <c r="AI295" s="271"/>
      <c r="AJ295" s="271"/>
      <c r="AK295" s="271"/>
      <c r="AL295" s="271"/>
      <c r="AM295" s="272"/>
      <c r="AN295" s="273"/>
      <c r="AO295" s="273"/>
      <c r="AP295" s="273"/>
      <c r="AQ295" s="268"/>
      <c r="AR295" s="271"/>
      <c r="AS295" s="271"/>
      <c r="AT295" s="271"/>
      <c r="AU295" s="271"/>
      <c r="AV295" s="271"/>
      <c r="AW295" s="271"/>
      <c r="AX295" s="271"/>
      <c r="AY295" s="271"/>
      <c r="AZ295" s="271"/>
      <c r="BA295" s="271"/>
      <c r="BB295" s="271"/>
      <c r="BC295" s="272"/>
      <c r="BD295" s="273"/>
      <c r="BE295" s="273"/>
      <c r="BF295" s="273"/>
      <c r="BG295" s="268"/>
      <c r="BH295" s="274"/>
      <c r="BI295" s="268"/>
      <c r="BL295" s="200"/>
      <c r="BM295" s="200"/>
      <c r="BN295" s="200"/>
    </row>
    <row r="296" customFormat="false" ht="15" hidden="false" customHeight="true" outlineLevel="0" collapsed="false">
      <c r="B296" s="275"/>
      <c r="D296" s="276" t="n">
        <f aca="false">D280</f>
        <v>45292</v>
      </c>
      <c r="E296" s="277" t="n">
        <v>0</v>
      </c>
      <c r="F296" s="277" t="n">
        <v>0</v>
      </c>
      <c r="G296" s="277" t="n">
        <v>0</v>
      </c>
      <c r="H296" s="277" t="n">
        <v>0</v>
      </c>
      <c r="I296" s="277" t="n">
        <v>0</v>
      </c>
      <c r="J296" s="278" t="n">
        <f aca="false">E296+H296+I296</f>
        <v>0</v>
      </c>
      <c r="K296" s="204"/>
      <c r="L296" s="279" t="n">
        <v>1</v>
      </c>
      <c r="M296" s="280" t="n">
        <f aca="false">1-L296</f>
        <v>0</v>
      </c>
      <c r="N296" s="281"/>
      <c r="O296" s="282"/>
      <c r="P296" s="282"/>
      <c r="Q296" s="282"/>
      <c r="R296" s="282"/>
      <c r="S296" s="282"/>
      <c r="T296" s="282"/>
      <c r="U296" s="282"/>
      <c r="V296" s="282"/>
      <c r="W296" s="282"/>
      <c r="X296" s="282"/>
      <c r="Y296" s="282"/>
      <c r="Z296" s="282"/>
      <c r="AA296" s="283"/>
      <c r="AB296" s="284" t="n">
        <f aca="false">IFERROR(($J296*O296)*$L296, "")</f>
        <v>0</v>
      </c>
      <c r="AC296" s="284" t="n">
        <f aca="false">IFERROR(($J296*P296)*$L296, "")</f>
        <v>0</v>
      </c>
      <c r="AD296" s="284" t="n">
        <f aca="false">IFERROR(($J296*Q296)*$L296, "")</f>
        <v>0</v>
      </c>
      <c r="AE296" s="284" t="n">
        <f aca="false">IFERROR(($J296*R296)*$L296, "")</f>
        <v>0</v>
      </c>
      <c r="AF296" s="284" t="n">
        <f aca="false">IFERROR(($J296*S296)*$L296, "")</f>
        <v>0</v>
      </c>
      <c r="AG296" s="284" t="n">
        <f aca="false">IFERROR(($J296*T296)*$L296, "")</f>
        <v>0</v>
      </c>
      <c r="AH296" s="284" t="n">
        <f aca="false">IFERROR(($J296*U296)*$L296, "")</f>
        <v>0</v>
      </c>
      <c r="AI296" s="284" t="n">
        <f aca="false">IFERROR(($J296*V296)*$L296, "")</f>
        <v>0</v>
      </c>
      <c r="AJ296" s="284" t="n">
        <f aca="false">IFERROR(($J296*W296)*$L296, "")</f>
        <v>0</v>
      </c>
      <c r="AK296" s="284" t="n">
        <f aca="false">IFERROR(($J296*X296)*$L296, "")</f>
        <v>0</v>
      </c>
      <c r="AL296" s="284" t="n">
        <f aca="false">IFERROR(($J296*Y296)*$L296, "")</f>
        <v>0</v>
      </c>
      <c r="AM296" s="285" t="n">
        <f aca="false">IFERROR(($J296*Z296)*$L296, "")</f>
        <v>0</v>
      </c>
      <c r="AN296" s="286" t="n">
        <f aca="false">IFERROR(SUMIF($AB$4:$AM$4, "RDEC", AB296:AM296), "")</f>
        <v>0</v>
      </c>
      <c r="AO296" s="286" t="n">
        <f aca="false">IFERROR(SUMIF($AB$4:$AM$4, "SME", AB296:AM296), "")</f>
        <v>0</v>
      </c>
      <c r="AP296" s="286" t="n">
        <f aca="false">IFERROR(SUMIF($AB$4:$AM$4, "De Minimis", AB296:AM296), "")</f>
        <v>0</v>
      </c>
      <c r="AQ296" s="283"/>
      <c r="AR296" s="284" t="n">
        <f aca="false">IFERROR(($J296*O296)*$M296, "")</f>
        <v>0</v>
      </c>
      <c r="AS296" s="284" t="n">
        <f aca="false">IFERROR(($J296*P296)*$M296, "")</f>
        <v>0</v>
      </c>
      <c r="AT296" s="284" t="n">
        <f aca="false">IFERROR(($J296*Q296)*$M296, "")</f>
        <v>0</v>
      </c>
      <c r="AU296" s="284" t="n">
        <f aca="false">IFERROR(($J296*R296)*$M296, "")</f>
        <v>0</v>
      </c>
      <c r="AV296" s="284" t="n">
        <f aca="false">IFERROR(($J296*S296)*$M296, "")</f>
        <v>0</v>
      </c>
      <c r="AW296" s="284" t="n">
        <f aca="false">IFERROR(($J296*T296)*$M296, "")</f>
        <v>0</v>
      </c>
      <c r="AX296" s="284" t="n">
        <f aca="false">IFERROR(($J296*U296)*$M296, "")</f>
        <v>0</v>
      </c>
      <c r="AY296" s="284" t="n">
        <f aca="false">IFERROR(($J296*V296)*$M296, "")</f>
        <v>0</v>
      </c>
      <c r="AZ296" s="284" t="n">
        <f aca="false">IFERROR(($J296*W296)*$M296, "")</f>
        <v>0</v>
      </c>
      <c r="BA296" s="284" t="n">
        <f aca="false">IFERROR(($J296*X296)*$M296, "")</f>
        <v>0</v>
      </c>
      <c r="BB296" s="284" t="n">
        <f aca="false">IFERROR(($J296*Y296)*$M296, "")</f>
        <v>0</v>
      </c>
      <c r="BC296" s="285" t="n">
        <f aca="false">IFERROR(($J296*Z296)*$M296, "")</f>
        <v>0</v>
      </c>
      <c r="BD296" s="286" t="n">
        <f aca="false">IFERROR(SUMIF($AB$4:$AM$4, "RDEC", AR296:BC296), "")</f>
        <v>0</v>
      </c>
      <c r="BE296" s="286" t="n">
        <f aca="false">IFERROR(SUMIF($AB$4:$AM$4, "SME", AR296:BC296), "")</f>
        <v>0</v>
      </c>
      <c r="BF296" s="286" t="n">
        <f aca="false">IFERROR(SUMIF($AB$4:$AM$4, "De Minimis", AR296:BC296), "")</f>
        <v>0</v>
      </c>
      <c r="BG296" s="287"/>
      <c r="BH296" s="288" t="str">
        <f aca="false">IF((SUM(O296:Z296)&gt;1),"ERROR","")</f>
        <v/>
      </c>
      <c r="BI296" s="287"/>
      <c r="BJ296" s="18" t="str">
        <f aca="false">IF(C282&gt;0, C282, "")</f>
        <v/>
      </c>
      <c r="BL296" s="200"/>
      <c r="BM296" s="200"/>
      <c r="BN296" s="200"/>
    </row>
    <row r="297" customFormat="false" ht="15" hidden="false" customHeight="true" outlineLevel="0" collapsed="false">
      <c r="B297" s="275"/>
      <c r="D297" s="276" t="n">
        <f aca="false">D281</f>
        <v>45323</v>
      </c>
      <c r="E297" s="277" t="n">
        <v>0</v>
      </c>
      <c r="F297" s="277" t="n">
        <v>0</v>
      </c>
      <c r="G297" s="277" t="n">
        <v>0</v>
      </c>
      <c r="H297" s="277" t="n">
        <v>0</v>
      </c>
      <c r="I297" s="277" t="n">
        <v>0</v>
      </c>
      <c r="J297" s="278" t="n">
        <f aca="false">E297+H297+I297</f>
        <v>0</v>
      </c>
      <c r="K297" s="204"/>
      <c r="L297" s="279" t="n">
        <v>1</v>
      </c>
      <c r="M297" s="280" t="n">
        <f aca="false">1-L297</f>
        <v>0</v>
      </c>
      <c r="N297" s="281"/>
      <c r="O297" s="282"/>
      <c r="P297" s="282"/>
      <c r="Q297" s="282"/>
      <c r="R297" s="282"/>
      <c r="S297" s="282"/>
      <c r="T297" s="282"/>
      <c r="U297" s="282"/>
      <c r="V297" s="282"/>
      <c r="W297" s="282"/>
      <c r="X297" s="282"/>
      <c r="Y297" s="282"/>
      <c r="Z297" s="282"/>
      <c r="AA297" s="283"/>
      <c r="AB297" s="284" t="n">
        <f aca="false">IFERROR(($J297*O297)*$L297, "")</f>
        <v>0</v>
      </c>
      <c r="AC297" s="284" t="n">
        <f aca="false">IFERROR(($J297*P297)*$L297, "")</f>
        <v>0</v>
      </c>
      <c r="AD297" s="284" t="n">
        <f aca="false">IFERROR(($J297*Q297)*$L297, "")</f>
        <v>0</v>
      </c>
      <c r="AE297" s="284" t="n">
        <f aca="false">IFERROR(($J297*R297)*$L297, "")</f>
        <v>0</v>
      </c>
      <c r="AF297" s="284" t="n">
        <f aca="false">IFERROR(($J297*S297)*$L297, "")</f>
        <v>0</v>
      </c>
      <c r="AG297" s="284" t="n">
        <f aca="false">IFERROR(($J297*T297)*$L297, "")</f>
        <v>0</v>
      </c>
      <c r="AH297" s="284" t="n">
        <f aca="false">IFERROR(($J297*U297)*$L297, "")</f>
        <v>0</v>
      </c>
      <c r="AI297" s="284" t="n">
        <f aca="false">IFERROR(($J297*V297)*$L297, "")</f>
        <v>0</v>
      </c>
      <c r="AJ297" s="284" t="n">
        <f aca="false">IFERROR(($J297*W297)*$L297, "")</f>
        <v>0</v>
      </c>
      <c r="AK297" s="284" t="n">
        <f aca="false">IFERROR(($J297*X297)*$L297, "")</f>
        <v>0</v>
      </c>
      <c r="AL297" s="284" t="n">
        <f aca="false">IFERROR(($J297*Y297)*$L297, "")</f>
        <v>0</v>
      </c>
      <c r="AM297" s="285" t="n">
        <f aca="false">IFERROR(($J297*Z297)*$L297, "")</f>
        <v>0</v>
      </c>
      <c r="AN297" s="286" t="n">
        <f aca="false">IFERROR(SUMIF($AB$4:$AM$4, "RDEC", AB297:AM297), "")</f>
        <v>0</v>
      </c>
      <c r="AO297" s="286" t="n">
        <f aca="false">IFERROR(SUMIF($AB$4:$AM$4, "SME", AB297:AM297), "")</f>
        <v>0</v>
      </c>
      <c r="AP297" s="286" t="n">
        <f aca="false">IFERROR(SUMIF($AB$4:$AM$4, "De Minimis", AB297:AM297), "")</f>
        <v>0</v>
      </c>
      <c r="AQ297" s="283"/>
      <c r="AR297" s="284" t="n">
        <f aca="false">IFERROR(($J297*O297)*$M297, "")</f>
        <v>0</v>
      </c>
      <c r="AS297" s="284" t="n">
        <f aca="false">IFERROR(($J297*P297)*$M297, "")</f>
        <v>0</v>
      </c>
      <c r="AT297" s="284" t="n">
        <f aca="false">IFERROR(($J297*Q297)*$M297, "")</f>
        <v>0</v>
      </c>
      <c r="AU297" s="284" t="n">
        <f aca="false">IFERROR(($J297*R297)*$M297, "")</f>
        <v>0</v>
      </c>
      <c r="AV297" s="284" t="n">
        <f aca="false">IFERROR(($J297*S297)*$M297, "")</f>
        <v>0</v>
      </c>
      <c r="AW297" s="284" t="n">
        <f aca="false">IFERROR(($J297*T297)*$M297, "")</f>
        <v>0</v>
      </c>
      <c r="AX297" s="284" t="n">
        <f aca="false">IFERROR(($J297*U297)*$M297, "")</f>
        <v>0</v>
      </c>
      <c r="AY297" s="284" t="n">
        <f aca="false">IFERROR(($J297*V297)*$M297, "")</f>
        <v>0</v>
      </c>
      <c r="AZ297" s="284" t="n">
        <f aca="false">IFERROR(($J297*W297)*$M297, "")</f>
        <v>0</v>
      </c>
      <c r="BA297" s="284" t="n">
        <f aca="false">IFERROR(($J297*X297)*$M297, "")</f>
        <v>0</v>
      </c>
      <c r="BB297" s="284" t="n">
        <f aca="false">IFERROR(($J297*Y297)*$M297, "")</f>
        <v>0</v>
      </c>
      <c r="BC297" s="285" t="n">
        <f aca="false">IFERROR(($J297*Z297)*$M297, "")</f>
        <v>0</v>
      </c>
      <c r="BD297" s="286" t="n">
        <f aca="false">IFERROR(SUMIF($AB$4:$AM$4, "RDEC", AR297:BC297), "")</f>
        <v>0</v>
      </c>
      <c r="BE297" s="286" t="n">
        <f aca="false">IFERROR(SUMIF($AB$4:$AM$4, "SME", AR297:BC297), "")</f>
        <v>0</v>
      </c>
      <c r="BF297" s="286" t="n">
        <f aca="false">IFERROR(SUMIF($AB$4:$AM$4, "De Minimis", AR297:BC297), "")</f>
        <v>0</v>
      </c>
      <c r="BG297" s="287"/>
      <c r="BH297" s="288" t="str">
        <f aca="false">IF((SUM(O297:Z297)&gt;1),"ERROR","")</f>
        <v/>
      </c>
      <c r="BI297" s="287"/>
      <c r="BJ297" s="18" t="str">
        <f aca="false">IF(C283&gt;0, C283, "")</f>
        <v/>
      </c>
      <c r="BL297" s="200"/>
      <c r="BM297" s="200"/>
      <c r="BN297" s="200"/>
    </row>
    <row r="298" customFormat="false" ht="15" hidden="false" customHeight="true" outlineLevel="0" collapsed="false">
      <c r="B298" s="275"/>
      <c r="D298" s="276" t="n">
        <f aca="false">D282</f>
        <v>45352</v>
      </c>
      <c r="E298" s="277" t="n">
        <v>0</v>
      </c>
      <c r="F298" s="277" t="n">
        <v>0</v>
      </c>
      <c r="G298" s="277" t="n">
        <v>0</v>
      </c>
      <c r="H298" s="277" t="n">
        <v>0</v>
      </c>
      <c r="I298" s="277" t="n">
        <v>0</v>
      </c>
      <c r="J298" s="278" t="n">
        <f aca="false">E298+H298+I298</f>
        <v>0</v>
      </c>
      <c r="K298" s="204"/>
      <c r="L298" s="279" t="n">
        <v>1</v>
      </c>
      <c r="M298" s="280" t="n">
        <f aca="false">1-L298</f>
        <v>0</v>
      </c>
      <c r="N298" s="281"/>
      <c r="O298" s="282"/>
      <c r="P298" s="282"/>
      <c r="Q298" s="282"/>
      <c r="R298" s="282"/>
      <c r="S298" s="282"/>
      <c r="T298" s="282"/>
      <c r="U298" s="282"/>
      <c r="V298" s="282"/>
      <c r="W298" s="282"/>
      <c r="X298" s="282"/>
      <c r="Y298" s="282"/>
      <c r="Z298" s="282"/>
      <c r="AA298" s="283"/>
      <c r="AB298" s="284" t="n">
        <f aca="false">IFERROR(($J298*O298)*$L298, "")</f>
        <v>0</v>
      </c>
      <c r="AC298" s="284" t="n">
        <f aca="false">IFERROR(($J298*P298)*$L298, "")</f>
        <v>0</v>
      </c>
      <c r="AD298" s="284" t="n">
        <f aca="false">IFERROR(($J298*Q298)*$L298, "")</f>
        <v>0</v>
      </c>
      <c r="AE298" s="284" t="n">
        <f aca="false">IFERROR(($J298*R298)*$L298, "")</f>
        <v>0</v>
      </c>
      <c r="AF298" s="284" t="n">
        <f aca="false">IFERROR(($J298*S298)*$L298, "")</f>
        <v>0</v>
      </c>
      <c r="AG298" s="284" t="n">
        <f aca="false">IFERROR(($J298*T298)*$L298, "")</f>
        <v>0</v>
      </c>
      <c r="AH298" s="284" t="n">
        <f aca="false">IFERROR(($J298*U298)*$L298, "")</f>
        <v>0</v>
      </c>
      <c r="AI298" s="284" t="n">
        <f aca="false">IFERROR(($J298*V298)*$L298, "")</f>
        <v>0</v>
      </c>
      <c r="AJ298" s="284" t="n">
        <f aca="false">IFERROR(($J298*W298)*$L298, "")</f>
        <v>0</v>
      </c>
      <c r="AK298" s="284" t="n">
        <f aca="false">IFERROR(($J298*X298)*$L298, "")</f>
        <v>0</v>
      </c>
      <c r="AL298" s="284" t="n">
        <f aca="false">IFERROR(($J298*Y298)*$L298, "")</f>
        <v>0</v>
      </c>
      <c r="AM298" s="285" t="n">
        <f aca="false">IFERROR(($J298*Z298)*$L298, "")</f>
        <v>0</v>
      </c>
      <c r="AN298" s="286" t="n">
        <f aca="false">IFERROR(SUMIF($AB$4:$AM$4, "RDEC", AB298:AM298), "")</f>
        <v>0</v>
      </c>
      <c r="AO298" s="286" t="n">
        <f aca="false">IFERROR(SUMIF($AB$4:$AM$4, "SME", AB298:AM298), "")</f>
        <v>0</v>
      </c>
      <c r="AP298" s="286" t="n">
        <f aca="false">IFERROR(SUMIF($AB$4:$AM$4, "De Minimis", AB298:AM298), "")</f>
        <v>0</v>
      </c>
      <c r="AQ298" s="283"/>
      <c r="AR298" s="284" t="n">
        <f aca="false">IFERROR(($J298*O298)*$M298, "")</f>
        <v>0</v>
      </c>
      <c r="AS298" s="284" t="n">
        <f aca="false">IFERROR(($J298*P298)*$M298, "")</f>
        <v>0</v>
      </c>
      <c r="AT298" s="284" t="n">
        <f aca="false">IFERROR(($J298*Q298)*$M298, "")</f>
        <v>0</v>
      </c>
      <c r="AU298" s="284" t="n">
        <f aca="false">IFERROR(($J298*R298)*$M298, "")</f>
        <v>0</v>
      </c>
      <c r="AV298" s="284" t="n">
        <f aca="false">IFERROR(($J298*S298)*$M298, "")</f>
        <v>0</v>
      </c>
      <c r="AW298" s="284" t="n">
        <f aca="false">IFERROR(($J298*T298)*$M298, "")</f>
        <v>0</v>
      </c>
      <c r="AX298" s="284" t="n">
        <f aca="false">IFERROR(($J298*U298)*$M298, "")</f>
        <v>0</v>
      </c>
      <c r="AY298" s="284" t="n">
        <f aca="false">IFERROR(($J298*V298)*$M298, "")</f>
        <v>0</v>
      </c>
      <c r="AZ298" s="284" t="n">
        <f aca="false">IFERROR(($J298*W298)*$M298, "")</f>
        <v>0</v>
      </c>
      <c r="BA298" s="284" t="n">
        <f aca="false">IFERROR(($J298*X298)*$M298, "")</f>
        <v>0</v>
      </c>
      <c r="BB298" s="284" t="n">
        <f aca="false">IFERROR(($J298*Y298)*$M298, "")</f>
        <v>0</v>
      </c>
      <c r="BC298" s="285" t="n">
        <f aca="false">IFERROR(($J298*Z298)*$M298, "")</f>
        <v>0</v>
      </c>
      <c r="BD298" s="286" t="n">
        <f aca="false">IFERROR(SUMIF($AB$4:$AM$4, "RDEC", AR298:BC298), "")</f>
        <v>0</v>
      </c>
      <c r="BE298" s="286" t="n">
        <f aca="false">IFERROR(SUMIF($AB$4:$AM$4, "SME", AR298:BC298), "")</f>
        <v>0</v>
      </c>
      <c r="BF298" s="286" t="n">
        <f aca="false">IFERROR(SUMIF($AB$4:$AM$4, "De Minimis", AR298:BC298), "")</f>
        <v>0</v>
      </c>
      <c r="BG298" s="287"/>
      <c r="BH298" s="288" t="str">
        <f aca="false">IF((SUM(O298:Z298)&gt;1),"ERROR","")</f>
        <v/>
      </c>
      <c r="BI298" s="287"/>
      <c r="BJ298" s="18" t="str">
        <f aca="false">IF(C284&gt;0, C284, "")</f>
        <v/>
      </c>
      <c r="BL298" s="200"/>
      <c r="BM298" s="200"/>
      <c r="BN298" s="200"/>
    </row>
    <row r="299" customFormat="false" ht="15" hidden="false" customHeight="true" outlineLevel="0" collapsed="false">
      <c r="B299" s="275"/>
      <c r="D299" s="276" t="n">
        <f aca="false">D283</f>
        <v>45383</v>
      </c>
      <c r="E299" s="277" t="n">
        <v>0</v>
      </c>
      <c r="F299" s="277" t="n">
        <v>0</v>
      </c>
      <c r="G299" s="277" t="n">
        <v>0</v>
      </c>
      <c r="H299" s="277" t="n">
        <v>0</v>
      </c>
      <c r="I299" s="277" t="n">
        <v>0</v>
      </c>
      <c r="J299" s="278" t="n">
        <f aca="false">E299+H299+I299</f>
        <v>0</v>
      </c>
      <c r="K299" s="204"/>
      <c r="L299" s="279" t="n">
        <v>1</v>
      </c>
      <c r="M299" s="280" t="n">
        <f aca="false">1-L299</f>
        <v>0</v>
      </c>
      <c r="N299" s="281"/>
      <c r="O299" s="282"/>
      <c r="P299" s="282"/>
      <c r="Q299" s="282"/>
      <c r="R299" s="282"/>
      <c r="S299" s="282"/>
      <c r="T299" s="282"/>
      <c r="U299" s="282"/>
      <c r="V299" s="282"/>
      <c r="W299" s="282"/>
      <c r="X299" s="282"/>
      <c r="Y299" s="282"/>
      <c r="Z299" s="282"/>
      <c r="AA299" s="283"/>
      <c r="AB299" s="284" t="n">
        <f aca="false">IFERROR(($J299*O299)*$L299, "")</f>
        <v>0</v>
      </c>
      <c r="AC299" s="284" t="n">
        <f aca="false">IFERROR(($J299*P299)*$L299, "")</f>
        <v>0</v>
      </c>
      <c r="AD299" s="284" t="n">
        <f aca="false">IFERROR(($J299*Q299)*$L299, "")</f>
        <v>0</v>
      </c>
      <c r="AE299" s="284" t="n">
        <f aca="false">IFERROR(($J299*R299)*$L299, "")</f>
        <v>0</v>
      </c>
      <c r="AF299" s="284" t="n">
        <f aca="false">IFERROR(($J299*S299)*$L299, "")</f>
        <v>0</v>
      </c>
      <c r="AG299" s="284" t="n">
        <f aca="false">IFERROR(($J299*T299)*$L299, "")</f>
        <v>0</v>
      </c>
      <c r="AH299" s="284" t="n">
        <f aca="false">IFERROR(($J299*U299)*$L299, "")</f>
        <v>0</v>
      </c>
      <c r="AI299" s="284" t="n">
        <f aca="false">IFERROR(($J299*V299)*$L299, "")</f>
        <v>0</v>
      </c>
      <c r="AJ299" s="284" t="n">
        <f aca="false">IFERROR(($J299*W299)*$L299, "")</f>
        <v>0</v>
      </c>
      <c r="AK299" s="284" t="n">
        <f aca="false">IFERROR(($J299*X299)*$L299, "")</f>
        <v>0</v>
      </c>
      <c r="AL299" s="284" t="n">
        <f aca="false">IFERROR(($J299*Y299)*$L299, "")</f>
        <v>0</v>
      </c>
      <c r="AM299" s="285" t="n">
        <f aca="false">IFERROR(($J299*Z299)*$L299, "")</f>
        <v>0</v>
      </c>
      <c r="AN299" s="286" t="n">
        <f aca="false">IFERROR(SUMIF($AB$4:$AM$4, "RDEC", AB299:AM299), "")</f>
        <v>0</v>
      </c>
      <c r="AO299" s="286" t="n">
        <f aca="false">IFERROR(SUMIF($AB$4:$AM$4, "SME", AB299:AM299), "")</f>
        <v>0</v>
      </c>
      <c r="AP299" s="286" t="n">
        <f aca="false">IFERROR(SUMIF($AB$4:$AM$4, "De Minimis", AB299:AM299), "")</f>
        <v>0</v>
      </c>
      <c r="AQ299" s="283"/>
      <c r="AR299" s="284" t="n">
        <f aca="false">IFERROR(($J299*O299)*$M299, "")</f>
        <v>0</v>
      </c>
      <c r="AS299" s="284" t="n">
        <f aca="false">IFERROR(($J299*P299)*$M299, "")</f>
        <v>0</v>
      </c>
      <c r="AT299" s="284" t="n">
        <f aca="false">IFERROR(($J299*Q299)*$M299, "")</f>
        <v>0</v>
      </c>
      <c r="AU299" s="284" t="n">
        <f aca="false">IFERROR(($J299*R299)*$M299, "")</f>
        <v>0</v>
      </c>
      <c r="AV299" s="284" t="n">
        <f aca="false">IFERROR(($J299*S299)*$M299, "")</f>
        <v>0</v>
      </c>
      <c r="AW299" s="284" t="n">
        <f aca="false">IFERROR(($J299*T299)*$M299, "")</f>
        <v>0</v>
      </c>
      <c r="AX299" s="284" t="n">
        <f aca="false">IFERROR(($J299*U299)*$M299, "")</f>
        <v>0</v>
      </c>
      <c r="AY299" s="284" t="n">
        <f aca="false">IFERROR(($J299*V299)*$M299, "")</f>
        <v>0</v>
      </c>
      <c r="AZ299" s="284" t="n">
        <f aca="false">IFERROR(($J299*W299)*$M299, "")</f>
        <v>0</v>
      </c>
      <c r="BA299" s="284" t="n">
        <f aca="false">IFERROR(($J299*X299)*$M299, "")</f>
        <v>0</v>
      </c>
      <c r="BB299" s="284" t="n">
        <f aca="false">IFERROR(($J299*Y299)*$M299, "")</f>
        <v>0</v>
      </c>
      <c r="BC299" s="285" t="n">
        <f aca="false">IFERROR(($J299*Z299)*$M299, "")</f>
        <v>0</v>
      </c>
      <c r="BD299" s="286" t="n">
        <f aca="false">IFERROR(SUMIF($AB$4:$AM$4, "RDEC", AR299:BC299), "")</f>
        <v>0</v>
      </c>
      <c r="BE299" s="286" t="n">
        <f aca="false">IFERROR(SUMIF($AB$4:$AM$4, "SME", AR299:BC299), "")</f>
        <v>0</v>
      </c>
      <c r="BF299" s="286" t="n">
        <f aca="false">IFERROR(SUMIF($AB$4:$AM$4, "De Minimis", AR299:BC299), "")</f>
        <v>0</v>
      </c>
      <c r="BG299" s="287"/>
      <c r="BH299" s="288" t="str">
        <f aca="false">IF((SUM(O299:Z299)&gt;1),"ERROR","")</f>
        <v/>
      </c>
      <c r="BI299" s="287"/>
      <c r="BJ299" s="18" t="str">
        <f aca="false">IF(C285&gt;0, C285, "")</f>
        <v/>
      </c>
      <c r="BL299" s="200"/>
      <c r="BM299" s="200"/>
      <c r="BN299" s="200"/>
    </row>
    <row r="300" customFormat="false" ht="15" hidden="false" customHeight="true" outlineLevel="0" collapsed="false">
      <c r="B300" s="275"/>
      <c r="D300" s="276" t="n">
        <f aca="false">D284</f>
        <v>45413</v>
      </c>
      <c r="E300" s="277" t="n">
        <v>0</v>
      </c>
      <c r="F300" s="277" t="n">
        <v>0</v>
      </c>
      <c r="G300" s="277" t="n">
        <v>0</v>
      </c>
      <c r="H300" s="277" t="n">
        <v>0</v>
      </c>
      <c r="I300" s="277" t="n">
        <v>0</v>
      </c>
      <c r="J300" s="278" t="n">
        <f aca="false">E300+H300+I300</f>
        <v>0</v>
      </c>
      <c r="K300" s="204"/>
      <c r="L300" s="279" t="n">
        <v>1</v>
      </c>
      <c r="M300" s="280" t="n">
        <f aca="false">1-L300</f>
        <v>0</v>
      </c>
      <c r="N300" s="281"/>
      <c r="O300" s="282"/>
      <c r="P300" s="282"/>
      <c r="Q300" s="282"/>
      <c r="R300" s="282"/>
      <c r="S300" s="282"/>
      <c r="T300" s="282"/>
      <c r="U300" s="282"/>
      <c r="V300" s="282"/>
      <c r="W300" s="282"/>
      <c r="X300" s="282"/>
      <c r="Y300" s="282"/>
      <c r="Z300" s="282"/>
      <c r="AA300" s="283"/>
      <c r="AB300" s="284" t="n">
        <f aca="false">IFERROR(($J300*O300)*$L300, "")</f>
        <v>0</v>
      </c>
      <c r="AC300" s="284" t="n">
        <f aca="false">IFERROR(($J300*P300)*$L300, "")</f>
        <v>0</v>
      </c>
      <c r="AD300" s="284" t="n">
        <f aca="false">IFERROR(($J300*Q300)*$L300, "")</f>
        <v>0</v>
      </c>
      <c r="AE300" s="284" t="n">
        <f aca="false">IFERROR(($J300*R300)*$L300, "")</f>
        <v>0</v>
      </c>
      <c r="AF300" s="284" t="n">
        <f aca="false">IFERROR(($J300*S300)*$L300, "")</f>
        <v>0</v>
      </c>
      <c r="AG300" s="284" t="n">
        <f aca="false">IFERROR(($J300*T300)*$L300, "")</f>
        <v>0</v>
      </c>
      <c r="AH300" s="284" t="n">
        <f aca="false">IFERROR(($J300*U300)*$L300, "")</f>
        <v>0</v>
      </c>
      <c r="AI300" s="284" t="n">
        <f aca="false">IFERROR(($J300*V300)*$L300, "")</f>
        <v>0</v>
      </c>
      <c r="AJ300" s="284" t="n">
        <f aca="false">IFERROR(($J300*W300)*$L300, "")</f>
        <v>0</v>
      </c>
      <c r="AK300" s="284" t="n">
        <f aca="false">IFERROR(($J300*X300)*$L300, "")</f>
        <v>0</v>
      </c>
      <c r="AL300" s="284" t="n">
        <f aca="false">IFERROR(($J300*Y300)*$L300, "")</f>
        <v>0</v>
      </c>
      <c r="AM300" s="285" t="n">
        <f aca="false">IFERROR(($J300*Z300)*$L300, "")</f>
        <v>0</v>
      </c>
      <c r="AN300" s="286" t="n">
        <f aca="false">IFERROR(SUMIF($AB$4:$AM$4, "RDEC", AB300:AM300), "")</f>
        <v>0</v>
      </c>
      <c r="AO300" s="286" t="n">
        <f aca="false">IFERROR(SUMIF($AB$4:$AM$4, "SME", AB300:AM300), "")</f>
        <v>0</v>
      </c>
      <c r="AP300" s="286" t="n">
        <f aca="false">IFERROR(SUMIF($AB$4:$AM$4, "De Minimis", AB300:AM300), "")</f>
        <v>0</v>
      </c>
      <c r="AQ300" s="283"/>
      <c r="AR300" s="284" t="n">
        <f aca="false">IFERROR(($J300*O300)*$M300, "")</f>
        <v>0</v>
      </c>
      <c r="AS300" s="284" t="n">
        <f aca="false">IFERROR(($J300*P300)*$M300, "")</f>
        <v>0</v>
      </c>
      <c r="AT300" s="284" t="n">
        <f aca="false">IFERROR(($J300*Q300)*$M300, "")</f>
        <v>0</v>
      </c>
      <c r="AU300" s="284" t="n">
        <f aca="false">IFERROR(($J300*R300)*$M300, "")</f>
        <v>0</v>
      </c>
      <c r="AV300" s="284" t="n">
        <f aca="false">IFERROR(($J300*S300)*$M300, "")</f>
        <v>0</v>
      </c>
      <c r="AW300" s="284" t="n">
        <f aca="false">IFERROR(($J300*T300)*$M300, "")</f>
        <v>0</v>
      </c>
      <c r="AX300" s="284" t="n">
        <f aca="false">IFERROR(($J300*U300)*$M300, "")</f>
        <v>0</v>
      </c>
      <c r="AY300" s="284" t="n">
        <f aca="false">IFERROR(($J300*V300)*$M300, "")</f>
        <v>0</v>
      </c>
      <c r="AZ300" s="284" t="n">
        <f aca="false">IFERROR(($J300*W300)*$M300, "")</f>
        <v>0</v>
      </c>
      <c r="BA300" s="284" t="n">
        <f aca="false">IFERROR(($J300*X300)*$M300, "")</f>
        <v>0</v>
      </c>
      <c r="BB300" s="284" t="n">
        <f aca="false">IFERROR(($J300*Y300)*$M300, "")</f>
        <v>0</v>
      </c>
      <c r="BC300" s="285" t="n">
        <f aca="false">IFERROR(($J300*Z300)*$M300, "")</f>
        <v>0</v>
      </c>
      <c r="BD300" s="286" t="n">
        <f aca="false">IFERROR(SUMIF($AB$4:$AM$4, "RDEC", AR300:BC300), "")</f>
        <v>0</v>
      </c>
      <c r="BE300" s="286" t="n">
        <f aca="false">IFERROR(SUMIF($AB$4:$AM$4, "SME", AR300:BC300), "")</f>
        <v>0</v>
      </c>
      <c r="BF300" s="286" t="n">
        <f aca="false">IFERROR(SUMIF($AB$4:$AM$4, "De Minimis", AR300:BC300), "")</f>
        <v>0</v>
      </c>
      <c r="BG300" s="287"/>
      <c r="BH300" s="288" t="str">
        <f aca="false">IF((SUM(O300:Z300)&gt;1),"ERROR","")</f>
        <v/>
      </c>
      <c r="BI300" s="287"/>
      <c r="BJ300" s="18" t="str">
        <f aca="false">IF(C286&gt;0, C286, "")</f>
        <v/>
      </c>
      <c r="BL300" s="200"/>
      <c r="BM300" s="200"/>
      <c r="BN300" s="200"/>
    </row>
    <row r="301" customFormat="false" ht="15" hidden="false" customHeight="true" outlineLevel="0" collapsed="false">
      <c r="B301" s="275"/>
      <c r="D301" s="276" t="n">
        <f aca="false">D285</f>
        <v>45444</v>
      </c>
      <c r="E301" s="277" t="n">
        <v>0</v>
      </c>
      <c r="F301" s="277" t="n">
        <v>0</v>
      </c>
      <c r="G301" s="277" t="n">
        <v>0</v>
      </c>
      <c r="H301" s="277" t="n">
        <v>0</v>
      </c>
      <c r="I301" s="277" t="n">
        <v>0</v>
      </c>
      <c r="J301" s="278" t="n">
        <f aca="false">E301+H301+I301</f>
        <v>0</v>
      </c>
      <c r="K301" s="204"/>
      <c r="L301" s="279" t="n">
        <v>1</v>
      </c>
      <c r="M301" s="280" t="n">
        <f aca="false">1-L301</f>
        <v>0</v>
      </c>
      <c r="N301" s="281"/>
      <c r="O301" s="282"/>
      <c r="P301" s="282"/>
      <c r="Q301" s="282"/>
      <c r="R301" s="282"/>
      <c r="S301" s="282"/>
      <c r="T301" s="282"/>
      <c r="U301" s="282"/>
      <c r="V301" s="282"/>
      <c r="W301" s="282"/>
      <c r="X301" s="282"/>
      <c r="Y301" s="282"/>
      <c r="Z301" s="282"/>
      <c r="AA301" s="283"/>
      <c r="AB301" s="284" t="n">
        <f aca="false">IFERROR(($J301*O301)*$L301, "")</f>
        <v>0</v>
      </c>
      <c r="AC301" s="284" t="n">
        <f aca="false">IFERROR(($J301*P301)*$L301, "")</f>
        <v>0</v>
      </c>
      <c r="AD301" s="284" t="n">
        <f aca="false">IFERROR(($J301*Q301)*$L301, "")</f>
        <v>0</v>
      </c>
      <c r="AE301" s="284" t="n">
        <f aca="false">IFERROR(($J301*R301)*$L301, "")</f>
        <v>0</v>
      </c>
      <c r="AF301" s="284" t="n">
        <f aca="false">IFERROR(($J301*S301)*$L301, "")</f>
        <v>0</v>
      </c>
      <c r="AG301" s="284" t="n">
        <f aca="false">IFERROR(($J301*T301)*$L301, "")</f>
        <v>0</v>
      </c>
      <c r="AH301" s="284" t="n">
        <f aca="false">IFERROR(($J301*U301)*$L301, "")</f>
        <v>0</v>
      </c>
      <c r="AI301" s="284" t="n">
        <f aca="false">IFERROR(($J301*V301)*$L301, "")</f>
        <v>0</v>
      </c>
      <c r="AJ301" s="284" t="n">
        <f aca="false">IFERROR(($J301*W301)*$L301, "")</f>
        <v>0</v>
      </c>
      <c r="AK301" s="284" t="n">
        <f aca="false">IFERROR(($J301*X301)*$L301, "")</f>
        <v>0</v>
      </c>
      <c r="AL301" s="284" t="n">
        <f aca="false">IFERROR(($J301*Y301)*$L301, "")</f>
        <v>0</v>
      </c>
      <c r="AM301" s="285" t="n">
        <f aca="false">IFERROR(($J301*Z301)*$L301, "")</f>
        <v>0</v>
      </c>
      <c r="AN301" s="286" t="n">
        <f aca="false">IFERROR(SUMIF($AB$4:$AM$4, "RDEC", AB301:AM301), "")</f>
        <v>0</v>
      </c>
      <c r="AO301" s="286" t="n">
        <f aca="false">IFERROR(SUMIF($AB$4:$AM$4, "SME", AB301:AM301), "")</f>
        <v>0</v>
      </c>
      <c r="AP301" s="286" t="n">
        <f aca="false">IFERROR(SUMIF($AB$4:$AM$4, "De Minimis", AB301:AM301), "")</f>
        <v>0</v>
      </c>
      <c r="AQ301" s="283"/>
      <c r="AR301" s="284" t="n">
        <f aca="false">IFERROR(($J301*O301)*$M301, "")</f>
        <v>0</v>
      </c>
      <c r="AS301" s="284" t="n">
        <f aca="false">IFERROR(($J301*P301)*$M301, "")</f>
        <v>0</v>
      </c>
      <c r="AT301" s="284" t="n">
        <f aca="false">IFERROR(($J301*Q301)*$M301, "")</f>
        <v>0</v>
      </c>
      <c r="AU301" s="284" t="n">
        <f aca="false">IFERROR(($J301*R301)*$M301, "")</f>
        <v>0</v>
      </c>
      <c r="AV301" s="284" t="n">
        <f aca="false">IFERROR(($J301*S301)*$M301, "")</f>
        <v>0</v>
      </c>
      <c r="AW301" s="284" t="n">
        <f aca="false">IFERROR(($J301*T301)*$M301, "")</f>
        <v>0</v>
      </c>
      <c r="AX301" s="284" t="n">
        <f aca="false">IFERROR(($J301*U301)*$M301, "")</f>
        <v>0</v>
      </c>
      <c r="AY301" s="284" t="n">
        <f aca="false">IFERROR(($J301*V301)*$M301, "")</f>
        <v>0</v>
      </c>
      <c r="AZ301" s="284" t="n">
        <f aca="false">IFERROR(($J301*W301)*$M301, "")</f>
        <v>0</v>
      </c>
      <c r="BA301" s="284" t="n">
        <f aca="false">IFERROR(($J301*X301)*$M301, "")</f>
        <v>0</v>
      </c>
      <c r="BB301" s="284" t="n">
        <f aca="false">IFERROR(($J301*Y301)*$M301, "")</f>
        <v>0</v>
      </c>
      <c r="BC301" s="285" t="n">
        <f aca="false">IFERROR(($J301*Z301)*$M301, "")</f>
        <v>0</v>
      </c>
      <c r="BD301" s="286" t="n">
        <f aca="false">IFERROR(SUMIF($AB$4:$AM$4, "RDEC", AR301:BC301), "")</f>
        <v>0</v>
      </c>
      <c r="BE301" s="286" t="n">
        <f aca="false">IFERROR(SUMIF($AB$4:$AM$4, "SME", AR301:BC301), "")</f>
        <v>0</v>
      </c>
      <c r="BF301" s="286" t="n">
        <f aca="false">IFERROR(SUMIF($AB$4:$AM$4, "De Minimis", AR301:BC301), "")</f>
        <v>0</v>
      </c>
      <c r="BG301" s="287"/>
      <c r="BH301" s="288" t="str">
        <f aca="false">IF((SUM(O301:Z301)&gt;1),"ERROR","")</f>
        <v/>
      </c>
      <c r="BI301" s="287"/>
      <c r="BJ301" s="18" t="str">
        <f aca="false">IF(C287&gt;0, C287, "")</f>
        <v/>
      </c>
      <c r="BL301" s="200"/>
      <c r="BM301" s="200"/>
      <c r="BN301" s="200"/>
    </row>
    <row r="302" customFormat="false" ht="15" hidden="false" customHeight="true" outlineLevel="0" collapsed="false">
      <c r="B302" s="275"/>
      <c r="D302" s="276" t="n">
        <f aca="false">D286</f>
        <v>45474</v>
      </c>
      <c r="E302" s="277" t="n">
        <v>0</v>
      </c>
      <c r="F302" s="277" t="n">
        <v>0</v>
      </c>
      <c r="G302" s="277" t="n">
        <v>0</v>
      </c>
      <c r="H302" s="277" t="n">
        <v>0</v>
      </c>
      <c r="I302" s="277" t="n">
        <v>0</v>
      </c>
      <c r="J302" s="278" t="n">
        <f aca="false">E302+H302+I302</f>
        <v>0</v>
      </c>
      <c r="K302" s="204"/>
      <c r="L302" s="279" t="n">
        <v>1</v>
      </c>
      <c r="M302" s="280" t="n">
        <f aca="false">1-L302</f>
        <v>0</v>
      </c>
      <c r="N302" s="281"/>
      <c r="O302" s="282"/>
      <c r="P302" s="282"/>
      <c r="Q302" s="282"/>
      <c r="R302" s="282"/>
      <c r="S302" s="282"/>
      <c r="T302" s="282"/>
      <c r="U302" s="282"/>
      <c r="V302" s="282"/>
      <c r="W302" s="282"/>
      <c r="X302" s="282"/>
      <c r="Y302" s="282"/>
      <c r="Z302" s="282"/>
      <c r="AA302" s="283"/>
      <c r="AB302" s="284" t="n">
        <f aca="false">IFERROR(($J302*O302)*$L302, "")</f>
        <v>0</v>
      </c>
      <c r="AC302" s="284" t="n">
        <f aca="false">IFERROR(($J302*P302)*$L302, "")</f>
        <v>0</v>
      </c>
      <c r="AD302" s="284" t="n">
        <f aca="false">IFERROR(($J302*Q302)*$L302, "")</f>
        <v>0</v>
      </c>
      <c r="AE302" s="284" t="n">
        <f aca="false">IFERROR(($J302*R302)*$L302, "")</f>
        <v>0</v>
      </c>
      <c r="AF302" s="284" t="n">
        <f aca="false">IFERROR(($J302*S302)*$L302, "")</f>
        <v>0</v>
      </c>
      <c r="AG302" s="284" t="n">
        <f aca="false">IFERROR(($J302*T302)*$L302, "")</f>
        <v>0</v>
      </c>
      <c r="AH302" s="284" t="n">
        <f aca="false">IFERROR(($J302*U302)*$L302, "")</f>
        <v>0</v>
      </c>
      <c r="AI302" s="284" t="n">
        <f aca="false">IFERROR(($J302*V302)*$L302, "")</f>
        <v>0</v>
      </c>
      <c r="AJ302" s="284" t="n">
        <f aca="false">IFERROR(($J302*W302)*$L302, "")</f>
        <v>0</v>
      </c>
      <c r="AK302" s="284" t="n">
        <f aca="false">IFERROR(($J302*X302)*$L302, "")</f>
        <v>0</v>
      </c>
      <c r="AL302" s="284" t="n">
        <f aca="false">IFERROR(($J302*Y302)*$L302, "")</f>
        <v>0</v>
      </c>
      <c r="AM302" s="285" t="n">
        <f aca="false">IFERROR(($J302*Z302)*$L302, "")</f>
        <v>0</v>
      </c>
      <c r="AN302" s="286" t="n">
        <f aca="false">IFERROR(SUMIF($AB$4:$AM$4, "RDEC", AB302:AM302), "")</f>
        <v>0</v>
      </c>
      <c r="AO302" s="286" t="n">
        <f aca="false">IFERROR(SUMIF($AB$4:$AM$4, "SME", AB302:AM302), "")</f>
        <v>0</v>
      </c>
      <c r="AP302" s="286" t="n">
        <f aca="false">IFERROR(SUMIF($AB$4:$AM$4, "De Minimis", AB302:AM302), "")</f>
        <v>0</v>
      </c>
      <c r="AQ302" s="283"/>
      <c r="AR302" s="284" t="n">
        <f aca="false">IFERROR(($J302*O302)*$M302, "")</f>
        <v>0</v>
      </c>
      <c r="AS302" s="284" t="n">
        <f aca="false">IFERROR(($J302*P302)*$M302, "")</f>
        <v>0</v>
      </c>
      <c r="AT302" s="284" t="n">
        <f aca="false">IFERROR(($J302*Q302)*$M302, "")</f>
        <v>0</v>
      </c>
      <c r="AU302" s="284" t="n">
        <f aca="false">IFERROR(($J302*R302)*$M302, "")</f>
        <v>0</v>
      </c>
      <c r="AV302" s="284" t="n">
        <f aca="false">IFERROR(($J302*S302)*$M302, "")</f>
        <v>0</v>
      </c>
      <c r="AW302" s="284" t="n">
        <f aca="false">IFERROR(($J302*T302)*$M302, "")</f>
        <v>0</v>
      </c>
      <c r="AX302" s="284" t="n">
        <f aca="false">IFERROR(($J302*U302)*$M302, "")</f>
        <v>0</v>
      </c>
      <c r="AY302" s="284" t="n">
        <f aca="false">IFERROR(($J302*V302)*$M302, "")</f>
        <v>0</v>
      </c>
      <c r="AZ302" s="284" t="n">
        <f aca="false">IFERROR(($J302*W302)*$M302, "")</f>
        <v>0</v>
      </c>
      <c r="BA302" s="284" t="n">
        <f aca="false">IFERROR(($J302*X302)*$M302, "")</f>
        <v>0</v>
      </c>
      <c r="BB302" s="284" t="n">
        <f aca="false">IFERROR(($J302*Y302)*$M302, "")</f>
        <v>0</v>
      </c>
      <c r="BC302" s="285" t="n">
        <f aca="false">IFERROR(($J302*Z302)*$M302, "")</f>
        <v>0</v>
      </c>
      <c r="BD302" s="286" t="n">
        <f aca="false">IFERROR(SUMIF($AB$4:$AM$4, "RDEC", AR302:BC302), "")</f>
        <v>0</v>
      </c>
      <c r="BE302" s="286" t="n">
        <f aca="false">IFERROR(SUMIF($AB$4:$AM$4, "SME", AR302:BC302), "")</f>
        <v>0</v>
      </c>
      <c r="BF302" s="286" t="n">
        <f aca="false">IFERROR(SUMIF($AB$4:$AM$4, "De Minimis", AR302:BC302), "")</f>
        <v>0</v>
      </c>
      <c r="BG302" s="287"/>
      <c r="BH302" s="288" t="str">
        <f aca="false">IF((SUM(O302:Z302)&gt;1),"ERROR","")</f>
        <v/>
      </c>
      <c r="BI302" s="287"/>
      <c r="BJ302" s="18" t="str">
        <f aca="false">IF(C288&gt;0, C288, "")</f>
        <v/>
      </c>
      <c r="BL302" s="200"/>
      <c r="BM302" s="200"/>
      <c r="BN302" s="200"/>
    </row>
    <row r="303" customFormat="false" ht="15" hidden="false" customHeight="true" outlineLevel="0" collapsed="false">
      <c r="B303" s="275"/>
      <c r="D303" s="276" t="n">
        <f aca="false">D287</f>
        <v>45505</v>
      </c>
      <c r="E303" s="277" t="n">
        <v>0</v>
      </c>
      <c r="F303" s="277" t="n">
        <v>0</v>
      </c>
      <c r="G303" s="277" t="n">
        <v>0</v>
      </c>
      <c r="H303" s="277" t="n">
        <v>0</v>
      </c>
      <c r="I303" s="277" t="n">
        <v>0</v>
      </c>
      <c r="J303" s="278" t="n">
        <f aca="false">E303+H303+I303</f>
        <v>0</v>
      </c>
      <c r="K303" s="204"/>
      <c r="L303" s="279" t="n">
        <v>1</v>
      </c>
      <c r="M303" s="280" t="n">
        <f aca="false">1-L303</f>
        <v>0</v>
      </c>
      <c r="N303" s="281"/>
      <c r="O303" s="282"/>
      <c r="P303" s="282"/>
      <c r="Q303" s="282"/>
      <c r="R303" s="282"/>
      <c r="S303" s="282"/>
      <c r="T303" s="282"/>
      <c r="U303" s="282"/>
      <c r="V303" s="282"/>
      <c r="W303" s="282"/>
      <c r="X303" s="282"/>
      <c r="Y303" s="282"/>
      <c r="Z303" s="282"/>
      <c r="AA303" s="283"/>
      <c r="AB303" s="284" t="n">
        <f aca="false">IFERROR(($J303*O303)*$L303, "")</f>
        <v>0</v>
      </c>
      <c r="AC303" s="284" t="n">
        <f aca="false">IFERROR(($J303*P303)*$L303, "")</f>
        <v>0</v>
      </c>
      <c r="AD303" s="284" t="n">
        <f aca="false">IFERROR(($J303*Q303)*$L303, "")</f>
        <v>0</v>
      </c>
      <c r="AE303" s="284" t="n">
        <f aca="false">IFERROR(($J303*R303)*$L303, "")</f>
        <v>0</v>
      </c>
      <c r="AF303" s="284" t="n">
        <f aca="false">IFERROR(($J303*S303)*$L303, "")</f>
        <v>0</v>
      </c>
      <c r="AG303" s="284" t="n">
        <f aca="false">IFERROR(($J303*T303)*$L303, "")</f>
        <v>0</v>
      </c>
      <c r="AH303" s="284" t="n">
        <f aca="false">IFERROR(($J303*U303)*$L303, "")</f>
        <v>0</v>
      </c>
      <c r="AI303" s="284" t="n">
        <f aca="false">IFERROR(($J303*V303)*$L303, "")</f>
        <v>0</v>
      </c>
      <c r="AJ303" s="284" t="n">
        <f aca="false">IFERROR(($J303*W303)*$L303, "")</f>
        <v>0</v>
      </c>
      <c r="AK303" s="284" t="n">
        <f aca="false">IFERROR(($J303*X303)*$L303, "")</f>
        <v>0</v>
      </c>
      <c r="AL303" s="284" t="n">
        <f aca="false">IFERROR(($J303*Y303)*$L303, "")</f>
        <v>0</v>
      </c>
      <c r="AM303" s="285" t="n">
        <f aca="false">IFERROR(($J303*Z303)*$L303, "")</f>
        <v>0</v>
      </c>
      <c r="AN303" s="286" t="n">
        <f aca="false">IFERROR(SUMIF($AB$4:$AM$4, "RDEC", AB303:AM303), "")</f>
        <v>0</v>
      </c>
      <c r="AO303" s="286" t="n">
        <f aca="false">IFERROR(SUMIF($AB$4:$AM$4, "SME", AB303:AM303), "")</f>
        <v>0</v>
      </c>
      <c r="AP303" s="286" t="n">
        <f aca="false">IFERROR(SUMIF($AB$4:$AM$4, "De Minimis", AB303:AM303), "")</f>
        <v>0</v>
      </c>
      <c r="AQ303" s="283"/>
      <c r="AR303" s="284" t="n">
        <f aca="false">IFERROR(($J303*O303)*$M303, "")</f>
        <v>0</v>
      </c>
      <c r="AS303" s="284" t="n">
        <f aca="false">IFERROR(($J303*P303)*$M303, "")</f>
        <v>0</v>
      </c>
      <c r="AT303" s="284" t="n">
        <f aca="false">IFERROR(($J303*Q303)*$M303, "")</f>
        <v>0</v>
      </c>
      <c r="AU303" s="284" t="n">
        <f aca="false">IFERROR(($J303*R303)*$M303, "")</f>
        <v>0</v>
      </c>
      <c r="AV303" s="284" t="n">
        <f aca="false">IFERROR(($J303*S303)*$M303, "")</f>
        <v>0</v>
      </c>
      <c r="AW303" s="284" t="n">
        <f aca="false">IFERROR(($J303*T303)*$M303, "")</f>
        <v>0</v>
      </c>
      <c r="AX303" s="284" t="n">
        <f aca="false">IFERROR(($J303*U303)*$M303, "")</f>
        <v>0</v>
      </c>
      <c r="AY303" s="284" t="n">
        <f aca="false">IFERROR(($J303*V303)*$M303, "")</f>
        <v>0</v>
      </c>
      <c r="AZ303" s="284" t="n">
        <f aca="false">IFERROR(($J303*W303)*$M303, "")</f>
        <v>0</v>
      </c>
      <c r="BA303" s="284" t="n">
        <f aca="false">IFERROR(($J303*X303)*$M303, "")</f>
        <v>0</v>
      </c>
      <c r="BB303" s="284" t="n">
        <f aca="false">IFERROR(($J303*Y303)*$M303, "")</f>
        <v>0</v>
      </c>
      <c r="BC303" s="285" t="n">
        <f aca="false">IFERROR(($J303*Z303)*$M303, "")</f>
        <v>0</v>
      </c>
      <c r="BD303" s="286" t="n">
        <f aca="false">IFERROR(SUMIF($AB$4:$AM$4, "RDEC", AR303:BC303), "")</f>
        <v>0</v>
      </c>
      <c r="BE303" s="286" t="n">
        <f aca="false">IFERROR(SUMIF($AB$4:$AM$4, "SME", AR303:BC303), "")</f>
        <v>0</v>
      </c>
      <c r="BF303" s="286" t="n">
        <f aca="false">IFERROR(SUMIF($AB$4:$AM$4, "De Minimis", AR303:BC303), "")</f>
        <v>0</v>
      </c>
      <c r="BG303" s="287"/>
      <c r="BH303" s="288" t="str">
        <f aca="false">IF((SUM(O303:Z303)&gt;1),"ERROR","")</f>
        <v/>
      </c>
      <c r="BI303" s="287"/>
      <c r="BJ303" s="18" t="str">
        <f aca="false">IF(C289&gt;0, C289, "")</f>
        <v/>
      </c>
      <c r="BL303" s="200"/>
      <c r="BM303" s="200"/>
      <c r="BN303" s="200"/>
    </row>
    <row r="304" customFormat="false" ht="15" hidden="false" customHeight="true" outlineLevel="0" collapsed="false">
      <c r="B304" s="275"/>
      <c r="D304" s="276" t="n">
        <f aca="false">D288</f>
        <v>45536</v>
      </c>
      <c r="E304" s="277" t="n">
        <v>0</v>
      </c>
      <c r="F304" s="277" t="n">
        <v>0</v>
      </c>
      <c r="G304" s="277" t="n">
        <v>0</v>
      </c>
      <c r="H304" s="277" t="n">
        <v>0</v>
      </c>
      <c r="I304" s="277" t="n">
        <v>0</v>
      </c>
      <c r="J304" s="278" t="n">
        <f aca="false">E304+H304+I304</f>
        <v>0</v>
      </c>
      <c r="K304" s="204"/>
      <c r="L304" s="279" t="n">
        <v>1</v>
      </c>
      <c r="M304" s="280" t="n">
        <f aca="false">1-L304</f>
        <v>0</v>
      </c>
      <c r="N304" s="281"/>
      <c r="O304" s="282"/>
      <c r="P304" s="282"/>
      <c r="Q304" s="282"/>
      <c r="R304" s="282"/>
      <c r="S304" s="282"/>
      <c r="T304" s="282"/>
      <c r="U304" s="282"/>
      <c r="V304" s="282"/>
      <c r="W304" s="282"/>
      <c r="X304" s="282"/>
      <c r="Y304" s="282"/>
      <c r="Z304" s="282"/>
      <c r="AA304" s="283"/>
      <c r="AB304" s="284" t="n">
        <f aca="false">IFERROR(($J304*O304)*$L304, "")</f>
        <v>0</v>
      </c>
      <c r="AC304" s="284" t="n">
        <f aca="false">IFERROR(($J304*P304)*$L304, "")</f>
        <v>0</v>
      </c>
      <c r="AD304" s="284" t="n">
        <f aca="false">IFERROR(($J304*Q304)*$L304, "")</f>
        <v>0</v>
      </c>
      <c r="AE304" s="284" t="n">
        <f aca="false">IFERROR(($J304*R304)*$L304, "")</f>
        <v>0</v>
      </c>
      <c r="AF304" s="284" t="n">
        <f aca="false">IFERROR(($J304*S304)*$L304, "")</f>
        <v>0</v>
      </c>
      <c r="AG304" s="284" t="n">
        <f aca="false">IFERROR(($J304*T304)*$L304, "")</f>
        <v>0</v>
      </c>
      <c r="AH304" s="284" t="n">
        <f aca="false">IFERROR(($J304*U304)*$L304, "")</f>
        <v>0</v>
      </c>
      <c r="AI304" s="284" t="n">
        <f aca="false">IFERROR(($J304*V304)*$L304, "")</f>
        <v>0</v>
      </c>
      <c r="AJ304" s="284" t="n">
        <f aca="false">IFERROR(($J304*W304)*$L304, "")</f>
        <v>0</v>
      </c>
      <c r="AK304" s="284" t="n">
        <f aca="false">IFERROR(($J304*X304)*$L304, "")</f>
        <v>0</v>
      </c>
      <c r="AL304" s="284" t="n">
        <f aca="false">IFERROR(($J304*Y304)*$L304, "")</f>
        <v>0</v>
      </c>
      <c r="AM304" s="285" t="n">
        <f aca="false">IFERROR(($J304*Z304)*$L304, "")</f>
        <v>0</v>
      </c>
      <c r="AN304" s="286" t="n">
        <f aca="false">IFERROR(SUMIF($AB$4:$AM$4, "RDEC", AB304:AM304), "")</f>
        <v>0</v>
      </c>
      <c r="AO304" s="286" t="n">
        <f aca="false">IFERROR(SUMIF($AB$4:$AM$4, "SME", AB304:AM304), "")</f>
        <v>0</v>
      </c>
      <c r="AP304" s="286" t="n">
        <f aca="false">IFERROR(SUMIF($AB$4:$AM$4, "De Minimis", AB304:AM304), "")</f>
        <v>0</v>
      </c>
      <c r="AQ304" s="283"/>
      <c r="AR304" s="284" t="n">
        <f aca="false">IFERROR(($J304*O304)*$M304, "")</f>
        <v>0</v>
      </c>
      <c r="AS304" s="284" t="n">
        <f aca="false">IFERROR(($J304*P304)*$M304, "")</f>
        <v>0</v>
      </c>
      <c r="AT304" s="284" t="n">
        <f aca="false">IFERROR(($J304*Q304)*$M304, "")</f>
        <v>0</v>
      </c>
      <c r="AU304" s="284" t="n">
        <f aca="false">IFERROR(($J304*R304)*$M304, "")</f>
        <v>0</v>
      </c>
      <c r="AV304" s="284" t="n">
        <f aca="false">IFERROR(($J304*S304)*$M304, "")</f>
        <v>0</v>
      </c>
      <c r="AW304" s="284" t="n">
        <f aca="false">IFERROR(($J304*T304)*$M304, "")</f>
        <v>0</v>
      </c>
      <c r="AX304" s="284" t="n">
        <f aca="false">IFERROR(($J304*U304)*$M304, "")</f>
        <v>0</v>
      </c>
      <c r="AY304" s="284" t="n">
        <f aca="false">IFERROR(($J304*V304)*$M304, "")</f>
        <v>0</v>
      </c>
      <c r="AZ304" s="284" t="n">
        <f aca="false">IFERROR(($J304*W304)*$M304, "")</f>
        <v>0</v>
      </c>
      <c r="BA304" s="284" t="n">
        <f aca="false">IFERROR(($J304*X304)*$M304, "")</f>
        <v>0</v>
      </c>
      <c r="BB304" s="284" t="n">
        <f aca="false">IFERROR(($J304*Y304)*$M304, "")</f>
        <v>0</v>
      </c>
      <c r="BC304" s="285" t="n">
        <f aca="false">IFERROR(($J304*Z304)*$M304, "")</f>
        <v>0</v>
      </c>
      <c r="BD304" s="286" t="n">
        <f aca="false">IFERROR(SUMIF($AB$4:$AM$4, "RDEC", AR304:BC304), "")</f>
        <v>0</v>
      </c>
      <c r="BE304" s="286" t="n">
        <f aca="false">IFERROR(SUMIF($AB$4:$AM$4, "SME", AR304:BC304), "")</f>
        <v>0</v>
      </c>
      <c r="BF304" s="286" t="n">
        <f aca="false">IFERROR(SUMIF($AB$4:$AM$4, "De Minimis", AR304:BC304), "")</f>
        <v>0</v>
      </c>
      <c r="BG304" s="287"/>
      <c r="BH304" s="288" t="str">
        <f aca="false">IF((SUM(O304:Z304)&gt;1),"ERROR","")</f>
        <v/>
      </c>
      <c r="BI304" s="287"/>
      <c r="BJ304" s="18" t="str">
        <f aca="false">IF(C290&gt;0, C290, "")</f>
        <v/>
      </c>
      <c r="BL304" s="200"/>
      <c r="BM304" s="200"/>
      <c r="BN304" s="200"/>
    </row>
    <row r="305" customFormat="false" ht="15" hidden="false" customHeight="true" outlineLevel="0" collapsed="false">
      <c r="B305" s="275"/>
      <c r="D305" s="276" t="n">
        <f aca="false">D289</f>
        <v>45566</v>
      </c>
      <c r="E305" s="277" t="n">
        <v>0</v>
      </c>
      <c r="F305" s="277" t="n">
        <v>0</v>
      </c>
      <c r="G305" s="277" t="n">
        <v>0</v>
      </c>
      <c r="H305" s="277" t="n">
        <v>0</v>
      </c>
      <c r="I305" s="277" t="n">
        <v>0</v>
      </c>
      <c r="J305" s="278" t="n">
        <f aca="false">E305+H305+I305</f>
        <v>0</v>
      </c>
      <c r="K305" s="204"/>
      <c r="L305" s="279" t="n">
        <v>1</v>
      </c>
      <c r="M305" s="280" t="n">
        <f aca="false">1-L305</f>
        <v>0</v>
      </c>
      <c r="N305" s="281"/>
      <c r="O305" s="282"/>
      <c r="P305" s="282"/>
      <c r="Q305" s="282"/>
      <c r="R305" s="282"/>
      <c r="S305" s="282"/>
      <c r="T305" s="282"/>
      <c r="U305" s="282"/>
      <c r="V305" s="282"/>
      <c r="W305" s="282"/>
      <c r="X305" s="282"/>
      <c r="Y305" s="282"/>
      <c r="Z305" s="282"/>
      <c r="AA305" s="283"/>
      <c r="AB305" s="284" t="n">
        <f aca="false">IFERROR(($J305*O305)*$L305, "")</f>
        <v>0</v>
      </c>
      <c r="AC305" s="284" t="n">
        <f aca="false">IFERROR(($J305*P305)*$L305, "")</f>
        <v>0</v>
      </c>
      <c r="AD305" s="284" t="n">
        <f aca="false">IFERROR(($J305*Q305)*$L305, "")</f>
        <v>0</v>
      </c>
      <c r="AE305" s="284" t="n">
        <f aca="false">IFERROR(($J305*R305)*$L305, "")</f>
        <v>0</v>
      </c>
      <c r="AF305" s="284" t="n">
        <f aca="false">IFERROR(($J305*S305)*$L305, "")</f>
        <v>0</v>
      </c>
      <c r="AG305" s="284" t="n">
        <f aca="false">IFERROR(($J305*T305)*$L305, "")</f>
        <v>0</v>
      </c>
      <c r="AH305" s="284" t="n">
        <f aca="false">IFERROR(($J305*U305)*$L305, "")</f>
        <v>0</v>
      </c>
      <c r="AI305" s="284" t="n">
        <f aca="false">IFERROR(($J305*V305)*$L305, "")</f>
        <v>0</v>
      </c>
      <c r="AJ305" s="284" t="n">
        <f aca="false">IFERROR(($J305*W305)*$L305, "")</f>
        <v>0</v>
      </c>
      <c r="AK305" s="284" t="n">
        <f aca="false">IFERROR(($J305*X305)*$L305, "")</f>
        <v>0</v>
      </c>
      <c r="AL305" s="284" t="n">
        <f aca="false">IFERROR(($J305*Y305)*$L305, "")</f>
        <v>0</v>
      </c>
      <c r="AM305" s="285" t="n">
        <f aca="false">IFERROR(($J305*Z305)*$L305, "")</f>
        <v>0</v>
      </c>
      <c r="AN305" s="286" t="n">
        <f aca="false">IFERROR(SUMIF($AB$4:$AM$4, "RDEC", AB305:AM305), "")</f>
        <v>0</v>
      </c>
      <c r="AO305" s="286" t="n">
        <f aca="false">IFERROR(SUMIF($AB$4:$AM$4, "SME", AB305:AM305), "")</f>
        <v>0</v>
      </c>
      <c r="AP305" s="286" t="n">
        <f aca="false">IFERROR(SUMIF($AB$4:$AM$4, "De Minimis", AB305:AM305), "")</f>
        <v>0</v>
      </c>
      <c r="AQ305" s="283"/>
      <c r="AR305" s="284" t="n">
        <f aca="false">IFERROR(($J305*O305)*$M305, "")</f>
        <v>0</v>
      </c>
      <c r="AS305" s="284" t="n">
        <f aca="false">IFERROR(($J305*P305)*$M305, "")</f>
        <v>0</v>
      </c>
      <c r="AT305" s="284" t="n">
        <f aca="false">IFERROR(($J305*Q305)*$M305, "")</f>
        <v>0</v>
      </c>
      <c r="AU305" s="284" t="n">
        <f aca="false">IFERROR(($J305*R305)*$M305, "")</f>
        <v>0</v>
      </c>
      <c r="AV305" s="284" t="n">
        <f aca="false">IFERROR(($J305*S305)*$M305, "")</f>
        <v>0</v>
      </c>
      <c r="AW305" s="284" t="n">
        <f aca="false">IFERROR(($J305*T305)*$M305, "")</f>
        <v>0</v>
      </c>
      <c r="AX305" s="284" t="n">
        <f aca="false">IFERROR(($J305*U305)*$M305, "")</f>
        <v>0</v>
      </c>
      <c r="AY305" s="284" t="n">
        <f aca="false">IFERROR(($J305*V305)*$M305, "")</f>
        <v>0</v>
      </c>
      <c r="AZ305" s="284" t="n">
        <f aca="false">IFERROR(($J305*W305)*$M305, "")</f>
        <v>0</v>
      </c>
      <c r="BA305" s="284" t="n">
        <f aca="false">IFERROR(($J305*X305)*$M305, "")</f>
        <v>0</v>
      </c>
      <c r="BB305" s="284" t="n">
        <f aca="false">IFERROR(($J305*Y305)*$M305, "")</f>
        <v>0</v>
      </c>
      <c r="BC305" s="285" t="n">
        <f aca="false">IFERROR(($J305*Z305)*$M305, "")</f>
        <v>0</v>
      </c>
      <c r="BD305" s="286" t="n">
        <f aca="false">IFERROR(SUMIF($AB$4:$AM$4, "RDEC", AR305:BC305), "")</f>
        <v>0</v>
      </c>
      <c r="BE305" s="286" t="n">
        <f aca="false">IFERROR(SUMIF($AB$4:$AM$4, "SME", AR305:BC305), "")</f>
        <v>0</v>
      </c>
      <c r="BF305" s="286" t="n">
        <f aca="false">IFERROR(SUMIF($AB$4:$AM$4, "De Minimis", AR305:BC305), "")</f>
        <v>0</v>
      </c>
      <c r="BG305" s="287"/>
      <c r="BH305" s="288" t="str">
        <f aca="false">IF((SUM(O305:Z305)&gt;1),"ERROR","")</f>
        <v/>
      </c>
      <c r="BI305" s="287"/>
      <c r="BJ305" s="18" t="str">
        <f aca="false">IF(C291&gt;0, C291, "")</f>
        <v/>
      </c>
      <c r="BL305" s="200"/>
      <c r="BM305" s="200"/>
      <c r="BN305" s="200"/>
    </row>
    <row r="306" customFormat="false" ht="15" hidden="false" customHeight="true" outlineLevel="0" collapsed="false">
      <c r="B306" s="275"/>
      <c r="D306" s="276" t="n">
        <f aca="false">D290</f>
        <v>45597</v>
      </c>
      <c r="E306" s="277" t="n">
        <v>0</v>
      </c>
      <c r="F306" s="277" t="n">
        <v>0</v>
      </c>
      <c r="G306" s="277" t="n">
        <v>0</v>
      </c>
      <c r="H306" s="277" t="n">
        <v>0</v>
      </c>
      <c r="I306" s="277" t="n">
        <v>0</v>
      </c>
      <c r="J306" s="278" t="n">
        <f aca="false">E306+H306+I306</f>
        <v>0</v>
      </c>
      <c r="K306" s="204"/>
      <c r="L306" s="279" t="n">
        <v>1</v>
      </c>
      <c r="M306" s="280" t="n">
        <f aca="false">1-L306</f>
        <v>0</v>
      </c>
      <c r="N306" s="281"/>
      <c r="O306" s="282"/>
      <c r="P306" s="282"/>
      <c r="Q306" s="282"/>
      <c r="R306" s="282"/>
      <c r="S306" s="282"/>
      <c r="T306" s="282"/>
      <c r="U306" s="282"/>
      <c r="V306" s="282"/>
      <c r="W306" s="282"/>
      <c r="X306" s="282"/>
      <c r="Y306" s="282"/>
      <c r="Z306" s="282"/>
      <c r="AA306" s="283"/>
      <c r="AB306" s="284" t="n">
        <f aca="false">IFERROR(($J306*O306)*$L306, "")</f>
        <v>0</v>
      </c>
      <c r="AC306" s="284" t="n">
        <f aca="false">IFERROR(($J306*P306)*$L306, "")</f>
        <v>0</v>
      </c>
      <c r="AD306" s="284" t="n">
        <f aca="false">IFERROR(($J306*Q306)*$L306, "")</f>
        <v>0</v>
      </c>
      <c r="AE306" s="284" t="n">
        <f aca="false">IFERROR(($J306*R306)*$L306, "")</f>
        <v>0</v>
      </c>
      <c r="AF306" s="284" t="n">
        <f aca="false">IFERROR(($J306*S306)*$L306, "")</f>
        <v>0</v>
      </c>
      <c r="AG306" s="284" t="n">
        <f aca="false">IFERROR(($J306*T306)*$L306, "")</f>
        <v>0</v>
      </c>
      <c r="AH306" s="284" t="n">
        <f aca="false">IFERROR(($J306*U306)*$L306, "")</f>
        <v>0</v>
      </c>
      <c r="AI306" s="284" t="n">
        <f aca="false">IFERROR(($J306*V306)*$L306, "")</f>
        <v>0</v>
      </c>
      <c r="AJ306" s="284" t="n">
        <f aca="false">IFERROR(($J306*W306)*$L306, "")</f>
        <v>0</v>
      </c>
      <c r="AK306" s="284" t="n">
        <f aca="false">IFERROR(($J306*X306)*$L306, "")</f>
        <v>0</v>
      </c>
      <c r="AL306" s="284" t="n">
        <f aca="false">IFERROR(($J306*Y306)*$L306, "")</f>
        <v>0</v>
      </c>
      <c r="AM306" s="285" t="n">
        <f aca="false">IFERROR(($J306*Z306)*$L306, "")</f>
        <v>0</v>
      </c>
      <c r="AN306" s="286" t="n">
        <f aca="false">IFERROR(SUMIF($AB$4:$AM$4, "RDEC", AB306:AM306), "")</f>
        <v>0</v>
      </c>
      <c r="AO306" s="286" t="n">
        <f aca="false">IFERROR(SUMIF($AB$4:$AM$4, "SME", AB306:AM306), "")</f>
        <v>0</v>
      </c>
      <c r="AP306" s="286" t="n">
        <f aca="false">IFERROR(SUMIF($AB$4:$AM$4, "De Minimis", AB306:AM306), "")</f>
        <v>0</v>
      </c>
      <c r="AQ306" s="283"/>
      <c r="AR306" s="284" t="n">
        <f aca="false">IFERROR(($J306*O306)*$M306, "")</f>
        <v>0</v>
      </c>
      <c r="AS306" s="284" t="n">
        <f aca="false">IFERROR(($J306*P306)*$M306, "")</f>
        <v>0</v>
      </c>
      <c r="AT306" s="284" t="n">
        <f aca="false">IFERROR(($J306*Q306)*$M306, "")</f>
        <v>0</v>
      </c>
      <c r="AU306" s="284" t="n">
        <f aca="false">IFERROR(($J306*R306)*$M306, "")</f>
        <v>0</v>
      </c>
      <c r="AV306" s="284" t="n">
        <f aca="false">IFERROR(($J306*S306)*$M306, "")</f>
        <v>0</v>
      </c>
      <c r="AW306" s="284" t="n">
        <f aca="false">IFERROR(($J306*T306)*$M306, "")</f>
        <v>0</v>
      </c>
      <c r="AX306" s="284" t="n">
        <f aca="false">IFERROR(($J306*U306)*$M306, "")</f>
        <v>0</v>
      </c>
      <c r="AY306" s="284" t="n">
        <f aca="false">IFERROR(($J306*V306)*$M306, "")</f>
        <v>0</v>
      </c>
      <c r="AZ306" s="284" t="n">
        <f aca="false">IFERROR(($J306*W306)*$M306, "")</f>
        <v>0</v>
      </c>
      <c r="BA306" s="284" t="n">
        <f aca="false">IFERROR(($J306*X306)*$M306, "")</f>
        <v>0</v>
      </c>
      <c r="BB306" s="284" t="n">
        <f aca="false">IFERROR(($J306*Y306)*$M306, "")</f>
        <v>0</v>
      </c>
      <c r="BC306" s="285" t="n">
        <f aca="false">IFERROR(($J306*Z306)*$M306, "")</f>
        <v>0</v>
      </c>
      <c r="BD306" s="286" t="n">
        <f aca="false">IFERROR(SUMIF($AB$4:$AM$4, "RDEC", AR306:BC306), "")</f>
        <v>0</v>
      </c>
      <c r="BE306" s="286" t="n">
        <f aca="false">IFERROR(SUMIF($AB$4:$AM$4, "SME", AR306:BC306), "")</f>
        <v>0</v>
      </c>
      <c r="BF306" s="286" t="n">
        <f aca="false">IFERROR(SUMIF($AB$4:$AM$4, "De Minimis", AR306:BC306), "")</f>
        <v>0</v>
      </c>
      <c r="BG306" s="287"/>
      <c r="BH306" s="288" t="str">
        <f aca="false">IF((SUM(O306:Z306)&gt;1),"ERROR","")</f>
        <v/>
      </c>
      <c r="BI306" s="287"/>
      <c r="BJ306" s="18" t="str">
        <f aca="false">IF(C292&gt;0, C292, "")</f>
        <v/>
      </c>
      <c r="BL306" s="200"/>
      <c r="BM306" s="200"/>
      <c r="BN306" s="200"/>
    </row>
    <row r="307" customFormat="false" ht="15" hidden="false" customHeight="true" outlineLevel="0" collapsed="false">
      <c r="B307" s="275"/>
      <c r="D307" s="276" t="n">
        <f aca="false">D291</f>
        <v>45627</v>
      </c>
      <c r="E307" s="277" t="n">
        <v>0</v>
      </c>
      <c r="F307" s="277" t="n">
        <v>0</v>
      </c>
      <c r="G307" s="277" t="n">
        <v>0</v>
      </c>
      <c r="H307" s="277" t="n">
        <v>0</v>
      </c>
      <c r="I307" s="277" t="n">
        <v>0</v>
      </c>
      <c r="J307" s="278" t="n">
        <f aca="false">E307+H307+I307</f>
        <v>0</v>
      </c>
      <c r="K307" s="204"/>
      <c r="L307" s="289" t="n">
        <v>1</v>
      </c>
      <c r="M307" s="290" t="n">
        <f aca="false">1-L307</f>
        <v>0</v>
      </c>
      <c r="N307" s="281"/>
      <c r="O307" s="291"/>
      <c r="P307" s="291"/>
      <c r="Q307" s="291"/>
      <c r="R307" s="291"/>
      <c r="S307" s="291"/>
      <c r="T307" s="291"/>
      <c r="U307" s="291"/>
      <c r="V307" s="291"/>
      <c r="W307" s="291"/>
      <c r="X307" s="291"/>
      <c r="Y307" s="291"/>
      <c r="Z307" s="291"/>
      <c r="AA307" s="283"/>
      <c r="AB307" s="292" t="n">
        <f aca="false">IFERROR(($J307*O307)*$L307, "")</f>
        <v>0</v>
      </c>
      <c r="AC307" s="292" t="n">
        <f aca="false">IFERROR(($J307*P307)*$L307, "")</f>
        <v>0</v>
      </c>
      <c r="AD307" s="292" t="n">
        <f aca="false">IFERROR(($J307*Q307)*$L307, "")</f>
        <v>0</v>
      </c>
      <c r="AE307" s="292" t="n">
        <f aca="false">IFERROR(($J307*R307)*$L307, "")</f>
        <v>0</v>
      </c>
      <c r="AF307" s="292" t="n">
        <f aca="false">IFERROR(($J307*S307)*$L307, "")</f>
        <v>0</v>
      </c>
      <c r="AG307" s="292" t="n">
        <f aca="false">IFERROR(($J307*T307)*$L307, "")</f>
        <v>0</v>
      </c>
      <c r="AH307" s="292" t="n">
        <f aca="false">IFERROR(($J307*U307)*$L307, "")</f>
        <v>0</v>
      </c>
      <c r="AI307" s="292" t="n">
        <f aca="false">IFERROR(($J307*V307)*$L307, "")</f>
        <v>0</v>
      </c>
      <c r="AJ307" s="292" t="n">
        <f aca="false">IFERROR(($J307*W307)*$L307, "")</f>
        <v>0</v>
      </c>
      <c r="AK307" s="292" t="n">
        <f aca="false">IFERROR(($J307*X307)*$L307, "")</f>
        <v>0</v>
      </c>
      <c r="AL307" s="292" t="n">
        <f aca="false">IFERROR(($J307*Y307)*$L307, "")</f>
        <v>0</v>
      </c>
      <c r="AM307" s="293" t="n">
        <f aca="false">IFERROR(($J307*Z307)*$L307, "")</f>
        <v>0</v>
      </c>
      <c r="AN307" s="294" t="n">
        <f aca="false">IFERROR(SUMIF($AB$4:$AM$4, "RDEC", AB307:AM307), "")</f>
        <v>0</v>
      </c>
      <c r="AO307" s="294" t="n">
        <f aca="false">IFERROR(SUMIF($AB$4:$AM$4, "SME", AB307:AM307), "")</f>
        <v>0</v>
      </c>
      <c r="AP307" s="294" t="n">
        <f aca="false">IFERROR(SUMIF($AB$4:$AM$4, "De Minimis", AB307:AM307), "")</f>
        <v>0</v>
      </c>
      <c r="AQ307" s="283"/>
      <c r="AR307" s="292" t="n">
        <f aca="false">IFERROR(($J307*O307)*$M307, "")</f>
        <v>0</v>
      </c>
      <c r="AS307" s="292" t="n">
        <f aca="false">IFERROR(($J307*P307)*$M307, "")</f>
        <v>0</v>
      </c>
      <c r="AT307" s="292" t="n">
        <f aca="false">IFERROR(($J307*Q307)*$M307, "")</f>
        <v>0</v>
      </c>
      <c r="AU307" s="292" t="n">
        <f aca="false">IFERROR(($J307*R307)*$M307, "")</f>
        <v>0</v>
      </c>
      <c r="AV307" s="292" t="n">
        <f aca="false">IFERROR(($J307*S307)*$M307, "")</f>
        <v>0</v>
      </c>
      <c r="AW307" s="292" t="n">
        <f aca="false">IFERROR(($J307*T307)*$M307, "")</f>
        <v>0</v>
      </c>
      <c r="AX307" s="292" t="n">
        <f aca="false">IFERROR(($J307*U307)*$M307, "")</f>
        <v>0</v>
      </c>
      <c r="AY307" s="292" t="n">
        <f aca="false">IFERROR(($J307*V307)*$M307, "")</f>
        <v>0</v>
      </c>
      <c r="AZ307" s="292" t="n">
        <f aca="false">IFERROR(($J307*W307)*$M307, "")</f>
        <v>0</v>
      </c>
      <c r="BA307" s="292" t="n">
        <f aca="false">IFERROR(($J307*X307)*$M307, "")</f>
        <v>0</v>
      </c>
      <c r="BB307" s="292" t="n">
        <f aca="false">IFERROR(($J307*Y307)*$M307, "")</f>
        <v>0</v>
      </c>
      <c r="BC307" s="293" t="n">
        <f aca="false">IFERROR(($J307*Z307)*$M307, "")</f>
        <v>0</v>
      </c>
      <c r="BD307" s="294" t="n">
        <f aca="false">IFERROR(SUMIF($AB$4:$AM$4, "RDEC", AR307:BC307), "")</f>
        <v>0</v>
      </c>
      <c r="BE307" s="294" t="n">
        <f aca="false">IFERROR(SUMIF($AB$4:$AM$4, "SME", AR307:BC307), "")</f>
        <v>0</v>
      </c>
      <c r="BF307" s="294" t="n">
        <f aca="false">IFERROR(SUMIF($AB$4:$AM$4, "De Minimis", AR307:BC307), "")</f>
        <v>0</v>
      </c>
      <c r="BG307" s="287"/>
      <c r="BH307" s="295" t="str">
        <f aca="false">IF((SUM(O307:Z307)&gt;1),"ERROR","")</f>
        <v/>
      </c>
      <c r="BI307" s="287"/>
      <c r="BJ307" s="18" t="str">
        <f aca="false">IF(C293&gt;0, C293, "")</f>
        <v/>
      </c>
      <c r="BL307" s="200"/>
      <c r="BM307" s="200"/>
      <c r="BN307" s="200"/>
    </row>
    <row r="308" customFormat="false" ht="15" hidden="false" customHeight="true" outlineLevel="0" collapsed="false">
      <c r="B308" s="296"/>
      <c r="D308" s="297" t="s">
        <v>82</v>
      </c>
      <c r="E308" s="298" t="n">
        <f aca="false">SUM(E296:E307)</f>
        <v>0</v>
      </c>
      <c r="F308" s="298" t="n">
        <f aca="false">SUM(F296:F307)</f>
        <v>0</v>
      </c>
      <c r="G308" s="298" t="n">
        <f aca="false">SUM(G296:G307)</f>
        <v>0</v>
      </c>
      <c r="H308" s="298" t="n">
        <f aca="false">SUM(H296:H307)</f>
        <v>0</v>
      </c>
      <c r="I308" s="298" t="n">
        <f aca="false">SUM(I296:I307)</f>
        <v>0</v>
      </c>
      <c r="J308" s="299" t="n">
        <f aca="false">SUM(J296:J307)</f>
        <v>0</v>
      </c>
      <c r="K308" s="300"/>
      <c r="L308" s="301" t="n">
        <f aca="false">AVERAGE(L296:L307)</f>
        <v>1</v>
      </c>
      <c r="M308" s="301" t="n">
        <f aca="false">AVERAGE(M296:M307)</f>
        <v>0</v>
      </c>
      <c r="N308" s="302"/>
      <c r="O308" s="290" t="n">
        <f aca="false">IF(SUM(O296:O307)&gt;0,((AB308+AR308)/J308),0)</f>
        <v>0</v>
      </c>
      <c r="P308" s="290" t="n">
        <f aca="false">IF(SUM(P296:P307)&gt;0,((AC308+AS308)/J308),0)</f>
        <v>0</v>
      </c>
      <c r="Q308" s="290" t="n">
        <f aca="false">IF(SUM(Q296:Q307)&gt;0,((AD308+AT308)/J308),0)</f>
        <v>0</v>
      </c>
      <c r="R308" s="290" t="n">
        <f aca="false">IF(SUM(R296:R307)&gt;0,((AE308+AU308)/J308),0)</f>
        <v>0</v>
      </c>
      <c r="S308" s="290" t="n">
        <f aca="false">IF(SUM(S296:S307)&gt;0,((AF308+AV308)/J308),0)</f>
        <v>0</v>
      </c>
      <c r="T308" s="290" t="n">
        <f aca="false">IF(SUM(T296:T307)&gt;0,((AG308+AW308)/J308),0)</f>
        <v>0</v>
      </c>
      <c r="U308" s="290" t="n">
        <f aca="false">IF(SUM(U296:U307)&gt;0,((AH308+AX308)/J308),0)</f>
        <v>0</v>
      </c>
      <c r="V308" s="290" t="n">
        <f aca="false">IF(SUM(V296:V307)&gt;0,((AI308+AY308)/J308),0)</f>
        <v>0</v>
      </c>
      <c r="W308" s="290" t="n">
        <f aca="false">IF(SUM(W296:W307)&gt;0,((AJ308+AZ308)/J308),0)</f>
        <v>0</v>
      </c>
      <c r="X308" s="290" t="n">
        <f aca="false">IF(SUM(X296:X307)&gt;0,((AK308+BA308)/J308),0)</f>
        <v>0</v>
      </c>
      <c r="Y308" s="290" t="n">
        <f aca="false">IF(SUM(Y296:Y307)&gt;0,((AL308+BB308)/J308),0)</f>
        <v>0</v>
      </c>
      <c r="Z308" s="290" t="n">
        <f aca="false">IF(SUM(Z296:Z307)&gt;0,((AM308+BC308)/J308),0)</f>
        <v>0</v>
      </c>
      <c r="AA308" s="303"/>
      <c r="AB308" s="292" t="n">
        <f aca="false">SUM(AB296:AB307)</f>
        <v>0</v>
      </c>
      <c r="AC308" s="304" t="n">
        <f aca="false">SUM(AC296:AC307)</f>
        <v>0</v>
      </c>
      <c r="AD308" s="304" t="n">
        <f aca="false">SUM(AD296:AD307)</f>
        <v>0</v>
      </c>
      <c r="AE308" s="304" t="n">
        <f aca="false">SUM(AE296:AE307)</f>
        <v>0</v>
      </c>
      <c r="AF308" s="304" t="n">
        <f aca="false">SUM(AF296:AF307)</f>
        <v>0</v>
      </c>
      <c r="AG308" s="304" t="n">
        <f aca="false">SUM(AG296:AG307)</f>
        <v>0</v>
      </c>
      <c r="AH308" s="304" t="n">
        <f aca="false">SUM(AH296:AH307)</f>
        <v>0</v>
      </c>
      <c r="AI308" s="304" t="n">
        <f aca="false">SUM(AI296:AI307)</f>
        <v>0</v>
      </c>
      <c r="AJ308" s="304" t="n">
        <f aca="false">SUM(AJ296:AJ307)</f>
        <v>0</v>
      </c>
      <c r="AK308" s="304" t="n">
        <f aca="false">SUM(AK296:AK307)</f>
        <v>0</v>
      </c>
      <c r="AL308" s="304" t="n">
        <f aca="false">SUM(AL296:AL307)</f>
        <v>0</v>
      </c>
      <c r="AM308" s="304" t="n">
        <f aca="false">SUM(AM296:AM307)</f>
        <v>0</v>
      </c>
      <c r="AN308" s="305" t="n">
        <f aca="false">SUM(AN296:AN307)</f>
        <v>0</v>
      </c>
      <c r="AO308" s="305" t="n">
        <f aca="false">SUM(AO296:AO307)</f>
        <v>0</v>
      </c>
      <c r="AP308" s="305" t="n">
        <f aca="false">SUM(AP296:AP307)</f>
        <v>0</v>
      </c>
      <c r="AQ308" s="303"/>
      <c r="AR308" s="292" t="n">
        <f aca="false">SUM(AR296:AR307)</f>
        <v>0</v>
      </c>
      <c r="AS308" s="304" t="n">
        <f aca="false">SUM(AS296:AS307)</f>
        <v>0</v>
      </c>
      <c r="AT308" s="304" t="n">
        <f aca="false">SUM(AT296:AT307)</f>
        <v>0</v>
      </c>
      <c r="AU308" s="304" t="n">
        <f aca="false">SUM(AU296:AU307)</f>
        <v>0</v>
      </c>
      <c r="AV308" s="304" t="n">
        <f aca="false">SUM(AV296:AV307)</f>
        <v>0</v>
      </c>
      <c r="AW308" s="304" t="n">
        <f aca="false">SUM(AW296:AW307)</f>
        <v>0</v>
      </c>
      <c r="AX308" s="304" t="n">
        <f aca="false">SUM(AX296:AX307)</f>
        <v>0</v>
      </c>
      <c r="AY308" s="304" t="n">
        <f aca="false">SUM(AY296:AY307)</f>
        <v>0</v>
      </c>
      <c r="AZ308" s="304" t="n">
        <f aca="false">SUM(AZ296:AZ307)</f>
        <v>0</v>
      </c>
      <c r="BA308" s="304" t="n">
        <f aca="false">SUM(BA296:BA307)</f>
        <v>0</v>
      </c>
      <c r="BB308" s="304" t="n">
        <f aca="false">SUM(BB296:BB307)</f>
        <v>0</v>
      </c>
      <c r="BC308" s="304" t="n">
        <f aca="false">SUM(BC296:BC307)</f>
        <v>0</v>
      </c>
      <c r="BD308" s="305" t="n">
        <f aca="false">SUM(BD296:BD307)</f>
        <v>0</v>
      </c>
      <c r="BE308" s="305" t="n">
        <f aca="false">SUM(BE296:BE307)</f>
        <v>0</v>
      </c>
      <c r="BF308" s="305" t="n">
        <f aca="false">SUM(BF296:BF307)</f>
        <v>0</v>
      </c>
      <c r="BG308" s="303"/>
      <c r="BH308" s="306"/>
      <c r="BI308" s="303"/>
      <c r="BJ308" s="307" t="str">
        <f aca="false">IF(C294&gt;0, C294, "")</f>
        <v>TBA</v>
      </c>
      <c r="BK308" s="18" t="s">
        <v>234</v>
      </c>
      <c r="BL308" s="200" t="n">
        <f aca="false">IF($BK308="Y",J308,0)</f>
        <v>0</v>
      </c>
      <c r="BM308" s="200" t="n">
        <f aca="false">IF(BK308="Y", AN308,0)</f>
        <v>0</v>
      </c>
      <c r="BN308" s="200" t="n">
        <f aca="false">IF((BK308="Y"),AO308,0)</f>
        <v>0</v>
      </c>
    </row>
    <row r="309" customFormat="false" ht="15" hidden="false" customHeight="true" outlineLevel="0" collapsed="false">
      <c r="B309" s="296"/>
      <c r="D309" s="297"/>
      <c r="E309" s="277"/>
      <c r="F309" s="277"/>
      <c r="G309" s="277"/>
      <c r="H309" s="277"/>
      <c r="I309" s="277"/>
      <c r="J309" s="300"/>
      <c r="K309" s="300"/>
      <c r="L309" s="302"/>
      <c r="M309" s="302"/>
      <c r="N309" s="302"/>
      <c r="O309" s="308"/>
      <c r="P309" s="308"/>
      <c r="Q309" s="308"/>
      <c r="R309" s="308"/>
      <c r="S309" s="308"/>
      <c r="T309" s="308"/>
      <c r="U309" s="308"/>
      <c r="V309" s="308"/>
      <c r="W309" s="308"/>
      <c r="X309" s="308"/>
      <c r="Y309" s="308"/>
      <c r="Z309" s="308"/>
      <c r="AA309" s="303"/>
      <c r="AB309" s="303"/>
      <c r="AC309" s="303"/>
      <c r="AD309" s="303"/>
      <c r="AE309" s="303"/>
      <c r="AF309" s="303"/>
      <c r="AG309" s="303"/>
      <c r="AH309" s="303"/>
      <c r="AI309" s="303"/>
      <c r="AJ309" s="303"/>
      <c r="AK309" s="303"/>
      <c r="AL309" s="303"/>
      <c r="AM309" s="303"/>
      <c r="AN309" s="303"/>
      <c r="AO309" s="303"/>
      <c r="AP309" s="303"/>
      <c r="AQ309" s="303"/>
      <c r="AR309" s="303"/>
      <c r="AS309" s="303"/>
      <c r="AT309" s="303"/>
      <c r="AU309" s="303"/>
      <c r="AV309" s="303"/>
      <c r="AW309" s="303"/>
      <c r="AX309" s="303"/>
      <c r="AY309" s="303"/>
      <c r="AZ309" s="303"/>
      <c r="BA309" s="303"/>
      <c r="BB309" s="303"/>
      <c r="BC309" s="303"/>
      <c r="BD309" s="303"/>
      <c r="BE309" s="303"/>
      <c r="BF309" s="303"/>
      <c r="BG309" s="303"/>
      <c r="BH309" s="303"/>
      <c r="BI309" s="303"/>
      <c r="BJ309" s="307" t="str">
        <f aca="false">IF(C296&gt;0, C296, "")</f>
        <v/>
      </c>
      <c r="BL309" s="200"/>
      <c r="BM309" s="200"/>
      <c r="BN309" s="200"/>
    </row>
    <row r="310" customFormat="false" ht="15" hidden="false" customHeight="true" outlineLevel="0" collapsed="false">
      <c r="A310" s="198" t="n">
        <f aca="false">A294+1</f>
        <v>20</v>
      </c>
      <c r="B310" s="266" t="s">
        <v>253</v>
      </c>
      <c r="C310" s="266" t="s">
        <v>253</v>
      </c>
      <c r="D310" s="267"/>
      <c r="E310" s="242"/>
      <c r="F310" s="242"/>
      <c r="G310" s="242"/>
      <c r="H310" s="242"/>
      <c r="I310" s="242"/>
      <c r="J310" s="241"/>
      <c r="K310" s="241"/>
      <c r="L310" s="241"/>
      <c r="M310" s="241"/>
      <c r="N310" s="241"/>
      <c r="O310" s="268"/>
      <c r="P310" s="268"/>
      <c r="Q310" s="268"/>
      <c r="R310" s="268"/>
      <c r="S310" s="268"/>
      <c r="T310" s="268"/>
      <c r="U310" s="268"/>
      <c r="V310" s="268"/>
      <c r="W310" s="268"/>
      <c r="X310" s="268"/>
      <c r="Y310" s="268"/>
      <c r="Z310" s="268"/>
      <c r="AA310" s="268"/>
      <c r="AB310" s="268"/>
      <c r="AC310" s="268"/>
      <c r="AD310" s="268"/>
      <c r="AE310" s="268"/>
      <c r="AF310" s="268"/>
      <c r="AG310" s="268"/>
      <c r="AH310" s="268"/>
      <c r="AI310" s="268"/>
      <c r="AJ310" s="268"/>
      <c r="AK310" s="268"/>
      <c r="AL310" s="268"/>
      <c r="AM310" s="268"/>
      <c r="AN310" s="268"/>
      <c r="AO310" s="268"/>
      <c r="AP310" s="268"/>
      <c r="AQ310" s="268"/>
      <c r="AR310" s="268"/>
      <c r="AS310" s="268"/>
      <c r="AT310" s="268"/>
      <c r="AU310" s="268"/>
      <c r="AV310" s="268"/>
      <c r="AW310" s="268"/>
      <c r="AX310" s="268"/>
      <c r="AY310" s="268"/>
      <c r="AZ310" s="268"/>
      <c r="BA310" s="268"/>
      <c r="BB310" s="268"/>
      <c r="BC310" s="268"/>
      <c r="BD310" s="268"/>
      <c r="BE310" s="268"/>
      <c r="BF310" s="268"/>
      <c r="BG310" s="268"/>
      <c r="BH310" s="268"/>
      <c r="BI310" s="268"/>
      <c r="BJ310" s="18" t="str">
        <f aca="false">IF(C297&gt;0, C297, "")</f>
        <v/>
      </c>
      <c r="BL310" s="200"/>
      <c r="BM310" s="200"/>
      <c r="BN310" s="200"/>
    </row>
    <row r="311" customFormat="false" ht="7.5" hidden="false" customHeight="true" outlineLevel="0" collapsed="false">
      <c r="A311" s="198"/>
      <c r="B311" s="266"/>
      <c r="C311" s="266"/>
      <c r="D311" s="267"/>
      <c r="E311" s="242"/>
      <c r="F311" s="242"/>
      <c r="G311" s="242"/>
      <c r="H311" s="242"/>
      <c r="I311" s="242"/>
      <c r="J311" s="241"/>
      <c r="K311" s="241"/>
      <c r="L311" s="269"/>
      <c r="M311" s="269"/>
      <c r="N311" s="270"/>
      <c r="O311" s="269"/>
      <c r="P311" s="269"/>
      <c r="Q311" s="269"/>
      <c r="R311" s="269"/>
      <c r="S311" s="269"/>
      <c r="T311" s="269"/>
      <c r="U311" s="269"/>
      <c r="V311" s="269"/>
      <c r="W311" s="269"/>
      <c r="X311" s="269"/>
      <c r="Y311" s="269"/>
      <c r="Z311" s="269"/>
      <c r="AA311" s="268"/>
      <c r="AB311" s="271"/>
      <c r="AC311" s="271"/>
      <c r="AD311" s="271"/>
      <c r="AE311" s="271"/>
      <c r="AF311" s="271"/>
      <c r="AG311" s="271"/>
      <c r="AH311" s="271"/>
      <c r="AI311" s="271"/>
      <c r="AJ311" s="271"/>
      <c r="AK311" s="271"/>
      <c r="AL311" s="271"/>
      <c r="AM311" s="272"/>
      <c r="AN311" s="273"/>
      <c r="AO311" s="273"/>
      <c r="AP311" s="273"/>
      <c r="AQ311" s="268"/>
      <c r="AR311" s="271"/>
      <c r="AS311" s="271"/>
      <c r="AT311" s="271"/>
      <c r="AU311" s="271"/>
      <c r="AV311" s="271"/>
      <c r="AW311" s="271"/>
      <c r="AX311" s="271"/>
      <c r="AY311" s="271"/>
      <c r="AZ311" s="271"/>
      <c r="BA311" s="271"/>
      <c r="BB311" s="271"/>
      <c r="BC311" s="272"/>
      <c r="BD311" s="273"/>
      <c r="BE311" s="273"/>
      <c r="BF311" s="273"/>
      <c r="BG311" s="268"/>
      <c r="BH311" s="274"/>
      <c r="BI311" s="268"/>
      <c r="BL311" s="200"/>
      <c r="BM311" s="200"/>
      <c r="BN311" s="200"/>
    </row>
    <row r="312" customFormat="false" ht="15" hidden="false" customHeight="true" outlineLevel="0" collapsed="false">
      <c r="B312" s="275"/>
      <c r="D312" s="276" t="n">
        <f aca="false">D296</f>
        <v>45292</v>
      </c>
      <c r="E312" s="277" t="n">
        <v>0</v>
      </c>
      <c r="F312" s="277" t="n">
        <v>0</v>
      </c>
      <c r="G312" s="277" t="n">
        <v>0</v>
      </c>
      <c r="H312" s="277" t="n">
        <v>0</v>
      </c>
      <c r="I312" s="277" t="n">
        <v>0</v>
      </c>
      <c r="J312" s="278" t="n">
        <f aca="false">E312+H312+I312</f>
        <v>0</v>
      </c>
      <c r="K312" s="204"/>
      <c r="L312" s="279" t="n">
        <v>1</v>
      </c>
      <c r="M312" s="280" t="n">
        <f aca="false">1-L312</f>
        <v>0</v>
      </c>
      <c r="N312" s="281"/>
      <c r="O312" s="282"/>
      <c r="P312" s="282"/>
      <c r="Q312" s="282"/>
      <c r="R312" s="282"/>
      <c r="S312" s="282"/>
      <c r="T312" s="282"/>
      <c r="U312" s="282"/>
      <c r="V312" s="282"/>
      <c r="W312" s="282"/>
      <c r="X312" s="282"/>
      <c r="Y312" s="282"/>
      <c r="Z312" s="282"/>
      <c r="AA312" s="283"/>
      <c r="AB312" s="284" t="n">
        <f aca="false">IFERROR(($J312*O312)*$L312, "")</f>
        <v>0</v>
      </c>
      <c r="AC312" s="284" t="n">
        <f aca="false">IFERROR(($J312*P312)*$L312, "")</f>
        <v>0</v>
      </c>
      <c r="AD312" s="284" t="n">
        <f aca="false">IFERROR(($J312*Q312)*$L312, "")</f>
        <v>0</v>
      </c>
      <c r="AE312" s="284" t="n">
        <f aca="false">IFERROR(($J312*R312)*$L312, "")</f>
        <v>0</v>
      </c>
      <c r="AF312" s="284" t="n">
        <f aca="false">IFERROR(($J312*S312)*$L312, "")</f>
        <v>0</v>
      </c>
      <c r="AG312" s="284" t="n">
        <f aca="false">IFERROR(($J312*T312)*$L312, "")</f>
        <v>0</v>
      </c>
      <c r="AH312" s="284" t="n">
        <f aca="false">IFERROR(($J312*U312)*$L312, "")</f>
        <v>0</v>
      </c>
      <c r="AI312" s="284" t="n">
        <f aca="false">IFERROR(($J312*V312)*$L312, "")</f>
        <v>0</v>
      </c>
      <c r="AJ312" s="284" t="n">
        <f aca="false">IFERROR(($J312*W312)*$L312, "")</f>
        <v>0</v>
      </c>
      <c r="AK312" s="284" t="n">
        <f aca="false">IFERROR(($J312*X312)*$L312, "")</f>
        <v>0</v>
      </c>
      <c r="AL312" s="284" t="n">
        <f aca="false">IFERROR(($J312*Y312)*$L312, "")</f>
        <v>0</v>
      </c>
      <c r="AM312" s="285" t="n">
        <f aca="false">IFERROR(($J312*Z312)*$L312, "")</f>
        <v>0</v>
      </c>
      <c r="AN312" s="286" t="n">
        <f aca="false">IFERROR(SUMIF($AB$4:$AM$4, "RDEC", AB312:AM312), "")</f>
        <v>0</v>
      </c>
      <c r="AO312" s="286" t="n">
        <f aca="false">IFERROR(SUMIF($AB$4:$AM$4, "SME", AB312:AM312), "")</f>
        <v>0</v>
      </c>
      <c r="AP312" s="286" t="n">
        <f aca="false">IFERROR(SUMIF($AB$4:$AM$4, "De Minimis", AB312:AM312), "")</f>
        <v>0</v>
      </c>
      <c r="AQ312" s="283"/>
      <c r="AR312" s="284" t="n">
        <f aca="false">IFERROR(($J312*O312)*$M312, "")</f>
        <v>0</v>
      </c>
      <c r="AS312" s="284" t="n">
        <f aca="false">IFERROR(($J312*P312)*$M312, "")</f>
        <v>0</v>
      </c>
      <c r="AT312" s="284" t="n">
        <f aca="false">IFERROR(($J312*Q312)*$M312, "")</f>
        <v>0</v>
      </c>
      <c r="AU312" s="284" t="n">
        <f aca="false">IFERROR(($J312*R312)*$M312, "")</f>
        <v>0</v>
      </c>
      <c r="AV312" s="284" t="n">
        <f aca="false">IFERROR(($J312*S312)*$M312, "")</f>
        <v>0</v>
      </c>
      <c r="AW312" s="284" t="n">
        <f aca="false">IFERROR(($J312*T312)*$M312, "")</f>
        <v>0</v>
      </c>
      <c r="AX312" s="284" t="n">
        <f aca="false">IFERROR(($J312*U312)*$M312, "")</f>
        <v>0</v>
      </c>
      <c r="AY312" s="284" t="n">
        <f aca="false">IFERROR(($J312*V312)*$M312, "")</f>
        <v>0</v>
      </c>
      <c r="AZ312" s="284" t="n">
        <f aca="false">IFERROR(($J312*W312)*$M312, "")</f>
        <v>0</v>
      </c>
      <c r="BA312" s="284" t="n">
        <f aca="false">IFERROR(($J312*X312)*$M312, "")</f>
        <v>0</v>
      </c>
      <c r="BB312" s="284" t="n">
        <f aca="false">IFERROR(($J312*Y312)*$M312, "")</f>
        <v>0</v>
      </c>
      <c r="BC312" s="285" t="n">
        <f aca="false">IFERROR(($J312*Z312)*$M312, "")</f>
        <v>0</v>
      </c>
      <c r="BD312" s="286" t="n">
        <f aca="false">IFERROR(SUMIF($AB$4:$AM$4, "RDEC", AR312:BC312), "")</f>
        <v>0</v>
      </c>
      <c r="BE312" s="286" t="n">
        <f aca="false">IFERROR(SUMIF($AB$4:$AM$4, "SME", AR312:BC312), "")</f>
        <v>0</v>
      </c>
      <c r="BF312" s="286" t="n">
        <f aca="false">IFERROR(SUMIF($AB$4:$AM$4, "De Minimis", AR312:BC312), "")</f>
        <v>0</v>
      </c>
      <c r="BG312" s="287"/>
      <c r="BH312" s="288" t="str">
        <f aca="false">IF((SUM(O312:Z312)&gt;1),"ERROR","")</f>
        <v/>
      </c>
      <c r="BI312" s="287"/>
      <c r="BJ312" s="18" t="str">
        <f aca="false">IF(C298&gt;0, C298, "")</f>
        <v/>
      </c>
      <c r="BL312" s="200"/>
      <c r="BM312" s="200"/>
      <c r="BN312" s="200"/>
    </row>
    <row r="313" customFormat="false" ht="15" hidden="false" customHeight="true" outlineLevel="0" collapsed="false">
      <c r="B313" s="275"/>
      <c r="D313" s="276" t="n">
        <f aca="false">D297</f>
        <v>45323</v>
      </c>
      <c r="E313" s="277" t="n">
        <v>0</v>
      </c>
      <c r="F313" s="277" t="n">
        <v>0</v>
      </c>
      <c r="G313" s="277" t="n">
        <v>0</v>
      </c>
      <c r="H313" s="277" t="n">
        <v>0</v>
      </c>
      <c r="I313" s="277" t="n">
        <v>0</v>
      </c>
      <c r="J313" s="278" t="n">
        <f aca="false">E313+H313+I313</f>
        <v>0</v>
      </c>
      <c r="K313" s="204"/>
      <c r="L313" s="279" t="n">
        <v>1</v>
      </c>
      <c r="M313" s="280" t="n">
        <f aca="false">1-L313</f>
        <v>0</v>
      </c>
      <c r="N313" s="281"/>
      <c r="O313" s="282"/>
      <c r="P313" s="282"/>
      <c r="Q313" s="282"/>
      <c r="R313" s="282"/>
      <c r="S313" s="282"/>
      <c r="T313" s="282"/>
      <c r="U313" s="282"/>
      <c r="V313" s="282"/>
      <c r="W313" s="282"/>
      <c r="X313" s="282"/>
      <c r="Y313" s="282"/>
      <c r="Z313" s="282"/>
      <c r="AA313" s="283"/>
      <c r="AB313" s="284" t="n">
        <f aca="false">IFERROR(($J313*O313)*$L313, "")</f>
        <v>0</v>
      </c>
      <c r="AC313" s="284" t="n">
        <f aca="false">IFERROR(($J313*P313)*$L313, "")</f>
        <v>0</v>
      </c>
      <c r="AD313" s="284" t="n">
        <f aca="false">IFERROR(($J313*Q313)*$L313, "")</f>
        <v>0</v>
      </c>
      <c r="AE313" s="284" t="n">
        <f aca="false">IFERROR(($J313*R313)*$L313, "")</f>
        <v>0</v>
      </c>
      <c r="AF313" s="284" t="n">
        <f aca="false">IFERROR(($J313*S313)*$L313, "")</f>
        <v>0</v>
      </c>
      <c r="AG313" s="284" t="n">
        <f aca="false">IFERROR(($J313*T313)*$L313, "")</f>
        <v>0</v>
      </c>
      <c r="AH313" s="284" t="n">
        <f aca="false">IFERROR(($J313*U313)*$L313, "")</f>
        <v>0</v>
      </c>
      <c r="AI313" s="284" t="n">
        <f aca="false">IFERROR(($J313*V313)*$L313, "")</f>
        <v>0</v>
      </c>
      <c r="AJ313" s="284" t="n">
        <f aca="false">IFERROR(($J313*W313)*$L313, "")</f>
        <v>0</v>
      </c>
      <c r="AK313" s="284" t="n">
        <f aca="false">IFERROR(($J313*X313)*$L313, "")</f>
        <v>0</v>
      </c>
      <c r="AL313" s="284" t="n">
        <f aca="false">IFERROR(($J313*Y313)*$L313, "")</f>
        <v>0</v>
      </c>
      <c r="AM313" s="285" t="n">
        <f aca="false">IFERROR(($J313*Z313)*$L313, "")</f>
        <v>0</v>
      </c>
      <c r="AN313" s="286" t="n">
        <f aca="false">IFERROR(SUMIF($AB$4:$AM$4, "RDEC", AB313:AM313), "")</f>
        <v>0</v>
      </c>
      <c r="AO313" s="286" t="n">
        <f aca="false">IFERROR(SUMIF($AB$4:$AM$4, "SME", AB313:AM313), "")</f>
        <v>0</v>
      </c>
      <c r="AP313" s="286" t="n">
        <f aca="false">IFERROR(SUMIF($AB$4:$AM$4, "De Minimis", AB313:AM313), "")</f>
        <v>0</v>
      </c>
      <c r="AQ313" s="283"/>
      <c r="AR313" s="284" t="n">
        <f aca="false">IFERROR(($J313*O313)*$M313, "")</f>
        <v>0</v>
      </c>
      <c r="AS313" s="284" t="n">
        <f aca="false">IFERROR(($J313*P313)*$M313, "")</f>
        <v>0</v>
      </c>
      <c r="AT313" s="284" t="n">
        <f aca="false">IFERROR(($J313*Q313)*$M313, "")</f>
        <v>0</v>
      </c>
      <c r="AU313" s="284" t="n">
        <f aca="false">IFERROR(($J313*R313)*$M313, "")</f>
        <v>0</v>
      </c>
      <c r="AV313" s="284" t="n">
        <f aca="false">IFERROR(($J313*S313)*$M313, "")</f>
        <v>0</v>
      </c>
      <c r="AW313" s="284" t="n">
        <f aca="false">IFERROR(($J313*T313)*$M313, "")</f>
        <v>0</v>
      </c>
      <c r="AX313" s="284" t="n">
        <f aca="false">IFERROR(($J313*U313)*$M313, "")</f>
        <v>0</v>
      </c>
      <c r="AY313" s="284" t="n">
        <f aca="false">IFERROR(($J313*V313)*$M313, "")</f>
        <v>0</v>
      </c>
      <c r="AZ313" s="284" t="n">
        <f aca="false">IFERROR(($J313*W313)*$M313, "")</f>
        <v>0</v>
      </c>
      <c r="BA313" s="284" t="n">
        <f aca="false">IFERROR(($J313*X313)*$M313, "")</f>
        <v>0</v>
      </c>
      <c r="BB313" s="284" t="n">
        <f aca="false">IFERROR(($J313*Y313)*$M313, "")</f>
        <v>0</v>
      </c>
      <c r="BC313" s="285" t="n">
        <f aca="false">IFERROR(($J313*Z313)*$M313, "")</f>
        <v>0</v>
      </c>
      <c r="BD313" s="286" t="n">
        <f aca="false">IFERROR(SUMIF($AB$4:$AM$4, "RDEC", AR313:BC313), "")</f>
        <v>0</v>
      </c>
      <c r="BE313" s="286" t="n">
        <f aca="false">IFERROR(SUMIF($AB$4:$AM$4, "SME", AR313:BC313), "")</f>
        <v>0</v>
      </c>
      <c r="BF313" s="286" t="n">
        <f aca="false">IFERROR(SUMIF($AB$4:$AM$4, "De Minimis", AR313:BC313), "")</f>
        <v>0</v>
      </c>
      <c r="BG313" s="287"/>
      <c r="BH313" s="288" t="str">
        <f aca="false">IF((SUM(O313:Z313)&gt;1),"ERROR","")</f>
        <v/>
      </c>
      <c r="BI313" s="287"/>
      <c r="BJ313" s="18" t="str">
        <f aca="false">IF(C299&gt;0, C299, "")</f>
        <v/>
      </c>
      <c r="BL313" s="200"/>
      <c r="BM313" s="200"/>
      <c r="BN313" s="200"/>
    </row>
    <row r="314" customFormat="false" ht="15" hidden="false" customHeight="true" outlineLevel="0" collapsed="false">
      <c r="B314" s="275"/>
      <c r="D314" s="276" t="n">
        <f aca="false">D298</f>
        <v>45352</v>
      </c>
      <c r="E314" s="277" t="n">
        <v>0</v>
      </c>
      <c r="F314" s="277" t="n">
        <v>0</v>
      </c>
      <c r="G314" s="277" t="n">
        <v>0</v>
      </c>
      <c r="H314" s="277" t="n">
        <v>0</v>
      </c>
      <c r="I314" s="277" t="n">
        <v>0</v>
      </c>
      <c r="J314" s="278" t="n">
        <f aca="false">E314+H314+I314</f>
        <v>0</v>
      </c>
      <c r="K314" s="204"/>
      <c r="L314" s="279" t="n">
        <v>1</v>
      </c>
      <c r="M314" s="280" t="n">
        <f aca="false">1-L314</f>
        <v>0</v>
      </c>
      <c r="N314" s="281"/>
      <c r="O314" s="282"/>
      <c r="P314" s="282"/>
      <c r="Q314" s="282"/>
      <c r="R314" s="282"/>
      <c r="S314" s="282"/>
      <c r="T314" s="282"/>
      <c r="U314" s="282"/>
      <c r="V314" s="282"/>
      <c r="W314" s="282"/>
      <c r="X314" s="282"/>
      <c r="Y314" s="282"/>
      <c r="Z314" s="282"/>
      <c r="AA314" s="283"/>
      <c r="AB314" s="284" t="n">
        <f aca="false">IFERROR(($J314*O314)*$L314, "")</f>
        <v>0</v>
      </c>
      <c r="AC314" s="284" t="n">
        <f aca="false">IFERROR(($J314*P314)*$L314, "")</f>
        <v>0</v>
      </c>
      <c r="AD314" s="284" t="n">
        <f aca="false">IFERROR(($J314*Q314)*$L314, "")</f>
        <v>0</v>
      </c>
      <c r="AE314" s="284" t="n">
        <f aca="false">IFERROR(($J314*R314)*$L314, "")</f>
        <v>0</v>
      </c>
      <c r="AF314" s="284" t="n">
        <f aca="false">IFERROR(($J314*S314)*$L314, "")</f>
        <v>0</v>
      </c>
      <c r="AG314" s="284" t="n">
        <f aca="false">IFERROR(($J314*T314)*$L314, "")</f>
        <v>0</v>
      </c>
      <c r="AH314" s="284" t="n">
        <f aca="false">IFERROR(($J314*U314)*$L314, "")</f>
        <v>0</v>
      </c>
      <c r="AI314" s="284" t="n">
        <f aca="false">IFERROR(($J314*V314)*$L314, "")</f>
        <v>0</v>
      </c>
      <c r="AJ314" s="284" t="n">
        <f aca="false">IFERROR(($J314*W314)*$L314, "")</f>
        <v>0</v>
      </c>
      <c r="AK314" s="284" t="n">
        <f aca="false">IFERROR(($J314*X314)*$L314, "")</f>
        <v>0</v>
      </c>
      <c r="AL314" s="284" t="n">
        <f aca="false">IFERROR(($J314*Y314)*$L314, "")</f>
        <v>0</v>
      </c>
      <c r="AM314" s="285" t="n">
        <f aca="false">IFERROR(($J314*Z314)*$L314, "")</f>
        <v>0</v>
      </c>
      <c r="AN314" s="286" t="n">
        <f aca="false">IFERROR(SUMIF($AB$4:$AM$4, "RDEC", AB314:AM314), "")</f>
        <v>0</v>
      </c>
      <c r="AO314" s="286" t="n">
        <f aca="false">IFERROR(SUMIF($AB$4:$AM$4, "SME", AB314:AM314), "")</f>
        <v>0</v>
      </c>
      <c r="AP314" s="286" t="n">
        <f aca="false">IFERROR(SUMIF($AB$4:$AM$4, "De Minimis", AB314:AM314), "")</f>
        <v>0</v>
      </c>
      <c r="AQ314" s="283"/>
      <c r="AR314" s="284" t="n">
        <f aca="false">IFERROR(($J314*O314)*$M314, "")</f>
        <v>0</v>
      </c>
      <c r="AS314" s="284" t="n">
        <f aca="false">IFERROR(($J314*P314)*$M314, "")</f>
        <v>0</v>
      </c>
      <c r="AT314" s="284" t="n">
        <f aca="false">IFERROR(($J314*Q314)*$M314, "")</f>
        <v>0</v>
      </c>
      <c r="AU314" s="284" t="n">
        <f aca="false">IFERROR(($J314*R314)*$M314, "")</f>
        <v>0</v>
      </c>
      <c r="AV314" s="284" t="n">
        <f aca="false">IFERROR(($J314*S314)*$M314, "")</f>
        <v>0</v>
      </c>
      <c r="AW314" s="284" t="n">
        <f aca="false">IFERROR(($J314*T314)*$M314, "")</f>
        <v>0</v>
      </c>
      <c r="AX314" s="284" t="n">
        <f aca="false">IFERROR(($J314*U314)*$M314, "")</f>
        <v>0</v>
      </c>
      <c r="AY314" s="284" t="n">
        <f aca="false">IFERROR(($J314*V314)*$M314, "")</f>
        <v>0</v>
      </c>
      <c r="AZ314" s="284" t="n">
        <f aca="false">IFERROR(($J314*W314)*$M314, "")</f>
        <v>0</v>
      </c>
      <c r="BA314" s="284" t="n">
        <f aca="false">IFERROR(($J314*X314)*$M314, "")</f>
        <v>0</v>
      </c>
      <c r="BB314" s="284" t="n">
        <f aca="false">IFERROR(($J314*Y314)*$M314, "")</f>
        <v>0</v>
      </c>
      <c r="BC314" s="285" t="n">
        <f aca="false">IFERROR(($J314*Z314)*$M314, "")</f>
        <v>0</v>
      </c>
      <c r="BD314" s="286" t="n">
        <f aca="false">IFERROR(SUMIF($AB$4:$AM$4, "RDEC", AR314:BC314), "")</f>
        <v>0</v>
      </c>
      <c r="BE314" s="286" t="n">
        <f aca="false">IFERROR(SUMIF($AB$4:$AM$4, "SME", AR314:BC314), "")</f>
        <v>0</v>
      </c>
      <c r="BF314" s="286" t="n">
        <f aca="false">IFERROR(SUMIF($AB$4:$AM$4, "De Minimis", AR314:BC314), "")</f>
        <v>0</v>
      </c>
      <c r="BG314" s="287"/>
      <c r="BH314" s="288" t="str">
        <f aca="false">IF((SUM(O314:Z314)&gt;1),"ERROR","")</f>
        <v/>
      </c>
      <c r="BI314" s="287"/>
      <c r="BJ314" s="18" t="str">
        <f aca="false">IF(C300&gt;0, C300, "")</f>
        <v/>
      </c>
      <c r="BL314" s="200"/>
      <c r="BM314" s="200"/>
      <c r="BN314" s="200"/>
    </row>
    <row r="315" customFormat="false" ht="15" hidden="false" customHeight="true" outlineLevel="0" collapsed="false">
      <c r="B315" s="275"/>
      <c r="D315" s="276" t="n">
        <f aca="false">D299</f>
        <v>45383</v>
      </c>
      <c r="E315" s="277" t="n">
        <v>0</v>
      </c>
      <c r="F315" s="277" t="n">
        <v>0</v>
      </c>
      <c r="G315" s="277" t="n">
        <v>0</v>
      </c>
      <c r="H315" s="277" t="n">
        <v>0</v>
      </c>
      <c r="I315" s="277" t="n">
        <v>0</v>
      </c>
      <c r="J315" s="278" t="n">
        <f aca="false">E315+H315+I315</f>
        <v>0</v>
      </c>
      <c r="K315" s="204"/>
      <c r="L315" s="279" t="n">
        <v>1</v>
      </c>
      <c r="M315" s="280" t="n">
        <f aca="false">1-L315</f>
        <v>0</v>
      </c>
      <c r="N315" s="281"/>
      <c r="O315" s="282"/>
      <c r="P315" s="282"/>
      <c r="Q315" s="282"/>
      <c r="R315" s="282"/>
      <c r="S315" s="282"/>
      <c r="T315" s="282"/>
      <c r="U315" s="282"/>
      <c r="V315" s="282"/>
      <c r="W315" s="282"/>
      <c r="X315" s="282"/>
      <c r="Y315" s="282"/>
      <c r="Z315" s="282"/>
      <c r="AA315" s="283"/>
      <c r="AB315" s="284" t="n">
        <f aca="false">IFERROR(($J315*O315)*$L315, "")</f>
        <v>0</v>
      </c>
      <c r="AC315" s="284" t="n">
        <f aca="false">IFERROR(($J315*P315)*$L315, "")</f>
        <v>0</v>
      </c>
      <c r="AD315" s="284" t="n">
        <f aca="false">IFERROR(($J315*Q315)*$L315, "")</f>
        <v>0</v>
      </c>
      <c r="AE315" s="284" t="n">
        <f aca="false">IFERROR(($J315*R315)*$L315, "")</f>
        <v>0</v>
      </c>
      <c r="AF315" s="284" t="n">
        <f aca="false">IFERROR(($J315*S315)*$L315, "")</f>
        <v>0</v>
      </c>
      <c r="AG315" s="284" t="n">
        <f aca="false">IFERROR(($J315*T315)*$L315, "")</f>
        <v>0</v>
      </c>
      <c r="AH315" s="284" t="n">
        <f aca="false">IFERROR(($J315*U315)*$L315, "")</f>
        <v>0</v>
      </c>
      <c r="AI315" s="284" t="n">
        <f aca="false">IFERROR(($J315*V315)*$L315, "")</f>
        <v>0</v>
      </c>
      <c r="AJ315" s="284" t="n">
        <f aca="false">IFERROR(($J315*W315)*$L315, "")</f>
        <v>0</v>
      </c>
      <c r="AK315" s="284" t="n">
        <f aca="false">IFERROR(($J315*X315)*$L315, "")</f>
        <v>0</v>
      </c>
      <c r="AL315" s="284" t="n">
        <f aca="false">IFERROR(($J315*Y315)*$L315, "")</f>
        <v>0</v>
      </c>
      <c r="AM315" s="285" t="n">
        <f aca="false">IFERROR(($J315*Z315)*$L315, "")</f>
        <v>0</v>
      </c>
      <c r="AN315" s="286" t="n">
        <f aca="false">IFERROR(SUMIF($AB$4:$AM$4, "RDEC", AB315:AM315), "")</f>
        <v>0</v>
      </c>
      <c r="AO315" s="286" t="n">
        <f aca="false">IFERROR(SUMIF($AB$4:$AM$4, "SME", AB315:AM315), "")</f>
        <v>0</v>
      </c>
      <c r="AP315" s="286" t="n">
        <f aca="false">IFERROR(SUMIF($AB$4:$AM$4, "De Minimis", AB315:AM315), "")</f>
        <v>0</v>
      </c>
      <c r="AQ315" s="283"/>
      <c r="AR315" s="284" t="n">
        <f aca="false">IFERROR(($J315*O315)*$M315, "")</f>
        <v>0</v>
      </c>
      <c r="AS315" s="284" t="n">
        <f aca="false">IFERROR(($J315*P315)*$M315, "")</f>
        <v>0</v>
      </c>
      <c r="AT315" s="284" t="n">
        <f aca="false">IFERROR(($J315*Q315)*$M315, "")</f>
        <v>0</v>
      </c>
      <c r="AU315" s="284" t="n">
        <f aca="false">IFERROR(($J315*R315)*$M315, "")</f>
        <v>0</v>
      </c>
      <c r="AV315" s="284" t="n">
        <f aca="false">IFERROR(($J315*S315)*$M315, "")</f>
        <v>0</v>
      </c>
      <c r="AW315" s="284" t="n">
        <f aca="false">IFERROR(($J315*T315)*$M315, "")</f>
        <v>0</v>
      </c>
      <c r="AX315" s="284" t="n">
        <f aca="false">IFERROR(($J315*U315)*$M315, "")</f>
        <v>0</v>
      </c>
      <c r="AY315" s="284" t="n">
        <f aca="false">IFERROR(($J315*V315)*$M315, "")</f>
        <v>0</v>
      </c>
      <c r="AZ315" s="284" t="n">
        <f aca="false">IFERROR(($J315*W315)*$M315, "")</f>
        <v>0</v>
      </c>
      <c r="BA315" s="284" t="n">
        <f aca="false">IFERROR(($J315*X315)*$M315, "")</f>
        <v>0</v>
      </c>
      <c r="BB315" s="284" t="n">
        <f aca="false">IFERROR(($J315*Y315)*$M315, "")</f>
        <v>0</v>
      </c>
      <c r="BC315" s="285" t="n">
        <f aca="false">IFERROR(($J315*Z315)*$M315, "")</f>
        <v>0</v>
      </c>
      <c r="BD315" s="286" t="n">
        <f aca="false">IFERROR(SUMIF($AB$4:$AM$4, "RDEC", AR315:BC315), "")</f>
        <v>0</v>
      </c>
      <c r="BE315" s="286" t="n">
        <f aca="false">IFERROR(SUMIF($AB$4:$AM$4, "SME", AR315:BC315), "")</f>
        <v>0</v>
      </c>
      <c r="BF315" s="286" t="n">
        <f aca="false">IFERROR(SUMIF($AB$4:$AM$4, "De Minimis", AR315:BC315), "")</f>
        <v>0</v>
      </c>
      <c r="BG315" s="287"/>
      <c r="BH315" s="288" t="str">
        <f aca="false">IF((SUM(O315:Z315)&gt;1),"ERROR","")</f>
        <v/>
      </c>
      <c r="BI315" s="287"/>
      <c r="BJ315" s="18" t="str">
        <f aca="false">IF(C301&gt;0, C301, "")</f>
        <v/>
      </c>
      <c r="BL315" s="200"/>
      <c r="BM315" s="200"/>
      <c r="BN315" s="200"/>
    </row>
    <row r="316" customFormat="false" ht="15" hidden="false" customHeight="true" outlineLevel="0" collapsed="false">
      <c r="B316" s="275"/>
      <c r="D316" s="276" t="n">
        <f aca="false">D300</f>
        <v>45413</v>
      </c>
      <c r="E316" s="277" t="n">
        <v>0</v>
      </c>
      <c r="F316" s="277" t="n">
        <v>0</v>
      </c>
      <c r="G316" s="277" t="n">
        <v>0</v>
      </c>
      <c r="H316" s="277" t="n">
        <v>0</v>
      </c>
      <c r="I316" s="277" t="n">
        <v>0</v>
      </c>
      <c r="J316" s="278" t="n">
        <f aca="false">E316+H316+I316</f>
        <v>0</v>
      </c>
      <c r="K316" s="204"/>
      <c r="L316" s="279" t="n">
        <v>1</v>
      </c>
      <c r="M316" s="280" t="n">
        <f aca="false">1-L316</f>
        <v>0</v>
      </c>
      <c r="N316" s="281"/>
      <c r="O316" s="282"/>
      <c r="P316" s="282"/>
      <c r="Q316" s="282"/>
      <c r="R316" s="282"/>
      <c r="S316" s="282"/>
      <c r="T316" s="282"/>
      <c r="U316" s="282"/>
      <c r="V316" s="282"/>
      <c r="W316" s="282"/>
      <c r="X316" s="282"/>
      <c r="Y316" s="282"/>
      <c r="Z316" s="282"/>
      <c r="AA316" s="283"/>
      <c r="AB316" s="284" t="n">
        <f aca="false">IFERROR(($J316*O316)*$L316, "")</f>
        <v>0</v>
      </c>
      <c r="AC316" s="284" t="n">
        <f aca="false">IFERROR(($J316*P316)*$L316, "")</f>
        <v>0</v>
      </c>
      <c r="AD316" s="284" t="n">
        <f aca="false">IFERROR(($J316*Q316)*$L316, "")</f>
        <v>0</v>
      </c>
      <c r="AE316" s="284" t="n">
        <f aca="false">IFERROR(($J316*R316)*$L316, "")</f>
        <v>0</v>
      </c>
      <c r="AF316" s="284" t="n">
        <f aca="false">IFERROR(($J316*S316)*$L316, "")</f>
        <v>0</v>
      </c>
      <c r="AG316" s="284" t="n">
        <f aca="false">IFERROR(($J316*T316)*$L316, "")</f>
        <v>0</v>
      </c>
      <c r="AH316" s="284" t="n">
        <f aca="false">IFERROR(($J316*U316)*$L316, "")</f>
        <v>0</v>
      </c>
      <c r="AI316" s="284" t="n">
        <f aca="false">IFERROR(($J316*V316)*$L316, "")</f>
        <v>0</v>
      </c>
      <c r="AJ316" s="284" t="n">
        <f aca="false">IFERROR(($J316*W316)*$L316, "")</f>
        <v>0</v>
      </c>
      <c r="AK316" s="284" t="n">
        <f aca="false">IFERROR(($J316*X316)*$L316, "")</f>
        <v>0</v>
      </c>
      <c r="AL316" s="284" t="n">
        <f aca="false">IFERROR(($J316*Y316)*$L316, "")</f>
        <v>0</v>
      </c>
      <c r="AM316" s="285" t="n">
        <f aca="false">IFERROR(($J316*Z316)*$L316, "")</f>
        <v>0</v>
      </c>
      <c r="AN316" s="286" t="n">
        <f aca="false">IFERROR(SUMIF($AB$4:$AM$4, "RDEC", AB316:AM316), "")</f>
        <v>0</v>
      </c>
      <c r="AO316" s="286" t="n">
        <f aca="false">IFERROR(SUMIF($AB$4:$AM$4, "SME", AB316:AM316), "")</f>
        <v>0</v>
      </c>
      <c r="AP316" s="286" t="n">
        <f aca="false">IFERROR(SUMIF($AB$4:$AM$4, "De Minimis", AB316:AM316), "")</f>
        <v>0</v>
      </c>
      <c r="AQ316" s="283"/>
      <c r="AR316" s="284" t="n">
        <f aca="false">IFERROR(($J316*O316)*$M316, "")</f>
        <v>0</v>
      </c>
      <c r="AS316" s="284" t="n">
        <f aca="false">IFERROR(($J316*P316)*$M316, "")</f>
        <v>0</v>
      </c>
      <c r="AT316" s="284" t="n">
        <f aca="false">IFERROR(($J316*Q316)*$M316, "")</f>
        <v>0</v>
      </c>
      <c r="AU316" s="284" t="n">
        <f aca="false">IFERROR(($J316*R316)*$M316, "")</f>
        <v>0</v>
      </c>
      <c r="AV316" s="284" t="n">
        <f aca="false">IFERROR(($J316*S316)*$M316, "")</f>
        <v>0</v>
      </c>
      <c r="AW316" s="284" t="n">
        <f aca="false">IFERROR(($J316*T316)*$M316, "")</f>
        <v>0</v>
      </c>
      <c r="AX316" s="284" t="n">
        <f aca="false">IFERROR(($J316*U316)*$M316, "")</f>
        <v>0</v>
      </c>
      <c r="AY316" s="284" t="n">
        <f aca="false">IFERROR(($J316*V316)*$M316, "")</f>
        <v>0</v>
      </c>
      <c r="AZ316" s="284" t="n">
        <f aca="false">IFERROR(($J316*W316)*$M316, "")</f>
        <v>0</v>
      </c>
      <c r="BA316" s="284" t="n">
        <f aca="false">IFERROR(($J316*X316)*$M316, "")</f>
        <v>0</v>
      </c>
      <c r="BB316" s="284" t="n">
        <f aca="false">IFERROR(($J316*Y316)*$M316, "")</f>
        <v>0</v>
      </c>
      <c r="BC316" s="285" t="n">
        <f aca="false">IFERROR(($J316*Z316)*$M316, "")</f>
        <v>0</v>
      </c>
      <c r="BD316" s="286" t="n">
        <f aca="false">IFERROR(SUMIF($AB$4:$AM$4, "RDEC", AR316:BC316), "")</f>
        <v>0</v>
      </c>
      <c r="BE316" s="286" t="n">
        <f aca="false">IFERROR(SUMIF($AB$4:$AM$4, "SME", AR316:BC316), "")</f>
        <v>0</v>
      </c>
      <c r="BF316" s="286" t="n">
        <f aca="false">IFERROR(SUMIF($AB$4:$AM$4, "De Minimis", AR316:BC316), "")</f>
        <v>0</v>
      </c>
      <c r="BG316" s="287"/>
      <c r="BH316" s="288" t="str">
        <f aca="false">IF((SUM(O316:Z316)&gt;1),"ERROR","")</f>
        <v/>
      </c>
      <c r="BI316" s="287"/>
      <c r="BJ316" s="18" t="str">
        <f aca="false">IF(C302&gt;0, C302, "")</f>
        <v/>
      </c>
      <c r="BL316" s="200"/>
      <c r="BM316" s="200"/>
      <c r="BN316" s="200"/>
    </row>
    <row r="317" customFormat="false" ht="15" hidden="false" customHeight="true" outlineLevel="0" collapsed="false">
      <c r="B317" s="275"/>
      <c r="D317" s="276" t="n">
        <f aca="false">D301</f>
        <v>45444</v>
      </c>
      <c r="E317" s="277" t="n">
        <v>0</v>
      </c>
      <c r="F317" s="277" t="n">
        <v>0</v>
      </c>
      <c r="G317" s="277" t="n">
        <v>0</v>
      </c>
      <c r="H317" s="277" t="n">
        <v>0</v>
      </c>
      <c r="I317" s="277" t="n">
        <v>0</v>
      </c>
      <c r="J317" s="278" t="n">
        <f aca="false">E317+H317+I317</f>
        <v>0</v>
      </c>
      <c r="K317" s="204"/>
      <c r="L317" s="279" t="n">
        <v>1</v>
      </c>
      <c r="M317" s="280" t="n">
        <f aca="false">1-L317</f>
        <v>0</v>
      </c>
      <c r="N317" s="281"/>
      <c r="O317" s="282"/>
      <c r="P317" s="282"/>
      <c r="Q317" s="282"/>
      <c r="R317" s="282"/>
      <c r="S317" s="282"/>
      <c r="T317" s="282"/>
      <c r="U317" s="282"/>
      <c r="V317" s="282"/>
      <c r="W317" s="282"/>
      <c r="X317" s="282"/>
      <c r="Y317" s="282"/>
      <c r="Z317" s="282"/>
      <c r="AA317" s="283"/>
      <c r="AB317" s="284" t="n">
        <f aca="false">IFERROR(($J317*O317)*$L317, "")</f>
        <v>0</v>
      </c>
      <c r="AC317" s="284" t="n">
        <f aca="false">IFERROR(($J317*P317)*$L317, "")</f>
        <v>0</v>
      </c>
      <c r="AD317" s="284" t="n">
        <f aca="false">IFERROR(($J317*Q317)*$L317, "")</f>
        <v>0</v>
      </c>
      <c r="AE317" s="284" t="n">
        <f aca="false">IFERROR(($J317*R317)*$L317, "")</f>
        <v>0</v>
      </c>
      <c r="AF317" s="284" t="n">
        <f aca="false">IFERROR(($J317*S317)*$L317, "")</f>
        <v>0</v>
      </c>
      <c r="AG317" s="284" t="n">
        <f aca="false">IFERROR(($J317*T317)*$L317, "")</f>
        <v>0</v>
      </c>
      <c r="AH317" s="284" t="n">
        <f aca="false">IFERROR(($J317*U317)*$L317, "")</f>
        <v>0</v>
      </c>
      <c r="AI317" s="284" t="n">
        <f aca="false">IFERROR(($J317*V317)*$L317, "")</f>
        <v>0</v>
      </c>
      <c r="AJ317" s="284" t="n">
        <f aca="false">IFERROR(($J317*W317)*$L317, "")</f>
        <v>0</v>
      </c>
      <c r="AK317" s="284" t="n">
        <f aca="false">IFERROR(($J317*X317)*$L317, "")</f>
        <v>0</v>
      </c>
      <c r="AL317" s="284" t="n">
        <f aca="false">IFERROR(($J317*Y317)*$L317, "")</f>
        <v>0</v>
      </c>
      <c r="AM317" s="285" t="n">
        <f aca="false">IFERROR(($J317*Z317)*$L317, "")</f>
        <v>0</v>
      </c>
      <c r="AN317" s="286" t="n">
        <f aca="false">IFERROR(SUMIF($AB$4:$AM$4, "RDEC", AB317:AM317), "")</f>
        <v>0</v>
      </c>
      <c r="AO317" s="286" t="n">
        <f aca="false">IFERROR(SUMIF($AB$4:$AM$4, "SME", AB317:AM317), "")</f>
        <v>0</v>
      </c>
      <c r="AP317" s="286" t="n">
        <f aca="false">IFERROR(SUMIF($AB$4:$AM$4, "De Minimis", AB317:AM317), "")</f>
        <v>0</v>
      </c>
      <c r="AQ317" s="283"/>
      <c r="AR317" s="284" t="n">
        <f aca="false">IFERROR(($J317*O317)*$M317, "")</f>
        <v>0</v>
      </c>
      <c r="AS317" s="284" t="n">
        <f aca="false">IFERROR(($J317*P317)*$M317, "")</f>
        <v>0</v>
      </c>
      <c r="AT317" s="284" t="n">
        <f aca="false">IFERROR(($J317*Q317)*$M317, "")</f>
        <v>0</v>
      </c>
      <c r="AU317" s="284" t="n">
        <f aca="false">IFERROR(($J317*R317)*$M317, "")</f>
        <v>0</v>
      </c>
      <c r="AV317" s="284" t="n">
        <f aca="false">IFERROR(($J317*S317)*$M317, "")</f>
        <v>0</v>
      </c>
      <c r="AW317" s="284" t="n">
        <f aca="false">IFERROR(($J317*T317)*$M317, "")</f>
        <v>0</v>
      </c>
      <c r="AX317" s="284" t="n">
        <f aca="false">IFERROR(($J317*U317)*$M317, "")</f>
        <v>0</v>
      </c>
      <c r="AY317" s="284" t="n">
        <f aca="false">IFERROR(($J317*V317)*$M317, "")</f>
        <v>0</v>
      </c>
      <c r="AZ317" s="284" t="n">
        <f aca="false">IFERROR(($J317*W317)*$M317, "")</f>
        <v>0</v>
      </c>
      <c r="BA317" s="284" t="n">
        <f aca="false">IFERROR(($J317*X317)*$M317, "")</f>
        <v>0</v>
      </c>
      <c r="BB317" s="284" t="n">
        <f aca="false">IFERROR(($J317*Y317)*$M317, "")</f>
        <v>0</v>
      </c>
      <c r="BC317" s="285" t="n">
        <f aca="false">IFERROR(($J317*Z317)*$M317, "")</f>
        <v>0</v>
      </c>
      <c r="BD317" s="286" t="n">
        <f aca="false">IFERROR(SUMIF($AB$4:$AM$4, "RDEC", AR317:BC317), "")</f>
        <v>0</v>
      </c>
      <c r="BE317" s="286" t="n">
        <f aca="false">IFERROR(SUMIF($AB$4:$AM$4, "SME", AR317:BC317), "")</f>
        <v>0</v>
      </c>
      <c r="BF317" s="286" t="n">
        <f aca="false">IFERROR(SUMIF($AB$4:$AM$4, "De Minimis", AR317:BC317), "")</f>
        <v>0</v>
      </c>
      <c r="BG317" s="287"/>
      <c r="BH317" s="288" t="str">
        <f aca="false">IF((SUM(O317:Z317)&gt;1),"ERROR","")</f>
        <v/>
      </c>
      <c r="BI317" s="287"/>
      <c r="BJ317" s="18" t="str">
        <f aca="false">IF(C303&gt;0, C303, "")</f>
        <v/>
      </c>
      <c r="BL317" s="200"/>
      <c r="BM317" s="200"/>
      <c r="BN317" s="200"/>
    </row>
    <row r="318" customFormat="false" ht="15" hidden="false" customHeight="true" outlineLevel="0" collapsed="false">
      <c r="B318" s="275"/>
      <c r="D318" s="276" t="n">
        <f aca="false">D302</f>
        <v>45474</v>
      </c>
      <c r="E318" s="277" t="n">
        <v>0</v>
      </c>
      <c r="F318" s="277" t="n">
        <v>0</v>
      </c>
      <c r="G318" s="277" t="n">
        <v>0</v>
      </c>
      <c r="H318" s="277" t="n">
        <v>0</v>
      </c>
      <c r="I318" s="277" t="n">
        <v>0</v>
      </c>
      <c r="J318" s="278" t="n">
        <f aca="false">E318+H318+I318</f>
        <v>0</v>
      </c>
      <c r="K318" s="204"/>
      <c r="L318" s="279" t="n">
        <v>1</v>
      </c>
      <c r="M318" s="280" t="n">
        <f aca="false">1-L318</f>
        <v>0</v>
      </c>
      <c r="N318" s="281"/>
      <c r="O318" s="282"/>
      <c r="P318" s="282"/>
      <c r="Q318" s="282"/>
      <c r="R318" s="282"/>
      <c r="S318" s="282"/>
      <c r="T318" s="282"/>
      <c r="U318" s="282"/>
      <c r="V318" s="282"/>
      <c r="W318" s="282"/>
      <c r="X318" s="282"/>
      <c r="Y318" s="282"/>
      <c r="Z318" s="282"/>
      <c r="AA318" s="283"/>
      <c r="AB318" s="284" t="n">
        <f aca="false">IFERROR(($J318*O318)*$L318, "")</f>
        <v>0</v>
      </c>
      <c r="AC318" s="284" t="n">
        <f aca="false">IFERROR(($J318*P318)*$L318, "")</f>
        <v>0</v>
      </c>
      <c r="AD318" s="284" t="n">
        <f aca="false">IFERROR(($J318*Q318)*$L318, "")</f>
        <v>0</v>
      </c>
      <c r="AE318" s="284" t="n">
        <f aca="false">IFERROR(($J318*R318)*$L318, "")</f>
        <v>0</v>
      </c>
      <c r="AF318" s="284" t="n">
        <f aca="false">IFERROR(($J318*S318)*$L318, "")</f>
        <v>0</v>
      </c>
      <c r="AG318" s="284" t="n">
        <f aca="false">IFERROR(($J318*T318)*$L318, "")</f>
        <v>0</v>
      </c>
      <c r="AH318" s="284" t="n">
        <f aca="false">IFERROR(($J318*U318)*$L318, "")</f>
        <v>0</v>
      </c>
      <c r="AI318" s="284" t="n">
        <f aca="false">IFERROR(($J318*V318)*$L318, "")</f>
        <v>0</v>
      </c>
      <c r="AJ318" s="284" t="n">
        <f aca="false">IFERROR(($J318*W318)*$L318, "")</f>
        <v>0</v>
      </c>
      <c r="AK318" s="284" t="n">
        <f aca="false">IFERROR(($J318*X318)*$L318, "")</f>
        <v>0</v>
      </c>
      <c r="AL318" s="284" t="n">
        <f aca="false">IFERROR(($J318*Y318)*$L318, "")</f>
        <v>0</v>
      </c>
      <c r="AM318" s="285" t="n">
        <f aca="false">IFERROR(($J318*Z318)*$L318, "")</f>
        <v>0</v>
      </c>
      <c r="AN318" s="286" t="n">
        <f aca="false">IFERROR(SUMIF($AB$4:$AM$4, "RDEC", AB318:AM318), "")</f>
        <v>0</v>
      </c>
      <c r="AO318" s="286" t="n">
        <f aca="false">IFERROR(SUMIF($AB$4:$AM$4, "SME", AB318:AM318), "")</f>
        <v>0</v>
      </c>
      <c r="AP318" s="286" t="n">
        <f aca="false">IFERROR(SUMIF($AB$4:$AM$4, "De Minimis", AB318:AM318), "")</f>
        <v>0</v>
      </c>
      <c r="AQ318" s="283"/>
      <c r="AR318" s="284" t="n">
        <f aca="false">IFERROR(($J318*O318)*$M318, "")</f>
        <v>0</v>
      </c>
      <c r="AS318" s="284" t="n">
        <f aca="false">IFERROR(($J318*P318)*$M318, "")</f>
        <v>0</v>
      </c>
      <c r="AT318" s="284" t="n">
        <f aca="false">IFERROR(($J318*Q318)*$M318, "")</f>
        <v>0</v>
      </c>
      <c r="AU318" s="284" t="n">
        <f aca="false">IFERROR(($J318*R318)*$M318, "")</f>
        <v>0</v>
      </c>
      <c r="AV318" s="284" t="n">
        <f aca="false">IFERROR(($J318*S318)*$M318, "")</f>
        <v>0</v>
      </c>
      <c r="AW318" s="284" t="n">
        <f aca="false">IFERROR(($J318*T318)*$M318, "")</f>
        <v>0</v>
      </c>
      <c r="AX318" s="284" t="n">
        <f aca="false">IFERROR(($J318*U318)*$M318, "")</f>
        <v>0</v>
      </c>
      <c r="AY318" s="284" t="n">
        <f aca="false">IFERROR(($J318*V318)*$M318, "")</f>
        <v>0</v>
      </c>
      <c r="AZ318" s="284" t="n">
        <f aca="false">IFERROR(($J318*W318)*$M318, "")</f>
        <v>0</v>
      </c>
      <c r="BA318" s="284" t="n">
        <f aca="false">IFERROR(($J318*X318)*$M318, "")</f>
        <v>0</v>
      </c>
      <c r="BB318" s="284" t="n">
        <f aca="false">IFERROR(($J318*Y318)*$M318, "")</f>
        <v>0</v>
      </c>
      <c r="BC318" s="285" t="n">
        <f aca="false">IFERROR(($J318*Z318)*$M318, "")</f>
        <v>0</v>
      </c>
      <c r="BD318" s="286" t="n">
        <f aca="false">IFERROR(SUMIF($AB$4:$AM$4, "RDEC", AR318:BC318), "")</f>
        <v>0</v>
      </c>
      <c r="BE318" s="286" t="n">
        <f aca="false">IFERROR(SUMIF($AB$4:$AM$4, "SME", AR318:BC318), "")</f>
        <v>0</v>
      </c>
      <c r="BF318" s="286" t="n">
        <f aca="false">IFERROR(SUMIF($AB$4:$AM$4, "De Minimis", AR318:BC318), "")</f>
        <v>0</v>
      </c>
      <c r="BG318" s="287"/>
      <c r="BH318" s="288" t="str">
        <f aca="false">IF((SUM(O318:Z318)&gt;1),"ERROR","")</f>
        <v/>
      </c>
      <c r="BI318" s="287"/>
      <c r="BJ318" s="18" t="str">
        <f aca="false">IF(C304&gt;0, C304, "")</f>
        <v/>
      </c>
      <c r="BL318" s="200"/>
      <c r="BM318" s="200"/>
      <c r="BN318" s="200"/>
    </row>
    <row r="319" customFormat="false" ht="15" hidden="false" customHeight="true" outlineLevel="0" collapsed="false">
      <c r="B319" s="275"/>
      <c r="D319" s="276" t="n">
        <f aca="false">D303</f>
        <v>45505</v>
      </c>
      <c r="E319" s="277" t="n">
        <v>0</v>
      </c>
      <c r="F319" s="277" t="n">
        <v>0</v>
      </c>
      <c r="G319" s="277" t="n">
        <v>0</v>
      </c>
      <c r="H319" s="277" t="n">
        <v>0</v>
      </c>
      <c r="I319" s="277" t="n">
        <v>0</v>
      </c>
      <c r="J319" s="278" t="n">
        <f aca="false">E319+H319+I319</f>
        <v>0</v>
      </c>
      <c r="K319" s="204"/>
      <c r="L319" s="279" t="n">
        <v>1</v>
      </c>
      <c r="M319" s="280" t="n">
        <f aca="false">1-L319</f>
        <v>0</v>
      </c>
      <c r="N319" s="281"/>
      <c r="O319" s="282"/>
      <c r="P319" s="282"/>
      <c r="Q319" s="282"/>
      <c r="R319" s="282"/>
      <c r="S319" s="282"/>
      <c r="T319" s="282"/>
      <c r="U319" s="282"/>
      <c r="V319" s="282"/>
      <c r="W319" s="282"/>
      <c r="X319" s="282"/>
      <c r="Y319" s="282"/>
      <c r="Z319" s="282"/>
      <c r="AA319" s="283"/>
      <c r="AB319" s="284" t="n">
        <f aca="false">IFERROR(($J319*O319)*$L319, "")</f>
        <v>0</v>
      </c>
      <c r="AC319" s="284" t="n">
        <f aca="false">IFERROR(($J319*P319)*$L319, "")</f>
        <v>0</v>
      </c>
      <c r="AD319" s="284" t="n">
        <f aca="false">IFERROR(($J319*Q319)*$L319, "")</f>
        <v>0</v>
      </c>
      <c r="AE319" s="284" t="n">
        <f aca="false">IFERROR(($J319*R319)*$L319, "")</f>
        <v>0</v>
      </c>
      <c r="AF319" s="284" t="n">
        <f aca="false">IFERROR(($J319*S319)*$L319, "")</f>
        <v>0</v>
      </c>
      <c r="AG319" s="284" t="n">
        <f aca="false">IFERROR(($J319*T319)*$L319, "")</f>
        <v>0</v>
      </c>
      <c r="AH319" s="284" t="n">
        <f aca="false">IFERROR(($J319*U319)*$L319, "")</f>
        <v>0</v>
      </c>
      <c r="AI319" s="284" t="n">
        <f aca="false">IFERROR(($J319*V319)*$L319, "")</f>
        <v>0</v>
      </c>
      <c r="AJ319" s="284" t="n">
        <f aca="false">IFERROR(($J319*W319)*$L319, "")</f>
        <v>0</v>
      </c>
      <c r="AK319" s="284" t="n">
        <f aca="false">IFERROR(($J319*X319)*$L319, "")</f>
        <v>0</v>
      </c>
      <c r="AL319" s="284" t="n">
        <f aca="false">IFERROR(($J319*Y319)*$L319, "")</f>
        <v>0</v>
      </c>
      <c r="AM319" s="285" t="n">
        <f aca="false">IFERROR(($J319*Z319)*$L319, "")</f>
        <v>0</v>
      </c>
      <c r="AN319" s="286" t="n">
        <f aca="false">IFERROR(SUMIF($AB$4:$AM$4, "RDEC", AB319:AM319), "")</f>
        <v>0</v>
      </c>
      <c r="AO319" s="286" t="n">
        <f aca="false">IFERROR(SUMIF($AB$4:$AM$4, "SME", AB319:AM319), "")</f>
        <v>0</v>
      </c>
      <c r="AP319" s="286" t="n">
        <f aca="false">IFERROR(SUMIF($AB$4:$AM$4, "De Minimis", AB319:AM319), "")</f>
        <v>0</v>
      </c>
      <c r="AQ319" s="283"/>
      <c r="AR319" s="284" t="n">
        <f aca="false">IFERROR(($J319*O319)*$M319, "")</f>
        <v>0</v>
      </c>
      <c r="AS319" s="284" t="n">
        <f aca="false">IFERROR(($J319*P319)*$M319, "")</f>
        <v>0</v>
      </c>
      <c r="AT319" s="284" t="n">
        <f aca="false">IFERROR(($J319*Q319)*$M319, "")</f>
        <v>0</v>
      </c>
      <c r="AU319" s="284" t="n">
        <f aca="false">IFERROR(($J319*R319)*$M319, "")</f>
        <v>0</v>
      </c>
      <c r="AV319" s="284" t="n">
        <f aca="false">IFERROR(($J319*S319)*$M319, "")</f>
        <v>0</v>
      </c>
      <c r="AW319" s="284" t="n">
        <f aca="false">IFERROR(($J319*T319)*$M319, "")</f>
        <v>0</v>
      </c>
      <c r="AX319" s="284" t="n">
        <f aca="false">IFERROR(($J319*U319)*$M319, "")</f>
        <v>0</v>
      </c>
      <c r="AY319" s="284" t="n">
        <f aca="false">IFERROR(($J319*V319)*$M319, "")</f>
        <v>0</v>
      </c>
      <c r="AZ319" s="284" t="n">
        <f aca="false">IFERROR(($J319*W319)*$M319, "")</f>
        <v>0</v>
      </c>
      <c r="BA319" s="284" t="n">
        <f aca="false">IFERROR(($J319*X319)*$M319, "")</f>
        <v>0</v>
      </c>
      <c r="BB319" s="284" t="n">
        <f aca="false">IFERROR(($J319*Y319)*$M319, "")</f>
        <v>0</v>
      </c>
      <c r="BC319" s="285" t="n">
        <f aca="false">IFERROR(($J319*Z319)*$M319, "")</f>
        <v>0</v>
      </c>
      <c r="BD319" s="286" t="n">
        <f aca="false">IFERROR(SUMIF($AB$4:$AM$4, "RDEC", AR319:BC319), "")</f>
        <v>0</v>
      </c>
      <c r="BE319" s="286" t="n">
        <f aca="false">IFERROR(SUMIF($AB$4:$AM$4, "SME", AR319:BC319), "")</f>
        <v>0</v>
      </c>
      <c r="BF319" s="286" t="n">
        <f aca="false">IFERROR(SUMIF($AB$4:$AM$4, "De Minimis", AR319:BC319), "")</f>
        <v>0</v>
      </c>
      <c r="BG319" s="287"/>
      <c r="BH319" s="288" t="str">
        <f aca="false">IF((SUM(O319:Z319)&gt;1),"ERROR","")</f>
        <v/>
      </c>
      <c r="BI319" s="287"/>
      <c r="BJ319" s="18" t="str">
        <f aca="false">IF(C305&gt;0, C305, "")</f>
        <v/>
      </c>
      <c r="BL319" s="200"/>
      <c r="BM319" s="200"/>
      <c r="BN319" s="200"/>
    </row>
    <row r="320" customFormat="false" ht="15" hidden="false" customHeight="true" outlineLevel="0" collapsed="false">
      <c r="B320" s="275"/>
      <c r="D320" s="276" t="n">
        <f aca="false">D304</f>
        <v>45536</v>
      </c>
      <c r="E320" s="277" t="n">
        <v>0</v>
      </c>
      <c r="F320" s="277" t="n">
        <v>0</v>
      </c>
      <c r="G320" s="277" t="n">
        <v>0</v>
      </c>
      <c r="H320" s="277" t="n">
        <v>0</v>
      </c>
      <c r="I320" s="277" t="n">
        <v>0</v>
      </c>
      <c r="J320" s="278" t="n">
        <f aca="false">E320+H320+I320</f>
        <v>0</v>
      </c>
      <c r="K320" s="204"/>
      <c r="L320" s="279" t="n">
        <v>1</v>
      </c>
      <c r="M320" s="280" t="n">
        <f aca="false">1-L320</f>
        <v>0</v>
      </c>
      <c r="N320" s="281"/>
      <c r="O320" s="282"/>
      <c r="P320" s="282"/>
      <c r="Q320" s="282"/>
      <c r="R320" s="282"/>
      <c r="S320" s="282"/>
      <c r="T320" s="282"/>
      <c r="U320" s="282"/>
      <c r="V320" s="282"/>
      <c r="W320" s="282"/>
      <c r="X320" s="282"/>
      <c r="Y320" s="282"/>
      <c r="Z320" s="282"/>
      <c r="AA320" s="283"/>
      <c r="AB320" s="284" t="n">
        <f aca="false">IFERROR(($J320*O320)*$L320, "")</f>
        <v>0</v>
      </c>
      <c r="AC320" s="284" t="n">
        <f aca="false">IFERROR(($J320*P320)*$L320, "")</f>
        <v>0</v>
      </c>
      <c r="AD320" s="284" t="n">
        <f aca="false">IFERROR(($J320*Q320)*$L320, "")</f>
        <v>0</v>
      </c>
      <c r="AE320" s="284" t="n">
        <f aca="false">IFERROR(($J320*R320)*$L320, "")</f>
        <v>0</v>
      </c>
      <c r="AF320" s="284" t="n">
        <f aca="false">IFERROR(($J320*S320)*$L320, "")</f>
        <v>0</v>
      </c>
      <c r="AG320" s="284" t="n">
        <f aca="false">IFERROR(($J320*T320)*$L320, "")</f>
        <v>0</v>
      </c>
      <c r="AH320" s="284" t="n">
        <f aca="false">IFERROR(($J320*U320)*$L320, "")</f>
        <v>0</v>
      </c>
      <c r="AI320" s="284" t="n">
        <f aca="false">IFERROR(($J320*V320)*$L320, "")</f>
        <v>0</v>
      </c>
      <c r="AJ320" s="284" t="n">
        <f aca="false">IFERROR(($J320*W320)*$L320, "")</f>
        <v>0</v>
      </c>
      <c r="AK320" s="284" t="n">
        <f aca="false">IFERROR(($J320*X320)*$L320, "")</f>
        <v>0</v>
      </c>
      <c r="AL320" s="284" t="n">
        <f aca="false">IFERROR(($J320*Y320)*$L320, "")</f>
        <v>0</v>
      </c>
      <c r="AM320" s="285" t="n">
        <f aca="false">IFERROR(($J320*Z320)*$L320, "")</f>
        <v>0</v>
      </c>
      <c r="AN320" s="286" t="n">
        <f aca="false">IFERROR(SUMIF($AB$4:$AM$4, "RDEC", AB320:AM320), "")</f>
        <v>0</v>
      </c>
      <c r="AO320" s="286" t="n">
        <f aca="false">IFERROR(SUMIF($AB$4:$AM$4, "SME", AB320:AM320), "")</f>
        <v>0</v>
      </c>
      <c r="AP320" s="286" t="n">
        <f aca="false">IFERROR(SUMIF($AB$4:$AM$4, "De Minimis", AB320:AM320), "")</f>
        <v>0</v>
      </c>
      <c r="AQ320" s="283"/>
      <c r="AR320" s="284" t="n">
        <f aca="false">IFERROR(($J320*O320)*$M320, "")</f>
        <v>0</v>
      </c>
      <c r="AS320" s="284" t="n">
        <f aca="false">IFERROR(($J320*P320)*$M320, "")</f>
        <v>0</v>
      </c>
      <c r="AT320" s="284" t="n">
        <f aca="false">IFERROR(($J320*Q320)*$M320, "")</f>
        <v>0</v>
      </c>
      <c r="AU320" s="284" t="n">
        <f aca="false">IFERROR(($J320*R320)*$M320, "")</f>
        <v>0</v>
      </c>
      <c r="AV320" s="284" t="n">
        <f aca="false">IFERROR(($J320*S320)*$M320, "")</f>
        <v>0</v>
      </c>
      <c r="AW320" s="284" t="n">
        <f aca="false">IFERROR(($J320*T320)*$M320, "")</f>
        <v>0</v>
      </c>
      <c r="AX320" s="284" t="n">
        <f aca="false">IFERROR(($J320*U320)*$M320, "")</f>
        <v>0</v>
      </c>
      <c r="AY320" s="284" t="n">
        <f aca="false">IFERROR(($J320*V320)*$M320, "")</f>
        <v>0</v>
      </c>
      <c r="AZ320" s="284" t="n">
        <f aca="false">IFERROR(($J320*W320)*$M320, "")</f>
        <v>0</v>
      </c>
      <c r="BA320" s="284" t="n">
        <f aca="false">IFERROR(($J320*X320)*$M320, "")</f>
        <v>0</v>
      </c>
      <c r="BB320" s="284" t="n">
        <f aca="false">IFERROR(($J320*Y320)*$M320, "")</f>
        <v>0</v>
      </c>
      <c r="BC320" s="285" t="n">
        <f aca="false">IFERROR(($J320*Z320)*$M320, "")</f>
        <v>0</v>
      </c>
      <c r="BD320" s="286" t="n">
        <f aca="false">IFERROR(SUMIF($AB$4:$AM$4, "RDEC", AR320:BC320), "")</f>
        <v>0</v>
      </c>
      <c r="BE320" s="286" t="n">
        <f aca="false">IFERROR(SUMIF($AB$4:$AM$4, "SME", AR320:BC320), "")</f>
        <v>0</v>
      </c>
      <c r="BF320" s="286" t="n">
        <f aca="false">IFERROR(SUMIF($AB$4:$AM$4, "De Minimis", AR320:BC320), "")</f>
        <v>0</v>
      </c>
      <c r="BG320" s="287"/>
      <c r="BH320" s="288" t="str">
        <f aca="false">IF((SUM(O320:Z320)&gt;1),"ERROR","")</f>
        <v/>
      </c>
      <c r="BI320" s="287"/>
      <c r="BJ320" s="18" t="str">
        <f aca="false">IF(C306&gt;0, C306, "")</f>
        <v/>
      </c>
      <c r="BL320" s="200"/>
      <c r="BM320" s="200"/>
      <c r="BN320" s="200"/>
    </row>
    <row r="321" customFormat="false" ht="15" hidden="false" customHeight="true" outlineLevel="0" collapsed="false">
      <c r="B321" s="275"/>
      <c r="D321" s="276" t="n">
        <f aca="false">D305</f>
        <v>45566</v>
      </c>
      <c r="E321" s="277" t="n">
        <v>0</v>
      </c>
      <c r="F321" s="277" t="n">
        <v>0</v>
      </c>
      <c r="G321" s="277" t="n">
        <v>0</v>
      </c>
      <c r="H321" s="277" t="n">
        <v>0</v>
      </c>
      <c r="I321" s="277" t="n">
        <v>0</v>
      </c>
      <c r="J321" s="278" t="n">
        <f aca="false">E321+H321+I321</f>
        <v>0</v>
      </c>
      <c r="K321" s="204"/>
      <c r="L321" s="279" t="n">
        <v>1</v>
      </c>
      <c r="M321" s="280" t="n">
        <f aca="false">1-L321</f>
        <v>0</v>
      </c>
      <c r="N321" s="281"/>
      <c r="O321" s="282"/>
      <c r="P321" s="282"/>
      <c r="Q321" s="282"/>
      <c r="R321" s="282"/>
      <c r="S321" s="282"/>
      <c r="T321" s="282"/>
      <c r="U321" s="282"/>
      <c r="V321" s="282"/>
      <c r="W321" s="282"/>
      <c r="X321" s="282"/>
      <c r="Y321" s="282"/>
      <c r="Z321" s="282"/>
      <c r="AA321" s="283"/>
      <c r="AB321" s="284" t="n">
        <f aca="false">IFERROR(($J321*O321)*$L321, "")</f>
        <v>0</v>
      </c>
      <c r="AC321" s="284" t="n">
        <f aca="false">IFERROR(($J321*P321)*$L321, "")</f>
        <v>0</v>
      </c>
      <c r="AD321" s="284" t="n">
        <f aca="false">IFERROR(($J321*Q321)*$L321, "")</f>
        <v>0</v>
      </c>
      <c r="AE321" s="284" t="n">
        <f aca="false">IFERROR(($J321*R321)*$L321, "")</f>
        <v>0</v>
      </c>
      <c r="AF321" s="284" t="n">
        <f aca="false">IFERROR(($J321*S321)*$L321, "")</f>
        <v>0</v>
      </c>
      <c r="AG321" s="284" t="n">
        <f aca="false">IFERROR(($J321*T321)*$L321, "")</f>
        <v>0</v>
      </c>
      <c r="AH321" s="284" t="n">
        <f aca="false">IFERROR(($J321*U321)*$L321, "")</f>
        <v>0</v>
      </c>
      <c r="AI321" s="284" t="n">
        <f aca="false">IFERROR(($J321*V321)*$L321, "")</f>
        <v>0</v>
      </c>
      <c r="AJ321" s="284" t="n">
        <f aca="false">IFERROR(($J321*W321)*$L321, "")</f>
        <v>0</v>
      </c>
      <c r="AK321" s="284" t="n">
        <f aca="false">IFERROR(($J321*X321)*$L321, "")</f>
        <v>0</v>
      </c>
      <c r="AL321" s="284" t="n">
        <f aca="false">IFERROR(($J321*Y321)*$L321, "")</f>
        <v>0</v>
      </c>
      <c r="AM321" s="285" t="n">
        <f aca="false">IFERROR(($J321*Z321)*$L321, "")</f>
        <v>0</v>
      </c>
      <c r="AN321" s="286" t="n">
        <f aca="false">IFERROR(SUMIF($AB$4:$AM$4, "RDEC", AB321:AM321), "")</f>
        <v>0</v>
      </c>
      <c r="AO321" s="286" t="n">
        <f aca="false">IFERROR(SUMIF($AB$4:$AM$4, "SME", AB321:AM321), "")</f>
        <v>0</v>
      </c>
      <c r="AP321" s="286" t="n">
        <f aca="false">IFERROR(SUMIF($AB$4:$AM$4, "De Minimis", AB321:AM321), "")</f>
        <v>0</v>
      </c>
      <c r="AQ321" s="283"/>
      <c r="AR321" s="284" t="n">
        <f aca="false">IFERROR(($J321*O321)*$M321, "")</f>
        <v>0</v>
      </c>
      <c r="AS321" s="284" t="n">
        <f aca="false">IFERROR(($J321*P321)*$M321, "")</f>
        <v>0</v>
      </c>
      <c r="AT321" s="284" t="n">
        <f aca="false">IFERROR(($J321*Q321)*$M321, "")</f>
        <v>0</v>
      </c>
      <c r="AU321" s="284" t="n">
        <f aca="false">IFERROR(($J321*R321)*$M321, "")</f>
        <v>0</v>
      </c>
      <c r="AV321" s="284" t="n">
        <f aca="false">IFERROR(($J321*S321)*$M321, "")</f>
        <v>0</v>
      </c>
      <c r="AW321" s="284" t="n">
        <f aca="false">IFERROR(($J321*T321)*$M321, "")</f>
        <v>0</v>
      </c>
      <c r="AX321" s="284" t="n">
        <f aca="false">IFERROR(($J321*U321)*$M321, "")</f>
        <v>0</v>
      </c>
      <c r="AY321" s="284" t="n">
        <f aca="false">IFERROR(($J321*V321)*$M321, "")</f>
        <v>0</v>
      </c>
      <c r="AZ321" s="284" t="n">
        <f aca="false">IFERROR(($J321*W321)*$M321, "")</f>
        <v>0</v>
      </c>
      <c r="BA321" s="284" t="n">
        <f aca="false">IFERROR(($J321*X321)*$M321, "")</f>
        <v>0</v>
      </c>
      <c r="BB321" s="284" t="n">
        <f aca="false">IFERROR(($J321*Y321)*$M321, "")</f>
        <v>0</v>
      </c>
      <c r="BC321" s="285" t="n">
        <f aca="false">IFERROR(($J321*Z321)*$M321, "")</f>
        <v>0</v>
      </c>
      <c r="BD321" s="286" t="n">
        <f aca="false">IFERROR(SUMIF($AB$4:$AM$4, "RDEC", AR321:BC321), "")</f>
        <v>0</v>
      </c>
      <c r="BE321" s="286" t="n">
        <f aca="false">IFERROR(SUMIF($AB$4:$AM$4, "SME", AR321:BC321), "")</f>
        <v>0</v>
      </c>
      <c r="BF321" s="286" t="n">
        <f aca="false">IFERROR(SUMIF($AB$4:$AM$4, "De Minimis", AR321:BC321), "")</f>
        <v>0</v>
      </c>
      <c r="BG321" s="287"/>
      <c r="BH321" s="288" t="str">
        <f aca="false">IF((SUM(O321:Z321)&gt;1),"ERROR","")</f>
        <v/>
      </c>
      <c r="BI321" s="287"/>
      <c r="BJ321" s="18" t="str">
        <f aca="false">IF(C307&gt;0, C307, "")</f>
        <v/>
      </c>
      <c r="BL321" s="200"/>
      <c r="BM321" s="200"/>
      <c r="BN321" s="200"/>
    </row>
    <row r="322" customFormat="false" ht="15" hidden="false" customHeight="true" outlineLevel="0" collapsed="false">
      <c r="B322" s="275"/>
      <c r="D322" s="276" t="n">
        <f aca="false">D306</f>
        <v>45597</v>
      </c>
      <c r="E322" s="277" t="n">
        <v>0</v>
      </c>
      <c r="F322" s="277" t="n">
        <v>0</v>
      </c>
      <c r="G322" s="277" t="n">
        <v>0</v>
      </c>
      <c r="H322" s="277" t="n">
        <v>0</v>
      </c>
      <c r="I322" s="277" t="n">
        <v>0</v>
      </c>
      <c r="J322" s="278" t="n">
        <f aca="false">E322+H322+I322</f>
        <v>0</v>
      </c>
      <c r="K322" s="204"/>
      <c r="L322" s="279" t="n">
        <v>1</v>
      </c>
      <c r="M322" s="280" t="n">
        <f aca="false">1-L322</f>
        <v>0</v>
      </c>
      <c r="N322" s="281"/>
      <c r="O322" s="282"/>
      <c r="P322" s="282"/>
      <c r="Q322" s="282"/>
      <c r="R322" s="282"/>
      <c r="S322" s="282"/>
      <c r="T322" s="282"/>
      <c r="U322" s="282"/>
      <c r="V322" s="282"/>
      <c r="W322" s="282"/>
      <c r="X322" s="282"/>
      <c r="Y322" s="282"/>
      <c r="Z322" s="282"/>
      <c r="AA322" s="283"/>
      <c r="AB322" s="284" t="n">
        <f aca="false">IFERROR(($J322*O322)*$L322, "")</f>
        <v>0</v>
      </c>
      <c r="AC322" s="284" t="n">
        <f aca="false">IFERROR(($J322*P322)*$L322, "")</f>
        <v>0</v>
      </c>
      <c r="AD322" s="284" t="n">
        <f aca="false">IFERROR(($J322*Q322)*$L322, "")</f>
        <v>0</v>
      </c>
      <c r="AE322" s="284" t="n">
        <f aca="false">IFERROR(($J322*R322)*$L322, "")</f>
        <v>0</v>
      </c>
      <c r="AF322" s="284" t="n">
        <f aca="false">IFERROR(($J322*S322)*$L322, "")</f>
        <v>0</v>
      </c>
      <c r="AG322" s="284" t="n">
        <f aca="false">IFERROR(($J322*T322)*$L322, "")</f>
        <v>0</v>
      </c>
      <c r="AH322" s="284" t="n">
        <f aca="false">IFERROR(($J322*U322)*$L322, "")</f>
        <v>0</v>
      </c>
      <c r="AI322" s="284" t="n">
        <f aca="false">IFERROR(($J322*V322)*$L322, "")</f>
        <v>0</v>
      </c>
      <c r="AJ322" s="284" t="n">
        <f aca="false">IFERROR(($J322*W322)*$L322, "")</f>
        <v>0</v>
      </c>
      <c r="AK322" s="284" t="n">
        <f aca="false">IFERROR(($J322*X322)*$L322, "")</f>
        <v>0</v>
      </c>
      <c r="AL322" s="284" t="n">
        <f aca="false">IFERROR(($J322*Y322)*$L322, "")</f>
        <v>0</v>
      </c>
      <c r="AM322" s="285" t="n">
        <f aca="false">IFERROR(($J322*Z322)*$L322, "")</f>
        <v>0</v>
      </c>
      <c r="AN322" s="286" t="n">
        <f aca="false">IFERROR(SUMIF($AB$4:$AM$4, "RDEC", AB322:AM322), "")</f>
        <v>0</v>
      </c>
      <c r="AO322" s="286" t="n">
        <f aca="false">IFERROR(SUMIF($AB$4:$AM$4, "SME", AB322:AM322), "")</f>
        <v>0</v>
      </c>
      <c r="AP322" s="286" t="n">
        <f aca="false">IFERROR(SUMIF($AB$4:$AM$4, "De Minimis", AB322:AM322), "")</f>
        <v>0</v>
      </c>
      <c r="AQ322" s="283"/>
      <c r="AR322" s="284" t="n">
        <f aca="false">IFERROR(($J322*O322)*$M322, "")</f>
        <v>0</v>
      </c>
      <c r="AS322" s="284" t="n">
        <f aca="false">IFERROR(($J322*P322)*$M322, "")</f>
        <v>0</v>
      </c>
      <c r="AT322" s="284" t="n">
        <f aca="false">IFERROR(($J322*Q322)*$M322, "")</f>
        <v>0</v>
      </c>
      <c r="AU322" s="284" t="n">
        <f aca="false">IFERROR(($J322*R322)*$M322, "")</f>
        <v>0</v>
      </c>
      <c r="AV322" s="284" t="n">
        <f aca="false">IFERROR(($J322*S322)*$M322, "")</f>
        <v>0</v>
      </c>
      <c r="AW322" s="284" t="n">
        <f aca="false">IFERROR(($J322*T322)*$M322, "")</f>
        <v>0</v>
      </c>
      <c r="AX322" s="284" t="n">
        <f aca="false">IFERROR(($J322*U322)*$M322, "")</f>
        <v>0</v>
      </c>
      <c r="AY322" s="284" t="n">
        <f aca="false">IFERROR(($J322*V322)*$M322, "")</f>
        <v>0</v>
      </c>
      <c r="AZ322" s="284" t="n">
        <f aca="false">IFERROR(($J322*W322)*$M322, "")</f>
        <v>0</v>
      </c>
      <c r="BA322" s="284" t="n">
        <f aca="false">IFERROR(($J322*X322)*$M322, "")</f>
        <v>0</v>
      </c>
      <c r="BB322" s="284" t="n">
        <f aca="false">IFERROR(($J322*Y322)*$M322, "")</f>
        <v>0</v>
      </c>
      <c r="BC322" s="285" t="n">
        <f aca="false">IFERROR(($J322*Z322)*$M322, "")</f>
        <v>0</v>
      </c>
      <c r="BD322" s="286" t="n">
        <f aca="false">IFERROR(SUMIF($AB$4:$AM$4, "RDEC", AR322:BC322), "")</f>
        <v>0</v>
      </c>
      <c r="BE322" s="286" t="n">
        <f aca="false">IFERROR(SUMIF($AB$4:$AM$4, "SME", AR322:BC322), "")</f>
        <v>0</v>
      </c>
      <c r="BF322" s="286" t="n">
        <f aca="false">IFERROR(SUMIF($AB$4:$AM$4, "De Minimis", AR322:BC322), "")</f>
        <v>0</v>
      </c>
      <c r="BG322" s="287"/>
      <c r="BH322" s="288" t="str">
        <f aca="false">IF((SUM(O322:Z322)&gt;1),"ERROR","")</f>
        <v/>
      </c>
      <c r="BI322" s="287"/>
      <c r="BJ322" s="18" t="str">
        <f aca="false">IF(C308&gt;0, C308, "")</f>
        <v/>
      </c>
      <c r="BL322" s="200"/>
      <c r="BM322" s="200"/>
      <c r="BN322" s="200"/>
    </row>
    <row r="323" customFormat="false" ht="15" hidden="false" customHeight="true" outlineLevel="0" collapsed="false">
      <c r="B323" s="275"/>
      <c r="D323" s="276" t="n">
        <f aca="false">D307</f>
        <v>45627</v>
      </c>
      <c r="E323" s="277" t="n">
        <v>0</v>
      </c>
      <c r="F323" s="277" t="n">
        <v>0</v>
      </c>
      <c r="G323" s="277" t="n">
        <v>0</v>
      </c>
      <c r="H323" s="277" t="n">
        <v>0</v>
      </c>
      <c r="I323" s="277" t="n">
        <v>0</v>
      </c>
      <c r="J323" s="278" t="n">
        <f aca="false">E323+H323+I323</f>
        <v>0</v>
      </c>
      <c r="K323" s="204"/>
      <c r="L323" s="289" t="n">
        <v>1</v>
      </c>
      <c r="M323" s="290" t="n">
        <f aca="false">1-L323</f>
        <v>0</v>
      </c>
      <c r="N323" s="281"/>
      <c r="O323" s="291"/>
      <c r="P323" s="291"/>
      <c r="Q323" s="291"/>
      <c r="R323" s="291"/>
      <c r="S323" s="291"/>
      <c r="T323" s="291"/>
      <c r="U323" s="291"/>
      <c r="V323" s="291"/>
      <c r="W323" s="291"/>
      <c r="X323" s="291"/>
      <c r="Y323" s="291"/>
      <c r="Z323" s="291"/>
      <c r="AA323" s="283"/>
      <c r="AB323" s="292" t="n">
        <f aca="false">IFERROR(($J323*O323)*$L323, "")</f>
        <v>0</v>
      </c>
      <c r="AC323" s="292" t="n">
        <f aca="false">IFERROR(($J323*P323)*$L323, "")</f>
        <v>0</v>
      </c>
      <c r="AD323" s="292" t="n">
        <f aca="false">IFERROR(($J323*Q323)*$L323, "")</f>
        <v>0</v>
      </c>
      <c r="AE323" s="292" t="n">
        <f aca="false">IFERROR(($J323*R323)*$L323, "")</f>
        <v>0</v>
      </c>
      <c r="AF323" s="292" t="n">
        <f aca="false">IFERROR(($J323*S323)*$L323, "")</f>
        <v>0</v>
      </c>
      <c r="AG323" s="292" t="n">
        <f aca="false">IFERROR(($J323*T323)*$L323, "")</f>
        <v>0</v>
      </c>
      <c r="AH323" s="292" t="n">
        <f aca="false">IFERROR(($J323*U323)*$L323, "")</f>
        <v>0</v>
      </c>
      <c r="AI323" s="292" t="n">
        <f aca="false">IFERROR(($J323*V323)*$L323, "")</f>
        <v>0</v>
      </c>
      <c r="AJ323" s="292" t="n">
        <f aca="false">IFERROR(($J323*W323)*$L323, "")</f>
        <v>0</v>
      </c>
      <c r="AK323" s="292" t="n">
        <f aca="false">IFERROR(($J323*X323)*$L323, "")</f>
        <v>0</v>
      </c>
      <c r="AL323" s="292" t="n">
        <f aca="false">IFERROR(($J323*Y323)*$L323, "")</f>
        <v>0</v>
      </c>
      <c r="AM323" s="293" t="n">
        <f aca="false">IFERROR(($J323*Z323)*$L323, "")</f>
        <v>0</v>
      </c>
      <c r="AN323" s="294" t="n">
        <f aca="false">IFERROR(SUMIF($AB$4:$AM$4, "RDEC", AB323:AM323), "")</f>
        <v>0</v>
      </c>
      <c r="AO323" s="294" t="n">
        <f aca="false">IFERROR(SUMIF($AB$4:$AM$4, "SME", AB323:AM323), "")</f>
        <v>0</v>
      </c>
      <c r="AP323" s="294" t="n">
        <f aca="false">IFERROR(SUMIF($AB$4:$AM$4, "De Minimis", AB323:AM323), "")</f>
        <v>0</v>
      </c>
      <c r="AQ323" s="283"/>
      <c r="AR323" s="292" t="n">
        <f aca="false">IFERROR(($J323*O323)*$M323, "")</f>
        <v>0</v>
      </c>
      <c r="AS323" s="292" t="n">
        <f aca="false">IFERROR(($J323*P323)*$M323, "")</f>
        <v>0</v>
      </c>
      <c r="AT323" s="292" t="n">
        <f aca="false">IFERROR(($J323*Q323)*$M323, "")</f>
        <v>0</v>
      </c>
      <c r="AU323" s="292" t="n">
        <f aca="false">IFERROR(($J323*R323)*$M323, "")</f>
        <v>0</v>
      </c>
      <c r="AV323" s="292" t="n">
        <f aca="false">IFERROR(($J323*S323)*$M323, "")</f>
        <v>0</v>
      </c>
      <c r="AW323" s="292" t="n">
        <f aca="false">IFERROR(($J323*T323)*$M323, "")</f>
        <v>0</v>
      </c>
      <c r="AX323" s="292" t="n">
        <f aca="false">IFERROR(($J323*U323)*$M323, "")</f>
        <v>0</v>
      </c>
      <c r="AY323" s="292" t="n">
        <f aca="false">IFERROR(($J323*V323)*$M323, "")</f>
        <v>0</v>
      </c>
      <c r="AZ323" s="292" t="n">
        <f aca="false">IFERROR(($J323*W323)*$M323, "")</f>
        <v>0</v>
      </c>
      <c r="BA323" s="292" t="n">
        <f aca="false">IFERROR(($J323*X323)*$M323, "")</f>
        <v>0</v>
      </c>
      <c r="BB323" s="292" t="n">
        <f aca="false">IFERROR(($J323*Y323)*$M323, "")</f>
        <v>0</v>
      </c>
      <c r="BC323" s="293" t="n">
        <f aca="false">IFERROR(($J323*Z323)*$M323, "")</f>
        <v>0</v>
      </c>
      <c r="BD323" s="294" t="n">
        <f aca="false">IFERROR(SUMIF($AB$4:$AM$4, "RDEC", AR323:BC323), "")</f>
        <v>0</v>
      </c>
      <c r="BE323" s="294" t="n">
        <f aca="false">IFERROR(SUMIF($AB$4:$AM$4, "SME", AR323:BC323), "")</f>
        <v>0</v>
      </c>
      <c r="BF323" s="294" t="n">
        <f aca="false">IFERROR(SUMIF($AB$4:$AM$4, "De Minimis", AR323:BC323), "")</f>
        <v>0</v>
      </c>
      <c r="BG323" s="287"/>
      <c r="BH323" s="295" t="str">
        <f aca="false">IF((SUM(O323:Z323)&gt;1),"ERROR","")</f>
        <v/>
      </c>
      <c r="BI323" s="287"/>
      <c r="BJ323" s="18" t="str">
        <f aca="false">IF(C309&gt;0, C309, "")</f>
        <v/>
      </c>
      <c r="BL323" s="200"/>
      <c r="BM323" s="200"/>
      <c r="BN323" s="200"/>
    </row>
    <row r="324" customFormat="false" ht="15" hidden="false" customHeight="true" outlineLevel="0" collapsed="false">
      <c r="B324" s="296"/>
      <c r="D324" s="297" t="s">
        <v>82</v>
      </c>
      <c r="E324" s="298" t="n">
        <f aca="false">SUM(E312:E323)</f>
        <v>0</v>
      </c>
      <c r="F324" s="298" t="n">
        <f aca="false">SUM(F312:F323)</f>
        <v>0</v>
      </c>
      <c r="G324" s="298" t="n">
        <f aca="false">SUM(G312:G323)</f>
        <v>0</v>
      </c>
      <c r="H324" s="298" t="n">
        <f aca="false">SUM(H312:H323)</f>
        <v>0</v>
      </c>
      <c r="I324" s="298" t="n">
        <f aca="false">SUM(I312:I323)</f>
        <v>0</v>
      </c>
      <c r="J324" s="299" t="n">
        <f aca="false">SUM(J312:J323)</f>
        <v>0</v>
      </c>
      <c r="K324" s="300"/>
      <c r="L324" s="301" t="n">
        <f aca="false">AVERAGE(L312:L323)</f>
        <v>1</v>
      </c>
      <c r="M324" s="301" t="n">
        <f aca="false">AVERAGE(M312:M323)</f>
        <v>0</v>
      </c>
      <c r="N324" s="302"/>
      <c r="O324" s="290" t="n">
        <f aca="false">IF(SUM(O312:O323)&gt;0,((AB324+AR324)/J324),0)</f>
        <v>0</v>
      </c>
      <c r="P324" s="290" t="n">
        <f aca="false">IF(SUM(P312:P323)&gt;0,((AC324+AS324)/J324),0)</f>
        <v>0</v>
      </c>
      <c r="Q324" s="290" t="n">
        <f aca="false">IF(SUM(Q312:Q323)&gt;0,((AD324+AT324)/J324),0)</f>
        <v>0</v>
      </c>
      <c r="R324" s="290" t="n">
        <f aca="false">IF(SUM(R312:R323)&gt;0,((AE324+AU324)/J324),0)</f>
        <v>0</v>
      </c>
      <c r="S324" s="290" t="n">
        <f aca="false">IF(SUM(S312:S323)&gt;0,((AF324+AV324)/J324),0)</f>
        <v>0</v>
      </c>
      <c r="T324" s="290" t="n">
        <f aca="false">IF(SUM(T312:T323)&gt;0,((AG324+AW324)/J324),0)</f>
        <v>0</v>
      </c>
      <c r="U324" s="290" t="n">
        <f aca="false">IF(SUM(U312:U323)&gt;0,((AH324+AX324)/J324),0)</f>
        <v>0</v>
      </c>
      <c r="V324" s="290" t="n">
        <f aca="false">IF(SUM(V312:V323)&gt;0,((AI324+AY324)/J324),0)</f>
        <v>0</v>
      </c>
      <c r="W324" s="290" t="n">
        <f aca="false">IF(SUM(W312:W323)&gt;0,((AJ324+AZ324)/J324),0)</f>
        <v>0</v>
      </c>
      <c r="X324" s="290" t="n">
        <f aca="false">IF(SUM(X312:X323)&gt;0,((AK324+BA324)/J324),0)</f>
        <v>0</v>
      </c>
      <c r="Y324" s="290" t="n">
        <f aca="false">IF(SUM(Y312:Y323)&gt;0,((AL324+BB324)/J324),0)</f>
        <v>0</v>
      </c>
      <c r="Z324" s="290" t="n">
        <f aca="false">IF(SUM(Z312:Z323)&gt;0,((AM324+BC324)/J324),0)</f>
        <v>0</v>
      </c>
      <c r="AA324" s="303"/>
      <c r="AB324" s="292" t="n">
        <f aca="false">SUM(AB312:AB323)</f>
        <v>0</v>
      </c>
      <c r="AC324" s="304" t="n">
        <f aca="false">SUM(AC312:AC323)</f>
        <v>0</v>
      </c>
      <c r="AD324" s="304" t="n">
        <f aca="false">SUM(AD312:AD323)</f>
        <v>0</v>
      </c>
      <c r="AE324" s="304" t="n">
        <f aca="false">SUM(AE312:AE323)</f>
        <v>0</v>
      </c>
      <c r="AF324" s="304" t="n">
        <f aca="false">SUM(AF312:AF323)</f>
        <v>0</v>
      </c>
      <c r="AG324" s="304" t="n">
        <f aca="false">SUM(AG312:AG323)</f>
        <v>0</v>
      </c>
      <c r="AH324" s="304" t="n">
        <f aca="false">SUM(AH312:AH323)</f>
        <v>0</v>
      </c>
      <c r="AI324" s="304" t="n">
        <f aca="false">SUM(AI312:AI323)</f>
        <v>0</v>
      </c>
      <c r="AJ324" s="304" t="n">
        <f aca="false">SUM(AJ312:AJ323)</f>
        <v>0</v>
      </c>
      <c r="AK324" s="304" t="n">
        <f aca="false">SUM(AK312:AK323)</f>
        <v>0</v>
      </c>
      <c r="AL324" s="304" t="n">
        <f aca="false">SUM(AL312:AL323)</f>
        <v>0</v>
      </c>
      <c r="AM324" s="304" t="n">
        <f aca="false">SUM(AM312:AM323)</f>
        <v>0</v>
      </c>
      <c r="AN324" s="305" t="n">
        <f aca="false">SUM(AN312:AN323)</f>
        <v>0</v>
      </c>
      <c r="AO324" s="305" t="n">
        <f aca="false">SUM(AO312:AO323)</f>
        <v>0</v>
      </c>
      <c r="AP324" s="305" t="n">
        <f aca="false">SUM(AP312:AP323)</f>
        <v>0</v>
      </c>
      <c r="AQ324" s="303"/>
      <c r="AR324" s="292" t="n">
        <f aca="false">SUM(AR312:AR323)</f>
        <v>0</v>
      </c>
      <c r="AS324" s="304" t="n">
        <f aca="false">SUM(AS312:AS323)</f>
        <v>0</v>
      </c>
      <c r="AT324" s="304" t="n">
        <f aca="false">SUM(AT312:AT323)</f>
        <v>0</v>
      </c>
      <c r="AU324" s="304" t="n">
        <f aca="false">SUM(AU312:AU323)</f>
        <v>0</v>
      </c>
      <c r="AV324" s="304" t="n">
        <f aca="false">SUM(AV312:AV323)</f>
        <v>0</v>
      </c>
      <c r="AW324" s="304" t="n">
        <f aca="false">SUM(AW312:AW323)</f>
        <v>0</v>
      </c>
      <c r="AX324" s="304" t="n">
        <f aca="false">SUM(AX312:AX323)</f>
        <v>0</v>
      </c>
      <c r="AY324" s="304" t="n">
        <f aca="false">SUM(AY312:AY323)</f>
        <v>0</v>
      </c>
      <c r="AZ324" s="304" t="n">
        <f aca="false">SUM(AZ312:AZ323)</f>
        <v>0</v>
      </c>
      <c r="BA324" s="304" t="n">
        <f aca="false">SUM(BA312:BA323)</f>
        <v>0</v>
      </c>
      <c r="BB324" s="304" t="n">
        <f aca="false">SUM(BB312:BB323)</f>
        <v>0</v>
      </c>
      <c r="BC324" s="304" t="n">
        <f aca="false">SUM(BC312:BC323)</f>
        <v>0</v>
      </c>
      <c r="BD324" s="305" t="n">
        <f aca="false">SUM(BD312:BD323)</f>
        <v>0</v>
      </c>
      <c r="BE324" s="305" t="n">
        <f aca="false">SUM(BE312:BE323)</f>
        <v>0</v>
      </c>
      <c r="BF324" s="305" t="n">
        <f aca="false">SUM(BF312:BF323)</f>
        <v>0</v>
      </c>
      <c r="BG324" s="303"/>
      <c r="BH324" s="306"/>
      <c r="BI324" s="303"/>
      <c r="BJ324" s="307" t="str">
        <f aca="false">IF(C310&gt;0, C310, "")</f>
        <v>TBA</v>
      </c>
      <c r="BK324" s="18" t="s">
        <v>234</v>
      </c>
      <c r="BL324" s="200" t="n">
        <f aca="false">IF($BK324="Y",J324,0)</f>
        <v>0</v>
      </c>
      <c r="BM324" s="200" t="n">
        <f aca="false">IF(BK324="Y", AN324,0)</f>
        <v>0</v>
      </c>
      <c r="BN324" s="200" t="n">
        <f aca="false">IF((BK324="Y"),AO324,0)</f>
        <v>0</v>
      </c>
    </row>
    <row r="325" customFormat="false" ht="15" hidden="false" customHeight="true" outlineLevel="0" collapsed="false">
      <c r="B325" s="296"/>
      <c r="D325" s="297"/>
      <c r="E325" s="277"/>
      <c r="F325" s="277"/>
      <c r="G325" s="277"/>
      <c r="H325" s="277"/>
      <c r="I325" s="277"/>
      <c r="J325" s="300"/>
      <c r="K325" s="300"/>
      <c r="L325" s="302"/>
      <c r="M325" s="302"/>
      <c r="N325" s="302"/>
      <c r="O325" s="308"/>
      <c r="P325" s="308"/>
      <c r="Q325" s="308"/>
      <c r="R325" s="308"/>
      <c r="S325" s="308"/>
      <c r="T325" s="308"/>
      <c r="U325" s="308"/>
      <c r="V325" s="308"/>
      <c r="W325" s="308"/>
      <c r="X325" s="308"/>
      <c r="Y325" s="308"/>
      <c r="Z325" s="308"/>
      <c r="AA325" s="303"/>
      <c r="AB325" s="303"/>
      <c r="AC325" s="303"/>
      <c r="AD325" s="303"/>
      <c r="AE325" s="303"/>
      <c r="AF325" s="303"/>
      <c r="AG325" s="303"/>
      <c r="AH325" s="303"/>
      <c r="AI325" s="303"/>
      <c r="AJ325" s="303"/>
      <c r="AK325" s="303"/>
      <c r="AL325" s="303"/>
      <c r="AM325" s="303"/>
      <c r="AN325" s="303"/>
      <c r="AO325" s="303"/>
      <c r="AP325" s="303"/>
      <c r="AQ325" s="303"/>
      <c r="AR325" s="303"/>
      <c r="AS325" s="303"/>
      <c r="AT325" s="303"/>
      <c r="AU325" s="303"/>
      <c r="AV325" s="303"/>
      <c r="AW325" s="303"/>
      <c r="AX325" s="303"/>
      <c r="AY325" s="303"/>
      <c r="AZ325" s="303"/>
      <c r="BA325" s="303"/>
      <c r="BB325" s="303"/>
      <c r="BC325" s="303"/>
      <c r="BD325" s="303"/>
      <c r="BE325" s="303"/>
      <c r="BF325" s="303"/>
      <c r="BG325" s="303"/>
      <c r="BH325" s="303"/>
      <c r="BI325" s="303"/>
      <c r="BJ325" s="307" t="str">
        <f aca="false">IF(C312&gt;0, C312, "")</f>
        <v/>
      </c>
      <c r="BL325" s="200"/>
      <c r="BM325" s="200"/>
      <c r="BN325" s="200"/>
    </row>
    <row r="326" customFormat="false" ht="15" hidden="false" customHeight="true" outlineLevel="0" collapsed="false">
      <c r="A326" s="198" t="n">
        <f aca="false">A310+1</f>
        <v>21</v>
      </c>
      <c r="B326" s="266" t="s">
        <v>253</v>
      </c>
      <c r="C326" s="266" t="s">
        <v>253</v>
      </c>
      <c r="D326" s="267"/>
      <c r="E326" s="242"/>
      <c r="F326" s="242"/>
      <c r="G326" s="242"/>
      <c r="H326" s="242"/>
      <c r="I326" s="242"/>
      <c r="J326" s="241"/>
      <c r="K326" s="241"/>
      <c r="L326" s="241"/>
      <c r="M326" s="241"/>
      <c r="N326" s="241"/>
      <c r="O326" s="268"/>
      <c r="P326" s="268"/>
      <c r="Q326" s="268"/>
      <c r="R326" s="268"/>
      <c r="S326" s="268"/>
      <c r="T326" s="268"/>
      <c r="U326" s="268"/>
      <c r="V326" s="268"/>
      <c r="W326" s="268"/>
      <c r="X326" s="268"/>
      <c r="Y326" s="268"/>
      <c r="Z326" s="268"/>
      <c r="AA326" s="268"/>
      <c r="AB326" s="268"/>
      <c r="AC326" s="268"/>
      <c r="AD326" s="268"/>
      <c r="AE326" s="268"/>
      <c r="AF326" s="268"/>
      <c r="AG326" s="268"/>
      <c r="AH326" s="268"/>
      <c r="AI326" s="268"/>
      <c r="AJ326" s="268"/>
      <c r="AK326" s="268"/>
      <c r="AL326" s="268"/>
      <c r="AM326" s="268"/>
      <c r="AN326" s="268"/>
      <c r="AO326" s="268"/>
      <c r="AP326" s="268"/>
      <c r="AQ326" s="268"/>
      <c r="AR326" s="268"/>
      <c r="AS326" s="268"/>
      <c r="AT326" s="268"/>
      <c r="AU326" s="268"/>
      <c r="AV326" s="268"/>
      <c r="AW326" s="268"/>
      <c r="AX326" s="268"/>
      <c r="AY326" s="268"/>
      <c r="AZ326" s="268"/>
      <c r="BA326" s="268"/>
      <c r="BB326" s="268"/>
      <c r="BC326" s="268"/>
      <c r="BD326" s="268"/>
      <c r="BE326" s="268"/>
      <c r="BF326" s="268"/>
      <c r="BG326" s="268"/>
      <c r="BH326" s="268"/>
      <c r="BI326" s="268"/>
      <c r="BJ326" s="18" t="str">
        <f aca="false">IF(C313&gt;0, C313, "")</f>
        <v/>
      </c>
      <c r="BL326" s="200"/>
      <c r="BM326" s="200"/>
      <c r="BN326" s="200"/>
    </row>
    <row r="327" customFormat="false" ht="7.5" hidden="false" customHeight="true" outlineLevel="0" collapsed="false">
      <c r="A327" s="198"/>
      <c r="B327" s="266"/>
      <c r="C327" s="266"/>
      <c r="D327" s="267"/>
      <c r="E327" s="242"/>
      <c r="F327" s="242"/>
      <c r="G327" s="242"/>
      <c r="H327" s="242"/>
      <c r="I327" s="242"/>
      <c r="J327" s="241"/>
      <c r="K327" s="241"/>
      <c r="L327" s="269"/>
      <c r="M327" s="269"/>
      <c r="N327" s="270"/>
      <c r="O327" s="269"/>
      <c r="P327" s="269"/>
      <c r="Q327" s="269"/>
      <c r="R327" s="269"/>
      <c r="S327" s="269"/>
      <c r="T327" s="269"/>
      <c r="U327" s="269"/>
      <c r="V327" s="269"/>
      <c r="W327" s="269"/>
      <c r="X327" s="269"/>
      <c r="Y327" s="269"/>
      <c r="Z327" s="269"/>
      <c r="AA327" s="268"/>
      <c r="AB327" s="271"/>
      <c r="AC327" s="271"/>
      <c r="AD327" s="271"/>
      <c r="AE327" s="271"/>
      <c r="AF327" s="271"/>
      <c r="AG327" s="271"/>
      <c r="AH327" s="271"/>
      <c r="AI327" s="271"/>
      <c r="AJ327" s="271"/>
      <c r="AK327" s="271"/>
      <c r="AL327" s="271"/>
      <c r="AM327" s="272"/>
      <c r="AN327" s="273"/>
      <c r="AO327" s="273"/>
      <c r="AP327" s="273"/>
      <c r="AQ327" s="268"/>
      <c r="AR327" s="271"/>
      <c r="AS327" s="271"/>
      <c r="AT327" s="271"/>
      <c r="AU327" s="271"/>
      <c r="AV327" s="271"/>
      <c r="AW327" s="271"/>
      <c r="AX327" s="271"/>
      <c r="AY327" s="271"/>
      <c r="AZ327" s="271"/>
      <c r="BA327" s="271"/>
      <c r="BB327" s="271"/>
      <c r="BC327" s="272"/>
      <c r="BD327" s="273"/>
      <c r="BE327" s="273"/>
      <c r="BF327" s="273"/>
      <c r="BG327" s="268"/>
      <c r="BH327" s="274"/>
      <c r="BI327" s="268"/>
      <c r="BL327" s="200"/>
      <c r="BM327" s="200"/>
      <c r="BN327" s="200"/>
    </row>
    <row r="328" customFormat="false" ht="15" hidden="false" customHeight="true" outlineLevel="0" collapsed="false">
      <c r="B328" s="275"/>
      <c r="D328" s="276" t="n">
        <f aca="false">D312</f>
        <v>45292</v>
      </c>
      <c r="E328" s="277" t="n">
        <v>0</v>
      </c>
      <c r="F328" s="277" t="n">
        <v>0</v>
      </c>
      <c r="G328" s="277" t="n">
        <v>0</v>
      </c>
      <c r="H328" s="277" t="n">
        <v>0</v>
      </c>
      <c r="I328" s="277" t="n">
        <v>0</v>
      </c>
      <c r="J328" s="278" t="n">
        <f aca="false">E328+H328+I328</f>
        <v>0</v>
      </c>
      <c r="K328" s="204"/>
      <c r="L328" s="279" t="n">
        <v>1</v>
      </c>
      <c r="M328" s="280" t="n">
        <f aca="false">1-L328</f>
        <v>0</v>
      </c>
      <c r="N328" s="281"/>
      <c r="O328" s="282"/>
      <c r="P328" s="282"/>
      <c r="Q328" s="282"/>
      <c r="R328" s="282"/>
      <c r="S328" s="282"/>
      <c r="T328" s="282"/>
      <c r="U328" s="282"/>
      <c r="V328" s="282"/>
      <c r="W328" s="282"/>
      <c r="X328" s="282"/>
      <c r="Y328" s="282"/>
      <c r="Z328" s="282"/>
      <c r="AA328" s="283"/>
      <c r="AB328" s="284" t="n">
        <f aca="false">IFERROR(($J328*O328)*$L328, "")</f>
        <v>0</v>
      </c>
      <c r="AC328" s="284" t="n">
        <f aca="false">IFERROR(($J328*P328)*$L328, "")</f>
        <v>0</v>
      </c>
      <c r="AD328" s="284" t="n">
        <f aca="false">IFERROR(($J328*Q328)*$L328, "")</f>
        <v>0</v>
      </c>
      <c r="AE328" s="284" t="n">
        <f aca="false">IFERROR(($J328*R328)*$L328, "")</f>
        <v>0</v>
      </c>
      <c r="AF328" s="284" t="n">
        <f aca="false">IFERROR(($J328*S328)*$L328, "")</f>
        <v>0</v>
      </c>
      <c r="AG328" s="284" t="n">
        <f aca="false">IFERROR(($J328*T328)*$L328, "")</f>
        <v>0</v>
      </c>
      <c r="AH328" s="284" t="n">
        <f aca="false">IFERROR(($J328*U328)*$L328, "")</f>
        <v>0</v>
      </c>
      <c r="AI328" s="284" t="n">
        <f aca="false">IFERROR(($J328*V328)*$L328, "")</f>
        <v>0</v>
      </c>
      <c r="AJ328" s="284" t="n">
        <f aca="false">IFERROR(($J328*W328)*$L328, "")</f>
        <v>0</v>
      </c>
      <c r="AK328" s="284" t="n">
        <f aca="false">IFERROR(($J328*X328)*$L328, "")</f>
        <v>0</v>
      </c>
      <c r="AL328" s="284" t="n">
        <f aca="false">IFERROR(($J328*Y328)*$L328, "")</f>
        <v>0</v>
      </c>
      <c r="AM328" s="285" t="n">
        <f aca="false">IFERROR(($J328*Z328)*$L328, "")</f>
        <v>0</v>
      </c>
      <c r="AN328" s="286" t="n">
        <f aca="false">IFERROR(SUMIF($AB$4:$AM$4, "RDEC", AB328:AM328), "")</f>
        <v>0</v>
      </c>
      <c r="AO328" s="286" t="n">
        <f aca="false">IFERROR(SUMIF($AB$4:$AM$4, "SME", AB328:AM328), "")</f>
        <v>0</v>
      </c>
      <c r="AP328" s="286" t="n">
        <f aca="false">IFERROR(SUMIF($AB$4:$AM$4, "De Minimis", AB328:AM328), "")</f>
        <v>0</v>
      </c>
      <c r="AQ328" s="283"/>
      <c r="AR328" s="284" t="n">
        <f aca="false">IFERROR(($J328*O328)*$M328, "")</f>
        <v>0</v>
      </c>
      <c r="AS328" s="284" t="n">
        <f aca="false">IFERROR(($J328*P328)*$M328, "")</f>
        <v>0</v>
      </c>
      <c r="AT328" s="284" t="n">
        <f aca="false">IFERROR(($J328*Q328)*$M328, "")</f>
        <v>0</v>
      </c>
      <c r="AU328" s="284" t="n">
        <f aca="false">IFERROR(($J328*R328)*$M328, "")</f>
        <v>0</v>
      </c>
      <c r="AV328" s="284" t="n">
        <f aca="false">IFERROR(($J328*S328)*$M328, "")</f>
        <v>0</v>
      </c>
      <c r="AW328" s="284" t="n">
        <f aca="false">IFERROR(($J328*T328)*$M328, "")</f>
        <v>0</v>
      </c>
      <c r="AX328" s="284" t="n">
        <f aca="false">IFERROR(($J328*U328)*$M328, "")</f>
        <v>0</v>
      </c>
      <c r="AY328" s="284" t="n">
        <f aca="false">IFERROR(($J328*V328)*$M328, "")</f>
        <v>0</v>
      </c>
      <c r="AZ328" s="284" t="n">
        <f aca="false">IFERROR(($J328*W328)*$M328, "")</f>
        <v>0</v>
      </c>
      <c r="BA328" s="284" t="n">
        <f aca="false">IFERROR(($J328*X328)*$M328, "")</f>
        <v>0</v>
      </c>
      <c r="BB328" s="284" t="n">
        <f aca="false">IFERROR(($J328*Y328)*$M328, "")</f>
        <v>0</v>
      </c>
      <c r="BC328" s="285" t="n">
        <f aca="false">IFERROR(($J328*Z328)*$M328, "")</f>
        <v>0</v>
      </c>
      <c r="BD328" s="286" t="n">
        <f aca="false">IFERROR(SUMIF($AB$4:$AM$4, "RDEC", AR328:BC328), "")</f>
        <v>0</v>
      </c>
      <c r="BE328" s="286" t="n">
        <f aca="false">IFERROR(SUMIF($AB$4:$AM$4, "SME", AR328:BC328), "")</f>
        <v>0</v>
      </c>
      <c r="BF328" s="286" t="n">
        <f aca="false">IFERROR(SUMIF($AB$4:$AM$4, "De Minimis", AR328:BC328), "")</f>
        <v>0</v>
      </c>
      <c r="BG328" s="287"/>
      <c r="BH328" s="288" t="str">
        <f aca="false">IF((SUM(O328:Z328)&gt;1),"ERROR","")</f>
        <v/>
      </c>
      <c r="BI328" s="287"/>
      <c r="BJ328" s="18" t="str">
        <f aca="false">IF(C314&gt;0, C314, "")</f>
        <v/>
      </c>
      <c r="BL328" s="200"/>
      <c r="BM328" s="200"/>
      <c r="BN328" s="200"/>
    </row>
    <row r="329" customFormat="false" ht="15" hidden="false" customHeight="true" outlineLevel="0" collapsed="false">
      <c r="B329" s="275"/>
      <c r="D329" s="276" t="n">
        <f aca="false">D313</f>
        <v>45323</v>
      </c>
      <c r="E329" s="277" t="n">
        <v>0</v>
      </c>
      <c r="F329" s="277" t="n">
        <v>0</v>
      </c>
      <c r="G329" s="277" t="n">
        <v>0</v>
      </c>
      <c r="H329" s="277" t="n">
        <v>0</v>
      </c>
      <c r="I329" s="277" t="n">
        <v>0</v>
      </c>
      <c r="J329" s="278" t="n">
        <f aca="false">E329+H329+I329</f>
        <v>0</v>
      </c>
      <c r="K329" s="204"/>
      <c r="L329" s="279" t="n">
        <v>1</v>
      </c>
      <c r="M329" s="280" t="n">
        <f aca="false">1-L329</f>
        <v>0</v>
      </c>
      <c r="N329" s="281"/>
      <c r="O329" s="282"/>
      <c r="P329" s="282"/>
      <c r="Q329" s="282"/>
      <c r="R329" s="282"/>
      <c r="S329" s="282"/>
      <c r="T329" s="282"/>
      <c r="U329" s="282"/>
      <c r="V329" s="282"/>
      <c r="W329" s="282"/>
      <c r="X329" s="282"/>
      <c r="Y329" s="282"/>
      <c r="Z329" s="282"/>
      <c r="AA329" s="283"/>
      <c r="AB329" s="284" t="n">
        <f aca="false">IFERROR(($J329*O329)*$L329, "")</f>
        <v>0</v>
      </c>
      <c r="AC329" s="284" t="n">
        <f aca="false">IFERROR(($J329*P329)*$L329, "")</f>
        <v>0</v>
      </c>
      <c r="AD329" s="284" t="n">
        <f aca="false">IFERROR(($J329*Q329)*$L329, "")</f>
        <v>0</v>
      </c>
      <c r="AE329" s="284" t="n">
        <f aca="false">IFERROR(($J329*R329)*$L329, "")</f>
        <v>0</v>
      </c>
      <c r="AF329" s="284" t="n">
        <f aca="false">IFERROR(($J329*S329)*$L329, "")</f>
        <v>0</v>
      </c>
      <c r="AG329" s="284" t="n">
        <f aca="false">IFERROR(($J329*T329)*$L329, "")</f>
        <v>0</v>
      </c>
      <c r="AH329" s="284" t="n">
        <f aca="false">IFERROR(($J329*U329)*$L329, "")</f>
        <v>0</v>
      </c>
      <c r="AI329" s="284" t="n">
        <f aca="false">IFERROR(($J329*V329)*$L329, "")</f>
        <v>0</v>
      </c>
      <c r="AJ329" s="284" t="n">
        <f aca="false">IFERROR(($J329*W329)*$L329, "")</f>
        <v>0</v>
      </c>
      <c r="AK329" s="284" t="n">
        <f aca="false">IFERROR(($J329*X329)*$L329, "")</f>
        <v>0</v>
      </c>
      <c r="AL329" s="284" t="n">
        <f aca="false">IFERROR(($J329*Y329)*$L329, "")</f>
        <v>0</v>
      </c>
      <c r="AM329" s="285" t="n">
        <f aca="false">IFERROR(($J329*Z329)*$L329, "")</f>
        <v>0</v>
      </c>
      <c r="AN329" s="286" t="n">
        <f aca="false">IFERROR(SUMIF($AB$4:$AM$4, "RDEC", AB329:AM329), "")</f>
        <v>0</v>
      </c>
      <c r="AO329" s="286" t="n">
        <f aca="false">IFERROR(SUMIF($AB$4:$AM$4, "SME", AB329:AM329), "")</f>
        <v>0</v>
      </c>
      <c r="AP329" s="286" t="n">
        <f aca="false">IFERROR(SUMIF($AB$4:$AM$4, "De Minimis", AB329:AM329), "")</f>
        <v>0</v>
      </c>
      <c r="AQ329" s="283"/>
      <c r="AR329" s="284" t="n">
        <f aca="false">IFERROR(($J329*O329)*$M329, "")</f>
        <v>0</v>
      </c>
      <c r="AS329" s="284" t="n">
        <f aca="false">IFERROR(($J329*P329)*$M329, "")</f>
        <v>0</v>
      </c>
      <c r="AT329" s="284" t="n">
        <f aca="false">IFERROR(($J329*Q329)*$M329, "")</f>
        <v>0</v>
      </c>
      <c r="AU329" s="284" t="n">
        <f aca="false">IFERROR(($J329*R329)*$M329, "")</f>
        <v>0</v>
      </c>
      <c r="AV329" s="284" t="n">
        <f aca="false">IFERROR(($J329*S329)*$M329, "")</f>
        <v>0</v>
      </c>
      <c r="AW329" s="284" t="n">
        <f aca="false">IFERROR(($J329*T329)*$M329, "")</f>
        <v>0</v>
      </c>
      <c r="AX329" s="284" t="n">
        <f aca="false">IFERROR(($J329*U329)*$M329, "")</f>
        <v>0</v>
      </c>
      <c r="AY329" s="284" t="n">
        <f aca="false">IFERROR(($J329*V329)*$M329, "")</f>
        <v>0</v>
      </c>
      <c r="AZ329" s="284" t="n">
        <f aca="false">IFERROR(($J329*W329)*$M329, "")</f>
        <v>0</v>
      </c>
      <c r="BA329" s="284" t="n">
        <f aca="false">IFERROR(($J329*X329)*$M329, "")</f>
        <v>0</v>
      </c>
      <c r="BB329" s="284" t="n">
        <f aca="false">IFERROR(($J329*Y329)*$M329, "")</f>
        <v>0</v>
      </c>
      <c r="BC329" s="285" t="n">
        <f aca="false">IFERROR(($J329*Z329)*$M329, "")</f>
        <v>0</v>
      </c>
      <c r="BD329" s="286" t="n">
        <f aca="false">IFERROR(SUMIF($AB$4:$AM$4, "RDEC", AR329:BC329), "")</f>
        <v>0</v>
      </c>
      <c r="BE329" s="286" t="n">
        <f aca="false">IFERROR(SUMIF($AB$4:$AM$4, "SME", AR329:BC329), "")</f>
        <v>0</v>
      </c>
      <c r="BF329" s="286" t="n">
        <f aca="false">IFERROR(SUMIF($AB$4:$AM$4, "De Minimis", AR329:BC329), "")</f>
        <v>0</v>
      </c>
      <c r="BG329" s="287"/>
      <c r="BH329" s="288" t="str">
        <f aca="false">IF((SUM(O329:Z329)&gt;1),"ERROR","")</f>
        <v/>
      </c>
      <c r="BI329" s="287"/>
      <c r="BJ329" s="18" t="str">
        <f aca="false">IF(C315&gt;0, C315, "")</f>
        <v/>
      </c>
      <c r="BL329" s="200"/>
      <c r="BM329" s="200"/>
      <c r="BN329" s="200"/>
    </row>
    <row r="330" customFormat="false" ht="15" hidden="false" customHeight="true" outlineLevel="0" collapsed="false">
      <c r="B330" s="275"/>
      <c r="D330" s="276" t="n">
        <f aca="false">D314</f>
        <v>45352</v>
      </c>
      <c r="E330" s="277" t="n">
        <v>0</v>
      </c>
      <c r="F330" s="277" t="n">
        <v>0</v>
      </c>
      <c r="G330" s="277" t="n">
        <v>0</v>
      </c>
      <c r="H330" s="277" t="n">
        <v>0</v>
      </c>
      <c r="I330" s="277" t="n">
        <v>0</v>
      </c>
      <c r="J330" s="278" t="n">
        <f aca="false">E330+H330+I330</f>
        <v>0</v>
      </c>
      <c r="K330" s="204"/>
      <c r="L330" s="279" t="n">
        <v>1</v>
      </c>
      <c r="M330" s="280" t="n">
        <f aca="false">1-L330</f>
        <v>0</v>
      </c>
      <c r="N330" s="281"/>
      <c r="O330" s="282"/>
      <c r="P330" s="282"/>
      <c r="Q330" s="282"/>
      <c r="R330" s="282"/>
      <c r="S330" s="282"/>
      <c r="T330" s="282"/>
      <c r="U330" s="282"/>
      <c r="V330" s="282"/>
      <c r="W330" s="282"/>
      <c r="X330" s="282"/>
      <c r="Y330" s="282"/>
      <c r="Z330" s="282"/>
      <c r="AA330" s="283"/>
      <c r="AB330" s="284" t="n">
        <f aca="false">IFERROR(($J330*O330)*$L330, "")</f>
        <v>0</v>
      </c>
      <c r="AC330" s="284" t="n">
        <f aca="false">IFERROR(($J330*P330)*$L330, "")</f>
        <v>0</v>
      </c>
      <c r="AD330" s="284" t="n">
        <f aca="false">IFERROR(($J330*Q330)*$L330, "")</f>
        <v>0</v>
      </c>
      <c r="AE330" s="284" t="n">
        <f aca="false">IFERROR(($J330*R330)*$L330, "")</f>
        <v>0</v>
      </c>
      <c r="AF330" s="284" t="n">
        <f aca="false">IFERROR(($J330*S330)*$L330, "")</f>
        <v>0</v>
      </c>
      <c r="AG330" s="284" t="n">
        <f aca="false">IFERROR(($J330*T330)*$L330, "")</f>
        <v>0</v>
      </c>
      <c r="AH330" s="284" t="n">
        <f aca="false">IFERROR(($J330*U330)*$L330, "")</f>
        <v>0</v>
      </c>
      <c r="AI330" s="284" t="n">
        <f aca="false">IFERROR(($J330*V330)*$L330, "")</f>
        <v>0</v>
      </c>
      <c r="AJ330" s="284" t="n">
        <f aca="false">IFERROR(($J330*W330)*$L330, "")</f>
        <v>0</v>
      </c>
      <c r="AK330" s="284" t="n">
        <f aca="false">IFERROR(($J330*X330)*$L330, "")</f>
        <v>0</v>
      </c>
      <c r="AL330" s="284" t="n">
        <f aca="false">IFERROR(($J330*Y330)*$L330, "")</f>
        <v>0</v>
      </c>
      <c r="AM330" s="285" t="n">
        <f aca="false">IFERROR(($J330*Z330)*$L330, "")</f>
        <v>0</v>
      </c>
      <c r="AN330" s="286" t="n">
        <f aca="false">IFERROR(SUMIF($AB$4:$AM$4, "RDEC", AB330:AM330), "")</f>
        <v>0</v>
      </c>
      <c r="AO330" s="286" t="n">
        <f aca="false">IFERROR(SUMIF($AB$4:$AM$4, "SME", AB330:AM330), "")</f>
        <v>0</v>
      </c>
      <c r="AP330" s="286" t="n">
        <f aca="false">IFERROR(SUMIF($AB$4:$AM$4, "De Minimis", AB330:AM330), "")</f>
        <v>0</v>
      </c>
      <c r="AQ330" s="283"/>
      <c r="AR330" s="284" t="n">
        <f aca="false">IFERROR(($J330*O330)*$M330, "")</f>
        <v>0</v>
      </c>
      <c r="AS330" s="284" t="n">
        <f aca="false">IFERROR(($J330*P330)*$M330, "")</f>
        <v>0</v>
      </c>
      <c r="AT330" s="284" t="n">
        <f aca="false">IFERROR(($J330*Q330)*$M330, "")</f>
        <v>0</v>
      </c>
      <c r="AU330" s="284" t="n">
        <f aca="false">IFERROR(($J330*R330)*$M330, "")</f>
        <v>0</v>
      </c>
      <c r="AV330" s="284" t="n">
        <f aca="false">IFERROR(($J330*S330)*$M330, "")</f>
        <v>0</v>
      </c>
      <c r="AW330" s="284" t="n">
        <f aca="false">IFERROR(($J330*T330)*$M330, "")</f>
        <v>0</v>
      </c>
      <c r="AX330" s="284" t="n">
        <f aca="false">IFERROR(($J330*U330)*$M330, "")</f>
        <v>0</v>
      </c>
      <c r="AY330" s="284" t="n">
        <f aca="false">IFERROR(($J330*V330)*$M330, "")</f>
        <v>0</v>
      </c>
      <c r="AZ330" s="284" t="n">
        <f aca="false">IFERROR(($J330*W330)*$M330, "")</f>
        <v>0</v>
      </c>
      <c r="BA330" s="284" t="n">
        <f aca="false">IFERROR(($J330*X330)*$M330, "")</f>
        <v>0</v>
      </c>
      <c r="BB330" s="284" t="n">
        <f aca="false">IFERROR(($J330*Y330)*$M330, "")</f>
        <v>0</v>
      </c>
      <c r="BC330" s="285" t="n">
        <f aca="false">IFERROR(($J330*Z330)*$M330, "")</f>
        <v>0</v>
      </c>
      <c r="BD330" s="286" t="n">
        <f aca="false">IFERROR(SUMIF($AB$4:$AM$4, "RDEC", AR330:BC330), "")</f>
        <v>0</v>
      </c>
      <c r="BE330" s="286" t="n">
        <f aca="false">IFERROR(SUMIF($AB$4:$AM$4, "SME", AR330:BC330), "")</f>
        <v>0</v>
      </c>
      <c r="BF330" s="286" t="n">
        <f aca="false">IFERROR(SUMIF($AB$4:$AM$4, "De Minimis", AR330:BC330), "")</f>
        <v>0</v>
      </c>
      <c r="BG330" s="287"/>
      <c r="BH330" s="288" t="str">
        <f aca="false">IF((SUM(O330:Z330)&gt;1),"ERROR","")</f>
        <v/>
      </c>
      <c r="BI330" s="287"/>
      <c r="BJ330" s="18" t="str">
        <f aca="false">IF(C316&gt;0, C316, "")</f>
        <v/>
      </c>
      <c r="BL330" s="200"/>
      <c r="BM330" s="200"/>
      <c r="BN330" s="200"/>
    </row>
    <row r="331" customFormat="false" ht="15" hidden="false" customHeight="true" outlineLevel="0" collapsed="false">
      <c r="B331" s="275"/>
      <c r="D331" s="276" t="n">
        <f aca="false">D315</f>
        <v>45383</v>
      </c>
      <c r="E331" s="277" t="n">
        <v>0</v>
      </c>
      <c r="F331" s="277" t="n">
        <v>0</v>
      </c>
      <c r="G331" s="277" t="n">
        <v>0</v>
      </c>
      <c r="H331" s="277" t="n">
        <v>0</v>
      </c>
      <c r="I331" s="277" t="n">
        <v>0</v>
      </c>
      <c r="J331" s="278" t="n">
        <f aca="false">E331+H331+I331</f>
        <v>0</v>
      </c>
      <c r="K331" s="204"/>
      <c r="L331" s="279" t="n">
        <v>1</v>
      </c>
      <c r="M331" s="280" t="n">
        <f aca="false">1-L331</f>
        <v>0</v>
      </c>
      <c r="N331" s="281"/>
      <c r="O331" s="282"/>
      <c r="P331" s="282"/>
      <c r="Q331" s="282"/>
      <c r="R331" s="282"/>
      <c r="S331" s="282"/>
      <c r="T331" s="282"/>
      <c r="U331" s="282"/>
      <c r="V331" s="282"/>
      <c r="W331" s="282"/>
      <c r="X331" s="282"/>
      <c r="Y331" s="282"/>
      <c r="Z331" s="282"/>
      <c r="AA331" s="283"/>
      <c r="AB331" s="284" t="n">
        <f aca="false">IFERROR(($J331*O331)*$L331, "")</f>
        <v>0</v>
      </c>
      <c r="AC331" s="284" t="n">
        <f aca="false">IFERROR(($J331*P331)*$L331, "")</f>
        <v>0</v>
      </c>
      <c r="AD331" s="284" t="n">
        <f aca="false">IFERROR(($J331*Q331)*$L331, "")</f>
        <v>0</v>
      </c>
      <c r="AE331" s="284" t="n">
        <f aca="false">IFERROR(($J331*R331)*$L331, "")</f>
        <v>0</v>
      </c>
      <c r="AF331" s="284" t="n">
        <f aca="false">IFERROR(($J331*S331)*$L331, "")</f>
        <v>0</v>
      </c>
      <c r="AG331" s="284" t="n">
        <f aca="false">IFERROR(($J331*T331)*$L331, "")</f>
        <v>0</v>
      </c>
      <c r="AH331" s="284" t="n">
        <f aca="false">IFERROR(($J331*U331)*$L331, "")</f>
        <v>0</v>
      </c>
      <c r="AI331" s="284" t="n">
        <f aca="false">IFERROR(($J331*V331)*$L331, "")</f>
        <v>0</v>
      </c>
      <c r="AJ331" s="284" t="n">
        <f aca="false">IFERROR(($J331*W331)*$L331, "")</f>
        <v>0</v>
      </c>
      <c r="AK331" s="284" t="n">
        <f aca="false">IFERROR(($J331*X331)*$L331, "")</f>
        <v>0</v>
      </c>
      <c r="AL331" s="284" t="n">
        <f aca="false">IFERROR(($J331*Y331)*$L331, "")</f>
        <v>0</v>
      </c>
      <c r="AM331" s="285" t="n">
        <f aca="false">IFERROR(($J331*Z331)*$L331, "")</f>
        <v>0</v>
      </c>
      <c r="AN331" s="286" t="n">
        <f aca="false">IFERROR(SUMIF($AB$4:$AM$4, "RDEC", AB331:AM331), "")</f>
        <v>0</v>
      </c>
      <c r="AO331" s="286" t="n">
        <f aca="false">IFERROR(SUMIF($AB$4:$AM$4, "SME", AB331:AM331), "")</f>
        <v>0</v>
      </c>
      <c r="AP331" s="286" t="n">
        <f aca="false">IFERROR(SUMIF($AB$4:$AM$4, "De Minimis", AB331:AM331), "")</f>
        <v>0</v>
      </c>
      <c r="AQ331" s="283"/>
      <c r="AR331" s="284" t="n">
        <f aca="false">IFERROR(($J331*O331)*$M331, "")</f>
        <v>0</v>
      </c>
      <c r="AS331" s="284" t="n">
        <f aca="false">IFERROR(($J331*P331)*$M331, "")</f>
        <v>0</v>
      </c>
      <c r="AT331" s="284" t="n">
        <f aca="false">IFERROR(($J331*Q331)*$M331, "")</f>
        <v>0</v>
      </c>
      <c r="AU331" s="284" t="n">
        <f aca="false">IFERROR(($J331*R331)*$M331, "")</f>
        <v>0</v>
      </c>
      <c r="AV331" s="284" t="n">
        <f aca="false">IFERROR(($J331*S331)*$M331, "")</f>
        <v>0</v>
      </c>
      <c r="AW331" s="284" t="n">
        <f aca="false">IFERROR(($J331*T331)*$M331, "")</f>
        <v>0</v>
      </c>
      <c r="AX331" s="284" t="n">
        <f aca="false">IFERROR(($J331*U331)*$M331, "")</f>
        <v>0</v>
      </c>
      <c r="AY331" s="284" t="n">
        <f aca="false">IFERROR(($J331*V331)*$M331, "")</f>
        <v>0</v>
      </c>
      <c r="AZ331" s="284" t="n">
        <f aca="false">IFERROR(($J331*W331)*$M331, "")</f>
        <v>0</v>
      </c>
      <c r="BA331" s="284" t="n">
        <f aca="false">IFERROR(($J331*X331)*$M331, "")</f>
        <v>0</v>
      </c>
      <c r="BB331" s="284" t="n">
        <f aca="false">IFERROR(($J331*Y331)*$M331, "")</f>
        <v>0</v>
      </c>
      <c r="BC331" s="285" t="n">
        <f aca="false">IFERROR(($J331*Z331)*$M331, "")</f>
        <v>0</v>
      </c>
      <c r="BD331" s="286" t="n">
        <f aca="false">IFERROR(SUMIF($AB$4:$AM$4, "RDEC", AR331:BC331), "")</f>
        <v>0</v>
      </c>
      <c r="BE331" s="286" t="n">
        <f aca="false">IFERROR(SUMIF($AB$4:$AM$4, "SME", AR331:BC331), "")</f>
        <v>0</v>
      </c>
      <c r="BF331" s="286" t="n">
        <f aca="false">IFERROR(SUMIF($AB$4:$AM$4, "De Minimis", AR331:BC331), "")</f>
        <v>0</v>
      </c>
      <c r="BG331" s="287"/>
      <c r="BH331" s="288" t="str">
        <f aca="false">IF((SUM(O331:Z331)&gt;1),"ERROR","")</f>
        <v/>
      </c>
      <c r="BI331" s="287"/>
      <c r="BJ331" s="18" t="str">
        <f aca="false">IF(C317&gt;0, C317, "")</f>
        <v/>
      </c>
      <c r="BL331" s="200"/>
      <c r="BM331" s="200"/>
      <c r="BN331" s="200"/>
    </row>
    <row r="332" customFormat="false" ht="15" hidden="false" customHeight="true" outlineLevel="0" collapsed="false">
      <c r="B332" s="275"/>
      <c r="D332" s="276" t="n">
        <f aca="false">D316</f>
        <v>45413</v>
      </c>
      <c r="E332" s="277" t="n">
        <v>0</v>
      </c>
      <c r="F332" s="277" t="n">
        <v>0</v>
      </c>
      <c r="G332" s="277" t="n">
        <v>0</v>
      </c>
      <c r="H332" s="277" t="n">
        <v>0</v>
      </c>
      <c r="I332" s="277" t="n">
        <v>0</v>
      </c>
      <c r="J332" s="278" t="n">
        <f aca="false">E332+H332+I332</f>
        <v>0</v>
      </c>
      <c r="K332" s="204"/>
      <c r="L332" s="279" t="n">
        <v>1</v>
      </c>
      <c r="M332" s="280" t="n">
        <f aca="false">1-L332</f>
        <v>0</v>
      </c>
      <c r="N332" s="281"/>
      <c r="O332" s="282"/>
      <c r="P332" s="282"/>
      <c r="Q332" s="282"/>
      <c r="R332" s="282"/>
      <c r="S332" s="282"/>
      <c r="T332" s="282"/>
      <c r="U332" s="282"/>
      <c r="V332" s="282"/>
      <c r="W332" s="282"/>
      <c r="X332" s="282"/>
      <c r="Y332" s="282"/>
      <c r="Z332" s="282"/>
      <c r="AA332" s="283"/>
      <c r="AB332" s="284" t="n">
        <f aca="false">IFERROR(($J332*O332)*$L332, "")</f>
        <v>0</v>
      </c>
      <c r="AC332" s="284" t="n">
        <f aca="false">IFERROR(($J332*P332)*$L332, "")</f>
        <v>0</v>
      </c>
      <c r="AD332" s="284" t="n">
        <f aca="false">IFERROR(($J332*Q332)*$L332, "")</f>
        <v>0</v>
      </c>
      <c r="AE332" s="284" t="n">
        <f aca="false">IFERROR(($J332*R332)*$L332, "")</f>
        <v>0</v>
      </c>
      <c r="AF332" s="284" t="n">
        <f aca="false">IFERROR(($J332*S332)*$L332, "")</f>
        <v>0</v>
      </c>
      <c r="AG332" s="284" t="n">
        <f aca="false">IFERROR(($J332*T332)*$L332, "")</f>
        <v>0</v>
      </c>
      <c r="AH332" s="284" t="n">
        <f aca="false">IFERROR(($J332*U332)*$L332, "")</f>
        <v>0</v>
      </c>
      <c r="AI332" s="284" t="n">
        <f aca="false">IFERROR(($J332*V332)*$L332, "")</f>
        <v>0</v>
      </c>
      <c r="AJ332" s="284" t="n">
        <f aca="false">IFERROR(($J332*W332)*$L332, "")</f>
        <v>0</v>
      </c>
      <c r="AK332" s="284" t="n">
        <f aca="false">IFERROR(($J332*X332)*$L332, "")</f>
        <v>0</v>
      </c>
      <c r="AL332" s="284" t="n">
        <f aca="false">IFERROR(($J332*Y332)*$L332, "")</f>
        <v>0</v>
      </c>
      <c r="AM332" s="285" t="n">
        <f aca="false">IFERROR(($J332*Z332)*$L332, "")</f>
        <v>0</v>
      </c>
      <c r="AN332" s="286" t="n">
        <f aca="false">IFERROR(SUMIF($AB$4:$AM$4, "RDEC", AB332:AM332), "")</f>
        <v>0</v>
      </c>
      <c r="AO332" s="286" t="n">
        <f aca="false">IFERROR(SUMIF($AB$4:$AM$4, "SME", AB332:AM332), "")</f>
        <v>0</v>
      </c>
      <c r="AP332" s="286" t="n">
        <f aca="false">IFERROR(SUMIF($AB$4:$AM$4, "De Minimis", AB332:AM332), "")</f>
        <v>0</v>
      </c>
      <c r="AQ332" s="283"/>
      <c r="AR332" s="284" t="n">
        <f aca="false">IFERROR(($J332*O332)*$M332, "")</f>
        <v>0</v>
      </c>
      <c r="AS332" s="284" t="n">
        <f aca="false">IFERROR(($J332*P332)*$M332, "")</f>
        <v>0</v>
      </c>
      <c r="AT332" s="284" t="n">
        <f aca="false">IFERROR(($J332*Q332)*$M332, "")</f>
        <v>0</v>
      </c>
      <c r="AU332" s="284" t="n">
        <f aca="false">IFERROR(($J332*R332)*$M332, "")</f>
        <v>0</v>
      </c>
      <c r="AV332" s="284" t="n">
        <f aca="false">IFERROR(($J332*S332)*$M332, "")</f>
        <v>0</v>
      </c>
      <c r="AW332" s="284" t="n">
        <f aca="false">IFERROR(($J332*T332)*$M332, "")</f>
        <v>0</v>
      </c>
      <c r="AX332" s="284" t="n">
        <f aca="false">IFERROR(($J332*U332)*$M332, "")</f>
        <v>0</v>
      </c>
      <c r="AY332" s="284" t="n">
        <f aca="false">IFERROR(($J332*V332)*$M332, "")</f>
        <v>0</v>
      </c>
      <c r="AZ332" s="284" t="n">
        <f aca="false">IFERROR(($J332*W332)*$M332, "")</f>
        <v>0</v>
      </c>
      <c r="BA332" s="284" t="n">
        <f aca="false">IFERROR(($J332*X332)*$M332, "")</f>
        <v>0</v>
      </c>
      <c r="BB332" s="284" t="n">
        <f aca="false">IFERROR(($J332*Y332)*$M332, "")</f>
        <v>0</v>
      </c>
      <c r="BC332" s="285" t="n">
        <f aca="false">IFERROR(($J332*Z332)*$M332, "")</f>
        <v>0</v>
      </c>
      <c r="BD332" s="286" t="n">
        <f aca="false">IFERROR(SUMIF($AB$4:$AM$4, "RDEC", AR332:BC332), "")</f>
        <v>0</v>
      </c>
      <c r="BE332" s="286" t="n">
        <f aca="false">IFERROR(SUMIF($AB$4:$AM$4, "SME", AR332:BC332), "")</f>
        <v>0</v>
      </c>
      <c r="BF332" s="286" t="n">
        <f aca="false">IFERROR(SUMIF($AB$4:$AM$4, "De Minimis", AR332:BC332), "")</f>
        <v>0</v>
      </c>
      <c r="BG332" s="287"/>
      <c r="BH332" s="288" t="str">
        <f aca="false">IF((SUM(O332:Z332)&gt;1),"ERROR","")</f>
        <v/>
      </c>
      <c r="BI332" s="287"/>
      <c r="BJ332" s="18" t="str">
        <f aca="false">IF(C318&gt;0, C318, "")</f>
        <v/>
      </c>
      <c r="BL332" s="200"/>
      <c r="BM332" s="200"/>
      <c r="BN332" s="200"/>
    </row>
    <row r="333" customFormat="false" ht="15" hidden="false" customHeight="true" outlineLevel="0" collapsed="false">
      <c r="B333" s="275"/>
      <c r="D333" s="276" t="n">
        <f aca="false">D317</f>
        <v>45444</v>
      </c>
      <c r="E333" s="277" t="n">
        <v>0</v>
      </c>
      <c r="F333" s="277" t="n">
        <v>0</v>
      </c>
      <c r="G333" s="277" t="n">
        <v>0</v>
      </c>
      <c r="H333" s="277" t="n">
        <v>0</v>
      </c>
      <c r="I333" s="277" t="n">
        <v>0</v>
      </c>
      <c r="J333" s="278" t="n">
        <f aca="false">E333+H333+I333</f>
        <v>0</v>
      </c>
      <c r="K333" s="204"/>
      <c r="L333" s="279" t="n">
        <v>1</v>
      </c>
      <c r="M333" s="280" t="n">
        <f aca="false">1-L333</f>
        <v>0</v>
      </c>
      <c r="N333" s="281"/>
      <c r="O333" s="282"/>
      <c r="P333" s="282"/>
      <c r="Q333" s="282"/>
      <c r="R333" s="282"/>
      <c r="S333" s="282"/>
      <c r="T333" s="282"/>
      <c r="U333" s="282"/>
      <c r="V333" s="282"/>
      <c r="W333" s="282"/>
      <c r="X333" s="282"/>
      <c r="Y333" s="282"/>
      <c r="Z333" s="282"/>
      <c r="AA333" s="283"/>
      <c r="AB333" s="284" t="n">
        <f aca="false">IFERROR(($J333*O333)*$L333, "")</f>
        <v>0</v>
      </c>
      <c r="AC333" s="284" t="n">
        <f aca="false">IFERROR(($J333*P333)*$L333, "")</f>
        <v>0</v>
      </c>
      <c r="AD333" s="284" t="n">
        <f aca="false">IFERROR(($J333*Q333)*$L333, "")</f>
        <v>0</v>
      </c>
      <c r="AE333" s="284" t="n">
        <f aca="false">IFERROR(($J333*R333)*$L333, "")</f>
        <v>0</v>
      </c>
      <c r="AF333" s="284" t="n">
        <f aca="false">IFERROR(($J333*S333)*$L333, "")</f>
        <v>0</v>
      </c>
      <c r="AG333" s="284" t="n">
        <f aca="false">IFERROR(($J333*T333)*$L333, "")</f>
        <v>0</v>
      </c>
      <c r="AH333" s="284" t="n">
        <f aca="false">IFERROR(($J333*U333)*$L333, "")</f>
        <v>0</v>
      </c>
      <c r="AI333" s="284" t="n">
        <f aca="false">IFERROR(($J333*V333)*$L333, "")</f>
        <v>0</v>
      </c>
      <c r="AJ333" s="284" t="n">
        <f aca="false">IFERROR(($J333*W333)*$L333, "")</f>
        <v>0</v>
      </c>
      <c r="AK333" s="284" t="n">
        <f aca="false">IFERROR(($J333*X333)*$L333, "")</f>
        <v>0</v>
      </c>
      <c r="AL333" s="284" t="n">
        <f aca="false">IFERROR(($J333*Y333)*$L333, "")</f>
        <v>0</v>
      </c>
      <c r="AM333" s="285" t="n">
        <f aca="false">IFERROR(($J333*Z333)*$L333, "")</f>
        <v>0</v>
      </c>
      <c r="AN333" s="286" t="n">
        <f aca="false">IFERROR(SUMIF($AB$4:$AM$4, "RDEC", AB333:AM333), "")</f>
        <v>0</v>
      </c>
      <c r="AO333" s="286" t="n">
        <f aca="false">IFERROR(SUMIF($AB$4:$AM$4, "SME", AB333:AM333), "")</f>
        <v>0</v>
      </c>
      <c r="AP333" s="286" t="n">
        <f aca="false">IFERROR(SUMIF($AB$4:$AM$4, "De Minimis", AB333:AM333), "")</f>
        <v>0</v>
      </c>
      <c r="AQ333" s="283"/>
      <c r="AR333" s="284" t="n">
        <f aca="false">IFERROR(($J333*O333)*$M333, "")</f>
        <v>0</v>
      </c>
      <c r="AS333" s="284" t="n">
        <f aca="false">IFERROR(($J333*P333)*$M333, "")</f>
        <v>0</v>
      </c>
      <c r="AT333" s="284" t="n">
        <f aca="false">IFERROR(($J333*Q333)*$M333, "")</f>
        <v>0</v>
      </c>
      <c r="AU333" s="284" t="n">
        <f aca="false">IFERROR(($J333*R333)*$M333, "")</f>
        <v>0</v>
      </c>
      <c r="AV333" s="284" t="n">
        <f aca="false">IFERROR(($J333*S333)*$M333, "")</f>
        <v>0</v>
      </c>
      <c r="AW333" s="284" t="n">
        <f aca="false">IFERROR(($J333*T333)*$M333, "")</f>
        <v>0</v>
      </c>
      <c r="AX333" s="284" t="n">
        <f aca="false">IFERROR(($J333*U333)*$M333, "")</f>
        <v>0</v>
      </c>
      <c r="AY333" s="284" t="n">
        <f aca="false">IFERROR(($J333*V333)*$M333, "")</f>
        <v>0</v>
      </c>
      <c r="AZ333" s="284" t="n">
        <f aca="false">IFERROR(($J333*W333)*$M333, "")</f>
        <v>0</v>
      </c>
      <c r="BA333" s="284" t="n">
        <f aca="false">IFERROR(($J333*X333)*$M333, "")</f>
        <v>0</v>
      </c>
      <c r="BB333" s="284" t="n">
        <f aca="false">IFERROR(($J333*Y333)*$M333, "")</f>
        <v>0</v>
      </c>
      <c r="BC333" s="285" t="n">
        <f aca="false">IFERROR(($J333*Z333)*$M333, "")</f>
        <v>0</v>
      </c>
      <c r="BD333" s="286" t="n">
        <f aca="false">IFERROR(SUMIF($AB$4:$AM$4, "RDEC", AR333:BC333), "")</f>
        <v>0</v>
      </c>
      <c r="BE333" s="286" t="n">
        <f aca="false">IFERROR(SUMIF($AB$4:$AM$4, "SME", AR333:BC333), "")</f>
        <v>0</v>
      </c>
      <c r="BF333" s="286" t="n">
        <f aca="false">IFERROR(SUMIF($AB$4:$AM$4, "De Minimis", AR333:BC333), "")</f>
        <v>0</v>
      </c>
      <c r="BG333" s="287"/>
      <c r="BH333" s="288" t="str">
        <f aca="false">IF((SUM(O333:Z333)&gt;1),"ERROR","")</f>
        <v/>
      </c>
      <c r="BI333" s="287"/>
      <c r="BJ333" s="18" t="str">
        <f aca="false">IF(C319&gt;0, C319, "")</f>
        <v/>
      </c>
      <c r="BL333" s="200"/>
      <c r="BM333" s="200"/>
      <c r="BN333" s="200"/>
    </row>
    <row r="334" customFormat="false" ht="15" hidden="false" customHeight="true" outlineLevel="0" collapsed="false">
      <c r="B334" s="275"/>
      <c r="D334" s="276" t="n">
        <f aca="false">D318</f>
        <v>45474</v>
      </c>
      <c r="E334" s="277" t="n">
        <v>0</v>
      </c>
      <c r="F334" s="277" t="n">
        <v>0</v>
      </c>
      <c r="G334" s="277" t="n">
        <v>0</v>
      </c>
      <c r="H334" s="277" t="n">
        <v>0</v>
      </c>
      <c r="I334" s="277" t="n">
        <v>0</v>
      </c>
      <c r="J334" s="278" t="n">
        <f aca="false">E334+H334+I334</f>
        <v>0</v>
      </c>
      <c r="K334" s="204"/>
      <c r="L334" s="279" t="n">
        <v>1</v>
      </c>
      <c r="M334" s="280" t="n">
        <f aca="false">1-L334</f>
        <v>0</v>
      </c>
      <c r="N334" s="281"/>
      <c r="O334" s="282"/>
      <c r="P334" s="282"/>
      <c r="Q334" s="282"/>
      <c r="R334" s="282"/>
      <c r="S334" s="282"/>
      <c r="T334" s="282"/>
      <c r="U334" s="282"/>
      <c r="V334" s="282"/>
      <c r="W334" s="282"/>
      <c r="X334" s="282"/>
      <c r="Y334" s="282"/>
      <c r="Z334" s="282"/>
      <c r="AA334" s="283"/>
      <c r="AB334" s="284" t="n">
        <f aca="false">IFERROR(($J334*O334)*$L334, "")</f>
        <v>0</v>
      </c>
      <c r="AC334" s="284" t="n">
        <f aca="false">IFERROR(($J334*P334)*$L334, "")</f>
        <v>0</v>
      </c>
      <c r="AD334" s="284" t="n">
        <f aca="false">IFERROR(($J334*Q334)*$L334, "")</f>
        <v>0</v>
      </c>
      <c r="AE334" s="284" t="n">
        <f aca="false">IFERROR(($J334*R334)*$L334, "")</f>
        <v>0</v>
      </c>
      <c r="AF334" s="284" t="n">
        <f aca="false">IFERROR(($J334*S334)*$L334, "")</f>
        <v>0</v>
      </c>
      <c r="AG334" s="284" t="n">
        <f aca="false">IFERROR(($J334*T334)*$L334, "")</f>
        <v>0</v>
      </c>
      <c r="AH334" s="284" t="n">
        <f aca="false">IFERROR(($J334*U334)*$L334, "")</f>
        <v>0</v>
      </c>
      <c r="AI334" s="284" t="n">
        <f aca="false">IFERROR(($J334*V334)*$L334, "")</f>
        <v>0</v>
      </c>
      <c r="AJ334" s="284" t="n">
        <f aca="false">IFERROR(($J334*W334)*$L334, "")</f>
        <v>0</v>
      </c>
      <c r="AK334" s="284" t="n">
        <f aca="false">IFERROR(($J334*X334)*$L334, "")</f>
        <v>0</v>
      </c>
      <c r="AL334" s="284" t="n">
        <f aca="false">IFERROR(($J334*Y334)*$L334, "")</f>
        <v>0</v>
      </c>
      <c r="AM334" s="285" t="n">
        <f aca="false">IFERROR(($J334*Z334)*$L334, "")</f>
        <v>0</v>
      </c>
      <c r="AN334" s="286" t="n">
        <f aca="false">IFERROR(SUMIF($AB$4:$AM$4, "RDEC", AB334:AM334), "")</f>
        <v>0</v>
      </c>
      <c r="AO334" s="286" t="n">
        <f aca="false">IFERROR(SUMIF($AB$4:$AM$4, "SME", AB334:AM334), "")</f>
        <v>0</v>
      </c>
      <c r="AP334" s="286" t="n">
        <f aca="false">IFERROR(SUMIF($AB$4:$AM$4, "De Minimis", AB334:AM334), "")</f>
        <v>0</v>
      </c>
      <c r="AQ334" s="283"/>
      <c r="AR334" s="284" t="n">
        <f aca="false">IFERROR(($J334*O334)*$M334, "")</f>
        <v>0</v>
      </c>
      <c r="AS334" s="284" t="n">
        <f aca="false">IFERROR(($J334*P334)*$M334, "")</f>
        <v>0</v>
      </c>
      <c r="AT334" s="284" t="n">
        <f aca="false">IFERROR(($J334*Q334)*$M334, "")</f>
        <v>0</v>
      </c>
      <c r="AU334" s="284" t="n">
        <f aca="false">IFERROR(($J334*R334)*$M334, "")</f>
        <v>0</v>
      </c>
      <c r="AV334" s="284" t="n">
        <f aca="false">IFERROR(($J334*S334)*$M334, "")</f>
        <v>0</v>
      </c>
      <c r="AW334" s="284" t="n">
        <f aca="false">IFERROR(($J334*T334)*$M334, "")</f>
        <v>0</v>
      </c>
      <c r="AX334" s="284" t="n">
        <f aca="false">IFERROR(($J334*U334)*$M334, "")</f>
        <v>0</v>
      </c>
      <c r="AY334" s="284" t="n">
        <f aca="false">IFERROR(($J334*V334)*$M334, "")</f>
        <v>0</v>
      </c>
      <c r="AZ334" s="284" t="n">
        <f aca="false">IFERROR(($J334*W334)*$M334, "")</f>
        <v>0</v>
      </c>
      <c r="BA334" s="284" t="n">
        <f aca="false">IFERROR(($J334*X334)*$M334, "")</f>
        <v>0</v>
      </c>
      <c r="BB334" s="284" t="n">
        <f aca="false">IFERROR(($J334*Y334)*$M334, "")</f>
        <v>0</v>
      </c>
      <c r="BC334" s="285" t="n">
        <f aca="false">IFERROR(($J334*Z334)*$M334, "")</f>
        <v>0</v>
      </c>
      <c r="BD334" s="286" t="n">
        <f aca="false">IFERROR(SUMIF($AB$4:$AM$4, "RDEC", AR334:BC334), "")</f>
        <v>0</v>
      </c>
      <c r="BE334" s="286" t="n">
        <f aca="false">IFERROR(SUMIF($AB$4:$AM$4, "SME", AR334:BC334), "")</f>
        <v>0</v>
      </c>
      <c r="BF334" s="286" t="n">
        <f aca="false">IFERROR(SUMIF($AB$4:$AM$4, "De Minimis", AR334:BC334), "")</f>
        <v>0</v>
      </c>
      <c r="BG334" s="287"/>
      <c r="BH334" s="288" t="str">
        <f aca="false">IF((SUM(O334:Z334)&gt;1),"ERROR","")</f>
        <v/>
      </c>
      <c r="BI334" s="287"/>
      <c r="BJ334" s="18" t="str">
        <f aca="false">IF(C320&gt;0, C320, "")</f>
        <v/>
      </c>
      <c r="BL334" s="200"/>
      <c r="BM334" s="200"/>
      <c r="BN334" s="200"/>
    </row>
    <row r="335" customFormat="false" ht="15" hidden="false" customHeight="true" outlineLevel="0" collapsed="false">
      <c r="B335" s="275"/>
      <c r="D335" s="276" t="n">
        <f aca="false">D319</f>
        <v>45505</v>
      </c>
      <c r="E335" s="277" t="n">
        <v>0</v>
      </c>
      <c r="F335" s="277" t="n">
        <v>0</v>
      </c>
      <c r="G335" s="277" t="n">
        <v>0</v>
      </c>
      <c r="H335" s="277" t="n">
        <v>0</v>
      </c>
      <c r="I335" s="277" t="n">
        <v>0</v>
      </c>
      <c r="J335" s="278" t="n">
        <f aca="false">E335+H335+I335</f>
        <v>0</v>
      </c>
      <c r="K335" s="204"/>
      <c r="L335" s="279" t="n">
        <v>1</v>
      </c>
      <c r="M335" s="280" t="n">
        <f aca="false">1-L335</f>
        <v>0</v>
      </c>
      <c r="N335" s="281"/>
      <c r="O335" s="282"/>
      <c r="P335" s="282"/>
      <c r="Q335" s="282"/>
      <c r="R335" s="282"/>
      <c r="S335" s="282"/>
      <c r="T335" s="282"/>
      <c r="U335" s="282"/>
      <c r="V335" s="282"/>
      <c r="W335" s="282"/>
      <c r="X335" s="282"/>
      <c r="Y335" s="282"/>
      <c r="Z335" s="282"/>
      <c r="AA335" s="283"/>
      <c r="AB335" s="284" t="n">
        <f aca="false">IFERROR(($J335*O335)*$L335, "")</f>
        <v>0</v>
      </c>
      <c r="AC335" s="284" t="n">
        <f aca="false">IFERROR(($J335*P335)*$L335, "")</f>
        <v>0</v>
      </c>
      <c r="AD335" s="284" t="n">
        <f aca="false">IFERROR(($J335*Q335)*$L335, "")</f>
        <v>0</v>
      </c>
      <c r="AE335" s="284" t="n">
        <f aca="false">IFERROR(($J335*R335)*$L335, "")</f>
        <v>0</v>
      </c>
      <c r="AF335" s="284" t="n">
        <f aca="false">IFERROR(($J335*S335)*$L335, "")</f>
        <v>0</v>
      </c>
      <c r="AG335" s="284" t="n">
        <f aca="false">IFERROR(($J335*T335)*$L335, "")</f>
        <v>0</v>
      </c>
      <c r="AH335" s="284" t="n">
        <f aca="false">IFERROR(($J335*U335)*$L335, "")</f>
        <v>0</v>
      </c>
      <c r="AI335" s="284" t="n">
        <f aca="false">IFERROR(($J335*V335)*$L335, "")</f>
        <v>0</v>
      </c>
      <c r="AJ335" s="284" t="n">
        <f aca="false">IFERROR(($J335*W335)*$L335, "")</f>
        <v>0</v>
      </c>
      <c r="AK335" s="284" t="n">
        <f aca="false">IFERROR(($J335*X335)*$L335, "")</f>
        <v>0</v>
      </c>
      <c r="AL335" s="284" t="n">
        <f aca="false">IFERROR(($J335*Y335)*$L335, "")</f>
        <v>0</v>
      </c>
      <c r="AM335" s="285" t="n">
        <f aca="false">IFERROR(($J335*Z335)*$L335, "")</f>
        <v>0</v>
      </c>
      <c r="AN335" s="286" t="n">
        <f aca="false">IFERROR(SUMIF($AB$4:$AM$4, "RDEC", AB335:AM335), "")</f>
        <v>0</v>
      </c>
      <c r="AO335" s="286" t="n">
        <f aca="false">IFERROR(SUMIF($AB$4:$AM$4, "SME", AB335:AM335), "")</f>
        <v>0</v>
      </c>
      <c r="AP335" s="286" t="n">
        <f aca="false">IFERROR(SUMIF($AB$4:$AM$4, "De Minimis", AB335:AM335), "")</f>
        <v>0</v>
      </c>
      <c r="AQ335" s="283"/>
      <c r="AR335" s="284" t="n">
        <f aca="false">IFERROR(($J335*O335)*$M335, "")</f>
        <v>0</v>
      </c>
      <c r="AS335" s="284" t="n">
        <f aca="false">IFERROR(($J335*P335)*$M335, "")</f>
        <v>0</v>
      </c>
      <c r="AT335" s="284" t="n">
        <f aca="false">IFERROR(($J335*Q335)*$M335, "")</f>
        <v>0</v>
      </c>
      <c r="AU335" s="284" t="n">
        <f aca="false">IFERROR(($J335*R335)*$M335, "")</f>
        <v>0</v>
      </c>
      <c r="AV335" s="284" t="n">
        <f aca="false">IFERROR(($J335*S335)*$M335, "")</f>
        <v>0</v>
      </c>
      <c r="AW335" s="284" t="n">
        <f aca="false">IFERROR(($J335*T335)*$M335, "")</f>
        <v>0</v>
      </c>
      <c r="AX335" s="284" t="n">
        <f aca="false">IFERROR(($J335*U335)*$M335, "")</f>
        <v>0</v>
      </c>
      <c r="AY335" s="284" t="n">
        <f aca="false">IFERROR(($J335*V335)*$M335, "")</f>
        <v>0</v>
      </c>
      <c r="AZ335" s="284" t="n">
        <f aca="false">IFERROR(($J335*W335)*$M335, "")</f>
        <v>0</v>
      </c>
      <c r="BA335" s="284" t="n">
        <f aca="false">IFERROR(($J335*X335)*$M335, "")</f>
        <v>0</v>
      </c>
      <c r="BB335" s="284" t="n">
        <f aca="false">IFERROR(($J335*Y335)*$M335, "")</f>
        <v>0</v>
      </c>
      <c r="BC335" s="285" t="n">
        <f aca="false">IFERROR(($J335*Z335)*$M335, "")</f>
        <v>0</v>
      </c>
      <c r="BD335" s="286" t="n">
        <f aca="false">IFERROR(SUMIF($AB$4:$AM$4, "RDEC", AR335:BC335), "")</f>
        <v>0</v>
      </c>
      <c r="BE335" s="286" t="n">
        <f aca="false">IFERROR(SUMIF($AB$4:$AM$4, "SME", AR335:BC335), "")</f>
        <v>0</v>
      </c>
      <c r="BF335" s="286" t="n">
        <f aca="false">IFERROR(SUMIF($AB$4:$AM$4, "De Minimis", AR335:BC335), "")</f>
        <v>0</v>
      </c>
      <c r="BG335" s="287"/>
      <c r="BH335" s="288" t="str">
        <f aca="false">IF((SUM(O335:Z335)&gt;1),"ERROR","")</f>
        <v/>
      </c>
      <c r="BI335" s="287"/>
      <c r="BJ335" s="18" t="str">
        <f aca="false">IF(C321&gt;0, C321, "")</f>
        <v/>
      </c>
      <c r="BL335" s="200"/>
      <c r="BM335" s="200"/>
      <c r="BN335" s="200"/>
    </row>
    <row r="336" customFormat="false" ht="15" hidden="false" customHeight="true" outlineLevel="0" collapsed="false">
      <c r="B336" s="275"/>
      <c r="D336" s="276" t="n">
        <f aca="false">D320</f>
        <v>45536</v>
      </c>
      <c r="E336" s="277" t="n">
        <v>0</v>
      </c>
      <c r="F336" s="277" t="n">
        <v>0</v>
      </c>
      <c r="G336" s="277" t="n">
        <v>0</v>
      </c>
      <c r="H336" s="277" t="n">
        <v>0</v>
      </c>
      <c r="I336" s="277" t="n">
        <v>0</v>
      </c>
      <c r="J336" s="278" t="n">
        <f aca="false">E336+H336+I336</f>
        <v>0</v>
      </c>
      <c r="K336" s="204"/>
      <c r="L336" s="279" t="n">
        <v>1</v>
      </c>
      <c r="M336" s="280" t="n">
        <f aca="false">1-L336</f>
        <v>0</v>
      </c>
      <c r="N336" s="281"/>
      <c r="O336" s="282"/>
      <c r="P336" s="282"/>
      <c r="Q336" s="282"/>
      <c r="R336" s="282"/>
      <c r="S336" s="282"/>
      <c r="T336" s="282"/>
      <c r="U336" s="282"/>
      <c r="V336" s="282"/>
      <c r="W336" s="282"/>
      <c r="X336" s="282"/>
      <c r="Y336" s="282"/>
      <c r="Z336" s="282"/>
      <c r="AA336" s="283"/>
      <c r="AB336" s="284" t="n">
        <f aca="false">IFERROR(($J336*O336)*$L336, "")</f>
        <v>0</v>
      </c>
      <c r="AC336" s="284" t="n">
        <f aca="false">IFERROR(($J336*P336)*$L336, "")</f>
        <v>0</v>
      </c>
      <c r="AD336" s="284" t="n">
        <f aca="false">IFERROR(($J336*Q336)*$L336, "")</f>
        <v>0</v>
      </c>
      <c r="AE336" s="284" t="n">
        <f aca="false">IFERROR(($J336*R336)*$L336, "")</f>
        <v>0</v>
      </c>
      <c r="AF336" s="284" t="n">
        <f aca="false">IFERROR(($J336*S336)*$L336, "")</f>
        <v>0</v>
      </c>
      <c r="AG336" s="284" t="n">
        <f aca="false">IFERROR(($J336*T336)*$L336, "")</f>
        <v>0</v>
      </c>
      <c r="AH336" s="284" t="n">
        <f aca="false">IFERROR(($J336*U336)*$L336, "")</f>
        <v>0</v>
      </c>
      <c r="AI336" s="284" t="n">
        <f aca="false">IFERROR(($J336*V336)*$L336, "")</f>
        <v>0</v>
      </c>
      <c r="AJ336" s="284" t="n">
        <f aca="false">IFERROR(($J336*W336)*$L336, "")</f>
        <v>0</v>
      </c>
      <c r="AK336" s="284" t="n">
        <f aca="false">IFERROR(($J336*X336)*$L336, "")</f>
        <v>0</v>
      </c>
      <c r="AL336" s="284" t="n">
        <f aca="false">IFERROR(($J336*Y336)*$L336, "")</f>
        <v>0</v>
      </c>
      <c r="AM336" s="285" t="n">
        <f aca="false">IFERROR(($J336*Z336)*$L336, "")</f>
        <v>0</v>
      </c>
      <c r="AN336" s="286" t="n">
        <f aca="false">IFERROR(SUMIF($AB$4:$AM$4, "RDEC", AB336:AM336), "")</f>
        <v>0</v>
      </c>
      <c r="AO336" s="286" t="n">
        <f aca="false">IFERROR(SUMIF($AB$4:$AM$4, "SME", AB336:AM336), "")</f>
        <v>0</v>
      </c>
      <c r="AP336" s="286" t="n">
        <f aca="false">IFERROR(SUMIF($AB$4:$AM$4, "De Minimis", AB336:AM336), "")</f>
        <v>0</v>
      </c>
      <c r="AQ336" s="283"/>
      <c r="AR336" s="284" t="n">
        <f aca="false">IFERROR(($J336*O336)*$M336, "")</f>
        <v>0</v>
      </c>
      <c r="AS336" s="284" t="n">
        <f aca="false">IFERROR(($J336*P336)*$M336, "")</f>
        <v>0</v>
      </c>
      <c r="AT336" s="284" t="n">
        <f aca="false">IFERROR(($J336*Q336)*$M336, "")</f>
        <v>0</v>
      </c>
      <c r="AU336" s="284" t="n">
        <f aca="false">IFERROR(($J336*R336)*$M336, "")</f>
        <v>0</v>
      </c>
      <c r="AV336" s="284" t="n">
        <f aca="false">IFERROR(($J336*S336)*$M336, "")</f>
        <v>0</v>
      </c>
      <c r="AW336" s="284" t="n">
        <f aca="false">IFERROR(($J336*T336)*$M336, "")</f>
        <v>0</v>
      </c>
      <c r="AX336" s="284" t="n">
        <f aca="false">IFERROR(($J336*U336)*$M336, "")</f>
        <v>0</v>
      </c>
      <c r="AY336" s="284" t="n">
        <f aca="false">IFERROR(($J336*V336)*$M336, "")</f>
        <v>0</v>
      </c>
      <c r="AZ336" s="284" t="n">
        <f aca="false">IFERROR(($J336*W336)*$M336, "")</f>
        <v>0</v>
      </c>
      <c r="BA336" s="284" t="n">
        <f aca="false">IFERROR(($J336*X336)*$M336, "")</f>
        <v>0</v>
      </c>
      <c r="BB336" s="284" t="n">
        <f aca="false">IFERROR(($J336*Y336)*$M336, "")</f>
        <v>0</v>
      </c>
      <c r="BC336" s="285" t="n">
        <f aca="false">IFERROR(($J336*Z336)*$M336, "")</f>
        <v>0</v>
      </c>
      <c r="BD336" s="286" t="n">
        <f aca="false">IFERROR(SUMIF($AB$4:$AM$4, "RDEC", AR336:BC336), "")</f>
        <v>0</v>
      </c>
      <c r="BE336" s="286" t="n">
        <f aca="false">IFERROR(SUMIF($AB$4:$AM$4, "SME", AR336:BC336), "")</f>
        <v>0</v>
      </c>
      <c r="BF336" s="286" t="n">
        <f aca="false">IFERROR(SUMIF($AB$4:$AM$4, "De Minimis", AR336:BC336), "")</f>
        <v>0</v>
      </c>
      <c r="BG336" s="287"/>
      <c r="BH336" s="288" t="str">
        <f aca="false">IF((SUM(O336:Z336)&gt;1),"ERROR","")</f>
        <v/>
      </c>
      <c r="BI336" s="287"/>
      <c r="BJ336" s="18" t="str">
        <f aca="false">IF(C322&gt;0, C322, "")</f>
        <v/>
      </c>
      <c r="BL336" s="200"/>
      <c r="BM336" s="200"/>
      <c r="BN336" s="200"/>
    </row>
    <row r="337" customFormat="false" ht="15" hidden="false" customHeight="true" outlineLevel="0" collapsed="false">
      <c r="B337" s="275"/>
      <c r="D337" s="276" t="n">
        <f aca="false">D321</f>
        <v>45566</v>
      </c>
      <c r="E337" s="277" t="n">
        <v>0</v>
      </c>
      <c r="F337" s="277" t="n">
        <v>0</v>
      </c>
      <c r="G337" s="277" t="n">
        <v>0</v>
      </c>
      <c r="H337" s="277" t="n">
        <v>0</v>
      </c>
      <c r="I337" s="277" t="n">
        <v>0</v>
      </c>
      <c r="J337" s="278" t="n">
        <f aca="false">E337+H337+I337</f>
        <v>0</v>
      </c>
      <c r="K337" s="204"/>
      <c r="L337" s="279" t="n">
        <v>1</v>
      </c>
      <c r="M337" s="280" t="n">
        <f aca="false">1-L337</f>
        <v>0</v>
      </c>
      <c r="N337" s="281"/>
      <c r="O337" s="282"/>
      <c r="P337" s="282"/>
      <c r="Q337" s="282"/>
      <c r="R337" s="282"/>
      <c r="S337" s="282"/>
      <c r="T337" s="282"/>
      <c r="U337" s="282"/>
      <c r="V337" s="282"/>
      <c r="W337" s="282"/>
      <c r="X337" s="282"/>
      <c r="Y337" s="282"/>
      <c r="Z337" s="282"/>
      <c r="AA337" s="283"/>
      <c r="AB337" s="284" t="n">
        <f aca="false">IFERROR(($J337*O337)*$L337, "")</f>
        <v>0</v>
      </c>
      <c r="AC337" s="284" t="n">
        <f aca="false">IFERROR(($J337*P337)*$L337, "")</f>
        <v>0</v>
      </c>
      <c r="AD337" s="284" t="n">
        <f aca="false">IFERROR(($J337*Q337)*$L337, "")</f>
        <v>0</v>
      </c>
      <c r="AE337" s="284" t="n">
        <f aca="false">IFERROR(($J337*R337)*$L337, "")</f>
        <v>0</v>
      </c>
      <c r="AF337" s="284" t="n">
        <f aca="false">IFERROR(($J337*S337)*$L337, "")</f>
        <v>0</v>
      </c>
      <c r="AG337" s="284" t="n">
        <f aca="false">IFERROR(($J337*T337)*$L337, "")</f>
        <v>0</v>
      </c>
      <c r="AH337" s="284" t="n">
        <f aca="false">IFERROR(($J337*U337)*$L337, "")</f>
        <v>0</v>
      </c>
      <c r="AI337" s="284" t="n">
        <f aca="false">IFERROR(($J337*V337)*$L337, "")</f>
        <v>0</v>
      </c>
      <c r="AJ337" s="284" t="n">
        <f aca="false">IFERROR(($J337*W337)*$L337, "")</f>
        <v>0</v>
      </c>
      <c r="AK337" s="284" t="n">
        <f aca="false">IFERROR(($J337*X337)*$L337, "")</f>
        <v>0</v>
      </c>
      <c r="AL337" s="284" t="n">
        <f aca="false">IFERROR(($J337*Y337)*$L337, "")</f>
        <v>0</v>
      </c>
      <c r="AM337" s="285" t="n">
        <f aca="false">IFERROR(($J337*Z337)*$L337, "")</f>
        <v>0</v>
      </c>
      <c r="AN337" s="286" t="n">
        <f aca="false">IFERROR(SUMIF($AB$4:$AM$4, "RDEC", AB337:AM337), "")</f>
        <v>0</v>
      </c>
      <c r="AO337" s="286" t="n">
        <f aca="false">IFERROR(SUMIF($AB$4:$AM$4, "SME", AB337:AM337), "")</f>
        <v>0</v>
      </c>
      <c r="AP337" s="286" t="n">
        <f aca="false">IFERROR(SUMIF($AB$4:$AM$4, "De Minimis", AB337:AM337), "")</f>
        <v>0</v>
      </c>
      <c r="AQ337" s="283"/>
      <c r="AR337" s="284" t="n">
        <f aca="false">IFERROR(($J337*O337)*$M337, "")</f>
        <v>0</v>
      </c>
      <c r="AS337" s="284" t="n">
        <f aca="false">IFERROR(($J337*P337)*$M337, "")</f>
        <v>0</v>
      </c>
      <c r="AT337" s="284" t="n">
        <f aca="false">IFERROR(($J337*Q337)*$M337, "")</f>
        <v>0</v>
      </c>
      <c r="AU337" s="284" t="n">
        <f aca="false">IFERROR(($J337*R337)*$M337, "")</f>
        <v>0</v>
      </c>
      <c r="AV337" s="284" t="n">
        <f aca="false">IFERROR(($J337*S337)*$M337, "")</f>
        <v>0</v>
      </c>
      <c r="AW337" s="284" t="n">
        <f aca="false">IFERROR(($J337*T337)*$M337, "")</f>
        <v>0</v>
      </c>
      <c r="AX337" s="284" t="n">
        <f aca="false">IFERROR(($J337*U337)*$M337, "")</f>
        <v>0</v>
      </c>
      <c r="AY337" s="284" t="n">
        <f aca="false">IFERROR(($J337*V337)*$M337, "")</f>
        <v>0</v>
      </c>
      <c r="AZ337" s="284" t="n">
        <f aca="false">IFERROR(($J337*W337)*$M337, "")</f>
        <v>0</v>
      </c>
      <c r="BA337" s="284" t="n">
        <f aca="false">IFERROR(($J337*X337)*$M337, "")</f>
        <v>0</v>
      </c>
      <c r="BB337" s="284" t="n">
        <f aca="false">IFERROR(($J337*Y337)*$M337, "")</f>
        <v>0</v>
      </c>
      <c r="BC337" s="285" t="n">
        <f aca="false">IFERROR(($J337*Z337)*$M337, "")</f>
        <v>0</v>
      </c>
      <c r="BD337" s="286" t="n">
        <f aca="false">IFERROR(SUMIF($AB$4:$AM$4, "RDEC", AR337:BC337), "")</f>
        <v>0</v>
      </c>
      <c r="BE337" s="286" t="n">
        <f aca="false">IFERROR(SUMIF($AB$4:$AM$4, "SME", AR337:BC337), "")</f>
        <v>0</v>
      </c>
      <c r="BF337" s="286" t="n">
        <f aca="false">IFERROR(SUMIF($AB$4:$AM$4, "De Minimis", AR337:BC337), "")</f>
        <v>0</v>
      </c>
      <c r="BG337" s="287"/>
      <c r="BH337" s="288" t="str">
        <f aca="false">IF((SUM(O337:Z337)&gt;1),"ERROR","")</f>
        <v/>
      </c>
      <c r="BI337" s="287"/>
      <c r="BJ337" s="18" t="str">
        <f aca="false">IF(C323&gt;0, C323, "")</f>
        <v/>
      </c>
      <c r="BL337" s="200"/>
      <c r="BM337" s="200"/>
      <c r="BN337" s="200"/>
    </row>
    <row r="338" customFormat="false" ht="15" hidden="false" customHeight="true" outlineLevel="0" collapsed="false">
      <c r="B338" s="275"/>
      <c r="D338" s="276" t="n">
        <f aca="false">D322</f>
        <v>45597</v>
      </c>
      <c r="E338" s="277" t="n">
        <v>0</v>
      </c>
      <c r="F338" s="277" t="n">
        <v>0</v>
      </c>
      <c r="G338" s="277" t="n">
        <v>0</v>
      </c>
      <c r="H338" s="277" t="n">
        <v>0</v>
      </c>
      <c r="I338" s="277" t="n">
        <v>0</v>
      </c>
      <c r="J338" s="278" t="n">
        <f aca="false">E338+H338+I338</f>
        <v>0</v>
      </c>
      <c r="K338" s="204"/>
      <c r="L338" s="279" t="n">
        <v>1</v>
      </c>
      <c r="M338" s="280" t="n">
        <f aca="false">1-L338</f>
        <v>0</v>
      </c>
      <c r="N338" s="281"/>
      <c r="O338" s="282"/>
      <c r="P338" s="282"/>
      <c r="Q338" s="282"/>
      <c r="R338" s="282"/>
      <c r="S338" s="282"/>
      <c r="T338" s="282"/>
      <c r="U338" s="282"/>
      <c r="V338" s="282"/>
      <c r="W338" s="282"/>
      <c r="X338" s="282"/>
      <c r="Y338" s="282"/>
      <c r="Z338" s="282"/>
      <c r="AA338" s="283"/>
      <c r="AB338" s="284" t="n">
        <f aca="false">IFERROR(($J338*O338)*$L338, "")</f>
        <v>0</v>
      </c>
      <c r="AC338" s="284" t="n">
        <f aca="false">IFERROR(($J338*P338)*$L338, "")</f>
        <v>0</v>
      </c>
      <c r="AD338" s="284" t="n">
        <f aca="false">IFERROR(($J338*Q338)*$L338, "")</f>
        <v>0</v>
      </c>
      <c r="AE338" s="284" t="n">
        <f aca="false">IFERROR(($J338*R338)*$L338, "")</f>
        <v>0</v>
      </c>
      <c r="AF338" s="284" t="n">
        <f aca="false">IFERROR(($J338*S338)*$L338, "")</f>
        <v>0</v>
      </c>
      <c r="AG338" s="284" t="n">
        <f aca="false">IFERROR(($J338*T338)*$L338, "")</f>
        <v>0</v>
      </c>
      <c r="AH338" s="284" t="n">
        <f aca="false">IFERROR(($J338*U338)*$L338, "")</f>
        <v>0</v>
      </c>
      <c r="AI338" s="284" t="n">
        <f aca="false">IFERROR(($J338*V338)*$L338, "")</f>
        <v>0</v>
      </c>
      <c r="AJ338" s="284" t="n">
        <f aca="false">IFERROR(($J338*W338)*$L338, "")</f>
        <v>0</v>
      </c>
      <c r="AK338" s="284" t="n">
        <f aca="false">IFERROR(($J338*X338)*$L338, "")</f>
        <v>0</v>
      </c>
      <c r="AL338" s="284" t="n">
        <f aca="false">IFERROR(($J338*Y338)*$L338, "")</f>
        <v>0</v>
      </c>
      <c r="AM338" s="285" t="n">
        <f aca="false">IFERROR(($J338*Z338)*$L338, "")</f>
        <v>0</v>
      </c>
      <c r="AN338" s="286" t="n">
        <f aca="false">IFERROR(SUMIF($AB$4:$AM$4, "RDEC", AB338:AM338), "")</f>
        <v>0</v>
      </c>
      <c r="AO338" s="286" t="n">
        <f aca="false">IFERROR(SUMIF($AB$4:$AM$4, "SME", AB338:AM338), "")</f>
        <v>0</v>
      </c>
      <c r="AP338" s="286" t="n">
        <f aca="false">IFERROR(SUMIF($AB$4:$AM$4, "De Minimis", AB338:AM338), "")</f>
        <v>0</v>
      </c>
      <c r="AQ338" s="283"/>
      <c r="AR338" s="284" t="n">
        <f aca="false">IFERROR(($J338*O338)*$M338, "")</f>
        <v>0</v>
      </c>
      <c r="AS338" s="284" t="n">
        <f aca="false">IFERROR(($J338*P338)*$M338, "")</f>
        <v>0</v>
      </c>
      <c r="AT338" s="284" t="n">
        <f aca="false">IFERROR(($J338*Q338)*$M338, "")</f>
        <v>0</v>
      </c>
      <c r="AU338" s="284" t="n">
        <f aca="false">IFERROR(($J338*R338)*$M338, "")</f>
        <v>0</v>
      </c>
      <c r="AV338" s="284" t="n">
        <f aca="false">IFERROR(($J338*S338)*$M338, "")</f>
        <v>0</v>
      </c>
      <c r="AW338" s="284" t="n">
        <f aca="false">IFERROR(($J338*T338)*$M338, "")</f>
        <v>0</v>
      </c>
      <c r="AX338" s="284" t="n">
        <f aca="false">IFERROR(($J338*U338)*$M338, "")</f>
        <v>0</v>
      </c>
      <c r="AY338" s="284" t="n">
        <f aca="false">IFERROR(($J338*V338)*$M338, "")</f>
        <v>0</v>
      </c>
      <c r="AZ338" s="284" t="n">
        <f aca="false">IFERROR(($J338*W338)*$M338, "")</f>
        <v>0</v>
      </c>
      <c r="BA338" s="284" t="n">
        <f aca="false">IFERROR(($J338*X338)*$M338, "")</f>
        <v>0</v>
      </c>
      <c r="BB338" s="284" t="n">
        <f aca="false">IFERROR(($J338*Y338)*$M338, "")</f>
        <v>0</v>
      </c>
      <c r="BC338" s="285" t="n">
        <f aca="false">IFERROR(($J338*Z338)*$M338, "")</f>
        <v>0</v>
      </c>
      <c r="BD338" s="286" t="n">
        <f aca="false">IFERROR(SUMIF($AB$4:$AM$4, "RDEC", AR338:BC338), "")</f>
        <v>0</v>
      </c>
      <c r="BE338" s="286" t="n">
        <f aca="false">IFERROR(SUMIF($AB$4:$AM$4, "SME", AR338:BC338), "")</f>
        <v>0</v>
      </c>
      <c r="BF338" s="286" t="n">
        <f aca="false">IFERROR(SUMIF($AB$4:$AM$4, "De Minimis", AR338:BC338), "")</f>
        <v>0</v>
      </c>
      <c r="BG338" s="287"/>
      <c r="BH338" s="288" t="str">
        <f aca="false">IF((SUM(O338:Z338)&gt;1),"ERROR","")</f>
        <v/>
      </c>
      <c r="BI338" s="287"/>
      <c r="BJ338" s="18" t="str">
        <f aca="false">IF(C324&gt;0, C324, "")</f>
        <v/>
      </c>
      <c r="BL338" s="200"/>
      <c r="BM338" s="200"/>
      <c r="BN338" s="200"/>
    </row>
    <row r="339" customFormat="false" ht="15" hidden="false" customHeight="true" outlineLevel="0" collapsed="false">
      <c r="B339" s="275"/>
      <c r="D339" s="276" t="n">
        <f aca="false">D323</f>
        <v>45627</v>
      </c>
      <c r="E339" s="277" t="n">
        <v>0</v>
      </c>
      <c r="F339" s="277" t="n">
        <v>0</v>
      </c>
      <c r="G339" s="277" t="n">
        <v>0</v>
      </c>
      <c r="H339" s="277" t="n">
        <v>0</v>
      </c>
      <c r="I339" s="277" t="n">
        <v>0</v>
      </c>
      <c r="J339" s="278" t="n">
        <f aca="false">E339+H339+I339</f>
        <v>0</v>
      </c>
      <c r="K339" s="204"/>
      <c r="L339" s="289" t="n">
        <v>1</v>
      </c>
      <c r="M339" s="290" t="n">
        <f aca="false">1-L339</f>
        <v>0</v>
      </c>
      <c r="N339" s="281"/>
      <c r="O339" s="291"/>
      <c r="P339" s="291"/>
      <c r="Q339" s="291"/>
      <c r="R339" s="291"/>
      <c r="S339" s="291"/>
      <c r="T339" s="291"/>
      <c r="U339" s="291"/>
      <c r="V339" s="291"/>
      <c r="W339" s="291"/>
      <c r="X339" s="291"/>
      <c r="Y339" s="291"/>
      <c r="Z339" s="291"/>
      <c r="AA339" s="283"/>
      <c r="AB339" s="292" t="n">
        <f aca="false">IFERROR(($J339*O339)*$L339, "")</f>
        <v>0</v>
      </c>
      <c r="AC339" s="292" t="n">
        <f aca="false">IFERROR(($J339*P339)*$L339, "")</f>
        <v>0</v>
      </c>
      <c r="AD339" s="292" t="n">
        <f aca="false">IFERROR(($J339*Q339)*$L339, "")</f>
        <v>0</v>
      </c>
      <c r="AE339" s="292" t="n">
        <f aca="false">IFERROR(($J339*R339)*$L339, "")</f>
        <v>0</v>
      </c>
      <c r="AF339" s="292" t="n">
        <f aca="false">IFERROR(($J339*S339)*$L339, "")</f>
        <v>0</v>
      </c>
      <c r="AG339" s="292" t="n">
        <f aca="false">IFERROR(($J339*T339)*$L339, "")</f>
        <v>0</v>
      </c>
      <c r="AH339" s="292" t="n">
        <f aca="false">IFERROR(($J339*U339)*$L339, "")</f>
        <v>0</v>
      </c>
      <c r="AI339" s="292" t="n">
        <f aca="false">IFERROR(($J339*V339)*$L339, "")</f>
        <v>0</v>
      </c>
      <c r="AJ339" s="292" t="n">
        <f aca="false">IFERROR(($J339*W339)*$L339, "")</f>
        <v>0</v>
      </c>
      <c r="AK339" s="292" t="n">
        <f aca="false">IFERROR(($J339*X339)*$L339, "")</f>
        <v>0</v>
      </c>
      <c r="AL339" s="292" t="n">
        <f aca="false">IFERROR(($J339*Y339)*$L339, "")</f>
        <v>0</v>
      </c>
      <c r="AM339" s="293" t="n">
        <f aca="false">IFERROR(($J339*Z339)*$L339, "")</f>
        <v>0</v>
      </c>
      <c r="AN339" s="294" t="n">
        <f aca="false">IFERROR(SUMIF($AB$4:$AM$4, "RDEC", AB339:AM339), "")</f>
        <v>0</v>
      </c>
      <c r="AO339" s="294" t="n">
        <f aca="false">IFERROR(SUMIF($AB$4:$AM$4, "SME", AB339:AM339), "")</f>
        <v>0</v>
      </c>
      <c r="AP339" s="294" t="n">
        <f aca="false">IFERROR(SUMIF($AB$4:$AM$4, "De Minimis", AB339:AM339), "")</f>
        <v>0</v>
      </c>
      <c r="AQ339" s="283"/>
      <c r="AR339" s="292" t="n">
        <f aca="false">IFERROR(($J339*O339)*$M339, "")</f>
        <v>0</v>
      </c>
      <c r="AS339" s="292" t="n">
        <f aca="false">IFERROR(($J339*P339)*$M339, "")</f>
        <v>0</v>
      </c>
      <c r="AT339" s="292" t="n">
        <f aca="false">IFERROR(($J339*Q339)*$M339, "")</f>
        <v>0</v>
      </c>
      <c r="AU339" s="292" t="n">
        <f aca="false">IFERROR(($J339*R339)*$M339, "")</f>
        <v>0</v>
      </c>
      <c r="AV339" s="292" t="n">
        <f aca="false">IFERROR(($J339*S339)*$M339, "")</f>
        <v>0</v>
      </c>
      <c r="AW339" s="292" t="n">
        <f aca="false">IFERROR(($J339*T339)*$M339, "")</f>
        <v>0</v>
      </c>
      <c r="AX339" s="292" t="n">
        <f aca="false">IFERROR(($J339*U339)*$M339, "")</f>
        <v>0</v>
      </c>
      <c r="AY339" s="292" t="n">
        <f aca="false">IFERROR(($J339*V339)*$M339, "")</f>
        <v>0</v>
      </c>
      <c r="AZ339" s="292" t="n">
        <f aca="false">IFERROR(($J339*W339)*$M339, "")</f>
        <v>0</v>
      </c>
      <c r="BA339" s="292" t="n">
        <f aca="false">IFERROR(($J339*X339)*$M339, "")</f>
        <v>0</v>
      </c>
      <c r="BB339" s="292" t="n">
        <f aca="false">IFERROR(($J339*Y339)*$M339, "")</f>
        <v>0</v>
      </c>
      <c r="BC339" s="293" t="n">
        <f aca="false">IFERROR(($J339*Z339)*$M339, "")</f>
        <v>0</v>
      </c>
      <c r="BD339" s="294" t="n">
        <f aca="false">IFERROR(SUMIF($AB$4:$AM$4, "RDEC", AR339:BC339), "")</f>
        <v>0</v>
      </c>
      <c r="BE339" s="294" t="n">
        <f aca="false">IFERROR(SUMIF($AB$4:$AM$4, "SME", AR339:BC339), "")</f>
        <v>0</v>
      </c>
      <c r="BF339" s="294" t="n">
        <f aca="false">IFERROR(SUMIF($AB$4:$AM$4, "De Minimis", AR339:BC339), "")</f>
        <v>0</v>
      </c>
      <c r="BG339" s="287"/>
      <c r="BH339" s="295" t="str">
        <f aca="false">IF((SUM(O339:Z339)&gt;1),"ERROR","")</f>
        <v/>
      </c>
      <c r="BI339" s="287"/>
      <c r="BJ339" s="18" t="str">
        <f aca="false">IF(C325&gt;0, C325, "")</f>
        <v/>
      </c>
      <c r="BL339" s="200"/>
      <c r="BM339" s="200"/>
      <c r="BN339" s="200"/>
    </row>
    <row r="340" customFormat="false" ht="15" hidden="false" customHeight="true" outlineLevel="0" collapsed="false">
      <c r="B340" s="296"/>
      <c r="D340" s="297" t="s">
        <v>82</v>
      </c>
      <c r="E340" s="298" t="n">
        <f aca="false">SUM(E328:E339)</f>
        <v>0</v>
      </c>
      <c r="F340" s="298" t="n">
        <f aca="false">SUM(F328:F339)</f>
        <v>0</v>
      </c>
      <c r="G340" s="298" t="n">
        <f aca="false">SUM(G328:G339)</f>
        <v>0</v>
      </c>
      <c r="H340" s="298" t="n">
        <f aca="false">SUM(H328:H339)</f>
        <v>0</v>
      </c>
      <c r="I340" s="298" t="n">
        <f aca="false">SUM(I328:I339)</f>
        <v>0</v>
      </c>
      <c r="J340" s="299" t="n">
        <f aca="false">SUM(J328:J339)</f>
        <v>0</v>
      </c>
      <c r="K340" s="300"/>
      <c r="L340" s="301" t="n">
        <f aca="false">AVERAGE(L328:L339)</f>
        <v>1</v>
      </c>
      <c r="M340" s="301" t="n">
        <f aca="false">AVERAGE(M328:M339)</f>
        <v>0</v>
      </c>
      <c r="N340" s="302"/>
      <c r="O340" s="290" t="n">
        <f aca="false">IF(SUM(O328:O339)&gt;0,((AB340+AR340)/J340),0)</f>
        <v>0</v>
      </c>
      <c r="P340" s="290" t="n">
        <f aca="false">IF(SUM(P328:P339)&gt;0,((AC340+AS340)/J340),0)</f>
        <v>0</v>
      </c>
      <c r="Q340" s="290" t="n">
        <f aca="false">IF(SUM(Q328:Q339)&gt;0,((AD340+AT340)/J340),0)</f>
        <v>0</v>
      </c>
      <c r="R340" s="290" t="n">
        <f aca="false">IF(SUM(R328:R339)&gt;0,((AE340+AU340)/J340),0)</f>
        <v>0</v>
      </c>
      <c r="S340" s="290" t="n">
        <f aca="false">IF(SUM(S328:S339)&gt;0,((AF340+AV340)/J340),0)</f>
        <v>0</v>
      </c>
      <c r="T340" s="290" t="n">
        <f aca="false">IF(SUM(T328:T339)&gt;0,((AG340+AW340)/J340),0)</f>
        <v>0</v>
      </c>
      <c r="U340" s="290" t="n">
        <f aca="false">IF(SUM(U328:U339)&gt;0,((AH340+AX340)/J340),0)</f>
        <v>0</v>
      </c>
      <c r="V340" s="290" t="n">
        <f aca="false">IF(SUM(V328:V339)&gt;0,((AI340+AY340)/J340),0)</f>
        <v>0</v>
      </c>
      <c r="W340" s="290" t="n">
        <f aca="false">IF(SUM(W328:W339)&gt;0,((AJ340+AZ340)/J340),0)</f>
        <v>0</v>
      </c>
      <c r="X340" s="290" t="n">
        <f aca="false">IF(SUM(X328:X339)&gt;0,((AK340+BA340)/J340),0)</f>
        <v>0</v>
      </c>
      <c r="Y340" s="290" t="n">
        <f aca="false">IF(SUM(Y328:Y339)&gt;0,((AL340+BB340)/J340),0)</f>
        <v>0</v>
      </c>
      <c r="Z340" s="290" t="n">
        <f aca="false">IF(SUM(Z328:Z339)&gt;0,((AM340+BC340)/J340),0)</f>
        <v>0</v>
      </c>
      <c r="AA340" s="303"/>
      <c r="AB340" s="292" t="n">
        <f aca="false">SUM(AB328:AB339)</f>
        <v>0</v>
      </c>
      <c r="AC340" s="304" t="n">
        <f aca="false">SUM(AC328:AC339)</f>
        <v>0</v>
      </c>
      <c r="AD340" s="304" t="n">
        <f aca="false">SUM(AD328:AD339)</f>
        <v>0</v>
      </c>
      <c r="AE340" s="304" t="n">
        <f aca="false">SUM(AE328:AE339)</f>
        <v>0</v>
      </c>
      <c r="AF340" s="304" t="n">
        <f aca="false">SUM(AF328:AF339)</f>
        <v>0</v>
      </c>
      <c r="AG340" s="304" t="n">
        <f aca="false">SUM(AG328:AG339)</f>
        <v>0</v>
      </c>
      <c r="AH340" s="304" t="n">
        <f aca="false">SUM(AH328:AH339)</f>
        <v>0</v>
      </c>
      <c r="AI340" s="304" t="n">
        <f aca="false">SUM(AI328:AI339)</f>
        <v>0</v>
      </c>
      <c r="AJ340" s="304" t="n">
        <f aca="false">SUM(AJ328:AJ339)</f>
        <v>0</v>
      </c>
      <c r="AK340" s="304" t="n">
        <f aca="false">SUM(AK328:AK339)</f>
        <v>0</v>
      </c>
      <c r="AL340" s="304" t="n">
        <f aca="false">SUM(AL328:AL339)</f>
        <v>0</v>
      </c>
      <c r="AM340" s="304" t="n">
        <f aca="false">SUM(AM328:AM339)</f>
        <v>0</v>
      </c>
      <c r="AN340" s="305" t="n">
        <f aca="false">SUM(AN328:AN339)</f>
        <v>0</v>
      </c>
      <c r="AO340" s="305" t="n">
        <f aca="false">SUM(AO328:AO339)</f>
        <v>0</v>
      </c>
      <c r="AP340" s="305" t="n">
        <f aca="false">SUM(AP328:AP339)</f>
        <v>0</v>
      </c>
      <c r="AQ340" s="303"/>
      <c r="AR340" s="292" t="n">
        <f aca="false">SUM(AR328:AR339)</f>
        <v>0</v>
      </c>
      <c r="AS340" s="304" t="n">
        <f aca="false">SUM(AS328:AS339)</f>
        <v>0</v>
      </c>
      <c r="AT340" s="304" t="n">
        <f aca="false">SUM(AT328:AT339)</f>
        <v>0</v>
      </c>
      <c r="AU340" s="304" t="n">
        <f aca="false">SUM(AU328:AU339)</f>
        <v>0</v>
      </c>
      <c r="AV340" s="304" t="n">
        <f aca="false">SUM(AV328:AV339)</f>
        <v>0</v>
      </c>
      <c r="AW340" s="304" t="n">
        <f aca="false">SUM(AW328:AW339)</f>
        <v>0</v>
      </c>
      <c r="AX340" s="304" t="n">
        <f aca="false">SUM(AX328:AX339)</f>
        <v>0</v>
      </c>
      <c r="AY340" s="304" t="n">
        <f aca="false">SUM(AY328:AY339)</f>
        <v>0</v>
      </c>
      <c r="AZ340" s="304" t="n">
        <f aca="false">SUM(AZ328:AZ339)</f>
        <v>0</v>
      </c>
      <c r="BA340" s="304" t="n">
        <f aca="false">SUM(BA328:BA339)</f>
        <v>0</v>
      </c>
      <c r="BB340" s="304" t="n">
        <f aca="false">SUM(BB328:BB339)</f>
        <v>0</v>
      </c>
      <c r="BC340" s="304" t="n">
        <f aca="false">SUM(BC328:BC339)</f>
        <v>0</v>
      </c>
      <c r="BD340" s="305" t="n">
        <f aca="false">SUM(BD328:BD339)</f>
        <v>0</v>
      </c>
      <c r="BE340" s="305" t="n">
        <f aca="false">SUM(BE328:BE339)</f>
        <v>0</v>
      </c>
      <c r="BF340" s="305" t="n">
        <f aca="false">SUM(BF328:BF339)</f>
        <v>0</v>
      </c>
      <c r="BG340" s="303"/>
      <c r="BH340" s="306"/>
      <c r="BI340" s="303"/>
      <c r="BJ340" s="307" t="str">
        <f aca="false">IF(C326&gt;0, C326, "")</f>
        <v>TBA</v>
      </c>
      <c r="BK340" s="18" t="s">
        <v>234</v>
      </c>
      <c r="BL340" s="200" t="n">
        <f aca="false">IF($BK340="Y",J340,0)</f>
        <v>0</v>
      </c>
      <c r="BM340" s="200" t="n">
        <f aca="false">IF(BK340="Y", AN340,0)</f>
        <v>0</v>
      </c>
      <c r="BN340" s="200" t="n">
        <f aca="false">IF((BK340="Y"),AO340,0)</f>
        <v>0</v>
      </c>
    </row>
    <row r="341" customFormat="false" ht="15" hidden="false" customHeight="true" outlineLevel="0" collapsed="false">
      <c r="B341" s="296"/>
      <c r="D341" s="297"/>
      <c r="E341" s="277"/>
      <c r="F341" s="277"/>
      <c r="G341" s="277"/>
      <c r="H341" s="277"/>
      <c r="I341" s="277"/>
      <c r="J341" s="300"/>
      <c r="K341" s="300"/>
      <c r="L341" s="302"/>
      <c r="M341" s="302"/>
      <c r="N341" s="302"/>
      <c r="O341" s="308"/>
      <c r="P341" s="308"/>
      <c r="Q341" s="308"/>
      <c r="R341" s="308"/>
      <c r="S341" s="308"/>
      <c r="T341" s="308"/>
      <c r="U341" s="308"/>
      <c r="V341" s="308"/>
      <c r="W341" s="308"/>
      <c r="X341" s="308"/>
      <c r="Y341" s="308"/>
      <c r="Z341" s="308"/>
      <c r="AA341" s="303"/>
      <c r="AB341" s="303"/>
      <c r="AC341" s="303"/>
      <c r="AD341" s="303"/>
      <c r="AE341" s="303"/>
      <c r="AF341" s="303"/>
      <c r="AG341" s="303"/>
      <c r="AH341" s="303"/>
      <c r="AI341" s="303"/>
      <c r="AJ341" s="303"/>
      <c r="AK341" s="303"/>
      <c r="AL341" s="303"/>
      <c r="AM341" s="303"/>
      <c r="AN341" s="303"/>
      <c r="AO341" s="303"/>
      <c r="AP341" s="303"/>
      <c r="AQ341" s="303"/>
      <c r="AR341" s="303"/>
      <c r="AS341" s="303"/>
      <c r="AT341" s="303"/>
      <c r="AU341" s="303"/>
      <c r="AV341" s="303"/>
      <c r="AW341" s="303"/>
      <c r="AX341" s="303"/>
      <c r="AY341" s="303"/>
      <c r="AZ341" s="303"/>
      <c r="BA341" s="303"/>
      <c r="BB341" s="303"/>
      <c r="BC341" s="303"/>
      <c r="BD341" s="303"/>
      <c r="BE341" s="303"/>
      <c r="BF341" s="303"/>
      <c r="BG341" s="303"/>
      <c r="BH341" s="303"/>
      <c r="BI341" s="303"/>
      <c r="BJ341" s="307" t="str">
        <f aca="false">IF(C328&gt;0, C328, "")</f>
        <v/>
      </c>
      <c r="BL341" s="200"/>
      <c r="BM341" s="200"/>
      <c r="BN341" s="200"/>
    </row>
    <row r="342" customFormat="false" ht="15" hidden="false" customHeight="true" outlineLevel="0" collapsed="false">
      <c r="A342" s="198" t="n">
        <f aca="false">A326+1</f>
        <v>22</v>
      </c>
      <c r="B342" s="266" t="s">
        <v>253</v>
      </c>
      <c r="C342" s="266" t="s">
        <v>253</v>
      </c>
      <c r="D342" s="267"/>
      <c r="E342" s="242"/>
      <c r="F342" s="242"/>
      <c r="G342" s="242"/>
      <c r="H342" s="242"/>
      <c r="I342" s="242"/>
      <c r="J342" s="241"/>
      <c r="K342" s="241"/>
      <c r="L342" s="241"/>
      <c r="M342" s="241"/>
      <c r="N342" s="241"/>
      <c r="O342" s="268"/>
      <c r="P342" s="268"/>
      <c r="Q342" s="268"/>
      <c r="R342" s="268"/>
      <c r="S342" s="268"/>
      <c r="T342" s="268"/>
      <c r="U342" s="268"/>
      <c r="V342" s="268"/>
      <c r="W342" s="268"/>
      <c r="X342" s="268"/>
      <c r="Y342" s="268"/>
      <c r="Z342" s="268"/>
      <c r="AA342" s="268"/>
      <c r="AB342" s="268"/>
      <c r="AC342" s="268"/>
      <c r="AD342" s="268"/>
      <c r="AE342" s="268"/>
      <c r="AF342" s="268"/>
      <c r="AG342" s="268"/>
      <c r="AH342" s="268"/>
      <c r="AI342" s="268"/>
      <c r="AJ342" s="268"/>
      <c r="AK342" s="268"/>
      <c r="AL342" s="268"/>
      <c r="AM342" s="268"/>
      <c r="AN342" s="268"/>
      <c r="AO342" s="268"/>
      <c r="AP342" s="268"/>
      <c r="AQ342" s="268"/>
      <c r="AR342" s="268"/>
      <c r="AS342" s="268"/>
      <c r="AT342" s="268"/>
      <c r="AU342" s="268"/>
      <c r="AV342" s="268"/>
      <c r="AW342" s="268"/>
      <c r="AX342" s="268"/>
      <c r="AY342" s="268"/>
      <c r="AZ342" s="268"/>
      <c r="BA342" s="268"/>
      <c r="BB342" s="268"/>
      <c r="BC342" s="268"/>
      <c r="BD342" s="268"/>
      <c r="BE342" s="268"/>
      <c r="BF342" s="268"/>
      <c r="BG342" s="268"/>
      <c r="BH342" s="268"/>
      <c r="BI342" s="268"/>
      <c r="BJ342" s="18" t="str">
        <f aca="false">IF(C329&gt;0, C329, "")</f>
        <v/>
      </c>
      <c r="BL342" s="200"/>
      <c r="BM342" s="200"/>
      <c r="BN342" s="200"/>
    </row>
    <row r="343" customFormat="false" ht="7.5" hidden="false" customHeight="true" outlineLevel="0" collapsed="false">
      <c r="A343" s="198"/>
      <c r="B343" s="266"/>
      <c r="C343" s="266"/>
      <c r="D343" s="267"/>
      <c r="E343" s="242"/>
      <c r="F343" s="242"/>
      <c r="G343" s="242"/>
      <c r="H343" s="242"/>
      <c r="I343" s="242"/>
      <c r="J343" s="241"/>
      <c r="K343" s="241"/>
      <c r="L343" s="269"/>
      <c r="M343" s="269"/>
      <c r="N343" s="270"/>
      <c r="O343" s="269"/>
      <c r="P343" s="269"/>
      <c r="Q343" s="269"/>
      <c r="R343" s="269"/>
      <c r="S343" s="269"/>
      <c r="T343" s="269"/>
      <c r="U343" s="269"/>
      <c r="V343" s="269"/>
      <c r="W343" s="269"/>
      <c r="X343" s="269"/>
      <c r="Y343" s="269"/>
      <c r="Z343" s="269"/>
      <c r="AA343" s="268"/>
      <c r="AB343" s="271"/>
      <c r="AC343" s="271"/>
      <c r="AD343" s="271"/>
      <c r="AE343" s="271"/>
      <c r="AF343" s="271"/>
      <c r="AG343" s="271"/>
      <c r="AH343" s="271"/>
      <c r="AI343" s="271"/>
      <c r="AJ343" s="271"/>
      <c r="AK343" s="271"/>
      <c r="AL343" s="271"/>
      <c r="AM343" s="272"/>
      <c r="AN343" s="273"/>
      <c r="AO343" s="273"/>
      <c r="AP343" s="273"/>
      <c r="AQ343" s="268"/>
      <c r="AR343" s="271"/>
      <c r="AS343" s="271"/>
      <c r="AT343" s="271"/>
      <c r="AU343" s="271"/>
      <c r="AV343" s="271"/>
      <c r="AW343" s="271"/>
      <c r="AX343" s="271"/>
      <c r="AY343" s="271"/>
      <c r="AZ343" s="271"/>
      <c r="BA343" s="271"/>
      <c r="BB343" s="271"/>
      <c r="BC343" s="272"/>
      <c r="BD343" s="273"/>
      <c r="BE343" s="273"/>
      <c r="BF343" s="273"/>
      <c r="BG343" s="268"/>
      <c r="BH343" s="274"/>
      <c r="BI343" s="268"/>
      <c r="BL343" s="200"/>
      <c r="BM343" s="200"/>
      <c r="BN343" s="200"/>
    </row>
    <row r="344" customFormat="false" ht="15" hidden="false" customHeight="true" outlineLevel="0" collapsed="false">
      <c r="B344" s="275"/>
      <c r="D344" s="276" t="n">
        <f aca="false">D328</f>
        <v>45292</v>
      </c>
      <c r="E344" s="277" t="n">
        <v>0</v>
      </c>
      <c r="F344" s="277" t="n">
        <v>0</v>
      </c>
      <c r="G344" s="277" t="n">
        <v>0</v>
      </c>
      <c r="H344" s="277" t="n">
        <v>0</v>
      </c>
      <c r="I344" s="277" t="n">
        <v>0</v>
      </c>
      <c r="J344" s="278" t="n">
        <f aca="false">E344+H344+I344</f>
        <v>0</v>
      </c>
      <c r="K344" s="204"/>
      <c r="L344" s="279" t="n">
        <v>1</v>
      </c>
      <c r="M344" s="280" t="n">
        <f aca="false">1-L344</f>
        <v>0</v>
      </c>
      <c r="N344" s="281"/>
      <c r="O344" s="282"/>
      <c r="P344" s="282"/>
      <c r="Q344" s="282"/>
      <c r="R344" s="282"/>
      <c r="S344" s="282"/>
      <c r="T344" s="282"/>
      <c r="U344" s="282"/>
      <c r="V344" s="282"/>
      <c r="W344" s="282"/>
      <c r="X344" s="282"/>
      <c r="Y344" s="282"/>
      <c r="Z344" s="282"/>
      <c r="AA344" s="283"/>
      <c r="AB344" s="284" t="n">
        <f aca="false">IFERROR(($J344*O344)*$L344, "")</f>
        <v>0</v>
      </c>
      <c r="AC344" s="284" t="n">
        <f aca="false">IFERROR(($J344*P344)*$L344, "")</f>
        <v>0</v>
      </c>
      <c r="AD344" s="284" t="n">
        <f aca="false">IFERROR(($J344*Q344)*$L344, "")</f>
        <v>0</v>
      </c>
      <c r="AE344" s="284" t="n">
        <f aca="false">IFERROR(($J344*R344)*$L344, "")</f>
        <v>0</v>
      </c>
      <c r="AF344" s="284" t="n">
        <f aca="false">IFERROR(($J344*S344)*$L344, "")</f>
        <v>0</v>
      </c>
      <c r="AG344" s="284" t="n">
        <f aca="false">IFERROR(($J344*T344)*$L344, "")</f>
        <v>0</v>
      </c>
      <c r="AH344" s="284" t="n">
        <f aca="false">IFERROR(($J344*U344)*$L344, "")</f>
        <v>0</v>
      </c>
      <c r="AI344" s="284" t="n">
        <f aca="false">IFERROR(($J344*V344)*$L344, "")</f>
        <v>0</v>
      </c>
      <c r="AJ344" s="284" t="n">
        <f aca="false">IFERROR(($J344*W344)*$L344, "")</f>
        <v>0</v>
      </c>
      <c r="AK344" s="284" t="n">
        <f aca="false">IFERROR(($J344*X344)*$L344, "")</f>
        <v>0</v>
      </c>
      <c r="AL344" s="284" t="n">
        <f aca="false">IFERROR(($J344*Y344)*$L344, "")</f>
        <v>0</v>
      </c>
      <c r="AM344" s="285" t="n">
        <f aca="false">IFERROR(($J344*Z344)*$L344, "")</f>
        <v>0</v>
      </c>
      <c r="AN344" s="286" t="n">
        <f aca="false">IFERROR(SUMIF($AB$4:$AM$4, "RDEC", AB344:AM344), "")</f>
        <v>0</v>
      </c>
      <c r="AO344" s="286" t="n">
        <f aca="false">IFERROR(SUMIF($AB$4:$AM$4, "SME", AB344:AM344), "")</f>
        <v>0</v>
      </c>
      <c r="AP344" s="286" t="n">
        <f aca="false">IFERROR(SUMIF($AB$4:$AM$4, "De Minimis", AB344:AM344), "")</f>
        <v>0</v>
      </c>
      <c r="AQ344" s="283"/>
      <c r="AR344" s="284" t="n">
        <f aca="false">IFERROR(($J344*O344)*$M344, "")</f>
        <v>0</v>
      </c>
      <c r="AS344" s="284" t="n">
        <f aca="false">IFERROR(($J344*P344)*$M344, "")</f>
        <v>0</v>
      </c>
      <c r="AT344" s="284" t="n">
        <f aca="false">IFERROR(($J344*Q344)*$M344, "")</f>
        <v>0</v>
      </c>
      <c r="AU344" s="284" t="n">
        <f aca="false">IFERROR(($J344*R344)*$M344, "")</f>
        <v>0</v>
      </c>
      <c r="AV344" s="284" t="n">
        <f aca="false">IFERROR(($J344*S344)*$M344, "")</f>
        <v>0</v>
      </c>
      <c r="AW344" s="284" t="n">
        <f aca="false">IFERROR(($J344*T344)*$M344, "")</f>
        <v>0</v>
      </c>
      <c r="AX344" s="284" t="n">
        <f aca="false">IFERROR(($J344*U344)*$M344, "")</f>
        <v>0</v>
      </c>
      <c r="AY344" s="284" t="n">
        <f aca="false">IFERROR(($J344*V344)*$M344, "")</f>
        <v>0</v>
      </c>
      <c r="AZ344" s="284" t="n">
        <f aca="false">IFERROR(($J344*W344)*$M344, "")</f>
        <v>0</v>
      </c>
      <c r="BA344" s="284" t="n">
        <f aca="false">IFERROR(($J344*X344)*$M344, "")</f>
        <v>0</v>
      </c>
      <c r="BB344" s="284" t="n">
        <f aca="false">IFERROR(($J344*Y344)*$M344, "")</f>
        <v>0</v>
      </c>
      <c r="BC344" s="285" t="n">
        <f aca="false">IFERROR(($J344*Z344)*$M344, "")</f>
        <v>0</v>
      </c>
      <c r="BD344" s="286" t="n">
        <f aca="false">IFERROR(SUMIF($AB$4:$AM$4, "RDEC", AR344:BC344), "")</f>
        <v>0</v>
      </c>
      <c r="BE344" s="286" t="n">
        <f aca="false">IFERROR(SUMIF($AB$4:$AM$4, "SME", AR344:BC344), "")</f>
        <v>0</v>
      </c>
      <c r="BF344" s="286" t="n">
        <f aca="false">IFERROR(SUMIF($AB$4:$AM$4, "De Minimis", AR344:BC344), "")</f>
        <v>0</v>
      </c>
      <c r="BG344" s="287"/>
      <c r="BH344" s="288" t="str">
        <f aca="false">IF((SUM(O344:Z344)&gt;1),"ERROR","")</f>
        <v/>
      </c>
      <c r="BI344" s="287"/>
      <c r="BJ344" s="18" t="str">
        <f aca="false">IF(C330&gt;0, C330, "")</f>
        <v/>
      </c>
      <c r="BL344" s="200"/>
      <c r="BM344" s="200"/>
      <c r="BN344" s="200"/>
    </row>
    <row r="345" customFormat="false" ht="15" hidden="false" customHeight="true" outlineLevel="0" collapsed="false">
      <c r="B345" s="275"/>
      <c r="D345" s="276" t="n">
        <f aca="false">D329</f>
        <v>45323</v>
      </c>
      <c r="E345" s="277" t="n">
        <v>0</v>
      </c>
      <c r="F345" s="277" t="n">
        <v>0</v>
      </c>
      <c r="G345" s="277" t="n">
        <v>0</v>
      </c>
      <c r="H345" s="277" t="n">
        <v>0</v>
      </c>
      <c r="I345" s="277" t="n">
        <v>0</v>
      </c>
      <c r="J345" s="278" t="n">
        <f aca="false">E345+H345+I345</f>
        <v>0</v>
      </c>
      <c r="K345" s="204"/>
      <c r="L345" s="279" t="n">
        <v>1</v>
      </c>
      <c r="M345" s="280" t="n">
        <f aca="false">1-L345</f>
        <v>0</v>
      </c>
      <c r="N345" s="281"/>
      <c r="O345" s="282"/>
      <c r="P345" s="282"/>
      <c r="Q345" s="282"/>
      <c r="R345" s="282"/>
      <c r="S345" s="282"/>
      <c r="T345" s="282"/>
      <c r="U345" s="282"/>
      <c r="V345" s="282"/>
      <c r="W345" s="282"/>
      <c r="X345" s="282"/>
      <c r="Y345" s="282"/>
      <c r="Z345" s="282"/>
      <c r="AA345" s="283"/>
      <c r="AB345" s="284" t="n">
        <f aca="false">IFERROR(($J345*O345)*$L345, "")</f>
        <v>0</v>
      </c>
      <c r="AC345" s="284" t="n">
        <f aca="false">IFERROR(($J345*P345)*$L345, "")</f>
        <v>0</v>
      </c>
      <c r="AD345" s="284" t="n">
        <f aca="false">IFERROR(($J345*Q345)*$L345, "")</f>
        <v>0</v>
      </c>
      <c r="AE345" s="284" t="n">
        <f aca="false">IFERROR(($J345*R345)*$L345, "")</f>
        <v>0</v>
      </c>
      <c r="AF345" s="284" t="n">
        <f aca="false">IFERROR(($J345*S345)*$L345, "")</f>
        <v>0</v>
      </c>
      <c r="AG345" s="284" t="n">
        <f aca="false">IFERROR(($J345*T345)*$L345, "")</f>
        <v>0</v>
      </c>
      <c r="AH345" s="284" t="n">
        <f aca="false">IFERROR(($J345*U345)*$L345, "")</f>
        <v>0</v>
      </c>
      <c r="AI345" s="284" t="n">
        <f aca="false">IFERROR(($J345*V345)*$L345, "")</f>
        <v>0</v>
      </c>
      <c r="AJ345" s="284" t="n">
        <f aca="false">IFERROR(($J345*W345)*$L345, "")</f>
        <v>0</v>
      </c>
      <c r="AK345" s="284" t="n">
        <f aca="false">IFERROR(($J345*X345)*$L345, "")</f>
        <v>0</v>
      </c>
      <c r="AL345" s="284" t="n">
        <f aca="false">IFERROR(($J345*Y345)*$L345, "")</f>
        <v>0</v>
      </c>
      <c r="AM345" s="285" t="n">
        <f aca="false">IFERROR(($J345*Z345)*$L345, "")</f>
        <v>0</v>
      </c>
      <c r="AN345" s="286" t="n">
        <f aca="false">IFERROR(SUMIF($AB$4:$AM$4, "RDEC", AB345:AM345), "")</f>
        <v>0</v>
      </c>
      <c r="AO345" s="286" t="n">
        <f aca="false">IFERROR(SUMIF($AB$4:$AM$4, "SME", AB345:AM345), "")</f>
        <v>0</v>
      </c>
      <c r="AP345" s="286" t="n">
        <f aca="false">IFERROR(SUMIF($AB$4:$AM$4, "De Minimis", AB345:AM345), "")</f>
        <v>0</v>
      </c>
      <c r="AQ345" s="283"/>
      <c r="AR345" s="284" t="n">
        <f aca="false">IFERROR(($J345*O345)*$M345, "")</f>
        <v>0</v>
      </c>
      <c r="AS345" s="284" t="n">
        <f aca="false">IFERROR(($J345*P345)*$M345, "")</f>
        <v>0</v>
      </c>
      <c r="AT345" s="284" t="n">
        <f aca="false">IFERROR(($J345*Q345)*$M345, "")</f>
        <v>0</v>
      </c>
      <c r="AU345" s="284" t="n">
        <f aca="false">IFERROR(($J345*R345)*$M345, "")</f>
        <v>0</v>
      </c>
      <c r="AV345" s="284" t="n">
        <f aca="false">IFERROR(($J345*S345)*$M345, "")</f>
        <v>0</v>
      </c>
      <c r="AW345" s="284" t="n">
        <f aca="false">IFERROR(($J345*T345)*$M345, "")</f>
        <v>0</v>
      </c>
      <c r="AX345" s="284" t="n">
        <f aca="false">IFERROR(($J345*U345)*$M345, "")</f>
        <v>0</v>
      </c>
      <c r="AY345" s="284" t="n">
        <f aca="false">IFERROR(($J345*V345)*$M345, "")</f>
        <v>0</v>
      </c>
      <c r="AZ345" s="284" t="n">
        <f aca="false">IFERROR(($J345*W345)*$M345, "")</f>
        <v>0</v>
      </c>
      <c r="BA345" s="284" t="n">
        <f aca="false">IFERROR(($J345*X345)*$M345, "")</f>
        <v>0</v>
      </c>
      <c r="BB345" s="284" t="n">
        <f aca="false">IFERROR(($J345*Y345)*$M345, "")</f>
        <v>0</v>
      </c>
      <c r="BC345" s="285" t="n">
        <f aca="false">IFERROR(($J345*Z345)*$M345, "")</f>
        <v>0</v>
      </c>
      <c r="BD345" s="286" t="n">
        <f aca="false">IFERROR(SUMIF($AB$4:$AM$4, "RDEC", AR345:BC345), "")</f>
        <v>0</v>
      </c>
      <c r="BE345" s="286" t="n">
        <f aca="false">IFERROR(SUMIF($AB$4:$AM$4, "SME", AR345:BC345), "")</f>
        <v>0</v>
      </c>
      <c r="BF345" s="286" t="n">
        <f aca="false">IFERROR(SUMIF($AB$4:$AM$4, "De Minimis", AR345:BC345), "")</f>
        <v>0</v>
      </c>
      <c r="BG345" s="287"/>
      <c r="BH345" s="288" t="str">
        <f aca="false">IF((SUM(O345:Z345)&gt;1),"ERROR","")</f>
        <v/>
      </c>
      <c r="BI345" s="287"/>
      <c r="BJ345" s="18" t="str">
        <f aca="false">IF(C331&gt;0, C331, "")</f>
        <v/>
      </c>
      <c r="BL345" s="200"/>
      <c r="BM345" s="200"/>
      <c r="BN345" s="200"/>
    </row>
    <row r="346" customFormat="false" ht="15" hidden="false" customHeight="true" outlineLevel="0" collapsed="false">
      <c r="B346" s="275"/>
      <c r="D346" s="276" t="n">
        <f aca="false">D330</f>
        <v>45352</v>
      </c>
      <c r="E346" s="277" t="n">
        <v>0</v>
      </c>
      <c r="F346" s="277" t="n">
        <v>0</v>
      </c>
      <c r="G346" s="277" t="n">
        <v>0</v>
      </c>
      <c r="H346" s="277" t="n">
        <v>0</v>
      </c>
      <c r="I346" s="277" t="n">
        <v>0</v>
      </c>
      <c r="J346" s="278" t="n">
        <f aca="false">E346+H346+I346</f>
        <v>0</v>
      </c>
      <c r="K346" s="204"/>
      <c r="L346" s="279" t="n">
        <v>1</v>
      </c>
      <c r="M346" s="280" t="n">
        <f aca="false">1-L346</f>
        <v>0</v>
      </c>
      <c r="N346" s="281"/>
      <c r="O346" s="282"/>
      <c r="P346" s="282"/>
      <c r="Q346" s="282"/>
      <c r="R346" s="282"/>
      <c r="S346" s="282"/>
      <c r="T346" s="282"/>
      <c r="U346" s="282"/>
      <c r="V346" s="282"/>
      <c r="W346" s="282"/>
      <c r="X346" s="282"/>
      <c r="Y346" s="282"/>
      <c r="Z346" s="282"/>
      <c r="AA346" s="283"/>
      <c r="AB346" s="284" t="n">
        <f aca="false">IFERROR(($J346*O346)*$L346, "")</f>
        <v>0</v>
      </c>
      <c r="AC346" s="284" t="n">
        <f aca="false">IFERROR(($J346*P346)*$L346, "")</f>
        <v>0</v>
      </c>
      <c r="AD346" s="284" t="n">
        <f aca="false">IFERROR(($J346*Q346)*$L346, "")</f>
        <v>0</v>
      </c>
      <c r="AE346" s="284" t="n">
        <f aca="false">IFERROR(($J346*R346)*$L346, "")</f>
        <v>0</v>
      </c>
      <c r="AF346" s="284" t="n">
        <f aca="false">IFERROR(($J346*S346)*$L346, "")</f>
        <v>0</v>
      </c>
      <c r="AG346" s="284" t="n">
        <f aca="false">IFERROR(($J346*T346)*$L346, "")</f>
        <v>0</v>
      </c>
      <c r="AH346" s="284" t="n">
        <f aca="false">IFERROR(($J346*U346)*$L346, "")</f>
        <v>0</v>
      </c>
      <c r="AI346" s="284" t="n">
        <f aca="false">IFERROR(($J346*V346)*$L346, "")</f>
        <v>0</v>
      </c>
      <c r="AJ346" s="284" t="n">
        <f aca="false">IFERROR(($J346*W346)*$L346, "")</f>
        <v>0</v>
      </c>
      <c r="AK346" s="284" t="n">
        <f aca="false">IFERROR(($J346*X346)*$L346, "")</f>
        <v>0</v>
      </c>
      <c r="AL346" s="284" t="n">
        <f aca="false">IFERROR(($J346*Y346)*$L346, "")</f>
        <v>0</v>
      </c>
      <c r="AM346" s="285" t="n">
        <f aca="false">IFERROR(($J346*Z346)*$L346, "")</f>
        <v>0</v>
      </c>
      <c r="AN346" s="286" t="n">
        <f aca="false">IFERROR(SUMIF($AB$4:$AM$4, "RDEC", AB346:AM346), "")</f>
        <v>0</v>
      </c>
      <c r="AO346" s="286" t="n">
        <f aca="false">IFERROR(SUMIF($AB$4:$AM$4, "SME", AB346:AM346), "")</f>
        <v>0</v>
      </c>
      <c r="AP346" s="286" t="n">
        <f aca="false">IFERROR(SUMIF($AB$4:$AM$4, "De Minimis", AB346:AM346), "")</f>
        <v>0</v>
      </c>
      <c r="AQ346" s="283"/>
      <c r="AR346" s="284" t="n">
        <f aca="false">IFERROR(($J346*O346)*$M346, "")</f>
        <v>0</v>
      </c>
      <c r="AS346" s="284" t="n">
        <f aca="false">IFERROR(($J346*P346)*$M346, "")</f>
        <v>0</v>
      </c>
      <c r="AT346" s="284" t="n">
        <f aca="false">IFERROR(($J346*Q346)*$M346, "")</f>
        <v>0</v>
      </c>
      <c r="AU346" s="284" t="n">
        <f aca="false">IFERROR(($J346*R346)*$M346, "")</f>
        <v>0</v>
      </c>
      <c r="AV346" s="284" t="n">
        <f aca="false">IFERROR(($J346*S346)*$M346, "")</f>
        <v>0</v>
      </c>
      <c r="AW346" s="284" t="n">
        <f aca="false">IFERROR(($J346*T346)*$M346, "")</f>
        <v>0</v>
      </c>
      <c r="AX346" s="284" t="n">
        <f aca="false">IFERROR(($J346*U346)*$M346, "")</f>
        <v>0</v>
      </c>
      <c r="AY346" s="284" t="n">
        <f aca="false">IFERROR(($J346*V346)*$M346, "")</f>
        <v>0</v>
      </c>
      <c r="AZ346" s="284" t="n">
        <f aca="false">IFERROR(($J346*W346)*$M346, "")</f>
        <v>0</v>
      </c>
      <c r="BA346" s="284" t="n">
        <f aca="false">IFERROR(($J346*X346)*$M346, "")</f>
        <v>0</v>
      </c>
      <c r="BB346" s="284" t="n">
        <f aca="false">IFERROR(($J346*Y346)*$M346, "")</f>
        <v>0</v>
      </c>
      <c r="BC346" s="285" t="n">
        <f aca="false">IFERROR(($J346*Z346)*$M346, "")</f>
        <v>0</v>
      </c>
      <c r="BD346" s="286" t="n">
        <f aca="false">IFERROR(SUMIF($AB$4:$AM$4, "RDEC", AR346:BC346), "")</f>
        <v>0</v>
      </c>
      <c r="BE346" s="286" t="n">
        <f aca="false">IFERROR(SUMIF($AB$4:$AM$4, "SME", AR346:BC346), "")</f>
        <v>0</v>
      </c>
      <c r="BF346" s="286" t="n">
        <f aca="false">IFERROR(SUMIF($AB$4:$AM$4, "De Minimis", AR346:BC346), "")</f>
        <v>0</v>
      </c>
      <c r="BG346" s="287"/>
      <c r="BH346" s="288" t="str">
        <f aca="false">IF((SUM(O346:Z346)&gt;1),"ERROR","")</f>
        <v/>
      </c>
      <c r="BI346" s="287"/>
      <c r="BJ346" s="18" t="str">
        <f aca="false">IF(C332&gt;0, C332, "")</f>
        <v/>
      </c>
      <c r="BL346" s="200"/>
      <c r="BM346" s="200"/>
      <c r="BN346" s="200"/>
    </row>
    <row r="347" customFormat="false" ht="15" hidden="false" customHeight="true" outlineLevel="0" collapsed="false">
      <c r="B347" s="275"/>
      <c r="D347" s="276" t="n">
        <f aca="false">D331</f>
        <v>45383</v>
      </c>
      <c r="E347" s="277" t="n">
        <v>0</v>
      </c>
      <c r="F347" s="277" t="n">
        <v>0</v>
      </c>
      <c r="G347" s="277" t="n">
        <v>0</v>
      </c>
      <c r="H347" s="277" t="n">
        <v>0</v>
      </c>
      <c r="I347" s="277" t="n">
        <v>0</v>
      </c>
      <c r="J347" s="278" t="n">
        <f aca="false">E347+H347+I347</f>
        <v>0</v>
      </c>
      <c r="K347" s="204"/>
      <c r="L347" s="279" t="n">
        <v>1</v>
      </c>
      <c r="M347" s="280" t="n">
        <f aca="false">1-L347</f>
        <v>0</v>
      </c>
      <c r="N347" s="281"/>
      <c r="O347" s="282"/>
      <c r="P347" s="282"/>
      <c r="Q347" s="282"/>
      <c r="R347" s="282"/>
      <c r="S347" s="282"/>
      <c r="T347" s="282"/>
      <c r="U347" s="282"/>
      <c r="V347" s="282"/>
      <c r="W347" s="282"/>
      <c r="X347" s="282"/>
      <c r="Y347" s="282"/>
      <c r="Z347" s="282"/>
      <c r="AA347" s="283"/>
      <c r="AB347" s="284" t="n">
        <f aca="false">IFERROR(($J347*O347)*$L347, "")</f>
        <v>0</v>
      </c>
      <c r="AC347" s="284" t="n">
        <f aca="false">IFERROR(($J347*P347)*$L347, "")</f>
        <v>0</v>
      </c>
      <c r="AD347" s="284" t="n">
        <f aca="false">IFERROR(($J347*Q347)*$L347, "")</f>
        <v>0</v>
      </c>
      <c r="AE347" s="284" t="n">
        <f aca="false">IFERROR(($J347*R347)*$L347, "")</f>
        <v>0</v>
      </c>
      <c r="AF347" s="284" t="n">
        <f aca="false">IFERROR(($J347*S347)*$L347, "")</f>
        <v>0</v>
      </c>
      <c r="AG347" s="284" t="n">
        <f aca="false">IFERROR(($J347*T347)*$L347, "")</f>
        <v>0</v>
      </c>
      <c r="AH347" s="284" t="n">
        <f aca="false">IFERROR(($J347*U347)*$L347, "")</f>
        <v>0</v>
      </c>
      <c r="AI347" s="284" t="n">
        <f aca="false">IFERROR(($J347*V347)*$L347, "")</f>
        <v>0</v>
      </c>
      <c r="AJ347" s="284" t="n">
        <f aca="false">IFERROR(($J347*W347)*$L347, "")</f>
        <v>0</v>
      </c>
      <c r="AK347" s="284" t="n">
        <f aca="false">IFERROR(($J347*X347)*$L347, "")</f>
        <v>0</v>
      </c>
      <c r="AL347" s="284" t="n">
        <f aca="false">IFERROR(($J347*Y347)*$L347, "")</f>
        <v>0</v>
      </c>
      <c r="AM347" s="285" t="n">
        <f aca="false">IFERROR(($J347*Z347)*$L347, "")</f>
        <v>0</v>
      </c>
      <c r="AN347" s="286" t="n">
        <f aca="false">IFERROR(SUMIF($AB$4:$AM$4, "RDEC", AB347:AM347), "")</f>
        <v>0</v>
      </c>
      <c r="AO347" s="286" t="n">
        <f aca="false">IFERROR(SUMIF($AB$4:$AM$4, "SME", AB347:AM347), "")</f>
        <v>0</v>
      </c>
      <c r="AP347" s="286" t="n">
        <f aca="false">IFERROR(SUMIF($AB$4:$AM$4, "De Minimis", AB347:AM347), "")</f>
        <v>0</v>
      </c>
      <c r="AQ347" s="283"/>
      <c r="AR347" s="284" t="n">
        <f aca="false">IFERROR(($J347*O347)*$M347, "")</f>
        <v>0</v>
      </c>
      <c r="AS347" s="284" t="n">
        <f aca="false">IFERROR(($J347*P347)*$M347, "")</f>
        <v>0</v>
      </c>
      <c r="AT347" s="284" t="n">
        <f aca="false">IFERROR(($J347*Q347)*$M347, "")</f>
        <v>0</v>
      </c>
      <c r="AU347" s="284" t="n">
        <f aca="false">IFERROR(($J347*R347)*$M347, "")</f>
        <v>0</v>
      </c>
      <c r="AV347" s="284" t="n">
        <f aca="false">IFERROR(($J347*S347)*$M347, "")</f>
        <v>0</v>
      </c>
      <c r="AW347" s="284" t="n">
        <f aca="false">IFERROR(($J347*T347)*$M347, "")</f>
        <v>0</v>
      </c>
      <c r="AX347" s="284" t="n">
        <f aca="false">IFERROR(($J347*U347)*$M347, "")</f>
        <v>0</v>
      </c>
      <c r="AY347" s="284" t="n">
        <f aca="false">IFERROR(($J347*V347)*$M347, "")</f>
        <v>0</v>
      </c>
      <c r="AZ347" s="284" t="n">
        <f aca="false">IFERROR(($J347*W347)*$M347, "")</f>
        <v>0</v>
      </c>
      <c r="BA347" s="284" t="n">
        <f aca="false">IFERROR(($J347*X347)*$M347, "")</f>
        <v>0</v>
      </c>
      <c r="BB347" s="284" t="n">
        <f aca="false">IFERROR(($J347*Y347)*$M347, "")</f>
        <v>0</v>
      </c>
      <c r="BC347" s="285" t="n">
        <f aca="false">IFERROR(($J347*Z347)*$M347, "")</f>
        <v>0</v>
      </c>
      <c r="BD347" s="286" t="n">
        <f aca="false">IFERROR(SUMIF($AB$4:$AM$4, "RDEC", AR347:BC347), "")</f>
        <v>0</v>
      </c>
      <c r="BE347" s="286" t="n">
        <f aca="false">IFERROR(SUMIF($AB$4:$AM$4, "SME", AR347:BC347), "")</f>
        <v>0</v>
      </c>
      <c r="BF347" s="286" t="n">
        <f aca="false">IFERROR(SUMIF($AB$4:$AM$4, "De Minimis", AR347:BC347), "")</f>
        <v>0</v>
      </c>
      <c r="BG347" s="287"/>
      <c r="BH347" s="288" t="str">
        <f aca="false">IF((SUM(O347:Z347)&gt;1),"ERROR","")</f>
        <v/>
      </c>
      <c r="BI347" s="287"/>
      <c r="BJ347" s="18" t="str">
        <f aca="false">IF(C333&gt;0, C333, "")</f>
        <v/>
      </c>
      <c r="BL347" s="200"/>
      <c r="BM347" s="200"/>
      <c r="BN347" s="200"/>
    </row>
    <row r="348" customFormat="false" ht="15" hidden="false" customHeight="true" outlineLevel="0" collapsed="false">
      <c r="B348" s="275"/>
      <c r="D348" s="276" t="n">
        <f aca="false">D332</f>
        <v>45413</v>
      </c>
      <c r="E348" s="277" t="n">
        <v>0</v>
      </c>
      <c r="F348" s="277" t="n">
        <v>0</v>
      </c>
      <c r="G348" s="277" t="n">
        <v>0</v>
      </c>
      <c r="H348" s="277" t="n">
        <v>0</v>
      </c>
      <c r="I348" s="277" t="n">
        <v>0</v>
      </c>
      <c r="J348" s="278" t="n">
        <f aca="false">E348+H348+I348</f>
        <v>0</v>
      </c>
      <c r="K348" s="204"/>
      <c r="L348" s="279" t="n">
        <v>1</v>
      </c>
      <c r="M348" s="280" t="n">
        <f aca="false">1-L348</f>
        <v>0</v>
      </c>
      <c r="N348" s="281"/>
      <c r="O348" s="282"/>
      <c r="P348" s="282"/>
      <c r="Q348" s="282"/>
      <c r="R348" s="282"/>
      <c r="S348" s="282"/>
      <c r="T348" s="282"/>
      <c r="U348" s="282"/>
      <c r="V348" s="282"/>
      <c r="W348" s="282"/>
      <c r="X348" s="282"/>
      <c r="Y348" s="282"/>
      <c r="Z348" s="282"/>
      <c r="AA348" s="283"/>
      <c r="AB348" s="284" t="n">
        <f aca="false">IFERROR(($J348*O348)*$L348, "")</f>
        <v>0</v>
      </c>
      <c r="AC348" s="284" t="n">
        <f aca="false">IFERROR(($J348*P348)*$L348, "")</f>
        <v>0</v>
      </c>
      <c r="AD348" s="284" t="n">
        <f aca="false">IFERROR(($J348*Q348)*$L348, "")</f>
        <v>0</v>
      </c>
      <c r="AE348" s="284" t="n">
        <f aca="false">IFERROR(($J348*R348)*$L348, "")</f>
        <v>0</v>
      </c>
      <c r="AF348" s="284" t="n">
        <f aca="false">IFERROR(($J348*S348)*$L348, "")</f>
        <v>0</v>
      </c>
      <c r="AG348" s="284" t="n">
        <f aca="false">IFERROR(($J348*T348)*$L348, "")</f>
        <v>0</v>
      </c>
      <c r="AH348" s="284" t="n">
        <f aca="false">IFERROR(($J348*U348)*$L348, "")</f>
        <v>0</v>
      </c>
      <c r="AI348" s="284" t="n">
        <f aca="false">IFERROR(($J348*V348)*$L348, "")</f>
        <v>0</v>
      </c>
      <c r="AJ348" s="284" t="n">
        <f aca="false">IFERROR(($J348*W348)*$L348, "")</f>
        <v>0</v>
      </c>
      <c r="AK348" s="284" t="n">
        <f aca="false">IFERROR(($J348*X348)*$L348, "")</f>
        <v>0</v>
      </c>
      <c r="AL348" s="284" t="n">
        <f aca="false">IFERROR(($J348*Y348)*$L348, "")</f>
        <v>0</v>
      </c>
      <c r="AM348" s="285" t="n">
        <f aca="false">IFERROR(($J348*Z348)*$L348, "")</f>
        <v>0</v>
      </c>
      <c r="AN348" s="286" t="n">
        <f aca="false">IFERROR(SUMIF($AB$4:$AM$4, "RDEC", AB348:AM348), "")</f>
        <v>0</v>
      </c>
      <c r="AO348" s="286" t="n">
        <f aca="false">IFERROR(SUMIF($AB$4:$AM$4, "SME", AB348:AM348), "")</f>
        <v>0</v>
      </c>
      <c r="AP348" s="286" t="n">
        <f aca="false">IFERROR(SUMIF($AB$4:$AM$4, "De Minimis", AB348:AM348), "")</f>
        <v>0</v>
      </c>
      <c r="AQ348" s="283"/>
      <c r="AR348" s="284" t="n">
        <f aca="false">IFERROR(($J348*O348)*$M348, "")</f>
        <v>0</v>
      </c>
      <c r="AS348" s="284" t="n">
        <f aca="false">IFERROR(($J348*P348)*$M348, "")</f>
        <v>0</v>
      </c>
      <c r="AT348" s="284" t="n">
        <f aca="false">IFERROR(($J348*Q348)*$M348, "")</f>
        <v>0</v>
      </c>
      <c r="AU348" s="284" t="n">
        <f aca="false">IFERROR(($J348*R348)*$M348, "")</f>
        <v>0</v>
      </c>
      <c r="AV348" s="284" t="n">
        <f aca="false">IFERROR(($J348*S348)*$M348, "")</f>
        <v>0</v>
      </c>
      <c r="AW348" s="284" t="n">
        <f aca="false">IFERROR(($J348*T348)*$M348, "")</f>
        <v>0</v>
      </c>
      <c r="AX348" s="284" t="n">
        <f aca="false">IFERROR(($J348*U348)*$M348, "")</f>
        <v>0</v>
      </c>
      <c r="AY348" s="284" t="n">
        <f aca="false">IFERROR(($J348*V348)*$M348, "")</f>
        <v>0</v>
      </c>
      <c r="AZ348" s="284" t="n">
        <f aca="false">IFERROR(($J348*W348)*$M348, "")</f>
        <v>0</v>
      </c>
      <c r="BA348" s="284" t="n">
        <f aca="false">IFERROR(($J348*X348)*$M348, "")</f>
        <v>0</v>
      </c>
      <c r="BB348" s="284" t="n">
        <f aca="false">IFERROR(($J348*Y348)*$M348, "")</f>
        <v>0</v>
      </c>
      <c r="BC348" s="285" t="n">
        <f aca="false">IFERROR(($J348*Z348)*$M348, "")</f>
        <v>0</v>
      </c>
      <c r="BD348" s="286" t="n">
        <f aca="false">IFERROR(SUMIF($AB$4:$AM$4, "RDEC", AR348:BC348), "")</f>
        <v>0</v>
      </c>
      <c r="BE348" s="286" t="n">
        <f aca="false">IFERROR(SUMIF($AB$4:$AM$4, "SME", AR348:BC348), "")</f>
        <v>0</v>
      </c>
      <c r="BF348" s="286" t="n">
        <f aca="false">IFERROR(SUMIF($AB$4:$AM$4, "De Minimis", AR348:BC348), "")</f>
        <v>0</v>
      </c>
      <c r="BG348" s="287"/>
      <c r="BH348" s="288" t="str">
        <f aca="false">IF((SUM(O348:Z348)&gt;1),"ERROR","")</f>
        <v/>
      </c>
      <c r="BI348" s="287"/>
      <c r="BJ348" s="18" t="str">
        <f aca="false">IF(C334&gt;0, C334, "")</f>
        <v/>
      </c>
      <c r="BL348" s="200"/>
      <c r="BM348" s="200"/>
      <c r="BN348" s="200"/>
    </row>
    <row r="349" customFormat="false" ht="15" hidden="false" customHeight="true" outlineLevel="0" collapsed="false">
      <c r="B349" s="275"/>
      <c r="D349" s="276" t="n">
        <f aca="false">D333</f>
        <v>45444</v>
      </c>
      <c r="E349" s="277" t="n">
        <v>0</v>
      </c>
      <c r="F349" s="277" t="n">
        <v>0</v>
      </c>
      <c r="G349" s="277" t="n">
        <v>0</v>
      </c>
      <c r="H349" s="277" t="n">
        <v>0</v>
      </c>
      <c r="I349" s="277" t="n">
        <v>0</v>
      </c>
      <c r="J349" s="278" t="n">
        <f aca="false">E349+H349+I349</f>
        <v>0</v>
      </c>
      <c r="K349" s="204"/>
      <c r="L349" s="279" t="n">
        <v>1</v>
      </c>
      <c r="M349" s="280" t="n">
        <f aca="false">1-L349</f>
        <v>0</v>
      </c>
      <c r="N349" s="281"/>
      <c r="O349" s="282"/>
      <c r="P349" s="282"/>
      <c r="Q349" s="282"/>
      <c r="R349" s="282"/>
      <c r="S349" s="282"/>
      <c r="T349" s="282"/>
      <c r="U349" s="282"/>
      <c r="V349" s="282"/>
      <c r="W349" s="282"/>
      <c r="X349" s="282"/>
      <c r="Y349" s="282"/>
      <c r="Z349" s="282"/>
      <c r="AA349" s="283"/>
      <c r="AB349" s="284" t="n">
        <f aca="false">IFERROR(($J349*O349)*$L349, "")</f>
        <v>0</v>
      </c>
      <c r="AC349" s="284" t="n">
        <f aca="false">IFERROR(($J349*P349)*$L349, "")</f>
        <v>0</v>
      </c>
      <c r="AD349" s="284" t="n">
        <f aca="false">IFERROR(($J349*Q349)*$L349, "")</f>
        <v>0</v>
      </c>
      <c r="AE349" s="284" t="n">
        <f aca="false">IFERROR(($J349*R349)*$L349, "")</f>
        <v>0</v>
      </c>
      <c r="AF349" s="284" t="n">
        <f aca="false">IFERROR(($J349*S349)*$L349, "")</f>
        <v>0</v>
      </c>
      <c r="AG349" s="284" t="n">
        <f aca="false">IFERROR(($J349*T349)*$L349, "")</f>
        <v>0</v>
      </c>
      <c r="AH349" s="284" t="n">
        <f aca="false">IFERROR(($J349*U349)*$L349, "")</f>
        <v>0</v>
      </c>
      <c r="AI349" s="284" t="n">
        <f aca="false">IFERROR(($J349*V349)*$L349, "")</f>
        <v>0</v>
      </c>
      <c r="AJ349" s="284" t="n">
        <f aca="false">IFERROR(($J349*W349)*$L349, "")</f>
        <v>0</v>
      </c>
      <c r="AK349" s="284" t="n">
        <f aca="false">IFERROR(($J349*X349)*$L349, "")</f>
        <v>0</v>
      </c>
      <c r="AL349" s="284" t="n">
        <f aca="false">IFERROR(($J349*Y349)*$L349, "")</f>
        <v>0</v>
      </c>
      <c r="AM349" s="285" t="n">
        <f aca="false">IFERROR(($J349*Z349)*$L349, "")</f>
        <v>0</v>
      </c>
      <c r="AN349" s="286" t="n">
        <f aca="false">IFERROR(SUMIF($AB$4:$AM$4, "RDEC", AB349:AM349), "")</f>
        <v>0</v>
      </c>
      <c r="AO349" s="286" t="n">
        <f aca="false">IFERROR(SUMIF($AB$4:$AM$4, "SME", AB349:AM349), "")</f>
        <v>0</v>
      </c>
      <c r="AP349" s="286" t="n">
        <f aca="false">IFERROR(SUMIF($AB$4:$AM$4, "De Minimis", AB349:AM349), "")</f>
        <v>0</v>
      </c>
      <c r="AQ349" s="283"/>
      <c r="AR349" s="284" t="n">
        <f aca="false">IFERROR(($J349*O349)*$M349, "")</f>
        <v>0</v>
      </c>
      <c r="AS349" s="284" t="n">
        <f aca="false">IFERROR(($J349*P349)*$M349, "")</f>
        <v>0</v>
      </c>
      <c r="AT349" s="284" t="n">
        <f aca="false">IFERROR(($J349*Q349)*$M349, "")</f>
        <v>0</v>
      </c>
      <c r="AU349" s="284" t="n">
        <f aca="false">IFERROR(($J349*R349)*$M349, "")</f>
        <v>0</v>
      </c>
      <c r="AV349" s="284" t="n">
        <f aca="false">IFERROR(($J349*S349)*$M349, "")</f>
        <v>0</v>
      </c>
      <c r="AW349" s="284" t="n">
        <f aca="false">IFERROR(($J349*T349)*$M349, "")</f>
        <v>0</v>
      </c>
      <c r="AX349" s="284" t="n">
        <f aca="false">IFERROR(($J349*U349)*$M349, "")</f>
        <v>0</v>
      </c>
      <c r="AY349" s="284" t="n">
        <f aca="false">IFERROR(($J349*V349)*$M349, "")</f>
        <v>0</v>
      </c>
      <c r="AZ349" s="284" t="n">
        <f aca="false">IFERROR(($J349*W349)*$M349, "")</f>
        <v>0</v>
      </c>
      <c r="BA349" s="284" t="n">
        <f aca="false">IFERROR(($J349*X349)*$M349, "")</f>
        <v>0</v>
      </c>
      <c r="BB349" s="284" t="n">
        <f aca="false">IFERROR(($J349*Y349)*$M349, "")</f>
        <v>0</v>
      </c>
      <c r="BC349" s="285" t="n">
        <f aca="false">IFERROR(($J349*Z349)*$M349, "")</f>
        <v>0</v>
      </c>
      <c r="BD349" s="286" t="n">
        <f aca="false">IFERROR(SUMIF($AB$4:$AM$4, "RDEC", AR349:BC349), "")</f>
        <v>0</v>
      </c>
      <c r="BE349" s="286" t="n">
        <f aca="false">IFERROR(SUMIF($AB$4:$AM$4, "SME", AR349:BC349), "")</f>
        <v>0</v>
      </c>
      <c r="BF349" s="286" t="n">
        <f aca="false">IFERROR(SUMIF($AB$4:$AM$4, "De Minimis", AR349:BC349), "")</f>
        <v>0</v>
      </c>
      <c r="BG349" s="287"/>
      <c r="BH349" s="288" t="str">
        <f aca="false">IF((SUM(O349:Z349)&gt;1),"ERROR","")</f>
        <v/>
      </c>
      <c r="BI349" s="287"/>
      <c r="BJ349" s="18" t="str">
        <f aca="false">IF(C335&gt;0, C335, "")</f>
        <v/>
      </c>
      <c r="BL349" s="200"/>
      <c r="BM349" s="200"/>
      <c r="BN349" s="200"/>
    </row>
    <row r="350" customFormat="false" ht="15" hidden="false" customHeight="true" outlineLevel="0" collapsed="false">
      <c r="B350" s="275"/>
      <c r="D350" s="276" t="n">
        <f aca="false">D334</f>
        <v>45474</v>
      </c>
      <c r="E350" s="277" t="n">
        <v>0</v>
      </c>
      <c r="F350" s="277" t="n">
        <v>0</v>
      </c>
      <c r="G350" s="277" t="n">
        <v>0</v>
      </c>
      <c r="H350" s="277" t="n">
        <v>0</v>
      </c>
      <c r="I350" s="277" t="n">
        <v>0</v>
      </c>
      <c r="J350" s="278" t="n">
        <f aca="false">E350+H350+I350</f>
        <v>0</v>
      </c>
      <c r="K350" s="204"/>
      <c r="L350" s="279" t="n">
        <v>1</v>
      </c>
      <c r="M350" s="280" t="n">
        <f aca="false">1-L350</f>
        <v>0</v>
      </c>
      <c r="N350" s="281"/>
      <c r="O350" s="282"/>
      <c r="P350" s="282"/>
      <c r="Q350" s="282"/>
      <c r="R350" s="282"/>
      <c r="S350" s="282"/>
      <c r="T350" s="282"/>
      <c r="U350" s="282"/>
      <c r="V350" s="282"/>
      <c r="W350" s="282"/>
      <c r="X350" s="282"/>
      <c r="Y350" s="282"/>
      <c r="Z350" s="282"/>
      <c r="AA350" s="283"/>
      <c r="AB350" s="284" t="n">
        <f aca="false">IFERROR(($J350*O350)*$L350, "")</f>
        <v>0</v>
      </c>
      <c r="AC350" s="284" t="n">
        <f aca="false">IFERROR(($J350*P350)*$L350, "")</f>
        <v>0</v>
      </c>
      <c r="AD350" s="284" t="n">
        <f aca="false">IFERROR(($J350*Q350)*$L350, "")</f>
        <v>0</v>
      </c>
      <c r="AE350" s="284" t="n">
        <f aca="false">IFERROR(($J350*R350)*$L350, "")</f>
        <v>0</v>
      </c>
      <c r="AF350" s="284" t="n">
        <f aca="false">IFERROR(($J350*S350)*$L350, "")</f>
        <v>0</v>
      </c>
      <c r="AG350" s="284" t="n">
        <f aca="false">IFERROR(($J350*T350)*$L350, "")</f>
        <v>0</v>
      </c>
      <c r="AH350" s="284" t="n">
        <f aca="false">IFERROR(($J350*U350)*$L350, "")</f>
        <v>0</v>
      </c>
      <c r="AI350" s="284" t="n">
        <f aca="false">IFERROR(($J350*V350)*$L350, "")</f>
        <v>0</v>
      </c>
      <c r="AJ350" s="284" t="n">
        <f aca="false">IFERROR(($J350*W350)*$L350, "")</f>
        <v>0</v>
      </c>
      <c r="AK350" s="284" t="n">
        <f aca="false">IFERROR(($J350*X350)*$L350, "")</f>
        <v>0</v>
      </c>
      <c r="AL350" s="284" t="n">
        <f aca="false">IFERROR(($J350*Y350)*$L350, "")</f>
        <v>0</v>
      </c>
      <c r="AM350" s="285" t="n">
        <f aca="false">IFERROR(($J350*Z350)*$L350, "")</f>
        <v>0</v>
      </c>
      <c r="AN350" s="286" t="n">
        <f aca="false">IFERROR(SUMIF($AB$4:$AM$4, "RDEC", AB350:AM350), "")</f>
        <v>0</v>
      </c>
      <c r="AO350" s="286" t="n">
        <f aca="false">IFERROR(SUMIF($AB$4:$AM$4, "SME", AB350:AM350), "")</f>
        <v>0</v>
      </c>
      <c r="AP350" s="286" t="n">
        <f aca="false">IFERROR(SUMIF($AB$4:$AM$4, "De Minimis", AB350:AM350), "")</f>
        <v>0</v>
      </c>
      <c r="AQ350" s="283"/>
      <c r="AR350" s="284" t="n">
        <f aca="false">IFERROR(($J350*O350)*$M350, "")</f>
        <v>0</v>
      </c>
      <c r="AS350" s="284" t="n">
        <f aca="false">IFERROR(($J350*P350)*$M350, "")</f>
        <v>0</v>
      </c>
      <c r="AT350" s="284" t="n">
        <f aca="false">IFERROR(($J350*Q350)*$M350, "")</f>
        <v>0</v>
      </c>
      <c r="AU350" s="284" t="n">
        <f aca="false">IFERROR(($J350*R350)*$M350, "")</f>
        <v>0</v>
      </c>
      <c r="AV350" s="284" t="n">
        <f aca="false">IFERROR(($J350*S350)*$M350, "")</f>
        <v>0</v>
      </c>
      <c r="AW350" s="284" t="n">
        <f aca="false">IFERROR(($J350*T350)*$M350, "")</f>
        <v>0</v>
      </c>
      <c r="AX350" s="284" t="n">
        <f aca="false">IFERROR(($J350*U350)*$M350, "")</f>
        <v>0</v>
      </c>
      <c r="AY350" s="284" t="n">
        <f aca="false">IFERROR(($J350*V350)*$M350, "")</f>
        <v>0</v>
      </c>
      <c r="AZ350" s="284" t="n">
        <f aca="false">IFERROR(($J350*W350)*$M350, "")</f>
        <v>0</v>
      </c>
      <c r="BA350" s="284" t="n">
        <f aca="false">IFERROR(($J350*X350)*$M350, "")</f>
        <v>0</v>
      </c>
      <c r="BB350" s="284" t="n">
        <f aca="false">IFERROR(($J350*Y350)*$M350, "")</f>
        <v>0</v>
      </c>
      <c r="BC350" s="285" t="n">
        <f aca="false">IFERROR(($J350*Z350)*$M350, "")</f>
        <v>0</v>
      </c>
      <c r="BD350" s="286" t="n">
        <f aca="false">IFERROR(SUMIF($AB$4:$AM$4, "RDEC", AR350:BC350), "")</f>
        <v>0</v>
      </c>
      <c r="BE350" s="286" t="n">
        <f aca="false">IFERROR(SUMIF($AB$4:$AM$4, "SME", AR350:BC350), "")</f>
        <v>0</v>
      </c>
      <c r="BF350" s="286" t="n">
        <f aca="false">IFERROR(SUMIF($AB$4:$AM$4, "De Minimis", AR350:BC350), "")</f>
        <v>0</v>
      </c>
      <c r="BG350" s="287"/>
      <c r="BH350" s="288" t="str">
        <f aca="false">IF((SUM(O350:Z350)&gt;1),"ERROR","")</f>
        <v/>
      </c>
      <c r="BI350" s="287"/>
      <c r="BJ350" s="18" t="str">
        <f aca="false">IF(C336&gt;0, C336, "")</f>
        <v/>
      </c>
      <c r="BL350" s="200"/>
      <c r="BM350" s="200"/>
      <c r="BN350" s="200"/>
    </row>
    <row r="351" customFormat="false" ht="15" hidden="false" customHeight="true" outlineLevel="0" collapsed="false">
      <c r="B351" s="275"/>
      <c r="D351" s="276" t="n">
        <f aca="false">D335</f>
        <v>45505</v>
      </c>
      <c r="E351" s="277" t="n">
        <v>0</v>
      </c>
      <c r="F351" s="277" t="n">
        <v>0</v>
      </c>
      <c r="G351" s="277" t="n">
        <v>0</v>
      </c>
      <c r="H351" s="277" t="n">
        <v>0</v>
      </c>
      <c r="I351" s="277" t="n">
        <v>0</v>
      </c>
      <c r="J351" s="278" t="n">
        <f aca="false">E351+H351+I351</f>
        <v>0</v>
      </c>
      <c r="K351" s="204"/>
      <c r="L351" s="279" t="n">
        <v>1</v>
      </c>
      <c r="M351" s="280" t="n">
        <f aca="false">1-L351</f>
        <v>0</v>
      </c>
      <c r="N351" s="281"/>
      <c r="O351" s="282"/>
      <c r="P351" s="282"/>
      <c r="Q351" s="282"/>
      <c r="R351" s="282"/>
      <c r="S351" s="282"/>
      <c r="T351" s="282"/>
      <c r="U351" s="282"/>
      <c r="V351" s="282"/>
      <c r="W351" s="282"/>
      <c r="X351" s="282"/>
      <c r="Y351" s="282"/>
      <c r="Z351" s="282"/>
      <c r="AA351" s="283"/>
      <c r="AB351" s="284" t="n">
        <f aca="false">IFERROR(($J351*O351)*$L351, "")</f>
        <v>0</v>
      </c>
      <c r="AC351" s="284" t="n">
        <f aca="false">IFERROR(($J351*P351)*$L351, "")</f>
        <v>0</v>
      </c>
      <c r="AD351" s="284" t="n">
        <f aca="false">IFERROR(($J351*Q351)*$L351, "")</f>
        <v>0</v>
      </c>
      <c r="AE351" s="284" t="n">
        <f aca="false">IFERROR(($J351*R351)*$L351, "")</f>
        <v>0</v>
      </c>
      <c r="AF351" s="284" t="n">
        <f aca="false">IFERROR(($J351*S351)*$L351, "")</f>
        <v>0</v>
      </c>
      <c r="AG351" s="284" t="n">
        <f aca="false">IFERROR(($J351*T351)*$L351, "")</f>
        <v>0</v>
      </c>
      <c r="AH351" s="284" t="n">
        <f aca="false">IFERROR(($J351*U351)*$L351, "")</f>
        <v>0</v>
      </c>
      <c r="AI351" s="284" t="n">
        <f aca="false">IFERROR(($J351*V351)*$L351, "")</f>
        <v>0</v>
      </c>
      <c r="AJ351" s="284" t="n">
        <f aca="false">IFERROR(($J351*W351)*$L351, "")</f>
        <v>0</v>
      </c>
      <c r="AK351" s="284" t="n">
        <f aca="false">IFERROR(($J351*X351)*$L351, "")</f>
        <v>0</v>
      </c>
      <c r="AL351" s="284" t="n">
        <f aca="false">IFERROR(($J351*Y351)*$L351, "")</f>
        <v>0</v>
      </c>
      <c r="AM351" s="285" t="n">
        <f aca="false">IFERROR(($J351*Z351)*$L351, "")</f>
        <v>0</v>
      </c>
      <c r="AN351" s="286" t="n">
        <f aca="false">IFERROR(SUMIF($AB$4:$AM$4, "RDEC", AB351:AM351), "")</f>
        <v>0</v>
      </c>
      <c r="AO351" s="286" t="n">
        <f aca="false">IFERROR(SUMIF($AB$4:$AM$4, "SME", AB351:AM351), "")</f>
        <v>0</v>
      </c>
      <c r="AP351" s="286" t="n">
        <f aca="false">IFERROR(SUMIF($AB$4:$AM$4, "De Minimis", AB351:AM351), "")</f>
        <v>0</v>
      </c>
      <c r="AQ351" s="283"/>
      <c r="AR351" s="284" t="n">
        <f aca="false">IFERROR(($J351*O351)*$M351, "")</f>
        <v>0</v>
      </c>
      <c r="AS351" s="284" t="n">
        <f aca="false">IFERROR(($J351*P351)*$M351, "")</f>
        <v>0</v>
      </c>
      <c r="AT351" s="284" t="n">
        <f aca="false">IFERROR(($J351*Q351)*$M351, "")</f>
        <v>0</v>
      </c>
      <c r="AU351" s="284" t="n">
        <f aca="false">IFERROR(($J351*R351)*$M351, "")</f>
        <v>0</v>
      </c>
      <c r="AV351" s="284" t="n">
        <f aca="false">IFERROR(($J351*S351)*$M351, "")</f>
        <v>0</v>
      </c>
      <c r="AW351" s="284" t="n">
        <f aca="false">IFERROR(($J351*T351)*$M351, "")</f>
        <v>0</v>
      </c>
      <c r="AX351" s="284" t="n">
        <f aca="false">IFERROR(($J351*U351)*$M351, "")</f>
        <v>0</v>
      </c>
      <c r="AY351" s="284" t="n">
        <f aca="false">IFERROR(($J351*V351)*$M351, "")</f>
        <v>0</v>
      </c>
      <c r="AZ351" s="284" t="n">
        <f aca="false">IFERROR(($J351*W351)*$M351, "")</f>
        <v>0</v>
      </c>
      <c r="BA351" s="284" t="n">
        <f aca="false">IFERROR(($J351*X351)*$M351, "")</f>
        <v>0</v>
      </c>
      <c r="BB351" s="284" t="n">
        <f aca="false">IFERROR(($J351*Y351)*$M351, "")</f>
        <v>0</v>
      </c>
      <c r="BC351" s="285" t="n">
        <f aca="false">IFERROR(($J351*Z351)*$M351, "")</f>
        <v>0</v>
      </c>
      <c r="BD351" s="286" t="n">
        <f aca="false">IFERROR(SUMIF($AB$4:$AM$4, "RDEC", AR351:BC351), "")</f>
        <v>0</v>
      </c>
      <c r="BE351" s="286" t="n">
        <f aca="false">IFERROR(SUMIF($AB$4:$AM$4, "SME", AR351:BC351), "")</f>
        <v>0</v>
      </c>
      <c r="BF351" s="286" t="n">
        <f aca="false">IFERROR(SUMIF($AB$4:$AM$4, "De Minimis", AR351:BC351), "")</f>
        <v>0</v>
      </c>
      <c r="BG351" s="287"/>
      <c r="BH351" s="288" t="str">
        <f aca="false">IF((SUM(O351:Z351)&gt;1),"ERROR","")</f>
        <v/>
      </c>
      <c r="BI351" s="287"/>
      <c r="BJ351" s="18" t="str">
        <f aca="false">IF(C337&gt;0, C337, "")</f>
        <v/>
      </c>
      <c r="BL351" s="200"/>
      <c r="BM351" s="200"/>
      <c r="BN351" s="200"/>
    </row>
    <row r="352" customFormat="false" ht="15" hidden="false" customHeight="true" outlineLevel="0" collapsed="false">
      <c r="B352" s="275"/>
      <c r="D352" s="276" t="n">
        <f aca="false">D336</f>
        <v>45536</v>
      </c>
      <c r="E352" s="277" t="n">
        <v>0</v>
      </c>
      <c r="F352" s="277" t="n">
        <v>0</v>
      </c>
      <c r="G352" s="277" t="n">
        <v>0</v>
      </c>
      <c r="H352" s="277" t="n">
        <v>0</v>
      </c>
      <c r="I352" s="277" t="n">
        <v>0</v>
      </c>
      <c r="J352" s="278" t="n">
        <f aca="false">E352+H352+I352</f>
        <v>0</v>
      </c>
      <c r="K352" s="204"/>
      <c r="L352" s="279" t="n">
        <v>1</v>
      </c>
      <c r="M352" s="280" t="n">
        <f aca="false">1-L352</f>
        <v>0</v>
      </c>
      <c r="N352" s="281"/>
      <c r="O352" s="282"/>
      <c r="P352" s="282"/>
      <c r="Q352" s="282"/>
      <c r="R352" s="282"/>
      <c r="S352" s="282"/>
      <c r="T352" s="282"/>
      <c r="U352" s="282"/>
      <c r="V352" s="282"/>
      <c r="W352" s="282"/>
      <c r="X352" s="282"/>
      <c r="Y352" s="282"/>
      <c r="Z352" s="282"/>
      <c r="AA352" s="283"/>
      <c r="AB352" s="284" t="n">
        <f aca="false">IFERROR(($J352*O352)*$L352, "")</f>
        <v>0</v>
      </c>
      <c r="AC352" s="284" t="n">
        <f aca="false">IFERROR(($J352*P352)*$L352, "")</f>
        <v>0</v>
      </c>
      <c r="AD352" s="284" t="n">
        <f aca="false">IFERROR(($J352*Q352)*$L352, "")</f>
        <v>0</v>
      </c>
      <c r="AE352" s="284" t="n">
        <f aca="false">IFERROR(($J352*R352)*$L352, "")</f>
        <v>0</v>
      </c>
      <c r="AF352" s="284" t="n">
        <f aca="false">IFERROR(($J352*S352)*$L352, "")</f>
        <v>0</v>
      </c>
      <c r="AG352" s="284" t="n">
        <f aca="false">IFERROR(($J352*T352)*$L352, "")</f>
        <v>0</v>
      </c>
      <c r="AH352" s="284" t="n">
        <f aca="false">IFERROR(($J352*U352)*$L352, "")</f>
        <v>0</v>
      </c>
      <c r="AI352" s="284" t="n">
        <f aca="false">IFERROR(($J352*V352)*$L352, "")</f>
        <v>0</v>
      </c>
      <c r="AJ352" s="284" t="n">
        <f aca="false">IFERROR(($J352*W352)*$L352, "")</f>
        <v>0</v>
      </c>
      <c r="AK352" s="284" t="n">
        <f aca="false">IFERROR(($J352*X352)*$L352, "")</f>
        <v>0</v>
      </c>
      <c r="AL352" s="284" t="n">
        <f aca="false">IFERROR(($J352*Y352)*$L352, "")</f>
        <v>0</v>
      </c>
      <c r="AM352" s="285" t="n">
        <f aca="false">IFERROR(($J352*Z352)*$L352, "")</f>
        <v>0</v>
      </c>
      <c r="AN352" s="286" t="n">
        <f aca="false">IFERROR(SUMIF($AB$4:$AM$4, "RDEC", AB352:AM352), "")</f>
        <v>0</v>
      </c>
      <c r="AO352" s="286" t="n">
        <f aca="false">IFERROR(SUMIF($AB$4:$AM$4, "SME", AB352:AM352), "")</f>
        <v>0</v>
      </c>
      <c r="AP352" s="286" t="n">
        <f aca="false">IFERROR(SUMIF($AB$4:$AM$4, "De Minimis", AB352:AM352), "")</f>
        <v>0</v>
      </c>
      <c r="AQ352" s="283"/>
      <c r="AR352" s="284" t="n">
        <f aca="false">IFERROR(($J352*O352)*$M352, "")</f>
        <v>0</v>
      </c>
      <c r="AS352" s="284" t="n">
        <f aca="false">IFERROR(($J352*P352)*$M352, "")</f>
        <v>0</v>
      </c>
      <c r="AT352" s="284" t="n">
        <f aca="false">IFERROR(($J352*Q352)*$M352, "")</f>
        <v>0</v>
      </c>
      <c r="AU352" s="284" t="n">
        <f aca="false">IFERROR(($J352*R352)*$M352, "")</f>
        <v>0</v>
      </c>
      <c r="AV352" s="284" t="n">
        <f aca="false">IFERROR(($J352*S352)*$M352, "")</f>
        <v>0</v>
      </c>
      <c r="AW352" s="284" t="n">
        <f aca="false">IFERROR(($J352*T352)*$M352, "")</f>
        <v>0</v>
      </c>
      <c r="AX352" s="284" t="n">
        <f aca="false">IFERROR(($J352*U352)*$M352, "")</f>
        <v>0</v>
      </c>
      <c r="AY352" s="284" t="n">
        <f aca="false">IFERROR(($J352*V352)*$M352, "")</f>
        <v>0</v>
      </c>
      <c r="AZ352" s="284" t="n">
        <f aca="false">IFERROR(($J352*W352)*$M352, "")</f>
        <v>0</v>
      </c>
      <c r="BA352" s="284" t="n">
        <f aca="false">IFERROR(($J352*X352)*$M352, "")</f>
        <v>0</v>
      </c>
      <c r="BB352" s="284" t="n">
        <f aca="false">IFERROR(($J352*Y352)*$M352, "")</f>
        <v>0</v>
      </c>
      <c r="BC352" s="285" t="n">
        <f aca="false">IFERROR(($J352*Z352)*$M352, "")</f>
        <v>0</v>
      </c>
      <c r="BD352" s="286" t="n">
        <f aca="false">IFERROR(SUMIF($AB$4:$AM$4, "RDEC", AR352:BC352), "")</f>
        <v>0</v>
      </c>
      <c r="BE352" s="286" t="n">
        <f aca="false">IFERROR(SUMIF($AB$4:$AM$4, "SME", AR352:BC352), "")</f>
        <v>0</v>
      </c>
      <c r="BF352" s="286" t="n">
        <f aca="false">IFERROR(SUMIF($AB$4:$AM$4, "De Minimis", AR352:BC352), "")</f>
        <v>0</v>
      </c>
      <c r="BG352" s="287"/>
      <c r="BH352" s="288" t="str">
        <f aca="false">IF((SUM(O352:Z352)&gt;1),"ERROR","")</f>
        <v/>
      </c>
      <c r="BI352" s="287"/>
      <c r="BJ352" s="18" t="str">
        <f aca="false">IF(C338&gt;0, C338, "")</f>
        <v/>
      </c>
      <c r="BL352" s="200"/>
      <c r="BM352" s="200"/>
      <c r="BN352" s="200"/>
    </row>
    <row r="353" customFormat="false" ht="15" hidden="false" customHeight="true" outlineLevel="0" collapsed="false">
      <c r="B353" s="275"/>
      <c r="D353" s="276" t="n">
        <f aca="false">D337</f>
        <v>45566</v>
      </c>
      <c r="E353" s="277" t="n">
        <v>0</v>
      </c>
      <c r="F353" s="277" t="n">
        <v>0</v>
      </c>
      <c r="G353" s="277" t="n">
        <v>0</v>
      </c>
      <c r="H353" s="277" t="n">
        <v>0</v>
      </c>
      <c r="I353" s="277" t="n">
        <v>0</v>
      </c>
      <c r="J353" s="278" t="n">
        <f aca="false">E353+H353+I353</f>
        <v>0</v>
      </c>
      <c r="K353" s="204"/>
      <c r="L353" s="279" t="n">
        <v>1</v>
      </c>
      <c r="M353" s="280" t="n">
        <f aca="false">1-L353</f>
        <v>0</v>
      </c>
      <c r="N353" s="281"/>
      <c r="O353" s="282"/>
      <c r="P353" s="282"/>
      <c r="Q353" s="282"/>
      <c r="R353" s="282"/>
      <c r="S353" s="282"/>
      <c r="T353" s="282"/>
      <c r="U353" s="282"/>
      <c r="V353" s="282"/>
      <c r="W353" s="282"/>
      <c r="X353" s="282"/>
      <c r="Y353" s="282"/>
      <c r="Z353" s="282"/>
      <c r="AA353" s="283"/>
      <c r="AB353" s="284" t="n">
        <f aca="false">IFERROR(($J353*O353)*$L353, "")</f>
        <v>0</v>
      </c>
      <c r="AC353" s="284" t="n">
        <f aca="false">IFERROR(($J353*P353)*$L353, "")</f>
        <v>0</v>
      </c>
      <c r="AD353" s="284" t="n">
        <f aca="false">IFERROR(($J353*Q353)*$L353, "")</f>
        <v>0</v>
      </c>
      <c r="AE353" s="284" t="n">
        <f aca="false">IFERROR(($J353*R353)*$L353, "")</f>
        <v>0</v>
      </c>
      <c r="AF353" s="284" t="n">
        <f aca="false">IFERROR(($J353*S353)*$L353, "")</f>
        <v>0</v>
      </c>
      <c r="AG353" s="284" t="n">
        <f aca="false">IFERROR(($J353*T353)*$L353, "")</f>
        <v>0</v>
      </c>
      <c r="AH353" s="284" t="n">
        <f aca="false">IFERROR(($J353*U353)*$L353, "")</f>
        <v>0</v>
      </c>
      <c r="AI353" s="284" t="n">
        <f aca="false">IFERROR(($J353*V353)*$L353, "")</f>
        <v>0</v>
      </c>
      <c r="AJ353" s="284" t="n">
        <f aca="false">IFERROR(($J353*W353)*$L353, "")</f>
        <v>0</v>
      </c>
      <c r="AK353" s="284" t="n">
        <f aca="false">IFERROR(($J353*X353)*$L353, "")</f>
        <v>0</v>
      </c>
      <c r="AL353" s="284" t="n">
        <f aca="false">IFERROR(($J353*Y353)*$L353, "")</f>
        <v>0</v>
      </c>
      <c r="AM353" s="285" t="n">
        <f aca="false">IFERROR(($J353*Z353)*$L353, "")</f>
        <v>0</v>
      </c>
      <c r="AN353" s="286" t="n">
        <f aca="false">IFERROR(SUMIF($AB$4:$AM$4, "RDEC", AB353:AM353), "")</f>
        <v>0</v>
      </c>
      <c r="AO353" s="286" t="n">
        <f aca="false">IFERROR(SUMIF($AB$4:$AM$4, "SME", AB353:AM353), "")</f>
        <v>0</v>
      </c>
      <c r="AP353" s="286" t="n">
        <f aca="false">IFERROR(SUMIF($AB$4:$AM$4, "De Minimis", AB353:AM353), "")</f>
        <v>0</v>
      </c>
      <c r="AQ353" s="283"/>
      <c r="AR353" s="284" t="n">
        <f aca="false">IFERROR(($J353*O353)*$M353, "")</f>
        <v>0</v>
      </c>
      <c r="AS353" s="284" t="n">
        <f aca="false">IFERROR(($J353*P353)*$M353, "")</f>
        <v>0</v>
      </c>
      <c r="AT353" s="284" t="n">
        <f aca="false">IFERROR(($J353*Q353)*$M353, "")</f>
        <v>0</v>
      </c>
      <c r="AU353" s="284" t="n">
        <f aca="false">IFERROR(($J353*R353)*$M353, "")</f>
        <v>0</v>
      </c>
      <c r="AV353" s="284" t="n">
        <f aca="false">IFERROR(($J353*S353)*$M353, "")</f>
        <v>0</v>
      </c>
      <c r="AW353" s="284" t="n">
        <f aca="false">IFERROR(($J353*T353)*$M353, "")</f>
        <v>0</v>
      </c>
      <c r="AX353" s="284" t="n">
        <f aca="false">IFERROR(($J353*U353)*$M353, "")</f>
        <v>0</v>
      </c>
      <c r="AY353" s="284" t="n">
        <f aca="false">IFERROR(($J353*V353)*$M353, "")</f>
        <v>0</v>
      </c>
      <c r="AZ353" s="284" t="n">
        <f aca="false">IFERROR(($J353*W353)*$M353, "")</f>
        <v>0</v>
      </c>
      <c r="BA353" s="284" t="n">
        <f aca="false">IFERROR(($J353*X353)*$M353, "")</f>
        <v>0</v>
      </c>
      <c r="BB353" s="284" t="n">
        <f aca="false">IFERROR(($J353*Y353)*$M353, "")</f>
        <v>0</v>
      </c>
      <c r="BC353" s="285" t="n">
        <f aca="false">IFERROR(($J353*Z353)*$M353, "")</f>
        <v>0</v>
      </c>
      <c r="BD353" s="286" t="n">
        <f aca="false">IFERROR(SUMIF($AB$4:$AM$4, "RDEC", AR353:BC353), "")</f>
        <v>0</v>
      </c>
      <c r="BE353" s="286" t="n">
        <f aca="false">IFERROR(SUMIF($AB$4:$AM$4, "SME", AR353:BC353), "")</f>
        <v>0</v>
      </c>
      <c r="BF353" s="286" t="n">
        <f aca="false">IFERROR(SUMIF($AB$4:$AM$4, "De Minimis", AR353:BC353), "")</f>
        <v>0</v>
      </c>
      <c r="BG353" s="287"/>
      <c r="BH353" s="288" t="str">
        <f aca="false">IF((SUM(O353:Z353)&gt;1),"ERROR","")</f>
        <v/>
      </c>
      <c r="BI353" s="287"/>
      <c r="BJ353" s="18" t="str">
        <f aca="false">IF(C339&gt;0, C339, "")</f>
        <v/>
      </c>
      <c r="BL353" s="200"/>
      <c r="BM353" s="200"/>
      <c r="BN353" s="200"/>
    </row>
    <row r="354" customFormat="false" ht="15" hidden="false" customHeight="true" outlineLevel="0" collapsed="false">
      <c r="B354" s="275"/>
      <c r="D354" s="276" t="n">
        <f aca="false">D338</f>
        <v>45597</v>
      </c>
      <c r="E354" s="277" t="n">
        <v>0</v>
      </c>
      <c r="F354" s="277" t="n">
        <v>0</v>
      </c>
      <c r="G354" s="277" t="n">
        <v>0</v>
      </c>
      <c r="H354" s="277" t="n">
        <v>0</v>
      </c>
      <c r="I354" s="277" t="n">
        <v>0</v>
      </c>
      <c r="J354" s="278" t="n">
        <f aca="false">E354+H354+I354</f>
        <v>0</v>
      </c>
      <c r="K354" s="204"/>
      <c r="L354" s="279" t="n">
        <v>1</v>
      </c>
      <c r="M354" s="280" t="n">
        <f aca="false">1-L354</f>
        <v>0</v>
      </c>
      <c r="N354" s="281"/>
      <c r="O354" s="282"/>
      <c r="P354" s="282"/>
      <c r="Q354" s="282"/>
      <c r="R354" s="282"/>
      <c r="S354" s="282"/>
      <c r="T354" s="282"/>
      <c r="U354" s="282"/>
      <c r="V354" s="282"/>
      <c r="W354" s="282"/>
      <c r="X354" s="282"/>
      <c r="Y354" s="282"/>
      <c r="Z354" s="282"/>
      <c r="AA354" s="283"/>
      <c r="AB354" s="284" t="n">
        <f aca="false">IFERROR(($J354*O354)*$L354, "")</f>
        <v>0</v>
      </c>
      <c r="AC354" s="284" t="n">
        <f aca="false">IFERROR(($J354*P354)*$L354, "")</f>
        <v>0</v>
      </c>
      <c r="AD354" s="284" t="n">
        <f aca="false">IFERROR(($J354*Q354)*$L354, "")</f>
        <v>0</v>
      </c>
      <c r="AE354" s="284" t="n">
        <f aca="false">IFERROR(($J354*R354)*$L354, "")</f>
        <v>0</v>
      </c>
      <c r="AF354" s="284" t="n">
        <f aca="false">IFERROR(($J354*S354)*$L354, "")</f>
        <v>0</v>
      </c>
      <c r="AG354" s="284" t="n">
        <f aca="false">IFERROR(($J354*T354)*$L354, "")</f>
        <v>0</v>
      </c>
      <c r="AH354" s="284" t="n">
        <f aca="false">IFERROR(($J354*U354)*$L354, "")</f>
        <v>0</v>
      </c>
      <c r="AI354" s="284" t="n">
        <f aca="false">IFERROR(($J354*V354)*$L354, "")</f>
        <v>0</v>
      </c>
      <c r="AJ354" s="284" t="n">
        <f aca="false">IFERROR(($J354*W354)*$L354, "")</f>
        <v>0</v>
      </c>
      <c r="AK354" s="284" t="n">
        <f aca="false">IFERROR(($J354*X354)*$L354, "")</f>
        <v>0</v>
      </c>
      <c r="AL354" s="284" t="n">
        <f aca="false">IFERROR(($J354*Y354)*$L354, "")</f>
        <v>0</v>
      </c>
      <c r="AM354" s="285" t="n">
        <f aca="false">IFERROR(($J354*Z354)*$L354, "")</f>
        <v>0</v>
      </c>
      <c r="AN354" s="286" t="n">
        <f aca="false">IFERROR(SUMIF($AB$4:$AM$4, "RDEC", AB354:AM354), "")</f>
        <v>0</v>
      </c>
      <c r="AO354" s="286" t="n">
        <f aca="false">IFERROR(SUMIF($AB$4:$AM$4, "SME", AB354:AM354), "")</f>
        <v>0</v>
      </c>
      <c r="AP354" s="286" t="n">
        <f aca="false">IFERROR(SUMIF($AB$4:$AM$4, "De Minimis", AB354:AM354), "")</f>
        <v>0</v>
      </c>
      <c r="AQ354" s="283"/>
      <c r="AR354" s="284" t="n">
        <f aca="false">IFERROR(($J354*O354)*$M354, "")</f>
        <v>0</v>
      </c>
      <c r="AS354" s="284" t="n">
        <f aca="false">IFERROR(($J354*P354)*$M354, "")</f>
        <v>0</v>
      </c>
      <c r="AT354" s="284" t="n">
        <f aca="false">IFERROR(($J354*Q354)*$M354, "")</f>
        <v>0</v>
      </c>
      <c r="AU354" s="284" t="n">
        <f aca="false">IFERROR(($J354*R354)*$M354, "")</f>
        <v>0</v>
      </c>
      <c r="AV354" s="284" t="n">
        <f aca="false">IFERROR(($J354*S354)*$M354, "")</f>
        <v>0</v>
      </c>
      <c r="AW354" s="284" t="n">
        <f aca="false">IFERROR(($J354*T354)*$M354, "")</f>
        <v>0</v>
      </c>
      <c r="AX354" s="284" t="n">
        <f aca="false">IFERROR(($J354*U354)*$M354, "")</f>
        <v>0</v>
      </c>
      <c r="AY354" s="284" t="n">
        <f aca="false">IFERROR(($J354*V354)*$M354, "")</f>
        <v>0</v>
      </c>
      <c r="AZ354" s="284" t="n">
        <f aca="false">IFERROR(($J354*W354)*$M354, "")</f>
        <v>0</v>
      </c>
      <c r="BA354" s="284" t="n">
        <f aca="false">IFERROR(($J354*X354)*$M354, "")</f>
        <v>0</v>
      </c>
      <c r="BB354" s="284" t="n">
        <f aca="false">IFERROR(($J354*Y354)*$M354, "")</f>
        <v>0</v>
      </c>
      <c r="BC354" s="285" t="n">
        <f aca="false">IFERROR(($J354*Z354)*$M354, "")</f>
        <v>0</v>
      </c>
      <c r="BD354" s="286" t="n">
        <f aca="false">IFERROR(SUMIF($AB$4:$AM$4, "RDEC", AR354:BC354), "")</f>
        <v>0</v>
      </c>
      <c r="BE354" s="286" t="n">
        <f aca="false">IFERROR(SUMIF($AB$4:$AM$4, "SME", AR354:BC354), "")</f>
        <v>0</v>
      </c>
      <c r="BF354" s="286" t="n">
        <f aca="false">IFERROR(SUMIF($AB$4:$AM$4, "De Minimis", AR354:BC354), "")</f>
        <v>0</v>
      </c>
      <c r="BG354" s="287"/>
      <c r="BH354" s="288" t="str">
        <f aca="false">IF((SUM(O354:Z354)&gt;1),"ERROR","")</f>
        <v/>
      </c>
      <c r="BI354" s="287"/>
      <c r="BJ354" s="18" t="str">
        <f aca="false">IF(C340&gt;0, C340, "")</f>
        <v/>
      </c>
      <c r="BL354" s="200"/>
      <c r="BM354" s="200"/>
      <c r="BN354" s="200"/>
    </row>
    <row r="355" customFormat="false" ht="15" hidden="false" customHeight="true" outlineLevel="0" collapsed="false">
      <c r="B355" s="275"/>
      <c r="D355" s="276" t="n">
        <f aca="false">D339</f>
        <v>45627</v>
      </c>
      <c r="E355" s="277" t="n">
        <v>0</v>
      </c>
      <c r="F355" s="277" t="n">
        <v>0</v>
      </c>
      <c r="G355" s="277" t="n">
        <v>0</v>
      </c>
      <c r="H355" s="277" t="n">
        <v>0</v>
      </c>
      <c r="I355" s="277" t="n">
        <v>0</v>
      </c>
      <c r="J355" s="278" t="n">
        <f aca="false">E355+H355+I355</f>
        <v>0</v>
      </c>
      <c r="K355" s="204"/>
      <c r="L355" s="289" t="n">
        <v>1</v>
      </c>
      <c r="M355" s="290" t="n">
        <f aca="false">1-L355</f>
        <v>0</v>
      </c>
      <c r="N355" s="281"/>
      <c r="O355" s="291"/>
      <c r="P355" s="291"/>
      <c r="Q355" s="291"/>
      <c r="R355" s="291"/>
      <c r="S355" s="291"/>
      <c r="T355" s="291"/>
      <c r="U355" s="291"/>
      <c r="V355" s="291"/>
      <c r="W355" s="291"/>
      <c r="X355" s="291"/>
      <c r="Y355" s="291"/>
      <c r="Z355" s="291"/>
      <c r="AA355" s="283"/>
      <c r="AB355" s="292" t="n">
        <f aca="false">IFERROR(($J355*O355)*$L355, "")</f>
        <v>0</v>
      </c>
      <c r="AC355" s="292" t="n">
        <f aca="false">IFERROR(($J355*P355)*$L355, "")</f>
        <v>0</v>
      </c>
      <c r="AD355" s="292" t="n">
        <f aca="false">IFERROR(($J355*Q355)*$L355, "")</f>
        <v>0</v>
      </c>
      <c r="AE355" s="292" t="n">
        <f aca="false">IFERROR(($J355*R355)*$L355, "")</f>
        <v>0</v>
      </c>
      <c r="AF355" s="292" t="n">
        <f aca="false">IFERROR(($J355*S355)*$L355, "")</f>
        <v>0</v>
      </c>
      <c r="AG355" s="292" t="n">
        <f aca="false">IFERROR(($J355*T355)*$L355, "")</f>
        <v>0</v>
      </c>
      <c r="AH355" s="292" t="n">
        <f aca="false">IFERROR(($J355*U355)*$L355, "")</f>
        <v>0</v>
      </c>
      <c r="AI355" s="292" t="n">
        <f aca="false">IFERROR(($J355*V355)*$L355, "")</f>
        <v>0</v>
      </c>
      <c r="AJ355" s="292" t="n">
        <f aca="false">IFERROR(($J355*W355)*$L355, "")</f>
        <v>0</v>
      </c>
      <c r="AK355" s="292" t="n">
        <f aca="false">IFERROR(($J355*X355)*$L355, "")</f>
        <v>0</v>
      </c>
      <c r="AL355" s="292" t="n">
        <f aca="false">IFERROR(($J355*Y355)*$L355, "")</f>
        <v>0</v>
      </c>
      <c r="AM355" s="293" t="n">
        <f aca="false">IFERROR(($J355*Z355)*$L355, "")</f>
        <v>0</v>
      </c>
      <c r="AN355" s="294" t="n">
        <f aca="false">IFERROR(SUMIF($AB$4:$AM$4, "RDEC", AB355:AM355), "")</f>
        <v>0</v>
      </c>
      <c r="AO355" s="294" t="n">
        <f aca="false">IFERROR(SUMIF($AB$4:$AM$4, "SME", AB355:AM355), "")</f>
        <v>0</v>
      </c>
      <c r="AP355" s="294" t="n">
        <f aca="false">IFERROR(SUMIF($AB$4:$AM$4, "De Minimis", AB355:AM355), "")</f>
        <v>0</v>
      </c>
      <c r="AQ355" s="283"/>
      <c r="AR355" s="292" t="n">
        <f aca="false">IFERROR(($J355*O355)*$M355, "")</f>
        <v>0</v>
      </c>
      <c r="AS355" s="292" t="n">
        <f aca="false">IFERROR(($J355*P355)*$M355, "")</f>
        <v>0</v>
      </c>
      <c r="AT355" s="292" t="n">
        <f aca="false">IFERROR(($J355*Q355)*$M355, "")</f>
        <v>0</v>
      </c>
      <c r="AU355" s="292" t="n">
        <f aca="false">IFERROR(($J355*R355)*$M355, "")</f>
        <v>0</v>
      </c>
      <c r="AV355" s="292" t="n">
        <f aca="false">IFERROR(($J355*S355)*$M355, "")</f>
        <v>0</v>
      </c>
      <c r="AW355" s="292" t="n">
        <f aca="false">IFERROR(($J355*T355)*$M355, "")</f>
        <v>0</v>
      </c>
      <c r="AX355" s="292" t="n">
        <f aca="false">IFERROR(($J355*U355)*$M355, "")</f>
        <v>0</v>
      </c>
      <c r="AY355" s="292" t="n">
        <f aca="false">IFERROR(($J355*V355)*$M355, "")</f>
        <v>0</v>
      </c>
      <c r="AZ355" s="292" t="n">
        <f aca="false">IFERROR(($J355*W355)*$M355, "")</f>
        <v>0</v>
      </c>
      <c r="BA355" s="292" t="n">
        <f aca="false">IFERROR(($J355*X355)*$M355, "")</f>
        <v>0</v>
      </c>
      <c r="BB355" s="292" t="n">
        <f aca="false">IFERROR(($J355*Y355)*$M355, "")</f>
        <v>0</v>
      </c>
      <c r="BC355" s="293" t="n">
        <f aca="false">IFERROR(($J355*Z355)*$M355, "")</f>
        <v>0</v>
      </c>
      <c r="BD355" s="294" t="n">
        <f aca="false">IFERROR(SUMIF($AB$4:$AM$4, "RDEC", AR355:BC355), "")</f>
        <v>0</v>
      </c>
      <c r="BE355" s="294" t="n">
        <f aca="false">IFERROR(SUMIF($AB$4:$AM$4, "SME", AR355:BC355), "")</f>
        <v>0</v>
      </c>
      <c r="BF355" s="294" t="n">
        <f aca="false">IFERROR(SUMIF($AB$4:$AM$4, "De Minimis", AR355:BC355), "")</f>
        <v>0</v>
      </c>
      <c r="BG355" s="287"/>
      <c r="BH355" s="295" t="str">
        <f aca="false">IF((SUM(O355:Z355)&gt;1),"ERROR","")</f>
        <v/>
      </c>
      <c r="BI355" s="287"/>
      <c r="BJ355" s="18" t="str">
        <f aca="false">IF(C341&gt;0, C341, "")</f>
        <v/>
      </c>
      <c r="BL355" s="200"/>
      <c r="BM355" s="200"/>
      <c r="BN355" s="200"/>
    </row>
    <row r="356" customFormat="false" ht="15" hidden="false" customHeight="true" outlineLevel="0" collapsed="false">
      <c r="B356" s="296"/>
      <c r="D356" s="297" t="s">
        <v>82</v>
      </c>
      <c r="E356" s="298" t="n">
        <f aca="false">SUM(E344:E355)</f>
        <v>0</v>
      </c>
      <c r="F356" s="298" t="n">
        <f aca="false">SUM(F344:F355)</f>
        <v>0</v>
      </c>
      <c r="G356" s="298" t="n">
        <f aca="false">SUM(G344:G355)</f>
        <v>0</v>
      </c>
      <c r="H356" s="298" t="n">
        <f aca="false">SUM(H344:H355)</f>
        <v>0</v>
      </c>
      <c r="I356" s="298" t="n">
        <f aca="false">SUM(I344:I355)</f>
        <v>0</v>
      </c>
      <c r="J356" s="299" t="n">
        <f aca="false">SUM(J344:J355)</f>
        <v>0</v>
      </c>
      <c r="K356" s="300"/>
      <c r="L356" s="301" t="n">
        <f aca="false">AVERAGE(L344:L355)</f>
        <v>1</v>
      </c>
      <c r="M356" s="301" t="n">
        <f aca="false">AVERAGE(M344:M355)</f>
        <v>0</v>
      </c>
      <c r="N356" s="302"/>
      <c r="O356" s="290" t="n">
        <f aca="false">IF(SUM(O344:O355)&gt;0,((AB356+AR356)/J356),0)</f>
        <v>0</v>
      </c>
      <c r="P356" s="290" t="n">
        <f aca="false">IF(SUM(P344:P355)&gt;0,((AC356+AS356)/J356),0)</f>
        <v>0</v>
      </c>
      <c r="Q356" s="290" t="n">
        <f aca="false">IF(SUM(Q344:Q355)&gt;0,((AD356+AT356)/J356),0)</f>
        <v>0</v>
      </c>
      <c r="R356" s="290" t="n">
        <f aca="false">IF(SUM(R344:R355)&gt;0,((AE356+AU356)/J356),0)</f>
        <v>0</v>
      </c>
      <c r="S356" s="290" t="n">
        <f aca="false">IF(SUM(S344:S355)&gt;0,((AF356+AV356)/J356),0)</f>
        <v>0</v>
      </c>
      <c r="T356" s="290" t="n">
        <f aca="false">IF(SUM(T344:T355)&gt;0,((AG356+AW356)/J356),0)</f>
        <v>0</v>
      </c>
      <c r="U356" s="290" t="n">
        <f aca="false">IF(SUM(U344:U355)&gt;0,((AH356+AX356)/J356),0)</f>
        <v>0</v>
      </c>
      <c r="V356" s="290" t="n">
        <f aca="false">IF(SUM(V344:V355)&gt;0,((AI356+AY356)/J356),0)</f>
        <v>0</v>
      </c>
      <c r="W356" s="290" t="n">
        <f aca="false">IF(SUM(W344:W355)&gt;0,((AJ356+AZ356)/J356),0)</f>
        <v>0</v>
      </c>
      <c r="X356" s="290" t="n">
        <f aca="false">IF(SUM(X344:X355)&gt;0,((AK356+BA356)/J356),0)</f>
        <v>0</v>
      </c>
      <c r="Y356" s="290" t="n">
        <f aca="false">IF(SUM(Y344:Y355)&gt;0,((AL356+BB356)/J356),0)</f>
        <v>0</v>
      </c>
      <c r="Z356" s="290" t="n">
        <f aca="false">IF(SUM(Z344:Z355)&gt;0,((AM356+BC356)/J356),0)</f>
        <v>0</v>
      </c>
      <c r="AA356" s="303"/>
      <c r="AB356" s="292" t="n">
        <f aca="false">SUM(AB344:AB355)</f>
        <v>0</v>
      </c>
      <c r="AC356" s="304" t="n">
        <f aca="false">SUM(AC344:AC355)</f>
        <v>0</v>
      </c>
      <c r="AD356" s="304" t="n">
        <f aca="false">SUM(AD344:AD355)</f>
        <v>0</v>
      </c>
      <c r="AE356" s="304" t="n">
        <f aca="false">SUM(AE344:AE355)</f>
        <v>0</v>
      </c>
      <c r="AF356" s="304" t="n">
        <f aca="false">SUM(AF344:AF355)</f>
        <v>0</v>
      </c>
      <c r="AG356" s="304" t="n">
        <f aca="false">SUM(AG344:AG355)</f>
        <v>0</v>
      </c>
      <c r="AH356" s="304" t="n">
        <f aca="false">SUM(AH344:AH355)</f>
        <v>0</v>
      </c>
      <c r="AI356" s="304" t="n">
        <f aca="false">SUM(AI344:AI355)</f>
        <v>0</v>
      </c>
      <c r="AJ356" s="304" t="n">
        <f aca="false">SUM(AJ344:AJ355)</f>
        <v>0</v>
      </c>
      <c r="AK356" s="304" t="n">
        <f aca="false">SUM(AK344:AK355)</f>
        <v>0</v>
      </c>
      <c r="AL356" s="304" t="n">
        <f aca="false">SUM(AL344:AL355)</f>
        <v>0</v>
      </c>
      <c r="AM356" s="304" t="n">
        <f aca="false">SUM(AM344:AM355)</f>
        <v>0</v>
      </c>
      <c r="AN356" s="305" t="n">
        <f aca="false">SUM(AN344:AN355)</f>
        <v>0</v>
      </c>
      <c r="AO356" s="305" t="n">
        <f aca="false">SUM(AO344:AO355)</f>
        <v>0</v>
      </c>
      <c r="AP356" s="305" t="n">
        <f aca="false">SUM(AP344:AP355)</f>
        <v>0</v>
      </c>
      <c r="AQ356" s="303"/>
      <c r="AR356" s="292" t="n">
        <f aca="false">SUM(AR344:AR355)</f>
        <v>0</v>
      </c>
      <c r="AS356" s="304" t="n">
        <f aca="false">SUM(AS344:AS355)</f>
        <v>0</v>
      </c>
      <c r="AT356" s="304" t="n">
        <f aca="false">SUM(AT344:AT355)</f>
        <v>0</v>
      </c>
      <c r="AU356" s="304" t="n">
        <f aca="false">SUM(AU344:AU355)</f>
        <v>0</v>
      </c>
      <c r="AV356" s="304" t="n">
        <f aca="false">SUM(AV344:AV355)</f>
        <v>0</v>
      </c>
      <c r="AW356" s="304" t="n">
        <f aca="false">SUM(AW344:AW355)</f>
        <v>0</v>
      </c>
      <c r="AX356" s="304" t="n">
        <f aca="false">SUM(AX344:AX355)</f>
        <v>0</v>
      </c>
      <c r="AY356" s="304" t="n">
        <f aca="false">SUM(AY344:AY355)</f>
        <v>0</v>
      </c>
      <c r="AZ356" s="304" t="n">
        <f aca="false">SUM(AZ344:AZ355)</f>
        <v>0</v>
      </c>
      <c r="BA356" s="304" t="n">
        <f aca="false">SUM(BA344:BA355)</f>
        <v>0</v>
      </c>
      <c r="BB356" s="304" t="n">
        <f aca="false">SUM(BB344:BB355)</f>
        <v>0</v>
      </c>
      <c r="BC356" s="304" t="n">
        <f aca="false">SUM(BC344:BC355)</f>
        <v>0</v>
      </c>
      <c r="BD356" s="305" t="n">
        <f aca="false">SUM(BD344:BD355)</f>
        <v>0</v>
      </c>
      <c r="BE356" s="305" t="n">
        <f aca="false">SUM(BE344:BE355)</f>
        <v>0</v>
      </c>
      <c r="BF356" s="305" t="n">
        <f aca="false">SUM(BF344:BF355)</f>
        <v>0</v>
      </c>
      <c r="BG356" s="303"/>
      <c r="BH356" s="306"/>
      <c r="BI356" s="303"/>
      <c r="BJ356" s="307" t="str">
        <f aca="false">IF(C342&gt;0, C342, "")</f>
        <v>TBA</v>
      </c>
      <c r="BK356" s="18" t="s">
        <v>234</v>
      </c>
      <c r="BL356" s="200" t="n">
        <f aca="false">IF($BK356="Y",J356,0)</f>
        <v>0</v>
      </c>
      <c r="BM356" s="200" t="n">
        <f aca="false">IF(BK356="Y", AN356,0)</f>
        <v>0</v>
      </c>
      <c r="BN356" s="200" t="n">
        <f aca="false">IF((BK356="Y"),AO356,0)</f>
        <v>0</v>
      </c>
    </row>
    <row r="357" customFormat="false" ht="15" hidden="false" customHeight="true" outlineLevel="0" collapsed="false">
      <c r="B357" s="296"/>
      <c r="D357" s="297"/>
      <c r="E357" s="277"/>
      <c r="F357" s="277"/>
      <c r="G357" s="277"/>
      <c r="H357" s="277"/>
      <c r="I357" s="277"/>
      <c r="J357" s="300"/>
      <c r="K357" s="300"/>
      <c r="L357" s="302"/>
      <c r="M357" s="302"/>
      <c r="N357" s="302"/>
      <c r="O357" s="308"/>
      <c r="P357" s="308"/>
      <c r="Q357" s="308"/>
      <c r="R357" s="308"/>
      <c r="S357" s="308"/>
      <c r="T357" s="308"/>
      <c r="U357" s="308"/>
      <c r="V357" s="308"/>
      <c r="W357" s="308"/>
      <c r="X357" s="308"/>
      <c r="Y357" s="308"/>
      <c r="Z357" s="308"/>
      <c r="AA357" s="303"/>
      <c r="AB357" s="303"/>
      <c r="AC357" s="303"/>
      <c r="AD357" s="303"/>
      <c r="AE357" s="303"/>
      <c r="AF357" s="303"/>
      <c r="AG357" s="303"/>
      <c r="AH357" s="303"/>
      <c r="AI357" s="303"/>
      <c r="AJ357" s="303"/>
      <c r="AK357" s="303"/>
      <c r="AL357" s="303"/>
      <c r="AM357" s="303"/>
      <c r="AN357" s="303"/>
      <c r="AO357" s="303"/>
      <c r="AP357" s="303"/>
      <c r="AQ357" s="303"/>
      <c r="AR357" s="303"/>
      <c r="AS357" s="303"/>
      <c r="AT357" s="303"/>
      <c r="AU357" s="303"/>
      <c r="AV357" s="303"/>
      <c r="AW357" s="303"/>
      <c r="AX357" s="303"/>
      <c r="AY357" s="303"/>
      <c r="AZ357" s="303"/>
      <c r="BA357" s="303"/>
      <c r="BB357" s="303"/>
      <c r="BC357" s="303"/>
      <c r="BD357" s="303"/>
      <c r="BE357" s="303"/>
      <c r="BF357" s="303"/>
      <c r="BG357" s="303"/>
      <c r="BH357" s="303"/>
      <c r="BI357" s="303"/>
      <c r="BJ357" s="307" t="str">
        <f aca="false">IF(C344&gt;0, C344, "")</f>
        <v/>
      </c>
      <c r="BL357" s="200"/>
      <c r="BM357" s="200"/>
      <c r="BN357" s="200"/>
    </row>
    <row r="358" customFormat="false" ht="15" hidden="false" customHeight="true" outlineLevel="0" collapsed="false">
      <c r="A358" s="198" t="n">
        <f aca="false">A342+1</f>
        <v>23</v>
      </c>
      <c r="B358" s="266" t="s">
        <v>253</v>
      </c>
      <c r="C358" s="266" t="s">
        <v>253</v>
      </c>
      <c r="D358" s="267"/>
      <c r="E358" s="242"/>
      <c r="F358" s="242"/>
      <c r="G358" s="242"/>
      <c r="H358" s="242"/>
      <c r="I358" s="242"/>
      <c r="J358" s="241"/>
      <c r="K358" s="241"/>
      <c r="L358" s="241"/>
      <c r="M358" s="241"/>
      <c r="N358" s="241"/>
      <c r="O358" s="268"/>
      <c r="P358" s="268"/>
      <c r="Q358" s="268"/>
      <c r="R358" s="268"/>
      <c r="S358" s="268"/>
      <c r="T358" s="268"/>
      <c r="U358" s="268"/>
      <c r="V358" s="268"/>
      <c r="W358" s="268"/>
      <c r="X358" s="268"/>
      <c r="Y358" s="268"/>
      <c r="Z358" s="268"/>
      <c r="AA358" s="268"/>
      <c r="AB358" s="268"/>
      <c r="AC358" s="268"/>
      <c r="AD358" s="268"/>
      <c r="AE358" s="268"/>
      <c r="AF358" s="268"/>
      <c r="AG358" s="268"/>
      <c r="AH358" s="268"/>
      <c r="AI358" s="268"/>
      <c r="AJ358" s="268"/>
      <c r="AK358" s="268"/>
      <c r="AL358" s="268"/>
      <c r="AM358" s="268"/>
      <c r="AN358" s="268"/>
      <c r="AO358" s="268"/>
      <c r="AP358" s="268"/>
      <c r="AQ358" s="268"/>
      <c r="AR358" s="268"/>
      <c r="AS358" s="268"/>
      <c r="AT358" s="268"/>
      <c r="AU358" s="268"/>
      <c r="AV358" s="268"/>
      <c r="AW358" s="268"/>
      <c r="AX358" s="268"/>
      <c r="AY358" s="268"/>
      <c r="AZ358" s="268"/>
      <c r="BA358" s="268"/>
      <c r="BB358" s="268"/>
      <c r="BC358" s="268"/>
      <c r="BD358" s="268"/>
      <c r="BE358" s="268"/>
      <c r="BF358" s="268"/>
      <c r="BG358" s="268"/>
      <c r="BH358" s="268"/>
      <c r="BI358" s="268"/>
      <c r="BJ358" s="18" t="str">
        <f aca="false">IF(C345&gt;0, C345, "")</f>
        <v/>
      </c>
      <c r="BL358" s="200"/>
      <c r="BM358" s="200"/>
      <c r="BN358" s="200"/>
    </row>
    <row r="359" customFormat="false" ht="7.5" hidden="false" customHeight="true" outlineLevel="0" collapsed="false">
      <c r="A359" s="198"/>
      <c r="B359" s="266"/>
      <c r="C359" s="266"/>
      <c r="D359" s="267"/>
      <c r="E359" s="242"/>
      <c r="F359" s="242"/>
      <c r="G359" s="242"/>
      <c r="H359" s="242"/>
      <c r="I359" s="242"/>
      <c r="J359" s="241"/>
      <c r="K359" s="241"/>
      <c r="L359" s="269"/>
      <c r="M359" s="269"/>
      <c r="N359" s="270"/>
      <c r="O359" s="269"/>
      <c r="P359" s="269"/>
      <c r="Q359" s="269"/>
      <c r="R359" s="269"/>
      <c r="S359" s="269"/>
      <c r="T359" s="269"/>
      <c r="U359" s="269"/>
      <c r="V359" s="269"/>
      <c r="W359" s="269"/>
      <c r="X359" s="269"/>
      <c r="Y359" s="269"/>
      <c r="Z359" s="269"/>
      <c r="AA359" s="268"/>
      <c r="AB359" s="271"/>
      <c r="AC359" s="271"/>
      <c r="AD359" s="271"/>
      <c r="AE359" s="271"/>
      <c r="AF359" s="271"/>
      <c r="AG359" s="271"/>
      <c r="AH359" s="271"/>
      <c r="AI359" s="271"/>
      <c r="AJ359" s="271"/>
      <c r="AK359" s="271"/>
      <c r="AL359" s="271"/>
      <c r="AM359" s="272"/>
      <c r="AN359" s="273"/>
      <c r="AO359" s="273"/>
      <c r="AP359" s="273"/>
      <c r="AQ359" s="268"/>
      <c r="AR359" s="271"/>
      <c r="AS359" s="271"/>
      <c r="AT359" s="271"/>
      <c r="AU359" s="271"/>
      <c r="AV359" s="271"/>
      <c r="AW359" s="271"/>
      <c r="AX359" s="271"/>
      <c r="AY359" s="271"/>
      <c r="AZ359" s="271"/>
      <c r="BA359" s="271"/>
      <c r="BB359" s="271"/>
      <c r="BC359" s="272"/>
      <c r="BD359" s="273"/>
      <c r="BE359" s="273"/>
      <c r="BF359" s="273"/>
      <c r="BG359" s="268"/>
      <c r="BH359" s="274"/>
      <c r="BI359" s="268"/>
      <c r="BL359" s="200"/>
      <c r="BM359" s="200"/>
      <c r="BN359" s="200"/>
    </row>
    <row r="360" customFormat="false" ht="15" hidden="false" customHeight="true" outlineLevel="0" collapsed="false">
      <c r="B360" s="275"/>
      <c r="D360" s="276" t="n">
        <f aca="false">D344</f>
        <v>45292</v>
      </c>
      <c r="E360" s="277" t="n">
        <v>0</v>
      </c>
      <c r="F360" s="277" t="n">
        <v>0</v>
      </c>
      <c r="G360" s="277" t="n">
        <v>0</v>
      </c>
      <c r="H360" s="277" t="n">
        <v>0</v>
      </c>
      <c r="I360" s="277" t="n">
        <v>0</v>
      </c>
      <c r="J360" s="278" t="n">
        <f aca="false">E360+H360+I360</f>
        <v>0</v>
      </c>
      <c r="K360" s="204"/>
      <c r="L360" s="279" t="n">
        <v>1</v>
      </c>
      <c r="M360" s="280" t="n">
        <f aca="false">1-L360</f>
        <v>0</v>
      </c>
      <c r="N360" s="281"/>
      <c r="O360" s="282"/>
      <c r="P360" s="282"/>
      <c r="Q360" s="282"/>
      <c r="R360" s="282"/>
      <c r="S360" s="282"/>
      <c r="T360" s="282"/>
      <c r="U360" s="282"/>
      <c r="V360" s="282"/>
      <c r="W360" s="282"/>
      <c r="X360" s="282"/>
      <c r="Y360" s="282"/>
      <c r="Z360" s="282"/>
      <c r="AA360" s="283"/>
      <c r="AB360" s="284" t="n">
        <f aca="false">IFERROR(($J360*O360)*$L360, "")</f>
        <v>0</v>
      </c>
      <c r="AC360" s="284" t="n">
        <f aca="false">IFERROR(($J360*P360)*$L360, "")</f>
        <v>0</v>
      </c>
      <c r="AD360" s="284" t="n">
        <f aca="false">IFERROR(($J360*Q360)*$L360, "")</f>
        <v>0</v>
      </c>
      <c r="AE360" s="284" t="n">
        <f aca="false">IFERROR(($J360*R360)*$L360, "")</f>
        <v>0</v>
      </c>
      <c r="AF360" s="284" t="n">
        <f aca="false">IFERROR(($J360*S360)*$L360, "")</f>
        <v>0</v>
      </c>
      <c r="AG360" s="284" t="n">
        <f aca="false">IFERROR(($J360*T360)*$L360, "")</f>
        <v>0</v>
      </c>
      <c r="AH360" s="284" t="n">
        <f aca="false">IFERROR(($J360*U360)*$L360, "")</f>
        <v>0</v>
      </c>
      <c r="AI360" s="284" t="n">
        <f aca="false">IFERROR(($J360*V360)*$L360, "")</f>
        <v>0</v>
      </c>
      <c r="AJ360" s="284" t="n">
        <f aca="false">IFERROR(($J360*W360)*$L360, "")</f>
        <v>0</v>
      </c>
      <c r="AK360" s="284" t="n">
        <f aca="false">IFERROR(($J360*X360)*$L360, "")</f>
        <v>0</v>
      </c>
      <c r="AL360" s="284" t="n">
        <f aca="false">IFERROR(($J360*Y360)*$L360, "")</f>
        <v>0</v>
      </c>
      <c r="AM360" s="285" t="n">
        <f aca="false">IFERROR(($J360*Z360)*$L360, "")</f>
        <v>0</v>
      </c>
      <c r="AN360" s="286" t="n">
        <f aca="false">IFERROR(SUMIF($AB$4:$AM$4, "RDEC", AB360:AM360), "")</f>
        <v>0</v>
      </c>
      <c r="AO360" s="286" t="n">
        <f aca="false">IFERROR(SUMIF($AB$4:$AM$4, "SME", AB360:AM360), "")</f>
        <v>0</v>
      </c>
      <c r="AP360" s="286" t="n">
        <f aca="false">IFERROR(SUMIF($AB$4:$AM$4, "De Minimis", AB360:AM360), "")</f>
        <v>0</v>
      </c>
      <c r="AQ360" s="283"/>
      <c r="AR360" s="284" t="n">
        <f aca="false">IFERROR(($J360*O360)*$M360, "")</f>
        <v>0</v>
      </c>
      <c r="AS360" s="284" t="n">
        <f aca="false">IFERROR(($J360*P360)*$M360, "")</f>
        <v>0</v>
      </c>
      <c r="AT360" s="284" t="n">
        <f aca="false">IFERROR(($J360*Q360)*$M360, "")</f>
        <v>0</v>
      </c>
      <c r="AU360" s="284" t="n">
        <f aca="false">IFERROR(($J360*R360)*$M360, "")</f>
        <v>0</v>
      </c>
      <c r="AV360" s="284" t="n">
        <f aca="false">IFERROR(($J360*S360)*$M360, "")</f>
        <v>0</v>
      </c>
      <c r="AW360" s="284" t="n">
        <f aca="false">IFERROR(($J360*T360)*$M360, "")</f>
        <v>0</v>
      </c>
      <c r="AX360" s="284" t="n">
        <f aca="false">IFERROR(($J360*U360)*$M360, "")</f>
        <v>0</v>
      </c>
      <c r="AY360" s="284" t="n">
        <f aca="false">IFERROR(($J360*V360)*$M360, "")</f>
        <v>0</v>
      </c>
      <c r="AZ360" s="284" t="n">
        <f aca="false">IFERROR(($J360*W360)*$M360, "")</f>
        <v>0</v>
      </c>
      <c r="BA360" s="284" t="n">
        <f aca="false">IFERROR(($J360*X360)*$M360, "")</f>
        <v>0</v>
      </c>
      <c r="BB360" s="284" t="n">
        <f aca="false">IFERROR(($J360*Y360)*$M360, "")</f>
        <v>0</v>
      </c>
      <c r="BC360" s="285" t="n">
        <f aca="false">IFERROR(($J360*Z360)*$M360, "")</f>
        <v>0</v>
      </c>
      <c r="BD360" s="286" t="n">
        <f aca="false">IFERROR(SUMIF($AB$4:$AM$4, "RDEC", AR360:BC360), "")</f>
        <v>0</v>
      </c>
      <c r="BE360" s="286" t="n">
        <f aca="false">IFERROR(SUMIF($AB$4:$AM$4, "SME", AR360:BC360), "")</f>
        <v>0</v>
      </c>
      <c r="BF360" s="286" t="n">
        <f aca="false">IFERROR(SUMIF($AB$4:$AM$4, "De Minimis", AR360:BC360), "")</f>
        <v>0</v>
      </c>
      <c r="BG360" s="287"/>
      <c r="BH360" s="288" t="str">
        <f aca="false">IF((SUM(O360:Z360)&gt;1),"ERROR","")</f>
        <v/>
      </c>
      <c r="BI360" s="287"/>
      <c r="BJ360" s="18" t="str">
        <f aca="false">IF(C346&gt;0, C346, "")</f>
        <v/>
      </c>
      <c r="BL360" s="200"/>
      <c r="BM360" s="200"/>
      <c r="BN360" s="200"/>
    </row>
    <row r="361" customFormat="false" ht="15" hidden="false" customHeight="true" outlineLevel="0" collapsed="false">
      <c r="B361" s="275"/>
      <c r="D361" s="276" t="n">
        <f aca="false">D345</f>
        <v>45323</v>
      </c>
      <c r="E361" s="277" t="n">
        <v>0</v>
      </c>
      <c r="F361" s="277" t="n">
        <v>0</v>
      </c>
      <c r="G361" s="277" t="n">
        <v>0</v>
      </c>
      <c r="H361" s="277" t="n">
        <v>0</v>
      </c>
      <c r="I361" s="277" t="n">
        <v>0</v>
      </c>
      <c r="J361" s="278" t="n">
        <f aca="false">E361+H361+I361</f>
        <v>0</v>
      </c>
      <c r="K361" s="204"/>
      <c r="L361" s="279" t="n">
        <v>1</v>
      </c>
      <c r="M361" s="280" t="n">
        <f aca="false">1-L361</f>
        <v>0</v>
      </c>
      <c r="N361" s="281"/>
      <c r="O361" s="282"/>
      <c r="P361" s="282"/>
      <c r="Q361" s="282"/>
      <c r="R361" s="282"/>
      <c r="S361" s="282"/>
      <c r="T361" s="282"/>
      <c r="U361" s="282"/>
      <c r="V361" s="282"/>
      <c r="W361" s="282"/>
      <c r="X361" s="282"/>
      <c r="Y361" s="282"/>
      <c r="Z361" s="282"/>
      <c r="AA361" s="283"/>
      <c r="AB361" s="284" t="n">
        <f aca="false">IFERROR(($J361*O361)*$L361, "")</f>
        <v>0</v>
      </c>
      <c r="AC361" s="284" t="n">
        <f aca="false">IFERROR(($J361*P361)*$L361, "")</f>
        <v>0</v>
      </c>
      <c r="AD361" s="284" t="n">
        <f aca="false">IFERROR(($J361*Q361)*$L361, "")</f>
        <v>0</v>
      </c>
      <c r="AE361" s="284" t="n">
        <f aca="false">IFERROR(($J361*R361)*$L361, "")</f>
        <v>0</v>
      </c>
      <c r="AF361" s="284" t="n">
        <f aca="false">IFERROR(($J361*S361)*$L361, "")</f>
        <v>0</v>
      </c>
      <c r="AG361" s="284" t="n">
        <f aca="false">IFERROR(($J361*T361)*$L361, "")</f>
        <v>0</v>
      </c>
      <c r="AH361" s="284" t="n">
        <f aca="false">IFERROR(($J361*U361)*$L361, "")</f>
        <v>0</v>
      </c>
      <c r="AI361" s="284" t="n">
        <f aca="false">IFERROR(($J361*V361)*$L361, "")</f>
        <v>0</v>
      </c>
      <c r="AJ361" s="284" t="n">
        <f aca="false">IFERROR(($J361*W361)*$L361, "")</f>
        <v>0</v>
      </c>
      <c r="AK361" s="284" t="n">
        <f aca="false">IFERROR(($J361*X361)*$L361, "")</f>
        <v>0</v>
      </c>
      <c r="AL361" s="284" t="n">
        <f aca="false">IFERROR(($J361*Y361)*$L361, "")</f>
        <v>0</v>
      </c>
      <c r="AM361" s="285" t="n">
        <f aca="false">IFERROR(($J361*Z361)*$L361, "")</f>
        <v>0</v>
      </c>
      <c r="AN361" s="286" t="n">
        <f aca="false">IFERROR(SUMIF($AB$4:$AM$4, "RDEC", AB361:AM361), "")</f>
        <v>0</v>
      </c>
      <c r="AO361" s="286" t="n">
        <f aca="false">IFERROR(SUMIF($AB$4:$AM$4, "SME", AB361:AM361), "")</f>
        <v>0</v>
      </c>
      <c r="AP361" s="286" t="n">
        <f aca="false">IFERROR(SUMIF($AB$4:$AM$4, "De Minimis", AB361:AM361), "")</f>
        <v>0</v>
      </c>
      <c r="AQ361" s="283"/>
      <c r="AR361" s="284" t="n">
        <f aca="false">IFERROR(($J361*O361)*$M361, "")</f>
        <v>0</v>
      </c>
      <c r="AS361" s="284" t="n">
        <f aca="false">IFERROR(($J361*P361)*$M361, "")</f>
        <v>0</v>
      </c>
      <c r="AT361" s="284" t="n">
        <f aca="false">IFERROR(($J361*Q361)*$M361, "")</f>
        <v>0</v>
      </c>
      <c r="AU361" s="284" t="n">
        <f aca="false">IFERROR(($J361*R361)*$M361, "")</f>
        <v>0</v>
      </c>
      <c r="AV361" s="284" t="n">
        <f aca="false">IFERROR(($J361*S361)*$M361, "")</f>
        <v>0</v>
      </c>
      <c r="AW361" s="284" t="n">
        <f aca="false">IFERROR(($J361*T361)*$M361, "")</f>
        <v>0</v>
      </c>
      <c r="AX361" s="284" t="n">
        <f aca="false">IFERROR(($J361*U361)*$M361, "")</f>
        <v>0</v>
      </c>
      <c r="AY361" s="284" t="n">
        <f aca="false">IFERROR(($J361*V361)*$M361, "")</f>
        <v>0</v>
      </c>
      <c r="AZ361" s="284" t="n">
        <f aca="false">IFERROR(($J361*W361)*$M361, "")</f>
        <v>0</v>
      </c>
      <c r="BA361" s="284" t="n">
        <f aca="false">IFERROR(($J361*X361)*$M361, "")</f>
        <v>0</v>
      </c>
      <c r="BB361" s="284" t="n">
        <f aca="false">IFERROR(($J361*Y361)*$M361, "")</f>
        <v>0</v>
      </c>
      <c r="BC361" s="285" t="n">
        <f aca="false">IFERROR(($J361*Z361)*$M361, "")</f>
        <v>0</v>
      </c>
      <c r="BD361" s="286" t="n">
        <f aca="false">IFERROR(SUMIF($AB$4:$AM$4, "RDEC", AR361:BC361), "")</f>
        <v>0</v>
      </c>
      <c r="BE361" s="286" t="n">
        <f aca="false">IFERROR(SUMIF($AB$4:$AM$4, "SME", AR361:BC361), "")</f>
        <v>0</v>
      </c>
      <c r="BF361" s="286" t="n">
        <f aca="false">IFERROR(SUMIF($AB$4:$AM$4, "De Minimis", AR361:BC361), "")</f>
        <v>0</v>
      </c>
      <c r="BG361" s="287"/>
      <c r="BH361" s="288" t="str">
        <f aca="false">IF((SUM(O361:Z361)&gt;1),"ERROR","")</f>
        <v/>
      </c>
      <c r="BI361" s="287"/>
      <c r="BJ361" s="18" t="str">
        <f aca="false">IF(C347&gt;0, C347, "")</f>
        <v/>
      </c>
      <c r="BL361" s="200"/>
      <c r="BM361" s="200"/>
      <c r="BN361" s="200"/>
    </row>
    <row r="362" customFormat="false" ht="15" hidden="false" customHeight="true" outlineLevel="0" collapsed="false">
      <c r="B362" s="275"/>
      <c r="D362" s="276" t="n">
        <f aca="false">D346</f>
        <v>45352</v>
      </c>
      <c r="E362" s="277" t="n">
        <v>0</v>
      </c>
      <c r="F362" s="277" t="n">
        <v>0</v>
      </c>
      <c r="G362" s="277" t="n">
        <v>0</v>
      </c>
      <c r="H362" s="277" t="n">
        <v>0</v>
      </c>
      <c r="I362" s="277" t="n">
        <v>0</v>
      </c>
      <c r="J362" s="278" t="n">
        <f aca="false">E362+H362+I362</f>
        <v>0</v>
      </c>
      <c r="K362" s="204"/>
      <c r="L362" s="279" t="n">
        <v>1</v>
      </c>
      <c r="M362" s="280" t="n">
        <f aca="false">1-L362</f>
        <v>0</v>
      </c>
      <c r="N362" s="281"/>
      <c r="O362" s="282"/>
      <c r="P362" s="282"/>
      <c r="Q362" s="282"/>
      <c r="R362" s="282"/>
      <c r="S362" s="282"/>
      <c r="T362" s="282"/>
      <c r="U362" s="282"/>
      <c r="V362" s="282"/>
      <c r="W362" s="282"/>
      <c r="X362" s="282"/>
      <c r="Y362" s="282"/>
      <c r="Z362" s="282"/>
      <c r="AA362" s="283"/>
      <c r="AB362" s="284" t="n">
        <f aca="false">IFERROR(($J362*O362)*$L362, "")</f>
        <v>0</v>
      </c>
      <c r="AC362" s="284" t="n">
        <f aca="false">IFERROR(($J362*P362)*$L362, "")</f>
        <v>0</v>
      </c>
      <c r="AD362" s="284" t="n">
        <f aca="false">IFERROR(($J362*Q362)*$L362, "")</f>
        <v>0</v>
      </c>
      <c r="AE362" s="284" t="n">
        <f aca="false">IFERROR(($J362*R362)*$L362, "")</f>
        <v>0</v>
      </c>
      <c r="AF362" s="284" t="n">
        <f aca="false">IFERROR(($J362*S362)*$L362, "")</f>
        <v>0</v>
      </c>
      <c r="AG362" s="284" t="n">
        <f aca="false">IFERROR(($J362*T362)*$L362, "")</f>
        <v>0</v>
      </c>
      <c r="AH362" s="284" t="n">
        <f aca="false">IFERROR(($J362*U362)*$L362, "")</f>
        <v>0</v>
      </c>
      <c r="AI362" s="284" t="n">
        <f aca="false">IFERROR(($J362*V362)*$L362, "")</f>
        <v>0</v>
      </c>
      <c r="AJ362" s="284" t="n">
        <f aca="false">IFERROR(($J362*W362)*$L362, "")</f>
        <v>0</v>
      </c>
      <c r="AK362" s="284" t="n">
        <f aca="false">IFERROR(($J362*X362)*$L362, "")</f>
        <v>0</v>
      </c>
      <c r="AL362" s="284" t="n">
        <f aca="false">IFERROR(($J362*Y362)*$L362, "")</f>
        <v>0</v>
      </c>
      <c r="AM362" s="285" t="n">
        <f aca="false">IFERROR(($J362*Z362)*$L362, "")</f>
        <v>0</v>
      </c>
      <c r="AN362" s="286" t="n">
        <f aca="false">IFERROR(SUMIF($AB$4:$AM$4, "RDEC", AB362:AM362), "")</f>
        <v>0</v>
      </c>
      <c r="AO362" s="286" t="n">
        <f aca="false">IFERROR(SUMIF($AB$4:$AM$4, "SME", AB362:AM362), "")</f>
        <v>0</v>
      </c>
      <c r="AP362" s="286" t="n">
        <f aca="false">IFERROR(SUMIF($AB$4:$AM$4, "De Minimis", AB362:AM362), "")</f>
        <v>0</v>
      </c>
      <c r="AQ362" s="283"/>
      <c r="AR362" s="284" t="n">
        <f aca="false">IFERROR(($J362*O362)*$M362, "")</f>
        <v>0</v>
      </c>
      <c r="AS362" s="284" t="n">
        <f aca="false">IFERROR(($J362*P362)*$M362, "")</f>
        <v>0</v>
      </c>
      <c r="AT362" s="284" t="n">
        <f aca="false">IFERROR(($J362*Q362)*$M362, "")</f>
        <v>0</v>
      </c>
      <c r="AU362" s="284" t="n">
        <f aca="false">IFERROR(($J362*R362)*$M362, "")</f>
        <v>0</v>
      </c>
      <c r="AV362" s="284" t="n">
        <f aca="false">IFERROR(($J362*S362)*$M362, "")</f>
        <v>0</v>
      </c>
      <c r="AW362" s="284" t="n">
        <f aca="false">IFERROR(($J362*T362)*$M362, "")</f>
        <v>0</v>
      </c>
      <c r="AX362" s="284" t="n">
        <f aca="false">IFERROR(($J362*U362)*$M362, "")</f>
        <v>0</v>
      </c>
      <c r="AY362" s="284" t="n">
        <f aca="false">IFERROR(($J362*V362)*$M362, "")</f>
        <v>0</v>
      </c>
      <c r="AZ362" s="284" t="n">
        <f aca="false">IFERROR(($J362*W362)*$M362, "")</f>
        <v>0</v>
      </c>
      <c r="BA362" s="284" t="n">
        <f aca="false">IFERROR(($J362*X362)*$M362, "")</f>
        <v>0</v>
      </c>
      <c r="BB362" s="284" t="n">
        <f aca="false">IFERROR(($J362*Y362)*$M362, "")</f>
        <v>0</v>
      </c>
      <c r="BC362" s="285" t="n">
        <f aca="false">IFERROR(($J362*Z362)*$M362, "")</f>
        <v>0</v>
      </c>
      <c r="BD362" s="286" t="n">
        <f aca="false">IFERROR(SUMIF($AB$4:$AM$4, "RDEC", AR362:BC362), "")</f>
        <v>0</v>
      </c>
      <c r="BE362" s="286" t="n">
        <f aca="false">IFERROR(SUMIF($AB$4:$AM$4, "SME", AR362:BC362), "")</f>
        <v>0</v>
      </c>
      <c r="BF362" s="286" t="n">
        <f aca="false">IFERROR(SUMIF($AB$4:$AM$4, "De Minimis", AR362:BC362), "")</f>
        <v>0</v>
      </c>
      <c r="BG362" s="287"/>
      <c r="BH362" s="288" t="str">
        <f aca="false">IF((SUM(O362:Z362)&gt;1),"ERROR","")</f>
        <v/>
      </c>
      <c r="BI362" s="287"/>
      <c r="BJ362" s="18" t="str">
        <f aca="false">IF(C348&gt;0, C348, "")</f>
        <v/>
      </c>
      <c r="BL362" s="200"/>
      <c r="BM362" s="200"/>
      <c r="BN362" s="200"/>
    </row>
    <row r="363" customFormat="false" ht="15" hidden="false" customHeight="true" outlineLevel="0" collapsed="false">
      <c r="B363" s="275"/>
      <c r="D363" s="276" t="n">
        <f aca="false">D347</f>
        <v>45383</v>
      </c>
      <c r="E363" s="277" t="n">
        <v>0</v>
      </c>
      <c r="F363" s="277" t="n">
        <v>0</v>
      </c>
      <c r="G363" s="277" t="n">
        <v>0</v>
      </c>
      <c r="H363" s="277" t="n">
        <v>0</v>
      </c>
      <c r="I363" s="277" t="n">
        <v>0</v>
      </c>
      <c r="J363" s="278" t="n">
        <f aca="false">E363+H363+I363</f>
        <v>0</v>
      </c>
      <c r="K363" s="204"/>
      <c r="L363" s="279" t="n">
        <v>1</v>
      </c>
      <c r="M363" s="280" t="n">
        <f aca="false">1-L363</f>
        <v>0</v>
      </c>
      <c r="N363" s="281"/>
      <c r="O363" s="282"/>
      <c r="P363" s="282"/>
      <c r="Q363" s="282"/>
      <c r="R363" s="282"/>
      <c r="S363" s="282"/>
      <c r="T363" s="282"/>
      <c r="U363" s="282"/>
      <c r="V363" s="282"/>
      <c r="W363" s="282"/>
      <c r="X363" s="282"/>
      <c r="Y363" s="282"/>
      <c r="Z363" s="282"/>
      <c r="AA363" s="283"/>
      <c r="AB363" s="284" t="n">
        <f aca="false">IFERROR(($J363*O363)*$L363, "")</f>
        <v>0</v>
      </c>
      <c r="AC363" s="284" t="n">
        <f aca="false">IFERROR(($J363*P363)*$L363, "")</f>
        <v>0</v>
      </c>
      <c r="AD363" s="284" t="n">
        <f aca="false">IFERROR(($J363*Q363)*$L363, "")</f>
        <v>0</v>
      </c>
      <c r="AE363" s="284" t="n">
        <f aca="false">IFERROR(($J363*R363)*$L363, "")</f>
        <v>0</v>
      </c>
      <c r="AF363" s="284" t="n">
        <f aca="false">IFERROR(($J363*S363)*$L363, "")</f>
        <v>0</v>
      </c>
      <c r="AG363" s="284" t="n">
        <f aca="false">IFERROR(($J363*T363)*$L363, "")</f>
        <v>0</v>
      </c>
      <c r="AH363" s="284" t="n">
        <f aca="false">IFERROR(($J363*U363)*$L363, "")</f>
        <v>0</v>
      </c>
      <c r="AI363" s="284" t="n">
        <f aca="false">IFERROR(($J363*V363)*$L363, "")</f>
        <v>0</v>
      </c>
      <c r="AJ363" s="284" t="n">
        <f aca="false">IFERROR(($J363*W363)*$L363, "")</f>
        <v>0</v>
      </c>
      <c r="AK363" s="284" t="n">
        <f aca="false">IFERROR(($J363*X363)*$L363, "")</f>
        <v>0</v>
      </c>
      <c r="AL363" s="284" t="n">
        <f aca="false">IFERROR(($J363*Y363)*$L363, "")</f>
        <v>0</v>
      </c>
      <c r="AM363" s="285" t="n">
        <f aca="false">IFERROR(($J363*Z363)*$L363, "")</f>
        <v>0</v>
      </c>
      <c r="AN363" s="286" t="n">
        <f aca="false">IFERROR(SUMIF($AB$4:$AM$4, "RDEC", AB363:AM363), "")</f>
        <v>0</v>
      </c>
      <c r="AO363" s="286" t="n">
        <f aca="false">IFERROR(SUMIF($AB$4:$AM$4, "SME", AB363:AM363), "")</f>
        <v>0</v>
      </c>
      <c r="AP363" s="286" t="n">
        <f aca="false">IFERROR(SUMIF($AB$4:$AM$4, "De Minimis", AB363:AM363), "")</f>
        <v>0</v>
      </c>
      <c r="AQ363" s="283"/>
      <c r="AR363" s="284" t="n">
        <f aca="false">IFERROR(($J363*O363)*$M363, "")</f>
        <v>0</v>
      </c>
      <c r="AS363" s="284" t="n">
        <f aca="false">IFERROR(($J363*P363)*$M363, "")</f>
        <v>0</v>
      </c>
      <c r="AT363" s="284" t="n">
        <f aca="false">IFERROR(($J363*Q363)*$M363, "")</f>
        <v>0</v>
      </c>
      <c r="AU363" s="284" t="n">
        <f aca="false">IFERROR(($J363*R363)*$M363, "")</f>
        <v>0</v>
      </c>
      <c r="AV363" s="284" t="n">
        <f aca="false">IFERROR(($J363*S363)*$M363, "")</f>
        <v>0</v>
      </c>
      <c r="AW363" s="284" t="n">
        <f aca="false">IFERROR(($J363*T363)*$M363, "")</f>
        <v>0</v>
      </c>
      <c r="AX363" s="284" t="n">
        <f aca="false">IFERROR(($J363*U363)*$M363, "")</f>
        <v>0</v>
      </c>
      <c r="AY363" s="284" t="n">
        <f aca="false">IFERROR(($J363*V363)*$M363, "")</f>
        <v>0</v>
      </c>
      <c r="AZ363" s="284" t="n">
        <f aca="false">IFERROR(($J363*W363)*$M363, "")</f>
        <v>0</v>
      </c>
      <c r="BA363" s="284" t="n">
        <f aca="false">IFERROR(($J363*X363)*$M363, "")</f>
        <v>0</v>
      </c>
      <c r="BB363" s="284" t="n">
        <f aca="false">IFERROR(($J363*Y363)*$M363, "")</f>
        <v>0</v>
      </c>
      <c r="BC363" s="285" t="n">
        <f aca="false">IFERROR(($J363*Z363)*$M363, "")</f>
        <v>0</v>
      </c>
      <c r="BD363" s="286" t="n">
        <f aca="false">IFERROR(SUMIF($AB$4:$AM$4, "RDEC", AR363:BC363), "")</f>
        <v>0</v>
      </c>
      <c r="BE363" s="286" t="n">
        <f aca="false">IFERROR(SUMIF($AB$4:$AM$4, "SME", AR363:BC363), "")</f>
        <v>0</v>
      </c>
      <c r="BF363" s="286" t="n">
        <f aca="false">IFERROR(SUMIF($AB$4:$AM$4, "De Minimis", AR363:BC363), "")</f>
        <v>0</v>
      </c>
      <c r="BG363" s="287"/>
      <c r="BH363" s="288" t="str">
        <f aca="false">IF((SUM(O363:Z363)&gt;1),"ERROR","")</f>
        <v/>
      </c>
      <c r="BI363" s="287"/>
      <c r="BJ363" s="18" t="str">
        <f aca="false">IF(C349&gt;0, C349, "")</f>
        <v/>
      </c>
      <c r="BL363" s="200"/>
      <c r="BM363" s="200"/>
      <c r="BN363" s="200"/>
    </row>
    <row r="364" customFormat="false" ht="15" hidden="false" customHeight="true" outlineLevel="0" collapsed="false">
      <c r="B364" s="275"/>
      <c r="D364" s="276" t="n">
        <f aca="false">D348</f>
        <v>45413</v>
      </c>
      <c r="E364" s="277" t="n">
        <v>0</v>
      </c>
      <c r="F364" s="277" t="n">
        <v>0</v>
      </c>
      <c r="G364" s="277" t="n">
        <v>0</v>
      </c>
      <c r="H364" s="277" t="n">
        <v>0</v>
      </c>
      <c r="I364" s="277" t="n">
        <v>0</v>
      </c>
      <c r="J364" s="278" t="n">
        <f aca="false">E364+H364+I364</f>
        <v>0</v>
      </c>
      <c r="K364" s="204"/>
      <c r="L364" s="279" t="n">
        <v>1</v>
      </c>
      <c r="M364" s="280" t="n">
        <f aca="false">1-L364</f>
        <v>0</v>
      </c>
      <c r="N364" s="281"/>
      <c r="O364" s="282"/>
      <c r="P364" s="282"/>
      <c r="Q364" s="282"/>
      <c r="R364" s="282"/>
      <c r="S364" s="282"/>
      <c r="T364" s="282"/>
      <c r="U364" s="282"/>
      <c r="V364" s="282"/>
      <c r="W364" s="282"/>
      <c r="X364" s="282"/>
      <c r="Y364" s="282"/>
      <c r="Z364" s="282"/>
      <c r="AA364" s="283"/>
      <c r="AB364" s="284" t="n">
        <f aca="false">IFERROR(($J364*O364)*$L364, "")</f>
        <v>0</v>
      </c>
      <c r="AC364" s="284" t="n">
        <f aca="false">IFERROR(($J364*P364)*$L364, "")</f>
        <v>0</v>
      </c>
      <c r="AD364" s="284" t="n">
        <f aca="false">IFERROR(($J364*Q364)*$L364, "")</f>
        <v>0</v>
      </c>
      <c r="AE364" s="284" t="n">
        <f aca="false">IFERROR(($J364*R364)*$L364, "")</f>
        <v>0</v>
      </c>
      <c r="AF364" s="284" t="n">
        <f aca="false">IFERROR(($J364*S364)*$L364, "")</f>
        <v>0</v>
      </c>
      <c r="AG364" s="284" t="n">
        <f aca="false">IFERROR(($J364*T364)*$L364, "")</f>
        <v>0</v>
      </c>
      <c r="AH364" s="284" t="n">
        <f aca="false">IFERROR(($J364*U364)*$L364, "")</f>
        <v>0</v>
      </c>
      <c r="AI364" s="284" t="n">
        <f aca="false">IFERROR(($J364*V364)*$L364, "")</f>
        <v>0</v>
      </c>
      <c r="AJ364" s="284" t="n">
        <f aca="false">IFERROR(($J364*W364)*$L364, "")</f>
        <v>0</v>
      </c>
      <c r="AK364" s="284" t="n">
        <f aca="false">IFERROR(($J364*X364)*$L364, "")</f>
        <v>0</v>
      </c>
      <c r="AL364" s="284" t="n">
        <f aca="false">IFERROR(($J364*Y364)*$L364, "")</f>
        <v>0</v>
      </c>
      <c r="AM364" s="285" t="n">
        <f aca="false">IFERROR(($J364*Z364)*$L364, "")</f>
        <v>0</v>
      </c>
      <c r="AN364" s="286" t="n">
        <f aca="false">IFERROR(SUMIF($AB$4:$AM$4, "RDEC", AB364:AM364), "")</f>
        <v>0</v>
      </c>
      <c r="AO364" s="286" t="n">
        <f aca="false">IFERROR(SUMIF($AB$4:$AM$4, "SME", AB364:AM364), "")</f>
        <v>0</v>
      </c>
      <c r="AP364" s="286" t="n">
        <f aca="false">IFERROR(SUMIF($AB$4:$AM$4, "De Minimis", AB364:AM364), "")</f>
        <v>0</v>
      </c>
      <c r="AQ364" s="283"/>
      <c r="AR364" s="284" t="n">
        <f aca="false">IFERROR(($J364*O364)*$M364, "")</f>
        <v>0</v>
      </c>
      <c r="AS364" s="284" t="n">
        <f aca="false">IFERROR(($J364*P364)*$M364, "")</f>
        <v>0</v>
      </c>
      <c r="AT364" s="284" t="n">
        <f aca="false">IFERROR(($J364*Q364)*$M364, "")</f>
        <v>0</v>
      </c>
      <c r="AU364" s="284" t="n">
        <f aca="false">IFERROR(($J364*R364)*$M364, "")</f>
        <v>0</v>
      </c>
      <c r="AV364" s="284" t="n">
        <f aca="false">IFERROR(($J364*S364)*$M364, "")</f>
        <v>0</v>
      </c>
      <c r="AW364" s="284" t="n">
        <f aca="false">IFERROR(($J364*T364)*$M364, "")</f>
        <v>0</v>
      </c>
      <c r="AX364" s="284" t="n">
        <f aca="false">IFERROR(($J364*U364)*$M364, "")</f>
        <v>0</v>
      </c>
      <c r="AY364" s="284" t="n">
        <f aca="false">IFERROR(($J364*V364)*$M364, "")</f>
        <v>0</v>
      </c>
      <c r="AZ364" s="284" t="n">
        <f aca="false">IFERROR(($J364*W364)*$M364, "")</f>
        <v>0</v>
      </c>
      <c r="BA364" s="284" t="n">
        <f aca="false">IFERROR(($J364*X364)*$M364, "")</f>
        <v>0</v>
      </c>
      <c r="BB364" s="284" t="n">
        <f aca="false">IFERROR(($J364*Y364)*$M364, "")</f>
        <v>0</v>
      </c>
      <c r="BC364" s="285" t="n">
        <f aca="false">IFERROR(($J364*Z364)*$M364, "")</f>
        <v>0</v>
      </c>
      <c r="BD364" s="286" t="n">
        <f aca="false">IFERROR(SUMIF($AB$4:$AM$4, "RDEC", AR364:BC364), "")</f>
        <v>0</v>
      </c>
      <c r="BE364" s="286" t="n">
        <f aca="false">IFERROR(SUMIF($AB$4:$AM$4, "SME", AR364:BC364), "")</f>
        <v>0</v>
      </c>
      <c r="BF364" s="286" t="n">
        <f aca="false">IFERROR(SUMIF($AB$4:$AM$4, "De Minimis", AR364:BC364), "")</f>
        <v>0</v>
      </c>
      <c r="BG364" s="287"/>
      <c r="BH364" s="288" t="str">
        <f aca="false">IF((SUM(O364:Z364)&gt;1),"ERROR","")</f>
        <v/>
      </c>
      <c r="BI364" s="287"/>
      <c r="BJ364" s="18" t="str">
        <f aca="false">IF(C350&gt;0, C350, "")</f>
        <v/>
      </c>
      <c r="BL364" s="200"/>
      <c r="BM364" s="200"/>
      <c r="BN364" s="200"/>
    </row>
    <row r="365" customFormat="false" ht="15" hidden="false" customHeight="true" outlineLevel="0" collapsed="false">
      <c r="B365" s="275"/>
      <c r="D365" s="276" t="n">
        <f aca="false">D349</f>
        <v>45444</v>
      </c>
      <c r="E365" s="277" t="n">
        <v>0</v>
      </c>
      <c r="F365" s="277" t="n">
        <v>0</v>
      </c>
      <c r="G365" s="277" t="n">
        <v>0</v>
      </c>
      <c r="H365" s="277" t="n">
        <v>0</v>
      </c>
      <c r="I365" s="277" t="n">
        <v>0</v>
      </c>
      <c r="J365" s="278" t="n">
        <f aca="false">E365+H365+I365</f>
        <v>0</v>
      </c>
      <c r="K365" s="204"/>
      <c r="L365" s="279" t="n">
        <v>1</v>
      </c>
      <c r="M365" s="280" t="n">
        <f aca="false">1-L365</f>
        <v>0</v>
      </c>
      <c r="N365" s="281"/>
      <c r="O365" s="282"/>
      <c r="P365" s="282"/>
      <c r="Q365" s="282"/>
      <c r="R365" s="282"/>
      <c r="S365" s="282"/>
      <c r="T365" s="282"/>
      <c r="U365" s="282"/>
      <c r="V365" s="282"/>
      <c r="W365" s="282"/>
      <c r="X365" s="282"/>
      <c r="Y365" s="282"/>
      <c r="Z365" s="282"/>
      <c r="AA365" s="283"/>
      <c r="AB365" s="284" t="n">
        <f aca="false">IFERROR(($J365*O365)*$L365, "")</f>
        <v>0</v>
      </c>
      <c r="AC365" s="284" t="n">
        <f aca="false">IFERROR(($J365*P365)*$L365, "")</f>
        <v>0</v>
      </c>
      <c r="AD365" s="284" t="n">
        <f aca="false">IFERROR(($J365*Q365)*$L365, "")</f>
        <v>0</v>
      </c>
      <c r="AE365" s="284" t="n">
        <f aca="false">IFERROR(($J365*R365)*$L365, "")</f>
        <v>0</v>
      </c>
      <c r="AF365" s="284" t="n">
        <f aca="false">IFERROR(($J365*S365)*$L365, "")</f>
        <v>0</v>
      </c>
      <c r="AG365" s="284" t="n">
        <f aca="false">IFERROR(($J365*T365)*$L365, "")</f>
        <v>0</v>
      </c>
      <c r="AH365" s="284" t="n">
        <f aca="false">IFERROR(($J365*U365)*$L365, "")</f>
        <v>0</v>
      </c>
      <c r="AI365" s="284" t="n">
        <f aca="false">IFERROR(($J365*V365)*$L365, "")</f>
        <v>0</v>
      </c>
      <c r="AJ365" s="284" t="n">
        <f aca="false">IFERROR(($J365*W365)*$L365, "")</f>
        <v>0</v>
      </c>
      <c r="AK365" s="284" t="n">
        <f aca="false">IFERROR(($J365*X365)*$L365, "")</f>
        <v>0</v>
      </c>
      <c r="AL365" s="284" t="n">
        <f aca="false">IFERROR(($J365*Y365)*$L365, "")</f>
        <v>0</v>
      </c>
      <c r="AM365" s="285" t="n">
        <f aca="false">IFERROR(($J365*Z365)*$L365, "")</f>
        <v>0</v>
      </c>
      <c r="AN365" s="286" t="n">
        <f aca="false">IFERROR(SUMIF($AB$4:$AM$4, "RDEC", AB365:AM365), "")</f>
        <v>0</v>
      </c>
      <c r="AO365" s="286" t="n">
        <f aca="false">IFERROR(SUMIF($AB$4:$AM$4, "SME", AB365:AM365), "")</f>
        <v>0</v>
      </c>
      <c r="AP365" s="286" t="n">
        <f aca="false">IFERROR(SUMIF($AB$4:$AM$4, "De Minimis", AB365:AM365), "")</f>
        <v>0</v>
      </c>
      <c r="AQ365" s="283"/>
      <c r="AR365" s="284" t="n">
        <f aca="false">IFERROR(($J365*O365)*$M365, "")</f>
        <v>0</v>
      </c>
      <c r="AS365" s="284" t="n">
        <f aca="false">IFERROR(($J365*P365)*$M365, "")</f>
        <v>0</v>
      </c>
      <c r="AT365" s="284" t="n">
        <f aca="false">IFERROR(($J365*Q365)*$M365, "")</f>
        <v>0</v>
      </c>
      <c r="AU365" s="284" t="n">
        <f aca="false">IFERROR(($J365*R365)*$M365, "")</f>
        <v>0</v>
      </c>
      <c r="AV365" s="284" t="n">
        <f aca="false">IFERROR(($J365*S365)*$M365, "")</f>
        <v>0</v>
      </c>
      <c r="AW365" s="284" t="n">
        <f aca="false">IFERROR(($J365*T365)*$M365, "")</f>
        <v>0</v>
      </c>
      <c r="AX365" s="284" t="n">
        <f aca="false">IFERROR(($J365*U365)*$M365, "")</f>
        <v>0</v>
      </c>
      <c r="AY365" s="284" t="n">
        <f aca="false">IFERROR(($J365*V365)*$M365, "")</f>
        <v>0</v>
      </c>
      <c r="AZ365" s="284" t="n">
        <f aca="false">IFERROR(($J365*W365)*$M365, "")</f>
        <v>0</v>
      </c>
      <c r="BA365" s="284" t="n">
        <f aca="false">IFERROR(($J365*X365)*$M365, "")</f>
        <v>0</v>
      </c>
      <c r="BB365" s="284" t="n">
        <f aca="false">IFERROR(($J365*Y365)*$M365, "")</f>
        <v>0</v>
      </c>
      <c r="BC365" s="285" t="n">
        <f aca="false">IFERROR(($J365*Z365)*$M365, "")</f>
        <v>0</v>
      </c>
      <c r="BD365" s="286" t="n">
        <f aca="false">IFERROR(SUMIF($AB$4:$AM$4, "RDEC", AR365:BC365), "")</f>
        <v>0</v>
      </c>
      <c r="BE365" s="286" t="n">
        <f aca="false">IFERROR(SUMIF($AB$4:$AM$4, "SME", AR365:BC365), "")</f>
        <v>0</v>
      </c>
      <c r="BF365" s="286" t="n">
        <f aca="false">IFERROR(SUMIF($AB$4:$AM$4, "De Minimis", AR365:BC365), "")</f>
        <v>0</v>
      </c>
      <c r="BG365" s="287"/>
      <c r="BH365" s="288" t="str">
        <f aca="false">IF((SUM(O365:Z365)&gt;1),"ERROR","")</f>
        <v/>
      </c>
      <c r="BI365" s="287"/>
      <c r="BJ365" s="18" t="str">
        <f aca="false">IF(C351&gt;0, C351, "")</f>
        <v/>
      </c>
      <c r="BL365" s="200"/>
      <c r="BM365" s="200"/>
      <c r="BN365" s="200"/>
    </row>
    <row r="366" customFormat="false" ht="15" hidden="false" customHeight="true" outlineLevel="0" collapsed="false">
      <c r="B366" s="275"/>
      <c r="D366" s="276" t="n">
        <f aca="false">D350</f>
        <v>45474</v>
      </c>
      <c r="E366" s="277" t="n">
        <v>0</v>
      </c>
      <c r="F366" s="277" t="n">
        <v>0</v>
      </c>
      <c r="G366" s="277" t="n">
        <v>0</v>
      </c>
      <c r="H366" s="277" t="n">
        <v>0</v>
      </c>
      <c r="I366" s="277" t="n">
        <v>0</v>
      </c>
      <c r="J366" s="278" t="n">
        <f aca="false">E366+H366+I366</f>
        <v>0</v>
      </c>
      <c r="K366" s="204"/>
      <c r="L366" s="279" t="n">
        <v>1</v>
      </c>
      <c r="M366" s="280" t="n">
        <f aca="false">1-L366</f>
        <v>0</v>
      </c>
      <c r="N366" s="281"/>
      <c r="O366" s="282"/>
      <c r="P366" s="282"/>
      <c r="Q366" s="282"/>
      <c r="R366" s="282"/>
      <c r="S366" s="282"/>
      <c r="T366" s="282"/>
      <c r="U366" s="282"/>
      <c r="V366" s="282"/>
      <c r="W366" s="282"/>
      <c r="X366" s="282"/>
      <c r="Y366" s="282"/>
      <c r="Z366" s="282"/>
      <c r="AA366" s="283"/>
      <c r="AB366" s="284" t="n">
        <f aca="false">IFERROR(($J366*O366)*$L366, "")</f>
        <v>0</v>
      </c>
      <c r="AC366" s="284" t="n">
        <f aca="false">IFERROR(($J366*P366)*$L366, "")</f>
        <v>0</v>
      </c>
      <c r="AD366" s="284" t="n">
        <f aca="false">IFERROR(($J366*Q366)*$L366, "")</f>
        <v>0</v>
      </c>
      <c r="AE366" s="284" t="n">
        <f aca="false">IFERROR(($J366*R366)*$L366, "")</f>
        <v>0</v>
      </c>
      <c r="AF366" s="284" t="n">
        <f aca="false">IFERROR(($J366*S366)*$L366, "")</f>
        <v>0</v>
      </c>
      <c r="AG366" s="284" t="n">
        <f aca="false">IFERROR(($J366*T366)*$L366, "")</f>
        <v>0</v>
      </c>
      <c r="AH366" s="284" t="n">
        <f aca="false">IFERROR(($J366*U366)*$L366, "")</f>
        <v>0</v>
      </c>
      <c r="AI366" s="284" t="n">
        <f aca="false">IFERROR(($J366*V366)*$L366, "")</f>
        <v>0</v>
      </c>
      <c r="AJ366" s="284" t="n">
        <f aca="false">IFERROR(($J366*W366)*$L366, "")</f>
        <v>0</v>
      </c>
      <c r="AK366" s="284" t="n">
        <f aca="false">IFERROR(($J366*X366)*$L366, "")</f>
        <v>0</v>
      </c>
      <c r="AL366" s="284" t="n">
        <f aca="false">IFERROR(($J366*Y366)*$L366, "")</f>
        <v>0</v>
      </c>
      <c r="AM366" s="285" t="n">
        <f aca="false">IFERROR(($J366*Z366)*$L366, "")</f>
        <v>0</v>
      </c>
      <c r="AN366" s="286" t="n">
        <f aca="false">IFERROR(SUMIF($AB$4:$AM$4, "RDEC", AB366:AM366), "")</f>
        <v>0</v>
      </c>
      <c r="AO366" s="286" t="n">
        <f aca="false">IFERROR(SUMIF($AB$4:$AM$4, "SME", AB366:AM366), "")</f>
        <v>0</v>
      </c>
      <c r="AP366" s="286" t="n">
        <f aca="false">IFERROR(SUMIF($AB$4:$AM$4, "De Minimis", AB366:AM366), "")</f>
        <v>0</v>
      </c>
      <c r="AQ366" s="283"/>
      <c r="AR366" s="284" t="n">
        <f aca="false">IFERROR(($J366*O366)*$M366, "")</f>
        <v>0</v>
      </c>
      <c r="AS366" s="284" t="n">
        <f aca="false">IFERROR(($J366*P366)*$M366, "")</f>
        <v>0</v>
      </c>
      <c r="AT366" s="284" t="n">
        <f aca="false">IFERROR(($J366*Q366)*$M366, "")</f>
        <v>0</v>
      </c>
      <c r="AU366" s="284" t="n">
        <f aca="false">IFERROR(($J366*R366)*$M366, "")</f>
        <v>0</v>
      </c>
      <c r="AV366" s="284" t="n">
        <f aca="false">IFERROR(($J366*S366)*$M366, "")</f>
        <v>0</v>
      </c>
      <c r="AW366" s="284" t="n">
        <f aca="false">IFERROR(($J366*T366)*$M366, "")</f>
        <v>0</v>
      </c>
      <c r="AX366" s="284" t="n">
        <f aca="false">IFERROR(($J366*U366)*$M366, "")</f>
        <v>0</v>
      </c>
      <c r="AY366" s="284" t="n">
        <f aca="false">IFERROR(($J366*V366)*$M366, "")</f>
        <v>0</v>
      </c>
      <c r="AZ366" s="284" t="n">
        <f aca="false">IFERROR(($J366*W366)*$M366, "")</f>
        <v>0</v>
      </c>
      <c r="BA366" s="284" t="n">
        <f aca="false">IFERROR(($J366*X366)*$M366, "")</f>
        <v>0</v>
      </c>
      <c r="BB366" s="284" t="n">
        <f aca="false">IFERROR(($J366*Y366)*$M366, "")</f>
        <v>0</v>
      </c>
      <c r="BC366" s="285" t="n">
        <f aca="false">IFERROR(($J366*Z366)*$M366, "")</f>
        <v>0</v>
      </c>
      <c r="BD366" s="286" t="n">
        <f aca="false">IFERROR(SUMIF($AB$4:$AM$4, "RDEC", AR366:BC366), "")</f>
        <v>0</v>
      </c>
      <c r="BE366" s="286" t="n">
        <f aca="false">IFERROR(SUMIF($AB$4:$AM$4, "SME", AR366:BC366), "")</f>
        <v>0</v>
      </c>
      <c r="BF366" s="286" t="n">
        <f aca="false">IFERROR(SUMIF($AB$4:$AM$4, "De Minimis", AR366:BC366), "")</f>
        <v>0</v>
      </c>
      <c r="BG366" s="287"/>
      <c r="BH366" s="288" t="str">
        <f aca="false">IF((SUM(O366:Z366)&gt;1),"ERROR","")</f>
        <v/>
      </c>
      <c r="BI366" s="287"/>
      <c r="BJ366" s="18" t="str">
        <f aca="false">IF(C352&gt;0, C352, "")</f>
        <v/>
      </c>
      <c r="BL366" s="200"/>
      <c r="BM366" s="200"/>
      <c r="BN366" s="200"/>
    </row>
    <row r="367" customFormat="false" ht="15" hidden="false" customHeight="true" outlineLevel="0" collapsed="false">
      <c r="B367" s="275"/>
      <c r="D367" s="276" t="n">
        <f aca="false">D351</f>
        <v>45505</v>
      </c>
      <c r="E367" s="277" t="n">
        <v>0</v>
      </c>
      <c r="F367" s="277" t="n">
        <v>0</v>
      </c>
      <c r="G367" s="277" t="n">
        <v>0</v>
      </c>
      <c r="H367" s="277" t="n">
        <v>0</v>
      </c>
      <c r="I367" s="277" t="n">
        <v>0</v>
      </c>
      <c r="J367" s="278" t="n">
        <f aca="false">E367+H367+I367</f>
        <v>0</v>
      </c>
      <c r="K367" s="204"/>
      <c r="L367" s="279" t="n">
        <v>1</v>
      </c>
      <c r="M367" s="280" t="n">
        <f aca="false">1-L367</f>
        <v>0</v>
      </c>
      <c r="N367" s="281"/>
      <c r="O367" s="282"/>
      <c r="P367" s="282"/>
      <c r="Q367" s="282"/>
      <c r="R367" s="282"/>
      <c r="S367" s="282"/>
      <c r="T367" s="282"/>
      <c r="U367" s="282"/>
      <c r="V367" s="282"/>
      <c r="W367" s="282"/>
      <c r="X367" s="282"/>
      <c r="Y367" s="282"/>
      <c r="Z367" s="282"/>
      <c r="AA367" s="283"/>
      <c r="AB367" s="284" t="n">
        <f aca="false">IFERROR(($J367*O367)*$L367, "")</f>
        <v>0</v>
      </c>
      <c r="AC367" s="284" t="n">
        <f aca="false">IFERROR(($J367*P367)*$L367, "")</f>
        <v>0</v>
      </c>
      <c r="AD367" s="284" t="n">
        <f aca="false">IFERROR(($J367*Q367)*$L367, "")</f>
        <v>0</v>
      </c>
      <c r="AE367" s="284" t="n">
        <f aca="false">IFERROR(($J367*R367)*$L367, "")</f>
        <v>0</v>
      </c>
      <c r="AF367" s="284" t="n">
        <f aca="false">IFERROR(($J367*S367)*$L367, "")</f>
        <v>0</v>
      </c>
      <c r="AG367" s="284" t="n">
        <f aca="false">IFERROR(($J367*T367)*$L367, "")</f>
        <v>0</v>
      </c>
      <c r="AH367" s="284" t="n">
        <f aca="false">IFERROR(($J367*U367)*$L367, "")</f>
        <v>0</v>
      </c>
      <c r="AI367" s="284" t="n">
        <f aca="false">IFERROR(($J367*V367)*$L367, "")</f>
        <v>0</v>
      </c>
      <c r="AJ367" s="284" t="n">
        <f aca="false">IFERROR(($J367*W367)*$L367, "")</f>
        <v>0</v>
      </c>
      <c r="AK367" s="284" t="n">
        <f aca="false">IFERROR(($J367*X367)*$L367, "")</f>
        <v>0</v>
      </c>
      <c r="AL367" s="284" t="n">
        <f aca="false">IFERROR(($J367*Y367)*$L367, "")</f>
        <v>0</v>
      </c>
      <c r="AM367" s="285" t="n">
        <f aca="false">IFERROR(($J367*Z367)*$L367, "")</f>
        <v>0</v>
      </c>
      <c r="AN367" s="286" t="n">
        <f aca="false">IFERROR(SUMIF($AB$4:$AM$4, "RDEC", AB367:AM367), "")</f>
        <v>0</v>
      </c>
      <c r="AO367" s="286" t="n">
        <f aca="false">IFERROR(SUMIF($AB$4:$AM$4, "SME", AB367:AM367), "")</f>
        <v>0</v>
      </c>
      <c r="AP367" s="286" t="n">
        <f aca="false">IFERROR(SUMIF($AB$4:$AM$4, "De Minimis", AB367:AM367), "")</f>
        <v>0</v>
      </c>
      <c r="AQ367" s="283"/>
      <c r="AR367" s="284" t="n">
        <f aca="false">IFERROR(($J367*O367)*$M367, "")</f>
        <v>0</v>
      </c>
      <c r="AS367" s="284" t="n">
        <f aca="false">IFERROR(($J367*P367)*$M367, "")</f>
        <v>0</v>
      </c>
      <c r="AT367" s="284" t="n">
        <f aca="false">IFERROR(($J367*Q367)*$M367, "")</f>
        <v>0</v>
      </c>
      <c r="AU367" s="284" t="n">
        <f aca="false">IFERROR(($J367*R367)*$M367, "")</f>
        <v>0</v>
      </c>
      <c r="AV367" s="284" t="n">
        <f aca="false">IFERROR(($J367*S367)*$M367, "")</f>
        <v>0</v>
      </c>
      <c r="AW367" s="284" t="n">
        <f aca="false">IFERROR(($J367*T367)*$M367, "")</f>
        <v>0</v>
      </c>
      <c r="AX367" s="284" t="n">
        <f aca="false">IFERROR(($J367*U367)*$M367, "")</f>
        <v>0</v>
      </c>
      <c r="AY367" s="284" t="n">
        <f aca="false">IFERROR(($J367*V367)*$M367, "")</f>
        <v>0</v>
      </c>
      <c r="AZ367" s="284" t="n">
        <f aca="false">IFERROR(($J367*W367)*$M367, "")</f>
        <v>0</v>
      </c>
      <c r="BA367" s="284" t="n">
        <f aca="false">IFERROR(($J367*X367)*$M367, "")</f>
        <v>0</v>
      </c>
      <c r="BB367" s="284" t="n">
        <f aca="false">IFERROR(($J367*Y367)*$M367, "")</f>
        <v>0</v>
      </c>
      <c r="BC367" s="285" t="n">
        <f aca="false">IFERROR(($J367*Z367)*$M367, "")</f>
        <v>0</v>
      </c>
      <c r="BD367" s="286" t="n">
        <f aca="false">IFERROR(SUMIF($AB$4:$AM$4, "RDEC", AR367:BC367), "")</f>
        <v>0</v>
      </c>
      <c r="BE367" s="286" t="n">
        <f aca="false">IFERROR(SUMIF($AB$4:$AM$4, "SME", AR367:BC367), "")</f>
        <v>0</v>
      </c>
      <c r="BF367" s="286" t="n">
        <f aca="false">IFERROR(SUMIF($AB$4:$AM$4, "De Minimis", AR367:BC367), "")</f>
        <v>0</v>
      </c>
      <c r="BG367" s="287"/>
      <c r="BH367" s="288" t="str">
        <f aca="false">IF((SUM(O367:Z367)&gt;1),"ERROR","")</f>
        <v/>
      </c>
      <c r="BI367" s="287"/>
      <c r="BJ367" s="18" t="str">
        <f aca="false">IF(C353&gt;0, C353, "")</f>
        <v/>
      </c>
      <c r="BL367" s="200"/>
      <c r="BM367" s="200"/>
      <c r="BN367" s="200"/>
    </row>
    <row r="368" customFormat="false" ht="15" hidden="false" customHeight="true" outlineLevel="0" collapsed="false">
      <c r="B368" s="275"/>
      <c r="D368" s="276" t="n">
        <f aca="false">D352</f>
        <v>45536</v>
      </c>
      <c r="E368" s="277" t="n">
        <v>0</v>
      </c>
      <c r="F368" s="277" t="n">
        <v>0</v>
      </c>
      <c r="G368" s="277" t="n">
        <v>0</v>
      </c>
      <c r="H368" s="277" t="n">
        <v>0</v>
      </c>
      <c r="I368" s="277" t="n">
        <v>0</v>
      </c>
      <c r="J368" s="278" t="n">
        <f aca="false">E368+H368+I368</f>
        <v>0</v>
      </c>
      <c r="K368" s="204"/>
      <c r="L368" s="279" t="n">
        <v>1</v>
      </c>
      <c r="M368" s="280" t="n">
        <f aca="false">1-L368</f>
        <v>0</v>
      </c>
      <c r="N368" s="281"/>
      <c r="O368" s="282"/>
      <c r="P368" s="282"/>
      <c r="Q368" s="282"/>
      <c r="R368" s="282"/>
      <c r="S368" s="282"/>
      <c r="T368" s="282"/>
      <c r="U368" s="282"/>
      <c r="V368" s="282"/>
      <c r="W368" s="282"/>
      <c r="X368" s="282"/>
      <c r="Y368" s="282"/>
      <c r="Z368" s="282"/>
      <c r="AA368" s="283"/>
      <c r="AB368" s="284" t="n">
        <f aca="false">IFERROR(($J368*O368)*$L368, "")</f>
        <v>0</v>
      </c>
      <c r="AC368" s="284" t="n">
        <f aca="false">IFERROR(($J368*P368)*$L368, "")</f>
        <v>0</v>
      </c>
      <c r="AD368" s="284" t="n">
        <f aca="false">IFERROR(($J368*Q368)*$L368, "")</f>
        <v>0</v>
      </c>
      <c r="AE368" s="284" t="n">
        <f aca="false">IFERROR(($J368*R368)*$L368, "")</f>
        <v>0</v>
      </c>
      <c r="AF368" s="284" t="n">
        <f aca="false">IFERROR(($J368*S368)*$L368, "")</f>
        <v>0</v>
      </c>
      <c r="AG368" s="284" t="n">
        <f aca="false">IFERROR(($J368*T368)*$L368, "")</f>
        <v>0</v>
      </c>
      <c r="AH368" s="284" t="n">
        <f aca="false">IFERROR(($J368*U368)*$L368, "")</f>
        <v>0</v>
      </c>
      <c r="AI368" s="284" t="n">
        <f aca="false">IFERROR(($J368*V368)*$L368, "")</f>
        <v>0</v>
      </c>
      <c r="AJ368" s="284" t="n">
        <f aca="false">IFERROR(($J368*W368)*$L368, "")</f>
        <v>0</v>
      </c>
      <c r="AK368" s="284" t="n">
        <f aca="false">IFERROR(($J368*X368)*$L368, "")</f>
        <v>0</v>
      </c>
      <c r="AL368" s="284" t="n">
        <f aca="false">IFERROR(($J368*Y368)*$L368, "")</f>
        <v>0</v>
      </c>
      <c r="AM368" s="285" t="n">
        <f aca="false">IFERROR(($J368*Z368)*$L368, "")</f>
        <v>0</v>
      </c>
      <c r="AN368" s="286" t="n">
        <f aca="false">IFERROR(SUMIF($AB$4:$AM$4, "RDEC", AB368:AM368), "")</f>
        <v>0</v>
      </c>
      <c r="AO368" s="286" t="n">
        <f aca="false">IFERROR(SUMIF($AB$4:$AM$4, "SME", AB368:AM368), "")</f>
        <v>0</v>
      </c>
      <c r="AP368" s="286" t="n">
        <f aca="false">IFERROR(SUMIF($AB$4:$AM$4, "De Minimis", AB368:AM368), "")</f>
        <v>0</v>
      </c>
      <c r="AQ368" s="283"/>
      <c r="AR368" s="284" t="n">
        <f aca="false">IFERROR(($J368*O368)*$M368, "")</f>
        <v>0</v>
      </c>
      <c r="AS368" s="284" t="n">
        <f aca="false">IFERROR(($J368*P368)*$M368, "")</f>
        <v>0</v>
      </c>
      <c r="AT368" s="284" t="n">
        <f aca="false">IFERROR(($J368*Q368)*$M368, "")</f>
        <v>0</v>
      </c>
      <c r="AU368" s="284" t="n">
        <f aca="false">IFERROR(($J368*R368)*$M368, "")</f>
        <v>0</v>
      </c>
      <c r="AV368" s="284" t="n">
        <f aca="false">IFERROR(($J368*S368)*$M368, "")</f>
        <v>0</v>
      </c>
      <c r="AW368" s="284" t="n">
        <f aca="false">IFERROR(($J368*T368)*$M368, "")</f>
        <v>0</v>
      </c>
      <c r="AX368" s="284" t="n">
        <f aca="false">IFERROR(($J368*U368)*$M368, "")</f>
        <v>0</v>
      </c>
      <c r="AY368" s="284" t="n">
        <f aca="false">IFERROR(($J368*V368)*$M368, "")</f>
        <v>0</v>
      </c>
      <c r="AZ368" s="284" t="n">
        <f aca="false">IFERROR(($J368*W368)*$M368, "")</f>
        <v>0</v>
      </c>
      <c r="BA368" s="284" t="n">
        <f aca="false">IFERROR(($J368*X368)*$M368, "")</f>
        <v>0</v>
      </c>
      <c r="BB368" s="284" t="n">
        <f aca="false">IFERROR(($J368*Y368)*$M368, "")</f>
        <v>0</v>
      </c>
      <c r="BC368" s="285" t="n">
        <f aca="false">IFERROR(($J368*Z368)*$M368, "")</f>
        <v>0</v>
      </c>
      <c r="BD368" s="286" t="n">
        <f aca="false">IFERROR(SUMIF($AB$4:$AM$4, "RDEC", AR368:BC368), "")</f>
        <v>0</v>
      </c>
      <c r="BE368" s="286" t="n">
        <f aca="false">IFERROR(SUMIF($AB$4:$AM$4, "SME", AR368:BC368), "")</f>
        <v>0</v>
      </c>
      <c r="BF368" s="286" t="n">
        <f aca="false">IFERROR(SUMIF($AB$4:$AM$4, "De Minimis", AR368:BC368), "")</f>
        <v>0</v>
      </c>
      <c r="BG368" s="287"/>
      <c r="BH368" s="288" t="str">
        <f aca="false">IF((SUM(O368:Z368)&gt;1),"ERROR","")</f>
        <v/>
      </c>
      <c r="BI368" s="287"/>
      <c r="BJ368" s="18" t="str">
        <f aca="false">IF(C354&gt;0, C354, "")</f>
        <v/>
      </c>
      <c r="BL368" s="200"/>
      <c r="BM368" s="200"/>
      <c r="BN368" s="200"/>
    </row>
    <row r="369" customFormat="false" ht="15" hidden="false" customHeight="true" outlineLevel="0" collapsed="false">
      <c r="B369" s="275"/>
      <c r="D369" s="276" t="n">
        <f aca="false">D353</f>
        <v>45566</v>
      </c>
      <c r="E369" s="277" t="n">
        <v>0</v>
      </c>
      <c r="F369" s="277" t="n">
        <v>0</v>
      </c>
      <c r="G369" s="277" t="n">
        <v>0</v>
      </c>
      <c r="H369" s="277" t="n">
        <v>0</v>
      </c>
      <c r="I369" s="277" t="n">
        <v>0</v>
      </c>
      <c r="J369" s="278" t="n">
        <f aca="false">E369+H369+I369</f>
        <v>0</v>
      </c>
      <c r="K369" s="204"/>
      <c r="L369" s="279" t="n">
        <v>1</v>
      </c>
      <c r="M369" s="280" t="n">
        <f aca="false">1-L369</f>
        <v>0</v>
      </c>
      <c r="N369" s="281"/>
      <c r="O369" s="282"/>
      <c r="P369" s="282"/>
      <c r="Q369" s="282"/>
      <c r="R369" s="282"/>
      <c r="S369" s="282"/>
      <c r="T369" s="282"/>
      <c r="U369" s="282"/>
      <c r="V369" s="282"/>
      <c r="W369" s="282"/>
      <c r="X369" s="282"/>
      <c r="Y369" s="282"/>
      <c r="Z369" s="282"/>
      <c r="AA369" s="283"/>
      <c r="AB369" s="284" t="n">
        <f aca="false">IFERROR(($J369*O369)*$L369, "")</f>
        <v>0</v>
      </c>
      <c r="AC369" s="284" t="n">
        <f aca="false">IFERROR(($J369*P369)*$L369, "")</f>
        <v>0</v>
      </c>
      <c r="AD369" s="284" t="n">
        <f aca="false">IFERROR(($J369*Q369)*$L369, "")</f>
        <v>0</v>
      </c>
      <c r="AE369" s="284" t="n">
        <f aca="false">IFERROR(($J369*R369)*$L369, "")</f>
        <v>0</v>
      </c>
      <c r="AF369" s="284" t="n">
        <f aca="false">IFERROR(($J369*S369)*$L369, "")</f>
        <v>0</v>
      </c>
      <c r="AG369" s="284" t="n">
        <f aca="false">IFERROR(($J369*T369)*$L369, "")</f>
        <v>0</v>
      </c>
      <c r="AH369" s="284" t="n">
        <f aca="false">IFERROR(($J369*U369)*$L369, "")</f>
        <v>0</v>
      </c>
      <c r="AI369" s="284" t="n">
        <f aca="false">IFERROR(($J369*V369)*$L369, "")</f>
        <v>0</v>
      </c>
      <c r="AJ369" s="284" t="n">
        <f aca="false">IFERROR(($J369*W369)*$L369, "")</f>
        <v>0</v>
      </c>
      <c r="AK369" s="284" t="n">
        <f aca="false">IFERROR(($J369*X369)*$L369, "")</f>
        <v>0</v>
      </c>
      <c r="AL369" s="284" t="n">
        <f aca="false">IFERROR(($J369*Y369)*$L369, "")</f>
        <v>0</v>
      </c>
      <c r="AM369" s="285" t="n">
        <f aca="false">IFERROR(($J369*Z369)*$L369, "")</f>
        <v>0</v>
      </c>
      <c r="AN369" s="286" t="n">
        <f aca="false">IFERROR(SUMIF($AB$4:$AM$4, "RDEC", AB369:AM369), "")</f>
        <v>0</v>
      </c>
      <c r="AO369" s="286" t="n">
        <f aca="false">IFERROR(SUMIF($AB$4:$AM$4, "SME", AB369:AM369), "")</f>
        <v>0</v>
      </c>
      <c r="AP369" s="286" t="n">
        <f aca="false">IFERROR(SUMIF($AB$4:$AM$4, "De Minimis", AB369:AM369), "")</f>
        <v>0</v>
      </c>
      <c r="AQ369" s="283"/>
      <c r="AR369" s="284" t="n">
        <f aca="false">IFERROR(($J369*O369)*$M369, "")</f>
        <v>0</v>
      </c>
      <c r="AS369" s="284" t="n">
        <f aca="false">IFERROR(($J369*P369)*$M369, "")</f>
        <v>0</v>
      </c>
      <c r="AT369" s="284" t="n">
        <f aca="false">IFERROR(($J369*Q369)*$M369, "")</f>
        <v>0</v>
      </c>
      <c r="AU369" s="284" t="n">
        <f aca="false">IFERROR(($J369*R369)*$M369, "")</f>
        <v>0</v>
      </c>
      <c r="AV369" s="284" t="n">
        <f aca="false">IFERROR(($J369*S369)*$M369, "")</f>
        <v>0</v>
      </c>
      <c r="AW369" s="284" t="n">
        <f aca="false">IFERROR(($J369*T369)*$M369, "")</f>
        <v>0</v>
      </c>
      <c r="AX369" s="284" t="n">
        <f aca="false">IFERROR(($J369*U369)*$M369, "")</f>
        <v>0</v>
      </c>
      <c r="AY369" s="284" t="n">
        <f aca="false">IFERROR(($J369*V369)*$M369, "")</f>
        <v>0</v>
      </c>
      <c r="AZ369" s="284" t="n">
        <f aca="false">IFERROR(($J369*W369)*$M369, "")</f>
        <v>0</v>
      </c>
      <c r="BA369" s="284" t="n">
        <f aca="false">IFERROR(($J369*X369)*$M369, "")</f>
        <v>0</v>
      </c>
      <c r="BB369" s="284" t="n">
        <f aca="false">IFERROR(($J369*Y369)*$M369, "")</f>
        <v>0</v>
      </c>
      <c r="BC369" s="285" t="n">
        <f aca="false">IFERROR(($J369*Z369)*$M369, "")</f>
        <v>0</v>
      </c>
      <c r="BD369" s="286" t="n">
        <f aca="false">IFERROR(SUMIF($AB$4:$AM$4, "RDEC", AR369:BC369), "")</f>
        <v>0</v>
      </c>
      <c r="BE369" s="286" t="n">
        <f aca="false">IFERROR(SUMIF($AB$4:$AM$4, "SME", AR369:BC369), "")</f>
        <v>0</v>
      </c>
      <c r="BF369" s="286" t="n">
        <f aca="false">IFERROR(SUMIF($AB$4:$AM$4, "De Minimis", AR369:BC369), "")</f>
        <v>0</v>
      </c>
      <c r="BG369" s="287"/>
      <c r="BH369" s="288" t="str">
        <f aca="false">IF((SUM(O369:Z369)&gt;1),"ERROR","")</f>
        <v/>
      </c>
      <c r="BI369" s="287"/>
      <c r="BJ369" s="18" t="str">
        <f aca="false">IF(C355&gt;0, C355, "")</f>
        <v/>
      </c>
      <c r="BL369" s="200"/>
      <c r="BM369" s="200"/>
      <c r="BN369" s="200"/>
    </row>
    <row r="370" customFormat="false" ht="15" hidden="false" customHeight="true" outlineLevel="0" collapsed="false">
      <c r="B370" s="275"/>
      <c r="D370" s="276" t="n">
        <f aca="false">D354</f>
        <v>45597</v>
      </c>
      <c r="E370" s="277" t="n">
        <v>0</v>
      </c>
      <c r="F370" s="277" t="n">
        <v>0</v>
      </c>
      <c r="G370" s="277" t="n">
        <v>0</v>
      </c>
      <c r="H370" s="277" t="n">
        <v>0</v>
      </c>
      <c r="I370" s="277" t="n">
        <v>0</v>
      </c>
      <c r="J370" s="278" t="n">
        <f aca="false">E370+H370+I370</f>
        <v>0</v>
      </c>
      <c r="K370" s="204"/>
      <c r="L370" s="279" t="n">
        <v>1</v>
      </c>
      <c r="M370" s="280" t="n">
        <f aca="false">1-L370</f>
        <v>0</v>
      </c>
      <c r="N370" s="281"/>
      <c r="O370" s="282"/>
      <c r="P370" s="282"/>
      <c r="Q370" s="282"/>
      <c r="R370" s="282"/>
      <c r="S370" s="282"/>
      <c r="T370" s="282"/>
      <c r="U370" s="282"/>
      <c r="V370" s="282"/>
      <c r="W370" s="282"/>
      <c r="X370" s="282"/>
      <c r="Y370" s="282"/>
      <c r="Z370" s="282"/>
      <c r="AA370" s="283"/>
      <c r="AB370" s="284" t="n">
        <f aca="false">IFERROR(($J370*O370)*$L370, "")</f>
        <v>0</v>
      </c>
      <c r="AC370" s="284" t="n">
        <f aca="false">IFERROR(($J370*P370)*$L370, "")</f>
        <v>0</v>
      </c>
      <c r="AD370" s="284" t="n">
        <f aca="false">IFERROR(($J370*Q370)*$L370, "")</f>
        <v>0</v>
      </c>
      <c r="AE370" s="284" t="n">
        <f aca="false">IFERROR(($J370*R370)*$L370, "")</f>
        <v>0</v>
      </c>
      <c r="AF370" s="284" t="n">
        <f aca="false">IFERROR(($J370*S370)*$L370, "")</f>
        <v>0</v>
      </c>
      <c r="AG370" s="284" t="n">
        <f aca="false">IFERROR(($J370*T370)*$L370, "")</f>
        <v>0</v>
      </c>
      <c r="AH370" s="284" t="n">
        <f aca="false">IFERROR(($J370*U370)*$L370, "")</f>
        <v>0</v>
      </c>
      <c r="AI370" s="284" t="n">
        <f aca="false">IFERROR(($J370*V370)*$L370, "")</f>
        <v>0</v>
      </c>
      <c r="AJ370" s="284" t="n">
        <f aca="false">IFERROR(($J370*W370)*$L370, "")</f>
        <v>0</v>
      </c>
      <c r="AK370" s="284" t="n">
        <f aca="false">IFERROR(($J370*X370)*$L370, "")</f>
        <v>0</v>
      </c>
      <c r="AL370" s="284" t="n">
        <f aca="false">IFERROR(($J370*Y370)*$L370, "")</f>
        <v>0</v>
      </c>
      <c r="AM370" s="285" t="n">
        <f aca="false">IFERROR(($J370*Z370)*$L370, "")</f>
        <v>0</v>
      </c>
      <c r="AN370" s="286" t="n">
        <f aca="false">IFERROR(SUMIF($AB$4:$AM$4, "RDEC", AB370:AM370), "")</f>
        <v>0</v>
      </c>
      <c r="AO370" s="286" t="n">
        <f aca="false">IFERROR(SUMIF($AB$4:$AM$4, "SME", AB370:AM370), "")</f>
        <v>0</v>
      </c>
      <c r="AP370" s="286" t="n">
        <f aca="false">IFERROR(SUMIF($AB$4:$AM$4, "De Minimis", AB370:AM370), "")</f>
        <v>0</v>
      </c>
      <c r="AQ370" s="283"/>
      <c r="AR370" s="284" t="n">
        <f aca="false">IFERROR(($J370*O370)*$M370, "")</f>
        <v>0</v>
      </c>
      <c r="AS370" s="284" t="n">
        <f aca="false">IFERROR(($J370*P370)*$M370, "")</f>
        <v>0</v>
      </c>
      <c r="AT370" s="284" t="n">
        <f aca="false">IFERROR(($J370*Q370)*$M370, "")</f>
        <v>0</v>
      </c>
      <c r="AU370" s="284" t="n">
        <f aca="false">IFERROR(($J370*R370)*$M370, "")</f>
        <v>0</v>
      </c>
      <c r="AV370" s="284" t="n">
        <f aca="false">IFERROR(($J370*S370)*$M370, "")</f>
        <v>0</v>
      </c>
      <c r="AW370" s="284" t="n">
        <f aca="false">IFERROR(($J370*T370)*$M370, "")</f>
        <v>0</v>
      </c>
      <c r="AX370" s="284" t="n">
        <f aca="false">IFERROR(($J370*U370)*$M370, "")</f>
        <v>0</v>
      </c>
      <c r="AY370" s="284" t="n">
        <f aca="false">IFERROR(($J370*V370)*$M370, "")</f>
        <v>0</v>
      </c>
      <c r="AZ370" s="284" t="n">
        <f aca="false">IFERROR(($J370*W370)*$M370, "")</f>
        <v>0</v>
      </c>
      <c r="BA370" s="284" t="n">
        <f aca="false">IFERROR(($J370*X370)*$M370, "")</f>
        <v>0</v>
      </c>
      <c r="BB370" s="284" t="n">
        <f aca="false">IFERROR(($J370*Y370)*$M370, "")</f>
        <v>0</v>
      </c>
      <c r="BC370" s="285" t="n">
        <f aca="false">IFERROR(($J370*Z370)*$M370, "")</f>
        <v>0</v>
      </c>
      <c r="BD370" s="286" t="n">
        <f aca="false">IFERROR(SUMIF($AB$4:$AM$4, "RDEC", AR370:BC370), "")</f>
        <v>0</v>
      </c>
      <c r="BE370" s="286" t="n">
        <f aca="false">IFERROR(SUMIF($AB$4:$AM$4, "SME", AR370:BC370), "")</f>
        <v>0</v>
      </c>
      <c r="BF370" s="286" t="n">
        <f aca="false">IFERROR(SUMIF($AB$4:$AM$4, "De Minimis", AR370:BC370), "")</f>
        <v>0</v>
      </c>
      <c r="BG370" s="287"/>
      <c r="BH370" s="288" t="str">
        <f aca="false">IF((SUM(O370:Z370)&gt;1),"ERROR","")</f>
        <v/>
      </c>
      <c r="BI370" s="287"/>
      <c r="BJ370" s="18" t="str">
        <f aca="false">IF(C356&gt;0, C356, "")</f>
        <v/>
      </c>
      <c r="BL370" s="200"/>
      <c r="BM370" s="200"/>
      <c r="BN370" s="200"/>
    </row>
    <row r="371" customFormat="false" ht="15" hidden="false" customHeight="true" outlineLevel="0" collapsed="false">
      <c r="B371" s="275"/>
      <c r="D371" s="276" t="n">
        <f aca="false">D355</f>
        <v>45627</v>
      </c>
      <c r="E371" s="277" t="n">
        <v>0</v>
      </c>
      <c r="F371" s="277" t="n">
        <v>0</v>
      </c>
      <c r="G371" s="277" t="n">
        <v>0</v>
      </c>
      <c r="H371" s="277" t="n">
        <v>0</v>
      </c>
      <c r="I371" s="277" t="n">
        <v>0</v>
      </c>
      <c r="J371" s="278" t="n">
        <f aca="false">E371+H371+I371</f>
        <v>0</v>
      </c>
      <c r="K371" s="204"/>
      <c r="L371" s="289" t="n">
        <v>1</v>
      </c>
      <c r="M371" s="290" t="n">
        <f aca="false">1-L371</f>
        <v>0</v>
      </c>
      <c r="N371" s="281"/>
      <c r="O371" s="291"/>
      <c r="P371" s="291"/>
      <c r="Q371" s="291"/>
      <c r="R371" s="291"/>
      <c r="S371" s="291"/>
      <c r="T371" s="291"/>
      <c r="U371" s="291"/>
      <c r="V371" s="291"/>
      <c r="W371" s="291"/>
      <c r="X371" s="291"/>
      <c r="Y371" s="291"/>
      <c r="Z371" s="291"/>
      <c r="AA371" s="283"/>
      <c r="AB371" s="292" t="n">
        <f aca="false">IFERROR(($J371*O371)*$L371, "")</f>
        <v>0</v>
      </c>
      <c r="AC371" s="292" t="n">
        <f aca="false">IFERROR(($J371*P371)*$L371, "")</f>
        <v>0</v>
      </c>
      <c r="AD371" s="292" t="n">
        <f aca="false">IFERROR(($J371*Q371)*$L371, "")</f>
        <v>0</v>
      </c>
      <c r="AE371" s="292" t="n">
        <f aca="false">IFERROR(($J371*R371)*$L371, "")</f>
        <v>0</v>
      </c>
      <c r="AF371" s="292" t="n">
        <f aca="false">IFERROR(($J371*S371)*$L371, "")</f>
        <v>0</v>
      </c>
      <c r="AG371" s="292" t="n">
        <f aca="false">IFERROR(($J371*T371)*$L371, "")</f>
        <v>0</v>
      </c>
      <c r="AH371" s="292" t="n">
        <f aca="false">IFERROR(($J371*U371)*$L371, "")</f>
        <v>0</v>
      </c>
      <c r="AI371" s="292" t="n">
        <f aca="false">IFERROR(($J371*V371)*$L371, "")</f>
        <v>0</v>
      </c>
      <c r="AJ371" s="292" t="n">
        <f aca="false">IFERROR(($J371*W371)*$L371, "")</f>
        <v>0</v>
      </c>
      <c r="AK371" s="292" t="n">
        <f aca="false">IFERROR(($J371*X371)*$L371, "")</f>
        <v>0</v>
      </c>
      <c r="AL371" s="292" t="n">
        <f aca="false">IFERROR(($J371*Y371)*$L371, "")</f>
        <v>0</v>
      </c>
      <c r="AM371" s="293" t="n">
        <f aca="false">IFERROR(($J371*Z371)*$L371, "")</f>
        <v>0</v>
      </c>
      <c r="AN371" s="294" t="n">
        <f aca="false">IFERROR(SUMIF($AB$4:$AM$4, "RDEC", AB371:AM371), "")</f>
        <v>0</v>
      </c>
      <c r="AO371" s="294" t="n">
        <f aca="false">IFERROR(SUMIF($AB$4:$AM$4, "SME", AB371:AM371), "")</f>
        <v>0</v>
      </c>
      <c r="AP371" s="294" t="n">
        <f aca="false">IFERROR(SUMIF($AB$4:$AM$4, "De Minimis", AB371:AM371), "")</f>
        <v>0</v>
      </c>
      <c r="AQ371" s="283"/>
      <c r="AR371" s="292" t="n">
        <f aca="false">IFERROR(($J371*O371)*$M371, "")</f>
        <v>0</v>
      </c>
      <c r="AS371" s="292" t="n">
        <f aca="false">IFERROR(($J371*P371)*$M371, "")</f>
        <v>0</v>
      </c>
      <c r="AT371" s="292" t="n">
        <f aca="false">IFERROR(($J371*Q371)*$M371, "")</f>
        <v>0</v>
      </c>
      <c r="AU371" s="292" t="n">
        <f aca="false">IFERROR(($J371*R371)*$M371, "")</f>
        <v>0</v>
      </c>
      <c r="AV371" s="292" t="n">
        <f aca="false">IFERROR(($J371*S371)*$M371, "")</f>
        <v>0</v>
      </c>
      <c r="AW371" s="292" t="n">
        <f aca="false">IFERROR(($J371*T371)*$M371, "")</f>
        <v>0</v>
      </c>
      <c r="AX371" s="292" t="n">
        <f aca="false">IFERROR(($J371*U371)*$M371, "")</f>
        <v>0</v>
      </c>
      <c r="AY371" s="292" t="n">
        <f aca="false">IFERROR(($J371*V371)*$M371, "")</f>
        <v>0</v>
      </c>
      <c r="AZ371" s="292" t="n">
        <f aca="false">IFERROR(($J371*W371)*$M371, "")</f>
        <v>0</v>
      </c>
      <c r="BA371" s="292" t="n">
        <f aca="false">IFERROR(($J371*X371)*$M371, "")</f>
        <v>0</v>
      </c>
      <c r="BB371" s="292" t="n">
        <f aca="false">IFERROR(($J371*Y371)*$M371, "")</f>
        <v>0</v>
      </c>
      <c r="BC371" s="293" t="n">
        <f aca="false">IFERROR(($J371*Z371)*$M371, "")</f>
        <v>0</v>
      </c>
      <c r="BD371" s="294" t="n">
        <f aca="false">IFERROR(SUMIF($AB$4:$AM$4, "RDEC", AR371:BC371), "")</f>
        <v>0</v>
      </c>
      <c r="BE371" s="294" t="n">
        <f aca="false">IFERROR(SUMIF($AB$4:$AM$4, "SME", AR371:BC371), "")</f>
        <v>0</v>
      </c>
      <c r="BF371" s="294" t="n">
        <f aca="false">IFERROR(SUMIF($AB$4:$AM$4, "De Minimis", AR371:BC371), "")</f>
        <v>0</v>
      </c>
      <c r="BG371" s="287"/>
      <c r="BH371" s="295" t="str">
        <f aca="false">IF((SUM(O371:Z371)&gt;1),"ERROR","")</f>
        <v/>
      </c>
      <c r="BI371" s="287"/>
      <c r="BJ371" s="18" t="str">
        <f aca="false">IF(C357&gt;0, C357, "")</f>
        <v/>
      </c>
      <c r="BL371" s="200"/>
      <c r="BM371" s="200"/>
      <c r="BN371" s="200"/>
    </row>
    <row r="372" customFormat="false" ht="15" hidden="false" customHeight="true" outlineLevel="0" collapsed="false">
      <c r="B372" s="296"/>
      <c r="D372" s="297" t="s">
        <v>82</v>
      </c>
      <c r="E372" s="298" t="n">
        <f aca="false">SUM(E360:E371)</f>
        <v>0</v>
      </c>
      <c r="F372" s="298" t="n">
        <f aca="false">SUM(F360:F371)</f>
        <v>0</v>
      </c>
      <c r="G372" s="298" t="n">
        <f aca="false">SUM(G360:G371)</f>
        <v>0</v>
      </c>
      <c r="H372" s="298" t="n">
        <f aca="false">SUM(H360:H371)</f>
        <v>0</v>
      </c>
      <c r="I372" s="298" t="n">
        <f aca="false">SUM(I360:I371)</f>
        <v>0</v>
      </c>
      <c r="J372" s="299" t="n">
        <f aca="false">SUM(J360:J371)</f>
        <v>0</v>
      </c>
      <c r="K372" s="300"/>
      <c r="L372" s="301" t="n">
        <f aca="false">AVERAGE(L360:L371)</f>
        <v>1</v>
      </c>
      <c r="M372" s="301" t="n">
        <f aca="false">AVERAGE(M360:M371)</f>
        <v>0</v>
      </c>
      <c r="N372" s="302"/>
      <c r="O372" s="290" t="n">
        <f aca="false">IF(SUM(O360:O371)&gt;0,((AB372+AR372)/J372),0)</f>
        <v>0</v>
      </c>
      <c r="P372" s="290" t="n">
        <f aca="false">IF(SUM(P360:P371)&gt;0,((AC372+AS372)/J372),0)</f>
        <v>0</v>
      </c>
      <c r="Q372" s="290" t="n">
        <f aca="false">IF(SUM(Q360:Q371)&gt;0,((AD372+AT372)/J372),0)</f>
        <v>0</v>
      </c>
      <c r="R372" s="290" t="n">
        <f aca="false">IF(SUM(R360:R371)&gt;0,((AE372+AU372)/J372),0)</f>
        <v>0</v>
      </c>
      <c r="S372" s="290" t="n">
        <f aca="false">IF(SUM(S360:S371)&gt;0,((AF372+AV372)/J372),0)</f>
        <v>0</v>
      </c>
      <c r="T372" s="290" t="n">
        <f aca="false">IF(SUM(T360:T371)&gt;0,((AG372+AW372)/J372),0)</f>
        <v>0</v>
      </c>
      <c r="U372" s="290" t="n">
        <f aca="false">IF(SUM(U360:U371)&gt;0,((AH372+AX372)/J372),0)</f>
        <v>0</v>
      </c>
      <c r="V372" s="290" t="n">
        <f aca="false">IF(SUM(V360:V371)&gt;0,((AI372+AY372)/J372),0)</f>
        <v>0</v>
      </c>
      <c r="W372" s="290" t="n">
        <f aca="false">IF(SUM(W360:W371)&gt;0,((AJ372+AZ372)/J372),0)</f>
        <v>0</v>
      </c>
      <c r="X372" s="290" t="n">
        <f aca="false">IF(SUM(X360:X371)&gt;0,((AK372+BA372)/J372),0)</f>
        <v>0</v>
      </c>
      <c r="Y372" s="290" t="n">
        <f aca="false">IF(SUM(Y360:Y371)&gt;0,((AL372+BB372)/J372),0)</f>
        <v>0</v>
      </c>
      <c r="Z372" s="290" t="n">
        <f aca="false">IF(SUM(Z360:Z371)&gt;0,((AM372+BC372)/J372),0)</f>
        <v>0</v>
      </c>
      <c r="AA372" s="303"/>
      <c r="AB372" s="292" t="n">
        <f aca="false">SUM(AB360:AB371)</f>
        <v>0</v>
      </c>
      <c r="AC372" s="304" t="n">
        <f aca="false">SUM(AC360:AC371)</f>
        <v>0</v>
      </c>
      <c r="AD372" s="304" t="n">
        <f aca="false">SUM(AD360:AD371)</f>
        <v>0</v>
      </c>
      <c r="AE372" s="304" t="n">
        <f aca="false">SUM(AE360:AE371)</f>
        <v>0</v>
      </c>
      <c r="AF372" s="304" t="n">
        <f aca="false">SUM(AF360:AF371)</f>
        <v>0</v>
      </c>
      <c r="AG372" s="304" t="n">
        <f aca="false">SUM(AG360:AG371)</f>
        <v>0</v>
      </c>
      <c r="AH372" s="304" t="n">
        <f aca="false">SUM(AH360:AH371)</f>
        <v>0</v>
      </c>
      <c r="AI372" s="304" t="n">
        <f aca="false">SUM(AI360:AI371)</f>
        <v>0</v>
      </c>
      <c r="AJ372" s="304" t="n">
        <f aca="false">SUM(AJ360:AJ371)</f>
        <v>0</v>
      </c>
      <c r="AK372" s="304" t="n">
        <f aca="false">SUM(AK360:AK371)</f>
        <v>0</v>
      </c>
      <c r="AL372" s="304" t="n">
        <f aca="false">SUM(AL360:AL371)</f>
        <v>0</v>
      </c>
      <c r="AM372" s="304" t="n">
        <f aca="false">SUM(AM360:AM371)</f>
        <v>0</v>
      </c>
      <c r="AN372" s="305" t="n">
        <f aca="false">SUM(AN360:AN371)</f>
        <v>0</v>
      </c>
      <c r="AO372" s="305" t="n">
        <f aca="false">SUM(AO360:AO371)</f>
        <v>0</v>
      </c>
      <c r="AP372" s="305" t="n">
        <f aca="false">SUM(AP360:AP371)</f>
        <v>0</v>
      </c>
      <c r="AQ372" s="303"/>
      <c r="AR372" s="292" t="n">
        <f aca="false">SUM(AR360:AR371)</f>
        <v>0</v>
      </c>
      <c r="AS372" s="304" t="n">
        <f aca="false">SUM(AS360:AS371)</f>
        <v>0</v>
      </c>
      <c r="AT372" s="304" t="n">
        <f aca="false">SUM(AT360:AT371)</f>
        <v>0</v>
      </c>
      <c r="AU372" s="304" t="n">
        <f aca="false">SUM(AU360:AU371)</f>
        <v>0</v>
      </c>
      <c r="AV372" s="304" t="n">
        <f aca="false">SUM(AV360:AV371)</f>
        <v>0</v>
      </c>
      <c r="AW372" s="304" t="n">
        <f aca="false">SUM(AW360:AW371)</f>
        <v>0</v>
      </c>
      <c r="AX372" s="304" t="n">
        <f aca="false">SUM(AX360:AX371)</f>
        <v>0</v>
      </c>
      <c r="AY372" s="304" t="n">
        <f aca="false">SUM(AY360:AY371)</f>
        <v>0</v>
      </c>
      <c r="AZ372" s="304" t="n">
        <f aca="false">SUM(AZ360:AZ371)</f>
        <v>0</v>
      </c>
      <c r="BA372" s="304" t="n">
        <f aca="false">SUM(BA360:BA371)</f>
        <v>0</v>
      </c>
      <c r="BB372" s="304" t="n">
        <f aca="false">SUM(BB360:BB371)</f>
        <v>0</v>
      </c>
      <c r="BC372" s="304" t="n">
        <f aca="false">SUM(BC360:BC371)</f>
        <v>0</v>
      </c>
      <c r="BD372" s="305" t="n">
        <f aca="false">SUM(BD360:BD371)</f>
        <v>0</v>
      </c>
      <c r="BE372" s="305" t="n">
        <f aca="false">SUM(BE360:BE371)</f>
        <v>0</v>
      </c>
      <c r="BF372" s="305" t="n">
        <f aca="false">SUM(BF360:BF371)</f>
        <v>0</v>
      </c>
      <c r="BG372" s="303"/>
      <c r="BH372" s="306"/>
      <c r="BI372" s="303"/>
      <c r="BJ372" s="307" t="str">
        <f aca="false">IF(C358&gt;0, C358, "")</f>
        <v>TBA</v>
      </c>
      <c r="BK372" s="18" t="s">
        <v>234</v>
      </c>
      <c r="BL372" s="200" t="n">
        <f aca="false">IF($BK372="Y",J372,0)</f>
        <v>0</v>
      </c>
      <c r="BM372" s="200" t="n">
        <f aca="false">IF(BK372="Y", AN372,0)</f>
        <v>0</v>
      </c>
      <c r="BN372" s="200" t="n">
        <f aca="false">IF((BK372="Y"),AO372,0)</f>
        <v>0</v>
      </c>
    </row>
    <row r="373" customFormat="false" ht="15" hidden="false" customHeight="true" outlineLevel="0" collapsed="false">
      <c r="B373" s="296"/>
      <c r="D373" s="297"/>
      <c r="E373" s="277"/>
      <c r="F373" s="277"/>
      <c r="G373" s="277"/>
      <c r="H373" s="277"/>
      <c r="I373" s="277"/>
      <c r="J373" s="300"/>
      <c r="K373" s="300"/>
      <c r="L373" s="302"/>
      <c r="M373" s="302"/>
      <c r="N373" s="302"/>
      <c r="O373" s="308"/>
      <c r="P373" s="308"/>
      <c r="Q373" s="308"/>
      <c r="R373" s="308"/>
      <c r="S373" s="308"/>
      <c r="T373" s="308"/>
      <c r="U373" s="308"/>
      <c r="V373" s="308"/>
      <c r="W373" s="308"/>
      <c r="X373" s="308"/>
      <c r="Y373" s="308"/>
      <c r="Z373" s="308"/>
      <c r="AA373" s="303"/>
      <c r="AB373" s="303"/>
      <c r="AC373" s="303"/>
      <c r="AD373" s="303"/>
      <c r="AE373" s="303"/>
      <c r="AF373" s="303"/>
      <c r="AG373" s="303"/>
      <c r="AH373" s="303"/>
      <c r="AI373" s="303"/>
      <c r="AJ373" s="303"/>
      <c r="AK373" s="303"/>
      <c r="AL373" s="303"/>
      <c r="AM373" s="303"/>
      <c r="AN373" s="303"/>
      <c r="AO373" s="303"/>
      <c r="AP373" s="303"/>
      <c r="AQ373" s="303"/>
      <c r="AR373" s="303"/>
      <c r="AS373" s="303"/>
      <c r="AT373" s="303"/>
      <c r="AU373" s="303"/>
      <c r="AV373" s="303"/>
      <c r="AW373" s="303"/>
      <c r="AX373" s="303"/>
      <c r="AY373" s="303"/>
      <c r="AZ373" s="303"/>
      <c r="BA373" s="303"/>
      <c r="BB373" s="303"/>
      <c r="BC373" s="303"/>
      <c r="BD373" s="303"/>
      <c r="BE373" s="303"/>
      <c r="BF373" s="303"/>
      <c r="BG373" s="303"/>
      <c r="BH373" s="303"/>
      <c r="BI373" s="303"/>
      <c r="BJ373" s="307" t="str">
        <f aca="false">IF(C360&gt;0, C360, "")</f>
        <v/>
      </c>
      <c r="BL373" s="200"/>
      <c r="BM373" s="200"/>
      <c r="BN373" s="200"/>
    </row>
    <row r="374" customFormat="false" ht="15" hidden="false" customHeight="true" outlineLevel="0" collapsed="false">
      <c r="A374" s="198" t="n">
        <f aca="false">A358+1</f>
        <v>24</v>
      </c>
      <c r="B374" s="266" t="s">
        <v>253</v>
      </c>
      <c r="C374" s="266" t="s">
        <v>253</v>
      </c>
      <c r="D374" s="267"/>
      <c r="E374" s="242"/>
      <c r="F374" s="242"/>
      <c r="G374" s="242"/>
      <c r="H374" s="242"/>
      <c r="I374" s="242"/>
      <c r="J374" s="241"/>
      <c r="K374" s="241"/>
      <c r="L374" s="241"/>
      <c r="M374" s="241"/>
      <c r="N374" s="241"/>
      <c r="O374" s="268"/>
      <c r="P374" s="268"/>
      <c r="Q374" s="268"/>
      <c r="R374" s="268"/>
      <c r="S374" s="268"/>
      <c r="T374" s="268"/>
      <c r="U374" s="268"/>
      <c r="V374" s="268"/>
      <c r="W374" s="268"/>
      <c r="X374" s="268"/>
      <c r="Y374" s="268"/>
      <c r="Z374" s="268"/>
      <c r="AA374" s="268"/>
      <c r="AB374" s="268"/>
      <c r="AC374" s="268"/>
      <c r="AD374" s="268"/>
      <c r="AE374" s="268"/>
      <c r="AF374" s="268"/>
      <c r="AG374" s="268"/>
      <c r="AH374" s="268"/>
      <c r="AI374" s="268"/>
      <c r="AJ374" s="268"/>
      <c r="AK374" s="268"/>
      <c r="AL374" s="268"/>
      <c r="AM374" s="268"/>
      <c r="AN374" s="268"/>
      <c r="AO374" s="268"/>
      <c r="AP374" s="268"/>
      <c r="AQ374" s="268"/>
      <c r="AR374" s="268"/>
      <c r="AS374" s="268"/>
      <c r="AT374" s="268"/>
      <c r="AU374" s="268"/>
      <c r="AV374" s="268"/>
      <c r="AW374" s="268"/>
      <c r="AX374" s="268"/>
      <c r="AY374" s="268"/>
      <c r="AZ374" s="268"/>
      <c r="BA374" s="268"/>
      <c r="BB374" s="268"/>
      <c r="BC374" s="268"/>
      <c r="BD374" s="268"/>
      <c r="BE374" s="268"/>
      <c r="BF374" s="268"/>
      <c r="BG374" s="268"/>
      <c r="BH374" s="268"/>
      <c r="BI374" s="268"/>
      <c r="BJ374" s="18" t="str">
        <f aca="false">IF(C361&gt;0, C361, "")</f>
        <v/>
      </c>
      <c r="BL374" s="200"/>
      <c r="BM374" s="200"/>
      <c r="BN374" s="200"/>
    </row>
    <row r="375" customFormat="false" ht="7.5" hidden="false" customHeight="true" outlineLevel="0" collapsed="false">
      <c r="A375" s="198"/>
      <c r="B375" s="266"/>
      <c r="C375" s="266"/>
      <c r="D375" s="267"/>
      <c r="E375" s="242"/>
      <c r="F375" s="242"/>
      <c r="G375" s="242"/>
      <c r="H375" s="242"/>
      <c r="I375" s="242"/>
      <c r="J375" s="241"/>
      <c r="K375" s="241"/>
      <c r="L375" s="269"/>
      <c r="M375" s="269"/>
      <c r="N375" s="270"/>
      <c r="O375" s="269"/>
      <c r="P375" s="269"/>
      <c r="Q375" s="269"/>
      <c r="R375" s="269"/>
      <c r="S375" s="269"/>
      <c r="T375" s="269"/>
      <c r="U375" s="269"/>
      <c r="V375" s="269"/>
      <c r="W375" s="269"/>
      <c r="X375" s="269"/>
      <c r="Y375" s="269"/>
      <c r="Z375" s="269"/>
      <c r="AA375" s="268"/>
      <c r="AB375" s="271"/>
      <c r="AC375" s="271"/>
      <c r="AD375" s="271"/>
      <c r="AE375" s="271"/>
      <c r="AF375" s="271"/>
      <c r="AG375" s="271"/>
      <c r="AH375" s="271"/>
      <c r="AI375" s="271"/>
      <c r="AJ375" s="271"/>
      <c r="AK375" s="271"/>
      <c r="AL375" s="271"/>
      <c r="AM375" s="272"/>
      <c r="AN375" s="273"/>
      <c r="AO375" s="273"/>
      <c r="AP375" s="273"/>
      <c r="AQ375" s="268"/>
      <c r="AR375" s="271"/>
      <c r="AS375" s="271"/>
      <c r="AT375" s="271"/>
      <c r="AU375" s="271"/>
      <c r="AV375" s="271"/>
      <c r="AW375" s="271"/>
      <c r="AX375" s="271"/>
      <c r="AY375" s="271"/>
      <c r="AZ375" s="271"/>
      <c r="BA375" s="271"/>
      <c r="BB375" s="271"/>
      <c r="BC375" s="272"/>
      <c r="BD375" s="273"/>
      <c r="BE375" s="273"/>
      <c r="BF375" s="273"/>
      <c r="BG375" s="268"/>
      <c r="BH375" s="274"/>
      <c r="BI375" s="268"/>
      <c r="BL375" s="200"/>
      <c r="BM375" s="200"/>
      <c r="BN375" s="200"/>
    </row>
    <row r="376" customFormat="false" ht="15" hidden="false" customHeight="true" outlineLevel="0" collapsed="false">
      <c r="B376" s="275"/>
      <c r="D376" s="276" t="n">
        <f aca="false">D360</f>
        <v>45292</v>
      </c>
      <c r="E376" s="277" t="n">
        <v>0</v>
      </c>
      <c r="F376" s="277" t="n">
        <v>0</v>
      </c>
      <c r="G376" s="277" t="n">
        <v>0</v>
      </c>
      <c r="H376" s="277" t="n">
        <v>0</v>
      </c>
      <c r="I376" s="277" t="n">
        <v>0</v>
      </c>
      <c r="J376" s="278" t="n">
        <f aca="false">E376+H376+I376</f>
        <v>0</v>
      </c>
      <c r="K376" s="204"/>
      <c r="L376" s="279" t="n">
        <v>1</v>
      </c>
      <c r="M376" s="280" t="n">
        <f aca="false">1-L376</f>
        <v>0</v>
      </c>
      <c r="N376" s="281"/>
      <c r="O376" s="282"/>
      <c r="P376" s="282"/>
      <c r="Q376" s="282"/>
      <c r="R376" s="282"/>
      <c r="S376" s="282"/>
      <c r="T376" s="282"/>
      <c r="U376" s="282"/>
      <c r="V376" s="282"/>
      <c r="W376" s="282"/>
      <c r="X376" s="282"/>
      <c r="Y376" s="282"/>
      <c r="Z376" s="282"/>
      <c r="AA376" s="283"/>
      <c r="AB376" s="284" t="n">
        <f aca="false">IFERROR(($J376*O376)*$L376, "")</f>
        <v>0</v>
      </c>
      <c r="AC376" s="284" t="n">
        <f aca="false">IFERROR(($J376*P376)*$L376, "")</f>
        <v>0</v>
      </c>
      <c r="AD376" s="284" t="n">
        <f aca="false">IFERROR(($J376*Q376)*$L376, "")</f>
        <v>0</v>
      </c>
      <c r="AE376" s="284" t="n">
        <f aca="false">IFERROR(($J376*R376)*$L376, "")</f>
        <v>0</v>
      </c>
      <c r="AF376" s="284" t="n">
        <f aca="false">IFERROR(($J376*S376)*$L376, "")</f>
        <v>0</v>
      </c>
      <c r="AG376" s="284" t="n">
        <f aca="false">IFERROR(($J376*T376)*$L376, "")</f>
        <v>0</v>
      </c>
      <c r="AH376" s="284" t="n">
        <f aca="false">IFERROR(($J376*U376)*$L376, "")</f>
        <v>0</v>
      </c>
      <c r="AI376" s="284" t="n">
        <f aca="false">IFERROR(($J376*V376)*$L376, "")</f>
        <v>0</v>
      </c>
      <c r="AJ376" s="284" t="n">
        <f aca="false">IFERROR(($J376*W376)*$L376, "")</f>
        <v>0</v>
      </c>
      <c r="AK376" s="284" t="n">
        <f aca="false">IFERROR(($J376*X376)*$L376, "")</f>
        <v>0</v>
      </c>
      <c r="AL376" s="284" t="n">
        <f aca="false">IFERROR(($J376*Y376)*$L376, "")</f>
        <v>0</v>
      </c>
      <c r="AM376" s="285" t="n">
        <f aca="false">IFERROR(($J376*Z376)*$L376, "")</f>
        <v>0</v>
      </c>
      <c r="AN376" s="286" t="n">
        <f aca="false">IFERROR(SUMIF($AB$4:$AM$4, "RDEC", AB376:AM376), "")</f>
        <v>0</v>
      </c>
      <c r="AO376" s="286" t="n">
        <f aca="false">IFERROR(SUMIF($AB$4:$AM$4, "SME", AB376:AM376), "")</f>
        <v>0</v>
      </c>
      <c r="AP376" s="286" t="n">
        <f aca="false">IFERROR(SUMIF($AB$4:$AM$4, "De Minimis", AB376:AM376), "")</f>
        <v>0</v>
      </c>
      <c r="AQ376" s="283"/>
      <c r="AR376" s="284" t="n">
        <f aca="false">IFERROR(($J376*O376)*$M376, "")</f>
        <v>0</v>
      </c>
      <c r="AS376" s="284" t="n">
        <f aca="false">IFERROR(($J376*P376)*$M376, "")</f>
        <v>0</v>
      </c>
      <c r="AT376" s="284" t="n">
        <f aca="false">IFERROR(($J376*Q376)*$M376, "")</f>
        <v>0</v>
      </c>
      <c r="AU376" s="284" t="n">
        <f aca="false">IFERROR(($J376*R376)*$M376, "")</f>
        <v>0</v>
      </c>
      <c r="AV376" s="284" t="n">
        <f aca="false">IFERROR(($J376*S376)*$M376, "")</f>
        <v>0</v>
      </c>
      <c r="AW376" s="284" t="n">
        <f aca="false">IFERROR(($J376*T376)*$M376, "")</f>
        <v>0</v>
      </c>
      <c r="AX376" s="284" t="n">
        <f aca="false">IFERROR(($J376*U376)*$M376, "")</f>
        <v>0</v>
      </c>
      <c r="AY376" s="284" t="n">
        <f aca="false">IFERROR(($J376*V376)*$M376, "")</f>
        <v>0</v>
      </c>
      <c r="AZ376" s="284" t="n">
        <f aca="false">IFERROR(($J376*W376)*$M376, "")</f>
        <v>0</v>
      </c>
      <c r="BA376" s="284" t="n">
        <f aca="false">IFERROR(($J376*X376)*$M376, "")</f>
        <v>0</v>
      </c>
      <c r="BB376" s="284" t="n">
        <f aca="false">IFERROR(($J376*Y376)*$M376, "")</f>
        <v>0</v>
      </c>
      <c r="BC376" s="285" t="n">
        <f aca="false">IFERROR(($J376*Z376)*$M376, "")</f>
        <v>0</v>
      </c>
      <c r="BD376" s="286" t="n">
        <f aca="false">IFERROR(SUMIF($AB$4:$AM$4, "RDEC", AR376:BC376), "")</f>
        <v>0</v>
      </c>
      <c r="BE376" s="286" t="n">
        <f aca="false">IFERROR(SUMIF($AB$4:$AM$4, "SME", AR376:BC376), "")</f>
        <v>0</v>
      </c>
      <c r="BF376" s="286" t="n">
        <f aca="false">IFERROR(SUMIF($AB$4:$AM$4, "De Minimis", AR376:BC376), "")</f>
        <v>0</v>
      </c>
      <c r="BG376" s="287"/>
      <c r="BH376" s="288" t="str">
        <f aca="false">IF((SUM(O376:Z376)&gt;1),"ERROR","")</f>
        <v/>
      </c>
      <c r="BI376" s="287"/>
      <c r="BJ376" s="18" t="str">
        <f aca="false">IF(C362&gt;0, C362, "")</f>
        <v/>
      </c>
      <c r="BL376" s="200"/>
      <c r="BM376" s="200"/>
      <c r="BN376" s="200"/>
    </row>
    <row r="377" customFormat="false" ht="15" hidden="false" customHeight="true" outlineLevel="0" collapsed="false">
      <c r="B377" s="275"/>
      <c r="D377" s="276" t="n">
        <f aca="false">D361</f>
        <v>45323</v>
      </c>
      <c r="E377" s="277" t="n">
        <v>0</v>
      </c>
      <c r="F377" s="277" t="n">
        <v>0</v>
      </c>
      <c r="G377" s="277" t="n">
        <v>0</v>
      </c>
      <c r="H377" s="277" t="n">
        <v>0</v>
      </c>
      <c r="I377" s="277" t="n">
        <v>0</v>
      </c>
      <c r="J377" s="278" t="n">
        <f aca="false">E377+H377+I377</f>
        <v>0</v>
      </c>
      <c r="K377" s="204"/>
      <c r="L377" s="279" t="n">
        <v>1</v>
      </c>
      <c r="M377" s="280" t="n">
        <f aca="false">1-L377</f>
        <v>0</v>
      </c>
      <c r="N377" s="281"/>
      <c r="O377" s="282"/>
      <c r="P377" s="282"/>
      <c r="Q377" s="282"/>
      <c r="R377" s="282"/>
      <c r="S377" s="282"/>
      <c r="T377" s="282"/>
      <c r="U377" s="282"/>
      <c r="V377" s="282"/>
      <c r="W377" s="282"/>
      <c r="X377" s="282"/>
      <c r="Y377" s="282"/>
      <c r="Z377" s="282"/>
      <c r="AA377" s="283"/>
      <c r="AB377" s="284" t="n">
        <f aca="false">IFERROR(($J377*O377)*$L377, "")</f>
        <v>0</v>
      </c>
      <c r="AC377" s="284" t="n">
        <f aca="false">IFERROR(($J377*P377)*$L377, "")</f>
        <v>0</v>
      </c>
      <c r="AD377" s="284" t="n">
        <f aca="false">IFERROR(($J377*Q377)*$L377, "")</f>
        <v>0</v>
      </c>
      <c r="AE377" s="284" t="n">
        <f aca="false">IFERROR(($J377*R377)*$L377, "")</f>
        <v>0</v>
      </c>
      <c r="AF377" s="284" t="n">
        <f aca="false">IFERROR(($J377*S377)*$L377, "")</f>
        <v>0</v>
      </c>
      <c r="AG377" s="284" t="n">
        <f aca="false">IFERROR(($J377*T377)*$L377, "")</f>
        <v>0</v>
      </c>
      <c r="AH377" s="284" t="n">
        <f aca="false">IFERROR(($J377*U377)*$L377, "")</f>
        <v>0</v>
      </c>
      <c r="AI377" s="284" t="n">
        <f aca="false">IFERROR(($J377*V377)*$L377, "")</f>
        <v>0</v>
      </c>
      <c r="AJ377" s="284" t="n">
        <f aca="false">IFERROR(($J377*W377)*$L377, "")</f>
        <v>0</v>
      </c>
      <c r="AK377" s="284" t="n">
        <f aca="false">IFERROR(($J377*X377)*$L377, "")</f>
        <v>0</v>
      </c>
      <c r="AL377" s="284" t="n">
        <f aca="false">IFERROR(($J377*Y377)*$L377, "")</f>
        <v>0</v>
      </c>
      <c r="AM377" s="285" t="n">
        <f aca="false">IFERROR(($J377*Z377)*$L377, "")</f>
        <v>0</v>
      </c>
      <c r="AN377" s="286" t="n">
        <f aca="false">IFERROR(SUMIF($AB$4:$AM$4, "RDEC", AB377:AM377), "")</f>
        <v>0</v>
      </c>
      <c r="AO377" s="286" t="n">
        <f aca="false">IFERROR(SUMIF($AB$4:$AM$4, "SME", AB377:AM377), "")</f>
        <v>0</v>
      </c>
      <c r="AP377" s="286" t="n">
        <f aca="false">IFERROR(SUMIF($AB$4:$AM$4, "De Minimis", AB377:AM377), "")</f>
        <v>0</v>
      </c>
      <c r="AQ377" s="283"/>
      <c r="AR377" s="284" t="n">
        <f aca="false">IFERROR(($J377*O377)*$M377, "")</f>
        <v>0</v>
      </c>
      <c r="AS377" s="284" t="n">
        <f aca="false">IFERROR(($J377*P377)*$M377, "")</f>
        <v>0</v>
      </c>
      <c r="AT377" s="284" t="n">
        <f aca="false">IFERROR(($J377*Q377)*$M377, "")</f>
        <v>0</v>
      </c>
      <c r="AU377" s="284" t="n">
        <f aca="false">IFERROR(($J377*R377)*$M377, "")</f>
        <v>0</v>
      </c>
      <c r="AV377" s="284" t="n">
        <f aca="false">IFERROR(($J377*S377)*$M377, "")</f>
        <v>0</v>
      </c>
      <c r="AW377" s="284" t="n">
        <f aca="false">IFERROR(($J377*T377)*$M377, "")</f>
        <v>0</v>
      </c>
      <c r="AX377" s="284" t="n">
        <f aca="false">IFERROR(($J377*U377)*$M377, "")</f>
        <v>0</v>
      </c>
      <c r="AY377" s="284" t="n">
        <f aca="false">IFERROR(($J377*V377)*$M377, "")</f>
        <v>0</v>
      </c>
      <c r="AZ377" s="284" t="n">
        <f aca="false">IFERROR(($J377*W377)*$M377, "")</f>
        <v>0</v>
      </c>
      <c r="BA377" s="284" t="n">
        <f aca="false">IFERROR(($J377*X377)*$M377, "")</f>
        <v>0</v>
      </c>
      <c r="BB377" s="284" t="n">
        <f aca="false">IFERROR(($J377*Y377)*$M377, "")</f>
        <v>0</v>
      </c>
      <c r="BC377" s="285" t="n">
        <f aca="false">IFERROR(($J377*Z377)*$M377, "")</f>
        <v>0</v>
      </c>
      <c r="BD377" s="286" t="n">
        <f aca="false">IFERROR(SUMIF($AB$4:$AM$4, "RDEC", AR377:BC377), "")</f>
        <v>0</v>
      </c>
      <c r="BE377" s="286" t="n">
        <f aca="false">IFERROR(SUMIF($AB$4:$AM$4, "SME", AR377:BC377), "")</f>
        <v>0</v>
      </c>
      <c r="BF377" s="286" t="n">
        <f aca="false">IFERROR(SUMIF($AB$4:$AM$4, "De Minimis", AR377:BC377), "")</f>
        <v>0</v>
      </c>
      <c r="BG377" s="287"/>
      <c r="BH377" s="288" t="str">
        <f aca="false">IF((SUM(O377:Z377)&gt;1),"ERROR","")</f>
        <v/>
      </c>
      <c r="BI377" s="287"/>
      <c r="BJ377" s="18" t="str">
        <f aca="false">IF(C363&gt;0, C363, "")</f>
        <v/>
      </c>
      <c r="BL377" s="200"/>
      <c r="BM377" s="200"/>
      <c r="BN377" s="200"/>
    </row>
    <row r="378" customFormat="false" ht="15" hidden="false" customHeight="true" outlineLevel="0" collapsed="false">
      <c r="B378" s="275"/>
      <c r="D378" s="276" t="n">
        <f aca="false">D362</f>
        <v>45352</v>
      </c>
      <c r="E378" s="277" t="n">
        <v>0</v>
      </c>
      <c r="F378" s="277" t="n">
        <v>0</v>
      </c>
      <c r="G378" s="277" t="n">
        <v>0</v>
      </c>
      <c r="H378" s="277" t="n">
        <v>0</v>
      </c>
      <c r="I378" s="277" t="n">
        <v>0</v>
      </c>
      <c r="J378" s="278" t="n">
        <f aca="false">E378+H378+I378</f>
        <v>0</v>
      </c>
      <c r="K378" s="204"/>
      <c r="L378" s="279" t="n">
        <v>1</v>
      </c>
      <c r="M378" s="280" t="n">
        <f aca="false">1-L378</f>
        <v>0</v>
      </c>
      <c r="N378" s="281"/>
      <c r="O378" s="282"/>
      <c r="P378" s="282"/>
      <c r="Q378" s="282"/>
      <c r="R378" s="282"/>
      <c r="S378" s="282"/>
      <c r="T378" s="282"/>
      <c r="U378" s="282"/>
      <c r="V378" s="282"/>
      <c r="W378" s="282"/>
      <c r="X378" s="282"/>
      <c r="Y378" s="282"/>
      <c r="Z378" s="282"/>
      <c r="AA378" s="283"/>
      <c r="AB378" s="284" t="n">
        <f aca="false">IFERROR(($J378*O378)*$L378, "")</f>
        <v>0</v>
      </c>
      <c r="AC378" s="284" t="n">
        <f aca="false">IFERROR(($J378*P378)*$L378, "")</f>
        <v>0</v>
      </c>
      <c r="AD378" s="284" t="n">
        <f aca="false">IFERROR(($J378*Q378)*$L378, "")</f>
        <v>0</v>
      </c>
      <c r="AE378" s="284" t="n">
        <f aca="false">IFERROR(($J378*R378)*$L378, "")</f>
        <v>0</v>
      </c>
      <c r="AF378" s="284" t="n">
        <f aca="false">IFERROR(($J378*S378)*$L378, "")</f>
        <v>0</v>
      </c>
      <c r="AG378" s="284" t="n">
        <f aca="false">IFERROR(($J378*T378)*$L378, "")</f>
        <v>0</v>
      </c>
      <c r="AH378" s="284" t="n">
        <f aca="false">IFERROR(($J378*U378)*$L378, "")</f>
        <v>0</v>
      </c>
      <c r="AI378" s="284" t="n">
        <f aca="false">IFERROR(($J378*V378)*$L378, "")</f>
        <v>0</v>
      </c>
      <c r="AJ378" s="284" t="n">
        <f aca="false">IFERROR(($J378*W378)*$L378, "")</f>
        <v>0</v>
      </c>
      <c r="AK378" s="284" t="n">
        <f aca="false">IFERROR(($J378*X378)*$L378, "")</f>
        <v>0</v>
      </c>
      <c r="AL378" s="284" t="n">
        <f aca="false">IFERROR(($J378*Y378)*$L378, "")</f>
        <v>0</v>
      </c>
      <c r="AM378" s="285" t="n">
        <f aca="false">IFERROR(($J378*Z378)*$L378, "")</f>
        <v>0</v>
      </c>
      <c r="AN378" s="286" t="n">
        <f aca="false">IFERROR(SUMIF($AB$4:$AM$4, "RDEC", AB378:AM378), "")</f>
        <v>0</v>
      </c>
      <c r="AO378" s="286" t="n">
        <f aca="false">IFERROR(SUMIF($AB$4:$AM$4, "SME", AB378:AM378), "")</f>
        <v>0</v>
      </c>
      <c r="AP378" s="286" t="n">
        <f aca="false">IFERROR(SUMIF($AB$4:$AM$4, "De Minimis", AB378:AM378), "")</f>
        <v>0</v>
      </c>
      <c r="AQ378" s="283"/>
      <c r="AR378" s="284" t="n">
        <f aca="false">IFERROR(($J378*O378)*$M378, "")</f>
        <v>0</v>
      </c>
      <c r="AS378" s="284" t="n">
        <f aca="false">IFERROR(($J378*P378)*$M378, "")</f>
        <v>0</v>
      </c>
      <c r="AT378" s="284" t="n">
        <f aca="false">IFERROR(($J378*Q378)*$M378, "")</f>
        <v>0</v>
      </c>
      <c r="AU378" s="284" t="n">
        <f aca="false">IFERROR(($J378*R378)*$M378, "")</f>
        <v>0</v>
      </c>
      <c r="AV378" s="284" t="n">
        <f aca="false">IFERROR(($J378*S378)*$M378, "")</f>
        <v>0</v>
      </c>
      <c r="AW378" s="284" t="n">
        <f aca="false">IFERROR(($J378*T378)*$M378, "")</f>
        <v>0</v>
      </c>
      <c r="AX378" s="284" t="n">
        <f aca="false">IFERROR(($J378*U378)*$M378, "")</f>
        <v>0</v>
      </c>
      <c r="AY378" s="284" t="n">
        <f aca="false">IFERROR(($J378*V378)*$M378, "")</f>
        <v>0</v>
      </c>
      <c r="AZ378" s="284" t="n">
        <f aca="false">IFERROR(($J378*W378)*$M378, "")</f>
        <v>0</v>
      </c>
      <c r="BA378" s="284" t="n">
        <f aca="false">IFERROR(($J378*X378)*$M378, "")</f>
        <v>0</v>
      </c>
      <c r="BB378" s="284" t="n">
        <f aca="false">IFERROR(($J378*Y378)*$M378, "")</f>
        <v>0</v>
      </c>
      <c r="BC378" s="285" t="n">
        <f aca="false">IFERROR(($J378*Z378)*$M378, "")</f>
        <v>0</v>
      </c>
      <c r="BD378" s="286" t="n">
        <f aca="false">IFERROR(SUMIF($AB$4:$AM$4, "RDEC", AR378:BC378), "")</f>
        <v>0</v>
      </c>
      <c r="BE378" s="286" t="n">
        <f aca="false">IFERROR(SUMIF($AB$4:$AM$4, "SME", AR378:BC378), "")</f>
        <v>0</v>
      </c>
      <c r="BF378" s="286" t="n">
        <f aca="false">IFERROR(SUMIF($AB$4:$AM$4, "De Minimis", AR378:BC378), "")</f>
        <v>0</v>
      </c>
      <c r="BG378" s="287"/>
      <c r="BH378" s="288" t="str">
        <f aca="false">IF((SUM(O378:Z378)&gt;1),"ERROR","")</f>
        <v/>
      </c>
      <c r="BI378" s="287"/>
      <c r="BJ378" s="18" t="str">
        <f aca="false">IF(C364&gt;0, C364, "")</f>
        <v/>
      </c>
      <c r="BL378" s="200"/>
      <c r="BM378" s="200"/>
      <c r="BN378" s="200"/>
    </row>
    <row r="379" customFormat="false" ht="15" hidden="false" customHeight="true" outlineLevel="0" collapsed="false">
      <c r="B379" s="275"/>
      <c r="D379" s="276" t="n">
        <f aca="false">D363</f>
        <v>45383</v>
      </c>
      <c r="E379" s="277" t="n">
        <v>0</v>
      </c>
      <c r="F379" s="277" t="n">
        <v>0</v>
      </c>
      <c r="G379" s="277" t="n">
        <v>0</v>
      </c>
      <c r="H379" s="277" t="n">
        <v>0</v>
      </c>
      <c r="I379" s="277" t="n">
        <v>0</v>
      </c>
      <c r="J379" s="278" t="n">
        <f aca="false">E379+H379+I379</f>
        <v>0</v>
      </c>
      <c r="K379" s="204"/>
      <c r="L379" s="279" t="n">
        <v>1</v>
      </c>
      <c r="M379" s="280" t="n">
        <f aca="false">1-L379</f>
        <v>0</v>
      </c>
      <c r="N379" s="281"/>
      <c r="O379" s="282"/>
      <c r="P379" s="282"/>
      <c r="Q379" s="282"/>
      <c r="R379" s="282"/>
      <c r="S379" s="282"/>
      <c r="T379" s="282"/>
      <c r="U379" s="282"/>
      <c r="V379" s="282"/>
      <c r="W379" s="282"/>
      <c r="X379" s="282"/>
      <c r="Y379" s="282"/>
      <c r="Z379" s="282"/>
      <c r="AA379" s="283"/>
      <c r="AB379" s="284" t="n">
        <f aca="false">IFERROR(($J379*O379)*$L379, "")</f>
        <v>0</v>
      </c>
      <c r="AC379" s="284" t="n">
        <f aca="false">IFERROR(($J379*P379)*$L379, "")</f>
        <v>0</v>
      </c>
      <c r="AD379" s="284" t="n">
        <f aca="false">IFERROR(($J379*Q379)*$L379, "")</f>
        <v>0</v>
      </c>
      <c r="AE379" s="284" t="n">
        <f aca="false">IFERROR(($J379*R379)*$L379, "")</f>
        <v>0</v>
      </c>
      <c r="AF379" s="284" t="n">
        <f aca="false">IFERROR(($J379*S379)*$L379, "")</f>
        <v>0</v>
      </c>
      <c r="AG379" s="284" t="n">
        <f aca="false">IFERROR(($J379*T379)*$L379, "")</f>
        <v>0</v>
      </c>
      <c r="AH379" s="284" t="n">
        <f aca="false">IFERROR(($J379*U379)*$L379, "")</f>
        <v>0</v>
      </c>
      <c r="AI379" s="284" t="n">
        <f aca="false">IFERROR(($J379*V379)*$L379, "")</f>
        <v>0</v>
      </c>
      <c r="AJ379" s="284" t="n">
        <f aca="false">IFERROR(($J379*W379)*$L379, "")</f>
        <v>0</v>
      </c>
      <c r="AK379" s="284" t="n">
        <f aca="false">IFERROR(($J379*X379)*$L379, "")</f>
        <v>0</v>
      </c>
      <c r="AL379" s="284" t="n">
        <f aca="false">IFERROR(($J379*Y379)*$L379, "")</f>
        <v>0</v>
      </c>
      <c r="AM379" s="285" t="n">
        <f aca="false">IFERROR(($J379*Z379)*$L379, "")</f>
        <v>0</v>
      </c>
      <c r="AN379" s="286" t="n">
        <f aca="false">IFERROR(SUMIF($AB$4:$AM$4, "RDEC", AB379:AM379), "")</f>
        <v>0</v>
      </c>
      <c r="AO379" s="286" t="n">
        <f aca="false">IFERROR(SUMIF($AB$4:$AM$4, "SME", AB379:AM379), "")</f>
        <v>0</v>
      </c>
      <c r="AP379" s="286" t="n">
        <f aca="false">IFERROR(SUMIF($AB$4:$AM$4, "De Minimis", AB379:AM379), "")</f>
        <v>0</v>
      </c>
      <c r="AQ379" s="283"/>
      <c r="AR379" s="284" t="n">
        <f aca="false">IFERROR(($J379*O379)*$M379, "")</f>
        <v>0</v>
      </c>
      <c r="AS379" s="284" t="n">
        <f aca="false">IFERROR(($J379*P379)*$M379, "")</f>
        <v>0</v>
      </c>
      <c r="AT379" s="284" t="n">
        <f aca="false">IFERROR(($J379*Q379)*$M379, "")</f>
        <v>0</v>
      </c>
      <c r="AU379" s="284" t="n">
        <f aca="false">IFERROR(($J379*R379)*$M379, "")</f>
        <v>0</v>
      </c>
      <c r="AV379" s="284" t="n">
        <f aca="false">IFERROR(($J379*S379)*$M379, "")</f>
        <v>0</v>
      </c>
      <c r="AW379" s="284" t="n">
        <f aca="false">IFERROR(($J379*T379)*$M379, "")</f>
        <v>0</v>
      </c>
      <c r="AX379" s="284" t="n">
        <f aca="false">IFERROR(($J379*U379)*$M379, "")</f>
        <v>0</v>
      </c>
      <c r="AY379" s="284" t="n">
        <f aca="false">IFERROR(($J379*V379)*$M379, "")</f>
        <v>0</v>
      </c>
      <c r="AZ379" s="284" t="n">
        <f aca="false">IFERROR(($J379*W379)*$M379, "")</f>
        <v>0</v>
      </c>
      <c r="BA379" s="284" t="n">
        <f aca="false">IFERROR(($J379*X379)*$M379, "")</f>
        <v>0</v>
      </c>
      <c r="BB379" s="284" t="n">
        <f aca="false">IFERROR(($J379*Y379)*$M379, "")</f>
        <v>0</v>
      </c>
      <c r="BC379" s="285" t="n">
        <f aca="false">IFERROR(($J379*Z379)*$M379, "")</f>
        <v>0</v>
      </c>
      <c r="BD379" s="286" t="n">
        <f aca="false">IFERROR(SUMIF($AB$4:$AM$4, "RDEC", AR379:BC379), "")</f>
        <v>0</v>
      </c>
      <c r="BE379" s="286" t="n">
        <f aca="false">IFERROR(SUMIF($AB$4:$AM$4, "SME", AR379:BC379), "")</f>
        <v>0</v>
      </c>
      <c r="BF379" s="286" t="n">
        <f aca="false">IFERROR(SUMIF($AB$4:$AM$4, "De Minimis", AR379:BC379), "")</f>
        <v>0</v>
      </c>
      <c r="BG379" s="287"/>
      <c r="BH379" s="288" t="str">
        <f aca="false">IF((SUM(O379:Z379)&gt;1),"ERROR","")</f>
        <v/>
      </c>
      <c r="BI379" s="287"/>
      <c r="BJ379" s="18" t="str">
        <f aca="false">IF(C365&gt;0, C365, "")</f>
        <v/>
      </c>
      <c r="BL379" s="200"/>
      <c r="BM379" s="200"/>
      <c r="BN379" s="200"/>
    </row>
    <row r="380" customFormat="false" ht="15" hidden="false" customHeight="true" outlineLevel="0" collapsed="false">
      <c r="B380" s="275"/>
      <c r="D380" s="276" t="n">
        <f aca="false">D364</f>
        <v>45413</v>
      </c>
      <c r="E380" s="277" t="n">
        <v>0</v>
      </c>
      <c r="F380" s="277" t="n">
        <v>0</v>
      </c>
      <c r="G380" s="277" t="n">
        <v>0</v>
      </c>
      <c r="H380" s="277" t="n">
        <v>0</v>
      </c>
      <c r="I380" s="277" t="n">
        <v>0</v>
      </c>
      <c r="J380" s="278" t="n">
        <f aca="false">E380+H380+I380</f>
        <v>0</v>
      </c>
      <c r="K380" s="204"/>
      <c r="L380" s="279" t="n">
        <v>1</v>
      </c>
      <c r="M380" s="280" t="n">
        <f aca="false">1-L380</f>
        <v>0</v>
      </c>
      <c r="N380" s="281"/>
      <c r="O380" s="282"/>
      <c r="P380" s="282"/>
      <c r="Q380" s="282"/>
      <c r="R380" s="282"/>
      <c r="S380" s="282"/>
      <c r="T380" s="282"/>
      <c r="U380" s="282"/>
      <c r="V380" s="282"/>
      <c r="W380" s="282"/>
      <c r="X380" s="282"/>
      <c r="Y380" s="282"/>
      <c r="Z380" s="282"/>
      <c r="AA380" s="283"/>
      <c r="AB380" s="284" t="n">
        <f aca="false">IFERROR(($J380*O380)*$L380, "")</f>
        <v>0</v>
      </c>
      <c r="AC380" s="284" t="n">
        <f aca="false">IFERROR(($J380*P380)*$L380, "")</f>
        <v>0</v>
      </c>
      <c r="AD380" s="284" t="n">
        <f aca="false">IFERROR(($J380*Q380)*$L380, "")</f>
        <v>0</v>
      </c>
      <c r="AE380" s="284" t="n">
        <f aca="false">IFERROR(($J380*R380)*$L380, "")</f>
        <v>0</v>
      </c>
      <c r="AF380" s="284" t="n">
        <f aca="false">IFERROR(($J380*S380)*$L380, "")</f>
        <v>0</v>
      </c>
      <c r="AG380" s="284" t="n">
        <f aca="false">IFERROR(($J380*T380)*$L380, "")</f>
        <v>0</v>
      </c>
      <c r="AH380" s="284" t="n">
        <f aca="false">IFERROR(($J380*U380)*$L380, "")</f>
        <v>0</v>
      </c>
      <c r="AI380" s="284" t="n">
        <f aca="false">IFERROR(($J380*V380)*$L380, "")</f>
        <v>0</v>
      </c>
      <c r="AJ380" s="284" t="n">
        <f aca="false">IFERROR(($J380*W380)*$L380, "")</f>
        <v>0</v>
      </c>
      <c r="AK380" s="284" t="n">
        <f aca="false">IFERROR(($J380*X380)*$L380, "")</f>
        <v>0</v>
      </c>
      <c r="AL380" s="284" t="n">
        <f aca="false">IFERROR(($J380*Y380)*$L380, "")</f>
        <v>0</v>
      </c>
      <c r="AM380" s="285" t="n">
        <f aca="false">IFERROR(($J380*Z380)*$L380, "")</f>
        <v>0</v>
      </c>
      <c r="AN380" s="286" t="n">
        <f aca="false">IFERROR(SUMIF($AB$4:$AM$4, "RDEC", AB380:AM380), "")</f>
        <v>0</v>
      </c>
      <c r="AO380" s="286" t="n">
        <f aca="false">IFERROR(SUMIF($AB$4:$AM$4, "SME", AB380:AM380), "")</f>
        <v>0</v>
      </c>
      <c r="AP380" s="286" t="n">
        <f aca="false">IFERROR(SUMIF($AB$4:$AM$4, "De Minimis", AB380:AM380), "")</f>
        <v>0</v>
      </c>
      <c r="AQ380" s="283"/>
      <c r="AR380" s="284" t="n">
        <f aca="false">IFERROR(($J380*O380)*$M380, "")</f>
        <v>0</v>
      </c>
      <c r="AS380" s="284" t="n">
        <f aca="false">IFERROR(($J380*P380)*$M380, "")</f>
        <v>0</v>
      </c>
      <c r="AT380" s="284" t="n">
        <f aca="false">IFERROR(($J380*Q380)*$M380, "")</f>
        <v>0</v>
      </c>
      <c r="AU380" s="284" t="n">
        <f aca="false">IFERROR(($J380*R380)*$M380, "")</f>
        <v>0</v>
      </c>
      <c r="AV380" s="284" t="n">
        <f aca="false">IFERROR(($J380*S380)*$M380, "")</f>
        <v>0</v>
      </c>
      <c r="AW380" s="284" t="n">
        <f aca="false">IFERROR(($J380*T380)*$M380, "")</f>
        <v>0</v>
      </c>
      <c r="AX380" s="284" t="n">
        <f aca="false">IFERROR(($J380*U380)*$M380, "")</f>
        <v>0</v>
      </c>
      <c r="AY380" s="284" t="n">
        <f aca="false">IFERROR(($J380*V380)*$M380, "")</f>
        <v>0</v>
      </c>
      <c r="AZ380" s="284" t="n">
        <f aca="false">IFERROR(($J380*W380)*$M380, "")</f>
        <v>0</v>
      </c>
      <c r="BA380" s="284" t="n">
        <f aca="false">IFERROR(($J380*X380)*$M380, "")</f>
        <v>0</v>
      </c>
      <c r="BB380" s="284" t="n">
        <f aca="false">IFERROR(($J380*Y380)*$M380, "")</f>
        <v>0</v>
      </c>
      <c r="BC380" s="285" t="n">
        <f aca="false">IFERROR(($J380*Z380)*$M380, "")</f>
        <v>0</v>
      </c>
      <c r="BD380" s="286" t="n">
        <f aca="false">IFERROR(SUMIF($AB$4:$AM$4, "RDEC", AR380:BC380), "")</f>
        <v>0</v>
      </c>
      <c r="BE380" s="286" t="n">
        <f aca="false">IFERROR(SUMIF($AB$4:$AM$4, "SME", AR380:BC380), "")</f>
        <v>0</v>
      </c>
      <c r="BF380" s="286" t="n">
        <f aca="false">IFERROR(SUMIF($AB$4:$AM$4, "De Minimis", AR380:BC380), "")</f>
        <v>0</v>
      </c>
      <c r="BG380" s="287"/>
      <c r="BH380" s="288" t="str">
        <f aca="false">IF((SUM(O380:Z380)&gt;1),"ERROR","")</f>
        <v/>
      </c>
      <c r="BI380" s="287"/>
      <c r="BJ380" s="18" t="str">
        <f aca="false">IF(C366&gt;0, C366, "")</f>
        <v/>
      </c>
      <c r="BL380" s="200"/>
      <c r="BM380" s="200"/>
      <c r="BN380" s="200"/>
    </row>
    <row r="381" customFormat="false" ht="15" hidden="false" customHeight="true" outlineLevel="0" collapsed="false">
      <c r="B381" s="275"/>
      <c r="D381" s="276" t="n">
        <f aca="false">D365</f>
        <v>45444</v>
      </c>
      <c r="E381" s="277" t="n">
        <v>0</v>
      </c>
      <c r="F381" s="277" t="n">
        <v>0</v>
      </c>
      <c r="G381" s="277" t="n">
        <v>0</v>
      </c>
      <c r="H381" s="277" t="n">
        <v>0</v>
      </c>
      <c r="I381" s="277" t="n">
        <v>0</v>
      </c>
      <c r="J381" s="278" t="n">
        <f aca="false">E381+H381+I381</f>
        <v>0</v>
      </c>
      <c r="K381" s="204"/>
      <c r="L381" s="279" t="n">
        <v>1</v>
      </c>
      <c r="M381" s="280" t="n">
        <f aca="false">1-L381</f>
        <v>0</v>
      </c>
      <c r="N381" s="281"/>
      <c r="O381" s="282"/>
      <c r="P381" s="282"/>
      <c r="Q381" s="282"/>
      <c r="R381" s="282"/>
      <c r="S381" s="282"/>
      <c r="T381" s="282"/>
      <c r="U381" s="282"/>
      <c r="V381" s="282"/>
      <c r="W381" s="282"/>
      <c r="X381" s="282"/>
      <c r="Y381" s="282"/>
      <c r="Z381" s="282"/>
      <c r="AA381" s="283"/>
      <c r="AB381" s="284" t="n">
        <f aca="false">IFERROR(($J381*O381)*$L381, "")</f>
        <v>0</v>
      </c>
      <c r="AC381" s="284" t="n">
        <f aca="false">IFERROR(($J381*P381)*$L381, "")</f>
        <v>0</v>
      </c>
      <c r="AD381" s="284" t="n">
        <f aca="false">IFERROR(($J381*Q381)*$L381, "")</f>
        <v>0</v>
      </c>
      <c r="AE381" s="284" t="n">
        <f aca="false">IFERROR(($J381*R381)*$L381, "")</f>
        <v>0</v>
      </c>
      <c r="AF381" s="284" t="n">
        <f aca="false">IFERROR(($J381*S381)*$L381, "")</f>
        <v>0</v>
      </c>
      <c r="AG381" s="284" t="n">
        <f aca="false">IFERROR(($J381*T381)*$L381, "")</f>
        <v>0</v>
      </c>
      <c r="AH381" s="284" t="n">
        <f aca="false">IFERROR(($J381*U381)*$L381, "")</f>
        <v>0</v>
      </c>
      <c r="AI381" s="284" t="n">
        <f aca="false">IFERROR(($J381*V381)*$L381, "")</f>
        <v>0</v>
      </c>
      <c r="AJ381" s="284" t="n">
        <f aca="false">IFERROR(($J381*W381)*$L381, "")</f>
        <v>0</v>
      </c>
      <c r="AK381" s="284" t="n">
        <f aca="false">IFERROR(($J381*X381)*$L381, "")</f>
        <v>0</v>
      </c>
      <c r="AL381" s="284" t="n">
        <f aca="false">IFERROR(($J381*Y381)*$L381, "")</f>
        <v>0</v>
      </c>
      <c r="AM381" s="285" t="n">
        <f aca="false">IFERROR(($J381*Z381)*$L381, "")</f>
        <v>0</v>
      </c>
      <c r="AN381" s="286" t="n">
        <f aca="false">IFERROR(SUMIF($AB$4:$AM$4, "RDEC", AB381:AM381), "")</f>
        <v>0</v>
      </c>
      <c r="AO381" s="286" t="n">
        <f aca="false">IFERROR(SUMIF($AB$4:$AM$4, "SME", AB381:AM381), "")</f>
        <v>0</v>
      </c>
      <c r="AP381" s="286" t="n">
        <f aca="false">IFERROR(SUMIF($AB$4:$AM$4, "De Minimis", AB381:AM381), "")</f>
        <v>0</v>
      </c>
      <c r="AQ381" s="283"/>
      <c r="AR381" s="284" t="n">
        <f aca="false">IFERROR(($J381*O381)*$M381, "")</f>
        <v>0</v>
      </c>
      <c r="AS381" s="284" t="n">
        <f aca="false">IFERROR(($J381*P381)*$M381, "")</f>
        <v>0</v>
      </c>
      <c r="AT381" s="284" t="n">
        <f aca="false">IFERROR(($J381*Q381)*$M381, "")</f>
        <v>0</v>
      </c>
      <c r="AU381" s="284" t="n">
        <f aca="false">IFERROR(($J381*R381)*$M381, "")</f>
        <v>0</v>
      </c>
      <c r="AV381" s="284" t="n">
        <f aca="false">IFERROR(($J381*S381)*$M381, "")</f>
        <v>0</v>
      </c>
      <c r="AW381" s="284" t="n">
        <f aca="false">IFERROR(($J381*T381)*$M381, "")</f>
        <v>0</v>
      </c>
      <c r="AX381" s="284" t="n">
        <f aca="false">IFERROR(($J381*U381)*$M381, "")</f>
        <v>0</v>
      </c>
      <c r="AY381" s="284" t="n">
        <f aca="false">IFERROR(($J381*V381)*$M381, "")</f>
        <v>0</v>
      </c>
      <c r="AZ381" s="284" t="n">
        <f aca="false">IFERROR(($J381*W381)*$M381, "")</f>
        <v>0</v>
      </c>
      <c r="BA381" s="284" t="n">
        <f aca="false">IFERROR(($J381*X381)*$M381, "")</f>
        <v>0</v>
      </c>
      <c r="BB381" s="284" t="n">
        <f aca="false">IFERROR(($J381*Y381)*$M381, "")</f>
        <v>0</v>
      </c>
      <c r="BC381" s="285" t="n">
        <f aca="false">IFERROR(($J381*Z381)*$M381, "")</f>
        <v>0</v>
      </c>
      <c r="BD381" s="286" t="n">
        <f aca="false">IFERROR(SUMIF($AB$4:$AM$4, "RDEC", AR381:BC381), "")</f>
        <v>0</v>
      </c>
      <c r="BE381" s="286" t="n">
        <f aca="false">IFERROR(SUMIF($AB$4:$AM$4, "SME", AR381:BC381), "")</f>
        <v>0</v>
      </c>
      <c r="BF381" s="286" t="n">
        <f aca="false">IFERROR(SUMIF($AB$4:$AM$4, "De Minimis", AR381:BC381), "")</f>
        <v>0</v>
      </c>
      <c r="BG381" s="287"/>
      <c r="BH381" s="288" t="str">
        <f aca="false">IF((SUM(O381:Z381)&gt;1),"ERROR","")</f>
        <v/>
      </c>
      <c r="BI381" s="287"/>
      <c r="BJ381" s="18" t="str">
        <f aca="false">IF(C367&gt;0, C367, "")</f>
        <v/>
      </c>
      <c r="BL381" s="200"/>
      <c r="BM381" s="200"/>
      <c r="BN381" s="200"/>
    </row>
    <row r="382" customFormat="false" ht="15" hidden="false" customHeight="true" outlineLevel="0" collapsed="false">
      <c r="B382" s="275"/>
      <c r="D382" s="276" t="n">
        <f aca="false">D366</f>
        <v>45474</v>
      </c>
      <c r="E382" s="277" t="n">
        <v>0</v>
      </c>
      <c r="F382" s="277" t="n">
        <v>0</v>
      </c>
      <c r="G382" s="277" t="n">
        <v>0</v>
      </c>
      <c r="H382" s="277" t="n">
        <v>0</v>
      </c>
      <c r="I382" s="277" t="n">
        <v>0</v>
      </c>
      <c r="J382" s="278" t="n">
        <f aca="false">E382+H382+I382</f>
        <v>0</v>
      </c>
      <c r="K382" s="204"/>
      <c r="L382" s="279" t="n">
        <v>1</v>
      </c>
      <c r="M382" s="280" t="n">
        <f aca="false">1-L382</f>
        <v>0</v>
      </c>
      <c r="N382" s="281"/>
      <c r="O382" s="282"/>
      <c r="P382" s="282"/>
      <c r="Q382" s="282"/>
      <c r="R382" s="282"/>
      <c r="S382" s="282"/>
      <c r="T382" s="282"/>
      <c r="U382" s="282"/>
      <c r="V382" s="282"/>
      <c r="W382" s="282"/>
      <c r="X382" s="282"/>
      <c r="Y382" s="282"/>
      <c r="Z382" s="282"/>
      <c r="AA382" s="283"/>
      <c r="AB382" s="284" t="n">
        <f aca="false">IFERROR(($J382*O382)*$L382, "")</f>
        <v>0</v>
      </c>
      <c r="AC382" s="284" t="n">
        <f aca="false">IFERROR(($J382*P382)*$L382, "")</f>
        <v>0</v>
      </c>
      <c r="AD382" s="284" t="n">
        <f aca="false">IFERROR(($J382*Q382)*$L382, "")</f>
        <v>0</v>
      </c>
      <c r="AE382" s="284" t="n">
        <f aca="false">IFERROR(($J382*R382)*$L382, "")</f>
        <v>0</v>
      </c>
      <c r="AF382" s="284" t="n">
        <f aca="false">IFERROR(($J382*S382)*$L382, "")</f>
        <v>0</v>
      </c>
      <c r="AG382" s="284" t="n">
        <f aca="false">IFERROR(($J382*T382)*$L382, "")</f>
        <v>0</v>
      </c>
      <c r="AH382" s="284" t="n">
        <f aca="false">IFERROR(($J382*U382)*$L382, "")</f>
        <v>0</v>
      </c>
      <c r="AI382" s="284" t="n">
        <f aca="false">IFERROR(($J382*V382)*$L382, "")</f>
        <v>0</v>
      </c>
      <c r="AJ382" s="284" t="n">
        <f aca="false">IFERROR(($J382*W382)*$L382, "")</f>
        <v>0</v>
      </c>
      <c r="AK382" s="284" t="n">
        <f aca="false">IFERROR(($J382*X382)*$L382, "")</f>
        <v>0</v>
      </c>
      <c r="AL382" s="284" t="n">
        <f aca="false">IFERROR(($J382*Y382)*$L382, "")</f>
        <v>0</v>
      </c>
      <c r="AM382" s="285" t="n">
        <f aca="false">IFERROR(($J382*Z382)*$L382, "")</f>
        <v>0</v>
      </c>
      <c r="AN382" s="286" t="n">
        <f aca="false">IFERROR(SUMIF($AB$4:$AM$4, "RDEC", AB382:AM382), "")</f>
        <v>0</v>
      </c>
      <c r="AO382" s="286" t="n">
        <f aca="false">IFERROR(SUMIF($AB$4:$AM$4, "SME", AB382:AM382), "")</f>
        <v>0</v>
      </c>
      <c r="AP382" s="286" t="n">
        <f aca="false">IFERROR(SUMIF($AB$4:$AM$4, "De Minimis", AB382:AM382), "")</f>
        <v>0</v>
      </c>
      <c r="AQ382" s="283"/>
      <c r="AR382" s="284" t="n">
        <f aca="false">IFERROR(($J382*O382)*$M382, "")</f>
        <v>0</v>
      </c>
      <c r="AS382" s="284" t="n">
        <f aca="false">IFERROR(($J382*P382)*$M382, "")</f>
        <v>0</v>
      </c>
      <c r="AT382" s="284" t="n">
        <f aca="false">IFERROR(($J382*Q382)*$M382, "")</f>
        <v>0</v>
      </c>
      <c r="AU382" s="284" t="n">
        <f aca="false">IFERROR(($J382*R382)*$M382, "")</f>
        <v>0</v>
      </c>
      <c r="AV382" s="284" t="n">
        <f aca="false">IFERROR(($J382*S382)*$M382, "")</f>
        <v>0</v>
      </c>
      <c r="AW382" s="284" t="n">
        <f aca="false">IFERROR(($J382*T382)*$M382, "")</f>
        <v>0</v>
      </c>
      <c r="AX382" s="284" t="n">
        <f aca="false">IFERROR(($J382*U382)*$M382, "")</f>
        <v>0</v>
      </c>
      <c r="AY382" s="284" t="n">
        <f aca="false">IFERROR(($J382*V382)*$M382, "")</f>
        <v>0</v>
      </c>
      <c r="AZ382" s="284" t="n">
        <f aca="false">IFERROR(($J382*W382)*$M382, "")</f>
        <v>0</v>
      </c>
      <c r="BA382" s="284" t="n">
        <f aca="false">IFERROR(($J382*X382)*$M382, "")</f>
        <v>0</v>
      </c>
      <c r="BB382" s="284" t="n">
        <f aca="false">IFERROR(($J382*Y382)*$M382, "")</f>
        <v>0</v>
      </c>
      <c r="BC382" s="285" t="n">
        <f aca="false">IFERROR(($J382*Z382)*$M382, "")</f>
        <v>0</v>
      </c>
      <c r="BD382" s="286" t="n">
        <f aca="false">IFERROR(SUMIF($AB$4:$AM$4, "RDEC", AR382:BC382), "")</f>
        <v>0</v>
      </c>
      <c r="BE382" s="286" t="n">
        <f aca="false">IFERROR(SUMIF($AB$4:$AM$4, "SME", AR382:BC382), "")</f>
        <v>0</v>
      </c>
      <c r="BF382" s="286" t="n">
        <f aca="false">IFERROR(SUMIF($AB$4:$AM$4, "De Minimis", AR382:BC382), "")</f>
        <v>0</v>
      </c>
      <c r="BG382" s="287"/>
      <c r="BH382" s="288" t="str">
        <f aca="false">IF((SUM(O382:Z382)&gt;1),"ERROR","")</f>
        <v/>
      </c>
      <c r="BI382" s="287"/>
      <c r="BJ382" s="18" t="str">
        <f aca="false">IF(C368&gt;0, C368, "")</f>
        <v/>
      </c>
      <c r="BL382" s="200"/>
      <c r="BM382" s="200"/>
      <c r="BN382" s="200"/>
    </row>
    <row r="383" customFormat="false" ht="15" hidden="false" customHeight="true" outlineLevel="0" collapsed="false">
      <c r="B383" s="275"/>
      <c r="D383" s="276" t="n">
        <f aca="false">D367</f>
        <v>45505</v>
      </c>
      <c r="E383" s="277" t="n">
        <v>0</v>
      </c>
      <c r="F383" s="277" t="n">
        <v>0</v>
      </c>
      <c r="G383" s="277" t="n">
        <v>0</v>
      </c>
      <c r="H383" s="277" t="n">
        <v>0</v>
      </c>
      <c r="I383" s="277" t="n">
        <v>0</v>
      </c>
      <c r="J383" s="278" t="n">
        <f aca="false">E383+H383+I383</f>
        <v>0</v>
      </c>
      <c r="K383" s="204"/>
      <c r="L383" s="279" t="n">
        <v>1</v>
      </c>
      <c r="M383" s="280" t="n">
        <f aca="false">1-L383</f>
        <v>0</v>
      </c>
      <c r="N383" s="281"/>
      <c r="O383" s="282"/>
      <c r="P383" s="282"/>
      <c r="Q383" s="282"/>
      <c r="R383" s="282"/>
      <c r="S383" s="282"/>
      <c r="T383" s="282"/>
      <c r="U383" s="282"/>
      <c r="V383" s="282"/>
      <c r="W383" s="282"/>
      <c r="X383" s="282"/>
      <c r="Y383" s="282"/>
      <c r="Z383" s="282"/>
      <c r="AA383" s="283"/>
      <c r="AB383" s="284" t="n">
        <f aca="false">IFERROR(($J383*O383)*$L383, "")</f>
        <v>0</v>
      </c>
      <c r="AC383" s="284" t="n">
        <f aca="false">IFERROR(($J383*P383)*$L383, "")</f>
        <v>0</v>
      </c>
      <c r="AD383" s="284" t="n">
        <f aca="false">IFERROR(($J383*Q383)*$L383, "")</f>
        <v>0</v>
      </c>
      <c r="AE383" s="284" t="n">
        <f aca="false">IFERROR(($J383*R383)*$L383, "")</f>
        <v>0</v>
      </c>
      <c r="AF383" s="284" t="n">
        <f aca="false">IFERROR(($J383*S383)*$L383, "")</f>
        <v>0</v>
      </c>
      <c r="AG383" s="284" t="n">
        <f aca="false">IFERROR(($J383*T383)*$L383, "")</f>
        <v>0</v>
      </c>
      <c r="AH383" s="284" t="n">
        <f aca="false">IFERROR(($J383*U383)*$L383, "")</f>
        <v>0</v>
      </c>
      <c r="AI383" s="284" t="n">
        <f aca="false">IFERROR(($J383*V383)*$L383, "")</f>
        <v>0</v>
      </c>
      <c r="AJ383" s="284" t="n">
        <f aca="false">IFERROR(($J383*W383)*$L383, "")</f>
        <v>0</v>
      </c>
      <c r="AK383" s="284" t="n">
        <f aca="false">IFERROR(($J383*X383)*$L383, "")</f>
        <v>0</v>
      </c>
      <c r="AL383" s="284" t="n">
        <f aca="false">IFERROR(($J383*Y383)*$L383, "")</f>
        <v>0</v>
      </c>
      <c r="AM383" s="285" t="n">
        <f aca="false">IFERROR(($J383*Z383)*$L383, "")</f>
        <v>0</v>
      </c>
      <c r="AN383" s="286" t="n">
        <f aca="false">IFERROR(SUMIF($AB$4:$AM$4, "RDEC", AB383:AM383), "")</f>
        <v>0</v>
      </c>
      <c r="AO383" s="286" t="n">
        <f aca="false">IFERROR(SUMIF($AB$4:$AM$4, "SME", AB383:AM383), "")</f>
        <v>0</v>
      </c>
      <c r="AP383" s="286" t="n">
        <f aca="false">IFERROR(SUMIF($AB$4:$AM$4, "De Minimis", AB383:AM383), "")</f>
        <v>0</v>
      </c>
      <c r="AQ383" s="283"/>
      <c r="AR383" s="284" t="n">
        <f aca="false">IFERROR(($J383*O383)*$M383, "")</f>
        <v>0</v>
      </c>
      <c r="AS383" s="284" t="n">
        <f aca="false">IFERROR(($J383*P383)*$M383, "")</f>
        <v>0</v>
      </c>
      <c r="AT383" s="284" t="n">
        <f aca="false">IFERROR(($J383*Q383)*$M383, "")</f>
        <v>0</v>
      </c>
      <c r="AU383" s="284" t="n">
        <f aca="false">IFERROR(($J383*R383)*$M383, "")</f>
        <v>0</v>
      </c>
      <c r="AV383" s="284" t="n">
        <f aca="false">IFERROR(($J383*S383)*$M383, "")</f>
        <v>0</v>
      </c>
      <c r="AW383" s="284" t="n">
        <f aca="false">IFERROR(($J383*T383)*$M383, "")</f>
        <v>0</v>
      </c>
      <c r="AX383" s="284" t="n">
        <f aca="false">IFERROR(($J383*U383)*$M383, "")</f>
        <v>0</v>
      </c>
      <c r="AY383" s="284" t="n">
        <f aca="false">IFERROR(($J383*V383)*$M383, "")</f>
        <v>0</v>
      </c>
      <c r="AZ383" s="284" t="n">
        <f aca="false">IFERROR(($J383*W383)*$M383, "")</f>
        <v>0</v>
      </c>
      <c r="BA383" s="284" t="n">
        <f aca="false">IFERROR(($J383*X383)*$M383, "")</f>
        <v>0</v>
      </c>
      <c r="BB383" s="284" t="n">
        <f aca="false">IFERROR(($J383*Y383)*$M383, "")</f>
        <v>0</v>
      </c>
      <c r="BC383" s="285" t="n">
        <f aca="false">IFERROR(($J383*Z383)*$M383, "")</f>
        <v>0</v>
      </c>
      <c r="BD383" s="286" t="n">
        <f aca="false">IFERROR(SUMIF($AB$4:$AM$4, "RDEC", AR383:BC383), "")</f>
        <v>0</v>
      </c>
      <c r="BE383" s="286" t="n">
        <f aca="false">IFERROR(SUMIF($AB$4:$AM$4, "SME", AR383:BC383), "")</f>
        <v>0</v>
      </c>
      <c r="BF383" s="286" t="n">
        <f aca="false">IFERROR(SUMIF($AB$4:$AM$4, "De Minimis", AR383:BC383), "")</f>
        <v>0</v>
      </c>
      <c r="BG383" s="287"/>
      <c r="BH383" s="288" t="str">
        <f aca="false">IF((SUM(O383:Z383)&gt;1),"ERROR","")</f>
        <v/>
      </c>
      <c r="BI383" s="287"/>
      <c r="BJ383" s="18" t="str">
        <f aca="false">IF(C369&gt;0, C369, "")</f>
        <v/>
      </c>
      <c r="BL383" s="200"/>
      <c r="BM383" s="200"/>
      <c r="BN383" s="200"/>
    </row>
    <row r="384" customFormat="false" ht="15" hidden="false" customHeight="true" outlineLevel="0" collapsed="false">
      <c r="B384" s="275"/>
      <c r="D384" s="276" t="n">
        <f aca="false">D368</f>
        <v>45536</v>
      </c>
      <c r="E384" s="277" t="n">
        <v>0</v>
      </c>
      <c r="F384" s="277" t="n">
        <v>0</v>
      </c>
      <c r="G384" s="277" t="n">
        <v>0</v>
      </c>
      <c r="H384" s="277" t="n">
        <v>0</v>
      </c>
      <c r="I384" s="277" t="n">
        <v>0</v>
      </c>
      <c r="J384" s="278" t="n">
        <f aca="false">E384+H384+I384</f>
        <v>0</v>
      </c>
      <c r="K384" s="204"/>
      <c r="L384" s="279" t="n">
        <v>1</v>
      </c>
      <c r="M384" s="280" t="n">
        <f aca="false">1-L384</f>
        <v>0</v>
      </c>
      <c r="N384" s="281"/>
      <c r="O384" s="282"/>
      <c r="P384" s="282"/>
      <c r="Q384" s="282"/>
      <c r="R384" s="282"/>
      <c r="S384" s="282"/>
      <c r="T384" s="282"/>
      <c r="U384" s="282"/>
      <c r="V384" s="282"/>
      <c r="W384" s="282"/>
      <c r="X384" s="282"/>
      <c r="Y384" s="282"/>
      <c r="Z384" s="282"/>
      <c r="AA384" s="283"/>
      <c r="AB384" s="284" t="n">
        <f aca="false">IFERROR(($J384*O384)*$L384, "")</f>
        <v>0</v>
      </c>
      <c r="AC384" s="284" t="n">
        <f aca="false">IFERROR(($J384*P384)*$L384, "")</f>
        <v>0</v>
      </c>
      <c r="AD384" s="284" t="n">
        <f aca="false">IFERROR(($J384*Q384)*$L384, "")</f>
        <v>0</v>
      </c>
      <c r="AE384" s="284" t="n">
        <f aca="false">IFERROR(($J384*R384)*$L384, "")</f>
        <v>0</v>
      </c>
      <c r="AF384" s="284" t="n">
        <f aca="false">IFERROR(($J384*S384)*$L384, "")</f>
        <v>0</v>
      </c>
      <c r="AG384" s="284" t="n">
        <f aca="false">IFERROR(($J384*T384)*$L384, "")</f>
        <v>0</v>
      </c>
      <c r="AH384" s="284" t="n">
        <f aca="false">IFERROR(($J384*U384)*$L384, "")</f>
        <v>0</v>
      </c>
      <c r="AI384" s="284" t="n">
        <f aca="false">IFERROR(($J384*V384)*$L384, "")</f>
        <v>0</v>
      </c>
      <c r="AJ384" s="284" t="n">
        <f aca="false">IFERROR(($J384*W384)*$L384, "")</f>
        <v>0</v>
      </c>
      <c r="AK384" s="284" t="n">
        <f aca="false">IFERROR(($J384*X384)*$L384, "")</f>
        <v>0</v>
      </c>
      <c r="AL384" s="284" t="n">
        <f aca="false">IFERROR(($J384*Y384)*$L384, "")</f>
        <v>0</v>
      </c>
      <c r="AM384" s="285" t="n">
        <f aca="false">IFERROR(($J384*Z384)*$L384, "")</f>
        <v>0</v>
      </c>
      <c r="AN384" s="286" t="n">
        <f aca="false">IFERROR(SUMIF($AB$4:$AM$4, "RDEC", AB384:AM384), "")</f>
        <v>0</v>
      </c>
      <c r="AO384" s="286" t="n">
        <f aca="false">IFERROR(SUMIF($AB$4:$AM$4, "SME", AB384:AM384), "")</f>
        <v>0</v>
      </c>
      <c r="AP384" s="286" t="n">
        <f aca="false">IFERROR(SUMIF($AB$4:$AM$4, "De Minimis", AB384:AM384), "")</f>
        <v>0</v>
      </c>
      <c r="AQ384" s="283"/>
      <c r="AR384" s="284" t="n">
        <f aca="false">IFERROR(($J384*O384)*$M384, "")</f>
        <v>0</v>
      </c>
      <c r="AS384" s="284" t="n">
        <f aca="false">IFERROR(($J384*P384)*$M384, "")</f>
        <v>0</v>
      </c>
      <c r="AT384" s="284" t="n">
        <f aca="false">IFERROR(($J384*Q384)*$M384, "")</f>
        <v>0</v>
      </c>
      <c r="AU384" s="284" t="n">
        <f aca="false">IFERROR(($J384*R384)*$M384, "")</f>
        <v>0</v>
      </c>
      <c r="AV384" s="284" t="n">
        <f aca="false">IFERROR(($J384*S384)*$M384, "")</f>
        <v>0</v>
      </c>
      <c r="AW384" s="284" t="n">
        <f aca="false">IFERROR(($J384*T384)*$M384, "")</f>
        <v>0</v>
      </c>
      <c r="AX384" s="284" t="n">
        <f aca="false">IFERROR(($J384*U384)*$M384, "")</f>
        <v>0</v>
      </c>
      <c r="AY384" s="284" t="n">
        <f aca="false">IFERROR(($J384*V384)*$M384, "")</f>
        <v>0</v>
      </c>
      <c r="AZ384" s="284" t="n">
        <f aca="false">IFERROR(($J384*W384)*$M384, "")</f>
        <v>0</v>
      </c>
      <c r="BA384" s="284" t="n">
        <f aca="false">IFERROR(($J384*X384)*$M384, "")</f>
        <v>0</v>
      </c>
      <c r="BB384" s="284" t="n">
        <f aca="false">IFERROR(($J384*Y384)*$M384, "")</f>
        <v>0</v>
      </c>
      <c r="BC384" s="285" t="n">
        <f aca="false">IFERROR(($J384*Z384)*$M384, "")</f>
        <v>0</v>
      </c>
      <c r="BD384" s="286" t="n">
        <f aca="false">IFERROR(SUMIF($AB$4:$AM$4, "RDEC", AR384:BC384), "")</f>
        <v>0</v>
      </c>
      <c r="BE384" s="286" t="n">
        <f aca="false">IFERROR(SUMIF($AB$4:$AM$4, "SME", AR384:BC384), "")</f>
        <v>0</v>
      </c>
      <c r="BF384" s="286" t="n">
        <f aca="false">IFERROR(SUMIF($AB$4:$AM$4, "De Minimis", AR384:BC384), "")</f>
        <v>0</v>
      </c>
      <c r="BG384" s="287"/>
      <c r="BH384" s="288" t="str">
        <f aca="false">IF((SUM(O384:Z384)&gt;1),"ERROR","")</f>
        <v/>
      </c>
      <c r="BI384" s="287"/>
      <c r="BJ384" s="18" t="str">
        <f aca="false">IF(C370&gt;0, C370, "")</f>
        <v/>
      </c>
      <c r="BL384" s="200"/>
      <c r="BM384" s="200"/>
      <c r="BN384" s="200"/>
    </row>
    <row r="385" customFormat="false" ht="15" hidden="false" customHeight="true" outlineLevel="0" collapsed="false">
      <c r="B385" s="275"/>
      <c r="D385" s="276" t="n">
        <f aca="false">D369</f>
        <v>45566</v>
      </c>
      <c r="E385" s="277" t="n">
        <v>0</v>
      </c>
      <c r="F385" s="277" t="n">
        <v>0</v>
      </c>
      <c r="G385" s="277" t="n">
        <v>0</v>
      </c>
      <c r="H385" s="277" t="n">
        <v>0</v>
      </c>
      <c r="I385" s="277" t="n">
        <v>0</v>
      </c>
      <c r="J385" s="278" t="n">
        <f aca="false">E385+H385+I385</f>
        <v>0</v>
      </c>
      <c r="K385" s="204"/>
      <c r="L385" s="279" t="n">
        <v>1</v>
      </c>
      <c r="M385" s="280" t="n">
        <f aca="false">1-L385</f>
        <v>0</v>
      </c>
      <c r="N385" s="281"/>
      <c r="O385" s="282"/>
      <c r="P385" s="282"/>
      <c r="Q385" s="282"/>
      <c r="R385" s="282"/>
      <c r="S385" s="282"/>
      <c r="T385" s="282"/>
      <c r="U385" s="282"/>
      <c r="V385" s="282"/>
      <c r="W385" s="282"/>
      <c r="X385" s="282"/>
      <c r="Y385" s="282"/>
      <c r="Z385" s="282"/>
      <c r="AA385" s="283"/>
      <c r="AB385" s="284" t="n">
        <f aca="false">IFERROR(($J385*O385)*$L385, "")</f>
        <v>0</v>
      </c>
      <c r="AC385" s="284" t="n">
        <f aca="false">IFERROR(($J385*P385)*$L385, "")</f>
        <v>0</v>
      </c>
      <c r="AD385" s="284" t="n">
        <f aca="false">IFERROR(($J385*Q385)*$L385, "")</f>
        <v>0</v>
      </c>
      <c r="AE385" s="284" t="n">
        <f aca="false">IFERROR(($J385*R385)*$L385, "")</f>
        <v>0</v>
      </c>
      <c r="AF385" s="284" t="n">
        <f aca="false">IFERROR(($J385*S385)*$L385, "")</f>
        <v>0</v>
      </c>
      <c r="AG385" s="284" t="n">
        <f aca="false">IFERROR(($J385*T385)*$L385, "")</f>
        <v>0</v>
      </c>
      <c r="AH385" s="284" t="n">
        <f aca="false">IFERROR(($J385*U385)*$L385, "")</f>
        <v>0</v>
      </c>
      <c r="AI385" s="284" t="n">
        <f aca="false">IFERROR(($J385*V385)*$L385, "")</f>
        <v>0</v>
      </c>
      <c r="AJ385" s="284" t="n">
        <f aca="false">IFERROR(($J385*W385)*$L385, "")</f>
        <v>0</v>
      </c>
      <c r="AK385" s="284" t="n">
        <f aca="false">IFERROR(($J385*X385)*$L385, "")</f>
        <v>0</v>
      </c>
      <c r="AL385" s="284" t="n">
        <f aca="false">IFERROR(($J385*Y385)*$L385, "")</f>
        <v>0</v>
      </c>
      <c r="AM385" s="285" t="n">
        <f aca="false">IFERROR(($J385*Z385)*$L385, "")</f>
        <v>0</v>
      </c>
      <c r="AN385" s="286" t="n">
        <f aca="false">IFERROR(SUMIF($AB$4:$AM$4, "RDEC", AB385:AM385), "")</f>
        <v>0</v>
      </c>
      <c r="AO385" s="286" t="n">
        <f aca="false">IFERROR(SUMIF($AB$4:$AM$4, "SME", AB385:AM385), "")</f>
        <v>0</v>
      </c>
      <c r="AP385" s="286" t="n">
        <f aca="false">IFERROR(SUMIF($AB$4:$AM$4, "De Minimis", AB385:AM385), "")</f>
        <v>0</v>
      </c>
      <c r="AQ385" s="283"/>
      <c r="AR385" s="284" t="n">
        <f aca="false">IFERROR(($J385*O385)*$M385, "")</f>
        <v>0</v>
      </c>
      <c r="AS385" s="284" t="n">
        <f aca="false">IFERROR(($J385*P385)*$M385, "")</f>
        <v>0</v>
      </c>
      <c r="AT385" s="284" t="n">
        <f aca="false">IFERROR(($J385*Q385)*$M385, "")</f>
        <v>0</v>
      </c>
      <c r="AU385" s="284" t="n">
        <f aca="false">IFERROR(($J385*R385)*$M385, "")</f>
        <v>0</v>
      </c>
      <c r="AV385" s="284" t="n">
        <f aca="false">IFERROR(($J385*S385)*$M385, "")</f>
        <v>0</v>
      </c>
      <c r="AW385" s="284" t="n">
        <f aca="false">IFERROR(($J385*T385)*$M385, "")</f>
        <v>0</v>
      </c>
      <c r="AX385" s="284" t="n">
        <f aca="false">IFERROR(($J385*U385)*$M385, "")</f>
        <v>0</v>
      </c>
      <c r="AY385" s="284" t="n">
        <f aca="false">IFERROR(($J385*V385)*$M385, "")</f>
        <v>0</v>
      </c>
      <c r="AZ385" s="284" t="n">
        <f aca="false">IFERROR(($J385*W385)*$M385, "")</f>
        <v>0</v>
      </c>
      <c r="BA385" s="284" t="n">
        <f aca="false">IFERROR(($J385*X385)*$M385, "")</f>
        <v>0</v>
      </c>
      <c r="BB385" s="284" t="n">
        <f aca="false">IFERROR(($J385*Y385)*$M385, "")</f>
        <v>0</v>
      </c>
      <c r="BC385" s="285" t="n">
        <f aca="false">IFERROR(($J385*Z385)*$M385, "")</f>
        <v>0</v>
      </c>
      <c r="BD385" s="286" t="n">
        <f aca="false">IFERROR(SUMIF($AB$4:$AM$4, "RDEC", AR385:BC385), "")</f>
        <v>0</v>
      </c>
      <c r="BE385" s="286" t="n">
        <f aca="false">IFERROR(SUMIF($AB$4:$AM$4, "SME", AR385:BC385), "")</f>
        <v>0</v>
      </c>
      <c r="BF385" s="286" t="n">
        <f aca="false">IFERROR(SUMIF($AB$4:$AM$4, "De Minimis", AR385:BC385), "")</f>
        <v>0</v>
      </c>
      <c r="BG385" s="287"/>
      <c r="BH385" s="288" t="str">
        <f aca="false">IF((SUM(O385:Z385)&gt;1),"ERROR","")</f>
        <v/>
      </c>
      <c r="BI385" s="287"/>
      <c r="BJ385" s="18" t="str">
        <f aca="false">IF(C371&gt;0, C371, "")</f>
        <v/>
      </c>
      <c r="BL385" s="200"/>
      <c r="BM385" s="200"/>
      <c r="BN385" s="200"/>
    </row>
    <row r="386" customFormat="false" ht="15" hidden="false" customHeight="true" outlineLevel="0" collapsed="false">
      <c r="B386" s="275"/>
      <c r="D386" s="276" t="n">
        <f aca="false">D370</f>
        <v>45597</v>
      </c>
      <c r="E386" s="277" t="n">
        <v>0</v>
      </c>
      <c r="F386" s="277" t="n">
        <v>0</v>
      </c>
      <c r="G386" s="277" t="n">
        <v>0</v>
      </c>
      <c r="H386" s="277" t="n">
        <v>0</v>
      </c>
      <c r="I386" s="277" t="n">
        <v>0</v>
      </c>
      <c r="J386" s="278" t="n">
        <f aca="false">E386+H386+I386</f>
        <v>0</v>
      </c>
      <c r="K386" s="204"/>
      <c r="L386" s="279" t="n">
        <v>1</v>
      </c>
      <c r="M386" s="280" t="n">
        <f aca="false">1-L386</f>
        <v>0</v>
      </c>
      <c r="N386" s="281"/>
      <c r="O386" s="282"/>
      <c r="P386" s="282"/>
      <c r="Q386" s="282"/>
      <c r="R386" s="282"/>
      <c r="S386" s="282"/>
      <c r="T386" s="282"/>
      <c r="U386" s="282"/>
      <c r="V386" s="282"/>
      <c r="W386" s="282"/>
      <c r="X386" s="282"/>
      <c r="Y386" s="282"/>
      <c r="Z386" s="282"/>
      <c r="AA386" s="283"/>
      <c r="AB386" s="284" t="n">
        <f aca="false">IFERROR(($J386*O386)*$L386, "")</f>
        <v>0</v>
      </c>
      <c r="AC386" s="284" t="n">
        <f aca="false">IFERROR(($J386*P386)*$L386, "")</f>
        <v>0</v>
      </c>
      <c r="AD386" s="284" t="n">
        <f aca="false">IFERROR(($J386*Q386)*$L386, "")</f>
        <v>0</v>
      </c>
      <c r="AE386" s="284" t="n">
        <f aca="false">IFERROR(($J386*R386)*$L386, "")</f>
        <v>0</v>
      </c>
      <c r="AF386" s="284" t="n">
        <f aca="false">IFERROR(($J386*S386)*$L386, "")</f>
        <v>0</v>
      </c>
      <c r="AG386" s="284" t="n">
        <f aca="false">IFERROR(($J386*T386)*$L386, "")</f>
        <v>0</v>
      </c>
      <c r="AH386" s="284" t="n">
        <f aca="false">IFERROR(($J386*U386)*$L386, "")</f>
        <v>0</v>
      </c>
      <c r="AI386" s="284" t="n">
        <f aca="false">IFERROR(($J386*V386)*$L386, "")</f>
        <v>0</v>
      </c>
      <c r="AJ386" s="284" t="n">
        <f aca="false">IFERROR(($J386*W386)*$L386, "")</f>
        <v>0</v>
      </c>
      <c r="AK386" s="284" t="n">
        <f aca="false">IFERROR(($J386*X386)*$L386, "")</f>
        <v>0</v>
      </c>
      <c r="AL386" s="284" t="n">
        <f aca="false">IFERROR(($J386*Y386)*$L386, "")</f>
        <v>0</v>
      </c>
      <c r="AM386" s="285" t="n">
        <f aca="false">IFERROR(($J386*Z386)*$L386, "")</f>
        <v>0</v>
      </c>
      <c r="AN386" s="286" t="n">
        <f aca="false">IFERROR(SUMIF($AB$4:$AM$4, "RDEC", AB386:AM386), "")</f>
        <v>0</v>
      </c>
      <c r="AO386" s="286" t="n">
        <f aca="false">IFERROR(SUMIF($AB$4:$AM$4, "SME", AB386:AM386), "")</f>
        <v>0</v>
      </c>
      <c r="AP386" s="286" t="n">
        <f aca="false">IFERROR(SUMIF($AB$4:$AM$4, "De Minimis", AB386:AM386), "")</f>
        <v>0</v>
      </c>
      <c r="AQ386" s="283"/>
      <c r="AR386" s="284" t="n">
        <f aca="false">IFERROR(($J386*O386)*$M386, "")</f>
        <v>0</v>
      </c>
      <c r="AS386" s="284" t="n">
        <f aca="false">IFERROR(($J386*P386)*$M386, "")</f>
        <v>0</v>
      </c>
      <c r="AT386" s="284" t="n">
        <f aca="false">IFERROR(($J386*Q386)*$M386, "")</f>
        <v>0</v>
      </c>
      <c r="AU386" s="284" t="n">
        <f aca="false">IFERROR(($J386*R386)*$M386, "")</f>
        <v>0</v>
      </c>
      <c r="AV386" s="284" t="n">
        <f aca="false">IFERROR(($J386*S386)*$M386, "")</f>
        <v>0</v>
      </c>
      <c r="AW386" s="284" t="n">
        <f aca="false">IFERROR(($J386*T386)*$M386, "")</f>
        <v>0</v>
      </c>
      <c r="AX386" s="284" t="n">
        <f aca="false">IFERROR(($J386*U386)*$M386, "")</f>
        <v>0</v>
      </c>
      <c r="AY386" s="284" t="n">
        <f aca="false">IFERROR(($J386*V386)*$M386, "")</f>
        <v>0</v>
      </c>
      <c r="AZ386" s="284" t="n">
        <f aca="false">IFERROR(($J386*W386)*$M386, "")</f>
        <v>0</v>
      </c>
      <c r="BA386" s="284" t="n">
        <f aca="false">IFERROR(($J386*X386)*$M386, "")</f>
        <v>0</v>
      </c>
      <c r="BB386" s="284" t="n">
        <f aca="false">IFERROR(($J386*Y386)*$M386, "")</f>
        <v>0</v>
      </c>
      <c r="BC386" s="285" t="n">
        <f aca="false">IFERROR(($J386*Z386)*$M386, "")</f>
        <v>0</v>
      </c>
      <c r="BD386" s="286" t="n">
        <f aca="false">IFERROR(SUMIF($AB$4:$AM$4, "RDEC", AR386:BC386), "")</f>
        <v>0</v>
      </c>
      <c r="BE386" s="286" t="n">
        <f aca="false">IFERROR(SUMIF($AB$4:$AM$4, "SME", AR386:BC386), "")</f>
        <v>0</v>
      </c>
      <c r="BF386" s="286" t="n">
        <f aca="false">IFERROR(SUMIF($AB$4:$AM$4, "De Minimis", AR386:BC386), "")</f>
        <v>0</v>
      </c>
      <c r="BG386" s="287"/>
      <c r="BH386" s="288" t="str">
        <f aca="false">IF((SUM(O386:Z386)&gt;1),"ERROR","")</f>
        <v/>
      </c>
      <c r="BI386" s="287"/>
      <c r="BJ386" s="18" t="str">
        <f aca="false">IF(C372&gt;0, C372, "")</f>
        <v/>
      </c>
      <c r="BL386" s="200"/>
      <c r="BM386" s="200"/>
      <c r="BN386" s="200"/>
    </row>
    <row r="387" customFormat="false" ht="15" hidden="false" customHeight="true" outlineLevel="0" collapsed="false">
      <c r="B387" s="275"/>
      <c r="D387" s="276" t="n">
        <f aca="false">D371</f>
        <v>45627</v>
      </c>
      <c r="E387" s="277" t="n">
        <v>0</v>
      </c>
      <c r="F387" s="277" t="n">
        <v>0</v>
      </c>
      <c r="G387" s="277" t="n">
        <v>0</v>
      </c>
      <c r="H387" s="277" t="n">
        <v>0</v>
      </c>
      <c r="I387" s="277" t="n">
        <v>0</v>
      </c>
      <c r="J387" s="278" t="n">
        <f aca="false">E387+H387+I387</f>
        <v>0</v>
      </c>
      <c r="K387" s="204"/>
      <c r="L387" s="289" t="n">
        <v>1</v>
      </c>
      <c r="M387" s="290" t="n">
        <f aca="false">1-L387</f>
        <v>0</v>
      </c>
      <c r="N387" s="281"/>
      <c r="O387" s="291"/>
      <c r="P387" s="291"/>
      <c r="Q387" s="291"/>
      <c r="R387" s="291"/>
      <c r="S387" s="291"/>
      <c r="T387" s="291"/>
      <c r="U387" s="291"/>
      <c r="V387" s="291"/>
      <c r="W387" s="291"/>
      <c r="X387" s="291"/>
      <c r="Y387" s="291"/>
      <c r="Z387" s="291"/>
      <c r="AA387" s="283"/>
      <c r="AB387" s="292" t="n">
        <f aca="false">IFERROR(($J387*O387)*$L387, "")</f>
        <v>0</v>
      </c>
      <c r="AC387" s="292" t="n">
        <f aca="false">IFERROR(($J387*P387)*$L387, "")</f>
        <v>0</v>
      </c>
      <c r="AD387" s="292" t="n">
        <f aca="false">IFERROR(($J387*Q387)*$L387, "")</f>
        <v>0</v>
      </c>
      <c r="AE387" s="292" t="n">
        <f aca="false">IFERROR(($J387*R387)*$L387, "")</f>
        <v>0</v>
      </c>
      <c r="AF387" s="292" t="n">
        <f aca="false">IFERROR(($J387*S387)*$L387, "")</f>
        <v>0</v>
      </c>
      <c r="AG387" s="292" t="n">
        <f aca="false">IFERROR(($J387*T387)*$L387, "")</f>
        <v>0</v>
      </c>
      <c r="AH387" s="292" t="n">
        <f aca="false">IFERROR(($J387*U387)*$L387, "")</f>
        <v>0</v>
      </c>
      <c r="AI387" s="292" t="n">
        <f aca="false">IFERROR(($J387*V387)*$L387, "")</f>
        <v>0</v>
      </c>
      <c r="AJ387" s="292" t="n">
        <f aca="false">IFERROR(($J387*W387)*$L387, "")</f>
        <v>0</v>
      </c>
      <c r="AK387" s="292" t="n">
        <f aca="false">IFERROR(($J387*X387)*$L387, "")</f>
        <v>0</v>
      </c>
      <c r="AL387" s="292" t="n">
        <f aca="false">IFERROR(($J387*Y387)*$L387, "")</f>
        <v>0</v>
      </c>
      <c r="AM387" s="293" t="n">
        <f aca="false">IFERROR(($J387*Z387)*$L387, "")</f>
        <v>0</v>
      </c>
      <c r="AN387" s="294" t="n">
        <f aca="false">IFERROR(SUMIF($AB$4:$AM$4, "RDEC", AB387:AM387), "")</f>
        <v>0</v>
      </c>
      <c r="AO387" s="294" t="n">
        <f aca="false">IFERROR(SUMIF($AB$4:$AM$4, "SME", AB387:AM387), "")</f>
        <v>0</v>
      </c>
      <c r="AP387" s="294" t="n">
        <f aca="false">IFERROR(SUMIF($AB$4:$AM$4, "De Minimis", AB387:AM387), "")</f>
        <v>0</v>
      </c>
      <c r="AQ387" s="283"/>
      <c r="AR387" s="292" t="n">
        <f aca="false">IFERROR(($J387*O387)*$M387, "")</f>
        <v>0</v>
      </c>
      <c r="AS387" s="292" t="n">
        <f aca="false">IFERROR(($J387*P387)*$M387, "")</f>
        <v>0</v>
      </c>
      <c r="AT387" s="292" t="n">
        <f aca="false">IFERROR(($J387*Q387)*$M387, "")</f>
        <v>0</v>
      </c>
      <c r="AU387" s="292" t="n">
        <f aca="false">IFERROR(($J387*R387)*$M387, "")</f>
        <v>0</v>
      </c>
      <c r="AV387" s="292" t="n">
        <f aca="false">IFERROR(($J387*S387)*$M387, "")</f>
        <v>0</v>
      </c>
      <c r="AW387" s="292" t="n">
        <f aca="false">IFERROR(($J387*T387)*$M387, "")</f>
        <v>0</v>
      </c>
      <c r="AX387" s="292" t="n">
        <f aca="false">IFERROR(($J387*U387)*$M387, "")</f>
        <v>0</v>
      </c>
      <c r="AY387" s="292" t="n">
        <f aca="false">IFERROR(($J387*V387)*$M387, "")</f>
        <v>0</v>
      </c>
      <c r="AZ387" s="292" t="n">
        <f aca="false">IFERROR(($J387*W387)*$M387, "")</f>
        <v>0</v>
      </c>
      <c r="BA387" s="292" t="n">
        <f aca="false">IFERROR(($J387*X387)*$M387, "")</f>
        <v>0</v>
      </c>
      <c r="BB387" s="292" t="n">
        <f aca="false">IFERROR(($J387*Y387)*$M387, "")</f>
        <v>0</v>
      </c>
      <c r="BC387" s="293" t="n">
        <f aca="false">IFERROR(($J387*Z387)*$M387, "")</f>
        <v>0</v>
      </c>
      <c r="BD387" s="294" t="n">
        <f aca="false">IFERROR(SUMIF($AB$4:$AM$4, "RDEC", AR387:BC387), "")</f>
        <v>0</v>
      </c>
      <c r="BE387" s="294" t="n">
        <f aca="false">IFERROR(SUMIF($AB$4:$AM$4, "SME", AR387:BC387), "")</f>
        <v>0</v>
      </c>
      <c r="BF387" s="294" t="n">
        <f aca="false">IFERROR(SUMIF($AB$4:$AM$4, "De Minimis", AR387:BC387), "")</f>
        <v>0</v>
      </c>
      <c r="BG387" s="287"/>
      <c r="BH387" s="295" t="str">
        <f aca="false">IF((SUM(O387:Z387)&gt;1),"ERROR","")</f>
        <v/>
      </c>
      <c r="BI387" s="287"/>
      <c r="BJ387" s="18" t="str">
        <f aca="false">IF(C373&gt;0, C373, "")</f>
        <v/>
      </c>
      <c r="BL387" s="200"/>
      <c r="BM387" s="200"/>
      <c r="BN387" s="200"/>
    </row>
    <row r="388" customFormat="false" ht="15" hidden="false" customHeight="true" outlineLevel="0" collapsed="false">
      <c r="B388" s="296"/>
      <c r="D388" s="297" t="s">
        <v>82</v>
      </c>
      <c r="E388" s="298" t="n">
        <f aca="false">SUM(E376:E387)</f>
        <v>0</v>
      </c>
      <c r="F388" s="298" t="n">
        <f aca="false">SUM(F376:F387)</f>
        <v>0</v>
      </c>
      <c r="G388" s="298" t="n">
        <f aca="false">SUM(G376:G387)</f>
        <v>0</v>
      </c>
      <c r="H388" s="298" t="n">
        <f aca="false">SUM(H376:H387)</f>
        <v>0</v>
      </c>
      <c r="I388" s="298" t="n">
        <f aca="false">SUM(I376:I387)</f>
        <v>0</v>
      </c>
      <c r="J388" s="299" t="n">
        <f aca="false">SUM(J376:J387)</f>
        <v>0</v>
      </c>
      <c r="K388" s="300"/>
      <c r="L388" s="301" t="n">
        <f aca="false">AVERAGE(L376:L387)</f>
        <v>1</v>
      </c>
      <c r="M388" s="301" t="n">
        <f aca="false">AVERAGE(M376:M387)</f>
        <v>0</v>
      </c>
      <c r="N388" s="302"/>
      <c r="O388" s="290" t="n">
        <f aca="false">IF(SUM(O376:O387)&gt;0,((AB388+AR388)/J388),0)</f>
        <v>0</v>
      </c>
      <c r="P388" s="290" t="n">
        <f aca="false">IF(SUM(P376:P387)&gt;0,((AC388+AS388)/J388),0)</f>
        <v>0</v>
      </c>
      <c r="Q388" s="290" t="n">
        <f aca="false">IF(SUM(Q376:Q387)&gt;0,((AD388+AT388)/J388),0)</f>
        <v>0</v>
      </c>
      <c r="R388" s="290" t="n">
        <f aca="false">IF(SUM(R376:R387)&gt;0,((AE388+AU388)/J388),0)</f>
        <v>0</v>
      </c>
      <c r="S388" s="290" t="n">
        <f aca="false">IF(SUM(S376:S387)&gt;0,((AF388+AV388)/J388),0)</f>
        <v>0</v>
      </c>
      <c r="T388" s="290" t="n">
        <f aca="false">IF(SUM(T376:T387)&gt;0,((AG388+AW388)/J388),0)</f>
        <v>0</v>
      </c>
      <c r="U388" s="290" t="n">
        <f aca="false">IF(SUM(U376:U387)&gt;0,((AH388+AX388)/J388),0)</f>
        <v>0</v>
      </c>
      <c r="V388" s="290" t="n">
        <f aca="false">IF(SUM(V376:V387)&gt;0,((AI388+AY388)/J388),0)</f>
        <v>0</v>
      </c>
      <c r="W388" s="290" t="n">
        <f aca="false">IF(SUM(W376:W387)&gt;0,((AJ388+AZ388)/J388),0)</f>
        <v>0</v>
      </c>
      <c r="X388" s="290" t="n">
        <f aca="false">IF(SUM(X376:X387)&gt;0,((AK388+BA388)/J388),0)</f>
        <v>0</v>
      </c>
      <c r="Y388" s="290" t="n">
        <f aca="false">IF(SUM(Y376:Y387)&gt;0,((AL388+BB388)/J388),0)</f>
        <v>0</v>
      </c>
      <c r="Z388" s="290" t="n">
        <f aca="false">IF(SUM(Z376:Z387)&gt;0,((AM388+BC388)/J388),0)</f>
        <v>0</v>
      </c>
      <c r="AA388" s="303"/>
      <c r="AB388" s="292" t="n">
        <f aca="false">SUM(AB376:AB387)</f>
        <v>0</v>
      </c>
      <c r="AC388" s="304" t="n">
        <f aca="false">SUM(AC376:AC387)</f>
        <v>0</v>
      </c>
      <c r="AD388" s="304" t="n">
        <f aca="false">SUM(AD376:AD387)</f>
        <v>0</v>
      </c>
      <c r="AE388" s="304" t="n">
        <f aca="false">SUM(AE376:AE387)</f>
        <v>0</v>
      </c>
      <c r="AF388" s="304" t="n">
        <f aca="false">SUM(AF376:AF387)</f>
        <v>0</v>
      </c>
      <c r="AG388" s="304" t="n">
        <f aca="false">SUM(AG376:AG387)</f>
        <v>0</v>
      </c>
      <c r="AH388" s="304" t="n">
        <f aca="false">SUM(AH376:AH387)</f>
        <v>0</v>
      </c>
      <c r="AI388" s="304" t="n">
        <f aca="false">SUM(AI376:AI387)</f>
        <v>0</v>
      </c>
      <c r="AJ388" s="304" t="n">
        <f aca="false">SUM(AJ376:AJ387)</f>
        <v>0</v>
      </c>
      <c r="AK388" s="304" t="n">
        <f aca="false">SUM(AK376:AK387)</f>
        <v>0</v>
      </c>
      <c r="AL388" s="304" t="n">
        <f aca="false">SUM(AL376:AL387)</f>
        <v>0</v>
      </c>
      <c r="AM388" s="304" t="n">
        <f aca="false">SUM(AM376:AM387)</f>
        <v>0</v>
      </c>
      <c r="AN388" s="305" t="n">
        <f aca="false">SUM(AN376:AN387)</f>
        <v>0</v>
      </c>
      <c r="AO388" s="305" t="n">
        <f aca="false">SUM(AO376:AO387)</f>
        <v>0</v>
      </c>
      <c r="AP388" s="305" t="n">
        <f aca="false">SUM(AP376:AP387)</f>
        <v>0</v>
      </c>
      <c r="AQ388" s="303"/>
      <c r="AR388" s="292" t="n">
        <f aca="false">SUM(AR376:AR387)</f>
        <v>0</v>
      </c>
      <c r="AS388" s="304" t="n">
        <f aca="false">SUM(AS376:AS387)</f>
        <v>0</v>
      </c>
      <c r="AT388" s="304" t="n">
        <f aca="false">SUM(AT376:AT387)</f>
        <v>0</v>
      </c>
      <c r="AU388" s="304" t="n">
        <f aca="false">SUM(AU376:AU387)</f>
        <v>0</v>
      </c>
      <c r="AV388" s="304" t="n">
        <f aca="false">SUM(AV376:AV387)</f>
        <v>0</v>
      </c>
      <c r="AW388" s="304" t="n">
        <f aca="false">SUM(AW376:AW387)</f>
        <v>0</v>
      </c>
      <c r="AX388" s="304" t="n">
        <f aca="false">SUM(AX376:AX387)</f>
        <v>0</v>
      </c>
      <c r="AY388" s="304" t="n">
        <f aca="false">SUM(AY376:AY387)</f>
        <v>0</v>
      </c>
      <c r="AZ388" s="304" t="n">
        <f aca="false">SUM(AZ376:AZ387)</f>
        <v>0</v>
      </c>
      <c r="BA388" s="304" t="n">
        <f aca="false">SUM(BA376:BA387)</f>
        <v>0</v>
      </c>
      <c r="BB388" s="304" t="n">
        <f aca="false">SUM(BB376:BB387)</f>
        <v>0</v>
      </c>
      <c r="BC388" s="304" t="n">
        <f aca="false">SUM(BC376:BC387)</f>
        <v>0</v>
      </c>
      <c r="BD388" s="305" t="n">
        <f aca="false">SUM(BD376:BD387)</f>
        <v>0</v>
      </c>
      <c r="BE388" s="305" t="n">
        <f aca="false">SUM(BE376:BE387)</f>
        <v>0</v>
      </c>
      <c r="BF388" s="305" t="n">
        <f aca="false">SUM(BF376:BF387)</f>
        <v>0</v>
      </c>
      <c r="BG388" s="303"/>
      <c r="BH388" s="306"/>
      <c r="BI388" s="303"/>
      <c r="BJ388" s="307" t="str">
        <f aca="false">IF(C374&gt;0, C374, "")</f>
        <v>TBA</v>
      </c>
      <c r="BK388" s="18" t="s">
        <v>234</v>
      </c>
      <c r="BL388" s="200" t="n">
        <f aca="false">IF($BK388="Y",J388,0)</f>
        <v>0</v>
      </c>
      <c r="BM388" s="200" t="n">
        <f aca="false">IF(BK388="Y", AN388,0)</f>
        <v>0</v>
      </c>
      <c r="BN388" s="200" t="n">
        <f aca="false">IF((BK388="Y"),AO388,0)</f>
        <v>0</v>
      </c>
    </row>
    <row r="389" customFormat="false" ht="15" hidden="false" customHeight="true" outlineLevel="0" collapsed="false">
      <c r="B389" s="296"/>
      <c r="D389" s="297"/>
      <c r="E389" s="277"/>
      <c r="F389" s="277"/>
      <c r="G389" s="277"/>
      <c r="H389" s="277"/>
      <c r="I389" s="277"/>
      <c r="J389" s="300"/>
      <c r="K389" s="300"/>
      <c r="L389" s="302"/>
      <c r="M389" s="302"/>
      <c r="N389" s="302"/>
      <c r="O389" s="308"/>
      <c r="P389" s="308"/>
      <c r="Q389" s="308"/>
      <c r="R389" s="308"/>
      <c r="S389" s="308"/>
      <c r="T389" s="308"/>
      <c r="U389" s="308"/>
      <c r="V389" s="308"/>
      <c r="W389" s="308"/>
      <c r="X389" s="308"/>
      <c r="Y389" s="308"/>
      <c r="Z389" s="308"/>
      <c r="AA389" s="303"/>
      <c r="AB389" s="303"/>
      <c r="AC389" s="303"/>
      <c r="AD389" s="303"/>
      <c r="AE389" s="303"/>
      <c r="AF389" s="303"/>
      <c r="AG389" s="303"/>
      <c r="AH389" s="303"/>
      <c r="AI389" s="303"/>
      <c r="AJ389" s="303"/>
      <c r="AK389" s="303"/>
      <c r="AL389" s="303"/>
      <c r="AM389" s="303"/>
      <c r="AN389" s="303"/>
      <c r="AO389" s="303"/>
      <c r="AP389" s="303"/>
      <c r="AQ389" s="303"/>
      <c r="AR389" s="303"/>
      <c r="AS389" s="303"/>
      <c r="AT389" s="303"/>
      <c r="AU389" s="303"/>
      <c r="AV389" s="303"/>
      <c r="AW389" s="303"/>
      <c r="AX389" s="303"/>
      <c r="AY389" s="303"/>
      <c r="AZ389" s="303"/>
      <c r="BA389" s="303"/>
      <c r="BB389" s="303"/>
      <c r="BC389" s="303"/>
      <c r="BD389" s="303"/>
      <c r="BE389" s="303"/>
      <c r="BF389" s="303"/>
      <c r="BG389" s="303"/>
      <c r="BH389" s="303"/>
      <c r="BI389" s="303"/>
      <c r="BJ389" s="307" t="str">
        <f aca="false">IF(C376&gt;0, C376, "")</f>
        <v/>
      </c>
      <c r="BL389" s="200"/>
      <c r="BM389" s="200"/>
      <c r="BN389" s="200"/>
    </row>
    <row r="390" customFormat="false" ht="15" hidden="false" customHeight="true" outlineLevel="0" collapsed="false">
      <c r="A390" s="198" t="n">
        <f aca="false">A374+1</f>
        <v>25</v>
      </c>
      <c r="B390" s="266" t="s">
        <v>253</v>
      </c>
      <c r="C390" s="266" t="s">
        <v>253</v>
      </c>
      <c r="D390" s="267"/>
      <c r="E390" s="242"/>
      <c r="F390" s="242"/>
      <c r="G390" s="242"/>
      <c r="H390" s="242"/>
      <c r="I390" s="242"/>
      <c r="J390" s="241"/>
      <c r="K390" s="241"/>
      <c r="L390" s="241"/>
      <c r="M390" s="241"/>
      <c r="N390" s="241"/>
      <c r="O390" s="268"/>
      <c r="P390" s="268"/>
      <c r="Q390" s="268"/>
      <c r="R390" s="268"/>
      <c r="S390" s="268"/>
      <c r="T390" s="268"/>
      <c r="U390" s="268"/>
      <c r="V390" s="268"/>
      <c r="W390" s="268"/>
      <c r="X390" s="268"/>
      <c r="Y390" s="268"/>
      <c r="Z390" s="268"/>
      <c r="AA390" s="268"/>
      <c r="AB390" s="268"/>
      <c r="AC390" s="268"/>
      <c r="AD390" s="268"/>
      <c r="AE390" s="268"/>
      <c r="AF390" s="268"/>
      <c r="AG390" s="268"/>
      <c r="AH390" s="268"/>
      <c r="AI390" s="268"/>
      <c r="AJ390" s="268"/>
      <c r="AK390" s="268"/>
      <c r="AL390" s="268"/>
      <c r="AM390" s="268"/>
      <c r="AN390" s="268"/>
      <c r="AO390" s="268"/>
      <c r="AP390" s="268"/>
      <c r="AQ390" s="268"/>
      <c r="AR390" s="268"/>
      <c r="AS390" s="268"/>
      <c r="AT390" s="268"/>
      <c r="AU390" s="268"/>
      <c r="AV390" s="268"/>
      <c r="AW390" s="268"/>
      <c r="AX390" s="268"/>
      <c r="AY390" s="268"/>
      <c r="AZ390" s="268"/>
      <c r="BA390" s="268"/>
      <c r="BB390" s="268"/>
      <c r="BC390" s="268"/>
      <c r="BD390" s="268"/>
      <c r="BE390" s="268"/>
      <c r="BF390" s="268"/>
      <c r="BG390" s="268"/>
      <c r="BH390" s="268"/>
      <c r="BI390" s="268"/>
      <c r="BJ390" s="18" t="str">
        <f aca="false">IF(C377&gt;0, C377, "")</f>
        <v/>
      </c>
      <c r="BL390" s="200"/>
      <c r="BM390" s="200"/>
      <c r="BN390" s="200"/>
    </row>
    <row r="391" customFormat="false" ht="7.5" hidden="false" customHeight="true" outlineLevel="0" collapsed="false">
      <c r="A391" s="198"/>
      <c r="B391" s="266"/>
      <c r="C391" s="266"/>
      <c r="D391" s="267"/>
      <c r="E391" s="242"/>
      <c r="F391" s="242"/>
      <c r="G391" s="242"/>
      <c r="H391" s="242"/>
      <c r="I391" s="242"/>
      <c r="J391" s="241"/>
      <c r="K391" s="241"/>
      <c r="L391" s="269"/>
      <c r="M391" s="269"/>
      <c r="N391" s="270"/>
      <c r="O391" s="269"/>
      <c r="P391" s="269"/>
      <c r="Q391" s="269"/>
      <c r="R391" s="269"/>
      <c r="S391" s="269"/>
      <c r="T391" s="269"/>
      <c r="U391" s="269"/>
      <c r="V391" s="269"/>
      <c r="W391" s="269"/>
      <c r="X391" s="269"/>
      <c r="Y391" s="269"/>
      <c r="Z391" s="269"/>
      <c r="AA391" s="268"/>
      <c r="AB391" s="271"/>
      <c r="AC391" s="271"/>
      <c r="AD391" s="271"/>
      <c r="AE391" s="271"/>
      <c r="AF391" s="271"/>
      <c r="AG391" s="271"/>
      <c r="AH391" s="271"/>
      <c r="AI391" s="271"/>
      <c r="AJ391" s="271"/>
      <c r="AK391" s="271"/>
      <c r="AL391" s="271"/>
      <c r="AM391" s="272"/>
      <c r="AN391" s="273"/>
      <c r="AO391" s="273"/>
      <c r="AP391" s="273"/>
      <c r="AQ391" s="268"/>
      <c r="AR391" s="271"/>
      <c r="AS391" s="271"/>
      <c r="AT391" s="271"/>
      <c r="AU391" s="271"/>
      <c r="AV391" s="271"/>
      <c r="AW391" s="271"/>
      <c r="AX391" s="271"/>
      <c r="AY391" s="271"/>
      <c r="AZ391" s="271"/>
      <c r="BA391" s="271"/>
      <c r="BB391" s="271"/>
      <c r="BC391" s="272"/>
      <c r="BD391" s="273"/>
      <c r="BE391" s="273"/>
      <c r="BF391" s="273"/>
      <c r="BG391" s="268"/>
      <c r="BH391" s="274"/>
      <c r="BI391" s="268"/>
      <c r="BL391" s="200"/>
      <c r="BM391" s="200"/>
      <c r="BN391" s="200"/>
    </row>
    <row r="392" customFormat="false" ht="15" hidden="false" customHeight="true" outlineLevel="0" collapsed="false">
      <c r="B392" s="275"/>
      <c r="D392" s="276" t="n">
        <f aca="false">D376</f>
        <v>45292</v>
      </c>
      <c r="E392" s="277" t="n">
        <v>0</v>
      </c>
      <c r="F392" s="277" t="n">
        <v>0</v>
      </c>
      <c r="G392" s="277" t="n">
        <v>0</v>
      </c>
      <c r="H392" s="277" t="n">
        <v>0</v>
      </c>
      <c r="I392" s="277" t="n">
        <v>0</v>
      </c>
      <c r="J392" s="278" t="n">
        <f aca="false">E392+H392+I392</f>
        <v>0</v>
      </c>
      <c r="K392" s="204"/>
      <c r="L392" s="279" t="n">
        <v>1</v>
      </c>
      <c r="M392" s="280" t="n">
        <f aca="false">1-L392</f>
        <v>0</v>
      </c>
      <c r="N392" s="281"/>
      <c r="O392" s="282"/>
      <c r="P392" s="282"/>
      <c r="Q392" s="282"/>
      <c r="R392" s="282"/>
      <c r="S392" s="282"/>
      <c r="T392" s="282"/>
      <c r="U392" s="282"/>
      <c r="V392" s="282"/>
      <c r="W392" s="282"/>
      <c r="X392" s="282"/>
      <c r="Y392" s="282"/>
      <c r="Z392" s="282"/>
      <c r="AA392" s="283"/>
      <c r="AB392" s="284" t="n">
        <f aca="false">IFERROR(($J392*O392)*$L392, "")</f>
        <v>0</v>
      </c>
      <c r="AC392" s="284" t="n">
        <f aca="false">IFERROR(($J392*P392)*$L392, "")</f>
        <v>0</v>
      </c>
      <c r="AD392" s="284" t="n">
        <f aca="false">IFERROR(($J392*Q392)*$L392, "")</f>
        <v>0</v>
      </c>
      <c r="AE392" s="284" t="n">
        <f aca="false">IFERROR(($J392*R392)*$L392, "")</f>
        <v>0</v>
      </c>
      <c r="AF392" s="284" t="n">
        <f aca="false">IFERROR(($J392*S392)*$L392, "")</f>
        <v>0</v>
      </c>
      <c r="AG392" s="284" t="n">
        <f aca="false">IFERROR(($J392*T392)*$L392, "")</f>
        <v>0</v>
      </c>
      <c r="AH392" s="284" t="n">
        <f aca="false">IFERROR(($J392*U392)*$L392, "")</f>
        <v>0</v>
      </c>
      <c r="AI392" s="284" t="n">
        <f aca="false">IFERROR(($J392*V392)*$L392, "")</f>
        <v>0</v>
      </c>
      <c r="AJ392" s="284" t="n">
        <f aca="false">IFERROR(($J392*W392)*$L392, "")</f>
        <v>0</v>
      </c>
      <c r="AK392" s="284" t="n">
        <f aca="false">IFERROR(($J392*X392)*$L392, "")</f>
        <v>0</v>
      </c>
      <c r="AL392" s="284" t="n">
        <f aca="false">IFERROR(($J392*Y392)*$L392, "")</f>
        <v>0</v>
      </c>
      <c r="AM392" s="285" t="n">
        <f aca="false">IFERROR(($J392*Z392)*$L392, "")</f>
        <v>0</v>
      </c>
      <c r="AN392" s="286" t="n">
        <f aca="false">IFERROR(SUMIF($AB$4:$AM$4, "RDEC", AB392:AM392), "")</f>
        <v>0</v>
      </c>
      <c r="AO392" s="286" t="n">
        <f aca="false">IFERROR(SUMIF($AB$4:$AM$4, "SME", AB392:AM392), "")</f>
        <v>0</v>
      </c>
      <c r="AP392" s="286" t="n">
        <f aca="false">IFERROR(SUMIF($AB$4:$AM$4, "De Minimis", AB392:AM392), "")</f>
        <v>0</v>
      </c>
      <c r="AQ392" s="283"/>
      <c r="AR392" s="284" t="n">
        <f aca="false">IFERROR(($J392*O392)*$M392, "")</f>
        <v>0</v>
      </c>
      <c r="AS392" s="284" t="n">
        <f aca="false">IFERROR(($J392*P392)*$M392, "")</f>
        <v>0</v>
      </c>
      <c r="AT392" s="284" t="n">
        <f aca="false">IFERROR(($J392*Q392)*$M392, "")</f>
        <v>0</v>
      </c>
      <c r="AU392" s="284" t="n">
        <f aca="false">IFERROR(($J392*R392)*$M392, "")</f>
        <v>0</v>
      </c>
      <c r="AV392" s="284" t="n">
        <f aca="false">IFERROR(($J392*S392)*$M392, "")</f>
        <v>0</v>
      </c>
      <c r="AW392" s="284" t="n">
        <f aca="false">IFERROR(($J392*T392)*$M392, "")</f>
        <v>0</v>
      </c>
      <c r="AX392" s="284" t="n">
        <f aca="false">IFERROR(($J392*U392)*$M392, "")</f>
        <v>0</v>
      </c>
      <c r="AY392" s="284" t="n">
        <f aca="false">IFERROR(($J392*V392)*$M392, "")</f>
        <v>0</v>
      </c>
      <c r="AZ392" s="284" t="n">
        <f aca="false">IFERROR(($J392*W392)*$M392, "")</f>
        <v>0</v>
      </c>
      <c r="BA392" s="284" t="n">
        <f aca="false">IFERROR(($J392*X392)*$M392, "")</f>
        <v>0</v>
      </c>
      <c r="BB392" s="284" t="n">
        <f aca="false">IFERROR(($J392*Y392)*$M392, "")</f>
        <v>0</v>
      </c>
      <c r="BC392" s="285" t="n">
        <f aca="false">IFERROR(($J392*Z392)*$M392, "")</f>
        <v>0</v>
      </c>
      <c r="BD392" s="286" t="n">
        <f aca="false">IFERROR(SUMIF($AB$4:$AM$4, "RDEC", AR392:BC392), "")</f>
        <v>0</v>
      </c>
      <c r="BE392" s="286" t="n">
        <f aca="false">IFERROR(SUMIF($AB$4:$AM$4, "SME", AR392:BC392), "")</f>
        <v>0</v>
      </c>
      <c r="BF392" s="286" t="n">
        <f aca="false">IFERROR(SUMIF($AB$4:$AM$4, "De Minimis", AR392:BC392), "")</f>
        <v>0</v>
      </c>
      <c r="BG392" s="287"/>
      <c r="BH392" s="288" t="str">
        <f aca="false">IF((SUM(O392:Z392)&gt;1),"ERROR","")</f>
        <v/>
      </c>
      <c r="BI392" s="287"/>
      <c r="BJ392" s="18" t="str">
        <f aca="false">IF(C378&gt;0, C378, "")</f>
        <v/>
      </c>
      <c r="BL392" s="200"/>
      <c r="BM392" s="200"/>
      <c r="BN392" s="200"/>
    </row>
    <row r="393" customFormat="false" ht="15" hidden="false" customHeight="true" outlineLevel="0" collapsed="false">
      <c r="B393" s="275"/>
      <c r="D393" s="276" t="n">
        <f aca="false">D377</f>
        <v>45323</v>
      </c>
      <c r="E393" s="277" t="n">
        <v>0</v>
      </c>
      <c r="F393" s="277" t="n">
        <v>0</v>
      </c>
      <c r="G393" s="277" t="n">
        <v>0</v>
      </c>
      <c r="H393" s="277" t="n">
        <v>0</v>
      </c>
      <c r="I393" s="277" t="n">
        <v>0</v>
      </c>
      <c r="J393" s="278" t="n">
        <f aca="false">E393+H393+I393</f>
        <v>0</v>
      </c>
      <c r="K393" s="204"/>
      <c r="L393" s="279" t="n">
        <v>1</v>
      </c>
      <c r="M393" s="280" t="n">
        <f aca="false">1-L393</f>
        <v>0</v>
      </c>
      <c r="N393" s="281"/>
      <c r="O393" s="282"/>
      <c r="P393" s="282"/>
      <c r="Q393" s="282"/>
      <c r="R393" s="282"/>
      <c r="S393" s="282"/>
      <c r="T393" s="282"/>
      <c r="U393" s="282"/>
      <c r="V393" s="282"/>
      <c r="W393" s="282"/>
      <c r="X393" s="282"/>
      <c r="Y393" s="282"/>
      <c r="Z393" s="282"/>
      <c r="AA393" s="283"/>
      <c r="AB393" s="284" t="n">
        <f aca="false">IFERROR(($J393*O393)*$L393, "")</f>
        <v>0</v>
      </c>
      <c r="AC393" s="284" t="n">
        <f aca="false">IFERROR(($J393*P393)*$L393, "")</f>
        <v>0</v>
      </c>
      <c r="AD393" s="284" t="n">
        <f aca="false">IFERROR(($J393*Q393)*$L393, "")</f>
        <v>0</v>
      </c>
      <c r="AE393" s="284" t="n">
        <f aca="false">IFERROR(($J393*R393)*$L393, "")</f>
        <v>0</v>
      </c>
      <c r="AF393" s="284" t="n">
        <f aca="false">IFERROR(($J393*S393)*$L393, "")</f>
        <v>0</v>
      </c>
      <c r="AG393" s="284" t="n">
        <f aca="false">IFERROR(($J393*T393)*$L393, "")</f>
        <v>0</v>
      </c>
      <c r="AH393" s="284" t="n">
        <f aca="false">IFERROR(($J393*U393)*$L393, "")</f>
        <v>0</v>
      </c>
      <c r="AI393" s="284" t="n">
        <f aca="false">IFERROR(($J393*V393)*$L393, "")</f>
        <v>0</v>
      </c>
      <c r="AJ393" s="284" t="n">
        <f aca="false">IFERROR(($J393*W393)*$L393, "")</f>
        <v>0</v>
      </c>
      <c r="AK393" s="284" t="n">
        <f aca="false">IFERROR(($J393*X393)*$L393, "")</f>
        <v>0</v>
      </c>
      <c r="AL393" s="284" t="n">
        <f aca="false">IFERROR(($J393*Y393)*$L393, "")</f>
        <v>0</v>
      </c>
      <c r="AM393" s="285" t="n">
        <f aca="false">IFERROR(($J393*Z393)*$L393, "")</f>
        <v>0</v>
      </c>
      <c r="AN393" s="286" t="n">
        <f aca="false">IFERROR(SUMIF($AB$4:$AM$4, "RDEC", AB393:AM393), "")</f>
        <v>0</v>
      </c>
      <c r="AO393" s="286" t="n">
        <f aca="false">IFERROR(SUMIF($AB$4:$AM$4, "SME", AB393:AM393), "")</f>
        <v>0</v>
      </c>
      <c r="AP393" s="286" t="n">
        <f aca="false">IFERROR(SUMIF($AB$4:$AM$4, "De Minimis", AB393:AM393), "")</f>
        <v>0</v>
      </c>
      <c r="AQ393" s="283"/>
      <c r="AR393" s="284" t="n">
        <f aca="false">IFERROR(($J393*O393)*$M393, "")</f>
        <v>0</v>
      </c>
      <c r="AS393" s="284" t="n">
        <f aca="false">IFERROR(($J393*P393)*$M393, "")</f>
        <v>0</v>
      </c>
      <c r="AT393" s="284" t="n">
        <f aca="false">IFERROR(($J393*Q393)*$M393, "")</f>
        <v>0</v>
      </c>
      <c r="AU393" s="284" t="n">
        <f aca="false">IFERROR(($J393*R393)*$M393, "")</f>
        <v>0</v>
      </c>
      <c r="AV393" s="284" t="n">
        <f aca="false">IFERROR(($J393*S393)*$M393, "")</f>
        <v>0</v>
      </c>
      <c r="AW393" s="284" t="n">
        <f aca="false">IFERROR(($J393*T393)*$M393, "")</f>
        <v>0</v>
      </c>
      <c r="AX393" s="284" t="n">
        <f aca="false">IFERROR(($J393*U393)*$M393, "")</f>
        <v>0</v>
      </c>
      <c r="AY393" s="284" t="n">
        <f aca="false">IFERROR(($J393*V393)*$M393, "")</f>
        <v>0</v>
      </c>
      <c r="AZ393" s="284" t="n">
        <f aca="false">IFERROR(($J393*W393)*$M393, "")</f>
        <v>0</v>
      </c>
      <c r="BA393" s="284" t="n">
        <f aca="false">IFERROR(($J393*X393)*$M393, "")</f>
        <v>0</v>
      </c>
      <c r="BB393" s="284" t="n">
        <f aca="false">IFERROR(($J393*Y393)*$M393, "")</f>
        <v>0</v>
      </c>
      <c r="BC393" s="285" t="n">
        <f aca="false">IFERROR(($J393*Z393)*$M393, "")</f>
        <v>0</v>
      </c>
      <c r="BD393" s="286" t="n">
        <f aca="false">IFERROR(SUMIF($AB$4:$AM$4, "RDEC", AR393:BC393), "")</f>
        <v>0</v>
      </c>
      <c r="BE393" s="286" t="n">
        <f aca="false">IFERROR(SUMIF($AB$4:$AM$4, "SME", AR393:BC393), "")</f>
        <v>0</v>
      </c>
      <c r="BF393" s="286" t="n">
        <f aca="false">IFERROR(SUMIF($AB$4:$AM$4, "De Minimis", AR393:BC393), "")</f>
        <v>0</v>
      </c>
      <c r="BG393" s="287"/>
      <c r="BH393" s="288" t="str">
        <f aca="false">IF((SUM(O393:Z393)&gt;1),"ERROR","")</f>
        <v/>
      </c>
      <c r="BI393" s="287"/>
      <c r="BJ393" s="18" t="str">
        <f aca="false">IF(C379&gt;0, C379, "")</f>
        <v/>
      </c>
      <c r="BL393" s="200"/>
      <c r="BM393" s="200"/>
      <c r="BN393" s="200"/>
    </row>
    <row r="394" customFormat="false" ht="15" hidden="false" customHeight="true" outlineLevel="0" collapsed="false">
      <c r="B394" s="275"/>
      <c r="D394" s="276" t="n">
        <f aca="false">D378</f>
        <v>45352</v>
      </c>
      <c r="E394" s="277" t="n">
        <v>0</v>
      </c>
      <c r="F394" s="277" t="n">
        <v>0</v>
      </c>
      <c r="G394" s="277" t="n">
        <v>0</v>
      </c>
      <c r="H394" s="277" t="n">
        <v>0</v>
      </c>
      <c r="I394" s="277" t="n">
        <v>0</v>
      </c>
      <c r="J394" s="278" t="n">
        <f aca="false">E394+H394+I394</f>
        <v>0</v>
      </c>
      <c r="K394" s="204"/>
      <c r="L394" s="279" t="n">
        <v>1</v>
      </c>
      <c r="M394" s="280" t="n">
        <f aca="false">1-L394</f>
        <v>0</v>
      </c>
      <c r="N394" s="281"/>
      <c r="O394" s="282"/>
      <c r="P394" s="282"/>
      <c r="Q394" s="282"/>
      <c r="R394" s="282"/>
      <c r="S394" s="282"/>
      <c r="T394" s="282"/>
      <c r="U394" s="282"/>
      <c r="V394" s="282"/>
      <c r="W394" s="282"/>
      <c r="X394" s="282"/>
      <c r="Y394" s="282"/>
      <c r="Z394" s="282"/>
      <c r="AA394" s="283"/>
      <c r="AB394" s="284" t="n">
        <f aca="false">IFERROR(($J394*O394)*$L394, "")</f>
        <v>0</v>
      </c>
      <c r="AC394" s="284" t="n">
        <f aca="false">IFERROR(($J394*P394)*$L394, "")</f>
        <v>0</v>
      </c>
      <c r="AD394" s="284" t="n">
        <f aca="false">IFERROR(($J394*Q394)*$L394, "")</f>
        <v>0</v>
      </c>
      <c r="AE394" s="284" t="n">
        <f aca="false">IFERROR(($J394*R394)*$L394, "")</f>
        <v>0</v>
      </c>
      <c r="AF394" s="284" t="n">
        <f aca="false">IFERROR(($J394*S394)*$L394, "")</f>
        <v>0</v>
      </c>
      <c r="AG394" s="284" t="n">
        <f aca="false">IFERROR(($J394*T394)*$L394, "")</f>
        <v>0</v>
      </c>
      <c r="AH394" s="284" t="n">
        <f aca="false">IFERROR(($J394*U394)*$L394, "")</f>
        <v>0</v>
      </c>
      <c r="AI394" s="284" t="n">
        <f aca="false">IFERROR(($J394*V394)*$L394, "")</f>
        <v>0</v>
      </c>
      <c r="AJ394" s="284" t="n">
        <f aca="false">IFERROR(($J394*W394)*$L394, "")</f>
        <v>0</v>
      </c>
      <c r="AK394" s="284" t="n">
        <f aca="false">IFERROR(($J394*X394)*$L394, "")</f>
        <v>0</v>
      </c>
      <c r="AL394" s="284" t="n">
        <f aca="false">IFERROR(($J394*Y394)*$L394, "")</f>
        <v>0</v>
      </c>
      <c r="AM394" s="285" t="n">
        <f aca="false">IFERROR(($J394*Z394)*$L394, "")</f>
        <v>0</v>
      </c>
      <c r="AN394" s="286" t="n">
        <f aca="false">IFERROR(SUMIF($AB$4:$AM$4, "RDEC", AB394:AM394), "")</f>
        <v>0</v>
      </c>
      <c r="AO394" s="286" t="n">
        <f aca="false">IFERROR(SUMIF($AB$4:$AM$4, "SME", AB394:AM394), "")</f>
        <v>0</v>
      </c>
      <c r="AP394" s="286" t="n">
        <f aca="false">IFERROR(SUMIF($AB$4:$AM$4, "De Minimis", AB394:AM394), "")</f>
        <v>0</v>
      </c>
      <c r="AQ394" s="283"/>
      <c r="AR394" s="284" t="n">
        <f aca="false">IFERROR(($J394*O394)*$M394, "")</f>
        <v>0</v>
      </c>
      <c r="AS394" s="284" t="n">
        <f aca="false">IFERROR(($J394*P394)*$M394, "")</f>
        <v>0</v>
      </c>
      <c r="AT394" s="284" t="n">
        <f aca="false">IFERROR(($J394*Q394)*$M394, "")</f>
        <v>0</v>
      </c>
      <c r="AU394" s="284" t="n">
        <f aca="false">IFERROR(($J394*R394)*$M394, "")</f>
        <v>0</v>
      </c>
      <c r="AV394" s="284" t="n">
        <f aca="false">IFERROR(($J394*S394)*$M394, "")</f>
        <v>0</v>
      </c>
      <c r="AW394" s="284" t="n">
        <f aca="false">IFERROR(($J394*T394)*$M394, "")</f>
        <v>0</v>
      </c>
      <c r="AX394" s="284" t="n">
        <f aca="false">IFERROR(($J394*U394)*$M394, "")</f>
        <v>0</v>
      </c>
      <c r="AY394" s="284" t="n">
        <f aca="false">IFERROR(($J394*V394)*$M394, "")</f>
        <v>0</v>
      </c>
      <c r="AZ394" s="284" t="n">
        <f aca="false">IFERROR(($J394*W394)*$M394, "")</f>
        <v>0</v>
      </c>
      <c r="BA394" s="284" t="n">
        <f aca="false">IFERROR(($J394*X394)*$M394, "")</f>
        <v>0</v>
      </c>
      <c r="BB394" s="284" t="n">
        <f aca="false">IFERROR(($J394*Y394)*$M394, "")</f>
        <v>0</v>
      </c>
      <c r="BC394" s="285" t="n">
        <f aca="false">IFERROR(($J394*Z394)*$M394, "")</f>
        <v>0</v>
      </c>
      <c r="BD394" s="286" t="n">
        <f aca="false">IFERROR(SUMIF($AB$4:$AM$4, "RDEC", AR394:BC394), "")</f>
        <v>0</v>
      </c>
      <c r="BE394" s="286" t="n">
        <f aca="false">IFERROR(SUMIF($AB$4:$AM$4, "SME", AR394:BC394), "")</f>
        <v>0</v>
      </c>
      <c r="BF394" s="286" t="n">
        <f aca="false">IFERROR(SUMIF($AB$4:$AM$4, "De Minimis", AR394:BC394), "")</f>
        <v>0</v>
      </c>
      <c r="BG394" s="287"/>
      <c r="BH394" s="288" t="str">
        <f aca="false">IF((SUM(O394:Z394)&gt;1),"ERROR","")</f>
        <v/>
      </c>
      <c r="BI394" s="287"/>
      <c r="BJ394" s="18" t="str">
        <f aca="false">IF(C380&gt;0, C380, "")</f>
        <v/>
      </c>
      <c r="BL394" s="200"/>
      <c r="BM394" s="200"/>
      <c r="BN394" s="200"/>
    </row>
    <row r="395" customFormat="false" ht="15" hidden="false" customHeight="true" outlineLevel="0" collapsed="false">
      <c r="B395" s="275"/>
      <c r="D395" s="276" t="n">
        <f aca="false">D379</f>
        <v>45383</v>
      </c>
      <c r="E395" s="277" t="n">
        <v>0</v>
      </c>
      <c r="F395" s="277" t="n">
        <v>0</v>
      </c>
      <c r="G395" s="277" t="n">
        <v>0</v>
      </c>
      <c r="H395" s="277" t="n">
        <v>0</v>
      </c>
      <c r="I395" s="277" t="n">
        <v>0</v>
      </c>
      <c r="J395" s="278" t="n">
        <f aca="false">E395+H395+I395</f>
        <v>0</v>
      </c>
      <c r="K395" s="204"/>
      <c r="L395" s="279" t="n">
        <v>1</v>
      </c>
      <c r="M395" s="280" t="n">
        <f aca="false">1-L395</f>
        <v>0</v>
      </c>
      <c r="N395" s="281"/>
      <c r="O395" s="282"/>
      <c r="P395" s="282"/>
      <c r="Q395" s="282"/>
      <c r="R395" s="282"/>
      <c r="S395" s="282"/>
      <c r="T395" s="282"/>
      <c r="U395" s="282"/>
      <c r="V395" s="282"/>
      <c r="W395" s="282"/>
      <c r="X395" s="282"/>
      <c r="Y395" s="282"/>
      <c r="Z395" s="282"/>
      <c r="AA395" s="283"/>
      <c r="AB395" s="284" t="n">
        <f aca="false">IFERROR(($J395*O395)*$L395, "")</f>
        <v>0</v>
      </c>
      <c r="AC395" s="284" t="n">
        <f aca="false">IFERROR(($J395*P395)*$L395, "")</f>
        <v>0</v>
      </c>
      <c r="AD395" s="284" t="n">
        <f aca="false">IFERROR(($J395*Q395)*$L395, "")</f>
        <v>0</v>
      </c>
      <c r="AE395" s="284" t="n">
        <f aca="false">IFERROR(($J395*R395)*$L395, "")</f>
        <v>0</v>
      </c>
      <c r="AF395" s="284" t="n">
        <f aca="false">IFERROR(($J395*S395)*$L395, "")</f>
        <v>0</v>
      </c>
      <c r="AG395" s="284" t="n">
        <f aca="false">IFERROR(($J395*T395)*$L395, "")</f>
        <v>0</v>
      </c>
      <c r="AH395" s="284" t="n">
        <f aca="false">IFERROR(($J395*U395)*$L395, "")</f>
        <v>0</v>
      </c>
      <c r="AI395" s="284" t="n">
        <f aca="false">IFERROR(($J395*V395)*$L395, "")</f>
        <v>0</v>
      </c>
      <c r="AJ395" s="284" t="n">
        <f aca="false">IFERROR(($J395*W395)*$L395, "")</f>
        <v>0</v>
      </c>
      <c r="AK395" s="284" t="n">
        <f aca="false">IFERROR(($J395*X395)*$L395, "")</f>
        <v>0</v>
      </c>
      <c r="AL395" s="284" t="n">
        <f aca="false">IFERROR(($J395*Y395)*$L395, "")</f>
        <v>0</v>
      </c>
      <c r="AM395" s="285" t="n">
        <f aca="false">IFERROR(($J395*Z395)*$L395, "")</f>
        <v>0</v>
      </c>
      <c r="AN395" s="286" t="n">
        <f aca="false">IFERROR(SUMIF($AB$4:$AM$4, "RDEC", AB395:AM395), "")</f>
        <v>0</v>
      </c>
      <c r="AO395" s="286" t="n">
        <f aca="false">IFERROR(SUMIF($AB$4:$AM$4, "SME", AB395:AM395), "")</f>
        <v>0</v>
      </c>
      <c r="AP395" s="286" t="n">
        <f aca="false">IFERROR(SUMIF($AB$4:$AM$4, "De Minimis", AB395:AM395), "")</f>
        <v>0</v>
      </c>
      <c r="AQ395" s="283"/>
      <c r="AR395" s="284" t="n">
        <f aca="false">IFERROR(($J395*O395)*$M395, "")</f>
        <v>0</v>
      </c>
      <c r="AS395" s="284" t="n">
        <f aca="false">IFERROR(($J395*P395)*$M395, "")</f>
        <v>0</v>
      </c>
      <c r="AT395" s="284" t="n">
        <f aca="false">IFERROR(($J395*Q395)*$M395, "")</f>
        <v>0</v>
      </c>
      <c r="AU395" s="284" t="n">
        <f aca="false">IFERROR(($J395*R395)*$M395, "")</f>
        <v>0</v>
      </c>
      <c r="AV395" s="284" t="n">
        <f aca="false">IFERROR(($J395*S395)*$M395, "")</f>
        <v>0</v>
      </c>
      <c r="AW395" s="284" t="n">
        <f aca="false">IFERROR(($J395*T395)*$M395, "")</f>
        <v>0</v>
      </c>
      <c r="AX395" s="284" t="n">
        <f aca="false">IFERROR(($J395*U395)*$M395, "")</f>
        <v>0</v>
      </c>
      <c r="AY395" s="284" t="n">
        <f aca="false">IFERROR(($J395*V395)*$M395, "")</f>
        <v>0</v>
      </c>
      <c r="AZ395" s="284" t="n">
        <f aca="false">IFERROR(($J395*W395)*$M395, "")</f>
        <v>0</v>
      </c>
      <c r="BA395" s="284" t="n">
        <f aca="false">IFERROR(($J395*X395)*$M395, "")</f>
        <v>0</v>
      </c>
      <c r="BB395" s="284" t="n">
        <f aca="false">IFERROR(($J395*Y395)*$M395, "")</f>
        <v>0</v>
      </c>
      <c r="BC395" s="285" t="n">
        <f aca="false">IFERROR(($J395*Z395)*$M395, "")</f>
        <v>0</v>
      </c>
      <c r="BD395" s="286" t="n">
        <f aca="false">IFERROR(SUMIF($AB$4:$AM$4, "RDEC", AR395:BC395), "")</f>
        <v>0</v>
      </c>
      <c r="BE395" s="286" t="n">
        <f aca="false">IFERROR(SUMIF($AB$4:$AM$4, "SME", AR395:BC395), "")</f>
        <v>0</v>
      </c>
      <c r="BF395" s="286" t="n">
        <f aca="false">IFERROR(SUMIF($AB$4:$AM$4, "De Minimis", AR395:BC395), "")</f>
        <v>0</v>
      </c>
      <c r="BG395" s="287"/>
      <c r="BH395" s="288" t="str">
        <f aca="false">IF((SUM(O395:Z395)&gt;1),"ERROR","")</f>
        <v/>
      </c>
      <c r="BI395" s="287"/>
      <c r="BJ395" s="18" t="str">
        <f aca="false">IF(C381&gt;0, C381, "")</f>
        <v/>
      </c>
      <c r="BL395" s="200"/>
      <c r="BM395" s="200"/>
      <c r="BN395" s="200"/>
    </row>
    <row r="396" customFormat="false" ht="15" hidden="false" customHeight="true" outlineLevel="0" collapsed="false">
      <c r="B396" s="275"/>
      <c r="D396" s="276" t="n">
        <f aca="false">D380</f>
        <v>45413</v>
      </c>
      <c r="E396" s="277" t="n">
        <v>0</v>
      </c>
      <c r="F396" s="277" t="n">
        <v>0</v>
      </c>
      <c r="G396" s="277" t="n">
        <v>0</v>
      </c>
      <c r="H396" s="277" t="n">
        <v>0</v>
      </c>
      <c r="I396" s="277" t="n">
        <v>0</v>
      </c>
      <c r="J396" s="278" t="n">
        <f aca="false">E396+H396+I396</f>
        <v>0</v>
      </c>
      <c r="K396" s="204"/>
      <c r="L396" s="279" t="n">
        <v>1</v>
      </c>
      <c r="M396" s="280" t="n">
        <f aca="false">1-L396</f>
        <v>0</v>
      </c>
      <c r="N396" s="281"/>
      <c r="O396" s="282"/>
      <c r="P396" s="282"/>
      <c r="Q396" s="282"/>
      <c r="R396" s="282"/>
      <c r="S396" s="282"/>
      <c r="T396" s="282"/>
      <c r="U396" s="282"/>
      <c r="V396" s="282"/>
      <c r="W396" s="282"/>
      <c r="X396" s="282"/>
      <c r="Y396" s="282"/>
      <c r="Z396" s="282"/>
      <c r="AA396" s="283"/>
      <c r="AB396" s="284" t="n">
        <f aca="false">IFERROR(($J396*O396)*$L396, "")</f>
        <v>0</v>
      </c>
      <c r="AC396" s="284" t="n">
        <f aca="false">IFERROR(($J396*P396)*$L396, "")</f>
        <v>0</v>
      </c>
      <c r="AD396" s="284" t="n">
        <f aca="false">IFERROR(($J396*Q396)*$L396, "")</f>
        <v>0</v>
      </c>
      <c r="AE396" s="284" t="n">
        <f aca="false">IFERROR(($J396*R396)*$L396, "")</f>
        <v>0</v>
      </c>
      <c r="AF396" s="284" t="n">
        <f aca="false">IFERROR(($J396*S396)*$L396, "")</f>
        <v>0</v>
      </c>
      <c r="AG396" s="284" t="n">
        <f aca="false">IFERROR(($J396*T396)*$L396, "")</f>
        <v>0</v>
      </c>
      <c r="AH396" s="284" t="n">
        <f aca="false">IFERROR(($J396*U396)*$L396, "")</f>
        <v>0</v>
      </c>
      <c r="AI396" s="284" t="n">
        <f aca="false">IFERROR(($J396*V396)*$L396, "")</f>
        <v>0</v>
      </c>
      <c r="AJ396" s="284" t="n">
        <f aca="false">IFERROR(($J396*W396)*$L396, "")</f>
        <v>0</v>
      </c>
      <c r="AK396" s="284" t="n">
        <f aca="false">IFERROR(($J396*X396)*$L396, "")</f>
        <v>0</v>
      </c>
      <c r="AL396" s="284" t="n">
        <f aca="false">IFERROR(($J396*Y396)*$L396, "")</f>
        <v>0</v>
      </c>
      <c r="AM396" s="285" t="n">
        <f aca="false">IFERROR(($J396*Z396)*$L396, "")</f>
        <v>0</v>
      </c>
      <c r="AN396" s="286" t="n">
        <f aca="false">IFERROR(SUMIF($AB$4:$AM$4, "RDEC", AB396:AM396), "")</f>
        <v>0</v>
      </c>
      <c r="AO396" s="286" t="n">
        <f aca="false">IFERROR(SUMIF($AB$4:$AM$4, "SME", AB396:AM396), "")</f>
        <v>0</v>
      </c>
      <c r="AP396" s="286" t="n">
        <f aca="false">IFERROR(SUMIF($AB$4:$AM$4, "De Minimis", AB396:AM396), "")</f>
        <v>0</v>
      </c>
      <c r="AQ396" s="283"/>
      <c r="AR396" s="284" t="n">
        <f aca="false">IFERROR(($J396*O396)*$M396, "")</f>
        <v>0</v>
      </c>
      <c r="AS396" s="284" t="n">
        <f aca="false">IFERROR(($J396*P396)*$M396, "")</f>
        <v>0</v>
      </c>
      <c r="AT396" s="284" t="n">
        <f aca="false">IFERROR(($J396*Q396)*$M396, "")</f>
        <v>0</v>
      </c>
      <c r="AU396" s="284" t="n">
        <f aca="false">IFERROR(($J396*R396)*$M396, "")</f>
        <v>0</v>
      </c>
      <c r="AV396" s="284" t="n">
        <f aca="false">IFERROR(($J396*S396)*$M396, "")</f>
        <v>0</v>
      </c>
      <c r="AW396" s="284" t="n">
        <f aca="false">IFERROR(($J396*T396)*$M396, "")</f>
        <v>0</v>
      </c>
      <c r="AX396" s="284" t="n">
        <f aca="false">IFERROR(($J396*U396)*$M396, "")</f>
        <v>0</v>
      </c>
      <c r="AY396" s="284" t="n">
        <f aca="false">IFERROR(($J396*V396)*$M396, "")</f>
        <v>0</v>
      </c>
      <c r="AZ396" s="284" t="n">
        <f aca="false">IFERROR(($J396*W396)*$M396, "")</f>
        <v>0</v>
      </c>
      <c r="BA396" s="284" t="n">
        <f aca="false">IFERROR(($J396*X396)*$M396, "")</f>
        <v>0</v>
      </c>
      <c r="BB396" s="284" t="n">
        <f aca="false">IFERROR(($J396*Y396)*$M396, "")</f>
        <v>0</v>
      </c>
      <c r="BC396" s="285" t="n">
        <f aca="false">IFERROR(($J396*Z396)*$M396, "")</f>
        <v>0</v>
      </c>
      <c r="BD396" s="286" t="n">
        <f aca="false">IFERROR(SUMIF($AB$4:$AM$4, "RDEC", AR396:BC396), "")</f>
        <v>0</v>
      </c>
      <c r="BE396" s="286" t="n">
        <f aca="false">IFERROR(SUMIF($AB$4:$AM$4, "SME", AR396:BC396), "")</f>
        <v>0</v>
      </c>
      <c r="BF396" s="286" t="n">
        <f aca="false">IFERROR(SUMIF($AB$4:$AM$4, "De Minimis", AR396:BC396), "")</f>
        <v>0</v>
      </c>
      <c r="BG396" s="287"/>
      <c r="BH396" s="288" t="str">
        <f aca="false">IF((SUM(O396:Z396)&gt;1),"ERROR","")</f>
        <v/>
      </c>
      <c r="BI396" s="287"/>
      <c r="BJ396" s="18" t="str">
        <f aca="false">IF(C382&gt;0, C382, "")</f>
        <v/>
      </c>
      <c r="BL396" s="200"/>
      <c r="BM396" s="200"/>
      <c r="BN396" s="200"/>
    </row>
    <row r="397" customFormat="false" ht="15" hidden="false" customHeight="true" outlineLevel="0" collapsed="false">
      <c r="B397" s="275"/>
      <c r="D397" s="276" t="n">
        <f aca="false">D381</f>
        <v>45444</v>
      </c>
      <c r="E397" s="277" t="n">
        <v>0</v>
      </c>
      <c r="F397" s="277" t="n">
        <v>0</v>
      </c>
      <c r="G397" s="277" t="n">
        <v>0</v>
      </c>
      <c r="H397" s="277" t="n">
        <v>0</v>
      </c>
      <c r="I397" s="277" t="n">
        <v>0</v>
      </c>
      <c r="J397" s="278" t="n">
        <f aca="false">E397+H397+I397</f>
        <v>0</v>
      </c>
      <c r="K397" s="204"/>
      <c r="L397" s="279" t="n">
        <v>1</v>
      </c>
      <c r="M397" s="280" t="n">
        <f aca="false">1-L397</f>
        <v>0</v>
      </c>
      <c r="N397" s="281"/>
      <c r="O397" s="282"/>
      <c r="P397" s="282"/>
      <c r="Q397" s="282"/>
      <c r="R397" s="282"/>
      <c r="S397" s="282"/>
      <c r="T397" s="282"/>
      <c r="U397" s="282"/>
      <c r="V397" s="282"/>
      <c r="W397" s="282"/>
      <c r="X397" s="282"/>
      <c r="Y397" s="282"/>
      <c r="Z397" s="282"/>
      <c r="AA397" s="283"/>
      <c r="AB397" s="284" t="n">
        <f aca="false">IFERROR(($J397*O397)*$L397, "")</f>
        <v>0</v>
      </c>
      <c r="AC397" s="284" t="n">
        <f aca="false">IFERROR(($J397*P397)*$L397, "")</f>
        <v>0</v>
      </c>
      <c r="AD397" s="284" t="n">
        <f aca="false">IFERROR(($J397*Q397)*$L397, "")</f>
        <v>0</v>
      </c>
      <c r="AE397" s="284" t="n">
        <f aca="false">IFERROR(($J397*R397)*$L397, "")</f>
        <v>0</v>
      </c>
      <c r="AF397" s="284" t="n">
        <f aca="false">IFERROR(($J397*S397)*$L397, "")</f>
        <v>0</v>
      </c>
      <c r="AG397" s="284" t="n">
        <f aca="false">IFERROR(($J397*T397)*$L397, "")</f>
        <v>0</v>
      </c>
      <c r="AH397" s="284" t="n">
        <f aca="false">IFERROR(($J397*U397)*$L397, "")</f>
        <v>0</v>
      </c>
      <c r="AI397" s="284" t="n">
        <f aca="false">IFERROR(($J397*V397)*$L397, "")</f>
        <v>0</v>
      </c>
      <c r="AJ397" s="284" t="n">
        <f aca="false">IFERROR(($J397*W397)*$L397, "")</f>
        <v>0</v>
      </c>
      <c r="AK397" s="284" t="n">
        <f aca="false">IFERROR(($J397*X397)*$L397, "")</f>
        <v>0</v>
      </c>
      <c r="AL397" s="284" t="n">
        <f aca="false">IFERROR(($J397*Y397)*$L397, "")</f>
        <v>0</v>
      </c>
      <c r="AM397" s="285" t="n">
        <f aca="false">IFERROR(($J397*Z397)*$L397, "")</f>
        <v>0</v>
      </c>
      <c r="AN397" s="286" t="n">
        <f aca="false">IFERROR(SUMIF($AB$4:$AM$4, "RDEC", AB397:AM397), "")</f>
        <v>0</v>
      </c>
      <c r="AO397" s="286" t="n">
        <f aca="false">IFERROR(SUMIF($AB$4:$AM$4, "SME", AB397:AM397), "")</f>
        <v>0</v>
      </c>
      <c r="AP397" s="286" t="n">
        <f aca="false">IFERROR(SUMIF($AB$4:$AM$4, "De Minimis", AB397:AM397), "")</f>
        <v>0</v>
      </c>
      <c r="AQ397" s="283"/>
      <c r="AR397" s="284" t="n">
        <f aca="false">IFERROR(($J397*O397)*$M397, "")</f>
        <v>0</v>
      </c>
      <c r="AS397" s="284" t="n">
        <f aca="false">IFERROR(($J397*P397)*$M397, "")</f>
        <v>0</v>
      </c>
      <c r="AT397" s="284" t="n">
        <f aca="false">IFERROR(($J397*Q397)*$M397, "")</f>
        <v>0</v>
      </c>
      <c r="AU397" s="284" t="n">
        <f aca="false">IFERROR(($J397*R397)*$M397, "")</f>
        <v>0</v>
      </c>
      <c r="AV397" s="284" t="n">
        <f aca="false">IFERROR(($J397*S397)*$M397, "")</f>
        <v>0</v>
      </c>
      <c r="AW397" s="284" t="n">
        <f aca="false">IFERROR(($J397*T397)*$M397, "")</f>
        <v>0</v>
      </c>
      <c r="AX397" s="284" t="n">
        <f aca="false">IFERROR(($J397*U397)*$M397, "")</f>
        <v>0</v>
      </c>
      <c r="AY397" s="284" t="n">
        <f aca="false">IFERROR(($J397*V397)*$M397, "")</f>
        <v>0</v>
      </c>
      <c r="AZ397" s="284" t="n">
        <f aca="false">IFERROR(($J397*W397)*$M397, "")</f>
        <v>0</v>
      </c>
      <c r="BA397" s="284" t="n">
        <f aca="false">IFERROR(($J397*X397)*$M397, "")</f>
        <v>0</v>
      </c>
      <c r="BB397" s="284" t="n">
        <f aca="false">IFERROR(($J397*Y397)*$M397, "")</f>
        <v>0</v>
      </c>
      <c r="BC397" s="285" t="n">
        <f aca="false">IFERROR(($J397*Z397)*$M397, "")</f>
        <v>0</v>
      </c>
      <c r="BD397" s="286" t="n">
        <f aca="false">IFERROR(SUMIF($AB$4:$AM$4, "RDEC", AR397:BC397), "")</f>
        <v>0</v>
      </c>
      <c r="BE397" s="286" t="n">
        <f aca="false">IFERROR(SUMIF($AB$4:$AM$4, "SME", AR397:BC397), "")</f>
        <v>0</v>
      </c>
      <c r="BF397" s="286" t="n">
        <f aca="false">IFERROR(SUMIF($AB$4:$AM$4, "De Minimis", AR397:BC397), "")</f>
        <v>0</v>
      </c>
      <c r="BG397" s="287"/>
      <c r="BH397" s="288" t="str">
        <f aca="false">IF((SUM(O397:Z397)&gt;1),"ERROR","")</f>
        <v/>
      </c>
      <c r="BI397" s="287"/>
      <c r="BJ397" s="18" t="str">
        <f aca="false">IF(C383&gt;0, C383, "")</f>
        <v/>
      </c>
      <c r="BL397" s="200"/>
      <c r="BM397" s="200"/>
      <c r="BN397" s="200"/>
    </row>
    <row r="398" customFormat="false" ht="15" hidden="false" customHeight="true" outlineLevel="0" collapsed="false">
      <c r="B398" s="275"/>
      <c r="D398" s="276" t="n">
        <f aca="false">D382</f>
        <v>45474</v>
      </c>
      <c r="E398" s="277" t="n">
        <v>0</v>
      </c>
      <c r="F398" s="277" t="n">
        <v>0</v>
      </c>
      <c r="G398" s="277" t="n">
        <v>0</v>
      </c>
      <c r="H398" s="277" t="n">
        <v>0</v>
      </c>
      <c r="I398" s="277" t="n">
        <v>0</v>
      </c>
      <c r="J398" s="278" t="n">
        <f aca="false">E398+H398+I398</f>
        <v>0</v>
      </c>
      <c r="K398" s="204"/>
      <c r="L398" s="279" t="n">
        <v>1</v>
      </c>
      <c r="M398" s="280" t="n">
        <f aca="false">1-L398</f>
        <v>0</v>
      </c>
      <c r="N398" s="281"/>
      <c r="O398" s="282"/>
      <c r="P398" s="282"/>
      <c r="Q398" s="282"/>
      <c r="R398" s="282"/>
      <c r="S398" s="282"/>
      <c r="T398" s="282"/>
      <c r="U398" s="282"/>
      <c r="V398" s="282"/>
      <c r="W398" s="282"/>
      <c r="X398" s="282"/>
      <c r="Y398" s="282"/>
      <c r="Z398" s="282"/>
      <c r="AA398" s="283"/>
      <c r="AB398" s="284" t="n">
        <f aca="false">IFERROR(($J398*O398)*$L398, "")</f>
        <v>0</v>
      </c>
      <c r="AC398" s="284" t="n">
        <f aca="false">IFERROR(($J398*P398)*$L398, "")</f>
        <v>0</v>
      </c>
      <c r="AD398" s="284" t="n">
        <f aca="false">IFERROR(($J398*Q398)*$L398, "")</f>
        <v>0</v>
      </c>
      <c r="AE398" s="284" t="n">
        <f aca="false">IFERROR(($J398*R398)*$L398, "")</f>
        <v>0</v>
      </c>
      <c r="AF398" s="284" t="n">
        <f aca="false">IFERROR(($J398*S398)*$L398, "")</f>
        <v>0</v>
      </c>
      <c r="AG398" s="284" t="n">
        <f aca="false">IFERROR(($J398*T398)*$L398, "")</f>
        <v>0</v>
      </c>
      <c r="AH398" s="284" t="n">
        <f aca="false">IFERROR(($J398*U398)*$L398, "")</f>
        <v>0</v>
      </c>
      <c r="AI398" s="284" t="n">
        <f aca="false">IFERROR(($J398*V398)*$L398, "")</f>
        <v>0</v>
      </c>
      <c r="AJ398" s="284" t="n">
        <f aca="false">IFERROR(($J398*W398)*$L398, "")</f>
        <v>0</v>
      </c>
      <c r="AK398" s="284" t="n">
        <f aca="false">IFERROR(($J398*X398)*$L398, "")</f>
        <v>0</v>
      </c>
      <c r="AL398" s="284" t="n">
        <f aca="false">IFERROR(($J398*Y398)*$L398, "")</f>
        <v>0</v>
      </c>
      <c r="AM398" s="285" t="n">
        <f aca="false">IFERROR(($J398*Z398)*$L398, "")</f>
        <v>0</v>
      </c>
      <c r="AN398" s="286" t="n">
        <f aca="false">IFERROR(SUMIF($AB$4:$AM$4, "RDEC", AB398:AM398), "")</f>
        <v>0</v>
      </c>
      <c r="AO398" s="286" t="n">
        <f aca="false">IFERROR(SUMIF($AB$4:$AM$4, "SME", AB398:AM398), "")</f>
        <v>0</v>
      </c>
      <c r="AP398" s="286" t="n">
        <f aca="false">IFERROR(SUMIF($AB$4:$AM$4, "De Minimis", AB398:AM398), "")</f>
        <v>0</v>
      </c>
      <c r="AQ398" s="283"/>
      <c r="AR398" s="284" t="n">
        <f aca="false">IFERROR(($J398*O398)*$M398, "")</f>
        <v>0</v>
      </c>
      <c r="AS398" s="284" t="n">
        <f aca="false">IFERROR(($J398*P398)*$M398, "")</f>
        <v>0</v>
      </c>
      <c r="AT398" s="284" t="n">
        <f aca="false">IFERROR(($J398*Q398)*$M398, "")</f>
        <v>0</v>
      </c>
      <c r="AU398" s="284" t="n">
        <f aca="false">IFERROR(($J398*R398)*$M398, "")</f>
        <v>0</v>
      </c>
      <c r="AV398" s="284" t="n">
        <f aca="false">IFERROR(($J398*S398)*$M398, "")</f>
        <v>0</v>
      </c>
      <c r="AW398" s="284" t="n">
        <f aca="false">IFERROR(($J398*T398)*$M398, "")</f>
        <v>0</v>
      </c>
      <c r="AX398" s="284" t="n">
        <f aca="false">IFERROR(($J398*U398)*$M398, "")</f>
        <v>0</v>
      </c>
      <c r="AY398" s="284" t="n">
        <f aca="false">IFERROR(($J398*V398)*$M398, "")</f>
        <v>0</v>
      </c>
      <c r="AZ398" s="284" t="n">
        <f aca="false">IFERROR(($J398*W398)*$M398, "")</f>
        <v>0</v>
      </c>
      <c r="BA398" s="284" t="n">
        <f aca="false">IFERROR(($J398*X398)*$M398, "")</f>
        <v>0</v>
      </c>
      <c r="BB398" s="284" t="n">
        <f aca="false">IFERROR(($J398*Y398)*$M398, "")</f>
        <v>0</v>
      </c>
      <c r="BC398" s="285" t="n">
        <f aca="false">IFERROR(($J398*Z398)*$M398, "")</f>
        <v>0</v>
      </c>
      <c r="BD398" s="286" t="n">
        <f aca="false">IFERROR(SUMIF($AB$4:$AM$4, "RDEC", AR398:BC398), "")</f>
        <v>0</v>
      </c>
      <c r="BE398" s="286" t="n">
        <f aca="false">IFERROR(SUMIF($AB$4:$AM$4, "SME", AR398:BC398), "")</f>
        <v>0</v>
      </c>
      <c r="BF398" s="286" t="n">
        <f aca="false">IFERROR(SUMIF($AB$4:$AM$4, "De Minimis", AR398:BC398), "")</f>
        <v>0</v>
      </c>
      <c r="BG398" s="287"/>
      <c r="BH398" s="288" t="str">
        <f aca="false">IF((SUM(O398:Z398)&gt;1),"ERROR","")</f>
        <v/>
      </c>
      <c r="BI398" s="287"/>
      <c r="BJ398" s="18" t="str">
        <f aca="false">IF(C384&gt;0, C384, "")</f>
        <v/>
      </c>
      <c r="BL398" s="200"/>
      <c r="BM398" s="200"/>
      <c r="BN398" s="200"/>
    </row>
    <row r="399" customFormat="false" ht="15" hidden="false" customHeight="true" outlineLevel="0" collapsed="false">
      <c r="B399" s="275"/>
      <c r="D399" s="276" t="n">
        <f aca="false">D383</f>
        <v>45505</v>
      </c>
      <c r="E399" s="277" t="n">
        <v>0</v>
      </c>
      <c r="F399" s="277" t="n">
        <v>0</v>
      </c>
      <c r="G399" s="277" t="n">
        <v>0</v>
      </c>
      <c r="H399" s="277" t="n">
        <v>0</v>
      </c>
      <c r="I399" s="277" t="n">
        <v>0</v>
      </c>
      <c r="J399" s="278" t="n">
        <f aca="false">E399+H399+I399</f>
        <v>0</v>
      </c>
      <c r="K399" s="204"/>
      <c r="L399" s="279" t="n">
        <v>1</v>
      </c>
      <c r="M399" s="280" t="n">
        <f aca="false">1-L399</f>
        <v>0</v>
      </c>
      <c r="N399" s="281"/>
      <c r="O399" s="282"/>
      <c r="P399" s="282"/>
      <c r="Q399" s="282"/>
      <c r="R399" s="282"/>
      <c r="S399" s="282"/>
      <c r="T399" s="282"/>
      <c r="U399" s="282"/>
      <c r="V399" s="282"/>
      <c r="W399" s="282"/>
      <c r="X399" s="282"/>
      <c r="Y399" s="282"/>
      <c r="Z399" s="282"/>
      <c r="AA399" s="283"/>
      <c r="AB399" s="284" t="n">
        <f aca="false">IFERROR(($J399*O399)*$L399, "")</f>
        <v>0</v>
      </c>
      <c r="AC399" s="284" t="n">
        <f aca="false">IFERROR(($J399*P399)*$L399, "")</f>
        <v>0</v>
      </c>
      <c r="AD399" s="284" t="n">
        <f aca="false">IFERROR(($J399*Q399)*$L399, "")</f>
        <v>0</v>
      </c>
      <c r="AE399" s="284" t="n">
        <f aca="false">IFERROR(($J399*R399)*$L399, "")</f>
        <v>0</v>
      </c>
      <c r="AF399" s="284" t="n">
        <f aca="false">IFERROR(($J399*S399)*$L399, "")</f>
        <v>0</v>
      </c>
      <c r="AG399" s="284" t="n">
        <f aca="false">IFERROR(($J399*T399)*$L399, "")</f>
        <v>0</v>
      </c>
      <c r="AH399" s="284" t="n">
        <f aca="false">IFERROR(($J399*U399)*$L399, "")</f>
        <v>0</v>
      </c>
      <c r="AI399" s="284" t="n">
        <f aca="false">IFERROR(($J399*V399)*$L399, "")</f>
        <v>0</v>
      </c>
      <c r="AJ399" s="284" t="n">
        <f aca="false">IFERROR(($J399*W399)*$L399, "")</f>
        <v>0</v>
      </c>
      <c r="AK399" s="284" t="n">
        <f aca="false">IFERROR(($J399*X399)*$L399, "")</f>
        <v>0</v>
      </c>
      <c r="AL399" s="284" t="n">
        <f aca="false">IFERROR(($J399*Y399)*$L399, "")</f>
        <v>0</v>
      </c>
      <c r="AM399" s="285" t="n">
        <f aca="false">IFERROR(($J399*Z399)*$L399, "")</f>
        <v>0</v>
      </c>
      <c r="AN399" s="286" t="n">
        <f aca="false">IFERROR(SUMIF($AB$4:$AM$4, "RDEC", AB399:AM399), "")</f>
        <v>0</v>
      </c>
      <c r="AO399" s="286" t="n">
        <f aca="false">IFERROR(SUMIF($AB$4:$AM$4, "SME", AB399:AM399), "")</f>
        <v>0</v>
      </c>
      <c r="AP399" s="286" t="n">
        <f aca="false">IFERROR(SUMIF($AB$4:$AM$4, "De Minimis", AB399:AM399), "")</f>
        <v>0</v>
      </c>
      <c r="AQ399" s="283"/>
      <c r="AR399" s="284" t="n">
        <f aca="false">IFERROR(($J399*O399)*$M399, "")</f>
        <v>0</v>
      </c>
      <c r="AS399" s="284" t="n">
        <f aca="false">IFERROR(($J399*P399)*$M399, "")</f>
        <v>0</v>
      </c>
      <c r="AT399" s="284" t="n">
        <f aca="false">IFERROR(($J399*Q399)*$M399, "")</f>
        <v>0</v>
      </c>
      <c r="AU399" s="284" t="n">
        <f aca="false">IFERROR(($J399*R399)*$M399, "")</f>
        <v>0</v>
      </c>
      <c r="AV399" s="284" t="n">
        <f aca="false">IFERROR(($J399*S399)*$M399, "")</f>
        <v>0</v>
      </c>
      <c r="AW399" s="284" t="n">
        <f aca="false">IFERROR(($J399*T399)*$M399, "")</f>
        <v>0</v>
      </c>
      <c r="AX399" s="284" t="n">
        <f aca="false">IFERROR(($J399*U399)*$M399, "")</f>
        <v>0</v>
      </c>
      <c r="AY399" s="284" t="n">
        <f aca="false">IFERROR(($J399*V399)*$M399, "")</f>
        <v>0</v>
      </c>
      <c r="AZ399" s="284" t="n">
        <f aca="false">IFERROR(($J399*W399)*$M399, "")</f>
        <v>0</v>
      </c>
      <c r="BA399" s="284" t="n">
        <f aca="false">IFERROR(($J399*X399)*$M399, "")</f>
        <v>0</v>
      </c>
      <c r="BB399" s="284" t="n">
        <f aca="false">IFERROR(($J399*Y399)*$M399, "")</f>
        <v>0</v>
      </c>
      <c r="BC399" s="285" t="n">
        <f aca="false">IFERROR(($J399*Z399)*$M399, "")</f>
        <v>0</v>
      </c>
      <c r="BD399" s="286" t="n">
        <f aca="false">IFERROR(SUMIF($AB$4:$AM$4, "RDEC", AR399:BC399), "")</f>
        <v>0</v>
      </c>
      <c r="BE399" s="286" t="n">
        <f aca="false">IFERROR(SUMIF($AB$4:$AM$4, "SME", AR399:BC399), "")</f>
        <v>0</v>
      </c>
      <c r="BF399" s="286" t="n">
        <f aca="false">IFERROR(SUMIF($AB$4:$AM$4, "De Minimis", AR399:BC399), "")</f>
        <v>0</v>
      </c>
      <c r="BG399" s="287"/>
      <c r="BH399" s="288" t="str">
        <f aca="false">IF((SUM(O399:Z399)&gt;1),"ERROR","")</f>
        <v/>
      </c>
      <c r="BI399" s="287"/>
      <c r="BJ399" s="18" t="str">
        <f aca="false">IF(C385&gt;0, C385, "")</f>
        <v/>
      </c>
      <c r="BL399" s="200"/>
      <c r="BM399" s="200"/>
      <c r="BN399" s="200"/>
    </row>
    <row r="400" customFormat="false" ht="15" hidden="false" customHeight="true" outlineLevel="0" collapsed="false">
      <c r="B400" s="275"/>
      <c r="D400" s="276" t="n">
        <f aca="false">D384</f>
        <v>45536</v>
      </c>
      <c r="E400" s="277" t="n">
        <v>0</v>
      </c>
      <c r="F400" s="277" t="n">
        <v>0</v>
      </c>
      <c r="G400" s="277" t="n">
        <v>0</v>
      </c>
      <c r="H400" s="277" t="n">
        <v>0</v>
      </c>
      <c r="I400" s="277" t="n">
        <v>0</v>
      </c>
      <c r="J400" s="278" t="n">
        <f aca="false">E400+H400+I400</f>
        <v>0</v>
      </c>
      <c r="K400" s="204"/>
      <c r="L400" s="279" t="n">
        <v>1</v>
      </c>
      <c r="M400" s="280" t="n">
        <f aca="false">1-L400</f>
        <v>0</v>
      </c>
      <c r="N400" s="281"/>
      <c r="O400" s="282"/>
      <c r="P400" s="282"/>
      <c r="Q400" s="282"/>
      <c r="R400" s="282"/>
      <c r="S400" s="282"/>
      <c r="T400" s="282"/>
      <c r="U400" s="282"/>
      <c r="V400" s="282"/>
      <c r="W400" s="282"/>
      <c r="X400" s="282"/>
      <c r="Y400" s="282"/>
      <c r="Z400" s="282"/>
      <c r="AA400" s="283"/>
      <c r="AB400" s="284" t="n">
        <f aca="false">IFERROR(($J400*O400)*$L400, "")</f>
        <v>0</v>
      </c>
      <c r="AC400" s="284" t="n">
        <f aca="false">IFERROR(($J400*P400)*$L400, "")</f>
        <v>0</v>
      </c>
      <c r="AD400" s="284" t="n">
        <f aca="false">IFERROR(($J400*Q400)*$L400, "")</f>
        <v>0</v>
      </c>
      <c r="AE400" s="284" t="n">
        <f aca="false">IFERROR(($J400*R400)*$L400, "")</f>
        <v>0</v>
      </c>
      <c r="AF400" s="284" t="n">
        <f aca="false">IFERROR(($J400*S400)*$L400, "")</f>
        <v>0</v>
      </c>
      <c r="AG400" s="284" t="n">
        <f aca="false">IFERROR(($J400*T400)*$L400, "")</f>
        <v>0</v>
      </c>
      <c r="AH400" s="284" t="n">
        <f aca="false">IFERROR(($J400*U400)*$L400, "")</f>
        <v>0</v>
      </c>
      <c r="AI400" s="284" t="n">
        <f aca="false">IFERROR(($J400*V400)*$L400, "")</f>
        <v>0</v>
      </c>
      <c r="AJ400" s="284" t="n">
        <f aca="false">IFERROR(($J400*W400)*$L400, "")</f>
        <v>0</v>
      </c>
      <c r="AK400" s="284" t="n">
        <f aca="false">IFERROR(($J400*X400)*$L400, "")</f>
        <v>0</v>
      </c>
      <c r="AL400" s="284" t="n">
        <f aca="false">IFERROR(($J400*Y400)*$L400, "")</f>
        <v>0</v>
      </c>
      <c r="AM400" s="285" t="n">
        <f aca="false">IFERROR(($J400*Z400)*$L400, "")</f>
        <v>0</v>
      </c>
      <c r="AN400" s="286" t="n">
        <f aca="false">IFERROR(SUMIF($AB$4:$AM$4, "RDEC", AB400:AM400), "")</f>
        <v>0</v>
      </c>
      <c r="AO400" s="286" t="n">
        <f aca="false">IFERROR(SUMIF($AB$4:$AM$4, "SME", AB400:AM400), "")</f>
        <v>0</v>
      </c>
      <c r="AP400" s="286" t="n">
        <f aca="false">IFERROR(SUMIF($AB$4:$AM$4, "De Minimis", AB400:AM400), "")</f>
        <v>0</v>
      </c>
      <c r="AQ400" s="283"/>
      <c r="AR400" s="284" t="n">
        <f aca="false">IFERROR(($J400*O400)*$M400, "")</f>
        <v>0</v>
      </c>
      <c r="AS400" s="284" t="n">
        <f aca="false">IFERROR(($J400*P400)*$M400, "")</f>
        <v>0</v>
      </c>
      <c r="AT400" s="284" t="n">
        <f aca="false">IFERROR(($J400*Q400)*$M400, "")</f>
        <v>0</v>
      </c>
      <c r="AU400" s="284" t="n">
        <f aca="false">IFERROR(($J400*R400)*$M400, "")</f>
        <v>0</v>
      </c>
      <c r="AV400" s="284" t="n">
        <f aca="false">IFERROR(($J400*S400)*$M400, "")</f>
        <v>0</v>
      </c>
      <c r="AW400" s="284" t="n">
        <f aca="false">IFERROR(($J400*T400)*$M400, "")</f>
        <v>0</v>
      </c>
      <c r="AX400" s="284" t="n">
        <f aca="false">IFERROR(($J400*U400)*$M400, "")</f>
        <v>0</v>
      </c>
      <c r="AY400" s="284" t="n">
        <f aca="false">IFERROR(($J400*V400)*$M400, "")</f>
        <v>0</v>
      </c>
      <c r="AZ400" s="284" t="n">
        <f aca="false">IFERROR(($J400*W400)*$M400, "")</f>
        <v>0</v>
      </c>
      <c r="BA400" s="284" t="n">
        <f aca="false">IFERROR(($J400*X400)*$M400, "")</f>
        <v>0</v>
      </c>
      <c r="BB400" s="284" t="n">
        <f aca="false">IFERROR(($J400*Y400)*$M400, "")</f>
        <v>0</v>
      </c>
      <c r="BC400" s="285" t="n">
        <f aca="false">IFERROR(($J400*Z400)*$M400, "")</f>
        <v>0</v>
      </c>
      <c r="BD400" s="286" t="n">
        <f aca="false">IFERROR(SUMIF($AB$4:$AM$4, "RDEC", AR400:BC400), "")</f>
        <v>0</v>
      </c>
      <c r="BE400" s="286" t="n">
        <f aca="false">IFERROR(SUMIF($AB$4:$AM$4, "SME", AR400:BC400), "")</f>
        <v>0</v>
      </c>
      <c r="BF400" s="286" t="n">
        <f aca="false">IFERROR(SUMIF($AB$4:$AM$4, "De Minimis", AR400:BC400), "")</f>
        <v>0</v>
      </c>
      <c r="BG400" s="287"/>
      <c r="BH400" s="288" t="str">
        <f aca="false">IF((SUM(O400:Z400)&gt;1),"ERROR","")</f>
        <v/>
      </c>
      <c r="BI400" s="287"/>
      <c r="BJ400" s="18" t="str">
        <f aca="false">IF(C386&gt;0, C386, "")</f>
        <v/>
      </c>
      <c r="BL400" s="200"/>
      <c r="BM400" s="200"/>
      <c r="BN400" s="200"/>
    </row>
    <row r="401" customFormat="false" ht="15" hidden="false" customHeight="true" outlineLevel="0" collapsed="false">
      <c r="B401" s="275"/>
      <c r="D401" s="276" t="n">
        <f aca="false">D385</f>
        <v>45566</v>
      </c>
      <c r="E401" s="277" t="n">
        <v>0</v>
      </c>
      <c r="F401" s="277" t="n">
        <v>0</v>
      </c>
      <c r="G401" s="277" t="n">
        <v>0</v>
      </c>
      <c r="H401" s="277" t="n">
        <v>0</v>
      </c>
      <c r="I401" s="277" t="n">
        <v>0</v>
      </c>
      <c r="J401" s="278" t="n">
        <f aca="false">E401+H401+I401</f>
        <v>0</v>
      </c>
      <c r="K401" s="204"/>
      <c r="L401" s="279" t="n">
        <v>1</v>
      </c>
      <c r="M401" s="280" t="n">
        <f aca="false">1-L401</f>
        <v>0</v>
      </c>
      <c r="N401" s="281"/>
      <c r="O401" s="282"/>
      <c r="P401" s="282"/>
      <c r="Q401" s="282"/>
      <c r="R401" s="282"/>
      <c r="S401" s="282"/>
      <c r="T401" s="282"/>
      <c r="U401" s="282"/>
      <c r="V401" s="282"/>
      <c r="W401" s="282"/>
      <c r="X401" s="282"/>
      <c r="Y401" s="282"/>
      <c r="Z401" s="282"/>
      <c r="AA401" s="283"/>
      <c r="AB401" s="284" t="n">
        <f aca="false">IFERROR(($J401*O401)*$L401, "")</f>
        <v>0</v>
      </c>
      <c r="AC401" s="284" t="n">
        <f aca="false">IFERROR(($J401*P401)*$L401, "")</f>
        <v>0</v>
      </c>
      <c r="AD401" s="284" t="n">
        <f aca="false">IFERROR(($J401*Q401)*$L401, "")</f>
        <v>0</v>
      </c>
      <c r="AE401" s="284" t="n">
        <f aca="false">IFERROR(($J401*R401)*$L401, "")</f>
        <v>0</v>
      </c>
      <c r="AF401" s="284" t="n">
        <f aca="false">IFERROR(($J401*S401)*$L401, "")</f>
        <v>0</v>
      </c>
      <c r="AG401" s="284" t="n">
        <f aca="false">IFERROR(($J401*T401)*$L401, "")</f>
        <v>0</v>
      </c>
      <c r="AH401" s="284" t="n">
        <f aca="false">IFERROR(($J401*U401)*$L401, "")</f>
        <v>0</v>
      </c>
      <c r="AI401" s="284" t="n">
        <f aca="false">IFERROR(($J401*V401)*$L401, "")</f>
        <v>0</v>
      </c>
      <c r="AJ401" s="284" t="n">
        <f aca="false">IFERROR(($J401*W401)*$L401, "")</f>
        <v>0</v>
      </c>
      <c r="AK401" s="284" t="n">
        <f aca="false">IFERROR(($J401*X401)*$L401, "")</f>
        <v>0</v>
      </c>
      <c r="AL401" s="284" t="n">
        <f aca="false">IFERROR(($J401*Y401)*$L401, "")</f>
        <v>0</v>
      </c>
      <c r="AM401" s="285" t="n">
        <f aca="false">IFERROR(($J401*Z401)*$L401, "")</f>
        <v>0</v>
      </c>
      <c r="AN401" s="286" t="n">
        <f aca="false">IFERROR(SUMIF($AB$4:$AM$4, "RDEC", AB401:AM401), "")</f>
        <v>0</v>
      </c>
      <c r="AO401" s="286" t="n">
        <f aca="false">IFERROR(SUMIF($AB$4:$AM$4, "SME", AB401:AM401), "")</f>
        <v>0</v>
      </c>
      <c r="AP401" s="286" t="n">
        <f aca="false">IFERROR(SUMIF($AB$4:$AM$4, "De Minimis", AB401:AM401), "")</f>
        <v>0</v>
      </c>
      <c r="AQ401" s="283"/>
      <c r="AR401" s="284" t="n">
        <f aca="false">IFERROR(($J401*O401)*$M401, "")</f>
        <v>0</v>
      </c>
      <c r="AS401" s="284" t="n">
        <f aca="false">IFERROR(($J401*P401)*$M401, "")</f>
        <v>0</v>
      </c>
      <c r="AT401" s="284" t="n">
        <f aca="false">IFERROR(($J401*Q401)*$M401, "")</f>
        <v>0</v>
      </c>
      <c r="AU401" s="284" t="n">
        <f aca="false">IFERROR(($J401*R401)*$M401, "")</f>
        <v>0</v>
      </c>
      <c r="AV401" s="284" t="n">
        <f aca="false">IFERROR(($J401*S401)*$M401, "")</f>
        <v>0</v>
      </c>
      <c r="AW401" s="284" t="n">
        <f aca="false">IFERROR(($J401*T401)*$M401, "")</f>
        <v>0</v>
      </c>
      <c r="AX401" s="284" t="n">
        <f aca="false">IFERROR(($J401*U401)*$M401, "")</f>
        <v>0</v>
      </c>
      <c r="AY401" s="284" t="n">
        <f aca="false">IFERROR(($J401*V401)*$M401, "")</f>
        <v>0</v>
      </c>
      <c r="AZ401" s="284" t="n">
        <f aca="false">IFERROR(($J401*W401)*$M401, "")</f>
        <v>0</v>
      </c>
      <c r="BA401" s="284" t="n">
        <f aca="false">IFERROR(($J401*X401)*$M401, "")</f>
        <v>0</v>
      </c>
      <c r="BB401" s="284" t="n">
        <f aca="false">IFERROR(($J401*Y401)*$M401, "")</f>
        <v>0</v>
      </c>
      <c r="BC401" s="285" t="n">
        <f aca="false">IFERROR(($J401*Z401)*$M401, "")</f>
        <v>0</v>
      </c>
      <c r="BD401" s="286" t="n">
        <f aca="false">IFERROR(SUMIF($AB$4:$AM$4, "RDEC", AR401:BC401), "")</f>
        <v>0</v>
      </c>
      <c r="BE401" s="286" t="n">
        <f aca="false">IFERROR(SUMIF($AB$4:$AM$4, "SME", AR401:BC401), "")</f>
        <v>0</v>
      </c>
      <c r="BF401" s="286" t="n">
        <f aca="false">IFERROR(SUMIF($AB$4:$AM$4, "De Minimis", AR401:BC401), "")</f>
        <v>0</v>
      </c>
      <c r="BG401" s="287"/>
      <c r="BH401" s="288" t="str">
        <f aca="false">IF((SUM(O401:Z401)&gt;1),"ERROR","")</f>
        <v/>
      </c>
      <c r="BI401" s="287"/>
      <c r="BJ401" s="18" t="str">
        <f aca="false">IF(C387&gt;0, C387, "")</f>
        <v/>
      </c>
      <c r="BL401" s="200"/>
      <c r="BM401" s="200"/>
      <c r="BN401" s="200"/>
    </row>
    <row r="402" customFormat="false" ht="15" hidden="false" customHeight="true" outlineLevel="0" collapsed="false">
      <c r="B402" s="275"/>
      <c r="D402" s="276" t="n">
        <f aca="false">D386</f>
        <v>45597</v>
      </c>
      <c r="E402" s="277" t="n">
        <v>0</v>
      </c>
      <c r="F402" s="277" t="n">
        <v>0</v>
      </c>
      <c r="G402" s="277" t="n">
        <v>0</v>
      </c>
      <c r="H402" s="277" t="n">
        <v>0</v>
      </c>
      <c r="I402" s="277" t="n">
        <v>0</v>
      </c>
      <c r="J402" s="278" t="n">
        <f aca="false">E402+H402+I402</f>
        <v>0</v>
      </c>
      <c r="K402" s="204"/>
      <c r="L402" s="279" t="n">
        <v>1</v>
      </c>
      <c r="M402" s="280" t="n">
        <f aca="false">1-L402</f>
        <v>0</v>
      </c>
      <c r="N402" s="281"/>
      <c r="O402" s="282"/>
      <c r="P402" s="282"/>
      <c r="Q402" s="282"/>
      <c r="R402" s="282"/>
      <c r="S402" s="282"/>
      <c r="T402" s="282"/>
      <c r="U402" s="282"/>
      <c r="V402" s="282"/>
      <c r="W402" s="282"/>
      <c r="X402" s="282"/>
      <c r="Y402" s="282"/>
      <c r="Z402" s="282"/>
      <c r="AA402" s="283"/>
      <c r="AB402" s="284" t="n">
        <f aca="false">IFERROR(($J402*O402)*$L402, "")</f>
        <v>0</v>
      </c>
      <c r="AC402" s="284" t="n">
        <f aca="false">IFERROR(($J402*P402)*$L402, "")</f>
        <v>0</v>
      </c>
      <c r="AD402" s="284" t="n">
        <f aca="false">IFERROR(($J402*Q402)*$L402, "")</f>
        <v>0</v>
      </c>
      <c r="AE402" s="284" t="n">
        <f aca="false">IFERROR(($J402*R402)*$L402, "")</f>
        <v>0</v>
      </c>
      <c r="AF402" s="284" t="n">
        <f aca="false">IFERROR(($J402*S402)*$L402, "")</f>
        <v>0</v>
      </c>
      <c r="AG402" s="284" t="n">
        <f aca="false">IFERROR(($J402*T402)*$L402, "")</f>
        <v>0</v>
      </c>
      <c r="AH402" s="284" t="n">
        <f aca="false">IFERROR(($J402*U402)*$L402, "")</f>
        <v>0</v>
      </c>
      <c r="AI402" s="284" t="n">
        <f aca="false">IFERROR(($J402*V402)*$L402, "")</f>
        <v>0</v>
      </c>
      <c r="AJ402" s="284" t="n">
        <f aca="false">IFERROR(($J402*W402)*$L402, "")</f>
        <v>0</v>
      </c>
      <c r="AK402" s="284" t="n">
        <f aca="false">IFERROR(($J402*X402)*$L402, "")</f>
        <v>0</v>
      </c>
      <c r="AL402" s="284" t="n">
        <f aca="false">IFERROR(($J402*Y402)*$L402, "")</f>
        <v>0</v>
      </c>
      <c r="AM402" s="285" t="n">
        <f aca="false">IFERROR(($J402*Z402)*$L402, "")</f>
        <v>0</v>
      </c>
      <c r="AN402" s="286" t="n">
        <f aca="false">IFERROR(SUMIF($AB$4:$AM$4, "RDEC", AB402:AM402), "")</f>
        <v>0</v>
      </c>
      <c r="AO402" s="286" t="n">
        <f aca="false">IFERROR(SUMIF($AB$4:$AM$4, "SME", AB402:AM402), "")</f>
        <v>0</v>
      </c>
      <c r="AP402" s="286" t="n">
        <f aca="false">IFERROR(SUMIF($AB$4:$AM$4, "De Minimis", AB402:AM402), "")</f>
        <v>0</v>
      </c>
      <c r="AQ402" s="283"/>
      <c r="AR402" s="284" t="n">
        <f aca="false">IFERROR(($J402*O402)*$M402, "")</f>
        <v>0</v>
      </c>
      <c r="AS402" s="284" t="n">
        <f aca="false">IFERROR(($J402*P402)*$M402, "")</f>
        <v>0</v>
      </c>
      <c r="AT402" s="284" t="n">
        <f aca="false">IFERROR(($J402*Q402)*$M402, "")</f>
        <v>0</v>
      </c>
      <c r="AU402" s="284" t="n">
        <f aca="false">IFERROR(($J402*R402)*$M402, "")</f>
        <v>0</v>
      </c>
      <c r="AV402" s="284" t="n">
        <f aca="false">IFERROR(($J402*S402)*$M402, "")</f>
        <v>0</v>
      </c>
      <c r="AW402" s="284" t="n">
        <f aca="false">IFERROR(($J402*T402)*$M402, "")</f>
        <v>0</v>
      </c>
      <c r="AX402" s="284" t="n">
        <f aca="false">IFERROR(($J402*U402)*$M402, "")</f>
        <v>0</v>
      </c>
      <c r="AY402" s="284" t="n">
        <f aca="false">IFERROR(($J402*V402)*$M402, "")</f>
        <v>0</v>
      </c>
      <c r="AZ402" s="284" t="n">
        <f aca="false">IFERROR(($J402*W402)*$M402, "")</f>
        <v>0</v>
      </c>
      <c r="BA402" s="284" t="n">
        <f aca="false">IFERROR(($J402*X402)*$M402, "")</f>
        <v>0</v>
      </c>
      <c r="BB402" s="284" t="n">
        <f aca="false">IFERROR(($J402*Y402)*$M402, "")</f>
        <v>0</v>
      </c>
      <c r="BC402" s="285" t="n">
        <f aca="false">IFERROR(($J402*Z402)*$M402, "")</f>
        <v>0</v>
      </c>
      <c r="BD402" s="286" t="n">
        <f aca="false">IFERROR(SUMIF($AB$4:$AM$4, "RDEC", AR402:BC402), "")</f>
        <v>0</v>
      </c>
      <c r="BE402" s="286" t="n">
        <f aca="false">IFERROR(SUMIF($AB$4:$AM$4, "SME", AR402:BC402), "")</f>
        <v>0</v>
      </c>
      <c r="BF402" s="286" t="n">
        <f aca="false">IFERROR(SUMIF($AB$4:$AM$4, "De Minimis", AR402:BC402), "")</f>
        <v>0</v>
      </c>
      <c r="BG402" s="287"/>
      <c r="BH402" s="288" t="str">
        <f aca="false">IF((SUM(O402:Z402)&gt;1),"ERROR","")</f>
        <v/>
      </c>
      <c r="BI402" s="287"/>
      <c r="BJ402" s="18" t="str">
        <f aca="false">IF(C388&gt;0, C388, "")</f>
        <v/>
      </c>
      <c r="BL402" s="200"/>
      <c r="BM402" s="200"/>
      <c r="BN402" s="200"/>
    </row>
    <row r="403" customFormat="false" ht="15" hidden="false" customHeight="true" outlineLevel="0" collapsed="false">
      <c r="B403" s="275"/>
      <c r="D403" s="276" t="n">
        <f aca="false">D387</f>
        <v>45627</v>
      </c>
      <c r="E403" s="277" t="n">
        <v>0</v>
      </c>
      <c r="F403" s="277" t="n">
        <v>0</v>
      </c>
      <c r="G403" s="277" t="n">
        <v>0</v>
      </c>
      <c r="H403" s="277" t="n">
        <v>0</v>
      </c>
      <c r="I403" s="277" t="n">
        <v>0</v>
      </c>
      <c r="J403" s="278" t="n">
        <f aca="false">E403+H403+I403</f>
        <v>0</v>
      </c>
      <c r="K403" s="204"/>
      <c r="L403" s="289" t="n">
        <v>1</v>
      </c>
      <c r="M403" s="290" t="n">
        <f aca="false">1-L403</f>
        <v>0</v>
      </c>
      <c r="N403" s="281"/>
      <c r="O403" s="291"/>
      <c r="P403" s="291"/>
      <c r="Q403" s="291"/>
      <c r="R403" s="291"/>
      <c r="S403" s="291"/>
      <c r="T403" s="291"/>
      <c r="U403" s="291"/>
      <c r="V403" s="291"/>
      <c r="W403" s="291"/>
      <c r="X403" s="291"/>
      <c r="Y403" s="291"/>
      <c r="Z403" s="291"/>
      <c r="AA403" s="283"/>
      <c r="AB403" s="292" t="n">
        <f aca="false">IFERROR(($J403*O403)*$L403, "")</f>
        <v>0</v>
      </c>
      <c r="AC403" s="292" t="n">
        <f aca="false">IFERROR(($J403*P403)*$L403, "")</f>
        <v>0</v>
      </c>
      <c r="AD403" s="292" t="n">
        <f aca="false">IFERROR(($J403*Q403)*$L403, "")</f>
        <v>0</v>
      </c>
      <c r="AE403" s="292" t="n">
        <f aca="false">IFERROR(($J403*R403)*$L403, "")</f>
        <v>0</v>
      </c>
      <c r="AF403" s="292" t="n">
        <f aca="false">IFERROR(($J403*S403)*$L403, "")</f>
        <v>0</v>
      </c>
      <c r="AG403" s="292" t="n">
        <f aca="false">IFERROR(($J403*T403)*$L403, "")</f>
        <v>0</v>
      </c>
      <c r="AH403" s="292" t="n">
        <f aca="false">IFERROR(($J403*U403)*$L403, "")</f>
        <v>0</v>
      </c>
      <c r="AI403" s="292" t="n">
        <f aca="false">IFERROR(($J403*V403)*$L403, "")</f>
        <v>0</v>
      </c>
      <c r="AJ403" s="292" t="n">
        <f aca="false">IFERROR(($J403*W403)*$L403, "")</f>
        <v>0</v>
      </c>
      <c r="AK403" s="292" t="n">
        <f aca="false">IFERROR(($J403*X403)*$L403, "")</f>
        <v>0</v>
      </c>
      <c r="AL403" s="292" t="n">
        <f aca="false">IFERROR(($J403*Y403)*$L403, "")</f>
        <v>0</v>
      </c>
      <c r="AM403" s="293" t="n">
        <f aca="false">IFERROR(($J403*Z403)*$L403, "")</f>
        <v>0</v>
      </c>
      <c r="AN403" s="294" t="n">
        <f aca="false">IFERROR(SUMIF($AB$4:$AM$4, "RDEC", AB403:AM403), "")</f>
        <v>0</v>
      </c>
      <c r="AO403" s="294" t="n">
        <f aca="false">IFERROR(SUMIF($AB$4:$AM$4, "SME", AB403:AM403), "")</f>
        <v>0</v>
      </c>
      <c r="AP403" s="294" t="n">
        <f aca="false">IFERROR(SUMIF($AB$4:$AM$4, "De Minimis", AB403:AM403), "")</f>
        <v>0</v>
      </c>
      <c r="AQ403" s="283"/>
      <c r="AR403" s="292" t="n">
        <f aca="false">IFERROR(($J403*O403)*$M403, "")</f>
        <v>0</v>
      </c>
      <c r="AS403" s="292" t="n">
        <f aca="false">IFERROR(($J403*P403)*$M403, "")</f>
        <v>0</v>
      </c>
      <c r="AT403" s="292" t="n">
        <f aca="false">IFERROR(($J403*Q403)*$M403, "")</f>
        <v>0</v>
      </c>
      <c r="AU403" s="292" t="n">
        <f aca="false">IFERROR(($J403*R403)*$M403, "")</f>
        <v>0</v>
      </c>
      <c r="AV403" s="292" t="n">
        <f aca="false">IFERROR(($J403*S403)*$M403, "")</f>
        <v>0</v>
      </c>
      <c r="AW403" s="292" t="n">
        <f aca="false">IFERROR(($J403*T403)*$M403, "")</f>
        <v>0</v>
      </c>
      <c r="AX403" s="292" t="n">
        <f aca="false">IFERROR(($J403*U403)*$M403, "")</f>
        <v>0</v>
      </c>
      <c r="AY403" s="292" t="n">
        <f aca="false">IFERROR(($J403*V403)*$M403, "")</f>
        <v>0</v>
      </c>
      <c r="AZ403" s="292" t="n">
        <f aca="false">IFERROR(($J403*W403)*$M403, "")</f>
        <v>0</v>
      </c>
      <c r="BA403" s="292" t="n">
        <f aca="false">IFERROR(($J403*X403)*$M403, "")</f>
        <v>0</v>
      </c>
      <c r="BB403" s="292" t="n">
        <f aca="false">IFERROR(($J403*Y403)*$M403, "")</f>
        <v>0</v>
      </c>
      <c r="BC403" s="293" t="n">
        <f aca="false">IFERROR(($J403*Z403)*$M403, "")</f>
        <v>0</v>
      </c>
      <c r="BD403" s="294" t="n">
        <f aca="false">IFERROR(SUMIF($AB$4:$AM$4, "RDEC", AR403:BC403), "")</f>
        <v>0</v>
      </c>
      <c r="BE403" s="294" t="n">
        <f aca="false">IFERROR(SUMIF($AB$4:$AM$4, "SME", AR403:BC403), "")</f>
        <v>0</v>
      </c>
      <c r="BF403" s="294" t="n">
        <f aca="false">IFERROR(SUMIF($AB$4:$AM$4, "De Minimis", AR403:BC403), "")</f>
        <v>0</v>
      </c>
      <c r="BG403" s="287"/>
      <c r="BH403" s="295" t="str">
        <f aca="false">IF((SUM(O403:Z403)&gt;1),"ERROR","")</f>
        <v/>
      </c>
      <c r="BI403" s="287"/>
      <c r="BJ403" s="18" t="str">
        <f aca="false">IF(C389&gt;0, C389, "")</f>
        <v/>
      </c>
      <c r="BL403" s="200"/>
      <c r="BM403" s="200"/>
      <c r="BN403" s="200"/>
    </row>
    <row r="404" customFormat="false" ht="15" hidden="false" customHeight="true" outlineLevel="0" collapsed="false">
      <c r="B404" s="296"/>
      <c r="D404" s="297" t="s">
        <v>82</v>
      </c>
      <c r="E404" s="298" t="n">
        <f aca="false">SUM(E392:E403)</f>
        <v>0</v>
      </c>
      <c r="F404" s="298" t="n">
        <f aca="false">SUM(F392:F403)</f>
        <v>0</v>
      </c>
      <c r="G404" s="298" t="n">
        <f aca="false">SUM(G392:G403)</f>
        <v>0</v>
      </c>
      <c r="H404" s="298" t="n">
        <f aca="false">SUM(H392:H403)</f>
        <v>0</v>
      </c>
      <c r="I404" s="298" t="n">
        <f aca="false">SUM(I392:I403)</f>
        <v>0</v>
      </c>
      <c r="J404" s="299" t="n">
        <f aca="false">SUM(J392:J403)</f>
        <v>0</v>
      </c>
      <c r="K404" s="300"/>
      <c r="L404" s="301" t="n">
        <f aca="false">AVERAGE(L392:L403)</f>
        <v>1</v>
      </c>
      <c r="M404" s="301" t="n">
        <f aca="false">AVERAGE(M392:M403)</f>
        <v>0</v>
      </c>
      <c r="N404" s="302"/>
      <c r="O404" s="290" t="n">
        <f aca="false">IF(SUM(O392:O403)&gt;0,((AB404+AR404)/J404),0)</f>
        <v>0</v>
      </c>
      <c r="P404" s="290" t="n">
        <f aca="false">IF(SUM(P392:P403)&gt;0,((AC404+AS404)/J404),0)</f>
        <v>0</v>
      </c>
      <c r="Q404" s="290" t="n">
        <f aca="false">IF(SUM(Q392:Q403)&gt;0,((AD404+AT404)/J404),0)</f>
        <v>0</v>
      </c>
      <c r="R404" s="290" t="n">
        <f aca="false">IF(SUM(R392:R403)&gt;0,((AE404+AU404)/J404),0)</f>
        <v>0</v>
      </c>
      <c r="S404" s="290" t="n">
        <f aca="false">IF(SUM(S392:S403)&gt;0,((AF404+AV404)/J404),0)</f>
        <v>0</v>
      </c>
      <c r="T404" s="290" t="n">
        <f aca="false">IF(SUM(T392:T403)&gt;0,((AG404+AW404)/J404),0)</f>
        <v>0</v>
      </c>
      <c r="U404" s="290" t="n">
        <f aca="false">IF(SUM(U392:U403)&gt;0,((AH404+AX404)/J404),0)</f>
        <v>0</v>
      </c>
      <c r="V404" s="290" t="n">
        <f aca="false">IF(SUM(V392:V403)&gt;0,((AI404+AY404)/J404),0)</f>
        <v>0</v>
      </c>
      <c r="W404" s="290" t="n">
        <f aca="false">IF(SUM(W392:W403)&gt;0,((AJ404+AZ404)/J404),0)</f>
        <v>0</v>
      </c>
      <c r="X404" s="290" t="n">
        <f aca="false">IF(SUM(X392:X403)&gt;0,((AK404+BA404)/J404),0)</f>
        <v>0</v>
      </c>
      <c r="Y404" s="290" t="n">
        <f aca="false">IF(SUM(Y392:Y403)&gt;0,((AL404+BB404)/J404),0)</f>
        <v>0</v>
      </c>
      <c r="Z404" s="290" t="n">
        <f aca="false">IF(SUM(Z392:Z403)&gt;0,((AM404+BC404)/J404),0)</f>
        <v>0</v>
      </c>
      <c r="AA404" s="303"/>
      <c r="AB404" s="292" t="n">
        <f aca="false">SUM(AB392:AB403)</f>
        <v>0</v>
      </c>
      <c r="AC404" s="304" t="n">
        <f aca="false">SUM(AC392:AC403)</f>
        <v>0</v>
      </c>
      <c r="AD404" s="304" t="n">
        <f aca="false">SUM(AD392:AD403)</f>
        <v>0</v>
      </c>
      <c r="AE404" s="304" t="n">
        <f aca="false">SUM(AE392:AE403)</f>
        <v>0</v>
      </c>
      <c r="AF404" s="304" t="n">
        <f aca="false">SUM(AF392:AF403)</f>
        <v>0</v>
      </c>
      <c r="AG404" s="304" t="n">
        <f aca="false">SUM(AG392:AG403)</f>
        <v>0</v>
      </c>
      <c r="AH404" s="304" t="n">
        <f aca="false">SUM(AH392:AH403)</f>
        <v>0</v>
      </c>
      <c r="AI404" s="304" t="n">
        <f aca="false">SUM(AI392:AI403)</f>
        <v>0</v>
      </c>
      <c r="AJ404" s="304" t="n">
        <f aca="false">SUM(AJ392:AJ403)</f>
        <v>0</v>
      </c>
      <c r="AK404" s="304" t="n">
        <f aca="false">SUM(AK392:AK403)</f>
        <v>0</v>
      </c>
      <c r="AL404" s="304" t="n">
        <f aca="false">SUM(AL392:AL403)</f>
        <v>0</v>
      </c>
      <c r="AM404" s="304" t="n">
        <f aca="false">SUM(AM392:AM403)</f>
        <v>0</v>
      </c>
      <c r="AN404" s="305" t="n">
        <f aca="false">SUM(AN392:AN403)</f>
        <v>0</v>
      </c>
      <c r="AO404" s="305" t="n">
        <f aca="false">SUM(AO392:AO403)</f>
        <v>0</v>
      </c>
      <c r="AP404" s="305" t="n">
        <f aca="false">SUM(AP392:AP403)</f>
        <v>0</v>
      </c>
      <c r="AQ404" s="303"/>
      <c r="AR404" s="292" t="n">
        <f aca="false">SUM(AR392:AR403)</f>
        <v>0</v>
      </c>
      <c r="AS404" s="304" t="n">
        <f aca="false">SUM(AS392:AS403)</f>
        <v>0</v>
      </c>
      <c r="AT404" s="304" t="n">
        <f aca="false">SUM(AT392:AT403)</f>
        <v>0</v>
      </c>
      <c r="AU404" s="304" t="n">
        <f aca="false">SUM(AU392:AU403)</f>
        <v>0</v>
      </c>
      <c r="AV404" s="304" t="n">
        <f aca="false">SUM(AV392:AV403)</f>
        <v>0</v>
      </c>
      <c r="AW404" s="304" t="n">
        <f aca="false">SUM(AW392:AW403)</f>
        <v>0</v>
      </c>
      <c r="AX404" s="304" t="n">
        <f aca="false">SUM(AX392:AX403)</f>
        <v>0</v>
      </c>
      <c r="AY404" s="304" t="n">
        <f aca="false">SUM(AY392:AY403)</f>
        <v>0</v>
      </c>
      <c r="AZ404" s="304" t="n">
        <f aca="false">SUM(AZ392:AZ403)</f>
        <v>0</v>
      </c>
      <c r="BA404" s="304" t="n">
        <f aca="false">SUM(BA392:BA403)</f>
        <v>0</v>
      </c>
      <c r="BB404" s="304" t="n">
        <f aca="false">SUM(BB392:BB403)</f>
        <v>0</v>
      </c>
      <c r="BC404" s="304" t="n">
        <f aca="false">SUM(BC392:BC403)</f>
        <v>0</v>
      </c>
      <c r="BD404" s="305" t="n">
        <f aca="false">SUM(BD392:BD403)</f>
        <v>0</v>
      </c>
      <c r="BE404" s="305" t="n">
        <f aca="false">SUM(BE392:BE403)</f>
        <v>0</v>
      </c>
      <c r="BF404" s="305" t="n">
        <f aca="false">SUM(BF392:BF403)</f>
        <v>0</v>
      </c>
      <c r="BG404" s="303"/>
      <c r="BH404" s="306"/>
      <c r="BI404" s="303"/>
      <c r="BJ404" s="307" t="str">
        <f aca="false">IF(C390&gt;0, C390, "")</f>
        <v>TBA</v>
      </c>
      <c r="BK404" s="18" t="s">
        <v>234</v>
      </c>
      <c r="BL404" s="200" t="n">
        <f aca="false">IF($BK404="Y",J404,0)</f>
        <v>0</v>
      </c>
      <c r="BM404" s="200" t="n">
        <f aca="false">IF(BK404="Y", AN404,0)</f>
        <v>0</v>
      </c>
      <c r="BN404" s="200" t="n">
        <f aca="false">IF((BK404="Y"),AO404,0)</f>
        <v>0</v>
      </c>
    </row>
    <row r="405" customFormat="false" ht="15" hidden="false" customHeight="true" outlineLevel="0" collapsed="false">
      <c r="B405" s="296"/>
      <c r="D405" s="297"/>
      <c r="E405" s="277"/>
      <c r="F405" s="277"/>
      <c r="G405" s="277"/>
      <c r="H405" s="277"/>
      <c r="I405" s="277"/>
      <c r="J405" s="300"/>
      <c r="K405" s="300"/>
      <c r="L405" s="302"/>
      <c r="M405" s="302"/>
      <c r="N405" s="302"/>
      <c r="O405" s="308"/>
      <c r="P405" s="308"/>
      <c r="Q405" s="308"/>
      <c r="R405" s="308"/>
      <c r="S405" s="308"/>
      <c r="T405" s="308"/>
      <c r="U405" s="308"/>
      <c r="V405" s="308"/>
      <c r="W405" s="308"/>
      <c r="X405" s="308"/>
      <c r="Y405" s="308"/>
      <c r="Z405" s="308"/>
      <c r="AA405" s="303"/>
      <c r="AB405" s="303"/>
      <c r="AC405" s="303"/>
      <c r="AD405" s="303"/>
      <c r="AE405" s="303"/>
      <c r="AF405" s="303"/>
      <c r="AG405" s="303"/>
      <c r="AH405" s="303"/>
      <c r="AI405" s="303"/>
      <c r="AJ405" s="303"/>
      <c r="AK405" s="303"/>
      <c r="AL405" s="303"/>
      <c r="AM405" s="303"/>
      <c r="AN405" s="303"/>
      <c r="AO405" s="303"/>
      <c r="AP405" s="303"/>
      <c r="AQ405" s="303"/>
      <c r="AR405" s="303"/>
      <c r="AS405" s="303"/>
      <c r="AT405" s="303"/>
      <c r="AU405" s="303"/>
      <c r="AV405" s="303"/>
      <c r="AW405" s="303"/>
      <c r="AX405" s="303"/>
      <c r="AY405" s="303"/>
      <c r="AZ405" s="303"/>
      <c r="BA405" s="303"/>
      <c r="BB405" s="303"/>
      <c r="BC405" s="303"/>
      <c r="BD405" s="303"/>
      <c r="BE405" s="303"/>
      <c r="BF405" s="303"/>
      <c r="BG405" s="303"/>
      <c r="BH405" s="303"/>
      <c r="BI405" s="303"/>
      <c r="BJ405" s="307" t="str">
        <f aca="false">IF(C392&gt;0, C392, "")</f>
        <v/>
      </c>
      <c r="BL405" s="200"/>
      <c r="BM405" s="200"/>
      <c r="BN405" s="200"/>
    </row>
    <row r="406" customFormat="false" ht="15" hidden="false" customHeight="true" outlineLevel="0" collapsed="false">
      <c r="A406" s="198" t="n">
        <f aca="false">A390+1</f>
        <v>26</v>
      </c>
      <c r="B406" s="266" t="s">
        <v>253</v>
      </c>
      <c r="C406" s="266" t="s">
        <v>253</v>
      </c>
      <c r="D406" s="267"/>
      <c r="E406" s="242"/>
      <c r="F406" s="242"/>
      <c r="G406" s="242"/>
      <c r="H406" s="242"/>
      <c r="I406" s="242"/>
      <c r="J406" s="241"/>
      <c r="K406" s="241"/>
      <c r="L406" s="241"/>
      <c r="M406" s="241"/>
      <c r="N406" s="241"/>
      <c r="O406" s="268"/>
      <c r="P406" s="268"/>
      <c r="Q406" s="268"/>
      <c r="R406" s="268"/>
      <c r="S406" s="268"/>
      <c r="T406" s="268"/>
      <c r="U406" s="268"/>
      <c r="V406" s="268"/>
      <c r="W406" s="268"/>
      <c r="X406" s="268"/>
      <c r="Y406" s="268"/>
      <c r="Z406" s="268"/>
      <c r="AA406" s="268"/>
      <c r="AB406" s="268"/>
      <c r="AC406" s="268"/>
      <c r="AD406" s="268"/>
      <c r="AE406" s="268"/>
      <c r="AF406" s="268"/>
      <c r="AG406" s="268"/>
      <c r="AH406" s="268"/>
      <c r="AI406" s="268"/>
      <c r="AJ406" s="268"/>
      <c r="AK406" s="268"/>
      <c r="AL406" s="268"/>
      <c r="AM406" s="268"/>
      <c r="AN406" s="268"/>
      <c r="AO406" s="268"/>
      <c r="AP406" s="268"/>
      <c r="AQ406" s="268"/>
      <c r="AR406" s="268"/>
      <c r="AS406" s="268"/>
      <c r="AT406" s="268"/>
      <c r="AU406" s="268"/>
      <c r="AV406" s="268"/>
      <c r="AW406" s="268"/>
      <c r="AX406" s="268"/>
      <c r="AY406" s="268"/>
      <c r="AZ406" s="268"/>
      <c r="BA406" s="268"/>
      <c r="BB406" s="268"/>
      <c r="BC406" s="268"/>
      <c r="BD406" s="268"/>
      <c r="BE406" s="268"/>
      <c r="BF406" s="268"/>
      <c r="BG406" s="268"/>
      <c r="BH406" s="268"/>
      <c r="BI406" s="268"/>
      <c r="BJ406" s="18" t="str">
        <f aca="false">IF(C393&gt;0, C393, "")</f>
        <v/>
      </c>
      <c r="BL406" s="200"/>
      <c r="BM406" s="200"/>
      <c r="BN406" s="200"/>
    </row>
    <row r="407" customFormat="false" ht="7.5" hidden="false" customHeight="true" outlineLevel="0" collapsed="false">
      <c r="A407" s="198"/>
      <c r="B407" s="266"/>
      <c r="C407" s="266"/>
      <c r="D407" s="267"/>
      <c r="E407" s="242"/>
      <c r="F407" s="242"/>
      <c r="G407" s="242"/>
      <c r="H407" s="242"/>
      <c r="I407" s="242"/>
      <c r="J407" s="241"/>
      <c r="K407" s="241"/>
      <c r="L407" s="269"/>
      <c r="M407" s="269"/>
      <c r="N407" s="270"/>
      <c r="O407" s="269"/>
      <c r="P407" s="269"/>
      <c r="Q407" s="269"/>
      <c r="R407" s="269"/>
      <c r="S407" s="269"/>
      <c r="T407" s="269"/>
      <c r="U407" s="269"/>
      <c r="V407" s="269"/>
      <c r="W407" s="269"/>
      <c r="X407" s="269"/>
      <c r="Y407" s="269"/>
      <c r="Z407" s="269"/>
      <c r="AA407" s="268"/>
      <c r="AB407" s="271"/>
      <c r="AC407" s="271"/>
      <c r="AD407" s="271"/>
      <c r="AE407" s="271"/>
      <c r="AF407" s="271"/>
      <c r="AG407" s="271"/>
      <c r="AH407" s="271"/>
      <c r="AI407" s="271"/>
      <c r="AJ407" s="271"/>
      <c r="AK407" s="271"/>
      <c r="AL407" s="271"/>
      <c r="AM407" s="272"/>
      <c r="AN407" s="273"/>
      <c r="AO407" s="273"/>
      <c r="AP407" s="273"/>
      <c r="AQ407" s="268"/>
      <c r="AR407" s="271"/>
      <c r="AS407" s="271"/>
      <c r="AT407" s="271"/>
      <c r="AU407" s="271"/>
      <c r="AV407" s="271"/>
      <c r="AW407" s="271"/>
      <c r="AX407" s="271"/>
      <c r="AY407" s="271"/>
      <c r="AZ407" s="271"/>
      <c r="BA407" s="271"/>
      <c r="BB407" s="271"/>
      <c r="BC407" s="272"/>
      <c r="BD407" s="273"/>
      <c r="BE407" s="273"/>
      <c r="BF407" s="273"/>
      <c r="BG407" s="268"/>
      <c r="BH407" s="274"/>
      <c r="BI407" s="268"/>
      <c r="BL407" s="200"/>
      <c r="BM407" s="200"/>
      <c r="BN407" s="200"/>
    </row>
    <row r="408" customFormat="false" ht="15" hidden="false" customHeight="true" outlineLevel="0" collapsed="false">
      <c r="B408" s="275"/>
      <c r="D408" s="276" t="n">
        <f aca="false">D392</f>
        <v>45292</v>
      </c>
      <c r="E408" s="277" t="n">
        <v>0</v>
      </c>
      <c r="F408" s="277" t="n">
        <v>0</v>
      </c>
      <c r="G408" s="277" t="n">
        <v>0</v>
      </c>
      <c r="H408" s="277" t="n">
        <v>0</v>
      </c>
      <c r="I408" s="277" t="n">
        <v>0</v>
      </c>
      <c r="J408" s="278" t="n">
        <f aca="false">E408+H408+I408</f>
        <v>0</v>
      </c>
      <c r="K408" s="204"/>
      <c r="L408" s="279" t="n">
        <v>1</v>
      </c>
      <c r="M408" s="280" t="n">
        <f aca="false">1-L408</f>
        <v>0</v>
      </c>
      <c r="N408" s="281"/>
      <c r="O408" s="282"/>
      <c r="P408" s="282"/>
      <c r="Q408" s="282"/>
      <c r="R408" s="282"/>
      <c r="S408" s="282"/>
      <c r="T408" s="282"/>
      <c r="U408" s="282"/>
      <c r="V408" s="282"/>
      <c r="W408" s="282"/>
      <c r="X408" s="282"/>
      <c r="Y408" s="282"/>
      <c r="Z408" s="282"/>
      <c r="AA408" s="283"/>
      <c r="AB408" s="284" t="n">
        <f aca="false">IFERROR(($J408*O408)*$L408, "")</f>
        <v>0</v>
      </c>
      <c r="AC408" s="284" t="n">
        <f aca="false">IFERROR(($J408*P408)*$L408, "")</f>
        <v>0</v>
      </c>
      <c r="AD408" s="284" t="n">
        <f aca="false">IFERROR(($J408*Q408)*$L408, "")</f>
        <v>0</v>
      </c>
      <c r="AE408" s="284" t="n">
        <f aca="false">IFERROR(($J408*R408)*$L408, "")</f>
        <v>0</v>
      </c>
      <c r="AF408" s="284" t="n">
        <f aca="false">IFERROR(($J408*S408)*$L408, "")</f>
        <v>0</v>
      </c>
      <c r="AG408" s="284" t="n">
        <f aca="false">IFERROR(($J408*T408)*$L408, "")</f>
        <v>0</v>
      </c>
      <c r="AH408" s="284" t="n">
        <f aca="false">IFERROR(($J408*U408)*$L408, "")</f>
        <v>0</v>
      </c>
      <c r="AI408" s="284" t="n">
        <f aca="false">IFERROR(($J408*V408)*$L408, "")</f>
        <v>0</v>
      </c>
      <c r="AJ408" s="284" t="n">
        <f aca="false">IFERROR(($J408*W408)*$L408, "")</f>
        <v>0</v>
      </c>
      <c r="AK408" s="284" t="n">
        <f aca="false">IFERROR(($J408*X408)*$L408, "")</f>
        <v>0</v>
      </c>
      <c r="AL408" s="284" t="n">
        <f aca="false">IFERROR(($J408*Y408)*$L408, "")</f>
        <v>0</v>
      </c>
      <c r="AM408" s="285" t="n">
        <f aca="false">IFERROR(($J408*Z408)*$L408, "")</f>
        <v>0</v>
      </c>
      <c r="AN408" s="286" t="n">
        <f aca="false">IFERROR(SUMIF($AB$4:$AM$4, "RDEC", AB408:AM408), "")</f>
        <v>0</v>
      </c>
      <c r="AO408" s="286" t="n">
        <f aca="false">IFERROR(SUMIF($AB$4:$AM$4, "SME", AB408:AM408), "")</f>
        <v>0</v>
      </c>
      <c r="AP408" s="286" t="n">
        <f aca="false">IFERROR(SUMIF($AB$4:$AM$4, "De Minimis", AB408:AM408), "")</f>
        <v>0</v>
      </c>
      <c r="AQ408" s="283"/>
      <c r="AR408" s="284" t="n">
        <f aca="false">IFERROR(($J408*O408)*$M408, "")</f>
        <v>0</v>
      </c>
      <c r="AS408" s="284" t="n">
        <f aca="false">IFERROR(($J408*P408)*$M408, "")</f>
        <v>0</v>
      </c>
      <c r="AT408" s="284" t="n">
        <f aca="false">IFERROR(($J408*Q408)*$M408, "")</f>
        <v>0</v>
      </c>
      <c r="AU408" s="284" t="n">
        <f aca="false">IFERROR(($J408*R408)*$M408, "")</f>
        <v>0</v>
      </c>
      <c r="AV408" s="284" t="n">
        <f aca="false">IFERROR(($J408*S408)*$M408, "")</f>
        <v>0</v>
      </c>
      <c r="AW408" s="284" t="n">
        <f aca="false">IFERROR(($J408*T408)*$M408, "")</f>
        <v>0</v>
      </c>
      <c r="AX408" s="284" t="n">
        <f aca="false">IFERROR(($J408*U408)*$M408, "")</f>
        <v>0</v>
      </c>
      <c r="AY408" s="284" t="n">
        <f aca="false">IFERROR(($J408*V408)*$M408, "")</f>
        <v>0</v>
      </c>
      <c r="AZ408" s="284" t="n">
        <f aca="false">IFERROR(($J408*W408)*$M408, "")</f>
        <v>0</v>
      </c>
      <c r="BA408" s="284" t="n">
        <f aca="false">IFERROR(($J408*X408)*$M408, "")</f>
        <v>0</v>
      </c>
      <c r="BB408" s="284" t="n">
        <f aca="false">IFERROR(($J408*Y408)*$M408, "")</f>
        <v>0</v>
      </c>
      <c r="BC408" s="285" t="n">
        <f aca="false">IFERROR(($J408*Z408)*$M408, "")</f>
        <v>0</v>
      </c>
      <c r="BD408" s="286" t="n">
        <f aca="false">IFERROR(SUMIF($AB$4:$AM$4, "RDEC", AR408:BC408), "")</f>
        <v>0</v>
      </c>
      <c r="BE408" s="286" t="n">
        <f aca="false">IFERROR(SUMIF($AB$4:$AM$4, "SME", AR408:BC408), "")</f>
        <v>0</v>
      </c>
      <c r="BF408" s="286" t="n">
        <f aca="false">IFERROR(SUMIF($AB$4:$AM$4, "De Minimis", AR408:BC408), "")</f>
        <v>0</v>
      </c>
      <c r="BG408" s="287"/>
      <c r="BH408" s="288" t="str">
        <f aca="false">IF((SUM(O408:Z408)&gt;1),"ERROR","")</f>
        <v/>
      </c>
      <c r="BI408" s="287"/>
      <c r="BJ408" s="18" t="str">
        <f aca="false">IF(C394&gt;0, C394, "")</f>
        <v/>
      </c>
      <c r="BL408" s="200"/>
      <c r="BM408" s="200"/>
      <c r="BN408" s="200"/>
    </row>
    <row r="409" customFormat="false" ht="15" hidden="false" customHeight="true" outlineLevel="0" collapsed="false">
      <c r="B409" s="275"/>
      <c r="D409" s="276" t="n">
        <f aca="false">D393</f>
        <v>45323</v>
      </c>
      <c r="E409" s="277" t="n">
        <v>0</v>
      </c>
      <c r="F409" s="277" t="n">
        <v>0</v>
      </c>
      <c r="G409" s="277" t="n">
        <v>0</v>
      </c>
      <c r="H409" s="277" t="n">
        <v>0</v>
      </c>
      <c r="I409" s="277" t="n">
        <v>0</v>
      </c>
      <c r="J409" s="278" t="n">
        <f aca="false">E409+H409+I409</f>
        <v>0</v>
      </c>
      <c r="K409" s="204"/>
      <c r="L409" s="279" t="n">
        <v>1</v>
      </c>
      <c r="M409" s="280" t="n">
        <f aca="false">1-L409</f>
        <v>0</v>
      </c>
      <c r="N409" s="281"/>
      <c r="O409" s="282"/>
      <c r="P409" s="282"/>
      <c r="Q409" s="282"/>
      <c r="R409" s="282"/>
      <c r="S409" s="282"/>
      <c r="T409" s="282"/>
      <c r="U409" s="282"/>
      <c r="V409" s="282"/>
      <c r="W409" s="282"/>
      <c r="X409" s="282"/>
      <c r="Y409" s="282"/>
      <c r="Z409" s="282"/>
      <c r="AA409" s="283"/>
      <c r="AB409" s="284" t="n">
        <f aca="false">IFERROR(($J409*O409)*$L409, "")</f>
        <v>0</v>
      </c>
      <c r="AC409" s="284" t="n">
        <f aca="false">IFERROR(($J409*P409)*$L409, "")</f>
        <v>0</v>
      </c>
      <c r="AD409" s="284" t="n">
        <f aca="false">IFERROR(($J409*Q409)*$L409, "")</f>
        <v>0</v>
      </c>
      <c r="AE409" s="284" t="n">
        <f aca="false">IFERROR(($J409*R409)*$L409, "")</f>
        <v>0</v>
      </c>
      <c r="AF409" s="284" t="n">
        <f aca="false">IFERROR(($J409*S409)*$L409, "")</f>
        <v>0</v>
      </c>
      <c r="AG409" s="284" t="n">
        <f aca="false">IFERROR(($J409*T409)*$L409, "")</f>
        <v>0</v>
      </c>
      <c r="AH409" s="284" t="n">
        <f aca="false">IFERROR(($J409*U409)*$L409, "")</f>
        <v>0</v>
      </c>
      <c r="AI409" s="284" t="n">
        <f aca="false">IFERROR(($J409*V409)*$L409, "")</f>
        <v>0</v>
      </c>
      <c r="AJ409" s="284" t="n">
        <f aca="false">IFERROR(($J409*W409)*$L409, "")</f>
        <v>0</v>
      </c>
      <c r="AK409" s="284" t="n">
        <f aca="false">IFERROR(($J409*X409)*$L409, "")</f>
        <v>0</v>
      </c>
      <c r="AL409" s="284" t="n">
        <f aca="false">IFERROR(($J409*Y409)*$L409, "")</f>
        <v>0</v>
      </c>
      <c r="AM409" s="285" t="n">
        <f aca="false">IFERROR(($J409*Z409)*$L409, "")</f>
        <v>0</v>
      </c>
      <c r="AN409" s="286" t="n">
        <f aca="false">IFERROR(SUMIF($AB$4:$AM$4, "RDEC", AB409:AM409), "")</f>
        <v>0</v>
      </c>
      <c r="AO409" s="286" t="n">
        <f aca="false">IFERROR(SUMIF($AB$4:$AM$4, "SME", AB409:AM409), "")</f>
        <v>0</v>
      </c>
      <c r="AP409" s="286" t="n">
        <f aca="false">IFERROR(SUMIF($AB$4:$AM$4, "De Minimis", AB409:AM409), "")</f>
        <v>0</v>
      </c>
      <c r="AQ409" s="283"/>
      <c r="AR409" s="284" t="n">
        <f aca="false">IFERROR(($J409*O409)*$M409, "")</f>
        <v>0</v>
      </c>
      <c r="AS409" s="284" t="n">
        <f aca="false">IFERROR(($J409*P409)*$M409, "")</f>
        <v>0</v>
      </c>
      <c r="AT409" s="284" t="n">
        <f aca="false">IFERROR(($J409*Q409)*$M409, "")</f>
        <v>0</v>
      </c>
      <c r="AU409" s="284" t="n">
        <f aca="false">IFERROR(($J409*R409)*$M409, "")</f>
        <v>0</v>
      </c>
      <c r="AV409" s="284" t="n">
        <f aca="false">IFERROR(($J409*S409)*$M409, "")</f>
        <v>0</v>
      </c>
      <c r="AW409" s="284" t="n">
        <f aca="false">IFERROR(($J409*T409)*$M409, "")</f>
        <v>0</v>
      </c>
      <c r="AX409" s="284" t="n">
        <f aca="false">IFERROR(($J409*U409)*$M409, "")</f>
        <v>0</v>
      </c>
      <c r="AY409" s="284" t="n">
        <f aca="false">IFERROR(($J409*V409)*$M409, "")</f>
        <v>0</v>
      </c>
      <c r="AZ409" s="284" t="n">
        <f aca="false">IFERROR(($J409*W409)*$M409, "")</f>
        <v>0</v>
      </c>
      <c r="BA409" s="284" t="n">
        <f aca="false">IFERROR(($J409*X409)*$M409, "")</f>
        <v>0</v>
      </c>
      <c r="BB409" s="284" t="n">
        <f aca="false">IFERROR(($J409*Y409)*$M409, "")</f>
        <v>0</v>
      </c>
      <c r="BC409" s="285" t="n">
        <f aca="false">IFERROR(($J409*Z409)*$M409, "")</f>
        <v>0</v>
      </c>
      <c r="BD409" s="286" t="n">
        <f aca="false">IFERROR(SUMIF($AB$4:$AM$4, "RDEC", AR409:BC409), "")</f>
        <v>0</v>
      </c>
      <c r="BE409" s="286" t="n">
        <f aca="false">IFERROR(SUMIF($AB$4:$AM$4, "SME", AR409:BC409), "")</f>
        <v>0</v>
      </c>
      <c r="BF409" s="286" t="n">
        <f aca="false">IFERROR(SUMIF($AB$4:$AM$4, "De Minimis", AR409:BC409), "")</f>
        <v>0</v>
      </c>
      <c r="BG409" s="287"/>
      <c r="BH409" s="288" t="str">
        <f aca="false">IF((SUM(O409:Z409)&gt;1),"ERROR","")</f>
        <v/>
      </c>
      <c r="BI409" s="287"/>
      <c r="BJ409" s="18" t="str">
        <f aca="false">IF(C395&gt;0, C395, "")</f>
        <v/>
      </c>
      <c r="BL409" s="200"/>
      <c r="BM409" s="200"/>
      <c r="BN409" s="200"/>
    </row>
    <row r="410" customFormat="false" ht="15" hidden="false" customHeight="true" outlineLevel="0" collapsed="false">
      <c r="B410" s="275"/>
      <c r="D410" s="276" t="n">
        <f aca="false">D394</f>
        <v>45352</v>
      </c>
      <c r="E410" s="277" t="n">
        <v>0</v>
      </c>
      <c r="F410" s="277" t="n">
        <v>0</v>
      </c>
      <c r="G410" s="277" t="n">
        <v>0</v>
      </c>
      <c r="H410" s="277" t="n">
        <v>0</v>
      </c>
      <c r="I410" s="277" t="n">
        <v>0</v>
      </c>
      <c r="J410" s="278" t="n">
        <f aca="false">E410+H410+I410</f>
        <v>0</v>
      </c>
      <c r="K410" s="204"/>
      <c r="L410" s="279" t="n">
        <v>1</v>
      </c>
      <c r="M410" s="280" t="n">
        <f aca="false">1-L410</f>
        <v>0</v>
      </c>
      <c r="N410" s="281"/>
      <c r="O410" s="282"/>
      <c r="P410" s="282"/>
      <c r="Q410" s="282"/>
      <c r="R410" s="282"/>
      <c r="S410" s="282"/>
      <c r="T410" s="282"/>
      <c r="U410" s="282"/>
      <c r="V410" s="282"/>
      <c r="W410" s="282"/>
      <c r="X410" s="282"/>
      <c r="Y410" s="282"/>
      <c r="Z410" s="282"/>
      <c r="AA410" s="283"/>
      <c r="AB410" s="284" t="n">
        <f aca="false">IFERROR(($J410*O410)*$L410, "")</f>
        <v>0</v>
      </c>
      <c r="AC410" s="284" t="n">
        <f aca="false">IFERROR(($J410*P410)*$L410, "")</f>
        <v>0</v>
      </c>
      <c r="AD410" s="284" t="n">
        <f aca="false">IFERROR(($J410*Q410)*$L410, "")</f>
        <v>0</v>
      </c>
      <c r="AE410" s="284" t="n">
        <f aca="false">IFERROR(($J410*R410)*$L410, "")</f>
        <v>0</v>
      </c>
      <c r="AF410" s="284" t="n">
        <f aca="false">IFERROR(($J410*S410)*$L410, "")</f>
        <v>0</v>
      </c>
      <c r="AG410" s="284" t="n">
        <f aca="false">IFERROR(($J410*T410)*$L410, "")</f>
        <v>0</v>
      </c>
      <c r="AH410" s="284" t="n">
        <f aca="false">IFERROR(($J410*U410)*$L410, "")</f>
        <v>0</v>
      </c>
      <c r="AI410" s="284" t="n">
        <f aca="false">IFERROR(($J410*V410)*$L410, "")</f>
        <v>0</v>
      </c>
      <c r="AJ410" s="284" t="n">
        <f aca="false">IFERROR(($J410*W410)*$L410, "")</f>
        <v>0</v>
      </c>
      <c r="AK410" s="284" t="n">
        <f aca="false">IFERROR(($J410*X410)*$L410, "")</f>
        <v>0</v>
      </c>
      <c r="AL410" s="284" t="n">
        <f aca="false">IFERROR(($J410*Y410)*$L410, "")</f>
        <v>0</v>
      </c>
      <c r="AM410" s="285" t="n">
        <f aca="false">IFERROR(($J410*Z410)*$L410, "")</f>
        <v>0</v>
      </c>
      <c r="AN410" s="286" t="n">
        <f aca="false">IFERROR(SUMIF($AB$4:$AM$4, "RDEC", AB410:AM410), "")</f>
        <v>0</v>
      </c>
      <c r="AO410" s="286" t="n">
        <f aca="false">IFERROR(SUMIF($AB$4:$AM$4, "SME", AB410:AM410), "")</f>
        <v>0</v>
      </c>
      <c r="AP410" s="286" t="n">
        <f aca="false">IFERROR(SUMIF($AB$4:$AM$4, "De Minimis", AB410:AM410), "")</f>
        <v>0</v>
      </c>
      <c r="AQ410" s="283"/>
      <c r="AR410" s="284" t="n">
        <f aca="false">IFERROR(($J410*O410)*$M410, "")</f>
        <v>0</v>
      </c>
      <c r="AS410" s="284" t="n">
        <f aca="false">IFERROR(($J410*P410)*$M410, "")</f>
        <v>0</v>
      </c>
      <c r="AT410" s="284" t="n">
        <f aca="false">IFERROR(($J410*Q410)*$M410, "")</f>
        <v>0</v>
      </c>
      <c r="AU410" s="284" t="n">
        <f aca="false">IFERROR(($J410*R410)*$M410, "")</f>
        <v>0</v>
      </c>
      <c r="AV410" s="284" t="n">
        <f aca="false">IFERROR(($J410*S410)*$M410, "")</f>
        <v>0</v>
      </c>
      <c r="AW410" s="284" t="n">
        <f aca="false">IFERROR(($J410*T410)*$M410, "")</f>
        <v>0</v>
      </c>
      <c r="AX410" s="284" t="n">
        <f aca="false">IFERROR(($J410*U410)*$M410, "")</f>
        <v>0</v>
      </c>
      <c r="AY410" s="284" t="n">
        <f aca="false">IFERROR(($J410*V410)*$M410, "")</f>
        <v>0</v>
      </c>
      <c r="AZ410" s="284" t="n">
        <f aca="false">IFERROR(($J410*W410)*$M410, "")</f>
        <v>0</v>
      </c>
      <c r="BA410" s="284" t="n">
        <f aca="false">IFERROR(($J410*X410)*$M410, "")</f>
        <v>0</v>
      </c>
      <c r="BB410" s="284" t="n">
        <f aca="false">IFERROR(($J410*Y410)*$M410, "")</f>
        <v>0</v>
      </c>
      <c r="BC410" s="285" t="n">
        <f aca="false">IFERROR(($J410*Z410)*$M410, "")</f>
        <v>0</v>
      </c>
      <c r="BD410" s="286" t="n">
        <f aca="false">IFERROR(SUMIF($AB$4:$AM$4, "RDEC", AR410:BC410), "")</f>
        <v>0</v>
      </c>
      <c r="BE410" s="286" t="n">
        <f aca="false">IFERROR(SUMIF($AB$4:$AM$4, "SME", AR410:BC410), "")</f>
        <v>0</v>
      </c>
      <c r="BF410" s="286" t="n">
        <f aca="false">IFERROR(SUMIF($AB$4:$AM$4, "De Minimis", AR410:BC410), "")</f>
        <v>0</v>
      </c>
      <c r="BG410" s="287"/>
      <c r="BH410" s="288" t="str">
        <f aca="false">IF((SUM(O410:Z410)&gt;1),"ERROR","")</f>
        <v/>
      </c>
      <c r="BI410" s="287"/>
      <c r="BJ410" s="18" t="str">
        <f aca="false">IF(C396&gt;0, C396, "")</f>
        <v/>
      </c>
      <c r="BL410" s="200"/>
      <c r="BM410" s="200"/>
      <c r="BN410" s="200"/>
    </row>
    <row r="411" customFormat="false" ht="15" hidden="false" customHeight="true" outlineLevel="0" collapsed="false">
      <c r="B411" s="275"/>
      <c r="D411" s="276" t="n">
        <f aca="false">D395</f>
        <v>45383</v>
      </c>
      <c r="E411" s="277" t="n">
        <v>0</v>
      </c>
      <c r="F411" s="277" t="n">
        <v>0</v>
      </c>
      <c r="G411" s="277" t="n">
        <v>0</v>
      </c>
      <c r="H411" s="277" t="n">
        <v>0</v>
      </c>
      <c r="I411" s="277" t="n">
        <v>0</v>
      </c>
      <c r="J411" s="278" t="n">
        <f aca="false">E411+H411+I411</f>
        <v>0</v>
      </c>
      <c r="K411" s="204"/>
      <c r="L411" s="279" t="n">
        <v>1</v>
      </c>
      <c r="M411" s="280" t="n">
        <f aca="false">1-L411</f>
        <v>0</v>
      </c>
      <c r="N411" s="281"/>
      <c r="O411" s="282"/>
      <c r="P411" s="282"/>
      <c r="Q411" s="282"/>
      <c r="R411" s="282"/>
      <c r="S411" s="282"/>
      <c r="T411" s="282"/>
      <c r="U411" s="282"/>
      <c r="V411" s="282"/>
      <c r="W411" s="282"/>
      <c r="X411" s="282"/>
      <c r="Y411" s="282"/>
      <c r="Z411" s="282"/>
      <c r="AA411" s="283"/>
      <c r="AB411" s="284" t="n">
        <f aca="false">IFERROR(($J411*O411)*$L411, "")</f>
        <v>0</v>
      </c>
      <c r="AC411" s="284" t="n">
        <f aca="false">IFERROR(($J411*P411)*$L411, "")</f>
        <v>0</v>
      </c>
      <c r="AD411" s="284" t="n">
        <f aca="false">IFERROR(($J411*Q411)*$L411, "")</f>
        <v>0</v>
      </c>
      <c r="AE411" s="284" t="n">
        <f aca="false">IFERROR(($J411*R411)*$L411, "")</f>
        <v>0</v>
      </c>
      <c r="AF411" s="284" t="n">
        <f aca="false">IFERROR(($J411*S411)*$L411, "")</f>
        <v>0</v>
      </c>
      <c r="AG411" s="284" t="n">
        <f aca="false">IFERROR(($J411*T411)*$L411, "")</f>
        <v>0</v>
      </c>
      <c r="AH411" s="284" t="n">
        <f aca="false">IFERROR(($J411*U411)*$L411, "")</f>
        <v>0</v>
      </c>
      <c r="AI411" s="284" t="n">
        <f aca="false">IFERROR(($J411*V411)*$L411, "")</f>
        <v>0</v>
      </c>
      <c r="AJ411" s="284" t="n">
        <f aca="false">IFERROR(($J411*W411)*$L411, "")</f>
        <v>0</v>
      </c>
      <c r="AK411" s="284" t="n">
        <f aca="false">IFERROR(($J411*X411)*$L411, "")</f>
        <v>0</v>
      </c>
      <c r="AL411" s="284" t="n">
        <f aca="false">IFERROR(($J411*Y411)*$L411, "")</f>
        <v>0</v>
      </c>
      <c r="AM411" s="285" t="n">
        <f aca="false">IFERROR(($J411*Z411)*$L411, "")</f>
        <v>0</v>
      </c>
      <c r="AN411" s="286" t="n">
        <f aca="false">IFERROR(SUMIF($AB$4:$AM$4, "RDEC", AB411:AM411), "")</f>
        <v>0</v>
      </c>
      <c r="AO411" s="286" t="n">
        <f aca="false">IFERROR(SUMIF($AB$4:$AM$4, "SME", AB411:AM411), "")</f>
        <v>0</v>
      </c>
      <c r="AP411" s="286" t="n">
        <f aca="false">IFERROR(SUMIF($AB$4:$AM$4, "De Minimis", AB411:AM411), "")</f>
        <v>0</v>
      </c>
      <c r="AQ411" s="283"/>
      <c r="AR411" s="284" t="n">
        <f aca="false">IFERROR(($J411*O411)*$M411, "")</f>
        <v>0</v>
      </c>
      <c r="AS411" s="284" t="n">
        <f aca="false">IFERROR(($J411*P411)*$M411, "")</f>
        <v>0</v>
      </c>
      <c r="AT411" s="284" t="n">
        <f aca="false">IFERROR(($J411*Q411)*$M411, "")</f>
        <v>0</v>
      </c>
      <c r="AU411" s="284" t="n">
        <f aca="false">IFERROR(($J411*R411)*$M411, "")</f>
        <v>0</v>
      </c>
      <c r="AV411" s="284" t="n">
        <f aca="false">IFERROR(($J411*S411)*$M411, "")</f>
        <v>0</v>
      </c>
      <c r="AW411" s="284" t="n">
        <f aca="false">IFERROR(($J411*T411)*$M411, "")</f>
        <v>0</v>
      </c>
      <c r="AX411" s="284" t="n">
        <f aca="false">IFERROR(($J411*U411)*$M411, "")</f>
        <v>0</v>
      </c>
      <c r="AY411" s="284" t="n">
        <f aca="false">IFERROR(($J411*V411)*$M411, "")</f>
        <v>0</v>
      </c>
      <c r="AZ411" s="284" t="n">
        <f aca="false">IFERROR(($J411*W411)*$M411, "")</f>
        <v>0</v>
      </c>
      <c r="BA411" s="284" t="n">
        <f aca="false">IFERROR(($J411*X411)*$M411, "")</f>
        <v>0</v>
      </c>
      <c r="BB411" s="284" t="n">
        <f aca="false">IFERROR(($J411*Y411)*$M411, "")</f>
        <v>0</v>
      </c>
      <c r="BC411" s="285" t="n">
        <f aca="false">IFERROR(($J411*Z411)*$M411, "")</f>
        <v>0</v>
      </c>
      <c r="BD411" s="286" t="n">
        <f aca="false">IFERROR(SUMIF($AB$4:$AM$4, "RDEC", AR411:BC411), "")</f>
        <v>0</v>
      </c>
      <c r="BE411" s="286" t="n">
        <f aca="false">IFERROR(SUMIF($AB$4:$AM$4, "SME", AR411:BC411), "")</f>
        <v>0</v>
      </c>
      <c r="BF411" s="286" t="n">
        <f aca="false">IFERROR(SUMIF($AB$4:$AM$4, "De Minimis", AR411:BC411), "")</f>
        <v>0</v>
      </c>
      <c r="BG411" s="287"/>
      <c r="BH411" s="288" t="str">
        <f aca="false">IF((SUM(O411:Z411)&gt;1),"ERROR","")</f>
        <v/>
      </c>
      <c r="BI411" s="287"/>
      <c r="BJ411" s="18" t="str">
        <f aca="false">IF(C397&gt;0, C397, "")</f>
        <v/>
      </c>
      <c r="BL411" s="200"/>
      <c r="BM411" s="200"/>
      <c r="BN411" s="200"/>
    </row>
    <row r="412" customFormat="false" ht="15" hidden="false" customHeight="true" outlineLevel="0" collapsed="false">
      <c r="B412" s="275"/>
      <c r="D412" s="276" t="n">
        <f aca="false">D396</f>
        <v>45413</v>
      </c>
      <c r="E412" s="277" t="n">
        <v>0</v>
      </c>
      <c r="F412" s="277" t="n">
        <v>0</v>
      </c>
      <c r="G412" s="277" t="n">
        <v>0</v>
      </c>
      <c r="H412" s="277" t="n">
        <v>0</v>
      </c>
      <c r="I412" s="277" t="n">
        <v>0</v>
      </c>
      <c r="J412" s="278" t="n">
        <f aca="false">E412+H412+I412</f>
        <v>0</v>
      </c>
      <c r="K412" s="204"/>
      <c r="L412" s="279" t="n">
        <v>1</v>
      </c>
      <c r="M412" s="280" t="n">
        <f aca="false">1-L412</f>
        <v>0</v>
      </c>
      <c r="N412" s="281"/>
      <c r="O412" s="282"/>
      <c r="P412" s="282"/>
      <c r="Q412" s="282"/>
      <c r="R412" s="282"/>
      <c r="S412" s="282"/>
      <c r="T412" s="282"/>
      <c r="U412" s="282"/>
      <c r="V412" s="282"/>
      <c r="W412" s="282"/>
      <c r="X412" s="282"/>
      <c r="Y412" s="282"/>
      <c r="Z412" s="282"/>
      <c r="AA412" s="283"/>
      <c r="AB412" s="284" t="n">
        <f aca="false">IFERROR(($J412*O412)*$L412, "")</f>
        <v>0</v>
      </c>
      <c r="AC412" s="284" t="n">
        <f aca="false">IFERROR(($J412*P412)*$L412, "")</f>
        <v>0</v>
      </c>
      <c r="AD412" s="284" t="n">
        <f aca="false">IFERROR(($J412*Q412)*$L412, "")</f>
        <v>0</v>
      </c>
      <c r="AE412" s="284" t="n">
        <f aca="false">IFERROR(($J412*R412)*$L412, "")</f>
        <v>0</v>
      </c>
      <c r="AF412" s="284" t="n">
        <f aca="false">IFERROR(($J412*S412)*$L412, "")</f>
        <v>0</v>
      </c>
      <c r="AG412" s="284" t="n">
        <f aca="false">IFERROR(($J412*T412)*$L412, "")</f>
        <v>0</v>
      </c>
      <c r="AH412" s="284" t="n">
        <f aca="false">IFERROR(($J412*U412)*$L412, "")</f>
        <v>0</v>
      </c>
      <c r="AI412" s="284" t="n">
        <f aca="false">IFERROR(($J412*V412)*$L412, "")</f>
        <v>0</v>
      </c>
      <c r="AJ412" s="284" t="n">
        <f aca="false">IFERROR(($J412*W412)*$L412, "")</f>
        <v>0</v>
      </c>
      <c r="AK412" s="284" t="n">
        <f aca="false">IFERROR(($J412*X412)*$L412, "")</f>
        <v>0</v>
      </c>
      <c r="AL412" s="284" t="n">
        <f aca="false">IFERROR(($J412*Y412)*$L412, "")</f>
        <v>0</v>
      </c>
      <c r="AM412" s="285" t="n">
        <f aca="false">IFERROR(($J412*Z412)*$L412, "")</f>
        <v>0</v>
      </c>
      <c r="AN412" s="286" t="n">
        <f aca="false">IFERROR(SUMIF($AB$4:$AM$4, "RDEC", AB412:AM412), "")</f>
        <v>0</v>
      </c>
      <c r="AO412" s="286" t="n">
        <f aca="false">IFERROR(SUMIF($AB$4:$AM$4, "SME", AB412:AM412), "")</f>
        <v>0</v>
      </c>
      <c r="AP412" s="286" t="n">
        <f aca="false">IFERROR(SUMIF($AB$4:$AM$4, "De Minimis", AB412:AM412), "")</f>
        <v>0</v>
      </c>
      <c r="AQ412" s="283"/>
      <c r="AR412" s="284" t="n">
        <f aca="false">IFERROR(($J412*O412)*$M412, "")</f>
        <v>0</v>
      </c>
      <c r="AS412" s="284" t="n">
        <f aca="false">IFERROR(($J412*P412)*$M412, "")</f>
        <v>0</v>
      </c>
      <c r="AT412" s="284" t="n">
        <f aca="false">IFERROR(($J412*Q412)*$M412, "")</f>
        <v>0</v>
      </c>
      <c r="AU412" s="284" t="n">
        <f aca="false">IFERROR(($J412*R412)*$M412, "")</f>
        <v>0</v>
      </c>
      <c r="AV412" s="284" t="n">
        <f aca="false">IFERROR(($J412*S412)*$M412, "")</f>
        <v>0</v>
      </c>
      <c r="AW412" s="284" t="n">
        <f aca="false">IFERROR(($J412*T412)*$M412, "")</f>
        <v>0</v>
      </c>
      <c r="AX412" s="284" t="n">
        <f aca="false">IFERROR(($J412*U412)*$M412, "")</f>
        <v>0</v>
      </c>
      <c r="AY412" s="284" t="n">
        <f aca="false">IFERROR(($J412*V412)*$M412, "")</f>
        <v>0</v>
      </c>
      <c r="AZ412" s="284" t="n">
        <f aca="false">IFERROR(($J412*W412)*$M412, "")</f>
        <v>0</v>
      </c>
      <c r="BA412" s="284" t="n">
        <f aca="false">IFERROR(($J412*X412)*$M412, "")</f>
        <v>0</v>
      </c>
      <c r="BB412" s="284" t="n">
        <f aca="false">IFERROR(($J412*Y412)*$M412, "")</f>
        <v>0</v>
      </c>
      <c r="BC412" s="285" t="n">
        <f aca="false">IFERROR(($J412*Z412)*$M412, "")</f>
        <v>0</v>
      </c>
      <c r="BD412" s="286" t="n">
        <f aca="false">IFERROR(SUMIF($AB$4:$AM$4, "RDEC", AR412:BC412), "")</f>
        <v>0</v>
      </c>
      <c r="BE412" s="286" t="n">
        <f aca="false">IFERROR(SUMIF($AB$4:$AM$4, "SME", AR412:BC412), "")</f>
        <v>0</v>
      </c>
      <c r="BF412" s="286" t="n">
        <f aca="false">IFERROR(SUMIF($AB$4:$AM$4, "De Minimis", AR412:BC412), "")</f>
        <v>0</v>
      </c>
      <c r="BG412" s="287"/>
      <c r="BH412" s="288" t="str">
        <f aca="false">IF((SUM(O412:Z412)&gt;1),"ERROR","")</f>
        <v/>
      </c>
      <c r="BI412" s="287"/>
      <c r="BJ412" s="18" t="str">
        <f aca="false">IF(C398&gt;0, C398, "")</f>
        <v/>
      </c>
      <c r="BL412" s="200"/>
      <c r="BM412" s="200"/>
      <c r="BN412" s="200"/>
    </row>
    <row r="413" customFormat="false" ht="15" hidden="false" customHeight="true" outlineLevel="0" collapsed="false">
      <c r="B413" s="275"/>
      <c r="D413" s="276" t="n">
        <f aca="false">D397</f>
        <v>45444</v>
      </c>
      <c r="E413" s="277" t="n">
        <v>0</v>
      </c>
      <c r="F413" s="277" t="n">
        <v>0</v>
      </c>
      <c r="G413" s="277" t="n">
        <v>0</v>
      </c>
      <c r="H413" s="277" t="n">
        <v>0</v>
      </c>
      <c r="I413" s="277" t="n">
        <v>0</v>
      </c>
      <c r="J413" s="278" t="n">
        <f aca="false">E413+H413+I413</f>
        <v>0</v>
      </c>
      <c r="K413" s="204"/>
      <c r="L413" s="279" t="n">
        <v>1</v>
      </c>
      <c r="M413" s="280" t="n">
        <f aca="false">1-L413</f>
        <v>0</v>
      </c>
      <c r="N413" s="281"/>
      <c r="O413" s="282"/>
      <c r="P413" s="282"/>
      <c r="Q413" s="282"/>
      <c r="R413" s="282"/>
      <c r="S413" s="282"/>
      <c r="T413" s="282"/>
      <c r="U413" s="282"/>
      <c r="V413" s="282"/>
      <c r="W413" s="282"/>
      <c r="X413" s="282"/>
      <c r="Y413" s="282"/>
      <c r="Z413" s="282"/>
      <c r="AA413" s="283"/>
      <c r="AB413" s="284" t="n">
        <f aca="false">IFERROR(($J413*O413)*$L413, "")</f>
        <v>0</v>
      </c>
      <c r="AC413" s="284" t="n">
        <f aca="false">IFERROR(($J413*P413)*$L413, "")</f>
        <v>0</v>
      </c>
      <c r="AD413" s="284" t="n">
        <f aca="false">IFERROR(($J413*Q413)*$L413, "")</f>
        <v>0</v>
      </c>
      <c r="AE413" s="284" t="n">
        <f aca="false">IFERROR(($J413*R413)*$L413, "")</f>
        <v>0</v>
      </c>
      <c r="AF413" s="284" t="n">
        <f aca="false">IFERROR(($J413*S413)*$L413, "")</f>
        <v>0</v>
      </c>
      <c r="AG413" s="284" t="n">
        <f aca="false">IFERROR(($J413*T413)*$L413, "")</f>
        <v>0</v>
      </c>
      <c r="AH413" s="284" t="n">
        <f aca="false">IFERROR(($J413*U413)*$L413, "")</f>
        <v>0</v>
      </c>
      <c r="AI413" s="284" t="n">
        <f aca="false">IFERROR(($J413*V413)*$L413, "")</f>
        <v>0</v>
      </c>
      <c r="AJ413" s="284" t="n">
        <f aca="false">IFERROR(($J413*W413)*$L413, "")</f>
        <v>0</v>
      </c>
      <c r="AK413" s="284" t="n">
        <f aca="false">IFERROR(($J413*X413)*$L413, "")</f>
        <v>0</v>
      </c>
      <c r="AL413" s="284" t="n">
        <f aca="false">IFERROR(($J413*Y413)*$L413, "")</f>
        <v>0</v>
      </c>
      <c r="AM413" s="285" t="n">
        <f aca="false">IFERROR(($J413*Z413)*$L413, "")</f>
        <v>0</v>
      </c>
      <c r="AN413" s="286" t="n">
        <f aca="false">IFERROR(SUMIF($AB$4:$AM$4, "RDEC", AB413:AM413), "")</f>
        <v>0</v>
      </c>
      <c r="AO413" s="286" t="n">
        <f aca="false">IFERROR(SUMIF($AB$4:$AM$4, "SME", AB413:AM413), "")</f>
        <v>0</v>
      </c>
      <c r="AP413" s="286" t="n">
        <f aca="false">IFERROR(SUMIF($AB$4:$AM$4, "De Minimis", AB413:AM413), "")</f>
        <v>0</v>
      </c>
      <c r="AQ413" s="283"/>
      <c r="AR413" s="284" t="n">
        <f aca="false">IFERROR(($J413*O413)*$M413, "")</f>
        <v>0</v>
      </c>
      <c r="AS413" s="284" t="n">
        <f aca="false">IFERROR(($J413*P413)*$M413, "")</f>
        <v>0</v>
      </c>
      <c r="AT413" s="284" t="n">
        <f aca="false">IFERROR(($J413*Q413)*$M413, "")</f>
        <v>0</v>
      </c>
      <c r="AU413" s="284" t="n">
        <f aca="false">IFERROR(($J413*R413)*$M413, "")</f>
        <v>0</v>
      </c>
      <c r="AV413" s="284" t="n">
        <f aca="false">IFERROR(($J413*S413)*$M413, "")</f>
        <v>0</v>
      </c>
      <c r="AW413" s="284" t="n">
        <f aca="false">IFERROR(($J413*T413)*$M413, "")</f>
        <v>0</v>
      </c>
      <c r="AX413" s="284" t="n">
        <f aca="false">IFERROR(($J413*U413)*$M413, "")</f>
        <v>0</v>
      </c>
      <c r="AY413" s="284" t="n">
        <f aca="false">IFERROR(($J413*V413)*$M413, "")</f>
        <v>0</v>
      </c>
      <c r="AZ413" s="284" t="n">
        <f aca="false">IFERROR(($J413*W413)*$M413, "")</f>
        <v>0</v>
      </c>
      <c r="BA413" s="284" t="n">
        <f aca="false">IFERROR(($J413*X413)*$M413, "")</f>
        <v>0</v>
      </c>
      <c r="BB413" s="284" t="n">
        <f aca="false">IFERROR(($J413*Y413)*$M413, "")</f>
        <v>0</v>
      </c>
      <c r="BC413" s="285" t="n">
        <f aca="false">IFERROR(($J413*Z413)*$M413, "")</f>
        <v>0</v>
      </c>
      <c r="BD413" s="286" t="n">
        <f aca="false">IFERROR(SUMIF($AB$4:$AM$4, "RDEC", AR413:BC413), "")</f>
        <v>0</v>
      </c>
      <c r="BE413" s="286" t="n">
        <f aca="false">IFERROR(SUMIF($AB$4:$AM$4, "SME", AR413:BC413), "")</f>
        <v>0</v>
      </c>
      <c r="BF413" s="286" t="n">
        <f aca="false">IFERROR(SUMIF($AB$4:$AM$4, "De Minimis", AR413:BC413), "")</f>
        <v>0</v>
      </c>
      <c r="BG413" s="287"/>
      <c r="BH413" s="288" t="str">
        <f aca="false">IF((SUM(O413:Z413)&gt;1),"ERROR","")</f>
        <v/>
      </c>
      <c r="BI413" s="287"/>
      <c r="BJ413" s="18" t="str">
        <f aca="false">IF(C399&gt;0, C399, "")</f>
        <v/>
      </c>
      <c r="BL413" s="200"/>
      <c r="BM413" s="200"/>
      <c r="BN413" s="200"/>
    </row>
    <row r="414" customFormat="false" ht="15" hidden="false" customHeight="true" outlineLevel="0" collapsed="false">
      <c r="B414" s="275"/>
      <c r="D414" s="276" t="n">
        <f aca="false">D398</f>
        <v>45474</v>
      </c>
      <c r="E414" s="277" t="n">
        <v>0</v>
      </c>
      <c r="F414" s="277" t="n">
        <v>0</v>
      </c>
      <c r="G414" s="277" t="n">
        <v>0</v>
      </c>
      <c r="H414" s="277" t="n">
        <v>0</v>
      </c>
      <c r="I414" s="277" t="n">
        <v>0</v>
      </c>
      <c r="J414" s="278" t="n">
        <f aca="false">E414+H414+I414</f>
        <v>0</v>
      </c>
      <c r="K414" s="204"/>
      <c r="L414" s="279" t="n">
        <v>1</v>
      </c>
      <c r="M414" s="280" t="n">
        <f aca="false">1-L414</f>
        <v>0</v>
      </c>
      <c r="N414" s="281"/>
      <c r="O414" s="282"/>
      <c r="P414" s="282"/>
      <c r="Q414" s="282"/>
      <c r="R414" s="282"/>
      <c r="S414" s="282"/>
      <c r="T414" s="282"/>
      <c r="U414" s="282"/>
      <c r="V414" s="282"/>
      <c r="W414" s="282"/>
      <c r="X414" s="282"/>
      <c r="Y414" s="282"/>
      <c r="Z414" s="282"/>
      <c r="AA414" s="283"/>
      <c r="AB414" s="284" t="n">
        <f aca="false">IFERROR(($J414*O414)*$L414, "")</f>
        <v>0</v>
      </c>
      <c r="AC414" s="284" t="n">
        <f aca="false">IFERROR(($J414*P414)*$L414, "")</f>
        <v>0</v>
      </c>
      <c r="AD414" s="284" t="n">
        <f aca="false">IFERROR(($J414*Q414)*$L414, "")</f>
        <v>0</v>
      </c>
      <c r="AE414" s="284" t="n">
        <f aca="false">IFERROR(($J414*R414)*$L414, "")</f>
        <v>0</v>
      </c>
      <c r="AF414" s="284" t="n">
        <f aca="false">IFERROR(($J414*S414)*$L414, "")</f>
        <v>0</v>
      </c>
      <c r="AG414" s="284" t="n">
        <f aca="false">IFERROR(($J414*T414)*$L414, "")</f>
        <v>0</v>
      </c>
      <c r="AH414" s="284" t="n">
        <f aca="false">IFERROR(($J414*U414)*$L414, "")</f>
        <v>0</v>
      </c>
      <c r="AI414" s="284" t="n">
        <f aca="false">IFERROR(($J414*V414)*$L414, "")</f>
        <v>0</v>
      </c>
      <c r="AJ414" s="284" t="n">
        <f aca="false">IFERROR(($J414*W414)*$L414, "")</f>
        <v>0</v>
      </c>
      <c r="AK414" s="284" t="n">
        <f aca="false">IFERROR(($J414*X414)*$L414, "")</f>
        <v>0</v>
      </c>
      <c r="AL414" s="284" t="n">
        <f aca="false">IFERROR(($J414*Y414)*$L414, "")</f>
        <v>0</v>
      </c>
      <c r="AM414" s="285" t="n">
        <f aca="false">IFERROR(($J414*Z414)*$L414, "")</f>
        <v>0</v>
      </c>
      <c r="AN414" s="286" t="n">
        <f aca="false">IFERROR(SUMIF($AB$4:$AM$4, "RDEC", AB414:AM414), "")</f>
        <v>0</v>
      </c>
      <c r="AO414" s="286" t="n">
        <f aca="false">IFERROR(SUMIF($AB$4:$AM$4, "SME", AB414:AM414), "")</f>
        <v>0</v>
      </c>
      <c r="AP414" s="286" t="n">
        <f aca="false">IFERROR(SUMIF($AB$4:$AM$4, "De Minimis", AB414:AM414), "")</f>
        <v>0</v>
      </c>
      <c r="AQ414" s="283"/>
      <c r="AR414" s="284" t="n">
        <f aca="false">IFERROR(($J414*O414)*$M414, "")</f>
        <v>0</v>
      </c>
      <c r="AS414" s="284" t="n">
        <f aca="false">IFERROR(($J414*P414)*$M414, "")</f>
        <v>0</v>
      </c>
      <c r="AT414" s="284" t="n">
        <f aca="false">IFERROR(($J414*Q414)*$M414, "")</f>
        <v>0</v>
      </c>
      <c r="AU414" s="284" t="n">
        <f aca="false">IFERROR(($J414*R414)*$M414, "")</f>
        <v>0</v>
      </c>
      <c r="AV414" s="284" t="n">
        <f aca="false">IFERROR(($J414*S414)*$M414, "")</f>
        <v>0</v>
      </c>
      <c r="AW414" s="284" t="n">
        <f aca="false">IFERROR(($J414*T414)*$M414, "")</f>
        <v>0</v>
      </c>
      <c r="AX414" s="284" t="n">
        <f aca="false">IFERROR(($J414*U414)*$M414, "")</f>
        <v>0</v>
      </c>
      <c r="AY414" s="284" t="n">
        <f aca="false">IFERROR(($J414*V414)*$M414, "")</f>
        <v>0</v>
      </c>
      <c r="AZ414" s="284" t="n">
        <f aca="false">IFERROR(($J414*W414)*$M414, "")</f>
        <v>0</v>
      </c>
      <c r="BA414" s="284" t="n">
        <f aca="false">IFERROR(($J414*X414)*$M414, "")</f>
        <v>0</v>
      </c>
      <c r="BB414" s="284" t="n">
        <f aca="false">IFERROR(($J414*Y414)*$M414, "")</f>
        <v>0</v>
      </c>
      <c r="BC414" s="285" t="n">
        <f aca="false">IFERROR(($J414*Z414)*$M414, "")</f>
        <v>0</v>
      </c>
      <c r="BD414" s="286" t="n">
        <f aca="false">IFERROR(SUMIF($AB$4:$AM$4, "RDEC", AR414:BC414), "")</f>
        <v>0</v>
      </c>
      <c r="BE414" s="286" t="n">
        <f aca="false">IFERROR(SUMIF($AB$4:$AM$4, "SME", AR414:BC414), "")</f>
        <v>0</v>
      </c>
      <c r="BF414" s="286" t="n">
        <f aca="false">IFERROR(SUMIF($AB$4:$AM$4, "De Minimis", AR414:BC414), "")</f>
        <v>0</v>
      </c>
      <c r="BG414" s="287"/>
      <c r="BH414" s="288" t="str">
        <f aca="false">IF((SUM(O414:Z414)&gt;1),"ERROR","")</f>
        <v/>
      </c>
      <c r="BI414" s="287"/>
      <c r="BJ414" s="18" t="str">
        <f aca="false">IF(C400&gt;0, C400, "")</f>
        <v/>
      </c>
      <c r="BL414" s="200"/>
      <c r="BM414" s="200"/>
      <c r="BN414" s="200"/>
    </row>
    <row r="415" customFormat="false" ht="15" hidden="false" customHeight="true" outlineLevel="0" collapsed="false">
      <c r="B415" s="275"/>
      <c r="D415" s="276" t="n">
        <f aca="false">D399</f>
        <v>45505</v>
      </c>
      <c r="E415" s="277" t="n">
        <v>0</v>
      </c>
      <c r="F415" s="277" t="n">
        <v>0</v>
      </c>
      <c r="G415" s="277" t="n">
        <v>0</v>
      </c>
      <c r="H415" s="277" t="n">
        <v>0</v>
      </c>
      <c r="I415" s="277" t="n">
        <v>0</v>
      </c>
      <c r="J415" s="278" t="n">
        <f aca="false">E415+H415+I415</f>
        <v>0</v>
      </c>
      <c r="K415" s="204"/>
      <c r="L415" s="279" t="n">
        <v>1</v>
      </c>
      <c r="M415" s="280" t="n">
        <f aca="false">1-L415</f>
        <v>0</v>
      </c>
      <c r="N415" s="281"/>
      <c r="O415" s="282"/>
      <c r="P415" s="282"/>
      <c r="Q415" s="282"/>
      <c r="R415" s="282"/>
      <c r="S415" s="282"/>
      <c r="T415" s="282"/>
      <c r="U415" s="282"/>
      <c r="V415" s="282"/>
      <c r="W415" s="282"/>
      <c r="X415" s="282"/>
      <c r="Y415" s="282"/>
      <c r="Z415" s="282"/>
      <c r="AA415" s="283"/>
      <c r="AB415" s="284" t="n">
        <f aca="false">IFERROR(($J415*O415)*$L415, "")</f>
        <v>0</v>
      </c>
      <c r="AC415" s="284" t="n">
        <f aca="false">IFERROR(($J415*P415)*$L415, "")</f>
        <v>0</v>
      </c>
      <c r="AD415" s="284" t="n">
        <f aca="false">IFERROR(($J415*Q415)*$L415, "")</f>
        <v>0</v>
      </c>
      <c r="AE415" s="284" t="n">
        <f aca="false">IFERROR(($J415*R415)*$L415, "")</f>
        <v>0</v>
      </c>
      <c r="AF415" s="284" t="n">
        <f aca="false">IFERROR(($J415*S415)*$L415, "")</f>
        <v>0</v>
      </c>
      <c r="AG415" s="284" t="n">
        <f aca="false">IFERROR(($J415*T415)*$L415, "")</f>
        <v>0</v>
      </c>
      <c r="AH415" s="284" t="n">
        <f aca="false">IFERROR(($J415*U415)*$L415, "")</f>
        <v>0</v>
      </c>
      <c r="AI415" s="284" t="n">
        <f aca="false">IFERROR(($J415*V415)*$L415, "")</f>
        <v>0</v>
      </c>
      <c r="AJ415" s="284" t="n">
        <f aca="false">IFERROR(($J415*W415)*$L415, "")</f>
        <v>0</v>
      </c>
      <c r="AK415" s="284" t="n">
        <f aca="false">IFERROR(($J415*X415)*$L415, "")</f>
        <v>0</v>
      </c>
      <c r="AL415" s="284" t="n">
        <f aca="false">IFERROR(($J415*Y415)*$L415, "")</f>
        <v>0</v>
      </c>
      <c r="AM415" s="285" t="n">
        <f aca="false">IFERROR(($J415*Z415)*$L415, "")</f>
        <v>0</v>
      </c>
      <c r="AN415" s="286" t="n">
        <f aca="false">IFERROR(SUMIF($AB$4:$AM$4, "RDEC", AB415:AM415), "")</f>
        <v>0</v>
      </c>
      <c r="AO415" s="286" t="n">
        <f aca="false">IFERROR(SUMIF($AB$4:$AM$4, "SME", AB415:AM415), "")</f>
        <v>0</v>
      </c>
      <c r="AP415" s="286" t="n">
        <f aca="false">IFERROR(SUMIF($AB$4:$AM$4, "De Minimis", AB415:AM415), "")</f>
        <v>0</v>
      </c>
      <c r="AQ415" s="283"/>
      <c r="AR415" s="284" t="n">
        <f aca="false">IFERROR(($J415*O415)*$M415, "")</f>
        <v>0</v>
      </c>
      <c r="AS415" s="284" t="n">
        <f aca="false">IFERROR(($J415*P415)*$M415, "")</f>
        <v>0</v>
      </c>
      <c r="AT415" s="284" t="n">
        <f aca="false">IFERROR(($J415*Q415)*$M415, "")</f>
        <v>0</v>
      </c>
      <c r="AU415" s="284" t="n">
        <f aca="false">IFERROR(($J415*R415)*$M415, "")</f>
        <v>0</v>
      </c>
      <c r="AV415" s="284" t="n">
        <f aca="false">IFERROR(($J415*S415)*$M415, "")</f>
        <v>0</v>
      </c>
      <c r="AW415" s="284" t="n">
        <f aca="false">IFERROR(($J415*T415)*$M415, "")</f>
        <v>0</v>
      </c>
      <c r="AX415" s="284" t="n">
        <f aca="false">IFERROR(($J415*U415)*$M415, "")</f>
        <v>0</v>
      </c>
      <c r="AY415" s="284" t="n">
        <f aca="false">IFERROR(($J415*V415)*$M415, "")</f>
        <v>0</v>
      </c>
      <c r="AZ415" s="284" t="n">
        <f aca="false">IFERROR(($J415*W415)*$M415, "")</f>
        <v>0</v>
      </c>
      <c r="BA415" s="284" t="n">
        <f aca="false">IFERROR(($J415*X415)*$M415, "")</f>
        <v>0</v>
      </c>
      <c r="BB415" s="284" t="n">
        <f aca="false">IFERROR(($J415*Y415)*$M415, "")</f>
        <v>0</v>
      </c>
      <c r="BC415" s="285" t="n">
        <f aca="false">IFERROR(($J415*Z415)*$M415, "")</f>
        <v>0</v>
      </c>
      <c r="BD415" s="286" t="n">
        <f aca="false">IFERROR(SUMIF($AB$4:$AM$4, "RDEC", AR415:BC415), "")</f>
        <v>0</v>
      </c>
      <c r="BE415" s="286" t="n">
        <f aca="false">IFERROR(SUMIF($AB$4:$AM$4, "SME", AR415:BC415), "")</f>
        <v>0</v>
      </c>
      <c r="BF415" s="286" t="n">
        <f aca="false">IFERROR(SUMIF($AB$4:$AM$4, "De Minimis", AR415:BC415), "")</f>
        <v>0</v>
      </c>
      <c r="BG415" s="287"/>
      <c r="BH415" s="288" t="str">
        <f aca="false">IF((SUM(O415:Z415)&gt;1),"ERROR","")</f>
        <v/>
      </c>
      <c r="BI415" s="287"/>
      <c r="BJ415" s="18" t="str">
        <f aca="false">IF(C401&gt;0, C401, "")</f>
        <v/>
      </c>
      <c r="BL415" s="200"/>
      <c r="BM415" s="200"/>
      <c r="BN415" s="200"/>
    </row>
    <row r="416" customFormat="false" ht="15" hidden="false" customHeight="true" outlineLevel="0" collapsed="false">
      <c r="B416" s="275"/>
      <c r="D416" s="276" t="n">
        <f aca="false">D400</f>
        <v>45536</v>
      </c>
      <c r="E416" s="277" t="n">
        <v>0</v>
      </c>
      <c r="F416" s="277" t="n">
        <v>0</v>
      </c>
      <c r="G416" s="277" t="n">
        <v>0</v>
      </c>
      <c r="H416" s="277" t="n">
        <v>0</v>
      </c>
      <c r="I416" s="277" t="n">
        <v>0</v>
      </c>
      <c r="J416" s="278" t="n">
        <f aca="false">E416+H416+I416</f>
        <v>0</v>
      </c>
      <c r="K416" s="204"/>
      <c r="L416" s="279" t="n">
        <v>1</v>
      </c>
      <c r="M416" s="280" t="n">
        <f aca="false">1-L416</f>
        <v>0</v>
      </c>
      <c r="N416" s="281"/>
      <c r="O416" s="282"/>
      <c r="P416" s="282"/>
      <c r="Q416" s="282"/>
      <c r="R416" s="282"/>
      <c r="S416" s="282"/>
      <c r="T416" s="282"/>
      <c r="U416" s="282"/>
      <c r="V416" s="282"/>
      <c r="W416" s="282"/>
      <c r="X416" s="282"/>
      <c r="Y416" s="282"/>
      <c r="Z416" s="282"/>
      <c r="AA416" s="283"/>
      <c r="AB416" s="284" t="n">
        <f aca="false">IFERROR(($J416*O416)*$L416, "")</f>
        <v>0</v>
      </c>
      <c r="AC416" s="284" t="n">
        <f aca="false">IFERROR(($J416*P416)*$L416, "")</f>
        <v>0</v>
      </c>
      <c r="AD416" s="284" t="n">
        <f aca="false">IFERROR(($J416*Q416)*$L416, "")</f>
        <v>0</v>
      </c>
      <c r="AE416" s="284" t="n">
        <f aca="false">IFERROR(($J416*R416)*$L416, "")</f>
        <v>0</v>
      </c>
      <c r="AF416" s="284" t="n">
        <f aca="false">IFERROR(($J416*S416)*$L416, "")</f>
        <v>0</v>
      </c>
      <c r="AG416" s="284" t="n">
        <f aca="false">IFERROR(($J416*T416)*$L416, "")</f>
        <v>0</v>
      </c>
      <c r="AH416" s="284" t="n">
        <f aca="false">IFERROR(($J416*U416)*$L416, "")</f>
        <v>0</v>
      </c>
      <c r="AI416" s="284" t="n">
        <f aca="false">IFERROR(($J416*V416)*$L416, "")</f>
        <v>0</v>
      </c>
      <c r="AJ416" s="284" t="n">
        <f aca="false">IFERROR(($J416*W416)*$L416, "")</f>
        <v>0</v>
      </c>
      <c r="AK416" s="284" t="n">
        <f aca="false">IFERROR(($J416*X416)*$L416, "")</f>
        <v>0</v>
      </c>
      <c r="AL416" s="284" t="n">
        <f aca="false">IFERROR(($J416*Y416)*$L416, "")</f>
        <v>0</v>
      </c>
      <c r="AM416" s="285" t="n">
        <f aca="false">IFERROR(($J416*Z416)*$L416, "")</f>
        <v>0</v>
      </c>
      <c r="AN416" s="286" t="n">
        <f aca="false">IFERROR(SUMIF($AB$4:$AM$4, "RDEC", AB416:AM416), "")</f>
        <v>0</v>
      </c>
      <c r="AO416" s="286" t="n">
        <f aca="false">IFERROR(SUMIF($AB$4:$AM$4, "SME", AB416:AM416), "")</f>
        <v>0</v>
      </c>
      <c r="AP416" s="286" t="n">
        <f aca="false">IFERROR(SUMIF($AB$4:$AM$4, "De Minimis", AB416:AM416), "")</f>
        <v>0</v>
      </c>
      <c r="AQ416" s="283"/>
      <c r="AR416" s="284" t="n">
        <f aca="false">IFERROR(($J416*O416)*$M416, "")</f>
        <v>0</v>
      </c>
      <c r="AS416" s="284" t="n">
        <f aca="false">IFERROR(($J416*P416)*$M416, "")</f>
        <v>0</v>
      </c>
      <c r="AT416" s="284" t="n">
        <f aca="false">IFERROR(($J416*Q416)*$M416, "")</f>
        <v>0</v>
      </c>
      <c r="AU416" s="284" t="n">
        <f aca="false">IFERROR(($J416*R416)*$M416, "")</f>
        <v>0</v>
      </c>
      <c r="AV416" s="284" t="n">
        <f aca="false">IFERROR(($J416*S416)*$M416, "")</f>
        <v>0</v>
      </c>
      <c r="AW416" s="284" t="n">
        <f aca="false">IFERROR(($J416*T416)*$M416, "")</f>
        <v>0</v>
      </c>
      <c r="AX416" s="284" t="n">
        <f aca="false">IFERROR(($J416*U416)*$M416, "")</f>
        <v>0</v>
      </c>
      <c r="AY416" s="284" t="n">
        <f aca="false">IFERROR(($J416*V416)*$M416, "")</f>
        <v>0</v>
      </c>
      <c r="AZ416" s="284" t="n">
        <f aca="false">IFERROR(($J416*W416)*$M416, "")</f>
        <v>0</v>
      </c>
      <c r="BA416" s="284" t="n">
        <f aca="false">IFERROR(($J416*X416)*$M416, "")</f>
        <v>0</v>
      </c>
      <c r="BB416" s="284" t="n">
        <f aca="false">IFERROR(($J416*Y416)*$M416, "")</f>
        <v>0</v>
      </c>
      <c r="BC416" s="285" t="n">
        <f aca="false">IFERROR(($J416*Z416)*$M416, "")</f>
        <v>0</v>
      </c>
      <c r="BD416" s="286" t="n">
        <f aca="false">IFERROR(SUMIF($AB$4:$AM$4, "RDEC", AR416:BC416), "")</f>
        <v>0</v>
      </c>
      <c r="BE416" s="286" t="n">
        <f aca="false">IFERROR(SUMIF($AB$4:$AM$4, "SME", AR416:BC416), "")</f>
        <v>0</v>
      </c>
      <c r="BF416" s="286" t="n">
        <f aca="false">IFERROR(SUMIF($AB$4:$AM$4, "De Minimis", AR416:BC416), "")</f>
        <v>0</v>
      </c>
      <c r="BG416" s="287"/>
      <c r="BH416" s="288" t="str">
        <f aca="false">IF((SUM(O416:Z416)&gt;1),"ERROR","")</f>
        <v/>
      </c>
      <c r="BI416" s="287"/>
      <c r="BJ416" s="18" t="str">
        <f aca="false">IF(C402&gt;0, C402, "")</f>
        <v/>
      </c>
      <c r="BL416" s="200"/>
      <c r="BM416" s="200"/>
      <c r="BN416" s="200"/>
    </row>
    <row r="417" customFormat="false" ht="15" hidden="false" customHeight="true" outlineLevel="0" collapsed="false">
      <c r="B417" s="275"/>
      <c r="D417" s="276" t="n">
        <f aca="false">D401</f>
        <v>45566</v>
      </c>
      <c r="E417" s="277" t="n">
        <v>0</v>
      </c>
      <c r="F417" s="277" t="n">
        <v>0</v>
      </c>
      <c r="G417" s="277" t="n">
        <v>0</v>
      </c>
      <c r="H417" s="277" t="n">
        <v>0</v>
      </c>
      <c r="I417" s="277" t="n">
        <v>0</v>
      </c>
      <c r="J417" s="278" t="n">
        <f aca="false">E417+H417+I417</f>
        <v>0</v>
      </c>
      <c r="K417" s="204"/>
      <c r="L417" s="279" t="n">
        <v>1</v>
      </c>
      <c r="M417" s="280" t="n">
        <f aca="false">1-L417</f>
        <v>0</v>
      </c>
      <c r="N417" s="281"/>
      <c r="O417" s="282"/>
      <c r="P417" s="282"/>
      <c r="Q417" s="282"/>
      <c r="R417" s="282"/>
      <c r="S417" s="282"/>
      <c r="T417" s="282"/>
      <c r="U417" s="282"/>
      <c r="V417" s="282"/>
      <c r="W417" s="282"/>
      <c r="X417" s="282"/>
      <c r="Y417" s="282"/>
      <c r="Z417" s="282"/>
      <c r="AA417" s="283"/>
      <c r="AB417" s="284" t="n">
        <f aca="false">IFERROR(($J417*O417)*$L417, "")</f>
        <v>0</v>
      </c>
      <c r="AC417" s="284" t="n">
        <f aca="false">IFERROR(($J417*P417)*$L417, "")</f>
        <v>0</v>
      </c>
      <c r="AD417" s="284" t="n">
        <f aca="false">IFERROR(($J417*Q417)*$L417, "")</f>
        <v>0</v>
      </c>
      <c r="AE417" s="284" t="n">
        <f aca="false">IFERROR(($J417*R417)*$L417, "")</f>
        <v>0</v>
      </c>
      <c r="AF417" s="284" t="n">
        <f aca="false">IFERROR(($J417*S417)*$L417, "")</f>
        <v>0</v>
      </c>
      <c r="AG417" s="284" t="n">
        <f aca="false">IFERROR(($J417*T417)*$L417, "")</f>
        <v>0</v>
      </c>
      <c r="AH417" s="284" t="n">
        <f aca="false">IFERROR(($J417*U417)*$L417, "")</f>
        <v>0</v>
      </c>
      <c r="AI417" s="284" t="n">
        <f aca="false">IFERROR(($J417*V417)*$L417, "")</f>
        <v>0</v>
      </c>
      <c r="AJ417" s="284" t="n">
        <f aca="false">IFERROR(($J417*W417)*$L417, "")</f>
        <v>0</v>
      </c>
      <c r="AK417" s="284" t="n">
        <f aca="false">IFERROR(($J417*X417)*$L417, "")</f>
        <v>0</v>
      </c>
      <c r="AL417" s="284" t="n">
        <f aca="false">IFERROR(($J417*Y417)*$L417, "")</f>
        <v>0</v>
      </c>
      <c r="AM417" s="285" t="n">
        <f aca="false">IFERROR(($J417*Z417)*$L417, "")</f>
        <v>0</v>
      </c>
      <c r="AN417" s="286" t="n">
        <f aca="false">IFERROR(SUMIF($AB$4:$AM$4, "RDEC", AB417:AM417), "")</f>
        <v>0</v>
      </c>
      <c r="AO417" s="286" t="n">
        <f aca="false">IFERROR(SUMIF($AB$4:$AM$4, "SME", AB417:AM417), "")</f>
        <v>0</v>
      </c>
      <c r="AP417" s="286" t="n">
        <f aca="false">IFERROR(SUMIF($AB$4:$AM$4, "De Minimis", AB417:AM417), "")</f>
        <v>0</v>
      </c>
      <c r="AQ417" s="283"/>
      <c r="AR417" s="284" t="n">
        <f aca="false">IFERROR(($J417*O417)*$M417, "")</f>
        <v>0</v>
      </c>
      <c r="AS417" s="284" t="n">
        <f aca="false">IFERROR(($J417*P417)*$M417, "")</f>
        <v>0</v>
      </c>
      <c r="AT417" s="284" t="n">
        <f aca="false">IFERROR(($J417*Q417)*$M417, "")</f>
        <v>0</v>
      </c>
      <c r="AU417" s="284" t="n">
        <f aca="false">IFERROR(($J417*R417)*$M417, "")</f>
        <v>0</v>
      </c>
      <c r="AV417" s="284" t="n">
        <f aca="false">IFERROR(($J417*S417)*$M417, "")</f>
        <v>0</v>
      </c>
      <c r="AW417" s="284" t="n">
        <f aca="false">IFERROR(($J417*T417)*$M417, "")</f>
        <v>0</v>
      </c>
      <c r="AX417" s="284" t="n">
        <f aca="false">IFERROR(($J417*U417)*$M417, "")</f>
        <v>0</v>
      </c>
      <c r="AY417" s="284" t="n">
        <f aca="false">IFERROR(($J417*V417)*$M417, "")</f>
        <v>0</v>
      </c>
      <c r="AZ417" s="284" t="n">
        <f aca="false">IFERROR(($J417*W417)*$M417, "")</f>
        <v>0</v>
      </c>
      <c r="BA417" s="284" t="n">
        <f aca="false">IFERROR(($J417*X417)*$M417, "")</f>
        <v>0</v>
      </c>
      <c r="BB417" s="284" t="n">
        <f aca="false">IFERROR(($J417*Y417)*$M417, "")</f>
        <v>0</v>
      </c>
      <c r="BC417" s="285" t="n">
        <f aca="false">IFERROR(($J417*Z417)*$M417, "")</f>
        <v>0</v>
      </c>
      <c r="BD417" s="286" t="n">
        <f aca="false">IFERROR(SUMIF($AB$4:$AM$4, "RDEC", AR417:BC417), "")</f>
        <v>0</v>
      </c>
      <c r="BE417" s="286" t="n">
        <f aca="false">IFERROR(SUMIF($AB$4:$AM$4, "SME", AR417:BC417), "")</f>
        <v>0</v>
      </c>
      <c r="BF417" s="286" t="n">
        <f aca="false">IFERROR(SUMIF($AB$4:$AM$4, "De Minimis", AR417:BC417), "")</f>
        <v>0</v>
      </c>
      <c r="BG417" s="287"/>
      <c r="BH417" s="288" t="str">
        <f aca="false">IF((SUM(O417:Z417)&gt;1),"ERROR","")</f>
        <v/>
      </c>
      <c r="BI417" s="287"/>
      <c r="BJ417" s="18" t="str">
        <f aca="false">IF(C403&gt;0, C403, "")</f>
        <v/>
      </c>
      <c r="BL417" s="200"/>
      <c r="BM417" s="200"/>
      <c r="BN417" s="200"/>
    </row>
    <row r="418" customFormat="false" ht="15" hidden="false" customHeight="true" outlineLevel="0" collapsed="false">
      <c r="B418" s="275"/>
      <c r="D418" s="276" t="n">
        <f aca="false">D402</f>
        <v>45597</v>
      </c>
      <c r="E418" s="277" t="n">
        <v>0</v>
      </c>
      <c r="F418" s="277" t="n">
        <v>0</v>
      </c>
      <c r="G418" s="277" t="n">
        <v>0</v>
      </c>
      <c r="H418" s="277" t="n">
        <v>0</v>
      </c>
      <c r="I418" s="277" t="n">
        <v>0</v>
      </c>
      <c r="J418" s="278" t="n">
        <f aca="false">E418+H418+I418</f>
        <v>0</v>
      </c>
      <c r="K418" s="204"/>
      <c r="L418" s="279" t="n">
        <v>1</v>
      </c>
      <c r="M418" s="280" t="n">
        <f aca="false">1-L418</f>
        <v>0</v>
      </c>
      <c r="N418" s="281"/>
      <c r="O418" s="282"/>
      <c r="P418" s="282"/>
      <c r="Q418" s="282"/>
      <c r="R418" s="282"/>
      <c r="S418" s="282"/>
      <c r="T418" s="282"/>
      <c r="U418" s="282"/>
      <c r="V418" s="282"/>
      <c r="W418" s="282"/>
      <c r="X418" s="282"/>
      <c r="Y418" s="282"/>
      <c r="Z418" s="282"/>
      <c r="AA418" s="283"/>
      <c r="AB418" s="284" t="n">
        <f aca="false">IFERROR(($J418*O418)*$L418, "")</f>
        <v>0</v>
      </c>
      <c r="AC418" s="284" t="n">
        <f aca="false">IFERROR(($J418*P418)*$L418, "")</f>
        <v>0</v>
      </c>
      <c r="AD418" s="284" t="n">
        <f aca="false">IFERROR(($J418*Q418)*$L418, "")</f>
        <v>0</v>
      </c>
      <c r="AE418" s="284" t="n">
        <f aca="false">IFERROR(($J418*R418)*$L418, "")</f>
        <v>0</v>
      </c>
      <c r="AF418" s="284" t="n">
        <f aca="false">IFERROR(($J418*S418)*$L418, "")</f>
        <v>0</v>
      </c>
      <c r="AG418" s="284" t="n">
        <f aca="false">IFERROR(($J418*T418)*$L418, "")</f>
        <v>0</v>
      </c>
      <c r="AH418" s="284" t="n">
        <f aca="false">IFERROR(($J418*U418)*$L418, "")</f>
        <v>0</v>
      </c>
      <c r="AI418" s="284" t="n">
        <f aca="false">IFERROR(($J418*V418)*$L418, "")</f>
        <v>0</v>
      </c>
      <c r="AJ418" s="284" t="n">
        <f aca="false">IFERROR(($J418*W418)*$L418, "")</f>
        <v>0</v>
      </c>
      <c r="AK418" s="284" t="n">
        <f aca="false">IFERROR(($J418*X418)*$L418, "")</f>
        <v>0</v>
      </c>
      <c r="AL418" s="284" t="n">
        <f aca="false">IFERROR(($J418*Y418)*$L418, "")</f>
        <v>0</v>
      </c>
      <c r="AM418" s="285" t="n">
        <f aca="false">IFERROR(($J418*Z418)*$L418, "")</f>
        <v>0</v>
      </c>
      <c r="AN418" s="286" t="n">
        <f aca="false">IFERROR(SUMIF($AB$4:$AM$4, "RDEC", AB418:AM418), "")</f>
        <v>0</v>
      </c>
      <c r="AO418" s="286" t="n">
        <f aca="false">IFERROR(SUMIF($AB$4:$AM$4, "SME", AB418:AM418), "")</f>
        <v>0</v>
      </c>
      <c r="AP418" s="286" t="n">
        <f aca="false">IFERROR(SUMIF($AB$4:$AM$4, "De Minimis", AB418:AM418), "")</f>
        <v>0</v>
      </c>
      <c r="AQ418" s="283"/>
      <c r="AR418" s="284" t="n">
        <f aca="false">IFERROR(($J418*O418)*$M418, "")</f>
        <v>0</v>
      </c>
      <c r="AS418" s="284" t="n">
        <f aca="false">IFERROR(($J418*P418)*$M418, "")</f>
        <v>0</v>
      </c>
      <c r="AT418" s="284" t="n">
        <f aca="false">IFERROR(($J418*Q418)*$M418, "")</f>
        <v>0</v>
      </c>
      <c r="AU418" s="284" t="n">
        <f aca="false">IFERROR(($J418*R418)*$M418, "")</f>
        <v>0</v>
      </c>
      <c r="AV418" s="284" t="n">
        <f aca="false">IFERROR(($J418*S418)*$M418, "")</f>
        <v>0</v>
      </c>
      <c r="AW418" s="284" t="n">
        <f aca="false">IFERROR(($J418*T418)*$M418, "")</f>
        <v>0</v>
      </c>
      <c r="AX418" s="284" t="n">
        <f aca="false">IFERROR(($J418*U418)*$M418, "")</f>
        <v>0</v>
      </c>
      <c r="AY418" s="284" t="n">
        <f aca="false">IFERROR(($J418*V418)*$M418, "")</f>
        <v>0</v>
      </c>
      <c r="AZ418" s="284" t="n">
        <f aca="false">IFERROR(($J418*W418)*$M418, "")</f>
        <v>0</v>
      </c>
      <c r="BA418" s="284" t="n">
        <f aca="false">IFERROR(($J418*X418)*$M418, "")</f>
        <v>0</v>
      </c>
      <c r="BB418" s="284" t="n">
        <f aca="false">IFERROR(($J418*Y418)*$M418, "")</f>
        <v>0</v>
      </c>
      <c r="BC418" s="285" t="n">
        <f aca="false">IFERROR(($J418*Z418)*$M418, "")</f>
        <v>0</v>
      </c>
      <c r="BD418" s="286" t="n">
        <f aca="false">IFERROR(SUMIF($AB$4:$AM$4, "RDEC", AR418:BC418), "")</f>
        <v>0</v>
      </c>
      <c r="BE418" s="286" t="n">
        <f aca="false">IFERROR(SUMIF($AB$4:$AM$4, "SME", AR418:BC418), "")</f>
        <v>0</v>
      </c>
      <c r="BF418" s="286" t="n">
        <f aca="false">IFERROR(SUMIF($AB$4:$AM$4, "De Minimis", AR418:BC418), "")</f>
        <v>0</v>
      </c>
      <c r="BG418" s="287"/>
      <c r="BH418" s="288" t="str">
        <f aca="false">IF((SUM(O418:Z418)&gt;1),"ERROR","")</f>
        <v/>
      </c>
      <c r="BI418" s="287"/>
      <c r="BJ418" s="18" t="str">
        <f aca="false">IF(C404&gt;0, C404, "")</f>
        <v/>
      </c>
      <c r="BL418" s="200"/>
      <c r="BM418" s="200"/>
      <c r="BN418" s="200"/>
    </row>
    <row r="419" customFormat="false" ht="15" hidden="false" customHeight="true" outlineLevel="0" collapsed="false">
      <c r="B419" s="275"/>
      <c r="D419" s="276" t="n">
        <f aca="false">D403</f>
        <v>45627</v>
      </c>
      <c r="E419" s="277" t="n">
        <v>0</v>
      </c>
      <c r="F419" s="277" t="n">
        <v>0</v>
      </c>
      <c r="G419" s="277" t="n">
        <v>0</v>
      </c>
      <c r="H419" s="277" t="n">
        <v>0</v>
      </c>
      <c r="I419" s="277" t="n">
        <v>0</v>
      </c>
      <c r="J419" s="278" t="n">
        <f aca="false">E419+H419+I419</f>
        <v>0</v>
      </c>
      <c r="K419" s="204"/>
      <c r="L419" s="289" t="n">
        <v>1</v>
      </c>
      <c r="M419" s="290" t="n">
        <f aca="false">1-L419</f>
        <v>0</v>
      </c>
      <c r="N419" s="281"/>
      <c r="O419" s="291"/>
      <c r="P419" s="291"/>
      <c r="Q419" s="291"/>
      <c r="R419" s="291"/>
      <c r="S419" s="291"/>
      <c r="T419" s="291"/>
      <c r="U419" s="291"/>
      <c r="V419" s="291"/>
      <c r="W419" s="291"/>
      <c r="X419" s="291"/>
      <c r="Y419" s="291"/>
      <c r="Z419" s="291"/>
      <c r="AA419" s="283"/>
      <c r="AB419" s="292" t="n">
        <f aca="false">IFERROR(($J419*O419)*$L419, "")</f>
        <v>0</v>
      </c>
      <c r="AC419" s="292" t="n">
        <f aca="false">IFERROR(($J419*P419)*$L419, "")</f>
        <v>0</v>
      </c>
      <c r="AD419" s="292" t="n">
        <f aca="false">IFERROR(($J419*Q419)*$L419, "")</f>
        <v>0</v>
      </c>
      <c r="AE419" s="292" t="n">
        <f aca="false">IFERROR(($J419*R419)*$L419, "")</f>
        <v>0</v>
      </c>
      <c r="AF419" s="292" t="n">
        <f aca="false">IFERROR(($J419*S419)*$L419, "")</f>
        <v>0</v>
      </c>
      <c r="AG419" s="292" t="n">
        <f aca="false">IFERROR(($J419*T419)*$L419, "")</f>
        <v>0</v>
      </c>
      <c r="AH419" s="292" t="n">
        <f aca="false">IFERROR(($J419*U419)*$L419, "")</f>
        <v>0</v>
      </c>
      <c r="AI419" s="292" t="n">
        <f aca="false">IFERROR(($J419*V419)*$L419, "")</f>
        <v>0</v>
      </c>
      <c r="AJ419" s="292" t="n">
        <f aca="false">IFERROR(($J419*W419)*$L419, "")</f>
        <v>0</v>
      </c>
      <c r="AK419" s="292" t="n">
        <f aca="false">IFERROR(($J419*X419)*$L419, "")</f>
        <v>0</v>
      </c>
      <c r="AL419" s="292" t="n">
        <f aca="false">IFERROR(($J419*Y419)*$L419, "")</f>
        <v>0</v>
      </c>
      <c r="AM419" s="293" t="n">
        <f aca="false">IFERROR(($J419*Z419)*$L419, "")</f>
        <v>0</v>
      </c>
      <c r="AN419" s="294" t="n">
        <f aca="false">IFERROR(SUMIF($AB$4:$AM$4, "RDEC", AB419:AM419), "")</f>
        <v>0</v>
      </c>
      <c r="AO419" s="294" t="n">
        <f aca="false">IFERROR(SUMIF($AB$4:$AM$4, "SME", AB419:AM419), "")</f>
        <v>0</v>
      </c>
      <c r="AP419" s="294" t="n">
        <f aca="false">IFERROR(SUMIF($AB$4:$AM$4, "De Minimis", AB419:AM419), "")</f>
        <v>0</v>
      </c>
      <c r="AQ419" s="283"/>
      <c r="AR419" s="292" t="n">
        <f aca="false">IFERROR(($J419*O419)*$M419, "")</f>
        <v>0</v>
      </c>
      <c r="AS419" s="292" t="n">
        <f aca="false">IFERROR(($J419*P419)*$M419, "")</f>
        <v>0</v>
      </c>
      <c r="AT419" s="292" t="n">
        <f aca="false">IFERROR(($J419*Q419)*$M419, "")</f>
        <v>0</v>
      </c>
      <c r="AU419" s="292" t="n">
        <f aca="false">IFERROR(($J419*R419)*$M419, "")</f>
        <v>0</v>
      </c>
      <c r="AV419" s="292" t="n">
        <f aca="false">IFERROR(($J419*S419)*$M419, "")</f>
        <v>0</v>
      </c>
      <c r="AW419" s="292" t="n">
        <f aca="false">IFERROR(($J419*T419)*$M419, "")</f>
        <v>0</v>
      </c>
      <c r="AX419" s="292" t="n">
        <f aca="false">IFERROR(($J419*U419)*$M419, "")</f>
        <v>0</v>
      </c>
      <c r="AY419" s="292" t="n">
        <f aca="false">IFERROR(($J419*V419)*$M419, "")</f>
        <v>0</v>
      </c>
      <c r="AZ419" s="292" t="n">
        <f aca="false">IFERROR(($J419*W419)*$M419, "")</f>
        <v>0</v>
      </c>
      <c r="BA419" s="292" t="n">
        <f aca="false">IFERROR(($J419*X419)*$M419, "")</f>
        <v>0</v>
      </c>
      <c r="BB419" s="292" t="n">
        <f aca="false">IFERROR(($J419*Y419)*$M419, "")</f>
        <v>0</v>
      </c>
      <c r="BC419" s="293" t="n">
        <f aca="false">IFERROR(($J419*Z419)*$M419, "")</f>
        <v>0</v>
      </c>
      <c r="BD419" s="294" t="n">
        <f aca="false">IFERROR(SUMIF($AB$4:$AM$4, "RDEC", AR419:BC419), "")</f>
        <v>0</v>
      </c>
      <c r="BE419" s="294" t="n">
        <f aca="false">IFERROR(SUMIF($AB$4:$AM$4, "SME", AR419:BC419), "")</f>
        <v>0</v>
      </c>
      <c r="BF419" s="294" t="n">
        <f aca="false">IFERROR(SUMIF($AB$4:$AM$4, "De Minimis", AR419:BC419), "")</f>
        <v>0</v>
      </c>
      <c r="BG419" s="287"/>
      <c r="BH419" s="295" t="str">
        <f aca="false">IF((SUM(O419:Z419)&gt;1),"ERROR","")</f>
        <v/>
      </c>
      <c r="BI419" s="287"/>
      <c r="BJ419" s="18" t="str">
        <f aca="false">IF(C405&gt;0, C405, "")</f>
        <v/>
      </c>
      <c r="BL419" s="200"/>
      <c r="BM419" s="200"/>
      <c r="BN419" s="200"/>
    </row>
    <row r="420" customFormat="false" ht="15" hidden="false" customHeight="true" outlineLevel="0" collapsed="false">
      <c r="B420" s="296"/>
      <c r="D420" s="297" t="s">
        <v>82</v>
      </c>
      <c r="E420" s="298" t="n">
        <f aca="false">SUM(E408:E419)</f>
        <v>0</v>
      </c>
      <c r="F420" s="298" t="n">
        <f aca="false">SUM(F408:F419)</f>
        <v>0</v>
      </c>
      <c r="G420" s="298" t="n">
        <f aca="false">SUM(G408:G419)</f>
        <v>0</v>
      </c>
      <c r="H420" s="298" t="n">
        <f aca="false">SUM(H408:H419)</f>
        <v>0</v>
      </c>
      <c r="I420" s="298" t="n">
        <f aca="false">SUM(I408:I419)</f>
        <v>0</v>
      </c>
      <c r="J420" s="299" t="n">
        <f aca="false">SUM(J408:J419)</f>
        <v>0</v>
      </c>
      <c r="K420" s="300"/>
      <c r="L420" s="301" t="n">
        <f aca="false">AVERAGE(L408:L419)</f>
        <v>1</v>
      </c>
      <c r="M420" s="301" t="n">
        <f aca="false">AVERAGE(M408:M419)</f>
        <v>0</v>
      </c>
      <c r="N420" s="302"/>
      <c r="O420" s="290" t="n">
        <f aca="false">IF(SUM(O408:O419)&gt;0,((AB420+AR420)/J420),0)</f>
        <v>0</v>
      </c>
      <c r="P420" s="290" t="n">
        <f aca="false">IF(SUM(P408:P419)&gt;0,((AC420+AS420)/J420),0)</f>
        <v>0</v>
      </c>
      <c r="Q420" s="290" t="n">
        <f aca="false">IF(SUM(Q408:Q419)&gt;0,((AD420+AT420)/J420),0)</f>
        <v>0</v>
      </c>
      <c r="R420" s="290" t="n">
        <f aca="false">IF(SUM(R408:R419)&gt;0,((AE420+AU420)/J420),0)</f>
        <v>0</v>
      </c>
      <c r="S420" s="290" t="n">
        <f aca="false">IF(SUM(S408:S419)&gt;0,((AF420+AV420)/J420),0)</f>
        <v>0</v>
      </c>
      <c r="T420" s="290" t="n">
        <f aca="false">IF(SUM(T408:T419)&gt;0,((AG420+AW420)/J420),0)</f>
        <v>0</v>
      </c>
      <c r="U420" s="290" t="n">
        <f aca="false">IF(SUM(U408:U419)&gt;0,((AH420+AX420)/J420),0)</f>
        <v>0</v>
      </c>
      <c r="V420" s="290" t="n">
        <f aca="false">IF(SUM(V408:V419)&gt;0,((AI420+AY420)/J420),0)</f>
        <v>0</v>
      </c>
      <c r="W420" s="290" t="n">
        <f aca="false">IF(SUM(W408:W419)&gt;0,((AJ420+AZ420)/J420),0)</f>
        <v>0</v>
      </c>
      <c r="X420" s="290" t="n">
        <f aca="false">IF(SUM(X408:X419)&gt;0,((AK420+BA420)/J420),0)</f>
        <v>0</v>
      </c>
      <c r="Y420" s="290" t="n">
        <f aca="false">IF(SUM(Y408:Y419)&gt;0,((AL420+BB420)/J420),0)</f>
        <v>0</v>
      </c>
      <c r="Z420" s="290" t="n">
        <f aca="false">IF(SUM(Z408:Z419)&gt;0,((AM420+BC420)/J420),0)</f>
        <v>0</v>
      </c>
      <c r="AA420" s="303"/>
      <c r="AB420" s="292" t="n">
        <f aca="false">SUM(AB408:AB419)</f>
        <v>0</v>
      </c>
      <c r="AC420" s="304" t="n">
        <f aca="false">SUM(AC408:AC419)</f>
        <v>0</v>
      </c>
      <c r="AD420" s="304" t="n">
        <f aca="false">SUM(AD408:AD419)</f>
        <v>0</v>
      </c>
      <c r="AE420" s="304" t="n">
        <f aca="false">SUM(AE408:AE419)</f>
        <v>0</v>
      </c>
      <c r="AF420" s="304" t="n">
        <f aca="false">SUM(AF408:AF419)</f>
        <v>0</v>
      </c>
      <c r="AG420" s="304" t="n">
        <f aca="false">SUM(AG408:AG419)</f>
        <v>0</v>
      </c>
      <c r="AH420" s="304" t="n">
        <f aca="false">SUM(AH408:AH419)</f>
        <v>0</v>
      </c>
      <c r="AI420" s="304" t="n">
        <f aca="false">SUM(AI408:AI419)</f>
        <v>0</v>
      </c>
      <c r="AJ420" s="304" t="n">
        <f aca="false">SUM(AJ408:AJ419)</f>
        <v>0</v>
      </c>
      <c r="AK420" s="304" t="n">
        <f aca="false">SUM(AK408:AK419)</f>
        <v>0</v>
      </c>
      <c r="AL420" s="304" t="n">
        <f aca="false">SUM(AL408:AL419)</f>
        <v>0</v>
      </c>
      <c r="AM420" s="304" t="n">
        <f aca="false">SUM(AM408:AM419)</f>
        <v>0</v>
      </c>
      <c r="AN420" s="305" t="n">
        <f aca="false">SUM(AN408:AN419)</f>
        <v>0</v>
      </c>
      <c r="AO420" s="305" t="n">
        <f aca="false">SUM(AO408:AO419)</f>
        <v>0</v>
      </c>
      <c r="AP420" s="305" t="n">
        <f aca="false">SUM(AP408:AP419)</f>
        <v>0</v>
      </c>
      <c r="AQ420" s="303"/>
      <c r="AR420" s="292" t="n">
        <f aca="false">SUM(AR408:AR419)</f>
        <v>0</v>
      </c>
      <c r="AS420" s="304" t="n">
        <f aca="false">SUM(AS408:AS419)</f>
        <v>0</v>
      </c>
      <c r="AT420" s="304" t="n">
        <f aca="false">SUM(AT408:AT419)</f>
        <v>0</v>
      </c>
      <c r="AU420" s="304" t="n">
        <f aca="false">SUM(AU408:AU419)</f>
        <v>0</v>
      </c>
      <c r="AV420" s="304" t="n">
        <f aca="false">SUM(AV408:AV419)</f>
        <v>0</v>
      </c>
      <c r="AW420" s="304" t="n">
        <f aca="false">SUM(AW408:AW419)</f>
        <v>0</v>
      </c>
      <c r="AX420" s="304" t="n">
        <f aca="false">SUM(AX408:AX419)</f>
        <v>0</v>
      </c>
      <c r="AY420" s="304" t="n">
        <f aca="false">SUM(AY408:AY419)</f>
        <v>0</v>
      </c>
      <c r="AZ420" s="304" t="n">
        <f aca="false">SUM(AZ408:AZ419)</f>
        <v>0</v>
      </c>
      <c r="BA420" s="304" t="n">
        <f aca="false">SUM(BA408:BA419)</f>
        <v>0</v>
      </c>
      <c r="BB420" s="304" t="n">
        <f aca="false">SUM(BB408:BB419)</f>
        <v>0</v>
      </c>
      <c r="BC420" s="304" t="n">
        <f aca="false">SUM(BC408:BC419)</f>
        <v>0</v>
      </c>
      <c r="BD420" s="305" t="n">
        <f aca="false">SUM(BD408:BD419)</f>
        <v>0</v>
      </c>
      <c r="BE420" s="305" t="n">
        <f aca="false">SUM(BE408:BE419)</f>
        <v>0</v>
      </c>
      <c r="BF420" s="305" t="n">
        <f aca="false">SUM(BF408:BF419)</f>
        <v>0</v>
      </c>
      <c r="BG420" s="303"/>
      <c r="BH420" s="306"/>
      <c r="BI420" s="303"/>
      <c r="BJ420" s="307" t="str">
        <f aca="false">IF(C406&gt;0, C406, "")</f>
        <v>TBA</v>
      </c>
      <c r="BK420" s="18" t="s">
        <v>234</v>
      </c>
      <c r="BL420" s="200" t="n">
        <f aca="false">IF($BK420="Y",J420,0)</f>
        <v>0</v>
      </c>
      <c r="BM420" s="200" t="n">
        <f aca="false">IF(BK420="Y", AN420,0)</f>
        <v>0</v>
      </c>
      <c r="BN420" s="200" t="n">
        <f aca="false">IF((BK420="Y"),AO420,0)</f>
        <v>0</v>
      </c>
    </row>
    <row r="421" customFormat="false" ht="15" hidden="false" customHeight="true" outlineLevel="0" collapsed="false">
      <c r="B421" s="296"/>
      <c r="D421" s="297"/>
      <c r="E421" s="277"/>
      <c r="F421" s="277"/>
      <c r="G421" s="277"/>
      <c r="H421" s="277"/>
      <c r="I421" s="277"/>
      <c r="J421" s="300"/>
      <c r="K421" s="300"/>
      <c r="L421" s="302"/>
      <c r="M421" s="302"/>
      <c r="N421" s="302"/>
      <c r="O421" s="308"/>
      <c r="P421" s="308"/>
      <c r="Q421" s="308"/>
      <c r="R421" s="308"/>
      <c r="S421" s="308"/>
      <c r="T421" s="308"/>
      <c r="U421" s="308"/>
      <c r="V421" s="308"/>
      <c r="W421" s="308"/>
      <c r="X421" s="308"/>
      <c r="Y421" s="308"/>
      <c r="Z421" s="308"/>
      <c r="AA421" s="303"/>
      <c r="AB421" s="303"/>
      <c r="AC421" s="303"/>
      <c r="AD421" s="303"/>
      <c r="AE421" s="303"/>
      <c r="AF421" s="303"/>
      <c r="AG421" s="303"/>
      <c r="AH421" s="303"/>
      <c r="AI421" s="303"/>
      <c r="AJ421" s="303"/>
      <c r="AK421" s="303"/>
      <c r="AL421" s="303"/>
      <c r="AM421" s="303"/>
      <c r="AN421" s="303"/>
      <c r="AO421" s="303"/>
      <c r="AP421" s="303"/>
      <c r="AQ421" s="303"/>
      <c r="AR421" s="303"/>
      <c r="AS421" s="303"/>
      <c r="AT421" s="303"/>
      <c r="AU421" s="303"/>
      <c r="AV421" s="303"/>
      <c r="AW421" s="303"/>
      <c r="AX421" s="303"/>
      <c r="AY421" s="303"/>
      <c r="AZ421" s="303"/>
      <c r="BA421" s="303"/>
      <c r="BB421" s="303"/>
      <c r="BC421" s="303"/>
      <c r="BD421" s="303"/>
      <c r="BE421" s="303"/>
      <c r="BF421" s="303"/>
      <c r="BG421" s="303"/>
      <c r="BH421" s="303"/>
      <c r="BI421" s="303"/>
      <c r="BJ421" s="307" t="str">
        <f aca="false">IF(C408&gt;0, C408, "")</f>
        <v/>
      </c>
      <c r="BL421" s="200"/>
      <c r="BM421" s="200"/>
      <c r="BN421" s="200"/>
    </row>
    <row r="422" customFormat="false" ht="15" hidden="false" customHeight="true" outlineLevel="0" collapsed="false">
      <c r="A422" s="198" t="n">
        <f aca="false">A406+1</f>
        <v>27</v>
      </c>
      <c r="B422" s="266" t="s">
        <v>253</v>
      </c>
      <c r="C422" s="266" t="s">
        <v>253</v>
      </c>
      <c r="D422" s="267"/>
      <c r="E422" s="242"/>
      <c r="F422" s="242"/>
      <c r="G422" s="242"/>
      <c r="H422" s="242"/>
      <c r="I422" s="242"/>
      <c r="J422" s="241"/>
      <c r="K422" s="241"/>
      <c r="L422" s="241"/>
      <c r="M422" s="241"/>
      <c r="N422" s="241"/>
      <c r="O422" s="268"/>
      <c r="P422" s="268"/>
      <c r="Q422" s="268"/>
      <c r="R422" s="268"/>
      <c r="S422" s="268"/>
      <c r="T422" s="268"/>
      <c r="U422" s="268"/>
      <c r="V422" s="268"/>
      <c r="W422" s="268"/>
      <c r="X422" s="268"/>
      <c r="Y422" s="268"/>
      <c r="Z422" s="268"/>
      <c r="AA422" s="268"/>
      <c r="AB422" s="268"/>
      <c r="AC422" s="268"/>
      <c r="AD422" s="268"/>
      <c r="AE422" s="268"/>
      <c r="AF422" s="268"/>
      <c r="AG422" s="268"/>
      <c r="AH422" s="268"/>
      <c r="AI422" s="268"/>
      <c r="AJ422" s="268"/>
      <c r="AK422" s="268"/>
      <c r="AL422" s="268"/>
      <c r="AM422" s="268"/>
      <c r="AN422" s="268"/>
      <c r="AO422" s="268"/>
      <c r="AP422" s="268"/>
      <c r="AQ422" s="268"/>
      <c r="AR422" s="268"/>
      <c r="AS422" s="268"/>
      <c r="AT422" s="268"/>
      <c r="AU422" s="268"/>
      <c r="AV422" s="268"/>
      <c r="AW422" s="268"/>
      <c r="AX422" s="268"/>
      <c r="AY422" s="268"/>
      <c r="AZ422" s="268"/>
      <c r="BA422" s="268"/>
      <c r="BB422" s="268"/>
      <c r="BC422" s="268"/>
      <c r="BD422" s="268"/>
      <c r="BE422" s="268"/>
      <c r="BF422" s="268"/>
      <c r="BG422" s="268"/>
      <c r="BH422" s="268"/>
      <c r="BI422" s="268"/>
      <c r="BJ422" s="18" t="str">
        <f aca="false">IF(C409&gt;0, C409, "")</f>
        <v/>
      </c>
      <c r="BL422" s="200"/>
      <c r="BM422" s="200"/>
      <c r="BN422" s="200"/>
    </row>
    <row r="423" customFormat="false" ht="7.5" hidden="false" customHeight="true" outlineLevel="0" collapsed="false">
      <c r="A423" s="198"/>
      <c r="B423" s="266"/>
      <c r="C423" s="266"/>
      <c r="D423" s="267"/>
      <c r="E423" s="242"/>
      <c r="F423" s="242"/>
      <c r="G423" s="242"/>
      <c r="H423" s="242"/>
      <c r="I423" s="242"/>
      <c r="J423" s="241"/>
      <c r="K423" s="241"/>
      <c r="L423" s="269"/>
      <c r="M423" s="269"/>
      <c r="N423" s="270"/>
      <c r="O423" s="269"/>
      <c r="P423" s="269"/>
      <c r="Q423" s="269"/>
      <c r="R423" s="269"/>
      <c r="S423" s="269"/>
      <c r="T423" s="269"/>
      <c r="U423" s="269"/>
      <c r="V423" s="269"/>
      <c r="W423" s="269"/>
      <c r="X423" s="269"/>
      <c r="Y423" s="269"/>
      <c r="Z423" s="269"/>
      <c r="AA423" s="268"/>
      <c r="AB423" s="271"/>
      <c r="AC423" s="271"/>
      <c r="AD423" s="271"/>
      <c r="AE423" s="271"/>
      <c r="AF423" s="271"/>
      <c r="AG423" s="271"/>
      <c r="AH423" s="271"/>
      <c r="AI423" s="271"/>
      <c r="AJ423" s="271"/>
      <c r="AK423" s="271"/>
      <c r="AL423" s="271"/>
      <c r="AM423" s="272"/>
      <c r="AN423" s="273"/>
      <c r="AO423" s="273"/>
      <c r="AP423" s="273"/>
      <c r="AQ423" s="268"/>
      <c r="AR423" s="271"/>
      <c r="AS423" s="271"/>
      <c r="AT423" s="271"/>
      <c r="AU423" s="271"/>
      <c r="AV423" s="271"/>
      <c r="AW423" s="271"/>
      <c r="AX423" s="271"/>
      <c r="AY423" s="271"/>
      <c r="AZ423" s="271"/>
      <c r="BA423" s="271"/>
      <c r="BB423" s="271"/>
      <c r="BC423" s="272"/>
      <c r="BD423" s="273"/>
      <c r="BE423" s="273"/>
      <c r="BF423" s="273"/>
      <c r="BG423" s="268"/>
      <c r="BH423" s="274"/>
      <c r="BI423" s="268"/>
      <c r="BL423" s="200"/>
      <c r="BM423" s="200"/>
      <c r="BN423" s="200"/>
    </row>
    <row r="424" customFormat="false" ht="15" hidden="false" customHeight="true" outlineLevel="0" collapsed="false">
      <c r="B424" s="275"/>
      <c r="D424" s="276" t="n">
        <f aca="false">D408</f>
        <v>45292</v>
      </c>
      <c r="E424" s="277" t="n">
        <v>0</v>
      </c>
      <c r="F424" s="277" t="n">
        <v>0</v>
      </c>
      <c r="G424" s="277" t="n">
        <v>0</v>
      </c>
      <c r="H424" s="277" t="n">
        <v>0</v>
      </c>
      <c r="I424" s="277" t="n">
        <v>0</v>
      </c>
      <c r="J424" s="278" t="n">
        <f aca="false">E424+H424+I424</f>
        <v>0</v>
      </c>
      <c r="K424" s="204"/>
      <c r="L424" s="279" t="n">
        <v>1</v>
      </c>
      <c r="M424" s="280" t="n">
        <f aca="false">1-L424</f>
        <v>0</v>
      </c>
      <c r="N424" s="281"/>
      <c r="O424" s="282"/>
      <c r="P424" s="282"/>
      <c r="Q424" s="282"/>
      <c r="R424" s="282"/>
      <c r="S424" s="282"/>
      <c r="T424" s="282"/>
      <c r="U424" s="282"/>
      <c r="V424" s="282"/>
      <c r="W424" s="282"/>
      <c r="X424" s="282"/>
      <c r="Y424" s="282"/>
      <c r="Z424" s="282"/>
      <c r="AA424" s="283"/>
      <c r="AB424" s="284" t="n">
        <f aca="false">IFERROR(($J424*O424)*$L424, "")</f>
        <v>0</v>
      </c>
      <c r="AC424" s="284" t="n">
        <f aca="false">IFERROR(($J424*P424)*$L424, "")</f>
        <v>0</v>
      </c>
      <c r="AD424" s="284" t="n">
        <f aca="false">IFERROR(($J424*Q424)*$L424, "")</f>
        <v>0</v>
      </c>
      <c r="AE424" s="284" t="n">
        <f aca="false">IFERROR(($J424*R424)*$L424, "")</f>
        <v>0</v>
      </c>
      <c r="AF424" s="284" t="n">
        <f aca="false">IFERROR(($J424*S424)*$L424, "")</f>
        <v>0</v>
      </c>
      <c r="AG424" s="284" t="n">
        <f aca="false">IFERROR(($J424*T424)*$L424, "")</f>
        <v>0</v>
      </c>
      <c r="AH424" s="284" t="n">
        <f aca="false">IFERROR(($J424*U424)*$L424, "")</f>
        <v>0</v>
      </c>
      <c r="AI424" s="284" t="n">
        <f aca="false">IFERROR(($J424*V424)*$L424, "")</f>
        <v>0</v>
      </c>
      <c r="AJ424" s="284" t="n">
        <f aca="false">IFERROR(($J424*W424)*$L424, "")</f>
        <v>0</v>
      </c>
      <c r="AK424" s="284" t="n">
        <f aca="false">IFERROR(($J424*X424)*$L424, "")</f>
        <v>0</v>
      </c>
      <c r="AL424" s="284" t="n">
        <f aca="false">IFERROR(($J424*Y424)*$L424, "")</f>
        <v>0</v>
      </c>
      <c r="AM424" s="285" t="n">
        <f aca="false">IFERROR(($J424*Z424)*$L424, "")</f>
        <v>0</v>
      </c>
      <c r="AN424" s="286" t="n">
        <f aca="false">IFERROR(SUMIF($AB$4:$AM$4, "RDEC", AB424:AM424), "")</f>
        <v>0</v>
      </c>
      <c r="AO424" s="286" t="n">
        <f aca="false">IFERROR(SUMIF($AB$4:$AM$4, "SME", AB424:AM424), "")</f>
        <v>0</v>
      </c>
      <c r="AP424" s="286" t="n">
        <f aca="false">IFERROR(SUMIF($AB$4:$AM$4, "De Minimis", AB424:AM424), "")</f>
        <v>0</v>
      </c>
      <c r="AQ424" s="283"/>
      <c r="AR424" s="284" t="n">
        <f aca="false">IFERROR(($J424*O424)*$M424, "")</f>
        <v>0</v>
      </c>
      <c r="AS424" s="284" t="n">
        <f aca="false">IFERROR(($J424*P424)*$M424, "")</f>
        <v>0</v>
      </c>
      <c r="AT424" s="284" t="n">
        <f aca="false">IFERROR(($J424*Q424)*$M424, "")</f>
        <v>0</v>
      </c>
      <c r="AU424" s="284" t="n">
        <f aca="false">IFERROR(($J424*R424)*$M424, "")</f>
        <v>0</v>
      </c>
      <c r="AV424" s="284" t="n">
        <f aca="false">IFERROR(($J424*S424)*$M424, "")</f>
        <v>0</v>
      </c>
      <c r="AW424" s="284" t="n">
        <f aca="false">IFERROR(($J424*T424)*$M424, "")</f>
        <v>0</v>
      </c>
      <c r="AX424" s="284" t="n">
        <f aca="false">IFERROR(($J424*U424)*$M424, "")</f>
        <v>0</v>
      </c>
      <c r="AY424" s="284" t="n">
        <f aca="false">IFERROR(($J424*V424)*$M424, "")</f>
        <v>0</v>
      </c>
      <c r="AZ424" s="284" t="n">
        <f aca="false">IFERROR(($J424*W424)*$M424, "")</f>
        <v>0</v>
      </c>
      <c r="BA424" s="284" t="n">
        <f aca="false">IFERROR(($J424*X424)*$M424, "")</f>
        <v>0</v>
      </c>
      <c r="BB424" s="284" t="n">
        <f aca="false">IFERROR(($J424*Y424)*$M424, "")</f>
        <v>0</v>
      </c>
      <c r="BC424" s="285" t="n">
        <f aca="false">IFERROR(($J424*Z424)*$M424, "")</f>
        <v>0</v>
      </c>
      <c r="BD424" s="286" t="n">
        <f aca="false">IFERROR(SUMIF($AB$4:$AM$4, "RDEC", AR424:BC424), "")</f>
        <v>0</v>
      </c>
      <c r="BE424" s="286" t="n">
        <f aca="false">IFERROR(SUMIF($AB$4:$AM$4, "SME", AR424:BC424), "")</f>
        <v>0</v>
      </c>
      <c r="BF424" s="286" t="n">
        <f aca="false">IFERROR(SUMIF($AB$4:$AM$4, "De Minimis", AR424:BC424), "")</f>
        <v>0</v>
      </c>
      <c r="BG424" s="287"/>
      <c r="BH424" s="288" t="str">
        <f aca="false">IF((SUM(O424:Z424)&gt;1),"ERROR","")</f>
        <v/>
      </c>
      <c r="BI424" s="287"/>
      <c r="BJ424" s="18" t="str">
        <f aca="false">IF(C410&gt;0, C410, "")</f>
        <v/>
      </c>
      <c r="BL424" s="200"/>
      <c r="BM424" s="200"/>
      <c r="BN424" s="200"/>
    </row>
    <row r="425" customFormat="false" ht="15" hidden="false" customHeight="true" outlineLevel="0" collapsed="false">
      <c r="B425" s="275"/>
      <c r="D425" s="276" t="n">
        <f aca="false">D409</f>
        <v>45323</v>
      </c>
      <c r="E425" s="277" t="n">
        <v>0</v>
      </c>
      <c r="F425" s="277" t="n">
        <v>0</v>
      </c>
      <c r="G425" s="277" t="n">
        <v>0</v>
      </c>
      <c r="H425" s="277" t="n">
        <v>0</v>
      </c>
      <c r="I425" s="277" t="n">
        <v>0</v>
      </c>
      <c r="J425" s="278" t="n">
        <f aca="false">E425+H425+I425</f>
        <v>0</v>
      </c>
      <c r="K425" s="204"/>
      <c r="L425" s="279" t="n">
        <v>1</v>
      </c>
      <c r="M425" s="280" t="n">
        <f aca="false">1-L425</f>
        <v>0</v>
      </c>
      <c r="N425" s="281"/>
      <c r="O425" s="282"/>
      <c r="P425" s="282"/>
      <c r="Q425" s="282"/>
      <c r="R425" s="282"/>
      <c r="S425" s="282"/>
      <c r="T425" s="282"/>
      <c r="U425" s="282"/>
      <c r="V425" s="282"/>
      <c r="W425" s="282"/>
      <c r="X425" s="282"/>
      <c r="Y425" s="282"/>
      <c r="Z425" s="282"/>
      <c r="AA425" s="283"/>
      <c r="AB425" s="284" t="n">
        <f aca="false">IFERROR(($J425*O425)*$L425, "")</f>
        <v>0</v>
      </c>
      <c r="AC425" s="284" t="n">
        <f aca="false">IFERROR(($J425*P425)*$L425, "")</f>
        <v>0</v>
      </c>
      <c r="AD425" s="284" t="n">
        <f aca="false">IFERROR(($J425*Q425)*$L425, "")</f>
        <v>0</v>
      </c>
      <c r="AE425" s="284" t="n">
        <f aca="false">IFERROR(($J425*R425)*$L425, "")</f>
        <v>0</v>
      </c>
      <c r="AF425" s="284" t="n">
        <f aca="false">IFERROR(($J425*S425)*$L425, "")</f>
        <v>0</v>
      </c>
      <c r="AG425" s="284" t="n">
        <f aca="false">IFERROR(($J425*T425)*$L425, "")</f>
        <v>0</v>
      </c>
      <c r="AH425" s="284" t="n">
        <f aca="false">IFERROR(($J425*U425)*$L425, "")</f>
        <v>0</v>
      </c>
      <c r="AI425" s="284" t="n">
        <f aca="false">IFERROR(($J425*V425)*$L425, "")</f>
        <v>0</v>
      </c>
      <c r="AJ425" s="284" t="n">
        <f aca="false">IFERROR(($J425*W425)*$L425, "")</f>
        <v>0</v>
      </c>
      <c r="AK425" s="284" t="n">
        <f aca="false">IFERROR(($J425*X425)*$L425, "")</f>
        <v>0</v>
      </c>
      <c r="AL425" s="284" t="n">
        <f aca="false">IFERROR(($J425*Y425)*$L425, "")</f>
        <v>0</v>
      </c>
      <c r="AM425" s="285" t="n">
        <f aca="false">IFERROR(($J425*Z425)*$L425, "")</f>
        <v>0</v>
      </c>
      <c r="AN425" s="286" t="n">
        <f aca="false">IFERROR(SUMIF($AB$4:$AM$4, "RDEC", AB425:AM425), "")</f>
        <v>0</v>
      </c>
      <c r="AO425" s="286" t="n">
        <f aca="false">IFERROR(SUMIF($AB$4:$AM$4, "SME", AB425:AM425), "")</f>
        <v>0</v>
      </c>
      <c r="AP425" s="286" t="n">
        <f aca="false">IFERROR(SUMIF($AB$4:$AM$4, "De Minimis", AB425:AM425), "")</f>
        <v>0</v>
      </c>
      <c r="AQ425" s="283"/>
      <c r="AR425" s="284" t="n">
        <f aca="false">IFERROR(($J425*O425)*$M425, "")</f>
        <v>0</v>
      </c>
      <c r="AS425" s="284" t="n">
        <f aca="false">IFERROR(($J425*P425)*$M425, "")</f>
        <v>0</v>
      </c>
      <c r="AT425" s="284" t="n">
        <f aca="false">IFERROR(($J425*Q425)*$M425, "")</f>
        <v>0</v>
      </c>
      <c r="AU425" s="284" t="n">
        <f aca="false">IFERROR(($J425*R425)*$M425, "")</f>
        <v>0</v>
      </c>
      <c r="AV425" s="284" t="n">
        <f aca="false">IFERROR(($J425*S425)*$M425, "")</f>
        <v>0</v>
      </c>
      <c r="AW425" s="284" t="n">
        <f aca="false">IFERROR(($J425*T425)*$M425, "")</f>
        <v>0</v>
      </c>
      <c r="AX425" s="284" t="n">
        <f aca="false">IFERROR(($J425*U425)*$M425, "")</f>
        <v>0</v>
      </c>
      <c r="AY425" s="284" t="n">
        <f aca="false">IFERROR(($J425*V425)*$M425, "")</f>
        <v>0</v>
      </c>
      <c r="AZ425" s="284" t="n">
        <f aca="false">IFERROR(($J425*W425)*$M425, "")</f>
        <v>0</v>
      </c>
      <c r="BA425" s="284" t="n">
        <f aca="false">IFERROR(($J425*X425)*$M425, "")</f>
        <v>0</v>
      </c>
      <c r="BB425" s="284" t="n">
        <f aca="false">IFERROR(($J425*Y425)*$M425, "")</f>
        <v>0</v>
      </c>
      <c r="BC425" s="285" t="n">
        <f aca="false">IFERROR(($J425*Z425)*$M425, "")</f>
        <v>0</v>
      </c>
      <c r="BD425" s="286" t="n">
        <f aca="false">IFERROR(SUMIF($AB$4:$AM$4, "RDEC", AR425:BC425), "")</f>
        <v>0</v>
      </c>
      <c r="BE425" s="286" t="n">
        <f aca="false">IFERROR(SUMIF($AB$4:$AM$4, "SME", AR425:BC425), "")</f>
        <v>0</v>
      </c>
      <c r="BF425" s="286" t="n">
        <f aca="false">IFERROR(SUMIF($AB$4:$AM$4, "De Minimis", AR425:BC425), "")</f>
        <v>0</v>
      </c>
      <c r="BG425" s="287"/>
      <c r="BH425" s="288" t="str">
        <f aca="false">IF((SUM(O425:Z425)&gt;1),"ERROR","")</f>
        <v/>
      </c>
      <c r="BI425" s="287"/>
      <c r="BJ425" s="18" t="str">
        <f aca="false">IF(C411&gt;0, C411, "")</f>
        <v/>
      </c>
      <c r="BL425" s="200"/>
      <c r="BM425" s="200"/>
      <c r="BN425" s="200"/>
    </row>
    <row r="426" customFormat="false" ht="15" hidden="false" customHeight="true" outlineLevel="0" collapsed="false">
      <c r="B426" s="275"/>
      <c r="D426" s="276" t="n">
        <f aca="false">D410</f>
        <v>45352</v>
      </c>
      <c r="E426" s="277" t="n">
        <v>0</v>
      </c>
      <c r="F426" s="277" t="n">
        <v>0</v>
      </c>
      <c r="G426" s="277" t="n">
        <v>0</v>
      </c>
      <c r="H426" s="277" t="n">
        <v>0</v>
      </c>
      <c r="I426" s="277" t="n">
        <v>0</v>
      </c>
      <c r="J426" s="278" t="n">
        <f aca="false">E426+H426+I426</f>
        <v>0</v>
      </c>
      <c r="K426" s="204"/>
      <c r="L426" s="279" t="n">
        <v>1</v>
      </c>
      <c r="M426" s="280" t="n">
        <f aca="false">1-L426</f>
        <v>0</v>
      </c>
      <c r="N426" s="281"/>
      <c r="O426" s="282"/>
      <c r="P426" s="282"/>
      <c r="Q426" s="282"/>
      <c r="R426" s="282"/>
      <c r="S426" s="282"/>
      <c r="T426" s="282"/>
      <c r="U426" s="282"/>
      <c r="V426" s="282"/>
      <c r="W426" s="282"/>
      <c r="X426" s="282"/>
      <c r="Y426" s="282"/>
      <c r="Z426" s="282"/>
      <c r="AA426" s="283"/>
      <c r="AB426" s="284" t="n">
        <f aca="false">IFERROR(($J426*O426)*$L426, "")</f>
        <v>0</v>
      </c>
      <c r="AC426" s="284" t="n">
        <f aca="false">IFERROR(($J426*P426)*$L426, "")</f>
        <v>0</v>
      </c>
      <c r="AD426" s="284" t="n">
        <f aca="false">IFERROR(($J426*Q426)*$L426, "")</f>
        <v>0</v>
      </c>
      <c r="AE426" s="284" t="n">
        <f aca="false">IFERROR(($J426*R426)*$L426, "")</f>
        <v>0</v>
      </c>
      <c r="AF426" s="284" t="n">
        <f aca="false">IFERROR(($J426*S426)*$L426, "")</f>
        <v>0</v>
      </c>
      <c r="AG426" s="284" t="n">
        <f aca="false">IFERROR(($J426*T426)*$L426, "")</f>
        <v>0</v>
      </c>
      <c r="AH426" s="284" t="n">
        <f aca="false">IFERROR(($J426*U426)*$L426, "")</f>
        <v>0</v>
      </c>
      <c r="AI426" s="284" t="n">
        <f aca="false">IFERROR(($J426*V426)*$L426, "")</f>
        <v>0</v>
      </c>
      <c r="AJ426" s="284" t="n">
        <f aca="false">IFERROR(($J426*W426)*$L426, "")</f>
        <v>0</v>
      </c>
      <c r="AK426" s="284" t="n">
        <f aca="false">IFERROR(($J426*X426)*$L426, "")</f>
        <v>0</v>
      </c>
      <c r="AL426" s="284" t="n">
        <f aca="false">IFERROR(($J426*Y426)*$L426, "")</f>
        <v>0</v>
      </c>
      <c r="AM426" s="285" t="n">
        <f aca="false">IFERROR(($J426*Z426)*$L426, "")</f>
        <v>0</v>
      </c>
      <c r="AN426" s="286" t="n">
        <f aca="false">IFERROR(SUMIF($AB$4:$AM$4, "RDEC", AB426:AM426), "")</f>
        <v>0</v>
      </c>
      <c r="AO426" s="286" t="n">
        <f aca="false">IFERROR(SUMIF($AB$4:$AM$4, "SME", AB426:AM426), "")</f>
        <v>0</v>
      </c>
      <c r="AP426" s="286" t="n">
        <f aca="false">IFERROR(SUMIF($AB$4:$AM$4, "De Minimis", AB426:AM426), "")</f>
        <v>0</v>
      </c>
      <c r="AQ426" s="283"/>
      <c r="AR426" s="284" t="n">
        <f aca="false">IFERROR(($J426*O426)*$M426, "")</f>
        <v>0</v>
      </c>
      <c r="AS426" s="284" t="n">
        <f aca="false">IFERROR(($J426*P426)*$M426, "")</f>
        <v>0</v>
      </c>
      <c r="AT426" s="284" t="n">
        <f aca="false">IFERROR(($J426*Q426)*$M426, "")</f>
        <v>0</v>
      </c>
      <c r="AU426" s="284" t="n">
        <f aca="false">IFERROR(($J426*R426)*$M426, "")</f>
        <v>0</v>
      </c>
      <c r="AV426" s="284" t="n">
        <f aca="false">IFERROR(($J426*S426)*$M426, "")</f>
        <v>0</v>
      </c>
      <c r="AW426" s="284" t="n">
        <f aca="false">IFERROR(($J426*T426)*$M426, "")</f>
        <v>0</v>
      </c>
      <c r="AX426" s="284" t="n">
        <f aca="false">IFERROR(($J426*U426)*$M426, "")</f>
        <v>0</v>
      </c>
      <c r="AY426" s="284" t="n">
        <f aca="false">IFERROR(($J426*V426)*$M426, "")</f>
        <v>0</v>
      </c>
      <c r="AZ426" s="284" t="n">
        <f aca="false">IFERROR(($J426*W426)*$M426, "")</f>
        <v>0</v>
      </c>
      <c r="BA426" s="284" t="n">
        <f aca="false">IFERROR(($J426*X426)*$M426, "")</f>
        <v>0</v>
      </c>
      <c r="BB426" s="284" t="n">
        <f aca="false">IFERROR(($J426*Y426)*$M426, "")</f>
        <v>0</v>
      </c>
      <c r="BC426" s="285" t="n">
        <f aca="false">IFERROR(($J426*Z426)*$M426, "")</f>
        <v>0</v>
      </c>
      <c r="BD426" s="286" t="n">
        <f aca="false">IFERROR(SUMIF($AB$4:$AM$4, "RDEC", AR426:BC426), "")</f>
        <v>0</v>
      </c>
      <c r="BE426" s="286" t="n">
        <f aca="false">IFERROR(SUMIF($AB$4:$AM$4, "SME", AR426:BC426), "")</f>
        <v>0</v>
      </c>
      <c r="BF426" s="286" t="n">
        <f aca="false">IFERROR(SUMIF($AB$4:$AM$4, "De Minimis", AR426:BC426), "")</f>
        <v>0</v>
      </c>
      <c r="BG426" s="287"/>
      <c r="BH426" s="288" t="str">
        <f aca="false">IF((SUM(O426:Z426)&gt;1),"ERROR","")</f>
        <v/>
      </c>
      <c r="BI426" s="287"/>
      <c r="BJ426" s="18" t="str">
        <f aca="false">IF(C412&gt;0, C412, "")</f>
        <v/>
      </c>
      <c r="BL426" s="200"/>
      <c r="BM426" s="200"/>
      <c r="BN426" s="200"/>
    </row>
    <row r="427" customFormat="false" ht="15" hidden="false" customHeight="true" outlineLevel="0" collapsed="false">
      <c r="B427" s="275"/>
      <c r="D427" s="276" t="n">
        <f aca="false">D411</f>
        <v>45383</v>
      </c>
      <c r="E427" s="277" t="n">
        <v>0</v>
      </c>
      <c r="F427" s="277" t="n">
        <v>0</v>
      </c>
      <c r="G427" s="277" t="n">
        <v>0</v>
      </c>
      <c r="H427" s="277" t="n">
        <v>0</v>
      </c>
      <c r="I427" s="277" t="n">
        <v>0</v>
      </c>
      <c r="J427" s="278" t="n">
        <f aca="false">E427+H427+I427</f>
        <v>0</v>
      </c>
      <c r="K427" s="204"/>
      <c r="L427" s="279" t="n">
        <v>1</v>
      </c>
      <c r="M427" s="280" t="n">
        <f aca="false">1-L427</f>
        <v>0</v>
      </c>
      <c r="N427" s="281"/>
      <c r="O427" s="282"/>
      <c r="P427" s="282"/>
      <c r="Q427" s="282"/>
      <c r="R427" s="282"/>
      <c r="S427" s="282"/>
      <c r="T427" s="282"/>
      <c r="U427" s="282"/>
      <c r="V427" s="282"/>
      <c r="W427" s="282"/>
      <c r="X427" s="282"/>
      <c r="Y427" s="282"/>
      <c r="Z427" s="282"/>
      <c r="AA427" s="283"/>
      <c r="AB427" s="284" t="n">
        <f aca="false">IFERROR(($J427*O427)*$L427, "")</f>
        <v>0</v>
      </c>
      <c r="AC427" s="284" t="n">
        <f aca="false">IFERROR(($J427*P427)*$L427, "")</f>
        <v>0</v>
      </c>
      <c r="AD427" s="284" t="n">
        <f aca="false">IFERROR(($J427*Q427)*$L427, "")</f>
        <v>0</v>
      </c>
      <c r="AE427" s="284" t="n">
        <f aca="false">IFERROR(($J427*R427)*$L427, "")</f>
        <v>0</v>
      </c>
      <c r="AF427" s="284" t="n">
        <f aca="false">IFERROR(($J427*S427)*$L427, "")</f>
        <v>0</v>
      </c>
      <c r="AG427" s="284" t="n">
        <f aca="false">IFERROR(($J427*T427)*$L427, "")</f>
        <v>0</v>
      </c>
      <c r="AH427" s="284" t="n">
        <f aca="false">IFERROR(($J427*U427)*$L427, "")</f>
        <v>0</v>
      </c>
      <c r="AI427" s="284" t="n">
        <f aca="false">IFERROR(($J427*V427)*$L427, "")</f>
        <v>0</v>
      </c>
      <c r="AJ427" s="284" t="n">
        <f aca="false">IFERROR(($J427*W427)*$L427, "")</f>
        <v>0</v>
      </c>
      <c r="AK427" s="284" t="n">
        <f aca="false">IFERROR(($J427*X427)*$L427, "")</f>
        <v>0</v>
      </c>
      <c r="AL427" s="284" t="n">
        <f aca="false">IFERROR(($J427*Y427)*$L427, "")</f>
        <v>0</v>
      </c>
      <c r="AM427" s="285" t="n">
        <f aca="false">IFERROR(($J427*Z427)*$L427, "")</f>
        <v>0</v>
      </c>
      <c r="AN427" s="286" t="n">
        <f aca="false">IFERROR(SUMIF($AB$4:$AM$4, "RDEC", AB427:AM427), "")</f>
        <v>0</v>
      </c>
      <c r="AO427" s="286" t="n">
        <f aca="false">IFERROR(SUMIF($AB$4:$AM$4, "SME", AB427:AM427), "")</f>
        <v>0</v>
      </c>
      <c r="AP427" s="286" t="n">
        <f aca="false">IFERROR(SUMIF($AB$4:$AM$4, "De Minimis", AB427:AM427), "")</f>
        <v>0</v>
      </c>
      <c r="AQ427" s="283"/>
      <c r="AR427" s="284" t="n">
        <f aca="false">IFERROR(($J427*O427)*$M427, "")</f>
        <v>0</v>
      </c>
      <c r="AS427" s="284" t="n">
        <f aca="false">IFERROR(($J427*P427)*$M427, "")</f>
        <v>0</v>
      </c>
      <c r="AT427" s="284" t="n">
        <f aca="false">IFERROR(($J427*Q427)*$M427, "")</f>
        <v>0</v>
      </c>
      <c r="AU427" s="284" t="n">
        <f aca="false">IFERROR(($J427*R427)*$M427, "")</f>
        <v>0</v>
      </c>
      <c r="AV427" s="284" t="n">
        <f aca="false">IFERROR(($J427*S427)*$M427, "")</f>
        <v>0</v>
      </c>
      <c r="AW427" s="284" t="n">
        <f aca="false">IFERROR(($J427*T427)*$M427, "")</f>
        <v>0</v>
      </c>
      <c r="AX427" s="284" t="n">
        <f aca="false">IFERROR(($J427*U427)*$M427, "")</f>
        <v>0</v>
      </c>
      <c r="AY427" s="284" t="n">
        <f aca="false">IFERROR(($J427*V427)*$M427, "")</f>
        <v>0</v>
      </c>
      <c r="AZ427" s="284" t="n">
        <f aca="false">IFERROR(($J427*W427)*$M427, "")</f>
        <v>0</v>
      </c>
      <c r="BA427" s="284" t="n">
        <f aca="false">IFERROR(($J427*X427)*$M427, "")</f>
        <v>0</v>
      </c>
      <c r="BB427" s="284" t="n">
        <f aca="false">IFERROR(($J427*Y427)*$M427, "")</f>
        <v>0</v>
      </c>
      <c r="BC427" s="285" t="n">
        <f aca="false">IFERROR(($J427*Z427)*$M427, "")</f>
        <v>0</v>
      </c>
      <c r="BD427" s="286" t="n">
        <f aca="false">IFERROR(SUMIF($AB$4:$AM$4, "RDEC", AR427:BC427), "")</f>
        <v>0</v>
      </c>
      <c r="BE427" s="286" t="n">
        <f aca="false">IFERROR(SUMIF($AB$4:$AM$4, "SME", AR427:BC427), "")</f>
        <v>0</v>
      </c>
      <c r="BF427" s="286" t="n">
        <f aca="false">IFERROR(SUMIF($AB$4:$AM$4, "De Minimis", AR427:BC427), "")</f>
        <v>0</v>
      </c>
      <c r="BG427" s="287"/>
      <c r="BH427" s="288" t="str">
        <f aca="false">IF((SUM(O427:Z427)&gt;1),"ERROR","")</f>
        <v/>
      </c>
      <c r="BI427" s="287"/>
      <c r="BJ427" s="18" t="str">
        <f aca="false">IF(C413&gt;0, C413, "")</f>
        <v/>
      </c>
      <c r="BL427" s="200"/>
      <c r="BM427" s="200"/>
      <c r="BN427" s="200"/>
    </row>
    <row r="428" customFormat="false" ht="15" hidden="false" customHeight="true" outlineLevel="0" collapsed="false">
      <c r="B428" s="275"/>
      <c r="D428" s="276" t="n">
        <f aca="false">D412</f>
        <v>45413</v>
      </c>
      <c r="E428" s="277" t="n">
        <v>0</v>
      </c>
      <c r="F428" s="277" t="n">
        <v>0</v>
      </c>
      <c r="G428" s="277" t="n">
        <v>0</v>
      </c>
      <c r="H428" s="277" t="n">
        <v>0</v>
      </c>
      <c r="I428" s="277" t="n">
        <v>0</v>
      </c>
      <c r="J428" s="278" t="n">
        <f aca="false">E428+H428+I428</f>
        <v>0</v>
      </c>
      <c r="K428" s="204"/>
      <c r="L428" s="279" t="n">
        <v>1</v>
      </c>
      <c r="M428" s="280" t="n">
        <f aca="false">1-L428</f>
        <v>0</v>
      </c>
      <c r="N428" s="281"/>
      <c r="O428" s="282"/>
      <c r="P428" s="282"/>
      <c r="Q428" s="282"/>
      <c r="R428" s="282"/>
      <c r="S428" s="282"/>
      <c r="T428" s="282"/>
      <c r="U428" s="282"/>
      <c r="V428" s="282"/>
      <c r="W428" s="282"/>
      <c r="X428" s="282"/>
      <c r="Y428" s="282"/>
      <c r="Z428" s="282"/>
      <c r="AA428" s="283"/>
      <c r="AB428" s="284" t="n">
        <f aca="false">IFERROR(($J428*O428)*$L428, "")</f>
        <v>0</v>
      </c>
      <c r="AC428" s="284" t="n">
        <f aca="false">IFERROR(($J428*P428)*$L428, "")</f>
        <v>0</v>
      </c>
      <c r="AD428" s="284" t="n">
        <f aca="false">IFERROR(($J428*Q428)*$L428, "")</f>
        <v>0</v>
      </c>
      <c r="AE428" s="284" t="n">
        <f aca="false">IFERROR(($J428*R428)*$L428, "")</f>
        <v>0</v>
      </c>
      <c r="AF428" s="284" t="n">
        <f aca="false">IFERROR(($J428*S428)*$L428, "")</f>
        <v>0</v>
      </c>
      <c r="AG428" s="284" t="n">
        <f aca="false">IFERROR(($J428*T428)*$L428, "")</f>
        <v>0</v>
      </c>
      <c r="AH428" s="284" t="n">
        <f aca="false">IFERROR(($J428*U428)*$L428, "")</f>
        <v>0</v>
      </c>
      <c r="AI428" s="284" t="n">
        <f aca="false">IFERROR(($J428*V428)*$L428, "")</f>
        <v>0</v>
      </c>
      <c r="AJ428" s="284" t="n">
        <f aca="false">IFERROR(($J428*W428)*$L428, "")</f>
        <v>0</v>
      </c>
      <c r="AK428" s="284" t="n">
        <f aca="false">IFERROR(($J428*X428)*$L428, "")</f>
        <v>0</v>
      </c>
      <c r="AL428" s="284" t="n">
        <f aca="false">IFERROR(($J428*Y428)*$L428, "")</f>
        <v>0</v>
      </c>
      <c r="AM428" s="285" t="n">
        <f aca="false">IFERROR(($J428*Z428)*$L428, "")</f>
        <v>0</v>
      </c>
      <c r="AN428" s="286" t="n">
        <f aca="false">IFERROR(SUMIF($AB$4:$AM$4, "RDEC", AB428:AM428), "")</f>
        <v>0</v>
      </c>
      <c r="AO428" s="286" t="n">
        <f aca="false">IFERROR(SUMIF($AB$4:$AM$4, "SME", AB428:AM428), "")</f>
        <v>0</v>
      </c>
      <c r="AP428" s="286" t="n">
        <f aca="false">IFERROR(SUMIF($AB$4:$AM$4, "De Minimis", AB428:AM428), "")</f>
        <v>0</v>
      </c>
      <c r="AQ428" s="283"/>
      <c r="AR428" s="284" t="n">
        <f aca="false">IFERROR(($J428*O428)*$M428, "")</f>
        <v>0</v>
      </c>
      <c r="AS428" s="284" t="n">
        <f aca="false">IFERROR(($J428*P428)*$M428, "")</f>
        <v>0</v>
      </c>
      <c r="AT428" s="284" t="n">
        <f aca="false">IFERROR(($J428*Q428)*$M428, "")</f>
        <v>0</v>
      </c>
      <c r="AU428" s="284" t="n">
        <f aca="false">IFERROR(($J428*R428)*$M428, "")</f>
        <v>0</v>
      </c>
      <c r="AV428" s="284" t="n">
        <f aca="false">IFERROR(($J428*S428)*$M428, "")</f>
        <v>0</v>
      </c>
      <c r="AW428" s="284" t="n">
        <f aca="false">IFERROR(($J428*T428)*$M428, "")</f>
        <v>0</v>
      </c>
      <c r="AX428" s="284" t="n">
        <f aca="false">IFERROR(($J428*U428)*$M428, "")</f>
        <v>0</v>
      </c>
      <c r="AY428" s="284" t="n">
        <f aca="false">IFERROR(($J428*V428)*$M428, "")</f>
        <v>0</v>
      </c>
      <c r="AZ428" s="284" t="n">
        <f aca="false">IFERROR(($J428*W428)*$M428, "")</f>
        <v>0</v>
      </c>
      <c r="BA428" s="284" t="n">
        <f aca="false">IFERROR(($J428*X428)*$M428, "")</f>
        <v>0</v>
      </c>
      <c r="BB428" s="284" t="n">
        <f aca="false">IFERROR(($J428*Y428)*$M428, "")</f>
        <v>0</v>
      </c>
      <c r="BC428" s="285" t="n">
        <f aca="false">IFERROR(($J428*Z428)*$M428, "")</f>
        <v>0</v>
      </c>
      <c r="BD428" s="286" t="n">
        <f aca="false">IFERROR(SUMIF($AB$4:$AM$4, "RDEC", AR428:BC428), "")</f>
        <v>0</v>
      </c>
      <c r="BE428" s="286" t="n">
        <f aca="false">IFERROR(SUMIF($AB$4:$AM$4, "SME", AR428:BC428), "")</f>
        <v>0</v>
      </c>
      <c r="BF428" s="286" t="n">
        <f aca="false">IFERROR(SUMIF($AB$4:$AM$4, "De Minimis", AR428:BC428), "")</f>
        <v>0</v>
      </c>
      <c r="BG428" s="287"/>
      <c r="BH428" s="288" t="str">
        <f aca="false">IF((SUM(O428:Z428)&gt;1),"ERROR","")</f>
        <v/>
      </c>
      <c r="BI428" s="287"/>
      <c r="BJ428" s="18" t="str">
        <f aca="false">IF(C414&gt;0, C414, "")</f>
        <v/>
      </c>
      <c r="BL428" s="200"/>
      <c r="BM428" s="200"/>
      <c r="BN428" s="200"/>
    </row>
    <row r="429" customFormat="false" ht="15" hidden="false" customHeight="true" outlineLevel="0" collapsed="false">
      <c r="B429" s="275"/>
      <c r="D429" s="276" t="n">
        <f aca="false">D413</f>
        <v>45444</v>
      </c>
      <c r="E429" s="277" t="n">
        <v>0</v>
      </c>
      <c r="F429" s="277" t="n">
        <v>0</v>
      </c>
      <c r="G429" s="277" t="n">
        <v>0</v>
      </c>
      <c r="H429" s="277" t="n">
        <v>0</v>
      </c>
      <c r="I429" s="277" t="n">
        <v>0</v>
      </c>
      <c r="J429" s="278" t="n">
        <f aca="false">E429+H429+I429</f>
        <v>0</v>
      </c>
      <c r="K429" s="204"/>
      <c r="L429" s="279" t="n">
        <v>1</v>
      </c>
      <c r="M429" s="280" t="n">
        <f aca="false">1-L429</f>
        <v>0</v>
      </c>
      <c r="N429" s="281"/>
      <c r="O429" s="282"/>
      <c r="P429" s="282"/>
      <c r="Q429" s="282"/>
      <c r="R429" s="282"/>
      <c r="S429" s="282"/>
      <c r="T429" s="282"/>
      <c r="U429" s="282"/>
      <c r="V429" s="282"/>
      <c r="W429" s="282"/>
      <c r="X429" s="282"/>
      <c r="Y429" s="282"/>
      <c r="Z429" s="282"/>
      <c r="AA429" s="283"/>
      <c r="AB429" s="284" t="n">
        <f aca="false">IFERROR(($J429*O429)*$L429, "")</f>
        <v>0</v>
      </c>
      <c r="AC429" s="284" t="n">
        <f aca="false">IFERROR(($J429*P429)*$L429, "")</f>
        <v>0</v>
      </c>
      <c r="AD429" s="284" t="n">
        <f aca="false">IFERROR(($J429*Q429)*$L429, "")</f>
        <v>0</v>
      </c>
      <c r="AE429" s="284" t="n">
        <f aca="false">IFERROR(($J429*R429)*$L429, "")</f>
        <v>0</v>
      </c>
      <c r="AF429" s="284" t="n">
        <f aca="false">IFERROR(($J429*S429)*$L429, "")</f>
        <v>0</v>
      </c>
      <c r="AG429" s="284" t="n">
        <f aca="false">IFERROR(($J429*T429)*$L429, "")</f>
        <v>0</v>
      </c>
      <c r="AH429" s="284" t="n">
        <f aca="false">IFERROR(($J429*U429)*$L429, "")</f>
        <v>0</v>
      </c>
      <c r="AI429" s="284" t="n">
        <f aca="false">IFERROR(($J429*V429)*$L429, "")</f>
        <v>0</v>
      </c>
      <c r="AJ429" s="284" t="n">
        <f aca="false">IFERROR(($J429*W429)*$L429, "")</f>
        <v>0</v>
      </c>
      <c r="AK429" s="284" t="n">
        <f aca="false">IFERROR(($J429*X429)*$L429, "")</f>
        <v>0</v>
      </c>
      <c r="AL429" s="284" t="n">
        <f aca="false">IFERROR(($J429*Y429)*$L429, "")</f>
        <v>0</v>
      </c>
      <c r="AM429" s="285" t="n">
        <f aca="false">IFERROR(($J429*Z429)*$L429, "")</f>
        <v>0</v>
      </c>
      <c r="AN429" s="286" t="n">
        <f aca="false">IFERROR(SUMIF($AB$4:$AM$4, "RDEC", AB429:AM429), "")</f>
        <v>0</v>
      </c>
      <c r="AO429" s="286" t="n">
        <f aca="false">IFERROR(SUMIF($AB$4:$AM$4, "SME", AB429:AM429), "")</f>
        <v>0</v>
      </c>
      <c r="AP429" s="286" t="n">
        <f aca="false">IFERROR(SUMIF($AB$4:$AM$4, "De Minimis", AB429:AM429), "")</f>
        <v>0</v>
      </c>
      <c r="AQ429" s="283"/>
      <c r="AR429" s="284" t="n">
        <f aca="false">IFERROR(($J429*O429)*$M429, "")</f>
        <v>0</v>
      </c>
      <c r="AS429" s="284" t="n">
        <f aca="false">IFERROR(($J429*P429)*$M429, "")</f>
        <v>0</v>
      </c>
      <c r="AT429" s="284" t="n">
        <f aca="false">IFERROR(($J429*Q429)*$M429, "")</f>
        <v>0</v>
      </c>
      <c r="AU429" s="284" t="n">
        <f aca="false">IFERROR(($J429*R429)*$M429, "")</f>
        <v>0</v>
      </c>
      <c r="AV429" s="284" t="n">
        <f aca="false">IFERROR(($J429*S429)*$M429, "")</f>
        <v>0</v>
      </c>
      <c r="AW429" s="284" t="n">
        <f aca="false">IFERROR(($J429*T429)*$M429, "")</f>
        <v>0</v>
      </c>
      <c r="AX429" s="284" t="n">
        <f aca="false">IFERROR(($J429*U429)*$M429, "")</f>
        <v>0</v>
      </c>
      <c r="AY429" s="284" t="n">
        <f aca="false">IFERROR(($J429*V429)*$M429, "")</f>
        <v>0</v>
      </c>
      <c r="AZ429" s="284" t="n">
        <f aca="false">IFERROR(($J429*W429)*$M429, "")</f>
        <v>0</v>
      </c>
      <c r="BA429" s="284" t="n">
        <f aca="false">IFERROR(($J429*X429)*$M429, "")</f>
        <v>0</v>
      </c>
      <c r="BB429" s="284" t="n">
        <f aca="false">IFERROR(($J429*Y429)*$M429, "")</f>
        <v>0</v>
      </c>
      <c r="BC429" s="285" t="n">
        <f aca="false">IFERROR(($J429*Z429)*$M429, "")</f>
        <v>0</v>
      </c>
      <c r="BD429" s="286" t="n">
        <f aca="false">IFERROR(SUMIF($AB$4:$AM$4, "RDEC", AR429:BC429), "")</f>
        <v>0</v>
      </c>
      <c r="BE429" s="286" t="n">
        <f aca="false">IFERROR(SUMIF($AB$4:$AM$4, "SME", AR429:BC429), "")</f>
        <v>0</v>
      </c>
      <c r="BF429" s="286" t="n">
        <f aca="false">IFERROR(SUMIF($AB$4:$AM$4, "De Minimis", AR429:BC429), "")</f>
        <v>0</v>
      </c>
      <c r="BG429" s="287"/>
      <c r="BH429" s="288" t="str">
        <f aca="false">IF((SUM(O429:Z429)&gt;1),"ERROR","")</f>
        <v/>
      </c>
      <c r="BI429" s="287"/>
      <c r="BJ429" s="18" t="str">
        <f aca="false">IF(C415&gt;0, C415, "")</f>
        <v/>
      </c>
      <c r="BL429" s="200"/>
      <c r="BM429" s="200"/>
      <c r="BN429" s="200"/>
    </row>
    <row r="430" customFormat="false" ht="15" hidden="false" customHeight="true" outlineLevel="0" collapsed="false">
      <c r="B430" s="275"/>
      <c r="D430" s="276" t="n">
        <f aca="false">D414</f>
        <v>45474</v>
      </c>
      <c r="E430" s="277" t="n">
        <v>0</v>
      </c>
      <c r="F430" s="277" t="n">
        <v>0</v>
      </c>
      <c r="G430" s="277" t="n">
        <v>0</v>
      </c>
      <c r="H430" s="277" t="n">
        <v>0</v>
      </c>
      <c r="I430" s="277" t="n">
        <v>0</v>
      </c>
      <c r="J430" s="278" t="n">
        <f aca="false">E430+H430+I430</f>
        <v>0</v>
      </c>
      <c r="K430" s="204"/>
      <c r="L430" s="279" t="n">
        <v>1</v>
      </c>
      <c r="M430" s="280" t="n">
        <f aca="false">1-L430</f>
        <v>0</v>
      </c>
      <c r="N430" s="281"/>
      <c r="O430" s="282"/>
      <c r="P430" s="282"/>
      <c r="Q430" s="282"/>
      <c r="R430" s="282"/>
      <c r="S430" s="282"/>
      <c r="T430" s="282"/>
      <c r="U430" s="282"/>
      <c r="V430" s="282"/>
      <c r="W430" s="282"/>
      <c r="X430" s="282"/>
      <c r="Y430" s="282"/>
      <c r="Z430" s="282"/>
      <c r="AA430" s="283"/>
      <c r="AB430" s="284" t="n">
        <f aca="false">IFERROR(($J430*O430)*$L430, "")</f>
        <v>0</v>
      </c>
      <c r="AC430" s="284" t="n">
        <f aca="false">IFERROR(($J430*P430)*$L430, "")</f>
        <v>0</v>
      </c>
      <c r="AD430" s="284" t="n">
        <f aca="false">IFERROR(($J430*Q430)*$L430, "")</f>
        <v>0</v>
      </c>
      <c r="AE430" s="284" t="n">
        <f aca="false">IFERROR(($J430*R430)*$L430, "")</f>
        <v>0</v>
      </c>
      <c r="AF430" s="284" t="n">
        <f aca="false">IFERROR(($J430*S430)*$L430, "")</f>
        <v>0</v>
      </c>
      <c r="AG430" s="284" t="n">
        <f aca="false">IFERROR(($J430*T430)*$L430, "")</f>
        <v>0</v>
      </c>
      <c r="AH430" s="284" t="n">
        <f aca="false">IFERROR(($J430*U430)*$L430, "")</f>
        <v>0</v>
      </c>
      <c r="AI430" s="284" t="n">
        <f aca="false">IFERROR(($J430*V430)*$L430, "")</f>
        <v>0</v>
      </c>
      <c r="AJ430" s="284" t="n">
        <f aca="false">IFERROR(($J430*W430)*$L430, "")</f>
        <v>0</v>
      </c>
      <c r="AK430" s="284" t="n">
        <f aca="false">IFERROR(($J430*X430)*$L430, "")</f>
        <v>0</v>
      </c>
      <c r="AL430" s="284" t="n">
        <f aca="false">IFERROR(($J430*Y430)*$L430, "")</f>
        <v>0</v>
      </c>
      <c r="AM430" s="285" t="n">
        <f aca="false">IFERROR(($J430*Z430)*$L430, "")</f>
        <v>0</v>
      </c>
      <c r="AN430" s="286" t="n">
        <f aca="false">IFERROR(SUMIF($AB$4:$AM$4, "RDEC", AB430:AM430), "")</f>
        <v>0</v>
      </c>
      <c r="AO430" s="286" t="n">
        <f aca="false">IFERROR(SUMIF($AB$4:$AM$4, "SME", AB430:AM430), "")</f>
        <v>0</v>
      </c>
      <c r="AP430" s="286" t="n">
        <f aca="false">IFERROR(SUMIF($AB$4:$AM$4, "De Minimis", AB430:AM430), "")</f>
        <v>0</v>
      </c>
      <c r="AQ430" s="283"/>
      <c r="AR430" s="284" t="n">
        <f aca="false">IFERROR(($J430*O430)*$M430, "")</f>
        <v>0</v>
      </c>
      <c r="AS430" s="284" t="n">
        <f aca="false">IFERROR(($J430*P430)*$M430, "")</f>
        <v>0</v>
      </c>
      <c r="AT430" s="284" t="n">
        <f aca="false">IFERROR(($J430*Q430)*$M430, "")</f>
        <v>0</v>
      </c>
      <c r="AU430" s="284" t="n">
        <f aca="false">IFERROR(($J430*R430)*$M430, "")</f>
        <v>0</v>
      </c>
      <c r="AV430" s="284" t="n">
        <f aca="false">IFERROR(($J430*S430)*$M430, "")</f>
        <v>0</v>
      </c>
      <c r="AW430" s="284" t="n">
        <f aca="false">IFERROR(($J430*T430)*$M430, "")</f>
        <v>0</v>
      </c>
      <c r="AX430" s="284" t="n">
        <f aca="false">IFERROR(($J430*U430)*$M430, "")</f>
        <v>0</v>
      </c>
      <c r="AY430" s="284" t="n">
        <f aca="false">IFERROR(($J430*V430)*$M430, "")</f>
        <v>0</v>
      </c>
      <c r="AZ430" s="284" t="n">
        <f aca="false">IFERROR(($J430*W430)*$M430, "")</f>
        <v>0</v>
      </c>
      <c r="BA430" s="284" t="n">
        <f aca="false">IFERROR(($J430*X430)*$M430, "")</f>
        <v>0</v>
      </c>
      <c r="BB430" s="284" t="n">
        <f aca="false">IFERROR(($J430*Y430)*$M430, "")</f>
        <v>0</v>
      </c>
      <c r="BC430" s="285" t="n">
        <f aca="false">IFERROR(($J430*Z430)*$M430, "")</f>
        <v>0</v>
      </c>
      <c r="BD430" s="286" t="n">
        <f aca="false">IFERROR(SUMIF($AB$4:$AM$4, "RDEC", AR430:BC430), "")</f>
        <v>0</v>
      </c>
      <c r="BE430" s="286" t="n">
        <f aca="false">IFERROR(SUMIF($AB$4:$AM$4, "SME", AR430:BC430), "")</f>
        <v>0</v>
      </c>
      <c r="BF430" s="286" t="n">
        <f aca="false">IFERROR(SUMIF($AB$4:$AM$4, "De Minimis", AR430:BC430), "")</f>
        <v>0</v>
      </c>
      <c r="BG430" s="287"/>
      <c r="BH430" s="288" t="str">
        <f aca="false">IF((SUM(O430:Z430)&gt;1),"ERROR","")</f>
        <v/>
      </c>
      <c r="BI430" s="287"/>
      <c r="BJ430" s="18" t="str">
        <f aca="false">IF(C416&gt;0, C416, "")</f>
        <v/>
      </c>
      <c r="BL430" s="200"/>
      <c r="BM430" s="200"/>
      <c r="BN430" s="200"/>
    </row>
    <row r="431" customFormat="false" ht="15" hidden="false" customHeight="true" outlineLevel="0" collapsed="false">
      <c r="B431" s="275"/>
      <c r="D431" s="276" t="n">
        <f aca="false">D415</f>
        <v>45505</v>
      </c>
      <c r="E431" s="277" t="n">
        <v>0</v>
      </c>
      <c r="F431" s="277" t="n">
        <v>0</v>
      </c>
      <c r="G431" s="277" t="n">
        <v>0</v>
      </c>
      <c r="H431" s="277" t="n">
        <v>0</v>
      </c>
      <c r="I431" s="277" t="n">
        <v>0</v>
      </c>
      <c r="J431" s="278" t="n">
        <f aca="false">E431+H431+I431</f>
        <v>0</v>
      </c>
      <c r="K431" s="204"/>
      <c r="L431" s="279" t="n">
        <v>1</v>
      </c>
      <c r="M431" s="280" t="n">
        <f aca="false">1-L431</f>
        <v>0</v>
      </c>
      <c r="N431" s="281"/>
      <c r="O431" s="282"/>
      <c r="P431" s="282"/>
      <c r="Q431" s="282"/>
      <c r="R431" s="282"/>
      <c r="S431" s="282"/>
      <c r="T431" s="282"/>
      <c r="U431" s="282"/>
      <c r="V431" s="282"/>
      <c r="W431" s="282"/>
      <c r="X431" s="282"/>
      <c r="Y431" s="282"/>
      <c r="Z431" s="282"/>
      <c r="AA431" s="283"/>
      <c r="AB431" s="284" t="n">
        <f aca="false">IFERROR(($J431*O431)*$L431, "")</f>
        <v>0</v>
      </c>
      <c r="AC431" s="284" t="n">
        <f aca="false">IFERROR(($J431*P431)*$L431, "")</f>
        <v>0</v>
      </c>
      <c r="AD431" s="284" t="n">
        <f aca="false">IFERROR(($J431*Q431)*$L431, "")</f>
        <v>0</v>
      </c>
      <c r="AE431" s="284" t="n">
        <f aca="false">IFERROR(($J431*R431)*$L431, "")</f>
        <v>0</v>
      </c>
      <c r="AF431" s="284" t="n">
        <f aca="false">IFERROR(($J431*S431)*$L431, "")</f>
        <v>0</v>
      </c>
      <c r="AG431" s="284" t="n">
        <f aca="false">IFERROR(($J431*T431)*$L431, "")</f>
        <v>0</v>
      </c>
      <c r="AH431" s="284" t="n">
        <f aca="false">IFERROR(($J431*U431)*$L431, "")</f>
        <v>0</v>
      </c>
      <c r="AI431" s="284" t="n">
        <f aca="false">IFERROR(($J431*V431)*$L431, "")</f>
        <v>0</v>
      </c>
      <c r="AJ431" s="284" t="n">
        <f aca="false">IFERROR(($J431*W431)*$L431, "")</f>
        <v>0</v>
      </c>
      <c r="AK431" s="284" t="n">
        <f aca="false">IFERROR(($J431*X431)*$L431, "")</f>
        <v>0</v>
      </c>
      <c r="AL431" s="284" t="n">
        <f aca="false">IFERROR(($J431*Y431)*$L431, "")</f>
        <v>0</v>
      </c>
      <c r="AM431" s="285" t="n">
        <f aca="false">IFERROR(($J431*Z431)*$L431, "")</f>
        <v>0</v>
      </c>
      <c r="AN431" s="286" t="n">
        <f aca="false">IFERROR(SUMIF($AB$4:$AM$4, "RDEC", AB431:AM431), "")</f>
        <v>0</v>
      </c>
      <c r="AO431" s="286" t="n">
        <f aca="false">IFERROR(SUMIF($AB$4:$AM$4, "SME", AB431:AM431), "")</f>
        <v>0</v>
      </c>
      <c r="AP431" s="286" t="n">
        <f aca="false">IFERROR(SUMIF($AB$4:$AM$4, "De Minimis", AB431:AM431), "")</f>
        <v>0</v>
      </c>
      <c r="AQ431" s="283"/>
      <c r="AR431" s="284" t="n">
        <f aca="false">IFERROR(($J431*O431)*$M431, "")</f>
        <v>0</v>
      </c>
      <c r="AS431" s="284" t="n">
        <f aca="false">IFERROR(($J431*P431)*$M431, "")</f>
        <v>0</v>
      </c>
      <c r="AT431" s="284" t="n">
        <f aca="false">IFERROR(($J431*Q431)*$M431, "")</f>
        <v>0</v>
      </c>
      <c r="AU431" s="284" t="n">
        <f aca="false">IFERROR(($J431*R431)*$M431, "")</f>
        <v>0</v>
      </c>
      <c r="AV431" s="284" t="n">
        <f aca="false">IFERROR(($J431*S431)*$M431, "")</f>
        <v>0</v>
      </c>
      <c r="AW431" s="284" t="n">
        <f aca="false">IFERROR(($J431*T431)*$M431, "")</f>
        <v>0</v>
      </c>
      <c r="AX431" s="284" t="n">
        <f aca="false">IFERROR(($J431*U431)*$M431, "")</f>
        <v>0</v>
      </c>
      <c r="AY431" s="284" t="n">
        <f aca="false">IFERROR(($J431*V431)*$M431, "")</f>
        <v>0</v>
      </c>
      <c r="AZ431" s="284" t="n">
        <f aca="false">IFERROR(($J431*W431)*$M431, "")</f>
        <v>0</v>
      </c>
      <c r="BA431" s="284" t="n">
        <f aca="false">IFERROR(($J431*X431)*$M431, "")</f>
        <v>0</v>
      </c>
      <c r="BB431" s="284" t="n">
        <f aca="false">IFERROR(($J431*Y431)*$M431, "")</f>
        <v>0</v>
      </c>
      <c r="BC431" s="285" t="n">
        <f aca="false">IFERROR(($J431*Z431)*$M431, "")</f>
        <v>0</v>
      </c>
      <c r="BD431" s="286" t="n">
        <f aca="false">IFERROR(SUMIF($AB$4:$AM$4, "RDEC", AR431:BC431), "")</f>
        <v>0</v>
      </c>
      <c r="BE431" s="286" t="n">
        <f aca="false">IFERROR(SUMIF($AB$4:$AM$4, "SME", AR431:BC431), "")</f>
        <v>0</v>
      </c>
      <c r="BF431" s="286" t="n">
        <f aca="false">IFERROR(SUMIF($AB$4:$AM$4, "De Minimis", AR431:BC431), "")</f>
        <v>0</v>
      </c>
      <c r="BG431" s="287"/>
      <c r="BH431" s="288" t="str">
        <f aca="false">IF((SUM(O431:Z431)&gt;1),"ERROR","")</f>
        <v/>
      </c>
      <c r="BI431" s="287"/>
      <c r="BJ431" s="18" t="str">
        <f aca="false">IF(C417&gt;0, C417, "")</f>
        <v/>
      </c>
      <c r="BL431" s="200"/>
      <c r="BM431" s="200"/>
      <c r="BN431" s="200"/>
    </row>
    <row r="432" customFormat="false" ht="15" hidden="false" customHeight="true" outlineLevel="0" collapsed="false">
      <c r="B432" s="275"/>
      <c r="D432" s="276" t="n">
        <f aca="false">D416</f>
        <v>45536</v>
      </c>
      <c r="E432" s="277" t="n">
        <v>0</v>
      </c>
      <c r="F432" s="277" t="n">
        <v>0</v>
      </c>
      <c r="G432" s="277" t="n">
        <v>0</v>
      </c>
      <c r="H432" s="277" t="n">
        <v>0</v>
      </c>
      <c r="I432" s="277" t="n">
        <v>0</v>
      </c>
      <c r="J432" s="278" t="n">
        <f aca="false">E432+H432+I432</f>
        <v>0</v>
      </c>
      <c r="K432" s="204"/>
      <c r="L432" s="279" t="n">
        <v>1</v>
      </c>
      <c r="M432" s="280" t="n">
        <f aca="false">1-L432</f>
        <v>0</v>
      </c>
      <c r="N432" s="281"/>
      <c r="O432" s="282"/>
      <c r="P432" s="282"/>
      <c r="Q432" s="282"/>
      <c r="R432" s="282"/>
      <c r="S432" s="282"/>
      <c r="T432" s="282"/>
      <c r="U432" s="282"/>
      <c r="V432" s="282"/>
      <c r="W432" s="282"/>
      <c r="X432" s="282"/>
      <c r="Y432" s="282"/>
      <c r="Z432" s="282"/>
      <c r="AA432" s="283"/>
      <c r="AB432" s="284" t="n">
        <f aca="false">IFERROR(($J432*O432)*$L432, "")</f>
        <v>0</v>
      </c>
      <c r="AC432" s="284" t="n">
        <f aca="false">IFERROR(($J432*P432)*$L432, "")</f>
        <v>0</v>
      </c>
      <c r="AD432" s="284" t="n">
        <f aca="false">IFERROR(($J432*Q432)*$L432, "")</f>
        <v>0</v>
      </c>
      <c r="AE432" s="284" t="n">
        <f aca="false">IFERROR(($J432*R432)*$L432, "")</f>
        <v>0</v>
      </c>
      <c r="AF432" s="284" t="n">
        <f aca="false">IFERROR(($J432*S432)*$L432, "")</f>
        <v>0</v>
      </c>
      <c r="AG432" s="284" t="n">
        <f aca="false">IFERROR(($J432*T432)*$L432, "")</f>
        <v>0</v>
      </c>
      <c r="AH432" s="284" t="n">
        <f aca="false">IFERROR(($J432*U432)*$L432, "")</f>
        <v>0</v>
      </c>
      <c r="AI432" s="284" t="n">
        <f aca="false">IFERROR(($J432*V432)*$L432, "")</f>
        <v>0</v>
      </c>
      <c r="AJ432" s="284" t="n">
        <f aca="false">IFERROR(($J432*W432)*$L432, "")</f>
        <v>0</v>
      </c>
      <c r="AK432" s="284" t="n">
        <f aca="false">IFERROR(($J432*X432)*$L432, "")</f>
        <v>0</v>
      </c>
      <c r="AL432" s="284" t="n">
        <f aca="false">IFERROR(($J432*Y432)*$L432, "")</f>
        <v>0</v>
      </c>
      <c r="AM432" s="285" t="n">
        <f aca="false">IFERROR(($J432*Z432)*$L432, "")</f>
        <v>0</v>
      </c>
      <c r="AN432" s="286" t="n">
        <f aca="false">IFERROR(SUMIF($AB$4:$AM$4, "RDEC", AB432:AM432), "")</f>
        <v>0</v>
      </c>
      <c r="AO432" s="286" t="n">
        <f aca="false">IFERROR(SUMIF($AB$4:$AM$4, "SME", AB432:AM432), "")</f>
        <v>0</v>
      </c>
      <c r="AP432" s="286" t="n">
        <f aca="false">IFERROR(SUMIF($AB$4:$AM$4, "De Minimis", AB432:AM432), "")</f>
        <v>0</v>
      </c>
      <c r="AQ432" s="283"/>
      <c r="AR432" s="284" t="n">
        <f aca="false">IFERROR(($J432*O432)*$M432, "")</f>
        <v>0</v>
      </c>
      <c r="AS432" s="284" t="n">
        <f aca="false">IFERROR(($J432*P432)*$M432, "")</f>
        <v>0</v>
      </c>
      <c r="AT432" s="284" t="n">
        <f aca="false">IFERROR(($J432*Q432)*$M432, "")</f>
        <v>0</v>
      </c>
      <c r="AU432" s="284" t="n">
        <f aca="false">IFERROR(($J432*R432)*$M432, "")</f>
        <v>0</v>
      </c>
      <c r="AV432" s="284" t="n">
        <f aca="false">IFERROR(($J432*S432)*$M432, "")</f>
        <v>0</v>
      </c>
      <c r="AW432" s="284" t="n">
        <f aca="false">IFERROR(($J432*T432)*$M432, "")</f>
        <v>0</v>
      </c>
      <c r="AX432" s="284" t="n">
        <f aca="false">IFERROR(($J432*U432)*$M432, "")</f>
        <v>0</v>
      </c>
      <c r="AY432" s="284" t="n">
        <f aca="false">IFERROR(($J432*V432)*$M432, "")</f>
        <v>0</v>
      </c>
      <c r="AZ432" s="284" t="n">
        <f aca="false">IFERROR(($J432*W432)*$M432, "")</f>
        <v>0</v>
      </c>
      <c r="BA432" s="284" t="n">
        <f aca="false">IFERROR(($J432*X432)*$M432, "")</f>
        <v>0</v>
      </c>
      <c r="BB432" s="284" t="n">
        <f aca="false">IFERROR(($J432*Y432)*$M432, "")</f>
        <v>0</v>
      </c>
      <c r="BC432" s="285" t="n">
        <f aca="false">IFERROR(($J432*Z432)*$M432, "")</f>
        <v>0</v>
      </c>
      <c r="BD432" s="286" t="n">
        <f aca="false">IFERROR(SUMIF($AB$4:$AM$4, "RDEC", AR432:BC432), "")</f>
        <v>0</v>
      </c>
      <c r="BE432" s="286" t="n">
        <f aca="false">IFERROR(SUMIF($AB$4:$AM$4, "SME", AR432:BC432), "")</f>
        <v>0</v>
      </c>
      <c r="BF432" s="286" t="n">
        <f aca="false">IFERROR(SUMIF($AB$4:$AM$4, "De Minimis", AR432:BC432), "")</f>
        <v>0</v>
      </c>
      <c r="BG432" s="287"/>
      <c r="BH432" s="288" t="str">
        <f aca="false">IF((SUM(O432:Z432)&gt;1),"ERROR","")</f>
        <v/>
      </c>
      <c r="BI432" s="287"/>
      <c r="BJ432" s="18" t="str">
        <f aca="false">IF(C418&gt;0, C418, "")</f>
        <v/>
      </c>
      <c r="BL432" s="200"/>
      <c r="BM432" s="200"/>
      <c r="BN432" s="200"/>
    </row>
    <row r="433" customFormat="false" ht="15" hidden="false" customHeight="true" outlineLevel="0" collapsed="false">
      <c r="B433" s="275"/>
      <c r="D433" s="276" t="n">
        <f aca="false">D417</f>
        <v>45566</v>
      </c>
      <c r="E433" s="277" t="n">
        <v>0</v>
      </c>
      <c r="F433" s="277" t="n">
        <v>0</v>
      </c>
      <c r="G433" s="277" t="n">
        <v>0</v>
      </c>
      <c r="H433" s="277" t="n">
        <v>0</v>
      </c>
      <c r="I433" s="277" t="n">
        <v>0</v>
      </c>
      <c r="J433" s="278" t="n">
        <f aca="false">E433+H433+I433</f>
        <v>0</v>
      </c>
      <c r="K433" s="204"/>
      <c r="L433" s="279" t="n">
        <v>1</v>
      </c>
      <c r="M433" s="280" t="n">
        <f aca="false">1-L433</f>
        <v>0</v>
      </c>
      <c r="N433" s="281"/>
      <c r="O433" s="282"/>
      <c r="P433" s="282"/>
      <c r="Q433" s="282"/>
      <c r="R433" s="282"/>
      <c r="S433" s="282"/>
      <c r="T433" s="282"/>
      <c r="U433" s="282"/>
      <c r="V433" s="282"/>
      <c r="W433" s="282"/>
      <c r="X433" s="282"/>
      <c r="Y433" s="282"/>
      <c r="Z433" s="282"/>
      <c r="AA433" s="283"/>
      <c r="AB433" s="284" t="n">
        <f aca="false">IFERROR(($J433*O433)*$L433, "")</f>
        <v>0</v>
      </c>
      <c r="AC433" s="284" t="n">
        <f aca="false">IFERROR(($J433*P433)*$L433, "")</f>
        <v>0</v>
      </c>
      <c r="AD433" s="284" t="n">
        <f aca="false">IFERROR(($J433*Q433)*$L433, "")</f>
        <v>0</v>
      </c>
      <c r="AE433" s="284" t="n">
        <f aca="false">IFERROR(($J433*R433)*$L433, "")</f>
        <v>0</v>
      </c>
      <c r="AF433" s="284" t="n">
        <f aca="false">IFERROR(($J433*S433)*$L433, "")</f>
        <v>0</v>
      </c>
      <c r="AG433" s="284" t="n">
        <f aca="false">IFERROR(($J433*T433)*$L433, "")</f>
        <v>0</v>
      </c>
      <c r="AH433" s="284" t="n">
        <f aca="false">IFERROR(($J433*U433)*$L433, "")</f>
        <v>0</v>
      </c>
      <c r="AI433" s="284" t="n">
        <f aca="false">IFERROR(($J433*V433)*$L433, "")</f>
        <v>0</v>
      </c>
      <c r="AJ433" s="284" t="n">
        <f aca="false">IFERROR(($J433*W433)*$L433, "")</f>
        <v>0</v>
      </c>
      <c r="AK433" s="284" t="n">
        <f aca="false">IFERROR(($J433*X433)*$L433, "")</f>
        <v>0</v>
      </c>
      <c r="AL433" s="284" t="n">
        <f aca="false">IFERROR(($J433*Y433)*$L433, "")</f>
        <v>0</v>
      </c>
      <c r="AM433" s="285" t="n">
        <f aca="false">IFERROR(($J433*Z433)*$L433, "")</f>
        <v>0</v>
      </c>
      <c r="AN433" s="286" t="n">
        <f aca="false">IFERROR(SUMIF($AB$4:$AM$4, "RDEC", AB433:AM433), "")</f>
        <v>0</v>
      </c>
      <c r="AO433" s="286" t="n">
        <f aca="false">IFERROR(SUMIF($AB$4:$AM$4, "SME", AB433:AM433), "")</f>
        <v>0</v>
      </c>
      <c r="AP433" s="286" t="n">
        <f aca="false">IFERROR(SUMIF($AB$4:$AM$4, "De Minimis", AB433:AM433), "")</f>
        <v>0</v>
      </c>
      <c r="AQ433" s="283"/>
      <c r="AR433" s="284" t="n">
        <f aca="false">IFERROR(($J433*O433)*$M433, "")</f>
        <v>0</v>
      </c>
      <c r="AS433" s="284" t="n">
        <f aca="false">IFERROR(($J433*P433)*$M433, "")</f>
        <v>0</v>
      </c>
      <c r="AT433" s="284" t="n">
        <f aca="false">IFERROR(($J433*Q433)*$M433, "")</f>
        <v>0</v>
      </c>
      <c r="AU433" s="284" t="n">
        <f aca="false">IFERROR(($J433*R433)*$M433, "")</f>
        <v>0</v>
      </c>
      <c r="AV433" s="284" t="n">
        <f aca="false">IFERROR(($J433*S433)*$M433, "")</f>
        <v>0</v>
      </c>
      <c r="AW433" s="284" t="n">
        <f aca="false">IFERROR(($J433*T433)*$M433, "")</f>
        <v>0</v>
      </c>
      <c r="AX433" s="284" t="n">
        <f aca="false">IFERROR(($J433*U433)*$M433, "")</f>
        <v>0</v>
      </c>
      <c r="AY433" s="284" t="n">
        <f aca="false">IFERROR(($J433*V433)*$M433, "")</f>
        <v>0</v>
      </c>
      <c r="AZ433" s="284" t="n">
        <f aca="false">IFERROR(($J433*W433)*$M433, "")</f>
        <v>0</v>
      </c>
      <c r="BA433" s="284" t="n">
        <f aca="false">IFERROR(($J433*X433)*$M433, "")</f>
        <v>0</v>
      </c>
      <c r="BB433" s="284" t="n">
        <f aca="false">IFERROR(($J433*Y433)*$M433, "")</f>
        <v>0</v>
      </c>
      <c r="BC433" s="285" t="n">
        <f aca="false">IFERROR(($J433*Z433)*$M433, "")</f>
        <v>0</v>
      </c>
      <c r="BD433" s="286" t="n">
        <f aca="false">IFERROR(SUMIF($AB$4:$AM$4, "RDEC", AR433:BC433), "")</f>
        <v>0</v>
      </c>
      <c r="BE433" s="286" t="n">
        <f aca="false">IFERROR(SUMIF($AB$4:$AM$4, "SME", AR433:BC433), "")</f>
        <v>0</v>
      </c>
      <c r="BF433" s="286" t="n">
        <f aca="false">IFERROR(SUMIF($AB$4:$AM$4, "De Minimis", AR433:BC433), "")</f>
        <v>0</v>
      </c>
      <c r="BG433" s="287"/>
      <c r="BH433" s="288" t="str">
        <f aca="false">IF((SUM(O433:Z433)&gt;1),"ERROR","")</f>
        <v/>
      </c>
      <c r="BI433" s="287"/>
      <c r="BJ433" s="18" t="str">
        <f aca="false">IF(C419&gt;0, C419, "")</f>
        <v/>
      </c>
      <c r="BL433" s="200"/>
      <c r="BM433" s="200"/>
      <c r="BN433" s="200"/>
    </row>
    <row r="434" customFormat="false" ht="15" hidden="false" customHeight="true" outlineLevel="0" collapsed="false">
      <c r="B434" s="275"/>
      <c r="D434" s="276" t="n">
        <f aca="false">D418</f>
        <v>45597</v>
      </c>
      <c r="E434" s="277" t="n">
        <v>0</v>
      </c>
      <c r="F434" s="277" t="n">
        <v>0</v>
      </c>
      <c r="G434" s="277" t="n">
        <v>0</v>
      </c>
      <c r="H434" s="277" t="n">
        <v>0</v>
      </c>
      <c r="I434" s="277" t="n">
        <v>0</v>
      </c>
      <c r="J434" s="278" t="n">
        <f aca="false">E434+H434+I434</f>
        <v>0</v>
      </c>
      <c r="K434" s="204"/>
      <c r="L434" s="279" t="n">
        <v>1</v>
      </c>
      <c r="M434" s="280" t="n">
        <f aca="false">1-L434</f>
        <v>0</v>
      </c>
      <c r="N434" s="281"/>
      <c r="O434" s="282"/>
      <c r="P434" s="282"/>
      <c r="Q434" s="282"/>
      <c r="R434" s="282"/>
      <c r="S434" s="282"/>
      <c r="T434" s="282"/>
      <c r="U434" s="282"/>
      <c r="V434" s="282"/>
      <c r="W434" s="282"/>
      <c r="X434" s="282"/>
      <c r="Y434" s="282"/>
      <c r="Z434" s="282"/>
      <c r="AA434" s="283"/>
      <c r="AB434" s="284" t="n">
        <f aca="false">IFERROR(($J434*O434)*$L434, "")</f>
        <v>0</v>
      </c>
      <c r="AC434" s="284" t="n">
        <f aca="false">IFERROR(($J434*P434)*$L434, "")</f>
        <v>0</v>
      </c>
      <c r="AD434" s="284" t="n">
        <f aca="false">IFERROR(($J434*Q434)*$L434, "")</f>
        <v>0</v>
      </c>
      <c r="AE434" s="284" t="n">
        <f aca="false">IFERROR(($J434*R434)*$L434, "")</f>
        <v>0</v>
      </c>
      <c r="AF434" s="284" t="n">
        <f aca="false">IFERROR(($J434*S434)*$L434, "")</f>
        <v>0</v>
      </c>
      <c r="AG434" s="284" t="n">
        <f aca="false">IFERROR(($J434*T434)*$L434, "")</f>
        <v>0</v>
      </c>
      <c r="AH434" s="284" t="n">
        <f aca="false">IFERROR(($J434*U434)*$L434, "")</f>
        <v>0</v>
      </c>
      <c r="AI434" s="284" t="n">
        <f aca="false">IFERROR(($J434*V434)*$L434, "")</f>
        <v>0</v>
      </c>
      <c r="AJ434" s="284" t="n">
        <f aca="false">IFERROR(($J434*W434)*$L434, "")</f>
        <v>0</v>
      </c>
      <c r="AK434" s="284" t="n">
        <f aca="false">IFERROR(($J434*X434)*$L434, "")</f>
        <v>0</v>
      </c>
      <c r="AL434" s="284" t="n">
        <f aca="false">IFERROR(($J434*Y434)*$L434, "")</f>
        <v>0</v>
      </c>
      <c r="AM434" s="285" t="n">
        <f aca="false">IFERROR(($J434*Z434)*$L434, "")</f>
        <v>0</v>
      </c>
      <c r="AN434" s="286" t="n">
        <f aca="false">IFERROR(SUMIF($AB$4:$AM$4, "RDEC", AB434:AM434), "")</f>
        <v>0</v>
      </c>
      <c r="AO434" s="286" t="n">
        <f aca="false">IFERROR(SUMIF($AB$4:$AM$4, "SME", AB434:AM434), "")</f>
        <v>0</v>
      </c>
      <c r="AP434" s="286" t="n">
        <f aca="false">IFERROR(SUMIF($AB$4:$AM$4, "De Minimis", AB434:AM434), "")</f>
        <v>0</v>
      </c>
      <c r="AQ434" s="283"/>
      <c r="AR434" s="284" t="n">
        <f aca="false">IFERROR(($J434*O434)*$M434, "")</f>
        <v>0</v>
      </c>
      <c r="AS434" s="284" t="n">
        <f aca="false">IFERROR(($J434*P434)*$M434, "")</f>
        <v>0</v>
      </c>
      <c r="AT434" s="284" t="n">
        <f aca="false">IFERROR(($J434*Q434)*$M434, "")</f>
        <v>0</v>
      </c>
      <c r="AU434" s="284" t="n">
        <f aca="false">IFERROR(($J434*R434)*$M434, "")</f>
        <v>0</v>
      </c>
      <c r="AV434" s="284" t="n">
        <f aca="false">IFERROR(($J434*S434)*$M434, "")</f>
        <v>0</v>
      </c>
      <c r="AW434" s="284" t="n">
        <f aca="false">IFERROR(($J434*T434)*$M434, "")</f>
        <v>0</v>
      </c>
      <c r="AX434" s="284" t="n">
        <f aca="false">IFERROR(($J434*U434)*$M434, "")</f>
        <v>0</v>
      </c>
      <c r="AY434" s="284" t="n">
        <f aca="false">IFERROR(($J434*V434)*$M434, "")</f>
        <v>0</v>
      </c>
      <c r="AZ434" s="284" t="n">
        <f aca="false">IFERROR(($J434*W434)*$M434, "")</f>
        <v>0</v>
      </c>
      <c r="BA434" s="284" t="n">
        <f aca="false">IFERROR(($J434*X434)*$M434, "")</f>
        <v>0</v>
      </c>
      <c r="BB434" s="284" t="n">
        <f aca="false">IFERROR(($J434*Y434)*$M434, "")</f>
        <v>0</v>
      </c>
      <c r="BC434" s="285" t="n">
        <f aca="false">IFERROR(($J434*Z434)*$M434, "")</f>
        <v>0</v>
      </c>
      <c r="BD434" s="286" t="n">
        <f aca="false">IFERROR(SUMIF($AB$4:$AM$4, "RDEC", AR434:BC434), "")</f>
        <v>0</v>
      </c>
      <c r="BE434" s="286" t="n">
        <f aca="false">IFERROR(SUMIF($AB$4:$AM$4, "SME", AR434:BC434), "")</f>
        <v>0</v>
      </c>
      <c r="BF434" s="286" t="n">
        <f aca="false">IFERROR(SUMIF($AB$4:$AM$4, "De Minimis", AR434:BC434), "")</f>
        <v>0</v>
      </c>
      <c r="BG434" s="287"/>
      <c r="BH434" s="288" t="str">
        <f aca="false">IF((SUM(O434:Z434)&gt;1),"ERROR","")</f>
        <v/>
      </c>
      <c r="BI434" s="287"/>
      <c r="BJ434" s="18" t="str">
        <f aca="false">IF(C420&gt;0, C420, "")</f>
        <v/>
      </c>
      <c r="BL434" s="200"/>
      <c r="BM434" s="200"/>
      <c r="BN434" s="200"/>
    </row>
    <row r="435" customFormat="false" ht="15" hidden="false" customHeight="true" outlineLevel="0" collapsed="false">
      <c r="B435" s="275"/>
      <c r="D435" s="276" t="n">
        <f aca="false">D419</f>
        <v>45627</v>
      </c>
      <c r="E435" s="277" t="n">
        <v>0</v>
      </c>
      <c r="F435" s="277" t="n">
        <v>0</v>
      </c>
      <c r="G435" s="277" t="n">
        <v>0</v>
      </c>
      <c r="H435" s="277" t="n">
        <v>0</v>
      </c>
      <c r="I435" s="277" t="n">
        <v>0</v>
      </c>
      <c r="J435" s="278" t="n">
        <f aca="false">E435+H435+I435</f>
        <v>0</v>
      </c>
      <c r="K435" s="204"/>
      <c r="L435" s="289" t="n">
        <v>1</v>
      </c>
      <c r="M435" s="290" t="n">
        <f aca="false">1-L435</f>
        <v>0</v>
      </c>
      <c r="N435" s="281"/>
      <c r="O435" s="291"/>
      <c r="P435" s="291"/>
      <c r="Q435" s="291"/>
      <c r="R435" s="291"/>
      <c r="S435" s="291"/>
      <c r="T435" s="291"/>
      <c r="U435" s="291"/>
      <c r="V435" s="291"/>
      <c r="W435" s="291"/>
      <c r="X435" s="291"/>
      <c r="Y435" s="291"/>
      <c r="Z435" s="291"/>
      <c r="AA435" s="283"/>
      <c r="AB435" s="292" t="n">
        <f aca="false">IFERROR(($J435*O435)*$L435, "")</f>
        <v>0</v>
      </c>
      <c r="AC435" s="292" t="n">
        <f aca="false">IFERROR(($J435*P435)*$L435, "")</f>
        <v>0</v>
      </c>
      <c r="AD435" s="292" t="n">
        <f aca="false">IFERROR(($J435*Q435)*$L435, "")</f>
        <v>0</v>
      </c>
      <c r="AE435" s="292" t="n">
        <f aca="false">IFERROR(($J435*R435)*$L435, "")</f>
        <v>0</v>
      </c>
      <c r="AF435" s="292" t="n">
        <f aca="false">IFERROR(($J435*S435)*$L435, "")</f>
        <v>0</v>
      </c>
      <c r="AG435" s="292" t="n">
        <f aca="false">IFERROR(($J435*T435)*$L435, "")</f>
        <v>0</v>
      </c>
      <c r="AH435" s="292" t="n">
        <f aca="false">IFERROR(($J435*U435)*$L435, "")</f>
        <v>0</v>
      </c>
      <c r="AI435" s="292" t="n">
        <f aca="false">IFERROR(($J435*V435)*$L435, "")</f>
        <v>0</v>
      </c>
      <c r="AJ435" s="292" t="n">
        <f aca="false">IFERROR(($J435*W435)*$L435, "")</f>
        <v>0</v>
      </c>
      <c r="AK435" s="292" t="n">
        <f aca="false">IFERROR(($J435*X435)*$L435, "")</f>
        <v>0</v>
      </c>
      <c r="AL435" s="292" t="n">
        <f aca="false">IFERROR(($J435*Y435)*$L435, "")</f>
        <v>0</v>
      </c>
      <c r="AM435" s="293" t="n">
        <f aca="false">IFERROR(($J435*Z435)*$L435, "")</f>
        <v>0</v>
      </c>
      <c r="AN435" s="294" t="n">
        <f aca="false">IFERROR(SUMIF($AB$4:$AM$4, "RDEC", AB435:AM435), "")</f>
        <v>0</v>
      </c>
      <c r="AO435" s="294" t="n">
        <f aca="false">IFERROR(SUMIF($AB$4:$AM$4, "SME", AB435:AM435), "")</f>
        <v>0</v>
      </c>
      <c r="AP435" s="294" t="n">
        <f aca="false">IFERROR(SUMIF($AB$4:$AM$4, "De Minimis", AB435:AM435), "")</f>
        <v>0</v>
      </c>
      <c r="AQ435" s="283"/>
      <c r="AR435" s="292" t="n">
        <f aca="false">IFERROR(($J435*O435)*$M435, "")</f>
        <v>0</v>
      </c>
      <c r="AS435" s="292" t="n">
        <f aca="false">IFERROR(($J435*P435)*$M435, "")</f>
        <v>0</v>
      </c>
      <c r="AT435" s="292" t="n">
        <f aca="false">IFERROR(($J435*Q435)*$M435, "")</f>
        <v>0</v>
      </c>
      <c r="AU435" s="292" t="n">
        <f aca="false">IFERROR(($J435*R435)*$M435, "")</f>
        <v>0</v>
      </c>
      <c r="AV435" s="292" t="n">
        <f aca="false">IFERROR(($J435*S435)*$M435, "")</f>
        <v>0</v>
      </c>
      <c r="AW435" s="292" t="n">
        <f aca="false">IFERROR(($J435*T435)*$M435, "")</f>
        <v>0</v>
      </c>
      <c r="AX435" s="292" t="n">
        <f aca="false">IFERROR(($J435*U435)*$M435, "")</f>
        <v>0</v>
      </c>
      <c r="AY435" s="292" t="n">
        <f aca="false">IFERROR(($J435*V435)*$M435, "")</f>
        <v>0</v>
      </c>
      <c r="AZ435" s="292" t="n">
        <f aca="false">IFERROR(($J435*W435)*$M435, "")</f>
        <v>0</v>
      </c>
      <c r="BA435" s="292" t="n">
        <f aca="false">IFERROR(($J435*X435)*$M435, "")</f>
        <v>0</v>
      </c>
      <c r="BB435" s="292" t="n">
        <f aca="false">IFERROR(($J435*Y435)*$M435, "")</f>
        <v>0</v>
      </c>
      <c r="BC435" s="293" t="n">
        <f aca="false">IFERROR(($J435*Z435)*$M435, "")</f>
        <v>0</v>
      </c>
      <c r="BD435" s="294" t="n">
        <f aca="false">IFERROR(SUMIF($AB$4:$AM$4, "RDEC", AR435:BC435), "")</f>
        <v>0</v>
      </c>
      <c r="BE435" s="294" t="n">
        <f aca="false">IFERROR(SUMIF($AB$4:$AM$4, "SME", AR435:BC435), "")</f>
        <v>0</v>
      </c>
      <c r="BF435" s="294" t="n">
        <f aca="false">IFERROR(SUMIF($AB$4:$AM$4, "De Minimis", AR435:BC435), "")</f>
        <v>0</v>
      </c>
      <c r="BG435" s="287"/>
      <c r="BH435" s="295" t="str">
        <f aca="false">IF((SUM(O435:Z435)&gt;1),"ERROR","")</f>
        <v/>
      </c>
      <c r="BI435" s="287"/>
      <c r="BJ435" s="18" t="str">
        <f aca="false">IF(C421&gt;0, C421, "")</f>
        <v/>
      </c>
      <c r="BL435" s="200"/>
      <c r="BM435" s="200"/>
      <c r="BN435" s="200"/>
    </row>
    <row r="436" customFormat="false" ht="15" hidden="false" customHeight="true" outlineLevel="0" collapsed="false">
      <c r="B436" s="296"/>
      <c r="D436" s="297" t="s">
        <v>82</v>
      </c>
      <c r="E436" s="298" t="n">
        <f aca="false">SUM(E424:E435)</f>
        <v>0</v>
      </c>
      <c r="F436" s="298" t="n">
        <f aca="false">SUM(F424:F435)</f>
        <v>0</v>
      </c>
      <c r="G436" s="298" t="n">
        <f aca="false">SUM(G424:G435)</f>
        <v>0</v>
      </c>
      <c r="H436" s="298" t="n">
        <f aca="false">SUM(H424:H435)</f>
        <v>0</v>
      </c>
      <c r="I436" s="298" t="n">
        <f aca="false">SUM(I424:I435)</f>
        <v>0</v>
      </c>
      <c r="J436" s="299" t="n">
        <f aca="false">SUM(J424:J435)</f>
        <v>0</v>
      </c>
      <c r="K436" s="300"/>
      <c r="L436" s="301" t="n">
        <f aca="false">AVERAGE(L424:L435)</f>
        <v>1</v>
      </c>
      <c r="M436" s="301" t="n">
        <f aca="false">AVERAGE(M424:M435)</f>
        <v>0</v>
      </c>
      <c r="N436" s="302"/>
      <c r="O436" s="290" t="n">
        <f aca="false">IF(SUM(O424:O435)&gt;0,((AB436+AR436)/J436),0)</f>
        <v>0</v>
      </c>
      <c r="P436" s="290" t="n">
        <f aca="false">IF(SUM(P424:P435)&gt;0,((AC436+AS436)/J436),0)</f>
        <v>0</v>
      </c>
      <c r="Q436" s="290" t="n">
        <f aca="false">IF(SUM(Q424:Q435)&gt;0,((AD436+AT436)/J436),0)</f>
        <v>0</v>
      </c>
      <c r="R436" s="290" t="n">
        <f aca="false">IF(SUM(R424:R435)&gt;0,((AE436+AU436)/J436),0)</f>
        <v>0</v>
      </c>
      <c r="S436" s="290" t="n">
        <f aca="false">IF(SUM(S424:S435)&gt;0,((AF436+AV436)/J436),0)</f>
        <v>0</v>
      </c>
      <c r="T436" s="290" t="n">
        <f aca="false">IF(SUM(T424:T435)&gt;0,((AG436+AW436)/J436),0)</f>
        <v>0</v>
      </c>
      <c r="U436" s="290" t="n">
        <f aca="false">IF(SUM(U424:U435)&gt;0,((AH436+AX436)/J436),0)</f>
        <v>0</v>
      </c>
      <c r="V436" s="290" t="n">
        <f aca="false">IF(SUM(V424:V435)&gt;0,((AI436+AY436)/J436),0)</f>
        <v>0</v>
      </c>
      <c r="W436" s="290" t="n">
        <f aca="false">IF(SUM(W424:W435)&gt;0,((AJ436+AZ436)/J436),0)</f>
        <v>0</v>
      </c>
      <c r="X436" s="290" t="n">
        <f aca="false">IF(SUM(X424:X435)&gt;0,((AK436+BA436)/J436),0)</f>
        <v>0</v>
      </c>
      <c r="Y436" s="290" t="n">
        <f aca="false">IF(SUM(Y424:Y435)&gt;0,((AL436+BB436)/J436),0)</f>
        <v>0</v>
      </c>
      <c r="Z436" s="290" t="n">
        <f aca="false">IF(SUM(Z424:Z435)&gt;0,((AM436+BC436)/J436),0)</f>
        <v>0</v>
      </c>
      <c r="AA436" s="303"/>
      <c r="AB436" s="292" t="n">
        <f aca="false">SUM(AB424:AB435)</f>
        <v>0</v>
      </c>
      <c r="AC436" s="304" t="n">
        <f aca="false">SUM(AC424:AC435)</f>
        <v>0</v>
      </c>
      <c r="AD436" s="304" t="n">
        <f aca="false">SUM(AD424:AD435)</f>
        <v>0</v>
      </c>
      <c r="AE436" s="304" t="n">
        <f aca="false">SUM(AE424:AE435)</f>
        <v>0</v>
      </c>
      <c r="AF436" s="304" t="n">
        <f aca="false">SUM(AF424:AF435)</f>
        <v>0</v>
      </c>
      <c r="AG436" s="304" t="n">
        <f aca="false">SUM(AG424:AG435)</f>
        <v>0</v>
      </c>
      <c r="AH436" s="304" t="n">
        <f aca="false">SUM(AH424:AH435)</f>
        <v>0</v>
      </c>
      <c r="AI436" s="304" t="n">
        <f aca="false">SUM(AI424:AI435)</f>
        <v>0</v>
      </c>
      <c r="AJ436" s="304" t="n">
        <f aca="false">SUM(AJ424:AJ435)</f>
        <v>0</v>
      </c>
      <c r="AK436" s="304" t="n">
        <f aca="false">SUM(AK424:AK435)</f>
        <v>0</v>
      </c>
      <c r="AL436" s="304" t="n">
        <f aca="false">SUM(AL424:AL435)</f>
        <v>0</v>
      </c>
      <c r="AM436" s="304" t="n">
        <f aca="false">SUM(AM424:AM435)</f>
        <v>0</v>
      </c>
      <c r="AN436" s="305" t="n">
        <f aca="false">SUM(AN424:AN435)</f>
        <v>0</v>
      </c>
      <c r="AO436" s="305" t="n">
        <f aca="false">SUM(AO424:AO435)</f>
        <v>0</v>
      </c>
      <c r="AP436" s="305" t="n">
        <f aca="false">SUM(AP424:AP435)</f>
        <v>0</v>
      </c>
      <c r="AQ436" s="303"/>
      <c r="AR436" s="292" t="n">
        <f aca="false">SUM(AR424:AR435)</f>
        <v>0</v>
      </c>
      <c r="AS436" s="304" t="n">
        <f aca="false">SUM(AS424:AS435)</f>
        <v>0</v>
      </c>
      <c r="AT436" s="304" t="n">
        <f aca="false">SUM(AT424:AT435)</f>
        <v>0</v>
      </c>
      <c r="AU436" s="304" t="n">
        <f aca="false">SUM(AU424:AU435)</f>
        <v>0</v>
      </c>
      <c r="AV436" s="304" t="n">
        <f aca="false">SUM(AV424:AV435)</f>
        <v>0</v>
      </c>
      <c r="AW436" s="304" t="n">
        <f aca="false">SUM(AW424:AW435)</f>
        <v>0</v>
      </c>
      <c r="AX436" s="304" t="n">
        <f aca="false">SUM(AX424:AX435)</f>
        <v>0</v>
      </c>
      <c r="AY436" s="304" t="n">
        <f aca="false">SUM(AY424:AY435)</f>
        <v>0</v>
      </c>
      <c r="AZ436" s="304" t="n">
        <f aca="false">SUM(AZ424:AZ435)</f>
        <v>0</v>
      </c>
      <c r="BA436" s="304" t="n">
        <f aca="false">SUM(BA424:BA435)</f>
        <v>0</v>
      </c>
      <c r="BB436" s="304" t="n">
        <f aca="false">SUM(BB424:BB435)</f>
        <v>0</v>
      </c>
      <c r="BC436" s="304" t="n">
        <f aca="false">SUM(BC424:BC435)</f>
        <v>0</v>
      </c>
      <c r="BD436" s="305" t="n">
        <f aca="false">SUM(BD424:BD435)</f>
        <v>0</v>
      </c>
      <c r="BE436" s="305" t="n">
        <f aca="false">SUM(BE424:BE435)</f>
        <v>0</v>
      </c>
      <c r="BF436" s="305" t="n">
        <f aca="false">SUM(BF424:BF435)</f>
        <v>0</v>
      </c>
      <c r="BG436" s="303"/>
      <c r="BH436" s="306"/>
      <c r="BI436" s="303"/>
      <c r="BJ436" s="307" t="str">
        <f aca="false">IF(C422&gt;0, C422, "")</f>
        <v>TBA</v>
      </c>
      <c r="BK436" s="18" t="s">
        <v>234</v>
      </c>
      <c r="BL436" s="200" t="n">
        <f aca="false">IF($BK436="Y",J436,0)</f>
        <v>0</v>
      </c>
      <c r="BM436" s="200" t="n">
        <f aca="false">IF(BK436="Y", AN436,0)</f>
        <v>0</v>
      </c>
      <c r="BN436" s="200" t="n">
        <f aca="false">IF((BK436="Y"),AO436,0)</f>
        <v>0</v>
      </c>
    </row>
    <row r="437" customFormat="false" ht="15" hidden="false" customHeight="true" outlineLevel="0" collapsed="false">
      <c r="B437" s="296"/>
      <c r="D437" s="297"/>
      <c r="E437" s="277"/>
      <c r="F437" s="277"/>
      <c r="G437" s="277"/>
      <c r="H437" s="277"/>
      <c r="I437" s="277"/>
      <c r="J437" s="300"/>
      <c r="K437" s="300"/>
      <c r="L437" s="302"/>
      <c r="M437" s="302"/>
      <c r="N437" s="302"/>
      <c r="O437" s="308"/>
      <c r="P437" s="308"/>
      <c r="Q437" s="308"/>
      <c r="R437" s="308"/>
      <c r="S437" s="308"/>
      <c r="T437" s="308"/>
      <c r="U437" s="308"/>
      <c r="V437" s="308"/>
      <c r="W437" s="308"/>
      <c r="X437" s="308"/>
      <c r="Y437" s="308"/>
      <c r="Z437" s="308"/>
      <c r="AA437" s="303"/>
      <c r="AB437" s="303"/>
      <c r="AC437" s="303"/>
      <c r="AD437" s="303"/>
      <c r="AE437" s="303"/>
      <c r="AF437" s="303"/>
      <c r="AG437" s="303"/>
      <c r="AH437" s="303"/>
      <c r="AI437" s="303"/>
      <c r="AJ437" s="303"/>
      <c r="AK437" s="303"/>
      <c r="AL437" s="303"/>
      <c r="AM437" s="303"/>
      <c r="AN437" s="303"/>
      <c r="AO437" s="303"/>
      <c r="AP437" s="303"/>
      <c r="AQ437" s="303"/>
      <c r="AR437" s="303"/>
      <c r="AS437" s="303"/>
      <c r="AT437" s="303"/>
      <c r="AU437" s="303"/>
      <c r="AV437" s="303"/>
      <c r="AW437" s="303"/>
      <c r="AX437" s="303"/>
      <c r="AY437" s="303"/>
      <c r="AZ437" s="303"/>
      <c r="BA437" s="303"/>
      <c r="BB437" s="303"/>
      <c r="BC437" s="303"/>
      <c r="BD437" s="303"/>
      <c r="BE437" s="303"/>
      <c r="BF437" s="303"/>
      <c r="BG437" s="303"/>
      <c r="BH437" s="303"/>
      <c r="BI437" s="303"/>
      <c r="BJ437" s="307" t="str">
        <f aca="false">IF(C424&gt;0, C424, "")</f>
        <v/>
      </c>
      <c r="BL437" s="200"/>
      <c r="BM437" s="200"/>
      <c r="BN437" s="200"/>
    </row>
    <row r="438" customFormat="false" ht="15" hidden="false" customHeight="true" outlineLevel="0" collapsed="false">
      <c r="A438" s="198" t="n">
        <f aca="false">A422+1</f>
        <v>28</v>
      </c>
      <c r="B438" s="266" t="s">
        <v>253</v>
      </c>
      <c r="C438" s="266" t="s">
        <v>253</v>
      </c>
      <c r="D438" s="267"/>
      <c r="E438" s="242"/>
      <c r="F438" s="242"/>
      <c r="G438" s="242"/>
      <c r="H438" s="242"/>
      <c r="I438" s="242"/>
      <c r="J438" s="241"/>
      <c r="K438" s="241"/>
      <c r="L438" s="241"/>
      <c r="M438" s="241"/>
      <c r="N438" s="241"/>
      <c r="O438" s="268"/>
      <c r="P438" s="268"/>
      <c r="Q438" s="268"/>
      <c r="R438" s="268"/>
      <c r="S438" s="268"/>
      <c r="T438" s="268"/>
      <c r="U438" s="268"/>
      <c r="V438" s="268"/>
      <c r="W438" s="268"/>
      <c r="X438" s="268"/>
      <c r="Y438" s="268"/>
      <c r="Z438" s="268"/>
      <c r="AA438" s="268"/>
      <c r="AB438" s="268"/>
      <c r="AC438" s="268"/>
      <c r="AD438" s="268"/>
      <c r="AE438" s="268"/>
      <c r="AF438" s="268"/>
      <c r="AG438" s="268"/>
      <c r="AH438" s="268"/>
      <c r="AI438" s="268"/>
      <c r="AJ438" s="268"/>
      <c r="AK438" s="268"/>
      <c r="AL438" s="268"/>
      <c r="AM438" s="268"/>
      <c r="AN438" s="268"/>
      <c r="AO438" s="268"/>
      <c r="AP438" s="268"/>
      <c r="AQ438" s="268"/>
      <c r="AR438" s="268"/>
      <c r="AS438" s="268"/>
      <c r="AT438" s="268"/>
      <c r="AU438" s="268"/>
      <c r="AV438" s="268"/>
      <c r="AW438" s="268"/>
      <c r="AX438" s="268"/>
      <c r="AY438" s="268"/>
      <c r="AZ438" s="268"/>
      <c r="BA438" s="268"/>
      <c r="BB438" s="268"/>
      <c r="BC438" s="268"/>
      <c r="BD438" s="268"/>
      <c r="BE438" s="268"/>
      <c r="BF438" s="268"/>
      <c r="BG438" s="268"/>
      <c r="BH438" s="268"/>
      <c r="BI438" s="268"/>
      <c r="BJ438" s="18" t="str">
        <f aca="false">IF(C425&gt;0, C425, "")</f>
        <v/>
      </c>
      <c r="BL438" s="200"/>
      <c r="BM438" s="200"/>
      <c r="BN438" s="200"/>
    </row>
    <row r="439" customFormat="false" ht="7.5" hidden="false" customHeight="true" outlineLevel="0" collapsed="false">
      <c r="A439" s="198"/>
      <c r="B439" s="266"/>
      <c r="C439" s="266"/>
      <c r="D439" s="267"/>
      <c r="E439" s="242"/>
      <c r="F439" s="242"/>
      <c r="G439" s="242"/>
      <c r="H439" s="242"/>
      <c r="I439" s="242"/>
      <c r="J439" s="241"/>
      <c r="K439" s="241"/>
      <c r="L439" s="269"/>
      <c r="M439" s="269"/>
      <c r="N439" s="270"/>
      <c r="O439" s="269"/>
      <c r="P439" s="269"/>
      <c r="Q439" s="269"/>
      <c r="R439" s="269"/>
      <c r="S439" s="269"/>
      <c r="T439" s="269"/>
      <c r="U439" s="269"/>
      <c r="V439" s="269"/>
      <c r="W439" s="269"/>
      <c r="X439" s="269"/>
      <c r="Y439" s="269"/>
      <c r="Z439" s="269"/>
      <c r="AA439" s="268"/>
      <c r="AB439" s="271"/>
      <c r="AC439" s="271"/>
      <c r="AD439" s="271"/>
      <c r="AE439" s="271"/>
      <c r="AF439" s="271"/>
      <c r="AG439" s="271"/>
      <c r="AH439" s="271"/>
      <c r="AI439" s="271"/>
      <c r="AJ439" s="271"/>
      <c r="AK439" s="271"/>
      <c r="AL439" s="271"/>
      <c r="AM439" s="272"/>
      <c r="AN439" s="273"/>
      <c r="AO439" s="273"/>
      <c r="AP439" s="273"/>
      <c r="AQ439" s="268"/>
      <c r="AR439" s="271"/>
      <c r="AS439" s="271"/>
      <c r="AT439" s="271"/>
      <c r="AU439" s="271"/>
      <c r="AV439" s="271"/>
      <c r="AW439" s="271"/>
      <c r="AX439" s="271"/>
      <c r="AY439" s="271"/>
      <c r="AZ439" s="271"/>
      <c r="BA439" s="271"/>
      <c r="BB439" s="271"/>
      <c r="BC439" s="272"/>
      <c r="BD439" s="273"/>
      <c r="BE439" s="273"/>
      <c r="BF439" s="273"/>
      <c r="BG439" s="268"/>
      <c r="BH439" s="274"/>
      <c r="BI439" s="268"/>
      <c r="BL439" s="200"/>
      <c r="BM439" s="200"/>
      <c r="BN439" s="200"/>
    </row>
    <row r="440" customFormat="false" ht="15" hidden="false" customHeight="true" outlineLevel="0" collapsed="false">
      <c r="B440" s="275"/>
      <c r="D440" s="276" t="n">
        <f aca="false">D424</f>
        <v>45292</v>
      </c>
      <c r="E440" s="277" t="n">
        <v>0</v>
      </c>
      <c r="F440" s="277" t="n">
        <v>0</v>
      </c>
      <c r="G440" s="277" t="n">
        <v>0</v>
      </c>
      <c r="H440" s="277" t="n">
        <v>0</v>
      </c>
      <c r="I440" s="277" t="n">
        <v>0</v>
      </c>
      <c r="J440" s="278" t="n">
        <f aca="false">E440+H440+I440</f>
        <v>0</v>
      </c>
      <c r="K440" s="204"/>
      <c r="L440" s="279" t="n">
        <v>1</v>
      </c>
      <c r="M440" s="280" t="n">
        <f aca="false">1-L440</f>
        <v>0</v>
      </c>
      <c r="N440" s="281"/>
      <c r="O440" s="282"/>
      <c r="P440" s="282"/>
      <c r="Q440" s="282"/>
      <c r="R440" s="282"/>
      <c r="S440" s="282"/>
      <c r="T440" s="282"/>
      <c r="U440" s="282"/>
      <c r="V440" s="282"/>
      <c r="W440" s="282"/>
      <c r="X440" s="282"/>
      <c r="Y440" s="282"/>
      <c r="Z440" s="282"/>
      <c r="AA440" s="283"/>
      <c r="AB440" s="284" t="n">
        <f aca="false">IFERROR(($J440*O440)*$L440, "")</f>
        <v>0</v>
      </c>
      <c r="AC440" s="284" t="n">
        <f aca="false">IFERROR(($J440*P440)*$L440, "")</f>
        <v>0</v>
      </c>
      <c r="AD440" s="284" t="n">
        <f aca="false">IFERROR(($J440*Q440)*$L440, "")</f>
        <v>0</v>
      </c>
      <c r="AE440" s="284" t="n">
        <f aca="false">IFERROR(($J440*R440)*$L440, "")</f>
        <v>0</v>
      </c>
      <c r="AF440" s="284" t="n">
        <f aca="false">IFERROR(($J440*S440)*$L440, "")</f>
        <v>0</v>
      </c>
      <c r="AG440" s="284" t="n">
        <f aca="false">IFERROR(($J440*T440)*$L440, "")</f>
        <v>0</v>
      </c>
      <c r="AH440" s="284" t="n">
        <f aca="false">IFERROR(($J440*U440)*$L440, "")</f>
        <v>0</v>
      </c>
      <c r="AI440" s="284" t="n">
        <f aca="false">IFERROR(($J440*V440)*$L440, "")</f>
        <v>0</v>
      </c>
      <c r="AJ440" s="284" t="n">
        <f aca="false">IFERROR(($J440*W440)*$L440, "")</f>
        <v>0</v>
      </c>
      <c r="AK440" s="284" t="n">
        <f aca="false">IFERROR(($J440*X440)*$L440, "")</f>
        <v>0</v>
      </c>
      <c r="AL440" s="284" t="n">
        <f aca="false">IFERROR(($J440*Y440)*$L440, "")</f>
        <v>0</v>
      </c>
      <c r="AM440" s="285" t="n">
        <f aca="false">IFERROR(($J440*Z440)*$L440, "")</f>
        <v>0</v>
      </c>
      <c r="AN440" s="286" t="n">
        <f aca="false">IFERROR(SUMIF($AB$4:$AM$4, "RDEC", AB440:AM440), "")</f>
        <v>0</v>
      </c>
      <c r="AO440" s="286" t="n">
        <f aca="false">IFERROR(SUMIF($AB$4:$AM$4, "SME", AB440:AM440), "")</f>
        <v>0</v>
      </c>
      <c r="AP440" s="286" t="n">
        <f aca="false">IFERROR(SUMIF($AB$4:$AM$4, "De Minimis", AB440:AM440), "")</f>
        <v>0</v>
      </c>
      <c r="AQ440" s="283"/>
      <c r="AR440" s="284" t="n">
        <f aca="false">IFERROR(($J440*O440)*$M440, "")</f>
        <v>0</v>
      </c>
      <c r="AS440" s="284" t="n">
        <f aca="false">IFERROR(($J440*P440)*$M440, "")</f>
        <v>0</v>
      </c>
      <c r="AT440" s="284" t="n">
        <f aca="false">IFERROR(($J440*Q440)*$M440, "")</f>
        <v>0</v>
      </c>
      <c r="AU440" s="284" t="n">
        <f aca="false">IFERROR(($J440*R440)*$M440, "")</f>
        <v>0</v>
      </c>
      <c r="AV440" s="284" t="n">
        <f aca="false">IFERROR(($J440*S440)*$M440, "")</f>
        <v>0</v>
      </c>
      <c r="AW440" s="284" t="n">
        <f aca="false">IFERROR(($J440*T440)*$M440, "")</f>
        <v>0</v>
      </c>
      <c r="AX440" s="284" t="n">
        <f aca="false">IFERROR(($J440*U440)*$M440, "")</f>
        <v>0</v>
      </c>
      <c r="AY440" s="284" t="n">
        <f aca="false">IFERROR(($J440*V440)*$M440, "")</f>
        <v>0</v>
      </c>
      <c r="AZ440" s="284" t="n">
        <f aca="false">IFERROR(($J440*W440)*$M440, "")</f>
        <v>0</v>
      </c>
      <c r="BA440" s="284" t="n">
        <f aca="false">IFERROR(($J440*X440)*$M440, "")</f>
        <v>0</v>
      </c>
      <c r="BB440" s="284" t="n">
        <f aca="false">IFERROR(($J440*Y440)*$M440, "")</f>
        <v>0</v>
      </c>
      <c r="BC440" s="285" t="n">
        <f aca="false">IFERROR(($J440*Z440)*$M440, "")</f>
        <v>0</v>
      </c>
      <c r="BD440" s="286" t="n">
        <f aca="false">IFERROR(SUMIF($AB$4:$AM$4, "RDEC", AR440:BC440), "")</f>
        <v>0</v>
      </c>
      <c r="BE440" s="286" t="n">
        <f aca="false">IFERROR(SUMIF($AB$4:$AM$4, "SME", AR440:BC440), "")</f>
        <v>0</v>
      </c>
      <c r="BF440" s="286" t="n">
        <f aca="false">IFERROR(SUMIF($AB$4:$AM$4, "De Minimis", AR440:BC440), "")</f>
        <v>0</v>
      </c>
      <c r="BG440" s="287"/>
      <c r="BH440" s="288" t="str">
        <f aca="false">IF((SUM(O440:Z440)&gt;1),"ERROR","")</f>
        <v/>
      </c>
      <c r="BI440" s="287"/>
      <c r="BJ440" s="18" t="str">
        <f aca="false">IF(C426&gt;0, C426, "")</f>
        <v/>
      </c>
      <c r="BL440" s="200"/>
      <c r="BM440" s="200"/>
      <c r="BN440" s="200"/>
    </row>
    <row r="441" customFormat="false" ht="15" hidden="false" customHeight="true" outlineLevel="0" collapsed="false">
      <c r="B441" s="275"/>
      <c r="D441" s="276" t="n">
        <f aca="false">D425</f>
        <v>45323</v>
      </c>
      <c r="E441" s="277" t="n">
        <v>0</v>
      </c>
      <c r="F441" s="277" t="n">
        <v>0</v>
      </c>
      <c r="G441" s="277" t="n">
        <v>0</v>
      </c>
      <c r="H441" s="277" t="n">
        <v>0</v>
      </c>
      <c r="I441" s="277" t="n">
        <v>0</v>
      </c>
      <c r="J441" s="278" t="n">
        <f aca="false">E441+H441+I441</f>
        <v>0</v>
      </c>
      <c r="K441" s="204"/>
      <c r="L441" s="279" t="n">
        <v>1</v>
      </c>
      <c r="M441" s="280" t="n">
        <f aca="false">1-L441</f>
        <v>0</v>
      </c>
      <c r="N441" s="281"/>
      <c r="O441" s="282"/>
      <c r="P441" s="282"/>
      <c r="Q441" s="282"/>
      <c r="R441" s="282"/>
      <c r="S441" s="282"/>
      <c r="T441" s="282"/>
      <c r="U441" s="282"/>
      <c r="V441" s="282"/>
      <c r="W441" s="282"/>
      <c r="X441" s="282"/>
      <c r="Y441" s="282"/>
      <c r="Z441" s="282"/>
      <c r="AA441" s="283"/>
      <c r="AB441" s="284" t="n">
        <f aca="false">IFERROR(($J441*O441)*$L441, "")</f>
        <v>0</v>
      </c>
      <c r="AC441" s="284" t="n">
        <f aca="false">IFERROR(($J441*P441)*$L441, "")</f>
        <v>0</v>
      </c>
      <c r="AD441" s="284" t="n">
        <f aca="false">IFERROR(($J441*Q441)*$L441, "")</f>
        <v>0</v>
      </c>
      <c r="AE441" s="284" t="n">
        <f aca="false">IFERROR(($J441*R441)*$L441, "")</f>
        <v>0</v>
      </c>
      <c r="AF441" s="284" t="n">
        <f aca="false">IFERROR(($J441*S441)*$L441, "")</f>
        <v>0</v>
      </c>
      <c r="AG441" s="284" t="n">
        <f aca="false">IFERROR(($J441*T441)*$L441, "")</f>
        <v>0</v>
      </c>
      <c r="AH441" s="284" t="n">
        <f aca="false">IFERROR(($J441*U441)*$L441, "")</f>
        <v>0</v>
      </c>
      <c r="AI441" s="284" t="n">
        <f aca="false">IFERROR(($J441*V441)*$L441, "")</f>
        <v>0</v>
      </c>
      <c r="AJ441" s="284" t="n">
        <f aca="false">IFERROR(($J441*W441)*$L441, "")</f>
        <v>0</v>
      </c>
      <c r="AK441" s="284" t="n">
        <f aca="false">IFERROR(($J441*X441)*$L441, "")</f>
        <v>0</v>
      </c>
      <c r="AL441" s="284" t="n">
        <f aca="false">IFERROR(($J441*Y441)*$L441, "")</f>
        <v>0</v>
      </c>
      <c r="AM441" s="285" t="n">
        <f aca="false">IFERROR(($J441*Z441)*$L441, "")</f>
        <v>0</v>
      </c>
      <c r="AN441" s="286" t="n">
        <f aca="false">IFERROR(SUMIF($AB$4:$AM$4, "RDEC", AB441:AM441), "")</f>
        <v>0</v>
      </c>
      <c r="AO441" s="286" t="n">
        <f aca="false">IFERROR(SUMIF($AB$4:$AM$4, "SME", AB441:AM441), "")</f>
        <v>0</v>
      </c>
      <c r="AP441" s="286" t="n">
        <f aca="false">IFERROR(SUMIF($AB$4:$AM$4, "De Minimis", AB441:AM441), "")</f>
        <v>0</v>
      </c>
      <c r="AQ441" s="283"/>
      <c r="AR441" s="284" t="n">
        <f aca="false">IFERROR(($J441*O441)*$M441, "")</f>
        <v>0</v>
      </c>
      <c r="AS441" s="284" t="n">
        <f aca="false">IFERROR(($J441*P441)*$M441, "")</f>
        <v>0</v>
      </c>
      <c r="AT441" s="284" t="n">
        <f aca="false">IFERROR(($J441*Q441)*$M441, "")</f>
        <v>0</v>
      </c>
      <c r="AU441" s="284" t="n">
        <f aca="false">IFERROR(($J441*R441)*$M441, "")</f>
        <v>0</v>
      </c>
      <c r="AV441" s="284" t="n">
        <f aca="false">IFERROR(($J441*S441)*$M441, "")</f>
        <v>0</v>
      </c>
      <c r="AW441" s="284" t="n">
        <f aca="false">IFERROR(($J441*T441)*$M441, "")</f>
        <v>0</v>
      </c>
      <c r="AX441" s="284" t="n">
        <f aca="false">IFERROR(($J441*U441)*$M441, "")</f>
        <v>0</v>
      </c>
      <c r="AY441" s="284" t="n">
        <f aca="false">IFERROR(($J441*V441)*$M441, "")</f>
        <v>0</v>
      </c>
      <c r="AZ441" s="284" t="n">
        <f aca="false">IFERROR(($J441*W441)*$M441, "")</f>
        <v>0</v>
      </c>
      <c r="BA441" s="284" t="n">
        <f aca="false">IFERROR(($J441*X441)*$M441, "")</f>
        <v>0</v>
      </c>
      <c r="BB441" s="284" t="n">
        <f aca="false">IFERROR(($J441*Y441)*$M441, "")</f>
        <v>0</v>
      </c>
      <c r="BC441" s="285" t="n">
        <f aca="false">IFERROR(($J441*Z441)*$M441, "")</f>
        <v>0</v>
      </c>
      <c r="BD441" s="286" t="n">
        <f aca="false">IFERROR(SUMIF($AB$4:$AM$4, "RDEC", AR441:BC441), "")</f>
        <v>0</v>
      </c>
      <c r="BE441" s="286" t="n">
        <f aca="false">IFERROR(SUMIF($AB$4:$AM$4, "SME", AR441:BC441), "")</f>
        <v>0</v>
      </c>
      <c r="BF441" s="286" t="n">
        <f aca="false">IFERROR(SUMIF($AB$4:$AM$4, "De Minimis", AR441:BC441), "")</f>
        <v>0</v>
      </c>
      <c r="BG441" s="287"/>
      <c r="BH441" s="288" t="str">
        <f aca="false">IF((SUM(O441:Z441)&gt;1),"ERROR","")</f>
        <v/>
      </c>
      <c r="BI441" s="287"/>
      <c r="BJ441" s="18" t="str">
        <f aca="false">IF(C427&gt;0, C427, "")</f>
        <v/>
      </c>
      <c r="BL441" s="200"/>
      <c r="BM441" s="200"/>
      <c r="BN441" s="200"/>
    </row>
    <row r="442" customFormat="false" ht="15" hidden="false" customHeight="true" outlineLevel="0" collapsed="false">
      <c r="B442" s="275"/>
      <c r="D442" s="276" t="n">
        <f aca="false">D426</f>
        <v>45352</v>
      </c>
      <c r="E442" s="277" t="n">
        <v>0</v>
      </c>
      <c r="F442" s="277" t="n">
        <v>0</v>
      </c>
      <c r="G442" s="277" t="n">
        <v>0</v>
      </c>
      <c r="H442" s="277" t="n">
        <v>0</v>
      </c>
      <c r="I442" s="277" t="n">
        <v>0</v>
      </c>
      <c r="J442" s="278" t="n">
        <f aca="false">E442+H442+I442</f>
        <v>0</v>
      </c>
      <c r="K442" s="204"/>
      <c r="L442" s="279" t="n">
        <v>1</v>
      </c>
      <c r="M442" s="280" t="n">
        <f aca="false">1-L442</f>
        <v>0</v>
      </c>
      <c r="N442" s="281"/>
      <c r="O442" s="282"/>
      <c r="P442" s="282"/>
      <c r="Q442" s="282"/>
      <c r="R442" s="282"/>
      <c r="S442" s="282"/>
      <c r="T442" s="282"/>
      <c r="U442" s="282"/>
      <c r="V442" s="282"/>
      <c r="W442" s="282"/>
      <c r="X442" s="282"/>
      <c r="Y442" s="282"/>
      <c r="Z442" s="282"/>
      <c r="AA442" s="283"/>
      <c r="AB442" s="284" t="n">
        <f aca="false">IFERROR(($J442*O442)*$L442, "")</f>
        <v>0</v>
      </c>
      <c r="AC442" s="284" t="n">
        <f aca="false">IFERROR(($J442*P442)*$L442, "")</f>
        <v>0</v>
      </c>
      <c r="AD442" s="284" t="n">
        <f aca="false">IFERROR(($J442*Q442)*$L442, "")</f>
        <v>0</v>
      </c>
      <c r="AE442" s="284" t="n">
        <f aca="false">IFERROR(($J442*R442)*$L442, "")</f>
        <v>0</v>
      </c>
      <c r="AF442" s="284" t="n">
        <f aca="false">IFERROR(($J442*S442)*$L442, "")</f>
        <v>0</v>
      </c>
      <c r="AG442" s="284" t="n">
        <f aca="false">IFERROR(($J442*T442)*$L442, "")</f>
        <v>0</v>
      </c>
      <c r="AH442" s="284" t="n">
        <f aca="false">IFERROR(($J442*U442)*$L442, "")</f>
        <v>0</v>
      </c>
      <c r="AI442" s="284" t="n">
        <f aca="false">IFERROR(($J442*V442)*$L442, "")</f>
        <v>0</v>
      </c>
      <c r="AJ442" s="284" t="n">
        <f aca="false">IFERROR(($J442*W442)*$L442, "")</f>
        <v>0</v>
      </c>
      <c r="AK442" s="284" t="n">
        <f aca="false">IFERROR(($J442*X442)*$L442, "")</f>
        <v>0</v>
      </c>
      <c r="AL442" s="284" t="n">
        <f aca="false">IFERROR(($J442*Y442)*$L442, "")</f>
        <v>0</v>
      </c>
      <c r="AM442" s="285" t="n">
        <f aca="false">IFERROR(($J442*Z442)*$L442, "")</f>
        <v>0</v>
      </c>
      <c r="AN442" s="286" t="n">
        <f aca="false">IFERROR(SUMIF($AB$4:$AM$4, "RDEC", AB442:AM442), "")</f>
        <v>0</v>
      </c>
      <c r="AO442" s="286" t="n">
        <f aca="false">IFERROR(SUMIF($AB$4:$AM$4, "SME", AB442:AM442), "")</f>
        <v>0</v>
      </c>
      <c r="AP442" s="286" t="n">
        <f aca="false">IFERROR(SUMIF($AB$4:$AM$4, "De Minimis", AB442:AM442), "")</f>
        <v>0</v>
      </c>
      <c r="AQ442" s="283"/>
      <c r="AR442" s="284" t="n">
        <f aca="false">IFERROR(($J442*O442)*$M442, "")</f>
        <v>0</v>
      </c>
      <c r="AS442" s="284" t="n">
        <f aca="false">IFERROR(($J442*P442)*$M442, "")</f>
        <v>0</v>
      </c>
      <c r="AT442" s="284" t="n">
        <f aca="false">IFERROR(($J442*Q442)*$M442, "")</f>
        <v>0</v>
      </c>
      <c r="AU442" s="284" t="n">
        <f aca="false">IFERROR(($J442*R442)*$M442, "")</f>
        <v>0</v>
      </c>
      <c r="AV442" s="284" t="n">
        <f aca="false">IFERROR(($J442*S442)*$M442, "")</f>
        <v>0</v>
      </c>
      <c r="AW442" s="284" t="n">
        <f aca="false">IFERROR(($J442*T442)*$M442, "")</f>
        <v>0</v>
      </c>
      <c r="AX442" s="284" t="n">
        <f aca="false">IFERROR(($J442*U442)*$M442, "")</f>
        <v>0</v>
      </c>
      <c r="AY442" s="284" t="n">
        <f aca="false">IFERROR(($J442*V442)*$M442, "")</f>
        <v>0</v>
      </c>
      <c r="AZ442" s="284" t="n">
        <f aca="false">IFERROR(($J442*W442)*$M442, "")</f>
        <v>0</v>
      </c>
      <c r="BA442" s="284" t="n">
        <f aca="false">IFERROR(($J442*X442)*$M442, "")</f>
        <v>0</v>
      </c>
      <c r="BB442" s="284" t="n">
        <f aca="false">IFERROR(($J442*Y442)*$M442, "")</f>
        <v>0</v>
      </c>
      <c r="BC442" s="285" t="n">
        <f aca="false">IFERROR(($J442*Z442)*$M442, "")</f>
        <v>0</v>
      </c>
      <c r="BD442" s="286" t="n">
        <f aca="false">IFERROR(SUMIF($AB$4:$AM$4, "RDEC", AR442:BC442), "")</f>
        <v>0</v>
      </c>
      <c r="BE442" s="286" t="n">
        <f aca="false">IFERROR(SUMIF($AB$4:$AM$4, "SME", AR442:BC442), "")</f>
        <v>0</v>
      </c>
      <c r="BF442" s="286" t="n">
        <f aca="false">IFERROR(SUMIF($AB$4:$AM$4, "De Minimis", AR442:BC442), "")</f>
        <v>0</v>
      </c>
      <c r="BG442" s="287"/>
      <c r="BH442" s="288" t="str">
        <f aca="false">IF((SUM(O442:Z442)&gt;1),"ERROR","")</f>
        <v/>
      </c>
      <c r="BI442" s="287"/>
      <c r="BJ442" s="18" t="str">
        <f aca="false">IF(C428&gt;0, C428, "")</f>
        <v/>
      </c>
      <c r="BL442" s="200"/>
      <c r="BM442" s="200"/>
      <c r="BN442" s="200"/>
    </row>
    <row r="443" customFormat="false" ht="15" hidden="false" customHeight="true" outlineLevel="0" collapsed="false">
      <c r="B443" s="275"/>
      <c r="D443" s="276" t="n">
        <f aca="false">D427</f>
        <v>45383</v>
      </c>
      <c r="E443" s="277" t="n">
        <v>0</v>
      </c>
      <c r="F443" s="277" t="n">
        <v>0</v>
      </c>
      <c r="G443" s="277" t="n">
        <v>0</v>
      </c>
      <c r="H443" s="277" t="n">
        <v>0</v>
      </c>
      <c r="I443" s="277" t="n">
        <v>0</v>
      </c>
      <c r="J443" s="278" t="n">
        <f aca="false">E443+H443+I443</f>
        <v>0</v>
      </c>
      <c r="K443" s="204"/>
      <c r="L443" s="279" t="n">
        <v>1</v>
      </c>
      <c r="M443" s="280" t="n">
        <f aca="false">1-L443</f>
        <v>0</v>
      </c>
      <c r="N443" s="281"/>
      <c r="O443" s="282"/>
      <c r="P443" s="282"/>
      <c r="Q443" s="282"/>
      <c r="R443" s="282"/>
      <c r="S443" s="282"/>
      <c r="T443" s="282"/>
      <c r="U443" s="282"/>
      <c r="V443" s="282"/>
      <c r="W443" s="282"/>
      <c r="X443" s="282"/>
      <c r="Y443" s="282"/>
      <c r="Z443" s="282"/>
      <c r="AA443" s="283"/>
      <c r="AB443" s="284" t="n">
        <f aca="false">IFERROR(($J443*O443)*$L443, "")</f>
        <v>0</v>
      </c>
      <c r="AC443" s="284" t="n">
        <f aca="false">IFERROR(($J443*P443)*$L443, "")</f>
        <v>0</v>
      </c>
      <c r="AD443" s="284" t="n">
        <f aca="false">IFERROR(($J443*Q443)*$L443, "")</f>
        <v>0</v>
      </c>
      <c r="AE443" s="284" t="n">
        <f aca="false">IFERROR(($J443*R443)*$L443, "")</f>
        <v>0</v>
      </c>
      <c r="AF443" s="284" t="n">
        <f aca="false">IFERROR(($J443*S443)*$L443, "")</f>
        <v>0</v>
      </c>
      <c r="AG443" s="284" t="n">
        <f aca="false">IFERROR(($J443*T443)*$L443, "")</f>
        <v>0</v>
      </c>
      <c r="AH443" s="284" t="n">
        <f aca="false">IFERROR(($J443*U443)*$L443, "")</f>
        <v>0</v>
      </c>
      <c r="AI443" s="284" t="n">
        <f aca="false">IFERROR(($J443*V443)*$L443, "")</f>
        <v>0</v>
      </c>
      <c r="AJ443" s="284" t="n">
        <f aca="false">IFERROR(($J443*W443)*$L443, "")</f>
        <v>0</v>
      </c>
      <c r="AK443" s="284" t="n">
        <f aca="false">IFERROR(($J443*X443)*$L443, "")</f>
        <v>0</v>
      </c>
      <c r="AL443" s="284" t="n">
        <f aca="false">IFERROR(($J443*Y443)*$L443, "")</f>
        <v>0</v>
      </c>
      <c r="AM443" s="285" t="n">
        <f aca="false">IFERROR(($J443*Z443)*$L443, "")</f>
        <v>0</v>
      </c>
      <c r="AN443" s="286" t="n">
        <f aca="false">IFERROR(SUMIF($AB$4:$AM$4, "RDEC", AB443:AM443), "")</f>
        <v>0</v>
      </c>
      <c r="AO443" s="286" t="n">
        <f aca="false">IFERROR(SUMIF($AB$4:$AM$4, "SME", AB443:AM443), "")</f>
        <v>0</v>
      </c>
      <c r="AP443" s="286" t="n">
        <f aca="false">IFERROR(SUMIF($AB$4:$AM$4, "De Minimis", AB443:AM443), "")</f>
        <v>0</v>
      </c>
      <c r="AQ443" s="283"/>
      <c r="AR443" s="284" t="n">
        <f aca="false">IFERROR(($J443*O443)*$M443, "")</f>
        <v>0</v>
      </c>
      <c r="AS443" s="284" t="n">
        <f aca="false">IFERROR(($J443*P443)*$M443, "")</f>
        <v>0</v>
      </c>
      <c r="AT443" s="284" t="n">
        <f aca="false">IFERROR(($J443*Q443)*$M443, "")</f>
        <v>0</v>
      </c>
      <c r="AU443" s="284" t="n">
        <f aca="false">IFERROR(($J443*R443)*$M443, "")</f>
        <v>0</v>
      </c>
      <c r="AV443" s="284" t="n">
        <f aca="false">IFERROR(($J443*S443)*$M443, "")</f>
        <v>0</v>
      </c>
      <c r="AW443" s="284" t="n">
        <f aca="false">IFERROR(($J443*T443)*$M443, "")</f>
        <v>0</v>
      </c>
      <c r="AX443" s="284" t="n">
        <f aca="false">IFERROR(($J443*U443)*$M443, "")</f>
        <v>0</v>
      </c>
      <c r="AY443" s="284" t="n">
        <f aca="false">IFERROR(($J443*V443)*$M443, "")</f>
        <v>0</v>
      </c>
      <c r="AZ443" s="284" t="n">
        <f aca="false">IFERROR(($J443*W443)*$M443, "")</f>
        <v>0</v>
      </c>
      <c r="BA443" s="284" t="n">
        <f aca="false">IFERROR(($J443*X443)*$M443, "")</f>
        <v>0</v>
      </c>
      <c r="BB443" s="284" t="n">
        <f aca="false">IFERROR(($J443*Y443)*$M443, "")</f>
        <v>0</v>
      </c>
      <c r="BC443" s="285" t="n">
        <f aca="false">IFERROR(($J443*Z443)*$M443, "")</f>
        <v>0</v>
      </c>
      <c r="BD443" s="286" t="n">
        <f aca="false">IFERROR(SUMIF($AB$4:$AM$4, "RDEC", AR443:BC443), "")</f>
        <v>0</v>
      </c>
      <c r="BE443" s="286" t="n">
        <f aca="false">IFERROR(SUMIF($AB$4:$AM$4, "SME", AR443:BC443), "")</f>
        <v>0</v>
      </c>
      <c r="BF443" s="286" t="n">
        <f aca="false">IFERROR(SUMIF($AB$4:$AM$4, "De Minimis", AR443:BC443), "")</f>
        <v>0</v>
      </c>
      <c r="BG443" s="287"/>
      <c r="BH443" s="288" t="str">
        <f aca="false">IF((SUM(O443:Z443)&gt;1),"ERROR","")</f>
        <v/>
      </c>
      <c r="BI443" s="287"/>
      <c r="BJ443" s="18" t="str">
        <f aca="false">IF(C429&gt;0, C429, "")</f>
        <v/>
      </c>
      <c r="BL443" s="200"/>
      <c r="BM443" s="200"/>
      <c r="BN443" s="200"/>
    </row>
    <row r="444" customFormat="false" ht="15" hidden="false" customHeight="true" outlineLevel="0" collapsed="false">
      <c r="B444" s="275"/>
      <c r="D444" s="276" t="n">
        <f aca="false">D428</f>
        <v>45413</v>
      </c>
      <c r="E444" s="277" t="n">
        <v>0</v>
      </c>
      <c r="F444" s="277" t="n">
        <v>0</v>
      </c>
      <c r="G444" s="277" t="n">
        <v>0</v>
      </c>
      <c r="H444" s="277" t="n">
        <v>0</v>
      </c>
      <c r="I444" s="277" t="n">
        <v>0</v>
      </c>
      <c r="J444" s="278" t="n">
        <f aca="false">E444+H444+I444</f>
        <v>0</v>
      </c>
      <c r="K444" s="204"/>
      <c r="L444" s="279" t="n">
        <v>1</v>
      </c>
      <c r="M444" s="280" t="n">
        <f aca="false">1-L444</f>
        <v>0</v>
      </c>
      <c r="N444" s="281"/>
      <c r="O444" s="282"/>
      <c r="P444" s="282"/>
      <c r="Q444" s="282"/>
      <c r="R444" s="282"/>
      <c r="S444" s="282"/>
      <c r="T444" s="282"/>
      <c r="U444" s="282"/>
      <c r="V444" s="282"/>
      <c r="W444" s="282"/>
      <c r="X444" s="282"/>
      <c r="Y444" s="282"/>
      <c r="Z444" s="282"/>
      <c r="AA444" s="283"/>
      <c r="AB444" s="284" t="n">
        <f aca="false">IFERROR(($J444*O444)*$L444, "")</f>
        <v>0</v>
      </c>
      <c r="AC444" s="284" t="n">
        <f aca="false">IFERROR(($J444*P444)*$L444, "")</f>
        <v>0</v>
      </c>
      <c r="AD444" s="284" t="n">
        <f aca="false">IFERROR(($J444*Q444)*$L444, "")</f>
        <v>0</v>
      </c>
      <c r="AE444" s="284" t="n">
        <f aca="false">IFERROR(($J444*R444)*$L444, "")</f>
        <v>0</v>
      </c>
      <c r="AF444" s="284" t="n">
        <f aca="false">IFERROR(($J444*S444)*$L444, "")</f>
        <v>0</v>
      </c>
      <c r="AG444" s="284" t="n">
        <f aca="false">IFERROR(($J444*T444)*$L444, "")</f>
        <v>0</v>
      </c>
      <c r="AH444" s="284" t="n">
        <f aca="false">IFERROR(($J444*U444)*$L444, "")</f>
        <v>0</v>
      </c>
      <c r="AI444" s="284" t="n">
        <f aca="false">IFERROR(($J444*V444)*$L444, "")</f>
        <v>0</v>
      </c>
      <c r="AJ444" s="284" t="n">
        <f aca="false">IFERROR(($J444*W444)*$L444, "")</f>
        <v>0</v>
      </c>
      <c r="AK444" s="284" t="n">
        <f aca="false">IFERROR(($J444*X444)*$L444, "")</f>
        <v>0</v>
      </c>
      <c r="AL444" s="284" t="n">
        <f aca="false">IFERROR(($J444*Y444)*$L444, "")</f>
        <v>0</v>
      </c>
      <c r="AM444" s="285" t="n">
        <f aca="false">IFERROR(($J444*Z444)*$L444, "")</f>
        <v>0</v>
      </c>
      <c r="AN444" s="286" t="n">
        <f aca="false">IFERROR(SUMIF($AB$4:$AM$4, "RDEC", AB444:AM444), "")</f>
        <v>0</v>
      </c>
      <c r="AO444" s="286" t="n">
        <f aca="false">IFERROR(SUMIF($AB$4:$AM$4, "SME", AB444:AM444), "")</f>
        <v>0</v>
      </c>
      <c r="AP444" s="286" t="n">
        <f aca="false">IFERROR(SUMIF($AB$4:$AM$4, "De Minimis", AB444:AM444), "")</f>
        <v>0</v>
      </c>
      <c r="AQ444" s="283"/>
      <c r="AR444" s="284" t="n">
        <f aca="false">IFERROR(($J444*O444)*$M444, "")</f>
        <v>0</v>
      </c>
      <c r="AS444" s="284" t="n">
        <f aca="false">IFERROR(($J444*P444)*$M444, "")</f>
        <v>0</v>
      </c>
      <c r="AT444" s="284" t="n">
        <f aca="false">IFERROR(($J444*Q444)*$M444, "")</f>
        <v>0</v>
      </c>
      <c r="AU444" s="284" t="n">
        <f aca="false">IFERROR(($J444*R444)*$M444, "")</f>
        <v>0</v>
      </c>
      <c r="AV444" s="284" t="n">
        <f aca="false">IFERROR(($J444*S444)*$M444, "")</f>
        <v>0</v>
      </c>
      <c r="AW444" s="284" t="n">
        <f aca="false">IFERROR(($J444*T444)*$M444, "")</f>
        <v>0</v>
      </c>
      <c r="AX444" s="284" t="n">
        <f aca="false">IFERROR(($J444*U444)*$M444, "")</f>
        <v>0</v>
      </c>
      <c r="AY444" s="284" t="n">
        <f aca="false">IFERROR(($J444*V444)*$M444, "")</f>
        <v>0</v>
      </c>
      <c r="AZ444" s="284" t="n">
        <f aca="false">IFERROR(($J444*W444)*$M444, "")</f>
        <v>0</v>
      </c>
      <c r="BA444" s="284" t="n">
        <f aca="false">IFERROR(($J444*X444)*$M444, "")</f>
        <v>0</v>
      </c>
      <c r="BB444" s="284" t="n">
        <f aca="false">IFERROR(($J444*Y444)*$M444, "")</f>
        <v>0</v>
      </c>
      <c r="BC444" s="285" t="n">
        <f aca="false">IFERROR(($J444*Z444)*$M444, "")</f>
        <v>0</v>
      </c>
      <c r="BD444" s="286" t="n">
        <f aca="false">IFERROR(SUMIF($AB$4:$AM$4, "RDEC", AR444:BC444), "")</f>
        <v>0</v>
      </c>
      <c r="BE444" s="286" t="n">
        <f aca="false">IFERROR(SUMIF($AB$4:$AM$4, "SME", AR444:BC444), "")</f>
        <v>0</v>
      </c>
      <c r="BF444" s="286" t="n">
        <f aca="false">IFERROR(SUMIF($AB$4:$AM$4, "De Minimis", AR444:BC444), "")</f>
        <v>0</v>
      </c>
      <c r="BG444" s="287"/>
      <c r="BH444" s="288" t="str">
        <f aca="false">IF((SUM(O444:Z444)&gt;1),"ERROR","")</f>
        <v/>
      </c>
      <c r="BI444" s="287"/>
      <c r="BJ444" s="18" t="str">
        <f aca="false">IF(C430&gt;0, C430, "")</f>
        <v/>
      </c>
      <c r="BL444" s="200"/>
      <c r="BM444" s="200"/>
      <c r="BN444" s="200"/>
    </row>
    <row r="445" customFormat="false" ht="15" hidden="false" customHeight="true" outlineLevel="0" collapsed="false">
      <c r="B445" s="275"/>
      <c r="D445" s="276" t="n">
        <f aca="false">D429</f>
        <v>45444</v>
      </c>
      <c r="E445" s="277" t="n">
        <v>0</v>
      </c>
      <c r="F445" s="277" t="n">
        <v>0</v>
      </c>
      <c r="G445" s="277" t="n">
        <v>0</v>
      </c>
      <c r="H445" s="277" t="n">
        <v>0</v>
      </c>
      <c r="I445" s="277" t="n">
        <v>0</v>
      </c>
      <c r="J445" s="278" t="n">
        <f aca="false">E445+H445+I445</f>
        <v>0</v>
      </c>
      <c r="K445" s="204"/>
      <c r="L445" s="279" t="n">
        <v>1</v>
      </c>
      <c r="M445" s="280" t="n">
        <f aca="false">1-L445</f>
        <v>0</v>
      </c>
      <c r="N445" s="281"/>
      <c r="O445" s="282"/>
      <c r="P445" s="282"/>
      <c r="Q445" s="282"/>
      <c r="R445" s="282"/>
      <c r="S445" s="282"/>
      <c r="T445" s="282"/>
      <c r="U445" s="282"/>
      <c r="V445" s="282"/>
      <c r="W445" s="282"/>
      <c r="X445" s="282"/>
      <c r="Y445" s="282"/>
      <c r="Z445" s="282"/>
      <c r="AA445" s="283"/>
      <c r="AB445" s="284" t="n">
        <f aca="false">IFERROR(($J445*O445)*$L445, "")</f>
        <v>0</v>
      </c>
      <c r="AC445" s="284" t="n">
        <f aca="false">IFERROR(($J445*P445)*$L445, "")</f>
        <v>0</v>
      </c>
      <c r="AD445" s="284" t="n">
        <f aca="false">IFERROR(($J445*Q445)*$L445, "")</f>
        <v>0</v>
      </c>
      <c r="AE445" s="284" t="n">
        <f aca="false">IFERROR(($J445*R445)*$L445, "")</f>
        <v>0</v>
      </c>
      <c r="AF445" s="284" t="n">
        <f aca="false">IFERROR(($J445*S445)*$L445, "")</f>
        <v>0</v>
      </c>
      <c r="AG445" s="284" t="n">
        <f aca="false">IFERROR(($J445*T445)*$L445, "")</f>
        <v>0</v>
      </c>
      <c r="AH445" s="284" t="n">
        <f aca="false">IFERROR(($J445*U445)*$L445, "")</f>
        <v>0</v>
      </c>
      <c r="AI445" s="284" t="n">
        <f aca="false">IFERROR(($J445*V445)*$L445, "")</f>
        <v>0</v>
      </c>
      <c r="AJ445" s="284" t="n">
        <f aca="false">IFERROR(($J445*W445)*$L445, "")</f>
        <v>0</v>
      </c>
      <c r="AK445" s="284" t="n">
        <f aca="false">IFERROR(($J445*X445)*$L445, "")</f>
        <v>0</v>
      </c>
      <c r="AL445" s="284" t="n">
        <f aca="false">IFERROR(($J445*Y445)*$L445, "")</f>
        <v>0</v>
      </c>
      <c r="AM445" s="285" t="n">
        <f aca="false">IFERROR(($J445*Z445)*$L445, "")</f>
        <v>0</v>
      </c>
      <c r="AN445" s="286" t="n">
        <f aca="false">IFERROR(SUMIF($AB$4:$AM$4, "RDEC", AB445:AM445), "")</f>
        <v>0</v>
      </c>
      <c r="AO445" s="286" t="n">
        <f aca="false">IFERROR(SUMIF($AB$4:$AM$4, "SME", AB445:AM445), "")</f>
        <v>0</v>
      </c>
      <c r="AP445" s="286" t="n">
        <f aca="false">IFERROR(SUMIF($AB$4:$AM$4, "De Minimis", AB445:AM445), "")</f>
        <v>0</v>
      </c>
      <c r="AQ445" s="283"/>
      <c r="AR445" s="284" t="n">
        <f aca="false">IFERROR(($J445*O445)*$M445, "")</f>
        <v>0</v>
      </c>
      <c r="AS445" s="284" t="n">
        <f aca="false">IFERROR(($J445*P445)*$M445, "")</f>
        <v>0</v>
      </c>
      <c r="AT445" s="284" t="n">
        <f aca="false">IFERROR(($J445*Q445)*$M445, "")</f>
        <v>0</v>
      </c>
      <c r="AU445" s="284" t="n">
        <f aca="false">IFERROR(($J445*R445)*$M445, "")</f>
        <v>0</v>
      </c>
      <c r="AV445" s="284" t="n">
        <f aca="false">IFERROR(($J445*S445)*$M445, "")</f>
        <v>0</v>
      </c>
      <c r="AW445" s="284" t="n">
        <f aca="false">IFERROR(($J445*T445)*$M445, "")</f>
        <v>0</v>
      </c>
      <c r="AX445" s="284" t="n">
        <f aca="false">IFERROR(($J445*U445)*$M445, "")</f>
        <v>0</v>
      </c>
      <c r="AY445" s="284" t="n">
        <f aca="false">IFERROR(($J445*V445)*$M445, "")</f>
        <v>0</v>
      </c>
      <c r="AZ445" s="284" t="n">
        <f aca="false">IFERROR(($J445*W445)*$M445, "")</f>
        <v>0</v>
      </c>
      <c r="BA445" s="284" t="n">
        <f aca="false">IFERROR(($J445*X445)*$M445, "")</f>
        <v>0</v>
      </c>
      <c r="BB445" s="284" t="n">
        <f aca="false">IFERROR(($J445*Y445)*$M445, "")</f>
        <v>0</v>
      </c>
      <c r="BC445" s="285" t="n">
        <f aca="false">IFERROR(($J445*Z445)*$M445, "")</f>
        <v>0</v>
      </c>
      <c r="BD445" s="286" t="n">
        <f aca="false">IFERROR(SUMIF($AB$4:$AM$4, "RDEC", AR445:BC445), "")</f>
        <v>0</v>
      </c>
      <c r="BE445" s="286" t="n">
        <f aca="false">IFERROR(SUMIF($AB$4:$AM$4, "SME", AR445:BC445), "")</f>
        <v>0</v>
      </c>
      <c r="BF445" s="286" t="n">
        <f aca="false">IFERROR(SUMIF($AB$4:$AM$4, "De Minimis", AR445:BC445), "")</f>
        <v>0</v>
      </c>
      <c r="BG445" s="287"/>
      <c r="BH445" s="288" t="str">
        <f aca="false">IF((SUM(O445:Z445)&gt;1),"ERROR","")</f>
        <v/>
      </c>
      <c r="BI445" s="287"/>
      <c r="BJ445" s="18" t="str">
        <f aca="false">IF(C431&gt;0, C431, "")</f>
        <v/>
      </c>
      <c r="BL445" s="200"/>
      <c r="BM445" s="200"/>
      <c r="BN445" s="200"/>
    </row>
    <row r="446" customFormat="false" ht="15" hidden="false" customHeight="true" outlineLevel="0" collapsed="false">
      <c r="B446" s="275"/>
      <c r="D446" s="276" t="n">
        <f aca="false">D430</f>
        <v>45474</v>
      </c>
      <c r="E446" s="277" t="n">
        <v>0</v>
      </c>
      <c r="F446" s="277" t="n">
        <v>0</v>
      </c>
      <c r="G446" s="277" t="n">
        <v>0</v>
      </c>
      <c r="H446" s="277" t="n">
        <v>0</v>
      </c>
      <c r="I446" s="277" t="n">
        <v>0</v>
      </c>
      <c r="J446" s="278" t="n">
        <f aca="false">E446+H446+I446</f>
        <v>0</v>
      </c>
      <c r="K446" s="204"/>
      <c r="L446" s="279" t="n">
        <v>1</v>
      </c>
      <c r="M446" s="280" t="n">
        <f aca="false">1-L446</f>
        <v>0</v>
      </c>
      <c r="N446" s="281"/>
      <c r="O446" s="282"/>
      <c r="P446" s="282"/>
      <c r="Q446" s="282"/>
      <c r="R446" s="282"/>
      <c r="S446" s="282"/>
      <c r="T446" s="282"/>
      <c r="U446" s="282"/>
      <c r="V446" s="282"/>
      <c r="W446" s="282"/>
      <c r="X446" s="282"/>
      <c r="Y446" s="282"/>
      <c r="Z446" s="282"/>
      <c r="AA446" s="283"/>
      <c r="AB446" s="284" t="n">
        <f aca="false">IFERROR(($J446*O446)*$L446, "")</f>
        <v>0</v>
      </c>
      <c r="AC446" s="284" t="n">
        <f aca="false">IFERROR(($J446*P446)*$L446, "")</f>
        <v>0</v>
      </c>
      <c r="AD446" s="284" t="n">
        <f aca="false">IFERROR(($J446*Q446)*$L446, "")</f>
        <v>0</v>
      </c>
      <c r="AE446" s="284" t="n">
        <f aca="false">IFERROR(($J446*R446)*$L446, "")</f>
        <v>0</v>
      </c>
      <c r="AF446" s="284" t="n">
        <f aca="false">IFERROR(($J446*S446)*$L446, "")</f>
        <v>0</v>
      </c>
      <c r="AG446" s="284" t="n">
        <f aca="false">IFERROR(($J446*T446)*$L446, "")</f>
        <v>0</v>
      </c>
      <c r="AH446" s="284" t="n">
        <f aca="false">IFERROR(($J446*U446)*$L446, "")</f>
        <v>0</v>
      </c>
      <c r="AI446" s="284" t="n">
        <f aca="false">IFERROR(($J446*V446)*$L446, "")</f>
        <v>0</v>
      </c>
      <c r="AJ446" s="284" t="n">
        <f aca="false">IFERROR(($J446*W446)*$L446, "")</f>
        <v>0</v>
      </c>
      <c r="AK446" s="284" t="n">
        <f aca="false">IFERROR(($J446*X446)*$L446, "")</f>
        <v>0</v>
      </c>
      <c r="AL446" s="284" t="n">
        <f aca="false">IFERROR(($J446*Y446)*$L446, "")</f>
        <v>0</v>
      </c>
      <c r="AM446" s="285" t="n">
        <f aca="false">IFERROR(($J446*Z446)*$L446, "")</f>
        <v>0</v>
      </c>
      <c r="AN446" s="286" t="n">
        <f aca="false">IFERROR(SUMIF($AB$4:$AM$4, "RDEC", AB446:AM446), "")</f>
        <v>0</v>
      </c>
      <c r="AO446" s="286" t="n">
        <f aca="false">IFERROR(SUMIF($AB$4:$AM$4, "SME", AB446:AM446), "")</f>
        <v>0</v>
      </c>
      <c r="AP446" s="286" t="n">
        <f aca="false">IFERROR(SUMIF($AB$4:$AM$4, "De Minimis", AB446:AM446), "")</f>
        <v>0</v>
      </c>
      <c r="AQ446" s="283"/>
      <c r="AR446" s="284" t="n">
        <f aca="false">IFERROR(($J446*O446)*$M446, "")</f>
        <v>0</v>
      </c>
      <c r="AS446" s="284" t="n">
        <f aca="false">IFERROR(($J446*P446)*$M446, "")</f>
        <v>0</v>
      </c>
      <c r="AT446" s="284" t="n">
        <f aca="false">IFERROR(($J446*Q446)*$M446, "")</f>
        <v>0</v>
      </c>
      <c r="AU446" s="284" t="n">
        <f aca="false">IFERROR(($J446*R446)*$M446, "")</f>
        <v>0</v>
      </c>
      <c r="AV446" s="284" t="n">
        <f aca="false">IFERROR(($J446*S446)*$M446, "")</f>
        <v>0</v>
      </c>
      <c r="AW446" s="284" t="n">
        <f aca="false">IFERROR(($J446*T446)*$M446, "")</f>
        <v>0</v>
      </c>
      <c r="AX446" s="284" t="n">
        <f aca="false">IFERROR(($J446*U446)*$M446, "")</f>
        <v>0</v>
      </c>
      <c r="AY446" s="284" t="n">
        <f aca="false">IFERROR(($J446*V446)*$M446, "")</f>
        <v>0</v>
      </c>
      <c r="AZ446" s="284" t="n">
        <f aca="false">IFERROR(($J446*W446)*$M446, "")</f>
        <v>0</v>
      </c>
      <c r="BA446" s="284" t="n">
        <f aca="false">IFERROR(($J446*X446)*$M446, "")</f>
        <v>0</v>
      </c>
      <c r="BB446" s="284" t="n">
        <f aca="false">IFERROR(($J446*Y446)*$M446, "")</f>
        <v>0</v>
      </c>
      <c r="BC446" s="285" t="n">
        <f aca="false">IFERROR(($J446*Z446)*$M446, "")</f>
        <v>0</v>
      </c>
      <c r="BD446" s="286" t="n">
        <f aca="false">IFERROR(SUMIF($AB$4:$AM$4, "RDEC", AR446:BC446), "")</f>
        <v>0</v>
      </c>
      <c r="BE446" s="286" t="n">
        <f aca="false">IFERROR(SUMIF($AB$4:$AM$4, "SME", AR446:BC446), "")</f>
        <v>0</v>
      </c>
      <c r="BF446" s="286" t="n">
        <f aca="false">IFERROR(SUMIF($AB$4:$AM$4, "De Minimis", AR446:BC446), "")</f>
        <v>0</v>
      </c>
      <c r="BG446" s="287"/>
      <c r="BH446" s="288" t="str">
        <f aca="false">IF((SUM(O446:Z446)&gt;1),"ERROR","")</f>
        <v/>
      </c>
      <c r="BI446" s="287"/>
      <c r="BJ446" s="18" t="str">
        <f aca="false">IF(C432&gt;0, C432, "")</f>
        <v/>
      </c>
      <c r="BL446" s="200"/>
      <c r="BM446" s="200"/>
      <c r="BN446" s="200"/>
    </row>
    <row r="447" customFormat="false" ht="15" hidden="false" customHeight="true" outlineLevel="0" collapsed="false">
      <c r="B447" s="275"/>
      <c r="D447" s="276" t="n">
        <f aca="false">D431</f>
        <v>45505</v>
      </c>
      <c r="E447" s="277" t="n">
        <v>0</v>
      </c>
      <c r="F447" s="277" t="n">
        <v>0</v>
      </c>
      <c r="G447" s="277" t="n">
        <v>0</v>
      </c>
      <c r="H447" s="277" t="n">
        <v>0</v>
      </c>
      <c r="I447" s="277" t="n">
        <v>0</v>
      </c>
      <c r="J447" s="278" t="n">
        <f aca="false">E447+H447+I447</f>
        <v>0</v>
      </c>
      <c r="K447" s="204"/>
      <c r="L447" s="279" t="n">
        <v>1</v>
      </c>
      <c r="M447" s="280" t="n">
        <f aca="false">1-L447</f>
        <v>0</v>
      </c>
      <c r="N447" s="281"/>
      <c r="O447" s="282"/>
      <c r="P447" s="282"/>
      <c r="Q447" s="282"/>
      <c r="R447" s="282"/>
      <c r="S447" s="282"/>
      <c r="T447" s="282"/>
      <c r="U447" s="282"/>
      <c r="V447" s="282"/>
      <c r="W447" s="282"/>
      <c r="X447" s="282"/>
      <c r="Y447" s="282"/>
      <c r="Z447" s="282"/>
      <c r="AA447" s="283"/>
      <c r="AB447" s="284" t="n">
        <f aca="false">IFERROR(($J447*O447)*$L447, "")</f>
        <v>0</v>
      </c>
      <c r="AC447" s="284" t="n">
        <f aca="false">IFERROR(($J447*P447)*$L447, "")</f>
        <v>0</v>
      </c>
      <c r="AD447" s="284" t="n">
        <f aca="false">IFERROR(($J447*Q447)*$L447, "")</f>
        <v>0</v>
      </c>
      <c r="AE447" s="284" t="n">
        <f aca="false">IFERROR(($J447*R447)*$L447, "")</f>
        <v>0</v>
      </c>
      <c r="AF447" s="284" t="n">
        <f aca="false">IFERROR(($J447*S447)*$L447, "")</f>
        <v>0</v>
      </c>
      <c r="AG447" s="284" t="n">
        <f aca="false">IFERROR(($J447*T447)*$L447, "")</f>
        <v>0</v>
      </c>
      <c r="AH447" s="284" t="n">
        <f aca="false">IFERROR(($J447*U447)*$L447, "")</f>
        <v>0</v>
      </c>
      <c r="AI447" s="284" t="n">
        <f aca="false">IFERROR(($J447*V447)*$L447, "")</f>
        <v>0</v>
      </c>
      <c r="AJ447" s="284" t="n">
        <f aca="false">IFERROR(($J447*W447)*$L447, "")</f>
        <v>0</v>
      </c>
      <c r="AK447" s="284" t="n">
        <f aca="false">IFERROR(($J447*X447)*$L447, "")</f>
        <v>0</v>
      </c>
      <c r="AL447" s="284" t="n">
        <f aca="false">IFERROR(($J447*Y447)*$L447, "")</f>
        <v>0</v>
      </c>
      <c r="AM447" s="285" t="n">
        <f aca="false">IFERROR(($J447*Z447)*$L447, "")</f>
        <v>0</v>
      </c>
      <c r="AN447" s="286" t="n">
        <f aca="false">IFERROR(SUMIF($AB$4:$AM$4, "RDEC", AB447:AM447), "")</f>
        <v>0</v>
      </c>
      <c r="AO447" s="286" t="n">
        <f aca="false">IFERROR(SUMIF($AB$4:$AM$4, "SME", AB447:AM447), "")</f>
        <v>0</v>
      </c>
      <c r="AP447" s="286" t="n">
        <f aca="false">IFERROR(SUMIF($AB$4:$AM$4, "De Minimis", AB447:AM447), "")</f>
        <v>0</v>
      </c>
      <c r="AQ447" s="283"/>
      <c r="AR447" s="284" t="n">
        <f aca="false">IFERROR(($J447*O447)*$M447, "")</f>
        <v>0</v>
      </c>
      <c r="AS447" s="284" t="n">
        <f aca="false">IFERROR(($J447*P447)*$M447, "")</f>
        <v>0</v>
      </c>
      <c r="AT447" s="284" t="n">
        <f aca="false">IFERROR(($J447*Q447)*$M447, "")</f>
        <v>0</v>
      </c>
      <c r="AU447" s="284" t="n">
        <f aca="false">IFERROR(($J447*R447)*$M447, "")</f>
        <v>0</v>
      </c>
      <c r="AV447" s="284" t="n">
        <f aca="false">IFERROR(($J447*S447)*$M447, "")</f>
        <v>0</v>
      </c>
      <c r="AW447" s="284" t="n">
        <f aca="false">IFERROR(($J447*T447)*$M447, "")</f>
        <v>0</v>
      </c>
      <c r="AX447" s="284" t="n">
        <f aca="false">IFERROR(($J447*U447)*$M447, "")</f>
        <v>0</v>
      </c>
      <c r="AY447" s="284" t="n">
        <f aca="false">IFERROR(($J447*V447)*$M447, "")</f>
        <v>0</v>
      </c>
      <c r="AZ447" s="284" t="n">
        <f aca="false">IFERROR(($J447*W447)*$M447, "")</f>
        <v>0</v>
      </c>
      <c r="BA447" s="284" t="n">
        <f aca="false">IFERROR(($J447*X447)*$M447, "")</f>
        <v>0</v>
      </c>
      <c r="BB447" s="284" t="n">
        <f aca="false">IFERROR(($J447*Y447)*$M447, "")</f>
        <v>0</v>
      </c>
      <c r="BC447" s="285" t="n">
        <f aca="false">IFERROR(($J447*Z447)*$M447, "")</f>
        <v>0</v>
      </c>
      <c r="BD447" s="286" t="n">
        <f aca="false">IFERROR(SUMIF($AB$4:$AM$4, "RDEC", AR447:BC447), "")</f>
        <v>0</v>
      </c>
      <c r="BE447" s="286" t="n">
        <f aca="false">IFERROR(SUMIF($AB$4:$AM$4, "SME", AR447:BC447), "")</f>
        <v>0</v>
      </c>
      <c r="BF447" s="286" t="n">
        <f aca="false">IFERROR(SUMIF($AB$4:$AM$4, "De Minimis", AR447:BC447), "")</f>
        <v>0</v>
      </c>
      <c r="BG447" s="287"/>
      <c r="BH447" s="288" t="str">
        <f aca="false">IF((SUM(O447:Z447)&gt;1),"ERROR","")</f>
        <v/>
      </c>
      <c r="BI447" s="287"/>
      <c r="BJ447" s="18" t="str">
        <f aca="false">IF(C433&gt;0, C433, "")</f>
        <v/>
      </c>
      <c r="BL447" s="200"/>
      <c r="BM447" s="200"/>
      <c r="BN447" s="200"/>
    </row>
    <row r="448" customFormat="false" ht="15" hidden="false" customHeight="true" outlineLevel="0" collapsed="false">
      <c r="B448" s="275"/>
      <c r="D448" s="276" t="n">
        <f aca="false">D432</f>
        <v>45536</v>
      </c>
      <c r="E448" s="277" t="n">
        <v>0</v>
      </c>
      <c r="F448" s="277" t="n">
        <v>0</v>
      </c>
      <c r="G448" s="277" t="n">
        <v>0</v>
      </c>
      <c r="H448" s="277" t="n">
        <v>0</v>
      </c>
      <c r="I448" s="277" t="n">
        <v>0</v>
      </c>
      <c r="J448" s="278" t="n">
        <f aca="false">E448+H448+I448</f>
        <v>0</v>
      </c>
      <c r="K448" s="204"/>
      <c r="L448" s="279" t="n">
        <v>1</v>
      </c>
      <c r="M448" s="280" t="n">
        <f aca="false">1-L448</f>
        <v>0</v>
      </c>
      <c r="N448" s="281"/>
      <c r="O448" s="282"/>
      <c r="P448" s="282"/>
      <c r="Q448" s="282"/>
      <c r="R448" s="282"/>
      <c r="S448" s="282"/>
      <c r="T448" s="282"/>
      <c r="U448" s="282"/>
      <c r="V448" s="282"/>
      <c r="W448" s="282"/>
      <c r="X448" s="282"/>
      <c r="Y448" s="282"/>
      <c r="Z448" s="282"/>
      <c r="AA448" s="283"/>
      <c r="AB448" s="284" t="n">
        <f aca="false">IFERROR(($J448*O448)*$L448, "")</f>
        <v>0</v>
      </c>
      <c r="AC448" s="284" t="n">
        <f aca="false">IFERROR(($J448*P448)*$L448, "")</f>
        <v>0</v>
      </c>
      <c r="AD448" s="284" t="n">
        <f aca="false">IFERROR(($J448*Q448)*$L448, "")</f>
        <v>0</v>
      </c>
      <c r="AE448" s="284" t="n">
        <f aca="false">IFERROR(($J448*R448)*$L448, "")</f>
        <v>0</v>
      </c>
      <c r="AF448" s="284" t="n">
        <f aca="false">IFERROR(($J448*S448)*$L448, "")</f>
        <v>0</v>
      </c>
      <c r="AG448" s="284" t="n">
        <f aca="false">IFERROR(($J448*T448)*$L448, "")</f>
        <v>0</v>
      </c>
      <c r="AH448" s="284" t="n">
        <f aca="false">IFERROR(($J448*U448)*$L448, "")</f>
        <v>0</v>
      </c>
      <c r="AI448" s="284" t="n">
        <f aca="false">IFERROR(($J448*V448)*$L448, "")</f>
        <v>0</v>
      </c>
      <c r="AJ448" s="284" t="n">
        <f aca="false">IFERROR(($J448*W448)*$L448, "")</f>
        <v>0</v>
      </c>
      <c r="AK448" s="284" t="n">
        <f aca="false">IFERROR(($J448*X448)*$L448, "")</f>
        <v>0</v>
      </c>
      <c r="AL448" s="284" t="n">
        <f aca="false">IFERROR(($J448*Y448)*$L448, "")</f>
        <v>0</v>
      </c>
      <c r="AM448" s="285" t="n">
        <f aca="false">IFERROR(($J448*Z448)*$L448, "")</f>
        <v>0</v>
      </c>
      <c r="AN448" s="286" t="n">
        <f aca="false">IFERROR(SUMIF($AB$4:$AM$4, "RDEC", AB448:AM448), "")</f>
        <v>0</v>
      </c>
      <c r="AO448" s="286" t="n">
        <f aca="false">IFERROR(SUMIF($AB$4:$AM$4, "SME", AB448:AM448), "")</f>
        <v>0</v>
      </c>
      <c r="AP448" s="286" t="n">
        <f aca="false">IFERROR(SUMIF($AB$4:$AM$4, "De Minimis", AB448:AM448), "")</f>
        <v>0</v>
      </c>
      <c r="AQ448" s="283"/>
      <c r="AR448" s="284" t="n">
        <f aca="false">IFERROR(($J448*O448)*$M448, "")</f>
        <v>0</v>
      </c>
      <c r="AS448" s="284" t="n">
        <f aca="false">IFERROR(($J448*P448)*$M448, "")</f>
        <v>0</v>
      </c>
      <c r="AT448" s="284" t="n">
        <f aca="false">IFERROR(($J448*Q448)*$M448, "")</f>
        <v>0</v>
      </c>
      <c r="AU448" s="284" t="n">
        <f aca="false">IFERROR(($J448*R448)*$M448, "")</f>
        <v>0</v>
      </c>
      <c r="AV448" s="284" t="n">
        <f aca="false">IFERROR(($J448*S448)*$M448, "")</f>
        <v>0</v>
      </c>
      <c r="AW448" s="284" t="n">
        <f aca="false">IFERROR(($J448*T448)*$M448, "")</f>
        <v>0</v>
      </c>
      <c r="AX448" s="284" t="n">
        <f aca="false">IFERROR(($J448*U448)*$M448, "")</f>
        <v>0</v>
      </c>
      <c r="AY448" s="284" t="n">
        <f aca="false">IFERROR(($J448*V448)*$M448, "")</f>
        <v>0</v>
      </c>
      <c r="AZ448" s="284" t="n">
        <f aca="false">IFERROR(($J448*W448)*$M448, "")</f>
        <v>0</v>
      </c>
      <c r="BA448" s="284" t="n">
        <f aca="false">IFERROR(($J448*X448)*$M448, "")</f>
        <v>0</v>
      </c>
      <c r="BB448" s="284" t="n">
        <f aca="false">IFERROR(($J448*Y448)*$M448, "")</f>
        <v>0</v>
      </c>
      <c r="BC448" s="285" t="n">
        <f aca="false">IFERROR(($J448*Z448)*$M448, "")</f>
        <v>0</v>
      </c>
      <c r="BD448" s="286" t="n">
        <f aca="false">IFERROR(SUMIF($AB$4:$AM$4, "RDEC", AR448:BC448), "")</f>
        <v>0</v>
      </c>
      <c r="BE448" s="286" t="n">
        <f aca="false">IFERROR(SUMIF($AB$4:$AM$4, "SME", AR448:BC448), "")</f>
        <v>0</v>
      </c>
      <c r="BF448" s="286" t="n">
        <f aca="false">IFERROR(SUMIF($AB$4:$AM$4, "De Minimis", AR448:BC448), "")</f>
        <v>0</v>
      </c>
      <c r="BG448" s="287"/>
      <c r="BH448" s="288" t="str">
        <f aca="false">IF((SUM(O448:Z448)&gt;1),"ERROR","")</f>
        <v/>
      </c>
      <c r="BI448" s="287"/>
      <c r="BJ448" s="18" t="str">
        <f aca="false">IF(C434&gt;0, C434, "")</f>
        <v/>
      </c>
      <c r="BL448" s="200"/>
      <c r="BM448" s="200"/>
      <c r="BN448" s="200"/>
    </row>
    <row r="449" customFormat="false" ht="15" hidden="false" customHeight="true" outlineLevel="0" collapsed="false">
      <c r="B449" s="275"/>
      <c r="D449" s="276" t="n">
        <f aca="false">D433</f>
        <v>45566</v>
      </c>
      <c r="E449" s="277" t="n">
        <v>0</v>
      </c>
      <c r="F449" s="277" t="n">
        <v>0</v>
      </c>
      <c r="G449" s="277" t="n">
        <v>0</v>
      </c>
      <c r="H449" s="277" t="n">
        <v>0</v>
      </c>
      <c r="I449" s="277" t="n">
        <v>0</v>
      </c>
      <c r="J449" s="278" t="n">
        <f aca="false">E449+H449+I449</f>
        <v>0</v>
      </c>
      <c r="K449" s="204"/>
      <c r="L449" s="279" t="n">
        <v>1</v>
      </c>
      <c r="M449" s="280" t="n">
        <f aca="false">1-L449</f>
        <v>0</v>
      </c>
      <c r="N449" s="281"/>
      <c r="O449" s="282"/>
      <c r="P449" s="282"/>
      <c r="Q449" s="282"/>
      <c r="R449" s="282"/>
      <c r="S449" s="282"/>
      <c r="T449" s="282"/>
      <c r="U449" s="282"/>
      <c r="V449" s="282"/>
      <c r="W449" s="282"/>
      <c r="X449" s="282"/>
      <c r="Y449" s="282"/>
      <c r="Z449" s="282"/>
      <c r="AA449" s="283"/>
      <c r="AB449" s="284" t="n">
        <f aca="false">IFERROR(($J449*O449)*$L449, "")</f>
        <v>0</v>
      </c>
      <c r="AC449" s="284" t="n">
        <f aca="false">IFERROR(($J449*P449)*$L449, "")</f>
        <v>0</v>
      </c>
      <c r="AD449" s="284" t="n">
        <f aca="false">IFERROR(($J449*Q449)*$L449, "")</f>
        <v>0</v>
      </c>
      <c r="AE449" s="284" t="n">
        <f aca="false">IFERROR(($J449*R449)*$L449, "")</f>
        <v>0</v>
      </c>
      <c r="AF449" s="284" t="n">
        <f aca="false">IFERROR(($J449*S449)*$L449, "")</f>
        <v>0</v>
      </c>
      <c r="AG449" s="284" t="n">
        <f aca="false">IFERROR(($J449*T449)*$L449, "")</f>
        <v>0</v>
      </c>
      <c r="AH449" s="284" t="n">
        <f aca="false">IFERROR(($J449*U449)*$L449, "")</f>
        <v>0</v>
      </c>
      <c r="AI449" s="284" t="n">
        <f aca="false">IFERROR(($J449*V449)*$L449, "")</f>
        <v>0</v>
      </c>
      <c r="AJ449" s="284" t="n">
        <f aca="false">IFERROR(($J449*W449)*$L449, "")</f>
        <v>0</v>
      </c>
      <c r="AK449" s="284" t="n">
        <f aca="false">IFERROR(($J449*X449)*$L449, "")</f>
        <v>0</v>
      </c>
      <c r="AL449" s="284" t="n">
        <f aca="false">IFERROR(($J449*Y449)*$L449, "")</f>
        <v>0</v>
      </c>
      <c r="AM449" s="285" t="n">
        <f aca="false">IFERROR(($J449*Z449)*$L449, "")</f>
        <v>0</v>
      </c>
      <c r="AN449" s="286" t="n">
        <f aca="false">IFERROR(SUMIF($AB$4:$AM$4, "RDEC", AB449:AM449), "")</f>
        <v>0</v>
      </c>
      <c r="AO449" s="286" t="n">
        <f aca="false">IFERROR(SUMIF($AB$4:$AM$4, "SME", AB449:AM449), "")</f>
        <v>0</v>
      </c>
      <c r="AP449" s="286" t="n">
        <f aca="false">IFERROR(SUMIF($AB$4:$AM$4, "De Minimis", AB449:AM449), "")</f>
        <v>0</v>
      </c>
      <c r="AQ449" s="283"/>
      <c r="AR449" s="284" t="n">
        <f aca="false">IFERROR(($J449*O449)*$M449, "")</f>
        <v>0</v>
      </c>
      <c r="AS449" s="284" t="n">
        <f aca="false">IFERROR(($J449*P449)*$M449, "")</f>
        <v>0</v>
      </c>
      <c r="AT449" s="284" t="n">
        <f aca="false">IFERROR(($J449*Q449)*$M449, "")</f>
        <v>0</v>
      </c>
      <c r="AU449" s="284" t="n">
        <f aca="false">IFERROR(($J449*R449)*$M449, "")</f>
        <v>0</v>
      </c>
      <c r="AV449" s="284" t="n">
        <f aca="false">IFERROR(($J449*S449)*$M449, "")</f>
        <v>0</v>
      </c>
      <c r="AW449" s="284" t="n">
        <f aca="false">IFERROR(($J449*T449)*$M449, "")</f>
        <v>0</v>
      </c>
      <c r="AX449" s="284" t="n">
        <f aca="false">IFERROR(($J449*U449)*$M449, "")</f>
        <v>0</v>
      </c>
      <c r="AY449" s="284" t="n">
        <f aca="false">IFERROR(($J449*V449)*$M449, "")</f>
        <v>0</v>
      </c>
      <c r="AZ449" s="284" t="n">
        <f aca="false">IFERROR(($J449*W449)*$M449, "")</f>
        <v>0</v>
      </c>
      <c r="BA449" s="284" t="n">
        <f aca="false">IFERROR(($J449*X449)*$M449, "")</f>
        <v>0</v>
      </c>
      <c r="BB449" s="284" t="n">
        <f aca="false">IFERROR(($J449*Y449)*$M449, "")</f>
        <v>0</v>
      </c>
      <c r="BC449" s="285" t="n">
        <f aca="false">IFERROR(($J449*Z449)*$M449, "")</f>
        <v>0</v>
      </c>
      <c r="BD449" s="286" t="n">
        <f aca="false">IFERROR(SUMIF($AB$4:$AM$4, "RDEC", AR449:BC449), "")</f>
        <v>0</v>
      </c>
      <c r="BE449" s="286" t="n">
        <f aca="false">IFERROR(SUMIF($AB$4:$AM$4, "SME", AR449:BC449), "")</f>
        <v>0</v>
      </c>
      <c r="BF449" s="286" t="n">
        <f aca="false">IFERROR(SUMIF($AB$4:$AM$4, "De Minimis", AR449:BC449), "")</f>
        <v>0</v>
      </c>
      <c r="BG449" s="287"/>
      <c r="BH449" s="288" t="str">
        <f aca="false">IF((SUM(O449:Z449)&gt;1),"ERROR","")</f>
        <v/>
      </c>
      <c r="BI449" s="287"/>
      <c r="BJ449" s="18" t="str">
        <f aca="false">IF(C435&gt;0, C435, "")</f>
        <v/>
      </c>
      <c r="BL449" s="200"/>
      <c r="BM449" s="200"/>
      <c r="BN449" s="200"/>
    </row>
    <row r="450" customFormat="false" ht="15" hidden="false" customHeight="true" outlineLevel="0" collapsed="false">
      <c r="B450" s="275"/>
      <c r="D450" s="276" t="n">
        <f aca="false">D434</f>
        <v>45597</v>
      </c>
      <c r="E450" s="277" t="n">
        <v>0</v>
      </c>
      <c r="F450" s="277" t="n">
        <v>0</v>
      </c>
      <c r="G450" s="277" t="n">
        <v>0</v>
      </c>
      <c r="H450" s="277" t="n">
        <v>0</v>
      </c>
      <c r="I450" s="277" t="n">
        <v>0</v>
      </c>
      <c r="J450" s="278" t="n">
        <f aca="false">E450+H450+I450</f>
        <v>0</v>
      </c>
      <c r="K450" s="204"/>
      <c r="L450" s="279" t="n">
        <v>1</v>
      </c>
      <c r="M450" s="280" t="n">
        <f aca="false">1-L450</f>
        <v>0</v>
      </c>
      <c r="N450" s="281"/>
      <c r="O450" s="282"/>
      <c r="P450" s="282"/>
      <c r="Q450" s="282"/>
      <c r="R450" s="282"/>
      <c r="S450" s="282"/>
      <c r="T450" s="282"/>
      <c r="U450" s="282"/>
      <c r="V450" s="282"/>
      <c r="W450" s="282"/>
      <c r="X450" s="282"/>
      <c r="Y450" s="282"/>
      <c r="Z450" s="282"/>
      <c r="AA450" s="283"/>
      <c r="AB450" s="284" t="n">
        <f aca="false">IFERROR(($J450*O450)*$L450, "")</f>
        <v>0</v>
      </c>
      <c r="AC450" s="284" t="n">
        <f aca="false">IFERROR(($J450*P450)*$L450, "")</f>
        <v>0</v>
      </c>
      <c r="AD450" s="284" t="n">
        <f aca="false">IFERROR(($J450*Q450)*$L450, "")</f>
        <v>0</v>
      </c>
      <c r="AE450" s="284" t="n">
        <f aca="false">IFERROR(($J450*R450)*$L450, "")</f>
        <v>0</v>
      </c>
      <c r="AF450" s="284" t="n">
        <f aca="false">IFERROR(($J450*S450)*$L450, "")</f>
        <v>0</v>
      </c>
      <c r="AG450" s="284" t="n">
        <f aca="false">IFERROR(($J450*T450)*$L450, "")</f>
        <v>0</v>
      </c>
      <c r="AH450" s="284" t="n">
        <f aca="false">IFERROR(($J450*U450)*$L450, "")</f>
        <v>0</v>
      </c>
      <c r="AI450" s="284" t="n">
        <f aca="false">IFERROR(($J450*V450)*$L450, "")</f>
        <v>0</v>
      </c>
      <c r="AJ450" s="284" t="n">
        <f aca="false">IFERROR(($J450*W450)*$L450, "")</f>
        <v>0</v>
      </c>
      <c r="AK450" s="284" t="n">
        <f aca="false">IFERROR(($J450*X450)*$L450, "")</f>
        <v>0</v>
      </c>
      <c r="AL450" s="284" t="n">
        <f aca="false">IFERROR(($J450*Y450)*$L450, "")</f>
        <v>0</v>
      </c>
      <c r="AM450" s="285" t="n">
        <f aca="false">IFERROR(($J450*Z450)*$L450, "")</f>
        <v>0</v>
      </c>
      <c r="AN450" s="286" t="n">
        <f aca="false">IFERROR(SUMIF($AB$4:$AM$4, "RDEC", AB450:AM450), "")</f>
        <v>0</v>
      </c>
      <c r="AO450" s="286" t="n">
        <f aca="false">IFERROR(SUMIF($AB$4:$AM$4, "SME", AB450:AM450), "")</f>
        <v>0</v>
      </c>
      <c r="AP450" s="286" t="n">
        <f aca="false">IFERROR(SUMIF($AB$4:$AM$4, "De Minimis", AB450:AM450), "")</f>
        <v>0</v>
      </c>
      <c r="AQ450" s="283"/>
      <c r="AR450" s="284" t="n">
        <f aca="false">IFERROR(($J450*O450)*$M450, "")</f>
        <v>0</v>
      </c>
      <c r="AS450" s="284" t="n">
        <f aca="false">IFERROR(($J450*P450)*$M450, "")</f>
        <v>0</v>
      </c>
      <c r="AT450" s="284" t="n">
        <f aca="false">IFERROR(($J450*Q450)*$M450, "")</f>
        <v>0</v>
      </c>
      <c r="AU450" s="284" t="n">
        <f aca="false">IFERROR(($J450*R450)*$M450, "")</f>
        <v>0</v>
      </c>
      <c r="AV450" s="284" t="n">
        <f aca="false">IFERROR(($J450*S450)*$M450, "")</f>
        <v>0</v>
      </c>
      <c r="AW450" s="284" t="n">
        <f aca="false">IFERROR(($J450*T450)*$M450, "")</f>
        <v>0</v>
      </c>
      <c r="AX450" s="284" t="n">
        <f aca="false">IFERROR(($J450*U450)*$M450, "")</f>
        <v>0</v>
      </c>
      <c r="AY450" s="284" t="n">
        <f aca="false">IFERROR(($J450*V450)*$M450, "")</f>
        <v>0</v>
      </c>
      <c r="AZ450" s="284" t="n">
        <f aca="false">IFERROR(($J450*W450)*$M450, "")</f>
        <v>0</v>
      </c>
      <c r="BA450" s="284" t="n">
        <f aca="false">IFERROR(($J450*X450)*$M450, "")</f>
        <v>0</v>
      </c>
      <c r="BB450" s="284" t="n">
        <f aca="false">IFERROR(($J450*Y450)*$M450, "")</f>
        <v>0</v>
      </c>
      <c r="BC450" s="285" t="n">
        <f aca="false">IFERROR(($J450*Z450)*$M450, "")</f>
        <v>0</v>
      </c>
      <c r="BD450" s="286" t="n">
        <f aca="false">IFERROR(SUMIF($AB$4:$AM$4, "RDEC", AR450:BC450), "")</f>
        <v>0</v>
      </c>
      <c r="BE450" s="286" t="n">
        <f aca="false">IFERROR(SUMIF($AB$4:$AM$4, "SME", AR450:BC450), "")</f>
        <v>0</v>
      </c>
      <c r="BF450" s="286" t="n">
        <f aca="false">IFERROR(SUMIF($AB$4:$AM$4, "De Minimis", AR450:BC450), "")</f>
        <v>0</v>
      </c>
      <c r="BG450" s="287"/>
      <c r="BH450" s="288" t="str">
        <f aca="false">IF((SUM(O450:Z450)&gt;1),"ERROR","")</f>
        <v/>
      </c>
      <c r="BI450" s="287"/>
      <c r="BJ450" s="18" t="str">
        <f aca="false">IF(C436&gt;0, C436, "")</f>
        <v/>
      </c>
      <c r="BL450" s="200"/>
      <c r="BM450" s="200"/>
      <c r="BN450" s="200"/>
    </row>
    <row r="451" customFormat="false" ht="15" hidden="false" customHeight="true" outlineLevel="0" collapsed="false">
      <c r="B451" s="275"/>
      <c r="D451" s="276" t="n">
        <f aca="false">D435</f>
        <v>45627</v>
      </c>
      <c r="E451" s="277" t="n">
        <v>0</v>
      </c>
      <c r="F451" s="277" t="n">
        <v>0</v>
      </c>
      <c r="G451" s="277" t="n">
        <v>0</v>
      </c>
      <c r="H451" s="277" t="n">
        <v>0</v>
      </c>
      <c r="I451" s="277" t="n">
        <v>0</v>
      </c>
      <c r="J451" s="278" t="n">
        <f aca="false">E451+H451+I451</f>
        <v>0</v>
      </c>
      <c r="K451" s="204"/>
      <c r="L451" s="289" t="n">
        <v>1</v>
      </c>
      <c r="M451" s="290" t="n">
        <f aca="false">1-L451</f>
        <v>0</v>
      </c>
      <c r="N451" s="281"/>
      <c r="O451" s="291"/>
      <c r="P451" s="291"/>
      <c r="Q451" s="291"/>
      <c r="R451" s="291"/>
      <c r="S451" s="291"/>
      <c r="T451" s="291"/>
      <c r="U451" s="291"/>
      <c r="V451" s="291"/>
      <c r="W451" s="291"/>
      <c r="X451" s="291"/>
      <c r="Y451" s="291"/>
      <c r="Z451" s="291"/>
      <c r="AA451" s="283"/>
      <c r="AB451" s="292" t="n">
        <f aca="false">IFERROR(($J451*O451)*$L451, "")</f>
        <v>0</v>
      </c>
      <c r="AC451" s="292" t="n">
        <f aca="false">IFERROR(($J451*P451)*$L451, "")</f>
        <v>0</v>
      </c>
      <c r="AD451" s="292" t="n">
        <f aca="false">IFERROR(($J451*Q451)*$L451, "")</f>
        <v>0</v>
      </c>
      <c r="AE451" s="292" t="n">
        <f aca="false">IFERROR(($J451*R451)*$L451, "")</f>
        <v>0</v>
      </c>
      <c r="AF451" s="292" t="n">
        <f aca="false">IFERROR(($J451*S451)*$L451, "")</f>
        <v>0</v>
      </c>
      <c r="AG451" s="292" t="n">
        <f aca="false">IFERROR(($J451*T451)*$L451, "")</f>
        <v>0</v>
      </c>
      <c r="AH451" s="292" t="n">
        <f aca="false">IFERROR(($J451*U451)*$L451, "")</f>
        <v>0</v>
      </c>
      <c r="AI451" s="292" t="n">
        <f aca="false">IFERROR(($J451*V451)*$L451, "")</f>
        <v>0</v>
      </c>
      <c r="AJ451" s="292" t="n">
        <f aca="false">IFERROR(($J451*W451)*$L451, "")</f>
        <v>0</v>
      </c>
      <c r="AK451" s="292" t="n">
        <f aca="false">IFERROR(($J451*X451)*$L451, "")</f>
        <v>0</v>
      </c>
      <c r="AL451" s="292" t="n">
        <f aca="false">IFERROR(($J451*Y451)*$L451, "")</f>
        <v>0</v>
      </c>
      <c r="AM451" s="293" t="n">
        <f aca="false">IFERROR(($J451*Z451)*$L451, "")</f>
        <v>0</v>
      </c>
      <c r="AN451" s="294" t="n">
        <f aca="false">IFERROR(SUMIF($AB$4:$AM$4, "RDEC", AB451:AM451), "")</f>
        <v>0</v>
      </c>
      <c r="AO451" s="294" t="n">
        <f aca="false">IFERROR(SUMIF($AB$4:$AM$4, "SME", AB451:AM451), "")</f>
        <v>0</v>
      </c>
      <c r="AP451" s="294" t="n">
        <f aca="false">IFERROR(SUMIF($AB$4:$AM$4, "De Minimis", AB451:AM451), "")</f>
        <v>0</v>
      </c>
      <c r="AQ451" s="283"/>
      <c r="AR451" s="292" t="n">
        <f aca="false">IFERROR(($J451*O451)*$M451, "")</f>
        <v>0</v>
      </c>
      <c r="AS451" s="292" t="n">
        <f aca="false">IFERROR(($J451*P451)*$M451, "")</f>
        <v>0</v>
      </c>
      <c r="AT451" s="292" t="n">
        <f aca="false">IFERROR(($J451*Q451)*$M451, "")</f>
        <v>0</v>
      </c>
      <c r="AU451" s="292" t="n">
        <f aca="false">IFERROR(($J451*R451)*$M451, "")</f>
        <v>0</v>
      </c>
      <c r="AV451" s="292" t="n">
        <f aca="false">IFERROR(($J451*S451)*$M451, "")</f>
        <v>0</v>
      </c>
      <c r="AW451" s="292" t="n">
        <f aca="false">IFERROR(($J451*T451)*$M451, "")</f>
        <v>0</v>
      </c>
      <c r="AX451" s="292" t="n">
        <f aca="false">IFERROR(($J451*U451)*$M451, "")</f>
        <v>0</v>
      </c>
      <c r="AY451" s="292" t="n">
        <f aca="false">IFERROR(($J451*V451)*$M451, "")</f>
        <v>0</v>
      </c>
      <c r="AZ451" s="292" t="n">
        <f aca="false">IFERROR(($J451*W451)*$M451, "")</f>
        <v>0</v>
      </c>
      <c r="BA451" s="292" t="n">
        <f aca="false">IFERROR(($J451*X451)*$M451, "")</f>
        <v>0</v>
      </c>
      <c r="BB451" s="292" t="n">
        <f aca="false">IFERROR(($J451*Y451)*$M451, "")</f>
        <v>0</v>
      </c>
      <c r="BC451" s="293" t="n">
        <f aca="false">IFERROR(($J451*Z451)*$M451, "")</f>
        <v>0</v>
      </c>
      <c r="BD451" s="294" t="n">
        <f aca="false">IFERROR(SUMIF($AB$4:$AM$4, "RDEC", AR451:BC451), "")</f>
        <v>0</v>
      </c>
      <c r="BE451" s="294" t="n">
        <f aca="false">IFERROR(SUMIF($AB$4:$AM$4, "SME", AR451:BC451), "")</f>
        <v>0</v>
      </c>
      <c r="BF451" s="294" t="n">
        <f aca="false">IFERROR(SUMIF($AB$4:$AM$4, "De Minimis", AR451:BC451), "")</f>
        <v>0</v>
      </c>
      <c r="BG451" s="287"/>
      <c r="BH451" s="295" t="str">
        <f aca="false">IF((SUM(O451:Z451)&gt;1),"ERROR","")</f>
        <v/>
      </c>
      <c r="BI451" s="287"/>
      <c r="BJ451" s="18" t="str">
        <f aca="false">IF(C437&gt;0, C437, "")</f>
        <v/>
      </c>
      <c r="BL451" s="200"/>
      <c r="BM451" s="200"/>
      <c r="BN451" s="200"/>
    </row>
    <row r="452" customFormat="false" ht="15" hidden="false" customHeight="true" outlineLevel="0" collapsed="false">
      <c r="B452" s="296"/>
      <c r="D452" s="297" t="s">
        <v>82</v>
      </c>
      <c r="E452" s="298" t="n">
        <f aca="false">SUM(E440:E451)</f>
        <v>0</v>
      </c>
      <c r="F452" s="298" t="n">
        <f aca="false">SUM(F440:F451)</f>
        <v>0</v>
      </c>
      <c r="G452" s="298" t="n">
        <f aca="false">SUM(G440:G451)</f>
        <v>0</v>
      </c>
      <c r="H452" s="298" t="n">
        <f aca="false">SUM(H440:H451)</f>
        <v>0</v>
      </c>
      <c r="I452" s="298" t="n">
        <f aca="false">SUM(I440:I451)</f>
        <v>0</v>
      </c>
      <c r="J452" s="299" t="n">
        <f aca="false">SUM(J440:J451)</f>
        <v>0</v>
      </c>
      <c r="K452" s="300"/>
      <c r="L452" s="301" t="n">
        <f aca="false">AVERAGE(L440:L451)</f>
        <v>1</v>
      </c>
      <c r="M452" s="301" t="n">
        <f aca="false">AVERAGE(M440:M451)</f>
        <v>0</v>
      </c>
      <c r="N452" s="302"/>
      <c r="O452" s="290" t="n">
        <f aca="false">IF(SUM(O440:O451)&gt;0,((AB452+AR452)/J452),0)</f>
        <v>0</v>
      </c>
      <c r="P452" s="290" t="n">
        <f aca="false">IF(SUM(P440:P451)&gt;0,((AC452+AS452)/J452),0)</f>
        <v>0</v>
      </c>
      <c r="Q452" s="290" t="n">
        <f aca="false">IF(SUM(Q440:Q451)&gt;0,((AD452+AT452)/J452),0)</f>
        <v>0</v>
      </c>
      <c r="R452" s="290" t="n">
        <f aca="false">IF(SUM(R440:R451)&gt;0,((AE452+AU452)/J452),0)</f>
        <v>0</v>
      </c>
      <c r="S452" s="290" t="n">
        <f aca="false">IF(SUM(S440:S451)&gt;0,((AF452+AV452)/J452),0)</f>
        <v>0</v>
      </c>
      <c r="T452" s="290" t="n">
        <f aca="false">IF(SUM(T440:T451)&gt;0,((AG452+AW452)/J452),0)</f>
        <v>0</v>
      </c>
      <c r="U452" s="290" t="n">
        <f aca="false">IF(SUM(U440:U451)&gt;0,((AH452+AX452)/J452),0)</f>
        <v>0</v>
      </c>
      <c r="V452" s="290" t="n">
        <f aca="false">IF(SUM(V440:V451)&gt;0,((AI452+AY452)/J452),0)</f>
        <v>0</v>
      </c>
      <c r="W452" s="290" t="n">
        <f aca="false">IF(SUM(W440:W451)&gt;0,((AJ452+AZ452)/J452),0)</f>
        <v>0</v>
      </c>
      <c r="X452" s="290" t="n">
        <f aca="false">IF(SUM(X440:X451)&gt;0,((AK452+BA452)/J452),0)</f>
        <v>0</v>
      </c>
      <c r="Y452" s="290" t="n">
        <f aca="false">IF(SUM(Y440:Y451)&gt;0,((AL452+BB452)/J452),0)</f>
        <v>0</v>
      </c>
      <c r="Z452" s="290" t="n">
        <f aca="false">IF(SUM(Z440:Z451)&gt;0,((AM452+BC452)/J452),0)</f>
        <v>0</v>
      </c>
      <c r="AA452" s="303"/>
      <c r="AB452" s="292" t="n">
        <f aca="false">SUM(AB440:AB451)</f>
        <v>0</v>
      </c>
      <c r="AC452" s="304" t="n">
        <f aca="false">SUM(AC440:AC451)</f>
        <v>0</v>
      </c>
      <c r="AD452" s="304" t="n">
        <f aca="false">SUM(AD440:AD451)</f>
        <v>0</v>
      </c>
      <c r="AE452" s="304" t="n">
        <f aca="false">SUM(AE440:AE451)</f>
        <v>0</v>
      </c>
      <c r="AF452" s="304" t="n">
        <f aca="false">SUM(AF440:AF451)</f>
        <v>0</v>
      </c>
      <c r="AG452" s="304" t="n">
        <f aca="false">SUM(AG440:AG451)</f>
        <v>0</v>
      </c>
      <c r="AH452" s="304" t="n">
        <f aca="false">SUM(AH440:AH451)</f>
        <v>0</v>
      </c>
      <c r="AI452" s="304" t="n">
        <f aca="false">SUM(AI440:AI451)</f>
        <v>0</v>
      </c>
      <c r="AJ452" s="304" t="n">
        <f aca="false">SUM(AJ440:AJ451)</f>
        <v>0</v>
      </c>
      <c r="AK452" s="304" t="n">
        <f aca="false">SUM(AK440:AK451)</f>
        <v>0</v>
      </c>
      <c r="AL452" s="304" t="n">
        <f aca="false">SUM(AL440:AL451)</f>
        <v>0</v>
      </c>
      <c r="AM452" s="304" t="n">
        <f aca="false">SUM(AM440:AM451)</f>
        <v>0</v>
      </c>
      <c r="AN452" s="305" t="n">
        <f aca="false">SUM(AN440:AN451)</f>
        <v>0</v>
      </c>
      <c r="AO452" s="305" t="n">
        <f aca="false">SUM(AO440:AO451)</f>
        <v>0</v>
      </c>
      <c r="AP452" s="305" t="n">
        <f aca="false">SUM(AP440:AP451)</f>
        <v>0</v>
      </c>
      <c r="AQ452" s="303"/>
      <c r="AR452" s="292" t="n">
        <f aca="false">SUM(AR440:AR451)</f>
        <v>0</v>
      </c>
      <c r="AS452" s="304" t="n">
        <f aca="false">SUM(AS440:AS451)</f>
        <v>0</v>
      </c>
      <c r="AT452" s="304" t="n">
        <f aca="false">SUM(AT440:AT451)</f>
        <v>0</v>
      </c>
      <c r="AU452" s="304" t="n">
        <f aca="false">SUM(AU440:AU451)</f>
        <v>0</v>
      </c>
      <c r="AV452" s="304" t="n">
        <f aca="false">SUM(AV440:AV451)</f>
        <v>0</v>
      </c>
      <c r="AW452" s="304" t="n">
        <f aca="false">SUM(AW440:AW451)</f>
        <v>0</v>
      </c>
      <c r="AX452" s="304" t="n">
        <f aca="false">SUM(AX440:AX451)</f>
        <v>0</v>
      </c>
      <c r="AY452" s="304" t="n">
        <f aca="false">SUM(AY440:AY451)</f>
        <v>0</v>
      </c>
      <c r="AZ452" s="304" t="n">
        <f aca="false">SUM(AZ440:AZ451)</f>
        <v>0</v>
      </c>
      <c r="BA452" s="304" t="n">
        <f aca="false">SUM(BA440:BA451)</f>
        <v>0</v>
      </c>
      <c r="BB452" s="304" t="n">
        <f aca="false">SUM(BB440:BB451)</f>
        <v>0</v>
      </c>
      <c r="BC452" s="304" t="n">
        <f aca="false">SUM(BC440:BC451)</f>
        <v>0</v>
      </c>
      <c r="BD452" s="305" t="n">
        <f aca="false">SUM(BD440:BD451)</f>
        <v>0</v>
      </c>
      <c r="BE452" s="305" t="n">
        <f aca="false">SUM(BE440:BE451)</f>
        <v>0</v>
      </c>
      <c r="BF452" s="305" t="n">
        <f aca="false">SUM(BF440:BF451)</f>
        <v>0</v>
      </c>
      <c r="BG452" s="303"/>
      <c r="BH452" s="306"/>
      <c r="BI452" s="303"/>
      <c r="BJ452" s="307" t="str">
        <f aca="false">IF(C438&gt;0, C438, "")</f>
        <v>TBA</v>
      </c>
      <c r="BK452" s="18" t="s">
        <v>234</v>
      </c>
      <c r="BL452" s="200" t="n">
        <f aca="false">IF($BK452="Y",J452,0)</f>
        <v>0</v>
      </c>
      <c r="BM452" s="200" t="n">
        <f aca="false">IF(BK452="Y", AN452,0)</f>
        <v>0</v>
      </c>
      <c r="BN452" s="200" t="n">
        <f aca="false">IF((BK452="Y"),AO452,0)</f>
        <v>0</v>
      </c>
    </row>
    <row r="453" customFormat="false" ht="15" hidden="false" customHeight="true" outlineLevel="0" collapsed="false">
      <c r="B453" s="296"/>
      <c r="D453" s="297"/>
      <c r="E453" s="277"/>
      <c r="F453" s="277"/>
      <c r="G453" s="277"/>
      <c r="H453" s="277"/>
      <c r="I453" s="277"/>
      <c r="J453" s="300"/>
      <c r="K453" s="300"/>
      <c r="L453" s="302"/>
      <c r="M453" s="302"/>
      <c r="N453" s="302"/>
      <c r="O453" s="308"/>
      <c r="P453" s="308"/>
      <c r="Q453" s="308"/>
      <c r="R453" s="308"/>
      <c r="S453" s="308"/>
      <c r="T453" s="308"/>
      <c r="U453" s="308"/>
      <c r="V453" s="308"/>
      <c r="W453" s="308"/>
      <c r="X453" s="308"/>
      <c r="Y453" s="308"/>
      <c r="Z453" s="308"/>
      <c r="AA453" s="303"/>
      <c r="AB453" s="303"/>
      <c r="AC453" s="303"/>
      <c r="AD453" s="303"/>
      <c r="AE453" s="303"/>
      <c r="AF453" s="303"/>
      <c r="AG453" s="303"/>
      <c r="AH453" s="303"/>
      <c r="AI453" s="303"/>
      <c r="AJ453" s="303"/>
      <c r="AK453" s="303"/>
      <c r="AL453" s="303"/>
      <c r="AM453" s="303"/>
      <c r="AN453" s="303"/>
      <c r="AO453" s="303"/>
      <c r="AP453" s="303"/>
      <c r="AQ453" s="303"/>
      <c r="AR453" s="303"/>
      <c r="AS453" s="303"/>
      <c r="AT453" s="303"/>
      <c r="AU453" s="303"/>
      <c r="AV453" s="303"/>
      <c r="AW453" s="303"/>
      <c r="AX453" s="303"/>
      <c r="AY453" s="303"/>
      <c r="AZ453" s="303"/>
      <c r="BA453" s="303"/>
      <c r="BB453" s="303"/>
      <c r="BC453" s="303"/>
      <c r="BD453" s="303"/>
      <c r="BE453" s="303"/>
      <c r="BF453" s="303"/>
      <c r="BG453" s="303"/>
      <c r="BH453" s="303"/>
      <c r="BI453" s="303"/>
      <c r="BJ453" s="307" t="str">
        <f aca="false">IF(C440&gt;0, C440, "")</f>
        <v/>
      </c>
      <c r="BL453" s="200"/>
      <c r="BM453" s="200"/>
      <c r="BN453" s="200"/>
    </row>
    <row r="454" customFormat="false" ht="15" hidden="false" customHeight="true" outlineLevel="0" collapsed="false">
      <c r="A454" s="198" t="n">
        <f aca="false">A438+1</f>
        <v>29</v>
      </c>
      <c r="B454" s="266" t="s">
        <v>253</v>
      </c>
      <c r="C454" s="266" t="s">
        <v>253</v>
      </c>
      <c r="D454" s="267"/>
      <c r="E454" s="242"/>
      <c r="F454" s="242"/>
      <c r="G454" s="242"/>
      <c r="H454" s="242"/>
      <c r="I454" s="242"/>
      <c r="J454" s="241"/>
      <c r="K454" s="241"/>
      <c r="L454" s="241"/>
      <c r="M454" s="241"/>
      <c r="N454" s="241"/>
      <c r="O454" s="268"/>
      <c r="P454" s="268"/>
      <c r="Q454" s="268"/>
      <c r="R454" s="268"/>
      <c r="S454" s="268"/>
      <c r="T454" s="268"/>
      <c r="U454" s="268"/>
      <c r="V454" s="268"/>
      <c r="W454" s="268"/>
      <c r="X454" s="268"/>
      <c r="Y454" s="268"/>
      <c r="Z454" s="268"/>
      <c r="AA454" s="268"/>
      <c r="AB454" s="268"/>
      <c r="AC454" s="268"/>
      <c r="AD454" s="268"/>
      <c r="AE454" s="268"/>
      <c r="AF454" s="268"/>
      <c r="AG454" s="268"/>
      <c r="AH454" s="268"/>
      <c r="AI454" s="268"/>
      <c r="AJ454" s="268"/>
      <c r="AK454" s="268"/>
      <c r="AL454" s="268"/>
      <c r="AM454" s="268"/>
      <c r="AN454" s="268"/>
      <c r="AO454" s="268"/>
      <c r="AP454" s="268"/>
      <c r="AQ454" s="268"/>
      <c r="AR454" s="268"/>
      <c r="AS454" s="268"/>
      <c r="AT454" s="268"/>
      <c r="AU454" s="268"/>
      <c r="AV454" s="268"/>
      <c r="AW454" s="268"/>
      <c r="AX454" s="268"/>
      <c r="AY454" s="268"/>
      <c r="AZ454" s="268"/>
      <c r="BA454" s="268"/>
      <c r="BB454" s="268"/>
      <c r="BC454" s="268"/>
      <c r="BD454" s="268"/>
      <c r="BE454" s="268"/>
      <c r="BF454" s="268"/>
      <c r="BG454" s="268"/>
      <c r="BH454" s="268"/>
      <c r="BI454" s="268"/>
      <c r="BJ454" s="18" t="str">
        <f aca="false">IF(C441&gt;0, C441, "")</f>
        <v/>
      </c>
      <c r="BL454" s="200"/>
      <c r="BM454" s="200"/>
      <c r="BN454" s="200"/>
    </row>
    <row r="455" customFormat="false" ht="7.5" hidden="false" customHeight="true" outlineLevel="0" collapsed="false">
      <c r="A455" s="198"/>
      <c r="B455" s="266"/>
      <c r="C455" s="266"/>
      <c r="D455" s="267"/>
      <c r="E455" s="242"/>
      <c r="F455" s="242"/>
      <c r="G455" s="242"/>
      <c r="H455" s="242"/>
      <c r="I455" s="242"/>
      <c r="J455" s="241"/>
      <c r="K455" s="241"/>
      <c r="L455" s="269"/>
      <c r="M455" s="269"/>
      <c r="N455" s="270"/>
      <c r="O455" s="269"/>
      <c r="P455" s="269"/>
      <c r="Q455" s="269"/>
      <c r="R455" s="269"/>
      <c r="S455" s="269"/>
      <c r="T455" s="269"/>
      <c r="U455" s="269"/>
      <c r="V455" s="269"/>
      <c r="W455" s="269"/>
      <c r="X455" s="269"/>
      <c r="Y455" s="269"/>
      <c r="Z455" s="269"/>
      <c r="AA455" s="268"/>
      <c r="AB455" s="271"/>
      <c r="AC455" s="271"/>
      <c r="AD455" s="271"/>
      <c r="AE455" s="271"/>
      <c r="AF455" s="271"/>
      <c r="AG455" s="271"/>
      <c r="AH455" s="271"/>
      <c r="AI455" s="271"/>
      <c r="AJ455" s="271"/>
      <c r="AK455" s="271"/>
      <c r="AL455" s="271"/>
      <c r="AM455" s="272"/>
      <c r="AN455" s="273"/>
      <c r="AO455" s="273"/>
      <c r="AP455" s="273"/>
      <c r="AQ455" s="268"/>
      <c r="AR455" s="271"/>
      <c r="AS455" s="271"/>
      <c r="AT455" s="271"/>
      <c r="AU455" s="271"/>
      <c r="AV455" s="271"/>
      <c r="AW455" s="271"/>
      <c r="AX455" s="271"/>
      <c r="AY455" s="271"/>
      <c r="AZ455" s="271"/>
      <c r="BA455" s="271"/>
      <c r="BB455" s="271"/>
      <c r="BC455" s="272"/>
      <c r="BD455" s="273"/>
      <c r="BE455" s="273"/>
      <c r="BF455" s="273"/>
      <c r="BG455" s="268"/>
      <c r="BH455" s="274"/>
      <c r="BI455" s="268"/>
      <c r="BL455" s="200"/>
      <c r="BM455" s="200"/>
      <c r="BN455" s="200"/>
    </row>
    <row r="456" customFormat="false" ht="15" hidden="false" customHeight="true" outlineLevel="0" collapsed="false">
      <c r="B456" s="275"/>
      <c r="D456" s="276" t="n">
        <f aca="false">D440</f>
        <v>45292</v>
      </c>
      <c r="E456" s="277" t="n">
        <v>0</v>
      </c>
      <c r="F456" s="277" t="n">
        <v>0</v>
      </c>
      <c r="G456" s="277" t="n">
        <v>0</v>
      </c>
      <c r="H456" s="277" t="n">
        <v>0</v>
      </c>
      <c r="I456" s="277" t="n">
        <v>0</v>
      </c>
      <c r="J456" s="278" t="n">
        <f aca="false">E456+H456+I456</f>
        <v>0</v>
      </c>
      <c r="K456" s="204"/>
      <c r="L456" s="279" t="n">
        <v>1</v>
      </c>
      <c r="M456" s="280" t="n">
        <f aca="false">1-L456</f>
        <v>0</v>
      </c>
      <c r="N456" s="281"/>
      <c r="O456" s="282"/>
      <c r="P456" s="282"/>
      <c r="Q456" s="282"/>
      <c r="R456" s="282"/>
      <c r="S456" s="282"/>
      <c r="T456" s="282"/>
      <c r="U456" s="282"/>
      <c r="V456" s="282"/>
      <c r="W456" s="282"/>
      <c r="X456" s="282"/>
      <c r="Y456" s="282"/>
      <c r="Z456" s="282"/>
      <c r="AA456" s="283"/>
      <c r="AB456" s="284" t="n">
        <f aca="false">IFERROR(($J456*O456)*$L456, "")</f>
        <v>0</v>
      </c>
      <c r="AC456" s="284" t="n">
        <f aca="false">IFERROR(($J456*P456)*$L456, "")</f>
        <v>0</v>
      </c>
      <c r="AD456" s="284" t="n">
        <f aca="false">IFERROR(($J456*Q456)*$L456, "")</f>
        <v>0</v>
      </c>
      <c r="AE456" s="284" t="n">
        <f aca="false">IFERROR(($J456*R456)*$L456, "")</f>
        <v>0</v>
      </c>
      <c r="AF456" s="284" t="n">
        <f aca="false">IFERROR(($J456*S456)*$L456, "")</f>
        <v>0</v>
      </c>
      <c r="AG456" s="284" t="n">
        <f aca="false">IFERROR(($J456*T456)*$L456, "")</f>
        <v>0</v>
      </c>
      <c r="AH456" s="284" t="n">
        <f aca="false">IFERROR(($J456*U456)*$L456, "")</f>
        <v>0</v>
      </c>
      <c r="AI456" s="284" t="n">
        <f aca="false">IFERROR(($J456*V456)*$L456, "")</f>
        <v>0</v>
      </c>
      <c r="AJ456" s="284" t="n">
        <f aca="false">IFERROR(($J456*W456)*$L456, "")</f>
        <v>0</v>
      </c>
      <c r="AK456" s="284" t="n">
        <f aca="false">IFERROR(($J456*X456)*$L456, "")</f>
        <v>0</v>
      </c>
      <c r="AL456" s="284" t="n">
        <f aca="false">IFERROR(($J456*Y456)*$L456, "")</f>
        <v>0</v>
      </c>
      <c r="AM456" s="285" t="n">
        <f aca="false">IFERROR(($J456*Z456)*$L456, "")</f>
        <v>0</v>
      </c>
      <c r="AN456" s="286" t="n">
        <f aca="false">IFERROR(SUMIF($AB$4:$AM$4, "RDEC", AB456:AM456), "")</f>
        <v>0</v>
      </c>
      <c r="AO456" s="286" t="n">
        <f aca="false">IFERROR(SUMIF($AB$4:$AM$4, "SME", AB456:AM456), "")</f>
        <v>0</v>
      </c>
      <c r="AP456" s="286" t="n">
        <f aca="false">IFERROR(SUMIF($AB$4:$AM$4, "De Minimis", AB456:AM456), "")</f>
        <v>0</v>
      </c>
      <c r="AQ456" s="283"/>
      <c r="AR456" s="284" t="n">
        <f aca="false">IFERROR(($J456*O456)*$M456, "")</f>
        <v>0</v>
      </c>
      <c r="AS456" s="284" t="n">
        <f aca="false">IFERROR(($J456*P456)*$M456, "")</f>
        <v>0</v>
      </c>
      <c r="AT456" s="284" t="n">
        <f aca="false">IFERROR(($J456*Q456)*$M456, "")</f>
        <v>0</v>
      </c>
      <c r="AU456" s="284" t="n">
        <f aca="false">IFERROR(($J456*R456)*$M456, "")</f>
        <v>0</v>
      </c>
      <c r="AV456" s="284" t="n">
        <f aca="false">IFERROR(($J456*S456)*$M456, "")</f>
        <v>0</v>
      </c>
      <c r="AW456" s="284" t="n">
        <f aca="false">IFERROR(($J456*T456)*$M456, "")</f>
        <v>0</v>
      </c>
      <c r="AX456" s="284" t="n">
        <f aca="false">IFERROR(($J456*U456)*$M456, "")</f>
        <v>0</v>
      </c>
      <c r="AY456" s="284" t="n">
        <f aca="false">IFERROR(($J456*V456)*$M456, "")</f>
        <v>0</v>
      </c>
      <c r="AZ456" s="284" t="n">
        <f aca="false">IFERROR(($J456*W456)*$M456, "")</f>
        <v>0</v>
      </c>
      <c r="BA456" s="284" t="n">
        <f aca="false">IFERROR(($J456*X456)*$M456, "")</f>
        <v>0</v>
      </c>
      <c r="BB456" s="284" t="n">
        <f aca="false">IFERROR(($J456*Y456)*$M456, "")</f>
        <v>0</v>
      </c>
      <c r="BC456" s="285" t="n">
        <f aca="false">IFERROR(($J456*Z456)*$M456, "")</f>
        <v>0</v>
      </c>
      <c r="BD456" s="286" t="n">
        <f aca="false">IFERROR(SUMIF($AB$4:$AM$4, "RDEC", AR456:BC456), "")</f>
        <v>0</v>
      </c>
      <c r="BE456" s="286" t="n">
        <f aca="false">IFERROR(SUMIF($AB$4:$AM$4, "SME", AR456:BC456), "")</f>
        <v>0</v>
      </c>
      <c r="BF456" s="286" t="n">
        <f aca="false">IFERROR(SUMIF($AB$4:$AM$4, "De Minimis", AR456:BC456), "")</f>
        <v>0</v>
      </c>
      <c r="BG456" s="287"/>
      <c r="BH456" s="288" t="str">
        <f aca="false">IF((SUM(O456:Z456)&gt;1),"ERROR","")</f>
        <v/>
      </c>
      <c r="BI456" s="287"/>
      <c r="BJ456" s="18" t="str">
        <f aca="false">IF(C442&gt;0, C442, "")</f>
        <v/>
      </c>
      <c r="BL456" s="200"/>
      <c r="BM456" s="200"/>
      <c r="BN456" s="200"/>
    </row>
    <row r="457" customFormat="false" ht="15" hidden="false" customHeight="true" outlineLevel="0" collapsed="false">
      <c r="B457" s="275"/>
      <c r="D457" s="276" t="n">
        <f aca="false">D441</f>
        <v>45323</v>
      </c>
      <c r="E457" s="277" t="n">
        <v>0</v>
      </c>
      <c r="F457" s="277" t="n">
        <v>0</v>
      </c>
      <c r="G457" s="277" t="n">
        <v>0</v>
      </c>
      <c r="H457" s="277" t="n">
        <v>0</v>
      </c>
      <c r="I457" s="277" t="n">
        <v>0</v>
      </c>
      <c r="J457" s="278" t="n">
        <f aca="false">E457+H457+I457</f>
        <v>0</v>
      </c>
      <c r="K457" s="204"/>
      <c r="L457" s="279" t="n">
        <v>1</v>
      </c>
      <c r="M457" s="280" t="n">
        <f aca="false">1-L457</f>
        <v>0</v>
      </c>
      <c r="N457" s="281"/>
      <c r="O457" s="282"/>
      <c r="P457" s="282"/>
      <c r="Q457" s="282"/>
      <c r="R457" s="282"/>
      <c r="S457" s="282"/>
      <c r="T457" s="282"/>
      <c r="U457" s="282"/>
      <c r="V457" s="282"/>
      <c r="W457" s="282"/>
      <c r="X457" s="282"/>
      <c r="Y457" s="282"/>
      <c r="Z457" s="282"/>
      <c r="AA457" s="283"/>
      <c r="AB457" s="284" t="n">
        <f aca="false">IFERROR(($J457*O457)*$L457, "")</f>
        <v>0</v>
      </c>
      <c r="AC457" s="284" t="n">
        <f aca="false">IFERROR(($J457*P457)*$L457, "")</f>
        <v>0</v>
      </c>
      <c r="AD457" s="284" t="n">
        <f aca="false">IFERROR(($J457*Q457)*$L457, "")</f>
        <v>0</v>
      </c>
      <c r="AE457" s="284" t="n">
        <f aca="false">IFERROR(($J457*R457)*$L457, "")</f>
        <v>0</v>
      </c>
      <c r="AF457" s="284" t="n">
        <f aca="false">IFERROR(($J457*S457)*$L457, "")</f>
        <v>0</v>
      </c>
      <c r="AG457" s="284" t="n">
        <f aca="false">IFERROR(($J457*T457)*$L457, "")</f>
        <v>0</v>
      </c>
      <c r="AH457" s="284" t="n">
        <f aca="false">IFERROR(($J457*U457)*$L457, "")</f>
        <v>0</v>
      </c>
      <c r="AI457" s="284" t="n">
        <f aca="false">IFERROR(($J457*V457)*$L457, "")</f>
        <v>0</v>
      </c>
      <c r="AJ457" s="284" t="n">
        <f aca="false">IFERROR(($J457*W457)*$L457, "")</f>
        <v>0</v>
      </c>
      <c r="AK457" s="284" t="n">
        <f aca="false">IFERROR(($J457*X457)*$L457, "")</f>
        <v>0</v>
      </c>
      <c r="AL457" s="284" t="n">
        <f aca="false">IFERROR(($J457*Y457)*$L457, "")</f>
        <v>0</v>
      </c>
      <c r="AM457" s="285" t="n">
        <f aca="false">IFERROR(($J457*Z457)*$L457, "")</f>
        <v>0</v>
      </c>
      <c r="AN457" s="286" t="n">
        <f aca="false">IFERROR(SUMIF($AB$4:$AM$4, "RDEC", AB457:AM457), "")</f>
        <v>0</v>
      </c>
      <c r="AO457" s="286" t="n">
        <f aca="false">IFERROR(SUMIF($AB$4:$AM$4, "SME", AB457:AM457), "")</f>
        <v>0</v>
      </c>
      <c r="AP457" s="286" t="n">
        <f aca="false">IFERROR(SUMIF($AB$4:$AM$4, "De Minimis", AB457:AM457), "")</f>
        <v>0</v>
      </c>
      <c r="AQ457" s="283"/>
      <c r="AR457" s="284" t="n">
        <f aca="false">IFERROR(($J457*O457)*$M457, "")</f>
        <v>0</v>
      </c>
      <c r="AS457" s="284" t="n">
        <f aca="false">IFERROR(($J457*P457)*$M457, "")</f>
        <v>0</v>
      </c>
      <c r="AT457" s="284" t="n">
        <f aca="false">IFERROR(($J457*Q457)*$M457, "")</f>
        <v>0</v>
      </c>
      <c r="AU457" s="284" t="n">
        <f aca="false">IFERROR(($J457*R457)*$M457, "")</f>
        <v>0</v>
      </c>
      <c r="AV457" s="284" t="n">
        <f aca="false">IFERROR(($J457*S457)*$M457, "")</f>
        <v>0</v>
      </c>
      <c r="AW457" s="284" t="n">
        <f aca="false">IFERROR(($J457*T457)*$M457, "")</f>
        <v>0</v>
      </c>
      <c r="AX457" s="284" t="n">
        <f aca="false">IFERROR(($J457*U457)*$M457, "")</f>
        <v>0</v>
      </c>
      <c r="AY457" s="284" t="n">
        <f aca="false">IFERROR(($J457*V457)*$M457, "")</f>
        <v>0</v>
      </c>
      <c r="AZ457" s="284" t="n">
        <f aca="false">IFERROR(($J457*W457)*$M457, "")</f>
        <v>0</v>
      </c>
      <c r="BA457" s="284" t="n">
        <f aca="false">IFERROR(($J457*X457)*$M457, "")</f>
        <v>0</v>
      </c>
      <c r="BB457" s="284" t="n">
        <f aca="false">IFERROR(($J457*Y457)*$M457, "")</f>
        <v>0</v>
      </c>
      <c r="BC457" s="285" t="n">
        <f aca="false">IFERROR(($J457*Z457)*$M457, "")</f>
        <v>0</v>
      </c>
      <c r="BD457" s="286" t="n">
        <f aca="false">IFERROR(SUMIF($AB$4:$AM$4, "RDEC", AR457:BC457), "")</f>
        <v>0</v>
      </c>
      <c r="BE457" s="286" t="n">
        <f aca="false">IFERROR(SUMIF($AB$4:$AM$4, "SME", AR457:BC457), "")</f>
        <v>0</v>
      </c>
      <c r="BF457" s="286" t="n">
        <f aca="false">IFERROR(SUMIF($AB$4:$AM$4, "De Minimis", AR457:BC457), "")</f>
        <v>0</v>
      </c>
      <c r="BG457" s="287"/>
      <c r="BH457" s="288" t="str">
        <f aca="false">IF((SUM(O457:Z457)&gt;1),"ERROR","")</f>
        <v/>
      </c>
      <c r="BI457" s="287"/>
      <c r="BJ457" s="18" t="str">
        <f aca="false">IF(C443&gt;0, C443, "")</f>
        <v/>
      </c>
      <c r="BL457" s="200"/>
      <c r="BM457" s="200"/>
      <c r="BN457" s="200"/>
    </row>
    <row r="458" customFormat="false" ht="15" hidden="false" customHeight="true" outlineLevel="0" collapsed="false">
      <c r="B458" s="275"/>
      <c r="D458" s="276" t="n">
        <f aca="false">D442</f>
        <v>45352</v>
      </c>
      <c r="E458" s="277" t="n">
        <v>0</v>
      </c>
      <c r="F458" s="277" t="n">
        <v>0</v>
      </c>
      <c r="G458" s="277" t="n">
        <v>0</v>
      </c>
      <c r="H458" s="277" t="n">
        <v>0</v>
      </c>
      <c r="I458" s="277" t="n">
        <v>0</v>
      </c>
      <c r="J458" s="278" t="n">
        <f aca="false">E458+H458+I458</f>
        <v>0</v>
      </c>
      <c r="K458" s="204"/>
      <c r="L458" s="279" t="n">
        <v>1</v>
      </c>
      <c r="M458" s="280" t="n">
        <f aca="false">1-L458</f>
        <v>0</v>
      </c>
      <c r="N458" s="281"/>
      <c r="O458" s="282"/>
      <c r="P458" s="282"/>
      <c r="Q458" s="282"/>
      <c r="R458" s="282"/>
      <c r="S458" s="282"/>
      <c r="T458" s="282"/>
      <c r="U458" s="282"/>
      <c r="V458" s="282"/>
      <c r="W458" s="282"/>
      <c r="X458" s="282"/>
      <c r="Y458" s="282"/>
      <c r="Z458" s="282"/>
      <c r="AA458" s="283"/>
      <c r="AB458" s="284" t="n">
        <f aca="false">IFERROR(($J458*O458)*$L458, "")</f>
        <v>0</v>
      </c>
      <c r="AC458" s="284" t="n">
        <f aca="false">IFERROR(($J458*P458)*$L458, "")</f>
        <v>0</v>
      </c>
      <c r="AD458" s="284" t="n">
        <f aca="false">IFERROR(($J458*Q458)*$L458, "")</f>
        <v>0</v>
      </c>
      <c r="AE458" s="284" t="n">
        <f aca="false">IFERROR(($J458*R458)*$L458, "")</f>
        <v>0</v>
      </c>
      <c r="AF458" s="284" t="n">
        <f aca="false">IFERROR(($J458*S458)*$L458, "")</f>
        <v>0</v>
      </c>
      <c r="AG458" s="284" t="n">
        <f aca="false">IFERROR(($J458*T458)*$L458, "")</f>
        <v>0</v>
      </c>
      <c r="AH458" s="284" t="n">
        <f aca="false">IFERROR(($J458*U458)*$L458, "")</f>
        <v>0</v>
      </c>
      <c r="AI458" s="284" t="n">
        <f aca="false">IFERROR(($J458*V458)*$L458, "")</f>
        <v>0</v>
      </c>
      <c r="AJ458" s="284" t="n">
        <f aca="false">IFERROR(($J458*W458)*$L458, "")</f>
        <v>0</v>
      </c>
      <c r="AK458" s="284" t="n">
        <f aca="false">IFERROR(($J458*X458)*$L458, "")</f>
        <v>0</v>
      </c>
      <c r="AL458" s="284" t="n">
        <f aca="false">IFERROR(($J458*Y458)*$L458, "")</f>
        <v>0</v>
      </c>
      <c r="AM458" s="285" t="n">
        <f aca="false">IFERROR(($J458*Z458)*$L458, "")</f>
        <v>0</v>
      </c>
      <c r="AN458" s="286" t="n">
        <f aca="false">IFERROR(SUMIF($AB$4:$AM$4, "RDEC", AB458:AM458), "")</f>
        <v>0</v>
      </c>
      <c r="AO458" s="286" t="n">
        <f aca="false">IFERROR(SUMIF($AB$4:$AM$4, "SME", AB458:AM458), "")</f>
        <v>0</v>
      </c>
      <c r="AP458" s="286" t="n">
        <f aca="false">IFERROR(SUMIF($AB$4:$AM$4, "De Minimis", AB458:AM458), "")</f>
        <v>0</v>
      </c>
      <c r="AQ458" s="283"/>
      <c r="AR458" s="284" t="n">
        <f aca="false">IFERROR(($J458*O458)*$M458, "")</f>
        <v>0</v>
      </c>
      <c r="AS458" s="284" t="n">
        <f aca="false">IFERROR(($J458*P458)*$M458, "")</f>
        <v>0</v>
      </c>
      <c r="AT458" s="284" t="n">
        <f aca="false">IFERROR(($J458*Q458)*$M458, "")</f>
        <v>0</v>
      </c>
      <c r="AU458" s="284" t="n">
        <f aca="false">IFERROR(($J458*R458)*$M458, "")</f>
        <v>0</v>
      </c>
      <c r="AV458" s="284" t="n">
        <f aca="false">IFERROR(($J458*S458)*$M458, "")</f>
        <v>0</v>
      </c>
      <c r="AW458" s="284" t="n">
        <f aca="false">IFERROR(($J458*T458)*$M458, "")</f>
        <v>0</v>
      </c>
      <c r="AX458" s="284" t="n">
        <f aca="false">IFERROR(($J458*U458)*$M458, "")</f>
        <v>0</v>
      </c>
      <c r="AY458" s="284" t="n">
        <f aca="false">IFERROR(($J458*V458)*$M458, "")</f>
        <v>0</v>
      </c>
      <c r="AZ458" s="284" t="n">
        <f aca="false">IFERROR(($J458*W458)*$M458, "")</f>
        <v>0</v>
      </c>
      <c r="BA458" s="284" t="n">
        <f aca="false">IFERROR(($J458*X458)*$M458, "")</f>
        <v>0</v>
      </c>
      <c r="BB458" s="284" t="n">
        <f aca="false">IFERROR(($J458*Y458)*$M458, "")</f>
        <v>0</v>
      </c>
      <c r="BC458" s="285" t="n">
        <f aca="false">IFERROR(($J458*Z458)*$M458, "")</f>
        <v>0</v>
      </c>
      <c r="BD458" s="286" t="n">
        <f aca="false">IFERROR(SUMIF($AB$4:$AM$4, "RDEC", AR458:BC458), "")</f>
        <v>0</v>
      </c>
      <c r="BE458" s="286" t="n">
        <f aca="false">IFERROR(SUMIF($AB$4:$AM$4, "SME", AR458:BC458), "")</f>
        <v>0</v>
      </c>
      <c r="BF458" s="286" t="n">
        <f aca="false">IFERROR(SUMIF($AB$4:$AM$4, "De Minimis", AR458:BC458), "")</f>
        <v>0</v>
      </c>
      <c r="BG458" s="287"/>
      <c r="BH458" s="288" t="str">
        <f aca="false">IF((SUM(O458:Z458)&gt;1),"ERROR","")</f>
        <v/>
      </c>
      <c r="BI458" s="287"/>
      <c r="BJ458" s="18" t="str">
        <f aca="false">IF(C444&gt;0, C444, "")</f>
        <v/>
      </c>
      <c r="BL458" s="200"/>
      <c r="BM458" s="200"/>
      <c r="BN458" s="200"/>
    </row>
    <row r="459" customFormat="false" ht="15" hidden="false" customHeight="true" outlineLevel="0" collapsed="false">
      <c r="B459" s="275"/>
      <c r="D459" s="276" t="n">
        <f aca="false">D443</f>
        <v>45383</v>
      </c>
      <c r="E459" s="277" t="n">
        <v>0</v>
      </c>
      <c r="F459" s="277" t="n">
        <v>0</v>
      </c>
      <c r="G459" s="277" t="n">
        <v>0</v>
      </c>
      <c r="H459" s="277" t="n">
        <v>0</v>
      </c>
      <c r="I459" s="277" t="n">
        <v>0</v>
      </c>
      <c r="J459" s="278" t="n">
        <f aca="false">E459+H459+I459</f>
        <v>0</v>
      </c>
      <c r="K459" s="204"/>
      <c r="L459" s="279" t="n">
        <v>1</v>
      </c>
      <c r="M459" s="280" t="n">
        <f aca="false">1-L459</f>
        <v>0</v>
      </c>
      <c r="N459" s="281"/>
      <c r="O459" s="282"/>
      <c r="P459" s="282"/>
      <c r="Q459" s="282"/>
      <c r="R459" s="282"/>
      <c r="S459" s="282"/>
      <c r="T459" s="282"/>
      <c r="U459" s="282"/>
      <c r="V459" s="282"/>
      <c r="W459" s="282"/>
      <c r="X459" s="282"/>
      <c r="Y459" s="282"/>
      <c r="Z459" s="282"/>
      <c r="AA459" s="283"/>
      <c r="AB459" s="284" t="n">
        <f aca="false">IFERROR(($J459*O459)*$L459, "")</f>
        <v>0</v>
      </c>
      <c r="AC459" s="284" t="n">
        <f aca="false">IFERROR(($J459*P459)*$L459, "")</f>
        <v>0</v>
      </c>
      <c r="AD459" s="284" t="n">
        <f aca="false">IFERROR(($J459*Q459)*$L459, "")</f>
        <v>0</v>
      </c>
      <c r="AE459" s="284" t="n">
        <f aca="false">IFERROR(($J459*R459)*$L459, "")</f>
        <v>0</v>
      </c>
      <c r="AF459" s="284" t="n">
        <f aca="false">IFERROR(($J459*S459)*$L459, "")</f>
        <v>0</v>
      </c>
      <c r="AG459" s="284" t="n">
        <f aca="false">IFERROR(($J459*T459)*$L459, "")</f>
        <v>0</v>
      </c>
      <c r="AH459" s="284" t="n">
        <f aca="false">IFERROR(($J459*U459)*$L459, "")</f>
        <v>0</v>
      </c>
      <c r="AI459" s="284" t="n">
        <f aca="false">IFERROR(($J459*V459)*$L459, "")</f>
        <v>0</v>
      </c>
      <c r="AJ459" s="284" t="n">
        <f aca="false">IFERROR(($J459*W459)*$L459, "")</f>
        <v>0</v>
      </c>
      <c r="AK459" s="284" t="n">
        <f aca="false">IFERROR(($J459*X459)*$L459, "")</f>
        <v>0</v>
      </c>
      <c r="AL459" s="284" t="n">
        <f aca="false">IFERROR(($J459*Y459)*$L459, "")</f>
        <v>0</v>
      </c>
      <c r="AM459" s="285" t="n">
        <f aca="false">IFERROR(($J459*Z459)*$L459, "")</f>
        <v>0</v>
      </c>
      <c r="AN459" s="286" t="n">
        <f aca="false">IFERROR(SUMIF($AB$4:$AM$4, "RDEC", AB459:AM459), "")</f>
        <v>0</v>
      </c>
      <c r="AO459" s="286" t="n">
        <f aca="false">IFERROR(SUMIF($AB$4:$AM$4, "SME", AB459:AM459), "")</f>
        <v>0</v>
      </c>
      <c r="AP459" s="286" t="n">
        <f aca="false">IFERROR(SUMIF($AB$4:$AM$4, "De Minimis", AB459:AM459), "")</f>
        <v>0</v>
      </c>
      <c r="AQ459" s="283"/>
      <c r="AR459" s="284" t="n">
        <f aca="false">IFERROR(($J459*O459)*$M459, "")</f>
        <v>0</v>
      </c>
      <c r="AS459" s="284" t="n">
        <f aca="false">IFERROR(($J459*P459)*$M459, "")</f>
        <v>0</v>
      </c>
      <c r="AT459" s="284" t="n">
        <f aca="false">IFERROR(($J459*Q459)*$M459, "")</f>
        <v>0</v>
      </c>
      <c r="AU459" s="284" t="n">
        <f aca="false">IFERROR(($J459*R459)*$M459, "")</f>
        <v>0</v>
      </c>
      <c r="AV459" s="284" t="n">
        <f aca="false">IFERROR(($J459*S459)*$M459, "")</f>
        <v>0</v>
      </c>
      <c r="AW459" s="284" t="n">
        <f aca="false">IFERROR(($J459*T459)*$M459, "")</f>
        <v>0</v>
      </c>
      <c r="AX459" s="284" t="n">
        <f aca="false">IFERROR(($J459*U459)*$M459, "")</f>
        <v>0</v>
      </c>
      <c r="AY459" s="284" t="n">
        <f aca="false">IFERROR(($J459*V459)*$M459, "")</f>
        <v>0</v>
      </c>
      <c r="AZ459" s="284" t="n">
        <f aca="false">IFERROR(($J459*W459)*$M459, "")</f>
        <v>0</v>
      </c>
      <c r="BA459" s="284" t="n">
        <f aca="false">IFERROR(($J459*X459)*$M459, "")</f>
        <v>0</v>
      </c>
      <c r="BB459" s="284" t="n">
        <f aca="false">IFERROR(($J459*Y459)*$M459, "")</f>
        <v>0</v>
      </c>
      <c r="BC459" s="285" t="n">
        <f aca="false">IFERROR(($J459*Z459)*$M459, "")</f>
        <v>0</v>
      </c>
      <c r="BD459" s="286" t="n">
        <f aca="false">IFERROR(SUMIF($AB$4:$AM$4, "RDEC", AR459:BC459), "")</f>
        <v>0</v>
      </c>
      <c r="BE459" s="286" t="n">
        <f aca="false">IFERROR(SUMIF($AB$4:$AM$4, "SME", AR459:BC459), "")</f>
        <v>0</v>
      </c>
      <c r="BF459" s="286" t="n">
        <f aca="false">IFERROR(SUMIF($AB$4:$AM$4, "De Minimis", AR459:BC459), "")</f>
        <v>0</v>
      </c>
      <c r="BG459" s="287"/>
      <c r="BH459" s="288" t="str">
        <f aca="false">IF((SUM(O459:Z459)&gt;1),"ERROR","")</f>
        <v/>
      </c>
      <c r="BI459" s="287"/>
      <c r="BJ459" s="18" t="str">
        <f aca="false">IF(C445&gt;0, C445, "")</f>
        <v/>
      </c>
      <c r="BL459" s="200"/>
      <c r="BM459" s="200"/>
      <c r="BN459" s="200"/>
    </row>
    <row r="460" customFormat="false" ht="15" hidden="false" customHeight="true" outlineLevel="0" collapsed="false">
      <c r="B460" s="275"/>
      <c r="D460" s="276" t="n">
        <f aca="false">D444</f>
        <v>45413</v>
      </c>
      <c r="E460" s="277" t="n">
        <v>0</v>
      </c>
      <c r="F460" s="277" t="n">
        <v>0</v>
      </c>
      <c r="G460" s="277" t="n">
        <v>0</v>
      </c>
      <c r="H460" s="277" t="n">
        <v>0</v>
      </c>
      <c r="I460" s="277" t="n">
        <v>0</v>
      </c>
      <c r="J460" s="278" t="n">
        <f aca="false">E460+H460+I460</f>
        <v>0</v>
      </c>
      <c r="K460" s="204"/>
      <c r="L460" s="279" t="n">
        <v>1</v>
      </c>
      <c r="M460" s="280" t="n">
        <f aca="false">1-L460</f>
        <v>0</v>
      </c>
      <c r="N460" s="281"/>
      <c r="O460" s="282"/>
      <c r="P460" s="282"/>
      <c r="Q460" s="282"/>
      <c r="R460" s="282"/>
      <c r="S460" s="282"/>
      <c r="T460" s="282"/>
      <c r="U460" s="282"/>
      <c r="V460" s="282"/>
      <c r="W460" s="282"/>
      <c r="X460" s="282"/>
      <c r="Y460" s="282"/>
      <c r="Z460" s="282"/>
      <c r="AA460" s="283"/>
      <c r="AB460" s="284" t="n">
        <f aca="false">IFERROR(($J460*O460)*$L460, "")</f>
        <v>0</v>
      </c>
      <c r="AC460" s="284" t="n">
        <f aca="false">IFERROR(($J460*P460)*$L460, "")</f>
        <v>0</v>
      </c>
      <c r="AD460" s="284" t="n">
        <f aca="false">IFERROR(($J460*Q460)*$L460, "")</f>
        <v>0</v>
      </c>
      <c r="AE460" s="284" t="n">
        <f aca="false">IFERROR(($J460*R460)*$L460, "")</f>
        <v>0</v>
      </c>
      <c r="AF460" s="284" t="n">
        <f aca="false">IFERROR(($J460*S460)*$L460, "")</f>
        <v>0</v>
      </c>
      <c r="AG460" s="284" t="n">
        <f aca="false">IFERROR(($J460*T460)*$L460, "")</f>
        <v>0</v>
      </c>
      <c r="AH460" s="284" t="n">
        <f aca="false">IFERROR(($J460*U460)*$L460, "")</f>
        <v>0</v>
      </c>
      <c r="AI460" s="284" t="n">
        <f aca="false">IFERROR(($J460*V460)*$L460, "")</f>
        <v>0</v>
      </c>
      <c r="AJ460" s="284" t="n">
        <f aca="false">IFERROR(($J460*W460)*$L460, "")</f>
        <v>0</v>
      </c>
      <c r="AK460" s="284" t="n">
        <f aca="false">IFERROR(($J460*X460)*$L460, "")</f>
        <v>0</v>
      </c>
      <c r="AL460" s="284" t="n">
        <f aca="false">IFERROR(($J460*Y460)*$L460, "")</f>
        <v>0</v>
      </c>
      <c r="AM460" s="285" t="n">
        <f aca="false">IFERROR(($J460*Z460)*$L460, "")</f>
        <v>0</v>
      </c>
      <c r="AN460" s="286" t="n">
        <f aca="false">IFERROR(SUMIF($AB$4:$AM$4, "RDEC", AB460:AM460), "")</f>
        <v>0</v>
      </c>
      <c r="AO460" s="286" t="n">
        <f aca="false">IFERROR(SUMIF($AB$4:$AM$4, "SME", AB460:AM460), "")</f>
        <v>0</v>
      </c>
      <c r="AP460" s="286" t="n">
        <f aca="false">IFERROR(SUMIF($AB$4:$AM$4, "De Minimis", AB460:AM460), "")</f>
        <v>0</v>
      </c>
      <c r="AQ460" s="283"/>
      <c r="AR460" s="284" t="n">
        <f aca="false">IFERROR(($J460*O460)*$M460, "")</f>
        <v>0</v>
      </c>
      <c r="AS460" s="284" t="n">
        <f aca="false">IFERROR(($J460*P460)*$M460, "")</f>
        <v>0</v>
      </c>
      <c r="AT460" s="284" t="n">
        <f aca="false">IFERROR(($J460*Q460)*$M460, "")</f>
        <v>0</v>
      </c>
      <c r="AU460" s="284" t="n">
        <f aca="false">IFERROR(($J460*R460)*$M460, "")</f>
        <v>0</v>
      </c>
      <c r="AV460" s="284" t="n">
        <f aca="false">IFERROR(($J460*S460)*$M460, "")</f>
        <v>0</v>
      </c>
      <c r="AW460" s="284" t="n">
        <f aca="false">IFERROR(($J460*T460)*$M460, "")</f>
        <v>0</v>
      </c>
      <c r="AX460" s="284" t="n">
        <f aca="false">IFERROR(($J460*U460)*$M460, "")</f>
        <v>0</v>
      </c>
      <c r="AY460" s="284" t="n">
        <f aca="false">IFERROR(($J460*V460)*$M460, "")</f>
        <v>0</v>
      </c>
      <c r="AZ460" s="284" t="n">
        <f aca="false">IFERROR(($J460*W460)*$M460, "")</f>
        <v>0</v>
      </c>
      <c r="BA460" s="284" t="n">
        <f aca="false">IFERROR(($J460*X460)*$M460, "")</f>
        <v>0</v>
      </c>
      <c r="BB460" s="284" t="n">
        <f aca="false">IFERROR(($J460*Y460)*$M460, "")</f>
        <v>0</v>
      </c>
      <c r="BC460" s="285" t="n">
        <f aca="false">IFERROR(($J460*Z460)*$M460, "")</f>
        <v>0</v>
      </c>
      <c r="BD460" s="286" t="n">
        <f aca="false">IFERROR(SUMIF($AB$4:$AM$4, "RDEC", AR460:BC460), "")</f>
        <v>0</v>
      </c>
      <c r="BE460" s="286" t="n">
        <f aca="false">IFERROR(SUMIF($AB$4:$AM$4, "SME", AR460:BC460), "")</f>
        <v>0</v>
      </c>
      <c r="BF460" s="286" t="n">
        <f aca="false">IFERROR(SUMIF($AB$4:$AM$4, "De Minimis", AR460:BC460), "")</f>
        <v>0</v>
      </c>
      <c r="BG460" s="287"/>
      <c r="BH460" s="288" t="str">
        <f aca="false">IF((SUM(O460:Z460)&gt;1),"ERROR","")</f>
        <v/>
      </c>
      <c r="BI460" s="287"/>
      <c r="BJ460" s="18" t="str">
        <f aca="false">IF(C446&gt;0, C446, "")</f>
        <v/>
      </c>
      <c r="BL460" s="200"/>
      <c r="BM460" s="200"/>
      <c r="BN460" s="200"/>
    </row>
    <row r="461" customFormat="false" ht="15" hidden="false" customHeight="true" outlineLevel="0" collapsed="false">
      <c r="B461" s="275"/>
      <c r="D461" s="276" t="n">
        <f aca="false">D445</f>
        <v>45444</v>
      </c>
      <c r="E461" s="277" t="n">
        <v>0</v>
      </c>
      <c r="F461" s="277" t="n">
        <v>0</v>
      </c>
      <c r="G461" s="277" t="n">
        <v>0</v>
      </c>
      <c r="H461" s="277" t="n">
        <v>0</v>
      </c>
      <c r="I461" s="277" t="n">
        <v>0</v>
      </c>
      <c r="J461" s="278" t="n">
        <f aca="false">E461+H461+I461</f>
        <v>0</v>
      </c>
      <c r="K461" s="204"/>
      <c r="L461" s="279" t="n">
        <v>1</v>
      </c>
      <c r="M461" s="280" t="n">
        <f aca="false">1-L461</f>
        <v>0</v>
      </c>
      <c r="N461" s="281"/>
      <c r="O461" s="282"/>
      <c r="P461" s="282"/>
      <c r="Q461" s="282"/>
      <c r="R461" s="282"/>
      <c r="S461" s="282"/>
      <c r="T461" s="282"/>
      <c r="U461" s="282"/>
      <c r="V461" s="282"/>
      <c r="W461" s="282"/>
      <c r="X461" s="282"/>
      <c r="Y461" s="282"/>
      <c r="Z461" s="282"/>
      <c r="AA461" s="283"/>
      <c r="AB461" s="284" t="n">
        <f aca="false">IFERROR(($J461*O461)*$L461, "")</f>
        <v>0</v>
      </c>
      <c r="AC461" s="284" t="n">
        <f aca="false">IFERROR(($J461*P461)*$L461, "")</f>
        <v>0</v>
      </c>
      <c r="AD461" s="284" t="n">
        <f aca="false">IFERROR(($J461*Q461)*$L461, "")</f>
        <v>0</v>
      </c>
      <c r="AE461" s="284" t="n">
        <f aca="false">IFERROR(($J461*R461)*$L461, "")</f>
        <v>0</v>
      </c>
      <c r="AF461" s="284" t="n">
        <f aca="false">IFERROR(($J461*S461)*$L461, "")</f>
        <v>0</v>
      </c>
      <c r="AG461" s="284" t="n">
        <f aca="false">IFERROR(($J461*T461)*$L461, "")</f>
        <v>0</v>
      </c>
      <c r="AH461" s="284" t="n">
        <f aca="false">IFERROR(($J461*U461)*$L461, "")</f>
        <v>0</v>
      </c>
      <c r="AI461" s="284" t="n">
        <f aca="false">IFERROR(($J461*V461)*$L461, "")</f>
        <v>0</v>
      </c>
      <c r="AJ461" s="284" t="n">
        <f aca="false">IFERROR(($J461*W461)*$L461, "")</f>
        <v>0</v>
      </c>
      <c r="AK461" s="284" t="n">
        <f aca="false">IFERROR(($J461*X461)*$L461, "")</f>
        <v>0</v>
      </c>
      <c r="AL461" s="284" t="n">
        <f aca="false">IFERROR(($J461*Y461)*$L461, "")</f>
        <v>0</v>
      </c>
      <c r="AM461" s="285" t="n">
        <f aca="false">IFERROR(($J461*Z461)*$L461, "")</f>
        <v>0</v>
      </c>
      <c r="AN461" s="286" t="n">
        <f aca="false">IFERROR(SUMIF($AB$4:$AM$4, "RDEC", AB461:AM461), "")</f>
        <v>0</v>
      </c>
      <c r="AO461" s="286" t="n">
        <f aca="false">IFERROR(SUMIF($AB$4:$AM$4, "SME", AB461:AM461), "")</f>
        <v>0</v>
      </c>
      <c r="AP461" s="286" t="n">
        <f aca="false">IFERROR(SUMIF($AB$4:$AM$4, "De Minimis", AB461:AM461), "")</f>
        <v>0</v>
      </c>
      <c r="AQ461" s="283"/>
      <c r="AR461" s="284" t="n">
        <f aca="false">IFERROR(($J461*O461)*$M461, "")</f>
        <v>0</v>
      </c>
      <c r="AS461" s="284" t="n">
        <f aca="false">IFERROR(($J461*P461)*$M461, "")</f>
        <v>0</v>
      </c>
      <c r="AT461" s="284" t="n">
        <f aca="false">IFERROR(($J461*Q461)*$M461, "")</f>
        <v>0</v>
      </c>
      <c r="AU461" s="284" t="n">
        <f aca="false">IFERROR(($J461*R461)*$M461, "")</f>
        <v>0</v>
      </c>
      <c r="AV461" s="284" t="n">
        <f aca="false">IFERROR(($J461*S461)*$M461, "")</f>
        <v>0</v>
      </c>
      <c r="AW461" s="284" t="n">
        <f aca="false">IFERROR(($J461*T461)*$M461, "")</f>
        <v>0</v>
      </c>
      <c r="AX461" s="284" t="n">
        <f aca="false">IFERROR(($J461*U461)*$M461, "")</f>
        <v>0</v>
      </c>
      <c r="AY461" s="284" t="n">
        <f aca="false">IFERROR(($J461*V461)*$M461, "")</f>
        <v>0</v>
      </c>
      <c r="AZ461" s="284" t="n">
        <f aca="false">IFERROR(($J461*W461)*$M461, "")</f>
        <v>0</v>
      </c>
      <c r="BA461" s="284" t="n">
        <f aca="false">IFERROR(($J461*X461)*$M461, "")</f>
        <v>0</v>
      </c>
      <c r="BB461" s="284" t="n">
        <f aca="false">IFERROR(($J461*Y461)*$M461, "")</f>
        <v>0</v>
      </c>
      <c r="BC461" s="285" t="n">
        <f aca="false">IFERROR(($J461*Z461)*$M461, "")</f>
        <v>0</v>
      </c>
      <c r="BD461" s="286" t="n">
        <f aca="false">IFERROR(SUMIF($AB$4:$AM$4, "RDEC", AR461:BC461), "")</f>
        <v>0</v>
      </c>
      <c r="BE461" s="286" t="n">
        <f aca="false">IFERROR(SUMIF($AB$4:$AM$4, "SME", AR461:BC461), "")</f>
        <v>0</v>
      </c>
      <c r="BF461" s="286" t="n">
        <f aca="false">IFERROR(SUMIF($AB$4:$AM$4, "De Minimis", AR461:BC461), "")</f>
        <v>0</v>
      </c>
      <c r="BG461" s="287"/>
      <c r="BH461" s="288" t="str">
        <f aca="false">IF((SUM(O461:Z461)&gt;1),"ERROR","")</f>
        <v/>
      </c>
      <c r="BI461" s="287"/>
      <c r="BJ461" s="18" t="str">
        <f aca="false">IF(C447&gt;0, C447, "")</f>
        <v/>
      </c>
      <c r="BL461" s="200"/>
      <c r="BM461" s="200"/>
      <c r="BN461" s="200"/>
    </row>
    <row r="462" customFormat="false" ht="15" hidden="false" customHeight="true" outlineLevel="0" collapsed="false">
      <c r="B462" s="275"/>
      <c r="D462" s="276" t="n">
        <f aca="false">D446</f>
        <v>45474</v>
      </c>
      <c r="E462" s="277" t="n">
        <v>0</v>
      </c>
      <c r="F462" s="277" t="n">
        <v>0</v>
      </c>
      <c r="G462" s="277" t="n">
        <v>0</v>
      </c>
      <c r="H462" s="277" t="n">
        <v>0</v>
      </c>
      <c r="I462" s="277" t="n">
        <v>0</v>
      </c>
      <c r="J462" s="278" t="n">
        <f aca="false">E462+H462+I462</f>
        <v>0</v>
      </c>
      <c r="K462" s="204"/>
      <c r="L462" s="279" t="n">
        <v>1</v>
      </c>
      <c r="M462" s="280" t="n">
        <f aca="false">1-L462</f>
        <v>0</v>
      </c>
      <c r="N462" s="281"/>
      <c r="O462" s="282"/>
      <c r="P462" s="282"/>
      <c r="Q462" s="282"/>
      <c r="R462" s="282"/>
      <c r="S462" s="282"/>
      <c r="T462" s="282"/>
      <c r="U462" s="282"/>
      <c r="V462" s="282"/>
      <c r="W462" s="282"/>
      <c r="X462" s="282"/>
      <c r="Y462" s="282"/>
      <c r="Z462" s="282"/>
      <c r="AA462" s="283"/>
      <c r="AB462" s="284" t="n">
        <f aca="false">IFERROR(($J462*O462)*$L462, "")</f>
        <v>0</v>
      </c>
      <c r="AC462" s="284" t="n">
        <f aca="false">IFERROR(($J462*P462)*$L462, "")</f>
        <v>0</v>
      </c>
      <c r="AD462" s="284" t="n">
        <f aca="false">IFERROR(($J462*Q462)*$L462, "")</f>
        <v>0</v>
      </c>
      <c r="AE462" s="284" t="n">
        <f aca="false">IFERROR(($J462*R462)*$L462, "")</f>
        <v>0</v>
      </c>
      <c r="AF462" s="284" t="n">
        <f aca="false">IFERROR(($J462*S462)*$L462, "")</f>
        <v>0</v>
      </c>
      <c r="AG462" s="284" t="n">
        <f aca="false">IFERROR(($J462*T462)*$L462, "")</f>
        <v>0</v>
      </c>
      <c r="AH462" s="284" t="n">
        <f aca="false">IFERROR(($J462*U462)*$L462, "")</f>
        <v>0</v>
      </c>
      <c r="AI462" s="284" t="n">
        <f aca="false">IFERROR(($J462*V462)*$L462, "")</f>
        <v>0</v>
      </c>
      <c r="AJ462" s="284" t="n">
        <f aca="false">IFERROR(($J462*W462)*$L462, "")</f>
        <v>0</v>
      </c>
      <c r="AK462" s="284" t="n">
        <f aca="false">IFERROR(($J462*X462)*$L462, "")</f>
        <v>0</v>
      </c>
      <c r="AL462" s="284" t="n">
        <f aca="false">IFERROR(($J462*Y462)*$L462, "")</f>
        <v>0</v>
      </c>
      <c r="AM462" s="285" t="n">
        <f aca="false">IFERROR(($J462*Z462)*$L462, "")</f>
        <v>0</v>
      </c>
      <c r="AN462" s="286" t="n">
        <f aca="false">IFERROR(SUMIF($AB$4:$AM$4, "RDEC", AB462:AM462), "")</f>
        <v>0</v>
      </c>
      <c r="AO462" s="286" t="n">
        <f aca="false">IFERROR(SUMIF($AB$4:$AM$4, "SME", AB462:AM462), "")</f>
        <v>0</v>
      </c>
      <c r="AP462" s="286" t="n">
        <f aca="false">IFERROR(SUMIF($AB$4:$AM$4, "De Minimis", AB462:AM462), "")</f>
        <v>0</v>
      </c>
      <c r="AQ462" s="283"/>
      <c r="AR462" s="284" t="n">
        <f aca="false">IFERROR(($J462*O462)*$M462, "")</f>
        <v>0</v>
      </c>
      <c r="AS462" s="284" t="n">
        <f aca="false">IFERROR(($J462*P462)*$M462, "")</f>
        <v>0</v>
      </c>
      <c r="AT462" s="284" t="n">
        <f aca="false">IFERROR(($J462*Q462)*$M462, "")</f>
        <v>0</v>
      </c>
      <c r="AU462" s="284" t="n">
        <f aca="false">IFERROR(($J462*R462)*$M462, "")</f>
        <v>0</v>
      </c>
      <c r="AV462" s="284" t="n">
        <f aca="false">IFERROR(($J462*S462)*$M462, "")</f>
        <v>0</v>
      </c>
      <c r="AW462" s="284" t="n">
        <f aca="false">IFERROR(($J462*T462)*$M462, "")</f>
        <v>0</v>
      </c>
      <c r="AX462" s="284" t="n">
        <f aca="false">IFERROR(($J462*U462)*$M462, "")</f>
        <v>0</v>
      </c>
      <c r="AY462" s="284" t="n">
        <f aca="false">IFERROR(($J462*V462)*$M462, "")</f>
        <v>0</v>
      </c>
      <c r="AZ462" s="284" t="n">
        <f aca="false">IFERROR(($J462*W462)*$M462, "")</f>
        <v>0</v>
      </c>
      <c r="BA462" s="284" t="n">
        <f aca="false">IFERROR(($J462*X462)*$M462, "")</f>
        <v>0</v>
      </c>
      <c r="BB462" s="284" t="n">
        <f aca="false">IFERROR(($J462*Y462)*$M462, "")</f>
        <v>0</v>
      </c>
      <c r="BC462" s="285" t="n">
        <f aca="false">IFERROR(($J462*Z462)*$M462, "")</f>
        <v>0</v>
      </c>
      <c r="BD462" s="286" t="n">
        <f aca="false">IFERROR(SUMIF($AB$4:$AM$4, "RDEC", AR462:BC462), "")</f>
        <v>0</v>
      </c>
      <c r="BE462" s="286" t="n">
        <f aca="false">IFERROR(SUMIF($AB$4:$AM$4, "SME", AR462:BC462), "")</f>
        <v>0</v>
      </c>
      <c r="BF462" s="286" t="n">
        <f aca="false">IFERROR(SUMIF($AB$4:$AM$4, "De Minimis", AR462:BC462), "")</f>
        <v>0</v>
      </c>
      <c r="BG462" s="287"/>
      <c r="BH462" s="288" t="str">
        <f aca="false">IF((SUM(O462:Z462)&gt;1),"ERROR","")</f>
        <v/>
      </c>
      <c r="BI462" s="287"/>
      <c r="BJ462" s="18" t="str">
        <f aca="false">IF(C448&gt;0, C448, "")</f>
        <v/>
      </c>
      <c r="BL462" s="200"/>
      <c r="BM462" s="200"/>
      <c r="BN462" s="200"/>
    </row>
    <row r="463" customFormat="false" ht="15" hidden="false" customHeight="true" outlineLevel="0" collapsed="false">
      <c r="B463" s="275"/>
      <c r="D463" s="276" t="n">
        <f aca="false">D447</f>
        <v>45505</v>
      </c>
      <c r="E463" s="277" t="n">
        <v>0</v>
      </c>
      <c r="F463" s="277" t="n">
        <v>0</v>
      </c>
      <c r="G463" s="277" t="n">
        <v>0</v>
      </c>
      <c r="H463" s="277" t="n">
        <v>0</v>
      </c>
      <c r="I463" s="277" t="n">
        <v>0</v>
      </c>
      <c r="J463" s="278" t="n">
        <f aca="false">E463+H463+I463</f>
        <v>0</v>
      </c>
      <c r="K463" s="204"/>
      <c r="L463" s="279" t="n">
        <v>1</v>
      </c>
      <c r="M463" s="280" t="n">
        <f aca="false">1-L463</f>
        <v>0</v>
      </c>
      <c r="N463" s="281"/>
      <c r="O463" s="282"/>
      <c r="P463" s="282"/>
      <c r="Q463" s="282"/>
      <c r="R463" s="282"/>
      <c r="S463" s="282"/>
      <c r="T463" s="282"/>
      <c r="U463" s="282"/>
      <c r="V463" s="282"/>
      <c r="W463" s="282"/>
      <c r="X463" s="282"/>
      <c r="Y463" s="282"/>
      <c r="Z463" s="282"/>
      <c r="AA463" s="283"/>
      <c r="AB463" s="284" t="n">
        <f aca="false">IFERROR(($J463*O463)*$L463, "")</f>
        <v>0</v>
      </c>
      <c r="AC463" s="284" t="n">
        <f aca="false">IFERROR(($J463*P463)*$L463, "")</f>
        <v>0</v>
      </c>
      <c r="AD463" s="284" t="n">
        <f aca="false">IFERROR(($J463*Q463)*$L463, "")</f>
        <v>0</v>
      </c>
      <c r="AE463" s="284" t="n">
        <f aca="false">IFERROR(($J463*R463)*$L463, "")</f>
        <v>0</v>
      </c>
      <c r="AF463" s="284" t="n">
        <f aca="false">IFERROR(($J463*S463)*$L463, "")</f>
        <v>0</v>
      </c>
      <c r="AG463" s="284" t="n">
        <f aca="false">IFERROR(($J463*T463)*$L463, "")</f>
        <v>0</v>
      </c>
      <c r="AH463" s="284" t="n">
        <f aca="false">IFERROR(($J463*U463)*$L463, "")</f>
        <v>0</v>
      </c>
      <c r="AI463" s="284" t="n">
        <f aca="false">IFERROR(($J463*V463)*$L463, "")</f>
        <v>0</v>
      </c>
      <c r="AJ463" s="284" t="n">
        <f aca="false">IFERROR(($J463*W463)*$L463, "")</f>
        <v>0</v>
      </c>
      <c r="AK463" s="284" t="n">
        <f aca="false">IFERROR(($J463*X463)*$L463, "")</f>
        <v>0</v>
      </c>
      <c r="AL463" s="284" t="n">
        <f aca="false">IFERROR(($J463*Y463)*$L463, "")</f>
        <v>0</v>
      </c>
      <c r="AM463" s="285" t="n">
        <f aca="false">IFERROR(($J463*Z463)*$L463, "")</f>
        <v>0</v>
      </c>
      <c r="AN463" s="286" t="n">
        <f aca="false">IFERROR(SUMIF($AB$4:$AM$4, "RDEC", AB463:AM463), "")</f>
        <v>0</v>
      </c>
      <c r="AO463" s="286" t="n">
        <f aca="false">IFERROR(SUMIF($AB$4:$AM$4, "SME", AB463:AM463), "")</f>
        <v>0</v>
      </c>
      <c r="AP463" s="286" t="n">
        <f aca="false">IFERROR(SUMIF($AB$4:$AM$4, "De Minimis", AB463:AM463), "")</f>
        <v>0</v>
      </c>
      <c r="AQ463" s="283"/>
      <c r="AR463" s="284" t="n">
        <f aca="false">IFERROR(($J463*O463)*$M463, "")</f>
        <v>0</v>
      </c>
      <c r="AS463" s="284" t="n">
        <f aca="false">IFERROR(($J463*P463)*$M463, "")</f>
        <v>0</v>
      </c>
      <c r="AT463" s="284" t="n">
        <f aca="false">IFERROR(($J463*Q463)*$M463, "")</f>
        <v>0</v>
      </c>
      <c r="AU463" s="284" t="n">
        <f aca="false">IFERROR(($J463*R463)*$M463, "")</f>
        <v>0</v>
      </c>
      <c r="AV463" s="284" t="n">
        <f aca="false">IFERROR(($J463*S463)*$M463, "")</f>
        <v>0</v>
      </c>
      <c r="AW463" s="284" t="n">
        <f aca="false">IFERROR(($J463*T463)*$M463, "")</f>
        <v>0</v>
      </c>
      <c r="AX463" s="284" t="n">
        <f aca="false">IFERROR(($J463*U463)*$M463, "")</f>
        <v>0</v>
      </c>
      <c r="AY463" s="284" t="n">
        <f aca="false">IFERROR(($J463*V463)*$M463, "")</f>
        <v>0</v>
      </c>
      <c r="AZ463" s="284" t="n">
        <f aca="false">IFERROR(($J463*W463)*$M463, "")</f>
        <v>0</v>
      </c>
      <c r="BA463" s="284" t="n">
        <f aca="false">IFERROR(($J463*X463)*$M463, "")</f>
        <v>0</v>
      </c>
      <c r="BB463" s="284" t="n">
        <f aca="false">IFERROR(($J463*Y463)*$M463, "")</f>
        <v>0</v>
      </c>
      <c r="BC463" s="285" t="n">
        <f aca="false">IFERROR(($J463*Z463)*$M463, "")</f>
        <v>0</v>
      </c>
      <c r="BD463" s="286" t="n">
        <f aca="false">IFERROR(SUMIF($AB$4:$AM$4, "RDEC", AR463:BC463), "")</f>
        <v>0</v>
      </c>
      <c r="BE463" s="286" t="n">
        <f aca="false">IFERROR(SUMIF($AB$4:$AM$4, "SME", AR463:BC463), "")</f>
        <v>0</v>
      </c>
      <c r="BF463" s="286" t="n">
        <f aca="false">IFERROR(SUMIF($AB$4:$AM$4, "De Minimis", AR463:BC463), "")</f>
        <v>0</v>
      </c>
      <c r="BG463" s="287"/>
      <c r="BH463" s="288" t="str">
        <f aca="false">IF((SUM(O463:Z463)&gt;1),"ERROR","")</f>
        <v/>
      </c>
      <c r="BI463" s="287"/>
      <c r="BJ463" s="18" t="str">
        <f aca="false">IF(C449&gt;0, C449, "")</f>
        <v/>
      </c>
      <c r="BL463" s="200"/>
      <c r="BM463" s="200"/>
      <c r="BN463" s="200"/>
    </row>
    <row r="464" customFormat="false" ht="15" hidden="false" customHeight="true" outlineLevel="0" collapsed="false">
      <c r="B464" s="275"/>
      <c r="D464" s="276" t="n">
        <f aca="false">D448</f>
        <v>45536</v>
      </c>
      <c r="E464" s="277" t="n">
        <v>0</v>
      </c>
      <c r="F464" s="277" t="n">
        <v>0</v>
      </c>
      <c r="G464" s="277" t="n">
        <v>0</v>
      </c>
      <c r="H464" s="277" t="n">
        <v>0</v>
      </c>
      <c r="I464" s="277" t="n">
        <v>0</v>
      </c>
      <c r="J464" s="278" t="n">
        <f aca="false">E464+H464+I464</f>
        <v>0</v>
      </c>
      <c r="K464" s="204"/>
      <c r="L464" s="279" t="n">
        <v>1</v>
      </c>
      <c r="M464" s="280" t="n">
        <f aca="false">1-L464</f>
        <v>0</v>
      </c>
      <c r="N464" s="281"/>
      <c r="O464" s="282"/>
      <c r="P464" s="282"/>
      <c r="Q464" s="282"/>
      <c r="R464" s="282"/>
      <c r="S464" s="282"/>
      <c r="T464" s="282"/>
      <c r="U464" s="282"/>
      <c r="V464" s="282"/>
      <c r="W464" s="282"/>
      <c r="X464" s="282"/>
      <c r="Y464" s="282"/>
      <c r="Z464" s="282"/>
      <c r="AA464" s="283"/>
      <c r="AB464" s="284" t="n">
        <f aca="false">IFERROR(($J464*O464)*$L464, "")</f>
        <v>0</v>
      </c>
      <c r="AC464" s="284" t="n">
        <f aca="false">IFERROR(($J464*P464)*$L464, "")</f>
        <v>0</v>
      </c>
      <c r="AD464" s="284" t="n">
        <f aca="false">IFERROR(($J464*Q464)*$L464, "")</f>
        <v>0</v>
      </c>
      <c r="AE464" s="284" t="n">
        <f aca="false">IFERROR(($J464*R464)*$L464, "")</f>
        <v>0</v>
      </c>
      <c r="AF464" s="284" t="n">
        <f aca="false">IFERROR(($J464*S464)*$L464, "")</f>
        <v>0</v>
      </c>
      <c r="AG464" s="284" t="n">
        <f aca="false">IFERROR(($J464*T464)*$L464, "")</f>
        <v>0</v>
      </c>
      <c r="AH464" s="284" t="n">
        <f aca="false">IFERROR(($J464*U464)*$L464, "")</f>
        <v>0</v>
      </c>
      <c r="AI464" s="284" t="n">
        <f aca="false">IFERROR(($J464*V464)*$L464, "")</f>
        <v>0</v>
      </c>
      <c r="AJ464" s="284" t="n">
        <f aca="false">IFERROR(($J464*W464)*$L464, "")</f>
        <v>0</v>
      </c>
      <c r="AK464" s="284" t="n">
        <f aca="false">IFERROR(($J464*X464)*$L464, "")</f>
        <v>0</v>
      </c>
      <c r="AL464" s="284" t="n">
        <f aca="false">IFERROR(($J464*Y464)*$L464, "")</f>
        <v>0</v>
      </c>
      <c r="AM464" s="285" t="n">
        <f aca="false">IFERROR(($J464*Z464)*$L464, "")</f>
        <v>0</v>
      </c>
      <c r="AN464" s="286" t="n">
        <f aca="false">IFERROR(SUMIF($AB$4:$AM$4, "RDEC", AB464:AM464), "")</f>
        <v>0</v>
      </c>
      <c r="AO464" s="286" t="n">
        <f aca="false">IFERROR(SUMIF($AB$4:$AM$4, "SME", AB464:AM464), "")</f>
        <v>0</v>
      </c>
      <c r="AP464" s="286" t="n">
        <f aca="false">IFERROR(SUMIF($AB$4:$AM$4, "De Minimis", AB464:AM464), "")</f>
        <v>0</v>
      </c>
      <c r="AQ464" s="283"/>
      <c r="AR464" s="284" t="n">
        <f aca="false">IFERROR(($J464*O464)*$M464, "")</f>
        <v>0</v>
      </c>
      <c r="AS464" s="284" t="n">
        <f aca="false">IFERROR(($J464*P464)*$M464, "")</f>
        <v>0</v>
      </c>
      <c r="AT464" s="284" t="n">
        <f aca="false">IFERROR(($J464*Q464)*$M464, "")</f>
        <v>0</v>
      </c>
      <c r="AU464" s="284" t="n">
        <f aca="false">IFERROR(($J464*R464)*$M464, "")</f>
        <v>0</v>
      </c>
      <c r="AV464" s="284" t="n">
        <f aca="false">IFERROR(($J464*S464)*$M464, "")</f>
        <v>0</v>
      </c>
      <c r="AW464" s="284" t="n">
        <f aca="false">IFERROR(($J464*T464)*$M464, "")</f>
        <v>0</v>
      </c>
      <c r="AX464" s="284" t="n">
        <f aca="false">IFERROR(($J464*U464)*$M464, "")</f>
        <v>0</v>
      </c>
      <c r="AY464" s="284" t="n">
        <f aca="false">IFERROR(($J464*V464)*$M464, "")</f>
        <v>0</v>
      </c>
      <c r="AZ464" s="284" t="n">
        <f aca="false">IFERROR(($J464*W464)*$M464, "")</f>
        <v>0</v>
      </c>
      <c r="BA464" s="284" t="n">
        <f aca="false">IFERROR(($J464*X464)*$M464, "")</f>
        <v>0</v>
      </c>
      <c r="BB464" s="284" t="n">
        <f aca="false">IFERROR(($J464*Y464)*$M464, "")</f>
        <v>0</v>
      </c>
      <c r="BC464" s="285" t="n">
        <f aca="false">IFERROR(($J464*Z464)*$M464, "")</f>
        <v>0</v>
      </c>
      <c r="BD464" s="286" t="n">
        <f aca="false">IFERROR(SUMIF($AB$4:$AM$4, "RDEC", AR464:BC464), "")</f>
        <v>0</v>
      </c>
      <c r="BE464" s="286" t="n">
        <f aca="false">IFERROR(SUMIF($AB$4:$AM$4, "SME", AR464:BC464), "")</f>
        <v>0</v>
      </c>
      <c r="BF464" s="286" t="n">
        <f aca="false">IFERROR(SUMIF($AB$4:$AM$4, "De Minimis", AR464:BC464), "")</f>
        <v>0</v>
      </c>
      <c r="BG464" s="287"/>
      <c r="BH464" s="288" t="str">
        <f aca="false">IF((SUM(O464:Z464)&gt;1),"ERROR","")</f>
        <v/>
      </c>
      <c r="BI464" s="287"/>
      <c r="BJ464" s="18" t="str">
        <f aca="false">IF(C450&gt;0, C450, "")</f>
        <v/>
      </c>
      <c r="BL464" s="200"/>
      <c r="BM464" s="200"/>
      <c r="BN464" s="200"/>
    </row>
    <row r="465" customFormat="false" ht="15" hidden="false" customHeight="true" outlineLevel="0" collapsed="false">
      <c r="B465" s="275"/>
      <c r="D465" s="276" t="n">
        <f aca="false">D449</f>
        <v>45566</v>
      </c>
      <c r="E465" s="277" t="n">
        <v>0</v>
      </c>
      <c r="F465" s="277" t="n">
        <v>0</v>
      </c>
      <c r="G465" s="277" t="n">
        <v>0</v>
      </c>
      <c r="H465" s="277" t="n">
        <v>0</v>
      </c>
      <c r="I465" s="277" t="n">
        <v>0</v>
      </c>
      <c r="J465" s="278" t="n">
        <f aca="false">E465+H465+I465</f>
        <v>0</v>
      </c>
      <c r="K465" s="204"/>
      <c r="L465" s="279" t="n">
        <v>1</v>
      </c>
      <c r="M465" s="280" t="n">
        <f aca="false">1-L465</f>
        <v>0</v>
      </c>
      <c r="N465" s="281"/>
      <c r="O465" s="282"/>
      <c r="P465" s="282"/>
      <c r="Q465" s="282"/>
      <c r="R465" s="282"/>
      <c r="S465" s="282"/>
      <c r="T465" s="282"/>
      <c r="U465" s="282"/>
      <c r="V465" s="282"/>
      <c r="W465" s="282"/>
      <c r="X465" s="282"/>
      <c r="Y465" s="282"/>
      <c r="Z465" s="282"/>
      <c r="AA465" s="283"/>
      <c r="AB465" s="284" t="n">
        <f aca="false">IFERROR(($J465*O465)*$L465, "")</f>
        <v>0</v>
      </c>
      <c r="AC465" s="284" t="n">
        <f aca="false">IFERROR(($J465*P465)*$L465, "")</f>
        <v>0</v>
      </c>
      <c r="AD465" s="284" t="n">
        <f aca="false">IFERROR(($J465*Q465)*$L465, "")</f>
        <v>0</v>
      </c>
      <c r="AE465" s="284" t="n">
        <f aca="false">IFERROR(($J465*R465)*$L465, "")</f>
        <v>0</v>
      </c>
      <c r="AF465" s="284" t="n">
        <f aca="false">IFERROR(($J465*S465)*$L465, "")</f>
        <v>0</v>
      </c>
      <c r="AG465" s="284" t="n">
        <f aca="false">IFERROR(($J465*T465)*$L465, "")</f>
        <v>0</v>
      </c>
      <c r="AH465" s="284" t="n">
        <f aca="false">IFERROR(($J465*U465)*$L465, "")</f>
        <v>0</v>
      </c>
      <c r="AI465" s="284" t="n">
        <f aca="false">IFERROR(($J465*V465)*$L465, "")</f>
        <v>0</v>
      </c>
      <c r="AJ465" s="284" t="n">
        <f aca="false">IFERROR(($J465*W465)*$L465, "")</f>
        <v>0</v>
      </c>
      <c r="AK465" s="284" t="n">
        <f aca="false">IFERROR(($J465*X465)*$L465, "")</f>
        <v>0</v>
      </c>
      <c r="AL465" s="284" t="n">
        <f aca="false">IFERROR(($J465*Y465)*$L465, "")</f>
        <v>0</v>
      </c>
      <c r="AM465" s="285" t="n">
        <f aca="false">IFERROR(($J465*Z465)*$L465, "")</f>
        <v>0</v>
      </c>
      <c r="AN465" s="286" t="n">
        <f aca="false">IFERROR(SUMIF($AB$4:$AM$4, "RDEC", AB465:AM465), "")</f>
        <v>0</v>
      </c>
      <c r="AO465" s="286" t="n">
        <f aca="false">IFERROR(SUMIF($AB$4:$AM$4, "SME", AB465:AM465), "")</f>
        <v>0</v>
      </c>
      <c r="AP465" s="286" t="n">
        <f aca="false">IFERROR(SUMIF($AB$4:$AM$4, "De Minimis", AB465:AM465), "")</f>
        <v>0</v>
      </c>
      <c r="AQ465" s="283"/>
      <c r="AR465" s="284" t="n">
        <f aca="false">IFERROR(($J465*O465)*$M465, "")</f>
        <v>0</v>
      </c>
      <c r="AS465" s="284" t="n">
        <f aca="false">IFERROR(($J465*P465)*$M465, "")</f>
        <v>0</v>
      </c>
      <c r="AT465" s="284" t="n">
        <f aca="false">IFERROR(($J465*Q465)*$M465, "")</f>
        <v>0</v>
      </c>
      <c r="AU465" s="284" t="n">
        <f aca="false">IFERROR(($J465*R465)*$M465, "")</f>
        <v>0</v>
      </c>
      <c r="AV465" s="284" t="n">
        <f aca="false">IFERROR(($J465*S465)*$M465, "")</f>
        <v>0</v>
      </c>
      <c r="AW465" s="284" t="n">
        <f aca="false">IFERROR(($J465*T465)*$M465, "")</f>
        <v>0</v>
      </c>
      <c r="AX465" s="284" t="n">
        <f aca="false">IFERROR(($J465*U465)*$M465, "")</f>
        <v>0</v>
      </c>
      <c r="AY465" s="284" t="n">
        <f aca="false">IFERROR(($J465*V465)*$M465, "")</f>
        <v>0</v>
      </c>
      <c r="AZ465" s="284" t="n">
        <f aca="false">IFERROR(($J465*W465)*$M465, "")</f>
        <v>0</v>
      </c>
      <c r="BA465" s="284" t="n">
        <f aca="false">IFERROR(($J465*X465)*$M465, "")</f>
        <v>0</v>
      </c>
      <c r="BB465" s="284" t="n">
        <f aca="false">IFERROR(($J465*Y465)*$M465, "")</f>
        <v>0</v>
      </c>
      <c r="BC465" s="285" t="n">
        <f aca="false">IFERROR(($J465*Z465)*$M465, "")</f>
        <v>0</v>
      </c>
      <c r="BD465" s="286" t="n">
        <f aca="false">IFERROR(SUMIF($AB$4:$AM$4, "RDEC", AR465:BC465), "")</f>
        <v>0</v>
      </c>
      <c r="BE465" s="286" t="n">
        <f aca="false">IFERROR(SUMIF($AB$4:$AM$4, "SME", AR465:BC465), "")</f>
        <v>0</v>
      </c>
      <c r="BF465" s="286" t="n">
        <f aca="false">IFERROR(SUMIF($AB$4:$AM$4, "De Minimis", AR465:BC465), "")</f>
        <v>0</v>
      </c>
      <c r="BG465" s="287"/>
      <c r="BH465" s="288" t="str">
        <f aca="false">IF((SUM(O465:Z465)&gt;1),"ERROR","")</f>
        <v/>
      </c>
      <c r="BI465" s="287"/>
      <c r="BJ465" s="18" t="str">
        <f aca="false">IF(C451&gt;0, C451, "")</f>
        <v/>
      </c>
      <c r="BL465" s="200"/>
      <c r="BM465" s="200"/>
      <c r="BN465" s="200"/>
    </row>
    <row r="466" customFormat="false" ht="15" hidden="false" customHeight="true" outlineLevel="0" collapsed="false">
      <c r="B466" s="275"/>
      <c r="D466" s="276" t="n">
        <f aca="false">D450</f>
        <v>45597</v>
      </c>
      <c r="E466" s="277" t="n">
        <v>0</v>
      </c>
      <c r="F466" s="277" t="n">
        <v>0</v>
      </c>
      <c r="G466" s="277" t="n">
        <v>0</v>
      </c>
      <c r="H466" s="277" t="n">
        <v>0</v>
      </c>
      <c r="I466" s="277" t="n">
        <v>0</v>
      </c>
      <c r="J466" s="278" t="n">
        <f aca="false">E466+H466+I466</f>
        <v>0</v>
      </c>
      <c r="K466" s="204"/>
      <c r="L466" s="279" t="n">
        <v>1</v>
      </c>
      <c r="M466" s="280" t="n">
        <f aca="false">1-L466</f>
        <v>0</v>
      </c>
      <c r="N466" s="281"/>
      <c r="O466" s="282"/>
      <c r="P466" s="282"/>
      <c r="Q466" s="282"/>
      <c r="R466" s="282"/>
      <c r="S466" s="282"/>
      <c r="T466" s="282"/>
      <c r="U466" s="282"/>
      <c r="V466" s="282"/>
      <c r="W466" s="282"/>
      <c r="X466" s="282"/>
      <c r="Y466" s="282"/>
      <c r="Z466" s="282"/>
      <c r="AA466" s="283"/>
      <c r="AB466" s="284" t="n">
        <f aca="false">IFERROR(($J466*O466)*$L466, "")</f>
        <v>0</v>
      </c>
      <c r="AC466" s="284" t="n">
        <f aca="false">IFERROR(($J466*P466)*$L466, "")</f>
        <v>0</v>
      </c>
      <c r="AD466" s="284" t="n">
        <f aca="false">IFERROR(($J466*Q466)*$L466, "")</f>
        <v>0</v>
      </c>
      <c r="AE466" s="284" t="n">
        <f aca="false">IFERROR(($J466*R466)*$L466, "")</f>
        <v>0</v>
      </c>
      <c r="AF466" s="284" t="n">
        <f aca="false">IFERROR(($J466*S466)*$L466, "")</f>
        <v>0</v>
      </c>
      <c r="AG466" s="284" t="n">
        <f aca="false">IFERROR(($J466*T466)*$L466, "")</f>
        <v>0</v>
      </c>
      <c r="AH466" s="284" t="n">
        <f aca="false">IFERROR(($J466*U466)*$L466, "")</f>
        <v>0</v>
      </c>
      <c r="AI466" s="284" t="n">
        <f aca="false">IFERROR(($J466*V466)*$L466, "")</f>
        <v>0</v>
      </c>
      <c r="AJ466" s="284" t="n">
        <f aca="false">IFERROR(($J466*W466)*$L466, "")</f>
        <v>0</v>
      </c>
      <c r="AK466" s="284" t="n">
        <f aca="false">IFERROR(($J466*X466)*$L466, "")</f>
        <v>0</v>
      </c>
      <c r="AL466" s="284" t="n">
        <f aca="false">IFERROR(($J466*Y466)*$L466, "")</f>
        <v>0</v>
      </c>
      <c r="AM466" s="285" t="n">
        <f aca="false">IFERROR(($J466*Z466)*$L466, "")</f>
        <v>0</v>
      </c>
      <c r="AN466" s="286" t="n">
        <f aca="false">IFERROR(SUMIF($AB$4:$AM$4, "RDEC", AB466:AM466), "")</f>
        <v>0</v>
      </c>
      <c r="AO466" s="286" t="n">
        <f aca="false">IFERROR(SUMIF($AB$4:$AM$4, "SME", AB466:AM466), "")</f>
        <v>0</v>
      </c>
      <c r="AP466" s="286" t="n">
        <f aca="false">IFERROR(SUMIF($AB$4:$AM$4, "De Minimis", AB466:AM466), "")</f>
        <v>0</v>
      </c>
      <c r="AQ466" s="283"/>
      <c r="AR466" s="284" t="n">
        <f aca="false">IFERROR(($J466*O466)*$M466, "")</f>
        <v>0</v>
      </c>
      <c r="AS466" s="284" t="n">
        <f aca="false">IFERROR(($J466*P466)*$M466, "")</f>
        <v>0</v>
      </c>
      <c r="AT466" s="284" t="n">
        <f aca="false">IFERROR(($J466*Q466)*$M466, "")</f>
        <v>0</v>
      </c>
      <c r="AU466" s="284" t="n">
        <f aca="false">IFERROR(($J466*R466)*$M466, "")</f>
        <v>0</v>
      </c>
      <c r="AV466" s="284" t="n">
        <f aca="false">IFERROR(($J466*S466)*$M466, "")</f>
        <v>0</v>
      </c>
      <c r="AW466" s="284" t="n">
        <f aca="false">IFERROR(($J466*T466)*$M466, "")</f>
        <v>0</v>
      </c>
      <c r="AX466" s="284" t="n">
        <f aca="false">IFERROR(($J466*U466)*$M466, "")</f>
        <v>0</v>
      </c>
      <c r="AY466" s="284" t="n">
        <f aca="false">IFERROR(($J466*V466)*$M466, "")</f>
        <v>0</v>
      </c>
      <c r="AZ466" s="284" t="n">
        <f aca="false">IFERROR(($J466*W466)*$M466, "")</f>
        <v>0</v>
      </c>
      <c r="BA466" s="284" t="n">
        <f aca="false">IFERROR(($J466*X466)*$M466, "")</f>
        <v>0</v>
      </c>
      <c r="BB466" s="284" t="n">
        <f aca="false">IFERROR(($J466*Y466)*$M466, "")</f>
        <v>0</v>
      </c>
      <c r="BC466" s="285" t="n">
        <f aca="false">IFERROR(($J466*Z466)*$M466, "")</f>
        <v>0</v>
      </c>
      <c r="BD466" s="286" t="n">
        <f aca="false">IFERROR(SUMIF($AB$4:$AM$4, "RDEC", AR466:BC466), "")</f>
        <v>0</v>
      </c>
      <c r="BE466" s="286" t="n">
        <f aca="false">IFERROR(SUMIF($AB$4:$AM$4, "SME", AR466:BC466), "")</f>
        <v>0</v>
      </c>
      <c r="BF466" s="286" t="n">
        <f aca="false">IFERROR(SUMIF($AB$4:$AM$4, "De Minimis", AR466:BC466), "")</f>
        <v>0</v>
      </c>
      <c r="BG466" s="287"/>
      <c r="BH466" s="288" t="str">
        <f aca="false">IF((SUM(O466:Z466)&gt;1),"ERROR","")</f>
        <v/>
      </c>
      <c r="BI466" s="287"/>
      <c r="BJ466" s="18" t="str">
        <f aca="false">IF(C452&gt;0, C452, "")</f>
        <v/>
      </c>
      <c r="BL466" s="200"/>
      <c r="BM466" s="200"/>
      <c r="BN466" s="200"/>
    </row>
    <row r="467" customFormat="false" ht="15" hidden="false" customHeight="true" outlineLevel="0" collapsed="false">
      <c r="B467" s="275"/>
      <c r="D467" s="276" t="n">
        <f aca="false">D451</f>
        <v>45627</v>
      </c>
      <c r="E467" s="277" t="n">
        <v>0</v>
      </c>
      <c r="F467" s="277" t="n">
        <v>0</v>
      </c>
      <c r="G467" s="277" t="n">
        <v>0</v>
      </c>
      <c r="H467" s="277" t="n">
        <v>0</v>
      </c>
      <c r="I467" s="277" t="n">
        <v>0</v>
      </c>
      <c r="J467" s="278" t="n">
        <f aca="false">E467+H467+I467</f>
        <v>0</v>
      </c>
      <c r="K467" s="204"/>
      <c r="L467" s="289" t="n">
        <v>1</v>
      </c>
      <c r="M467" s="290" t="n">
        <f aca="false">1-L467</f>
        <v>0</v>
      </c>
      <c r="N467" s="281"/>
      <c r="O467" s="291"/>
      <c r="P467" s="291"/>
      <c r="Q467" s="291"/>
      <c r="R467" s="291"/>
      <c r="S467" s="291"/>
      <c r="T467" s="291"/>
      <c r="U467" s="291"/>
      <c r="V467" s="291"/>
      <c r="W467" s="291"/>
      <c r="X467" s="291"/>
      <c r="Y467" s="291"/>
      <c r="Z467" s="291"/>
      <c r="AA467" s="283"/>
      <c r="AB467" s="292" t="n">
        <f aca="false">IFERROR(($J467*O467)*$L467, "")</f>
        <v>0</v>
      </c>
      <c r="AC467" s="292" t="n">
        <f aca="false">IFERROR(($J467*P467)*$L467, "")</f>
        <v>0</v>
      </c>
      <c r="AD467" s="292" t="n">
        <f aca="false">IFERROR(($J467*Q467)*$L467, "")</f>
        <v>0</v>
      </c>
      <c r="AE467" s="292" t="n">
        <f aca="false">IFERROR(($J467*R467)*$L467, "")</f>
        <v>0</v>
      </c>
      <c r="AF467" s="292" t="n">
        <f aca="false">IFERROR(($J467*S467)*$L467, "")</f>
        <v>0</v>
      </c>
      <c r="AG467" s="292" t="n">
        <f aca="false">IFERROR(($J467*T467)*$L467, "")</f>
        <v>0</v>
      </c>
      <c r="AH467" s="292" t="n">
        <f aca="false">IFERROR(($J467*U467)*$L467, "")</f>
        <v>0</v>
      </c>
      <c r="AI467" s="292" t="n">
        <f aca="false">IFERROR(($J467*V467)*$L467, "")</f>
        <v>0</v>
      </c>
      <c r="AJ467" s="292" t="n">
        <f aca="false">IFERROR(($J467*W467)*$L467, "")</f>
        <v>0</v>
      </c>
      <c r="AK467" s="292" t="n">
        <f aca="false">IFERROR(($J467*X467)*$L467, "")</f>
        <v>0</v>
      </c>
      <c r="AL467" s="292" t="n">
        <f aca="false">IFERROR(($J467*Y467)*$L467, "")</f>
        <v>0</v>
      </c>
      <c r="AM467" s="293" t="n">
        <f aca="false">IFERROR(($J467*Z467)*$L467, "")</f>
        <v>0</v>
      </c>
      <c r="AN467" s="294" t="n">
        <f aca="false">IFERROR(SUMIF($AB$4:$AM$4, "RDEC", AB467:AM467), "")</f>
        <v>0</v>
      </c>
      <c r="AO467" s="294" t="n">
        <f aca="false">IFERROR(SUMIF($AB$4:$AM$4, "SME", AB467:AM467), "")</f>
        <v>0</v>
      </c>
      <c r="AP467" s="294" t="n">
        <f aca="false">IFERROR(SUMIF($AB$4:$AM$4, "De Minimis", AB467:AM467), "")</f>
        <v>0</v>
      </c>
      <c r="AQ467" s="283"/>
      <c r="AR467" s="292" t="n">
        <f aca="false">IFERROR(($J467*O467)*$M467, "")</f>
        <v>0</v>
      </c>
      <c r="AS467" s="292" t="n">
        <f aca="false">IFERROR(($J467*P467)*$M467, "")</f>
        <v>0</v>
      </c>
      <c r="AT467" s="292" t="n">
        <f aca="false">IFERROR(($J467*Q467)*$M467, "")</f>
        <v>0</v>
      </c>
      <c r="AU467" s="292" t="n">
        <f aca="false">IFERROR(($J467*R467)*$M467, "")</f>
        <v>0</v>
      </c>
      <c r="AV467" s="292" t="n">
        <f aca="false">IFERROR(($J467*S467)*$M467, "")</f>
        <v>0</v>
      </c>
      <c r="AW467" s="292" t="n">
        <f aca="false">IFERROR(($J467*T467)*$M467, "")</f>
        <v>0</v>
      </c>
      <c r="AX467" s="292" t="n">
        <f aca="false">IFERROR(($J467*U467)*$M467, "")</f>
        <v>0</v>
      </c>
      <c r="AY467" s="292" t="n">
        <f aca="false">IFERROR(($J467*V467)*$M467, "")</f>
        <v>0</v>
      </c>
      <c r="AZ467" s="292" t="n">
        <f aca="false">IFERROR(($J467*W467)*$M467, "")</f>
        <v>0</v>
      </c>
      <c r="BA467" s="292" t="n">
        <f aca="false">IFERROR(($J467*X467)*$M467, "")</f>
        <v>0</v>
      </c>
      <c r="BB467" s="292" t="n">
        <f aca="false">IFERROR(($J467*Y467)*$M467, "")</f>
        <v>0</v>
      </c>
      <c r="BC467" s="293" t="n">
        <f aca="false">IFERROR(($J467*Z467)*$M467, "")</f>
        <v>0</v>
      </c>
      <c r="BD467" s="294" t="n">
        <f aca="false">IFERROR(SUMIF($AB$4:$AM$4, "RDEC", AR467:BC467), "")</f>
        <v>0</v>
      </c>
      <c r="BE467" s="294" t="n">
        <f aca="false">IFERROR(SUMIF($AB$4:$AM$4, "SME", AR467:BC467), "")</f>
        <v>0</v>
      </c>
      <c r="BF467" s="294" t="n">
        <f aca="false">IFERROR(SUMIF($AB$4:$AM$4, "De Minimis", AR467:BC467), "")</f>
        <v>0</v>
      </c>
      <c r="BG467" s="287"/>
      <c r="BH467" s="295" t="str">
        <f aca="false">IF((SUM(O467:Z467)&gt;1),"ERROR","")</f>
        <v/>
      </c>
      <c r="BI467" s="287"/>
      <c r="BJ467" s="18" t="str">
        <f aca="false">IF(C453&gt;0, C453, "")</f>
        <v/>
      </c>
      <c r="BL467" s="200"/>
      <c r="BM467" s="200"/>
      <c r="BN467" s="200"/>
    </row>
    <row r="468" customFormat="false" ht="15" hidden="false" customHeight="true" outlineLevel="0" collapsed="false">
      <c r="B468" s="296"/>
      <c r="D468" s="297" t="s">
        <v>82</v>
      </c>
      <c r="E468" s="298" t="n">
        <f aca="false">SUM(E456:E467)</f>
        <v>0</v>
      </c>
      <c r="F468" s="298" t="n">
        <f aca="false">SUM(F456:F467)</f>
        <v>0</v>
      </c>
      <c r="G468" s="298" t="n">
        <f aca="false">SUM(G456:G467)</f>
        <v>0</v>
      </c>
      <c r="H468" s="298" t="n">
        <f aca="false">SUM(H456:H467)</f>
        <v>0</v>
      </c>
      <c r="I468" s="298" t="n">
        <f aca="false">SUM(I456:I467)</f>
        <v>0</v>
      </c>
      <c r="J468" s="299" t="n">
        <f aca="false">SUM(J456:J467)</f>
        <v>0</v>
      </c>
      <c r="K468" s="300"/>
      <c r="L468" s="301" t="n">
        <f aca="false">AVERAGE(L456:L467)</f>
        <v>1</v>
      </c>
      <c r="M468" s="301" t="n">
        <f aca="false">AVERAGE(M456:M467)</f>
        <v>0</v>
      </c>
      <c r="N468" s="302"/>
      <c r="O468" s="290" t="n">
        <f aca="false">IF(SUM(O456:O467)&gt;0,((AB468+AR468)/J468),0)</f>
        <v>0</v>
      </c>
      <c r="P468" s="290" t="n">
        <f aca="false">IF(SUM(P456:P467)&gt;0,((AC468+AS468)/J468),0)</f>
        <v>0</v>
      </c>
      <c r="Q468" s="290" t="n">
        <f aca="false">IF(SUM(Q456:Q467)&gt;0,((AD468+AT468)/J468),0)</f>
        <v>0</v>
      </c>
      <c r="R468" s="290" t="n">
        <f aca="false">IF(SUM(R456:R467)&gt;0,((AE468+AU468)/J468),0)</f>
        <v>0</v>
      </c>
      <c r="S468" s="290" t="n">
        <f aca="false">IF(SUM(S456:S467)&gt;0,((AF468+AV468)/J468),0)</f>
        <v>0</v>
      </c>
      <c r="T468" s="290" t="n">
        <f aca="false">IF(SUM(T456:T467)&gt;0,((AG468+AW468)/J468),0)</f>
        <v>0</v>
      </c>
      <c r="U468" s="290" t="n">
        <f aca="false">IF(SUM(U456:U467)&gt;0,((AH468+AX468)/J468),0)</f>
        <v>0</v>
      </c>
      <c r="V468" s="290" t="n">
        <f aca="false">IF(SUM(V456:V467)&gt;0,((AI468+AY468)/J468),0)</f>
        <v>0</v>
      </c>
      <c r="W468" s="290" t="n">
        <f aca="false">IF(SUM(W456:W467)&gt;0,((AJ468+AZ468)/J468),0)</f>
        <v>0</v>
      </c>
      <c r="X468" s="290" t="n">
        <f aca="false">IF(SUM(X456:X467)&gt;0,((AK468+BA468)/J468),0)</f>
        <v>0</v>
      </c>
      <c r="Y468" s="290" t="n">
        <f aca="false">IF(SUM(Y456:Y467)&gt;0,((AL468+BB468)/J468),0)</f>
        <v>0</v>
      </c>
      <c r="Z468" s="290" t="n">
        <f aca="false">IF(SUM(Z456:Z467)&gt;0,((AM468+BC468)/J468),0)</f>
        <v>0</v>
      </c>
      <c r="AA468" s="303"/>
      <c r="AB468" s="292" t="n">
        <f aca="false">SUM(AB456:AB467)</f>
        <v>0</v>
      </c>
      <c r="AC468" s="304" t="n">
        <f aca="false">SUM(AC456:AC467)</f>
        <v>0</v>
      </c>
      <c r="AD468" s="304" t="n">
        <f aca="false">SUM(AD456:AD467)</f>
        <v>0</v>
      </c>
      <c r="AE468" s="304" t="n">
        <f aca="false">SUM(AE456:AE467)</f>
        <v>0</v>
      </c>
      <c r="AF468" s="304" t="n">
        <f aca="false">SUM(AF456:AF467)</f>
        <v>0</v>
      </c>
      <c r="AG468" s="304" t="n">
        <f aca="false">SUM(AG456:AG467)</f>
        <v>0</v>
      </c>
      <c r="AH468" s="304" t="n">
        <f aca="false">SUM(AH456:AH467)</f>
        <v>0</v>
      </c>
      <c r="AI468" s="304" t="n">
        <f aca="false">SUM(AI456:AI467)</f>
        <v>0</v>
      </c>
      <c r="AJ468" s="304" t="n">
        <f aca="false">SUM(AJ456:AJ467)</f>
        <v>0</v>
      </c>
      <c r="AK468" s="304" t="n">
        <f aca="false">SUM(AK456:AK467)</f>
        <v>0</v>
      </c>
      <c r="AL468" s="304" t="n">
        <f aca="false">SUM(AL456:AL467)</f>
        <v>0</v>
      </c>
      <c r="AM468" s="304" t="n">
        <f aca="false">SUM(AM456:AM467)</f>
        <v>0</v>
      </c>
      <c r="AN468" s="305" t="n">
        <f aca="false">SUM(AN456:AN467)</f>
        <v>0</v>
      </c>
      <c r="AO468" s="305" t="n">
        <f aca="false">SUM(AO456:AO467)</f>
        <v>0</v>
      </c>
      <c r="AP468" s="305" t="n">
        <f aca="false">SUM(AP456:AP467)</f>
        <v>0</v>
      </c>
      <c r="AQ468" s="303"/>
      <c r="AR468" s="292" t="n">
        <f aca="false">SUM(AR456:AR467)</f>
        <v>0</v>
      </c>
      <c r="AS468" s="304" t="n">
        <f aca="false">SUM(AS456:AS467)</f>
        <v>0</v>
      </c>
      <c r="AT468" s="304" t="n">
        <f aca="false">SUM(AT456:AT467)</f>
        <v>0</v>
      </c>
      <c r="AU468" s="304" t="n">
        <f aca="false">SUM(AU456:AU467)</f>
        <v>0</v>
      </c>
      <c r="AV468" s="304" t="n">
        <f aca="false">SUM(AV456:AV467)</f>
        <v>0</v>
      </c>
      <c r="AW468" s="304" t="n">
        <f aca="false">SUM(AW456:AW467)</f>
        <v>0</v>
      </c>
      <c r="AX468" s="304" t="n">
        <f aca="false">SUM(AX456:AX467)</f>
        <v>0</v>
      </c>
      <c r="AY468" s="304" t="n">
        <f aca="false">SUM(AY456:AY467)</f>
        <v>0</v>
      </c>
      <c r="AZ468" s="304" t="n">
        <f aca="false">SUM(AZ456:AZ467)</f>
        <v>0</v>
      </c>
      <c r="BA468" s="304" t="n">
        <f aca="false">SUM(BA456:BA467)</f>
        <v>0</v>
      </c>
      <c r="BB468" s="304" t="n">
        <f aca="false">SUM(BB456:BB467)</f>
        <v>0</v>
      </c>
      <c r="BC468" s="304" t="n">
        <f aca="false">SUM(BC456:BC467)</f>
        <v>0</v>
      </c>
      <c r="BD468" s="305" t="n">
        <f aca="false">SUM(BD456:BD467)</f>
        <v>0</v>
      </c>
      <c r="BE468" s="305" t="n">
        <f aca="false">SUM(BE456:BE467)</f>
        <v>0</v>
      </c>
      <c r="BF468" s="305" t="n">
        <f aca="false">SUM(BF456:BF467)</f>
        <v>0</v>
      </c>
      <c r="BG468" s="303"/>
      <c r="BH468" s="306"/>
      <c r="BI468" s="303"/>
      <c r="BJ468" s="307" t="str">
        <f aca="false">IF(C454&gt;0, C454, "")</f>
        <v>TBA</v>
      </c>
      <c r="BK468" s="18" t="s">
        <v>234</v>
      </c>
      <c r="BL468" s="200" t="n">
        <f aca="false">IF($BK468="Y",J468,0)</f>
        <v>0</v>
      </c>
      <c r="BM468" s="200" t="n">
        <f aca="false">IF(BK468="Y", AN468,0)</f>
        <v>0</v>
      </c>
      <c r="BN468" s="200" t="n">
        <f aca="false">IF((BK468="Y"),AO468,0)</f>
        <v>0</v>
      </c>
    </row>
    <row r="469" customFormat="false" ht="15" hidden="false" customHeight="true" outlineLevel="0" collapsed="false">
      <c r="B469" s="296"/>
      <c r="D469" s="297"/>
      <c r="E469" s="277"/>
      <c r="F469" s="277"/>
      <c r="G469" s="277"/>
      <c r="H469" s="277"/>
      <c r="I469" s="277"/>
      <c r="J469" s="300"/>
      <c r="K469" s="300"/>
      <c r="L469" s="302"/>
      <c r="M469" s="302"/>
      <c r="N469" s="302"/>
      <c r="O469" s="308"/>
      <c r="P469" s="308"/>
      <c r="Q469" s="308"/>
      <c r="R469" s="308"/>
      <c r="S469" s="308"/>
      <c r="T469" s="308"/>
      <c r="U469" s="308"/>
      <c r="V469" s="308"/>
      <c r="W469" s="308"/>
      <c r="X469" s="308"/>
      <c r="Y469" s="308"/>
      <c r="Z469" s="308"/>
      <c r="AA469" s="303"/>
      <c r="AB469" s="303"/>
      <c r="AC469" s="303"/>
      <c r="AD469" s="303"/>
      <c r="AE469" s="303"/>
      <c r="AF469" s="303"/>
      <c r="AG469" s="303"/>
      <c r="AH469" s="303"/>
      <c r="AI469" s="303"/>
      <c r="AJ469" s="303"/>
      <c r="AK469" s="303"/>
      <c r="AL469" s="303"/>
      <c r="AM469" s="303"/>
      <c r="AN469" s="303"/>
      <c r="AO469" s="303"/>
      <c r="AP469" s="303"/>
      <c r="AQ469" s="303"/>
      <c r="AR469" s="303"/>
      <c r="AS469" s="303"/>
      <c r="AT469" s="303"/>
      <c r="AU469" s="303"/>
      <c r="AV469" s="303"/>
      <c r="AW469" s="303"/>
      <c r="AX469" s="303"/>
      <c r="AY469" s="303"/>
      <c r="AZ469" s="303"/>
      <c r="BA469" s="303"/>
      <c r="BB469" s="303"/>
      <c r="BC469" s="303"/>
      <c r="BD469" s="303"/>
      <c r="BE469" s="303"/>
      <c r="BF469" s="303"/>
      <c r="BG469" s="303"/>
      <c r="BH469" s="303"/>
      <c r="BI469" s="303"/>
      <c r="BJ469" s="307" t="str">
        <f aca="false">IF(C456&gt;0, C456, "")</f>
        <v/>
      </c>
      <c r="BL469" s="200"/>
      <c r="BM469" s="200"/>
      <c r="BN469" s="200"/>
    </row>
    <row r="470" customFormat="false" ht="15" hidden="false" customHeight="true" outlineLevel="0" collapsed="false">
      <c r="A470" s="198" t="n">
        <f aca="false">A454+1</f>
        <v>30</v>
      </c>
      <c r="B470" s="266" t="s">
        <v>253</v>
      </c>
      <c r="C470" s="266" t="s">
        <v>253</v>
      </c>
      <c r="D470" s="267"/>
      <c r="E470" s="242"/>
      <c r="F470" s="242"/>
      <c r="G470" s="242"/>
      <c r="H470" s="242"/>
      <c r="I470" s="242"/>
      <c r="J470" s="241"/>
      <c r="K470" s="241"/>
      <c r="L470" s="241"/>
      <c r="M470" s="241"/>
      <c r="N470" s="241"/>
      <c r="O470" s="268"/>
      <c r="P470" s="268"/>
      <c r="Q470" s="268"/>
      <c r="R470" s="268"/>
      <c r="S470" s="268"/>
      <c r="T470" s="268"/>
      <c r="U470" s="268"/>
      <c r="V470" s="268"/>
      <c r="W470" s="268"/>
      <c r="X470" s="268"/>
      <c r="Y470" s="268"/>
      <c r="Z470" s="268"/>
      <c r="AA470" s="268"/>
      <c r="AB470" s="268"/>
      <c r="AC470" s="268"/>
      <c r="AD470" s="268"/>
      <c r="AE470" s="268"/>
      <c r="AF470" s="268"/>
      <c r="AG470" s="268"/>
      <c r="AH470" s="268"/>
      <c r="AI470" s="268"/>
      <c r="AJ470" s="268"/>
      <c r="AK470" s="268"/>
      <c r="AL470" s="268"/>
      <c r="AM470" s="268"/>
      <c r="AN470" s="268"/>
      <c r="AO470" s="268"/>
      <c r="AP470" s="268"/>
      <c r="AQ470" s="268"/>
      <c r="AR470" s="268"/>
      <c r="AS470" s="268"/>
      <c r="AT470" s="268"/>
      <c r="AU470" s="268"/>
      <c r="AV470" s="268"/>
      <c r="AW470" s="268"/>
      <c r="AX470" s="268"/>
      <c r="AY470" s="268"/>
      <c r="AZ470" s="268"/>
      <c r="BA470" s="268"/>
      <c r="BB470" s="268"/>
      <c r="BC470" s="268"/>
      <c r="BD470" s="268"/>
      <c r="BE470" s="268"/>
      <c r="BF470" s="268"/>
      <c r="BG470" s="268"/>
      <c r="BH470" s="268"/>
      <c r="BI470" s="268"/>
      <c r="BJ470" s="18" t="str">
        <f aca="false">IF(C457&gt;0, C457, "")</f>
        <v/>
      </c>
      <c r="BL470" s="200"/>
      <c r="BM470" s="200"/>
      <c r="BN470" s="200"/>
    </row>
    <row r="471" customFormat="false" ht="7.5" hidden="false" customHeight="true" outlineLevel="0" collapsed="false">
      <c r="A471" s="198"/>
      <c r="B471" s="266"/>
      <c r="C471" s="266"/>
      <c r="D471" s="267"/>
      <c r="E471" s="242"/>
      <c r="F471" s="242"/>
      <c r="G471" s="242"/>
      <c r="H471" s="242"/>
      <c r="I471" s="242"/>
      <c r="J471" s="241"/>
      <c r="K471" s="241"/>
      <c r="L471" s="269"/>
      <c r="M471" s="269"/>
      <c r="N471" s="270"/>
      <c r="O471" s="269"/>
      <c r="P471" s="269"/>
      <c r="Q471" s="269"/>
      <c r="R471" s="269"/>
      <c r="S471" s="269"/>
      <c r="T471" s="269"/>
      <c r="U471" s="269"/>
      <c r="V471" s="269"/>
      <c r="W471" s="269"/>
      <c r="X471" s="269"/>
      <c r="Y471" s="269"/>
      <c r="Z471" s="269"/>
      <c r="AA471" s="268"/>
      <c r="AB471" s="271"/>
      <c r="AC471" s="271"/>
      <c r="AD471" s="271"/>
      <c r="AE471" s="271"/>
      <c r="AF471" s="271"/>
      <c r="AG471" s="271"/>
      <c r="AH471" s="271"/>
      <c r="AI471" s="271"/>
      <c r="AJ471" s="271"/>
      <c r="AK471" s="271"/>
      <c r="AL471" s="271"/>
      <c r="AM471" s="272"/>
      <c r="AN471" s="273"/>
      <c r="AO471" s="273"/>
      <c r="AP471" s="273"/>
      <c r="AQ471" s="268"/>
      <c r="AR471" s="271"/>
      <c r="AS471" s="271"/>
      <c r="AT471" s="271"/>
      <c r="AU471" s="271"/>
      <c r="AV471" s="271"/>
      <c r="AW471" s="271"/>
      <c r="AX471" s="271"/>
      <c r="AY471" s="271"/>
      <c r="AZ471" s="271"/>
      <c r="BA471" s="271"/>
      <c r="BB471" s="271"/>
      <c r="BC471" s="272"/>
      <c r="BD471" s="273"/>
      <c r="BE471" s="273"/>
      <c r="BF471" s="273"/>
      <c r="BG471" s="268"/>
      <c r="BH471" s="274"/>
      <c r="BI471" s="268"/>
      <c r="BL471" s="200"/>
      <c r="BM471" s="200"/>
      <c r="BN471" s="200"/>
    </row>
    <row r="472" customFormat="false" ht="15" hidden="false" customHeight="true" outlineLevel="0" collapsed="false">
      <c r="B472" s="275"/>
      <c r="D472" s="276" t="n">
        <f aca="false">D456</f>
        <v>45292</v>
      </c>
      <c r="E472" s="277" t="n">
        <v>0</v>
      </c>
      <c r="F472" s="277" t="n">
        <v>0</v>
      </c>
      <c r="G472" s="277" t="n">
        <v>0</v>
      </c>
      <c r="H472" s="277" t="n">
        <v>0</v>
      </c>
      <c r="I472" s="277" t="n">
        <v>0</v>
      </c>
      <c r="J472" s="278" t="n">
        <f aca="false">E472+H472+I472</f>
        <v>0</v>
      </c>
      <c r="K472" s="204"/>
      <c r="L472" s="279" t="n">
        <v>1</v>
      </c>
      <c r="M472" s="280" t="n">
        <f aca="false">1-L472</f>
        <v>0</v>
      </c>
      <c r="N472" s="281"/>
      <c r="O472" s="282"/>
      <c r="P472" s="282"/>
      <c r="Q472" s="282"/>
      <c r="R472" s="282"/>
      <c r="S472" s="282"/>
      <c r="T472" s="282"/>
      <c r="U472" s="282"/>
      <c r="V472" s="282"/>
      <c r="W472" s="282"/>
      <c r="X472" s="282"/>
      <c r="Y472" s="282"/>
      <c r="Z472" s="282"/>
      <c r="AA472" s="283"/>
      <c r="AB472" s="284" t="n">
        <f aca="false">IFERROR(($J472*O472)*$L472, "")</f>
        <v>0</v>
      </c>
      <c r="AC472" s="284" t="n">
        <f aca="false">IFERROR(($J472*P472)*$L472, "")</f>
        <v>0</v>
      </c>
      <c r="AD472" s="284" t="n">
        <f aca="false">IFERROR(($J472*Q472)*$L472, "")</f>
        <v>0</v>
      </c>
      <c r="AE472" s="284" t="n">
        <f aca="false">IFERROR(($J472*R472)*$L472, "")</f>
        <v>0</v>
      </c>
      <c r="AF472" s="284" t="n">
        <f aca="false">IFERROR(($J472*S472)*$L472, "")</f>
        <v>0</v>
      </c>
      <c r="AG472" s="284" t="n">
        <f aca="false">IFERROR(($J472*T472)*$L472, "")</f>
        <v>0</v>
      </c>
      <c r="AH472" s="284" t="n">
        <f aca="false">IFERROR(($J472*U472)*$L472, "")</f>
        <v>0</v>
      </c>
      <c r="AI472" s="284" t="n">
        <f aca="false">IFERROR(($J472*V472)*$L472, "")</f>
        <v>0</v>
      </c>
      <c r="AJ472" s="284" t="n">
        <f aca="false">IFERROR(($J472*W472)*$L472, "")</f>
        <v>0</v>
      </c>
      <c r="AK472" s="284" t="n">
        <f aca="false">IFERROR(($J472*X472)*$L472, "")</f>
        <v>0</v>
      </c>
      <c r="AL472" s="284" t="n">
        <f aca="false">IFERROR(($J472*Y472)*$L472, "")</f>
        <v>0</v>
      </c>
      <c r="AM472" s="285" t="n">
        <f aca="false">IFERROR(($J472*Z472)*$L472, "")</f>
        <v>0</v>
      </c>
      <c r="AN472" s="286" t="n">
        <f aca="false">IFERROR(SUMIF($AB$4:$AM$4, "RDEC", AB472:AM472), "")</f>
        <v>0</v>
      </c>
      <c r="AO472" s="286" t="n">
        <f aca="false">IFERROR(SUMIF($AB$4:$AM$4, "SME", AB472:AM472), "")</f>
        <v>0</v>
      </c>
      <c r="AP472" s="286" t="n">
        <f aca="false">IFERROR(SUMIF($AB$4:$AM$4, "De Minimis", AB472:AM472), "")</f>
        <v>0</v>
      </c>
      <c r="AQ472" s="283"/>
      <c r="AR472" s="284" t="n">
        <f aca="false">IFERROR(($J472*O472)*$M472, "")</f>
        <v>0</v>
      </c>
      <c r="AS472" s="284" t="n">
        <f aca="false">IFERROR(($J472*P472)*$M472, "")</f>
        <v>0</v>
      </c>
      <c r="AT472" s="284" t="n">
        <f aca="false">IFERROR(($J472*Q472)*$M472, "")</f>
        <v>0</v>
      </c>
      <c r="AU472" s="284" t="n">
        <f aca="false">IFERROR(($J472*R472)*$M472, "")</f>
        <v>0</v>
      </c>
      <c r="AV472" s="284" t="n">
        <f aca="false">IFERROR(($J472*S472)*$M472, "")</f>
        <v>0</v>
      </c>
      <c r="AW472" s="284" t="n">
        <f aca="false">IFERROR(($J472*T472)*$M472, "")</f>
        <v>0</v>
      </c>
      <c r="AX472" s="284" t="n">
        <f aca="false">IFERROR(($J472*U472)*$M472, "")</f>
        <v>0</v>
      </c>
      <c r="AY472" s="284" t="n">
        <f aca="false">IFERROR(($J472*V472)*$M472, "")</f>
        <v>0</v>
      </c>
      <c r="AZ472" s="284" t="n">
        <f aca="false">IFERROR(($J472*W472)*$M472, "")</f>
        <v>0</v>
      </c>
      <c r="BA472" s="284" t="n">
        <f aca="false">IFERROR(($J472*X472)*$M472, "")</f>
        <v>0</v>
      </c>
      <c r="BB472" s="284" t="n">
        <f aca="false">IFERROR(($J472*Y472)*$M472, "")</f>
        <v>0</v>
      </c>
      <c r="BC472" s="285" t="n">
        <f aca="false">IFERROR(($J472*Z472)*$M472, "")</f>
        <v>0</v>
      </c>
      <c r="BD472" s="286" t="n">
        <f aca="false">IFERROR(SUMIF($AB$4:$AM$4, "RDEC", AR472:BC472), "")</f>
        <v>0</v>
      </c>
      <c r="BE472" s="286" t="n">
        <f aca="false">IFERROR(SUMIF($AB$4:$AM$4, "SME", AR472:BC472), "")</f>
        <v>0</v>
      </c>
      <c r="BF472" s="286" t="n">
        <f aca="false">IFERROR(SUMIF($AB$4:$AM$4, "De Minimis", AR472:BC472), "")</f>
        <v>0</v>
      </c>
      <c r="BG472" s="287"/>
      <c r="BH472" s="288" t="str">
        <f aca="false">IF((SUM(O472:Z472)&gt;1),"ERROR","")</f>
        <v/>
      </c>
      <c r="BI472" s="287"/>
      <c r="BJ472" s="18" t="str">
        <f aca="false">IF(C458&gt;0, C458, "")</f>
        <v/>
      </c>
      <c r="BL472" s="200"/>
      <c r="BM472" s="200"/>
      <c r="BN472" s="200"/>
    </row>
    <row r="473" customFormat="false" ht="15" hidden="false" customHeight="true" outlineLevel="0" collapsed="false">
      <c r="B473" s="275"/>
      <c r="D473" s="276" t="n">
        <f aca="false">D457</f>
        <v>45323</v>
      </c>
      <c r="E473" s="277" t="n">
        <v>0</v>
      </c>
      <c r="F473" s="277" t="n">
        <v>0</v>
      </c>
      <c r="G473" s="277" t="n">
        <v>0</v>
      </c>
      <c r="H473" s="277" t="n">
        <v>0</v>
      </c>
      <c r="I473" s="277" t="n">
        <v>0</v>
      </c>
      <c r="J473" s="278" t="n">
        <f aca="false">E473+H473+I473</f>
        <v>0</v>
      </c>
      <c r="K473" s="204"/>
      <c r="L473" s="279" t="n">
        <v>1</v>
      </c>
      <c r="M473" s="280" t="n">
        <f aca="false">1-L473</f>
        <v>0</v>
      </c>
      <c r="N473" s="281"/>
      <c r="O473" s="282"/>
      <c r="P473" s="282"/>
      <c r="Q473" s="282"/>
      <c r="R473" s="282"/>
      <c r="S473" s="282"/>
      <c r="T473" s="282"/>
      <c r="U473" s="282"/>
      <c r="V473" s="282"/>
      <c r="W473" s="282"/>
      <c r="X473" s="282"/>
      <c r="Y473" s="282"/>
      <c r="Z473" s="282"/>
      <c r="AA473" s="283"/>
      <c r="AB473" s="284" t="n">
        <f aca="false">IFERROR(($J473*O473)*$L473, "")</f>
        <v>0</v>
      </c>
      <c r="AC473" s="284" t="n">
        <f aca="false">IFERROR(($J473*P473)*$L473, "")</f>
        <v>0</v>
      </c>
      <c r="AD473" s="284" t="n">
        <f aca="false">IFERROR(($J473*Q473)*$L473, "")</f>
        <v>0</v>
      </c>
      <c r="AE473" s="284" t="n">
        <f aca="false">IFERROR(($J473*R473)*$L473, "")</f>
        <v>0</v>
      </c>
      <c r="AF473" s="284" t="n">
        <f aca="false">IFERROR(($J473*S473)*$L473, "")</f>
        <v>0</v>
      </c>
      <c r="AG473" s="284" t="n">
        <f aca="false">IFERROR(($J473*T473)*$L473, "")</f>
        <v>0</v>
      </c>
      <c r="AH473" s="284" t="n">
        <f aca="false">IFERROR(($J473*U473)*$L473, "")</f>
        <v>0</v>
      </c>
      <c r="AI473" s="284" t="n">
        <f aca="false">IFERROR(($J473*V473)*$L473, "")</f>
        <v>0</v>
      </c>
      <c r="AJ473" s="284" t="n">
        <f aca="false">IFERROR(($J473*W473)*$L473, "")</f>
        <v>0</v>
      </c>
      <c r="AK473" s="284" t="n">
        <f aca="false">IFERROR(($J473*X473)*$L473, "")</f>
        <v>0</v>
      </c>
      <c r="AL473" s="284" t="n">
        <f aca="false">IFERROR(($J473*Y473)*$L473, "")</f>
        <v>0</v>
      </c>
      <c r="AM473" s="285" t="n">
        <f aca="false">IFERROR(($J473*Z473)*$L473, "")</f>
        <v>0</v>
      </c>
      <c r="AN473" s="286" t="n">
        <f aca="false">IFERROR(SUMIF($AB$4:$AM$4, "RDEC", AB473:AM473), "")</f>
        <v>0</v>
      </c>
      <c r="AO473" s="286" t="n">
        <f aca="false">IFERROR(SUMIF($AB$4:$AM$4, "SME", AB473:AM473), "")</f>
        <v>0</v>
      </c>
      <c r="AP473" s="286" t="n">
        <f aca="false">IFERROR(SUMIF($AB$4:$AM$4, "De Minimis", AB473:AM473), "")</f>
        <v>0</v>
      </c>
      <c r="AQ473" s="283"/>
      <c r="AR473" s="284" t="n">
        <f aca="false">IFERROR(($J473*O473)*$M473, "")</f>
        <v>0</v>
      </c>
      <c r="AS473" s="284" t="n">
        <f aca="false">IFERROR(($J473*P473)*$M473, "")</f>
        <v>0</v>
      </c>
      <c r="AT473" s="284" t="n">
        <f aca="false">IFERROR(($J473*Q473)*$M473, "")</f>
        <v>0</v>
      </c>
      <c r="AU473" s="284" t="n">
        <f aca="false">IFERROR(($J473*R473)*$M473, "")</f>
        <v>0</v>
      </c>
      <c r="AV473" s="284" t="n">
        <f aca="false">IFERROR(($J473*S473)*$M473, "")</f>
        <v>0</v>
      </c>
      <c r="AW473" s="284" t="n">
        <f aca="false">IFERROR(($J473*T473)*$M473, "")</f>
        <v>0</v>
      </c>
      <c r="AX473" s="284" t="n">
        <f aca="false">IFERROR(($J473*U473)*$M473, "")</f>
        <v>0</v>
      </c>
      <c r="AY473" s="284" t="n">
        <f aca="false">IFERROR(($J473*V473)*$M473, "")</f>
        <v>0</v>
      </c>
      <c r="AZ473" s="284" t="n">
        <f aca="false">IFERROR(($J473*W473)*$M473, "")</f>
        <v>0</v>
      </c>
      <c r="BA473" s="284" t="n">
        <f aca="false">IFERROR(($J473*X473)*$M473, "")</f>
        <v>0</v>
      </c>
      <c r="BB473" s="284" t="n">
        <f aca="false">IFERROR(($J473*Y473)*$M473, "")</f>
        <v>0</v>
      </c>
      <c r="BC473" s="285" t="n">
        <f aca="false">IFERROR(($J473*Z473)*$M473, "")</f>
        <v>0</v>
      </c>
      <c r="BD473" s="286" t="n">
        <f aca="false">IFERROR(SUMIF($AB$4:$AM$4, "RDEC", AR473:BC473), "")</f>
        <v>0</v>
      </c>
      <c r="BE473" s="286" t="n">
        <f aca="false">IFERROR(SUMIF($AB$4:$AM$4, "SME", AR473:BC473), "")</f>
        <v>0</v>
      </c>
      <c r="BF473" s="286" t="n">
        <f aca="false">IFERROR(SUMIF($AB$4:$AM$4, "De Minimis", AR473:BC473), "")</f>
        <v>0</v>
      </c>
      <c r="BG473" s="287"/>
      <c r="BH473" s="288" t="str">
        <f aca="false">IF((SUM(O473:Z473)&gt;1),"ERROR","")</f>
        <v/>
      </c>
      <c r="BI473" s="287"/>
      <c r="BJ473" s="18" t="str">
        <f aca="false">IF(C459&gt;0, C459, "")</f>
        <v/>
      </c>
      <c r="BL473" s="200"/>
      <c r="BM473" s="200"/>
      <c r="BN473" s="200"/>
    </row>
    <row r="474" customFormat="false" ht="15" hidden="false" customHeight="true" outlineLevel="0" collapsed="false">
      <c r="B474" s="275"/>
      <c r="D474" s="276" t="n">
        <f aca="false">D458</f>
        <v>45352</v>
      </c>
      <c r="E474" s="277" t="n">
        <v>0</v>
      </c>
      <c r="F474" s="277" t="n">
        <v>0</v>
      </c>
      <c r="G474" s="277" t="n">
        <v>0</v>
      </c>
      <c r="H474" s="277" t="n">
        <v>0</v>
      </c>
      <c r="I474" s="277" t="n">
        <v>0</v>
      </c>
      <c r="J474" s="278" t="n">
        <f aca="false">E474+H474+I474</f>
        <v>0</v>
      </c>
      <c r="K474" s="204"/>
      <c r="L474" s="279" t="n">
        <v>1</v>
      </c>
      <c r="M474" s="280" t="n">
        <f aca="false">1-L474</f>
        <v>0</v>
      </c>
      <c r="N474" s="281"/>
      <c r="O474" s="282"/>
      <c r="P474" s="282"/>
      <c r="Q474" s="282"/>
      <c r="R474" s="282"/>
      <c r="S474" s="282"/>
      <c r="T474" s="282"/>
      <c r="U474" s="282"/>
      <c r="V474" s="282"/>
      <c r="W474" s="282"/>
      <c r="X474" s="282"/>
      <c r="Y474" s="282"/>
      <c r="Z474" s="282"/>
      <c r="AA474" s="283"/>
      <c r="AB474" s="284" t="n">
        <f aca="false">IFERROR(($J474*O474)*$L474, "")</f>
        <v>0</v>
      </c>
      <c r="AC474" s="284" t="n">
        <f aca="false">IFERROR(($J474*P474)*$L474, "")</f>
        <v>0</v>
      </c>
      <c r="AD474" s="284" t="n">
        <f aca="false">IFERROR(($J474*Q474)*$L474, "")</f>
        <v>0</v>
      </c>
      <c r="AE474" s="284" t="n">
        <f aca="false">IFERROR(($J474*R474)*$L474, "")</f>
        <v>0</v>
      </c>
      <c r="AF474" s="284" t="n">
        <f aca="false">IFERROR(($J474*S474)*$L474, "")</f>
        <v>0</v>
      </c>
      <c r="AG474" s="284" t="n">
        <f aca="false">IFERROR(($J474*T474)*$L474, "")</f>
        <v>0</v>
      </c>
      <c r="AH474" s="284" t="n">
        <f aca="false">IFERROR(($J474*U474)*$L474, "")</f>
        <v>0</v>
      </c>
      <c r="AI474" s="284" t="n">
        <f aca="false">IFERROR(($J474*V474)*$L474, "")</f>
        <v>0</v>
      </c>
      <c r="AJ474" s="284" t="n">
        <f aca="false">IFERROR(($J474*W474)*$L474, "")</f>
        <v>0</v>
      </c>
      <c r="AK474" s="284" t="n">
        <f aca="false">IFERROR(($J474*X474)*$L474, "")</f>
        <v>0</v>
      </c>
      <c r="AL474" s="284" t="n">
        <f aca="false">IFERROR(($J474*Y474)*$L474, "")</f>
        <v>0</v>
      </c>
      <c r="AM474" s="285" t="n">
        <f aca="false">IFERROR(($J474*Z474)*$L474, "")</f>
        <v>0</v>
      </c>
      <c r="AN474" s="286" t="n">
        <f aca="false">IFERROR(SUMIF($AB$4:$AM$4, "RDEC", AB474:AM474), "")</f>
        <v>0</v>
      </c>
      <c r="AO474" s="286" t="n">
        <f aca="false">IFERROR(SUMIF($AB$4:$AM$4, "SME", AB474:AM474), "")</f>
        <v>0</v>
      </c>
      <c r="AP474" s="286" t="n">
        <f aca="false">IFERROR(SUMIF($AB$4:$AM$4, "De Minimis", AB474:AM474), "")</f>
        <v>0</v>
      </c>
      <c r="AQ474" s="283"/>
      <c r="AR474" s="284" t="n">
        <f aca="false">IFERROR(($J474*O474)*$M474, "")</f>
        <v>0</v>
      </c>
      <c r="AS474" s="284" t="n">
        <f aca="false">IFERROR(($J474*P474)*$M474, "")</f>
        <v>0</v>
      </c>
      <c r="AT474" s="284" t="n">
        <f aca="false">IFERROR(($J474*Q474)*$M474, "")</f>
        <v>0</v>
      </c>
      <c r="AU474" s="284" t="n">
        <f aca="false">IFERROR(($J474*R474)*$M474, "")</f>
        <v>0</v>
      </c>
      <c r="AV474" s="284" t="n">
        <f aca="false">IFERROR(($J474*S474)*$M474, "")</f>
        <v>0</v>
      </c>
      <c r="AW474" s="284" t="n">
        <f aca="false">IFERROR(($J474*T474)*$M474, "")</f>
        <v>0</v>
      </c>
      <c r="AX474" s="284" t="n">
        <f aca="false">IFERROR(($J474*U474)*$M474, "")</f>
        <v>0</v>
      </c>
      <c r="AY474" s="284" t="n">
        <f aca="false">IFERROR(($J474*V474)*$M474, "")</f>
        <v>0</v>
      </c>
      <c r="AZ474" s="284" t="n">
        <f aca="false">IFERROR(($J474*W474)*$M474, "")</f>
        <v>0</v>
      </c>
      <c r="BA474" s="284" t="n">
        <f aca="false">IFERROR(($J474*X474)*$M474, "")</f>
        <v>0</v>
      </c>
      <c r="BB474" s="284" t="n">
        <f aca="false">IFERROR(($J474*Y474)*$M474, "")</f>
        <v>0</v>
      </c>
      <c r="BC474" s="285" t="n">
        <f aca="false">IFERROR(($J474*Z474)*$M474, "")</f>
        <v>0</v>
      </c>
      <c r="BD474" s="286" t="n">
        <f aca="false">IFERROR(SUMIF($AB$4:$AM$4, "RDEC", AR474:BC474), "")</f>
        <v>0</v>
      </c>
      <c r="BE474" s="286" t="n">
        <f aca="false">IFERROR(SUMIF($AB$4:$AM$4, "SME", AR474:BC474), "")</f>
        <v>0</v>
      </c>
      <c r="BF474" s="286" t="n">
        <f aca="false">IFERROR(SUMIF($AB$4:$AM$4, "De Minimis", AR474:BC474), "")</f>
        <v>0</v>
      </c>
      <c r="BG474" s="287"/>
      <c r="BH474" s="288" t="str">
        <f aca="false">IF((SUM(O474:Z474)&gt;1),"ERROR","")</f>
        <v/>
      </c>
      <c r="BI474" s="287"/>
      <c r="BJ474" s="18" t="str">
        <f aca="false">IF(C460&gt;0, C460, "")</f>
        <v/>
      </c>
      <c r="BL474" s="200"/>
      <c r="BM474" s="200"/>
      <c r="BN474" s="200"/>
    </row>
    <row r="475" customFormat="false" ht="15" hidden="false" customHeight="true" outlineLevel="0" collapsed="false">
      <c r="B475" s="275"/>
      <c r="D475" s="276" t="n">
        <f aca="false">D459</f>
        <v>45383</v>
      </c>
      <c r="E475" s="277" t="n">
        <v>0</v>
      </c>
      <c r="F475" s="277" t="n">
        <v>0</v>
      </c>
      <c r="G475" s="277" t="n">
        <v>0</v>
      </c>
      <c r="H475" s="277" t="n">
        <v>0</v>
      </c>
      <c r="I475" s="277" t="n">
        <v>0</v>
      </c>
      <c r="J475" s="278" t="n">
        <f aca="false">E475+H475+I475</f>
        <v>0</v>
      </c>
      <c r="K475" s="204"/>
      <c r="L475" s="279" t="n">
        <v>1</v>
      </c>
      <c r="M475" s="280" t="n">
        <f aca="false">1-L475</f>
        <v>0</v>
      </c>
      <c r="N475" s="281"/>
      <c r="O475" s="282"/>
      <c r="P475" s="282"/>
      <c r="Q475" s="282"/>
      <c r="R475" s="282"/>
      <c r="S475" s="282"/>
      <c r="T475" s="282"/>
      <c r="U475" s="282"/>
      <c r="V475" s="282"/>
      <c r="W475" s="282"/>
      <c r="X475" s="282"/>
      <c r="Y475" s="282"/>
      <c r="Z475" s="282"/>
      <c r="AA475" s="283"/>
      <c r="AB475" s="284" t="n">
        <f aca="false">IFERROR(($J475*O475)*$L475, "")</f>
        <v>0</v>
      </c>
      <c r="AC475" s="284" t="n">
        <f aca="false">IFERROR(($J475*P475)*$L475, "")</f>
        <v>0</v>
      </c>
      <c r="AD475" s="284" t="n">
        <f aca="false">IFERROR(($J475*Q475)*$L475, "")</f>
        <v>0</v>
      </c>
      <c r="AE475" s="284" t="n">
        <f aca="false">IFERROR(($J475*R475)*$L475, "")</f>
        <v>0</v>
      </c>
      <c r="AF475" s="284" t="n">
        <f aca="false">IFERROR(($J475*S475)*$L475, "")</f>
        <v>0</v>
      </c>
      <c r="AG475" s="284" t="n">
        <f aca="false">IFERROR(($J475*T475)*$L475, "")</f>
        <v>0</v>
      </c>
      <c r="AH475" s="284" t="n">
        <f aca="false">IFERROR(($J475*U475)*$L475, "")</f>
        <v>0</v>
      </c>
      <c r="AI475" s="284" t="n">
        <f aca="false">IFERROR(($J475*V475)*$L475, "")</f>
        <v>0</v>
      </c>
      <c r="AJ475" s="284" t="n">
        <f aca="false">IFERROR(($J475*W475)*$L475, "")</f>
        <v>0</v>
      </c>
      <c r="AK475" s="284" t="n">
        <f aca="false">IFERROR(($J475*X475)*$L475, "")</f>
        <v>0</v>
      </c>
      <c r="AL475" s="284" t="n">
        <f aca="false">IFERROR(($J475*Y475)*$L475, "")</f>
        <v>0</v>
      </c>
      <c r="AM475" s="285" t="n">
        <f aca="false">IFERROR(($J475*Z475)*$L475, "")</f>
        <v>0</v>
      </c>
      <c r="AN475" s="286" t="n">
        <f aca="false">IFERROR(SUMIF($AB$4:$AM$4, "RDEC", AB475:AM475), "")</f>
        <v>0</v>
      </c>
      <c r="AO475" s="286" t="n">
        <f aca="false">IFERROR(SUMIF($AB$4:$AM$4, "SME", AB475:AM475), "")</f>
        <v>0</v>
      </c>
      <c r="AP475" s="286" t="n">
        <f aca="false">IFERROR(SUMIF($AB$4:$AM$4, "De Minimis", AB475:AM475), "")</f>
        <v>0</v>
      </c>
      <c r="AQ475" s="283"/>
      <c r="AR475" s="284" t="n">
        <f aca="false">IFERROR(($J475*O475)*$M475, "")</f>
        <v>0</v>
      </c>
      <c r="AS475" s="284" t="n">
        <f aca="false">IFERROR(($J475*P475)*$M475, "")</f>
        <v>0</v>
      </c>
      <c r="AT475" s="284" t="n">
        <f aca="false">IFERROR(($J475*Q475)*$M475, "")</f>
        <v>0</v>
      </c>
      <c r="AU475" s="284" t="n">
        <f aca="false">IFERROR(($J475*R475)*$M475, "")</f>
        <v>0</v>
      </c>
      <c r="AV475" s="284" t="n">
        <f aca="false">IFERROR(($J475*S475)*$M475, "")</f>
        <v>0</v>
      </c>
      <c r="AW475" s="284" t="n">
        <f aca="false">IFERROR(($J475*T475)*$M475, "")</f>
        <v>0</v>
      </c>
      <c r="AX475" s="284" t="n">
        <f aca="false">IFERROR(($J475*U475)*$M475, "")</f>
        <v>0</v>
      </c>
      <c r="AY475" s="284" t="n">
        <f aca="false">IFERROR(($J475*V475)*$M475, "")</f>
        <v>0</v>
      </c>
      <c r="AZ475" s="284" t="n">
        <f aca="false">IFERROR(($J475*W475)*$M475, "")</f>
        <v>0</v>
      </c>
      <c r="BA475" s="284" t="n">
        <f aca="false">IFERROR(($J475*X475)*$M475, "")</f>
        <v>0</v>
      </c>
      <c r="BB475" s="284" t="n">
        <f aca="false">IFERROR(($J475*Y475)*$M475, "")</f>
        <v>0</v>
      </c>
      <c r="BC475" s="285" t="n">
        <f aca="false">IFERROR(($J475*Z475)*$M475, "")</f>
        <v>0</v>
      </c>
      <c r="BD475" s="286" t="n">
        <f aca="false">IFERROR(SUMIF($AB$4:$AM$4, "RDEC", AR475:BC475), "")</f>
        <v>0</v>
      </c>
      <c r="BE475" s="286" t="n">
        <f aca="false">IFERROR(SUMIF($AB$4:$AM$4, "SME", AR475:BC475), "")</f>
        <v>0</v>
      </c>
      <c r="BF475" s="286" t="n">
        <f aca="false">IFERROR(SUMIF($AB$4:$AM$4, "De Minimis", AR475:BC475), "")</f>
        <v>0</v>
      </c>
      <c r="BG475" s="287"/>
      <c r="BH475" s="288" t="str">
        <f aca="false">IF((SUM(O475:Z475)&gt;1),"ERROR","")</f>
        <v/>
      </c>
      <c r="BI475" s="287"/>
      <c r="BJ475" s="18" t="str">
        <f aca="false">IF(C461&gt;0, C461, "")</f>
        <v/>
      </c>
      <c r="BL475" s="200"/>
      <c r="BM475" s="200"/>
      <c r="BN475" s="200"/>
    </row>
    <row r="476" customFormat="false" ht="15" hidden="false" customHeight="true" outlineLevel="0" collapsed="false">
      <c r="B476" s="275"/>
      <c r="D476" s="276" t="n">
        <f aca="false">D460</f>
        <v>45413</v>
      </c>
      <c r="E476" s="277" t="n">
        <v>0</v>
      </c>
      <c r="F476" s="277" t="n">
        <v>0</v>
      </c>
      <c r="G476" s="277" t="n">
        <v>0</v>
      </c>
      <c r="H476" s="277" t="n">
        <v>0</v>
      </c>
      <c r="I476" s="277" t="n">
        <v>0</v>
      </c>
      <c r="J476" s="278" t="n">
        <f aca="false">E476+H476+I476</f>
        <v>0</v>
      </c>
      <c r="K476" s="204"/>
      <c r="L476" s="279" t="n">
        <v>1</v>
      </c>
      <c r="M476" s="280" t="n">
        <f aca="false">1-L476</f>
        <v>0</v>
      </c>
      <c r="N476" s="281"/>
      <c r="O476" s="282"/>
      <c r="P476" s="282"/>
      <c r="Q476" s="282"/>
      <c r="R476" s="282"/>
      <c r="S476" s="282"/>
      <c r="T476" s="282"/>
      <c r="U476" s="282"/>
      <c r="V476" s="282"/>
      <c r="W476" s="282"/>
      <c r="X476" s="282"/>
      <c r="Y476" s="282"/>
      <c r="Z476" s="282"/>
      <c r="AA476" s="283"/>
      <c r="AB476" s="284" t="n">
        <f aca="false">IFERROR(($J476*O476)*$L476, "")</f>
        <v>0</v>
      </c>
      <c r="AC476" s="284" t="n">
        <f aca="false">IFERROR(($J476*P476)*$L476, "")</f>
        <v>0</v>
      </c>
      <c r="AD476" s="284" t="n">
        <f aca="false">IFERROR(($J476*Q476)*$L476, "")</f>
        <v>0</v>
      </c>
      <c r="AE476" s="284" t="n">
        <f aca="false">IFERROR(($J476*R476)*$L476, "")</f>
        <v>0</v>
      </c>
      <c r="AF476" s="284" t="n">
        <f aca="false">IFERROR(($J476*S476)*$L476, "")</f>
        <v>0</v>
      </c>
      <c r="AG476" s="284" t="n">
        <f aca="false">IFERROR(($J476*T476)*$L476, "")</f>
        <v>0</v>
      </c>
      <c r="AH476" s="284" t="n">
        <f aca="false">IFERROR(($J476*U476)*$L476, "")</f>
        <v>0</v>
      </c>
      <c r="AI476" s="284" t="n">
        <f aca="false">IFERROR(($J476*V476)*$L476, "")</f>
        <v>0</v>
      </c>
      <c r="AJ476" s="284" t="n">
        <f aca="false">IFERROR(($J476*W476)*$L476, "")</f>
        <v>0</v>
      </c>
      <c r="AK476" s="284" t="n">
        <f aca="false">IFERROR(($J476*X476)*$L476, "")</f>
        <v>0</v>
      </c>
      <c r="AL476" s="284" t="n">
        <f aca="false">IFERROR(($J476*Y476)*$L476, "")</f>
        <v>0</v>
      </c>
      <c r="AM476" s="285" t="n">
        <f aca="false">IFERROR(($J476*Z476)*$L476, "")</f>
        <v>0</v>
      </c>
      <c r="AN476" s="286" t="n">
        <f aca="false">IFERROR(SUMIF($AB$4:$AM$4, "RDEC", AB476:AM476), "")</f>
        <v>0</v>
      </c>
      <c r="AO476" s="286" t="n">
        <f aca="false">IFERROR(SUMIF($AB$4:$AM$4, "SME", AB476:AM476), "")</f>
        <v>0</v>
      </c>
      <c r="AP476" s="286" t="n">
        <f aca="false">IFERROR(SUMIF($AB$4:$AM$4, "De Minimis", AB476:AM476), "")</f>
        <v>0</v>
      </c>
      <c r="AQ476" s="283"/>
      <c r="AR476" s="284" t="n">
        <f aca="false">IFERROR(($J476*O476)*$M476, "")</f>
        <v>0</v>
      </c>
      <c r="AS476" s="284" t="n">
        <f aca="false">IFERROR(($J476*P476)*$M476, "")</f>
        <v>0</v>
      </c>
      <c r="AT476" s="284" t="n">
        <f aca="false">IFERROR(($J476*Q476)*$M476, "")</f>
        <v>0</v>
      </c>
      <c r="AU476" s="284" t="n">
        <f aca="false">IFERROR(($J476*R476)*$M476, "")</f>
        <v>0</v>
      </c>
      <c r="AV476" s="284" t="n">
        <f aca="false">IFERROR(($J476*S476)*$M476, "")</f>
        <v>0</v>
      </c>
      <c r="AW476" s="284" t="n">
        <f aca="false">IFERROR(($J476*T476)*$M476, "")</f>
        <v>0</v>
      </c>
      <c r="AX476" s="284" t="n">
        <f aca="false">IFERROR(($J476*U476)*$M476, "")</f>
        <v>0</v>
      </c>
      <c r="AY476" s="284" t="n">
        <f aca="false">IFERROR(($J476*V476)*$M476, "")</f>
        <v>0</v>
      </c>
      <c r="AZ476" s="284" t="n">
        <f aca="false">IFERROR(($J476*W476)*$M476, "")</f>
        <v>0</v>
      </c>
      <c r="BA476" s="284" t="n">
        <f aca="false">IFERROR(($J476*X476)*$M476, "")</f>
        <v>0</v>
      </c>
      <c r="BB476" s="284" t="n">
        <f aca="false">IFERROR(($J476*Y476)*$M476, "")</f>
        <v>0</v>
      </c>
      <c r="BC476" s="285" t="n">
        <f aca="false">IFERROR(($J476*Z476)*$M476, "")</f>
        <v>0</v>
      </c>
      <c r="BD476" s="286" t="n">
        <f aca="false">IFERROR(SUMIF($AB$4:$AM$4, "RDEC", AR476:BC476), "")</f>
        <v>0</v>
      </c>
      <c r="BE476" s="286" t="n">
        <f aca="false">IFERROR(SUMIF($AB$4:$AM$4, "SME", AR476:BC476), "")</f>
        <v>0</v>
      </c>
      <c r="BF476" s="286" t="n">
        <f aca="false">IFERROR(SUMIF($AB$4:$AM$4, "De Minimis", AR476:BC476), "")</f>
        <v>0</v>
      </c>
      <c r="BG476" s="287"/>
      <c r="BH476" s="288" t="str">
        <f aca="false">IF((SUM(O476:Z476)&gt;1),"ERROR","")</f>
        <v/>
      </c>
      <c r="BI476" s="287"/>
      <c r="BJ476" s="18" t="str">
        <f aca="false">IF(C462&gt;0, C462, "")</f>
        <v/>
      </c>
      <c r="BL476" s="200"/>
      <c r="BM476" s="200"/>
      <c r="BN476" s="200"/>
    </row>
    <row r="477" customFormat="false" ht="15" hidden="false" customHeight="true" outlineLevel="0" collapsed="false">
      <c r="B477" s="275"/>
      <c r="D477" s="276" t="n">
        <f aca="false">D461</f>
        <v>45444</v>
      </c>
      <c r="E477" s="277" t="n">
        <v>0</v>
      </c>
      <c r="F477" s="277" t="n">
        <v>0</v>
      </c>
      <c r="G477" s="277" t="n">
        <v>0</v>
      </c>
      <c r="H477" s="277" t="n">
        <v>0</v>
      </c>
      <c r="I477" s="277" t="n">
        <v>0</v>
      </c>
      <c r="J477" s="278" t="n">
        <f aca="false">E477+H477+I477</f>
        <v>0</v>
      </c>
      <c r="K477" s="204"/>
      <c r="L477" s="279" t="n">
        <v>1</v>
      </c>
      <c r="M477" s="280" t="n">
        <f aca="false">1-L477</f>
        <v>0</v>
      </c>
      <c r="N477" s="281"/>
      <c r="O477" s="282"/>
      <c r="P477" s="282"/>
      <c r="Q477" s="282"/>
      <c r="R477" s="282"/>
      <c r="S477" s="282"/>
      <c r="T477" s="282"/>
      <c r="U477" s="282"/>
      <c r="V477" s="282"/>
      <c r="W477" s="282"/>
      <c r="X477" s="282"/>
      <c r="Y477" s="282"/>
      <c r="Z477" s="282"/>
      <c r="AA477" s="283"/>
      <c r="AB477" s="284" t="n">
        <f aca="false">IFERROR(($J477*O477)*$L477, "")</f>
        <v>0</v>
      </c>
      <c r="AC477" s="284" t="n">
        <f aca="false">IFERROR(($J477*P477)*$L477, "")</f>
        <v>0</v>
      </c>
      <c r="AD477" s="284" t="n">
        <f aca="false">IFERROR(($J477*Q477)*$L477, "")</f>
        <v>0</v>
      </c>
      <c r="AE477" s="284" t="n">
        <f aca="false">IFERROR(($J477*R477)*$L477, "")</f>
        <v>0</v>
      </c>
      <c r="AF477" s="284" t="n">
        <f aca="false">IFERROR(($J477*S477)*$L477, "")</f>
        <v>0</v>
      </c>
      <c r="AG477" s="284" t="n">
        <f aca="false">IFERROR(($J477*T477)*$L477, "")</f>
        <v>0</v>
      </c>
      <c r="AH477" s="284" t="n">
        <f aca="false">IFERROR(($J477*U477)*$L477, "")</f>
        <v>0</v>
      </c>
      <c r="AI477" s="284" t="n">
        <f aca="false">IFERROR(($J477*V477)*$L477, "")</f>
        <v>0</v>
      </c>
      <c r="AJ477" s="284" t="n">
        <f aca="false">IFERROR(($J477*W477)*$L477, "")</f>
        <v>0</v>
      </c>
      <c r="AK477" s="284" t="n">
        <f aca="false">IFERROR(($J477*X477)*$L477, "")</f>
        <v>0</v>
      </c>
      <c r="AL477" s="284" t="n">
        <f aca="false">IFERROR(($J477*Y477)*$L477, "")</f>
        <v>0</v>
      </c>
      <c r="AM477" s="285" t="n">
        <f aca="false">IFERROR(($J477*Z477)*$L477, "")</f>
        <v>0</v>
      </c>
      <c r="AN477" s="286" t="n">
        <f aca="false">IFERROR(SUMIF($AB$4:$AM$4, "RDEC", AB477:AM477), "")</f>
        <v>0</v>
      </c>
      <c r="AO477" s="286" t="n">
        <f aca="false">IFERROR(SUMIF($AB$4:$AM$4, "SME", AB477:AM477), "")</f>
        <v>0</v>
      </c>
      <c r="AP477" s="286" t="n">
        <f aca="false">IFERROR(SUMIF($AB$4:$AM$4, "De Minimis", AB477:AM477), "")</f>
        <v>0</v>
      </c>
      <c r="AQ477" s="283"/>
      <c r="AR477" s="284" t="n">
        <f aca="false">IFERROR(($J477*O477)*$M477, "")</f>
        <v>0</v>
      </c>
      <c r="AS477" s="284" t="n">
        <f aca="false">IFERROR(($J477*P477)*$M477, "")</f>
        <v>0</v>
      </c>
      <c r="AT477" s="284" t="n">
        <f aca="false">IFERROR(($J477*Q477)*$M477, "")</f>
        <v>0</v>
      </c>
      <c r="AU477" s="284" t="n">
        <f aca="false">IFERROR(($J477*R477)*$M477, "")</f>
        <v>0</v>
      </c>
      <c r="AV477" s="284" t="n">
        <f aca="false">IFERROR(($J477*S477)*$M477, "")</f>
        <v>0</v>
      </c>
      <c r="AW477" s="284" t="n">
        <f aca="false">IFERROR(($J477*T477)*$M477, "")</f>
        <v>0</v>
      </c>
      <c r="AX477" s="284" t="n">
        <f aca="false">IFERROR(($J477*U477)*$M477, "")</f>
        <v>0</v>
      </c>
      <c r="AY477" s="284" t="n">
        <f aca="false">IFERROR(($J477*V477)*$M477, "")</f>
        <v>0</v>
      </c>
      <c r="AZ477" s="284" t="n">
        <f aca="false">IFERROR(($J477*W477)*$M477, "")</f>
        <v>0</v>
      </c>
      <c r="BA477" s="284" t="n">
        <f aca="false">IFERROR(($J477*X477)*$M477, "")</f>
        <v>0</v>
      </c>
      <c r="BB477" s="284" t="n">
        <f aca="false">IFERROR(($J477*Y477)*$M477, "")</f>
        <v>0</v>
      </c>
      <c r="BC477" s="285" t="n">
        <f aca="false">IFERROR(($J477*Z477)*$M477, "")</f>
        <v>0</v>
      </c>
      <c r="BD477" s="286" t="n">
        <f aca="false">IFERROR(SUMIF($AB$4:$AM$4, "RDEC", AR477:BC477), "")</f>
        <v>0</v>
      </c>
      <c r="BE477" s="286" t="n">
        <f aca="false">IFERROR(SUMIF($AB$4:$AM$4, "SME", AR477:BC477), "")</f>
        <v>0</v>
      </c>
      <c r="BF477" s="286" t="n">
        <f aca="false">IFERROR(SUMIF($AB$4:$AM$4, "De Minimis", AR477:BC477), "")</f>
        <v>0</v>
      </c>
      <c r="BG477" s="287"/>
      <c r="BH477" s="288" t="str">
        <f aca="false">IF((SUM(O477:Z477)&gt;1),"ERROR","")</f>
        <v/>
      </c>
      <c r="BI477" s="287"/>
      <c r="BJ477" s="18" t="str">
        <f aca="false">IF(C463&gt;0, C463, "")</f>
        <v/>
      </c>
      <c r="BL477" s="200"/>
      <c r="BM477" s="200"/>
      <c r="BN477" s="200"/>
    </row>
    <row r="478" customFormat="false" ht="15" hidden="false" customHeight="true" outlineLevel="0" collapsed="false">
      <c r="B478" s="275"/>
      <c r="D478" s="276" t="n">
        <f aca="false">D462</f>
        <v>45474</v>
      </c>
      <c r="E478" s="277" t="n">
        <v>0</v>
      </c>
      <c r="F478" s="277" t="n">
        <v>0</v>
      </c>
      <c r="G478" s="277" t="n">
        <v>0</v>
      </c>
      <c r="H478" s="277" t="n">
        <v>0</v>
      </c>
      <c r="I478" s="277" t="n">
        <v>0</v>
      </c>
      <c r="J478" s="278" t="n">
        <f aca="false">E478+H478+I478</f>
        <v>0</v>
      </c>
      <c r="K478" s="204"/>
      <c r="L478" s="279" t="n">
        <v>1</v>
      </c>
      <c r="M478" s="280" t="n">
        <f aca="false">1-L478</f>
        <v>0</v>
      </c>
      <c r="N478" s="281"/>
      <c r="O478" s="282"/>
      <c r="P478" s="282"/>
      <c r="Q478" s="282"/>
      <c r="R478" s="282"/>
      <c r="S478" s="282"/>
      <c r="T478" s="282"/>
      <c r="U478" s="282"/>
      <c r="V478" s="282"/>
      <c r="W478" s="282"/>
      <c r="X478" s="282"/>
      <c r="Y478" s="282"/>
      <c r="Z478" s="282"/>
      <c r="AA478" s="283"/>
      <c r="AB478" s="284" t="n">
        <f aca="false">IFERROR(($J478*O478)*$L478, "")</f>
        <v>0</v>
      </c>
      <c r="AC478" s="284" t="n">
        <f aca="false">IFERROR(($J478*P478)*$L478, "")</f>
        <v>0</v>
      </c>
      <c r="AD478" s="284" t="n">
        <f aca="false">IFERROR(($J478*Q478)*$L478, "")</f>
        <v>0</v>
      </c>
      <c r="AE478" s="284" t="n">
        <f aca="false">IFERROR(($J478*R478)*$L478, "")</f>
        <v>0</v>
      </c>
      <c r="AF478" s="284" t="n">
        <f aca="false">IFERROR(($J478*S478)*$L478, "")</f>
        <v>0</v>
      </c>
      <c r="AG478" s="284" t="n">
        <f aca="false">IFERROR(($J478*T478)*$L478, "")</f>
        <v>0</v>
      </c>
      <c r="AH478" s="284" t="n">
        <f aca="false">IFERROR(($J478*U478)*$L478, "")</f>
        <v>0</v>
      </c>
      <c r="AI478" s="284" t="n">
        <f aca="false">IFERROR(($J478*V478)*$L478, "")</f>
        <v>0</v>
      </c>
      <c r="AJ478" s="284" t="n">
        <f aca="false">IFERROR(($J478*W478)*$L478, "")</f>
        <v>0</v>
      </c>
      <c r="AK478" s="284" t="n">
        <f aca="false">IFERROR(($J478*X478)*$L478, "")</f>
        <v>0</v>
      </c>
      <c r="AL478" s="284" t="n">
        <f aca="false">IFERROR(($J478*Y478)*$L478, "")</f>
        <v>0</v>
      </c>
      <c r="AM478" s="285" t="n">
        <f aca="false">IFERROR(($J478*Z478)*$L478, "")</f>
        <v>0</v>
      </c>
      <c r="AN478" s="286" t="n">
        <f aca="false">IFERROR(SUMIF($AB$4:$AM$4, "RDEC", AB478:AM478), "")</f>
        <v>0</v>
      </c>
      <c r="AO478" s="286" t="n">
        <f aca="false">IFERROR(SUMIF($AB$4:$AM$4, "SME", AB478:AM478), "")</f>
        <v>0</v>
      </c>
      <c r="AP478" s="286" t="n">
        <f aca="false">IFERROR(SUMIF($AB$4:$AM$4, "De Minimis", AB478:AM478), "")</f>
        <v>0</v>
      </c>
      <c r="AQ478" s="283"/>
      <c r="AR478" s="284" t="n">
        <f aca="false">IFERROR(($J478*O478)*$M478, "")</f>
        <v>0</v>
      </c>
      <c r="AS478" s="284" t="n">
        <f aca="false">IFERROR(($J478*P478)*$M478, "")</f>
        <v>0</v>
      </c>
      <c r="AT478" s="284" t="n">
        <f aca="false">IFERROR(($J478*Q478)*$M478, "")</f>
        <v>0</v>
      </c>
      <c r="AU478" s="284" t="n">
        <f aca="false">IFERROR(($J478*R478)*$M478, "")</f>
        <v>0</v>
      </c>
      <c r="AV478" s="284" t="n">
        <f aca="false">IFERROR(($J478*S478)*$M478, "")</f>
        <v>0</v>
      </c>
      <c r="AW478" s="284" t="n">
        <f aca="false">IFERROR(($J478*T478)*$M478, "")</f>
        <v>0</v>
      </c>
      <c r="AX478" s="284" t="n">
        <f aca="false">IFERROR(($J478*U478)*$M478, "")</f>
        <v>0</v>
      </c>
      <c r="AY478" s="284" t="n">
        <f aca="false">IFERROR(($J478*V478)*$M478, "")</f>
        <v>0</v>
      </c>
      <c r="AZ478" s="284" t="n">
        <f aca="false">IFERROR(($J478*W478)*$M478, "")</f>
        <v>0</v>
      </c>
      <c r="BA478" s="284" t="n">
        <f aca="false">IFERROR(($J478*X478)*$M478, "")</f>
        <v>0</v>
      </c>
      <c r="BB478" s="284" t="n">
        <f aca="false">IFERROR(($J478*Y478)*$M478, "")</f>
        <v>0</v>
      </c>
      <c r="BC478" s="285" t="n">
        <f aca="false">IFERROR(($J478*Z478)*$M478, "")</f>
        <v>0</v>
      </c>
      <c r="BD478" s="286" t="n">
        <f aca="false">IFERROR(SUMIF($AB$4:$AM$4, "RDEC", AR478:BC478), "")</f>
        <v>0</v>
      </c>
      <c r="BE478" s="286" t="n">
        <f aca="false">IFERROR(SUMIF($AB$4:$AM$4, "SME", AR478:BC478), "")</f>
        <v>0</v>
      </c>
      <c r="BF478" s="286" t="n">
        <f aca="false">IFERROR(SUMIF($AB$4:$AM$4, "De Minimis", AR478:BC478), "")</f>
        <v>0</v>
      </c>
      <c r="BG478" s="287"/>
      <c r="BH478" s="288" t="str">
        <f aca="false">IF((SUM(O478:Z478)&gt;1),"ERROR","")</f>
        <v/>
      </c>
      <c r="BI478" s="287"/>
      <c r="BJ478" s="18" t="str">
        <f aca="false">IF(C464&gt;0, C464, "")</f>
        <v/>
      </c>
      <c r="BL478" s="200"/>
      <c r="BM478" s="200"/>
      <c r="BN478" s="200"/>
    </row>
    <row r="479" customFormat="false" ht="15" hidden="false" customHeight="true" outlineLevel="0" collapsed="false">
      <c r="B479" s="275"/>
      <c r="D479" s="276" t="n">
        <f aca="false">D463</f>
        <v>45505</v>
      </c>
      <c r="E479" s="277" t="n">
        <v>0</v>
      </c>
      <c r="F479" s="277" t="n">
        <v>0</v>
      </c>
      <c r="G479" s="277" t="n">
        <v>0</v>
      </c>
      <c r="H479" s="277" t="n">
        <v>0</v>
      </c>
      <c r="I479" s="277" t="n">
        <v>0</v>
      </c>
      <c r="J479" s="278" t="n">
        <f aca="false">E479+H479+I479</f>
        <v>0</v>
      </c>
      <c r="K479" s="204"/>
      <c r="L479" s="279" t="n">
        <v>1</v>
      </c>
      <c r="M479" s="280" t="n">
        <f aca="false">1-L479</f>
        <v>0</v>
      </c>
      <c r="N479" s="281"/>
      <c r="O479" s="282"/>
      <c r="P479" s="282"/>
      <c r="Q479" s="282"/>
      <c r="R479" s="282"/>
      <c r="S479" s="282"/>
      <c r="T479" s="282"/>
      <c r="U479" s="282"/>
      <c r="V479" s="282"/>
      <c r="W479" s="282"/>
      <c r="X479" s="282"/>
      <c r="Y479" s="282"/>
      <c r="Z479" s="282"/>
      <c r="AA479" s="283"/>
      <c r="AB479" s="284" t="n">
        <f aca="false">IFERROR(($J479*O479)*$L479, "")</f>
        <v>0</v>
      </c>
      <c r="AC479" s="284" t="n">
        <f aca="false">IFERROR(($J479*P479)*$L479, "")</f>
        <v>0</v>
      </c>
      <c r="AD479" s="284" t="n">
        <f aca="false">IFERROR(($J479*Q479)*$L479, "")</f>
        <v>0</v>
      </c>
      <c r="AE479" s="284" t="n">
        <f aca="false">IFERROR(($J479*R479)*$L479, "")</f>
        <v>0</v>
      </c>
      <c r="AF479" s="284" t="n">
        <f aca="false">IFERROR(($J479*S479)*$L479, "")</f>
        <v>0</v>
      </c>
      <c r="AG479" s="284" t="n">
        <f aca="false">IFERROR(($J479*T479)*$L479, "")</f>
        <v>0</v>
      </c>
      <c r="AH479" s="284" t="n">
        <f aca="false">IFERROR(($J479*U479)*$L479, "")</f>
        <v>0</v>
      </c>
      <c r="AI479" s="284" t="n">
        <f aca="false">IFERROR(($J479*V479)*$L479, "")</f>
        <v>0</v>
      </c>
      <c r="AJ479" s="284" t="n">
        <f aca="false">IFERROR(($J479*W479)*$L479, "")</f>
        <v>0</v>
      </c>
      <c r="AK479" s="284" t="n">
        <f aca="false">IFERROR(($J479*X479)*$L479, "")</f>
        <v>0</v>
      </c>
      <c r="AL479" s="284" t="n">
        <f aca="false">IFERROR(($J479*Y479)*$L479, "")</f>
        <v>0</v>
      </c>
      <c r="AM479" s="285" t="n">
        <f aca="false">IFERROR(($J479*Z479)*$L479, "")</f>
        <v>0</v>
      </c>
      <c r="AN479" s="286" t="n">
        <f aca="false">IFERROR(SUMIF($AB$4:$AM$4, "RDEC", AB479:AM479), "")</f>
        <v>0</v>
      </c>
      <c r="AO479" s="286" t="n">
        <f aca="false">IFERROR(SUMIF($AB$4:$AM$4, "SME", AB479:AM479), "")</f>
        <v>0</v>
      </c>
      <c r="AP479" s="286" t="n">
        <f aca="false">IFERROR(SUMIF($AB$4:$AM$4, "De Minimis", AB479:AM479), "")</f>
        <v>0</v>
      </c>
      <c r="AQ479" s="283"/>
      <c r="AR479" s="284" t="n">
        <f aca="false">IFERROR(($J479*O479)*$M479, "")</f>
        <v>0</v>
      </c>
      <c r="AS479" s="284" t="n">
        <f aca="false">IFERROR(($J479*P479)*$M479, "")</f>
        <v>0</v>
      </c>
      <c r="AT479" s="284" t="n">
        <f aca="false">IFERROR(($J479*Q479)*$M479, "")</f>
        <v>0</v>
      </c>
      <c r="AU479" s="284" t="n">
        <f aca="false">IFERROR(($J479*R479)*$M479, "")</f>
        <v>0</v>
      </c>
      <c r="AV479" s="284" t="n">
        <f aca="false">IFERROR(($J479*S479)*$M479, "")</f>
        <v>0</v>
      </c>
      <c r="AW479" s="284" t="n">
        <f aca="false">IFERROR(($J479*T479)*$M479, "")</f>
        <v>0</v>
      </c>
      <c r="AX479" s="284" t="n">
        <f aca="false">IFERROR(($J479*U479)*$M479, "")</f>
        <v>0</v>
      </c>
      <c r="AY479" s="284" t="n">
        <f aca="false">IFERROR(($J479*V479)*$M479, "")</f>
        <v>0</v>
      </c>
      <c r="AZ479" s="284" t="n">
        <f aca="false">IFERROR(($J479*W479)*$M479, "")</f>
        <v>0</v>
      </c>
      <c r="BA479" s="284" t="n">
        <f aca="false">IFERROR(($J479*X479)*$M479, "")</f>
        <v>0</v>
      </c>
      <c r="BB479" s="284" t="n">
        <f aca="false">IFERROR(($J479*Y479)*$M479, "")</f>
        <v>0</v>
      </c>
      <c r="BC479" s="285" t="n">
        <f aca="false">IFERROR(($J479*Z479)*$M479, "")</f>
        <v>0</v>
      </c>
      <c r="BD479" s="286" t="n">
        <f aca="false">IFERROR(SUMIF($AB$4:$AM$4, "RDEC", AR479:BC479), "")</f>
        <v>0</v>
      </c>
      <c r="BE479" s="286" t="n">
        <f aca="false">IFERROR(SUMIF($AB$4:$AM$4, "SME", AR479:BC479), "")</f>
        <v>0</v>
      </c>
      <c r="BF479" s="286" t="n">
        <f aca="false">IFERROR(SUMIF($AB$4:$AM$4, "De Minimis", AR479:BC479), "")</f>
        <v>0</v>
      </c>
      <c r="BG479" s="287"/>
      <c r="BH479" s="288" t="str">
        <f aca="false">IF((SUM(O479:Z479)&gt;1),"ERROR","")</f>
        <v/>
      </c>
      <c r="BI479" s="287"/>
      <c r="BJ479" s="18" t="str">
        <f aca="false">IF(C465&gt;0, C465, "")</f>
        <v/>
      </c>
      <c r="BL479" s="200"/>
      <c r="BM479" s="200"/>
      <c r="BN479" s="200"/>
    </row>
    <row r="480" customFormat="false" ht="15" hidden="false" customHeight="true" outlineLevel="0" collapsed="false">
      <c r="B480" s="275"/>
      <c r="D480" s="276" t="n">
        <f aca="false">D464</f>
        <v>45536</v>
      </c>
      <c r="E480" s="277" t="n">
        <v>0</v>
      </c>
      <c r="F480" s="277" t="n">
        <v>0</v>
      </c>
      <c r="G480" s="277" t="n">
        <v>0</v>
      </c>
      <c r="H480" s="277" t="n">
        <v>0</v>
      </c>
      <c r="I480" s="277" t="n">
        <v>0</v>
      </c>
      <c r="J480" s="278" t="n">
        <f aca="false">E480+H480+I480</f>
        <v>0</v>
      </c>
      <c r="K480" s="204"/>
      <c r="L480" s="279" t="n">
        <v>1</v>
      </c>
      <c r="M480" s="280" t="n">
        <f aca="false">1-L480</f>
        <v>0</v>
      </c>
      <c r="N480" s="281"/>
      <c r="O480" s="282"/>
      <c r="P480" s="282"/>
      <c r="Q480" s="282"/>
      <c r="R480" s="282"/>
      <c r="S480" s="282"/>
      <c r="T480" s="282"/>
      <c r="U480" s="282"/>
      <c r="V480" s="282"/>
      <c r="W480" s="282"/>
      <c r="X480" s="282"/>
      <c r="Y480" s="282"/>
      <c r="Z480" s="282"/>
      <c r="AA480" s="283"/>
      <c r="AB480" s="284" t="n">
        <f aca="false">IFERROR(($J480*O480)*$L480, "")</f>
        <v>0</v>
      </c>
      <c r="AC480" s="284" t="n">
        <f aca="false">IFERROR(($J480*P480)*$L480, "")</f>
        <v>0</v>
      </c>
      <c r="AD480" s="284" t="n">
        <f aca="false">IFERROR(($J480*Q480)*$L480, "")</f>
        <v>0</v>
      </c>
      <c r="AE480" s="284" t="n">
        <f aca="false">IFERROR(($J480*R480)*$L480, "")</f>
        <v>0</v>
      </c>
      <c r="AF480" s="284" t="n">
        <f aca="false">IFERROR(($J480*S480)*$L480, "")</f>
        <v>0</v>
      </c>
      <c r="AG480" s="284" t="n">
        <f aca="false">IFERROR(($J480*T480)*$L480, "")</f>
        <v>0</v>
      </c>
      <c r="AH480" s="284" t="n">
        <f aca="false">IFERROR(($J480*U480)*$L480, "")</f>
        <v>0</v>
      </c>
      <c r="AI480" s="284" t="n">
        <f aca="false">IFERROR(($J480*V480)*$L480, "")</f>
        <v>0</v>
      </c>
      <c r="AJ480" s="284" t="n">
        <f aca="false">IFERROR(($J480*W480)*$L480, "")</f>
        <v>0</v>
      </c>
      <c r="AK480" s="284" t="n">
        <f aca="false">IFERROR(($J480*X480)*$L480, "")</f>
        <v>0</v>
      </c>
      <c r="AL480" s="284" t="n">
        <f aca="false">IFERROR(($J480*Y480)*$L480, "")</f>
        <v>0</v>
      </c>
      <c r="AM480" s="285" t="n">
        <f aca="false">IFERROR(($J480*Z480)*$L480, "")</f>
        <v>0</v>
      </c>
      <c r="AN480" s="286" t="n">
        <f aca="false">IFERROR(SUMIF($AB$4:$AM$4, "RDEC", AB480:AM480), "")</f>
        <v>0</v>
      </c>
      <c r="AO480" s="286" t="n">
        <f aca="false">IFERROR(SUMIF($AB$4:$AM$4, "SME", AB480:AM480), "")</f>
        <v>0</v>
      </c>
      <c r="AP480" s="286" t="n">
        <f aca="false">IFERROR(SUMIF($AB$4:$AM$4, "De Minimis", AB480:AM480), "")</f>
        <v>0</v>
      </c>
      <c r="AQ480" s="283"/>
      <c r="AR480" s="284" t="n">
        <f aca="false">IFERROR(($J480*O480)*$M480, "")</f>
        <v>0</v>
      </c>
      <c r="AS480" s="284" t="n">
        <f aca="false">IFERROR(($J480*P480)*$M480, "")</f>
        <v>0</v>
      </c>
      <c r="AT480" s="284" t="n">
        <f aca="false">IFERROR(($J480*Q480)*$M480, "")</f>
        <v>0</v>
      </c>
      <c r="AU480" s="284" t="n">
        <f aca="false">IFERROR(($J480*R480)*$M480, "")</f>
        <v>0</v>
      </c>
      <c r="AV480" s="284" t="n">
        <f aca="false">IFERROR(($J480*S480)*$M480, "")</f>
        <v>0</v>
      </c>
      <c r="AW480" s="284" t="n">
        <f aca="false">IFERROR(($J480*T480)*$M480, "")</f>
        <v>0</v>
      </c>
      <c r="AX480" s="284" t="n">
        <f aca="false">IFERROR(($J480*U480)*$M480, "")</f>
        <v>0</v>
      </c>
      <c r="AY480" s="284" t="n">
        <f aca="false">IFERROR(($J480*V480)*$M480, "")</f>
        <v>0</v>
      </c>
      <c r="AZ480" s="284" t="n">
        <f aca="false">IFERROR(($J480*W480)*$M480, "")</f>
        <v>0</v>
      </c>
      <c r="BA480" s="284" t="n">
        <f aca="false">IFERROR(($J480*X480)*$M480, "")</f>
        <v>0</v>
      </c>
      <c r="BB480" s="284" t="n">
        <f aca="false">IFERROR(($J480*Y480)*$M480, "")</f>
        <v>0</v>
      </c>
      <c r="BC480" s="285" t="n">
        <f aca="false">IFERROR(($J480*Z480)*$M480, "")</f>
        <v>0</v>
      </c>
      <c r="BD480" s="286" t="n">
        <f aca="false">IFERROR(SUMIF($AB$4:$AM$4, "RDEC", AR480:BC480), "")</f>
        <v>0</v>
      </c>
      <c r="BE480" s="286" t="n">
        <f aca="false">IFERROR(SUMIF($AB$4:$AM$4, "SME", AR480:BC480), "")</f>
        <v>0</v>
      </c>
      <c r="BF480" s="286" t="n">
        <f aca="false">IFERROR(SUMIF($AB$4:$AM$4, "De Minimis", AR480:BC480), "")</f>
        <v>0</v>
      </c>
      <c r="BG480" s="287"/>
      <c r="BH480" s="288" t="str">
        <f aca="false">IF((SUM(O480:Z480)&gt;1),"ERROR","")</f>
        <v/>
      </c>
      <c r="BI480" s="287"/>
      <c r="BJ480" s="18" t="str">
        <f aca="false">IF(C466&gt;0, C466, "")</f>
        <v/>
      </c>
      <c r="BL480" s="200"/>
      <c r="BM480" s="200"/>
      <c r="BN480" s="200"/>
    </row>
    <row r="481" customFormat="false" ht="15" hidden="false" customHeight="true" outlineLevel="0" collapsed="false">
      <c r="B481" s="275"/>
      <c r="D481" s="276" t="n">
        <f aca="false">D465</f>
        <v>45566</v>
      </c>
      <c r="E481" s="277" t="n">
        <v>0</v>
      </c>
      <c r="F481" s="277" t="n">
        <v>0</v>
      </c>
      <c r="G481" s="277" t="n">
        <v>0</v>
      </c>
      <c r="H481" s="277" t="n">
        <v>0</v>
      </c>
      <c r="I481" s="277" t="n">
        <v>0</v>
      </c>
      <c r="J481" s="278" t="n">
        <f aca="false">E481+H481+I481</f>
        <v>0</v>
      </c>
      <c r="K481" s="204"/>
      <c r="L481" s="279" t="n">
        <v>1</v>
      </c>
      <c r="M481" s="280" t="n">
        <f aca="false">1-L481</f>
        <v>0</v>
      </c>
      <c r="N481" s="281"/>
      <c r="O481" s="282"/>
      <c r="P481" s="282"/>
      <c r="Q481" s="282"/>
      <c r="R481" s="282"/>
      <c r="S481" s="282"/>
      <c r="T481" s="282"/>
      <c r="U481" s="282"/>
      <c r="V481" s="282"/>
      <c r="W481" s="282"/>
      <c r="X481" s="282"/>
      <c r="Y481" s="282"/>
      <c r="Z481" s="282"/>
      <c r="AA481" s="283"/>
      <c r="AB481" s="284" t="n">
        <f aca="false">IFERROR(($J481*O481)*$L481, "")</f>
        <v>0</v>
      </c>
      <c r="AC481" s="284" t="n">
        <f aca="false">IFERROR(($J481*P481)*$L481, "")</f>
        <v>0</v>
      </c>
      <c r="AD481" s="284" t="n">
        <f aca="false">IFERROR(($J481*Q481)*$L481, "")</f>
        <v>0</v>
      </c>
      <c r="AE481" s="284" t="n">
        <f aca="false">IFERROR(($J481*R481)*$L481, "")</f>
        <v>0</v>
      </c>
      <c r="AF481" s="284" t="n">
        <f aca="false">IFERROR(($J481*S481)*$L481, "")</f>
        <v>0</v>
      </c>
      <c r="AG481" s="284" t="n">
        <f aca="false">IFERROR(($J481*T481)*$L481, "")</f>
        <v>0</v>
      </c>
      <c r="AH481" s="284" t="n">
        <f aca="false">IFERROR(($J481*U481)*$L481, "")</f>
        <v>0</v>
      </c>
      <c r="AI481" s="284" t="n">
        <f aca="false">IFERROR(($J481*V481)*$L481, "")</f>
        <v>0</v>
      </c>
      <c r="AJ481" s="284" t="n">
        <f aca="false">IFERROR(($J481*W481)*$L481, "")</f>
        <v>0</v>
      </c>
      <c r="AK481" s="284" t="n">
        <f aca="false">IFERROR(($J481*X481)*$L481, "")</f>
        <v>0</v>
      </c>
      <c r="AL481" s="284" t="n">
        <f aca="false">IFERROR(($J481*Y481)*$L481, "")</f>
        <v>0</v>
      </c>
      <c r="AM481" s="285" t="n">
        <f aca="false">IFERROR(($J481*Z481)*$L481, "")</f>
        <v>0</v>
      </c>
      <c r="AN481" s="286" t="n">
        <f aca="false">IFERROR(SUMIF($AB$4:$AM$4, "RDEC", AB481:AM481), "")</f>
        <v>0</v>
      </c>
      <c r="AO481" s="286" t="n">
        <f aca="false">IFERROR(SUMIF($AB$4:$AM$4, "SME", AB481:AM481), "")</f>
        <v>0</v>
      </c>
      <c r="AP481" s="286" t="n">
        <f aca="false">IFERROR(SUMIF($AB$4:$AM$4, "De Minimis", AB481:AM481), "")</f>
        <v>0</v>
      </c>
      <c r="AQ481" s="283"/>
      <c r="AR481" s="284" t="n">
        <f aca="false">IFERROR(($J481*O481)*$M481, "")</f>
        <v>0</v>
      </c>
      <c r="AS481" s="284" t="n">
        <f aca="false">IFERROR(($J481*P481)*$M481, "")</f>
        <v>0</v>
      </c>
      <c r="AT481" s="284" t="n">
        <f aca="false">IFERROR(($J481*Q481)*$M481, "")</f>
        <v>0</v>
      </c>
      <c r="AU481" s="284" t="n">
        <f aca="false">IFERROR(($J481*R481)*$M481, "")</f>
        <v>0</v>
      </c>
      <c r="AV481" s="284" t="n">
        <f aca="false">IFERROR(($J481*S481)*$M481, "")</f>
        <v>0</v>
      </c>
      <c r="AW481" s="284" t="n">
        <f aca="false">IFERROR(($J481*T481)*$M481, "")</f>
        <v>0</v>
      </c>
      <c r="AX481" s="284" t="n">
        <f aca="false">IFERROR(($J481*U481)*$M481, "")</f>
        <v>0</v>
      </c>
      <c r="AY481" s="284" t="n">
        <f aca="false">IFERROR(($J481*V481)*$M481, "")</f>
        <v>0</v>
      </c>
      <c r="AZ481" s="284" t="n">
        <f aca="false">IFERROR(($J481*W481)*$M481, "")</f>
        <v>0</v>
      </c>
      <c r="BA481" s="284" t="n">
        <f aca="false">IFERROR(($J481*X481)*$M481, "")</f>
        <v>0</v>
      </c>
      <c r="BB481" s="284" t="n">
        <f aca="false">IFERROR(($J481*Y481)*$M481, "")</f>
        <v>0</v>
      </c>
      <c r="BC481" s="285" t="n">
        <f aca="false">IFERROR(($J481*Z481)*$M481, "")</f>
        <v>0</v>
      </c>
      <c r="BD481" s="286" t="n">
        <f aca="false">IFERROR(SUMIF($AB$4:$AM$4, "RDEC", AR481:BC481), "")</f>
        <v>0</v>
      </c>
      <c r="BE481" s="286" t="n">
        <f aca="false">IFERROR(SUMIF($AB$4:$AM$4, "SME", AR481:BC481), "")</f>
        <v>0</v>
      </c>
      <c r="BF481" s="286" t="n">
        <f aca="false">IFERROR(SUMIF($AB$4:$AM$4, "De Minimis", AR481:BC481), "")</f>
        <v>0</v>
      </c>
      <c r="BG481" s="287"/>
      <c r="BH481" s="288" t="str">
        <f aca="false">IF((SUM(O481:Z481)&gt;1),"ERROR","")</f>
        <v/>
      </c>
      <c r="BI481" s="287"/>
      <c r="BJ481" s="18" t="str">
        <f aca="false">IF(C467&gt;0, C467, "")</f>
        <v/>
      </c>
      <c r="BL481" s="200"/>
      <c r="BM481" s="200"/>
      <c r="BN481" s="200"/>
    </row>
    <row r="482" customFormat="false" ht="15" hidden="false" customHeight="true" outlineLevel="0" collapsed="false">
      <c r="B482" s="275"/>
      <c r="D482" s="276" t="n">
        <f aca="false">D466</f>
        <v>45597</v>
      </c>
      <c r="E482" s="277" t="n">
        <v>0</v>
      </c>
      <c r="F482" s="277" t="n">
        <v>0</v>
      </c>
      <c r="G482" s="277" t="n">
        <v>0</v>
      </c>
      <c r="H482" s="277" t="n">
        <v>0</v>
      </c>
      <c r="I482" s="277" t="n">
        <v>0</v>
      </c>
      <c r="J482" s="278" t="n">
        <f aca="false">E482+H482+I482</f>
        <v>0</v>
      </c>
      <c r="K482" s="204"/>
      <c r="L482" s="279" t="n">
        <v>1</v>
      </c>
      <c r="M482" s="280" t="n">
        <f aca="false">1-L482</f>
        <v>0</v>
      </c>
      <c r="N482" s="281"/>
      <c r="O482" s="282"/>
      <c r="P482" s="282"/>
      <c r="Q482" s="282"/>
      <c r="R482" s="282"/>
      <c r="S482" s="282"/>
      <c r="T482" s="282"/>
      <c r="U482" s="282"/>
      <c r="V482" s="282"/>
      <c r="W482" s="282"/>
      <c r="X482" s="282"/>
      <c r="Y482" s="282"/>
      <c r="Z482" s="282"/>
      <c r="AA482" s="283"/>
      <c r="AB482" s="284" t="n">
        <f aca="false">IFERROR(($J482*O482)*$L482, "")</f>
        <v>0</v>
      </c>
      <c r="AC482" s="284" t="n">
        <f aca="false">IFERROR(($J482*P482)*$L482, "")</f>
        <v>0</v>
      </c>
      <c r="AD482" s="284" t="n">
        <f aca="false">IFERROR(($J482*Q482)*$L482, "")</f>
        <v>0</v>
      </c>
      <c r="AE482" s="284" t="n">
        <f aca="false">IFERROR(($J482*R482)*$L482, "")</f>
        <v>0</v>
      </c>
      <c r="AF482" s="284" t="n">
        <f aca="false">IFERROR(($J482*S482)*$L482, "")</f>
        <v>0</v>
      </c>
      <c r="AG482" s="284" t="n">
        <f aca="false">IFERROR(($J482*T482)*$L482, "")</f>
        <v>0</v>
      </c>
      <c r="AH482" s="284" t="n">
        <f aca="false">IFERROR(($J482*U482)*$L482, "")</f>
        <v>0</v>
      </c>
      <c r="AI482" s="284" t="n">
        <f aca="false">IFERROR(($J482*V482)*$L482, "")</f>
        <v>0</v>
      </c>
      <c r="AJ482" s="284" t="n">
        <f aca="false">IFERROR(($J482*W482)*$L482, "")</f>
        <v>0</v>
      </c>
      <c r="AK482" s="284" t="n">
        <f aca="false">IFERROR(($J482*X482)*$L482, "")</f>
        <v>0</v>
      </c>
      <c r="AL482" s="284" t="n">
        <f aca="false">IFERROR(($J482*Y482)*$L482, "")</f>
        <v>0</v>
      </c>
      <c r="AM482" s="285" t="n">
        <f aca="false">IFERROR(($J482*Z482)*$L482, "")</f>
        <v>0</v>
      </c>
      <c r="AN482" s="286" t="n">
        <f aca="false">IFERROR(SUMIF($AB$4:$AM$4, "RDEC", AB482:AM482), "")</f>
        <v>0</v>
      </c>
      <c r="AO482" s="286" t="n">
        <f aca="false">IFERROR(SUMIF($AB$4:$AM$4, "SME", AB482:AM482), "")</f>
        <v>0</v>
      </c>
      <c r="AP482" s="286" t="n">
        <f aca="false">IFERROR(SUMIF($AB$4:$AM$4, "De Minimis", AB482:AM482), "")</f>
        <v>0</v>
      </c>
      <c r="AQ482" s="283"/>
      <c r="AR482" s="284" t="n">
        <f aca="false">IFERROR(($J482*O482)*$M482, "")</f>
        <v>0</v>
      </c>
      <c r="AS482" s="284" t="n">
        <f aca="false">IFERROR(($J482*P482)*$M482, "")</f>
        <v>0</v>
      </c>
      <c r="AT482" s="284" t="n">
        <f aca="false">IFERROR(($J482*Q482)*$M482, "")</f>
        <v>0</v>
      </c>
      <c r="AU482" s="284" t="n">
        <f aca="false">IFERROR(($J482*R482)*$M482, "")</f>
        <v>0</v>
      </c>
      <c r="AV482" s="284" t="n">
        <f aca="false">IFERROR(($J482*S482)*$M482, "")</f>
        <v>0</v>
      </c>
      <c r="AW482" s="284" t="n">
        <f aca="false">IFERROR(($J482*T482)*$M482, "")</f>
        <v>0</v>
      </c>
      <c r="AX482" s="284" t="n">
        <f aca="false">IFERROR(($J482*U482)*$M482, "")</f>
        <v>0</v>
      </c>
      <c r="AY482" s="284" t="n">
        <f aca="false">IFERROR(($J482*V482)*$M482, "")</f>
        <v>0</v>
      </c>
      <c r="AZ482" s="284" t="n">
        <f aca="false">IFERROR(($J482*W482)*$M482, "")</f>
        <v>0</v>
      </c>
      <c r="BA482" s="284" t="n">
        <f aca="false">IFERROR(($J482*X482)*$M482, "")</f>
        <v>0</v>
      </c>
      <c r="BB482" s="284" t="n">
        <f aca="false">IFERROR(($J482*Y482)*$M482, "")</f>
        <v>0</v>
      </c>
      <c r="BC482" s="285" t="n">
        <f aca="false">IFERROR(($J482*Z482)*$M482, "")</f>
        <v>0</v>
      </c>
      <c r="BD482" s="286" t="n">
        <f aca="false">IFERROR(SUMIF($AB$4:$AM$4, "RDEC", AR482:BC482), "")</f>
        <v>0</v>
      </c>
      <c r="BE482" s="286" t="n">
        <f aca="false">IFERROR(SUMIF($AB$4:$AM$4, "SME", AR482:BC482), "")</f>
        <v>0</v>
      </c>
      <c r="BF482" s="286" t="n">
        <f aca="false">IFERROR(SUMIF($AB$4:$AM$4, "De Minimis", AR482:BC482), "")</f>
        <v>0</v>
      </c>
      <c r="BG482" s="287"/>
      <c r="BH482" s="288" t="str">
        <f aca="false">IF((SUM(O482:Z482)&gt;1),"ERROR","")</f>
        <v/>
      </c>
      <c r="BI482" s="287"/>
      <c r="BJ482" s="18" t="str">
        <f aca="false">IF(C468&gt;0, C468, "")</f>
        <v/>
      </c>
      <c r="BL482" s="200"/>
      <c r="BM482" s="200"/>
      <c r="BN482" s="200"/>
    </row>
    <row r="483" customFormat="false" ht="15" hidden="false" customHeight="true" outlineLevel="0" collapsed="false">
      <c r="B483" s="275"/>
      <c r="D483" s="276" t="n">
        <f aca="false">D467</f>
        <v>45627</v>
      </c>
      <c r="E483" s="277" t="n">
        <v>0</v>
      </c>
      <c r="F483" s="277" t="n">
        <v>0</v>
      </c>
      <c r="G483" s="277" t="n">
        <v>0</v>
      </c>
      <c r="H483" s="277" t="n">
        <v>0</v>
      </c>
      <c r="I483" s="277" t="n">
        <v>0</v>
      </c>
      <c r="J483" s="278" t="n">
        <f aca="false">E483+H483+I483</f>
        <v>0</v>
      </c>
      <c r="K483" s="204"/>
      <c r="L483" s="289" t="n">
        <v>1</v>
      </c>
      <c r="M483" s="290" t="n">
        <f aca="false">1-L483</f>
        <v>0</v>
      </c>
      <c r="N483" s="281"/>
      <c r="O483" s="291"/>
      <c r="P483" s="291"/>
      <c r="Q483" s="291"/>
      <c r="R483" s="291"/>
      <c r="S483" s="291"/>
      <c r="T483" s="291"/>
      <c r="U483" s="291"/>
      <c r="V483" s="291"/>
      <c r="W483" s="291"/>
      <c r="X483" s="291"/>
      <c r="Y483" s="291"/>
      <c r="Z483" s="291"/>
      <c r="AA483" s="283"/>
      <c r="AB483" s="292" t="n">
        <f aca="false">IFERROR(($J483*O483)*$L483, "")</f>
        <v>0</v>
      </c>
      <c r="AC483" s="292" t="n">
        <f aca="false">IFERROR(($J483*P483)*$L483, "")</f>
        <v>0</v>
      </c>
      <c r="AD483" s="292" t="n">
        <f aca="false">IFERROR(($J483*Q483)*$L483, "")</f>
        <v>0</v>
      </c>
      <c r="AE483" s="292" t="n">
        <f aca="false">IFERROR(($J483*R483)*$L483, "")</f>
        <v>0</v>
      </c>
      <c r="AF483" s="292" t="n">
        <f aca="false">IFERROR(($J483*S483)*$L483, "")</f>
        <v>0</v>
      </c>
      <c r="AG483" s="292" t="n">
        <f aca="false">IFERROR(($J483*T483)*$L483, "")</f>
        <v>0</v>
      </c>
      <c r="AH483" s="292" t="n">
        <f aca="false">IFERROR(($J483*U483)*$L483, "")</f>
        <v>0</v>
      </c>
      <c r="AI483" s="292" t="n">
        <f aca="false">IFERROR(($J483*V483)*$L483, "")</f>
        <v>0</v>
      </c>
      <c r="AJ483" s="292" t="n">
        <f aca="false">IFERROR(($J483*W483)*$L483, "")</f>
        <v>0</v>
      </c>
      <c r="AK483" s="292" t="n">
        <f aca="false">IFERROR(($J483*X483)*$L483, "")</f>
        <v>0</v>
      </c>
      <c r="AL483" s="292" t="n">
        <f aca="false">IFERROR(($J483*Y483)*$L483, "")</f>
        <v>0</v>
      </c>
      <c r="AM483" s="293" t="n">
        <f aca="false">IFERROR(($J483*Z483)*$L483, "")</f>
        <v>0</v>
      </c>
      <c r="AN483" s="294" t="n">
        <f aca="false">IFERROR(SUMIF($AB$4:$AM$4, "RDEC", AB483:AM483), "")</f>
        <v>0</v>
      </c>
      <c r="AO483" s="294" t="n">
        <f aca="false">IFERROR(SUMIF($AB$4:$AM$4, "SME", AB483:AM483), "")</f>
        <v>0</v>
      </c>
      <c r="AP483" s="294" t="n">
        <f aca="false">IFERROR(SUMIF($AB$4:$AM$4, "De Minimis", AB483:AM483), "")</f>
        <v>0</v>
      </c>
      <c r="AQ483" s="283"/>
      <c r="AR483" s="292" t="n">
        <f aca="false">IFERROR(($J483*O483)*$M483, "")</f>
        <v>0</v>
      </c>
      <c r="AS483" s="292" t="n">
        <f aca="false">IFERROR(($J483*P483)*$M483, "")</f>
        <v>0</v>
      </c>
      <c r="AT483" s="292" t="n">
        <f aca="false">IFERROR(($J483*Q483)*$M483, "")</f>
        <v>0</v>
      </c>
      <c r="AU483" s="292" t="n">
        <f aca="false">IFERROR(($J483*R483)*$M483, "")</f>
        <v>0</v>
      </c>
      <c r="AV483" s="292" t="n">
        <f aca="false">IFERROR(($J483*S483)*$M483, "")</f>
        <v>0</v>
      </c>
      <c r="AW483" s="292" t="n">
        <f aca="false">IFERROR(($J483*T483)*$M483, "")</f>
        <v>0</v>
      </c>
      <c r="AX483" s="292" t="n">
        <f aca="false">IFERROR(($J483*U483)*$M483, "")</f>
        <v>0</v>
      </c>
      <c r="AY483" s="292" t="n">
        <f aca="false">IFERROR(($J483*V483)*$M483, "")</f>
        <v>0</v>
      </c>
      <c r="AZ483" s="292" t="n">
        <f aca="false">IFERROR(($J483*W483)*$M483, "")</f>
        <v>0</v>
      </c>
      <c r="BA483" s="292" t="n">
        <f aca="false">IFERROR(($J483*X483)*$M483, "")</f>
        <v>0</v>
      </c>
      <c r="BB483" s="292" t="n">
        <f aca="false">IFERROR(($J483*Y483)*$M483, "")</f>
        <v>0</v>
      </c>
      <c r="BC483" s="293" t="n">
        <f aca="false">IFERROR(($J483*Z483)*$M483, "")</f>
        <v>0</v>
      </c>
      <c r="BD483" s="294" t="n">
        <f aca="false">IFERROR(SUMIF($AB$4:$AM$4, "RDEC", AR483:BC483), "")</f>
        <v>0</v>
      </c>
      <c r="BE483" s="294" t="n">
        <f aca="false">IFERROR(SUMIF($AB$4:$AM$4, "SME", AR483:BC483), "")</f>
        <v>0</v>
      </c>
      <c r="BF483" s="294" t="n">
        <f aca="false">IFERROR(SUMIF($AB$4:$AM$4, "De Minimis", AR483:BC483), "")</f>
        <v>0</v>
      </c>
      <c r="BG483" s="287"/>
      <c r="BH483" s="295" t="str">
        <f aca="false">IF((SUM(O483:Z483)&gt;1),"ERROR","")</f>
        <v/>
      </c>
      <c r="BI483" s="287"/>
      <c r="BJ483" s="18" t="str">
        <f aca="false">IF(C469&gt;0, C469, "")</f>
        <v/>
      </c>
      <c r="BL483" s="200"/>
      <c r="BM483" s="200"/>
      <c r="BN483" s="200"/>
    </row>
    <row r="484" customFormat="false" ht="15" hidden="false" customHeight="true" outlineLevel="0" collapsed="false">
      <c r="B484" s="296"/>
      <c r="D484" s="297" t="s">
        <v>82</v>
      </c>
      <c r="E484" s="298" t="n">
        <f aca="false">SUM(E472:E483)</f>
        <v>0</v>
      </c>
      <c r="F484" s="298" t="n">
        <f aca="false">SUM(F472:F483)</f>
        <v>0</v>
      </c>
      <c r="G484" s="298" t="n">
        <f aca="false">SUM(G472:G483)</f>
        <v>0</v>
      </c>
      <c r="H484" s="298" t="n">
        <f aca="false">SUM(H472:H483)</f>
        <v>0</v>
      </c>
      <c r="I484" s="298" t="n">
        <f aca="false">SUM(I472:I483)</f>
        <v>0</v>
      </c>
      <c r="J484" s="299" t="n">
        <f aca="false">SUM(J472:J483)</f>
        <v>0</v>
      </c>
      <c r="K484" s="300"/>
      <c r="L484" s="301" t="n">
        <f aca="false">AVERAGE(L472:L483)</f>
        <v>1</v>
      </c>
      <c r="M484" s="301" t="n">
        <f aca="false">AVERAGE(M472:M483)</f>
        <v>0</v>
      </c>
      <c r="N484" s="302"/>
      <c r="O484" s="290" t="n">
        <f aca="false">IF(SUM(O472:O483)&gt;0,((AB484+AR484)/J484),0)</f>
        <v>0</v>
      </c>
      <c r="P484" s="290" t="n">
        <f aca="false">IF(SUM(P472:P483)&gt;0,((AC484+AS484)/J484),0)</f>
        <v>0</v>
      </c>
      <c r="Q484" s="290" t="n">
        <f aca="false">IF(SUM(Q472:Q483)&gt;0,((AD484+AT484)/J484),0)</f>
        <v>0</v>
      </c>
      <c r="R484" s="290" t="n">
        <f aca="false">IF(SUM(R472:R483)&gt;0,((AE484+AU484)/J484),0)</f>
        <v>0</v>
      </c>
      <c r="S484" s="290" t="n">
        <f aca="false">IF(SUM(S472:S483)&gt;0,((AF484+AV484)/J484),0)</f>
        <v>0</v>
      </c>
      <c r="T484" s="290" t="n">
        <f aca="false">IF(SUM(T472:T483)&gt;0,((AG484+AW484)/J484),0)</f>
        <v>0</v>
      </c>
      <c r="U484" s="290" t="n">
        <f aca="false">IF(SUM(U472:U483)&gt;0,((AH484+AX484)/J484),0)</f>
        <v>0</v>
      </c>
      <c r="V484" s="290" t="n">
        <f aca="false">IF(SUM(V472:V483)&gt;0,((AI484+AY484)/J484),0)</f>
        <v>0</v>
      </c>
      <c r="W484" s="290" t="n">
        <f aca="false">IF(SUM(W472:W483)&gt;0,((AJ484+AZ484)/J484),0)</f>
        <v>0</v>
      </c>
      <c r="X484" s="290" t="n">
        <f aca="false">IF(SUM(X472:X483)&gt;0,((AK484+BA484)/J484),0)</f>
        <v>0</v>
      </c>
      <c r="Y484" s="290" t="n">
        <f aca="false">IF(SUM(Y472:Y483)&gt;0,((AL484+BB484)/J484),0)</f>
        <v>0</v>
      </c>
      <c r="Z484" s="290" t="n">
        <f aca="false">IF(SUM(Z472:Z483)&gt;0,((AM484+BC484)/J484),0)</f>
        <v>0</v>
      </c>
      <c r="AA484" s="303"/>
      <c r="AB484" s="292" t="n">
        <f aca="false">SUM(AB472:AB483)</f>
        <v>0</v>
      </c>
      <c r="AC484" s="304" t="n">
        <f aca="false">SUM(AC472:AC483)</f>
        <v>0</v>
      </c>
      <c r="AD484" s="304" t="n">
        <f aca="false">SUM(AD472:AD483)</f>
        <v>0</v>
      </c>
      <c r="AE484" s="304" t="n">
        <f aca="false">SUM(AE472:AE483)</f>
        <v>0</v>
      </c>
      <c r="AF484" s="304" t="n">
        <f aca="false">SUM(AF472:AF483)</f>
        <v>0</v>
      </c>
      <c r="AG484" s="304" t="n">
        <f aca="false">SUM(AG472:AG483)</f>
        <v>0</v>
      </c>
      <c r="AH484" s="304" t="n">
        <f aca="false">SUM(AH472:AH483)</f>
        <v>0</v>
      </c>
      <c r="AI484" s="304" t="n">
        <f aca="false">SUM(AI472:AI483)</f>
        <v>0</v>
      </c>
      <c r="AJ484" s="304" t="n">
        <f aca="false">SUM(AJ472:AJ483)</f>
        <v>0</v>
      </c>
      <c r="AK484" s="304" t="n">
        <f aca="false">SUM(AK472:AK483)</f>
        <v>0</v>
      </c>
      <c r="AL484" s="304" t="n">
        <f aca="false">SUM(AL472:AL483)</f>
        <v>0</v>
      </c>
      <c r="AM484" s="304" t="n">
        <f aca="false">SUM(AM472:AM483)</f>
        <v>0</v>
      </c>
      <c r="AN484" s="305" t="n">
        <f aca="false">SUM(AN472:AN483)</f>
        <v>0</v>
      </c>
      <c r="AO484" s="305" t="n">
        <f aca="false">SUM(AO472:AO483)</f>
        <v>0</v>
      </c>
      <c r="AP484" s="305" t="n">
        <f aca="false">SUM(AP472:AP483)</f>
        <v>0</v>
      </c>
      <c r="AQ484" s="303"/>
      <c r="AR484" s="292" t="n">
        <f aca="false">SUM(AR472:AR483)</f>
        <v>0</v>
      </c>
      <c r="AS484" s="304" t="n">
        <f aca="false">SUM(AS472:AS483)</f>
        <v>0</v>
      </c>
      <c r="AT484" s="304" t="n">
        <f aca="false">SUM(AT472:AT483)</f>
        <v>0</v>
      </c>
      <c r="AU484" s="304" t="n">
        <f aca="false">SUM(AU472:AU483)</f>
        <v>0</v>
      </c>
      <c r="AV484" s="304" t="n">
        <f aca="false">SUM(AV472:AV483)</f>
        <v>0</v>
      </c>
      <c r="AW484" s="304" t="n">
        <f aca="false">SUM(AW472:AW483)</f>
        <v>0</v>
      </c>
      <c r="AX484" s="304" t="n">
        <f aca="false">SUM(AX472:AX483)</f>
        <v>0</v>
      </c>
      <c r="AY484" s="304" t="n">
        <f aca="false">SUM(AY472:AY483)</f>
        <v>0</v>
      </c>
      <c r="AZ484" s="304" t="n">
        <f aca="false">SUM(AZ472:AZ483)</f>
        <v>0</v>
      </c>
      <c r="BA484" s="304" t="n">
        <f aca="false">SUM(BA472:BA483)</f>
        <v>0</v>
      </c>
      <c r="BB484" s="304" t="n">
        <f aca="false">SUM(BB472:BB483)</f>
        <v>0</v>
      </c>
      <c r="BC484" s="304" t="n">
        <f aca="false">SUM(BC472:BC483)</f>
        <v>0</v>
      </c>
      <c r="BD484" s="305" t="n">
        <f aca="false">SUM(BD472:BD483)</f>
        <v>0</v>
      </c>
      <c r="BE484" s="305" t="n">
        <f aca="false">SUM(BE472:BE483)</f>
        <v>0</v>
      </c>
      <c r="BF484" s="305" t="n">
        <f aca="false">SUM(BF472:BF483)</f>
        <v>0</v>
      </c>
      <c r="BG484" s="303"/>
      <c r="BH484" s="306"/>
      <c r="BI484" s="303"/>
      <c r="BJ484" s="307" t="str">
        <f aca="false">IF(C470&gt;0, C470, "")</f>
        <v>TBA</v>
      </c>
      <c r="BK484" s="18" t="s">
        <v>234</v>
      </c>
      <c r="BL484" s="200" t="n">
        <f aca="false">IF($BK484="Y",J484,0)</f>
        <v>0</v>
      </c>
      <c r="BM484" s="200" t="n">
        <f aca="false">IF(BK484="Y", AN484,0)</f>
        <v>0</v>
      </c>
      <c r="BN484" s="200" t="n">
        <f aca="false">IF((BK484="Y"),AO484,0)</f>
        <v>0</v>
      </c>
    </row>
    <row r="485" customFormat="false" ht="15" hidden="false" customHeight="true" outlineLevel="0" collapsed="false">
      <c r="B485" s="296"/>
      <c r="D485" s="297"/>
      <c r="E485" s="277"/>
      <c r="F485" s="277"/>
      <c r="G485" s="277"/>
      <c r="H485" s="277"/>
      <c r="I485" s="277"/>
      <c r="J485" s="300"/>
      <c r="K485" s="300"/>
      <c r="L485" s="302"/>
      <c r="M485" s="302"/>
      <c r="N485" s="302"/>
      <c r="O485" s="308"/>
      <c r="P485" s="308"/>
      <c r="Q485" s="308"/>
      <c r="R485" s="308"/>
      <c r="S485" s="308"/>
      <c r="T485" s="308"/>
      <c r="U485" s="308"/>
      <c r="V485" s="308"/>
      <c r="W485" s="308"/>
      <c r="X485" s="308"/>
      <c r="Y485" s="308"/>
      <c r="Z485" s="308"/>
      <c r="AA485" s="303"/>
      <c r="AB485" s="303"/>
      <c r="AC485" s="303"/>
      <c r="AD485" s="303"/>
      <c r="AE485" s="303"/>
      <c r="AF485" s="303"/>
      <c r="AG485" s="303"/>
      <c r="AH485" s="303"/>
      <c r="AI485" s="303"/>
      <c r="AJ485" s="303"/>
      <c r="AK485" s="303"/>
      <c r="AL485" s="303"/>
      <c r="AM485" s="303"/>
      <c r="AN485" s="303"/>
      <c r="AO485" s="303"/>
      <c r="AP485" s="303"/>
      <c r="AQ485" s="303"/>
      <c r="AR485" s="303"/>
      <c r="AS485" s="303"/>
      <c r="AT485" s="303"/>
      <c r="AU485" s="303"/>
      <c r="AV485" s="303"/>
      <c r="AW485" s="303"/>
      <c r="AX485" s="303"/>
      <c r="AY485" s="303"/>
      <c r="AZ485" s="303"/>
      <c r="BA485" s="303"/>
      <c r="BB485" s="303"/>
      <c r="BC485" s="303"/>
      <c r="BD485" s="303"/>
      <c r="BE485" s="303"/>
      <c r="BF485" s="303"/>
      <c r="BG485" s="303"/>
      <c r="BH485" s="303"/>
      <c r="BI485" s="303"/>
      <c r="BJ485" s="307" t="str">
        <f aca="false">IF(C472&gt;0, C472, "")</f>
        <v/>
      </c>
      <c r="BL485" s="200"/>
      <c r="BM485" s="200"/>
      <c r="BN485" s="200"/>
    </row>
    <row r="486" customFormat="false" ht="15" hidden="false" customHeight="true" outlineLevel="0" collapsed="false">
      <c r="A486" s="198" t="n">
        <f aca="false">A470+1</f>
        <v>31</v>
      </c>
      <c r="B486" s="266" t="s">
        <v>253</v>
      </c>
      <c r="C486" s="266" t="s">
        <v>253</v>
      </c>
      <c r="D486" s="267"/>
      <c r="E486" s="242"/>
      <c r="F486" s="242"/>
      <c r="G486" s="242"/>
      <c r="H486" s="242"/>
      <c r="I486" s="242"/>
      <c r="J486" s="241"/>
      <c r="K486" s="241"/>
      <c r="L486" s="241"/>
      <c r="M486" s="241"/>
      <c r="N486" s="241"/>
      <c r="O486" s="268"/>
      <c r="P486" s="268"/>
      <c r="Q486" s="268"/>
      <c r="R486" s="268"/>
      <c r="S486" s="268"/>
      <c r="T486" s="268"/>
      <c r="U486" s="268"/>
      <c r="V486" s="268"/>
      <c r="W486" s="268"/>
      <c r="X486" s="268"/>
      <c r="Y486" s="268"/>
      <c r="Z486" s="268"/>
      <c r="AA486" s="268"/>
      <c r="AB486" s="268"/>
      <c r="AC486" s="268"/>
      <c r="AD486" s="268"/>
      <c r="AE486" s="268"/>
      <c r="AF486" s="268"/>
      <c r="AG486" s="268"/>
      <c r="AH486" s="268"/>
      <c r="AI486" s="268"/>
      <c r="AJ486" s="268"/>
      <c r="AK486" s="268"/>
      <c r="AL486" s="268"/>
      <c r="AM486" s="268"/>
      <c r="AN486" s="268"/>
      <c r="AO486" s="268"/>
      <c r="AP486" s="268"/>
      <c r="AQ486" s="268"/>
      <c r="AR486" s="268"/>
      <c r="AS486" s="268"/>
      <c r="AT486" s="268"/>
      <c r="AU486" s="268"/>
      <c r="AV486" s="268"/>
      <c r="AW486" s="268"/>
      <c r="AX486" s="268"/>
      <c r="AY486" s="268"/>
      <c r="AZ486" s="268"/>
      <c r="BA486" s="268"/>
      <c r="BB486" s="268"/>
      <c r="BC486" s="268"/>
      <c r="BD486" s="268"/>
      <c r="BE486" s="268"/>
      <c r="BF486" s="268"/>
      <c r="BG486" s="268"/>
      <c r="BH486" s="268"/>
      <c r="BI486" s="268"/>
      <c r="BJ486" s="18" t="str">
        <f aca="false">IF(C473&gt;0, C473, "")</f>
        <v/>
      </c>
      <c r="BL486" s="200"/>
      <c r="BM486" s="200"/>
      <c r="BN486" s="200"/>
    </row>
    <row r="487" customFormat="false" ht="7.5" hidden="false" customHeight="true" outlineLevel="0" collapsed="false">
      <c r="A487" s="198"/>
      <c r="B487" s="266"/>
      <c r="C487" s="266"/>
      <c r="D487" s="267"/>
      <c r="E487" s="242"/>
      <c r="F487" s="242"/>
      <c r="G487" s="242"/>
      <c r="H487" s="242"/>
      <c r="I487" s="242"/>
      <c r="J487" s="241"/>
      <c r="K487" s="241"/>
      <c r="L487" s="269"/>
      <c r="M487" s="269"/>
      <c r="N487" s="270"/>
      <c r="O487" s="269"/>
      <c r="P487" s="269"/>
      <c r="Q487" s="269"/>
      <c r="R487" s="269"/>
      <c r="S487" s="269"/>
      <c r="T487" s="269"/>
      <c r="U487" s="269"/>
      <c r="V487" s="269"/>
      <c r="W487" s="269"/>
      <c r="X487" s="269"/>
      <c r="Y487" s="269"/>
      <c r="Z487" s="269"/>
      <c r="AA487" s="268"/>
      <c r="AB487" s="271"/>
      <c r="AC487" s="271"/>
      <c r="AD487" s="271"/>
      <c r="AE487" s="271"/>
      <c r="AF487" s="271"/>
      <c r="AG487" s="271"/>
      <c r="AH487" s="271"/>
      <c r="AI487" s="271"/>
      <c r="AJ487" s="271"/>
      <c r="AK487" s="271"/>
      <c r="AL487" s="271"/>
      <c r="AM487" s="272"/>
      <c r="AN487" s="273"/>
      <c r="AO487" s="273"/>
      <c r="AP487" s="273"/>
      <c r="AQ487" s="268"/>
      <c r="AR487" s="271"/>
      <c r="AS487" s="271"/>
      <c r="AT487" s="271"/>
      <c r="AU487" s="271"/>
      <c r="AV487" s="271"/>
      <c r="AW487" s="271"/>
      <c r="AX487" s="271"/>
      <c r="AY487" s="271"/>
      <c r="AZ487" s="271"/>
      <c r="BA487" s="271"/>
      <c r="BB487" s="271"/>
      <c r="BC487" s="272"/>
      <c r="BD487" s="273"/>
      <c r="BE487" s="273"/>
      <c r="BF487" s="273"/>
      <c r="BG487" s="268"/>
      <c r="BH487" s="274"/>
      <c r="BI487" s="268"/>
      <c r="BL487" s="200"/>
      <c r="BM487" s="200"/>
      <c r="BN487" s="200"/>
    </row>
    <row r="488" customFormat="false" ht="15" hidden="false" customHeight="true" outlineLevel="0" collapsed="false">
      <c r="B488" s="275"/>
      <c r="D488" s="276" t="n">
        <f aca="false">D472</f>
        <v>45292</v>
      </c>
      <c r="E488" s="277" t="n">
        <v>0</v>
      </c>
      <c r="F488" s="277" t="n">
        <v>0</v>
      </c>
      <c r="G488" s="277" t="n">
        <v>0</v>
      </c>
      <c r="H488" s="277" t="n">
        <v>0</v>
      </c>
      <c r="I488" s="277" t="n">
        <v>0</v>
      </c>
      <c r="J488" s="278" t="n">
        <f aca="false">E488+H488+I488</f>
        <v>0</v>
      </c>
      <c r="K488" s="204"/>
      <c r="L488" s="279" t="n">
        <v>1</v>
      </c>
      <c r="M488" s="280" t="n">
        <f aca="false">1-L488</f>
        <v>0</v>
      </c>
      <c r="N488" s="281"/>
      <c r="O488" s="282"/>
      <c r="P488" s="282"/>
      <c r="Q488" s="282"/>
      <c r="R488" s="282"/>
      <c r="S488" s="282"/>
      <c r="T488" s="282"/>
      <c r="U488" s="282"/>
      <c r="V488" s="282"/>
      <c r="W488" s="282"/>
      <c r="X488" s="282"/>
      <c r="Y488" s="282"/>
      <c r="Z488" s="282"/>
      <c r="AA488" s="283"/>
      <c r="AB488" s="284" t="n">
        <f aca="false">IFERROR(($J488*O488)*$L488, "")</f>
        <v>0</v>
      </c>
      <c r="AC488" s="284" t="n">
        <f aca="false">IFERROR(($J488*P488)*$L488, "")</f>
        <v>0</v>
      </c>
      <c r="AD488" s="284" t="n">
        <f aca="false">IFERROR(($J488*Q488)*$L488, "")</f>
        <v>0</v>
      </c>
      <c r="AE488" s="284" t="n">
        <f aca="false">IFERROR(($J488*R488)*$L488, "")</f>
        <v>0</v>
      </c>
      <c r="AF488" s="284" t="n">
        <f aca="false">IFERROR(($J488*S488)*$L488, "")</f>
        <v>0</v>
      </c>
      <c r="AG488" s="284" t="n">
        <f aca="false">IFERROR(($J488*T488)*$L488, "")</f>
        <v>0</v>
      </c>
      <c r="AH488" s="284" t="n">
        <f aca="false">IFERROR(($J488*U488)*$L488, "")</f>
        <v>0</v>
      </c>
      <c r="AI488" s="284" t="n">
        <f aca="false">IFERROR(($J488*V488)*$L488, "")</f>
        <v>0</v>
      </c>
      <c r="AJ488" s="284" t="n">
        <f aca="false">IFERROR(($J488*W488)*$L488, "")</f>
        <v>0</v>
      </c>
      <c r="AK488" s="284" t="n">
        <f aca="false">IFERROR(($J488*X488)*$L488, "")</f>
        <v>0</v>
      </c>
      <c r="AL488" s="284" t="n">
        <f aca="false">IFERROR(($J488*Y488)*$L488, "")</f>
        <v>0</v>
      </c>
      <c r="AM488" s="285" t="n">
        <f aca="false">IFERROR(($J488*Z488)*$L488, "")</f>
        <v>0</v>
      </c>
      <c r="AN488" s="286" t="n">
        <f aca="false">IFERROR(SUMIF($AB$4:$AM$4, "RDEC", AB488:AM488), "")</f>
        <v>0</v>
      </c>
      <c r="AO488" s="286" t="n">
        <f aca="false">IFERROR(SUMIF($AB$4:$AM$4, "SME", AB488:AM488), "")</f>
        <v>0</v>
      </c>
      <c r="AP488" s="286" t="n">
        <f aca="false">IFERROR(SUMIF($AB$4:$AM$4, "De Minimis", AB488:AM488), "")</f>
        <v>0</v>
      </c>
      <c r="AQ488" s="283"/>
      <c r="AR488" s="284" t="n">
        <f aca="false">IFERROR(($J488*O488)*$M488, "")</f>
        <v>0</v>
      </c>
      <c r="AS488" s="284" t="n">
        <f aca="false">IFERROR(($J488*P488)*$M488, "")</f>
        <v>0</v>
      </c>
      <c r="AT488" s="284" t="n">
        <f aca="false">IFERROR(($J488*Q488)*$M488, "")</f>
        <v>0</v>
      </c>
      <c r="AU488" s="284" t="n">
        <f aca="false">IFERROR(($J488*R488)*$M488, "")</f>
        <v>0</v>
      </c>
      <c r="AV488" s="284" t="n">
        <f aca="false">IFERROR(($J488*S488)*$M488, "")</f>
        <v>0</v>
      </c>
      <c r="AW488" s="284" t="n">
        <f aca="false">IFERROR(($J488*T488)*$M488, "")</f>
        <v>0</v>
      </c>
      <c r="AX488" s="284" t="n">
        <f aca="false">IFERROR(($J488*U488)*$M488, "")</f>
        <v>0</v>
      </c>
      <c r="AY488" s="284" t="n">
        <f aca="false">IFERROR(($J488*V488)*$M488, "")</f>
        <v>0</v>
      </c>
      <c r="AZ488" s="284" t="n">
        <f aca="false">IFERROR(($J488*W488)*$M488, "")</f>
        <v>0</v>
      </c>
      <c r="BA488" s="284" t="n">
        <f aca="false">IFERROR(($J488*X488)*$M488, "")</f>
        <v>0</v>
      </c>
      <c r="BB488" s="284" t="n">
        <f aca="false">IFERROR(($J488*Y488)*$M488, "")</f>
        <v>0</v>
      </c>
      <c r="BC488" s="285" t="n">
        <f aca="false">IFERROR(($J488*Z488)*$M488, "")</f>
        <v>0</v>
      </c>
      <c r="BD488" s="286" t="n">
        <f aca="false">IFERROR(SUMIF($AB$4:$AM$4, "RDEC", AR488:BC488), "")</f>
        <v>0</v>
      </c>
      <c r="BE488" s="286" t="n">
        <f aca="false">IFERROR(SUMIF($AB$4:$AM$4, "SME", AR488:BC488), "")</f>
        <v>0</v>
      </c>
      <c r="BF488" s="286" t="n">
        <f aca="false">IFERROR(SUMIF($AB$4:$AM$4, "De Minimis", AR488:BC488), "")</f>
        <v>0</v>
      </c>
      <c r="BG488" s="287"/>
      <c r="BH488" s="288" t="str">
        <f aca="false">IF((SUM(O488:Z488)&gt;1),"ERROR","")</f>
        <v/>
      </c>
      <c r="BI488" s="287"/>
      <c r="BJ488" s="18" t="str">
        <f aca="false">IF(C474&gt;0, C474, "")</f>
        <v/>
      </c>
      <c r="BL488" s="200"/>
      <c r="BM488" s="200"/>
      <c r="BN488" s="200"/>
    </row>
    <row r="489" customFormat="false" ht="15" hidden="false" customHeight="true" outlineLevel="0" collapsed="false">
      <c r="B489" s="275"/>
      <c r="D489" s="276" t="n">
        <f aca="false">D473</f>
        <v>45323</v>
      </c>
      <c r="E489" s="277" t="n">
        <v>0</v>
      </c>
      <c r="F489" s="277" t="n">
        <v>0</v>
      </c>
      <c r="G489" s="277" t="n">
        <v>0</v>
      </c>
      <c r="H489" s="277" t="n">
        <v>0</v>
      </c>
      <c r="I489" s="277" t="n">
        <v>0</v>
      </c>
      <c r="J489" s="278" t="n">
        <f aca="false">E489+H489+I489</f>
        <v>0</v>
      </c>
      <c r="K489" s="204"/>
      <c r="L489" s="279" t="n">
        <v>1</v>
      </c>
      <c r="M489" s="280" t="n">
        <f aca="false">1-L489</f>
        <v>0</v>
      </c>
      <c r="N489" s="281"/>
      <c r="O489" s="282"/>
      <c r="P489" s="282"/>
      <c r="Q489" s="282"/>
      <c r="R489" s="282"/>
      <c r="S489" s="282"/>
      <c r="T489" s="282"/>
      <c r="U489" s="282"/>
      <c r="V489" s="282"/>
      <c r="W489" s="282"/>
      <c r="X489" s="282"/>
      <c r="Y489" s="282"/>
      <c r="Z489" s="282"/>
      <c r="AA489" s="283"/>
      <c r="AB489" s="284" t="n">
        <f aca="false">IFERROR(($J489*O489)*$L489, "")</f>
        <v>0</v>
      </c>
      <c r="AC489" s="284" t="n">
        <f aca="false">IFERROR(($J489*P489)*$L489, "")</f>
        <v>0</v>
      </c>
      <c r="AD489" s="284" t="n">
        <f aca="false">IFERROR(($J489*Q489)*$L489, "")</f>
        <v>0</v>
      </c>
      <c r="AE489" s="284" t="n">
        <f aca="false">IFERROR(($J489*R489)*$L489, "")</f>
        <v>0</v>
      </c>
      <c r="AF489" s="284" t="n">
        <f aca="false">IFERROR(($J489*S489)*$L489, "")</f>
        <v>0</v>
      </c>
      <c r="AG489" s="284" t="n">
        <f aca="false">IFERROR(($J489*T489)*$L489, "")</f>
        <v>0</v>
      </c>
      <c r="AH489" s="284" t="n">
        <f aca="false">IFERROR(($J489*U489)*$L489, "")</f>
        <v>0</v>
      </c>
      <c r="AI489" s="284" t="n">
        <f aca="false">IFERROR(($J489*V489)*$L489, "")</f>
        <v>0</v>
      </c>
      <c r="AJ489" s="284" t="n">
        <f aca="false">IFERROR(($J489*W489)*$L489, "")</f>
        <v>0</v>
      </c>
      <c r="AK489" s="284" t="n">
        <f aca="false">IFERROR(($J489*X489)*$L489, "")</f>
        <v>0</v>
      </c>
      <c r="AL489" s="284" t="n">
        <f aca="false">IFERROR(($J489*Y489)*$L489, "")</f>
        <v>0</v>
      </c>
      <c r="AM489" s="285" t="n">
        <f aca="false">IFERROR(($J489*Z489)*$L489, "")</f>
        <v>0</v>
      </c>
      <c r="AN489" s="286" t="n">
        <f aca="false">IFERROR(SUMIF($AB$4:$AM$4, "RDEC", AB489:AM489), "")</f>
        <v>0</v>
      </c>
      <c r="AO489" s="286" t="n">
        <f aca="false">IFERROR(SUMIF($AB$4:$AM$4, "SME", AB489:AM489), "")</f>
        <v>0</v>
      </c>
      <c r="AP489" s="286" t="n">
        <f aca="false">IFERROR(SUMIF($AB$4:$AM$4, "De Minimis", AB489:AM489), "")</f>
        <v>0</v>
      </c>
      <c r="AQ489" s="283"/>
      <c r="AR489" s="284" t="n">
        <f aca="false">IFERROR(($J489*O489)*$M489, "")</f>
        <v>0</v>
      </c>
      <c r="AS489" s="284" t="n">
        <f aca="false">IFERROR(($J489*P489)*$M489, "")</f>
        <v>0</v>
      </c>
      <c r="AT489" s="284" t="n">
        <f aca="false">IFERROR(($J489*Q489)*$M489, "")</f>
        <v>0</v>
      </c>
      <c r="AU489" s="284" t="n">
        <f aca="false">IFERROR(($J489*R489)*$M489, "")</f>
        <v>0</v>
      </c>
      <c r="AV489" s="284" t="n">
        <f aca="false">IFERROR(($J489*S489)*$M489, "")</f>
        <v>0</v>
      </c>
      <c r="AW489" s="284" t="n">
        <f aca="false">IFERROR(($J489*T489)*$M489, "")</f>
        <v>0</v>
      </c>
      <c r="AX489" s="284" t="n">
        <f aca="false">IFERROR(($J489*U489)*$M489, "")</f>
        <v>0</v>
      </c>
      <c r="AY489" s="284" t="n">
        <f aca="false">IFERROR(($J489*V489)*$M489, "")</f>
        <v>0</v>
      </c>
      <c r="AZ489" s="284" t="n">
        <f aca="false">IFERROR(($J489*W489)*$M489, "")</f>
        <v>0</v>
      </c>
      <c r="BA489" s="284" t="n">
        <f aca="false">IFERROR(($J489*X489)*$M489, "")</f>
        <v>0</v>
      </c>
      <c r="BB489" s="284" t="n">
        <f aca="false">IFERROR(($J489*Y489)*$M489, "")</f>
        <v>0</v>
      </c>
      <c r="BC489" s="285" t="n">
        <f aca="false">IFERROR(($J489*Z489)*$M489, "")</f>
        <v>0</v>
      </c>
      <c r="BD489" s="286" t="n">
        <f aca="false">IFERROR(SUMIF($AB$4:$AM$4, "RDEC", AR489:BC489), "")</f>
        <v>0</v>
      </c>
      <c r="BE489" s="286" t="n">
        <f aca="false">IFERROR(SUMIF($AB$4:$AM$4, "SME", AR489:BC489), "")</f>
        <v>0</v>
      </c>
      <c r="BF489" s="286" t="n">
        <f aca="false">IFERROR(SUMIF($AB$4:$AM$4, "De Minimis", AR489:BC489), "")</f>
        <v>0</v>
      </c>
      <c r="BG489" s="287"/>
      <c r="BH489" s="288" t="str">
        <f aca="false">IF((SUM(O489:Z489)&gt;1),"ERROR","")</f>
        <v/>
      </c>
      <c r="BI489" s="287"/>
      <c r="BJ489" s="18" t="str">
        <f aca="false">IF(C475&gt;0, C475, "")</f>
        <v/>
      </c>
      <c r="BL489" s="200"/>
      <c r="BM489" s="200"/>
      <c r="BN489" s="200"/>
    </row>
    <row r="490" customFormat="false" ht="15" hidden="false" customHeight="true" outlineLevel="0" collapsed="false">
      <c r="B490" s="275"/>
      <c r="D490" s="276" t="n">
        <f aca="false">D474</f>
        <v>45352</v>
      </c>
      <c r="E490" s="277" t="n">
        <v>0</v>
      </c>
      <c r="F490" s="277" t="n">
        <v>0</v>
      </c>
      <c r="G490" s="277" t="n">
        <v>0</v>
      </c>
      <c r="H490" s="277" t="n">
        <v>0</v>
      </c>
      <c r="I490" s="277" t="n">
        <v>0</v>
      </c>
      <c r="J490" s="278" t="n">
        <f aca="false">E490+H490+I490</f>
        <v>0</v>
      </c>
      <c r="K490" s="204"/>
      <c r="L490" s="279" t="n">
        <v>1</v>
      </c>
      <c r="M490" s="280" t="n">
        <f aca="false">1-L490</f>
        <v>0</v>
      </c>
      <c r="N490" s="281"/>
      <c r="O490" s="282"/>
      <c r="P490" s="282"/>
      <c r="Q490" s="282"/>
      <c r="R490" s="282"/>
      <c r="S490" s="282"/>
      <c r="T490" s="282"/>
      <c r="U490" s="282"/>
      <c r="V490" s="282"/>
      <c r="W490" s="282"/>
      <c r="X490" s="282"/>
      <c r="Y490" s="282"/>
      <c r="Z490" s="282"/>
      <c r="AA490" s="283"/>
      <c r="AB490" s="284" t="n">
        <f aca="false">IFERROR(($J490*O490)*$L490, "")</f>
        <v>0</v>
      </c>
      <c r="AC490" s="284" t="n">
        <f aca="false">IFERROR(($J490*P490)*$L490, "")</f>
        <v>0</v>
      </c>
      <c r="AD490" s="284" t="n">
        <f aca="false">IFERROR(($J490*Q490)*$L490, "")</f>
        <v>0</v>
      </c>
      <c r="AE490" s="284" t="n">
        <f aca="false">IFERROR(($J490*R490)*$L490, "")</f>
        <v>0</v>
      </c>
      <c r="AF490" s="284" t="n">
        <f aca="false">IFERROR(($J490*S490)*$L490, "")</f>
        <v>0</v>
      </c>
      <c r="AG490" s="284" t="n">
        <f aca="false">IFERROR(($J490*T490)*$L490, "")</f>
        <v>0</v>
      </c>
      <c r="AH490" s="284" t="n">
        <f aca="false">IFERROR(($J490*U490)*$L490, "")</f>
        <v>0</v>
      </c>
      <c r="AI490" s="284" t="n">
        <f aca="false">IFERROR(($J490*V490)*$L490, "")</f>
        <v>0</v>
      </c>
      <c r="AJ490" s="284" t="n">
        <f aca="false">IFERROR(($J490*W490)*$L490, "")</f>
        <v>0</v>
      </c>
      <c r="AK490" s="284" t="n">
        <f aca="false">IFERROR(($J490*X490)*$L490, "")</f>
        <v>0</v>
      </c>
      <c r="AL490" s="284" t="n">
        <f aca="false">IFERROR(($J490*Y490)*$L490, "")</f>
        <v>0</v>
      </c>
      <c r="AM490" s="285" t="n">
        <f aca="false">IFERROR(($J490*Z490)*$L490, "")</f>
        <v>0</v>
      </c>
      <c r="AN490" s="286" t="n">
        <f aca="false">IFERROR(SUMIF($AB$4:$AM$4, "RDEC", AB490:AM490), "")</f>
        <v>0</v>
      </c>
      <c r="AO490" s="286" t="n">
        <f aca="false">IFERROR(SUMIF($AB$4:$AM$4, "SME", AB490:AM490), "")</f>
        <v>0</v>
      </c>
      <c r="AP490" s="286" t="n">
        <f aca="false">IFERROR(SUMIF($AB$4:$AM$4, "De Minimis", AB490:AM490), "")</f>
        <v>0</v>
      </c>
      <c r="AQ490" s="283"/>
      <c r="AR490" s="284" t="n">
        <f aca="false">IFERROR(($J490*O490)*$M490, "")</f>
        <v>0</v>
      </c>
      <c r="AS490" s="284" t="n">
        <f aca="false">IFERROR(($J490*P490)*$M490, "")</f>
        <v>0</v>
      </c>
      <c r="AT490" s="284" t="n">
        <f aca="false">IFERROR(($J490*Q490)*$M490, "")</f>
        <v>0</v>
      </c>
      <c r="AU490" s="284" t="n">
        <f aca="false">IFERROR(($J490*R490)*$M490, "")</f>
        <v>0</v>
      </c>
      <c r="AV490" s="284" t="n">
        <f aca="false">IFERROR(($J490*S490)*$M490, "")</f>
        <v>0</v>
      </c>
      <c r="AW490" s="284" t="n">
        <f aca="false">IFERROR(($J490*T490)*$M490, "")</f>
        <v>0</v>
      </c>
      <c r="AX490" s="284" t="n">
        <f aca="false">IFERROR(($J490*U490)*$M490, "")</f>
        <v>0</v>
      </c>
      <c r="AY490" s="284" t="n">
        <f aca="false">IFERROR(($J490*V490)*$M490, "")</f>
        <v>0</v>
      </c>
      <c r="AZ490" s="284" t="n">
        <f aca="false">IFERROR(($J490*W490)*$M490, "")</f>
        <v>0</v>
      </c>
      <c r="BA490" s="284" t="n">
        <f aca="false">IFERROR(($J490*X490)*$M490, "")</f>
        <v>0</v>
      </c>
      <c r="BB490" s="284" t="n">
        <f aca="false">IFERROR(($J490*Y490)*$M490, "")</f>
        <v>0</v>
      </c>
      <c r="BC490" s="285" t="n">
        <f aca="false">IFERROR(($J490*Z490)*$M490, "")</f>
        <v>0</v>
      </c>
      <c r="BD490" s="286" t="n">
        <f aca="false">IFERROR(SUMIF($AB$4:$AM$4, "RDEC", AR490:BC490), "")</f>
        <v>0</v>
      </c>
      <c r="BE490" s="286" t="n">
        <f aca="false">IFERROR(SUMIF($AB$4:$AM$4, "SME", AR490:BC490), "")</f>
        <v>0</v>
      </c>
      <c r="BF490" s="286" t="n">
        <f aca="false">IFERROR(SUMIF($AB$4:$AM$4, "De Minimis", AR490:BC490), "")</f>
        <v>0</v>
      </c>
      <c r="BG490" s="287"/>
      <c r="BH490" s="288" t="str">
        <f aca="false">IF((SUM(O490:Z490)&gt;1),"ERROR","")</f>
        <v/>
      </c>
      <c r="BI490" s="287"/>
      <c r="BJ490" s="18" t="str">
        <f aca="false">IF(C476&gt;0, C476, "")</f>
        <v/>
      </c>
      <c r="BL490" s="200"/>
      <c r="BM490" s="200"/>
      <c r="BN490" s="200"/>
    </row>
    <row r="491" customFormat="false" ht="15" hidden="false" customHeight="true" outlineLevel="0" collapsed="false">
      <c r="B491" s="275"/>
      <c r="D491" s="276" t="n">
        <f aca="false">D475</f>
        <v>45383</v>
      </c>
      <c r="E491" s="277" t="n">
        <v>0</v>
      </c>
      <c r="F491" s="277" t="n">
        <v>0</v>
      </c>
      <c r="G491" s="277" t="n">
        <v>0</v>
      </c>
      <c r="H491" s="277" t="n">
        <v>0</v>
      </c>
      <c r="I491" s="277" t="n">
        <v>0</v>
      </c>
      <c r="J491" s="278" t="n">
        <f aca="false">E491+H491+I491</f>
        <v>0</v>
      </c>
      <c r="K491" s="204"/>
      <c r="L491" s="279" t="n">
        <v>1</v>
      </c>
      <c r="M491" s="280" t="n">
        <f aca="false">1-L491</f>
        <v>0</v>
      </c>
      <c r="N491" s="281"/>
      <c r="O491" s="282"/>
      <c r="P491" s="282"/>
      <c r="Q491" s="282"/>
      <c r="R491" s="282"/>
      <c r="S491" s="282"/>
      <c r="T491" s="282"/>
      <c r="U491" s="282"/>
      <c r="V491" s="282"/>
      <c r="W491" s="282"/>
      <c r="X491" s="282"/>
      <c r="Y491" s="282"/>
      <c r="Z491" s="282"/>
      <c r="AA491" s="283"/>
      <c r="AB491" s="284" t="n">
        <f aca="false">IFERROR(($J491*O491)*$L491, "")</f>
        <v>0</v>
      </c>
      <c r="AC491" s="284" t="n">
        <f aca="false">IFERROR(($J491*P491)*$L491, "")</f>
        <v>0</v>
      </c>
      <c r="AD491" s="284" t="n">
        <f aca="false">IFERROR(($J491*Q491)*$L491, "")</f>
        <v>0</v>
      </c>
      <c r="AE491" s="284" t="n">
        <f aca="false">IFERROR(($J491*R491)*$L491, "")</f>
        <v>0</v>
      </c>
      <c r="AF491" s="284" t="n">
        <f aca="false">IFERROR(($J491*S491)*$L491, "")</f>
        <v>0</v>
      </c>
      <c r="AG491" s="284" t="n">
        <f aca="false">IFERROR(($J491*T491)*$L491, "")</f>
        <v>0</v>
      </c>
      <c r="AH491" s="284" t="n">
        <f aca="false">IFERROR(($J491*U491)*$L491, "")</f>
        <v>0</v>
      </c>
      <c r="AI491" s="284" t="n">
        <f aca="false">IFERROR(($J491*V491)*$L491, "")</f>
        <v>0</v>
      </c>
      <c r="AJ491" s="284" t="n">
        <f aca="false">IFERROR(($J491*W491)*$L491, "")</f>
        <v>0</v>
      </c>
      <c r="AK491" s="284" t="n">
        <f aca="false">IFERROR(($J491*X491)*$L491, "")</f>
        <v>0</v>
      </c>
      <c r="AL491" s="284" t="n">
        <f aca="false">IFERROR(($J491*Y491)*$L491, "")</f>
        <v>0</v>
      </c>
      <c r="AM491" s="285" t="n">
        <f aca="false">IFERROR(($J491*Z491)*$L491, "")</f>
        <v>0</v>
      </c>
      <c r="AN491" s="286" t="n">
        <f aca="false">IFERROR(SUMIF($AB$4:$AM$4, "RDEC", AB491:AM491), "")</f>
        <v>0</v>
      </c>
      <c r="AO491" s="286" t="n">
        <f aca="false">IFERROR(SUMIF($AB$4:$AM$4, "SME", AB491:AM491), "")</f>
        <v>0</v>
      </c>
      <c r="AP491" s="286" t="n">
        <f aca="false">IFERROR(SUMIF($AB$4:$AM$4, "De Minimis", AB491:AM491), "")</f>
        <v>0</v>
      </c>
      <c r="AQ491" s="283"/>
      <c r="AR491" s="284" t="n">
        <f aca="false">IFERROR(($J491*O491)*$M491, "")</f>
        <v>0</v>
      </c>
      <c r="AS491" s="284" t="n">
        <f aca="false">IFERROR(($J491*P491)*$M491, "")</f>
        <v>0</v>
      </c>
      <c r="AT491" s="284" t="n">
        <f aca="false">IFERROR(($J491*Q491)*$M491, "")</f>
        <v>0</v>
      </c>
      <c r="AU491" s="284" t="n">
        <f aca="false">IFERROR(($J491*R491)*$M491, "")</f>
        <v>0</v>
      </c>
      <c r="AV491" s="284" t="n">
        <f aca="false">IFERROR(($J491*S491)*$M491, "")</f>
        <v>0</v>
      </c>
      <c r="AW491" s="284" t="n">
        <f aca="false">IFERROR(($J491*T491)*$M491, "")</f>
        <v>0</v>
      </c>
      <c r="AX491" s="284" t="n">
        <f aca="false">IFERROR(($J491*U491)*$M491, "")</f>
        <v>0</v>
      </c>
      <c r="AY491" s="284" t="n">
        <f aca="false">IFERROR(($J491*V491)*$M491, "")</f>
        <v>0</v>
      </c>
      <c r="AZ491" s="284" t="n">
        <f aca="false">IFERROR(($J491*W491)*$M491, "")</f>
        <v>0</v>
      </c>
      <c r="BA491" s="284" t="n">
        <f aca="false">IFERROR(($J491*X491)*$M491, "")</f>
        <v>0</v>
      </c>
      <c r="BB491" s="284" t="n">
        <f aca="false">IFERROR(($J491*Y491)*$M491, "")</f>
        <v>0</v>
      </c>
      <c r="BC491" s="285" t="n">
        <f aca="false">IFERROR(($J491*Z491)*$M491, "")</f>
        <v>0</v>
      </c>
      <c r="BD491" s="286" t="n">
        <f aca="false">IFERROR(SUMIF($AB$4:$AM$4, "RDEC", AR491:BC491), "")</f>
        <v>0</v>
      </c>
      <c r="BE491" s="286" t="n">
        <f aca="false">IFERROR(SUMIF($AB$4:$AM$4, "SME", AR491:BC491), "")</f>
        <v>0</v>
      </c>
      <c r="BF491" s="286" t="n">
        <f aca="false">IFERROR(SUMIF($AB$4:$AM$4, "De Minimis", AR491:BC491), "")</f>
        <v>0</v>
      </c>
      <c r="BG491" s="287"/>
      <c r="BH491" s="288" t="str">
        <f aca="false">IF((SUM(O491:Z491)&gt;1),"ERROR","")</f>
        <v/>
      </c>
      <c r="BI491" s="287"/>
      <c r="BJ491" s="18" t="str">
        <f aca="false">IF(C477&gt;0, C477, "")</f>
        <v/>
      </c>
      <c r="BL491" s="200"/>
      <c r="BM491" s="200"/>
      <c r="BN491" s="200"/>
    </row>
    <row r="492" customFormat="false" ht="15" hidden="false" customHeight="true" outlineLevel="0" collapsed="false">
      <c r="B492" s="275"/>
      <c r="D492" s="276" t="n">
        <f aca="false">D476</f>
        <v>45413</v>
      </c>
      <c r="E492" s="277" t="n">
        <v>0</v>
      </c>
      <c r="F492" s="277" t="n">
        <v>0</v>
      </c>
      <c r="G492" s="277" t="n">
        <v>0</v>
      </c>
      <c r="H492" s="277" t="n">
        <v>0</v>
      </c>
      <c r="I492" s="277" t="n">
        <v>0</v>
      </c>
      <c r="J492" s="278" t="n">
        <f aca="false">E492+H492+I492</f>
        <v>0</v>
      </c>
      <c r="K492" s="204"/>
      <c r="L492" s="279" t="n">
        <v>1</v>
      </c>
      <c r="M492" s="280" t="n">
        <f aca="false">1-L492</f>
        <v>0</v>
      </c>
      <c r="N492" s="281"/>
      <c r="O492" s="282"/>
      <c r="P492" s="282"/>
      <c r="Q492" s="282"/>
      <c r="R492" s="282"/>
      <c r="S492" s="282"/>
      <c r="T492" s="282"/>
      <c r="U492" s="282"/>
      <c r="V492" s="282"/>
      <c r="W492" s="282"/>
      <c r="X492" s="282"/>
      <c r="Y492" s="282"/>
      <c r="Z492" s="282"/>
      <c r="AA492" s="283"/>
      <c r="AB492" s="284" t="n">
        <f aca="false">IFERROR(($J492*O492)*$L492, "")</f>
        <v>0</v>
      </c>
      <c r="AC492" s="284" t="n">
        <f aca="false">IFERROR(($J492*P492)*$L492, "")</f>
        <v>0</v>
      </c>
      <c r="AD492" s="284" t="n">
        <f aca="false">IFERROR(($J492*Q492)*$L492, "")</f>
        <v>0</v>
      </c>
      <c r="AE492" s="284" t="n">
        <f aca="false">IFERROR(($J492*R492)*$L492, "")</f>
        <v>0</v>
      </c>
      <c r="AF492" s="284" t="n">
        <f aca="false">IFERROR(($J492*S492)*$L492, "")</f>
        <v>0</v>
      </c>
      <c r="AG492" s="284" t="n">
        <f aca="false">IFERROR(($J492*T492)*$L492, "")</f>
        <v>0</v>
      </c>
      <c r="AH492" s="284" t="n">
        <f aca="false">IFERROR(($J492*U492)*$L492, "")</f>
        <v>0</v>
      </c>
      <c r="AI492" s="284" t="n">
        <f aca="false">IFERROR(($J492*V492)*$L492, "")</f>
        <v>0</v>
      </c>
      <c r="AJ492" s="284" t="n">
        <f aca="false">IFERROR(($J492*W492)*$L492, "")</f>
        <v>0</v>
      </c>
      <c r="AK492" s="284" t="n">
        <f aca="false">IFERROR(($J492*X492)*$L492, "")</f>
        <v>0</v>
      </c>
      <c r="AL492" s="284" t="n">
        <f aca="false">IFERROR(($J492*Y492)*$L492, "")</f>
        <v>0</v>
      </c>
      <c r="AM492" s="285" t="n">
        <f aca="false">IFERROR(($J492*Z492)*$L492, "")</f>
        <v>0</v>
      </c>
      <c r="AN492" s="286" t="n">
        <f aca="false">IFERROR(SUMIF($AB$4:$AM$4, "RDEC", AB492:AM492), "")</f>
        <v>0</v>
      </c>
      <c r="AO492" s="286" t="n">
        <f aca="false">IFERROR(SUMIF($AB$4:$AM$4, "SME", AB492:AM492), "")</f>
        <v>0</v>
      </c>
      <c r="AP492" s="286" t="n">
        <f aca="false">IFERROR(SUMIF($AB$4:$AM$4, "De Minimis", AB492:AM492), "")</f>
        <v>0</v>
      </c>
      <c r="AQ492" s="283"/>
      <c r="AR492" s="284" t="n">
        <f aca="false">IFERROR(($J492*O492)*$M492, "")</f>
        <v>0</v>
      </c>
      <c r="AS492" s="284" t="n">
        <f aca="false">IFERROR(($J492*P492)*$M492, "")</f>
        <v>0</v>
      </c>
      <c r="AT492" s="284" t="n">
        <f aca="false">IFERROR(($J492*Q492)*$M492, "")</f>
        <v>0</v>
      </c>
      <c r="AU492" s="284" t="n">
        <f aca="false">IFERROR(($J492*R492)*$M492, "")</f>
        <v>0</v>
      </c>
      <c r="AV492" s="284" t="n">
        <f aca="false">IFERROR(($J492*S492)*$M492, "")</f>
        <v>0</v>
      </c>
      <c r="AW492" s="284" t="n">
        <f aca="false">IFERROR(($J492*T492)*$M492, "")</f>
        <v>0</v>
      </c>
      <c r="AX492" s="284" t="n">
        <f aca="false">IFERROR(($J492*U492)*$M492, "")</f>
        <v>0</v>
      </c>
      <c r="AY492" s="284" t="n">
        <f aca="false">IFERROR(($J492*V492)*$M492, "")</f>
        <v>0</v>
      </c>
      <c r="AZ492" s="284" t="n">
        <f aca="false">IFERROR(($J492*W492)*$M492, "")</f>
        <v>0</v>
      </c>
      <c r="BA492" s="284" t="n">
        <f aca="false">IFERROR(($J492*X492)*$M492, "")</f>
        <v>0</v>
      </c>
      <c r="BB492" s="284" t="n">
        <f aca="false">IFERROR(($J492*Y492)*$M492, "")</f>
        <v>0</v>
      </c>
      <c r="BC492" s="285" t="n">
        <f aca="false">IFERROR(($J492*Z492)*$M492, "")</f>
        <v>0</v>
      </c>
      <c r="BD492" s="286" t="n">
        <f aca="false">IFERROR(SUMIF($AB$4:$AM$4, "RDEC", AR492:BC492), "")</f>
        <v>0</v>
      </c>
      <c r="BE492" s="286" t="n">
        <f aca="false">IFERROR(SUMIF($AB$4:$AM$4, "SME", AR492:BC492), "")</f>
        <v>0</v>
      </c>
      <c r="BF492" s="286" t="n">
        <f aca="false">IFERROR(SUMIF($AB$4:$AM$4, "De Minimis", AR492:BC492), "")</f>
        <v>0</v>
      </c>
      <c r="BG492" s="287"/>
      <c r="BH492" s="288" t="str">
        <f aca="false">IF((SUM(O492:Z492)&gt;1),"ERROR","")</f>
        <v/>
      </c>
      <c r="BI492" s="287"/>
      <c r="BJ492" s="18" t="str">
        <f aca="false">IF(C478&gt;0, C478, "")</f>
        <v/>
      </c>
      <c r="BL492" s="200"/>
      <c r="BM492" s="200"/>
      <c r="BN492" s="200"/>
    </row>
    <row r="493" customFormat="false" ht="15" hidden="false" customHeight="true" outlineLevel="0" collapsed="false">
      <c r="B493" s="275"/>
      <c r="D493" s="276" t="n">
        <f aca="false">D477</f>
        <v>45444</v>
      </c>
      <c r="E493" s="277" t="n">
        <v>0</v>
      </c>
      <c r="F493" s="277" t="n">
        <v>0</v>
      </c>
      <c r="G493" s="277" t="n">
        <v>0</v>
      </c>
      <c r="H493" s="277" t="n">
        <v>0</v>
      </c>
      <c r="I493" s="277" t="n">
        <v>0</v>
      </c>
      <c r="J493" s="278" t="n">
        <f aca="false">E493+H493+I493</f>
        <v>0</v>
      </c>
      <c r="K493" s="204"/>
      <c r="L493" s="279" t="n">
        <v>1</v>
      </c>
      <c r="M493" s="280" t="n">
        <f aca="false">1-L493</f>
        <v>0</v>
      </c>
      <c r="N493" s="281"/>
      <c r="O493" s="282"/>
      <c r="P493" s="282"/>
      <c r="Q493" s="282"/>
      <c r="R493" s="282"/>
      <c r="S493" s="282"/>
      <c r="T493" s="282"/>
      <c r="U493" s="282"/>
      <c r="V493" s="282"/>
      <c r="W493" s="282"/>
      <c r="X493" s="282"/>
      <c r="Y493" s="282"/>
      <c r="Z493" s="282"/>
      <c r="AA493" s="283"/>
      <c r="AB493" s="284" t="n">
        <f aca="false">IFERROR(($J493*O493)*$L493, "")</f>
        <v>0</v>
      </c>
      <c r="AC493" s="284" t="n">
        <f aca="false">IFERROR(($J493*P493)*$L493, "")</f>
        <v>0</v>
      </c>
      <c r="AD493" s="284" t="n">
        <f aca="false">IFERROR(($J493*Q493)*$L493, "")</f>
        <v>0</v>
      </c>
      <c r="AE493" s="284" t="n">
        <f aca="false">IFERROR(($J493*R493)*$L493, "")</f>
        <v>0</v>
      </c>
      <c r="AF493" s="284" t="n">
        <f aca="false">IFERROR(($J493*S493)*$L493, "")</f>
        <v>0</v>
      </c>
      <c r="AG493" s="284" t="n">
        <f aca="false">IFERROR(($J493*T493)*$L493, "")</f>
        <v>0</v>
      </c>
      <c r="AH493" s="284" t="n">
        <f aca="false">IFERROR(($J493*U493)*$L493, "")</f>
        <v>0</v>
      </c>
      <c r="AI493" s="284" t="n">
        <f aca="false">IFERROR(($J493*V493)*$L493, "")</f>
        <v>0</v>
      </c>
      <c r="AJ493" s="284" t="n">
        <f aca="false">IFERROR(($J493*W493)*$L493, "")</f>
        <v>0</v>
      </c>
      <c r="AK493" s="284" t="n">
        <f aca="false">IFERROR(($J493*X493)*$L493, "")</f>
        <v>0</v>
      </c>
      <c r="AL493" s="284" t="n">
        <f aca="false">IFERROR(($J493*Y493)*$L493, "")</f>
        <v>0</v>
      </c>
      <c r="AM493" s="285" t="n">
        <f aca="false">IFERROR(($J493*Z493)*$L493, "")</f>
        <v>0</v>
      </c>
      <c r="AN493" s="286" t="n">
        <f aca="false">IFERROR(SUMIF($AB$4:$AM$4, "RDEC", AB493:AM493), "")</f>
        <v>0</v>
      </c>
      <c r="AO493" s="286" t="n">
        <f aca="false">IFERROR(SUMIF($AB$4:$AM$4, "SME", AB493:AM493), "")</f>
        <v>0</v>
      </c>
      <c r="AP493" s="286" t="n">
        <f aca="false">IFERROR(SUMIF($AB$4:$AM$4, "De Minimis", AB493:AM493), "")</f>
        <v>0</v>
      </c>
      <c r="AQ493" s="283"/>
      <c r="AR493" s="284" t="n">
        <f aca="false">IFERROR(($J493*O493)*$M493, "")</f>
        <v>0</v>
      </c>
      <c r="AS493" s="284" t="n">
        <f aca="false">IFERROR(($J493*P493)*$M493, "")</f>
        <v>0</v>
      </c>
      <c r="AT493" s="284" t="n">
        <f aca="false">IFERROR(($J493*Q493)*$M493, "")</f>
        <v>0</v>
      </c>
      <c r="AU493" s="284" t="n">
        <f aca="false">IFERROR(($J493*R493)*$M493, "")</f>
        <v>0</v>
      </c>
      <c r="AV493" s="284" t="n">
        <f aca="false">IFERROR(($J493*S493)*$M493, "")</f>
        <v>0</v>
      </c>
      <c r="AW493" s="284" t="n">
        <f aca="false">IFERROR(($J493*T493)*$M493, "")</f>
        <v>0</v>
      </c>
      <c r="AX493" s="284" t="n">
        <f aca="false">IFERROR(($J493*U493)*$M493, "")</f>
        <v>0</v>
      </c>
      <c r="AY493" s="284" t="n">
        <f aca="false">IFERROR(($J493*V493)*$M493, "")</f>
        <v>0</v>
      </c>
      <c r="AZ493" s="284" t="n">
        <f aca="false">IFERROR(($J493*W493)*$M493, "")</f>
        <v>0</v>
      </c>
      <c r="BA493" s="284" t="n">
        <f aca="false">IFERROR(($J493*X493)*$M493, "")</f>
        <v>0</v>
      </c>
      <c r="BB493" s="284" t="n">
        <f aca="false">IFERROR(($J493*Y493)*$M493, "")</f>
        <v>0</v>
      </c>
      <c r="BC493" s="285" t="n">
        <f aca="false">IFERROR(($J493*Z493)*$M493, "")</f>
        <v>0</v>
      </c>
      <c r="BD493" s="286" t="n">
        <f aca="false">IFERROR(SUMIF($AB$4:$AM$4, "RDEC", AR493:BC493), "")</f>
        <v>0</v>
      </c>
      <c r="BE493" s="286" t="n">
        <f aca="false">IFERROR(SUMIF($AB$4:$AM$4, "SME", AR493:BC493), "")</f>
        <v>0</v>
      </c>
      <c r="BF493" s="286" t="n">
        <f aca="false">IFERROR(SUMIF($AB$4:$AM$4, "De Minimis", AR493:BC493), "")</f>
        <v>0</v>
      </c>
      <c r="BG493" s="287"/>
      <c r="BH493" s="288" t="str">
        <f aca="false">IF((SUM(O493:Z493)&gt;1),"ERROR","")</f>
        <v/>
      </c>
      <c r="BI493" s="287"/>
      <c r="BJ493" s="18" t="str">
        <f aca="false">IF(C479&gt;0, C479, "")</f>
        <v/>
      </c>
      <c r="BL493" s="200"/>
      <c r="BM493" s="200"/>
      <c r="BN493" s="200"/>
    </row>
    <row r="494" customFormat="false" ht="15" hidden="false" customHeight="true" outlineLevel="0" collapsed="false">
      <c r="B494" s="275"/>
      <c r="D494" s="276" t="n">
        <f aca="false">D478</f>
        <v>45474</v>
      </c>
      <c r="E494" s="277" t="n">
        <v>0</v>
      </c>
      <c r="F494" s="277" t="n">
        <v>0</v>
      </c>
      <c r="G494" s="277" t="n">
        <v>0</v>
      </c>
      <c r="H494" s="277" t="n">
        <v>0</v>
      </c>
      <c r="I494" s="277" t="n">
        <v>0</v>
      </c>
      <c r="J494" s="278" t="n">
        <f aca="false">E494+H494+I494</f>
        <v>0</v>
      </c>
      <c r="K494" s="204"/>
      <c r="L494" s="279" t="n">
        <v>1</v>
      </c>
      <c r="M494" s="280" t="n">
        <f aca="false">1-L494</f>
        <v>0</v>
      </c>
      <c r="N494" s="281"/>
      <c r="O494" s="282"/>
      <c r="P494" s="282"/>
      <c r="Q494" s="282"/>
      <c r="R494" s="282"/>
      <c r="S494" s="282"/>
      <c r="T494" s="282"/>
      <c r="U494" s="282"/>
      <c r="V494" s="282"/>
      <c r="W494" s="282"/>
      <c r="X494" s="282"/>
      <c r="Y494" s="282"/>
      <c r="Z494" s="282"/>
      <c r="AA494" s="283"/>
      <c r="AB494" s="284" t="n">
        <f aca="false">IFERROR(($J494*O494)*$L494, "")</f>
        <v>0</v>
      </c>
      <c r="AC494" s="284" t="n">
        <f aca="false">IFERROR(($J494*P494)*$L494, "")</f>
        <v>0</v>
      </c>
      <c r="AD494" s="284" t="n">
        <f aca="false">IFERROR(($J494*Q494)*$L494, "")</f>
        <v>0</v>
      </c>
      <c r="AE494" s="284" t="n">
        <f aca="false">IFERROR(($J494*R494)*$L494, "")</f>
        <v>0</v>
      </c>
      <c r="AF494" s="284" t="n">
        <f aca="false">IFERROR(($J494*S494)*$L494, "")</f>
        <v>0</v>
      </c>
      <c r="AG494" s="284" t="n">
        <f aca="false">IFERROR(($J494*T494)*$L494, "")</f>
        <v>0</v>
      </c>
      <c r="AH494" s="284" t="n">
        <f aca="false">IFERROR(($J494*U494)*$L494, "")</f>
        <v>0</v>
      </c>
      <c r="AI494" s="284" t="n">
        <f aca="false">IFERROR(($J494*V494)*$L494, "")</f>
        <v>0</v>
      </c>
      <c r="AJ494" s="284" t="n">
        <f aca="false">IFERROR(($J494*W494)*$L494, "")</f>
        <v>0</v>
      </c>
      <c r="AK494" s="284" t="n">
        <f aca="false">IFERROR(($J494*X494)*$L494, "")</f>
        <v>0</v>
      </c>
      <c r="AL494" s="284" t="n">
        <f aca="false">IFERROR(($J494*Y494)*$L494, "")</f>
        <v>0</v>
      </c>
      <c r="AM494" s="285" t="n">
        <f aca="false">IFERROR(($J494*Z494)*$L494, "")</f>
        <v>0</v>
      </c>
      <c r="AN494" s="286" t="n">
        <f aca="false">IFERROR(SUMIF($AB$4:$AM$4, "RDEC", AB494:AM494), "")</f>
        <v>0</v>
      </c>
      <c r="AO494" s="286" t="n">
        <f aca="false">IFERROR(SUMIF($AB$4:$AM$4, "SME", AB494:AM494), "")</f>
        <v>0</v>
      </c>
      <c r="AP494" s="286" t="n">
        <f aca="false">IFERROR(SUMIF($AB$4:$AM$4, "De Minimis", AB494:AM494), "")</f>
        <v>0</v>
      </c>
      <c r="AQ494" s="283"/>
      <c r="AR494" s="284" t="n">
        <f aca="false">IFERROR(($J494*O494)*$M494, "")</f>
        <v>0</v>
      </c>
      <c r="AS494" s="284" t="n">
        <f aca="false">IFERROR(($J494*P494)*$M494, "")</f>
        <v>0</v>
      </c>
      <c r="AT494" s="284" t="n">
        <f aca="false">IFERROR(($J494*Q494)*$M494, "")</f>
        <v>0</v>
      </c>
      <c r="AU494" s="284" t="n">
        <f aca="false">IFERROR(($J494*R494)*$M494, "")</f>
        <v>0</v>
      </c>
      <c r="AV494" s="284" t="n">
        <f aca="false">IFERROR(($J494*S494)*$M494, "")</f>
        <v>0</v>
      </c>
      <c r="AW494" s="284" t="n">
        <f aca="false">IFERROR(($J494*T494)*$M494, "")</f>
        <v>0</v>
      </c>
      <c r="AX494" s="284" t="n">
        <f aca="false">IFERROR(($J494*U494)*$M494, "")</f>
        <v>0</v>
      </c>
      <c r="AY494" s="284" t="n">
        <f aca="false">IFERROR(($J494*V494)*$M494, "")</f>
        <v>0</v>
      </c>
      <c r="AZ494" s="284" t="n">
        <f aca="false">IFERROR(($J494*W494)*$M494, "")</f>
        <v>0</v>
      </c>
      <c r="BA494" s="284" t="n">
        <f aca="false">IFERROR(($J494*X494)*$M494, "")</f>
        <v>0</v>
      </c>
      <c r="BB494" s="284" t="n">
        <f aca="false">IFERROR(($J494*Y494)*$M494, "")</f>
        <v>0</v>
      </c>
      <c r="BC494" s="285" t="n">
        <f aca="false">IFERROR(($J494*Z494)*$M494, "")</f>
        <v>0</v>
      </c>
      <c r="BD494" s="286" t="n">
        <f aca="false">IFERROR(SUMIF($AB$4:$AM$4, "RDEC", AR494:BC494), "")</f>
        <v>0</v>
      </c>
      <c r="BE494" s="286" t="n">
        <f aca="false">IFERROR(SUMIF($AB$4:$AM$4, "SME", AR494:BC494), "")</f>
        <v>0</v>
      </c>
      <c r="BF494" s="286" t="n">
        <f aca="false">IFERROR(SUMIF($AB$4:$AM$4, "De Minimis", AR494:BC494), "")</f>
        <v>0</v>
      </c>
      <c r="BG494" s="287"/>
      <c r="BH494" s="288" t="str">
        <f aca="false">IF((SUM(O494:Z494)&gt;1),"ERROR","")</f>
        <v/>
      </c>
      <c r="BI494" s="287"/>
      <c r="BJ494" s="18" t="str">
        <f aca="false">IF(C480&gt;0, C480, "")</f>
        <v/>
      </c>
      <c r="BL494" s="200"/>
      <c r="BM494" s="200"/>
      <c r="BN494" s="200"/>
    </row>
    <row r="495" customFormat="false" ht="15" hidden="false" customHeight="true" outlineLevel="0" collapsed="false">
      <c r="B495" s="275"/>
      <c r="D495" s="276" t="n">
        <f aca="false">D479</f>
        <v>45505</v>
      </c>
      <c r="E495" s="277" t="n">
        <v>0</v>
      </c>
      <c r="F495" s="277" t="n">
        <v>0</v>
      </c>
      <c r="G495" s="277" t="n">
        <v>0</v>
      </c>
      <c r="H495" s="277" t="n">
        <v>0</v>
      </c>
      <c r="I495" s="277" t="n">
        <v>0</v>
      </c>
      <c r="J495" s="278" t="n">
        <f aca="false">E495+H495+I495</f>
        <v>0</v>
      </c>
      <c r="K495" s="204"/>
      <c r="L495" s="279" t="n">
        <v>1</v>
      </c>
      <c r="M495" s="280" t="n">
        <f aca="false">1-L495</f>
        <v>0</v>
      </c>
      <c r="N495" s="281"/>
      <c r="O495" s="282"/>
      <c r="P495" s="282"/>
      <c r="Q495" s="282"/>
      <c r="R495" s="282"/>
      <c r="S495" s="282"/>
      <c r="T495" s="282"/>
      <c r="U495" s="282"/>
      <c r="V495" s="282"/>
      <c r="W495" s="282"/>
      <c r="X495" s="282"/>
      <c r="Y495" s="282"/>
      <c r="Z495" s="282"/>
      <c r="AA495" s="283"/>
      <c r="AB495" s="284" t="n">
        <f aca="false">IFERROR(($J495*O495)*$L495, "")</f>
        <v>0</v>
      </c>
      <c r="AC495" s="284" t="n">
        <f aca="false">IFERROR(($J495*P495)*$L495, "")</f>
        <v>0</v>
      </c>
      <c r="AD495" s="284" t="n">
        <f aca="false">IFERROR(($J495*Q495)*$L495, "")</f>
        <v>0</v>
      </c>
      <c r="AE495" s="284" t="n">
        <f aca="false">IFERROR(($J495*R495)*$L495, "")</f>
        <v>0</v>
      </c>
      <c r="AF495" s="284" t="n">
        <f aca="false">IFERROR(($J495*S495)*$L495, "")</f>
        <v>0</v>
      </c>
      <c r="AG495" s="284" t="n">
        <f aca="false">IFERROR(($J495*T495)*$L495, "")</f>
        <v>0</v>
      </c>
      <c r="AH495" s="284" t="n">
        <f aca="false">IFERROR(($J495*U495)*$L495, "")</f>
        <v>0</v>
      </c>
      <c r="AI495" s="284" t="n">
        <f aca="false">IFERROR(($J495*V495)*$L495, "")</f>
        <v>0</v>
      </c>
      <c r="AJ495" s="284" t="n">
        <f aca="false">IFERROR(($J495*W495)*$L495, "")</f>
        <v>0</v>
      </c>
      <c r="AK495" s="284" t="n">
        <f aca="false">IFERROR(($J495*X495)*$L495, "")</f>
        <v>0</v>
      </c>
      <c r="AL495" s="284" t="n">
        <f aca="false">IFERROR(($J495*Y495)*$L495, "")</f>
        <v>0</v>
      </c>
      <c r="AM495" s="285" t="n">
        <f aca="false">IFERROR(($J495*Z495)*$L495, "")</f>
        <v>0</v>
      </c>
      <c r="AN495" s="286" t="n">
        <f aca="false">IFERROR(SUMIF($AB$4:$AM$4, "RDEC", AB495:AM495), "")</f>
        <v>0</v>
      </c>
      <c r="AO495" s="286" t="n">
        <f aca="false">IFERROR(SUMIF($AB$4:$AM$4, "SME", AB495:AM495), "")</f>
        <v>0</v>
      </c>
      <c r="AP495" s="286" t="n">
        <f aca="false">IFERROR(SUMIF($AB$4:$AM$4, "De Minimis", AB495:AM495), "")</f>
        <v>0</v>
      </c>
      <c r="AQ495" s="283"/>
      <c r="AR495" s="284" t="n">
        <f aca="false">IFERROR(($J495*O495)*$M495, "")</f>
        <v>0</v>
      </c>
      <c r="AS495" s="284" t="n">
        <f aca="false">IFERROR(($J495*P495)*$M495, "")</f>
        <v>0</v>
      </c>
      <c r="AT495" s="284" t="n">
        <f aca="false">IFERROR(($J495*Q495)*$M495, "")</f>
        <v>0</v>
      </c>
      <c r="AU495" s="284" t="n">
        <f aca="false">IFERROR(($J495*R495)*$M495, "")</f>
        <v>0</v>
      </c>
      <c r="AV495" s="284" t="n">
        <f aca="false">IFERROR(($J495*S495)*$M495, "")</f>
        <v>0</v>
      </c>
      <c r="AW495" s="284" t="n">
        <f aca="false">IFERROR(($J495*T495)*$M495, "")</f>
        <v>0</v>
      </c>
      <c r="AX495" s="284" t="n">
        <f aca="false">IFERROR(($J495*U495)*$M495, "")</f>
        <v>0</v>
      </c>
      <c r="AY495" s="284" t="n">
        <f aca="false">IFERROR(($J495*V495)*$M495, "")</f>
        <v>0</v>
      </c>
      <c r="AZ495" s="284" t="n">
        <f aca="false">IFERROR(($J495*W495)*$M495, "")</f>
        <v>0</v>
      </c>
      <c r="BA495" s="284" t="n">
        <f aca="false">IFERROR(($J495*X495)*$M495, "")</f>
        <v>0</v>
      </c>
      <c r="BB495" s="284" t="n">
        <f aca="false">IFERROR(($J495*Y495)*$M495, "")</f>
        <v>0</v>
      </c>
      <c r="BC495" s="285" t="n">
        <f aca="false">IFERROR(($J495*Z495)*$M495, "")</f>
        <v>0</v>
      </c>
      <c r="BD495" s="286" t="n">
        <f aca="false">IFERROR(SUMIF($AB$4:$AM$4, "RDEC", AR495:BC495), "")</f>
        <v>0</v>
      </c>
      <c r="BE495" s="286" t="n">
        <f aca="false">IFERROR(SUMIF($AB$4:$AM$4, "SME", AR495:BC495), "")</f>
        <v>0</v>
      </c>
      <c r="BF495" s="286" t="n">
        <f aca="false">IFERROR(SUMIF($AB$4:$AM$4, "De Minimis", AR495:BC495), "")</f>
        <v>0</v>
      </c>
      <c r="BG495" s="287"/>
      <c r="BH495" s="288" t="str">
        <f aca="false">IF((SUM(O495:Z495)&gt;1),"ERROR","")</f>
        <v/>
      </c>
      <c r="BI495" s="287"/>
      <c r="BJ495" s="18" t="str">
        <f aca="false">IF(C481&gt;0, C481, "")</f>
        <v/>
      </c>
      <c r="BL495" s="200"/>
      <c r="BM495" s="200"/>
      <c r="BN495" s="200"/>
    </row>
    <row r="496" customFormat="false" ht="15" hidden="false" customHeight="true" outlineLevel="0" collapsed="false">
      <c r="B496" s="275"/>
      <c r="D496" s="276" t="n">
        <f aca="false">D480</f>
        <v>45536</v>
      </c>
      <c r="E496" s="277" t="n">
        <v>0</v>
      </c>
      <c r="F496" s="277" t="n">
        <v>0</v>
      </c>
      <c r="G496" s="277" t="n">
        <v>0</v>
      </c>
      <c r="H496" s="277" t="n">
        <v>0</v>
      </c>
      <c r="I496" s="277" t="n">
        <v>0</v>
      </c>
      <c r="J496" s="278" t="n">
        <f aca="false">E496+H496+I496</f>
        <v>0</v>
      </c>
      <c r="K496" s="204"/>
      <c r="L496" s="279" t="n">
        <v>1</v>
      </c>
      <c r="M496" s="280" t="n">
        <f aca="false">1-L496</f>
        <v>0</v>
      </c>
      <c r="N496" s="281"/>
      <c r="O496" s="282"/>
      <c r="P496" s="282"/>
      <c r="Q496" s="282"/>
      <c r="R496" s="282"/>
      <c r="S496" s="282"/>
      <c r="T496" s="282"/>
      <c r="U496" s="282"/>
      <c r="V496" s="282"/>
      <c r="W496" s="282"/>
      <c r="X496" s="282"/>
      <c r="Y496" s="282"/>
      <c r="Z496" s="282"/>
      <c r="AA496" s="283"/>
      <c r="AB496" s="284" t="n">
        <f aca="false">IFERROR(($J496*O496)*$L496, "")</f>
        <v>0</v>
      </c>
      <c r="AC496" s="284" t="n">
        <f aca="false">IFERROR(($J496*P496)*$L496, "")</f>
        <v>0</v>
      </c>
      <c r="AD496" s="284" t="n">
        <f aca="false">IFERROR(($J496*Q496)*$L496, "")</f>
        <v>0</v>
      </c>
      <c r="AE496" s="284" t="n">
        <f aca="false">IFERROR(($J496*R496)*$L496, "")</f>
        <v>0</v>
      </c>
      <c r="AF496" s="284" t="n">
        <f aca="false">IFERROR(($J496*S496)*$L496, "")</f>
        <v>0</v>
      </c>
      <c r="AG496" s="284" t="n">
        <f aca="false">IFERROR(($J496*T496)*$L496, "")</f>
        <v>0</v>
      </c>
      <c r="AH496" s="284" t="n">
        <f aca="false">IFERROR(($J496*U496)*$L496, "")</f>
        <v>0</v>
      </c>
      <c r="AI496" s="284" t="n">
        <f aca="false">IFERROR(($J496*V496)*$L496, "")</f>
        <v>0</v>
      </c>
      <c r="AJ496" s="284" t="n">
        <f aca="false">IFERROR(($J496*W496)*$L496, "")</f>
        <v>0</v>
      </c>
      <c r="AK496" s="284" t="n">
        <f aca="false">IFERROR(($J496*X496)*$L496, "")</f>
        <v>0</v>
      </c>
      <c r="AL496" s="284" t="n">
        <f aca="false">IFERROR(($J496*Y496)*$L496, "")</f>
        <v>0</v>
      </c>
      <c r="AM496" s="285" t="n">
        <f aca="false">IFERROR(($J496*Z496)*$L496, "")</f>
        <v>0</v>
      </c>
      <c r="AN496" s="286" t="n">
        <f aca="false">IFERROR(SUMIF($AB$4:$AM$4, "RDEC", AB496:AM496), "")</f>
        <v>0</v>
      </c>
      <c r="AO496" s="286" t="n">
        <f aca="false">IFERROR(SUMIF($AB$4:$AM$4, "SME", AB496:AM496), "")</f>
        <v>0</v>
      </c>
      <c r="AP496" s="286" t="n">
        <f aca="false">IFERROR(SUMIF($AB$4:$AM$4, "De Minimis", AB496:AM496), "")</f>
        <v>0</v>
      </c>
      <c r="AQ496" s="283"/>
      <c r="AR496" s="284" t="n">
        <f aca="false">IFERROR(($J496*O496)*$M496, "")</f>
        <v>0</v>
      </c>
      <c r="AS496" s="284" t="n">
        <f aca="false">IFERROR(($J496*P496)*$M496, "")</f>
        <v>0</v>
      </c>
      <c r="AT496" s="284" t="n">
        <f aca="false">IFERROR(($J496*Q496)*$M496, "")</f>
        <v>0</v>
      </c>
      <c r="AU496" s="284" t="n">
        <f aca="false">IFERROR(($J496*R496)*$M496, "")</f>
        <v>0</v>
      </c>
      <c r="AV496" s="284" t="n">
        <f aca="false">IFERROR(($J496*S496)*$M496, "")</f>
        <v>0</v>
      </c>
      <c r="AW496" s="284" t="n">
        <f aca="false">IFERROR(($J496*T496)*$M496, "")</f>
        <v>0</v>
      </c>
      <c r="AX496" s="284" t="n">
        <f aca="false">IFERROR(($J496*U496)*$M496, "")</f>
        <v>0</v>
      </c>
      <c r="AY496" s="284" t="n">
        <f aca="false">IFERROR(($J496*V496)*$M496, "")</f>
        <v>0</v>
      </c>
      <c r="AZ496" s="284" t="n">
        <f aca="false">IFERROR(($J496*W496)*$M496, "")</f>
        <v>0</v>
      </c>
      <c r="BA496" s="284" t="n">
        <f aca="false">IFERROR(($J496*X496)*$M496, "")</f>
        <v>0</v>
      </c>
      <c r="BB496" s="284" t="n">
        <f aca="false">IFERROR(($J496*Y496)*$M496, "")</f>
        <v>0</v>
      </c>
      <c r="BC496" s="285" t="n">
        <f aca="false">IFERROR(($J496*Z496)*$M496, "")</f>
        <v>0</v>
      </c>
      <c r="BD496" s="286" t="n">
        <f aca="false">IFERROR(SUMIF($AB$4:$AM$4, "RDEC", AR496:BC496), "")</f>
        <v>0</v>
      </c>
      <c r="BE496" s="286" t="n">
        <f aca="false">IFERROR(SUMIF($AB$4:$AM$4, "SME", AR496:BC496), "")</f>
        <v>0</v>
      </c>
      <c r="BF496" s="286" t="n">
        <f aca="false">IFERROR(SUMIF($AB$4:$AM$4, "De Minimis", AR496:BC496), "")</f>
        <v>0</v>
      </c>
      <c r="BG496" s="287"/>
      <c r="BH496" s="288" t="str">
        <f aca="false">IF((SUM(O496:Z496)&gt;1),"ERROR","")</f>
        <v/>
      </c>
      <c r="BI496" s="287"/>
      <c r="BJ496" s="18" t="str">
        <f aca="false">IF(C482&gt;0, C482, "")</f>
        <v/>
      </c>
      <c r="BL496" s="200"/>
      <c r="BM496" s="200"/>
      <c r="BN496" s="200"/>
    </row>
    <row r="497" customFormat="false" ht="15" hidden="false" customHeight="true" outlineLevel="0" collapsed="false">
      <c r="B497" s="275"/>
      <c r="D497" s="276" t="n">
        <f aca="false">D481</f>
        <v>45566</v>
      </c>
      <c r="E497" s="277" t="n">
        <v>0</v>
      </c>
      <c r="F497" s="277" t="n">
        <v>0</v>
      </c>
      <c r="G497" s="277" t="n">
        <v>0</v>
      </c>
      <c r="H497" s="277" t="n">
        <v>0</v>
      </c>
      <c r="I497" s="277" t="n">
        <v>0</v>
      </c>
      <c r="J497" s="278" t="n">
        <f aca="false">E497+H497+I497</f>
        <v>0</v>
      </c>
      <c r="K497" s="204"/>
      <c r="L497" s="279" t="n">
        <v>1</v>
      </c>
      <c r="M497" s="280" t="n">
        <f aca="false">1-L497</f>
        <v>0</v>
      </c>
      <c r="N497" s="281"/>
      <c r="O497" s="282"/>
      <c r="P497" s="282"/>
      <c r="Q497" s="282"/>
      <c r="R497" s="282"/>
      <c r="S497" s="282"/>
      <c r="T497" s="282"/>
      <c r="U497" s="282"/>
      <c r="V497" s="282"/>
      <c r="W497" s="282"/>
      <c r="X497" s="282"/>
      <c r="Y497" s="282"/>
      <c r="Z497" s="282"/>
      <c r="AA497" s="283"/>
      <c r="AB497" s="284" t="n">
        <f aca="false">IFERROR(($J497*O497)*$L497, "")</f>
        <v>0</v>
      </c>
      <c r="AC497" s="284" t="n">
        <f aca="false">IFERROR(($J497*P497)*$L497, "")</f>
        <v>0</v>
      </c>
      <c r="AD497" s="284" t="n">
        <f aca="false">IFERROR(($J497*Q497)*$L497, "")</f>
        <v>0</v>
      </c>
      <c r="AE497" s="284" t="n">
        <f aca="false">IFERROR(($J497*R497)*$L497, "")</f>
        <v>0</v>
      </c>
      <c r="AF497" s="284" t="n">
        <f aca="false">IFERROR(($J497*S497)*$L497, "")</f>
        <v>0</v>
      </c>
      <c r="AG497" s="284" t="n">
        <f aca="false">IFERROR(($J497*T497)*$L497, "")</f>
        <v>0</v>
      </c>
      <c r="AH497" s="284" t="n">
        <f aca="false">IFERROR(($J497*U497)*$L497, "")</f>
        <v>0</v>
      </c>
      <c r="AI497" s="284" t="n">
        <f aca="false">IFERROR(($J497*V497)*$L497, "")</f>
        <v>0</v>
      </c>
      <c r="AJ497" s="284" t="n">
        <f aca="false">IFERROR(($J497*W497)*$L497, "")</f>
        <v>0</v>
      </c>
      <c r="AK497" s="284" t="n">
        <f aca="false">IFERROR(($J497*X497)*$L497, "")</f>
        <v>0</v>
      </c>
      <c r="AL497" s="284" t="n">
        <f aca="false">IFERROR(($J497*Y497)*$L497, "")</f>
        <v>0</v>
      </c>
      <c r="AM497" s="285" t="n">
        <f aca="false">IFERROR(($J497*Z497)*$L497, "")</f>
        <v>0</v>
      </c>
      <c r="AN497" s="286" t="n">
        <f aca="false">IFERROR(SUMIF($AB$4:$AM$4, "RDEC", AB497:AM497), "")</f>
        <v>0</v>
      </c>
      <c r="AO497" s="286" t="n">
        <f aca="false">IFERROR(SUMIF($AB$4:$AM$4, "SME", AB497:AM497), "")</f>
        <v>0</v>
      </c>
      <c r="AP497" s="286" t="n">
        <f aca="false">IFERROR(SUMIF($AB$4:$AM$4, "De Minimis", AB497:AM497), "")</f>
        <v>0</v>
      </c>
      <c r="AQ497" s="283"/>
      <c r="AR497" s="284" t="n">
        <f aca="false">IFERROR(($J497*O497)*$M497, "")</f>
        <v>0</v>
      </c>
      <c r="AS497" s="284" t="n">
        <f aca="false">IFERROR(($J497*P497)*$M497, "")</f>
        <v>0</v>
      </c>
      <c r="AT497" s="284" t="n">
        <f aca="false">IFERROR(($J497*Q497)*$M497, "")</f>
        <v>0</v>
      </c>
      <c r="AU497" s="284" t="n">
        <f aca="false">IFERROR(($J497*R497)*$M497, "")</f>
        <v>0</v>
      </c>
      <c r="AV497" s="284" t="n">
        <f aca="false">IFERROR(($J497*S497)*$M497, "")</f>
        <v>0</v>
      </c>
      <c r="AW497" s="284" t="n">
        <f aca="false">IFERROR(($J497*T497)*$M497, "")</f>
        <v>0</v>
      </c>
      <c r="AX497" s="284" t="n">
        <f aca="false">IFERROR(($J497*U497)*$M497, "")</f>
        <v>0</v>
      </c>
      <c r="AY497" s="284" t="n">
        <f aca="false">IFERROR(($J497*V497)*$M497, "")</f>
        <v>0</v>
      </c>
      <c r="AZ497" s="284" t="n">
        <f aca="false">IFERROR(($J497*W497)*$M497, "")</f>
        <v>0</v>
      </c>
      <c r="BA497" s="284" t="n">
        <f aca="false">IFERROR(($J497*X497)*$M497, "")</f>
        <v>0</v>
      </c>
      <c r="BB497" s="284" t="n">
        <f aca="false">IFERROR(($J497*Y497)*$M497, "")</f>
        <v>0</v>
      </c>
      <c r="BC497" s="285" t="n">
        <f aca="false">IFERROR(($J497*Z497)*$M497, "")</f>
        <v>0</v>
      </c>
      <c r="BD497" s="286" t="n">
        <f aca="false">IFERROR(SUMIF($AB$4:$AM$4, "RDEC", AR497:BC497), "")</f>
        <v>0</v>
      </c>
      <c r="BE497" s="286" t="n">
        <f aca="false">IFERROR(SUMIF($AB$4:$AM$4, "SME", AR497:BC497), "")</f>
        <v>0</v>
      </c>
      <c r="BF497" s="286" t="n">
        <f aca="false">IFERROR(SUMIF($AB$4:$AM$4, "De Minimis", AR497:BC497), "")</f>
        <v>0</v>
      </c>
      <c r="BG497" s="287"/>
      <c r="BH497" s="288" t="str">
        <f aca="false">IF((SUM(O497:Z497)&gt;1),"ERROR","")</f>
        <v/>
      </c>
      <c r="BI497" s="287"/>
      <c r="BJ497" s="18" t="str">
        <f aca="false">IF(C483&gt;0, C483, "")</f>
        <v/>
      </c>
      <c r="BL497" s="200"/>
      <c r="BM497" s="200"/>
      <c r="BN497" s="200"/>
    </row>
    <row r="498" customFormat="false" ht="15" hidden="false" customHeight="true" outlineLevel="0" collapsed="false">
      <c r="B498" s="275"/>
      <c r="D498" s="276" t="n">
        <f aca="false">D482</f>
        <v>45597</v>
      </c>
      <c r="E498" s="277" t="n">
        <v>0</v>
      </c>
      <c r="F498" s="277" t="n">
        <v>0</v>
      </c>
      <c r="G498" s="277" t="n">
        <v>0</v>
      </c>
      <c r="H498" s="277" t="n">
        <v>0</v>
      </c>
      <c r="I498" s="277" t="n">
        <v>0</v>
      </c>
      <c r="J498" s="278" t="n">
        <f aca="false">E498+H498+I498</f>
        <v>0</v>
      </c>
      <c r="K498" s="204"/>
      <c r="L498" s="279" t="n">
        <v>1</v>
      </c>
      <c r="M498" s="280" t="n">
        <f aca="false">1-L498</f>
        <v>0</v>
      </c>
      <c r="N498" s="281"/>
      <c r="O498" s="282"/>
      <c r="P498" s="282"/>
      <c r="Q498" s="282"/>
      <c r="R498" s="282"/>
      <c r="S498" s="282"/>
      <c r="T498" s="282"/>
      <c r="U498" s="282"/>
      <c r="V498" s="282"/>
      <c r="W498" s="282"/>
      <c r="X498" s="282"/>
      <c r="Y498" s="282"/>
      <c r="Z498" s="282"/>
      <c r="AA498" s="283"/>
      <c r="AB498" s="284" t="n">
        <f aca="false">IFERROR(($J498*O498)*$L498, "")</f>
        <v>0</v>
      </c>
      <c r="AC498" s="284" t="n">
        <f aca="false">IFERROR(($J498*P498)*$L498, "")</f>
        <v>0</v>
      </c>
      <c r="AD498" s="284" t="n">
        <f aca="false">IFERROR(($J498*Q498)*$L498, "")</f>
        <v>0</v>
      </c>
      <c r="AE498" s="284" t="n">
        <f aca="false">IFERROR(($J498*R498)*$L498, "")</f>
        <v>0</v>
      </c>
      <c r="AF498" s="284" t="n">
        <f aca="false">IFERROR(($J498*S498)*$L498, "")</f>
        <v>0</v>
      </c>
      <c r="AG498" s="284" t="n">
        <f aca="false">IFERROR(($J498*T498)*$L498, "")</f>
        <v>0</v>
      </c>
      <c r="AH498" s="284" t="n">
        <f aca="false">IFERROR(($J498*U498)*$L498, "")</f>
        <v>0</v>
      </c>
      <c r="AI498" s="284" t="n">
        <f aca="false">IFERROR(($J498*V498)*$L498, "")</f>
        <v>0</v>
      </c>
      <c r="AJ498" s="284" t="n">
        <f aca="false">IFERROR(($J498*W498)*$L498, "")</f>
        <v>0</v>
      </c>
      <c r="AK498" s="284" t="n">
        <f aca="false">IFERROR(($J498*X498)*$L498, "")</f>
        <v>0</v>
      </c>
      <c r="AL498" s="284" t="n">
        <f aca="false">IFERROR(($J498*Y498)*$L498, "")</f>
        <v>0</v>
      </c>
      <c r="AM498" s="285" t="n">
        <f aca="false">IFERROR(($J498*Z498)*$L498, "")</f>
        <v>0</v>
      </c>
      <c r="AN498" s="286" t="n">
        <f aca="false">IFERROR(SUMIF($AB$4:$AM$4, "RDEC", AB498:AM498), "")</f>
        <v>0</v>
      </c>
      <c r="AO498" s="286" t="n">
        <f aca="false">IFERROR(SUMIF($AB$4:$AM$4, "SME", AB498:AM498), "")</f>
        <v>0</v>
      </c>
      <c r="AP498" s="286" t="n">
        <f aca="false">IFERROR(SUMIF($AB$4:$AM$4, "De Minimis", AB498:AM498), "")</f>
        <v>0</v>
      </c>
      <c r="AQ498" s="283"/>
      <c r="AR498" s="284" t="n">
        <f aca="false">IFERROR(($J498*O498)*$M498, "")</f>
        <v>0</v>
      </c>
      <c r="AS498" s="284" t="n">
        <f aca="false">IFERROR(($J498*P498)*$M498, "")</f>
        <v>0</v>
      </c>
      <c r="AT498" s="284" t="n">
        <f aca="false">IFERROR(($J498*Q498)*$M498, "")</f>
        <v>0</v>
      </c>
      <c r="AU498" s="284" t="n">
        <f aca="false">IFERROR(($J498*R498)*$M498, "")</f>
        <v>0</v>
      </c>
      <c r="AV498" s="284" t="n">
        <f aca="false">IFERROR(($J498*S498)*$M498, "")</f>
        <v>0</v>
      </c>
      <c r="AW498" s="284" t="n">
        <f aca="false">IFERROR(($J498*T498)*$M498, "")</f>
        <v>0</v>
      </c>
      <c r="AX498" s="284" t="n">
        <f aca="false">IFERROR(($J498*U498)*$M498, "")</f>
        <v>0</v>
      </c>
      <c r="AY498" s="284" t="n">
        <f aca="false">IFERROR(($J498*V498)*$M498, "")</f>
        <v>0</v>
      </c>
      <c r="AZ498" s="284" t="n">
        <f aca="false">IFERROR(($J498*W498)*$M498, "")</f>
        <v>0</v>
      </c>
      <c r="BA498" s="284" t="n">
        <f aca="false">IFERROR(($J498*X498)*$M498, "")</f>
        <v>0</v>
      </c>
      <c r="BB498" s="284" t="n">
        <f aca="false">IFERROR(($J498*Y498)*$M498, "")</f>
        <v>0</v>
      </c>
      <c r="BC498" s="285" t="n">
        <f aca="false">IFERROR(($J498*Z498)*$M498, "")</f>
        <v>0</v>
      </c>
      <c r="BD498" s="286" t="n">
        <f aca="false">IFERROR(SUMIF($AB$4:$AM$4, "RDEC", AR498:BC498), "")</f>
        <v>0</v>
      </c>
      <c r="BE498" s="286" t="n">
        <f aca="false">IFERROR(SUMIF($AB$4:$AM$4, "SME", AR498:BC498), "")</f>
        <v>0</v>
      </c>
      <c r="BF498" s="286" t="n">
        <f aca="false">IFERROR(SUMIF($AB$4:$AM$4, "De Minimis", AR498:BC498), "")</f>
        <v>0</v>
      </c>
      <c r="BG498" s="287"/>
      <c r="BH498" s="288" t="str">
        <f aca="false">IF((SUM(O498:Z498)&gt;1),"ERROR","")</f>
        <v/>
      </c>
      <c r="BI498" s="287"/>
      <c r="BJ498" s="18" t="str">
        <f aca="false">IF(C484&gt;0, C484, "")</f>
        <v/>
      </c>
      <c r="BL498" s="200"/>
      <c r="BM498" s="200"/>
      <c r="BN498" s="200"/>
    </row>
    <row r="499" customFormat="false" ht="15" hidden="false" customHeight="true" outlineLevel="0" collapsed="false">
      <c r="B499" s="275"/>
      <c r="D499" s="276" t="n">
        <f aca="false">D483</f>
        <v>45627</v>
      </c>
      <c r="E499" s="277" t="n">
        <v>0</v>
      </c>
      <c r="F499" s="277" t="n">
        <v>0</v>
      </c>
      <c r="G499" s="277" t="n">
        <v>0</v>
      </c>
      <c r="H499" s="277" t="n">
        <v>0</v>
      </c>
      <c r="I499" s="277" t="n">
        <v>0</v>
      </c>
      <c r="J499" s="278" t="n">
        <f aca="false">E499+H499+I499</f>
        <v>0</v>
      </c>
      <c r="K499" s="204"/>
      <c r="L499" s="289" t="n">
        <v>1</v>
      </c>
      <c r="M499" s="290" t="n">
        <f aca="false">1-L499</f>
        <v>0</v>
      </c>
      <c r="N499" s="281"/>
      <c r="O499" s="291"/>
      <c r="P499" s="291"/>
      <c r="Q499" s="291"/>
      <c r="R499" s="291"/>
      <c r="S499" s="291"/>
      <c r="T499" s="291"/>
      <c r="U499" s="291"/>
      <c r="V499" s="291"/>
      <c r="W499" s="291"/>
      <c r="X499" s="291"/>
      <c r="Y499" s="291"/>
      <c r="Z499" s="291"/>
      <c r="AA499" s="283"/>
      <c r="AB499" s="292" t="n">
        <f aca="false">IFERROR(($J499*O499)*$L499, "")</f>
        <v>0</v>
      </c>
      <c r="AC499" s="292" t="n">
        <f aca="false">IFERROR(($J499*P499)*$L499, "")</f>
        <v>0</v>
      </c>
      <c r="AD499" s="292" t="n">
        <f aca="false">IFERROR(($J499*Q499)*$L499, "")</f>
        <v>0</v>
      </c>
      <c r="AE499" s="292" t="n">
        <f aca="false">IFERROR(($J499*R499)*$L499, "")</f>
        <v>0</v>
      </c>
      <c r="AF499" s="292" t="n">
        <f aca="false">IFERROR(($J499*S499)*$L499, "")</f>
        <v>0</v>
      </c>
      <c r="AG499" s="292" t="n">
        <f aca="false">IFERROR(($J499*T499)*$L499, "")</f>
        <v>0</v>
      </c>
      <c r="AH499" s="292" t="n">
        <f aca="false">IFERROR(($J499*U499)*$L499, "")</f>
        <v>0</v>
      </c>
      <c r="AI499" s="292" t="n">
        <f aca="false">IFERROR(($J499*V499)*$L499, "")</f>
        <v>0</v>
      </c>
      <c r="AJ499" s="292" t="n">
        <f aca="false">IFERROR(($J499*W499)*$L499, "")</f>
        <v>0</v>
      </c>
      <c r="AK499" s="292" t="n">
        <f aca="false">IFERROR(($J499*X499)*$L499, "")</f>
        <v>0</v>
      </c>
      <c r="AL499" s="292" t="n">
        <f aca="false">IFERROR(($J499*Y499)*$L499, "")</f>
        <v>0</v>
      </c>
      <c r="AM499" s="293" t="n">
        <f aca="false">IFERROR(($J499*Z499)*$L499, "")</f>
        <v>0</v>
      </c>
      <c r="AN499" s="294" t="n">
        <f aca="false">IFERROR(SUMIF($AB$4:$AM$4, "RDEC", AB499:AM499), "")</f>
        <v>0</v>
      </c>
      <c r="AO499" s="294" t="n">
        <f aca="false">IFERROR(SUMIF($AB$4:$AM$4, "SME", AB499:AM499), "")</f>
        <v>0</v>
      </c>
      <c r="AP499" s="294" t="n">
        <f aca="false">IFERROR(SUMIF($AB$4:$AM$4, "De Minimis", AB499:AM499), "")</f>
        <v>0</v>
      </c>
      <c r="AQ499" s="283"/>
      <c r="AR499" s="292" t="n">
        <f aca="false">IFERROR(($J499*O499)*$M499, "")</f>
        <v>0</v>
      </c>
      <c r="AS499" s="292" t="n">
        <f aca="false">IFERROR(($J499*P499)*$M499, "")</f>
        <v>0</v>
      </c>
      <c r="AT499" s="292" t="n">
        <f aca="false">IFERROR(($J499*Q499)*$M499, "")</f>
        <v>0</v>
      </c>
      <c r="AU499" s="292" t="n">
        <f aca="false">IFERROR(($J499*R499)*$M499, "")</f>
        <v>0</v>
      </c>
      <c r="AV499" s="292" t="n">
        <f aca="false">IFERROR(($J499*S499)*$M499, "")</f>
        <v>0</v>
      </c>
      <c r="AW499" s="292" t="n">
        <f aca="false">IFERROR(($J499*T499)*$M499, "")</f>
        <v>0</v>
      </c>
      <c r="AX499" s="292" t="n">
        <f aca="false">IFERROR(($J499*U499)*$M499, "")</f>
        <v>0</v>
      </c>
      <c r="AY499" s="292" t="n">
        <f aca="false">IFERROR(($J499*V499)*$M499, "")</f>
        <v>0</v>
      </c>
      <c r="AZ499" s="292" t="n">
        <f aca="false">IFERROR(($J499*W499)*$M499, "")</f>
        <v>0</v>
      </c>
      <c r="BA499" s="292" t="n">
        <f aca="false">IFERROR(($J499*X499)*$M499, "")</f>
        <v>0</v>
      </c>
      <c r="BB499" s="292" t="n">
        <f aca="false">IFERROR(($J499*Y499)*$M499, "")</f>
        <v>0</v>
      </c>
      <c r="BC499" s="293" t="n">
        <f aca="false">IFERROR(($J499*Z499)*$M499, "")</f>
        <v>0</v>
      </c>
      <c r="BD499" s="294" t="n">
        <f aca="false">IFERROR(SUMIF($AB$4:$AM$4, "RDEC", AR499:BC499), "")</f>
        <v>0</v>
      </c>
      <c r="BE499" s="294" t="n">
        <f aca="false">IFERROR(SUMIF($AB$4:$AM$4, "SME", AR499:BC499), "")</f>
        <v>0</v>
      </c>
      <c r="BF499" s="294" t="n">
        <f aca="false">IFERROR(SUMIF($AB$4:$AM$4, "De Minimis", AR499:BC499), "")</f>
        <v>0</v>
      </c>
      <c r="BG499" s="287"/>
      <c r="BH499" s="295" t="str">
        <f aca="false">IF((SUM(O499:Z499)&gt;1),"ERROR","")</f>
        <v/>
      </c>
      <c r="BI499" s="287"/>
      <c r="BJ499" s="18" t="str">
        <f aca="false">IF(C485&gt;0, C485, "")</f>
        <v/>
      </c>
      <c r="BL499" s="200"/>
      <c r="BM499" s="200"/>
      <c r="BN499" s="200"/>
    </row>
    <row r="500" customFormat="false" ht="15" hidden="false" customHeight="true" outlineLevel="0" collapsed="false">
      <c r="B500" s="296"/>
      <c r="D500" s="297" t="s">
        <v>82</v>
      </c>
      <c r="E500" s="298" t="n">
        <f aca="false">SUM(E488:E499)</f>
        <v>0</v>
      </c>
      <c r="F500" s="298" t="n">
        <f aca="false">SUM(F488:F499)</f>
        <v>0</v>
      </c>
      <c r="G500" s="298" t="n">
        <f aca="false">SUM(G488:G499)</f>
        <v>0</v>
      </c>
      <c r="H500" s="298" t="n">
        <f aca="false">SUM(H488:H499)</f>
        <v>0</v>
      </c>
      <c r="I500" s="298" t="n">
        <f aca="false">SUM(I488:I499)</f>
        <v>0</v>
      </c>
      <c r="J500" s="299" t="n">
        <f aca="false">SUM(J488:J499)</f>
        <v>0</v>
      </c>
      <c r="K500" s="300"/>
      <c r="L500" s="301" t="n">
        <f aca="false">AVERAGE(L488:L499)</f>
        <v>1</v>
      </c>
      <c r="M500" s="301" t="n">
        <f aca="false">AVERAGE(M488:M499)</f>
        <v>0</v>
      </c>
      <c r="N500" s="302"/>
      <c r="O500" s="290" t="n">
        <f aca="false">IF(SUM(O488:O499)&gt;0,((AB500+AR500)/J500),0)</f>
        <v>0</v>
      </c>
      <c r="P500" s="290" t="n">
        <f aca="false">IF(SUM(P488:P499)&gt;0,((AC500+AS500)/J500),0)</f>
        <v>0</v>
      </c>
      <c r="Q500" s="290" t="n">
        <f aca="false">IF(SUM(Q488:Q499)&gt;0,((AD500+AT500)/J500),0)</f>
        <v>0</v>
      </c>
      <c r="R500" s="290" t="n">
        <f aca="false">IF(SUM(R488:R499)&gt;0,((AE500+AU500)/J500),0)</f>
        <v>0</v>
      </c>
      <c r="S500" s="290" t="n">
        <f aca="false">IF(SUM(S488:S499)&gt;0,((AF500+AV500)/J500),0)</f>
        <v>0</v>
      </c>
      <c r="T500" s="290" t="n">
        <f aca="false">IF(SUM(T488:T499)&gt;0,((AG500+AW500)/J500),0)</f>
        <v>0</v>
      </c>
      <c r="U500" s="290" t="n">
        <f aca="false">IF(SUM(U488:U499)&gt;0,((AH500+AX500)/J500),0)</f>
        <v>0</v>
      </c>
      <c r="V500" s="290" t="n">
        <f aca="false">IF(SUM(V488:V499)&gt;0,((AI500+AY500)/J500),0)</f>
        <v>0</v>
      </c>
      <c r="W500" s="290" t="n">
        <f aca="false">IF(SUM(W488:W499)&gt;0,((AJ500+AZ500)/J500),0)</f>
        <v>0</v>
      </c>
      <c r="X500" s="290" t="n">
        <f aca="false">IF(SUM(X488:X499)&gt;0,((AK500+BA500)/J500),0)</f>
        <v>0</v>
      </c>
      <c r="Y500" s="290" t="n">
        <f aca="false">IF(SUM(Y488:Y499)&gt;0,((AL500+BB500)/J500),0)</f>
        <v>0</v>
      </c>
      <c r="Z500" s="290" t="n">
        <f aca="false">IF(SUM(Z488:Z499)&gt;0,((AM500+BC500)/J500),0)</f>
        <v>0</v>
      </c>
      <c r="AA500" s="303"/>
      <c r="AB500" s="292" t="n">
        <f aca="false">SUM(AB488:AB499)</f>
        <v>0</v>
      </c>
      <c r="AC500" s="304" t="n">
        <f aca="false">SUM(AC488:AC499)</f>
        <v>0</v>
      </c>
      <c r="AD500" s="304" t="n">
        <f aca="false">SUM(AD488:AD499)</f>
        <v>0</v>
      </c>
      <c r="AE500" s="304" t="n">
        <f aca="false">SUM(AE488:AE499)</f>
        <v>0</v>
      </c>
      <c r="AF500" s="304" t="n">
        <f aca="false">SUM(AF488:AF499)</f>
        <v>0</v>
      </c>
      <c r="AG500" s="304" t="n">
        <f aca="false">SUM(AG488:AG499)</f>
        <v>0</v>
      </c>
      <c r="AH500" s="304" t="n">
        <f aca="false">SUM(AH488:AH499)</f>
        <v>0</v>
      </c>
      <c r="AI500" s="304" t="n">
        <f aca="false">SUM(AI488:AI499)</f>
        <v>0</v>
      </c>
      <c r="AJ500" s="304" t="n">
        <f aca="false">SUM(AJ488:AJ499)</f>
        <v>0</v>
      </c>
      <c r="AK500" s="304" t="n">
        <f aca="false">SUM(AK488:AK499)</f>
        <v>0</v>
      </c>
      <c r="AL500" s="304" t="n">
        <f aca="false">SUM(AL488:AL499)</f>
        <v>0</v>
      </c>
      <c r="AM500" s="304" t="n">
        <f aca="false">SUM(AM488:AM499)</f>
        <v>0</v>
      </c>
      <c r="AN500" s="305" t="n">
        <f aca="false">SUM(AN488:AN499)</f>
        <v>0</v>
      </c>
      <c r="AO500" s="305" t="n">
        <f aca="false">SUM(AO488:AO499)</f>
        <v>0</v>
      </c>
      <c r="AP500" s="305" t="n">
        <f aca="false">SUM(AP488:AP499)</f>
        <v>0</v>
      </c>
      <c r="AQ500" s="303"/>
      <c r="AR500" s="292" t="n">
        <f aca="false">SUM(AR488:AR499)</f>
        <v>0</v>
      </c>
      <c r="AS500" s="304" t="n">
        <f aca="false">SUM(AS488:AS499)</f>
        <v>0</v>
      </c>
      <c r="AT500" s="304" t="n">
        <f aca="false">SUM(AT488:AT499)</f>
        <v>0</v>
      </c>
      <c r="AU500" s="304" t="n">
        <f aca="false">SUM(AU488:AU499)</f>
        <v>0</v>
      </c>
      <c r="AV500" s="304" t="n">
        <f aca="false">SUM(AV488:AV499)</f>
        <v>0</v>
      </c>
      <c r="AW500" s="304" t="n">
        <f aca="false">SUM(AW488:AW499)</f>
        <v>0</v>
      </c>
      <c r="AX500" s="304" t="n">
        <f aca="false">SUM(AX488:AX499)</f>
        <v>0</v>
      </c>
      <c r="AY500" s="304" t="n">
        <f aca="false">SUM(AY488:AY499)</f>
        <v>0</v>
      </c>
      <c r="AZ500" s="304" t="n">
        <f aca="false">SUM(AZ488:AZ499)</f>
        <v>0</v>
      </c>
      <c r="BA500" s="304" t="n">
        <f aca="false">SUM(BA488:BA499)</f>
        <v>0</v>
      </c>
      <c r="BB500" s="304" t="n">
        <f aca="false">SUM(BB488:BB499)</f>
        <v>0</v>
      </c>
      <c r="BC500" s="304" t="n">
        <f aca="false">SUM(BC488:BC499)</f>
        <v>0</v>
      </c>
      <c r="BD500" s="305" t="n">
        <f aca="false">SUM(BD488:BD499)</f>
        <v>0</v>
      </c>
      <c r="BE500" s="305" t="n">
        <f aca="false">SUM(BE488:BE499)</f>
        <v>0</v>
      </c>
      <c r="BF500" s="305" t="n">
        <f aca="false">SUM(BF488:BF499)</f>
        <v>0</v>
      </c>
      <c r="BG500" s="303"/>
      <c r="BH500" s="306"/>
      <c r="BI500" s="303"/>
      <c r="BJ500" s="307" t="str">
        <f aca="false">IF(C486&gt;0, C486, "")</f>
        <v>TBA</v>
      </c>
      <c r="BK500" s="18" t="s">
        <v>234</v>
      </c>
      <c r="BL500" s="200" t="n">
        <f aca="false">IF($BK500="Y",J500,0)</f>
        <v>0</v>
      </c>
      <c r="BM500" s="200" t="n">
        <f aca="false">IF(BK500="Y", AN500,0)</f>
        <v>0</v>
      </c>
      <c r="BN500" s="200" t="n">
        <f aca="false">IF((BK500="Y"),AO500,0)</f>
        <v>0</v>
      </c>
    </row>
    <row r="501" customFormat="false" ht="15" hidden="false" customHeight="true" outlineLevel="0" collapsed="false">
      <c r="B501" s="296"/>
      <c r="D501" s="297"/>
      <c r="E501" s="277"/>
      <c r="F501" s="277"/>
      <c r="G501" s="277"/>
      <c r="H501" s="277"/>
      <c r="I501" s="277"/>
      <c r="J501" s="300"/>
      <c r="K501" s="300"/>
      <c r="L501" s="302"/>
      <c r="M501" s="302"/>
      <c r="N501" s="302"/>
      <c r="O501" s="308"/>
      <c r="P501" s="308"/>
      <c r="Q501" s="308"/>
      <c r="R501" s="308"/>
      <c r="S501" s="308"/>
      <c r="T501" s="308"/>
      <c r="U501" s="308"/>
      <c r="V501" s="308"/>
      <c r="W501" s="308"/>
      <c r="X501" s="308"/>
      <c r="Y501" s="308"/>
      <c r="Z501" s="308"/>
      <c r="AA501" s="303"/>
      <c r="AB501" s="303"/>
      <c r="AC501" s="303"/>
      <c r="AD501" s="303"/>
      <c r="AE501" s="303"/>
      <c r="AF501" s="303"/>
      <c r="AG501" s="303"/>
      <c r="AH501" s="303"/>
      <c r="AI501" s="303"/>
      <c r="AJ501" s="303"/>
      <c r="AK501" s="303"/>
      <c r="AL501" s="303"/>
      <c r="AM501" s="303"/>
      <c r="AN501" s="303"/>
      <c r="AO501" s="303"/>
      <c r="AP501" s="303"/>
      <c r="AQ501" s="303"/>
      <c r="AR501" s="303"/>
      <c r="AS501" s="303"/>
      <c r="AT501" s="303"/>
      <c r="AU501" s="303"/>
      <c r="AV501" s="303"/>
      <c r="AW501" s="303"/>
      <c r="AX501" s="303"/>
      <c r="AY501" s="303"/>
      <c r="AZ501" s="303"/>
      <c r="BA501" s="303"/>
      <c r="BB501" s="303"/>
      <c r="BC501" s="303"/>
      <c r="BD501" s="303"/>
      <c r="BE501" s="303"/>
      <c r="BF501" s="303"/>
      <c r="BG501" s="303"/>
      <c r="BH501" s="303"/>
      <c r="BI501" s="303"/>
      <c r="BJ501" s="307" t="str">
        <f aca="false">IF(C488&gt;0, C488, "")</f>
        <v/>
      </c>
      <c r="BL501" s="200"/>
      <c r="BM501" s="200"/>
      <c r="BN501" s="200"/>
    </row>
    <row r="502" customFormat="false" ht="15" hidden="false" customHeight="true" outlineLevel="0" collapsed="false">
      <c r="A502" s="198" t="n">
        <f aca="false">A486+1</f>
        <v>32</v>
      </c>
      <c r="B502" s="266" t="s">
        <v>253</v>
      </c>
      <c r="C502" s="266" t="s">
        <v>253</v>
      </c>
      <c r="D502" s="267"/>
      <c r="E502" s="242"/>
      <c r="F502" s="242"/>
      <c r="G502" s="242"/>
      <c r="H502" s="242"/>
      <c r="I502" s="242"/>
      <c r="J502" s="241"/>
      <c r="K502" s="241"/>
      <c r="L502" s="241"/>
      <c r="M502" s="241"/>
      <c r="N502" s="241"/>
      <c r="O502" s="268"/>
      <c r="P502" s="268"/>
      <c r="Q502" s="268"/>
      <c r="R502" s="268"/>
      <c r="S502" s="268"/>
      <c r="T502" s="268"/>
      <c r="U502" s="268"/>
      <c r="V502" s="268"/>
      <c r="W502" s="268"/>
      <c r="X502" s="268"/>
      <c r="Y502" s="268"/>
      <c r="Z502" s="268"/>
      <c r="AA502" s="268"/>
      <c r="AB502" s="268"/>
      <c r="AC502" s="268"/>
      <c r="AD502" s="268"/>
      <c r="AE502" s="268"/>
      <c r="AF502" s="268"/>
      <c r="AG502" s="268"/>
      <c r="AH502" s="268"/>
      <c r="AI502" s="268"/>
      <c r="AJ502" s="268"/>
      <c r="AK502" s="268"/>
      <c r="AL502" s="268"/>
      <c r="AM502" s="268"/>
      <c r="AN502" s="268"/>
      <c r="AO502" s="268"/>
      <c r="AP502" s="268"/>
      <c r="AQ502" s="268"/>
      <c r="AR502" s="268"/>
      <c r="AS502" s="268"/>
      <c r="AT502" s="268"/>
      <c r="AU502" s="268"/>
      <c r="AV502" s="268"/>
      <c r="AW502" s="268"/>
      <c r="AX502" s="268"/>
      <c r="AY502" s="268"/>
      <c r="AZ502" s="268"/>
      <c r="BA502" s="268"/>
      <c r="BB502" s="268"/>
      <c r="BC502" s="268"/>
      <c r="BD502" s="268"/>
      <c r="BE502" s="268"/>
      <c r="BF502" s="268"/>
      <c r="BG502" s="268"/>
      <c r="BH502" s="268"/>
      <c r="BI502" s="268"/>
      <c r="BJ502" s="18" t="str">
        <f aca="false">IF(C489&gt;0, C489, "")</f>
        <v/>
      </c>
      <c r="BL502" s="200"/>
      <c r="BM502" s="200"/>
      <c r="BN502" s="200"/>
    </row>
    <row r="503" customFormat="false" ht="7.5" hidden="false" customHeight="true" outlineLevel="0" collapsed="false">
      <c r="A503" s="198"/>
      <c r="B503" s="266"/>
      <c r="C503" s="266"/>
      <c r="D503" s="267"/>
      <c r="E503" s="242"/>
      <c r="F503" s="242"/>
      <c r="G503" s="242"/>
      <c r="H503" s="242"/>
      <c r="I503" s="242"/>
      <c r="J503" s="241"/>
      <c r="K503" s="241"/>
      <c r="L503" s="269"/>
      <c r="M503" s="269"/>
      <c r="N503" s="270"/>
      <c r="O503" s="269"/>
      <c r="P503" s="269"/>
      <c r="Q503" s="269"/>
      <c r="R503" s="269"/>
      <c r="S503" s="269"/>
      <c r="T503" s="269"/>
      <c r="U503" s="269"/>
      <c r="V503" s="269"/>
      <c r="W503" s="269"/>
      <c r="X503" s="269"/>
      <c r="Y503" s="269"/>
      <c r="Z503" s="269"/>
      <c r="AA503" s="268"/>
      <c r="AB503" s="271"/>
      <c r="AC503" s="271"/>
      <c r="AD503" s="271"/>
      <c r="AE503" s="271"/>
      <c r="AF503" s="271"/>
      <c r="AG503" s="271"/>
      <c r="AH503" s="271"/>
      <c r="AI503" s="271"/>
      <c r="AJ503" s="271"/>
      <c r="AK503" s="271"/>
      <c r="AL503" s="271"/>
      <c r="AM503" s="272"/>
      <c r="AN503" s="273"/>
      <c r="AO503" s="273"/>
      <c r="AP503" s="273"/>
      <c r="AQ503" s="268"/>
      <c r="AR503" s="271"/>
      <c r="AS503" s="271"/>
      <c r="AT503" s="271"/>
      <c r="AU503" s="271"/>
      <c r="AV503" s="271"/>
      <c r="AW503" s="271"/>
      <c r="AX503" s="271"/>
      <c r="AY503" s="271"/>
      <c r="AZ503" s="271"/>
      <c r="BA503" s="271"/>
      <c r="BB503" s="271"/>
      <c r="BC503" s="272"/>
      <c r="BD503" s="273"/>
      <c r="BE503" s="273"/>
      <c r="BF503" s="273"/>
      <c r="BG503" s="268"/>
      <c r="BH503" s="274"/>
      <c r="BI503" s="268"/>
      <c r="BL503" s="200"/>
      <c r="BM503" s="200"/>
      <c r="BN503" s="200"/>
    </row>
    <row r="504" customFormat="false" ht="15" hidden="false" customHeight="true" outlineLevel="0" collapsed="false">
      <c r="B504" s="275"/>
      <c r="D504" s="276" t="n">
        <f aca="false">D488</f>
        <v>45292</v>
      </c>
      <c r="E504" s="277" t="n">
        <v>0</v>
      </c>
      <c r="F504" s="277" t="n">
        <v>0</v>
      </c>
      <c r="G504" s="277" t="n">
        <v>0</v>
      </c>
      <c r="H504" s="277" t="n">
        <v>0</v>
      </c>
      <c r="I504" s="277" t="n">
        <v>0</v>
      </c>
      <c r="J504" s="278" t="n">
        <f aca="false">E504+H504+I504</f>
        <v>0</v>
      </c>
      <c r="K504" s="204"/>
      <c r="L504" s="279" t="n">
        <v>1</v>
      </c>
      <c r="M504" s="280" t="n">
        <f aca="false">1-L504</f>
        <v>0</v>
      </c>
      <c r="N504" s="281"/>
      <c r="O504" s="282"/>
      <c r="P504" s="282"/>
      <c r="Q504" s="282"/>
      <c r="R504" s="282"/>
      <c r="S504" s="282"/>
      <c r="T504" s="282"/>
      <c r="U504" s="282"/>
      <c r="V504" s="282"/>
      <c r="W504" s="282"/>
      <c r="X504" s="282"/>
      <c r="Y504" s="282"/>
      <c r="Z504" s="282"/>
      <c r="AA504" s="283"/>
      <c r="AB504" s="284" t="n">
        <f aca="false">IFERROR(($J504*O504)*$L504, "")</f>
        <v>0</v>
      </c>
      <c r="AC504" s="284" t="n">
        <f aca="false">IFERROR(($J504*P504)*$L504, "")</f>
        <v>0</v>
      </c>
      <c r="AD504" s="284" t="n">
        <f aca="false">IFERROR(($J504*Q504)*$L504, "")</f>
        <v>0</v>
      </c>
      <c r="AE504" s="284" t="n">
        <f aca="false">IFERROR(($J504*R504)*$L504, "")</f>
        <v>0</v>
      </c>
      <c r="AF504" s="284" t="n">
        <f aca="false">IFERROR(($J504*S504)*$L504, "")</f>
        <v>0</v>
      </c>
      <c r="AG504" s="284" t="n">
        <f aca="false">IFERROR(($J504*T504)*$L504, "")</f>
        <v>0</v>
      </c>
      <c r="AH504" s="284" t="n">
        <f aca="false">IFERROR(($J504*U504)*$L504, "")</f>
        <v>0</v>
      </c>
      <c r="AI504" s="284" t="n">
        <f aca="false">IFERROR(($J504*V504)*$L504, "")</f>
        <v>0</v>
      </c>
      <c r="AJ504" s="284" t="n">
        <f aca="false">IFERROR(($J504*W504)*$L504, "")</f>
        <v>0</v>
      </c>
      <c r="AK504" s="284" t="n">
        <f aca="false">IFERROR(($J504*X504)*$L504, "")</f>
        <v>0</v>
      </c>
      <c r="AL504" s="284" t="n">
        <f aca="false">IFERROR(($J504*Y504)*$L504, "")</f>
        <v>0</v>
      </c>
      <c r="AM504" s="285" t="n">
        <f aca="false">IFERROR(($J504*Z504)*$L504, "")</f>
        <v>0</v>
      </c>
      <c r="AN504" s="286" t="n">
        <f aca="false">IFERROR(SUMIF($AB$4:$AM$4, "RDEC", AB504:AM504), "")</f>
        <v>0</v>
      </c>
      <c r="AO504" s="286" t="n">
        <f aca="false">IFERROR(SUMIF($AB$4:$AM$4, "SME", AB504:AM504), "")</f>
        <v>0</v>
      </c>
      <c r="AP504" s="286" t="n">
        <f aca="false">IFERROR(SUMIF($AB$4:$AM$4, "De Minimis", AB504:AM504), "")</f>
        <v>0</v>
      </c>
      <c r="AQ504" s="283"/>
      <c r="AR504" s="284" t="n">
        <f aca="false">IFERROR(($J504*O504)*$M504, "")</f>
        <v>0</v>
      </c>
      <c r="AS504" s="284" t="n">
        <f aca="false">IFERROR(($J504*P504)*$M504, "")</f>
        <v>0</v>
      </c>
      <c r="AT504" s="284" t="n">
        <f aca="false">IFERROR(($J504*Q504)*$M504, "")</f>
        <v>0</v>
      </c>
      <c r="AU504" s="284" t="n">
        <f aca="false">IFERROR(($J504*R504)*$M504, "")</f>
        <v>0</v>
      </c>
      <c r="AV504" s="284" t="n">
        <f aca="false">IFERROR(($J504*S504)*$M504, "")</f>
        <v>0</v>
      </c>
      <c r="AW504" s="284" t="n">
        <f aca="false">IFERROR(($J504*T504)*$M504, "")</f>
        <v>0</v>
      </c>
      <c r="AX504" s="284" t="n">
        <f aca="false">IFERROR(($J504*U504)*$M504, "")</f>
        <v>0</v>
      </c>
      <c r="AY504" s="284" t="n">
        <f aca="false">IFERROR(($J504*V504)*$M504, "")</f>
        <v>0</v>
      </c>
      <c r="AZ504" s="284" t="n">
        <f aca="false">IFERROR(($J504*W504)*$M504, "")</f>
        <v>0</v>
      </c>
      <c r="BA504" s="284" t="n">
        <f aca="false">IFERROR(($J504*X504)*$M504, "")</f>
        <v>0</v>
      </c>
      <c r="BB504" s="284" t="n">
        <f aca="false">IFERROR(($J504*Y504)*$M504, "")</f>
        <v>0</v>
      </c>
      <c r="BC504" s="285" t="n">
        <f aca="false">IFERROR(($J504*Z504)*$M504, "")</f>
        <v>0</v>
      </c>
      <c r="BD504" s="286" t="n">
        <f aca="false">IFERROR(SUMIF($AB$4:$AM$4, "RDEC", AR504:BC504), "")</f>
        <v>0</v>
      </c>
      <c r="BE504" s="286" t="n">
        <f aca="false">IFERROR(SUMIF($AB$4:$AM$4, "SME", AR504:BC504), "")</f>
        <v>0</v>
      </c>
      <c r="BF504" s="286" t="n">
        <f aca="false">IFERROR(SUMIF($AB$4:$AM$4, "De Minimis", AR504:BC504), "")</f>
        <v>0</v>
      </c>
      <c r="BG504" s="287"/>
      <c r="BH504" s="288" t="str">
        <f aca="false">IF((SUM(O504:Z504)&gt;1),"ERROR","")</f>
        <v/>
      </c>
      <c r="BI504" s="287"/>
      <c r="BJ504" s="18" t="str">
        <f aca="false">IF(C490&gt;0, C490, "")</f>
        <v/>
      </c>
      <c r="BL504" s="200"/>
      <c r="BM504" s="200"/>
      <c r="BN504" s="200"/>
    </row>
    <row r="505" customFormat="false" ht="15" hidden="false" customHeight="true" outlineLevel="0" collapsed="false">
      <c r="B505" s="275"/>
      <c r="D505" s="276" t="n">
        <f aca="false">D489</f>
        <v>45323</v>
      </c>
      <c r="E505" s="277" t="n">
        <v>0</v>
      </c>
      <c r="F505" s="277" t="n">
        <v>0</v>
      </c>
      <c r="G505" s="277" t="n">
        <v>0</v>
      </c>
      <c r="H505" s="277" t="n">
        <v>0</v>
      </c>
      <c r="I505" s="277" t="n">
        <v>0</v>
      </c>
      <c r="J505" s="278" t="n">
        <f aca="false">E505+H505+I505</f>
        <v>0</v>
      </c>
      <c r="K505" s="204"/>
      <c r="L505" s="279" t="n">
        <v>1</v>
      </c>
      <c r="M505" s="280" t="n">
        <f aca="false">1-L505</f>
        <v>0</v>
      </c>
      <c r="N505" s="281"/>
      <c r="O505" s="282"/>
      <c r="P505" s="282"/>
      <c r="Q505" s="282"/>
      <c r="R505" s="282"/>
      <c r="S505" s="282"/>
      <c r="T505" s="282"/>
      <c r="U505" s="282"/>
      <c r="V505" s="282"/>
      <c r="W505" s="282"/>
      <c r="X505" s="282"/>
      <c r="Y505" s="282"/>
      <c r="Z505" s="282"/>
      <c r="AA505" s="283"/>
      <c r="AB505" s="284" t="n">
        <f aca="false">IFERROR(($J505*O505)*$L505, "")</f>
        <v>0</v>
      </c>
      <c r="AC505" s="284" t="n">
        <f aca="false">IFERROR(($J505*P505)*$L505, "")</f>
        <v>0</v>
      </c>
      <c r="AD505" s="284" t="n">
        <f aca="false">IFERROR(($J505*Q505)*$L505, "")</f>
        <v>0</v>
      </c>
      <c r="AE505" s="284" t="n">
        <f aca="false">IFERROR(($J505*R505)*$L505, "")</f>
        <v>0</v>
      </c>
      <c r="AF505" s="284" t="n">
        <f aca="false">IFERROR(($J505*S505)*$L505, "")</f>
        <v>0</v>
      </c>
      <c r="AG505" s="284" t="n">
        <f aca="false">IFERROR(($J505*T505)*$L505, "")</f>
        <v>0</v>
      </c>
      <c r="AH505" s="284" t="n">
        <f aca="false">IFERROR(($J505*U505)*$L505, "")</f>
        <v>0</v>
      </c>
      <c r="AI505" s="284" t="n">
        <f aca="false">IFERROR(($J505*V505)*$L505, "")</f>
        <v>0</v>
      </c>
      <c r="AJ505" s="284" t="n">
        <f aca="false">IFERROR(($J505*W505)*$L505, "")</f>
        <v>0</v>
      </c>
      <c r="AK505" s="284" t="n">
        <f aca="false">IFERROR(($J505*X505)*$L505, "")</f>
        <v>0</v>
      </c>
      <c r="AL505" s="284" t="n">
        <f aca="false">IFERROR(($J505*Y505)*$L505, "")</f>
        <v>0</v>
      </c>
      <c r="AM505" s="285" t="n">
        <f aca="false">IFERROR(($J505*Z505)*$L505, "")</f>
        <v>0</v>
      </c>
      <c r="AN505" s="286" t="n">
        <f aca="false">IFERROR(SUMIF($AB$4:$AM$4, "RDEC", AB505:AM505), "")</f>
        <v>0</v>
      </c>
      <c r="AO505" s="286" t="n">
        <f aca="false">IFERROR(SUMIF($AB$4:$AM$4, "SME", AB505:AM505), "")</f>
        <v>0</v>
      </c>
      <c r="AP505" s="286" t="n">
        <f aca="false">IFERROR(SUMIF($AB$4:$AM$4, "De Minimis", AB505:AM505), "")</f>
        <v>0</v>
      </c>
      <c r="AQ505" s="283"/>
      <c r="AR505" s="284" t="n">
        <f aca="false">IFERROR(($J505*O505)*$M505, "")</f>
        <v>0</v>
      </c>
      <c r="AS505" s="284" t="n">
        <f aca="false">IFERROR(($J505*P505)*$M505, "")</f>
        <v>0</v>
      </c>
      <c r="AT505" s="284" t="n">
        <f aca="false">IFERROR(($J505*Q505)*$M505, "")</f>
        <v>0</v>
      </c>
      <c r="AU505" s="284" t="n">
        <f aca="false">IFERROR(($J505*R505)*$M505, "")</f>
        <v>0</v>
      </c>
      <c r="AV505" s="284" t="n">
        <f aca="false">IFERROR(($J505*S505)*$M505, "")</f>
        <v>0</v>
      </c>
      <c r="AW505" s="284" t="n">
        <f aca="false">IFERROR(($J505*T505)*$M505, "")</f>
        <v>0</v>
      </c>
      <c r="AX505" s="284" t="n">
        <f aca="false">IFERROR(($J505*U505)*$M505, "")</f>
        <v>0</v>
      </c>
      <c r="AY505" s="284" t="n">
        <f aca="false">IFERROR(($J505*V505)*$M505, "")</f>
        <v>0</v>
      </c>
      <c r="AZ505" s="284" t="n">
        <f aca="false">IFERROR(($J505*W505)*$M505, "")</f>
        <v>0</v>
      </c>
      <c r="BA505" s="284" t="n">
        <f aca="false">IFERROR(($J505*X505)*$M505, "")</f>
        <v>0</v>
      </c>
      <c r="BB505" s="284" t="n">
        <f aca="false">IFERROR(($J505*Y505)*$M505, "")</f>
        <v>0</v>
      </c>
      <c r="BC505" s="285" t="n">
        <f aca="false">IFERROR(($J505*Z505)*$M505, "")</f>
        <v>0</v>
      </c>
      <c r="BD505" s="286" t="n">
        <f aca="false">IFERROR(SUMIF($AB$4:$AM$4, "RDEC", AR505:BC505), "")</f>
        <v>0</v>
      </c>
      <c r="BE505" s="286" t="n">
        <f aca="false">IFERROR(SUMIF($AB$4:$AM$4, "SME", AR505:BC505), "")</f>
        <v>0</v>
      </c>
      <c r="BF505" s="286" t="n">
        <f aca="false">IFERROR(SUMIF($AB$4:$AM$4, "De Minimis", AR505:BC505), "")</f>
        <v>0</v>
      </c>
      <c r="BG505" s="287"/>
      <c r="BH505" s="288" t="str">
        <f aca="false">IF((SUM(O505:Z505)&gt;1),"ERROR","")</f>
        <v/>
      </c>
      <c r="BI505" s="287"/>
      <c r="BJ505" s="18" t="str">
        <f aca="false">IF(C491&gt;0, C491, "")</f>
        <v/>
      </c>
      <c r="BL505" s="200"/>
      <c r="BM505" s="200"/>
      <c r="BN505" s="200"/>
    </row>
    <row r="506" customFormat="false" ht="15" hidden="false" customHeight="true" outlineLevel="0" collapsed="false">
      <c r="B506" s="275"/>
      <c r="D506" s="276" t="n">
        <f aca="false">D490</f>
        <v>45352</v>
      </c>
      <c r="E506" s="277" t="n">
        <v>0</v>
      </c>
      <c r="F506" s="277" t="n">
        <v>0</v>
      </c>
      <c r="G506" s="277" t="n">
        <v>0</v>
      </c>
      <c r="H506" s="277" t="n">
        <v>0</v>
      </c>
      <c r="I506" s="277" t="n">
        <v>0</v>
      </c>
      <c r="J506" s="278" t="n">
        <f aca="false">E506+H506+I506</f>
        <v>0</v>
      </c>
      <c r="K506" s="204"/>
      <c r="L506" s="279" t="n">
        <v>1</v>
      </c>
      <c r="M506" s="280" t="n">
        <f aca="false">1-L506</f>
        <v>0</v>
      </c>
      <c r="N506" s="281"/>
      <c r="O506" s="282"/>
      <c r="P506" s="282"/>
      <c r="Q506" s="282"/>
      <c r="R506" s="282"/>
      <c r="S506" s="282"/>
      <c r="T506" s="282"/>
      <c r="U506" s="282"/>
      <c r="V506" s="282"/>
      <c r="W506" s="282"/>
      <c r="X506" s="282"/>
      <c r="Y506" s="282"/>
      <c r="Z506" s="282"/>
      <c r="AA506" s="283"/>
      <c r="AB506" s="284" t="n">
        <f aca="false">IFERROR(($J506*O506)*$L506, "")</f>
        <v>0</v>
      </c>
      <c r="AC506" s="284" t="n">
        <f aca="false">IFERROR(($J506*P506)*$L506, "")</f>
        <v>0</v>
      </c>
      <c r="AD506" s="284" t="n">
        <f aca="false">IFERROR(($J506*Q506)*$L506, "")</f>
        <v>0</v>
      </c>
      <c r="AE506" s="284" t="n">
        <f aca="false">IFERROR(($J506*R506)*$L506, "")</f>
        <v>0</v>
      </c>
      <c r="AF506" s="284" t="n">
        <f aca="false">IFERROR(($J506*S506)*$L506, "")</f>
        <v>0</v>
      </c>
      <c r="AG506" s="284" t="n">
        <f aca="false">IFERROR(($J506*T506)*$L506, "")</f>
        <v>0</v>
      </c>
      <c r="AH506" s="284" t="n">
        <f aca="false">IFERROR(($J506*U506)*$L506, "")</f>
        <v>0</v>
      </c>
      <c r="AI506" s="284" t="n">
        <f aca="false">IFERROR(($J506*V506)*$L506, "")</f>
        <v>0</v>
      </c>
      <c r="AJ506" s="284" t="n">
        <f aca="false">IFERROR(($J506*W506)*$L506, "")</f>
        <v>0</v>
      </c>
      <c r="AK506" s="284" t="n">
        <f aca="false">IFERROR(($J506*X506)*$L506, "")</f>
        <v>0</v>
      </c>
      <c r="AL506" s="284" t="n">
        <f aca="false">IFERROR(($J506*Y506)*$L506, "")</f>
        <v>0</v>
      </c>
      <c r="AM506" s="285" t="n">
        <f aca="false">IFERROR(($J506*Z506)*$L506, "")</f>
        <v>0</v>
      </c>
      <c r="AN506" s="286" t="n">
        <f aca="false">IFERROR(SUMIF($AB$4:$AM$4, "RDEC", AB506:AM506), "")</f>
        <v>0</v>
      </c>
      <c r="AO506" s="286" t="n">
        <f aca="false">IFERROR(SUMIF($AB$4:$AM$4, "SME", AB506:AM506), "")</f>
        <v>0</v>
      </c>
      <c r="AP506" s="286" t="n">
        <f aca="false">IFERROR(SUMIF($AB$4:$AM$4, "De Minimis", AB506:AM506), "")</f>
        <v>0</v>
      </c>
      <c r="AQ506" s="283"/>
      <c r="AR506" s="284" t="n">
        <f aca="false">IFERROR(($J506*O506)*$M506, "")</f>
        <v>0</v>
      </c>
      <c r="AS506" s="284" t="n">
        <f aca="false">IFERROR(($J506*P506)*$M506, "")</f>
        <v>0</v>
      </c>
      <c r="AT506" s="284" t="n">
        <f aca="false">IFERROR(($J506*Q506)*$M506, "")</f>
        <v>0</v>
      </c>
      <c r="AU506" s="284" t="n">
        <f aca="false">IFERROR(($J506*R506)*$M506, "")</f>
        <v>0</v>
      </c>
      <c r="AV506" s="284" t="n">
        <f aca="false">IFERROR(($J506*S506)*$M506, "")</f>
        <v>0</v>
      </c>
      <c r="AW506" s="284" t="n">
        <f aca="false">IFERROR(($J506*T506)*$M506, "")</f>
        <v>0</v>
      </c>
      <c r="AX506" s="284" t="n">
        <f aca="false">IFERROR(($J506*U506)*$M506, "")</f>
        <v>0</v>
      </c>
      <c r="AY506" s="284" t="n">
        <f aca="false">IFERROR(($J506*V506)*$M506, "")</f>
        <v>0</v>
      </c>
      <c r="AZ506" s="284" t="n">
        <f aca="false">IFERROR(($J506*W506)*$M506, "")</f>
        <v>0</v>
      </c>
      <c r="BA506" s="284" t="n">
        <f aca="false">IFERROR(($J506*X506)*$M506, "")</f>
        <v>0</v>
      </c>
      <c r="BB506" s="284" t="n">
        <f aca="false">IFERROR(($J506*Y506)*$M506, "")</f>
        <v>0</v>
      </c>
      <c r="BC506" s="285" t="n">
        <f aca="false">IFERROR(($J506*Z506)*$M506, "")</f>
        <v>0</v>
      </c>
      <c r="BD506" s="286" t="n">
        <f aca="false">IFERROR(SUMIF($AB$4:$AM$4, "RDEC", AR506:BC506), "")</f>
        <v>0</v>
      </c>
      <c r="BE506" s="286" t="n">
        <f aca="false">IFERROR(SUMIF($AB$4:$AM$4, "SME", AR506:BC506), "")</f>
        <v>0</v>
      </c>
      <c r="BF506" s="286" t="n">
        <f aca="false">IFERROR(SUMIF($AB$4:$AM$4, "De Minimis", AR506:BC506), "")</f>
        <v>0</v>
      </c>
      <c r="BG506" s="287"/>
      <c r="BH506" s="288" t="str">
        <f aca="false">IF((SUM(O506:Z506)&gt;1),"ERROR","")</f>
        <v/>
      </c>
      <c r="BI506" s="287"/>
      <c r="BJ506" s="18" t="str">
        <f aca="false">IF(C492&gt;0, C492, "")</f>
        <v/>
      </c>
      <c r="BL506" s="200"/>
      <c r="BM506" s="200"/>
      <c r="BN506" s="200"/>
    </row>
    <row r="507" customFormat="false" ht="15" hidden="false" customHeight="true" outlineLevel="0" collapsed="false">
      <c r="B507" s="275"/>
      <c r="D507" s="276" t="n">
        <f aca="false">D491</f>
        <v>45383</v>
      </c>
      <c r="E507" s="277" t="n">
        <v>0</v>
      </c>
      <c r="F507" s="277" t="n">
        <v>0</v>
      </c>
      <c r="G507" s="277" t="n">
        <v>0</v>
      </c>
      <c r="H507" s="277" t="n">
        <v>0</v>
      </c>
      <c r="I507" s="277" t="n">
        <v>0</v>
      </c>
      <c r="J507" s="278" t="n">
        <f aca="false">E507+H507+I507</f>
        <v>0</v>
      </c>
      <c r="K507" s="204"/>
      <c r="L507" s="279" t="n">
        <v>1</v>
      </c>
      <c r="M507" s="280" t="n">
        <f aca="false">1-L507</f>
        <v>0</v>
      </c>
      <c r="N507" s="281"/>
      <c r="O507" s="282"/>
      <c r="P507" s="282"/>
      <c r="Q507" s="282"/>
      <c r="R507" s="282"/>
      <c r="S507" s="282"/>
      <c r="T507" s="282"/>
      <c r="U507" s="282"/>
      <c r="V507" s="282"/>
      <c r="W507" s="282"/>
      <c r="X507" s="282"/>
      <c r="Y507" s="282"/>
      <c r="Z507" s="282"/>
      <c r="AA507" s="283"/>
      <c r="AB507" s="284" t="n">
        <f aca="false">IFERROR(($J507*O507)*$L507, "")</f>
        <v>0</v>
      </c>
      <c r="AC507" s="284" t="n">
        <f aca="false">IFERROR(($J507*P507)*$L507, "")</f>
        <v>0</v>
      </c>
      <c r="AD507" s="284" t="n">
        <f aca="false">IFERROR(($J507*Q507)*$L507, "")</f>
        <v>0</v>
      </c>
      <c r="AE507" s="284" t="n">
        <f aca="false">IFERROR(($J507*R507)*$L507, "")</f>
        <v>0</v>
      </c>
      <c r="AF507" s="284" t="n">
        <f aca="false">IFERROR(($J507*S507)*$L507, "")</f>
        <v>0</v>
      </c>
      <c r="AG507" s="284" t="n">
        <f aca="false">IFERROR(($J507*T507)*$L507, "")</f>
        <v>0</v>
      </c>
      <c r="AH507" s="284" t="n">
        <f aca="false">IFERROR(($J507*U507)*$L507, "")</f>
        <v>0</v>
      </c>
      <c r="AI507" s="284" t="n">
        <f aca="false">IFERROR(($J507*V507)*$L507, "")</f>
        <v>0</v>
      </c>
      <c r="AJ507" s="284" t="n">
        <f aca="false">IFERROR(($J507*W507)*$L507, "")</f>
        <v>0</v>
      </c>
      <c r="AK507" s="284" t="n">
        <f aca="false">IFERROR(($J507*X507)*$L507, "")</f>
        <v>0</v>
      </c>
      <c r="AL507" s="284" t="n">
        <f aca="false">IFERROR(($J507*Y507)*$L507, "")</f>
        <v>0</v>
      </c>
      <c r="AM507" s="285" t="n">
        <f aca="false">IFERROR(($J507*Z507)*$L507, "")</f>
        <v>0</v>
      </c>
      <c r="AN507" s="286" t="n">
        <f aca="false">IFERROR(SUMIF($AB$4:$AM$4, "RDEC", AB507:AM507), "")</f>
        <v>0</v>
      </c>
      <c r="AO507" s="286" t="n">
        <f aca="false">IFERROR(SUMIF($AB$4:$AM$4, "SME", AB507:AM507), "")</f>
        <v>0</v>
      </c>
      <c r="AP507" s="286" t="n">
        <f aca="false">IFERROR(SUMIF($AB$4:$AM$4, "De Minimis", AB507:AM507), "")</f>
        <v>0</v>
      </c>
      <c r="AQ507" s="283"/>
      <c r="AR507" s="284" t="n">
        <f aca="false">IFERROR(($J507*O507)*$M507, "")</f>
        <v>0</v>
      </c>
      <c r="AS507" s="284" t="n">
        <f aca="false">IFERROR(($J507*P507)*$M507, "")</f>
        <v>0</v>
      </c>
      <c r="AT507" s="284" t="n">
        <f aca="false">IFERROR(($J507*Q507)*$M507, "")</f>
        <v>0</v>
      </c>
      <c r="AU507" s="284" t="n">
        <f aca="false">IFERROR(($J507*R507)*$M507, "")</f>
        <v>0</v>
      </c>
      <c r="AV507" s="284" t="n">
        <f aca="false">IFERROR(($J507*S507)*$M507, "")</f>
        <v>0</v>
      </c>
      <c r="AW507" s="284" t="n">
        <f aca="false">IFERROR(($J507*T507)*$M507, "")</f>
        <v>0</v>
      </c>
      <c r="AX507" s="284" t="n">
        <f aca="false">IFERROR(($J507*U507)*$M507, "")</f>
        <v>0</v>
      </c>
      <c r="AY507" s="284" t="n">
        <f aca="false">IFERROR(($J507*V507)*$M507, "")</f>
        <v>0</v>
      </c>
      <c r="AZ507" s="284" t="n">
        <f aca="false">IFERROR(($J507*W507)*$M507, "")</f>
        <v>0</v>
      </c>
      <c r="BA507" s="284" t="n">
        <f aca="false">IFERROR(($J507*X507)*$M507, "")</f>
        <v>0</v>
      </c>
      <c r="BB507" s="284" t="n">
        <f aca="false">IFERROR(($J507*Y507)*$M507, "")</f>
        <v>0</v>
      </c>
      <c r="BC507" s="285" t="n">
        <f aca="false">IFERROR(($J507*Z507)*$M507, "")</f>
        <v>0</v>
      </c>
      <c r="BD507" s="286" t="n">
        <f aca="false">IFERROR(SUMIF($AB$4:$AM$4, "RDEC", AR507:BC507), "")</f>
        <v>0</v>
      </c>
      <c r="BE507" s="286" t="n">
        <f aca="false">IFERROR(SUMIF($AB$4:$AM$4, "SME", AR507:BC507), "")</f>
        <v>0</v>
      </c>
      <c r="BF507" s="286" t="n">
        <f aca="false">IFERROR(SUMIF($AB$4:$AM$4, "De Minimis", AR507:BC507), "")</f>
        <v>0</v>
      </c>
      <c r="BG507" s="287"/>
      <c r="BH507" s="288" t="str">
        <f aca="false">IF((SUM(O507:Z507)&gt;1),"ERROR","")</f>
        <v/>
      </c>
      <c r="BI507" s="287"/>
      <c r="BJ507" s="18" t="str">
        <f aca="false">IF(C493&gt;0, C493, "")</f>
        <v/>
      </c>
      <c r="BL507" s="200"/>
      <c r="BM507" s="200"/>
      <c r="BN507" s="200"/>
    </row>
    <row r="508" customFormat="false" ht="15" hidden="false" customHeight="true" outlineLevel="0" collapsed="false">
      <c r="B508" s="275"/>
      <c r="D508" s="276" t="n">
        <f aca="false">D492</f>
        <v>45413</v>
      </c>
      <c r="E508" s="277" t="n">
        <v>0</v>
      </c>
      <c r="F508" s="277" t="n">
        <v>0</v>
      </c>
      <c r="G508" s="277" t="n">
        <v>0</v>
      </c>
      <c r="H508" s="277" t="n">
        <v>0</v>
      </c>
      <c r="I508" s="277" t="n">
        <v>0</v>
      </c>
      <c r="J508" s="278" t="n">
        <f aca="false">E508+H508+I508</f>
        <v>0</v>
      </c>
      <c r="K508" s="204"/>
      <c r="L508" s="279" t="n">
        <v>1</v>
      </c>
      <c r="M508" s="280" t="n">
        <f aca="false">1-L508</f>
        <v>0</v>
      </c>
      <c r="N508" s="281"/>
      <c r="O508" s="282"/>
      <c r="P508" s="282"/>
      <c r="Q508" s="282"/>
      <c r="R508" s="282"/>
      <c r="S508" s="282"/>
      <c r="T508" s="282"/>
      <c r="U508" s="282"/>
      <c r="V508" s="282"/>
      <c r="W508" s="282"/>
      <c r="X508" s="282"/>
      <c r="Y508" s="282"/>
      <c r="Z508" s="282"/>
      <c r="AA508" s="283"/>
      <c r="AB508" s="284" t="n">
        <f aca="false">IFERROR(($J508*O508)*$L508, "")</f>
        <v>0</v>
      </c>
      <c r="AC508" s="284" t="n">
        <f aca="false">IFERROR(($J508*P508)*$L508, "")</f>
        <v>0</v>
      </c>
      <c r="AD508" s="284" t="n">
        <f aca="false">IFERROR(($J508*Q508)*$L508, "")</f>
        <v>0</v>
      </c>
      <c r="AE508" s="284" t="n">
        <f aca="false">IFERROR(($J508*R508)*$L508, "")</f>
        <v>0</v>
      </c>
      <c r="AF508" s="284" t="n">
        <f aca="false">IFERROR(($J508*S508)*$L508, "")</f>
        <v>0</v>
      </c>
      <c r="AG508" s="284" t="n">
        <f aca="false">IFERROR(($J508*T508)*$L508, "")</f>
        <v>0</v>
      </c>
      <c r="AH508" s="284" t="n">
        <f aca="false">IFERROR(($J508*U508)*$L508, "")</f>
        <v>0</v>
      </c>
      <c r="AI508" s="284" t="n">
        <f aca="false">IFERROR(($J508*V508)*$L508, "")</f>
        <v>0</v>
      </c>
      <c r="AJ508" s="284" t="n">
        <f aca="false">IFERROR(($J508*W508)*$L508, "")</f>
        <v>0</v>
      </c>
      <c r="AK508" s="284" t="n">
        <f aca="false">IFERROR(($J508*X508)*$L508, "")</f>
        <v>0</v>
      </c>
      <c r="AL508" s="284" t="n">
        <f aca="false">IFERROR(($J508*Y508)*$L508, "")</f>
        <v>0</v>
      </c>
      <c r="AM508" s="285" t="n">
        <f aca="false">IFERROR(($J508*Z508)*$L508, "")</f>
        <v>0</v>
      </c>
      <c r="AN508" s="286" t="n">
        <f aca="false">IFERROR(SUMIF($AB$4:$AM$4, "RDEC", AB508:AM508), "")</f>
        <v>0</v>
      </c>
      <c r="AO508" s="286" t="n">
        <f aca="false">IFERROR(SUMIF($AB$4:$AM$4, "SME", AB508:AM508), "")</f>
        <v>0</v>
      </c>
      <c r="AP508" s="286" t="n">
        <f aca="false">IFERROR(SUMIF($AB$4:$AM$4, "De Minimis", AB508:AM508), "")</f>
        <v>0</v>
      </c>
      <c r="AQ508" s="283"/>
      <c r="AR508" s="284" t="n">
        <f aca="false">IFERROR(($J508*O508)*$M508, "")</f>
        <v>0</v>
      </c>
      <c r="AS508" s="284" t="n">
        <f aca="false">IFERROR(($J508*P508)*$M508, "")</f>
        <v>0</v>
      </c>
      <c r="AT508" s="284" t="n">
        <f aca="false">IFERROR(($J508*Q508)*$M508, "")</f>
        <v>0</v>
      </c>
      <c r="AU508" s="284" t="n">
        <f aca="false">IFERROR(($J508*R508)*$M508, "")</f>
        <v>0</v>
      </c>
      <c r="AV508" s="284" t="n">
        <f aca="false">IFERROR(($J508*S508)*$M508, "")</f>
        <v>0</v>
      </c>
      <c r="AW508" s="284" t="n">
        <f aca="false">IFERROR(($J508*T508)*$M508, "")</f>
        <v>0</v>
      </c>
      <c r="AX508" s="284" t="n">
        <f aca="false">IFERROR(($J508*U508)*$M508, "")</f>
        <v>0</v>
      </c>
      <c r="AY508" s="284" t="n">
        <f aca="false">IFERROR(($J508*V508)*$M508, "")</f>
        <v>0</v>
      </c>
      <c r="AZ508" s="284" t="n">
        <f aca="false">IFERROR(($J508*W508)*$M508, "")</f>
        <v>0</v>
      </c>
      <c r="BA508" s="284" t="n">
        <f aca="false">IFERROR(($J508*X508)*$M508, "")</f>
        <v>0</v>
      </c>
      <c r="BB508" s="284" t="n">
        <f aca="false">IFERROR(($J508*Y508)*$M508, "")</f>
        <v>0</v>
      </c>
      <c r="BC508" s="285" t="n">
        <f aca="false">IFERROR(($J508*Z508)*$M508, "")</f>
        <v>0</v>
      </c>
      <c r="BD508" s="286" t="n">
        <f aca="false">IFERROR(SUMIF($AB$4:$AM$4, "RDEC", AR508:BC508), "")</f>
        <v>0</v>
      </c>
      <c r="BE508" s="286" t="n">
        <f aca="false">IFERROR(SUMIF($AB$4:$AM$4, "SME", AR508:BC508), "")</f>
        <v>0</v>
      </c>
      <c r="BF508" s="286" t="n">
        <f aca="false">IFERROR(SUMIF($AB$4:$AM$4, "De Minimis", AR508:BC508), "")</f>
        <v>0</v>
      </c>
      <c r="BG508" s="287"/>
      <c r="BH508" s="288" t="str">
        <f aca="false">IF((SUM(O508:Z508)&gt;1),"ERROR","")</f>
        <v/>
      </c>
      <c r="BI508" s="287"/>
      <c r="BJ508" s="18" t="str">
        <f aca="false">IF(C494&gt;0, C494, "")</f>
        <v/>
      </c>
      <c r="BL508" s="200"/>
      <c r="BM508" s="200"/>
      <c r="BN508" s="200"/>
    </row>
    <row r="509" customFormat="false" ht="15" hidden="false" customHeight="true" outlineLevel="0" collapsed="false">
      <c r="B509" s="275"/>
      <c r="D509" s="276" t="n">
        <f aca="false">D493</f>
        <v>45444</v>
      </c>
      <c r="E509" s="277" t="n">
        <v>0</v>
      </c>
      <c r="F509" s="277" t="n">
        <v>0</v>
      </c>
      <c r="G509" s="277" t="n">
        <v>0</v>
      </c>
      <c r="H509" s="277" t="n">
        <v>0</v>
      </c>
      <c r="I509" s="277" t="n">
        <v>0</v>
      </c>
      <c r="J509" s="278" t="n">
        <f aca="false">E509+H509+I509</f>
        <v>0</v>
      </c>
      <c r="K509" s="204"/>
      <c r="L509" s="279" t="n">
        <v>1</v>
      </c>
      <c r="M509" s="280" t="n">
        <f aca="false">1-L509</f>
        <v>0</v>
      </c>
      <c r="N509" s="281"/>
      <c r="O509" s="282"/>
      <c r="P509" s="282"/>
      <c r="Q509" s="282"/>
      <c r="R509" s="282"/>
      <c r="S509" s="282"/>
      <c r="T509" s="282"/>
      <c r="U509" s="282"/>
      <c r="V509" s="282"/>
      <c r="W509" s="282"/>
      <c r="X509" s="282"/>
      <c r="Y509" s="282"/>
      <c r="Z509" s="282"/>
      <c r="AA509" s="283"/>
      <c r="AB509" s="284" t="n">
        <f aca="false">IFERROR(($J509*O509)*$L509, "")</f>
        <v>0</v>
      </c>
      <c r="AC509" s="284" t="n">
        <f aca="false">IFERROR(($J509*P509)*$L509, "")</f>
        <v>0</v>
      </c>
      <c r="AD509" s="284" t="n">
        <f aca="false">IFERROR(($J509*Q509)*$L509, "")</f>
        <v>0</v>
      </c>
      <c r="AE509" s="284" t="n">
        <f aca="false">IFERROR(($J509*R509)*$L509, "")</f>
        <v>0</v>
      </c>
      <c r="AF509" s="284" t="n">
        <f aca="false">IFERROR(($J509*S509)*$L509, "")</f>
        <v>0</v>
      </c>
      <c r="AG509" s="284" t="n">
        <f aca="false">IFERROR(($J509*T509)*$L509, "")</f>
        <v>0</v>
      </c>
      <c r="AH509" s="284" t="n">
        <f aca="false">IFERROR(($J509*U509)*$L509, "")</f>
        <v>0</v>
      </c>
      <c r="AI509" s="284" t="n">
        <f aca="false">IFERROR(($J509*V509)*$L509, "")</f>
        <v>0</v>
      </c>
      <c r="AJ509" s="284" t="n">
        <f aca="false">IFERROR(($J509*W509)*$L509, "")</f>
        <v>0</v>
      </c>
      <c r="AK509" s="284" t="n">
        <f aca="false">IFERROR(($J509*X509)*$L509, "")</f>
        <v>0</v>
      </c>
      <c r="AL509" s="284" t="n">
        <f aca="false">IFERROR(($J509*Y509)*$L509, "")</f>
        <v>0</v>
      </c>
      <c r="AM509" s="285" t="n">
        <f aca="false">IFERROR(($J509*Z509)*$L509, "")</f>
        <v>0</v>
      </c>
      <c r="AN509" s="286" t="n">
        <f aca="false">IFERROR(SUMIF($AB$4:$AM$4, "RDEC", AB509:AM509), "")</f>
        <v>0</v>
      </c>
      <c r="AO509" s="286" t="n">
        <f aca="false">IFERROR(SUMIF($AB$4:$AM$4, "SME", AB509:AM509), "")</f>
        <v>0</v>
      </c>
      <c r="AP509" s="286" t="n">
        <f aca="false">IFERROR(SUMIF($AB$4:$AM$4, "De Minimis", AB509:AM509), "")</f>
        <v>0</v>
      </c>
      <c r="AQ509" s="283"/>
      <c r="AR509" s="284" t="n">
        <f aca="false">IFERROR(($J509*O509)*$M509, "")</f>
        <v>0</v>
      </c>
      <c r="AS509" s="284" t="n">
        <f aca="false">IFERROR(($J509*P509)*$M509, "")</f>
        <v>0</v>
      </c>
      <c r="AT509" s="284" t="n">
        <f aca="false">IFERROR(($J509*Q509)*$M509, "")</f>
        <v>0</v>
      </c>
      <c r="AU509" s="284" t="n">
        <f aca="false">IFERROR(($J509*R509)*$M509, "")</f>
        <v>0</v>
      </c>
      <c r="AV509" s="284" t="n">
        <f aca="false">IFERROR(($J509*S509)*$M509, "")</f>
        <v>0</v>
      </c>
      <c r="AW509" s="284" t="n">
        <f aca="false">IFERROR(($J509*T509)*$M509, "")</f>
        <v>0</v>
      </c>
      <c r="AX509" s="284" t="n">
        <f aca="false">IFERROR(($J509*U509)*$M509, "")</f>
        <v>0</v>
      </c>
      <c r="AY509" s="284" t="n">
        <f aca="false">IFERROR(($J509*V509)*$M509, "")</f>
        <v>0</v>
      </c>
      <c r="AZ509" s="284" t="n">
        <f aca="false">IFERROR(($J509*W509)*$M509, "")</f>
        <v>0</v>
      </c>
      <c r="BA509" s="284" t="n">
        <f aca="false">IFERROR(($J509*X509)*$M509, "")</f>
        <v>0</v>
      </c>
      <c r="BB509" s="284" t="n">
        <f aca="false">IFERROR(($J509*Y509)*$M509, "")</f>
        <v>0</v>
      </c>
      <c r="BC509" s="285" t="n">
        <f aca="false">IFERROR(($J509*Z509)*$M509, "")</f>
        <v>0</v>
      </c>
      <c r="BD509" s="286" t="n">
        <f aca="false">IFERROR(SUMIF($AB$4:$AM$4, "RDEC", AR509:BC509), "")</f>
        <v>0</v>
      </c>
      <c r="BE509" s="286" t="n">
        <f aca="false">IFERROR(SUMIF($AB$4:$AM$4, "SME", AR509:BC509), "")</f>
        <v>0</v>
      </c>
      <c r="BF509" s="286" t="n">
        <f aca="false">IFERROR(SUMIF($AB$4:$AM$4, "De Minimis", AR509:BC509), "")</f>
        <v>0</v>
      </c>
      <c r="BG509" s="287"/>
      <c r="BH509" s="288" t="str">
        <f aca="false">IF((SUM(O509:Z509)&gt;1),"ERROR","")</f>
        <v/>
      </c>
      <c r="BI509" s="287"/>
      <c r="BJ509" s="18" t="str">
        <f aca="false">IF(C495&gt;0, C495, "")</f>
        <v/>
      </c>
      <c r="BL509" s="200"/>
      <c r="BM509" s="200"/>
      <c r="BN509" s="200"/>
    </row>
    <row r="510" customFormat="false" ht="15" hidden="false" customHeight="true" outlineLevel="0" collapsed="false">
      <c r="B510" s="275"/>
      <c r="D510" s="276" t="n">
        <f aca="false">D494</f>
        <v>45474</v>
      </c>
      <c r="E510" s="277" t="n">
        <v>0</v>
      </c>
      <c r="F510" s="277" t="n">
        <v>0</v>
      </c>
      <c r="G510" s="277" t="n">
        <v>0</v>
      </c>
      <c r="H510" s="277" t="n">
        <v>0</v>
      </c>
      <c r="I510" s="277" t="n">
        <v>0</v>
      </c>
      <c r="J510" s="278" t="n">
        <f aca="false">E510+H510+I510</f>
        <v>0</v>
      </c>
      <c r="K510" s="204"/>
      <c r="L510" s="279" t="n">
        <v>1</v>
      </c>
      <c r="M510" s="280" t="n">
        <f aca="false">1-L510</f>
        <v>0</v>
      </c>
      <c r="N510" s="281"/>
      <c r="O510" s="282"/>
      <c r="P510" s="282"/>
      <c r="Q510" s="282"/>
      <c r="R510" s="282"/>
      <c r="S510" s="282"/>
      <c r="T510" s="282"/>
      <c r="U510" s="282"/>
      <c r="V510" s="282"/>
      <c r="W510" s="282"/>
      <c r="X510" s="282"/>
      <c r="Y510" s="282"/>
      <c r="Z510" s="282"/>
      <c r="AA510" s="283"/>
      <c r="AB510" s="284" t="n">
        <f aca="false">IFERROR(($J510*O510)*$L510, "")</f>
        <v>0</v>
      </c>
      <c r="AC510" s="284" t="n">
        <f aca="false">IFERROR(($J510*P510)*$L510, "")</f>
        <v>0</v>
      </c>
      <c r="AD510" s="284" t="n">
        <f aca="false">IFERROR(($J510*Q510)*$L510, "")</f>
        <v>0</v>
      </c>
      <c r="AE510" s="284" t="n">
        <f aca="false">IFERROR(($J510*R510)*$L510, "")</f>
        <v>0</v>
      </c>
      <c r="AF510" s="284" t="n">
        <f aca="false">IFERROR(($J510*S510)*$L510, "")</f>
        <v>0</v>
      </c>
      <c r="AG510" s="284" t="n">
        <f aca="false">IFERROR(($J510*T510)*$L510, "")</f>
        <v>0</v>
      </c>
      <c r="AH510" s="284" t="n">
        <f aca="false">IFERROR(($J510*U510)*$L510, "")</f>
        <v>0</v>
      </c>
      <c r="AI510" s="284" t="n">
        <f aca="false">IFERROR(($J510*V510)*$L510, "")</f>
        <v>0</v>
      </c>
      <c r="AJ510" s="284" t="n">
        <f aca="false">IFERROR(($J510*W510)*$L510, "")</f>
        <v>0</v>
      </c>
      <c r="AK510" s="284" t="n">
        <f aca="false">IFERROR(($J510*X510)*$L510, "")</f>
        <v>0</v>
      </c>
      <c r="AL510" s="284" t="n">
        <f aca="false">IFERROR(($J510*Y510)*$L510, "")</f>
        <v>0</v>
      </c>
      <c r="AM510" s="285" t="n">
        <f aca="false">IFERROR(($J510*Z510)*$L510, "")</f>
        <v>0</v>
      </c>
      <c r="AN510" s="286" t="n">
        <f aca="false">IFERROR(SUMIF($AB$4:$AM$4, "RDEC", AB510:AM510), "")</f>
        <v>0</v>
      </c>
      <c r="AO510" s="286" t="n">
        <f aca="false">IFERROR(SUMIF($AB$4:$AM$4, "SME", AB510:AM510), "")</f>
        <v>0</v>
      </c>
      <c r="AP510" s="286" t="n">
        <f aca="false">IFERROR(SUMIF($AB$4:$AM$4, "De Minimis", AB510:AM510), "")</f>
        <v>0</v>
      </c>
      <c r="AQ510" s="283"/>
      <c r="AR510" s="284" t="n">
        <f aca="false">IFERROR(($J510*O510)*$M510, "")</f>
        <v>0</v>
      </c>
      <c r="AS510" s="284" t="n">
        <f aca="false">IFERROR(($J510*P510)*$M510, "")</f>
        <v>0</v>
      </c>
      <c r="AT510" s="284" t="n">
        <f aca="false">IFERROR(($J510*Q510)*$M510, "")</f>
        <v>0</v>
      </c>
      <c r="AU510" s="284" t="n">
        <f aca="false">IFERROR(($J510*R510)*$M510, "")</f>
        <v>0</v>
      </c>
      <c r="AV510" s="284" t="n">
        <f aca="false">IFERROR(($J510*S510)*$M510, "")</f>
        <v>0</v>
      </c>
      <c r="AW510" s="284" t="n">
        <f aca="false">IFERROR(($J510*T510)*$M510, "")</f>
        <v>0</v>
      </c>
      <c r="AX510" s="284" t="n">
        <f aca="false">IFERROR(($J510*U510)*$M510, "")</f>
        <v>0</v>
      </c>
      <c r="AY510" s="284" t="n">
        <f aca="false">IFERROR(($J510*V510)*$M510, "")</f>
        <v>0</v>
      </c>
      <c r="AZ510" s="284" t="n">
        <f aca="false">IFERROR(($J510*W510)*$M510, "")</f>
        <v>0</v>
      </c>
      <c r="BA510" s="284" t="n">
        <f aca="false">IFERROR(($J510*X510)*$M510, "")</f>
        <v>0</v>
      </c>
      <c r="BB510" s="284" t="n">
        <f aca="false">IFERROR(($J510*Y510)*$M510, "")</f>
        <v>0</v>
      </c>
      <c r="BC510" s="285" t="n">
        <f aca="false">IFERROR(($J510*Z510)*$M510, "")</f>
        <v>0</v>
      </c>
      <c r="BD510" s="286" t="n">
        <f aca="false">IFERROR(SUMIF($AB$4:$AM$4, "RDEC", AR510:BC510), "")</f>
        <v>0</v>
      </c>
      <c r="BE510" s="286" t="n">
        <f aca="false">IFERROR(SUMIF($AB$4:$AM$4, "SME", AR510:BC510), "")</f>
        <v>0</v>
      </c>
      <c r="BF510" s="286" t="n">
        <f aca="false">IFERROR(SUMIF($AB$4:$AM$4, "De Minimis", AR510:BC510), "")</f>
        <v>0</v>
      </c>
      <c r="BG510" s="287"/>
      <c r="BH510" s="288" t="str">
        <f aca="false">IF((SUM(O510:Z510)&gt;1),"ERROR","")</f>
        <v/>
      </c>
      <c r="BI510" s="287"/>
      <c r="BJ510" s="18" t="str">
        <f aca="false">IF(C496&gt;0, C496, "")</f>
        <v/>
      </c>
      <c r="BL510" s="200"/>
      <c r="BM510" s="200"/>
      <c r="BN510" s="200"/>
    </row>
    <row r="511" customFormat="false" ht="15" hidden="false" customHeight="true" outlineLevel="0" collapsed="false">
      <c r="B511" s="275"/>
      <c r="D511" s="276" t="n">
        <f aca="false">D495</f>
        <v>45505</v>
      </c>
      <c r="E511" s="277" t="n">
        <v>0</v>
      </c>
      <c r="F511" s="277" t="n">
        <v>0</v>
      </c>
      <c r="G511" s="277" t="n">
        <v>0</v>
      </c>
      <c r="H511" s="277" t="n">
        <v>0</v>
      </c>
      <c r="I511" s="277" t="n">
        <v>0</v>
      </c>
      <c r="J511" s="278" t="n">
        <f aca="false">E511+H511+I511</f>
        <v>0</v>
      </c>
      <c r="K511" s="204"/>
      <c r="L511" s="279" t="n">
        <v>1</v>
      </c>
      <c r="M511" s="280" t="n">
        <f aca="false">1-L511</f>
        <v>0</v>
      </c>
      <c r="N511" s="281"/>
      <c r="O511" s="282"/>
      <c r="P511" s="282"/>
      <c r="Q511" s="282"/>
      <c r="R511" s="282"/>
      <c r="S511" s="282"/>
      <c r="T511" s="282"/>
      <c r="U511" s="282"/>
      <c r="V511" s="282"/>
      <c r="W511" s="282"/>
      <c r="X511" s="282"/>
      <c r="Y511" s="282"/>
      <c r="Z511" s="282"/>
      <c r="AA511" s="283"/>
      <c r="AB511" s="284" t="n">
        <f aca="false">IFERROR(($J511*O511)*$L511, "")</f>
        <v>0</v>
      </c>
      <c r="AC511" s="284" t="n">
        <f aca="false">IFERROR(($J511*P511)*$L511, "")</f>
        <v>0</v>
      </c>
      <c r="AD511" s="284" t="n">
        <f aca="false">IFERROR(($J511*Q511)*$L511, "")</f>
        <v>0</v>
      </c>
      <c r="AE511" s="284" t="n">
        <f aca="false">IFERROR(($J511*R511)*$L511, "")</f>
        <v>0</v>
      </c>
      <c r="AF511" s="284" t="n">
        <f aca="false">IFERROR(($J511*S511)*$L511, "")</f>
        <v>0</v>
      </c>
      <c r="AG511" s="284" t="n">
        <f aca="false">IFERROR(($J511*T511)*$L511, "")</f>
        <v>0</v>
      </c>
      <c r="AH511" s="284" t="n">
        <f aca="false">IFERROR(($J511*U511)*$L511, "")</f>
        <v>0</v>
      </c>
      <c r="AI511" s="284" t="n">
        <f aca="false">IFERROR(($J511*V511)*$L511, "")</f>
        <v>0</v>
      </c>
      <c r="AJ511" s="284" t="n">
        <f aca="false">IFERROR(($J511*W511)*$L511, "")</f>
        <v>0</v>
      </c>
      <c r="AK511" s="284" t="n">
        <f aca="false">IFERROR(($J511*X511)*$L511, "")</f>
        <v>0</v>
      </c>
      <c r="AL511" s="284" t="n">
        <f aca="false">IFERROR(($J511*Y511)*$L511, "")</f>
        <v>0</v>
      </c>
      <c r="AM511" s="285" t="n">
        <f aca="false">IFERROR(($J511*Z511)*$L511, "")</f>
        <v>0</v>
      </c>
      <c r="AN511" s="286" t="n">
        <f aca="false">IFERROR(SUMIF($AB$4:$AM$4, "RDEC", AB511:AM511), "")</f>
        <v>0</v>
      </c>
      <c r="AO511" s="286" t="n">
        <f aca="false">IFERROR(SUMIF($AB$4:$AM$4, "SME", AB511:AM511), "")</f>
        <v>0</v>
      </c>
      <c r="AP511" s="286" t="n">
        <f aca="false">IFERROR(SUMIF($AB$4:$AM$4, "De Minimis", AB511:AM511), "")</f>
        <v>0</v>
      </c>
      <c r="AQ511" s="283"/>
      <c r="AR511" s="284" t="n">
        <f aca="false">IFERROR(($J511*O511)*$M511, "")</f>
        <v>0</v>
      </c>
      <c r="AS511" s="284" t="n">
        <f aca="false">IFERROR(($J511*P511)*$M511, "")</f>
        <v>0</v>
      </c>
      <c r="AT511" s="284" t="n">
        <f aca="false">IFERROR(($J511*Q511)*$M511, "")</f>
        <v>0</v>
      </c>
      <c r="AU511" s="284" t="n">
        <f aca="false">IFERROR(($J511*R511)*$M511, "")</f>
        <v>0</v>
      </c>
      <c r="AV511" s="284" t="n">
        <f aca="false">IFERROR(($J511*S511)*$M511, "")</f>
        <v>0</v>
      </c>
      <c r="AW511" s="284" t="n">
        <f aca="false">IFERROR(($J511*T511)*$M511, "")</f>
        <v>0</v>
      </c>
      <c r="AX511" s="284" t="n">
        <f aca="false">IFERROR(($J511*U511)*$M511, "")</f>
        <v>0</v>
      </c>
      <c r="AY511" s="284" t="n">
        <f aca="false">IFERROR(($J511*V511)*$M511, "")</f>
        <v>0</v>
      </c>
      <c r="AZ511" s="284" t="n">
        <f aca="false">IFERROR(($J511*W511)*$M511, "")</f>
        <v>0</v>
      </c>
      <c r="BA511" s="284" t="n">
        <f aca="false">IFERROR(($J511*X511)*$M511, "")</f>
        <v>0</v>
      </c>
      <c r="BB511" s="284" t="n">
        <f aca="false">IFERROR(($J511*Y511)*$M511, "")</f>
        <v>0</v>
      </c>
      <c r="BC511" s="285" t="n">
        <f aca="false">IFERROR(($J511*Z511)*$M511, "")</f>
        <v>0</v>
      </c>
      <c r="BD511" s="286" t="n">
        <f aca="false">IFERROR(SUMIF($AB$4:$AM$4, "RDEC", AR511:BC511), "")</f>
        <v>0</v>
      </c>
      <c r="BE511" s="286" t="n">
        <f aca="false">IFERROR(SUMIF($AB$4:$AM$4, "SME", AR511:BC511), "")</f>
        <v>0</v>
      </c>
      <c r="BF511" s="286" t="n">
        <f aca="false">IFERROR(SUMIF($AB$4:$AM$4, "De Minimis", AR511:BC511), "")</f>
        <v>0</v>
      </c>
      <c r="BG511" s="287"/>
      <c r="BH511" s="288" t="str">
        <f aca="false">IF((SUM(O511:Z511)&gt;1),"ERROR","")</f>
        <v/>
      </c>
      <c r="BI511" s="287"/>
      <c r="BJ511" s="18" t="str">
        <f aca="false">IF(C497&gt;0, C497, "")</f>
        <v/>
      </c>
      <c r="BL511" s="200"/>
      <c r="BM511" s="200"/>
      <c r="BN511" s="200"/>
    </row>
    <row r="512" customFormat="false" ht="15" hidden="false" customHeight="true" outlineLevel="0" collapsed="false">
      <c r="B512" s="275"/>
      <c r="D512" s="276" t="n">
        <f aca="false">D496</f>
        <v>45536</v>
      </c>
      <c r="E512" s="277" t="n">
        <v>0</v>
      </c>
      <c r="F512" s="277" t="n">
        <v>0</v>
      </c>
      <c r="G512" s="277" t="n">
        <v>0</v>
      </c>
      <c r="H512" s="277" t="n">
        <v>0</v>
      </c>
      <c r="I512" s="277" t="n">
        <v>0</v>
      </c>
      <c r="J512" s="278" t="n">
        <f aca="false">E512+H512+I512</f>
        <v>0</v>
      </c>
      <c r="K512" s="204"/>
      <c r="L512" s="279" t="n">
        <v>1</v>
      </c>
      <c r="M512" s="280" t="n">
        <f aca="false">1-L512</f>
        <v>0</v>
      </c>
      <c r="N512" s="281"/>
      <c r="O512" s="282"/>
      <c r="P512" s="282"/>
      <c r="Q512" s="282"/>
      <c r="R512" s="282"/>
      <c r="S512" s="282"/>
      <c r="T512" s="282"/>
      <c r="U512" s="282"/>
      <c r="V512" s="282"/>
      <c r="W512" s="282"/>
      <c r="X512" s="282"/>
      <c r="Y512" s="282"/>
      <c r="Z512" s="282"/>
      <c r="AA512" s="283"/>
      <c r="AB512" s="284" t="n">
        <f aca="false">IFERROR(($J512*O512)*$L512, "")</f>
        <v>0</v>
      </c>
      <c r="AC512" s="284" t="n">
        <f aca="false">IFERROR(($J512*P512)*$L512, "")</f>
        <v>0</v>
      </c>
      <c r="AD512" s="284" t="n">
        <f aca="false">IFERROR(($J512*Q512)*$L512, "")</f>
        <v>0</v>
      </c>
      <c r="AE512" s="284" t="n">
        <f aca="false">IFERROR(($J512*R512)*$L512, "")</f>
        <v>0</v>
      </c>
      <c r="AF512" s="284" t="n">
        <f aca="false">IFERROR(($J512*S512)*$L512, "")</f>
        <v>0</v>
      </c>
      <c r="AG512" s="284" t="n">
        <f aca="false">IFERROR(($J512*T512)*$L512, "")</f>
        <v>0</v>
      </c>
      <c r="AH512" s="284" t="n">
        <f aca="false">IFERROR(($J512*U512)*$L512, "")</f>
        <v>0</v>
      </c>
      <c r="AI512" s="284" t="n">
        <f aca="false">IFERROR(($J512*V512)*$L512, "")</f>
        <v>0</v>
      </c>
      <c r="AJ512" s="284" t="n">
        <f aca="false">IFERROR(($J512*W512)*$L512, "")</f>
        <v>0</v>
      </c>
      <c r="AK512" s="284" t="n">
        <f aca="false">IFERROR(($J512*X512)*$L512, "")</f>
        <v>0</v>
      </c>
      <c r="AL512" s="284" t="n">
        <f aca="false">IFERROR(($J512*Y512)*$L512, "")</f>
        <v>0</v>
      </c>
      <c r="AM512" s="285" t="n">
        <f aca="false">IFERROR(($J512*Z512)*$L512, "")</f>
        <v>0</v>
      </c>
      <c r="AN512" s="286" t="n">
        <f aca="false">IFERROR(SUMIF($AB$4:$AM$4, "RDEC", AB512:AM512), "")</f>
        <v>0</v>
      </c>
      <c r="AO512" s="286" t="n">
        <f aca="false">IFERROR(SUMIF($AB$4:$AM$4, "SME", AB512:AM512), "")</f>
        <v>0</v>
      </c>
      <c r="AP512" s="286" t="n">
        <f aca="false">IFERROR(SUMIF($AB$4:$AM$4, "De Minimis", AB512:AM512), "")</f>
        <v>0</v>
      </c>
      <c r="AQ512" s="283"/>
      <c r="AR512" s="284" t="n">
        <f aca="false">IFERROR(($J512*O512)*$M512, "")</f>
        <v>0</v>
      </c>
      <c r="AS512" s="284" t="n">
        <f aca="false">IFERROR(($J512*P512)*$M512, "")</f>
        <v>0</v>
      </c>
      <c r="AT512" s="284" t="n">
        <f aca="false">IFERROR(($J512*Q512)*$M512, "")</f>
        <v>0</v>
      </c>
      <c r="AU512" s="284" t="n">
        <f aca="false">IFERROR(($J512*R512)*$M512, "")</f>
        <v>0</v>
      </c>
      <c r="AV512" s="284" t="n">
        <f aca="false">IFERROR(($J512*S512)*$M512, "")</f>
        <v>0</v>
      </c>
      <c r="AW512" s="284" t="n">
        <f aca="false">IFERROR(($J512*T512)*$M512, "")</f>
        <v>0</v>
      </c>
      <c r="AX512" s="284" t="n">
        <f aca="false">IFERROR(($J512*U512)*$M512, "")</f>
        <v>0</v>
      </c>
      <c r="AY512" s="284" t="n">
        <f aca="false">IFERROR(($J512*V512)*$M512, "")</f>
        <v>0</v>
      </c>
      <c r="AZ512" s="284" t="n">
        <f aca="false">IFERROR(($J512*W512)*$M512, "")</f>
        <v>0</v>
      </c>
      <c r="BA512" s="284" t="n">
        <f aca="false">IFERROR(($J512*X512)*$M512, "")</f>
        <v>0</v>
      </c>
      <c r="BB512" s="284" t="n">
        <f aca="false">IFERROR(($J512*Y512)*$M512, "")</f>
        <v>0</v>
      </c>
      <c r="BC512" s="285" t="n">
        <f aca="false">IFERROR(($J512*Z512)*$M512, "")</f>
        <v>0</v>
      </c>
      <c r="BD512" s="286" t="n">
        <f aca="false">IFERROR(SUMIF($AB$4:$AM$4, "RDEC", AR512:BC512), "")</f>
        <v>0</v>
      </c>
      <c r="BE512" s="286" t="n">
        <f aca="false">IFERROR(SUMIF($AB$4:$AM$4, "SME", AR512:BC512), "")</f>
        <v>0</v>
      </c>
      <c r="BF512" s="286" t="n">
        <f aca="false">IFERROR(SUMIF($AB$4:$AM$4, "De Minimis", AR512:BC512), "")</f>
        <v>0</v>
      </c>
      <c r="BG512" s="287"/>
      <c r="BH512" s="288" t="str">
        <f aca="false">IF((SUM(O512:Z512)&gt;1),"ERROR","")</f>
        <v/>
      </c>
      <c r="BI512" s="287"/>
      <c r="BJ512" s="18" t="str">
        <f aca="false">IF(C498&gt;0, C498, "")</f>
        <v/>
      </c>
      <c r="BL512" s="200"/>
      <c r="BM512" s="200"/>
      <c r="BN512" s="200"/>
    </row>
    <row r="513" customFormat="false" ht="15" hidden="false" customHeight="true" outlineLevel="0" collapsed="false">
      <c r="B513" s="275"/>
      <c r="D513" s="276" t="n">
        <f aca="false">D497</f>
        <v>45566</v>
      </c>
      <c r="E513" s="277" t="n">
        <v>0</v>
      </c>
      <c r="F513" s="277" t="n">
        <v>0</v>
      </c>
      <c r="G513" s="277" t="n">
        <v>0</v>
      </c>
      <c r="H513" s="277" t="n">
        <v>0</v>
      </c>
      <c r="I513" s="277" t="n">
        <v>0</v>
      </c>
      <c r="J513" s="278" t="n">
        <f aca="false">E513+H513+I513</f>
        <v>0</v>
      </c>
      <c r="K513" s="204"/>
      <c r="L513" s="279" t="n">
        <v>1</v>
      </c>
      <c r="M513" s="280" t="n">
        <f aca="false">1-L513</f>
        <v>0</v>
      </c>
      <c r="N513" s="281"/>
      <c r="O513" s="282"/>
      <c r="P513" s="282"/>
      <c r="Q513" s="282"/>
      <c r="R513" s="282"/>
      <c r="S513" s="282"/>
      <c r="T513" s="282"/>
      <c r="U513" s="282"/>
      <c r="V513" s="282"/>
      <c r="W513" s="282"/>
      <c r="X513" s="282"/>
      <c r="Y513" s="282"/>
      <c r="Z513" s="282"/>
      <c r="AA513" s="283"/>
      <c r="AB513" s="284" t="n">
        <f aca="false">IFERROR(($J513*O513)*$L513, "")</f>
        <v>0</v>
      </c>
      <c r="AC513" s="284" t="n">
        <f aca="false">IFERROR(($J513*P513)*$L513, "")</f>
        <v>0</v>
      </c>
      <c r="AD513" s="284" t="n">
        <f aca="false">IFERROR(($J513*Q513)*$L513, "")</f>
        <v>0</v>
      </c>
      <c r="AE513" s="284" t="n">
        <f aca="false">IFERROR(($J513*R513)*$L513, "")</f>
        <v>0</v>
      </c>
      <c r="AF513" s="284" t="n">
        <f aca="false">IFERROR(($J513*S513)*$L513, "")</f>
        <v>0</v>
      </c>
      <c r="AG513" s="284" t="n">
        <f aca="false">IFERROR(($J513*T513)*$L513, "")</f>
        <v>0</v>
      </c>
      <c r="AH513" s="284" t="n">
        <f aca="false">IFERROR(($J513*U513)*$L513, "")</f>
        <v>0</v>
      </c>
      <c r="AI513" s="284" t="n">
        <f aca="false">IFERROR(($J513*V513)*$L513, "")</f>
        <v>0</v>
      </c>
      <c r="AJ513" s="284" t="n">
        <f aca="false">IFERROR(($J513*W513)*$L513, "")</f>
        <v>0</v>
      </c>
      <c r="AK513" s="284" t="n">
        <f aca="false">IFERROR(($J513*X513)*$L513, "")</f>
        <v>0</v>
      </c>
      <c r="AL513" s="284" t="n">
        <f aca="false">IFERROR(($J513*Y513)*$L513, "")</f>
        <v>0</v>
      </c>
      <c r="AM513" s="285" t="n">
        <f aca="false">IFERROR(($J513*Z513)*$L513, "")</f>
        <v>0</v>
      </c>
      <c r="AN513" s="286" t="n">
        <f aca="false">IFERROR(SUMIF($AB$4:$AM$4, "RDEC", AB513:AM513), "")</f>
        <v>0</v>
      </c>
      <c r="AO513" s="286" t="n">
        <f aca="false">IFERROR(SUMIF($AB$4:$AM$4, "SME", AB513:AM513), "")</f>
        <v>0</v>
      </c>
      <c r="AP513" s="286" t="n">
        <f aca="false">IFERROR(SUMIF($AB$4:$AM$4, "De Minimis", AB513:AM513), "")</f>
        <v>0</v>
      </c>
      <c r="AQ513" s="283"/>
      <c r="AR513" s="284" t="n">
        <f aca="false">IFERROR(($J513*O513)*$M513, "")</f>
        <v>0</v>
      </c>
      <c r="AS513" s="284" t="n">
        <f aca="false">IFERROR(($J513*P513)*$M513, "")</f>
        <v>0</v>
      </c>
      <c r="AT513" s="284" t="n">
        <f aca="false">IFERROR(($J513*Q513)*$M513, "")</f>
        <v>0</v>
      </c>
      <c r="AU513" s="284" t="n">
        <f aca="false">IFERROR(($J513*R513)*$M513, "")</f>
        <v>0</v>
      </c>
      <c r="AV513" s="284" t="n">
        <f aca="false">IFERROR(($J513*S513)*$M513, "")</f>
        <v>0</v>
      </c>
      <c r="AW513" s="284" t="n">
        <f aca="false">IFERROR(($J513*T513)*$M513, "")</f>
        <v>0</v>
      </c>
      <c r="AX513" s="284" t="n">
        <f aca="false">IFERROR(($J513*U513)*$M513, "")</f>
        <v>0</v>
      </c>
      <c r="AY513" s="284" t="n">
        <f aca="false">IFERROR(($J513*V513)*$M513, "")</f>
        <v>0</v>
      </c>
      <c r="AZ513" s="284" t="n">
        <f aca="false">IFERROR(($J513*W513)*$M513, "")</f>
        <v>0</v>
      </c>
      <c r="BA513" s="284" t="n">
        <f aca="false">IFERROR(($J513*X513)*$M513, "")</f>
        <v>0</v>
      </c>
      <c r="BB513" s="284" t="n">
        <f aca="false">IFERROR(($J513*Y513)*$M513, "")</f>
        <v>0</v>
      </c>
      <c r="BC513" s="285" t="n">
        <f aca="false">IFERROR(($J513*Z513)*$M513, "")</f>
        <v>0</v>
      </c>
      <c r="BD513" s="286" t="n">
        <f aca="false">IFERROR(SUMIF($AB$4:$AM$4, "RDEC", AR513:BC513), "")</f>
        <v>0</v>
      </c>
      <c r="BE513" s="286" t="n">
        <f aca="false">IFERROR(SUMIF($AB$4:$AM$4, "SME", AR513:BC513), "")</f>
        <v>0</v>
      </c>
      <c r="BF513" s="286" t="n">
        <f aca="false">IFERROR(SUMIF($AB$4:$AM$4, "De Minimis", AR513:BC513), "")</f>
        <v>0</v>
      </c>
      <c r="BG513" s="287"/>
      <c r="BH513" s="288" t="str">
        <f aca="false">IF((SUM(O513:Z513)&gt;1),"ERROR","")</f>
        <v/>
      </c>
      <c r="BI513" s="287"/>
      <c r="BJ513" s="18" t="str">
        <f aca="false">IF(C499&gt;0, C499, "")</f>
        <v/>
      </c>
      <c r="BL513" s="200"/>
      <c r="BM513" s="200"/>
      <c r="BN513" s="200"/>
    </row>
    <row r="514" customFormat="false" ht="15" hidden="false" customHeight="true" outlineLevel="0" collapsed="false">
      <c r="B514" s="275"/>
      <c r="D514" s="276" t="n">
        <f aca="false">D498</f>
        <v>45597</v>
      </c>
      <c r="E514" s="277" t="n">
        <v>0</v>
      </c>
      <c r="F514" s="277" t="n">
        <v>0</v>
      </c>
      <c r="G514" s="277" t="n">
        <v>0</v>
      </c>
      <c r="H514" s="277" t="n">
        <v>0</v>
      </c>
      <c r="I514" s="277" t="n">
        <v>0</v>
      </c>
      <c r="J514" s="278" t="n">
        <f aca="false">E514+H514+I514</f>
        <v>0</v>
      </c>
      <c r="K514" s="204"/>
      <c r="L514" s="279" t="n">
        <v>1</v>
      </c>
      <c r="M514" s="280" t="n">
        <f aca="false">1-L514</f>
        <v>0</v>
      </c>
      <c r="N514" s="281"/>
      <c r="O514" s="282"/>
      <c r="P514" s="282"/>
      <c r="Q514" s="282"/>
      <c r="R514" s="282"/>
      <c r="S514" s="282"/>
      <c r="T514" s="282"/>
      <c r="U514" s="282"/>
      <c r="V514" s="282"/>
      <c r="W514" s="282"/>
      <c r="X514" s="282"/>
      <c r="Y514" s="282"/>
      <c r="Z514" s="282"/>
      <c r="AA514" s="283"/>
      <c r="AB514" s="284" t="n">
        <f aca="false">IFERROR(($J514*O514)*$L514, "")</f>
        <v>0</v>
      </c>
      <c r="AC514" s="284" t="n">
        <f aca="false">IFERROR(($J514*P514)*$L514, "")</f>
        <v>0</v>
      </c>
      <c r="AD514" s="284" t="n">
        <f aca="false">IFERROR(($J514*Q514)*$L514, "")</f>
        <v>0</v>
      </c>
      <c r="AE514" s="284" t="n">
        <f aca="false">IFERROR(($J514*R514)*$L514, "")</f>
        <v>0</v>
      </c>
      <c r="AF514" s="284" t="n">
        <f aca="false">IFERROR(($J514*S514)*$L514, "")</f>
        <v>0</v>
      </c>
      <c r="AG514" s="284" t="n">
        <f aca="false">IFERROR(($J514*T514)*$L514, "")</f>
        <v>0</v>
      </c>
      <c r="AH514" s="284" t="n">
        <f aca="false">IFERROR(($J514*U514)*$L514, "")</f>
        <v>0</v>
      </c>
      <c r="AI514" s="284" t="n">
        <f aca="false">IFERROR(($J514*V514)*$L514, "")</f>
        <v>0</v>
      </c>
      <c r="AJ514" s="284" t="n">
        <f aca="false">IFERROR(($J514*W514)*$L514, "")</f>
        <v>0</v>
      </c>
      <c r="AK514" s="284" t="n">
        <f aca="false">IFERROR(($J514*X514)*$L514, "")</f>
        <v>0</v>
      </c>
      <c r="AL514" s="284" t="n">
        <f aca="false">IFERROR(($J514*Y514)*$L514, "")</f>
        <v>0</v>
      </c>
      <c r="AM514" s="285" t="n">
        <f aca="false">IFERROR(($J514*Z514)*$L514, "")</f>
        <v>0</v>
      </c>
      <c r="AN514" s="286" t="n">
        <f aca="false">IFERROR(SUMIF($AB$4:$AM$4, "RDEC", AB514:AM514), "")</f>
        <v>0</v>
      </c>
      <c r="AO514" s="286" t="n">
        <f aca="false">IFERROR(SUMIF($AB$4:$AM$4, "SME", AB514:AM514), "")</f>
        <v>0</v>
      </c>
      <c r="AP514" s="286" t="n">
        <f aca="false">IFERROR(SUMIF($AB$4:$AM$4, "De Minimis", AB514:AM514), "")</f>
        <v>0</v>
      </c>
      <c r="AQ514" s="283"/>
      <c r="AR514" s="284" t="n">
        <f aca="false">IFERROR(($J514*O514)*$M514, "")</f>
        <v>0</v>
      </c>
      <c r="AS514" s="284" t="n">
        <f aca="false">IFERROR(($J514*P514)*$M514, "")</f>
        <v>0</v>
      </c>
      <c r="AT514" s="284" t="n">
        <f aca="false">IFERROR(($J514*Q514)*$M514, "")</f>
        <v>0</v>
      </c>
      <c r="AU514" s="284" t="n">
        <f aca="false">IFERROR(($J514*R514)*$M514, "")</f>
        <v>0</v>
      </c>
      <c r="AV514" s="284" t="n">
        <f aca="false">IFERROR(($J514*S514)*$M514, "")</f>
        <v>0</v>
      </c>
      <c r="AW514" s="284" t="n">
        <f aca="false">IFERROR(($J514*T514)*$M514, "")</f>
        <v>0</v>
      </c>
      <c r="AX514" s="284" t="n">
        <f aca="false">IFERROR(($J514*U514)*$M514, "")</f>
        <v>0</v>
      </c>
      <c r="AY514" s="284" t="n">
        <f aca="false">IFERROR(($J514*V514)*$M514, "")</f>
        <v>0</v>
      </c>
      <c r="AZ514" s="284" t="n">
        <f aca="false">IFERROR(($J514*W514)*$M514, "")</f>
        <v>0</v>
      </c>
      <c r="BA514" s="284" t="n">
        <f aca="false">IFERROR(($J514*X514)*$M514, "")</f>
        <v>0</v>
      </c>
      <c r="BB514" s="284" t="n">
        <f aca="false">IFERROR(($J514*Y514)*$M514, "")</f>
        <v>0</v>
      </c>
      <c r="BC514" s="285" t="n">
        <f aca="false">IFERROR(($J514*Z514)*$M514, "")</f>
        <v>0</v>
      </c>
      <c r="BD514" s="286" t="n">
        <f aca="false">IFERROR(SUMIF($AB$4:$AM$4, "RDEC", AR514:BC514), "")</f>
        <v>0</v>
      </c>
      <c r="BE514" s="286" t="n">
        <f aca="false">IFERROR(SUMIF($AB$4:$AM$4, "SME", AR514:BC514), "")</f>
        <v>0</v>
      </c>
      <c r="BF514" s="286" t="n">
        <f aca="false">IFERROR(SUMIF($AB$4:$AM$4, "De Minimis", AR514:BC514), "")</f>
        <v>0</v>
      </c>
      <c r="BG514" s="287"/>
      <c r="BH514" s="288" t="str">
        <f aca="false">IF((SUM(O514:Z514)&gt;1),"ERROR","")</f>
        <v/>
      </c>
      <c r="BI514" s="287"/>
      <c r="BJ514" s="18" t="str">
        <f aca="false">IF(C500&gt;0, C500, "")</f>
        <v/>
      </c>
      <c r="BL514" s="200"/>
      <c r="BM514" s="200"/>
      <c r="BN514" s="200"/>
    </row>
    <row r="515" customFormat="false" ht="15" hidden="false" customHeight="true" outlineLevel="0" collapsed="false">
      <c r="B515" s="275"/>
      <c r="D515" s="276" t="n">
        <f aca="false">D499</f>
        <v>45627</v>
      </c>
      <c r="E515" s="277" t="n">
        <v>0</v>
      </c>
      <c r="F515" s="277" t="n">
        <v>0</v>
      </c>
      <c r="G515" s="277" t="n">
        <v>0</v>
      </c>
      <c r="H515" s="277" t="n">
        <v>0</v>
      </c>
      <c r="I515" s="277" t="n">
        <v>0</v>
      </c>
      <c r="J515" s="278" t="n">
        <f aca="false">E515+H515+I515</f>
        <v>0</v>
      </c>
      <c r="K515" s="204"/>
      <c r="L515" s="289" t="n">
        <v>1</v>
      </c>
      <c r="M515" s="290" t="n">
        <f aca="false">1-L515</f>
        <v>0</v>
      </c>
      <c r="N515" s="281"/>
      <c r="O515" s="291"/>
      <c r="P515" s="291"/>
      <c r="Q515" s="291"/>
      <c r="R515" s="291"/>
      <c r="S515" s="291"/>
      <c r="T515" s="291"/>
      <c r="U515" s="291"/>
      <c r="V515" s="291"/>
      <c r="W515" s="291"/>
      <c r="X515" s="291"/>
      <c r="Y515" s="291"/>
      <c r="Z515" s="291"/>
      <c r="AA515" s="283"/>
      <c r="AB515" s="292" t="n">
        <f aca="false">IFERROR(($J515*O515)*$L515, "")</f>
        <v>0</v>
      </c>
      <c r="AC515" s="292" t="n">
        <f aca="false">IFERROR(($J515*P515)*$L515, "")</f>
        <v>0</v>
      </c>
      <c r="AD515" s="292" t="n">
        <f aca="false">IFERROR(($J515*Q515)*$L515, "")</f>
        <v>0</v>
      </c>
      <c r="AE515" s="292" t="n">
        <f aca="false">IFERROR(($J515*R515)*$L515, "")</f>
        <v>0</v>
      </c>
      <c r="AF515" s="292" t="n">
        <f aca="false">IFERROR(($J515*S515)*$L515, "")</f>
        <v>0</v>
      </c>
      <c r="AG515" s="292" t="n">
        <f aca="false">IFERROR(($J515*T515)*$L515, "")</f>
        <v>0</v>
      </c>
      <c r="AH515" s="292" t="n">
        <f aca="false">IFERROR(($J515*U515)*$L515, "")</f>
        <v>0</v>
      </c>
      <c r="AI515" s="292" t="n">
        <f aca="false">IFERROR(($J515*V515)*$L515, "")</f>
        <v>0</v>
      </c>
      <c r="AJ515" s="292" t="n">
        <f aca="false">IFERROR(($J515*W515)*$L515, "")</f>
        <v>0</v>
      </c>
      <c r="AK515" s="292" t="n">
        <f aca="false">IFERROR(($J515*X515)*$L515, "")</f>
        <v>0</v>
      </c>
      <c r="AL515" s="292" t="n">
        <f aca="false">IFERROR(($J515*Y515)*$L515, "")</f>
        <v>0</v>
      </c>
      <c r="AM515" s="293" t="n">
        <f aca="false">IFERROR(($J515*Z515)*$L515, "")</f>
        <v>0</v>
      </c>
      <c r="AN515" s="294" t="n">
        <f aca="false">IFERROR(SUMIF($AB$4:$AM$4, "RDEC", AB515:AM515), "")</f>
        <v>0</v>
      </c>
      <c r="AO515" s="294" t="n">
        <f aca="false">IFERROR(SUMIF($AB$4:$AM$4, "SME", AB515:AM515), "")</f>
        <v>0</v>
      </c>
      <c r="AP515" s="294" t="n">
        <f aca="false">IFERROR(SUMIF($AB$4:$AM$4, "De Minimis", AB515:AM515), "")</f>
        <v>0</v>
      </c>
      <c r="AQ515" s="283"/>
      <c r="AR515" s="292" t="n">
        <f aca="false">IFERROR(($J515*O515)*$M515, "")</f>
        <v>0</v>
      </c>
      <c r="AS515" s="292" t="n">
        <f aca="false">IFERROR(($J515*P515)*$M515, "")</f>
        <v>0</v>
      </c>
      <c r="AT515" s="292" t="n">
        <f aca="false">IFERROR(($J515*Q515)*$M515, "")</f>
        <v>0</v>
      </c>
      <c r="AU515" s="292" t="n">
        <f aca="false">IFERROR(($J515*R515)*$M515, "")</f>
        <v>0</v>
      </c>
      <c r="AV515" s="292" t="n">
        <f aca="false">IFERROR(($J515*S515)*$M515, "")</f>
        <v>0</v>
      </c>
      <c r="AW515" s="292" t="n">
        <f aca="false">IFERROR(($J515*T515)*$M515, "")</f>
        <v>0</v>
      </c>
      <c r="AX515" s="292" t="n">
        <f aca="false">IFERROR(($J515*U515)*$M515, "")</f>
        <v>0</v>
      </c>
      <c r="AY515" s="292" t="n">
        <f aca="false">IFERROR(($J515*V515)*$M515, "")</f>
        <v>0</v>
      </c>
      <c r="AZ515" s="292" t="n">
        <f aca="false">IFERROR(($J515*W515)*$M515, "")</f>
        <v>0</v>
      </c>
      <c r="BA515" s="292" t="n">
        <f aca="false">IFERROR(($J515*X515)*$M515, "")</f>
        <v>0</v>
      </c>
      <c r="BB515" s="292" t="n">
        <f aca="false">IFERROR(($J515*Y515)*$M515, "")</f>
        <v>0</v>
      </c>
      <c r="BC515" s="293" t="n">
        <f aca="false">IFERROR(($J515*Z515)*$M515, "")</f>
        <v>0</v>
      </c>
      <c r="BD515" s="294" t="n">
        <f aca="false">IFERROR(SUMIF($AB$4:$AM$4, "RDEC", AR515:BC515), "")</f>
        <v>0</v>
      </c>
      <c r="BE515" s="294" t="n">
        <f aca="false">IFERROR(SUMIF($AB$4:$AM$4, "SME", AR515:BC515), "")</f>
        <v>0</v>
      </c>
      <c r="BF515" s="294" t="n">
        <f aca="false">IFERROR(SUMIF($AB$4:$AM$4, "De Minimis", AR515:BC515), "")</f>
        <v>0</v>
      </c>
      <c r="BG515" s="287"/>
      <c r="BH515" s="295" t="str">
        <f aca="false">IF((SUM(O515:Z515)&gt;1),"ERROR","")</f>
        <v/>
      </c>
      <c r="BI515" s="287"/>
      <c r="BJ515" s="18" t="str">
        <f aca="false">IF(C501&gt;0, C501, "")</f>
        <v/>
      </c>
      <c r="BL515" s="200"/>
      <c r="BM515" s="200"/>
      <c r="BN515" s="200"/>
    </row>
    <row r="516" customFormat="false" ht="15" hidden="false" customHeight="true" outlineLevel="0" collapsed="false">
      <c r="B516" s="296"/>
      <c r="D516" s="297" t="s">
        <v>82</v>
      </c>
      <c r="E516" s="298" t="n">
        <f aca="false">SUM(E504:E515)</f>
        <v>0</v>
      </c>
      <c r="F516" s="298" t="n">
        <f aca="false">SUM(F504:F515)</f>
        <v>0</v>
      </c>
      <c r="G516" s="298" t="n">
        <f aca="false">SUM(G504:G515)</f>
        <v>0</v>
      </c>
      <c r="H516" s="298" t="n">
        <f aca="false">SUM(H504:H515)</f>
        <v>0</v>
      </c>
      <c r="I516" s="298" t="n">
        <f aca="false">SUM(I504:I515)</f>
        <v>0</v>
      </c>
      <c r="J516" s="299" t="n">
        <f aca="false">SUM(J504:J515)</f>
        <v>0</v>
      </c>
      <c r="K516" s="300"/>
      <c r="L516" s="301" t="n">
        <f aca="false">AVERAGE(L504:L515)</f>
        <v>1</v>
      </c>
      <c r="M516" s="301" t="n">
        <f aca="false">AVERAGE(M504:M515)</f>
        <v>0</v>
      </c>
      <c r="N516" s="302"/>
      <c r="O516" s="290" t="n">
        <f aca="false">IF(SUM(O504:O515)&gt;0,((AB516+AR516)/J516),0)</f>
        <v>0</v>
      </c>
      <c r="P516" s="290" t="n">
        <f aca="false">IF(SUM(P504:P515)&gt;0,((AC516+AS516)/J516),0)</f>
        <v>0</v>
      </c>
      <c r="Q516" s="290" t="n">
        <f aca="false">IF(SUM(Q504:Q515)&gt;0,((AD516+AT516)/J516),0)</f>
        <v>0</v>
      </c>
      <c r="R516" s="290" t="n">
        <f aca="false">IF(SUM(R504:R515)&gt;0,((AE516+AU516)/J516),0)</f>
        <v>0</v>
      </c>
      <c r="S516" s="290" t="n">
        <f aca="false">IF(SUM(S504:S515)&gt;0,((AF516+AV516)/J516),0)</f>
        <v>0</v>
      </c>
      <c r="T516" s="290" t="n">
        <f aca="false">IF(SUM(T504:T515)&gt;0,((AG516+AW516)/J516),0)</f>
        <v>0</v>
      </c>
      <c r="U516" s="290" t="n">
        <f aca="false">IF(SUM(U504:U515)&gt;0,((AH516+AX516)/J516),0)</f>
        <v>0</v>
      </c>
      <c r="V516" s="290" t="n">
        <f aca="false">IF(SUM(V504:V515)&gt;0,((AI516+AY516)/J516),0)</f>
        <v>0</v>
      </c>
      <c r="W516" s="290" t="n">
        <f aca="false">IF(SUM(W504:W515)&gt;0,((AJ516+AZ516)/J516),0)</f>
        <v>0</v>
      </c>
      <c r="X516" s="290" t="n">
        <f aca="false">IF(SUM(X504:X515)&gt;0,((AK516+BA516)/J516),0)</f>
        <v>0</v>
      </c>
      <c r="Y516" s="290" t="n">
        <f aca="false">IF(SUM(Y504:Y515)&gt;0,((AL516+BB516)/J516),0)</f>
        <v>0</v>
      </c>
      <c r="Z516" s="290" t="n">
        <f aca="false">IF(SUM(Z504:Z515)&gt;0,((AM516+BC516)/J516),0)</f>
        <v>0</v>
      </c>
      <c r="AA516" s="303"/>
      <c r="AB516" s="292" t="n">
        <f aca="false">SUM(AB504:AB515)</f>
        <v>0</v>
      </c>
      <c r="AC516" s="304" t="n">
        <f aca="false">SUM(AC504:AC515)</f>
        <v>0</v>
      </c>
      <c r="AD516" s="304" t="n">
        <f aca="false">SUM(AD504:AD515)</f>
        <v>0</v>
      </c>
      <c r="AE516" s="304" t="n">
        <f aca="false">SUM(AE504:AE515)</f>
        <v>0</v>
      </c>
      <c r="AF516" s="304" t="n">
        <f aca="false">SUM(AF504:AF515)</f>
        <v>0</v>
      </c>
      <c r="AG516" s="304" t="n">
        <f aca="false">SUM(AG504:AG515)</f>
        <v>0</v>
      </c>
      <c r="AH516" s="304" t="n">
        <f aca="false">SUM(AH504:AH515)</f>
        <v>0</v>
      </c>
      <c r="AI516" s="304" t="n">
        <f aca="false">SUM(AI504:AI515)</f>
        <v>0</v>
      </c>
      <c r="AJ516" s="304" t="n">
        <f aca="false">SUM(AJ504:AJ515)</f>
        <v>0</v>
      </c>
      <c r="AK516" s="304" t="n">
        <f aca="false">SUM(AK504:AK515)</f>
        <v>0</v>
      </c>
      <c r="AL516" s="304" t="n">
        <f aca="false">SUM(AL504:AL515)</f>
        <v>0</v>
      </c>
      <c r="AM516" s="304" t="n">
        <f aca="false">SUM(AM504:AM515)</f>
        <v>0</v>
      </c>
      <c r="AN516" s="305" t="n">
        <f aca="false">SUM(AN504:AN515)</f>
        <v>0</v>
      </c>
      <c r="AO516" s="305" t="n">
        <f aca="false">SUM(AO504:AO515)</f>
        <v>0</v>
      </c>
      <c r="AP516" s="305" t="n">
        <f aca="false">SUM(AP504:AP515)</f>
        <v>0</v>
      </c>
      <c r="AQ516" s="303"/>
      <c r="AR516" s="292" t="n">
        <f aca="false">SUM(AR504:AR515)</f>
        <v>0</v>
      </c>
      <c r="AS516" s="304" t="n">
        <f aca="false">SUM(AS504:AS515)</f>
        <v>0</v>
      </c>
      <c r="AT516" s="304" t="n">
        <f aca="false">SUM(AT504:AT515)</f>
        <v>0</v>
      </c>
      <c r="AU516" s="304" t="n">
        <f aca="false">SUM(AU504:AU515)</f>
        <v>0</v>
      </c>
      <c r="AV516" s="304" t="n">
        <f aca="false">SUM(AV504:AV515)</f>
        <v>0</v>
      </c>
      <c r="AW516" s="304" t="n">
        <f aca="false">SUM(AW504:AW515)</f>
        <v>0</v>
      </c>
      <c r="AX516" s="304" t="n">
        <f aca="false">SUM(AX504:AX515)</f>
        <v>0</v>
      </c>
      <c r="AY516" s="304" t="n">
        <f aca="false">SUM(AY504:AY515)</f>
        <v>0</v>
      </c>
      <c r="AZ516" s="304" t="n">
        <f aca="false">SUM(AZ504:AZ515)</f>
        <v>0</v>
      </c>
      <c r="BA516" s="304" t="n">
        <f aca="false">SUM(BA504:BA515)</f>
        <v>0</v>
      </c>
      <c r="BB516" s="304" t="n">
        <f aca="false">SUM(BB504:BB515)</f>
        <v>0</v>
      </c>
      <c r="BC516" s="304" t="n">
        <f aca="false">SUM(BC504:BC515)</f>
        <v>0</v>
      </c>
      <c r="BD516" s="305" t="n">
        <f aca="false">SUM(BD504:BD515)</f>
        <v>0</v>
      </c>
      <c r="BE516" s="305" t="n">
        <f aca="false">SUM(BE504:BE515)</f>
        <v>0</v>
      </c>
      <c r="BF516" s="305" t="n">
        <f aca="false">SUM(BF504:BF515)</f>
        <v>0</v>
      </c>
      <c r="BG516" s="303"/>
      <c r="BH516" s="306"/>
      <c r="BI516" s="303"/>
      <c r="BJ516" s="307" t="str">
        <f aca="false">IF(C502&gt;0, C502, "")</f>
        <v>TBA</v>
      </c>
      <c r="BK516" s="18" t="s">
        <v>234</v>
      </c>
      <c r="BL516" s="200" t="n">
        <f aca="false">IF($BK516="Y",J516,0)</f>
        <v>0</v>
      </c>
      <c r="BM516" s="200" t="n">
        <f aca="false">IF(BK516="Y", AN516,0)</f>
        <v>0</v>
      </c>
      <c r="BN516" s="200" t="n">
        <f aca="false">IF((BK516="Y"),AO516,0)</f>
        <v>0</v>
      </c>
    </row>
    <row r="517" customFormat="false" ht="15" hidden="false" customHeight="true" outlineLevel="0" collapsed="false">
      <c r="B517" s="296"/>
      <c r="D517" s="297"/>
      <c r="E517" s="277"/>
      <c r="F517" s="277"/>
      <c r="G517" s="277"/>
      <c r="H517" s="277"/>
      <c r="I517" s="277"/>
      <c r="J517" s="300"/>
      <c r="K517" s="300"/>
      <c r="L517" s="302"/>
      <c r="M517" s="302"/>
      <c r="N517" s="302"/>
      <c r="O517" s="308"/>
      <c r="P517" s="308"/>
      <c r="Q517" s="308"/>
      <c r="R517" s="308"/>
      <c r="S517" s="308"/>
      <c r="T517" s="308"/>
      <c r="U517" s="308"/>
      <c r="V517" s="308"/>
      <c r="W517" s="308"/>
      <c r="X517" s="308"/>
      <c r="Y517" s="308"/>
      <c r="Z517" s="308"/>
      <c r="AA517" s="303"/>
      <c r="AB517" s="303"/>
      <c r="AC517" s="303"/>
      <c r="AD517" s="303"/>
      <c r="AE517" s="303"/>
      <c r="AF517" s="303"/>
      <c r="AG517" s="303"/>
      <c r="AH517" s="303"/>
      <c r="AI517" s="303"/>
      <c r="AJ517" s="303"/>
      <c r="AK517" s="303"/>
      <c r="AL517" s="303"/>
      <c r="AM517" s="303"/>
      <c r="AN517" s="303"/>
      <c r="AO517" s="303"/>
      <c r="AP517" s="303"/>
      <c r="AQ517" s="303"/>
      <c r="AR517" s="303"/>
      <c r="AS517" s="303"/>
      <c r="AT517" s="303"/>
      <c r="AU517" s="303"/>
      <c r="AV517" s="303"/>
      <c r="AW517" s="303"/>
      <c r="AX517" s="303"/>
      <c r="AY517" s="303"/>
      <c r="AZ517" s="303"/>
      <c r="BA517" s="303"/>
      <c r="BB517" s="303"/>
      <c r="BC517" s="303"/>
      <c r="BD517" s="303"/>
      <c r="BE517" s="303"/>
      <c r="BF517" s="303"/>
      <c r="BG517" s="303"/>
      <c r="BH517" s="303"/>
      <c r="BI517" s="303"/>
      <c r="BJ517" s="307" t="str">
        <f aca="false">IF(C504&gt;0, C504, "")</f>
        <v/>
      </c>
      <c r="BL517" s="200"/>
      <c r="BM517" s="200"/>
      <c r="BN517" s="200"/>
    </row>
    <row r="518" customFormat="false" ht="15" hidden="false" customHeight="true" outlineLevel="0" collapsed="false">
      <c r="A518" s="198" t="n">
        <f aca="false">A502+1</f>
        <v>33</v>
      </c>
      <c r="B518" s="266" t="s">
        <v>253</v>
      </c>
      <c r="C518" s="266" t="s">
        <v>253</v>
      </c>
      <c r="D518" s="267"/>
      <c r="E518" s="242"/>
      <c r="F518" s="242"/>
      <c r="G518" s="242"/>
      <c r="H518" s="242"/>
      <c r="I518" s="242"/>
      <c r="J518" s="241"/>
      <c r="K518" s="241"/>
      <c r="L518" s="241"/>
      <c r="M518" s="241"/>
      <c r="N518" s="241"/>
      <c r="O518" s="268"/>
      <c r="P518" s="268"/>
      <c r="Q518" s="268"/>
      <c r="R518" s="268"/>
      <c r="S518" s="268"/>
      <c r="T518" s="268"/>
      <c r="U518" s="268"/>
      <c r="V518" s="268"/>
      <c r="W518" s="268"/>
      <c r="X518" s="268"/>
      <c r="Y518" s="268"/>
      <c r="Z518" s="268"/>
      <c r="AA518" s="268"/>
      <c r="AB518" s="268"/>
      <c r="AC518" s="268"/>
      <c r="AD518" s="268"/>
      <c r="AE518" s="268"/>
      <c r="AF518" s="268"/>
      <c r="AG518" s="268"/>
      <c r="AH518" s="268"/>
      <c r="AI518" s="268"/>
      <c r="AJ518" s="268"/>
      <c r="AK518" s="268"/>
      <c r="AL518" s="268"/>
      <c r="AM518" s="268"/>
      <c r="AN518" s="268"/>
      <c r="AO518" s="268"/>
      <c r="AP518" s="268"/>
      <c r="AQ518" s="268"/>
      <c r="AR518" s="268"/>
      <c r="AS518" s="268"/>
      <c r="AT518" s="268"/>
      <c r="AU518" s="268"/>
      <c r="AV518" s="268"/>
      <c r="AW518" s="268"/>
      <c r="AX518" s="268"/>
      <c r="AY518" s="268"/>
      <c r="AZ518" s="268"/>
      <c r="BA518" s="268"/>
      <c r="BB518" s="268"/>
      <c r="BC518" s="268"/>
      <c r="BD518" s="268"/>
      <c r="BE518" s="268"/>
      <c r="BF518" s="268"/>
      <c r="BG518" s="268"/>
      <c r="BH518" s="268"/>
      <c r="BI518" s="268"/>
      <c r="BJ518" s="18" t="str">
        <f aca="false">IF(C505&gt;0, C505, "")</f>
        <v/>
      </c>
      <c r="BL518" s="200"/>
      <c r="BM518" s="200"/>
      <c r="BN518" s="200"/>
    </row>
    <row r="519" customFormat="false" ht="7.5" hidden="false" customHeight="true" outlineLevel="0" collapsed="false">
      <c r="A519" s="198"/>
      <c r="B519" s="266"/>
      <c r="C519" s="266"/>
      <c r="D519" s="267"/>
      <c r="E519" s="242"/>
      <c r="F519" s="242"/>
      <c r="G519" s="242"/>
      <c r="H519" s="242"/>
      <c r="I519" s="242"/>
      <c r="J519" s="241"/>
      <c r="K519" s="241"/>
      <c r="L519" s="269"/>
      <c r="M519" s="269"/>
      <c r="N519" s="270"/>
      <c r="O519" s="269"/>
      <c r="P519" s="269"/>
      <c r="Q519" s="269"/>
      <c r="R519" s="269"/>
      <c r="S519" s="269"/>
      <c r="T519" s="269"/>
      <c r="U519" s="269"/>
      <c r="V519" s="269"/>
      <c r="W519" s="269"/>
      <c r="X519" s="269"/>
      <c r="Y519" s="269"/>
      <c r="Z519" s="269"/>
      <c r="AA519" s="268"/>
      <c r="AB519" s="271"/>
      <c r="AC519" s="271"/>
      <c r="AD519" s="271"/>
      <c r="AE519" s="271"/>
      <c r="AF519" s="271"/>
      <c r="AG519" s="271"/>
      <c r="AH519" s="271"/>
      <c r="AI519" s="271"/>
      <c r="AJ519" s="271"/>
      <c r="AK519" s="271"/>
      <c r="AL519" s="271"/>
      <c r="AM519" s="272"/>
      <c r="AN519" s="273"/>
      <c r="AO519" s="273"/>
      <c r="AP519" s="273"/>
      <c r="AQ519" s="268"/>
      <c r="AR519" s="271"/>
      <c r="AS519" s="271"/>
      <c r="AT519" s="271"/>
      <c r="AU519" s="271"/>
      <c r="AV519" s="271"/>
      <c r="AW519" s="271"/>
      <c r="AX519" s="271"/>
      <c r="AY519" s="271"/>
      <c r="AZ519" s="271"/>
      <c r="BA519" s="271"/>
      <c r="BB519" s="271"/>
      <c r="BC519" s="272"/>
      <c r="BD519" s="273"/>
      <c r="BE519" s="273"/>
      <c r="BF519" s="273"/>
      <c r="BG519" s="268"/>
      <c r="BH519" s="274"/>
      <c r="BI519" s="268"/>
      <c r="BL519" s="200"/>
      <c r="BM519" s="200"/>
      <c r="BN519" s="200"/>
    </row>
    <row r="520" customFormat="false" ht="15" hidden="false" customHeight="true" outlineLevel="0" collapsed="false">
      <c r="B520" s="275"/>
      <c r="D520" s="276" t="n">
        <f aca="false">D504</f>
        <v>45292</v>
      </c>
      <c r="E520" s="277" t="n">
        <v>0</v>
      </c>
      <c r="F520" s="277" t="n">
        <v>0</v>
      </c>
      <c r="G520" s="277" t="n">
        <v>0</v>
      </c>
      <c r="H520" s="277" t="n">
        <v>0</v>
      </c>
      <c r="I520" s="277" t="n">
        <v>0</v>
      </c>
      <c r="J520" s="278" t="n">
        <f aca="false">E520+H520+I520</f>
        <v>0</v>
      </c>
      <c r="K520" s="204"/>
      <c r="L520" s="279" t="n">
        <v>1</v>
      </c>
      <c r="M520" s="280" t="n">
        <f aca="false">1-L520</f>
        <v>0</v>
      </c>
      <c r="N520" s="281"/>
      <c r="O520" s="282"/>
      <c r="P520" s="282"/>
      <c r="Q520" s="282"/>
      <c r="R520" s="282"/>
      <c r="S520" s="282"/>
      <c r="T520" s="282"/>
      <c r="U520" s="282"/>
      <c r="V520" s="282"/>
      <c r="W520" s="282"/>
      <c r="X520" s="282"/>
      <c r="Y520" s="282"/>
      <c r="Z520" s="282"/>
      <c r="AA520" s="283"/>
      <c r="AB520" s="284" t="n">
        <f aca="false">IFERROR(($J520*O520)*$L520, "")</f>
        <v>0</v>
      </c>
      <c r="AC520" s="284" t="n">
        <f aca="false">IFERROR(($J520*P520)*$L520, "")</f>
        <v>0</v>
      </c>
      <c r="AD520" s="284" t="n">
        <f aca="false">IFERROR(($J520*Q520)*$L520, "")</f>
        <v>0</v>
      </c>
      <c r="AE520" s="284" t="n">
        <f aca="false">IFERROR(($J520*R520)*$L520, "")</f>
        <v>0</v>
      </c>
      <c r="AF520" s="284" t="n">
        <f aca="false">IFERROR(($J520*S520)*$L520, "")</f>
        <v>0</v>
      </c>
      <c r="AG520" s="284" t="n">
        <f aca="false">IFERROR(($J520*T520)*$L520, "")</f>
        <v>0</v>
      </c>
      <c r="AH520" s="284" t="n">
        <f aca="false">IFERROR(($J520*U520)*$L520, "")</f>
        <v>0</v>
      </c>
      <c r="AI520" s="284" t="n">
        <f aca="false">IFERROR(($J520*V520)*$L520, "")</f>
        <v>0</v>
      </c>
      <c r="AJ520" s="284" t="n">
        <f aca="false">IFERROR(($J520*W520)*$L520, "")</f>
        <v>0</v>
      </c>
      <c r="AK520" s="284" t="n">
        <f aca="false">IFERROR(($J520*X520)*$L520, "")</f>
        <v>0</v>
      </c>
      <c r="AL520" s="284" t="n">
        <f aca="false">IFERROR(($J520*Y520)*$L520, "")</f>
        <v>0</v>
      </c>
      <c r="AM520" s="285" t="n">
        <f aca="false">IFERROR(($J520*Z520)*$L520, "")</f>
        <v>0</v>
      </c>
      <c r="AN520" s="286" t="n">
        <f aca="false">IFERROR(SUMIF($AB$4:$AM$4, "RDEC", AB520:AM520), "")</f>
        <v>0</v>
      </c>
      <c r="AO520" s="286" t="n">
        <f aca="false">IFERROR(SUMIF($AB$4:$AM$4, "SME", AB520:AM520), "")</f>
        <v>0</v>
      </c>
      <c r="AP520" s="286" t="n">
        <f aca="false">IFERROR(SUMIF($AB$4:$AM$4, "De Minimis", AB520:AM520), "")</f>
        <v>0</v>
      </c>
      <c r="AQ520" s="283"/>
      <c r="AR520" s="284" t="n">
        <f aca="false">IFERROR(($J520*O520)*$M520, "")</f>
        <v>0</v>
      </c>
      <c r="AS520" s="284" t="n">
        <f aca="false">IFERROR(($J520*P520)*$M520, "")</f>
        <v>0</v>
      </c>
      <c r="AT520" s="284" t="n">
        <f aca="false">IFERROR(($J520*Q520)*$M520, "")</f>
        <v>0</v>
      </c>
      <c r="AU520" s="284" t="n">
        <f aca="false">IFERROR(($J520*R520)*$M520, "")</f>
        <v>0</v>
      </c>
      <c r="AV520" s="284" t="n">
        <f aca="false">IFERROR(($J520*S520)*$M520, "")</f>
        <v>0</v>
      </c>
      <c r="AW520" s="284" t="n">
        <f aca="false">IFERROR(($J520*T520)*$M520, "")</f>
        <v>0</v>
      </c>
      <c r="AX520" s="284" t="n">
        <f aca="false">IFERROR(($J520*U520)*$M520, "")</f>
        <v>0</v>
      </c>
      <c r="AY520" s="284" t="n">
        <f aca="false">IFERROR(($J520*V520)*$M520, "")</f>
        <v>0</v>
      </c>
      <c r="AZ520" s="284" t="n">
        <f aca="false">IFERROR(($J520*W520)*$M520, "")</f>
        <v>0</v>
      </c>
      <c r="BA520" s="284" t="n">
        <f aca="false">IFERROR(($J520*X520)*$M520, "")</f>
        <v>0</v>
      </c>
      <c r="BB520" s="284" t="n">
        <f aca="false">IFERROR(($J520*Y520)*$M520, "")</f>
        <v>0</v>
      </c>
      <c r="BC520" s="285" t="n">
        <f aca="false">IFERROR(($J520*Z520)*$M520, "")</f>
        <v>0</v>
      </c>
      <c r="BD520" s="286" t="n">
        <f aca="false">IFERROR(SUMIF($AB$4:$AM$4, "RDEC", AR520:BC520), "")</f>
        <v>0</v>
      </c>
      <c r="BE520" s="286" t="n">
        <f aca="false">IFERROR(SUMIF($AB$4:$AM$4, "SME", AR520:BC520), "")</f>
        <v>0</v>
      </c>
      <c r="BF520" s="286" t="n">
        <f aca="false">IFERROR(SUMIF($AB$4:$AM$4, "De Minimis", AR520:BC520), "")</f>
        <v>0</v>
      </c>
      <c r="BG520" s="287"/>
      <c r="BH520" s="288" t="str">
        <f aca="false">IF((SUM(O520:Z520)&gt;1),"ERROR","")</f>
        <v/>
      </c>
      <c r="BI520" s="287"/>
      <c r="BJ520" s="18" t="str">
        <f aca="false">IF(C506&gt;0, C506, "")</f>
        <v/>
      </c>
      <c r="BL520" s="200"/>
      <c r="BM520" s="200"/>
      <c r="BN520" s="200"/>
    </row>
    <row r="521" customFormat="false" ht="15" hidden="false" customHeight="true" outlineLevel="0" collapsed="false">
      <c r="B521" s="275"/>
      <c r="D521" s="276" t="n">
        <f aca="false">D505</f>
        <v>45323</v>
      </c>
      <c r="E521" s="277" t="n">
        <v>0</v>
      </c>
      <c r="F521" s="277" t="n">
        <v>0</v>
      </c>
      <c r="G521" s="277" t="n">
        <v>0</v>
      </c>
      <c r="H521" s="277" t="n">
        <v>0</v>
      </c>
      <c r="I521" s="277" t="n">
        <v>0</v>
      </c>
      <c r="J521" s="278" t="n">
        <f aca="false">E521+H521+I521</f>
        <v>0</v>
      </c>
      <c r="K521" s="204"/>
      <c r="L521" s="279" t="n">
        <v>1</v>
      </c>
      <c r="M521" s="280" t="n">
        <f aca="false">1-L521</f>
        <v>0</v>
      </c>
      <c r="N521" s="281"/>
      <c r="O521" s="282"/>
      <c r="P521" s="282"/>
      <c r="Q521" s="282"/>
      <c r="R521" s="282"/>
      <c r="S521" s="282"/>
      <c r="T521" s="282"/>
      <c r="U521" s="282"/>
      <c r="V521" s="282"/>
      <c r="W521" s="282"/>
      <c r="X521" s="282"/>
      <c r="Y521" s="282"/>
      <c r="Z521" s="282"/>
      <c r="AA521" s="283"/>
      <c r="AB521" s="284" t="n">
        <f aca="false">IFERROR(($J521*O521)*$L521, "")</f>
        <v>0</v>
      </c>
      <c r="AC521" s="284" t="n">
        <f aca="false">IFERROR(($J521*P521)*$L521, "")</f>
        <v>0</v>
      </c>
      <c r="AD521" s="284" t="n">
        <f aca="false">IFERROR(($J521*Q521)*$L521, "")</f>
        <v>0</v>
      </c>
      <c r="AE521" s="284" t="n">
        <f aca="false">IFERROR(($J521*R521)*$L521, "")</f>
        <v>0</v>
      </c>
      <c r="AF521" s="284" t="n">
        <f aca="false">IFERROR(($J521*S521)*$L521, "")</f>
        <v>0</v>
      </c>
      <c r="AG521" s="284" t="n">
        <f aca="false">IFERROR(($J521*T521)*$L521, "")</f>
        <v>0</v>
      </c>
      <c r="AH521" s="284" t="n">
        <f aca="false">IFERROR(($J521*U521)*$L521, "")</f>
        <v>0</v>
      </c>
      <c r="AI521" s="284" t="n">
        <f aca="false">IFERROR(($J521*V521)*$L521, "")</f>
        <v>0</v>
      </c>
      <c r="AJ521" s="284" t="n">
        <f aca="false">IFERROR(($J521*W521)*$L521, "")</f>
        <v>0</v>
      </c>
      <c r="AK521" s="284" t="n">
        <f aca="false">IFERROR(($J521*X521)*$L521, "")</f>
        <v>0</v>
      </c>
      <c r="AL521" s="284" t="n">
        <f aca="false">IFERROR(($J521*Y521)*$L521, "")</f>
        <v>0</v>
      </c>
      <c r="AM521" s="285" t="n">
        <f aca="false">IFERROR(($J521*Z521)*$L521, "")</f>
        <v>0</v>
      </c>
      <c r="AN521" s="286" t="n">
        <f aca="false">IFERROR(SUMIF($AB$4:$AM$4, "RDEC", AB521:AM521), "")</f>
        <v>0</v>
      </c>
      <c r="AO521" s="286" t="n">
        <f aca="false">IFERROR(SUMIF($AB$4:$AM$4, "SME", AB521:AM521), "")</f>
        <v>0</v>
      </c>
      <c r="AP521" s="286" t="n">
        <f aca="false">IFERROR(SUMIF($AB$4:$AM$4, "De Minimis", AB521:AM521), "")</f>
        <v>0</v>
      </c>
      <c r="AQ521" s="283"/>
      <c r="AR521" s="284" t="n">
        <f aca="false">IFERROR(($J521*O521)*$M521, "")</f>
        <v>0</v>
      </c>
      <c r="AS521" s="284" t="n">
        <f aca="false">IFERROR(($J521*P521)*$M521, "")</f>
        <v>0</v>
      </c>
      <c r="AT521" s="284" t="n">
        <f aca="false">IFERROR(($J521*Q521)*$M521, "")</f>
        <v>0</v>
      </c>
      <c r="AU521" s="284" t="n">
        <f aca="false">IFERROR(($J521*R521)*$M521, "")</f>
        <v>0</v>
      </c>
      <c r="AV521" s="284" t="n">
        <f aca="false">IFERROR(($J521*S521)*$M521, "")</f>
        <v>0</v>
      </c>
      <c r="AW521" s="284" t="n">
        <f aca="false">IFERROR(($J521*T521)*$M521, "")</f>
        <v>0</v>
      </c>
      <c r="AX521" s="284" t="n">
        <f aca="false">IFERROR(($J521*U521)*$M521, "")</f>
        <v>0</v>
      </c>
      <c r="AY521" s="284" t="n">
        <f aca="false">IFERROR(($J521*V521)*$M521, "")</f>
        <v>0</v>
      </c>
      <c r="AZ521" s="284" t="n">
        <f aca="false">IFERROR(($J521*W521)*$M521, "")</f>
        <v>0</v>
      </c>
      <c r="BA521" s="284" t="n">
        <f aca="false">IFERROR(($J521*X521)*$M521, "")</f>
        <v>0</v>
      </c>
      <c r="BB521" s="284" t="n">
        <f aca="false">IFERROR(($J521*Y521)*$M521, "")</f>
        <v>0</v>
      </c>
      <c r="BC521" s="285" t="n">
        <f aca="false">IFERROR(($J521*Z521)*$M521, "")</f>
        <v>0</v>
      </c>
      <c r="BD521" s="286" t="n">
        <f aca="false">IFERROR(SUMIF($AB$4:$AM$4, "RDEC", AR521:BC521), "")</f>
        <v>0</v>
      </c>
      <c r="BE521" s="286" t="n">
        <f aca="false">IFERROR(SUMIF($AB$4:$AM$4, "SME", AR521:BC521), "")</f>
        <v>0</v>
      </c>
      <c r="BF521" s="286" t="n">
        <f aca="false">IFERROR(SUMIF($AB$4:$AM$4, "De Minimis", AR521:BC521), "")</f>
        <v>0</v>
      </c>
      <c r="BG521" s="287"/>
      <c r="BH521" s="288" t="str">
        <f aca="false">IF((SUM(O521:Z521)&gt;1),"ERROR","")</f>
        <v/>
      </c>
      <c r="BI521" s="287"/>
      <c r="BJ521" s="18" t="str">
        <f aca="false">IF(C507&gt;0, C507, "")</f>
        <v/>
      </c>
      <c r="BL521" s="200"/>
      <c r="BM521" s="200"/>
      <c r="BN521" s="200"/>
    </row>
    <row r="522" customFormat="false" ht="15" hidden="false" customHeight="true" outlineLevel="0" collapsed="false">
      <c r="B522" s="275"/>
      <c r="D522" s="276" t="n">
        <f aca="false">D506</f>
        <v>45352</v>
      </c>
      <c r="E522" s="277" t="n">
        <v>0</v>
      </c>
      <c r="F522" s="277" t="n">
        <v>0</v>
      </c>
      <c r="G522" s="277" t="n">
        <v>0</v>
      </c>
      <c r="H522" s="277" t="n">
        <v>0</v>
      </c>
      <c r="I522" s="277" t="n">
        <v>0</v>
      </c>
      <c r="J522" s="278" t="n">
        <f aca="false">E522+H522+I522</f>
        <v>0</v>
      </c>
      <c r="K522" s="204"/>
      <c r="L522" s="279" t="n">
        <v>1</v>
      </c>
      <c r="M522" s="280" t="n">
        <f aca="false">1-L522</f>
        <v>0</v>
      </c>
      <c r="N522" s="281"/>
      <c r="O522" s="282"/>
      <c r="P522" s="282"/>
      <c r="Q522" s="282"/>
      <c r="R522" s="282"/>
      <c r="S522" s="282"/>
      <c r="T522" s="282"/>
      <c r="U522" s="282"/>
      <c r="V522" s="282"/>
      <c r="W522" s="282"/>
      <c r="X522" s="282"/>
      <c r="Y522" s="282"/>
      <c r="Z522" s="282"/>
      <c r="AA522" s="283"/>
      <c r="AB522" s="284" t="n">
        <f aca="false">IFERROR(($J522*O522)*$L522, "")</f>
        <v>0</v>
      </c>
      <c r="AC522" s="284" t="n">
        <f aca="false">IFERROR(($J522*P522)*$L522, "")</f>
        <v>0</v>
      </c>
      <c r="AD522" s="284" t="n">
        <f aca="false">IFERROR(($J522*Q522)*$L522, "")</f>
        <v>0</v>
      </c>
      <c r="AE522" s="284" t="n">
        <f aca="false">IFERROR(($J522*R522)*$L522, "")</f>
        <v>0</v>
      </c>
      <c r="AF522" s="284" t="n">
        <f aca="false">IFERROR(($J522*S522)*$L522, "")</f>
        <v>0</v>
      </c>
      <c r="AG522" s="284" t="n">
        <f aca="false">IFERROR(($J522*T522)*$L522, "")</f>
        <v>0</v>
      </c>
      <c r="AH522" s="284" t="n">
        <f aca="false">IFERROR(($J522*U522)*$L522, "")</f>
        <v>0</v>
      </c>
      <c r="AI522" s="284" t="n">
        <f aca="false">IFERROR(($J522*V522)*$L522, "")</f>
        <v>0</v>
      </c>
      <c r="AJ522" s="284" t="n">
        <f aca="false">IFERROR(($J522*W522)*$L522, "")</f>
        <v>0</v>
      </c>
      <c r="AK522" s="284" t="n">
        <f aca="false">IFERROR(($J522*X522)*$L522, "")</f>
        <v>0</v>
      </c>
      <c r="AL522" s="284" t="n">
        <f aca="false">IFERROR(($J522*Y522)*$L522, "")</f>
        <v>0</v>
      </c>
      <c r="AM522" s="285" t="n">
        <f aca="false">IFERROR(($J522*Z522)*$L522, "")</f>
        <v>0</v>
      </c>
      <c r="AN522" s="286" t="n">
        <f aca="false">IFERROR(SUMIF($AB$4:$AM$4, "RDEC", AB522:AM522), "")</f>
        <v>0</v>
      </c>
      <c r="AO522" s="286" t="n">
        <f aca="false">IFERROR(SUMIF($AB$4:$AM$4, "SME", AB522:AM522), "")</f>
        <v>0</v>
      </c>
      <c r="AP522" s="286" t="n">
        <f aca="false">IFERROR(SUMIF($AB$4:$AM$4, "De Minimis", AB522:AM522), "")</f>
        <v>0</v>
      </c>
      <c r="AQ522" s="283"/>
      <c r="AR522" s="284" t="n">
        <f aca="false">IFERROR(($J522*O522)*$M522, "")</f>
        <v>0</v>
      </c>
      <c r="AS522" s="284" t="n">
        <f aca="false">IFERROR(($J522*P522)*$M522, "")</f>
        <v>0</v>
      </c>
      <c r="AT522" s="284" t="n">
        <f aca="false">IFERROR(($J522*Q522)*$M522, "")</f>
        <v>0</v>
      </c>
      <c r="AU522" s="284" t="n">
        <f aca="false">IFERROR(($J522*R522)*$M522, "")</f>
        <v>0</v>
      </c>
      <c r="AV522" s="284" t="n">
        <f aca="false">IFERROR(($J522*S522)*$M522, "")</f>
        <v>0</v>
      </c>
      <c r="AW522" s="284" t="n">
        <f aca="false">IFERROR(($J522*T522)*$M522, "")</f>
        <v>0</v>
      </c>
      <c r="AX522" s="284" t="n">
        <f aca="false">IFERROR(($J522*U522)*$M522, "")</f>
        <v>0</v>
      </c>
      <c r="AY522" s="284" t="n">
        <f aca="false">IFERROR(($J522*V522)*$M522, "")</f>
        <v>0</v>
      </c>
      <c r="AZ522" s="284" t="n">
        <f aca="false">IFERROR(($J522*W522)*$M522, "")</f>
        <v>0</v>
      </c>
      <c r="BA522" s="284" t="n">
        <f aca="false">IFERROR(($J522*X522)*$M522, "")</f>
        <v>0</v>
      </c>
      <c r="BB522" s="284" t="n">
        <f aca="false">IFERROR(($J522*Y522)*$M522, "")</f>
        <v>0</v>
      </c>
      <c r="BC522" s="285" t="n">
        <f aca="false">IFERROR(($J522*Z522)*$M522, "")</f>
        <v>0</v>
      </c>
      <c r="BD522" s="286" t="n">
        <f aca="false">IFERROR(SUMIF($AB$4:$AM$4, "RDEC", AR522:BC522), "")</f>
        <v>0</v>
      </c>
      <c r="BE522" s="286" t="n">
        <f aca="false">IFERROR(SUMIF($AB$4:$AM$4, "SME", AR522:BC522), "")</f>
        <v>0</v>
      </c>
      <c r="BF522" s="286" t="n">
        <f aca="false">IFERROR(SUMIF($AB$4:$AM$4, "De Minimis", AR522:BC522), "")</f>
        <v>0</v>
      </c>
      <c r="BG522" s="287"/>
      <c r="BH522" s="288" t="str">
        <f aca="false">IF((SUM(O522:Z522)&gt;1),"ERROR","")</f>
        <v/>
      </c>
      <c r="BI522" s="287"/>
      <c r="BJ522" s="18" t="str">
        <f aca="false">IF(C508&gt;0, C508, "")</f>
        <v/>
      </c>
      <c r="BL522" s="200"/>
      <c r="BM522" s="200"/>
      <c r="BN522" s="200"/>
    </row>
    <row r="523" customFormat="false" ht="15" hidden="false" customHeight="true" outlineLevel="0" collapsed="false">
      <c r="B523" s="275"/>
      <c r="D523" s="276" t="n">
        <f aca="false">D507</f>
        <v>45383</v>
      </c>
      <c r="E523" s="277" t="n">
        <v>0</v>
      </c>
      <c r="F523" s="277" t="n">
        <v>0</v>
      </c>
      <c r="G523" s="277" t="n">
        <v>0</v>
      </c>
      <c r="H523" s="277" t="n">
        <v>0</v>
      </c>
      <c r="I523" s="277" t="n">
        <v>0</v>
      </c>
      <c r="J523" s="278" t="n">
        <f aca="false">E523+H523+I523</f>
        <v>0</v>
      </c>
      <c r="K523" s="204"/>
      <c r="L523" s="279" t="n">
        <v>1</v>
      </c>
      <c r="M523" s="280" t="n">
        <f aca="false">1-L523</f>
        <v>0</v>
      </c>
      <c r="N523" s="281"/>
      <c r="O523" s="282"/>
      <c r="P523" s="282"/>
      <c r="Q523" s="282"/>
      <c r="R523" s="282"/>
      <c r="S523" s="282"/>
      <c r="T523" s="282"/>
      <c r="U523" s="282"/>
      <c r="V523" s="282"/>
      <c r="W523" s="282"/>
      <c r="X523" s="282"/>
      <c r="Y523" s="282"/>
      <c r="Z523" s="282"/>
      <c r="AA523" s="283"/>
      <c r="AB523" s="284" t="n">
        <f aca="false">IFERROR(($J523*O523)*$L523, "")</f>
        <v>0</v>
      </c>
      <c r="AC523" s="284" t="n">
        <f aca="false">IFERROR(($J523*P523)*$L523, "")</f>
        <v>0</v>
      </c>
      <c r="AD523" s="284" t="n">
        <f aca="false">IFERROR(($J523*Q523)*$L523, "")</f>
        <v>0</v>
      </c>
      <c r="AE523" s="284" t="n">
        <f aca="false">IFERROR(($J523*R523)*$L523, "")</f>
        <v>0</v>
      </c>
      <c r="AF523" s="284" t="n">
        <f aca="false">IFERROR(($J523*S523)*$L523, "")</f>
        <v>0</v>
      </c>
      <c r="AG523" s="284" t="n">
        <f aca="false">IFERROR(($J523*T523)*$L523, "")</f>
        <v>0</v>
      </c>
      <c r="AH523" s="284" t="n">
        <f aca="false">IFERROR(($J523*U523)*$L523, "")</f>
        <v>0</v>
      </c>
      <c r="AI523" s="284" t="n">
        <f aca="false">IFERROR(($J523*V523)*$L523, "")</f>
        <v>0</v>
      </c>
      <c r="AJ523" s="284" t="n">
        <f aca="false">IFERROR(($J523*W523)*$L523, "")</f>
        <v>0</v>
      </c>
      <c r="AK523" s="284" t="n">
        <f aca="false">IFERROR(($J523*X523)*$L523, "")</f>
        <v>0</v>
      </c>
      <c r="AL523" s="284" t="n">
        <f aca="false">IFERROR(($J523*Y523)*$L523, "")</f>
        <v>0</v>
      </c>
      <c r="AM523" s="285" t="n">
        <f aca="false">IFERROR(($J523*Z523)*$L523, "")</f>
        <v>0</v>
      </c>
      <c r="AN523" s="286" t="n">
        <f aca="false">IFERROR(SUMIF($AB$4:$AM$4, "RDEC", AB523:AM523), "")</f>
        <v>0</v>
      </c>
      <c r="AO523" s="286" t="n">
        <f aca="false">IFERROR(SUMIF($AB$4:$AM$4, "SME", AB523:AM523), "")</f>
        <v>0</v>
      </c>
      <c r="AP523" s="286" t="n">
        <f aca="false">IFERROR(SUMIF($AB$4:$AM$4, "De Minimis", AB523:AM523), "")</f>
        <v>0</v>
      </c>
      <c r="AQ523" s="283"/>
      <c r="AR523" s="284" t="n">
        <f aca="false">IFERROR(($J523*O523)*$M523, "")</f>
        <v>0</v>
      </c>
      <c r="AS523" s="284" t="n">
        <f aca="false">IFERROR(($J523*P523)*$M523, "")</f>
        <v>0</v>
      </c>
      <c r="AT523" s="284" t="n">
        <f aca="false">IFERROR(($J523*Q523)*$M523, "")</f>
        <v>0</v>
      </c>
      <c r="AU523" s="284" t="n">
        <f aca="false">IFERROR(($J523*R523)*$M523, "")</f>
        <v>0</v>
      </c>
      <c r="AV523" s="284" t="n">
        <f aca="false">IFERROR(($J523*S523)*$M523, "")</f>
        <v>0</v>
      </c>
      <c r="AW523" s="284" t="n">
        <f aca="false">IFERROR(($J523*T523)*$M523, "")</f>
        <v>0</v>
      </c>
      <c r="AX523" s="284" t="n">
        <f aca="false">IFERROR(($J523*U523)*$M523, "")</f>
        <v>0</v>
      </c>
      <c r="AY523" s="284" t="n">
        <f aca="false">IFERROR(($J523*V523)*$M523, "")</f>
        <v>0</v>
      </c>
      <c r="AZ523" s="284" t="n">
        <f aca="false">IFERROR(($J523*W523)*$M523, "")</f>
        <v>0</v>
      </c>
      <c r="BA523" s="284" t="n">
        <f aca="false">IFERROR(($J523*X523)*$M523, "")</f>
        <v>0</v>
      </c>
      <c r="BB523" s="284" t="n">
        <f aca="false">IFERROR(($J523*Y523)*$M523, "")</f>
        <v>0</v>
      </c>
      <c r="BC523" s="285" t="n">
        <f aca="false">IFERROR(($J523*Z523)*$M523, "")</f>
        <v>0</v>
      </c>
      <c r="BD523" s="286" t="n">
        <f aca="false">IFERROR(SUMIF($AB$4:$AM$4, "RDEC", AR523:BC523), "")</f>
        <v>0</v>
      </c>
      <c r="BE523" s="286" t="n">
        <f aca="false">IFERROR(SUMIF($AB$4:$AM$4, "SME", AR523:BC523), "")</f>
        <v>0</v>
      </c>
      <c r="BF523" s="286" t="n">
        <f aca="false">IFERROR(SUMIF($AB$4:$AM$4, "De Minimis", AR523:BC523), "")</f>
        <v>0</v>
      </c>
      <c r="BG523" s="287"/>
      <c r="BH523" s="288" t="str">
        <f aca="false">IF((SUM(O523:Z523)&gt;1),"ERROR","")</f>
        <v/>
      </c>
      <c r="BI523" s="287"/>
      <c r="BJ523" s="18" t="str">
        <f aca="false">IF(C509&gt;0, C509, "")</f>
        <v/>
      </c>
      <c r="BL523" s="200"/>
      <c r="BM523" s="200"/>
      <c r="BN523" s="200"/>
    </row>
    <row r="524" customFormat="false" ht="15" hidden="false" customHeight="true" outlineLevel="0" collapsed="false">
      <c r="B524" s="275"/>
      <c r="D524" s="276" t="n">
        <f aca="false">D508</f>
        <v>45413</v>
      </c>
      <c r="E524" s="277" t="n">
        <v>0</v>
      </c>
      <c r="F524" s="277" t="n">
        <v>0</v>
      </c>
      <c r="G524" s="277" t="n">
        <v>0</v>
      </c>
      <c r="H524" s="277" t="n">
        <v>0</v>
      </c>
      <c r="I524" s="277" t="n">
        <v>0</v>
      </c>
      <c r="J524" s="278" t="n">
        <f aca="false">E524+H524+I524</f>
        <v>0</v>
      </c>
      <c r="K524" s="204"/>
      <c r="L524" s="279" t="n">
        <v>1</v>
      </c>
      <c r="M524" s="280" t="n">
        <f aca="false">1-L524</f>
        <v>0</v>
      </c>
      <c r="N524" s="281"/>
      <c r="O524" s="282"/>
      <c r="P524" s="282"/>
      <c r="Q524" s="282"/>
      <c r="R524" s="282"/>
      <c r="S524" s="282"/>
      <c r="T524" s="282"/>
      <c r="U524" s="282"/>
      <c r="V524" s="282"/>
      <c r="W524" s="282"/>
      <c r="X524" s="282"/>
      <c r="Y524" s="282"/>
      <c r="Z524" s="282"/>
      <c r="AA524" s="283"/>
      <c r="AB524" s="284" t="n">
        <f aca="false">IFERROR(($J524*O524)*$L524, "")</f>
        <v>0</v>
      </c>
      <c r="AC524" s="284" t="n">
        <f aca="false">IFERROR(($J524*P524)*$L524, "")</f>
        <v>0</v>
      </c>
      <c r="AD524" s="284" t="n">
        <f aca="false">IFERROR(($J524*Q524)*$L524, "")</f>
        <v>0</v>
      </c>
      <c r="AE524" s="284" t="n">
        <f aca="false">IFERROR(($J524*R524)*$L524, "")</f>
        <v>0</v>
      </c>
      <c r="AF524" s="284" t="n">
        <f aca="false">IFERROR(($J524*S524)*$L524, "")</f>
        <v>0</v>
      </c>
      <c r="AG524" s="284" t="n">
        <f aca="false">IFERROR(($J524*T524)*$L524, "")</f>
        <v>0</v>
      </c>
      <c r="AH524" s="284" t="n">
        <f aca="false">IFERROR(($J524*U524)*$L524, "")</f>
        <v>0</v>
      </c>
      <c r="AI524" s="284" t="n">
        <f aca="false">IFERROR(($J524*V524)*$L524, "")</f>
        <v>0</v>
      </c>
      <c r="AJ524" s="284" t="n">
        <f aca="false">IFERROR(($J524*W524)*$L524, "")</f>
        <v>0</v>
      </c>
      <c r="AK524" s="284" t="n">
        <f aca="false">IFERROR(($J524*X524)*$L524, "")</f>
        <v>0</v>
      </c>
      <c r="AL524" s="284" t="n">
        <f aca="false">IFERROR(($J524*Y524)*$L524, "")</f>
        <v>0</v>
      </c>
      <c r="AM524" s="285" t="n">
        <f aca="false">IFERROR(($J524*Z524)*$L524, "")</f>
        <v>0</v>
      </c>
      <c r="AN524" s="286" t="n">
        <f aca="false">IFERROR(SUMIF($AB$4:$AM$4, "RDEC", AB524:AM524), "")</f>
        <v>0</v>
      </c>
      <c r="AO524" s="286" t="n">
        <f aca="false">IFERROR(SUMIF($AB$4:$AM$4, "SME", AB524:AM524), "")</f>
        <v>0</v>
      </c>
      <c r="AP524" s="286" t="n">
        <f aca="false">IFERROR(SUMIF($AB$4:$AM$4, "De Minimis", AB524:AM524), "")</f>
        <v>0</v>
      </c>
      <c r="AQ524" s="283"/>
      <c r="AR524" s="284" t="n">
        <f aca="false">IFERROR(($J524*O524)*$M524, "")</f>
        <v>0</v>
      </c>
      <c r="AS524" s="284" t="n">
        <f aca="false">IFERROR(($J524*P524)*$M524, "")</f>
        <v>0</v>
      </c>
      <c r="AT524" s="284" t="n">
        <f aca="false">IFERROR(($J524*Q524)*$M524, "")</f>
        <v>0</v>
      </c>
      <c r="AU524" s="284" t="n">
        <f aca="false">IFERROR(($J524*R524)*$M524, "")</f>
        <v>0</v>
      </c>
      <c r="AV524" s="284" t="n">
        <f aca="false">IFERROR(($J524*S524)*$M524, "")</f>
        <v>0</v>
      </c>
      <c r="AW524" s="284" t="n">
        <f aca="false">IFERROR(($J524*T524)*$M524, "")</f>
        <v>0</v>
      </c>
      <c r="AX524" s="284" t="n">
        <f aca="false">IFERROR(($J524*U524)*$M524, "")</f>
        <v>0</v>
      </c>
      <c r="AY524" s="284" t="n">
        <f aca="false">IFERROR(($J524*V524)*$M524, "")</f>
        <v>0</v>
      </c>
      <c r="AZ524" s="284" t="n">
        <f aca="false">IFERROR(($J524*W524)*$M524, "")</f>
        <v>0</v>
      </c>
      <c r="BA524" s="284" t="n">
        <f aca="false">IFERROR(($J524*X524)*$M524, "")</f>
        <v>0</v>
      </c>
      <c r="BB524" s="284" t="n">
        <f aca="false">IFERROR(($J524*Y524)*$M524, "")</f>
        <v>0</v>
      </c>
      <c r="BC524" s="285" t="n">
        <f aca="false">IFERROR(($J524*Z524)*$M524, "")</f>
        <v>0</v>
      </c>
      <c r="BD524" s="286" t="n">
        <f aca="false">IFERROR(SUMIF($AB$4:$AM$4, "RDEC", AR524:BC524), "")</f>
        <v>0</v>
      </c>
      <c r="BE524" s="286" t="n">
        <f aca="false">IFERROR(SUMIF($AB$4:$AM$4, "SME", AR524:BC524), "")</f>
        <v>0</v>
      </c>
      <c r="BF524" s="286" t="n">
        <f aca="false">IFERROR(SUMIF($AB$4:$AM$4, "De Minimis", AR524:BC524), "")</f>
        <v>0</v>
      </c>
      <c r="BG524" s="287"/>
      <c r="BH524" s="288" t="str">
        <f aca="false">IF((SUM(O524:Z524)&gt;1),"ERROR","")</f>
        <v/>
      </c>
      <c r="BI524" s="287"/>
      <c r="BJ524" s="18" t="str">
        <f aca="false">IF(C510&gt;0, C510, "")</f>
        <v/>
      </c>
      <c r="BL524" s="200"/>
      <c r="BM524" s="200"/>
      <c r="BN524" s="200"/>
    </row>
    <row r="525" customFormat="false" ht="15" hidden="false" customHeight="true" outlineLevel="0" collapsed="false">
      <c r="B525" s="275"/>
      <c r="D525" s="276" t="n">
        <f aca="false">D509</f>
        <v>45444</v>
      </c>
      <c r="E525" s="277" t="n">
        <v>0</v>
      </c>
      <c r="F525" s="277" t="n">
        <v>0</v>
      </c>
      <c r="G525" s="277" t="n">
        <v>0</v>
      </c>
      <c r="H525" s="277" t="n">
        <v>0</v>
      </c>
      <c r="I525" s="277" t="n">
        <v>0</v>
      </c>
      <c r="J525" s="278" t="n">
        <f aca="false">E525+H525+I525</f>
        <v>0</v>
      </c>
      <c r="K525" s="204"/>
      <c r="L525" s="279" t="n">
        <v>1</v>
      </c>
      <c r="M525" s="280" t="n">
        <f aca="false">1-L525</f>
        <v>0</v>
      </c>
      <c r="N525" s="281"/>
      <c r="O525" s="282"/>
      <c r="P525" s="282"/>
      <c r="Q525" s="282"/>
      <c r="R525" s="282"/>
      <c r="S525" s="282"/>
      <c r="T525" s="282"/>
      <c r="U525" s="282"/>
      <c r="V525" s="282"/>
      <c r="W525" s="282"/>
      <c r="X525" s="282"/>
      <c r="Y525" s="282"/>
      <c r="Z525" s="282"/>
      <c r="AA525" s="283"/>
      <c r="AB525" s="284" t="n">
        <f aca="false">IFERROR(($J525*O525)*$L525, "")</f>
        <v>0</v>
      </c>
      <c r="AC525" s="284" t="n">
        <f aca="false">IFERROR(($J525*P525)*$L525, "")</f>
        <v>0</v>
      </c>
      <c r="AD525" s="284" t="n">
        <f aca="false">IFERROR(($J525*Q525)*$L525, "")</f>
        <v>0</v>
      </c>
      <c r="AE525" s="284" t="n">
        <f aca="false">IFERROR(($J525*R525)*$L525, "")</f>
        <v>0</v>
      </c>
      <c r="AF525" s="284" t="n">
        <f aca="false">IFERROR(($J525*S525)*$L525, "")</f>
        <v>0</v>
      </c>
      <c r="AG525" s="284" t="n">
        <f aca="false">IFERROR(($J525*T525)*$L525, "")</f>
        <v>0</v>
      </c>
      <c r="AH525" s="284" t="n">
        <f aca="false">IFERROR(($J525*U525)*$L525, "")</f>
        <v>0</v>
      </c>
      <c r="AI525" s="284" t="n">
        <f aca="false">IFERROR(($J525*V525)*$L525, "")</f>
        <v>0</v>
      </c>
      <c r="AJ525" s="284" t="n">
        <f aca="false">IFERROR(($J525*W525)*$L525, "")</f>
        <v>0</v>
      </c>
      <c r="AK525" s="284" t="n">
        <f aca="false">IFERROR(($J525*X525)*$L525, "")</f>
        <v>0</v>
      </c>
      <c r="AL525" s="284" t="n">
        <f aca="false">IFERROR(($J525*Y525)*$L525, "")</f>
        <v>0</v>
      </c>
      <c r="AM525" s="285" t="n">
        <f aca="false">IFERROR(($J525*Z525)*$L525, "")</f>
        <v>0</v>
      </c>
      <c r="AN525" s="286" t="n">
        <f aca="false">IFERROR(SUMIF($AB$4:$AM$4, "RDEC", AB525:AM525), "")</f>
        <v>0</v>
      </c>
      <c r="AO525" s="286" t="n">
        <f aca="false">IFERROR(SUMIF($AB$4:$AM$4, "SME", AB525:AM525), "")</f>
        <v>0</v>
      </c>
      <c r="AP525" s="286" t="n">
        <f aca="false">IFERROR(SUMIF($AB$4:$AM$4, "De Minimis", AB525:AM525), "")</f>
        <v>0</v>
      </c>
      <c r="AQ525" s="283"/>
      <c r="AR525" s="284" t="n">
        <f aca="false">IFERROR(($J525*O525)*$M525, "")</f>
        <v>0</v>
      </c>
      <c r="AS525" s="284" t="n">
        <f aca="false">IFERROR(($J525*P525)*$M525, "")</f>
        <v>0</v>
      </c>
      <c r="AT525" s="284" t="n">
        <f aca="false">IFERROR(($J525*Q525)*$M525, "")</f>
        <v>0</v>
      </c>
      <c r="AU525" s="284" t="n">
        <f aca="false">IFERROR(($J525*R525)*$M525, "")</f>
        <v>0</v>
      </c>
      <c r="AV525" s="284" t="n">
        <f aca="false">IFERROR(($J525*S525)*$M525, "")</f>
        <v>0</v>
      </c>
      <c r="AW525" s="284" t="n">
        <f aca="false">IFERROR(($J525*T525)*$M525, "")</f>
        <v>0</v>
      </c>
      <c r="AX525" s="284" t="n">
        <f aca="false">IFERROR(($J525*U525)*$M525, "")</f>
        <v>0</v>
      </c>
      <c r="AY525" s="284" t="n">
        <f aca="false">IFERROR(($J525*V525)*$M525, "")</f>
        <v>0</v>
      </c>
      <c r="AZ525" s="284" t="n">
        <f aca="false">IFERROR(($J525*W525)*$M525, "")</f>
        <v>0</v>
      </c>
      <c r="BA525" s="284" t="n">
        <f aca="false">IFERROR(($J525*X525)*$M525, "")</f>
        <v>0</v>
      </c>
      <c r="BB525" s="284" t="n">
        <f aca="false">IFERROR(($J525*Y525)*$M525, "")</f>
        <v>0</v>
      </c>
      <c r="BC525" s="285" t="n">
        <f aca="false">IFERROR(($J525*Z525)*$M525, "")</f>
        <v>0</v>
      </c>
      <c r="BD525" s="286" t="n">
        <f aca="false">IFERROR(SUMIF($AB$4:$AM$4, "RDEC", AR525:BC525), "")</f>
        <v>0</v>
      </c>
      <c r="BE525" s="286" t="n">
        <f aca="false">IFERROR(SUMIF($AB$4:$AM$4, "SME", AR525:BC525), "")</f>
        <v>0</v>
      </c>
      <c r="BF525" s="286" t="n">
        <f aca="false">IFERROR(SUMIF($AB$4:$AM$4, "De Minimis", AR525:BC525), "")</f>
        <v>0</v>
      </c>
      <c r="BG525" s="287"/>
      <c r="BH525" s="288" t="str">
        <f aca="false">IF((SUM(O525:Z525)&gt;1),"ERROR","")</f>
        <v/>
      </c>
      <c r="BI525" s="287"/>
      <c r="BJ525" s="18" t="str">
        <f aca="false">IF(C511&gt;0, C511, "")</f>
        <v/>
      </c>
      <c r="BL525" s="200"/>
      <c r="BM525" s="200"/>
      <c r="BN525" s="200"/>
    </row>
    <row r="526" customFormat="false" ht="15" hidden="false" customHeight="true" outlineLevel="0" collapsed="false">
      <c r="B526" s="275"/>
      <c r="D526" s="276" t="n">
        <f aca="false">D510</f>
        <v>45474</v>
      </c>
      <c r="E526" s="277" t="n">
        <v>0</v>
      </c>
      <c r="F526" s="277" t="n">
        <v>0</v>
      </c>
      <c r="G526" s="277" t="n">
        <v>0</v>
      </c>
      <c r="H526" s="277" t="n">
        <v>0</v>
      </c>
      <c r="I526" s="277" t="n">
        <v>0</v>
      </c>
      <c r="J526" s="278" t="n">
        <f aca="false">E526+H526+I526</f>
        <v>0</v>
      </c>
      <c r="K526" s="204"/>
      <c r="L526" s="279" t="n">
        <v>1</v>
      </c>
      <c r="M526" s="280" t="n">
        <f aca="false">1-L526</f>
        <v>0</v>
      </c>
      <c r="N526" s="281"/>
      <c r="O526" s="282"/>
      <c r="P526" s="282"/>
      <c r="Q526" s="282"/>
      <c r="R526" s="282"/>
      <c r="S526" s="282"/>
      <c r="T526" s="282"/>
      <c r="U526" s="282"/>
      <c r="V526" s="282"/>
      <c r="W526" s="282"/>
      <c r="X526" s="282"/>
      <c r="Y526" s="282"/>
      <c r="Z526" s="282"/>
      <c r="AA526" s="283"/>
      <c r="AB526" s="284" t="n">
        <f aca="false">IFERROR(($J526*O526)*$L526, "")</f>
        <v>0</v>
      </c>
      <c r="AC526" s="284" t="n">
        <f aca="false">IFERROR(($J526*P526)*$L526, "")</f>
        <v>0</v>
      </c>
      <c r="AD526" s="284" t="n">
        <f aca="false">IFERROR(($J526*Q526)*$L526, "")</f>
        <v>0</v>
      </c>
      <c r="AE526" s="284" t="n">
        <f aca="false">IFERROR(($J526*R526)*$L526, "")</f>
        <v>0</v>
      </c>
      <c r="AF526" s="284" t="n">
        <f aca="false">IFERROR(($J526*S526)*$L526, "")</f>
        <v>0</v>
      </c>
      <c r="AG526" s="284" t="n">
        <f aca="false">IFERROR(($J526*T526)*$L526, "")</f>
        <v>0</v>
      </c>
      <c r="AH526" s="284" t="n">
        <f aca="false">IFERROR(($J526*U526)*$L526, "")</f>
        <v>0</v>
      </c>
      <c r="AI526" s="284" t="n">
        <f aca="false">IFERROR(($J526*V526)*$L526, "")</f>
        <v>0</v>
      </c>
      <c r="AJ526" s="284" t="n">
        <f aca="false">IFERROR(($J526*W526)*$L526, "")</f>
        <v>0</v>
      </c>
      <c r="AK526" s="284" t="n">
        <f aca="false">IFERROR(($J526*X526)*$L526, "")</f>
        <v>0</v>
      </c>
      <c r="AL526" s="284" t="n">
        <f aca="false">IFERROR(($J526*Y526)*$L526, "")</f>
        <v>0</v>
      </c>
      <c r="AM526" s="285" t="n">
        <f aca="false">IFERROR(($J526*Z526)*$L526, "")</f>
        <v>0</v>
      </c>
      <c r="AN526" s="286" t="n">
        <f aca="false">IFERROR(SUMIF($AB$4:$AM$4, "RDEC", AB526:AM526), "")</f>
        <v>0</v>
      </c>
      <c r="AO526" s="286" t="n">
        <f aca="false">IFERROR(SUMIF($AB$4:$AM$4, "SME", AB526:AM526), "")</f>
        <v>0</v>
      </c>
      <c r="AP526" s="286" t="n">
        <f aca="false">IFERROR(SUMIF($AB$4:$AM$4, "De Minimis", AB526:AM526), "")</f>
        <v>0</v>
      </c>
      <c r="AQ526" s="283"/>
      <c r="AR526" s="284" t="n">
        <f aca="false">IFERROR(($J526*O526)*$M526, "")</f>
        <v>0</v>
      </c>
      <c r="AS526" s="284" t="n">
        <f aca="false">IFERROR(($J526*P526)*$M526, "")</f>
        <v>0</v>
      </c>
      <c r="AT526" s="284" t="n">
        <f aca="false">IFERROR(($J526*Q526)*$M526, "")</f>
        <v>0</v>
      </c>
      <c r="AU526" s="284" t="n">
        <f aca="false">IFERROR(($J526*R526)*$M526, "")</f>
        <v>0</v>
      </c>
      <c r="AV526" s="284" t="n">
        <f aca="false">IFERROR(($J526*S526)*$M526, "")</f>
        <v>0</v>
      </c>
      <c r="AW526" s="284" t="n">
        <f aca="false">IFERROR(($J526*T526)*$M526, "")</f>
        <v>0</v>
      </c>
      <c r="AX526" s="284" t="n">
        <f aca="false">IFERROR(($J526*U526)*$M526, "")</f>
        <v>0</v>
      </c>
      <c r="AY526" s="284" t="n">
        <f aca="false">IFERROR(($J526*V526)*$M526, "")</f>
        <v>0</v>
      </c>
      <c r="AZ526" s="284" t="n">
        <f aca="false">IFERROR(($J526*W526)*$M526, "")</f>
        <v>0</v>
      </c>
      <c r="BA526" s="284" t="n">
        <f aca="false">IFERROR(($J526*X526)*$M526, "")</f>
        <v>0</v>
      </c>
      <c r="BB526" s="284" t="n">
        <f aca="false">IFERROR(($J526*Y526)*$M526, "")</f>
        <v>0</v>
      </c>
      <c r="BC526" s="285" t="n">
        <f aca="false">IFERROR(($J526*Z526)*$M526, "")</f>
        <v>0</v>
      </c>
      <c r="BD526" s="286" t="n">
        <f aca="false">IFERROR(SUMIF($AB$4:$AM$4, "RDEC", AR526:BC526), "")</f>
        <v>0</v>
      </c>
      <c r="BE526" s="286" t="n">
        <f aca="false">IFERROR(SUMIF($AB$4:$AM$4, "SME", AR526:BC526), "")</f>
        <v>0</v>
      </c>
      <c r="BF526" s="286" t="n">
        <f aca="false">IFERROR(SUMIF($AB$4:$AM$4, "De Minimis", AR526:BC526), "")</f>
        <v>0</v>
      </c>
      <c r="BG526" s="287"/>
      <c r="BH526" s="288" t="str">
        <f aca="false">IF((SUM(O526:Z526)&gt;1),"ERROR","")</f>
        <v/>
      </c>
      <c r="BI526" s="287"/>
      <c r="BJ526" s="18" t="str">
        <f aca="false">IF(C512&gt;0, C512, "")</f>
        <v/>
      </c>
      <c r="BL526" s="200"/>
      <c r="BM526" s="200"/>
      <c r="BN526" s="200"/>
    </row>
    <row r="527" customFormat="false" ht="15" hidden="false" customHeight="true" outlineLevel="0" collapsed="false">
      <c r="B527" s="275"/>
      <c r="D527" s="276" t="n">
        <f aca="false">D511</f>
        <v>45505</v>
      </c>
      <c r="E527" s="277" t="n">
        <v>0</v>
      </c>
      <c r="F527" s="277" t="n">
        <v>0</v>
      </c>
      <c r="G527" s="277" t="n">
        <v>0</v>
      </c>
      <c r="H527" s="277" t="n">
        <v>0</v>
      </c>
      <c r="I527" s="277" t="n">
        <v>0</v>
      </c>
      <c r="J527" s="278" t="n">
        <f aca="false">E527+H527+I527</f>
        <v>0</v>
      </c>
      <c r="K527" s="204"/>
      <c r="L527" s="279" t="n">
        <v>1</v>
      </c>
      <c r="M527" s="280" t="n">
        <f aca="false">1-L527</f>
        <v>0</v>
      </c>
      <c r="N527" s="281"/>
      <c r="O527" s="282"/>
      <c r="P527" s="282"/>
      <c r="Q527" s="282"/>
      <c r="R527" s="282"/>
      <c r="S527" s="282"/>
      <c r="T527" s="282"/>
      <c r="U527" s="282"/>
      <c r="V527" s="282"/>
      <c r="W527" s="282"/>
      <c r="X527" s="282"/>
      <c r="Y527" s="282"/>
      <c r="Z527" s="282"/>
      <c r="AA527" s="283"/>
      <c r="AB527" s="284" t="n">
        <f aca="false">IFERROR(($J527*O527)*$L527, "")</f>
        <v>0</v>
      </c>
      <c r="AC527" s="284" t="n">
        <f aca="false">IFERROR(($J527*P527)*$L527, "")</f>
        <v>0</v>
      </c>
      <c r="AD527" s="284" t="n">
        <f aca="false">IFERROR(($J527*Q527)*$L527, "")</f>
        <v>0</v>
      </c>
      <c r="AE527" s="284" t="n">
        <f aca="false">IFERROR(($J527*R527)*$L527, "")</f>
        <v>0</v>
      </c>
      <c r="AF527" s="284" t="n">
        <f aca="false">IFERROR(($J527*S527)*$L527, "")</f>
        <v>0</v>
      </c>
      <c r="AG527" s="284" t="n">
        <f aca="false">IFERROR(($J527*T527)*$L527, "")</f>
        <v>0</v>
      </c>
      <c r="AH527" s="284" t="n">
        <f aca="false">IFERROR(($J527*U527)*$L527, "")</f>
        <v>0</v>
      </c>
      <c r="AI527" s="284" t="n">
        <f aca="false">IFERROR(($J527*V527)*$L527, "")</f>
        <v>0</v>
      </c>
      <c r="AJ527" s="284" t="n">
        <f aca="false">IFERROR(($J527*W527)*$L527, "")</f>
        <v>0</v>
      </c>
      <c r="AK527" s="284" t="n">
        <f aca="false">IFERROR(($J527*X527)*$L527, "")</f>
        <v>0</v>
      </c>
      <c r="AL527" s="284" t="n">
        <f aca="false">IFERROR(($J527*Y527)*$L527, "")</f>
        <v>0</v>
      </c>
      <c r="AM527" s="285" t="n">
        <f aca="false">IFERROR(($J527*Z527)*$L527, "")</f>
        <v>0</v>
      </c>
      <c r="AN527" s="286" t="n">
        <f aca="false">IFERROR(SUMIF($AB$4:$AM$4, "RDEC", AB527:AM527), "")</f>
        <v>0</v>
      </c>
      <c r="AO527" s="286" t="n">
        <f aca="false">IFERROR(SUMIF($AB$4:$AM$4, "SME", AB527:AM527), "")</f>
        <v>0</v>
      </c>
      <c r="AP527" s="286" t="n">
        <f aca="false">IFERROR(SUMIF($AB$4:$AM$4, "De Minimis", AB527:AM527), "")</f>
        <v>0</v>
      </c>
      <c r="AQ527" s="283"/>
      <c r="AR527" s="284" t="n">
        <f aca="false">IFERROR(($J527*O527)*$M527, "")</f>
        <v>0</v>
      </c>
      <c r="AS527" s="284" t="n">
        <f aca="false">IFERROR(($J527*P527)*$M527, "")</f>
        <v>0</v>
      </c>
      <c r="AT527" s="284" t="n">
        <f aca="false">IFERROR(($J527*Q527)*$M527, "")</f>
        <v>0</v>
      </c>
      <c r="AU527" s="284" t="n">
        <f aca="false">IFERROR(($J527*R527)*$M527, "")</f>
        <v>0</v>
      </c>
      <c r="AV527" s="284" t="n">
        <f aca="false">IFERROR(($J527*S527)*$M527, "")</f>
        <v>0</v>
      </c>
      <c r="AW527" s="284" t="n">
        <f aca="false">IFERROR(($J527*T527)*$M527, "")</f>
        <v>0</v>
      </c>
      <c r="AX527" s="284" t="n">
        <f aca="false">IFERROR(($J527*U527)*$M527, "")</f>
        <v>0</v>
      </c>
      <c r="AY527" s="284" t="n">
        <f aca="false">IFERROR(($J527*V527)*$M527, "")</f>
        <v>0</v>
      </c>
      <c r="AZ527" s="284" t="n">
        <f aca="false">IFERROR(($J527*W527)*$M527, "")</f>
        <v>0</v>
      </c>
      <c r="BA527" s="284" t="n">
        <f aca="false">IFERROR(($J527*X527)*$M527, "")</f>
        <v>0</v>
      </c>
      <c r="BB527" s="284" t="n">
        <f aca="false">IFERROR(($J527*Y527)*$M527, "")</f>
        <v>0</v>
      </c>
      <c r="BC527" s="285" t="n">
        <f aca="false">IFERROR(($J527*Z527)*$M527, "")</f>
        <v>0</v>
      </c>
      <c r="BD527" s="286" t="n">
        <f aca="false">IFERROR(SUMIF($AB$4:$AM$4, "RDEC", AR527:BC527), "")</f>
        <v>0</v>
      </c>
      <c r="BE527" s="286" t="n">
        <f aca="false">IFERROR(SUMIF($AB$4:$AM$4, "SME", AR527:BC527), "")</f>
        <v>0</v>
      </c>
      <c r="BF527" s="286" t="n">
        <f aca="false">IFERROR(SUMIF($AB$4:$AM$4, "De Minimis", AR527:BC527), "")</f>
        <v>0</v>
      </c>
      <c r="BG527" s="287"/>
      <c r="BH527" s="288" t="str">
        <f aca="false">IF((SUM(O527:Z527)&gt;1),"ERROR","")</f>
        <v/>
      </c>
      <c r="BI527" s="287"/>
      <c r="BJ527" s="18" t="str">
        <f aca="false">IF(C513&gt;0, C513, "")</f>
        <v/>
      </c>
      <c r="BL527" s="200"/>
      <c r="BM527" s="200"/>
      <c r="BN527" s="200"/>
    </row>
    <row r="528" customFormat="false" ht="15" hidden="false" customHeight="true" outlineLevel="0" collapsed="false">
      <c r="B528" s="275"/>
      <c r="D528" s="276" t="n">
        <f aca="false">D512</f>
        <v>45536</v>
      </c>
      <c r="E528" s="277" t="n">
        <v>0</v>
      </c>
      <c r="F528" s="277" t="n">
        <v>0</v>
      </c>
      <c r="G528" s="277" t="n">
        <v>0</v>
      </c>
      <c r="H528" s="277" t="n">
        <v>0</v>
      </c>
      <c r="I528" s="277" t="n">
        <v>0</v>
      </c>
      <c r="J528" s="278" t="n">
        <f aca="false">E528+H528+I528</f>
        <v>0</v>
      </c>
      <c r="K528" s="204"/>
      <c r="L528" s="279" t="n">
        <v>1</v>
      </c>
      <c r="M528" s="280" t="n">
        <f aca="false">1-L528</f>
        <v>0</v>
      </c>
      <c r="N528" s="281"/>
      <c r="O528" s="282"/>
      <c r="P528" s="282"/>
      <c r="Q528" s="282"/>
      <c r="R528" s="282"/>
      <c r="S528" s="282"/>
      <c r="T528" s="282"/>
      <c r="U528" s="282"/>
      <c r="V528" s="282"/>
      <c r="W528" s="282"/>
      <c r="X528" s="282"/>
      <c r="Y528" s="282"/>
      <c r="Z528" s="282"/>
      <c r="AA528" s="283"/>
      <c r="AB528" s="284" t="n">
        <f aca="false">IFERROR(($J528*O528)*$L528, "")</f>
        <v>0</v>
      </c>
      <c r="AC528" s="284" t="n">
        <f aca="false">IFERROR(($J528*P528)*$L528, "")</f>
        <v>0</v>
      </c>
      <c r="AD528" s="284" t="n">
        <f aca="false">IFERROR(($J528*Q528)*$L528, "")</f>
        <v>0</v>
      </c>
      <c r="AE528" s="284" t="n">
        <f aca="false">IFERROR(($J528*R528)*$L528, "")</f>
        <v>0</v>
      </c>
      <c r="AF528" s="284" t="n">
        <f aca="false">IFERROR(($J528*S528)*$L528, "")</f>
        <v>0</v>
      </c>
      <c r="AG528" s="284" t="n">
        <f aca="false">IFERROR(($J528*T528)*$L528, "")</f>
        <v>0</v>
      </c>
      <c r="AH528" s="284" t="n">
        <f aca="false">IFERROR(($J528*U528)*$L528, "")</f>
        <v>0</v>
      </c>
      <c r="AI528" s="284" t="n">
        <f aca="false">IFERROR(($J528*V528)*$L528, "")</f>
        <v>0</v>
      </c>
      <c r="AJ528" s="284" t="n">
        <f aca="false">IFERROR(($J528*W528)*$L528, "")</f>
        <v>0</v>
      </c>
      <c r="AK528" s="284" t="n">
        <f aca="false">IFERROR(($J528*X528)*$L528, "")</f>
        <v>0</v>
      </c>
      <c r="AL528" s="284" t="n">
        <f aca="false">IFERROR(($J528*Y528)*$L528, "")</f>
        <v>0</v>
      </c>
      <c r="AM528" s="285" t="n">
        <f aca="false">IFERROR(($J528*Z528)*$L528, "")</f>
        <v>0</v>
      </c>
      <c r="AN528" s="286" t="n">
        <f aca="false">IFERROR(SUMIF($AB$4:$AM$4, "RDEC", AB528:AM528), "")</f>
        <v>0</v>
      </c>
      <c r="AO528" s="286" t="n">
        <f aca="false">IFERROR(SUMIF($AB$4:$AM$4, "SME", AB528:AM528), "")</f>
        <v>0</v>
      </c>
      <c r="AP528" s="286" t="n">
        <f aca="false">IFERROR(SUMIF($AB$4:$AM$4, "De Minimis", AB528:AM528), "")</f>
        <v>0</v>
      </c>
      <c r="AQ528" s="283"/>
      <c r="AR528" s="284" t="n">
        <f aca="false">IFERROR(($J528*O528)*$M528, "")</f>
        <v>0</v>
      </c>
      <c r="AS528" s="284" t="n">
        <f aca="false">IFERROR(($J528*P528)*$M528, "")</f>
        <v>0</v>
      </c>
      <c r="AT528" s="284" t="n">
        <f aca="false">IFERROR(($J528*Q528)*$M528, "")</f>
        <v>0</v>
      </c>
      <c r="AU528" s="284" t="n">
        <f aca="false">IFERROR(($J528*R528)*$M528, "")</f>
        <v>0</v>
      </c>
      <c r="AV528" s="284" t="n">
        <f aca="false">IFERROR(($J528*S528)*$M528, "")</f>
        <v>0</v>
      </c>
      <c r="AW528" s="284" t="n">
        <f aca="false">IFERROR(($J528*T528)*$M528, "")</f>
        <v>0</v>
      </c>
      <c r="AX528" s="284" t="n">
        <f aca="false">IFERROR(($J528*U528)*$M528, "")</f>
        <v>0</v>
      </c>
      <c r="AY528" s="284" t="n">
        <f aca="false">IFERROR(($J528*V528)*$M528, "")</f>
        <v>0</v>
      </c>
      <c r="AZ528" s="284" t="n">
        <f aca="false">IFERROR(($J528*W528)*$M528, "")</f>
        <v>0</v>
      </c>
      <c r="BA528" s="284" t="n">
        <f aca="false">IFERROR(($J528*X528)*$M528, "")</f>
        <v>0</v>
      </c>
      <c r="BB528" s="284" t="n">
        <f aca="false">IFERROR(($J528*Y528)*$M528, "")</f>
        <v>0</v>
      </c>
      <c r="BC528" s="285" t="n">
        <f aca="false">IFERROR(($J528*Z528)*$M528, "")</f>
        <v>0</v>
      </c>
      <c r="BD528" s="286" t="n">
        <f aca="false">IFERROR(SUMIF($AB$4:$AM$4, "RDEC", AR528:BC528), "")</f>
        <v>0</v>
      </c>
      <c r="BE528" s="286" t="n">
        <f aca="false">IFERROR(SUMIF($AB$4:$AM$4, "SME", AR528:BC528), "")</f>
        <v>0</v>
      </c>
      <c r="BF528" s="286" t="n">
        <f aca="false">IFERROR(SUMIF($AB$4:$AM$4, "De Minimis", AR528:BC528), "")</f>
        <v>0</v>
      </c>
      <c r="BG528" s="287"/>
      <c r="BH528" s="288" t="str">
        <f aca="false">IF((SUM(O528:Z528)&gt;1),"ERROR","")</f>
        <v/>
      </c>
      <c r="BI528" s="287"/>
      <c r="BJ528" s="18" t="str">
        <f aca="false">IF(C514&gt;0, C514, "")</f>
        <v/>
      </c>
      <c r="BL528" s="200"/>
      <c r="BM528" s="200"/>
      <c r="BN528" s="200"/>
    </row>
    <row r="529" customFormat="false" ht="15" hidden="false" customHeight="true" outlineLevel="0" collapsed="false">
      <c r="B529" s="275"/>
      <c r="D529" s="276" t="n">
        <f aca="false">D513</f>
        <v>45566</v>
      </c>
      <c r="E529" s="277" t="n">
        <v>0</v>
      </c>
      <c r="F529" s="277" t="n">
        <v>0</v>
      </c>
      <c r="G529" s="277" t="n">
        <v>0</v>
      </c>
      <c r="H529" s="277" t="n">
        <v>0</v>
      </c>
      <c r="I529" s="277" t="n">
        <v>0</v>
      </c>
      <c r="J529" s="278" t="n">
        <f aca="false">E529+H529+I529</f>
        <v>0</v>
      </c>
      <c r="K529" s="204"/>
      <c r="L529" s="279" t="n">
        <v>1</v>
      </c>
      <c r="M529" s="280" t="n">
        <f aca="false">1-L529</f>
        <v>0</v>
      </c>
      <c r="N529" s="281"/>
      <c r="O529" s="282"/>
      <c r="P529" s="282"/>
      <c r="Q529" s="282"/>
      <c r="R529" s="282"/>
      <c r="S529" s="282"/>
      <c r="T529" s="282"/>
      <c r="U529" s="282"/>
      <c r="V529" s="282"/>
      <c r="W529" s="282"/>
      <c r="X529" s="282"/>
      <c r="Y529" s="282"/>
      <c r="Z529" s="282"/>
      <c r="AA529" s="283"/>
      <c r="AB529" s="284" t="n">
        <f aca="false">IFERROR(($J529*O529)*$L529, "")</f>
        <v>0</v>
      </c>
      <c r="AC529" s="284" t="n">
        <f aca="false">IFERROR(($J529*P529)*$L529, "")</f>
        <v>0</v>
      </c>
      <c r="AD529" s="284" t="n">
        <f aca="false">IFERROR(($J529*Q529)*$L529, "")</f>
        <v>0</v>
      </c>
      <c r="AE529" s="284" t="n">
        <f aca="false">IFERROR(($J529*R529)*$L529, "")</f>
        <v>0</v>
      </c>
      <c r="AF529" s="284" t="n">
        <f aca="false">IFERROR(($J529*S529)*$L529, "")</f>
        <v>0</v>
      </c>
      <c r="AG529" s="284" t="n">
        <f aca="false">IFERROR(($J529*T529)*$L529, "")</f>
        <v>0</v>
      </c>
      <c r="AH529" s="284" t="n">
        <f aca="false">IFERROR(($J529*U529)*$L529, "")</f>
        <v>0</v>
      </c>
      <c r="AI529" s="284" t="n">
        <f aca="false">IFERROR(($J529*V529)*$L529, "")</f>
        <v>0</v>
      </c>
      <c r="AJ529" s="284" t="n">
        <f aca="false">IFERROR(($J529*W529)*$L529, "")</f>
        <v>0</v>
      </c>
      <c r="AK529" s="284" t="n">
        <f aca="false">IFERROR(($J529*X529)*$L529, "")</f>
        <v>0</v>
      </c>
      <c r="AL529" s="284" t="n">
        <f aca="false">IFERROR(($J529*Y529)*$L529, "")</f>
        <v>0</v>
      </c>
      <c r="AM529" s="285" t="n">
        <f aca="false">IFERROR(($J529*Z529)*$L529, "")</f>
        <v>0</v>
      </c>
      <c r="AN529" s="286" t="n">
        <f aca="false">IFERROR(SUMIF($AB$4:$AM$4, "RDEC", AB529:AM529), "")</f>
        <v>0</v>
      </c>
      <c r="AO529" s="286" t="n">
        <f aca="false">IFERROR(SUMIF($AB$4:$AM$4, "SME", AB529:AM529), "")</f>
        <v>0</v>
      </c>
      <c r="AP529" s="286" t="n">
        <f aca="false">IFERROR(SUMIF($AB$4:$AM$4, "De Minimis", AB529:AM529), "")</f>
        <v>0</v>
      </c>
      <c r="AQ529" s="283"/>
      <c r="AR529" s="284" t="n">
        <f aca="false">IFERROR(($J529*O529)*$M529, "")</f>
        <v>0</v>
      </c>
      <c r="AS529" s="284" t="n">
        <f aca="false">IFERROR(($J529*P529)*$M529, "")</f>
        <v>0</v>
      </c>
      <c r="AT529" s="284" t="n">
        <f aca="false">IFERROR(($J529*Q529)*$M529, "")</f>
        <v>0</v>
      </c>
      <c r="AU529" s="284" t="n">
        <f aca="false">IFERROR(($J529*R529)*$M529, "")</f>
        <v>0</v>
      </c>
      <c r="AV529" s="284" t="n">
        <f aca="false">IFERROR(($J529*S529)*$M529, "")</f>
        <v>0</v>
      </c>
      <c r="AW529" s="284" t="n">
        <f aca="false">IFERROR(($J529*T529)*$M529, "")</f>
        <v>0</v>
      </c>
      <c r="AX529" s="284" t="n">
        <f aca="false">IFERROR(($J529*U529)*$M529, "")</f>
        <v>0</v>
      </c>
      <c r="AY529" s="284" t="n">
        <f aca="false">IFERROR(($J529*V529)*$M529, "")</f>
        <v>0</v>
      </c>
      <c r="AZ529" s="284" t="n">
        <f aca="false">IFERROR(($J529*W529)*$M529, "")</f>
        <v>0</v>
      </c>
      <c r="BA529" s="284" t="n">
        <f aca="false">IFERROR(($J529*X529)*$M529, "")</f>
        <v>0</v>
      </c>
      <c r="BB529" s="284" t="n">
        <f aca="false">IFERROR(($J529*Y529)*$M529, "")</f>
        <v>0</v>
      </c>
      <c r="BC529" s="285" t="n">
        <f aca="false">IFERROR(($J529*Z529)*$M529, "")</f>
        <v>0</v>
      </c>
      <c r="BD529" s="286" t="n">
        <f aca="false">IFERROR(SUMIF($AB$4:$AM$4, "RDEC", AR529:BC529), "")</f>
        <v>0</v>
      </c>
      <c r="BE529" s="286" t="n">
        <f aca="false">IFERROR(SUMIF($AB$4:$AM$4, "SME", AR529:BC529), "")</f>
        <v>0</v>
      </c>
      <c r="BF529" s="286" t="n">
        <f aca="false">IFERROR(SUMIF($AB$4:$AM$4, "De Minimis", AR529:BC529), "")</f>
        <v>0</v>
      </c>
      <c r="BG529" s="287"/>
      <c r="BH529" s="288" t="str">
        <f aca="false">IF((SUM(O529:Z529)&gt;1),"ERROR","")</f>
        <v/>
      </c>
      <c r="BI529" s="287"/>
      <c r="BJ529" s="18" t="str">
        <f aca="false">IF(C515&gt;0, C515, "")</f>
        <v/>
      </c>
      <c r="BL529" s="200"/>
      <c r="BM529" s="200"/>
      <c r="BN529" s="200"/>
    </row>
    <row r="530" customFormat="false" ht="15" hidden="false" customHeight="true" outlineLevel="0" collapsed="false">
      <c r="B530" s="275"/>
      <c r="D530" s="276" t="n">
        <f aca="false">D514</f>
        <v>45597</v>
      </c>
      <c r="E530" s="277" t="n">
        <v>0</v>
      </c>
      <c r="F530" s="277" t="n">
        <v>0</v>
      </c>
      <c r="G530" s="277" t="n">
        <v>0</v>
      </c>
      <c r="H530" s="277" t="n">
        <v>0</v>
      </c>
      <c r="I530" s="277" t="n">
        <v>0</v>
      </c>
      <c r="J530" s="278" t="n">
        <f aca="false">E530+H530+I530</f>
        <v>0</v>
      </c>
      <c r="K530" s="204"/>
      <c r="L530" s="279" t="n">
        <v>1</v>
      </c>
      <c r="M530" s="280" t="n">
        <f aca="false">1-L530</f>
        <v>0</v>
      </c>
      <c r="N530" s="281"/>
      <c r="O530" s="282"/>
      <c r="P530" s="282"/>
      <c r="Q530" s="282"/>
      <c r="R530" s="282"/>
      <c r="S530" s="282"/>
      <c r="T530" s="282"/>
      <c r="U530" s="282"/>
      <c r="V530" s="282"/>
      <c r="W530" s="282"/>
      <c r="X530" s="282"/>
      <c r="Y530" s="282"/>
      <c r="Z530" s="282"/>
      <c r="AA530" s="283"/>
      <c r="AB530" s="284" t="n">
        <f aca="false">IFERROR(($J530*O530)*$L530, "")</f>
        <v>0</v>
      </c>
      <c r="AC530" s="284" t="n">
        <f aca="false">IFERROR(($J530*P530)*$L530, "")</f>
        <v>0</v>
      </c>
      <c r="AD530" s="284" t="n">
        <f aca="false">IFERROR(($J530*Q530)*$L530, "")</f>
        <v>0</v>
      </c>
      <c r="AE530" s="284" t="n">
        <f aca="false">IFERROR(($J530*R530)*$L530, "")</f>
        <v>0</v>
      </c>
      <c r="AF530" s="284" t="n">
        <f aca="false">IFERROR(($J530*S530)*$L530, "")</f>
        <v>0</v>
      </c>
      <c r="AG530" s="284" t="n">
        <f aca="false">IFERROR(($J530*T530)*$L530, "")</f>
        <v>0</v>
      </c>
      <c r="AH530" s="284" t="n">
        <f aca="false">IFERROR(($J530*U530)*$L530, "")</f>
        <v>0</v>
      </c>
      <c r="AI530" s="284" t="n">
        <f aca="false">IFERROR(($J530*V530)*$L530, "")</f>
        <v>0</v>
      </c>
      <c r="AJ530" s="284" t="n">
        <f aca="false">IFERROR(($J530*W530)*$L530, "")</f>
        <v>0</v>
      </c>
      <c r="AK530" s="284" t="n">
        <f aca="false">IFERROR(($J530*X530)*$L530, "")</f>
        <v>0</v>
      </c>
      <c r="AL530" s="284" t="n">
        <f aca="false">IFERROR(($J530*Y530)*$L530, "")</f>
        <v>0</v>
      </c>
      <c r="AM530" s="285" t="n">
        <f aca="false">IFERROR(($J530*Z530)*$L530, "")</f>
        <v>0</v>
      </c>
      <c r="AN530" s="286" t="n">
        <f aca="false">IFERROR(SUMIF($AB$4:$AM$4, "RDEC", AB530:AM530), "")</f>
        <v>0</v>
      </c>
      <c r="AO530" s="286" t="n">
        <f aca="false">IFERROR(SUMIF($AB$4:$AM$4, "SME", AB530:AM530), "")</f>
        <v>0</v>
      </c>
      <c r="AP530" s="286" t="n">
        <f aca="false">IFERROR(SUMIF($AB$4:$AM$4, "De Minimis", AB530:AM530), "")</f>
        <v>0</v>
      </c>
      <c r="AQ530" s="283"/>
      <c r="AR530" s="284" t="n">
        <f aca="false">IFERROR(($J530*O530)*$M530, "")</f>
        <v>0</v>
      </c>
      <c r="AS530" s="284" t="n">
        <f aca="false">IFERROR(($J530*P530)*$M530, "")</f>
        <v>0</v>
      </c>
      <c r="AT530" s="284" t="n">
        <f aca="false">IFERROR(($J530*Q530)*$M530, "")</f>
        <v>0</v>
      </c>
      <c r="AU530" s="284" t="n">
        <f aca="false">IFERROR(($J530*R530)*$M530, "")</f>
        <v>0</v>
      </c>
      <c r="AV530" s="284" t="n">
        <f aca="false">IFERROR(($J530*S530)*$M530, "")</f>
        <v>0</v>
      </c>
      <c r="AW530" s="284" t="n">
        <f aca="false">IFERROR(($J530*T530)*$M530, "")</f>
        <v>0</v>
      </c>
      <c r="AX530" s="284" t="n">
        <f aca="false">IFERROR(($J530*U530)*$M530, "")</f>
        <v>0</v>
      </c>
      <c r="AY530" s="284" t="n">
        <f aca="false">IFERROR(($J530*V530)*$M530, "")</f>
        <v>0</v>
      </c>
      <c r="AZ530" s="284" t="n">
        <f aca="false">IFERROR(($J530*W530)*$M530, "")</f>
        <v>0</v>
      </c>
      <c r="BA530" s="284" t="n">
        <f aca="false">IFERROR(($J530*X530)*$M530, "")</f>
        <v>0</v>
      </c>
      <c r="BB530" s="284" t="n">
        <f aca="false">IFERROR(($J530*Y530)*$M530, "")</f>
        <v>0</v>
      </c>
      <c r="BC530" s="285" t="n">
        <f aca="false">IFERROR(($J530*Z530)*$M530, "")</f>
        <v>0</v>
      </c>
      <c r="BD530" s="286" t="n">
        <f aca="false">IFERROR(SUMIF($AB$4:$AM$4, "RDEC", AR530:BC530), "")</f>
        <v>0</v>
      </c>
      <c r="BE530" s="286" t="n">
        <f aca="false">IFERROR(SUMIF($AB$4:$AM$4, "SME", AR530:BC530), "")</f>
        <v>0</v>
      </c>
      <c r="BF530" s="286" t="n">
        <f aca="false">IFERROR(SUMIF($AB$4:$AM$4, "De Minimis", AR530:BC530), "")</f>
        <v>0</v>
      </c>
      <c r="BG530" s="287"/>
      <c r="BH530" s="288" t="str">
        <f aca="false">IF((SUM(O530:Z530)&gt;1),"ERROR","")</f>
        <v/>
      </c>
      <c r="BI530" s="287"/>
      <c r="BJ530" s="18" t="str">
        <f aca="false">IF(C516&gt;0, C516, "")</f>
        <v/>
      </c>
      <c r="BL530" s="200"/>
      <c r="BM530" s="200"/>
      <c r="BN530" s="200"/>
    </row>
    <row r="531" customFormat="false" ht="15" hidden="false" customHeight="true" outlineLevel="0" collapsed="false">
      <c r="B531" s="275"/>
      <c r="D531" s="276" t="n">
        <f aca="false">D515</f>
        <v>45627</v>
      </c>
      <c r="E531" s="277" t="n">
        <v>0</v>
      </c>
      <c r="F531" s="277" t="n">
        <v>0</v>
      </c>
      <c r="G531" s="277" t="n">
        <v>0</v>
      </c>
      <c r="H531" s="277" t="n">
        <v>0</v>
      </c>
      <c r="I531" s="277" t="n">
        <v>0</v>
      </c>
      <c r="J531" s="278" t="n">
        <f aca="false">E531+H531+I531</f>
        <v>0</v>
      </c>
      <c r="K531" s="204"/>
      <c r="L531" s="289" t="n">
        <v>1</v>
      </c>
      <c r="M531" s="290" t="n">
        <f aca="false">1-L531</f>
        <v>0</v>
      </c>
      <c r="N531" s="281"/>
      <c r="O531" s="291"/>
      <c r="P531" s="291"/>
      <c r="Q531" s="291"/>
      <c r="R531" s="291"/>
      <c r="S531" s="291"/>
      <c r="T531" s="291"/>
      <c r="U531" s="291"/>
      <c r="V531" s="291"/>
      <c r="W531" s="291"/>
      <c r="X531" s="291"/>
      <c r="Y531" s="291"/>
      <c r="Z531" s="291"/>
      <c r="AA531" s="283"/>
      <c r="AB531" s="292" t="n">
        <f aca="false">IFERROR(($J531*O531)*$L531, "")</f>
        <v>0</v>
      </c>
      <c r="AC531" s="292" t="n">
        <f aca="false">IFERROR(($J531*P531)*$L531, "")</f>
        <v>0</v>
      </c>
      <c r="AD531" s="292" t="n">
        <f aca="false">IFERROR(($J531*Q531)*$L531, "")</f>
        <v>0</v>
      </c>
      <c r="AE531" s="292" t="n">
        <f aca="false">IFERROR(($J531*R531)*$L531, "")</f>
        <v>0</v>
      </c>
      <c r="AF531" s="292" t="n">
        <f aca="false">IFERROR(($J531*S531)*$L531, "")</f>
        <v>0</v>
      </c>
      <c r="AG531" s="292" t="n">
        <f aca="false">IFERROR(($J531*T531)*$L531, "")</f>
        <v>0</v>
      </c>
      <c r="AH531" s="292" t="n">
        <f aca="false">IFERROR(($J531*U531)*$L531, "")</f>
        <v>0</v>
      </c>
      <c r="AI531" s="292" t="n">
        <f aca="false">IFERROR(($J531*V531)*$L531, "")</f>
        <v>0</v>
      </c>
      <c r="AJ531" s="292" t="n">
        <f aca="false">IFERROR(($J531*W531)*$L531, "")</f>
        <v>0</v>
      </c>
      <c r="AK531" s="292" t="n">
        <f aca="false">IFERROR(($J531*X531)*$L531, "")</f>
        <v>0</v>
      </c>
      <c r="AL531" s="292" t="n">
        <f aca="false">IFERROR(($J531*Y531)*$L531, "")</f>
        <v>0</v>
      </c>
      <c r="AM531" s="293" t="n">
        <f aca="false">IFERROR(($J531*Z531)*$L531, "")</f>
        <v>0</v>
      </c>
      <c r="AN531" s="294" t="n">
        <f aca="false">IFERROR(SUMIF($AB$4:$AM$4, "RDEC", AB531:AM531), "")</f>
        <v>0</v>
      </c>
      <c r="AO531" s="294" t="n">
        <f aca="false">IFERROR(SUMIF($AB$4:$AM$4, "SME", AB531:AM531), "")</f>
        <v>0</v>
      </c>
      <c r="AP531" s="294" t="n">
        <f aca="false">IFERROR(SUMIF($AB$4:$AM$4, "De Minimis", AB531:AM531), "")</f>
        <v>0</v>
      </c>
      <c r="AQ531" s="283"/>
      <c r="AR531" s="292" t="n">
        <f aca="false">IFERROR(($J531*O531)*$M531, "")</f>
        <v>0</v>
      </c>
      <c r="AS531" s="292" t="n">
        <f aca="false">IFERROR(($J531*P531)*$M531, "")</f>
        <v>0</v>
      </c>
      <c r="AT531" s="292" t="n">
        <f aca="false">IFERROR(($J531*Q531)*$M531, "")</f>
        <v>0</v>
      </c>
      <c r="AU531" s="292" t="n">
        <f aca="false">IFERROR(($J531*R531)*$M531, "")</f>
        <v>0</v>
      </c>
      <c r="AV531" s="292" t="n">
        <f aca="false">IFERROR(($J531*S531)*$M531, "")</f>
        <v>0</v>
      </c>
      <c r="AW531" s="292" t="n">
        <f aca="false">IFERROR(($J531*T531)*$M531, "")</f>
        <v>0</v>
      </c>
      <c r="AX531" s="292" t="n">
        <f aca="false">IFERROR(($J531*U531)*$M531, "")</f>
        <v>0</v>
      </c>
      <c r="AY531" s="292" t="n">
        <f aca="false">IFERROR(($J531*V531)*$M531, "")</f>
        <v>0</v>
      </c>
      <c r="AZ531" s="292" t="n">
        <f aca="false">IFERROR(($J531*W531)*$M531, "")</f>
        <v>0</v>
      </c>
      <c r="BA531" s="292" t="n">
        <f aca="false">IFERROR(($J531*X531)*$M531, "")</f>
        <v>0</v>
      </c>
      <c r="BB531" s="292" t="n">
        <f aca="false">IFERROR(($J531*Y531)*$M531, "")</f>
        <v>0</v>
      </c>
      <c r="BC531" s="293" t="n">
        <f aca="false">IFERROR(($J531*Z531)*$M531, "")</f>
        <v>0</v>
      </c>
      <c r="BD531" s="294" t="n">
        <f aca="false">IFERROR(SUMIF($AB$4:$AM$4, "RDEC", AR531:BC531), "")</f>
        <v>0</v>
      </c>
      <c r="BE531" s="294" t="n">
        <f aca="false">IFERROR(SUMIF($AB$4:$AM$4, "SME", AR531:BC531), "")</f>
        <v>0</v>
      </c>
      <c r="BF531" s="294" t="n">
        <f aca="false">IFERROR(SUMIF($AB$4:$AM$4, "De Minimis", AR531:BC531), "")</f>
        <v>0</v>
      </c>
      <c r="BG531" s="287"/>
      <c r="BH531" s="295" t="str">
        <f aca="false">IF((SUM(O531:Z531)&gt;1),"ERROR","")</f>
        <v/>
      </c>
      <c r="BI531" s="287"/>
      <c r="BJ531" s="18" t="str">
        <f aca="false">IF(C517&gt;0, C517, "")</f>
        <v/>
      </c>
      <c r="BL531" s="200"/>
      <c r="BM531" s="200"/>
      <c r="BN531" s="200"/>
    </row>
    <row r="532" customFormat="false" ht="15" hidden="false" customHeight="true" outlineLevel="0" collapsed="false">
      <c r="B532" s="296"/>
      <c r="D532" s="297" t="s">
        <v>82</v>
      </c>
      <c r="E532" s="298" t="n">
        <f aca="false">SUM(E520:E531)</f>
        <v>0</v>
      </c>
      <c r="F532" s="298" t="n">
        <f aca="false">SUM(F520:F531)</f>
        <v>0</v>
      </c>
      <c r="G532" s="298" t="n">
        <f aca="false">SUM(G520:G531)</f>
        <v>0</v>
      </c>
      <c r="H532" s="298" t="n">
        <f aca="false">SUM(H520:H531)</f>
        <v>0</v>
      </c>
      <c r="I532" s="298" t="n">
        <f aca="false">SUM(I520:I531)</f>
        <v>0</v>
      </c>
      <c r="J532" s="299" t="n">
        <f aca="false">SUM(J520:J531)</f>
        <v>0</v>
      </c>
      <c r="K532" s="300"/>
      <c r="L532" s="301" t="n">
        <f aca="false">AVERAGE(L520:L531)</f>
        <v>1</v>
      </c>
      <c r="M532" s="301" t="n">
        <f aca="false">AVERAGE(M520:M531)</f>
        <v>0</v>
      </c>
      <c r="N532" s="302"/>
      <c r="O532" s="290" t="n">
        <f aca="false">IF(SUM(O520:O531)&gt;0,((AB532+AR532)/J532),0)</f>
        <v>0</v>
      </c>
      <c r="P532" s="290" t="n">
        <f aca="false">IF(SUM(P520:P531)&gt;0,((AC532+AS532)/J532),0)</f>
        <v>0</v>
      </c>
      <c r="Q532" s="290" t="n">
        <f aca="false">IF(SUM(Q520:Q531)&gt;0,((AD532+AT532)/J532),0)</f>
        <v>0</v>
      </c>
      <c r="R532" s="290" t="n">
        <f aca="false">IF(SUM(R520:R531)&gt;0,((AE532+AU532)/J532),0)</f>
        <v>0</v>
      </c>
      <c r="S532" s="290" t="n">
        <f aca="false">IF(SUM(S520:S531)&gt;0,((AF532+AV532)/J532),0)</f>
        <v>0</v>
      </c>
      <c r="T532" s="290" t="n">
        <f aca="false">IF(SUM(T520:T531)&gt;0,((AG532+AW532)/J532),0)</f>
        <v>0</v>
      </c>
      <c r="U532" s="290" t="n">
        <f aca="false">IF(SUM(U520:U531)&gt;0,((AH532+AX532)/J532),0)</f>
        <v>0</v>
      </c>
      <c r="V532" s="290" t="n">
        <f aca="false">IF(SUM(V520:V531)&gt;0,((AI532+AY532)/J532),0)</f>
        <v>0</v>
      </c>
      <c r="W532" s="290" t="n">
        <f aca="false">IF(SUM(W520:W531)&gt;0,((AJ532+AZ532)/J532),0)</f>
        <v>0</v>
      </c>
      <c r="X532" s="290" t="n">
        <f aca="false">IF(SUM(X520:X531)&gt;0,((AK532+BA532)/J532),0)</f>
        <v>0</v>
      </c>
      <c r="Y532" s="290" t="n">
        <f aca="false">IF(SUM(Y520:Y531)&gt;0,((AL532+BB532)/J532),0)</f>
        <v>0</v>
      </c>
      <c r="Z532" s="290" t="n">
        <f aca="false">IF(SUM(Z520:Z531)&gt;0,((AM532+BC532)/J532),0)</f>
        <v>0</v>
      </c>
      <c r="AA532" s="303"/>
      <c r="AB532" s="292" t="n">
        <f aca="false">SUM(AB520:AB531)</f>
        <v>0</v>
      </c>
      <c r="AC532" s="304" t="n">
        <f aca="false">SUM(AC520:AC531)</f>
        <v>0</v>
      </c>
      <c r="AD532" s="304" t="n">
        <f aca="false">SUM(AD520:AD531)</f>
        <v>0</v>
      </c>
      <c r="AE532" s="304" t="n">
        <f aca="false">SUM(AE520:AE531)</f>
        <v>0</v>
      </c>
      <c r="AF532" s="304" t="n">
        <f aca="false">SUM(AF520:AF531)</f>
        <v>0</v>
      </c>
      <c r="AG532" s="304" t="n">
        <f aca="false">SUM(AG520:AG531)</f>
        <v>0</v>
      </c>
      <c r="AH532" s="304" t="n">
        <f aca="false">SUM(AH520:AH531)</f>
        <v>0</v>
      </c>
      <c r="AI532" s="304" t="n">
        <f aca="false">SUM(AI520:AI531)</f>
        <v>0</v>
      </c>
      <c r="AJ532" s="304" t="n">
        <f aca="false">SUM(AJ520:AJ531)</f>
        <v>0</v>
      </c>
      <c r="AK532" s="304" t="n">
        <f aca="false">SUM(AK520:AK531)</f>
        <v>0</v>
      </c>
      <c r="AL532" s="304" t="n">
        <f aca="false">SUM(AL520:AL531)</f>
        <v>0</v>
      </c>
      <c r="AM532" s="304" t="n">
        <f aca="false">SUM(AM520:AM531)</f>
        <v>0</v>
      </c>
      <c r="AN532" s="305" t="n">
        <f aca="false">SUM(AN520:AN531)</f>
        <v>0</v>
      </c>
      <c r="AO532" s="305" t="n">
        <f aca="false">SUM(AO520:AO531)</f>
        <v>0</v>
      </c>
      <c r="AP532" s="305" t="n">
        <f aca="false">SUM(AP520:AP531)</f>
        <v>0</v>
      </c>
      <c r="AQ532" s="303"/>
      <c r="AR532" s="292" t="n">
        <f aca="false">SUM(AR520:AR531)</f>
        <v>0</v>
      </c>
      <c r="AS532" s="304" t="n">
        <f aca="false">SUM(AS520:AS531)</f>
        <v>0</v>
      </c>
      <c r="AT532" s="304" t="n">
        <f aca="false">SUM(AT520:AT531)</f>
        <v>0</v>
      </c>
      <c r="AU532" s="304" t="n">
        <f aca="false">SUM(AU520:AU531)</f>
        <v>0</v>
      </c>
      <c r="AV532" s="304" t="n">
        <f aca="false">SUM(AV520:AV531)</f>
        <v>0</v>
      </c>
      <c r="AW532" s="304" t="n">
        <f aca="false">SUM(AW520:AW531)</f>
        <v>0</v>
      </c>
      <c r="AX532" s="304" t="n">
        <f aca="false">SUM(AX520:AX531)</f>
        <v>0</v>
      </c>
      <c r="AY532" s="304" t="n">
        <f aca="false">SUM(AY520:AY531)</f>
        <v>0</v>
      </c>
      <c r="AZ532" s="304" t="n">
        <f aca="false">SUM(AZ520:AZ531)</f>
        <v>0</v>
      </c>
      <c r="BA532" s="304" t="n">
        <f aca="false">SUM(BA520:BA531)</f>
        <v>0</v>
      </c>
      <c r="BB532" s="304" t="n">
        <f aca="false">SUM(BB520:BB531)</f>
        <v>0</v>
      </c>
      <c r="BC532" s="304" t="n">
        <f aca="false">SUM(BC520:BC531)</f>
        <v>0</v>
      </c>
      <c r="BD532" s="305" t="n">
        <f aca="false">SUM(BD520:BD531)</f>
        <v>0</v>
      </c>
      <c r="BE532" s="305" t="n">
        <f aca="false">SUM(BE520:BE531)</f>
        <v>0</v>
      </c>
      <c r="BF532" s="305" t="n">
        <f aca="false">SUM(BF520:BF531)</f>
        <v>0</v>
      </c>
      <c r="BG532" s="303"/>
      <c r="BH532" s="306"/>
      <c r="BI532" s="303"/>
      <c r="BJ532" s="307" t="str">
        <f aca="false">IF(C518&gt;0, C518, "")</f>
        <v>TBA</v>
      </c>
      <c r="BK532" s="18" t="s">
        <v>234</v>
      </c>
      <c r="BL532" s="200" t="n">
        <f aca="false">IF($BK532="Y",J532,0)</f>
        <v>0</v>
      </c>
      <c r="BM532" s="200" t="n">
        <f aca="false">IF(BK532="Y", AN532,0)</f>
        <v>0</v>
      </c>
      <c r="BN532" s="200" t="n">
        <f aca="false">IF((BK532="Y"),AO532,0)</f>
        <v>0</v>
      </c>
    </row>
    <row r="533" customFormat="false" ht="15" hidden="false" customHeight="true" outlineLevel="0" collapsed="false">
      <c r="B533" s="296"/>
      <c r="D533" s="297"/>
      <c r="E533" s="277"/>
      <c r="F533" s="277"/>
      <c r="G533" s="277"/>
      <c r="H533" s="277"/>
      <c r="I533" s="277"/>
      <c r="J533" s="300"/>
      <c r="K533" s="300"/>
      <c r="L533" s="302"/>
      <c r="M533" s="302"/>
      <c r="N533" s="302"/>
      <c r="O533" s="308"/>
      <c r="P533" s="308"/>
      <c r="Q533" s="308"/>
      <c r="R533" s="308"/>
      <c r="S533" s="308"/>
      <c r="T533" s="308"/>
      <c r="U533" s="308"/>
      <c r="V533" s="308"/>
      <c r="W533" s="308"/>
      <c r="X533" s="308"/>
      <c r="Y533" s="308"/>
      <c r="Z533" s="308"/>
      <c r="AA533" s="303"/>
      <c r="AB533" s="303"/>
      <c r="AC533" s="303"/>
      <c r="AD533" s="303"/>
      <c r="AE533" s="303"/>
      <c r="AF533" s="303"/>
      <c r="AG533" s="303"/>
      <c r="AH533" s="303"/>
      <c r="AI533" s="303"/>
      <c r="AJ533" s="303"/>
      <c r="AK533" s="303"/>
      <c r="AL533" s="303"/>
      <c r="AM533" s="303"/>
      <c r="AN533" s="303"/>
      <c r="AO533" s="303"/>
      <c r="AP533" s="303"/>
      <c r="AQ533" s="303"/>
      <c r="AR533" s="303"/>
      <c r="AS533" s="303"/>
      <c r="AT533" s="303"/>
      <c r="AU533" s="303"/>
      <c r="AV533" s="303"/>
      <c r="AW533" s="303"/>
      <c r="AX533" s="303"/>
      <c r="AY533" s="303"/>
      <c r="AZ533" s="303"/>
      <c r="BA533" s="303"/>
      <c r="BB533" s="303"/>
      <c r="BC533" s="303"/>
      <c r="BD533" s="303"/>
      <c r="BE533" s="303"/>
      <c r="BF533" s="303"/>
      <c r="BG533" s="303"/>
      <c r="BH533" s="303"/>
      <c r="BI533" s="303"/>
      <c r="BJ533" s="307" t="str">
        <f aca="false">IF(C520&gt;0, C520, "")</f>
        <v/>
      </c>
      <c r="BL533" s="200"/>
      <c r="BM533" s="200"/>
      <c r="BN533" s="200"/>
    </row>
    <row r="534" customFormat="false" ht="15" hidden="false" customHeight="true" outlineLevel="0" collapsed="false">
      <c r="A534" s="198" t="n">
        <f aca="false">A518+1</f>
        <v>34</v>
      </c>
      <c r="B534" s="266" t="s">
        <v>253</v>
      </c>
      <c r="C534" s="266" t="s">
        <v>253</v>
      </c>
      <c r="D534" s="267"/>
      <c r="E534" s="242"/>
      <c r="F534" s="242"/>
      <c r="G534" s="242"/>
      <c r="H534" s="242"/>
      <c r="I534" s="242"/>
      <c r="J534" s="241"/>
      <c r="K534" s="241"/>
      <c r="L534" s="241"/>
      <c r="M534" s="241"/>
      <c r="N534" s="241"/>
      <c r="O534" s="268"/>
      <c r="P534" s="268"/>
      <c r="Q534" s="268"/>
      <c r="R534" s="268"/>
      <c r="S534" s="268"/>
      <c r="T534" s="268"/>
      <c r="U534" s="268"/>
      <c r="V534" s="268"/>
      <c r="W534" s="268"/>
      <c r="X534" s="268"/>
      <c r="Y534" s="268"/>
      <c r="Z534" s="268"/>
      <c r="AA534" s="268"/>
      <c r="AB534" s="268"/>
      <c r="AC534" s="268"/>
      <c r="AD534" s="268"/>
      <c r="AE534" s="268"/>
      <c r="AF534" s="268"/>
      <c r="AG534" s="268"/>
      <c r="AH534" s="268"/>
      <c r="AI534" s="268"/>
      <c r="AJ534" s="268"/>
      <c r="AK534" s="268"/>
      <c r="AL534" s="268"/>
      <c r="AM534" s="268"/>
      <c r="AN534" s="268"/>
      <c r="AO534" s="268"/>
      <c r="AP534" s="268"/>
      <c r="AQ534" s="268"/>
      <c r="AR534" s="268"/>
      <c r="AS534" s="268"/>
      <c r="AT534" s="268"/>
      <c r="AU534" s="268"/>
      <c r="AV534" s="268"/>
      <c r="AW534" s="268"/>
      <c r="AX534" s="268"/>
      <c r="AY534" s="268"/>
      <c r="AZ534" s="268"/>
      <c r="BA534" s="268"/>
      <c r="BB534" s="268"/>
      <c r="BC534" s="268"/>
      <c r="BD534" s="268"/>
      <c r="BE534" s="268"/>
      <c r="BF534" s="268"/>
      <c r="BG534" s="268"/>
      <c r="BH534" s="268"/>
      <c r="BI534" s="268"/>
      <c r="BJ534" s="18" t="str">
        <f aca="false">IF(C521&gt;0, C521, "")</f>
        <v/>
      </c>
      <c r="BL534" s="200"/>
      <c r="BM534" s="200"/>
      <c r="BN534" s="200"/>
    </row>
    <row r="535" customFormat="false" ht="7.5" hidden="false" customHeight="true" outlineLevel="0" collapsed="false">
      <c r="A535" s="198"/>
      <c r="B535" s="266"/>
      <c r="C535" s="266"/>
      <c r="D535" s="267"/>
      <c r="E535" s="242"/>
      <c r="F535" s="242"/>
      <c r="G535" s="242"/>
      <c r="H535" s="242"/>
      <c r="I535" s="242"/>
      <c r="J535" s="241"/>
      <c r="K535" s="241"/>
      <c r="L535" s="269"/>
      <c r="M535" s="269"/>
      <c r="N535" s="270"/>
      <c r="O535" s="269"/>
      <c r="P535" s="269"/>
      <c r="Q535" s="269"/>
      <c r="R535" s="269"/>
      <c r="S535" s="269"/>
      <c r="T535" s="269"/>
      <c r="U535" s="269"/>
      <c r="V535" s="269"/>
      <c r="W535" s="269"/>
      <c r="X535" s="269"/>
      <c r="Y535" s="269"/>
      <c r="Z535" s="269"/>
      <c r="AA535" s="268"/>
      <c r="AB535" s="271"/>
      <c r="AC535" s="271"/>
      <c r="AD535" s="271"/>
      <c r="AE535" s="271"/>
      <c r="AF535" s="271"/>
      <c r="AG535" s="271"/>
      <c r="AH535" s="271"/>
      <c r="AI535" s="271"/>
      <c r="AJ535" s="271"/>
      <c r="AK535" s="271"/>
      <c r="AL535" s="271"/>
      <c r="AM535" s="272"/>
      <c r="AN535" s="273"/>
      <c r="AO535" s="273"/>
      <c r="AP535" s="273"/>
      <c r="AQ535" s="268"/>
      <c r="AR535" s="271"/>
      <c r="AS535" s="271"/>
      <c r="AT535" s="271"/>
      <c r="AU535" s="271"/>
      <c r="AV535" s="271"/>
      <c r="AW535" s="271"/>
      <c r="AX535" s="271"/>
      <c r="AY535" s="271"/>
      <c r="AZ535" s="271"/>
      <c r="BA535" s="271"/>
      <c r="BB535" s="271"/>
      <c r="BC535" s="272"/>
      <c r="BD535" s="273"/>
      <c r="BE535" s="273"/>
      <c r="BF535" s="273"/>
      <c r="BG535" s="268"/>
      <c r="BH535" s="274"/>
      <c r="BI535" s="268"/>
      <c r="BL535" s="200"/>
      <c r="BM535" s="200"/>
      <c r="BN535" s="200"/>
    </row>
    <row r="536" customFormat="false" ht="15" hidden="false" customHeight="true" outlineLevel="0" collapsed="false">
      <c r="B536" s="275"/>
      <c r="D536" s="276" t="n">
        <f aca="false">D520</f>
        <v>45292</v>
      </c>
      <c r="E536" s="277" t="n">
        <v>0</v>
      </c>
      <c r="F536" s="277" t="n">
        <v>0</v>
      </c>
      <c r="G536" s="277" t="n">
        <v>0</v>
      </c>
      <c r="H536" s="277" t="n">
        <v>0</v>
      </c>
      <c r="I536" s="277" t="n">
        <v>0</v>
      </c>
      <c r="J536" s="278" t="n">
        <f aca="false">E536+H536+I536</f>
        <v>0</v>
      </c>
      <c r="K536" s="204"/>
      <c r="L536" s="279" t="n">
        <v>1</v>
      </c>
      <c r="M536" s="280" t="n">
        <f aca="false">1-L536</f>
        <v>0</v>
      </c>
      <c r="N536" s="281"/>
      <c r="O536" s="282"/>
      <c r="P536" s="282"/>
      <c r="Q536" s="282"/>
      <c r="R536" s="282"/>
      <c r="S536" s="282"/>
      <c r="T536" s="282"/>
      <c r="U536" s="282"/>
      <c r="V536" s="282"/>
      <c r="W536" s="282"/>
      <c r="X536" s="282"/>
      <c r="Y536" s="282"/>
      <c r="Z536" s="282"/>
      <c r="AA536" s="283"/>
      <c r="AB536" s="284" t="n">
        <f aca="false">IFERROR(($J536*O536)*$L536, "")</f>
        <v>0</v>
      </c>
      <c r="AC536" s="284" t="n">
        <f aca="false">IFERROR(($J536*P536)*$L536, "")</f>
        <v>0</v>
      </c>
      <c r="AD536" s="284" t="n">
        <f aca="false">IFERROR(($J536*Q536)*$L536, "")</f>
        <v>0</v>
      </c>
      <c r="AE536" s="284" t="n">
        <f aca="false">IFERROR(($J536*R536)*$L536, "")</f>
        <v>0</v>
      </c>
      <c r="AF536" s="284" t="n">
        <f aca="false">IFERROR(($J536*S536)*$L536, "")</f>
        <v>0</v>
      </c>
      <c r="AG536" s="284" t="n">
        <f aca="false">IFERROR(($J536*T536)*$L536, "")</f>
        <v>0</v>
      </c>
      <c r="AH536" s="284" t="n">
        <f aca="false">IFERROR(($J536*U536)*$L536, "")</f>
        <v>0</v>
      </c>
      <c r="AI536" s="284" t="n">
        <f aca="false">IFERROR(($J536*V536)*$L536, "")</f>
        <v>0</v>
      </c>
      <c r="AJ536" s="284" t="n">
        <f aca="false">IFERROR(($J536*W536)*$L536, "")</f>
        <v>0</v>
      </c>
      <c r="AK536" s="284" t="n">
        <f aca="false">IFERROR(($J536*X536)*$L536, "")</f>
        <v>0</v>
      </c>
      <c r="AL536" s="284" t="n">
        <f aca="false">IFERROR(($J536*Y536)*$L536, "")</f>
        <v>0</v>
      </c>
      <c r="AM536" s="285" t="n">
        <f aca="false">IFERROR(($J536*Z536)*$L536, "")</f>
        <v>0</v>
      </c>
      <c r="AN536" s="286" t="n">
        <f aca="false">IFERROR(SUMIF($AB$4:$AM$4, "RDEC", AB536:AM536), "")</f>
        <v>0</v>
      </c>
      <c r="AO536" s="286" t="n">
        <f aca="false">IFERROR(SUMIF($AB$4:$AM$4, "SME", AB536:AM536), "")</f>
        <v>0</v>
      </c>
      <c r="AP536" s="286" t="n">
        <f aca="false">IFERROR(SUMIF($AB$4:$AM$4, "De Minimis", AB536:AM536), "")</f>
        <v>0</v>
      </c>
      <c r="AQ536" s="283"/>
      <c r="AR536" s="284" t="n">
        <f aca="false">IFERROR(($J536*O536)*$M536, "")</f>
        <v>0</v>
      </c>
      <c r="AS536" s="284" t="n">
        <f aca="false">IFERROR(($J536*P536)*$M536, "")</f>
        <v>0</v>
      </c>
      <c r="AT536" s="284" t="n">
        <f aca="false">IFERROR(($J536*Q536)*$M536, "")</f>
        <v>0</v>
      </c>
      <c r="AU536" s="284" t="n">
        <f aca="false">IFERROR(($J536*R536)*$M536, "")</f>
        <v>0</v>
      </c>
      <c r="AV536" s="284" t="n">
        <f aca="false">IFERROR(($J536*S536)*$M536, "")</f>
        <v>0</v>
      </c>
      <c r="AW536" s="284" t="n">
        <f aca="false">IFERROR(($J536*T536)*$M536, "")</f>
        <v>0</v>
      </c>
      <c r="AX536" s="284" t="n">
        <f aca="false">IFERROR(($J536*U536)*$M536, "")</f>
        <v>0</v>
      </c>
      <c r="AY536" s="284" t="n">
        <f aca="false">IFERROR(($J536*V536)*$M536, "")</f>
        <v>0</v>
      </c>
      <c r="AZ536" s="284" t="n">
        <f aca="false">IFERROR(($J536*W536)*$M536, "")</f>
        <v>0</v>
      </c>
      <c r="BA536" s="284" t="n">
        <f aca="false">IFERROR(($J536*X536)*$M536, "")</f>
        <v>0</v>
      </c>
      <c r="BB536" s="284" t="n">
        <f aca="false">IFERROR(($J536*Y536)*$M536, "")</f>
        <v>0</v>
      </c>
      <c r="BC536" s="285" t="n">
        <f aca="false">IFERROR(($J536*Z536)*$M536, "")</f>
        <v>0</v>
      </c>
      <c r="BD536" s="286" t="n">
        <f aca="false">IFERROR(SUMIF($AB$4:$AM$4, "RDEC", AR536:BC536), "")</f>
        <v>0</v>
      </c>
      <c r="BE536" s="286" t="n">
        <f aca="false">IFERROR(SUMIF($AB$4:$AM$4, "SME", AR536:BC536), "")</f>
        <v>0</v>
      </c>
      <c r="BF536" s="286" t="n">
        <f aca="false">IFERROR(SUMIF($AB$4:$AM$4, "De Minimis", AR536:BC536), "")</f>
        <v>0</v>
      </c>
      <c r="BG536" s="287"/>
      <c r="BH536" s="288" t="str">
        <f aca="false">IF((SUM(O536:Z536)&gt;1),"ERROR","")</f>
        <v/>
      </c>
      <c r="BI536" s="287"/>
      <c r="BJ536" s="18" t="str">
        <f aca="false">IF(C522&gt;0, C522, "")</f>
        <v/>
      </c>
      <c r="BL536" s="200"/>
      <c r="BM536" s="200"/>
      <c r="BN536" s="200"/>
    </row>
    <row r="537" customFormat="false" ht="15" hidden="false" customHeight="true" outlineLevel="0" collapsed="false">
      <c r="B537" s="275"/>
      <c r="D537" s="276" t="n">
        <f aca="false">D521</f>
        <v>45323</v>
      </c>
      <c r="E537" s="277" t="n">
        <v>0</v>
      </c>
      <c r="F537" s="277" t="n">
        <v>0</v>
      </c>
      <c r="G537" s="277" t="n">
        <v>0</v>
      </c>
      <c r="H537" s="277" t="n">
        <v>0</v>
      </c>
      <c r="I537" s="277" t="n">
        <v>0</v>
      </c>
      <c r="J537" s="278" t="n">
        <f aca="false">E537+H537+I537</f>
        <v>0</v>
      </c>
      <c r="K537" s="204"/>
      <c r="L537" s="279" t="n">
        <v>1</v>
      </c>
      <c r="M537" s="280" t="n">
        <f aca="false">1-L537</f>
        <v>0</v>
      </c>
      <c r="N537" s="281"/>
      <c r="O537" s="282"/>
      <c r="P537" s="282"/>
      <c r="Q537" s="282"/>
      <c r="R537" s="282"/>
      <c r="S537" s="282"/>
      <c r="T537" s="282"/>
      <c r="U537" s="282"/>
      <c r="V537" s="282"/>
      <c r="W537" s="282"/>
      <c r="X537" s="282"/>
      <c r="Y537" s="282"/>
      <c r="Z537" s="282"/>
      <c r="AA537" s="283"/>
      <c r="AB537" s="284" t="n">
        <f aca="false">IFERROR(($J537*O537)*$L537, "")</f>
        <v>0</v>
      </c>
      <c r="AC537" s="284" t="n">
        <f aca="false">IFERROR(($J537*P537)*$L537, "")</f>
        <v>0</v>
      </c>
      <c r="AD537" s="284" t="n">
        <f aca="false">IFERROR(($J537*Q537)*$L537, "")</f>
        <v>0</v>
      </c>
      <c r="AE537" s="284" t="n">
        <f aca="false">IFERROR(($J537*R537)*$L537, "")</f>
        <v>0</v>
      </c>
      <c r="AF537" s="284" t="n">
        <f aca="false">IFERROR(($J537*S537)*$L537, "")</f>
        <v>0</v>
      </c>
      <c r="AG537" s="284" t="n">
        <f aca="false">IFERROR(($J537*T537)*$L537, "")</f>
        <v>0</v>
      </c>
      <c r="AH537" s="284" t="n">
        <f aca="false">IFERROR(($J537*U537)*$L537, "")</f>
        <v>0</v>
      </c>
      <c r="AI537" s="284" t="n">
        <f aca="false">IFERROR(($J537*V537)*$L537, "")</f>
        <v>0</v>
      </c>
      <c r="AJ537" s="284" t="n">
        <f aca="false">IFERROR(($J537*W537)*$L537, "")</f>
        <v>0</v>
      </c>
      <c r="AK537" s="284" t="n">
        <f aca="false">IFERROR(($J537*X537)*$L537, "")</f>
        <v>0</v>
      </c>
      <c r="AL537" s="284" t="n">
        <f aca="false">IFERROR(($J537*Y537)*$L537, "")</f>
        <v>0</v>
      </c>
      <c r="AM537" s="285" t="n">
        <f aca="false">IFERROR(($J537*Z537)*$L537, "")</f>
        <v>0</v>
      </c>
      <c r="AN537" s="286" t="n">
        <f aca="false">IFERROR(SUMIF($AB$4:$AM$4, "RDEC", AB537:AM537), "")</f>
        <v>0</v>
      </c>
      <c r="AO537" s="286" t="n">
        <f aca="false">IFERROR(SUMIF($AB$4:$AM$4, "SME", AB537:AM537), "")</f>
        <v>0</v>
      </c>
      <c r="AP537" s="286" t="n">
        <f aca="false">IFERROR(SUMIF($AB$4:$AM$4, "De Minimis", AB537:AM537), "")</f>
        <v>0</v>
      </c>
      <c r="AQ537" s="283"/>
      <c r="AR537" s="284" t="n">
        <f aca="false">IFERROR(($J537*O537)*$M537, "")</f>
        <v>0</v>
      </c>
      <c r="AS537" s="284" t="n">
        <f aca="false">IFERROR(($J537*P537)*$M537, "")</f>
        <v>0</v>
      </c>
      <c r="AT537" s="284" t="n">
        <f aca="false">IFERROR(($J537*Q537)*$M537, "")</f>
        <v>0</v>
      </c>
      <c r="AU537" s="284" t="n">
        <f aca="false">IFERROR(($J537*R537)*$M537, "")</f>
        <v>0</v>
      </c>
      <c r="AV537" s="284" t="n">
        <f aca="false">IFERROR(($J537*S537)*$M537, "")</f>
        <v>0</v>
      </c>
      <c r="AW537" s="284" t="n">
        <f aca="false">IFERROR(($J537*T537)*$M537, "")</f>
        <v>0</v>
      </c>
      <c r="AX537" s="284" t="n">
        <f aca="false">IFERROR(($J537*U537)*$M537, "")</f>
        <v>0</v>
      </c>
      <c r="AY537" s="284" t="n">
        <f aca="false">IFERROR(($J537*V537)*$M537, "")</f>
        <v>0</v>
      </c>
      <c r="AZ537" s="284" t="n">
        <f aca="false">IFERROR(($J537*W537)*$M537, "")</f>
        <v>0</v>
      </c>
      <c r="BA537" s="284" t="n">
        <f aca="false">IFERROR(($J537*X537)*$M537, "")</f>
        <v>0</v>
      </c>
      <c r="BB537" s="284" t="n">
        <f aca="false">IFERROR(($J537*Y537)*$M537, "")</f>
        <v>0</v>
      </c>
      <c r="BC537" s="285" t="n">
        <f aca="false">IFERROR(($J537*Z537)*$M537, "")</f>
        <v>0</v>
      </c>
      <c r="BD537" s="286" t="n">
        <f aca="false">IFERROR(SUMIF($AB$4:$AM$4, "RDEC", AR537:BC537), "")</f>
        <v>0</v>
      </c>
      <c r="BE537" s="286" t="n">
        <f aca="false">IFERROR(SUMIF($AB$4:$AM$4, "SME", AR537:BC537), "")</f>
        <v>0</v>
      </c>
      <c r="BF537" s="286" t="n">
        <f aca="false">IFERROR(SUMIF($AB$4:$AM$4, "De Minimis", AR537:BC537), "")</f>
        <v>0</v>
      </c>
      <c r="BG537" s="287"/>
      <c r="BH537" s="288" t="str">
        <f aca="false">IF((SUM(O537:Z537)&gt;1),"ERROR","")</f>
        <v/>
      </c>
      <c r="BI537" s="287"/>
      <c r="BJ537" s="18" t="str">
        <f aca="false">IF(C523&gt;0, C523, "")</f>
        <v/>
      </c>
      <c r="BL537" s="200"/>
      <c r="BM537" s="200"/>
      <c r="BN537" s="200"/>
    </row>
    <row r="538" customFormat="false" ht="15" hidden="false" customHeight="true" outlineLevel="0" collapsed="false">
      <c r="B538" s="275"/>
      <c r="D538" s="276" t="n">
        <f aca="false">D522</f>
        <v>45352</v>
      </c>
      <c r="E538" s="277" t="n">
        <v>0</v>
      </c>
      <c r="F538" s="277" t="n">
        <v>0</v>
      </c>
      <c r="G538" s="277" t="n">
        <v>0</v>
      </c>
      <c r="H538" s="277" t="n">
        <v>0</v>
      </c>
      <c r="I538" s="277" t="n">
        <v>0</v>
      </c>
      <c r="J538" s="278" t="n">
        <f aca="false">E538+H538+I538</f>
        <v>0</v>
      </c>
      <c r="K538" s="204"/>
      <c r="L538" s="279" t="n">
        <v>1</v>
      </c>
      <c r="M538" s="280" t="n">
        <f aca="false">1-L538</f>
        <v>0</v>
      </c>
      <c r="N538" s="281"/>
      <c r="O538" s="282"/>
      <c r="P538" s="282"/>
      <c r="Q538" s="282"/>
      <c r="R538" s="282"/>
      <c r="S538" s="282"/>
      <c r="T538" s="282"/>
      <c r="U538" s="282"/>
      <c r="V538" s="282"/>
      <c r="W538" s="282"/>
      <c r="X538" s="282"/>
      <c r="Y538" s="282"/>
      <c r="Z538" s="282"/>
      <c r="AA538" s="283"/>
      <c r="AB538" s="284" t="n">
        <f aca="false">IFERROR(($J538*O538)*$L538, "")</f>
        <v>0</v>
      </c>
      <c r="AC538" s="284" t="n">
        <f aca="false">IFERROR(($J538*P538)*$L538, "")</f>
        <v>0</v>
      </c>
      <c r="AD538" s="284" t="n">
        <f aca="false">IFERROR(($J538*Q538)*$L538, "")</f>
        <v>0</v>
      </c>
      <c r="AE538" s="284" t="n">
        <f aca="false">IFERROR(($J538*R538)*$L538, "")</f>
        <v>0</v>
      </c>
      <c r="AF538" s="284" t="n">
        <f aca="false">IFERROR(($J538*S538)*$L538, "")</f>
        <v>0</v>
      </c>
      <c r="AG538" s="284" t="n">
        <f aca="false">IFERROR(($J538*T538)*$L538, "")</f>
        <v>0</v>
      </c>
      <c r="AH538" s="284" t="n">
        <f aca="false">IFERROR(($J538*U538)*$L538, "")</f>
        <v>0</v>
      </c>
      <c r="AI538" s="284" t="n">
        <f aca="false">IFERROR(($J538*V538)*$L538, "")</f>
        <v>0</v>
      </c>
      <c r="AJ538" s="284" t="n">
        <f aca="false">IFERROR(($J538*W538)*$L538, "")</f>
        <v>0</v>
      </c>
      <c r="AK538" s="284" t="n">
        <f aca="false">IFERROR(($J538*X538)*$L538, "")</f>
        <v>0</v>
      </c>
      <c r="AL538" s="284" t="n">
        <f aca="false">IFERROR(($J538*Y538)*$L538, "")</f>
        <v>0</v>
      </c>
      <c r="AM538" s="285" t="n">
        <f aca="false">IFERROR(($J538*Z538)*$L538, "")</f>
        <v>0</v>
      </c>
      <c r="AN538" s="286" t="n">
        <f aca="false">IFERROR(SUMIF($AB$4:$AM$4, "RDEC", AB538:AM538), "")</f>
        <v>0</v>
      </c>
      <c r="AO538" s="286" t="n">
        <f aca="false">IFERROR(SUMIF($AB$4:$AM$4, "SME", AB538:AM538), "")</f>
        <v>0</v>
      </c>
      <c r="AP538" s="286" t="n">
        <f aca="false">IFERROR(SUMIF($AB$4:$AM$4, "De Minimis", AB538:AM538), "")</f>
        <v>0</v>
      </c>
      <c r="AQ538" s="283"/>
      <c r="AR538" s="284" t="n">
        <f aca="false">IFERROR(($J538*O538)*$M538, "")</f>
        <v>0</v>
      </c>
      <c r="AS538" s="284" t="n">
        <f aca="false">IFERROR(($J538*P538)*$M538, "")</f>
        <v>0</v>
      </c>
      <c r="AT538" s="284" t="n">
        <f aca="false">IFERROR(($J538*Q538)*$M538, "")</f>
        <v>0</v>
      </c>
      <c r="AU538" s="284" t="n">
        <f aca="false">IFERROR(($J538*R538)*$M538, "")</f>
        <v>0</v>
      </c>
      <c r="AV538" s="284" t="n">
        <f aca="false">IFERROR(($J538*S538)*$M538, "")</f>
        <v>0</v>
      </c>
      <c r="AW538" s="284" t="n">
        <f aca="false">IFERROR(($J538*T538)*$M538, "")</f>
        <v>0</v>
      </c>
      <c r="AX538" s="284" t="n">
        <f aca="false">IFERROR(($J538*U538)*$M538, "")</f>
        <v>0</v>
      </c>
      <c r="AY538" s="284" t="n">
        <f aca="false">IFERROR(($J538*V538)*$M538, "")</f>
        <v>0</v>
      </c>
      <c r="AZ538" s="284" t="n">
        <f aca="false">IFERROR(($J538*W538)*$M538, "")</f>
        <v>0</v>
      </c>
      <c r="BA538" s="284" t="n">
        <f aca="false">IFERROR(($J538*X538)*$M538, "")</f>
        <v>0</v>
      </c>
      <c r="BB538" s="284" t="n">
        <f aca="false">IFERROR(($J538*Y538)*$M538, "")</f>
        <v>0</v>
      </c>
      <c r="BC538" s="285" t="n">
        <f aca="false">IFERROR(($J538*Z538)*$M538, "")</f>
        <v>0</v>
      </c>
      <c r="BD538" s="286" t="n">
        <f aca="false">IFERROR(SUMIF($AB$4:$AM$4, "RDEC", AR538:BC538), "")</f>
        <v>0</v>
      </c>
      <c r="BE538" s="286" t="n">
        <f aca="false">IFERROR(SUMIF($AB$4:$AM$4, "SME", AR538:BC538), "")</f>
        <v>0</v>
      </c>
      <c r="BF538" s="286" t="n">
        <f aca="false">IFERROR(SUMIF($AB$4:$AM$4, "De Minimis", AR538:BC538), "")</f>
        <v>0</v>
      </c>
      <c r="BG538" s="287"/>
      <c r="BH538" s="288" t="str">
        <f aca="false">IF((SUM(O538:Z538)&gt;1),"ERROR","")</f>
        <v/>
      </c>
      <c r="BI538" s="287"/>
      <c r="BJ538" s="18" t="str">
        <f aca="false">IF(C524&gt;0, C524, "")</f>
        <v/>
      </c>
      <c r="BL538" s="200"/>
      <c r="BM538" s="200"/>
      <c r="BN538" s="200"/>
    </row>
    <row r="539" customFormat="false" ht="15" hidden="false" customHeight="true" outlineLevel="0" collapsed="false">
      <c r="B539" s="275"/>
      <c r="D539" s="276" t="n">
        <f aca="false">D523</f>
        <v>45383</v>
      </c>
      <c r="E539" s="277" t="n">
        <v>0</v>
      </c>
      <c r="F539" s="277" t="n">
        <v>0</v>
      </c>
      <c r="G539" s="277" t="n">
        <v>0</v>
      </c>
      <c r="H539" s="277" t="n">
        <v>0</v>
      </c>
      <c r="I539" s="277" t="n">
        <v>0</v>
      </c>
      <c r="J539" s="278" t="n">
        <f aca="false">E539+H539+I539</f>
        <v>0</v>
      </c>
      <c r="K539" s="204"/>
      <c r="L539" s="279" t="n">
        <v>1</v>
      </c>
      <c r="M539" s="280" t="n">
        <f aca="false">1-L539</f>
        <v>0</v>
      </c>
      <c r="N539" s="281"/>
      <c r="O539" s="282"/>
      <c r="P539" s="282"/>
      <c r="Q539" s="282"/>
      <c r="R539" s="282"/>
      <c r="S539" s="282"/>
      <c r="T539" s="282"/>
      <c r="U539" s="282"/>
      <c r="V539" s="282"/>
      <c r="W539" s="282"/>
      <c r="X539" s="282"/>
      <c r="Y539" s="282"/>
      <c r="Z539" s="282"/>
      <c r="AA539" s="283"/>
      <c r="AB539" s="284" t="n">
        <f aca="false">IFERROR(($J539*O539)*$L539, "")</f>
        <v>0</v>
      </c>
      <c r="AC539" s="284" t="n">
        <f aca="false">IFERROR(($J539*P539)*$L539, "")</f>
        <v>0</v>
      </c>
      <c r="AD539" s="284" t="n">
        <f aca="false">IFERROR(($J539*Q539)*$L539, "")</f>
        <v>0</v>
      </c>
      <c r="AE539" s="284" t="n">
        <f aca="false">IFERROR(($J539*R539)*$L539, "")</f>
        <v>0</v>
      </c>
      <c r="AF539" s="284" t="n">
        <f aca="false">IFERROR(($J539*S539)*$L539, "")</f>
        <v>0</v>
      </c>
      <c r="AG539" s="284" t="n">
        <f aca="false">IFERROR(($J539*T539)*$L539, "")</f>
        <v>0</v>
      </c>
      <c r="AH539" s="284" t="n">
        <f aca="false">IFERROR(($J539*U539)*$L539, "")</f>
        <v>0</v>
      </c>
      <c r="AI539" s="284" t="n">
        <f aca="false">IFERROR(($J539*V539)*$L539, "")</f>
        <v>0</v>
      </c>
      <c r="AJ539" s="284" t="n">
        <f aca="false">IFERROR(($J539*W539)*$L539, "")</f>
        <v>0</v>
      </c>
      <c r="AK539" s="284" t="n">
        <f aca="false">IFERROR(($J539*X539)*$L539, "")</f>
        <v>0</v>
      </c>
      <c r="AL539" s="284" t="n">
        <f aca="false">IFERROR(($J539*Y539)*$L539, "")</f>
        <v>0</v>
      </c>
      <c r="AM539" s="285" t="n">
        <f aca="false">IFERROR(($J539*Z539)*$L539, "")</f>
        <v>0</v>
      </c>
      <c r="AN539" s="286" t="n">
        <f aca="false">IFERROR(SUMIF($AB$4:$AM$4, "RDEC", AB539:AM539), "")</f>
        <v>0</v>
      </c>
      <c r="AO539" s="286" t="n">
        <f aca="false">IFERROR(SUMIF($AB$4:$AM$4, "SME", AB539:AM539), "")</f>
        <v>0</v>
      </c>
      <c r="AP539" s="286" t="n">
        <f aca="false">IFERROR(SUMIF($AB$4:$AM$4, "De Minimis", AB539:AM539), "")</f>
        <v>0</v>
      </c>
      <c r="AQ539" s="283"/>
      <c r="AR539" s="284" t="n">
        <f aca="false">IFERROR(($J539*O539)*$M539, "")</f>
        <v>0</v>
      </c>
      <c r="AS539" s="284" t="n">
        <f aca="false">IFERROR(($J539*P539)*$M539, "")</f>
        <v>0</v>
      </c>
      <c r="AT539" s="284" t="n">
        <f aca="false">IFERROR(($J539*Q539)*$M539, "")</f>
        <v>0</v>
      </c>
      <c r="AU539" s="284" t="n">
        <f aca="false">IFERROR(($J539*R539)*$M539, "")</f>
        <v>0</v>
      </c>
      <c r="AV539" s="284" t="n">
        <f aca="false">IFERROR(($J539*S539)*$M539, "")</f>
        <v>0</v>
      </c>
      <c r="AW539" s="284" t="n">
        <f aca="false">IFERROR(($J539*T539)*$M539, "")</f>
        <v>0</v>
      </c>
      <c r="AX539" s="284" t="n">
        <f aca="false">IFERROR(($J539*U539)*$M539, "")</f>
        <v>0</v>
      </c>
      <c r="AY539" s="284" t="n">
        <f aca="false">IFERROR(($J539*V539)*$M539, "")</f>
        <v>0</v>
      </c>
      <c r="AZ539" s="284" t="n">
        <f aca="false">IFERROR(($J539*W539)*$M539, "")</f>
        <v>0</v>
      </c>
      <c r="BA539" s="284" t="n">
        <f aca="false">IFERROR(($J539*X539)*$M539, "")</f>
        <v>0</v>
      </c>
      <c r="BB539" s="284" t="n">
        <f aca="false">IFERROR(($J539*Y539)*$M539, "")</f>
        <v>0</v>
      </c>
      <c r="BC539" s="285" t="n">
        <f aca="false">IFERROR(($J539*Z539)*$M539, "")</f>
        <v>0</v>
      </c>
      <c r="BD539" s="286" t="n">
        <f aca="false">IFERROR(SUMIF($AB$4:$AM$4, "RDEC", AR539:BC539), "")</f>
        <v>0</v>
      </c>
      <c r="BE539" s="286" t="n">
        <f aca="false">IFERROR(SUMIF($AB$4:$AM$4, "SME", AR539:BC539), "")</f>
        <v>0</v>
      </c>
      <c r="BF539" s="286" t="n">
        <f aca="false">IFERROR(SUMIF($AB$4:$AM$4, "De Minimis", AR539:BC539), "")</f>
        <v>0</v>
      </c>
      <c r="BG539" s="287"/>
      <c r="BH539" s="288" t="str">
        <f aca="false">IF((SUM(O539:Z539)&gt;1),"ERROR","")</f>
        <v/>
      </c>
      <c r="BI539" s="287"/>
      <c r="BJ539" s="18" t="str">
        <f aca="false">IF(C525&gt;0, C525, "")</f>
        <v/>
      </c>
      <c r="BL539" s="200"/>
      <c r="BM539" s="200"/>
      <c r="BN539" s="200"/>
    </row>
    <row r="540" customFormat="false" ht="15" hidden="false" customHeight="true" outlineLevel="0" collapsed="false">
      <c r="B540" s="275"/>
      <c r="D540" s="276" t="n">
        <f aca="false">D524</f>
        <v>45413</v>
      </c>
      <c r="E540" s="277" t="n">
        <v>0</v>
      </c>
      <c r="F540" s="277" t="n">
        <v>0</v>
      </c>
      <c r="G540" s="277" t="n">
        <v>0</v>
      </c>
      <c r="H540" s="277" t="n">
        <v>0</v>
      </c>
      <c r="I540" s="277" t="n">
        <v>0</v>
      </c>
      <c r="J540" s="278" t="n">
        <f aca="false">E540+H540+I540</f>
        <v>0</v>
      </c>
      <c r="K540" s="204"/>
      <c r="L540" s="279" t="n">
        <v>1</v>
      </c>
      <c r="M540" s="280" t="n">
        <f aca="false">1-L540</f>
        <v>0</v>
      </c>
      <c r="N540" s="281"/>
      <c r="O540" s="282"/>
      <c r="P540" s="282"/>
      <c r="Q540" s="282"/>
      <c r="R540" s="282"/>
      <c r="S540" s="282"/>
      <c r="T540" s="282"/>
      <c r="U540" s="282"/>
      <c r="V540" s="282"/>
      <c r="W540" s="282"/>
      <c r="X540" s="282"/>
      <c r="Y540" s="282"/>
      <c r="Z540" s="282"/>
      <c r="AA540" s="283"/>
      <c r="AB540" s="284" t="n">
        <f aca="false">IFERROR(($J540*O540)*$L540, "")</f>
        <v>0</v>
      </c>
      <c r="AC540" s="284" t="n">
        <f aca="false">IFERROR(($J540*P540)*$L540, "")</f>
        <v>0</v>
      </c>
      <c r="AD540" s="284" t="n">
        <f aca="false">IFERROR(($J540*Q540)*$L540, "")</f>
        <v>0</v>
      </c>
      <c r="AE540" s="284" t="n">
        <f aca="false">IFERROR(($J540*R540)*$L540, "")</f>
        <v>0</v>
      </c>
      <c r="AF540" s="284" t="n">
        <f aca="false">IFERROR(($J540*S540)*$L540, "")</f>
        <v>0</v>
      </c>
      <c r="AG540" s="284" t="n">
        <f aca="false">IFERROR(($J540*T540)*$L540, "")</f>
        <v>0</v>
      </c>
      <c r="AH540" s="284" t="n">
        <f aca="false">IFERROR(($J540*U540)*$L540, "")</f>
        <v>0</v>
      </c>
      <c r="AI540" s="284" t="n">
        <f aca="false">IFERROR(($J540*V540)*$L540, "")</f>
        <v>0</v>
      </c>
      <c r="AJ540" s="284" t="n">
        <f aca="false">IFERROR(($J540*W540)*$L540, "")</f>
        <v>0</v>
      </c>
      <c r="AK540" s="284" t="n">
        <f aca="false">IFERROR(($J540*X540)*$L540, "")</f>
        <v>0</v>
      </c>
      <c r="AL540" s="284" t="n">
        <f aca="false">IFERROR(($J540*Y540)*$L540, "")</f>
        <v>0</v>
      </c>
      <c r="AM540" s="285" t="n">
        <f aca="false">IFERROR(($J540*Z540)*$L540, "")</f>
        <v>0</v>
      </c>
      <c r="AN540" s="286" t="n">
        <f aca="false">IFERROR(SUMIF($AB$4:$AM$4, "RDEC", AB540:AM540), "")</f>
        <v>0</v>
      </c>
      <c r="AO540" s="286" t="n">
        <f aca="false">IFERROR(SUMIF($AB$4:$AM$4, "SME", AB540:AM540), "")</f>
        <v>0</v>
      </c>
      <c r="AP540" s="286" t="n">
        <f aca="false">IFERROR(SUMIF($AB$4:$AM$4, "De Minimis", AB540:AM540), "")</f>
        <v>0</v>
      </c>
      <c r="AQ540" s="283"/>
      <c r="AR540" s="284" t="n">
        <f aca="false">IFERROR(($J540*O540)*$M540, "")</f>
        <v>0</v>
      </c>
      <c r="AS540" s="284" t="n">
        <f aca="false">IFERROR(($J540*P540)*$M540, "")</f>
        <v>0</v>
      </c>
      <c r="AT540" s="284" t="n">
        <f aca="false">IFERROR(($J540*Q540)*$M540, "")</f>
        <v>0</v>
      </c>
      <c r="AU540" s="284" t="n">
        <f aca="false">IFERROR(($J540*R540)*$M540, "")</f>
        <v>0</v>
      </c>
      <c r="AV540" s="284" t="n">
        <f aca="false">IFERROR(($J540*S540)*$M540, "")</f>
        <v>0</v>
      </c>
      <c r="AW540" s="284" t="n">
        <f aca="false">IFERROR(($J540*T540)*$M540, "")</f>
        <v>0</v>
      </c>
      <c r="AX540" s="284" t="n">
        <f aca="false">IFERROR(($J540*U540)*$M540, "")</f>
        <v>0</v>
      </c>
      <c r="AY540" s="284" t="n">
        <f aca="false">IFERROR(($J540*V540)*$M540, "")</f>
        <v>0</v>
      </c>
      <c r="AZ540" s="284" t="n">
        <f aca="false">IFERROR(($J540*W540)*$M540, "")</f>
        <v>0</v>
      </c>
      <c r="BA540" s="284" t="n">
        <f aca="false">IFERROR(($J540*X540)*$M540, "")</f>
        <v>0</v>
      </c>
      <c r="BB540" s="284" t="n">
        <f aca="false">IFERROR(($J540*Y540)*$M540, "")</f>
        <v>0</v>
      </c>
      <c r="BC540" s="285" t="n">
        <f aca="false">IFERROR(($J540*Z540)*$M540, "")</f>
        <v>0</v>
      </c>
      <c r="BD540" s="286" t="n">
        <f aca="false">IFERROR(SUMIF($AB$4:$AM$4, "RDEC", AR540:BC540), "")</f>
        <v>0</v>
      </c>
      <c r="BE540" s="286" t="n">
        <f aca="false">IFERROR(SUMIF($AB$4:$AM$4, "SME", AR540:BC540), "")</f>
        <v>0</v>
      </c>
      <c r="BF540" s="286" t="n">
        <f aca="false">IFERROR(SUMIF($AB$4:$AM$4, "De Minimis", AR540:BC540), "")</f>
        <v>0</v>
      </c>
      <c r="BG540" s="287"/>
      <c r="BH540" s="288" t="str">
        <f aca="false">IF((SUM(O540:Z540)&gt;1),"ERROR","")</f>
        <v/>
      </c>
      <c r="BI540" s="287"/>
      <c r="BJ540" s="18" t="str">
        <f aca="false">IF(C526&gt;0, C526, "")</f>
        <v/>
      </c>
      <c r="BL540" s="200"/>
      <c r="BM540" s="200"/>
      <c r="BN540" s="200"/>
    </row>
    <row r="541" customFormat="false" ht="15" hidden="false" customHeight="true" outlineLevel="0" collapsed="false">
      <c r="B541" s="275"/>
      <c r="D541" s="276" t="n">
        <f aca="false">D525</f>
        <v>45444</v>
      </c>
      <c r="E541" s="277" t="n">
        <v>0</v>
      </c>
      <c r="F541" s="277" t="n">
        <v>0</v>
      </c>
      <c r="G541" s="277" t="n">
        <v>0</v>
      </c>
      <c r="H541" s="277" t="n">
        <v>0</v>
      </c>
      <c r="I541" s="277" t="n">
        <v>0</v>
      </c>
      <c r="J541" s="278" t="n">
        <f aca="false">E541+H541+I541</f>
        <v>0</v>
      </c>
      <c r="K541" s="204"/>
      <c r="L541" s="279" t="n">
        <v>1</v>
      </c>
      <c r="M541" s="280" t="n">
        <f aca="false">1-L541</f>
        <v>0</v>
      </c>
      <c r="N541" s="281"/>
      <c r="O541" s="282"/>
      <c r="P541" s="282"/>
      <c r="Q541" s="282"/>
      <c r="R541" s="282"/>
      <c r="S541" s="282"/>
      <c r="T541" s="282"/>
      <c r="U541" s="282"/>
      <c r="V541" s="282"/>
      <c r="W541" s="282"/>
      <c r="X541" s="282"/>
      <c r="Y541" s="282"/>
      <c r="Z541" s="282"/>
      <c r="AA541" s="283"/>
      <c r="AB541" s="284" t="n">
        <f aca="false">IFERROR(($J541*O541)*$L541, "")</f>
        <v>0</v>
      </c>
      <c r="AC541" s="284" t="n">
        <f aca="false">IFERROR(($J541*P541)*$L541, "")</f>
        <v>0</v>
      </c>
      <c r="AD541" s="284" t="n">
        <f aca="false">IFERROR(($J541*Q541)*$L541, "")</f>
        <v>0</v>
      </c>
      <c r="AE541" s="284" t="n">
        <f aca="false">IFERROR(($J541*R541)*$L541, "")</f>
        <v>0</v>
      </c>
      <c r="AF541" s="284" t="n">
        <f aca="false">IFERROR(($J541*S541)*$L541, "")</f>
        <v>0</v>
      </c>
      <c r="AG541" s="284" t="n">
        <f aca="false">IFERROR(($J541*T541)*$L541, "")</f>
        <v>0</v>
      </c>
      <c r="AH541" s="284" t="n">
        <f aca="false">IFERROR(($J541*U541)*$L541, "")</f>
        <v>0</v>
      </c>
      <c r="AI541" s="284" t="n">
        <f aca="false">IFERROR(($J541*V541)*$L541, "")</f>
        <v>0</v>
      </c>
      <c r="AJ541" s="284" t="n">
        <f aca="false">IFERROR(($J541*W541)*$L541, "")</f>
        <v>0</v>
      </c>
      <c r="AK541" s="284" t="n">
        <f aca="false">IFERROR(($J541*X541)*$L541, "")</f>
        <v>0</v>
      </c>
      <c r="AL541" s="284" t="n">
        <f aca="false">IFERROR(($J541*Y541)*$L541, "")</f>
        <v>0</v>
      </c>
      <c r="AM541" s="285" t="n">
        <f aca="false">IFERROR(($J541*Z541)*$L541, "")</f>
        <v>0</v>
      </c>
      <c r="AN541" s="286" t="n">
        <f aca="false">IFERROR(SUMIF($AB$4:$AM$4, "RDEC", AB541:AM541), "")</f>
        <v>0</v>
      </c>
      <c r="AO541" s="286" t="n">
        <f aca="false">IFERROR(SUMIF($AB$4:$AM$4, "SME", AB541:AM541), "")</f>
        <v>0</v>
      </c>
      <c r="AP541" s="286" t="n">
        <f aca="false">IFERROR(SUMIF($AB$4:$AM$4, "De Minimis", AB541:AM541), "")</f>
        <v>0</v>
      </c>
      <c r="AQ541" s="283"/>
      <c r="AR541" s="284" t="n">
        <f aca="false">IFERROR(($J541*O541)*$M541, "")</f>
        <v>0</v>
      </c>
      <c r="AS541" s="284" t="n">
        <f aca="false">IFERROR(($J541*P541)*$M541, "")</f>
        <v>0</v>
      </c>
      <c r="AT541" s="284" t="n">
        <f aca="false">IFERROR(($J541*Q541)*$M541, "")</f>
        <v>0</v>
      </c>
      <c r="AU541" s="284" t="n">
        <f aca="false">IFERROR(($J541*R541)*$M541, "")</f>
        <v>0</v>
      </c>
      <c r="AV541" s="284" t="n">
        <f aca="false">IFERROR(($J541*S541)*$M541, "")</f>
        <v>0</v>
      </c>
      <c r="AW541" s="284" t="n">
        <f aca="false">IFERROR(($J541*T541)*$M541, "")</f>
        <v>0</v>
      </c>
      <c r="AX541" s="284" t="n">
        <f aca="false">IFERROR(($J541*U541)*$M541, "")</f>
        <v>0</v>
      </c>
      <c r="AY541" s="284" t="n">
        <f aca="false">IFERROR(($J541*V541)*$M541, "")</f>
        <v>0</v>
      </c>
      <c r="AZ541" s="284" t="n">
        <f aca="false">IFERROR(($J541*W541)*$M541, "")</f>
        <v>0</v>
      </c>
      <c r="BA541" s="284" t="n">
        <f aca="false">IFERROR(($J541*X541)*$M541, "")</f>
        <v>0</v>
      </c>
      <c r="BB541" s="284" t="n">
        <f aca="false">IFERROR(($J541*Y541)*$M541, "")</f>
        <v>0</v>
      </c>
      <c r="BC541" s="285" t="n">
        <f aca="false">IFERROR(($J541*Z541)*$M541, "")</f>
        <v>0</v>
      </c>
      <c r="BD541" s="286" t="n">
        <f aca="false">IFERROR(SUMIF($AB$4:$AM$4, "RDEC", AR541:BC541), "")</f>
        <v>0</v>
      </c>
      <c r="BE541" s="286" t="n">
        <f aca="false">IFERROR(SUMIF($AB$4:$AM$4, "SME", AR541:BC541), "")</f>
        <v>0</v>
      </c>
      <c r="BF541" s="286" t="n">
        <f aca="false">IFERROR(SUMIF($AB$4:$AM$4, "De Minimis", AR541:BC541), "")</f>
        <v>0</v>
      </c>
      <c r="BG541" s="287"/>
      <c r="BH541" s="288" t="str">
        <f aca="false">IF((SUM(O541:Z541)&gt;1),"ERROR","")</f>
        <v/>
      </c>
      <c r="BI541" s="287"/>
      <c r="BJ541" s="18" t="str">
        <f aca="false">IF(C527&gt;0, C527, "")</f>
        <v/>
      </c>
      <c r="BL541" s="200"/>
      <c r="BM541" s="200"/>
      <c r="BN541" s="200"/>
    </row>
    <row r="542" customFormat="false" ht="15" hidden="false" customHeight="true" outlineLevel="0" collapsed="false">
      <c r="B542" s="275"/>
      <c r="D542" s="276" t="n">
        <f aca="false">D526</f>
        <v>45474</v>
      </c>
      <c r="E542" s="277" t="n">
        <v>0</v>
      </c>
      <c r="F542" s="277" t="n">
        <v>0</v>
      </c>
      <c r="G542" s="277" t="n">
        <v>0</v>
      </c>
      <c r="H542" s="277" t="n">
        <v>0</v>
      </c>
      <c r="I542" s="277" t="n">
        <v>0</v>
      </c>
      <c r="J542" s="278" t="n">
        <f aca="false">E542+H542+I542</f>
        <v>0</v>
      </c>
      <c r="K542" s="204"/>
      <c r="L542" s="279" t="n">
        <v>1</v>
      </c>
      <c r="M542" s="280" t="n">
        <f aca="false">1-L542</f>
        <v>0</v>
      </c>
      <c r="N542" s="281"/>
      <c r="O542" s="282"/>
      <c r="P542" s="282"/>
      <c r="Q542" s="282"/>
      <c r="R542" s="282"/>
      <c r="S542" s="282"/>
      <c r="T542" s="282"/>
      <c r="U542" s="282"/>
      <c r="V542" s="282"/>
      <c r="W542" s="282"/>
      <c r="X542" s="282"/>
      <c r="Y542" s="282"/>
      <c r="Z542" s="282"/>
      <c r="AA542" s="283"/>
      <c r="AB542" s="284" t="n">
        <f aca="false">IFERROR(($J542*O542)*$L542, "")</f>
        <v>0</v>
      </c>
      <c r="AC542" s="284" t="n">
        <f aca="false">IFERROR(($J542*P542)*$L542, "")</f>
        <v>0</v>
      </c>
      <c r="AD542" s="284" t="n">
        <f aca="false">IFERROR(($J542*Q542)*$L542, "")</f>
        <v>0</v>
      </c>
      <c r="AE542" s="284" t="n">
        <f aca="false">IFERROR(($J542*R542)*$L542, "")</f>
        <v>0</v>
      </c>
      <c r="AF542" s="284" t="n">
        <f aca="false">IFERROR(($J542*S542)*$L542, "")</f>
        <v>0</v>
      </c>
      <c r="AG542" s="284" t="n">
        <f aca="false">IFERROR(($J542*T542)*$L542, "")</f>
        <v>0</v>
      </c>
      <c r="AH542" s="284" t="n">
        <f aca="false">IFERROR(($J542*U542)*$L542, "")</f>
        <v>0</v>
      </c>
      <c r="AI542" s="284" t="n">
        <f aca="false">IFERROR(($J542*V542)*$L542, "")</f>
        <v>0</v>
      </c>
      <c r="AJ542" s="284" t="n">
        <f aca="false">IFERROR(($J542*W542)*$L542, "")</f>
        <v>0</v>
      </c>
      <c r="AK542" s="284" t="n">
        <f aca="false">IFERROR(($J542*X542)*$L542, "")</f>
        <v>0</v>
      </c>
      <c r="AL542" s="284" t="n">
        <f aca="false">IFERROR(($J542*Y542)*$L542, "")</f>
        <v>0</v>
      </c>
      <c r="AM542" s="285" t="n">
        <f aca="false">IFERROR(($J542*Z542)*$L542, "")</f>
        <v>0</v>
      </c>
      <c r="AN542" s="286" t="n">
        <f aca="false">IFERROR(SUMIF($AB$4:$AM$4, "RDEC", AB542:AM542), "")</f>
        <v>0</v>
      </c>
      <c r="AO542" s="286" t="n">
        <f aca="false">IFERROR(SUMIF($AB$4:$AM$4, "SME", AB542:AM542), "")</f>
        <v>0</v>
      </c>
      <c r="AP542" s="286" t="n">
        <f aca="false">IFERROR(SUMIF($AB$4:$AM$4, "De Minimis", AB542:AM542), "")</f>
        <v>0</v>
      </c>
      <c r="AQ542" s="283"/>
      <c r="AR542" s="284" t="n">
        <f aca="false">IFERROR(($J542*O542)*$M542, "")</f>
        <v>0</v>
      </c>
      <c r="AS542" s="284" t="n">
        <f aca="false">IFERROR(($J542*P542)*$M542, "")</f>
        <v>0</v>
      </c>
      <c r="AT542" s="284" t="n">
        <f aca="false">IFERROR(($J542*Q542)*$M542, "")</f>
        <v>0</v>
      </c>
      <c r="AU542" s="284" t="n">
        <f aca="false">IFERROR(($J542*R542)*$M542, "")</f>
        <v>0</v>
      </c>
      <c r="AV542" s="284" t="n">
        <f aca="false">IFERROR(($J542*S542)*$M542, "")</f>
        <v>0</v>
      </c>
      <c r="AW542" s="284" t="n">
        <f aca="false">IFERROR(($J542*T542)*$M542, "")</f>
        <v>0</v>
      </c>
      <c r="AX542" s="284" t="n">
        <f aca="false">IFERROR(($J542*U542)*$M542, "")</f>
        <v>0</v>
      </c>
      <c r="AY542" s="284" t="n">
        <f aca="false">IFERROR(($J542*V542)*$M542, "")</f>
        <v>0</v>
      </c>
      <c r="AZ542" s="284" t="n">
        <f aca="false">IFERROR(($J542*W542)*$M542, "")</f>
        <v>0</v>
      </c>
      <c r="BA542" s="284" t="n">
        <f aca="false">IFERROR(($J542*X542)*$M542, "")</f>
        <v>0</v>
      </c>
      <c r="BB542" s="284" t="n">
        <f aca="false">IFERROR(($J542*Y542)*$M542, "")</f>
        <v>0</v>
      </c>
      <c r="BC542" s="285" t="n">
        <f aca="false">IFERROR(($J542*Z542)*$M542, "")</f>
        <v>0</v>
      </c>
      <c r="BD542" s="286" t="n">
        <f aca="false">IFERROR(SUMIF($AB$4:$AM$4, "RDEC", AR542:BC542), "")</f>
        <v>0</v>
      </c>
      <c r="BE542" s="286" t="n">
        <f aca="false">IFERROR(SUMIF($AB$4:$AM$4, "SME", AR542:BC542), "")</f>
        <v>0</v>
      </c>
      <c r="BF542" s="286" t="n">
        <f aca="false">IFERROR(SUMIF($AB$4:$AM$4, "De Minimis", AR542:BC542), "")</f>
        <v>0</v>
      </c>
      <c r="BG542" s="287"/>
      <c r="BH542" s="288" t="str">
        <f aca="false">IF((SUM(O542:Z542)&gt;1),"ERROR","")</f>
        <v/>
      </c>
      <c r="BI542" s="287"/>
      <c r="BJ542" s="18" t="str">
        <f aca="false">IF(C528&gt;0, C528, "")</f>
        <v/>
      </c>
      <c r="BL542" s="200"/>
      <c r="BM542" s="200"/>
      <c r="BN542" s="200"/>
    </row>
    <row r="543" customFormat="false" ht="15" hidden="false" customHeight="true" outlineLevel="0" collapsed="false">
      <c r="B543" s="275"/>
      <c r="D543" s="276" t="n">
        <f aca="false">D527</f>
        <v>45505</v>
      </c>
      <c r="E543" s="277" t="n">
        <v>0</v>
      </c>
      <c r="F543" s="277" t="n">
        <v>0</v>
      </c>
      <c r="G543" s="277" t="n">
        <v>0</v>
      </c>
      <c r="H543" s="277" t="n">
        <v>0</v>
      </c>
      <c r="I543" s="277" t="n">
        <v>0</v>
      </c>
      <c r="J543" s="278" t="n">
        <f aca="false">E543+H543+I543</f>
        <v>0</v>
      </c>
      <c r="K543" s="204"/>
      <c r="L543" s="279" t="n">
        <v>1</v>
      </c>
      <c r="M543" s="280" t="n">
        <f aca="false">1-L543</f>
        <v>0</v>
      </c>
      <c r="N543" s="281"/>
      <c r="O543" s="282"/>
      <c r="P543" s="282"/>
      <c r="Q543" s="282"/>
      <c r="R543" s="282"/>
      <c r="S543" s="282"/>
      <c r="T543" s="282"/>
      <c r="U543" s="282"/>
      <c r="V543" s="282"/>
      <c r="W543" s="282"/>
      <c r="X543" s="282"/>
      <c r="Y543" s="282"/>
      <c r="Z543" s="282"/>
      <c r="AA543" s="283"/>
      <c r="AB543" s="284" t="n">
        <f aca="false">IFERROR(($J543*O543)*$L543, "")</f>
        <v>0</v>
      </c>
      <c r="AC543" s="284" t="n">
        <f aca="false">IFERROR(($J543*P543)*$L543, "")</f>
        <v>0</v>
      </c>
      <c r="AD543" s="284" t="n">
        <f aca="false">IFERROR(($J543*Q543)*$L543, "")</f>
        <v>0</v>
      </c>
      <c r="AE543" s="284" t="n">
        <f aca="false">IFERROR(($J543*R543)*$L543, "")</f>
        <v>0</v>
      </c>
      <c r="AF543" s="284" t="n">
        <f aca="false">IFERROR(($J543*S543)*$L543, "")</f>
        <v>0</v>
      </c>
      <c r="AG543" s="284" t="n">
        <f aca="false">IFERROR(($J543*T543)*$L543, "")</f>
        <v>0</v>
      </c>
      <c r="AH543" s="284" t="n">
        <f aca="false">IFERROR(($J543*U543)*$L543, "")</f>
        <v>0</v>
      </c>
      <c r="AI543" s="284" t="n">
        <f aca="false">IFERROR(($J543*V543)*$L543, "")</f>
        <v>0</v>
      </c>
      <c r="AJ543" s="284" t="n">
        <f aca="false">IFERROR(($J543*W543)*$L543, "")</f>
        <v>0</v>
      </c>
      <c r="AK543" s="284" t="n">
        <f aca="false">IFERROR(($J543*X543)*$L543, "")</f>
        <v>0</v>
      </c>
      <c r="AL543" s="284" t="n">
        <f aca="false">IFERROR(($J543*Y543)*$L543, "")</f>
        <v>0</v>
      </c>
      <c r="AM543" s="285" t="n">
        <f aca="false">IFERROR(($J543*Z543)*$L543, "")</f>
        <v>0</v>
      </c>
      <c r="AN543" s="286" t="n">
        <f aca="false">IFERROR(SUMIF($AB$4:$AM$4, "RDEC", AB543:AM543), "")</f>
        <v>0</v>
      </c>
      <c r="AO543" s="286" t="n">
        <f aca="false">IFERROR(SUMIF($AB$4:$AM$4, "SME", AB543:AM543), "")</f>
        <v>0</v>
      </c>
      <c r="AP543" s="286" t="n">
        <f aca="false">IFERROR(SUMIF($AB$4:$AM$4, "De Minimis", AB543:AM543), "")</f>
        <v>0</v>
      </c>
      <c r="AQ543" s="283"/>
      <c r="AR543" s="284" t="n">
        <f aca="false">IFERROR(($J543*O543)*$M543, "")</f>
        <v>0</v>
      </c>
      <c r="AS543" s="284" t="n">
        <f aca="false">IFERROR(($J543*P543)*$M543, "")</f>
        <v>0</v>
      </c>
      <c r="AT543" s="284" t="n">
        <f aca="false">IFERROR(($J543*Q543)*$M543, "")</f>
        <v>0</v>
      </c>
      <c r="AU543" s="284" t="n">
        <f aca="false">IFERROR(($J543*R543)*$M543, "")</f>
        <v>0</v>
      </c>
      <c r="AV543" s="284" t="n">
        <f aca="false">IFERROR(($J543*S543)*$M543, "")</f>
        <v>0</v>
      </c>
      <c r="AW543" s="284" t="n">
        <f aca="false">IFERROR(($J543*T543)*$M543, "")</f>
        <v>0</v>
      </c>
      <c r="AX543" s="284" t="n">
        <f aca="false">IFERROR(($J543*U543)*$M543, "")</f>
        <v>0</v>
      </c>
      <c r="AY543" s="284" t="n">
        <f aca="false">IFERROR(($J543*V543)*$M543, "")</f>
        <v>0</v>
      </c>
      <c r="AZ543" s="284" t="n">
        <f aca="false">IFERROR(($J543*W543)*$M543, "")</f>
        <v>0</v>
      </c>
      <c r="BA543" s="284" t="n">
        <f aca="false">IFERROR(($J543*X543)*$M543, "")</f>
        <v>0</v>
      </c>
      <c r="BB543" s="284" t="n">
        <f aca="false">IFERROR(($J543*Y543)*$M543, "")</f>
        <v>0</v>
      </c>
      <c r="BC543" s="285" t="n">
        <f aca="false">IFERROR(($J543*Z543)*$M543, "")</f>
        <v>0</v>
      </c>
      <c r="BD543" s="286" t="n">
        <f aca="false">IFERROR(SUMIF($AB$4:$AM$4, "RDEC", AR543:BC543), "")</f>
        <v>0</v>
      </c>
      <c r="BE543" s="286" t="n">
        <f aca="false">IFERROR(SUMIF($AB$4:$AM$4, "SME", AR543:BC543), "")</f>
        <v>0</v>
      </c>
      <c r="BF543" s="286" t="n">
        <f aca="false">IFERROR(SUMIF($AB$4:$AM$4, "De Minimis", AR543:BC543), "")</f>
        <v>0</v>
      </c>
      <c r="BG543" s="287"/>
      <c r="BH543" s="288" t="str">
        <f aca="false">IF((SUM(O543:Z543)&gt;1),"ERROR","")</f>
        <v/>
      </c>
      <c r="BI543" s="287"/>
      <c r="BJ543" s="18" t="str">
        <f aca="false">IF(C529&gt;0, C529, "")</f>
        <v/>
      </c>
      <c r="BL543" s="200"/>
      <c r="BM543" s="200"/>
      <c r="BN543" s="200"/>
    </row>
    <row r="544" customFormat="false" ht="15" hidden="false" customHeight="true" outlineLevel="0" collapsed="false">
      <c r="B544" s="275"/>
      <c r="D544" s="276" t="n">
        <f aca="false">D528</f>
        <v>45536</v>
      </c>
      <c r="E544" s="277" t="n">
        <v>0</v>
      </c>
      <c r="F544" s="277" t="n">
        <v>0</v>
      </c>
      <c r="G544" s="277" t="n">
        <v>0</v>
      </c>
      <c r="H544" s="277" t="n">
        <v>0</v>
      </c>
      <c r="I544" s="277" t="n">
        <v>0</v>
      </c>
      <c r="J544" s="278" t="n">
        <f aca="false">E544+H544+I544</f>
        <v>0</v>
      </c>
      <c r="K544" s="204"/>
      <c r="L544" s="279" t="n">
        <v>1</v>
      </c>
      <c r="M544" s="280" t="n">
        <f aca="false">1-L544</f>
        <v>0</v>
      </c>
      <c r="N544" s="281"/>
      <c r="O544" s="282"/>
      <c r="P544" s="282"/>
      <c r="Q544" s="282"/>
      <c r="R544" s="282"/>
      <c r="S544" s="282"/>
      <c r="T544" s="282"/>
      <c r="U544" s="282"/>
      <c r="V544" s="282"/>
      <c r="W544" s="282"/>
      <c r="X544" s="282"/>
      <c r="Y544" s="282"/>
      <c r="Z544" s="282"/>
      <c r="AA544" s="283"/>
      <c r="AB544" s="284" t="n">
        <f aca="false">IFERROR(($J544*O544)*$L544, "")</f>
        <v>0</v>
      </c>
      <c r="AC544" s="284" t="n">
        <f aca="false">IFERROR(($J544*P544)*$L544, "")</f>
        <v>0</v>
      </c>
      <c r="AD544" s="284" t="n">
        <f aca="false">IFERROR(($J544*Q544)*$L544, "")</f>
        <v>0</v>
      </c>
      <c r="AE544" s="284" t="n">
        <f aca="false">IFERROR(($J544*R544)*$L544, "")</f>
        <v>0</v>
      </c>
      <c r="AF544" s="284" t="n">
        <f aca="false">IFERROR(($J544*S544)*$L544, "")</f>
        <v>0</v>
      </c>
      <c r="AG544" s="284" t="n">
        <f aca="false">IFERROR(($J544*T544)*$L544, "")</f>
        <v>0</v>
      </c>
      <c r="AH544" s="284" t="n">
        <f aca="false">IFERROR(($J544*U544)*$L544, "")</f>
        <v>0</v>
      </c>
      <c r="AI544" s="284" t="n">
        <f aca="false">IFERROR(($J544*V544)*$L544, "")</f>
        <v>0</v>
      </c>
      <c r="AJ544" s="284" t="n">
        <f aca="false">IFERROR(($J544*W544)*$L544, "")</f>
        <v>0</v>
      </c>
      <c r="AK544" s="284" t="n">
        <f aca="false">IFERROR(($J544*X544)*$L544, "")</f>
        <v>0</v>
      </c>
      <c r="AL544" s="284" t="n">
        <f aca="false">IFERROR(($J544*Y544)*$L544, "")</f>
        <v>0</v>
      </c>
      <c r="AM544" s="285" t="n">
        <f aca="false">IFERROR(($J544*Z544)*$L544, "")</f>
        <v>0</v>
      </c>
      <c r="AN544" s="286" t="n">
        <f aca="false">IFERROR(SUMIF($AB$4:$AM$4, "RDEC", AB544:AM544), "")</f>
        <v>0</v>
      </c>
      <c r="AO544" s="286" t="n">
        <f aca="false">IFERROR(SUMIF($AB$4:$AM$4, "SME", AB544:AM544), "")</f>
        <v>0</v>
      </c>
      <c r="AP544" s="286" t="n">
        <f aca="false">IFERROR(SUMIF($AB$4:$AM$4, "De Minimis", AB544:AM544), "")</f>
        <v>0</v>
      </c>
      <c r="AQ544" s="283"/>
      <c r="AR544" s="284" t="n">
        <f aca="false">IFERROR(($J544*O544)*$M544, "")</f>
        <v>0</v>
      </c>
      <c r="AS544" s="284" t="n">
        <f aca="false">IFERROR(($J544*P544)*$M544, "")</f>
        <v>0</v>
      </c>
      <c r="AT544" s="284" t="n">
        <f aca="false">IFERROR(($J544*Q544)*$M544, "")</f>
        <v>0</v>
      </c>
      <c r="AU544" s="284" t="n">
        <f aca="false">IFERROR(($J544*R544)*$M544, "")</f>
        <v>0</v>
      </c>
      <c r="AV544" s="284" t="n">
        <f aca="false">IFERROR(($J544*S544)*$M544, "")</f>
        <v>0</v>
      </c>
      <c r="AW544" s="284" t="n">
        <f aca="false">IFERROR(($J544*T544)*$M544, "")</f>
        <v>0</v>
      </c>
      <c r="AX544" s="284" t="n">
        <f aca="false">IFERROR(($J544*U544)*$M544, "")</f>
        <v>0</v>
      </c>
      <c r="AY544" s="284" t="n">
        <f aca="false">IFERROR(($J544*V544)*$M544, "")</f>
        <v>0</v>
      </c>
      <c r="AZ544" s="284" t="n">
        <f aca="false">IFERROR(($J544*W544)*$M544, "")</f>
        <v>0</v>
      </c>
      <c r="BA544" s="284" t="n">
        <f aca="false">IFERROR(($J544*X544)*$M544, "")</f>
        <v>0</v>
      </c>
      <c r="BB544" s="284" t="n">
        <f aca="false">IFERROR(($J544*Y544)*$M544, "")</f>
        <v>0</v>
      </c>
      <c r="BC544" s="285" t="n">
        <f aca="false">IFERROR(($J544*Z544)*$M544, "")</f>
        <v>0</v>
      </c>
      <c r="BD544" s="286" t="n">
        <f aca="false">IFERROR(SUMIF($AB$4:$AM$4, "RDEC", AR544:BC544), "")</f>
        <v>0</v>
      </c>
      <c r="BE544" s="286" t="n">
        <f aca="false">IFERROR(SUMIF($AB$4:$AM$4, "SME", AR544:BC544), "")</f>
        <v>0</v>
      </c>
      <c r="BF544" s="286" t="n">
        <f aca="false">IFERROR(SUMIF($AB$4:$AM$4, "De Minimis", AR544:BC544), "")</f>
        <v>0</v>
      </c>
      <c r="BG544" s="287"/>
      <c r="BH544" s="288" t="str">
        <f aca="false">IF((SUM(O544:Z544)&gt;1),"ERROR","")</f>
        <v/>
      </c>
      <c r="BI544" s="287"/>
      <c r="BJ544" s="18" t="str">
        <f aca="false">IF(C530&gt;0, C530, "")</f>
        <v/>
      </c>
      <c r="BL544" s="200"/>
      <c r="BM544" s="200"/>
      <c r="BN544" s="200"/>
    </row>
    <row r="545" customFormat="false" ht="15" hidden="false" customHeight="true" outlineLevel="0" collapsed="false">
      <c r="B545" s="275"/>
      <c r="D545" s="276" t="n">
        <f aca="false">D529</f>
        <v>45566</v>
      </c>
      <c r="E545" s="277" t="n">
        <v>0</v>
      </c>
      <c r="F545" s="277" t="n">
        <v>0</v>
      </c>
      <c r="G545" s="277" t="n">
        <v>0</v>
      </c>
      <c r="H545" s="277" t="n">
        <v>0</v>
      </c>
      <c r="I545" s="277" t="n">
        <v>0</v>
      </c>
      <c r="J545" s="278" t="n">
        <f aca="false">E545+H545+I545</f>
        <v>0</v>
      </c>
      <c r="K545" s="204"/>
      <c r="L545" s="279" t="n">
        <v>1</v>
      </c>
      <c r="M545" s="280" t="n">
        <f aca="false">1-L545</f>
        <v>0</v>
      </c>
      <c r="N545" s="281"/>
      <c r="O545" s="282"/>
      <c r="P545" s="282"/>
      <c r="Q545" s="282"/>
      <c r="R545" s="282"/>
      <c r="S545" s="282"/>
      <c r="T545" s="282"/>
      <c r="U545" s="282"/>
      <c r="V545" s="282"/>
      <c r="W545" s="282"/>
      <c r="X545" s="282"/>
      <c r="Y545" s="282"/>
      <c r="Z545" s="282"/>
      <c r="AA545" s="283"/>
      <c r="AB545" s="284" t="n">
        <f aca="false">IFERROR(($J545*O545)*$L545, "")</f>
        <v>0</v>
      </c>
      <c r="AC545" s="284" t="n">
        <f aca="false">IFERROR(($J545*P545)*$L545, "")</f>
        <v>0</v>
      </c>
      <c r="AD545" s="284" t="n">
        <f aca="false">IFERROR(($J545*Q545)*$L545, "")</f>
        <v>0</v>
      </c>
      <c r="AE545" s="284" t="n">
        <f aca="false">IFERROR(($J545*R545)*$L545, "")</f>
        <v>0</v>
      </c>
      <c r="AF545" s="284" t="n">
        <f aca="false">IFERROR(($J545*S545)*$L545, "")</f>
        <v>0</v>
      </c>
      <c r="AG545" s="284" t="n">
        <f aca="false">IFERROR(($J545*T545)*$L545, "")</f>
        <v>0</v>
      </c>
      <c r="AH545" s="284" t="n">
        <f aca="false">IFERROR(($J545*U545)*$L545, "")</f>
        <v>0</v>
      </c>
      <c r="AI545" s="284" t="n">
        <f aca="false">IFERROR(($J545*V545)*$L545, "")</f>
        <v>0</v>
      </c>
      <c r="AJ545" s="284" t="n">
        <f aca="false">IFERROR(($J545*W545)*$L545, "")</f>
        <v>0</v>
      </c>
      <c r="AK545" s="284" t="n">
        <f aca="false">IFERROR(($J545*X545)*$L545, "")</f>
        <v>0</v>
      </c>
      <c r="AL545" s="284" t="n">
        <f aca="false">IFERROR(($J545*Y545)*$L545, "")</f>
        <v>0</v>
      </c>
      <c r="AM545" s="285" t="n">
        <f aca="false">IFERROR(($J545*Z545)*$L545, "")</f>
        <v>0</v>
      </c>
      <c r="AN545" s="286" t="n">
        <f aca="false">IFERROR(SUMIF($AB$4:$AM$4, "RDEC", AB545:AM545), "")</f>
        <v>0</v>
      </c>
      <c r="AO545" s="286" t="n">
        <f aca="false">IFERROR(SUMIF($AB$4:$AM$4, "SME", AB545:AM545), "")</f>
        <v>0</v>
      </c>
      <c r="AP545" s="286" t="n">
        <f aca="false">IFERROR(SUMIF($AB$4:$AM$4, "De Minimis", AB545:AM545), "")</f>
        <v>0</v>
      </c>
      <c r="AQ545" s="283"/>
      <c r="AR545" s="284" t="n">
        <f aca="false">IFERROR(($J545*O545)*$M545, "")</f>
        <v>0</v>
      </c>
      <c r="AS545" s="284" t="n">
        <f aca="false">IFERROR(($J545*P545)*$M545, "")</f>
        <v>0</v>
      </c>
      <c r="AT545" s="284" t="n">
        <f aca="false">IFERROR(($J545*Q545)*$M545, "")</f>
        <v>0</v>
      </c>
      <c r="AU545" s="284" t="n">
        <f aca="false">IFERROR(($J545*R545)*$M545, "")</f>
        <v>0</v>
      </c>
      <c r="AV545" s="284" t="n">
        <f aca="false">IFERROR(($J545*S545)*$M545, "")</f>
        <v>0</v>
      </c>
      <c r="AW545" s="284" t="n">
        <f aca="false">IFERROR(($J545*T545)*$M545, "")</f>
        <v>0</v>
      </c>
      <c r="AX545" s="284" t="n">
        <f aca="false">IFERROR(($J545*U545)*$M545, "")</f>
        <v>0</v>
      </c>
      <c r="AY545" s="284" t="n">
        <f aca="false">IFERROR(($J545*V545)*$M545, "")</f>
        <v>0</v>
      </c>
      <c r="AZ545" s="284" t="n">
        <f aca="false">IFERROR(($J545*W545)*$M545, "")</f>
        <v>0</v>
      </c>
      <c r="BA545" s="284" t="n">
        <f aca="false">IFERROR(($J545*X545)*$M545, "")</f>
        <v>0</v>
      </c>
      <c r="BB545" s="284" t="n">
        <f aca="false">IFERROR(($J545*Y545)*$M545, "")</f>
        <v>0</v>
      </c>
      <c r="BC545" s="285" t="n">
        <f aca="false">IFERROR(($J545*Z545)*$M545, "")</f>
        <v>0</v>
      </c>
      <c r="BD545" s="286" t="n">
        <f aca="false">IFERROR(SUMIF($AB$4:$AM$4, "RDEC", AR545:BC545), "")</f>
        <v>0</v>
      </c>
      <c r="BE545" s="286" t="n">
        <f aca="false">IFERROR(SUMIF($AB$4:$AM$4, "SME", AR545:BC545), "")</f>
        <v>0</v>
      </c>
      <c r="BF545" s="286" t="n">
        <f aca="false">IFERROR(SUMIF($AB$4:$AM$4, "De Minimis", AR545:BC545), "")</f>
        <v>0</v>
      </c>
      <c r="BG545" s="287"/>
      <c r="BH545" s="288" t="str">
        <f aca="false">IF((SUM(O545:Z545)&gt;1),"ERROR","")</f>
        <v/>
      </c>
      <c r="BI545" s="287"/>
      <c r="BJ545" s="18" t="str">
        <f aca="false">IF(C531&gt;0, C531, "")</f>
        <v/>
      </c>
      <c r="BL545" s="200"/>
      <c r="BM545" s="200"/>
      <c r="BN545" s="200"/>
    </row>
    <row r="546" customFormat="false" ht="15" hidden="false" customHeight="true" outlineLevel="0" collapsed="false">
      <c r="B546" s="275"/>
      <c r="D546" s="276" t="n">
        <f aca="false">D530</f>
        <v>45597</v>
      </c>
      <c r="E546" s="277" t="n">
        <v>0</v>
      </c>
      <c r="F546" s="277" t="n">
        <v>0</v>
      </c>
      <c r="G546" s="277" t="n">
        <v>0</v>
      </c>
      <c r="H546" s="277" t="n">
        <v>0</v>
      </c>
      <c r="I546" s="277" t="n">
        <v>0</v>
      </c>
      <c r="J546" s="278" t="n">
        <f aca="false">E546+H546+I546</f>
        <v>0</v>
      </c>
      <c r="K546" s="204"/>
      <c r="L546" s="279" t="n">
        <v>1</v>
      </c>
      <c r="M546" s="280" t="n">
        <f aca="false">1-L546</f>
        <v>0</v>
      </c>
      <c r="N546" s="281"/>
      <c r="O546" s="282"/>
      <c r="P546" s="282"/>
      <c r="Q546" s="282"/>
      <c r="R546" s="282"/>
      <c r="S546" s="282"/>
      <c r="T546" s="282"/>
      <c r="U546" s="282"/>
      <c r="V546" s="282"/>
      <c r="W546" s="282"/>
      <c r="X546" s="282"/>
      <c r="Y546" s="282"/>
      <c r="Z546" s="282"/>
      <c r="AA546" s="283"/>
      <c r="AB546" s="284" t="n">
        <f aca="false">IFERROR(($J546*O546)*$L546, "")</f>
        <v>0</v>
      </c>
      <c r="AC546" s="284" t="n">
        <f aca="false">IFERROR(($J546*P546)*$L546, "")</f>
        <v>0</v>
      </c>
      <c r="AD546" s="284" t="n">
        <f aca="false">IFERROR(($J546*Q546)*$L546, "")</f>
        <v>0</v>
      </c>
      <c r="AE546" s="284" t="n">
        <f aca="false">IFERROR(($J546*R546)*$L546, "")</f>
        <v>0</v>
      </c>
      <c r="AF546" s="284" t="n">
        <f aca="false">IFERROR(($J546*S546)*$L546, "")</f>
        <v>0</v>
      </c>
      <c r="AG546" s="284" t="n">
        <f aca="false">IFERROR(($J546*T546)*$L546, "")</f>
        <v>0</v>
      </c>
      <c r="AH546" s="284" t="n">
        <f aca="false">IFERROR(($J546*U546)*$L546, "")</f>
        <v>0</v>
      </c>
      <c r="AI546" s="284" t="n">
        <f aca="false">IFERROR(($J546*V546)*$L546, "")</f>
        <v>0</v>
      </c>
      <c r="AJ546" s="284" t="n">
        <f aca="false">IFERROR(($J546*W546)*$L546, "")</f>
        <v>0</v>
      </c>
      <c r="AK546" s="284" t="n">
        <f aca="false">IFERROR(($J546*X546)*$L546, "")</f>
        <v>0</v>
      </c>
      <c r="AL546" s="284" t="n">
        <f aca="false">IFERROR(($J546*Y546)*$L546, "")</f>
        <v>0</v>
      </c>
      <c r="AM546" s="285" t="n">
        <f aca="false">IFERROR(($J546*Z546)*$L546, "")</f>
        <v>0</v>
      </c>
      <c r="AN546" s="286" t="n">
        <f aca="false">IFERROR(SUMIF($AB$4:$AM$4, "RDEC", AB546:AM546), "")</f>
        <v>0</v>
      </c>
      <c r="AO546" s="286" t="n">
        <f aca="false">IFERROR(SUMIF($AB$4:$AM$4, "SME", AB546:AM546), "")</f>
        <v>0</v>
      </c>
      <c r="AP546" s="286" t="n">
        <f aca="false">IFERROR(SUMIF($AB$4:$AM$4, "De Minimis", AB546:AM546), "")</f>
        <v>0</v>
      </c>
      <c r="AQ546" s="283"/>
      <c r="AR546" s="284" t="n">
        <f aca="false">IFERROR(($J546*O546)*$M546, "")</f>
        <v>0</v>
      </c>
      <c r="AS546" s="284" t="n">
        <f aca="false">IFERROR(($J546*P546)*$M546, "")</f>
        <v>0</v>
      </c>
      <c r="AT546" s="284" t="n">
        <f aca="false">IFERROR(($J546*Q546)*$M546, "")</f>
        <v>0</v>
      </c>
      <c r="AU546" s="284" t="n">
        <f aca="false">IFERROR(($J546*R546)*$M546, "")</f>
        <v>0</v>
      </c>
      <c r="AV546" s="284" t="n">
        <f aca="false">IFERROR(($J546*S546)*$M546, "")</f>
        <v>0</v>
      </c>
      <c r="AW546" s="284" t="n">
        <f aca="false">IFERROR(($J546*T546)*$M546, "")</f>
        <v>0</v>
      </c>
      <c r="AX546" s="284" t="n">
        <f aca="false">IFERROR(($J546*U546)*$M546, "")</f>
        <v>0</v>
      </c>
      <c r="AY546" s="284" t="n">
        <f aca="false">IFERROR(($J546*V546)*$M546, "")</f>
        <v>0</v>
      </c>
      <c r="AZ546" s="284" t="n">
        <f aca="false">IFERROR(($J546*W546)*$M546, "")</f>
        <v>0</v>
      </c>
      <c r="BA546" s="284" t="n">
        <f aca="false">IFERROR(($J546*X546)*$M546, "")</f>
        <v>0</v>
      </c>
      <c r="BB546" s="284" t="n">
        <f aca="false">IFERROR(($J546*Y546)*$M546, "")</f>
        <v>0</v>
      </c>
      <c r="BC546" s="285" t="n">
        <f aca="false">IFERROR(($J546*Z546)*$M546, "")</f>
        <v>0</v>
      </c>
      <c r="BD546" s="286" t="n">
        <f aca="false">IFERROR(SUMIF($AB$4:$AM$4, "RDEC", AR546:BC546), "")</f>
        <v>0</v>
      </c>
      <c r="BE546" s="286" t="n">
        <f aca="false">IFERROR(SUMIF($AB$4:$AM$4, "SME", AR546:BC546), "")</f>
        <v>0</v>
      </c>
      <c r="BF546" s="286" t="n">
        <f aca="false">IFERROR(SUMIF($AB$4:$AM$4, "De Minimis", AR546:BC546), "")</f>
        <v>0</v>
      </c>
      <c r="BG546" s="287"/>
      <c r="BH546" s="288" t="str">
        <f aca="false">IF((SUM(O546:Z546)&gt;1),"ERROR","")</f>
        <v/>
      </c>
      <c r="BI546" s="287"/>
      <c r="BJ546" s="18" t="str">
        <f aca="false">IF(C532&gt;0, C532, "")</f>
        <v/>
      </c>
      <c r="BL546" s="200"/>
      <c r="BM546" s="200"/>
      <c r="BN546" s="200"/>
    </row>
    <row r="547" customFormat="false" ht="15" hidden="false" customHeight="true" outlineLevel="0" collapsed="false">
      <c r="B547" s="275"/>
      <c r="D547" s="276" t="n">
        <f aca="false">D531</f>
        <v>45627</v>
      </c>
      <c r="E547" s="277" t="n">
        <v>0</v>
      </c>
      <c r="F547" s="277" t="n">
        <v>0</v>
      </c>
      <c r="G547" s="277" t="n">
        <v>0</v>
      </c>
      <c r="H547" s="277" t="n">
        <v>0</v>
      </c>
      <c r="I547" s="277" t="n">
        <v>0</v>
      </c>
      <c r="J547" s="278" t="n">
        <f aca="false">E547+H547+I547</f>
        <v>0</v>
      </c>
      <c r="K547" s="204"/>
      <c r="L547" s="289" t="n">
        <v>1</v>
      </c>
      <c r="M547" s="290" t="n">
        <f aca="false">1-L547</f>
        <v>0</v>
      </c>
      <c r="N547" s="281"/>
      <c r="O547" s="291"/>
      <c r="P547" s="291"/>
      <c r="Q547" s="291"/>
      <c r="R547" s="291"/>
      <c r="S547" s="291"/>
      <c r="T547" s="291"/>
      <c r="U547" s="291"/>
      <c r="V547" s="291"/>
      <c r="W547" s="291"/>
      <c r="X547" s="291"/>
      <c r="Y547" s="291"/>
      <c r="Z547" s="291"/>
      <c r="AA547" s="283"/>
      <c r="AB547" s="292" t="n">
        <f aca="false">IFERROR(($J547*O547)*$L547, "")</f>
        <v>0</v>
      </c>
      <c r="AC547" s="292" t="n">
        <f aca="false">IFERROR(($J547*P547)*$L547, "")</f>
        <v>0</v>
      </c>
      <c r="AD547" s="292" t="n">
        <f aca="false">IFERROR(($J547*Q547)*$L547, "")</f>
        <v>0</v>
      </c>
      <c r="AE547" s="292" t="n">
        <f aca="false">IFERROR(($J547*R547)*$L547, "")</f>
        <v>0</v>
      </c>
      <c r="AF547" s="292" t="n">
        <f aca="false">IFERROR(($J547*S547)*$L547, "")</f>
        <v>0</v>
      </c>
      <c r="AG547" s="292" t="n">
        <f aca="false">IFERROR(($J547*T547)*$L547, "")</f>
        <v>0</v>
      </c>
      <c r="AH547" s="292" t="n">
        <f aca="false">IFERROR(($J547*U547)*$L547, "")</f>
        <v>0</v>
      </c>
      <c r="AI547" s="292" t="n">
        <f aca="false">IFERROR(($J547*V547)*$L547, "")</f>
        <v>0</v>
      </c>
      <c r="AJ547" s="292" t="n">
        <f aca="false">IFERROR(($J547*W547)*$L547, "")</f>
        <v>0</v>
      </c>
      <c r="AK547" s="292" t="n">
        <f aca="false">IFERROR(($J547*X547)*$L547, "")</f>
        <v>0</v>
      </c>
      <c r="AL547" s="292" t="n">
        <f aca="false">IFERROR(($J547*Y547)*$L547, "")</f>
        <v>0</v>
      </c>
      <c r="AM547" s="293" t="n">
        <f aca="false">IFERROR(($J547*Z547)*$L547, "")</f>
        <v>0</v>
      </c>
      <c r="AN547" s="294" t="n">
        <f aca="false">IFERROR(SUMIF($AB$4:$AM$4, "RDEC", AB547:AM547), "")</f>
        <v>0</v>
      </c>
      <c r="AO547" s="294" t="n">
        <f aca="false">IFERROR(SUMIF($AB$4:$AM$4, "SME", AB547:AM547), "")</f>
        <v>0</v>
      </c>
      <c r="AP547" s="294" t="n">
        <f aca="false">IFERROR(SUMIF($AB$4:$AM$4, "De Minimis", AB547:AM547), "")</f>
        <v>0</v>
      </c>
      <c r="AQ547" s="283"/>
      <c r="AR547" s="292" t="n">
        <f aca="false">IFERROR(($J547*O547)*$M547, "")</f>
        <v>0</v>
      </c>
      <c r="AS547" s="292" t="n">
        <f aca="false">IFERROR(($J547*P547)*$M547, "")</f>
        <v>0</v>
      </c>
      <c r="AT547" s="292" t="n">
        <f aca="false">IFERROR(($J547*Q547)*$M547, "")</f>
        <v>0</v>
      </c>
      <c r="AU547" s="292" t="n">
        <f aca="false">IFERROR(($J547*R547)*$M547, "")</f>
        <v>0</v>
      </c>
      <c r="AV547" s="292" t="n">
        <f aca="false">IFERROR(($J547*S547)*$M547, "")</f>
        <v>0</v>
      </c>
      <c r="AW547" s="292" t="n">
        <f aca="false">IFERROR(($J547*T547)*$M547, "")</f>
        <v>0</v>
      </c>
      <c r="AX547" s="292" t="n">
        <f aca="false">IFERROR(($J547*U547)*$M547, "")</f>
        <v>0</v>
      </c>
      <c r="AY547" s="292" t="n">
        <f aca="false">IFERROR(($J547*V547)*$M547, "")</f>
        <v>0</v>
      </c>
      <c r="AZ547" s="292" t="n">
        <f aca="false">IFERROR(($J547*W547)*$M547, "")</f>
        <v>0</v>
      </c>
      <c r="BA547" s="292" t="n">
        <f aca="false">IFERROR(($J547*X547)*$M547, "")</f>
        <v>0</v>
      </c>
      <c r="BB547" s="292" t="n">
        <f aca="false">IFERROR(($J547*Y547)*$M547, "")</f>
        <v>0</v>
      </c>
      <c r="BC547" s="293" t="n">
        <f aca="false">IFERROR(($J547*Z547)*$M547, "")</f>
        <v>0</v>
      </c>
      <c r="BD547" s="294" t="n">
        <f aca="false">IFERROR(SUMIF($AB$4:$AM$4, "RDEC", AR547:BC547), "")</f>
        <v>0</v>
      </c>
      <c r="BE547" s="294" t="n">
        <f aca="false">IFERROR(SUMIF($AB$4:$AM$4, "SME", AR547:BC547), "")</f>
        <v>0</v>
      </c>
      <c r="BF547" s="294" t="n">
        <f aca="false">IFERROR(SUMIF($AB$4:$AM$4, "De Minimis", AR547:BC547), "")</f>
        <v>0</v>
      </c>
      <c r="BG547" s="287"/>
      <c r="BH547" s="295" t="str">
        <f aca="false">IF((SUM(O547:Z547)&gt;1),"ERROR","")</f>
        <v/>
      </c>
      <c r="BI547" s="287"/>
      <c r="BJ547" s="18" t="str">
        <f aca="false">IF(C533&gt;0, C533, "")</f>
        <v/>
      </c>
      <c r="BL547" s="200"/>
      <c r="BM547" s="200"/>
      <c r="BN547" s="200"/>
    </row>
    <row r="548" customFormat="false" ht="15" hidden="false" customHeight="true" outlineLevel="0" collapsed="false">
      <c r="B548" s="296"/>
      <c r="D548" s="297" t="s">
        <v>82</v>
      </c>
      <c r="E548" s="298" t="n">
        <f aca="false">SUM(E536:E547)</f>
        <v>0</v>
      </c>
      <c r="F548" s="298" t="n">
        <f aca="false">SUM(F536:F547)</f>
        <v>0</v>
      </c>
      <c r="G548" s="298" t="n">
        <f aca="false">SUM(G536:G547)</f>
        <v>0</v>
      </c>
      <c r="H548" s="298" t="n">
        <f aca="false">SUM(H536:H547)</f>
        <v>0</v>
      </c>
      <c r="I548" s="298" t="n">
        <f aca="false">SUM(I536:I547)</f>
        <v>0</v>
      </c>
      <c r="J548" s="299" t="n">
        <f aca="false">SUM(J536:J547)</f>
        <v>0</v>
      </c>
      <c r="K548" s="300"/>
      <c r="L548" s="301" t="n">
        <f aca="false">AVERAGE(L536:L547)</f>
        <v>1</v>
      </c>
      <c r="M548" s="301" t="n">
        <f aca="false">AVERAGE(M536:M547)</f>
        <v>0</v>
      </c>
      <c r="N548" s="302"/>
      <c r="O548" s="290" t="n">
        <f aca="false">IF(SUM(O536:O547)&gt;0,((AB548+AR548)/J548),0)</f>
        <v>0</v>
      </c>
      <c r="P548" s="290" t="n">
        <f aca="false">IF(SUM(P536:P547)&gt;0,((AC548+AS548)/J548),0)</f>
        <v>0</v>
      </c>
      <c r="Q548" s="290" t="n">
        <f aca="false">IF(SUM(Q536:Q547)&gt;0,((AD548+AT548)/J548),0)</f>
        <v>0</v>
      </c>
      <c r="R548" s="290" t="n">
        <f aca="false">IF(SUM(R536:R547)&gt;0,((AE548+AU548)/J548),0)</f>
        <v>0</v>
      </c>
      <c r="S548" s="290" t="n">
        <f aca="false">IF(SUM(S536:S547)&gt;0,((AF548+AV548)/J548),0)</f>
        <v>0</v>
      </c>
      <c r="T548" s="290" t="n">
        <f aca="false">IF(SUM(T536:T547)&gt;0,((AG548+AW548)/J548),0)</f>
        <v>0</v>
      </c>
      <c r="U548" s="290" t="n">
        <f aca="false">IF(SUM(U536:U547)&gt;0,((AH548+AX548)/J548),0)</f>
        <v>0</v>
      </c>
      <c r="V548" s="290" t="n">
        <f aca="false">IF(SUM(V536:V547)&gt;0,((AI548+AY548)/J548),0)</f>
        <v>0</v>
      </c>
      <c r="W548" s="290" t="n">
        <f aca="false">IF(SUM(W536:W547)&gt;0,((AJ548+AZ548)/J548),0)</f>
        <v>0</v>
      </c>
      <c r="X548" s="290" t="n">
        <f aca="false">IF(SUM(X536:X547)&gt;0,((AK548+BA548)/J548),0)</f>
        <v>0</v>
      </c>
      <c r="Y548" s="290" t="n">
        <f aca="false">IF(SUM(Y536:Y547)&gt;0,((AL548+BB548)/J548),0)</f>
        <v>0</v>
      </c>
      <c r="Z548" s="290" t="n">
        <f aca="false">IF(SUM(Z536:Z547)&gt;0,((AM548+BC548)/J548),0)</f>
        <v>0</v>
      </c>
      <c r="AA548" s="303"/>
      <c r="AB548" s="292" t="n">
        <f aca="false">SUM(AB536:AB547)</f>
        <v>0</v>
      </c>
      <c r="AC548" s="304" t="n">
        <f aca="false">SUM(AC536:AC547)</f>
        <v>0</v>
      </c>
      <c r="AD548" s="304" t="n">
        <f aca="false">SUM(AD536:AD547)</f>
        <v>0</v>
      </c>
      <c r="AE548" s="304" t="n">
        <f aca="false">SUM(AE536:AE547)</f>
        <v>0</v>
      </c>
      <c r="AF548" s="304" t="n">
        <f aca="false">SUM(AF536:AF547)</f>
        <v>0</v>
      </c>
      <c r="AG548" s="304" t="n">
        <f aca="false">SUM(AG536:AG547)</f>
        <v>0</v>
      </c>
      <c r="AH548" s="304" t="n">
        <f aca="false">SUM(AH536:AH547)</f>
        <v>0</v>
      </c>
      <c r="AI548" s="304" t="n">
        <f aca="false">SUM(AI536:AI547)</f>
        <v>0</v>
      </c>
      <c r="AJ548" s="304" t="n">
        <f aca="false">SUM(AJ536:AJ547)</f>
        <v>0</v>
      </c>
      <c r="AK548" s="304" t="n">
        <f aca="false">SUM(AK536:AK547)</f>
        <v>0</v>
      </c>
      <c r="AL548" s="304" t="n">
        <f aca="false">SUM(AL536:AL547)</f>
        <v>0</v>
      </c>
      <c r="AM548" s="304" t="n">
        <f aca="false">SUM(AM536:AM547)</f>
        <v>0</v>
      </c>
      <c r="AN548" s="305" t="n">
        <f aca="false">SUM(AN536:AN547)</f>
        <v>0</v>
      </c>
      <c r="AO548" s="305" t="n">
        <f aca="false">SUM(AO536:AO547)</f>
        <v>0</v>
      </c>
      <c r="AP548" s="305" t="n">
        <f aca="false">SUM(AP536:AP547)</f>
        <v>0</v>
      </c>
      <c r="AQ548" s="303"/>
      <c r="AR548" s="292" t="n">
        <f aca="false">SUM(AR536:AR547)</f>
        <v>0</v>
      </c>
      <c r="AS548" s="304" t="n">
        <f aca="false">SUM(AS536:AS547)</f>
        <v>0</v>
      </c>
      <c r="AT548" s="304" t="n">
        <f aca="false">SUM(AT536:AT547)</f>
        <v>0</v>
      </c>
      <c r="AU548" s="304" t="n">
        <f aca="false">SUM(AU536:AU547)</f>
        <v>0</v>
      </c>
      <c r="AV548" s="304" t="n">
        <f aca="false">SUM(AV536:AV547)</f>
        <v>0</v>
      </c>
      <c r="AW548" s="304" t="n">
        <f aca="false">SUM(AW536:AW547)</f>
        <v>0</v>
      </c>
      <c r="AX548" s="304" t="n">
        <f aca="false">SUM(AX536:AX547)</f>
        <v>0</v>
      </c>
      <c r="AY548" s="304" t="n">
        <f aca="false">SUM(AY536:AY547)</f>
        <v>0</v>
      </c>
      <c r="AZ548" s="304" t="n">
        <f aca="false">SUM(AZ536:AZ547)</f>
        <v>0</v>
      </c>
      <c r="BA548" s="304" t="n">
        <f aca="false">SUM(BA536:BA547)</f>
        <v>0</v>
      </c>
      <c r="BB548" s="304" t="n">
        <f aca="false">SUM(BB536:BB547)</f>
        <v>0</v>
      </c>
      <c r="BC548" s="304" t="n">
        <f aca="false">SUM(BC536:BC547)</f>
        <v>0</v>
      </c>
      <c r="BD548" s="305" t="n">
        <f aca="false">SUM(BD536:BD547)</f>
        <v>0</v>
      </c>
      <c r="BE548" s="305" t="n">
        <f aca="false">SUM(BE536:BE547)</f>
        <v>0</v>
      </c>
      <c r="BF548" s="305" t="n">
        <f aca="false">SUM(BF536:BF547)</f>
        <v>0</v>
      </c>
      <c r="BG548" s="303"/>
      <c r="BH548" s="306"/>
      <c r="BI548" s="303"/>
      <c r="BJ548" s="307" t="str">
        <f aca="false">IF(C534&gt;0, C534, "")</f>
        <v>TBA</v>
      </c>
      <c r="BK548" s="18" t="s">
        <v>234</v>
      </c>
      <c r="BL548" s="200" t="n">
        <f aca="false">IF($BK548="Y",J548,0)</f>
        <v>0</v>
      </c>
      <c r="BM548" s="200" t="n">
        <f aca="false">IF(BK548="Y", AN548,0)</f>
        <v>0</v>
      </c>
      <c r="BN548" s="200" t="n">
        <f aca="false">IF((BK548="Y"),AO548,0)</f>
        <v>0</v>
      </c>
    </row>
    <row r="549" customFormat="false" ht="15" hidden="false" customHeight="true" outlineLevel="0" collapsed="false">
      <c r="B549" s="296"/>
      <c r="D549" s="297"/>
      <c r="E549" s="277"/>
      <c r="F549" s="277"/>
      <c r="G549" s="277"/>
      <c r="H549" s="277"/>
      <c r="I549" s="277"/>
      <c r="J549" s="300"/>
      <c r="K549" s="300"/>
      <c r="L549" s="302"/>
      <c r="M549" s="302"/>
      <c r="N549" s="302"/>
      <c r="O549" s="308"/>
      <c r="P549" s="308"/>
      <c r="Q549" s="308"/>
      <c r="R549" s="308"/>
      <c r="S549" s="308"/>
      <c r="T549" s="308"/>
      <c r="U549" s="308"/>
      <c r="V549" s="308"/>
      <c r="W549" s="308"/>
      <c r="X549" s="308"/>
      <c r="Y549" s="308"/>
      <c r="Z549" s="308"/>
      <c r="AA549" s="303"/>
      <c r="AB549" s="303"/>
      <c r="AC549" s="303"/>
      <c r="AD549" s="303"/>
      <c r="AE549" s="303"/>
      <c r="AF549" s="303"/>
      <c r="AG549" s="303"/>
      <c r="AH549" s="303"/>
      <c r="AI549" s="303"/>
      <c r="AJ549" s="303"/>
      <c r="AK549" s="303"/>
      <c r="AL549" s="303"/>
      <c r="AM549" s="303"/>
      <c r="AN549" s="303"/>
      <c r="AO549" s="303"/>
      <c r="AP549" s="303"/>
      <c r="AQ549" s="303"/>
      <c r="AR549" s="303"/>
      <c r="AS549" s="303"/>
      <c r="AT549" s="303"/>
      <c r="AU549" s="303"/>
      <c r="AV549" s="303"/>
      <c r="AW549" s="303"/>
      <c r="AX549" s="303"/>
      <c r="AY549" s="303"/>
      <c r="AZ549" s="303"/>
      <c r="BA549" s="303"/>
      <c r="BB549" s="303"/>
      <c r="BC549" s="303"/>
      <c r="BD549" s="303"/>
      <c r="BE549" s="303"/>
      <c r="BF549" s="303"/>
      <c r="BG549" s="303"/>
      <c r="BH549" s="303"/>
      <c r="BI549" s="303"/>
      <c r="BJ549" s="307" t="str">
        <f aca="false">IF(C536&gt;0, C536, "")</f>
        <v/>
      </c>
      <c r="BL549" s="200"/>
      <c r="BM549" s="200"/>
      <c r="BN549" s="200"/>
    </row>
    <row r="550" customFormat="false" ht="15" hidden="false" customHeight="true" outlineLevel="0" collapsed="false">
      <c r="A550" s="198" t="n">
        <f aca="false">A534+1</f>
        <v>35</v>
      </c>
      <c r="B550" s="266" t="s">
        <v>253</v>
      </c>
      <c r="C550" s="266" t="s">
        <v>253</v>
      </c>
      <c r="D550" s="267"/>
      <c r="E550" s="242"/>
      <c r="F550" s="242"/>
      <c r="G550" s="242"/>
      <c r="H550" s="242"/>
      <c r="I550" s="242"/>
      <c r="J550" s="241"/>
      <c r="K550" s="241"/>
      <c r="L550" s="241"/>
      <c r="M550" s="241"/>
      <c r="N550" s="241"/>
      <c r="O550" s="268"/>
      <c r="P550" s="268"/>
      <c r="Q550" s="268"/>
      <c r="R550" s="268"/>
      <c r="S550" s="268"/>
      <c r="T550" s="268"/>
      <c r="U550" s="268"/>
      <c r="V550" s="268"/>
      <c r="W550" s="268"/>
      <c r="X550" s="268"/>
      <c r="Y550" s="268"/>
      <c r="Z550" s="268"/>
      <c r="AA550" s="268"/>
      <c r="AB550" s="268"/>
      <c r="AC550" s="268"/>
      <c r="AD550" s="268"/>
      <c r="AE550" s="268"/>
      <c r="AF550" s="268"/>
      <c r="AG550" s="268"/>
      <c r="AH550" s="268"/>
      <c r="AI550" s="268"/>
      <c r="AJ550" s="268"/>
      <c r="AK550" s="268"/>
      <c r="AL550" s="268"/>
      <c r="AM550" s="268"/>
      <c r="AN550" s="268"/>
      <c r="AO550" s="268"/>
      <c r="AP550" s="268"/>
      <c r="AQ550" s="268"/>
      <c r="AR550" s="268"/>
      <c r="AS550" s="268"/>
      <c r="AT550" s="268"/>
      <c r="AU550" s="268"/>
      <c r="AV550" s="268"/>
      <c r="AW550" s="268"/>
      <c r="AX550" s="268"/>
      <c r="AY550" s="268"/>
      <c r="AZ550" s="268"/>
      <c r="BA550" s="268"/>
      <c r="BB550" s="268"/>
      <c r="BC550" s="268"/>
      <c r="BD550" s="268"/>
      <c r="BE550" s="268"/>
      <c r="BF550" s="268"/>
      <c r="BG550" s="268"/>
      <c r="BH550" s="268"/>
      <c r="BI550" s="268"/>
      <c r="BJ550" s="18" t="str">
        <f aca="false">IF(C537&gt;0, C537, "")</f>
        <v/>
      </c>
      <c r="BL550" s="200"/>
      <c r="BM550" s="200"/>
      <c r="BN550" s="200"/>
    </row>
    <row r="551" customFormat="false" ht="7.5" hidden="false" customHeight="true" outlineLevel="0" collapsed="false">
      <c r="A551" s="198"/>
      <c r="B551" s="266"/>
      <c r="C551" s="266"/>
      <c r="D551" s="267"/>
      <c r="E551" s="242"/>
      <c r="F551" s="242"/>
      <c r="G551" s="242"/>
      <c r="H551" s="242"/>
      <c r="I551" s="242"/>
      <c r="J551" s="241"/>
      <c r="K551" s="241"/>
      <c r="L551" s="269"/>
      <c r="M551" s="269"/>
      <c r="N551" s="270"/>
      <c r="O551" s="269"/>
      <c r="P551" s="269"/>
      <c r="Q551" s="269"/>
      <c r="R551" s="269"/>
      <c r="S551" s="269"/>
      <c r="T551" s="269"/>
      <c r="U551" s="269"/>
      <c r="V551" s="269"/>
      <c r="W551" s="269"/>
      <c r="X551" s="269"/>
      <c r="Y551" s="269"/>
      <c r="Z551" s="269"/>
      <c r="AA551" s="268"/>
      <c r="AB551" s="271"/>
      <c r="AC551" s="271"/>
      <c r="AD551" s="271"/>
      <c r="AE551" s="271"/>
      <c r="AF551" s="271"/>
      <c r="AG551" s="271"/>
      <c r="AH551" s="271"/>
      <c r="AI551" s="271"/>
      <c r="AJ551" s="271"/>
      <c r="AK551" s="271"/>
      <c r="AL551" s="271"/>
      <c r="AM551" s="272"/>
      <c r="AN551" s="273"/>
      <c r="AO551" s="273"/>
      <c r="AP551" s="273"/>
      <c r="AQ551" s="268"/>
      <c r="AR551" s="271"/>
      <c r="AS551" s="271"/>
      <c r="AT551" s="271"/>
      <c r="AU551" s="271"/>
      <c r="AV551" s="271"/>
      <c r="AW551" s="271"/>
      <c r="AX551" s="271"/>
      <c r="AY551" s="271"/>
      <c r="AZ551" s="271"/>
      <c r="BA551" s="271"/>
      <c r="BB551" s="271"/>
      <c r="BC551" s="272"/>
      <c r="BD551" s="273"/>
      <c r="BE551" s="273"/>
      <c r="BF551" s="273"/>
      <c r="BG551" s="268"/>
      <c r="BH551" s="274"/>
      <c r="BI551" s="268"/>
      <c r="BL551" s="200"/>
      <c r="BM551" s="200"/>
      <c r="BN551" s="200"/>
    </row>
    <row r="552" customFormat="false" ht="15" hidden="false" customHeight="true" outlineLevel="0" collapsed="false">
      <c r="B552" s="275"/>
      <c r="D552" s="276" t="n">
        <f aca="false">D536</f>
        <v>45292</v>
      </c>
      <c r="E552" s="277" t="n">
        <v>0</v>
      </c>
      <c r="F552" s="277" t="n">
        <v>0</v>
      </c>
      <c r="G552" s="277" t="n">
        <v>0</v>
      </c>
      <c r="H552" s="277" t="n">
        <v>0</v>
      </c>
      <c r="I552" s="277" t="n">
        <v>0</v>
      </c>
      <c r="J552" s="278" t="n">
        <f aca="false">E552+H552+I552</f>
        <v>0</v>
      </c>
      <c r="K552" s="204"/>
      <c r="L552" s="279" t="n">
        <v>1</v>
      </c>
      <c r="M552" s="280" t="n">
        <f aca="false">1-L552</f>
        <v>0</v>
      </c>
      <c r="N552" s="281"/>
      <c r="O552" s="282"/>
      <c r="P552" s="282"/>
      <c r="Q552" s="282"/>
      <c r="R552" s="282"/>
      <c r="S552" s="282"/>
      <c r="T552" s="282"/>
      <c r="U552" s="282"/>
      <c r="V552" s="282"/>
      <c r="W552" s="282"/>
      <c r="X552" s="282"/>
      <c r="Y552" s="282"/>
      <c r="Z552" s="282"/>
      <c r="AA552" s="283"/>
      <c r="AB552" s="284" t="n">
        <f aca="false">IFERROR(($J552*O552)*$L552, "")</f>
        <v>0</v>
      </c>
      <c r="AC552" s="284" t="n">
        <f aca="false">IFERROR(($J552*P552)*$L552, "")</f>
        <v>0</v>
      </c>
      <c r="AD552" s="284" t="n">
        <f aca="false">IFERROR(($J552*Q552)*$L552, "")</f>
        <v>0</v>
      </c>
      <c r="AE552" s="284" t="n">
        <f aca="false">IFERROR(($J552*R552)*$L552, "")</f>
        <v>0</v>
      </c>
      <c r="AF552" s="284" t="n">
        <f aca="false">IFERROR(($J552*S552)*$L552, "")</f>
        <v>0</v>
      </c>
      <c r="AG552" s="284" t="n">
        <f aca="false">IFERROR(($J552*T552)*$L552, "")</f>
        <v>0</v>
      </c>
      <c r="AH552" s="284" t="n">
        <f aca="false">IFERROR(($J552*U552)*$L552, "")</f>
        <v>0</v>
      </c>
      <c r="AI552" s="284" t="n">
        <f aca="false">IFERROR(($J552*V552)*$L552, "")</f>
        <v>0</v>
      </c>
      <c r="AJ552" s="284" t="n">
        <f aca="false">IFERROR(($J552*W552)*$L552, "")</f>
        <v>0</v>
      </c>
      <c r="AK552" s="284" t="n">
        <f aca="false">IFERROR(($J552*X552)*$L552, "")</f>
        <v>0</v>
      </c>
      <c r="AL552" s="284" t="n">
        <f aca="false">IFERROR(($J552*Y552)*$L552, "")</f>
        <v>0</v>
      </c>
      <c r="AM552" s="285" t="n">
        <f aca="false">IFERROR(($J552*Z552)*$L552, "")</f>
        <v>0</v>
      </c>
      <c r="AN552" s="286" t="n">
        <f aca="false">IFERROR(SUMIF($AB$4:$AM$4, "RDEC", AB552:AM552), "")</f>
        <v>0</v>
      </c>
      <c r="AO552" s="286" t="n">
        <f aca="false">IFERROR(SUMIF($AB$4:$AM$4, "SME", AB552:AM552), "")</f>
        <v>0</v>
      </c>
      <c r="AP552" s="286" t="n">
        <f aca="false">IFERROR(SUMIF($AB$4:$AM$4, "De Minimis", AB552:AM552), "")</f>
        <v>0</v>
      </c>
      <c r="AQ552" s="283"/>
      <c r="AR552" s="284" t="n">
        <f aca="false">IFERROR(($J552*O552)*$M552, "")</f>
        <v>0</v>
      </c>
      <c r="AS552" s="284" t="n">
        <f aca="false">IFERROR(($J552*P552)*$M552, "")</f>
        <v>0</v>
      </c>
      <c r="AT552" s="284" t="n">
        <f aca="false">IFERROR(($J552*Q552)*$M552, "")</f>
        <v>0</v>
      </c>
      <c r="AU552" s="284" t="n">
        <f aca="false">IFERROR(($J552*R552)*$M552, "")</f>
        <v>0</v>
      </c>
      <c r="AV552" s="284" t="n">
        <f aca="false">IFERROR(($J552*S552)*$M552, "")</f>
        <v>0</v>
      </c>
      <c r="AW552" s="284" t="n">
        <f aca="false">IFERROR(($J552*T552)*$M552, "")</f>
        <v>0</v>
      </c>
      <c r="AX552" s="284" t="n">
        <f aca="false">IFERROR(($J552*U552)*$M552, "")</f>
        <v>0</v>
      </c>
      <c r="AY552" s="284" t="n">
        <f aca="false">IFERROR(($J552*V552)*$M552, "")</f>
        <v>0</v>
      </c>
      <c r="AZ552" s="284" t="n">
        <f aca="false">IFERROR(($J552*W552)*$M552, "")</f>
        <v>0</v>
      </c>
      <c r="BA552" s="284" t="n">
        <f aca="false">IFERROR(($J552*X552)*$M552, "")</f>
        <v>0</v>
      </c>
      <c r="BB552" s="284" t="n">
        <f aca="false">IFERROR(($J552*Y552)*$M552, "")</f>
        <v>0</v>
      </c>
      <c r="BC552" s="285" t="n">
        <f aca="false">IFERROR(($J552*Z552)*$M552, "")</f>
        <v>0</v>
      </c>
      <c r="BD552" s="286" t="n">
        <f aca="false">IFERROR(SUMIF($AB$4:$AM$4, "RDEC", AR552:BC552), "")</f>
        <v>0</v>
      </c>
      <c r="BE552" s="286" t="n">
        <f aca="false">IFERROR(SUMIF($AB$4:$AM$4, "SME", AR552:BC552), "")</f>
        <v>0</v>
      </c>
      <c r="BF552" s="286" t="n">
        <f aca="false">IFERROR(SUMIF($AB$4:$AM$4, "De Minimis", AR552:BC552), "")</f>
        <v>0</v>
      </c>
      <c r="BG552" s="287"/>
      <c r="BH552" s="288" t="str">
        <f aca="false">IF((SUM(O552:Z552)&gt;1),"ERROR","")</f>
        <v/>
      </c>
      <c r="BI552" s="287"/>
      <c r="BJ552" s="18" t="str">
        <f aca="false">IF(C538&gt;0, C538, "")</f>
        <v/>
      </c>
      <c r="BL552" s="200"/>
      <c r="BM552" s="200"/>
      <c r="BN552" s="200"/>
    </row>
    <row r="553" customFormat="false" ht="15" hidden="false" customHeight="true" outlineLevel="0" collapsed="false">
      <c r="B553" s="275"/>
      <c r="D553" s="276" t="n">
        <f aca="false">D537</f>
        <v>45323</v>
      </c>
      <c r="E553" s="277" t="n">
        <v>0</v>
      </c>
      <c r="F553" s="277" t="n">
        <v>0</v>
      </c>
      <c r="G553" s="277" t="n">
        <v>0</v>
      </c>
      <c r="H553" s="277" t="n">
        <v>0</v>
      </c>
      <c r="I553" s="277" t="n">
        <v>0</v>
      </c>
      <c r="J553" s="278" t="n">
        <f aca="false">E553+H553+I553</f>
        <v>0</v>
      </c>
      <c r="K553" s="204"/>
      <c r="L553" s="279" t="n">
        <v>1</v>
      </c>
      <c r="M553" s="280" t="n">
        <f aca="false">1-L553</f>
        <v>0</v>
      </c>
      <c r="N553" s="281"/>
      <c r="O553" s="282"/>
      <c r="P553" s="282"/>
      <c r="Q553" s="282"/>
      <c r="R553" s="282"/>
      <c r="S553" s="282"/>
      <c r="T553" s="282"/>
      <c r="U553" s="282"/>
      <c r="V553" s="282"/>
      <c r="W553" s="282"/>
      <c r="X553" s="282"/>
      <c r="Y553" s="282"/>
      <c r="Z553" s="282"/>
      <c r="AA553" s="283"/>
      <c r="AB553" s="284" t="n">
        <f aca="false">IFERROR(($J553*O553)*$L553, "")</f>
        <v>0</v>
      </c>
      <c r="AC553" s="284" t="n">
        <f aca="false">IFERROR(($J553*P553)*$L553, "")</f>
        <v>0</v>
      </c>
      <c r="AD553" s="284" t="n">
        <f aca="false">IFERROR(($J553*Q553)*$L553, "")</f>
        <v>0</v>
      </c>
      <c r="AE553" s="284" t="n">
        <f aca="false">IFERROR(($J553*R553)*$L553, "")</f>
        <v>0</v>
      </c>
      <c r="AF553" s="284" t="n">
        <f aca="false">IFERROR(($J553*S553)*$L553, "")</f>
        <v>0</v>
      </c>
      <c r="AG553" s="284" t="n">
        <f aca="false">IFERROR(($J553*T553)*$L553, "")</f>
        <v>0</v>
      </c>
      <c r="AH553" s="284" t="n">
        <f aca="false">IFERROR(($J553*U553)*$L553, "")</f>
        <v>0</v>
      </c>
      <c r="AI553" s="284" t="n">
        <f aca="false">IFERROR(($J553*V553)*$L553, "")</f>
        <v>0</v>
      </c>
      <c r="AJ553" s="284" t="n">
        <f aca="false">IFERROR(($J553*W553)*$L553, "")</f>
        <v>0</v>
      </c>
      <c r="AK553" s="284" t="n">
        <f aca="false">IFERROR(($J553*X553)*$L553, "")</f>
        <v>0</v>
      </c>
      <c r="AL553" s="284" t="n">
        <f aca="false">IFERROR(($J553*Y553)*$L553, "")</f>
        <v>0</v>
      </c>
      <c r="AM553" s="285" t="n">
        <f aca="false">IFERROR(($J553*Z553)*$L553, "")</f>
        <v>0</v>
      </c>
      <c r="AN553" s="286" t="n">
        <f aca="false">IFERROR(SUMIF($AB$4:$AM$4, "RDEC", AB553:AM553), "")</f>
        <v>0</v>
      </c>
      <c r="AO553" s="286" t="n">
        <f aca="false">IFERROR(SUMIF($AB$4:$AM$4, "SME", AB553:AM553), "")</f>
        <v>0</v>
      </c>
      <c r="AP553" s="286" t="n">
        <f aca="false">IFERROR(SUMIF($AB$4:$AM$4, "De Minimis", AB553:AM553), "")</f>
        <v>0</v>
      </c>
      <c r="AQ553" s="283"/>
      <c r="AR553" s="284" t="n">
        <f aca="false">IFERROR(($J553*O553)*$M553, "")</f>
        <v>0</v>
      </c>
      <c r="AS553" s="284" t="n">
        <f aca="false">IFERROR(($J553*P553)*$M553, "")</f>
        <v>0</v>
      </c>
      <c r="AT553" s="284" t="n">
        <f aca="false">IFERROR(($J553*Q553)*$M553, "")</f>
        <v>0</v>
      </c>
      <c r="AU553" s="284" t="n">
        <f aca="false">IFERROR(($J553*R553)*$M553, "")</f>
        <v>0</v>
      </c>
      <c r="AV553" s="284" t="n">
        <f aca="false">IFERROR(($J553*S553)*$M553, "")</f>
        <v>0</v>
      </c>
      <c r="AW553" s="284" t="n">
        <f aca="false">IFERROR(($J553*T553)*$M553, "")</f>
        <v>0</v>
      </c>
      <c r="AX553" s="284" t="n">
        <f aca="false">IFERROR(($J553*U553)*$M553, "")</f>
        <v>0</v>
      </c>
      <c r="AY553" s="284" t="n">
        <f aca="false">IFERROR(($J553*V553)*$M553, "")</f>
        <v>0</v>
      </c>
      <c r="AZ553" s="284" t="n">
        <f aca="false">IFERROR(($J553*W553)*$M553, "")</f>
        <v>0</v>
      </c>
      <c r="BA553" s="284" t="n">
        <f aca="false">IFERROR(($J553*X553)*$M553, "")</f>
        <v>0</v>
      </c>
      <c r="BB553" s="284" t="n">
        <f aca="false">IFERROR(($J553*Y553)*$M553, "")</f>
        <v>0</v>
      </c>
      <c r="BC553" s="285" t="n">
        <f aca="false">IFERROR(($J553*Z553)*$M553, "")</f>
        <v>0</v>
      </c>
      <c r="BD553" s="286" t="n">
        <f aca="false">IFERROR(SUMIF($AB$4:$AM$4, "RDEC", AR553:BC553), "")</f>
        <v>0</v>
      </c>
      <c r="BE553" s="286" t="n">
        <f aca="false">IFERROR(SUMIF($AB$4:$AM$4, "SME", AR553:BC553), "")</f>
        <v>0</v>
      </c>
      <c r="BF553" s="286" t="n">
        <f aca="false">IFERROR(SUMIF($AB$4:$AM$4, "De Minimis", AR553:BC553), "")</f>
        <v>0</v>
      </c>
      <c r="BG553" s="287"/>
      <c r="BH553" s="288" t="str">
        <f aca="false">IF((SUM(O553:Z553)&gt;1),"ERROR","")</f>
        <v/>
      </c>
      <c r="BI553" s="287"/>
      <c r="BJ553" s="18" t="str">
        <f aca="false">IF(C539&gt;0, C539, "")</f>
        <v/>
      </c>
      <c r="BL553" s="200"/>
      <c r="BM553" s="200"/>
      <c r="BN553" s="200"/>
    </row>
    <row r="554" customFormat="false" ht="15" hidden="false" customHeight="true" outlineLevel="0" collapsed="false">
      <c r="B554" s="275"/>
      <c r="D554" s="276" t="n">
        <f aca="false">D538</f>
        <v>45352</v>
      </c>
      <c r="E554" s="277" t="n">
        <v>0</v>
      </c>
      <c r="F554" s="277" t="n">
        <v>0</v>
      </c>
      <c r="G554" s="277" t="n">
        <v>0</v>
      </c>
      <c r="H554" s="277" t="n">
        <v>0</v>
      </c>
      <c r="I554" s="277" t="n">
        <v>0</v>
      </c>
      <c r="J554" s="278" t="n">
        <f aca="false">E554+H554+I554</f>
        <v>0</v>
      </c>
      <c r="K554" s="204"/>
      <c r="L554" s="279" t="n">
        <v>1</v>
      </c>
      <c r="M554" s="280" t="n">
        <f aca="false">1-L554</f>
        <v>0</v>
      </c>
      <c r="N554" s="281"/>
      <c r="O554" s="282"/>
      <c r="P554" s="282"/>
      <c r="Q554" s="282"/>
      <c r="R554" s="282"/>
      <c r="S554" s="282"/>
      <c r="T554" s="282"/>
      <c r="U554" s="282"/>
      <c r="V554" s="282"/>
      <c r="W554" s="282"/>
      <c r="X554" s="282"/>
      <c r="Y554" s="282"/>
      <c r="Z554" s="282"/>
      <c r="AA554" s="283"/>
      <c r="AB554" s="284" t="n">
        <f aca="false">IFERROR(($J554*O554)*$L554, "")</f>
        <v>0</v>
      </c>
      <c r="AC554" s="284" t="n">
        <f aca="false">IFERROR(($J554*P554)*$L554, "")</f>
        <v>0</v>
      </c>
      <c r="AD554" s="284" t="n">
        <f aca="false">IFERROR(($J554*Q554)*$L554, "")</f>
        <v>0</v>
      </c>
      <c r="AE554" s="284" t="n">
        <f aca="false">IFERROR(($J554*R554)*$L554, "")</f>
        <v>0</v>
      </c>
      <c r="AF554" s="284" t="n">
        <f aca="false">IFERROR(($J554*S554)*$L554, "")</f>
        <v>0</v>
      </c>
      <c r="AG554" s="284" t="n">
        <f aca="false">IFERROR(($J554*T554)*$L554, "")</f>
        <v>0</v>
      </c>
      <c r="AH554" s="284" t="n">
        <f aca="false">IFERROR(($J554*U554)*$L554, "")</f>
        <v>0</v>
      </c>
      <c r="AI554" s="284" t="n">
        <f aca="false">IFERROR(($J554*V554)*$L554, "")</f>
        <v>0</v>
      </c>
      <c r="AJ554" s="284" t="n">
        <f aca="false">IFERROR(($J554*W554)*$L554, "")</f>
        <v>0</v>
      </c>
      <c r="AK554" s="284" t="n">
        <f aca="false">IFERROR(($J554*X554)*$L554, "")</f>
        <v>0</v>
      </c>
      <c r="AL554" s="284" t="n">
        <f aca="false">IFERROR(($J554*Y554)*$L554, "")</f>
        <v>0</v>
      </c>
      <c r="AM554" s="285" t="n">
        <f aca="false">IFERROR(($J554*Z554)*$L554, "")</f>
        <v>0</v>
      </c>
      <c r="AN554" s="286" t="n">
        <f aca="false">IFERROR(SUMIF($AB$4:$AM$4, "RDEC", AB554:AM554), "")</f>
        <v>0</v>
      </c>
      <c r="AO554" s="286" t="n">
        <f aca="false">IFERROR(SUMIF($AB$4:$AM$4, "SME", AB554:AM554), "")</f>
        <v>0</v>
      </c>
      <c r="AP554" s="286" t="n">
        <f aca="false">IFERROR(SUMIF($AB$4:$AM$4, "De Minimis", AB554:AM554), "")</f>
        <v>0</v>
      </c>
      <c r="AQ554" s="283"/>
      <c r="AR554" s="284" t="n">
        <f aca="false">IFERROR(($J554*O554)*$M554, "")</f>
        <v>0</v>
      </c>
      <c r="AS554" s="284" t="n">
        <f aca="false">IFERROR(($J554*P554)*$M554, "")</f>
        <v>0</v>
      </c>
      <c r="AT554" s="284" t="n">
        <f aca="false">IFERROR(($J554*Q554)*$M554, "")</f>
        <v>0</v>
      </c>
      <c r="AU554" s="284" t="n">
        <f aca="false">IFERROR(($J554*R554)*$M554, "")</f>
        <v>0</v>
      </c>
      <c r="AV554" s="284" t="n">
        <f aca="false">IFERROR(($J554*S554)*$M554, "")</f>
        <v>0</v>
      </c>
      <c r="AW554" s="284" t="n">
        <f aca="false">IFERROR(($J554*T554)*$M554, "")</f>
        <v>0</v>
      </c>
      <c r="AX554" s="284" t="n">
        <f aca="false">IFERROR(($J554*U554)*$M554, "")</f>
        <v>0</v>
      </c>
      <c r="AY554" s="284" t="n">
        <f aca="false">IFERROR(($J554*V554)*$M554, "")</f>
        <v>0</v>
      </c>
      <c r="AZ554" s="284" t="n">
        <f aca="false">IFERROR(($J554*W554)*$M554, "")</f>
        <v>0</v>
      </c>
      <c r="BA554" s="284" t="n">
        <f aca="false">IFERROR(($J554*X554)*$M554, "")</f>
        <v>0</v>
      </c>
      <c r="BB554" s="284" t="n">
        <f aca="false">IFERROR(($J554*Y554)*$M554, "")</f>
        <v>0</v>
      </c>
      <c r="BC554" s="285" t="n">
        <f aca="false">IFERROR(($J554*Z554)*$M554, "")</f>
        <v>0</v>
      </c>
      <c r="BD554" s="286" t="n">
        <f aca="false">IFERROR(SUMIF($AB$4:$AM$4, "RDEC", AR554:BC554), "")</f>
        <v>0</v>
      </c>
      <c r="BE554" s="286" t="n">
        <f aca="false">IFERROR(SUMIF($AB$4:$AM$4, "SME", AR554:BC554), "")</f>
        <v>0</v>
      </c>
      <c r="BF554" s="286" t="n">
        <f aca="false">IFERROR(SUMIF($AB$4:$AM$4, "De Minimis", AR554:BC554), "")</f>
        <v>0</v>
      </c>
      <c r="BG554" s="287"/>
      <c r="BH554" s="288" t="str">
        <f aca="false">IF((SUM(O554:Z554)&gt;1),"ERROR","")</f>
        <v/>
      </c>
      <c r="BI554" s="287"/>
      <c r="BJ554" s="18" t="str">
        <f aca="false">IF(C540&gt;0, C540, "")</f>
        <v/>
      </c>
      <c r="BL554" s="200"/>
      <c r="BM554" s="200"/>
      <c r="BN554" s="200"/>
    </row>
    <row r="555" customFormat="false" ht="15" hidden="false" customHeight="true" outlineLevel="0" collapsed="false">
      <c r="B555" s="275"/>
      <c r="D555" s="276" t="n">
        <f aca="false">D539</f>
        <v>45383</v>
      </c>
      <c r="E555" s="277" t="n">
        <v>0</v>
      </c>
      <c r="F555" s="277" t="n">
        <v>0</v>
      </c>
      <c r="G555" s="277" t="n">
        <v>0</v>
      </c>
      <c r="H555" s="277" t="n">
        <v>0</v>
      </c>
      <c r="I555" s="277" t="n">
        <v>0</v>
      </c>
      <c r="J555" s="278" t="n">
        <f aca="false">E555+H555+I555</f>
        <v>0</v>
      </c>
      <c r="K555" s="204"/>
      <c r="L555" s="279" t="n">
        <v>1</v>
      </c>
      <c r="M555" s="280" t="n">
        <f aca="false">1-L555</f>
        <v>0</v>
      </c>
      <c r="N555" s="281"/>
      <c r="O555" s="282"/>
      <c r="P555" s="282"/>
      <c r="Q555" s="282"/>
      <c r="R555" s="282"/>
      <c r="S555" s="282"/>
      <c r="T555" s="282"/>
      <c r="U555" s="282"/>
      <c r="V555" s="282"/>
      <c r="W555" s="282"/>
      <c r="X555" s="282"/>
      <c r="Y555" s="282"/>
      <c r="Z555" s="282"/>
      <c r="AA555" s="283"/>
      <c r="AB555" s="284" t="n">
        <f aca="false">IFERROR(($J555*O555)*$L555, "")</f>
        <v>0</v>
      </c>
      <c r="AC555" s="284" t="n">
        <f aca="false">IFERROR(($J555*P555)*$L555, "")</f>
        <v>0</v>
      </c>
      <c r="AD555" s="284" t="n">
        <f aca="false">IFERROR(($J555*Q555)*$L555, "")</f>
        <v>0</v>
      </c>
      <c r="AE555" s="284" t="n">
        <f aca="false">IFERROR(($J555*R555)*$L555, "")</f>
        <v>0</v>
      </c>
      <c r="AF555" s="284" t="n">
        <f aca="false">IFERROR(($J555*S555)*$L555, "")</f>
        <v>0</v>
      </c>
      <c r="AG555" s="284" t="n">
        <f aca="false">IFERROR(($J555*T555)*$L555, "")</f>
        <v>0</v>
      </c>
      <c r="AH555" s="284" t="n">
        <f aca="false">IFERROR(($J555*U555)*$L555, "")</f>
        <v>0</v>
      </c>
      <c r="AI555" s="284" t="n">
        <f aca="false">IFERROR(($J555*V555)*$L555, "")</f>
        <v>0</v>
      </c>
      <c r="AJ555" s="284" t="n">
        <f aca="false">IFERROR(($J555*W555)*$L555, "")</f>
        <v>0</v>
      </c>
      <c r="AK555" s="284" t="n">
        <f aca="false">IFERROR(($J555*X555)*$L555, "")</f>
        <v>0</v>
      </c>
      <c r="AL555" s="284" t="n">
        <f aca="false">IFERROR(($J555*Y555)*$L555, "")</f>
        <v>0</v>
      </c>
      <c r="AM555" s="285" t="n">
        <f aca="false">IFERROR(($J555*Z555)*$L555, "")</f>
        <v>0</v>
      </c>
      <c r="AN555" s="286" t="n">
        <f aca="false">IFERROR(SUMIF($AB$4:$AM$4, "RDEC", AB555:AM555), "")</f>
        <v>0</v>
      </c>
      <c r="AO555" s="286" t="n">
        <f aca="false">IFERROR(SUMIF($AB$4:$AM$4, "SME", AB555:AM555), "")</f>
        <v>0</v>
      </c>
      <c r="AP555" s="286" t="n">
        <f aca="false">IFERROR(SUMIF($AB$4:$AM$4, "De Minimis", AB555:AM555), "")</f>
        <v>0</v>
      </c>
      <c r="AQ555" s="283"/>
      <c r="AR555" s="284" t="n">
        <f aca="false">IFERROR(($J555*O555)*$M555, "")</f>
        <v>0</v>
      </c>
      <c r="AS555" s="284" t="n">
        <f aca="false">IFERROR(($J555*P555)*$M555, "")</f>
        <v>0</v>
      </c>
      <c r="AT555" s="284" t="n">
        <f aca="false">IFERROR(($J555*Q555)*$M555, "")</f>
        <v>0</v>
      </c>
      <c r="AU555" s="284" t="n">
        <f aca="false">IFERROR(($J555*R555)*$M555, "")</f>
        <v>0</v>
      </c>
      <c r="AV555" s="284" t="n">
        <f aca="false">IFERROR(($J555*S555)*$M555, "")</f>
        <v>0</v>
      </c>
      <c r="AW555" s="284" t="n">
        <f aca="false">IFERROR(($J555*T555)*$M555, "")</f>
        <v>0</v>
      </c>
      <c r="AX555" s="284" t="n">
        <f aca="false">IFERROR(($J555*U555)*$M555, "")</f>
        <v>0</v>
      </c>
      <c r="AY555" s="284" t="n">
        <f aca="false">IFERROR(($J555*V555)*$M555, "")</f>
        <v>0</v>
      </c>
      <c r="AZ555" s="284" t="n">
        <f aca="false">IFERROR(($J555*W555)*$M555, "")</f>
        <v>0</v>
      </c>
      <c r="BA555" s="284" t="n">
        <f aca="false">IFERROR(($J555*X555)*$M555, "")</f>
        <v>0</v>
      </c>
      <c r="BB555" s="284" t="n">
        <f aca="false">IFERROR(($J555*Y555)*$M555, "")</f>
        <v>0</v>
      </c>
      <c r="BC555" s="285" t="n">
        <f aca="false">IFERROR(($J555*Z555)*$M555, "")</f>
        <v>0</v>
      </c>
      <c r="BD555" s="286" t="n">
        <f aca="false">IFERROR(SUMIF($AB$4:$AM$4, "RDEC", AR555:BC555), "")</f>
        <v>0</v>
      </c>
      <c r="BE555" s="286" t="n">
        <f aca="false">IFERROR(SUMIF($AB$4:$AM$4, "SME", AR555:BC555), "")</f>
        <v>0</v>
      </c>
      <c r="BF555" s="286" t="n">
        <f aca="false">IFERROR(SUMIF($AB$4:$AM$4, "De Minimis", AR555:BC555), "")</f>
        <v>0</v>
      </c>
      <c r="BG555" s="287"/>
      <c r="BH555" s="288" t="str">
        <f aca="false">IF((SUM(O555:Z555)&gt;1),"ERROR","")</f>
        <v/>
      </c>
      <c r="BI555" s="287"/>
      <c r="BJ555" s="18" t="str">
        <f aca="false">IF(C541&gt;0, C541, "")</f>
        <v/>
      </c>
      <c r="BL555" s="200"/>
      <c r="BM555" s="200"/>
      <c r="BN555" s="200"/>
    </row>
    <row r="556" customFormat="false" ht="15" hidden="false" customHeight="true" outlineLevel="0" collapsed="false">
      <c r="B556" s="275"/>
      <c r="D556" s="276" t="n">
        <f aca="false">D540</f>
        <v>45413</v>
      </c>
      <c r="E556" s="277" t="n">
        <v>0</v>
      </c>
      <c r="F556" s="277" t="n">
        <v>0</v>
      </c>
      <c r="G556" s="277" t="n">
        <v>0</v>
      </c>
      <c r="H556" s="277" t="n">
        <v>0</v>
      </c>
      <c r="I556" s="277" t="n">
        <v>0</v>
      </c>
      <c r="J556" s="278" t="n">
        <f aca="false">E556+H556+I556</f>
        <v>0</v>
      </c>
      <c r="K556" s="204"/>
      <c r="L556" s="279" t="n">
        <v>1</v>
      </c>
      <c r="M556" s="280" t="n">
        <f aca="false">1-L556</f>
        <v>0</v>
      </c>
      <c r="N556" s="281"/>
      <c r="O556" s="282"/>
      <c r="P556" s="282"/>
      <c r="Q556" s="282"/>
      <c r="R556" s="282"/>
      <c r="S556" s="282"/>
      <c r="T556" s="282"/>
      <c r="U556" s="282"/>
      <c r="V556" s="282"/>
      <c r="W556" s="282"/>
      <c r="X556" s="282"/>
      <c r="Y556" s="282"/>
      <c r="Z556" s="282"/>
      <c r="AA556" s="283"/>
      <c r="AB556" s="284" t="n">
        <f aca="false">IFERROR(($J556*O556)*$L556, "")</f>
        <v>0</v>
      </c>
      <c r="AC556" s="284" t="n">
        <f aca="false">IFERROR(($J556*P556)*$L556, "")</f>
        <v>0</v>
      </c>
      <c r="AD556" s="284" t="n">
        <f aca="false">IFERROR(($J556*Q556)*$L556, "")</f>
        <v>0</v>
      </c>
      <c r="AE556" s="284" t="n">
        <f aca="false">IFERROR(($J556*R556)*$L556, "")</f>
        <v>0</v>
      </c>
      <c r="AF556" s="284" t="n">
        <f aca="false">IFERROR(($J556*S556)*$L556, "")</f>
        <v>0</v>
      </c>
      <c r="AG556" s="284" t="n">
        <f aca="false">IFERROR(($J556*T556)*$L556, "")</f>
        <v>0</v>
      </c>
      <c r="AH556" s="284" t="n">
        <f aca="false">IFERROR(($J556*U556)*$L556, "")</f>
        <v>0</v>
      </c>
      <c r="AI556" s="284" t="n">
        <f aca="false">IFERROR(($J556*V556)*$L556, "")</f>
        <v>0</v>
      </c>
      <c r="AJ556" s="284" t="n">
        <f aca="false">IFERROR(($J556*W556)*$L556, "")</f>
        <v>0</v>
      </c>
      <c r="AK556" s="284" t="n">
        <f aca="false">IFERROR(($J556*X556)*$L556, "")</f>
        <v>0</v>
      </c>
      <c r="AL556" s="284" t="n">
        <f aca="false">IFERROR(($J556*Y556)*$L556, "")</f>
        <v>0</v>
      </c>
      <c r="AM556" s="285" t="n">
        <f aca="false">IFERROR(($J556*Z556)*$L556, "")</f>
        <v>0</v>
      </c>
      <c r="AN556" s="286" t="n">
        <f aca="false">IFERROR(SUMIF($AB$4:$AM$4, "RDEC", AB556:AM556), "")</f>
        <v>0</v>
      </c>
      <c r="AO556" s="286" t="n">
        <f aca="false">IFERROR(SUMIF($AB$4:$AM$4, "SME", AB556:AM556), "")</f>
        <v>0</v>
      </c>
      <c r="AP556" s="286" t="n">
        <f aca="false">IFERROR(SUMIF($AB$4:$AM$4, "De Minimis", AB556:AM556), "")</f>
        <v>0</v>
      </c>
      <c r="AQ556" s="283"/>
      <c r="AR556" s="284" t="n">
        <f aca="false">IFERROR(($J556*O556)*$M556, "")</f>
        <v>0</v>
      </c>
      <c r="AS556" s="284" t="n">
        <f aca="false">IFERROR(($J556*P556)*$M556, "")</f>
        <v>0</v>
      </c>
      <c r="AT556" s="284" t="n">
        <f aca="false">IFERROR(($J556*Q556)*$M556, "")</f>
        <v>0</v>
      </c>
      <c r="AU556" s="284" t="n">
        <f aca="false">IFERROR(($J556*R556)*$M556, "")</f>
        <v>0</v>
      </c>
      <c r="AV556" s="284" t="n">
        <f aca="false">IFERROR(($J556*S556)*$M556, "")</f>
        <v>0</v>
      </c>
      <c r="AW556" s="284" t="n">
        <f aca="false">IFERROR(($J556*T556)*$M556, "")</f>
        <v>0</v>
      </c>
      <c r="AX556" s="284" t="n">
        <f aca="false">IFERROR(($J556*U556)*$M556, "")</f>
        <v>0</v>
      </c>
      <c r="AY556" s="284" t="n">
        <f aca="false">IFERROR(($J556*V556)*$M556, "")</f>
        <v>0</v>
      </c>
      <c r="AZ556" s="284" t="n">
        <f aca="false">IFERROR(($J556*W556)*$M556, "")</f>
        <v>0</v>
      </c>
      <c r="BA556" s="284" t="n">
        <f aca="false">IFERROR(($J556*X556)*$M556, "")</f>
        <v>0</v>
      </c>
      <c r="BB556" s="284" t="n">
        <f aca="false">IFERROR(($J556*Y556)*$M556, "")</f>
        <v>0</v>
      </c>
      <c r="BC556" s="285" t="n">
        <f aca="false">IFERROR(($J556*Z556)*$M556, "")</f>
        <v>0</v>
      </c>
      <c r="BD556" s="286" t="n">
        <f aca="false">IFERROR(SUMIF($AB$4:$AM$4, "RDEC", AR556:BC556), "")</f>
        <v>0</v>
      </c>
      <c r="BE556" s="286" t="n">
        <f aca="false">IFERROR(SUMIF($AB$4:$AM$4, "SME", AR556:BC556), "")</f>
        <v>0</v>
      </c>
      <c r="BF556" s="286" t="n">
        <f aca="false">IFERROR(SUMIF($AB$4:$AM$4, "De Minimis", AR556:BC556), "")</f>
        <v>0</v>
      </c>
      <c r="BG556" s="287"/>
      <c r="BH556" s="288" t="str">
        <f aca="false">IF((SUM(O556:Z556)&gt;1),"ERROR","")</f>
        <v/>
      </c>
      <c r="BI556" s="287"/>
      <c r="BJ556" s="18" t="str">
        <f aca="false">IF(C542&gt;0, C542, "")</f>
        <v/>
      </c>
      <c r="BL556" s="200"/>
      <c r="BM556" s="200"/>
      <c r="BN556" s="200"/>
    </row>
    <row r="557" customFormat="false" ht="15" hidden="false" customHeight="true" outlineLevel="0" collapsed="false">
      <c r="B557" s="275"/>
      <c r="D557" s="276" t="n">
        <f aca="false">D541</f>
        <v>45444</v>
      </c>
      <c r="E557" s="277" t="n">
        <v>0</v>
      </c>
      <c r="F557" s="277" t="n">
        <v>0</v>
      </c>
      <c r="G557" s="277" t="n">
        <v>0</v>
      </c>
      <c r="H557" s="277" t="n">
        <v>0</v>
      </c>
      <c r="I557" s="277" t="n">
        <v>0</v>
      </c>
      <c r="J557" s="278" t="n">
        <f aca="false">E557+H557+I557</f>
        <v>0</v>
      </c>
      <c r="K557" s="204"/>
      <c r="L557" s="279" t="n">
        <v>1</v>
      </c>
      <c r="M557" s="280" t="n">
        <f aca="false">1-L557</f>
        <v>0</v>
      </c>
      <c r="N557" s="281"/>
      <c r="O557" s="282"/>
      <c r="P557" s="282"/>
      <c r="Q557" s="282"/>
      <c r="R557" s="282"/>
      <c r="S557" s="282"/>
      <c r="T557" s="282"/>
      <c r="U557" s="282"/>
      <c r="V557" s="282"/>
      <c r="W557" s="282"/>
      <c r="X557" s="282"/>
      <c r="Y557" s="282"/>
      <c r="Z557" s="282"/>
      <c r="AA557" s="283"/>
      <c r="AB557" s="284" t="n">
        <f aca="false">IFERROR(($J557*O557)*$L557, "")</f>
        <v>0</v>
      </c>
      <c r="AC557" s="284" t="n">
        <f aca="false">IFERROR(($J557*P557)*$L557, "")</f>
        <v>0</v>
      </c>
      <c r="AD557" s="284" t="n">
        <f aca="false">IFERROR(($J557*Q557)*$L557, "")</f>
        <v>0</v>
      </c>
      <c r="AE557" s="284" t="n">
        <f aca="false">IFERROR(($J557*R557)*$L557, "")</f>
        <v>0</v>
      </c>
      <c r="AF557" s="284" t="n">
        <f aca="false">IFERROR(($J557*S557)*$L557, "")</f>
        <v>0</v>
      </c>
      <c r="AG557" s="284" t="n">
        <f aca="false">IFERROR(($J557*T557)*$L557, "")</f>
        <v>0</v>
      </c>
      <c r="AH557" s="284" t="n">
        <f aca="false">IFERROR(($J557*U557)*$L557, "")</f>
        <v>0</v>
      </c>
      <c r="AI557" s="284" t="n">
        <f aca="false">IFERROR(($J557*V557)*$L557, "")</f>
        <v>0</v>
      </c>
      <c r="AJ557" s="284" t="n">
        <f aca="false">IFERROR(($J557*W557)*$L557, "")</f>
        <v>0</v>
      </c>
      <c r="AK557" s="284" t="n">
        <f aca="false">IFERROR(($J557*X557)*$L557, "")</f>
        <v>0</v>
      </c>
      <c r="AL557" s="284" t="n">
        <f aca="false">IFERROR(($J557*Y557)*$L557, "")</f>
        <v>0</v>
      </c>
      <c r="AM557" s="285" t="n">
        <f aca="false">IFERROR(($J557*Z557)*$L557, "")</f>
        <v>0</v>
      </c>
      <c r="AN557" s="286" t="n">
        <f aca="false">IFERROR(SUMIF($AB$4:$AM$4, "RDEC", AB557:AM557), "")</f>
        <v>0</v>
      </c>
      <c r="AO557" s="286" t="n">
        <f aca="false">IFERROR(SUMIF($AB$4:$AM$4, "SME", AB557:AM557), "")</f>
        <v>0</v>
      </c>
      <c r="AP557" s="286" t="n">
        <f aca="false">IFERROR(SUMIF($AB$4:$AM$4, "De Minimis", AB557:AM557), "")</f>
        <v>0</v>
      </c>
      <c r="AQ557" s="283"/>
      <c r="AR557" s="284" t="n">
        <f aca="false">IFERROR(($J557*O557)*$M557, "")</f>
        <v>0</v>
      </c>
      <c r="AS557" s="284" t="n">
        <f aca="false">IFERROR(($J557*P557)*$M557, "")</f>
        <v>0</v>
      </c>
      <c r="AT557" s="284" t="n">
        <f aca="false">IFERROR(($J557*Q557)*$M557, "")</f>
        <v>0</v>
      </c>
      <c r="AU557" s="284" t="n">
        <f aca="false">IFERROR(($J557*R557)*$M557, "")</f>
        <v>0</v>
      </c>
      <c r="AV557" s="284" t="n">
        <f aca="false">IFERROR(($J557*S557)*$M557, "")</f>
        <v>0</v>
      </c>
      <c r="AW557" s="284" t="n">
        <f aca="false">IFERROR(($J557*T557)*$M557, "")</f>
        <v>0</v>
      </c>
      <c r="AX557" s="284" t="n">
        <f aca="false">IFERROR(($J557*U557)*$M557, "")</f>
        <v>0</v>
      </c>
      <c r="AY557" s="284" t="n">
        <f aca="false">IFERROR(($J557*V557)*$M557, "")</f>
        <v>0</v>
      </c>
      <c r="AZ557" s="284" t="n">
        <f aca="false">IFERROR(($J557*W557)*$M557, "")</f>
        <v>0</v>
      </c>
      <c r="BA557" s="284" t="n">
        <f aca="false">IFERROR(($J557*X557)*$M557, "")</f>
        <v>0</v>
      </c>
      <c r="BB557" s="284" t="n">
        <f aca="false">IFERROR(($J557*Y557)*$M557, "")</f>
        <v>0</v>
      </c>
      <c r="BC557" s="285" t="n">
        <f aca="false">IFERROR(($J557*Z557)*$M557, "")</f>
        <v>0</v>
      </c>
      <c r="BD557" s="286" t="n">
        <f aca="false">IFERROR(SUMIF($AB$4:$AM$4, "RDEC", AR557:BC557), "")</f>
        <v>0</v>
      </c>
      <c r="BE557" s="286" t="n">
        <f aca="false">IFERROR(SUMIF($AB$4:$AM$4, "SME", AR557:BC557), "")</f>
        <v>0</v>
      </c>
      <c r="BF557" s="286" t="n">
        <f aca="false">IFERROR(SUMIF($AB$4:$AM$4, "De Minimis", AR557:BC557), "")</f>
        <v>0</v>
      </c>
      <c r="BG557" s="287"/>
      <c r="BH557" s="288" t="str">
        <f aca="false">IF((SUM(O557:Z557)&gt;1),"ERROR","")</f>
        <v/>
      </c>
      <c r="BI557" s="287"/>
      <c r="BJ557" s="18" t="str">
        <f aca="false">IF(C543&gt;0, C543, "")</f>
        <v/>
      </c>
      <c r="BL557" s="200"/>
      <c r="BM557" s="200"/>
      <c r="BN557" s="200"/>
    </row>
    <row r="558" customFormat="false" ht="15" hidden="false" customHeight="true" outlineLevel="0" collapsed="false">
      <c r="B558" s="275"/>
      <c r="D558" s="276" t="n">
        <f aca="false">D542</f>
        <v>45474</v>
      </c>
      <c r="E558" s="277" t="n">
        <v>0</v>
      </c>
      <c r="F558" s="277" t="n">
        <v>0</v>
      </c>
      <c r="G558" s="277" t="n">
        <v>0</v>
      </c>
      <c r="H558" s="277" t="n">
        <v>0</v>
      </c>
      <c r="I558" s="277" t="n">
        <v>0</v>
      </c>
      <c r="J558" s="278" t="n">
        <f aca="false">E558+H558+I558</f>
        <v>0</v>
      </c>
      <c r="K558" s="204"/>
      <c r="L558" s="279" t="n">
        <v>1</v>
      </c>
      <c r="M558" s="280" t="n">
        <f aca="false">1-L558</f>
        <v>0</v>
      </c>
      <c r="N558" s="281"/>
      <c r="O558" s="282"/>
      <c r="P558" s="282"/>
      <c r="Q558" s="282"/>
      <c r="R558" s="282"/>
      <c r="S558" s="282"/>
      <c r="T558" s="282"/>
      <c r="U558" s="282"/>
      <c r="V558" s="282"/>
      <c r="W558" s="282"/>
      <c r="X558" s="282"/>
      <c r="Y558" s="282"/>
      <c r="Z558" s="282"/>
      <c r="AA558" s="283"/>
      <c r="AB558" s="284" t="n">
        <f aca="false">IFERROR(($J558*O558)*$L558, "")</f>
        <v>0</v>
      </c>
      <c r="AC558" s="284" t="n">
        <f aca="false">IFERROR(($J558*P558)*$L558, "")</f>
        <v>0</v>
      </c>
      <c r="AD558" s="284" t="n">
        <f aca="false">IFERROR(($J558*Q558)*$L558, "")</f>
        <v>0</v>
      </c>
      <c r="AE558" s="284" t="n">
        <f aca="false">IFERROR(($J558*R558)*$L558, "")</f>
        <v>0</v>
      </c>
      <c r="AF558" s="284" t="n">
        <f aca="false">IFERROR(($J558*S558)*$L558, "")</f>
        <v>0</v>
      </c>
      <c r="AG558" s="284" t="n">
        <f aca="false">IFERROR(($J558*T558)*$L558, "")</f>
        <v>0</v>
      </c>
      <c r="AH558" s="284" t="n">
        <f aca="false">IFERROR(($J558*U558)*$L558, "")</f>
        <v>0</v>
      </c>
      <c r="AI558" s="284" t="n">
        <f aca="false">IFERROR(($J558*V558)*$L558, "")</f>
        <v>0</v>
      </c>
      <c r="AJ558" s="284" t="n">
        <f aca="false">IFERROR(($J558*W558)*$L558, "")</f>
        <v>0</v>
      </c>
      <c r="AK558" s="284" t="n">
        <f aca="false">IFERROR(($J558*X558)*$L558, "")</f>
        <v>0</v>
      </c>
      <c r="AL558" s="284" t="n">
        <f aca="false">IFERROR(($J558*Y558)*$L558, "")</f>
        <v>0</v>
      </c>
      <c r="AM558" s="285" t="n">
        <f aca="false">IFERROR(($J558*Z558)*$L558, "")</f>
        <v>0</v>
      </c>
      <c r="AN558" s="286" t="n">
        <f aca="false">IFERROR(SUMIF($AB$4:$AM$4, "RDEC", AB558:AM558), "")</f>
        <v>0</v>
      </c>
      <c r="AO558" s="286" t="n">
        <f aca="false">IFERROR(SUMIF($AB$4:$AM$4, "SME", AB558:AM558), "")</f>
        <v>0</v>
      </c>
      <c r="AP558" s="286" t="n">
        <f aca="false">IFERROR(SUMIF($AB$4:$AM$4, "De Minimis", AB558:AM558), "")</f>
        <v>0</v>
      </c>
      <c r="AQ558" s="283"/>
      <c r="AR558" s="284" t="n">
        <f aca="false">IFERROR(($J558*O558)*$M558, "")</f>
        <v>0</v>
      </c>
      <c r="AS558" s="284" t="n">
        <f aca="false">IFERROR(($J558*P558)*$M558, "")</f>
        <v>0</v>
      </c>
      <c r="AT558" s="284" t="n">
        <f aca="false">IFERROR(($J558*Q558)*$M558, "")</f>
        <v>0</v>
      </c>
      <c r="AU558" s="284" t="n">
        <f aca="false">IFERROR(($J558*R558)*$M558, "")</f>
        <v>0</v>
      </c>
      <c r="AV558" s="284" t="n">
        <f aca="false">IFERROR(($J558*S558)*$M558, "")</f>
        <v>0</v>
      </c>
      <c r="AW558" s="284" t="n">
        <f aca="false">IFERROR(($J558*T558)*$M558, "")</f>
        <v>0</v>
      </c>
      <c r="AX558" s="284" t="n">
        <f aca="false">IFERROR(($J558*U558)*$M558, "")</f>
        <v>0</v>
      </c>
      <c r="AY558" s="284" t="n">
        <f aca="false">IFERROR(($J558*V558)*$M558, "")</f>
        <v>0</v>
      </c>
      <c r="AZ558" s="284" t="n">
        <f aca="false">IFERROR(($J558*W558)*$M558, "")</f>
        <v>0</v>
      </c>
      <c r="BA558" s="284" t="n">
        <f aca="false">IFERROR(($J558*X558)*$M558, "")</f>
        <v>0</v>
      </c>
      <c r="BB558" s="284" t="n">
        <f aca="false">IFERROR(($J558*Y558)*$M558, "")</f>
        <v>0</v>
      </c>
      <c r="BC558" s="285" t="n">
        <f aca="false">IFERROR(($J558*Z558)*$M558, "")</f>
        <v>0</v>
      </c>
      <c r="BD558" s="286" t="n">
        <f aca="false">IFERROR(SUMIF($AB$4:$AM$4, "RDEC", AR558:BC558), "")</f>
        <v>0</v>
      </c>
      <c r="BE558" s="286" t="n">
        <f aca="false">IFERROR(SUMIF($AB$4:$AM$4, "SME", AR558:BC558), "")</f>
        <v>0</v>
      </c>
      <c r="BF558" s="286" t="n">
        <f aca="false">IFERROR(SUMIF($AB$4:$AM$4, "De Minimis", AR558:BC558), "")</f>
        <v>0</v>
      </c>
      <c r="BG558" s="287"/>
      <c r="BH558" s="288" t="str">
        <f aca="false">IF((SUM(O558:Z558)&gt;1),"ERROR","")</f>
        <v/>
      </c>
      <c r="BI558" s="287"/>
      <c r="BJ558" s="18" t="str">
        <f aca="false">IF(C544&gt;0, C544, "")</f>
        <v/>
      </c>
      <c r="BL558" s="200"/>
      <c r="BM558" s="200"/>
      <c r="BN558" s="200"/>
    </row>
    <row r="559" customFormat="false" ht="15" hidden="false" customHeight="true" outlineLevel="0" collapsed="false">
      <c r="B559" s="275"/>
      <c r="D559" s="276" t="n">
        <f aca="false">D543</f>
        <v>45505</v>
      </c>
      <c r="E559" s="277" t="n">
        <v>0</v>
      </c>
      <c r="F559" s="277" t="n">
        <v>0</v>
      </c>
      <c r="G559" s="277" t="n">
        <v>0</v>
      </c>
      <c r="H559" s="277" t="n">
        <v>0</v>
      </c>
      <c r="I559" s="277" t="n">
        <v>0</v>
      </c>
      <c r="J559" s="278" t="n">
        <f aca="false">E559+H559+I559</f>
        <v>0</v>
      </c>
      <c r="K559" s="204"/>
      <c r="L559" s="279" t="n">
        <v>1</v>
      </c>
      <c r="M559" s="280" t="n">
        <f aca="false">1-L559</f>
        <v>0</v>
      </c>
      <c r="N559" s="281"/>
      <c r="O559" s="282"/>
      <c r="P559" s="282"/>
      <c r="Q559" s="282"/>
      <c r="R559" s="282"/>
      <c r="S559" s="282"/>
      <c r="T559" s="282"/>
      <c r="U559" s="282"/>
      <c r="V559" s="282"/>
      <c r="W559" s="282"/>
      <c r="X559" s="282"/>
      <c r="Y559" s="282"/>
      <c r="Z559" s="282"/>
      <c r="AA559" s="283"/>
      <c r="AB559" s="284" t="n">
        <f aca="false">IFERROR(($J559*O559)*$L559, "")</f>
        <v>0</v>
      </c>
      <c r="AC559" s="284" t="n">
        <f aca="false">IFERROR(($J559*P559)*$L559, "")</f>
        <v>0</v>
      </c>
      <c r="AD559" s="284" t="n">
        <f aca="false">IFERROR(($J559*Q559)*$L559, "")</f>
        <v>0</v>
      </c>
      <c r="AE559" s="284" t="n">
        <f aca="false">IFERROR(($J559*R559)*$L559, "")</f>
        <v>0</v>
      </c>
      <c r="AF559" s="284" t="n">
        <f aca="false">IFERROR(($J559*S559)*$L559, "")</f>
        <v>0</v>
      </c>
      <c r="AG559" s="284" t="n">
        <f aca="false">IFERROR(($J559*T559)*$L559, "")</f>
        <v>0</v>
      </c>
      <c r="AH559" s="284" t="n">
        <f aca="false">IFERROR(($J559*U559)*$L559, "")</f>
        <v>0</v>
      </c>
      <c r="AI559" s="284" t="n">
        <f aca="false">IFERROR(($J559*V559)*$L559, "")</f>
        <v>0</v>
      </c>
      <c r="AJ559" s="284" t="n">
        <f aca="false">IFERROR(($J559*W559)*$L559, "")</f>
        <v>0</v>
      </c>
      <c r="AK559" s="284" t="n">
        <f aca="false">IFERROR(($J559*X559)*$L559, "")</f>
        <v>0</v>
      </c>
      <c r="AL559" s="284" t="n">
        <f aca="false">IFERROR(($J559*Y559)*$L559, "")</f>
        <v>0</v>
      </c>
      <c r="AM559" s="285" t="n">
        <f aca="false">IFERROR(($J559*Z559)*$L559, "")</f>
        <v>0</v>
      </c>
      <c r="AN559" s="286" t="n">
        <f aca="false">IFERROR(SUMIF($AB$4:$AM$4, "RDEC", AB559:AM559), "")</f>
        <v>0</v>
      </c>
      <c r="AO559" s="286" t="n">
        <f aca="false">IFERROR(SUMIF($AB$4:$AM$4, "SME", AB559:AM559), "")</f>
        <v>0</v>
      </c>
      <c r="AP559" s="286" t="n">
        <f aca="false">IFERROR(SUMIF($AB$4:$AM$4, "De Minimis", AB559:AM559), "")</f>
        <v>0</v>
      </c>
      <c r="AQ559" s="283"/>
      <c r="AR559" s="284" t="n">
        <f aca="false">IFERROR(($J559*O559)*$M559, "")</f>
        <v>0</v>
      </c>
      <c r="AS559" s="284" t="n">
        <f aca="false">IFERROR(($J559*P559)*$M559, "")</f>
        <v>0</v>
      </c>
      <c r="AT559" s="284" t="n">
        <f aca="false">IFERROR(($J559*Q559)*$M559, "")</f>
        <v>0</v>
      </c>
      <c r="AU559" s="284" t="n">
        <f aca="false">IFERROR(($J559*R559)*$M559, "")</f>
        <v>0</v>
      </c>
      <c r="AV559" s="284" t="n">
        <f aca="false">IFERROR(($J559*S559)*$M559, "")</f>
        <v>0</v>
      </c>
      <c r="AW559" s="284" t="n">
        <f aca="false">IFERROR(($J559*T559)*$M559, "")</f>
        <v>0</v>
      </c>
      <c r="AX559" s="284" t="n">
        <f aca="false">IFERROR(($J559*U559)*$M559, "")</f>
        <v>0</v>
      </c>
      <c r="AY559" s="284" t="n">
        <f aca="false">IFERROR(($J559*V559)*$M559, "")</f>
        <v>0</v>
      </c>
      <c r="AZ559" s="284" t="n">
        <f aca="false">IFERROR(($J559*W559)*$M559, "")</f>
        <v>0</v>
      </c>
      <c r="BA559" s="284" t="n">
        <f aca="false">IFERROR(($J559*X559)*$M559, "")</f>
        <v>0</v>
      </c>
      <c r="BB559" s="284" t="n">
        <f aca="false">IFERROR(($J559*Y559)*$M559, "")</f>
        <v>0</v>
      </c>
      <c r="BC559" s="285" t="n">
        <f aca="false">IFERROR(($J559*Z559)*$M559, "")</f>
        <v>0</v>
      </c>
      <c r="BD559" s="286" t="n">
        <f aca="false">IFERROR(SUMIF($AB$4:$AM$4, "RDEC", AR559:BC559), "")</f>
        <v>0</v>
      </c>
      <c r="BE559" s="286" t="n">
        <f aca="false">IFERROR(SUMIF($AB$4:$AM$4, "SME", AR559:BC559), "")</f>
        <v>0</v>
      </c>
      <c r="BF559" s="286" t="n">
        <f aca="false">IFERROR(SUMIF($AB$4:$AM$4, "De Minimis", AR559:BC559), "")</f>
        <v>0</v>
      </c>
      <c r="BG559" s="287"/>
      <c r="BH559" s="288" t="str">
        <f aca="false">IF((SUM(O559:Z559)&gt;1),"ERROR","")</f>
        <v/>
      </c>
      <c r="BI559" s="287"/>
      <c r="BJ559" s="18" t="str">
        <f aca="false">IF(C545&gt;0, C545, "")</f>
        <v/>
      </c>
      <c r="BL559" s="200"/>
      <c r="BM559" s="200"/>
      <c r="BN559" s="200"/>
    </row>
    <row r="560" customFormat="false" ht="15" hidden="false" customHeight="true" outlineLevel="0" collapsed="false">
      <c r="B560" s="275"/>
      <c r="D560" s="276" t="n">
        <f aca="false">D544</f>
        <v>45536</v>
      </c>
      <c r="E560" s="277" t="n">
        <v>0</v>
      </c>
      <c r="F560" s="277" t="n">
        <v>0</v>
      </c>
      <c r="G560" s="277" t="n">
        <v>0</v>
      </c>
      <c r="H560" s="277" t="n">
        <v>0</v>
      </c>
      <c r="I560" s="277" t="n">
        <v>0</v>
      </c>
      <c r="J560" s="278" t="n">
        <f aca="false">E560+H560+I560</f>
        <v>0</v>
      </c>
      <c r="K560" s="204"/>
      <c r="L560" s="279" t="n">
        <v>1</v>
      </c>
      <c r="M560" s="280" t="n">
        <f aca="false">1-L560</f>
        <v>0</v>
      </c>
      <c r="N560" s="281"/>
      <c r="O560" s="282"/>
      <c r="P560" s="282"/>
      <c r="Q560" s="282"/>
      <c r="R560" s="282"/>
      <c r="S560" s="282"/>
      <c r="T560" s="282"/>
      <c r="U560" s="282"/>
      <c r="V560" s="282"/>
      <c r="W560" s="282"/>
      <c r="X560" s="282"/>
      <c r="Y560" s="282"/>
      <c r="Z560" s="282"/>
      <c r="AA560" s="283"/>
      <c r="AB560" s="284" t="n">
        <f aca="false">IFERROR(($J560*O560)*$L560, "")</f>
        <v>0</v>
      </c>
      <c r="AC560" s="284" t="n">
        <f aca="false">IFERROR(($J560*P560)*$L560, "")</f>
        <v>0</v>
      </c>
      <c r="AD560" s="284" t="n">
        <f aca="false">IFERROR(($J560*Q560)*$L560, "")</f>
        <v>0</v>
      </c>
      <c r="AE560" s="284" t="n">
        <f aca="false">IFERROR(($J560*R560)*$L560, "")</f>
        <v>0</v>
      </c>
      <c r="AF560" s="284" t="n">
        <f aca="false">IFERROR(($J560*S560)*$L560, "")</f>
        <v>0</v>
      </c>
      <c r="AG560" s="284" t="n">
        <f aca="false">IFERROR(($J560*T560)*$L560, "")</f>
        <v>0</v>
      </c>
      <c r="AH560" s="284" t="n">
        <f aca="false">IFERROR(($J560*U560)*$L560, "")</f>
        <v>0</v>
      </c>
      <c r="AI560" s="284" t="n">
        <f aca="false">IFERROR(($J560*V560)*$L560, "")</f>
        <v>0</v>
      </c>
      <c r="AJ560" s="284" t="n">
        <f aca="false">IFERROR(($J560*W560)*$L560, "")</f>
        <v>0</v>
      </c>
      <c r="AK560" s="284" t="n">
        <f aca="false">IFERROR(($J560*X560)*$L560, "")</f>
        <v>0</v>
      </c>
      <c r="AL560" s="284" t="n">
        <f aca="false">IFERROR(($J560*Y560)*$L560, "")</f>
        <v>0</v>
      </c>
      <c r="AM560" s="285" t="n">
        <f aca="false">IFERROR(($J560*Z560)*$L560, "")</f>
        <v>0</v>
      </c>
      <c r="AN560" s="286" t="n">
        <f aca="false">IFERROR(SUMIF($AB$4:$AM$4, "RDEC", AB560:AM560), "")</f>
        <v>0</v>
      </c>
      <c r="AO560" s="286" t="n">
        <f aca="false">IFERROR(SUMIF($AB$4:$AM$4, "SME", AB560:AM560), "")</f>
        <v>0</v>
      </c>
      <c r="AP560" s="286" t="n">
        <f aca="false">IFERROR(SUMIF($AB$4:$AM$4, "De Minimis", AB560:AM560), "")</f>
        <v>0</v>
      </c>
      <c r="AQ560" s="283"/>
      <c r="AR560" s="284" t="n">
        <f aca="false">IFERROR(($J560*O560)*$M560, "")</f>
        <v>0</v>
      </c>
      <c r="AS560" s="284" t="n">
        <f aca="false">IFERROR(($J560*P560)*$M560, "")</f>
        <v>0</v>
      </c>
      <c r="AT560" s="284" t="n">
        <f aca="false">IFERROR(($J560*Q560)*$M560, "")</f>
        <v>0</v>
      </c>
      <c r="AU560" s="284" t="n">
        <f aca="false">IFERROR(($J560*R560)*$M560, "")</f>
        <v>0</v>
      </c>
      <c r="AV560" s="284" t="n">
        <f aca="false">IFERROR(($J560*S560)*$M560, "")</f>
        <v>0</v>
      </c>
      <c r="AW560" s="284" t="n">
        <f aca="false">IFERROR(($J560*T560)*$M560, "")</f>
        <v>0</v>
      </c>
      <c r="AX560" s="284" t="n">
        <f aca="false">IFERROR(($J560*U560)*$M560, "")</f>
        <v>0</v>
      </c>
      <c r="AY560" s="284" t="n">
        <f aca="false">IFERROR(($J560*V560)*$M560, "")</f>
        <v>0</v>
      </c>
      <c r="AZ560" s="284" t="n">
        <f aca="false">IFERROR(($J560*W560)*$M560, "")</f>
        <v>0</v>
      </c>
      <c r="BA560" s="284" t="n">
        <f aca="false">IFERROR(($J560*X560)*$M560, "")</f>
        <v>0</v>
      </c>
      <c r="BB560" s="284" t="n">
        <f aca="false">IFERROR(($J560*Y560)*$M560, "")</f>
        <v>0</v>
      </c>
      <c r="BC560" s="285" t="n">
        <f aca="false">IFERROR(($J560*Z560)*$M560, "")</f>
        <v>0</v>
      </c>
      <c r="BD560" s="286" t="n">
        <f aca="false">IFERROR(SUMIF($AB$4:$AM$4, "RDEC", AR560:BC560), "")</f>
        <v>0</v>
      </c>
      <c r="BE560" s="286" t="n">
        <f aca="false">IFERROR(SUMIF($AB$4:$AM$4, "SME", AR560:BC560), "")</f>
        <v>0</v>
      </c>
      <c r="BF560" s="286" t="n">
        <f aca="false">IFERROR(SUMIF($AB$4:$AM$4, "De Minimis", AR560:BC560), "")</f>
        <v>0</v>
      </c>
      <c r="BG560" s="287"/>
      <c r="BH560" s="288" t="str">
        <f aca="false">IF((SUM(O560:Z560)&gt;1),"ERROR","")</f>
        <v/>
      </c>
      <c r="BI560" s="287"/>
      <c r="BJ560" s="18" t="str">
        <f aca="false">IF(C546&gt;0, C546, "")</f>
        <v/>
      </c>
      <c r="BL560" s="200"/>
      <c r="BM560" s="200"/>
      <c r="BN560" s="200"/>
    </row>
    <row r="561" customFormat="false" ht="15" hidden="false" customHeight="true" outlineLevel="0" collapsed="false">
      <c r="B561" s="275"/>
      <c r="D561" s="276" t="n">
        <f aca="false">D545</f>
        <v>45566</v>
      </c>
      <c r="E561" s="277" t="n">
        <v>0</v>
      </c>
      <c r="F561" s="277" t="n">
        <v>0</v>
      </c>
      <c r="G561" s="277" t="n">
        <v>0</v>
      </c>
      <c r="H561" s="277" t="n">
        <v>0</v>
      </c>
      <c r="I561" s="277" t="n">
        <v>0</v>
      </c>
      <c r="J561" s="278" t="n">
        <f aca="false">E561+H561+I561</f>
        <v>0</v>
      </c>
      <c r="K561" s="204"/>
      <c r="L561" s="279" t="n">
        <v>1</v>
      </c>
      <c r="M561" s="280" t="n">
        <f aca="false">1-L561</f>
        <v>0</v>
      </c>
      <c r="N561" s="281"/>
      <c r="O561" s="282"/>
      <c r="P561" s="282"/>
      <c r="Q561" s="282"/>
      <c r="R561" s="282"/>
      <c r="S561" s="282"/>
      <c r="T561" s="282"/>
      <c r="U561" s="282"/>
      <c r="V561" s="282"/>
      <c r="W561" s="282"/>
      <c r="X561" s="282"/>
      <c r="Y561" s="282"/>
      <c r="Z561" s="282"/>
      <c r="AA561" s="283"/>
      <c r="AB561" s="284" t="n">
        <f aca="false">IFERROR(($J561*O561)*$L561, "")</f>
        <v>0</v>
      </c>
      <c r="AC561" s="284" t="n">
        <f aca="false">IFERROR(($J561*P561)*$L561, "")</f>
        <v>0</v>
      </c>
      <c r="AD561" s="284" t="n">
        <f aca="false">IFERROR(($J561*Q561)*$L561, "")</f>
        <v>0</v>
      </c>
      <c r="AE561" s="284" t="n">
        <f aca="false">IFERROR(($J561*R561)*$L561, "")</f>
        <v>0</v>
      </c>
      <c r="AF561" s="284" t="n">
        <f aca="false">IFERROR(($J561*S561)*$L561, "")</f>
        <v>0</v>
      </c>
      <c r="AG561" s="284" t="n">
        <f aca="false">IFERROR(($J561*T561)*$L561, "")</f>
        <v>0</v>
      </c>
      <c r="AH561" s="284" t="n">
        <f aca="false">IFERROR(($J561*U561)*$L561, "")</f>
        <v>0</v>
      </c>
      <c r="AI561" s="284" t="n">
        <f aca="false">IFERROR(($J561*V561)*$L561, "")</f>
        <v>0</v>
      </c>
      <c r="AJ561" s="284" t="n">
        <f aca="false">IFERROR(($J561*W561)*$L561, "")</f>
        <v>0</v>
      </c>
      <c r="AK561" s="284" t="n">
        <f aca="false">IFERROR(($J561*X561)*$L561, "")</f>
        <v>0</v>
      </c>
      <c r="AL561" s="284" t="n">
        <f aca="false">IFERROR(($J561*Y561)*$L561, "")</f>
        <v>0</v>
      </c>
      <c r="AM561" s="285" t="n">
        <f aca="false">IFERROR(($J561*Z561)*$L561, "")</f>
        <v>0</v>
      </c>
      <c r="AN561" s="286" t="n">
        <f aca="false">IFERROR(SUMIF($AB$4:$AM$4, "RDEC", AB561:AM561), "")</f>
        <v>0</v>
      </c>
      <c r="AO561" s="286" t="n">
        <f aca="false">IFERROR(SUMIF($AB$4:$AM$4, "SME", AB561:AM561), "")</f>
        <v>0</v>
      </c>
      <c r="AP561" s="286" t="n">
        <f aca="false">IFERROR(SUMIF($AB$4:$AM$4, "De Minimis", AB561:AM561), "")</f>
        <v>0</v>
      </c>
      <c r="AQ561" s="283"/>
      <c r="AR561" s="284" t="n">
        <f aca="false">IFERROR(($J561*O561)*$M561, "")</f>
        <v>0</v>
      </c>
      <c r="AS561" s="284" t="n">
        <f aca="false">IFERROR(($J561*P561)*$M561, "")</f>
        <v>0</v>
      </c>
      <c r="AT561" s="284" t="n">
        <f aca="false">IFERROR(($J561*Q561)*$M561, "")</f>
        <v>0</v>
      </c>
      <c r="AU561" s="284" t="n">
        <f aca="false">IFERROR(($J561*R561)*$M561, "")</f>
        <v>0</v>
      </c>
      <c r="AV561" s="284" t="n">
        <f aca="false">IFERROR(($J561*S561)*$M561, "")</f>
        <v>0</v>
      </c>
      <c r="AW561" s="284" t="n">
        <f aca="false">IFERROR(($J561*T561)*$M561, "")</f>
        <v>0</v>
      </c>
      <c r="AX561" s="284" t="n">
        <f aca="false">IFERROR(($J561*U561)*$M561, "")</f>
        <v>0</v>
      </c>
      <c r="AY561" s="284" t="n">
        <f aca="false">IFERROR(($J561*V561)*$M561, "")</f>
        <v>0</v>
      </c>
      <c r="AZ561" s="284" t="n">
        <f aca="false">IFERROR(($J561*W561)*$M561, "")</f>
        <v>0</v>
      </c>
      <c r="BA561" s="284" t="n">
        <f aca="false">IFERROR(($J561*X561)*$M561, "")</f>
        <v>0</v>
      </c>
      <c r="BB561" s="284" t="n">
        <f aca="false">IFERROR(($J561*Y561)*$M561, "")</f>
        <v>0</v>
      </c>
      <c r="BC561" s="285" t="n">
        <f aca="false">IFERROR(($J561*Z561)*$M561, "")</f>
        <v>0</v>
      </c>
      <c r="BD561" s="286" t="n">
        <f aca="false">IFERROR(SUMIF($AB$4:$AM$4, "RDEC", AR561:BC561), "")</f>
        <v>0</v>
      </c>
      <c r="BE561" s="286" t="n">
        <f aca="false">IFERROR(SUMIF($AB$4:$AM$4, "SME", AR561:BC561), "")</f>
        <v>0</v>
      </c>
      <c r="BF561" s="286" t="n">
        <f aca="false">IFERROR(SUMIF($AB$4:$AM$4, "De Minimis", AR561:BC561), "")</f>
        <v>0</v>
      </c>
      <c r="BG561" s="287"/>
      <c r="BH561" s="288" t="str">
        <f aca="false">IF((SUM(O561:Z561)&gt;1),"ERROR","")</f>
        <v/>
      </c>
      <c r="BI561" s="287"/>
      <c r="BJ561" s="18" t="str">
        <f aca="false">IF(C547&gt;0, C547, "")</f>
        <v/>
      </c>
      <c r="BL561" s="200"/>
      <c r="BM561" s="200"/>
      <c r="BN561" s="200"/>
    </row>
    <row r="562" customFormat="false" ht="15" hidden="false" customHeight="true" outlineLevel="0" collapsed="false">
      <c r="B562" s="275"/>
      <c r="D562" s="276" t="n">
        <f aca="false">D546</f>
        <v>45597</v>
      </c>
      <c r="E562" s="277" t="n">
        <v>0</v>
      </c>
      <c r="F562" s="277" t="n">
        <v>0</v>
      </c>
      <c r="G562" s="277" t="n">
        <v>0</v>
      </c>
      <c r="H562" s="277" t="n">
        <v>0</v>
      </c>
      <c r="I562" s="277" t="n">
        <v>0</v>
      </c>
      <c r="J562" s="278" t="n">
        <f aca="false">E562+H562+I562</f>
        <v>0</v>
      </c>
      <c r="K562" s="204"/>
      <c r="L562" s="279" t="n">
        <v>1</v>
      </c>
      <c r="M562" s="280" t="n">
        <f aca="false">1-L562</f>
        <v>0</v>
      </c>
      <c r="N562" s="281"/>
      <c r="O562" s="282"/>
      <c r="P562" s="282"/>
      <c r="Q562" s="282"/>
      <c r="R562" s="282"/>
      <c r="S562" s="282"/>
      <c r="T562" s="282"/>
      <c r="U562" s="282"/>
      <c r="V562" s="282"/>
      <c r="W562" s="282"/>
      <c r="X562" s="282"/>
      <c r="Y562" s="282"/>
      <c r="Z562" s="282"/>
      <c r="AA562" s="283"/>
      <c r="AB562" s="284" t="n">
        <f aca="false">IFERROR(($J562*O562)*$L562, "")</f>
        <v>0</v>
      </c>
      <c r="AC562" s="284" t="n">
        <f aca="false">IFERROR(($J562*P562)*$L562, "")</f>
        <v>0</v>
      </c>
      <c r="AD562" s="284" t="n">
        <f aca="false">IFERROR(($J562*Q562)*$L562, "")</f>
        <v>0</v>
      </c>
      <c r="AE562" s="284" t="n">
        <f aca="false">IFERROR(($J562*R562)*$L562, "")</f>
        <v>0</v>
      </c>
      <c r="AF562" s="284" t="n">
        <f aca="false">IFERROR(($J562*S562)*$L562, "")</f>
        <v>0</v>
      </c>
      <c r="AG562" s="284" t="n">
        <f aca="false">IFERROR(($J562*T562)*$L562, "")</f>
        <v>0</v>
      </c>
      <c r="AH562" s="284" t="n">
        <f aca="false">IFERROR(($J562*U562)*$L562, "")</f>
        <v>0</v>
      </c>
      <c r="AI562" s="284" t="n">
        <f aca="false">IFERROR(($J562*V562)*$L562, "")</f>
        <v>0</v>
      </c>
      <c r="AJ562" s="284" t="n">
        <f aca="false">IFERROR(($J562*W562)*$L562, "")</f>
        <v>0</v>
      </c>
      <c r="AK562" s="284" t="n">
        <f aca="false">IFERROR(($J562*X562)*$L562, "")</f>
        <v>0</v>
      </c>
      <c r="AL562" s="284" t="n">
        <f aca="false">IFERROR(($J562*Y562)*$L562, "")</f>
        <v>0</v>
      </c>
      <c r="AM562" s="285" t="n">
        <f aca="false">IFERROR(($J562*Z562)*$L562, "")</f>
        <v>0</v>
      </c>
      <c r="AN562" s="286" t="n">
        <f aca="false">IFERROR(SUMIF($AB$4:$AM$4, "RDEC", AB562:AM562), "")</f>
        <v>0</v>
      </c>
      <c r="AO562" s="286" t="n">
        <f aca="false">IFERROR(SUMIF($AB$4:$AM$4, "SME", AB562:AM562), "")</f>
        <v>0</v>
      </c>
      <c r="AP562" s="286" t="n">
        <f aca="false">IFERROR(SUMIF($AB$4:$AM$4, "De Minimis", AB562:AM562), "")</f>
        <v>0</v>
      </c>
      <c r="AQ562" s="283"/>
      <c r="AR562" s="284" t="n">
        <f aca="false">IFERROR(($J562*O562)*$M562, "")</f>
        <v>0</v>
      </c>
      <c r="AS562" s="284" t="n">
        <f aca="false">IFERROR(($J562*P562)*$M562, "")</f>
        <v>0</v>
      </c>
      <c r="AT562" s="284" t="n">
        <f aca="false">IFERROR(($J562*Q562)*$M562, "")</f>
        <v>0</v>
      </c>
      <c r="AU562" s="284" t="n">
        <f aca="false">IFERROR(($J562*R562)*$M562, "")</f>
        <v>0</v>
      </c>
      <c r="AV562" s="284" t="n">
        <f aca="false">IFERROR(($J562*S562)*$M562, "")</f>
        <v>0</v>
      </c>
      <c r="AW562" s="284" t="n">
        <f aca="false">IFERROR(($J562*T562)*$M562, "")</f>
        <v>0</v>
      </c>
      <c r="AX562" s="284" t="n">
        <f aca="false">IFERROR(($J562*U562)*$M562, "")</f>
        <v>0</v>
      </c>
      <c r="AY562" s="284" t="n">
        <f aca="false">IFERROR(($J562*V562)*$M562, "")</f>
        <v>0</v>
      </c>
      <c r="AZ562" s="284" t="n">
        <f aca="false">IFERROR(($J562*W562)*$M562, "")</f>
        <v>0</v>
      </c>
      <c r="BA562" s="284" t="n">
        <f aca="false">IFERROR(($J562*X562)*$M562, "")</f>
        <v>0</v>
      </c>
      <c r="BB562" s="284" t="n">
        <f aca="false">IFERROR(($J562*Y562)*$M562, "")</f>
        <v>0</v>
      </c>
      <c r="BC562" s="285" t="n">
        <f aca="false">IFERROR(($J562*Z562)*$M562, "")</f>
        <v>0</v>
      </c>
      <c r="BD562" s="286" t="n">
        <f aca="false">IFERROR(SUMIF($AB$4:$AM$4, "RDEC", AR562:BC562), "")</f>
        <v>0</v>
      </c>
      <c r="BE562" s="286" t="n">
        <f aca="false">IFERROR(SUMIF($AB$4:$AM$4, "SME", AR562:BC562), "")</f>
        <v>0</v>
      </c>
      <c r="BF562" s="286" t="n">
        <f aca="false">IFERROR(SUMIF($AB$4:$AM$4, "De Minimis", AR562:BC562), "")</f>
        <v>0</v>
      </c>
      <c r="BG562" s="287"/>
      <c r="BH562" s="288" t="str">
        <f aca="false">IF((SUM(O562:Z562)&gt;1),"ERROR","")</f>
        <v/>
      </c>
      <c r="BI562" s="287"/>
      <c r="BJ562" s="18" t="str">
        <f aca="false">IF(C548&gt;0, C548, "")</f>
        <v/>
      </c>
      <c r="BL562" s="200"/>
      <c r="BM562" s="200"/>
      <c r="BN562" s="200"/>
    </row>
    <row r="563" customFormat="false" ht="15" hidden="false" customHeight="true" outlineLevel="0" collapsed="false">
      <c r="B563" s="275"/>
      <c r="D563" s="276" t="n">
        <f aca="false">D547</f>
        <v>45627</v>
      </c>
      <c r="E563" s="277" t="n">
        <v>0</v>
      </c>
      <c r="F563" s="277" t="n">
        <v>0</v>
      </c>
      <c r="G563" s="277" t="n">
        <v>0</v>
      </c>
      <c r="H563" s="277" t="n">
        <v>0</v>
      </c>
      <c r="I563" s="277" t="n">
        <v>0</v>
      </c>
      <c r="J563" s="278" t="n">
        <f aca="false">E563+H563+I563</f>
        <v>0</v>
      </c>
      <c r="K563" s="204"/>
      <c r="L563" s="289" t="n">
        <v>1</v>
      </c>
      <c r="M563" s="290" t="n">
        <f aca="false">1-L563</f>
        <v>0</v>
      </c>
      <c r="N563" s="281"/>
      <c r="O563" s="291"/>
      <c r="P563" s="291"/>
      <c r="Q563" s="291"/>
      <c r="R563" s="291"/>
      <c r="S563" s="291"/>
      <c r="T563" s="291"/>
      <c r="U563" s="291"/>
      <c r="V563" s="291"/>
      <c r="W563" s="291"/>
      <c r="X563" s="291"/>
      <c r="Y563" s="291"/>
      <c r="Z563" s="291"/>
      <c r="AA563" s="283"/>
      <c r="AB563" s="292" t="n">
        <f aca="false">IFERROR(($J563*O563)*$L563, "")</f>
        <v>0</v>
      </c>
      <c r="AC563" s="292" t="n">
        <f aca="false">IFERROR(($J563*P563)*$L563, "")</f>
        <v>0</v>
      </c>
      <c r="AD563" s="292" t="n">
        <f aca="false">IFERROR(($J563*Q563)*$L563, "")</f>
        <v>0</v>
      </c>
      <c r="AE563" s="292" t="n">
        <f aca="false">IFERROR(($J563*R563)*$L563, "")</f>
        <v>0</v>
      </c>
      <c r="AF563" s="292" t="n">
        <f aca="false">IFERROR(($J563*S563)*$L563, "")</f>
        <v>0</v>
      </c>
      <c r="AG563" s="292" t="n">
        <f aca="false">IFERROR(($J563*T563)*$L563, "")</f>
        <v>0</v>
      </c>
      <c r="AH563" s="292" t="n">
        <f aca="false">IFERROR(($J563*U563)*$L563, "")</f>
        <v>0</v>
      </c>
      <c r="AI563" s="292" t="n">
        <f aca="false">IFERROR(($J563*V563)*$L563, "")</f>
        <v>0</v>
      </c>
      <c r="AJ563" s="292" t="n">
        <f aca="false">IFERROR(($J563*W563)*$L563, "")</f>
        <v>0</v>
      </c>
      <c r="AK563" s="292" t="n">
        <f aca="false">IFERROR(($J563*X563)*$L563, "")</f>
        <v>0</v>
      </c>
      <c r="AL563" s="292" t="n">
        <f aca="false">IFERROR(($J563*Y563)*$L563, "")</f>
        <v>0</v>
      </c>
      <c r="AM563" s="293" t="n">
        <f aca="false">IFERROR(($J563*Z563)*$L563, "")</f>
        <v>0</v>
      </c>
      <c r="AN563" s="294" t="n">
        <f aca="false">IFERROR(SUMIF($AB$4:$AM$4, "RDEC", AB563:AM563), "")</f>
        <v>0</v>
      </c>
      <c r="AO563" s="294" t="n">
        <f aca="false">IFERROR(SUMIF($AB$4:$AM$4, "SME", AB563:AM563), "")</f>
        <v>0</v>
      </c>
      <c r="AP563" s="294" t="n">
        <f aca="false">IFERROR(SUMIF($AB$4:$AM$4, "De Minimis", AB563:AM563), "")</f>
        <v>0</v>
      </c>
      <c r="AQ563" s="283"/>
      <c r="AR563" s="292" t="n">
        <f aca="false">IFERROR(($J563*O563)*$M563, "")</f>
        <v>0</v>
      </c>
      <c r="AS563" s="292" t="n">
        <f aca="false">IFERROR(($J563*P563)*$M563, "")</f>
        <v>0</v>
      </c>
      <c r="AT563" s="292" t="n">
        <f aca="false">IFERROR(($J563*Q563)*$M563, "")</f>
        <v>0</v>
      </c>
      <c r="AU563" s="292" t="n">
        <f aca="false">IFERROR(($J563*R563)*$M563, "")</f>
        <v>0</v>
      </c>
      <c r="AV563" s="292" t="n">
        <f aca="false">IFERROR(($J563*S563)*$M563, "")</f>
        <v>0</v>
      </c>
      <c r="AW563" s="292" t="n">
        <f aca="false">IFERROR(($J563*T563)*$M563, "")</f>
        <v>0</v>
      </c>
      <c r="AX563" s="292" t="n">
        <f aca="false">IFERROR(($J563*U563)*$M563, "")</f>
        <v>0</v>
      </c>
      <c r="AY563" s="292" t="n">
        <f aca="false">IFERROR(($J563*V563)*$M563, "")</f>
        <v>0</v>
      </c>
      <c r="AZ563" s="292" t="n">
        <f aca="false">IFERROR(($J563*W563)*$M563, "")</f>
        <v>0</v>
      </c>
      <c r="BA563" s="292" t="n">
        <f aca="false">IFERROR(($J563*X563)*$M563, "")</f>
        <v>0</v>
      </c>
      <c r="BB563" s="292" t="n">
        <f aca="false">IFERROR(($J563*Y563)*$M563, "")</f>
        <v>0</v>
      </c>
      <c r="BC563" s="293" t="n">
        <f aca="false">IFERROR(($J563*Z563)*$M563, "")</f>
        <v>0</v>
      </c>
      <c r="BD563" s="294" t="n">
        <f aca="false">IFERROR(SUMIF($AB$4:$AM$4, "RDEC", AR563:BC563), "")</f>
        <v>0</v>
      </c>
      <c r="BE563" s="294" t="n">
        <f aca="false">IFERROR(SUMIF($AB$4:$AM$4, "SME", AR563:BC563), "")</f>
        <v>0</v>
      </c>
      <c r="BF563" s="294" t="n">
        <f aca="false">IFERROR(SUMIF($AB$4:$AM$4, "De Minimis", AR563:BC563), "")</f>
        <v>0</v>
      </c>
      <c r="BG563" s="287"/>
      <c r="BH563" s="295" t="str">
        <f aca="false">IF((SUM(O563:Z563)&gt;1),"ERROR","")</f>
        <v/>
      </c>
      <c r="BI563" s="287"/>
      <c r="BJ563" s="18" t="str">
        <f aca="false">IF(C549&gt;0, C549, "")</f>
        <v/>
      </c>
      <c r="BL563" s="200"/>
      <c r="BM563" s="200"/>
      <c r="BN563" s="200"/>
    </row>
    <row r="564" customFormat="false" ht="15" hidden="false" customHeight="true" outlineLevel="0" collapsed="false">
      <c r="B564" s="296"/>
      <c r="D564" s="297" t="s">
        <v>82</v>
      </c>
      <c r="E564" s="298" t="n">
        <f aca="false">SUM(E552:E563)</f>
        <v>0</v>
      </c>
      <c r="F564" s="298" t="n">
        <f aca="false">SUM(F552:F563)</f>
        <v>0</v>
      </c>
      <c r="G564" s="298" t="n">
        <f aca="false">SUM(G552:G563)</f>
        <v>0</v>
      </c>
      <c r="H564" s="298" t="n">
        <f aca="false">SUM(H552:H563)</f>
        <v>0</v>
      </c>
      <c r="I564" s="298" t="n">
        <f aca="false">SUM(I552:I563)</f>
        <v>0</v>
      </c>
      <c r="J564" s="299" t="n">
        <f aca="false">SUM(J552:J563)</f>
        <v>0</v>
      </c>
      <c r="K564" s="300"/>
      <c r="L564" s="301" t="n">
        <f aca="false">AVERAGE(L552:L563)</f>
        <v>1</v>
      </c>
      <c r="M564" s="301" t="n">
        <f aca="false">AVERAGE(M552:M563)</f>
        <v>0</v>
      </c>
      <c r="N564" s="302"/>
      <c r="O564" s="290" t="n">
        <f aca="false">IF(SUM(O552:O563)&gt;0,((AB564+AR564)/J564),0)</f>
        <v>0</v>
      </c>
      <c r="P564" s="290" t="n">
        <f aca="false">IF(SUM(P552:P563)&gt;0,((AC564+AS564)/J564),0)</f>
        <v>0</v>
      </c>
      <c r="Q564" s="290" t="n">
        <f aca="false">IF(SUM(Q552:Q563)&gt;0,((AD564+AT564)/J564),0)</f>
        <v>0</v>
      </c>
      <c r="R564" s="290" t="n">
        <f aca="false">IF(SUM(R552:R563)&gt;0,((AE564+AU564)/J564),0)</f>
        <v>0</v>
      </c>
      <c r="S564" s="290" t="n">
        <f aca="false">IF(SUM(S552:S563)&gt;0,((AF564+AV564)/J564),0)</f>
        <v>0</v>
      </c>
      <c r="T564" s="290" t="n">
        <f aca="false">IF(SUM(T552:T563)&gt;0,((AG564+AW564)/J564),0)</f>
        <v>0</v>
      </c>
      <c r="U564" s="290" t="n">
        <f aca="false">IF(SUM(U552:U563)&gt;0,((AH564+AX564)/J564),0)</f>
        <v>0</v>
      </c>
      <c r="V564" s="290" t="n">
        <f aca="false">IF(SUM(V552:V563)&gt;0,((AI564+AY564)/J564),0)</f>
        <v>0</v>
      </c>
      <c r="W564" s="290" t="n">
        <f aca="false">IF(SUM(W552:W563)&gt;0,((AJ564+AZ564)/J564),0)</f>
        <v>0</v>
      </c>
      <c r="X564" s="290" t="n">
        <f aca="false">IF(SUM(X552:X563)&gt;0,((AK564+BA564)/J564),0)</f>
        <v>0</v>
      </c>
      <c r="Y564" s="290" t="n">
        <f aca="false">IF(SUM(Y552:Y563)&gt;0,((AL564+BB564)/J564),0)</f>
        <v>0</v>
      </c>
      <c r="Z564" s="290" t="n">
        <f aca="false">IF(SUM(Z552:Z563)&gt;0,((AM564+BC564)/J564),0)</f>
        <v>0</v>
      </c>
      <c r="AA564" s="303"/>
      <c r="AB564" s="292" t="n">
        <f aca="false">SUM(AB552:AB563)</f>
        <v>0</v>
      </c>
      <c r="AC564" s="304" t="n">
        <f aca="false">SUM(AC552:AC563)</f>
        <v>0</v>
      </c>
      <c r="AD564" s="304" t="n">
        <f aca="false">SUM(AD552:AD563)</f>
        <v>0</v>
      </c>
      <c r="AE564" s="304" t="n">
        <f aca="false">SUM(AE552:AE563)</f>
        <v>0</v>
      </c>
      <c r="AF564" s="304" t="n">
        <f aca="false">SUM(AF552:AF563)</f>
        <v>0</v>
      </c>
      <c r="AG564" s="304" t="n">
        <f aca="false">SUM(AG552:AG563)</f>
        <v>0</v>
      </c>
      <c r="AH564" s="304" t="n">
        <f aca="false">SUM(AH552:AH563)</f>
        <v>0</v>
      </c>
      <c r="AI564" s="304" t="n">
        <f aca="false">SUM(AI552:AI563)</f>
        <v>0</v>
      </c>
      <c r="AJ564" s="304" t="n">
        <f aca="false">SUM(AJ552:AJ563)</f>
        <v>0</v>
      </c>
      <c r="AK564" s="304" t="n">
        <f aca="false">SUM(AK552:AK563)</f>
        <v>0</v>
      </c>
      <c r="AL564" s="304" t="n">
        <f aca="false">SUM(AL552:AL563)</f>
        <v>0</v>
      </c>
      <c r="AM564" s="304" t="n">
        <f aca="false">SUM(AM552:AM563)</f>
        <v>0</v>
      </c>
      <c r="AN564" s="305" t="n">
        <f aca="false">SUM(AN552:AN563)</f>
        <v>0</v>
      </c>
      <c r="AO564" s="305" t="n">
        <f aca="false">SUM(AO552:AO563)</f>
        <v>0</v>
      </c>
      <c r="AP564" s="305" t="n">
        <f aca="false">SUM(AP552:AP563)</f>
        <v>0</v>
      </c>
      <c r="AQ564" s="303"/>
      <c r="AR564" s="292" t="n">
        <f aca="false">SUM(AR552:AR563)</f>
        <v>0</v>
      </c>
      <c r="AS564" s="304" t="n">
        <f aca="false">SUM(AS552:AS563)</f>
        <v>0</v>
      </c>
      <c r="AT564" s="304" t="n">
        <f aca="false">SUM(AT552:AT563)</f>
        <v>0</v>
      </c>
      <c r="AU564" s="304" t="n">
        <f aca="false">SUM(AU552:AU563)</f>
        <v>0</v>
      </c>
      <c r="AV564" s="304" t="n">
        <f aca="false">SUM(AV552:AV563)</f>
        <v>0</v>
      </c>
      <c r="AW564" s="304" t="n">
        <f aca="false">SUM(AW552:AW563)</f>
        <v>0</v>
      </c>
      <c r="AX564" s="304" t="n">
        <f aca="false">SUM(AX552:AX563)</f>
        <v>0</v>
      </c>
      <c r="AY564" s="304" t="n">
        <f aca="false">SUM(AY552:AY563)</f>
        <v>0</v>
      </c>
      <c r="AZ564" s="304" t="n">
        <f aca="false">SUM(AZ552:AZ563)</f>
        <v>0</v>
      </c>
      <c r="BA564" s="304" t="n">
        <f aca="false">SUM(BA552:BA563)</f>
        <v>0</v>
      </c>
      <c r="BB564" s="304" t="n">
        <f aca="false">SUM(BB552:BB563)</f>
        <v>0</v>
      </c>
      <c r="BC564" s="304" t="n">
        <f aca="false">SUM(BC552:BC563)</f>
        <v>0</v>
      </c>
      <c r="BD564" s="305" t="n">
        <f aca="false">SUM(BD552:BD563)</f>
        <v>0</v>
      </c>
      <c r="BE564" s="305" t="n">
        <f aca="false">SUM(BE552:BE563)</f>
        <v>0</v>
      </c>
      <c r="BF564" s="305" t="n">
        <f aca="false">SUM(BF552:BF563)</f>
        <v>0</v>
      </c>
      <c r="BG564" s="303"/>
      <c r="BH564" s="306"/>
      <c r="BI564" s="303"/>
      <c r="BJ564" s="307" t="str">
        <f aca="false">IF(C550&gt;0, C550, "")</f>
        <v>TBA</v>
      </c>
      <c r="BK564" s="18" t="s">
        <v>234</v>
      </c>
      <c r="BL564" s="200" t="n">
        <f aca="false">IF($BK564="Y",J564,0)</f>
        <v>0</v>
      </c>
      <c r="BM564" s="200" t="n">
        <f aca="false">IF(BK564="Y", AN564,0)</f>
        <v>0</v>
      </c>
      <c r="BN564" s="200" t="n">
        <f aca="false">IF((BK564="Y"),AO564,0)</f>
        <v>0</v>
      </c>
    </row>
    <row r="565" customFormat="false" ht="15" hidden="false" customHeight="true" outlineLevel="0" collapsed="false">
      <c r="B565" s="296"/>
      <c r="D565" s="297"/>
      <c r="E565" s="277"/>
      <c r="F565" s="277"/>
      <c r="G565" s="277"/>
      <c r="H565" s="277"/>
      <c r="I565" s="277"/>
      <c r="J565" s="300"/>
      <c r="K565" s="300"/>
      <c r="L565" s="302"/>
      <c r="M565" s="302"/>
      <c r="N565" s="302"/>
      <c r="O565" s="308"/>
      <c r="P565" s="308"/>
      <c r="Q565" s="308"/>
      <c r="R565" s="308"/>
      <c r="S565" s="308"/>
      <c r="T565" s="308"/>
      <c r="U565" s="308"/>
      <c r="V565" s="308"/>
      <c r="W565" s="308"/>
      <c r="X565" s="308"/>
      <c r="Y565" s="308"/>
      <c r="Z565" s="308"/>
      <c r="AA565" s="303"/>
      <c r="AB565" s="303"/>
      <c r="AC565" s="303"/>
      <c r="AD565" s="303"/>
      <c r="AE565" s="303"/>
      <c r="AF565" s="303"/>
      <c r="AG565" s="303"/>
      <c r="AH565" s="303"/>
      <c r="AI565" s="303"/>
      <c r="AJ565" s="303"/>
      <c r="AK565" s="303"/>
      <c r="AL565" s="303"/>
      <c r="AM565" s="303"/>
      <c r="AN565" s="303"/>
      <c r="AO565" s="303"/>
      <c r="AP565" s="303"/>
      <c r="AQ565" s="303"/>
      <c r="AR565" s="303"/>
      <c r="AS565" s="303"/>
      <c r="AT565" s="303"/>
      <c r="AU565" s="303"/>
      <c r="AV565" s="303"/>
      <c r="AW565" s="303"/>
      <c r="AX565" s="303"/>
      <c r="AY565" s="303"/>
      <c r="AZ565" s="303"/>
      <c r="BA565" s="303"/>
      <c r="BB565" s="303"/>
      <c r="BC565" s="303"/>
      <c r="BD565" s="303"/>
      <c r="BE565" s="303"/>
      <c r="BF565" s="303"/>
      <c r="BG565" s="303"/>
      <c r="BH565" s="303"/>
      <c r="BI565" s="303"/>
      <c r="BJ565" s="307" t="str">
        <f aca="false">IF(C552&gt;0, C552, "")</f>
        <v/>
      </c>
      <c r="BL565" s="200"/>
      <c r="BM565" s="200"/>
      <c r="BN565" s="200"/>
    </row>
    <row r="566" customFormat="false" ht="15" hidden="false" customHeight="true" outlineLevel="0" collapsed="false">
      <c r="A566" s="198" t="n">
        <f aca="false">A550+1</f>
        <v>36</v>
      </c>
      <c r="B566" s="266" t="s">
        <v>253</v>
      </c>
      <c r="C566" s="266" t="s">
        <v>253</v>
      </c>
      <c r="D566" s="267"/>
      <c r="E566" s="242"/>
      <c r="F566" s="242"/>
      <c r="G566" s="242"/>
      <c r="H566" s="242"/>
      <c r="I566" s="242"/>
      <c r="J566" s="241"/>
      <c r="K566" s="241"/>
      <c r="L566" s="241"/>
      <c r="M566" s="241"/>
      <c r="N566" s="241"/>
      <c r="O566" s="268"/>
      <c r="P566" s="268"/>
      <c r="Q566" s="268"/>
      <c r="R566" s="268"/>
      <c r="S566" s="268"/>
      <c r="T566" s="268"/>
      <c r="U566" s="268"/>
      <c r="V566" s="268"/>
      <c r="W566" s="268"/>
      <c r="X566" s="268"/>
      <c r="Y566" s="268"/>
      <c r="Z566" s="268"/>
      <c r="AA566" s="268"/>
      <c r="AB566" s="268"/>
      <c r="AC566" s="268"/>
      <c r="AD566" s="268"/>
      <c r="AE566" s="268"/>
      <c r="AF566" s="268"/>
      <c r="AG566" s="268"/>
      <c r="AH566" s="268"/>
      <c r="AI566" s="268"/>
      <c r="AJ566" s="268"/>
      <c r="AK566" s="268"/>
      <c r="AL566" s="268"/>
      <c r="AM566" s="268"/>
      <c r="AN566" s="268"/>
      <c r="AO566" s="268"/>
      <c r="AP566" s="268"/>
      <c r="AQ566" s="268"/>
      <c r="AR566" s="268"/>
      <c r="AS566" s="268"/>
      <c r="AT566" s="268"/>
      <c r="AU566" s="268"/>
      <c r="AV566" s="268"/>
      <c r="AW566" s="268"/>
      <c r="AX566" s="268"/>
      <c r="AY566" s="268"/>
      <c r="AZ566" s="268"/>
      <c r="BA566" s="268"/>
      <c r="BB566" s="268"/>
      <c r="BC566" s="268"/>
      <c r="BD566" s="268"/>
      <c r="BE566" s="268"/>
      <c r="BF566" s="268"/>
      <c r="BG566" s="268"/>
      <c r="BH566" s="268"/>
      <c r="BI566" s="268"/>
      <c r="BJ566" s="18" t="str">
        <f aca="false">IF(C553&gt;0, C553, "")</f>
        <v/>
      </c>
      <c r="BL566" s="200"/>
      <c r="BM566" s="200"/>
      <c r="BN566" s="200"/>
    </row>
    <row r="567" customFormat="false" ht="7.5" hidden="false" customHeight="true" outlineLevel="0" collapsed="false">
      <c r="A567" s="198"/>
      <c r="B567" s="266"/>
      <c r="C567" s="266"/>
      <c r="D567" s="267"/>
      <c r="E567" s="242"/>
      <c r="F567" s="242"/>
      <c r="G567" s="242"/>
      <c r="H567" s="242"/>
      <c r="I567" s="242"/>
      <c r="J567" s="241"/>
      <c r="K567" s="241"/>
      <c r="L567" s="269"/>
      <c r="M567" s="269"/>
      <c r="N567" s="270"/>
      <c r="O567" s="269"/>
      <c r="P567" s="269"/>
      <c r="Q567" s="269"/>
      <c r="R567" s="269"/>
      <c r="S567" s="269"/>
      <c r="T567" s="269"/>
      <c r="U567" s="269"/>
      <c r="V567" s="269"/>
      <c r="W567" s="269"/>
      <c r="X567" s="269"/>
      <c r="Y567" s="269"/>
      <c r="Z567" s="269"/>
      <c r="AA567" s="268"/>
      <c r="AB567" s="271"/>
      <c r="AC567" s="271"/>
      <c r="AD567" s="271"/>
      <c r="AE567" s="271"/>
      <c r="AF567" s="271"/>
      <c r="AG567" s="271"/>
      <c r="AH567" s="271"/>
      <c r="AI567" s="271"/>
      <c r="AJ567" s="271"/>
      <c r="AK567" s="271"/>
      <c r="AL567" s="271"/>
      <c r="AM567" s="272"/>
      <c r="AN567" s="273"/>
      <c r="AO567" s="273"/>
      <c r="AP567" s="273"/>
      <c r="AQ567" s="268"/>
      <c r="AR567" s="271"/>
      <c r="AS567" s="271"/>
      <c r="AT567" s="271"/>
      <c r="AU567" s="271"/>
      <c r="AV567" s="271"/>
      <c r="AW567" s="271"/>
      <c r="AX567" s="271"/>
      <c r="AY567" s="271"/>
      <c r="AZ567" s="271"/>
      <c r="BA567" s="271"/>
      <c r="BB567" s="271"/>
      <c r="BC567" s="272"/>
      <c r="BD567" s="273"/>
      <c r="BE567" s="273"/>
      <c r="BF567" s="273"/>
      <c r="BG567" s="268"/>
      <c r="BH567" s="274"/>
      <c r="BI567" s="268"/>
      <c r="BL567" s="200"/>
      <c r="BM567" s="200"/>
      <c r="BN567" s="200"/>
    </row>
    <row r="568" customFormat="false" ht="15" hidden="false" customHeight="true" outlineLevel="0" collapsed="false">
      <c r="B568" s="275"/>
      <c r="D568" s="276" t="n">
        <f aca="false">D552</f>
        <v>45292</v>
      </c>
      <c r="E568" s="277" t="n">
        <v>0</v>
      </c>
      <c r="F568" s="277" t="n">
        <v>0</v>
      </c>
      <c r="G568" s="277" t="n">
        <v>0</v>
      </c>
      <c r="H568" s="277" t="n">
        <v>0</v>
      </c>
      <c r="I568" s="277" t="n">
        <v>0</v>
      </c>
      <c r="J568" s="278" t="n">
        <f aca="false">E568+H568+I568</f>
        <v>0</v>
      </c>
      <c r="K568" s="204"/>
      <c r="L568" s="279" t="n">
        <v>1</v>
      </c>
      <c r="M568" s="280" t="n">
        <f aca="false">1-L568</f>
        <v>0</v>
      </c>
      <c r="N568" s="281"/>
      <c r="O568" s="282"/>
      <c r="P568" s="282"/>
      <c r="Q568" s="282"/>
      <c r="R568" s="282"/>
      <c r="S568" s="282"/>
      <c r="T568" s="282"/>
      <c r="U568" s="282"/>
      <c r="V568" s="282"/>
      <c r="W568" s="282"/>
      <c r="X568" s="282"/>
      <c r="Y568" s="282"/>
      <c r="Z568" s="282"/>
      <c r="AA568" s="283"/>
      <c r="AB568" s="284" t="n">
        <f aca="false">IFERROR(($J568*O568)*$L568, "")</f>
        <v>0</v>
      </c>
      <c r="AC568" s="284" t="n">
        <f aca="false">IFERROR(($J568*P568)*$L568, "")</f>
        <v>0</v>
      </c>
      <c r="AD568" s="284" t="n">
        <f aca="false">IFERROR(($J568*Q568)*$L568, "")</f>
        <v>0</v>
      </c>
      <c r="AE568" s="284" t="n">
        <f aca="false">IFERROR(($J568*R568)*$L568, "")</f>
        <v>0</v>
      </c>
      <c r="AF568" s="284" t="n">
        <f aca="false">IFERROR(($J568*S568)*$L568, "")</f>
        <v>0</v>
      </c>
      <c r="AG568" s="284" t="n">
        <f aca="false">IFERROR(($J568*T568)*$L568, "")</f>
        <v>0</v>
      </c>
      <c r="AH568" s="284" t="n">
        <f aca="false">IFERROR(($J568*U568)*$L568, "")</f>
        <v>0</v>
      </c>
      <c r="AI568" s="284" t="n">
        <f aca="false">IFERROR(($J568*V568)*$L568, "")</f>
        <v>0</v>
      </c>
      <c r="AJ568" s="284" t="n">
        <f aca="false">IFERROR(($J568*W568)*$L568, "")</f>
        <v>0</v>
      </c>
      <c r="AK568" s="284" t="n">
        <f aca="false">IFERROR(($J568*X568)*$L568, "")</f>
        <v>0</v>
      </c>
      <c r="AL568" s="284" t="n">
        <f aca="false">IFERROR(($J568*Y568)*$L568, "")</f>
        <v>0</v>
      </c>
      <c r="AM568" s="285" t="n">
        <f aca="false">IFERROR(($J568*Z568)*$L568, "")</f>
        <v>0</v>
      </c>
      <c r="AN568" s="286" t="n">
        <f aca="false">IFERROR(SUMIF($AB$4:$AM$4, "RDEC", AB568:AM568), "")</f>
        <v>0</v>
      </c>
      <c r="AO568" s="286" t="n">
        <f aca="false">IFERROR(SUMIF($AB$4:$AM$4, "SME", AB568:AM568), "")</f>
        <v>0</v>
      </c>
      <c r="AP568" s="286" t="n">
        <f aca="false">IFERROR(SUMIF($AB$4:$AM$4, "De Minimis", AB568:AM568), "")</f>
        <v>0</v>
      </c>
      <c r="AQ568" s="283"/>
      <c r="AR568" s="284" t="n">
        <f aca="false">IFERROR(($J568*O568)*$M568, "")</f>
        <v>0</v>
      </c>
      <c r="AS568" s="284" t="n">
        <f aca="false">IFERROR(($J568*P568)*$M568, "")</f>
        <v>0</v>
      </c>
      <c r="AT568" s="284" t="n">
        <f aca="false">IFERROR(($J568*Q568)*$M568, "")</f>
        <v>0</v>
      </c>
      <c r="AU568" s="284" t="n">
        <f aca="false">IFERROR(($J568*R568)*$M568, "")</f>
        <v>0</v>
      </c>
      <c r="AV568" s="284" t="n">
        <f aca="false">IFERROR(($J568*S568)*$M568, "")</f>
        <v>0</v>
      </c>
      <c r="AW568" s="284" t="n">
        <f aca="false">IFERROR(($J568*T568)*$M568, "")</f>
        <v>0</v>
      </c>
      <c r="AX568" s="284" t="n">
        <f aca="false">IFERROR(($J568*U568)*$M568, "")</f>
        <v>0</v>
      </c>
      <c r="AY568" s="284" t="n">
        <f aca="false">IFERROR(($J568*V568)*$M568, "")</f>
        <v>0</v>
      </c>
      <c r="AZ568" s="284" t="n">
        <f aca="false">IFERROR(($J568*W568)*$M568, "")</f>
        <v>0</v>
      </c>
      <c r="BA568" s="284" t="n">
        <f aca="false">IFERROR(($J568*X568)*$M568, "")</f>
        <v>0</v>
      </c>
      <c r="BB568" s="284" t="n">
        <f aca="false">IFERROR(($J568*Y568)*$M568, "")</f>
        <v>0</v>
      </c>
      <c r="BC568" s="285" t="n">
        <f aca="false">IFERROR(($J568*Z568)*$M568, "")</f>
        <v>0</v>
      </c>
      <c r="BD568" s="286" t="n">
        <f aca="false">IFERROR(SUMIF($AB$4:$AM$4, "RDEC", AR568:BC568), "")</f>
        <v>0</v>
      </c>
      <c r="BE568" s="286" t="n">
        <f aca="false">IFERROR(SUMIF($AB$4:$AM$4, "SME", AR568:BC568), "")</f>
        <v>0</v>
      </c>
      <c r="BF568" s="286" t="n">
        <f aca="false">IFERROR(SUMIF($AB$4:$AM$4, "De Minimis", AR568:BC568), "")</f>
        <v>0</v>
      </c>
      <c r="BG568" s="287"/>
      <c r="BH568" s="288" t="str">
        <f aca="false">IF((SUM(O568:Z568)&gt;1),"ERROR","")</f>
        <v/>
      </c>
      <c r="BI568" s="287"/>
      <c r="BJ568" s="18" t="str">
        <f aca="false">IF(C554&gt;0, C554, "")</f>
        <v/>
      </c>
      <c r="BL568" s="200"/>
      <c r="BM568" s="200"/>
      <c r="BN568" s="200"/>
    </row>
    <row r="569" customFormat="false" ht="15" hidden="false" customHeight="true" outlineLevel="0" collapsed="false">
      <c r="B569" s="275"/>
      <c r="D569" s="276" t="n">
        <f aca="false">D553</f>
        <v>45323</v>
      </c>
      <c r="E569" s="277" t="n">
        <v>0</v>
      </c>
      <c r="F569" s="277" t="n">
        <v>0</v>
      </c>
      <c r="G569" s="277" t="n">
        <v>0</v>
      </c>
      <c r="H569" s="277" t="n">
        <v>0</v>
      </c>
      <c r="I569" s="277" t="n">
        <v>0</v>
      </c>
      <c r="J569" s="278" t="n">
        <f aca="false">E569+H569+I569</f>
        <v>0</v>
      </c>
      <c r="K569" s="204"/>
      <c r="L569" s="279" t="n">
        <v>1</v>
      </c>
      <c r="M569" s="280" t="n">
        <f aca="false">1-L569</f>
        <v>0</v>
      </c>
      <c r="N569" s="281"/>
      <c r="O569" s="282"/>
      <c r="P569" s="282"/>
      <c r="Q569" s="282"/>
      <c r="R569" s="282"/>
      <c r="S569" s="282"/>
      <c r="T569" s="282"/>
      <c r="U569" s="282"/>
      <c r="V569" s="282"/>
      <c r="W569" s="282"/>
      <c r="X569" s="282"/>
      <c r="Y569" s="282"/>
      <c r="Z569" s="282"/>
      <c r="AA569" s="283"/>
      <c r="AB569" s="284" t="n">
        <f aca="false">IFERROR(($J569*O569)*$L569, "")</f>
        <v>0</v>
      </c>
      <c r="AC569" s="284" t="n">
        <f aca="false">IFERROR(($J569*P569)*$L569, "")</f>
        <v>0</v>
      </c>
      <c r="AD569" s="284" t="n">
        <f aca="false">IFERROR(($J569*Q569)*$L569, "")</f>
        <v>0</v>
      </c>
      <c r="AE569" s="284" t="n">
        <f aca="false">IFERROR(($J569*R569)*$L569, "")</f>
        <v>0</v>
      </c>
      <c r="AF569" s="284" t="n">
        <f aca="false">IFERROR(($J569*S569)*$L569, "")</f>
        <v>0</v>
      </c>
      <c r="AG569" s="284" t="n">
        <f aca="false">IFERROR(($J569*T569)*$L569, "")</f>
        <v>0</v>
      </c>
      <c r="AH569" s="284" t="n">
        <f aca="false">IFERROR(($J569*U569)*$L569, "")</f>
        <v>0</v>
      </c>
      <c r="AI569" s="284" t="n">
        <f aca="false">IFERROR(($J569*V569)*$L569, "")</f>
        <v>0</v>
      </c>
      <c r="AJ569" s="284" t="n">
        <f aca="false">IFERROR(($J569*W569)*$L569, "")</f>
        <v>0</v>
      </c>
      <c r="AK569" s="284" t="n">
        <f aca="false">IFERROR(($J569*X569)*$L569, "")</f>
        <v>0</v>
      </c>
      <c r="AL569" s="284" t="n">
        <f aca="false">IFERROR(($J569*Y569)*$L569, "")</f>
        <v>0</v>
      </c>
      <c r="AM569" s="285" t="n">
        <f aca="false">IFERROR(($J569*Z569)*$L569, "")</f>
        <v>0</v>
      </c>
      <c r="AN569" s="286" t="n">
        <f aca="false">IFERROR(SUMIF($AB$4:$AM$4, "RDEC", AB569:AM569), "")</f>
        <v>0</v>
      </c>
      <c r="AO569" s="286" t="n">
        <f aca="false">IFERROR(SUMIF($AB$4:$AM$4, "SME", AB569:AM569), "")</f>
        <v>0</v>
      </c>
      <c r="AP569" s="286" t="n">
        <f aca="false">IFERROR(SUMIF($AB$4:$AM$4, "De Minimis", AB569:AM569), "")</f>
        <v>0</v>
      </c>
      <c r="AQ569" s="283"/>
      <c r="AR569" s="284" t="n">
        <f aca="false">IFERROR(($J569*O569)*$M569, "")</f>
        <v>0</v>
      </c>
      <c r="AS569" s="284" t="n">
        <f aca="false">IFERROR(($J569*P569)*$M569, "")</f>
        <v>0</v>
      </c>
      <c r="AT569" s="284" t="n">
        <f aca="false">IFERROR(($J569*Q569)*$M569, "")</f>
        <v>0</v>
      </c>
      <c r="AU569" s="284" t="n">
        <f aca="false">IFERROR(($J569*R569)*$M569, "")</f>
        <v>0</v>
      </c>
      <c r="AV569" s="284" t="n">
        <f aca="false">IFERROR(($J569*S569)*$M569, "")</f>
        <v>0</v>
      </c>
      <c r="AW569" s="284" t="n">
        <f aca="false">IFERROR(($J569*T569)*$M569, "")</f>
        <v>0</v>
      </c>
      <c r="AX569" s="284" t="n">
        <f aca="false">IFERROR(($J569*U569)*$M569, "")</f>
        <v>0</v>
      </c>
      <c r="AY569" s="284" t="n">
        <f aca="false">IFERROR(($J569*V569)*$M569, "")</f>
        <v>0</v>
      </c>
      <c r="AZ569" s="284" t="n">
        <f aca="false">IFERROR(($J569*W569)*$M569, "")</f>
        <v>0</v>
      </c>
      <c r="BA569" s="284" t="n">
        <f aca="false">IFERROR(($J569*X569)*$M569, "")</f>
        <v>0</v>
      </c>
      <c r="BB569" s="284" t="n">
        <f aca="false">IFERROR(($J569*Y569)*$M569, "")</f>
        <v>0</v>
      </c>
      <c r="BC569" s="285" t="n">
        <f aca="false">IFERROR(($J569*Z569)*$M569, "")</f>
        <v>0</v>
      </c>
      <c r="BD569" s="286" t="n">
        <f aca="false">IFERROR(SUMIF($AB$4:$AM$4, "RDEC", AR569:BC569), "")</f>
        <v>0</v>
      </c>
      <c r="BE569" s="286" t="n">
        <f aca="false">IFERROR(SUMIF($AB$4:$AM$4, "SME", AR569:BC569), "")</f>
        <v>0</v>
      </c>
      <c r="BF569" s="286" t="n">
        <f aca="false">IFERROR(SUMIF($AB$4:$AM$4, "De Minimis", AR569:BC569), "")</f>
        <v>0</v>
      </c>
      <c r="BG569" s="287"/>
      <c r="BH569" s="288" t="str">
        <f aca="false">IF((SUM(O569:Z569)&gt;1),"ERROR","")</f>
        <v/>
      </c>
      <c r="BI569" s="287"/>
      <c r="BJ569" s="18" t="str">
        <f aca="false">IF(C555&gt;0, C555, "")</f>
        <v/>
      </c>
      <c r="BL569" s="200"/>
      <c r="BM569" s="200"/>
      <c r="BN569" s="200"/>
    </row>
    <row r="570" customFormat="false" ht="15" hidden="false" customHeight="true" outlineLevel="0" collapsed="false">
      <c r="B570" s="275"/>
      <c r="D570" s="276" t="n">
        <f aca="false">D554</f>
        <v>45352</v>
      </c>
      <c r="E570" s="277" t="n">
        <v>0</v>
      </c>
      <c r="F570" s="277" t="n">
        <v>0</v>
      </c>
      <c r="G570" s="277" t="n">
        <v>0</v>
      </c>
      <c r="H570" s="277" t="n">
        <v>0</v>
      </c>
      <c r="I570" s="277" t="n">
        <v>0</v>
      </c>
      <c r="J570" s="278" t="n">
        <f aca="false">E570+H570+I570</f>
        <v>0</v>
      </c>
      <c r="K570" s="204"/>
      <c r="L570" s="279" t="n">
        <v>1</v>
      </c>
      <c r="M570" s="280" t="n">
        <f aca="false">1-L570</f>
        <v>0</v>
      </c>
      <c r="N570" s="281"/>
      <c r="O570" s="282"/>
      <c r="P570" s="282"/>
      <c r="Q570" s="282"/>
      <c r="R570" s="282"/>
      <c r="S570" s="282"/>
      <c r="T570" s="282"/>
      <c r="U570" s="282"/>
      <c r="V570" s="282"/>
      <c r="W570" s="282"/>
      <c r="X570" s="282"/>
      <c r="Y570" s="282"/>
      <c r="Z570" s="282"/>
      <c r="AA570" s="283"/>
      <c r="AB570" s="284" t="n">
        <f aca="false">IFERROR(($J570*O570)*$L570, "")</f>
        <v>0</v>
      </c>
      <c r="AC570" s="284" t="n">
        <f aca="false">IFERROR(($J570*P570)*$L570, "")</f>
        <v>0</v>
      </c>
      <c r="AD570" s="284" t="n">
        <f aca="false">IFERROR(($J570*Q570)*$L570, "")</f>
        <v>0</v>
      </c>
      <c r="AE570" s="284" t="n">
        <f aca="false">IFERROR(($J570*R570)*$L570, "")</f>
        <v>0</v>
      </c>
      <c r="AF570" s="284" t="n">
        <f aca="false">IFERROR(($J570*S570)*$L570, "")</f>
        <v>0</v>
      </c>
      <c r="AG570" s="284" t="n">
        <f aca="false">IFERROR(($J570*T570)*$L570, "")</f>
        <v>0</v>
      </c>
      <c r="AH570" s="284" t="n">
        <f aca="false">IFERROR(($J570*U570)*$L570, "")</f>
        <v>0</v>
      </c>
      <c r="AI570" s="284" t="n">
        <f aca="false">IFERROR(($J570*V570)*$L570, "")</f>
        <v>0</v>
      </c>
      <c r="AJ570" s="284" t="n">
        <f aca="false">IFERROR(($J570*W570)*$L570, "")</f>
        <v>0</v>
      </c>
      <c r="AK570" s="284" t="n">
        <f aca="false">IFERROR(($J570*X570)*$L570, "")</f>
        <v>0</v>
      </c>
      <c r="AL570" s="284" t="n">
        <f aca="false">IFERROR(($J570*Y570)*$L570, "")</f>
        <v>0</v>
      </c>
      <c r="AM570" s="285" t="n">
        <f aca="false">IFERROR(($J570*Z570)*$L570, "")</f>
        <v>0</v>
      </c>
      <c r="AN570" s="286" t="n">
        <f aca="false">IFERROR(SUMIF($AB$4:$AM$4, "RDEC", AB570:AM570), "")</f>
        <v>0</v>
      </c>
      <c r="AO570" s="286" t="n">
        <f aca="false">IFERROR(SUMIF($AB$4:$AM$4, "SME", AB570:AM570), "")</f>
        <v>0</v>
      </c>
      <c r="AP570" s="286" t="n">
        <f aca="false">IFERROR(SUMIF($AB$4:$AM$4, "De Minimis", AB570:AM570), "")</f>
        <v>0</v>
      </c>
      <c r="AQ570" s="283"/>
      <c r="AR570" s="284" t="n">
        <f aca="false">IFERROR(($J570*O570)*$M570, "")</f>
        <v>0</v>
      </c>
      <c r="AS570" s="284" t="n">
        <f aca="false">IFERROR(($J570*P570)*$M570, "")</f>
        <v>0</v>
      </c>
      <c r="AT570" s="284" t="n">
        <f aca="false">IFERROR(($J570*Q570)*$M570, "")</f>
        <v>0</v>
      </c>
      <c r="AU570" s="284" t="n">
        <f aca="false">IFERROR(($J570*R570)*$M570, "")</f>
        <v>0</v>
      </c>
      <c r="AV570" s="284" t="n">
        <f aca="false">IFERROR(($J570*S570)*$M570, "")</f>
        <v>0</v>
      </c>
      <c r="AW570" s="284" t="n">
        <f aca="false">IFERROR(($J570*T570)*$M570, "")</f>
        <v>0</v>
      </c>
      <c r="AX570" s="284" t="n">
        <f aca="false">IFERROR(($J570*U570)*$M570, "")</f>
        <v>0</v>
      </c>
      <c r="AY570" s="284" t="n">
        <f aca="false">IFERROR(($J570*V570)*$M570, "")</f>
        <v>0</v>
      </c>
      <c r="AZ570" s="284" t="n">
        <f aca="false">IFERROR(($J570*W570)*$M570, "")</f>
        <v>0</v>
      </c>
      <c r="BA570" s="284" t="n">
        <f aca="false">IFERROR(($J570*X570)*$M570, "")</f>
        <v>0</v>
      </c>
      <c r="BB570" s="284" t="n">
        <f aca="false">IFERROR(($J570*Y570)*$M570, "")</f>
        <v>0</v>
      </c>
      <c r="BC570" s="285" t="n">
        <f aca="false">IFERROR(($J570*Z570)*$M570, "")</f>
        <v>0</v>
      </c>
      <c r="BD570" s="286" t="n">
        <f aca="false">IFERROR(SUMIF($AB$4:$AM$4, "RDEC", AR570:BC570), "")</f>
        <v>0</v>
      </c>
      <c r="BE570" s="286" t="n">
        <f aca="false">IFERROR(SUMIF($AB$4:$AM$4, "SME", AR570:BC570), "")</f>
        <v>0</v>
      </c>
      <c r="BF570" s="286" t="n">
        <f aca="false">IFERROR(SUMIF($AB$4:$AM$4, "De Minimis", AR570:BC570), "")</f>
        <v>0</v>
      </c>
      <c r="BG570" s="287"/>
      <c r="BH570" s="288" t="str">
        <f aca="false">IF((SUM(O570:Z570)&gt;1),"ERROR","")</f>
        <v/>
      </c>
      <c r="BI570" s="287"/>
      <c r="BJ570" s="18" t="str">
        <f aca="false">IF(C556&gt;0, C556, "")</f>
        <v/>
      </c>
      <c r="BL570" s="200"/>
      <c r="BM570" s="200"/>
      <c r="BN570" s="200"/>
    </row>
    <row r="571" customFormat="false" ht="15" hidden="false" customHeight="true" outlineLevel="0" collapsed="false">
      <c r="B571" s="275"/>
      <c r="D571" s="276" t="n">
        <f aca="false">D555</f>
        <v>45383</v>
      </c>
      <c r="E571" s="277" t="n">
        <v>0</v>
      </c>
      <c r="F571" s="277" t="n">
        <v>0</v>
      </c>
      <c r="G571" s="277" t="n">
        <v>0</v>
      </c>
      <c r="H571" s="277" t="n">
        <v>0</v>
      </c>
      <c r="I571" s="277" t="n">
        <v>0</v>
      </c>
      <c r="J571" s="278" t="n">
        <f aca="false">E571+H571+I571</f>
        <v>0</v>
      </c>
      <c r="K571" s="204"/>
      <c r="L571" s="279" t="n">
        <v>1</v>
      </c>
      <c r="M571" s="280" t="n">
        <f aca="false">1-L571</f>
        <v>0</v>
      </c>
      <c r="N571" s="281"/>
      <c r="O571" s="282"/>
      <c r="P571" s="282"/>
      <c r="Q571" s="282"/>
      <c r="R571" s="282"/>
      <c r="S571" s="282"/>
      <c r="T571" s="282"/>
      <c r="U571" s="282"/>
      <c r="V571" s="282"/>
      <c r="W571" s="282"/>
      <c r="X571" s="282"/>
      <c r="Y571" s="282"/>
      <c r="Z571" s="282"/>
      <c r="AA571" s="283"/>
      <c r="AB571" s="284" t="n">
        <f aca="false">IFERROR(($J571*O571)*$L571, "")</f>
        <v>0</v>
      </c>
      <c r="AC571" s="284" t="n">
        <f aca="false">IFERROR(($J571*P571)*$L571, "")</f>
        <v>0</v>
      </c>
      <c r="AD571" s="284" t="n">
        <f aca="false">IFERROR(($J571*Q571)*$L571, "")</f>
        <v>0</v>
      </c>
      <c r="AE571" s="284" t="n">
        <f aca="false">IFERROR(($J571*R571)*$L571, "")</f>
        <v>0</v>
      </c>
      <c r="AF571" s="284" t="n">
        <f aca="false">IFERROR(($J571*S571)*$L571, "")</f>
        <v>0</v>
      </c>
      <c r="AG571" s="284" t="n">
        <f aca="false">IFERROR(($J571*T571)*$L571, "")</f>
        <v>0</v>
      </c>
      <c r="AH571" s="284" t="n">
        <f aca="false">IFERROR(($J571*U571)*$L571, "")</f>
        <v>0</v>
      </c>
      <c r="AI571" s="284" t="n">
        <f aca="false">IFERROR(($J571*V571)*$L571, "")</f>
        <v>0</v>
      </c>
      <c r="AJ571" s="284" t="n">
        <f aca="false">IFERROR(($J571*W571)*$L571, "")</f>
        <v>0</v>
      </c>
      <c r="AK571" s="284" t="n">
        <f aca="false">IFERROR(($J571*X571)*$L571, "")</f>
        <v>0</v>
      </c>
      <c r="AL571" s="284" t="n">
        <f aca="false">IFERROR(($J571*Y571)*$L571, "")</f>
        <v>0</v>
      </c>
      <c r="AM571" s="285" t="n">
        <f aca="false">IFERROR(($J571*Z571)*$L571, "")</f>
        <v>0</v>
      </c>
      <c r="AN571" s="286" t="n">
        <f aca="false">IFERROR(SUMIF($AB$4:$AM$4, "RDEC", AB571:AM571), "")</f>
        <v>0</v>
      </c>
      <c r="AO571" s="286" t="n">
        <f aca="false">IFERROR(SUMIF($AB$4:$AM$4, "SME", AB571:AM571), "")</f>
        <v>0</v>
      </c>
      <c r="AP571" s="286" t="n">
        <f aca="false">IFERROR(SUMIF($AB$4:$AM$4, "De Minimis", AB571:AM571), "")</f>
        <v>0</v>
      </c>
      <c r="AQ571" s="283"/>
      <c r="AR571" s="284" t="n">
        <f aca="false">IFERROR(($J571*O571)*$M571, "")</f>
        <v>0</v>
      </c>
      <c r="AS571" s="284" t="n">
        <f aca="false">IFERROR(($J571*P571)*$M571, "")</f>
        <v>0</v>
      </c>
      <c r="AT571" s="284" t="n">
        <f aca="false">IFERROR(($J571*Q571)*$M571, "")</f>
        <v>0</v>
      </c>
      <c r="AU571" s="284" t="n">
        <f aca="false">IFERROR(($J571*R571)*$M571, "")</f>
        <v>0</v>
      </c>
      <c r="AV571" s="284" t="n">
        <f aca="false">IFERROR(($J571*S571)*$M571, "")</f>
        <v>0</v>
      </c>
      <c r="AW571" s="284" t="n">
        <f aca="false">IFERROR(($J571*T571)*$M571, "")</f>
        <v>0</v>
      </c>
      <c r="AX571" s="284" t="n">
        <f aca="false">IFERROR(($J571*U571)*$M571, "")</f>
        <v>0</v>
      </c>
      <c r="AY571" s="284" t="n">
        <f aca="false">IFERROR(($J571*V571)*$M571, "")</f>
        <v>0</v>
      </c>
      <c r="AZ571" s="284" t="n">
        <f aca="false">IFERROR(($J571*W571)*$M571, "")</f>
        <v>0</v>
      </c>
      <c r="BA571" s="284" t="n">
        <f aca="false">IFERROR(($J571*X571)*$M571, "")</f>
        <v>0</v>
      </c>
      <c r="BB571" s="284" t="n">
        <f aca="false">IFERROR(($J571*Y571)*$M571, "")</f>
        <v>0</v>
      </c>
      <c r="BC571" s="285" t="n">
        <f aca="false">IFERROR(($J571*Z571)*$M571, "")</f>
        <v>0</v>
      </c>
      <c r="BD571" s="286" t="n">
        <f aca="false">IFERROR(SUMIF($AB$4:$AM$4, "RDEC", AR571:BC571), "")</f>
        <v>0</v>
      </c>
      <c r="BE571" s="286" t="n">
        <f aca="false">IFERROR(SUMIF($AB$4:$AM$4, "SME", AR571:BC571), "")</f>
        <v>0</v>
      </c>
      <c r="BF571" s="286" t="n">
        <f aca="false">IFERROR(SUMIF($AB$4:$AM$4, "De Minimis", AR571:BC571), "")</f>
        <v>0</v>
      </c>
      <c r="BG571" s="287"/>
      <c r="BH571" s="288" t="str">
        <f aca="false">IF((SUM(O571:Z571)&gt;1),"ERROR","")</f>
        <v/>
      </c>
      <c r="BI571" s="287"/>
      <c r="BJ571" s="18" t="str">
        <f aca="false">IF(C557&gt;0, C557, "")</f>
        <v/>
      </c>
      <c r="BL571" s="200"/>
      <c r="BM571" s="200"/>
      <c r="BN571" s="200"/>
    </row>
    <row r="572" customFormat="false" ht="15" hidden="false" customHeight="true" outlineLevel="0" collapsed="false">
      <c r="B572" s="275"/>
      <c r="D572" s="276" t="n">
        <f aca="false">D556</f>
        <v>45413</v>
      </c>
      <c r="E572" s="277" t="n">
        <v>0</v>
      </c>
      <c r="F572" s="277" t="n">
        <v>0</v>
      </c>
      <c r="G572" s="277" t="n">
        <v>0</v>
      </c>
      <c r="H572" s="277" t="n">
        <v>0</v>
      </c>
      <c r="I572" s="277" t="n">
        <v>0</v>
      </c>
      <c r="J572" s="278" t="n">
        <f aca="false">E572+H572+I572</f>
        <v>0</v>
      </c>
      <c r="K572" s="204"/>
      <c r="L572" s="279" t="n">
        <v>1</v>
      </c>
      <c r="M572" s="280" t="n">
        <f aca="false">1-L572</f>
        <v>0</v>
      </c>
      <c r="N572" s="281"/>
      <c r="O572" s="282"/>
      <c r="P572" s="282"/>
      <c r="Q572" s="282"/>
      <c r="R572" s="282"/>
      <c r="S572" s="282"/>
      <c r="T572" s="282"/>
      <c r="U572" s="282"/>
      <c r="V572" s="282"/>
      <c r="W572" s="282"/>
      <c r="X572" s="282"/>
      <c r="Y572" s="282"/>
      <c r="Z572" s="282"/>
      <c r="AA572" s="283"/>
      <c r="AB572" s="284" t="n">
        <f aca="false">IFERROR(($J572*O572)*$L572, "")</f>
        <v>0</v>
      </c>
      <c r="AC572" s="284" t="n">
        <f aca="false">IFERROR(($J572*P572)*$L572, "")</f>
        <v>0</v>
      </c>
      <c r="AD572" s="284" t="n">
        <f aca="false">IFERROR(($J572*Q572)*$L572, "")</f>
        <v>0</v>
      </c>
      <c r="AE572" s="284" t="n">
        <f aca="false">IFERROR(($J572*R572)*$L572, "")</f>
        <v>0</v>
      </c>
      <c r="AF572" s="284" t="n">
        <f aca="false">IFERROR(($J572*S572)*$L572, "")</f>
        <v>0</v>
      </c>
      <c r="AG572" s="284" t="n">
        <f aca="false">IFERROR(($J572*T572)*$L572, "")</f>
        <v>0</v>
      </c>
      <c r="AH572" s="284" t="n">
        <f aca="false">IFERROR(($J572*U572)*$L572, "")</f>
        <v>0</v>
      </c>
      <c r="AI572" s="284" t="n">
        <f aca="false">IFERROR(($J572*V572)*$L572, "")</f>
        <v>0</v>
      </c>
      <c r="AJ572" s="284" t="n">
        <f aca="false">IFERROR(($J572*W572)*$L572, "")</f>
        <v>0</v>
      </c>
      <c r="AK572" s="284" t="n">
        <f aca="false">IFERROR(($J572*X572)*$L572, "")</f>
        <v>0</v>
      </c>
      <c r="AL572" s="284" t="n">
        <f aca="false">IFERROR(($J572*Y572)*$L572, "")</f>
        <v>0</v>
      </c>
      <c r="AM572" s="285" t="n">
        <f aca="false">IFERROR(($J572*Z572)*$L572, "")</f>
        <v>0</v>
      </c>
      <c r="AN572" s="286" t="n">
        <f aca="false">IFERROR(SUMIF($AB$4:$AM$4, "RDEC", AB572:AM572), "")</f>
        <v>0</v>
      </c>
      <c r="AO572" s="286" t="n">
        <f aca="false">IFERROR(SUMIF($AB$4:$AM$4, "SME", AB572:AM572), "")</f>
        <v>0</v>
      </c>
      <c r="AP572" s="286" t="n">
        <f aca="false">IFERROR(SUMIF($AB$4:$AM$4, "De Minimis", AB572:AM572), "")</f>
        <v>0</v>
      </c>
      <c r="AQ572" s="283"/>
      <c r="AR572" s="284" t="n">
        <f aca="false">IFERROR(($J572*O572)*$M572, "")</f>
        <v>0</v>
      </c>
      <c r="AS572" s="284" t="n">
        <f aca="false">IFERROR(($J572*P572)*$M572, "")</f>
        <v>0</v>
      </c>
      <c r="AT572" s="284" t="n">
        <f aca="false">IFERROR(($J572*Q572)*$M572, "")</f>
        <v>0</v>
      </c>
      <c r="AU572" s="284" t="n">
        <f aca="false">IFERROR(($J572*R572)*$M572, "")</f>
        <v>0</v>
      </c>
      <c r="AV572" s="284" t="n">
        <f aca="false">IFERROR(($J572*S572)*$M572, "")</f>
        <v>0</v>
      </c>
      <c r="AW572" s="284" t="n">
        <f aca="false">IFERROR(($J572*T572)*$M572, "")</f>
        <v>0</v>
      </c>
      <c r="AX572" s="284" t="n">
        <f aca="false">IFERROR(($J572*U572)*$M572, "")</f>
        <v>0</v>
      </c>
      <c r="AY572" s="284" t="n">
        <f aca="false">IFERROR(($J572*V572)*$M572, "")</f>
        <v>0</v>
      </c>
      <c r="AZ572" s="284" t="n">
        <f aca="false">IFERROR(($J572*W572)*$M572, "")</f>
        <v>0</v>
      </c>
      <c r="BA572" s="284" t="n">
        <f aca="false">IFERROR(($J572*X572)*$M572, "")</f>
        <v>0</v>
      </c>
      <c r="BB572" s="284" t="n">
        <f aca="false">IFERROR(($J572*Y572)*$M572, "")</f>
        <v>0</v>
      </c>
      <c r="BC572" s="285" t="n">
        <f aca="false">IFERROR(($J572*Z572)*$M572, "")</f>
        <v>0</v>
      </c>
      <c r="BD572" s="286" t="n">
        <f aca="false">IFERROR(SUMIF($AB$4:$AM$4, "RDEC", AR572:BC572), "")</f>
        <v>0</v>
      </c>
      <c r="BE572" s="286" t="n">
        <f aca="false">IFERROR(SUMIF($AB$4:$AM$4, "SME", AR572:BC572), "")</f>
        <v>0</v>
      </c>
      <c r="BF572" s="286" t="n">
        <f aca="false">IFERROR(SUMIF($AB$4:$AM$4, "De Minimis", AR572:BC572), "")</f>
        <v>0</v>
      </c>
      <c r="BG572" s="287"/>
      <c r="BH572" s="288" t="str">
        <f aca="false">IF((SUM(O572:Z572)&gt;1),"ERROR","")</f>
        <v/>
      </c>
      <c r="BI572" s="287"/>
      <c r="BJ572" s="18" t="str">
        <f aca="false">IF(C558&gt;0, C558, "")</f>
        <v/>
      </c>
      <c r="BL572" s="200"/>
      <c r="BM572" s="200"/>
      <c r="BN572" s="200"/>
    </row>
    <row r="573" customFormat="false" ht="15" hidden="false" customHeight="true" outlineLevel="0" collapsed="false">
      <c r="B573" s="275"/>
      <c r="D573" s="276" t="n">
        <f aca="false">D557</f>
        <v>45444</v>
      </c>
      <c r="E573" s="277" t="n">
        <v>0</v>
      </c>
      <c r="F573" s="277" t="n">
        <v>0</v>
      </c>
      <c r="G573" s="277" t="n">
        <v>0</v>
      </c>
      <c r="H573" s="277" t="n">
        <v>0</v>
      </c>
      <c r="I573" s="277" t="n">
        <v>0</v>
      </c>
      <c r="J573" s="278" t="n">
        <f aca="false">E573+H573+I573</f>
        <v>0</v>
      </c>
      <c r="K573" s="204"/>
      <c r="L573" s="279" t="n">
        <v>1</v>
      </c>
      <c r="M573" s="280" t="n">
        <f aca="false">1-L573</f>
        <v>0</v>
      </c>
      <c r="N573" s="281"/>
      <c r="O573" s="282"/>
      <c r="P573" s="282"/>
      <c r="Q573" s="282"/>
      <c r="R573" s="282"/>
      <c r="S573" s="282"/>
      <c r="T573" s="282"/>
      <c r="U573" s="282"/>
      <c r="V573" s="282"/>
      <c r="W573" s="282"/>
      <c r="X573" s="282"/>
      <c r="Y573" s="282"/>
      <c r="Z573" s="282"/>
      <c r="AA573" s="283"/>
      <c r="AB573" s="284" t="n">
        <f aca="false">IFERROR(($J573*O573)*$L573, "")</f>
        <v>0</v>
      </c>
      <c r="AC573" s="284" t="n">
        <f aca="false">IFERROR(($J573*P573)*$L573, "")</f>
        <v>0</v>
      </c>
      <c r="AD573" s="284" t="n">
        <f aca="false">IFERROR(($J573*Q573)*$L573, "")</f>
        <v>0</v>
      </c>
      <c r="AE573" s="284" t="n">
        <f aca="false">IFERROR(($J573*R573)*$L573, "")</f>
        <v>0</v>
      </c>
      <c r="AF573" s="284" t="n">
        <f aca="false">IFERROR(($J573*S573)*$L573, "")</f>
        <v>0</v>
      </c>
      <c r="AG573" s="284" t="n">
        <f aca="false">IFERROR(($J573*T573)*$L573, "")</f>
        <v>0</v>
      </c>
      <c r="AH573" s="284" t="n">
        <f aca="false">IFERROR(($J573*U573)*$L573, "")</f>
        <v>0</v>
      </c>
      <c r="AI573" s="284" t="n">
        <f aca="false">IFERROR(($J573*V573)*$L573, "")</f>
        <v>0</v>
      </c>
      <c r="AJ573" s="284" t="n">
        <f aca="false">IFERROR(($J573*W573)*$L573, "")</f>
        <v>0</v>
      </c>
      <c r="AK573" s="284" t="n">
        <f aca="false">IFERROR(($J573*X573)*$L573, "")</f>
        <v>0</v>
      </c>
      <c r="AL573" s="284" t="n">
        <f aca="false">IFERROR(($J573*Y573)*$L573, "")</f>
        <v>0</v>
      </c>
      <c r="AM573" s="285" t="n">
        <f aca="false">IFERROR(($J573*Z573)*$L573, "")</f>
        <v>0</v>
      </c>
      <c r="AN573" s="286" t="n">
        <f aca="false">IFERROR(SUMIF($AB$4:$AM$4, "RDEC", AB573:AM573), "")</f>
        <v>0</v>
      </c>
      <c r="AO573" s="286" t="n">
        <f aca="false">IFERROR(SUMIF($AB$4:$AM$4, "SME", AB573:AM573), "")</f>
        <v>0</v>
      </c>
      <c r="AP573" s="286" t="n">
        <f aca="false">IFERROR(SUMIF($AB$4:$AM$4, "De Minimis", AB573:AM573), "")</f>
        <v>0</v>
      </c>
      <c r="AQ573" s="283"/>
      <c r="AR573" s="284" t="n">
        <f aca="false">IFERROR(($J573*O573)*$M573, "")</f>
        <v>0</v>
      </c>
      <c r="AS573" s="284" t="n">
        <f aca="false">IFERROR(($J573*P573)*$M573, "")</f>
        <v>0</v>
      </c>
      <c r="AT573" s="284" t="n">
        <f aca="false">IFERROR(($J573*Q573)*$M573, "")</f>
        <v>0</v>
      </c>
      <c r="AU573" s="284" t="n">
        <f aca="false">IFERROR(($J573*R573)*$M573, "")</f>
        <v>0</v>
      </c>
      <c r="AV573" s="284" t="n">
        <f aca="false">IFERROR(($J573*S573)*$M573, "")</f>
        <v>0</v>
      </c>
      <c r="AW573" s="284" t="n">
        <f aca="false">IFERROR(($J573*T573)*$M573, "")</f>
        <v>0</v>
      </c>
      <c r="AX573" s="284" t="n">
        <f aca="false">IFERROR(($J573*U573)*$M573, "")</f>
        <v>0</v>
      </c>
      <c r="AY573" s="284" t="n">
        <f aca="false">IFERROR(($J573*V573)*$M573, "")</f>
        <v>0</v>
      </c>
      <c r="AZ573" s="284" t="n">
        <f aca="false">IFERROR(($J573*W573)*$M573, "")</f>
        <v>0</v>
      </c>
      <c r="BA573" s="284" t="n">
        <f aca="false">IFERROR(($J573*X573)*$M573, "")</f>
        <v>0</v>
      </c>
      <c r="BB573" s="284" t="n">
        <f aca="false">IFERROR(($J573*Y573)*$M573, "")</f>
        <v>0</v>
      </c>
      <c r="BC573" s="285" t="n">
        <f aca="false">IFERROR(($J573*Z573)*$M573, "")</f>
        <v>0</v>
      </c>
      <c r="BD573" s="286" t="n">
        <f aca="false">IFERROR(SUMIF($AB$4:$AM$4, "RDEC", AR573:BC573), "")</f>
        <v>0</v>
      </c>
      <c r="BE573" s="286" t="n">
        <f aca="false">IFERROR(SUMIF($AB$4:$AM$4, "SME", AR573:BC573), "")</f>
        <v>0</v>
      </c>
      <c r="BF573" s="286" t="n">
        <f aca="false">IFERROR(SUMIF($AB$4:$AM$4, "De Minimis", AR573:BC573), "")</f>
        <v>0</v>
      </c>
      <c r="BG573" s="287"/>
      <c r="BH573" s="288" t="str">
        <f aca="false">IF((SUM(O573:Z573)&gt;1),"ERROR","")</f>
        <v/>
      </c>
      <c r="BI573" s="287"/>
      <c r="BJ573" s="18" t="str">
        <f aca="false">IF(C559&gt;0, C559, "")</f>
        <v/>
      </c>
      <c r="BL573" s="200"/>
      <c r="BM573" s="200"/>
      <c r="BN573" s="200"/>
    </row>
    <row r="574" customFormat="false" ht="15" hidden="false" customHeight="true" outlineLevel="0" collapsed="false">
      <c r="B574" s="275"/>
      <c r="D574" s="276" t="n">
        <f aca="false">D558</f>
        <v>45474</v>
      </c>
      <c r="E574" s="277" t="n">
        <v>0</v>
      </c>
      <c r="F574" s="277" t="n">
        <v>0</v>
      </c>
      <c r="G574" s="277" t="n">
        <v>0</v>
      </c>
      <c r="H574" s="277" t="n">
        <v>0</v>
      </c>
      <c r="I574" s="277" t="n">
        <v>0</v>
      </c>
      <c r="J574" s="278" t="n">
        <f aca="false">E574+H574+I574</f>
        <v>0</v>
      </c>
      <c r="K574" s="204"/>
      <c r="L574" s="279" t="n">
        <v>1</v>
      </c>
      <c r="M574" s="280" t="n">
        <f aca="false">1-L574</f>
        <v>0</v>
      </c>
      <c r="N574" s="281"/>
      <c r="O574" s="282"/>
      <c r="P574" s="282"/>
      <c r="Q574" s="282"/>
      <c r="R574" s="282"/>
      <c r="S574" s="282"/>
      <c r="T574" s="282"/>
      <c r="U574" s="282"/>
      <c r="V574" s="282"/>
      <c r="W574" s="282"/>
      <c r="X574" s="282"/>
      <c r="Y574" s="282"/>
      <c r="Z574" s="282"/>
      <c r="AA574" s="283"/>
      <c r="AB574" s="284" t="n">
        <f aca="false">IFERROR(($J574*O574)*$L574, "")</f>
        <v>0</v>
      </c>
      <c r="AC574" s="284" t="n">
        <f aca="false">IFERROR(($J574*P574)*$L574, "")</f>
        <v>0</v>
      </c>
      <c r="AD574" s="284" t="n">
        <f aca="false">IFERROR(($J574*Q574)*$L574, "")</f>
        <v>0</v>
      </c>
      <c r="AE574" s="284" t="n">
        <f aca="false">IFERROR(($J574*R574)*$L574, "")</f>
        <v>0</v>
      </c>
      <c r="AF574" s="284" t="n">
        <f aca="false">IFERROR(($J574*S574)*$L574, "")</f>
        <v>0</v>
      </c>
      <c r="AG574" s="284" t="n">
        <f aca="false">IFERROR(($J574*T574)*$L574, "")</f>
        <v>0</v>
      </c>
      <c r="AH574" s="284" t="n">
        <f aca="false">IFERROR(($J574*U574)*$L574, "")</f>
        <v>0</v>
      </c>
      <c r="AI574" s="284" t="n">
        <f aca="false">IFERROR(($J574*V574)*$L574, "")</f>
        <v>0</v>
      </c>
      <c r="AJ574" s="284" t="n">
        <f aca="false">IFERROR(($J574*W574)*$L574, "")</f>
        <v>0</v>
      </c>
      <c r="AK574" s="284" t="n">
        <f aca="false">IFERROR(($J574*X574)*$L574, "")</f>
        <v>0</v>
      </c>
      <c r="AL574" s="284" t="n">
        <f aca="false">IFERROR(($J574*Y574)*$L574, "")</f>
        <v>0</v>
      </c>
      <c r="AM574" s="285" t="n">
        <f aca="false">IFERROR(($J574*Z574)*$L574, "")</f>
        <v>0</v>
      </c>
      <c r="AN574" s="286" t="n">
        <f aca="false">IFERROR(SUMIF($AB$4:$AM$4, "RDEC", AB574:AM574), "")</f>
        <v>0</v>
      </c>
      <c r="AO574" s="286" t="n">
        <f aca="false">IFERROR(SUMIF($AB$4:$AM$4, "SME", AB574:AM574), "")</f>
        <v>0</v>
      </c>
      <c r="AP574" s="286" t="n">
        <f aca="false">IFERROR(SUMIF($AB$4:$AM$4, "De Minimis", AB574:AM574), "")</f>
        <v>0</v>
      </c>
      <c r="AQ574" s="283"/>
      <c r="AR574" s="284" t="n">
        <f aca="false">IFERROR(($J574*O574)*$M574, "")</f>
        <v>0</v>
      </c>
      <c r="AS574" s="284" t="n">
        <f aca="false">IFERROR(($J574*P574)*$M574, "")</f>
        <v>0</v>
      </c>
      <c r="AT574" s="284" t="n">
        <f aca="false">IFERROR(($J574*Q574)*$M574, "")</f>
        <v>0</v>
      </c>
      <c r="AU574" s="284" t="n">
        <f aca="false">IFERROR(($J574*R574)*$M574, "")</f>
        <v>0</v>
      </c>
      <c r="AV574" s="284" t="n">
        <f aca="false">IFERROR(($J574*S574)*$M574, "")</f>
        <v>0</v>
      </c>
      <c r="AW574" s="284" t="n">
        <f aca="false">IFERROR(($J574*T574)*$M574, "")</f>
        <v>0</v>
      </c>
      <c r="AX574" s="284" t="n">
        <f aca="false">IFERROR(($J574*U574)*$M574, "")</f>
        <v>0</v>
      </c>
      <c r="AY574" s="284" t="n">
        <f aca="false">IFERROR(($J574*V574)*$M574, "")</f>
        <v>0</v>
      </c>
      <c r="AZ574" s="284" t="n">
        <f aca="false">IFERROR(($J574*W574)*$M574, "")</f>
        <v>0</v>
      </c>
      <c r="BA574" s="284" t="n">
        <f aca="false">IFERROR(($J574*X574)*$M574, "")</f>
        <v>0</v>
      </c>
      <c r="BB574" s="284" t="n">
        <f aca="false">IFERROR(($J574*Y574)*$M574, "")</f>
        <v>0</v>
      </c>
      <c r="BC574" s="285" t="n">
        <f aca="false">IFERROR(($J574*Z574)*$M574, "")</f>
        <v>0</v>
      </c>
      <c r="BD574" s="286" t="n">
        <f aca="false">IFERROR(SUMIF($AB$4:$AM$4, "RDEC", AR574:BC574), "")</f>
        <v>0</v>
      </c>
      <c r="BE574" s="286" t="n">
        <f aca="false">IFERROR(SUMIF($AB$4:$AM$4, "SME", AR574:BC574), "")</f>
        <v>0</v>
      </c>
      <c r="BF574" s="286" t="n">
        <f aca="false">IFERROR(SUMIF($AB$4:$AM$4, "De Minimis", AR574:BC574), "")</f>
        <v>0</v>
      </c>
      <c r="BG574" s="287"/>
      <c r="BH574" s="288" t="str">
        <f aca="false">IF((SUM(O574:Z574)&gt;1),"ERROR","")</f>
        <v/>
      </c>
      <c r="BI574" s="287"/>
      <c r="BJ574" s="18" t="str">
        <f aca="false">IF(C560&gt;0, C560, "")</f>
        <v/>
      </c>
      <c r="BL574" s="200"/>
      <c r="BM574" s="200"/>
      <c r="BN574" s="200"/>
    </row>
    <row r="575" customFormat="false" ht="15" hidden="false" customHeight="true" outlineLevel="0" collapsed="false">
      <c r="B575" s="275"/>
      <c r="D575" s="276" t="n">
        <f aca="false">D559</f>
        <v>45505</v>
      </c>
      <c r="E575" s="277" t="n">
        <v>0</v>
      </c>
      <c r="F575" s="277" t="n">
        <v>0</v>
      </c>
      <c r="G575" s="277" t="n">
        <v>0</v>
      </c>
      <c r="H575" s="277" t="n">
        <v>0</v>
      </c>
      <c r="I575" s="277" t="n">
        <v>0</v>
      </c>
      <c r="J575" s="278" t="n">
        <f aca="false">E575+H575+I575</f>
        <v>0</v>
      </c>
      <c r="K575" s="204"/>
      <c r="L575" s="279" t="n">
        <v>1</v>
      </c>
      <c r="M575" s="280" t="n">
        <f aca="false">1-L575</f>
        <v>0</v>
      </c>
      <c r="N575" s="281"/>
      <c r="O575" s="282"/>
      <c r="P575" s="282"/>
      <c r="Q575" s="282"/>
      <c r="R575" s="282"/>
      <c r="S575" s="282"/>
      <c r="T575" s="282"/>
      <c r="U575" s="282"/>
      <c r="V575" s="282"/>
      <c r="W575" s="282"/>
      <c r="X575" s="282"/>
      <c r="Y575" s="282"/>
      <c r="Z575" s="282"/>
      <c r="AA575" s="283"/>
      <c r="AB575" s="284" t="n">
        <f aca="false">IFERROR(($J575*O575)*$L575, "")</f>
        <v>0</v>
      </c>
      <c r="AC575" s="284" t="n">
        <f aca="false">IFERROR(($J575*P575)*$L575, "")</f>
        <v>0</v>
      </c>
      <c r="AD575" s="284" t="n">
        <f aca="false">IFERROR(($J575*Q575)*$L575, "")</f>
        <v>0</v>
      </c>
      <c r="AE575" s="284" t="n">
        <f aca="false">IFERROR(($J575*R575)*$L575, "")</f>
        <v>0</v>
      </c>
      <c r="AF575" s="284" t="n">
        <f aca="false">IFERROR(($J575*S575)*$L575, "")</f>
        <v>0</v>
      </c>
      <c r="AG575" s="284" t="n">
        <f aca="false">IFERROR(($J575*T575)*$L575, "")</f>
        <v>0</v>
      </c>
      <c r="AH575" s="284" t="n">
        <f aca="false">IFERROR(($J575*U575)*$L575, "")</f>
        <v>0</v>
      </c>
      <c r="AI575" s="284" t="n">
        <f aca="false">IFERROR(($J575*V575)*$L575, "")</f>
        <v>0</v>
      </c>
      <c r="AJ575" s="284" t="n">
        <f aca="false">IFERROR(($J575*W575)*$L575, "")</f>
        <v>0</v>
      </c>
      <c r="AK575" s="284" t="n">
        <f aca="false">IFERROR(($J575*X575)*$L575, "")</f>
        <v>0</v>
      </c>
      <c r="AL575" s="284" t="n">
        <f aca="false">IFERROR(($J575*Y575)*$L575, "")</f>
        <v>0</v>
      </c>
      <c r="AM575" s="285" t="n">
        <f aca="false">IFERROR(($J575*Z575)*$L575, "")</f>
        <v>0</v>
      </c>
      <c r="AN575" s="286" t="n">
        <f aca="false">IFERROR(SUMIF($AB$4:$AM$4, "RDEC", AB575:AM575), "")</f>
        <v>0</v>
      </c>
      <c r="AO575" s="286" t="n">
        <f aca="false">IFERROR(SUMIF($AB$4:$AM$4, "SME", AB575:AM575), "")</f>
        <v>0</v>
      </c>
      <c r="AP575" s="286" t="n">
        <f aca="false">IFERROR(SUMIF($AB$4:$AM$4, "De Minimis", AB575:AM575), "")</f>
        <v>0</v>
      </c>
      <c r="AQ575" s="283"/>
      <c r="AR575" s="284" t="n">
        <f aca="false">IFERROR(($J575*O575)*$M575, "")</f>
        <v>0</v>
      </c>
      <c r="AS575" s="284" t="n">
        <f aca="false">IFERROR(($J575*P575)*$M575, "")</f>
        <v>0</v>
      </c>
      <c r="AT575" s="284" t="n">
        <f aca="false">IFERROR(($J575*Q575)*$M575, "")</f>
        <v>0</v>
      </c>
      <c r="AU575" s="284" t="n">
        <f aca="false">IFERROR(($J575*R575)*$M575, "")</f>
        <v>0</v>
      </c>
      <c r="AV575" s="284" t="n">
        <f aca="false">IFERROR(($J575*S575)*$M575, "")</f>
        <v>0</v>
      </c>
      <c r="AW575" s="284" t="n">
        <f aca="false">IFERROR(($J575*T575)*$M575, "")</f>
        <v>0</v>
      </c>
      <c r="AX575" s="284" t="n">
        <f aca="false">IFERROR(($J575*U575)*$M575, "")</f>
        <v>0</v>
      </c>
      <c r="AY575" s="284" t="n">
        <f aca="false">IFERROR(($J575*V575)*$M575, "")</f>
        <v>0</v>
      </c>
      <c r="AZ575" s="284" t="n">
        <f aca="false">IFERROR(($J575*W575)*$M575, "")</f>
        <v>0</v>
      </c>
      <c r="BA575" s="284" t="n">
        <f aca="false">IFERROR(($J575*X575)*$M575, "")</f>
        <v>0</v>
      </c>
      <c r="BB575" s="284" t="n">
        <f aca="false">IFERROR(($J575*Y575)*$M575, "")</f>
        <v>0</v>
      </c>
      <c r="BC575" s="285" t="n">
        <f aca="false">IFERROR(($J575*Z575)*$M575, "")</f>
        <v>0</v>
      </c>
      <c r="BD575" s="286" t="n">
        <f aca="false">IFERROR(SUMIF($AB$4:$AM$4, "RDEC", AR575:BC575), "")</f>
        <v>0</v>
      </c>
      <c r="BE575" s="286" t="n">
        <f aca="false">IFERROR(SUMIF($AB$4:$AM$4, "SME", AR575:BC575), "")</f>
        <v>0</v>
      </c>
      <c r="BF575" s="286" t="n">
        <f aca="false">IFERROR(SUMIF($AB$4:$AM$4, "De Minimis", AR575:BC575), "")</f>
        <v>0</v>
      </c>
      <c r="BG575" s="287"/>
      <c r="BH575" s="288" t="str">
        <f aca="false">IF((SUM(O575:Z575)&gt;1),"ERROR","")</f>
        <v/>
      </c>
      <c r="BI575" s="287"/>
      <c r="BJ575" s="18" t="str">
        <f aca="false">IF(C561&gt;0, C561, "")</f>
        <v/>
      </c>
      <c r="BL575" s="200"/>
      <c r="BM575" s="200"/>
      <c r="BN575" s="200"/>
    </row>
    <row r="576" customFormat="false" ht="15" hidden="false" customHeight="true" outlineLevel="0" collapsed="false">
      <c r="B576" s="275"/>
      <c r="D576" s="276" t="n">
        <f aca="false">D560</f>
        <v>45536</v>
      </c>
      <c r="E576" s="277" t="n">
        <v>0</v>
      </c>
      <c r="F576" s="277" t="n">
        <v>0</v>
      </c>
      <c r="G576" s="277" t="n">
        <v>0</v>
      </c>
      <c r="H576" s="277" t="n">
        <v>0</v>
      </c>
      <c r="I576" s="277" t="n">
        <v>0</v>
      </c>
      <c r="J576" s="278" t="n">
        <f aca="false">E576+H576+I576</f>
        <v>0</v>
      </c>
      <c r="K576" s="204"/>
      <c r="L576" s="279" t="n">
        <v>1</v>
      </c>
      <c r="M576" s="280" t="n">
        <f aca="false">1-L576</f>
        <v>0</v>
      </c>
      <c r="N576" s="281"/>
      <c r="O576" s="282"/>
      <c r="P576" s="282"/>
      <c r="Q576" s="282"/>
      <c r="R576" s="282"/>
      <c r="S576" s="282"/>
      <c r="T576" s="282"/>
      <c r="U576" s="282"/>
      <c r="V576" s="282"/>
      <c r="W576" s="282"/>
      <c r="X576" s="282"/>
      <c r="Y576" s="282"/>
      <c r="Z576" s="282"/>
      <c r="AA576" s="283"/>
      <c r="AB576" s="284" t="n">
        <f aca="false">IFERROR(($J576*O576)*$L576, "")</f>
        <v>0</v>
      </c>
      <c r="AC576" s="284" t="n">
        <f aca="false">IFERROR(($J576*P576)*$L576, "")</f>
        <v>0</v>
      </c>
      <c r="AD576" s="284" t="n">
        <f aca="false">IFERROR(($J576*Q576)*$L576, "")</f>
        <v>0</v>
      </c>
      <c r="AE576" s="284" t="n">
        <f aca="false">IFERROR(($J576*R576)*$L576, "")</f>
        <v>0</v>
      </c>
      <c r="AF576" s="284" t="n">
        <f aca="false">IFERROR(($J576*S576)*$L576, "")</f>
        <v>0</v>
      </c>
      <c r="AG576" s="284" t="n">
        <f aca="false">IFERROR(($J576*T576)*$L576, "")</f>
        <v>0</v>
      </c>
      <c r="AH576" s="284" t="n">
        <f aca="false">IFERROR(($J576*U576)*$L576, "")</f>
        <v>0</v>
      </c>
      <c r="AI576" s="284" t="n">
        <f aca="false">IFERROR(($J576*V576)*$L576, "")</f>
        <v>0</v>
      </c>
      <c r="AJ576" s="284" t="n">
        <f aca="false">IFERROR(($J576*W576)*$L576, "")</f>
        <v>0</v>
      </c>
      <c r="AK576" s="284" t="n">
        <f aca="false">IFERROR(($J576*X576)*$L576, "")</f>
        <v>0</v>
      </c>
      <c r="AL576" s="284" t="n">
        <f aca="false">IFERROR(($J576*Y576)*$L576, "")</f>
        <v>0</v>
      </c>
      <c r="AM576" s="285" t="n">
        <f aca="false">IFERROR(($J576*Z576)*$L576, "")</f>
        <v>0</v>
      </c>
      <c r="AN576" s="286" t="n">
        <f aca="false">IFERROR(SUMIF($AB$4:$AM$4, "RDEC", AB576:AM576), "")</f>
        <v>0</v>
      </c>
      <c r="AO576" s="286" t="n">
        <f aca="false">IFERROR(SUMIF($AB$4:$AM$4, "SME", AB576:AM576), "")</f>
        <v>0</v>
      </c>
      <c r="AP576" s="286" t="n">
        <f aca="false">IFERROR(SUMIF($AB$4:$AM$4, "De Minimis", AB576:AM576), "")</f>
        <v>0</v>
      </c>
      <c r="AQ576" s="283"/>
      <c r="AR576" s="284" t="n">
        <f aca="false">IFERROR(($J576*O576)*$M576, "")</f>
        <v>0</v>
      </c>
      <c r="AS576" s="284" t="n">
        <f aca="false">IFERROR(($J576*P576)*$M576, "")</f>
        <v>0</v>
      </c>
      <c r="AT576" s="284" t="n">
        <f aca="false">IFERROR(($J576*Q576)*$M576, "")</f>
        <v>0</v>
      </c>
      <c r="AU576" s="284" t="n">
        <f aca="false">IFERROR(($J576*R576)*$M576, "")</f>
        <v>0</v>
      </c>
      <c r="AV576" s="284" t="n">
        <f aca="false">IFERROR(($J576*S576)*$M576, "")</f>
        <v>0</v>
      </c>
      <c r="AW576" s="284" t="n">
        <f aca="false">IFERROR(($J576*T576)*$M576, "")</f>
        <v>0</v>
      </c>
      <c r="AX576" s="284" t="n">
        <f aca="false">IFERROR(($J576*U576)*$M576, "")</f>
        <v>0</v>
      </c>
      <c r="AY576" s="284" t="n">
        <f aca="false">IFERROR(($J576*V576)*$M576, "")</f>
        <v>0</v>
      </c>
      <c r="AZ576" s="284" t="n">
        <f aca="false">IFERROR(($J576*W576)*$M576, "")</f>
        <v>0</v>
      </c>
      <c r="BA576" s="284" t="n">
        <f aca="false">IFERROR(($J576*X576)*$M576, "")</f>
        <v>0</v>
      </c>
      <c r="BB576" s="284" t="n">
        <f aca="false">IFERROR(($J576*Y576)*$M576, "")</f>
        <v>0</v>
      </c>
      <c r="BC576" s="285" t="n">
        <f aca="false">IFERROR(($J576*Z576)*$M576, "")</f>
        <v>0</v>
      </c>
      <c r="BD576" s="286" t="n">
        <f aca="false">IFERROR(SUMIF($AB$4:$AM$4, "RDEC", AR576:BC576), "")</f>
        <v>0</v>
      </c>
      <c r="BE576" s="286" t="n">
        <f aca="false">IFERROR(SUMIF($AB$4:$AM$4, "SME", AR576:BC576), "")</f>
        <v>0</v>
      </c>
      <c r="BF576" s="286" t="n">
        <f aca="false">IFERROR(SUMIF($AB$4:$AM$4, "De Minimis", AR576:BC576), "")</f>
        <v>0</v>
      </c>
      <c r="BG576" s="287"/>
      <c r="BH576" s="288" t="str">
        <f aca="false">IF((SUM(O576:Z576)&gt;1),"ERROR","")</f>
        <v/>
      </c>
      <c r="BI576" s="287"/>
      <c r="BJ576" s="18" t="str">
        <f aca="false">IF(C562&gt;0, C562, "")</f>
        <v/>
      </c>
      <c r="BL576" s="200"/>
      <c r="BM576" s="200"/>
      <c r="BN576" s="200"/>
    </row>
    <row r="577" customFormat="false" ht="15" hidden="false" customHeight="true" outlineLevel="0" collapsed="false">
      <c r="B577" s="275"/>
      <c r="D577" s="276" t="n">
        <f aca="false">D561</f>
        <v>45566</v>
      </c>
      <c r="E577" s="277" t="n">
        <v>0</v>
      </c>
      <c r="F577" s="277" t="n">
        <v>0</v>
      </c>
      <c r="G577" s="277" t="n">
        <v>0</v>
      </c>
      <c r="H577" s="277" t="n">
        <v>0</v>
      </c>
      <c r="I577" s="277" t="n">
        <v>0</v>
      </c>
      <c r="J577" s="278" t="n">
        <f aca="false">E577+H577+I577</f>
        <v>0</v>
      </c>
      <c r="K577" s="204"/>
      <c r="L577" s="279" t="n">
        <v>1</v>
      </c>
      <c r="M577" s="280" t="n">
        <f aca="false">1-L577</f>
        <v>0</v>
      </c>
      <c r="N577" s="281"/>
      <c r="O577" s="282"/>
      <c r="P577" s="282"/>
      <c r="Q577" s="282"/>
      <c r="R577" s="282"/>
      <c r="S577" s="282"/>
      <c r="T577" s="282"/>
      <c r="U577" s="282"/>
      <c r="V577" s="282"/>
      <c r="W577" s="282"/>
      <c r="X577" s="282"/>
      <c r="Y577" s="282"/>
      <c r="Z577" s="282"/>
      <c r="AA577" s="283"/>
      <c r="AB577" s="284" t="n">
        <f aca="false">IFERROR(($J577*O577)*$L577, "")</f>
        <v>0</v>
      </c>
      <c r="AC577" s="284" t="n">
        <f aca="false">IFERROR(($J577*P577)*$L577, "")</f>
        <v>0</v>
      </c>
      <c r="AD577" s="284" t="n">
        <f aca="false">IFERROR(($J577*Q577)*$L577, "")</f>
        <v>0</v>
      </c>
      <c r="AE577" s="284" t="n">
        <f aca="false">IFERROR(($J577*R577)*$L577, "")</f>
        <v>0</v>
      </c>
      <c r="AF577" s="284" t="n">
        <f aca="false">IFERROR(($J577*S577)*$L577, "")</f>
        <v>0</v>
      </c>
      <c r="AG577" s="284" t="n">
        <f aca="false">IFERROR(($J577*T577)*$L577, "")</f>
        <v>0</v>
      </c>
      <c r="AH577" s="284" t="n">
        <f aca="false">IFERROR(($J577*U577)*$L577, "")</f>
        <v>0</v>
      </c>
      <c r="AI577" s="284" t="n">
        <f aca="false">IFERROR(($J577*V577)*$L577, "")</f>
        <v>0</v>
      </c>
      <c r="AJ577" s="284" t="n">
        <f aca="false">IFERROR(($J577*W577)*$L577, "")</f>
        <v>0</v>
      </c>
      <c r="AK577" s="284" t="n">
        <f aca="false">IFERROR(($J577*X577)*$L577, "")</f>
        <v>0</v>
      </c>
      <c r="AL577" s="284" t="n">
        <f aca="false">IFERROR(($J577*Y577)*$L577, "")</f>
        <v>0</v>
      </c>
      <c r="AM577" s="285" t="n">
        <f aca="false">IFERROR(($J577*Z577)*$L577, "")</f>
        <v>0</v>
      </c>
      <c r="AN577" s="286" t="n">
        <f aca="false">IFERROR(SUMIF($AB$4:$AM$4, "RDEC", AB577:AM577), "")</f>
        <v>0</v>
      </c>
      <c r="AO577" s="286" t="n">
        <f aca="false">IFERROR(SUMIF($AB$4:$AM$4, "SME", AB577:AM577), "")</f>
        <v>0</v>
      </c>
      <c r="AP577" s="286" t="n">
        <f aca="false">IFERROR(SUMIF($AB$4:$AM$4, "De Minimis", AB577:AM577), "")</f>
        <v>0</v>
      </c>
      <c r="AQ577" s="283"/>
      <c r="AR577" s="284" t="n">
        <f aca="false">IFERROR(($J577*O577)*$M577, "")</f>
        <v>0</v>
      </c>
      <c r="AS577" s="284" t="n">
        <f aca="false">IFERROR(($J577*P577)*$M577, "")</f>
        <v>0</v>
      </c>
      <c r="AT577" s="284" t="n">
        <f aca="false">IFERROR(($J577*Q577)*$M577, "")</f>
        <v>0</v>
      </c>
      <c r="AU577" s="284" t="n">
        <f aca="false">IFERROR(($J577*R577)*$M577, "")</f>
        <v>0</v>
      </c>
      <c r="AV577" s="284" t="n">
        <f aca="false">IFERROR(($J577*S577)*$M577, "")</f>
        <v>0</v>
      </c>
      <c r="AW577" s="284" t="n">
        <f aca="false">IFERROR(($J577*T577)*$M577, "")</f>
        <v>0</v>
      </c>
      <c r="AX577" s="284" t="n">
        <f aca="false">IFERROR(($J577*U577)*$M577, "")</f>
        <v>0</v>
      </c>
      <c r="AY577" s="284" t="n">
        <f aca="false">IFERROR(($J577*V577)*$M577, "")</f>
        <v>0</v>
      </c>
      <c r="AZ577" s="284" t="n">
        <f aca="false">IFERROR(($J577*W577)*$M577, "")</f>
        <v>0</v>
      </c>
      <c r="BA577" s="284" t="n">
        <f aca="false">IFERROR(($J577*X577)*$M577, "")</f>
        <v>0</v>
      </c>
      <c r="BB577" s="284" t="n">
        <f aca="false">IFERROR(($J577*Y577)*$M577, "")</f>
        <v>0</v>
      </c>
      <c r="BC577" s="285" t="n">
        <f aca="false">IFERROR(($J577*Z577)*$M577, "")</f>
        <v>0</v>
      </c>
      <c r="BD577" s="286" t="n">
        <f aca="false">IFERROR(SUMIF($AB$4:$AM$4, "RDEC", AR577:BC577), "")</f>
        <v>0</v>
      </c>
      <c r="BE577" s="286" t="n">
        <f aca="false">IFERROR(SUMIF($AB$4:$AM$4, "SME", AR577:BC577), "")</f>
        <v>0</v>
      </c>
      <c r="BF577" s="286" t="n">
        <f aca="false">IFERROR(SUMIF($AB$4:$AM$4, "De Minimis", AR577:BC577), "")</f>
        <v>0</v>
      </c>
      <c r="BG577" s="287"/>
      <c r="BH577" s="288" t="str">
        <f aca="false">IF((SUM(O577:Z577)&gt;1),"ERROR","")</f>
        <v/>
      </c>
      <c r="BI577" s="287"/>
      <c r="BJ577" s="18" t="str">
        <f aca="false">IF(C563&gt;0, C563, "")</f>
        <v/>
      </c>
      <c r="BL577" s="200"/>
      <c r="BM577" s="200"/>
      <c r="BN577" s="200"/>
    </row>
    <row r="578" customFormat="false" ht="15" hidden="false" customHeight="true" outlineLevel="0" collapsed="false">
      <c r="B578" s="275"/>
      <c r="D578" s="276" t="n">
        <f aca="false">D562</f>
        <v>45597</v>
      </c>
      <c r="E578" s="277" t="n">
        <v>0</v>
      </c>
      <c r="F578" s="277" t="n">
        <v>0</v>
      </c>
      <c r="G578" s="277" t="n">
        <v>0</v>
      </c>
      <c r="H578" s="277" t="n">
        <v>0</v>
      </c>
      <c r="I578" s="277" t="n">
        <v>0</v>
      </c>
      <c r="J578" s="278" t="n">
        <f aca="false">E578+H578+I578</f>
        <v>0</v>
      </c>
      <c r="K578" s="204"/>
      <c r="L578" s="279" t="n">
        <v>1</v>
      </c>
      <c r="M578" s="280" t="n">
        <f aca="false">1-L578</f>
        <v>0</v>
      </c>
      <c r="N578" s="281"/>
      <c r="O578" s="282"/>
      <c r="P578" s="282"/>
      <c r="Q578" s="282"/>
      <c r="R578" s="282"/>
      <c r="S578" s="282"/>
      <c r="T578" s="282"/>
      <c r="U578" s="282"/>
      <c r="V578" s="282"/>
      <c r="W578" s="282"/>
      <c r="X578" s="282"/>
      <c r="Y578" s="282"/>
      <c r="Z578" s="282"/>
      <c r="AA578" s="283"/>
      <c r="AB578" s="284" t="n">
        <f aca="false">IFERROR(($J578*O578)*$L578, "")</f>
        <v>0</v>
      </c>
      <c r="AC578" s="284" t="n">
        <f aca="false">IFERROR(($J578*P578)*$L578, "")</f>
        <v>0</v>
      </c>
      <c r="AD578" s="284" t="n">
        <f aca="false">IFERROR(($J578*Q578)*$L578, "")</f>
        <v>0</v>
      </c>
      <c r="AE578" s="284" t="n">
        <f aca="false">IFERROR(($J578*R578)*$L578, "")</f>
        <v>0</v>
      </c>
      <c r="AF578" s="284" t="n">
        <f aca="false">IFERROR(($J578*S578)*$L578, "")</f>
        <v>0</v>
      </c>
      <c r="AG578" s="284" t="n">
        <f aca="false">IFERROR(($J578*T578)*$L578, "")</f>
        <v>0</v>
      </c>
      <c r="AH578" s="284" t="n">
        <f aca="false">IFERROR(($J578*U578)*$L578, "")</f>
        <v>0</v>
      </c>
      <c r="AI578" s="284" t="n">
        <f aca="false">IFERROR(($J578*V578)*$L578, "")</f>
        <v>0</v>
      </c>
      <c r="AJ578" s="284" t="n">
        <f aca="false">IFERROR(($J578*W578)*$L578, "")</f>
        <v>0</v>
      </c>
      <c r="AK578" s="284" t="n">
        <f aca="false">IFERROR(($J578*X578)*$L578, "")</f>
        <v>0</v>
      </c>
      <c r="AL578" s="284" t="n">
        <f aca="false">IFERROR(($J578*Y578)*$L578, "")</f>
        <v>0</v>
      </c>
      <c r="AM578" s="285" t="n">
        <f aca="false">IFERROR(($J578*Z578)*$L578, "")</f>
        <v>0</v>
      </c>
      <c r="AN578" s="286" t="n">
        <f aca="false">IFERROR(SUMIF($AB$4:$AM$4, "RDEC", AB578:AM578), "")</f>
        <v>0</v>
      </c>
      <c r="AO578" s="286" t="n">
        <f aca="false">IFERROR(SUMIF($AB$4:$AM$4, "SME", AB578:AM578), "")</f>
        <v>0</v>
      </c>
      <c r="AP578" s="286" t="n">
        <f aca="false">IFERROR(SUMIF($AB$4:$AM$4, "De Minimis", AB578:AM578), "")</f>
        <v>0</v>
      </c>
      <c r="AQ578" s="283"/>
      <c r="AR578" s="284" t="n">
        <f aca="false">IFERROR(($J578*O578)*$M578, "")</f>
        <v>0</v>
      </c>
      <c r="AS578" s="284" t="n">
        <f aca="false">IFERROR(($J578*P578)*$M578, "")</f>
        <v>0</v>
      </c>
      <c r="AT578" s="284" t="n">
        <f aca="false">IFERROR(($J578*Q578)*$M578, "")</f>
        <v>0</v>
      </c>
      <c r="AU578" s="284" t="n">
        <f aca="false">IFERROR(($J578*R578)*$M578, "")</f>
        <v>0</v>
      </c>
      <c r="AV578" s="284" t="n">
        <f aca="false">IFERROR(($J578*S578)*$M578, "")</f>
        <v>0</v>
      </c>
      <c r="AW578" s="284" t="n">
        <f aca="false">IFERROR(($J578*T578)*$M578, "")</f>
        <v>0</v>
      </c>
      <c r="AX578" s="284" t="n">
        <f aca="false">IFERROR(($J578*U578)*$M578, "")</f>
        <v>0</v>
      </c>
      <c r="AY578" s="284" t="n">
        <f aca="false">IFERROR(($J578*V578)*$M578, "")</f>
        <v>0</v>
      </c>
      <c r="AZ578" s="284" t="n">
        <f aca="false">IFERROR(($J578*W578)*$M578, "")</f>
        <v>0</v>
      </c>
      <c r="BA578" s="284" t="n">
        <f aca="false">IFERROR(($J578*X578)*$M578, "")</f>
        <v>0</v>
      </c>
      <c r="BB578" s="284" t="n">
        <f aca="false">IFERROR(($J578*Y578)*$M578, "")</f>
        <v>0</v>
      </c>
      <c r="BC578" s="285" t="n">
        <f aca="false">IFERROR(($J578*Z578)*$M578, "")</f>
        <v>0</v>
      </c>
      <c r="BD578" s="286" t="n">
        <f aca="false">IFERROR(SUMIF($AB$4:$AM$4, "RDEC", AR578:BC578), "")</f>
        <v>0</v>
      </c>
      <c r="BE578" s="286" t="n">
        <f aca="false">IFERROR(SUMIF($AB$4:$AM$4, "SME", AR578:BC578), "")</f>
        <v>0</v>
      </c>
      <c r="BF578" s="286" t="n">
        <f aca="false">IFERROR(SUMIF($AB$4:$AM$4, "De Minimis", AR578:BC578), "")</f>
        <v>0</v>
      </c>
      <c r="BG578" s="287"/>
      <c r="BH578" s="288" t="str">
        <f aca="false">IF((SUM(O578:Z578)&gt;1),"ERROR","")</f>
        <v/>
      </c>
      <c r="BI578" s="287"/>
      <c r="BJ578" s="18" t="str">
        <f aca="false">IF(C564&gt;0, C564, "")</f>
        <v/>
      </c>
      <c r="BL578" s="200"/>
      <c r="BM578" s="200"/>
      <c r="BN578" s="200"/>
    </row>
    <row r="579" customFormat="false" ht="15" hidden="false" customHeight="true" outlineLevel="0" collapsed="false">
      <c r="B579" s="275"/>
      <c r="D579" s="276" t="n">
        <f aca="false">D563</f>
        <v>45627</v>
      </c>
      <c r="E579" s="277" t="n">
        <v>0</v>
      </c>
      <c r="F579" s="277" t="n">
        <v>0</v>
      </c>
      <c r="G579" s="277" t="n">
        <v>0</v>
      </c>
      <c r="H579" s="277" t="n">
        <v>0</v>
      </c>
      <c r="I579" s="277" t="n">
        <v>0</v>
      </c>
      <c r="J579" s="278" t="n">
        <f aca="false">E579+H579+I579</f>
        <v>0</v>
      </c>
      <c r="K579" s="204"/>
      <c r="L579" s="289" t="n">
        <v>1</v>
      </c>
      <c r="M579" s="290" t="n">
        <f aca="false">1-L579</f>
        <v>0</v>
      </c>
      <c r="N579" s="281"/>
      <c r="O579" s="291"/>
      <c r="P579" s="291"/>
      <c r="Q579" s="291"/>
      <c r="R579" s="291"/>
      <c r="S579" s="291"/>
      <c r="T579" s="291"/>
      <c r="U579" s="291"/>
      <c r="V579" s="291"/>
      <c r="W579" s="291"/>
      <c r="X579" s="291"/>
      <c r="Y579" s="291"/>
      <c r="Z579" s="291"/>
      <c r="AA579" s="283"/>
      <c r="AB579" s="292" t="n">
        <f aca="false">IFERROR(($J579*O579)*$L579, "")</f>
        <v>0</v>
      </c>
      <c r="AC579" s="292" t="n">
        <f aca="false">IFERROR(($J579*P579)*$L579, "")</f>
        <v>0</v>
      </c>
      <c r="AD579" s="292" t="n">
        <f aca="false">IFERROR(($J579*Q579)*$L579, "")</f>
        <v>0</v>
      </c>
      <c r="AE579" s="292" t="n">
        <f aca="false">IFERROR(($J579*R579)*$L579, "")</f>
        <v>0</v>
      </c>
      <c r="AF579" s="292" t="n">
        <f aca="false">IFERROR(($J579*S579)*$L579, "")</f>
        <v>0</v>
      </c>
      <c r="AG579" s="292" t="n">
        <f aca="false">IFERROR(($J579*T579)*$L579, "")</f>
        <v>0</v>
      </c>
      <c r="AH579" s="292" t="n">
        <f aca="false">IFERROR(($J579*U579)*$L579, "")</f>
        <v>0</v>
      </c>
      <c r="AI579" s="292" t="n">
        <f aca="false">IFERROR(($J579*V579)*$L579, "")</f>
        <v>0</v>
      </c>
      <c r="AJ579" s="292" t="n">
        <f aca="false">IFERROR(($J579*W579)*$L579, "")</f>
        <v>0</v>
      </c>
      <c r="AK579" s="292" t="n">
        <f aca="false">IFERROR(($J579*X579)*$L579, "")</f>
        <v>0</v>
      </c>
      <c r="AL579" s="292" t="n">
        <f aca="false">IFERROR(($J579*Y579)*$L579, "")</f>
        <v>0</v>
      </c>
      <c r="AM579" s="293" t="n">
        <f aca="false">IFERROR(($J579*Z579)*$L579, "")</f>
        <v>0</v>
      </c>
      <c r="AN579" s="294" t="n">
        <f aca="false">IFERROR(SUMIF($AB$4:$AM$4, "RDEC", AB579:AM579), "")</f>
        <v>0</v>
      </c>
      <c r="AO579" s="294" t="n">
        <f aca="false">IFERROR(SUMIF($AB$4:$AM$4, "SME", AB579:AM579), "")</f>
        <v>0</v>
      </c>
      <c r="AP579" s="294" t="n">
        <f aca="false">IFERROR(SUMIF($AB$4:$AM$4, "De Minimis", AB579:AM579), "")</f>
        <v>0</v>
      </c>
      <c r="AQ579" s="283"/>
      <c r="AR579" s="292" t="n">
        <f aca="false">IFERROR(($J579*O579)*$M579, "")</f>
        <v>0</v>
      </c>
      <c r="AS579" s="292" t="n">
        <f aca="false">IFERROR(($J579*P579)*$M579, "")</f>
        <v>0</v>
      </c>
      <c r="AT579" s="292" t="n">
        <f aca="false">IFERROR(($J579*Q579)*$M579, "")</f>
        <v>0</v>
      </c>
      <c r="AU579" s="292" t="n">
        <f aca="false">IFERROR(($J579*R579)*$M579, "")</f>
        <v>0</v>
      </c>
      <c r="AV579" s="292" t="n">
        <f aca="false">IFERROR(($J579*S579)*$M579, "")</f>
        <v>0</v>
      </c>
      <c r="AW579" s="292" t="n">
        <f aca="false">IFERROR(($J579*T579)*$M579, "")</f>
        <v>0</v>
      </c>
      <c r="AX579" s="292" t="n">
        <f aca="false">IFERROR(($J579*U579)*$M579, "")</f>
        <v>0</v>
      </c>
      <c r="AY579" s="292" t="n">
        <f aca="false">IFERROR(($J579*V579)*$M579, "")</f>
        <v>0</v>
      </c>
      <c r="AZ579" s="292" t="n">
        <f aca="false">IFERROR(($J579*W579)*$M579, "")</f>
        <v>0</v>
      </c>
      <c r="BA579" s="292" t="n">
        <f aca="false">IFERROR(($J579*X579)*$M579, "")</f>
        <v>0</v>
      </c>
      <c r="BB579" s="292" t="n">
        <f aca="false">IFERROR(($J579*Y579)*$M579, "")</f>
        <v>0</v>
      </c>
      <c r="BC579" s="293" t="n">
        <f aca="false">IFERROR(($J579*Z579)*$M579, "")</f>
        <v>0</v>
      </c>
      <c r="BD579" s="294" t="n">
        <f aca="false">IFERROR(SUMIF($AB$4:$AM$4, "RDEC", AR579:BC579), "")</f>
        <v>0</v>
      </c>
      <c r="BE579" s="294" t="n">
        <f aca="false">IFERROR(SUMIF($AB$4:$AM$4, "SME", AR579:BC579), "")</f>
        <v>0</v>
      </c>
      <c r="BF579" s="294" t="n">
        <f aca="false">IFERROR(SUMIF($AB$4:$AM$4, "De Minimis", AR579:BC579), "")</f>
        <v>0</v>
      </c>
      <c r="BG579" s="287"/>
      <c r="BH579" s="295" t="str">
        <f aca="false">IF((SUM(O579:Z579)&gt;1),"ERROR","")</f>
        <v/>
      </c>
      <c r="BI579" s="287"/>
      <c r="BJ579" s="18" t="str">
        <f aca="false">IF(C565&gt;0, C565, "")</f>
        <v/>
      </c>
      <c r="BL579" s="200"/>
      <c r="BM579" s="200"/>
      <c r="BN579" s="200"/>
    </row>
    <row r="580" customFormat="false" ht="15" hidden="false" customHeight="true" outlineLevel="0" collapsed="false">
      <c r="B580" s="296"/>
      <c r="D580" s="297" t="s">
        <v>82</v>
      </c>
      <c r="E580" s="298" t="n">
        <f aca="false">SUM(E568:E579)</f>
        <v>0</v>
      </c>
      <c r="F580" s="298" t="n">
        <f aca="false">SUM(F568:F579)</f>
        <v>0</v>
      </c>
      <c r="G580" s="298" t="n">
        <f aca="false">SUM(G568:G579)</f>
        <v>0</v>
      </c>
      <c r="H580" s="298" t="n">
        <f aca="false">SUM(H568:H579)</f>
        <v>0</v>
      </c>
      <c r="I580" s="298" t="n">
        <f aca="false">SUM(I568:I579)</f>
        <v>0</v>
      </c>
      <c r="J580" s="299" t="n">
        <f aca="false">SUM(J568:J579)</f>
        <v>0</v>
      </c>
      <c r="K580" s="300"/>
      <c r="L580" s="301" t="n">
        <f aca="false">AVERAGE(L568:L579)</f>
        <v>1</v>
      </c>
      <c r="M580" s="301" t="n">
        <f aca="false">AVERAGE(M568:M579)</f>
        <v>0</v>
      </c>
      <c r="N580" s="302"/>
      <c r="O580" s="290" t="n">
        <f aca="false">IF(SUM(O568:O579)&gt;0,((AB580+AR580)/J580),0)</f>
        <v>0</v>
      </c>
      <c r="P580" s="290" t="n">
        <f aca="false">IF(SUM(P568:P579)&gt;0,((AC580+AS580)/J580),0)</f>
        <v>0</v>
      </c>
      <c r="Q580" s="290" t="n">
        <f aca="false">IF(SUM(Q568:Q579)&gt;0,((AD580+AT580)/J580),0)</f>
        <v>0</v>
      </c>
      <c r="R580" s="290" t="n">
        <f aca="false">IF(SUM(R568:R579)&gt;0,((AE580+AU580)/J580),0)</f>
        <v>0</v>
      </c>
      <c r="S580" s="290" t="n">
        <f aca="false">IF(SUM(S568:S579)&gt;0,((AF580+AV580)/J580),0)</f>
        <v>0</v>
      </c>
      <c r="T580" s="290" t="n">
        <f aca="false">IF(SUM(T568:T579)&gt;0,((AG580+AW580)/J580),0)</f>
        <v>0</v>
      </c>
      <c r="U580" s="290" t="n">
        <f aca="false">IF(SUM(U568:U579)&gt;0,((AH580+AX580)/J580),0)</f>
        <v>0</v>
      </c>
      <c r="V580" s="290" t="n">
        <f aca="false">IF(SUM(V568:V579)&gt;0,((AI580+AY580)/J580),0)</f>
        <v>0</v>
      </c>
      <c r="W580" s="290" t="n">
        <f aca="false">IF(SUM(W568:W579)&gt;0,((AJ580+AZ580)/J580),0)</f>
        <v>0</v>
      </c>
      <c r="X580" s="290" t="n">
        <f aca="false">IF(SUM(X568:X579)&gt;0,((AK580+BA580)/J580),0)</f>
        <v>0</v>
      </c>
      <c r="Y580" s="290" t="n">
        <f aca="false">IF(SUM(Y568:Y579)&gt;0,((AL580+BB580)/J580),0)</f>
        <v>0</v>
      </c>
      <c r="Z580" s="290" t="n">
        <f aca="false">IF(SUM(Z568:Z579)&gt;0,((AM580+BC580)/J580),0)</f>
        <v>0</v>
      </c>
      <c r="AA580" s="303"/>
      <c r="AB580" s="292" t="n">
        <f aca="false">SUM(AB568:AB579)</f>
        <v>0</v>
      </c>
      <c r="AC580" s="304" t="n">
        <f aca="false">SUM(AC568:AC579)</f>
        <v>0</v>
      </c>
      <c r="AD580" s="304" t="n">
        <f aca="false">SUM(AD568:AD579)</f>
        <v>0</v>
      </c>
      <c r="AE580" s="304" t="n">
        <f aca="false">SUM(AE568:AE579)</f>
        <v>0</v>
      </c>
      <c r="AF580" s="304" t="n">
        <f aca="false">SUM(AF568:AF579)</f>
        <v>0</v>
      </c>
      <c r="AG580" s="304" t="n">
        <f aca="false">SUM(AG568:AG579)</f>
        <v>0</v>
      </c>
      <c r="AH580" s="304" t="n">
        <f aca="false">SUM(AH568:AH579)</f>
        <v>0</v>
      </c>
      <c r="AI580" s="304" t="n">
        <f aca="false">SUM(AI568:AI579)</f>
        <v>0</v>
      </c>
      <c r="AJ580" s="304" t="n">
        <f aca="false">SUM(AJ568:AJ579)</f>
        <v>0</v>
      </c>
      <c r="AK580" s="304" t="n">
        <f aca="false">SUM(AK568:AK579)</f>
        <v>0</v>
      </c>
      <c r="AL580" s="304" t="n">
        <f aca="false">SUM(AL568:AL579)</f>
        <v>0</v>
      </c>
      <c r="AM580" s="304" t="n">
        <f aca="false">SUM(AM568:AM579)</f>
        <v>0</v>
      </c>
      <c r="AN580" s="305" t="n">
        <f aca="false">SUM(AN568:AN579)</f>
        <v>0</v>
      </c>
      <c r="AO580" s="305" t="n">
        <f aca="false">SUM(AO568:AO579)</f>
        <v>0</v>
      </c>
      <c r="AP580" s="305" t="n">
        <f aca="false">SUM(AP568:AP579)</f>
        <v>0</v>
      </c>
      <c r="AQ580" s="303"/>
      <c r="AR580" s="292" t="n">
        <f aca="false">SUM(AR568:AR579)</f>
        <v>0</v>
      </c>
      <c r="AS580" s="304" t="n">
        <f aca="false">SUM(AS568:AS579)</f>
        <v>0</v>
      </c>
      <c r="AT580" s="304" t="n">
        <f aca="false">SUM(AT568:AT579)</f>
        <v>0</v>
      </c>
      <c r="AU580" s="304" t="n">
        <f aca="false">SUM(AU568:AU579)</f>
        <v>0</v>
      </c>
      <c r="AV580" s="304" t="n">
        <f aca="false">SUM(AV568:AV579)</f>
        <v>0</v>
      </c>
      <c r="AW580" s="304" t="n">
        <f aca="false">SUM(AW568:AW579)</f>
        <v>0</v>
      </c>
      <c r="AX580" s="304" t="n">
        <f aca="false">SUM(AX568:AX579)</f>
        <v>0</v>
      </c>
      <c r="AY580" s="304" t="n">
        <f aca="false">SUM(AY568:AY579)</f>
        <v>0</v>
      </c>
      <c r="AZ580" s="304" t="n">
        <f aca="false">SUM(AZ568:AZ579)</f>
        <v>0</v>
      </c>
      <c r="BA580" s="304" t="n">
        <f aca="false">SUM(BA568:BA579)</f>
        <v>0</v>
      </c>
      <c r="BB580" s="304" t="n">
        <f aca="false">SUM(BB568:BB579)</f>
        <v>0</v>
      </c>
      <c r="BC580" s="304" t="n">
        <f aca="false">SUM(BC568:BC579)</f>
        <v>0</v>
      </c>
      <c r="BD580" s="305" t="n">
        <f aca="false">SUM(BD568:BD579)</f>
        <v>0</v>
      </c>
      <c r="BE580" s="305" t="n">
        <f aca="false">SUM(BE568:BE579)</f>
        <v>0</v>
      </c>
      <c r="BF580" s="305" t="n">
        <f aca="false">SUM(BF568:BF579)</f>
        <v>0</v>
      </c>
      <c r="BG580" s="303"/>
      <c r="BH580" s="306"/>
      <c r="BI580" s="303"/>
      <c r="BJ580" s="307" t="str">
        <f aca="false">IF(C566&gt;0, C566, "")</f>
        <v>TBA</v>
      </c>
      <c r="BK580" s="18" t="s">
        <v>234</v>
      </c>
      <c r="BL580" s="200" t="n">
        <f aca="false">IF($BK580="Y",J580,0)</f>
        <v>0</v>
      </c>
      <c r="BM580" s="200" t="n">
        <f aca="false">IF(BK580="Y", AN580,0)</f>
        <v>0</v>
      </c>
      <c r="BN580" s="200" t="n">
        <f aca="false">IF((BK580="Y"),AO580,0)</f>
        <v>0</v>
      </c>
    </row>
    <row r="581" customFormat="false" ht="15" hidden="false" customHeight="true" outlineLevel="0" collapsed="false">
      <c r="B581" s="296"/>
      <c r="D581" s="297"/>
      <c r="E581" s="277"/>
      <c r="F581" s="277"/>
      <c r="G581" s="277"/>
      <c r="H581" s="277"/>
      <c r="I581" s="277"/>
      <c r="J581" s="300"/>
      <c r="K581" s="300"/>
      <c r="L581" s="302"/>
      <c r="M581" s="302"/>
      <c r="N581" s="302"/>
      <c r="O581" s="308"/>
      <c r="P581" s="308"/>
      <c r="Q581" s="308"/>
      <c r="R581" s="308"/>
      <c r="S581" s="308"/>
      <c r="T581" s="308"/>
      <c r="U581" s="308"/>
      <c r="V581" s="308"/>
      <c r="W581" s="308"/>
      <c r="X581" s="308"/>
      <c r="Y581" s="308"/>
      <c r="Z581" s="308"/>
      <c r="AA581" s="303"/>
      <c r="AB581" s="303"/>
      <c r="AC581" s="303"/>
      <c r="AD581" s="303"/>
      <c r="AE581" s="303"/>
      <c r="AF581" s="303"/>
      <c r="AG581" s="303"/>
      <c r="AH581" s="303"/>
      <c r="AI581" s="303"/>
      <c r="AJ581" s="303"/>
      <c r="AK581" s="303"/>
      <c r="AL581" s="303"/>
      <c r="AM581" s="303"/>
      <c r="AN581" s="303"/>
      <c r="AO581" s="303"/>
      <c r="AP581" s="303"/>
      <c r="AQ581" s="303"/>
      <c r="AR581" s="303"/>
      <c r="AS581" s="303"/>
      <c r="AT581" s="303"/>
      <c r="AU581" s="303"/>
      <c r="AV581" s="303"/>
      <c r="AW581" s="303"/>
      <c r="AX581" s="303"/>
      <c r="AY581" s="303"/>
      <c r="AZ581" s="303"/>
      <c r="BA581" s="303"/>
      <c r="BB581" s="303"/>
      <c r="BC581" s="303"/>
      <c r="BD581" s="303"/>
      <c r="BE581" s="303"/>
      <c r="BF581" s="303"/>
      <c r="BG581" s="303"/>
      <c r="BH581" s="303"/>
      <c r="BI581" s="303"/>
      <c r="BJ581" s="307" t="str">
        <f aca="false">IF(C568&gt;0, C568, "")</f>
        <v/>
      </c>
      <c r="BL581" s="200"/>
      <c r="BM581" s="200"/>
      <c r="BN581" s="200"/>
    </row>
    <row r="582" customFormat="false" ht="15" hidden="false" customHeight="true" outlineLevel="0" collapsed="false">
      <c r="A582" s="198" t="n">
        <f aca="false">A566+1</f>
        <v>37</v>
      </c>
      <c r="B582" s="266" t="s">
        <v>253</v>
      </c>
      <c r="C582" s="266" t="s">
        <v>253</v>
      </c>
      <c r="D582" s="267"/>
      <c r="E582" s="242"/>
      <c r="F582" s="242"/>
      <c r="G582" s="242"/>
      <c r="H582" s="242"/>
      <c r="I582" s="242"/>
      <c r="J582" s="241"/>
      <c r="K582" s="241"/>
      <c r="L582" s="241"/>
      <c r="M582" s="241"/>
      <c r="N582" s="241"/>
      <c r="O582" s="268"/>
      <c r="P582" s="268"/>
      <c r="Q582" s="268"/>
      <c r="R582" s="268"/>
      <c r="S582" s="268"/>
      <c r="T582" s="268"/>
      <c r="U582" s="268"/>
      <c r="V582" s="268"/>
      <c r="W582" s="268"/>
      <c r="X582" s="268"/>
      <c r="Y582" s="268"/>
      <c r="Z582" s="268"/>
      <c r="AA582" s="268"/>
      <c r="AB582" s="268"/>
      <c r="AC582" s="268"/>
      <c r="AD582" s="268"/>
      <c r="AE582" s="268"/>
      <c r="AF582" s="268"/>
      <c r="AG582" s="268"/>
      <c r="AH582" s="268"/>
      <c r="AI582" s="268"/>
      <c r="AJ582" s="268"/>
      <c r="AK582" s="268"/>
      <c r="AL582" s="268"/>
      <c r="AM582" s="268"/>
      <c r="AN582" s="268"/>
      <c r="AO582" s="268"/>
      <c r="AP582" s="268"/>
      <c r="AQ582" s="268"/>
      <c r="AR582" s="268"/>
      <c r="AS582" s="268"/>
      <c r="AT582" s="268"/>
      <c r="AU582" s="268"/>
      <c r="AV582" s="268"/>
      <c r="AW582" s="268"/>
      <c r="AX582" s="268"/>
      <c r="AY582" s="268"/>
      <c r="AZ582" s="268"/>
      <c r="BA582" s="268"/>
      <c r="BB582" s="268"/>
      <c r="BC582" s="268"/>
      <c r="BD582" s="268"/>
      <c r="BE582" s="268"/>
      <c r="BF582" s="268"/>
      <c r="BG582" s="268"/>
      <c r="BH582" s="268"/>
      <c r="BI582" s="268"/>
      <c r="BJ582" s="18" t="str">
        <f aca="false">IF(C569&gt;0, C569, "")</f>
        <v/>
      </c>
      <c r="BL582" s="200"/>
      <c r="BM582" s="200"/>
      <c r="BN582" s="200"/>
    </row>
    <row r="583" customFormat="false" ht="7.5" hidden="false" customHeight="true" outlineLevel="0" collapsed="false">
      <c r="A583" s="198"/>
      <c r="B583" s="266"/>
      <c r="C583" s="266"/>
      <c r="D583" s="267"/>
      <c r="E583" s="242"/>
      <c r="F583" s="242"/>
      <c r="G583" s="242"/>
      <c r="H583" s="242"/>
      <c r="I583" s="242"/>
      <c r="J583" s="241"/>
      <c r="K583" s="241"/>
      <c r="L583" s="269"/>
      <c r="M583" s="269"/>
      <c r="N583" s="270"/>
      <c r="O583" s="269"/>
      <c r="P583" s="269"/>
      <c r="Q583" s="269"/>
      <c r="R583" s="269"/>
      <c r="S583" s="269"/>
      <c r="T583" s="269"/>
      <c r="U583" s="269"/>
      <c r="V583" s="269"/>
      <c r="W583" s="269"/>
      <c r="X583" s="269"/>
      <c r="Y583" s="269"/>
      <c r="Z583" s="269"/>
      <c r="AA583" s="268"/>
      <c r="AB583" s="271"/>
      <c r="AC583" s="271"/>
      <c r="AD583" s="271"/>
      <c r="AE583" s="271"/>
      <c r="AF583" s="271"/>
      <c r="AG583" s="271"/>
      <c r="AH583" s="271"/>
      <c r="AI583" s="271"/>
      <c r="AJ583" s="271"/>
      <c r="AK583" s="271"/>
      <c r="AL583" s="271"/>
      <c r="AM583" s="272"/>
      <c r="AN583" s="273"/>
      <c r="AO583" s="273"/>
      <c r="AP583" s="273"/>
      <c r="AQ583" s="268"/>
      <c r="AR583" s="271"/>
      <c r="AS583" s="271"/>
      <c r="AT583" s="271"/>
      <c r="AU583" s="271"/>
      <c r="AV583" s="271"/>
      <c r="AW583" s="271"/>
      <c r="AX583" s="271"/>
      <c r="AY583" s="271"/>
      <c r="AZ583" s="271"/>
      <c r="BA583" s="271"/>
      <c r="BB583" s="271"/>
      <c r="BC583" s="272"/>
      <c r="BD583" s="273"/>
      <c r="BE583" s="273"/>
      <c r="BF583" s="273"/>
      <c r="BG583" s="268"/>
      <c r="BH583" s="274"/>
      <c r="BI583" s="268"/>
      <c r="BL583" s="200"/>
      <c r="BM583" s="200"/>
      <c r="BN583" s="200"/>
    </row>
    <row r="584" customFormat="false" ht="15" hidden="false" customHeight="true" outlineLevel="0" collapsed="false">
      <c r="B584" s="275"/>
      <c r="D584" s="276" t="n">
        <f aca="false">D568</f>
        <v>45292</v>
      </c>
      <c r="E584" s="277" t="n">
        <v>0</v>
      </c>
      <c r="F584" s="277" t="n">
        <v>0</v>
      </c>
      <c r="G584" s="277" t="n">
        <v>0</v>
      </c>
      <c r="H584" s="277" t="n">
        <v>0</v>
      </c>
      <c r="I584" s="277" t="n">
        <v>0</v>
      </c>
      <c r="J584" s="278" t="n">
        <f aca="false">E584+H584+I584</f>
        <v>0</v>
      </c>
      <c r="K584" s="204"/>
      <c r="L584" s="279" t="n">
        <v>1</v>
      </c>
      <c r="M584" s="280" t="n">
        <f aca="false">1-L584</f>
        <v>0</v>
      </c>
      <c r="N584" s="281"/>
      <c r="O584" s="282"/>
      <c r="P584" s="282"/>
      <c r="Q584" s="282"/>
      <c r="R584" s="282"/>
      <c r="S584" s="282"/>
      <c r="T584" s="282"/>
      <c r="U584" s="282"/>
      <c r="V584" s="282"/>
      <c r="W584" s="282"/>
      <c r="X584" s="282"/>
      <c r="Y584" s="282"/>
      <c r="Z584" s="282"/>
      <c r="AA584" s="283"/>
      <c r="AB584" s="284" t="n">
        <f aca="false">IFERROR(($J584*O584)*$L584, "")</f>
        <v>0</v>
      </c>
      <c r="AC584" s="284" t="n">
        <f aca="false">IFERROR(($J584*P584)*$L584, "")</f>
        <v>0</v>
      </c>
      <c r="AD584" s="284" t="n">
        <f aca="false">IFERROR(($J584*Q584)*$L584, "")</f>
        <v>0</v>
      </c>
      <c r="AE584" s="284" t="n">
        <f aca="false">IFERROR(($J584*R584)*$L584, "")</f>
        <v>0</v>
      </c>
      <c r="AF584" s="284" t="n">
        <f aca="false">IFERROR(($J584*S584)*$L584, "")</f>
        <v>0</v>
      </c>
      <c r="AG584" s="284" t="n">
        <f aca="false">IFERROR(($J584*T584)*$L584, "")</f>
        <v>0</v>
      </c>
      <c r="AH584" s="284" t="n">
        <f aca="false">IFERROR(($J584*U584)*$L584, "")</f>
        <v>0</v>
      </c>
      <c r="AI584" s="284" t="n">
        <f aca="false">IFERROR(($J584*V584)*$L584, "")</f>
        <v>0</v>
      </c>
      <c r="AJ584" s="284" t="n">
        <f aca="false">IFERROR(($J584*W584)*$L584, "")</f>
        <v>0</v>
      </c>
      <c r="AK584" s="284" t="n">
        <f aca="false">IFERROR(($J584*X584)*$L584, "")</f>
        <v>0</v>
      </c>
      <c r="AL584" s="284" t="n">
        <f aca="false">IFERROR(($J584*Y584)*$L584, "")</f>
        <v>0</v>
      </c>
      <c r="AM584" s="285" t="n">
        <f aca="false">IFERROR(($J584*Z584)*$L584, "")</f>
        <v>0</v>
      </c>
      <c r="AN584" s="286" t="n">
        <f aca="false">IFERROR(SUMIF($AB$4:$AM$4, "RDEC", AB584:AM584), "")</f>
        <v>0</v>
      </c>
      <c r="AO584" s="286" t="n">
        <f aca="false">IFERROR(SUMIF($AB$4:$AM$4, "SME", AB584:AM584), "")</f>
        <v>0</v>
      </c>
      <c r="AP584" s="286" t="n">
        <f aca="false">IFERROR(SUMIF($AB$4:$AM$4, "De Minimis", AB584:AM584), "")</f>
        <v>0</v>
      </c>
      <c r="AQ584" s="283"/>
      <c r="AR584" s="284" t="n">
        <f aca="false">IFERROR(($J584*O584)*$M584, "")</f>
        <v>0</v>
      </c>
      <c r="AS584" s="284" t="n">
        <f aca="false">IFERROR(($J584*P584)*$M584, "")</f>
        <v>0</v>
      </c>
      <c r="AT584" s="284" t="n">
        <f aca="false">IFERROR(($J584*Q584)*$M584, "")</f>
        <v>0</v>
      </c>
      <c r="AU584" s="284" t="n">
        <f aca="false">IFERROR(($J584*R584)*$M584, "")</f>
        <v>0</v>
      </c>
      <c r="AV584" s="284" t="n">
        <f aca="false">IFERROR(($J584*S584)*$M584, "")</f>
        <v>0</v>
      </c>
      <c r="AW584" s="284" t="n">
        <f aca="false">IFERROR(($J584*T584)*$M584, "")</f>
        <v>0</v>
      </c>
      <c r="AX584" s="284" t="n">
        <f aca="false">IFERROR(($J584*U584)*$M584, "")</f>
        <v>0</v>
      </c>
      <c r="AY584" s="284" t="n">
        <f aca="false">IFERROR(($J584*V584)*$M584, "")</f>
        <v>0</v>
      </c>
      <c r="AZ584" s="284" t="n">
        <f aca="false">IFERROR(($J584*W584)*$M584, "")</f>
        <v>0</v>
      </c>
      <c r="BA584" s="284" t="n">
        <f aca="false">IFERROR(($J584*X584)*$M584, "")</f>
        <v>0</v>
      </c>
      <c r="BB584" s="284" t="n">
        <f aca="false">IFERROR(($J584*Y584)*$M584, "")</f>
        <v>0</v>
      </c>
      <c r="BC584" s="285" t="n">
        <f aca="false">IFERROR(($J584*Z584)*$M584, "")</f>
        <v>0</v>
      </c>
      <c r="BD584" s="286" t="n">
        <f aca="false">IFERROR(SUMIF($AB$4:$AM$4, "RDEC", AR584:BC584), "")</f>
        <v>0</v>
      </c>
      <c r="BE584" s="286" t="n">
        <f aca="false">IFERROR(SUMIF($AB$4:$AM$4, "SME", AR584:BC584), "")</f>
        <v>0</v>
      </c>
      <c r="BF584" s="286" t="n">
        <f aca="false">IFERROR(SUMIF($AB$4:$AM$4, "De Minimis", AR584:BC584), "")</f>
        <v>0</v>
      </c>
      <c r="BG584" s="287"/>
      <c r="BH584" s="288" t="str">
        <f aca="false">IF((SUM(O584:Z584)&gt;1),"ERROR","")</f>
        <v/>
      </c>
      <c r="BI584" s="287"/>
      <c r="BJ584" s="18" t="str">
        <f aca="false">IF(C570&gt;0, C570, "")</f>
        <v/>
      </c>
      <c r="BL584" s="200"/>
      <c r="BM584" s="200"/>
      <c r="BN584" s="200"/>
    </row>
    <row r="585" customFormat="false" ht="15" hidden="false" customHeight="true" outlineLevel="0" collapsed="false">
      <c r="B585" s="275"/>
      <c r="D585" s="276" t="n">
        <f aca="false">D569</f>
        <v>45323</v>
      </c>
      <c r="E585" s="277" t="n">
        <v>0</v>
      </c>
      <c r="F585" s="277" t="n">
        <v>0</v>
      </c>
      <c r="G585" s="277" t="n">
        <v>0</v>
      </c>
      <c r="H585" s="277" t="n">
        <v>0</v>
      </c>
      <c r="I585" s="277" t="n">
        <v>0</v>
      </c>
      <c r="J585" s="278" t="n">
        <f aca="false">E585+H585+I585</f>
        <v>0</v>
      </c>
      <c r="K585" s="204"/>
      <c r="L585" s="279" t="n">
        <v>1</v>
      </c>
      <c r="M585" s="280" t="n">
        <f aca="false">1-L585</f>
        <v>0</v>
      </c>
      <c r="N585" s="281"/>
      <c r="O585" s="282"/>
      <c r="P585" s="282"/>
      <c r="Q585" s="282"/>
      <c r="R585" s="282"/>
      <c r="S585" s="282"/>
      <c r="T585" s="282"/>
      <c r="U585" s="282"/>
      <c r="V585" s="282"/>
      <c r="W585" s="282"/>
      <c r="X585" s="282"/>
      <c r="Y585" s="282"/>
      <c r="Z585" s="282"/>
      <c r="AA585" s="283"/>
      <c r="AB585" s="284" t="n">
        <f aca="false">IFERROR(($J585*O585)*$L585, "")</f>
        <v>0</v>
      </c>
      <c r="AC585" s="284" t="n">
        <f aca="false">IFERROR(($J585*P585)*$L585, "")</f>
        <v>0</v>
      </c>
      <c r="AD585" s="284" t="n">
        <f aca="false">IFERROR(($J585*Q585)*$L585, "")</f>
        <v>0</v>
      </c>
      <c r="AE585" s="284" t="n">
        <f aca="false">IFERROR(($J585*R585)*$L585, "")</f>
        <v>0</v>
      </c>
      <c r="AF585" s="284" t="n">
        <f aca="false">IFERROR(($J585*S585)*$L585, "")</f>
        <v>0</v>
      </c>
      <c r="AG585" s="284" t="n">
        <f aca="false">IFERROR(($J585*T585)*$L585, "")</f>
        <v>0</v>
      </c>
      <c r="AH585" s="284" t="n">
        <f aca="false">IFERROR(($J585*U585)*$L585, "")</f>
        <v>0</v>
      </c>
      <c r="AI585" s="284" t="n">
        <f aca="false">IFERROR(($J585*V585)*$L585, "")</f>
        <v>0</v>
      </c>
      <c r="AJ585" s="284" t="n">
        <f aca="false">IFERROR(($J585*W585)*$L585, "")</f>
        <v>0</v>
      </c>
      <c r="AK585" s="284" t="n">
        <f aca="false">IFERROR(($J585*X585)*$L585, "")</f>
        <v>0</v>
      </c>
      <c r="AL585" s="284" t="n">
        <f aca="false">IFERROR(($J585*Y585)*$L585, "")</f>
        <v>0</v>
      </c>
      <c r="AM585" s="285" t="n">
        <f aca="false">IFERROR(($J585*Z585)*$L585, "")</f>
        <v>0</v>
      </c>
      <c r="AN585" s="286" t="n">
        <f aca="false">IFERROR(SUMIF($AB$4:$AM$4, "RDEC", AB585:AM585), "")</f>
        <v>0</v>
      </c>
      <c r="AO585" s="286" t="n">
        <f aca="false">IFERROR(SUMIF($AB$4:$AM$4, "SME", AB585:AM585), "")</f>
        <v>0</v>
      </c>
      <c r="AP585" s="286" t="n">
        <f aca="false">IFERROR(SUMIF($AB$4:$AM$4, "De Minimis", AB585:AM585), "")</f>
        <v>0</v>
      </c>
      <c r="AQ585" s="283"/>
      <c r="AR585" s="284" t="n">
        <f aca="false">IFERROR(($J585*O585)*$M585, "")</f>
        <v>0</v>
      </c>
      <c r="AS585" s="284" t="n">
        <f aca="false">IFERROR(($J585*P585)*$M585, "")</f>
        <v>0</v>
      </c>
      <c r="AT585" s="284" t="n">
        <f aca="false">IFERROR(($J585*Q585)*$M585, "")</f>
        <v>0</v>
      </c>
      <c r="AU585" s="284" t="n">
        <f aca="false">IFERROR(($J585*R585)*$M585, "")</f>
        <v>0</v>
      </c>
      <c r="AV585" s="284" t="n">
        <f aca="false">IFERROR(($J585*S585)*$M585, "")</f>
        <v>0</v>
      </c>
      <c r="AW585" s="284" t="n">
        <f aca="false">IFERROR(($J585*T585)*$M585, "")</f>
        <v>0</v>
      </c>
      <c r="AX585" s="284" t="n">
        <f aca="false">IFERROR(($J585*U585)*$M585, "")</f>
        <v>0</v>
      </c>
      <c r="AY585" s="284" t="n">
        <f aca="false">IFERROR(($J585*V585)*$M585, "")</f>
        <v>0</v>
      </c>
      <c r="AZ585" s="284" t="n">
        <f aca="false">IFERROR(($J585*W585)*$M585, "")</f>
        <v>0</v>
      </c>
      <c r="BA585" s="284" t="n">
        <f aca="false">IFERROR(($J585*X585)*$M585, "")</f>
        <v>0</v>
      </c>
      <c r="BB585" s="284" t="n">
        <f aca="false">IFERROR(($J585*Y585)*$M585, "")</f>
        <v>0</v>
      </c>
      <c r="BC585" s="285" t="n">
        <f aca="false">IFERROR(($J585*Z585)*$M585, "")</f>
        <v>0</v>
      </c>
      <c r="BD585" s="286" t="n">
        <f aca="false">IFERROR(SUMIF($AB$4:$AM$4, "RDEC", AR585:BC585), "")</f>
        <v>0</v>
      </c>
      <c r="BE585" s="286" t="n">
        <f aca="false">IFERROR(SUMIF($AB$4:$AM$4, "SME", AR585:BC585), "")</f>
        <v>0</v>
      </c>
      <c r="BF585" s="286" t="n">
        <f aca="false">IFERROR(SUMIF($AB$4:$AM$4, "De Minimis", AR585:BC585), "")</f>
        <v>0</v>
      </c>
      <c r="BG585" s="287"/>
      <c r="BH585" s="288" t="str">
        <f aca="false">IF((SUM(O585:Z585)&gt;1),"ERROR","")</f>
        <v/>
      </c>
      <c r="BI585" s="287"/>
      <c r="BJ585" s="18" t="str">
        <f aca="false">IF(C571&gt;0, C571, "")</f>
        <v/>
      </c>
      <c r="BL585" s="200"/>
      <c r="BM585" s="200"/>
      <c r="BN585" s="200"/>
    </row>
    <row r="586" customFormat="false" ht="15" hidden="false" customHeight="true" outlineLevel="0" collapsed="false">
      <c r="B586" s="275"/>
      <c r="D586" s="276" t="n">
        <f aca="false">D570</f>
        <v>45352</v>
      </c>
      <c r="E586" s="277" t="n">
        <v>0</v>
      </c>
      <c r="F586" s="277" t="n">
        <v>0</v>
      </c>
      <c r="G586" s="277" t="n">
        <v>0</v>
      </c>
      <c r="H586" s="277" t="n">
        <v>0</v>
      </c>
      <c r="I586" s="277" t="n">
        <v>0</v>
      </c>
      <c r="J586" s="278" t="n">
        <f aca="false">E586+H586+I586</f>
        <v>0</v>
      </c>
      <c r="K586" s="204"/>
      <c r="L586" s="279" t="n">
        <v>1</v>
      </c>
      <c r="M586" s="280" t="n">
        <f aca="false">1-L586</f>
        <v>0</v>
      </c>
      <c r="N586" s="281"/>
      <c r="O586" s="282"/>
      <c r="P586" s="282"/>
      <c r="Q586" s="282"/>
      <c r="R586" s="282"/>
      <c r="S586" s="282"/>
      <c r="T586" s="282"/>
      <c r="U586" s="282"/>
      <c r="V586" s="282"/>
      <c r="W586" s="282"/>
      <c r="X586" s="282"/>
      <c r="Y586" s="282"/>
      <c r="Z586" s="282"/>
      <c r="AA586" s="283"/>
      <c r="AB586" s="284" t="n">
        <f aca="false">IFERROR(($J586*O586)*$L586, "")</f>
        <v>0</v>
      </c>
      <c r="AC586" s="284" t="n">
        <f aca="false">IFERROR(($J586*P586)*$L586, "")</f>
        <v>0</v>
      </c>
      <c r="AD586" s="284" t="n">
        <f aca="false">IFERROR(($J586*Q586)*$L586, "")</f>
        <v>0</v>
      </c>
      <c r="AE586" s="284" t="n">
        <f aca="false">IFERROR(($J586*R586)*$L586, "")</f>
        <v>0</v>
      </c>
      <c r="AF586" s="284" t="n">
        <f aca="false">IFERROR(($J586*S586)*$L586, "")</f>
        <v>0</v>
      </c>
      <c r="AG586" s="284" t="n">
        <f aca="false">IFERROR(($J586*T586)*$L586, "")</f>
        <v>0</v>
      </c>
      <c r="AH586" s="284" t="n">
        <f aca="false">IFERROR(($J586*U586)*$L586, "")</f>
        <v>0</v>
      </c>
      <c r="AI586" s="284" t="n">
        <f aca="false">IFERROR(($J586*V586)*$L586, "")</f>
        <v>0</v>
      </c>
      <c r="AJ586" s="284" t="n">
        <f aca="false">IFERROR(($J586*W586)*$L586, "")</f>
        <v>0</v>
      </c>
      <c r="AK586" s="284" t="n">
        <f aca="false">IFERROR(($J586*X586)*$L586, "")</f>
        <v>0</v>
      </c>
      <c r="AL586" s="284" t="n">
        <f aca="false">IFERROR(($J586*Y586)*$L586, "")</f>
        <v>0</v>
      </c>
      <c r="AM586" s="285" t="n">
        <f aca="false">IFERROR(($J586*Z586)*$L586, "")</f>
        <v>0</v>
      </c>
      <c r="AN586" s="286" t="n">
        <f aca="false">IFERROR(SUMIF($AB$4:$AM$4, "RDEC", AB586:AM586), "")</f>
        <v>0</v>
      </c>
      <c r="AO586" s="286" t="n">
        <f aca="false">IFERROR(SUMIF($AB$4:$AM$4, "SME", AB586:AM586), "")</f>
        <v>0</v>
      </c>
      <c r="AP586" s="286" t="n">
        <f aca="false">IFERROR(SUMIF($AB$4:$AM$4, "De Minimis", AB586:AM586), "")</f>
        <v>0</v>
      </c>
      <c r="AQ586" s="283"/>
      <c r="AR586" s="284" t="n">
        <f aca="false">IFERROR(($J586*O586)*$M586, "")</f>
        <v>0</v>
      </c>
      <c r="AS586" s="284" t="n">
        <f aca="false">IFERROR(($J586*P586)*$M586, "")</f>
        <v>0</v>
      </c>
      <c r="AT586" s="284" t="n">
        <f aca="false">IFERROR(($J586*Q586)*$M586, "")</f>
        <v>0</v>
      </c>
      <c r="AU586" s="284" t="n">
        <f aca="false">IFERROR(($J586*R586)*$M586, "")</f>
        <v>0</v>
      </c>
      <c r="AV586" s="284" t="n">
        <f aca="false">IFERROR(($J586*S586)*$M586, "")</f>
        <v>0</v>
      </c>
      <c r="AW586" s="284" t="n">
        <f aca="false">IFERROR(($J586*T586)*$M586, "")</f>
        <v>0</v>
      </c>
      <c r="AX586" s="284" t="n">
        <f aca="false">IFERROR(($J586*U586)*$M586, "")</f>
        <v>0</v>
      </c>
      <c r="AY586" s="284" t="n">
        <f aca="false">IFERROR(($J586*V586)*$M586, "")</f>
        <v>0</v>
      </c>
      <c r="AZ586" s="284" t="n">
        <f aca="false">IFERROR(($J586*W586)*$M586, "")</f>
        <v>0</v>
      </c>
      <c r="BA586" s="284" t="n">
        <f aca="false">IFERROR(($J586*X586)*$M586, "")</f>
        <v>0</v>
      </c>
      <c r="BB586" s="284" t="n">
        <f aca="false">IFERROR(($J586*Y586)*$M586, "")</f>
        <v>0</v>
      </c>
      <c r="BC586" s="285" t="n">
        <f aca="false">IFERROR(($J586*Z586)*$M586, "")</f>
        <v>0</v>
      </c>
      <c r="BD586" s="286" t="n">
        <f aca="false">IFERROR(SUMIF($AB$4:$AM$4, "RDEC", AR586:BC586), "")</f>
        <v>0</v>
      </c>
      <c r="BE586" s="286" t="n">
        <f aca="false">IFERROR(SUMIF($AB$4:$AM$4, "SME", AR586:BC586), "")</f>
        <v>0</v>
      </c>
      <c r="BF586" s="286" t="n">
        <f aca="false">IFERROR(SUMIF($AB$4:$AM$4, "De Minimis", AR586:BC586), "")</f>
        <v>0</v>
      </c>
      <c r="BG586" s="287"/>
      <c r="BH586" s="288" t="str">
        <f aca="false">IF((SUM(O586:Z586)&gt;1),"ERROR","")</f>
        <v/>
      </c>
      <c r="BI586" s="287"/>
      <c r="BJ586" s="18" t="str">
        <f aca="false">IF(C572&gt;0, C572, "")</f>
        <v/>
      </c>
      <c r="BL586" s="200"/>
      <c r="BM586" s="200"/>
      <c r="BN586" s="200"/>
    </row>
    <row r="587" customFormat="false" ht="15" hidden="false" customHeight="true" outlineLevel="0" collapsed="false">
      <c r="B587" s="275"/>
      <c r="D587" s="276" t="n">
        <f aca="false">D571</f>
        <v>45383</v>
      </c>
      <c r="E587" s="277" t="n">
        <v>0</v>
      </c>
      <c r="F587" s="277" t="n">
        <v>0</v>
      </c>
      <c r="G587" s="277" t="n">
        <v>0</v>
      </c>
      <c r="H587" s="277" t="n">
        <v>0</v>
      </c>
      <c r="I587" s="277" t="n">
        <v>0</v>
      </c>
      <c r="J587" s="278" t="n">
        <f aca="false">E587+H587+I587</f>
        <v>0</v>
      </c>
      <c r="K587" s="204"/>
      <c r="L587" s="279" t="n">
        <v>1</v>
      </c>
      <c r="M587" s="280" t="n">
        <f aca="false">1-L587</f>
        <v>0</v>
      </c>
      <c r="N587" s="281"/>
      <c r="O587" s="282"/>
      <c r="P587" s="282"/>
      <c r="Q587" s="282"/>
      <c r="R587" s="282"/>
      <c r="S587" s="282"/>
      <c r="T587" s="282"/>
      <c r="U587" s="282"/>
      <c r="V587" s="282"/>
      <c r="W587" s="282"/>
      <c r="X587" s="282"/>
      <c r="Y587" s="282"/>
      <c r="Z587" s="282"/>
      <c r="AA587" s="283"/>
      <c r="AB587" s="284" t="n">
        <f aca="false">IFERROR(($J587*O587)*$L587, "")</f>
        <v>0</v>
      </c>
      <c r="AC587" s="284" t="n">
        <f aca="false">IFERROR(($J587*P587)*$L587, "")</f>
        <v>0</v>
      </c>
      <c r="AD587" s="284" t="n">
        <f aca="false">IFERROR(($J587*Q587)*$L587, "")</f>
        <v>0</v>
      </c>
      <c r="AE587" s="284" t="n">
        <f aca="false">IFERROR(($J587*R587)*$L587, "")</f>
        <v>0</v>
      </c>
      <c r="AF587" s="284" t="n">
        <f aca="false">IFERROR(($J587*S587)*$L587, "")</f>
        <v>0</v>
      </c>
      <c r="AG587" s="284" t="n">
        <f aca="false">IFERROR(($J587*T587)*$L587, "")</f>
        <v>0</v>
      </c>
      <c r="AH587" s="284" t="n">
        <f aca="false">IFERROR(($J587*U587)*$L587, "")</f>
        <v>0</v>
      </c>
      <c r="AI587" s="284" t="n">
        <f aca="false">IFERROR(($J587*V587)*$L587, "")</f>
        <v>0</v>
      </c>
      <c r="AJ587" s="284" t="n">
        <f aca="false">IFERROR(($J587*W587)*$L587, "")</f>
        <v>0</v>
      </c>
      <c r="AK587" s="284" t="n">
        <f aca="false">IFERROR(($J587*X587)*$L587, "")</f>
        <v>0</v>
      </c>
      <c r="AL587" s="284" t="n">
        <f aca="false">IFERROR(($J587*Y587)*$L587, "")</f>
        <v>0</v>
      </c>
      <c r="AM587" s="285" t="n">
        <f aca="false">IFERROR(($J587*Z587)*$L587, "")</f>
        <v>0</v>
      </c>
      <c r="AN587" s="286" t="n">
        <f aca="false">IFERROR(SUMIF($AB$4:$AM$4, "RDEC", AB587:AM587), "")</f>
        <v>0</v>
      </c>
      <c r="AO587" s="286" t="n">
        <f aca="false">IFERROR(SUMIF($AB$4:$AM$4, "SME", AB587:AM587), "")</f>
        <v>0</v>
      </c>
      <c r="AP587" s="286" t="n">
        <f aca="false">IFERROR(SUMIF($AB$4:$AM$4, "De Minimis", AB587:AM587), "")</f>
        <v>0</v>
      </c>
      <c r="AQ587" s="283"/>
      <c r="AR587" s="284" t="n">
        <f aca="false">IFERROR(($J587*O587)*$M587, "")</f>
        <v>0</v>
      </c>
      <c r="AS587" s="284" t="n">
        <f aca="false">IFERROR(($J587*P587)*$M587, "")</f>
        <v>0</v>
      </c>
      <c r="AT587" s="284" t="n">
        <f aca="false">IFERROR(($J587*Q587)*$M587, "")</f>
        <v>0</v>
      </c>
      <c r="AU587" s="284" t="n">
        <f aca="false">IFERROR(($J587*R587)*$M587, "")</f>
        <v>0</v>
      </c>
      <c r="AV587" s="284" t="n">
        <f aca="false">IFERROR(($J587*S587)*$M587, "")</f>
        <v>0</v>
      </c>
      <c r="AW587" s="284" t="n">
        <f aca="false">IFERROR(($J587*T587)*$M587, "")</f>
        <v>0</v>
      </c>
      <c r="AX587" s="284" t="n">
        <f aca="false">IFERROR(($J587*U587)*$M587, "")</f>
        <v>0</v>
      </c>
      <c r="AY587" s="284" t="n">
        <f aca="false">IFERROR(($J587*V587)*$M587, "")</f>
        <v>0</v>
      </c>
      <c r="AZ587" s="284" t="n">
        <f aca="false">IFERROR(($J587*W587)*$M587, "")</f>
        <v>0</v>
      </c>
      <c r="BA587" s="284" t="n">
        <f aca="false">IFERROR(($J587*X587)*$M587, "")</f>
        <v>0</v>
      </c>
      <c r="BB587" s="284" t="n">
        <f aca="false">IFERROR(($J587*Y587)*$M587, "")</f>
        <v>0</v>
      </c>
      <c r="BC587" s="285" t="n">
        <f aca="false">IFERROR(($J587*Z587)*$M587, "")</f>
        <v>0</v>
      </c>
      <c r="BD587" s="286" t="n">
        <f aca="false">IFERROR(SUMIF($AB$4:$AM$4, "RDEC", AR587:BC587), "")</f>
        <v>0</v>
      </c>
      <c r="BE587" s="286" t="n">
        <f aca="false">IFERROR(SUMIF($AB$4:$AM$4, "SME", AR587:BC587), "")</f>
        <v>0</v>
      </c>
      <c r="BF587" s="286" t="n">
        <f aca="false">IFERROR(SUMIF($AB$4:$AM$4, "De Minimis", AR587:BC587), "")</f>
        <v>0</v>
      </c>
      <c r="BG587" s="287"/>
      <c r="BH587" s="288" t="str">
        <f aca="false">IF((SUM(O587:Z587)&gt;1),"ERROR","")</f>
        <v/>
      </c>
      <c r="BI587" s="287"/>
      <c r="BJ587" s="18" t="str">
        <f aca="false">IF(C573&gt;0, C573, "")</f>
        <v/>
      </c>
      <c r="BL587" s="200"/>
      <c r="BM587" s="200"/>
      <c r="BN587" s="200"/>
    </row>
    <row r="588" customFormat="false" ht="15" hidden="false" customHeight="true" outlineLevel="0" collapsed="false">
      <c r="B588" s="275"/>
      <c r="D588" s="276" t="n">
        <f aca="false">D572</f>
        <v>45413</v>
      </c>
      <c r="E588" s="277" t="n">
        <v>0</v>
      </c>
      <c r="F588" s="277" t="n">
        <v>0</v>
      </c>
      <c r="G588" s="277" t="n">
        <v>0</v>
      </c>
      <c r="H588" s="277" t="n">
        <v>0</v>
      </c>
      <c r="I588" s="277" t="n">
        <v>0</v>
      </c>
      <c r="J588" s="278" t="n">
        <f aca="false">E588+H588+I588</f>
        <v>0</v>
      </c>
      <c r="K588" s="204"/>
      <c r="L588" s="279" t="n">
        <v>1</v>
      </c>
      <c r="M588" s="280" t="n">
        <f aca="false">1-L588</f>
        <v>0</v>
      </c>
      <c r="N588" s="281"/>
      <c r="O588" s="282"/>
      <c r="P588" s="282"/>
      <c r="Q588" s="282"/>
      <c r="R588" s="282"/>
      <c r="S588" s="282"/>
      <c r="T588" s="282"/>
      <c r="U588" s="282"/>
      <c r="V588" s="282"/>
      <c r="W588" s="282"/>
      <c r="X588" s="282"/>
      <c r="Y588" s="282"/>
      <c r="Z588" s="282"/>
      <c r="AA588" s="283"/>
      <c r="AB588" s="284" t="n">
        <f aca="false">IFERROR(($J588*O588)*$L588, "")</f>
        <v>0</v>
      </c>
      <c r="AC588" s="284" t="n">
        <f aca="false">IFERROR(($J588*P588)*$L588, "")</f>
        <v>0</v>
      </c>
      <c r="AD588" s="284" t="n">
        <f aca="false">IFERROR(($J588*Q588)*$L588, "")</f>
        <v>0</v>
      </c>
      <c r="AE588" s="284" t="n">
        <f aca="false">IFERROR(($J588*R588)*$L588, "")</f>
        <v>0</v>
      </c>
      <c r="AF588" s="284" t="n">
        <f aca="false">IFERROR(($J588*S588)*$L588, "")</f>
        <v>0</v>
      </c>
      <c r="AG588" s="284" t="n">
        <f aca="false">IFERROR(($J588*T588)*$L588, "")</f>
        <v>0</v>
      </c>
      <c r="AH588" s="284" t="n">
        <f aca="false">IFERROR(($J588*U588)*$L588, "")</f>
        <v>0</v>
      </c>
      <c r="AI588" s="284" t="n">
        <f aca="false">IFERROR(($J588*V588)*$L588, "")</f>
        <v>0</v>
      </c>
      <c r="AJ588" s="284" t="n">
        <f aca="false">IFERROR(($J588*W588)*$L588, "")</f>
        <v>0</v>
      </c>
      <c r="AK588" s="284" t="n">
        <f aca="false">IFERROR(($J588*X588)*$L588, "")</f>
        <v>0</v>
      </c>
      <c r="AL588" s="284" t="n">
        <f aca="false">IFERROR(($J588*Y588)*$L588, "")</f>
        <v>0</v>
      </c>
      <c r="AM588" s="285" t="n">
        <f aca="false">IFERROR(($J588*Z588)*$L588, "")</f>
        <v>0</v>
      </c>
      <c r="AN588" s="286" t="n">
        <f aca="false">IFERROR(SUMIF($AB$4:$AM$4, "RDEC", AB588:AM588), "")</f>
        <v>0</v>
      </c>
      <c r="AO588" s="286" t="n">
        <f aca="false">IFERROR(SUMIF($AB$4:$AM$4, "SME", AB588:AM588), "")</f>
        <v>0</v>
      </c>
      <c r="AP588" s="286" t="n">
        <f aca="false">IFERROR(SUMIF($AB$4:$AM$4, "De Minimis", AB588:AM588), "")</f>
        <v>0</v>
      </c>
      <c r="AQ588" s="283"/>
      <c r="AR588" s="284" t="n">
        <f aca="false">IFERROR(($J588*O588)*$M588, "")</f>
        <v>0</v>
      </c>
      <c r="AS588" s="284" t="n">
        <f aca="false">IFERROR(($J588*P588)*$M588, "")</f>
        <v>0</v>
      </c>
      <c r="AT588" s="284" t="n">
        <f aca="false">IFERROR(($J588*Q588)*$M588, "")</f>
        <v>0</v>
      </c>
      <c r="AU588" s="284" t="n">
        <f aca="false">IFERROR(($J588*R588)*$M588, "")</f>
        <v>0</v>
      </c>
      <c r="AV588" s="284" t="n">
        <f aca="false">IFERROR(($J588*S588)*$M588, "")</f>
        <v>0</v>
      </c>
      <c r="AW588" s="284" t="n">
        <f aca="false">IFERROR(($J588*T588)*$M588, "")</f>
        <v>0</v>
      </c>
      <c r="AX588" s="284" t="n">
        <f aca="false">IFERROR(($J588*U588)*$M588, "")</f>
        <v>0</v>
      </c>
      <c r="AY588" s="284" t="n">
        <f aca="false">IFERROR(($J588*V588)*$M588, "")</f>
        <v>0</v>
      </c>
      <c r="AZ588" s="284" t="n">
        <f aca="false">IFERROR(($J588*W588)*$M588, "")</f>
        <v>0</v>
      </c>
      <c r="BA588" s="284" t="n">
        <f aca="false">IFERROR(($J588*X588)*$M588, "")</f>
        <v>0</v>
      </c>
      <c r="BB588" s="284" t="n">
        <f aca="false">IFERROR(($J588*Y588)*$M588, "")</f>
        <v>0</v>
      </c>
      <c r="BC588" s="285" t="n">
        <f aca="false">IFERROR(($J588*Z588)*$M588, "")</f>
        <v>0</v>
      </c>
      <c r="BD588" s="286" t="n">
        <f aca="false">IFERROR(SUMIF($AB$4:$AM$4, "RDEC", AR588:BC588), "")</f>
        <v>0</v>
      </c>
      <c r="BE588" s="286" t="n">
        <f aca="false">IFERROR(SUMIF($AB$4:$AM$4, "SME", AR588:BC588), "")</f>
        <v>0</v>
      </c>
      <c r="BF588" s="286" t="n">
        <f aca="false">IFERROR(SUMIF($AB$4:$AM$4, "De Minimis", AR588:BC588), "")</f>
        <v>0</v>
      </c>
      <c r="BG588" s="287"/>
      <c r="BH588" s="288" t="str">
        <f aca="false">IF((SUM(O588:Z588)&gt;1),"ERROR","")</f>
        <v/>
      </c>
      <c r="BI588" s="287"/>
      <c r="BJ588" s="18" t="str">
        <f aca="false">IF(C574&gt;0, C574, "")</f>
        <v/>
      </c>
      <c r="BL588" s="200"/>
      <c r="BM588" s="200"/>
      <c r="BN588" s="200"/>
    </row>
    <row r="589" customFormat="false" ht="15" hidden="false" customHeight="true" outlineLevel="0" collapsed="false">
      <c r="B589" s="275"/>
      <c r="D589" s="276" t="n">
        <f aca="false">D573</f>
        <v>45444</v>
      </c>
      <c r="E589" s="277" t="n">
        <v>0</v>
      </c>
      <c r="F589" s="277" t="n">
        <v>0</v>
      </c>
      <c r="G589" s="277" t="n">
        <v>0</v>
      </c>
      <c r="H589" s="277" t="n">
        <v>0</v>
      </c>
      <c r="I589" s="277" t="n">
        <v>0</v>
      </c>
      <c r="J589" s="278" t="n">
        <f aca="false">E589+H589+I589</f>
        <v>0</v>
      </c>
      <c r="K589" s="204"/>
      <c r="L589" s="279" t="n">
        <v>1</v>
      </c>
      <c r="M589" s="280" t="n">
        <f aca="false">1-L589</f>
        <v>0</v>
      </c>
      <c r="N589" s="281"/>
      <c r="O589" s="282"/>
      <c r="P589" s="282"/>
      <c r="Q589" s="282"/>
      <c r="R589" s="282"/>
      <c r="S589" s="282"/>
      <c r="T589" s="282"/>
      <c r="U589" s="282"/>
      <c r="V589" s="282"/>
      <c r="W589" s="282"/>
      <c r="X589" s="282"/>
      <c r="Y589" s="282"/>
      <c r="Z589" s="282"/>
      <c r="AA589" s="283"/>
      <c r="AB589" s="284" t="n">
        <f aca="false">IFERROR(($J589*O589)*$L589, "")</f>
        <v>0</v>
      </c>
      <c r="AC589" s="284" t="n">
        <f aca="false">IFERROR(($J589*P589)*$L589, "")</f>
        <v>0</v>
      </c>
      <c r="AD589" s="284" t="n">
        <f aca="false">IFERROR(($J589*Q589)*$L589, "")</f>
        <v>0</v>
      </c>
      <c r="AE589" s="284" t="n">
        <f aca="false">IFERROR(($J589*R589)*$L589, "")</f>
        <v>0</v>
      </c>
      <c r="AF589" s="284" t="n">
        <f aca="false">IFERROR(($J589*S589)*$L589, "")</f>
        <v>0</v>
      </c>
      <c r="AG589" s="284" t="n">
        <f aca="false">IFERROR(($J589*T589)*$L589, "")</f>
        <v>0</v>
      </c>
      <c r="AH589" s="284" t="n">
        <f aca="false">IFERROR(($J589*U589)*$L589, "")</f>
        <v>0</v>
      </c>
      <c r="AI589" s="284" t="n">
        <f aca="false">IFERROR(($J589*V589)*$L589, "")</f>
        <v>0</v>
      </c>
      <c r="AJ589" s="284" t="n">
        <f aca="false">IFERROR(($J589*W589)*$L589, "")</f>
        <v>0</v>
      </c>
      <c r="AK589" s="284" t="n">
        <f aca="false">IFERROR(($J589*X589)*$L589, "")</f>
        <v>0</v>
      </c>
      <c r="AL589" s="284" t="n">
        <f aca="false">IFERROR(($J589*Y589)*$L589, "")</f>
        <v>0</v>
      </c>
      <c r="AM589" s="285" t="n">
        <f aca="false">IFERROR(($J589*Z589)*$L589, "")</f>
        <v>0</v>
      </c>
      <c r="AN589" s="286" t="n">
        <f aca="false">IFERROR(SUMIF($AB$4:$AM$4, "RDEC", AB589:AM589), "")</f>
        <v>0</v>
      </c>
      <c r="AO589" s="286" t="n">
        <f aca="false">IFERROR(SUMIF($AB$4:$AM$4, "SME", AB589:AM589), "")</f>
        <v>0</v>
      </c>
      <c r="AP589" s="286" t="n">
        <f aca="false">IFERROR(SUMIF($AB$4:$AM$4, "De Minimis", AB589:AM589), "")</f>
        <v>0</v>
      </c>
      <c r="AQ589" s="283"/>
      <c r="AR589" s="284" t="n">
        <f aca="false">IFERROR(($J589*O589)*$M589, "")</f>
        <v>0</v>
      </c>
      <c r="AS589" s="284" t="n">
        <f aca="false">IFERROR(($J589*P589)*$M589, "")</f>
        <v>0</v>
      </c>
      <c r="AT589" s="284" t="n">
        <f aca="false">IFERROR(($J589*Q589)*$M589, "")</f>
        <v>0</v>
      </c>
      <c r="AU589" s="284" t="n">
        <f aca="false">IFERROR(($J589*R589)*$M589, "")</f>
        <v>0</v>
      </c>
      <c r="AV589" s="284" t="n">
        <f aca="false">IFERROR(($J589*S589)*$M589, "")</f>
        <v>0</v>
      </c>
      <c r="AW589" s="284" t="n">
        <f aca="false">IFERROR(($J589*T589)*$M589, "")</f>
        <v>0</v>
      </c>
      <c r="AX589" s="284" t="n">
        <f aca="false">IFERROR(($J589*U589)*$M589, "")</f>
        <v>0</v>
      </c>
      <c r="AY589" s="284" t="n">
        <f aca="false">IFERROR(($J589*V589)*$M589, "")</f>
        <v>0</v>
      </c>
      <c r="AZ589" s="284" t="n">
        <f aca="false">IFERROR(($J589*W589)*$M589, "")</f>
        <v>0</v>
      </c>
      <c r="BA589" s="284" t="n">
        <f aca="false">IFERROR(($J589*X589)*$M589, "")</f>
        <v>0</v>
      </c>
      <c r="BB589" s="284" t="n">
        <f aca="false">IFERROR(($J589*Y589)*$M589, "")</f>
        <v>0</v>
      </c>
      <c r="BC589" s="285" t="n">
        <f aca="false">IFERROR(($J589*Z589)*$M589, "")</f>
        <v>0</v>
      </c>
      <c r="BD589" s="286" t="n">
        <f aca="false">IFERROR(SUMIF($AB$4:$AM$4, "RDEC", AR589:BC589), "")</f>
        <v>0</v>
      </c>
      <c r="BE589" s="286" t="n">
        <f aca="false">IFERROR(SUMIF($AB$4:$AM$4, "SME", AR589:BC589), "")</f>
        <v>0</v>
      </c>
      <c r="BF589" s="286" t="n">
        <f aca="false">IFERROR(SUMIF($AB$4:$AM$4, "De Minimis", AR589:BC589), "")</f>
        <v>0</v>
      </c>
      <c r="BG589" s="287"/>
      <c r="BH589" s="288" t="str">
        <f aca="false">IF((SUM(O589:Z589)&gt;1),"ERROR","")</f>
        <v/>
      </c>
      <c r="BI589" s="287"/>
      <c r="BJ589" s="18" t="str">
        <f aca="false">IF(C575&gt;0, C575, "")</f>
        <v/>
      </c>
      <c r="BL589" s="200"/>
      <c r="BM589" s="200"/>
      <c r="BN589" s="200"/>
    </row>
    <row r="590" customFormat="false" ht="15" hidden="false" customHeight="true" outlineLevel="0" collapsed="false">
      <c r="B590" s="275"/>
      <c r="D590" s="276" t="n">
        <f aca="false">D574</f>
        <v>45474</v>
      </c>
      <c r="E590" s="277" t="n">
        <v>0</v>
      </c>
      <c r="F590" s="277" t="n">
        <v>0</v>
      </c>
      <c r="G590" s="277" t="n">
        <v>0</v>
      </c>
      <c r="H590" s="277" t="n">
        <v>0</v>
      </c>
      <c r="I590" s="277" t="n">
        <v>0</v>
      </c>
      <c r="J590" s="278" t="n">
        <f aca="false">E590+H590+I590</f>
        <v>0</v>
      </c>
      <c r="K590" s="204"/>
      <c r="L590" s="279" t="n">
        <v>1</v>
      </c>
      <c r="M590" s="280" t="n">
        <f aca="false">1-L590</f>
        <v>0</v>
      </c>
      <c r="N590" s="281"/>
      <c r="O590" s="282"/>
      <c r="P590" s="282"/>
      <c r="Q590" s="282"/>
      <c r="R590" s="282"/>
      <c r="S590" s="282"/>
      <c r="T590" s="282"/>
      <c r="U590" s="282"/>
      <c r="V590" s="282"/>
      <c r="W590" s="282"/>
      <c r="X590" s="282"/>
      <c r="Y590" s="282"/>
      <c r="Z590" s="282"/>
      <c r="AA590" s="283"/>
      <c r="AB590" s="284" t="n">
        <f aca="false">IFERROR(($J590*O590)*$L590, "")</f>
        <v>0</v>
      </c>
      <c r="AC590" s="284" t="n">
        <f aca="false">IFERROR(($J590*P590)*$L590, "")</f>
        <v>0</v>
      </c>
      <c r="AD590" s="284" t="n">
        <f aca="false">IFERROR(($J590*Q590)*$L590, "")</f>
        <v>0</v>
      </c>
      <c r="AE590" s="284" t="n">
        <f aca="false">IFERROR(($J590*R590)*$L590, "")</f>
        <v>0</v>
      </c>
      <c r="AF590" s="284" t="n">
        <f aca="false">IFERROR(($J590*S590)*$L590, "")</f>
        <v>0</v>
      </c>
      <c r="AG590" s="284" t="n">
        <f aca="false">IFERROR(($J590*T590)*$L590, "")</f>
        <v>0</v>
      </c>
      <c r="AH590" s="284" t="n">
        <f aca="false">IFERROR(($J590*U590)*$L590, "")</f>
        <v>0</v>
      </c>
      <c r="AI590" s="284" t="n">
        <f aca="false">IFERROR(($J590*V590)*$L590, "")</f>
        <v>0</v>
      </c>
      <c r="AJ590" s="284" t="n">
        <f aca="false">IFERROR(($J590*W590)*$L590, "")</f>
        <v>0</v>
      </c>
      <c r="AK590" s="284" t="n">
        <f aca="false">IFERROR(($J590*X590)*$L590, "")</f>
        <v>0</v>
      </c>
      <c r="AL590" s="284" t="n">
        <f aca="false">IFERROR(($J590*Y590)*$L590, "")</f>
        <v>0</v>
      </c>
      <c r="AM590" s="285" t="n">
        <f aca="false">IFERROR(($J590*Z590)*$L590, "")</f>
        <v>0</v>
      </c>
      <c r="AN590" s="286" t="n">
        <f aca="false">IFERROR(SUMIF($AB$4:$AM$4, "RDEC", AB590:AM590), "")</f>
        <v>0</v>
      </c>
      <c r="AO590" s="286" t="n">
        <f aca="false">IFERROR(SUMIF($AB$4:$AM$4, "SME", AB590:AM590), "")</f>
        <v>0</v>
      </c>
      <c r="AP590" s="286" t="n">
        <f aca="false">IFERROR(SUMIF($AB$4:$AM$4, "De Minimis", AB590:AM590), "")</f>
        <v>0</v>
      </c>
      <c r="AQ590" s="283"/>
      <c r="AR590" s="284" t="n">
        <f aca="false">IFERROR(($J590*O590)*$M590, "")</f>
        <v>0</v>
      </c>
      <c r="AS590" s="284" t="n">
        <f aca="false">IFERROR(($J590*P590)*$M590, "")</f>
        <v>0</v>
      </c>
      <c r="AT590" s="284" t="n">
        <f aca="false">IFERROR(($J590*Q590)*$M590, "")</f>
        <v>0</v>
      </c>
      <c r="AU590" s="284" t="n">
        <f aca="false">IFERROR(($J590*R590)*$M590, "")</f>
        <v>0</v>
      </c>
      <c r="AV590" s="284" t="n">
        <f aca="false">IFERROR(($J590*S590)*$M590, "")</f>
        <v>0</v>
      </c>
      <c r="AW590" s="284" t="n">
        <f aca="false">IFERROR(($J590*T590)*$M590, "")</f>
        <v>0</v>
      </c>
      <c r="AX590" s="284" t="n">
        <f aca="false">IFERROR(($J590*U590)*$M590, "")</f>
        <v>0</v>
      </c>
      <c r="AY590" s="284" t="n">
        <f aca="false">IFERROR(($J590*V590)*$M590, "")</f>
        <v>0</v>
      </c>
      <c r="AZ590" s="284" t="n">
        <f aca="false">IFERROR(($J590*W590)*$M590, "")</f>
        <v>0</v>
      </c>
      <c r="BA590" s="284" t="n">
        <f aca="false">IFERROR(($J590*X590)*$M590, "")</f>
        <v>0</v>
      </c>
      <c r="BB590" s="284" t="n">
        <f aca="false">IFERROR(($J590*Y590)*$M590, "")</f>
        <v>0</v>
      </c>
      <c r="BC590" s="285" t="n">
        <f aca="false">IFERROR(($J590*Z590)*$M590, "")</f>
        <v>0</v>
      </c>
      <c r="BD590" s="286" t="n">
        <f aca="false">IFERROR(SUMIF($AB$4:$AM$4, "RDEC", AR590:BC590), "")</f>
        <v>0</v>
      </c>
      <c r="BE590" s="286" t="n">
        <f aca="false">IFERROR(SUMIF($AB$4:$AM$4, "SME", AR590:BC590), "")</f>
        <v>0</v>
      </c>
      <c r="BF590" s="286" t="n">
        <f aca="false">IFERROR(SUMIF($AB$4:$AM$4, "De Minimis", AR590:BC590), "")</f>
        <v>0</v>
      </c>
      <c r="BG590" s="287"/>
      <c r="BH590" s="288" t="str">
        <f aca="false">IF((SUM(O590:Z590)&gt;1),"ERROR","")</f>
        <v/>
      </c>
      <c r="BI590" s="287"/>
      <c r="BJ590" s="18" t="str">
        <f aca="false">IF(C576&gt;0, C576, "")</f>
        <v/>
      </c>
      <c r="BL590" s="200"/>
      <c r="BM590" s="200"/>
      <c r="BN590" s="200"/>
    </row>
    <row r="591" customFormat="false" ht="15" hidden="false" customHeight="true" outlineLevel="0" collapsed="false">
      <c r="B591" s="275"/>
      <c r="D591" s="276" t="n">
        <f aca="false">D575</f>
        <v>45505</v>
      </c>
      <c r="E591" s="277" t="n">
        <v>0</v>
      </c>
      <c r="F591" s="277" t="n">
        <v>0</v>
      </c>
      <c r="G591" s="277" t="n">
        <v>0</v>
      </c>
      <c r="H591" s="277" t="n">
        <v>0</v>
      </c>
      <c r="I591" s="277" t="n">
        <v>0</v>
      </c>
      <c r="J591" s="278" t="n">
        <f aca="false">E591+H591+I591</f>
        <v>0</v>
      </c>
      <c r="K591" s="204"/>
      <c r="L591" s="279" t="n">
        <v>1</v>
      </c>
      <c r="M591" s="280" t="n">
        <f aca="false">1-L591</f>
        <v>0</v>
      </c>
      <c r="N591" s="281"/>
      <c r="O591" s="282"/>
      <c r="P591" s="282"/>
      <c r="Q591" s="282"/>
      <c r="R591" s="282"/>
      <c r="S591" s="282"/>
      <c r="T591" s="282"/>
      <c r="U591" s="282"/>
      <c r="V591" s="282"/>
      <c r="W591" s="282"/>
      <c r="X591" s="282"/>
      <c r="Y591" s="282"/>
      <c r="Z591" s="282"/>
      <c r="AA591" s="283"/>
      <c r="AB591" s="284" t="n">
        <f aca="false">IFERROR(($J591*O591)*$L591, "")</f>
        <v>0</v>
      </c>
      <c r="AC591" s="284" t="n">
        <f aca="false">IFERROR(($J591*P591)*$L591, "")</f>
        <v>0</v>
      </c>
      <c r="AD591" s="284" t="n">
        <f aca="false">IFERROR(($J591*Q591)*$L591, "")</f>
        <v>0</v>
      </c>
      <c r="AE591" s="284" t="n">
        <f aca="false">IFERROR(($J591*R591)*$L591, "")</f>
        <v>0</v>
      </c>
      <c r="AF591" s="284" t="n">
        <f aca="false">IFERROR(($J591*S591)*$L591, "")</f>
        <v>0</v>
      </c>
      <c r="AG591" s="284" t="n">
        <f aca="false">IFERROR(($J591*T591)*$L591, "")</f>
        <v>0</v>
      </c>
      <c r="AH591" s="284" t="n">
        <f aca="false">IFERROR(($J591*U591)*$L591, "")</f>
        <v>0</v>
      </c>
      <c r="AI591" s="284" t="n">
        <f aca="false">IFERROR(($J591*V591)*$L591, "")</f>
        <v>0</v>
      </c>
      <c r="AJ591" s="284" t="n">
        <f aca="false">IFERROR(($J591*W591)*$L591, "")</f>
        <v>0</v>
      </c>
      <c r="AK591" s="284" t="n">
        <f aca="false">IFERROR(($J591*X591)*$L591, "")</f>
        <v>0</v>
      </c>
      <c r="AL591" s="284" t="n">
        <f aca="false">IFERROR(($J591*Y591)*$L591, "")</f>
        <v>0</v>
      </c>
      <c r="AM591" s="285" t="n">
        <f aca="false">IFERROR(($J591*Z591)*$L591, "")</f>
        <v>0</v>
      </c>
      <c r="AN591" s="286" t="n">
        <f aca="false">IFERROR(SUMIF($AB$4:$AM$4, "RDEC", AB591:AM591), "")</f>
        <v>0</v>
      </c>
      <c r="AO591" s="286" t="n">
        <f aca="false">IFERROR(SUMIF($AB$4:$AM$4, "SME", AB591:AM591), "")</f>
        <v>0</v>
      </c>
      <c r="AP591" s="286" t="n">
        <f aca="false">IFERROR(SUMIF($AB$4:$AM$4, "De Minimis", AB591:AM591), "")</f>
        <v>0</v>
      </c>
      <c r="AQ591" s="283"/>
      <c r="AR591" s="284" t="n">
        <f aca="false">IFERROR(($J591*O591)*$M591, "")</f>
        <v>0</v>
      </c>
      <c r="AS591" s="284" t="n">
        <f aca="false">IFERROR(($J591*P591)*$M591, "")</f>
        <v>0</v>
      </c>
      <c r="AT591" s="284" t="n">
        <f aca="false">IFERROR(($J591*Q591)*$M591, "")</f>
        <v>0</v>
      </c>
      <c r="AU591" s="284" t="n">
        <f aca="false">IFERROR(($J591*R591)*$M591, "")</f>
        <v>0</v>
      </c>
      <c r="AV591" s="284" t="n">
        <f aca="false">IFERROR(($J591*S591)*$M591, "")</f>
        <v>0</v>
      </c>
      <c r="AW591" s="284" t="n">
        <f aca="false">IFERROR(($J591*T591)*$M591, "")</f>
        <v>0</v>
      </c>
      <c r="AX591" s="284" t="n">
        <f aca="false">IFERROR(($J591*U591)*$M591, "")</f>
        <v>0</v>
      </c>
      <c r="AY591" s="284" t="n">
        <f aca="false">IFERROR(($J591*V591)*$M591, "")</f>
        <v>0</v>
      </c>
      <c r="AZ591" s="284" t="n">
        <f aca="false">IFERROR(($J591*W591)*$M591, "")</f>
        <v>0</v>
      </c>
      <c r="BA591" s="284" t="n">
        <f aca="false">IFERROR(($J591*X591)*$M591, "")</f>
        <v>0</v>
      </c>
      <c r="BB591" s="284" t="n">
        <f aca="false">IFERROR(($J591*Y591)*$M591, "")</f>
        <v>0</v>
      </c>
      <c r="BC591" s="285" t="n">
        <f aca="false">IFERROR(($J591*Z591)*$M591, "")</f>
        <v>0</v>
      </c>
      <c r="BD591" s="286" t="n">
        <f aca="false">IFERROR(SUMIF($AB$4:$AM$4, "RDEC", AR591:BC591), "")</f>
        <v>0</v>
      </c>
      <c r="BE591" s="286" t="n">
        <f aca="false">IFERROR(SUMIF($AB$4:$AM$4, "SME", AR591:BC591), "")</f>
        <v>0</v>
      </c>
      <c r="BF591" s="286" t="n">
        <f aca="false">IFERROR(SUMIF($AB$4:$AM$4, "De Minimis", AR591:BC591), "")</f>
        <v>0</v>
      </c>
      <c r="BG591" s="287"/>
      <c r="BH591" s="288" t="str">
        <f aca="false">IF((SUM(O591:Z591)&gt;1),"ERROR","")</f>
        <v/>
      </c>
      <c r="BI591" s="287"/>
      <c r="BJ591" s="18" t="str">
        <f aca="false">IF(C577&gt;0, C577, "")</f>
        <v/>
      </c>
      <c r="BL591" s="200"/>
      <c r="BM591" s="200"/>
      <c r="BN591" s="200"/>
    </row>
    <row r="592" customFormat="false" ht="15" hidden="false" customHeight="true" outlineLevel="0" collapsed="false">
      <c r="B592" s="275"/>
      <c r="D592" s="276" t="n">
        <f aca="false">D576</f>
        <v>45536</v>
      </c>
      <c r="E592" s="277" t="n">
        <v>0</v>
      </c>
      <c r="F592" s="277" t="n">
        <v>0</v>
      </c>
      <c r="G592" s="277" t="n">
        <v>0</v>
      </c>
      <c r="H592" s="277" t="n">
        <v>0</v>
      </c>
      <c r="I592" s="277" t="n">
        <v>0</v>
      </c>
      <c r="J592" s="278" t="n">
        <f aca="false">E592+H592+I592</f>
        <v>0</v>
      </c>
      <c r="K592" s="204"/>
      <c r="L592" s="279" t="n">
        <v>1</v>
      </c>
      <c r="M592" s="280" t="n">
        <f aca="false">1-L592</f>
        <v>0</v>
      </c>
      <c r="N592" s="281"/>
      <c r="O592" s="282"/>
      <c r="P592" s="282"/>
      <c r="Q592" s="282"/>
      <c r="R592" s="282"/>
      <c r="S592" s="282"/>
      <c r="T592" s="282"/>
      <c r="U592" s="282"/>
      <c r="V592" s="282"/>
      <c r="W592" s="282"/>
      <c r="X592" s="282"/>
      <c r="Y592" s="282"/>
      <c r="Z592" s="282"/>
      <c r="AA592" s="283"/>
      <c r="AB592" s="284" t="n">
        <f aca="false">IFERROR(($J592*O592)*$L592, "")</f>
        <v>0</v>
      </c>
      <c r="AC592" s="284" t="n">
        <f aca="false">IFERROR(($J592*P592)*$L592, "")</f>
        <v>0</v>
      </c>
      <c r="AD592" s="284" t="n">
        <f aca="false">IFERROR(($J592*Q592)*$L592, "")</f>
        <v>0</v>
      </c>
      <c r="AE592" s="284" t="n">
        <f aca="false">IFERROR(($J592*R592)*$L592, "")</f>
        <v>0</v>
      </c>
      <c r="AF592" s="284" t="n">
        <f aca="false">IFERROR(($J592*S592)*$L592, "")</f>
        <v>0</v>
      </c>
      <c r="AG592" s="284" t="n">
        <f aca="false">IFERROR(($J592*T592)*$L592, "")</f>
        <v>0</v>
      </c>
      <c r="AH592" s="284" t="n">
        <f aca="false">IFERROR(($J592*U592)*$L592, "")</f>
        <v>0</v>
      </c>
      <c r="AI592" s="284" t="n">
        <f aca="false">IFERROR(($J592*V592)*$L592, "")</f>
        <v>0</v>
      </c>
      <c r="AJ592" s="284" t="n">
        <f aca="false">IFERROR(($J592*W592)*$L592, "")</f>
        <v>0</v>
      </c>
      <c r="AK592" s="284" t="n">
        <f aca="false">IFERROR(($J592*X592)*$L592, "")</f>
        <v>0</v>
      </c>
      <c r="AL592" s="284" t="n">
        <f aca="false">IFERROR(($J592*Y592)*$L592, "")</f>
        <v>0</v>
      </c>
      <c r="AM592" s="285" t="n">
        <f aca="false">IFERROR(($J592*Z592)*$L592, "")</f>
        <v>0</v>
      </c>
      <c r="AN592" s="286" t="n">
        <f aca="false">IFERROR(SUMIF($AB$4:$AM$4, "RDEC", AB592:AM592), "")</f>
        <v>0</v>
      </c>
      <c r="AO592" s="286" t="n">
        <f aca="false">IFERROR(SUMIF($AB$4:$AM$4, "SME", AB592:AM592), "")</f>
        <v>0</v>
      </c>
      <c r="AP592" s="286" t="n">
        <f aca="false">IFERROR(SUMIF($AB$4:$AM$4, "De Minimis", AB592:AM592), "")</f>
        <v>0</v>
      </c>
      <c r="AQ592" s="283"/>
      <c r="AR592" s="284" t="n">
        <f aca="false">IFERROR(($J592*O592)*$M592, "")</f>
        <v>0</v>
      </c>
      <c r="AS592" s="284" t="n">
        <f aca="false">IFERROR(($J592*P592)*$M592, "")</f>
        <v>0</v>
      </c>
      <c r="AT592" s="284" t="n">
        <f aca="false">IFERROR(($J592*Q592)*$M592, "")</f>
        <v>0</v>
      </c>
      <c r="AU592" s="284" t="n">
        <f aca="false">IFERROR(($J592*R592)*$M592, "")</f>
        <v>0</v>
      </c>
      <c r="AV592" s="284" t="n">
        <f aca="false">IFERROR(($J592*S592)*$M592, "")</f>
        <v>0</v>
      </c>
      <c r="AW592" s="284" t="n">
        <f aca="false">IFERROR(($J592*T592)*$M592, "")</f>
        <v>0</v>
      </c>
      <c r="AX592" s="284" t="n">
        <f aca="false">IFERROR(($J592*U592)*$M592, "")</f>
        <v>0</v>
      </c>
      <c r="AY592" s="284" t="n">
        <f aca="false">IFERROR(($J592*V592)*$M592, "")</f>
        <v>0</v>
      </c>
      <c r="AZ592" s="284" t="n">
        <f aca="false">IFERROR(($J592*W592)*$M592, "")</f>
        <v>0</v>
      </c>
      <c r="BA592" s="284" t="n">
        <f aca="false">IFERROR(($J592*X592)*$M592, "")</f>
        <v>0</v>
      </c>
      <c r="BB592" s="284" t="n">
        <f aca="false">IFERROR(($J592*Y592)*$M592, "")</f>
        <v>0</v>
      </c>
      <c r="BC592" s="285" t="n">
        <f aca="false">IFERROR(($J592*Z592)*$M592, "")</f>
        <v>0</v>
      </c>
      <c r="BD592" s="286" t="n">
        <f aca="false">IFERROR(SUMIF($AB$4:$AM$4, "RDEC", AR592:BC592), "")</f>
        <v>0</v>
      </c>
      <c r="BE592" s="286" t="n">
        <f aca="false">IFERROR(SUMIF($AB$4:$AM$4, "SME", AR592:BC592), "")</f>
        <v>0</v>
      </c>
      <c r="BF592" s="286" t="n">
        <f aca="false">IFERROR(SUMIF($AB$4:$AM$4, "De Minimis", AR592:BC592), "")</f>
        <v>0</v>
      </c>
      <c r="BG592" s="287"/>
      <c r="BH592" s="288" t="str">
        <f aca="false">IF((SUM(O592:Z592)&gt;1),"ERROR","")</f>
        <v/>
      </c>
      <c r="BI592" s="287"/>
      <c r="BJ592" s="18" t="str">
        <f aca="false">IF(C578&gt;0, C578, "")</f>
        <v/>
      </c>
      <c r="BL592" s="200"/>
      <c r="BM592" s="200"/>
      <c r="BN592" s="200"/>
    </row>
    <row r="593" customFormat="false" ht="15" hidden="false" customHeight="true" outlineLevel="0" collapsed="false">
      <c r="B593" s="275"/>
      <c r="D593" s="276" t="n">
        <f aca="false">D577</f>
        <v>45566</v>
      </c>
      <c r="E593" s="277" t="n">
        <v>0</v>
      </c>
      <c r="F593" s="277" t="n">
        <v>0</v>
      </c>
      <c r="G593" s="277" t="n">
        <v>0</v>
      </c>
      <c r="H593" s="277" t="n">
        <v>0</v>
      </c>
      <c r="I593" s="277" t="n">
        <v>0</v>
      </c>
      <c r="J593" s="278" t="n">
        <f aca="false">E593+H593+I593</f>
        <v>0</v>
      </c>
      <c r="K593" s="204"/>
      <c r="L593" s="279" t="n">
        <v>1</v>
      </c>
      <c r="M593" s="280" t="n">
        <f aca="false">1-L593</f>
        <v>0</v>
      </c>
      <c r="N593" s="281"/>
      <c r="O593" s="282"/>
      <c r="P593" s="282"/>
      <c r="Q593" s="282"/>
      <c r="R593" s="282"/>
      <c r="S593" s="282"/>
      <c r="T593" s="282"/>
      <c r="U593" s="282"/>
      <c r="V593" s="282"/>
      <c r="W593" s="282"/>
      <c r="X593" s="282"/>
      <c r="Y593" s="282"/>
      <c r="Z593" s="282"/>
      <c r="AA593" s="283"/>
      <c r="AB593" s="284" t="n">
        <f aca="false">IFERROR(($J593*O593)*$L593, "")</f>
        <v>0</v>
      </c>
      <c r="AC593" s="284" t="n">
        <f aca="false">IFERROR(($J593*P593)*$L593, "")</f>
        <v>0</v>
      </c>
      <c r="AD593" s="284" t="n">
        <f aca="false">IFERROR(($J593*Q593)*$L593, "")</f>
        <v>0</v>
      </c>
      <c r="AE593" s="284" t="n">
        <f aca="false">IFERROR(($J593*R593)*$L593, "")</f>
        <v>0</v>
      </c>
      <c r="AF593" s="284" t="n">
        <f aca="false">IFERROR(($J593*S593)*$L593, "")</f>
        <v>0</v>
      </c>
      <c r="AG593" s="284" t="n">
        <f aca="false">IFERROR(($J593*T593)*$L593, "")</f>
        <v>0</v>
      </c>
      <c r="AH593" s="284" t="n">
        <f aca="false">IFERROR(($J593*U593)*$L593, "")</f>
        <v>0</v>
      </c>
      <c r="AI593" s="284" t="n">
        <f aca="false">IFERROR(($J593*V593)*$L593, "")</f>
        <v>0</v>
      </c>
      <c r="AJ593" s="284" t="n">
        <f aca="false">IFERROR(($J593*W593)*$L593, "")</f>
        <v>0</v>
      </c>
      <c r="AK593" s="284" t="n">
        <f aca="false">IFERROR(($J593*X593)*$L593, "")</f>
        <v>0</v>
      </c>
      <c r="AL593" s="284" t="n">
        <f aca="false">IFERROR(($J593*Y593)*$L593, "")</f>
        <v>0</v>
      </c>
      <c r="AM593" s="285" t="n">
        <f aca="false">IFERROR(($J593*Z593)*$L593, "")</f>
        <v>0</v>
      </c>
      <c r="AN593" s="286" t="n">
        <f aca="false">IFERROR(SUMIF($AB$4:$AM$4, "RDEC", AB593:AM593), "")</f>
        <v>0</v>
      </c>
      <c r="AO593" s="286" t="n">
        <f aca="false">IFERROR(SUMIF($AB$4:$AM$4, "SME", AB593:AM593), "")</f>
        <v>0</v>
      </c>
      <c r="AP593" s="286" t="n">
        <f aca="false">IFERROR(SUMIF($AB$4:$AM$4, "De Minimis", AB593:AM593), "")</f>
        <v>0</v>
      </c>
      <c r="AQ593" s="283"/>
      <c r="AR593" s="284" t="n">
        <f aca="false">IFERROR(($J593*O593)*$M593, "")</f>
        <v>0</v>
      </c>
      <c r="AS593" s="284" t="n">
        <f aca="false">IFERROR(($J593*P593)*$M593, "")</f>
        <v>0</v>
      </c>
      <c r="AT593" s="284" t="n">
        <f aca="false">IFERROR(($J593*Q593)*$M593, "")</f>
        <v>0</v>
      </c>
      <c r="AU593" s="284" t="n">
        <f aca="false">IFERROR(($J593*R593)*$M593, "")</f>
        <v>0</v>
      </c>
      <c r="AV593" s="284" t="n">
        <f aca="false">IFERROR(($J593*S593)*$M593, "")</f>
        <v>0</v>
      </c>
      <c r="AW593" s="284" t="n">
        <f aca="false">IFERROR(($J593*T593)*$M593, "")</f>
        <v>0</v>
      </c>
      <c r="AX593" s="284" t="n">
        <f aca="false">IFERROR(($J593*U593)*$M593, "")</f>
        <v>0</v>
      </c>
      <c r="AY593" s="284" t="n">
        <f aca="false">IFERROR(($J593*V593)*$M593, "")</f>
        <v>0</v>
      </c>
      <c r="AZ593" s="284" t="n">
        <f aca="false">IFERROR(($J593*W593)*$M593, "")</f>
        <v>0</v>
      </c>
      <c r="BA593" s="284" t="n">
        <f aca="false">IFERROR(($J593*X593)*$M593, "")</f>
        <v>0</v>
      </c>
      <c r="BB593" s="284" t="n">
        <f aca="false">IFERROR(($J593*Y593)*$M593, "")</f>
        <v>0</v>
      </c>
      <c r="BC593" s="285" t="n">
        <f aca="false">IFERROR(($J593*Z593)*$M593, "")</f>
        <v>0</v>
      </c>
      <c r="BD593" s="286" t="n">
        <f aca="false">IFERROR(SUMIF($AB$4:$AM$4, "RDEC", AR593:BC593), "")</f>
        <v>0</v>
      </c>
      <c r="BE593" s="286" t="n">
        <f aca="false">IFERROR(SUMIF($AB$4:$AM$4, "SME", AR593:BC593), "")</f>
        <v>0</v>
      </c>
      <c r="BF593" s="286" t="n">
        <f aca="false">IFERROR(SUMIF($AB$4:$AM$4, "De Minimis", AR593:BC593), "")</f>
        <v>0</v>
      </c>
      <c r="BG593" s="287"/>
      <c r="BH593" s="288" t="str">
        <f aca="false">IF((SUM(O593:Z593)&gt;1),"ERROR","")</f>
        <v/>
      </c>
      <c r="BI593" s="287"/>
      <c r="BJ593" s="18" t="str">
        <f aca="false">IF(C579&gt;0, C579, "")</f>
        <v/>
      </c>
      <c r="BL593" s="200"/>
      <c r="BM593" s="200"/>
      <c r="BN593" s="200"/>
    </row>
    <row r="594" customFormat="false" ht="15" hidden="false" customHeight="true" outlineLevel="0" collapsed="false">
      <c r="B594" s="275"/>
      <c r="D594" s="276" t="n">
        <f aca="false">D578</f>
        <v>45597</v>
      </c>
      <c r="E594" s="277" t="n">
        <v>0</v>
      </c>
      <c r="F594" s="277" t="n">
        <v>0</v>
      </c>
      <c r="G594" s="277" t="n">
        <v>0</v>
      </c>
      <c r="H594" s="277" t="n">
        <v>0</v>
      </c>
      <c r="I594" s="277" t="n">
        <v>0</v>
      </c>
      <c r="J594" s="278" t="n">
        <f aca="false">E594+H594+I594</f>
        <v>0</v>
      </c>
      <c r="K594" s="204"/>
      <c r="L594" s="279" t="n">
        <v>1</v>
      </c>
      <c r="M594" s="280" t="n">
        <f aca="false">1-L594</f>
        <v>0</v>
      </c>
      <c r="N594" s="281"/>
      <c r="O594" s="282"/>
      <c r="P594" s="282"/>
      <c r="Q594" s="282"/>
      <c r="R594" s="282"/>
      <c r="S594" s="282"/>
      <c r="T594" s="282"/>
      <c r="U594" s="282"/>
      <c r="V594" s="282"/>
      <c r="W594" s="282"/>
      <c r="X594" s="282"/>
      <c r="Y594" s="282"/>
      <c r="Z594" s="282"/>
      <c r="AA594" s="283"/>
      <c r="AB594" s="284" t="n">
        <f aca="false">IFERROR(($J594*O594)*$L594, "")</f>
        <v>0</v>
      </c>
      <c r="AC594" s="284" t="n">
        <f aca="false">IFERROR(($J594*P594)*$L594, "")</f>
        <v>0</v>
      </c>
      <c r="AD594" s="284" t="n">
        <f aca="false">IFERROR(($J594*Q594)*$L594, "")</f>
        <v>0</v>
      </c>
      <c r="AE594" s="284" t="n">
        <f aca="false">IFERROR(($J594*R594)*$L594, "")</f>
        <v>0</v>
      </c>
      <c r="AF594" s="284" t="n">
        <f aca="false">IFERROR(($J594*S594)*$L594, "")</f>
        <v>0</v>
      </c>
      <c r="AG594" s="284" t="n">
        <f aca="false">IFERROR(($J594*T594)*$L594, "")</f>
        <v>0</v>
      </c>
      <c r="AH594" s="284" t="n">
        <f aca="false">IFERROR(($J594*U594)*$L594, "")</f>
        <v>0</v>
      </c>
      <c r="AI594" s="284" t="n">
        <f aca="false">IFERROR(($J594*V594)*$L594, "")</f>
        <v>0</v>
      </c>
      <c r="AJ594" s="284" t="n">
        <f aca="false">IFERROR(($J594*W594)*$L594, "")</f>
        <v>0</v>
      </c>
      <c r="AK594" s="284" t="n">
        <f aca="false">IFERROR(($J594*X594)*$L594, "")</f>
        <v>0</v>
      </c>
      <c r="AL594" s="284" t="n">
        <f aca="false">IFERROR(($J594*Y594)*$L594, "")</f>
        <v>0</v>
      </c>
      <c r="AM594" s="285" t="n">
        <f aca="false">IFERROR(($J594*Z594)*$L594, "")</f>
        <v>0</v>
      </c>
      <c r="AN594" s="286" t="n">
        <f aca="false">IFERROR(SUMIF($AB$4:$AM$4, "RDEC", AB594:AM594), "")</f>
        <v>0</v>
      </c>
      <c r="AO594" s="286" t="n">
        <f aca="false">IFERROR(SUMIF($AB$4:$AM$4, "SME", AB594:AM594), "")</f>
        <v>0</v>
      </c>
      <c r="AP594" s="286" t="n">
        <f aca="false">IFERROR(SUMIF($AB$4:$AM$4, "De Minimis", AB594:AM594), "")</f>
        <v>0</v>
      </c>
      <c r="AQ594" s="283"/>
      <c r="AR594" s="284" t="n">
        <f aca="false">IFERROR(($J594*O594)*$M594, "")</f>
        <v>0</v>
      </c>
      <c r="AS594" s="284" t="n">
        <f aca="false">IFERROR(($J594*P594)*$M594, "")</f>
        <v>0</v>
      </c>
      <c r="AT594" s="284" t="n">
        <f aca="false">IFERROR(($J594*Q594)*$M594, "")</f>
        <v>0</v>
      </c>
      <c r="AU594" s="284" t="n">
        <f aca="false">IFERROR(($J594*R594)*$M594, "")</f>
        <v>0</v>
      </c>
      <c r="AV594" s="284" t="n">
        <f aca="false">IFERROR(($J594*S594)*$M594, "")</f>
        <v>0</v>
      </c>
      <c r="AW594" s="284" t="n">
        <f aca="false">IFERROR(($J594*T594)*$M594, "")</f>
        <v>0</v>
      </c>
      <c r="AX594" s="284" t="n">
        <f aca="false">IFERROR(($J594*U594)*$M594, "")</f>
        <v>0</v>
      </c>
      <c r="AY594" s="284" t="n">
        <f aca="false">IFERROR(($J594*V594)*$M594, "")</f>
        <v>0</v>
      </c>
      <c r="AZ594" s="284" t="n">
        <f aca="false">IFERROR(($J594*W594)*$M594, "")</f>
        <v>0</v>
      </c>
      <c r="BA594" s="284" t="n">
        <f aca="false">IFERROR(($J594*X594)*$M594, "")</f>
        <v>0</v>
      </c>
      <c r="BB594" s="284" t="n">
        <f aca="false">IFERROR(($J594*Y594)*$M594, "")</f>
        <v>0</v>
      </c>
      <c r="BC594" s="285" t="n">
        <f aca="false">IFERROR(($J594*Z594)*$M594, "")</f>
        <v>0</v>
      </c>
      <c r="BD594" s="286" t="n">
        <f aca="false">IFERROR(SUMIF($AB$4:$AM$4, "RDEC", AR594:BC594), "")</f>
        <v>0</v>
      </c>
      <c r="BE594" s="286" t="n">
        <f aca="false">IFERROR(SUMIF($AB$4:$AM$4, "SME", AR594:BC594), "")</f>
        <v>0</v>
      </c>
      <c r="BF594" s="286" t="n">
        <f aca="false">IFERROR(SUMIF($AB$4:$AM$4, "De Minimis", AR594:BC594), "")</f>
        <v>0</v>
      </c>
      <c r="BG594" s="287"/>
      <c r="BH594" s="288" t="str">
        <f aca="false">IF((SUM(O594:Z594)&gt;1),"ERROR","")</f>
        <v/>
      </c>
      <c r="BI594" s="287"/>
      <c r="BJ594" s="18" t="str">
        <f aca="false">IF(C580&gt;0, C580, "")</f>
        <v/>
      </c>
      <c r="BL594" s="200"/>
      <c r="BM594" s="200"/>
      <c r="BN594" s="200"/>
    </row>
    <row r="595" customFormat="false" ht="15" hidden="false" customHeight="true" outlineLevel="0" collapsed="false">
      <c r="B595" s="275"/>
      <c r="D595" s="276" t="n">
        <f aca="false">D579</f>
        <v>45627</v>
      </c>
      <c r="E595" s="277" t="n">
        <v>0</v>
      </c>
      <c r="F595" s="277" t="n">
        <v>0</v>
      </c>
      <c r="G595" s="277" t="n">
        <v>0</v>
      </c>
      <c r="H595" s="277" t="n">
        <v>0</v>
      </c>
      <c r="I595" s="277" t="n">
        <v>0</v>
      </c>
      <c r="J595" s="278" t="n">
        <f aca="false">E595+H595+I595</f>
        <v>0</v>
      </c>
      <c r="K595" s="204"/>
      <c r="L595" s="289" t="n">
        <v>1</v>
      </c>
      <c r="M595" s="290" t="n">
        <f aca="false">1-L595</f>
        <v>0</v>
      </c>
      <c r="N595" s="281"/>
      <c r="O595" s="291"/>
      <c r="P595" s="291"/>
      <c r="Q595" s="291"/>
      <c r="R595" s="291"/>
      <c r="S595" s="291"/>
      <c r="T595" s="291"/>
      <c r="U595" s="291"/>
      <c r="V595" s="291"/>
      <c r="W595" s="291"/>
      <c r="X595" s="291"/>
      <c r="Y595" s="291"/>
      <c r="Z595" s="291"/>
      <c r="AA595" s="283"/>
      <c r="AB595" s="292" t="n">
        <f aca="false">IFERROR(($J595*O595)*$L595, "")</f>
        <v>0</v>
      </c>
      <c r="AC595" s="292" t="n">
        <f aca="false">IFERROR(($J595*P595)*$L595, "")</f>
        <v>0</v>
      </c>
      <c r="AD595" s="292" t="n">
        <f aca="false">IFERROR(($J595*Q595)*$L595, "")</f>
        <v>0</v>
      </c>
      <c r="AE595" s="292" t="n">
        <f aca="false">IFERROR(($J595*R595)*$L595, "")</f>
        <v>0</v>
      </c>
      <c r="AF595" s="292" t="n">
        <f aca="false">IFERROR(($J595*S595)*$L595, "")</f>
        <v>0</v>
      </c>
      <c r="AG595" s="292" t="n">
        <f aca="false">IFERROR(($J595*T595)*$L595, "")</f>
        <v>0</v>
      </c>
      <c r="AH595" s="292" t="n">
        <f aca="false">IFERROR(($J595*U595)*$L595, "")</f>
        <v>0</v>
      </c>
      <c r="AI595" s="292" t="n">
        <f aca="false">IFERROR(($J595*V595)*$L595, "")</f>
        <v>0</v>
      </c>
      <c r="AJ595" s="292" t="n">
        <f aca="false">IFERROR(($J595*W595)*$L595, "")</f>
        <v>0</v>
      </c>
      <c r="AK595" s="292" t="n">
        <f aca="false">IFERROR(($J595*X595)*$L595, "")</f>
        <v>0</v>
      </c>
      <c r="AL595" s="292" t="n">
        <f aca="false">IFERROR(($J595*Y595)*$L595, "")</f>
        <v>0</v>
      </c>
      <c r="AM595" s="293" t="n">
        <f aca="false">IFERROR(($J595*Z595)*$L595, "")</f>
        <v>0</v>
      </c>
      <c r="AN595" s="294" t="n">
        <f aca="false">IFERROR(SUMIF($AB$4:$AM$4, "RDEC", AB595:AM595), "")</f>
        <v>0</v>
      </c>
      <c r="AO595" s="294" t="n">
        <f aca="false">IFERROR(SUMIF($AB$4:$AM$4, "SME", AB595:AM595), "")</f>
        <v>0</v>
      </c>
      <c r="AP595" s="294" t="n">
        <f aca="false">IFERROR(SUMIF($AB$4:$AM$4, "De Minimis", AB595:AM595), "")</f>
        <v>0</v>
      </c>
      <c r="AQ595" s="283"/>
      <c r="AR595" s="292" t="n">
        <f aca="false">IFERROR(($J595*O595)*$M595, "")</f>
        <v>0</v>
      </c>
      <c r="AS595" s="292" t="n">
        <f aca="false">IFERROR(($J595*P595)*$M595, "")</f>
        <v>0</v>
      </c>
      <c r="AT595" s="292" t="n">
        <f aca="false">IFERROR(($J595*Q595)*$M595, "")</f>
        <v>0</v>
      </c>
      <c r="AU595" s="292" t="n">
        <f aca="false">IFERROR(($J595*R595)*$M595, "")</f>
        <v>0</v>
      </c>
      <c r="AV595" s="292" t="n">
        <f aca="false">IFERROR(($J595*S595)*$M595, "")</f>
        <v>0</v>
      </c>
      <c r="AW595" s="292" t="n">
        <f aca="false">IFERROR(($J595*T595)*$M595, "")</f>
        <v>0</v>
      </c>
      <c r="AX595" s="292" t="n">
        <f aca="false">IFERROR(($J595*U595)*$M595, "")</f>
        <v>0</v>
      </c>
      <c r="AY595" s="292" t="n">
        <f aca="false">IFERROR(($J595*V595)*$M595, "")</f>
        <v>0</v>
      </c>
      <c r="AZ595" s="292" t="n">
        <f aca="false">IFERROR(($J595*W595)*$M595, "")</f>
        <v>0</v>
      </c>
      <c r="BA595" s="292" t="n">
        <f aca="false">IFERROR(($J595*X595)*$M595, "")</f>
        <v>0</v>
      </c>
      <c r="BB595" s="292" t="n">
        <f aca="false">IFERROR(($J595*Y595)*$M595, "")</f>
        <v>0</v>
      </c>
      <c r="BC595" s="293" t="n">
        <f aca="false">IFERROR(($J595*Z595)*$M595, "")</f>
        <v>0</v>
      </c>
      <c r="BD595" s="294" t="n">
        <f aca="false">IFERROR(SUMIF($AB$4:$AM$4, "RDEC", AR595:BC595), "")</f>
        <v>0</v>
      </c>
      <c r="BE595" s="294" t="n">
        <f aca="false">IFERROR(SUMIF($AB$4:$AM$4, "SME", AR595:BC595), "")</f>
        <v>0</v>
      </c>
      <c r="BF595" s="294" t="n">
        <f aca="false">IFERROR(SUMIF($AB$4:$AM$4, "De Minimis", AR595:BC595), "")</f>
        <v>0</v>
      </c>
      <c r="BG595" s="287"/>
      <c r="BH595" s="295" t="str">
        <f aca="false">IF((SUM(O595:Z595)&gt;1),"ERROR","")</f>
        <v/>
      </c>
      <c r="BI595" s="287"/>
      <c r="BJ595" s="18" t="str">
        <f aca="false">IF(C581&gt;0, C581, "")</f>
        <v/>
      </c>
      <c r="BL595" s="200"/>
      <c r="BM595" s="200"/>
      <c r="BN595" s="200"/>
    </row>
    <row r="596" customFormat="false" ht="15" hidden="false" customHeight="true" outlineLevel="0" collapsed="false">
      <c r="B596" s="296"/>
      <c r="D596" s="297" t="s">
        <v>82</v>
      </c>
      <c r="E596" s="298" t="n">
        <f aca="false">SUM(E584:E595)</f>
        <v>0</v>
      </c>
      <c r="F596" s="298" t="n">
        <f aca="false">SUM(F584:F595)</f>
        <v>0</v>
      </c>
      <c r="G596" s="298" t="n">
        <f aca="false">SUM(G584:G595)</f>
        <v>0</v>
      </c>
      <c r="H596" s="298" t="n">
        <f aca="false">SUM(H584:H595)</f>
        <v>0</v>
      </c>
      <c r="I596" s="298" t="n">
        <f aca="false">SUM(I584:I595)</f>
        <v>0</v>
      </c>
      <c r="J596" s="299" t="n">
        <f aca="false">SUM(J584:J595)</f>
        <v>0</v>
      </c>
      <c r="K596" s="300"/>
      <c r="L596" s="301" t="n">
        <f aca="false">AVERAGE(L584:L595)</f>
        <v>1</v>
      </c>
      <c r="M596" s="301" t="n">
        <f aca="false">AVERAGE(M584:M595)</f>
        <v>0</v>
      </c>
      <c r="N596" s="302"/>
      <c r="O596" s="290" t="n">
        <f aca="false">IF(SUM(O584:O595)&gt;0,((AB596+AR596)/J596),0)</f>
        <v>0</v>
      </c>
      <c r="P596" s="290" t="n">
        <f aca="false">IF(SUM(P584:P595)&gt;0,((AC596+AS596)/J596),0)</f>
        <v>0</v>
      </c>
      <c r="Q596" s="290" t="n">
        <f aca="false">IF(SUM(Q584:Q595)&gt;0,((AD596+AT596)/J596),0)</f>
        <v>0</v>
      </c>
      <c r="R596" s="290" t="n">
        <f aca="false">IF(SUM(R584:R595)&gt;0,((AE596+AU596)/J596),0)</f>
        <v>0</v>
      </c>
      <c r="S596" s="290" t="n">
        <f aca="false">IF(SUM(S584:S595)&gt;0,((AF596+AV596)/J596),0)</f>
        <v>0</v>
      </c>
      <c r="T596" s="290" t="n">
        <f aca="false">IF(SUM(T584:T595)&gt;0,((AG596+AW596)/J596),0)</f>
        <v>0</v>
      </c>
      <c r="U596" s="290" t="n">
        <f aca="false">IF(SUM(U584:U595)&gt;0,((AH596+AX596)/J596),0)</f>
        <v>0</v>
      </c>
      <c r="V596" s="290" t="n">
        <f aca="false">IF(SUM(V584:V595)&gt;0,((AI596+AY596)/J596),0)</f>
        <v>0</v>
      </c>
      <c r="W596" s="290" t="n">
        <f aca="false">IF(SUM(W584:W595)&gt;0,((AJ596+AZ596)/J596),0)</f>
        <v>0</v>
      </c>
      <c r="X596" s="290" t="n">
        <f aca="false">IF(SUM(X584:X595)&gt;0,((AK596+BA596)/J596),0)</f>
        <v>0</v>
      </c>
      <c r="Y596" s="290" t="n">
        <f aca="false">IF(SUM(Y584:Y595)&gt;0,((AL596+BB596)/J596),0)</f>
        <v>0</v>
      </c>
      <c r="Z596" s="290" t="n">
        <f aca="false">IF(SUM(Z584:Z595)&gt;0,((AM596+BC596)/J596),0)</f>
        <v>0</v>
      </c>
      <c r="AA596" s="303"/>
      <c r="AB596" s="292" t="n">
        <f aca="false">SUM(AB584:AB595)</f>
        <v>0</v>
      </c>
      <c r="AC596" s="304" t="n">
        <f aca="false">SUM(AC584:AC595)</f>
        <v>0</v>
      </c>
      <c r="AD596" s="304" t="n">
        <f aca="false">SUM(AD584:AD595)</f>
        <v>0</v>
      </c>
      <c r="AE596" s="304" t="n">
        <f aca="false">SUM(AE584:AE595)</f>
        <v>0</v>
      </c>
      <c r="AF596" s="304" t="n">
        <f aca="false">SUM(AF584:AF595)</f>
        <v>0</v>
      </c>
      <c r="AG596" s="304" t="n">
        <f aca="false">SUM(AG584:AG595)</f>
        <v>0</v>
      </c>
      <c r="AH596" s="304" t="n">
        <f aca="false">SUM(AH584:AH595)</f>
        <v>0</v>
      </c>
      <c r="AI596" s="304" t="n">
        <f aca="false">SUM(AI584:AI595)</f>
        <v>0</v>
      </c>
      <c r="AJ596" s="304" t="n">
        <f aca="false">SUM(AJ584:AJ595)</f>
        <v>0</v>
      </c>
      <c r="AK596" s="304" t="n">
        <f aca="false">SUM(AK584:AK595)</f>
        <v>0</v>
      </c>
      <c r="AL596" s="304" t="n">
        <f aca="false">SUM(AL584:AL595)</f>
        <v>0</v>
      </c>
      <c r="AM596" s="304" t="n">
        <f aca="false">SUM(AM584:AM595)</f>
        <v>0</v>
      </c>
      <c r="AN596" s="305" t="n">
        <f aca="false">SUM(AN584:AN595)</f>
        <v>0</v>
      </c>
      <c r="AO596" s="305" t="n">
        <f aca="false">SUM(AO584:AO595)</f>
        <v>0</v>
      </c>
      <c r="AP596" s="305" t="n">
        <f aca="false">SUM(AP584:AP595)</f>
        <v>0</v>
      </c>
      <c r="AQ596" s="303"/>
      <c r="AR596" s="292" t="n">
        <f aca="false">SUM(AR584:AR595)</f>
        <v>0</v>
      </c>
      <c r="AS596" s="304" t="n">
        <f aca="false">SUM(AS584:AS595)</f>
        <v>0</v>
      </c>
      <c r="AT596" s="304" t="n">
        <f aca="false">SUM(AT584:AT595)</f>
        <v>0</v>
      </c>
      <c r="AU596" s="304" t="n">
        <f aca="false">SUM(AU584:AU595)</f>
        <v>0</v>
      </c>
      <c r="AV596" s="304" t="n">
        <f aca="false">SUM(AV584:AV595)</f>
        <v>0</v>
      </c>
      <c r="AW596" s="304" t="n">
        <f aca="false">SUM(AW584:AW595)</f>
        <v>0</v>
      </c>
      <c r="AX596" s="304" t="n">
        <f aca="false">SUM(AX584:AX595)</f>
        <v>0</v>
      </c>
      <c r="AY596" s="304" t="n">
        <f aca="false">SUM(AY584:AY595)</f>
        <v>0</v>
      </c>
      <c r="AZ596" s="304" t="n">
        <f aca="false">SUM(AZ584:AZ595)</f>
        <v>0</v>
      </c>
      <c r="BA596" s="304" t="n">
        <f aca="false">SUM(BA584:BA595)</f>
        <v>0</v>
      </c>
      <c r="BB596" s="304" t="n">
        <f aca="false">SUM(BB584:BB595)</f>
        <v>0</v>
      </c>
      <c r="BC596" s="304" t="n">
        <f aca="false">SUM(BC584:BC595)</f>
        <v>0</v>
      </c>
      <c r="BD596" s="305" t="n">
        <f aca="false">SUM(BD584:BD595)</f>
        <v>0</v>
      </c>
      <c r="BE596" s="305" t="n">
        <f aca="false">SUM(BE584:BE595)</f>
        <v>0</v>
      </c>
      <c r="BF596" s="305" t="n">
        <f aca="false">SUM(BF584:BF595)</f>
        <v>0</v>
      </c>
      <c r="BG596" s="303"/>
      <c r="BH596" s="306"/>
      <c r="BI596" s="303"/>
      <c r="BJ596" s="307" t="str">
        <f aca="false">IF(C582&gt;0, C582, "")</f>
        <v>TBA</v>
      </c>
      <c r="BK596" s="18" t="s">
        <v>234</v>
      </c>
      <c r="BL596" s="200" t="n">
        <f aca="false">IF($BK596="Y",J596,0)</f>
        <v>0</v>
      </c>
      <c r="BM596" s="200" t="n">
        <f aca="false">IF(BK596="Y", AN596,0)</f>
        <v>0</v>
      </c>
      <c r="BN596" s="200" t="n">
        <f aca="false">IF((BK596="Y"),AO596,0)</f>
        <v>0</v>
      </c>
    </row>
    <row r="597" customFormat="false" ht="15" hidden="false" customHeight="true" outlineLevel="0" collapsed="false">
      <c r="B597" s="296"/>
      <c r="D597" s="297"/>
      <c r="E597" s="277"/>
      <c r="F597" s="277"/>
      <c r="G597" s="277"/>
      <c r="H597" s="277"/>
      <c r="I597" s="277"/>
      <c r="J597" s="300"/>
      <c r="K597" s="300"/>
      <c r="L597" s="302"/>
      <c r="M597" s="302"/>
      <c r="N597" s="302"/>
      <c r="O597" s="308"/>
      <c r="P597" s="308"/>
      <c r="Q597" s="308"/>
      <c r="R597" s="308"/>
      <c r="S597" s="308"/>
      <c r="T597" s="308"/>
      <c r="U597" s="308"/>
      <c r="V597" s="308"/>
      <c r="W597" s="308"/>
      <c r="X597" s="308"/>
      <c r="Y597" s="308"/>
      <c r="Z597" s="308"/>
      <c r="AA597" s="303"/>
      <c r="AB597" s="303"/>
      <c r="AC597" s="303"/>
      <c r="AD597" s="303"/>
      <c r="AE597" s="303"/>
      <c r="AF597" s="303"/>
      <c r="AG597" s="303"/>
      <c r="AH597" s="303"/>
      <c r="AI597" s="303"/>
      <c r="AJ597" s="303"/>
      <c r="AK597" s="303"/>
      <c r="AL597" s="303"/>
      <c r="AM597" s="303"/>
      <c r="AN597" s="303"/>
      <c r="AO597" s="303"/>
      <c r="AP597" s="303"/>
      <c r="AQ597" s="303"/>
      <c r="AR597" s="303"/>
      <c r="AS597" s="303"/>
      <c r="AT597" s="303"/>
      <c r="AU597" s="303"/>
      <c r="AV597" s="303"/>
      <c r="AW597" s="303"/>
      <c r="AX597" s="303"/>
      <c r="AY597" s="303"/>
      <c r="AZ597" s="303"/>
      <c r="BA597" s="303"/>
      <c r="BB597" s="303"/>
      <c r="BC597" s="303"/>
      <c r="BD597" s="303"/>
      <c r="BE597" s="303"/>
      <c r="BF597" s="303"/>
      <c r="BG597" s="303"/>
      <c r="BH597" s="303"/>
      <c r="BI597" s="303"/>
      <c r="BJ597" s="307" t="str">
        <f aca="false">IF(C584&gt;0, C584, "")</f>
        <v/>
      </c>
      <c r="BL597" s="200"/>
      <c r="BM597" s="200"/>
      <c r="BN597" s="200"/>
    </row>
    <row r="598" customFormat="false" ht="15" hidden="false" customHeight="true" outlineLevel="0" collapsed="false">
      <c r="A598" s="198" t="n">
        <f aca="false">A582+1</f>
        <v>38</v>
      </c>
      <c r="B598" s="266" t="s">
        <v>253</v>
      </c>
      <c r="C598" s="266" t="s">
        <v>253</v>
      </c>
      <c r="D598" s="267"/>
      <c r="E598" s="242"/>
      <c r="F598" s="242"/>
      <c r="G598" s="242"/>
      <c r="H598" s="242"/>
      <c r="I598" s="242"/>
      <c r="J598" s="241"/>
      <c r="K598" s="241"/>
      <c r="L598" s="241"/>
      <c r="M598" s="241"/>
      <c r="N598" s="241"/>
      <c r="O598" s="268"/>
      <c r="P598" s="268"/>
      <c r="Q598" s="268"/>
      <c r="R598" s="268"/>
      <c r="S598" s="268"/>
      <c r="T598" s="268"/>
      <c r="U598" s="268"/>
      <c r="V598" s="268"/>
      <c r="W598" s="268"/>
      <c r="X598" s="268"/>
      <c r="Y598" s="268"/>
      <c r="Z598" s="268"/>
      <c r="AA598" s="268"/>
      <c r="AB598" s="268"/>
      <c r="AC598" s="268"/>
      <c r="AD598" s="268"/>
      <c r="AE598" s="268"/>
      <c r="AF598" s="268"/>
      <c r="AG598" s="268"/>
      <c r="AH598" s="268"/>
      <c r="AI598" s="268"/>
      <c r="AJ598" s="268"/>
      <c r="AK598" s="268"/>
      <c r="AL598" s="268"/>
      <c r="AM598" s="268"/>
      <c r="AN598" s="268"/>
      <c r="AO598" s="268"/>
      <c r="AP598" s="268"/>
      <c r="AQ598" s="268"/>
      <c r="AR598" s="268"/>
      <c r="AS598" s="268"/>
      <c r="AT598" s="268"/>
      <c r="AU598" s="268"/>
      <c r="AV598" s="268"/>
      <c r="AW598" s="268"/>
      <c r="AX598" s="268"/>
      <c r="AY598" s="268"/>
      <c r="AZ598" s="268"/>
      <c r="BA598" s="268"/>
      <c r="BB598" s="268"/>
      <c r="BC598" s="268"/>
      <c r="BD598" s="268"/>
      <c r="BE598" s="268"/>
      <c r="BF598" s="268"/>
      <c r="BG598" s="268"/>
      <c r="BH598" s="268"/>
      <c r="BI598" s="268"/>
      <c r="BJ598" s="18" t="str">
        <f aca="false">IF(C585&gt;0, C585, "")</f>
        <v/>
      </c>
      <c r="BL598" s="200"/>
      <c r="BM598" s="200"/>
      <c r="BN598" s="200"/>
    </row>
    <row r="599" customFormat="false" ht="7.5" hidden="false" customHeight="true" outlineLevel="0" collapsed="false">
      <c r="A599" s="198"/>
      <c r="B599" s="266"/>
      <c r="C599" s="266"/>
      <c r="D599" s="267"/>
      <c r="E599" s="242"/>
      <c r="F599" s="242"/>
      <c r="G599" s="242"/>
      <c r="H599" s="242"/>
      <c r="I599" s="242"/>
      <c r="J599" s="241"/>
      <c r="K599" s="241"/>
      <c r="L599" s="269"/>
      <c r="M599" s="269"/>
      <c r="N599" s="270"/>
      <c r="O599" s="269"/>
      <c r="P599" s="269"/>
      <c r="Q599" s="269"/>
      <c r="R599" s="269"/>
      <c r="S599" s="269"/>
      <c r="T599" s="269"/>
      <c r="U599" s="269"/>
      <c r="V599" s="269"/>
      <c r="W599" s="269"/>
      <c r="X599" s="269"/>
      <c r="Y599" s="269"/>
      <c r="Z599" s="269"/>
      <c r="AA599" s="268"/>
      <c r="AB599" s="271"/>
      <c r="AC599" s="271"/>
      <c r="AD599" s="271"/>
      <c r="AE599" s="271"/>
      <c r="AF599" s="271"/>
      <c r="AG599" s="271"/>
      <c r="AH599" s="271"/>
      <c r="AI599" s="271"/>
      <c r="AJ599" s="271"/>
      <c r="AK599" s="271"/>
      <c r="AL599" s="271"/>
      <c r="AM599" s="272"/>
      <c r="AN599" s="273"/>
      <c r="AO599" s="273"/>
      <c r="AP599" s="273"/>
      <c r="AQ599" s="268"/>
      <c r="AR599" s="271"/>
      <c r="AS599" s="271"/>
      <c r="AT599" s="271"/>
      <c r="AU599" s="271"/>
      <c r="AV599" s="271"/>
      <c r="AW599" s="271"/>
      <c r="AX599" s="271"/>
      <c r="AY599" s="271"/>
      <c r="AZ599" s="271"/>
      <c r="BA599" s="271"/>
      <c r="BB599" s="271"/>
      <c r="BC599" s="272"/>
      <c r="BD599" s="273"/>
      <c r="BE599" s="273"/>
      <c r="BF599" s="273"/>
      <c r="BG599" s="268"/>
      <c r="BH599" s="274"/>
      <c r="BI599" s="268"/>
      <c r="BL599" s="200"/>
      <c r="BM599" s="200"/>
      <c r="BN599" s="200"/>
    </row>
    <row r="600" customFormat="false" ht="15" hidden="false" customHeight="true" outlineLevel="0" collapsed="false">
      <c r="B600" s="275"/>
      <c r="D600" s="276" t="n">
        <f aca="false">D584</f>
        <v>45292</v>
      </c>
      <c r="E600" s="277" t="n">
        <v>0</v>
      </c>
      <c r="F600" s="277" t="n">
        <v>0</v>
      </c>
      <c r="G600" s="277" t="n">
        <v>0</v>
      </c>
      <c r="H600" s="277" t="n">
        <v>0</v>
      </c>
      <c r="I600" s="277" t="n">
        <v>0</v>
      </c>
      <c r="J600" s="278" t="n">
        <f aca="false">E600+H600+I600</f>
        <v>0</v>
      </c>
      <c r="K600" s="204"/>
      <c r="L600" s="279" t="n">
        <v>1</v>
      </c>
      <c r="M600" s="280" t="n">
        <f aca="false">1-L600</f>
        <v>0</v>
      </c>
      <c r="N600" s="281"/>
      <c r="O600" s="282"/>
      <c r="P600" s="282"/>
      <c r="Q600" s="282"/>
      <c r="R600" s="282"/>
      <c r="S600" s="282"/>
      <c r="T600" s="282"/>
      <c r="U600" s="282"/>
      <c r="V600" s="282"/>
      <c r="W600" s="282"/>
      <c r="X600" s="282"/>
      <c r="Y600" s="282"/>
      <c r="Z600" s="282"/>
      <c r="AA600" s="283"/>
      <c r="AB600" s="284" t="n">
        <f aca="false">IFERROR(($J600*O600)*$L600, "")</f>
        <v>0</v>
      </c>
      <c r="AC600" s="284" t="n">
        <f aca="false">IFERROR(($J600*P600)*$L600, "")</f>
        <v>0</v>
      </c>
      <c r="AD600" s="284" t="n">
        <f aca="false">IFERROR(($J600*Q600)*$L600, "")</f>
        <v>0</v>
      </c>
      <c r="AE600" s="284" t="n">
        <f aca="false">IFERROR(($J600*R600)*$L600, "")</f>
        <v>0</v>
      </c>
      <c r="AF600" s="284" t="n">
        <f aca="false">IFERROR(($J600*S600)*$L600, "")</f>
        <v>0</v>
      </c>
      <c r="AG600" s="284" t="n">
        <f aca="false">IFERROR(($J600*T600)*$L600, "")</f>
        <v>0</v>
      </c>
      <c r="AH600" s="284" t="n">
        <f aca="false">IFERROR(($J600*U600)*$L600, "")</f>
        <v>0</v>
      </c>
      <c r="AI600" s="284" t="n">
        <f aca="false">IFERROR(($J600*V600)*$L600, "")</f>
        <v>0</v>
      </c>
      <c r="AJ600" s="284" t="n">
        <f aca="false">IFERROR(($J600*W600)*$L600, "")</f>
        <v>0</v>
      </c>
      <c r="AK600" s="284" t="n">
        <f aca="false">IFERROR(($J600*X600)*$L600, "")</f>
        <v>0</v>
      </c>
      <c r="AL600" s="284" t="n">
        <f aca="false">IFERROR(($J600*Y600)*$L600, "")</f>
        <v>0</v>
      </c>
      <c r="AM600" s="285" t="n">
        <f aca="false">IFERROR(($J600*Z600)*$L600, "")</f>
        <v>0</v>
      </c>
      <c r="AN600" s="286" t="n">
        <f aca="false">IFERROR(SUMIF($AB$4:$AM$4, "RDEC", AB600:AM600), "")</f>
        <v>0</v>
      </c>
      <c r="AO600" s="286" t="n">
        <f aca="false">IFERROR(SUMIF($AB$4:$AM$4, "SME", AB600:AM600), "")</f>
        <v>0</v>
      </c>
      <c r="AP600" s="286" t="n">
        <f aca="false">IFERROR(SUMIF($AB$4:$AM$4, "De Minimis", AB600:AM600), "")</f>
        <v>0</v>
      </c>
      <c r="AQ600" s="283"/>
      <c r="AR600" s="284" t="n">
        <f aca="false">IFERROR(($J600*O600)*$M600, "")</f>
        <v>0</v>
      </c>
      <c r="AS600" s="284" t="n">
        <f aca="false">IFERROR(($J600*P600)*$M600, "")</f>
        <v>0</v>
      </c>
      <c r="AT600" s="284" t="n">
        <f aca="false">IFERROR(($J600*Q600)*$M600, "")</f>
        <v>0</v>
      </c>
      <c r="AU600" s="284" t="n">
        <f aca="false">IFERROR(($J600*R600)*$M600, "")</f>
        <v>0</v>
      </c>
      <c r="AV600" s="284" t="n">
        <f aca="false">IFERROR(($J600*S600)*$M600, "")</f>
        <v>0</v>
      </c>
      <c r="AW600" s="284" t="n">
        <f aca="false">IFERROR(($J600*T600)*$M600, "")</f>
        <v>0</v>
      </c>
      <c r="AX600" s="284" t="n">
        <f aca="false">IFERROR(($J600*U600)*$M600, "")</f>
        <v>0</v>
      </c>
      <c r="AY600" s="284" t="n">
        <f aca="false">IFERROR(($J600*V600)*$M600, "")</f>
        <v>0</v>
      </c>
      <c r="AZ600" s="284" t="n">
        <f aca="false">IFERROR(($J600*W600)*$M600, "")</f>
        <v>0</v>
      </c>
      <c r="BA600" s="284" t="n">
        <f aca="false">IFERROR(($J600*X600)*$M600, "")</f>
        <v>0</v>
      </c>
      <c r="BB600" s="284" t="n">
        <f aca="false">IFERROR(($J600*Y600)*$M600, "")</f>
        <v>0</v>
      </c>
      <c r="BC600" s="285" t="n">
        <f aca="false">IFERROR(($J600*Z600)*$M600, "")</f>
        <v>0</v>
      </c>
      <c r="BD600" s="286" t="n">
        <f aca="false">IFERROR(SUMIF($AB$4:$AM$4, "RDEC", AR600:BC600), "")</f>
        <v>0</v>
      </c>
      <c r="BE600" s="286" t="n">
        <f aca="false">IFERROR(SUMIF($AB$4:$AM$4, "SME", AR600:BC600), "")</f>
        <v>0</v>
      </c>
      <c r="BF600" s="286" t="n">
        <f aca="false">IFERROR(SUMIF($AB$4:$AM$4, "De Minimis", AR600:BC600), "")</f>
        <v>0</v>
      </c>
      <c r="BG600" s="287"/>
      <c r="BH600" s="288" t="str">
        <f aca="false">IF((SUM(O600:Z600)&gt;1),"ERROR","")</f>
        <v/>
      </c>
      <c r="BI600" s="287"/>
      <c r="BJ600" s="18" t="str">
        <f aca="false">IF(C586&gt;0, C586, "")</f>
        <v/>
      </c>
      <c r="BL600" s="200"/>
      <c r="BM600" s="200"/>
      <c r="BN600" s="200"/>
    </row>
    <row r="601" customFormat="false" ht="15" hidden="false" customHeight="true" outlineLevel="0" collapsed="false">
      <c r="B601" s="275"/>
      <c r="D601" s="276" t="n">
        <f aca="false">D585</f>
        <v>45323</v>
      </c>
      <c r="E601" s="277" t="n">
        <v>0</v>
      </c>
      <c r="F601" s="277" t="n">
        <v>0</v>
      </c>
      <c r="G601" s="277" t="n">
        <v>0</v>
      </c>
      <c r="H601" s="277" t="n">
        <v>0</v>
      </c>
      <c r="I601" s="277" t="n">
        <v>0</v>
      </c>
      <c r="J601" s="278" t="n">
        <f aca="false">E601+H601+I601</f>
        <v>0</v>
      </c>
      <c r="K601" s="204"/>
      <c r="L601" s="279" t="n">
        <v>1</v>
      </c>
      <c r="M601" s="280" t="n">
        <f aca="false">1-L601</f>
        <v>0</v>
      </c>
      <c r="N601" s="281"/>
      <c r="O601" s="282"/>
      <c r="P601" s="282"/>
      <c r="Q601" s="282"/>
      <c r="R601" s="282"/>
      <c r="S601" s="282"/>
      <c r="T601" s="282"/>
      <c r="U601" s="282"/>
      <c r="V601" s="282"/>
      <c r="W601" s="282"/>
      <c r="X601" s="282"/>
      <c r="Y601" s="282"/>
      <c r="Z601" s="282"/>
      <c r="AA601" s="283"/>
      <c r="AB601" s="284" t="n">
        <f aca="false">IFERROR(($J601*O601)*$L601, "")</f>
        <v>0</v>
      </c>
      <c r="AC601" s="284" t="n">
        <f aca="false">IFERROR(($J601*P601)*$L601, "")</f>
        <v>0</v>
      </c>
      <c r="AD601" s="284" t="n">
        <f aca="false">IFERROR(($J601*Q601)*$L601, "")</f>
        <v>0</v>
      </c>
      <c r="AE601" s="284" t="n">
        <f aca="false">IFERROR(($J601*R601)*$L601, "")</f>
        <v>0</v>
      </c>
      <c r="AF601" s="284" t="n">
        <f aca="false">IFERROR(($J601*S601)*$L601, "")</f>
        <v>0</v>
      </c>
      <c r="AG601" s="284" t="n">
        <f aca="false">IFERROR(($J601*T601)*$L601, "")</f>
        <v>0</v>
      </c>
      <c r="AH601" s="284" t="n">
        <f aca="false">IFERROR(($J601*U601)*$L601, "")</f>
        <v>0</v>
      </c>
      <c r="AI601" s="284" t="n">
        <f aca="false">IFERROR(($J601*V601)*$L601, "")</f>
        <v>0</v>
      </c>
      <c r="AJ601" s="284" t="n">
        <f aca="false">IFERROR(($J601*W601)*$L601, "")</f>
        <v>0</v>
      </c>
      <c r="AK601" s="284" t="n">
        <f aca="false">IFERROR(($J601*X601)*$L601, "")</f>
        <v>0</v>
      </c>
      <c r="AL601" s="284" t="n">
        <f aca="false">IFERROR(($J601*Y601)*$L601, "")</f>
        <v>0</v>
      </c>
      <c r="AM601" s="285" t="n">
        <f aca="false">IFERROR(($J601*Z601)*$L601, "")</f>
        <v>0</v>
      </c>
      <c r="AN601" s="286" t="n">
        <f aca="false">IFERROR(SUMIF($AB$4:$AM$4, "RDEC", AB601:AM601), "")</f>
        <v>0</v>
      </c>
      <c r="AO601" s="286" t="n">
        <f aca="false">IFERROR(SUMIF($AB$4:$AM$4, "SME", AB601:AM601), "")</f>
        <v>0</v>
      </c>
      <c r="AP601" s="286" t="n">
        <f aca="false">IFERROR(SUMIF($AB$4:$AM$4, "De Minimis", AB601:AM601), "")</f>
        <v>0</v>
      </c>
      <c r="AQ601" s="283"/>
      <c r="AR601" s="284" t="n">
        <f aca="false">IFERROR(($J601*O601)*$M601, "")</f>
        <v>0</v>
      </c>
      <c r="AS601" s="284" t="n">
        <f aca="false">IFERROR(($J601*P601)*$M601, "")</f>
        <v>0</v>
      </c>
      <c r="AT601" s="284" t="n">
        <f aca="false">IFERROR(($J601*Q601)*$M601, "")</f>
        <v>0</v>
      </c>
      <c r="AU601" s="284" t="n">
        <f aca="false">IFERROR(($J601*R601)*$M601, "")</f>
        <v>0</v>
      </c>
      <c r="AV601" s="284" t="n">
        <f aca="false">IFERROR(($J601*S601)*$M601, "")</f>
        <v>0</v>
      </c>
      <c r="AW601" s="284" t="n">
        <f aca="false">IFERROR(($J601*T601)*$M601, "")</f>
        <v>0</v>
      </c>
      <c r="AX601" s="284" t="n">
        <f aca="false">IFERROR(($J601*U601)*$M601, "")</f>
        <v>0</v>
      </c>
      <c r="AY601" s="284" t="n">
        <f aca="false">IFERROR(($J601*V601)*$M601, "")</f>
        <v>0</v>
      </c>
      <c r="AZ601" s="284" t="n">
        <f aca="false">IFERROR(($J601*W601)*$M601, "")</f>
        <v>0</v>
      </c>
      <c r="BA601" s="284" t="n">
        <f aca="false">IFERROR(($J601*X601)*$M601, "")</f>
        <v>0</v>
      </c>
      <c r="BB601" s="284" t="n">
        <f aca="false">IFERROR(($J601*Y601)*$M601, "")</f>
        <v>0</v>
      </c>
      <c r="BC601" s="285" t="n">
        <f aca="false">IFERROR(($J601*Z601)*$M601, "")</f>
        <v>0</v>
      </c>
      <c r="BD601" s="286" t="n">
        <f aca="false">IFERROR(SUMIF($AB$4:$AM$4, "RDEC", AR601:BC601), "")</f>
        <v>0</v>
      </c>
      <c r="BE601" s="286" t="n">
        <f aca="false">IFERROR(SUMIF($AB$4:$AM$4, "SME", AR601:BC601), "")</f>
        <v>0</v>
      </c>
      <c r="BF601" s="286" t="n">
        <f aca="false">IFERROR(SUMIF($AB$4:$AM$4, "De Minimis", AR601:BC601), "")</f>
        <v>0</v>
      </c>
      <c r="BG601" s="287"/>
      <c r="BH601" s="288" t="str">
        <f aca="false">IF((SUM(O601:Z601)&gt;1),"ERROR","")</f>
        <v/>
      </c>
      <c r="BI601" s="287"/>
      <c r="BJ601" s="18" t="str">
        <f aca="false">IF(C587&gt;0, C587, "")</f>
        <v/>
      </c>
      <c r="BL601" s="200"/>
      <c r="BM601" s="200"/>
      <c r="BN601" s="200"/>
    </row>
    <row r="602" customFormat="false" ht="15" hidden="false" customHeight="true" outlineLevel="0" collapsed="false">
      <c r="B602" s="275"/>
      <c r="D602" s="276" t="n">
        <f aca="false">D586</f>
        <v>45352</v>
      </c>
      <c r="E602" s="277" t="n">
        <v>0</v>
      </c>
      <c r="F602" s="277" t="n">
        <v>0</v>
      </c>
      <c r="G602" s="277" t="n">
        <v>0</v>
      </c>
      <c r="H602" s="277" t="n">
        <v>0</v>
      </c>
      <c r="I602" s="277" t="n">
        <v>0</v>
      </c>
      <c r="J602" s="278" t="n">
        <f aca="false">E602+H602+I602</f>
        <v>0</v>
      </c>
      <c r="K602" s="204"/>
      <c r="L602" s="279" t="n">
        <v>1</v>
      </c>
      <c r="M602" s="280" t="n">
        <f aca="false">1-L602</f>
        <v>0</v>
      </c>
      <c r="N602" s="281"/>
      <c r="O602" s="282"/>
      <c r="P602" s="282"/>
      <c r="Q602" s="282"/>
      <c r="R602" s="282"/>
      <c r="S602" s="282"/>
      <c r="T602" s="282"/>
      <c r="U602" s="282"/>
      <c r="V602" s="282"/>
      <c r="W602" s="282"/>
      <c r="X602" s="282"/>
      <c r="Y602" s="282"/>
      <c r="Z602" s="282"/>
      <c r="AA602" s="283"/>
      <c r="AB602" s="284" t="n">
        <f aca="false">IFERROR(($J602*O602)*$L602, "")</f>
        <v>0</v>
      </c>
      <c r="AC602" s="284" t="n">
        <f aca="false">IFERROR(($J602*P602)*$L602, "")</f>
        <v>0</v>
      </c>
      <c r="AD602" s="284" t="n">
        <f aca="false">IFERROR(($J602*Q602)*$L602, "")</f>
        <v>0</v>
      </c>
      <c r="AE602" s="284" t="n">
        <f aca="false">IFERROR(($J602*R602)*$L602, "")</f>
        <v>0</v>
      </c>
      <c r="AF602" s="284" t="n">
        <f aca="false">IFERROR(($J602*S602)*$L602, "")</f>
        <v>0</v>
      </c>
      <c r="AG602" s="284" t="n">
        <f aca="false">IFERROR(($J602*T602)*$L602, "")</f>
        <v>0</v>
      </c>
      <c r="AH602" s="284" t="n">
        <f aca="false">IFERROR(($J602*U602)*$L602, "")</f>
        <v>0</v>
      </c>
      <c r="AI602" s="284" t="n">
        <f aca="false">IFERROR(($J602*V602)*$L602, "")</f>
        <v>0</v>
      </c>
      <c r="AJ602" s="284" t="n">
        <f aca="false">IFERROR(($J602*W602)*$L602, "")</f>
        <v>0</v>
      </c>
      <c r="AK602" s="284" t="n">
        <f aca="false">IFERROR(($J602*X602)*$L602, "")</f>
        <v>0</v>
      </c>
      <c r="AL602" s="284" t="n">
        <f aca="false">IFERROR(($J602*Y602)*$L602, "")</f>
        <v>0</v>
      </c>
      <c r="AM602" s="285" t="n">
        <f aca="false">IFERROR(($J602*Z602)*$L602, "")</f>
        <v>0</v>
      </c>
      <c r="AN602" s="286" t="n">
        <f aca="false">IFERROR(SUMIF($AB$4:$AM$4, "RDEC", AB602:AM602), "")</f>
        <v>0</v>
      </c>
      <c r="AO602" s="286" t="n">
        <f aca="false">IFERROR(SUMIF($AB$4:$AM$4, "SME", AB602:AM602), "")</f>
        <v>0</v>
      </c>
      <c r="AP602" s="286" t="n">
        <f aca="false">IFERROR(SUMIF($AB$4:$AM$4, "De Minimis", AB602:AM602), "")</f>
        <v>0</v>
      </c>
      <c r="AQ602" s="283"/>
      <c r="AR602" s="284" t="n">
        <f aca="false">IFERROR(($J602*O602)*$M602, "")</f>
        <v>0</v>
      </c>
      <c r="AS602" s="284" t="n">
        <f aca="false">IFERROR(($J602*P602)*$M602, "")</f>
        <v>0</v>
      </c>
      <c r="AT602" s="284" t="n">
        <f aca="false">IFERROR(($J602*Q602)*$M602, "")</f>
        <v>0</v>
      </c>
      <c r="AU602" s="284" t="n">
        <f aca="false">IFERROR(($J602*R602)*$M602, "")</f>
        <v>0</v>
      </c>
      <c r="AV602" s="284" t="n">
        <f aca="false">IFERROR(($J602*S602)*$M602, "")</f>
        <v>0</v>
      </c>
      <c r="AW602" s="284" t="n">
        <f aca="false">IFERROR(($J602*T602)*$M602, "")</f>
        <v>0</v>
      </c>
      <c r="AX602" s="284" t="n">
        <f aca="false">IFERROR(($J602*U602)*$M602, "")</f>
        <v>0</v>
      </c>
      <c r="AY602" s="284" t="n">
        <f aca="false">IFERROR(($J602*V602)*$M602, "")</f>
        <v>0</v>
      </c>
      <c r="AZ602" s="284" t="n">
        <f aca="false">IFERROR(($J602*W602)*$M602, "")</f>
        <v>0</v>
      </c>
      <c r="BA602" s="284" t="n">
        <f aca="false">IFERROR(($J602*X602)*$M602, "")</f>
        <v>0</v>
      </c>
      <c r="BB602" s="284" t="n">
        <f aca="false">IFERROR(($J602*Y602)*$M602, "")</f>
        <v>0</v>
      </c>
      <c r="BC602" s="285" t="n">
        <f aca="false">IFERROR(($J602*Z602)*$M602, "")</f>
        <v>0</v>
      </c>
      <c r="BD602" s="286" t="n">
        <f aca="false">IFERROR(SUMIF($AB$4:$AM$4, "RDEC", AR602:BC602), "")</f>
        <v>0</v>
      </c>
      <c r="BE602" s="286" t="n">
        <f aca="false">IFERROR(SUMIF($AB$4:$AM$4, "SME", AR602:BC602), "")</f>
        <v>0</v>
      </c>
      <c r="BF602" s="286" t="n">
        <f aca="false">IFERROR(SUMIF($AB$4:$AM$4, "De Minimis", AR602:BC602), "")</f>
        <v>0</v>
      </c>
      <c r="BG602" s="287"/>
      <c r="BH602" s="288" t="str">
        <f aca="false">IF((SUM(O602:Z602)&gt;1),"ERROR","")</f>
        <v/>
      </c>
      <c r="BI602" s="287"/>
      <c r="BJ602" s="18" t="str">
        <f aca="false">IF(C588&gt;0, C588, "")</f>
        <v/>
      </c>
      <c r="BL602" s="200"/>
      <c r="BM602" s="200"/>
      <c r="BN602" s="200"/>
    </row>
    <row r="603" customFormat="false" ht="15" hidden="false" customHeight="true" outlineLevel="0" collapsed="false">
      <c r="B603" s="275"/>
      <c r="D603" s="276" t="n">
        <f aca="false">D587</f>
        <v>45383</v>
      </c>
      <c r="E603" s="277" t="n">
        <v>0</v>
      </c>
      <c r="F603" s="277" t="n">
        <v>0</v>
      </c>
      <c r="G603" s="277" t="n">
        <v>0</v>
      </c>
      <c r="H603" s="277" t="n">
        <v>0</v>
      </c>
      <c r="I603" s="277" t="n">
        <v>0</v>
      </c>
      <c r="J603" s="278" t="n">
        <f aca="false">E603+H603+I603</f>
        <v>0</v>
      </c>
      <c r="K603" s="204"/>
      <c r="L603" s="279" t="n">
        <v>1</v>
      </c>
      <c r="M603" s="280" t="n">
        <f aca="false">1-L603</f>
        <v>0</v>
      </c>
      <c r="N603" s="281"/>
      <c r="O603" s="282"/>
      <c r="P603" s="282"/>
      <c r="Q603" s="282"/>
      <c r="R603" s="282"/>
      <c r="S603" s="282"/>
      <c r="T603" s="282"/>
      <c r="U603" s="282"/>
      <c r="V603" s="282"/>
      <c r="W603" s="282"/>
      <c r="X603" s="282"/>
      <c r="Y603" s="282"/>
      <c r="Z603" s="282"/>
      <c r="AA603" s="283"/>
      <c r="AB603" s="284" t="n">
        <f aca="false">IFERROR(($J603*O603)*$L603, "")</f>
        <v>0</v>
      </c>
      <c r="AC603" s="284" t="n">
        <f aca="false">IFERROR(($J603*P603)*$L603, "")</f>
        <v>0</v>
      </c>
      <c r="AD603" s="284" t="n">
        <f aca="false">IFERROR(($J603*Q603)*$L603, "")</f>
        <v>0</v>
      </c>
      <c r="AE603" s="284" t="n">
        <f aca="false">IFERROR(($J603*R603)*$L603, "")</f>
        <v>0</v>
      </c>
      <c r="AF603" s="284" t="n">
        <f aca="false">IFERROR(($J603*S603)*$L603, "")</f>
        <v>0</v>
      </c>
      <c r="AG603" s="284" t="n">
        <f aca="false">IFERROR(($J603*T603)*$L603, "")</f>
        <v>0</v>
      </c>
      <c r="AH603" s="284" t="n">
        <f aca="false">IFERROR(($J603*U603)*$L603, "")</f>
        <v>0</v>
      </c>
      <c r="AI603" s="284" t="n">
        <f aca="false">IFERROR(($J603*V603)*$L603, "")</f>
        <v>0</v>
      </c>
      <c r="AJ603" s="284" t="n">
        <f aca="false">IFERROR(($J603*W603)*$L603, "")</f>
        <v>0</v>
      </c>
      <c r="AK603" s="284" t="n">
        <f aca="false">IFERROR(($J603*X603)*$L603, "")</f>
        <v>0</v>
      </c>
      <c r="AL603" s="284" t="n">
        <f aca="false">IFERROR(($J603*Y603)*$L603, "")</f>
        <v>0</v>
      </c>
      <c r="AM603" s="285" t="n">
        <f aca="false">IFERROR(($J603*Z603)*$L603, "")</f>
        <v>0</v>
      </c>
      <c r="AN603" s="286" t="n">
        <f aca="false">IFERROR(SUMIF($AB$4:$AM$4, "RDEC", AB603:AM603), "")</f>
        <v>0</v>
      </c>
      <c r="AO603" s="286" t="n">
        <f aca="false">IFERROR(SUMIF($AB$4:$AM$4, "SME", AB603:AM603), "")</f>
        <v>0</v>
      </c>
      <c r="AP603" s="286" t="n">
        <f aca="false">IFERROR(SUMIF($AB$4:$AM$4, "De Minimis", AB603:AM603), "")</f>
        <v>0</v>
      </c>
      <c r="AQ603" s="283"/>
      <c r="AR603" s="284" t="n">
        <f aca="false">IFERROR(($J603*O603)*$M603, "")</f>
        <v>0</v>
      </c>
      <c r="AS603" s="284" t="n">
        <f aca="false">IFERROR(($J603*P603)*$M603, "")</f>
        <v>0</v>
      </c>
      <c r="AT603" s="284" t="n">
        <f aca="false">IFERROR(($J603*Q603)*$M603, "")</f>
        <v>0</v>
      </c>
      <c r="AU603" s="284" t="n">
        <f aca="false">IFERROR(($J603*R603)*$M603, "")</f>
        <v>0</v>
      </c>
      <c r="AV603" s="284" t="n">
        <f aca="false">IFERROR(($J603*S603)*$M603, "")</f>
        <v>0</v>
      </c>
      <c r="AW603" s="284" t="n">
        <f aca="false">IFERROR(($J603*T603)*$M603, "")</f>
        <v>0</v>
      </c>
      <c r="AX603" s="284" t="n">
        <f aca="false">IFERROR(($J603*U603)*$M603, "")</f>
        <v>0</v>
      </c>
      <c r="AY603" s="284" t="n">
        <f aca="false">IFERROR(($J603*V603)*$M603, "")</f>
        <v>0</v>
      </c>
      <c r="AZ603" s="284" t="n">
        <f aca="false">IFERROR(($J603*W603)*$M603, "")</f>
        <v>0</v>
      </c>
      <c r="BA603" s="284" t="n">
        <f aca="false">IFERROR(($J603*X603)*$M603, "")</f>
        <v>0</v>
      </c>
      <c r="BB603" s="284" t="n">
        <f aca="false">IFERROR(($J603*Y603)*$M603, "")</f>
        <v>0</v>
      </c>
      <c r="BC603" s="285" t="n">
        <f aca="false">IFERROR(($J603*Z603)*$M603, "")</f>
        <v>0</v>
      </c>
      <c r="BD603" s="286" t="n">
        <f aca="false">IFERROR(SUMIF($AB$4:$AM$4, "RDEC", AR603:BC603), "")</f>
        <v>0</v>
      </c>
      <c r="BE603" s="286" t="n">
        <f aca="false">IFERROR(SUMIF($AB$4:$AM$4, "SME", AR603:BC603), "")</f>
        <v>0</v>
      </c>
      <c r="BF603" s="286" t="n">
        <f aca="false">IFERROR(SUMIF($AB$4:$AM$4, "De Minimis", AR603:BC603), "")</f>
        <v>0</v>
      </c>
      <c r="BG603" s="287"/>
      <c r="BH603" s="288" t="str">
        <f aca="false">IF((SUM(O603:Z603)&gt;1),"ERROR","")</f>
        <v/>
      </c>
      <c r="BI603" s="287"/>
      <c r="BJ603" s="18" t="str">
        <f aca="false">IF(C589&gt;0, C589, "")</f>
        <v/>
      </c>
      <c r="BL603" s="200"/>
      <c r="BM603" s="200"/>
      <c r="BN603" s="200"/>
    </row>
    <row r="604" customFormat="false" ht="15" hidden="false" customHeight="true" outlineLevel="0" collapsed="false">
      <c r="B604" s="275"/>
      <c r="D604" s="276" t="n">
        <f aca="false">D588</f>
        <v>45413</v>
      </c>
      <c r="E604" s="277" t="n">
        <v>0</v>
      </c>
      <c r="F604" s="277" t="n">
        <v>0</v>
      </c>
      <c r="G604" s="277" t="n">
        <v>0</v>
      </c>
      <c r="H604" s="277" t="n">
        <v>0</v>
      </c>
      <c r="I604" s="277" t="n">
        <v>0</v>
      </c>
      <c r="J604" s="278" t="n">
        <f aca="false">E604+H604+I604</f>
        <v>0</v>
      </c>
      <c r="K604" s="204"/>
      <c r="L604" s="279" t="n">
        <v>1</v>
      </c>
      <c r="M604" s="280" t="n">
        <f aca="false">1-L604</f>
        <v>0</v>
      </c>
      <c r="N604" s="281"/>
      <c r="O604" s="282"/>
      <c r="P604" s="282"/>
      <c r="Q604" s="282"/>
      <c r="R604" s="282"/>
      <c r="S604" s="282"/>
      <c r="T604" s="282"/>
      <c r="U604" s="282"/>
      <c r="V604" s="282"/>
      <c r="W604" s="282"/>
      <c r="X604" s="282"/>
      <c r="Y604" s="282"/>
      <c r="Z604" s="282"/>
      <c r="AA604" s="283"/>
      <c r="AB604" s="284" t="n">
        <f aca="false">IFERROR(($J604*O604)*$L604, "")</f>
        <v>0</v>
      </c>
      <c r="AC604" s="284" t="n">
        <f aca="false">IFERROR(($J604*P604)*$L604, "")</f>
        <v>0</v>
      </c>
      <c r="AD604" s="284" t="n">
        <f aca="false">IFERROR(($J604*Q604)*$L604, "")</f>
        <v>0</v>
      </c>
      <c r="AE604" s="284" t="n">
        <f aca="false">IFERROR(($J604*R604)*$L604, "")</f>
        <v>0</v>
      </c>
      <c r="AF604" s="284" t="n">
        <f aca="false">IFERROR(($J604*S604)*$L604, "")</f>
        <v>0</v>
      </c>
      <c r="AG604" s="284" t="n">
        <f aca="false">IFERROR(($J604*T604)*$L604, "")</f>
        <v>0</v>
      </c>
      <c r="AH604" s="284" t="n">
        <f aca="false">IFERROR(($J604*U604)*$L604, "")</f>
        <v>0</v>
      </c>
      <c r="AI604" s="284" t="n">
        <f aca="false">IFERROR(($J604*V604)*$L604, "")</f>
        <v>0</v>
      </c>
      <c r="AJ604" s="284" t="n">
        <f aca="false">IFERROR(($J604*W604)*$L604, "")</f>
        <v>0</v>
      </c>
      <c r="AK604" s="284" t="n">
        <f aca="false">IFERROR(($J604*X604)*$L604, "")</f>
        <v>0</v>
      </c>
      <c r="AL604" s="284" t="n">
        <f aca="false">IFERROR(($J604*Y604)*$L604, "")</f>
        <v>0</v>
      </c>
      <c r="AM604" s="285" t="n">
        <f aca="false">IFERROR(($J604*Z604)*$L604, "")</f>
        <v>0</v>
      </c>
      <c r="AN604" s="286" t="n">
        <f aca="false">IFERROR(SUMIF($AB$4:$AM$4, "RDEC", AB604:AM604), "")</f>
        <v>0</v>
      </c>
      <c r="AO604" s="286" t="n">
        <f aca="false">IFERROR(SUMIF($AB$4:$AM$4, "SME", AB604:AM604), "")</f>
        <v>0</v>
      </c>
      <c r="AP604" s="286" t="n">
        <f aca="false">IFERROR(SUMIF($AB$4:$AM$4, "De Minimis", AB604:AM604), "")</f>
        <v>0</v>
      </c>
      <c r="AQ604" s="283"/>
      <c r="AR604" s="284" t="n">
        <f aca="false">IFERROR(($J604*O604)*$M604, "")</f>
        <v>0</v>
      </c>
      <c r="AS604" s="284" t="n">
        <f aca="false">IFERROR(($J604*P604)*$M604, "")</f>
        <v>0</v>
      </c>
      <c r="AT604" s="284" t="n">
        <f aca="false">IFERROR(($J604*Q604)*$M604, "")</f>
        <v>0</v>
      </c>
      <c r="AU604" s="284" t="n">
        <f aca="false">IFERROR(($J604*R604)*$M604, "")</f>
        <v>0</v>
      </c>
      <c r="AV604" s="284" t="n">
        <f aca="false">IFERROR(($J604*S604)*$M604, "")</f>
        <v>0</v>
      </c>
      <c r="AW604" s="284" t="n">
        <f aca="false">IFERROR(($J604*T604)*$M604, "")</f>
        <v>0</v>
      </c>
      <c r="AX604" s="284" t="n">
        <f aca="false">IFERROR(($J604*U604)*$M604, "")</f>
        <v>0</v>
      </c>
      <c r="AY604" s="284" t="n">
        <f aca="false">IFERROR(($J604*V604)*$M604, "")</f>
        <v>0</v>
      </c>
      <c r="AZ604" s="284" t="n">
        <f aca="false">IFERROR(($J604*W604)*$M604, "")</f>
        <v>0</v>
      </c>
      <c r="BA604" s="284" t="n">
        <f aca="false">IFERROR(($J604*X604)*$M604, "")</f>
        <v>0</v>
      </c>
      <c r="BB604" s="284" t="n">
        <f aca="false">IFERROR(($J604*Y604)*$M604, "")</f>
        <v>0</v>
      </c>
      <c r="BC604" s="285" t="n">
        <f aca="false">IFERROR(($J604*Z604)*$M604, "")</f>
        <v>0</v>
      </c>
      <c r="BD604" s="286" t="n">
        <f aca="false">IFERROR(SUMIF($AB$4:$AM$4, "RDEC", AR604:BC604), "")</f>
        <v>0</v>
      </c>
      <c r="BE604" s="286" t="n">
        <f aca="false">IFERROR(SUMIF($AB$4:$AM$4, "SME", AR604:BC604), "")</f>
        <v>0</v>
      </c>
      <c r="BF604" s="286" t="n">
        <f aca="false">IFERROR(SUMIF($AB$4:$AM$4, "De Minimis", AR604:BC604), "")</f>
        <v>0</v>
      </c>
      <c r="BG604" s="287"/>
      <c r="BH604" s="288" t="str">
        <f aca="false">IF((SUM(O604:Z604)&gt;1),"ERROR","")</f>
        <v/>
      </c>
      <c r="BI604" s="287"/>
      <c r="BJ604" s="18" t="str">
        <f aca="false">IF(C590&gt;0, C590, "")</f>
        <v/>
      </c>
      <c r="BL604" s="200"/>
      <c r="BM604" s="200"/>
      <c r="BN604" s="200"/>
    </row>
    <row r="605" customFormat="false" ht="15" hidden="false" customHeight="true" outlineLevel="0" collapsed="false">
      <c r="B605" s="275"/>
      <c r="D605" s="276" t="n">
        <f aca="false">D589</f>
        <v>45444</v>
      </c>
      <c r="E605" s="277" t="n">
        <v>0</v>
      </c>
      <c r="F605" s="277" t="n">
        <v>0</v>
      </c>
      <c r="G605" s="277" t="n">
        <v>0</v>
      </c>
      <c r="H605" s="277" t="n">
        <v>0</v>
      </c>
      <c r="I605" s="277" t="n">
        <v>0</v>
      </c>
      <c r="J605" s="278" t="n">
        <f aca="false">E605+H605+I605</f>
        <v>0</v>
      </c>
      <c r="K605" s="204"/>
      <c r="L605" s="279" t="n">
        <v>1</v>
      </c>
      <c r="M605" s="280" t="n">
        <f aca="false">1-L605</f>
        <v>0</v>
      </c>
      <c r="N605" s="281"/>
      <c r="O605" s="282"/>
      <c r="P605" s="282"/>
      <c r="Q605" s="282"/>
      <c r="R605" s="282"/>
      <c r="S605" s="282"/>
      <c r="T605" s="282"/>
      <c r="U605" s="282"/>
      <c r="V605" s="282"/>
      <c r="W605" s="282"/>
      <c r="X605" s="282"/>
      <c r="Y605" s="282"/>
      <c r="Z605" s="282"/>
      <c r="AA605" s="283"/>
      <c r="AB605" s="284" t="n">
        <f aca="false">IFERROR(($J605*O605)*$L605, "")</f>
        <v>0</v>
      </c>
      <c r="AC605" s="284" t="n">
        <f aca="false">IFERROR(($J605*P605)*$L605, "")</f>
        <v>0</v>
      </c>
      <c r="AD605" s="284" t="n">
        <f aca="false">IFERROR(($J605*Q605)*$L605, "")</f>
        <v>0</v>
      </c>
      <c r="AE605" s="284" t="n">
        <f aca="false">IFERROR(($J605*R605)*$L605, "")</f>
        <v>0</v>
      </c>
      <c r="AF605" s="284" t="n">
        <f aca="false">IFERROR(($J605*S605)*$L605, "")</f>
        <v>0</v>
      </c>
      <c r="AG605" s="284" t="n">
        <f aca="false">IFERROR(($J605*T605)*$L605, "")</f>
        <v>0</v>
      </c>
      <c r="AH605" s="284" t="n">
        <f aca="false">IFERROR(($J605*U605)*$L605, "")</f>
        <v>0</v>
      </c>
      <c r="AI605" s="284" t="n">
        <f aca="false">IFERROR(($J605*V605)*$L605, "")</f>
        <v>0</v>
      </c>
      <c r="AJ605" s="284" t="n">
        <f aca="false">IFERROR(($J605*W605)*$L605, "")</f>
        <v>0</v>
      </c>
      <c r="AK605" s="284" t="n">
        <f aca="false">IFERROR(($J605*X605)*$L605, "")</f>
        <v>0</v>
      </c>
      <c r="AL605" s="284" t="n">
        <f aca="false">IFERROR(($J605*Y605)*$L605, "")</f>
        <v>0</v>
      </c>
      <c r="AM605" s="285" t="n">
        <f aca="false">IFERROR(($J605*Z605)*$L605, "")</f>
        <v>0</v>
      </c>
      <c r="AN605" s="286" t="n">
        <f aca="false">IFERROR(SUMIF($AB$4:$AM$4, "RDEC", AB605:AM605), "")</f>
        <v>0</v>
      </c>
      <c r="AO605" s="286" t="n">
        <f aca="false">IFERROR(SUMIF($AB$4:$AM$4, "SME", AB605:AM605), "")</f>
        <v>0</v>
      </c>
      <c r="AP605" s="286" t="n">
        <f aca="false">IFERROR(SUMIF($AB$4:$AM$4, "De Minimis", AB605:AM605), "")</f>
        <v>0</v>
      </c>
      <c r="AQ605" s="283"/>
      <c r="AR605" s="284" t="n">
        <f aca="false">IFERROR(($J605*O605)*$M605, "")</f>
        <v>0</v>
      </c>
      <c r="AS605" s="284" t="n">
        <f aca="false">IFERROR(($J605*P605)*$M605, "")</f>
        <v>0</v>
      </c>
      <c r="AT605" s="284" t="n">
        <f aca="false">IFERROR(($J605*Q605)*$M605, "")</f>
        <v>0</v>
      </c>
      <c r="AU605" s="284" t="n">
        <f aca="false">IFERROR(($J605*R605)*$M605, "")</f>
        <v>0</v>
      </c>
      <c r="AV605" s="284" t="n">
        <f aca="false">IFERROR(($J605*S605)*$M605, "")</f>
        <v>0</v>
      </c>
      <c r="AW605" s="284" t="n">
        <f aca="false">IFERROR(($J605*T605)*$M605, "")</f>
        <v>0</v>
      </c>
      <c r="AX605" s="284" t="n">
        <f aca="false">IFERROR(($J605*U605)*$M605, "")</f>
        <v>0</v>
      </c>
      <c r="AY605" s="284" t="n">
        <f aca="false">IFERROR(($J605*V605)*$M605, "")</f>
        <v>0</v>
      </c>
      <c r="AZ605" s="284" t="n">
        <f aca="false">IFERROR(($J605*W605)*$M605, "")</f>
        <v>0</v>
      </c>
      <c r="BA605" s="284" t="n">
        <f aca="false">IFERROR(($J605*X605)*$M605, "")</f>
        <v>0</v>
      </c>
      <c r="BB605" s="284" t="n">
        <f aca="false">IFERROR(($J605*Y605)*$M605, "")</f>
        <v>0</v>
      </c>
      <c r="BC605" s="285" t="n">
        <f aca="false">IFERROR(($J605*Z605)*$M605, "")</f>
        <v>0</v>
      </c>
      <c r="BD605" s="286" t="n">
        <f aca="false">IFERROR(SUMIF($AB$4:$AM$4, "RDEC", AR605:BC605), "")</f>
        <v>0</v>
      </c>
      <c r="BE605" s="286" t="n">
        <f aca="false">IFERROR(SUMIF($AB$4:$AM$4, "SME", AR605:BC605), "")</f>
        <v>0</v>
      </c>
      <c r="BF605" s="286" t="n">
        <f aca="false">IFERROR(SUMIF($AB$4:$AM$4, "De Minimis", AR605:BC605), "")</f>
        <v>0</v>
      </c>
      <c r="BG605" s="287"/>
      <c r="BH605" s="288" t="str">
        <f aca="false">IF((SUM(O605:Z605)&gt;1),"ERROR","")</f>
        <v/>
      </c>
      <c r="BI605" s="287"/>
      <c r="BJ605" s="18" t="str">
        <f aca="false">IF(C591&gt;0, C591, "")</f>
        <v/>
      </c>
      <c r="BL605" s="200"/>
      <c r="BM605" s="200"/>
      <c r="BN605" s="200"/>
    </row>
    <row r="606" customFormat="false" ht="15" hidden="false" customHeight="true" outlineLevel="0" collapsed="false">
      <c r="B606" s="275"/>
      <c r="D606" s="276" t="n">
        <f aca="false">D590</f>
        <v>45474</v>
      </c>
      <c r="E606" s="277" t="n">
        <v>0</v>
      </c>
      <c r="F606" s="277" t="n">
        <v>0</v>
      </c>
      <c r="G606" s="277" t="n">
        <v>0</v>
      </c>
      <c r="H606" s="277" t="n">
        <v>0</v>
      </c>
      <c r="I606" s="277" t="n">
        <v>0</v>
      </c>
      <c r="J606" s="278" t="n">
        <f aca="false">E606+H606+I606</f>
        <v>0</v>
      </c>
      <c r="K606" s="204"/>
      <c r="L606" s="279" t="n">
        <v>1</v>
      </c>
      <c r="M606" s="280" t="n">
        <f aca="false">1-L606</f>
        <v>0</v>
      </c>
      <c r="N606" s="281"/>
      <c r="O606" s="282"/>
      <c r="P606" s="282"/>
      <c r="Q606" s="282"/>
      <c r="R606" s="282"/>
      <c r="S606" s="282"/>
      <c r="T606" s="282"/>
      <c r="U606" s="282"/>
      <c r="V606" s="282"/>
      <c r="W606" s="282"/>
      <c r="X606" s="282"/>
      <c r="Y606" s="282"/>
      <c r="Z606" s="282"/>
      <c r="AA606" s="283"/>
      <c r="AB606" s="284" t="n">
        <f aca="false">IFERROR(($J606*O606)*$L606, "")</f>
        <v>0</v>
      </c>
      <c r="AC606" s="284" t="n">
        <f aca="false">IFERROR(($J606*P606)*$L606, "")</f>
        <v>0</v>
      </c>
      <c r="AD606" s="284" t="n">
        <f aca="false">IFERROR(($J606*Q606)*$L606, "")</f>
        <v>0</v>
      </c>
      <c r="AE606" s="284" t="n">
        <f aca="false">IFERROR(($J606*R606)*$L606, "")</f>
        <v>0</v>
      </c>
      <c r="AF606" s="284" t="n">
        <f aca="false">IFERROR(($J606*S606)*$L606, "")</f>
        <v>0</v>
      </c>
      <c r="AG606" s="284" t="n">
        <f aca="false">IFERROR(($J606*T606)*$L606, "")</f>
        <v>0</v>
      </c>
      <c r="AH606" s="284" t="n">
        <f aca="false">IFERROR(($J606*U606)*$L606, "")</f>
        <v>0</v>
      </c>
      <c r="AI606" s="284" t="n">
        <f aca="false">IFERROR(($J606*V606)*$L606, "")</f>
        <v>0</v>
      </c>
      <c r="AJ606" s="284" t="n">
        <f aca="false">IFERROR(($J606*W606)*$L606, "")</f>
        <v>0</v>
      </c>
      <c r="AK606" s="284" t="n">
        <f aca="false">IFERROR(($J606*X606)*$L606, "")</f>
        <v>0</v>
      </c>
      <c r="AL606" s="284" t="n">
        <f aca="false">IFERROR(($J606*Y606)*$L606, "")</f>
        <v>0</v>
      </c>
      <c r="AM606" s="285" t="n">
        <f aca="false">IFERROR(($J606*Z606)*$L606, "")</f>
        <v>0</v>
      </c>
      <c r="AN606" s="286" t="n">
        <f aca="false">IFERROR(SUMIF($AB$4:$AM$4, "RDEC", AB606:AM606), "")</f>
        <v>0</v>
      </c>
      <c r="AO606" s="286" t="n">
        <f aca="false">IFERROR(SUMIF($AB$4:$AM$4, "SME", AB606:AM606), "")</f>
        <v>0</v>
      </c>
      <c r="AP606" s="286" t="n">
        <f aca="false">IFERROR(SUMIF($AB$4:$AM$4, "De Minimis", AB606:AM606), "")</f>
        <v>0</v>
      </c>
      <c r="AQ606" s="283"/>
      <c r="AR606" s="284" t="n">
        <f aca="false">IFERROR(($J606*O606)*$M606, "")</f>
        <v>0</v>
      </c>
      <c r="AS606" s="284" t="n">
        <f aca="false">IFERROR(($J606*P606)*$M606, "")</f>
        <v>0</v>
      </c>
      <c r="AT606" s="284" t="n">
        <f aca="false">IFERROR(($J606*Q606)*$M606, "")</f>
        <v>0</v>
      </c>
      <c r="AU606" s="284" t="n">
        <f aca="false">IFERROR(($J606*R606)*$M606, "")</f>
        <v>0</v>
      </c>
      <c r="AV606" s="284" t="n">
        <f aca="false">IFERROR(($J606*S606)*$M606, "")</f>
        <v>0</v>
      </c>
      <c r="AW606" s="284" t="n">
        <f aca="false">IFERROR(($J606*T606)*$M606, "")</f>
        <v>0</v>
      </c>
      <c r="AX606" s="284" t="n">
        <f aca="false">IFERROR(($J606*U606)*$M606, "")</f>
        <v>0</v>
      </c>
      <c r="AY606" s="284" t="n">
        <f aca="false">IFERROR(($J606*V606)*$M606, "")</f>
        <v>0</v>
      </c>
      <c r="AZ606" s="284" t="n">
        <f aca="false">IFERROR(($J606*W606)*$M606, "")</f>
        <v>0</v>
      </c>
      <c r="BA606" s="284" t="n">
        <f aca="false">IFERROR(($J606*X606)*$M606, "")</f>
        <v>0</v>
      </c>
      <c r="BB606" s="284" t="n">
        <f aca="false">IFERROR(($J606*Y606)*$M606, "")</f>
        <v>0</v>
      </c>
      <c r="BC606" s="285" t="n">
        <f aca="false">IFERROR(($J606*Z606)*$M606, "")</f>
        <v>0</v>
      </c>
      <c r="BD606" s="286" t="n">
        <f aca="false">IFERROR(SUMIF($AB$4:$AM$4, "RDEC", AR606:BC606), "")</f>
        <v>0</v>
      </c>
      <c r="BE606" s="286" t="n">
        <f aca="false">IFERROR(SUMIF($AB$4:$AM$4, "SME", AR606:BC606), "")</f>
        <v>0</v>
      </c>
      <c r="BF606" s="286" t="n">
        <f aca="false">IFERROR(SUMIF($AB$4:$AM$4, "De Minimis", AR606:BC606), "")</f>
        <v>0</v>
      </c>
      <c r="BG606" s="287"/>
      <c r="BH606" s="288" t="str">
        <f aca="false">IF((SUM(O606:Z606)&gt;1),"ERROR","")</f>
        <v/>
      </c>
      <c r="BI606" s="287"/>
      <c r="BJ606" s="18" t="str">
        <f aca="false">IF(C592&gt;0, C592, "")</f>
        <v/>
      </c>
      <c r="BL606" s="200"/>
      <c r="BM606" s="200"/>
      <c r="BN606" s="200"/>
    </row>
    <row r="607" customFormat="false" ht="15" hidden="false" customHeight="true" outlineLevel="0" collapsed="false">
      <c r="B607" s="275"/>
      <c r="D607" s="276" t="n">
        <f aca="false">D591</f>
        <v>45505</v>
      </c>
      <c r="E607" s="277" t="n">
        <v>0</v>
      </c>
      <c r="F607" s="277" t="n">
        <v>0</v>
      </c>
      <c r="G607" s="277" t="n">
        <v>0</v>
      </c>
      <c r="H607" s="277" t="n">
        <v>0</v>
      </c>
      <c r="I607" s="277" t="n">
        <v>0</v>
      </c>
      <c r="J607" s="278" t="n">
        <f aca="false">E607+H607+I607</f>
        <v>0</v>
      </c>
      <c r="K607" s="204"/>
      <c r="L607" s="279" t="n">
        <v>1</v>
      </c>
      <c r="M607" s="280" t="n">
        <f aca="false">1-L607</f>
        <v>0</v>
      </c>
      <c r="N607" s="281"/>
      <c r="O607" s="282"/>
      <c r="P607" s="282"/>
      <c r="Q607" s="282"/>
      <c r="R607" s="282"/>
      <c r="S607" s="282"/>
      <c r="T607" s="282"/>
      <c r="U607" s="282"/>
      <c r="V607" s="282"/>
      <c r="W607" s="282"/>
      <c r="X607" s="282"/>
      <c r="Y607" s="282"/>
      <c r="Z607" s="282"/>
      <c r="AA607" s="283"/>
      <c r="AB607" s="284" t="n">
        <f aca="false">IFERROR(($J607*O607)*$L607, "")</f>
        <v>0</v>
      </c>
      <c r="AC607" s="284" t="n">
        <f aca="false">IFERROR(($J607*P607)*$L607, "")</f>
        <v>0</v>
      </c>
      <c r="AD607" s="284" t="n">
        <f aca="false">IFERROR(($J607*Q607)*$L607, "")</f>
        <v>0</v>
      </c>
      <c r="AE607" s="284" t="n">
        <f aca="false">IFERROR(($J607*R607)*$L607, "")</f>
        <v>0</v>
      </c>
      <c r="AF607" s="284" t="n">
        <f aca="false">IFERROR(($J607*S607)*$L607, "")</f>
        <v>0</v>
      </c>
      <c r="AG607" s="284" t="n">
        <f aca="false">IFERROR(($J607*T607)*$L607, "")</f>
        <v>0</v>
      </c>
      <c r="AH607" s="284" t="n">
        <f aca="false">IFERROR(($J607*U607)*$L607, "")</f>
        <v>0</v>
      </c>
      <c r="AI607" s="284" t="n">
        <f aca="false">IFERROR(($J607*V607)*$L607, "")</f>
        <v>0</v>
      </c>
      <c r="AJ607" s="284" t="n">
        <f aca="false">IFERROR(($J607*W607)*$L607, "")</f>
        <v>0</v>
      </c>
      <c r="AK607" s="284" t="n">
        <f aca="false">IFERROR(($J607*X607)*$L607, "")</f>
        <v>0</v>
      </c>
      <c r="AL607" s="284" t="n">
        <f aca="false">IFERROR(($J607*Y607)*$L607, "")</f>
        <v>0</v>
      </c>
      <c r="AM607" s="285" t="n">
        <f aca="false">IFERROR(($J607*Z607)*$L607, "")</f>
        <v>0</v>
      </c>
      <c r="AN607" s="286" t="n">
        <f aca="false">IFERROR(SUMIF($AB$4:$AM$4, "RDEC", AB607:AM607), "")</f>
        <v>0</v>
      </c>
      <c r="AO607" s="286" t="n">
        <f aca="false">IFERROR(SUMIF($AB$4:$AM$4, "SME", AB607:AM607), "")</f>
        <v>0</v>
      </c>
      <c r="AP607" s="286" t="n">
        <f aca="false">IFERROR(SUMIF($AB$4:$AM$4, "De Minimis", AB607:AM607), "")</f>
        <v>0</v>
      </c>
      <c r="AQ607" s="283"/>
      <c r="AR607" s="284" t="n">
        <f aca="false">IFERROR(($J607*O607)*$M607, "")</f>
        <v>0</v>
      </c>
      <c r="AS607" s="284" t="n">
        <f aca="false">IFERROR(($J607*P607)*$M607, "")</f>
        <v>0</v>
      </c>
      <c r="AT607" s="284" t="n">
        <f aca="false">IFERROR(($J607*Q607)*$M607, "")</f>
        <v>0</v>
      </c>
      <c r="AU607" s="284" t="n">
        <f aca="false">IFERROR(($J607*R607)*$M607, "")</f>
        <v>0</v>
      </c>
      <c r="AV607" s="284" t="n">
        <f aca="false">IFERROR(($J607*S607)*$M607, "")</f>
        <v>0</v>
      </c>
      <c r="AW607" s="284" t="n">
        <f aca="false">IFERROR(($J607*T607)*$M607, "")</f>
        <v>0</v>
      </c>
      <c r="AX607" s="284" t="n">
        <f aca="false">IFERROR(($J607*U607)*$M607, "")</f>
        <v>0</v>
      </c>
      <c r="AY607" s="284" t="n">
        <f aca="false">IFERROR(($J607*V607)*$M607, "")</f>
        <v>0</v>
      </c>
      <c r="AZ607" s="284" t="n">
        <f aca="false">IFERROR(($J607*W607)*$M607, "")</f>
        <v>0</v>
      </c>
      <c r="BA607" s="284" t="n">
        <f aca="false">IFERROR(($J607*X607)*$M607, "")</f>
        <v>0</v>
      </c>
      <c r="BB607" s="284" t="n">
        <f aca="false">IFERROR(($J607*Y607)*$M607, "")</f>
        <v>0</v>
      </c>
      <c r="BC607" s="285" t="n">
        <f aca="false">IFERROR(($J607*Z607)*$M607, "")</f>
        <v>0</v>
      </c>
      <c r="BD607" s="286" t="n">
        <f aca="false">IFERROR(SUMIF($AB$4:$AM$4, "RDEC", AR607:BC607), "")</f>
        <v>0</v>
      </c>
      <c r="BE607" s="286" t="n">
        <f aca="false">IFERROR(SUMIF($AB$4:$AM$4, "SME", AR607:BC607), "")</f>
        <v>0</v>
      </c>
      <c r="BF607" s="286" t="n">
        <f aca="false">IFERROR(SUMIF($AB$4:$AM$4, "De Minimis", AR607:BC607), "")</f>
        <v>0</v>
      </c>
      <c r="BG607" s="287"/>
      <c r="BH607" s="288" t="str">
        <f aca="false">IF((SUM(O607:Z607)&gt;1),"ERROR","")</f>
        <v/>
      </c>
      <c r="BI607" s="287"/>
      <c r="BJ607" s="18" t="str">
        <f aca="false">IF(C593&gt;0, C593, "")</f>
        <v/>
      </c>
      <c r="BL607" s="200"/>
      <c r="BM607" s="200"/>
      <c r="BN607" s="200"/>
    </row>
    <row r="608" customFormat="false" ht="15" hidden="false" customHeight="true" outlineLevel="0" collapsed="false">
      <c r="B608" s="275"/>
      <c r="D608" s="276" t="n">
        <f aca="false">D592</f>
        <v>45536</v>
      </c>
      <c r="E608" s="277" t="n">
        <v>0</v>
      </c>
      <c r="F608" s="277" t="n">
        <v>0</v>
      </c>
      <c r="G608" s="277" t="n">
        <v>0</v>
      </c>
      <c r="H608" s="277" t="n">
        <v>0</v>
      </c>
      <c r="I608" s="277" t="n">
        <v>0</v>
      </c>
      <c r="J608" s="278" t="n">
        <f aca="false">E608+H608+I608</f>
        <v>0</v>
      </c>
      <c r="K608" s="204"/>
      <c r="L608" s="279" t="n">
        <v>1</v>
      </c>
      <c r="M608" s="280" t="n">
        <f aca="false">1-L608</f>
        <v>0</v>
      </c>
      <c r="N608" s="281"/>
      <c r="O608" s="282"/>
      <c r="P608" s="282"/>
      <c r="Q608" s="282"/>
      <c r="R608" s="282"/>
      <c r="S608" s="282"/>
      <c r="T608" s="282"/>
      <c r="U608" s="282"/>
      <c r="V608" s="282"/>
      <c r="W608" s="282"/>
      <c r="X608" s="282"/>
      <c r="Y608" s="282"/>
      <c r="Z608" s="282"/>
      <c r="AA608" s="283"/>
      <c r="AB608" s="284" t="n">
        <f aca="false">IFERROR(($J608*O608)*$L608, "")</f>
        <v>0</v>
      </c>
      <c r="AC608" s="284" t="n">
        <f aca="false">IFERROR(($J608*P608)*$L608, "")</f>
        <v>0</v>
      </c>
      <c r="AD608" s="284" t="n">
        <f aca="false">IFERROR(($J608*Q608)*$L608, "")</f>
        <v>0</v>
      </c>
      <c r="AE608" s="284" t="n">
        <f aca="false">IFERROR(($J608*R608)*$L608, "")</f>
        <v>0</v>
      </c>
      <c r="AF608" s="284" t="n">
        <f aca="false">IFERROR(($J608*S608)*$L608, "")</f>
        <v>0</v>
      </c>
      <c r="AG608" s="284" t="n">
        <f aca="false">IFERROR(($J608*T608)*$L608, "")</f>
        <v>0</v>
      </c>
      <c r="AH608" s="284" t="n">
        <f aca="false">IFERROR(($J608*U608)*$L608, "")</f>
        <v>0</v>
      </c>
      <c r="AI608" s="284" t="n">
        <f aca="false">IFERROR(($J608*V608)*$L608, "")</f>
        <v>0</v>
      </c>
      <c r="AJ608" s="284" t="n">
        <f aca="false">IFERROR(($J608*W608)*$L608, "")</f>
        <v>0</v>
      </c>
      <c r="AK608" s="284" t="n">
        <f aca="false">IFERROR(($J608*X608)*$L608, "")</f>
        <v>0</v>
      </c>
      <c r="AL608" s="284" t="n">
        <f aca="false">IFERROR(($J608*Y608)*$L608, "")</f>
        <v>0</v>
      </c>
      <c r="AM608" s="285" t="n">
        <f aca="false">IFERROR(($J608*Z608)*$L608, "")</f>
        <v>0</v>
      </c>
      <c r="AN608" s="286" t="n">
        <f aca="false">IFERROR(SUMIF($AB$4:$AM$4, "RDEC", AB608:AM608), "")</f>
        <v>0</v>
      </c>
      <c r="AO608" s="286" t="n">
        <f aca="false">IFERROR(SUMIF($AB$4:$AM$4, "SME", AB608:AM608), "")</f>
        <v>0</v>
      </c>
      <c r="AP608" s="286" t="n">
        <f aca="false">IFERROR(SUMIF($AB$4:$AM$4, "De Minimis", AB608:AM608), "")</f>
        <v>0</v>
      </c>
      <c r="AQ608" s="283"/>
      <c r="AR608" s="284" t="n">
        <f aca="false">IFERROR(($J608*O608)*$M608, "")</f>
        <v>0</v>
      </c>
      <c r="AS608" s="284" t="n">
        <f aca="false">IFERROR(($J608*P608)*$M608, "")</f>
        <v>0</v>
      </c>
      <c r="AT608" s="284" t="n">
        <f aca="false">IFERROR(($J608*Q608)*$M608, "")</f>
        <v>0</v>
      </c>
      <c r="AU608" s="284" t="n">
        <f aca="false">IFERROR(($J608*R608)*$M608, "")</f>
        <v>0</v>
      </c>
      <c r="AV608" s="284" t="n">
        <f aca="false">IFERROR(($J608*S608)*$M608, "")</f>
        <v>0</v>
      </c>
      <c r="AW608" s="284" t="n">
        <f aca="false">IFERROR(($J608*T608)*$M608, "")</f>
        <v>0</v>
      </c>
      <c r="AX608" s="284" t="n">
        <f aca="false">IFERROR(($J608*U608)*$M608, "")</f>
        <v>0</v>
      </c>
      <c r="AY608" s="284" t="n">
        <f aca="false">IFERROR(($J608*V608)*$M608, "")</f>
        <v>0</v>
      </c>
      <c r="AZ608" s="284" t="n">
        <f aca="false">IFERROR(($J608*W608)*$M608, "")</f>
        <v>0</v>
      </c>
      <c r="BA608" s="284" t="n">
        <f aca="false">IFERROR(($J608*X608)*$M608, "")</f>
        <v>0</v>
      </c>
      <c r="BB608" s="284" t="n">
        <f aca="false">IFERROR(($J608*Y608)*$M608, "")</f>
        <v>0</v>
      </c>
      <c r="BC608" s="285" t="n">
        <f aca="false">IFERROR(($J608*Z608)*$M608, "")</f>
        <v>0</v>
      </c>
      <c r="BD608" s="286" t="n">
        <f aca="false">IFERROR(SUMIF($AB$4:$AM$4, "RDEC", AR608:BC608), "")</f>
        <v>0</v>
      </c>
      <c r="BE608" s="286" t="n">
        <f aca="false">IFERROR(SUMIF($AB$4:$AM$4, "SME", AR608:BC608), "")</f>
        <v>0</v>
      </c>
      <c r="BF608" s="286" t="n">
        <f aca="false">IFERROR(SUMIF($AB$4:$AM$4, "De Minimis", AR608:BC608), "")</f>
        <v>0</v>
      </c>
      <c r="BG608" s="287"/>
      <c r="BH608" s="288" t="str">
        <f aca="false">IF((SUM(O608:Z608)&gt;1),"ERROR","")</f>
        <v/>
      </c>
      <c r="BI608" s="287"/>
      <c r="BJ608" s="18" t="str">
        <f aca="false">IF(C594&gt;0, C594, "")</f>
        <v/>
      </c>
      <c r="BL608" s="200"/>
      <c r="BM608" s="200"/>
      <c r="BN608" s="200"/>
    </row>
    <row r="609" customFormat="false" ht="15" hidden="false" customHeight="true" outlineLevel="0" collapsed="false">
      <c r="B609" s="275"/>
      <c r="D609" s="276" t="n">
        <f aca="false">D593</f>
        <v>45566</v>
      </c>
      <c r="E609" s="277" t="n">
        <v>0</v>
      </c>
      <c r="F609" s="277" t="n">
        <v>0</v>
      </c>
      <c r="G609" s="277" t="n">
        <v>0</v>
      </c>
      <c r="H609" s="277" t="n">
        <v>0</v>
      </c>
      <c r="I609" s="277" t="n">
        <v>0</v>
      </c>
      <c r="J609" s="278" t="n">
        <f aca="false">E609+H609+I609</f>
        <v>0</v>
      </c>
      <c r="K609" s="204"/>
      <c r="L609" s="279" t="n">
        <v>1</v>
      </c>
      <c r="M609" s="280" t="n">
        <f aca="false">1-L609</f>
        <v>0</v>
      </c>
      <c r="N609" s="281"/>
      <c r="O609" s="282"/>
      <c r="P609" s="282"/>
      <c r="Q609" s="282"/>
      <c r="R609" s="282"/>
      <c r="S609" s="282"/>
      <c r="T609" s="282"/>
      <c r="U609" s="282"/>
      <c r="V609" s="282"/>
      <c r="W609" s="282"/>
      <c r="X609" s="282"/>
      <c r="Y609" s="282"/>
      <c r="Z609" s="282"/>
      <c r="AA609" s="283"/>
      <c r="AB609" s="284" t="n">
        <f aca="false">IFERROR(($J609*O609)*$L609, "")</f>
        <v>0</v>
      </c>
      <c r="AC609" s="284" t="n">
        <f aca="false">IFERROR(($J609*P609)*$L609, "")</f>
        <v>0</v>
      </c>
      <c r="AD609" s="284" t="n">
        <f aca="false">IFERROR(($J609*Q609)*$L609, "")</f>
        <v>0</v>
      </c>
      <c r="AE609" s="284" t="n">
        <f aca="false">IFERROR(($J609*R609)*$L609, "")</f>
        <v>0</v>
      </c>
      <c r="AF609" s="284" t="n">
        <f aca="false">IFERROR(($J609*S609)*$L609, "")</f>
        <v>0</v>
      </c>
      <c r="AG609" s="284" t="n">
        <f aca="false">IFERROR(($J609*T609)*$L609, "")</f>
        <v>0</v>
      </c>
      <c r="AH609" s="284" t="n">
        <f aca="false">IFERROR(($J609*U609)*$L609, "")</f>
        <v>0</v>
      </c>
      <c r="AI609" s="284" t="n">
        <f aca="false">IFERROR(($J609*V609)*$L609, "")</f>
        <v>0</v>
      </c>
      <c r="AJ609" s="284" t="n">
        <f aca="false">IFERROR(($J609*W609)*$L609, "")</f>
        <v>0</v>
      </c>
      <c r="AK609" s="284" t="n">
        <f aca="false">IFERROR(($J609*X609)*$L609, "")</f>
        <v>0</v>
      </c>
      <c r="AL609" s="284" t="n">
        <f aca="false">IFERROR(($J609*Y609)*$L609, "")</f>
        <v>0</v>
      </c>
      <c r="AM609" s="285" t="n">
        <f aca="false">IFERROR(($J609*Z609)*$L609, "")</f>
        <v>0</v>
      </c>
      <c r="AN609" s="286" t="n">
        <f aca="false">IFERROR(SUMIF($AB$4:$AM$4, "RDEC", AB609:AM609), "")</f>
        <v>0</v>
      </c>
      <c r="AO609" s="286" t="n">
        <f aca="false">IFERROR(SUMIF($AB$4:$AM$4, "SME", AB609:AM609), "")</f>
        <v>0</v>
      </c>
      <c r="AP609" s="286" t="n">
        <f aca="false">IFERROR(SUMIF($AB$4:$AM$4, "De Minimis", AB609:AM609), "")</f>
        <v>0</v>
      </c>
      <c r="AQ609" s="283"/>
      <c r="AR609" s="284" t="n">
        <f aca="false">IFERROR(($J609*O609)*$M609, "")</f>
        <v>0</v>
      </c>
      <c r="AS609" s="284" t="n">
        <f aca="false">IFERROR(($J609*P609)*$M609, "")</f>
        <v>0</v>
      </c>
      <c r="AT609" s="284" t="n">
        <f aca="false">IFERROR(($J609*Q609)*$M609, "")</f>
        <v>0</v>
      </c>
      <c r="AU609" s="284" t="n">
        <f aca="false">IFERROR(($J609*R609)*$M609, "")</f>
        <v>0</v>
      </c>
      <c r="AV609" s="284" t="n">
        <f aca="false">IFERROR(($J609*S609)*$M609, "")</f>
        <v>0</v>
      </c>
      <c r="AW609" s="284" t="n">
        <f aca="false">IFERROR(($J609*T609)*$M609, "")</f>
        <v>0</v>
      </c>
      <c r="AX609" s="284" t="n">
        <f aca="false">IFERROR(($J609*U609)*$M609, "")</f>
        <v>0</v>
      </c>
      <c r="AY609" s="284" t="n">
        <f aca="false">IFERROR(($J609*V609)*$M609, "")</f>
        <v>0</v>
      </c>
      <c r="AZ609" s="284" t="n">
        <f aca="false">IFERROR(($J609*W609)*$M609, "")</f>
        <v>0</v>
      </c>
      <c r="BA609" s="284" t="n">
        <f aca="false">IFERROR(($J609*X609)*$M609, "")</f>
        <v>0</v>
      </c>
      <c r="BB609" s="284" t="n">
        <f aca="false">IFERROR(($J609*Y609)*$M609, "")</f>
        <v>0</v>
      </c>
      <c r="BC609" s="285" t="n">
        <f aca="false">IFERROR(($J609*Z609)*$M609, "")</f>
        <v>0</v>
      </c>
      <c r="BD609" s="286" t="n">
        <f aca="false">IFERROR(SUMIF($AB$4:$AM$4, "RDEC", AR609:BC609), "")</f>
        <v>0</v>
      </c>
      <c r="BE609" s="286" t="n">
        <f aca="false">IFERROR(SUMIF($AB$4:$AM$4, "SME", AR609:BC609), "")</f>
        <v>0</v>
      </c>
      <c r="BF609" s="286" t="n">
        <f aca="false">IFERROR(SUMIF($AB$4:$AM$4, "De Minimis", AR609:BC609), "")</f>
        <v>0</v>
      </c>
      <c r="BG609" s="287"/>
      <c r="BH609" s="288" t="str">
        <f aca="false">IF((SUM(O609:Z609)&gt;1),"ERROR","")</f>
        <v/>
      </c>
      <c r="BI609" s="287"/>
      <c r="BJ609" s="18" t="str">
        <f aca="false">IF(C595&gt;0, C595, "")</f>
        <v/>
      </c>
      <c r="BL609" s="200"/>
      <c r="BM609" s="200"/>
      <c r="BN609" s="200"/>
    </row>
    <row r="610" customFormat="false" ht="15" hidden="false" customHeight="true" outlineLevel="0" collapsed="false">
      <c r="B610" s="275"/>
      <c r="D610" s="276" t="n">
        <f aca="false">D594</f>
        <v>45597</v>
      </c>
      <c r="E610" s="277" t="n">
        <v>0</v>
      </c>
      <c r="F610" s="277" t="n">
        <v>0</v>
      </c>
      <c r="G610" s="277" t="n">
        <v>0</v>
      </c>
      <c r="H610" s="277" t="n">
        <v>0</v>
      </c>
      <c r="I610" s="277" t="n">
        <v>0</v>
      </c>
      <c r="J610" s="278" t="n">
        <f aca="false">E610+H610+I610</f>
        <v>0</v>
      </c>
      <c r="K610" s="204"/>
      <c r="L610" s="279" t="n">
        <v>1</v>
      </c>
      <c r="M610" s="280" t="n">
        <f aca="false">1-L610</f>
        <v>0</v>
      </c>
      <c r="N610" s="281"/>
      <c r="O610" s="282"/>
      <c r="P610" s="282"/>
      <c r="Q610" s="282"/>
      <c r="R610" s="282"/>
      <c r="S610" s="282"/>
      <c r="T610" s="282"/>
      <c r="U610" s="282"/>
      <c r="V610" s="282"/>
      <c r="W610" s="282"/>
      <c r="X610" s="282"/>
      <c r="Y610" s="282"/>
      <c r="Z610" s="282"/>
      <c r="AA610" s="283"/>
      <c r="AB610" s="284" t="n">
        <f aca="false">IFERROR(($J610*O610)*$L610, "")</f>
        <v>0</v>
      </c>
      <c r="AC610" s="284" t="n">
        <f aca="false">IFERROR(($J610*P610)*$L610, "")</f>
        <v>0</v>
      </c>
      <c r="AD610" s="284" t="n">
        <f aca="false">IFERROR(($J610*Q610)*$L610, "")</f>
        <v>0</v>
      </c>
      <c r="AE610" s="284" t="n">
        <f aca="false">IFERROR(($J610*R610)*$L610, "")</f>
        <v>0</v>
      </c>
      <c r="AF610" s="284" t="n">
        <f aca="false">IFERROR(($J610*S610)*$L610, "")</f>
        <v>0</v>
      </c>
      <c r="AG610" s="284" t="n">
        <f aca="false">IFERROR(($J610*T610)*$L610, "")</f>
        <v>0</v>
      </c>
      <c r="AH610" s="284" t="n">
        <f aca="false">IFERROR(($J610*U610)*$L610, "")</f>
        <v>0</v>
      </c>
      <c r="AI610" s="284" t="n">
        <f aca="false">IFERROR(($J610*V610)*$L610, "")</f>
        <v>0</v>
      </c>
      <c r="AJ610" s="284" t="n">
        <f aca="false">IFERROR(($J610*W610)*$L610, "")</f>
        <v>0</v>
      </c>
      <c r="AK610" s="284" t="n">
        <f aca="false">IFERROR(($J610*X610)*$L610, "")</f>
        <v>0</v>
      </c>
      <c r="AL610" s="284" t="n">
        <f aca="false">IFERROR(($J610*Y610)*$L610, "")</f>
        <v>0</v>
      </c>
      <c r="AM610" s="285" t="n">
        <f aca="false">IFERROR(($J610*Z610)*$L610, "")</f>
        <v>0</v>
      </c>
      <c r="AN610" s="286" t="n">
        <f aca="false">IFERROR(SUMIF($AB$4:$AM$4, "RDEC", AB610:AM610), "")</f>
        <v>0</v>
      </c>
      <c r="AO610" s="286" t="n">
        <f aca="false">IFERROR(SUMIF($AB$4:$AM$4, "SME", AB610:AM610), "")</f>
        <v>0</v>
      </c>
      <c r="AP610" s="286" t="n">
        <f aca="false">IFERROR(SUMIF($AB$4:$AM$4, "De Minimis", AB610:AM610), "")</f>
        <v>0</v>
      </c>
      <c r="AQ610" s="283"/>
      <c r="AR610" s="284" t="n">
        <f aca="false">IFERROR(($J610*O610)*$M610, "")</f>
        <v>0</v>
      </c>
      <c r="AS610" s="284" t="n">
        <f aca="false">IFERROR(($J610*P610)*$M610, "")</f>
        <v>0</v>
      </c>
      <c r="AT610" s="284" t="n">
        <f aca="false">IFERROR(($J610*Q610)*$M610, "")</f>
        <v>0</v>
      </c>
      <c r="AU610" s="284" t="n">
        <f aca="false">IFERROR(($J610*R610)*$M610, "")</f>
        <v>0</v>
      </c>
      <c r="AV610" s="284" t="n">
        <f aca="false">IFERROR(($J610*S610)*$M610, "")</f>
        <v>0</v>
      </c>
      <c r="AW610" s="284" t="n">
        <f aca="false">IFERROR(($J610*T610)*$M610, "")</f>
        <v>0</v>
      </c>
      <c r="AX610" s="284" t="n">
        <f aca="false">IFERROR(($J610*U610)*$M610, "")</f>
        <v>0</v>
      </c>
      <c r="AY610" s="284" t="n">
        <f aca="false">IFERROR(($J610*V610)*$M610, "")</f>
        <v>0</v>
      </c>
      <c r="AZ610" s="284" t="n">
        <f aca="false">IFERROR(($J610*W610)*$M610, "")</f>
        <v>0</v>
      </c>
      <c r="BA610" s="284" t="n">
        <f aca="false">IFERROR(($J610*X610)*$M610, "")</f>
        <v>0</v>
      </c>
      <c r="BB610" s="284" t="n">
        <f aca="false">IFERROR(($J610*Y610)*$M610, "")</f>
        <v>0</v>
      </c>
      <c r="BC610" s="285" t="n">
        <f aca="false">IFERROR(($J610*Z610)*$M610, "")</f>
        <v>0</v>
      </c>
      <c r="BD610" s="286" t="n">
        <f aca="false">IFERROR(SUMIF($AB$4:$AM$4, "RDEC", AR610:BC610), "")</f>
        <v>0</v>
      </c>
      <c r="BE610" s="286" t="n">
        <f aca="false">IFERROR(SUMIF($AB$4:$AM$4, "SME", AR610:BC610), "")</f>
        <v>0</v>
      </c>
      <c r="BF610" s="286" t="n">
        <f aca="false">IFERROR(SUMIF($AB$4:$AM$4, "De Minimis", AR610:BC610), "")</f>
        <v>0</v>
      </c>
      <c r="BG610" s="287"/>
      <c r="BH610" s="288" t="str">
        <f aca="false">IF((SUM(O610:Z610)&gt;1),"ERROR","")</f>
        <v/>
      </c>
      <c r="BI610" s="287"/>
      <c r="BJ610" s="18" t="str">
        <f aca="false">IF(C596&gt;0, C596, "")</f>
        <v/>
      </c>
      <c r="BL610" s="200"/>
      <c r="BM610" s="200"/>
      <c r="BN610" s="200"/>
    </row>
    <row r="611" customFormat="false" ht="15" hidden="false" customHeight="true" outlineLevel="0" collapsed="false">
      <c r="B611" s="275"/>
      <c r="D611" s="276" t="n">
        <f aca="false">D595</f>
        <v>45627</v>
      </c>
      <c r="E611" s="277" t="n">
        <v>0</v>
      </c>
      <c r="F611" s="277" t="n">
        <v>0</v>
      </c>
      <c r="G611" s="277" t="n">
        <v>0</v>
      </c>
      <c r="H611" s="277" t="n">
        <v>0</v>
      </c>
      <c r="I611" s="277" t="n">
        <v>0</v>
      </c>
      <c r="J611" s="278" t="n">
        <f aca="false">E611+H611+I611</f>
        <v>0</v>
      </c>
      <c r="K611" s="204"/>
      <c r="L611" s="289" t="n">
        <v>1</v>
      </c>
      <c r="M611" s="290" t="n">
        <f aca="false">1-L611</f>
        <v>0</v>
      </c>
      <c r="N611" s="281"/>
      <c r="O611" s="291"/>
      <c r="P611" s="291"/>
      <c r="Q611" s="291"/>
      <c r="R611" s="291"/>
      <c r="S611" s="291"/>
      <c r="T611" s="291"/>
      <c r="U611" s="291"/>
      <c r="V611" s="291"/>
      <c r="W611" s="291"/>
      <c r="X611" s="291"/>
      <c r="Y611" s="291"/>
      <c r="Z611" s="291"/>
      <c r="AA611" s="283"/>
      <c r="AB611" s="292" t="n">
        <f aca="false">IFERROR(($J611*O611)*$L611, "")</f>
        <v>0</v>
      </c>
      <c r="AC611" s="292" t="n">
        <f aca="false">IFERROR(($J611*P611)*$L611, "")</f>
        <v>0</v>
      </c>
      <c r="AD611" s="292" t="n">
        <f aca="false">IFERROR(($J611*Q611)*$L611, "")</f>
        <v>0</v>
      </c>
      <c r="AE611" s="292" t="n">
        <f aca="false">IFERROR(($J611*R611)*$L611, "")</f>
        <v>0</v>
      </c>
      <c r="AF611" s="292" t="n">
        <f aca="false">IFERROR(($J611*S611)*$L611, "")</f>
        <v>0</v>
      </c>
      <c r="AG611" s="292" t="n">
        <f aca="false">IFERROR(($J611*T611)*$L611, "")</f>
        <v>0</v>
      </c>
      <c r="AH611" s="292" t="n">
        <f aca="false">IFERROR(($J611*U611)*$L611, "")</f>
        <v>0</v>
      </c>
      <c r="AI611" s="292" t="n">
        <f aca="false">IFERROR(($J611*V611)*$L611, "")</f>
        <v>0</v>
      </c>
      <c r="AJ611" s="292" t="n">
        <f aca="false">IFERROR(($J611*W611)*$L611, "")</f>
        <v>0</v>
      </c>
      <c r="AK611" s="292" t="n">
        <f aca="false">IFERROR(($J611*X611)*$L611, "")</f>
        <v>0</v>
      </c>
      <c r="AL611" s="292" t="n">
        <f aca="false">IFERROR(($J611*Y611)*$L611, "")</f>
        <v>0</v>
      </c>
      <c r="AM611" s="293" t="n">
        <f aca="false">IFERROR(($J611*Z611)*$L611, "")</f>
        <v>0</v>
      </c>
      <c r="AN611" s="294" t="n">
        <f aca="false">IFERROR(SUMIF($AB$4:$AM$4, "RDEC", AB611:AM611), "")</f>
        <v>0</v>
      </c>
      <c r="AO611" s="294" t="n">
        <f aca="false">IFERROR(SUMIF($AB$4:$AM$4, "SME", AB611:AM611), "")</f>
        <v>0</v>
      </c>
      <c r="AP611" s="294" t="n">
        <f aca="false">IFERROR(SUMIF($AB$4:$AM$4, "De Minimis", AB611:AM611), "")</f>
        <v>0</v>
      </c>
      <c r="AQ611" s="283"/>
      <c r="AR611" s="292" t="n">
        <f aca="false">IFERROR(($J611*O611)*$M611, "")</f>
        <v>0</v>
      </c>
      <c r="AS611" s="292" t="n">
        <f aca="false">IFERROR(($J611*P611)*$M611, "")</f>
        <v>0</v>
      </c>
      <c r="AT611" s="292" t="n">
        <f aca="false">IFERROR(($J611*Q611)*$M611, "")</f>
        <v>0</v>
      </c>
      <c r="AU611" s="292" t="n">
        <f aca="false">IFERROR(($J611*R611)*$M611, "")</f>
        <v>0</v>
      </c>
      <c r="AV611" s="292" t="n">
        <f aca="false">IFERROR(($J611*S611)*$M611, "")</f>
        <v>0</v>
      </c>
      <c r="AW611" s="292" t="n">
        <f aca="false">IFERROR(($J611*T611)*$M611, "")</f>
        <v>0</v>
      </c>
      <c r="AX611" s="292" t="n">
        <f aca="false">IFERROR(($J611*U611)*$M611, "")</f>
        <v>0</v>
      </c>
      <c r="AY611" s="292" t="n">
        <f aca="false">IFERROR(($J611*V611)*$M611, "")</f>
        <v>0</v>
      </c>
      <c r="AZ611" s="292" t="n">
        <f aca="false">IFERROR(($J611*W611)*$M611, "")</f>
        <v>0</v>
      </c>
      <c r="BA611" s="292" t="n">
        <f aca="false">IFERROR(($J611*X611)*$M611, "")</f>
        <v>0</v>
      </c>
      <c r="BB611" s="292" t="n">
        <f aca="false">IFERROR(($J611*Y611)*$M611, "")</f>
        <v>0</v>
      </c>
      <c r="BC611" s="293" t="n">
        <f aca="false">IFERROR(($J611*Z611)*$M611, "")</f>
        <v>0</v>
      </c>
      <c r="BD611" s="294" t="n">
        <f aca="false">IFERROR(SUMIF($AB$4:$AM$4, "RDEC", AR611:BC611), "")</f>
        <v>0</v>
      </c>
      <c r="BE611" s="294" t="n">
        <f aca="false">IFERROR(SUMIF($AB$4:$AM$4, "SME", AR611:BC611), "")</f>
        <v>0</v>
      </c>
      <c r="BF611" s="294" t="n">
        <f aca="false">IFERROR(SUMIF($AB$4:$AM$4, "De Minimis", AR611:BC611), "")</f>
        <v>0</v>
      </c>
      <c r="BG611" s="287"/>
      <c r="BH611" s="295" t="str">
        <f aca="false">IF((SUM(O611:Z611)&gt;1),"ERROR","")</f>
        <v/>
      </c>
      <c r="BI611" s="287"/>
      <c r="BJ611" s="18" t="str">
        <f aca="false">IF(C597&gt;0, C597, "")</f>
        <v/>
      </c>
      <c r="BL611" s="200"/>
      <c r="BM611" s="200"/>
      <c r="BN611" s="200"/>
    </row>
    <row r="612" customFormat="false" ht="15" hidden="false" customHeight="true" outlineLevel="0" collapsed="false">
      <c r="B612" s="296"/>
      <c r="D612" s="297" t="s">
        <v>82</v>
      </c>
      <c r="E612" s="298" t="n">
        <f aca="false">SUM(E600:E611)</f>
        <v>0</v>
      </c>
      <c r="F612" s="298" t="n">
        <f aca="false">SUM(F600:F611)</f>
        <v>0</v>
      </c>
      <c r="G612" s="298" t="n">
        <f aca="false">SUM(G600:G611)</f>
        <v>0</v>
      </c>
      <c r="H612" s="298" t="n">
        <f aca="false">SUM(H600:H611)</f>
        <v>0</v>
      </c>
      <c r="I612" s="298" t="n">
        <f aca="false">SUM(I600:I611)</f>
        <v>0</v>
      </c>
      <c r="J612" s="299" t="n">
        <f aca="false">SUM(J600:J611)</f>
        <v>0</v>
      </c>
      <c r="K612" s="300"/>
      <c r="L612" s="301" t="n">
        <f aca="false">AVERAGE(L600:L611)</f>
        <v>1</v>
      </c>
      <c r="M612" s="301" t="n">
        <f aca="false">AVERAGE(M600:M611)</f>
        <v>0</v>
      </c>
      <c r="N612" s="302"/>
      <c r="O612" s="290" t="n">
        <f aca="false">IF(SUM(O600:O611)&gt;0,((AB612+AR612)/J612),0)</f>
        <v>0</v>
      </c>
      <c r="P612" s="290" t="n">
        <f aca="false">IF(SUM(P600:P611)&gt;0,((AC612+AS612)/J612),0)</f>
        <v>0</v>
      </c>
      <c r="Q612" s="290" t="n">
        <f aca="false">IF(SUM(Q600:Q611)&gt;0,((AD612+AT612)/J612),0)</f>
        <v>0</v>
      </c>
      <c r="R612" s="290" t="n">
        <f aca="false">IF(SUM(R600:R611)&gt;0,((AE612+AU612)/J612),0)</f>
        <v>0</v>
      </c>
      <c r="S612" s="290" t="n">
        <f aca="false">IF(SUM(S600:S611)&gt;0,((AF612+AV612)/J612),0)</f>
        <v>0</v>
      </c>
      <c r="T612" s="290" t="n">
        <f aca="false">IF(SUM(T600:T611)&gt;0,((AG612+AW612)/J612),0)</f>
        <v>0</v>
      </c>
      <c r="U612" s="290" t="n">
        <f aca="false">IF(SUM(U600:U611)&gt;0,((AH612+AX612)/J612),0)</f>
        <v>0</v>
      </c>
      <c r="V612" s="290" t="n">
        <f aca="false">IF(SUM(V600:V611)&gt;0,((AI612+AY612)/J612),0)</f>
        <v>0</v>
      </c>
      <c r="W612" s="290" t="n">
        <f aca="false">IF(SUM(W600:W611)&gt;0,((AJ612+AZ612)/J612),0)</f>
        <v>0</v>
      </c>
      <c r="X612" s="290" t="n">
        <f aca="false">IF(SUM(X600:X611)&gt;0,((AK612+BA612)/J612),0)</f>
        <v>0</v>
      </c>
      <c r="Y612" s="290" t="n">
        <f aca="false">IF(SUM(Y600:Y611)&gt;0,((AL612+BB612)/J612),0)</f>
        <v>0</v>
      </c>
      <c r="Z612" s="290" t="n">
        <f aca="false">IF(SUM(Z600:Z611)&gt;0,((AM612+BC612)/J612),0)</f>
        <v>0</v>
      </c>
      <c r="AA612" s="303"/>
      <c r="AB612" s="292" t="n">
        <f aca="false">SUM(AB600:AB611)</f>
        <v>0</v>
      </c>
      <c r="AC612" s="304" t="n">
        <f aca="false">SUM(AC600:AC611)</f>
        <v>0</v>
      </c>
      <c r="AD612" s="304" t="n">
        <f aca="false">SUM(AD600:AD611)</f>
        <v>0</v>
      </c>
      <c r="AE612" s="304" t="n">
        <f aca="false">SUM(AE600:AE611)</f>
        <v>0</v>
      </c>
      <c r="AF612" s="304" t="n">
        <f aca="false">SUM(AF600:AF611)</f>
        <v>0</v>
      </c>
      <c r="AG612" s="304" t="n">
        <f aca="false">SUM(AG600:AG611)</f>
        <v>0</v>
      </c>
      <c r="AH612" s="304" t="n">
        <f aca="false">SUM(AH600:AH611)</f>
        <v>0</v>
      </c>
      <c r="AI612" s="304" t="n">
        <f aca="false">SUM(AI600:AI611)</f>
        <v>0</v>
      </c>
      <c r="AJ612" s="304" t="n">
        <f aca="false">SUM(AJ600:AJ611)</f>
        <v>0</v>
      </c>
      <c r="AK612" s="304" t="n">
        <f aca="false">SUM(AK600:AK611)</f>
        <v>0</v>
      </c>
      <c r="AL612" s="304" t="n">
        <f aca="false">SUM(AL600:AL611)</f>
        <v>0</v>
      </c>
      <c r="AM612" s="304" t="n">
        <f aca="false">SUM(AM600:AM611)</f>
        <v>0</v>
      </c>
      <c r="AN612" s="305" t="n">
        <f aca="false">SUM(AN600:AN611)</f>
        <v>0</v>
      </c>
      <c r="AO612" s="305" t="n">
        <f aca="false">SUM(AO600:AO611)</f>
        <v>0</v>
      </c>
      <c r="AP612" s="305" t="n">
        <f aca="false">SUM(AP600:AP611)</f>
        <v>0</v>
      </c>
      <c r="AQ612" s="303"/>
      <c r="AR612" s="292" t="n">
        <f aca="false">SUM(AR600:AR611)</f>
        <v>0</v>
      </c>
      <c r="AS612" s="304" t="n">
        <f aca="false">SUM(AS600:AS611)</f>
        <v>0</v>
      </c>
      <c r="AT612" s="304" t="n">
        <f aca="false">SUM(AT600:AT611)</f>
        <v>0</v>
      </c>
      <c r="AU612" s="304" t="n">
        <f aca="false">SUM(AU600:AU611)</f>
        <v>0</v>
      </c>
      <c r="AV612" s="304" t="n">
        <f aca="false">SUM(AV600:AV611)</f>
        <v>0</v>
      </c>
      <c r="AW612" s="304" t="n">
        <f aca="false">SUM(AW600:AW611)</f>
        <v>0</v>
      </c>
      <c r="AX612" s="304" t="n">
        <f aca="false">SUM(AX600:AX611)</f>
        <v>0</v>
      </c>
      <c r="AY612" s="304" t="n">
        <f aca="false">SUM(AY600:AY611)</f>
        <v>0</v>
      </c>
      <c r="AZ612" s="304" t="n">
        <f aca="false">SUM(AZ600:AZ611)</f>
        <v>0</v>
      </c>
      <c r="BA612" s="304" t="n">
        <f aca="false">SUM(BA600:BA611)</f>
        <v>0</v>
      </c>
      <c r="BB612" s="304" t="n">
        <f aca="false">SUM(BB600:BB611)</f>
        <v>0</v>
      </c>
      <c r="BC612" s="304" t="n">
        <f aca="false">SUM(BC600:BC611)</f>
        <v>0</v>
      </c>
      <c r="BD612" s="305" t="n">
        <f aca="false">SUM(BD600:BD611)</f>
        <v>0</v>
      </c>
      <c r="BE612" s="305" t="n">
        <f aca="false">SUM(BE600:BE611)</f>
        <v>0</v>
      </c>
      <c r="BF612" s="305" t="n">
        <f aca="false">SUM(BF600:BF611)</f>
        <v>0</v>
      </c>
      <c r="BG612" s="303"/>
      <c r="BH612" s="306"/>
      <c r="BI612" s="303"/>
      <c r="BJ612" s="307" t="str">
        <f aca="false">IF(C598&gt;0, C598, "")</f>
        <v>TBA</v>
      </c>
      <c r="BK612" s="18" t="s">
        <v>234</v>
      </c>
      <c r="BL612" s="200" t="n">
        <f aca="false">IF($BK612="Y",J612,0)</f>
        <v>0</v>
      </c>
      <c r="BM612" s="200" t="n">
        <f aca="false">IF(BK612="Y", AN612,0)</f>
        <v>0</v>
      </c>
      <c r="BN612" s="200" t="n">
        <f aca="false">IF((BK612="Y"),AO612,0)</f>
        <v>0</v>
      </c>
    </row>
    <row r="613" customFormat="false" ht="15" hidden="false" customHeight="true" outlineLevel="0" collapsed="false">
      <c r="B613" s="296"/>
      <c r="D613" s="297"/>
      <c r="E613" s="277"/>
      <c r="F613" s="277"/>
      <c r="G613" s="277"/>
      <c r="H613" s="277"/>
      <c r="I613" s="277"/>
      <c r="J613" s="300"/>
      <c r="K613" s="300"/>
      <c r="L613" s="302"/>
      <c r="M613" s="302"/>
      <c r="N613" s="302"/>
      <c r="O613" s="308"/>
      <c r="P613" s="308"/>
      <c r="Q613" s="308"/>
      <c r="R613" s="308"/>
      <c r="S613" s="308"/>
      <c r="T613" s="308"/>
      <c r="U613" s="308"/>
      <c r="V613" s="308"/>
      <c r="W613" s="308"/>
      <c r="X613" s="308"/>
      <c r="Y613" s="308"/>
      <c r="Z613" s="308"/>
      <c r="AA613" s="303"/>
      <c r="AB613" s="303"/>
      <c r="AC613" s="303"/>
      <c r="AD613" s="303"/>
      <c r="AE613" s="303"/>
      <c r="AF613" s="303"/>
      <c r="AG613" s="303"/>
      <c r="AH613" s="303"/>
      <c r="AI613" s="303"/>
      <c r="AJ613" s="303"/>
      <c r="AK613" s="303"/>
      <c r="AL613" s="303"/>
      <c r="AM613" s="303"/>
      <c r="AN613" s="303"/>
      <c r="AO613" s="303"/>
      <c r="AP613" s="303"/>
      <c r="AQ613" s="303"/>
      <c r="AR613" s="303"/>
      <c r="AS613" s="303"/>
      <c r="AT613" s="303"/>
      <c r="AU613" s="303"/>
      <c r="AV613" s="303"/>
      <c r="AW613" s="303"/>
      <c r="AX613" s="303"/>
      <c r="AY613" s="303"/>
      <c r="AZ613" s="303"/>
      <c r="BA613" s="303"/>
      <c r="BB613" s="303"/>
      <c r="BC613" s="303"/>
      <c r="BD613" s="303"/>
      <c r="BE613" s="303"/>
      <c r="BF613" s="303"/>
      <c r="BG613" s="303"/>
      <c r="BH613" s="303"/>
      <c r="BI613" s="303"/>
      <c r="BJ613" s="307" t="str">
        <f aca="false">IF(C600&gt;0, C600, "")</f>
        <v/>
      </c>
      <c r="BL613" s="200"/>
      <c r="BM613" s="200"/>
      <c r="BN613" s="200"/>
    </row>
    <row r="614" customFormat="false" ht="15" hidden="false" customHeight="true" outlineLevel="0" collapsed="false">
      <c r="A614" s="198" t="n">
        <f aca="false">A598+1</f>
        <v>39</v>
      </c>
      <c r="B614" s="266" t="s">
        <v>253</v>
      </c>
      <c r="C614" s="266" t="s">
        <v>253</v>
      </c>
      <c r="D614" s="267"/>
      <c r="E614" s="242"/>
      <c r="F614" s="242"/>
      <c r="G614" s="242"/>
      <c r="H614" s="242"/>
      <c r="I614" s="242"/>
      <c r="J614" s="241"/>
      <c r="K614" s="241"/>
      <c r="L614" s="241"/>
      <c r="M614" s="241"/>
      <c r="N614" s="241"/>
      <c r="O614" s="268"/>
      <c r="P614" s="268"/>
      <c r="Q614" s="268"/>
      <c r="R614" s="268"/>
      <c r="S614" s="268"/>
      <c r="T614" s="268"/>
      <c r="U614" s="268"/>
      <c r="V614" s="268"/>
      <c r="W614" s="268"/>
      <c r="X614" s="268"/>
      <c r="Y614" s="268"/>
      <c r="Z614" s="268"/>
      <c r="AA614" s="268"/>
      <c r="AB614" s="268"/>
      <c r="AC614" s="268"/>
      <c r="AD614" s="268"/>
      <c r="AE614" s="268"/>
      <c r="AF614" s="268"/>
      <c r="AG614" s="268"/>
      <c r="AH614" s="268"/>
      <c r="AI614" s="268"/>
      <c r="AJ614" s="268"/>
      <c r="AK614" s="268"/>
      <c r="AL614" s="268"/>
      <c r="AM614" s="268"/>
      <c r="AN614" s="268"/>
      <c r="AO614" s="268"/>
      <c r="AP614" s="268"/>
      <c r="AQ614" s="268"/>
      <c r="AR614" s="268"/>
      <c r="AS614" s="268"/>
      <c r="AT614" s="268"/>
      <c r="AU614" s="268"/>
      <c r="AV614" s="268"/>
      <c r="AW614" s="268"/>
      <c r="AX614" s="268"/>
      <c r="AY614" s="268"/>
      <c r="AZ614" s="268"/>
      <c r="BA614" s="268"/>
      <c r="BB614" s="268"/>
      <c r="BC614" s="268"/>
      <c r="BD614" s="268"/>
      <c r="BE614" s="268"/>
      <c r="BF614" s="268"/>
      <c r="BG614" s="268"/>
      <c r="BH614" s="268"/>
      <c r="BI614" s="268"/>
      <c r="BJ614" s="18" t="str">
        <f aca="false">IF(C601&gt;0, C601, "")</f>
        <v/>
      </c>
      <c r="BL614" s="200"/>
      <c r="BM614" s="200"/>
      <c r="BN614" s="200"/>
    </row>
    <row r="615" customFormat="false" ht="7.5" hidden="false" customHeight="true" outlineLevel="0" collapsed="false">
      <c r="A615" s="198"/>
      <c r="B615" s="266"/>
      <c r="C615" s="266"/>
      <c r="D615" s="267"/>
      <c r="E615" s="242"/>
      <c r="F615" s="242"/>
      <c r="G615" s="242"/>
      <c r="H615" s="242"/>
      <c r="I615" s="242"/>
      <c r="J615" s="241"/>
      <c r="K615" s="241"/>
      <c r="L615" s="269"/>
      <c r="M615" s="269"/>
      <c r="N615" s="270"/>
      <c r="O615" s="269"/>
      <c r="P615" s="269"/>
      <c r="Q615" s="269"/>
      <c r="R615" s="269"/>
      <c r="S615" s="269"/>
      <c r="T615" s="269"/>
      <c r="U615" s="269"/>
      <c r="V615" s="269"/>
      <c r="W615" s="269"/>
      <c r="X615" s="269"/>
      <c r="Y615" s="269"/>
      <c r="Z615" s="269"/>
      <c r="AA615" s="268"/>
      <c r="AB615" s="271"/>
      <c r="AC615" s="271"/>
      <c r="AD615" s="271"/>
      <c r="AE615" s="271"/>
      <c r="AF615" s="271"/>
      <c r="AG615" s="271"/>
      <c r="AH615" s="271"/>
      <c r="AI615" s="271"/>
      <c r="AJ615" s="271"/>
      <c r="AK615" s="271"/>
      <c r="AL615" s="271"/>
      <c r="AM615" s="272"/>
      <c r="AN615" s="273"/>
      <c r="AO615" s="273"/>
      <c r="AP615" s="273"/>
      <c r="AQ615" s="268"/>
      <c r="AR615" s="271"/>
      <c r="AS615" s="271"/>
      <c r="AT615" s="271"/>
      <c r="AU615" s="271"/>
      <c r="AV615" s="271"/>
      <c r="AW615" s="271"/>
      <c r="AX615" s="271"/>
      <c r="AY615" s="271"/>
      <c r="AZ615" s="271"/>
      <c r="BA615" s="271"/>
      <c r="BB615" s="271"/>
      <c r="BC615" s="272"/>
      <c r="BD615" s="273"/>
      <c r="BE615" s="273"/>
      <c r="BF615" s="273"/>
      <c r="BG615" s="268"/>
      <c r="BH615" s="274"/>
      <c r="BI615" s="268"/>
      <c r="BL615" s="200"/>
      <c r="BM615" s="200"/>
      <c r="BN615" s="200"/>
    </row>
    <row r="616" customFormat="false" ht="15" hidden="false" customHeight="true" outlineLevel="0" collapsed="false">
      <c r="B616" s="275"/>
      <c r="D616" s="276" t="n">
        <f aca="false">D600</f>
        <v>45292</v>
      </c>
      <c r="E616" s="277" t="n">
        <v>0</v>
      </c>
      <c r="F616" s="277" t="n">
        <v>0</v>
      </c>
      <c r="G616" s="277" t="n">
        <v>0</v>
      </c>
      <c r="H616" s="277" t="n">
        <v>0</v>
      </c>
      <c r="I616" s="277" t="n">
        <v>0</v>
      </c>
      <c r="J616" s="278" t="n">
        <f aca="false">E616+H616+I616</f>
        <v>0</v>
      </c>
      <c r="K616" s="204"/>
      <c r="L616" s="279" t="n">
        <v>1</v>
      </c>
      <c r="M616" s="280" t="n">
        <f aca="false">1-L616</f>
        <v>0</v>
      </c>
      <c r="N616" s="281"/>
      <c r="O616" s="282"/>
      <c r="P616" s="282"/>
      <c r="Q616" s="282"/>
      <c r="R616" s="282"/>
      <c r="S616" s="282"/>
      <c r="T616" s="282"/>
      <c r="U616" s="282"/>
      <c r="V616" s="282"/>
      <c r="W616" s="282"/>
      <c r="X616" s="282"/>
      <c r="Y616" s="282"/>
      <c r="Z616" s="282"/>
      <c r="AA616" s="283"/>
      <c r="AB616" s="284" t="n">
        <f aca="false">IFERROR(($J616*O616)*$L616, "")</f>
        <v>0</v>
      </c>
      <c r="AC616" s="284" t="n">
        <f aca="false">IFERROR(($J616*P616)*$L616, "")</f>
        <v>0</v>
      </c>
      <c r="AD616" s="284" t="n">
        <f aca="false">IFERROR(($J616*Q616)*$L616, "")</f>
        <v>0</v>
      </c>
      <c r="AE616" s="284" t="n">
        <f aca="false">IFERROR(($J616*R616)*$L616, "")</f>
        <v>0</v>
      </c>
      <c r="AF616" s="284" t="n">
        <f aca="false">IFERROR(($J616*S616)*$L616, "")</f>
        <v>0</v>
      </c>
      <c r="AG616" s="284" t="n">
        <f aca="false">IFERROR(($J616*T616)*$L616, "")</f>
        <v>0</v>
      </c>
      <c r="AH616" s="284" t="n">
        <f aca="false">IFERROR(($J616*U616)*$L616, "")</f>
        <v>0</v>
      </c>
      <c r="AI616" s="284" t="n">
        <f aca="false">IFERROR(($J616*V616)*$L616, "")</f>
        <v>0</v>
      </c>
      <c r="AJ616" s="284" t="n">
        <f aca="false">IFERROR(($J616*W616)*$L616, "")</f>
        <v>0</v>
      </c>
      <c r="AK616" s="284" t="n">
        <f aca="false">IFERROR(($J616*X616)*$L616, "")</f>
        <v>0</v>
      </c>
      <c r="AL616" s="284" t="n">
        <f aca="false">IFERROR(($J616*Y616)*$L616, "")</f>
        <v>0</v>
      </c>
      <c r="AM616" s="285" t="n">
        <f aca="false">IFERROR(($J616*Z616)*$L616, "")</f>
        <v>0</v>
      </c>
      <c r="AN616" s="286" t="n">
        <f aca="false">IFERROR(SUMIF($AB$4:$AM$4, "RDEC", AB616:AM616), "")</f>
        <v>0</v>
      </c>
      <c r="AO616" s="286" t="n">
        <f aca="false">IFERROR(SUMIF($AB$4:$AM$4, "SME", AB616:AM616), "")</f>
        <v>0</v>
      </c>
      <c r="AP616" s="286" t="n">
        <f aca="false">IFERROR(SUMIF($AB$4:$AM$4, "De Minimis", AB616:AM616), "")</f>
        <v>0</v>
      </c>
      <c r="AQ616" s="283"/>
      <c r="AR616" s="284" t="n">
        <f aca="false">IFERROR(($J616*O616)*$M616, "")</f>
        <v>0</v>
      </c>
      <c r="AS616" s="284" t="n">
        <f aca="false">IFERROR(($J616*P616)*$M616, "")</f>
        <v>0</v>
      </c>
      <c r="AT616" s="284" t="n">
        <f aca="false">IFERROR(($J616*Q616)*$M616, "")</f>
        <v>0</v>
      </c>
      <c r="AU616" s="284" t="n">
        <f aca="false">IFERROR(($J616*R616)*$M616, "")</f>
        <v>0</v>
      </c>
      <c r="AV616" s="284" t="n">
        <f aca="false">IFERROR(($J616*S616)*$M616, "")</f>
        <v>0</v>
      </c>
      <c r="AW616" s="284" t="n">
        <f aca="false">IFERROR(($J616*T616)*$M616, "")</f>
        <v>0</v>
      </c>
      <c r="AX616" s="284" t="n">
        <f aca="false">IFERROR(($J616*U616)*$M616, "")</f>
        <v>0</v>
      </c>
      <c r="AY616" s="284" t="n">
        <f aca="false">IFERROR(($J616*V616)*$M616, "")</f>
        <v>0</v>
      </c>
      <c r="AZ616" s="284" t="n">
        <f aca="false">IFERROR(($J616*W616)*$M616, "")</f>
        <v>0</v>
      </c>
      <c r="BA616" s="284" t="n">
        <f aca="false">IFERROR(($J616*X616)*$M616, "")</f>
        <v>0</v>
      </c>
      <c r="BB616" s="284" t="n">
        <f aca="false">IFERROR(($J616*Y616)*$M616, "")</f>
        <v>0</v>
      </c>
      <c r="BC616" s="285" t="n">
        <f aca="false">IFERROR(($J616*Z616)*$M616, "")</f>
        <v>0</v>
      </c>
      <c r="BD616" s="286" t="n">
        <f aca="false">IFERROR(SUMIF($AB$4:$AM$4, "RDEC", AR616:BC616), "")</f>
        <v>0</v>
      </c>
      <c r="BE616" s="286" t="n">
        <f aca="false">IFERROR(SUMIF($AB$4:$AM$4, "SME", AR616:BC616), "")</f>
        <v>0</v>
      </c>
      <c r="BF616" s="286" t="n">
        <f aca="false">IFERROR(SUMIF($AB$4:$AM$4, "De Minimis", AR616:BC616), "")</f>
        <v>0</v>
      </c>
      <c r="BG616" s="287"/>
      <c r="BH616" s="288" t="str">
        <f aca="false">IF((SUM(O616:Z616)&gt;1),"ERROR","")</f>
        <v/>
      </c>
      <c r="BI616" s="287"/>
      <c r="BJ616" s="18" t="str">
        <f aca="false">IF(C602&gt;0, C602, "")</f>
        <v/>
      </c>
      <c r="BL616" s="200"/>
      <c r="BM616" s="200"/>
      <c r="BN616" s="200"/>
    </row>
    <row r="617" customFormat="false" ht="15" hidden="false" customHeight="true" outlineLevel="0" collapsed="false">
      <c r="B617" s="275"/>
      <c r="D617" s="276" t="n">
        <f aca="false">D601</f>
        <v>45323</v>
      </c>
      <c r="E617" s="277" t="n">
        <v>0</v>
      </c>
      <c r="F617" s="277" t="n">
        <v>0</v>
      </c>
      <c r="G617" s="277" t="n">
        <v>0</v>
      </c>
      <c r="H617" s="277" t="n">
        <v>0</v>
      </c>
      <c r="I617" s="277" t="n">
        <v>0</v>
      </c>
      <c r="J617" s="278" t="n">
        <f aca="false">E617+H617+I617</f>
        <v>0</v>
      </c>
      <c r="K617" s="204"/>
      <c r="L617" s="279" t="n">
        <v>1</v>
      </c>
      <c r="M617" s="280" t="n">
        <f aca="false">1-L617</f>
        <v>0</v>
      </c>
      <c r="N617" s="281"/>
      <c r="O617" s="282"/>
      <c r="P617" s="282"/>
      <c r="Q617" s="282"/>
      <c r="R617" s="282"/>
      <c r="S617" s="282"/>
      <c r="T617" s="282"/>
      <c r="U617" s="282"/>
      <c r="V617" s="282"/>
      <c r="W617" s="282"/>
      <c r="X617" s="282"/>
      <c r="Y617" s="282"/>
      <c r="Z617" s="282"/>
      <c r="AA617" s="283"/>
      <c r="AB617" s="284" t="n">
        <f aca="false">IFERROR(($J617*O617)*$L617, "")</f>
        <v>0</v>
      </c>
      <c r="AC617" s="284" t="n">
        <f aca="false">IFERROR(($J617*P617)*$L617, "")</f>
        <v>0</v>
      </c>
      <c r="AD617" s="284" t="n">
        <f aca="false">IFERROR(($J617*Q617)*$L617, "")</f>
        <v>0</v>
      </c>
      <c r="AE617" s="284" t="n">
        <f aca="false">IFERROR(($J617*R617)*$L617, "")</f>
        <v>0</v>
      </c>
      <c r="AF617" s="284" t="n">
        <f aca="false">IFERROR(($J617*S617)*$L617, "")</f>
        <v>0</v>
      </c>
      <c r="AG617" s="284" t="n">
        <f aca="false">IFERROR(($J617*T617)*$L617, "")</f>
        <v>0</v>
      </c>
      <c r="AH617" s="284" t="n">
        <f aca="false">IFERROR(($J617*U617)*$L617, "")</f>
        <v>0</v>
      </c>
      <c r="AI617" s="284" t="n">
        <f aca="false">IFERROR(($J617*V617)*$L617, "")</f>
        <v>0</v>
      </c>
      <c r="AJ617" s="284" t="n">
        <f aca="false">IFERROR(($J617*W617)*$L617, "")</f>
        <v>0</v>
      </c>
      <c r="AK617" s="284" t="n">
        <f aca="false">IFERROR(($J617*X617)*$L617, "")</f>
        <v>0</v>
      </c>
      <c r="AL617" s="284" t="n">
        <f aca="false">IFERROR(($J617*Y617)*$L617, "")</f>
        <v>0</v>
      </c>
      <c r="AM617" s="285" t="n">
        <f aca="false">IFERROR(($J617*Z617)*$L617, "")</f>
        <v>0</v>
      </c>
      <c r="AN617" s="286" t="n">
        <f aca="false">IFERROR(SUMIF($AB$4:$AM$4, "RDEC", AB617:AM617), "")</f>
        <v>0</v>
      </c>
      <c r="AO617" s="286" t="n">
        <f aca="false">IFERROR(SUMIF($AB$4:$AM$4, "SME", AB617:AM617), "")</f>
        <v>0</v>
      </c>
      <c r="AP617" s="286" t="n">
        <f aca="false">IFERROR(SUMIF($AB$4:$AM$4, "De Minimis", AB617:AM617), "")</f>
        <v>0</v>
      </c>
      <c r="AQ617" s="283"/>
      <c r="AR617" s="284" t="n">
        <f aca="false">IFERROR(($J617*O617)*$M617, "")</f>
        <v>0</v>
      </c>
      <c r="AS617" s="284" t="n">
        <f aca="false">IFERROR(($J617*P617)*$M617, "")</f>
        <v>0</v>
      </c>
      <c r="AT617" s="284" t="n">
        <f aca="false">IFERROR(($J617*Q617)*$M617, "")</f>
        <v>0</v>
      </c>
      <c r="AU617" s="284" t="n">
        <f aca="false">IFERROR(($J617*R617)*$M617, "")</f>
        <v>0</v>
      </c>
      <c r="AV617" s="284" t="n">
        <f aca="false">IFERROR(($J617*S617)*$M617, "")</f>
        <v>0</v>
      </c>
      <c r="AW617" s="284" t="n">
        <f aca="false">IFERROR(($J617*T617)*$M617, "")</f>
        <v>0</v>
      </c>
      <c r="AX617" s="284" t="n">
        <f aca="false">IFERROR(($J617*U617)*$M617, "")</f>
        <v>0</v>
      </c>
      <c r="AY617" s="284" t="n">
        <f aca="false">IFERROR(($J617*V617)*$M617, "")</f>
        <v>0</v>
      </c>
      <c r="AZ617" s="284" t="n">
        <f aca="false">IFERROR(($J617*W617)*$M617, "")</f>
        <v>0</v>
      </c>
      <c r="BA617" s="284" t="n">
        <f aca="false">IFERROR(($J617*X617)*$M617, "")</f>
        <v>0</v>
      </c>
      <c r="BB617" s="284" t="n">
        <f aca="false">IFERROR(($J617*Y617)*$M617, "")</f>
        <v>0</v>
      </c>
      <c r="BC617" s="285" t="n">
        <f aca="false">IFERROR(($J617*Z617)*$M617, "")</f>
        <v>0</v>
      </c>
      <c r="BD617" s="286" t="n">
        <f aca="false">IFERROR(SUMIF($AB$4:$AM$4, "RDEC", AR617:BC617), "")</f>
        <v>0</v>
      </c>
      <c r="BE617" s="286" t="n">
        <f aca="false">IFERROR(SUMIF($AB$4:$AM$4, "SME", AR617:BC617), "")</f>
        <v>0</v>
      </c>
      <c r="BF617" s="286" t="n">
        <f aca="false">IFERROR(SUMIF($AB$4:$AM$4, "De Minimis", AR617:BC617), "")</f>
        <v>0</v>
      </c>
      <c r="BG617" s="287"/>
      <c r="BH617" s="288" t="str">
        <f aca="false">IF((SUM(O617:Z617)&gt;1),"ERROR","")</f>
        <v/>
      </c>
      <c r="BI617" s="287"/>
      <c r="BJ617" s="18" t="str">
        <f aca="false">IF(C603&gt;0, C603, "")</f>
        <v/>
      </c>
      <c r="BL617" s="200"/>
      <c r="BM617" s="200"/>
      <c r="BN617" s="200"/>
    </row>
    <row r="618" customFormat="false" ht="15" hidden="false" customHeight="true" outlineLevel="0" collapsed="false">
      <c r="B618" s="275"/>
      <c r="D618" s="276" t="n">
        <f aca="false">D602</f>
        <v>45352</v>
      </c>
      <c r="E618" s="277" t="n">
        <v>0</v>
      </c>
      <c r="F618" s="277" t="n">
        <v>0</v>
      </c>
      <c r="G618" s="277" t="n">
        <v>0</v>
      </c>
      <c r="H618" s="277" t="n">
        <v>0</v>
      </c>
      <c r="I618" s="277" t="n">
        <v>0</v>
      </c>
      <c r="J618" s="278" t="n">
        <f aca="false">E618+H618+I618</f>
        <v>0</v>
      </c>
      <c r="K618" s="204"/>
      <c r="L618" s="279" t="n">
        <v>1</v>
      </c>
      <c r="M618" s="280" t="n">
        <f aca="false">1-L618</f>
        <v>0</v>
      </c>
      <c r="N618" s="281"/>
      <c r="O618" s="282"/>
      <c r="P618" s="282"/>
      <c r="Q618" s="282"/>
      <c r="R618" s="282"/>
      <c r="S618" s="282"/>
      <c r="T618" s="282"/>
      <c r="U618" s="282"/>
      <c r="V618" s="282"/>
      <c r="W618" s="282"/>
      <c r="X618" s="282"/>
      <c r="Y618" s="282"/>
      <c r="Z618" s="282"/>
      <c r="AA618" s="283"/>
      <c r="AB618" s="284" t="n">
        <f aca="false">IFERROR(($J618*O618)*$L618, "")</f>
        <v>0</v>
      </c>
      <c r="AC618" s="284" t="n">
        <f aca="false">IFERROR(($J618*P618)*$L618, "")</f>
        <v>0</v>
      </c>
      <c r="AD618" s="284" t="n">
        <f aca="false">IFERROR(($J618*Q618)*$L618, "")</f>
        <v>0</v>
      </c>
      <c r="AE618" s="284" t="n">
        <f aca="false">IFERROR(($J618*R618)*$L618, "")</f>
        <v>0</v>
      </c>
      <c r="AF618" s="284" t="n">
        <f aca="false">IFERROR(($J618*S618)*$L618, "")</f>
        <v>0</v>
      </c>
      <c r="AG618" s="284" t="n">
        <f aca="false">IFERROR(($J618*T618)*$L618, "")</f>
        <v>0</v>
      </c>
      <c r="AH618" s="284" t="n">
        <f aca="false">IFERROR(($J618*U618)*$L618, "")</f>
        <v>0</v>
      </c>
      <c r="AI618" s="284" t="n">
        <f aca="false">IFERROR(($J618*V618)*$L618, "")</f>
        <v>0</v>
      </c>
      <c r="AJ618" s="284" t="n">
        <f aca="false">IFERROR(($J618*W618)*$L618, "")</f>
        <v>0</v>
      </c>
      <c r="AK618" s="284" t="n">
        <f aca="false">IFERROR(($J618*X618)*$L618, "")</f>
        <v>0</v>
      </c>
      <c r="AL618" s="284" t="n">
        <f aca="false">IFERROR(($J618*Y618)*$L618, "")</f>
        <v>0</v>
      </c>
      <c r="AM618" s="285" t="n">
        <f aca="false">IFERROR(($J618*Z618)*$L618, "")</f>
        <v>0</v>
      </c>
      <c r="AN618" s="286" t="n">
        <f aca="false">IFERROR(SUMIF($AB$4:$AM$4, "RDEC", AB618:AM618), "")</f>
        <v>0</v>
      </c>
      <c r="AO618" s="286" t="n">
        <f aca="false">IFERROR(SUMIF($AB$4:$AM$4, "SME", AB618:AM618), "")</f>
        <v>0</v>
      </c>
      <c r="AP618" s="286" t="n">
        <f aca="false">IFERROR(SUMIF($AB$4:$AM$4, "De Minimis", AB618:AM618), "")</f>
        <v>0</v>
      </c>
      <c r="AQ618" s="283"/>
      <c r="AR618" s="284" t="n">
        <f aca="false">IFERROR(($J618*O618)*$M618, "")</f>
        <v>0</v>
      </c>
      <c r="AS618" s="284" t="n">
        <f aca="false">IFERROR(($J618*P618)*$M618, "")</f>
        <v>0</v>
      </c>
      <c r="AT618" s="284" t="n">
        <f aca="false">IFERROR(($J618*Q618)*$M618, "")</f>
        <v>0</v>
      </c>
      <c r="AU618" s="284" t="n">
        <f aca="false">IFERROR(($J618*R618)*$M618, "")</f>
        <v>0</v>
      </c>
      <c r="AV618" s="284" t="n">
        <f aca="false">IFERROR(($J618*S618)*$M618, "")</f>
        <v>0</v>
      </c>
      <c r="AW618" s="284" t="n">
        <f aca="false">IFERROR(($J618*T618)*$M618, "")</f>
        <v>0</v>
      </c>
      <c r="AX618" s="284" t="n">
        <f aca="false">IFERROR(($J618*U618)*$M618, "")</f>
        <v>0</v>
      </c>
      <c r="AY618" s="284" t="n">
        <f aca="false">IFERROR(($J618*V618)*$M618, "")</f>
        <v>0</v>
      </c>
      <c r="AZ618" s="284" t="n">
        <f aca="false">IFERROR(($J618*W618)*$M618, "")</f>
        <v>0</v>
      </c>
      <c r="BA618" s="284" t="n">
        <f aca="false">IFERROR(($J618*X618)*$M618, "")</f>
        <v>0</v>
      </c>
      <c r="BB618" s="284" t="n">
        <f aca="false">IFERROR(($J618*Y618)*$M618, "")</f>
        <v>0</v>
      </c>
      <c r="BC618" s="285" t="n">
        <f aca="false">IFERROR(($J618*Z618)*$M618, "")</f>
        <v>0</v>
      </c>
      <c r="BD618" s="286" t="n">
        <f aca="false">IFERROR(SUMIF($AB$4:$AM$4, "RDEC", AR618:BC618), "")</f>
        <v>0</v>
      </c>
      <c r="BE618" s="286" t="n">
        <f aca="false">IFERROR(SUMIF($AB$4:$AM$4, "SME", AR618:BC618), "")</f>
        <v>0</v>
      </c>
      <c r="BF618" s="286" t="n">
        <f aca="false">IFERROR(SUMIF($AB$4:$AM$4, "De Minimis", AR618:BC618), "")</f>
        <v>0</v>
      </c>
      <c r="BG618" s="287"/>
      <c r="BH618" s="288" t="str">
        <f aca="false">IF((SUM(O618:Z618)&gt;1),"ERROR","")</f>
        <v/>
      </c>
      <c r="BI618" s="287"/>
      <c r="BJ618" s="18" t="str">
        <f aca="false">IF(C604&gt;0, C604, "")</f>
        <v/>
      </c>
      <c r="BL618" s="200"/>
      <c r="BM618" s="200"/>
      <c r="BN618" s="200"/>
    </row>
    <row r="619" customFormat="false" ht="15" hidden="false" customHeight="true" outlineLevel="0" collapsed="false">
      <c r="B619" s="275"/>
      <c r="D619" s="276" t="n">
        <f aca="false">D603</f>
        <v>45383</v>
      </c>
      <c r="E619" s="277" t="n">
        <v>0</v>
      </c>
      <c r="F619" s="277" t="n">
        <v>0</v>
      </c>
      <c r="G619" s="277" t="n">
        <v>0</v>
      </c>
      <c r="H619" s="277" t="n">
        <v>0</v>
      </c>
      <c r="I619" s="277" t="n">
        <v>0</v>
      </c>
      <c r="J619" s="278" t="n">
        <f aca="false">E619+H619+I619</f>
        <v>0</v>
      </c>
      <c r="K619" s="204"/>
      <c r="L619" s="279" t="n">
        <v>1</v>
      </c>
      <c r="M619" s="280" t="n">
        <f aca="false">1-L619</f>
        <v>0</v>
      </c>
      <c r="N619" s="281"/>
      <c r="O619" s="282"/>
      <c r="P619" s="282"/>
      <c r="Q619" s="282"/>
      <c r="R619" s="282"/>
      <c r="S619" s="282"/>
      <c r="T619" s="282"/>
      <c r="U619" s="282"/>
      <c r="V619" s="282"/>
      <c r="W619" s="282"/>
      <c r="X619" s="282"/>
      <c r="Y619" s="282"/>
      <c r="Z619" s="282"/>
      <c r="AA619" s="283"/>
      <c r="AB619" s="284" t="n">
        <f aca="false">IFERROR(($J619*O619)*$L619, "")</f>
        <v>0</v>
      </c>
      <c r="AC619" s="284" t="n">
        <f aca="false">IFERROR(($J619*P619)*$L619, "")</f>
        <v>0</v>
      </c>
      <c r="AD619" s="284" t="n">
        <f aca="false">IFERROR(($J619*Q619)*$L619, "")</f>
        <v>0</v>
      </c>
      <c r="AE619" s="284" t="n">
        <f aca="false">IFERROR(($J619*R619)*$L619, "")</f>
        <v>0</v>
      </c>
      <c r="AF619" s="284" t="n">
        <f aca="false">IFERROR(($J619*S619)*$L619, "")</f>
        <v>0</v>
      </c>
      <c r="AG619" s="284" t="n">
        <f aca="false">IFERROR(($J619*T619)*$L619, "")</f>
        <v>0</v>
      </c>
      <c r="AH619" s="284" t="n">
        <f aca="false">IFERROR(($J619*U619)*$L619, "")</f>
        <v>0</v>
      </c>
      <c r="AI619" s="284" t="n">
        <f aca="false">IFERROR(($J619*V619)*$L619, "")</f>
        <v>0</v>
      </c>
      <c r="AJ619" s="284" t="n">
        <f aca="false">IFERROR(($J619*W619)*$L619, "")</f>
        <v>0</v>
      </c>
      <c r="AK619" s="284" t="n">
        <f aca="false">IFERROR(($J619*X619)*$L619, "")</f>
        <v>0</v>
      </c>
      <c r="AL619" s="284" t="n">
        <f aca="false">IFERROR(($J619*Y619)*$L619, "")</f>
        <v>0</v>
      </c>
      <c r="AM619" s="285" t="n">
        <f aca="false">IFERROR(($J619*Z619)*$L619, "")</f>
        <v>0</v>
      </c>
      <c r="AN619" s="286" t="n">
        <f aca="false">IFERROR(SUMIF($AB$4:$AM$4, "RDEC", AB619:AM619), "")</f>
        <v>0</v>
      </c>
      <c r="AO619" s="286" t="n">
        <f aca="false">IFERROR(SUMIF($AB$4:$AM$4, "SME", AB619:AM619), "")</f>
        <v>0</v>
      </c>
      <c r="AP619" s="286" t="n">
        <f aca="false">IFERROR(SUMIF($AB$4:$AM$4, "De Minimis", AB619:AM619), "")</f>
        <v>0</v>
      </c>
      <c r="AQ619" s="283"/>
      <c r="AR619" s="284" t="n">
        <f aca="false">IFERROR(($J619*O619)*$M619, "")</f>
        <v>0</v>
      </c>
      <c r="AS619" s="284" t="n">
        <f aca="false">IFERROR(($J619*P619)*$M619, "")</f>
        <v>0</v>
      </c>
      <c r="AT619" s="284" t="n">
        <f aca="false">IFERROR(($J619*Q619)*$M619, "")</f>
        <v>0</v>
      </c>
      <c r="AU619" s="284" t="n">
        <f aca="false">IFERROR(($J619*R619)*$M619, "")</f>
        <v>0</v>
      </c>
      <c r="AV619" s="284" t="n">
        <f aca="false">IFERROR(($J619*S619)*$M619, "")</f>
        <v>0</v>
      </c>
      <c r="AW619" s="284" t="n">
        <f aca="false">IFERROR(($J619*T619)*$M619, "")</f>
        <v>0</v>
      </c>
      <c r="AX619" s="284" t="n">
        <f aca="false">IFERROR(($J619*U619)*$M619, "")</f>
        <v>0</v>
      </c>
      <c r="AY619" s="284" t="n">
        <f aca="false">IFERROR(($J619*V619)*$M619, "")</f>
        <v>0</v>
      </c>
      <c r="AZ619" s="284" t="n">
        <f aca="false">IFERROR(($J619*W619)*$M619, "")</f>
        <v>0</v>
      </c>
      <c r="BA619" s="284" t="n">
        <f aca="false">IFERROR(($J619*X619)*$M619, "")</f>
        <v>0</v>
      </c>
      <c r="BB619" s="284" t="n">
        <f aca="false">IFERROR(($J619*Y619)*$M619, "")</f>
        <v>0</v>
      </c>
      <c r="BC619" s="285" t="n">
        <f aca="false">IFERROR(($J619*Z619)*$M619, "")</f>
        <v>0</v>
      </c>
      <c r="BD619" s="286" t="n">
        <f aca="false">IFERROR(SUMIF($AB$4:$AM$4, "RDEC", AR619:BC619), "")</f>
        <v>0</v>
      </c>
      <c r="BE619" s="286" t="n">
        <f aca="false">IFERROR(SUMIF($AB$4:$AM$4, "SME", AR619:BC619), "")</f>
        <v>0</v>
      </c>
      <c r="BF619" s="286" t="n">
        <f aca="false">IFERROR(SUMIF($AB$4:$AM$4, "De Minimis", AR619:BC619), "")</f>
        <v>0</v>
      </c>
      <c r="BG619" s="287"/>
      <c r="BH619" s="288" t="str">
        <f aca="false">IF((SUM(O619:Z619)&gt;1),"ERROR","")</f>
        <v/>
      </c>
      <c r="BI619" s="287"/>
      <c r="BJ619" s="18" t="str">
        <f aca="false">IF(C605&gt;0, C605, "")</f>
        <v/>
      </c>
      <c r="BL619" s="200"/>
      <c r="BM619" s="200"/>
      <c r="BN619" s="200"/>
    </row>
    <row r="620" customFormat="false" ht="15" hidden="false" customHeight="true" outlineLevel="0" collapsed="false">
      <c r="B620" s="275"/>
      <c r="D620" s="276" t="n">
        <f aca="false">D604</f>
        <v>45413</v>
      </c>
      <c r="E620" s="277" t="n">
        <v>0</v>
      </c>
      <c r="F620" s="277" t="n">
        <v>0</v>
      </c>
      <c r="G620" s="277" t="n">
        <v>0</v>
      </c>
      <c r="H620" s="277" t="n">
        <v>0</v>
      </c>
      <c r="I620" s="277" t="n">
        <v>0</v>
      </c>
      <c r="J620" s="278" t="n">
        <f aca="false">E620+H620+I620</f>
        <v>0</v>
      </c>
      <c r="K620" s="204"/>
      <c r="L620" s="279" t="n">
        <v>1</v>
      </c>
      <c r="M620" s="280" t="n">
        <f aca="false">1-L620</f>
        <v>0</v>
      </c>
      <c r="N620" s="281"/>
      <c r="O620" s="282"/>
      <c r="P620" s="282"/>
      <c r="Q620" s="282"/>
      <c r="R620" s="282"/>
      <c r="S620" s="282"/>
      <c r="T620" s="282"/>
      <c r="U620" s="282"/>
      <c r="V620" s="282"/>
      <c r="W620" s="282"/>
      <c r="X620" s="282"/>
      <c r="Y620" s="282"/>
      <c r="Z620" s="282"/>
      <c r="AA620" s="283"/>
      <c r="AB620" s="284" t="n">
        <f aca="false">IFERROR(($J620*O620)*$L620, "")</f>
        <v>0</v>
      </c>
      <c r="AC620" s="284" t="n">
        <f aca="false">IFERROR(($J620*P620)*$L620, "")</f>
        <v>0</v>
      </c>
      <c r="AD620" s="284" t="n">
        <f aca="false">IFERROR(($J620*Q620)*$L620, "")</f>
        <v>0</v>
      </c>
      <c r="AE620" s="284" t="n">
        <f aca="false">IFERROR(($J620*R620)*$L620, "")</f>
        <v>0</v>
      </c>
      <c r="AF620" s="284" t="n">
        <f aca="false">IFERROR(($J620*S620)*$L620, "")</f>
        <v>0</v>
      </c>
      <c r="AG620" s="284" t="n">
        <f aca="false">IFERROR(($J620*T620)*$L620, "")</f>
        <v>0</v>
      </c>
      <c r="AH620" s="284" t="n">
        <f aca="false">IFERROR(($J620*U620)*$L620, "")</f>
        <v>0</v>
      </c>
      <c r="AI620" s="284" t="n">
        <f aca="false">IFERROR(($J620*V620)*$L620, "")</f>
        <v>0</v>
      </c>
      <c r="AJ620" s="284" t="n">
        <f aca="false">IFERROR(($J620*W620)*$L620, "")</f>
        <v>0</v>
      </c>
      <c r="AK620" s="284" t="n">
        <f aca="false">IFERROR(($J620*X620)*$L620, "")</f>
        <v>0</v>
      </c>
      <c r="AL620" s="284" t="n">
        <f aca="false">IFERROR(($J620*Y620)*$L620, "")</f>
        <v>0</v>
      </c>
      <c r="AM620" s="285" t="n">
        <f aca="false">IFERROR(($J620*Z620)*$L620, "")</f>
        <v>0</v>
      </c>
      <c r="AN620" s="286" t="n">
        <f aca="false">IFERROR(SUMIF($AB$4:$AM$4, "RDEC", AB620:AM620), "")</f>
        <v>0</v>
      </c>
      <c r="AO620" s="286" t="n">
        <f aca="false">IFERROR(SUMIF($AB$4:$AM$4, "SME", AB620:AM620), "")</f>
        <v>0</v>
      </c>
      <c r="AP620" s="286" t="n">
        <f aca="false">IFERROR(SUMIF($AB$4:$AM$4, "De Minimis", AB620:AM620), "")</f>
        <v>0</v>
      </c>
      <c r="AQ620" s="283"/>
      <c r="AR620" s="284" t="n">
        <f aca="false">IFERROR(($J620*O620)*$M620, "")</f>
        <v>0</v>
      </c>
      <c r="AS620" s="284" t="n">
        <f aca="false">IFERROR(($J620*P620)*$M620, "")</f>
        <v>0</v>
      </c>
      <c r="AT620" s="284" t="n">
        <f aca="false">IFERROR(($J620*Q620)*$M620, "")</f>
        <v>0</v>
      </c>
      <c r="AU620" s="284" t="n">
        <f aca="false">IFERROR(($J620*R620)*$M620, "")</f>
        <v>0</v>
      </c>
      <c r="AV620" s="284" t="n">
        <f aca="false">IFERROR(($J620*S620)*$M620, "")</f>
        <v>0</v>
      </c>
      <c r="AW620" s="284" t="n">
        <f aca="false">IFERROR(($J620*T620)*$M620, "")</f>
        <v>0</v>
      </c>
      <c r="AX620" s="284" t="n">
        <f aca="false">IFERROR(($J620*U620)*$M620, "")</f>
        <v>0</v>
      </c>
      <c r="AY620" s="284" t="n">
        <f aca="false">IFERROR(($J620*V620)*$M620, "")</f>
        <v>0</v>
      </c>
      <c r="AZ620" s="284" t="n">
        <f aca="false">IFERROR(($J620*W620)*$M620, "")</f>
        <v>0</v>
      </c>
      <c r="BA620" s="284" t="n">
        <f aca="false">IFERROR(($J620*X620)*$M620, "")</f>
        <v>0</v>
      </c>
      <c r="BB620" s="284" t="n">
        <f aca="false">IFERROR(($J620*Y620)*$M620, "")</f>
        <v>0</v>
      </c>
      <c r="BC620" s="285" t="n">
        <f aca="false">IFERROR(($J620*Z620)*$M620, "")</f>
        <v>0</v>
      </c>
      <c r="BD620" s="286" t="n">
        <f aca="false">IFERROR(SUMIF($AB$4:$AM$4, "RDEC", AR620:BC620), "")</f>
        <v>0</v>
      </c>
      <c r="BE620" s="286" t="n">
        <f aca="false">IFERROR(SUMIF($AB$4:$AM$4, "SME", AR620:BC620), "")</f>
        <v>0</v>
      </c>
      <c r="BF620" s="286" t="n">
        <f aca="false">IFERROR(SUMIF($AB$4:$AM$4, "De Minimis", AR620:BC620), "")</f>
        <v>0</v>
      </c>
      <c r="BG620" s="287"/>
      <c r="BH620" s="288" t="str">
        <f aca="false">IF((SUM(O620:Z620)&gt;1),"ERROR","")</f>
        <v/>
      </c>
      <c r="BI620" s="287"/>
      <c r="BJ620" s="18" t="str">
        <f aca="false">IF(C606&gt;0, C606, "")</f>
        <v/>
      </c>
      <c r="BL620" s="200"/>
      <c r="BM620" s="200"/>
      <c r="BN620" s="200"/>
    </row>
    <row r="621" customFormat="false" ht="15" hidden="false" customHeight="true" outlineLevel="0" collapsed="false">
      <c r="B621" s="275"/>
      <c r="D621" s="276" t="n">
        <f aca="false">D605</f>
        <v>45444</v>
      </c>
      <c r="E621" s="277" t="n">
        <v>0</v>
      </c>
      <c r="F621" s="277" t="n">
        <v>0</v>
      </c>
      <c r="G621" s="277" t="n">
        <v>0</v>
      </c>
      <c r="H621" s="277" t="n">
        <v>0</v>
      </c>
      <c r="I621" s="277" t="n">
        <v>0</v>
      </c>
      <c r="J621" s="278" t="n">
        <f aca="false">E621+H621+I621</f>
        <v>0</v>
      </c>
      <c r="K621" s="204"/>
      <c r="L621" s="279" t="n">
        <v>1</v>
      </c>
      <c r="M621" s="280" t="n">
        <f aca="false">1-L621</f>
        <v>0</v>
      </c>
      <c r="N621" s="281"/>
      <c r="O621" s="282"/>
      <c r="P621" s="282"/>
      <c r="Q621" s="282"/>
      <c r="R621" s="282"/>
      <c r="S621" s="282"/>
      <c r="T621" s="282"/>
      <c r="U621" s="282"/>
      <c r="V621" s="282"/>
      <c r="W621" s="282"/>
      <c r="X621" s="282"/>
      <c r="Y621" s="282"/>
      <c r="Z621" s="282"/>
      <c r="AA621" s="283"/>
      <c r="AB621" s="284" t="n">
        <f aca="false">IFERROR(($J621*O621)*$L621, "")</f>
        <v>0</v>
      </c>
      <c r="AC621" s="284" t="n">
        <f aca="false">IFERROR(($J621*P621)*$L621, "")</f>
        <v>0</v>
      </c>
      <c r="AD621" s="284" t="n">
        <f aca="false">IFERROR(($J621*Q621)*$L621, "")</f>
        <v>0</v>
      </c>
      <c r="AE621" s="284" t="n">
        <f aca="false">IFERROR(($J621*R621)*$L621, "")</f>
        <v>0</v>
      </c>
      <c r="AF621" s="284" t="n">
        <f aca="false">IFERROR(($J621*S621)*$L621, "")</f>
        <v>0</v>
      </c>
      <c r="AG621" s="284" t="n">
        <f aca="false">IFERROR(($J621*T621)*$L621, "")</f>
        <v>0</v>
      </c>
      <c r="AH621" s="284" t="n">
        <f aca="false">IFERROR(($J621*U621)*$L621, "")</f>
        <v>0</v>
      </c>
      <c r="AI621" s="284" t="n">
        <f aca="false">IFERROR(($J621*V621)*$L621, "")</f>
        <v>0</v>
      </c>
      <c r="AJ621" s="284" t="n">
        <f aca="false">IFERROR(($J621*W621)*$L621, "")</f>
        <v>0</v>
      </c>
      <c r="AK621" s="284" t="n">
        <f aca="false">IFERROR(($J621*X621)*$L621, "")</f>
        <v>0</v>
      </c>
      <c r="AL621" s="284" t="n">
        <f aca="false">IFERROR(($J621*Y621)*$L621, "")</f>
        <v>0</v>
      </c>
      <c r="AM621" s="285" t="n">
        <f aca="false">IFERROR(($J621*Z621)*$L621, "")</f>
        <v>0</v>
      </c>
      <c r="AN621" s="286" t="n">
        <f aca="false">IFERROR(SUMIF($AB$4:$AM$4, "RDEC", AB621:AM621), "")</f>
        <v>0</v>
      </c>
      <c r="AO621" s="286" t="n">
        <f aca="false">IFERROR(SUMIF($AB$4:$AM$4, "SME", AB621:AM621), "")</f>
        <v>0</v>
      </c>
      <c r="AP621" s="286" t="n">
        <f aca="false">IFERROR(SUMIF($AB$4:$AM$4, "De Minimis", AB621:AM621), "")</f>
        <v>0</v>
      </c>
      <c r="AQ621" s="283"/>
      <c r="AR621" s="284" t="n">
        <f aca="false">IFERROR(($J621*O621)*$M621, "")</f>
        <v>0</v>
      </c>
      <c r="AS621" s="284" t="n">
        <f aca="false">IFERROR(($J621*P621)*$M621, "")</f>
        <v>0</v>
      </c>
      <c r="AT621" s="284" t="n">
        <f aca="false">IFERROR(($J621*Q621)*$M621, "")</f>
        <v>0</v>
      </c>
      <c r="AU621" s="284" t="n">
        <f aca="false">IFERROR(($J621*R621)*$M621, "")</f>
        <v>0</v>
      </c>
      <c r="AV621" s="284" t="n">
        <f aca="false">IFERROR(($J621*S621)*$M621, "")</f>
        <v>0</v>
      </c>
      <c r="AW621" s="284" t="n">
        <f aca="false">IFERROR(($J621*T621)*$M621, "")</f>
        <v>0</v>
      </c>
      <c r="AX621" s="284" t="n">
        <f aca="false">IFERROR(($J621*U621)*$M621, "")</f>
        <v>0</v>
      </c>
      <c r="AY621" s="284" t="n">
        <f aca="false">IFERROR(($J621*V621)*$M621, "")</f>
        <v>0</v>
      </c>
      <c r="AZ621" s="284" t="n">
        <f aca="false">IFERROR(($J621*W621)*$M621, "")</f>
        <v>0</v>
      </c>
      <c r="BA621" s="284" t="n">
        <f aca="false">IFERROR(($J621*X621)*$M621, "")</f>
        <v>0</v>
      </c>
      <c r="BB621" s="284" t="n">
        <f aca="false">IFERROR(($J621*Y621)*$M621, "")</f>
        <v>0</v>
      </c>
      <c r="BC621" s="285" t="n">
        <f aca="false">IFERROR(($J621*Z621)*$M621, "")</f>
        <v>0</v>
      </c>
      <c r="BD621" s="286" t="n">
        <f aca="false">IFERROR(SUMIF($AB$4:$AM$4, "RDEC", AR621:BC621), "")</f>
        <v>0</v>
      </c>
      <c r="BE621" s="286" t="n">
        <f aca="false">IFERROR(SUMIF($AB$4:$AM$4, "SME", AR621:BC621), "")</f>
        <v>0</v>
      </c>
      <c r="BF621" s="286" t="n">
        <f aca="false">IFERROR(SUMIF($AB$4:$AM$4, "De Minimis", AR621:BC621), "")</f>
        <v>0</v>
      </c>
      <c r="BG621" s="287"/>
      <c r="BH621" s="288" t="str">
        <f aca="false">IF((SUM(O621:Z621)&gt;1),"ERROR","")</f>
        <v/>
      </c>
      <c r="BI621" s="287"/>
      <c r="BJ621" s="18" t="str">
        <f aca="false">IF(C607&gt;0, C607, "")</f>
        <v/>
      </c>
      <c r="BL621" s="200"/>
      <c r="BM621" s="200"/>
      <c r="BN621" s="200"/>
    </row>
    <row r="622" customFormat="false" ht="15" hidden="false" customHeight="true" outlineLevel="0" collapsed="false">
      <c r="B622" s="275"/>
      <c r="D622" s="276" t="n">
        <f aca="false">D606</f>
        <v>45474</v>
      </c>
      <c r="E622" s="277" t="n">
        <v>0</v>
      </c>
      <c r="F622" s="277" t="n">
        <v>0</v>
      </c>
      <c r="G622" s="277" t="n">
        <v>0</v>
      </c>
      <c r="H622" s="277" t="n">
        <v>0</v>
      </c>
      <c r="I622" s="277" t="n">
        <v>0</v>
      </c>
      <c r="J622" s="278" t="n">
        <f aca="false">E622+H622+I622</f>
        <v>0</v>
      </c>
      <c r="K622" s="204"/>
      <c r="L622" s="279" t="n">
        <v>1</v>
      </c>
      <c r="M622" s="280" t="n">
        <f aca="false">1-L622</f>
        <v>0</v>
      </c>
      <c r="N622" s="281"/>
      <c r="O622" s="282"/>
      <c r="P622" s="282"/>
      <c r="Q622" s="282"/>
      <c r="R622" s="282"/>
      <c r="S622" s="282"/>
      <c r="T622" s="282"/>
      <c r="U622" s="282"/>
      <c r="V622" s="282"/>
      <c r="W622" s="282"/>
      <c r="X622" s="282"/>
      <c r="Y622" s="282"/>
      <c r="Z622" s="282"/>
      <c r="AA622" s="283"/>
      <c r="AB622" s="284" t="n">
        <f aca="false">IFERROR(($J622*O622)*$L622, "")</f>
        <v>0</v>
      </c>
      <c r="AC622" s="284" t="n">
        <f aca="false">IFERROR(($J622*P622)*$L622, "")</f>
        <v>0</v>
      </c>
      <c r="AD622" s="284" t="n">
        <f aca="false">IFERROR(($J622*Q622)*$L622, "")</f>
        <v>0</v>
      </c>
      <c r="AE622" s="284" t="n">
        <f aca="false">IFERROR(($J622*R622)*$L622, "")</f>
        <v>0</v>
      </c>
      <c r="AF622" s="284" t="n">
        <f aca="false">IFERROR(($J622*S622)*$L622, "")</f>
        <v>0</v>
      </c>
      <c r="AG622" s="284" t="n">
        <f aca="false">IFERROR(($J622*T622)*$L622, "")</f>
        <v>0</v>
      </c>
      <c r="AH622" s="284" t="n">
        <f aca="false">IFERROR(($J622*U622)*$L622, "")</f>
        <v>0</v>
      </c>
      <c r="AI622" s="284" t="n">
        <f aca="false">IFERROR(($J622*V622)*$L622, "")</f>
        <v>0</v>
      </c>
      <c r="AJ622" s="284" t="n">
        <f aca="false">IFERROR(($J622*W622)*$L622, "")</f>
        <v>0</v>
      </c>
      <c r="AK622" s="284" t="n">
        <f aca="false">IFERROR(($J622*X622)*$L622, "")</f>
        <v>0</v>
      </c>
      <c r="AL622" s="284" t="n">
        <f aca="false">IFERROR(($J622*Y622)*$L622, "")</f>
        <v>0</v>
      </c>
      <c r="AM622" s="285" t="n">
        <f aca="false">IFERROR(($J622*Z622)*$L622, "")</f>
        <v>0</v>
      </c>
      <c r="AN622" s="286" t="n">
        <f aca="false">IFERROR(SUMIF($AB$4:$AM$4, "RDEC", AB622:AM622), "")</f>
        <v>0</v>
      </c>
      <c r="AO622" s="286" t="n">
        <f aca="false">IFERROR(SUMIF($AB$4:$AM$4, "SME", AB622:AM622), "")</f>
        <v>0</v>
      </c>
      <c r="AP622" s="286" t="n">
        <f aca="false">IFERROR(SUMIF($AB$4:$AM$4, "De Minimis", AB622:AM622), "")</f>
        <v>0</v>
      </c>
      <c r="AQ622" s="283"/>
      <c r="AR622" s="284" t="n">
        <f aca="false">IFERROR(($J622*O622)*$M622, "")</f>
        <v>0</v>
      </c>
      <c r="AS622" s="284" t="n">
        <f aca="false">IFERROR(($J622*P622)*$M622, "")</f>
        <v>0</v>
      </c>
      <c r="AT622" s="284" t="n">
        <f aca="false">IFERROR(($J622*Q622)*$M622, "")</f>
        <v>0</v>
      </c>
      <c r="AU622" s="284" t="n">
        <f aca="false">IFERROR(($J622*R622)*$M622, "")</f>
        <v>0</v>
      </c>
      <c r="AV622" s="284" t="n">
        <f aca="false">IFERROR(($J622*S622)*$M622, "")</f>
        <v>0</v>
      </c>
      <c r="AW622" s="284" t="n">
        <f aca="false">IFERROR(($J622*T622)*$M622, "")</f>
        <v>0</v>
      </c>
      <c r="AX622" s="284" t="n">
        <f aca="false">IFERROR(($J622*U622)*$M622, "")</f>
        <v>0</v>
      </c>
      <c r="AY622" s="284" t="n">
        <f aca="false">IFERROR(($J622*V622)*$M622, "")</f>
        <v>0</v>
      </c>
      <c r="AZ622" s="284" t="n">
        <f aca="false">IFERROR(($J622*W622)*$M622, "")</f>
        <v>0</v>
      </c>
      <c r="BA622" s="284" t="n">
        <f aca="false">IFERROR(($J622*X622)*$M622, "")</f>
        <v>0</v>
      </c>
      <c r="BB622" s="284" t="n">
        <f aca="false">IFERROR(($J622*Y622)*$M622, "")</f>
        <v>0</v>
      </c>
      <c r="BC622" s="285" t="n">
        <f aca="false">IFERROR(($J622*Z622)*$M622, "")</f>
        <v>0</v>
      </c>
      <c r="BD622" s="286" t="n">
        <f aca="false">IFERROR(SUMIF($AB$4:$AM$4, "RDEC", AR622:BC622), "")</f>
        <v>0</v>
      </c>
      <c r="BE622" s="286" t="n">
        <f aca="false">IFERROR(SUMIF($AB$4:$AM$4, "SME", AR622:BC622), "")</f>
        <v>0</v>
      </c>
      <c r="BF622" s="286" t="n">
        <f aca="false">IFERROR(SUMIF($AB$4:$AM$4, "De Minimis", AR622:BC622), "")</f>
        <v>0</v>
      </c>
      <c r="BG622" s="287"/>
      <c r="BH622" s="288" t="str">
        <f aca="false">IF((SUM(O622:Z622)&gt;1),"ERROR","")</f>
        <v/>
      </c>
      <c r="BI622" s="287"/>
      <c r="BJ622" s="18" t="str">
        <f aca="false">IF(C608&gt;0, C608, "")</f>
        <v/>
      </c>
      <c r="BL622" s="200"/>
      <c r="BM622" s="200"/>
      <c r="BN622" s="200"/>
    </row>
    <row r="623" customFormat="false" ht="15" hidden="false" customHeight="true" outlineLevel="0" collapsed="false">
      <c r="B623" s="275"/>
      <c r="D623" s="276" t="n">
        <f aca="false">D607</f>
        <v>45505</v>
      </c>
      <c r="E623" s="277" t="n">
        <v>0</v>
      </c>
      <c r="F623" s="277" t="n">
        <v>0</v>
      </c>
      <c r="G623" s="277" t="n">
        <v>0</v>
      </c>
      <c r="H623" s="277" t="n">
        <v>0</v>
      </c>
      <c r="I623" s="277" t="n">
        <v>0</v>
      </c>
      <c r="J623" s="278" t="n">
        <f aca="false">E623+H623+I623</f>
        <v>0</v>
      </c>
      <c r="K623" s="204"/>
      <c r="L623" s="279" t="n">
        <v>1</v>
      </c>
      <c r="M623" s="280" t="n">
        <f aca="false">1-L623</f>
        <v>0</v>
      </c>
      <c r="N623" s="281"/>
      <c r="O623" s="282"/>
      <c r="P623" s="282"/>
      <c r="Q623" s="282"/>
      <c r="R623" s="282"/>
      <c r="S623" s="282"/>
      <c r="T623" s="282"/>
      <c r="U623" s="282"/>
      <c r="V623" s="282"/>
      <c r="W623" s="282"/>
      <c r="X623" s="282"/>
      <c r="Y623" s="282"/>
      <c r="Z623" s="282"/>
      <c r="AA623" s="283"/>
      <c r="AB623" s="284" t="n">
        <f aca="false">IFERROR(($J623*O623)*$L623, "")</f>
        <v>0</v>
      </c>
      <c r="AC623" s="284" t="n">
        <f aca="false">IFERROR(($J623*P623)*$L623, "")</f>
        <v>0</v>
      </c>
      <c r="AD623" s="284" t="n">
        <f aca="false">IFERROR(($J623*Q623)*$L623, "")</f>
        <v>0</v>
      </c>
      <c r="AE623" s="284" t="n">
        <f aca="false">IFERROR(($J623*R623)*$L623, "")</f>
        <v>0</v>
      </c>
      <c r="AF623" s="284" t="n">
        <f aca="false">IFERROR(($J623*S623)*$L623, "")</f>
        <v>0</v>
      </c>
      <c r="AG623" s="284" t="n">
        <f aca="false">IFERROR(($J623*T623)*$L623, "")</f>
        <v>0</v>
      </c>
      <c r="AH623" s="284" t="n">
        <f aca="false">IFERROR(($J623*U623)*$L623, "")</f>
        <v>0</v>
      </c>
      <c r="AI623" s="284" t="n">
        <f aca="false">IFERROR(($J623*V623)*$L623, "")</f>
        <v>0</v>
      </c>
      <c r="AJ623" s="284" t="n">
        <f aca="false">IFERROR(($J623*W623)*$L623, "")</f>
        <v>0</v>
      </c>
      <c r="AK623" s="284" t="n">
        <f aca="false">IFERROR(($J623*X623)*$L623, "")</f>
        <v>0</v>
      </c>
      <c r="AL623" s="284" t="n">
        <f aca="false">IFERROR(($J623*Y623)*$L623, "")</f>
        <v>0</v>
      </c>
      <c r="AM623" s="285" t="n">
        <f aca="false">IFERROR(($J623*Z623)*$L623, "")</f>
        <v>0</v>
      </c>
      <c r="AN623" s="286" t="n">
        <f aca="false">IFERROR(SUMIF($AB$4:$AM$4, "RDEC", AB623:AM623), "")</f>
        <v>0</v>
      </c>
      <c r="AO623" s="286" t="n">
        <f aca="false">IFERROR(SUMIF($AB$4:$AM$4, "SME", AB623:AM623), "")</f>
        <v>0</v>
      </c>
      <c r="AP623" s="286" t="n">
        <f aca="false">IFERROR(SUMIF($AB$4:$AM$4, "De Minimis", AB623:AM623), "")</f>
        <v>0</v>
      </c>
      <c r="AQ623" s="283"/>
      <c r="AR623" s="284" t="n">
        <f aca="false">IFERROR(($J623*O623)*$M623, "")</f>
        <v>0</v>
      </c>
      <c r="AS623" s="284" t="n">
        <f aca="false">IFERROR(($J623*P623)*$M623, "")</f>
        <v>0</v>
      </c>
      <c r="AT623" s="284" t="n">
        <f aca="false">IFERROR(($J623*Q623)*$M623, "")</f>
        <v>0</v>
      </c>
      <c r="AU623" s="284" t="n">
        <f aca="false">IFERROR(($J623*R623)*$M623, "")</f>
        <v>0</v>
      </c>
      <c r="AV623" s="284" t="n">
        <f aca="false">IFERROR(($J623*S623)*$M623, "")</f>
        <v>0</v>
      </c>
      <c r="AW623" s="284" t="n">
        <f aca="false">IFERROR(($J623*T623)*$M623, "")</f>
        <v>0</v>
      </c>
      <c r="AX623" s="284" t="n">
        <f aca="false">IFERROR(($J623*U623)*$M623, "")</f>
        <v>0</v>
      </c>
      <c r="AY623" s="284" t="n">
        <f aca="false">IFERROR(($J623*V623)*$M623, "")</f>
        <v>0</v>
      </c>
      <c r="AZ623" s="284" t="n">
        <f aca="false">IFERROR(($J623*W623)*$M623, "")</f>
        <v>0</v>
      </c>
      <c r="BA623" s="284" t="n">
        <f aca="false">IFERROR(($J623*X623)*$M623, "")</f>
        <v>0</v>
      </c>
      <c r="BB623" s="284" t="n">
        <f aca="false">IFERROR(($J623*Y623)*$M623, "")</f>
        <v>0</v>
      </c>
      <c r="BC623" s="285" t="n">
        <f aca="false">IFERROR(($J623*Z623)*$M623, "")</f>
        <v>0</v>
      </c>
      <c r="BD623" s="286" t="n">
        <f aca="false">IFERROR(SUMIF($AB$4:$AM$4, "RDEC", AR623:BC623), "")</f>
        <v>0</v>
      </c>
      <c r="BE623" s="286" t="n">
        <f aca="false">IFERROR(SUMIF($AB$4:$AM$4, "SME", AR623:BC623), "")</f>
        <v>0</v>
      </c>
      <c r="BF623" s="286" t="n">
        <f aca="false">IFERROR(SUMIF($AB$4:$AM$4, "De Minimis", AR623:BC623), "")</f>
        <v>0</v>
      </c>
      <c r="BG623" s="287"/>
      <c r="BH623" s="288" t="str">
        <f aca="false">IF((SUM(O623:Z623)&gt;1),"ERROR","")</f>
        <v/>
      </c>
      <c r="BI623" s="287"/>
      <c r="BJ623" s="18" t="str">
        <f aca="false">IF(C609&gt;0, C609, "")</f>
        <v/>
      </c>
      <c r="BL623" s="200"/>
      <c r="BM623" s="200"/>
      <c r="BN623" s="200"/>
    </row>
    <row r="624" customFormat="false" ht="15" hidden="false" customHeight="true" outlineLevel="0" collapsed="false">
      <c r="B624" s="275"/>
      <c r="D624" s="276" t="n">
        <f aca="false">D608</f>
        <v>45536</v>
      </c>
      <c r="E624" s="277" t="n">
        <v>0</v>
      </c>
      <c r="F624" s="277" t="n">
        <v>0</v>
      </c>
      <c r="G624" s="277" t="n">
        <v>0</v>
      </c>
      <c r="H624" s="277" t="n">
        <v>0</v>
      </c>
      <c r="I624" s="277" t="n">
        <v>0</v>
      </c>
      <c r="J624" s="278" t="n">
        <f aca="false">E624+H624+I624</f>
        <v>0</v>
      </c>
      <c r="K624" s="204"/>
      <c r="L624" s="279" t="n">
        <v>1</v>
      </c>
      <c r="M624" s="280" t="n">
        <f aca="false">1-L624</f>
        <v>0</v>
      </c>
      <c r="N624" s="281"/>
      <c r="O624" s="282"/>
      <c r="P624" s="282"/>
      <c r="Q624" s="282"/>
      <c r="R624" s="282"/>
      <c r="S624" s="282"/>
      <c r="T624" s="282"/>
      <c r="U624" s="282"/>
      <c r="V624" s="282"/>
      <c r="W624" s="282"/>
      <c r="X624" s="282"/>
      <c r="Y624" s="282"/>
      <c r="Z624" s="282"/>
      <c r="AA624" s="283"/>
      <c r="AB624" s="284" t="n">
        <f aca="false">IFERROR(($J624*O624)*$L624, "")</f>
        <v>0</v>
      </c>
      <c r="AC624" s="284" t="n">
        <f aca="false">IFERROR(($J624*P624)*$L624, "")</f>
        <v>0</v>
      </c>
      <c r="AD624" s="284" t="n">
        <f aca="false">IFERROR(($J624*Q624)*$L624, "")</f>
        <v>0</v>
      </c>
      <c r="AE624" s="284" t="n">
        <f aca="false">IFERROR(($J624*R624)*$L624, "")</f>
        <v>0</v>
      </c>
      <c r="AF624" s="284" t="n">
        <f aca="false">IFERROR(($J624*S624)*$L624, "")</f>
        <v>0</v>
      </c>
      <c r="AG624" s="284" t="n">
        <f aca="false">IFERROR(($J624*T624)*$L624, "")</f>
        <v>0</v>
      </c>
      <c r="AH624" s="284" t="n">
        <f aca="false">IFERROR(($J624*U624)*$L624, "")</f>
        <v>0</v>
      </c>
      <c r="AI624" s="284" t="n">
        <f aca="false">IFERROR(($J624*V624)*$L624, "")</f>
        <v>0</v>
      </c>
      <c r="AJ624" s="284" t="n">
        <f aca="false">IFERROR(($J624*W624)*$L624, "")</f>
        <v>0</v>
      </c>
      <c r="AK624" s="284" t="n">
        <f aca="false">IFERROR(($J624*X624)*$L624, "")</f>
        <v>0</v>
      </c>
      <c r="AL624" s="284" t="n">
        <f aca="false">IFERROR(($J624*Y624)*$L624, "")</f>
        <v>0</v>
      </c>
      <c r="AM624" s="285" t="n">
        <f aca="false">IFERROR(($J624*Z624)*$L624, "")</f>
        <v>0</v>
      </c>
      <c r="AN624" s="286" t="n">
        <f aca="false">IFERROR(SUMIF($AB$4:$AM$4, "RDEC", AB624:AM624), "")</f>
        <v>0</v>
      </c>
      <c r="AO624" s="286" t="n">
        <f aca="false">IFERROR(SUMIF($AB$4:$AM$4, "SME", AB624:AM624), "")</f>
        <v>0</v>
      </c>
      <c r="AP624" s="286" t="n">
        <f aca="false">IFERROR(SUMIF($AB$4:$AM$4, "De Minimis", AB624:AM624), "")</f>
        <v>0</v>
      </c>
      <c r="AQ624" s="283"/>
      <c r="AR624" s="284" t="n">
        <f aca="false">IFERROR(($J624*O624)*$M624, "")</f>
        <v>0</v>
      </c>
      <c r="AS624" s="284" t="n">
        <f aca="false">IFERROR(($J624*P624)*$M624, "")</f>
        <v>0</v>
      </c>
      <c r="AT624" s="284" t="n">
        <f aca="false">IFERROR(($J624*Q624)*$M624, "")</f>
        <v>0</v>
      </c>
      <c r="AU624" s="284" t="n">
        <f aca="false">IFERROR(($J624*R624)*$M624, "")</f>
        <v>0</v>
      </c>
      <c r="AV624" s="284" t="n">
        <f aca="false">IFERROR(($J624*S624)*$M624, "")</f>
        <v>0</v>
      </c>
      <c r="AW624" s="284" t="n">
        <f aca="false">IFERROR(($J624*T624)*$M624, "")</f>
        <v>0</v>
      </c>
      <c r="AX624" s="284" t="n">
        <f aca="false">IFERROR(($J624*U624)*$M624, "")</f>
        <v>0</v>
      </c>
      <c r="AY624" s="284" t="n">
        <f aca="false">IFERROR(($J624*V624)*$M624, "")</f>
        <v>0</v>
      </c>
      <c r="AZ624" s="284" t="n">
        <f aca="false">IFERROR(($J624*W624)*$M624, "")</f>
        <v>0</v>
      </c>
      <c r="BA624" s="284" t="n">
        <f aca="false">IFERROR(($J624*X624)*$M624, "")</f>
        <v>0</v>
      </c>
      <c r="BB624" s="284" t="n">
        <f aca="false">IFERROR(($J624*Y624)*$M624, "")</f>
        <v>0</v>
      </c>
      <c r="BC624" s="285" t="n">
        <f aca="false">IFERROR(($J624*Z624)*$M624, "")</f>
        <v>0</v>
      </c>
      <c r="BD624" s="286" t="n">
        <f aca="false">IFERROR(SUMIF($AB$4:$AM$4, "RDEC", AR624:BC624), "")</f>
        <v>0</v>
      </c>
      <c r="BE624" s="286" t="n">
        <f aca="false">IFERROR(SUMIF($AB$4:$AM$4, "SME", AR624:BC624), "")</f>
        <v>0</v>
      </c>
      <c r="BF624" s="286" t="n">
        <f aca="false">IFERROR(SUMIF($AB$4:$AM$4, "De Minimis", AR624:BC624), "")</f>
        <v>0</v>
      </c>
      <c r="BG624" s="287"/>
      <c r="BH624" s="288" t="str">
        <f aca="false">IF((SUM(O624:Z624)&gt;1),"ERROR","")</f>
        <v/>
      </c>
      <c r="BI624" s="287"/>
      <c r="BJ624" s="18" t="str">
        <f aca="false">IF(C610&gt;0, C610, "")</f>
        <v/>
      </c>
      <c r="BL624" s="200"/>
      <c r="BM624" s="200"/>
      <c r="BN624" s="200"/>
    </row>
    <row r="625" customFormat="false" ht="15" hidden="false" customHeight="true" outlineLevel="0" collapsed="false">
      <c r="B625" s="275"/>
      <c r="D625" s="276" t="n">
        <f aca="false">D609</f>
        <v>45566</v>
      </c>
      <c r="E625" s="277" t="n">
        <v>0</v>
      </c>
      <c r="F625" s="277" t="n">
        <v>0</v>
      </c>
      <c r="G625" s="277" t="n">
        <v>0</v>
      </c>
      <c r="H625" s="277" t="n">
        <v>0</v>
      </c>
      <c r="I625" s="277" t="n">
        <v>0</v>
      </c>
      <c r="J625" s="278" t="n">
        <f aca="false">E625+H625+I625</f>
        <v>0</v>
      </c>
      <c r="K625" s="204"/>
      <c r="L625" s="279" t="n">
        <v>1</v>
      </c>
      <c r="M625" s="280" t="n">
        <f aca="false">1-L625</f>
        <v>0</v>
      </c>
      <c r="N625" s="281"/>
      <c r="O625" s="282"/>
      <c r="P625" s="282"/>
      <c r="Q625" s="282"/>
      <c r="R625" s="282"/>
      <c r="S625" s="282"/>
      <c r="T625" s="282"/>
      <c r="U625" s="282"/>
      <c r="V625" s="282"/>
      <c r="W625" s="282"/>
      <c r="X625" s="282"/>
      <c r="Y625" s="282"/>
      <c r="Z625" s="282"/>
      <c r="AA625" s="283"/>
      <c r="AB625" s="284" t="n">
        <f aca="false">IFERROR(($J625*O625)*$L625, "")</f>
        <v>0</v>
      </c>
      <c r="AC625" s="284" t="n">
        <f aca="false">IFERROR(($J625*P625)*$L625, "")</f>
        <v>0</v>
      </c>
      <c r="AD625" s="284" t="n">
        <f aca="false">IFERROR(($J625*Q625)*$L625, "")</f>
        <v>0</v>
      </c>
      <c r="AE625" s="284" t="n">
        <f aca="false">IFERROR(($J625*R625)*$L625, "")</f>
        <v>0</v>
      </c>
      <c r="AF625" s="284" t="n">
        <f aca="false">IFERROR(($J625*S625)*$L625, "")</f>
        <v>0</v>
      </c>
      <c r="AG625" s="284" t="n">
        <f aca="false">IFERROR(($J625*T625)*$L625, "")</f>
        <v>0</v>
      </c>
      <c r="AH625" s="284" t="n">
        <f aca="false">IFERROR(($J625*U625)*$L625, "")</f>
        <v>0</v>
      </c>
      <c r="AI625" s="284" t="n">
        <f aca="false">IFERROR(($J625*V625)*$L625, "")</f>
        <v>0</v>
      </c>
      <c r="AJ625" s="284" t="n">
        <f aca="false">IFERROR(($J625*W625)*$L625, "")</f>
        <v>0</v>
      </c>
      <c r="AK625" s="284" t="n">
        <f aca="false">IFERROR(($J625*X625)*$L625, "")</f>
        <v>0</v>
      </c>
      <c r="AL625" s="284" t="n">
        <f aca="false">IFERROR(($J625*Y625)*$L625, "")</f>
        <v>0</v>
      </c>
      <c r="AM625" s="285" t="n">
        <f aca="false">IFERROR(($J625*Z625)*$L625, "")</f>
        <v>0</v>
      </c>
      <c r="AN625" s="286" t="n">
        <f aca="false">IFERROR(SUMIF($AB$4:$AM$4, "RDEC", AB625:AM625), "")</f>
        <v>0</v>
      </c>
      <c r="AO625" s="286" t="n">
        <f aca="false">IFERROR(SUMIF($AB$4:$AM$4, "SME", AB625:AM625), "")</f>
        <v>0</v>
      </c>
      <c r="AP625" s="286" t="n">
        <f aca="false">IFERROR(SUMIF($AB$4:$AM$4, "De Minimis", AB625:AM625), "")</f>
        <v>0</v>
      </c>
      <c r="AQ625" s="283"/>
      <c r="AR625" s="284" t="n">
        <f aca="false">IFERROR(($J625*O625)*$M625, "")</f>
        <v>0</v>
      </c>
      <c r="AS625" s="284" t="n">
        <f aca="false">IFERROR(($J625*P625)*$M625, "")</f>
        <v>0</v>
      </c>
      <c r="AT625" s="284" t="n">
        <f aca="false">IFERROR(($J625*Q625)*$M625, "")</f>
        <v>0</v>
      </c>
      <c r="AU625" s="284" t="n">
        <f aca="false">IFERROR(($J625*R625)*$M625, "")</f>
        <v>0</v>
      </c>
      <c r="AV625" s="284" t="n">
        <f aca="false">IFERROR(($J625*S625)*$M625, "")</f>
        <v>0</v>
      </c>
      <c r="AW625" s="284" t="n">
        <f aca="false">IFERROR(($J625*T625)*$M625, "")</f>
        <v>0</v>
      </c>
      <c r="AX625" s="284" t="n">
        <f aca="false">IFERROR(($J625*U625)*$M625, "")</f>
        <v>0</v>
      </c>
      <c r="AY625" s="284" t="n">
        <f aca="false">IFERROR(($J625*V625)*$M625, "")</f>
        <v>0</v>
      </c>
      <c r="AZ625" s="284" t="n">
        <f aca="false">IFERROR(($J625*W625)*$M625, "")</f>
        <v>0</v>
      </c>
      <c r="BA625" s="284" t="n">
        <f aca="false">IFERROR(($J625*X625)*$M625, "")</f>
        <v>0</v>
      </c>
      <c r="BB625" s="284" t="n">
        <f aca="false">IFERROR(($J625*Y625)*$M625, "")</f>
        <v>0</v>
      </c>
      <c r="BC625" s="285" t="n">
        <f aca="false">IFERROR(($J625*Z625)*$M625, "")</f>
        <v>0</v>
      </c>
      <c r="BD625" s="286" t="n">
        <f aca="false">IFERROR(SUMIF($AB$4:$AM$4, "RDEC", AR625:BC625), "")</f>
        <v>0</v>
      </c>
      <c r="BE625" s="286" t="n">
        <f aca="false">IFERROR(SUMIF($AB$4:$AM$4, "SME", AR625:BC625), "")</f>
        <v>0</v>
      </c>
      <c r="BF625" s="286" t="n">
        <f aca="false">IFERROR(SUMIF($AB$4:$AM$4, "De Minimis", AR625:BC625), "")</f>
        <v>0</v>
      </c>
      <c r="BG625" s="287"/>
      <c r="BH625" s="288" t="str">
        <f aca="false">IF((SUM(O625:Z625)&gt;1),"ERROR","")</f>
        <v/>
      </c>
      <c r="BI625" s="287"/>
      <c r="BJ625" s="18" t="str">
        <f aca="false">IF(C611&gt;0, C611, "")</f>
        <v/>
      </c>
      <c r="BL625" s="200"/>
      <c r="BM625" s="200"/>
      <c r="BN625" s="200"/>
    </row>
    <row r="626" customFormat="false" ht="15" hidden="false" customHeight="true" outlineLevel="0" collapsed="false">
      <c r="B626" s="275"/>
      <c r="D626" s="276" t="n">
        <f aca="false">D610</f>
        <v>45597</v>
      </c>
      <c r="E626" s="277" t="n">
        <v>0</v>
      </c>
      <c r="F626" s="277" t="n">
        <v>0</v>
      </c>
      <c r="G626" s="277" t="n">
        <v>0</v>
      </c>
      <c r="H626" s="277" t="n">
        <v>0</v>
      </c>
      <c r="I626" s="277" t="n">
        <v>0</v>
      </c>
      <c r="J626" s="278" t="n">
        <f aca="false">E626+H626+I626</f>
        <v>0</v>
      </c>
      <c r="K626" s="204"/>
      <c r="L626" s="279" t="n">
        <v>1</v>
      </c>
      <c r="M626" s="280" t="n">
        <f aca="false">1-L626</f>
        <v>0</v>
      </c>
      <c r="N626" s="281"/>
      <c r="O626" s="282"/>
      <c r="P626" s="282"/>
      <c r="Q626" s="282"/>
      <c r="R626" s="282"/>
      <c r="S626" s="282"/>
      <c r="T626" s="282"/>
      <c r="U626" s="282"/>
      <c r="V626" s="282"/>
      <c r="W626" s="282"/>
      <c r="X626" s="282"/>
      <c r="Y626" s="282"/>
      <c r="Z626" s="282"/>
      <c r="AA626" s="283"/>
      <c r="AB626" s="284" t="n">
        <f aca="false">IFERROR(($J626*O626)*$L626, "")</f>
        <v>0</v>
      </c>
      <c r="AC626" s="284" t="n">
        <f aca="false">IFERROR(($J626*P626)*$L626, "")</f>
        <v>0</v>
      </c>
      <c r="AD626" s="284" t="n">
        <f aca="false">IFERROR(($J626*Q626)*$L626, "")</f>
        <v>0</v>
      </c>
      <c r="AE626" s="284" t="n">
        <f aca="false">IFERROR(($J626*R626)*$L626, "")</f>
        <v>0</v>
      </c>
      <c r="AF626" s="284" t="n">
        <f aca="false">IFERROR(($J626*S626)*$L626, "")</f>
        <v>0</v>
      </c>
      <c r="AG626" s="284" t="n">
        <f aca="false">IFERROR(($J626*T626)*$L626, "")</f>
        <v>0</v>
      </c>
      <c r="AH626" s="284" t="n">
        <f aca="false">IFERROR(($J626*U626)*$L626, "")</f>
        <v>0</v>
      </c>
      <c r="AI626" s="284" t="n">
        <f aca="false">IFERROR(($J626*V626)*$L626, "")</f>
        <v>0</v>
      </c>
      <c r="AJ626" s="284" t="n">
        <f aca="false">IFERROR(($J626*W626)*$L626, "")</f>
        <v>0</v>
      </c>
      <c r="AK626" s="284" t="n">
        <f aca="false">IFERROR(($J626*X626)*$L626, "")</f>
        <v>0</v>
      </c>
      <c r="AL626" s="284" t="n">
        <f aca="false">IFERROR(($J626*Y626)*$L626, "")</f>
        <v>0</v>
      </c>
      <c r="AM626" s="285" t="n">
        <f aca="false">IFERROR(($J626*Z626)*$L626, "")</f>
        <v>0</v>
      </c>
      <c r="AN626" s="286" t="n">
        <f aca="false">IFERROR(SUMIF($AB$4:$AM$4, "RDEC", AB626:AM626), "")</f>
        <v>0</v>
      </c>
      <c r="AO626" s="286" t="n">
        <f aca="false">IFERROR(SUMIF($AB$4:$AM$4, "SME", AB626:AM626), "")</f>
        <v>0</v>
      </c>
      <c r="AP626" s="286" t="n">
        <f aca="false">IFERROR(SUMIF($AB$4:$AM$4, "De Minimis", AB626:AM626), "")</f>
        <v>0</v>
      </c>
      <c r="AQ626" s="283"/>
      <c r="AR626" s="284" t="n">
        <f aca="false">IFERROR(($J626*O626)*$M626, "")</f>
        <v>0</v>
      </c>
      <c r="AS626" s="284" t="n">
        <f aca="false">IFERROR(($J626*P626)*$M626, "")</f>
        <v>0</v>
      </c>
      <c r="AT626" s="284" t="n">
        <f aca="false">IFERROR(($J626*Q626)*$M626, "")</f>
        <v>0</v>
      </c>
      <c r="AU626" s="284" t="n">
        <f aca="false">IFERROR(($J626*R626)*$M626, "")</f>
        <v>0</v>
      </c>
      <c r="AV626" s="284" t="n">
        <f aca="false">IFERROR(($J626*S626)*$M626, "")</f>
        <v>0</v>
      </c>
      <c r="AW626" s="284" t="n">
        <f aca="false">IFERROR(($J626*T626)*$M626, "")</f>
        <v>0</v>
      </c>
      <c r="AX626" s="284" t="n">
        <f aca="false">IFERROR(($J626*U626)*$M626, "")</f>
        <v>0</v>
      </c>
      <c r="AY626" s="284" t="n">
        <f aca="false">IFERROR(($J626*V626)*$M626, "")</f>
        <v>0</v>
      </c>
      <c r="AZ626" s="284" t="n">
        <f aca="false">IFERROR(($J626*W626)*$M626, "")</f>
        <v>0</v>
      </c>
      <c r="BA626" s="284" t="n">
        <f aca="false">IFERROR(($J626*X626)*$M626, "")</f>
        <v>0</v>
      </c>
      <c r="BB626" s="284" t="n">
        <f aca="false">IFERROR(($J626*Y626)*$M626, "")</f>
        <v>0</v>
      </c>
      <c r="BC626" s="285" t="n">
        <f aca="false">IFERROR(($J626*Z626)*$M626, "")</f>
        <v>0</v>
      </c>
      <c r="BD626" s="286" t="n">
        <f aca="false">IFERROR(SUMIF($AB$4:$AM$4, "RDEC", AR626:BC626), "")</f>
        <v>0</v>
      </c>
      <c r="BE626" s="286" t="n">
        <f aca="false">IFERROR(SUMIF($AB$4:$AM$4, "SME", AR626:BC626), "")</f>
        <v>0</v>
      </c>
      <c r="BF626" s="286" t="n">
        <f aca="false">IFERROR(SUMIF($AB$4:$AM$4, "De Minimis", AR626:BC626), "")</f>
        <v>0</v>
      </c>
      <c r="BG626" s="287"/>
      <c r="BH626" s="288" t="str">
        <f aca="false">IF((SUM(O626:Z626)&gt;1),"ERROR","")</f>
        <v/>
      </c>
      <c r="BI626" s="287"/>
      <c r="BJ626" s="18" t="str">
        <f aca="false">IF(C612&gt;0, C612, "")</f>
        <v/>
      </c>
      <c r="BL626" s="200"/>
      <c r="BM626" s="200"/>
      <c r="BN626" s="200"/>
    </row>
    <row r="627" customFormat="false" ht="15" hidden="false" customHeight="true" outlineLevel="0" collapsed="false">
      <c r="B627" s="275"/>
      <c r="D627" s="276" t="n">
        <f aca="false">D611</f>
        <v>45627</v>
      </c>
      <c r="E627" s="277" t="n">
        <v>0</v>
      </c>
      <c r="F627" s="277" t="n">
        <v>0</v>
      </c>
      <c r="G627" s="277" t="n">
        <v>0</v>
      </c>
      <c r="H627" s="277" t="n">
        <v>0</v>
      </c>
      <c r="I627" s="277" t="n">
        <v>0</v>
      </c>
      <c r="J627" s="278" t="n">
        <f aca="false">E627+H627+I627</f>
        <v>0</v>
      </c>
      <c r="K627" s="204"/>
      <c r="L627" s="289" t="n">
        <v>1</v>
      </c>
      <c r="M627" s="290" t="n">
        <f aca="false">1-L627</f>
        <v>0</v>
      </c>
      <c r="N627" s="281"/>
      <c r="O627" s="291"/>
      <c r="P627" s="291"/>
      <c r="Q627" s="291"/>
      <c r="R627" s="291"/>
      <c r="S627" s="291"/>
      <c r="T627" s="291"/>
      <c r="U627" s="291"/>
      <c r="V627" s="291"/>
      <c r="W627" s="291"/>
      <c r="X627" s="291"/>
      <c r="Y627" s="291"/>
      <c r="Z627" s="291"/>
      <c r="AA627" s="283"/>
      <c r="AB627" s="292" t="n">
        <f aca="false">IFERROR(($J627*O627)*$L627, "")</f>
        <v>0</v>
      </c>
      <c r="AC627" s="292" t="n">
        <f aca="false">IFERROR(($J627*P627)*$L627, "")</f>
        <v>0</v>
      </c>
      <c r="AD627" s="292" t="n">
        <f aca="false">IFERROR(($J627*Q627)*$L627, "")</f>
        <v>0</v>
      </c>
      <c r="AE627" s="292" t="n">
        <f aca="false">IFERROR(($J627*R627)*$L627, "")</f>
        <v>0</v>
      </c>
      <c r="AF627" s="292" t="n">
        <f aca="false">IFERROR(($J627*S627)*$L627, "")</f>
        <v>0</v>
      </c>
      <c r="AG627" s="292" t="n">
        <f aca="false">IFERROR(($J627*T627)*$L627, "")</f>
        <v>0</v>
      </c>
      <c r="AH627" s="292" t="n">
        <f aca="false">IFERROR(($J627*U627)*$L627, "")</f>
        <v>0</v>
      </c>
      <c r="AI627" s="292" t="n">
        <f aca="false">IFERROR(($J627*V627)*$L627, "")</f>
        <v>0</v>
      </c>
      <c r="AJ627" s="292" t="n">
        <f aca="false">IFERROR(($J627*W627)*$L627, "")</f>
        <v>0</v>
      </c>
      <c r="AK627" s="292" t="n">
        <f aca="false">IFERROR(($J627*X627)*$L627, "")</f>
        <v>0</v>
      </c>
      <c r="AL627" s="292" t="n">
        <f aca="false">IFERROR(($J627*Y627)*$L627, "")</f>
        <v>0</v>
      </c>
      <c r="AM627" s="293" t="n">
        <f aca="false">IFERROR(($J627*Z627)*$L627, "")</f>
        <v>0</v>
      </c>
      <c r="AN627" s="294" t="n">
        <f aca="false">IFERROR(SUMIF($AB$4:$AM$4, "RDEC", AB627:AM627), "")</f>
        <v>0</v>
      </c>
      <c r="AO627" s="294" t="n">
        <f aca="false">IFERROR(SUMIF($AB$4:$AM$4, "SME", AB627:AM627), "")</f>
        <v>0</v>
      </c>
      <c r="AP627" s="294" t="n">
        <f aca="false">IFERROR(SUMIF($AB$4:$AM$4, "De Minimis", AB627:AM627), "")</f>
        <v>0</v>
      </c>
      <c r="AQ627" s="283"/>
      <c r="AR627" s="292" t="n">
        <f aca="false">IFERROR(($J627*O627)*$M627, "")</f>
        <v>0</v>
      </c>
      <c r="AS627" s="292" t="n">
        <f aca="false">IFERROR(($J627*P627)*$M627, "")</f>
        <v>0</v>
      </c>
      <c r="AT627" s="292" t="n">
        <f aca="false">IFERROR(($J627*Q627)*$M627, "")</f>
        <v>0</v>
      </c>
      <c r="AU627" s="292" t="n">
        <f aca="false">IFERROR(($J627*R627)*$M627, "")</f>
        <v>0</v>
      </c>
      <c r="AV627" s="292" t="n">
        <f aca="false">IFERROR(($J627*S627)*$M627, "")</f>
        <v>0</v>
      </c>
      <c r="AW627" s="292" t="n">
        <f aca="false">IFERROR(($J627*T627)*$M627, "")</f>
        <v>0</v>
      </c>
      <c r="AX627" s="292" t="n">
        <f aca="false">IFERROR(($J627*U627)*$M627, "")</f>
        <v>0</v>
      </c>
      <c r="AY627" s="292" t="n">
        <f aca="false">IFERROR(($J627*V627)*$M627, "")</f>
        <v>0</v>
      </c>
      <c r="AZ627" s="292" t="n">
        <f aca="false">IFERROR(($J627*W627)*$M627, "")</f>
        <v>0</v>
      </c>
      <c r="BA627" s="292" t="n">
        <f aca="false">IFERROR(($J627*X627)*$M627, "")</f>
        <v>0</v>
      </c>
      <c r="BB627" s="292" t="n">
        <f aca="false">IFERROR(($J627*Y627)*$M627, "")</f>
        <v>0</v>
      </c>
      <c r="BC627" s="293" t="n">
        <f aca="false">IFERROR(($J627*Z627)*$M627, "")</f>
        <v>0</v>
      </c>
      <c r="BD627" s="294" t="n">
        <f aca="false">IFERROR(SUMIF($AB$4:$AM$4, "RDEC", AR627:BC627), "")</f>
        <v>0</v>
      </c>
      <c r="BE627" s="294" t="n">
        <f aca="false">IFERROR(SUMIF($AB$4:$AM$4, "SME", AR627:BC627), "")</f>
        <v>0</v>
      </c>
      <c r="BF627" s="294" t="n">
        <f aca="false">IFERROR(SUMIF($AB$4:$AM$4, "De Minimis", AR627:BC627), "")</f>
        <v>0</v>
      </c>
      <c r="BG627" s="287"/>
      <c r="BH627" s="295" t="str">
        <f aca="false">IF((SUM(O627:Z627)&gt;1),"ERROR","")</f>
        <v/>
      </c>
      <c r="BI627" s="287"/>
      <c r="BJ627" s="18" t="str">
        <f aca="false">IF(C613&gt;0, C613, "")</f>
        <v/>
      </c>
      <c r="BL627" s="200"/>
      <c r="BM627" s="200"/>
      <c r="BN627" s="200"/>
    </row>
    <row r="628" customFormat="false" ht="15" hidden="false" customHeight="true" outlineLevel="0" collapsed="false">
      <c r="B628" s="296"/>
      <c r="D628" s="297" t="s">
        <v>82</v>
      </c>
      <c r="E628" s="298" t="n">
        <f aca="false">SUM(E616:E627)</f>
        <v>0</v>
      </c>
      <c r="F628" s="298" t="n">
        <f aca="false">SUM(F616:F627)</f>
        <v>0</v>
      </c>
      <c r="G628" s="298" t="n">
        <f aca="false">SUM(G616:G627)</f>
        <v>0</v>
      </c>
      <c r="H628" s="298" t="n">
        <f aca="false">SUM(H616:H627)</f>
        <v>0</v>
      </c>
      <c r="I628" s="298" t="n">
        <f aca="false">SUM(I616:I627)</f>
        <v>0</v>
      </c>
      <c r="J628" s="299" t="n">
        <f aca="false">SUM(J616:J627)</f>
        <v>0</v>
      </c>
      <c r="K628" s="300"/>
      <c r="L628" s="301" t="n">
        <f aca="false">AVERAGE(L616:L627)</f>
        <v>1</v>
      </c>
      <c r="M628" s="301" t="n">
        <f aca="false">AVERAGE(M616:M627)</f>
        <v>0</v>
      </c>
      <c r="N628" s="302"/>
      <c r="O628" s="290" t="n">
        <f aca="false">IF(SUM(O616:O627)&gt;0,((AB628+AR628)/J628),0)</f>
        <v>0</v>
      </c>
      <c r="P628" s="290" t="n">
        <f aca="false">IF(SUM(P616:P627)&gt;0,((AC628+AS628)/J628),0)</f>
        <v>0</v>
      </c>
      <c r="Q628" s="290" t="n">
        <f aca="false">IF(SUM(Q616:Q627)&gt;0,((AD628+AT628)/J628),0)</f>
        <v>0</v>
      </c>
      <c r="R628" s="290" t="n">
        <f aca="false">IF(SUM(R616:R627)&gt;0,((AE628+AU628)/J628),0)</f>
        <v>0</v>
      </c>
      <c r="S628" s="290" t="n">
        <f aca="false">IF(SUM(S616:S627)&gt;0,((AF628+AV628)/J628),0)</f>
        <v>0</v>
      </c>
      <c r="T628" s="290" t="n">
        <f aca="false">IF(SUM(T616:T627)&gt;0,((AG628+AW628)/J628),0)</f>
        <v>0</v>
      </c>
      <c r="U628" s="290" t="n">
        <f aca="false">IF(SUM(U616:U627)&gt;0,((AH628+AX628)/J628),0)</f>
        <v>0</v>
      </c>
      <c r="V628" s="290" t="n">
        <f aca="false">IF(SUM(V616:V627)&gt;0,((AI628+AY628)/J628),0)</f>
        <v>0</v>
      </c>
      <c r="W628" s="290" t="n">
        <f aca="false">IF(SUM(W616:W627)&gt;0,((AJ628+AZ628)/J628),0)</f>
        <v>0</v>
      </c>
      <c r="X628" s="290" t="n">
        <f aca="false">IF(SUM(X616:X627)&gt;0,((AK628+BA628)/J628),0)</f>
        <v>0</v>
      </c>
      <c r="Y628" s="290" t="n">
        <f aca="false">IF(SUM(Y616:Y627)&gt;0,((AL628+BB628)/J628),0)</f>
        <v>0</v>
      </c>
      <c r="Z628" s="290" t="n">
        <f aca="false">IF(SUM(Z616:Z627)&gt;0,((AM628+BC628)/J628),0)</f>
        <v>0</v>
      </c>
      <c r="AA628" s="303"/>
      <c r="AB628" s="292" t="n">
        <f aca="false">SUM(AB616:AB627)</f>
        <v>0</v>
      </c>
      <c r="AC628" s="304" t="n">
        <f aca="false">SUM(AC616:AC627)</f>
        <v>0</v>
      </c>
      <c r="AD628" s="304" t="n">
        <f aca="false">SUM(AD616:AD627)</f>
        <v>0</v>
      </c>
      <c r="AE628" s="304" t="n">
        <f aca="false">SUM(AE616:AE627)</f>
        <v>0</v>
      </c>
      <c r="AF628" s="304" t="n">
        <f aca="false">SUM(AF616:AF627)</f>
        <v>0</v>
      </c>
      <c r="AG628" s="304" t="n">
        <f aca="false">SUM(AG616:AG627)</f>
        <v>0</v>
      </c>
      <c r="AH628" s="304" t="n">
        <f aca="false">SUM(AH616:AH627)</f>
        <v>0</v>
      </c>
      <c r="AI628" s="304" t="n">
        <f aca="false">SUM(AI616:AI627)</f>
        <v>0</v>
      </c>
      <c r="AJ628" s="304" t="n">
        <f aca="false">SUM(AJ616:AJ627)</f>
        <v>0</v>
      </c>
      <c r="AK628" s="304" t="n">
        <f aca="false">SUM(AK616:AK627)</f>
        <v>0</v>
      </c>
      <c r="AL628" s="304" t="n">
        <f aca="false">SUM(AL616:AL627)</f>
        <v>0</v>
      </c>
      <c r="AM628" s="304" t="n">
        <f aca="false">SUM(AM616:AM627)</f>
        <v>0</v>
      </c>
      <c r="AN628" s="305" t="n">
        <f aca="false">SUM(AN616:AN627)</f>
        <v>0</v>
      </c>
      <c r="AO628" s="305" t="n">
        <f aca="false">SUM(AO616:AO627)</f>
        <v>0</v>
      </c>
      <c r="AP628" s="305" t="n">
        <f aca="false">SUM(AP616:AP627)</f>
        <v>0</v>
      </c>
      <c r="AQ628" s="303"/>
      <c r="AR628" s="292" t="n">
        <f aca="false">SUM(AR616:AR627)</f>
        <v>0</v>
      </c>
      <c r="AS628" s="304" t="n">
        <f aca="false">SUM(AS616:AS627)</f>
        <v>0</v>
      </c>
      <c r="AT628" s="304" t="n">
        <f aca="false">SUM(AT616:AT627)</f>
        <v>0</v>
      </c>
      <c r="AU628" s="304" t="n">
        <f aca="false">SUM(AU616:AU627)</f>
        <v>0</v>
      </c>
      <c r="AV628" s="304" t="n">
        <f aca="false">SUM(AV616:AV627)</f>
        <v>0</v>
      </c>
      <c r="AW628" s="304" t="n">
        <f aca="false">SUM(AW616:AW627)</f>
        <v>0</v>
      </c>
      <c r="AX628" s="304" t="n">
        <f aca="false">SUM(AX616:AX627)</f>
        <v>0</v>
      </c>
      <c r="AY628" s="304" t="n">
        <f aca="false">SUM(AY616:AY627)</f>
        <v>0</v>
      </c>
      <c r="AZ628" s="304" t="n">
        <f aca="false">SUM(AZ616:AZ627)</f>
        <v>0</v>
      </c>
      <c r="BA628" s="304" t="n">
        <f aca="false">SUM(BA616:BA627)</f>
        <v>0</v>
      </c>
      <c r="BB628" s="304" t="n">
        <f aca="false">SUM(BB616:BB627)</f>
        <v>0</v>
      </c>
      <c r="BC628" s="304" t="n">
        <f aca="false">SUM(BC616:BC627)</f>
        <v>0</v>
      </c>
      <c r="BD628" s="305" t="n">
        <f aca="false">SUM(BD616:BD627)</f>
        <v>0</v>
      </c>
      <c r="BE628" s="305" t="n">
        <f aca="false">SUM(BE616:BE627)</f>
        <v>0</v>
      </c>
      <c r="BF628" s="305" t="n">
        <f aca="false">SUM(BF616:BF627)</f>
        <v>0</v>
      </c>
      <c r="BG628" s="303"/>
      <c r="BH628" s="306"/>
      <c r="BI628" s="303"/>
      <c r="BJ628" s="307" t="str">
        <f aca="false">IF(C614&gt;0, C614, "")</f>
        <v>TBA</v>
      </c>
      <c r="BK628" s="18" t="s">
        <v>234</v>
      </c>
      <c r="BL628" s="200" t="n">
        <f aca="false">IF($BK628="Y",J628,0)</f>
        <v>0</v>
      </c>
      <c r="BM628" s="200" t="n">
        <f aca="false">IF(BK628="Y", AN628,0)</f>
        <v>0</v>
      </c>
      <c r="BN628" s="200" t="n">
        <f aca="false">IF((BK628="Y"),AO628,0)</f>
        <v>0</v>
      </c>
    </row>
    <row r="629" customFormat="false" ht="15" hidden="false" customHeight="true" outlineLevel="0" collapsed="false">
      <c r="B629" s="296"/>
      <c r="D629" s="297"/>
      <c r="E629" s="277"/>
      <c r="F629" s="277"/>
      <c r="G629" s="277"/>
      <c r="H629" s="277"/>
      <c r="I629" s="277"/>
      <c r="J629" s="300"/>
      <c r="K629" s="300"/>
      <c r="L629" s="302"/>
      <c r="M629" s="302"/>
      <c r="N629" s="302"/>
      <c r="O629" s="308"/>
      <c r="P629" s="308"/>
      <c r="Q629" s="308"/>
      <c r="R629" s="308"/>
      <c r="S629" s="308"/>
      <c r="T629" s="308"/>
      <c r="U629" s="308"/>
      <c r="V629" s="308"/>
      <c r="W629" s="308"/>
      <c r="X629" s="308"/>
      <c r="Y629" s="308"/>
      <c r="Z629" s="308"/>
      <c r="AA629" s="303"/>
      <c r="AB629" s="303"/>
      <c r="AC629" s="303"/>
      <c r="AD629" s="303"/>
      <c r="AE629" s="303"/>
      <c r="AF629" s="303"/>
      <c r="AG629" s="303"/>
      <c r="AH629" s="303"/>
      <c r="AI629" s="303"/>
      <c r="AJ629" s="303"/>
      <c r="AK629" s="303"/>
      <c r="AL629" s="303"/>
      <c r="AM629" s="303"/>
      <c r="AN629" s="303"/>
      <c r="AO629" s="303"/>
      <c r="AP629" s="303"/>
      <c r="AQ629" s="303"/>
      <c r="AR629" s="303"/>
      <c r="AS629" s="303"/>
      <c r="AT629" s="303"/>
      <c r="AU629" s="303"/>
      <c r="AV629" s="303"/>
      <c r="AW629" s="303"/>
      <c r="AX629" s="303"/>
      <c r="AY629" s="303"/>
      <c r="AZ629" s="303"/>
      <c r="BA629" s="303"/>
      <c r="BB629" s="303"/>
      <c r="BC629" s="303"/>
      <c r="BD629" s="303"/>
      <c r="BE629" s="303"/>
      <c r="BF629" s="303"/>
      <c r="BG629" s="303"/>
      <c r="BH629" s="303"/>
      <c r="BI629" s="303"/>
      <c r="BJ629" s="307" t="str">
        <f aca="false">IF(C616&gt;0, C616, "")</f>
        <v/>
      </c>
      <c r="BL629" s="200"/>
      <c r="BM629" s="200"/>
      <c r="BN629" s="200"/>
    </row>
    <row r="630" customFormat="false" ht="15" hidden="false" customHeight="true" outlineLevel="0" collapsed="false">
      <c r="A630" s="198" t="n">
        <f aca="false">A614+1</f>
        <v>40</v>
      </c>
      <c r="B630" s="266" t="s">
        <v>253</v>
      </c>
      <c r="C630" s="266" t="s">
        <v>253</v>
      </c>
      <c r="D630" s="267"/>
      <c r="E630" s="242"/>
      <c r="F630" s="242"/>
      <c r="G630" s="242"/>
      <c r="H630" s="242"/>
      <c r="I630" s="242"/>
      <c r="J630" s="241"/>
      <c r="K630" s="241"/>
      <c r="L630" s="241"/>
      <c r="M630" s="241"/>
      <c r="N630" s="241"/>
      <c r="O630" s="268"/>
      <c r="P630" s="268"/>
      <c r="Q630" s="268"/>
      <c r="R630" s="268"/>
      <c r="S630" s="268"/>
      <c r="T630" s="268"/>
      <c r="U630" s="268"/>
      <c r="V630" s="268"/>
      <c r="W630" s="268"/>
      <c r="X630" s="268"/>
      <c r="Y630" s="268"/>
      <c r="Z630" s="268"/>
      <c r="AA630" s="268"/>
      <c r="AB630" s="268"/>
      <c r="AC630" s="268"/>
      <c r="AD630" s="268"/>
      <c r="AE630" s="268"/>
      <c r="AF630" s="268"/>
      <c r="AG630" s="268"/>
      <c r="AH630" s="268"/>
      <c r="AI630" s="268"/>
      <c r="AJ630" s="268"/>
      <c r="AK630" s="268"/>
      <c r="AL630" s="268"/>
      <c r="AM630" s="268"/>
      <c r="AN630" s="268"/>
      <c r="AO630" s="268"/>
      <c r="AP630" s="268"/>
      <c r="AQ630" s="268"/>
      <c r="AR630" s="268"/>
      <c r="AS630" s="268"/>
      <c r="AT630" s="268"/>
      <c r="AU630" s="268"/>
      <c r="AV630" s="268"/>
      <c r="AW630" s="268"/>
      <c r="AX630" s="268"/>
      <c r="AY630" s="268"/>
      <c r="AZ630" s="268"/>
      <c r="BA630" s="268"/>
      <c r="BB630" s="268"/>
      <c r="BC630" s="268"/>
      <c r="BD630" s="268"/>
      <c r="BE630" s="268"/>
      <c r="BF630" s="268"/>
      <c r="BG630" s="268"/>
      <c r="BH630" s="268"/>
      <c r="BI630" s="268"/>
      <c r="BJ630" s="18" t="str">
        <f aca="false">IF(C617&gt;0, C617, "")</f>
        <v/>
      </c>
      <c r="BL630" s="200"/>
      <c r="BM630" s="200"/>
      <c r="BN630" s="200"/>
    </row>
    <row r="631" customFormat="false" ht="7.5" hidden="false" customHeight="true" outlineLevel="0" collapsed="false">
      <c r="A631" s="198"/>
      <c r="B631" s="266"/>
      <c r="C631" s="266"/>
      <c r="D631" s="267"/>
      <c r="E631" s="242"/>
      <c r="F631" s="242"/>
      <c r="G631" s="242"/>
      <c r="H631" s="242"/>
      <c r="I631" s="242"/>
      <c r="J631" s="241"/>
      <c r="K631" s="241"/>
      <c r="L631" s="269"/>
      <c r="M631" s="269"/>
      <c r="N631" s="270"/>
      <c r="O631" s="269"/>
      <c r="P631" s="269"/>
      <c r="Q631" s="269"/>
      <c r="R631" s="269"/>
      <c r="S631" s="269"/>
      <c r="T631" s="269"/>
      <c r="U631" s="269"/>
      <c r="V631" s="269"/>
      <c r="W631" s="269"/>
      <c r="X631" s="269"/>
      <c r="Y631" s="269"/>
      <c r="Z631" s="269"/>
      <c r="AA631" s="268"/>
      <c r="AB631" s="271"/>
      <c r="AC631" s="271"/>
      <c r="AD631" s="271"/>
      <c r="AE631" s="271"/>
      <c r="AF631" s="271"/>
      <c r="AG631" s="271"/>
      <c r="AH631" s="271"/>
      <c r="AI631" s="271"/>
      <c r="AJ631" s="271"/>
      <c r="AK631" s="271"/>
      <c r="AL631" s="271"/>
      <c r="AM631" s="272"/>
      <c r="AN631" s="273"/>
      <c r="AO631" s="273"/>
      <c r="AP631" s="273"/>
      <c r="AQ631" s="268"/>
      <c r="AR631" s="271"/>
      <c r="AS631" s="271"/>
      <c r="AT631" s="271"/>
      <c r="AU631" s="271"/>
      <c r="AV631" s="271"/>
      <c r="AW631" s="271"/>
      <c r="AX631" s="271"/>
      <c r="AY631" s="271"/>
      <c r="AZ631" s="271"/>
      <c r="BA631" s="271"/>
      <c r="BB631" s="271"/>
      <c r="BC631" s="272"/>
      <c r="BD631" s="273"/>
      <c r="BE631" s="273"/>
      <c r="BF631" s="273"/>
      <c r="BG631" s="268"/>
      <c r="BH631" s="274"/>
      <c r="BI631" s="268"/>
      <c r="BL631" s="200"/>
      <c r="BM631" s="200"/>
      <c r="BN631" s="200"/>
    </row>
    <row r="632" customFormat="false" ht="15" hidden="false" customHeight="true" outlineLevel="0" collapsed="false">
      <c r="B632" s="275"/>
      <c r="D632" s="276" t="n">
        <f aca="false">D616</f>
        <v>45292</v>
      </c>
      <c r="E632" s="277" t="n">
        <v>0</v>
      </c>
      <c r="F632" s="277" t="n">
        <v>0</v>
      </c>
      <c r="G632" s="277" t="n">
        <v>0</v>
      </c>
      <c r="H632" s="277" t="n">
        <v>0</v>
      </c>
      <c r="I632" s="277" t="n">
        <v>0</v>
      </c>
      <c r="J632" s="278" t="n">
        <f aca="false">E632+H632+I632</f>
        <v>0</v>
      </c>
      <c r="K632" s="204"/>
      <c r="L632" s="279" t="n">
        <v>1</v>
      </c>
      <c r="M632" s="280" t="n">
        <f aca="false">1-L632</f>
        <v>0</v>
      </c>
      <c r="N632" s="281"/>
      <c r="O632" s="282"/>
      <c r="P632" s="282"/>
      <c r="Q632" s="282"/>
      <c r="R632" s="282"/>
      <c r="S632" s="282"/>
      <c r="T632" s="282"/>
      <c r="U632" s="282"/>
      <c r="V632" s="282"/>
      <c r="W632" s="282"/>
      <c r="X632" s="282"/>
      <c r="Y632" s="282"/>
      <c r="Z632" s="282"/>
      <c r="AA632" s="283"/>
      <c r="AB632" s="284" t="n">
        <f aca="false">IFERROR(($J632*O632)*$L632, "")</f>
        <v>0</v>
      </c>
      <c r="AC632" s="284" t="n">
        <f aca="false">IFERROR(($J632*P632)*$L632, "")</f>
        <v>0</v>
      </c>
      <c r="AD632" s="284" t="n">
        <f aca="false">IFERROR(($J632*Q632)*$L632, "")</f>
        <v>0</v>
      </c>
      <c r="AE632" s="284" t="n">
        <f aca="false">IFERROR(($J632*R632)*$L632, "")</f>
        <v>0</v>
      </c>
      <c r="AF632" s="284" t="n">
        <f aca="false">IFERROR(($J632*S632)*$L632, "")</f>
        <v>0</v>
      </c>
      <c r="AG632" s="284" t="n">
        <f aca="false">IFERROR(($J632*T632)*$L632, "")</f>
        <v>0</v>
      </c>
      <c r="AH632" s="284" t="n">
        <f aca="false">IFERROR(($J632*U632)*$L632, "")</f>
        <v>0</v>
      </c>
      <c r="AI632" s="284" t="n">
        <f aca="false">IFERROR(($J632*V632)*$L632, "")</f>
        <v>0</v>
      </c>
      <c r="AJ632" s="284" t="n">
        <f aca="false">IFERROR(($J632*W632)*$L632, "")</f>
        <v>0</v>
      </c>
      <c r="AK632" s="284" t="n">
        <f aca="false">IFERROR(($J632*X632)*$L632, "")</f>
        <v>0</v>
      </c>
      <c r="AL632" s="284" t="n">
        <f aca="false">IFERROR(($J632*Y632)*$L632, "")</f>
        <v>0</v>
      </c>
      <c r="AM632" s="285" t="n">
        <f aca="false">IFERROR(($J632*Z632)*$L632, "")</f>
        <v>0</v>
      </c>
      <c r="AN632" s="286" t="n">
        <f aca="false">IFERROR(SUMIF($AB$4:$AM$4, "RDEC", AB632:AM632), "")</f>
        <v>0</v>
      </c>
      <c r="AO632" s="286" t="n">
        <f aca="false">IFERROR(SUMIF($AB$4:$AM$4, "SME", AB632:AM632), "")</f>
        <v>0</v>
      </c>
      <c r="AP632" s="286" t="n">
        <f aca="false">IFERROR(SUMIF($AB$4:$AM$4, "De Minimis", AB632:AM632), "")</f>
        <v>0</v>
      </c>
      <c r="AQ632" s="283"/>
      <c r="AR632" s="284" t="n">
        <f aca="false">IFERROR(($J632*O632)*$M632, "")</f>
        <v>0</v>
      </c>
      <c r="AS632" s="284" t="n">
        <f aca="false">IFERROR(($J632*P632)*$M632, "")</f>
        <v>0</v>
      </c>
      <c r="AT632" s="284" t="n">
        <f aca="false">IFERROR(($J632*Q632)*$M632, "")</f>
        <v>0</v>
      </c>
      <c r="AU632" s="284" t="n">
        <f aca="false">IFERROR(($J632*R632)*$M632, "")</f>
        <v>0</v>
      </c>
      <c r="AV632" s="284" t="n">
        <f aca="false">IFERROR(($J632*S632)*$M632, "")</f>
        <v>0</v>
      </c>
      <c r="AW632" s="284" t="n">
        <f aca="false">IFERROR(($J632*T632)*$M632, "")</f>
        <v>0</v>
      </c>
      <c r="AX632" s="284" t="n">
        <f aca="false">IFERROR(($J632*U632)*$M632, "")</f>
        <v>0</v>
      </c>
      <c r="AY632" s="284" t="n">
        <f aca="false">IFERROR(($J632*V632)*$M632, "")</f>
        <v>0</v>
      </c>
      <c r="AZ632" s="284" t="n">
        <f aca="false">IFERROR(($J632*W632)*$M632, "")</f>
        <v>0</v>
      </c>
      <c r="BA632" s="284" t="n">
        <f aca="false">IFERROR(($J632*X632)*$M632, "")</f>
        <v>0</v>
      </c>
      <c r="BB632" s="284" t="n">
        <f aca="false">IFERROR(($J632*Y632)*$M632, "")</f>
        <v>0</v>
      </c>
      <c r="BC632" s="285" t="n">
        <f aca="false">IFERROR(($J632*Z632)*$M632, "")</f>
        <v>0</v>
      </c>
      <c r="BD632" s="286" t="n">
        <f aca="false">IFERROR(SUMIF($AB$4:$AM$4, "RDEC", AR632:BC632), "")</f>
        <v>0</v>
      </c>
      <c r="BE632" s="286" t="n">
        <f aca="false">IFERROR(SUMIF($AB$4:$AM$4, "SME", AR632:BC632), "")</f>
        <v>0</v>
      </c>
      <c r="BF632" s="286" t="n">
        <f aca="false">IFERROR(SUMIF($AB$4:$AM$4, "De Minimis", AR632:BC632), "")</f>
        <v>0</v>
      </c>
      <c r="BG632" s="287"/>
      <c r="BH632" s="288" t="str">
        <f aca="false">IF((SUM(O632:Z632)&gt;1),"ERROR","")</f>
        <v/>
      </c>
      <c r="BI632" s="287"/>
      <c r="BJ632" s="18" t="str">
        <f aca="false">IF(C618&gt;0, C618, "")</f>
        <v/>
      </c>
      <c r="BL632" s="200"/>
      <c r="BM632" s="200"/>
      <c r="BN632" s="200"/>
    </row>
    <row r="633" customFormat="false" ht="15" hidden="false" customHeight="true" outlineLevel="0" collapsed="false">
      <c r="B633" s="275"/>
      <c r="D633" s="276" t="n">
        <f aca="false">D617</f>
        <v>45323</v>
      </c>
      <c r="E633" s="277" t="n">
        <v>0</v>
      </c>
      <c r="F633" s="277" t="n">
        <v>0</v>
      </c>
      <c r="G633" s="277" t="n">
        <v>0</v>
      </c>
      <c r="H633" s="277" t="n">
        <v>0</v>
      </c>
      <c r="I633" s="277" t="n">
        <v>0</v>
      </c>
      <c r="J633" s="278" t="n">
        <f aca="false">E633+H633+I633</f>
        <v>0</v>
      </c>
      <c r="K633" s="204"/>
      <c r="L633" s="279" t="n">
        <v>1</v>
      </c>
      <c r="M633" s="280" t="n">
        <f aca="false">1-L633</f>
        <v>0</v>
      </c>
      <c r="N633" s="281"/>
      <c r="O633" s="282"/>
      <c r="P633" s="282"/>
      <c r="Q633" s="282"/>
      <c r="R633" s="282"/>
      <c r="S633" s="282"/>
      <c r="T633" s="282"/>
      <c r="U633" s="282"/>
      <c r="V633" s="282"/>
      <c r="W633" s="282"/>
      <c r="X633" s="282"/>
      <c r="Y633" s="282"/>
      <c r="Z633" s="282"/>
      <c r="AA633" s="283"/>
      <c r="AB633" s="284" t="n">
        <f aca="false">IFERROR(($J633*O633)*$L633, "")</f>
        <v>0</v>
      </c>
      <c r="AC633" s="284" t="n">
        <f aca="false">IFERROR(($J633*P633)*$L633, "")</f>
        <v>0</v>
      </c>
      <c r="AD633" s="284" t="n">
        <f aca="false">IFERROR(($J633*Q633)*$L633, "")</f>
        <v>0</v>
      </c>
      <c r="AE633" s="284" t="n">
        <f aca="false">IFERROR(($J633*R633)*$L633, "")</f>
        <v>0</v>
      </c>
      <c r="AF633" s="284" t="n">
        <f aca="false">IFERROR(($J633*S633)*$L633, "")</f>
        <v>0</v>
      </c>
      <c r="AG633" s="284" t="n">
        <f aca="false">IFERROR(($J633*T633)*$L633, "")</f>
        <v>0</v>
      </c>
      <c r="AH633" s="284" t="n">
        <f aca="false">IFERROR(($J633*U633)*$L633, "")</f>
        <v>0</v>
      </c>
      <c r="AI633" s="284" t="n">
        <f aca="false">IFERROR(($J633*V633)*$L633, "")</f>
        <v>0</v>
      </c>
      <c r="AJ633" s="284" t="n">
        <f aca="false">IFERROR(($J633*W633)*$L633, "")</f>
        <v>0</v>
      </c>
      <c r="AK633" s="284" t="n">
        <f aca="false">IFERROR(($J633*X633)*$L633, "")</f>
        <v>0</v>
      </c>
      <c r="AL633" s="284" t="n">
        <f aca="false">IFERROR(($J633*Y633)*$L633, "")</f>
        <v>0</v>
      </c>
      <c r="AM633" s="285" t="n">
        <f aca="false">IFERROR(($J633*Z633)*$L633, "")</f>
        <v>0</v>
      </c>
      <c r="AN633" s="286" t="n">
        <f aca="false">IFERROR(SUMIF($AB$4:$AM$4, "RDEC", AB633:AM633), "")</f>
        <v>0</v>
      </c>
      <c r="AO633" s="286" t="n">
        <f aca="false">IFERROR(SUMIF($AB$4:$AM$4, "SME", AB633:AM633), "")</f>
        <v>0</v>
      </c>
      <c r="AP633" s="286" t="n">
        <f aca="false">IFERROR(SUMIF($AB$4:$AM$4, "De Minimis", AB633:AM633), "")</f>
        <v>0</v>
      </c>
      <c r="AQ633" s="283"/>
      <c r="AR633" s="284" t="n">
        <f aca="false">IFERROR(($J633*O633)*$M633, "")</f>
        <v>0</v>
      </c>
      <c r="AS633" s="284" t="n">
        <f aca="false">IFERROR(($J633*P633)*$M633, "")</f>
        <v>0</v>
      </c>
      <c r="AT633" s="284" t="n">
        <f aca="false">IFERROR(($J633*Q633)*$M633, "")</f>
        <v>0</v>
      </c>
      <c r="AU633" s="284" t="n">
        <f aca="false">IFERROR(($J633*R633)*$M633, "")</f>
        <v>0</v>
      </c>
      <c r="AV633" s="284" t="n">
        <f aca="false">IFERROR(($J633*S633)*$M633, "")</f>
        <v>0</v>
      </c>
      <c r="AW633" s="284" t="n">
        <f aca="false">IFERROR(($J633*T633)*$M633, "")</f>
        <v>0</v>
      </c>
      <c r="AX633" s="284" t="n">
        <f aca="false">IFERROR(($J633*U633)*$M633, "")</f>
        <v>0</v>
      </c>
      <c r="AY633" s="284" t="n">
        <f aca="false">IFERROR(($J633*V633)*$M633, "")</f>
        <v>0</v>
      </c>
      <c r="AZ633" s="284" t="n">
        <f aca="false">IFERROR(($J633*W633)*$M633, "")</f>
        <v>0</v>
      </c>
      <c r="BA633" s="284" t="n">
        <f aca="false">IFERROR(($J633*X633)*$M633, "")</f>
        <v>0</v>
      </c>
      <c r="BB633" s="284" t="n">
        <f aca="false">IFERROR(($J633*Y633)*$M633, "")</f>
        <v>0</v>
      </c>
      <c r="BC633" s="285" t="n">
        <f aca="false">IFERROR(($J633*Z633)*$M633, "")</f>
        <v>0</v>
      </c>
      <c r="BD633" s="286" t="n">
        <f aca="false">IFERROR(SUMIF($AB$4:$AM$4, "RDEC", AR633:BC633), "")</f>
        <v>0</v>
      </c>
      <c r="BE633" s="286" t="n">
        <f aca="false">IFERROR(SUMIF($AB$4:$AM$4, "SME", AR633:BC633), "")</f>
        <v>0</v>
      </c>
      <c r="BF633" s="286" t="n">
        <f aca="false">IFERROR(SUMIF($AB$4:$AM$4, "De Minimis", AR633:BC633), "")</f>
        <v>0</v>
      </c>
      <c r="BG633" s="287"/>
      <c r="BH633" s="288" t="str">
        <f aca="false">IF((SUM(O633:Z633)&gt;1),"ERROR","")</f>
        <v/>
      </c>
      <c r="BI633" s="287"/>
      <c r="BJ633" s="18" t="str">
        <f aca="false">IF(C619&gt;0, C619, "")</f>
        <v/>
      </c>
      <c r="BL633" s="200"/>
      <c r="BM633" s="200"/>
      <c r="BN633" s="200"/>
    </row>
    <row r="634" customFormat="false" ht="15" hidden="false" customHeight="true" outlineLevel="0" collapsed="false">
      <c r="B634" s="275"/>
      <c r="D634" s="276" t="n">
        <f aca="false">D618</f>
        <v>45352</v>
      </c>
      <c r="E634" s="277" t="n">
        <v>0</v>
      </c>
      <c r="F634" s="277" t="n">
        <v>0</v>
      </c>
      <c r="G634" s="277" t="n">
        <v>0</v>
      </c>
      <c r="H634" s="277" t="n">
        <v>0</v>
      </c>
      <c r="I634" s="277" t="n">
        <v>0</v>
      </c>
      <c r="J634" s="278" t="n">
        <f aca="false">E634+H634+I634</f>
        <v>0</v>
      </c>
      <c r="K634" s="204"/>
      <c r="L634" s="279" t="n">
        <v>1</v>
      </c>
      <c r="M634" s="280" t="n">
        <f aca="false">1-L634</f>
        <v>0</v>
      </c>
      <c r="N634" s="281"/>
      <c r="O634" s="282"/>
      <c r="P634" s="282"/>
      <c r="Q634" s="282"/>
      <c r="R634" s="282"/>
      <c r="S634" s="282"/>
      <c r="T634" s="282"/>
      <c r="U634" s="282"/>
      <c r="V634" s="282"/>
      <c r="W634" s="282"/>
      <c r="X634" s="282"/>
      <c r="Y634" s="282"/>
      <c r="Z634" s="282"/>
      <c r="AA634" s="283"/>
      <c r="AB634" s="284" t="n">
        <f aca="false">IFERROR(($J634*O634)*$L634, "")</f>
        <v>0</v>
      </c>
      <c r="AC634" s="284" t="n">
        <f aca="false">IFERROR(($J634*P634)*$L634, "")</f>
        <v>0</v>
      </c>
      <c r="AD634" s="284" t="n">
        <f aca="false">IFERROR(($J634*Q634)*$L634, "")</f>
        <v>0</v>
      </c>
      <c r="AE634" s="284" t="n">
        <f aca="false">IFERROR(($J634*R634)*$L634, "")</f>
        <v>0</v>
      </c>
      <c r="AF634" s="284" t="n">
        <f aca="false">IFERROR(($J634*S634)*$L634, "")</f>
        <v>0</v>
      </c>
      <c r="AG634" s="284" t="n">
        <f aca="false">IFERROR(($J634*T634)*$L634, "")</f>
        <v>0</v>
      </c>
      <c r="AH634" s="284" t="n">
        <f aca="false">IFERROR(($J634*U634)*$L634, "")</f>
        <v>0</v>
      </c>
      <c r="AI634" s="284" t="n">
        <f aca="false">IFERROR(($J634*V634)*$L634, "")</f>
        <v>0</v>
      </c>
      <c r="AJ634" s="284" t="n">
        <f aca="false">IFERROR(($J634*W634)*$L634, "")</f>
        <v>0</v>
      </c>
      <c r="AK634" s="284" t="n">
        <f aca="false">IFERROR(($J634*X634)*$L634, "")</f>
        <v>0</v>
      </c>
      <c r="AL634" s="284" t="n">
        <f aca="false">IFERROR(($J634*Y634)*$L634, "")</f>
        <v>0</v>
      </c>
      <c r="AM634" s="285" t="n">
        <f aca="false">IFERROR(($J634*Z634)*$L634, "")</f>
        <v>0</v>
      </c>
      <c r="AN634" s="286" t="n">
        <f aca="false">IFERROR(SUMIF($AB$4:$AM$4, "RDEC", AB634:AM634), "")</f>
        <v>0</v>
      </c>
      <c r="AO634" s="286" t="n">
        <f aca="false">IFERROR(SUMIF($AB$4:$AM$4, "SME", AB634:AM634), "")</f>
        <v>0</v>
      </c>
      <c r="AP634" s="286" t="n">
        <f aca="false">IFERROR(SUMIF($AB$4:$AM$4, "De Minimis", AB634:AM634), "")</f>
        <v>0</v>
      </c>
      <c r="AQ634" s="283"/>
      <c r="AR634" s="284" t="n">
        <f aca="false">IFERROR(($J634*O634)*$M634, "")</f>
        <v>0</v>
      </c>
      <c r="AS634" s="284" t="n">
        <f aca="false">IFERROR(($J634*P634)*$M634, "")</f>
        <v>0</v>
      </c>
      <c r="AT634" s="284" t="n">
        <f aca="false">IFERROR(($J634*Q634)*$M634, "")</f>
        <v>0</v>
      </c>
      <c r="AU634" s="284" t="n">
        <f aca="false">IFERROR(($J634*R634)*$M634, "")</f>
        <v>0</v>
      </c>
      <c r="AV634" s="284" t="n">
        <f aca="false">IFERROR(($J634*S634)*$M634, "")</f>
        <v>0</v>
      </c>
      <c r="AW634" s="284" t="n">
        <f aca="false">IFERROR(($J634*T634)*$M634, "")</f>
        <v>0</v>
      </c>
      <c r="AX634" s="284" t="n">
        <f aca="false">IFERROR(($J634*U634)*$M634, "")</f>
        <v>0</v>
      </c>
      <c r="AY634" s="284" t="n">
        <f aca="false">IFERROR(($J634*V634)*$M634, "")</f>
        <v>0</v>
      </c>
      <c r="AZ634" s="284" t="n">
        <f aca="false">IFERROR(($J634*W634)*$M634, "")</f>
        <v>0</v>
      </c>
      <c r="BA634" s="284" t="n">
        <f aca="false">IFERROR(($J634*X634)*$M634, "")</f>
        <v>0</v>
      </c>
      <c r="BB634" s="284" t="n">
        <f aca="false">IFERROR(($J634*Y634)*$M634, "")</f>
        <v>0</v>
      </c>
      <c r="BC634" s="285" t="n">
        <f aca="false">IFERROR(($J634*Z634)*$M634, "")</f>
        <v>0</v>
      </c>
      <c r="BD634" s="286" t="n">
        <f aca="false">IFERROR(SUMIF($AB$4:$AM$4, "RDEC", AR634:BC634), "")</f>
        <v>0</v>
      </c>
      <c r="BE634" s="286" t="n">
        <f aca="false">IFERROR(SUMIF($AB$4:$AM$4, "SME", AR634:BC634), "")</f>
        <v>0</v>
      </c>
      <c r="BF634" s="286" t="n">
        <f aca="false">IFERROR(SUMIF($AB$4:$AM$4, "De Minimis", AR634:BC634), "")</f>
        <v>0</v>
      </c>
      <c r="BG634" s="287"/>
      <c r="BH634" s="288" t="str">
        <f aca="false">IF((SUM(O634:Z634)&gt;1),"ERROR","")</f>
        <v/>
      </c>
      <c r="BI634" s="287"/>
      <c r="BJ634" s="18" t="str">
        <f aca="false">IF(C620&gt;0, C620, "")</f>
        <v/>
      </c>
      <c r="BL634" s="200"/>
      <c r="BM634" s="200"/>
      <c r="BN634" s="200"/>
    </row>
    <row r="635" customFormat="false" ht="15" hidden="false" customHeight="true" outlineLevel="0" collapsed="false">
      <c r="B635" s="275"/>
      <c r="D635" s="276" t="n">
        <f aca="false">D619</f>
        <v>45383</v>
      </c>
      <c r="E635" s="277" t="n">
        <v>0</v>
      </c>
      <c r="F635" s="277" t="n">
        <v>0</v>
      </c>
      <c r="G635" s="277" t="n">
        <v>0</v>
      </c>
      <c r="H635" s="277" t="n">
        <v>0</v>
      </c>
      <c r="I635" s="277" t="n">
        <v>0</v>
      </c>
      <c r="J635" s="278" t="n">
        <f aca="false">E635+H635+I635</f>
        <v>0</v>
      </c>
      <c r="K635" s="204"/>
      <c r="L635" s="279" t="n">
        <v>1</v>
      </c>
      <c r="M635" s="280" t="n">
        <f aca="false">1-L635</f>
        <v>0</v>
      </c>
      <c r="N635" s="281"/>
      <c r="O635" s="282"/>
      <c r="P635" s="282"/>
      <c r="Q635" s="282"/>
      <c r="R635" s="282"/>
      <c r="S635" s="282"/>
      <c r="T635" s="282"/>
      <c r="U635" s="282"/>
      <c r="V635" s="282"/>
      <c r="W635" s="282"/>
      <c r="X635" s="282"/>
      <c r="Y635" s="282"/>
      <c r="Z635" s="282"/>
      <c r="AA635" s="283"/>
      <c r="AB635" s="284" t="n">
        <f aca="false">IFERROR(($J635*O635)*$L635, "")</f>
        <v>0</v>
      </c>
      <c r="AC635" s="284" t="n">
        <f aca="false">IFERROR(($J635*P635)*$L635, "")</f>
        <v>0</v>
      </c>
      <c r="AD635" s="284" t="n">
        <f aca="false">IFERROR(($J635*Q635)*$L635, "")</f>
        <v>0</v>
      </c>
      <c r="AE635" s="284" t="n">
        <f aca="false">IFERROR(($J635*R635)*$L635, "")</f>
        <v>0</v>
      </c>
      <c r="AF635" s="284" t="n">
        <f aca="false">IFERROR(($J635*S635)*$L635, "")</f>
        <v>0</v>
      </c>
      <c r="AG635" s="284" t="n">
        <f aca="false">IFERROR(($J635*T635)*$L635, "")</f>
        <v>0</v>
      </c>
      <c r="AH635" s="284" t="n">
        <f aca="false">IFERROR(($J635*U635)*$L635, "")</f>
        <v>0</v>
      </c>
      <c r="AI635" s="284" t="n">
        <f aca="false">IFERROR(($J635*V635)*$L635, "")</f>
        <v>0</v>
      </c>
      <c r="AJ635" s="284" t="n">
        <f aca="false">IFERROR(($J635*W635)*$L635, "")</f>
        <v>0</v>
      </c>
      <c r="AK635" s="284" t="n">
        <f aca="false">IFERROR(($J635*X635)*$L635, "")</f>
        <v>0</v>
      </c>
      <c r="AL635" s="284" t="n">
        <f aca="false">IFERROR(($J635*Y635)*$L635, "")</f>
        <v>0</v>
      </c>
      <c r="AM635" s="285" t="n">
        <f aca="false">IFERROR(($J635*Z635)*$L635, "")</f>
        <v>0</v>
      </c>
      <c r="AN635" s="286" t="n">
        <f aca="false">IFERROR(SUMIF($AB$4:$AM$4, "RDEC", AB635:AM635), "")</f>
        <v>0</v>
      </c>
      <c r="AO635" s="286" t="n">
        <f aca="false">IFERROR(SUMIF($AB$4:$AM$4, "SME", AB635:AM635), "")</f>
        <v>0</v>
      </c>
      <c r="AP635" s="286" t="n">
        <f aca="false">IFERROR(SUMIF($AB$4:$AM$4, "De Minimis", AB635:AM635), "")</f>
        <v>0</v>
      </c>
      <c r="AQ635" s="283"/>
      <c r="AR635" s="284" t="n">
        <f aca="false">IFERROR(($J635*O635)*$M635, "")</f>
        <v>0</v>
      </c>
      <c r="AS635" s="284" t="n">
        <f aca="false">IFERROR(($J635*P635)*$M635, "")</f>
        <v>0</v>
      </c>
      <c r="AT635" s="284" t="n">
        <f aca="false">IFERROR(($J635*Q635)*$M635, "")</f>
        <v>0</v>
      </c>
      <c r="AU635" s="284" t="n">
        <f aca="false">IFERROR(($J635*R635)*$M635, "")</f>
        <v>0</v>
      </c>
      <c r="AV635" s="284" t="n">
        <f aca="false">IFERROR(($J635*S635)*$M635, "")</f>
        <v>0</v>
      </c>
      <c r="AW635" s="284" t="n">
        <f aca="false">IFERROR(($J635*T635)*$M635, "")</f>
        <v>0</v>
      </c>
      <c r="AX635" s="284" t="n">
        <f aca="false">IFERROR(($J635*U635)*$M635, "")</f>
        <v>0</v>
      </c>
      <c r="AY635" s="284" t="n">
        <f aca="false">IFERROR(($J635*V635)*$M635, "")</f>
        <v>0</v>
      </c>
      <c r="AZ635" s="284" t="n">
        <f aca="false">IFERROR(($J635*W635)*$M635, "")</f>
        <v>0</v>
      </c>
      <c r="BA635" s="284" t="n">
        <f aca="false">IFERROR(($J635*X635)*$M635, "")</f>
        <v>0</v>
      </c>
      <c r="BB635" s="284" t="n">
        <f aca="false">IFERROR(($J635*Y635)*$M635, "")</f>
        <v>0</v>
      </c>
      <c r="BC635" s="285" t="n">
        <f aca="false">IFERROR(($J635*Z635)*$M635, "")</f>
        <v>0</v>
      </c>
      <c r="BD635" s="286" t="n">
        <f aca="false">IFERROR(SUMIF($AB$4:$AM$4, "RDEC", AR635:BC635), "")</f>
        <v>0</v>
      </c>
      <c r="BE635" s="286" t="n">
        <f aca="false">IFERROR(SUMIF($AB$4:$AM$4, "SME", AR635:BC635), "")</f>
        <v>0</v>
      </c>
      <c r="BF635" s="286" t="n">
        <f aca="false">IFERROR(SUMIF($AB$4:$AM$4, "De Minimis", AR635:BC635), "")</f>
        <v>0</v>
      </c>
      <c r="BG635" s="287"/>
      <c r="BH635" s="288" t="str">
        <f aca="false">IF((SUM(O635:Z635)&gt;1),"ERROR","")</f>
        <v/>
      </c>
      <c r="BI635" s="287"/>
      <c r="BJ635" s="18" t="str">
        <f aca="false">IF(C621&gt;0, C621, "")</f>
        <v/>
      </c>
      <c r="BL635" s="200"/>
      <c r="BM635" s="200"/>
      <c r="BN635" s="200"/>
    </row>
    <row r="636" customFormat="false" ht="15" hidden="false" customHeight="true" outlineLevel="0" collapsed="false">
      <c r="B636" s="275"/>
      <c r="D636" s="276" t="n">
        <f aca="false">D620</f>
        <v>45413</v>
      </c>
      <c r="E636" s="277" t="n">
        <v>0</v>
      </c>
      <c r="F636" s="277" t="n">
        <v>0</v>
      </c>
      <c r="G636" s="277" t="n">
        <v>0</v>
      </c>
      <c r="H636" s="277" t="n">
        <v>0</v>
      </c>
      <c r="I636" s="277" t="n">
        <v>0</v>
      </c>
      <c r="J636" s="278" t="n">
        <f aca="false">E636+H636+I636</f>
        <v>0</v>
      </c>
      <c r="K636" s="204"/>
      <c r="L636" s="279" t="n">
        <v>1</v>
      </c>
      <c r="M636" s="280" t="n">
        <f aca="false">1-L636</f>
        <v>0</v>
      </c>
      <c r="N636" s="281"/>
      <c r="O636" s="282"/>
      <c r="P636" s="282"/>
      <c r="Q636" s="282"/>
      <c r="R636" s="282"/>
      <c r="S636" s="282"/>
      <c r="T636" s="282"/>
      <c r="U636" s="282"/>
      <c r="V636" s="282"/>
      <c r="W636" s="282"/>
      <c r="X636" s="282"/>
      <c r="Y636" s="282"/>
      <c r="Z636" s="282"/>
      <c r="AA636" s="283"/>
      <c r="AB636" s="284" t="n">
        <f aca="false">IFERROR(($J636*O636)*$L636, "")</f>
        <v>0</v>
      </c>
      <c r="AC636" s="284" t="n">
        <f aca="false">IFERROR(($J636*P636)*$L636, "")</f>
        <v>0</v>
      </c>
      <c r="AD636" s="284" t="n">
        <f aca="false">IFERROR(($J636*Q636)*$L636, "")</f>
        <v>0</v>
      </c>
      <c r="AE636" s="284" t="n">
        <f aca="false">IFERROR(($J636*R636)*$L636, "")</f>
        <v>0</v>
      </c>
      <c r="AF636" s="284" t="n">
        <f aca="false">IFERROR(($J636*S636)*$L636, "")</f>
        <v>0</v>
      </c>
      <c r="AG636" s="284" t="n">
        <f aca="false">IFERROR(($J636*T636)*$L636, "")</f>
        <v>0</v>
      </c>
      <c r="AH636" s="284" t="n">
        <f aca="false">IFERROR(($J636*U636)*$L636, "")</f>
        <v>0</v>
      </c>
      <c r="AI636" s="284" t="n">
        <f aca="false">IFERROR(($J636*V636)*$L636, "")</f>
        <v>0</v>
      </c>
      <c r="AJ636" s="284" t="n">
        <f aca="false">IFERROR(($J636*W636)*$L636, "")</f>
        <v>0</v>
      </c>
      <c r="AK636" s="284" t="n">
        <f aca="false">IFERROR(($J636*X636)*$L636, "")</f>
        <v>0</v>
      </c>
      <c r="AL636" s="284" t="n">
        <f aca="false">IFERROR(($J636*Y636)*$L636, "")</f>
        <v>0</v>
      </c>
      <c r="AM636" s="285" t="n">
        <f aca="false">IFERROR(($J636*Z636)*$L636, "")</f>
        <v>0</v>
      </c>
      <c r="AN636" s="286" t="n">
        <f aca="false">IFERROR(SUMIF($AB$4:$AM$4, "RDEC", AB636:AM636), "")</f>
        <v>0</v>
      </c>
      <c r="AO636" s="286" t="n">
        <f aca="false">IFERROR(SUMIF($AB$4:$AM$4, "SME", AB636:AM636), "")</f>
        <v>0</v>
      </c>
      <c r="AP636" s="286" t="n">
        <f aca="false">IFERROR(SUMIF($AB$4:$AM$4, "De Minimis", AB636:AM636), "")</f>
        <v>0</v>
      </c>
      <c r="AQ636" s="283"/>
      <c r="AR636" s="284" t="n">
        <f aca="false">IFERROR(($J636*O636)*$M636, "")</f>
        <v>0</v>
      </c>
      <c r="AS636" s="284" t="n">
        <f aca="false">IFERROR(($J636*P636)*$M636, "")</f>
        <v>0</v>
      </c>
      <c r="AT636" s="284" t="n">
        <f aca="false">IFERROR(($J636*Q636)*$M636, "")</f>
        <v>0</v>
      </c>
      <c r="AU636" s="284" t="n">
        <f aca="false">IFERROR(($J636*R636)*$M636, "")</f>
        <v>0</v>
      </c>
      <c r="AV636" s="284" t="n">
        <f aca="false">IFERROR(($J636*S636)*$M636, "")</f>
        <v>0</v>
      </c>
      <c r="AW636" s="284" t="n">
        <f aca="false">IFERROR(($J636*T636)*$M636, "")</f>
        <v>0</v>
      </c>
      <c r="AX636" s="284" t="n">
        <f aca="false">IFERROR(($J636*U636)*$M636, "")</f>
        <v>0</v>
      </c>
      <c r="AY636" s="284" t="n">
        <f aca="false">IFERROR(($J636*V636)*$M636, "")</f>
        <v>0</v>
      </c>
      <c r="AZ636" s="284" t="n">
        <f aca="false">IFERROR(($J636*W636)*$M636, "")</f>
        <v>0</v>
      </c>
      <c r="BA636" s="284" t="n">
        <f aca="false">IFERROR(($J636*X636)*$M636, "")</f>
        <v>0</v>
      </c>
      <c r="BB636" s="284" t="n">
        <f aca="false">IFERROR(($J636*Y636)*$M636, "")</f>
        <v>0</v>
      </c>
      <c r="BC636" s="285" t="n">
        <f aca="false">IFERROR(($J636*Z636)*$M636, "")</f>
        <v>0</v>
      </c>
      <c r="BD636" s="286" t="n">
        <f aca="false">IFERROR(SUMIF($AB$4:$AM$4, "RDEC", AR636:BC636), "")</f>
        <v>0</v>
      </c>
      <c r="BE636" s="286" t="n">
        <f aca="false">IFERROR(SUMIF($AB$4:$AM$4, "SME", AR636:BC636), "")</f>
        <v>0</v>
      </c>
      <c r="BF636" s="286" t="n">
        <f aca="false">IFERROR(SUMIF($AB$4:$AM$4, "De Minimis", AR636:BC636), "")</f>
        <v>0</v>
      </c>
      <c r="BG636" s="287"/>
      <c r="BH636" s="288" t="str">
        <f aca="false">IF((SUM(O636:Z636)&gt;1),"ERROR","")</f>
        <v/>
      </c>
      <c r="BI636" s="287"/>
      <c r="BJ636" s="18" t="str">
        <f aca="false">IF(C622&gt;0, C622, "")</f>
        <v/>
      </c>
      <c r="BL636" s="200"/>
      <c r="BM636" s="200"/>
      <c r="BN636" s="200"/>
    </row>
    <row r="637" customFormat="false" ht="15" hidden="false" customHeight="true" outlineLevel="0" collapsed="false">
      <c r="B637" s="275"/>
      <c r="D637" s="276" t="n">
        <f aca="false">D621</f>
        <v>45444</v>
      </c>
      <c r="E637" s="277" t="n">
        <v>0</v>
      </c>
      <c r="F637" s="277" t="n">
        <v>0</v>
      </c>
      <c r="G637" s="277" t="n">
        <v>0</v>
      </c>
      <c r="H637" s="277" t="n">
        <v>0</v>
      </c>
      <c r="I637" s="277" t="n">
        <v>0</v>
      </c>
      <c r="J637" s="278" t="n">
        <f aca="false">E637+H637+I637</f>
        <v>0</v>
      </c>
      <c r="K637" s="204"/>
      <c r="L637" s="279" t="n">
        <v>1</v>
      </c>
      <c r="M637" s="280" t="n">
        <f aca="false">1-L637</f>
        <v>0</v>
      </c>
      <c r="N637" s="281"/>
      <c r="O637" s="282"/>
      <c r="P637" s="282"/>
      <c r="Q637" s="282"/>
      <c r="R637" s="282"/>
      <c r="S637" s="282"/>
      <c r="T637" s="282"/>
      <c r="U637" s="282"/>
      <c r="V637" s="282"/>
      <c r="W637" s="282"/>
      <c r="X637" s="282"/>
      <c r="Y637" s="282"/>
      <c r="Z637" s="282"/>
      <c r="AA637" s="283"/>
      <c r="AB637" s="284" t="n">
        <f aca="false">IFERROR(($J637*O637)*$L637, "")</f>
        <v>0</v>
      </c>
      <c r="AC637" s="284" t="n">
        <f aca="false">IFERROR(($J637*P637)*$L637, "")</f>
        <v>0</v>
      </c>
      <c r="AD637" s="284" t="n">
        <f aca="false">IFERROR(($J637*Q637)*$L637, "")</f>
        <v>0</v>
      </c>
      <c r="AE637" s="284" t="n">
        <f aca="false">IFERROR(($J637*R637)*$L637, "")</f>
        <v>0</v>
      </c>
      <c r="AF637" s="284" t="n">
        <f aca="false">IFERROR(($J637*S637)*$L637, "")</f>
        <v>0</v>
      </c>
      <c r="AG637" s="284" t="n">
        <f aca="false">IFERROR(($J637*T637)*$L637, "")</f>
        <v>0</v>
      </c>
      <c r="AH637" s="284" t="n">
        <f aca="false">IFERROR(($J637*U637)*$L637, "")</f>
        <v>0</v>
      </c>
      <c r="AI637" s="284" t="n">
        <f aca="false">IFERROR(($J637*V637)*$L637, "")</f>
        <v>0</v>
      </c>
      <c r="AJ637" s="284" t="n">
        <f aca="false">IFERROR(($J637*W637)*$L637, "")</f>
        <v>0</v>
      </c>
      <c r="AK637" s="284" t="n">
        <f aca="false">IFERROR(($J637*X637)*$L637, "")</f>
        <v>0</v>
      </c>
      <c r="AL637" s="284" t="n">
        <f aca="false">IFERROR(($J637*Y637)*$L637, "")</f>
        <v>0</v>
      </c>
      <c r="AM637" s="285" t="n">
        <f aca="false">IFERROR(($J637*Z637)*$L637, "")</f>
        <v>0</v>
      </c>
      <c r="AN637" s="286" t="n">
        <f aca="false">IFERROR(SUMIF($AB$4:$AM$4, "RDEC", AB637:AM637), "")</f>
        <v>0</v>
      </c>
      <c r="AO637" s="286" t="n">
        <f aca="false">IFERROR(SUMIF($AB$4:$AM$4, "SME", AB637:AM637), "")</f>
        <v>0</v>
      </c>
      <c r="AP637" s="286" t="n">
        <f aca="false">IFERROR(SUMIF($AB$4:$AM$4, "De Minimis", AB637:AM637), "")</f>
        <v>0</v>
      </c>
      <c r="AQ637" s="283"/>
      <c r="AR637" s="284" t="n">
        <f aca="false">IFERROR(($J637*O637)*$M637, "")</f>
        <v>0</v>
      </c>
      <c r="AS637" s="284" t="n">
        <f aca="false">IFERROR(($J637*P637)*$M637, "")</f>
        <v>0</v>
      </c>
      <c r="AT637" s="284" t="n">
        <f aca="false">IFERROR(($J637*Q637)*$M637, "")</f>
        <v>0</v>
      </c>
      <c r="AU637" s="284" t="n">
        <f aca="false">IFERROR(($J637*R637)*$M637, "")</f>
        <v>0</v>
      </c>
      <c r="AV637" s="284" t="n">
        <f aca="false">IFERROR(($J637*S637)*$M637, "")</f>
        <v>0</v>
      </c>
      <c r="AW637" s="284" t="n">
        <f aca="false">IFERROR(($J637*T637)*$M637, "")</f>
        <v>0</v>
      </c>
      <c r="AX637" s="284" t="n">
        <f aca="false">IFERROR(($J637*U637)*$M637, "")</f>
        <v>0</v>
      </c>
      <c r="AY637" s="284" t="n">
        <f aca="false">IFERROR(($J637*V637)*$M637, "")</f>
        <v>0</v>
      </c>
      <c r="AZ637" s="284" t="n">
        <f aca="false">IFERROR(($J637*W637)*$M637, "")</f>
        <v>0</v>
      </c>
      <c r="BA637" s="284" t="n">
        <f aca="false">IFERROR(($J637*X637)*$M637, "")</f>
        <v>0</v>
      </c>
      <c r="BB637" s="284" t="n">
        <f aca="false">IFERROR(($J637*Y637)*$M637, "")</f>
        <v>0</v>
      </c>
      <c r="BC637" s="285" t="n">
        <f aca="false">IFERROR(($J637*Z637)*$M637, "")</f>
        <v>0</v>
      </c>
      <c r="BD637" s="286" t="n">
        <f aca="false">IFERROR(SUMIF($AB$4:$AM$4, "RDEC", AR637:BC637), "")</f>
        <v>0</v>
      </c>
      <c r="BE637" s="286" t="n">
        <f aca="false">IFERROR(SUMIF($AB$4:$AM$4, "SME", AR637:BC637), "")</f>
        <v>0</v>
      </c>
      <c r="BF637" s="286" t="n">
        <f aca="false">IFERROR(SUMIF($AB$4:$AM$4, "De Minimis", AR637:BC637), "")</f>
        <v>0</v>
      </c>
      <c r="BG637" s="287"/>
      <c r="BH637" s="288" t="str">
        <f aca="false">IF((SUM(O637:Z637)&gt;1),"ERROR","")</f>
        <v/>
      </c>
      <c r="BI637" s="287"/>
      <c r="BJ637" s="18" t="str">
        <f aca="false">IF(C623&gt;0, C623, "")</f>
        <v/>
      </c>
      <c r="BL637" s="200"/>
      <c r="BM637" s="200"/>
      <c r="BN637" s="200"/>
    </row>
    <row r="638" customFormat="false" ht="15" hidden="false" customHeight="true" outlineLevel="0" collapsed="false">
      <c r="B638" s="275"/>
      <c r="D638" s="276" t="n">
        <f aca="false">D622</f>
        <v>45474</v>
      </c>
      <c r="E638" s="277" t="n">
        <v>0</v>
      </c>
      <c r="F638" s="277" t="n">
        <v>0</v>
      </c>
      <c r="G638" s="277" t="n">
        <v>0</v>
      </c>
      <c r="H638" s="277" t="n">
        <v>0</v>
      </c>
      <c r="I638" s="277" t="n">
        <v>0</v>
      </c>
      <c r="J638" s="278" t="n">
        <f aca="false">E638+H638+I638</f>
        <v>0</v>
      </c>
      <c r="K638" s="204"/>
      <c r="L638" s="279" t="n">
        <v>1</v>
      </c>
      <c r="M638" s="280" t="n">
        <f aca="false">1-L638</f>
        <v>0</v>
      </c>
      <c r="N638" s="281"/>
      <c r="O638" s="282"/>
      <c r="P638" s="282"/>
      <c r="Q638" s="282"/>
      <c r="R638" s="282"/>
      <c r="S638" s="282"/>
      <c r="T638" s="282"/>
      <c r="U638" s="282"/>
      <c r="V638" s="282"/>
      <c r="W638" s="282"/>
      <c r="X638" s="282"/>
      <c r="Y638" s="282"/>
      <c r="Z638" s="282"/>
      <c r="AA638" s="283"/>
      <c r="AB638" s="284" t="n">
        <f aca="false">IFERROR(($J638*O638)*$L638, "")</f>
        <v>0</v>
      </c>
      <c r="AC638" s="284" t="n">
        <f aca="false">IFERROR(($J638*P638)*$L638, "")</f>
        <v>0</v>
      </c>
      <c r="AD638" s="284" t="n">
        <f aca="false">IFERROR(($J638*Q638)*$L638, "")</f>
        <v>0</v>
      </c>
      <c r="AE638" s="284" t="n">
        <f aca="false">IFERROR(($J638*R638)*$L638, "")</f>
        <v>0</v>
      </c>
      <c r="AF638" s="284" t="n">
        <f aca="false">IFERROR(($J638*S638)*$L638, "")</f>
        <v>0</v>
      </c>
      <c r="AG638" s="284" t="n">
        <f aca="false">IFERROR(($J638*T638)*$L638, "")</f>
        <v>0</v>
      </c>
      <c r="AH638" s="284" t="n">
        <f aca="false">IFERROR(($J638*U638)*$L638, "")</f>
        <v>0</v>
      </c>
      <c r="AI638" s="284" t="n">
        <f aca="false">IFERROR(($J638*V638)*$L638, "")</f>
        <v>0</v>
      </c>
      <c r="AJ638" s="284" t="n">
        <f aca="false">IFERROR(($J638*W638)*$L638, "")</f>
        <v>0</v>
      </c>
      <c r="AK638" s="284" t="n">
        <f aca="false">IFERROR(($J638*X638)*$L638, "")</f>
        <v>0</v>
      </c>
      <c r="AL638" s="284" t="n">
        <f aca="false">IFERROR(($J638*Y638)*$L638, "")</f>
        <v>0</v>
      </c>
      <c r="AM638" s="285" t="n">
        <f aca="false">IFERROR(($J638*Z638)*$L638, "")</f>
        <v>0</v>
      </c>
      <c r="AN638" s="286" t="n">
        <f aca="false">IFERROR(SUMIF($AB$4:$AM$4, "RDEC", AB638:AM638), "")</f>
        <v>0</v>
      </c>
      <c r="AO638" s="286" t="n">
        <f aca="false">IFERROR(SUMIF($AB$4:$AM$4, "SME", AB638:AM638), "")</f>
        <v>0</v>
      </c>
      <c r="AP638" s="286" t="n">
        <f aca="false">IFERROR(SUMIF($AB$4:$AM$4, "De Minimis", AB638:AM638), "")</f>
        <v>0</v>
      </c>
      <c r="AQ638" s="283"/>
      <c r="AR638" s="284" t="n">
        <f aca="false">IFERROR(($J638*O638)*$M638, "")</f>
        <v>0</v>
      </c>
      <c r="AS638" s="284" t="n">
        <f aca="false">IFERROR(($J638*P638)*$M638, "")</f>
        <v>0</v>
      </c>
      <c r="AT638" s="284" t="n">
        <f aca="false">IFERROR(($J638*Q638)*$M638, "")</f>
        <v>0</v>
      </c>
      <c r="AU638" s="284" t="n">
        <f aca="false">IFERROR(($J638*R638)*$M638, "")</f>
        <v>0</v>
      </c>
      <c r="AV638" s="284" t="n">
        <f aca="false">IFERROR(($J638*S638)*$M638, "")</f>
        <v>0</v>
      </c>
      <c r="AW638" s="284" t="n">
        <f aca="false">IFERROR(($J638*T638)*$M638, "")</f>
        <v>0</v>
      </c>
      <c r="AX638" s="284" t="n">
        <f aca="false">IFERROR(($J638*U638)*$M638, "")</f>
        <v>0</v>
      </c>
      <c r="AY638" s="284" t="n">
        <f aca="false">IFERROR(($J638*V638)*$M638, "")</f>
        <v>0</v>
      </c>
      <c r="AZ638" s="284" t="n">
        <f aca="false">IFERROR(($J638*W638)*$M638, "")</f>
        <v>0</v>
      </c>
      <c r="BA638" s="284" t="n">
        <f aca="false">IFERROR(($J638*X638)*$M638, "")</f>
        <v>0</v>
      </c>
      <c r="BB638" s="284" t="n">
        <f aca="false">IFERROR(($J638*Y638)*$M638, "")</f>
        <v>0</v>
      </c>
      <c r="BC638" s="285" t="n">
        <f aca="false">IFERROR(($J638*Z638)*$M638, "")</f>
        <v>0</v>
      </c>
      <c r="BD638" s="286" t="n">
        <f aca="false">IFERROR(SUMIF($AB$4:$AM$4, "RDEC", AR638:BC638), "")</f>
        <v>0</v>
      </c>
      <c r="BE638" s="286" t="n">
        <f aca="false">IFERROR(SUMIF($AB$4:$AM$4, "SME", AR638:BC638), "")</f>
        <v>0</v>
      </c>
      <c r="BF638" s="286" t="n">
        <f aca="false">IFERROR(SUMIF($AB$4:$AM$4, "De Minimis", AR638:BC638), "")</f>
        <v>0</v>
      </c>
      <c r="BG638" s="287"/>
      <c r="BH638" s="288" t="str">
        <f aca="false">IF((SUM(O638:Z638)&gt;1),"ERROR","")</f>
        <v/>
      </c>
      <c r="BI638" s="287"/>
      <c r="BJ638" s="18" t="str">
        <f aca="false">IF(C624&gt;0, C624, "")</f>
        <v/>
      </c>
      <c r="BL638" s="200"/>
      <c r="BM638" s="200"/>
      <c r="BN638" s="200"/>
    </row>
    <row r="639" customFormat="false" ht="15" hidden="false" customHeight="true" outlineLevel="0" collapsed="false">
      <c r="B639" s="275"/>
      <c r="D639" s="276" t="n">
        <f aca="false">D623</f>
        <v>45505</v>
      </c>
      <c r="E639" s="277" t="n">
        <v>0</v>
      </c>
      <c r="F639" s="277" t="n">
        <v>0</v>
      </c>
      <c r="G639" s="277" t="n">
        <v>0</v>
      </c>
      <c r="H639" s="277" t="n">
        <v>0</v>
      </c>
      <c r="I639" s="277" t="n">
        <v>0</v>
      </c>
      <c r="J639" s="278" t="n">
        <f aca="false">E639+H639+I639</f>
        <v>0</v>
      </c>
      <c r="K639" s="204"/>
      <c r="L639" s="279" t="n">
        <v>1</v>
      </c>
      <c r="M639" s="280" t="n">
        <f aca="false">1-L639</f>
        <v>0</v>
      </c>
      <c r="N639" s="281"/>
      <c r="O639" s="282"/>
      <c r="P639" s="282"/>
      <c r="Q639" s="282"/>
      <c r="R639" s="282"/>
      <c r="S639" s="282"/>
      <c r="T639" s="282"/>
      <c r="U639" s="282"/>
      <c r="V639" s="282"/>
      <c r="W639" s="282"/>
      <c r="X639" s="282"/>
      <c r="Y639" s="282"/>
      <c r="Z639" s="282"/>
      <c r="AA639" s="283"/>
      <c r="AB639" s="284" t="n">
        <f aca="false">IFERROR(($J639*O639)*$L639, "")</f>
        <v>0</v>
      </c>
      <c r="AC639" s="284" t="n">
        <f aca="false">IFERROR(($J639*P639)*$L639, "")</f>
        <v>0</v>
      </c>
      <c r="AD639" s="284" t="n">
        <f aca="false">IFERROR(($J639*Q639)*$L639, "")</f>
        <v>0</v>
      </c>
      <c r="AE639" s="284" t="n">
        <f aca="false">IFERROR(($J639*R639)*$L639, "")</f>
        <v>0</v>
      </c>
      <c r="AF639" s="284" t="n">
        <f aca="false">IFERROR(($J639*S639)*$L639, "")</f>
        <v>0</v>
      </c>
      <c r="AG639" s="284" t="n">
        <f aca="false">IFERROR(($J639*T639)*$L639, "")</f>
        <v>0</v>
      </c>
      <c r="AH639" s="284" t="n">
        <f aca="false">IFERROR(($J639*U639)*$L639, "")</f>
        <v>0</v>
      </c>
      <c r="AI639" s="284" t="n">
        <f aca="false">IFERROR(($J639*V639)*$L639, "")</f>
        <v>0</v>
      </c>
      <c r="AJ639" s="284" t="n">
        <f aca="false">IFERROR(($J639*W639)*$L639, "")</f>
        <v>0</v>
      </c>
      <c r="AK639" s="284" t="n">
        <f aca="false">IFERROR(($J639*X639)*$L639, "")</f>
        <v>0</v>
      </c>
      <c r="AL639" s="284" t="n">
        <f aca="false">IFERROR(($J639*Y639)*$L639, "")</f>
        <v>0</v>
      </c>
      <c r="AM639" s="285" t="n">
        <f aca="false">IFERROR(($J639*Z639)*$L639, "")</f>
        <v>0</v>
      </c>
      <c r="AN639" s="286" t="n">
        <f aca="false">IFERROR(SUMIF($AB$4:$AM$4, "RDEC", AB639:AM639), "")</f>
        <v>0</v>
      </c>
      <c r="AO639" s="286" t="n">
        <f aca="false">IFERROR(SUMIF($AB$4:$AM$4, "SME", AB639:AM639), "")</f>
        <v>0</v>
      </c>
      <c r="AP639" s="286" t="n">
        <f aca="false">IFERROR(SUMIF($AB$4:$AM$4, "De Minimis", AB639:AM639), "")</f>
        <v>0</v>
      </c>
      <c r="AQ639" s="283"/>
      <c r="AR639" s="284" t="n">
        <f aca="false">IFERROR(($J639*O639)*$M639, "")</f>
        <v>0</v>
      </c>
      <c r="AS639" s="284" t="n">
        <f aca="false">IFERROR(($J639*P639)*$M639, "")</f>
        <v>0</v>
      </c>
      <c r="AT639" s="284" t="n">
        <f aca="false">IFERROR(($J639*Q639)*$M639, "")</f>
        <v>0</v>
      </c>
      <c r="AU639" s="284" t="n">
        <f aca="false">IFERROR(($J639*R639)*$M639, "")</f>
        <v>0</v>
      </c>
      <c r="AV639" s="284" t="n">
        <f aca="false">IFERROR(($J639*S639)*$M639, "")</f>
        <v>0</v>
      </c>
      <c r="AW639" s="284" t="n">
        <f aca="false">IFERROR(($J639*T639)*$M639, "")</f>
        <v>0</v>
      </c>
      <c r="AX639" s="284" t="n">
        <f aca="false">IFERROR(($J639*U639)*$M639, "")</f>
        <v>0</v>
      </c>
      <c r="AY639" s="284" t="n">
        <f aca="false">IFERROR(($J639*V639)*$M639, "")</f>
        <v>0</v>
      </c>
      <c r="AZ639" s="284" t="n">
        <f aca="false">IFERROR(($J639*W639)*$M639, "")</f>
        <v>0</v>
      </c>
      <c r="BA639" s="284" t="n">
        <f aca="false">IFERROR(($J639*X639)*$M639, "")</f>
        <v>0</v>
      </c>
      <c r="BB639" s="284" t="n">
        <f aca="false">IFERROR(($J639*Y639)*$M639, "")</f>
        <v>0</v>
      </c>
      <c r="BC639" s="285" t="n">
        <f aca="false">IFERROR(($J639*Z639)*$M639, "")</f>
        <v>0</v>
      </c>
      <c r="BD639" s="286" t="n">
        <f aca="false">IFERROR(SUMIF($AB$4:$AM$4, "RDEC", AR639:BC639), "")</f>
        <v>0</v>
      </c>
      <c r="BE639" s="286" t="n">
        <f aca="false">IFERROR(SUMIF($AB$4:$AM$4, "SME", AR639:BC639), "")</f>
        <v>0</v>
      </c>
      <c r="BF639" s="286" t="n">
        <f aca="false">IFERROR(SUMIF($AB$4:$AM$4, "De Minimis", AR639:BC639), "")</f>
        <v>0</v>
      </c>
      <c r="BG639" s="287"/>
      <c r="BH639" s="288" t="str">
        <f aca="false">IF((SUM(O639:Z639)&gt;1),"ERROR","")</f>
        <v/>
      </c>
      <c r="BI639" s="287"/>
      <c r="BJ639" s="18" t="str">
        <f aca="false">IF(C625&gt;0, C625, "")</f>
        <v/>
      </c>
      <c r="BL639" s="200"/>
      <c r="BM639" s="200"/>
      <c r="BN639" s="200"/>
    </row>
    <row r="640" customFormat="false" ht="15" hidden="false" customHeight="true" outlineLevel="0" collapsed="false">
      <c r="B640" s="275"/>
      <c r="D640" s="276" t="n">
        <f aca="false">D624</f>
        <v>45536</v>
      </c>
      <c r="E640" s="277" t="n">
        <v>0</v>
      </c>
      <c r="F640" s="277" t="n">
        <v>0</v>
      </c>
      <c r="G640" s="277" t="n">
        <v>0</v>
      </c>
      <c r="H640" s="277" t="n">
        <v>0</v>
      </c>
      <c r="I640" s="277" t="n">
        <v>0</v>
      </c>
      <c r="J640" s="278" t="n">
        <f aca="false">E640+H640+I640</f>
        <v>0</v>
      </c>
      <c r="K640" s="204"/>
      <c r="L640" s="279" t="n">
        <v>1</v>
      </c>
      <c r="M640" s="280" t="n">
        <f aca="false">1-L640</f>
        <v>0</v>
      </c>
      <c r="N640" s="281"/>
      <c r="O640" s="282"/>
      <c r="P640" s="282"/>
      <c r="Q640" s="282"/>
      <c r="R640" s="282"/>
      <c r="S640" s="282"/>
      <c r="T640" s="282"/>
      <c r="U640" s="282"/>
      <c r="V640" s="282"/>
      <c r="W640" s="282"/>
      <c r="X640" s="282"/>
      <c r="Y640" s="282"/>
      <c r="Z640" s="282"/>
      <c r="AA640" s="283"/>
      <c r="AB640" s="284" t="n">
        <f aca="false">IFERROR(($J640*O640)*$L640, "")</f>
        <v>0</v>
      </c>
      <c r="AC640" s="284" t="n">
        <f aca="false">IFERROR(($J640*P640)*$L640, "")</f>
        <v>0</v>
      </c>
      <c r="AD640" s="284" t="n">
        <f aca="false">IFERROR(($J640*Q640)*$L640, "")</f>
        <v>0</v>
      </c>
      <c r="AE640" s="284" t="n">
        <f aca="false">IFERROR(($J640*R640)*$L640, "")</f>
        <v>0</v>
      </c>
      <c r="AF640" s="284" t="n">
        <f aca="false">IFERROR(($J640*S640)*$L640, "")</f>
        <v>0</v>
      </c>
      <c r="AG640" s="284" t="n">
        <f aca="false">IFERROR(($J640*T640)*$L640, "")</f>
        <v>0</v>
      </c>
      <c r="AH640" s="284" t="n">
        <f aca="false">IFERROR(($J640*U640)*$L640, "")</f>
        <v>0</v>
      </c>
      <c r="AI640" s="284" t="n">
        <f aca="false">IFERROR(($J640*V640)*$L640, "")</f>
        <v>0</v>
      </c>
      <c r="AJ640" s="284" t="n">
        <f aca="false">IFERROR(($J640*W640)*$L640, "")</f>
        <v>0</v>
      </c>
      <c r="AK640" s="284" t="n">
        <f aca="false">IFERROR(($J640*X640)*$L640, "")</f>
        <v>0</v>
      </c>
      <c r="AL640" s="284" t="n">
        <f aca="false">IFERROR(($J640*Y640)*$L640, "")</f>
        <v>0</v>
      </c>
      <c r="AM640" s="285" t="n">
        <f aca="false">IFERROR(($J640*Z640)*$L640, "")</f>
        <v>0</v>
      </c>
      <c r="AN640" s="286" t="n">
        <f aca="false">IFERROR(SUMIF($AB$4:$AM$4, "RDEC", AB640:AM640), "")</f>
        <v>0</v>
      </c>
      <c r="AO640" s="286" t="n">
        <f aca="false">IFERROR(SUMIF($AB$4:$AM$4, "SME", AB640:AM640), "")</f>
        <v>0</v>
      </c>
      <c r="AP640" s="286" t="n">
        <f aca="false">IFERROR(SUMIF($AB$4:$AM$4, "De Minimis", AB640:AM640), "")</f>
        <v>0</v>
      </c>
      <c r="AQ640" s="283"/>
      <c r="AR640" s="284" t="n">
        <f aca="false">IFERROR(($J640*O640)*$M640, "")</f>
        <v>0</v>
      </c>
      <c r="AS640" s="284" t="n">
        <f aca="false">IFERROR(($J640*P640)*$M640, "")</f>
        <v>0</v>
      </c>
      <c r="AT640" s="284" t="n">
        <f aca="false">IFERROR(($J640*Q640)*$M640, "")</f>
        <v>0</v>
      </c>
      <c r="AU640" s="284" t="n">
        <f aca="false">IFERROR(($J640*R640)*$M640, "")</f>
        <v>0</v>
      </c>
      <c r="AV640" s="284" t="n">
        <f aca="false">IFERROR(($J640*S640)*$M640, "")</f>
        <v>0</v>
      </c>
      <c r="AW640" s="284" t="n">
        <f aca="false">IFERROR(($J640*T640)*$M640, "")</f>
        <v>0</v>
      </c>
      <c r="AX640" s="284" t="n">
        <f aca="false">IFERROR(($J640*U640)*$M640, "")</f>
        <v>0</v>
      </c>
      <c r="AY640" s="284" t="n">
        <f aca="false">IFERROR(($J640*V640)*$M640, "")</f>
        <v>0</v>
      </c>
      <c r="AZ640" s="284" t="n">
        <f aca="false">IFERROR(($J640*W640)*$M640, "")</f>
        <v>0</v>
      </c>
      <c r="BA640" s="284" t="n">
        <f aca="false">IFERROR(($J640*X640)*$M640, "")</f>
        <v>0</v>
      </c>
      <c r="BB640" s="284" t="n">
        <f aca="false">IFERROR(($J640*Y640)*$M640, "")</f>
        <v>0</v>
      </c>
      <c r="BC640" s="285" t="n">
        <f aca="false">IFERROR(($J640*Z640)*$M640, "")</f>
        <v>0</v>
      </c>
      <c r="BD640" s="286" t="n">
        <f aca="false">IFERROR(SUMIF($AB$4:$AM$4, "RDEC", AR640:BC640), "")</f>
        <v>0</v>
      </c>
      <c r="BE640" s="286" t="n">
        <f aca="false">IFERROR(SUMIF($AB$4:$AM$4, "SME", AR640:BC640), "")</f>
        <v>0</v>
      </c>
      <c r="BF640" s="286" t="n">
        <f aca="false">IFERROR(SUMIF($AB$4:$AM$4, "De Minimis", AR640:BC640), "")</f>
        <v>0</v>
      </c>
      <c r="BG640" s="287"/>
      <c r="BH640" s="288" t="str">
        <f aca="false">IF((SUM(O640:Z640)&gt;1),"ERROR","")</f>
        <v/>
      </c>
      <c r="BI640" s="287"/>
      <c r="BJ640" s="18" t="str">
        <f aca="false">IF(C626&gt;0, C626, "")</f>
        <v/>
      </c>
      <c r="BL640" s="200"/>
      <c r="BM640" s="200"/>
      <c r="BN640" s="200"/>
    </row>
    <row r="641" customFormat="false" ht="15" hidden="false" customHeight="true" outlineLevel="0" collapsed="false">
      <c r="B641" s="275"/>
      <c r="D641" s="276" t="n">
        <f aca="false">D625</f>
        <v>45566</v>
      </c>
      <c r="E641" s="277" t="n">
        <v>0</v>
      </c>
      <c r="F641" s="277" t="n">
        <v>0</v>
      </c>
      <c r="G641" s="277" t="n">
        <v>0</v>
      </c>
      <c r="H641" s="277" t="n">
        <v>0</v>
      </c>
      <c r="I641" s="277" t="n">
        <v>0</v>
      </c>
      <c r="J641" s="278" t="n">
        <f aca="false">E641+H641+I641</f>
        <v>0</v>
      </c>
      <c r="K641" s="204"/>
      <c r="L641" s="279" t="n">
        <v>1</v>
      </c>
      <c r="M641" s="280" t="n">
        <f aca="false">1-L641</f>
        <v>0</v>
      </c>
      <c r="N641" s="281"/>
      <c r="O641" s="282"/>
      <c r="P641" s="282"/>
      <c r="Q641" s="282"/>
      <c r="R641" s="282"/>
      <c r="S641" s="282"/>
      <c r="T641" s="282"/>
      <c r="U641" s="282"/>
      <c r="V641" s="282"/>
      <c r="W641" s="282"/>
      <c r="X641" s="282"/>
      <c r="Y641" s="282"/>
      <c r="Z641" s="282"/>
      <c r="AA641" s="283"/>
      <c r="AB641" s="284" t="n">
        <f aca="false">IFERROR(($J641*O641)*$L641, "")</f>
        <v>0</v>
      </c>
      <c r="AC641" s="284" t="n">
        <f aca="false">IFERROR(($J641*P641)*$L641, "")</f>
        <v>0</v>
      </c>
      <c r="AD641" s="284" t="n">
        <f aca="false">IFERROR(($J641*Q641)*$L641, "")</f>
        <v>0</v>
      </c>
      <c r="AE641" s="284" t="n">
        <f aca="false">IFERROR(($J641*R641)*$L641, "")</f>
        <v>0</v>
      </c>
      <c r="AF641" s="284" t="n">
        <f aca="false">IFERROR(($J641*S641)*$L641, "")</f>
        <v>0</v>
      </c>
      <c r="AG641" s="284" t="n">
        <f aca="false">IFERROR(($J641*T641)*$L641, "")</f>
        <v>0</v>
      </c>
      <c r="AH641" s="284" t="n">
        <f aca="false">IFERROR(($J641*U641)*$L641, "")</f>
        <v>0</v>
      </c>
      <c r="AI641" s="284" t="n">
        <f aca="false">IFERROR(($J641*V641)*$L641, "")</f>
        <v>0</v>
      </c>
      <c r="AJ641" s="284" t="n">
        <f aca="false">IFERROR(($J641*W641)*$L641, "")</f>
        <v>0</v>
      </c>
      <c r="AK641" s="284" t="n">
        <f aca="false">IFERROR(($J641*X641)*$L641, "")</f>
        <v>0</v>
      </c>
      <c r="AL641" s="284" t="n">
        <f aca="false">IFERROR(($J641*Y641)*$L641, "")</f>
        <v>0</v>
      </c>
      <c r="AM641" s="285" t="n">
        <f aca="false">IFERROR(($J641*Z641)*$L641, "")</f>
        <v>0</v>
      </c>
      <c r="AN641" s="286" t="n">
        <f aca="false">IFERROR(SUMIF($AB$4:$AM$4, "RDEC", AB641:AM641), "")</f>
        <v>0</v>
      </c>
      <c r="AO641" s="286" t="n">
        <f aca="false">IFERROR(SUMIF($AB$4:$AM$4, "SME", AB641:AM641), "")</f>
        <v>0</v>
      </c>
      <c r="AP641" s="286" t="n">
        <f aca="false">IFERROR(SUMIF($AB$4:$AM$4, "De Minimis", AB641:AM641), "")</f>
        <v>0</v>
      </c>
      <c r="AQ641" s="283"/>
      <c r="AR641" s="284" t="n">
        <f aca="false">IFERROR(($J641*O641)*$M641, "")</f>
        <v>0</v>
      </c>
      <c r="AS641" s="284" t="n">
        <f aca="false">IFERROR(($J641*P641)*$M641, "")</f>
        <v>0</v>
      </c>
      <c r="AT641" s="284" t="n">
        <f aca="false">IFERROR(($J641*Q641)*$M641, "")</f>
        <v>0</v>
      </c>
      <c r="AU641" s="284" t="n">
        <f aca="false">IFERROR(($J641*R641)*$M641, "")</f>
        <v>0</v>
      </c>
      <c r="AV641" s="284" t="n">
        <f aca="false">IFERROR(($J641*S641)*$M641, "")</f>
        <v>0</v>
      </c>
      <c r="AW641" s="284" t="n">
        <f aca="false">IFERROR(($J641*T641)*$M641, "")</f>
        <v>0</v>
      </c>
      <c r="AX641" s="284" t="n">
        <f aca="false">IFERROR(($J641*U641)*$M641, "")</f>
        <v>0</v>
      </c>
      <c r="AY641" s="284" t="n">
        <f aca="false">IFERROR(($J641*V641)*$M641, "")</f>
        <v>0</v>
      </c>
      <c r="AZ641" s="284" t="n">
        <f aca="false">IFERROR(($J641*W641)*$M641, "")</f>
        <v>0</v>
      </c>
      <c r="BA641" s="284" t="n">
        <f aca="false">IFERROR(($J641*X641)*$M641, "")</f>
        <v>0</v>
      </c>
      <c r="BB641" s="284" t="n">
        <f aca="false">IFERROR(($J641*Y641)*$M641, "")</f>
        <v>0</v>
      </c>
      <c r="BC641" s="285" t="n">
        <f aca="false">IFERROR(($J641*Z641)*$M641, "")</f>
        <v>0</v>
      </c>
      <c r="BD641" s="286" t="n">
        <f aca="false">IFERROR(SUMIF($AB$4:$AM$4, "RDEC", AR641:BC641), "")</f>
        <v>0</v>
      </c>
      <c r="BE641" s="286" t="n">
        <f aca="false">IFERROR(SUMIF($AB$4:$AM$4, "SME", AR641:BC641), "")</f>
        <v>0</v>
      </c>
      <c r="BF641" s="286" t="n">
        <f aca="false">IFERROR(SUMIF($AB$4:$AM$4, "De Minimis", AR641:BC641), "")</f>
        <v>0</v>
      </c>
      <c r="BG641" s="287"/>
      <c r="BH641" s="288" t="str">
        <f aca="false">IF((SUM(O641:Z641)&gt;1),"ERROR","")</f>
        <v/>
      </c>
      <c r="BI641" s="287"/>
      <c r="BJ641" s="18" t="str">
        <f aca="false">IF(C627&gt;0, C627, "")</f>
        <v/>
      </c>
      <c r="BL641" s="200"/>
      <c r="BM641" s="200"/>
      <c r="BN641" s="200"/>
    </row>
    <row r="642" customFormat="false" ht="15" hidden="false" customHeight="true" outlineLevel="0" collapsed="false">
      <c r="B642" s="275"/>
      <c r="D642" s="276" t="n">
        <f aca="false">D626</f>
        <v>45597</v>
      </c>
      <c r="E642" s="277" t="n">
        <v>0</v>
      </c>
      <c r="F642" s="277" t="n">
        <v>0</v>
      </c>
      <c r="G642" s="277" t="n">
        <v>0</v>
      </c>
      <c r="H642" s="277" t="n">
        <v>0</v>
      </c>
      <c r="I642" s="277" t="n">
        <v>0</v>
      </c>
      <c r="J642" s="278" t="n">
        <f aca="false">E642+H642+I642</f>
        <v>0</v>
      </c>
      <c r="K642" s="204"/>
      <c r="L642" s="279" t="n">
        <v>1</v>
      </c>
      <c r="M642" s="280" t="n">
        <f aca="false">1-L642</f>
        <v>0</v>
      </c>
      <c r="N642" s="281"/>
      <c r="O642" s="282"/>
      <c r="P642" s="282"/>
      <c r="Q642" s="282"/>
      <c r="R642" s="282"/>
      <c r="S642" s="282"/>
      <c r="T642" s="282"/>
      <c r="U642" s="282"/>
      <c r="V642" s="282"/>
      <c r="W642" s="282"/>
      <c r="X642" s="282"/>
      <c r="Y642" s="282"/>
      <c r="Z642" s="282"/>
      <c r="AA642" s="283"/>
      <c r="AB642" s="284" t="n">
        <f aca="false">IFERROR(($J642*O642)*$L642, "")</f>
        <v>0</v>
      </c>
      <c r="AC642" s="284" t="n">
        <f aca="false">IFERROR(($J642*P642)*$L642, "")</f>
        <v>0</v>
      </c>
      <c r="AD642" s="284" t="n">
        <f aca="false">IFERROR(($J642*Q642)*$L642, "")</f>
        <v>0</v>
      </c>
      <c r="AE642" s="284" t="n">
        <f aca="false">IFERROR(($J642*R642)*$L642, "")</f>
        <v>0</v>
      </c>
      <c r="AF642" s="284" t="n">
        <f aca="false">IFERROR(($J642*S642)*$L642, "")</f>
        <v>0</v>
      </c>
      <c r="AG642" s="284" t="n">
        <f aca="false">IFERROR(($J642*T642)*$L642, "")</f>
        <v>0</v>
      </c>
      <c r="AH642" s="284" t="n">
        <f aca="false">IFERROR(($J642*U642)*$L642, "")</f>
        <v>0</v>
      </c>
      <c r="AI642" s="284" t="n">
        <f aca="false">IFERROR(($J642*V642)*$L642, "")</f>
        <v>0</v>
      </c>
      <c r="AJ642" s="284" t="n">
        <f aca="false">IFERROR(($J642*W642)*$L642, "")</f>
        <v>0</v>
      </c>
      <c r="AK642" s="284" t="n">
        <f aca="false">IFERROR(($J642*X642)*$L642, "")</f>
        <v>0</v>
      </c>
      <c r="AL642" s="284" t="n">
        <f aca="false">IFERROR(($J642*Y642)*$L642, "")</f>
        <v>0</v>
      </c>
      <c r="AM642" s="285" t="n">
        <f aca="false">IFERROR(($J642*Z642)*$L642, "")</f>
        <v>0</v>
      </c>
      <c r="AN642" s="286" t="n">
        <f aca="false">IFERROR(SUMIF($AB$4:$AM$4, "RDEC", AB642:AM642), "")</f>
        <v>0</v>
      </c>
      <c r="AO642" s="286" t="n">
        <f aca="false">IFERROR(SUMIF($AB$4:$AM$4, "SME", AB642:AM642), "")</f>
        <v>0</v>
      </c>
      <c r="AP642" s="286" t="n">
        <f aca="false">IFERROR(SUMIF($AB$4:$AM$4, "De Minimis", AB642:AM642), "")</f>
        <v>0</v>
      </c>
      <c r="AQ642" s="283"/>
      <c r="AR642" s="284" t="n">
        <f aca="false">IFERROR(($J642*O642)*$M642, "")</f>
        <v>0</v>
      </c>
      <c r="AS642" s="284" t="n">
        <f aca="false">IFERROR(($J642*P642)*$M642, "")</f>
        <v>0</v>
      </c>
      <c r="AT642" s="284" t="n">
        <f aca="false">IFERROR(($J642*Q642)*$M642, "")</f>
        <v>0</v>
      </c>
      <c r="AU642" s="284" t="n">
        <f aca="false">IFERROR(($J642*R642)*$M642, "")</f>
        <v>0</v>
      </c>
      <c r="AV642" s="284" t="n">
        <f aca="false">IFERROR(($J642*S642)*$M642, "")</f>
        <v>0</v>
      </c>
      <c r="AW642" s="284" t="n">
        <f aca="false">IFERROR(($J642*T642)*$M642, "")</f>
        <v>0</v>
      </c>
      <c r="AX642" s="284" t="n">
        <f aca="false">IFERROR(($J642*U642)*$M642, "")</f>
        <v>0</v>
      </c>
      <c r="AY642" s="284" t="n">
        <f aca="false">IFERROR(($J642*V642)*$M642, "")</f>
        <v>0</v>
      </c>
      <c r="AZ642" s="284" t="n">
        <f aca="false">IFERROR(($J642*W642)*$M642, "")</f>
        <v>0</v>
      </c>
      <c r="BA642" s="284" t="n">
        <f aca="false">IFERROR(($J642*X642)*$M642, "")</f>
        <v>0</v>
      </c>
      <c r="BB642" s="284" t="n">
        <f aca="false">IFERROR(($J642*Y642)*$M642, "")</f>
        <v>0</v>
      </c>
      <c r="BC642" s="285" t="n">
        <f aca="false">IFERROR(($J642*Z642)*$M642, "")</f>
        <v>0</v>
      </c>
      <c r="BD642" s="286" t="n">
        <f aca="false">IFERROR(SUMIF($AB$4:$AM$4, "RDEC", AR642:BC642), "")</f>
        <v>0</v>
      </c>
      <c r="BE642" s="286" t="n">
        <f aca="false">IFERROR(SUMIF($AB$4:$AM$4, "SME", AR642:BC642), "")</f>
        <v>0</v>
      </c>
      <c r="BF642" s="286" t="n">
        <f aca="false">IFERROR(SUMIF($AB$4:$AM$4, "De Minimis", AR642:BC642), "")</f>
        <v>0</v>
      </c>
      <c r="BG642" s="287"/>
      <c r="BH642" s="288" t="str">
        <f aca="false">IF((SUM(O642:Z642)&gt;1),"ERROR","")</f>
        <v/>
      </c>
      <c r="BI642" s="287"/>
      <c r="BJ642" s="18" t="str">
        <f aca="false">IF(C628&gt;0, C628, "")</f>
        <v/>
      </c>
      <c r="BL642" s="200"/>
      <c r="BM642" s="200"/>
      <c r="BN642" s="200"/>
    </row>
    <row r="643" customFormat="false" ht="15" hidden="false" customHeight="true" outlineLevel="0" collapsed="false">
      <c r="B643" s="275"/>
      <c r="D643" s="276" t="n">
        <f aca="false">D627</f>
        <v>45627</v>
      </c>
      <c r="E643" s="277" t="n">
        <v>0</v>
      </c>
      <c r="F643" s="277" t="n">
        <v>0</v>
      </c>
      <c r="G643" s="277" t="n">
        <v>0</v>
      </c>
      <c r="H643" s="277" t="n">
        <v>0</v>
      </c>
      <c r="I643" s="277" t="n">
        <v>0</v>
      </c>
      <c r="J643" s="278" t="n">
        <f aca="false">E643+H643+I643</f>
        <v>0</v>
      </c>
      <c r="K643" s="204"/>
      <c r="L643" s="289" t="n">
        <v>1</v>
      </c>
      <c r="M643" s="290" t="n">
        <f aca="false">1-L643</f>
        <v>0</v>
      </c>
      <c r="N643" s="281"/>
      <c r="O643" s="291"/>
      <c r="P643" s="291"/>
      <c r="Q643" s="291"/>
      <c r="R643" s="291"/>
      <c r="S643" s="291"/>
      <c r="T643" s="291"/>
      <c r="U643" s="291"/>
      <c r="V643" s="291"/>
      <c r="W643" s="291"/>
      <c r="X643" s="291"/>
      <c r="Y643" s="291"/>
      <c r="Z643" s="291"/>
      <c r="AA643" s="283"/>
      <c r="AB643" s="292" t="n">
        <f aca="false">IFERROR(($J643*O643)*$L643, "")</f>
        <v>0</v>
      </c>
      <c r="AC643" s="292" t="n">
        <f aca="false">IFERROR(($J643*P643)*$L643, "")</f>
        <v>0</v>
      </c>
      <c r="AD643" s="292" t="n">
        <f aca="false">IFERROR(($J643*Q643)*$L643, "")</f>
        <v>0</v>
      </c>
      <c r="AE643" s="292" t="n">
        <f aca="false">IFERROR(($J643*R643)*$L643, "")</f>
        <v>0</v>
      </c>
      <c r="AF643" s="292" t="n">
        <f aca="false">IFERROR(($J643*S643)*$L643, "")</f>
        <v>0</v>
      </c>
      <c r="AG643" s="292" t="n">
        <f aca="false">IFERROR(($J643*T643)*$L643, "")</f>
        <v>0</v>
      </c>
      <c r="AH643" s="292" t="n">
        <f aca="false">IFERROR(($J643*U643)*$L643, "")</f>
        <v>0</v>
      </c>
      <c r="AI643" s="292" t="n">
        <f aca="false">IFERROR(($J643*V643)*$L643, "")</f>
        <v>0</v>
      </c>
      <c r="AJ643" s="292" t="n">
        <f aca="false">IFERROR(($J643*W643)*$L643, "")</f>
        <v>0</v>
      </c>
      <c r="AK643" s="292" t="n">
        <f aca="false">IFERROR(($J643*X643)*$L643, "")</f>
        <v>0</v>
      </c>
      <c r="AL643" s="292" t="n">
        <f aca="false">IFERROR(($J643*Y643)*$L643, "")</f>
        <v>0</v>
      </c>
      <c r="AM643" s="293" t="n">
        <f aca="false">IFERROR(($J643*Z643)*$L643, "")</f>
        <v>0</v>
      </c>
      <c r="AN643" s="294" t="n">
        <f aca="false">IFERROR(SUMIF($AB$4:$AM$4, "RDEC", AB643:AM643), "")</f>
        <v>0</v>
      </c>
      <c r="AO643" s="294" t="n">
        <f aca="false">IFERROR(SUMIF($AB$4:$AM$4, "SME", AB643:AM643), "")</f>
        <v>0</v>
      </c>
      <c r="AP643" s="294" t="n">
        <f aca="false">IFERROR(SUMIF($AB$4:$AM$4, "De Minimis", AB643:AM643), "")</f>
        <v>0</v>
      </c>
      <c r="AQ643" s="283"/>
      <c r="AR643" s="292" t="n">
        <f aca="false">IFERROR(($J643*O643)*$M643, "")</f>
        <v>0</v>
      </c>
      <c r="AS643" s="292" t="n">
        <f aca="false">IFERROR(($J643*P643)*$M643, "")</f>
        <v>0</v>
      </c>
      <c r="AT643" s="292" t="n">
        <f aca="false">IFERROR(($J643*Q643)*$M643, "")</f>
        <v>0</v>
      </c>
      <c r="AU643" s="292" t="n">
        <f aca="false">IFERROR(($J643*R643)*$M643, "")</f>
        <v>0</v>
      </c>
      <c r="AV643" s="292" t="n">
        <f aca="false">IFERROR(($J643*S643)*$M643, "")</f>
        <v>0</v>
      </c>
      <c r="AW643" s="292" t="n">
        <f aca="false">IFERROR(($J643*T643)*$M643, "")</f>
        <v>0</v>
      </c>
      <c r="AX643" s="292" t="n">
        <f aca="false">IFERROR(($J643*U643)*$M643, "")</f>
        <v>0</v>
      </c>
      <c r="AY643" s="292" t="n">
        <f aca="false">IFERROR(($J643*V643)*$M643, "")</f>
        <v>0</v>
      </c>
      <c r="AZ643" s="292" t="n">
        <f aca="false">IFERROR(($J643*W643)*$M643, "")</f>
        <v>0</v>
      </c>
      <c r="BA643" s="292" t="n">
        <f aca="false">IFERROR(($J643*X643)*$M643, "")</f>
        <v>0</v>
      </c>
      <c r="BB643" s="292" t="n">
        <f aca="false">IFERROR(($J643*Y643)*$M643, "")</f>
        <v>0</v>
      </c>
      <c r="BC643" s="293" t="n">
        <f aca="false">IFERROR(($J643*Z643)*$M643, "")</f>
        <v>0</v>
      </c>
      <c r="BD643" s="294" t="n">
        <f aca="false">IFERROR(SUMIF($AB$4:$AM$4, "RDEC", AR643:BC643), "")</f>
        <v>0</v>
      </c>
      <c r="BE643" s="294" t="n">
        <f aca="false">IFERROR(SUMIF($AB$4:$AM$4, "SME", AR643:BC643), "")</f>
        <v>0</v>
      </c>
      <c r="BF643" s="294" t="n">
        <f aca="false">IFERROR(SUMIF($AB$4:$AM$4, "De Minimis", AR643:BC643), "")</f>
        <v>0</v>
      </c>
      <c r="BG643" s="287"/>
      <c r="BH643" s="295" t="str">
        <f aca="false">IF((SUM(O643:Z643)&gt;1),"ERROR","")</f>
        <v/>
      </c>
      <c r="BI643" s="287"/>
      <c r="BJ643" s="18" t="str">
        <f aca="false">IF(C629&gt;0, C629, "")</f>
        <v/>
      </c>
      <c r="BL643" s="200"/>
      <c r="BM643" s="200"/>
      <c r="BN643" s="200"/>
    </row>
    <row r="644" customFormat="false" ht="15" hidden="false" customHeight="true" outlineLevel="0" collapsed="false">
      <c r="B644" s="296"/>
      <c r="D644" s="297" t="s">
        <v>82</v>
      </c>
      <c r="E644" s="298" t="n">
        <f aca="false">SUM(E632:E643)</f>
        <v>0</v>
      </c>
      <c r="F644" s="298" t="n">
        <f aca="false">SUM(F632:F643)</f>
        <v>0</v>
      </c>
      <c r="G644" s="298" t="n">
        <f aca="false">SUM(G632:G643)</f>
        <v>0</v>
      </c>
      <c r="H644" s="298" t="n">
        <f aca="false">SUM(H632:H643)</f>
        <v>0</v>
      </c>
      <c r="I644" s="298" t="n">
        <f aca="false">SUM(I632:I643)</f>
        <v>0</v>
      </c>
      <c r="J644" s="299" t="n">
        <f aca="false">SUM(J632:J643)</f>
        <v>0</v>
      </c>
      <c r="K644" s="300"/>
      <c r="L644" s="301" t="n">
        <f aca="false">AVERAGE(L632:L643)</f>
        <v>1</v>
      </c>
      <c r="M644" s="301" t="n">
        <f aca="false">AVERAGE(M632:M643)</f>
        <v>0</v>
      </c>
      <c r="N644" s="302"/>
      <c r="O644" s="290" t="n">
        <f aca="false">IF(SUM(O632:O643)&gt;0,((AB644+AR644)/J644),0)</f>
        <v>0</v>
      </c>
      <c r="P644" s="290" t="n">
        <f aca="false">IF(SUM(P632:P643)&gt;0,((AC644+AS644)/J644),0)</f>
        <v>0</v>
      </c>
      <c r="Q644" s="290" t="n">
        <f aca="false">IF(SUM(Q632:Q643)&gt;0,((AD644+AT644)/J644),0)</f>
        <v>0</v>
      </c>
      <c r="R644" s="290" t="n">
        <f aca="false">IF(SUM(R632:R643)&gt;0,((AE644+AU644)/J644),0)</f>
        <v>0</v>
      </c>
      <c r="S644" s="290" t="n">
        <f aca="false">IF(SUM(S632:S643)&gt;0,((AF644+AV644)/J644),0)</f>
        <v>0</v>
      </c>
      <c r="T644" s="290" t="n">
        <f aca="false">IF(SUM(T632:T643)&gt;0,((AG644+AW644)/J644),0)</f>
        <v>0</v>
      </c>
      <c r="U644" s="290" t="n">
        <f aca="false">IF(SUM(U632:U643)&gt;0,((AH644+AX644)/J644),0)</f>
        <v>0</v>
      </c>
      <c r="V644" s="290" t="n">
        <f aca="false">IF(SUM(V632:V643)&gt;0,((AI644+AY644)/J644),0)</f>
        <v>0</v>
      </c>
      <c r="W644" s="290" t="n">
        <f aca="false">IF(SUM(W632:W643)&gt;0,((AJ644+AZ644)/J644),0)</f>
        <v>0</v>
      </c>
      <c r="X644" s="290" t="n">
        <f aca="false">IF(SUM(X632:X643)&gt;0,((AK644+BA644)/J644),0)</f>
        <v>0</v>
      </c>
      <c r="Y644" s="290" t="n">
        <f aca="false">IF(SUM(Y632:Y643)&gt;0,((AL644+BB644)/J644),0)</f>
        <v>0</v>
      </c>
      <c r="Z644" s="290" t="n">
        <f aca="false">IF(SUM(Z632:Z643)&gt;0,((AM644+BC644)/J644),0)</f>
        <v>0</v>
      </c>
      <c r="AA644" s="303"/>
      <c r="AB644" s="292" t="n">
        <f aca="false">SUM(AB632:AB643)</f>
        <v>0</v>
      </c>
      <c r="AC644" s="304" t="n">
        <f aca="false">SUM(AC632:AC643)</f>
        <v>0</v>
      </c>
      <c r="AD644" s="304" t="n">
        <f aca="false">SUM(AD632:AD643)</f>
        <v>0</v>
      </c>
      <c r="AE644" s="304" t="n">
        <f aca="false">SUM(AE632:AE643)</f>
        <v>0</v>
      </c>
      <c r="AF644" s="304" t="n">
        <f aca="false">SUM(AF632:AF643)</f>
        <v>0</v>
      </c>
      <c r="AG644" s="304" t="n">
        <f aca="false">SUM(AG632:AG643)</f>
        <v>0</v>
      </c>
      <c r="AH644" s="304" t="n">
        <f aca="false">SUM(AH632:AH643)</f>
        <v>0</v>
      </c>
      <c r="AI644" s="304" t="n">
        <f aca="false">SUM(AI632:AI643)</f>
        <v>0</v>
      </c>
      <c r="AJ644" s="304" t="n">
        <f aca="false">SUM(AJ632:AJ643)</f>
        <v>0</v>
      </c>
      <c r="AK644" s="304" t="n">
        <f aca="false">SUM(AK632:AK643)</f>
        <v>0</v>
      </c>
      <c r="AL644" s="304" t="n">
        <f aca="false">SUM(AL632:AL643)</f>
        <v>0</v>
      </c>
      <c r="AM644" s="304" t="n">
        <f aca="false">SUM(AM632:AM643)</f>
        <v>0</v>
      </c>
      <c r="AN644" s="305" t="n">
        <f aca="false">SUM(AN632:AN643)</f>
        <v>0</v>
      </c>
      <c r="AO644" s="305" t="n">
        <f aca="false">SUM(AO632:AO643)</f>
        <v>0</v>
      </c>
      <c r="AP644" s="305" t="n">
        <f aca="false">SUM(AP632:AP643)</f>
        <v>0</v>
      </c>
      <c r="AQ644" s="303"/>
      <c r="AR644" s="292" t="n">
        <f aca="false">SUM(AR632:AR643)</f>
        <v>0</v>
      </c>
      <c r="AS644" s="304" t="n">
        <f aca="false">SUM(AS632:AS643)</f>
        <v>0</v>
      </c>
      <c r="AT644" s="304" t="n">
        <f aca="false">SUM(AT632:AT643)</f>
        <v>0</v>
      </c>
      <c r="AU644" s="304" t="n">
        <f aca="false">SUM(AU632:AU643)</f>
        <v>0</v>
      </c>
      <c r="AV644" s="304" t="n">
        <f aca="false">SUM(AV632:AV643)</f>
        <v>0</v>
      </c>
      <c r="AW644" s="304" t="n">
        <f aca="false">SUM(AW632:AW643)</f>
        <v>0</v>
      </c>
      <c r="AX644" s="304" t="n">
        <f aca="false">SUM(AX632:AX643)</f>
        <v>0</v>
      </c>
      <c r="AY644" s="304" t="n">
        <f aca="false">SUM(AY632:AY643)</f>
        <v>0</v>
      </c>
      <c r="AZ644" s="304" t="n">
        <f aca="false">SUM(AZ632:AZ643)</f>
        <v>0</v>
      </c>
      <c r="BA644" s="304" t="n">
        <f aca="false">SUM(BA632:BA643)</f>
        <v>0</v>
      </c>
      <c r="BB644" s="304" t="n">
        <f aca="false">SUM(BB632:BB643)</f>
        <v>0</v>
      </c>
      <c r="BC644" s="304" t="n">
        <f aca="false">SUM(BC632:BC643)</f>
        <v>0</v>
      </c>
      <c r="BD644" s="305" t="n">
        <f aca="false">SUM(BD632:BD643)</f>
        <v>0</v>
      </c>
      <c r="BE644" s="305" t="n">
        <f aca="false">SUM(BE632:BE643)</f>
        <v>0</v>
      </c>
      <c r="BF644" s="305" t="n">
        <f aca="false">SUM(BF632:BF643)</f>
        <v>0</v>
      </c>
      <c r="BG644" s="303"/>
      <c r="BH644" s="306"/>
      <c r="BI644" s="303"/>
      <c r="BJ644" s="307" t="str">
        <f aca="false">IF(C630&gt;0, C630, "")</f>
        <v>TBA</v>
      </c>
      <c r="BK644" s="18" t="s">
        <v>234</v>
      </c>
      <c r="BL644" s="200" t="n">
        <f aca="false">IF($BK644="Y",J644,0)</f>
        <v>0</v>
      </c>
      <c r="BM644" s="200" t="n">
        <f aca="false">IF(BK644="Y", AN644,0)</f>
        <v>0</v>
      </c>
      <c r="BN644" s="200" t="n">
        <f aca="false">IF((BK644="Y"),AO644,0)</f>
        <v>0</v>
      </c>
    </row>
    <row r="645" customFormat="false" ht="15" hidden="false" customHeight="true" outlineLevel="0" collapsed="false">
      <c r="B645" s="296"/>
      <c r="D645" s="297"/>
      <c r="E645" s="277"/>
      <c r="F645" s="277"/>
      <c r="G645" s="277"/>
      <c r="H645" s="277"/>
      <c r="I645" s="277"/>
      <c r="J645" s="300"/>
      <c r="K645" s="300"/>
      <c r="L645" s="302"/>
      <c r="M645" s="302"/>
      <c r="N645" s="302"/>
      <c r="O645" s="308"/>
      <c r="P645" s="308"/>
      <c r="Q645" s="308"/>
      <c r="R645" s="308"/>
      <c r="S645" s="308"/>
      <c r="T645" s="308"/>
      <c r="U645" s="308"/>
      <c r="V645" s="308"/>
      <c r="W645" s="308"/>
      <c r="X645" s="308"/>
      <c r="Y645" s="308"/>
      <c r="Z645" s="308"/>
      <c r="AA645" s="303"/>
      <c r="AB645" s="303"/>
      <c r="AC645" s="303"/>
      <c r="AD645" s="303"/>
      <c r="AE645" s="303"/>
      <c r="AF645" s="303"/>
      <c r="AG645" s="303"/>
      <c r="AH645" s="303"/>
      <c r="AI645" s="303"/>
      <c r="AJ645" s="303"/>
      <c r="AK645" s="303"/>
      <c r="AL645" s="303"/>
      <c r="AM645" s="303"/>
      <c r="AN645" s="303"/>
      <c r="AO645" s="303"/>
      <c r="AP645" s="303"/>
      <c r="AQ645" s="303"/>
      <c r="AR645" s="303"/>
      <c r="AS645" s="303"/>
      <c r="AT645" s="303"/>
      <c r="AU645" s="303"/>
      <c r="AV645" s="303"/>
      <c r="AW645" s="303"/>
      <c r="AX645" s="303"/>
      <c r="AY645" s="303"/>
      <c r="AZ645" s="303"/>
      <c r="BA645" s="303"/>
      <c r="BB645" s="303"/>
      <c r="BC645" s="303"/>
      <c r="BD645" s="303"/>
      <c r="BE645" s="303"/>
      <c r="BF645" s="303"/>
      <c r="BG645" s="303"/>
      <c r="BH645" s="303"/>
      <c r="BI645" s="303"/>
      <c r="BJ645" s="307" t="str">
        <f aca="false">IF(C632&gt;0, C632, "")</f>
        <v/>
      </c>
      <c r="BL645" s="200"/>
      <c r="BM645" s="200"/>
      <c r="BN645" s="200"/>
    </row>
    <row r="646" customFormat="false" ht="15" hidden="false" customHeight="true" outlineLevel="0" collapsed="false">
      <c r="A646" s="198" t="n">
        <f aca="false">A630+1</f>
        <v>41</v>
      </c>
      <c r="B646" s="266" t="s">
        <v>253</v>
      </c>
      <c r="C646" s="266" t="s">
        <v>253</v>
      </c>
      <c r="D646" s="267"/>
      <c r="E646" s="242"/>
      <c r="F646" s="242"/>
      <c r="G646" s="242"/>
      <c r="H646" s="242"/>
      <c r="I646" s="242"/>
      <c r="J646" s="241"/>
      <c r="K646" s="241"/>
      <c r="L646" s="241"/>
      <c r="M646" s="241"/>
      <c r="N646" s="241"/>
      <c r="O646" s="268"/>
      <c r="P646" s="268"/>
      <c r="Q646" s="268"/>
      <c r="R646" s="268"/>
      <c r="S646" s="268"/>
      <c r="T646" s="268"/>
      <c r="U646" s="268"/>
      <c r="V646" s="268"/>
      <c r="W646" s="268"/>
      <c r="X646" s="268"/>
      <c r="Y646" s="268"/>
      <c r="Z646" s="268"/>
      <c r="AA646" s="268"/>
      <c r="AB646" s="268"/>
      <c r="AC646" s="268"/>
      <c r="AD646" s="268"/>
      <c r="AE646" s="268"/>
      <c r="AF646" s="268"/>
      <c r="AG646" s="268"/>
      <c r="AH646" s="268"/>
      <c r="AI646" s="268"/>
      <c r="AJ646" s="268"/>
      <c r="AK646" s="268"/>
      <c r="AL646" s="268"/>
      <c r="AM646" s="268"/>
      <c r="AN646" s="268"/>
      <c r="AO646" s="268"/>
      <c r="AP646" s="268"/>
      <c r="AQ646" s="268"/>
      <c r="AR646" s="268"/>
      <c r="AS646" s="268"/>
      <c r="AT646" s="268"/>
      <c r="AU646" s="268"/>
      <c r="AV646" s="268"/>
      <c r="AW646" s="268"/>
      <c r="AX646" s="268"/>
      <c r="AY646" s="268"/>
      <c r="AZ646" s="268"/>
      <c r="BA646" s="268"/>
      <c r="BB646" s="268"/>
      <c r="BC646" s="268"/>
      <c r="BD646" s="268"/>
      <c r="BE646" s="268"/>
      <c r="BF646" s="268"/>
      <c r="BG646" s="268"/>
      <c r="BH646" s="268"/>
      <c r="BI646" s="268"/>
      <c r="BJ646" s="18" t="str">
        <f aca="false">IF(C633&gt;0, C633, "")</f>
        <v/>
      </c>
      <c r="BL646" s="200"/>
      <c r="BM646" s="200"/>
      <c r="BN646" s="200"/>
    </row>
    <row r="647" customFormat="false" ht="7.5" hidden="false" customHeight="true" outlineLevel="0" collapsed="false">
      <c r="A647" s="198"/>
      <c r="B647" s="266"/>
      <c r="C647" s="266"/>
      <c r="D647" s="267"/>
      <c r="E647" s="242"/>
      <c r="F647" s="242"/>
      <c r="G647" s="242"/>
      <c r="H647" s="242"/>
      <c r="I647" s="242"/>
      <c r="J647" s="241"/>
      <c r="K647" s="241"/>
      <c r="L647" s="269"/>
      <c r="M647" s="269"/>
      <c r="N647" s="270"/>
      <c r="O647" s="269"/>
      <c r="P647" s="269"/>
      <c r="Q647" s="269"/>
      <c r="R647" s="269"/>
      <c r="S647" s="269"/>
      <c r="T647" s="269"/>
      <c r="U647" s="269"/>
      <c r="V647" s="269"/>
      <c r="W647" s="269"/>
      <c r="X647" s="269"/>
      <c r="Y647" s="269"/>
      <c r="Z647" s="269"/>
      <c r="AA647" s="268"/>
      <c r="AB647" s="271"/>
      <c r="AC647" s="271"/>
      <c r="AD647" s="271"/>
      <c r="AE647" s="271"/>
      <c r="AF647" s="271"/>
      <c r="AG647" s="271"/>
      <c r="AH647" s="271"/>
      <c r="AI647" s="271"/>
      <c r="AJ647" s="271"/>
      <c r="AK647" s="271"/>
      <c r="AL647" s="271"/>
      <c r="AM647" s="272"/>
      <c r="AN647" s="273"/>
      <c r="AO647" s="273"/>
      <c r="AP647" s="273"/>
      <c r="AQ647" s="268"/>
      <c r="AR647" s="271"/>
      <c r="AS647" s="271"/>
      <c r="AT647" s="271"/>
      <c r="AU647" s="271"/>
      <c r="AV647" s="271"/>
      <c r="AW647" s="271"/>
      <c r="AX647" s="271"/>
      <c r="AY647" s="271"/>
      <c r="AZ647" s="271"/>
      <c r="BA647" s="271"/>
      <c r="BB647" s="271"/>
      <c r="BC647" s="272"/>
      <c r="BD647" s="273"/>
      <c r="BE647" s="273"/>
      <c r="BF647" s="273"/>
      <c r="BG647" s="268"/>
      <c r="BH647" s="274"/>
      <c r="BI647" s="268"/>
      <c r="BL647" s="200"/>
      <c r="BM647" s="200"/>
      <c r="BN647" s="200"/>
    </row>
    <row r="648" customFormat="false" ht="15" hidden="false" customHeight="true" outlineLevel="0" collapsed="false">
      <c r="B648" s="275"/>
      <c r="D648" s="276" t="n">
        <f aca="false">D632</f>
        <v>45292</v>
      </c>
      <c r="E648" s="277" t="n">
        <v>0</v>
      </c>
      <c r="F648" s="277" t="n">
        <v>0</v>
      </c>
      <c r="G648" s="277" t="n">
        <v>0</v>
      </c>
      <c r="H648" s="277" t="n">
        <v>0</v>
      </c>
      <c r="I648" s="277" t="n">
        <v>0</v>
      </c>
      <c r="J648" s="278" t="n">
        <f aca="false">E648+H648+I648</f>
        <v>0</v>
      </c>
      <c r="K648" s="204"/>
      <c r="L648" s="279" t="n">
        <v>1</v>
      </c>
      <c r="M648" s="280" t="n">
        <f aca="false">1-L648</f>
        <v>0</v>
      </c>
      <c r="N648" s="281"/>
      <c r="O648" s="282"/>
      <c r="P648" s="282"/>
      <c r="Q648" s="282"/>
      <c r="R648" s="282"/>
      <c r="S648" s="282"/>
      <c r="T648" s="282"/>
      <c r="U648" s="282"/>
      <c r="V648" s="282"/>
      <c r="W648" s="282"/>
      <c r="X648" s="282"/>
      <c r="Y648" s="282"/>
      <c r="Z648" s="282"/>
      <c r="AA648" s="283"/>
      <c r="AB648" s="284" t="n">
        <f aca="false">IFERROR(($J648*O648)*$L648, "")</f>
        <v>0</v>
      </c>
      <c r="AC648" s="284" t="n">
        <f aca="false">IFERROR(($J648*P648)*$L648, "")</f>
        <v>0</v>
      </c>
      <c r="AD648" s="284" t="n">
        <f aca="false">IFERROR(($J648*Q648)*$L648, "")</f>
        <v>0</v>
      </c>
      <c r="AE648" s="284" t="n">
        <f aca="false">IFERROR(($J648*R648)*$L648, "")</f>
        <v>0</v>
      </c>
      <c r="AF648" s="284" t="n">
        <f aca="false">IFERROR(($J648*S648)*$L648, "")</f>
        <v>0</v>
      </c>
      <c r="AG648" s="284" t="n">
        <f aca="false">IFERROR(($J648*T648)*$L648, "")</f>
        <v>0</v>
      </c>
      <c r="AH648" s="284" t="n">
        <f aca="false">IFERROR(($J648*U648)*$L648, "")</f>
        <v>0</v>
      </c>
      <c r="AI648" s="284" t="n">
        <f aca="false">IFERROR(($J648*V648)*$L648, "")</f>
        <v>0</v>
      </c>
      <c r="AJ648" s="284" t="n">
        <f aca="false">IFERROR(($J648*W648)*$L648, "")</f>
        <v>0</v>
      </c>
      <c r="AK648" s="284" t="n">
        <f aca="false">IFERROR(($J648*X648)*$L648, "")</f>
        <v>0</v>
      </c>
      <c r="AL648" s="284" t="n">
        <f aca="false">IFERROR(($J648*Y648)*$L648, "")</f>
        <v>0</v>
      </c>
      <c r="AM648" s="285" t="n">
        <f aca="false">IFERROR(($J648*Z648)*$L648, "")</f>
        <v>0</v>
      </c>
      <c r="AN648" s="286" t="n">
        <f aca="false">IFERROR(SUMIF($AB$4:$AM$4, "RDEC", AB648:AM648), "")</f>
        <v>0</v>
      </c>
      <c r="AO648" s="286" t="n">
        <f aca="false">IFERROR(SUMIF($AB$4:$AM$4, "SME", AB648:AM648), "")</f>
        <v>0</v>
      </c>
      <c r="AP648" s="286" t="n">
        <f aca="false">IFERROR(SUMIF($AB$4:$AM$4, "De Minimis", AB648:AM648), "")</f>
        <v>0</v>
      </c>
      <c r="AQ648" s="283"/>
      <c r="AR648" s="284" t="n">
        <f aca="false">IFERROR(($J648*O648)*$M648, "")</f>
        <v>0</v>
      </c>
      <c r="AS648" s="284" t="n">
        <f aca="false">IFERROR(($J648*P648)*$M648, "")</f>
        <v>0</v>
      </c>
      <c r="AT648" s="284" t="n">
        <f aca="false">IFERROR(($J648*Q648)*$M648, "")</f>
        <v>0</v>
      </c>
      <c r="AU648" s="284" t="n">
        <f aca="false">IFERROR(($J648*R648)*$M648, "")</f>
        <v>0</v>
      </c>
      <c r="AV648" s="284" t="n">
        <f aca="false">IFERROR(($J648*S648)*$M648, "")</f>
        <v>0</v>
      </c>
      <c r="AW648" s="284" t="n">
        <f aca="false">IFERROR(($J648*T648)*$M648, "")</f>
        <v>0</v>
      </c>
      <c r="AX648" s="284" t="n">
        <f aca="false">IFERROR(($J648*U648)*$M648, "")</f>
        <v>0</v>
      </c>
      <c r="AY648" s="284" t="n">
        <f aca="false">IFERROR(($J648*V648)*$M648, "")</f>
        <v>0</v>
      </c>
      <c r="AZ648" s="284" t="n">
        <f aca="false">IFERROR(($J648*W648)*$M648, "")</f>
        <v>0</v>
      </c>
      <c r="BA648" s="284" t="n">
        <f aca="false">IFERROR(($J648*X648)*$M648, "")</f>
        <v>0</v>
      </c>
      <c r="BB648" s="284" t="n">
        <f aca="false">IFERROR(($J648*Y648)*$M648, "")</f>
        <v>0</v>
      </c>
      <c r="BC648" s="285" t="n">
        <f aca="false">IFERROR(($J648*Z648)*$M648, "")</f>
        <v>0</v>
      </c>
      <c r="BD648" s="286" t="n">
        <f aca="false">IFERROR(SUMIF($AB$4:$AM$4, "RDEC", AR648:BC648), "")</f>
        <v>0</v>
      </c>
      <c r="BE648" s="286" t="n">
        <f aca="false">IFERROR(SUMIF($AB$4:$AM$4, "SME", AR648:BC648), "")</f>
        <v>0</v>
      </c>
      <c r="BF648" s="286" t="n">
        <f aca="false">IFERROR(SUMIF($AB$4:$AM$4, "De Minimis", AR648:BC648), "")</f>
        <v>0</v>
      </c>
      <c r="BG648" s="287"/>
      <c r="BH648" s="288" t="str">
        <f aca="false">IF((SUM(O648:Z648)&gt;1),"ERROR","")</f>
        <v/>
      </c>
      <c r="BI648" s="287"/>
      <c r="BJ648" s="18" t="str">
        <f aca="false">IF(C634&gt;0, C634, "")</f>
        <v/>
      </c>
      <c r="BL648" s="200"/>
      <c r="BM648" s="200"/>
      <c r="BN648" s="200"/>
    </row>
    <row r="649" customFormat="false" ht="15" hidden="false" customHeight="true" outlineLevel="0" collapsed="false">
      <c r="B649" s="275"/>
      <c r="D649" s="276" t="n">
        <f aca="false">D633</f>
        <v>45323</v>
      </c>
      <c r="E649" s="277" t="n">
        <v>0</v>
      </c>
      <c r="F649" s="277" t="n">
        <v>0</v>
      </c>
      <c r="G649" s="277" t="n">
        <v>0</v>
      </c>
      <c r="H649" s="277" t="n">
        <v>0</v>
      </c>
      <c r="I649" s="277" t="n">
        <v>0</v>
      </c>
      <c r="J649" s="278" t="n">
        <f aca="false">E649+H649+I649</f>
        <v>0</v>
      </c>
      <c r="K649" s="204"/>
      <c r="L649" s="279" t="n">
        <v>1</v>
      </c>
      <c r="M649" s="280" t="n">
        <f aca="false">1-L649</f>
        <v>0</v>
      </c>
      <c r="N649" s="281"/>
      <c r="O649" s="282"/>
      <c r="P649" s="282"/>
      <c r="Q649" s="282"/>
      <c r="R649" s="282"/>
      <c r="S649" s="282"/>
      <c r="T649" s="282"/>
      <c r="U649" s="282"/>
      <c r="V649" s="282"/>
      <c r="W649" s="282"/>
      <c r="X649" s="282"/>
      <c r="Y649" s="282"/>
      <c r="Z649" s="282"/>
      <c r="AA649" s="283"/>
      <c r="AB649" s="284" t="n">
        <f aca="false">IFERROR(($J649*O649)*$L649, "")</f>
        <v>0</v>
      </c>
      <c r="AC649" s="284" t="n">
        <f aca="false">IFERROR(($J649*P649)*$L649, "")</f>
        <v>0</v>
      </c>
      <c r="AD649" s="284" t="n">
        <f aca="false">IFERROR(($J649*Q649)*$L649, "")</f>
        <v>0</v>
      </c>
      <c r="AE649" s="284" t="n">
        <f aca="false">IFERROR(($J649*R649)*$L649, "")</f>
        <v>0</v>
      </c>
      <c r="AF649" s="284" t="n">
        <f aca="false">IFERROR(($J649*S649)*$L649, "")</f>
        <v>0</v>
      </c>
      <c r="AG649" s="284" t="n">
        <f aca="false">IFERROR(($J649*T649)*$L649, "")</f>
        <v>0</v>
      </c>
      <c r="AH649" s="284" t="n">
        <f aca="false">IFERROR(($J649*U649)*$L649, "")</f>
        <v>0</v>
      </c>
      <c r="AI649" s="284" t="n">
        <f aca="false">IFERROR(($J649*V649)*$L649, "")</f>
        <v>0</v>
      </c>
      <c r="AJ649" s="284" t="n">
        <f aca="false">IFERROR(($J649*W649)*$L649, "")</f>
        <v>0</v>
      </c>
      <c r="AK649" s="284" t="n">
        <f aca="false">IFERROR(($J649*X649)*$L649, "")</f>
        <v>0</v>
      </c>
      <c r="AL649" s="284" t="n">
        <f aca="false">IFERROR(($J649*Y649)*$L649, "")</f>
        <v>0</v>
      </c>
      <c r="AM649" s="285" t="n">
        <f aca="false">IFERROR(($J649*Z649)*$L649, "")</f>
        <v>0</v>
      </c>
      <c r="AN649" s="286" t="n">
        <f aca="false">IFERROR(SUMIF($AB$4:$AM$4, "RDEC", AB649:AM649), "")</f>
        <v>0</v>
      </c>
      <c r="AO649" s="286" t="n">
        <f aca="false">IFERROR(SUMIF($AB$4:$AM$4, "SME", AB649:AM649), "")</f>
        <v>0</v>
      </c>
      <c r="AP649" s="286" t="n">
        <f aca="false">IFERROR(SUMIF($AB$4:$AM$4, "De Minimis", AB649:AM649), "")</f>
        <v>0</v>
      </c>
      <c r="AQ649" s="283"/>
      <c r="AR649" s="284" t="n">
        <f aca="false">IFERROR(($J649*O649)*$M649, "")</f>
        <v>0</v>
      </c>
      <c r="AS649" s="284" t="n">
        <f aca="false">IFERROR(($J649*P649)*$M649, "")</f>
        <v>0</v>
      </c>
      <c r="AT649" s="284" t="n">
        <f aca="false">IFERROR(($J649*Q649)*$M649, "")</f>
        <v>0</v>
      </c>
      <c r="AU649" s="284" t="n">
        <f aca="false">IFERROR(($J649*R649)*$M649, "")</f>
        <v>0</v>
      </c>
      <c r="AV649" s="284" t="n">
        <f aca="false">IFERROR(($J649*S649)*$M649, "")</f>
        <v>0</v>
      </c>
      <c r="AW649" s="284" t="n">
        <f aca="false">IFERROR(($J649*T649)*$M649, "")</f>
        <v>0</v>
      </c>
      <c r="AX649" s="284" t="n">
        <f aca="false">IFERROR(($J649*U649)*$M649, "")</f>
        <v>0</v>
      </c>
      <c r="AY649" s="284" t="n">
        <f aca="false">IFERROR(($J649*V649)*$M649, "")</f>
        <v>0</v>
      </c>
      <c r="AZ649" s="284" t="n">
        <f aca="false">IFERROR(($J649*W649)*$M649, "")</f>
        <v>0</v>
      </c>
      <c r="BA649" s="284" t="n">
        <f aca="false">IFERROR(($J649*X649)*$M649, "")</f>
        <v>0</v>
      </c>
      <c r="BB649" s="284" t="n">
        <f aca="false">IFERROR(($J649*Y649)*$M649, "")</f>
        <v>0</v>
      </c>
      <c r="BC649" s="285" t="n">
        <f aca="false">IFERROR(($J649*Z649)*$M649, "")</f>
        <v>0</v>
      </c>
      <c r="BD649" s="286" t="n">
        <f aca="false">IFERROR(SUMIF($AB$4:$AM$4, "RDEC", AR649:BC649), "")</f>
        <v>0</v>
      </c>
      <c r="BE649" s="286" t="n">
        <f aca="false">IFERROR(SUMIF($AB$4:$AM$4, "SME", AR649:BC649), "")</f>
        <v>0</v>
      </c>
      <c r="BF649" s="286" t="n">
        <f aca="false">IFERROR(SUMIF($AB$4:$AM$4, "De Minimis", AR649:BC649), "")</f>
        <v>0</v>
      </c>
      <c r="BG649" s="287"/>
      <c r="BH649" s="288" t="str">
        <f aca="false">IF((SUM(O649:Z649)&gt;1),"ERROR","")</f>
        <v/>
      </c>
      <c r="BI649" s="287"/>
      <c r="BJ649" s="18" t="str">
        <f aca="false">IF(C635&gt;0, C635, "")</f>
        <v/>
      </c>
      <c r="BL649" s="200"/>
      <c r="BM649" s="200"/>
      <c r="BN649" s="200"/>
    </row>
    <row r="650" customFormat="false" ht="15" hidden="false" customHeight="true" outlineLevel="0" collapsed="false">
      <c r="B650" s="275"/>
      <c r="D650" s="276" t="n">
        <f aca="false">D634</f>
        <v>45352</v>
      </c>
      <c r="E650" s="277" t="n">
        <v>0</v>
      </c>
      <c r="F650" s="277" t="n">
        <v>0</v>
      </c>
      <c r="G650" s="277" t="n">
        <v>0</v>
      </c>
      <c r="H650" s="277" t="n">
        <v>0</v>
      </c>
      <c r="I650" s="277" t="n">
        <v>0</v>
      </c>
      <c r="J650" s="278" t="n">
        <f aca="false">E650+H650+I650</f>
        <v>0</v>
      </c>
      <c r="K650" s="204"/>
      <c r="L650" s="279" t="n">
        <v>1</v>
      </c>
      <c r="M650" s="280" t="n">
        <f aca="false">1-L650</f>
        <v>0</v>
      </c>
      <c r="N650" s="281"/>
      <c r="O650" s="282"/>
      <c r="P650" s="282"/>
      <c r="Q650" s="282"/>
      <c r="R650" s="282"/>
      <c r="S650" s="282"/>
      <c r="T650" s="282"/>
      <c r="U650" s="282"/>
      <c r="V650" s="282"/>
      <c r="W650" s="282"/>
      <c r="X650" s="282"/>
      <c r="Y650" s="282"/>
      <c r="Z650" s="282"/>
      <c r="AA650" s="283"/>
      <c r="AB650" s="284" t="n">
        <f aca="false">IFERROR(($J650*O650)*$L650, "")</f>
        <v>0</v>
      </c>
      <c r="AC650" s="284" t="n">
        <f aca="false">IFERROR(($J650*P650)*$L650, "")</f>
        <v>0</v>
      </c>
      <c r="AD650" s="284" t="n">
        <f aca="false">IFERROR(($J650*Q650)*$L650, "")</f>
        <v>0</v>
      </c>
      <c r="AE650" s="284" t="n">
        <f aca="false">IFERROR(($J650*R650)*$L650, "")</f>
        <v>0</v>
      </c>
      <c r="AF650" s="284" t="n">
        <f aca="false">IFERROR(($J650*S650)*$L650, "")</f>
        <v>0</v>
      </c>
      <c r="AG650" s="284" t="n">
        <f aca="false">IFERROR(($J650*T650)*$L650, "")</f>
        <v>0</v>
      </c>
      <c r="AH650" s="284" t="n">
        <f aca="false">IFERROR(($J650*U650)*$L650, "")</f>
        <v>0</v>
      </c>
      <c r="AI650" s="284" t="n">
        <f aca="false">IFERROR(($J650*V650)*$L650, "")</f>
        <v>0</v>
      </c>
      <c r="AJ650" s="284" t="n">
        <f aca="false">IFERROR(($J650*W650)*$L650, "")</f>
        <v>0</v>
      </c>
      <c r="AK650" s="284" t="n">
        <f aca="false">IFERROR(($J650*X650)*$L650, "")</f>
        <v>0</v>
      </c>
      <c r="AL650" s="284" t="n">
        <f aca="false">IFERROR(($J650*Y650)*$L650, "")</f>
        <v>0</v>
      </c>
      <c r="AM650" s="285" t="n">
        <f aca="false">IFERROR(($J650*Z650)*$L650, "")</f>
        <v>0</v>
      </c>
      <c r="AN650" s="286" t="n">
        <f aca="false">IFERROR(SUMIF($AB$4:$AM$4, "RDEC", AB650:AM650), "")</f>
        <v>0</v>
      </c>
      <c r="AO650" s="286" t="n">
        <f aca="false">IFERROR(SUMIF($AB$4:$AM$4, "SME", AB650:AM650), "")</f>
        <v>0</v>
      </c>
      <c r="AP650" s="286" t="n">
        <f aca="false">IFERROR(SUMIF($AB$4:$AM$4, "De Minimis", AB650:AM650), "")</f>
        <v>0</v>
      </c>
      <c r="AQ650" s="283"/>
      <c r="AR650" s="284" t="n">
        <f aca="false">IFERROR(($J650*O650)*$M650, "")</f>
        <v>0</v>
      </c>
      <c r="AS650" s="284" t="n">
        <f aca="false">IFERROR(($J650*P650)*$M650, "")</f>
        <v>0</v>
      </c>
      <c r="AT650" s="284" t="n">
        <f aca="false">IFERROR(($J650*Q650)*$M650, "")</f>
        <v>0</v>
      </c>
      <c r="AU650" s="284" t="n">
        <f aca="false">IFERROR(($J650*R650)*$M650, "")</f>
        <v>0</v>
      </c>
      <c r="AV650" s="284" t="n">
        <f aca="false">IFERROR(($J650*S650)*$M650, "")</f>
        <v>0</v>
      </c>
      <c r="AW650" s="284" t="n">
        <f aca="false">IFERROR(($J650*T650)*$M650, "")</f>
        <v>0</v>
      </c>
      <c r="AX650" s="284" t="n">
        <f aca="false">IFERROR(($J650*U650)*$M650, "")</f>
        <v>0</v>
      </c>
      <c r="AY650" s="284" t="n">
        <f aca="false">IFERROR(($J650*V650)*$M650, "")</f>
        <v>0</v>
      </c>
      <c r="AZ650" s="284" t="n">
        <f aca="false">IFERROR(($J650*W650)*$M650, "")</f>
        <v>0</v>
      </c>
      <c r="BA650" s="284" t="n">
        <f aca="false">IFERROR(($J650*X650)*$M650, "")</f>
        <v>0</v>
      </c>
      <c r="BB650" s="284" t="n">
        <f aca="false">IFERROR(($J650*Y650)*$M650, "")</f>
        <v>0</v>
      </c>
      <c r="BC650" s="285" t="n">
        <f aca="false">IFERROR(($J650*Z650)*$M650, "")</f>
        <v>0</v>
      </c>
      <c r="BD650" s="286" t="n">
        <f aca="false">IFERROR(SUMIF($AB$4:$AM$4, "RDEC", AR650:BC650), "")</f>
        <v>0</v>
      </c>
      <c r="BE650" s="286" t="n">
        <f aca="false">IFERROR(SUMIF($AB$4:$AM$4, "SME", AR650:BC650), "")</f>
        <v>0</v>
      </c>
      <c r="BF650" s="286" t="n">
        <f aca="false">IFERROR(SUMIF($AB$4:$AM$4, "De Minimis", AR650:BC650), "")</f>
        <v>0</v>
      </c>
      <c r="BG650" s="287"/>
      <c r="BH650" s="288" t="str">
        <f aca="false">IF((SUM(O650:Z650)&gt;1),"ERROR","")</f>
        <v/>
      </c>
      <c r="BI650" s="287"/>
      <c r="BJ650" s="18" t="str">
        <f aca="false">IF(C636&gt;0, C636, "")</f>
        <v/>
      </c>
      <c r="BL650" s="200"/>
      <c r="BM650" s="200"/>
      <c r="BN650" s="200"/>
    </row>
    <row r="651" customFormat="false" ht="15" hidden="false" customHeight="true" outlineLevel="0" collapsed="false">
      <c r="B651" s="275"/>
      <c r="D651" s="276" t="n">
        <f aca="false">D635</f>
        <v>45383</v>
      </c>
      <c r="E651" s="277" t="n">
        <v>0</v>
      </c>
      <c r="F651" s="277" t="n">
        <v>0</v>
      </c>
      <c r="G651" s="277" t="n">
        <v>0</v>
      </c>
      <c r="H651" s="277" t="n">
        <v>0</v>
      </c>
      <c r="I651" s="277" t="n">
        <v>0</v>
      </c>
      <c r="J651" s="278" t="n">
        <f aca="false">E651+H651+I651</f>
        <v>0</v>
      </c>
      <c r="K651" s="204"/>
      <c r="L651" s="279" t="n">
        <v>1</v>
      </c>
      <c r="M651" s="280" t="n">
        <f aca="false">1-L651</f>
        <v>0</v>
      </c>
      <c r="N651" s="281"/>
      <c r="O651" s="282"/>
      <c r="P651" s="282"/>
      <c r="Q651" s="282"/>
      <c r="R651" s="282"/>
      <c r="S651" s="282"/>
      <c r="T651" s="282"/>
      <c r="U651" s="282"/>
      <c r="V651" s="282"/>
      <c r="W651" s="282"/>
      <c r="X651" s="282"/>
      <c r="Y651" s="282"/>
      <c r="Z651" s="282"/>
      <c r="AA651" s="283"/>
      <c r="AB651" s="284" t="n">
        <f aca="false">IFERROR(($J651*O651)*$L651, "")</f>
        <v>0</v>
      </c>
      <c r="AC651" s="284" t="n">
        <f aca="false">IFERROR(($J651*P651)*$L651, "")</f>
        <v>0</v>
      </c>
      <c r="AD651" s="284" t="n">
        <f aca="false">IFERROR(($J651*Q651)*$L651, "")</f>
        <v>0</v>
      </c>
      <c r="AE651" s="284" t="n">
        <f aca="false">IFERROR(($J651*R651)*$L651, "")</f>
        <v>0</v>
      </c>
      <c r="AF651" s="284" t="n">
        <f aca="false">IFERROR(($J651*S651)*$L651, "")</f>
        <v>0</v>
      </c>
      <c r="AG651" s="284" t="n">
        <f aca="false">IFERROR(($J651*T651)*$L651, "")</f>
        <v>0</v>
      </c>
      <c r="AH651" s="284" t="n">
        <f aca="false">IFERROR(($J651*U651)*$L651, "")</f>
        <v>0</v>
      </c>
      <c r="AI651" s="284" t="n">
        <f aca="false">IFERROR(($J651*V651)*$L651, "")</f>
        <v>0</v>
      </c>
      <c r="AJ651" s="284" t="n">
        <f aca="false">IFERROR(($J651*W651)*$L651, "")</f>
        <v>0</v>
      </c>
      <c r="AK651" s="284" t="n">
        <f aca="false">IFERROR(($J651*X651)*$L651, "")</f>
        <v>0</v>
      </c>
      <c r="AL651" s="284" t="n">
        <f aca="false">IFERROR(($J651*Y651)*$L651, "")</f>
        <v>0</v>
      </c>
      <c r="AM651" s="285" t="n">
        <f aca="false">IFERROR(($J651*Z651)*$L651, "")</f>
        <v>0</v>
      </c>
      <c r="AN651" s="286" t="n">
        <f aca="false">IFERROR(SUMIF($AB$4:$AM$4, "RDEC", AB651:AM651), "")</f>
        <v>0</v>
      </c>
      <c r="AO651" s="286" t="n">
        <f aca="false">IFERROR(SUMIF($AB$4:$AM$4, "SME", AB651:AM651), "")</f>
        <v>0</v>
      </c>
      <c r="AP651" s="286" t="n">
        <f aca="false">IFERROR(SUMIF($AB$4:$AM$4, "De Minimis", AB651:AM651), "")</f>
        <v>0</v>
      </c>
      <c r="AQ651" s="283"/>
      <c r="AR651" s="284" t="n">
        <f aca="false">IFERROR(($J651*O651)*$M651, "")</f>
        <v>0</v>
      </c>
      <c r="AS651" s="284" t="n">
        <f aca="false">IFERROR(($J651*P651)*$M651, "")</f>
        <v>0</v>
      </c>
      <c r="AT651" s="284" t="n">
        <f aca="false">IFERROR(($J651*Q651)*$M651, "")</f>
        <v>0</v>
      </c>
      <c r="AU651" s="284" t="n">
        <f aca="false">IFERROR(($J651*R651)*$M651, "")</f>
        <v>0</v>
      </c>
      <c r="AV651" s="284" t="n">
        <f aca="false">IFERROR(($J651*S651)*$M651, "")</f>
        <v>0</v>
      </c>
      <c r="AW651" s="284" t="n">
        <f aca="false">IFERROR(($J651*T651)*$M651, "")</f>
        <v>0</v>
      </c>
      <c r="AX651" s="284" t="n">
        <f aca="false">IFERROR(($J651*U651)*$M651, "")</f>
        <v>0</v>
      </c>
      <c r="AY651" s="284" t="n">
        <f aca="false">IFERROR(($J651*V651)*$M651, "")</f>
        <v>0</v>
      </c>
      <c r="AZ651" s="284" t="n">
        <f aca="false">IFERROR(($J651*W651)*$M651, "")</f>
        <v>0</v>
      </c>
      <c r="BA651" s="284" t="n">
        <f aca="false">IFERROR(($J651*X651)*$M651, "")</f>
        <v>0</v>
      </c>
      <c r="BB651" s="284" t="n">
        <f aca="false">IFERROR(($J651*Y651)*$M651, "")</f>
        <v>0</v>
      </c>
      <c r="BC651" s="285" t="n">
        <f aca="false">IFERROR(($J651*Z651)*$M651, "")</f>
        <v>0</v>
      </c>
      <c r="BD651" s="286" t="n">
        <f aca="false">IFERROR(SUMIF($AB$4:$AM$4, "RDEC", AR651:BC651), "")</f>
        <v>0</v>
      </c>
      <c r="BE651" s="286" t="n">
        <f aca="false">IFERROR(SUMIF($AB$4:$AM$4, "SME", AR651:BC651), "")</f>
        <v>0</v>
      </c>
      <c r="BF651" s="286" t="n">
        <f aca="false">IFERROR(SUMIF($AB$4:$AM$4, "De Minimis", AR651:BC651), "")</f>
        <v>0</v>
      </c>
      <c r="BG651" s="287"/>
      <c r="BH651" s="288" t="str">
        <f aca="false">IF((SUM(O651:Z651)&gt;1),"ERROR","")</f>
        <v/>
      </c>
      <c r="BI651" s="287"/>
      <c r="BJ651" s="18" t="str">
        <f aca="false">IF(C637&gt;0, C637, "")</f>
        <v/>
      </c>
      <c r="BL651" s="200"/>
      <c r="BM651" s="200"/>
      <c r="BN651" s="200"/>
    </row>
    <row r="652" customFormat="false" ht="15" hidden="false" customHeight="true" outlineLevel="0" collapsed="false">
      <c r="B652" s="275"/>
      <c r="D652" s="276" t="n">
        <f aca="false">D636</f>
        <v>45413</v>
      </c>
      <c r="E652" s="277" t="n">
        <v>0</v>
      </c>
      <c r="F652" s="277" t="n">
        <v>0</v>
      </c>
      <c r="G652" s="277" t="n">
        <v>0</v>
      </c>
      <c r="H652" s="277" t="n">
        <v>0</v>
      </c>
      <c r="I652" s="277" t="n">
        <v>0</v>
      </c>
      <c r="J652" s="278" t="n">
        <f aca="false">E652+H652+I652</f>
        <v>0</v>
      </c>
      <c r="K652" s="204"/>
      <c r="L652" s="279" t="n">
        <v>1</v>
      </c>
      <c r="M652" s="280" t="n">
        <f aca="false">1-L652</f>
        <v>0</v>
      </c>
      <c r="N652" s="281"/>
      <c r="O652" s="282"/>
      <c r="P652" s="282"/>
      <c r="Q652" s="282"/>
      <c r="R652" s="282"/>
      <c r="S652" s="282"/>
      <c r="T652" s="282"/>
      <c r="U652" s="282"/>
      <c r="V652" s="282"/>
      <c r="W652" s="282"/>
      <c r="X652" s="282"/>
      <c r="Y652" s="282"/>
      <c r="Z652" s="282"/>
      <c r="AA652" s="283"/>
      <c r="AB652" s="284" t="n">
        <f aca="false">IFERROR(($J652*O652)*$L652, "")</f>
        <v>0</v>
      </c>
      <c r="AC652" s="284" t="n">
        <f aca="false">IFERROR(($J652*P652)*$L652, "")</f>
        <v>0</v>
      </c>
      <c r="AD652" s="284" t="n">
        <f aca="false">IFERROR(($J652*Q652)*$L652, "")</f>
        <v>0</v>
      </c>
      <c r="AE652" s="284" t="n">
        <f aca="false">IFERROR(($J652*R652)*$L652, "")</f>
        <v>0</v>
      </c>
      <c r="AF652" s="284" t="n">
        <f aca="false">IFERROR(($J652*S652)*$L652, "")</f>
        <v>0</v>
      </c>
      <c r="AG652" s="284" t="n">
        <f aca="false">IFERROR(($J652*T652)*$L652, "")</f>
        <v>0</v>
      </c>
      <c r="AH652" s="284" t="n">
        <f aca="false">IFERROR(($J652*U652)*$L652, "")</f>
        <v>0</v>
      </c>
      <c r="AI652" s="284" t="n">
        <f aca="false">IFERROR(($J652*V652)*$L652, "")</f>
        <v>0</v>
      </c>
      <c r="AJ652" s="284" t="n">
        <f aca="false">IFERROR(($J652*W652)*$L652, "")</f>
        <v>0</v>
      </c>
      <c r="AK652" s="284" t="n">
        <f aca="false">IFERROR(($J652*X652)*$L652, "")</f>
        <v>0</v>
      </c>
      <c r="AL652" s="284" t="n">
        <f aca="false">IFERROR(($J652*Y652)*$L652, "")</f>
        <v>0</v>
      </c>
      <c r="AM652" s="285" t="n">
        <f aca="false">IFERROR(($J652*Z652)*$L652, "")</f>
        <v>0</v>
      </c>
      <c r="AN652" s="286" t="n">
        <f aca="false">IFERROR(SUMIF($AB$4:$AM$4, "RDEC", AB652:AM652), "")</f>
        <v>0</v>
      </c>
      <c r="AO652" s="286" t="n">
        <f aca="false">IFERROR(SUMIF($AB$4:$AM$4, "SME", AB652:AM652), "")</f>
        <v>0</v>
      </c>
      <c r="AP652" s="286" t="n">
        <f aca="false">IFERROR(SUMIF($AB$4:$AM$4, "De Minimis", AB652:AM652), "")</f>
        <v>0</v>
      </c>
      <c r="AQ652" s="283"/>
      <c r="AR652" s="284" t="n">
        <f aca="false">IFERROR(($J652*O652)*$M652, "")</f>
        <v>0</v>
      </c>
      <c r="AS652" s="284" t="n">
        <f aca="false">IFERROR(($J652*P652)*$M652, "")</f>
        <v>0</v>
      </c>
      <c r="AT652" s="284" t="n">
        <f aca="false">IFERROR(($J652*Q652)*$M652, "")</f>
        <v>0</v>
      </c>
      <c r="AU652" s="284" t="n">
        <f aca="false">IFERROR(($J652*R652)*$M652, "")</f>
        <v>0</v>
      </c>
      <c r="AV652" s="284" t="n">
        <f aca="false">IFERROR(($J652*S652)*$M652, "")</f>
        <v>0</v>
      </c>
      <c r="AW652" s="284" t="n">
        <f aca="false">IFERROR(($J652*T652)*$M652, "")</f>
        <v>0</v>
      </c>
      <c r="AX652" s="284" t="n">
        <f aca="false">IFERROR(($J652*U652)*$M652, "")</f>
        <v>0</v>
      </c>
      <c r="AY652" s="284" t="n">
        <f aca="false">IFERROR(($J652*V652)*$M652, "")</f>
        <v>0</v>
      </c>
      <c r="AZ652" s="284" t="n">
        <f aca="false">IFERROR(($J652*W652)*$M652, "")</f>
        <v>0</v>
      </c>
      <c r="BA652" s="284" t="n">
        <f aca="false">IFERROR(($J652*X652)*$M652, "")</f>
        <v>0</v>
      </c>
      <c r="BB652" s="284" t="n">
        <f aca="false">IFERROR(($J652*Y652)*$M652, "")</f>
        <v>0</v>
      </c>
      <c r="BC652" s="285" t="n">
        <f aca="false">IFERROR(($J652*Z652)*$M652, "")</f>
        <v>0</v>
      </c>
      <c r="BD652" s="286" t="n">
        <f aca="false">IFERROR(SUMIF($AB$4:$AM$4, "RDEC", AR652:BC652), "")</f>
        <v>0</v>
      </c>
      <c r="BE652" s="286" t="n">
        <f aca="false">IFERROR(SUMIF($AB$4:$AM$4, "SME", AR652:BC652), "")</f>
        <v>0</v>
      </c>
      <c r="BF652" s="286" t="n">
        <f aca="false">IFERROR(SUMIF($AB$4:$AM$4, "De Minimis", AR652:BC652), "")</f>
        <v>0</v>
      </c>
      <c r="BG652" s="287"/>
      <c r="BH652" s="288" t="str">
        <f aca="false">IF((SUM(O652:Z652)&gt;1),"ERROR","")</f>
        <v/>
      </c>
      <c r="BI652" s="287"/>
      <c r="BJ652" s="18" t="str">
        <f aca="false">IF(C638&gt;0, C638, "")</f>
        <v/>
      </c>
      <c r="BL652" s="200"/>
      <c r="BM652" s="200"/>
      <c r="BN652" s="200"/>
    </row>
    <row r="653" customFormat="false" ht="15" hidden="false" customHeight="true" outlineLevel="0" collapsed="false">
      <c r="B653" s="275"/>
      <c r="D653" s="276" t="n">
        <f aca="false">D637</f>
        <v>45444</v>
      </c>
      <c r="E653" s="277" t="n">
        <v>0</v>
      </c>
      <c r="F653" s="277" t="n">
        <v>0</v>
      </c>
      <c r="G653" s="277" t="n">
        <v>0</v>
      </c>
      <c r="H653" s="277" t="n">
        <v>0</v>
      </c>
      <c r="I653" s="277" t="n">
        <v>0</v>
      </c>
      <c r="J653" s="278" t="n">
        <f aca="false">E653+H653+I653</f>
        <v>0</v>
      </c>
      <c r="K653" s="204"/>
      <c r="L653" s="279" t="n">
        <v>1</v>
      </c>
      <c r="M653" s="280" t="n">
        <f aca="false">1-L653</f>
        <v>0</v>
      </c>
      <c r="N653" s="281"/>
      <c r="O653" s="282"/>
      <c r="P653" s="282"/>
      <c r="Q653" s="282"/>
      <c r="R653" s="282"/>
      <c r="S653" s="282"/>
      <c r="T653" s="282"/>
      <c r="U653" s="282"/>
      <c r="V653" s="282"/>
      <c r="W653" s="282"/>
      <c r="X653" s="282"/>
      <c r="Y653" s="282"/>
      <c r="Z653" s="282"/>
      <c r="AA653" s="283"/>
      <c r="AB653" s="284" t="n">
        <f aca="false">IFERROR(($J653*O653)*$L653, "")</f>
        <v>0</v>
      </c>
      <c r="AC653" s="284" t="n">
        <f aca="false">IFERROR(($J653*P653)*$L653, "")</f>
        <v>0</v>
      </c>
      <c r="AD653" s="284" t="n">
        <f aca="false">IFERROR(($J653*Q653)*$L653, "")</f>
        <v>0</v>
      </c>
      <c r="AE653" s="284" t="n">
        <f aca="false">IFERROR(($J653*R653)*$L653, "")</f>
        <v>0</v>
      </c>
      <c r="AF653" s="284" t="n">
        <f aca="false">IFERROR(($J653*S653)*$L653, "")</f>
        <v>0</v>
      </c>
      <c r="AG653" s="284" t="n">
        <f aca="false">IFERROR(($J653*T653)*$L653, "")</f>
        <v>0</v>
      </c>
      <c r="AH653" s="284" t="n">
        <f aca="false">IFERROR(($J653*U653)*$L653, "")</f>
        <v>0</v>
      </c>
      <c r="AI653" s="284" t="n">
        <f aca="false">IFERROR(($J653*V653)*$L653, "")</f>
        <v>0</v>
      </c>
      <c r="AJ653" s="284" t="n">
        <f aca="false">IFERROR(($J653*W653)*$L653, "")</f>
        <v>0</v>
      </c>
      <c r="AK653" s="284" t="n">
        <f aca="false">IFERROR(($J653*X653)*$L653, "")</f>
        <v>0</v>
      </c>
      <c r="AL653" s="284" t="n">
        <f aca="false">IFERROR(($J653*Y653)*$L653, "")</f>
        <v>0</v>
      </c>
      <c r="AM653" s="285" t="n">
        <f aca="false">IFERROR(($J653*Z653)*$L653, "")</f>
        <v>0</v>
      </c>
      <c r="AN653" s="286" t="n">
        <f aca="false">IFERROR(SUMIF($AB$4:$AM$4, "RDEC", AB653:AM653), "")</f>
        <v>0</v>
      </c>
      <c r="AO653" s="286" t="n">
        <f aca="false">IFERROR(SUMIF($AB$4:$AM$4, "SME", AB653:AM653), "")</f>
        <v>0</v>
      </c>
      <c r="AP653" s="286" t="n">
        <f aca="false">IFERROR(SUMIF($AB$4:$AM$4, "De Minimis", AB653:AM653), "")</f>
        <v>0</v>
      </c>
      <c r="AQ653" s="283"/>
      <c r="AR653" s="284" t="n">
        <f aca="false">IFERROR(($J653*O653)*$M653, "")</f>
        <v>0</v>
      </c>
      <c r="AS653" s="284" t="n">
        <f aca="false">IFERROR(($J653*P653)*$M653, "")</f>
        <v>0</v>
      </c>
      <c r="AT653" s="284" t="n">
        <f aca="false">IFERROR(($J653*Q653)*$M653, "")</f>
        <v>0</v>
      </c>
      <c r="AU653" s="284" t="n">
        <f aca="false">IFERROR(($J653*R653)*$M653, "")</f>
        <v>0</v>
      </c>
      <c r="AV653" s="284" t="n">
        <f aca="false">IFERROR(($J653*S653)*$M653, "")</f>
        <v>0</v>
      </c>
      <c r="AW653" s="284" t="n">
        <f aca="false">IFERROR(($J653*T653)*$M653, "")</f>
        <v>0</v>
      </c>
      <c r="AX653" s="284" t="n">
        <f aca="false">IFERROR(($J653*U653)*$M653, "")</f>
        <v>0</v>
      </c>
      <c r="AY653" s="284" t="n">
        <f aca="false">IFERROR(($J653*V653)*$M653, "")</f>
        <v>0</v>
      </c>
      <c r="AZ653" s="284" t="n">
        <f aca="false">IFERROR(($J653*W653)*$M653, "")</f>
        <v>0</v>
      </c>
      <c r="BA653" s="284" t="n">
        <f aca="false">IFERROR(($J653*X653)*$M653, "")</f>
        <v>0</v>
      </c>
      <c r="BB653" s="284" t="n">
        <f aca="false">IFERROR(($J653*Y653)*$M653, "")</f>
        <v>0</v>
      </c>
      <c r="BC653" s="285" t="n">
        <f aca="false">IFERROR(($J653*Z653)*$M653, "")</f>
        <v>0</v>
      </c>
      <c r="BD653" s="286" t="n">
        <f aca="false">IFERROR(SUMIF($AB$4:$AM$4, "RDEC", AR653:BC653), "")</f>
        <v>0</v>
      </c>
      <c r="BE653" s="286" t="n">
        <f aca="false">IFERROR(SUMIF($AB$4:$AM$4, "SME", AR653:BC653), "")</f>
        <v>0</v>
      </c>
      <c r="BF653" s="286" t="n">
        <f aca="false">IFERROR(SUMIF($AB$4:$AM$4, "De Minimis", AR653:BC653), "")</f>
        <v>0</v>
      </c>
      <c r="BG653" s="287"/>
      <c r="BH653" s="288" t="str">
        <f aca="false">IF((SUM(O653:Z653)&gt;1),"ERROR","")</f>
        <v/>
      </c>
      <c r="BI653" s="287"/>
      <c r="BJ653" s="18" t="str">
        <f aca="false">IF(C639&gt;0, C639, "")</f>
        <v/>
      </c>
      <c r="BL653" s="200"/>
      <c r="BM653" s="200"/>
      <c r="BN653" s="200"/>
    </row>
    <row r="654" customFormat="false" ht="15" hidden="false" customHeight="true" outlineLevel="0" collapsed="false">
      <c r="B654" s="275"/>
      <c r="D654" s="276" t="n">
        <f aca="false">D638</f>
        <v>45474</v>
      </c>
      <c r="E654" s="277" t="n">
        <v>0</v>
      </c>
      <c r="F654" s="277" t="n">
        <v>0</v>
      </c>
      <c r="G654" s="277" t="n">
        <v>0</v>
      </c>
      <c r="H654" s="277" t="n">
        <v>0</v>
      </c>
      <c r="I654" s="277" t="n">
        <v>0</v>
      </c>
      <c r="J654" s="278" t="n">
        <f aca="false">E654+H654+I654</f>
        <v>0</v>
      </c>
      <c r="K654" s="204"/>
      <c r="L654" s="279" t="n">
        <v>1</v>
      </c>
      <c r="M654" s="280" t="n">
        <f aca="false">1-L654</f>
        <v>0</v>
      </c>
      <c r="N654" s="281"/>
      <c r="O654" s="282"/>
      <c r="P654" s="282"/>
      <c r="Q654" s="282"/>
      <c r="R654" s="282"/>
      <c r="S654" s="282"/>
      <c r="T654" s="282"/>
      <c r="U654" s="282"/>
      <c r="V654" s="282"/>
      <c r="W654" s="282"/>
      <c r="X654" s="282"/>
      <c r="Y654" s="282"/>
      <c r="Z654" s="282"/>
      <c r="AA654" s="283"/>
      <c r="AB654" s="284" t="n">
        <f aca="false">IFERROR(($J654*O654)*$L654, "")</f>
        <v>0</v>
      </c>
      <c r="AC654" s="284" t="n">
        <f aca="false">IFERROR(($J654*P654)*$L654, "")</f>
        <v>0</v>
      </c>
      <c r="AD654" s="284" t="n">
        <f aca="false">IFERROR(($J654*Q654)*$L654, "")</f>
        <v>0</v>
      </c>
      <c r="AE654" s="284" t="n">
        <f aca="false">IFERROR(($J654*R654)*$L654, "")</f>
        <v>0</v>
      </c>
      <c r="AF654" s="284" t="n">
        <f aca="false">IFERROR(($J654*S654)*$L654, "")</f>
        <v>0</v>
      </c>
      <c r="AG654" s="284" t="n">
        <f aca="false">IFERROR(($J654*T654)*$L654, "")</f>
        <v>0</v>
      </c>
      <c r="AH654" s="284" t="n">
        <f aca="false">IFERROR(($J654*U654)*$L654, "")</f>
        <v>0</v>
      </c>
      <c r="AI654" s="284" t="n">
        <f aca="false">IFERROR(($J654*V654)*$L654, "")</f>
        <v>0</v>
      </c>
      <c r="AJ654" s="284" t="n">
        <f aca="false">IFERROR(($J654*W654)*$L654, "")</f>
        <v>0</v>
      </c>
      <c r="AK654" s="284" t="n">
        <f aca="false">IFERROR(($J654*X654)*$L654, "")</f>
        <v>0</v>
      </c>
      <c r="AL654" s="284" t="n">
        <f aca="false">IFERROR(($J654*Y654)*$L654, "")</f>
        <v>0</v>
      </c>
      <c r="AM654" s="285" t="n">
        <f aca="false">IFERROR(($J654*Z654)*$L654, "")</f>
        <v>0</v>
      </c>
      <c r="AN654" s="286" t="n">
        <f aca="false">IFERROR(SUMIF($AB$4:$AM$4, "RDEC", AB654:AM654), "")</f>
        <v>0</v>
      </c>
      <c r="AO654" s="286" t="n">
        <f aca="false">IFERROR(SUMIF($AB$4:$AM$4, "SME", AB654:AM654), "")</f>
        <v>0</v>
      </c>
      <c r="AP654" s="286" t="n">
        <f aca="false">IFERROR(SUMIF($AB$4:$AM$4, "De Minimis", AB654:AM654), "")</f>
        <v>0</v>
      </c>
      <c r="AQ654" s="283"/>
      <c r="AR654" s="284" t="n">
        <f aca="false">IFERROR(($J654*O654)*$M654, "")</f>
        <v>0</v>
      </c>
      <c r="AS654" s="284" t="n">
        <f aca="false">IFERROR(($J654*P654)*$M654, "")</f>
        <v>0</v>
      </c>
      <c r="AT654" s="284" t="n">
        <f aca="false">IFERROR(($J654*Q654)*$M654, "")</f>
        <v>0</v>
      </c>
      <c r="AU654" s="284" t="n">
        <f aca="false">IFERROR(($J654*R654)*$M654, "")</f>
        <v>0</v>
      </c>
      <c r="AV654" s="284" t="n">
        <f aca="false">IFERROR(($J654*S654)*$M654, "")</f>
        <v>0</v>
      </c>
      <c r="AW654" s="284" t="n">
        <f aca="false">IFERROR(($J654*T654)*$M654, "")</f>
        <v>0</v>
      </c>
      <c r="AX654" s="284" t="n">
        <f aca="false">IFERROR(($J654*U654)*$M654, "")</f>
        <v>0</v>
      </c>
      <c r="AY654" s="284" t="n">
        <f aca="false">IFERROR(($J654*V654)*$M654, "")</f>
        <v>0</v>
      </c>
      <c r="AZ654" s="284" t="n">
        <f aca="false">IFERROR(($J654*W654)*$M654, "")</f>
        <v>0</v>
      </c>
      <c r="BA654" s="284" t="n">
        <f aca="false">IFERROR(($J654*X654)*$M654, "")</f>
        <v>0</v>
      </c>
      <c r="BB654" s="284" t="n">
        <f aca="false">IFERROR(($J654*Y654)*$M654, "")</f>
        <v>0</v>
      </c>
      <c r="BC654" s="285" t="n">
        <f aca="false">IFERROR(($J654*Z654)*$M654, "")</f>
        <v>0</v>
      </c>
      <c r="BD654" s="286" t="n">
        <f aca="false">IFERROR(SUMIF($AB$4:$AM$4, "RDEC", AR654:BC654), "")</f>
        <v>0</v>
      </c>
      <c r="BE654" s="286" t="n">
        <f aca="false">IFERROR(SUMIF($AB$4:$AM$4, "SME", AR654:BC654), "")</f>
        <v>0</v>
      </c>
      <c r="BF654" s="286" t="n">
        <f aca="false">IFERROR(SUMIF($AB$4:$AM$4, "De Minimis", AR654:BC654), "")</f>
        <v>0</v>
      </c>
      <c r="BG654" s="287"/>
      <c r="BH654" s="288" t="str">
        <f aca="false">IF((SUM(O654:Z654)&gt;1),"ERROR","")</f>
        <v/>
      </c>
      <c r="BI654" s="287"/>
      <c r="BJ654" s="18" t="str">
        <f aca="false">IF(C640&gt;0, C640, "")</f>
        <v/>
      </c>
      <c r="BL654" s="200"/>
      <c r="BM654" s="200"/>
      <c r="BN654" s="200"/>
    </row>
    <row r="655" customFormat="false" ht="15" hidden="false" customHeight="true" outlineLevel="0" collapsed="false">
      <c r="B655" s="275"/>
      <c r="D655" s="276" t="n">
        <f aca="false">D639</f>
        <v>45505</v>
      </c>
      <c r="E655" s="277" t="n">
        <v>0</v>
      </c>
      <c r="F655" s="277" t="n">
        <v>0</v>
      </c>
      <c r="G655" s="277" t="n">
        <v>0</v>
      </c>
      <c r="H655" s="277" t="n">
        <v>0</v>
      </c>
      <c r="I655" s="277" t="n">
        <v>0</v>
      </c>
      <c r="J655" s="278" t="n">
        <f aca="false">E655+H655+I655</f>
        <v>0</v>
      </c>
      <c r="K655" s="204"/>
      <c r="L655" s="279" t="n">
        <v>1</v>
      </c>
      <c r="M655" s="280" t="n">
        <f aca="false">1-L655</f>
        <v>0</v>
      </c>
      <c r="N655" s="281"/>
      <c r="O655" s="282"/>
      <c r="P655" s="282"/>
      <c r="Q655" s="282"/>
      <c r="R655" s="282"/>
      <c r="S655" s="282"/>
      <c r="T655" s="282"/>
      <c r="U655" s="282"/>
      <c r="V655" s="282"/>
      <c r="W655" s="282"/>
      <c r="X655" s="282"/>
      <c r="Y655" s="282"/>
      <c r="Z655" s="282"/>
      <c r="AA655" s="283"/>
      <c r="AB655" s="284" t="n">
        <f aca="false">IFERROR(($J655*O655)*$L655, "")</f>
        <v>0</v>
      </c>
      <c r="AC655" s="284" t="n">
        <f aca="false">IFERROR(($J655*P655)*$L655, "")</f>
        <v>0</v>
      </c>
      <c r="AD655" s="284" t="n">
        <f aca="false">IFERROR(($J655*Q655)*$L655, "")</f>
        <v>0</v>
      </c>
      <c r="AE655" s="284" t="n">
        <f aca="false">IFERROR(($J655*R655)*$L655, "")</f>
        <v>0</v>
      </c>
      <c r="AF655" s="284" t="n">
        <f aca="false">IFERROR(($J655*S655)*$L655, "")</f>
        <v>0</v>
      </c>
      <c r="AG655" s="284" t="n">
        <f aca="false">IFERROR(($J655*T655)*$L655, "")</f>
        <v>0</v>
      </c>
      <c r="AH655" s="284" t="n">
        <f aca="false">IFERROR(($J655*U655)*$L655, "")</f>
        <v>0</v>
      </c>
      <c r="AI655" s="284" t="n">
        <f aca="false">IFERROR(($J655*V655)*$L655, "")</f>
        <v>0</v>
      </c>
      <c r="AJ655" s="284" t="n">
        <f aca="false">IFERROR(($J655*W655)*$L655, "")</f>
        <v>0</v>
      </c>
      <c r="AK655" s="284" t="n">
        <f aca="false">IFERROR(($J655*X655)*$L655, "")</f>
        <v>0</v>
      </c>
      <c r="AL655" s="284" t="n">
        <f aca="false">IFERROR(($J655*Y655)*$L655, "")</f>
        <v>0</v>
      </c>
      <c r="AM655" s="285" t="n">
        <f aca="false">IFERROR(($J655*Z655)*$L655, "")</f>
        <v>0</v>
      </c>
      <c r="AN655" s="286" t="n">
        <f aca="false">IFERROR(SUMIF($AB$4:$AM$4, "RDEC", AB655:AM655), "")</f>
        <v>0</v>
      </c>
      <c r="AO655" s="286" t="n">
        <f aca="false">IFERROR(SUMIF($AB$4:$AM$4, "SME", AB655:AM655), "")</f>
        <v>0</v>
      </c>
      <c r="AP655" s="286" t="n">
        <f aca="false">IFERROR(SUMIF($AB$4:$AM$4, "De Minimis", AB655:AM655), "")</f>
        <v>0</v>
      </c>
      <c r="AQ655" s="283"/>
      <c r="AR655" s="284" t="n">
        <f aca="false">IFERROR(($J655*O655)*$M655, "")</f>
        <v>0</v>
      </c>
      <c r="AS655" s="284" t="n">
        <f aca="false">IFERROR(($J655*P655)*$M655, "")</f>
        <v>0</v>
      </c>
      <c r="AT655" s="284" t="n">
        <f aca="false">IFERROR(($J655*Q655)*$M655, "")</f>
        <v>0</v>
      </c>
      <c r="AU655" s="284" t="n">
        <f aca="false">IFERROR(($J655*R655)*$M655, "")</f>
        <v>0</v>
      </c>
      <c r="AV655" s="284" t="n">
        <f aca="false">IFERROR(($J655*S655)*$M655, "")</f>
        <v>0</v>
      </c>
      <c r="AW655" s="284" t="n">
        <f aca="false">IFERROR(($J655*T655)*$M655, "")</f>
        <v>0</v>
      </c>
      <c r="AX655" s="284" t="n">
        <f aca="false">IFERROR(($J655*U655)*$M655, "")</f>
        <v>0</v>
      </c>
      <c r="AY655" s="284" t="n">
        <f aca="false">IFERROR(($J655*V655)*$M655, "")</f>
        <v>0</v>
      </c>
      <c r="AZ655" s="284" t="n">
        <f aca="false">IFERROR(($J655*W655)*$M655, "")</f>
        <v>0</v>
      </c>
      <c r="BA655" s="284" t="n">
        <f aca="false">IFERROR(($J655*X655)*$M655, "")</f>
        <v>0</v>
      </c>
      <c r="BB655" s="284" t="n">
        <f aca="false">IFERROR(($J655*Y655)*$M655, "")</f>
        <v>0</v>
      </c>
      <c r="BC655" s="285" t="n">
        <f aca="false">IFERROR(($J655*Z655)*$M655, "")</f>
        <v>0</v>
      </c>
      <c r="BD655" s="286" t="n">
        <f aca="false">IFERROR(SUMIF($AB$4:$AM$4, "RDEC", AR655:BC655), "")</f>
        <v>0</v>
      </c>
      <c r="BE655" s="286" t="n">
        <f aca="false">IFERROR(SUMIF($AB$4:$AM$4, "SME", AR655:BC655), "")</f>
        <v>0</v>
      </c>
      <c r="BF655" s="286" t="n">
        <f aca="false">IFERROR(SUMIF($AB$4:$AM$4, "De Minimis", AR655:BC655), "")</f>
        <v>0</v>
      </c>
      <c r="BG655" s="287"/>
      <c r="BH655" s="288" t="str">
        <f aca="false">IF((SUM(O655:Z655)&gt;1),"ERROR","")</f>
        <v/>
      </c>
      <c r="BI655" s="287"/>
      <c r="BJ655" s="18" t="str">
        <f aca="false">IF(C641&gt;0, C641, "")</f>
        <v/>
      </c>
      <c r="BL655" s="200"/>
      <c r="BM655" s="200"/>
      <c r="BN655" s="200"/>
    </row>
    <row r="656" customFormat="false" ht="15" hidden="false" customHeight="true" outlineLevel="0" collapsed="false">
      <c r="B656" s="275"/>
      <c r="D656" s="276" t="n">
        <f aca="false">D640</f>
        <v>45536</v>
      </c>
      <c r="E656" s="277" t="n">
        <v>0</v>
      </c>
      <c r="F656" s="277" t="n">
        <v>0</v>
      </c>
      <c r="G656" s="277" t="n">
        <v>0</v>
      </c>
      <c r="H656" s="277" t="n">
        <v>0</v>
      </c>
      <c r="I656" s="277" t="n">
        <v>0</v>
      </c>
      <c r="J656" s="278" t="n">
        <f aca="false">E656+H656+I656</f>
        <v>0</v>
      </c>
      <c r="K656" s="204"/>
      <c r="L656" s="279" t="n">
        <v>1</v>
      </c>
      <c r="M656" s="280" t="n">
        <f aca="false">1-L656</f>
        <v>0</v>
      </c>
      <c r="N656" s="281"/>
      <c r="O656" s="282"/>
      <c r="P656" s="282"/>
      <c r="Q656" s="282"/>
      <c r="R656" s="282"/>
      <c r="S656" s="282"/>
      <c r="T656" s="282"/>
      <c r="U656" s="282"/>
      <c r="V656" s="282"/>
      <c r="W656" s="282"/>
      <c r="X656" s="282"/>
      <c r="Y656" s="282"/>
      <c r="Z656" s="282"/>
      <c r="AA656" s="283"/>
      <c r="AB656" s="284" t="n">
        <f aca="false">IFERROR(($J656*O656)*$L656, "")</f>
        <v>0</v>
      </c>
      <c r="AC656" s="284" t="n">
        <f aca="false">IFERROR(($J656*P656)*$L656, "")</f>
        <v>0</v>
      </c>
      <c r="AD656" s="284" t="n">
        <f aca="false">IFERROR(($J656*Q656)*$L656, "")</f>
        <v>0</v>
      </c>
      <c r="AE656" s="284" t="n">
        <f aca="false">IFERROR(($J656*R656)*$L656, "")</f>
        <v>0</v>
      </c>
      <c r="AF656" s="284" t="n">
        <f aca="false">IFERROR(($J656*S656)*$L656, "")</f>
        <v>0</v>
      </c>
      <c r="AG656" s="284" t="n">
        <f aca="false">IFERROR(($J656*T656)*$L656, "")</f>
        <v>0</v>
      </c>
      <c r="AH656" s="284" t="n">
        <f aca="false">IFERROR(($J656*U656)*$L656, "")</f>
        <v>0</v>
      </c>
      <c r="AI656" s="284" t="n">
        <f aca="false">IFERROR(($J656*V656)*$L656, "")</f>
        <v>0</v>
      </c>
      <c r="AJ656" s="284" t="n">
        <f aca="false">IFERROR(($J656*W656)*$L656, "")</f>
        <v>0</v>
      </c>
      <c r="AK656" s="284" t="n">
        <f aca="false">IFERROR(($J656*X656)*$L656, "")</f>
        <v>0</v>
      </c>
      <c r="AL656" s="284" t="n">
        <f aca="false">IFERROR(($J656*Y656)*$L656, "")</f>
        <v>0</v>
      </c>
      <c r="AM656" s="285" t="n">
        <f aca="false">IFERROR(($J656*Z656)*$L656, "")</f>
        <v>0</v>
      </c>
      <c r="AN656" s="286" t="n">
        <f aca="false">IFERROR(SUMIF($AB$4:$AM$4, "RDEC", AB656:AM656), "")</f>
        <v>0</v>
      </c>
      <c r="AO656" s="286" t="n">
        <f aca="false">IFERROR(SUMIF($AB$4:$AM$4, "SME", AB656:AM656), "")</f>
        <v>0</v>
      </c>
      <c r="AP656" s="286" t="n">
        <f aca="false">IFERROR(SUMIF($AB$4:$AM$4, "De Minimis", AB656:AM656), "")</f>
        <v>0</v>
      </c>
      <c r="AQ656" s="283"/>
      <c r="AR656" s="284" t="n">
        <f aca="false">IFERROR(($J656*O656)*$M656, "")</f>
        <v>0</v>
      </c>
      <c r="AS656" s="284" t="n">
        <f aca="false">IFERROR(($J656*P656)*$M656, "")</f>
        <v>0</v>
      </c>
      <c r="AT656" s="284" t="n">
        <f aca="false">IFERROR(($J656*Q656)*$M656, "")</f>
        <v>0</v>
      </c>
      <c r="AU656" s="284" t="n">
        <f aca="false">IFERROR(($J656*R656)*$M656, "")</f>
        <v>0</v>
      </c>
      <c r="AV656" s="284" t="n">
        <f aca="false">IFERROR(($J656*S656)*$M656, "")</f>
        <v>0</v>
      </c>
      <c r="AW656" s="284" t="n">
        <f aca="false">IFERROR(($J656*T656)*$M656, "")</f>
        <v>0</v>
      </c>
      <c r="AX656" s="284" t="n">
        <f aca="false">IFERROR(($J656*U656)*$M656, "")</f>
        <v>0</v>
      </c>
      <c r="AY656" s="284" t="n">
        <f aca="false">IFERROR(($J656*V656)*$M656, "")</f>
        <v>0</v>
      </c>
      <c r="AZ656" s="284" t="n">
        <f aca="false">IFERROR(($J656*W656)*$M656, "")</f>
        <v>0</v>
      </c>
      <c r="BA656" s="284" t="n">
        <f aca="false">IFERROR(($J656*X656)*$M656, "")</f>
        <v>0</v>
      </c>
      <c r="BB656" s="284" t="n">
        <f aca="false">IFERROR(($J656*Y656)*$M656, "")</f>
        <v>0</v>
      </c>
      <c r="BC656" s="285" t="n">
        <f aca="false">IFERROR(($J656*Z656)*$M656, "")</f>
        <v>0</v>
      </c>
      <c r="BD656" s="286" t="n">
        <f aca="false">IFERROR(SUMIF($AB$4:$AM$4, "RDEC", AR656:BC656), "")</f>
        <v>0</v>
      </c>
      <c r="BE656" s="286" t="n">
        <f aca="false">IFERROR(SUMIF($AB$4:$AM$4, "SME", AR656:BC656), "")</f>
        <v>0</v>
      </c>
      <c r="BF656" s="286" t="n">
        <f aca="false">IFERROR(SUMIF($AB$4:$AM$4, "De Minimis", AR656:BC656), "")</f>
        <v>0</v>
      </c>
      <c r="BG656" s="287"/>
      <c r="BH656" s="288" t="str">
        <f aca="false">IF((SUM(O656:Z656)&gt;1),"ERROR","")</f>
        <v/>
      </c>
      <c r="BI656" s="287"/>
      <c r="BJ656" s="18" t="str">
        <f aca="false">IF(C642&gt;0, C642, "")</f>
        <v/>
      </c>
      <c r="BL656" s="200"/>
      <c r="BM656" s="200"/>
      <c r="BN656" s="200"/>
    </row>
    <row r="657" customFormat="false" ht="15" hidden="false" customHeight="true" outlineLevel="0" collapsed="false">
      <c r="B657" s="275"/>
      <c r="D657" s="276" t="n">
        <f aca="false">D641</f>
        <v>45566</v>
      </c>
      <c r="E657" s="277" t="n">
        <v>0</v>
      </c>
      <c r="F657" s="277" t="n">
        <v>0</v>
      </c>
      <c r="G657" s="277" t="n">
        <v>0</v>
      </c>
      <c r="H657" s="277" t="n">
        <v>0</v>
      </c>
      <c r="I657" s="277" t="n">
        <v>0</v>
      </c>
      <c r="J657" s="278" t="n">
        <f aca="false">E657+H657+I657</f>
        <v>0</v>
      </c>
      <c r="K657" s="204"/>
      <c r="L657" s="279" t="n">
        <v>1</v>
      </c>
      <c r="M657" s="280" t="n">
        <f aca="false">1-L657</f>
        <v>0</v>
      </c>
      <c r="N657" s="281"/>
      <c r="O657" s="282"/>
      <c r="P657" s="282"/>
      <c r="Q657" s="282"/>
      <c r="R657" s="282"/>
      <c r="S657" s="282"/>
      <c r="T657" s="282"/>
      <c r="U657" s="282"/>
      <c r="V657" s="282"/>
      <c r="W657" s="282"/>
      <c r="X657" s="282"/>
      <c r="Y657" s="282"/>
      <c r="Z657" s="282"/>
      <c r="AA657" s="283"/>
      <c r="AB657" s="284" t="n">
        <f aca="false">IFERROR(($J657*O657)*$L657, "")</f>
        <v>0</v>
      </c>
      <c r="AC657" s="284" t="n">
        <f aca="false">IFERROR(($J657*P657)*$L657, "")</f>
        <v>0</v>
      </c>
      <c r="AD657" s="284" t="n">
        <f aca="false">IFERROR(($J657*Q657)*$L657, "")</f>
        <v>0</v>
      </c>
      <c r="AE657" s="284" t="n">
        <f aca="false">IFERROR(($J657*R657)*$L657, "")</f>
        <v>0</v>
      </c>
      <c r="AF657" s="284" t="n">
        <f aca="false">IFERROR(($J657*S657)*$L657, "")</f>
        <v>0</v>
      </c>
      <c r="AG657" s="284" t="n">
        <f aca="false">IFERROR(($J657*T657)*$L657, "")</f>
        <v>0</v>
      </c>
      <c r="AH657" s="284" t="n">
        <f aca="false">IFERROR(($J657*U657)*$L657, "")</f>
        <v>0</v>
      </c>
      <c r="AI657" s="284" t="n">
        <f aca="false">IFERROR(($J657*V657)*$L657, "")</f>
        <v>0</v>
      </c>
      <c r="AJ657" s="284" t="n">
        <f aca="false">IFERROR(($J657*W657)*$L657, "")</f>
        <v>0</v>
      </c>
      <c r="AK657" s="284" t="n">
        <f aca="false">IFERROR(($J657*X657)*$L657, "")</f>
        <v>0</v>
      </c>
      <c r="AL657" s="284" t="n">
        <f aca="false">IFERROR(($J657*Y657)*$L657, "")</f>
        <v>0</v>
      </c>
      <c r="AM657" s="285" t="n">
        <f aca="false">IFERROR(($J657*Z657)*$L657, "")</f>
        <v>0</v>
      </c>
      <c r="AN657" s="286" t="n">
        <f aca="false">IFERROR(SUMIF($AB$4:$AM$4, "RDEC", AB657:AM657), "")</f>
        <v>0</v>
      </c>
      <c r="AO657" s="286" t="n">
        <f aca="false">IFERROR(SUMIF($AB$4:$AM$4, "SME", AB657:AM657), "")</f>
        <v>0</v>
      </c>
      <c r="AP657" s="286" t="n">
        <f aca="false">IFERROR(SUMIF($AB$4:$AM$4, "De Minimis", AB657:AM657), "")</f>
        <v>0</v>
      </c>
      <c r="AQ657" s="283"/>
      <c r="AR657" s="284" t="n">
        <f aca="false">IFERROR(($J657*O657)*$M657, "")</f>
        <v>0</v>
      </c>
      <c r="AS657" s="284" t="n">
        <f aca="false">IFERROR(($J657*P657)*$M657, "")</f>
        <v>0</v>
      </c>
      <c r="AT657" s="284" t="n">
        <f aca="false">IFERROR(($J657*Q657)*$M657, "")</f>
        <v>0</v>
      </c>
      <c r="AU657" s="284" t="n">
        <f aca="false">IFERROR(($J657*R657)*$M657, "")</f>
        <v>0</v>
      </c>
      <c r="AV657" s="284" t="n">
        <f aca="false">IFERROR(($J657*S657)*$M657, "")</f>
        <v>0</v>
      </c>
      <c r="AW657" s="284" t="n">
        <f aca="false">IFERROR(($J657*T657)*$M657, "")</f>
        <v>0</v>
      </c>
      <c r="AX657" s="284" t="n">
        <f aca="false">IFERROR(($J657*U657)*$M657, "")</f>
        <v>0</v>
      </c>
      <c r="AY657" s="284" t="n">
        <f aca="false">IFERROR(($J657*V657)*$M657, "")</f>
        <v>0</v>
      </c>
      <c r="AZ657" s="284" t="n">
        <f aca="false">IFERROR(($J657*W657)*$M657, "")</f>
        <v>0</v>
      </c>
      <c r="BA657" s="284" t="n">
        <f aca="false">IFERROR(($J657*X657)*$M657, "")</f>
        <v>0</v>
      </c>
      <c r="BB657" s="284" t="n">
        <f aca="false">IFERROR(($J657*Y657)*$M657, "")</f>
        <v>0</v>
      </c>
      <c r="BC657" s="285" t="n">
        <f aca="false">IFERROR(($J657*Z657)*$M657, "")</f>
        <v>0</v>
      </c>
      <c r="BD657" s="286" t="n">
        <f aca="false">IFERROR(SUMIF($AB$4:$AM$4, "RDEC", AR657:BC657), "")</f>
        <v>0</v>
      </c>
      <c r="BE657" s="286" t="n">
        <f aca="false">IFERROR(SUMIF($AB$4:$AM$4, "SME", AR657:BC657), "")</f>
        <v>0</v>
      </c>
      <c r="BF657" s="286" t="n">
        <f aca="false">IFERROR(SUMIF($AB$4:$AM$4, "De Minimis", AR657:BC657), "")</f>
        <v>0</v>
      </c>
      <c r="BG657" s="287"/>
      <c r="BH657" s="288" t="str">
        <f aca="false">IF((SUM(O657:Z657)&gt;1),"ERROR","")</f>
        <v/>
      </c>
      <c r="BI657" s="287"/>
      <c r="BJ657" s="18" t="str">
        <f aca="false">IF(C643&gt;0, C643, "")</f>
        <v/>
      </c>
      <c r="BL657" s="200"/>
      <c r="BM657" s="200"/>
      <c r="BN657" s="200"/>
    </row>
    <row r="658" customFormat="false" ht="15" hidden="false" customHeight="true" outlineLevel="0" collapsed="false">
      <c r="B658" s="275"/>
      <c r="D658" s="276" t="n">
        <f aca="false">D642</f>
        <v>45597</v>
      </c>
      <c r="E658" s="277" t="n">
        <v>0</v>
      </c>
      <c r="F658" s="277" t="n">
        <v>0</v>
      </c>
      <c r="G658" s="277" t="n">
        <v>0</v>
      </c>
      <c r="H658" s="277" t="n">
        <v>0</v>
      </c>
      <c r="I658" s="277" t="n">
        <v>0</v>
      </c>
      <c r="J658" s="278" t="n">
        <f aca="false">E658+H658+I658</f>
        <v>0</v>
      </c>
      <c r="K658" s="204"/>
      <c r="L658" s="279" t="n">
        <v>1</v>
      </c>
      <c r="M658" s="280" t="n">
        <f aca="false">1-L658</f>
        <v>0</v>
      </c>
      <c r="N658" s="281"/>
      <c r="O658" s="282"/>
      <c r="P658" s="282"/>
      <c r="Q658" s="282"/>
      <c r="R658" s="282"/>
      <c r="S658" s="282"/>
      <c r="T658" s="282"/>
      <c r="U658" s="282"/>
      <c r="V658" s="282"/>
      <c r="W658" s="282"/>
      <c r="X658" s="282"/>
      <c r="Y658" s="282"/>
      <c r="Z658" s="282"/>
      <c r="AA658" s="283"/>
      <c r="AB658" s="284" t="n">
        <f aca="false">IFERROR(($J658*O658)*$L658, "")</f>
        <v>0</v>
      </c>
      <c r="AC658" s="284" t="n">
        <f aca="false">IFERROR(($J658*P658)*$L658, "")</f>
        <v>0</v>
      </c>
      <c r="AD658" s="284" t="n">
        <f aca="false">IFERROR(($J658*Q658)*$L658, "")</f>
        <v>0</v>
      </c>
      <c r="AE658" s="284" t="n">
        <f aca="false">IFERROR(($J658*R658)*$L658, "")</f>
        <v>0</v>
      </c>
      <c r="AF658" s="284" t="n">
        <f aca="false">IFERROR(($J658*S658)*$L658, "")</f>
        <v>0</v>
      </c>
      <c r="AG658" s="284" t="n">
        <f aca="false">IFERROR(($J658*T658)*$L658, "")</f>
        <v>0</v>
      </c>
      <c r="AH658" s="284" t="n">
        <f aca="false">IFERROR(($J658*U658)*$L658, "")</f>
        <v>0</v>
      </c>
      <c r="AI658" s="284" t="n">
        <f aca="false">IFERROR(($J658*V658)*$L658, "")</f>
        <v>0</v>
      </c>
      <c r="AJ658" s="284" t="n">
        <f aca="false">IFERROR(($J658*W658)*$L658, "")</f>
        <v>0</v>
      </c>
      <c r="AK658" s="284" t="n">
        <f aca="false">IFERROR(($J658*X658)*$L658, "")</f>
        <v>0</v>
      </c>
      <c r="AL658" s="284" t="n">
        <f aca="false">IFERROR(($J658*Y658)*$L658, "")</f>
        <v>0</v>
      </c>
      <c r="AM658" s="285" t="n">
        <f aca="false">IFERROR(($J658*Z658)*$L658, "")</f>
        <v>0</v>
      </c>
      <c r="AN658" s="286" t="n">
        <f aca="false">IFERROR(SUMIF($AB$4:$AM$4, "RDEC", AB658:AM658), "")</f>
        <v>0</v>
      </c>
      <c r="AO658" s="286" t="n">
        <f aca="false">IFERROR(SUMIF($AB$4:$AM$4, "SME", AB658:AM658), "")</f>
        <v>0</v>
      </c>
      <c r="AP658" s="286" t="n">
        <f aca="false">IFERROR(SUMIF($AB$4:$AM$4, "De Minimis", AB658:AM658), "")</f>
        <v>0</v>
      </c>
      <c r="AQ658" s="283"/>
      <c r="AR658" s="284" t="n">
        <f aca="false">IFERROR(($J658*O658)*$M658, "")</f>
        <v>0</v>
      </c>
      <c r="AS658" s="284" t="n">
        <f aca="false">IFERROR(($J658*P658)*$M658, "")</f>
        <v>0</v>
      </c>
      <c r="AT658" s="284" t="n">
        <f aca="false">IFERROR(($J658*Q658)*$M658, "")</f>
        <v>0</v>
      </c>
      <c r="AU658" s="284" t="n">
        <f aca="false">IFERROR(($J658*R658)*$M658, "")</f>
        <v>0</v>
      </c>
      <c r="AV658" s="284" t="n">
        <f aca="false">IFERROR(($J658*S658)*$M658, "")</f>
        <v>0</v>
      </c>
      <c r="AW658" s="284" t="n">
        <f aca="false">IFERROR(($J658*T658)*$M658, "")</f>
        <v>0</v>
      </c>
      <c r="AX658" s="284" t="n">
        <f aca="false">IFERROR(($J658*U658)*$M658, "")</f>
        <v>0</v>
      </c>
      <c r="AY658" s="284" t="n">
        <f aca="false">IFERROR(($J658*V658)*$M658, "")</f>
        <v>0</v>
      </c>
      <c r="AZ658" s="284" t="n">
        <f aca="false">IFERROR(($J658*W658)*$M658, "")</f>
        <v>0</v>
      </c>
      <c r="BA658" s="284" t="n">
        <f aca="false">IFERROR(($J658*X658)*$M658, "")</f>
        <v>0</v>
      </c>
      <c r="BB658" s="284" t="n">
        <f aca="false">IFERROR(($J658*Y658)*$M658, "")</f>
        <v>0</v>
      </c>
      <c r="BC658" s="285" t="n">
        <f aca="false">IFERROR(($J658*Z658)*$M658, "")</f>
        <v>0</v>
      </c>
      <c r="BD658" s="286" t="n">
        <f aca="false">IFERROR(SUMIF($AB$4:$AM$4, "RDEC", AR658:BC658), "")</f>
        <v>0</v>
      </c>
      <c r="BE658" s="286" t="n">
        <f aca="false">IFERROR(SUMIF($AB$4:$AM$4, "SME", AR658:BC658), "")</f>
        <v>0</v>
      </c>
      <c r="BF658" s="286" t="n">
        <f aca="false">IFERROR(SUMIF($AB$4:$AM$4, "De Minimis", AR658:BC658), "")</f>
        <v>0</v>
      </c>
      <c r="BG658" s="287"/>
      <c r="BH658" s="288" t="str">
        <f aca="false">IF((SUM(O658:Z658)&gt;1),"ERROR","")</f>
        <v/>
      </c>
      <c r="BI658" s="287"/>
      <c r="BJ658" s="18" t="str">
        <f aca="false">IF(C644&gt;0, C644, "")</f>
        <v/>
      </c>
      <c r="BL658" s="200"/>
      <c r="BM658" s="200"/>
      <c r="BN658" s="200"/>
    </row>
    <row r="659" customFormat="false" ht="15" hidden="false" customHeight="true" outlineLevel="0" collapsed="false">
      <c r="B659" s="275"/>
      <c r="D659" s="276" t="n">
        <f aca="false">D643</f>
        <v>45627</v>
      </c>
      <c r="E659" s="277" t="n">
        <v>0</v>
      </c>
      <c r="F659" s="277" t="n">
        <v>0</v>
      </c>
      <c r="G659" s="277" t="n">
        <v>0</v>
      </c>
      <c r="H659" s="277" t="n">
        <v>0</v>
      </c>
      <c r="I659" s="277" t="n">
        <v>0</v>
      </c>
      <c r="J659" s="278" t="n">
        <f aca="false">E659+H659+I659</f>
        <v>0</v>
      </c>
      <c r="K659" s="204"/>
      <c r="L659" s="289" t="n">
        <v>1</v>
      </c>
      <c r="M659" s="290" t="n">
        <f aca="false">1-L659</f>
        <v>0</v>
      </c>
      <c r="N659" s="281"/>
      <c r="O659" s="291"/>
      <c r="P659" s="291"/>
      <c r="Q659" s="291"/>
      <c r="R659" s="291"/>
      <c r="S659" s="291"/>
      <c r="T659" s="291"/>
      <c r="U659" s="291"/>
      <c r="V659" s="291"/>
      <c r="W659" s="291"/>
      <c r="X659" s="291"/>
      <c r="Y659" s="291"/>
      <c r="Z659" s="291"/>
      <c r="AA659" s="283"/>
      <c r="AB659" s="292" t="n">
        <f aca="false">IFERROR(($J659*O659)*$L659, "")</f>
        <v>0</v>
      </c>
      <c r="AC659" s="292" t="n">
        <f aca="false">IFERROR(($J659*P659)*$L659, "")</f>
        <v>0</v>
      </c>
      <c r="AD659" s="292" t="n">
        <f aca="false">IFERROR(($J659*Q659)*$L659, "")</f>
        <v>0</v>
      </c>
      <c r="AE659" s="292" t="n">
        <f aca="false">IFERROR(($J659*R659)*$L659, "")</f>
        <v>0</v>
      </c>
      <c r="AF659" s="292" t="n">
        <f aca="false">IFERROR(($J659*S659)*$L659, "")</f>
        <v>0</v>
      </c>
      <c r="AG659" s="292" t="n">
        <f aca="false">IFERROR(($J659*T659)*$L659, "")</f>
        <v>0</v>
      </c>
      <c r="AH659" s="292" t="n">
        <f aca="false">IFERROR(($J659*U659)*$L659, "")</f>
        <v>0</v>
      </c>
      <c r="AI659" s="292" t="n">
        <f aca="false">IFERROR(($J659*V659)*$L659, "")</f>
        <v>0</v>
      </c>
      <c r="AJ659" s="292" t="n">
        <f aca="false">IFERROR(($J659*W659)*$L659, "")</f>
        <v>0</v>
      </c>
      <c r="AK659" s="292" t="n">
        <f aca="false">IFERROR(($J659*X659)*$L659, "")</f>
        <v>0</v>
      </c>
      <c r="AL659" s="292" t="n">
        <f aca="false">IFERROR(($J659*Y659)*$L659, "")</f>
        <v>0</v>
      </c>
      <c r="AM659" s="293" t="n">
        <f aca="false">IFERROR(($J659*Z659)*$L659, "")</f>
        <v>0</v>
      </c>
      <c r="AN659" s="294" t="n">
        <f aca="false">IFERROR(SUMIF($AB$4:$AM$4, "RDEC", AB659:AM659), "")</f>
        <v>0</v>
      </c>
      <c r="AO659" s="294" t="n">
        <f aca="false">IFERROR(SUMIF($AB$4:$AM$4, "SME", AB659:AM659), "")</f>
        <v>0</v>
      </c>
      <c r="AP659" s="294" t="n">
        <f aca="false">IFERROR(SUMIF($AB$4:$AM$4, "De Minimis", AB659:AM659), "")</f>
        <v>0</v>
      </c>
      <c r="AQ659" s="283"/>
      <c r="AR659" s="292" t="n">
        <f aca="false">IFERROR(($J659*O659)*$M659, "")</f>
        <v>0</v>
      </c>
      <c r="AS659" s="292" t="n">
        <f aca="false">IFERROR(($J659*P659)*$M659, "")</f>
        <v>0</v>
      </c>
      <c r="AT659" s="292" t="n">
        <f aca="false">IFERROR(($J659*Q659)*$M659, "")</f>
        <v>0</v>
      </c>
      <c r="AU659" s="292" t="n">
        <f aca="false">IFERROR(($J659*R659)*$M659, "")</f>
        <v>0</v>
      </c>
      <c r="AV659" s="292" t="n">
        <f aca="false">IFERROR(($J659*S659)*$M659, "")</f>
        <v>0</v>
      </c>
      <c r="AW659" s="292" t="n">
        <f aca="false">IFERROR(($J659*T659)*$M659, "")</f>
        <v>0</v>
      </c>
      <c r="AX659" s="292" t="n">
        <f aca="false">IFERROR(($J659*U659)*$M659, "")</f>
        <v>0</v>
      </c>
      <c r="AY659" s="292" t="n">
        <f aca="false">IFERROR(($J659*V659)*$M659, "")</f>
        <v>0</v>
      </c>
      <c r="AZ659" s="292" t="n">
        <f aca="false">IFERROR(($J659*W659)*$M659, "")</f>
        <v>0</v>
      </c>
      <c r="BA659" s="292" t="n">
        <f aca="false">IFERROR(($J659*X659)*$M659, "")</f>
        <v>0</v>
      </c>
      <c r="BB659" s="292" t="n">
        <f aca="false">IFERROR(($J659*Y659)*$M659, "")</f>
        <v>0</v>
      </c>
      <c r="BC659" s="293" t="n">
        <f aca="false">IFERROR(($J659*Z659)*$M659, "")</f>
        <v>0</v>
      </c>
      <c r="BD659" s="294" t="n">
        <f aca="false">IFERROR(SUMIF($AB$4:$AM$4, "RDEC", AR659:BC659), "")</f>
        <v>0</v>
      </c>
      <c r="BE659" s="294" t="n">
        <f aca="false">IFERROR(SUMIF($AB$4:$AM$4, "SME", AR659:BC659), "")</f>
        <v>0</v>
      </c>
      <c r="BF659" s="294" t="n">
        <f aca="false">IFERROR(SUMIF($AB$4:$AM$4, "De Minimis", AR659:BC659), "")</f>
        <v>0</v>
      </c>
      <c r="BG659" s="287"/>
      <c r="BH659" s="295" t="str">
        <f aca="false">IF((SUM(O659:Z659)&gt;1),"ERROR","")</f>
        <v/>
      </c>
      <c r="BI659" s="287"/>
      <c r="BJ659" s="18" t="str">
        <f aca="false">IF(C645&gt;0, C645, "")</f>
        <v/>
      </c>
      <c r="BL659" s="200"/>
      <c r="BM659" s="200"/>
      <c r="BN659" s="200"/>
    </row>
    <row r="660" customFormat="false" ht="15" hidden="false" customHeight="true" outlineLevel="0" collapsed="false">
      <c r="B660" s="296"/>
      <c r="D660" s="297" t="s">
        <v>82</v>
      </c>
      <c r="E660" s="298" t="n">
        <f aca="false">SUM(E648:E659)</f>
        <v>0</v>
      </c>
      <c r="F660" s="298" t="n">
        <f aca="false">SUM(F648:F659)</f>
        <v>0</v>
      </c>
      <c r="G660" s="298" t="n">
        <f aca="false">SUM(G648:G659)</f>
        <v>0</v>
      </c>
      <c r="H660" s="298" t="n">
        <f aca="false">SUM(H648:H659)</f>
        <v>0</v>
      </c>
      <c r="I660" s="298" t="n">
        <f aca="false">SUM(I648:I659)</f>
        <v>0</v>
      </c>
      <c r="J660" s="299" t="n">
        <f aca="false">SUM(J648:J659)</f>
        <v>0</v>
      </c>
      <c r="K660" s="300"/>
      <c r="L660" s="301" t="n">
        <f aca="false">AVERAGE(L648:L659)</f>
        <v>1</v>
      </c>
      <c r="M660" s="301" t="n">
        <f aca="false">AVERAGE(M648:M659)</f>
        <v>0</v>
      </c>
      <c r="N660" s="302"/>
      <c r="O660" s="290" t="n">
        <f aca="false">IF(SUM(O648:O659)&gt;0,((AB660+AR660)/J660),0)</f>
        <v>0</v>
      </c>
      <c r="P660" s="290" t="n">
        <f aca="false">IF(SUM(P648:P659)&gt;0,((AC660+AS660)/J660),0)</f>
        <v>0</v>
      </c>
      <c r="Q660" s="290" t="n">
        <f aca="false">IF(SUM(Q648:Q659)&gt;0,((AD660+AT660)/J660),0)</f>
        <v>0</v>
      </c>
      <c r="R660" s="290" t="n">
        <f aca="false">IF(SUM(R648:R659)&gt;0,((AE660+AU660)/J660),0)</f>
        <v>0</v>
      </c>
      <c r="S660" s="290" t="n">
        <f aca="false">IF(SUM(S648:S659)&gt;0,((AF660+AV660)/J660),0)</f>
        <v>0</v>
      </c>
      <c r="T660" s="290" t="n">
        <f aca="false">IF(SUM(T648:T659)&gt;0,((AG660+AW660)/J660),0)</f>
        <v>0</v>
      </c>
      <c r="U660" s="290" t="n">
        <f aca="false">IF(SUM(U648:U659)&gt;0,((AH660+AX660)/J660),0)</f>
        <v>0</v>
      </c>
      <c r="V660" s="290" t="n">
        <f aca="false">IF(SUM(V648:V659)&gt;0,((AI660+AY660)/J660),0)</f>
        <v>0</v>
      </c>
      <c r="W660" s="290" t="n">
        <f aca="false">IF(SUM(W648:W659)&gt;0,((AJ660+AZ660)/J660),0)</f>
        <v>0</v>
      </c>
      <c r="X660" s="290" t="n">
        <f aca="false">IF(SUM(X648:X659)&gt;0,((AK660+BA660)/J660),0)</f>
        <v>0</v>
      </c>
      <c r="Y660" s="290" t="n">
        <f aca="false">IF(SUM(Y648:Y659)&gt;0,((AL660+BB660)/J660),0)</f>
        <v>0</v>
      </c>
      <c r="Z660" s="290" t="n">
        <f aca="false">IF(SUM(Z648:Z659)&gt;0,((AM660+BC660)/J660),0)</f>
        <v>0</v>
      </c>
      <c r="AA660" s="303"/>
      <c r="AB660" s="292" t="n">
        <f aca="false">SUM(AB648:AB659)</f>
        <v>0</v>
      </c>
      <c r="AC660" s="304" t="n">
        <f aca="false">SUM(AC648:AC659)</f>
        <v>0</v>
      </c>
      <c r="AD660" s="304" t="n">
        <f aca="false">SUM(AD648:AD659)</f>
        <v>0</v>
      </c>
      <c r="AE660" s="304" t="n">
        <f aca="false">SUM(AE648:AE659)</f>
        <v>0</v>
      </c>
      <c r="AF660" s="304" t="n">
        <f aca="false">SUM(AF648:AF659)</f>
        <v>0</v>
      </c>
      <c r="AG660" s="304" t="n">
        <f aca="false">SUM(AG648:AG659)</f>
        <v>0</v>
      </c>
      <c r="AH660" s="304" t="n">
        <f aca="false">SUM(AH648:AH659)</f>
        <v>0</v>
      </c>
      <c r="AI660" s="304" t="n">
        <f aca="false">SUM(AI648:AI659)</f>
        <v>0</v>
      </c>
      <c r="AJ660" s="304" t="n">
        <f aca="false">SUM(AJ648:AJ659)</f>
        <v>0</v>
      </c>
      <c r="AK660" s="304" t="n">
        <f aca="false">SUM(AK648:AK659)</f>
        <v>0</v>
      </c>
      <c r="AL660" s="304" t="n">
        <f aca="false">SUM(AL648:AL659)</f>
        <v>0</v>
      </c>
      <c r="AM660" s="304" t="n">
        <f aca="false">SUM(AM648:AM659)</f>
        <v>0</v>
      </c>
      <c r="AN660" s="305" t="n">
        <f aca="false">SUM(AN648:AN659)</f>
        <v>0</v>
      </c>
      <c r="AO660" s="305" t="n">
        <f aca="false">SUM(AO648:AO659)</f>
        <v>0</v>
      </c>
      <c r="AP660" s="305" t="n">
        <f aca="false">SUM(AP648:AP659)</f>
        <v>0</v>
      </c>
      <c r="AQ660" s="303"/>
      <c r="AR660" s="292" t="n">
        <f aca="false">SUM(AR648:AR659)</f>
        <v>0</v>
      </c>
      <c r="AS660" s="304" t="n">
        <f aca="false">SUM(AS648:AS659)</f>
        <v>0</v>
      </c>
      <c r="AT660" s="304" t="n">
        <f aca="false">SUM(AT648:AT659)</f>
        <v>0</v>
      </c>
      <c r="AU660" s="304" t="n">
        <f aca="false">SUM(AU648:AU659)</f>
        <v>0</v>
      </c>
      <c r="AV660" s="304" t="n">
        <f aca="false">SUM(AV648:AV659)</f>
        <v>0</v>
      </c>
      <c r="AW660" s="304" t="n">
        <f aca="false">SUM(AW648:AW659)</f>
        <v>0</v>
      </c>
      <c r="AX660" s="304" t="n">
        <f aca="false">SUM(AX648:AX659)</f>
        <v>0</v>
      </c>
      <c r="AY660" s="304" t="n">
        <f aca="false">SUM(AY648:AY659)</f>
        <v>0</v>
      </c>
      <c r="AZ660" s="304" t="n">
        <f aca="false">SUM(AZ648:AZ659)</f>
        <v>0</v>
      </c>
      <c r="BA660" s="304" t="n">
        <f aca="false">SUM(BA648:BA659)</f>
        <v>0</v>
      </c>
      <c r="BB660" s="304" t="n">
        <f aca="false">SUM(BB648:BB659)</f>
        <v>0</v>
      </c>
      <c r="BC660" s="304" t="n">
        <f aca="false">SUM(BC648:BC659)</f>
        <v>0</v>
      </c>
      <c r="BD660" s="305" t="n">
        <f aca="false">SUM(BD648:BD659)</f>
        <v>0</v>
      </c>
      <c r="BE660" s="305" t="n">
        <f aca="false">SUM(BE648:BE659)</f>
        <v>0</v>
      </c>
      <c r="BF660" s="305" t="n">
        <f aca="false">SUM(BF648:BF659)</f>
        <v>0</v>
      </c>
      <c r="BG660" s="303"/>
      <c r="BH660" s="306"/>
      <c r="BI660" s="303"/>
      <c r="BJ660" s="307" t="str">
        <f aca="false">IF(C646&gt;0, C646, "")</f>
        <v>TBA</v>
      </c>
      <c r="BK660" s="18" t="s">
        <v>234</v>
      </c>
      <c r="BL660" s="200" t="n">
        <f aca="false">IF($BK660="Y",J660,0)</f>
        <v>0</v>
      </c>
      <c r="BM660" s="200" t="n">
        <f aca="false">IF(BK660="Y", AN660,0)</f>
        <v>0</v>
      </c>
      <c r="BN660" s="200" t="n">
        <f aca="false">IF((BK660="Y"),AO660,0)</f>
        <v>0</v>
      </c>
    </row>
    <row r="661" customFormat="false" ht="15" hidden="false" customHeight="true" outlineLevel="0" collapsed="false">
      <c r="B661" s="296"/>
      <c r="D661" s="297"/>
      <c r="E661" s="277"/>
      <c r="F661" s="277"/>
      <c r="G661" s="277"/>
      <c r="H661" s="277"/>
      <c r="I661" s="277"/>
      <c r="J661" s="300"/>
      <c r="K661" s="300"/>
      <c r="L661" s="302"/>
      <c r="M661" s="302"/>
      <c r="N661" s="302"/>
      <c r="O661" s="308"/>
      <c r="P661" s="308"/>
      <c r="Q661" s="308"/>
      <c r="R661" s="308"/>
      <c r="S661" s="308"/>
      <c r="T661" s="308"/>
      <c r="U661" s="308"/>
      <c r="V661" s="308"/>
      <c r="W661" s="308"/>
      <c r="X661" s="308"/>
      <c r="Y661" s="308"/>
      <c r="Z661" s="308"/>
      <c r="AA661" s="303"/>
      <c r="AB661" s="303"/>
      <c r="AC661" s="303"/>
      <c r="AD661" s="303"/>
      <c r="AE661" s="303"/>
      <c r="AF661" s="303"/>
      <c r="AG661" s="303"/>
      <c r="AH661" s="303"/>
      <c r="AI661" s="303"/>
      <c r="AJ661" s="303"/>
      <c r="AK661" s="303"/>
      <c r="AL661" s="303"/>
      <c r="AM661" s="303"/>
      <c r="AN661" s="303"/>
      <c r="AO661" s="303"/>
      <c r="AP661" s="303"/>
      <c r="AQ661" s="303"/>
      <c r="AR661" s="303"/>
      <c r="AS661" s="303"/>
      <c r="AT661" s="303"/>
      <c r="AU661" s="303"/>
      <c r="AV661" s="303"/>
      <c r="AW661" s="303"/>
      <c r="AX661" s="303"/>
      <c r="AY661" s="303"/>
      <c r="AZ661" s="303"/>
      <c r="BA661" s="303"/>
      <c r="BB661" s="303"/>
      <c r="BC661" s="303"/>
      <c r="BD661" s="303"/>
      <c r="BE661" s="303"/>
      <c r="BF661" s="303"/>
      <c r="BG661" s="303"/>
      <c r="BH661" s="303"/>
      <c r="BI661" s="303"/>
      <c r="BJ661" s="307" t="str">
        <f aca="false">IF(C648&gt;0, C648, "")</f>
        <v/>
      </c>
      <c r="BL661" s="200"/>
      <c r="BM661" s="200"/>
      <c r="BN661" s="200"/>
    </row>
    <row r="662" customFormat="false" ht="15" hidden="false" customHeight="true" outlineLevel="0" collapsed="false">
      <c r="A662" s="198" t="n">
        <f aca="false">A646+1</f>
        <v>42</v>
      </c>
      <c r="B662" s="266" t="s">
        <v>253</v>
      </c>
      <c r="C662" s="266" t="s">
        <v>253</v>
      </c>
      <c r="D662" s="267"/>
      <c r="E662" s="242"/>
      <c r="F662" s="242"/>
      <c r="G662" s="242"/>
      <c r="H662" s="242"/>
      <c r="I662" s="242"/>
      <c r="J662" s="241"/>
      <c r="K662" s="241"/>
      <c r="L662" s="241"/>
      <c r="M662" s="241"/>
      <c r="N662" s="241"/>
      <c r="O662" s="268"/>
      <c r="P662" s="268"/>
      <c r="Q662" s="268"/>
      <c r="R662" s="268"/>
      <c r="S662" s="268"/>
      <c r="T662" s="268"/>
      <c r="U662" s="268"/>
      <c r="V662" s="268"/>
      <c r="W662" s="268"/>
      <c r="X662" s="268"/>
      <c r="Y662" s="268"/>
      <c r="Z662" s="268"/>
      <c r="AA662" s="268"/>
      <c r="AB662" s="268"/>
      <c r="AC662" s="268"/>
      <c r="AD662" s="268"/>
      <c r="AE662" s="268"/>
      <c r="AF662" s="268"/>
      <c r="AG662" s="268"/>
      <c r="AH662" s="268"/>
      <c r="AI662" s="268"/>
      <c r="AJ662" s="268"/>
      <c r="AK662" s="268"/>
      <c r="AL662" s="268"/>
      <c r="AM662" s="268"/>
      <c r="AN662" s="268"/>
      <c r="AO662" s="268"/>
      <c r="AP662" s="268"/>
      <c r="AQ662" s="268"/>
      <c r="AR662" s="268"/>
      <c r="AS662" s="268"/>
      <c r="AT662" s="268"/>
      <c r="AU662" s="268"/>
      <c r="AV662" s="268"/>
      <c r="AW662" s="268"/>
      <c r="AX662" s="268"/>
      <c r="AY662" s="268"/>
      <c r="AZ662" s="268"/>
      <c r="BA662" s="268"/>
      <c r="BB662" s="268"/>
      <c r="BC662" s="268"/>
      <c r="BD662" s="268"/>
      <c r="BE662" s="268"/>
      <c r="BF662" s="268"/>
      <c r="BG662" s="268"/>
      <c r="BH662" s="268"/>
      <c r="BI662" s="268"/>
      <c r="BJ662" s="18" t="str">
        <f aca="false">IF(C649&gt;0, C649, "")</f>
        <v/>
      </c>
      <c r="BL662" s="200"/>
      <c r="BM662" s="200"/>
      <c r="BN662" s="200"/>
    </row>
    <row r="663" customFormat="false" ht="7.5" hidden="false" customHeight="true" outlineLevel="0" collapsed="false">
      <c r="A663" s="198"/>
      <c r="B663" s="266"/>
      <c r="C663" s="266"/>
      <c r="D663" s="267"/>
      <c r="E663" s="242"/>
      <c r="F663" s="242"/>
      <c r="G663" s="242"/>
      <c r="H663" s="242"/>
      <c r="I663" s="242"/>
      <c r="J663" s="241"/>
      <c r="K663" s="241"/>
      <c r="L663" s="269"/>
      <c r="M663" s="269"/>
      <c r="N663" s="270"/>
      <c r="O663" s="269"/>
      <c r="P663" s="269"/>
      <c r="Q663" s="269"/>
      <c r="R663" s="269"/>
      <c r="S663" s="269"/>
      <c r="T663" s="269"/>
      <c r="U663" s="269"/>
      <c r="V663" s="269"/>
      <c r="W663" s="269"/>
      <c r="X663" s="269"/>
      <c r="Y663" s="269"/>
      <c r="Z663" s="269"/>
      <c r="AA663" s="268"/>
      <c r="AB663" s="271"/>
      <c r="AC663" s="271"/>
      <c r="AD663" s="271"/>
      <c r="AE663" s="271"/>
      <c r="AF663" s="271"/>
      <c r="AG663" s="271"/>
      <c r="AH663" s="271"/>
      <c r="AI663" s="271"/>
      <c r="AJ663" s="271"/>
      <c r="AK663" s="271"/>
      <c r="AL663" s="271"/>
      <c r="AM663" s="272"/>
      <c r="AN663" s="273"/>
      <c r="AO663" s="273"/>
      <c r="AP663" s="273"/>
      <c r="AQ663" s="268"/>
      <c r="AR663" s="271"/>
      <c r="AS663" s="271"/>
      <c r="AT663" s="271"/>
      <c r="AU663" s="271"/>
      <c r="AV663" s="271"/>
      <c r="AW663" s="271"/>
      <c r="AX663" s="271"/>
      <c r="AY663" s="271"/>
      <c r="AZ663" s="271"/>
      <c r="BA663" s="271"/>
      <c r="BB663" s="271"/>
      <c r="BC663" s="272"/>
      <c r="BD663" s="273"/>
      <c r="BE663" s="273"/>
      <c r="BF663" s="273"/>
      <c r="BG663" s="268"/>
      <c r="BH663" s="274"/>
      <c r="BI663" s="268"/>
      <c r="BL663" s="200"/>
      <c r="BM663" s="200"/>
      <c r="BN663" s="200"/>
    </row>
    <row r="664" customFormat="false" ht="15" hidden="false" customHeight="true" outlineLevel="0" collapsed="false">
      <c r="B664" s="275"/>
      <c r="D664" s="276" t="n">
        <f aca="false">D648</f>
        <v>45292</v>
      </c>
      <c r="E664" s="277" t="n">
        <v>0</v>
      </c>
      <c r="F664" s="277" t="n">
        <v>0</v>
      </c>
      <c r="G664" s="277" t="n">
        <v>0</v>
      </c>
      <c r="H664" s="277" t="n">
        <v>0</v>
      </c>
      <c r="I664" s="277" t="n">
        <v>0</v>
      </c>
      <c r="J664" s="278" t="n">
        <f aca="false">E664+H664+I664</f>
        <v>0</v>
      </c>
      <c r="K664" s="204"/>
      <c r="L664" s="279" t="n">
        <v>1</v>
      </c>
      <c r="M664" s="280" t="n">
        <f aca="false">1-L664</f>
        <v>0</v>
      </c>
      <c r="N664" s="281"/>
      <c r="O664" s="282"/>
      <c r="P664" s="282"/>
      <c r="Q664" s="282"/>
      <c r="R664" s="282"/>
      <c r="S664" s="282"/>
      <c r="T664" s="282"/>
      <c r="U664" s="282"/>
      <c r="V664" s="282"/>
      <c r="W664" s="282"/>
      <c r="X664" s="282"/>
      <c r="Y664" s="282"/>
      <c r="Z664" s="282"/>
      <c r="AA664" s="283"/>
      <c r="AB664" s="284" t="n">
        <f aca="false">IFERROR(($J664*O664)*$L664, "")</f>
        <v>0</v>
      </c>
      <c r="AC664" s="284" t="n">
        <f aca="false">IFERROR(($J664*P664)*$L664, "")</f>
        <v>0</v>
      </c>
      <c r="AD664" s="284" t="n">
        <f aca="false">IFERROR(($J664*Q664)*$L664, "")</f>
        <v>0</v>
      </c>
      <c r="AE664" s="284" t="n">
        <f aca="false">IFERROR(($J664*R664)*$L664, "")</f>
        <v>0</v>
      </c>
      <c r="AF664" s="284" t="n">
        <f aca="false">IFERROR(($J664*S664)*$L664, "")</f>
        <v>0</v>
      </c>
      <c r="AG664" s="284" t="n">
        <f aca="false">IFERROR(($J664*T664)*$L664, "")</f>
        <v>0</v>
      </c>
      <c r="AH664" s="284" t="n">
        <f aca="false">IFERROR(($J664*U664)*$L664, "")</f>
        <v>0</v>
      </c>
      <c r="AI664" s="284" t="n">
        <f aca="false">IFERROR(($J664*V664)*$L664, "")</f>
        <v>0</v>
      </c>
      <c r="AJ664" s="284" t="n">
        <f aca="false">IFERROR(($J664*W664)*$L664, "")</f>
        <v>0</v>
      </c>
      <c r="AK664" s="284" t="n">
        <f aca="false">IFERROR(($J664*X664)*$L664, "")</f>
        <v>0</v>
      </c>
      <c r="AL664" s="284" t="n">
        <f aca="false">IFERROR(($J664*Y664)*$L664, "")</f>
        <v>0</v>
      </c>
      <c r="AM664" s="285" t="n">
        <f aca="false">IFERROR(($J664*Z664)*$L664, "")</f>
        <v>0</v>
      </c>
      <c r="AN664" s="286" t="n">
        <f aca="false">IFERROR(SUMIF($AB$4:$AM$4, "RDEC", AB664:AM664), "")</f>
        <v>0</v>
      </c>
      <c r="AO664" s="286" t="n">
        <f aca="false">IFERROR(SUMIF($AB$4:$AM$4, "SME", AB664:AM664), "")</f>
        <v>0</v>
      </c>
      <c r="AP664" s="286" t="n">
        <f aca="false">IFERROR(SUMIF($AB$4:$AM$4, "De Minimis", AB664:AM664), "")</f>
        <v>0</v>
      </c>
      <c r="AQ664" s="283"/>
      <c r="AR664" s="284" t="n">
        <f aca="false">IFERROR(($J664*O664)*$M664, "")</f>
        <v>0</v>
      </c>
      <c r="AS664" s="284" t="n">
        <f aca="false">IFERROR(($J664*P664)*$M664, "")</f>
        <v>0</v>
      </c>
      <c r="AT664" s="284" t="n">
        <f aca="false">IFERROR(($J664*Q664)*$M664, "")</f>
        <v>0</v>
      </c>
      <c r="AU664" s="284" t="n">
        <f aca="false">IFERROR(($J664*R664)*$M664, "")</f>
        <v>0</v>
      </c>
      <c r="AV664" s="284" t="n">
        <f aca="false">IFERROR(($J664*S664)*$M664, "")</f>
        <v>0</v>
      </c>
      <c r="AW664" s="284" t="n">
        <f aca="false">IFERROR(($J664*T664)*$M664, "")</f>
        <v>0</v>
      </c>
      <c r="AX664" s="284" t="n">
        <f aca="false">IFERROR(($J664*U664)*$M664, "")</f>
        <v>0</v>
      </c>
      <c r="AY664" s="284" t="n">
        <f aca="false">IFERROR(($J664*V664)*$M664, "")</f>
        <v>0</v>
      </c>
      <c r="AZ664" s="284" t="n">
        <f aca="false">IFERROR(($J664*W664)*$M664, "")</f>
        <v>0</v>
      </c>
      <c r="BA664" s="284" t="n">
        <f aca="false">IFERROR(($J664*X664)*$M664, "")</f>
        <v>0</v>
      </c>
      <c r="BB664" s="284" t="n">
        <f aca="false">IFERROR(($J664*Y664)*$M664, "")</f>
        <v>0</v>
      </c>
      <c r="BC664" s="285" t="n">
        <f aca="false">IFERROR(($J664*Z664)*$M664, "")</f>
        <v>0</v>
      </c>
      <c r="BD664" s="286" t="n">
        <f aca="false">IFERROR(SUMIF($AB$4:$AM$4, "RDEC", AR664:BC664), "")</f>
        <v>0</v>
      </c>
      <c r="BE664" s="286" t="n">
        <f aca="false">IFERROR(SUMIF($AB$4:$AM$4, "SME", AR664:BC664), "")</f>
        <v>0</v>
      </c>
      <c r="BF664" s="286" t="n">
        <f aca="false">IFERROR(SUMIF($AB$4:$AM$4, "De Minimis", AR664:BC664), "")</f>
        <v>0</v>
      </c>
      <c r="BG664" s="287"/>
      <c r="BH664" s="288" t="str">
        <f aca="false">IF((SUM(O664:Z664)&gt;1),"ERROR","")</f>
        <v/>
      </c>
      <c r="BI664" s="287"/>
      <c r="BJ664" s="18" t="str">
        <f aca="false">IF(C650&gt;0, C650, "")</f>
        <v/>
      </c>
      <c r="BL664" s="200"/>
      <c r="BM664" s="200"/>
      <c r="BN664" s="200"/>
    </row>
    <row r="665" customFormat="false" ht="15" hidden="false" customHeight="true" outlineLevel="0" collapsed="false">
      <c r="B665" s="275"/>
      <c r="D665" s="276" t="n">
        <f aca="false">D649</f>
        <v>45323</v>
      </c>
      <c r="E665" s="277" t="n">
        <v>0</v>
      </c>
      <c r="F665" s="277" t="n">
        <v>0</v>
      </c>
      <c r="G665" s="277" t="n">
        <v>0</v>
      </c>
      <c r="H665" s="277" t="n">
        <v>0</v>
      </c>
      <c r="I665" s="277" t="n">
        <v>0</v>
      </c>
      <c r="J665" s="278" t="n">
        <f aca="false">E665+H665+I665</f>
        <v>0</v>
      </c>
      <c r="K665" s="204"/>
      <c r="L665" s="279" t="n">
        <v>1</v>
      </c>
      <c r="M665" s="280" t="n">
        <f aca="false">1-L665</f>
        <v>0</v>
      </c>
      <c r="N665" s="281"/>
      <c r="O665" s="282"/>
      <c r="P665" s="282"/>
      <c r="Q665" s="282"/>
      <c r="R665" s="282"/>
      <c r="S665" s="282"/>
      <c r="T665" s="282"/>
      <c r="U665" s="282"/>
      <c r="V665" s="282"/>
      <c r="W665" s="282"/>
      <c r="X665" s="282"/>
      <c r="Y665" s="282"/>
      <c r="Z665" s="282"/>
      <c r="AA665" s="283"/>
      <c r="AB665" s="284" t="n">
        <f aca="false">IFERROR(($J665*O665)*$L665, "")</f>
        <v>0</v>
      </c>
      <c r="AC665" s="284" t="n">
        <f aca="false">IFERROR(($J665*P665)*$L665, "")</f>
        <v>0</v>
      </c>
      <c r="AD665" s="284" t="n">
        <f aca="false">IFERROR(($J665*Q665)*$L665, "")</f>
        <v>0</v>
      </c>
      <c r="AE665" s="284" t="n">
        <f aca="false">IFERROR(($J665*R665)*$L665, "")</f>
        <v>0</v>
      </c>
      <c r="AF665" s="284" t="n">
        <f aca="false">IFERROR(($J665*S665)*$L665, "")</f>
        <v>0</v>
      </c>
      <c r="AG665" s="284" t="n">
        <f aca="false">IFERROR(($J665*T665)*$L665, "")</f>
        <v>0</v>
      </c>
      <c r="AH665" s="284" t="n">
        <f aca="false">IFERROR(($J665*U665)*$L665, "")</f>
        <v>0</v>
      </c>
      <c r="AI665" s="284" t="n">
        <f aca="false">IFERROR(($J665*V665)*$L665, "")</f>
        <v>0</v>
      </c>
      <c r="AJ665" s="284" t="n">
        <f aca="false">IFERROR(($J665*W665)*$L665, "")</f>
        <v>0</v>
      </c>
      <c r="AK665" s="284" t="n">
        <f aca="false">IFERROR(($J665*X665)*$L665, "")</f>
        <v>0</v>
      </c>
      <c r="AL665" s="284" t="n">
        <f aca="false">IFERROR(($J665*Y665)*$L665, "")</f>
        <v>0</v>
      </c>
      <c r="AM665" s="285" t="n">
        <f aca="false">IFERROR(($J665*Z665)*$L665, "")</f>
        <v>0</v>
      </c>
      <c r="AN665" s="286" t="n">
        <f aca="false">IFERROR(SUMIF($AB$4:$AM$4, "RDEC", AB665:AM665), "")</f>
        <v>0</v>
      </c>
      <c r="AO665" s="286" t="n">
        <f aca="false">IFERROR(SUMIF($AB$4:$AM$4, "SME", AB665:AM665), "")</f>
        <v>0</v>
      </c>
      <c r="AP665" s="286" t="n">
        <f aca="false">IFERROR(SUMIF($AB$4:$AM$4, "De Minimis", AB665:AM665), "")</f>
        <v>0</v>
      </c>
      <c r="AQ665" s="283"/>
      <c r="AR665" s="284" t="n">
        <f aca="false">IFERROR(($J665*O665)*$M665, "")</f>
        <v>0</v>
      </c>
      <c r="AS665" s="284" t="n">
        <f aca="false">IFERROR(($J665*P665)*$M665, "")</f>
        <v>0</v>
      </c>
      <c r="AT665" s="284" t="n">
        <f aca="false">IFERROR(($J665*Q665)*$M665, "")</f>
        <v>0</v>
      </c>
      <c r="AU665" s="284" t="n">
        <f aca="false">IFERROR(($J665*R665)*$M665, "")</f>
        <v>0</v>
      </c>
      <c r="AV665" s="284" t="n">
        <f aca="false">IFERROR(($J665*S665)*$M665, "")</f>
        <v>0</v>
      </c>
      <c r="AW665" s="284" t="n">
        <f aca="false">IFERROR(($J665*T665)*$M665, "")</f>
        <v>0</v>
      </c>
      <c r="AX665" s="284" t="n">
        <f aca="false">IFERROR(($J665*U665)*$M665, "")</f>
        <v>0</v>
      </c>
      <c r="AY665" s="284" t="n">
        <f aca="false">IFERROR(($J665*V665)*$M665, "")</f>
        <v>0</v>
      </c>
      <c r="AZ665" s="284" t="n">
        <f aca="false">IFERROR(($J665*W665)*$M665, "")</f>
        <v>0</v>
      </c>
      <c r="BA665" s="284" t="n">
        <f aca="false">IFERROR(($J665*X665)*$M665, "")</f>
        <v>0</v>
      </c>
      <c r="BB665" s="284" t="n">
        <f aca="false">IFERROR(($J665*Y665)*$M665, "")</f>
        <v>0</v>
      </c>
      <c r="BC665" s="285" t="n">
        <f aca="false">IFERROR(($J665*Z665)*$M665, "")</f>
        <v>0</v>
      </c>
      <c r="BD665" s="286" t="n">
        <f aca="false">IFERROR(SUMIF($AB$4:$AM$4, "RDEC", AR665:BC665), "")</f>
        <v>0</v>
      </c>
      <c r="BE665" s="286" t="n">
        <f aca="false">IFERROR(SUMIF($AB$4:$AM$4, "SME", AR665:BC665), "")</f>
        <v>0</v>
      </c>
      <c r="BF665" s="286" t="n">
        <f aca="false">IFERROR(SUMIF($AB$4:$AM$4, "De Minimis", AR665:BC665), "")</f>
        <v>0</v>
      </c>
      <c r="BG665" s="287"/>
      <c r="BH665" s="288" t="str">
        <f aca="false">IF((SUM(O665:Z665)&gt;1),"ERROR","")</f>
        <v/>
      </c>
      <c r="BI665" s="287"/>
      <c r="BJ665" s="18" t="str">
        <f aca="false">IF(C651&gt;0, C651, "")</f>
        <v/>
      </c>
      <c r="BL665" s="200"/>
      <c r="BM665" s="200"/>
      <c r="BN665" s="200"/>
    </row>
    <row r="666" customFormat="false" ht="15" hidden="false" customHeight="true" outlineLevel="0" collapsed="false">
      <c r="B666" s="275"/>
      <c r="D666" s="276" t="n">
        <f aca="false">D650</f>
        <v>45352</v>
      </c>
      <c r="E666" s="277" t="n">
        <v>0</v>
      </c>
      <c r="F666" s="277" t="n">
        <v>0</v>
      </c>
      <c r="G666" s="277" t="n">
        <v>0</v>
      </c>
      <c r="H666" s="277" t="n">
        <v>0</v>
      </c>
      <c r="I666" s="277" t="n">
        <v>0</v>
      </c>
      <c r="J666" s="278" t="n">
        <f aca="false">E666+H666+I666</f>
        <v>0</v>
      </c>
      <c r="K666" s="204"/>
      <c r="L666" s="279" t="n">
        <v>1</v>
      </c>
      <c r="M666" s="280" t="n">
        <f aca="false">1-L666</f>
        <v>0</v>
      </c>
      <c r="N666" s="281"/>
      <c r="O666" s="282"/>
      <c r="P666" s="282"/>
      <c r="Q666" s="282"/>
      <c r="R666" s="282"/>
      <c r="S666" s="282"/>
      <c r="T666" s="282"/>
      <c r="U666" s="282"/>
      <c r="V666" s="282"/>
      <c r="W666" s="282"/>
      <c r="X666" s="282"/>
      <c r="Y666" s="282"/>
      <c r="Z666" s="282"/>
      <c r="AA666" s="283"/>
      <c r="AB666" s="284" t="n">
        <f aca="false">IFERROR(($J666*O666)*$L666, "")</f>
        <v>0</v>
      </c>
      <c r="AC666" s="284" t="n">
        <f aca="false">IFERROR(($J666*P666)*$L666, "")</f>
        <v>0</v>
      </c>
      <c r="AD666" s="284" t="n">
        <f aca="false">IFERROR(($J666*Q666)*$L666, "")</f>
        <v>0</v>
      </c>
      <c r="AE666" s="284" t="n">
        <f aca="false">IFERROR(($J666*R666)*$L666, "")</f>
        <v>0</v>
      </c>
      <c r="AF666" s="284" t="n">
        <f aca="false">IFERROR(($J666*S666)*$L666, "")</f>
        <v>0</v>
      </c>
      <c r="AG666" s="284" t="n">
        <f aca="false">IFERROR(($J666*T666)*$L666, "")</f>
        <v>0</v>
      </c>
      <c r="AH666" s="284" t="n">
        <f aca="false">IFERROR(($J666*U666)*$L666, "")</f>
        <v>0</v>
      </c>
      <c r="AI666" s="284" t="n">
        <f aca="false">IFERROR(($J666*V666)*$L666, "")</f>
        <v>0</v>
      </c>
      <c r="AJ666" s="284" t="n">
        <f aca="false">IFERROR(($J666*W666)*$L666, "")</f>
        <v>0</v>
      </c>
      <c r="AK666" s="284" t="n">
        <f aca="false">IFERROR(($J666*X666)*$L666, "")</f>
        <v>0</v>
      </c>
      <c r="AL666" s="284" t="n">
        <f aca="false">IFERROR(($J666*Y666)*$L666, "")</f>
        <v>0</v>
      </c>
      <c r="AM666" s="285" t="n">
        <f aca="false">IFERROR(($J666*Z666)*$L666, "")</f>
        <v>0</v>
      </c>
      <c r="AN666" s="286" t="n">
        <f aca="false">IFERROR(SUMIF($AB$4:$AM$4, "RDEC", AB666:AM666), "")</f>
        <v>0</v>
      </c>
      <c r="AO666" s="286" t="n">
        <f aca="false">IFERROR(SUMIF($AB$4:$AM$4, "SME", AB666:AM666), "")</f>
        <v>0</v>
      </c>
      <c r="AP666" s="286" t="n">
        <f aca="false">IFERROR(SUMIF($AB$4:$AM$4, "De Minimis", AB666:AM666), "")</f>
        <v>0</v>
      </c>
      <c r="AQ666" s="283"/>
      <c r="AR666" s="284" t="n">
        <f aca="false">IFERROR(($J666*O666)*$M666, "")</f>
        <v>0</v>
      </c>
      <c r="AS666" s="284" t="n">
        <f aca="false">IFERROR(($J666*P666)*$M666, "")</f>
        <v>0</v>
      </c>
      <c r="AT666" s="284" t="n">
        <f aca="false">IFERROR(($J666*Q666)*$M666, "")</f>
        <v>0</v>
      </c>
      <c r="AU666" s="284" t="n">
        <f aca="false">IFERROR(($J666*R666)*$M666, "")</f>
        <v>0</v>
      </c>
      <c r="AV666" s="284" t="n">
        <f aca="false">IFERROR(($J666*S666)*$M666, "")</f>
        <v>0</v>
      </c>
      <c r="AW666" s="284" t="n">
        <f aca="false">IFERROR(($J666*T666)*$M666, "")</f>
        <v>0</v>
      </c>
      <c r="AX666" s="284" t="n">
        <f aca="false">IFERROR(($J666*U666)*$M666, "")</f>
        <v>0</v>
      </c>
      <c r="AY666" s="284" t="n">
        <f aca="false">IFERROR(($J666*V666)*$M666, "")</f>
        <v>0</v>
      </c>
      <c r="AZ666" s="284" t="n">
        <f aca="false">IFERROR(($J666*W666)*$M666, "")</f>
        <v>0</v>
      </c>
      <c r="BA666" s="284" t="n">
        <f aca="false">IFERROR(($J666*X666)*$M666, "")</f>
        <v>0</v>
      </c>
      <c r="BB666" s="284" t="n">
        <f aca="false">IFERROR(($J666*Y666)*$M666, "")</f>
        <v>0</v>
      </c>
      <c r="BC666" s="285" t="n">
        <f aca="false">IFERROR(($J666*Z666)*$M666, "")</f>
        <v>0</v>
      </c>
      <c r="BD666" s="286" t="n">
        <f aca="false">IFERROR(SUMIF($AB$4:$AM$4, "RDEC", AR666:BC666), "")</f>
        <v>0</v>
      </c>
      <c r="BE666" s="286" t="n">
        <f aca="false">IFERROR(SUMIF($AB$4:$AM$4, "SME", AR666:BC666), "")</f>
        <v>0</v>
      </c>
      <c r="BF666" s="286" t="n">
        <f aca="false">IFERROR(SUMIF($AB$4:$AM$4, "De Minimis", AR666:BC666), "")</f>
        <v>0</v>
      </c>
      <c r="BG666" s="287"/>
      <c r="BH666" s="288" t="str">
        <f aca="false">IF((SUM(O666:Z666)&gt;1),"ERROR","")</f>
        <v/>
      </c>
      <c r="BI666" s="287"/>
      <c r="BJ666" s="18" t="str">
        <f aca="false">IF(C652&gt;0, C652, "")</f>
        <v/>
      </c>
      <c r="BL666" s="200"/>
      <c r="BM666" s="200"/>
      <c r="BN666" s="200"/>
    </row>
    <row r="667" customFormat="false" ht="15" hidden="false" customHeight="true" outlineLevel="0" collapsed="false">
      <c r="B667" s="275"/>
      <c r="D667" s="276" t="n">
        <f aca="false">D651</f>
        <v>45383</v>
      </c>
      <c r="E667" s="277" t="n">
        <v>0</v>
      </c>
      <c r="F667" s="277" t="n">
        <v>0</v>
      </c>
      <c r="G667" s="277" t="n">
        <v>0</v>
      </c>
      <c r="H667" s="277" t="n">
        <v>0</v>
      </c>
      <c r="I667" s="277" t="n">
        <v>0</v>
      </c>
      <c r="J667" s="278" t="n">
        <f aca="false">E667+H667+I667</f>
        <v>0</v>
      </c>
      <c r="K667" s="204"/>
      <c r="L667" s="279" t="n">
        <v>1</v>
      </c>
      <c r="M667" s="280" t="n">
        <f aca="false">1-L667</f>
        <v>0</v>
      </c>
      <c r="N667" s="281"/>
      <c r="O667" s="282"/>
      <c r="P667" s="282"/>
      <c r="Q667" s="282"/>
      <c r="R667" s="282"/>
      <c r="S667" s="282"/>
      <c r="T667" s="282"/>
      <c r="U667" s="282"/>
      <c r="V667" s="282"/>
      <c r="W667" s="282"/>
      <c r="X667" s="282"/>
      <c r="Y667" s="282"/>
      <c r="Z667" s="282"/>
      <c r="AA667" s="283"/>
      <c r="AB667" s="284" t="n">
        <f aca="false">IFERROR(($J667*O667)*$L667, "")</f>
        <v>0</v>
      </c>
      <c r="AC667" s="284" t="n">
        <f aca="false">IFERROR(($J667*P667)*$L667, "")</f>
        <v>0</v>
      </c>
      <c r="AD667" s="284" t="n">
        <f aca="false">IFERROR(($J667*Q667)*$L667, "")</f>
        <v>0</v>
      </c>
      <c r="AE667" s="284" t="n">
        <f aca="false">IFERROR(($J667*R667)*$L667, "")</f>
        <v>0</v>
      </c>
      <c r="AF667" s="284" t="n">
        <f aca="false">IFERROR(($J667*S667)*$L667, "")</f>
        <v>0</v>
      </c>
      <c r="AG667" s="284" t="n">
        <f aca="false">IFERROR(($J667*T667)*$L667, "")</f>
        <v>0</v>
      </c>
      <c r="AH667" s="284" t="n">
        <f aca="false">IFERROR(($J667*U667)*$L667, "")</f>
        <v>0</v>
      </c>
      <c r="AI667" s="284" t="n">
        <f aca="false">IFERROR(($J667*V667)*$L667, "")</f>
        <v>0</v>
      </c>
      <c r="AJ667" s="284" t="n">
        <f aca="false">IFERROR(($J667*W667)*$L667, "")</f>
        <v>0</v>
      </c>
      <c r="AK667" s="284" t="n">
        <f aca="false">IFERROR(($J667*X667)*$L667, "")</f>
        <v>0</v>
      </c>
      <c r="AL667" s="284" t="n">
        <f aca="false">IFERROR(($J667*Y667)*$L667, "")</f>
        <v>0</v>
      </c>
      <c r="AM667" s="285" t="n">
        <f aca="false">IFERROR(($J667*Z667)*$L667, "")</f>
        <v>0</v>
      </c>
      <c r="AN667" s="286" t="n">
        <f aca="false">IFERROR(SUMIF($AB$4:$AM$4, "RDEC", AB667:AM667), "")</f>
        <v>0</v>
      </c>
      <c r="AO667" s="286" t="n">
        <f aca="false">IFERROR(SUMIF($AB$4:$AM$4, "SME", AB667:AM667), "")</f>
        <v>0</v>
      </c>
      <c r="AP667" s="286" t="n">
        <f aca="false">IFERROR(SUMIF($AB$4:$AM$4, "De Minimis", AB667:AM667), "")</f>
        <v>0</v>
      </c>
      <c r="AQ667" s="283"/>
      <c r="AR667" s="284" t="n">
        <f aca="false">IFERROR(($J667*O667)*$M667, "")</f>
        <v>0</v>
      </c>
      <c r="AS667" s="284" t="n">
        <f aca="false">IFERROR(($J667*P667)*$M667, "")</f>
        <v>0</v>
      </c>
      <c r="AT667" s="284" t="n">
        <f aca="false">IFERROR(($J667*Q667)*$M667, "")</f>
        <v>0</v>
      </c>
      <c r="AU667" s="284" t="n">
        <f aca="false">IFERROR(($J667*R667)*$M667, "")</f>
        <v>0</v>
      </c>
      <c r="AV667" s="284" t="n">
        <f aca="false">IFERROR(($J667*S667)*$M667, "")</f>
        <v>0</v>
      </c>
      <c r="AW667" s="284" t="n">
        <f aca="false">IFERROR(($J667*T667)*$M667, "")</f>
        <v>0</v>
      </c>
      <c r="AX667" s="284" t="n">
        <f aca="false">IFERROR(($J667*U667)*$M667, "")</f>
        <v>0</v>
      </c>
      <c r="AY667" s="284" t="n">
        <f aca="false">IFERROR(($J667*V667)*$M667, "")</f>
        <v>0</v>
      </c>
      <c r="AZ667" s="284" t="n">
        <f aca="false">IFERROR(($J667*W667)*$M667, "")</f>
        <v>0</v>
      </c>
      <c r="BA667" s="284" t="n">
        <f aca="false">IFERROR(($J667*X667)*$M667, "")</f>
        <v>0</v>
      </c>
      <c r="BB667" s="284" t="n">
        <f aca="false">IFERROR(($J667*Y667)*$M667, "")</f>
        <v>0</v>
      </c>
      <c r="BC667" s="285" t="n">
        <f aca="false">IFERROR(($J667*Z667)*$M667, "")</f>
        <v>0</v>
      </c>
      <c r="BD667" s="286" t="n">
        <f aca="false">IFERROR(SUMIF($AB$4:$AM$4, "RDEC", AR667:BC667), "")</f>
        <v>0</v>
      </c>
      <c r="BE667" s="286" t="n">
        <f aca="false">IFERROR(SUMIF($AB$4:$AM$4, "SME", AR667:BC667), "")</f>
        <v>0</v>
      </c>
      <c r="BF667" s="286" t="n">
        <f aca="false">IFERROR(SUMIF($AB$4:$AM$4, "De Minimis", AR667:BC667), "")</f>
        <v>0</v>
      </c>
      <c r="BG667" s="287"/>
      <c r="BH667" s="288" t="str">
        <f aca="false">IF((SUM(O667:Z667)&gt;1),"ERROR","")</f>
        <v/>
      </c>
      <c r="BI667" s="287"/>
      <c r="BJ667" s="18" t="str">
        <f aca="false">IF(C653&gt;0, C653, "")</f>
        <v/>
      </c>
      <c r="BL667" s="200"/>
      <c r="BM667" s="200"/>
      <c r="BN667" s="200"/>
    </row>
    <row r="668" customFormat="false" ht="15" hidden="false" customHeight="true" outlineLevel="0" collapsed="false">
      <c r="B668" s="275"/>
      <c r="D668" s="276" t="n">
        <f aca="false">D652</f>
        <v>45413</v>
      </c>
      <c r="E668" s="277" t="n">
        <v>0</v>
      </c>
      <c r="F668" s="277" t="n">
        <v>0</v>
      </c>
      <c r="G668" s="277" t="n">
        <v>0</v>
      </c>
      <c r="H668" s="277" t="n">
        <v>0</v>
      </c>
      <c r="I668" s="277" t="n">
        <v>0</v>
      </c>
      <c r="J668" s="278" t="n">
        <f aca="false">E668+H668+I668</f>
        <v>0</v>
      </c>
      <c r="K668" s="204"/>
      <c r="L668" s="279" t="n">
        <v>1</v>
      </c>
      <c r="M668" s="280" t="n">
        <f aca="false">1-L668</f>
        <v>0</v>
      </c>
      <c r="N668" s="281"/>
      <c r="O668" s="282"/>
      <c r="P668" s="282"/>
      <c r="Q668" s="282"/>
      <c r="R668" s="282"/>
      <c r="S668" s="282"/>
      <c r="T668" s="282"/>
      <c r="U668" s="282"/>
      <c r="V668" s="282"/>
      <c r="W668" s="282"/>
      <c r="X668" s="282"/>
      <c r="Y668" s="282"/>
      <c r="Z668" s="282"/>
      <c r="AA668" s="283"/>
      <c r="AB668" s="284" t="n">
        <f aca="false">IFERROR(($J668*O668)*$L668, "")</f>
        <v>0</v>
      </c>
      <c r="AC668" s="284" t="n">
        <f aca="false">IFERROR(($J668*P668)*$L668, "")</f>
        <v>0</v>
      </c>
      <c r="AD668" s="284" t="n">
        <f aca="false">IFERROR(($J668*Q668)*$L668, "")</f>
        <v>0</v>
      </c>
      <c r="AE668" s="284" t="n">
        <f aca="false">IFERROR(($J668*R668)*$L668, "")</f>
        <v>0</v>
      </c>
      <c r="AF668" s="284" t="n">
        <f aca="false">IFERROR(($J668*S668)*$L668, "")</f>
        <v>0</v>
      </c>
      <c r="AG668" s="284" t="n">
        <f aca="false">IFERROR(($J668*T668)*$L668, "")</f>
        <v>0</v>
      </c>
      <c r="AH668" s="284" t="n">
        <f aca="false">IFERROR(($J668*U668)*$L668, "")</f>
        <v>0</v>
      </c>
      <c r="AI668" s="284" t="n">
        <f aca="false">IFERROR(($J668*V668)*$L668, "")</f>
        <v>0</v>
      </c>
      <c r="AJ668" s="284" t="n">
        <f aca="false">IFERROR(($J668*W668)*$L668, "")</f>
        <v>0</v>
      </c>
      <c r="AK668" s="284" t="n">
        <f aca="false">IFERROR(($J668*X668)*$L668, "")</f>
        <v>0</v>
      </c>
      <c r="AL668" s="284" t="n">
        <f aca="false">IFERROR(($J668*Y668)*$L668, "")</f>
        <v>0</v>
      </c>
      <c r="AM668" s="285" t="n">
        <f aca="false">IFERROR(($J668*Z668)*$L668, "")</f>
        <v>0</v>
      </c>
      <c r="AN668" s="286" t="n">
        <f aca="false">IFERROR(SUMIF($AB$4:$AM$4, "RDEC", AB668:AM668), "")</f>
        <v>0</v>
      </c>
      <c r="AO668" s="286" t="n">
        <f aca="false">IFERROR(SUMIF($AB$4:$AM$4, "SME", AB668:AM668), "")</f>
        <v>0</v>
      </c>
      <c r="AP668" s="286" t="n">
        <f aca="false">IFERROR(SUMIF($AB$4:$AM$4, "De Minimis", AB668:AM668), "")</f>
        <v>0</v>
      </c>
      <c r="AQ668" s="283"/>
      <c r="AR668" s="284" t="n">
        <f aca="false">IFERROR(($J668*O668)*$M668, "")</f>
        <v>0</v>
      </c>
      <c r="AS668" s="284" t="n">
        <f aca="false">IFERROR(($J668*P668)*$M668, "")</f>
        <v>0</v>
      </c>
      <c r="AT668" s="284" t="n">
        <f aca="false">IFERROR(($J668*Q668)*$M668, "")</f>
        <v>0</v>
      </c>
      <c r="AU668" s="284" t="n">
        <f aca="false">IFERROR(($J668*R668)*$M668, "")</f>
        <v>0</v>
      </c>
      <c r="AV668" s="284" t="n">
        <f aca="false">IFERROR(($J668*S668)*$M668, "")</f>
        <v>0</v>
      </c>
      <c r="AW668" s="284" t="n">
        <f aca="false">IFERROR(($J668*T668)*$M668, "")</f>
        <v>0</v>
      </c>
      <c r="AX668" s="284" t="n">
        <f aca="false">IFERROR(($J668*U668)*$M668, "")</f>
        <v>0</v>
      </c>
      <c r="AY668" s="284" t="n">
        <f aca="false">IFERROR(($J668*V668)*$M668, "")</f>
        <v>0</v>
      </c>
      <c r="AZ668" s="284" t="n">
        <f aca="false">IFERROR(($J668*W668)*$M668, "")</f>
        <v>0</v>
      </c>
      <c r="BA668" s="284" t="n">
        <f aca="false">IFERROR(($J668*X668)*$M668, "")</f>
        <v>0</v>
      </c>
      <c r="BB668" s="284" t="n">
        <f aca="false">IFERROR(($J668*Y668)*$M668, "")</f>
        <v>0</v>
      </c>
      <c r="BC668" s="285" t="n">
        <f aca="false">IFERROR(($J668*Z668)*$M668, "")</f>
        <v>0</v>
      </c>
      <c r="BD668" s="286" t="n">
        <f aca="false">IFERROR(SUMIF($AB$4:$AM$4, "RDEC", AR668:BC668), "")</f>
        <v>0</v>
      </c>
      <c r="BE668" s="286" t="n">
        <f aca="false">IFERROR(SUMIF($AB$4:$AM$4, "SME", AR668:BC668), "")</f>
        <v>0</v>
      </c>
      <c r="BF668" s="286" t="n">
        <f aca="false">IFERROR(SUMIF($AB$4:$AM$4, "De Minimis", AR668:BC668), "")</f>
        <v>0</v>
      </c>
      <c r="BG668" s="287"/>
      <c r="BH668" s="288" t="str">
        <f aca="false">IF((SUM(O668:Z668)&gt;1),"ERROR","")</f>
        <v/>
      </c>
      <c r="BI668" s="287"/>
      <c r="BJ668" s="18" t="str">
        <f aca="false">IF(C654&gt;0, C654, "")</f>
        <v/>
      </c>
      <c r="BL668" s="200"/>
      <c r="BM668" s="200"/>
      <c r="BN668" s="200"/>
    </row>
    <row r="669" customFormat="false" ht="15" hidden="false" customHeight="true" outlineLevel="0" collapsed="false">
      <c r="B669" s="275"/>
      <c r="D669" s="276" t="n">
        <f aca="false">D653</f>
        <v>45444</v>
      </c>
      <c r="E669" s="277" t="n">
        <v>0</v>
      </c>
      <c r="F669" s="277" t="n">
        <v>0</v>
      </c>
      <c r="G669" s="277" t="n">
        <v>0</v>
      </c>
      <c r="H669" s="277" t="n">
        <v>0</v>
      </c>
      <c r="I669" s="277" t="n">
        <v>0</v>
      </c>
      <c r="J669" s="278" t="n">
        <f aca="false">E669+H669+I669</f>
        <v>0</v>
      </c>
      <c r="K669" s="204"/>
      <c r="L669" s="279" t="n">
        <v>1</v>
      </c>
      <c r="M669" s="280" t="n">
        <f aca="false">1-L669</f>
        <v>0</v>
      </c>
      <c r="N669" s="281"/>
      <c r="O669" s="282"/>
      <c r="P669" s="282"/>
      <c r="Q669" s="282"/>
      <c r="R669" s="282"/>
      <c r="S669" s="282"/>
      <c r="T669" s="282"/>
      <c r="U669" s="282"/>
      <c r="V669" s="282"/>
      <c r="W669" s="282"/>
      <c r="X669" s="282"/>
      <c r="Y669" s="282"/>
      <c r="Z669" s="282"/>
      <c r="AA669" s="283"/>
      <c r="AB669" s="284" t="n">
        <f aca="false">IFERROR(($J669*O669)*$L669, "")</f>
        <v>0</v>
      </c>
      <c r="AC669" s="284" t="n">
        <f aca="false">IFERROR(($J669*P669)*$L669, "")</f>
        <v>0</v>
      </c>
      <c r="AD669" s="284" t="n">
        <f aca="false">IFERROR(($J669*Q669)*$L669, "")</f>
        <v>0</v>
      </c>
      <c r="AE669" s="284" t="n">
        <f aca="false">IFERROR(($J669*R669)*$L669, "")</f>
        <v>0</v>
      </c>
      <c r="AF669" s="284" t="n">
        <f aca="false">IFERROR(($J669*S669)*$L669, "")</f>
        <v>0</v>
      </c>
      <c r="AG669" s="284" t="n">
        <f aca="false">IFERROR(($J669*T669)*$L669, "")</f>
        <v>0</v>
      </c>
      <c r="AH669" s="284" t="n">
        <f aca="false">IFERROR(($J669*U669)*$L669, "")</f>
        <v>0</v>
      </c>
      <c r="AI669" s="284" t="n">
        <f aca="false">IFERROR(($J669*V669)*$L669, "")</f>
        <v>0</v>
      </c>
      <c r="AJ669" s="284" t="n">
        <f aca="false">IFERROR(($J669*W669)*$L669, "")</f>
        <v>0</v>
      </c>
      <c r="AK669" s="284" t="n">
        <f aca="false">IFERROR(($J669*X669)*$L669, "")</f>
        <v>0</v>
      </c>
      <c r="AL669" s="284" t="n">
        <f aca="false">IFERROR(($J669*Y669)*$L669, "")</f>
        <v>0</v>
      </c>
      <c r="AM669" s="285" t="n">
        <f aca="false">IFERROR(($J669*Z669)*$L669, "")</f>
        <v>0</v>
      </c>
      <c r="AN669" s="286" t="n">
        <f aca="false">IFERROR(SUMIF($AB$4:$AM$4, "RDEC", AB669:AM669), "")</f>
        <v>0</v>
      </c>
      <c r="AO669" s="286" t="n">
        <f aca="false">IFERROR(SUMIF($AB$4:$AM$4, "SME", AB669:AM669), "")</f>
        <v>0</v>
      </c>
      <c r="AP669" s="286" t="n">
        <f aca="false">IFERROR(SUMIF($AB$4:$AM$4, "De Minimis", AB669:AM669), "")</f>
        <v>0</v>
      </c>
      <c r="AQ669" s="283"/>
      <c r="AR669" s="284" t="n">
        <f aca="false">IFERROR(($J669*O669)*$M669, "")</f>
        <v>0</v>
      </c>
      <c r="AS669" s="284" t="n">
        <f aca="false">IFERROR(($J669*P669)*$M669, "")</f>
        <v>0</v>
      </c>
      <c r="AT669" s="284" t="n">
        <f aca="false">IFERROR(($J669*Q669)*$M669, "")</f>
        <v>0</v>
      </c>
      <c r="AU669" s="284" t="n">
        <f aca="false">IFERROR(($J669*R669)*$M669, "")</f>
        <v>0</v>
      </c>
      <c r="AV669" s="284" t="n">
        <f aca="false">IFERROR(($J669*S669)*$M669, "")</f>
        <v>0</v>
      </c>
      <c r="AW669" s="284" t="n">
        <f aca="false">IFERROR(($J669*T669)*$M669, "")</f>
        <v>0</v>
      </c>
      <c r="AX669" s="284" t="n">
        <f aca="false">IFERROR(($J669*U669)*$M669, "")</f>
        <v>0</v>
      </c>
      <c r="AY669" s="284" t="n">
        <f aca="false">IFERROR(($J669*V669)*$M669, "")</f>
        <v>0</v>
      </c>
      <c r="AZ669" s="284" t="n">
        <f aca="false">IFERROR(($J669*W669)*$M669, "")</f>
        <v>0</v>
      </c>
      <c r="BA669" s="284" t="n">
        <f aca="false">IFERROR(($J669*X669)*$M669, "")</f>
        <v>0</v>
      </c>
      <c r="BB669" s="284" t="n">
        <f aca="false">IFERROR(($J669*Y669)*$M669, "")</f>
        <v>0</v>
      </c>
      <c r="BC669" s="285" t="n">
        <f aca="false">IFERROR(($J669*Z669)*$M669, "")</f>
        <v>0</v>
      </c>
      <c r="BD669" s="286" t="n">
        <f aca="false">IFERROR(SUMIF($AB$4:$AM$4, "RDEC", AR669:BC669), "")</f>
        <v>0</v>
      </c>
      <c r="BE669" s="286" t="n">
        <f aca="false">IFERROR(SUMIF($AB$4:$AM$4, "SME", AR669:BC669), "")</f>
        <v>0</v>
      </c>
      <c r="BF669" s="286" t="n">
        <f aca="false">IFERROR(SUMIF($AB$4:$AM$4, "De Minimis", AR669:BC669), "")</f>
        <v>0</v>
      </c>
      <c r="BG669" s="287"/>
      <c r="BH669" s="288" t="str">
        <f aca="false">IF((SUM(O669:Z669)&gt;1),"ERROR","")</f>
        <v/>
      </c>
      <c r="BI669" s="287"/>
      <c r="BJ669" s="18" t="str">
        <f aca="false">IF(C655&gt;0, C655, "")</f>
        <v/>
      </c>
      <c r="BL669" s="200"/>
      <c r="BM669" s="200"/>
      <c r="BN669" s="200"/>
    </row>
    <row r="670" customFormat="false" ht="15" hidden="false" customHeight="true" outlineLevel="0" collapsed="false">
      <c r="B670" s="275"/>
      <c r="D670" s="276" t="n">
        <f aca="false">D654</f>
        <v>45474</v>
      </c>
      <c r="E670" s="277" t="n">
        <v>0</v>
      </c>
      <c r="F670" s="277" t="n">
        <v>0</v>
      </c>
      <c r="G670" s="277" t="n">
        <v>0</v>
      </c>
      <c r="H670" s="277" t="n">
        <v>0</v>
      </c>
      <c r="I670" s="277" t="n">
        <v>0</v>
      </c>
      <c r="J670" s="278" t="n">
        <f aca="false">E670+H670+I670</f>
        <v>0</v>
      </c>
      <c r="K670" s="204"/>
      <c r="L670" s="279" t="n">
        <v>1</v>
      </c>
      <c r="M670" s="280" t="n">
        <f aca="false">1-L670</f>
        <v>0</v>
      </c>
      <c r="N670" s="281"/>
      <c r="O670" s="282"/>
      <c r="P670" s="282"/>
      <c r="Q670" s="282"/>
      <c r="R670" s="282"/>
      <c r="S670" s="282"/>
      <c r="T670" s="282"/>
      <c r="U670" s="282"/>
      <c r="V670" s="282"/>
      <c r="W670" s="282"/>
      <c r="X670" s="282"/>
      <c r="Y670" s="282"/>
      <c r="Z670" s="282"/>
      <c r="AA670" s="283"/>
      <c r="AB670" s="284" t="n">
        <f aca="false">IFERROR(($J670*O670)*$L670, "")</f>
        <v>0</v>
      </c>
      <c r="AC670" s="284" t="n">
        <f aca="false">IFERROR(($J670*P670)*$L670, "")</f>
        <v>0</v>
      </c>
      <c r="AD670" s="284" t="n">
        <f aca="false">IFERROR(($J670*Q670)*$L670, "")</f>
        <v>0</v>
      </c>
      <c r="AE670" s="284" t="n">
        <f aca="false">IFERROR(($J670*R670)*$L670, "")</f>
        <v>0</v>
      </c>
      <c r="AF670" s="284" t="n">
        <f aca="false">IFERROR(($J670*S670)*$L670, "")</f>
        <v>0</v>
      </c>
      <c r="AG670" s="284" t="n">
        <f aca="false">IFERROR(($J670*T670)*$L670, "")</f>
        <v>0</v>
      </c>
      <c r="AH670" s="284" t="n">
        <f aca="false">IFERROR(($J670*U670)*$L670, "")</f>
        <v>0</v>
      </c>
      <c r="AI670" s="284" t="n">
        <f aca="false">IFERROR(($J670*V670)*$L670, "")</f>
        <v>0</v>
      </c>
      <c r="AJ670" s="284" t="n">
        <f aca="false">IFERROR(($J670*W670)*$L670, "")</f>
        <v>0</v>
      </c>
      <c r="AK670" s="284" t="n">
        <f aca="false">IFERROR(($J670*X670)*$L670, "")</f>
        <v>0</v>
      </c>
      <c r="AL670" s="284" t="n">
        <f aca="false">IFERROR(($J670*Y670)*$L670, "")</f>
        <v>0</v>
      </c>
      <c r="AM670" s="285" t="n">
        <f aca="false">IFERROR(($J670*Z670)*$L670, "")</f>
        <v>0</v>
      </c>
      <c r="AN670" s="286" t="n">
        <f aca="false">IFERROR(SUMIF($AB$4:$AM$4, "RDEC", AB670:AM670), "")</f>
        <v>0</v>
      </c>
      <c r="AO670" s="286" t="n">
        <f aca="false">IFERROR(SUMIF($AB$4:$AM$4, "SME", AB670:AM670), "")</f>
        <v>0</v>
      </c>
      <c r="AP670" s="286" t="n">
        <f aca="false">IFERROR(SUMIF($AB$4:$AM$4, "De Minimis", AB670:AM670), "")</f>
        <v>0</v>
      </c>
      <c r="AQ670" s="283"/>
      <c r="AR670" s="284" t="n">
        <f aca="false">IFERROR(($J670*O670)*$M670, "")</f>
        <v>0</v>
      </c>
      <c r="AS670" s="284" t="n">
        <f aca="false">IFERROR(($J670*P670)*$M670, "")</f>
        <v>0</v>
      </c>
      <c r="AT670" s="284" t="n">
        <f aca="false">IFERROR(($J670*Q670)*$M670, "")</f>
        <v>0</v>
      </c>
      <c r="AU670" s="284" t="n">
        <f aca="false">IFERROR(($J670*R670)*$M670, "")</f>
        <v>0</v>
      </c>
      <c r="AV670" s="284" t="n">
        <f aca="false">IFERROR(($J670*S670)*$M670, "")</f>
        <v>0</v>
      </c>
      <c r="AW670" s="284" t="n">
        <f aca="false">IFERROR(($J670*T670)*$M670, "")</f>
        <v>0</v>
      </c>
      <c r="AX670" s="284" t="n">
        <f aca="false">IFERROR(($J670*U670)*$M670, "")</f>
        <v>0</v>
      </c>
      <c r="AY670" s="284" t="n">
        <f aca="false">IFERROR(($J670*V670)*$M670, "")</f>
        <v>0</v>
      </c>
      <c r="AZ670" s="284" t="n">
        <f aca="false">IFERROR(($J670*W670)*$M670, "")</f>
        <v>0</v>
      </c>
      <c r="BA670" s="284" t="n">
        <f aca="false">IFERROR(($J670*X670)*$M670, "")</f>
        <v>0</v>
      </c>
      <c r="BB670" s="284" t="n">
        <f aca="false">IFERROR(($J670*Y670)*$M670, "")</f>
        <v>0</v>
      </c>
      <c r="BC670" s="285" t="n">
        <f aca="false">IFERROR(($J670*Z670)*$M670, "")</f>
        <v>0</v>
      </c>
      <c r="BD670" s="286" t="n">
        <f aca="false">IFERROR(SUMIF($AB$4:$AM$4, "RDEC", AR670:BC670), "")</f>
        <v>0</v>
      </c>
      <c r="BE670" s="286" t="n">
        <f aca="false">IFERROR(SUMIF($AB$4:$AM$4, "SME", AR670:BC670), "")</f>
        <v>0</v>
      </c>
      <c r="BF670" s="286" t="n">
        <f aca="false">IFERROR(SUMIF($AB$4:$AM$4, "De Minimis", AR670:BC670), "")</f>
        <v>0</v>
      </c>
      <c r="BG670" s="287"/>
      <c r="BH670" s="288" t="str">
        <f aca="false">IF((SUM(O670:Z670)&gt;1),"ERROR","")</f>
        <v/>
      </c>
      <c r="BI670" s="287"/>
      <c r="BJ670" s="18" t="str">
        <f aca="false">IF(C656&gt;0, C656, "")</f>
        <v/>
      </c>
      <c r="BL670" s="200"/>
      <c r="BM670" s="200"/>
      <c r="BN670" s="200"/>
    </row>
    <row r="671" customFormat="false" ht="15" hidden="false" customHeight="true" outlineLevel="0" collapsed="false">
      <c r="B671" s="275"/>
      <c r="D671" s="276" t="n">
        <f aca="false">D655</f>
        <v>45505</v>
      </c>
      <c r="E671" s="277" t="n">
        <v>0</v>
      </c>
      <c r="F671" s="277" t="n">
        <v>0</v>
      </c>
      <c r="G671" s="277" t="n">
        <v>0</v>
      </c>
      <c r="H671" s="277" t="n">
        <v>0</v>
      </c>
      <c r="I671" s="277" t="n">
        <v>0</v>
      </c>
      <c r="J671" s="278" t="n">
        <f aca="false">E671+H671+I671</f>
        <v>0</v>
      </c>
      <c r="K671" s="204"/>
      <c r="L671" s="279" t="n">
        <v>1</v>
      </c>
      <c r="M671" s="280" t="n">
        <f aca="false">1-L671</f>
        <v>0</v>
      </c>
      <c r="N671" s="281"/>
      <c r="O671" s="282"/>
      <c r="P671" s="282"/>
      <c r="Q671" s="282"/>
      <c r="R671" s="282"/>
      <c r="S671" s="282"/>
      <c r="T671" s="282"/>
      <c r="U671" s="282"/>
      <c r="V671" s="282"/>
      <c r="W671" s="282"/>
      <c r="X671" s="282"/>
      <c r="Y671" s="282"/>
      <c r="Z671" s="282"/>
      <c r="AA671" s="283"/>
      <c r="AB671" s="284" t="n">
        <f aca="false">IFERROR(($J671*O671)*$L671, "")</f>
        <v>0</v>
      </c>
      <c r="AC671" s="284" t="n">
        <f aca="false">IFERROR(($J671*P671)*$L671, "")</f>
        <v>0</v>
      </c>
      <c r="AD671" s="284" t="n">
        <f aca="false">IFERROR(($J671*Q671)*$L671, "")</f>
        <v>0</v>
      </c>
      <c r="AE671" s="284" t="n">
        <f aca="false">IFERROR(($J671*R671)*$L671, "")</f>
        <v>0</v>
      </c>
      <c r="AF671" s="284" t="n">
        <f aca="false">IFERROR(($J671*S671)*$L671, "")</f>
        <v>0</v>
      </c>
      <c r="AG671" s="284" t="n">
        <f aca="false">IFERROR(($J671*T671)*$L671, "")</f>
        <v>0</v>
      </c>
      <c r="AH671" s="284" t="n">
        <f aca="false">IFERROR(($J671*U671)*$L671, "")</f>
        <v>0</v>
      </c>
      <c r="AI671" s="284" t="n">
        <f aca="false">IFERROR(($J671*V671)*$L671, "")</f>
        <v>0</v>
      </c>
      <c r="AJ671" s="284" t="n">
        <f aca="false">IFERROR(($J671*W671)*$L671, "")</f>
        <v>0</v>
      </c>
      <c r="AK671" s="284" t="n">
        <f aca="false">IFERROR(($J671*X671)*$L671, "")</f>
        <v>0</v>
      </c>
      <c r="AL671" s="284" t="n">
        <f aca="false">IFERROR(($J671*Y671)*$L671, "")</f>
        <v>0</v>
      </c>
      <c r="AM671" s="285" t="n">
        <f aca="false">IFERROR(($J671*Z671)*$L671, "")</f>
        <v>0</v>
      </c>
      <c r="AN671" s="286" t="n">
        <f aca="false">IFERROR(SUMIF($AB$4:$AM$4, "RDEC", AB671:AM671), "")</f>
        <v>0</v>
      </c>
      <c r="AO671" s="286" t="n">
        <f aca="false">IFERROR(SUMIF($AB$4:$AM$4, "SME", AB671:AM671), "")</f>
        <v>0</v>
      </c>
      <c r="AP671" s="286" t="n">
        <f aca="false">IFERROR(SUMIF($AB$4:$AM$4, "De Minimis", AB671:AM671), "")</f>
        <v>0</v>
      </c>
      <c r="AQ671" s="283"/>
      <c r="AR671" s="284" t="n">
        <f aca="false">IFERROR(($J671*O671)*$M671, "")</f>
        <v>0</v>
      </c>
      <c r="AS671" s="284" t="n">
        <f aca="false">IFERROR(($J671*P671)*$M671, "")</f>
        <v>0</v>
      </c>
      <c r="AT671" s="284" t="n">
        <f aca="false">IFERROR(($J671*Q671)*$M671, "")</f>
        <v>0</v>
      </c>
      <c r="AU671" s="284" t="n">
        <f aca="false">IFERROR(($J671*R671)*$M671, "")</f>
        <v>0</v>
      </c>
      <c r="AV671" s="284" t="n">
        <f aca="false">IFERROR(($J671*S671)*$M671, "")</f>
        <v>0</v>
      </c>
      <c r="AW671" s="284" t="n">
        <f aca="false">IFERROR(($J671*T671)*$M671, "")</f>
        <v>0</v>
      </c>
      <c r="AX671" s="284" t="n">
        <f aca="false">IFERROR(($J671*U671)*$M671, "")</f>
        <v>0</v>
      </c>
      <c r="AY671" s="284" t="n">
        <f aca="false">IFERROR(($J671*V671)*$M671, "")</f>
        <v>0</v>
      </c>
      <c r="AZ671" s="284" t="n">
        <f aca="false">IFERROR(($J671*W671)*$M671, "")</f>
        <v>0</v>
      </c>
      <c r="BA671" s="284" t="n">
        <f aca="false">IFERROR(($J671*X671)*$M671, "")</f>
        <v>0</v>
      </c>
      <c r="BB671" s="284" t="n">
        <f aca="false">IFERROR(($J671*Y671)*$M671, "")</f>
        <v>0</v>
      </c>
      <c r="BC671" s="285" t="n">
        <f aca="false">IFERROR(($J671*Z671)*$M671, "")</f>
        <v>0</v>
      </c>
      <c r="BD671" s="286" t="n">
        <f aca="false">IFERROR(SUMIF($AB$4:$AM$4, "RDEC", AR671:BC671), "")</f>
        <v>0</v>
      </c>
      <c r="BE671" s="286" t="n">
        <f aca="false">IFERROR(SUMIF($AB$4:$AM$4, "SME", AR671:BC671), "")</f>
        <v>0</v>
      </c>
      <c r="BF671" s="286" t="n">
        <f aca="false">IFERROR(SUMIF($AB$4:$AM$4, "De Minimis", AR671:BC671), "")</f>
        <v>0</v>
      </c>
      <c r="BG671" s="287"/>
      <c r="BH671" s="288" t="str">
        <f aca="false">IF((SUM(O671:Z671)&gt;1),"ERROR","")</f>
        <v/>
      </c>
      <c r="BI671" s="287"/>
      <c r="BJ671" s="18" t="str">
        <f aca="false">IF(C657&gt;0, C657, "")</f>
        <v/>
      </c>
      <c r="BL671" s="200"/>
      <c r="BM671" s="200"/>
      <c r="BN671" s="200"/>
    </row>
    <row r="672" customFormat="false" ht="15" hidden="false" customHeight="true" outlineLevel="0" collapsed="false">
      <c r="B672" s="275"/>
      <c r="D672" s="276" t="n">
        <f aca="false">D656</f>
        <v>45536</v>
      </c>
      <c r="E672" s="277" t="n">
        <v>0</v>
      </c>
      <c r="F672" s="277" t="n">
        <v>0</v>
      </c>
      <c r="G672" s="277" t="n">
        <v>0</v>
      </c>
      <c r="H672" s="277" t="n">
        <v>0</v>
      </c>
      <c r="I672" s="277" t="n">
        <v>0</v>
      </c>
      <c r="J672" s="278" t="n">
        <f aca="false">E672+H672+I672</f>
        <v>0</v>
      </c>
      <c r="K672" s="204"/>
      <c r="L672" s="279" t="n">
        <v>1</v>
      </c>
      <c r="M672" s="280" t="n">
        <f aca="false">1-L672</f>
        <v>0</v>
      </c>
      <c r="N672" s="281"/>
      <c r="O672" s="282"/>
      <c r="P672" s="282"/>
      <c r="Q672" s="282"/>
      <c r="R672" s="282"/>
      <c r="S672" s="282"/>
      <c r="T672" s="282"/>
      <c r="U672" s="282"/>
      <c r="V672" s="282"/>
      <c r="W672" s="282"/>
      <c r="X672" s="282"/>
      <c r="Y672" s="282"/>
      <c r="Z672" s="282"/>
      <c r="AA672" s="283"/>
      <c r="AB672" s="284" t="n">
        <f aca="false">IFERROR(($J672*O672)*$L672, "")</f>
        <v>0</v>
      </c>
      <c r="AC672" s="284" t="n">
        <f aca="false">IFERROR(($J672*P672)*$L672, "")</f>
        <v>0</v>
      </c>
      <c r="AD672" s="284" t="n">
        <f aca="false">IFERROR(($J672*Q672)*$L672, "")</f>
        <v>0</v>
      </c>
      <c r="AE672" s="284" t="n">
        <f aca="false">IFERROR(($J672*R672)*$L672, "")</f>
        <v>0</v>
      </c>
      <c r="AF672" s="284" t="n">
        <f aca="false">IFERROR(($J672*S672)*$L672, "")</f>
        <v>0</v>
      </c>
      <c r="AG672" s="284" t="n">
        <f aca="false">IFERROR(($J672*T672)*$L672, "")</f>
        <v>0</v>
      </c>
      <c r="AH672" s="284" t="n">
        <f aca="false">IFERROR(($J672*U672)*$L672, "")</f>
        <v>0</v>
      </c>
      <c r="AI672" s="284" t="n">
        <f aca="false">IFERROR(($J672*V672)*$L672, "")</f>
        <v>0</v>
      </c>
      <c r="AJ672" s="284" t="n">
        <f aca="false">IFERROR(($J672*W672)*$L672, "")</f>
        <v>0</v>
      </c>
      <c r="AK672" s="284" t="n">
        <f aca="false">IFERROR(($J672*X672)*$L672, "")</f>
        <v>0</v>
      </c>
      <c r="AL672" s="284" t="n">
        <f aca="false">IFERROR(($J672*Y672)*$L672, "")</f>
        <v>0</v>
      </c>
      <c r="AM672" s="285" t="n">
        <f aca="false">IFERROR(($J672*Z672)*$L672, "")</f>
        <v>0</v>
      </c>
      <c r="AN672" s="286" t="n">
        <f aca="false">IFERROR(SUMIF($AB$4:$AM$4, "RDEC", AB672:AM672), "")</f>
        <v>0</v>
      </c>
      <c r="AO672" s="286" t="n">
        <f aca="false">IFERROR(SUMIF($AB$4:$AM$4, "SME", AB672:AM672), "")</f>
        <v>0</v>
      </c>
      <c r="AP672" s="286" t="n">
        <f aca="false">IFERROR(SUMIF($AB$4:$AM$4, "De Minimis", AB672:AM672), "")</f>
        <v>0</v>
      </c>
      <c r="AQ672" s="283"/>
      <c r="AR672" s="284" t="n">
        <f aca="false">IFERROR(($J672*O672)*$M672, "")</f>
        <v>0</v>
      </c>
      <c r="AS672" s="284" t="n">
        <f aca="false">IFERROR(($J672*P672)*$M672, "")</f>
        <v>0</v>
      </c>
      <c r="AT672" s="284" t="n">
        <f aca="false">IFERROR(($J672*Q672)*$M672, "")</f>
        <v>0</v>
      </c>
      <c r="AU672" s="284" t="n">
        <f aca="false">IFERROR(($J672*R672)*$M672, "")</f>
        <v>0</v>
      </c>
      <c r="AV672" s="284" t="n">
        <f aca="false">IFERROR(($J672*S672)*$M672, "")</f>
        <v>0</v>
      </c>
      <c r="AW672" s="284" t="n">
        <f aca="false">IFERROR(($J672*T672)*$M672, "")</f>
        <v>0</v>
      </c>
      <c r="AX672" s="284" t="n">
        <f aca="false">IFERROR(($J672*U672)*$M672, "")</f>
        <v>0</v>
      </c>
      <c r="AY672" s="284" t="n">
        <f aca="false">IFERROR(($J672*V672)*$M672, "")</f>
        <v>0</v>
      </c>
      <c r="AZ672" s="284" t="n">
        <f aca="false">IFERROR(($J672*W672)*$M672, "")</f>
        <v>0</v>
      </c>
      <c r="BA672" s="284" t="n">
        <f aca="false">IFERROR(($J672*X672)*$M672, "")</f>
        <v>0</v>
      </c>
      <c r="BB672" s="284" t="n">
        <f aca="false">IFERROR(($J672*Y672)*$M672, "")</f>
        <v>0</v>
      </c>
      <c r="BC672" s="285" t="n">
        <f aca="false">IFERROR(($J672*Z672)*$M672, "")</f>
        <v>0</v>
      </c>
      <c r="BD672" s="286" t="n">
        <f aca="false">IFERROR(SUMIF($AB$4:$AM$4, "RDEC", AR672:BC672), "")</f>
        <v>0</v>
      </c>
      <c r="BE672" s="286" t="n">
        <f aca="false">IFERROR(SUMIF($AB$4:$AM$4, "SME", AR672:BC672), "")</f>
        <v>0</v>
      </c>
      <c r="BF672" s="286" t="n">
        <f aca="false">IFERROR(SUMIF($AB$4:$AM$4, "De Minimis", AR672:BC672), "")</f>
        <v>0</v>
      </c>
      <c r="BG672" s="287"/>
      <c r="BH672" s="288" t="str">
        <f aca="false">IF((SUM(O672:Z672)&gt;1),"ERROR","")</f>
        <v/>
      </c>
      <c r="BI672" s="287"/>
      <c r="BJ672" s="18" t="str">
        <f aca="false">IF(C658&gt;0, C658, "")</f>
        <v/>
      </c>
      <c r="BL672" s="200"/>
      <c r="BM672" s="200"/>
      <c r="BN672" s="200"/>
    </row>
    <row r="673" customFormat="false" ht="15" hidden="false" customHeight="true" outlineLevel="0" collapsed="false">
      <c r="B673" s="275"/>
      <c r="D673" s="276" t="n">
        <f aca="false">D657</f>
        <v>45566</v>
      </c>
      <c r="E673" s="277" t="n">
        <v>0</v>
      </c>
      <c r="F673" s="277" t="n">
        <v>0</v>
      </c>
      <c r="G673" s="277" t="n">
        <v>0</v>
      </c>
      <c r="H673" s="277" t="n">
        <v>0</v>
      </c>
      <c r="I673" s="277" t="n">
        <v>0</v>
      </c>
      <c r="J673" s="278" t="n">
        <f aca="false">E673+H673+I673</f>
        <v>0</v>
      </c>
      <c r="K673" s="204"/>
      <c r="L673" s="279" t="n">
        <v>1</v>
      </c>
      <c r="M673" s="280" t="n">
        <f aca="false">1-L673</f>
        <v>0</v>
      </c>
      <c r="N673" s="281"/>
      <c r="O673" s="282"/>
      <c r="P673" s="282"/>
      <c r="Q673" s="282"/>
      <c r="R673" s="282"/>
      <c r="S673" s="282"/>
      <c r="T673" s="282"/>
      <c r="U673" s="282"/>
      <c r="V673" s="282"/>
      <c r="W673" s="282"/>
      <c r="X673" s="282"/>
      <c r="Y673" s="282"/>
      <c r="Z673" s="282"/>
      <c r="AA673" s="283"/>
      <c r="AB673" s="284" t="n">
        <f aca="false">IFERROR(($J673*O673)*$L673, "")</f>
        <v>0</v>
      </c>
      <c r="AC673" s="284" t="n">
        <f aca="false">IFERROR(($J673*P673)*$L673, "")</f>
        <v>0</v>
      </c>
      <c r="AD673" s="284" t="n">
        <f aca="false">IFERROR(($J673*Q673)*$L673, "")</f>
        <v>0</v>
      </c>
      <c r="AE673" s="284" t="n">
        <f aca="false">IFERROR(($J673*R673)*$L673, "")</f>
        <v>0</v>
      </c>
      <c r="AF673" s="284" t="n">
        <f aca="false">IFERROR(($J673*S673)*$L673, "")</f>
        <v>0</v>
      </c>
      <c r="AG673" s="284" t="n">
        <f aca="false">IFERROR(($J673*T673)*$L673, "")</f>
        <v>0</v>
      </c>
      <c r="AH673" s="284" t="n">
        <f aca="false">IFERROR(($J673*U673)*$L673, "")</f>
        <v>0</v>
      </c>
      <c r="AI673" s="284" t="n">
        <f aca="false">IFERROR(($J673*V673)*$L673, "")</f>
        <v>0</v>
      </c>
      <c r="AJ673" s="284" t="n">
        <f aca="false">IFERROR(($J673*W673)*$L673, "")</f>
        <v>0</v>
      </c>
      <c r="AK673" s="284" t="n">
        <f aca="false">IFERROR(($J673*X673)*$L673, "")</f>
        <v>0</v>
      </c>
      <c r="AL673" s="284" t="n">
        <f aca="false">IFERROR(($J673*Y673)*$L673, "")</f>
        <v>0</v>
      </c>
      <c r="AM673" s="285" t="n">
        <f aca="false">IFERROR(($J673*Z673)*$L673, "")</f>
        <v>0</v>
      </c>
      <c r="AN673" s="286" t="n">
        <f aca="false">IFERROR(SUMIF($AB$4:$AM$4, "RDEC", AB673:AM673), "")</f>
        <v>0</v>
      </c>
      <c r="AO673" s="286" t="n">
        <f aca="false">IFERROR(SUMIF($AB$4:$AM$4, "SME", AB673:AM673), "")</f>
        <v>0</v>
      </c>
      <c r="AP673" s="286" t="n">
        <f aca="false">IFERROR(SUMIF($AB$4:$AM$4, "De Minimis", AB673:AM673), "")</f>
        <v>0</v>
      </c>
      <c r="AQ673" s="283"/>
      <c r="AR673" s="284" t="n">
        <f aca="false">IFERROR(($J673*O673)*$M673, "")</f>
        <v>0</v>
      </c>
      <c r="AS673" s="284" t="n">
        <f aca="false">IFERROR(($J673*P673)*$M673, "")</f>
        <v>0</v>
      </c>
      <c r="AT673" s="284" t="n">
        <f aca="false">IFERROR(($J673*Q673)*$M673, "")</f>
        <v>0</v>
      </c>
      <c r="AU673" s="284" t="n">
        <f aca="false">IFERROR(($J673*R673)*$M673, "")</f>
        <v>0</v>
      </c>
      <c r="AV673" s="284" t="n">
        <f aca="false">IFERROR(($J673*S673)*$M673, "")</f>
        <v>0</v>
      </c>
      <c r="AW673" s="284" t="n">
        <f aca="false">IFERROR(($J673*T673)*$M673, "")</f>
        <v>0</v>
      </c>
      <c r="AX673" s="284" t="n">
        <f aca="false">IFERROR(($J673*U673)*$M673, "")</f>
        <v>0</v>
      </c>
      <c r="AY673" s="284" t="n">
        <f aca="false">IFERROR(($J673*V673)*$M673, "")</f>
        <v>0</v>
      </c>
      <c r="AZ673" s="284" t="n">
        <f aca="false">IFERROR(($J673*W673)*$M673, "")</f>
        <v>0</v>
      </c>
      <c r="BA673" s="284" t="n">
        <f aca="false">IFERROR(($J673*X673)*$M673, "")</f>
        <v>0</v>
      </c>
      <c r="BB673" s="284" t="n">
        <f aca="false">IFERROR(($J673*Y673)*$M673, "")</f>
        <v>0</v>
      </c>
      <c r="BC673" s="285" t="n">
        <f aca="false">IFERROR(($J673*Z673)*$M673, "")</f>
        <v>0</v>
      </c>
      <c r="BD673" s="286" t="n">
        <f aca="false">IFERROR(SUMIF($AB$4:$AM$4, "RDEC", AR673:BC673), "")</f>
        <v>0</v>
      </c>
      <c r="BE673" s="286" t="n">
        <f aca="false">IFERROR(SUMIF($AB$4:$AM$4, "SME", AR673:BC673), "")</f>
        <v>0</v>
      </c>
      <c r="BF673" s="286" t="n">
        <f aca="false">IFERROR(SUMIF($AB$4:$AM$4, "De Minimis", AR673:BC673), "")</f>
        <v>0</v>
      </c>
      <c r="BG673" s="287"/>
      <c r="BH673" s="288" t="str">
        <f aca="false">IF((SUM(O673:Z673)&gt;1),"ERROR","")</f>
        <v/>
      </c>
      <c r="BI673" s="287"/>
      <c r="BJ673" s="18" t="str">
        <f aca="false">IF(C659&gt;0, C659, "")</f>
        <v/>
      </c>
      <c r="BL673" s="200"/>
      <c r="BM673" s="200"/>
      <c r="BN673" s="200"/>
    </row>
    <row r="674" customFormat="false" ht="15" hidden="false" customHeight="true" outlineLevel="0" collapsed="false">
      <c r="B674" s="275"/>
      <c r="D674" s="276" t="n">
        <f aca="false">D658</f>
        <v>45597</v>
      </c>
      <c r="E674" s="277" t="n">
        <v>0</v>
      </c>
      <c r="F674" s="277" t="n">
        <v>0</v>
      </c>
      <c r="G674" s="277" t="n">
        <v>0</v>
      </c>
      <c r="H674" s="277" t="n">
        <v>0</v>
      </c>
      <c r="I674" s="277" t="n">
        <v>0</v>
      </c>
      <c r="J674" s="278" t="n">
        <f aca="false">E674+H674+I674</f>
        <v>0</v>
      </c>
      <c r="K674" s="204"/>
      <c r="L674" s="279" t="n">
        <v>1</v>
      </c>
      <c r="M674" s="280" t="n">
        <f aca="false">1-L674</f>
        <v>0</v>
      </c>
      <c r="N674" s="281"/>
      <c r="O674" s="282"/>
      <c r="P674" s="282"/>
      <c r="Q674" s="282"/>
      <c r="R674" s="282"/>
      <c r="S674" s="282"/>
      <c r="T674" s="282"/>
      <c r="U674" s="282"/>
      <c r="V674" s="282"/>
      <c r="W674" s="282"/>
      <c r="X674" s="282"/>
      <c r="Y674" s="282"/>
      <c r="Z674" s="282"/>
      <c r="AA674" s="283"/>
      <c r="AB674" s="284" t="n">
        <f aca="false">IFERROR(($J674*O674)*$L674, "")</f>
        <v>0</v>
      </c>
      <c r="AC674" s="284" t="n">
        <f aca="false">IFERROR(($J674*P674)*$L674, "")</f>
        <v>0</v>
      </c>
      <c r="AD674" s="284" t="n">
        <f aca="false">IFERROR(($J674*Q674)*$L674, "")</f>
        <v>0</v>
      </c>
      <c r="AE674" s="284" t="n">
        <f aca="false">IFERROR(($J674*R674)*$L674, "")</f>
        <v>0</v>
      </c>
      <c r="AF674" s="284" t="n">
        <f aca="false">IFERROR(($J674*S674)*$L674, "")</f>
        <v>0</v>
      </c>
      <c r="AG674" s="284" t="n">
        <f aca="false">IFERROR(($J674*T674)*$L674, "")</f>
        <v>0</v>
      </c>
      <c r="AH674" s="284" t="n">
        <f aca="false">IFERROR(($J674*U674)*$L674, "")</f>
        <v>0</v>
      </c>
      <c r="AI674" s="284" t="n">
        <f aca="false">IFERROR(($J674*V674)*$L674, "")</f>
        <v>0</v>
      </c>
      <c r="AJ674" s="284" t="n">
        <f aca="false">IFERROR(($J674*W674)*$L674, "")</f>
        <v>0</v>
      </c>
      <c r="AK674" s="284" t="n">
        <f aca="false">IFERROR(($J674*X674)*$L674, "")</f>
        <v>0</v>
      </c>
      <c r="AL674" s="284" t="n">
        <f aca="false">IFERROR(($J674*Y674)*$L674, "")</f>
        <v>0</v>
      </c>
      <c r="AM674" s="285" t="n">
        <f aca="false">IFERROR(($J674*Z674)*$L674, "")</f>
        <v>0</v>
      </c>
      <c r="AN674" s="286" t="n">
        <f aca="false">IFERROR(SUMIF($AB$4:$AM$4, "RDEC", AB674:AM674), "")</f>
        <v>0</v>
      </c>
      <c r="AO674" s="286" t="n">
        <f aca="false">IFERROR(SUMIF($AB$4:$AM$4, "SME", AB674:AM674), "")</f>
        <v>0</v>
      </c>
      <c r="AP674" s="286" t="n">
        <f aca="false">IFERROR(SUMIF($AB$4:$AM$4, "De Minimis", AB674:AM674), "")</f>
        <v>0</v>
      </c>
      <c r="AQ674" s="283"/>
      <c r="AR674" s="284" t="n">
        <f aca="false">IFERROR(($J674*O674)*$M674, "")</f>
        <v>0</v>
      </c>
      <c r="AS674" s="284" t="n">
        <f aca="false">IFERROR(($J674*P674)*$M674, "")</f>
        <v>0</v>
      </c>
      <c r="AT674" s="284" t="n">
        <f aca="false">IFERROR(($J674*Q674)*$M674, "")</f>
        <v>0</v>
      </c>
      <c r="AU674" s="284" t="n">
        <f aca="false">IFERROR(($J674*R674)*$M674, "")</f>
        <v>0</v>
      </c>
      <c r="AV674" s="284" t="n">
        <f aca="false">IFERROR(($J674*S674)*$M674, "")</f>
        <v>0</v>
      </c>
      <c r="AW674" s="284" t="n">
        <f aca="false">IFERROR(($J674*T674)*$M674, "")</f>
        <v>0</v>
      </c>
      <c r="AX674" s="284" t="n">
        <f aca="false">IFERROR(($J674*U674)*$M674, "")</f>
        <v>0</v>
      </c>
      <c r="AY674" s="284" t="n">
        <f aca="false">IFERROR(($J674*V674)*$M674, "")</f>
        <v>0</v>
      </c>
      <c r="AZ674" s="284" t="n">
        <f aca="false">IFERROR(($J674*W674)*$M674, "")</f>
        <v>0</v>
      </c>
      <c r="BA674" s="284" t="n">
        <f aca="false">IFERROR(($J674*X674)*$M674, "")</f>
        <v>0</v>
      </c>
      <c r="BB674" s="284" t="n">
        <f aca="false">IFERROR(($J674*Y674)*$M674, "")</f>
        <v>0</v>
      </c>
      <c r="BC674" s="285" t="n">
        <f aca="false">IFERROR(($J674*Z674)*$M674, "")</f>
        <v>0</v>
      </c>
      <c r="BD674" s="286" t="n">
        <f aca="false">IFERROR(SUMIF($AB$4:$AM$4, "RDEC", AR674:BC674), "")</f>
        <v>0</v>
      </c>
      <c r="BE674" s="286" t="n">
        <f aca="false">IFERROR(SUMIF($AB$4:$AM$4, "SME", AR674:BC674), "")</f>
        <v>0</v>
      </c>
      <c r="BF674" s="286" t="n">
        <f aca="false">IFERROR(SUMIF($AB$4:$AM$4, "De Minimis", AR674:BC674), "")</f>
        <v>0</v>
      </c>
      <c r="BG674" s="287"/>
      <c r="BH674" s="288" t="str">
        <f aca="false">IF((SUM(O674:Z674)&gt;1),"ERROR","")</f>
        <v/>
      </c>
      <c r="BI674" s="287"/>
      <c r="BJ674" s="18" t="str">
        <f aca="false">IF(C660&gt;0, C660, "")</f>
        <v/>
      </c>
      <c r="BL674" s="200"/>
      <c r="BM674" s="200"/>
      <c r="BN674" s="200"/>
    </row>
    <row r="675" customFormat="false" ht="15" hidden="false" customHeight="true" outlineLevel="0" collapsed="false">
      <c r="B675" s="275"/>
      <c r="D675" s="276" t="n">
        <f aca="false">D659</f>
        <v>45627</v>
      </c>
      <c r="E675" s="277" t="n">
        <v>0</v>
      </c>
      <c r="F675" s="277" t="n">
        <v>0</v>
      </c>
      <c r="G675" s="277" t="n">
        <v>0</v>
      </c>
      <c r="H675" s="277" t="n">
        <v>0</v>
      </c>
      <c r="I675" s="277" t="n">
        <v>0</v>
      </c>
      <c r="J675" s="278" t="n">
        <f aca="false">E675+H675+I675</f>
        <v>0</v>
      </c>
      <c r="K675" s="204"/>
      <c r="L675" s="289" t="n">
        <v>1</v>
      </c>
      <c r="M675" s="290" t="n">
        <f aca="false">1-L675</f>
        <v>0</v>
      </c>
      <c r="N675" s="281"/>
      <c r="O675" s="291"/>
      <c r="P675" s="291"/>
      <c r="Q675" s="291"/>
      <c r="R675" s="291"/>
      <c r="S675" s="291"/>
      <c r="T675" s="291"/>
      <c r="U675" s="291"/>
      <c r="V675" s="291"/>
      <c r="W675" s="291"/>
      <c r="X675" s="291"/>
      <c r="Y675" s="291"/>
      <c r="Z675" s="291"/>
      <c r="AA675" s="283"/>
      <c r="AB675" s="292" t="n">
        <f aca="false">IFERROR(($J675*O675)*$L675, "")</f>
        <v>0</v>
      </c>
      <c r="AC675" s="292" t="n">
        <f aca="false">IFERROR(($J675*P675)*$L675, "")</f>
        <v>0</v>
      </c>
      <c r="AD675" s="292" t="n">
        <f aca="false">IFERROR(($J675*Q675)*$L675, "")</f>
        <v>0</v>
      </c>
      <c r="AE675" s="292" t="n">
        <f aca="false">IFERROR(($J675*R675)*$L675, "")</f>
        <v>0</v>
      </c>
      <c r="AF675" s="292" t="n">
        <f aca="false">IFERROR(($J675*S675)*$L675, "")</f>
        <v>0</v>
      </c>
      <c r="AG675" s="292" t="n">
        <f aca="false">IFERROR(($J675*T675)*$L675, "")</f>
        <v>0</v>
      </c>
      <c r="AH675" s="292" t="n">
        <f aca="false">IFERROR(($J675*U675)*$L675, "")</f>
        <v>0</v>
      </c>
      <c r="AI675" s="292" t="n">
        <f aca="false">IFERROR(($J675*V675)*$L675, "")</f>
        <v>0</v>
      </c>
      <c r="AJ675" s="292" t="n">
        <f aca="false">IFERROR(($J675*W675)*$L675, "")</f>
        <v>0</v>
      </c>
      <c r="AK675" s="292" t="n">
        <f aca="false">IFERROR(($J675*X675)*$L675, "")</f>
        <v>0</v>
      </c>
      <c r="AL675" s="292" t="n">
        <f aca="false">IFERROR(($J675*Y675)*$L675, "")</f>
        <v>0</v>
      </c>
      <c r="AM675" s="293" t="n">
        <f aca="false">IFERROR(($J675*Z675)*$L675, "")</f>
        <v>0</v>
      </c>
      <c r="AN675" s="294" t="n">
        <f aca="false">IFERROR(SUMIF($AB$4:$AM$4, "RDEC", AB675:AM675), "")</f>
        <v>0</v>
      </c>
      <c r="AO675" s="294" t="n">
        <f aca="false">IFERROR(SUMIF($AB$4:$AM$4, "SME", AB675:AM675), "")</f>
        <v>0</v>
      </c>
      <c r="AP675" s="294" t="n">
        <f aca="false">IFERROR(SUMIF($AB$4:$AM$4, "De Minimis", AB675:AM675), "")</f>
        <v>0</v>
      </c>
      <c r="AQ675" s="283"/>
      <c r="AR675" s="292" t="n">
        <f aca="false">IFERROR(($J675*O675)*$M675, "")</f>
        <v>0</v>
      </c>
      <c r="AS675" s="292" t="n">
        <f aca="false">IFERROR(($J675*P675)*$M675, "")</f>
        <v>0</v>
      </c>
      <c r="AT675" s="292" t="n">
        <f aca="false">IFERROR(($J675*Q675)*$M675, "")</f>
        <v>0</v>
      </c>
      <c r="AU675" s="292" t="n">
        <f aca="false">IFERROR(($J675*R675)*$M675, "")</f>
        <v>0</v>
      </c>
      <c r="AV675" s="292" t="n">
        <f aca="false">IFERROR(($J675*S675)*$M675, "")</f>
        <v>0</v>
      </c>
      <c r="AW675" s="292" t="n">
        <f aca="false">IFERROR(($J675*T675)*$M675, "")</f>
        <v>0</v>
      </c>
      <c r="AX675" s="292" t="n">
        <f aca="false">IFERROR(($J675*U675)*$M675, "")</f>
        <v>0</v>
      </c>
      <c r="AY675" s="292" t="n">
        <f aca="false">IFERROR(($J675*V675)*$M675, "")</f>
        <v>0</v>
      </c>
      <c r="AZ675" s="292" t="n">
        <f aca="false">IFERROR(($J675*W675)*$M675, "")</f>
        <v>0</v>
      </c>
      <c r="BA675" s="292" t="n">
        <f aca="false">IFERROR(($J675*X675)*$M675, "")</f>
        <v>0</v>
      </c>
      <c r="BB675" s="292" t="n">
        <f aca="false">IFERROR(($J675*Y675)*$M675, "")</f>
        <v>0</v>
      </c>
      <c r="BC675" s="293" t="n">
        <f aca="false">IFERROR(($J675*Z675)*$M675, "")</f>
        <v>0</v>
      </c>
      <c r="BD675" s="294" t="n">
        <f aca="false">IFERROR(SUMIF($AB$4:$AM$4, "RDEC", AR675:BC675), "")</f>
        <v>0</v>
      </c>
      <c r="BE675" s="294" t="n">
        <f aca="false">IFERROR(SUMIF($AB$4:$AM$4, "SME", AR675:BC675), "")</f>
        <v>0</v>
      </c>
      <c r="BF675" s="294" t="n">
        <f aca="false">IFERROR(SUMIF($AB$4:$AM$4, "De Minimis", AR675:BC675), "")</f>
        <v>0</v>
      </c>
      <c r="BG675" s="287"/>
      <c r="BH675" s="295" t="str">
        <f aca="false">IF((SUM(O675:Z675)&gt;1),"ERROR","")</f>
        <v/>
      </c>
      <c r="BI675" s="287"/>
      <c r="BJ675" s="18" t="str">
        <f aca="false">IF(C661&gt;0, C661, "")</f>
        <v/>
      </c>
      <c r="BL675" s="200"/>
      <c r="BM675" s="200"/>
      <c r="BN675" s="200"/>
    </row>
    <row r="676" customFormat="false" ht="15" hidden="false" customHeight="true" outlineLevel="0" collapsed="false">
      <c r="B676" s="296"/>
      <c r="D676" s="297" t="s">
        <v>82</v>
      </c>
      <c r="E676" s="298" t="n">
        <f aca="false">SUM(E664:E675)</f>
        <v>0</v>
      </c>
      <c r="F676" s="298" t="n">
        <f aca="false">SUM(F664:F675)</f>
        <v>0</v>
      </c>
      <c r="G676" s="298" t="n">
        <f aca="false">SUM(G664:G675)</f>
        <v>0</v>
      </c>
      <c r="H676" s="298" t="n">
        <f aca="false">SUM(H664:H675)</f>
        <v>0</v>
      </c>
      <c r="I676" s="298" t="n">
        <f aca="false">SUM(I664:I675)</f>
        <v>0</v>
      </c>
      <c r="J676" s="299" t="n">
        <f aca="false">SUM(J664:J675)</f>
        <v>0</v>
      </c>
      <c r="K676" s="300"/>
      <c r="L676" s="301" t="n">
        <f aca="false">AVERAGE(L664:L675)</f>
        <v>1</v>
      </c>
      <c r="M676" s="301" t="n">
        <f aca="false">AVERAGE(M664:M675)</f>
        <v>0</v>
      </c>
      <c r="N676" s="302"/>
      <c r="O676" s="290" t="n">
        <f aca="false">IF(SUM(O664:O675)&gt;0,((AB676+AR676)/J676),0)</f>
        <v>0</v>
      </c>
      <c r="P676" s="290" t="n">
        <f aca="false">IF(SUM(P664:P675)&gt;0,((AC676+AS676)/J676),0)</f>
        <v>0</v>
      </c>
      <c r="Q676" s="290" t="n">
        <f aca="false">IF(SUM(Q664:Q675)&gt;0,((AD676+AT676)/J676),0)</f>
        <v>0</v>
      </c>
      <c r="R676" s="290" t="n">
        <f aca="false">IF(SUM(R664:R675)&gt;0,((AE676+AU676)/J676),0)</f>
        <v>0</v>
      </c>
      <c r="S676" s="290" t="n">
        <f aca="false">IF(SUM(S664:S675)&gt;0,((AF676+AV676)/J676),0)</f>
        <v>0</v>
      </c>
      <c r="T676" s="290" t="n">
        <f aca="false">IF(SUM(T664:T675)&gt;0,((AG676+AW676)/J676),0)</f>
        <v>0</v>
      </c>
      <c r="U676" s="290" t="n">
        <f aca="false">IF(SUM(U664:U675)&gt;0,((AH676+AX676)/J676),0)</f>
        <v>0</v>
      </c>
      <c r="V676" s="290" t="n">
        <f aca="false">IF(SUM(V664:V675)&gt;0,((AI676+AY676)/J676),0)</f>
        <v>0</v>
      </c>
      <c r="W676" s="290" t="n">
        <f aca="false">IF(SUM(W664:W675)&gt;0,((AJ676+AZ676)/J676),0)</f>
        <v>0</v>
      </c>
      <c r="X676" s="290" t="n">
        <f aca="false">IF(SUM(X664:X675)&gt;0,((AK676+BA676)/J676),0)</f>
        <v>0</v>
      </c>
      <c r="Y676" s="290" t="n">
        <f aca="false">IF(SUM(Y664:Y675)&gt;0,((AL676+BB676)/J676),0)</f>
        <v>0</v>
      </c>
      <c r="Z676" s="290" t="n">
        <f aca="false">IF(SUM(Z664:Z675)&gt;0,((AM676+BC676)/J676),0)</f>
        <v>0</v>
      </c>
      <c r="AA676" s="303"/>
      <c r="AB676" s="292" t="n">
        <f aca="false">SUM(AB664:AB675)</f>
        <v>0</v>
      </c>
      <c r="AC676" s="304" t="n">
        <f aca="false">SUM(AC664:AC675)</f>
        <v>0</v>
      </c>
      <c r="AD676" s="304" t="n">
        <f aca="false">SUM(AD664:AD675)</f>
        <v>0</v>
      </c>
      <c r="AE676" s="304" t="n">
        <f aca="false">SUM(AE664:AE675)</f>
        <v>0</v>
      </c>
      <c r="AF676" s="304" t="n">
        <f aca="false">SUM(AF664:AF675)</f>
        <v>0</v>
      </c>
      <c r="AG676" s="304" t="n">
        <f aca="false">SUM(AG664:AG675)</f>
        <v>0</v>
      </c>
      <c r="AH676" s="304" t="n">
        <f aca="false">SUM(AH664:AH675)</f>
        <v>0</v>
      </c>
      <c r="AI676" s="304" t="n">
        <f aca="false">SUM(AI664:AI675)</f>
        <v>0</v>
      </c>
      <c r="AJ676" s="304" t="n">
        <f aca="false">SUM(AJ664:AJ675)</f>
        <v>0</v>
      </c>
      <c r="AK676" s="304" t="n">
        <f aca="false">SUM(AK664:AK675)</f>
        <v>0</v>
      </c>
      <c r="AL676" s="304" t="n">
        <f aca="false">SUM(AL664:AL675)</f>
        <v>0</v>
      </c>
      <c r="AM676" s="304" t="n">
        <f aca="false">SUM(AM664:AM675)</f>
        <v>0</v>
      </c>
      <c r="AN676" s="305" t="n">
        <f aca="false">SUM(AN664:AN675)</f>
        <v>0</v>
      </c>
      <c r="AO676" s="305" t="n">
        <f aca="false">SUM(AO664:AO675)</f>
        <v>0</v>
      </c>
      <c r="AP676" s="305" t="n">
        <f aca="false">SUM(AP664:AP675)</f>
        <v>0</v>
      </c>
      <c r="AQ676" s="303"/>
      <c r="AR676" s="292" t="n">
        <f aca="false">SUM(AR664:AR675)</f>
        <v>0</v>
      </c>
      <c r="AS676" s="304" t="n">
        <f aca="false">SUM(AS664:AS675)</f>
        <v>0</v>
      </c>
      <c r="AT676" s="304" t="n">
        <f aca="false">SUM(AT664:AT675)</f>
        <v>0</v>
      </c>
      <c r="AU676" s="304" t="n">
        <f aca="false">SUM(AU664:AU675)</f>
        <v>0</v>
      </c>
      <c r="AV676" s="304" t="n">
        <f aca="false">SUM(AV664:AV675)</f>
        <v>0</v>
      </c>
      <c r="AW676" s="304" t="n">
        <f aca="false">SUM(AW664:AW675)</f>
        <v>0</v>
      </c>
      <c r="AX676" s="304" t="n">
        <f aca="false">SUM(AX664:AX675)</f>
        <v>0</v>
      </c>
      <c r="AY676" s="304" t="n">
        <f aca="false">SUM(AY664:AY675)</f>
        <v>0</v>
      </c>
      <c r="AZ676" s="304" t="n">
        <f aca="false">SUM(AZ664:AZ675)</f>
        <v>0</v>
      </c>
      <c r="BA676" s="304" t="n">
        <f aca="false">SUM(BA664:BA675)</f>
        <v>0</v>
      </c>
      <c r="BB676" s="304" t="n">
        <f aca="false">SUM(BB664:BB675)</f>
        <v>0</v>
      </c>
      <c r="BC676" s="304" t="n">
        <f aca="false">SUM(BC664:BC675)</f>
        <v>0</v>
      </c>
      <c r="BD676" s="305" t="n">
        <f aca="false">SUM(BD664:BD675)</f>
        <v>0</v>
      </c>
      <c r="BE676" s="305" t="n">
        <f aca="false">SUM(BE664:BE675)</f>
        <v>0</v>
      </c>
      <c r="BF676" s="305" t="n">
        <f aca="false">SUM(BF664:BF675)</f>
        <v>0</v>
      </c>
      <c r="BG676" s="303"/>
      <c r="BH676" s="306"/>
      <c r="BI676" s="303"/>
      <c r="BJ676" s="307" t="str">
        <f aca="false">IF(C662&gt;0, C662, "")</f>
        <v>TBA</v>
      </c>
      <c r="BK676" s="18" t="s">
        <v>234</v>
      </c>
      <c r="BL676" s="200" t="n">
        <f aca="false">IF($BK676="Y",J676,0)</f>
        <v>0</v>
      </c>
      <c r="BM676" s="200" t="n">
        <f aca="false">IF(BK676="Y", AN676,0)</f>
        <v>0</v>
      </c>
      <c r="BN676" s="200" t="n">
        <f aca="false">IF((BK676="Y"),AO676,0)</f>
        <v>0</v>
      </c>
    </row>
    <row r="677" customFormat="false" ht="15" hidden="false" customHeight="true" outlineLevel="0" collapsed="false">
      <c r="B677" s="296"/>
      <c r="D677" s="297"/>
      <c r="E677" s="277"/>
      <c r="F677" s="277"/>
      <c r="G677" s="277"/>
      <c r="H677" s="277"/>
      <c r="I677" s="277"/>
      <c r="J677" s="300"/>
      <c r="K677" s="300"/>
      <c r="L677" s="302"/>
      <c r="M677" s="302"/>
      <c r="N677" s="302"/>
      <c r="O677" s="308"/>
      <c r="P677" s="308"/>
      <c r="Q677" s="308"/>
      <c r="R677" s="308"/>
      <c r="S677" s="308"/>
      <c r="T677" s="308"/>
      <c r="U677" s="308"/>
      <c r="V677" s="308"/>
      <c r="W677" s="308"/>
      <c r="X677" s="308"/>
      <c r="Y677" s="308"/>
      <c r="Z677" s="308"/>
      <c r="AA677" s="303"/>
      <c r="AB677" s="303"/>
      <c r="AC677" s="303"/>
      <c r="AD677" s="303"/>
      <c r="AE677" s="303"/>
      <c r="AF677" s="303"/>
      <c r="AG677" s="303"/>
      <c r="AH677" s="303"/>
      <c r="AI677" s="303"/>
      <c r="AJ677" s="303"/>
      <c r="AK677" s="303"/>
      <c r="AL677" s="303"/>
      <c r="AM677" s="303"/>
      <c r="AN677" s="303"/>
      <c r="AO677" s="303"/>
      <c r="AP677" s="303"/>
      <c r="AQ677" s="303"/>
      <c r="AR677" s="303"/>
      <c r="AS677" s="303"/>
      <c r="AT677" s="303"/>
      <c r="AU677" s="303"/>
      <c r="AV677" s="303"/>
      <c r="AW677" s="303"/>
      <c r="AX677" s="303"/>
      <c r="AY677" s="303"/>
      <c r="AZ677" s="303"/>
      <c r="BA677" s="303"/>
      <c r="BB677" s="303"/>
      <c r="BC677" s="303"/>
      <c r="BD677" s="303"/>
      <c r="BE677" s="303"/>
      <c r="BF677" s="303"/>
      <c r="BG677" s="303"/>
      <c r="BH677" s="303"/>
      <c r="BI677" s="303"/>
      <c r="BJ677" s="307" t="str">
        <f aca="false">IF(C664&gt;0, C664, "")</f>
        <v/>
      </c>
      <c r="BL677" s="200"/>
      <c r="BM677" s="200"/>
      <c r="BN677" s="200"/>
    </row>
    <row r="678" customFormat="false" ht="15" hidden="false" customHeight="true" outlineLevel="0" collapsed="false">
      <c r="A678" s="198" t="n">
        <f aca="false">A662+1</f>
        <v>43</v>
      </c>
      <c r="B678" s="266" t="s">
        <v>253</v>
      </c>
      <c r="C678" s="266" t="s">
        <v>253</v>
      </c>
      <c r="D678" s="267"/>
      <c r="E678" s="242"/>
      <c r="F678" s="242"/>
      <c r="G678" s="242"/>
      <c r="H678" s="242"/>
      <c r="I678" s="242"/>
      <c r="J678" s="241"/>
      <c r="K678" s="241"/>
      <c r="L678" s="241"/>
      <c r="M678" s="241"/>
      <c r="N678" s="241"/>
      <c r="O678" s="268"/>
      <c r="P678" s="268"/>
      <c r="Q678" s="268"/>
      <c r="R678" s="268"/>
      <c r="S678" s="268"/>
      <c r="T678" s="268"/>
      <c r="U678" s="268"/>
      <c r="V678" s="268"/>
      <c r="W678" s="268"/>
      <c r="X678" s="268"/>
      <c r="Y678" s="268"/>
      <c r="Z678" s="268"/>
      <c r="AA678" s="268"/>
      <c r="AB678" s="268"/>
      <c r="AC678" s="268"/>
      <c r="AD678" s="268"/>
      <c r="AE678" s="268"/>
      <c r="AF678" s="268"/>
      <c r="AG678" s="268"/>
      <c r="AH678" s="268"/>
      <c r="AI678" s="268"/>
      <c r="AJ678" s="268"/>
      <c r="AK678" s="268"/>
      <c r="AL678" s="268"/>
      <c r="AM678" s="268"/>
      <c r="AN678" s="268"/>
      <c r="AO678" s="268"/>
      <c r="AP678" s="268"/>
      <c r="AQ678" s="268"/>
      <c r="AR678" s="268"/>
      <c r="AS678" s="268"/>
      <c r="AT678" s="268"/>
      <c r="AU678" s="268"/>
      <c r="AV678" s="268"/>
      <c r="AW678" s="268"/>
      <c r="AX678" s="268"/>
      <c r="AY678" s="268"/>
      <c r="AZ678" s="268"/>
      <c r="BA678" s="268"/>
      <c r="BB678" s="268"/>
      <c r="BC678" s="268"/>
      <c r="BD678" s="268"/>
      <c r="BE678" s="268"/>
      <c r="BF678" s="268"/>
      <c r="BG678" s="268"/>
      <c r="BH678" s="268"/>
      <c r="BI678" s="268"/>
      <c r="BJ678" s="18" t="str">
        <f aca="false">IF(C665&gt;0, C665, "")</f>
        <v/>
      </c>
      <c r="BL678" s="200"/>
      <c r="BM678" s="200"/>
      <c r="BN678" s="200"/>
    </row>
    <row r="679" customFormat="false" ht="7.5" hidden="false" customHeight="true" outlineLevel="0" collapsed="false">
      <c r="A679" s="198"/>
      <c r="B679" s="266"/>
      <c r="C679" s="266"/>
      <c r="D679" s="267"/>
      <c r="E679" s="242"/>
      <c r="F679" s="242"/>
      <c r="G679" s="242"/>
      <c r="H679" s="242"/>
      <c r="I679" s="242"/>
      <c r="J679" s="241"/>
      <c r="K679" s="241"/>
      <c r="L679" s="269"/>
      <c r="M679" s="269"/>
      <c r="N679" s="270"/>
      <c r="O679" s="269"/>
      <c r="P679" s="269"/>
      <c r="Q679" s="269"/>
      <c r="R679" s="269"/>
      <c r="S679" s="269"/>
      <c r="T679" s="269"/>
      <c r="U679" s="269"/>
      <c r="V679" s="269"/>
      <c r="W679" s="269"/>
      <c r="X679" s="269"/>
      <c r="Y679" s="269"/>
      <c r="Z679" s="269"/>
      <c r="AA679" s="268"/>
      <c r="AB679" s="271"/>
      <c r="AC679" s="271"/>
      <c r="AD679" s="271"/>
      <c r="AE679" s="271"/>
      <c r="AF679" s="271"/>
      <c r="AG679" s="271"/>
      <c r="AH679" s="271"/>
      <c r="AI679" s="271"/>
      <c r="AJ679" s="271"/>
      <c r="AK679" s="271"/>
      <c r="AL679" s="271"/>
      <c r="AM679" s="272"/>
      <c r="AN679" s="273"/>
      <c r="AO679" s="273"/>
      <c r="AP679" s="273"/>
      <c r="AQ679" s="268"/>
      <c r="AR679" s="271"/>
      <c r="AS679" s="271"/>
      <c r="AT679" s="271"/>
      <c r="AU679" s="271"/>
      <c r="AV679" s="271"/>
      <c r="AW679" s="271"/>
      <c r="AX679" s="271"/>
      <c r="AY679" s="271"/>
      <c r="AZ679" s="271"/>
      <c r="BA679" s="271"/>
      <c r="BB679" s="271"/>
      <c r="BC679" s="272"/>
      <c r="BD679" s="273"/>
      <c r="BE679" s="273"/>
      <c r="BF679" s="273"/>
      <c r="BG679" s="268"/>
      <c r="BH679" s="274"/>
      <c r="BI679" s="268"/>
      <c r="BL679" s="200"/>
      <c r="BM679" s="200"/>
      <c r="BN679" s="200"/>
    </row>
    <row r="680" customFormat="false" ht="15" hidden="false" customHeight="true" outlineLevel="0" collapsed="false">
      <c r="B680" s="275"/>
      <c r="D680" s="276" t="n">
        <f aca="false">D664</f>
        <v>45292</v>
      </c>
      <c r="E680" s="277" t="n">
        <v>0</v>
      </c>
      <c r="F680" s="277" t="n">
        <v>0</v>
      </c>
      <c r="G680" s="277" t="n">
        <v>0</v>
      </c>
      <c r="H680" s="277" t="n">
        <v>0</v>
      </c>
      <c r="I680" s="277" t="n">
        <v>0</v>
      </c>
      <c r="J680" s="278" t="n">
        <f aca="false">E680+H680+I680</f>
        <v>0</v>
      </c>
      <c r="K680" s="204"/>
      <c r="L680" s="279" t="n">
        <v>1</v>
      </c>
      <c r="M680" s="280" t="n">
        <f aca="false">1-L680</f>
        <v>0</v>
      </c>
      <c r="N680" s="281"/>
      <c r="O680" s="282"/>
      <c r="P680" s="282"/>
      <c r="Q680" s="282"/>
      <c r="R680" s="282"/>
      <c r="S680" s="282"/>
      <c r="T680" s="282"/>
      <c r="U680" s="282"/>
      <c r="V680" s="282"/>
      <c r="W680" s="282"/>
      <c r="X680" s="282"/>
      <c r="Y680" s="282"/>
      <c r="Z680" s="282"/>
      <c r="AA680" s="283"/>
      <c r="AB680" s="284" t="n">
        <f aca="false">IFERROR(($J680*O680)*$L680, "")</f>
        <v>0</v>
      </c>
      <c r="AC680" s="284" t="n">
        <f aca="false">IFERROR(($J680*P680)*$L680, "")</f>
        <v>0</v>
      </c>
      <c r="AD680" s="284" t="n">
        <f aca="false">IFERROR(($J680*Q680)*$L680, "")</f>
        <v>0</v>
      </c>
      <c r="AE680" s="284" t="n">
        <f aca="false">IFERROR(($J680*R680)*$L680, "")</f>
        <v>0</v>
      </c>
      <c r="AF680" s="284" t="n">
        <f aca="false">IFERROR(($J680*S680)*$L680, "")</f>
        <v>0</v>
      </c>
      <c r="AG680" s="284" t="n">
        <f aca="false">IFERROR(($J680*T680)*$L680, "")</f>
        <v>0</v>
      </c>
      <c r="AH680" s="284" t="n">
        <f aca="false">IFERROR(($J680*U680)*$L680, "")</f>
        <v>0</v>
      </c>
      <c r="AI680" s="284" t="n">
        <f aca="false">IFERROR(($J680*V680)*$L680, "")</f>
        <v>0</v>
      </c>
      <c r="AJ680" s="284" t="n">
        <f aca="false">IFERROR(($J680*W680)*$L680, "")</f>
        <v>0</v>
      </c>
      <c r="AK680" s="284" t="n">
        <f aca="false">IFERROR(($J680*X680)*$L680, "")</f>
        <v>0</v>
      </c>
      <c r="AL680" s="284" t="n">
        <f aca="false">IFERROR(($J680*Y680)*$L680, "")</f>
        <v>0</v>
      </c>
      <c r="AM680" s="285" t="n">
        <f aca="false">IFERROR(($J680*Z680)*$L680, "")</f>
        <v>0</v>
      </c>
      <c r="AN680" s="286" t="n">
        <f aca="false">IFERROR(SUMIF($AB$4:$AM$4, "RDEC", AB680:AM680), "")</f>
        <v>0</v>
      </c>
      <c r="AO680" s="286" t="n">
        <f aca="false">IFERROR(SUMIF($AB$4:$AM$4, "SME", AB680:AM680), "")</f>
        <v>0</v>
      </c>
      <c r="AP680" s="286" t="n">
        <f aca="false">IFERROR(SUMIF($AB$4:$AM$4, "De Minimis", AB680:AM680), "")</f>
        <v>0</v>
      </c>
      <c r="AQ680" s="283"/>
      <c r="AR680" s="284" t="n">
        <f aca="false">IFERROR(($J680*O680)*$M680, "")</f>
        <v>0</v>
      </c>
      <c r="AS680" s="284" t="n">
        <f aca="false">IFERROR(($J680*P680)*$M680, "")</f>
        <v>0</v>
      </c>
      <c r="AT680" s="284" t="n">
        <f aca="false">IFERROR(($J680*Q680)*$M680, "")</f>
        <v>0</v>
      </c>
      <c r="AU680" s="284" t="n">
        <f aca="false">IFERROR(($J680*R680)*$M680, "")</f>
        <v>0</v>
      </c>
      <c r="AV680" s="284" t="n">
        <f aca="false">IFERROR(($J680*S680)*$M680, "")</f>
        <v>0</v>
      </c>
      <c r="AW680" s="284" t="n">
        <f aca="false">IFERROR(($J680*T680)*$M680, "")</f>
        <v>0</v>
      </c>
      <c r="AX680" s="284" t="n">
        <f aca="false">IFERROR(($J680*U680)*$M680, "")</f>
        <v>0</v>
      </c>
      <c r="AY680" s="284" t="n">
        <f aca="false">IFERROR(($J680*V680)*$M680, "")</f>
        <v>0</v>
      </c>
      <c r="AZ680" s="284" t="n">
        <f aca="false">IFERROR(($J680*W680)*$M680, "")</f>
        <v>0</v>
      </c>
      <c r="BA680" s="284" t="n">
        <f aca="false">IFERROR(($J680*X680)*$M680, "")</f>
        <v>0</v>
      </c>
      <c r="BB680" s="284" t="n">
        <f aca="false">IFERROR(($J680*Y680)*$M680, "")</f>
        <v>0</v>
      </c>
      <c r="BC680" s="285" t="n">
        <f aca="false">IFERROR(($J680*Z680)*$M680, "")</f>
        <v>0</v>
      </c>
      <c r="BD680" s="286" t="n">
        <f aca="false">IFERROR(SUMIF($AB$4:$AM$4, "RDEC", AR680:BC680), "")</f>
        <v>0</v>
      </c>
      <c r="BE680" s="286" t="n">
        <f aca="false">IFERROR(SUMIF($AB$4:$AM$4, "SME", AR680:BC680), "")</f>
        <v>0</v>
      </c>
      <c r="BF680" s="286" t="n">
        <f aca="false">IFERROR(SUMIF($AB$4:$AM$4, "De Minimis", AR680:BC680), "")</f>
        <v>0</v>
      </c>
      <c r="BG680" s="287"/>
      <c r="BH680" s="288" t="str">
        <f aca="false">IF((SUM(O680:Z680)&gt;1),"ERROR","")</f>
        <v/>
      </c>
      <c r="BI680" s="287"/>
      <c r="BJ680" s="18" t="str">
        <f aca="false">IF(C666&gt;0, C666, "")</f>
        <v/>
      </c>
      <c r="BL680" s="200"/>
      <c r="BM680" s="200"/>
      <c r="BN680" s="200"/>
    </row>
    <row r="681" customFormat="false" ht="15" hidden="false" customHeight="true" outlineLevel="0" collapsed="false">
      <c r="B681" s="275"/>
      <c r="D681" s="276" t="n">
        <f aca="false">D665</f>
        <v>45323</v>
      </c>
      <c r="E681" s="277" t="n">
        <v>0</v>
      </c>
      <c r="F681" s="277" t="n">
        <v>0</v>
      </c>
      <c r="G681" s="277" t="n">
        <v>0</v>
      </c>
      <c r="H681" s="277" t="n">
        <v>0</v>
      </c>
      <c r="I681" s="277" t="n">
        <v>0</v>
      </c>
      <c r="J681" s="278" t="n">
        <f aca="false">E681+H681+I681</f>
        <v>0</v>
      </c>
      <c r="K681" s="204"/>
      <c r="L681" s="279" t="n">
        <v>1</v>
      </c>
      <c r="M681" s="280" t="n">
        <f aca="false">1-L681</f>
        <v>0</v>
      </c>
      <c r="N681" s="281"/>
      <c r="O681" s="282"/>
      <c r="P681" s="282"/>
      <c r="Q681" s="282"/>
      <c r="R681" s="282"/>
      <c r="S681" s="282"/>
      <c r="T681" s="282"/>
      <c r="U681" s="282"/>
      <c r="V681" s="282"/>
      <c r="W681" s="282"/>
      <c r="X681" s="282"/>
      <c r="Y681" s="282"/>
      <c r="Z681" s="282"/>
      <c r="AA681" s="283"/>
      <c r="AB681" s="284" t="n">
        <f aca="false">IFERROR(($J681*O681)*$L681, "")</f>
        <v>0</v>
      </c>
      <c r="AC681" s="284" t="n">
        <f aca="false">IFERROR(($J681*P681)*$L681, "")</f>
        <v>0</v>
      </c>
      <c r="AD681" s="284" t="n">
        <f aca="false">IFERROR(($J681*Q681)*$L681, "")</f>
        <v>0</v>
      </c>
      <c r="AE681" s="284" t="n">
        <f aca="false">IFERROR(($J681*R681)*$L681, "")</f>
        <v>0</v>
      </c>
      <c r="AF681" s="284" t="n">
        <f aca="false">IFERROR(($J681*S681)*$L681, "")</f>
        <v>0</v>
      </c>
      <c r="AG681" s="284" t="n">
        <f aca="false">IFERROR(($J681*T681)*$L681, "")</f>
        <v>0</v>
      </c>
      <c r="AH681" s="284" t="n">
        <f aca="false">IFERROR(($J681*U681)*$L681, "")</f>
        <v>0</v>
      </c>
      <c r="AI681" s="284" t="n">
        <f aca="false">IFERROR(($J681*V681)*$L681, "")</f>
        <v>0</v>
      </c>
      <c r="AJ681" s="284" t="n">
        <f aca="false">IFERROR(($J681*W681)*$L681, "")</f>
        <v>0</v>
      </c>
      <c r="AK681" s="284" t="n">
        <f aca="false">IFERROR(($J681*X681)*$L681, "")</f>
        <v>0</v>
      </c>
      <c r="AL681" s="284" t="n">
        <f aca="false">IFERROR(($J681*Y681)*$L681, "")</f>
        <v>0</v>
      </c>
      <c r="AM681" s="285" t="n">
        <f aca="false">IFERROR(($J681*Z681)*$L681, "")</f>
        <v>0</v>
      </c>
      <c r="AN681" s="286" t="n">
        <f aca="false">IFERROR(SUMIF($AB$4:$AM$4, "RDEC", AB681:AM681), "")</f>
        <v>0</v>
      </c>
      <c r="AO681" s="286" t="n">
        <f aca="false">IFERROR(SUMIF($AB$4:$AM$4, "SME", AB681:AM681), "")</f>
        <v>0</v>
      </c>
      <c r="AP681" s="286" t="n">
        <f aca="false">IFERROR(SUMIF($AB$4:$AM$4, "De Minimis", AB681:AM681), "")</f>
        <v>0</v>
      </c>
      <c r="AQ681" s="283"/>
      <c r="AR681" s="284" t="n">
        <f aca="false">IFERROR(($J681*O681)*$M681, "")</f>
        <v>0</v>
      </c>
      <c r="AS681" s="284" t="n">
        <f aca="false">IFERROR(($J681*P681)*$M681, "")</f>
        <v>0</v>
      </c>
      <c r="AT681" s="284" t="n">
        <f aca="false">IFERROR(($J681*Q681)*$M681, "")</f>
        <v>0</v>
      </c>
      <c r="AU681" s="284" t="n">
        <f aca="false">IFERROR(($J681*R681)*$M681, "")</f>
        <v>0</v>
      </c>
      <c r="AV681" s="284" t="n">
        <f aca="false">IFERROR(($J681*S681)*$M681, "")</f>
        <v>0</v>
      </c>
      <c r="AW681" s="284" t="n">
        <f aca="false">IFERROR(($J681*T681)*$M681, "")</f>
        <v>0</v>
      </c>
      <c r="AX681" s="284" t="n">
        <f aca="false">IFERROR(($J681*U681)*$M681, "")</f>
        <v>0</v>
      </c>
      <c r="AY681" s="284" t="n">
        <f aca="false">IFERROR(($J681*V681)*$M681, "")</f>
        <v>0</v>
      </c>
      <c r="AZ681" s="284" t="n">
        <f aca="false">IFERROR(($J681*W681)*$M681, "")</f>
        <v>0</v>
      </c>
      <c r="BA681" s="284" t="n">
        <f aca="false">IFERROR(($J681*X681)*$M681, "")</f>
        <v>0</v>
      </c>
      <c r="BB681" s="284" t="n">
        <f aca="false">IFERROR(($J681*Y681)*$M681, "")</f>
        <v>0</v>
      </c>
      <c r="BC681" s="285" t="n">
        <f aca="false">IFERROR(($J681*Z681)*$M681, "")</f>
        <v>0</v>
      </c>
      <c r="BD681" s="286" t="n">
        <f aca="false">IFERROR(SUMIF($AB$4:$AM$4, "RDEC", AR681:BC681), "")</f>
        <v>0</v>
      </c>
      <c r="BE681" s="286" t="n">
        <f aca="false">IFERROR(SUMIF($AB$4:$AM$4, "SME", AR681:BC681), "")</f>
        <v>0</v>
      </c>
      <c r="BF681" s="286" t="n">
        <f aca="false">IFERROR(SUMIF($AB$4:$AM$4, "De Minimis", AR681:BC681), "")</f>
        <v>0</v>
      </c>
      <c r="BG681" s="287"/>
      <c r="BH681" s="288" t="str">
        <f aca="false">IF((SUM(O681:Z681)&gt;1),"ERROR","")</f>
        <v/>
      </c>
      <c r="BI681" s="287"/>
      <c r="BJ681" s="18" t="str">
        <f aca="false">IF(C667&gt;0, C667, "")</f>
        <v/>
      </c>
      <c r="BL681" s="200"/>
      <c r="BM681" s="200"/>
      <c r="BN681" s="200"/>
    </row>
    <row r="682" customFormat="false" ht="15" hidden="false" customHeight="true" outlineLevel="0" collapsed="false">
      <c r="B682" s="275"/>
      <c r="D682" s="276" t="n">
        <f aca="false">D666</f>
        <v>45352</v>
      </c>
      <c r="E682" s="277" t="n">
        <v>0</v>
      </c>
      <c r="F682" s="277" t="n">
        <v>0</v>
      </c>
      <c r="G682" s="277" t="n">
        <v>0</v>
      </c>
      <c r="H682" s="277" t="n">
        <v>0</v>
      </c>
      <c r="I682" s="277" t="n">
        <v>0</v>
      </c>
      <c r="J682" s="278" t="n">
        <f aca="false">E682+H682+I682</f>
        <v>0</v>
      </c>
      <c r="K682" s="204"/>
      <c r="L682" s="279" t="n">
        <v>1</v>
      </c>
      <c r="M682" s="280" t="n">
        <f aca="false">1-L682</f>
        <v>0</v>
      </c>
      <c r="N682" s="281"/>
      <c r="O682" s="282"/>
      <c r="P682" s="282"/>
      <c r="Q682" s="282"/>
      <c r="R682" s="282"/>
      <c r="S682" s="282"/>
      <c r="T682" s="282"/>
      <c r="U682" s="282"/>
      <c r="V682" s="282"/>
      <c r="W682" s="282"/>
      <c r="X682" s="282"/>
      <c r="Y682" s="282"/>
      <c r="Z682" s="282"/>
      <c r="AA682" s="283"/>
      <c r="AB682" s="284" t="n">
        <f aca="false">IFERROR(($J682*O682)*$L682, "")</f>
        <v>0</v>
      </c>
      <c r="AC682" s="284" t="n">
        <f aca="false">IFERROR(($J682*P682)*$L682, "")</f>
        <v>0</v>
      </c>
      <c r="AD682" s="284" t="n">
        <f aca="false">IFERROR(($J682*Q682)*$L682, "")</f>
        <v>0</v>
      </c>
      <c r="AE682" s="284" t="n">
        <f aca="false">IFERROR(($J682*R682)*$L682, "")</f>
        <v>0</v>
      </c>
      <c r="AF682" s="284" t="n">
        <f aca="false">IFERROR(($J682*S682)*$L682, "")</f>
        <v>0</v>
      </c>
      <c r="AG682" s="284" t="n">
        <f aca="false">IFERROR(($J682*T682)*$L682, "")</f>
        <v>0</v>
      </c>
      <c r="AH682" s="284" t="n">
        <f aca="false">IFERROR(($J682*U682)*$L682, "")</f>
        <v>0</v>
      </c>
      <c r="AI682" s="284" t="n">
        <f aca="false">IFERROR(($J682*V682)*$L682, "")</f>
        <v>0</v>
      </c>
      <c r="AJ682" s="284" t="n">
        <f aca="false">IFERROR(($J682*W682)*$L682, "")</f>
        <v>0</v>
      </c>
      <c r="AK682" s="284" t="n">
        <f aca="false">IFERROR(($J682*X682)*$L682, "")</f>
        <v>0</v>
      </c>
      <c r="AL682" s="284" t="n">
        <f aca="false">IFERROR(($J682*Y682)*$L682, "")</f>
        <v>0</v>
      </c>
      <c r="AM682" s="285" t="n">
        <f aca="false">IFERROR(($J682*Z682)*$L682, "")</f>
        <v>0</v>
      </c>
      <c r="AN682" s="286" t="n">
        <f aca="false">IFERROR(SUMIF($AB$4:$AM$4, "RDEC", AB682:AM682), "")</f>
        <v>0</v>
      </c>
      <c r="AO682" s="286" t="n">
        <f aca="false">IFERROR(SUMIF($AB$4:$AM$4, "SME", AB682:AM682), "")</f>
        <v>0</v>
      </c>
      <c r="AP682" s="286" t="n">
        <f aca="false">IFERROR(SUMIF($AB$4:$AM$4, "De Minimis", AB682:AM682), "")</f>
        <v>0</v>
      </c>
      <c r="AQ682" s="283"/>
      <c r="AR682" s="284" t="n">
        <f aca="false">IFERROR(($J682*O682)*$M682, "")</f>
        <v>0</v>
      </c>
      <c r="AS682" s="284" t="n">
        <f aca="false">IFERROR(($J682*P682)*$M682, "")</f>
        <v>0</v>
      </c>
      <c r="AT682" s="284" t="n">
        <f aca="false">IFERROR(($J682*Q682)*$M682, "")</f>
        <v>0</v>
      </c>
      <c r="AU682" s="284" t="n">
        <f aca="false">IFERROR(($J682*R682)*$M682, "")</f>
        <v>0</v>
      </c>
      <c r="AV682" s="284" t="n">
        <f aca="false">IFERROR(($J682*S682)*$M682, "")</f>
        <v>0</v>
      </c>
      <c r="AW682" s="284" t="n">
        <f aca="false">IFERROR(($J682*T682)*$M682, "")</f>
        <v>0</v>
      </c>
      <c r="AX682" s="284" t="n">
        <f aca="false">IFERROR(($J682*U682)*$M682, "")</f>
        <v>0</v>
      </c>
      <c r="AY682" s="284" t="n">
        <f aca="false">IFERROR(($J682*V682)*$M682, "")</f>
        <v>0</v>
      </c>
      <c r="AZ682" s="284" t="n">
        <f aca="false">IFERROR(($J682*W682)*$M682, "")</f>
        <v>0</v>
      </c>
      <c r="BA682" s="284" t="n">
        <f aca="false">IFERROR(($J682*X682)*$M682, "")</f>
        <v>0</v>
      </c>
      <c r="BB682" s="284" t="n">
        <f aca="false">IFERROR(($J682*Y682)*$M682, "")</f>
        <v>0</v>
      </c>
      <c r="BC682" s="285" t="n">
        <f aca="false">IFERROR(($J682*Z682)*$M682, "")</f>
        <v>0</v>
      </c>
      <c r="BD682" s="286" t="n">
        <f aca="false">IFERROR(SUMIF($AB$4:$AM$4, "RDEC", AR682:BC682), "")</f>
        <v>0</v>
      </c>
      <c r="BE682" s="286" t="n">
        <f aca="false">IFERROR(SUMIF($AB$4:$AM$4, "SME", AR682:BC682), "")</f>
        <v>0</v>
      </c>
      <c r="BF682" s="286" t="n">
        <f aca="false">IFERROR(SUMIF($AB$4:$AM$4, "De Minimis", AR682:BC682), "")</f>
        <v>0</v>
      </c>
      <c r="BG682" s="287"/>
      <c r="BH682" s="288" t="str">
        <f aca="false">IF((SUM(O682:Z682)&gt;1),"ERROR","")</f>
        <v/>
      </c>
      <c r="BI682" s="287"/>
      <c r="BJ682" s="18" t="str">
        <f aca="false">IF(C668&gt;0, C668, "")</f>
        <v/>
      </c>
      <c r="BL682" s="200"/>
      <c r="BM682" s="200"/>
      <c r="BN682" s="200"/>
    </row>
    <row r="683" customFormat="false" ht="15" hidden="false" customHeight="true" outlineLevel="0" collapsed="false">
      <c r="B683" s="275"/>
      <c r="D683" s="276" t="n">
        <f aca="false">D667</f>
        <v>45383</v>
      </c>
      <c r="E683" s="277" t="n">
        <v>0</v>
      </c>
      <c r="F683" s="277" t="n">
        <v>0</v>
      </c>
      <c r="G683" s="277" t="n">
        <v>0</v>
      </c>
      <c r="H683" s="277" t="n">
        <v>0</v>
      </c>
      <c r="I683" s="277" t="n">
        <v>0</v>
      </c>
      <c r="J683" s="278" t="n">
        <f aca="false">E683+H683+I683</f>
        <v>0</v>
      </c>
      <c r="K683" s="204"/>
      <c r="L683" s="279" t="n">
        <v>1</v>
      </c>
      <c r="M683" s="280" t="n">
        <f aca="false">1-L683</f>
        <v>0</v>
      </c>
      <c r="N683" s="281"/>
      <c r="O683" s="282"/>
      <c r="P683" s="282"/>
      <c r="Q683" s="282"/>
      <c r="R683" s="282"/>
      <c r="S683" s="282"/>
      <c r="T683" s="282"/>
      <c r="U683" s="282"/>
      <c r="V683" s="282"/>
      <c r="W683" s="282"/>
      <c r="X683" s="282"/>
      <c r="Y683" s="282"/>
      <c r="Z683" s="282"/>
      <c r="AA683" s="283"/>
      <c r="AB683" s="284" t="n">
        <f aca="false">IFERROR(($J683*O683)*$L683, "")</f>
        <v>0</v>
      </c>
      <c r="AC683" s="284" t="n">
        <f aca="false">IFERROR(($J683*P683)*$L683, "")</f>
        <v>0</v>
      </c>
      <c r="AD683" s="284" t="n">
        <f aca="false">IFERROR(($J683*Q683)*$L683, "")</f>
        <v>0</v>
      </c>
      <c r="AE683" s="284" t="n">
        <f aca="false">IFERROR(($J683*R683)*$L683, "")</f>
        <v>0</v>
      </c>
      <c r="AF683" s="284" t="n">
        <f aca="false">IFERROR(($J683*S683)*$L683, "")</f>
        <v>0</v>
      </c>
      <c r="AG683" s="284" t="n">
        <f aca="false">IFERROR(($J683*T683)*$L683, "")</f>
        <v>0</v>
      </c>
      <c r="AH683" s="284" t="n">
        <f aca="false">IFERROR(($J683*U683)*$L683, "")</f>
        <v>0</v>
      </c>
      <c r="AI683" s="284" t="n">
        <f aca="false">IFERROR(($J683*V683)*$L683, "")</f>
        <v>0</v>
      </c>
      <c r="AJ683" s="284" t="n">
        <f aca="false">IFERROR(($J683*W683)*$L683, "")</f>
        <v>0</v>
      </c>
      <c r="AK683" s="284" t="n">
        <f aca="false">IFERROR(($J683*X683)*$L683, "")</f>
        <v>0</v>
      </c>
      <c r="AL683" s="284" t="n">
        <f aca="false">IFERROR(($J683*Y683)*$L683, "")</f>
        <v>0</v>
      </c>
      <c r="AM683" s="285" t="n">
        <f aca="false">IFERROR(($J683*Z683)*$L683, "")</f>
        <v>0</v>
      </c>
      <c r="AN683" s="286" t="n">
        <f aca="false">IFERROR(SUMIF($AB$4:$AM$4, "RDEC", AB683:AM683), "")</f>
        <v>0</v>
      </c>
      <c r="AO683" s="286" t="n">
        <f aca="false">IFERROR(SUMIF($AB$4:$AM$4, "SME", AB683:AM683), "")</f>
        <v>0</v>
      </c>
      <c r="AP683" s="286" t="n">
        <f aca="false">IFERROR(SUMIF($AB$4:$AM$4, "De Minimis", AB683:AM683), "")</f>
        <v>0</v>
      </c>
      <c r="AQ683" s="283"/>
      <c r="AR683" s="284" t="n">
        <f aca="false">IFERROR(($J683*O683)*$M683, "")</f>
        <v>0</v>
      </c>
      <c r="AS683" s="284" t="n">
        <f aca="false">IFERROR(($J683*P683)*$M683, "")</f>
        <v>0</v>
      </c>
      <c r="AT683" s="284" t="n">
        <f aca="false">IFERROR(($J683*Q683)*$M683, "")</f>
        <v>0</v>
      </c>
      <c r="AU683" s="284" t="n">
        <f aca="false">IFERROR(($J683*R683)*$M683, "")</f>
        <v>0</v>
      </c>
      <c r="AV683" s="284" t="n">
        <f aca="false">IFERROR(($J683*S683)*$M683, "")</f>
        <v>0</v>
      </c>
      <c r="AW683" s="284" t="n">
        <f aca="false">IFERROR(($J683*T683)*$M683, "")</f>
        <v>0</v>
      </c>
      <c r="AX683" s="284" t="n">
        <f aca="false">IFERROR(($J683*U683)*$M683, "")</f>
        <v>0</v>
      </c>
      <c r="AY683" s="284" t="n">
        <f aca="false">IFERROR(($J683*V683)*$M683, "")</f>
        <v>0</v>
      </c>
      <c r="AZ683" s="284" t="n">
        <f aca="false">IFERROR(($J683*W683)*$M683, "")</f>
        <v>0</v>
      </c>
      <c r="BA683" s="284" t="n">
        <f aca="false">IFERROR(($J683*X683)*$M683, "")</f>
        <v>0</v>
      </c>
      <c r="BB683" s="284" t="n">
        <f aca="false">IFERROR(($J683*Y683)*$M683, "")</f>
        <v>0</v>
      </c>
      <c r="BC683" s="285" t="n">
        <f aca="false">IFERROR(($J683*Z683)*$M683, "")</f>
        <v>0</v>
      </c>
      <c r="BD683" s="286" t="n">
        <f aca="false">IFERROR(SUMIF($AB$4:$AM$4, "RDEC", AR683:BC683), "")</f>
        <v>0</v>
      </c>
      <c r="BE683" s="286" t="n">
        <f aca="false">IFERROR(SUMIF($AB$4:$AM$4, "SME", AR683:BC683), "")</f>
        <v>0</v>
      </c>
      <c r="BF683" s="286" t="n">
        <f aca="false">IFERROR(SUMIF($AB$4:$AM$4, "De Minimis", AR683:BC683), "")</f>
        <v>0</v>
      </c>
      <c r="BG683" s="287"/>
      <c r="BH683" s="288" t="str">
        <f aca="false">IF((SUM(O683:Z683)&gt;1),"ERROR","")</f>
        <v/>
      </c>
      <c r="BI683" s="287"/>
      <c r="BJ683" s="18" t="str">
        <f aca="false">IF(C669&gt;0, C669, "")</f>
        <v/>
      </c>
      <c r="BL683" s="200"/>
      <c r="BM683" s="200"/>
      <c r="BN683" s="200"/>
    </row>
    <row r="684" customFormat="false" ht="15" hidden="false" customHeight="true" outlineLevel="0" collapsed="false">
      <c r="B684" s="275"/>
      <c r="D684" s="276" t="n">
        <f aca="false">D668</f>
        <v>45413</v>
      </c>
      <c r="E684" s="277" t="n">
        <v>0</v>
      </c>
      <c r="F684" s="277" t="n">
        <v>0</v>
      </c>
      <c r="G684" s="277" t="n">
        <v>0</v>
      </c>
      <c r="H684" s="277" t="n">
        <v>0</v>
      </c>
      <c r="I684" s="277" t="n">
        <v>0</v>
      </c>
      <c r="J684" s="278" t="n">
        <f aca="false">E684+H684+I684</f>
        <v>0</v>
      </c>
      <c r="K684" s="204"/>
      <c r="L684" s="279" t="n">
        <v>1</v>
      </c>
      <c r="M684" s="280" t="n">
        <f aca="false">1-L684</f>
        <v>0</v>
      </c>
      <c r="N684" s="281"/>
      <c r="O684" s="282"/>
      <c r="P684" s="282"/>
      <c r="Q684" s="282"/>
      <c r="R684" s="282"/>
      <c r="S684" s="282"/>
      <c r="T684" s="282"/>
      <c r="U684" s="282"/>
      <c r="V684" s="282"/>
      <c r="W684" s="282"/>
      <c r="X684" s="282"/>
      <c r="Y684" s="282"/>
      <c r="Z684" s="282"/>
      <c r="AA684" s="283"/>
      <c r="AB684" s="284" t="n">
        <f aca="false">IFERROR(($J684*O684)*$L684, "")</f>
        <v>0</v>
      </c>
      <c r="AC684" s="284" t="n">
        <f aca="false">IFERROR(($J684*P684)*$L684, "")</f>
        <v>0</v>
      </c>
      <c r="AD684" s="284" t="n">
        <f aca="false">IFERROR(($J684*Q684)*$L684, "")</f>
        <v>0</v>
      </c>
      <c r="AE684" s="284" t="n">
        <f aca="false">IFERROR(($J684*R684)*$L684, "")</f>
        <v>0</v>
      </c>
      <c r="AF684" s="284" t="n">
        <f aca="false">IFERROR(($J684*S684)*$L684, "")</f>
        <v>0</v>
      </c>
      <c r="AG684" s="284" t="n">
        <f aca="false">IFERROR(($J684*T684)*$L684, "")</f>
        <v>0</v>
      </c>
      <c r="AH684" s="284" t="n">
        <f aca="false">IFERROR(($J684*U684)*$L684, "")</f>
        <v>0</v>
      </c>
      <c r="AI684" s="284" t="n">
        <f aca="false">IFERROR(($J684*V684)*$L684, "")</f>
        <v>0</v>
      </c>
      <c r="AJ684" s="284" t="n">
        <f aca="false">IFERROR(($J684*W684)*$L684, "")</f>
        <v>0</v>
      </c>
      <c r="AK684" s="284" t="n">
        <f aca="false">IFERROR(($J684*X684)*$L684, "")</f>
        <v>0</v>
      </c>
      <c r="AL684" s="284" t="n">
        <f aca="false">IFERROR(($J684*Y684)*$L684, "")</f>
        <v>0</v>
      </c>
      <c r="AM684" s="285" t="n">
        <f aca="false">IFERROR(($J684*Z684)*$L684, "")</f>
        <v>0</v>
      </c>
      <c r="AN684" s="286" t="n">
        <f aca="false">IFERROR(SUMIF($AB$4:$AM$4, "RDEC", AB684:AM684), "")</f>
        <v>0</v>
      </c>
      <c r="AO684" s="286" t="n">
        <f aca="false">IFERROR(SUMIF($AB$4:$AM$4, "SME", AB684:AM684), "")</f>
        <v>0</v>
      </c>
      <c r="AP684" s="286" t="n">
        <f aca="false">IFERROR(SUMIF($AB$4:$AM$4, "De Minimis", AB684:AM684), "")</f>
        <v>0</v>
      </c>
      <c r="AQ684" s="283"/>
      <c r="AR684" s="284" t="n">
        <f aca="false">IFERROR(($J684*O684)*$M684, "")</f>
        <v>0</v>
      </c>
      <c r="AS684" s="284" t="n">
        <f aca="false">IFERROR(($J684*P684)*$M684, "")</f>
        <v>0</v>
      </c>
      <c r="AT684" s="284" t="n">
        <f aca="false">IFERROR(($J684*Q684)*$M684, "")</f>
        <v>0</v>
      </c>
      <c r="AU684" s="284" t="n">
        <f aca="false">IFERROR(($J684*R684)*$M684, "")</f>
        <v>0</v>
      </c>
      <c r="AV684" s="284" t="n">
        <f aca="false">IFERROR(($J684*S684)*$M684, "")</f>
        <v>0</v>
      </c>
      <c r="AW684" s="284" t="n">
        <f aca="false">IFERROR(($J684*T684)*$M684, "")</f>
        <v>0</v>
      </c>
      <c r="AX684" s="284" t="n">
        <f aca="false">IFERROR(($J684*U684)*$M684, "")</f>
        <v>0</v>
      </c>
      <c r="AY684" s="284" t="n">
        <f aca="false">IFERROR(($J684*V684)*$M684, "")</f>
        <v>0</v>
      </c>
      <c r="AZ684" s="284" t="n">
        <f aca="false">IFERROR(($J684*W684)*$M684, "")</f>
        <v>0</v>
      </c>
      <c r="BA684" s="284" t="n">
        <f aca="false">IFERROR(($J684*X684)*$M684, "")</f>
        <v>0</v>
      </c>
      <c r="BB684" s="284" t="n">
        <f aca="false">IFERROR(($J684*Y684)*$M684, "")</f>
        <v>0</v>
      </c>
      <c r="BC684" s="285" t="n">
        <f aca="false">IFERROR(($J684*Z684)*$M684, "")</f>
        <v>0</v>
      </c>
      <c r="BD684" s="286" t="n">
        <f aca="false">IFERROR(SUMIF($AB$4:$AM$4, "RDEC", AR684:BC684), "")</f>
        <v>0</v>
      </c>
      <c r="BE684" s="286" t="n">
        <f aca="false">IFERROR(SUMIF($AB$4:$AM$4, "SME", AR684:BC684), "")</f>
        <v>0</v>
      </c>
      <c r="BF684" s="286" t="n">
        <f aca="false">IFERROR(SUMIF($AB$4:$AM$4, "De Minimis", AR684:BC684), "")</f>
        <v>0</v>
      </c>
      <c r="BG684" s="287"/>
      <c r="BH684" s="288" t="str">
        <f aca="false">IF((SUM(O684:Z684)&gt;1),"ERROR","")</f>
        <v/>
      </c>
      <c r="BI684" s="287"/>
      <c r="BJ684" s="18" t="str">
        <f aca="false">IF(C670&gt;0, C670, "")</f>
        <v/>
      </c>
      <c r="BL684" s="200"/>
      <c r="BM684" s="200"/>
      <c r="BN684" s="200"/>
    </row>
    <row r="685" customFormat="false" ht="15" hidden="false" customHeight="true" outlineLevel="0" collapsed="false">
      <c r="B685" s="275"/>
      <c r="D685" s="276" t="n">
        <f aca="false">D669</f>
        <v>45444</v>
      </c>
      <c r="E685" s="277" t="n">
        <v>0</v>
      </c>
      <c r="F685" s="277" t="n">
        <v>0</v>
      </c>
      <c r="G685" s="277" t="n">
        <v>0</v>
      </c>
      <c r="H685" s="277" t="n">
        <v>0</v>
      </c>
      <c r="I685" s="277" t="n">
        <v>0</v>
      </c>
      <c r="J685" s="278" t="n">
        <f aca="false">E685+H685+I685</f>
        <v>0</v>
      </c>
      <c r="K685" s="204"/>
      <c r="L685" s="279" t="n">
        <v>1</v>
      </c>
      <c r="M685" s="280" t="n">
        <f aca="false">1-L685</f>
        <v>0</v>
      </c>
      <c r="N685" s="281"/>
      <c r="O685" s="282"/>
      <c r="P685" s="282"/>
      <c r="Q685" s="282"/>
      <c r="R685" s="282"/>
      <c r="S685" s="282"/>
      <c r="T685" s="282"/>
      <c r="U685" s="282"/>
      <c r="V685" s="282"/>
      <c r="W685" s="282"/>
      <c r="X685" s="282"/>
      <c r="Y685" s="282"/>
      <c r="Z685" s="282"/>
      <c r="AA685" s="283"/>
      <c r="AB685" s="284" t="n">
        <f aca="false">IFERROR(($J685*O685)*$L685, "")</f>
        <v>0</v>
      </c>
      <c r="AC685" s="284" t="n">
        <f aca="false">IFERROR(($J685*P685)*$L685, "")</f>
        <v>0</v>
      </c>
      <c r="AD685" s="284" t="n">
        <f aca="false">IFERROR(($J685*Q685)*$L685, "")</f>
        <v>0</v>
      </c>
      <c r="AE685" s="284" t="n">
        <f aca="false">IFERROR(($J685*R685)*$L685, "")</f>
        <v>0</v>
      </c>
      <c r="AF685" s="284" t="n">
        <f aca="false">IFERROR(($J685*S685)*$L685, "")</f>
        <v>0</v>
      </c>
      <c r="AG685" s="284" t="n">
        <f aca="false">IFERROR(($J685*T685)*$L685, "")</f>
        <v>0</v>
      </c>
      <c r="AH685" s="284" t="n">
        <f aca="false">IFERROR(($J685*U685)*$L685, "")</f>
        <v>0</v>
      </c>
      <c r="AI685" s="284" t="n">
        <f aca="false">IFERROR(($J685*V685)*$L685, "")</f>
        <v>0</v>
      </c>
      <c r="AJ685" s="284" t="n">
        <f aca="false">IFERROR(($J685*W685)*$L685, "")</f>
        <v>0</v>
      </c>
      <c r="AK685" s="284" t="n">
        <f aca="false">IFERROR(($J685*X685)*$L685, "")</f>
        <v>0</v>
      </c>
      <c r="AL685" s="284" t="n">
        <f aca="false">IFERROR(($J685*Y685)*$L685, "")</f>
        <v>0</v>
      </c>
      <c r="AM685" s="285" t="n">
        <f aca="false">IFERROR(($J685*Z685)*$L685, "")</f>
        <v>0</v>
      </c>
      <c r="AN685" s="286" t="n">
        <f aca="false">IFERROR(SUMIF($AB$4:$AM$4, "RDEC", AB685:AM685), "")</f>
        <v>0</v>
      </c>
      <c r="AO685" s="286" t="n">
        <f aca="false">IFERROR(SUMIF($AB$4:$AM$4, "SME", AB685:AM685), "")</f>
        <v>0</v>
      </c>
      <c r="AP685" s="286" t="n">
        <f aca="false">IFERROR(SUMIF($AB$4:$AM$4, "De Minimis", AB685:AM685), "")</f>
        <v>0</v>
      </c>
      <c r="AQ685" s="283"/>
      <c r="AR685" s="284" t="n">
        <f aca="false">IFERROR(($J685*O685)*$M685, "")</f>
        <v>0</v>
      </c>
      <c r="AS685" s="284" t="n">
        <f aca="false">IFERROR(($J685*P685)*$M685, "")</f>
        <v>0</v>
      </c>
      <c r="AT685" s="284" t="n">
        <f aca="false">IFERROR(($J685*Q685)*$M685, "")</f>
        <v>0</v>
      </c>
      <c r="AU685" s="284" t="n">
        <f aca="false">IFERROR(($J685*R685)*$M685, "")</f>
        <v>0</v>
      </c>
      <c r="AV685" s="284" t="n">
        <f aca="false">IFERROR(($J685*S685)*$M685, "")</f>
        <v>0</v>
      </c>
      <c r="AW685" s="284" t="n">
        <f aca="false">IFERROR(($J685*T685)*$M685, "")</f>
        <v>0</v>
      </c>
      <c r="AX685" s="284" t="n">
        <f aca="false">IFERROR(($J685*U685)*$M685, "")</f>
        <v>0</v>
      </c>
      <c r="AY685" s="284" t="n">
        <f aca="false">IFERROR(($J685*V685)*$M685, "")</f>
        <v>0</v>
      </c>
      <c r="AZ685" s="284" t="n">
        <f aca="false">IFERROR(($J685*W685)*$M685, "")</f>
        <v>0</v>
      </c>
      <c r="BA685" s="284" t="n">
        <f aca="false">IFERROR(($J685*X685)*$M685, "")</f>
        <v>0</v>
      </c>
      <c r="BB685" s="284" t="n">
        <f aca="false">IFERROR(($J685*Y685)*$M685, "")</f>
        <v>0</v>
      </c>
      <c r="BC685" s="285" t="n">
        <f aca="false">IFERROR(($J685*Z685)*$M685, "")</f>
        <v>0</v>
      </c>
      <c r="BD685" s="286" t="n">
        <f aca="false">IFERROR(SUMIF($AB$4:$AM$4, "RDEC", AR685:BC685), "")</f>
        <v>0</v>
      </c>
      <c r="BE685" s="286" t="n">
        <f aca="false">IFERROR(SUMIF($AB$4:$AM$4, "SME", AR685:BC685), "")</f>
        <v>0</v>
      </c>
      <c r="BF685" s="286" t="n">
        <f aca="false">IFERROR(SUMIF($AB$4:$AM$4, "De Minimis", AR685:BC685), "")</f>
        <v>0</v>
      </c>
      <c r="BG685" s="287"/>
      <c r="BH685" s="288" t="str">
        <f aca="false">IF((SUM(O685:Z685)&gt;1),"ERROR","")</f>
        <v/>
      </c>
      <c r="BI685" s="287"/>
      <c r="BJ685" s="18" t="str">
        <f aca="false">IF(C671&gt;0, C671, "")</f>
        <v/>
      </c>
      <c r="BL685" s="200"/>
      <c r="BM685" s="200"/>
      <c r="BN685" s="200"/>
    </row>
    <row r="686" customFormat="false" ht="15" hidden="false" customHeight="true" outlineLevel="0" collapsed="false">
      <c r="B686" s="275"/>
      <c r="D686" s="276" t="n">
        <f aca="false">D670</f>
        <v>45474</v>
      </c>
      <c r="E686" s="277" t="n">
        <v>0</v>
      </c>
      <c r="F686" s="277" t="n">
        <v>0</v>
      </c>
      <c r="G686" s="277" t="n">
        <v>0</v>
      </c>
      <c r="H686" s="277" t="n">
        <v>0</v>
      </c>
      <c r="I686" s="277" t="n">
        <v>0</v>
      </c>
      <c r="J686" s="278" t="n">
        <f aca="false">E686+H686+I686</f>
        <v>0</v>
      </c>
      <c r="K686" s="204"/>
      <c r="L686" s="279" t="n">
        <v>1</v>
      </c>
      <c r="M686" s="280" t="n">
        <f aca="false">1-L686</f>
        <v>0</v>
      </c>
      <c r="N686" s="281"/>
      <c r="O686" s="282"/>
      <c r="P686" s="282"/>
      <c r="Q686" s="282"/>
      <c r="R686" s="282"/>
      <c r="S686" s="282"/>
      <c r="T686" s="282"/>
      <c r="U686" s="282"/>
      <c r="V686" s="282"/>
      <c r="W686" s="282"/>
      <c r="X686" s="282"/>
      <c r="Y686" s="282"/>
      <c r="Z686" s="282"/>
      <c r="AA686" s="283"/>
      <c r="AB686" s="284" t="n">
        <f aca="false">IFERROR(($J686*O686)*$L686, "")</f>
        <v>0</v>
      </c>
      <c r="AC686" s="284" t="n">
        <f aca="false">IFERROR(($J686*P686)*$L686, "")</f>
        <v>0</v>
      </c>
      <c r="AD686" s="284" t="n">
        <f aca="false">IFERROR(($J686*Q686)*$L686, "")</f>
        <v>0</v>
      </c>
      <c r="AE686" s="284" t="n">
        <f aca="false">IFERROR(($J686*R686)*$L686, "")</f>
        <v>0</v>
      </c>
      <c r="AF686" s="284" t="n">
        <f aca="false">IFERROR(($J686*S686)*$L686, "")</f>
        <v>0</v>
      </c>
      <c r="AG686" s="284" t="n">
        <f aca="false">IFERROR(($J686*T686)*$L686, "")</f>
        <v>0</v>
      </c>
      <c r="AH686" s="284" t="n">
        <f aca="false">IFERROR(($J686*U686)*$L686, "")</f>
        <v>0</v>
      </c>
      <c r="AI686" s="284" t="n">
        <f aca="false">IFERROR(($J686*V686)*$L686, "")</f>
        <v>0</v>
      </c>
      <c r="AJ686" s="284" t="n">
        <f aca="false">IFERROR(($J686*W686)*$L686, "")</f>
        <v>0</v>
      </c>
      <c r="AK686" s="284" t="n">
        <f aca="false">IFERROR(($J686*X686)*$L686, "")</f>
        <v>0</v>
      </c>
      <c r="AL686" s="284" t="n">
        <f aca="false">IFERROR(($J686*Y686)*$L686, "")</f>
        <v>0</v>
      </c>
      <c r="AM686" s="285" t="n">
        <f aca="false">IFERROR(($J686*Z686)*$L686, "")</f>
        <v>0</v>
      </c>
      <c r="AN686" s="286" t="n">
        <f aca="false">IFERROR(SUMIF($AB$4:$AM$4, "RDEC", AB686:AM686), "")</f>
        <v>0</v>
      </c>
      <c r="AO686" s="286" t="n">
        <f aca="false">IFERROR(SUMIF($AB$4:$AM$4, "SME", AB686:AM686), "")</f>
        <v>0</v>
      </c>
      <c r="AP686" s="286" t="n">
        <f aca="false">IFERROR(SUMIF($AB$4:$AM$4, "De Minimis", AB686:AM686), "")</f>
        <v>0</v>
      </c>
      <c r="AQ686" s="283"/>
      <c r="AR686" s="284" t="n">
        <f aca="false">IFERROR(($J686*O686)*$M686, "")</f>
        <v>0</v>
      </c>
      <c r="AS686" s="284" t="n">
        <f aca="false">IFERROR(($J686*P686)*$M686, "")</f>
        <v>0</v>
      </c>
      <c r="AT686" s="284" t="n">
        <f aca="false">IFERROR(($J686*Q686)*$M686, "")</f>
        <v>0</v>
      </c>
      <c r="AU686" s="284" t="n">
        <f aca="false">IFERROR(($J686*R686)*$M686, "")</f>
        <v>0</v>
      </c>
      <c r="AV686" s="284" t="n">
        <f aca="false">IFERROR(($J686*S686)*$M686, "")</f>
        <v>0</v>
      </c>
      <c r="AW686" s="284" t="n">
        <f aca="false">IFERROR(($J686*T686)*$M686, "")</f>
        <v>0</v>
      </c>
      <c r="AX686" s="284" t="n">
        <f aca="false">IFERROR(($J686*U686)*$M686, "")</f>
        <v>0</v>
      </c>
      <c r="AY686" s="284" t="n">
        <f aca="false">IFERROR(($J686*V686)*$M686, "")</f>
        <v>0</v>
      </c>
      <c r="AZ686" s="284" t="n">
        <f aca="false">IFERROR(($J686*W686)*$M686, "")</f>
        <v>0</v>
      </c>
      <c r="BA686" s="284" t="n">
        <f aca="false">IFERROR(($J686*X686)*$M686, "")</f>
        <v>0</v>
      </c>
      <c r="BB686" s="284" t="n">
        <f aca="false">IFERROR(($J686*Y686)*$M686, "")</f>
        <v>0</v>
      </c>
      <c r="BC686" s="285" t="n">
        <f aca="false">IFERROR(($J686*Z686)*$M686, "")</f>
        <v>0</v>
      </c>
      <c r="BD686" s="286" t="n">
        <f aca="false">IFERROR(SUMIF($AB$4:$AM$4, "RDEC", AR686:BC686), "")</f>
        <v>0</v>
      </c>
      <c r="BE686" s="286" t="n">
        <f aca="false">IFERROR(SUMIF($AB$4:$AM$4, "SME", AR686:BC686), "")</f>
        <v>0</v>
      </c>
      <c r="BF686" s="286" t="n">
        <f aca="false">IFERROR(SUMIF($AB$4:$AM$4, "De Minimis", AR686:BC686), "")</f>
        <v>0</v>
      </c>
      <c r="BG686" s="287"/>
      <c r="BH686" s="288" t="str">
        <f aca="false">IF((SUM(O686:Z686)&gt;1),"ERROR","")</f>
        <v/>
      </c>
      <c r="BI686" s="287"/>
      <c r="BJ686" s="18" t="str">
        <f aca="false">IF(C672&gt;0, C672, "")</f>
        <v/>
      </c>
      <c r="BL686" s="200"/>
      <c r="BM686" s="200"/>
      <c r="BN686" s="200"/>
    </row>
    <row r="687" customFormat="false" ht="15" hidden="false" customHeight="true" outlineLevel="0" collapsed="false">
      <c r="B687" s="275"/>
      <c r="D687" s="276" t="n">
        <f aca="false">D671</f>
        <v>45505</v>
      </c>
      <c r="E687" s="277" t="n">
        <v>0</v>
      </c>
      <c r="F687" s="277" t="n">
        <v>0</v>
      </c>
      <c r="G687" s="277" t="n">
        <v>0</v>
      </c>
      <c r="H687" s="277" t="n">
        <v>0</v>
      </c>
      <c r="I687" s="277" t="n">
        <v>0</v>
      </c>
      <c r="J687" s="278" t="n">
        <f aca="false">E687+H687+I687</f>
        <v>0</v>
      </c>
      <c r="K687" s="204"/>
      <c r="L687" s="279" t="n">
        <v>1</v>
      </c>
      <c r="M687" s="280" t="n">
        <f aca="false">1-L687</f>
        <v>0</v>
      </c>
      <c r="N687" s="281"/>
      <c r="O687" s="282"/>
      <c r="P687" s="282"/>
      <c r="Q687" s="282"/>
      <c r="R687" s="282"/>
      <c r="S687" s="282"/>
      <c r="T687" s="282"/>
      <c r="U687" s="282"/>
      <c r="V687" s="282"/>
      <c r="W687" s="282"/>
      <c r="X687" s="282"/>
      <c r="Y687" s="282"/>
      <c r="Z687" s="282"/>
      <c r="AA687" s="283"/>
      <c r="AB687" s="284" t="n">
        <f aca="false">IFERROR(($J687*O687)*$L687, "")</f>
        <v>0</v>
      </c>
      <c r="AC687" s="284" t="n">
        <f aca="false">IFERROR(($J687*P687)*$L687, "")</f>
        <v>0</v>
      </c>
      <c r="AD687" s="284" t="n">
        <f aca="false">IFERROR(($J687*Q687)*$L687, "")</f>
        <v>0</v>
      </c>
      <c r="AE687" s="284" t="n">
        <f aca="false">IFERROR(($J687*R687)*$L687, "")</f>
        <v>0</v>
      </c>
      <c r="AF687" s="284" t="n">
        <f aca="false">IFERROR(($J687*S687)*$L687, "")</f>
        <v>0</v>
      </c>
      <c r="AG687" s="284" t="n">
        <f aca="false">IFERROR(($J687*T687)*$L687, "")</f>
        <v>0</v>
      </c>
      <c r="AH687" s="284" t="n">
        <f aca="false">IFERROR(($J687*U687)*$L687, "")</f>
        <v>0</v>
      </c>
      <c r="AI687" s="284" t="n">
        <f aca="false">IFERROR(($J687*V687)*$L687, "")</f>
        <v>0</v>
      </c>
      <c r="AJ687" s="284" t="n">
        <f aca="false">IFERROR(($J687*W687)*$L687, "")</f>
        <v>0</v>
      </c>
      <c r="AK687" s="284" t="n">
        <f aca="false">IFERROR(($J687*X687)*$L687, "")</f>
        <v>0</v>
      </c>
      <c r="AL687" s="284" t="n">
        <f aca="false">IFERROR(($J687*Y687)*$L687, "")</f>
        <v>0</v>
      </c>
      <c r="AM687" s="285" t="n">
        <f aca="false">IFERROR(($J687*Z687)*$L687, "")</f>
        <v>0</v>
      </c>
      <c r="AN687" s="286" t="n">
        <f aca="false">IFERROR(SUMIF($AB$4:$AM$4, "RDEC", AB687:AM687), "")</f>
        <v>0</v>
      </c>
      <c r="AO687" s="286" t="n">
        <f aca="false">IFERROR(SUMIF($AB$4:$AM$4, "SME", AB687:AM687), "")</f>
        <v>0</v>
      </c>
      <c r="AP687" s="286" t="n">
        <f aca="false">IFERROR(SUMIF($AB$4:$AM$4, "De Minimis", AB687:AM687), "")</f>
        <v>0</v>
      </c>
      <c r="AQ687" s="283"/>
      <c r="AR687" s="284" t="n">
        <f aca="false">IFERROR(($J687*O687)*$M687, "")</f>
        <v>0</v>
      </c>
      <c r="AS687" s="284" t="n">
        <f aca="false">IFERROR(($J687*P687)*$M687, "")</f>
        <v>0</v>
      </c>
      <c r="AT687" s="284" t="n">
        <f aca="false">IFERROR(($J687*Q687)*$M687, "")</f>
        <v>0</v>
      </c>
      <c r="AU687" s="284" t="n">
        <f aca="false">IFERROR(($J687*R687)*$M687, "")</f>
        <v>0</v>
      </c>
      <c r="AV687" s="284" t="n">
        <f aca="false">IFERROR(($J687*S687)*$M687, "")</f>
        <v>0</v>
      </c>
      <c r="AW687" s="284" t="n">
        <f aca="false">IFERROR(($J687*T687)*$M687, "")</f>
        <v>0</v>
      </c>
      <c r="AX687" s="284" t="n">
        <f aca="false">IFERROR(($J687*U687)*$M687, "")</f>
        <v>0</v>
      </c>
      <c r="AY687" s="284" t="n">
        <f aca="false">IFERROR(($J687*V687)*$M687, "")</f>
        <v>0</v>
      </c>
      <c r="AZ687" s="284" t="n">
        <f aca="false">IFERROR(($J687*W687)*$M687, "")</f>
        <v>0</v>
      </c>
      <c r="BA687" s="284" t="n">
        <f aca="false">IFERROR(($J687*X687)*$M687, "")</f>
        <v>0</v>
      </c>
      <c r="BB687" s="284" t="n">
        <f aca="false">IFERROR(($J687*Y687)*$M687, "")</f>
        <v>0</v>
      </c>
      <c r="BC687" s="285" t="n">
        <f aca="false">IFERROR(($J687*Z687)*$M687, "")</f>
        <v>0</v>
      </c>
      <c r="BD687" s="286" t="n">
        <f aca="false">IFERROR(SUMIF($AB$4:$AM$4, "RDEC", AR687:BC687), "")</f>
        <v>0</v>
      </c>
      <c r="BE687" s="286" t="n">
        <f aca="false">IFERROR(SUMIF($AB$4:$AM$4, "SME", AR687:BC687), "")</f>
        <v>0</v>
      </c>
      <c r="BF687" s="286" t="n">
        <f aca="false">IFERROR(SUMIF($AB$4:$AM$4, "De Minimis", AR687:BC687), "")</f>
        <v>0</v>
      </c>
      <c r="BG687" s="287"/>
      <c r="BH687" s="288" t="str">
        <f aca="false">IF((SUM(O687:Z687)&gt;1),"ERROR","")</f>
        <v/>
      </c>
      <c r="BI687" s="287"/>
      <c r="BJ687" s="18" t="str">
        <f aca="false">IF(C673&gt;0, C673, "")</f>
        <v/>
      </c>
      <c r="BL687" s="200"/>
      <c r="BM687" s="200"/>
      <c r="BN687" s="200"/>
    </row>
    <row r="688" customFormat="false" ht="15" hidden="false" customHeight="true" outlineLevel="0" collapsed="false">
      <c r="B688" s="275"/>
      <c r="D688" s="276" t="n">
        <f aca="false">D672</f>
        <v>45536</v>
      </c>
      <c r="E688" s="277" t="n">
        <v>0</v>
      </c>
      <c r="F688" s="277" t="n">
        <v>0</v>
      </c>
      <c r="G688" s="277" t="n">
        <v>0</v>
      </c>
      <c r="H688" s="277" t="n">
        <v>0</v>
      </c>
      <c r="I688" s="277" t="n">
        <v>0</v>
      </c>
      <c r="J688" s="278" t="n">
        <f aca="false">E688+H688+I688</f>
        <v>0</v>
      </c>
      <c r="K688" s="204"/>
      <c r="L688" s="279" t="n">
        <v>1</v>
      </c>
      <c r="M688" s="280" t="n">
        <f aca="false">1-L688</f>
        <v>0</v>
      </c>
      <c r="N688" s="281"/>
      <c r="O688" s="282"/>
      <c r="P688" s="282"/>
      <c r="Q688" s="282"/>
      <c r="R688" s="282"/>
      <c r="S688" s="282"/>
      <c r="T688" s="282"/>
      <c r="U688" s="282"/>
      <c r="V688" s="282"/>
      <c r="W688" s="282"/>
      <c r="X688" s="282"/>
      <c r="Y688" s="282"/>
      <c r="Z688" s="282"/>
      <c r="AA688" s="283"/>
      <c r="AB688" s="284" t="n">
        <f aca="false">IFERROR(($J688*O688)*$L688, "")</f>
        <v>0</v>
      </c>
      <c r="AC688" s="284" t="n">
        <f aca="false">IFERROR(($J688*P688)*$L688, "")</f>
        <v>0</v>
      </c>
      <c r="AD688" s="284" t="n">
        <f aca="false">IFERROR(($J688*Q688)*$L688, "")</f>
        <v>0</v>
      </c>
      <c r="AE688" s="284" t="n">
        <f aca="false">IFERROR(($J688*R688)*$L688, "")</f>
        <v>0</v>
      </c>
      <c r="AF688" s="284" t="n">
        <f aca="false">IFERROR(($J688*S688)*$L688, "")</f>
        <v>0</v>
      </c>
      <c r="AG688" s="284" t="n">
        <f aca="false">IFERROR(($J688*T688)*$L688, "")</f>
        <v>0</v>
      </c>
      <c r="AH688" s="284" t="n">
        <f aca="false">IFERROR(($J688*U688)*$L688, "")</f>
        <v>0</v>
      </c>
      <c r="AI688" s="284" t="n">
        <f aca="false">IFERROR(($J688*V688)*$L688, "")</f>
        <v>0</v>
      </c>
      <c r="AJ688" s="284" t="n">
        <f aca="false">IFERROR(($J688*W688)*$L688, "")</f>
        <v>0</v>
      </c>
      <c r="AK688" s="284" t="n">
        <f aca="false">IFERROR(($J688*X688)*$L688, "")</f>
        <v>0</v>
      </c>
      <c r="AL688" s="284" t="n">
        <f aca="false">IFERROR(($J688*Y688)*$L688, "")</f>
        <v>0</v>
      </c>
      <c r="AM688" s="285" t="n">
        <f aca="false">IFERROR(($J688*Z688)*$L688, "")</f>
        <v>0</v>
      </c>
      <c r="AN688" s="286" t="n">
        <f aca="false">IFERROR(SUMIF($AB$4:$AM$4, "RDEC", AB688:AM688), "")</f>
        <v>0</v>
      </c>
      <c r="AO688" s="286" t="n">
        <f aca="false">IFERROR(SUMIF($AB$4:$AM$4, "SME", AB688:AM688), "")</f>
        <v>0</v>
      </c>
      <c r="AP688" s="286" t="n">
        <f aca="false">IFERROR(SUMIF($AB$4:$AM$4, "De Minimis", AB688:AM688), "")</f>
        <v>0</v>
      </c>
      <c r="AQ688" s="283"/>
      <c r="AR688" s="284" t="n">
        <f aca="false">IFERROR(($J688*O688)*$M688, "")</f>
        <v>0</v>
      </c>
      <c r="AS688" s="284" t="n">
        <f aca="false">IFERROR(($J688*P688)*$M688, "")</f>
        <v>0</v>
      </c>
      <c r="AT688" s="284" t="n">
        <f aca="false">IFERROR(($J688*Q688)*$M688, "")</f>
        <v>0</v>
      </c>
      <c r="AU688" s="284" t="n">
        <f aca="false">IFERROR(($J688*R688)*$M688, "")</f>
        <v>0</v>
      </c>
      <c r="AV688" s="284" t="n">
        <f aca="false">IFERROR(($J688*S688)*$M688, "")</f>
        <v>0</v>
      </c>
      <c r="AW688" s="284" t="n">
        <f aca="false">IFERROR(($J688*T688)*$M688, "")</f>
        <v>0</v>
      </c>
      <c r="AX688" s="284" t="n">
        <f aca="false">IFERROR(($J688*U688)*$M688, "")</f>
        <v>0</v>
      </c>
      <c r="AY688" s="284" t="n">
        <f aca="false">IFERROR(($J688*V688)*$M688, "")</f>
        <v>0</v>
      </c>
      <c r="AZ688" s="284" t="n">
        <f aca="false">IFERROR(($J688*W688)*$M688, "")</f>
        <v>0</v>
      </c>
      <c r="BA688" s="284" t="n">
        <f aca="false">IFERROR(($J688*X688)*$M688, "")</f>
        <v>0</v>
      </c>
      <c r="BB688" s="284" t="n">
        <f aca="false">IFERROR(($J688*Y688)*$M688, "")</f>
        <v>0</v>
      </c>
      <c r="BC688" s="285" t="n">
        <f aca="false">IFERROR(($J688*Z688)*$M688, "")</f>
        <v>0</v>
      </c>
      <c r="BD688" s="286" t="n">
        <f aca="false">IFERROR(SUMIF($AB$4:$AM$4, "RDEC", AR688:BC688), "")</f>
        <v>0</v>
      </c>
      <c r="BE688" s="286" t="n">
        <f aca="false">IFERROR(SUMIF($AB$4:$AM$4, "SME", AR688:BC688), "")</f>
        <v>0</v>
      </c>
      <c r="BF688" s="286" t="n">
        <f aca="false">IFERROR(SUMIF($AB$4:$AM$4, "De Minimis", AR688:BC688), "")</f>
        <v>0</v>
      </c>
      <c r="BG688" s="287"/>
      <c r="BH688" s="288" t="str">
        <f aca="false">IF((SUM(O688:Z688)&gt;1),"ERROR","")</f>
        <v/>
      </c>
      <c r="BI688" s="287"/>
      <c r="BJ688" s="18" t="str">
        <f aca="false">IF(C674&gt;0, C674, "")</f>
        <v/>
      </c>
      <c r="BL688" s="200"/>
      <c r="BM688" s="200"/>
      <c r="BN688" s="200"/>
    </row>
    <row r="689" customFormat="false" ht="15" hidden="false" customHeight="true" outlineLevel="0" collapsed="false">
      <c r="B689" s="275"/>
      <c r="D689" s="276" t="n">
        <f aca="false">D673</f>
        <v>45566</v>
      </c>
      <c r="E689" s="277" t="n">
        <v>0</v>
      </c>
      <c r="F689" s="277" t="n">
        <v>0</v>
      </c>
      <c r="G689" s="277" t="n">
        <v>0</v>
      </c>
      <c r="H689" s="277" t="n">
        <v>0</v>
      </c>
      <c r="I689" s="277" t="n">
        <v>0</v>
      </c>
      <c r="J689" s="278" t="n">
        <f aca="false">E689+H689+I689</f>
        <v>0</v>
      </c>
      <c r="K689" s="204"/>
      <c r="L689" s="279" t="n">
        <v>1</v>
      </c>
      <c r="M689" s="280" t="n">
        <f aca="false">1-L689</f>
        <v>0</v>
      </c>
      <c r="N689" s="281"/>
      <c r="O689" s="282"/>
      <c r="P689" s="282"/>
      <c r="Q689" s="282"/>
      <c r="R689" s="282"/>
      <c r="S689" s="282"/>
      <c r="T689" s="282"/>
      <c r="U689" s="282"/>
      <c r="V689" s="282"/>
      <c r="W689" s="282"/>
      <c r="X689" s="282"/>
      <c r="Y689" s="282"/>
      <c r="Z689" s="282"/>
      <c r="AA689" s="283"/>
      <c r="AB689" s="284" t="n">
        <f aca="false">IFERROR(($J689*O689)*$L689, "")</f>
        <v>0</v>
      </c>
      <c r="AC689" s="284" t="n">
        <f aca="false">IFERROR(($J689*P689)*$L689, "")</f>
        <v>0</v>
      </c>
      <c r="AD689" s="284" t="n">
        <f aca="false">IFERROR(($J689*Q689)*$L689, "")</f>
        <v>0</v>
      </c>
      <c r="AE689" s="284" t="n">
        <f aca="false">IFERROR(($J689*R689)*$L689, "")</f>
        <v>0</v>
      </c>
      <c r="AF689" s="284" t="n">
        <f aca="false">IFERROR(($J689*S689)*$L689, "")</f>
        <v>0</v>
      </c>
      <c r="AG689" s="284" t="n">
        <f aca="false">IFERROR(($J689*T689)*$L689, "")</f>
        <v>0</v>
      </c>
      <c r="AH689" s="284" t="n">
        <f aca="false">IFERROR(($J689*U689)*$L689, "")</f>
        <v>0</v>
      </c>
      <c r="AI689" s="284" t="n">
        <f aca="false">IFERROR(($J689*V689)*$L689, "")</f>
        <v>0</v>
      </c>
      <c r="AJ689" s="284" t="n">
        <f aca="false">IFERROR(($J689*W689)*$L689, "")</f>
        <v>0</v>
      </c>
      <c r="AK689" s="284" t="n">
        <f aca="false">IFERROR(($J689*X689)*$L689, "")</f>
        <v>0</v>
      </c>
      <c r="AL689" s="284" t="n">
        <f aca="false">IFERROR(($J689*Y689)*$L689, "")</f>
        <v>0</v>
      </c>
      <c r="AM689" s="285" t="n">
        <f aca="false">IFERROR(($J689*Z689)*$L689, "")</f>
        <v>0</v>
      </c>
      <c r="AN689" s="286" t="n">
        <f aca="false">IFERROR(SUMIF($AB$4:$AM$4, "RDEC", AB689:AM689), "")</f>
        <v>0</v>
      </c>
      <c r="AO689" s="286" t="n">
        <f aca="false">IFERROR(SUMIF($AB$4:$AM$4, "SME", AB689:AM689), "")</f>
        <v>0</v>
      </c>
      <c r="AP689" s="286" t="n">
        <f aca="false">IFERROR(SUMIF($AB$4:$AM$4, "De Minimis", AB689:AM689), "")</f>
        <v>0</v>
      </c>
      <c r="AQ689" s="283"/>
      <c r="AR689" s="284" t="n">
        <f aca="false">IFERROR(($J689*O689)*$M689, "")</f>
        <v>0</v>
      </c>
      <c r="AS689" s="284" t="n">
        <f aca="false">IFERROR(($J689*P689)*$M689, "")</f>
        <v>0</v>
      </c>
      <c r="AT689" s="284" t="n">
        <f aca="false">IFERROR(($J689*Q689)*$M689, "")</f>
        <v>0</v>
      </c>
      <c r="AU689" s="284" t="n">
        <f aca="false">IFERROR(($J689*R689)*$M689, "")</f>
        <v>0</v>
      </c>
      <c r="AV689" s="284" t="n">
        <f aca="false">IFERROR(($J689*S689)*$M689, "")</f>
        <v>0</v>
      </c>
      <c r="AW689" s="284" t="n">
        <f aca="false">IFERROR(($J689*T689)*$M689, "")</f>
        <v>0</v>
      </c>
      <c r="AX689" s="284" t="n">
        <f aca="false">IFERROR(($J689*U689)*$M689, "")</f>
        <v>0</v>
      </c>
      <c r="AY689" s="284" t="n">
        <f aca="false">IFERROR(($J689*V689)*$M689, "")</f>
        <v>0</v>
      </c>
      <c r="AZ689" s="284" t="n">
        <f aca="false">IFERROR(($J689*W689)*$M689, "")</f>
        <v>0</v>
      </c>
      <c r="BA689" s="284" t="n">
        <f aca="false">IFERROR(($J689*X689)*$M689, "")</f>
        <v>0</v>
      </c>
      <c r="BB689" s="284" t="n">
        <f aca="false">IFERROR(($J689*Y689)*$M689, "")</f>
        <v>0</v>
      </c>
      <c r="BC689" s="285" t="n">
        <f aca="false">IFERROR(($J689*Z689)*$M689, "")</f>
        <v>0</v>
      </c>
      <c r="BD689" s="286" t="n">
        <f aca="false">IFERROR(SUMIF($AB$4:$AM$4, "RDEC", AR689:BC689), "")</f>
        <v>0</v>
      </c>
      <c r="BE689" s="286" t="n">
        <f aca="false">IFERROR(SUMIF($AB$4:$AM$4, "SME", AR689:BC689), "")</f>
        <v>0</v>
      </c>
      <c r="BF689" s="286" t="n">
        <f aca="false">IFERROR(SUMIF($AB$4:$AM$4, "De Minimis", AR689:BC689), "")</f>
        <v>0</v>
      </c>
      <c r="BG689" s="287"/>
      <c r="BH689" s="288" t="str">
        <f aca="false">IF((SUM(O689:Z689)&gt;1),"ERROR","")</f>
        <v/>
      </c>
      <c r="BI689" s="287"/>
      <c r="BJ689" s="18" t="str">
        <f aca="false">IF(C675&gt;0, C675, "")</f>
        <v/>
      </c>
      <c r="BL689" s="200"/>
      <c r="BM689" s="200"/>
      <c r="BN689" s="200"/>
    </row>
    <row r="690" customFormat="false" ht="15" hidden="false" customHeight="true" outlineLevel="0" collapsed="false">
      <c r="B690" s="275"/>
      <c r="D690" s="276" t="n">
        <f aca="false">D674</f>
        <v>45597</v>
      </c>
      <c r="E690" s="277" t="n">
        <v>0</v>
      </c>
      <c r="F690" s="277" t="n">
        <v>0</v>
      </c>
      <c r="G690" s="277" t="n">
        <v>0</v>
      </c>
      <c r="H690" s="277" t="n">
        <v>0</v>
      </c>
      <c r="I690" s="277" t="n">
        <v>0</v>
      </c>
      <c r="J690" s="278" t="n">
        <f aca="false">E690+H690+I690</f>
        <v>0</v>
      </c>
      <c r="K690" s="204"/>
      <c r="L690" s="279" t="n">
        <v>1</v>
      </c>
      <c r="M690" s="280" t="n">
        <f aca="false">1-L690</f>
        <v>0</v>
      </c>
      <c r="N690" s="281"/>
      <c r="O690" s="282"/>
      <c r="P690" s="282"/>
      <c r="Q690" s="282"/>
      <c r="R690" s="282"/>
      <c r="S690" s="282"/>
      <c r="T690" s="282"/>
      <c r="U690" s="282"/>
      <c r="V690" s="282"/>
      <c r="W690" s="282"/>
      <c r="X690" s="282"/>
      <c r="Y690" s="282"/>
      <c r="Z690" s="282"/>
      <c r="AA690" s="283"/>
      <c r="AB690" s="284" t="n">
        <f aca="false">IFERROR(($J690*O690)*$L690, "")</f>
        <v>0</v>
      </c>
      <c r="AC690" s="284" t="n">
        <f aca="false">IFERROR(($J690*P690)*$L690, "")</f>
        <v>0</v>
      </c>
      <c r="AD690" s="284" t="n">
        <f aca="false">IFERROR(($J690*Q690)*$L690, "")</f>
        <v>0</v>
      </c>
      <c r="AE690" s="284" t="n">
        <f aca="false">IFERROR(($J690*R690)*$L690, "")</f>
        <v>0</v>
      </c>
      <c r="AF690" s="284" t="n">
        <f aca="false">IFERROR(($J690*S690)*$L690, "")</f>
        <v>0</v>
      </c>
      <c r="AG690" s="284" t="n">
        <f aca="false">IFERROR(($J690*T690)*$L690, "")</f>
        <v>0</v>
      </c>
      <c r="AH690" s="284" t="n">
        <f aca="false">IFERROR(($J690*U690)*$L690, "")</f>
        <v>0</v>
      </c>
      <c r="AI690" s="284" t="n">
        <f aca="false">IFERROR(($J690*V690)*$L690, "")</f>
        <v>0</v>
      </c>
      <c r="AJ690" s="284" t="n">
        <f aca="false">IFERROR(($J690*W690)*$L690, "")</f>
        <v>0</v>
      </c>
      <c r="AK690" s="284" t="n">
        <f aca="false">IFERROR(($J690*X690)*$L690, "")</f>
        <v>0</v>
      </c>
      <c r="AL690" s="284" t="n">
        <f aca="false">IFERROR(($J690*Y690)*$L690, "")</f>
        <v>0</v>
      </c>
      <c r="AM690" s="285" t="n">
        <f aca="false">IFERROR(($J690*Z690)*$L690, "")</f>
        <v>0</v>
      </c>
      <c r="AN690" s="286" t="n">
        <f aca="false">IFERROR(SUMIF($AB$4:$AM$4, "RDEC", AB690:AM690), "")</f>
        <v>0</v>
      </c>
      <c r="AO690" s="286" t="n">
        <f aca="false">IFERROR(SUMIF($AB$4:$AM$4, "SME", AB690:AM690), "")</f>
        <v>0</v>
      </c>
      <c r="AP690" s="286" t="n">
        <f aca="false">IFERROR(SUMIF($AB$4:$AM$4, "De Minimis", AB690:AM690), "")</f>
        <v>0</v>
      </c>
      <c r="AQ690" s="283"/>
      <c r="AR690" s="284" t="n">
        <f aca="false">IFERROR(($J690*O690)*$M690, "")</f>
        <v>0</v>
      </c>
      <c r="AS690" s="284" t="n">
        <f aca="false">IFERROR(($J690*P690)*$M690, "")</f>
        <v>0</v>
      </c>
      <c r="AT690" s="284" t="n">
        <f aca="false">IFERROR(($J690*Q690)*$M690, "")</f>
        <v>0</v>
      </c>
      <c r="AU690" s="284" t="n">
        <f aca="false">IFERROR(($J690*R690)*$M690, "")</f>
        <v>0</v>
      </c>
      <c r="AV690" s="284" t="n">
        <f aca="false">IFERROR(($J690*S690)*$M690, "")</f>
        <v>0</v>
      </c>
      <c r="AW690" s="284" t="n">
        <f aca="false">IFERROR(($J690*T690)*$M690, "")</f>
        <v>0</v>
      </c>
      <c r="AX690" s="284" t="n">
        <f aca="false">IFERROR(($J690*U690)*$M690, "")</f>
        <v>0</v>
      </c>
      <c r="AY690" s="284" t="n">
        <f aca="false">IFERROR(($J690*V690)*$M690, "")</f>
        <v>0</v>
      </c>
      <c r="AZ690" s="284" t="n">
        <f aca="false">IFERROR(($J690*W690)*$M690, "")</f>
        <v>0</v>
      </c>
      <c r="BA690" s="284" t="n">
        <f aca="false">IFERROR(($J690*X690)*$M690, "")</f>
        <v>0</v>
      </c>
      <c r="BB690" s="284" t="n">
        <f aca="false">IFERROR(($J690*Y690)*$M690, "")</f>
        <v>0</v>
      </c>
      <c r="BC690" s="285" t="n">
        <f aca="false">IFERROR(($J690*Z690)*$M690, "")</f>
        <v>0</v>
      </c>
      <c r="BD690" s="286" t="n">
        <f aca="false">IFERROR(SUMIF($AB$4:$AM$4, "RDEC", AR690:BC690), "")</f>
        <v>0</v>
      </c>
      <c r="BE690" s="286" t="n">
        <f aca="false">IFERROR(SUMIF($AB$4:$AM$4, "SME", AR690:BC690), "")</f>
        <v>0</v>
      </c>
      <c r="BF690" s="286" t="n">
        <f aca="false">IFERROR(SUMIF($AB$4:$AM$4, "De Minimis", AR690:BC690), "")</f>
        <v>0</v>
      </c>
      <c r="BG690" s="287"/>
      <c r="BH690" s="288" t="str">
        <f aca="false">IF((SUM(O690:Z690)&gt;1),"ERROR","")</f>
        <v/>
      </c>
      <c r="BI690" s="287"/>
      <c r="BJ690" s="18" t="str">
        <f aca="false">IF(C676&gt;0, C676, "")</f>
        <v/>
      </c>
      <c r="BL690" s="200"/>
      <c r="BM690" s="200"/>
      <c r="BN690" s="200"/>
    </row>
    <row r="691" customFormat="false" ht="15" hidden="false" customHeight="true" outlineLevel="0" collapsed="false">
      <c r="B691" s="275"/>
      <c r="D691" s="276" t="n">
        <f aca="false">D675</f>
        <v>45627</v>
      </c>
      <c r="E691" s="277" t="n">
        <v>0</v>
      </c>
      <c r="F691" s="277" t="n">
        <v>0</v>
      </c>
      <c r="G691" s="277" t="n">
        <v>0</v>
      </c>
      <c r="H691" s="277" t="n">
        <v>0</v>
      </c>
      <c r="I691" s="277" t="n">
        <v>0</v>
      </c>
      <c r="J691" s="278" t="n">
        <f aca="false">E691+H691+I691</f>
        <v>0</v>
      </c>
      <c r="K691" s="204"/>
      <c r="L691" s="289" t="n">
        <v>1</v>
      </c>
      <c r="M691" s="290" t="n">
        <f aca="false">1-L691</f>
        <v>0</v>
      </c>
      <c r="N691" s="281"/>
      <c r="O691" s="291"/>
      <c r="P691" s="291"/>
      <c r="Q691" s="291"/>
      <c r="R691" s="291"/>
      <c r="S691" s="291"/>
      <c r="T691" s="291"/>
      <c r="U691" s="291"/>
      <c r="V691" s="291"/>
      <c r="W691" s="291"/>
      <c r="X691" s="291"/>
      <c r="Y691" s="291"/>
      <c r="Z691" s="291"/>
      <c r="AA691" s="283"/>
      <c r="AB691" s="292" t="n">
        <f aca="false">IFERROR(($J691*O691)*$L691, "")</f>
        <v>0</v>
      </c>
      <c r="AC691" s="292" t="n">
        <f aca="false">IFERROR(($J691*P691)*$L691, "")</f>
        <v>0</v>
      </c>
      <c r="AD691" s="292" t="n">
        <f aca="false">IFERROR(($J691*Q691)*$L691, "")</f>
        <v>0</v>
      </c>
      <c r="AE691" s="292" t="n">
        <f aca="false">IFERROR(($J691*R691)*$L691, "")</f>
        <v>0</v>
      </c>
      <c r="AF691" s="292" t="n">
        <f aca="false">IFERROR(($J691*S691)*$L691, "")</f>
        <v>0</v>
      </c>
      <c r="AG691" s="292" t="n">
        <f aca="false">IFERROR(($J691*T691)*$L691, "")</f>
        <v>0</v>
      </c>
      <c r="AH691" s="292" t="n">
        <f aca="false">IFERROR(($J691*U691)*$L691, "")</f>
        <v>0</v>
      </c>
      <c r="AI691" s="292" t="n">
        <f aca="false">IFERROR(($J691*V691)*$L691, "")</f>
        <v>0</v>
      </c>
      <c r="AJ691" s="292" t="n">
        <f aca="false">IFERROR(($J691*W691)*$L691, "")</f>
        <v>0</v>
      </c>
      <c r="AK691" s="292" t="n">
        <f aca="false">IFERROR(($J691*X691)*$L691, "")</f>
        <v>0</v>
      </c>
      <c r="AL691" s="292" t="n">
        <f aca="false">IFERROR(($J691*Y691)*$L691, "")</f>
        <v>0</v>
      </c>
      <c r="AM691" s="293" t="n">
        <f aca="false">IFERROR(($J691*Z691)*$L691, "")</f>
        <v>0</v>
      </c>
      <c r="AN691" s="294" t="n">
        <f aca="false">IFERROR(SUMIF($AB$4:$AM$4, "RDEC", AB691:AM691), "")</f>
        <v>0</v>
      </c>
      <c r="AO691" s="294" t="n">
        <f aca="false">IFERROR(SUMIF($AB$4:$AM$4, "SME", AB691:AM691), "")</f>
        <v>0</v>
      </c>
      <c r="AP691" s="294" t="n">
        <f aca="false">IFERROR(SUMIF($AB$4:$AM$4, "De Minimis", AB691:AM691), "")</f>
        <v>0</v>
      </c>
      <c r="AQ691" s="283"/>
      <c r="AR691" s="292" t="n">
        <f aca="false">IFERROR(($J691*O691)*$M691, "")</f>
        <v>0</v>
      </c>
      <c r="AS691" s="292" t="n">
        <f aca="false">IFERROR(($J691*P691)*$M691, "")</f>
        <v>0</v>
      </c>
      <c r="AT691" s="292" t="n">
        <f aca="false">IFERROR(($J691*Q691)*$M691, "")</f>
        <v>0</v>
      </c>
      <c r="AU691" s="292" t="n">
        <f aca="false">IFERROR(($J691*R691)*$M691, "")</f>
        <v>0</v>
      </c>
      <c r="AV691" s="292" t="n">
        <f aca="false">IFERROR(($J691*S691)*$M691, "")</f>
        <v>0</v>
      </c>
      <c r="AW691" s="292" t="n">
        <f aca="false">IFERROR(($J691*T691)*$M691, "")</f>
        <v>0</v>
      </c>
      <c r="AX691" s="292" t="n">
        <f aca="false">IFERROR(($J691*U691)*$M691, "")</f>
        <v>0</v>
      </c>
      <c r="AY691" s="292" t="n">
        <f aca="false">IFERROR(($J691*V691)*$M691, "")</f>
        <v>0</v>
      </c>
      <c r="AZ691" s="292" t="n">
        <f aca="false">IFERROR(($J691*W691)*$M691, "")</f>
        <v>0</v>
      </c>
      <c r="BA691" s="292" t="n">
        <f aca="false">IFERROR(($J691*X691)*$M691, "")</f>
        <v>0</v>
      </c>
      <c r="BB691" s="292" t="n">
        <f aca="false">IFERROR(($J691*Y691)*$M691, "")</f>
        <v>0</v>
      </c>
      <c r="BC691" s="293" t="n">
        <f aca="false">IFERROR(($J691*Z691)*$M691, "")</f>
        <v>0</v>
      </c>
      <c r="BD691" s="294" t="n">
        <f aca="false">IFERROR(SUMIF($AB$4:$AM$4, "RDEC", AR691:BC691), "")</f>
        <v>0</v>
      </c>
      <c r="BE691" s="294" t="n">
        <f aca="false">IFERROR(SUMIF($AB$4:$AM$4, "SME", AR691:BC691), "")</f>
        <v>0</v>
      </c>
      <c r="BF691" s="294" t="n">
        <f aca="false">IFERROR(SUMIF($AB$4:$AM$4, "De Minimis", AR691:BC691), "")</f>
        <v>0</v>
      </c>
      <c r="BG691" s="287"/>
      <c r="BH691" s="295" t="str">
        <f aca="false">IF((SUM(O691:Z691)&gt;1),"ERROR","")</f>
        <v/>
      </c>
      <c r="BI691" s="287"/>
      <c r="BJ691" s="18" t="str">
        <f aca="false">IF(C677&gt;0, C677, "")</f>
        <v/>
      </c>
      <c r="BL691" s="200"/>
      <c r="BM691" s="200"/>
      <c r="BN691" s="200"/>
    </row>
    <row r="692" customFormat="false" ht="15" hidden="false" customHeight="true" outlineLevel="0" collapsed="false">
      <c r="B692" s="296"/>
      <c r="D692" s="297" t="s">
        <v>82</v>
      </c>
      <c r="E692" s="298" t="n">
        <f aca="false">SUM(E680:E691)</f>
        <v>0</v>
      </c>
      <c r="F692" s="298" t="n">
        <f aca="false">SUM(F680:F691)</f>
        <v>0</v>
      </c>
      <c r="G692" s="298" t="n">
        <f aca="false">SUM(G680:G691)</f>
        <v>0</v>
      </c>
      <c r="H692" s="298" t="n">
        <f aca="false">SUM(H680:H691)</f>
        <v>0</v>
      </c>
      <c r="I692" s="298" t="n">
        <f aca="false">SUM(I680:I691)</f>
        <v>0</v>
      </c>
      <c r="J692" s="299" t="n">
        <f aca="false">SUM(J680:J691)</f>
        <v>0</v>
      </c>
      <c r="K692" s="300"/>
      <c r="L692" s="301" t="n">
        <f aca="false">AVERAGE(L680:L691)</f>
        <v>1</v>
      </c>
      <c r="M692" s="301" t="n">
        <f aca="false">AVERAGE(M680:M691)</f>
        <v>0</v>
      </c>
      <c r="N692" s="302"/>
      <c r="O692" s="290" t="n">
        <f aca="false">IF(SUM(O680:O691)&gt;0,((AB692+AR692)/J692),0)</f>
        <v>0</v>
      </c>
      <c r="P692" s="290" t="n">
        <f aca="false">IF(SUM(P680:P691)&gt;0,((AC692+AS692)/J692),0)</f>
        <v>0</v>
      </c>
      <c r="Q692" s="290" t="n">
        <f aca="false">IF(SUM(Q680:Q691)&gt;0,((AD692+AT692)/J692),0)</f>
        <v>0</v>
      </c>
      <c r="R692" s="290" t="n">
        <f aca="false">IF(SUM(R680:R691)&gt;0,((AE692+AU692)/J692),0)</f>
        <v>0</v>
      </c>
      <c r="S692" s="290" t="n">
        <f aca="false">IF(SUM(S680:S691)&gt;0,((AF692+AV692)/J692),0)</f>
        <v>0</v>
      </c>
      <c r="T692" s="290" t="n">
        <f aca="false">IF(SUM(T680:T691)&gt;0,((AG692+AW692)/J692),0)</f>
        <v>0</v>
      </c>
      <c r="U692" s="290" t="n">
        <f aca="false">IF(SUM(U680:U691)&gt;0,((AH692+AX692)/J692),0)</f>
        <v>0</v>
      </c>
      <c r="V692" s="290" t="n">
        <f aca="false">IF(SUM(V680:V691)&gt;0,((AI692+AY692)/J692),0)</f>
        <v>0</v>
      </c>
      <c r="W692" s="290" t="n">
        <f aca="false">IF(SUM(W680:W691)&gt;0,((AJ692+AZ692)/J692),0)</f>
        <v>0</v>
      </c>
      <c r="X692" s="290" t="n">
        <f aca="false">IF(SUM(X680:X691)&gt;0,((AK692+BA692)/J692),0)</f>
        <v>0</v>
      </c>
      <c r="Y692" s="290" t="n">
        <f aca="false">IF(SUM(Y680:Y691)&gt;0,((AL692+BB692)/J692),0)</f>
        <v>0</v>
      </c>
      <c r="Z692" s="290" t="n">
        <f aca="false">IF(SUM(Z680:Z691)&gt;0,((AM692+BC692)/J692),0)</f>
        <v>0</v>
      </c>
      <c r="AA692" s="303"/>
      <c r="AB692" s="292" t="n">
        <f aca="false">SUM(AB680:AB691)</f>
        <v>0</v>
      </c>
      <c r="AC692" s="304" t="n">
        <f aca="false">SUM(AC680:AC691)</f>
        <v>0</v>
      </c>
      <c r="AD692" s="304" t="n">
        <f aca="false">SUM(AD680:AD691)</f>
        <v>0</v>
      </c>
      <c r="AE692" s="304" t="n">
        <f aca="false">SUM(AE680:AE691)</f>
        <v>0</v>
      </c>
      <c r="AF692" s="304" t="n">
        <f aca="false">SUM(AF680:AF691)</f>
        <v>0</v>
      </c>
      <c r="AG692" s="304" t="n">
        <f aca="false">SUM(AG680:AG691)</f>
        <v>0</v>
      </c>
      <c r="AH692" s="304" t="n">
        <f aca="false">SUM(AH680:AH691)</f>
        <v>0</v>
      </c>
      <c r="AI692" s="304" t="n">
        <f aca="false">SUM(AI680:AI691)</f>
        <v>0</v>
      </c>
      <c r="AJ692" s="304" t="n">
        <f aca="false">SUM(AJ680:AJ691)</f>
        <v>0</v>
      </c>
      <c r="AK692" s="304" t="n">
        <f aca="false">SUM(AK680:AK691)</f>
        <v>0</v>
      </c>
      <c r="AL692" s="304" t="n">
        <f aca="false">SUM(AL680:AL691)</f>
        <v>0</v>
      </c>
      <c r="AM692" s="304" t="n">
        <f aca="false">SUM(AM680:AM691)</f>
        <v>0</v>
      </c>
      <c r="AN692" s="305" t="n">
        <f aca="false">SUM(AN680:AN691)</f>
        <v>0</v>
      </c>
      <c r="AO692" s="305" t="n">
        <f aca="false">SUM(AO680:AO691)</f>
        <v>0</v>
      </c>
      <c r="AP692" s="305" t="n">
        <f aca="false">SUM(AP680:AP691)</f>
        <v>0</v>
      </c>
      <c r="AQ692" s="303"/>
      <c r="AR692" s="292" t="n">
        <f aca="false">SUM(AR680:AR691)</f>
        <v>0</v>
      </c>
      <c r="AS692" s="304" t="n">
        <f aca="false">SUM(AS680:AS691)</f>
        <v>0</v>
      </c>
      <c r="AT692" s="304" t="n">
        <f aca="false">SUM(AT680:AT691)</f>
        <v>0</v>
      </c>
      <c r="AU692" s="304" t="n">
        <f aca="false">SUM(AU680:AU691)</f>
        <v>0</v>
      </c>
      <c r="AV692" s="304" t="n">
        <f aca="false">SUM(AV680:AV691)</f>
        <v>0</v>
      </c>
      <c r="AW692" s="304" t="n">
        <f aca="false">SUM(AW680:AW691)</f>
        <v>0</v>
      </c>
      <c r="AX692" s="304" t="n">
        <f aca="false">SUM(AX680:AX691)</f>
        <v>0</v>
      </c>
      <c r="AY692" s="304" t="n">
        <f aca="false">SUM(AY680:AY691)</f>
        <v>0</v>
      </c>
      <c r="AZ692" s="304" t="n">
        <f aca="false">SUM(AZ680:AZ691)</f>
        <v>0</v>
      </c>
      <c r="BA692" s="304" t="n">
        <f aca="false">SUM(BA680:BA691)</f>
        <v>0</v>
      </c>
      <c r="BB692" s="304" t="n">
        <f aca="false">SUM(BB680:BB691)</f>
        <v>0</v>
      </c>
      <c r="BC692" s="304" t="n">
        <f aca="false">SUM(BC680:BC691)</f>
        <v>0</v>
      </c>
      <c r="BD692" s="305" t="n">
        <f aca="false">SUM(BD680:BD691)</f>
        <v>0</v>
      </c>
      <c r="BE692" s="305" t="n">
        <f aca="false">SUM(BE680:BE691)</f>
        <v>0</v>
      </c>
      <c r="BF692" s="305" t="n">
        <f aca="false">SUM(BF680:BF691)</f>
        <v>0</v>
      </c>
      <c r="BG692" s="303"/>
      <c r="BH692" s="306"/>
      <c r="BI692" s="303"/>
      <c r="BJ692" s="307" t="str">
        <f aca="false">IF(C678&gt;0, C678, "")</f>
        <v>TBA</v>
      </c>
      <c r="BK692" s="18" t="s">
        <v>234</v>
      </c>
      <c r="BL692" s="200" t="n">
        <f aca="false">IF($BK692="Y",J692,0)</f>
        <v>0</v>
      </c>
      <c r="BM692" s="200" t="n">
        <f aca="false">IF(BK692="Y", AN692,0)</f>
        <v>0</v>
      </c>
      <c r="BN692" s="200" t="n">
        <f aca="false">IF((BK692="Y"),AO692,0)</f>
        <v>0</v>
      </c>
    </row>
    <row r="693" customFormat="false" ht="15" hidden="false" customHeight="true" outlineLevel="0" collapsed="false">
      <c r="B693" s="296"/>
      <c r="D693" s="297"/>
      <c r="E693" s="277"/>
      <c r="F693" s="277"/>
      <c r="G693" s="277"/>
      <c r="H693" s="277"/>
      <c r="I693" s="277"/>
      <c r="J693" s="300"/>
      <c r="K693" s="300"/>
      <c r="L693" s="302"/>
      <c r="M693" s="302"/>
      <c r="N693" s="302"/>
      <c r="O693" s="308"/>
      <c r="P693" s="308"/>
      <c r="Q693" s="308"/>
      <c r="R693" s="308"/>
      <c r="S693" s="308"/>
      <c r="T693" s="308"/>
      <c r="U693" s="308"/>
      <c r="V693" s="308"/>
      <c r="W693" s="308"/>
      <c r="X693" s="308"/>
      <c r="Y693" s="308"/>
      <c r="Z693" s="308"/>
      <c r="AA693" s="303"/>
      <c r="AB693" s="303"/>
      <c r="AC693" s="303"/>
      <c r="AD693" s="303"/>
      <c r="AE693" s="303"/>
      <c r="AF693" s="303"/>
      <c r="AG693" s="303"/>
      <c r="AH693" s="303"/>
      <c r="AI693" s="303"/>
      <c r="AJ693" s="303"/>
      <c r="AK693" s="303"/>
      <c r="AL693" s="303"/>
      <c r="AM693" s="303"/>
      <c r="AN693" s="303"/>
      <c r="AO693" s="303"/>
      <c r="AP693" s="303"/>
      <c r="AQ693" s="303"/>
      <c r="AR693" s="303"/>
      <c r="AS693" s="303"/>
      <c r="AT693" s="303"/>
      <c r="AU693" s="303"/>
      <c r="AV693" s="303"/>
      <c r="AW693" s="303"/>
      <c r="AX693" s="303"/>
      <c r="AY693" s="303"/>
      <c r="AZ693" s="303"/>
      <c r="BA693" s="303"/>
      <c r="BB693" s="303"/>
      <c r="BC693" s="303"/>
      <c r="BD693" s="303"/>
      <c r="BE693" s="303"/>
      <c r="BF693" s="303"/>
      <c r="BG693" s="303"/>
      <c r="BH693" s="303"/>
      <c r="BI693" s="303"/>
      <c r="BJ693" s="307" t="str">
        <f aca="false">IF(C680&gt;0, C680, "")</f>
        <v/>
      </c>
      <c r="BL693" s="200"/>
      <c r="BM693" s="200"/>
      <c r="BN693" s="200"/>
    </row>
    <row r="694" customFormat="false" ht="15" hidden="false" customHeight="true" outlineLevel="0" collapsed="false">
      <c r="A694" s="198" t="n">
        <f aca="false">A678+1</f>
        <v>44</v>
      </c>
      <c r="B694" s="266" t="s">
        <v>253</v>
      </c>
      <c r="C694" s="266" t="s">
        <v>253</v>
      </c>
      <c r="D694" s="267"/>
      <c r="E694" s="242"/>
      <c r="F694" s="242"/>
      <c r="G694" s="242"/>
      <c r="H694" s="242"/>
      <c r="I694" s="242"/>
      <c r="J694" s="241"/>
      <c r="K694" s="241"/>
      <c r="L694" s="241"/>
      <c r="M694" s="241"/>
      <c r="N694" s="241"/>
      <c r="O694" s="268"/>
      <c r="P694" s="268"/>
      <c r="Q694" s="268"/>
      <c r="R694" s="268"/>
      <c r="S694" s="268"/>
      <c r="T694" s="268"/>
      <c r="U694" s="268"/>
      <c r="V694" s="268"/>
      <c r="W694" s="268"/>
      <c r="X694" s="268"/>
      <c r="Y694" s="268"/>
      <c r="Z694" s="268"/>
      <c r="AA694" s="268"/>
      <c r="AB694" s="268"/>
      <c r="AC694" s="268"/>
      <c r="AD694" s="268"/>
      <c r="AE694" s="268"/>
      <c r="AF694" s="268"/>
      <c r="AG694" s="268"/>
      <c r="AH694" s="268"/>
      <c r="AI694" s="268"/>
      <c r="AJ694" s="268"/>
      <c r="AK694" s="268"/>
      <c r="AL694" s="268"/>
      <c r="AM694" s="268"/>
      <c r="AN694" s="268"/>
      <c r="AO694" s="268"/>
      <c r="AP694" s="268"/>
      <c r="AQ694" s="268"/>
      <c r="AR694" s="268"/>
      <c r="AS694" s="268"/>
      <c r="AT694" s="268"/>
      <c r="AU694" s="268"/>
      <c r="AV694" s="268"/>
      <c r="AW694" s="268"/>
      <c r="AX694" s="268"/>
      <c r="AY694" s="268"/>
      <c r="AZ694" s="268"/>
      <c r="BA694" s="268"/>
      <c r="BB694" s="268"/>
      <c r="BC694" s="268"/>
      <c r="BD694" s="268"/>
      <c r="BE694" s="268"/>
      <c r="BF694" s="268"/>
      <c r="BG694" s="268"/>
      <c r="BH694" s="268"/>
      <c r="BI694" s="268"/>
      <c r="BJ694" s="18" t="str">
        <f aca="false">IF(C681&gt;0, C681, "")</f>
        <v/>
      </c>
      <c r="BL694" s="200"/>
      <c r="BM694" s="200"/>
      <c r="BN694" s="200"/>
    </row>
    <row r="695" customFormat="false" ht="7.5" hidden="false" customHeight="true" outlineLevel="0" collapsed="false">
      <c r="A695" s="198"/>
      <c r="B695" s="266"/>
      <c r="C695" s="266"/>
      <c r="D695" s="267"/>
      <c r="E695" s="242"/>
      <c r="F695" s="242"/>
      <c r="G695" s="242"/>
      <c r="H695" s="242"/>
      <c r="I695" s="242"/>
      <c r="J695" s="241"/>
      <c r="K695" s="241"/>
      <c r="L695" s="269"/>
      <c r="M695" s="269"/>
      <c r="N695" s="270"/>
      <c r="O695" s="269"/>
      <c r="P695" s="269"/>
      <c r="Q695" s="269"/>
      <c r="R695" s="269"/>
      <c r="S695" s="269"/>
      <c r="T695" s="269"/>
      <c r="U695" s="269"/>
      <c r="V695" s="269"/>
      <c r="W695" s="269"/>
      <c r="X695" s="269"/>
      <c r="Y695" s="269"/>
      <c r="Z695" s="269"/>
      <c r="AA695" s="268"/>
      <c r="AB695" s="271"/>
      <c r="AC695" s="271"/>
      <c r="AD695" s="271"/>
      <c r="AE695" s="271"/>
      <c r="AF695" s="271"/>
      <c r="AG695" s="271"/>
      <c r="AH695" s="271"/>
      <c r="AI695" s="271"/>
      <c r="AJ695" s="271"/>
      <c r="AK695" s="271"/>
      <c r="AL695" s="271"/>
      <c r="AM695" s="272"/>
      <c r="AN695" s="273"/>
      <c r="AO695" s="273"/>
      <c r="AP695" s="273"/>
      <c r="AQ695" s="268"/>
      <c r="AR695" s="271"/>
      <c r="AS695" s="271"/>
      <c r="AT695" s="271"/>
      <c r="AU695" s="271"/>
      <c r="AV695" s="271"/>
      <c r="AW695" s="271"/>
      <c r="AX695" s="271"/>
      <c r="AY695" s="271"/>
      <c r="AZ695" s="271"/>
      <c r="BA695" s="271"/>
      <c r="BB695" s="271"/>
      <c r="BC695" s="272"/>
      <c r="BD695" s="273"/>
      <c r="BE695" s="273"/>
      <c r="BF695" s="273"/>
      <c r="BG695" s="268"/>
      <c r="BH695" s="274"/>
      <c r="BI695" s="268"/>
      <c r="BL695" s="200"/>
      <c r="BM695" s="200"/>
      <c r="BN695" s="200"/>
    </row>
    <row r="696" customFormat="false" ht="15" hidden="false" customHeight="true" outlineLevel="0" collapsed="false">
      <c r="B696" s="275"/>
      <c r="D696" s="276" t="n">
        <f aca="false">D680</f>
        <v>45292</v>
      </c>
      <c r="E696" s="277" t="n">
        <v>0</v>
      </c>
      <c r="F696" s="277" t="n">
        <v>0</v>
      </c>
      <c r="G696" s="277" t="n">
        <v>0</v>
      </c>
      <c r="H696" s="277" t="n">
        <v>0</v>
      </c>
      <c r="I696" s="277" t="n">
        <v>0</v>
      </c>
      <c r="J696" s="278" t="n">
        <f aca="false">E696+H696+I696</f>
        <v>0</v>
      </c>
      <c r="K696" s="204"/>
      <c r="L696" s="279" t="n">
        <v>1</v>
      </c>
      <c r="M696" s="280" t="n">
        <f aca="false">1-L696</f>
        <v>0</v>
      </c>
      <c r="N696" s="281"/>
      <c r="O696" s="282"/>
      <c r="P696" s="282"/>
      <c r="Q696" s="282"/>
      <c r="R696" s="282"/>
      <c r="S696" s="282"/>
      <c r="T696" s="282"/>
      <c r="U696" s="282"/>
      <c r="V696" s="282"/>
      <c r="W696" s="282"/>
      <c r="X696" s="282"/>
      <c r="Y696" s="282"/>
      <c r="Z696" s="282"/>
      <c r="AA696" s="283"/>
      <c r="AB696" s="284" t="n">
        <f aca="false">IFERROR(($J696*O696)*$L696, "")</f>
        <v>0</v>
      </c>
      <c r="AC696" s="284" t="n">
        <f aca="false">IFERROR(($J696*P696)*$L696, "")</f>
        <v>0</v>
      </c>
      <c r="AD696" s="284" t="n">
        <f aca="false">IFERROR(($J696*Q696)*$L696, "")</f>
        <v>0</v>
      </c>
      <c r="AE696" s="284" t="n">
        <f aca="false">IFERROR(($J696*R696)*$L696, "")</f>
        <v>0</v>
      </c>
      <c r="AF696" s="284" t="n">
        <f aca="false">IFERROR(($J696*S696)*$L696, "")</f>
        <v>0</v>
      </c>
      <c r="AG696" s="284" t="n">
        <f aca="false">IFERROR(($J696*T696)*$L696, "")</f>
        <v>0</v>
      </c>
      <c r="AH696" s="284" t="n">
        <f aca="false">IFERROR(($J696*U696)*$L696, "")</f>
        <v>0</v>
      </c>
      <c r="AI696" s="284" t="n">
        <f aca="false">IFERROR(($J696*V696)*$L696, "")</f>
        <v>0</v>
      </c>
      <c r="AJ696" s="284" t="n">
        <f aca="false">IFERROR(($J696*W696)*$L696, "")</f>
        <v>0</v>
      </c>
      <c r="AK696" s="284" t="n">
        <f aca="false">IFERROR(($J696*X696)*$L696, "")</f>
        <v>0</v>
      </c>
      <c r="AL696" s="284" t="n">
        <f aca="false">IFERROR(($J696*Y696)*$L696, "")</f>
        <v>0</v>
      </c>
      <c r="AM696" s="285" t="n">
        <f aca="false">IFERROR(($J696*Z696)*$L696, "")</f>
        <v>0</v>
      </c>
      <c r="AN696" s="286" t="n">
        <f aca="false">IFERROR(SUMIF($AB$4:$AM$4, "RDEC", AB696:AM696), "")</f>
        <v>0</v>
      </c>
      <c r="AO696" s="286" t="n">
        <f aca="false">IFERROR(SUMIF($AB$4:$AM$4, "SME", AB696:AM696), "")</f>
        <v>0</v>
      </c>
      <c r="AP696" s="286" t="n">
        <f aca="false">IFERROR(SUMIF($AB$4:$AM$4, "De Minimis", AB696:AM696), "")</f>
        <v>0</v>
      </c>
      <c r="AQ696" s="283"/>
      <c r="AR696" s="284" t="n">
        <f aca="false">IFERROR(($J696*O696)*$M696, "")</f>
        <v>0</v>
      </c>
      <c r="AS696" s="284" t="n">
        <f aca="false">IFERROR(($J696*P696)*$M696, "")</f>
        <v>0</v>
      </c>
      <c r="AT696" s="284" t="n">
        <f aca="false">IFERROR(($J696*Q696)*$M696, "")</f>
        <v>0</v>
      </c>
      <c r="AU696" s="284" t="n">
        <f aca="false">IFERROR(($J696*R696)*$M696, "")</f>
        <v>0</v>
      </c>
      <c r="AV696" s="284" t="n">
        <f aca="false">IFERROR(($J696*S696)*$M696, "")</f>
        <v>0</v>
      </c>
      <c r="AW696" s="284" t="n">
        <f aca="false">IFERROR(($J696*T696)*$M696, "")</f>
        <v>0</v>
      </c>
      <c r="AX696" s="284" t="n">
        <f aca="false">IFERROR(($J696*U696)*$M696, "")</f>
        <v>0</v>
      </c>
      <c r="AY696" s="284" t="n">
        <f aca="false">IFERROR(($J696*V696)*$M696, "")</f>
        <v>0</v>
      </c>
      <c r="AZ696" s="284" t="n">
        <f aca="false">IFERROR(($J696*W696)*$M696, "")</f>
        <v>0</v>
      </c>
      <c r="BA696" s="284" t="n">
        <f aca="false">IFERROR(($J696*X696)*$M696, "")</f>
        <v>0</v>
      </c>
      <c r="BB696" s="284" t="n">
        <f aca="false">IFERROR(($J696*Y696)*$M696, "")</f>
        <v>0</v>
      </c>
      <c r="BC696" s="285" t="n">
        <f aca="false">IFERROR(($J696*Z696)*$M696, "")</f>
        <v>0</v>
      </c>
      <c r="BD696" s="286" t="n">
        <f aca="false">IFERROR(SUMIF($AB$4:$AM$4, "RDEC", AR696:BC696), "")</f>
        <v>0</v>
      </c>
      <c r="BE696" s="286" t="n">
        <f aca="false">IFERROR(SUMIF($AB$4:$AM$4, "SME", AR696:BC696), "")</f>
        <v>0</v>
      </c>
      <c r="BF696" s="286" t="n">
        <f aca="false">IFERROR(SUMIF($AB$4:$AM$4, "De Minimis", AR696:BC696), "")</f>
        <v>0</v>
      </c>
      <c r="BG696" s="287"/>
      <c r="BH696" s="288" t="str">
        <f aca="false">IF((SUM(O696:Z696)&gt;1),"ERROR","")</f>
        <v/>
      </c>
      <c r="BI696" s="287"/>
      <c r="BJ696" s="18" t="str">
        <f aca="false">IF(C682&gt;0, C682, "")</f>
        <v/>
      </c>
      <c r="BL696" s="200"/>
      <c r="BM696" s="200"/>
      <c r="BN696" s="200"/>
    </row>
    <row r="697" customFormat="false" ht="15" hidden="false" customHeight="true" outlineLevel="0" collapsed="false">
      <c r="B697" s="275"/>
      <c r="D697" s="276" t="n">
        <f aca="false">D681</f>
        <v>45323</v>
      </c>
      <c r="E697" s="277" t="n">
        <v>0</v>
      </c>
      <c r="F697" s="277" t="n">
        <v>0</v>
      </c>
      <c r="G697" s="277" t="n">
        <v>0</v>
      </c>
      <c r="H697" s="277" t="n">
        <v>0</v>
      </c>
      <c r="I697" s="277" t="n">
        <v>0</v>
      </c>
      <c r="J697" s="278" t="n">
        <f aca="false">E697+H697+I697</f>
        <v>0</v>
      </c>
      <c r="K697" s="204"/>
      <c r="L697" s="279" t="n">
        <v>1</v>
      </c>
      <c r="M697" s="280" t="n">
        <f aca="false">1-L697</f>
        <v>0</v>
      </c>
      <c r="N697" s="281"/>
      <c r="O697" s="282"/>
      <c r="P697" s="282"/>
      <c r="Q697" s="282"/>
      <c r="R697" s="282"/>
      <c r="S697" s="282"/>
      <c r="T697" s="282"/>
      <c r="U697" s="282"/>
      <c r="V697" s="282"/>
      <c r="W697" s="282"/>
      <c r="X697" s="282"/>
      <c r="Y697" s="282"/>
      <c r="Z697" s="282"/>
      <c r="AA697" s="283"/>
      <c r="AB697" s="284" t="n">
        <f aca="false">IFERROR(($J697*O697)*$L697, "")</f>
        <v>0</v>
      </c>
      <c r="AC697" s="284" t="n">
        <f aca="false">IFERROR(($J697*P697)*$L697, "")</f>
        <v>0</v>
      </c>
      <c r="AD697" s="284" t="n">
        <f aca="false">IFERROR(($J697*Q697)*$L697, "")</f>
        <v>0</v>
      </c>
      <c r="AE697" s="284" t="n">
        <f aca="false">IFERROR(($J697*R697)*$L697, "")</f>
        <v>0</v>
      </c>
      <c r="AF697" s="284" t="n">
        <f aca="false">IFERROR(($J697*S697)*$L697, "")</f>
        <v>0</v>
      </c>
      <c r="AG697" s="284" t="n">
        <f aca="false">IFERROR(($J697*T697)*$L697, "")</f>
        <v>0</v>
      </c>
      <c r="AH697" s="284" t="n">
        <f aca="false">IFERROR(($J697*U697)*$L697, "")</f>
        <v>0</v>
      </c>
      <c r="AI697" s="284" t="n">
        <f aca="false">IFERROR(($J697*V697)*$L697, "")</f>
        <v>0</v>
      </c>
      <c r="AJ697" s="284" t="n">
        <f aca="false">IFERROR(($J697*W697)*$L697, "")</f>
        <v>0</v>
      </c>
      <c r="AK697" s="284" t="n">
        <f aca="false">IFERROR(($J697*X697)*$L697, "")</f>
        <v>0</v>
      </c>
      <c r="AL697" s="284" t="n">
        <f aca="false">IFERROR(($J697*Y697)*$L697, "")</f>
        <v>0</v>
      </c>
      <c r="AM697" s="285" t="n">
        <f aca="false">IFERROR(($J697*Z697)*$L697, "")</f>
        <v>0</v>
      </c>
      <c r="AN697" s="286" t="n">
        <f aca="false">IFERROR(SUMIF($AB$4:$AM$4, "RDEC", AB697:AM697), "")</f>
        <v>0</v>
      </c>
      <c r="AO697" s="286" t="n">
        <f aca="false">IFERROR(SUMIF($AB$4:$AM$4, "SME", AB697:AM697), "")</f>
        <v>0</v>
      </c>
      <c r="AP697" s="286" t="n">
        <f aca="false">IFERROR(SUMIF($AB$4:$AM$4, "De Minimis", AB697:AM697), "")</f>
        <v>0</v>
      </c>
      <c r="AQ697" s="283"/>
      <c r="AR697" s="284" t="n">
        <f aca="false">IFERROR(($J697*O697)*$M697, "")</f>
        <v>0</v>
      </c>
      <c r="AS697" s="284" t="n">
        <f aca="false">IFERROR(($J697*P697)*$M697, "")</f>
        <v>0</v>
      </c>
      <c r="AT697" s="284" t="n">
        <f aca="false">IFERROR(($J697*Q697)*$M697, "")</f>
        <v>0</v>
      </c>
      <c r="AU697" s="284" t="n">
        <f aca="false">IFERROR(($J697*R697)*$M697, "")</f>
        <v>0</v>
      </c>
      <c r="AV697" s="284" t="n">
        <f aca="false">IFERROR(($J697*S697)*$M697, "")</f>
        <v>0</v>
      </c>
      <c r="AW697" s="284" t="n">
        <f aca="false">IFERROR(($J697*T697)*$M697, "")</f>
        <v>0</v>
      </c>
      <c r="AX697" s="284" t="n">
        <f aca="false">IFERROR(($J697*U697)*$M697, "")</f>
        <v>0</v>
      </c>
      <c r="AY697" s="284" t="n">
        <f aca="false">IFERROR(($J697*V697)*$M697, "")</f>
        <v>0</v>
      </c>
      <c r="AZ697" s="284" t="n">
        <f aca="false">IFERROR(($J697*W697)*$M697, "")</f>
        <v>0</v>
      </c>
      <c r="BA697" s="284" t="n">
        <f aca="false">IFERROR(($J697*X697)*$M697, "")</f>
        <v>0</v>
      </c>
      <c r="BB697" s="284" t="n">
        <f aca="false">IFERROR(($J697*Y697)*$M697, "")</f>
        <v>0</v>
      </c>
      <c r="BC697" s="285" t="n">
        <f aca="false">IFERROR(($J697*Z697)*$M697, "")</f>
        <v>0</v>
      </c>
      <c r="BD697" s="286" t="n">
        <f aca="false">IFERROR(SUMIF($AB$4:$AM$4, "RDEC", AR697:BC697), "")</f>
        <v>0</v>
      </c>
      <c r="BE697" s="286" t="n">
        <f aca="false">IFERROR(SUMIF($AB$4:$AM$4, "SME", AR697:BC697), "")</f>
        <v>0</v>
      </c>
      <c r="BF697" s="286" t="n">
        <f aca="false">IFERROR(SUMIF($AB$4:$AM$4, "De Minimis", AR697:BC697), "")</f>
        <v>0</v>
      </c>
      <c r="BG697" s="287"/>
      <c r="BH697" s="288" t="str">
        <f aca="false">IF((SUM(O697:Z697)&gt;1),"ERROR","")</f>
        <v/>
      </c>
      <c r="BI697" s="287"/>
      <c r="BJ697" s="18" t="str">
        <f aca="false">IF(C683&gt;0, C683, "")</f>
        <v/>
      </c>
      <c r="BL697" s="200"/>
      <c r="BM697" s="200"/>
      <c r="BN697" s="200"/>
    </row>
    <row r="698" customFormat="false" ht="15" hidden="false" customHeight="true" outlineLevel="0" collapsed="false">
      <c r="B698" s="275"/>
      <c r="D698" s="276" t="n">
        <f aca="false">D682</f>
        <v>45352</v>
      </c>
      <c r="E698" s="277" t="n">
        <v>0</v>
      </c>
      <c r="F698" s="277" t="n">
        <v>0</v>
      </c>
      <c r="G698" s="277" t="n">
        <v>0</v>
      </c>
      <c r="H698" s="277" t="n">
        <v>0</v>
      </c>
      <c r="I698" s="277" t="n">
        <v>0</v>
      </c>
      <c r="J698" s="278" t="n">
        <f aca="false">E698+H698+I698</f>
        <v>0</v>
      </c>
      <c r="K698" s="204"/>
      <c r="L698" s="279" t="n">
        <v>1</v>
      </c>
      <c r="M698" s="280" t="n">
        <f aca="false">1-L698</f>
        <v>0</v>
      </c>
      <c r="N698" s="281"/>
      <c r="O698" s="282"/>
      <c r="P698" s="282"/>
      <c r="Q698" s="282"/>
      <c r="R698" s="282"/>
      <c r="S698" s="282"/>
      <c r="T698" s="282"/>
      <c r="U698" s="282"/>
      <c r="V698" s="282"/>
      <c r="W698" s="282"/>
      <c r="X698" s="282"/>
      <c r="Y698" s="282"/>
      <c r="Z698" s="282"/>
      <c r="AA698" s="283"/>
      <c r="AB698" s="284" t="n">
        <f aca="false">IFERROR(($J698*O698)*$L698, "")</f>
        <v>0</v>
      </c>
      <c r="AC698" s="284" t="n">
        <f aca="false">IFERROR(($J698*P698)*$L698, "")</f>
        <v>0</v>
      </c>
      <c r="AD698" s="284" t="n">
        <f aca="false">IFERROR(($J698*Q698)*$L698, "")</f>
        <v>0</v>
      </c>
      <c r="AE698" s="284" t="n">
        <f aca="false">IFERROR(($J698*R698)*$L698, "")</f>
        <v>0</v>
      </c>
      <c r="AF698" s="284" t="n">
        <f aca="false">IFERROR(($J698*S698)*$L698, "")</f>
        <v>0</v>
      </c>
      <c r="AG698" s="284" t="n">
        <f aca="false">IFERROR(($J698*T698)*$L698, "")</f>
        <v>0</v>
      </c>
      <c r="AH698" s="284" t="n">
        <f aca="false">IFERROR(($J698*U698)*$L698, "")</f>
        <v>0</v>
      </c>
      <c r="AI698" s="284" t="n">
        <f aca="false">IFERROR(($J698*V698)*$L698, "")</f>
        <v>0</v>
      </c>
      <c r="AJ698" s="284" t="n">
        <f aca="false">IFERROR(($J698*W698)*$L698, "")</f>
        <v>0</v>
      </c>
      <c r="AK698" s="284" t="n">
        <f aca="false">IFERROR(($J698*X698)*$L698, "")</f>
        <v>0</v>
      </c>
      <c r="AL698" s="284" t="n">
        <f aca="false">IFERROR(($J698*Y698)*$L698, "")</f>
        <v>0</v>
      </c>
      <c r="AM698" s="285" t="n">
        <f aca="false">IFERROR(($J698*Z698)*$L698, "")</f>
        <v>0</v>
      </c>
      <c r="AN698" s="286" t="n">
        <f aca="false">IFERROR(SUMIF($AB$4:$AM$4, "RDEC", AB698:AM698), "")</f>
        <v>0</v>
      </c>
      <c r="AO698" s="286" t="n">
        <f aca="false">IFERROR(SUMIF($AB$4:$AM$4, "SME", AB698:AM698), "")</f>
        <v>0</v>
      </c>
      <c r="AP698" s="286" t="n">
        <f aca="false">IFERROR(SUMIF($AB$4:$AM$4, "De Minimis", AB698:AM698), "")</f>
        <v>0</v>
      </c>
      <c r="AQ698" s="283"/>
      <c r="AR698" s="284" t="n">
        <f aca="false">IFERROR(($J698*O698)*$M698, "")</f>
        <v>0</v>
      </c>
      <c r="AS698" s="284" t="n">
        <f aca="false">IFERROR(($J698*P698)*$M698, "")</f>
        <v>0</v>
      </c>
      <c r="AT698" s="284" t="n">
        <f aca="false">IFERROR(($J698*Q698)*$M698, "")</f>
        <v>0</v>
      </c>
      <c r="AU698" s="284" t="n">
        <f aca="false">IFERROR(($J698*R698)*$M698, "")</f>
        <v>0</v>
      </c>
      <c r="AV698" s="284" t="n">
        <f aca="false">IFERROR(($J698*S698)*$M698, "")</f>
        <v>0</v>
      </c>
      <c r="AW698" s="284" t="n">
        <f aca="false">IFERROR(($J698*T698)*$M698, "")</f>
        <v>0</v>
      </c>
      <c r="AX698" s="284" t="n">
        <f aca="false">IFERROR(($J698*U698)*$M698, "")</f>
        <v>0</v>
      </c>
      <c r="AY698" s="284" t="n">
        <f aca="false">IFERROR(($J698*V698)*$M698, "")</f>
        <v>0</v>
      </c>
      <c r="AZ698" s="284" t="n">
        <f aca="false">IFERROR(($J698*W698)*$M698, "")</f>
        <v>0</v>
      </c>
      <c r="BA698" s="284" t="n">
        <f aca="false">IFERROR(($J698*X698)*$M698, "")</f>
        <v>0</v>
      </c>
      <c r="BB698" s="284" t="n">
        <f aca="false">IFERROR(($J698*Y698)*$M698, "")</f>
        <v>0</v>
      </c>
      <c r="BC698" s="285" t="n">
        <f aca="false">IFERROR(($J698*Z698)*$M698, "")</f>
        <v>0</v>
      </c>
      <c r="BD698" s="286" t="n">
        <f aca="false">IFERROR(SUMIF($AB$4:$AM$4, "RDEC", AR698:BC698), "")</f>
        <v>0</v>
      </c>
      <c r="BE698" s="286" t="n">
        <f aca="false">IFERROR(SUMIF($AB$4:$AM$4, "SME", AR698:BC698), "")</f>
        <v>0</v>
      </c>
      <c r="BF698" s="286" t="n">
        <f aca="false">IFERROR(SUMIF($AB$4:$AM$4, "De Minimis", AR698:BC698), "")</f>
        <v>0</v>
      </c>
      <c r="BG698" s="287"/>
      <c r="BH698" s="288" t="str">
        <f aca="false">IF((SUM(O698:Z698)&gt;1),"ERROR","")</f>
        <v/>
      </c>
      <c r="BI698" s="287"/>
      <c r="BJ698" s="18" t="str">
        <f aca="false">IF(C684&gt;0, C684, "")</f>
        <v/>
      </c>
      <c r="BL698" s="200"/>
      <c r="BM698" s="200"/>
      <c r="BN698" s="200"/>
    </row>
    <row r="699" customFormat="false" ht="15" hidden="false" customHeight="true" outlineLevel="0" collapsed="false">
      <c r="B699" s="275"/>
      <c r="D699" s="276" t="n">
        <f aca="false">D683</f>
        <v>45383</v>
      </c>
      <c r="E699" s="277" t="n">
        <v>0</v>
      </c>
      <c r="F699" s="277" t="n">
        <v>0</v>
      </c>
      <c r="G699" s="277" t="n">
        <v>0</v>
      </c>
      <c r="H699" s="277" t="n">
        <v>0</v>
      </c>
      <c r="I699" s="277" t="n">
        <v>0</v>
      </c>
      <c r="J699" s="278" t="n">
        <f aca="false">E699+H699+I699</f>
        <v>0</v>
      </c>
      <c r="K699" s="204"/>
      <c r="L699" s="279" t="n">
        <v>1</v>
      </c>
      <c r="M699" s="280" t="n">
        <f aca="false">1-L699</f>
        <v>0</v>
      </c>
      <c r="N699" s="281"/>
      <c r="O699" s="282"/>
      <c r="P699" s="282"/>
      <c r="Q699" s="282"/>
      <c r="R699" s="282"/>
      <c r="S699" s="282"/>
      <c r="T699" s="282"/>
      <c r="U699" s="282"/>
      <c r="V699" s="282"/>
      <c r="W699" s="282"/>
      <c r="X699" s="282"/>
      <c r="Y699" s="282"/>
      <c r="Z699" s="282"/>
      <c r="AA699" s="283"/>
      <c r="AB699" s="284" t="n">
        <f aca="false">IFERROR(($J699*O699)*$L699, "")</f>
        <v>0</v>
      </c>
      <c r="AC699" s="284" t="n">
        <f aca="false">IFERROR(($J699*P699)*$L699, "")</f>
        <v>0</v>
      </c>
      <c r="AD699" s="284" t="n">
        <f aca="false">IFERROR(($J699*Q699)*$L699, "")</f>
        <v>0</v>
      </c>
      <c r="AE699" s="284" t="n">
        <f aca="false">IFERROR(($J699*R699)*$L699, "")</f>
        <v>0</v>
      </c>
      <c r="AF699" s="284" t="n">
        <f aca="false">IFERROR(($J699*S699)*$L699, "")</f>
        <v>0</v>
      </c>
      <c r="AG699" s="284" t="n">
        <f aca="false">IFERROR(($J699*T699)*$L699, "")</f>
        <v>0</v>
      </c>
      <c r="AH699" s="284" t="n">
        <f aca="false">IFERROR(($J699*U699)*$L699, "")</f>
        <v>0</v>
      </c>
      <c r="AI699" s="284" t="n">
        <f aca="false">IFERROR(($J699*V699)*$L699, "")</f>
        <v>0</v>
      </c>
      <c r="AJ699" s="284" t="n">
        <f aca="false">IFERROR(($J699*W699)*$L699, "")</f>
        <v>0</v>
      </c>
      <c r="AK699" s="284" t="n">
        <f aca="false">IFERROR(($J699*X699)*$L699, "")</f>
        <v>0</v>
      </c>
      <c r="AL699" s="284" t="n">
        <f aca="false">IFERROR(($J699*Y699)*$L699, "")</f>
        <v>0</v>
      </c>
      <c r="AM699" s="285" t="n">
        <f aca="false">IFERROR(($J699*Z699)*$L699, "")</f>
        <v>0</v>
      </c>
      <c r="AN699" s="286" t="n">
        <f aca="false">IFERROR(SUMIF($AB$4:$AM$4, "RDEC", AB699:AM699), "")</f>
        <v>0</v>
      </c>
      <c r="AO699" s="286" t="n">
        <f aca="false">IFERROR(SUMIF($AB$4:$AM$4, "SME", AB699:AM699), "")</f>
        <v>0</v>
      </c>
      <c r="AP699" s="286" t="n">
        <f aca="false">IFERROR(SUMIF($AB$4:$AM$4, "De Minimis", AB699:AM699), "")</f>
        <v>0</v>
      </c>
      <c r="AQ699" s="283"/>
      <c r="AR699" s="284" t="n">
        <f aca="false">IFERROR(($J699*O699)*$M699, "")</f>
        <v>0</v>
      </c>
      <c r="AS699" s="284" t="n">
        <f aca="false">IFERROR(($J699*P699)*$M699, "")</f>
        <v>0</v>
      </c>
      <c r="AT699" s="284" t="n">
        <f aca="false">IFERROR(($J699*Q699)*$M699, "")</f>
        <v>0</v>
      </c>
      <c r="AU699" s="284" t="n">
        <f aca="false">IFERROR(($J699*R699)*$M699, "")</f>
        <v>0</v>
      </c>
      <c r="AV699" s="284" t="n">
        <f aca="false">IFERROR(($J699*S699)*$M699, "")</f>
        <v>0</v>
      </c>
      <c r="AW699" s="284" t="n">
        <f aca="false">IFERROR(($J699*T699)*$M699, "")</f>
        <v>0</v>
      </c>
      <c r="AX699" s="284" t="n">
        <f aca="false">IFERROR(($J699*U699)*$M699, "")</f>
        <v>0</v>
      </c>
      <c r="AY699" s="284" t="n">
        <f aca="false">IFERROR(($J699*V699)*$M699, "")</f>
        <v>0</v>
      </c>
      <c r="AZ699" s="284" t="n">
        <f aca="false">IFERROR(($J699*W699)*$M699, "")</f>
        <v>0</v>
      </c>
      <c r="BA699" s="284" t="n">
        <f aca="false">IFERROR(($J699*X699)*$M699, "")</f>
        <v>0</v>
      </c>
      <c r="BB699" s="284" t="n">
        <f aca="false">IFERROR(($J699*Y699)*$M699, "")</f>
        <v>0</v>
      </c>
      <c r="BC699" s="285" t="n">
        <f aca="false">IFERROR(($J699*Z699)*$M699, "")</f>
        <v>0</v>
      </c>
      <c r="BD699" s="286" t="n">
        <f aca="false">IFERROR(SUMIF($AB$4:$AM$4, "RDEC", AR699:BC699), "")</f>
        <v>0</v>
      </c>
      <c r="BE699" s="286" t="n">
        <f aca="false">IFERROR(SUMIF($AB$4:$AM$4, "SME", AR699:BC699), "")</f>
        <v>0</v>
      </c>
      <c r="BF699" s="286" t="n">
        <f aca="false">IFERROR(SUMIF($AB$4:$AM$4, "De Minimis", AR699:BC699), "")</f>
        <v>0</v>
      </c>
      <c r="BG699" s="287"/>
      <c r="BH699" s="288" t="str">
        <f aca="false">IF((SUM(O699:Z699)&gt;1),"ERROR","")</f>
        <v/>
      </c>
      <c r="BI699" s="287"/>
      <c r="BJ699" s="18" t="str">
        <f aca="false">IF(C685&gt;0, C685, "")</f>
        <v/>
      </c>
      <c r="BL699" s="200"/>
      <c r="BM699" s="200"/>
      <c r="BN699" s="200"/>
    </row>
    <row r="700" customFormat="false" ht="15" hidden="false" customHeight="true" outlineLevel="0" collapsed="false">
      <c r="B700" s="275"/>
      <c r="D700" s="276" t="n">
        <f aca="false">D684</f>
        <v>45413</v>
      </c>
      <c r="E700" s="277" t="n">
        <v>0</v>
      </c>
      <c r="F700" s="277" t="n">
        <v>0</v>
      </c>
      <c r="G700" s="277" t="n">
        <v>0</v>
      </c>
      <c r="H700" s="277" t="n">
        <v>0</v>
      </c>
      <c r="I700" s="277" t="n">
        <v>0</v>
      </c>
      <c r="J700" s="278" t="n">
        <f aca="false">E700+H700+I700</f>
        <v>0</v>
      </c>
      <c r="K700" s="204"/>
      <c r="L700" s="279" t="n">
        <v>1</v>
      </c>
      <c r="M700" s="280" t="n">
        <f aca="false">1-L700</f>
        <v>0</v>
      </c>
      <c r="N700" s="281"/>
      <c r="O700" s="282"/>
      <c r="P700" s="282"/>
      <c r="Q700" s="282"/>
      <c r="R700" s="282"/>
      <c r="S700" s="282"/>
      <c r="T700" s="282"/>
      <c r="U700" s="282"/>
      <c r="V700" s="282"/>
      <c r="W700" s="282"/>
      <c r="X700" s="282"/>
      <c r="Y700" s="282"/>
      <c r="Z700" s="282"/>
      <c r="AA700" s="283"/>
      <c r="AB700" s="284" t="n">
        <f aca="false">IFERROR(($J700*O700)*$L700, "")</f>
        <v>0</v>
      </c>
      <c r="AC700" s="284" t="n">
        <f aca="false">IFERROR(($J700*P700)*$L700, "")</f>
        <v>0</v>
      </c>
      <c r="AD700" s="284" t="n">
        <f aca="false">IFERROR(($J700*Q700)*$L700, "")</f>
        <v>0</v>
      </c>
      <c r="AE700" s="284" t="n">
        <f aca="false">IFERROR(($J700*R700)*$L700, "")</f>
        <v>0</v>
      </c>
      <c r="AF700" s="284" t="n">
        <f aca="false">IFERROR(($J700*S700)*$L700, "")</f>
        <v>0</v>
      </c>
      <c r="AG700" s="284" t="n">
        <f aca="false">IFERROR(($J700*T700)*$L700, "")</f>
        <v>0</v>
      </c>
      <c r="AH700" s="284" t="n">
        <f aca="false">IFERROR(($J700*U700)*$L700, "")</f>
        <v>0</v>
      </c>
      <c r="AI700" s="284" t="n">
        <f aca="false">IFERROR(($J700*V700)*$L700, "")</f>
        <v>0</v>
      </c>
      <c r="AJ700" s="284" t="n">
        <f aca="false">IFERROR(($J700*W700)*$L700, "")</f>
        <v>0</v>
      </c>
      <c r="AK700" s="284" t="n">
        <f aca="false">IFERROR(($J700*X700)*$L700, "")</f>
        <v>0</v>
      </c>
      <c r="AL700" s="284" t="n">
        <f aca="false">IFERROR(($J700*Y700)*$L700, "")</f>
        <v>0</v>
      </c>
      <c r="AM700" s="285" t="n">
        <f aca="false">IFERROR(($J700*Z700)*$L700, "")</f>
        <v>0</v>
      </c>
      <c r="AN700" s="286" t="n">
        <f aca="false">IFERROR(SUMIF($AB$4:$AM$4, "RDEC", AB700:AM700), "")</f>
        <v>0</v>
      </c>
      <c r="AO700" s="286" t="n">
        <f aca="false">IFERROR(SUMIF($AB$4:$AM$4, "SME", AB700:AM700), "")</f>
        <v>0</v>
      </c>
      <c r="AP700" s="286" t="n">
        <f aca="false">IFERROR(SUMIF($AB$4:$AM$4, "De Minimis", AB700:AM700), "")</f>
        <v>0</v>
      </c>
      <c r="AQ700" s="283"/>
      <c r="AR700" s="284" t="n">
        <f aca="false">IFERROR(($J700*O700)*$M700, "")</f>
        <v>0</v>
      </c>
      <c r="AS700" s="284" t="n">
        <f aca="false">IFERROR(($J700*P700)*$M700, "")</f>
        <v>0</v>
      </c>
      <c r="AT700" s="284" t="n">
        <f aca="false">IFERROR(($J700*Q700)*$M700, "")</f>
        <v>0</v>
      </c>
      <c r="AU700" s="284" t="n">
        <f aca="false">IFERROR(($J700*R700)*$M700, "")</f>
        <v>0</v>
      </c>
      <c r="AV700" s="284" t="n">
        <f aca="false">IFERROR(($J700*S700)*$M700, "")</f>
        <v>0</v>
      </c>
      <c r="AW700" s="284" t="n">
        <f aca="false">IFERROR(($J700*T700)*$M700, "")</f>
        <v>0</v>
      </c>
      <c r="AX700" s="284" t="n">
        <f aca="false">IFERROR(($J700*U700)*$M700, "")</f>
        <v>0</v>
      </c>
      <c r="AY700" s="284" t="n">
        <f aca="false">IFERROR(($J700*V700)*$M700, "")</f>
        <v>0</v>
      </c>
      <c r="AZ700" s="284" t="n">
        <f aca="false">IFERROR(($J700*W700)*$M700, "")</f>
        <v>0</v>
      </c>
      <c r="BA700" s="284" t="n">
        <f aca="false">IFERROR(($J700*X700)*$M700, "")</f>
        <v>0</v>
      </c>
      <c r="BB700" s="284" t="n">
        <f aca="false">IFERROR(($J700*Y700)*$M700, "")</f>
        <v>0</v>
      </c>
      <c r="BC700" s="285" t="n">
        <f aca="false">IFERROR(($J700*Z700)*$M700, "")</f>
        <v>0</v>
      </c>
      <c r="BD700" s="286" t="n">
        <f aca="false">IFERROR(SUMIF($AB$4:$AM$4, "RDEC", AR700:BC700), "")</f>
        <v>0</v>
      </c>
      <c r="BE700" s="286" t="n">
        <f aca="false">IFERROR(SUMIF($AB$4:$AM$4, "SME", AR700:BC700), "")</f>
        <v>0</v>
      </c>
      <c r="BF700" s="286" t="n">
        <f aca="false">IFERROR(SUMIF($AB$4:$AM$4, "De Minimis", AR700:BC700), "")</f>
        <v>0</v>
      </c>
      <c r="BG700" s="287"/>
      <c r="BH700" s="288" t="str">
        <f aca="false">IF((SUM(O700:Z700)&gt;1),"ERROR","")</f>
        <v/>
      </c>
      <c r="BI700" s="287"/>
      <c r="BJ700" s="18" t="str">
        <f aca="false">IF(C686&gt;0, C686, "")</f>
        <v/>
      </c>
      <c r="BL700" s="200"/>
      <c r="BM700" s="200"/>
      <c r="BN700" s="200"/>
    </row>
    <row r="701" customFormat="false" ht="15" hidden="false" customHeight="true" outlineLevel="0" collapsed="false">
      <c r="B701" s="275"/>
      <c r="D701" s="276" t="n">
        <f aca="false">D685</f>
        <v>45444</v>
      </c>
      <c r="E701" s="277" t="n">
        <v>0</v>
      </c>
      <c r="F701" s="277" t="n">
        <v>0</v>
      </c>
      <c r="G701" s="277" t="n">
        <v>0</v>
      </c>
      <c r="H701" s="277" t="n">
        <v>0</v>
      </c>
      <c r="I701" s="277" t="n">
        <v>0</v>
      </c>
      <c r="J701" s="278" t="n">
        <f aca="false">E701+H701+I701</f>
        <v>0</v>
      </c>
      <c r="K701" s="204"/>
      <c r="L701" s="279" t="n">
        <v>1</v>
      </c>
      <c r="M701" s="280" t="n">
        <f aca="false">1-L701</f>
        <v>0</v>
      </c>
      <c r="N701" s="281"/>
      <c r="O701" s="282"/>
      <c r="P701" s="282"/>
      <c r="Q701" s="282"/>
      <c r="R701" s="282"/>
      <c r="S701" s="282"/>
      <c r="T701" s="282"/>
      <c r="U701" s="282"/>
      <c r="V701" s="282"/>
      <c r="W701" s="282"/>
      <c r="X701" s="282"/>
      <c r="Y701" s="282"/>
      <c r="Z701" s="282"/>
      <c r="AA701" s="283"/>
      <c r="AB701" s="284" t="n">
        <f aca="false">IFERROR(($J701*O701)*$L701, "")</f>
        <v>0</v>
      </c>
      <c r="AC701" s="284" t="n">
        <f aca="false">IFERROR(($J701*P701)*$L701, "")</f>
        <v>0</v>
      </c>
      <c r="AD701" s="284" t="n">
        <f aca="false">IFERROR(($J701*Q701)*$L701, "")</f>
        <v>0</v>
      </c>
      <c r="AE701" s="284" t="n">
        <f aca="false">IFERROR(($J701*R701)*$L701, "")</f>
        <v>0</v>
      </c>
      <c r="AF701" s="284" t="n">
        <f aca="false">IFERROR(($J701*S701)*$L701, "")</f>
        <v>0</v>
      </c>
      <c r="AG701" s="284" t="n">
        <f aca="false">IFERROR(($J701*T701)*$L701, "")</f>
        <v>0</v>
      </c>
      <c r="AH701" s="284" t="n">
        <f aca="false">IFERROR(($J701*U701)*$L701, "")</f>
        <v>0</v>
      </c>
      <c r="AI701" s="284" t="n">
        <f aca="false">IFERROR(($J701*V701)*$L701, "")</f>
        <v>0</v>
      </c>
      <c r="AJ701" s="284" t="n">
        <f aca="false">IFERROR(($J701*W701)*$L701, "")</f>
        <v>0</v>
      </c>
      <c r="AK701" s="284" t="n">
        <f aca="false">IFERROR(($J701*X701)*$L701, "")</f>
        <v>0</v>
      </c>
      <c r="AL701" s="284" t="n">
        <f aca="false">IFERROR(($J701*Y701)*$L701, "")</f>
        <v>0</v>
      </c>
      <c r="AM701" s="285" t="n">
        <f aca="false">IFERROR(($J701*Z701)*$L701, "")</f>
        <v>0</v>
      </c>
      <c r="AN701" s="286" t="n">
        <f aca="false">IFERROR(SUMIF($AB$4:$AM$4, "RDEC", AB701:AM701), "")</f>
        <v>0</v>
      </c>
      <c r="AO701" s="286" t="n">
        <f aca="false">IFERROR(SUMIF($AB$4:$AM$4, "SME", AB701:AM701), "")</f>
        <v>0</v>
      </c>
      <c r="AP701" s="286" t="n">
        <f aca="false">IFERROR(SUMIF($AB$4:$AM$4, "De Minimis", AB701:AM701), "")</f>
        <v>0</v>
      </c>
      <c r="AQ701" s="283"/>
      <c r="AR701" s="284" t="n">
        <f aca="false">IFERROR(($J701*O701)*$M701, "")</f>
        <v>0</v>
      </c>
      <c r="AS701" s="284" t="n">
        <f aca="false">IFERROR(($J701*P701)*$M701, "")</f>
        <v>0</v>
      </c>
      <c r="AT701" s="284" t="n">
        <f aca="false">IFERROR(($J701*Q701)*$M701, "")</f>
        <v>0</v>
      </c>
      <c r="AU701" s="284" t="n">
        <f aca="false">IFERROR(($J701*R701)*$M701, "")</f>
        <v>0</v>
      </c>
      <c r="AV701" s="284" t="n">
        <f aca="false">IFERROR(($J701*S701)*$M701, "")</f>
        <v>0</v>
      </c>
      <c r="AW701" s="284" t="n">
        <f aca="false">IFERROR(($J701*T701)*$M701, "")</f>
        <v>0</v>
      </c>
      <c r="AX701" s="284" t="n">
        <f aca="false">IFERROR(($J701*U701)*$M701, "")</f>
        <v>0</v>
      </c>
      <c r="AY701" s="284" t="n">
        <f aca="false">IFERROR(($J701*V701)*$M701, "")</f>
        <v>0</v>
      </c>
      <c r="AZ701" s="284" t="n">
        <f aca="false">IFERROR(($J701*W701)*$M701, "")</f>
        <v>0</v>
      </c>
      <c r="BA701" s="284" t="n">
        <f aca="false">IFERROR(($J701*X701)*$M701, "")</f>
        <v>0</v>
      </c>
      <c r="BB701" s="284" t="n">
        <f aca="false">IFERROR(($J701*Y701)*$M701, "")</f>
        <v>0</v>
      </c>
      <c r="BC701" s="285" t="n">
        <f aca="false">IFERROR(($J701*Z701)*$M701, "")</f>
        <v>0</v>
      </c>
      <c r="BD701" s="286" t="n">
        <f aca="false">IFERROR(SUMIF($AB$4:$AM$4, "RDEC", AR701:BC701), "")</f>
        <v>0</v>
      </c>
      <c r="BE701" s="286" t="n">
        <f aca="false">IFERROR(SUMIF($AB$4:$AM$4, "SME", AR701:BC701), "")</f>
        <v>0</v>
      </c>
      <c r="BF701" s="286" t="n">
        <f aca="false">IFERROR(SUMIF($AB$4:$AM$4, "De Minimis", AR701:BC701), "")</f>
        <v>0</v>
      </c>
      <c r="BG701" s="287"/>
      <c r="BH701" s="288" t="str">
        <f aca="false">IF((SUM(O701:Z701)&gt;1),"ERROR","")</f>
        <v/>
      </c>
      <c r="BI701" s="287"/>
      <c r="BJ701" s="18" t="str">
        <f aca="false">IF(C687&gt;0, C687, "")</f>
        <v/>
      </c>
      <c r="BL701" s="200"/>
      <c r="BM701" s="200"/>
      <c r="BN701" s="200"/>
    </row>
    <row r="702" customFormat="false" ht="15" hidden="false" customHeight="true" outlineLevel="0" collapsed="false">
      <c r="B702" s="275"/>
      <c r="D702" s="276" t="n">
        <f aca="false">D686</f>
        <v>45474</v>
      </c>
      <c r="E702" s="277" t="n">
        <v>0</v>
      </c>
      <c r="F702" s="277" t="n">
        <v>0</v>
      </c>
      <c r="G702" s="277" t="n">
        <v>0</v>
      </c>
      <c r="H702" s="277" t="n">
        <v>0</v>
      </c>
      <c r="I702" s="277" t="n">
        <v>0</v>
      </c>
      <c r="J702" s="278" t="n">
        <f aca="false">E702+H702+I702</f>
        <v>0</v>
      </c>
      <c r="K702" s="204"/>
      <c r="L702" s="279" t="n">
        <v>1</v>
      </c>
      <c r="M702" s="280" t="n">
        <f aca="false">1-L702</f>
        <v>0</v>
      </c>
      <c r="N702" s="281"/>
      <c r="O702" s="282"/>
      <c r="P702" s="282"/>
      <c r="Q702" s="282"/>
      <c r="R702" s="282"/>
      <c r="S702" s="282"/>
      <c r="T702" s="282"/>
      <c r="U702" s="282"/>
      <c r="V702" s="282"/>
      <c r="W702" s="282"/>
      <c r="X702" s="282"/>
      <c r="Y702" s="282"/>
      <c r="Z702" s="282"/>
      <c r="AA702" s="283"/>
      <c r="AB702" s="284" t="n">
        <f aca="false">IFERROR(($J702*O702)*$L702, "")</f>
        <v>0</v>
      </c>
      <c r="AC702" s="284" t="n">
        <f aca="false">IFERROR(($J702*P702)*$L702, "")</f>
        <v>0</v>
      </c>
      <c r="AD702" s="284" t="n">
        <f aca="false">IFERROR(($J702*Q702)*$L702, "")</f>
        <v>0</v>
      </c>
      <c r="AE702" s="284" t="n">
        <f aca="false">IFERROR(($J702*R702)*$L702, "")</f>
        <v>0</v>
      </c>
      <c r="AF702" s="284" t="n">
        <f aca="false">IFERROR(($J702*S702)*$L702, "")</f>
        <v>0</v>
      </c>
      <c r="AG702" s="284" t="n">
        <f aca="false">IFERROR(($J702*T702)*$L702, "")</f>
        <v>0</v>
      </c>
      <c r="AH702" s="284" t="n">
        <f aca="false">IFERROR(($J702*U702)*$L702, "")</f>
        <v>0</v>
      </c>
      <c r="AI702" s="284" t="n">
        <f aca="false">IFERROR(($J702*V702)*$L702, "")</f>
        <v>0</v>
      </c>
      <c r="AJ702" s="284" t="n">
        <f aca="false">IFERROR(($J702*W702)*$L702, "")</f>
        <v>0</v>
      </c>
      <c r="AK702" s="284" t="n">
        <f aca="false">IFERROR(($J702*X702)*$L702, "")</f>
        <v>0</v>
      </c>
      <c r="AL702" s="284" t="n">
        <f aca="false">IFERROR(($J702*Y702)*$L702, "")</f>
        <v>0</v>
      </c>
      <c r="AM702" s="285" t="n">
        <f aca="false">IFERROR(($J702*Z702)*$L702, "")</f>
        <v>0</v>
      </c>
      <c r="AN702" s="286" t="n">
        <f aca="false">IFERROR(SUMIF($AB$4:$AM$4, "RDEC", AB702:AM702), "")</f>
        <v>0</v>
      </c>
      <c r="AO702" s="286" t="n">
        <f aca="false">IFERROR(SUMIF($AB$4:$AM$4, "SME", AB702:AM702), "")</f>
        <v>0</v>
      </c>
      <c r="AP702" s="286" t="n">
        <f aca="false">IFERROR(SUMIF($AB$4:$AM$4, "De Minimis", AB702:AM702), "")</f>
        <v>0</v>
      </c>
      <c r="AQ702" s="283"/>
      <c r="AR702" s="284" t="n">
        <f aca="false">IFERROR(($J702*O702)*$M702, "")</f>
        <v>0</v>
      </c>
      <c r="AS702" s="284" t="n">
        <f aca="false">IFERROR(($J702*P702)*$M702, "")</f>
        <v>0</v>
      </c>
      <c r="AT702" s="284" t="n">
        <f aca="false">IFERROR(($J702*Q702)*$M702, "")</f>
        <v>0</v>
      </c>
      <c r="AU702" s="284" t="n">
        <f aca="false">IFERROR(($J702*R702)*$M702, "")</f>
        <v>0</v>
      </c>
      <c r="AV702" s="284" t="n">
        <f aca="false">IFERROR(($J702*S702)*$M702, "")</f>
        <v>0</v>
      </c>
      <c r="AW702" s="284" t="n">
        <f aca="false">IFERROR(($J702*T702)*$M702, "")</f>
        <v>0</v>
      </c>
      <c r="AX702" s="284" t="n">
        <f aca="false">IFERROR(($J702*U702)*$M702, "")</f>
        <v>0</v>
      </c>
      <c r="AY702" s="284" t="n">
        <f aca="false">IFERROR(($J702*V702)*$M702, "")</f>
        <v>0</v>
      </c>
      <c r="AZ702" s="284" t="n">
        <f aca="false">IFERROR(($J702*W702)*$M702, "")</f>
        <v>0</v>
      </c>
      <c r="BA702" s="284" t="n">
        <f aca="false">IFERROR(($J702*X702)*$M702, "")</f>
        <v>0</v>
      </c>
      <c r="BB702" s="284" t="n">
        <f aca="false">IFERROR(($J702*Y702)*$M702, "")</f>
        <v>0</v>
      </c>
      <c r="BC702" s="285" t="n">
        <f aca="false">IFERROR(($J702*Z702)*$M702, "")</f>
        <v>0</v>
      </c>
      <c r="BD702" s="286" t="n">
        <f aca="false">IFERROR(SUMIF($AB$4:$AM$4, "RDEC", AR702:BC702), "")</f>
        <v>0</v>
      </c>
      <c r="BE702" s="286" t="n">
        <f aca="false">IFERROR(SUMIF($AB$4:$AM$4, "SME", AR702:BC702), "")</f>
        <v>0</v>
      </c>
      <c r="BF702" s="286" t="n">
        <f aca="false">IFERROR(SUMIF($AB$4:$AM$4, "De Minimis", AR702:BC702), "")</f>
        <v>0</v>
      </c>
      <c r="BG702" s="287"/>
      <c r="BH702" s="288" t="str">
        <f aca="false">IF((SUM(O702:Z702)&gt;1),"ERROR","")</f>
        <v/>
      </c>
      <c r="BI702" s="287"/>
      <c r="BJ702" s="18" t="str">
        <f aca="false">IF(C688&gt;0, C688, "")</f>
        <v/>
      </c>
      <c r="BL702" s="200"/>
      <c r="BM702" s="200"/>
      <c r="BN702" s="200"/>
    </row>
    <row r="703" customFormat="false" ht="15" hidden="false" customHeight="true" outlineLevel="0" collapsed="false">
      <c r="B703" s="275"/>
      <c r="D703" s="276" t="n">
        <f aca="false">D687</f>
        <v>45505</v>
      </c>
      <c r="E703" s="277" t="n">
        <v>0</v>
      </c>
      <c r="F703" s="277" t="n">
        <v>0</v>
      </c>
      <c r="G703" s="277" t="n">
        <v>0</v>
      </c>
      <c r="H703" s="277" t="n">
        <v>0</v>
      </c>
      <c r="I703" s="277" t="n">
        <v>0</v>
      </c>
      <c r="J703" s="278" t="n">
        <f aca="false">E703+H703+I703</f>
        <v>0</v>
      </c>
      <c r="K703" s="204"/>
      <c r="L703" s="279" t="n">
        <v>1</v>
      </c>
      <c r="M703" s="280" t="n">
        <f aca="false">1-L703</f>
        <v>0</v>
      </c>
      <c r="N703" s="281"/>
      <c r="O703" s="282"/>
      <c r="P703" s="282"/>
      <c r="Q703" s="282"/>
      <c r="R703" s="282"/>
      <c r="S703" s="282"/>
      <c r="T703" s="282"/>
      <c r="U703" s="282"/>
      <c r="V703" s="282"/>
      <c r="W703" s="282"/>
      <c r="X703" s="282"/>
      <c r="Y703" s="282"/>
      <c r="Z703" s="282"/>
      <c r="AA703" s="283"/>
      <c r="AB703" s="284" t="n">
        <f aca="false">IFERROR(($J703*O703)*$L703, "")</f>
        <v>0</v>
      </c>
      <c r="AC703" s="284" t="n">
        <f aca="false">IFERROR(($J703*P703)*$L703, "")</f>
        <v>0</v>
      </c>
      <c r="AD703" s="284" t="n">
        <f aca="false">IFERROR(($J703*Q703)*$L703, "")</f>
        <v>0</v>
      </c>
      <c r="AE703" s="284" t="n">
        <f aca="false">IFERROR(($J703*R703)*$L703, "")</f>
        <v>0</v>
      </c>
      <c r="AF703" s="284" t="n">
        <f aca="false">IFERROR(($J703*S703)*$L703, "")</f>
        <v>0</v>
      </c>
      <c r="AG703" s="284" t="n">
        <f aca="false">IFERROR(($J703*T703)*$L703, "")</f>
        <v>0</v>
      </c>
      <c r="AH703" s="284" t="n">
        <f aca="false">IFERROR(($J703*U703)*$L703, "")</f>
        <v>0</v>
      </c>
      <c r="AI703" s="284" t="n">
        <f aca="false">IFERROR(($J703*V703)*$L703, "")</f>
        <v>0</v>
      </c>
      <c r="AJ703" s="284" t="n">
        <f aca="false">IFERROR(($J703*W703)*$L703, "")</f>
        <v>0</v>
      </c>
      <c r="AK703" s="284" t="n">
        <f aca="false">IFERROR(($J703*X703)*$L703, "")</f>
        <v>0</v>
      </c>
      <c r="AL703" s="284" t="n">
        <f aca="false">IFERROR(($J703*Y703)*$L703, "")</f>
        <v>0</v>
      </c>
      <c r="AM703" s="285" t="n">
        <f aca="false">IFERROR(($J703*Z703)*$L703, "")</f>
        <v>0</v>
      </c>
      <c r="AN703" s="286" t="n">
        <f aca="false">IFERROR(SUMIF($AB$4:$AM$4, "RDEC", AB703:AM703), "")</f>
        <v>0</v>
      </c>
      <c r="AO703" s="286" t="n">
        <f aca="false">IFERROR(SUMIF($AB$4:$AM$4, "SME", AB703:AM703), "")</f>
        <v>0</v>
      </c>
      <c r="AP703" s="286" t="n">
        <f aca="false">IFERROR(SUMIF($AB$4:$AM$4, "De Minimis", AB703:AM703), "")</f>
        <v>0</v>
      </c>
      <c r="AQ703" s="283"/>
      <c r="AR703" s="284" t="n">
        <f aca="false">IFERROR(($J703*O703)*$M703, "")</f>
        <v>0</v>
      </c>
      <c r="AS703" s="284" t="n">
        <f aca="false">IFERROR(($J703*P703)*$M703, "")</f>
        <v>0</v>
      </c>
      <c r="AT703" s="284" t="n">
        <f aca="false">IFERROR(($J703*Q703)*$M703, "")</f>
        <v>0</v>
      </c>
      <c r="AU703" s="284" t="n">
        <f aca="false">IFERROR(($J703*R703)*$M703, "")</f>
        <v>0</v>
      </c>
      <c r="AV703" s="284" t="n">
        <f aca="false">IFERROR(($J703*S703)*$M703, "")</f>
        <v>0</v>
      </c>
      <c r="AW703" s="284" t="n">
        <f aca="false">IFERROR(($J703*T703)*$M703, "")</f>
        <v>0</v>
      </c>
      <c r="AX703" s="284" t="n">
        <f aca="false">IFERROR(($J703*U703)*$M703, "")</f>
        <v>0</v>
      </c>
      <c r="AY703" s="284" t="n">
        <f aca="false">IFERROR(($J703*V703)*$M703, "")</f>
        <v>0</v>
      </c>
      <c r="AZ703" s="284" t="n">
        <f aca="false">IFERROR(($J703*W703)*$M703, "")</f>
        <v>0</v>
      </c>
      <c r="BA703" s="284" t="n">
        <f aca="false">IFERROR(($J703*X703)*$M703, "")</f>
        <v>0</v>
      </c>
      <c r="BB703" s="284" t="n">
        <f aca="false">IFERROR(($J703*Y703)*$M703, "")</f>
        <v>0</v>
      </c>
      <c r="BC703" s="285" t="n">
        <f aca="false">IFERROR(($J703*Z703)*$M703, "")</f>
        <v>0</v>
      </c>
      <c r="BD703" s="286" t="n">
        <f aca="false">IFERROR(SUMIF($AB$4:$AM$4, "RDEC", AR703:BC703), "")</f>
        <v>0</v>
      </c>
      <c r="BE703" s="286" t="n">
        <f aca="false">IFERROR(SUMIF($AB$4:$AM$4, "SME", AR703:BC703), "")</f>
        <v>0</v>
      </c>
      <c r="BF703" s="286" t="n">
        <f aca="false">IFERROR(SUMIF($AB$4:$AM$4, "De Minimis", AR703:BC703), "")</f>
        <v>0</v>
      </c>
      <c r="BG703" s="287"/>
      <c r="BH703" s="288" t="str">
        <f aca="false">IF((SUM(O703:Z703)&gt;1),"ERROR","")</f>
        <v/>
      </c>
      <c r="BI703" s="287"/>
      <c r="BJ703" s="18" t="str">
        <f aca="false">IF(C689&gt;0, C689, "")</f>
        <v/>
      </c>
      <c r="BL703" s="200"/>
      <c r="BM703" s="200"/>
      <c r="BN703" s="200"/>
    </row>
    <row r="704" customFormat="false" ht="15" hidden="false" customHeight="true" outlineLevel="0" collapsed="false">
      <c r="B704" s="275"/>
      <c r="D704" s="276" t="n">
        <f aca="false">D688</f>
        <v>45536</v>
      </c>
      <c r="E704" s="277" t="n">
        <v>0</v>
      </c>
      <c r="F704" s="277" t="n">
        <v>0</v>
      </c>
      <c r="G704" s="277" t="n">
        <v>0</v>
      </c>
      <c r="H704" s="277" t="n">
        <v>0</v>
      </c>
      <c r="I704" s="277" t="n">
        <v>0</v>
      </c>
      <c r="J704" s="278" t="n">
        <f aca="false">E704+H704+I704</f>
        <v>0</v>
      </c>
      <c r="K704" s="204"/>
      <c r="L704" s="279" t="n">
        <v>1</v>
      </c>
      <c r="M704" s="280" t="n">
        <f aca="false">1-L704</f>
        <v>0</v>
      </c>
      <c r="N704" s="281"/>
      <c r="O704" s="282"/>
      <c r="P704" s="282"/>
      <c r="Q704" s="282"/>
      <c r="R704" s="282"/>
      <c r="S704" s="282"/>
      <c r="T704" s="282"/>
      <c r="U704" s="282"/>
      <c r="V704" s="282"/>
      <c r="W704" s="282"/>
      <c r="X704" s="282"/>
      <c r="Y704" s="282"/>
      <c r="Z704" s="282"/>
      <c r="AA704" s="283"/>
      <c r="AB704" s="284" t="n">
        <f aca="false">IFERROR(($J704*O704)*$L704, "")</f>
        <v>0</v>
      </c>
      <c r="AC704" s="284" t="n">
        <f aca="false">IFERROR(($J704*P704)*$L704, "")</f>
        <v>0</v>
      </c>
      <c r="AD704" s="284" t="n">
        <f aca="false">IFERROR(($J704*Q704)*$L704, "")</f>
        <v>0</v>
      </c>
      <c r="AE704" s="284" t="n">
        <f aca="false">IFERROR(($J704*R704)*$L704, "")</f>
        <v>0</v>
      </c>
      <c r="AF704" s="284" t="n">
        <f aca="false">IFERROR(($J704*S704)*$L704, "")</f>
        <v>0</v>
      </c>
      <c r="AG704" s="284" t="n">
        <f aca="false">IFERROR(($J704*T704)*$L704, "")</f>
        <v>0</v>
      </c>
      <c r="AH704" s="284" t="n">
        <f aca="false">IFERROR(($J704*U704)*$L704, "")</f>
        <v>0</v>
      </c>
      <c r="AI704" s="284" t="n">
        <f aca="false">IFERROR(($J704*V704)*$L704, "")</f>
        <v>0</v>
      </c>
      <c r="AJ704" s="284" t="n">
        <f aca="false">IFERROR(($J704*W704)*$L704, "")</f>
        <v>0</v>
      </c>
      <c r="AK704" s="284" t="n">
        <f aca="false">IFERROR(($J704*X704)*$L704, "")</f>
        <v>0</v>
      </c>
      <c r="AL704" s="284" t="n">
        <f aca="false">IFERROR(($J704*Y704)*$L704, "")</f>
        <v>0</v>
      </c>
      <c r="AM704" s="285" t="n">
        <f aca="false">IFERROR(($J704*Z704)*$L704, "")</f>
        <v>0</v>
      </c>
      <c r="AN704" s="286" t="n">
        <f aca="false">IFERROR(SUMIF($AB$4:$AM$4, "RDEC", AB704:AM704), "")</f>
        <v>0</v>
      </c>
      <c r="AO704" s="286" t="n">
        <f aca="false">IFERROR(SUMIF($AB$4:$AM$4, "SME", AB704:AM704), "")</f>
        <v>0</v>
      </c>
      <c r="AP704" s="286" t="n">
        <f aca="false">IFERROR(SUMIF($AB$4:$AM$4, "De Minimis", AB704:AM704), "")</f>
        <v>0</v>
      </c>
      <c r="AQ704" s="283"/>
      <c r="AR704" s="284" t="n">
        <f aca="false">IFERROR(($J704*O704)*$M704, "")</f>
        <v>0</v>
      </c>
      <c r="AS704" s="284" t="n">
        <f aca="false">IFERROR(($J704*P704)*$M704, "")</f>
        <v>0</v>
      </c>
      <c r="AT704" s="284" t="n">
        <f aca="false">IFERROR(($J704*Q704)*$M704, "")</f>
        <v>0</v>
      </c>
      <c r="AU704" s="284" t="n">
        <f aca="false">IFERROR(($J704*R704)*$M704, "")</f>
        <v>0</v>
      </c>
      <c r="AV704" s="284" t="n">
        <f aca="false">IFERROR(($J704*S704)*$M704, "")</f>
        <v>0</v>
      </c>
      <c r="AW704" s="284" t="n">
        <f aca="false">IFERROR(($J704*T704)*$M704, "")</f>
        <v>0</v>
      </c>
      <c r="AX704" s="284" t="n">
        <f aca="false">IFERROR(($J704*U704)*$M704, "")</f>
        <v>0</v>
      </c>
      <c r="AY704" s="284" t="n">
        <f aca="false">IFERROR(($J704*V704)*$M704, "")</f>
        <v>0</v>
      </c>
      <c r="AZ704" s="284" t="n">
        <f aca="false">IFERROR(($J704*W704)*$M704, "")</f>
        <v>0</v>
      </c>
      <c r="BA704" s="284" t="n">
        <f aca="false">IFERROR(($J704*X704)*$M704, "")</f>
        <v>0</v>
      </c>
      <c r="BB704" s="284" t="n">
        <f aca="false">IFERROR(($J704*Y704)*$M704, "")</f>
        <v>0</v>
      </c>
      <c r="BC704" s="285" t="n">
        <f aca="false">IFERROR(($J704*Z704)*$M704, "")</f>
        <v>0</v>
      </c>
      <c r="BD704" s="286" t="n">
        <f aca="false">IFERROR(SUMIF($AB$4:$AM$4, "RDEC", AR704:BC704), "")</f>
        <v>0</v>
      </c>
      <c r="BE704" s="286" t="n">
        <f aca="false">IFERROR(SUMIF($AB$4:$AM$4, "SME", AR704:BC704), "")</f>
        <v>0</v>
      </c>
      <c r="BF704" s="286" t="n">
        <f aca="false">IFERROR(SUMIF($AB$4:$AM$4, "De Minimis", AR704:BC704), "")</f>
        <v>0</v>
      </c>
      <c r="BG704" s="287"/>
      <c r="BH704" s="288" t="str">
        <f aca="false">IF((SUM(O704:Z704)&gt;1),"ERROR","")</f>
        <v/>
      </c>
      <c r="BI704" s="287"/>
      <c r="BJ704" s="18" t="str">
        <f aca="false">IF(C690&gt;0, C690, "")</f>
        <v/>
      </c>
      <c r="BL704" s="200"/>
      <c r="BM704" s="200"/>
      <c r="BN704" s="200"/>
    </row>
    <row r="705" customFormat="false" ht="15" hidden="false" customHeight="true" outlineLevel="0" collapsed="false">
      <c r="B705" s="275"/>
      <c r="D705" s="276" t="n">
        <f aca="false">D689</f>
        <v>45566</v>
      </c>
      <c r="E705" s="277" t="n">
        <v>0</v>
      </c>
      <c r="F705" s="277" t="n">
        <v>0</v>
      </c>
      <c r="G705" s="277" t="n">
        <v>0</v>
      </c>
      <c r="H705" s="277" t="n">
        <v>0</v>
      </c>
      <c r="I705" s="277" t="n">
        <v>0</v>
      </c>
      <c r="J705" s="278" t="n">
        <f aca="false">E705+H705+I705</f>
        <v>0</v>
      </c>
      <c r="K705" s="204"/>
      <c r="L705" s="279" t="n">
        <v>1</v>
      </c>
      <c r="M705" s="280" t="n">
        <f aca="false">1-L705</f>
        <v>0</v>
      </c>
      <c r="N705" s="281"/>
      <c r="O705" s="282"/>
      <c r="P705" s="282"/>
      <c r="Q705" s="282"/>
      <c r="R705" s="282"/>
      <c r="S705" s="282"/>
      <c r="T705" s="282"/>
      <c r="U705" s="282"/>
      <c r="V705" s="282"/>
      <c r="W705" s="282"/>
      <c r="X705" s="282"/>
      <c r="Y705" s="282"/>
      <c r="Z705" s="282"/>
      <c r="AA705" s="283"/>
      <c r="AB705" s="284" t="n">
        <f aca="false">IFERROR(($J705*O705)*$L705, "")</f>
        <v>0</v>
      </c>
      <c r="AC705" s="284" t="n">
        <f aca="false">IFERROR(($J705*P705)*$L705, "")</f>
        <v>0</v>
      </c>
      <c r="AD705" s="284" t="n">
        <f aca="false">IFERROR(($J705*Q705)*$L705, "")</f>
        <v>0</v>
      </c>
      <c r="AE705" s="284" t="n">
        <f aca="false">IFERROR(($J705*R705)*$L705, "")</f>
        <v>0</v>
      </c>
      <c r="AF705" s="284" t="n">
        <f aca="false">IFERROR(($J705*S705)*$L705, "")</f>
        <v>0</v>
      </c>
      <c r="AG705" s="284" t="n">
        <f aca="false">IFERROR(($J705*T705)*$L705, "")</f>
        <v>0</v>
      </c>
      <c r="AH705" s="284" t="n">
        <f aca="false">IFERROR(($J705*U705)*$L705, "")</f>
        <v>0</v>
      </c>
      <c r="AI705" s="284" t="n">
        <f aca="false">IFERROR(($J705*V705)*$L705, "")</f>
        <v>0</v>
      </c>
      <c r="AJ705" s="284" t="n">
        <f aca="false">IFERROR(($J705*W705)*$L705, "")</f>
        <v>0</v>
      </c>
      <c r="AK705" s="284" t="n">
        <f aca="false">IFERROR(($J705*X705)*$L705, "")</f>
        <v>0</v>
      </c>
      <c r="AL705" s="284" t="n">
        <f aca="false">IFERROR(($J705*Y705)*$L705, "")</f>
        <v>0</v>
      </c>
      <c r="AM705" s="285" t="n">
        <f aca="false">IFERROR(($J705*Z705)*$L705, "")</f>
        <v>0</v>
      </c>
      <c r="AN705" s="286" t="n">
        <f aca="false">IFERROR(SUMIF($AB$4:$AM$4, "RDEC", AB705:AM705), "")</f>
        <v>0</v>
      </c>
      <c r="AO705" s="286" t="n">
        <f aca="false">IFERROR(SUMIF($AB$4:$AM$4, "SME", AB705:AM705), "")</f>
        <v>0</v>
      </c>
      <c r="AP705" s="286" t="n">
        <f aca="false">IFERROR(SUMIF($AB$4:$AM$4, "De Minimis", AB705:AM705), "")</f>
        <v>0</v>
      </c>
      <c r="AQ705" s="283"/>
      <c r="AR705" s="284" t="n">
        <f aca="false">IFERROR(($J705*O705)*$M705, "")</f>
        <v>0</v>
      </c>
      <c r="AS705" s="284" t="n">
        <f aca="false">IFERROR(($J705*P705)*$M705, "")</f>
        <v>0</v>
      </c>
      <c r="AT705" s="284" t="n">
        <f aca="false">IFERROR(($J705*Q705)*$M705, "")</f>
        <v>0</v>
      </c>
      <c r="AU705" s="284" t="n">
        <f aca="false">IFERROR(($J705*R705)*$M705, "")</f>
        <v>0</v>
      </c>
      <c r="AV705" s="284" t="n">
        <f aca="false">IFERROR(($J705*S705)*$M705, "")</f>
        <v>0</v>
      </c>
      <c r="AW705" s="284" t="n">
        <f aca="false">IFERROR(($J705*T705)*$M705, "")</f>
        <v>0</v>
      </c>
      <c r="AX705" s="284" t="n">
        <f aca="false">IFERROR(($J705*U705)*$M705, "")</f>
        <v>0</v>
      </c>
      <c r="AY705" s="284" t="n">
        <f aca="false">IFERROR(($J705*V705)*$M705, "")</f>
        <v>0</v>
      </c>
      <c r="AZ705" s="284" t="n">
        <f aca="false">IFERROR(($J705*W705)*$M705, "")</f>
        <v>0</v>
      </c>
      <c r="BA705" s="284" t="n">
        <f aca="false">IFERROR(($J705*X705)*$M705, "")</f>
        <v>0</v>
      </c>
      <c r="BB705" s="284" t="n">
        <f aca="false">IFERROR(($J705*Y705)*$M705, "")</f>
        <v>0</v>
      </c>
      <c r="BC705" s="285" t="n">
        <f aca="false">IFERROR(($J705*Z705)*$M705, "")</f>
        <v>0</v>
      </c>
      <c r="BD705" s="286" t="n">
        <f aca="false">IFERROR(SUMIF($AB$4:$AM$4, "RDEC", AR705:BC705), "")</f>
        <v>0</v>
      </c>
      <c r="BE705" s="286" t="n">
        <f aca="false">IFERROR(SUMIF($AB$4:$AM$4, "SME", AR705:BC705), "")</f>
        <v>0</v>
      </c>
      <c r="BF705" s="286" t="n">
        <f aca="false">IFERROR(SUMIF($AB$4:$AM$4, "De Minimis", AR705:BC705), "")</f>
        <v>0</v>
      </c>
      <c r="BG705" s="287"/>
      <c r="BH705" s="288" t="str">
        <f aca="false">IF((SUM(O705:Z705)&gt;1),"ERROR","")</f>
        <v/>
      </c>
      <c r="BI705" s="287"/>
      <c r="BJ705" s="18" t="str">
        <f aca="false">IF(C691&gt;0, C691, "")</f>
        <v/>
      </c>
      <c r="BL705" s="200"/>
      <c r="BM705" s="200"/>
      <c r="BN705" s="200"/>
    </row>
    <row r="706" customFormat="false" ht="15" hidden="false" customHeight="true" outlineLevel="0" collapsed="false">
      <c r="B706" s="275"/>
      <c r="D706" s="276" t="n">
        <f aca="false">D690</f>
        <v>45597</v>
      </c>
      <c r="E706" s="277" t="n">
        <v>0</v>
      </c>
      <c r="F706" s="277" t="n">
        <v>0</v>
      </c>
      <c r="G706" s="277" t="n">
        <v>0</v>
      </c>
      <c r="H706" s="277" t="n">
        <v>0</v>
      </c>
      <c r="I706" s="277" t="n">
        <v>0</v>
      </c>
      <c r="J706" s="278" t="n">
        <f aca="false">E706+H706+I706</f>
        <v>0</v>
      </c>
      <c r="K706" s="204"/>
      <c r="L706" s="279" t="n">
        <v>1</v>
      </c>
      <c r="M706" s="280" t="n">
        <f aca="false">1-L706</f>
        <v>0</v>
      </c>
      <c r="N706" s="281"/>
      <c r="O706" s="282"/>
      <c r="P706" s="282"/>
      <c r="Q706" s="282"/>
      <c r="R706" s="282"/>
      <c r="S706" s="282"/>
      <c r="T706" s="282"/>
      <c r="U706" s="282"/>
      <c r="V706" s="282"/>
      <c r="W706" s="282"/>
      <c r="X706" s="282"/>
      <c r="Y706" s="282"/>
      <c r="Z706" s="282"/>
      <c r="AA706" s="283"/>
      <c r="AB706" s="284" t="n">
        <f aca="false">IFERROR(($J706*O706)*$L706, "")</f>
        <v>0</v>
      </c>
      <c r="AC706" s="284" t="n">
        <f aca="false">IFERROR(($J706*P706)*$L706, "")</f>
        <v>0</v>
      </c>
      <c r="AD706" s="284" t="n">
        <f aca="false">IFERROR(($J706*Q706)*$L706, "")</f>
        <v>0</v>
      </c>
      <c r="AE706" s="284" t="n">
        <f aca="false">IFERROR(($J706*R706)*$L706, "")</f>
        <v>0</v>
      </c>
      <c r="AF706" s="284" t="n">
        <f aca="false">IFERROR(($J706*S706)*$L706, "")</f>
        <v>0</v>
      </c>
      <c r="AG706" s="284" t="n">
        <f aca="false">IFERROR(($J706*T706)*$L706, "")</f>
        <v>0</v>
      </c>
      <c r="AH706" s="284" t="n">
        <f aca="false">IFERROR(($J706*U706)*$L706, "")</f>
        <v>0</v>
      </c>
      <c r="AI706" s="284" t="n">
        <f aca="false">IFERROR(($J706*V706)*$L706, "")</f>
        <v>0</v>
      </c>
      <c r="AJ706" s="284" t="n">
        <f aca="false">IFERROR(($J706*W706)*$L706, "")</f>
        <v>0</v>
      </c>
      <c r="AK706" s="284" t="n">
        <f aca="false">IFERROR(($J706*X706)*$L706, "")</f>
        <v>0</v>
      </c>
      <c r="AL706" s="284" t="n">
        <f aca="false">IFERROR(($J706*Y706)*$L706, "")</f>
        <v>0</v>
      </c>
      <c r="AM706" s="285" t="n">
        <f aca="false">IFERROR(($J706*Z706)*$L706, "")</f>
        <v>0</v>
      </c>
      <c r="AN706" s="286" t="n">
        <f aca="false">IFERROR(SUMIF($AB$4:$AM$4, "RDEC", AB706:AM706), "")</f>
        <v>0</v>
      </c>
      <c r="AO706" s="286" t="n">
        <f aca="false">IFERROR(SUMIF($AB$4:$AM$4, "SME", AB706:AM706), "")</f>
        <v>0</v>
      </c>
      <c r="AP706" s="286" t="n">
        <f aca="false">IFERROR(SUMIF($AB$4:$AM$4, "De Minimis", AB706:AM706), "")</f>
        <v>0</v>
      </c>
      <c r="AQ706" s="283"/>
      <c r="AR706" s="284" t="n">
        <f aca="false">IFERROR(($J706*O706)*$M706, "")</f>
        <v>0</v>
      </c>
      <c r="AS706" s="284" t="n">
        <f aca="false">IFERROR(($J706*P706)*$M706, "")</f>
        <v>0</v>
      </c>
      <c r="AT706" s="284" t="n">
        <f aca="false">IFERROR(($J706*Q706)*$M706, "")</f>
        <v>0</v>
      </c>
      <c r="AU706" s="284" t="n">
        <f aca="false">IFERROR(($J706*R706)*$M706, "")</f>
        <v>0</v>
      </c>
      <c r="AV706" s="284" t="n">
        <f aca="false">IFERROR(($J706*S706)*$M706, "")</f>
        <v>0</v>
      </c>
      <c r="AW706" s="284" t="n">
        <f aca="false">IFERROR(($J706*T706)*$M706, "")</f>
        <v>0</v>
      </c>
      <c r="AX706" s="284" t="n">
        <f aca="false">IFERROR(($J706*U706)*$M706, "")</f>
        <v>0</v>
      </c>
      <c r="AY706" s="284" t="n">
        <f aca="false">IFERROR(($J706*V706)*$M706, "")</f>
        <v>0</v>
      </c>
      <c r="AZ706" s="284" t="n">
        <f aca="false">IFERROR(($J706*W706)*$M706, "")</f>
        <v>0</v>
      </c>
      <c r="BA706" s="284" t="n">
        <f aca="false">IFERROR(($J706*X706)*$M706, "")</f>
        <v>0</v>
      </c>
      <c r="BB706" s="284" t="n">
        <f aca="false">IFERROR(($J706*Y706)*$M706, "")</f>
        <v>0</v>
      </c>
      <c r="BC706" s="285" t="n">
        <f aca="false">IFERROR(($J706*Z706)*$M706, "")</f>
        <v>0</v>
      </c>
      <c r="BD706" s="286" t="n">
        <f aca="false">IFERROR(SUMIF($AB$4:$AM$4, "RDEC", AR706:BC706), "")</f>
        <v>0</v>
      </c>
      <c r="BE706" s="286" t="n">
        <f aca="false">IFERROR(SUMIF($AB$4:$AM$4, "SME", AR706:BC706), "")</f>
        <v>0</v>
      </c>
      <c r="BF706" s="286" t="n">
        <f aca="false">IFERROR(SUMIF($AB$4:$AM$4, "De Minimis", AR706:BC706), "")</f>
        <v>0</v>
      </c>
      <c r="BG706" s="287"/>
      <c r="BH706" s="288" t="str">
        <f aca="false">IF((SUM(O706:Z706)&gt;1),"ERROR","")</f>
        <v/>
      </c>
      <c r="BI706" s="287"/>
      <c r="BJ706" s="18" t="str">
        <f aca="false">IF(C692&gt;0, C692, "")</f>
        <v/>
      </c>
      <c r="BL706" s="200"/>
      <c r="BM706" s="200"/>
      <c r="BN706" s="200"/>
    </row>
    <row r="707" customFormat="false" ht="15" hidden="false" customHeight="true" outlineLevel="0" collapsed="false">
      <c r="B707" s="275"/>
      <c r="D707" s="276" t="n">
        <f aca="false">D691</f>
        <v>45627</v>
      </c>
      <c r="E707" s="277" t="n">
        <v>0</v>
      </c>
      <c r="F707" s="277" t="n">
        <v>0</v>
      </c>
      <c r="G707" s="277" t="n">
        <v>0</v>
      </c>
      <c r="H707" s="277" t="n">
        <v>0</v>
      </c>
      <c r="I707" s="277" t="n">
        <v>0</v>
      </c>
      <c r="J707" s="278" t="n">
        <f aca="false">E707+H707+I707</f>
        <v>0</v>
      </c>
      <c r="K707" s="204"/>
      <c r="L707" s="289" t="n">
        <v>1</v>
      </c>
      <c r="M707" s="290" t="n">
        <f aca="false">1-L707</f>
        <v>0</v>
      </c>
      <c r="N707" s="281"/>
      <c r="O707" s="291"/>
      <c r="P707" s="291"/>
      <c r="Q707" s="291"/>
      <c r="R707" s="291"/>
      <c r="S707" s="291"/>
      <c r="T707" s="291"/>
      <c r="U707" s="291"/>
      <c r="V707" s="291"/>
      <c r="W707" s="291"/>
      <c r="X707" s="291"/>
      <c r="Y707" s="291"/>
      <c r="Z707" s="291"/>
      <c r="AA707" s="283"/>
      <c r="AB707" s="292" t="n">
        <f aca="false">IFERROR(($J707*O707)*$L707, "")</f>
        <v>0</v>
      </c>
      <c r="AC707" s="292" t="n">
        <f aca="false">IFERROR(($J707*P707)*$L707, "")</f>
        <v>0</v>
      </c>
      <c r="AD707" s="292" t="n">
        <f aca="false">IFERROR(($J707*Q707)*$L707, "")</f>
        <v>0</v>
      </c>
      <c r="AE707" s="292" t="n">
        <f aca="false">IFERROR(($J707*R707)*$L707, "")</f>
        <v>0</v>
      </c>
      <c r="AF707" s="292" t="n">
        <f aca="false">IFERROR(($J707*S707)*$L707, "")</f>
        <v>0</v>
      </c>
      <c r="AG707" s="292" t="n">
        <f aca="false">IFERROR(($J707*T707)*$L707, "")</f>
        <v>0</v>
      </c>
      <c r="AH707" s="292" t="n">
        <f aca="false">IFERROR(($J707*U707)*$L707, "")</f>
        <v>0</v>
      </c>
      <c r="AI707" s="292" t="n">
        <f aca="false">IFERROR(($J707*V707)*$L707, "")</f>
        <v>0</v>
      </c>
      <c r="AJ707" s="292" t="n">
        <f aca="false">IFERROR(($J707*W707)*$L707, "")</f>
        <v>0</v>
      </c>
      <c r="AK707" s="292" t="n">
        <f aca="false">IFERROR(($J707*X707)*$L707, "")</f>
        <v>0</v>
      </c>
      <c r="AL707" s="292" t="n">
        <f aca="false">IFERROR(($J707*Y707)*$L707, "")</f>
        <v>0</v>
      </c>
      <c r="AM707" s="293" t="n">
        <f aca="false">IFERROR(($J707*Z707)*$L707, "")</f>
        <v>0</v>
      </c>
      <c r="AN707" s="294" t="n">
        <f aca="false">IFERROR(SUMIF($AB$4:$AM$4, "RDEC", AB707:AM707), "")</f>
        <v>0</v>
      </c>
      <c r="AO707" s="294" t="n">
        <f aca="false">IFERROR(SUMIF($AB$4:$AM$4, "SME", AB707:AM707), "")</f>
        <v>0</v>
      </c>
      <c r="AP707" s="294" t="n">
        <f aca="false">IFERROR(SUMIF($AB$4:$AM$4, "De Minimis", AB707:AM707), "")</f>
        <v>0</v>
      </c>
      <c r="AQ707" s="283"/>
      <c r="AR707" s="292" t="n">
        <f aca="false">IFERROR(($J707*O707)*$M707, "")</f>
        <v>0</v>
      </c>
      <c r="AS707" s="292" t="n">
        <f aca="false">IFERROR(($J707*P707)*$M707, "")</f>
        <v>0</v>
      </c>
      <c r="AT707" s="292" t="n">
        <f aca="false">IFERROR(($J707*Q707)*$M707, "")</f>
        <v>0</v>
      </c>
      <c r="AU707" s="292" t="n">
        <f aca="false">IFERROR(($J707*R707)*$M707, "")</f>
        <v>0</v>
      </c>
      <c r="AV707" s="292" t="n">
        <f aca="false">IFERROR(($J707*S707)*$M707, "")</f>
        <v>0</v>
      </c>
      <c r="AW707" s="292" t="n">
        <f aca="false">IFERROR(($J707*T707)*$M707, "")</f>
        <v>0</v>
      </c>
      <c r="AX707" s="292" t="n">
        <f aca="false">IFERROR(($J707*U707)*$M707, "")</f>
        <v>0</v>
      </c>
      <c r="AY707" s="292" t="n">
        <f aca="false">IFERROR(($J707*V707)*$M707, "")</f>
        <v>0</v>
      </c>
      <c r="AZ707" s="292" t="n">
        <f aca="false">IFERROR(($J707*W707)*$M707, "")</f>
        <v>0</v>
      </c>
      <c r="BA707" s="292" t="n">
        <f aca="false">IFERROR(($J707*X707)*$M707, "")</f>
        <v>0</v>
      </c>
      <c r="BB707" s="292" t="n">
        <f aca="false">IFERROR(($J707*Y707)*$M707, "")</f>
        <v>0</v>
      </c>
      <c r="BC707" s="293" t="n">
        <f aca="false">IFERROR(($J707*Z707)*$M707, "")</f>
        <v>0</v>
      </c>
      <c r="BD707" s="294" t="n">
        <f aca="false">IFERROR(SUMIF($AB$4:$AM$4, "RDEC", AR707:BC707), "")</f>
        <v>0</v>
      </c>
      <c r="BE707" s="294" t="n">
        <f aca="false">IFERROR(SUMIF($AB$4:$AM$4, "SME", AR707:BC707), "")</f>
        <v>0</v>
      </c>
      <c r="BF707" s="294" t="n">
        <f aca="false">IFERROR(SUMIF($AB$4:$AM$4, "De Minimis", AR707:BC707), "")</f>
        <v>0</v>
      </c>
      <c r="BG707" s="287"/>
      <c r="BH707" s="295" t="str">
        <f aca="false">IF((SUM(O707:Z707)&gt;1),"ERROR","")</f>
        <v/>
      </c>
      <c r="BI707" s="287"/>
      <c r="BJ707" s="18" t="str">
        <f aca="false">IF(C693&gt;0, C693, "")</f>
        <v/>
      </c>
      <c r="BL707" s="200"/>
      <c r="BM707" s="200"/>
      <c r="BN707" s="200"/>
    </row>
    <row r="708" customFormat="false" ht="15" hidden="false" customHeight="true" outlineLevel="0" collapsed="false">
      <c r="B708" s="296"/>
      <c r="D708" s="297" t="s">
        <v>82</v>
      </c>
      <c r="E708" s="298" t="n">
        <f aca="false">SUM(E696:E707)</f>
        <v>0</v>
      </c>
      <c r="F708" s="298" t="n">
        <f aca="false">SUM(F696:F707)</f>
        <v>0</v>
      </c>
      <c r="G708" s="298" t="n">
        <f aca="false">SUM(G696:G707)</f>
        <v>0</v>
      </c>
      <c r="H708" s="298" t="n">
        <f aca="false">SUM(H696:H707)</f>
        <v>0</v>
      </c>
      <c r="I708" s="298" t="n">
        <f aca="false">SUM(I696:I707)</f>
        <v>0</v>
      </c>
      <c r="J708" s="299" t="n">
        <f aca="false">SUM(J696:J707)</f>
        <v>0</v>
      </c>
      <c r="K708" s="300"/>
      <c r="L708" s="301" t="n">
        <f aca="false">AVERAGE(L696:L707)</f>
        <v>1</v>
      </c>
      <c r="M708" s="301" t="n">
        <f aca="false">AVERAGE(M696:M707)</f>
        <v>0</v>
      </c>
      <c r="N708" s="302"/>
      <c r="O708" s="290" t="n">
        <f aca="false">IF(SUM(O696:O707)&gt;0,((AB708+AR708)/J708),0)</f>
        <v>0</v>
      </c>
      <c r="P708" s="290" t="n">
        <f aca="false">IF(SUM(P696:P707)&gt;0,((AC708+AS708)/J708),0)</f>
        <v>0</v>
      </c>
      <c r="Q708" s="290" t="n">
        <f aca="false">IF(SUM(Q696:Q707)&gt;0,((AD708+AT708)/J708),0)</f>
        <v>0</v>
      </c>
      <c r="R708" s="290" t="n">
        <f aca="false">IF(SUM(R696:R707)&gt;0,((AE708+AU708)/J708),0)</f>
        <v>0</v>
      </c>
      <c r="S708" s="290" t="n">
        <f aca="false">IF(SUM(S696:S707)&gt;0,((AF708+AV708)/J708),0)</f>
        <v>0</v>
      </c>
      <c r="T708" s="290" t="n">
        <f aca="false">IF(SUM(T696:T707)&gt;0,((AG708+AW708)/J708),0)</f>
        <v>0</v>
      </c>
      <c r="U708" s="290" t="n">
        <f aca="false">IF(SUM(U696:U707)&gt;0,((AH708+AX708)/J708),0)</f>
        <v>0</v>
      </c>
      <c r="V708" s="290" t="n">
        <f aca="false">IF(SUM(V696:V707)&gt;0,((AI708+AY708)/J708),0)</f>
        <v>0</v>
      </c>
      <c r="W708" s="290" t="n">
        <f aca="false">IF(SUM(W696:W707)&gt;0,((AJ708+AZ708)/J708),0)</f>
        <v>0</v>
      </c>
      <c r="X708" s="290" t="n">
        <f aca="false">IF(SUM(X696:X707)&gt;0,((AK708+BA708)/J708),0)</f>
        <v>0</v>
      </c>
      <c r="Y708" s="290" t="n">
        <f aca="false">IF(SUM(Y696:Y707)&gt;0,((AL708+BB708)/J708),0)</f>
        <v>0</v>
      </c>
      <c r="Z708" s="290" t="n">
        <f aca="false">IF(SUM(Z696:Z707)&gt;0,((AM708+BC708)/J708),0)</f>
        <v>0</v>
      </c>
      <c r="AA708" s="303"/>
      <c r="AB708" s="292" t="n">
        <f aca="false">SUM(AB696:AB707)</f>
        <v>0</v>
      </c>
      <c r="AC708" s="304" t="n">
        <f aca="false">SUM(AC696:AC707)</f>
        <v>0</v>
      </c>
      <c r="AD708" s="304" t="n">
        <f aca="false">SUM(AD696:AD707)</f>
        <v>0</v>
      </c>
      <c r="AE708" s="304" t="n">
        <f aca="false">SUM(AE696:AE707)</f>
        <v>0</v>
      </c>
      <c r="AF708" s="304" t="n">
        <f aca="false">SUM(AF696:AF707)</f>
        <v>0</v>
      </c>
      <c r="AG708" s="304" t="n">
        <f aca="false">SUM(AG696:AG707)</f>
        <v>0</v>
      </c>
      <c r="AH708" s="304" t="n">
        <f aca="false">SUM(AH696:AH707)</f>
        <v>0</v>
      </c>
      <c r="AI708" s="304" t="n">
        <f aca="false">SUM(AI696:AI707)</f>
        <v>0</v>
      </c>
      <c r="AJ708" s="304" t="n">
        <f aca="false">SUM(AJ696:AJ707)</f>
        <v>0</v>
      </c>
      <c r="AK708" s="304" t="n">
        <f aca="false">SUM(AK696:AK707)</f>
        <v>0</v>
      </c>
      <c r="AL708" s="304" t="n">
        <f aca="false">SUM(AL696:AL707)</f>
        <v>0</v>
      </c>
      <c r="AM708" s="304" t="n">
        <f aca="false">SUM(AM696:AM707)</f>
        <v>0</v>
      </c>
      <c r="AN708" s="305" t="n">
        <f aca="false">SUM(AN696:AN707)</f>
        <v>0</v>
      </c>
      <c r="AO708" s="305" t="n">
        <f aca="false">SUM(AO696:AO707)</f>
        <v>0</v>
      </c>
      <c r="AP708" s="305" t="n">
        <f aca="false">SUM(AP696:AP707)</f>
        <v>0</v>
      </c>
      <c r="AQ708" s="303"/>
      <c r="AR708" s="292" t="n">
        <f aca="false">SUM(AR696:AR707)</f>
        <v>0</v>
      </c>
      <c r="AS708" s="304" t="n">
        <f aca="false">SUM(AS696:AS707)</f>
        <v>0</v>
      </c>
      <c r="AT708" s="304" t="n">
        <f aca="false">SUM(AT696:AT707)</f>
        <v>0</v>
      </c>
      <c r="AU708" s="304" t="n">
        <f aca="false">SUM(AU696:AU707)</f>
        <v>0</v>
      </c>
      <c r="AV708" s="304" t="n">
        <f aca="false">SUM(AV696:AV707)</f>
        <v>0</v>
      </c>
      <c r="AW708" s="304" t="n">
        <f aca="false">SUM(AW696:AW707)</f>
        <v>0</v>
      </c>
      <c r="AX708" s="304" t="n">
        <f aca="false">SUM(AX696:AX707)</f>
        <v>0</v>
      </c>
      <c r="AY708" s="304" t="n">
        <f aca="false">SUM(AY696:AY707)</f>
        <v>0</v>
      </c>
      <c r="AZ708" s="304" t="n">
        <f aca="false">SUM(AZ696:AZ707)</f>
        <v>0</v>
      </c>
      <c r="BA708" s="304" t="n">
        <f aca="false">SUM(BA696:BA707)</f>
        <v>0</v>
      </c>
      <c r="BB708" s="304" t="n">
        <f aca="false">SUM(BB696:BB707)</f>
        <v>0</v>
      </c>
      <c r="BC708" s="304" t="n">
        <f aca="false">SUM(BC696:BC707)</f>
        <v>0</v>
      </c>
      <c r="BD708" s="305" t="n">
        <f aca="false">SUM(BD696:BD707)</f>
        <v>0</v>
      </c>
      <c r="BE708" s="305" t="n">
        <f aca="false">SUM(BE696:BE707)</f>
        <v>0</v>
      </c>
      <c r="BF708" s="305" t="n">
        <f aca="false">SUM(BF696:BF707)</f>
        <v>0</v>
      </c>
      <c r="BG708" s="303"/>
      <c r="BH708" s="306"/>
      <c r="BI708" s="303"/>
      <c r="BJ708" s="307" t="str">
        <f aca="false">IF(C694&gt;0, C694, "")</f>
        <v>TBA</v>
      </c>
      <c r="BK708" s="18" t="s">
        <v>234</v>
      </c>
      <c r="BL708" s="200" t="n">
        <f aca="false">IF($BK708="Y",J708,0)</f>
        <v>0</v>
      </c>
      <c r="BM708" s="200" t="n">
        <f aca="false">IF(BK708="Y", AN708,0)</f>
        <v>0</v>
      </c>
      <c r="BN708" s="200" t="n">
        <f aca="false">IF((BK708="Y"),AO708,0)</f>
        <v>0</v>
      </c>
    </row>
    <row r="709" customFormat="false" ht="15" hidden="false" customHeight="true" outlineLevel="0" collapsed="false">
      <c r="B709" s="296"/>
      <c r="D709" s="297"/>
      <c r="E709" s="277"/>
      <c r="F709" s="277"/>
      <c r="G709" s="277"/>
      <c r="H709" s="277"/>
      <c r="I709" s="277"/>
      <c r="J709" s="300"/>
      <c r="K709" s="300"/>
      <c r="L709" s="302"/>
      <c r="M709" s="302"/>
      <c r="N709" s="302"/>
      <c r="O709" s="308"/>
      <c r="P709" s="308"/>
      <c r="Q709" s="308"/>
      <c r="R709" s="308"/>
      <c r="S709" s="308"/>
      <c r="T709" s="308"/>
      <c r="U709" s="308"/>
      <c r="V709" s="308"/>
      <c r="W709" s="308"/>
      <c r="X709" s="308"/>
      <c r="Y709" s="308"/>
      <c r="Z709" s="308"/>
      <c r="AA709" s="303"/>
      <c r="AB709" s="303"/>
      <c r="AC709" s="303"/>
      <c r="AD709" s="303"/>
      <c r="AE709" s="303"/>
      <c r="AF709" s="303"/>
      <c r="AG709" s="303"/>
      <c r="AH709" s="303"/>
      <c r="AI709" s="303"/>
      <c r="AJ709" s="303"/>
      <c r="AK709" s="303"/>
      <c r="AL709" s="303"/>
      <c r="AM709" s="303"/>
      <c r="AN709" s="303"/>
      <c r="AO709" s="303"/>
      <c r="AP709" s="303"/>
      <c r="AQ709" s="303"/>
      <c r="AR709" s="303"/>
      <c r="AS709" s="303"/>
      <c r="AT709" s="303"/>
      <c r="AU709" s="303"/>
      <c r="AV709" s="303"/>
      <c r="AW709" s="303"/>
      <c r="AX709" s="303"/>
      <c r="AY709" s="303"/>
      <c r="AZ709" s="303"/>
      <c r="BA709" s="303"/>
      <c r="BB709" s="303"/>
      <c r="BC709" s="303"/>
      <c r="BD709" s="303"/>
      <c r="BE709" s="303"/>
      <c r="BF709" s="303"/>
      <c r="BG709" s="303"/>
      <c r="BH709" s="303"/>
      <c r="BI709" s="303"/>
      <c r="BJ709" s="307" t="str">
        <f aca="false">IF(C696&gt;0, C696, "")</f>
        <v/>
      </c>
      <c r="BL709" s="200"/>
      <c r="BM709" s="200"/>
      <c r="BN709" s="200"/>
    </row>
    <row r="710" customFormat="false" ht="15" hidden="false" customHeight="true" outlineLevel="0" collapsed="false">
      <c r="A710" s="198" t="n">
        <f aca="false">A694+1</f>
        <v>45</v>
      </c>
      <c r="B710" s="266" t="s">
        <v>253</v>
      </c>
      <c r="C710" s="266" t="s">
        <v>253</v>
      </c>
      <c r="D710" s="267"/>
      <c r="E710" s="242"/>
      <c r="F710" s="242"/>
      <c r="G710" s="242"/>
      <c r="H710" s="242"/>
      <c r="I710" s="242"/>
      <c r="J710" s="241"/>
      <c r="K710" s="241"/>
      <c r="L710" s="241"/>
      <c r="M710" s="241"/>
      <c r="N710" s="241"/>
      <c r="O710" s="268"/>
      <c r="P710" s="268"/>
      <c r="Q710" s="268"/>
      <c r="R710" s="268"/>
      <c r="S710" s="268"/>
      <c r="T710" s="268"/>
      <c r="U710" s="268"/>
      <c r="V710" s="268"/>
      <c r="W710" s="268"/>
      <c r="X710" s="268"/>
      <c r="Y710" s="268"/>
      <c r="Z710" s="268"/>
      <c r="AA710" s="268"/>
      <c r="AB710" s="268"/>
      <c r="AC710" s="268"/>
      <c r="AD710" s="268"/>
      <c r="AE710" s="268"/>
      <c r="AF710" s="268"/>
      <c r="AG710" s="268"/>
      <c r="AH710" s="268"/>
      <c r="AI710" s="268"/>
      <c r="AJ710" s="268"/>
      <c r="AK710" s="268"/>
      <c r="AL710" s="268"/>
      <c r="AM710" s="268"/>
      <c r="AN710" s="268"/>
      <c r="AO710" s="268"/>
      <c r="AP710" s="268"/>
      <c r="AQ710" s="268"/>
      <c r="AR710" s="268"/>
      <c r="AS710" s="268"/>
      <c r="AT710" s="268"/>
      <c r="AU710" s="268"/>
      <c r="AV710" s="268"/>
      <c r="AW710" s="268"/>
      <c r="AX710" s="268"/>
      <c r="AY710" s="268"/>
      <c r="AZ710" s="268"/>
      <c r="BA710" s="268"/>
      <c r="BB710" s="268"/>
      <c r="BC710" s="268"/>
      <c r="BD710" s="268"/>
      <c r="BE710" s="268"/>
      <c r="BF710" s="268"/>
      <c r="BG710" s="268"/>
      <c r="BH710" s="268"/>
      <c r="BI710" s="268"/>
      <c r="BJ710" s="18" t="str">
        <f aca="false">IF(C697&gt;0, C697, "")</f>
        <v/>
      </c>
      <c r="BL710" s="200"/>
      <c r="BM710" s="200"/>
      <c r="BN710" s="200"/>
    </row>
    <row r="711" customFormat="false" ht="7.5" hidden="false" customHeight="true" outlineLevel="0" collapsed="false">
      <c r="A711" s="198"/>
      <c r="B711" s="266"/>
      <c r="C711" s="266"/>
      <c r="D711" s="267"/>
      <c r="E711" s="242"/>
      <c r="F711" s="242"/>
      <c r="G711" s="242"/>
      <c r="H711" s="242"/>
      <c r="I711" s="242"/>
      <c r="J711" s="241"/>
      <c r="K711" s="241"/>
      <c r="L711" s="269"/>
      <c r="M711" s="269"/>
      <c r="N711" s="270"/>
      <c r="O711" s="269"/>
      <c r="P711" s="269"/>
      <c r="Q711" s="269"/>
      <c r="R711" s="269"/>
      <c r="S711" s="269"/>
      <c r="T711" s="269"/>
      <c r="U711" s="269"/>
      <c r="V711" s="269"/>
      <c r="W711" s="269"/>
      <c r="X711" s="269"/>
      <c r="Y711" s="269"/>
      <c r="Z711" s="269"/>
      <c r="AA711" s="268"/>
      <c r="AB711" s="271"/>
      <c r="AC711" s="271"/>
      <c r="AD711" s="271"/>
      <c r="AE711" s="271"/>
      <c r="AF711" s="271"/>
      <c r="AG711" s="271"/>
      <c r="AH711" s="271"/>
      <c r="AI711" s="271"/>
      <c r="AJ711" s="271"/>
      <c r="AK711" s="271"/>
      <c r="AL711" s="271"/>
      <c r="AM711" s="272"/>
      <c r="AN711" s="273"/>
      <c r="AO711" s="273"/>
      <c r="AP711" s="273"/>
      <c r="AQ711" s="268"/>
      <c r="AR711" s="271"/>
      <c r="AS711" s="271"/>
      <c r="AT711" s="271"/>
      <c r="AU711" s="271"/>
      <c r="AV711" s="271"/>
      <c r="AW711" s="271"/>
      <c r="AX711" s="271"/>
      <c r="AY711" s="271"/>
      <c r="AZ711" s="271"/>
      <c r="BA711" s="271"/>
      <c r="BB711" s="271"/>
      <c r="BC711" s="272"/>
      <c r="BD711" s="273"/>
      <c r="BE711" s="273"/>
      <c r="BF711" s="273"/>
      <c r="BG711" s="268"/>
      <c r="BH711" s="274"/>
      <c r="BI711" s="268"/>
      <c r="BL711" s="200"/>
      <c r="BM711" s="200"/>
      <c r="BN711" s="200"/>
    </row>
    <row r="712" customFormat="false" ht="15" hidden="false" customHeight="true" outlineLevel="0" collapsed="false">
      <c r="B712" s="275"/>
      <c r="D712" s="276" t="n">
        <f aca="false">D696</f>
        <v>45292</v>
      </c>
      <c r="E712" s="277" t="n">
        <v>0</v>
      </c>
      <c r="F712" s="277" t="n">
        <v>0</v>
      </c>
      <c r="G712" s="277" t="n">
        <v>0</v>
      </c>
      <c r="H712" s="277" t="n">
        <v>0</v>
      </c>
      <c r="I712" s="277" t="n">
        <v>0</v>
      </c>
      <c r="J712" s="278" t="n">
        <f aca="false">E712+H712+I712</f>
        <v>0</v>
      </c>
      <c r="K712" s="204"/>
      <c r="L712" s="279" t="n">
        <v>1</v>
      </c>
      <c r="M712" s="280" t="n">
        <f aca="false">1-L712</f>
        <v>0</v>
      </c>
      <c r="N712" s="281"/>
      <c r="O712" s="282"/>
      <c r="P712" s="282"/>
      <c r="Q712" s="282"/>
      <c r="R712" s="282"/>
      <c r="S712" s="282"/>
      <c r="T712" s="282"/>
      <c r="U712" s="282"/>
      <c r="V712" s="282"/>
      <c r="W712" s="282"/>
      <c r="X712" s="282"/>
      <c r="Y712" s="282"/>
      <c r="Z712" s="282"/>
      <c r="AA712" s="283"/>
      <c r="AB712" s="284" t="n">
        <f aca="false">IFERROR(($J712*O712)*$L712, "")</f>
        <v>0</v>
      </c>
      <c r="AC712" s="284" t="n">
        <f aca="false">IFERROR(($J712*P712)*$L712, "")</f>
        <v>0</v>
      </c>
      <c r="AD712" s="284" t="n">
        <f aca="false">IFERROR(($J712*Q712)*$L712, "")</f>
        <v>0</v>
      </c>
      <c r="AE712" s="284" t="n">
        <f aca="false">IFERROR(($J712*R712)*$L712, "")</f>
        <v>0</v>
      </c>
      <c r="AF712" s="284" t="n">
        <f aca="false">IFERROR(($J712*S712)*$L712, "")</f>
        <v>0</v>
      </c>
      <c r="AG712" s="284" t="n">
        <f aca="false">IFERROR(($J712*T712)*$L712, "")</f>
        <v>0</v>
      </c>
      <c r="AH712" s="284" t="n">
        <f aca="false">IFERROR(($J712*U712)*$L712, "")</f>
        <v>0</v>
      </c>
      <c r="AI712" s="284" t="n">
        <f aca="false">IFERROR(($J712*V712)*$L712, "")</f>
        <v>0</v>
      </c>
      <c r="AJ712" s="284" t="n">
        <f aca="false">IFERROR(($J712*W712)*$L712, "")</f>
        <v>0</v>
      </c>
      <c r="AK712" s="284" t="n">
        <f aca="false">IFERROR(($J712*X712)*$L712, "")</f>
        <v>0</v>
      </c>
      <c r="AL712" s="284" t="n">
        <f aca="false">IFERROR(($J712*Y712)*$L712, "")</f>
        <v>0</v>
      </c>
      <c r="AM712" s="285" t="n">
        <f aca="false">IFERROR(($J712*Z712)*$L712, "")</f>
        <v>0</v>
      </c>
      <c r="AN712" s="286" t="n">
        <f aca="false">IFERROR(SUMIF($AB$4:$AM$4, "RDEC", AB712:AM712), "")</f>
        <v>0</v>
      </c>
      <c r="AO712" s="286" t="n">
        <f aca="false">IFERROR(SUMIF($AB$4:$AM$4, "SME", AB712:AM712), "")</f>
        <v>0</v>
      </c>
      <c r="AP712" s="286" t="n">
        <f aca="false">IFERROR(SUMIF($AB$4:$AM$4, "De Minimis", AB712:AM712), "")</f>
        <v>0</v>
      </c>
      <c r="AQ712" s="283"/>
      <c r="AR712" s="284" t="n">
        <f aca="false">IFERROR(($J712*O712)*$M712, "")</f>
        <v>0</v>
      </c>
      <c r="AS712" s="284" t="n">
        <f aca="false">IFERROR(($J712*P712)*$M712, "")</f>
        <v>0</v>
      </c>
      <c r="AT712" s="284" t="n">
        <f aca="false">IFERROR(($J712*Q712)*$M712, "")</f>
        <v>0</v>
      </c>
      <c r="AU712" s="284" t="n">
        <f aca="false">IFERROR(($J712*R712)*$M712, "")</f>
        <v>0</v>
      </c>
      <c r="AV712" s="284" t="n">
        <f aca="false">IFERROR(($J712*S712)*$M712, "")</f>
        <v>0</v>
      </c>
      <c r="AW712" s="284" t="n">
        <f aca="false">IFERROR(($J712*T712)*$M712, "")</f>
        <v>0</v>
      </c>
      <c r="AX712" s="284" t="n">
        <f aca="false">IFERROR(($J712*U712)*$M712, "")</f>
        <v>0</v>
      </c>
      <c r="AY712" s="284" t="n">
        <f aca="false">IFERROR(($J712*V712)*$M712, "")</f>
        <v>0</v>
      </c>
      <c r="AZ712" s="284" t="n">
        <f aca="false">IFERROR(($J712*W712)*$M712, "")</f>
        <v>0</v>
      </c>
      <c r="BA712" s="284" t="n">
        <f aca="false">IFERROR(($J712*X712)*$M712, "")</f>
        <v>0</v>
      </c>
      <c r="BB712" s="284" t="n">
        <f aca="false">IFERROR(($J712*Y712)*$M712, "")</f>
        <v>0</v>
      </c>
      <c r="BC712" s="285" t="n">
        <f aca="false">IFERROR(($J712*Z712)*$M712, "")</f>
        <v>0</v>
      </c>
      <c r="BD712" s="286" t="n">
        <f aca="false">IFERROR(SUMIF($AB$4:$AM$4, "RDEC", AR712:BC712), "")</f>
        <v>0</v>
      </c>
      <c r="BE712" s="286" t="n">
        <f aca="false">IFERROR(SUMIF($AB$4:$AM$4, "SME", AR712:BC712), "")</f>
        <v>0</v>
      </c>
      <c r="BF712" s="286" t="n">
        <f aca="false">IFERROR(SUMIF($AB$4:$AM$4, "De Minimis", AR712:BC712), "")</f>
        <v>0</v>
      </c>
      <c r="BG712" s="287"/>
      <c r="BH712" s="288" t="str">
        <f aca="false">IF((SUM(O712:Z712)&gt;1),"ERROR","")</f>
        <v/>
      </c>
      <c r="BI712" s="287"/>
      <c r="BJ712" s="18" t="str">
        <f aca="false">IF(C698&gt;0, C698, "")</f>
        <v/>
      </c>
      <c r="BL712" s="200"/>
      <c r="BM712" s="200"/>
      <c r="BN712" s="200"/>
    </row>
    <row r="713" customFormat="false" ht="15" hidden="false" customHeight="true" outlineLevel="0" collapsed="false">
      <c r="B713" s="275"/>
      <c r="D713" s="276" t="n">
        <f aca="false">D697</f>
        <v>45323</v>
      </c>
      <c r="E713" s="277" t="n">
        <v>0</v>
      </c>
      <c r="F713" s="277" t="n">
        <v>0</v>
      </c>
      <c r="G713" s="277" t="n">
        <v>0</v>
      </c>
      <c r="H713" s="277" t="n">
        <v>0</v>
      </c>
      <c r="I713" s="277" t="n">
        <v>0</v>
      </c>
      <c r="J713" s="278" t="n">
        <f aca="false">E713+H713+I713</f>
        <v>0</v>
      </c>
      <c r="K713" s="204"/>
      <c r="L713" s="279" t="n">
        <v>1</v>
      </c>
      <c r="M713" s="280" t="n">
        <f aca="false">1-L713</f>
        <v>0</v>
      </c>
      <c r="N713" s="281"/>
      <c r="O713" s="282"/>
      <c r="P713" s="282"/>
      <c r="Q713" s="282"/>
      <c r="R713" s="282"/>
      <c r="S713" s="282"/>
      <c r="T713" s="282"/>
      <c r="U713" s="282"/>
      <c r="V713" s="282"/>
      <c r="W713" s="282"/>
      <c r="X713" s="282"/>
      <c r="Y713" s="282"/>
      <c r="Z713" s="282"/>
      <c r="AA713" s="283"/>
      <c r="AB713" s="284" t="n">
        <f aca="false">IFERROR(($J713*O713)*$L713, "")</f>
        <v>0</v>
      </c>
      <c r="AC713" s="284" t="n">
        <f aca="false">IFERROR(($J713*P713)*$L713, "")</f>
        <v>0</v>
      </c>
      <c r="AD713" s="284" t="n">
        <f aca="false">IFERROR(($J713*Q713)*$L713, "")</f>
        <v>0</v>
      </c>
      <c r="AE713" s="284" t="n">
        <f aca="false">IFERROR(($J713*R713)*$L713, "")</f>
        <v>0</v>
      </c>
      <c r="AF713" s="284" t="n">
        <f aca="false">IFERROR(($J713*S713)*$L713, "")</f>
        <v>0</v>
      </c>
      <c r="AG713" s="284" t="n">
        <f aca="false">IFERROR(($J713*T713)*$L713, "")</f>
        <v>0</v>
      </c>
      <c r="AH713" s="284" t="n">
        <f aca="false">IFERROR(($J713*U713)*$L713, "")</f>
        <v>0</v>
      </c>
      <c r="AI713" s="284" t="n">
        <f aca="false">IFERROR(($J713*V713)*$L713, "")</f>
        <v>0</v>
      </c>
      <c r="AJ713" s="284" t="n">
        <f aca="false">IFERROR(($J713*W713)*$L713, "")</f>
        <v>0</v>
      </c>
      <c r="AK713" s="284" t="n">
        <f aca="false">IFERROR(($J713*X713)*$L713, "")</f>
        <v>0</v>
      </c>
      <c r="AL713" s="284" t="n">
        <f aca="false">IFERROR(($J713*Y713)*$L713, "")</f>
        <v>0</v>
      </c>
      <c r="AM713" s="285" t="n">
        <f aca="false">IFERROR(($J713*Z713)*$L713, "")</f>
        <v>0</v>
      </c>
      <c r="AN713" s="286" t="n">
        <f aca="false">IFERROR(SUMIF($AB$4:$AM$4, "RDEC", AB713:AM713), "")</f>
        <v>0</v>
      </c>
      <c r="AO713" s="286" t="n">
        <f aca="false">IFERROR(SUMIF($AB$4:$AM$4, "SME", AB713:AM713), "")</f>
        <v>0</v>
      </c>
      <c r="AP713" s="286" t="n">
        <f aca="false">IFERROR(SUMIF($AB$4:$AM$4, "De Minimis", AB713:AM713), "")</f>
        <v>0</v>
      </c>
      <c r="AQ713" s="283"/>
      <c r="AR713" s="284" t="n">
        <f aca="false">IFERROR(($J713*O713)*$M713, "")</f>
        <v>0</v>
      </c>
      <c r="AS713" s="284" t="n">
        <f aca="false">IFERROR(($J713*P713)*$M713, "")</f>
        <v>0</v>
      </c>
      <c r="AT713" s="284" t="n">
        <f aca="false">IFERROR(($J713*Q713)*$M713, "")</f>
        <v>0</v>
      </c>
      <c r="AU713" s="284" t="n">
        <f aca="false">IFERROR(($J713*R713)*$M713, "")</f>
        <v>0</v>
      </c>
      <c r="AV713" s="284" t="n">
        <f aca="false">IFERROR(($J713*S713)*$M713, "")</f>
        <v>0</v>
      </c>
      <c r="AW713" s="284" t="n">
        <f aca="false">IFERROR(($J713*T713)*$M713, "")</f>
        <v>0</v>
      </c>
      <c r="AX713" s="284" t="n">
        <f aca="false">IFERROR(($J713*U713)*$M713, "")</f>
        <v>0</v>
      </c>
      <c r="AY713" s="284" t="n">
        <f aca="false">IFERROR(($J713*V713)*$M713, "")</f>
        <v>0</v>
      </c>
      <c r="AZ713" s="284" t="n">
        <f aca="false">IFERROR(($J713*W713)*$M713, "")</f>
        <v>0</v>
      </c>
      <c r="BA713" s="284" t="n">
        <f aca="false">IFERROR(($J713*X713)*$M713, "")</f>
        <v>0</v>
      </c>
      <c r="BB713" s="284" t="n">
        <f aca="false">IFERROR(($J713*Y713)*$M713, "")</f>
        <v>0</v>
      </c>
      <c r="BC713" s="285" t="n">
        <f aca="false">IFERROR(($J713*Z713)*$M713, "")</f>
        <v>0</v>
      </c>
      <c r="BD713" s="286" t="n">
        <f aca="false">IFERROR(SUMIF($AB$4:$AM$4, "RDEC", AR713:BC713), "")</f>
        <v>0</v>
      </c>
      <c r="BE713" s="286" t="n">
        <f aca="false">IFERROR(SUMIF($AB$4:$AM$4, "SME", AR713:BC713), "")</f>
        <v>0</v>
      </c>
      <c r="BF713" s="286" t="n">
        <f aca="false">IFERROR(SUMIF($AB$4:$AM$4, "De Minimis", AR713:BC713), "")</f>
        <v>0</v>
      </c>
      <c r="BG713" s="287"/>
      <c r="BH713" s="288" t="str">
        <f aca="false">IF((SUM(O713:Z713)&gt;1),"ERROR","")</f>
        <v/>
      </c>
      <c r="BI713" s="287"/>
      <c r="BJ713" s="18" t="str">
        <f aca="false">IF(C699&gt;0, C699, "")</f>
        <v/>
      </c>
      <c r="BL713" s="200"/>
      <c r="BM713" s="200"/>
      <c r="BN713" s="200"/>
    </row>
    <row r="714" customFormat="false" ht="15" hidden="false" customHeight="true" outlineLevel="0" collapsed="false">
      <c r="B714" s="275"/>
      <c r="D714" s="276" t="n">
        <f aca="false">D698</f>
        <v>45352</v>
      </c>
      <c r="E714" s="277" t="n">
        <v>0</v>
      </c>
      <c r="F714" s="277" t="n">
        <v>0</v>
      </c>
      <c r="G714" s="277" t="n">
        <v>0</v>
      </c>
      <c r="H714" s="277" t="n">
        <v>0</v>
      </c>
      <c r="I714" s="277" t="n">
        <v>0</v>
      </c>
      <c r="J714" s="278" t="n">
        <f aca="false">E714+H714+I714</f>
        <v>0</v>
      </c>
      <c r="K714" s="204"/>
      <c r="L714" s="279" t="n">
        <v>1</v>
      </c>
      <c r="M714" s="280" t="n">
        <f aca="false">1-L714</f>
        <v>0</v>
      </c>
      <c r="N714" s="281"/>
      <c r="O714" s="282"/>
      <c r="P714" s="282"/>
      <c r="Q714" s="282"/>
      <c r="R714" s="282"/>
      <c r="S714" s="282"/>
      <c r="T714" s="282"/>
      <c r="U714" s="282"/>
      <c r="V714" s="282"/>
      <c r="W714" s="282"/>
      <c r="X714" s="282"/>
      <c r="Y714" s="282"/>
      <c r="Z714" s="282"/>
      <c r="AA714" s="283"/>
      <c r="AB714" s="284" t="n">
        <f aca="false">IFERROR(($J714*O714)*$L714, "")</f>
        <v>0</v>
      </c>
      <c r="AC714" s="284" t="n">
        <f aca="false">IFERROR(($J714*P714)*$L714, "")</f>
        <v>0</v>
      </c>
      <c r="AD714" s="284" t="n">
        <f aca="false">IFERROR(($J714*Q714)*$L714, "")</f>
        <v>0</v>
      </c>
      <c r="AE714" s="284" t="n">
        <f aca="false">IFERROR(($J714*R714)*$L714, "")</f>
        <v>0</v>
      </c>
      <c r="AF714" s="284" t="n">
        <f aca="false">IFERROR(($J714*S714)*$L714, "")</f>
        <v>0</v>
      </c>
      <c r="AG714" s="284" t="n">
        <f aca="false">IFERROR(($J714*T714)*$L714, "")</f>
        <v>0</v>
      </c>
      <c r="AH714" s="284" t="n">
        <f aca="false">IFERROR(($J714*U714)*$L714, "")</f>
        <v>0</v>
      </c>
      <c r="AI714" s="284" t="n">
        <f aca="false">IFERROR(($J714*V714)*$L714, "")</f>
        <v>0</v>
      </c>
      <c r="AJ714" s="284" t="n">
        <f aca="false">IFERROR(($J714*W714)*$L714, "")</f>
        <v>0</v>
      </c>
      <c r="AK714" s="284" t="n">
        <f aca="false">IFERROR(($J714*X714)*$L714, "")</f>
        <v>0</v>
      </c>
      <c r="AL714" s="284" t="n">
        <f aca="false">IFERROR(($J714*Y714)*$L714, "")</f>
        <v>0</v>
      </c>
      <c r="AM714" s="285" t="n">
        <f aca="false">IFERROR(($J714*Z714)*$L714, "")</f>
        <v>0</v>
      </c>
      <c r="AN714" s="286" t="n">
        <f aca="false">IFERROR(SUMIF($AB$4:$AM$4, "RDEC", AB714:AM714), "")</f>
        <v>0</v>
      </c>
      <c r="AO714" s="286" t="n">
        <f aca="false">IFERROR(SUMIF($AB$4:$AM$4, "SME", AB714:AM714), "")</f>
        <v>0</v>
      </c>
      <c r="AP714" s="286" t="n">
        <f aca="false">IFERROR(SUMIF($AB$4:$AM$4, "De Minimis", AB714:AM714), "")</f>
        <v>0</v>
      </c>
      <c r="AQ714" s="283"/>
      <c r="AR714" s="284" t="n">
        <f aca="false">IFERROR(($J714*O714)*$M714, "")</f>
        <v>0</v>
      </c>
      <c r="AS714" s="284" t="n">
        <f aca="false">IFERROR(($J714*P714)*$M714, "")</f>
        <v>0</v>
      </c>
      <c r="AT714" s="284" t="n">
        <f aca="false">IFERROR(($J714*Q714)*$M714, "")</f>
        <v>0</v>
      </c>
      <c r="AU714" s="284" t="n">
        <f aca="false">IFERROR(($J714*R714)*$M714, "")</f>
        <v>0</v>
      </c>
      <c r="AV714" s="284" t="n">
        <f aca="false">IFERROR(($J714*S714)*$M714, "")</f>
        <v>0</v>
      </c>
      <c r="AW714" s="284" t="n">
        <f aca="false">IFERROR(($J714*T714)*$M714, "")</f>
        <v>0</v>
      </c>
      <c r="AX714" s="284" t="n">
        <f aca="false">IFERROR(($J714*U714)*$M714, "")</f>
        <v>0</v>
      </c>
      <c r="AY714" s="284" t="n">
        <f aca="false">IFERROR(($J714*V714)*$M714, "")</f>
        <v>0</v>
      </c>
      <c r="AZ714" s="284" t="n">
        <f aca="false">IFERROR(($J714*W714)*$M714, "")</f>
        <v>0</v>
      </c>
      <c r="BA714" s="284" t="n">
        <f aca="false">IFERROR(($J714*X714)*$M714, "")</f>
        <v>0</v>
      </c>
      <c r="BB714" s="284" t="n">
        <f aca="false">IFERROR(($J714*Y714)*$M714, "")</f>
        <v>0</v>
      </c>
      <c r="BC714" s="285" t="n">
        <f aca="false">IFERROR(($J714*Z714)*$M714, "")</f>
        <v>0</v>
      </c>
      <c r="BD714" s="286" t="n">
        <f aca="false">IFERROR(SUMIF($AB$4:$AM$4, "RDEC", AR714:BC714), "")</f>
        <v>0</v>
      </c>
      <c r="BE714" s="286" t="n">
        <f aca="false">IFERROR(SUMIF($AB$4:$AM$4, "SME", AR714:BC714), "")</f>
        <v>0</v>
      </c>
      <c r="BF714" s="286" t="n">
        <f aca="false">IFERROR(SUMIF($AB$4:$AM$4, "De Minimis", AR714:BC714), "")</f>
        <v>0</v>
      </c>
      <c r="BG714" s="287"/>
      <c r="BH714" s="288" t="str">
        <f aca="false">IF((SUM(O714:Z714)&gt;1),"ERROR","")</f>
        <v/>
      </c>
      <c r="BI714" s="287"/>
      <c r="BJ714" s="18" t="str">
        <f aca="false">IF(C700&gt;0, C700, "")</f>
        <v/>
      </c>
      <c r="BL714" s="200"/>
      <c r="BM714" s="200"/>
      <c r="BN714" s="200"/>
    </row>
    <row r="715" customFormat="false" ht="15" hidden="false" customHeight="true" outlineLevel="0" collapsed="false">
      <c r="B715" s="275"/>
      <c r="D715" s="276" t="n">
        <f aca="false">D699</f>
        <v>45383</v>
      </c>
      <c r="E715" s="277" t="n">
        <v>0</v>
      </c>
      <c r="F715" s="277" t="n">
        <v>0</v>
      </c>
      <c r="G715" s="277" t="n">
        <v>0</v>
      </c>
      <c r="H715" s="277" t="n">
        <v>0</v>
      </c>
      <c r="I715" s="277" t="n">
        <v>0</v>
      </c>
      <c r="J715" s="278" t="n">
        <f aca="false">E715+H715+I715</f>
        <v>0</v>
      </c>
      <c r="K715" s="204"/>
      <c r="L715" s="279" t="n">
        <v>1</v>
      </c>
      <c r="M715" s="280" t="n">
        <f aca="false">1-L715</f>
        <v>0</v>
      </c>
      <c r="N715" s="281"/>
      <c r="O715" s="282"/>
      <c r="P715" s="282"/>
      <c r="Q715" s="282"/>
      <c r="R715" s="282"/>
      <c r="S715" s="282"/>
      <c r="T715" s="282"/>
      <c r="U715" s="282"/>
      <c r="V715" s="282"/>
      <c r="W715" s="282"/>
      <c r="X715" s="282"/>
      <c r="Y715" s="282"/>
      <c r="Z715" s="282"/>
      <c r="AA715" s="283"/>
      <c r="AB715" s="284" t="n">
        <f aca="false">IFERROR(($J715*O715)*$L715, "")</f>
        <v>0</v>
      </c>
      <c r="AC715" s="284" t="n">
        <f aca="false">IFERROR(($J715*P715)*$L715, "")</f>
        <v>0</v>
      </c>
      <c r="AD715" s="284" t="n">
        <f aca="false">IFERROR(($J715*Q715)*$L715, "")</f>
        <v>0</v>
      </c>
      <c r="AE715" s="284" t="n">
        <f aca="false">IFERROR(($J715*R715)*$L715, "")</f>
        <v>0</v>
      </c>
      <c r="AF715" s="284" t="n">
        <f aca="false">IFERROR(($J715*S715)*$L715, "")</f>
        <v>0</v>
      </c>
      <c r="AG715" s="284" t="n">
        <f aca="false">IFERROR(($J715*T715)*$L715, "")</f>
        <v>0</v>
      </c>
      <c r="AH715" s="284" t="n">
        <f aca="false">IFERROR(($J715*U715)*$L715, "")</f>
        <v>0</v>
      </c>
      <c r="AI715" s="284" t="n">
        <f aca="false">IFERROR(($J715*V715)*$L715, "")</f>
        <v>0</v>
      </c>
      <c r="AJ715" s="284" t="n">
        <f aca="false">IFERROR(($J715*W715)*$L715, "")</f>
        <v>0</v>
      </c>
      <c r="AK715" s="284" t="n">
        <f aca="false">IFERROR(($J715*X715)*$L715, "")</f>
        <v>0</v>
      </c>
      <c r="AL715" s="284" t="n">
        <f aca="false">IFERROR(($J715*Y715)*$L715, "")</f>
        <v>0</v>
      </c>
      <c r="AM715" s="285" t="n">
        <f aca="false">IFERROR(($J715*Z715)*$L715, "")</f>
        <v>0</v>
      </c>
      <c r="AN715" s="286" t="n">
        <f aca="false">IFERROR(SUMIF($AB$4:$AM$4, "RDEC", AB715:AM715), "")</f>
        <v>0</v>
      </c>
      <c r="AO715" s="286" t="n">
        <f aca="false">IFERROR(SUMIF($AB$4:$AM$4, "SME", AB715:AM715), "")</f>
        <v>0</v>
      </c>
      <c r="AP715" s="286" t="n">
        <f aca="false">IFERROR(SUMIF($AB$4:$AM$4, "De Minimis", AB715:AM715), "")</f>
        <v>0</v>
      </c>
      <c r="AQ715" s="283"/>
      <c r="AR715" s="284" t="n">
        <f aca="false">IFERROR(($J715*O715)*$M715, "")</f>
        <v>0</v>
      </c>
      <c r="AS715" s="284" t="n">
        <f aca="false">IFERROR(($J715*P715)*$M715, "")</f>
        <v>0</v>
      </c>
      <c r="AT715" s="284" t="n">
        <f aca="false">IFERROR(($J715*Q715)*$M715, "")</f>
        <v>0</v>
      </c>
      <c r="AU715" s="284" t="n">
        <f aca="false">IFERROR(($J715*R715)*$M715, "")</f>
        <v>0</v>
      </c>
      <c r="AV715" s="284" t="n">
        <f aca="false">IFERROR(($J715*S715)*$M715, "")</f>
        <v>0</v>
      </c>
      <c r="AW715" s="284" t="n">
        <f aca="false">IFERROR(($J715*T715)*$M715, "")</f>
        <v>0</v>
      </c>
      <c r="AX715" s="284" t="n">
        <f aca="false">IFERROR(($J715*U715)*$M715, "")</f>
        <v>0</v>
      </c>
      <c r="AY715" s="284" t="n">
        <f aca="false">IFERROR(($J715*V715)*$M715, "")</f>
        <v>0</v>
      </c>
      <c r="AZ715" s="284" t="n">
        <f aca="false">IFERROR(($J715*W715)*$M715, "")</f>
        <v>0</v>
      </c>
      <c r="BA715" s="284" t="n">
        <f aca="false">IFERROR(($J715*X715)*$M715, "")</f>
        <v>0</v>
      </c>
      <c r="BB715" s="284" t="n">
        <f aca="false">IFERROR(($J715*Y715)*$M715, "")</f>
        <v>0</v>
      </c>
      <c r="BC715" s="285" t="n">
        <f aca="false">IFERROR(($J715*Z715)*$M715, "")</f>
        <v>0</v>
      </c>
      <c r="BD715" s="286" t="n">
        <f aca="false">IFERROR(SUMIF($AB$4:$AM$4, "RDEC", AR715:BC715), "")</f>
        <v>0</v>
      </c>
      <c r="BE715" s="286" t="n">
        <f aca="false">IFERROR(SUMIF($AB$4:$AM$4, "SME", AR715:BC715), "")</f>
        <v>0</v>
      </c>
      <c r="BF715" s="286" t="n">
        <f aca="false">IFERROR(SUMIF($AB$4:$AM$4, "De Minimis", AR715:BC715), "")</f>
        <v>0</v>
      </c>
      <c r="BG715" s="287"/>
      <c r="BH715" s="288" t="str">
        <f aca="false">IF((SUM(O715:Z715)&gt;1),"ERROR","")</f>
        <v/>
      </c>
      <c r="BI715" s="287"/>
      <c r="BJ715" s="18" t="str">
        <f aca="false">IF(C701&gt;0, C701, "")</f>
        <v/>
      </c>
      <c r="BL715" s="200"/>
      <c r="BM715" s="200"/>
      <c r="BN715" s="200"/>
    </row>
    <row r="716" customFormat="false" ht="15" hidden="false" customHeight="true" outlineLevel="0" collapsed="false">
      <c r="B716" s="275"/>
      <c r="D716" s="276" t="n">
        <f aca="false">D700</f>
        <v>45413</v>
      </c>
      <c r="E716" s="277" t="n">
        <v>0</v>
      </c>
      <c r="F716" s="277" t="n">
        <v>0</v>
      </c>
      <c r="G716" s="277" t="n">
        <v>0</v>
      </c>
      <c r="H716" s="277" t="n">
        <v>0</v>
      </c>
      <c r="I716" s="277" t="n">
        <v>0</v>
      </c>
      <c r="J716" s="278" t="n">
        <f aca="false">E716+H716+I716</f>
        <v>0</v>
      </c>
      <c r="K716" s="204"/>
      <c r="L716" s="279" t="n">
        <v>1</v>
      </c>
      <c r="M716" s="280" t="n">
        <f aca="false">1-L716</f>
        <v>0</v>
      </c>
      <c r="N716" s="281"/>
      <c r="O716" s="282"/>
      <c r="P716" s="282"/>
      <c r="Q716" s="282"/>
      <c r="R716" s="282"/>
      <c r="S716" s="282"/>
      <c r="T716" s="282"/>
      <c r="U716" s="282"/>
      <c r="V716" s="282"/>
      <c r="W716" s="282"/>
      <c r="X716" s="282"/>
      <c r="Y716" s="282"/>
      <c r="Z716" s="282"/>
      <c r="AA716" s="283"/>
      <c r="AB716" s="284" t="n">
        <f aca="false">IFERROR(($J716*O716)*$L716, "")</f>
        <v>0</v>
      </c>
      <c r="AC716" s="284" t="n">
        <f aca="false">IFERROR(($J716*P716)*$L716, "")</f>
        <v>0</v>
      </c>
      <c r="AD716" s="284" t="n">
        <f aca="false">IFERROR(($J716*Q716)*$L716, "")</f>
        <v>0</v>
      </c>
      <c r="AE716" s="284" t="n">
        <f aca="false">IFERROR(($J716*R716)*$L716, "")</f>
        <v>0</v>
      </c>
      <c r="AF716" s="284" t="n">
        <f aca="false">IFERROR(($J716*S716)*$L716, "")</f>
        <v>0</v>
      </c>
      <c r="AG716" s="284" t="n">
        <f aca="false">IFERROR(($J716*T716)*$L716, "")</f>
        <v>0</v>
      </c>
      <c r="AH716" s="284" t="n">
        <f aca="false">IFERROR(($J716*U716)*$L716, "")</f>
        <v>0</v>
      </c>
      <c r="AI716" s="284" t="n">
        <f aca="false">IFERROR(($J716*V716)*$L716, "")</f>
        <v>0</v>
      </c>
      <c r="AJ716" s="284" t="n">
        <f aca="false">IFERROR(($J716*W716)*$L716, "")</f>
        <v>0</v>
      </c>
      <c r="AK716" s="284" t="n">
        <f aca="false">IFERROR(($J716*X716)*$L716, "")</f>
        <v>0</v>
      </c>
      <c r="AL716" s="284" t="n">
        <f aca="false">IFERROR(($J716*Y716)*$L716, "")</f>
        <v>0</v>
      </c>
      <c r="AM716" s="285" t="n">
        <f aca="false">IFERROR(($J716*Z716)*$L716, "")</f>
        <v>0</v>
      </c>
      <c r="AN716" s="286" t="n">
        <f aca="false">IFERROR(SUMIF($AB$4:$AM$4, "RDEC", AB716:AM716), "")</f>
        <v>0</v>
      </c>
      <c r="AO716" s="286" t="n">
        <f aca="false">IFERROR(SUMIF($AB$4:$AM$4, "SME", AB716:AM716), "")</f>
        <v>0</v>
      </c>
      <c r="AP716" s="286" t="n">
        <f aca="false">IFERROR(SUMIF($AB$4:$AM$4, "De Minimis", AB716:AM716), "")</f>
        <v>0</v>
      </c>
      <c r="AQ716" s="283"/>
      <c r="AR716" s="284" t="n">
        <f aca="false">IFERROR(($J716*O716)*$M716, "")</f>
        <v>0</v>
      </c>
      <c r="AS716" s="284" t="n">
        <f aca="false">IFERROR(($J716*P716)*$M716, "")</f>
        <v>0</v>
      </c>
      <c r="AT716" s="284" t="n">
        <f aca="false">IFERROR(($J716*Q716)*$M716, "")</f>
        <v>0</v>
      </c>
      <c r="AU716" s="284" t="n">
        <f aca="false">IFERROR(($J716*R716)*$M716, "")</f>
        <v>0</v>
      </c>
      <c r="AV716" s="284" t="n">
        <f aca="false">IFERROR(($J716*S716)*$M716, "")</f>
        <v>0</v>
      </c>
      <c r="AW716" s="284" t="n">
        <f aca="false">IFERROR(($J716*T716)*$M716, "")</f>
        <v>0</v>
      </c>
      <c r="AX716" s="284" t="n">
        <f aca="false">IFERROR(($J716*U716)*$M716, "")</f>
        <v>0</v>
      </c>
      <c r="AY716" s="284" t="n">
        <f aca="false">IFERROR(($J716*V716)*$M716, "")</f>
        <v>0</v>
      </c>
      <c r="AZ716" s="284" t="n">
        <f aca="false">IFERROR(($J716*W716)*$M716, "")</f>
        <v>0</v>
      </c>
      <c r="BA716" s="284" t="n">
        <f aca="false">IFERROR(($J716*X716)*$M716, "")</f>
        <v>0</v>
      </c>
      <c r="BB716" s="284" t="n">
        <f aca="false">IFERROR(($J716*Y716)*$M716, "")</f>
        <v>0</v>
      </c>
      <c r="BC716" s="285" t="n">
        <f aca="false">IFERROR(($J716*Z716)*$M716, "")</f>
        <v>0</v>
      </c>
      <c r="BD716" s="286" t="n">
        <f aca="false">IFERROR(SUMIF($AB$4:$AM$4, "RDEC", AR716:BC716), "")</f>
        <v>0</v>
      </c>
      <c r="BE716" s="286" t="n">
        <f aca="false">IFERROR(SUMIF($AB$4:$AM$4, "SME", AR716:BC716), "")</f>
        <v>0</v>
      </c>
      <c r="BF716" s="286" t="n">
        <f aca="false">IFERROR(SUMIF($AB$4:$AM$4, "De Minimis", AR716:BC716), "")</f>
        <v>0</v>
      </c>
      <c r="BG716" s="287"/>
      <c r="BH716" s="288" t="str">
        <f aca="false">IF((SUM(O716:Z716)&gt;1),"ERROR","")</f>
        <v/>
      </c>
      <c r="BI716" s="287"/>
      <c r="BJ716" s="18" t="str">
        <f aca="false">IF(C702&gt;0, C702, "")</f>
        <v/>
      </c>
      <c r="BL716" s="200"/>
      <c r="BM716" s="200"/>
      <c r="BN716" s="200"/>
    </row>
    <row r="717" customFormat="false" ht="15" hidden="false" customHeight="true" outlineLevel="0" collapsed="false">
      <c r="B717" s="275"/>
      <c r="D717" s="276" t="n">
        <f aca="false">D701</f>
        <v>45444</v>
      </c>
      <c r="E717" s="277" t="n">
        <v>0</v>
      </c>
      <c r="F717" s="277" t="n">
        <v>0</v>
      </c>
      <c r="G717" s="277" t="n">
        <v>0</v>
      </c>
      <c r="H717" s="277" t="n">
        <v>0</v>
      </c>
      <c r="I717" s="277" t="n">
        <v>0</v>
      </c>
      <c r="J717" s="278" t="n">
        <f aca="false">E717+H717+I717</f>
        <v>0</v>
      </c>
      <c r="K717" s="204"/>
      <c r="L717" s="279" t="n">
        <v>1</v>
      </c>
      <c r="M717" s="280" t="n">
        <f aca="false">1-L717</f>
        <v>0</v>
      </c>
      <c r="N717" s="281"/>
      <c r="O717" s="282"/>
      <c r="P717" s="282"/>
      <c r="Q717" s="282"/>
      <c r="R717" s="282"/>
      <c r="S717" s="282"/>
      <c r="T717" s="282"/>
      <c r="U717" s="282"/>
      <c r="V717" s="282"/>
      <c r="W717" s="282"/>
      <c r="X717" s="282"/>
      <c r="Y717" s="282"/>
      <c r="Z717" s="282"/>
      <c r="AA717" s="283"/>
      <c r="AB717" s="284" t="n">
        <f aca="false">IFERROR(($J717*O717)*$L717, "")</f>
        <v>0</v>
      </c>
      <c r="AC717" s="284" t="n">
        <f aca="false">IFERROR(($J717*P717)*$L717, "")</f>
        <v>0</v>
      </c>
      <c r="AD717" s="284" t="n">
        <f aca="false">IFERROR(($J717*Q717)*$L717, "")</f>
        <v>0</v>
      </c>
      <c r="AE717" s="284" t="n">
        <f aca="false">IFERROR(($J717*R717)*$L717, "")</f>
        <v>0</v>
      </c>
      <c r="AF717" s="284" t="n">
        <f aca="false">IFERROR(($J717*S717)*$L717, "")</f>
        <v>0</v>
      </c>
      <c r="AG717" s="284" t="n">
        <f aca="false">IFERROR(($J717*T717)*$L717, "")</f>
        <v>0</v>
      </c>
      <c r="AH717" s="284" t="n">
        <f aca="false">IFERROR(($J717*U717)*$L717, "")</f>
        <v>0</v>
      </c>
      <c r="AI717" s="284" t="n">
        <f aca="false">IFERROR(($J717*V717)*$L717, "")</f>
        <v>0</v>
      </c>
      <c r="AJ717" s="284" t="n">
        <f aca="false">IFERROR(($J717*W717)*$L717, "")</f>
        <v>0</v>
      </c>
      <c r="AK717" s="284" t="n">
        <f aca="false">IFERROR(($J717*X717)*$L717, "")</f>
        <v>0</v>
      </c>
      <c r="AL717" s="284" t="n">
        <f aca="false">IFERROR(($J717*Y717)*$L717, "")</f>
        <v>0</v>
      </c>
      <c r="AM717" s="285" t="n">
        <f aca="false">IFERROR(($J717*Z717)*$L717, "")</f>
        <v>0</v>
      </c>
      <c r="AN717" s="286" t="n">
        <f aca="false">IFERROR(SUMIF($AB$4:$AM$4, "RDEC", AB717:AM717), "")</f>
        <v>0</v>
      </c>
      <c r="AO717" s="286" t="n">
        <f aca="false">IFERROR(SUMIF($AB$4:$AM$4, "SME", AB717:AM717), "")</f>
        <v>0</v>
      </c>
      <c r="AP717" s="286" t="n">
        <f aca="false">IFERROR(SUMIF($AB$4:$AM$4, "De Minimis", AB717:AM717), "")</f>
        <v>0</v>
      </c>
      <c r="AQ717" s="283"/>
      <c r="AR717" s="284" t="n">
        <f aca="false">IFERROR(($J717*O717)*$M717, "")</f>
        <v>0</v>
      </c>
      <c r="AS717" s="284" t="n">
        <f aca="false">IFERROR(($J717*P717)*$M717, "")</f>
        <v>0</v>
      </c>
      <c r="AT717" s="284" t="n">
        <f aca="false">IFERROR(($J717*Q717)*$M717, "")</f>
        <v>0</v>
      </c>
      <c r="AU717" s="284" t="n">
        <f aca="false">IFERROR(($J717*R717)*$M717, "")</f>
        <v>0</v>
      </c>
      <c r="AV717" s="284" t="n">
        <f aca="false">IFERROR(($J717*S717)*$M717, "")</f>
        <v>0</v>
      </c>
      <c r="AW717" s="284" t="n">
        <f aca="false">IFERROR(($J717*T717)*$M717, "")</f>
        <v>0</v>
      </c>
      <c r="AX717" s="284" t="n">
        <f aca="false">IFERROR(($J717*U717)*$M717, "")</f>
        <v>0</v>
      </c>
      <c r="AY717" s="284" t="n">
        <f aca="false">IFERROR(($J717*V717)*$M717, "")</f>
        <v>0</v>
      </c>
      <c r="AZ717" s="284" t="n">
        <f aca="false">IFERROR(($J717*W717)*$M717, "")</f>
        <v>0</v>
      </c>
      <c r="BA717" s="284" t="n">
        <f aca="false">IFERROR(($J717*X717)*$M717, "")</f>
        <v>0</v>
      </c>
      <c r="BB717" s="284" t="n">
        <f aca="false">IFERROR(($J717*Y717)*$M717, "")</f>
        <v>0</v>
      </c>
      <c r="BC717" s="285" t="n">
        <f aca="false">IFERROR(($J717*Z717)*$M717, "")</f>
        <v>0</v>
      </c>
      <c r="BD717" s="286" t="n">
        <f aca="false">IFERROR(SUMIF($AB$4:$AM$4, "RDEC", AR717:BC717), "")</f>
        <v>0</v>
      </c>
      <c r="BE717" s="286" t="n">
        <f aca="false">IFERROR(SUMIF($AB$4:$AM$4, "SME", AR717:BC717), "")</f>
        <v>0</v>
      </c>
      <c r="BF717" s="286" t="n">
        <f aca="false">IFERROR(SUMIF($AB$4:$AM$4, "De Minimis", AR717:BC717), "")</f>
        <v>0</v>
      </c>
      <c r="BG717" s="287"/>
      <c r="BH717" s="288" t="str">
        <f aca="false">IF((SUM(O717:Z717)&gt;1),"ERROR","")</f>
        <v/>
      </c>
      <c r="BI717" s="287"/>
      <c r="BJ717" s="18" t="str">
        <f aca="false">IF(C703&gt;0, C703, "")</f>
        <v/>
      </c>
      <c r="BL717" s="200"/>
      <c r="BM717" s="200"/>
      <c r="BN717" s="200"/>
    </row>
    <row r="718" customFormat="false" ht="15" hidden="false" customHeight="true" outlineLevel="0" collapsed="false">
      <c r="B718" s="275"/>
      <c r="D718" s="276" t="n">
        <f aca="false">D702</f>
        <v>45474</v>
      </c>
      <c r="E718" s="277" t="n">
        <v>0</v>
      </c>
      <c r="F718" s="277" t="n">
        <v>0</v>
      </c>
      <c r="G718" s="277" t="n">
        <v>0</v>
      </c>
      <c r="H718" s="277" t="n">
        <v>0</v>
      </c>
      <c r="I718" s="277" t="n">
        <v>0</v>
      </c>
      <c r="J718" s="278" t="n">
        <f aca="false">E718+H718+I718</f>
        <v>0</v>
      </c>
      <c r="K718" s="204"/>
      <c r="L718" s="279" t="n">
        <v>1</v>
      </c>
      <c r="M718" s="280" t="n">
        <f aca="false">1-L718</f>
        <v>0</v>
      </c>
      <c r="N718" s="281"/>
      <c r="O718" s="282"/>
      <c r="P718" s="282"/>
      <c r="Q718" s="282"/>
      <c r="R718" s="282"/>
      <c r="S718" s="282"/>
      <c r="T718" s="282"/>
      <c r="U718" s="282"/>
      <c r="V718" s="282"/>
      <c r="W718" s="282"/>
      <c r="X718" s="282"/>
      <c r="Y718" s="282"/>
      <c r="Z718" s="282"/>
      <c r="AA718" s="283"/>
      <c r="AB718" s="284" t="n">
        <f aca="false">IFERROR(($J718*O718)*$L718, "")</f>
        <v>0</v>
      </c>
      <c r="AC718" s="284" t="n">
        <f aca="false">IFERROR(($J718*P718)*$L718, "")</f>
        <v>0</v>
      </c>
      <c r="AD718" s="284" t="n">
        <f aca="false">IFERROR(($J718*Q718)*$L718, "")</f>
        <v>0</v>
      </c>
      <c r="AE718" s="284" t="n">
        <f aca="false">IFERROR(($J718*R718)*$L718, "")</f>
        <v>0</v>
      </c>
      <c r="AF718" s="284" t="n">
        <f aca="false">IFERROR(($J718*S718)*$L718, "")</f>
        <v>0</v>
      </c>
      <c r="AG718" s="284" t="n">
        <f aca="false">IFERROR(($J718*T718)*$L718, "")</f>
        <v>0</v>
      </c>
      <c r="AH718" s="284" t="n">
        <f aca="false">IFERROR(($J718*U718)*$L718, "")</f>
        <v>0</v>
      </c>
      <c r="AI718" s="284" t="n">
        <f aca="false">IFERROR(($J718*V718)*$L718, "")</f>
        <v>0</v>
      </c>
      <c r="AJ718" s="284" t="n">
        <f aca="false">IFERROR(($J718*W718)*$L718, "")</f>
        <v>0</v>
      </c>
      <c r="AK718" s="284" t="n">
        <f aca="false">IFERROR(($J718*X718)*$L718, "")</f>
        <v>0</v>
      </c>
      <c r="AL718" s="284" t="n">
        <f aca="false">IFERROR(($J718*Y718)*$L718, "")</f>
        <v>0</v>
      </c>
      <c r="AM718" s="285" t="n">
        <f aca="false">IFERROR(($J718*Z718)*$L718, "")</f>
        <v>0</v>
      </c>
      <c r="AN718" s="286" t="n">
        <f aca="false">IFERROR(SUMIF($AB$4:$AM$4, "RDEC", AB718:AM718), "")</f>
        <v>0</v>
      </c>
      <c r="AO718" s="286" t="n">
        <f aca="false">IFERROR(SUMIF($AB$4:$AM$4, "SME", AB718:AM718), "")</f>
        <v>0</v>
      </c>
      <c r="AP718" s="286" t="n">
        <f aca="false">IFERROR(SUMIF($AB$4:$AM$4, "De Minimis", AB718:AM718), "")</f>
        <v>0</v>
      </c>
      <c r="AQ718" s="283"/>
      <c r="AR718" s="284" t="n">
        <f aca="false">IFERROR(($J718*O718)*$M718, "")</f>
        <v>0</v>
      </c>
      <c r="AS718" s="284" t="n">
        <f aca="false">IFERROR(($J718*P718)*$M718, "")</f>
        <v>0</v>
      </c>
      <c r="AT718" s="284" t="n">
        <f aca="false">IFERROR(($J718*Q718)*$M718, "")</f>
        <v>0</v>
      </c>
      <c r="AU718" s="284" t="n">
        <f aca="false">IFERROR(($J718*R718)*$M718, "")</f>
        <v>0</v>
      </c>
      <c r="AV718" s="284" t="n">
        <f aca="false">IFERROR(($J718*S718)*$M718, "")</f>
        <v>0</v>
      </c>
      <c r="AW718" s="284" t="n">
        <f aca="false">IFERROR(($J718*T718)*$M718, "")</f>
        <v>0</v>
      </c>
      <c r="AX718" s="284" t="n">
        <f aca="false">IFERROR(($J718*U718)*$M718, "")</f>
        <v>0</v>
      </c>
      <c r="AY718" s="284" t="n">
        <f aca="false">IFERROR(($J718*V718)*$M718, "")</f>
        <v>0</v>
      </c>
      <c r="AZ718" s="284" t="n">
        <f aca="false">IFERROR(($J718*W718)*$M718, "")</f>
        <v>0</v>
      </c>
      <c r="BA718" s="284" t="n">
        <f aca="false">IFERROR(($J718*X718)*$M718, "")</f>
        <v>0</v>
      </c>
      <c r="BB718" s="284" t="n">
        <f aca="false">IFERROR(($J718*Y718)*$M718, "")</f>
        <v>0</v>
      </c>
      <c r="BC718" s="285" t="n">
        <f aca="false">IFERROR(($J718*Z718)*$M718, "")</f>
        <v>0</v>
      </c>
      <c r="BD718" s="286" t="n">
        <f aca="false">IFERROR(SUMIF($AB$4:$AM$4, "RDEC", AR718:BC718), "")</f>
        <v>0</v>
      </c>
      <c r="BE718" s="286" t="n">
        <f aca="false">IFERROR(SUMIF($AB$4:$AM$4, "SME", AR718:BC718), "")</f>
        <v>0</v>
      </c>
      <c r="BF718" s="286" t="n">
        <f aca="false">IFERROR(SUMIF($AB$4:$AM$4, "De Minimis", AR718:BC718), "")</f>
        <v>0</v>
      </c>
      <c r="BG718" s="287"/>
      <c r="BH718" s="288" t="str">
        <f aca="false">IF((SUM(O718:Z718)&gt;1),"ERROR","")</f>
        <v/>
      </c>
      <c r="BI718" s="287"/>
      <c r="BJ718" s="18" t="str">
        <f aca="false">IF(C704&gt;0, C704, "")</f>
        <v/>
      </c>
      <c r="BL718" s="200"/>
      <c r="BM718" s="200"/>
      <c r="BN718" s="200"/>
    </row>
    <row r="719" customFormat="false" ht="15" hidden="false" customHeight="true" outlineLevel="0" collapsed="false">
      <c r="B719" s="275"/>
      <c r="D719" s="276" t="n">
        <f aca="false">D703</f>
        <v>45505</v>
      </c>
      <c r="E719" s="277" t="n">
        <v>0</v>
      </c>
      <c r="F719" s="277" t="n">
        <v>0</v>
      </c>
      <c r="G719" s="277" t="n">
        <v>0</v>
      </c>
      <c r="H719" s="277" t="n">
        <v>0</v>
      </c>
      <c r="I719" s="277" t="n">
        <v>0</v>
      </c>
      <c r="J719" s="278" t="n">
        <f aca="false">E719+H719+I719</f>
        <v>0</v>
      </c>
      <c r="K719" s="204"/>
      <c r="L719" s="279" t="n">
        <v>1</v>
      </c>
      <c r="M719" s="280" t="n">
        <f aca="false">1-L719</f>
        <v>0</v>
      </c>
      <c r="N719" s="281"/>
      <c r="O719" s="282"/>
      <c r="P719" s="282"/>
      <c r="Q719" s="282"/>
      <c r="R719" s="282"/>
      <c r="S719" s="282"/>
      <c r="T719" s="282"/>
      <c r="U719" s="282"/>
      <c r="V719" s="282"/>
      <c r="W719" s="282"/>
      <c r="X719" s="282"/>
      <c r="Y719" s="282"/>
      <c r="Z719" s="282"/>
      <c r="AA719" s="283"/>
      <c r="AB719" s="284" t="n">
        <f aca="false">IFERROR(($J719*O719)*$L719, "")</f>
        <v>0</v>
      </c>
      <c r="AC719" s="284" t="n">
        <f aca="false">IFERROR(($J719*P719)*$L719, "")</f>
        <v>0</v>
      </c>
      <c r="AD719" s="284" t="n">
        <f aca="false">IFERROR(($J719*Q719)*$L719, "")</f>
        <v>0</v>
      </c>
      <c r="AE719" s="284" t="n">
        <f aca="false">IFERROR(($J719*R719)*$L719, "")</f>
        <v>0</v>
      </c>
      <c r="AF719" s="284" t="n">
        <f aca="false">IFERROR(($J719*S719)*$L719, "")</f>
        <v>0</v>
      </c>
      <c r="AG719" s="284" t="n">
        <f aca="false">IFERROR(($J719*T719)*$L719, "")</f>
        <v>0</v>
      </c>
      <c r="AH719" s="284" t="n">
        <f aca="false">IFERROR(($J719*U719)*$L719, "")</f>
        <v>0</v>
      </c>
      <c r="AI719" s="284" t="n">
        <f aca="false">IFERROR(($J719*V719)*$L719, "")</f>
        <v>0</v>
      </c>
      <c r="AJ719" s="284" t="n">
        <f aca="false">IFERROR(($J719*W719)*$L719, "")</f>
        <v>0</v>
      </c>
      <c r="AK719" s="284" t="n">
        <f aca="false">IFERROR(($J719*X719)*$L719, "")</f>
        <v>0</v>
      </c>
      <c r="AL719" s="284" t="n">
        <f aca="false">IFERROR(($J719*Y719)*$L719, "")</f>
        <v>0</v>
      </c>
      <c r="AM719" s="285" t="n">
        <f aca="false">IFERROR(($J719*Z719)*$L719, "")</f>
        <v>0</v>
      </c>
      <c r="AN719" s="286" t="n">
        <f aca="false">IFERROR(SUMIF($AB$4:$AM$4, "RDEC", AB719:AM719), "")</f>
        <v>0</v>
      </c>
      <c r="AO719" s="286" t="n">
        <f aca="false">IFERROR(SUMIF($AB$4:$AM$4, "SME", AB719:AM719), "")</f>
        <v>0</v>
      </c>
      <c r="AP719" s="286" t="n">
        <f aca="false">IFERROR(SUMIF($AB$4:$AM$4, "De Minimis", AB719:AM719), "")</f>
        <v>0</v>
      </c>
      <c r="AQ719" s="283"/>
      <c r="AR719" s="284" t="n">
        <f aca="false">IFERROR(($J719*O719)*$M719, "")</f>
        <v>0</v>
      </c>
      <c r="AS719" s="284" t="n">
        <f aca="false">IFERROR(($J719*P719)*$M719, "")</f>
        <v>0</v>
      </c>
      <c r="AT719" s="284" t="n">
        <f aca="false">IFERROR(($J719*Q719)*$M719, "")</f>
        <v>0</v>
      </c>
      <c r="AU719" s="284" t="n">
        <f aca="false">IFERROR(($J719*R719)*$M719, "")</f>
        <v>0</v>
      </c>
      <c r="AV719" s="284" t="n">
        <f aca="false">IFERROR(($J719*S719)*$M719, "")</f>
        <v>0</v>
      </c>
      <c r="AW719" s="284" t="n">
        <f aca="false">IFERROR(($J719*T719)*$M719, "")</f>
        <v>0</v>
      </c>
      <c r="AX719" s="284" t="n">
        <f aca="false">IFERROR(($J719*U719)*$M719, "")</f>
        <v>0</v>
      </c>
      <c r="AY719" s="284" t="n">
        <f aca="false">IFERROR(($J719*V719)*$M719, "")</f>
        <v>0</v>
      </c>
      <c r="AZ719" s="284" t="n">
        <f aca="false">IFERROR(($J719*W719)*$M719, "")</f>
        <v>0</v>
      </c>
      <c r="BA719" s="284" t="n">
        <f aca="false">IFERROR(($J719*X719)*$M719, "")</f>
        <v>0</v>
      </c>
      <c r="BB719" s="284" t="n">
        <f aca="false">IFERROR(($J719*Y719)*$M719, "")</f>
        <v>0</v>
      </c>
      <c r="BC719" s="285" t="n">
        <f aca="false">IFERROR(($J719*Z719)*$M719, "")</f>
        <v>0</v>
      </c>
      <c r="BD719" s="286" t="n">
        <f aca="false">IFERROR(SUMIF($AB$4:$AM$4, "RDEC", AR719:BC719), "")</f>
        <v>0</v>
      </c>
      <c r="BE719" s="286" t="n">
        <f aca="false">IFERROR(SUMIF($AB$4:$AM$4, "SME", AR719:BC719), "")</f>
        <v>0</v>
      </c>
      <c r="BF719" s="286" t="n">
        <f aca="false">IFERROR(SUMIF($AB$4:$AM$4, "De Minimis", AR719:BC719), "")</f>
        <v>0</v>
      </c>
      <c r="BG719" s="287"/>
      <c r="BH719" s="288" t="str">
        <f aca="false">IF((SUM(O719:Z719)&gt;1),"ERROR","")</f>
        <v/>
      </c>
      <c r="BI719" s="287"/>
      <c r="BJ719" s="18" t="str">
        <f aca="false">IF(C705&gt;0, C705, "")</f>
        <v/>
      </c>
      <c r="BL719" s="200"/>
      <c r="BM719" s="200"/>
      <c r="BN719" s="200"/>
    </row>
    <row r="720" customFormat="false" ht="15" hidden="false" customHeight="true" outlineLevel="0" collapsed="false">
      <c r="B720" s="275"/>
      <c r="D720" s="276" t="n">
        <f aca="false">D704</f>
        <v>45536</v>
      </c>
      <c r="E720" s="277" t="n">
        <v>0</v>
      </c>
      <c r="F720" s="277" t="n">
        <v>0</v>
      </c>
      <c r="G720" s="277" t="n">
        <v>0</v>
      </c>
      <c r="H720" s="277" t="n">
        <v>0</v>
      </c>
      <c r="I720" s="277" t="n">
        <v>0</v>
      </c>
      <c r="J720" s="278" t="n">
        <f aca="false">E720+H720+I720</f>
        <v>0</v>
      </c>
      <c r="K720" s="204"/>
      <c r="L720" s="279" t="n">
        <v>1</v>
      </c>
      <c r="M720" s="280" t="n">
        <f aca="false">1-L720</f>
        <v>0</v>
      </c>
      <c r="N720" s="281"/>
      <c r="O720" s="282"/>
      <c r="P720" s="282"/>
      <c r="Q720" s="282"/>
      <c r="R720" s="282"/>
      <c r="S720" s="282"/>
      <c r="T720" s="282"/>
      <c r="U720" s="282"/>
      <c r="V720" s="282"/>
      <c r="W720" s="282"/>
      <c r="X720" s="282"/>
      <c r="Y720" s="282"/>
      <c r="Z720" s="282"/>
      <c r="AA720" s="283"/>
      <c r="AB720" s="284" t="n">
        <f aca="false">IFERROR(($J720*O720)*$L720, "")</f>
        <v>0</v>
      </c>
      <c r="AC720" s="284" t="n">
        <f aca="false">IFERROR(($J720*P720)*$L720, "")</f>
        <v>0</v>
      </c>
      <c r="AD720" s="284" t="n">
        <f aca="false">IFERROR(($J720*Q720)*$L720, "")</f>
        <v>0</v>
      </c>
      <c r="AE720" s="284" t="n">
        <f aca="false">IFERROR(($J720*R720)*$L720, "")</f>
        <v>0</v>
      </c>
      <c r="AF720" s="284" t="n">
        <f aca="false">IFERROR(($J720*S720)*$L720, "")</f>
        <v>0</v>
      </c>
      <c r="AG720" s="284" t="n">
        <f aca="false">IFERROR(($J720*T720)*$L720, "")</f>
        <v>0</v>
      </c>
      <c r="AH720" s="284" t="n">
        <f aca="false">IFERROR(($J720*U720)*$L720, "")</f>
        <v>0</v>
      </c>
      <c r="AI720" s="284" t="n">
        <f aca="false">IFERROR(($J720*V720)*$L720, "")</f>
        <v>0</v>
      </c>
      <c r="AJ720" s="284" t="n">
        <f aca="false">IFERROR(($J720*W720)*$L720, "")</f>
        <v>0</v>
      </c>
      <c r="AK720" s="284" t="n">
        <f aca="false">IFERROR(($J720*X720)*$L720, "")</f>
        <v>0</v>
      </c>
      <c r="AL720" s="284" t="n">
        <f aca="false">IFERROR(($J720*Y720)*$L720, "")</f>
        <v>0</v>
      </c>
      <c r="AM720" s="285" t="n">
        <f aca="false">IFERROR(($J720*Z720)*$L720, "")</f>
        <v>0</v>
      </c>
      <c r="AN720" s="286" t="n">
        <f aca="false">IFERROR(SUMIF($AB$4:$AM$4, "RDEC", AB720:AM720), "")</f>
        <v>0</v>
      </c>
      <c r="AO720" s="286" t="n">
        <f aca="false">IFERROR(SUMIF($AB$4:$AM$4, "SME", AB720:AM720), "")</f>
        <v>0</v>
      </c>
      <c r="AP720" s="286" t="n">
        <f aca="false">IFERROR(SUMIF($AB$4:$AM$4, "De Minimis", AB720:AM720), "")</f>
        <v>0</v>
      </c>
      <c r="AQ720" s="283"/>
      <c r="AR720" s="284" t="n">
        <f aca="false">IFERROR(($J720*O720)*$M720, "")</f>
        <v>0</v>
      </c>
      <c r="AS720" s="284" t="n">
        <f aca="false">IFERROR(($J720*P720)*$M720, "")</f>
        <v>0</v>
      </c>
      <c r="AT720" s="284" t="n">
        <f aca="false">IFERROR(($J720*Q720)*$M720, "")</f>
        <v>0</v>
      </c>
      <c r="AU720" s="284" t="n">
        <f aca="false">IFERROR(($J720*R720)*$M720, "")</f>
        <v>0</v>
      </c>
      <c r="AV720" s="284" t="n">
        <f aca="false">IFERROR(($J720*S720)*$M720, "")</f>
        <v>0</v>
      </c>
      <c r="AW720" s="284" t="n">
        <f aca="false">IFERROR(($J720*T720)*$M720, "")</f>
        <v>0</v>
      </c>
      <c r="AX720" s="284" t="n">
        <f aca="false">IFERROR(($J720*U720)*$M720, "")</f>
        <v>0</v>
      </c>
      <c r="AY720" s="284" t="n">
        <f aca="false">IFERROR(($J720*V720)*$M720, "")</f>
        <v>0</v>
      </c>
      <c r="AZ720" s="284" t="n">
        <f aca="false">IFERROR(($J720*W720)*$M720, "")</f>
        <v>0</v>
      </c>
      <c r="BA720" s="284" t="n">
        <f aca="false">IFERROR(($J720*X720)*$M720, "")</f>
        <v>0</v>
      </c>
      <c r="BB720" s="284" t="n">
        <f aca="false">IFERROR(($J720*Y720)*$M720, "")</f>
        <v>0</v>
      </c>
      <c r="BC720" s="285" t="n">
        <f aca="false">IFERROR(($J720*Z720)*$M720, "")</f>
        <v>0</v>
      </c>
      <c r="BD720" s="286" t="n">
        <f aca="false">IFERROR(SUMIF($AB$4:$AM$4, "RDEC", AR720:BC720), "")</f>
        <v>0</v>
      </c>
      <c r="BE720" s="286" t="n">
        <f aca="false">IFERROR(SUMIF($AB$4:$AM$4, "SME", AR720:BC720), "")</f>
        <v>0</v>
      </c>
      <c r="BF720" s="286" t="n">
        <f aca="false">IFERROR(SUMIF($AB$4:$AM$4, "De Minimis", AR720:BC720), "")</f>
        <v>0</v>
      </c>
      <c r="BG720" s="287"/>
      <c r="BH720" s="288" t="str">
        <f aca="false">IF((SUM(O720:Z720)&gt;1),"ERROR","")</f>
        <v/>
      </c>
      <c r="BI720" s="287"/>
      <c r="BJ720" s="18" t="str">
        <f aca="false">IF(C706&gt;0, C706, "")</f>
        <v/>
      </c>
      <c r="BL720" s="200"/>
      <c r="BM720" s="200"/>
      <c r="BN720" s="200"/>
    </row>
    <row r="721" customFormat="false" ht="15" hidden="false" customHeight="true" outlineLevel="0" collapsed="false">
      <c r="B721" s="275"/>
      <c r="D721" s="276" t="n">
        <f aca="false">D705</f>
        <v>45566</v>
      </c>
      <c r="E721" s="277" t="n">
        <v>0</v>
      </c>
      <c r="F721" s="277" t="n">
        <v>0</v>
      </c>
      <c r="G721" s="277" t="n">
        <v>0</v>
      </c>
      <c r="H721" s="277" t="n">
        <v>0</v>
      </c>
      <c r="I721" s="277" t="n">
        <v>0</v>
      </c>
      <c r="J721" s="278" t="n">
        <f aca="false">E721+H721+I721</f>
        <v>0</v>
      </c>
      <c r="K721" s="204"/>
      <c r="L721" s="279" t="n">
        <v>1</v>
      </c>
      <c r="M721" s="280" t="n">
        <f aca="false">1-L721</f>
        <v>0</v>
      </c>
      <c r="N721" s="281"/>
      <c r="O721" s="282"/>
      <c r="P721" s="282"/>
      <c r="Q721" s="282"/>
      <c r="R721" s="282"/>
      <c r="S721" s="282"/>
      <c r="T721" s="282"/>
      <c r="U721" s="282"/>
      <c r="V721" s="282"/>
      <c r="W721" s="282"/>
      <c r="X721" s="282"/>
      <c r="Y721" s="282"/>
      <c r="Z721" s="282"/>
      <c r="AA721" s="283"/>
      <c r="AB721" s="284" t="n">
        <f aca="false">IFERROR(($J721*O721)*$L721, "")</f>
        <v>0</v>
      </c>
      <c r="AC721" s="284" t="n">
        <f aca="false">IFERROR(($J721*P721)*$L721, "")</f>
        <v>0</v>
      </c>
      <c r="AD721" s="284" t="n">
        <f aca="false">IFERROR(($J721*Q721)*$L721, "")</f>
        <v>0</v>
      </c>
      <c r="AE721" s="284" t="n">
        <f aca="false">IFERROR(($J721*R721)*$L721, "")</f>
        <v>0</v>
      </c>
      <c r="AF721" s="284" t="n">
        <f aca="false">IFERROR(($J721*S721)*$L721, "")</f>
        <v>0</v>
      </c>
      <c r="AG721" s="284" t="n">
        <f aca="false">IFERROR(($J721*T721)*$L721, "")</f>
        <v>0</v>
      </c>
      <c r="AH721" s="284" t="n">
        <f aca="false">IFERROR(($J721*U721)*$L721, "")</f>
        <v>0</v>
      </c>
      <c r="AI721" s="284" t="n">
        <f aca="false">IFERROR(($J721*V721)*$L721, "")</f>
        <v>0</v>
      </c>
      <c r="AJ721" s="284" t="n">
        <f aca="false">IFERROR(($J721*W721)*$L721, "")</f>
        <v>0</v>
      </c>
      <c r="AK721" s="284" t="n">
        <f aca="false">IFERROR(($J721*X721)*$L721, "")</f>
        <v>0</v>
      </c>
      <c r="AL721" s="284" t="n">
        <f aca="false">IFERROR(($J721*Y721)*$L721, "")</f>
        <v>0</v>
      </c>
      <c r="AM721" s="285" t="n">
        <f aca="false">IFERROR(($J721*Z721)*$L721, "")</f>
        <v>0</v>
      </c>
      <c r="AN721" s="286" t="n">
        <f aca="false">IFERROR(SUMIF($AB$4:$AM$4, "RDEC", AB721:AM721), "")</f>
        <v>0</v>
      </c>
      <c r="AO721" s="286" t="n">
        <f aca="false">IFERROR(SUMIF($AB$4:$AM$4, "SME", AB721:AM721), "")</f>
        <v>0</v>
      </c>
      <c r="AP721" s="286" t="n">
        <f aca="false">IFERROR(SUMIF($AB$4:$AM$4, "De Minimis", AB721:AM721), "")</f>
        <v>0</v>
      </c>
      <c r="AQ721" s="283"/>
      <c r="AR721" s="284" t="n">
        <f aca="false">IFERROR(($J721*O721)*$M721, "")</f>
        <v>0</v>
      </c>
      <c r="AS721" s="284" t="n">
        <f aca="false">IFERROR(($J721*P721)*$M721, "")</f>
        <v>0</v>
      </c>
      <c r="AT721" s="284" t="n">
        <f aca="false">IFERROR(($J721*Q721)*$M721, "")</f>
        <v>0</v>
      </c>
      <c r="AU721" s="284" t="n">
        <f aca="false">IFERROR(($J721*R721)*$M721, "")</f>
        <v>0</v>
      </c>
      <c r="AV721" s="284" t="n">
        <f aca="false">IFERROR(($J721*S721)*$M721, "")</f>
        <v>0</v>
      </c>
      <c r="AW721" s="284" t="n">
        <f aca="false">IFERROR(($J721*T721)*$M721, "")</f>
        <v>0</v>
      </c>
      <c r="AX721" s="284" t="n">
        <f aca="false">IFERROR(($J721*U721)*$M721, "")</f>
        <v>0</v>
      </c>
      <c r="AY721" s="284" t="n">
        <f aca="false">IFERROR(($J721*V721)*$M721, "")</f>
        <v>0</v>
      </c>
      <c r="AZ721" s="284" t="n">
        <f aca="false">IFERROR(($J721*W721)*$M721, "")</f>
        <v>0</v>
      </c>
      <c r="BA721" s="284" t="n">
        <f aca="false">IFERROR(($J721*X721)*$M721, "")</f>
        <v>0</v>
      </c>
      <c r="BB721" s="284" t="n">
        <f aca="false">IFERROR(($J721*Y721)*$M721, "")</f>
        <v>0</v>
      </c>
      <c r="BC721" s="285" t="n">
        <f aca="false">IFERROR(($J721*Z721)*$M721, "")</f>
        <v>0</v>
      </c>
      <c r="BD721" s="286" t="n">
        <f aca="false">IFERROR(SUMIF($AB$4:$AM$4, "RDEC", AR721:BC721), "")</f>
        <v>0</v>
      </c>
      <c r="BE721" s="286" t="n">
        <f aca="false">IFERROR(SUMIF($AB$4:$AM$4, "SME", AR721:BC721), "")</f>
        <v>0</v>
      </c>
      <c r="BF721" s="286" t="n">
        <f aca="false">IFERROR(SUMIF($AB$4:$AM$4, "De Minimis", AR721:BC721), "")</f>
        <v>0</v>
      </c>
      <c r="BG721" s="287"/>
      <c r="BH721" s="288" t="str">
        <f aca="false">IF((SUM(O721:Z721)&gt;1),"ERROR","")</f>
        <v/>
      </c>
      <c r="BI721" s="287"/>
      <c r="BJ721" s="18" t="str">
        <f aca="false">IF(C707&gt;0, C707, "")</f>
        <v/>
      </c>
      <c r="BL721" s="200"/>
      <c r="BM721" s="200"/>
      <c r="BN721" s="200"/>
    </row>
    <row r="722" customFormat="false" ht="15" hidden="false" customHeight="true" outlineLevel="0" collapsed="false">
      <c r="B722" s="275"/>
      <c r="D722" s="276" t="n">
        <f aca="false">D706</f>
        <v>45597</v>
      </c>
      <c r="E722" s="277" t="n">
        <v>0</v>
      </c>
      <c r="F722" s="277" t="n">
        <v>0</v>
      </c>
      <c r="G722" s="277" t="n">
        <v>0</v>
      </c>
      <c r="H722" s="277" t="n">
        <v>0</v>
      </c>
      <c r="I722" s="277" t="n">
        <v>0</v>
      </c>
      <c r="J722" s="278" t="n">
        <f aca="false">E722+H722+I722</f>
        <v>0</v>
      </c>
      <c r="K722" s="204"/>
      <c r="L722" s="279" t="n">
        <v>1</v>
      </c>
      <c r="M722" s="280" t="n">
        <f aca="false">1-L722</f>
        <v>0</v>
      </c>
      <c r="N722" s="281"/>
      <c r="O722" s="282"/>
      <c r="P722" s="282"/>
      <c r="Q722" s="282"/>
      <c r="R722" s="282"/>
      <c r="S722" s="282"/>
      <c r="T722" s="282"/>
      <c r="U722" s="282"/>
      <c r="V722" s="282"/>
      <c r="W722" s="282"/>
      <c r="X722" s="282"/>
      <c r="Y722" s="282"/>
      <c r="Z722" s="282"/>
      <c r="AA722" s="283"/>
      <c r="AB722" s="284" t="n">
        <f aca="false">IFERROR(($J722*O722)*$L722, "")</f>
        <v>0</v>
      </c>
      <c r="AC722" s="284" t="n">
        <f aca="false">IFERROR(($J722*P722)*$L722, "")</f>
        <v>0</v>
      </c>
      <c r="AD722" s="284" t="n">
        <f aca="false">IFERROR(($J722*Q722)*$L722, "")</f>
        <v>0</v>
      </c>
      <c r="AE722" s="284" t="n">
        <f aca="false">IFERROR(($J722*R722)*$L722, "")</f>
        <v>0</v>
      </c>
      <c r="AF722" s="284" t="n">
        <f aca="false">IFERROR(($J722*S722)*$L722, "")</f>
        <v>0</v>
      </c>
      <c r="AG722" s="284" t="n">
        <f aca="false">IFERROR(($J722*T722)*$L722, "")</f>
        <v>0</v>
      </c>
      <c r="AH722" s="284" t="n">
        <f aca="false">IFERROR(($J722*U722)*$L722, "")</f>
        <v>0</v>
      </c>
      <c r="AI722" s="284" t="n">
        <f aca="false">IFERROR(($J722*V722)*$L722, "")</f>
        <v>0</v>
      </c>
      <c r="AJ722" s="284" t="n">
        <f aca="false">IFERROR(($J722*W722)*$L722, "")</f>
        <v>0</v>
      </c>
      <c r="AK722" s="284" t="n">
        <f aca="false">IFERROR(($J722*X722)*$L722, "")</f>
        <v>0</v>
      </c>
      <c r="AL722" s="284" t="n">
        <f aca="false">IFERROR(($J722*Y722)*$L722, "")</f>
        <v>0</v>
      </c>
      <c r="AM722" s="285" t="n">
        <f aca="false">IFERROR(($J722*Z722)*$L722, "")</f>
        <v>0</v>
      </c>
      <c r="AN722" s="286" t="n">
        <f aca="false">IFERROR(SUMIF($AB$4:$AM$4, "RDEC", AB722:AM722), "")</f>
        <v>0</v>
      </c>
      <c r="AO722" s="286" t="n">
        <f aca="false">IFERROR(SUMIF($AB$4:$AM$4, "SME", AB722:AM722), "")</f>
        <v>0</v>
      </c>
      <c r="AP722" s="286" t="n">
        <f aca="false">IFERROR(SUMIF($AB$4:$AM$4, "De Minimis", AB722:AM722), "")</f>
        <v>0</v>
      </c>
      <c r="AQ722" s="283"/>
      <c r="AR722" s="284" t="n">
        <f aca="false">IFERROR(($J722*O722)*$M722, "")</f>
        <v>0</v>
      </c>
      <c r="AS722" s="284" t="n">
        <f aca="false">IFERROR(($J722*P722)*$M722, "")</f>
        <v>0</v>
      </c>
      <c r="AT722" s="284" t="n">
        <f aca="false">IFERROR(($J722*Q722)*$M722, "")</f>
        <v>0</v>
      </c>
      <c r="AU722" s="284" t="n">
        <f aca="false">IFERROR(($J722*R722)*$M722, "")</f>
        <v>0</v>
      </c>
      <c r="AV722" s="284" t="n">
        <f aca="false">IFERROR(($J722*S722)*$M722, "")</f>
        <v>0</v>
      </c>
      <c r="AW722" s="284" t="n">
        <f aca="false">IFERROR(($J722*T722)*$M722, "")</f>
        <v>0</v>
      </c>
      <c r="AX722" s="284" t="n">
        <f aca="false">IFERROR(($J722*U722)*$M722, "")</f>
        <v>0</v>
      </c>
      <c r="AY722" s="284" t="n">
        <f aca="false">IFERROR(($J722*V722)*$M722, "")</f>
        <v>0</v>
      </c>
      <c r="AZ722" s="284" t="n">
        <f aca="false">IFERROR(($J722*W722)*$M722, "")</f>
        <v>0</v>
      </c>
      <c r="BA722" s="284" t="n">
        <f aca="false">IFERROR(($J722*X722)*$M722, "")</f>
        <v>0</v>
      </c>
      <c r="BB722" s="284" t="n">
        <f aca="false">IFERROR(($J722*Y722)*$M722, "")</f>
        <v>0</v>
      </c>
      <c r="BC722" s="285" t="n">
        <f aca="false">IFERROR(($J722*Z722)*$M722, "")</f>
        <v>0</v>
      </c>
      <c r="BD722" s="286" t="n">
        <f aca="false">IFERROR(SUMIF($AB$4:$AM$4, "RDEC", AR722:BC722), "")</f>
        <v>0</v>
      </c>
      <c r="BE722" s="286" t="n">
        <f aca="false">IFERROR(SUMIF($AB$4:$AM$4, "SME", AR722:BC722), "")</f>
        <v>0</v>
      </c>
      <c r="BF722" s="286" t="n">
        <f aca="false">IFERROR(SUMIF($AB$4:$AM$4, "De Minimis", AR722:BC722), "")</f>
        <v>0</v>
      </c>
      <c r="BG722" s="287"/>
      <c r="BH722" s="288" t="str">
        <f aca="false">IF((SUM(O722:Z722)&gt;1),"ERROR","")</f>
        <v/>
      </c>
      <c r="BI722" s="287"/>
      <c r="BJ722" s="18" t="str">
        <f aca="false">IF(C708&gt;0, C708, "")</f>
        <v/>
      </c>
      <c r="BL722" s="200"/>
      <c r="BM722" s="200"/>
      <c r="BN722" s="200"/>
    </row>
    <row r="723" customFormat="false" ht="15" hidden="false" customHeight="true" outlineLevel="0" collapsed="false">
      <c r="B723" s="275"/>
      <c r="D723" s="276" t="n">
        <f aca="false">D707</f>
        <v>45627</v>
      </c>
      <c r="E723" s="277" t="n">
        <v>0</v>
      </c>
      <c r="F723" s="277" t="n">
        <v>0</v>
      </c>
      <c r="G723" s="277" t="n">
        <v>0</v>
      </c>
      <c r="H723" s="277" t="n">
        <v>0</v>
      </c>
      <c r="I723" s="277" t="n">
        <v>0</v>
      </c>
      <c r="J723" s="278" t="n">
        <f aca="false">E723+H723+I723</f>
        <v>0</v>
      </c>
      <c r="K723" s="204"/>
      <c r="L723" s="289" t="n">
        <v>1</v>
      </c>
      <c r="M723" s="290" t="n">
        <f aca="false">1-L723</f>
        <v>0</v>
      </c>
      <c r="N723" s="281"/>
      <c r="O723" s="291"/>
      <c r="P723" s="291"/>
      <c r="Q723" s="291"/>
      <c r="R723" s="291"/>
      <c r="S723" s="291"/>
      <c r="T723" s="291"/>
      <c r="U723" s="291"/>
      <c r="V723" s="291"/>
      <c r="W723" s="291"/>
      <c r="X723" s="291"/>
      <c r="Y723" s="291"/>
      <c r="Z723" s="291"/>
      <c r="AA723" s="283"/>
      <c r="AB723" s="292" t="n">
        <f aca="false">IFERROR(($J723*O723)*$L723, "")</f>
        <v>0</v>
      </c>
      <c r="AC723" s="292" t="n">
        <f aca="false">IFERROR(($J723*P723)*$L723, "")</f>
        <v>0</v>
      </c>
      <c r="AD723" s="292" t="n">
        <f aca="false">IFERROR(($J723*Q723)*$L723, "")</f>
        <v>0</v>
      </c>
      <c r="AE723" s="292" t="n">
        <f aca="false">IFERROR(($J723*R723)*$L723, "")</f>
        <v>0</v>
      </c>
      <c r="AF723" s="292" t="n">
        <f aca="false">IFERROR(($J723*S723)*$L723, "")</f>
        <v>0</v>
      </c>
      <c r="AG723" s="292" t="n">
        <f aca="false">IFERROR(($J723*T723)*$L723, "")</f>
        <v>0</v>
      </c>
      <c r="AH723" s="292" t="n">
        <f aca="false">IFERROR(($J723*U723)*$L723, "")</f>
        <v>0</v>
      </c>
      <c r="AI723" s="292" t="n">
        <f aca="false">IFERROR(($J723*V723)*$L723, "")</f>
        <v>0</v>
      </c>
      <c r="AJ723" s="292" t="n">
        <f aca="false">IFERROR(($J723*W723)*$L723, "")</f>
        <v>0</v>
      </c>
      <c r="AK723" s="292" t="n">
        <f aca="false">IFERROR(($J723*X723)*$L723, "")</f>
        <v>0</v>
      </c>
      <c r="AL723" s="292" t="n">
        <f aca="false">IFERROR(($J723*Y723)*$L723, "")</f>
        <v>0</v>
      </c>
      <c r="AM723" s="293" t="n">
        <f aca="false">IFERROR(($J723*Z723)*$L723, "")</f>
        <v>0</v>
      </c>
      <c r="AN723" s="294" t="n">
        <f aca="false">IFERROR(SUMIF($AB$4:$AM$4, "RDEC", AB723:AM723), "")</f>
        <v>0</v>
      </c>
      <c r="AO723" s="294" t="n">
        <f aca="false">IFERROR(SUMIF($AB$4:$AM$4, "SME", AB723:AM723), "")</f>
        <v>0</v>
      </c>
      <c r="AP723" s="294" t="n">
        <f aca="false">IFERROR(SUMIF($AB$4:$AM$4, "De Minimis", AB723:AM723), "")</f>
        <v>0</v>
      </c>
      <c r="AQ723" s="283"/>
      <c r="AR723" s="292" t="n">
        <f aca="false">IFERROR(($J723*O723)*$M723, "")</f>
        <v>0</v>
      </c>
      <c r="AS723" s="292" t="n">
        <f aca="false">IFERROR(($J723*P723)*$M723, "")</f>
        <v>0</v>
      </c>
      <c r="AT723" s="292" t="n">
        <f aca="false">IFERROR(($J723*Q723)*$M723, "")</f>
        <v>0</v>
      </c>
      <c r="AU723" s="292" t="n">
        <f aca="false">IFERROR(($J723*R723)*$M723, "")</f>
        <v>0</v>
      </c>
      <c r="AV723" s="292" t="n">
        <f aca="false">IFERROR(($J723*S723)*$M723, "")</f>
        <v>0</v>
      </c>
      <c r="AW723" s="292" t="n">
        <f aca="false">IFERROR(($J723*T723)*$M723, "")</f>
        <v>0</v>
      </c>
      <c r="AX723" s="292" t="n">
        <f aca="false">IFERROR(($J723*U723)*$M723, "")</f>
        <v>0</v>
      </c>
      <c r="AY723" s="292" t="n">
        <f aca="false">IFERROR(($J723*V723)*$M723, "")</f>
        <v>0</v>
      </c>
      <c r="AZ723" s="292" t="n">
        <f aca="false">IFERROR(($J723*W723)*$M723, "")</f>
        <v>0</v>
      </c>
      <c r="BA723" s="292" t="n">
        <f aca="false">IFERROR(($J723*X723)*$M723, "")</f>
        <v>0</v>
      </c>
      <c r="BB723" s="292" t="n">
        <f aca="false">IFERROR(($J723*Y723)*$M723, "")</f>
        <v>0</v>
      </c>
      <c r="BC723" s="293" t="n">
        <f aca="false">IFERROR(($J723*Z723)*$M723, "")</f>
        <v>0</v>
      </c>
      <c r="BD723" s="294" t="n">
        <f aca="false">IFERROR(SUMIF($AB$4:$AM$4, "RDEC", AR723:BC723), "")</f>
        <v>0</v>
      </c>
      <c r="BE723" s="294" t="n">
        <f aca="false">IFERROR(SUMIF($AB$4:$AM$4, "SME", AR723:BC723), "")</f>
        <v>0</v>
      </c>
      <c r="BF723" s="294" t="n">
        <f aca="false">IFERROR(SUMIF($AB$4:$AM$4, "De Minimis", AR723:BC723), "")</f>
        <v>0</v>
      </c>
      <c r="BG723" s="287"/>
      <c r="BH723" s="295" t="str">
        <f aca="false">IF((SUM(O723:Z723)&gt;1),"ERROR","")</f>
        <v/>
      </c>
      <c r="BI723" s="287"/>
      <c r="BJ723" s="18" t="str">
        <f aca="false">IF(C709&gt;0, C709, "")</f>
        <v/>
      </c>
      <c r="BL723" s="200"/>
      <c r="BM723" s="200"/>
      <c r="BN723" s="200"/>
    </row>
    <row r="724" customFormat="false" ht="15" hidden="false" customHeight="true" outlineLevel="0" collapsed="false">
      <c r="B724" s="296"/>
      <c r="D724" s="297" t="s">
        <v>82</v>
      </c>
      <c r="E724" s="298" t="n">
        <f aca="false">SUM(E712:E723)</f>
        <v>0</v>
      </c>
      <c r="F724" s="298" t="n">
        <f aca="false">SUM(F712:F723)</f>
        <v>0</v>
      </c>
      <c r="G724" s="298" t="n">
        <f aca="false">SUM(G712:G723)</f>
        <v>0</v>
      </c>
      <c r="H724" s="298" t="n">
        <f aca="false">SUM(H712:H723)</f>
        <v>0</v>
      </c>
      <c r="I724" s="298" t="n">
        <f aca="false">SUM(I712:I723)</f>
        <v>0</v>
      </c>
      <c r="J724" s="299" t="n">
        <f aca="false">SUM(J712:J723)</f>
        <v>0</v>
      </c>
      <c r="K724" s="300"/>
      <c r="L724" s="301" t="n">
        <f aca="false">AVERAGE(L712:L723)</f>
        <v>1</v>
      </c>
      <c r="M724" s="301" t="n">
        <f aca="false">AVERAGE(M712:M723)</f>
        <v>0</v>
      </c>
      <c r="N724" s="302"/>
      <c r="O724" s="290" t="n">
        <f aca="false">IF(SUM(O712:O723)&gt;0,((AB724+AR724)/J724),0)</f>
        <v>0</v>
      </c>
      <c r="P724" s="290" t="n">
        <f aca="false">IF(SUM(P712:P723)&gt;0,((AC724+AS724)/J724),0)</f>
        <v>0</v>
      </c>
      <c r="Q724" s="290" t="n">
        <f aca="false">IF(SUM(Q712:Q723)&gt;0,((AD724+AT724)/J724),0)</f>
        <v>0</v>
      </c>
      <c r="R724" s="290" t="n">
        <f aca="false">IF(SUM(R712:R723)&gt;0,((AE724+AU724)/J724),0)</f>
        <v>0</v>
      </c>
      <c r="S724" s="290" t="n">
        <f aca="false">IF(SUM(S712:S723)&gt;0,((AF724+AV724)/J724),0)</f>
        <v>0</v>
      </c>
      <c r="T724" s="290" t="n">
        <f aca="false">IF(SUM(T712:T723)&gt;0,((AG724+AW724)/J724),0)</f>
        <v>0</v>
      </c>
      <c r="U724" s="290" t="n">
        <f aca="false">IF(SUM(U712:U723)&gt;0,((AH724+AX724)/J724),0)</f>
        <v>0</v>
      </c>
      <c r="V724" s="290" t="n">
        <f aca="false">IF(SUM(V712:V723)&gt;0,((AI724+AY724)/J724),0)</f>
        <v>0</v>
      </c>
      <c r="W724" s="290" t="n">
        <f aca="false">IF(SUM(W712:W723)&gt;0,((AJ724+AZ724)/J724),0)</f>
        <v>0</v>
      </c>
      <c r="X724" s="290" t="n">
        <f aca="false">IF(SUM(X712:X723)&gt;0,((AK724+BA724)/J724),0)</f>
        <v>0</v>
      </c>
      <c r="Y724" s="290" t="n">
        <f aca="false">IF(SUM(Y712:Y723)&gt;0,((AL724+BB724)/J724),0)</f>
        <v>0</v>
      </c>
      <c r="Z724" s="290" t="n">
        <f aca="false">IF(SUM(Z712:Z723)&gt;0,((AM724+BC724)/J724),0)</f>
        <v>0</v>
      </c>
      <c r="AA724" s="303"/>
      <c r="AB724" s="292" t="n">
        <f aca="false">SUM(AB712:AB723)</f>
        <v>0</v>
      </c>
      <c r="AC724" s="304" t="n">
        <f aca="false">SUM(AC712:AC723)</f>
        <v>0</v>
      </c>
      <c r="AD724" s="304" t="n">
        <f aca="false">SUM(AD712:AD723)</f>
        <v>0</v>
      </c>
      <c r="AE724" s="304" t="n">
        <f aca="false">SUM(AE712:AE723)</f>
        <v>0</v>
      </c>
      <c r="AF724" s="304" t="n">
        <f aca="false">SUM(AF712:AF723)</f>
        <v>0</v>
      </c>
      <c r="AG724" s="304" t="n">
        <f aca="false">SUM(AG712:AG723)</f>
        <v>0</v>
      </c>
      <c r="AH724" s="304" t="n">
        <f aca="false">SUM(AH712:AH723)</f>
        <v>0</v>
      </c>
      <c r="AI724" s="304" t="n">
        <f aca="false">SUM(AI712:AI723)</f>
        <v>0</v>
      </c>
      <c r="AJ724" s="304" t="n">
        <f aca="false">SUM(AJ712:AJ723)</f>
        <v>0</v>
      </c>
      <c r="AK724" s="304" t="n">
        <f aca="false">SUM(AK712:AK723)</f>
        <v>0</v>
      </c>
      <c r="AL724" s="304" t="n">
        <f aca="false">SUM(AL712:AL723)</f>
        <v>0</v>
      </c>
      <c r="AM724" s="304" t="n">
        <f aca="false">SUM(AM712:AM723)</f>
        <v>0</v>
      </c>
      <c r="AN724" s="305" t="n">
        <f aca="false">SUM(AN712:AN723)</f>
        <v>0</v>
      </c>
      <c r="AO724" s="305" t="n">
        <f aca="false">SUM(AO712:AO723)</f>
        <v>0</v>
      </c>
      <c r="AP724" s="305" t="n">
        <f aca="false">SUM(AP712:AP723)</f>
        <v>0</v>
      </c>
      <c r="AQ724" s="303"/>
      <c r="AR724" s="292" t="n">
        <f aca="false">SUM(AR712:AR723)</f>
        <v>0</v>
      </c>
      <c r="AS724" s="304" t="n">
        <f aca="false">SUM(AS712:AS723)</f>
        <v>0</v>
      </c>
      <c r="AT724" s="304" t="n">
        <f aca="false">SUM(AT712:AT723)</f>
        <v>0</v>
      </c>
      <c r="AU724" s="304" t="n">
        <f aca="false">SUM(AU712:AU723)</f>
        <v>0</v>
      </c>
      <c r="AV724" s="304" t="n">
        <f aca="false">SUM(AV712:AV723)</f>
        <v>0</v>
      </c>
      <c r="AW724" s="304" t="n">
        <f aca="false">SUM(AW712:AW723)</f>
        <v>0</v>
      </c>
      <c r="AX724" s="304" t="n">
        <f aca="false">SUM(AX712:AX723)</f>
        <v>0</v>
      </c>
      <c r="AY724" s="304" t="n">
        <f aca="false">SUM(AY712:AY723)</f>
        <v>0</v>
      </c>
      <c r="AZ724" s="304" t="n">
        <f aca="false">SUM(AZ712:AZ723)</f>
        <v>0</v>
      </c>
      <c r="BA724" s="304" t="n">
        <f aca="false">SUM(BA712:BA723)</f>
        <v>0</v>
      </c>
      <c r="BB724" s="304" t="n">
        <f aca="false">SUM(BB712:BB723)</f>
        <v>0</v>
      </c>
      <c r="BC724" s="304" t="n">
        <f aca="false">SUM(BC712:BC723)</f>
        <v>0</v>
      </c>
      <c r="BD724" s="305" t="n">
        <f aca="false">SUM(BD712:BD723)</f>
        <v>0</v>
      </c>
      <c r="BE724" s="305" t="n">
        <f aca="false">SUM(BE712:BE723)</f>
        <v>0</v>
      </c>
      <c r="BF724" s="305" t="n">
        <f aca="false">SUM(BF712:BF723)</f>
        <v>0</v>
      </c>
      <c r="BG724" s="303"/>
      <c r="BH724" s="306"/>
      <c r="BI724" s="303"/>
      <c r="BJ724" s="307" t="str">
        <f aca="false">IF(C710&gt;0, C710, "")</f>
        <v>TBA</v>
      </c>
      <c r="BK724" s="18" t="s">
        <v>234</v>
      </c>
      <c r="BL724" s="200" t="n">
        <f aca="false">IF($BK724="Y",J724,0)</f>
        <v>0</v>
      </c>
      <c r="BM724" s="200" t="n">
        <f aca="false">IF(BK724="Y", AN724,0)</f>
        <v>0</v>
      </c>
      <c r="BN724" s="200" t="n">
        <f aca="false">IF((BK724="Y"),AO724,0)</f>
        <v>0</v>
      </c>
    </row>
    <row r="725" customFormat="false" ht="15" hidden="false" customHeight="true" outlineLevel="0" collapsed="false">
      <c r="B725" s="296"/>
      <c r="D725" s="297"/>
      <c r="E725" s="277"/>
      <c r="F725" s="277"/>
      <c r="G725" s="277"/>
      <c r="H725" s="277"/>
      <c r="I725" s="277"/>
      <c r="J725" s="300"/>
      <c r="K725" s="300"/>
      <c r="L725" s="302"/>
      <c r="M725" s="302"/>
      <c r="N725" s="302"/>
      <c r="O725" s="308"/>
      <c r="P725" s="308"/>
      <c r="Q725" s="308"/>
      <c r="R725" s="308"/>
      <c r="S725" s="308"/>
      <c r="T725" s="308"/>
      <c r="U725" s="308"/>
      <c r="V725" s="308"/>
      <c r="W725" s="308"/>
      <c r="X725" s="308"/>
      <c r="Y725" s="308"/>
      <c r="Z725" s="308"/>
      <c r="AA725" s="303"/>
      <c r="AB725" s="303"/>
      <c r="AC725" s="303"/>
      <c r="AD725" s="303"/>
      <c r="AE725" s="303"/>
      <c r="AF725" s="303"/>
      <c r="AG725" s="303"/>
      <c r="AH725" s="303"/>
      <c r="AI725" s="303"/>
      <c r="AJ725" s="303"/>
      <c r="AK725" s="303"/>
      <c r="AL725" s="303"/>
      <c r="AM725" s="303"/>
      <c r="AN725" s="303"/>
      <c r="AO725" s="303"/>
      <c r="AP725" s="303"/>
      <c r="AQ725" s="303"/>
      <c r="AR725" s="303"/>
      <c r="AS725" s="303"/>
      <c r="AT725" s="303"/>
      <c r="AU725" s="303"/>
      <c r="AV725" s="303"/>
      <c r="AW725" s="303"/>
      <c r="AX725" s="303"/>
      <c r="AY725" s="303"/>
      <c r="AZ725" s="303"/>
      <c r="BA725" s="303"/>
      <c r="BB725" s="303"/>
      <c r="BC725" s="303"/>
      <c r="BD725" s="303"/>
      <c r="BE725" s="303"/>
      <c r="BF725" s="303"/>
      <c r="BG725" s="303"/>
      <c r="BH725" s="303"/>
      <c r="BI725" s="303"/>
      <c r="BJ725" s="307" t="str">
        <f aca="false">IF(C712&gt;0, C712, "")</f>
        <v/>
      </c>
      <c r="BL725" s="200"/>
      <c r="BM725" s="200"/>
      <c r="BN725" s="200"/>
    </row>
    <row r="726" customFormat="false" ht="15" hidden="false" customHeight="true" outlineLevel="0" collapsed="false">
      <c r="A726" s="198" t="n">
        <f aca="false">A710+1</f>
        <v>46</v>
      </c>
      <c r="B726" s="266" t="s">
        <v>253</v>
      </c>
      <c r="C726" s="266" t="s">
        <v>253</v>
      </c>
      <c r="D726" s="267"/>
      <c r="E726" s="242"/>
      <c r="F726" s="242"/>
      <c r="G726" s="242"/>
      <c r="H726" s="242"/>
      <c r="I726" s="242"/>
      <c r="J726" s="241"/>
      <c r="K726" s="241"/>
      <c r="L726" s="241"/>
      <c r="M726" s="241"/>
      <c r="N726" s="241"/>
      <c r="O726" s="268"/>
      <c r="P726" s="268"/>
      <c r="Q726" s="268"/>
      <c r="R726" s="268"/>
      <c r="S726" s="268"/>
      <c r="T726" s="268"/>
      <c r="U726" s="268"/>
      <c r="V726" s="268"/>
      <c r="W726" s="268"/>
      <c r="X726" s="268"/>
      <c r="Y726" s="268"/>
      <c r="Z726" s="268"/>
      <c r="AA726" s="268"/>
      <c r="AB726" s="268"/>
      <c r="AC726" s="268"/>
      <c r="AD726" s="268"/>
      <c r="AE726" s="268"/>
      <c r="AF726" s="268"/>
      <c r="AG726" s="268"/>
      <c r="AH726" s="268"/>
      <c r="AI726" s="268"/>
      <c r="AJ726" s="268"/>
      <c r="AK726" s="268"/>
      <c r="AL726" s="268"/>
      <c r="AM726" s="268"/>
      <c r="AN726" s="268"/>
      <c r="AO726" s="268"/>
      <c r="AP726" s="268"/>
      <c r="AQ726" s="268"/>
      <c r="AR726" s="268"/>
      <c r="AS726" s="268"/>
      <c r="AT726" s="268"/>
      <c r="AU726" s="268"/>
      <c r="AV726" s="268"/>
      <c r="AW726" s="268"/>
      <c r="AX726" s="268"/>
      <c r="AY726" s="268"/>
      <c r="AZ726" s="268"/>
      <c r="BA726" s="268"/>
      <c r="BB726" s="268"/>
      <c r="BC726" s="268"/>
      <c r="BD726" s="268"/>
      <c r="BE726" s="268"/>
      <c r="BF726" s="268"/>
      <c r="BG726" s="268"/>
      <c r="BH726" s="268"/>
      <c r="BI726" s="268"/>
      <c r="BJ726" s="18" t="str">
        <f aca="false">IF(C713&gt;0, C713, "")</f>
        <v/>
      </c>
      <c r="BL726" s="200"/>
      <c r="BM726" s="200"/>
      <c r="BN726" s="200"/>
    </row>
    <row r="727" customFormat="false" ht="7.5" hidden="false" customHeight="true" outlineLevel="0" collapsed="false">
      <c r="A727" s="198"/>
      <c r="B727" s="266"/>
      <c r="C727" s="266"/>
      <c r="D727" s="267"/>
      <c r="E727" s="242"/>
      <c r="F727" s="242"/>
      <c r="G727" s="242"/>
      <c r="H727" s="242"/>
      <c r="I727" s="242"/>
      <c r="J727" s="241"/>
      <c r="K727" s="241"/>
      <c r="L727" s="269"/>
      <c r="M727" s="269"/>
      <c r="N727" s="270"/>
      <c r="O727" s="269"/>
      <c r="P727" s="269"/>
      <c r="Q727" s="269"/>
      <c r="R727" s="269"/>
      <c r="S727" s="269"/>
      <c r="T727" s="269"/>
      <c r="U727" s="269"/>
      <c r="V727" s="269"/>
      <c r="W727" s="269"/>
      <c r="X727" s="269"/>
      <c r="Y727" s="269"/>
      <c r="Z727" s="269"/>
      <c r="AA727" s="268"/>
      <c r="AB727" s="271"/>
      <c r="AC727" s="271"/>
      <c r="AD727" s="271"/>
      <c r="AE727" s="271"/>
      <c r="AF727" s="271"/>
      <c r="AG727" s="271"/>
      <c r="AH727" s="271"/>
      <c r="AI727" s="271"/>
      <c r="AJ727" s="271"/>
      <c r="AK727" s="271"/>
      <c r="AL727" s="271"/>
      <c r="AM727" s="272"/>
      <c r="AN727" s="273"/>
      <c r="AO727" s="273"/>
      <c r="AP727" s="273"/>
      <c r="AQ727" s="268"/>
      <c r="AR727" s="271"/>
      <c r="AS727" s="271"/>
      <c r="AT727" s="271"/>
      <c r="AU727" s="271"/>
      <c r="AV727" s="271"/>
      <c r="AW727" s="271"/>
      <c r="AX727" s="271"/>
      <c r="AY727" s="271"/>
      <c r="AZ727" s="271"/>
      <c r="BA727" s="271"/>
      <c r="BB727" s="271"/>
      <c r="BC727" s="272"/>
      <c r="BD727" s="273"/>
      <c r="BE727" s="273"/>
      <c r="BF727" s="273"/>
      <c r="BG727" s="268"/>
      <c r="BH727" s="274"/>
      <c r="BI727" s="268"/>
      <c r="BL727" s="200"/>
      <c r="BM727" s="200"/>
      <c r="BN727" s="200"/>
    </row>
    <row r="728" customFormat="false" ht="15" hidden="false" customHeight="true" outlineLevel="0" collapsed="false">
      <c r="B728" s="275"/>
      <c r="D728" s="276" t="n">
        <f aca="false">D712</f>
        <v>45292</v>
      </c>
      <c r="E728" s="277" t="n">
        <v>0</v>
      </c>
      <c r="F728" s="277" t="n">
        <v>0</v>
      </c>
      <c r="G728" s="277" t="n">
        <v>0</v>
      </c>
      <c r="H728" s="277" t="n">
        <v>0</v>
      </c>
      <c r="I728" s="277" t="n">
        <v>0</v>
      </c>
      <c r="J728" s="278" t="n">
        <f aca="false">E728+H728+I728</f>
        <v>0</v>
      </c>
      <c r="K728" s="204"/>
      <c r="L728" s="279" t="n">
        <v>1</v>
      </c>
      <c r="M728" s="280" t="n">
        <f aca="false">1-L728</f>
        <v>0</v>
      </c>
      <c r="N728" s="281"/>
      <c r="O728" s="282"/>
      <c r="P728" s="282"/>
      <c r="Q728" s="282"/>
      <c r="R728" s="282"/>
      <c r="S728" s="282"/>
      <c r="T728" s="282"/>
      <c r="U728" s="282"/>
      <c r="V728" s="282"/>
      <c r="W728" s="282"/>
      <c r="X728" s="282"/>
      <c r="Y728" s="282"/>
      <c r="Z728" s="282"/>
      <c r="AA728" s="283"/>
      <c r="AB728" s="284" t="n">
        <f aca="false">IFERROR(($J728*O728)*$L728, "")</f>
        <v>0</v>
      </c>
      <c r="AC728" s="284" t="n">
        <f aca="false">IFERROR(($J728*P728)*$L728, "")</f>
        <v>0</v>
      </c>
      <c r="AD728" s="284" t="n">
        <f aca="false">IFERROR(($J728*Q728)*$L728, "")</f>
        <v>0</v>
      </c>
      <c r="AE728" s="284" t="n">
        <f aca="false">IFERROR(($J728*R728)*$L728, "")</f>
        <v>0</v>
      </c>
      <c r="AF728" s="284" t="n">
        <f aca="false">IFERROR(($J728*S728)*$L728, "")</f>
        <v>0</v>
      </c>
      <c r="AG728" s="284" t="n">
        <f aca="false">IFERROR(($J728*T728)*$L728, "")</f>
        <v>0</v>
      </c>
      <c r="AH728" s="284" t="n">
        <f aca="false">IFERROR(($J728*U728)*$L728, "")</f>
        <v>0</v>
      </c>
      <c r="AI728" s="284" t="n">
        <f aca="false">IFERROR(($J728*V728)*$L728, "")</f>
        <v>0</v>
      </c>
      <c r="AJ728" s="284" t="n">
        <f aca="false">IFERROR(($J728*W728)*$L728, "")</f>
        <v>0</v>
      </c>
      <c r="AK728" s="284" t="n">
        <f aca="false">IFERROR(($J728*X728)*$L728, "")</f>
        <v>0</v>
      </c>
      <c r="AL728" s="284" t="n">
        <f aca="false">IFERROR(($J728*Y728)*$L728, "")</f>
        <v>0</v>
      </c>
      <c r="AM728" s="285" t="n">
        <f aca="false">IFERROR(($J728*Z728)*$L728, "")</f>
        <v>0</v>
      </c>
      <c r="AN728" s="286" t="n">
        <f aca="false">IFERROR(SUMIF($AB$4:$AM$4, "RDEC", AB728:AM728), "")</f>
        <v>0</v>
      </c>
      <c r="AO728" s="286" t="n">
        <f aca="false">IFERROR(SUMIF($AB$4:$AM$4, "SME", AB728:AM728), "")</f>
        <v>0</v>
      </c>
      <c r="AP728" s="286" t="n">
        <f aca="false">IFERROR(SUMIF($AB$4:$AM$4, "De Minimis", AB728:AM728), "")</f>
        <v>0</v>
      </c>
      <c r="AQ728" s="283"/>
      <c r="AR728" s="284" t="n">
        <f aca="false">IFERROR(($J728*O728)*$M728, "")</f>
        <v>0</v>
      </c>
      <c r="AS728" s="284" t="n">
        <f aca="false">IFERROR(($J728*P728)*$M728, "")</f>
        <v>0</v>
      </c>
      <c r="AT728" s="284" t="n">
        <f aca="false">IFERROR(($J728*Q728)*$M728, "")</f>
        <v>0</v>
      </c>
      <c r="AU728" s="284" t="n">
        <f aca="false">IFERROR(($J728*R728)*$M728, "")</f>
        <v>0</v>
      </c>
      <c r="AV728" s="284" t="n">
        <f aca="false">IFERROR(($J728*S728)*$M728, "")</f>
        <v>0</v>
      </c>
      <c r="AW728" s="284" t="n">
        <f aca="false">IFERROR(($J728*T728)*$M728, "")</f>
        <v>0</v>
      </c>
      <c r="AX728" s="284" t="n">
        <f aca="false">IFERROR(($J728*U728)*$M728, "")</f>
        <v>0</v>
      </c>
      <c r="AY728" s="284" t="n">
        <f aca="false">IFERROR(($J728*V728)*$M728, "")</f>
        <v>0</v>
      </c>
      <c r="AZ728" s="284" t="n">
        <f aca="false">IFERROR(($J728*W728)*$M728, "")</f>
        <v>0</v>
      </c>
      <c r="BA728" s="284" t="n">
        <f aca="false">IFERROR(($J728*X728)*$M728, "")</f>
        <v>0</v>
      </c>
      <c r="BB728" s="284" t="n">
        <f aca="false">IFERROR(($J728*Y728)*$M728, "")</f>
        <v>0</v>
      </c>
      <c r="BC728" s="285" t="n">
        <f aca="false">IFERROR(($J728*Z728)*$M728, "")</f>
        <v>0</v>
      </c>
      <c r="BD728" s="286" t="n">
        <f aca="false">IFERROR(SUMIF($AB$4:$AM$4, "RDEC", AR728:BC728), "")</f>
        <v>0</v>
      </c>
      <c r="BE728" s="286" t="n">
        <f aca="false">IFERROR(SUMIF($AB$4:$AM$4, "SME", AR728:BC728), "")</f>
        <v>0</v>
      </c>
      <c r="BF728" s="286" t="n">
        <f aca="false">IFERROR(SUMIF($AB$4:$AM$4, "De Minimis", AR728:BC728), "")</f>
        <v>0</v>
      </c>
      <c r="BG728" s="287"/>
      <c r="BH728" s="288" t="str">
        <f aca="false">IF((SUM(O728:Z728)&gt;1),"ERROR","")</f>
        <v/>
      </c>
      <c r="BI728" s="287"/>
      <c r="BJ728" s="18" t="str">
        <f aca="false">IF(C714&gt;0, C714, "")</f>
        <v/>
      </c>
      <c r="BL728" s="200"/>
      <c r="BM728" s="200"/>
      <c r="BN728" s="200"/>
    </row>
    <row r="729" customFormat="false" ht="15" hidden="false" customHeight="true" outlineLevel="0" collapsed="false">
      <c r="B729" s="275"/>
      <c r="D729" s="276" t="n">
        <f aca="false">D713</f>
        <v>45323</v>
      </c>
      <c r="E729" s="277" t="n">
        <v>0</v>
      </c>
      <c r="F729" s="277" t="n">
        <v>0</v>
      </c>
      <c r="G729" s="277" t="n">
        <v>0</v>
      </c>
      <c r="H729" s="277" t="n">
        <v>0</v>
      </c>
      <c r="I729" s="277" t="n">
        <v>0</v>
      </c>
      <c r="J729" s="278" t="n">
        <f aca="false">E729+H729+I729</f>
        <v>0</v>
      </c>
      <c r="K729" s="204"/>
      <c r="L729" s="279" t="n">
        <v>1</v>
      </c>
      <c r="M729" s="280" t="n">
        <f aca="false">1-L729</f>
        <v>0</v>
      </c>
      <c r="N729" s="281"/>
      <c r="O729" s="282"/>
      <c r="P729" s="282"/>
      <c r="Q729" s="282"/>
      <c r="R729" s="282"/>
      <c r="S729" s="282"/>
      <c r="T729" s="282"/>
      <c r="U729" s="282"/>
      <c r="V729" s="282"/>
      <c r="W729" s="282"/>
      <c r="X729" s="282"/>
      <c r="Y729" s="282"/>
      <c r="Z729" s="282"/>
      <c r="AA729" s="283"/>
      <c r="AB729" s="284" t="n">
        <f aca="false">IFERROR(($J729*O729)*$L729, "")</f>
        <v>0</v>
      </c>
      <c r="AC729" s="284" t="n">
        <f aca="false">IFERROR(($J729*P729)*$L729, "")</f>
        <v>0</v>
      </c>
      <c r="AD729" s="284" t="n">
        <f aca="false">IFERROR(($J729*Q729)*$L729, "")</f>
        <v>0</v>
      </c>
      <c r="AE729" s="284" t="n">
        <f aca="false">IFERROR(($J729*R729)*$L729, "")</f>
        <v>0</v>
      </c>
      <c r="AF729" s="284" t="n">
        <f aca="false">IFERROR(($J729*S729)*$L729, "")</f>
        <v>0</v>
      </c>
      <c r="AG729" s="284" t="n">
        <f aca="false">IFERROR(($J729*T729)*$L729, "")</f>
        <v>0</v>
      </c>
      <c r="AH729" s="284" t="n">
        <f aca="false">IFERROR(($J729*U729)*$L729, "")</f>
        <v>0</v>
      </c>
      <c r="AI729" s="284" t="n">
        <f aca="false">IFERROR(($J729*V729)*$L729, "")</f>
        <v>0</v>
      </c>
      <c r="AJ729" s="284" t="n">
        <f aca="false">IFERROR(($J729*W729)*$L729, "")</f>
        <v>0</v>
      </c>
      <c r="AK729" s="284" t="n">
        <f aca="false">IFERROR(($J729*X729)*$L729, "")</f>
        <v>0</v>
      </c>
      <c r="AL729" s="284" t="n">
        <f aca="false">IFERROR(($J729*Y729)*$L729, "")</f>
        <v>0</v>
      </c>
      <c r="AM729" s="285" t="n">
        <f aca="false">IFERROR(($J729*Z729)*$L729, "")</f>
        <v>0</v>
      </c>
      <c r="AN729" s="286" t="n">
        <f aca="false">IFERROR(SUMIF($AB$4:$AM$4, "RDEC", AB729:AM729), "")</f>
        <v>0</v>
      </c>
      <c r="AO729" s="286" t="n">
        <f aca="false">IFERROR(SUMIF($AB$4:$AM$4, "SME", AB729:AM729), "")</f>
        <v>0</v>
      </c>
      <c r="AP729" s="286" t="n">
        <f aca="false">IFERROR(SUMIF($AB$4:$AM$4, "De Minimis", AB729:AM729), "")</f>
        <v>0</v>
      </c>
      <c r="AQ729" s="283"/>
      <c r="AR729" s="284" t="n">
        <f aca="false">IFERROR(($J729*O729)*$M729, "")</f>
        <v>0</v>
      </c>
      <c r="AS729" s="284" t="n">
        <f aca="false">IFERROR(($J729*P729)*$M729, "")</f>
        <v>0</v>
      </c>
      <c r="AT729" s="284" t="n">
        <f aca="false">IFERROR(($J729*Q729)*$M729, "")</f>
        <v>0</v>
      </c>
      <c r="AU729" s="284" t="n">
        <f aca="false">IFERROR(($J729*R729)*$M729, "")</f>
        <v>0</v>
      </c>
      <c r="AV729" s="284" t="n">
        <f aca="false">IFERROR(($J729*S729)*$M729, "")</f>
        <v>0</v>
      </c>
      <c r="AW729" s="284" t="n">
        <f aca="false">IFERROR(($J729*T729)*$M729, "")</f>
        <v>0</v>
      </c>
      <c r="AX729" s="284" t="n">
        <f aca="false">IFERROR(($J729*U729)*$M729, "")</f>
        <v>0</v>
      </c>
      <c r="AY729" s="284" t="n">
        <f aca="false">IFERROR(($J729*V729)*$M729, "")</f>
        <v>0</v>
      </c>
      <c r="AZ729" s="284" t="n">
        <f aca="false">IFERROR(($J729*W729)*$M729, "")</f>
        <v>0</v>
      </c>
      <c r="BA729" s="284" t="n">
        <f aca="false">IFERROR(($J729*X729)*$M729, "")</f>
        <v>0</v>
      </c>
      <c r="BB729" s="284" t="n">
        <f aca="false">IFERROR(($J729*Y729)*$M729, "")</f>
        <v>0</v>
      </c>
      <c r="BC729" s="285" t="n">
        <f aca="false">IFERROR(($J729*Z729)*$M729, "")</f>
        <v>0</v>
      </c>
      <c r="BD729" s="286" t="n">
        <f aca="false">IFERROR(SUMIF($AB$4:$AM$4, "RDEC", AR729:BC729), "")</f>
        <v>0</v>
      </c>
      <c r="BE729" s="286" t="n">
        <f aca="false">IFERROR(SUMIF($AB$4:$AM$4, "SME", AR729:BC729), "")</f>
        <v>0</v>
      </c>
      <c r="BF729" s="286" t="n">
        <f aca="false">IFERROR(SUMIF($AB$4:$AM$4, "De Minimis", AR729:BC729), "")</f>
        <v>0</v>
      </c>
      <c r="BG729" s="287"/>
      <c r="BH729" s="288" t="str">
        <f aca="false">IF((SUM(O729:Z729)&gt;1),"ERROR","")</f>
        <v/>
      </c>
      <c r="BI729" s="287"/>
      <c r="BJ729" s="18" t="str">
        <f aca="false">IF(C715&gt;0, C715, "")</f>
        <v/>
      </c>
      <c r="BL729" s="200"/>
      <c r="BM729" s="200"/>
      <c r="BN729" s="200"/>
    </row>
    <row r="730" customFormat="false" ht="15" hidden="false" customHeight="true" outlineLevel="0" collapsed="false">
      <c r="B730" s="275"/>
      <c r="D730" s="276" t="n">
        <f aca="false">D714</f>
        <v>45352</v>
      </c>
      <c r="E730" s="277" t="n">
        <v>0</v>
      </c>
      <c r="F730" s="277" t="n">
        <v>0</v>
      </c>
      <c r="G730" s="277" t="n">
        <v>0</v>
      </c>
      <c r="H730" s="277" t="n">
        <v>0</v>
      </c>
      <c r="I730" s="277" t="n">
        <v>0</v>
      </c>
      <c r="J730" s="278" t="n">
        <f aca="false">E730+H730+I730</f>
        <v>0</v>
      </c>
      <c r="K730" s="204"/>
      <c r="L730" s="279" t="n">
        <v>1</v>
      </c>
      <c r="M730" s="280" t="n">
        <f aca="false">1-L730</f>
        <v>0</v>
      </c>
      <c r="N730" s="281"/>
      <c r="O730" s="282"/>
      <c r="P730" s="282"/>
      <c r="Q730" s="282"/>
      <c r="R730" s="282"/>
      <c r="S730" s="282"/>
      <c r="T730" s="282"/>
      <c r="U730" s="282"/>
      <c r="V730" s="282"/>
      <c r="W730" s="282"/>
      <c r="X730" s="282"/>
      <c r="Y730" s="282"/>
      <c r="Z730" s="282"/>
      <c r="AA730" s="283"/>
      <c r="AB730" s="284" t="n">
        <f aca="false">IFERROR(($J730*O730)*$L730, "")</f>
        <v>0</v>
      </c>
      <c r="AC730" s="284" t="n">
        <f aca="false">IFERROR(($J730*P730)*$L730, "")</f>
        <v>0</v>
      </c>
      <c r="AD730" s="284" t="n">
        <f aca="false">IFERROR(($J730*Q730)*$L730, "")</f>
        <v>0</v>
      </c>
      <c r="AE730" s="284" t="n">
        <f aca="false">IFERROR(($J730*R730)*$L730, "")</f>
        <v>0</v>
      </c>
      <c r="AF730" s="284" t="n">
        <f aca="false">IFERROR(($J730*S730)*$L730, "")</f>
        <v>0</v>
      </c>
      <c r="AG730" s="284" t="n">
        <f aca="false">IFERROR(($J730*T730)*$L730, "")</f>
        <v>0</v>
      </c>
      <c r="AH730" s="284" t="n">
        <f aca="false">IFERROR(($J730*U730)*$L730, "")</f>
        <v>0</v>
      </c>
      <c r="AI730" s="284" t="n">
        <f aca="false">IFERROR(($J730*V730)*$L730, "")</f>
        <v>0</v>
      </c>
      <c r="AJ730" s="284" t="n">
        <f aca="false">IFERROR(($J730*W730)*$L730, "")</f>
        <v>0</v>
      </c>
      <c r="AK730" s="284" t="n">
        <f aca="false">IFERROR(($J730*X730)*$L730, "")</f>
        <v>0</v>
      </c>
      <c r="AL730" s="284" t="n">
        <f aca="false">IFERROR(($J730*Y730)*$L730, "")</f>
        <v>0</v>
      </c>
      <c r="AM730" s="285" t="n">
        <f aca="false">IFERROR(($J730*Z730)*$L730, "")</f>
        <v>0</v>
      </c>
      <c r="AN730" s="286" t="n">
        <f aca="false">IFERROR(SUMIF($AB$4:$AM$4, "RDEC", AB730:AM730), "")</f>
        <v>0</v>
      </c>
      <c r="AO730" s="286" t="n">
        <f aca="false">IFERROR(SUMIF($AB$4:$AM$4, "SME", AB730:AM730), "")</f>
        <v>0</v>
      </c>
      <c r="AP730" s="286" t="n">
        <f aca="false">IFERROR(SUMIF($AB$4:$AM$4, "De Minimis", AB730:AM730), "")</f>
        <v>0</v>
      </c>
      <c r="AQ730" s="283"/>
      <c r="AR730" s="284" t="n">
        <f aca="false">IFERROR(($J730*O730)*$M730, "")</f>
        <v>0</v>
      </c>
      <c r="AS730" s="284" t="n">
        <f aca="false">IFERROR(($J730*P730)*$M730, "")</f>
        <v>0</v>
      </c>
      <c r="AT730" s="284" t="n">
        <f aca="false">IFERROR(($J730*Q730)*$M730, "")</f>
        <v>0</v>
      </c>
      <c r="AU730" s="284" t="n">
        <f aca="false">IFERROR(($J730*R730)*$M730, "")</f>
        <v>0</v>
      </c>
      <c r="AV730" s="284" t="n">
        <f aca="false">IFERROR(($J730*S730)*$M730, "")</f>
        <v>0</v>
      </c>
      <c r="AW730" s="284" t="n">
        <f aca="false">IFERROR(($J730*T730)*$M730, "")</f>
        <v>0</v>
      </c>
      <c r="AX730" s="284" t="n">
        <f aca="false">IFERROR(($J730*U730)*$M730, "")</f>
        <v>0</v>
      </c>
      <c r="AY730" s="284" t="n">
        <f aca="false">IFERROR(($J730*V730)*$M730, "")</f>
        <v>0</v>
      </c>
      <c r="AZ730" s="284" t="n">
        <f aca="false">IFERROR(($J730*W730)*$M730, "")</f>
        <v>0</v>
      </c>
      <c r="BA730" s="284" t="n">
        <f aca="false">IFERROR(($J730*X730)*$M730, "")</f>
        <v>0</v>
      </c>
      <c r="BB730" s="284" t="n">
        <f aca="false">IFERROR(($J730*Y730)*$M730, "")</f>
        <v>0</v>
      </c>
      <c r="BC730" s="285" t="n">
        <f aca="false">IFERROR(($J730*Z730)*$M730, "")</f>
        <v>0</v>
      </c>
      <c r="BD730" s="286" t="n">
        <f aca="false">IFERROR(SUMIF($AB$4:$AM$4, "RDEC", AR730:BC730), "")</f>
        <v>0</v>
      </c>
      <c r="BE730" s="286" t="n">
        <f aca="false">IFERROR(SUMIF($AB$4:$AM$4, "SME", AR730:BC730), "")</f>
        <v>0</v>
      </c>
      <c r="BF730" s="286" t="n">
        <f aca="false">IFERROR(SUMIF($AB$4:$AM$4, "De Minimis", AR730:BC730), "")</f>
        <v>0</v>
      </c>
      <c r="BG730" s="287"/>
      <c r="BH730" s="288" t="str">
        <f aca="false">IF((SUM(O730:Z730)&gt;1),"ERROR","")</f>
        <v/>
      </c>
      <c r="BI730" s="287"/>
      <c r="BJ730" s="18" t="str">
        <f aca="false">IF(C716&gt;0, C716, "")</f>
        <v/>
      </c>
      <c r="BL730" s="200"/>
      <c r="BM730" s="200"/>
      <c r="BN730" s="200"/>
    </row>
    <row r="731" customFormat="false" ht="15" hidden="false" customHeight="true" outlineLevel="0" collapsed="false">
      <c r="B731" s="275"/>
      <c r="D731" s="276" t="n">
        <f aca="false">D715</f>
        <v>45383</v>
      </c>
      <c r="E731" s="277" t="n">
        <v>0</v>
      </c>
      <c r="F731" s="277" t="n">
        <v>0</v>
      </c>
      <c r="G731" s="277" t="n">
        <v>0</v>
      </c>
      <c r="H731" s="277" t="n">
        <v>0</v>
      </c>
      <c r="I731" s="277" t="n">
        <v>0</v>
      </c>
      <c r="J731" s="278" t="n">
        <f aca="false">E731+H731+I731</f>
        <v>0</v>
      </c>
      <c r="K731" s="204"/>
      <c r="L731" s="279" t="n">
        <v>1</v>
      </c>
      <c r="M731" s="280" t="n">
        <f aca="false">1-L731</f>
        <v>0</v>
      </c>
      <c r="N731" s="281"/>
      <c r="O731" s="282"/>
      <c r="P731" s="282"/>
      <c r="Q731" s="282"/>
      <c r="R731" s="282"/>
      <c r="S731" s="282"/>
      <c r="T731" s="282"/>
      <c r="U731" s="282"/>
      <c r="V731" s="282"/>
      <c r="W731" s="282"/>
      <c r="X731" s="282"/>
      <c r="Y731" s="282"/>
      <c r="Z731" s="282"/>
      <c r="AA731" s="283"/>
      <c r="AB731" s="284" t="n">
        <f aca="false">IFERROR(($J731*O731)*$L731, "")</f>
        <v>0</v>
      </c>
      <c r="AC731" s="284" t="n">
        <f aca="false">IFERROR(($J731*P731)*$L731, "")</f>
        <v>0</v>
      </c>
      <c r="AD731" s="284" t="n">
        <f aca="false">IFERROR(($J731*Q731)*$L731, "")</f>
        <v>0</v>
      </c>
      <c r="AE731" s="284" t="n">
        <f aca="false">IFERROR(($J731*R731)*$L731, "")</f>
        <v>0</v>
      </c>
      <c r="AF731" s="284" t="n">
        <f aca="false">IFERROR(($J731*S731)*$L731, "")</f>
        <v>0</v>
      </c>
      <c r="AG731" s="284" t="n">
        <f aca="false">IFERROR(($J731*T731)*$L731, "")</f>
        <v>0</v>
      </c>
      <c r="AH731" s="284" t="n">
        <f aca="false">IFERROR(($J731*U731)*$L731, "")</f>
        <v>0</v>
      </c>
      <c r="AI731" s="284" t="n">
        <f aca="false">IFERROR(($J731*V731)*$L731, "")</f>
        <v>0</v>
      </c>
      <c r="AJ731" s="284" t="n">
        <f aca="false">IFERROR(($J731*W731)*$L731, "")</f>
        <v>0</v>
      </c>
      <c r="AK731" s="284" t="n">
        <f aca="false">IFERROR(($J731*X731)*$L731, "")</f>
        <v>0</v>
      </c>
      <c r="AL731" s="284" t="n">
        <f aca="false">IFERROR(($J731*Y731)*$L731, "")</f>
        <v>0</v>
      </c>
      <c r="AM731" s="285" t="n">
        <f aca="false">IFERROR(($J731*Z731)*$L731, "")</f>
        <v>0</v>
      </c>
      <c r="AN731" s="286" t="n">
        <f aca="false">IFERROR(SUMIF($AB$4:$AM$4, "RDEC", AB731:AM731), "")</f>
        <v>0</v>
      </c>
      <c r="AO731" s="286" t="n">
        <f aca="false">IFERROR(SUMIF($AB$4:$AM$4, "SME", AB731:AM731), "")</f>
        <v>0</v>
      </c>
      <c r="AP731" s="286" t="n">
        <f aca="false">IFERROR(SUMIF($AB$4:$AM$4, "De Minimis", AB731:AM731), "")</f>
        <v>0</v>
      </c>
      <c r="AQ731" s="283"/>
      <c r="AR731" s="284" t="n">
        <f aca="false">IFERROR(($J731*O731)*$M731, "")</f>
        <v>0</v>
      </c>
      <c r="AS731" s="284" t="n">
        <f aca="false">IFERROR(($J731*P731)*$M731, "")</f>
        <v>0</v>
      </c>
      <c r="AT731" s="284" t="n">
        <f aca="false">IFERROR(($J731*Q731)*$M731, "")</f>
        <v>0</v>
      </c>
      <c r="AU731" s="284" t="n">
        <f aca="false">IFERROR(($J731*R731)*$M731, "")</f>
        <v>0</v>
      </c>
      <c r="AV731" s="284" t="n">
        <f aca="false">IFERROR(($J731*S731)*$M731, "")</f>
        <v>0</v>
      </c>
      <c r="AW731" s="284" t="n">
        <f aca="false">IFERROR(($J731*T731)*$M731, "")</f>
        <v>0</v>
      </c>
      <c r="AX731" s="284" t="n">
        <f aca="false">IFERROR(($J731*U731)*$M731, "")</f>
        <v>0</v>
      </c>
      <c r="AY731" s="284" t="n">
        <f aca="false">IFERROR(($J731*V731)*$M731, "")</f>
        <v>0</v>
      </c>
      <c r="AZ731" s="284" t="n">
        <f aca="false">IFERROR(($J731*W731)*$M731, "")</f>
        <v>0</v>
      </c>
      <c r="BA731" s="284" t="n">
        <f aca="false">IFERROR(($J731*X731)*$M731, "")</f>
        <v>0</v>
      </c>
      <c r="BB731" s="284" t="n">
        <f aca="false">IFERROR(($J731*Y731)*$M731, "")</f>
        <v>0</v>
      </c>
      <c r="BC731" s="285" t="n">
        <f aca="false">IFERROR(($J731*Z731)*$M731, "")</f>
        <v>0</v>
      </c>
      <c r="BD731" s="286" t="n">
        <f aca="false">IFERROR(SUMIF($AB$4:$AM$4, "RDEC", AR731:BC731), "")</f>
        <v>0</v>
      </c>
      <c r="BE731" s="286" t="n">
        <f aca="false">IFERROR(SUMIF($AB$4:$AM$4, "SME", AR731:BC731), "")</f>
        <v>0</v>
      </c>
      <c r="BF731" s="286" t="n">
        <f aca="false">IFERROR(SUMIF($AB$4:$AM$4, "De Minimis", AR731:BC731), "")</f>
        <v>0</v>
      </c>
      <c r="BG731" s="287"/>
      <c r="BH731" s="288" t="str">
        <f aca="false">IF((SUM(O731:Z731)&gt;1),"ERROR","")</f>
        <v/>
      </c>
      <c r="BI731" s="287"/>
      <c r="BJ731" s="18" t="str">
        <f aca="false">IF(C717&gt;0, C717, "")</f>
        <v/>
      </c>
      <c r="BL731" s="200"/>
      <c r="BM731" s="200"/>
      <c r="BN731" s="200"/>
    </row>
    <row r="732" customFormat="false" ht="15" hidden="false" customHeight="true" outlineLevel="0" collapsed="false">
      <c r="B732" s="275"/>
      <c r="D732" s="276" t="n">
        <f aca="false">D716</f>
        <v>45413</v>
      </c>
      <c r="E732" s="277" t="n">
        <v>0</v>
      </c>
      <c r="F732" s="277" t="n">
        <v>0</v>
      </c>
      <c r="G732" s="277" t="n">
        <v>0</v>
      </c>
      <c r="H732" s="277" t="n">
        <v>0</v>
      </c>
      <c r="I732" s="277" t="n">
        <v>0</v>
      </c>
      <c r="J732" s="278" t="n">
        <f aca="false">E732+H732+I732</f>
        <v>0</v>
      </c>
      <c r="K732" s="204"/>
      <c r="L732" s="279" t="n">
        <v>1</v>
      </c>
      <c r="M732" s="280" t="n">
        <f aca="false">1-L732</f>
        <v>0</v>
      </c>
      <c r="N732" s="281"/>
      <c r="O732" s="282"/>
      <c r="P732" s="282"/>
      <c r="Q732" s="282"/>
      <c r="R732" s="282"/>
      <c r="S732" s="282"/>
      <c r="T732" s="282"/>
      <c r="U732" s="282"/>
      <c r="V732" s="282"/>
      <c r="W732" s="282"/>
      <c r="X732" s="282"/>
      <c r="Y732" s="282"/>
      <c r="Z732" s="282"/>
      <c r="AA732" s="283"/>
      <c r="AB732" s="284" t="n">
        <f aca="false">IFERROR(($J732*O732)*$L732, "")</f>
        <v>0</v>
      </c>
      <c r="AC732" s="284" t="n">
        <f aca="false">IFERROR(($J732*P732)*$L732, "")</f>
        <v>0</v>
      </c>
      <c r="AD732" s="284" t="n">
        <f aca="false">IFERROR(($J732*Q732)*$L732, "")</f>
        <v>0</v>
      </c>
      <c r="AE732" s="284" t="n">
        <f aca="false">IFERROR(($J732*R732)*$L732, "")</f>
        <v>0</v>
      </c>
      <c r="AF732" s="284" t="n">
        <f aca="false">IFERROR(($J732*S732)*$L732, "")</f>
        <v>0</v>
      </c>
      <c r="AG732" s="284" t="n">
        <f aca="false">IFERROR(($J732*T732)*$L732, "")</f>
        <v>0</v>
      </c>
      <c r="AH732" s="284" t="n">
        <f aca="false">IFERROR(($J732*U732)*$L732, "")</f>
        <v>0</v>
      </c>
      <c r="AI732" s="284" t="n">
        <f aca="false">IFERROR(($J732*V732)*$L732, "")</f>
        <v>0</v>
      </c>
      <c r="AJ732" s="284" t="n">
        <f aca="false">IFERROR(($J732*W732)*$L732, "")</f>
        <v>0</v>
      </c>
      <c r="AK732" s="284" t="n">
        <f aca="false">IFERROR(($J732*X732)*$L732, "")</f>
        <v>0</v>
      </c>
      <c r="AL732" s="284" t="n">
        <f aca="false">IFERROR(($J732*Y732)*$L732, "")</f>
        <v>0</v>
      </c>
      <c r="AM732" s="285" t="n">
        <f aca="false">IFERROR(($J732*Z732)*$L732, "")</f>
        <v>0</v>
      </c>
      <c r="AN732" s="286" t="n">
        <f aca="false">IFERROR(SUMIF($AB$4:$AM$4, "RDEC", AB732:AM732), "")</f>
        <v>0</v>
      </c>
      <c r="AO732" s="286" t="n">
        <f aca="false">IFERROR(SUMIF($AB$4:$AM$4, "SME", AB732:AM732), "")</f>
        <v>0</v>
      </c>
      <c r="AP732" s="286" t="n">
        <f aca="false">IFERROR(SUMIF($AB$4:$AM$4, "De Minimis", AB732:AM732), "")</f>
        <v>0</v>
      </c>
      <c r="AQ732" s="283"/>
      <c r="AR732" s="284" t="n">
        <f aca="false">IFERROR(($J732*O732)*$M732, "")</f>
        <v>0</v>
      </c>
      <c r="AS732" s="284" t="n">
        <f aca="false">IFERROR(($J732*P732)*$M732, "")</f>
        <v>0</v>
      </c>
      <c r="AT732" s="284" t="n">
        <f aca="false">IFERROR(($J732*Q732)*$M732, "")</f>
        <v>0</v>
      </c>
      <c r="AU732" s="284" t="n">
        <f aca="false">IFERROR(($J732*R732)*$M732, "")</f>
        <v>0</v>
      </c>
      <c r="AV732" s="284" t="n">
        <f aca="false">IFERROR(($J732*S732)*$M732, "")</f>
        <v>0</v>
      </c>
      <c r="AW732" s="284" t="n">
        <f aca="false">IFERROR(($J732*T732)*$M732, "")</f>
        <v>0</v>
      </c>
      <c r="AX732" s="284" t="n">
        <f aca="false">IFERROR(($J732*U732)*$M732, "")</f>
        <v>0</v>
      </c>
      <c r="AY732" s="284" t="n">
        <f aca="false">IFERROR(($J732*V732)*$M732, "")</f>
        <v>0</v>
      </c>
      <c r="AZ732" s="284" t="n">
        <f aca="false">IFERROR(($J732*W732)*$M732, "")</f>
        <v>0</v>
      </c>
      <c r="BA732" s="284" t="n">
        <f aca="false">IFERROR(($J732*X732)*$M732, "")</f>
        <v>0</v>
      </c>
      <c r="BB732" s="284" t="n">
        <f aca="false">IFERROR(($J732*Y732)*$M732, "")</f>
        <v>0</v>
      </c>
      <c r="BC732" s="285" t="n">
        <f aca="false">IFERROR(($J732*Z732)*$M732, "")</f>
        <v>0</v>
      </c>
      <c r="BD732" s="286" t="n">
        <f aca="false">IFERROR(SUMIF($AB$4:$AM$4, "RDEC", AR732:BC732), "")</f>
        <v>0</v>
      </c>
      <c r="BE732" s="286" t="n">
        <f aca="false">IFERROR(SUMIF($AB$4:$AM$4, "SME", AR732:BC732), "")</f>
        <v>0</v>
      </c>
      <c r="BF732" s="286" t="n">
        <f aca="false">IFERROR(SUMIF($AB$4:$AM$4, "De Minimis", AR732:BC732), "")</f>
        <v>0</v>
      </c>
      <c r="BG732" s="287"/>
      <c r="BH732" s="288" t="str">
        <f aca="false">IF((SUM(O732:Z732)&gt;1),"ERROR","")</f>
        <v/>
      </c>
      <c r="BI732" s="287"/>
      <c r="BJ732" s="18" t="str">
        <f aca="false">IF(C718&gt;0, C718, "")</f>
        <v/>
      </c>
      <c r="BL732" s="200"/>
      <c r="BM732" s="200"/>
      <c r="BN732" s="200"/>
    </row>
    <row r="733" customFormat="false" ht="15" hidden="false" customHeight="true" outlineLevel="0" collapsed="false">
      <c r="B733" s="275"/>
      <c r="D733" s="276" t="n">
        <f aca="false">D717</f>
        <v>45444</v>
      </c>
      <c r="E733" s="277" t="n">
        <v>0</v>
      </c>
      <c r="F733" s="277" t="n">
        <v>0</v>
      </c>
      <c r="G733" s="277" t="n">
        <v>0</v>
      </c>
      <c r="H733" s="277" t="n">
        <v>0</v>
      </c>
      <c r="I733" s="277" t="n">
        <v>0</v>
      </c>
      <c r="J733" s="278" t="n">
        <f aca="false">E733+H733+I733</f>
        <v>0</v>
      </c>
      <c r="K733" s="204"/>
      <c r="L733" s="279" t="n">
        <v>1</v>
      </c>
      <c r="M733" s="280" t="n">
        <f aca="false">1-L733</f>
        <v>0</v>
      </c>
      <c r="N733" s="281"/>
      <c r="O733" s="282"/>
      <c r="P733" s="282"/>
      <c r="Q733" s="282"/>
      <c r="R733" s="282"/>
      <c r="S733" s="282"/>
      <c r="T733" s="282"/>
      <c r="U733" s="282"/>
      <c r="V733" s="282"/>
      <c r="W733" s="282"/>
      <c r="X733" s="282"/>
      <c r="Y733" s="282"/>
      <c r="Z733" s="282"/>
      <c r="AA733" s="283"/>
      <c r="AB733" s="284" t="n">
        <f aca="false">IFERROR(($J733*O733)*$L733, "")</f>
        <v>0</v>
      </c>
      <c r="AC733" s="284" t="n">
        <f aca="false">IFERROR(($J733*P733)*$L733, "")</f>
        <v>0</v>
      </c>
      <c r="AD733" s="284" t="n">
        <f aca="false">IFERROR(($J733*Q733)*$L733, "")</f>
        <v>0</v>
      </c>
      <c r="AE733" s="284" t="n">
        <f aca="false">IFERROR(($J733*R733)*$L733, "")</f>
        <v>0</v>
      </c>
      <c r="AF733" s="284" t="n">
        <f aca="false">IFERROR(($J733*S733)*$L733, "")</f>
        <v>0</v>
      </c>
      <c r="AG733" s="284" t="n">
        <f aca="false">IFERROR(($J733*T733)*$L733, "")</f>
        <v>0</v>
      </c>
      <c r="AH733" s="284" t="n">
        <f aca="false">IFERROR(($J733*U733)*$L733, "")</f>
        <v>0</v>
      </c>
      <c r="AI733" s="284" t="n">
        <f aca="false">IFERROR(($J733*V733)*$L733, "")</f>
        <v>0</v>
      </c>
      <c r="AJ733" s="284" t="n">
        <f aca="false">IFERROR(($J733*W733)*$L733, "")</f>
        <v>0</v>
      </c>
      <c r="AK733" s="284" t="n">
        <f aca="false">IFERROR(($J733*X733)*$L733, "")</f>
        <v>0</v>
      </c>
      <c r="AL733" s="284" t="n">
        <f aca="false">IFERROR(($J733*Y733)*$L733, "")</f>
        <v>0</v>
      </c>
      <c r="AM733" s="285" t="n">
        <f aca="false">IFERROR(($J733*Z733)*$L733, "")</f>
        <v>0</v>
      </c>
      <c r="AN733" s="286" t="n">
        <f aca="false">IFERROR(SUMIF($AB$4:$AM$4, "RDEC", AB733:AM733), "")</f>
        <v>0</v>
      </c>
      <c r="AO733" s="286" t="n">
        <f aca="false">IFERROR(SUMIF($AB$4:$AM$4, "SME", AB733:AM733), "")</f>
        <v>0</v>
      </c>
      <c r="AP733" s="286" t="n">
        <f aca="false">IFERROR(SUMIF($AB$4:$AM$4, "De Minimis", AB733:AM733), "")</f>
        <v>0</v>
      </c>
      <c r="AQ733" s="283"/>
      <c r="AR733" s="284" t="n">
        <f aca="false">IFERROR(($J733*O733)*$M733, "")</f>
        <v>0</v>
      </c>
      <c r="AS733" s="284" t="n">
        <f aca="false">IFERROR(($J733*P733)*$M733, "")</f>
        <v>0</v>
      </c>
      <c r="AT733" s="284" t="n">
        <f aca="false">IFERROR(($J733*Q733)*$M733, "")</f>
        <v>0</v>
      </c>
      <c r="AU733" s="284" t="n">
        <f aca="false">IFERROR(($J733*R733)*$M733, "")</f>
        <v>0</v>
      </c>
      <c r="AV733" s="284" t="n">
        <f aca="false">IFERROR(($J733*S733)*$M733, "")</f>
        <v>0</v>
      </c>
      <c r="AW733" s="284" t="n">
        <f aca="false">IFERROR(($J733*T733)*$M733, "")</f>
        <v>0</v>
      </c>
      <c r="AX733" s="284" t="n">
        <f aca="false">IFERROR(($J733*U733)*$M733, "")</f>
        <v>0</v>
      </c>
      <c r="AY733" s="284" t="n">
        <f aca="false">IFERROR(($J733*V733)*$M733, "")</f>
        <v>0</v>
      </c>
      <c r="AZ733" s="284" t="n">
        <f aca="false">IFERROR(($J733*W733)*$M733, "")</f>
        <v>0</v>
      </c>
      <c r="BA733" s="284" t="n">
        <f aca="false">IFERROR(($J733*X733)*$M733, "")</f>
        <v>0</v>
      </c>
      <c r="BB733" s="284" t="n">
        <f aca="false">IFERROR(($J733*Y733)*$M733, "")</f>
        <v>0</v>
      </c>
      <c r="BC733" s="285" t="n">
        <f aca="false">IFERROR(($J733*Z733)*$M733, "")</f>
        <v>0</v>
      </c>
      <c r="BD733" s="286" t="n">
        <f aca="false">IFERROR(SUMIF($AB$4:$AM$4, "RDEC", AR733:BC733), "")</f>
        <v>0</v>
      </c>
      <c r="BE733" s="286" t="n">
        <f aca="false">IFERROR(SUMIF($AB$4:$AM$4, "SME", AR733:BC733), "")</f>
        <v>0</v>
      </c>
      <c r="BF733" s="286" t="n">
        <f aca="false">IFERROR(SUMIF($AB$4:$AM$4, "De Minimis", AR733:BC733), "")</f>
        <v>0</v>
      </c>
      <c r="BG733" s="287"/>
      <c r="BH733" s="288" t="str">
        <f aca="false">IF((SUM(O733:Z733)&gt;1),"ERROR","")</f>
        <v/>
      </c>
      <c r="BI733" s="287"/>
      <c r="BJ733" s="18" t="str">
        <f aca="false">IF(C719&gt;0, C719, "")</f>
        <v/>
      </c>
      <c r="BL733" s="200"/>
      <c r="BM733" s="200"/>
      <c r="BN733" s="200"/>
    </row>
    <row r="734" customFormat="false" ht="15" hidden="false" customHeight="true" outlineLevel="0" collapsed="false">
      <c r="B734" s="275"/>
      <c r="D734" s="276" t="n">
        <f aca="false">D718</f>
        <v>45474</v>
      </c>
      <c r="E734" s="277" t="n">
        <v>0</v>
      </c>
      <c r="F734" s="277" t="n">
        <v>0</v>
      </c>
      <c r="G734" s="277" t="n">
        <v>0</v>
      </c>
      <c r="H734" s="277" t="n">
        <v>0</v>
      </c>
      <c r="I734" s="277" t="n">
        <v>0</v>
      </c>
      <c r="J734" s="278" t="n">
        <f aca="false">E734+H734+I734</f>
        <v>0</v>
      </c>
      <c r="K734" s="204"/>
      <c r="L734" s="279" t="n">
        <v>1</v>
      </c>
      <c r="M734" s="280" t="n">
        <f aca="false">1-L734</f>
        <v>0</v>
      </c>
      <c r="N734" s="281"/>
      <c r="O734" s="282"/>
      <c r="P734" s="282"/>
      <c r="Q734" s="282"/>
      <c r="R734" s="282"/>
      <c r="S734" s="282"/>
      <c r="T734" s="282"/>
      <c r="U734" s="282"/>
      <c r="V734" s="282"/>
      <c r="W734" s="282"/>
      <c r="X734" s="282"/>
      <c r="Y734" s="282"/>
      <c r="Z734" s="282"/>
      <c r="AA734" s="283"/>
      <c r="AB734" s="284" t="n">
        <f aca="false">IFERROR(($J734*O734)*$L734, "")</f>
        <v>0</v>
      </c>
      <c r="AC734" s="284" t="n">
        <f aca="false">IFERROR(($J734*P734)*$L734, "")</f>
        <v>0</v>
      </c>
      <c r="AD734" s="284" t="n">
        <f aca="false">IFERROR(($J734*Q734)*$L734, "")</f>
        <v>0</v>
      </c>
      <c r="AE734" s="284" t="n">
        <f aca="false">IFERROR(($J734*R734)*$L734, "")</f>
        <v>0</v>
      </c>
      <c r="AF734" s="284" t="n">
        <f aca="false">IFERROR(($J734*S734)*$L734, "")</f>
        <v>0</v>
      </c>
      <c r="AG734" s="284" t="n">
        <f aca="false">IFERROR(($J734*T734)*$L734, "")</f>
        <v>0</v>
      </c>
      <c r="AH734" s="284" t="n">
        <f aca="false">IFERROR(($J734*U734)*$L734, "")</f>
        <v>0</v>
      </c>
      <c r="AI734" s="284" t="n">
        <f aca="false">IFERROR(($J734*V734)*$L734, "")</f>
        <v>0</v>
      </c>
      <c r="AJ734" s="284" t="n">
        <f aca="false">IFERROR(($J734*W734)*$L734, "")</f>
        <v>0</v>
      </c>
      <c r="AK734" s="284" t="n">
        <f aca="false">IFERROR(($J734*X734)*$L734, "")</f>
        <v>0</v>
      </c>
      <c r="AL734" s="284" t="n">
        <f aca="false">IFERROR(($J734*Y734)*$L734, "")</f>
        <v>0</v>
      </c>
      <c r="AM734" s="285" t="n">
        <f aca="false">IFERROR(($J734*Z734)*$L734, "")</f>
        <v>0</v>
      </c>
      <c r="AN734" s="286" t="n">
        <f aca="false">IFERROR(SUMIF($AB$4:$AM$4, "RDEC", AB734:AM734), "")</f>
        <v>0</v>
      </c>
      <c r="AO734" s="286" t="n">
        <f aca="false">IFERROR(SUMIF($AB$4:$AM$4, "SME", AB734:AM734), "")</f>
        <v>0</v>
      </c>
      <c r="AP734" s="286" t="n">
        <f aca="false">IFERROR(SUMIF($AB$4:$AM$4, "De Minimis", AB734:AM734), "")</f>
        <v>0</v>
      </c>
      <c r="AQ734" s="283"/>
      <c r="AR734" s="284" t="n">
        <f aca="false">IFERROR(($J734*O734)*$M734, "")</f>
        <v>0</v>
      </c>
      <c r="AS734" s="284" t="n">
        <f aca="false">IFERROR(($J734*P734)*$M734, "")</f>
        <v>0</v>
      </c>
      <c r="AT734" s="284" t="n">
        <f aca="false">IFERROR(($J734*Q734)*$M734, "")</f>
        <v>0</v>
      </c>
      <c r="AU734" s="284" t="n">
        <f aca="false">IFERROR(($J734*R734)*$M734, "")</f>
        <v>0</v>
      </c>
      <c r="AV734" s="284" t="n">
        <f aca="false">IFERROR(($J734*S734)*$M734, "")</f>
        <v>0</v>
      </c>
      <c r="AW734" s="284" t="n">
        <f aca="false">IFERROR(($J734*T734)*$M734, "")</f>
        <v>0</v>
      </c>
      <c r="AX734" s="284" t="n">
        <f aca="false">IFERROR(($J734*U734)*$M734, "")</f>
        <v>0</v>
      </c>
      <c r="AY734" s="284" t="n">
        <f aca="false">IFERROR(($J734*V734)*$M734, "")</f>
        <v>0</v>
      </c>
      <c r="AZ734" s="284" t="n">
        <f aca="false">IFERROR(($J734*W734)*$M734, "")</f>
        <v>0</v>
      </c>
      <c r="BA734" s="284" t="n">
        <f aca="false">IFERROR(($J734*X734)*$M734, "")</f>
        <v>0</v>
      </c>
      <c r="BB734" s="284" t="n">
        <f aca="false">IFERROR(($J734*Y734)*$M734, "")</f>
        <v>0</v>
      </c>
      <c r="BC734" s="285" t="n">
        <f aca="false">IFERROR(($J734*Z734)*$M734, "")</f>
        <v>0</v>
      </c>
      <c r="BD734" s="286" t="n">
        <f aca="false">IFERROR(SUMIF($AB$4:$AM$4, "RDEC", AR734:BC734), "")</f>
        <v>0</v>
      </c>
      <c r="BE734" s="286" t="n">
        <f aca="false">IFERROR(SUMIF($AB$4:$AM$4, "SME", AR734:BC734), "")</f>
        <v>0</v>
      </c>
      <c r="BF734" s="286" t="n">
        <f aca="false">IFERROR(SUMIF($AB$4:$AM$4, "De Minimis", AR734:BC734), "")</f>
        <v>0</v>
      </c>
      <c r="BG734" s="287"/>
      <c r="BH734" s="288" t="str">
        <f aca="false">IF((SUM(O734:Z734)&gt;1),"ERROR","")</f>
        <v/>
      </c>
      <c r="BI734" s="287"/>
      <c r="BJ734" s="18" t="str">
        <f aca="false">IF(C720&gt;0, C720, "")</f>
        <v/>
      </c>
      <c r="BL734" s="200"/>
      <c r="BM734" s="200"/>
      <c r="BN734" s="200"/>
    </row>
    <row r="735" customFormat="false" ht="15" hidden="false" customHeight="true" outlineLevel="0" collapsed="false">
      <c r="B735" s="275"/>
      <c r="D735" s="276" t="n">
        <f aca="false">D719</f>
        <v>45505</v>
      </c>
      <c r="E735" s="277" t="n">
        <v>0</v>
      </c>
      <c r="F735" s="277" t="n">
        <v>0</v>
      </c>
      <c r="G735" s="277" t="n">
        <v>0</v>
      </c>
      <c r="H735" s="277" t="n">
        <v>0</v>
      </c>
      <c r="I735" s="277" t="n">
        <v>0</v>
      </c>
      <c r="J735" s="278" t="n">
        <f aca="false">E735+H735+I735</f>
        <v>0</v>
      </c>
      <c r="K735" s="204"/>
      <c r="L735" s="279" t="n">
        <v>1</v>
      </c>
      <c r="M735" s="280" t="n">
        <f aca="false">1-L735</f>
        <v>0</v>
      </c>
      <c r="N735" s="281"/>
      <c r="O735" s="282"/>
      <c r="P735" s="282"/>
      <c r="Q735" s="282"/>
      <c r="R735" s="282"/>
      <c r="S735" s="282"/>
      <c r="T735" s="282"/>
      <c r="U735" s="282"/>
      <c r="V735" s="282"/>
      <c r="W735" s="282"/>
      <c r="X735" s="282"/>
      <c r="Y735" s="282"/>
      <c r="Z735" s="282"/>
      <c r="AA735" s="283"/>
      <c r="AB735" s="284" t="n">
        <f aca="false">IFERROR(($J735*O735)*$L735, "")</f>
        <v>0</v>
      </c>
      <c r="AC735" s="284" t="n">
        <f aca="false">IFERROR(($J735*P735)*$L735, "")</f>
        <v>0</v>
      </c>
      <c r="AD735" s="284" t="n">
        <f aca="false">IFERROR(($J735*Q735)*$L735, "")</f>
        <v>0</v>
      </c>
      <c r="AE735" s="284" t="n">
        <f aca="false">IFERROR(($J735*R735)*$L735, "")</f>
        <v>0</v>
      </c>
      <c r="AF735" s="284" t="n">
        <f aca="false">IFERROR(($J735*S735)*$L735, "")</f>
        <v>0</v>
      </c>
      <c r="AG735" s="284" t="n">
        <f aca="false">IFERROR(($J735*T735)*$L735, "")</f>
        <v>0</v>
      </c>
      <c r="AH735" s="284" t="n">
        <f aca="false">IFERROR(($J735*U735)*$L735, "")</f>
        <v>0</v>
      </c>
      <c r="AI735" s="284" t="n">
        <f aca="false">IFERROR(($J735*V735)*$L735, "")</f>
        <v>0</v>
      </c>
      <c r="AJ735" s="284" t="n">
        <f aca="false">IFERROR(($J735*W735)*$L735, "")</f>
        <v>0</v>
      </c>
      <c r="AK735" s="284" t="n">
        <f aca="false">IFERROR(($J735*X735)*$L735, "")</f>
        <v>0</v>
      </c>
      <c r="AL735" s="284" t="n">
        <f aca="false">IFERROR(($J735*Y735)*$L735, "")</f>
        <v>0</v>
      </c>
      <c r="AM735" s="285" t="n">
        <f aca="false">IFERROR(($J735*Z735)*$L735, "")</f>
        <v>0</v>
      </c>
      <c r="AN735" s="286" t="n">
        <f aca="false">IFERROR(SUMIF($AB$4:$AM$4, "RDEC", AB735:AM735), "")</f>
        <v>0</v>
      </c>
      <c r="AO735" s="286" t="n">
        <f aca="false">IFERROR(SUMIF($AB$4:$AM$4, "SME", AB735:AM735), "")</f>
        <v>0</v>
      </c>
      <c r="AP735" s="286" t="n">
        <f aca="false">IFERROR(SUMIF($AB$4:$AM$4, "De Minimis", AB735:AM735), "")</f>
        <v>0</v>
      </c>
      <c r="AQ735" s="283"/>
      <c r="AR735" s="284" t="n">
        <f aca="false">IFERROR(($J735*O735)*$M735, "")</f>
        <v>0</v>
      </c>
      <c r="AS735" s="284" t="n">
        <f aca="false">IFERROR(($J735*P735)*$M735, "")</f>
        <v>0</v>
      </c>
      <c r="AT735" s="284" t="n">
        <f aca="false">IFERROR(($J735*Q735)*$M735, "")</f>
        <v>0</v>
      </c>
      <c r="AU735" s="284" t="n">
        <f aca="false">IFERROR(($J735*R735)*$M735, "")</f>
        <v>0</v>
      </c>
      <c r="AV735" s="284" t="n">
        <f aca="false">IFERROR(($J735*S735)*$M735, "")</f>
        <v>0</v>
      </c>
      <c r="AW735" s="284" t="n">
        <f aca="false">IFERROR(($J735*T735)*$M735, "")</f>
        <v>0</v>
      </c>
      <c r="AX735" s="284" t="n">
        <f aca="false">IFERROR(($J735*U735)*$M735, "")</f>
        <v>0</v>
      </c>
      <c r="AY735" s="284" t="n">
        <f aca="false">IFERROR(($J735*V735)*$M735, "")</f>
        <v>0</v>
      </c>
      <c r="AZ735" s="284" t="n">
        <f aca="false">IFERROR(($J735*W735)*$M735, "")</f>
        <v>0</v>
      </c>
      <c r="BA735" s="284" t="n">
        <f aca="false">IFERROR(($J735*X735)*$M735, "")</f>
        <v>0</v>
      </c>
      <c r="BB735" s="284" t="n">
        <f aca="false">IFERROR(($J735*Y735)*$M735, "")</f>
        <v>0</v>
      </c>
      <c r="BC735" s="285" t="n">
        <f aca="false">IFERROR(($J735*Z735)*$M735, "")</f>
        <v>0</v>
      </c>
      <c r="BD735" s="286" t="n">
        <f aca="false">IFERROR(SUMIF($AB$4:$AM$4, "RDEC", AR735:BC735), "")</f>
        <v>0</v>
      </c>
      <c r="BE735" s="286" t="n">
        <f aca="false">IFERROR(SUMIF($AB$4:$AM$4, "SME", AR735:BC735), "")</f>
        <v>0</v>
      </c>
      <c r="BF735" s="286" t="n">
        <f aca="false">IFERROR(SUMIF($AB$4:$AM$4, "De Minimis", AR735:BC735), "")</f>
        <v>0</v>
      </c>
      <c r="BG735" s="287"/>
      <c r="BH735" s="288" t="str">
        <f aca="false">IF((SUM(O735:Z735)&gt;1),"ERROR","")</f>
        <v/>
      </c>
      <c r="BI735" s="287"/>
      <c r="BJ735" s="18" t="str">
        <f aca="false">IF(C721&gt;0, C721, "")</f>
        <v/>
      </c>
      <c r="BL735" s="200"/>
      <c r="BM735" s="200"/>
      <c r="BN735" s="200"/>
    </row>
    <row r="736" customFormat="false" ht="15" hidden="false" customHeight="true" outlineLevel="0" collapsed="false">
      <c r="B736" s="275"/>
      <c r="D736" s="276" t="n">
        <f aca="false">D720</f>
        <v>45536</v>
      </c>
      <c r="E736" s="277" t="n">
        <v>0</v>
      </c>
      <c r="F736" s="277" t="n">
        <v>0</v>
      </c>
      <c r="G736" s="277" t="n">
        <v>0</v>
      </c>
      <c r="H736" s="277" t="n">
        <v>0</v>
      </c>
      <c r="I736" s="277" t="n">
        <v>0</v>
      </c>
      <c r="J736" s="278" t="n">
        <f aca="false">E736+H736+I736</f>
        <v>0</v>
      </c>
      <c r="K736" s="204"/>
      <c r="L736" s="279" t="n">
        <v>1</v>
      </c>
      <c r="M736" s="280" t="n">
        <f aca="false">1-L736</f>
        <v>0</v>
      </c>
      <c r="N736" s="281"/>
      <c r="O736" s="282"/>
      <c r="P736" s="282"/>
      <c r="Q736" s="282"/>
      <c r="R736" s="282"/>
      <c r="S736" s="282"/>
      <c r="T736" s="282"/>
      <c r="U736" s="282"/>
      <c r="V736" s="282"/>
      <c r="W736" s="282"/>
      <c r="X736" s="282"/>
      <c r="Y736" s="282"/>
      <c r="Z736" s="282"/>
      <c r="AA736" s="283"/>
      <c r="AB736" s="284" t="n">
        <f aca="false">IFERROR(($J736*O736)*$L736, "")</f>
        <v>0</v>
      </c>
      <c r="AC736" s="284" t="n">
        <f aca="false">IFERROR(($J736*P736)*$L736, "")</f>
        <v>0</v>
      </c>
      <c r="AD736" s="284" t="n">
        <f aca="false">IFERROR(($J736*Q736)*$L736, "")</f>
        <v>0</v>
      </c>
      <c r="AE736" s="284" t="n">
        <f aca="false">IFERROR(($J736*R736)*$L736, "")</f>
        <v>0</v>
      </c>
      <c r="AF736" s="284" t="n">
        <f aca="false">IFERROR(($J736*S736)*$L736, "")</f>
        <v>0</v>
      </c>
      <c r="AG736" s="284" t="n">
        <f aca="false">IFERROR(($J736*T736)*$L736, "")</f>
        <v>0</v>
      </c>
      <c r="AH736" s="284" t="n">
        <f aca="false">IFERROR(($J736*U736)*$L736, "")</f>
        <v>0</v>
      </c>
      <c r="AI736" s="284" t="n">
        <f aca="false">IFERROR(($J736*V736)*$L736, "")</f>
        <v>0</v>
      </c>
      <c r="AJ736" s="284" t="n">
        <f aca="false">IFERROR(($J736*W736)*$L736, "")</f>
        <v>0</v>
      </c>
      <c r="AK736" s="284" t="n">
        <f aca="false">IFERROR(($J736*X736)*$L736, "")</f>
        <v>0</v>
      </c>
      <c r="AL736" s="284" t="n">
        <f aca="false">IFERROR(($J736*Y736)*$L736, "")</f>
        <v>0</v>
      </c>
      <c r="AM736" s="285" t="n">
        <f aca="false">IFERROR(($J736*Z736)*$L736, "")</f>
        <v>0</v>
      </c>
      <c r="AN736" s="286" t="n">
        <f aca="false">IFERROR(SUMIF($AB$4:$AM$4, "RDEC", AB736:AM736), "")</f>
        <v>0</v>
      </c>
      <c r="AO736" s="286" t="n">
        <f aca="false">IFERROR(SUMIF($AB$4:$AM$4, "SME", AB736:AM736), "")</f>
        <v>0</v>
      </c>
      <c r="AP736" s="286" t="n">
        <f aca="false">IFERROR(SUMIF($AB$4:$AM$4, "De Minimis", AB736:AM736), "")</f>
        <v>0</v>
      </c>
      <c r="AQ736" s="283"/>
      <c r="AR736" s="284" t="n">
        <f aca="false">IFERROR(($J736*O736)*$M736, "")</f>
        <v>0</v>
      </c>
      <c r="AS736" s="284" t="n">
        <f aca="false">IFERROR(($J736*P736)*$M736, "")</f>
        <v>0</v>
      </c>
      <c r="AT736" s="284" t="n">
        <f aca="false">IFERROR(($J736*Q736)*$M736, "")</f>
        <v>0</v>
      </c>
      <c r="AU736" s="284" t="n">
        <f aca="false">IFERROR(($J736*R736)*$M736, "")</f>
        <v>0</v>
      </c>
      <c r="AV736" s="284" t="n">
        <f aca="false">IFERROR(($J736*S736)*$M736, "")</f>
        <v>0</v>
      </c>
      <c r="AW736" s="284" t="n">
        <f aca="false">IFERROR(($J736*T736)*$M736, "")</f>
        <v>0</v>
      </c>
      <c r="AX736" s="284" t="n">
        <f aca="false">IFERROR(($J736*U736)*$M736, "")</f>
        <v>0</v>
      </c>
      <c r="AY736" s="284" t="n">
        <f aca="false">IFERROR(($J736*V736)*$M736, "")</f>
        <v>0</v>
      </c>
      <c r="AZ736" s="284" t="n">
        <f aca="false">IFERROR(($J736*W736)*$M736, "")</f>
        <v>0</v>
      </c>
      <c r="BA736" s="284" t="n">
        <f aca="false">IFERROR(($J736*X736)*$M736, "")</f>
        <v>0</v>
      </c>
      <c r="BB736" s="284" t="n">
        <f aca="false">IFERROR(($J736*Y736)*$M736, "")</f>
        <v>0</v>
      </c>
      <c r="BC736" s="285" t="n">
        <f aca="false">IFERROR(($J736*Z736)*$M736, "")</f>
        <v>0</v>
      </c>
      <c r="BD736" s="286" t="n">
        <f aca="false">IFERROR(SUMIF($AB$4:$AM$4, "RDEC", AR736:BC736), "")</f>
        <v>0</v>
      </c>
      <c r="BE736" s="286" t="n">
        <f aca="false">IFERROR(SUMIF($AB$4:$AM$4, "SME", AR736:BC736), "")</f>
        <v>0</v>
      </c>
      <c r="BF736" s="286" t="n">
        <f aca="false">IFERROR(SUMIF($AB$4:$AM$4, "De Minimis", AR736:BC736), "")</f>
        <v>0</v>
      </c>
      <c r="BG736" s="287"/>
      <c r="BH736" s="288" t="str">
        <f aca="false">IF((SUM(O736:Z736)&gt;1),"ERROR","")</f>
        <v/>
      </c>
      <c r="BI736" s="287"/>
      <c r="BJ736" s="18" t="str">
        <f aca="false">IF(C722&gt;0, C722, "")</f>
        <v/>
      </c>
      <c r="BL736" s="200"/>
      <c r="BM736" s="200"/>
      <c r="BN736" s="200"/>
    </row>
    <row r="737" customFormat="false" ht="15" hidden="false" customHeight="true" outlineLevel="0" collapsed="false">
      <c r="B737" s="275"/>
      <c r="D737" s="276" t="n">
        <f aca="false">D721</f>
        <v>45566</v>
      </c>
      <c r="E737" s="277" t="n">
        <v>0</v>
      </c>
      <c r="F737" s="277" t="n">
        <v>0</v>
      </c>
      <c r="G737" s="277" t="n">
        <v>0</v>
      </c>
      <c r="H737" s="277" t="n">
        <v>0</v>
      </c>
      <c r="I737" s="277" t="n">
        <v>0</v>
      </c>
      <c r="J737" s="278" t="n">
        <f aca="false">E737+H737+I737</f>
        <v>0</v>
      </c>
      <c r="K737" s="204"/>
      <c r="L737" s="279" t="n">
        <v>1</v>
      </c>
      <c r="M737" s="280" t="n">
        <f aca="false">1-L737</f>
        <v>0</v>
      </c>
      <c r="N737" s="281"/>
      <c r="O737" s="282"/>
      <c r="P737" s="282"/>
      <c r="Q737" s="282"/>
      <c r="R737" s="282"/>
      <c r="S737" s="282"/>
      <c r="T737" s="282"/>
      <c r="U737" s="282"/>
      <c r="V737" s="282"/>
      <c r="W737" s="282"/>
      <c r="X737" s="282"/>
      <c r="Y737" s="282"/>
      <c r="Z737" s="282"/>
      <c r="AA737" s="283"/>
      <c r="AB737" s="284" t="n">
        <f aca="false">IFERROR(($J737*O737)*$L737, "")</f>
        <v>0</v>
      </c>
      <c r="AC737" s="284" t="n">
        <f aca="false">IFERROR(($J737*P737)*$L737, "")</f>
        <v>0</v>
      </c>
      <c r="AD737" s="284" t="n">
        <f aca="false">IFERROR(($J737*Q737)*$L737, "")</f>
        <v>0</v>
      </c>
      <c r="AE737" s="284" t="n">
        <f aca="false">IFERROR(($J737*R737)*$L737, "")</f>
        <v>0</v>
      </c>
      <c r="AF737" s="284" t="n">
        <f aca="false">IFERROR(($J737*S737)*$L737, "")</f>
        <v>0</v>
      </c>
      <c r="AG737" s="284" t="n">
        <f aca="false">IFERROR(($J737*T737)*$L737, "")</f>
        <v>0</v>
      </c>
      <c r="AH737" s="284" t="n">
        <f aca="false">IFERROR(($J737*U737)*$L737, "")</f>
        <v>0</v>
      </c>
      <c r="AI737" s="284" t="n">
        <f aca="false">IFERROR(($J737*V737)*$L737, "")</f>
        <v>0</v>
      </c>
      <c r="AJ737" s="284" t="n">
        <f aca="false">IFERROR(($J737*W737)*$L737, "")</f>
        <v>0</v>
      </c>
      <c r="AK737" s="284" t="n">
        <f aca="false">IFERROR(($J737*X737)*$L737, "")</f>
        <v>0</v>
      </c>
      <c r="AL737" s="284" t="n">
        <f aca="false">IFERROR(($J737*Y737)*$L737, "")</f>
        <v>0</v>
      </c>
      <c r="AM737" s="285" t="n">
        <f aca="false">IFERROR(($J737*Z737)*$L737, "")</f>
        <v>0</v>
      </c>
      <c r="AN737" s="286" t="n">
        <f aca="false">IFERROR(SUMIF($AB$4:$AM$4, "RDEC", AB737:AM737), "")</f>
        <v>0</v>
      </c>
      <c r="AO737" s="286" t="n">
        <f aca="false">IFERROR(SUMIF($AB$4:$AM$4, "SME", AB737:AM737), "")</f>
        <v>0</v>
      </c>
      <c r="AP737" s="286" t="n">
        <f aca="false">IFERROR(SUMIF($AB$4:$AM$4, "De Minimis", AB737:AM737), "")</f>
        <v>0</v>
      </c>
      <c r="AQ737" s="283"/>
      <c r="AR737" s="284" t="n">
        <f aca="false">IFERROR(($J737*O737)*$M737, "")</f>
        <v>0</v>
      </c>
      <c r="AS737" s="284" t="n">
        <f aca="false">IFERROR(($J737*P737)*$M737, "")</f>
        <v>0</v>
      </c>
      <c r="AT737" s="284" t="n">
        <f aca="false">IFERROR(($J737*Q737)*$M737, "")</f>
        <v>0</v>
      </c>
      <c r="AU737" s="284" t="n">
        <f aca="false">IFERROR(($J737*R737)*$M737, "")</f>
        <v>0</v>
      </c>
      <c r="AV737" s="284" t="n">
        <f aca="false">IFERROR(($J737*S737)*$M737, "")</f>
        <v>0</v>
      </c>
      <c r="AW737" s="284" t="n">
        <f aca="false">IFERROR(($J737*T737)*$M737, "")</f>
        <v>0</v>
      </c>
      <c r="AX737" s="284" t="n">
        <f aca="false">IFERROR(($J737*U737)*$M737, "")</f>
        <v>0</v>
      </c>
      <c r="AY737" s="284" t="n">
        <f aca="false">IFERROR(($J737*V737)*$M737, "")</f>
        <v>0</v>
      </c>
      <c r="AZ737" s="284" t="n">
        <f aca="false">IFERROR(($J737*W737)*$M737, "")</f>
        <v>0</v>
      </c>
      <c r="BA737" s="284" t="n">
        <f aca="false">IFERROR(($J737*X737)*$M737, "")</f>
        <v>0</v>
      </c>
      <c r="BB737" s="284" t="n">
        <f aca="false">IFERROR(($J737*Y737)*$M737, "")</f>
        <v>0</v>
      </c>
      <c r="BC737" s="285" t="n">
        <f aca="false">IFERROR(($J737*Z737)*$M737, "")</f>
        <v>0</v>
      </c>
      <c r="BD737" s="286" t="n">
        <f aca="false">IFERROR(SUMIF($AB$4:$AM$4, "RDEC", AR737:BC737), "")</f>
        <v>0</v>
      </c>
      <c r="BE737" s="286" t="n">
        <f aca="false">IFERROR(SUMIF($AB$4:$AM$4, "SME", AR737:BC737), "")</f>
        <v>0</v>
      </c>
      <c r="BF737" s="286" t="n">
        <f aca="false">IFERROR(SUMIF($AB$4:$AM$4, "De Minimis", AR737:BC737), "")</f>
        <v>0</v>
      </c>
      <c r="BG737" s="287"/>
      <c r="BH737" s="288" t="str">
        <f aca="false">IF((SUM(O737:Z737)&gt;1),"ERROR","")</f>
        <v/>
      </c>
      <c r="BI737" s="287"/>
      <c r="BJ737" s="18" t="str">
        <f aca="false">IF(C723&gt;0, C723, "")</f>
        <v/>
      </c>
      <c r="BL737" s="200"/>
      <c r="BM737" s="200"/>
      <c r="BN737" s="200"/>
    </row>
    <row r="738" customFormat="false" ht="15" hidden="false" customHeight="true" outlineLevel="0" collapsed="false">
      <c r="B738" s="275"/>
      <c r="D738" s="276" t="n">
        <f aca="false">D722</f>
        <v>45597</v>
      </c>
      <c r="E738" s="277" t="n">
        <v>0</v>
      </c>
      <c r="F738" s="277" t="n">
        <v>0</v>
      </c>
      <c r="G738" s="277" t="n">
        <v>0</v>
      </c>
      <c r="H738" s="277" t="n">
        <v>0</v>
      </c>
      <c r="I738" s="277" t="n">
        <v>0</v>
      </c>
      <c r="J738" s="278" t="n">
        <f aca="false">E738+H738+I738</f>
        <v>0</v>
      </c>
      <c r="K738" s="204"/>
      <c r="L738" s="279" t="n">
        <v>1</v>
      </c>
      <c r="M738" s="280" t="n">
        <f aca="false">1-L738</f>
        <v>0</v>
      </c>
      <c r="N738" s="281"/>
      <c r="O738" s="282"/>
      <c r="P738" s="282"/>
      <c r="Q738" s="282"/>
      <c r="R738" s="282"/>
      <c r="S738" s="282"/>
      <c r="T738" s="282"/>
      <c r="U738" s="282"/>
      <c r="V738" s="282"/>
      <c r="W738" s="282"/>
      <c r="X738" s="282"/>
      <c r="Y738" s="282"/>
      <c r="Z738" s="282"/>
      <c r="AA738" s="283"/>
      <c r="AB738" s="284" t="n">
        <f aca="false">IFERROR(($J738*O738)*$L738, "")</f>
        <v>0</v>
      </c>
      <c r="AC738" s="284" t="n">
        <f aca="false">IFERROR(($J738*P738)*$L738, "")</f>
        <v>0</v>
      </c>
      <c r="AD738" s="284" t="n">
        <f aca="false">IFERROR(($J738*Q738)*$L738, "")</f>
        <v>0</v>
      </c>
      <c r="AE738" s="284" t="n">
        <f aca="false">IFERROR(($J738*R738)*$L738, "")</f>
        <v>0</v>
      </c>
      <c r="AF738" s="284" t="n">
        <f aca="false">IFERROR(($J738*S738)*$L738, "")</f>
        <v>0</v>
      </c>
      <c r="AG738" s="284" t="n">
        <f aca="false">IFERROR(($J738*T738)*$L738, "")</f>
        <v>0</v>
      </c>
      <c r="AH738" s="284" t="n">
        <f aca="false">IFERROR(($J738*U738)*$L738, "")</f>
        <v>0</v>
      </c>
      <c r="AI738" s="284" t="n">
        <f aca="false">IFERROR(($J738*V738)*$L738, "")</f>
        <v>0</v>
      </c>
      <c r="AJ738" s="284" t="n">
        <f aca="false">IFERROR(($J738*W738)*$L738, "")</f>
        <v>0</v>
      </c>
      <c r="AK738" s="284" t="n">
        <f aca="false">IFERROR(($J738*X738)*$L738, "")</f>
        <v>0</v>
      </c>
      <c r="AL738" s="284" t="n">
        <f aca="false">IFERROR(($J738*Y738)*$L738, "")</f>
        <v>0</v>
      </c>
      <c r="AM738" s="285" t="n">
        <f aca="false">IFERROR(($J738*Z738)*$L738, "")</f>
        <v>0</v>
      </c>
      <c r="AN738" s="286" t="n">
        <f aca="false">IFERROR(SUMIF($AB$4:$AM$4, "RDEC", AB738:AM738), "")</f>
        <v>0</v>
      </c>
      <c r="AO738" s="286" t="n">
        <f aca="false">IFERROR(SUMIF($AB$4:$AM$4, "SME", AB738:AM738), "")</f>
        <v>0</v>
      </c>
      <c r="AP738" s="286" t="n">
        <f aca="false">IFERROR(SUMIF($AB$4:$AM$4, "De Minimis", AB738:AM738), "")</f>
        <v>0</v>
      </c>
      <c r="AQ738" s="283"/>
      <c r="AR738" s="284" t="n">
        <f aca="false">IFERROR(($J738*O738)*$M738, "")</f>
        <v>0</v>
      </c>
      <c r="AS738" s="284" t="n">
        <f aca="false">IFERROR(($J738*P738)*$M738, "")</f>
        <v>0</v>
      </c>
      <c r="AT738" s="284" t="n">
        <f aca="false">IFERROR(($J738*Q738)*$M738, "")</f>
        <v>0</v>
      </c>
      <c r="AU738" s="284" t="n">
        <f aca="false">IFERROR(($J738*R738)*$M738, "")</f>
        <v>0</v>
      </c>
      <c r="AV738" s="284" t="n">
        <f aca="false">IFERROR(($J738*S738)*$M738, "")</f>
        <v>0</v>
      </c>
      <c r="AW738" s="284" t="n">
        <f aca="false">IFERROR(($J738*T738)*$M738, "")</f>
        <v>0</v>
      </c>
      <c r="AX738" s="284" t="n">
        <f aca="false">IFERROR(($J738*U738)*$M738, "")</f>
        <v>0</v>
      </c>
      <c r="AY738" s="284" t="n">
        <f aca="false">IFERROR(($J738*V738)*$M738, "")</f>
        <v>0</v>
      </c>
      <c r="AZ738" s="284" t="n">
        <f aca="false">IFERROR(($J738*W738)*$M738, "")</f>
        <v>0</v>
      </c>
      <c r="BA738" s="284" t="n">
        <f aca="false">IFERROR(($J738*X738)*$M738, "")</f>
        <v>0</v>
      </c>
      <c r="BB738" s="284" t="n">
        <f aca="false">IFERROR(($J738*Y738)*$M738, "")</f>
        <v>0</v>
      </c>
      <c r="BC738" s="285" t="n">
        <f aca="false">IFERROR(($J738*Z738)*$M738, "")</f>
        <v>0</v>
      </c>
      <c r="BD738" s="286" t="n">
        <f aca="false">IFERROR(SUMIF($AB$4:$AM$4, "RDEC", AR738:BC738), "")</f>
        <v>0</v>
      </c>
      <c r="BE738" s="286" t="n">
        <f aca="false">IFERROR(SUMIF($AB$4:$AM$4, "SME", AR738:BC738), "")</f>
        <v>0</v>
      </c>
      <c r="BF738" s="286" t="n">
        <f aca="false">IFERROR(SUMIF($AB$4:$AM$4, "De Minimis", AR738:BC738), "")</f>
        <v>0</v>
      </c>
      <c r="BG738" s="287"/>
      <c r="BH738" s="288" t="str">
        <f aca="false">IF((SUM(O738:Z738)&gt;1),"ERROR","")</f>
        <v/>
      </c>
      <c r="BI738" s="287"/>
      <c r="BJ738" s="18" t="str">
        <f aca="false">IF(C724&gt;0, C724, "")</f>
        <v/>
      </c>
      <c r="BL738" s="200"/>
      <c r="BM738" s="200"/>
      <c r="BN738" s="200"/>
    </row>
    <row r="739" customFormat="false" ht="15" hidden="false" customHeight="true" outlineLevel="0" collapsed="false">
      <c r="B739" s="275"/>
      <c r="D739" s="276" t="n">
        <f aca="false">D723</f>
        <v>45627</v>
      </c>
      <c r="E739" s="277" t="n">
        <v>0</v>
      </c>
      <c r="F739" s="277" t="n">
        <v>0</v>
      </c>
      <c r="G739" s="277" t="n">
        <v>0</v>
      </c>
      <c r="H739" s="277" t="n">
        <v>0</v>
      </c>
      <c r="I739" s="277" t="n">
        <v>0</v>
      </c>
      <c r="J739" s="278" t="n">
        <f aca="false">E739+H739+I739</f>
        <v>0</v>
      </c>
      <c r="K739" s="204"/>
      <c r="L739" s="289" t="n">
        <v>1</v>
      </c>
      <c r="M739" s="290" t="n">
        <f aca="false">1-L739</f>
        <v>0</v>
      </c>
      <c r="N739" s="281"/>
      <c r="O739" s="291"/>
      <c r="P739" s="291"/>
      <c r="Q739" s="291"/>
      <c r="R739" s="291"/>
      <c r="S739" s="291"/>
      <c r="T739" s="291"/>
      <c r="U739" s="291"/>
      <c r="V739" s="291"/>
      <c r="W739" s="291"/>
      <c r="X739" s="291"/>
      <c r="Y739" s="291"/>
      <c r="Z739" s="291"/>
      <c r="AA739" s="283"/>
      <c r="AB739" s="292" t="n">
        <f aca="false">IFERROR(($J739*O739)*$L739, "")</f>
        <v>0</v>
      </c>
      <c r="AC739" s="292" t="n">
        <f aca="false">IFERROR(($J739*P739)*$L739, "")</f>
        <v>0</v>
      </c>
      <c r="AD739" s="292" t="n">
        <f aca="false">IFERROR(($J739*Q739)*$L739, "")</f>
        <v>0</v>
      </c>
      <c r="AE739" s="292" t="n">
        <f aca="false">IFERROR(($J739*R739)*$L739, "")</f>
        <v>0</v>
      </c>
      <c r="AF739" s="292" t="n">
        <f aca="false">IFERROR(($J739*S739)*$L739, "")</f>
        <v>0</v>
      </c>
      <c r="AG739" s="292" t="n">
        <f aca="false">IFERROR(($J739*T739)*$L739, "")</f>
        <v>0</v>
      </c>
      <c r="AH739" s="292" t="n">
        <f aca="false">IFERROR(($J739*U739)*$L739, "")</f>
        <v>0</v>
      </c>
      <c r="AI739" s="292" t="n">
        <f aca="false">IFERROR(($J739*V739)*$L739, "")</f>
        <v>0</v>
      </c>
      <c r="AJ739" s="292" t="n">
        <f aca="false">IFERROR(($J739*W739)*$L739, "")</f>
        <v>0</v>
      </c>
      <c r="AK739" s="292" t="n">
        <f aca="false">IFERROR(($J739*X739)*$L739, "")</f>
        <v>0</v>
      </c>
      <c r="AL739" s="292" t="n">
        <f aca="false">IFERROR(($J739*Y739)*$L739, "")</f>
        <v>0</v>
      </c>
      <c r="AM739" s="293" t="n">
        <f aca="false">IFERROR(($J739*Z739)*$L739, "")</f>
        <v>0</v>
      </c>
      <c r="AN739" s="294" t="n">
        <f aca="false">IFERROR(SUMIF($AB$4:$AM$4, "RDEC", AB739:AM739), "")</f>
        <v>0</v>
      </c>
      <c r="AO739" s="294" t="n">
        <f aca="false">IFERROR(SUMIF($AB$4:$AM$4, "SME", AB739:AM739), "")</f>
        <v>0</v>
      </c>
      <c r="AP739" s="294" t="n">
        <f aca="false">IFERROR(SUMIF($AB$4:$AM$4, "De Minimis", AB739:AM739), "")</f>
        <v>0</v>
      </c>
      <c r="AQ739" s="283"/>
      <c r="AR739" s="292" t="n">
        <f aca="false">IFERROR(($J739*O739)*$M739, "")</f>
        <v>0</v>
      </c>
      <c r="AS739" s="292" t="n">
        <f aca="false">IFERROR(($J739*P739)*$M739, "")</f>
        <v>0</v>
      </c>
      <c r="AT739" s="292" t="n">
        <f aca="false">IFERROR(($J739*Q739)*$M739, "")</f>
        <v>0</v>
      </c>
      <c r="AU739" s="292" t="n">
        <f aca="false">IFERROR(($J739*R739)*$M739, "")</f>
        <v>0</v>
      </c>
      <c r="AV739" s="292" t="n">
        <f aca="false">IFERROR(($J739*S739)*$M739, "")</f>
        <v>0</v>
      </c>
      <c r="AW739" s="292" t="n">
        <f aca="false">IFERROR(($J739*T739)*$M739, "")</f>
        <v>0</v>
      </c>
      <c r="AX739" s="292" t="n">
        <f aca="false">IFERROR(($J739*U739)*$M739, "")</f>
        <v>0</v>
      </c>
      <c r="AY739" s="292" t="n">
        <f aca="false">IFERROR(($J739*V739)*$M739, "")</f>
        <v>0</v>
      </c>
      <c r="AZ739" s="292" t="n">
        <f aca="false">IFERROR(($J739*W739)*$M739, "")</f>
        <v>0</v>
      </c>
      <c r="BA739" s="292" t="n">
        <f aca="false">IFERROR(($J739*X739)*$M739, "")</f>
        <v>0</v>
      </c>
      <c r="BB739" s="292" t="n">
        <f aca="false">IFERROR(($J739*Y739)*$M739, "")</f>
        <v>0</v>
      </c>
      <c r="BC739" s="293" t="n">
        <f aca="false">IFERROR(($J739*Z739)*$M739, "")</f>
        <v>0</v>
      </c>
      <c r="BD739" s="294" t="n">
        <f aca="false">IFERROR(SUMIF($AB$4:$AM$4, "RDEC", AR739:BC739), "")</f>
        <v>0</v>
      </c>
      <c r="BE739" s="294" t="n">
        <f aca="false">IFERROR(SUMIF($AB$4:$AM$4, "SME", AR739:BC739), "")</f>
        <v>0</v>
      </c>
      <c r="BF739" s="294" t="n">
        <f aca="false">IFERROR(SUMIF($AB$4:$AM$4, "De Minimis", AR739:BC739), "")</f>
        <v>0</v>
      </c>
      <c r="BG739" s="287"/>
      <c r="BH739" s="295" t="str">
        <f aca="false">IF((SUM(O739:Z739)&gt;1),"ERROR","")</f>
        <v/>
      </c>
      <c r="BI739" s="287"/>
      <c r="BJ739" s="18" t="str">
        <f aca="false">IF(C725&gt;0, C725, "")</f>
        <v/>
      </c>
      <c r="BL739" s="200"/>
      <c r="BM739" s="200"/>
      <c r="BN739" s="200"/>
    </row>
    <row r="740" customFormat="false" ht="15" hidden="false" customHeight="true" outlineLevel="0" collapsed="false">
      <c r="B740" s="296"/>
      <c r="D740" s="297" t="s">
        <v>82</v>
      </c>
      <c r="E740" s="298" t="n">
        <f aca="false">SUM(E728:E739)</f>
        <v>0</v>
      </c>
      <c r="F740" s="298" t="n">
        <f aca="false">SUM(F728:F739)</f>
        <v>0</v>
      </c>
      <c r="G740" s="298" t="n">
        <f aca="false">SUM(G728:G739)</f>
        <v>0</v>
      </c>
      <c r="H740" s="298" t="n">
        <f aca="false">SUM(H728:H739)</f>
        <v>0</v>
      </c>
      <c r="I740" s="298" t="n">
        <f aca="false">SUM(I728:I739)</f>
        <v>0</v>
      </c>
      <c r="J740" s="299" t="n">
        <f aca="false">SUM(J728:J739)</f>
        <v>0</v>
      </c>
      <c r="K740" s="300"/>
      <c r="L740" s="301" t="n">
        <f aca="false">AVERAGE(L728:L739)</f>
        <v>1</v>
      </c>
      <c r="M740" s="301" t="n">
        <f aca="false">AVERAGE(M728:M739)</f>
        <v>0</v>
      </c>
      <c r="N740" s="302"/>
      <c r="O740" s="290" t="n">
        <f aca="false">IF(SUM(O728:O739)&gt;0,((AB740+AR740)/J740),0)</f>
        <v>0</v>
      </c>
      <c r="P740" s="290" t="n">
        <f aca="false">IF(SUM(P728:P739)&gt;0,((AC740+AS740)/J740),0)</f>
        <v>0</v>
      </c>
      <c r="Q740" s="290" t="n">
        <f aca="false">IF(SUM(Q728:Q739)&gt;0,((AD740+AT740)/J740),0)</f>
        <v>0</v>
      </c>
      <c r="R740" s="290" t="n">
        <f aca="false">IF(SUM(R728:R739)&gt;0,((AE740+AU740)/J740),0)</f>
        <v>0</v>
      </c>
      <c r="S740" s="290" t="n">
        <f aca="false">IF(SUM(S728:S739)&gt;0,((AF740+AV740)/J740),0)</f>
        <v>0</v>
      </c>
      <c r="T740" s="290" t="n">
        <f aca="false">IF(SUM(T728:T739)&gt;0,((AG740+AW740)/J740),0)</f>
        <v>0</v>
      </c>
      <c r="U740" s="290" t="n">
        <f aca="false">IF(SUM(U728:U739)&gt;0,((AH740+AX740)/J740),0)</f>
        <v>0</v>
      </c>
      <c r="V740" s="290" t="n">
        <f aca="false">IF(SUM(V728:V739)&gt;0,((AI740+AY740)/J740),0)</f>
        <v>0</v>
      </c>
      <c r="W740" s="290" t="n">
        <f aca="false">IF(SUM(W728:W739)&gt;0,((AJ740+AZ740)/J740),0)</f>
        <v>0</v>
      </c>
      <c r="X740" s="290" t="n">
        <f aca="false">IF(SUM(X728:X739)&gt;0,((AK740+BA740)/J740),0)</f>
        <v>0</v>
      </c>
      <c r="Y740" s="290" t="n">
        <f aca="false">IF(SUM(Y728:Y739)&gt;0,((AL740+BB740)/J740),0)</f>
        <v>0</v>
      </c>
      <c r="Z740" s="290" t="n">
        <f aca="false">IF(SUM(Z728:Z739)&gt;0,((AM740+BC740)/J740),0)</f>
        <v>0</v>
      </c>
      <c r="AA740" s="303"/>
      <c r="AB740" s="292" t="n">
        <f aca="false">SUM(AB728:AB739)</f>
        <v>0</v>
      </c>
      <c r="AC740" s="304" t="n">
        <f aca="false">SUM(AC728:AC739)</f>
        <v>0</v>
      </c>
      <c r="AD740" s="304" t="n">
        <f aca="false">SUM(AD728:AD739)</f>
        <v>0</v>
      </c>
      <c r="AE740" s="304" t="n">
        <f aca="false">SUM(AE728:AE739)</f>
        <v>0</v>
      </c>
      <c r="AF740" s="304" t="n">
        <f aca="false">SUM(AF728:AF739)</f>
        <v>0</v>
      </c>
      <c r="AG740" s="304" t="n">
        <f aca="false">SUM(AG728:AG739)</f>
        <v>0</v>
      </c>
      <c r="AH740" s="304" t="n">
        <f aca="false">SUM(AH728:AH739)</f>
        <v>0</v>
      </c>
      <c r="AI740" s="304" t="n">
        <f aca="false">SUM(AI728:AI739)</f>
        <v>0</v>
      </c>
      <c r="AJ740" s="304" t="n">
        <f aca="false">SUM(AJ728:AJ739)</f>
        <v>0</v>
      </c>
      <c r="AK740" s="304" t="n">
        <f aca="false">SUM(AK728:AK739)</f>
        <v>0</v>
      </c>
      <c r="AL740" s="304" t="n">
        <f aca="false">SUM(AL728:AL739)</f>
        <v>0</v>
      </c>
      <c r="AM740" s="304" t="n">
        <f aca="false">SUM(AM728:AM739)</f>
        <v>0</v>
      </c>
      <c r="AN740" s="305" t="n">
        <f aca="false">SUM(AN728:AN739)</f>
        <v>0</v>
      </c>
      <c r="AO740" s="305" t="n">
        <f aca="false">SUM(AO728:AO739)</f>
        <v>0</v>
      </c>
      <c r="AP740" s="305" t="n">
        <f aca="false">SUM(AP728:AP739)</f>
        <v>0</v>
      </c>
      <c r="AQ740" s="303"/>
      <c r="AR740" s="292" t="n">
        <f aca="false">SUM(AR728:AR739)</f>
        <v>0</v>
      </c>
      <c r="AS740" s="304" t="n">
        <f aca="false">SUM(AS728:AS739)</f>
        <v>0</v>
      </c>
      <c r="AT740" s="304" t="n">
        <f aca="false">SUM(AT728:AT739)</f>
        <v>0</v>
      </c>
      <c r="AU740" s="304" t="n">
        <f aca="false">SUM(AU728:AU739)</f>
        <v>0</v>
      </c>
      <c r="AV740" s="304" t="n">
        <f aca="false">SUM(AV728:AV739)</f>
        <v>0</v>
      </c>
      <c r="AW740" s="304" t="n">
        <f aca="false">SUM(AW728:AW739)</f>
        <v>0</v>
      </c>
      <c r="AX740" s="304" t="n">
        <f aca="false">SUM(AX728:AX739)</f>
        <v>0</v>
      </c>
      <c r="AY740" s="304" t="n">
        <f aca="false">SUM(AY728:AY739)</f>
        <v>0</v>
      </c>
      <c r="AZ740" s="304" t="n">
        <f aca="false">SUM(AZ728:AZ739)</f>
        <v>0</v>
      </c>
      <c r="BA740" s="304" t="n">
        <f aca="false">SUM(BA728:BA739)</f>
        <v>0</v>
      </c>
      <c r="BB740" s="304" t="n">
        <f aca="false">SUM(BB728:BB739)</f>
        <v>0</v>
      </c>
      <c r="BC740" s="304" t="n">
        <f aca="false">SUM(BC728:BC739)</f>
        <v>0</v>
      </c>
      <c r="BD740" s="305" t="n">
        <f aca="false">SUM(BD728:BD739)</f>
        <v>0</v>
      </c>
      <c r="BE740" s="305" t="n">
        <f aca="false">SUM(BE728:BE739)</f>
        <v>0</v>
      </c>
      <c r="BF740" s="305" t="n">
        <f aca="false">SUM(BF728:BF739)</f>
        <v>0</v>
      </c>
      <c r="BG740" s="303"/>
      <c r="BH740" s="306"/>
      <c r="BI740" s="303"/>
      <c r="BJ740" s="307" t="str">
        <f aca="false">IF(C726&gt;0, C726, "")</f>
        <v>TBA</v>
      </c>
      <c r="BK740" s="18" t="s">
        <v>234</v>
      </c>
      <c r="BL740" s="200" t="n">
        <f aca="false">IF($BK740="Y",J740,0)</f>
        <v>0</v>
      </c>
      <c r="BM740" s="200" t="n">
        <f aca="false">IF(BK740="Y", AN740,0)</f>
        <v>0</v>
      </c>
      <c r="BN740" s="200" t="n">
        <f aca="false">IF((BK740="Y"),AO740,0)</f>
        <v>0</v>
      </c>
    </row>
    <row r="741" customFormat="false" ht="15" hidden="false" customHeight="true" outlineLevel="0" collapsed="false">
      <c r="B741" s="296"/>
      <c r="D741" s="297"/>
      <c r="E741" s="277"/>
      <c r="F741" s="277"/>
      <c r="G741" s="277"/>
      <c r="H741" s="277"/>
      <c r="I741" s="277"/>
      <c r="J741" s="300"/>
      <c r="K741" s="300"/>
      <c r="L741" s="302"/>
      <c r="M741" s="302"/>
      <c r="N741" s="302"/>
      <c r="O741" s="308"/>
      <c r="P741" s="308"/>
      <c r="Q741" s="308"/>
      <c r="R741" s="308"/>
      <c r="S741" s="308"/>
      <c r="T741" s="308"/>
      <c r="U741" s="308"/>
      <c r="V741" s="308"/>
      <c r="W741" s="308"/>
      <c r="X741" s="308"/>
      <c r="Y741" s="308"/>
      <c r="Z741" s="308"/>
      <c r="AA741" s="303"/>
      <c r="AB741" s="303"/>
      <c r="AC741" s="303"/>
      <c r="AD741" s="303"/>
      <c r="AE741" s="303"/>
      <c r="AF741" s="303"/>
      <c r="AG741" s="303"/>
      <c r="AH741" s="303"/>
      <c r="AI741" s="303"/>
      <c r="AJ741" s="303"/>
      <c r="AK741" s="303"/>
      <c r="AL741" s="303"/>
      <c r="AM741" s="303"/>
      <c r="AN741" s="303"/>
      <c r="AO741" s="303"/>
      <c r="AP741" s="303"/>
      <c r="AQ741" s="303"/>
      <c r="AR741" s="303"/>
      <c r="AS741" s="303"/>
      <c r="AT741" s="303"/>
      <c r="AU741" s="303"/>
      <c r="AV741" s="303"/>
      <c r="AW741" s="303"/>
      <c r="AX741" s="303"/>
      <c r="AY741" s="303"/>
      <c r="AZ741" s="303"/>
      <c r="BA741" s="303"/>
      <c r="BB741" s="303"/>
      <c r="BC741" s="303"/>
      <c r="BD741" s="303"/>
      <c r="BE741" s="303"/>
      <c r="BF741" s="303"/>
      <c r="BG741" s="303"/>
      <c r="BH741" s="303"/>
      <c r="BI741" s="303"/>
      <c r="BJ741" s="307" t="str">
        <f aca="false">IF(C728&gt;0, C728, "")</f>
        <v/>
      </c>
      <c r="BL741" s="200"/>
      <c r="BM741" s="200"/>
      <c r="BN741" s="200"/>
    </row>
    <row r="742" customFormat="false" ht="15" hidden="false" customHeight="true" outlineLevel="0" collapsed="false">
      <c r="A742" s="198" t="n">
        <f aca="false">A726+1</f>
        <v>47</v>
      </c>
      <c r="B742" s="266" t="s">
        <v>253</v>
      </c>
      <c r="C742" s="266" t="s">
        <v>253</v>
      </c>
      <c r="D742" s="267"/>
      <c r="E742" s="242"/>
      <c r="F742" s="242"/>
      <c r="G742" s="242"/>
      <c r="H742" s="242"/>
      <c r="I742" s="242"/>
      <c r="J742" s="241"/>
      <c r="K742" s="241"/>
      <c r="L742" s="241"/>
      <c r="M742" s="241"/>
      <c r="N742" s="241"/>
      <c r="O742" s="268"/>
      <c r="P742" s="268"/>
      <c r="Q742" s="268"/>
      <c r="R742" s="268"/>
      <c r="S742" s="268"/>
      <c r="T742" s="268"/>
      <c r="U742" s="268"/>
      <c r="V742" s="268"/>
      <c r="W742" s="268"/>
      <c r="X742" s="268"/>
      <c r="Y742" s="268"/>
      <c r="Z742" s="268"/>
      <c r="AA742" s="268"/>
      <c r="AB742" s="268"/>
      <c r="AC742" s="268"/>
      <c r="AD742" s="268"/>
      <c r="AE742" s="268"/>
      <c r="AF742" s="268"/>
      <c r="AG742" s="268"/>
      <c r="AH742" s="268"/>
      <c r="AI742" s="268"/>
      <c r="AJ742" s="268"/>
      <c r="AK742" s="268"/>
      <c r="AL742" s="268"/>
      <c r="AM742" s="268"/>
      <c r="AN742" s="268"/>
      <c r="AO742" s="268"/>
      <c r="AP742" s="268"/>
      <c r="AQ742" s="268"/>
      <c r="AR742" s="268"/>
      <c r="AS742" s="268"/>
      <c r="AT742" s="268"/>
      <c r="AU742" s="268"/>
      <c r="AV742" s="268"/>
      <c r="AW742" s="268"/>
      <c r="AX742" s="268"/>
      <c r="AY742" s="268"/>
      <c r="AZ742" s="268"/>
      <c r="BA742" s="268"/>
      <c r="BB742" s="268"/>
      <c r="BC742" s="268"/>
      <c r="BD742" s="268"/>
      <c r="BE742" s="268"/>
      <c r="BF742" s="268"/>
      <c r="BG742" s="268"/>
      <c r="BH742" s="268"/>
      <c r="BI742" s="268"/>
      <c r="BJ742" s="18" t="str">
        <f aca="false">IF(C729&gt;0, C729, "")</f>
        <v/>
      </c>
      <c r="BL742" s="200"/>
      <c r="BM742" s="200"/>
      <c r="BN742" s="200"/>
    </row>
    <row r="743" customFormat="false" ht="7.5" hidden="false" customHeight="true" outlineLevel="0" collapsed="false">
      <c r="A743" s="198"/>
      <c r="B743" s="266"/>
      <c r="C743" s="266"/>
      <c r="D743" s="267"/>
      <c r="E743" s="242"/>
      <c r="F743" s="242"/>
      <c r="G743" s="242"/>
      <c r="H743" s="242"/>
      <c r="I743" s="242"/>
      <c r="J743" s="241"/>
      <c r="K743" s="241"/>
      <c r="L743" s="269"/>
      <c r="M743" s="269"/>
      <c r="N743" s="270"/>
      <c r="O743" s="269"/>
      <c r="P743" s="269"/>
      <c r="Q743" s="269"/>
      <c r="R743" s="269"/>
      <c r="S743" s="269"/>
      <c r="T743" s="269"/>
      <c r="U743" s="269"/>
      <c r="V743" s="269"/>
      <c r="W743" s="269"/>
      <c r="X743" s="269"/>
      <c r="Y743" s="269"/>
      <c r="Z743" s="269"/>
      <c r="AA743" s="268"/>
      <c r="AB743" s="271"/>
      <c r="AC743" s="271"/>
      <c r="AD743" s="271"/>
      <c r="AE743" s="271"/>
      <c r="AF743" s="271"/>
      <c r="AG743" s="271"/>
      <c r="AH743" s="271"/>
      <c r="AI743" s="271"/>
      <c r="AJ743" s="271"/>
      <c r="AK743" s="271"/>
      <c r="AL743" s="271"/>
      <c r="AM743" s="272"/>
      <c r="AN743" s="273"/>
      <c r="AO743" s="273"/>
      <c r="AP743" s="273"/>
      <c r="AQ743" s="268"/>
      <c r="AR743" s="271"/>
      <c r="AS743" s="271"/>
      <c r="AT743" s="271"/>
      <c r="AU743" s="271"/>
      <c r="AV743" s="271"/>
      <c r="AW743" s="271"/>
      <c r="AX743" s="271"/>
      <c r="AY743" s="271"/>
      <c r="AZ743" s="271"/>
      <c r="BA743" s="271"/>
      <c r="BB743" s="271"/>
      <c r="BC743" s="272"/>
      <c r="BD743" s="273"/>
      <c r="BE743" s="273"/>
      <c r="BF743" s="273"/>
      <c r="BG743" s="268"/>
      <c r="BH743" s="274"/>
      <c r="BI743" s="268"/>
      <c r="BL743" s="200"/>
      <c r="BM743" s="200"/>
      <c r="BN743" s="200"/>
    </row>
    <row r="744" customFormat="false" ht="15" hidden="false" customHeight="true" outlineLevel="0" collapsed="false">
      <c r="B744" s="275"/>
      <c r="D744" s="276" t="n">
        <f aca="false">D728</f>
        <v>45292</v>
      </c>
      <c r="E744" s="277" t="n">
        <v>0</v>
      </c>
      <c r="F744" s="277" t="n">
        <v>0</v>
      </c>
      <c r="G744" s="277" t="n">
        <v>0</v>
      </c>
      <c r="H744" s="277" t="n">
        <v>0</v>
      </c>
      <c r="I744" s="277" t="n">
        <v>0</v>
      </c>
      <c r="J744" s="278" t="n">
        <f aca="false">E744+H744+I744</f>
        <v>0</v>
      </c>
      <c r="K744" s="204"/>
      <c r="L744" s="279" t="n">
        <v>1</v>
      </c>
      <c r="M744" s="280" t="n">
        <f aca="false">1-L744</f>
        <v>0</v>
      </c>
      <c r="N744" s="281"/>
      <c r="O744" s="282"/>
      <c r="P744" s="282"/>
      <c r="Q744" s="282"/>
      <c r="R744" s="282"/>
      <c r="S744" s="282"/>
      <c r="T744" s="282"/>
      <c r="U744" s="282"/>
      <c r="V744" s="282"/>
      <c r="W744" s="282"/>
      <c r="X744" s="282"/>
      <c r="Y744" s="282"/>
      <c r="Z744" s="282"/>
      <c r="AA744" s="283"/>
      <c r="AB744" s="284" t="n">
        <f aca="false">IFERROR(($J744*O744)*$L744, "")</f>
        <v>0</v>
      </c>
      <c r="AC744" s="284" t="n">
        <f aca="false">IFERROR(($J744*P744)*$L744, "")</f>
        <v>0</v>
      </c>
      <c r="AD744" s="284" t="n">
        <f aca="false">IFERROR(($J744*Q744)*$L744, "")</f>
        <v>0</v>
      </c>
      <c r="AE744" s="284" t="n">
        <f aca="false">IFERROR(($J744*R744)*$L744, "")</f>
        <v>0</v>
      </c>
      <c r="AF744" s="284" t="n">
        <f aca="false">IFERROR(($J744*S744)*$L744, "")</f>
        <v>0</v>
      </c>
      <c r="AG744" s="284" t="n">
        <f aca="false">IFERROR(($J744*T744)*$L744, "")</f>
        <v>0</v>
      </c>
      <c r="AH744" s="284" t="n">
        <f aca="false">IFERROR(($J744*U744)*$L744, "")</f>
        <v>0</v>
      </c>
      <c r="AI744" s="284" t="n">
        <f aca="false">IFERROR(($J744*V744)*$L744, "")</f>
        <v>0</v>
      </c>
      <c r="AJ744" s="284" t="n">
        <f aca="false">IFERROR(($J744*W744)*$L744, "")</f>
        <v>0</v>
      </c>
      <c r="AK744" s="284" t="n">
        <f aca="false">IFERROR(($J744*X744)*$L744, "")</f>
        <v>0</v>
      </c>
      <c r="AL744" s="284" t="n">
        <f aca="false">IFERROR(($J744*Y744)*$L744, "")</f>
        <v>0</v>
      </c>
      <c r="AM744" s="285" t="n">
        <f aca="false">IFERROR(($J744*Z744)*$L744, "")</f>
        <v>0</v>
      </c>
      <c r="AN744" s="286" t="n">
        <f aca="false">IFERROR(SUMIF($AB$4:$AM$4, "RDEC", AB744:AM744), "")</f>
        <v>0</v>
      </c>
      <c r="AO744" s="286" t="n">
        <f aca="false">IFERROR(SUMIF($AB$4:$AM$4, "SME", AB744:AM744), "")</f>
        <v>0</v>
      </c>
      <c r="AP744" s="286" t="n">
        <f aca="false">IFERROR(SUMIF($AB$4:$AM$4, "De Minimis", AB744:AM744), "")</f>
        <v>0</v>
      </c>
      <c r="AQ744" s="283"/>
      <c r="AR744" s="284" t="n">
        <f aca="false">IFERROR(($J744*O744)*$M744, "")</f>
        <v>0</v>
      </c>
      <c r="AS744" s="284" t="n">
        <f aca="false">IFERROR(($J744*P744)*$M744, "")</f>
        <v>0</v>
      </c>
      <c r="AT744" s="284" t="n">
        <f aca="false">IFERROR(($J744*Q744)*$M744, "")</f>
        <v>0</v>
      </c>
      <c r="AU744" s="284" t="n">
        <f aca="false">IFERROR(($J744*R744)*$M744, "")</f>
        <v>0</v>
      </c>
      <c r="AV744" s="284" t="n">
        <f aca="false">IFERROR(($J744*S744)*$M744, "")</f>
        <v>0</v>
      </c>
      <c r="AW744" s="284" t="n">
        <f aca="false">IFERROR(($J744*T744)*$M744, "")</f>
        <v>0</v>
      </c>
      <c r="AX744" s="284" t="n">
        <f aca="false">IFERROR(($J744*U744)*$M744, "")</f>
        <v>0</v>
      </c>
      <c r="AY744" s="284" t="n">
        <f aca="false">IFERROR(($J744*V744)*$M744, "")</f>
        <v>0</v>
      </c>
      <c r="AZ744" s="284" t="n">
        <f aca="false">IFERROR(($J744*W744)*$M744, "")</f>
        <v>0</v>
      </c>
      <c r="BA744" s="284" t="n">
        <f aca="false">IFERROR(($J744*X744)*$M744, "")</f>
        <v>0</v>
      </c>
      <c r="BB744" s="284" t="n">
        <f aca="false">IFERROR(($J744*Y744)*$M744, "")</f>
        <v>0</v>
      </c>
      <c r="BC744" s="285" t="n">
        <f aca="false">IFERROR(($J744*Z744)*$M744, "")</f>
        <v>0</v>
      </c>
      <c r="BD744" s="286" t="n">
        <f aca="false">IFERROR(SUMIF($AB$4:$AM$4, "RDEC", AR744:BC744), "")</f>
        <v>0</v>
      </c>
      <c r="BE744" s="286" t="n">
        <f aca="false">IFERROR(SUMIF($AB$4:$AM$4, "SME", AR744:BC744), "")</f>
        <v>0</v>
      </c>
      <c r="BF744" s="286" t="n">
        <f aca="false">IFERROR(SUMIF($AB$4:$AM$4, "De Minimis", AR744:BC744), "")</f>
        <v>0</v>
      </c>
      <c r="BG744" s="287"/>
      <c r="BH744" s="288" t="str">
        <f aca="false">IF((SUM(O744:Z744)&gt;1),"ERROR","")</f>
        <v/>
      </c>
      <c r="BI744" s="287"/>
      <c r="BJ744" s="18" t="str">
        <f aca="false">IF(C730&gt;0, C730, "")</f>
        <v/>
      </c>
      <c r="BL744" s="200"/>
      <c r="BM744" s="200"/>
      <c r="BN744" s="200"/>
    </row>
    <row r="745" customFormat="false" ht="15" hidden="false" customHeight="true" outlineLevel="0" collapsed="false">
      <c r="B745" s="275"/>
      <c r="D745" s="276" t="n">
        <f aca="false">D729</f>
        <v>45323</v>
      </c>
      <c r="E745" s="277" t="n">
        <v>0</v>
      </c>
      <c r="F745" s="277" t="n">
        <v>0</v>
      </c>
      <c r="G745" s="277" t="n">
        <v>0</v>
      </c>
      <c r="H745" s="277" t="n">
        <v>0</v>
      </c>
      <c r="I745" s="277" t="n">
        <v>0</v>
      </c>
      <c r="J745" s="278" t="n">
        <f aca="false">E745+H745+I745</f>
        <v>0</v>
      </c>
      <c r="K745" s="204"/>
      <c r="L745" s="279" t="n">
        <v>1</v>
      </c>
      <c r="M745" s="280" t="n">
        <f aca="false">1-L745</f>
        <v>0</v>
      </c>
      <c r="N745" s="281"/>
      <c r="O745" s="282"/>
      <c r="P745" s="282"/>
      <c r="Q745" s="282"/>
      <c r="R745" s="282"/>
      <c r="S745" s="282"/>
      <c r="T745" s="282"/>
      <c r="U745" s="282"/>
      <c r="V745" s="282"/>
      <c r="W745" s="282"/>
      <c r="X745" s="282"/>
      <c r="Y745" s="282"/>
      <c r="Z745" s="282"/>
      <c r="AA745" s="283"/>
      <c r="AB745" s="284" t="n">
        <f aca="false">IFERROR(($J745*O745)*$L745, "")</f>
        <v>0</v>
      </c>
      <c r="AC745" s="284" t="n">
        <f aca="false">IFERROR(($J745*P745)*$L745, "")</f>
        <v>0</v>
      </c>
      <c r="AD745" s="284" t="n">
        <f aca="false">IFERROR(($J745*Q745)*$L745, "")</f>
        <v>0</v>
      </c>
      <c r="AE745" s="284" t="n">
        <f aca="false">IFERROR(($J745*R745)*$L745, "")</f>
        <v>0</v>
      </c>
      <c r="AF745" s="284" t="n">
        <f aca="false">IFERROR(($J745*S745)*$L745, "")</f>
        <v>0</v>
      </c>
      <c r="AG745" s="284" t="n">
        <f aca="false">IFERROR(($J745*T745)*$L745, "")</f>
        <v>0</v>
      </c>
      <c r="AH745" s="284" t="n">
        <f aca="false">IFERROR(($J745*U745)*$L745, "")</f>
        <v>0</v>
      </c>
      <c r="AI745" s="284" t="n">
        <f aca="false">IFERROR(($J745*V745)*$L745, "")</f>
        <v>0</v>
      </c>
      <c r="AJ745" s="284" t="n">
        <f aca="false">IFERROR(($J745*W745)*$L745, "")</f>
        <v>0</v>
      </c>
      <c r="AK745" s="284" t="n">
        <f aca="false">IFERROR(($J745*X745)*$L745, "")</f>
        <v>0</v>
      </c>
      <c r="AL745" s="284" t="n">
        <f aca="false">IFERROR(($J745*Y745)*$L745, "")</f>
        <v>0</v>
      </c>
      <c r="AM745" s="285" t="n">
        <f aca="false">IFERROR(($J745*Z745)*$L745, "")</f>
        <v>0</v>
      </c>
      <c r="AN745" s="286" t="n">
        <f aca="false">IFERROR(SUMIF($AB$4:$AM$4, "RDEC", AB745:AM745), "")</f>
        <v>0</v>
      </c>
      <c r="AO745" s="286" t="n">
        <f aca="false">IFERROR(SUMIF($AB$4:$AM$4, "SME", AB745:AM745), "")</f>
        <v>0</v>
      </c>
      <c r="AP745" s="286" t="n">
        <f aca="false">IFERROR(SUMIF($AB$4:$AM$4, "De Minimis", AB745:AM745), "")</f>
        <v>0</v>
      </c>
      <c r="AQ745" s="283"/>
      <c r="AR745" s="284" t="n">
        <f aca="false">IFERROR(($J745*O745)*$M745, "")</f>
        <v>0</v>
      </c>
      <c r="AS745" s="284" t="n">
        <f aca="false">IFERROR(($J745*P745)*$M745, "")</f>
        <v>0</v>
      </c>
      <c r="AT745" s="284" t="n">
        <f aca="false">IFERROR(($J745*Q745)*$M745, "")</f>
        <v>0</v>
      </c>
      <c r="AU745" s="284" t="n">
        <f aca="false">IFERROR(($J745*R745)*$M745, "")</f>
        <v>0</v>
      </c>
      <c r="AV745" s="284" t="n">
        <f aca="false">IFERROR(($J745*S745)*$M745, "")</f>
        <v>0</v>
      </c>
      <c r="AW745" s="284" t="n">
        <f aca="false">IFERROR(($J745*T745)*$M745, "")</f>
        <v>0</v>
      </c>
      <c r="AX745" s="284" t="n">
        <f aca="false">IFERROR(($J745*U745)*$M745, "")</f>
        <v>0</v>
      </c>
      <c r="AY745" s="284" t="n">
        <f aca="false">IFERROR(($J745*V745)*$M745, "")</f>
        <v>0</v>
      </c>
      <c r="AZ745" s="284" t="n">
        <f aca="false">IFERROR(($J745*W745)*$M745, "")</f>
        <v>0</v>
      </c>
      <c r="BA745" s="284" t="n">
        <f aca="false">IFERROR(($J745*X745)*$M745, "")</f>
        <v>0</v>
      </c>
      <c r="BB745" s="284" t="n">
        <f aca="false">IFERROR(($J745*Y745)*$M745, "")</f>
        <v>0</v>
      </c>
      <c r="BC745" s="285" t="n">
        <f aca="false">IFERROR(($J745*Z745)*$M745, "")</f>
        <v>0</v>
      </c>
      <c r="BD745" s="286" t="n">
        <f aca="false">IFERROR(SUMIF($AB$4:$AM$4, "RDEC", AR745:BC745), "")</f>
        <v>0</v>
      </c>
      <c r="BE745" s="286" t="n">
        <f aca="false">IFERROR(SUMIF($AB$4:$AM$4, "SME", AR745:BC745), "")</f>
        <v>0</v>
      </c>
      <c r="BF745" s="286" t="n">
        <f aca="false">IFERROR(SUMIF($AB$4:$AM$4, "De Minimis", AR745:BC745), "")</f>
        <v>0</v>
      </c>
      <c r="BG745" s="287"/>
      <c r="BH745" s="288" t="str">
        <f aca="false">IF((SUM(O745:Z745)&gt;1),"ERROR","")</f>
        <v/>
      </c>
      <c r="BI745" s="287"/>
      <c r="BJ745" s="18" t="str">
        <f aca="false">IF(C731&gt;0, C731, "")</f>
        <v/>
      </c>
      <c r="BL745" s="200"/>
      <c r="BM745" s="200"/>
      <c r="BN745" s="200"/>
    </row>
    <row r="746" customFormat="false" ht="15" hidden="false" customHeight="true" outlineLevel="0" collapsed="false">
      <c r="B746" s="275"/>
      <c r="D746" s="276" t="n">
        <f aca="false">D730</f>
        <v>45352</v>
      </c>
      <c r="E746" s="277" t="n">
        <v>0</v>
      </c>
      <c r="F746" s="277" t="n">
        <v>0</v>
      </c>
      <c r="G746" s="277" t="n">
        <v>0</v>
      </c>
      <c r="H746" s="277" t="n">
        <v>0</v>
      </c>
      <c r="I746" s="277" t="n">
        <v>0</v>
      </c>
      <c r="J746" s="278" t="n">
        <f aca="false">E746+H746+I746</f>
        <v>0</v>
      </c>
      <c r="K746" s="204"/>
      <c r="L746" s="279" t="n">
        <v>1</v>
      </c>
      <c r="M746" s="280" t="n">
        <f aca="false">1-L746</f>
        <v>0</v>
      </c>
      <c r="N746" s="281"/>
      <c r="O746" s="282"/>
      <c r="P746" s="282"/>
      <c r="Q746" s="282"/>
      <c r="R746" s="282"/>
      <c r="S746" s="282"/>
      <c r="T746" s="282"/>
      <c r="U746" s="282"/>
      <c r="V746" s="282"/>
      <c r="W746" s="282"/>
      <c r="X746" s="282"/>
      <c r="Y746" s="282"/>
      <c r="Z746" s="282"/>
      <c r="AA746" s="283"/>
      <c r="AB746" s="284" t="n">
        <f aca="false">IFERROR(($J746*O746)*$L746, "")</f>
        <v>0</v>
      </c>
      <c r="AC746" s="284" t="n">
        <f aca="false">IFERROR(($J746*P746)*$L746, "")</f>
        <v>0</v>
      </c>
      <c r="AD746" s="284" t="n">
        <f aca="false">IFERROR(($J746*Q746)*$L746, "")</f>
        <v>0</v>
      </c>
      <c r="AE746" s="284" t="n">
        <f aca="false">IFERROR(($J746*R746)*$L746, "")</f>
        <v>0</v>
      </c>
      <c r="AF746" s="284" t="n">
        <f aca="false">IFERROR(($J746*S746)*$L746, "")</f>
        <v>0</v>
      </c>
      <c r="AG746" s="284" t="n">
        <f aca="false">IFERROR(($J746*T746)*$L746, "")</f>
        <v>0</v>
      </c>
      <c r="AH746" s="284" t="n">
        <f aca="false">IFERROR(($J746*U746)*$L746, "")</f>
        <v>0</v>
      </c>
      <c r="AI746" s="284" t="n">
        <f aca="false">IFERROR(($J746*V746)*$L746, "")</f>
        <v>0</v>
      </c>
      <c r="AJ746" s="284" t="n">
        <f aca="false">IFERROR(($J746*W746)*$L746, "")</f>
        <v>0</v>
      </c>
      <c r="AK746" s="284" t="n">
        <f aca="false">IFERROR(($J746*X746)*$L746, "")</f>
        <v>0</v>
      </c>
      <c r="AL746" s="284" t="n">
        <f aca="false">IFERROR(($J746*Y746)*$L746, "")</f>
        <v>0</v>
      </c>
      <c r="AM746" s="285" t="n">
        <f aca="false">IFERROR(($J746*Z746)*$L746, "")</f>
        <v>0</v>
      </c>
      <c r="AN746" s="286" t="n">
        <f aca="false">IFERROR(SUMIF($AB$4:$AM$4, "RDEC", AB746:AM746), "")</f>
        <v>0</v>
      </c>
      <c r="AO746" s="286" t="n">
        <f aca="false">IFERROR(SUMIF($AB$4:$AM$4, "SME", AB746:AM746), "")</f>
        <v>0</v>
      </c>
      <c r="AP746" s="286" t="n">
        <f aca="false">IFERROR(SUMIF($AB$4:$AM$4, "De Minimis", AB746:AM746), "")</f>
        <v>0</v>
      </c>
      <c r="AQ746" s="283"/>
      <c r="AR746" s="284" t="n">
        <f aca="false">IFERROR(($J746*O746)*$M746, "")</f>
        <v>0</v>
      </c>
      <c r="AS746" s="284" t="n">
        <f aca="false">IFERROR(($J746*P746)*$M746, "")</f>
        <v>0</v>
      </c>
      <c r="AT746" s="284" t="n">
        <f aca="false">IFERROR(($J746*Q746)*$M746, "")</f>
        <v>0</v>
      </c>
      <c r="AU746" s="284" t="n">
        <f aca="false">IFERROR(($J746*R746)*$M746, "")</f>
        <v>0</v>
      </c>
      <c r="AV746" s="284" t="n">
        <f aca="false">IFERROR(($J746*S746)*$M746, "")</f>
        <v>0</v>
      </c>
      <c r="AW746" s="284" t="n">
        <f aca="false">IFERROR(($J746*T746)*$M746, "")</f>
        <v>0</v>
      </c>
      <c r="AX746" s="284" t="n">
        <f aca="false">IFERROR(($J746*U746)*$M746, "")</f>
        <v>0</v>
      </c>
      <c r="AY746" s="284" t="n">
        <f aca="false">IFERROR(($J746*V746)*$M746, "")</f>
        <v>0</v>
      </c>
      <c r="AZ746" s="284" t="n">
        <f aca="false">IFERROR(($J746*W746)*$M746, "")</f>
        <v>0</v>
      </c>
      <c r="BA746" s="284" t="n">
        <f aca="false">IFERROR(($J746*X746)*$M746, "")</f>
        <v>0</v>
      </c>
      <c r="BB746" s="284" t="n">
        <f aca="false">IFERROR(($J746*Y746)*$M746, "")</f>
        <v>0</v>
      </c>
      <c r="BC746" s="285" t="n">
        <f aca="false">IFERROR(($J746*Z746)*$M746, "")</f>
        <v>0</v>
      </c>
      <c r="BD746" s="286" t="n">
        <f aca="false">IFERROR(SUMIF($AB$4:$AM$4, "RDEC", AR746:BC746), "")</f>
        <v>0</v>
      </c>
      <c r="BE746" s="286" t="n">
        <f aca="false">IFERROR(SUMIF($AB$4:$AM$4, "SME", AR746:BC746), "")</f>
        <v>0</v>
      </c>
      <c r="BF746" s="286" t="n">
        <f aca="false">IFERROR(SUMIF($AB$4:$AM$4, "De Minimis", AR746:BC746), "")</f>
        <v>0</v>
      </c>
      <c r="BG746" s="287"/>
      <c r="BH746" s="288" t="str">
        <f aca="false">IF((SUM(O746:Z746)&gt;1),"ERROR","")</f>
        <v/>
      </c>
      <c r="BI746" s="287"/>
      <c r="BJ746" s="18" t="str">
        <f aca="false">IF(C732&gt;0, C732, "")</f>
        <v/>
      </c>
      <c r="BL746" s="200"/>
      <c r="BM746" s="200"/>
      <c r="BN746" s="200"/>
    </row>
    <row r="747" customFormat="false" ht="15" hidden="false" customHeight="true" outlineLevel="0" collapsed="false">
      <c r="B747" s="275"/>
      <c r="D747" s="276" t="n">
        <f aca="false">D731</f>
        <v>45383</v>
      </c>
      <c r="E747" s="277" t="n">
        <v>0</v>
      </c>
      <c r="F747" s="277" t="n">
        <v>0</v>
      </c>
      <c r="G747" s="277" t="n">
        <v>0</v>
      </c>
      <c r="H747" s="277" t="n">
        <v>0</v>
      </c>
      <c r="I747" s="277" t="n">
        <v>0</v>
      </c>
      <c r="J747" s="278" t="n">
        <f aca="false">E747+H747+I747</f>
        <v>0</v>
      </c>
      <c r="K747" s="204"/>
      <c r="L747" s="279" t="n">
        <v>1</v>
      </c>
      <c r="M747" s="280" t="n">
        <f aca="false">1-L747</f>
        <v>0</v>
      </c>
      <c r="N747" s="281"/>
      <c r="O747" s="282"/>
      <c r="P747" s="282"/>
      <c r="Q747" s="282"/>
      <c r="R747" s="282"/>
      <c r="S747" s="282"/>
      <c r="T747" s="282"/>
      <c r="U747" s="282"/>
      <c r="V747" s="282"/>
      <c r="W747" s="282"/>
      <c r="X747" s="282"/>
      <c r="Y747" s="282"/>
      <c r="Z747" s="282"/>
      <c r="AA747" s="283"/>
      <c r="AB747" s="284" t="n">
        <f aca="false">IFERROR(($J747*O747)*$L747, "")</f>
        <v>0</v>
      </c>
      <c r="AC747" s="284" t="n">
        <f aca="false">IFERROR(($J747*P747)*$L747, "")</f>
        <v>0</v>
      </c>
      <c r="AD747" s="284" t="n">
        <f aca="false">IFERROR(($J747*Q747)*$L747, "")</f>
        <v>0</v>
      </c>
      <c r="AE747" s="284" t="n">
        <f aca="false">IFERROR(($J747*R747)*$L747, "")</f>
        <v>0</v>
      </c>
      <c r="AF747" s="284" t="n">
        <f aca="false">IFERROR(($J747*S747)*$L747, "")</f>
        <v>0</v>
      </c>
      <c r="AG747" s="284" t="n">
        <f aca="false">IFERROR(($J747*T747)*$L747, "")</f>
        <v>0</v>
      </c>
      <c r="AH747" s="284" t="n">
        <f aca="false">IFERROR(($J747*U747)*$L747, "")</f>
        <v>0</v>
      </c>
      <c r="AI747" s="284" t="n">
        <f aca="false">IFERROR(($J747*V747)*$L747, "")</f>
        <v>0</v>
      </c>
      <c r="AJ747" s="284" t="n">
        <f aca="false">IFERROR(($J747*W747)*$L747, "")</f>
        <v>0</v>
      </c>
      <c r="AK747" s="284" t="n">
        <f aca="false">IFERROR(($J747*X747)*$L747, "")</f>
        <v>0</v>
      </c>
      <c r="AL747" s="284" t="n">
        <f aca="false">IFERROR(($J747*Y747)*$L747, "")</f>
        <v>0</v>
      </c>
      <c r="AM747" s="285" t="n">
        <f aca="false">IFERROR(($J747*Z747)*$L747, "")</f>
        <v>0</v>
      </c>
      <c r="AN747" s="286" t="n">
        <f aca="false">IFERROR(SUMIF($AB$4:$AM$4, "RDEC", AB747:AM747), "")</f>
        <v>0</v>
      </c>
      <c r="AO747" s="286" t="n">
        <f aca="false">IFERROR(SUMIF($AB$4:$AM$4, "SME", AB747:AM747), "")</f>
        <v>0</v>
      </c>
      <c r="AP747" s="286" t="n">
        <f aca="false">IFERROR(SUMIF($AB$4:$AM$4, "De Minimis", AB747:AM747), "")</f>
        <v>0</v>
      </c>
      <c r="AQ747" s="283"/>
      <c r="AR747" s="284" t="n">
        <f aca="false">IFERROR(($J747*O747)*$M747, "")</f>
        <v>0</v>
      </c>
      <c r="AS747" s="284" t="n">
        <f aca="false">IFERROR(($J747*P747)*$M747, "")</f>
        <v>0</v>
      </c>
      <c r="AT747" s="284" t="n">
        <f aca="false">IFERROR(($J747*Q747)*$M747, "")</f>
        <v>0</v>
      </c>
      <c r="AU747" s="284" t="n">
        <f aca="false">IFERROR(($J747*R747)*$M747, "")</f>
        <v>0</v>
      </c>
      <c r="AV747" s="284" t="n">
        <f aca="false">IFERROR(($J747*S747)*$M747, "")</f>
        <v>0</v>
      </c>
      <c r="AW747" s="284" t="n">
        <f aca="false">IFERROR(($J747*T747)*$M747, "")</f>
        <v>0</v>
      </c>
      <c r="AX747" s="284" t="n">
        <f aca="false">IFERROR(($J747*U747)*$M747, "")</f>
        <v>0</v>
      </c>
      <c r="AY747" s="284" t="n">
        <f aca="false">IFERROR(($J747*V747)*$M747, "")</f>
        <v>0</v>
      </c>
      <c r="AZ747" s="284" t="n">
        <f aca="false">IFERROR(($J747*W747)*$M747, "")</f>
        <v>0</v>
      </c>
      <c r="BA747" s="284" t="n">
        <f aca="false">IFERROR(($J747*X747)*$M747, "")</f>
        <v>0</v>
      </c>
      <c r="BB747" s="284" t="n">
        <f aca="false">IFERROR(($J747*Y747)*$M747, "")</f>
        <v>0</v>
      </c>
      <c r="BC747" s="285" t="n">
        <f aca="false">IFERROR(($J747*Z747)*$M747, "")</f>
        <v>0</v>
      </c>
      <c r="BD747" s="286" t="n">
        <f aca="false">IFERROR(SUMIF($AB$4:$AM$4, "RDEC", AR747:BC747), "")</f>
        <v>0</v>
      </c>
      <c r="BE747" s="286" t="n">
        <f aca="false">IFERROR(SUMIF($AB$4:$AM$4, "SME", AR747:BC747), "")</f>
        <v>0</v>
      </c>
      <c r="BF747" s="286" t="n">
        <f aca="false">IFERROR(SUMIF($AB$4:$AM$4, "De Minimis", AR747:BC747), "")</f>
        <v>0</v>
      </c>
      <c r="BG747" s="287"/>
      <c r="BH747" s="288" t="str">
        <f aca="false">IF((SUM(O747:Z747)&gt;1),"ERROR","")</f>
        <v/>
      </c>
      <c r="BI747" s="287"/>
      <c r="BJ747" s="18" t="str">
        <f aca="false">IF(C733&gt;0, C733, "")</f>
        <v/>
      </c>
      <c r="BL747" s="200"/>
      <c r="BM747" s="200"/>
      <c r="BN747" s="200"/>
    </row>
    <row r="748" customFormat="false" ht="15" hidden="false" customHeight="true" outlineLevel="0" collapsed="false">
      <c r="B748" s="275"/>
      <c r="D748" s="276" t="n">
        <f aca="false">D732</f>
        <v>45413</v>
      </c>
      <c r="E748" s="277" t="n">
        <v>0</v>
      </c>
      <c r="F748" s="277" t="n">
        <v>0</v>
      </c>
      <c r="G748" s="277" t="n">
        <v>0</v>
      </c>
      <c r="H748" s="277" t="n">
        <v>0</v>
      </c>
      <c r="I748" s="277" t="n">
        <v>0</v>
      </c>
      <c r="J748" s="278" t="n">
        <f aca="false">E748+H748+I748</f>
        <v>0</v>
      </c>
      <c r="K748" s="204"/>
      <c r="L748" s="279" t="n">
        <v>1</v>
      </c>
      <c r="M748" s="280" t="n">
        <f aca="false">1-L748</f>
        <v>0</v>
      </c>
      <c r="N748" s="281"/>
      <c r="O748" s="282"/>
      <c r="P748" s="282"/>
      <c r="Q748" s="282"/>
      <c r="R748" s="282"/>
      <c r="S748" s="282"/>
      <c r="T748" s="282"/>
      <c r="U748" s="282"/>
      <c r="V748" s="282"/>
      <c r="W748" s="282"/>
      <c r="X748" s="282"/>
      <c r="Y748" s="282"/>
      <c r="Z748" s="282"/>
      <c r="AA748" s="283"/>
      <c r="AB748" s="284" t="n">
        <f aca="false">IFERROR(($J748*O748)*$L748, "")</f>
        <v>0</v>
      </c>
      <c r="AC748" s="284" t="n">
        <f aca="false">IFERROR(($J748*P748)*$L748, "")</f>
        <v>0</v>
      </c>
      <c r="AD748" s="284" t="n">
        <f aca="false">IFERROR(($J748*Q748)*$L748, "")</f>
        <v>0</v>
      </c>
      <c r="AE748" s="284" t="n">
        <f aca="false">IFERROR(($J748*R748)*$L748, "")</f>
        <v>0</v>
      </c>
      <c r="AF748" s="284" t="n">
        <f aca="false">IFERROR(($J748*S748)*$L748, "")</f>
        <v>0</v>
      </c>
      <c r="AG748" s="284" t="n">
        <f aca="false">IFERROR(($J748*T748)*$L748, "")</f>
        <v>0</v>
      </c>
      <c r="AH748" s="284" t="n">
        <f aca="false">IFERROR(($J748*U748)*$L748, "")</f>
        <v>0</v>
      </c>
      <c r="AI748" s="284" t="n">
        <f aca="false">IFERROR(($J748*V748)*$L748, "")</f>
        <v>0</v>
      </c>
      <c r="AJ748" s="284" t="n">
        <f aca="false">IFERROR(($J748*W748)*$L748, "")</f>
        <v>0</v>
      </c>
      <c r="AK748" s="284" t="n">
        <f aca="false">IFERROR(($J748*X748)*$L748, "")</f>
        <v>0</v>
      </c>
      <c r="AL748" s="284" t="n">
        <f aca="false">IFERROR(($J748*Y748)*$L748, "")</f>
        <v>0</v>
      </c>
      <c r="AM748" s="285" t="n">
        <f aca="false">IFERROR(($J748*Z748)*$L748, "")</f>
        <v>0</v>
      </c>
      <c r="AN748" s="286" t="n">
        <f aca="false">IFERROR(SUMIF($AB$4:$AM$4, "RDEC", AB748:AM748), "")</f>
        <v>0</v>
      </c>
      <c r="AO748" s="286" t="n">
        <f aca="false">IFERROR(SUMIF($AB$4:$AM$4, "SME", AB748:AM748), "")</f>
        <v>0</v>
      </c>
      <c r="AP748" s="286" t="n">
        <f aca="false">IFERROR(SUMIF($AB$4:$AM$4, "De Minimis", AB748:AM748), "")</f>
        <v>0</v>
      </c>
      <c r="AQ748" s="283"/>
      <c r="AR748" s="284" t="n">
        <f aca="false">IFERROR(($J748*O748)*$M748, "")</f>
        <v>0</v>
      </c>
      <c r="AS748" s="284" t="n">
        <f aca="false">IFERROR(($J748*P748)*$M748, "")</f>
        <v>0</v>
      </c>
      <c r="AT748" s="284" t="n">
        <f aca="false">IFERROR(($J748*Q748)*$M748, "")</f>
        <v>0</v>
      </c>
      <c r="AU748" s="284" t="n">
        <f aca="false">IFERROR(($J748*R748)*$M748, "")</f>
        <v>0</v>
      </c>
      <c r="AV748" s="284" t="n">
        <f aca="false">IFERROR(($J748*S748)*$M748, "")</f>
        <v>0</v>
      </c>
      <c r="AW748" s="284" t="n">
        <f aca="false">IFERROR(($J748*T748)*$M748, "")</f>
        <v>0</v>
      </c>
      <c r="AX748" s="284" t="n">
        <f aca="false">IFERROR(($J748*U748)*$M748, "")</f>
        <v>0</v>
      </c>
      <c r="AY748" s="284" t="n">
        <f aca="false">IFERROR(($J748*V748)*$M748, "")</f>
        <v>0</v>
      </c>
      <c r="AZ748" s="284" t="n">
        <f aca="false">IFERROR(($J748*W748)*$M748, "")</f>
        <v>0</v>
      </c>
      <c r="BA748" s="284" t="n">
        <f aca="false">IFERROR(($J748*X748)*$M748, "")</f>
        <v>0</v>
      </c>
      <c r="BB748" s="284" t="n">
        <f aca="false">IFERROR(($J748*Y748)*$M748, "")</f>
        <v>0</v>
      </c>
      <c r="BC748" s="285" t="n">
        <f aca="false">IFERROR(($J748*Z748)*$M748, "")</f>
        <v>0</v>
      </c>
      <c r="BD748" s="286" t="n">
        <f aca="false">IFERROR(SUMIF($AB$4:$AM$4, "RDEC", AR748:BC748), "")</f>
        <v>0</v>
      </c>
      <c r="BE748" s="286" t="n">
        <f aca="false">IFERROR(SUMIF($AB$4:$AM$4, "SME", AR748:BC748), "")</f>
        <v>0</v>
      </c>
      <c r="BF748" s="286" t="n">
        <f aca="false">IFERROR(SUMIF($AB$4:$AM$4, "De Minimis", AR748:BC748), "")</f>
        <v>0</v>
      </c>
      <c r="BG748" s="287"/>
      <c r="BH748" s="288" t="str">
        <f aca="false">IF((SUM(O748:Z748)&gt;1),"ERROR","")</f>
        <v/>
      </c>
      <c r="BI748" s="287"/>
      <c r="BJ748" s="18" t="str">
        <f aca="false">IF(C734&gt;0, C734, "")</f>
        <v/>
      </c>
      <c r="BL748" s="200"/>
      <c r="BM748" s="200"/>
      <c r="BN748" s="200"/>
    </row>
    <row r="749" customFormat="false" ht="15" hidden="false" customHeight="true" outlineLevel="0" collapsed="false">
      <c r="B749" s="275"/>
      <c r="D749" s="276" t="n">
        <f aca="false">D733</f>
        <v>45444</v>
      </c>
      <c r="E749" s="277" t="n">
        <v>0</v>
      </c>
      <c r="F749" s="277" t="n">
        <v>0</v>
      </c>
      <c r="G749" s="277" t="n">
        <v>0</v>
      </c>
      <c r="H749" s="277" t="n">
        <v>0</v>
      </c>
      <c r="I749" s="277" t="n">
        <v>0</v>
      </c>
      <c r="J749" s="278" t="n">
        <f aca="false">E749+H749+I749</f>
        <v>0</v>
      </c>
      <c r="K749" s="204"/>
      <c r="L749" s="279" t="n">
        <v>1</v>
      </c>
      <c r="M749" s="280" t="n">
        <f aca="false">1-L749</f>
        <v>0</v>
      </c>
      <c r="N749" s="281"/>
      <c r="O749" s="282"/>
      <c r="P749" s="282"/>
      <c r="Q749" s="282"/>
      <c r="R749" s="282"/>
      <c r="S749" s="282"/>
      <c r="T749" s="282"/>
      <c r="U749" s="282"/>
      <c r="V749" s="282"/>
      <c r="W749" s="282"/>
      <c r="X749" s="282"/>
      <c r="Y749" s="282"/>
      <c r="Z749" s="282"/>
      <c r="AA749" s="283"/>
      <c r="AB749" s="284" t="n">
        <f aca="false">IFERROR(($J749*O749)*$L749, "")</f>
        <v>0</v>
      </c>
      <c r="AC749" s="284" t="n">
        <f aca="false">IFERROR(($J749*P749)*$L749, "")</f>
        <v>0</v>
      </c>
      <c r="AD749" s="284" t="n">
        <f aca="false">IFERROR(($J749*Q749)*$L749, "")</f>
        <v>0</v>
      </c>
      <c r="AE749" s="284" t="n">
        <f aca="false">IFERROR(($J749*R749)*$L749, "")</f>
        <v>0</v>
      </c>
      <c r="AF749" s="284" t="n">
        <f aca="false">IFERROR(($J749*S749)*$L749, "")</f>
        <v>0</v>
      </c>
      <c r="AG749" s="284" t="n">
        <f aca="false">IFERROR(($J749*T749)*$L749, "")</f>
        <v>0</v>
      </c>
      <c r="AH749" s="284" t="n">
        <f aca="false">IFERROR(($J749*U749)*$L749, "")</f>
        <v>0</v>
      </c>
      <c r="AI749" s="284" t="n">
        <f aca="false">IFERROR(($J749*V749)*$L749, "")</f>
        <v>0</v>
      </c>
      <c r="AJ749" s="284" t="n">
        <f aca="false">IFERROR(($J749*W749)*$L749, "")</f>
        <v>0</v>
      </c>
      <c r="AK749" s="284" t="n">
        <f aca="false">IFERROR(($J749*X749)*$L749, "")</f>
        <v>0</v>
      </c>
      <c r="AL749" s="284" t="n">
        <f aca="false">IFERROR(($J749*Y749)*$L749, "")</f>
        <v>0</v>
      </c>
      <c r="AM749" s="285" t="n">
        <f aca="false">IFERROR(($J749*Z749)*$L749, "")</f>
        <v>0</v>
      </c>
      <c r="AN749" s="286" t="n">
        <f aca="false">IFERROR(SUMIF($AB$4:$AM$4, "RDEC", AB749:AM749), "")</f>
        <v>0</v>
      </c>
      <c r="AO749" s="286" t="n">
        <f aca="false">IFERROR(SUMIF($AB$4:$AM$4, "SME", AB749:AM749), "")</f>
        <v>0</v>
      </c>
      <c r="AP749" s="286" t="n">
        <f aca="false">IFERROR(SUMIF($AB$4:$AM$4, "De Minimis", AB749:AM749), "")</f>
        <v>0</v>
      </c>
      <c r="AQ749" s="283"/>
      <c r="AR749" s="284" t="n">
        <f aca="false">IFERROR(($J749*O749)*$M749, "")</f>
        <v>0</v>
      </c>
      <c r="AS749" s="284" t="n">
        <f aca="false">IFERROR(($J749*P749)*$M749, "")</f>
        <v>0</v>
      </c>
      <c r="AT749" s="284" t="n">
        <f aca="false">IFERROR(($J749*Q749)*$M749, "")</f>
        <v>0</v>
      </c>
      <c r="AU749" s="284" t="n">
        <f aca="false">IFERROR(($J749*R749)*$M749, "")</f>
        <v>0</v>
      </c>
      <c r="AV749" s="284" t="n">
        <f aca="false">IFERROR(($J749*S749)*$M749, "")</f>
        <v>0</v>
      </c>
      <c r="AW749" s="284" t="n">
        <f aca="false">IFERROR(($J749*T749)*$M749, "")</f>
        <v>0</v>
      </c>
      <c r="AX749" s="284" t="n">
        <f aca="false">IFERROR(($J749*U749)*$M749, "")</f>
        <v>0</v>
      </c>
      <c r="AY749" s="284" t="n">
        <f aca="false">IFERROR(($J749*V749)*$M749, "")</f>
        <v>0</v>
      </c>
      <c r="AZ749" s="284" t="n">
        <f aca="false">IFERROR(($J749*W749)*$M749, "")</f>
        <v>0</v>
      </c>
      <c r="BA749" s="284" t="n">
        <f aca="false">IFERROR(($J749*X749)*$M749, "")</f>
        <v>0</v>
      </c>
      <c r="BB749" s="284" t="n">
        <f aca="false">IFERROR(($J749*Y749)*$M749, "")</f>
        <v>0</v>
      </c>
      <c r="BC749" s="285" t="n">
        <f aca="false">IFERROR(($J749*Z749)*$M749, "")</f>
        <v>0</v>
      </c>
      <c r="BD749" s="286" t="n">
        <f aca="false">IFERROR(SUMIF($AB$4:$AM$4, "RDEC", AR749:BC749), "")</f>
        <v>0</v>
      </c>
      <c r="BE749" s="286" t="n">
        <f aca="false">IFERROR(SUMIF($AB$4:$AM$4, "SME", AR749:BC749), "")</f>
        <v>0</v>
      </c>
      <c r="BF749" s="286" t="n">
        <f aca="false">IFERROR(SUMIF($AB$4:$AM$4, "De Minimis", AR749:BC749), "")</f>
        <v>0</v>
      </c>
      <c r="BG749" s="287"/>
      <c r="BH749" s="288" t="str">
        <f aca="false">IF((SUM(O749:Z749)&gt;1),"ERROR","")</f>
        <v/>
      </c>
      <c r="BI749" s="287"/>
      <c r="BJ749" s="18" t="str">
        <f aca="false">IF(C735&gt;0, C735, "")</f>
        <v/>
      </c>
      <c r="BL749" s="200"/>
      <c r="BM749" s="200"/>
      <c r="BN749" s="200"/>
    </row>
    <row r="750" customFormat="false" ht="15" hidden="false" customHeight="true" outlineLevel="0" collapsed="false">
      <c r="B750" s="275"/>
      <c r="D750" s="276" t="n">
        <f aca="false">D734</f>
        <v>45474</v>
      </c>
      <c r="E750" s="277" t="n">
        <v>0</v>
      </c>
      <c r="F750" s="277" t="n">
        <v>0</v>
      </c>
      <c r="G750" s="277" t="n">
        <v>0</v>
      </c>
      <c r="H750" s="277" t="n">
        <v>0</v>
      </c>
      <c r="I750" s="277" t="n">
        <v>0</v>
      </c>
      <c r="J750" s="278" t="n">
        <f aca="false">E750+H750+I750</f>
        <v>0</v>
      </c>
      <c r="K750" s="204"/>
      <c r="L750" s="279" t="n">
        <v>1</v>
      </c>
      <c r="M750" s="280" t="n">
        <f aca="false">1-L750</f>
        <v>0</v>
      </c>
      <c r="N750" s="281"/>
      <c r="O750" s="282"/>
      <c r="P750" s="282"/>
      <c r="Q750" s="282"/>
      <c r="R750" s="282"/>
      <c r="S750" s="282"/>
      <c r="T750" s="282"/>
      <c r="U750" s="282"/>
      <c r="V750" s="282"/>
      <c r="W750" s="282"/>
      <c r="X750" s="282"/>
      <c r="Y750" s="282"/>
      <c r="Z750" s="282"/>
      <c r="AA750" s="283"/>
      <c r="AB750" s="284" t="n">
        <f aca="false">IFERROR(($J750*O750)*$L750, "")</f>
        <v>0</v>
      </c>
      <c r="AC750" s="284" t="n">
        <f aca="false">IFERROR(($J750*P750)*$L750, "")</f>
        <v>0</v>
      </c>
      <c r="AD750" s="284" t="n">
        <f aca="false">IFERROR(($J750*Q750)*$L750, "")</f>
        <v>0</v>
      </c>
      <c r="AE750" s="284" t="n">
        <f aca="false">IFERROR(($J750*R750)*$L750, "")</f>
        <v>0</v>
      </c>
      <c r="AF750" s="284" t="n">
        <f aca="false">IFERROR(($J750*S750)*$L750, "")</f>
        <v>0</v>
      </c>
      <c r="AG750" s="284" t="n">
        <f aca="false">IFERROR(($J750*T750)*$L750, "")</f>
        <v>0</v>
      </c>
      <c r="AH750" s="284" t="n">
        <f aca="false">IFERROR(($J750*U750)*$L750, "")</f>
        <v>0</v>
      </c>
      <c r="AI750" s="284" t="n">
        <f aca="false">IFERROR(($J750*V750)*$L750, "")</f>
        <v>0</v>
      </c>
      <c r="AJ750" s="284" t="n">
        <f aca="false">IFERROR(($J750*W750)*$L750, "")</f>
        <v>0</v>
      </c>
      <c r="AK750" s="284" t="n">
        <f aca="false">IFERROR(($J750*X750)*$L750, "")</f>
        <v>0</v>
      </c>
      <c r="AL750" s="284" t="n">
        <f aca="false">IFERROR(($J750*Y750)*$L750, "")</f>
        <v>0</v>
      </c>
      <c r="AM750" s="285" t="n">
        <f aca="false">IFERROR(($J750*Z750)*$L750, "")</f>
        <v>0</v>
      </c>
      <c r="AN750" s="286" t="n">
        <f aca="false">IFERROR(SUMIF($AB$4:$AM$4, "RDEC", AB750:AM750), "")</f>
        <v>0</v>
      </c>
      <c r="AO750" s="286" t="n">
        <f aca="false">IFERROR(SUMIF($AB$4:$AM$4, "SME", AB750:AM750), "")</f>
        <v>0</v>
      </c>
      <c r="AP750" s="286" t="n">
        <f aca="false">IFERROR(SUMIF($AB$4:$AM$4, "De Minimis", AB750:AM750), "")</f>
        <v>0</v>
      </c>
      <c r="AQ750" s="283"/>
      <c r="AR750" s="284" t="n">
        <f aca="false">IFERROR(($J750*O750)*$M750, "")</f>
        <v>0</v>
      </c>
      <c r="AS750" s="284" t="n">
        <f aca="false">IFERROR(($J750*P750)*$M750, "")</f>
        <v>0</v>
      </c>
      <c r="AT750" s="284" t="n">
        <f aca="false">IFERROR(($J750*Q750)*$M750, "")</f>
        <v>0</v>
      </c>
      <c r="AU750" s="284" t="n">
        <f aca="false">IFERROR(($J750*R750)*$M750, "")</f>
        <v>0</v>
      </c>
      <c r="AV750" s="284" t="n">
        <f aca="false">IFERROR(($J750*S750)*$M750, "")</f>
        <v>0</v>
      </c>
      <c r="AW750" s="284" t="n">
        <f aca="false">IFERROR(($J750*T750)*$M750, "")</f>
        <v>0</v>
      </c>
      <c r="AX750" s="284" t="n">
        <f aca="false">IFERROR(($J750*U750)*$M750, "")</f>
        <v>0</v>
      </c>
      <c r="AY750" s="284" t="n">
        <f aca="false">IFERROR(($J750*V750)*$M750, "")</f>
        <v>0</v>
      </c>
      <c r="AZ750" s="284" t="n">
        <f aca="false">IFERROR(($J750*W750)*$M750, "")</f>
        <v>0</v>
      </c>
      <c r="BA750" s="284" t="n">
        <f aca="false">IFERROR(($J750*X750)*$M750, "")</f>
        <v>0</v>
      </c>
      <c r="BB750" s="284" t="n">
        <f aca="false">IFERROR(($J750*Y750)*$M750, "")</f>
        <v>0</v>
      </c>
      <c r="BC750" s="285" t="n">
        <f aca="false">IFERROR(($J750*Z750)*$M750, "")</f>
        <v>0</v>
      </c>
      <c r="BD750" s="286" t="n">
        <f aca="false">IFERROR(SUMIF($AB$4:$AM$4, "RDEC", AR750:BC750), "")</f>
        <v>0</v>
      </c>
      <c r="BE750" s="286" t="n">
        <f aca="false">IFERROR(SUMIF($AB$4:$AM$4, "SME", AR750:BC750), "")</f>
        <v>0</v>
      </c>
      <c r="BF750" s="286" t="n">
        <f aca="false">IFERROR(SUMIF($AB$4:$AM$4, "De Minimis", AR750:BC750), "")</f>
        <v>0</v>
      </c>
      <c r="BG750" s="287"/>
      <c r="BH750" s="288" t="str">
        <f aca="false">IF((SUM(O750:Z750)&gt;1),"ERROR","")</f>
        <v/>
      </c>
      <c r="BI750" s="287"/>
      <c r="BJ750" s="18" t="str">
        <f aca="false">IF(C736&gt;0, C736, "")</f>
        <v/>
      </c>
      <c r="BL750" s="200"/>
      <c r="BM750" s="200"/>
      <c r="BN750" s="200"/>
    </row>
    <row r="751" customFormat="false" ht="15" hidden="false" customHeight="true" outlineLevel="0" collapsed="false">
      <c r="B751" s="275"/>
      <c r="D751" s="276" t="n">
        <f aca="false">D735</f>
        <v>45505</v>
      </c>
      <c r="E751" s="277" t="n">
        <v>0</v>
      </c>
      <c r="F751" s="277" t="n">
        <v>0</v>
      </c>
      <c r="G751" s="277" t="n">
        <v>0</v>
      </c>
      <c r="H751" s="277" t="n">
        <v>0</v>
      </c>
      <c r="I751" s="277" t="n">
        <v>0</v>
      </c>
      <c r="J751" s="278" t="n">
        <f aca="false">E751+H751+I751</f>
        <v>0</v>
      </c>
      <c r="K751" s="204"/>
      <c r="L751" s="279" t="n">
        <v>1</v>
      </c>
      <c r="M751" s="280" t="n">
        <f aca="false">1-L751</f>
        <v>0</v>
      </c>
      <c r="N751" s="281"/>
      <c r="O751" s="282"/>
      <c r="P751" s="282"/>
      <c r="Q751" s="282"/>
      <c r="R751" s="282"/>
      <c r="S751" s="282"/>
      <c r="T751" s="282"/>
      <c r="U751" s="282"/>
      <c r="V751" s="282"/>
      <c r="W751" s="282"/>
      <c r="X751" s="282"/>
      <c r="Y751" s="282"/>
      <c r="Z751" s="282"/>
      <c r="AA751" s="283"/>
      <c r="AB751" s="284" t="n">
        <f aca="false">IFERROR(($J751*O751)*$L751, "")</f>
        <v>0</v>
      </c>
      <c r="AC751" s="284" t="n">
        <f aca="false">IFERROR(($J751*P751)*$L751, "")</f>
        <v>0</v>
      </c>
      <c r="AD751" s="284" t="n">
        <f aca="false">IFERROR(($J751*Q751)*$L751, "")</f>
        <v>0</v>
      </c>
      <c r="AE751" s="284" t="n">
        <f aca="false">IFERROR(($J751*R751)*$L751, "")</f>
        <v>0</v>
      </c>
      <c r="AF751" s="284" t="n">
        <f aca="false">IFERROR(($J751*S751)*$L751, "")</f>
        <v>0</v>
      </c>
      <c r="AG751" s="284" t="n">
        <f aca="false">IFERROR(($J751*T751)*$L751, "")</f>
        <v>0</v>
      </c>
      <c r="AH751" s="284" t="n">
        <f aca="false">IFERROR(($J751*U751)*$L751, "")</f>
        <v>0</v>
      </c>
      <c r="AI751" s="284" t="n">
        <f aca="false">IFERROR(($J751*V751)*$L751, "")</f>
        <v>0</v>
      </c>
      <c r="AJ751" s="284" t="n">
        <f aca="false">IFERROR(($J751*W751)*$L751, "")</f>
        <v>0</v>
      </c>
      <c r="AK751" s="284" t="n">
        <f aca="false">IFERROR(($J751*X751)*$L751, "")</f>
        <v>0</v>
      </c>
      <c r="AL751" s="284" t="n">
        <f aca="false">IFERROR(($J751*Y751)*$L751, "")</f>
        <v>0</v>
      </c>
      <c r="AM751" s="285" t="n">
        <f aca="false">IFERROR(($J751*Z751)*$L751, "")</f>
        <v>0</v>
      </c>
      <c r="AN751" s="286" t="n">
        <f aca="false">IFERROR(SUMIF($AB$4:$AM$4, "RDEC", AB751:AM751), "")</f>
        <v>0</v>
      </c>
      <c r="AO751" s="286" t="n">
        <f aca="false">IFERROR(SUMIF($AB$4:$AM$4, "SME", AB751:AM751), "")</f>
        <v>0</v>
      </c>
      <c r="AP751" s="286" t="n">
        <f aca="false">IFERROR(SUMIF($AB$4:$AM$4, "De Minimis", AB751:AM751), "")</f>
        <v>0</v>
      </c>
      <c r="AQ751" s="283"/>
      <c r="AR751" s="284" t="n">
        <f aca="false">IFERROR(($J751*O751)*$M751, "")</f>
        <v>0</v>
      </c>
      <c r="AS751" s="284" t="n">
        <f aca="false">IFERROR(($J751*P751)*$M751, "")</f>
        <v>0</v>
      </c>
      <c r="AT751" s="284" t="n">
        <f aca="false">IFERROR(($J751*Q751)*$M751, "")</f>
        <v>0</v>
      </c>
      <c r="AU751" s="284" t="n">
        <f aca="false">IFERROR(($J751*R751)*$M751, "")</f>
        <v>0</v>
      </c>
      <c r="AV751" s="284" t="n">
        <f aca="false">IFERROR(($J751*S751)*$M751, "")</f>
        <v>0</v>
      </c>
      <c r="AW751" s="284" t="n">
        <f aca="false">IFERROR(($J751*T751)*$M751, "")</f>
        <v>0</v>
      </c>
      <c r="AX751" s="284" t="n">
        <f aca="false">IFERROR(($J751*U751)*$M751, "")</f>
        <v>0</v>
      </c>
      <c r="AY751" s="284" t="n">
        <f aca="false">IFERROR(($J751*V751)*$M751, "")</f>
        <v>0</v>
      </c>
      <c r="AZ751" s="284" t="n">
        <f aca="false">IFERROR(($J751*W751)*$M751, "")</f>
        <v>0</v>
      </c>
      <c r="BA751" s="284" t="n">
        <f aca="false">IFERROR(($J751*X751)*$M751, "")</f>
        <v>0</v>
      </c>
      <c r="BB751" s="284" t="n">
        <f aca="false">IFERROR(($J751*Y751)*$M751, "")</f>
        <v>0</v>
      </c>
      <c r="BC751" s="285" t="n">
        <f aca="false">IFERROR(($J751*Z751)*$M751, "")</f>
        <v>0</v>
      </c>
      <c r="BD751" s="286" t="n">
        <f aca="false">IFERROR(SUMIF($AB$4:$AM$4, "RDEC", AR751:BC751), "")</f>
        <v>0</v>
      </c>
      <c r="BE751" s="286" t="n">
        <f aca="false">IFERROR(SUMIF($AB$4:$AM$4, "SME", AR751:BC751), "")</f>
        <v>0</v>
      </c>
      <c r="BF751" s="286" t="n">
        <f aca="false">IFERROR(SUMIF($AB$4:$AM$4, "De Minimis", AR751:BC751), "")</f>
        <v>0</v>
      </c>
      <c r="BG751" s="287"/>
      <c r="BH751" s="288" t="str">
        <f aca="false">IF((SUM(O751:Z751)&gt;1),"ERROR","")</f>
        <v/>
      </c>
      <c r="BI751" s="287"/>
      <c r="BJ751" s="18" t="str">
        <f aca="false">IF(C737&gt;0, C737, "")</f>
        <v/>
      </c>
      <c r="BL751" s="200"/>
      <c r="BM751" s="200"/>
      <c r="BN751" s="200"/>
    </row>
    <row r="752" customFormat="false" ht="15" hidden="false" customHeight="true" outlineLevel="0" collapsed="false">
      <c r="B752" s="275"/>
      <c r="D752" s="276" t="n">
        <f aca="false">D736</f>
        <v>45536</v>
      </c>
      <c r="E752" s="277" t="n">
        <v>0</v>
      </c>
      <c r="F752" s="277" t="n">
        <v>0</v>
      </c>
      <c r="G752" s="277" t="n">
        <v>0</v>
      </c>
      <c r="H752" s="277" t="n">
        <v>0</v>
      </c>
      <c r="I752" s="277" t="n">
        <v>0</v>
      </c>
      <c r="J752" s="278" t="n">
        <f aca="false">E752+H752+I752</f>
        <v>0</v>
      </c>
      <c r="K752" s="204"/>
      <c r="L752" s="279" t="n">
        <v>1</v>
      </c>
      <c r="M752" s="280" t="n">
        <f aca="false">1-L752</f>
        <v>0</v>
      </c>
      <c r="N752" s="281"/>
      <c r="O752" s="282"/>
      <c r="P752" s="282"/>
      <c r="Q752" s="282"/>
      <c r="R752" s="282"/>
      <c r="S752" s="282"/>
      <c r="T752" s="282"/>
      <c r="U752" s="282"/>
      <c r="V752" s="282"/>
      <c r="W752" s="282"/>
      <c r="X752" s="282"/>
      <c r="Y752" s="282"/>
      <c r="Z752" s="282"/>
      <c r="AA752" s="283"/>
      <c r="AB752" s="284" t="n">
        <f aca="false">IFERROR(($J752*O752)*$L752, "")</f>
        <v>0</v>
      </c>
      <c r="AC752" s="284" t="n">
        <f aca="false">IFERROR(($J752*P752)*$L752, "")</f>
        <v>0</v>
      </c>
      <c r="AD752" s="284" t="n">
        <f aca="false">IFERROR(($J752*Q752)*$L752, "")</f>
        <v>0</v>
      </c>
      <c r="AE752" s="284" t="n">
        <f aca="false">IFERROR(($J752*R752)*$L752, "")</f>
        <v>0</v>
      </c>
      <c r="AF752" s="284" t="n">
        <f aca="false">IFERROR(($J752*S752)*$L752, "")</f>
        <v>0</v>
      </c>
      <c r="AG752" s="284" t="n">
        <f aca="false">IFERROR(($J752*T752)*$L752, "")</f>
        <v>0</v>
      </c>
      <c r="AH752" s="284" t="n">
        <f aca="false">IFERROR(($J752*U752)*$L752, "")</f>
        <v>0</v>
      </c>
      <c r="AI752" s="284" t="n">
        <f aca="false">IFERROR(($J752*V752)*$L752, "")</f>
        <v>0</v>
      </c>
      <c r="AJ752" s="284" t="n">
        <f aca="false">IFERROR(($J752*W752)*$L752, "")</f>
        <v>0</v>
      </c>
      <c r="AK752" s="284" t="n">
        <f aca="false">IFERROR(($J752*X752)*$L752, "")</f>
        <v>0</v>
      </c>
      <c r="AL752" s="284" t="n">
        <f aca="false">IFERROR(($J752*Y752)*$L752, "")</f>
        <v>0</v>
      </c>
      <c r="AM752" s="285" t="n">
        <f aca="false">IFERROR(($J752*Z752)*$L752, "")</f>
        <v>0</v>
      </c>
      <c r="AN752" s="286" t="n">
        <f aca="false">IFERROR(SUMIF($AB$4:$AM$4, "RDEC", AB752:AM752), "")</f>
        <v>0</v>
      </c>
      <c r="AO752" s="286" t="n">
        <f aca="false">IFERROR(SUMIF($AB$4:$AM$4, "SME", AB752:AM752), "")</f>
        <v>0</v>
      </c>
      <c r="AP752" s="286" t="n">
        <f aca="false">IFERROR(SUMIF($AB$4:$AM$4, "De Minimis", AB752:AM752), "")</f>
        <v>0</v>
      </c>
      <c r="AQ752" s="283"/>
      <c r="AR752" s="284" t="n">
        <f aca="false">IFERROR(($J752*O752)*$M752, "")</f>
        <v>0</v>
      </c>
      <c r="AS752" s="284" t="n">
        <f aca="false">IFERROR(($J752*P752)*$M752, "")</f>
        <v>0</v>
      </c>
      <c r="AT752" s="284" t="n">
        <f aca="false">IFERROR(($J752*Q752)*$M752, "")</f>
        <v>0</v>
      </c>
      <c r="AU752" s="284" t="n">
        <f aca="false">IFERROR(($J752*R752)*$M752, "")</f>
        <v>0</v>
      </c>
      <c r="AV752" s="284" t="n">
        <f aca="false">IFERROR(($J752*S752)*$M752, "")</f>
        <v>0</v>
      </c>
      <c r="AW752" s="284" t="n">
        <f aca="false">IFERROR(($J752*T752)*$M752, "")</f>
        <v>0</v>
      </c>
      <c r="AX752" s="284" t="n">
        <f aca="false">IFERROR(($J752*U752)*$M752, "")</f>
        <v>0</v>
      </c>
      <c r="AY752" s="284" t="n">
        <f aca="false">IFERROR(($J752*V752)*$M752, "")</f>
        <v>0</v>
      </c>
      <c r="AZ752" s="284" t="n">
        <f aca="false">IFERROR(($J752*W752)*$M752, "")</f>
        <v>0</v>
      </c>
      <c r="BA752" s="284" t="n">
        <f aca="false">IFERROR(($J752*X752)*$M752, "")</f>
        <v>0</v>
      </c>
      <c r="BB752" s="284" t="n">
        <f aca="false">IFERROR(($J752*Y752)*$M752, "")</f>
        <v>0</v>
      </c>
      <c r="BC752" s="285" t="n">
        <f aca="false">IFERROR(($J752*Z752)*$M752, "")</f>
        <v>0</v>
      </c>
      <c r="BD752" s="286" t="n">
        <f aca="false">IFERROR(SUMIF($AB$4:$AM$4, "RDEC", AR752:BC752), "")</f>
        <v>0</v>
      </c>
      <c r="BE752" s="286" t="n">
        <f aca="false">IFERROR(SUMIF($AB$4:$AM$4, "SME", AR752:BC752), "")</f>
        <v>0</v>
      </c>
      <c r="BF752" s="286" t="n">
        <f aca="false">IFERROR(SUMIF($AB$4:$AM$4, "De Minimis", AR752:BC752), "")</f>
        <v>0</v>
      </c>
      <c r="BG752" s="287"/>
      <c r="BH752" s="288" t="str">
        <f aca="false">IF((SUM(O752:Z752)&gt;1),"ERROR","")</f>
        <v/>
      </c>
      <c r="BI752" s="287"/>
      <c r="BJ752" s="18" t="str">
        <f aca="false">IF(C738&gt;0, C738, "")</f>
        <v/>
      </c>
      <c r="BL752" s="200"/>
      <c r="BM752" s="200"/>
      <c r="BN752" s="200"/>
    </row>
    <row r="753" customFormat="false" ht="15" hidden="false" customHeight="true" outlineLevel="0" collapsed="false">
      <c r="B753" s="275"/>
      <c r="D753" s="276" t="n">
        <f aca="false">D737</f>
        <v>45566</v>
      </c>
      <c r="E753" s="277" t="n">
        <v>0</v>
      </c>
      <c r="F753" s="277" t="n">
        <v>0</v>
      </c>
      <c r="G753" s="277" t="n">
        <v>0</v>
      </c>
      <c r="H753" s="277" t="n">
        <v>0</v>
      </c>
      <c r="I753" s="277" t="n">
        <v>0</v>
      </c>
      <c r="J753" s="278" t="n">
        <f aca="false">E753+H753+I753</f>
        <v>0</v>
      </c>
      <c r="K753" s="204"/>
      <c r="L753" s="279" t="n">
        <v>1</v>
      </c>
      <c r="M753" s="280" t="n">
        <f aca="false">1-L753</f>
        <v>0</v>
      </c>
      <c r="N753" s="281"/>
      <c r="O753" s="282"/>
      <c r="P753" s="282"/>
      <c r="Q753" s="282"/>
      <c r="R753" s="282"/>
      <c r="S753" s="282"/>
      <c r="T753" s="282"/>
      <c r="U753" s="282"/>
      <c r="V753" s="282"/>
      <c r="W753" s="282"/>
      <c r="X753" s="282"/>
      <c r="Y753" s="282"/>
      <c r="Z753" s="282"/>
      <c r="AA753" s="283"/>
      <c r="AB753" s="284" t="n">
        <f aca="false">IFERROR(($J753*O753)*$L753, "")</f>
        <v>0</v>
      </c>
      <c r="AC753" s="284" t="n">
        <f aca="false">IFERROR(($J753*P753)*$L753, "")</f>
        <v>0</v>
      </c>
      <c r="AD753" s="284" t="n">
        <f aca="false">IFERROR(($J753*Q753)*$L753, "")</f>
        <v>0</v>
      </c>
      <c r="AE753" s="284" t="n">
        <f aca="false">IFERROR(($J753*R753)*$L753, "")</f>
        <v>0</v>
      </c>
      <c r="AF753" s="284" t="n">
        <f aca="false">IFERROR(($J753*S753)*$L753, "")</f>
        <v>0</v>
      </c>
      <c r="AG753" s="284" t="n">
        <f aca="false">IFERROR(($J753*T753)*$L753, "")</f>
        <v>0</v>
      </c>
      <c r="AH753" s="284" t="n">
        <f aca="false">IFERROR(($J753*U753)*$L753, "")</f>
        <v>0</v>
      </c>
      <c r="AI753" s="284" t="n">
        <f aca="false">IFERROR(($J753*V753)*$L753, "")</f>
        <v>0</v>
      </c>
      <c r="AJ753" s="284" t="n">
        <f aca="false">IFERROR(($J753*W753)*$L753, "")</f>
        <v>0</v>
      </c>
      <c r="AK753" s="284" t="n">
        <f aca="false">IFERROR(($J753*X753)*$L753, "")</f>
        <v>0</v>
      </c>
      <c r="AL753" s="284" t="n">
        <f aca="false">IFERROR(($J753*Y753)*$L753, "")</f>
        <v>0</v>
      </c>
      <c r="AM753" s="285" t="n">
        <f aca="false">IFERROR(($J753*Z753)*$L753, "")</f>
        <v>0</v>
      </c>
      <c r="AN753" s="286" t="n">
        <f aca="false">IFERROR(SUMIF($AB$4:$AM$4, "RDEC", AB753:AM753), "")</f>
        <v>0</v>
      </c>
      <c r="AO753" s="286" t="n">
        <f aca="false">IFERROR(SUMIF($AB$4:$AM$4, "SME", AB753:AM753), "")</f>
        <v>0</v>
      </c>
      <c r="AP753" s="286" t="n">
        <f aca="false">IFERROR(SUMIF($AB$4:$AM$4, "De Minimis", AB753:AM753), "")</f>
        <v>0</v>
      </c>
      <c r="AQ753" s="283"/>
      <c r="AR753" s="284" t="n">
        <f aca="false">IFERROR(($J753*O753)*$M753, "")</f>
        <v>0</v>
      </c>
      <c r="AS753" s="284" t="n">
        <f aca="false">IFERROR(($J753*P753)*$M753, "")</f>
        <v>0</v>
      </c>
      <c r="AT753" s="284" t="n">
        <f aca="false">IFERROR(($J753*Q753)*$M753, "")</f>
        <v>0</v>
      </c>
      <c r="AU753" s="284" t="n">
        <f aca="false">IFERROR(($J753*R753)*$M753, "")</f>
        <v>0</v>
      </c>
      <c r="AV753" s="284" t="n">
        <f aca="false">IFERROR(($J753*S753)*$M753, "")</f>
        <v>0</v>
      </c>
      <c r="AW753" s="284" t="n">
        <f aca="false">IFERROR(($J753*T753)*$M753, "")</f>
        <v>0</v>
      </c>
      <c r="AX753" s="284" t="n">
        <f aca="false">IFERROR(($J753*U753)*$M753, "")</f>
        <v>0</v>
      </c>
      <c r="AY753" s="284" t="n">
        <f aca="false">IFERROR(($J753*V753)*$M753, "")</f>
        <v>0</v>
      </c>
      <c r="AZ753" s="284" t="n">
        <f aca="false">IFERROR(($J753*W753)*$M753, "")</f>
        <v>0</v>
      </c>
      <c r="BA753" s="284" t="n">
        <f aca="false">IFERROR(($J753*X753)*$M753, "")</f>
        <v>0</v>
      </c>
      <c r="BB753" s="284" t="n">
        <f aca="false">IFERROR(($J753*Y753)*$M753, "")</f>
        <v>0</v>
      </c>
      <c r="BC753" s="285" t="n">
        <f aca="false">IFERROR(($J753*Z753)*$M753, "")</f>
        <v>0</v>
      </c>
      <c r="BD753" s="286" t="n">
        <f aca="false">IFERROR(SUMIF($AB$4:$AM$4, "RDEC", AR753:BC753), "")</f>
        <v>0</v>
      </c>
      <c r="BE753" s="286" t="n">
        <f aca="false">IFERROR(SUMIF($AB$4:$AM$4, "SME", AR753:BC753), "")</f>
        <v>0</v>
      </c>
      <c r="BF753" s="286" t="n">
        <f aca="false">IFERROR(SUMIF($AB$4:$AM$4, "De Minimis", AR753:BC753), "")</f>
        <v>0</v>
      </c>
      <c r="BG753" s="287"/>
      <c r="BH753" s="288" t="str">
        <f aca="false">IF((SUM(O753:Z753)&gt;1),"ERROR","")</f>
        <v/>
      </c>
      <c r="BI753" s="287"/>
      <c r="BJ753" s="18" t="str">
        <f aca="false">IF(C739&gt;0, C739, "")</f>
        <v/>
      </c>
      <c r="BL753" s="200"/>
      <c r="BM753" s="200"/>
      <c r="BN753" s="200"/>
    </row>
    <row r="754" customFormat="false" ht="15" hidden="false" customHeight="true" outlineLevel="0" collapsed="false">
      <c r="B754" s="275"/>
      <c r="D754" s="276" t="n">
        <f aca="false">D738</f>
        <v>45597</v>
      </c>
      <c r="E754" s="277" t="n">
        <v>0</v>
      </c>
      <c r="F754" s="277" t="n">
        <v>0</v>
      </c>
      <c r="G754" s="277" t="n">
        <v>0</v>
      </c>
      <c r="H754" s="277" t="n">
        <v>0</v>
      </c>
      <c r="I754" s="277" t="n">
        <v>0</v>
      </c>
      <c r="J754" s="278" t="n">
        <f aca="false">E754+H754+I754</f>
        <v>0</v>
      </c>
      <c r="K754" s="204"/>
      <c r="L754" s="279" t="n">
        <v>1</v>
      </c>
      <c r="M754" s="280" t="n">
        <f aca="false">1-L754</f>
        <v>0</v>
      </c>
      <c r="N754" s="281"/>
      <c r="O754" s="282"/>
      <c r="P754" s="282"/>
      <c r="Q754" s="282"/>
      <c r="R754" s="282"/>
      <c r="S754" s="282"/>
      <c r="T754" s="282"/>
      <c r="U754" s="282"/>
      <c r="V754" s="282"/>
      <c r="W754" s="282"/>
      <c r="X754" s="282"/>
      <c r="Y754" s="282"/>
      <c r="Z754" s="282"/>
      <c r="AA754" s="283"/>
      <c r="AB754" s="284" t="n">
        <f aca="false">IFERROR(($J754*O754)*$L754, "")</f>
        <v>0</v>
      </c>
      <c r="AC754" s="284" t="n">
        <f aca="false">IFERROR(($J754*P754)*$L754, "")</f>
        <v>0</v>
      </c>
      <c r="AD754" s="284" t="n">
        <f aca="false">IFERROR(($J754*Q754)*$L754, "")</f>
        <v>0</v>
      </c>
      <c r="AE754" s="284" t="n">
        <f aca="false">IFERROR(($J754*R754)*$L754, "")</f>
        <v>0</v>
      </c>
      <c r="AF754" s="284" t="n">
        <f aca="false">IFERROR(($J754*S754)*$L754, "")</f>
        <v>0</v>
      </c>
      <c r="AG754" s="284" t="n">
        <f aca="false">IFERROR(($J754*T754)*$L754, "")</f>
        <v>0</v>
      </c>
      <c r="AH754" s="284" t="n">
        <f aca="false">IFERROR(($J754*U754)*$L754, "")</f>
        <v>0</v>
      </c>
      <c r="AI754" s="284" t="n">
        <f aca="false">IFERROR(($J754*V754)*$L754, "")</f>
        <v>0</v>
      </c>
      <c r="AJ754" s="284" t="n">
        <f aca="false">IFERROR(($J754*W754)*$L754, "")</f>
        <v>0</v>
      </c>
      <c r="AK754" s="284" t="n">
        <f aca="false">IFERROR(($J754*X754)*$L754, "")</f>
        <v>0</v>
      </c>
      <c r="AL754" s="284" t="n">
        <f aca="false">IFERROR(($J754*Y754)*$L754, "")</f>
        <v>0</v>
      </c>
      <c r="AM754" s="285" t="n">
        <f aca="false">IFERROR(($J754*Z754)*$L754, "")</f>
        <v>0</v>
      </c>
      <c r="AN754" s="286" t="n">
        <f aca="false">IFERROR(SUMIF($AB$4:$AM$4, "RDEC", AB754:AM754), "")</f>
        <v>0</v>
      </c>
      <c r="AO754" s="286" t="n">
        <f aca="false">IFERROR(SUMIF($AB$4:$AM$4, "SME", AB754:AM754), "")</f>
        <v>0</v>
      </c>
      <c r="AP754" s="286" t="n">
        <f aca="false">IFERROR(SUMIF($AB$4:$AM$4, "De Minimis", AB754:AM754), "")</f>
        <v>0</v>
      </c>
      <c r="AQ754" s="283"/>
      <c r="AR754" s="284" t="n">
        <f aca="false">IFERROR(($J754*O754)*$M754, "")</f>
        <v>0</v>
      </c>
      <c r="AS754" s="284" t="n">
        <f aca="false">IFERROR(($J754*P754)*$M754, "")</f>
        <v>0</v>
      </c>
      <c r="AT754" s="284" t="n">
        <f aca="false">IFERROR(($J754*Q754)*$M754, "")</f>
        <v>0</v>
      </c>
      <c r="AU754" s="284" t="n">
        <f aca="false">IFERROR(($J754*R754)*$M754, "")</f>
        <v>0</v>
      </c>
      <c r="AV754" s="284" t="n">
        <f aca="false">IFERROR(($J754*S754)*$M754, "")</f>
        <v>0</v>
      </c>
      <c r="AW754" s="284" t="n">
        <f aca="false">IFERROR(($J754*T754)*$M754, "")</f>
        <v>0</v>
      </c>
      <c r="AX754" s="284" t="n">
        <f aca="false">IFERROR(($J754*U754)*$M754, "")</f>
        <v>0</v>
      </c>
      <c r="AY754" s="284" t="n">
        <f aca="false">IFERROR(($J754*V754)*$M754, "")</f>
        <v>0</v>
      </c>
      <c r="AZ754" s="284" t="n">
        <f aca="false">IFERROR(($J754*W754)*$M754, "")</f>
        <v>0</v>
      </c>
      <c r="BA754" s="284" t="n">
        <f aca="false">IFERROR(($J754*X754)*$M754, "")</f>
        <v>0</v>
      </c>
      <c r="BB754" s="284" t="n">
        <f aca="false">IFERROR(($J754*Y754)*$M754, "")</f>
        <v>0</v>
      </c>
      <c r="BC754" s="285" t="n">
        <f aca="false">IFERROR(($J754*Z754)*$M754, "")</f>
        <v>0</v>
      </c>
      <c r="BD754" s="286" t="n">
        <f aca="false">IFERROR(SUMIF($AB$4:$AM$4, "RDEC", AR754:BC754), "")</f>
        <v>0</v>
      </c>
      <c r="BE754" s="286" t="n">
        <f aca="false">IFERROR(SUMIF($AB$4:$AM$4, "SME", AR754:BC754), "")</f>
        <v>0</v>
      </c>
      <c r="BF754" s="286" t="n">
        <f aca="false">IFERROR(SUMIF($AB$4:$AM$4, "De Minimis", AR754:BC754), "")</f>
        <v>0</v>
      </c>
      <c r="BG754" s="287"/>
      <c r="BH754" s="288" t="str">
        <f aca="false">IF((SUM(O754:Z754)&gt;1),"ERROR","")</f>
        <v/>
      </c>
      <c r="BI754" s="287"/>
      <c r="BJ754" s="18" t="str">
        <f aca="false">IF(C740&gt;0, C740, "")</f>
        <v/>
      </c>
      <c r="BL754" s="200"/>
      <c r="BM754" s="200"/>
      <c r="BN754" s="200"/>
    </row>
    <row r="755" customFormat="false" ht="15" hidden="false" customHeight="true" outlineLevel="0" collapsed="false">
      <c r="B755" s="275"/>
      <c r="D755" s="276" t="n">
        <f aca="false">D739</f>
        <v>45627</v>
      </c>
      <c r="E755" s="277" t="n">
        <v>0</v>
      </c>
      <c r="F755" s="277" t="n">
        <v>0</v>
      </c>
      <c r="G755" s="277" t="n">
        <v>0</v>
      </c>
      <c r="H755" s="277" t="n">
        <v>0</v>
      </c>
      <c r="I755" s="277" t="n">
        <v>0</v>
      </c>
      <c r="J755" s="278" t="n">
        <f aca="false">E755+H755+I755</f>
        <v>0</v>
      </c>
      <c r="K755" s="204"/>
      <c r="L755" s="289" t="n">
        <v>1</v>
      </c>
      <c r="M755" s="290" t="n">
        <f aca="false">1-L755</f>
        <v>0</v>
      </c>
      <c r="N755" s="281"/>
      <c r="O755" s="291"/>
      <c r="P755" s="291"/>
      <c r="Q755" s="291"/>
      <c r="R755" s="291"/>
      <c r="S755" s="291"/>
      <c r="T755" s="291"/>
      <c r="U755" s="291"/>
      <c r="V755" s="291"/>
      <c r="W755" s="291"/>
      <c r="X755" s="291"/>
      <c r="Y755" s="291"/>
      <c r="Z755" s="291"/>
      <c r="AA755" s="283"/>
      <c r="AB755" s="292" t="n">
        <f aca="false">IFERROR(($J755*O755)*$L755, "")</f>
        <v>0</v>
      </c>
      <c r="AC755" s="292" t="n">
        <f aca="false">IFERROR(($J755*P755)*$L755, "")</f>
        <v>0</v>
      </c>
      <c r="AD755" s="292" t="n">
        <f aca="false">IFERROR(($J755*Q755)*$L755, "")</f>
        <v>0</v>
      </c>
      <c r="AE755" s="292" t="n">
        <f aca="false">IFERROR(($J755*R755)*$L755, "")</f>
        <v>0</v>
      </c>
      <c r="AF755" s="292" t="n">
        <f aca="false">IFERROR(($J755*S755)*$L755, "")</f>
        <v>0</v>
      </c>
      <c r="AG755" s="292" t="n">
        <f aca="false">IFERROR(($J755*T755)*$L755, "")</f>
        <v>0</v>
      </c>
      <c r="AH755" s="292" t="n">
        <f aca="false">IFERROR(($J755*U755)*$L755, "")</f>
        <v>0</v>
      </c>
      <c r="AI755" s="292" t="n">
        <f aca="false">IFERROR(($J755*V755)*$L755, "")</f>
        <v>0</v>
      </c>
      <c r="AJ755" s="292" t="n">
        <f aca="false">IFERROR(($J755*W755)*$L755, "")</f>
        <v>0</v>
      </c>
      <c r="AK755" s="292" t="n">
        <f aca="false">IFERROR(($J755*X755)*$L755, "")</f>
        <v>0</v>
      </c>
      <c r="AL755" s="292" t="n">
        <f aca="false">IFERROR(($J755*Y755)*$L755, "")</f>
        <v>0</v>
      </c>
      <c r="AM755" s="293" t="n">
        <f aca="false">IFERROR(($J755*Z755)*$L755, "")</f>
        <v>0</v>
      </c>
      <c r="AN755" s="294" t="n">
        <f aca="false">IFERROR(SUMIF($AB$4:$AM$4, "RDEC", AB755:AM755), "")</f>
        <v>0</v>
      </c>
      <c r="AO755" s="294" t="n">
        <f aca="false">IFERROR(SUMIF($AB$4:$AM$4, "SME", AB755:AM755), "")</f>
        <v>0</v>
      </c>
      <c r="AP755" s="294" t="n">
        <f aca="false">IFERROR(SUMIF($AB$4:$AM$4, "De Minimis", AB755:AM755), "")</f>
        <v>0</v>
      </c>
      <c r="AQ755" s="283"/>
      <c r="AR755" s="292" t="n">
        <f aca="false">IFERROR(($J755*O755)*$M755, "")</f>
        <v>0</v>
      </c>
      <c r="AS755" s="292" t="n">
        <f aca="false">IFERROR(($J755*P755)*$M755, "")</f>
        <v>0</v>
      </c>
      <c r="AT755" s="292" t="n">
        <f aca="false">IFERROR(($J755*Q755)*$M755, "")</f>
        <v>0</v>
      </c>
      <c r="AU755" s="292" t="n">
        <f aca="false">IFERROR(($J755*R755)*$M755, "")</f>
        <v>0</v>
      </c>
      <c r="AV755" s="292" t="n">
        <f aca="false">IFERROR(($J755*S755)*$M755, "")</f>
        <v>0</v>
      </c>
      <c r="AW755" s="292" t="n">
        <f aca="false">IFERROR(($J755*T755)*$M755, "")</f>
        <v>0</v>
      </c>
      <c r="AX755" s="292" t="n">
        <f aca="false">IFERROR(($J755*U755)*$M755, "")</f>
        <v>0</v>
      </c>
      <c r="AY755" s="292" t="n">
        <f aca="false">IFERROR(($J755*V755)*$M755, "")</f>
        <v>0</v>
      </c>
      <c r="AZ755" s="292" t="n">
        <f aca="false">IFERROR(($J755*W755)*$M755, "")</f>
        <v>0</v>
      </c>
      <c r="BA755" s="292" t="n">
        <f aca="false">IFERROR(($J755*X755)*$M755, "")</f>
        <v>0</v>
      </c>
      <c r="BB755" s="292" t="n">
        <f aca="false">IFERROR(($J755*Y755)*$M755, "")</f>
        <v>0</v>
      </c>
      <c r="BC755" s="293" t="n">
        <f aca="false">IFERROR(($J755*Z755)*$M755, "")</f>
        <v>0</v>
      </c>
      <c r="BD755" s="294" t="n">
        <f aca="false">IFERROR(SUMIF($AB$4:$AM$4, "RDEC", AR755:BC755), "")</f>
        <v>0</v>
      </c>
      <c r="BE755" s="294" t="n">
        <f aca="false">IFERROR(SUMIF($AB$4:$AM$4, "SME", AR755:BC755), "")</f>
        <v>0</v>
      </c>
      <c r="BF755" s="294" t="n">
        <f aca="false">IFERROR(SUMIF($AB$4:$AM$4, "De Minimis", AR755:BC755), "")</f>
        <v>0</v>
      </c>
      <c r="BG755" s="287"/>
      <c r="BH755" s="295" t="str">
        <f aca="false">IF((SUM(O755:Z755)&gt;1),"ERROR","")</f>
        <v/>
      </c>
      <c r="BI755" s="287"/>
      <c r="BJ755" s="18" t="str">
        <f aca="false">IF(C741&gt;0, C741, "")</f>
        <v/>
      </c>
      <c r="BL755" s="200"/>
      <c r="BM755" s="200"/>
      <c r="BN755" s="200"/>
    </row>
    <row r="756" customFormat="false" ht="15" hidden="false" customHeight="true" outlineLevel="0" collapsed="false">
      <c r="B756" s="296"/>
      <c r="D756" s="297" t="s">
        <v>82</v>
      </c>
      <c r="E756" s="298" t="n">
        <f aca="false">SUM(E744:E755)</f>
        <v>0</v>
      </c>
      <c r="F756" s="298" t="n">
        <f aca="false">SUM(F744:F755)</f>
        <v>0</v>
      </c>
      <c r="G756" s="298" t="n">
        <f aca="false">SUM(G744:G755)</f>
        <v>0</v>
      </c>
      <c r="H756" s="298" t="n">
        <f aca="false">SUM(H744:H755)</f>
        <v>0</v>
      </c>
      <c r="I756" s="298" t="n">
        <f aca="false">SUM(I744:I755)</f>
        <v>0</v>
      </c>
      <c r="J756" s="299" t="n">
        <f aca="false">SUM(J744:J755)</f>
        <v>0</v>
      </c>
      <c r="K756" s="300"/>
      <c r="L756" s="301" t="n">
        <f aca="false">AVERAGE(L744:L755)</f>
        <v>1</v>
      </c>
      <c r="M756" s="301" t="n">
        <f aca="false">AVERAGE(M744:M755)</f>
        <v>0</v>
      </c>
      <c r="N756" s="302"/>
      <c r="O756" s="290" t="n">
        <f aca="false">IF(SUM(O744:O755)&gt;0,((AB756+AR756)/J756),0)</f>
        <v>0</v>
      </c>
      <c r="P756" s="290" t="n">
        <f aca="false">IF(SUM(P744:P755)&gt;0,((AC756+AS756)/J756),0)</f>
        <v>0</v>
      </c>
      <c r="Q756" s="290" t="n">
        <f aca="false">IF(SUM(Q744:Q755)&gt;0,((AD756+AT756)/J756),0)</f>
        <v>0</v>
      </c>
      <c r="R756" s="290" t="n">
        <f aca="false">IF(SUM(R744:R755)&gt;0,((AE756+AU756)/J756),0)</f>
        <v>0</v>
      </c>
      <c r="S756" s="290" t="n">
        <f aca="false">IF(SUM(S744:S755)&gt;0,((AF756+AV756)/J756),0)</f>
        <v>0</v>
      </c>
      <c r="T756" s="290" t="n">
        <f aca="false">IF(SUM(T744:T755)&gt;0,((AG756+AW756)/J756),0)</f>
        <v>0</v>
      </c>
      <c r="U756" s="290" t="n">
        <f aca="false">IF(SUM(U744:U755)&gt;0,((AH756+AX756)/J756),0)</f>
        <v>0</v>
      </c>
      <c r="V756" s="290" t="n">
        <f aca="false">IF(SUM(V744:V755)&gt;0,((AI756+AY756)/J756),0)</f>
        <v>0</v>
      </c>
      <c r="W756" s="290" t="n">
        <f aca="false">IF(SUM(W744:W755)&gt;0,((AJ756+AZ756)/J756),0)</f>
        <v>0</v>
      </c>
      <c r="X756" s="290" t="n">
        <f aca="false">IF(SUM(X744:X755)&gt;0,((AK756+BA756)/J756),0)</f>
        <v>0</v>
      </c>
      <c r="Y756" s="290" t="n">
        <f aca="false">IF(SUM(Y744:Y755)&gt;0,((AL756+BB756)/J756),0)</f>
        <v>0</v>
      </c>
      <c r="Z756" s="290" t="n">
        <f aca="false">IF(SUM(Z744:Z755)&gt;0,((AM756+BC756)/J756),0)</f>
        <v>0</v>
      </c>
      <c r="AA756" s="303"/>
      <c r="AB756" s="292" t="n">
        <f aca="false">SUM(AB744:AB755)</f>
        <v>0</v>
      </c>
      <c r="AC756" s="304" t="n">
        <f aca="false">SUM(AC744:AC755)</f>
        <v>0</v>
      </c>
      <c r="AD756" s="304" t="n">
        <f aca="false">SUM(AD744:AD755)</f>
        <v>0</v>
      </c>
      <c r="AE756" s="304" t="n">
        <f aca="false">SUM(AE744:AE755)</f>
        <v>0</v>
      </c>
      <c r="AF756" s="304" t="n">
        <f aca="false">SUM(AF744:AF755)</f>
        <v>0</v>
      </c>
      <c r="AG756" s="304" t="n">
        <f aca="false">SUM(AG744:AG755)</f>
        <v>0</v>
      </c>
      <c r="AH756" s="304" t="n">
        <f aca="false">SUM(AH744:AH755)</f>
        <v>0</v>
      </c>
      <c r="AI756" s="304" t="n">
        <f aca="false">SUM(AI744:AI755)</f>
        <v>0</v>
      </c>
      <c r="AJ756" s="304" t="n">
        <f aca="false">SUM(AJ744:AJ755)</f>
        <v>0</v>
      </c>
      <c r="AK756" s="304" t="n">
        <f aca="false">SUM(AK744:AK755)</f>
        <v>0</v>
      </c>
      <c r="AL756" s="304" t="n">
        <f aca="false">SUM(AL744:AL755)</f>
        <v>0</v>
      </c>
      <c r="AM756" s="304" t="n">
        <f aca="false">SUM(AM744:AM755)</f>
        <v>0</v>
      </c>
      <c r="AN756" s="305" t="n">
        <f aca="false">SUM(AN744:AN755)</f>
        <v>0</v>
      </c>
      <c r="AO756" s="305" t="n">
        <f aca="false">SUM(AO744:AO755)</f>
        <v>0</v>
      </c>
      <c r="AP756" s="305" t="n">
        <f aca="false">SUM(AP744:AP755)</f>
        <v>0</v>
      </c>
      <c r="AQ756" s="303"/>
      <c r="AR756" s="292" t="n">
        <f aca="false">SUM(AR744:AR755)</f>
        <v>0</v>
      </c>
      <c r="AS756" s="304" t="n">
        <f aca="false">SUM(AS744:AS755)</f>
        <v>0</v>
      </c>
      <c r="AT756" s="304" t="n">
        <f aca="false">SUM(AT744:AT755)</f>
        <v>0</v>
      </c>
      <c r="AU756" s="304" t="n">
        <f aca="false">SUM(AU744:AU755)</f>
        <v>0</v>
      </c>
      <c r="AV756" s="304" t="n">
        <f aca="false">SUM(AV744:AV755)</f>
        <v>0</v>
      </c>
      <c r="AW756" s="304" t="n">
        <f aca="false">SUM(AW744:AW755)</f>
        <v>0</v>
      </c>
      <c r="AX756" s="304" t="n">
        <f aca="false">SUM(AX744:AX755)</f>
        <v>0</v>
      </c>
      <c r="AY756" s="304" t="n">
        <f aca="false">SUM(AY744:AY755)</f>
        <v>0</v>
      </c>
      <c r="AZ756" s="304" t="n">
        <f aca="false">SUM(AZ744:AZ755)</f>
        <v>0</v>
      </c>
      <c r="BA756" s="304" t="n">
        <f aca="false">SUM(BA744:BA755)</f>
        <v>0</v>
      </c>
      <c r="BB756" s="304" t="n">
        <f aca="false">SUM(BB744:BB755)</f>
        <v>0</v>
      </c>
      <c r="BC756" s="304" t="n">
        <f aca="false">SUM(BC744:BC755)</f>
        <v>0</v>
      </c>
      <c r="BD756" s="305" t="n">
        <f aca="false">SUM(BD744:BD755)</f>
        <v>0</v>
      </c>
      <c r="BE756" s="305" t="n">
        <f aca="false">SUM(BE744:BE755)</f>
        <v>0</v>
      </c>
      <c r="BF756" s="305" t="n">
        <f aca="false">SUM(BF744:BF755)</f>
        <v>0</v>
      </c>
      <c r="BG756" s="303"/>
      <c r="BH756" s="306"/>
      <c r="BI756" s="303"/>
      <c r="BJ756" s="307" t="str">
        <f aca="false">IF(C742&gt;0, C742, "")</f>
        <v>TBA</v>
      </c>
      <c r="BK756" s="18" t="s">
        <v>234</v>
      </c>
      <c r="BL756" s="200" t="n">
        <f aca="false">IF($BK756="Y",J756,0)</f>
        <v>0</v>
      </c>
      <c r="BM756" s="200" t="n">
        <f aca="false">IF(BK756="Y", AN756,0)</f>
        <v>0</v>
      </c>
      <c r="BN756" s="200" t="n">
        <f aca="false">IF((BK756="Y"),AO756,0)</f>
        <v>0</v>
      </c>
    </row>
    <row r="757" customFormat="false" ht="15" hidden="false" customHeight="true" outlineLevel="0" collapsed="false">
      <c r="B757" s="296"/>
      <c r="D757" s="297"/>
      <c r="E757" s="277"/>
      <c r="F757" s="277"/>
      <c r="G757" s="277"/>
      <c r="H757" s="277"/>
      <c r="I757" s="277"/>
      <c r="J757" s="300"/>
      <c r="K757" s="300"/>
      <c r="L757" s="302"/>
      <c r="M757" s="302"/>
      <c r="N757" s="302"/>
      <c r="O757" s="308"/>
      <c r="P757" s="308"/>
      <c r="Q757" s="308"/>
      <c r="R757" s="308"/>
      <c r="S757" s="308"/>
      <c r="T757" s="308"/>
      <c r="U757" s="308"/>
      <c r="V757" s="308"/>
      <c r="W757" s="308"/>
      <c r="X757" s="308"/>
      <c r="Y757" s="308"/>
      <c r="Z757" s="308"/>
      <c r="AA757" s="303"/>
      <c r="AB757" s="303"/>
      <c r="AC757" s="303"/>
      <c r="AD757" s="303"/>
      <c r="AE757" s="303"/>
      <c r="AF757" s="303"/>
      <c r="AG757" s="303"/>
      <c r="AH757" s="303"/>
      <c r="AI757" s="303"/>
      <c r="AJ757" s="303"/>
      <c r="AK757" s="303"/>
      <c r="AL757" s="303"/>
      <c r="AM757" s="303"/>
      <c r="AN757" s="303"/>
      <c r="AO757" s="303"/>
      <c r="AP757" s="303"/>
      <c r="AQ757" s="303"/>
      <c r="AR757" s="303"/>
      <c r="AS757" s="303"/>
      <c r="AT757" s="303"/>
      <c r="AU757" s="303"/>
      <c r="AV757" s="303"/>
      <c r="AW757" s="303"/>
      <c r="AX757" s="303"/>
      <c r="AY757" s="303"/>
      <c r="AZ757" s="303"/>
      <c r="BA757" s="303"/>
      <c r="BB757" s="303"/>
      <c r="BC757" s="303"/>
      <c r="BD757" s="303"/>
      <c r="BE757" s="303"/>
      <c r="BF757" s="303"/>
      <c r="BG757" s="303"/>
      <c r="BH757" s="303"/>
      <c r="BI757" s="303"/>
      <c r="BJ757" s="307" t="str">
        <f aca="false">IF(C744&gt;0, C744, "")</f>
        <v/>
      </c>
      <c r="BL757" s="200"/>
      <c r="BM757" s="200"/>
      <c r="BN757" s="200"/>
    </row>
    <row r="758" customFormat="false" ht="15" hidden="false" customHeight="true" outlineLevel="0" collapsed="false">
      <c r="A758" s="198" t="n">
        <f aca="false">A742+1</f>
        <v>48</v>
      </c>
      <c r="B758" s="266" t="s">
        <v>253</v>
      </c>
      <c r="C758" s="266" t="s">
        <v>253</v>
      </c>
      <c r="D758" s="267"/>
      <c r="E758" s="242"/>
      <c r="F758" s="242"/>
      <c r="G758" s="242"/>
      <c r="H758" s="242"/>
      <c r="I758" s="242"/>
      <c r="J758" s="241"/>
      <c r="K758" s="241"/>
      <c r="L758" s="241"/>
      <c r="M758" s="241"/>
      <c r="N758" s="241"/>
      <c r="O758" s="268"/>
      <c r="P758" s="268"/>
      <c r="Q758" s="268"/>
      <c r="R758" s="268"/>
      <c r="S758" s="268"/>
      <c r="T758" s="268"/>
      <c r="U758" s="268"/>
      <c r="V758" s="268"/>
      <c r="W758" s="268"/>
      <c r="X758" s="268"/>
      <c r="Y758" s="268"/>
      <c r="Z758" s="268"/>
      <c r="AA758" s="268"/>
      <c r="AB758" s="268"/>
      <c r="AC758" s="268"/>
      <c r="AD758" s="268"/>
      <c r="AE758" s="268"/>
      <c r="AF758" s="268"/>
      <c r="AG758" s="268"/>
      <c r="AH758" s="268"/>
      <c r="AI758" s="268"/>
      <c r="AJ758" s="268"/>
      <c r="AK758" s="268"/>
      <c r="AL758" s="268"/>
      <c r="AM758" s="268"/>
      <c r="AN758" s="268"/>
      <c r="AO758" s="268"/>
      <c r="AP758" s="268"/>
      <c r="AQ758" s="268"/>
      <c r="AR758" s="268"/>
      <c r="AS758" s="268"/>
      <c r="AT758" s="268"/>
      <c r="AU758" s="268"/>
      <c r="AV758" s="268"/>
      <c r="AW758" s="268"/>
      <c r="AX758" s="268"/>
      <c r="AY758" s="268"/>
      <c r="AZ758" s="268"/>
      <c r="BA758" s="268"/>
      <c r="BB758" s="268"/>
      <c r="BC758" s="268"/>
      <c r="BD758" s="268"/>
      <c r="BE758" s="268"/>
      <c r="BF758" s="268"/>
      <c r="BG758" s="268"/>
      <c r="BH758" s="268"/>
      <c r="BI758" s="268"/>
      <c r="BJ758" s="18" t="str">
        <f aca="false">IF(C745&gt;0, C745, "")</f>
        <v/>
      </c>
      <c r="BL758" s="200"/>
      <c r="BM758" s="200"/>
      <c r="BN758" s="200"/>
    </row>
    <row r="759" customFormat="false" ht="7.5" hidden="false" customHeight="true" outlineLevel="0" collapsed="false">
      <c r="A759" s="198"/>
      <c r="B759" s="266"/>
      <c r="C759" s="266"/>
      <c r="D759" s="267"/>
      <c r="E759" s="242"/>
      <c r="F759" s="242"/>
      <c r="G759" s="242"/>
      <c r="H759" s="242"/>
      <c r="I759" s="242"/>
      <c r="J759" s="241"/>
      <c r="K759" s="241"/>
      <c r="L759" s="269"/>
      <c r="M759" s="269"/>
      <c r="N759" s="270"/>
      <c r="O759" s="269"/>
      <c r="P759" s="269"/>
      <c r="Q759" s="269"/>
      <c r="R759" s="269"/>
      <c r="S759" s="269"/>
      <c r="T759" s="269"/>
      <c r="U759" s="269"/>
      <c r="V759" s="269"/>
      <c r="W759" s="269"/>
      <c r="X759" s="269"/>
      <c r="Y759" s="269"/>
      <c r="Z759" s="269"/>
      <c r="AA759" s="268"/>
      <c r="AB759" s="271"/>
      <c r="AC759" s="271"/>
      <c r="AD759" s="271"/>
      <c r="AE759" s="271"/>
      <c r="AF759" s="271"/>
      <c r="AG759" s="271"/>
      <c r="AH759" s="271"/>
      <c r="AI759" s="271"/>
      <c r="AJ759" s="271"/>
      <c r="AK759" s="271"/>
      <c r="AL759" s="271"/>
      <c r="AM759" s="272"/>
      <c r="AN759" s="273"/>
      <c r="AO759" s="273"/>
      <c r="AP759" s="273"/>
      <c r="AQ759" s="268"/>
      <c r="AR759" s="271"/>
      <c r="AS759" s="271"/>
      <c r="AT759" s="271"/>
      <c r="AU759" s="271"/>
      <c r="AV759" s="271"/>
      <c r="AW759" s="271"/>
      <c r="AX759" s="271"/>
      <c r="AY759" s="271"/>
      <c r="AZ759" s="271"/>
      <c r="BA759" s="271"/>
      <c r="BB759" s="271"/>
      <c r="BC759" s="272"/>
      <c r="BD759" s="273"/>
      <c r="BE759" s="273"/>
      <c r="BF759" s="273"/>
      <c r="BG759" s="268"/>
      <c r="BH759" s="274"/>
      <c r="BI759" s="268"/>
      <c r="BL759" s="200"/>
      <c r="BM759" s="200"/>
      <c r="BN759" s="200"/>
    </row>
    <row r="760" customFormat="false" ht="15" hidden="false" customHeight="true" outlineLevel="0" collapsed="false">
      <c r="B760" s="275"/>
      <c r="D760" s="276" t="n">
        <f aca="false">D744</f>
        <v>45292</v>
      </c>
      <c r="E760" s="277" t="n">
        <v>0</v>
      </c>
      <c r="F760" s="277" t="n">
        <v>0</v>
      </c>
      <c r="G760" s="277" t="n">
        <v>0</v>
      </c>
      <c r="H760" s="277" t="n">
        <v>0</v>
      </c>
      <c r="I760" s="277" t="n">
        <v>0</v>
      </c>
      <c r="J760" s="278" t="n">
        <f aca="false">E760+H760+I760</f>
        <v>0</v>
      </c>
      <c r="K760" s="204"/>
      <c r="L760" s="279" t="n">
        <v>1</v>
      </c>
      <c r="M760" s="280" t="n">
        <f aca="false">1-L760</f>
        <v>0</v>
      </c>
      <c r="N760" s="281"/>
      <c r="O760" s="282"/>
      <c r="P760" s="282"/>
      <c r="Q760" s="282"/>
      <c r="R760" s="282"/>
      <c r="S760" s="282"/>
      <c r="T760" s="282"/>
      <c r="U760" s="282"/>
      <c r="V760" s="282"/>
      <c r="W760" s="282"/>
      <c r="X760" s="282"/>
      <c r="Y760" s="282"/>
      <c r="Z760" s="282"/>
      <c r="AA760" s="283"/>
      <c r="AB760" s="284" t="n">
        <f aca="false">IFERROR(($J760*O760)*$L760, "")</f>
        <v>0</v>
      </c>
      <c r="AC760" s="284" t="n">
        <f aca="false">IFERROR(($J760*P760)*$L760, "")</f>
        <v>0</v>
      </c>
      <c r="AD760" s="284" t="n">
        <f aca="false">IFERROR(($J760*Q760)*$L760, "")</f>
        <v>0</v>
      </c>
      <c r="AE760" s="284" t="n">
        <f aca="false">IFERROR(($J760*R760)*$L760, "")</f>
        <v>0</v>
      </c>
      <c r="AF760" s="284" t="n">
        <f aca="false">IFERROR(($J760*S760)*$L760, "")</f>
        <v>0</v>
      </c>
      <c r="AG760" s="284" t="n">
        <f aca="false">IFERROR(($J760*T760)*$L760, "")</f>
        <v>0</v>
      </c>
      <c r="AH760" s="284" t="n">
        <f aca="false">IFERROR(($J760*U760)*$L760, "")</f>
        <v>0</v>
      </c>
      <c r="AI760" s="284" t="n">
        <f aca="false">IFERROR(($J760*V760)*$L760, "")</f>
        <v>0</v>
      </c>
      <c r="AJ760" s="284" t="n">
        <f aca="false">IFERROR(($J760*W760)*$L760, "")</f>
        <v>0</v>
      </c>
      <c r="AK760" s="284" t="n">
        <f aca="false">IFERROR(($J760*X760)*$L760, "")</f>
        <v>0</v>
      </c>
      <c r="AL760" s="284" t="n">
        <f aca="false">IFERROR(($J760*Y760)*$L760, "")</f>
        <v>0</v>
      </c>
      <c r="AM760" s="285" t="n">
        <f aca="false">IFERROR(($J760*Z760)*$L760, "")</f>
        <v>0</v>
      </c>
      <c r="AN760" s="286" t="n">
        <f aca="false">IFERROR(SUMIF($AB$4:$AM$4, "RDEC", AB760:AM760), "")</f>
        <v>0</v>
      </c>
      <c r="AO760" s="286" t="n">
        <f aca="false">IFERROR(SUMIF($AB$4:$AM$4, "SME", AB760:AM760), "")</f>
        <v>0</v>
      </c>
      <c r="AP760" s="286" t="n">
        <f aca="false">IFERROR(SUMIF($AB$4:$AM$4, "De Minimis", AB760:AM760), "")</f>
        <v>0</v>
      </c>
      <c r="AQ760" s="283"/>
      <c r="AR760" s="284" t="n">
        <f aca="false">IFERROR(($J760*O760)*$M760, "")</f>
        <v>0</v>
      </c>
      <c r="AS760" s="284" t="n">
        <f aca="false">IFERROR(($J760*P760)*$M760, "")</f>
        <v>0</v>
      </c>
      <c r="AT760" s="284" t="n">
        <f aca="false">IFERROR(($J760*Q760)*$M760, "")</f>
        <v>0</v>
      </c>
      <c r="AU760" s="284" t="n">
        <f aca="false">IFERROR(($J760*R760)*$M760, "")</f>
        <v>0</v>
      </c>
      <c r="AV760" s="284" t="n">
        <f aca="false">IFERROR(($J760*S760)*$M760, "")</f>
        <v>0</v>
      </c>
      <c r="AW760" s="284" t="n">
        <f aca="false">IFERROR(($J760*T760)*$M760, "")</f>
        <v>0</v>
      </c>
      <c r="AX760" s="284" t="n">
        <f aca="false">IFERROR(($J760*U760)*$M760, "")</f>
        <v>0</v>
      </c>
      <c r="AY760" s="284" t="n">
        <f aca="false">IFERROR(($J760*V760)*$M760, "")</f>
        <v>0</v>
      </c>
      <c r="AZ760" s="284" t="n">
        <f aca="false">IFERROR(($J760*W760)*$M760, "")</f>
        <v>0</v>
      </c>
      <c r="BA760" s="284" t="n">
        <f aca="false">IFERROR(($J760*X760)*$M760, "")</f>
        <v>0</v>
      </c>
      <c r="BB760" s="284" t="n">
        <f aca="false">IFERROR(($J760*Y760)*$M760, "")</f>
        <v>0</v>
      </c>
      <c r="BC760" s="285" t="n">
        <f aca="false">IFERROR(($J760*Z760)*$M760, "")</f>
        <v>0</v>
      </c>
      <c r="BD760" s="286" t="n">
        <f aca="false">IFERROR(SUMIF($AB$4:$AM$4, "RDEC", AR760:BC760), "")</f>
        <v>0</v>
      </c>
      <c r="BE760" s="286" t="n">
        <f aca="false">IFERROR(SUMIF($AB$4:$AM$4, "SME", AR760:BC760), "")</f>
        <v>0</v>
      </c>
      <c r="BF760" s="286" t="n">
        <f aca="false">IFERROR(SUMIF($AB$4:$AM$4, "De Minimis", AR760:BC760), "")</f>
        <v>0</v>
      </c>
      <c r="BG760" s="287"/>
      <c r="BH760" s="288" t="str">
        <f aca="false">IF((SUM(O760:Z760)&gt;1),"ERROR","")</f>
        <v/>
      </c>
      <c r="BI760" s="287"/>
      <c r="BJ760" s="18" t="str">
        <f aca="false">IF(C746&gt;0, C746, "")</f>
        <v/>
      </c>
      <c r="BL760" s="200"/>
      <c r="BM760" s="200"/>
      <c r="BN760" s="200"/>
    </row>
    <row r="761" customFormat="false" ht="15" hidden="false" customHeight="true" outlineLevel="0" collapsed="false">
      <c r="B761" s="275"/>
      <c r="D761" s="276" t="n">
        <f aca="false">D745</f>
        <v>45323</v>
      </c>
      <c r="E761" s="277" t="n">
        <v>0</v>
      </c>
      <c r="F761" s="277" t="n">
        <v>0</v>
      </c>
      <c r="G761" s="277" t="n">
        <v>0</v>
      </c>
      <c r="H761" s="277" t="n">
        <v>0</v>
      </c>
      <c r="I761" s="277" t="n">
        <v>0</v>
      </c>
      <c r="J761" s="278" t="n">
        <f aca="false">E761+H761+I761</f>
        <v>0</v>
      </c>
      <c r="K761" s="204"/>
      <c r="L761" s="279" t="n">
        <v>1</v>
      </c>
      <c r="M761" s="280" t="n">
        <f aca="false">1-L761</f>
        <v>0</v>
      </c>
      <c r="N761" s="281"/>
      <c r="O761" s="282"/>
      <c r="P761" s="282"/>
      <c r="Q761" s="282"/>
      <c r="R761" s="282"/>
      <c r="S761" s="282"/>
      <c r="T761" s="282"/>
      <c r="U761" s="282"/>
      <c r="V761" s="282"/>
      <c r="W761" s="282"/>
      <c r="X761" s="282"/>
      <c r="Y761" s="282"/>
      <c r="Z761" s="282"/>
      <c r="AA761" s="283"/>
      <c r="AB761" s="284" t="n">
        <f aca="false">IFERROR(($J761*O761)*$L761, "")</f>
        <v>0</v>
      </c>
      <c r="AC761" s="284" t="n">
        <f aca="false">IFERROR(($J761*P761)*$L761, "")</f>
        <v>0</v>
      </c>
      <c r="AD761" s="284" t="n">
        <f aca="false">IFERROR(($J761*Q761)*$L761, "")</f>
        <v>0</v>
      </c>
      <c r="AE761" s="284" t="n">
        <f aca="false">IFERROR(($J761*R761)*$L761, "")</f>
        <v>0</v>
      </c>
      <c r="AF761" s="284" t="n">
        <f aca="false">IFERROR(($J761*S761)*$L761, "")</f>
        <v>0</v>
      </c>
      <c r="AG761" s="284" t="n">
        <f aca="false">IFERROR(($J761*T761)*$L761, "")</f>
        <v>0</v>
      </c>
      <c r="AH761" s="284" t="n">
        <f aca="false">IFERROR(($J761*U761)*$L761, "")</f>
        <v>0</v>
      </c>
      <c r="AI761" s="284" t="n">
        <f aca="false">IFERROR(($J761*V761)*$L761, "")</f>
        <v>0</v>
      </c>
      <c r="AJ761" s="284" t="n">
        <f aca="false">IFERROR(($J761*W761)*$L761, "")</f>
        <v>0</v>
      </c>
      <c r="AK761" s="284" t="n">
        <f aca="false">IFERROR(($J761*X761)*$L761, "")</f>
        <v>0</v>
      </c>
      <c r="AL761" s="284" t="n">
        <f aca="false">IFERROR(($J761*Y761)*$L761, "")</f>
        <v>0</v>
      </c>
      <c r="AM761" s="285" t="n">
        <f aca="false">IFERROR(($J761*Z761)*$L761, "")</f>
        <v>0</v>
      </c>
      <c r="AN761" s="286" t="n">
        <f aca="false">IFERROR(SUMIF($AB$4:$AM$4, "RDEC", AB761:AM761), "")</f>
        <v>0</v>
      </c>
      <c r="AO761" s="286" t="n">
        <f aca="false">IFERROR(SUMIF($AB$4:$AM$4, "SME", AB761:AM761), "")</f>
        <v>0</v>
      </c>
      <c r="AP761" s="286" t="n">
        <f aca="false">IFERROR(SUMIF($AB$4:$AM$4, "De Minimis", AB761:AM761), "")</f>
        <v>0</v>
      </c>
      <c r="AQ761" s="283"/>
      <c r="AR761" s="284" t="n">
        <f aca="false">IFERROR(($J761*O761)*$M761, "")</f>
        <v>0</v>
      </c>
      <c r="AS761" s="284" t="n">
        <f aca="false">IFERROR(($J761*P761)*$M761, "")</f>
        <v>0</v>
      </c>
      <c r="AT761" s="284" t="n">
        <f aca="false">IFERROR(($J761*Q761)*$M761, "")</f>
        <v>0</v>
      </c>
      <c r="AU761" s="284" t="n">
        <f aca="false">IFERROR(($J761*R761)*$M761, "")</f>
        <v>0</v>
      </c>
      <c r="AV761" s="284" t="n">
        <f aca="false">IFERROR(($J761*S761)*$M761, "")</f>
        <v>0</v>
      </c>
      <c r="AW761" s="284" t="n">
        <f aca="false">IFERROR(($J761*T761)*$M761, "")</f>
        <v>0</v>
      </c>
      <c r="AX761" s="284" t="n">
        <f aca="false">IFERROR(($J761*U761)*$M761, "")</f>
        <v>0</v>
      </c>
      <c r="AY761" s="284" t="n">
        <f aca="false">IFERROR(($J761*V761)*$M761, "")</f>
        <v>0</v>
      </c>
      <c r="AZ761" s="284" t="n">
        <f aca="false">IFERROR(($J761*W761)*$M761, "")</f>
        <v>0</v>
      </c>
      <c r="BA761" s="284" t="n">
        <f aca="false">IFERROR(($J761*X761)*$M761, "")</f>
        <v>0</v>
      </c>
      <c r="BB761" s="284" t="n">
        <f aca="false">IFERROR(($J761*Y761)*$M761, "")</f>
        <v>0</v>
      </c>
      <c r="BC761" s="285" t="n">
        <f aca="false">IFERROR(($J761*Z761)*$M761, "")</f>
        <v>0</v>
      </c>
      <c r="BD761" s="286" t="n">
        <f aca="false">IFERROR(SUMIF($AB$4:$AM$4, "RDEC", AR761:BC761), "")</f>
        <v>0</v>
      </c>
      <c r="BE761" s="286" t="n">
        <f aca="false">IFERROR(SUMIF($AB$4:$AM$4, "SME", AR761:BC761), "")</f>
        <v>0</v>
      </c>
      <c r="BF761" s="286" t="n">
        <f aca="false">IFERROR(SUMIF($AB$4:$AM$4, "De Minimis", AR761:BC761), "")</f>
        <v>0</v>
      </c>
      <c r="BG761" s="287"/>
      <c r="BH761" s="288" t="str">
        <f aca="false">IF((SUM(O761:Z761)&gt;1),"ERROR","")</f>
        <v/>
      </c>
      <c r="BI761" s="287"/>
      <c r="BJ761" s="18" t="str">
        <f aca="false">IF(C747&gt;0, C747, "")</f>
        <v/>
      </c>
      <c r="BL761" s="200"/>
      <c r="BM761" s="200"/>
      <c r="BN761" s="200"/>
    </row>
    <row r="762" customFormat="false" ht="15" hidden="false" customHeight="true" outlineLevel="0" collapsed="false">
      <c r="B762" s="275"/>
      <c r="D762" s="276" t="n">
        <f aca="false">D746</f>
        <v>45352</v>
      </c>
      <c r="E762" s="277" t="n">
        <v>0</v>
      </c>
      <c r="F762" s="277" t="n">
        <v>0</v>
      </c>
      <c r="G762" s="277" t="n">
        <v>0</v>
      </c>
      <c r="H762" s="277" t="n">
        <v>0</v>
      </c>
      <c r="I762" s="277" t="n">
        <v>0</v>
      </c>
      <c r="J762" s="278" t="n">
        <f aca="false">E762+H762+I762</f>
        <v>0</v>
      </c>
      <c r="K762" s="204"/>
      <c r="L762" s="279" t="n">
        <v>1</v>
      </c>
      <c r="M762" s="280" t="n">
        <f aca="false">1-L762</f>
        <v>0</v>
      </c>
      <c r="N762" s="281"/>
      <c r="O762" s="282"/>
      <c r="P762" s="282"/>
      <c r="Q762" s="282"/>
      <c r="R762" s="282"/>
      <c r="S762" s="282"/>
      <c r="T762" s="282"/>
      <c r="U762" s="282"/>
      <c r="V762" s="282"/>
      <c r="W762" s="282"/>
      <c r="X762" s="282"/>
      <c r="Y762" s="282"/>
      <c r="Z762" s="282"/>
      <c r="AA762" s="283"/>
      <c r="AB762" s="284" t="n">
        <f aca="false">IFERROR(($J762*O762)*$L762, "")</f>
        <v>0</v>
      </c>
      <c r="AC762" s="284" t="n">
        <f aca="false">IFERROR(($J762*P762)*$L762, "")</f>
        <v>0</v>
      </c>
      <c r="AD762" s="284" t="n">
        <f aca="false">IFERROR(($J762*Q762)*$L762, "")</f>
        <v>0</v>
      </c>
      <c r="AE762" s="284" t="n">
        <f aca="false">IFERROR(($J762*R762)*$L762, "")</f>
        <v>0</v>
      </c>
      <c r="AF762" s="284" t="n">
        <f aca="false">IFERROR(($J762*S762)*$L762, "")</f>
        <v>0</v>
      </c>
      <c r="AG762" s="284" t="n">
        <f aca="false">IFERROR(($J762*T762)*$L762, "")</f>
        <v>0</v>
      </c>
      <c r="AH762" s="284" t="n">
        <f aca="false">IFERROR(($J762*U762)*$L762, "")</f>
        <v>0</v>
      </c>
      <c r="AI762" s="284" t="n">
        <f aca="false">IFERROR(($J762*V762)*$L762, "")</f>
        <v>0</v>
      </c>
      <c r="AJ762" s="284" t="n">
        <f aca="false">IFERROR(($J762*W762)*$L762, "")</f>
        <v>0</v>
      </c>
      <c r="AK762" s="284" t="n">
        <f aca="false">IFERROR(($J762*X762)*$L762, "")</f>
        <v>0</v>
      </c>
      <c r="AL762" s="284" t="n">
        <f aca="false">IFERROR(($J762*Y762)*$L762, "")</f>
        <v>0</v>
      </c>
      <c r="AM762" s="285" t="n">
        <f aca="false">IFERROR(($J762*Z762)*$L762, "")</f>
        <v>0</v>
      </c>
      <c r="AN762" s="286" t="n">
        <f aca="false">IFERROR(SUMIF($AB$4:$AM$4, "RDEC", AB762:AM762), "")</f>
        <v>0</v>
      </c>
      <c r="AO762" s="286" t="n">
        <f aca="false">IFERROR(SUMIF($AB$4:$AM$4, "SME", AB762:AM762), "")</f>
        <v>0</v>
      </c>
      <c r="AP762" s="286" t="n">
        <f aca="false">IFERROR(SUMIF($AB$4:$AM$4, "De Minimis", AB762:AM762), "")</f>
        <v>0</v>
      </c>
      <c r="AQ762" s="283"/>
      <c r="AR762" s="284" t="n">
        <f aca="false">IFERROR(($J762*O762)*$M762, "")</f>
        <v>0</v>
      </c>
      <c r="AS762" s="284" t="n">
        <f aca="false">IFERROR(($J762*P762)*$M762, "")</f>
        <v>0</v>
      </c>
      <c r="AT762" s="284" t="n">
        <f aca="false">IFERROR(($J762*Q762)*$M762, "")</f>
        <v>0</v>
      </c>
      <c r="AU762" s="284" t="n">
        <f aca="false">IFERROR(($J762*R762)*$M762, "")</f>
        <v>0</v>
      </c>
      <c r="AV762" s="284" t="n">
        <f aca="false">IFERROR(($J762*S762)*$M762, "")</f>
        <v>0</v>
      </c>
      <c r="AW762" s="284" t="n">
        <f aca="false">IFERROR(($J762*T762)*$M762, "")</f>
        <v>0</v>
      </c>
      <c r="AX762" s="284" t="n">
        <f aca="false">IFERROR(($J762*U762)*$M762, "")</f>
        <v>0</v>
      </c>
      <c r="AY762" s="284" t="n">
        <f aca="false">IFERROR(($J762*V762)*$M762, "")</f>
        <v>0</v>
      </c>
      <c r="AZ762" s="284" t="n">
        <f aca="false">IFERROR(($J762*W762)*$M762, "")</f>
        <v>0</v>
      </c>
      <c r="BA762" s="284" t="n">
        <f aca="false">IFERROR(($J762*X762)*$M762, "")</f>
        <v>0</v>
      </c>
      <c r="BB762" s="284" t="n">
        <f aca="false">IFERROR(($J762*Y762)*$M762, "")</f>
        <v>0</v>
      </c>
      <c r="BC762" s="285" t="n">
        <f aca="false">IFERROR(($J762*Z762)*$M762, "")</f>
        <v>0</v>
      </c>
      <c r="BD762" s="286" t="n">
        <f aca="false">IFERROR(SUMIF($AB$4:$AM$4, "RDEC", AR762:BC762), "")</f>
        <v>0</v>
      </c>
      <c r="BE762" s="286" t="n">
        <f aca="false">IFERROR(SUMIF($AB$4:$AM$4, "SME", AR762:BC762), "")</f>
        <v>0</v>
      </c>
      <c r="BF762" s="286" t="n">
        <f aca="false">IFERROR(SUMIF($AB$4:$AM$4, "De Minimis", AR762:BC762), "")</f>
        <v>0</v>
      </c>
      <c r="BG762" s="287"/>
      <c r="BH762" s="288" t="str">
        <f aca="false">IF((SUM(O762:Z762)&gt;1),"ERROR","")</f>
        <v/>
      </c>
      <c r="BI762" s="287"/>
      <c r="BJ762" s="18" t="str">
        <f aca="false">IF(C748&gt;0, C748, "")</f>
        <v/>
      </c>
      <c r="BL762" s="200"/>
      <c r="BM762" s="200"/>
      <c r="BN762" s="200"/>
    </row>
    <row r="763" customFormat="false" ht="15" hidden="false" customHeight="true" outlineLevel="0" collapsed="false">
      <c r="B763" s="275"/>
      <c r="D763" s="276" t="n">
        <f aca="false">D747</f>
        <v>45383</v>
      </c>
      <c r="E763" s="277" t="n">
        <v>0</v>
      </c>
      <c r="F763" s="277" t="n">
        <v>0</v>
      </c>
      <c r="G763" s="277" t="n">
        <v>0</v>
      </c>
      <c r="H763" s="277" t="n">
        <v>0</v>
      </c>
      <c r="I763" s="277" t="n">
        <v>0</v>
      </c>
      <c r="J763" s="278" t="n">
        <f aca="false">E763+H763+I763</f>
        <v>0</v>
      </c>
      <c r="K763" s="204"/>
      <c r="L763" s="279" t="n">
        <v>1</v>
      </c>
      <c r="M763" s="280" t="n">
        <f aca="false">1-L763</f>
        <v>0</v>
      </c>
      <c r="N763" s="281"/>
      <c r="O763" s="282"/>
      <c r="P763" s="282"/>
      <c r="Q763" s="282"/>
      <c r="R763" s="282"/>
      <c r="S763" s="282"/>
      <c r="T763" s="282"/>
      <c r="U763" s="282"/>
      <c r="V763" s="282"/>
      <c r="W763" s="282"/>
      <c r="X763" s="282"/>
      <c r="Y763" s="282"/>
      <c r="Z763" s="282"/>
      <c r="AA763" s="283"/>
      <c r="AB763" s="284" t="n">
        <f aca="false">IFERROR(($J763*O763)*$L763, "")</f>
        <v>0</v>
      </c>
      <c r="AC763" s="284" t="n">
        <f aca="false">IFERROR(($J763*P763)*$L763, "")</f>
        <v>0</v>
      </c>
      <c r="AD763" s="284" t="n">
        <f aca="false">IFERROR(($J763*Q763)*$L763, "")</f>
        <v>0</v>
      </c>
      <c r="AE763" s="284" t="n">
        <f aca="false">IFERROR(($J763*R763)*$L763, "")</f>
        <v>0</v>
      </c>
      <c r="AF763" s="284" t="n">
        <f aca="false">IFERROR(($J763*S763)*$L763, "")</f>
        <v>0</v>
      </c>
      <c r="AG763" s="284" t="n">
        <f aca="false">IFERROR(($J763*T763)*$L763, "")</f>
        <v>0</v>
      </c>
      <c r="AH763" s="284" t="n">
        <f aca="false">IFERROR(($J763*U763)*$L763, "")</f>
        <v>0</v>
      </c>
      <c r="AI763" s="284" t="n">
        <f aca="false">IFERROR(($J763*V763)*$L763, "")</f>
        <v>0</v>
      </c>
      <c r="AJ763" s="284" t="n">
        <f aca="false">IFERROR(($J763*W763)*$L763, "")</f>
        <v>0</v>
      </c>
      <c r="AK763" s="284" t="n">
        <f aca="false">IFERROR(($J763*X763)*$L763, "")</f>
        <v>0</v>
      </c>
      <c r="AL763" s="284" t="n">
        <f aca="false">IFERROR(($J763*Y763)*$L763, "")</f>
        <v>0</v>
      </c>
      <c r="AM763" s="285" t="n">
        <f aca="false">IFERROR(($J763*Z763)*$L763, "")</f>
        <v>0</v>
      </c>
      <c r="AN763" s="286" t="n">
        <f aca="false">IFERROR(SUMIF($AB$4:$AM$4, "RDEC", AB763:AM763), "")</f>
        <v>0</v>
      </c>
      <c r="AO763" s="286" t="n">
        <f aca="false">IFERROR(SUMIF($AB$4:$AM$4, "SME", AB763:AM763), "")</f>
        <v>0</v>
      </c>
      <c r="AP763" s="286" t="n">
        <f aca="false">IFERROR(SUMIF($AB$4:$AM$4, "De Minimis", AB763:AM763), "")</f>
        <v>0</v>
      </c>
      <c r="AQ763" s="283"/>
      <c r="AR763" s="284" t="n">
        <f aca="false">IFERROR(($J763*O763)*$M763, "")</f>
        <v>0</v>
      </c>
      <c r="AS763" s="284" t="n">
        <f aca="false">IFERROR(($J763*P763)*$M763, "")</f>
        <v>0</v>
      </c>
      <c r="AT763" s="284" t="n">
        <f aca="false">IFERROR(($J763*Q763)*$M763, "")</f>
        <v>0</v>
      </c>
      <c r="AU763" s="284" t="n">
        <f aca="false">IFERROR(($J763*R763)*$M763, "")</f>
        <v>0</v>
      </c>
      <c r="AV763" s="284" t="n">
        <f aca="false">IFERROR(($J763*S763)*$M763, "")</f>
        <v>0</v>
      </c>
      <c r="AW763" s="284" t="n">
        <f aca="false">IFERROR(($J763*T763)*$M763, "")</f>
        <v>0</v>
      </c>
      <c r="AX763" s="284" t="n">
        <f aca="false">IFERROR(($J763*U763)*$M763, "")</f>
        <v>0</v>
      </c>
      <c r="AY763" s="284" t="n">
        <f aca="false">IFERROR(($J763*V763)*$M763, "")</f>
        <v>0</v>
      </c>
      <c r="AZ763" s="284" t="n">
        <f aca="false">IFERROR(($J763*W763)*$M763, "")</f>
        <v>0</v>
      </c>
      <c r="BA763" s="284" t="n">
        <f aca="false">IFERROR(($J763*X763)*$M763, "")</f>
        <v>0</v>
      </c>
      <c r="BB763" s="284" t="n">
        <f aca="false">IFERROR(($J763*Y763)*$M763, "")</f>
        <v>0</v>
      </c>
      <c r="BC763" s="285" t="n">
        <f aca="false">IFERROR(($J763*Z763)*$M763, "")</f>
        <v>0</v>
      </c>
      <c r="BD763" s="286" t="n">
        <f aca="false">IFERROR(SUMIF($AB$4:$AM$4, "RDEC", AR763:BC763), "")</f>
        <v>0</v>
      </c>
      <c r="BE763" s="286" t="n">
        <f aca="false">IFERROR(SUMIF($AB$4:$AM$4, "SME", AR763:BC763), "")</f>
        <v>0</v>
      </c>
      <c r="BF763" s="286" t="n">
        <f aca="false">IFERROR(SUMIF($AB$4:$AM$4, "De Minimis", AR763:BC763), "")</f>
        <v>0</v>
      </c>
      <c r="BG763" s="287"/>
      <c r="BH763" s="288" t="str">
        <f aca="false">IF((SUM(O763:Z763)&gt;1),"ERROR","")</f>
        <v/>
      </c>
      <c r="BI763" s="287"/>
      <c r="BJ763" s="18" t="str">
        <f aca="false">IF(C749&gt;0, C749, "")</f>
        <v/>
      </c>
      <c r="BL763" s="200"/>
      <c r="BM763" s="200"/>
      <c r="BN763" s="200"/>
    </row>
    <row r="764" customFormat="false" ht="15" hidden="false" customHeight="true" outlineLevel="0" collapsed="false">
      <c r="B764" s="275"/>
      <c r="D764" s="276" t="n">
        <f aca="false">D748</f>
        <v>45413</v>
      </c>
      <c r="E764" s="277" t="n">
        <v>0</v>
      </c>
      <c r="F764" s="277" t="n">
        <v>0</v>
      </c>
      <c r="G764" s="277" t="n">
        <v>0</v>
      </c>
      <c r="H764" s="277" t="n">
        <v>0</v>
      </c>
      <c r="I764" s="277" t="n">
        <v>0</v>
      </c>
      <c r="J764" s="278" t="n">
        <f aca="false">E764+H764+I764</f>
        <v>0</v>
      </c>
      <c r="K764" s="204"/>
      <c r="L764" s="279" t="n">
        <v>1</v>
      </c>
      <c r="M764" s="280" t="n">
        <f aca="false">1-L764</f>
        <v>0</v>
      </c>
      <c r="N764" s="281"/>
      <c r="O764" s="282"/>
      <c r="P764" s="282"/>
      <c r="Q764" s="282"/>
      <c r="R764" s="282"/>
      <c r="S764" s="282"/>
      <c r="T764" s="282"/>
      <c r="U764" s="282"/>
      <c r="V764" s="282"/>
      <c r="W764" s="282"/>
      <c r="X764" s="282"/>
      <c r="Y764" s="282"/>
      <c r="Z764" s="282"/>
      <c r="AA764" s="283"/>
      <c r="AB764" s="284" t="n">
        <f aca="false">IFERROR(($J764*O764)*$L764, "")</f>
        <v>0</v>
      </c>
      <c r="AC764" s="284" t="n">
        <f aca="false">IFERROR(($J764*P764)*$L764, "")</f>
        <v>0</v>
      </c>
      <c r="AD764" s="284" t="n">
        <f aca="false">IFERROR(($J764*Q764)*$L764, "")</f>
        <v>0</v>
      </c>
      <c r="AE764" s="284" t="n">
        <f aca="false">IFERROR(($J764*R764)*$L764, "")</f>
        <v>0</v>
      </c>
      <c r="AF764" s="284" t="n">
        <f aca="false">IFERROR(($J764*S764)*$L764, "")</f>
        <v>0</v>
      </c>
      <c r="AG764" s="284" t="n">
        <f aca="false">IFERROR(($J764*T764)*$L764, "")</f>
        <v>0</v>
      </c>
      <c r="AH764" s="284" t="n">
        <f aca="false">IFERROR(($J764*U764)*$L764, "")</f>
        <v>0</v>
      </c>
      <c r="AI764" s="284" t="n">
        <f aca="false">IFERROR(($J764*V764)*$L764, "")</f>
        <v>0</v>
      </c>
      <c r="AJ764" s="284" t="n">
        <f aca="false">IFERROR(($J764*W764)*$L764, "")</f>
        <v>0</v>
      </c>
      <c r="AK764" s="284" t="n">
        <f aca="false">IFERROR(($J764*X764)*$L764, "")</f>
        <v>0</v>
      </c>
      <c r="AL764" s="284" t="n">
        <f aca="false">IFERROR(($J764*Y764)*$L764, "")</f>
        <v>0</v>
      </c>
      <c r="AM764" s="285" t="n">
        <f aca="false">IFERROR(($J764*Z764)*$L764, "")</f>
        <v>0</v>
      </c>
      <c r="AN764" s="286" t="n">
        <f aca="false">IFERROR(SUMIF($AB$4:$AM$4, "RDEC", AB764:AM764), "")</f>
        <v>0</v>
      </c>
      <c r="AO764" s="286" t="n">
        <f aca="false">IFERROR(SUMIF($AB$4:$AM$4, "SME", AB764:AM764), "")</f>
        <v>0</v>
      </c>
      <c r="AP764" s="286" t="n">
        <f aca="false">IFERROR(SUMIF($AB$4:$AM$4, "De Minimis", AB764:AM764), "")</f>
        <v>0</v>
      </c>
      <c r="AQ764" s="283"/>
      <c r="AR764" s="284" t="n">
        <f aca="false">IFERROR(($J764*O764)*$M764, "")</f>
        <v>0</v>
      </c>
      <c r="AS764" s="284" t="n">
        <f aca="false">IFERROR(($J764*P764)*$M764, "")</f>
        <v>0</v>
      </c>
      <c r="AT764" s="284" t="n">
        <f aca="false">IFERROR(($J764*Q764)*$M764, "")</f>
        <v>0</v>
      </c>
      <c r="AU764" s="284" t="n">
        <f aca="false">IFERROR(($J764*R764)*$M764, "")</f>
        <v>0</v>
      </c>
      <c r="AV764" s="284" t="n">
        <f aca="false">IFERROR(($J764*S764)*$M764, "")</f>
        <v>0</v>
      </c>
      <c r="AW764" s="284" t="n">
        <f aca="false">IFERROR(($J764*T764)*$M764, "")</f>
        <v>0</v>
      </c>
      <c r="AX764" s="284" t="n">
        <f aca="false">IFERROR(($J764*U764)*$M764, "")</f>
        <v>0</v>
      </c>
      <c r="AY764" s="284" t="n">
        <f aca="false">IFERROR(($J764*V764)*$M764, "")</f>
        <v>0</v>
      </c>
      <c r="AZ764" s="284" t="n">
        <f aca="false">IFERROR(($J764*W764)*$M764, "")</f>
        <v>0</v>
      </c>
      <c r="BA764" s="284" t="n">
        <f aca="false">IFERROR(($J764*X764)*$M764, "")</f>
        <v>0</v>
      </c>
      <c r="BB764" s="284" t="n">
        <f aca="false">IFERROR(($J764*Y764)*$M764, "")</f>
        <v>0</v>
      </c>
      <c r="BC764" s="285" t="n">
        <f aca="false">IFERROR(($J764*Z764)*$M764, "")</f>
        <v>0</v>
      </c>
      <c r="BD764" s="286" t="n">
        <f aca="false">IFERROR(SUMIF($AB$4:$AM$4, "RDEC", AR764:BC764), "")</f>
        <v>0</v>
      </c>
      <c r="BE764" s="286" t="n">
        <f aca="false">IFERROR(SUMIF($AB$4:$AM$4, "SME", AR764:BC764), "")</f>
        <v>0</v>
      </c>
      <c r="BF764" s="286" t="n">
        <f aca="false">IFERROR(SUMIF($AB$4:$AM$4, "De Minimis", AR764:BC764), "")</f>
        <v>0</v>
      </c>
      <c r="BG764" s="287"/>
      <c r="BH764" s="288" t="str">
        <f aca="false">IF((SUM(O764:Z764)&gt;1),"ERROR","")</f>
        <v/>
      </c>
      <c r="BI764" s="287"/>
      <c r="BJ764" s="18" t="str">
        <f aca="false">IF(C750&gt;0, C750, "")</f>
        <v/>
      </c>
      <c r="BL764" s="200"/>
      <c r="BM764" s="200"/>
      <c r="BN764" s="200"/>
    </row>
    <row r="765" customFormat="false" ht="15" hidden="false" customHeight="true" outlineLevel="0" collapsed="false">
      <c r="B765" s="275"/>
      <c r="D765" s="276" t="n">
        <f aca="false">D749</f>
        <v>45444</v>
      </c>
      <c r="E765" s="277" t="n">
        <v>0</v>
      </c>
      <c r="F765" s="277" t="n">
        <v>0</v>
      </c>
      <c r="G765" s="277" t="n">
        <v>0</v>
      </c>
      <c r="H765" s="277" t="n">
        <v>0</v>
      </c>
      <c r="I765" s="277" t="n">
        <v>0</v>
      </c>
      <c r="J765" s="278" t="n">
        <f aca="false">E765+H765+I765</f>
        <v>0</v>
      </c>
      <c r="K765" s="204"/>
      <c r="L765" s="279" t="n">
        <v>1</v>
      </c>
      <c r="M765" s="280" t="n">
        <f aca="false">1-L765</f>
        <v>0</v>
      </c>
      <c r="N765" s="281"/>
      <c r="O765" s="282"/>
      <c r="P765" s="282"/>
      <c r="Q765" s="282"/>
      <c r="R765" s="282"/>
      <c r="S765" s="282"/>
      <c r="T765" s="282"/>
      <c r="U765" s="282"/>
      <c r="V765" s="282"/>
      <c r="W765" s="282"/>
      <c r="X765" s="282"/>
      <c r="Y765" s="282"/>
      <c r="Z765" s="282"/>
      <c r="AA765" s="283"/>
      <c r="AB765" s="284" t="n">
        <f aca="false">IFERROR(($J765*O765)*$L765, "")</f>
        <v>0</v>
      </c>
      <c r="AC765" s="284" t="n">
        <f aca="false">IFERROR(($J765*P765)*$L765, "")</f>
        <v>0</v>
      </c>
      <c r="AD765" s="284" t="n">
        <f aca="false">IFERROR(($J765*Q765)*$L765, "")</f>
        <v>0</v>
      </c>
      <c r="AE765" s="284" t="n">
        <f aca="false">IFERROR(($J765*R765)*$L765, "")</f>
        <v>0</v>
      </c>
      <c r="AF765" s="284" t="n">
        <f aca="false">IFERROR(($J765*S765)*$L765, "")</f>
        <v>0</v>
      </c>
      <c r="AG765" s="284" t="n">
        <f aca="false">IFERROR(($J765*T765)*$L765, "")</f>
        <v>0</v>
      </c>
      <c r="AH765" s="284" t="n">
        <f aca="false">IFERROR(($J765*U765)*$L765, "")</f>
        <v>0</v>
      </c>
      <c r="AI765" s="284" t="n">
        <f aca="false">IFERROR(($J765*V765)*$L765, "")</f>
        <v>0</v>
      </c>
      <c r="AJ765" s="284" t="n">
        <f aca="false">IFERROR(($J765*W765)*$L765, "")</f>
        <v>0</v>
      </c>
      <c r="AK765" s="284" t="n">
        <f aca="false">IFERROR(($J765*X765)*$L765, "")</f>
        <v>0</v>
      </c>
      <c r="AL765" s="284" t="n">
        <f aca="false">IFERROR(($J765*Y765)*$L765, "")</f>
        <v>0</v>
      </c>
      <c r="AM765" s="285" t="n">
        <f aca="false">IFERROR(($J765*Z765)*$L765, "")</f>
        <v>0</v>
      </c>
      <c r="AN765" s="286" t="n">
        <f aca="false">IFERROR(SUMIF($AB$4:$AM$4, "RDEC", AB765:AM765), "")</f>
        <v>0</v>
      </c>
      <c r="AO765" s="286" t="n">
        <f aca="false">IFERROR(SUMIF($AB$4:$AM$4, "SME", AB765:AM765), "")</f>
        <v>0</v>
      </c>
      <c r="AP765" s="286" t="n">
        <f aca="false">IFERROR(SUMIF($AB$4:$AM$4, "De Minimis", AB765:AM765), "")</f>
        <v>0</v>
      </c>
      <c r="AQ765" s="283"/>
      <c r="AR765" s="284" t="n">
        <f aca="false">IFERROR(($J765*O765)*$M765, "")</f>
        <v>0</v>
      </c>
      <c r="AS765" s="284" t="n">
        <f aca="false">IFERROR(($J765*P765)*$M765, "")</f>
        <v>0</v>
      </c>
      <c r="AT765" s="284" t="n">
        <f aca="false">IFERROR(($J765*Q765)*$M765, "")</f>
        <v>0</v>
      </c>
      <c r="AU765" s="284" t="n">
        <f aca="false">IFERROR(($J765*R765)*$M765, "")</f>
        <v>0</v>
      </c>
      <c r="AV765" s="284" t="n">
        <f aca="false">IFERROR(($J765*S765)*$M765, "")</f>
        <v>0</v>
      </c>
      <c r="AW765" s="284" t="n">
        <f aca="false">IFERROR(($J765*T765)*$M765, "")</f>
        <v>0</v>
      </c>
      <c r="AX765" s="284" t="n">
        <f aca="false">IFERROR(($J765*U765)*$M765, "")</f>
        <v>0</v>
      </c>
      <c r="AY765" s="284" t="n">
        <f aca="false">IFERROR(($J765*V765)*$M765, "")</f>
        <v>0</v>
      </c>
      <c r="AZ765" s="284" t="n">
        <f aca="false">IFERROR(($J765*W765)*$M765, "")</f>
        <v>0</v>
      </c>
      <c r="BA765" s="284" t="n">
        <f aca="false">IFERROR(($J765*X765)*$M765, "")</f>
        <v>0</v>
      </c>
      <c r="BB765" s="284" t="n">
        <f aca="false">IFERROR(($J765*Y765)*$M765, "")</f>
        <v>0</v>
      </c>
      <c r="BC765" s="285" t="n">
        <f aca="false">IFERROR(($J765*Z765)*$M765, "")</f>
        <v>0</v>
      </c>
      <c r="BD765" s="286" t="n">
        <f aca="false">IFERROR(SUMIF($AB$4:$AM$4, "RDEC", AR765:BC765), "")</f>
        <v>0</v>
      </c>
      <c r="BE765" s="286" t="n">
        <f aca="false">IFERROR(SUMIF($AB$4:$AM$4, "SME", AR765:BC765), "")</f>
        <v>0</v>
      </c>
      <c r="BF765" s="286" t="n">
        <f aca="false">IFERROR(SUMIF($AB$4:$AM$4, "De Minimis", AR765:BC765), "")</f>
        <v>0</v>
      </c>
      <c r="BG765" s="287"/>
      <c r="BH765" s="288" t="str">
        <f aca="false">IF((SUM(O765:Z765)&gt;1),"ERROR","")</f>
        <v/>
      </c>
      <c r="BI765" s="287"/>
      <c r="BJ765" s="18" t="str">
        <f aca="false">IF(C751&gt;0, C751, "")</f>
        <v/>
      </c>
      <c r="BL765" s="200"/>
      <c r="BM765" s="200"/>
      <c r="BN765" s="200"/>
    </row>
    <row r="766" customFormat="false" ht="15" hidden="false" customHeight="true" outlineLevel="0" collapsed="false">
      <c r="B766" s="275"/>
      <c r="D766" s="276" t="n">
        <f aca="false">D750</f>
        <v>45474</v>
      </c>
      <c r="E766" s="277" t="n">
        <v>0</v>
      </c>
      <c r="F766" s="277" t="n">
        <v>0</v>
      </c>
      <c r="G766" s="277" t="n">
        <v>0</v>
      </c>
      <c r="H766" s="277" t="n">
        <v>0</v>
      </c>
      <c r="I766" s="277" t="n">
        <v>0</v>
      </c>
      <c r="J766" s="278" t="n">
        <f aca="false">E766+H766+I766</f>
        <v>0</v>
      </c>
      <c r="K766" s="204"/>
      <c r="L766" s="279" t="n">
        <v>1</v>
      </c>
      <c r="M766" s="280" t="n">
        <f aca="false">1-L766</f>
        <v>0</v>
      </c>
      <c r="N766" s="281"/>
      <c r="O766" s="282"/>
      <c r="P766" s="282"/>
      <c r="Q766" s="282"/>
      <c r="R766" s="282"/>
      <c r="S766" s="282"/>
      <c r="T766" s="282"/>
      <c r="U766" s="282"/>
      <c r="V766" s="282"/>
      <c r="W766" s="282"/>
      <c r="X766" s="282"/>
      <c r="Y766" s="282"/>
      <c r="Z766" s="282"/>
      <c r="AA766" s="283"/>
      <c r="AB766" s="284" t="n">
        <f aca="false">IFERROR(($J766*O766)*$L766, "")</f>
        <v>0</v>
      </c>
      <c r="AC766" s="284" t="n">
        <f aca="false">IFERROR(($J766*P766)*$L766, "")</f>
        <v>0</v>
      </c>
      <c r="AD766" s="284" t="n">
        <f aca="false">IFERROR(($J766*Q766)*$L766, "")</f>
        <v>0</v>
      </c>
      <c r="AE766" s="284" t="n">
        <f aca="false">IFERROR(($J766*R766)*$L766, "")</f>
        <v>0</v>
      </c>
      <c r="AF766" s="284" t="n">
        <f aca="false">IFERROR(($J766*S766)*$L766, "")</f>
        <v>0</v>
      </c>
      <c r="AG766" s="284" t="n">
        <f aca="false">IFERROR(($J766*T766)*$L766, "")</f>
        <v>0</v>
      </c>
      <c r="AH766" s="284" t="n">
        <f aca="false">IFERROR(($J766*U766)*$L766, "")</f>
        <v>0</v>
      </c>
      <c r="AI766" s="284" t="n">
        <f aca="false">IFERROR(($J766*V766)*$L766, "")</f>
        <v>0</v>
      </c>
      <c r="AJ766" s="284" t="n">
        <f aca="false">IFERROR(($J766*W766)*$L766, "")</f>
        <v>0</v>
      </c>
      <c r="AK766" s="284" t="n">
        <f aca="false">IFERROR(($J766*X766)*$L766, "")</f>
        <v>0</v>
      </c>
      <c r="AL766" s="284" t="n">
        <f aca="false">IFERROR(($J766*Y766)*$L766, "")</f>
        <v>0</v>
      </c>
      <c r="AM766" s="285" t="n">
        <f aca="false">IFERROR(($J766*Z766)*$L766, "")</f>
        <v>0</v>
      </c>
      <c r="AN766" s="286" t="n">
        <f aca="false">IFERROR(SUMIF($AB$4:$AM$4, "RDEC", AB766:AM766), "")</f>
        <v>0</v>
      </c>
      <c r="AO766" s="286" t="n">
        <f aca="false">IFERROR(SUMIF($AB$4:$AM$4, "SME", AB766:AM766), "")</f>
        <v>0</v>
      </c>
      <c r="AP766" s="286" t="n">
        <f aca="false">IFERROR(SUMIF($AB$4:$AM$4, "De Minimis", AB766:AM766), "")</f>
        <v>0</v>
      </c>
      <c r="AQ766" s="283"/>
      <c r="AR766" s="284" t="n">
        <f aca="false">IFERROR(($J766*O766)*$M766, "")</f>
        <v>0</v>
      </c>
      <c r="AS766" s="284" t="n">
        <f aca="false">IFERROR(($J766*P766)*$M766, "")</f>
        <v>0</v>
      </c>
      <c r="AT766" s="284" t="n">
        <f aca="false">IFERROR(($J766*Q766)*$M766, "")</f>
        <v>0</v>
      </c>
      <c r="AU766" s="284" t="n">
        <f aca="false">IFERROR(($J766*R766)*$M766, "")</f>
        <v>0</v>
      </c>
      <c r="AV766" s="284" t="n">
        <f aca="false">IFERROR(($J766*S766)*$M766, "")</f>
        <v>0</v>
      </c>
      <c r="AW766" s="284" t="n">
        <f aca="false">IFERROR(($J766*T766)*$M766, "")</f>
        <v>0</v>
      </c>
      <c r="AX766" s="284" t="n">
        <f aca="false">IFERROR(($J766*U766)*$M766, "")</f>
        <v>0</v>
      </c>
      <c r="AY766" s="284" t="n">
        <f aca="false">IFERROR(($J766*V766)*$M766, "")</f>
        <v>0</v>
      </c>
      <c r="AZ766" s="284" t="n">
        <f aca="false">IFERROR(($J766*W766)*$M766, "")</f>
        <v>0</v>
      </c>
      <c r="BA766" s="284" t="n">
        <f aca="false">IFERROR(($J766*X766)*$M766, "")</f>
        <v>0</v>
      </c>
      <c r="BB766" s="284" t="n">
        <f aca="false">IFERROR(($J766*Y766)*$M766, "")</f>
        <v>0</v>
      </c>
      <c r="BC766" s="285" t="n">
        <f aca="false">IFERROR(($J766*Z766)*$M766, "")</f>
        <v>0</v>
      </c>
      <c r="BD766" s="286" t="n">
        <f aca="false">IFERROR(SUMIF($AB$4:$AM$4, "RDEC", AR766:BC766), "")</f>
        <v>0</v>
      </c>
      <c r="BE766" s="286" t="n">
        <f aca="false">IFERROR(SUMIF($AB$4:$AM$4, "SME", AR766:BC766), "")</f>
        <v>0</v>
      </c>
      <c r="BF766" s="286" t="n">
        <f aca="false">IFERROR(SUMIF($AB$4:$AM$4, "De Minimis", AR766:BC766), "")</f>
        <v>0</v>
      </c>
      <c r="BG766" s="287"/>
      <c r="BH766" s="288" t="str">
        <f aca="false">IF((SUM(O766:Z766)&gt;1),"ERROR","")</f>
        <v/>
      </c>
      <c r="BI766" s="287"/>
      <c r="BJ766" s="18" t="str">
        <f aca="false">IF(C752&gt;0, C752, "")</f>
        <v/>
      </c>
      <c r="BL766" s="200"/>
      <c r="BM766" s="200"/>
      <c r="BN766" s="200"/>
    </row>
    <row r="767" customFormat="false" ht="15" hidden="false" customHeight="true" outlineLevel="0" collapsed="false">
      <c r="B767" s="275"/>
      <c r="D767" s="276" t="n">
        <f aca="false">D751</f>
        <v>45505</v>
      </c>
      <c r="E767" s="277" t="n">
        <v>0</v>
      </c>
      <c r="F767" s="277" t="n">
        <v>0</v>
      </c>
      <c r="G767" s="277" t="n">
        <v>0</v>
      </c>
      <c r="H767" s="277" t="n">
        <v>0</v>
      </c>
      <c r="I767" s="277" t="n">
        <v>0</v>
      </c>
      <c r="J767" s="278" t="n">
        <f aca="false">E767+H767+I767</f>
        <v>0</v>
      </c>
      <c r="K767" s="204"/>
      <c r="L767" s="279" t="n">
        <v>1</v>
      </c>
      <c r="M767" s="280" t="n">
        <f aca="false">1-L767</f>
        <v>0</v>
      </c>
      <c r="N767" s="281"/>
      <c r="O767" s="282"/>
      <c r="P767" s="282"/>
      <c r="Q767" s="282"/>
      <c r="R767" s="282"/>
      <c r="S767" s="282"/>
      <c r="T767" s="282"/>
      <c r="U767" s="282"/>
      <c r="V767" s="282"/>
      <c r="W767" s="282"/>
      <c r="X767" s="282"/>
      <c r="Y767" s="282"/>
      <c r="Z767" s="282"/>
      <c r="AA767" s="283"/>
      <c r="AB767" s="284" t="n">
        <f aca="false">IFERROR(($J767*O767)*$L767, "")</f>
        <v>0</v>
      </c>
      <c r="AC767" s="284" t="n">
        <f aca="false">IFERROR(($J767*P767)*$L767, "")</f>
        <v>0</v>
      </c>
      <c r="AD767" s="284" t="n">
        <f aca="false">IFERROR(($J767*Q767)*$L767, "")</f>
        <v>0</v>
      </c>
      <c r="AE767" s="284" t="n">
        <f aca="false">IFERROR(($J767*R767)*$L767, "")</f>
        <v>0</v>
      </c>
      <c r="AF767" s="284" t="n">
        <f aca="false">IFERROR(($J767*S767)*$L767, "")</f>
        <v>0</v>
      </c>
      <c r="AG767" s="284" t="n">
        <f aca="false">IFERROR(($J767*T767)*$L767, "")</f>
        <v>0</v>
      </c>
      <c r="AH767" s="284" t="n">
        <f aca="false">IFERROR(($J767*U767)*$L767, "")</f>
        <v>0</v>
      </c>
      <c r="AI767" s="284" t="n">
        <f aca="false">IFERROR(($J767*V767)*$L767, "")</f>
        <v>0</v>
      </c>
      <c r="AJ767" s="284" t="n">
        <f aca="false">IFERROR(($J767*W767)*$L767, "")</f>
        <v>0</v>
      </c>
      <c r="AK767" s="284" t="n">
        <f aca="false">IFERROR(($J767*X767)*$L767, "")</f>
        <v>0</v>
      </c>
      <c r="AL767" s="284" t="n">
        <f aca="false">IFERROR(($J767*Y767)*$L767, "")</f>
        <v>0</v>
      </c>
      <c r="AM767" s="285" t="n">
        <f aca="false">IFERROR(($J767*Z767)*$L767, "")</f>
        <v>0</v>
      </c>
      <c r="AN767" s="286" t="n">
        <f aca="false">IFERROR(SUMIF($AB$4:$AM$4, "RDEC", AB767:AM767), "")</f>
        <v>0</v>
      </c>
      <c r="AO767" s="286" t="n">
        <f aca="false">IFERROR(SUMIF($AB$4:$AM$4, "SME", AB767:AM767), "")</f>
        <v>0</v>
      </c>
      <c r="AP767" s="286" t="n">
        <f aca="false">IFERROR(SUMIF($AB$4:$AM$4, "De Minimis", AB767:AM767), "")</f>
        <v>0</v>
      </c>
      <c r="AQ767" s="283"/>
      <c r="AR767" s="284" t="n">
        <f aca="false">IFERROR(($J767*O767)*$M767, "")</f>
        <v>0</v>
      </c>
      <c r="AS767" s="284" t="n">
        <f aca="false">IFERROR(($J767*P767)*$M767, "")</f>
        <v>0</v>
      </c>
      <c r="AT767" s="284" t="n">
        <f aca="false">IFERROR(($J767*Q767)*$M767, "")</f>
        <v>0</v>
      </c>
      <c r="AU767" s="284" t="n">
        <f aca="false">IFERROR(($J767*R767)*$M767, "")</f>
        <v>0</v>
      </c>
      <c r="AV767" s="284" t="n">
        <f aca="false">IFERROR(($J767*S767)*$M767, "")</f>
        <v>0</v>
      </c>
      <c r="AW767" s="284" t="n">
        <f aca="false">IFERROR(($J767*T767)*$M767, "")</f>
        <v>0</v>
      </c>
      <c r="AX767" s="284" t="n">
        <f aca="false">IFERROR(($J767*U767)*$M767, "")</f>
        <v>0</v>
      </c>
      <c r="AY767" s="284" t="n">
        <f aca="false">IFERROR(($J767*V767)*$M767, "")</f>
        <v>0</v>
      </c>
      <c r="AZ767" s="284" t="n">
        <f aca="false">IFERROR(($J767*W767)*$M767, "")</f>
        <v>0</v>
      </c>
      <c r="BA767" s="284" t="n">
        <f aca="false">IFERROR(($J767*X767)*$M767, "")</f>
        <v>0</v>
      </c>
      <c r="BB767" s="284" t="n">
        <f aca="false">IFERROR(($J767*Y767)*$M767, "")</f>
        <v>0</v>
      </c>
      <c r="BC767" s="285" t="n">
        <f aca="false">IFERROR(($J767*Z767)*$M767, "")</f>
        <v>0</v>
      </c>
      <c r="BD767" s="286" t="n">
        <f aca="false">IFERROR(SUMIF($AB$4:$AM$4, "RDEC", AR767:BC767), "")</f>
        <v>0</v>
      </c>
      <c r="BE767" s="286" t="n">
        <f aca="false">IFERROR(SUMIF($AB$4:$AM$4, "SME", AR767:BC767), "")</f>
        <v>0</v>
      </c>
      <c r="BF767" s="286" t="n">
        <f aca="false">IFERROR(SUMIF($AB$4:$AM$4, "De Minimis", AR767:BC767), "")</f>
        <v>0</v>
      </c>
      <c r="BG767" s="287"/>
      <c r="BH767" s="288" t="str">
        <f aca="false">IF((SUM(O767:Z767)&gt;1),"ERROR","")</f>
        <v/>
      </c>
      <c r="BI767" s="287"/>
      <c r="BJ767" s="18" t="str">
        <f aca="false">IF(C753&gt;0, C753, "")</f>
        <v/>
      </c>
      <c r="BL767" s="200"/>
      <c r="BM767" s="200"/>
      <c r="BN767" s="200"/>
    </row>
    <row r="768" customFormat="false" ht="15" hidden="false" customHeight="true" outlineLevel="0" collapsed="false">
      <c r="B768" s="275"/>
      <c r="D768" s="276" t="n">
        <f aca="false">D752</f>
        <v>45536</v>
      </c>
      <c r="E768" s="277" t="n">
        <v>0</v>
      </c>
      <c r="F768" s="277" t="n">
        <v>0</v>
      </c>
      <c r="G768" s="277" t="n">
        <v>0</v>
      </c>
      <c r="H768" s="277" t="n">
        <v>0</v>
      </c>
      <c r="I768" s="277" t="n">
        <v>0</v>
      </c>
      <c r="J768" s="278" t="n">
        <f aca="false">E768+H768+I768</f>
        <v>0</v>
      </c>
      <c r="K768" s="204"/>
      <c r="L768" s="279" t="n">
        <v>1</v>
      </c>
      <c r="M768" s="280" t="n">
        <f aca="false">1-L768</f>
        <v>0</v>
      </c>
      <c r="N768" s="281"/>
      <c r="O768" s="282"/>
      <c r="P768" s="282"/>
      <c r="Q768" s="282"/>
      <c r="R768" s="282"/>
      <c r="S768" s="282"/>
      <c r="T768" s="282"/>
      <c r="U768" s="282"/>
      <c r="V768" s="282"/>
      <c r="W768" s="282"/>
      <c r="X768" s="282"/>
      <c r="Y768" s="282"/>
      <c r="Z768" s="282"/>
      <c r="AA768" s="283"/>
      <c r="AB768" s="284" t="n">
        <f aca="false">IFERROR(($J768*O768)*$L768, "")</f>
        <v>0</v>
      </c>
      <c r="AC768" s="284" t="n">
        <f aca="false">IFERROR(($J768*P768)*$L768, "")</f>
        <v>0</v>
      </c>
      <c r="AD768" s="284" t="n">
        <f aca="false">IFERROR(($J768*Q768)*$L768, "")</f>
        <v>0</v>
      </c>
      <c r="AE768" s="284" t="n">
        <f aca="false">IFERROR(($J768*R768)*$L768, "")</f>
        <v>0</v>
      </c>
      <c r="AF768" s="284" t="n">
        <f aca="false">IFERROR(($J768*S768)*$L768, "")</f>
        <v>0</v>
      </c>
      <c r="AG768" s="284" t="n">
        <f aca="false">IFERROR(($J768*T768)*$L768, "")</f>
        <v>0</v>
      </c>
      <c r="AH768" s="284" t="n">
        <f aca="false">IFERROR(($J768*U768)*$L768, "")</f>
        <v>0</v>
      </c>
      <c r="AI768" s="284" t="n">
        <f aca="false">IFERROR(($J768*V768)*$L768, "")</f>
        <v>0</v>
      </c>
      <c r="AJ768" s="284" t="n">
        <f aca="false">IFERROR(($J768*W768)*$L768, "")</f>
        <v>0</v>
      </c>
      <c r="AK768" s="284" t="n">
        <f aca="false">IFERROR(($J768*X768)*$L768, "")</f>
        <v>0</v>
      </c>
      <c r="AL768" s="284" t="n">
        <f aca="false">IFERROR(($J768*Y768)*$L768, "")</f>
        <v>0</v>
      </c>
      <c r="AM768" s="285" t="n">
        <f aca="false">IFERROR(($J768*Z768)*$L768, "")</f>
        <v>0</v>
      </c>
      <c r="AN768" s="286" t="n">
        <f aca="false">IFERROR(SUMIF($AB$4:$AM$4, "RDEC", AB768:AM768), "")</f>
        <v>0</v>
      </c>
      <c r="AO768" s="286" t="n">
        <f aca="false">IFERROR(SUMIF($AB$4:$AM$4, "SME", AB768:AM768), "")</f>
        <v>0</v>
      </c>
      <c r="AP768" s="286" t="n">
        <f aca="false">IFERROR(SUMIF($AB$4:$AM$4, "De Minimis", AB768:AM768), "")</f>
        <v>0</v>
      </c>
      <c r="AQ768" s="283"/>
      <c r="AR768" s="284" t="n">
        <f aca="false">IFERROR(($J768*O768)*$M768, "")</f>
        <v>0</v>
      </c>
      <c r="AS768" s="284" t="n">
        <f aca="false">IFERROR(($J768*P768)*$M768, "")</f>
        <v>0</v>
      </c>
      <c r="AT768" s="284" t="n">
        <f aca="false">IFERROR(($J768*Q768)*$M768, "")</f>
        <v>0</v>
      </c>
      <c r="AU768" s="284" t="n">
        <f aca="false">IFERROR(($J768*R768)*$M768, "")</f>
        <v>0</v>
      </c>
      <c r="AV768" s="284" t="n">
        <f aca="false">IFERROR(($J768*S768)*$M768, "")</f>
        <v>0</v>
      </c>
      <c r="AW768" s="284" t="n">
        <f aca="false">IFERROR(($J768*T768)*$M768, "")</f>
        <v>0</v>
      </c>
      <c r="AX768" s="284" t="n">
        <f aca="false">IFERROR(($J768*U768)*$M768, "")</f>
        <v>0</v>
      </c>
      <c r="AY768" s="284" t="n">
        <f aca="false">IFERROR(($J768*V768)*$M768, "")</f>
        <v>0</v>
      </c>
      <c r="AZ768" s="284" t="n">
        <f aca="false">IFERROR(($J768*W768)*$M768, "")</f>
        <v>0</v>
      </c>
      <c r="BA768" s="284" t="n">
        <f aca="false">IFERROR(($J768*X768)*$M768, "")</f>
        <v>0</v>
      </c>
      <c r="BB768" s="284" t="n">
        <f aca="false">IFERROR(($J768*Y768)*$M768, "")</f>
        <v>0</v>
      </c>
      <c r="BC768" s="285" t="n">
        <f aca="false">IFERROR(($J768*Z768)*$M768, "")</f>
        <v>0</v>
      </c>
      <c r="BD768" s="286" t="n">
        <f aca="false">IFERROR(SUMIF($AB$4:$AM$4, "RDEC", AR768:BC768), "")</f>
        <v>0</v>
      </c>
      <c r="BE768" s="286" t="n">
        <f aca="false">IFERROR(SUMIF($AB$4:$AM$4, "SME", AR768:BC768), "")</f>
        <v>0</v>
      </c>
      <c r="BF768" s="286" t="n">
        <f aca="false">IFERROR(SUMIF($AB$4:$AM$4, "De Minimis", AR768:BC768), "")</f>
        <v>0</v>
      </c>
      <c r="BG768" s="287"/>
      <c r="BH768" s="288" t="str">
        <f aca="false">IF((SUM(O768:Z768)&gt;1),"ERROR","")</f>
        <v/>
      </c>
      <c r="BI768" s="287"/>
      <c r="BJ768" s="18" t="str">
        <f aca="false">IF(C754&gt;0, C754, "")</f>
        <v/>
      </c>
      <c r="BL768" s="200"/>
      <c r="BM768" s="200"/>
      <c r="BN768" s="200"/>
    </row>
    <row r="769" customFormat="false" ht="15" hidden="false" customHeight="true" outlineLevel="0" collapsed="false">
      <c r="B769" s="275"/>
      <c r="D769" s="276" t="n">
        <f aca="false">D753</f>
        <v>45566</v>
      </c>
      <c r="E769" s="277" t="n">
        <v>0</v>
      </c>
      <c r="F769" s="277" t="n">
        <v>0</v>
      </c>
      <c r="G769" s="277" t="n">
        <v>0</v>
      </c>
      <c r="H769" s="277" t="n">
        <v>0</v>
      </c>
      <c r="I769" s="277" t="n">
        <v>0</v>
      </c>
      <c r="J769" s="278" t="n">
        <f aca="false">E769+H769+I769</f>
        <v>0</v>
      </c>
      <c r="K769" s="204"/>
      <c r="L769" s="279" t="n">
        <v>1</v>
      </c>
      <c r="M769" s="280" t="n">
        <f aca="false">1-L769</f>
        <v>0</v>
      </c>
      <c r="N769" s="281"/>
      <c r="O769" s="282"/>
      <c r="P769" s="282"/>
      <c r="Q769" s="282"/>
      <c r="R769" s="282"/>
      <c r="S769" s="282"/>
      <c r="T769" s="282"/>
      <c r="U769" s="282"/>
      <c r="V769" s="282"/>
      <c r="W769" s="282"/>
      <c r="X769" s="282"/>
      <c r="Y769" s="282"/>
      <c r="Z769" s="282"/>
      <c r="AA769" s="283"/>
      <c r="AB769" s="284" t="n">
        <f aca="false">IFERROR(($J769*O769)*$L769, "")</f>
        <v>0</v>
      </c>
      <c r="AC769" s="284" t="n">
        <f aca="false">IFERROR(($J769*P769)*$L769, "")</f>
        <v>0</v>
      </c>
      <c r="AD769" s="284" t="n">
        <f aca="false">IFERROR(($J769*Q769)*$L769, "")</f>
        <v>0</v>
      </c>
      <c r="AE769" s="284" t="n">
        <f aca="false">IFERROR(($J769*R769)*$L769, "")</f>
        <v>0</v>
      </c>
      <c r="AF769" s="284" t="n">
        <f aca="false">IFERROR(($J769*S769)*$L769, "")</f>
        <v>0</v>
      </c>
      <c r="AG769" s="284" t="n">
        <f aca="false">IFERROR(($J769*T769)*$L769, "")</f>
        <v>0</v>
      </c>
      <c r="AH769" s="284" t="n">
        <f aca="false">IFERROR(($J769*U769)*$L769, "")</f>
        <v>0</v>
      </c>
      <c r="AI769" s="284" t="n">
        <f aca="false">IFERROR(($J769*V769)*$L769, "")</f>
        <v>0</v>
      </c>
      <c r="AJ769" s="284" t="n">
        <f aca="false">IFERROR(($J769*W769)*$L769, "")</f>
        <v>0</v>
      </c>
      <c r="AK769" s="284" t="n">
        <f aca="false">IFERROR(($J769*X769)*$L769, "")</f>
        <v>0</v>
      </c>
      <c r="AL769" s="284" t="n">
        <f aca="false">IFERROR(($J769*Y769)*$L769, "")</f>
        <v>0</v>
      </c>
      <c r="AM769" s="285" t="n">
        <f aca="false">IFERROR(($J769*Z769)*$L769, "")</f>
        <v>0</v>
      </c>
      <c r="AN769" s="286" t="n">
        <f aca="false">IFERROR(SUMIF($AB$4:$AM$4, "RDEC", AB769:AM769), "")</f>
        <v>0</v>
      </c>
      <c r="AO769" s="286" t="n">
        <f aca="false">IFERROR(SUMIF($AB$4:$AM$4, "SME", AB769:AM769), "")</f>
        <v>0</v>
      </c>
      <c r="AP769" s="286" t="n">
        <f aca="false">IFERROR(SUMIF($AB$4:$AM$4, "De Minimis", AB769:AM769), "")</f>
        <v>0</v>
      </c>
      <c r="AQ769" s="283"/>
      <c r="AR769" s="284" t="n">
        <f aca="false">IFERROR(($J769*O769)*$M769, "")</f>
        <v>0</v>
      </c>
      <c r="AS769" s="284" t="n">
        <f aca="false">IFERROR(($J769*P769)*$M769, "")</f>
        <v>0</v>
      </c>
      <c r="AT769" s="284" t="n">
        <f aca="false">IFERROR(($J769*Q769)*$M769, "")</f>
        <v>0</v>
      </c>
      <c r="AU769" s="284" t="n">
        <f aca="false">IFERROR(($J769*R769)*$M769, "")</f>
        <v>0</v>
      </c>
      <c r="AV769" s="284" t="n">
        <f aca="false">IFERROR(($J769*S769)*$M769, "")</f>
        <v>0</v>
      </c>
      <c r="AW769" s="284" t="n">
        <f aca="false">IFERROR(($J769*T769)*$M769, "")</f>
        <v>0</v>
      </c>
      <c r="AX769" s="284" t="n">
        <f aca="false">IFERROR(($J769*U769)*$M769, "")</f>
        <v>0</v>
      </c>
      <c r="AY769" s="284" t="n">
        <f aca="false">IFERROR(($J769*V769)*$M769, "")</f>
        <v>0</v>
      </c>
      <c r="AZ769" s="284" t="n">
        <f aca="false">IFERROR(($J769*W769)*$M769, "")</f>
        <v>0</v>
      </c>
      <c r="BA769" s="284" t="n">
        <f aca="false">IFERROR(($J769*X769)*$M769, "")</f>
        <v>0</v>
      </c>
      <c r="BB769" s="284" t="n">
        <f aca="false">IFERROR(($J769*Y769)*$M769, "")</f>
        <v>0</v>
      </c>
      <c r="BC769" s="285" t="n">
        <f aca="false">IFERROR(($J769*Z769)*$M769, "")</f>
        <v>0</v>
      </c>
      <c r="BD769" s="286" t="n">
        <f aca="false">IFERROR(SUMIF($AB$4:$AM$4, "RDEC", AR769:BC769), "")</f>
        <v>0</v>
      </c>
      <c r="BE769" s="286" t="n">
        <f aca="false">IFERROR(SUMIF($AB$4:$AM$4, "SME", AR769:BC769), "")</f>
        <v>0</v>
      </c>
      <c r="BF769" s="286" t="n">
        <f aca="false">IFERROR(SUMIF($AB$4:$AM$4, "De Minimis", AR769:BC769), "")</f>
        <v>0</v>
      </c>
      <c r="BG769" s="287"/>
      <c r="BH769" s="288" t="str">
        <f aca="false">IF((SUM(O769:Z769)&gt;1),"ERROR","")</f>
        <v/>
      </c>
      <c r="BI769" s="287"/>
      <c r="BJ769" s="18" t="str">
        <f aca="false">IF(C755&gt;0, C755, "")</f>
        <v/>
      </c>
      <c r="BL769" s="200"/>
      <c r="BM769" s="200"/>
      <c r="BN769" s="200"/>
    </row>
    <row r="770" customFormat="false" ht="15" hidden="false" customHeight="true" outlineLevel="0" collapsed="false">
      <c r="B770" s="275"/>
      <c r="D770" s="276" t="n">
        <f aca="false">D754</f>
        <v>45597</v>
      </c>
      <c r="E770" s="277" t="n">
        <v>0</v>
      </c>
      <c r="F770" s="277" t="n">
        <v>0</v>
      </c>
      <c r="G770" s="277" t="n">
        <v>0</v>
      </c>
      <c r="H770" s="277" t="n">
        <v>0</v>
      </c>
      <c r="I770" s="277" t="n">
        <v>0</v>
      </c>
      <c r="J770" s="278" t="n">
        <f aca="false">E770+H770+I770</f>
        <v>0</v>
      </c>
      <c r="K770" s="204"/>
      <c r="L770" s="279" t="n">
        <v>1</v>
      </c>
      <c r="M770" s="280" t="n">
        <f aca="false">1-L770</f>
        <v>0</v>
      </c>
      <c r="N770" s="281"/>
      <c r="O770" s="282"/>
      <c r="P770" s="282"/>
      <c r="Q770" s="282"/>
      <c r="R770" s="282"/>
      <c r="S770" s="282"/>
      <c r="T770" s="282"/>
      <c r="U770" s="282"/>
      <c r="V770" s="282"/>
      <c r="W770" s="282"/>
      <c r="X770" s="282"/>
      <c r="Y770" s="282"/>
      <c r="Z770" s="282"/>
      <c r="AA770" s="283"/>
      <c r="AB770" s="284" t="n">
        <f aca="false">IFERROR(($J770*O770)*$L770, "")</f>
        <v>0</v>
      </c>
      <c r="AC770" s="284" t="n">
        <f aca="false">IFERROR(($J770*P770)*$L770, "")</f>
        <v>0</v>
      </c>
      <c r="AD770" s="284" t="n">
        <f aca="false">IFERROR(($J770*Q770)*$L770, "")</f>
        <v>0</v>
      </c>
      <c r="AE770" s="284" t="n">
        <f aca="false">IFERROR(($J770*R770)*$L770, "")</f>
        <v>0</v>
      </c>
      <c r="AF770" s="284" t="n">
        <f aca="false">IFERROR(($J770*S770)*$L770, "")</f>
        <v>0</v>
      </c>
      <c r="AG770" s="284" t="n">
        <f aca="false">IFERROR(($J770*T770)*$L770, "")</f>
        <v>0</v>
      </c>
      <c r="AH770" s="284" t="n">
        <f aca="false">IFERROR(($J770*U770)*$L770, "")</f>
        <v>0</v>
      </c>
      <c r="AI770" s="284" t="n">
        <f aca="false">IFERROR(($J770*V770)*$L770, "")</f>
        <v>0</v>
      </c>
      <c r="AJ770" s="284" t="n">
        <f aca="false">IFERROR(($J770*W770)*$L770, "")</f>
        <v>0</v>
      </c>
      <c r="AK770" s="284" t="n">
        <f aca="false">IFERROR(($J770*X770)*$L770, "")</f>
        <v>0</v>
      </c>
      <c r="AL770" s="284" t="n">
        <f aca="false">IFERROR(($J770*Y770)*$L770, "")</f>
        <v>0</v>
      </c>
      <c r="AM770" s="285" t="n">
        <f aca="false">IFERROR(($J770*Z770)*$L770, "")</f>
        <v>0</v>
      </c>
      <c r="AN770" s="286" t="n">
        <f aca="false">IFERROR(SUMIF($AB$4:$AM$4, "RDEC", AB770:AM770), "")</f>
        <v>0</v>
      </c>
      <c r="AO770" s="286" t="n">
        <f aca="false">IFERROR(SUMIF($AB$4:$AM$4, "SME", AB770:AM770), "")</f>
        <v>0</v>
      </c>
      <c r="AP770" s="286" t="n">
        <f aca="false">IFERROR(SUMIF($AB$4:$AM$4, "De Minimis", AB770:AM770), "")</f>
        <v>0</v>
      </c>
      <c r="AQ770" s="283"/>
      <c r="AR770" s="284" t="n">
        <f aca="false">IFERROR(($J770*O770)*$M770, "")</f>
        <v>0</v>
      </c>
      <c r="AS770" s="284" t="n">
        <f aca="false">IFERROR(($J770*P770)*$M770, "")</f>
        <v>0</v>
      </c>
      <c r="AT770" s="284" t="n">
        <f aca="false">IFERROR(($J770*Q770)*$M770, "")</f>
        <v>0</v>
      </c>
      <c r="AU770" s="284" t="n">
        <f aca="false">IFERROR(($J770*R770)*$M770, "")</f>
        <v>0</v>
      </c>
      <c r="AV770" s="284" t="n">
        <f aca="false">IFERROR(($J770*S770)*$M770, "")</f>
        <v>0</v>
      </c>
      <c r="AW770" s="284" t="n">
        <f aca="false">IFERROR(($J770*T770)*$M770, "")</f>
        <v>0</v>
      </c>
      <c r="AX770" s="284" t="n">
        <f aca="false">IFERROR(($J770*U770)*$M770, "")</f>
        <v>0</v>
      </c>
      <c r="AY770" s="284" t="n">
        <f aca="false">IFERROR(($J770*V770)*$M770, "")</f>
        <v>0</v>
      </c>
      <c r="AZ770" s="284" t="n">
        <f aca="false">IFERROR(($J770*W770)*$M770, "")</f>
        <v>0</v>
      </c>
      <c r="BA770" s="284" t="n">
        <f aca="false">IFERROR(($J770*X770)*$M770, "")</f>
        <v>0</v>
      </c>
      <c r="BB770" s="284" t="n">
        <f aca="false">IFERROR(($J770*Y770)*$M770, "")</f>
        <v>0</v>
      </c>
      <c r="BC770" s="285" t="n">
        <f aca="false">IFERROR(($J770*Z770)*$M770, "")</f>
        <v>0</v>
      </c>
      <c r="BD770" s="286" t="n">
        <f aca="false">IFERROR(SUMIF($AB$4:$AM$4, "RDEC", AR770:BC770), "")</f>
        <v>0</v>
      </c>
      <c r="BE770" s="286" t="n">
        <f aca="false">IFERROR(SUMIF($AB$4:$AM$4, "SME", AR770:BC770), "")</f>
        <v>0</v>
      </c>
      <c r="BF770" s="286" t="n">
        <f aca="false">IFERROR(SUMIF($AB$4:$AM$4, "De Minimis", AR770:BC770), "")</f>
        <v>0</v>
      </c>
      <c r="BG770" s="287"/>
      <c r="BH770" s="288" t="str">
        <f aca="false">IF((SUM(O770:Z770)&gt;1),"ERROR","")</f>
        <v/>
      </c>
      <c r="BI770" s="287"/>
      <c r="BJ770" s="18" t="str">
        <f aca="false">IF(C756&gt;0, C756, "")</f>
        <v/>
      </c>
      <c r="BL770" s="200"/>
      <c r="BM770" s="200"/>
      <c r="BN770" s="200"/>
    </row>
    <row r="771" customFormat="false" ht="15" hidden="false" customHeight="true" outlineLevel="0" collapsed="false">
      <c r="B771" s="275"/>
      <c r="D771" s="276" t="n">
        <f aca="false">D755</f>
        <v>45627</v>
      </c>
      <c r="E771" s="277" t="n">
        <v>0</v>
      </c>
      <c r="F771" s="277" t="n">
        <v>0</v>
      </c>
      <c r="G771" s="277" t="n">
        <v>0</v>
      </c>
      <c r="H771" s="277" t="n">
        <v>0</v>
      </c>
      <c r="I771" s="277" t="n">
        <v>0</v>
      </c>
      <c r="J771" s="278" t="n">
        <f aca="false">E771+H771+I771</f>
        <v>0</v>
      </c>
      <c r="K771" s="204"/>
      <c r="L771" s="289" t="n">
        <v>1</v>
      </c>
      <c r="M771" s="290" t="n">
        <f aca="false">1-L771</f>
        <v>0</v>
      </c>
      <c r="N771" s="281"/>
      <c r="O771" s="291"/>
      <c r="P771" s="291"/>
      <c r="Q771" s="291"/>
      <c r="R771" s="291"/>
      <c r="S771" s="291"/>
      <c r="T771" s="291"/>
      <c r="U771" s="291"/>
      <c r="V771" s="291"/>
      <c r="W771" s="291"/>
      <c r="X771" s="291"/>
      <c r="Y771" s="291"/>
      <c r="Z771" s="291"/>
      <c r="AA771" s="283"/>
      <c r="AB771" s="292" t="n">
        <f aca="false">IFERROR(($J771*O771)*$L771, "")</f>
        <v>0</v>
      </c>
      <c r="AC771" s="292" t="n">
        <f aca="false">IFERROR(($J771*P771)*$L771, "")</f>
        <v>0</v>
      </c>
      <c r="AD771" s="292" t="n">
        <f aca="false">IFERROR(($J771*Q771)*$L771, "")</f>
        <v>0</v>
      </c>
      <c r="AE771" s="292" t="n">
        <f aca="false">IFERROR(($J771*R771)*$L771, "")</f>
        <v>0</v>
      </c>
      <c r="AF771" s="292" t="n">
        <f aca="false">IFERROR(($J771*S771)*$L771, "")</f>
        <v>0</v>
      </c>
      <c r="AG771" s="292" t="n">
        <f aca="false">IFERROR(($J771*T771)*$L771, "")</f>
        <v>0</v>
      </c>
      <c r="AH771" s="292" t="n">
        <f aca="false">IFERROR(($J771*U771)*$L771, "")</f>
        <v>0</v>
      </c>
      <c r="AI771" s="292" t="n">
        <f aca="false">IFERROR(($J771*V771)*$L771, "")</f>
        <v>0</v>
      </c>
      <c r="AJ771" s="292" t="n">
        <f aca="false">IFERROR(($J771*W771)*$L771, "")</f>
        <v>0</v>
      </c>
      <c r="AK771" s="292" t="n">
        <f aca="false">IFERROR(($J771*X771)*$L771, "")</f>
        <v>0</v>
      </c>
      <c r="AL771" s="292" t="n">
        <f aca="false">IFERROR(($J771*Y771)*$L771, "")</f>
        <v>0</v>
      </c>
      <c r="AM771" s="293" t="n">
        <f aca="false">IFERROR(($J771*Z771)*$L771, "")</f>
        <v>0</v>
      </c>
      <c r="AN771" s="294" t="n">
        <f aca="false">IFERROR(SUMIF($AB$4:$AM$4, "RDEC", AB771:AM771), "")</f>
        <v>0</v>
      </c>
      <c r="AO771" s="294" t="n">
        <f aca="false">IFERROR(SUMIF($AB$4:$AM$4, "SME", AB771:AM771), "")</f>
        <v>0</v>
      </c>
      <c r="AP771" s="294" t="n">
        <f aca="false">IFERROR(SUMIF($AB$4:$AM$4, "De Minimis", AB771:AM771), "")</f>
        <v>0</v>
      </c>
      <c r="AQ771" s="283"/>
      <c r="AR771" s="292" t="n">
        <f aca="false">IFERROR(($J771*O771)*$M771, "")</f>
        <v>0</v>
      </c>
      <c r="AS771" s="292" t="n">
        <f aca="false">IFERROR(($J771*P771)*$M771, "")</f>
        <v>0</v>
      </c>
      <c r="AT771" s="292" t="n">
        <f aca="false">IFERROR(($J771*Q771)*$M771, "")</f>
        <v>0</v>
      </c>
      <c r="AU771" s="292" t="n">
        <f aca="false">IFERROR(($J771*R771)*$M771, "")</f>
        <v>0</v>
      </c>
      <c r="AV771" s="292" t="n">
        <f aca="false">IFERROR(($J771*S771)*$M771, "")</f>
        <v>0</v>
      </c>
      <c r="AW771" s="292" t="n">
        <f aca="false">IFERROR(($J771*T771)*$M771, "")</f>
        <v>0</v>
      </c>
      <c r="AX771" s="292" t="n">
        <f aca="false">IFERROR(($J771*U771)*$M771, "")</f>
        <v>0</v>
      </c>
      <c r="AY771" s="292" t="n">
        <f aca="false">IFERROR(($J771*V771)*$M771, "")</f>
        <v>0</v>
      </c>
      <c r="AZ771" s="292" t="n">
        <f aca="false">IFERROR(($J771*W771)*$M771, "")</f>
        <v>0</v>
      </c>
      <c r="BA771" s="292" t="n">
        <f aca="false">IFERROR(($J771*X771)*$M771, "")</f>
        <v>0</v>
      </c>
      <c r="BB771" s="292" t="n">
        <f aca="false">IFERROR(($J771*Y771)*$M771, "")</f>
        <v>0</v>
      </c>
      <c r="BC771" s="293" t="n">
        <f aca="false">IFERROR(($J771*Z771)*$M771, "")</f>
        <v>0</v>
      </c>
      <c r="BD771" s="294" t="n">
        <f aca="false">IFERROR(SUMIF($AB$4:$AM$4, "RDEC", AR771:BC771), "")</f>
        <v>0</v>
      </c>
      <c r="BE771" s="294" t="n">
        <f aca="false">IFERROR(SUMIF($AB$4:$AM$4, "SME", AR771:BC771), "")</f>
        <v>0</v>
      </c>
      <c r="BF771" s="294" t="n">
        <f aca="false">IFERROR(SUMIF($AB$4:$AM$4, "De Minimis", AR771:BC771), "")</f>
        <v>0</v>
      </c>
      <c r="BG771" s="287"/>
      <c r="BH771" s="295" t="str">
        <f aca="false">IF((SUM(O771:Z771)&gt;1),"ERROR","")</f>
        <v/>
      </c>
      <c r="BI771" s="287"/>
      <c r="BJ771" s="18" t="str">
        <f aca="false">IF(C757&gt;0, C757, "")</f>
        <v/>
      </c>
      <c r="BL771" s="200"/>
      <c r="BM771" s="200"/>
      <c r="BN771" s="200"/>
    </row>
    <row r="772" customFormat="false" ht="15" hidden="false" customHeight="true" outlineLevel="0" collapsed="false">
      <c r="B772" s="296"/>
      <c r="D772" s="297" t="s">
        <v>82</v>
      </c>
      <c r="E772" s="298" t="n">
        <f aca="false">SUM(E760:E771)</f>
        <v>0</v>
      </c>
      <c r="F772" s="298" t="n">
        <f aca="false">SUM(F760:F771)</f>
        <v>0</v>
      </c>
      <c r="G772" s="298" t="n">
        <f aca="false">SUM(G760:G771)</f>
        <v>0</v>
      </c>
      <c r="H772" s="298" t="n">
        <f aca="false">SUM(H760:H771)</f>
        <v>0</v>
      </c>
      <c r="I772" s="298" t="n">
        <f aca="false">SUM(I760:I771)</f>
        <v>0</v>
      </c>
      <c r="J772" s="299" t="n">
        <f aca="false">SUM(J760:J771)</f>
        <v>0</v>
      </c>
      <c r="K772" s="300"/>
      <c r="L772" s="301" t="n">
        <f aca="false">AVERAGE(L760:L771)</f>
        <v>1</v>
      </c>
      <c r="M772" s="301" t="n">
        <f aca="false">AVERAGE(M760:M771)</f>
        <v>0</v>
      </c>
      <c r="N772" s="302"/>
      <c r="O772" s="290" t="n">
        <f aca="false">IF(SUM(O760:O771)&gt;0,((AB772+AR772)/J772),0)</f>
        <v>0</v>
      </c>
      <c r="P772" s="290" t="n">
        <f aca="false">IF(SUM(P760:P771)&gt;0,((AC772+AS772)/J772),0)</f>
        <v>0</v>
      </c>
      <c r="Q772" s="290" t="n">
        <f aca="false">IF(SUM(Q760:Q771)&gt;0,((AD772+AT772)/J772),0)</f>
        <v>0</v>
      </c>
      <c r="R772" s="290" t="n">
        <f aca="false">IF(SUM(R760:R771)&gt;0,((AE772+AU772)/J772),0)</f>
        <v>0</v>
      </c>
      <c r="S772" s="290" t="n">
        <f aca="false">IF(SUM(S760:S771)&gt;0,((AF772+AV772)/J772),0)</f>
        <v>0</v>
      </c>
      <c r="T772" s="290" t="n">
        <f aca="false">IF(SUM(T760:T771)&gt;0,((AG772+AW772)/J772),0)</f>
        <v>0</v>
      </c>
      <c r="U772" s="290" t="n">
        <f aca="false">IF(SUM(U760:U771)&gt;0,((AH772+AX772)/J772),0)</f>
        <v>0</v>
      </c>
      <c r="V772" s="290" t="n">
        <f aca="false">IF(SUM(V760:V771)&gt;0,((AI772+AY772)/J772),0)</f>
        <v>0</v>
      </c>
      <c r="W772" s="290" t="n">
        <f aca="false">IF(SUM(W760:W771)&gt;0,((AJ772+AZ772)/J772),0)</f>
        <v>0</v>
      </c>
      <c r="X772" s="290" t="n">
        <f aca="false">IF(SUM(X760:X771)&gt;0,((AK772+BA772)/J772),0)</f>
        <v>0</v>
      </c>
      <c r="Y772" s="290" t="n">
        <f aca="false">IF(SUM(Y760:Y771)&gt;0,((AL772+BB772)/J772),0)</f>
        <v>0</v>
      </c>
      <c r="Z772" s="290" t="n">
        <f aca="false">IF(SUM(Z760:Z771)&gt;0,((AM772+BC772)/J772),0)</f>
        <v>0</v>
      </c>
      <c r="AA772" s="303"/>
      <c r="AB772" s="292" t="n">
        <f aca="false">SUM(AB760:AB771)</f>
        <v>0</v>
      </c>
      <c r="AC772" s="304" t="n">
        <f aca="false">SUM(AC760:AC771)</f>
        <v>0</v>
      </c>
      <c r="AD772" s="304" t="n">
        <f aca="false">SUM(AD760:AD771)</f>
        <v>0</v>
      </c>
      <c r="AE772" s="304" t="n">
        <f aca="false">SUM(AE760:AE771)</f>
        <v>0</v>
      </c>
      <c r="AF772" s="304" t="n">
        <f aca="false">SUM(AF760:AF771)</f>
        <v>0</v>
      </c>
      <c r="AG772" s="304" t="n">
        <f aca="false">SUM(AG760:AG771)</f>
        <v>0</v>
      </c>
      <c r="AH772" s="304" t="n">
        <f aca="false">SUM(AH760:AH771)</f>
        <v>0</v>
      </c>
      <c r="AI772" s="304" t="n">
        <f aca="false">SUM(AI760:AI771)</f>
        <v>0</v>
      </c>
      <c r="AJ772" s="304" t="n">
        <f aca="false">SUM(AJ760:AJ771)</f>
        <v>0</v>
      </c>
      <c r="AK772" s="304" t="n">
        <f aca="false">SUM(AK760:AK771)</f>
        <v>0</v>
      </c>
      <c r="AL772" s="304" t="n">
        <f aca="false">SUM(AL760:AL771)</f>
        <v>0</v>
      </c>
      <c r="AM772" s="304" t="n">
        <f aca="false">SUM(AM760:AM771)</f>
        <v>0</v>
      </c>
      <c r="AN772" s="305" t="n">
        <f aca="false">SUM(AN760:AN771)</f>
        <v>0</v>
      </c>
      <c r="AO772" s="305" t="n">
        <f aca="false">SUM(AO760:AO771)</f>
        <v>0</v>
      </c>
      <c r="AP772" s="305" t="n">
        <f aca="false">SUM(AP760:AP771)</f>
        <v>0</v>
      </c>
      <c r="AQ772" s="303"/>
      <c r="AR772" s="292" t="n">
        <f aca="false">SUM(AR760:AR771)</f>
        <v>0</v>
      </c>
      <c r="AS772" s="304" t="n">
        <f aca="false">SUM(AS760:AS771)</f>
        <v>0</v>
      </c>
      <c r="AT772" s="304" t="n">
        <f aca="false">SUM(AT760:AT771)</f>
        <v>0</v>
      </c>
      <c r="AU772" s="304" t="n">
        <f aca="false">SUM(AU760:AU771)</f>
        <v>0</v>
      </c>
      <c r="AV772" s="304" t="n">
        <f aca="false">SUM(AV760:AV771)</f>
        <v>0</v>
      </c>
      <c r="AW772" s="304" t="n">
        <f aca="false">SUM(AW760:AW771)</f>
        <v>0</v>
      </c>
      <c r="AX772" s="304" t="n">
        <f aca="false">SUM(AX760:AX771)</f>
        <v>0</v>
      </c>
      <c r="AY772" s="304" t="n">
        <f aca="false">SUM(AY760:AY771)</f>
        <v>0</v>
      </c>
      <c r="AZ772" s="304" t="n">
        <f aca="false">SUM(AZ760:AZ771)</f>
        <v>0</v>
      </c>
      <c r="BA772" s="304" t="n">
        <f aca="false">SUM(BA760:BA771)</f>
        <v>0</v>
      </c>
      <c r="BB772" s="304" t="n">
        <f aca="false">SUM(BB760:BB771)</f>
        <v>0</v>
      </c>
      <c r="BC772" s="304" t="n">
        <f aca="false">SUM(BC760:BC771)</f>
        <v>0</v>
      </c>
      <c r="BD772" s="305" t="n">
        <f aca="false">SUM(BD760:BD771)</f>
        <v>0</v>
      </c>
      <c r="BE772" s="305" t="n">
        <f aca="false">SUM(BE760:BE771)</f>
        <v>0</v>
      </c>
      <c r="BF772" s="305" t="n">
        <f aca="false">SUM(BF760:BF771)</f>
        <v>0</v>
      </c>
      <c r="BG772" s="303"/>
      <c r="BH772" s="306"/>
      <c r="BI772" s="303"/>
      <c r="BJ772" s="307" t="str">
        <f aca="false">IF(C758&gt;0, C758, "")</f>
        <v>TBA</v>
      </c>
      <c r="BK772" s="18" t="s">
        <v>234</v>
      </c>
      <c r="BL772" s="200" t="n">
        <f aca="false">IF($BK772="Y",J772,0)</f>
        <v>0</v>
      </c>
      <c r="BM772" s="200" t="n">
        <f aca="false">IF(BK772="Y", AN772,0)</f>
        <v>0</v>
      </c>
      <c r="BN772" s="200" t="n">
        <f aca="false">IF((BK772="Y"),AO772,0)</f>
        <v>0</v>
      </c>
    </row>
    <row r="773" customFormat="false" ht="15" hidden="false" customHeight="true" outlineLevel="0" collapsed="false">
      <c r="B773" s="296"/>
      <c r="D773" s="297"/>
      <c r="E773" s="277"/>
      <c r="F773" s="277"/>
      <c r="G773" s="277"/>
      <c r="H773" s="277"/>
      <c r="I773" s="277"/>
      <c r="J773" s="300"/>
      <c r="K773" s="300"/>
      <c r="L773" s="302"/>
      <c r="M773" s="302"/>
      <c r="N773" s="302"/>
      <c r="O773" s="308"/>
      <c r="P773" s="308"/>
      <c r="Q773" s="308"/>
      <c r="R773" s="308"/>
      <c r="S773" s="308"/>
      <c r="T773" s="308"/>
      <c r="U773" s="308"/>
      <c r="V773" s="308"/>
      <c r="W773" s="308"/>
      <c r="X773" s="308"/>
      <c r="Y773" s="308"/>
      <c r="Z773" s="308"/>
      <c r="AA773" s="303"/>
      <c r="AB773" s="303"/>
      <c r="AC773" s="303"/>
      <c r="AD773" s="303"/>
      <c r="AE773" s="303"/>
      <c r="AF773" s="303"/>
      <c r="AG773" s="303"/>
      <c r="AH773" s="303"/>
      <c r="AI773" s="303"/>
      <c r="AJ773" s="303"/>
      <c r="AK773" s="303"/>
      <c r="AL773" s="303"/>
      <c r="AM773" s="303"/>
      <c r="AN773" s="303"/>
      <c r="AO773" s="303"/>
      <c r="AP773" s="303"/>
      <c r="AQ773" s="303"/>
      <c r="AR773" s="303"/>
      <c r="AS773" s="303"/>
      <c r="AT773" s="303"/>
      <c r="AU773" s="303"/>
      <c r="AV773" s="303"/>
      <c r="AW773" s="303"/>
      <c r="AX773" s="303"/>
      <c r="AY773" s="303"/>
      <c r="AZ773" s="303"/>
      <c r="BA773" s="303"/>
      <c r="BB773" s="303"/>
      <c r="BC773" s="303"/>
      <c r="BD773" s="303"/>
      <c r="BE773" s="303"/>
      <c r="BF773" s="303"/>
      <c r="BG773" s="303"/>
      <c r="BH773" s="303"/>
      <c r="BI773" s="303"/>
      <c r="BJ773" s="307" t="str">
        <f aca="false">IF(C760&gt;0, C760, "")</f>
        <v/>
      </c>
      <c r="BL773" s="200"/>
      <c r="BM773" s="200"/>
      <c r="BN773" s="200"/>
    </row>
    <row r="774" customFormat="false" ht="15" hidden="false" customHeight="true" outlineLevel="0" collapsed="false">
      <c r="A774" s="198" t="n">
        <f aca="false">A758+1</f>
        <v>49</v>
      </c>
      <c r="B774" s="266" t="s">
        <v>253</v>
      </c>
      <c r="C774" s="266" t="s">
        <v>253</v>
      </c>
      <c r="D774" s="267"/>
      <c r="E774" s="242"/>
      <c r="F774" s="242"/>
      <c r="G774" s="242"/>
      <c r="H774" s="242"/>
      <c r="I774" s="242"/>
      <c r="J774" s="241"/>
      <c r="K774" s="241"/>
      <c r="L774" s="241"/>
      <c r="M774" s="241"/>
      <c r="N774" s="241"/>
      <c r="O774" s="268"/>
      <c r="P774" s="268"/>
      <c r="Q774" s="268"/>
      <c r="R774" s="268"/>
      <c r="S774" s="268"/>
      <c r="T774" s="268"/>
      <c r="U774" s="268"/>
      <c r="V774" s="268"/>
      <c r="W774" s="268"/>
      <c r="X774" s="268"/>
      <c r="Y774" s="268"/>
      <c r="Z774" s="268"/>
      <c r="AA774" s="268"/>
      <c r="AB774" s="268"/>
      <c r="AC774" s="268"/>
      <c r="AD774" s="268"/>
      <c r="AE774" s="268"/>
      <c r="AF774" s="268"/>
      <c r="AG774" s="268"/>
      <c r="AH774" s="268"/>
      <c r="AI774" s="268"/>
      <c r="AJ774" s="268"/>
      <c r="AK774" s="268"/>
      <c r="AL774" s="268"/>
      <c r="AM774" s="268"/>
      <c r="AN774" s="268"/>
      <c r="AO774" s="268"/>
      <c r="AP774" s="268"/>
      <c r="AQ774" s="268"/>
      <c r="AR774" s="268"/>
      <c r="AS774" s="268"/>
      <c r="AT774" s="268"/>
      <c r="AU774" s="268"/>
      <c r="AV774" s="268"/>
      <c r="AW774" s="268"/>
      <c r="AX774" s="268"/>
      <c r="AY774" s="268"/>
      <c r="AZ774" s="268"/>
      <c r="BA774" s="268"/>
      <c r="BB774" s="268"/>
      <c r="BC774" s="268"/>
      <c r="BD774" s="268"/>
      <c r="BE774" s="268"/>
      <c r="BF774" s="268"/>
      <c r="BG774" s="268"/>
      <c r="BH774" s="268"/>
      <c r="BI774" s="268"/>
      <c r="BJ774" s="18" t="str">
        <f aca="false">IF(C761&gt;0, C761, "")</f>
        <v/>
      </c>
      <c r="BL774" s="200"/>
      <c r="BM774" s="200"/>
      <c r="BN774" s="200"/>
    </row>
    <row r="775" customFormat="false" ht="7.5" hidden="false" customHeight="true" outlineLevel="0" collapsed="false">
      <c r="A775" s="198"/>
      <c r="B775" s="266"/>
      <c r="C775" s="266"/>
      <c r="D775" s="267"/>
      <c r="E775" s="242"/>
      <c r="F775" s="242"/>
      <c r="G775" s="242"/>
      <c r="H775" s="242"/>
      <c r="I775" s="242"/>
      <c r="J775" s="241"/>
      <c r="K775" s="241"/>
      <c r="L775" s="269"/>
      <c r="M775" s="269"/>
      <c r="N775" s="270"/>
      <c r="O775" s="269"/>
      <c r="P775" s="269"/>
      <c r="Q775" s="269"/>
      <c r="R775" s="269"/>
      <c r="S775" s="269"/>
      <c r="T775" s="269"/>
      <c r="U775" s="269"/>
      <c r="V775" s="269"/>
      <c r="W775" s="269"/>
      <c r="X775" s="269"/>
      <c r="Y775" s="269"/>
      <c r="Z775" s="269"/>
      <c r="AA775" s="268"/>
      <c r="AB775" s="271"/>
      <c r="AC775" s="271"/>
      <c r="AD775" s="271"/>
      <c r="AE775" s="271"/>
      <c r="AF775" s="271"/>
      <c r="AG775" s="271"/>
      <c r="AH775" s="271"/>
      <c r="AI775" s="271"/>
      <c r="AJ775" s="271"/>
      <c r="AK775" s="271"/>
      <c r="AL775" s="271"/>
      <c r="AM775" s="272"/>
      <c r="AN775" s="273"/>
      <c r="AO775" s="273"/>
      <c r="AP775" s="273"/>
      <c r="AQ775" s="268"/>
      <c r="AR775" s="271"/>
      <c r="AS775" s="271"/>
      <c r="AT775" s="271"/>
      <c r="AU775" s="271"/>
      <c r="AV775" s="271"/>
      <c r="AW775" s="271"/>
      <c r="AX775" s="271"/>
      <c r="AY775" s="271"/>
      <c r="AZ775" s="271"/>
      <c r="BA775" s="271"/>
      <c r="BB775" s="271"/>
      <c r="BC775" s="272"/>
      <c r="BD775" s="273"/>
      <c r="BE775" s="273"/>
      <c r="BF775" s="273"/>
      <c r="BG775" s="268"/>
      <c r="BH775" s="274"/>
      <c r="BI775" s="268"/>
      <c r="BL775" s="200"/>
      <c r="BM775" s="200"/>
      <c r="BN775" s="200"/>
    </row>
    <row r="776" customFormat="false" ht="15" hidden="false" customHeight="true" outlineLevel="0" collapsed="false">
      <c r="B776" s="275"/>
      <c r="D776" s="276" t="n">
        <f aca="false">D760</f>
        <v>45292</v>
      </c>
      <c r="E776" s="277" t="n">
        <v>0</v>
      </c>
      <c r="F776" s="277" t="n">
        <v>0</v>
      </c>
      <c r="G776" s="277" t="n">
        <v>0</v>
      </c>
      <c r="H776" s="277" t="n">
        <v>0</v>
      </c>
      <c r="I776" s="277" t="n">
        <v>0</v>
      </c>
      <c r="J776" s="278" t="n">
        <f aca="false">E776+H776+I776</f>
        <v>0</v>
      </c>
      <c r="K776" s="204"/>
      <c r="L776" s="279" t="n">
        <v>1</v>
      </c>
      <c r="M776" s="280" t="n">
        <f aca="false">1-L776</f>
        <v>0</v>
      </c>
      <c r="N776" s="281"/>
      <c r="O776" s="282"/>
      <c r="P776" s="282"/>
      <c r="Q776" s="282"/>
      <c r="R776" s="282"/>
      <c r="S776" s="282"/>
      <c r="T776" s="282"/>
      <c r="U776" s="282"/>
      <c r="V776" s="282"/>
      <c r="W776" s="282"/>
      <c r="X776" s="282"/>
      <c r="Y776" s="282"/>
      <c r="Z776" s="282"/>
      <c r="AA776" s="283"/>
      <c r="AB776" s="284" t="n">
        <f aca="false">IFERROR(($J776*O776)*$L776, "")</f>
        <v>0</v>
      </c>
      <c r="AC776" s="284" t="n">
        <f aca="false">IFERROR(($J776*P776)*$L776, "")</f>
        <v>0</v>
      </c>
      <c r="AD776" s="284" t="n">
        <f aca="false">IFERROR(($J776*Q776)*$L776, "")</f>
        <v>0</v>
      </c>
      <c r="AE776" s="284" t="n">
        <f aca="false">IFERROR(($J776*R776)*$L776, "")</f>
        <v>0</v>
      </c>
      <c r="AF776" s="284" t="n">
        <f aca="false">IFERROR(($J776*S776)*$L776, "")</f>
        <v>0</v>
      </c>
      <c r="AG776" s="284" t="n">
        <f aca="false">IFERROR(($J776*T776)*$L776, "")</f>
        <v>0</v>
      </c>
      <c r="AH776" s="284" t="n">
        <f aca="false">IFERROR(($J776*U776)*$L776, "")</f>
        <v>0</v>
      </c>
      <c r="AI776" s="284" t="n">
        <f aca="false">IFERROR(($J776*V776)*$L776, "")</f>
        <v>0</v>
      </c>
      <c r="AJ776" s="284" t="n">
        <f aca="false">IFERROR(($J776*W776)*$L776, "")</f>
        <v>0</v>
      </c>
      <c r="AK776" s="284" t="n">
        <f aca="false">IFERROR(($J776*X776)*$L776, "")</f>
        <v>0</v>
      </c>
      <c r="AL776" s="284" t="n">
        <f aca="false">IFERROR(($J776*Y776)*$L776, "")</f>
        <v>0</v>
      </c>
      <c r="AM776" s="285" t="n">
        <f aca="false">IFERROR(($J776*Z776)*$L776, "")</f>
        <v>0</v>
      </c>
      <c r="AN776" s="286" t="n">
        <f aca="false">IFERROR(SUMIF($AB$4:$AM$4, "RDEC", AB776:AM776), "")</f>
        <v>0</v>
      </c>
      <c r="AO776" s="286" t="n">
        <f aca="false">IFERROR(SUMIF($AB$4:$AM$4, "SME", AB776:AM776), "")</f>
        <v>0</v>
      </c>
      <c r="AP776" s="286" t="n">
        <f aca="false">IFERROR(SUMIF($AB$4:$AM$4, "De Minimis", AB776:AM776), "")</f>
        <v>0</v>
      </c>
      <c r="AQ776" s="283"/>
      <c r="AR776" s="284" t="n">
        <f aca="false">IFERROR(($J776*O776)*$M776, "")</f>
        <v>0</v>
      </c>
      <c r="AS776" s="284" t="n">
        <f aca="false">IFERROR(($J776*P776)*$M776, "")</f>
        <v>0</v>
      </c>
      <c r="AT776" s="284" t="n">
        <f aca="false">IFERROR(($J776*Q776)*$M776, "")</f>
        <v>0</v>
      </c>
      <c r="AU776" s="284" t="n">
        <f aca="false">IFERROR(($J776*R776)*$M776, "")</f>
        <v>0</v>
      </c>
      <c r="AV776" s="284" t="n">
        <f aca="false">IFERROR(($J776*S776)*$M776, "")</f>
        <v>0</v>
      </c>
      <c r="AW776" s="284" t="n">
        <f aca="false">IFERROR(($J776*T776)*$M776, "")</f>
        <v>0</v>
      </c>
      <c r="AX776" s="284" t="n">
        <f aca="false">IFERROR(($J776*U776)*$M776, "")</f>
        <v>0</v>
      </c>
      <c r="AY776" s="284" t="n">
        <f aca="false">IFERROR(($J776*V776)*$M776, "")</f>
        <v>0</v>
      </c>
      <c r="AZ776" s="284" t="n">
        <f aca="false">IFERROR(($J776*W776)*$M776, "")</f>
        <v>0</v>
      </c>
      <c r="BA776" s="284" t="n">
        <f aca="false">IFERROR(($J776*X776)*$M776, "")</f>
        <v>0</v>
      </c>
      <c r="BB776" s="284" t="n">
        <f aca="false">IFERROR(($J776*Y776)*$M776, "")</f>
        <v>0</v>
      </c>
      <c r="BC776" s="285" t="n">
        <f aca="false">IFERROR(($J776*Z776)*$M776, "")</f>
        <v>0</v>
      </c>
      <c r="BD776" s="286" t="n">
        <f aca="false">IFERROR(SUMIF($AB$4:$AM$4, "RDEC", AR776:BC776), "")</f>
        <v>0</v>
      </c>
      <c r="BE776" s="286" t="n">
        <f aca="false">IFERROR(SUMIF($AB$4:$AM$4, "SME", AR776:BC776), "")</f>
        <v>0</v>
      </c>
      <c r="BF776" s="286" t="n">
        <f aca="false">IFERROR(SUMIF($AB$4:$AM$4, "De Minimis", AR776:BC776), "")</f>
        <v>0</v>
      </c>
      <c r="BG776" s="287"/>
      <c r="BH776" s="288" t="str">
        <f aca="false">IF((SUM(O776:Z776)&gt;1),"ERROR","")</f>
        <v/>
      </c>
      <c r="BI776" s="287"/>
      <c r="BJ776" s="18" t="str">
        <f aca="false">IF(C762&gt;0, C762, "")</f>
        <v/>
      </c>
      <c r="BL776" s="200"/>
      <c r="BM776" s="200"/>
      <c r="BN776" s="200"/>
    </row>
    <row r="777" customFormat="false" ht="15" hidden="false" customHeight="true" outlineLevel="0" collapsed="false">
      <c r="B777" s="275"/>
      <c r="D777" s="276" t="n">
        <f aca="false">D761</f>
        <v>45323</v>
      </c>
      <c r="E777" s="277" t="n">
        <v>0</v>
      </c>
      <c r="F777" s="277" t="n">
        <v>0</v>
      </c>
      <c r="G777" s="277" t="n">
        <v>0</v>
      </c>
      <c r="H777" s="277" t="n">
        <v>0</v>
      </c>
      <c r="I777" s="277" t="n">
        <v>0</v>
      </c>
      <c r="J777" s="278" t="n">
        <f aca="false">E777+H777+I777</f>
        <v>0</v>
      </c>
      <c r="K777" s="204"/>
      <c r="L777" s="279" t="n">
        <v>1</v>
      </c>
      <c r="M777" s="280" t="n">
        <f aca="false">1-L777</f>
        <v>0</v>
      </c>
      <c r="N777" s="281"/>
      <c r="O777" s="282"/>
      <c r="P777" s="282"/>
      <c r="Q777" s="282"/>
      <c r="R777" s="282"/>
      <c r="S777" s="282"/>
      <c r="T777" s="282"/>
      <c r="U777" s="282"/>
      <c r="V777" s="282"/>
      <c r="W777" s="282"/>
      <c r="X777" s="282"/>
      <c r="Y777" s="282"/>
      <c r="Z777" s="282"/>
      <c r="AA777" s="283"/>
      <c r="AB777" s="284" t="n">
        <f aca="false">IFERROR(($J777*O777)*$L777, "")</f>
        <v>0</v>
      </c>
      <c r="AC777" s="284" t="n">
        <f aca="false">IFERROR(($J777*P777)*$L777, "")</f>
        <v>0</v>
      </c>
      <c r="AD777" s="284" t="n">
        <f aca="false">IFERROR(($J777*Q777)*$L777, "")</f>
        <v>0</v>
      </c>
      <c r="AE777" s="284" t="n">
        <f aca="false">IFERROR(($J777*R777)*$L777, "")</f>
        <v>0</v>
      </c>
      <c r="AF777" s="284" t="n">
        <f aca="false">IFERROR(($J777*S777)*$L777, "")</f>
        <v>0</v>
      </c>
      <c r="AG777" s="284" t="n">
        <f aca="false">IFERROR(($J777*T777)*$L777, "")</f>
        <v>0</v>
      </c>
      <c r="AH777" s="284" t="n">
        <f aca="false">IFERROR(($J777*U777)*$L777, "")</f>
        <v>0</v>
      </c>
      <c r="AI777" s="284" t="n">
        <f aca="false">IFERROR(($J777*V777)*$L777, "")</f>
        <v>0</v>
      </c>
      <c r="AJ777" s="284" t="n">
        <f aca="false">IFERROR(($J777*W777)*$L777, "")</f>
        <v>0</v>
      </c>
      <c r="AK777" s="284" t="n">
        <f aca="false">IFERROR(($J777*X777)*$L777, "")</f>
        <v>0</v>
      </c>
      <c r="AL777" s="284" t="n">
        <f aca="false">IFERROR(($J777*Y777)*$L777, "")</f>
        <v>0</v>
      </c>
      <c r="AM777" s="285" t="n">
        <f aca="false">IFERROR(($J777*Z777)*$L777, "")</f>
        <v>0</v>
      </c>
      <c r="AN777" s="286" t="n">
        <f aca="false">IFERROR(SUMIF($AB$4:$AM$4, "RDEC", AB777:AM777), "")</f>
        <v>0</v>
      </c>
      <c r="AO777" s="286" t="n">
        <f aca="false">IFERROR(SUMIF($AB$4:$AM$4, "SME", AB777:AM777), "")</f>
        <v>0</v>
      </c>
      <c r="AP777" s="286" t="n">
        <f aca="false">IFERROR(SUMIF($AB$4:$AM$4, "De Minimis", AB777:AM777), "")</f>
        <v>0</v>
      </c>
      <c r="AQ777" s="283"/>
      <c r="AR777" s="284" t="n">
        <f aca="false">IFERROR(($J777*O777)*$M777, "")</f>
        <v>0</v>
      </c>
      <c r="AS777" s="284" t="n">
        <f aca="false">IFERROR(($J777*P777)*$M777, "")</f>
        <v>0</v>
      </c>
      <c r="AT777" s="284" t="n">
        <f aca="false">IFERROR(($J777*Q777)*$M777, "")</f>
        <v>0</v>
      </c>
      <c r="AU777" s="284" t="n">
        <f aca="false">IFERROR(($J777*R777)*$M777, "")</f>
        <v>0</v>
      </c>
      <c r="AV777" s="284" t="n">
        <f aca="false">IFERROR(($J777*S777)*$M777, "")</f>
        <v>0</v>
      </c>
      <c r="AW777" s="284" t="n">
        <f aca="false">IFERROR(($J777*T777)*$M777, "")</f>
        <v>0</v>
      </c>
      <c r="AX777" s="284" t="n">
        <f aca="false">IFERROR(($J777*U777)*$M777, "")</f>
        <v>0</v>
      </c>
      <c r="AY777" s="284" t="n">
        <f aca="false">IFERROR(($J777*V777)*$M777, "")</f>
        <v>0</v>
      </c>
      <c r="AZ777" s="284" t="n">
        <f aca="false">IFERROR(($J777*W777)*$M777, "")</f>
        <v>0</v>
      </c>
      <c r="BA777" s="284" t="n">
        <f aca="false">IFERROR(($J777*X777)*$M777, "")</f>
        <v>0</v>
      </c>
      <c r="BB777" s="284" t="n">
        <f aca="false">IFERROR(($J777*Y777)*$M777, "")</f>
        <v>0</v>
      </c>
      <c r="BC777" s="285" t="n">
        <f aca="false">IFERROR(($J777*Z777)*$M777, "")</f>
        <v>0</v>
      </c>
      <c r="BD777" s="286" t="n">
        <f aca="false">IFERROR(SUMIF($AB$4:$AM$4, "RDEC", AR777:BC777), "")</f>
        <v>0</v>
      </c>
      <c r="BE777" s="286" t="n">
        <f aca="false">IFERROR(SUMIF($AB$4:$AM$4, "SME", AR777:BC777), "")</f>
        <v>0</v>
      </c>
      <c r="BF777" s="286" t="n">
        <f aca="false">IFERROR(SUMIF($AB$4:$AM$4, "De Minimis", AR777:BC777), "")</f>
        <v>0</v>
      </c>
      <c r="BG777" s="287"/>
      <c r="BH777" s="288" t="str">
        <f aca="false">IF((SUM(O777:Z777)&gt;1),"ERROR","")</f>
        <v/>
      </c>
      <c r="BI777" s="287"/>
      <c r="BJ777" s="18" t="str">
        <f aca="false">IF(C763&gt;0, C763, "")</f>
        <v/>
      </c>
      <c r="BL777" s="200"/>
      <c r="BM777" s="200"/>
      <c r="BN777" s="200"/>
    </row>
    <row r="778" customFormat="false" ht="15" hidden="false" customHeight="true" outlineLevel="0" collapsed="false">
      <c r="B778" s="275"/>
      <c r="D778" s="276" t="n">
        <f aca="false">D762</f>
        <v>45352</v>
      </c>
      <c r="E778" s="277" t="n">
        <v>0</v>
      </c>
      <c r="F778" s="277" t="n">
        <v>0</v>
      </c>
      <c r="G778" s="277" t="n">
        <v>0</v>
      </c>
      <c r="H778" s="277" t="n">
        <v>0</v>
      </c>
      <c r="I778" s="277" t="n">
        <v>0</v>
      </c>
      <c r="J778" s="278" t="n">
        <f aca="false">E778+H778+I778</f>
        <v>0</v>
      </c>
      <c r="K778" s="204"/>
      <c r="L778" s="279" t="n">
        <v>1</v>
      </c>
      <c r="M778" s="280" t="n">
        <f aca="false">1-L778</f>
        <v>0</v>
      </c>
      <c r="N778" s="281"/>
      <c r="O778" s="282"/>
      <c r="P778" s="282"/>
      <c r="Q778" s="282"/>
      <c r="R778" s="282"/>
      <c r="S778" s="282"/>
      <c r="T778" s="282"/>
      <c r="U778" s="282"/>
      <c r="V778" s="282"/>
      <c r="W778" s="282"/>
      <c r="X778" s="282"/>
      <c r="Y778" s="282"/>
      <c r="Z778" s="282"/>
      <c r="AA778" s="283"/>
      <c r="AB778" s="284" t="n">
        <f aca="false">IFERROR(($J778*O778)*$L778, "")</f>
        <v>0</v>
      </c>
      <c r="AC778" s="284" t="n">
        <f aca="false">IFERROR(($J778*P778)*$L778, "")</f>
        <v>0</v>
      </c>
      <c r="AD778" s="284" t="n">
        <f aca="false">IFERROR(($J778*Q778)*$L778, "")</f>
        <v>0</v>
      </c>
      <c r="AE778" s="284" t="n">
        <f aca="false">IFERROR(($J778*R778)*$L778, "")</f>
        <v>0</v>
      </c>
      <c r="AF778" s="284" t="n">
        <f aca="false">IFERROR(($J778*S778)*$L778, "")</f>
        <v>0</v>
      </c>
      <c r="AG778" s="284" t="n">
        <f aca="false">IFERROR(($J778*T778)*$L778, "")</f>
        <v>0</v>
      </c>
      <c r="AH778" s="284" t="n">
        <f aca="false">IFERROR(($J778*U778)*$L778, "")</f>
        <v>0</v>
      </c>
      <c r="AI778" s="284" t="n">
        <f aca="false">IFERROR(($J778*V778)*$L778, "")</f>
        <v>0</v>
      </c>
      <c r="AJ778" s="284" t="n">
        <f aca="false">IFERROR(($J778*W778)*$L778, "")</f>
        <v>0</v>
      </c>
      <c r="AK778" s="284" t="n">
        <f aca="false">IFERROR(($J778*X778)*$L778, "")</f>
        <v>0</v>
      </c>
      <c r="AL778" s="284" t="n">
        <f aca="false">IFERROR(($J778*Y778)*$L778, "")</f>
        <v>0</v>
      </c>
      <c r="AM778" s="285" t="n">
        <f aca="false">IFERROR(($J778*Z778)*$L778, "")</f>
        <v>0</v>
      </c>
      <c r="AN778" s="286" t="n">
        <f aca="false">IFERROR(SUMIF($AB$4:$AM$4, "RDEC", AB778:AM778), "")</f>
        <v>0</v>
      </c>
      <c r="AO778" s="286" t="n">
        <f aca="false">IFERROR(SUMIF($AB$4:$AM$4, "SME", AB778:AM778), "")</f>
        <v>0</v>
      </c>
      <c r="AP778" s="286" t="n">
        <f aca="false">IFERROR(SUMIF($AB$4:$AM$4, "De Minimis", AB778:AM778), "")</f>
        <v>0</v>
      </c>
      <c r="AQ778" s="283"/>
      <c r="AR778" s="284" t="n">
        <f aca="false">IFERROR(($J778*O778)*$M778, "")</f>
        <v>0</v>
      </c>
      <c r="AS778" s="284" t="n">
        <f aca="false">IFERROR(($J778*P778)*$M778, "")</f>
        <v>0</v>
      </c>
      <c r="AT778" s="284" t="n">
        <f aca="false">IFERROR(($J778*Q778)*$M778, "")</f>
        <v>0</v>
      </c>
      <c r="AU778" s="284" t="n">
        <f aca="false">IFERROR(($J778*R778)*$M778, "")</f>
        <v>0</v>
      </c>
      <c r="AV778" s="284" t="n">
        <f aca="false">IFERROR(($J778*S778)*$M778, "")</f>
        <v>0</v>
      </c>
      <c r="AW778" s="284" t="n">
        <f aca="false">IFERROR(($J778*T778)*$M778, "")</f>
        <v>0</v>
      </c>
      <c r="AX778" s="284" t="n">
        <f aca="false">IFERROR(($J778*U778)*$M778, "")</f>
        <v>0</v>
      </c>
      <c r="AY778" s="284" t="n">
        <f aca="false">IFERROR(($J778*V778)*$M778, "")</f>
        <v>0</v>
      </c>
      <c r="AZ778" s="284" t="n">
        <f aca="false">IFERROR(($J778*W778)*$M778, "")</f>
        <v>0</v>
      </c>
      <c r="BA778" s="284" t="n">
        <f aca="false">IFERROR(($J778*X778)*$M778, "")</f>
        <v>0</v>
      </c>
      <c r="BB778" s="284" t="n">
        <f aca="false">IFERROR(($J778*Y778)*$M778, "")</f>
        <v>0</v>
      </c>
      <c r="BC778" s="285" t="n">
        <f aca="false">IFERROR(($J778*Z778)*$M778, "")</f>
        <v>0</v>
      </c>
      <c r="BD778" s="286" t="n">
        <f aca="false">IFERROR(SUMIF($AB$4:$AM$4, "RDEC", AR778:BC778), "")</f>
        <v>0</v>
      </c>
      <c r="BE778" s="286" t="n">
        <f aca="false">IFERROR(SUMIF($AB$4:$AM$4, "SME", AR778:BC778), "")</f>
        <v>0</v>
      </c>
      <c r="BF778" s="286" t="n">
        <f aca="false">IFERROR(SUMIF($AB$4:$AM$4, "De Minimis", AR778:BC778), "")</f>
        <v>0</v>
      </c>
      <c r="BG778" s="287"/>
      <c r="BH778" s="288" t="str">
        <f aca="false">IF((SUM(O778:Z778)&gt;1),"ERROR","")</f>
        <v/>
      </c>
      <c r="BI778" s="287"/>
      <c r="BJ778" s="18" t="str">
        <f aca="false">IF(C764&gt;0, C764, "")</f>
        <v/>
      </c>
      <c r="BL778" s="200"/>
      <c r="BM778" s="200"/>
      <c r="BN778" s="200"/>
    </row>
    <row r="779" customFormat="false" ht="15" hidden="false" customHeight="true" outlineLevel="0" collapsed="false">
      <c r="B779" s="275"/>
      <c r="D779" s="276" t="n">
        <f aca="false">D763</f>
        <v>45383</v>
      </c>
      <c r="E779" s="277" t="n">
        <v>0</v>
      </c>
      <c r="F779" s="277" t="n">
        <v>0</v>
      </c>
      <c r="G779" s="277" t="n">
        <v>0</v>
      </c>
      <c r="H779" s="277" t="n">
        <v>0</v>
      </c>
      <c r="I779" s="277" t="n">
        <v>0</v>
      </c>
      <c r="J779" s="278" t="n">
        <f aca="false">E779+H779+I779</f>
        <v>0</v>
      </c>
      <c r="K779" s="204"/>
      <c r="L779" s="279" t="n">
        <v>1</v>
      </c>
      <c r="M779" s="280" t="n">
        <f aca="false">1-L779</f>
        <v>0</v>
      </c>
      <c r="N779" s="281"/>
      <c r="O779" s="282"/>
      <c r="P779" s="282"/>
      <c r="Q779" s="282"/>
      <c r="R779" s="282"/>
      <c r="S779" s="282"/>
      <c r="T779" s="282"/>
      <c r="U779" s="282"/>
      <c r="V779" s="282"/>
      <c r="W779" s="282"/>
      <c r="X779" s="282"/>
      <c r="Y779" s="282"/>
      <c r="Z779" s="282"/>
      <c r="AA779" s="283"/>
      <c r="AB779" s="284" t="n">
        <f aca="false">IFERROR(($J779*O779)*$L779, "")</f>
        <v>0</v>
      </c>
      <c r="AC779" s="284" t="n">
        <f aca="false">IFERROR(($J779*P779)*$L779, "")</f>
        <v>0</v>
      </c>
      <c r="AD779" s="284" t="n">
        <f aca="false">IFERROR(($J779*Q779)*$L779, "")</f>
        <v>0</v>
      </c>
      <c r="AE779" s="284" t="n">
        <f aca="false">IFERROR(($J779*R779)*$L779, "")</f>
        <v>0</v>
      </c>
      <c r="AF779" s="284" t="n">
        <f aca="false">IFERROR(($J779*S779)*$L779, "")</f>
        <v>0</v>
      </c>
      <c r="AG779" s="284" t="n">
        <f aca="false">IFERROR(($J779*T779)*$L779, "")</f>
        <v>0</v>
      </c>
      <c r="AH779" s="284" t="n">
        <f aca="false">IFERROR(($J779*U779)*$L779, "")</f>
        <v>0</v>
      </c>
      <c r="AI779" s="284" t="n">
        <f aca="false">IFERROR(($J779*V779)*$L779, "")</f>
        <v>0</v>
      </c>
      <c r="AJ779" s="284" t="n">
        <f aca="false">IFERROR(($J779*W779)*$L779, "")</f>
        <v>0</v>
      </c>
      <c r="AK779" s="284" t="n">
        <f aca="false">IFERROR(($J779*X779)*$L779, "")</f>
        <v>0</v>
      </c>
      <c r="AL779" s="284" t="n">
        <f aca="false">IFERROR(($J779*Y779)*$L779, "")</f>
        <v>0</v>
      </c>
      <c r="AM779" s="285" t="n">
        <f aca="false">IFERROR(($J779*Z779)*$L779, "")</f>
        <v>0</v>
      </c>
      <c r="AN779" s="286" t="n">
        <f aca="false">IFERROR(SUMIF($AB$4:$AM$4, "RDEC", AB779:AM779), "")</f>
        <v>0</v>
      </c>
      <c r="AO779" s="286" t="n">
        <f aca="false">IFERROR(SUMIF($AB$4:$AM$4, "SME", AB779:AM779), "")</f>
        <v>0</v>
      </c>
      <c r="AP779" s="286" t="n">
        <f aca="false">IFERROR(SUMIF($AB$4:$AM$4, "De Minimis", AB779:AM779), "")</f>
        <v>0</v>
      </c>
      <c r="AQ779" s="283"/>
      <c r="AR779" s="284" t="n">
        <f aca="false">IFERROR(($J779*O779)*$M779, "")</f>
        <v>0</v>
      </c>
      <c r="AS779" s="284" t="n">
        <f aca="false">IFERROR(($J779*P779)*$M779, "")</f>
        <v>0</v>
      </c>
      <c r="AT779" s="284" t="n">
        <f aca="false">IFERROR(($J779*Q779)*$M779, "")</f>
        <v>0</v>
      </c>
      <c r="AU779" s="284" t="n">
        <f aca="false">IFERROR(($J779*R779)*$M779, "")</f>
        <v>0</v>
      </c>
      <c r="AV779" s="284" t="n">
        <f aca="false">IFERROR(($J779*S779)*$M779, "")</f>
        <v>0</v>
      </c>
      <c r="AW779" s="284" t="n">
        <f aca="false">IFERROR(($J779*T779)*$M779, "")</f>
        <v>0</v>
      </c>
      <c r="AX779" s="284" t="n">
        <f aca="false">IFERROR(($J779*U779)*$M779, "")</f>
        <v>0</v>
      </c>
      <c r="AY779" s="284" t="n">
        <f aca="false">IFERROR(($J779*V779)*$M779, "")</f>
        <v>0</v>
      </c>
      <c r="AZ779" s="284" t="n">
        <f aca="false">IFERROR(($J779*W779)*$M779, "")</f>
        <v>0</v>
      </c>
      <c r="BA779" s="284" t="n">
        <f aca="false">IFERROR(($J779*X779)*$M779, "")</f>
        <v>0</v>
      </c>
      <c r="BB779" s="284" t="n">
        <f aca="false">IFERROR(($J779*Y779)*$M779, "")</f>
        <v>0</v>
      </c>
      <c r="BC779" s="285" t="n">
        <f aca="false">IFERROR(($J779*Z779)*$M779, "")</f>
        <v>0</v>
      </c>
      <c r="BD779" s="286" t="n">
        <f aca="false">IFERROR(SUMIF($AB$4:$AM$4, "RDEC", AR779:BC779), "")</f>
        <v>0</v>
      </c>
      <c r="BE779" s="286" t="n">
        <f aca="false">IFERROR(SUMIF($AB$4:$AM$4, "SME", AR779:BC779), "")</f>
        <v>0</v>
      </c>
      <c r="BF779" s="286" t="n">
        <f aca="false">IFERROR(SUMIF($AB$4:$AM$4, "De Minimis", AR779:BC779), "")</f>
        <v>0</v>
      </c>
      <c r="BG779" s="287"/>
      <c r="BH779" s="288" t="str">
        <f aca="false">IF((SUM(O779:Z779)&gt;1),"ERROR","")</f>
        <v/>
      </c>
      <c r="BI779" s="287"/>
      <c r="BJ779" s="18" t="str">
        <f aca="false">IF(C765&gt;0, C765, "")</f>
        <v/>
      </c>
      <c r="BL779" s="200"/>
      <c r="BM779" s="200"/>
      <c r="BN779" s="200"/>
    </row>
    <row r="780" customFormat="false" ht="15" hidden="false" customHeight="true" outlineLevel="0" collapsed="false">
      <c r="B780" s="275"/>
      <c r="D780" s="276" t="n">
        <f aca="false">D764</f>
        <v>45413</v>
      </c>
      <c r="E780" s="277" t="n">
        <v>0</v>
      </c>
      <c r="F780" s="277" t="n">
        <v>0</v>
      </c>
      <c r="G780" s="277" t="n">
        <v>0</v>
      </c>
      <c r="H780" s="277" t="n">
        <v>0</v>
      </c>
      <c r="I780" s="277" t="n">
        <v>0</v>
      </c>
      <c r="J780" s="278" t="n">
        <f aca="false">E780+H780+I780</f>
        <v>0</v>
      </c>
      <c r="K780" s="204"/>
      <c r="L780" s="279" t="n">
        <v>1</v>
      </c>
      <c r="M780" s="280" t="n">
        <f aca="false">1-L780</f>
        <v>0</v>
      </c>
      <c r="N780" s="281"/>
      <c r="O780" s="282"/>
      <c r="P780" s="282"/>
      <c r="Q780" s="282"/>
      <c r="R780" s="282"/>
      <c r="S780" s="282"/>
      <c r="T780" s="282"/>
      <c r="U780" s="282"/>
      <c r="V780" s="282"/>
      <c r="W780" s="282"/>
      <c r="X780" s="282"/>
      <c r="Y780" s="282"/>
      <c r="Z780" s="282"/>
      <c r="AA780" s="283"/>
      <c r="AB780" s="284" t="n">
        <f aca="false">IFERROR(($J780*O780)*$L780, "")</f>
        <v>0</v>
      </c>
      <c r="AC780" s="284" t="n">
        <f aca="false">IFERROR(($J780*P780)*$L780, "")</f>
        <v>0</v>
      </c>
      <c r="AD780" s="284" t="n">
        <f aca="false">IFERROR(($J780*Q780)*$L780, "")</f>
        <v>0</v>
      </c>
      <c r="AE780" s="284" t="n">
        <f aca="false">IFERROR(($J780*R780)*$L780, "")</f>
        <v>0</v>
      </c>
      <c r="AF780" s="284" t="n">
        <f aca="false">IFERROR(($J780*S780)*$L780, "")</f>
        <v>0</v>
      </c>
      <c r="AG780" s="284" t="n">
        <f aca="false">IFERROR(($J780*T780)*$L780, "")</f>
        <v>0</v>
      </c>
      <c r="AH780" s="284" t="n">
        <f aca="false">IFERROR(($J780*U780)*$L780, "")</f>
        <v>0</v>
      </c>
      <c r="AI780" s="284" t="n">
        <f aca="false">IFERROR(($J780*V780)*$L780, "")</f>
        <v>0</v>
      </c>
      <c r="AJ780" s="284" t="n">
        <f aca="false">IFERROR(($J780*W780)*$L780, "")</f>
        <v>0</v>
      </c>
      <c r="AK780" s="284" t="n">
        <f aca="false">IFERROR(($J780*X780)*$L780, "")</f>
        <v>0</v>
      </c>
      <c r="AL780" s="284" t="n">
        <f aca="false">IFERROR(($J780*Y780)*$L780, "")</f>
        <v>0</v>
      </c>
      <c r="AM780" s="285" t="n">
        <f aca="false">IFERROR(($J780*Z780)*$L780, "")</f>
        <v>0</v>
      </c>
      <c r="AN780" s="286" t="n">
        <f aca="false">IFERROR(SUMIF($AB$4:$AM$4, "RDEC", AB780:AM780), "")</f>
        <v>0</v>
      </c>
      <c r="AO780" s="286" t="n">
        <f aca="false">IFERROR(SUMIF($AB$4:$AM$4, "SME", AB780:AM780), "")</f>
        <v>0</v>
      </c>
      <c r="AP780" s="286" t="n">
        <f aca="false">IFERROR(SUMIF($AB$4:$AM$4, "De Minimis", AB780:AM780), "")</f>
        <v>0</v>
      </c>
      <c r="AQ780" s="283"/>
      <c r="AR780" s="284" t="n">
        <f aca="false">IFERROR(($J780*O780)*$M780, "")</f>
        <v>0</v>
      </c>
      <c r="AS780" s="284" t="n">
        <f aca="false">IFERROR(($J780*P780)*$M780, "")</f>
        <v>0</v>
      </c>
      <c r="AT780" s="284" t="n">
        <f aca="false">IFERROR(($J780*Q780)*$M780, "")</f>
        <v>0</v>
      </c>
      <c r="AU780" s="284" t="n">
        <f aca="false">IFERROR(($J780*R780)*$M780, "")</f>
        <v>0</v>
      </c>
      <c r="AV780" s="284" t="n">
        <f aca="false">IFERROR(($J780*S780)*$M780, "")</f>
        <v>0</v>
      </c>
      <c r="AW780" s="284" t="n">
        <f aca="false">IFERROR(($J780*T780)*$M780, "")</f>
        <v>0</v>
      </c>
      <c r="AX780" s="284" t="n">
        <f aca="false">IFERROR(($J780*U780)*$M780, "")</f>
        <v>0</v>
      </c>
      <c r="AY780" s="284" t="n">
        <f aca="false">IFERROR(($J780*V780)*$M780, "")</f>
        <v>0</v>
      </c>
      <c r="AZ780" s="284" t="n">
        <f aca="false">IFERROR(($J780*W780)*$M780, "")</f>
        <v>0</v>
      </c>
      <c r="BA780" s="284" t="n">
        <f aca="false">IFERROR(($J780*X780)*$M780, "")</f>
        <v>0</v>
      </c>
      <c r="BB780" s="284" t="n">
        <f aca="false">IFERROR(($J780*Y780)*$M780, "")</f>
        <v>0</v>
      </c>
      <c r="BC780" s="285" t="n">
        <f aca="false">IFERROR(($J780*Z780)*$M780, "")</f>
        <v>0</v>
      </c>
      <c r="BD780" s="286" t="n">
        <f aca="false">IFERROR(SUMIF($AB$4:$AM$4, "RDEC", AR780:BC780), "")</f>
        <v>0</v>
      </c>
      <c r="BE780" s="286" t="n">
        <f aca="false">IFERROR(SUMIF($AB$4:$AM$4, "SME", AR780:BC780), "")</f>
        <v>0</v>
      </c>
      <c r="BF780" s="286" t="n">
        <f aca="false">IFERROR(SUMIF($AB$4:$AM$4, "De Minimis", AR780:BC780), "")</f>
        <v>0</v>
      </c>
      <c r="BG780" s="287"/>
      <c r="BH780" s="288" t="str">
        <f aca="false">IF((SUM(O780:Z780)&gt;1),"ERROR","")</f>
        <v/>
      </c>
      <c r="BI780" s="287"/>
      <c r="BJ780" s="18" t="str">
        <f aca="false">IF(C766&gt;0, C766, "")</f>
        <v/>
      </c>
      <c r="BL780" s="200"/>
      <c r="BM780" s="200"/>
      <c r="BN780" s="200"/>
    </row>
    <row r="781" customFormat="false" ht="15" hidden="false" customHeight="true" outlineLevel="0" collapsed="false">
      <c r="B781" s="275"/>
      <c r="D781" s="276" t="n">
        <f aca="false">D765</f>
        <v>45444</v>
      </c>
      <c r="E781" s="277" t="n">
        <v>0</v>
      </c>
      <c r="F781" s="277" t="n">
        <v>0</v>
      </c>
      <c r="G781" s="277" t="n">
        <v>0</v>
      </c>
      <c r="H781" s="277" t="n">
        <v>0</v>
      </c>
      <c r="I781" s="277" t="n">
        <v>0</v>
      </c>
      <c r="J781" s="278" t="n">
        <f aca="false">E781+H781+I781</f>
        <v>0</v>
      </c>
      <c r="K781" s="204"/>
      <c r="L781" s="279" t="n">
        <v>1</v>
      </c>
      <c r="M781" s="280" t="n">
        <f aca="false">1-L781</f>
        <v>0</v>
      </c>
      <c r="N781" s="281"/>
      <c r="O781" s="282"/>
      <c r="P781" s="282"/>
      <c r="Q781" s="282"/>
      <c r="R781" s="282"/>
      <c r="S781" s="282"/>
      <c r="T781" s="282"/>
      <c r="U781" s="282"/>
      <c r="V781" s="282"/>
      <c r="W781" s="282"/>
      <c r="X781" s="282"/>
      <c r="Y781" s="282"/>
      <c r="Z781" s="282"/>
      <c r="AA781" s="283"/>
      <c r="AB781" s="284" t="n">
        <f aca="false">IFERROR(($J781*O781)*$L781, "")</f>
        <v>0</v>
      </c>
      <c r="AC781" s="284" t="n">
        <f aca="false">IFERROR(($J781*P781)*$L781, "")</f>
        <v>0</v>
      </c>
      <c r="AD781" s="284" t="n">
        <f aca="false">IFERROR(($J781*Q781)*$L781, "")</f>
        <v>0</v>
      </c>
      <c r="AE781" s="284" t="n">
        <f aca="false">IFERROR(($J781*R781)*$L781, "")</f>
        <v>0</v>
      </c>
      <c r="AF781" s="284" t="n">
        <f aca="false">IFERROR(($J781*S781)*$L781, "")</f>
        <v>0</v>
      </c>
      <c r="AG781" s="284" t="n">
        <f aca="false">IFERROR(($J781*T781)*$L781, "")</f>
        <v>0</v>
      </c>
      <c r="AH781" s="284" t="n">
        <f aca="false">IFERROR(($J781*U781)*$L781, "")</f>
        <v>0</v>
      </c>
      <c r="AI781" s="284" t="n">
        <f aca="false">IFERROR(($J781*V781)*$L781, "")</f>
        <v>0</v>
      </c>
      <c r="AJ781" s="284" t="n">
        <f aca="false">IFERROR(($J781*W781)*$L781, "")</f>
        <v>0</v>
      </c>
      <c r="AK781" s="284" t="n">
        <f aca="false">IFERROR(($J781*X781)*$L781, "")</f>
        <v>0</v>
      </c>
      <c r="AL781" s="284" t="n">
        <f aca="false">IFERROR(($J781*Y781)*$L781, "")</f>
        <v>0</v>
      </c>
      <c r="AM781" s="285" t="n">
        <f aca="false">IFERROR(($J781*Z781)*$L781, "")</f>
        <v>0</v>
      </c>
      <c r="AN781" s="286" t="n">
        <f aca="false">IFERROR(SUMIF($AB$4:$AM$4, "RDEC", AB781:AM781), "")</f>
        <v>0</v>
      </c>
      <c r="AO781" s="286" t="n">
        <f aca="false">IFERROR(SUMIF($AB$4:$AM$4, "SME", AB781:AM781), "")</f>
        <v>0</v>
      </c>
      <c r="AP781" s="286" t="n">
        <f aca="false">IFERROR(SUMIF($AB$4:$AM$4, "De Minimis", AB781:AM781), "")</f>
        <v>0</v>
      </c>
      <c r="AQ781" s="283"/>
      <c r="AR781" s="284" t="n">
        <f aca="false">IFERROR(($J781*O781)*$M781, "")</f>
        <v>0</v>
      </c>
      <c r="AS781" s="284" t="n">
        <f aca="false">IFERROR(($J781*P781)*$M781, "")</f>
        <v>0</v>
      </c>
      <c r="AT781" s="284" t="n">
        <f aca="false">IFERROR(($J781*Q781)*$M781, "")</f>
        <v>0</v>
      </c>
      <c r="AU781" s="284" t="n">
        <f aca="false">IFERROR(($J781*R781)*$M781, "")</f>
        <v>0</v>
      </c>
      <c r="AV781" s="284" t="n">
        <f aca="false">IFERROR(($J781*S781)*$M781, "")</f>
        <v>0</v>
      </c>
      <c r="AW781" s="284" t="n">
        <f aca="false">IFERROR(($J781*T781)*$M781, "")</f>
        <v>0</v>
      </c>
      <c r="AX781" s="284" t="n">
        <f aca="false">IFERROR(($J781*U781)*$M781, "")</f>
        <v>0</v>
      </c>
      <c r="AY781" s="284" t="n">
        <f aca="false">IFERROR(($J781*V781)*$M781, "")</f>
        <v>0</v>
      </c>
      <c r="AZ781" s="284" t="n">
        <f aca="false">IFERROR(($J781*W781)*$M781, "")</f>
        <v>0</v>
      </c>
      <c r="BA781" s="284" t="n">
        <f aca="false">IFERROR(($J781*X781)*$M781, "")</f>
        <v>0</v>
      </c>
      <c r="BB781" s="284" t="n">
        <f aca="false">IFERROR(($J781*Y781)*$M781, "")</f>
        <v>0</v>
      </c>
      <c r="BC781" s="285" t="n">
        <f aca="false">IFERROR(($J781*Z781)*$M781, "")</f>
        <v>0</v>
      </c>
      <c r="BD781" s="286" t="n">
        <f aca="false">IFERROR(SUMIF($AB$4:$AM$4, "RDEC", AR781:BC781), "")</f>
        <v>0</v>
      </c>
      <c r="BE781" s="286" t="n">
        <f aca="false">IFERROR(SUMIF($AB$4:$AM$4, "SME", AR781:BC781), "")</f>
        <v>0</v>
      </c>
      <c r="BF781" s="286" t="n">
        <f aca="false">IFERROR(SUMIF($AB$4:$AM$4, "De Minimis", AR781:BC781), "")</f>
        <v>0</v>
      </c>
      <c r="BG781" s="287"/>
      <c r="BH781" s="288" t="str">
        <f aca="false">IF((SUM(O781:Z781)&gt;1),"ERROR","")</f>
        <v/>
      </c>
      <c r="BI781" s="287"/>
      <c r="BJ781" s="18" t="str">
        <f aca="false">IF(C767&gt;0, C767, "")</f>
        <v/>
      </c>
      <c r="BL781" s="200"/>
      <c r="BM781" s="200"/>
      <c r="BN781" s="200"/>
    </row>
    <row r="782" customFormat="false" ht="15" hidden="false" customHeight="true" outlineLevel="0" collapsed="false">
      <c r="B782" s="275"/>
      <c r="D782" s="276" t="n">
        <f aca="false">D766</f>
        <v>45474</v>
      </c>
      <c r="E782" s="277" t="n">
        <v>0</v>
      </c>
      <c r="F782" s="277" t="n">
        <v>0</v>
      </c>
      <c r="G782" s="277" t="n">
        <v>0</v>
      </c>
      <c r="H782" s="277" t="n">
        <v>0</v>
      </c>
      <c r="I782" s="277" t="n">
        <v>0</v>
      </c>
      <c r="J782" s="278" t="n">
        <f aca="false">E782+H782+I782</f>
        <v>0</v>
      </c>
      <c r="K782" s="204"/>
      <c r="L782" s="279" t="n">
        <v>1</v>
      </c>
      <c r="M782" s="280" t="n">
        <f aca="false">1-L782</f>
        <v>0</v>
      </c>
      <c r="N782" s="281"/>
      <c r="O782" s="282"/>
      <c r="P782" s="282"/>
      <c r="Q782" s="282"/>
      <c r="R782" s="282"/>
      <c r="S782" s="282"/>
      <c r="T782" s="282"/>
      <c r="U782" s="282"/>
      <c r="V782" s="282"/>
      <c r="W782" s="282"/>
      <c r="X782" s="282"/>
      <c r="Y782" s="282"/>
      <c r="Z782" s="282"/>
      <c r="AA782" s="283"/>
      <c r="AB782" s="284" t="n">
        <f aca="false">IFERROR(($J782*O782)*$L782, "")</f>
        <v>0</v>
      </c>
      <c r="AC782" s="284" t="n">
        <f aca="false">IFERROR(($J782*P782)*$L782, "")</f>
        <v>0</v>
      </c>
      <c r="AD782" s="284" t="n">
        <f aca="false">IFERROR(($J782*Q782)*$L782, "")</f>
        <v>0</v>
      </c>
      <c r="AE782" s="284" t="n">
        <f aca="false">IFERROR(($J782*R782)*$L782, "")</f>
        <v>0</v>
      </c>
      <c r="AF782" s="284" t="n">
        <f aca="false">IFERROR(($J782*S782)*$L782, "")</f>
        <v>0</v>
      </c>
      <c r="AG782" s="284" t="n">
        <f aca="false">IFERROR(($J782*T782)*$L782, "")</f>
        <v>0</v>
      </c>
      <c r="AH782" s="284" t="n">
        <f aca="false">IFERROR(($J782*U782)*$L782, "")</f>
        <v>0</v>
      </c>
      <c r="AI782" s="284" t="n">
        <f aca="false">IFERROR(($J782*V782)*$L782, "")</f>
        <v>0</v>
      </c>
      <c r="AJ782" s="284" t="n">
        <f aca="false">IFERROR(($J782*W782)*$L782, "")</f>
        <v>0</v>
      </c>
      <c r="AK782" s="284" t="n">
        <f aca="false">IFERROR(($J782*X782)*$L782, "")</f>
        <v>0</v>
      </c>
      <c r="AL782" s="284" t="n">
        <f aca="false">IFERROR(($J782*Y782)*$L782, "")</f>
        <v>0</v>
      </c>
      <c r="AM782" s="285" t="n">
        <f aca="false">IFERROR(($J782*Z782)*$L782, "")</f>
        <v>0</v>
      </c>
      <c r="AN782" s="286" t="n">
        <f aca="false">IFERROR(SUMIF($AB$4:$AM$4, "RDEC", AB782:AM782), "")</f>
        <v>0</v>
      </c>
      <c r="AO782" s="286" t="n">
        <f aca="false">IFERROR(SUMIF($AB$4:$AM$4, "SME", AB782:AM782), "")</f>
        <v>0</v>
      </c>
      <c r="AP782" s="286" t="n">
        <f aca="false">IFERROR(SUMIF($AB$4:$AM$4, "De Minimis", AB782:AM782), "")</f>
        <v>0</v>
      </c>
      <c r="AQ782" s="283"/>
      <c r="AR782" s="284" t="n">
        <f aca="false">IFERROR(($J782*O782)*$M782, "")</f>
        <v>0</v>
      </c>
      <c r="AS782" s="284" t="n">
        <f aca="false">IFERROR(($J782*P782)*$M782, "")</f>
        <v>0</v>
      </c>
      <c r="AT782" s="284" t="n">
        <f aca="false">IFERROR(($J782*Q782)*$M782, "")</f>
        <v>0</v>
      </c>
      <c r="AU782" s="284" t="n">
        <f aca="false">IFERROR(($J782*R782)*$M782, "")</f>
        <v>0</v>
      </c>
      <c r="AV782" s="284" t="n">
        <f aca="false">IFERROR(($J782*S782)*$M782, "")</f>
        <v>0</v>
      </c>
      <c r="AW782" s="284" t="n">
        <f aca="false">IFERROR(($J782*T782)*$M782, "")</f>
        <v>0</v>
      </c>
      <c r="AX782" s="284" t="n">
        <f aca="false">IFERROR(($J782*U782)*$M782, "")</f>
        <v>0</v>
      </c>
      <c r="AY782" s="284" t="n">
        <f aca="false">IFERROR(($J782*V782)*$M782, "")</f>
        <v>0</v>
      </c>
      <c r="AZ782" s="284" t="n">
        <f aca="false">IFERROR(($J782*W782)*$M782, "")</f>
        <v>0</v>
      </c>
      <c r="BA782" s="284" t="n">
        <f aca="false">IFERROR(($J782*X782)*$M782, "")</f>
        <v>0</v>
      </c>
      <c r="BB782" s="284" t="n">
        <f aca="false">IFERROR(($J782*Y782)*$M782, "")</f>
        <v>0</v>
      </c>
      <c r="BC782" s="285" t="n">
        <f aca="false">IFERROR(($J782*Z782)*$M782, "")</f>
        <v>0</v>
      </c>
      <c r="BD782" s="286" t="n">
        <f aca="false">IFERROR(SUMIF($AB$4:$AM$4, "RDEC", AR782:BC782), "")</f>
        <v>0</v>
      </c>
      <c r="BE782" s="286" t="n">
        <f aca="false">IFERROR(SUMIF($AB$4:$AM$4, "SME", AR782:BC782), "")</f>
        <v>0</v>
      </c>
      <c r="BF782" s="286" t="n">
        <f aca="false">IFERROR(SUMIF($AB$4:$AM$4, "De Minimis", AR782:BC782), "")</f>
        <v>0</v>
      </c>
      <c r="BG782" s="287"/>
      <c r="BH782" s="288" t="str">
        <f aca="false">IF((SUM(O782:Z782)&gt;1),"ERROR","")</f>
        <v/>
      </c>
      <c r="BI782" s="287"/>
      <c r="BJ782" s="18" t="str">
        <f aca="false">IF(C768&gt;0, C768, "")</f>
        <v/>
      </c>
      <c r="BL782" s="200"/>
      <c r="BM782" s="200"/>
      <c r="BN782" s="200"/>
    </row>
    <row r="783" customFormat="false" ht="15" hidden="false" customHeight="true" outlineLevel="0" collapsed="false">
      <c r="B783" s="275"/>
      <c r="D783" s="276" t="n">
        <f aca="false">D767</f>
        <v>45505</v>
      </c>
      <c r="E783" s="277" t="n">
        <v>0</v>
      </c>
      <c r="F783" s="277" t="n">
        <v>0</v>
      </c>
      <c r="G783" s="277" t="n">
        <v>0</v>
      </c>
      <c r="H783" s="277" t="n">
        <v>0</v>
      </c>
      <c r="I783" s="277" t="n">
        <v>0</v>
      </c>
      <c r="J783" s="278" t="n">
        <f aca="false">E783+H783+I783</f>
        <v>0</v>
      </c>
      <c r="K783" s="204"/>
      <c r="L783" s="279" t="n">
        <v>1</v>
      </c>
      <c r="M783" s="280" t="n">
        <f aca="false">1-L783</f>
        <v>0</v>
      </c>
      <c r="N783" s="281"/>
      <c r="O783" s="282"/>
      <c r="P783" s="282"/>
      <c r="Q783" s="282"/>
      <c r="R783" s="282"/>
      <c r="S783" s="282"/>
      <c r="T783" s="282"/>
      <c r="U783" s="282"/>
      <c r="V783" s="282"/>
      <c r="W783" s="282"/>
      <c r="X783" s="282"/>
      <c r="Y783" s="282"/>
      <c r="Z783" s="282"/>
      <c r="AA783" s="283"/>
      <c r="AB783" s="284" t="n">
        <f aca="false">IFERROR(($J783*O783)*$L783, "")</f>
        <v>0</v>
      </c>
      <c r="AC783" s="284" t="n">
        <f aca="false">IFERROR(($J783*P783)*$L783, "")</f>
        <v>0</v>
      </c>
      <c r="AD783" s="284" t="n">
        <f aca="false">IFERROR(($J783*Q783)*$L783, "")</f>
        <v>0</v>
      </c>
      <c r="AE783" s="284" t="n">
        <f aca="false">IFERROR(($J783*R783)*$L783, "")</f>
        <v>0</v>
      </c>
      <c r="AF783" s="284" t="n">
        <f aca="false">IFERROR(($J783*S783)*$L783, "")</f>
        <v>0</v>
      </c>
      <c r="AG783" s="284" t="n">
        <f aca="false">IFERROR(($J783*T783)*$L783, "")</f>
        <v>0</v>
      </c>
      <c r="AH783" s="284" t="n">
        <f aca="false">IFERROR(($J783*U783)*$L783, "")</f>
        <v>0</v>
      </c>
      <c r="AI783" s="284" t="n">
        <f aca="false">IFERROR(($J783*V783)*$L783, "")</f>
        <v>0</v>
      </c>
      <c r="AJ783" s="284" t="n">
        <f aca="false">IFERROR(($J783*W783)*$L783, "")</f>
        <v>0</v>
      </c>
      <c r="AK783" s="284" t="n">
        <f aca="false">IFERROR(($J783*X783)*$L783, "")</f>
        <v>0</v>
      </c>
      <c r="AL783" s="284" t="n">
        <f aca="false">IFERROR(($J783*Y783)*$L783, "")</f>
        <v>0</v>
      </c>
      <c r="AM783" s="285" t="n">
        <f aca="false">IFERROR(($J783*Z783)*$L783, "")</f>
        <v>0</v>
      </c>
      <c r="AN783" s="286" t="n">
        <f aca="false">IFERROR(SUMIF($AB$4:$AM$4, "RDEC", AB783:AM783), "")</f>
        <v>0</v>
      </c>
      <c r="AO783" s="286" t="n">
        <f aca="false">IFERROR(SUMIF($AB$4:$AM$4, "SME", AB783:AM783), "")</f>
        <v>0</v>
      </c>
      <c r="AP783" s="286" t="n">
        <f aca="false">IFERROR(SUMIF($AB$4:$AM$4, "De Minimis", AB783:AM783), "")</f>
        <v>0</v>
      </c>
      <c r="AQ783" s="283"/>
      <c r="AR783" s="284" t="n">
        <f aca="false">IFERROR(($J783*O783)*$M783, "")</f>
        <v>0</v>
      </c>
      <c r="AS783" s="284" t="n">
        <f aca="false">IFERROR(($J783*P783)*$M783, "")</f>
        <v>0</v>
      </c>
      <c r="AT783" s="284" t="n">
        <f aca="false">IFERROR(($J783*Q783)*$M783, "")</f>
        <v>0</v>
      </c>
      <c r="AU783" s="284" t="n">
        <f aca="false">IFERROR(($J783*R783)*$M783, "")</f>
        <v>0</v>
      </c>
      <c r="AV783" s="284" t="n">
        <f aca="false">IFERROR(($J783*S783)*$M783, "")</f>
        <v>0</v>
      </c>
      <c r="AW783" s="284" t="n">
        <f aca="false">IFERROR(($J783*T783)*$M783, "")</f>
        <v>0</v>
      </c>
      <c r="AX783" s="284" t="n">
        <f aca="false">IFERROR(($J783*U783)*$M783, "")</f>
        <v>0</v>
      </c>
      <c r="AY783" s="284" t="n">
        <f aca="false">IFERROR(($J783*V783)*$M783, "")</f>
        <v>0</v>
      </c>
      <c r="AZ783" s="284" t="n">
        <f aca="false">IFERROR(($J783*W783)*$M783, "")</f>
        <v>0</v>
      </c>
      <c r="BA783" s="284" t="n">
        <f aca="false">IFERROR(($J783*X783)*$M783, "")</f>
        <v>0</v>
      </c>
      <c r="BB783" s="284" t="n">
        <f aca="false">IFERROR(($J783*Y783)*$M783, "")</f>
        <v>0</v>
      </c>
      <c r="BC783" s="285" t="n">
        <f aca="false">IFERROR(($J783*Z783)*$M783, "")</f>
        <v>0</v>
      </c>
      <c r="BD783" s="286" t="n">
        <f aca="false">IFERROR(SUMIF($AB$4:$AM$4, "RDEC", AR783:BC783), "")</f>
        <v>0</v>
      </c>
      <c r="BE783" s="286" t="n">
        <f aca="false">IFERROR(SUMIF($AB$4:$AM$4, "SME", AR783:BC783), "")</f>
        <v>0</v>
      </c>
      <c r="BF783" s="286" t="n">
        <f aca="false">IFERROR(SUMIF($AB$4:$AM$4, "De Minimis", AR783:BC783), "")</f>
        <v>0</v>
      </c>
      <c r="BG783" s="287"/>
      <c r="BH783" s="288" t="str">
        <f aca="false">IF((SUM(O783:Z783)&gt;1),"ERROR","")</f>
        <v/>
      </c>
      <c r="BI783" s="287"/>
      <c r="BJ783" s="18" t="str">
        <f aca="false">IF(C769&gt;0, C769, "")</f>
        <v/>
      </c>
      <c r="BL783" s="200"/>
      <c r="BM783" s="200"/>
      <c r="BN783" s="200"/>
    </row>
    <row r="784" customFormat="false" ht="15" hidden="false" customHeight="true" outlineLevel="0" collapsed="false">
      <c r="B784" s="275"/>
      <c r="D784" s="276" t="n">
        <f aca="false">D768</f>
        <v>45536</v>
      </c>
      <c r="E784" s="277" t="n">
        <v>0</v>
      </c>
      <c r="F784" s="277" t="n">
        <v>0</v>
      </c>
      <c r="G784" s="277" t="n">
        <v>0</v>
      </c>
      <c r="H784" s="277" t="n">
        <v>0</v>
      </c>
      <c r="I784" s="277" t="n">
        <v>0</v>
      </c>
      <c r="J784" s="278" t="n">
        <f aca="false">E784+H784+I784</f>
        <v>0</v>
      </c>
      <c r="K784" s="204"/>
      <c r="L784" s="279" t="n">
        <v>1</v>
      </c>
      <c r="M784" s="280" t="n">
        <f aca="false">1-L784</f>
        <v>0</v>
      </c>
      <c r="N784" s="281"/>
      <c r="O784" s="282"/>
      <c r="P784" s="282"/>
      <c r="Q784" s="282"/>
      <c r="R784" s="282"/>
      <c r="S784" s="282"/>
      <c r="T784" s="282"/>
      <c r="U784" s="282"/>
      <c r="V784" s="282"/>
      <c r="W784" s="282"/>
      <c r="X784" s="282"/>
      <c r="Y784" s="282"/>
      <c r="Z784" s="282"/>
      <c r="AA784" s="283"/>
      <c r="AB784" s="284" t="n">
        <f aca="false">IFERROR(($J784*O784)*$L784, "")</f>
        <v>0</v>
      </c>
      <c r="AC784" s="284" t="n">
        <f aca="false">IFERROR(($J784*P784)*$L784, "")</f>
        <v>0</v>
      </c>
      <c r="AD784" s="284" t="n">
        <f aca="false">IFERROR(($J784*Q784)*$L784, "")</f>
        <v>0</v>
      </c>
      <c r="AE784" s="284" t="n">
        <f aca="false">IFERROR(($J784*R784)*$L784, "")</f>
        <v>0</v>
      </c>
      <c r="AF784" s="284" t="n">
        <f aca="false">IFERROR(($J784*S784)*$L784, "")</f>
        <v>0</v>
      </c>
      <c r="AG784" s="284" t="n">
        <f aca="false">IFERROR(($J784*T784)*$L784, "")</f>
        <v>0</v>
      </c>
      <c r="AH784" s="284" t="n">
        <f aca="false">IFERROR(($J784*U784)*$L784, "")</f>
        <v>0</v>
      </c>
      <c r="AI784" s="284" t="n">
        <f aca="false">IFERROR(($J784*V784)*$L784, "")</f>
        <v>0</v>
      </c>
      <c r="AJ784" s="284" t="n">
        <f aca="false">IFERROR(($J784*W784)*$L784, "")</f>
        <v>0</v>
      </c>
      <c r="AK784" s="284" t="n">
        <f aca="false">IFERROR(($J784*X784)*$L784, "")</f>
        <v>0</v>
      </c>
      <c r="AL784" s="284" t="n">
        <f aca="false">IFERROR(($J784*Y784)*$L784, "")</f>
        <v>0</v>
      </c>
      <c r="AM784" s="285" t="n">
        <f aca="false">IFERROR(($J784*Z784)*$L784, "")</f>
        <v>0</v>
      </c>
      <c r="AN784" s="286" t="n">
        <f aca="false">IFERROR(SUMIF($AB$4:$AM$4, "RDEC", AB784:AM784), "")</f>
        <v>0</v>
      </c>
      <c r="AO784" s="286" t="n">
        <f aca="false">IFERROR(SUMIF($AB$4:$AM$4, "SME", AB784:AM784), "")</f>
        <v>0</v>
      </c>
      <c r="AP784" s="286" t="n">
        <f aca="false">IFERROR(SUMIF($AB$4:$AM$4, "De Minimis", AB784:AM784), "")</f>
        <v>0</v>
      </c>
      <c r="AQ784" s="283"/>
      <c r="AR784" s="284" t="n">
        <f aca="false">IFERROR(($J784*O784)*$M784, "")</f>
        <v>0</v>
      </c>
      <c r="AS784" s="284" t="n">
        <f aca="false">IFERROR(($J784*P784)*$M784, "")</f>
        <v>0</v>
      </c>
      <c r="AT784" s="284" t="n">
        <f aca="false">IFERROR(($J784*Q784)*$M784, "")</f>
        <v>0</v>
      </c>
      <c r="AU784" s="284" t="n">
        <f aca="false">IFERROR(($J784*R784)*$M784, "")</f>
        <v>0</v>
      </c>
      <c r="AV784" s="284" t="n">
        <f aca="false">IFERROR(($J784*S784)*$M784, "")</f>
        <v>0</v>
      </c>
      <c r="AW784" s="284" t="n">
        <f aca="false">IFERROR(($J784*T784)*$M784, "")</f>
        <v>0</v>
      </c>
      <c r="AX784" s="284" t="n">
        <f aca="false">IFERROR(($J784*U784)*$M784, "")</f>
        <v>0</v>
      </c>
      <c r="AY784" s="284" t="n">
        <f aca="false">IFERROR(($J784*V784)*$M784, "")</f>
        <v>0</v>
      </c>
      <c r="AZ784" s="284" t="n">
        <f aca="false">IFERROR(($J784*W784)*$M784, "")</f>
        <v>0</v>
      </c>
      <c r="BA784" s="284" t="n">
        <f aca="false">IFERROR(($J784*X784)*$M784, "")</f>
        <v>0</v>
      </c>
      <c r="BB784" s="284" t="n">
        <f aca="false">IFERROR(($J784*Y784)*$M784, "")</f>
        <v>0</v>
      </c>
      <c r="BC784" s="285" t="n">
        <f aca="false">IFERROR(($J784*Z784)*$M784, "")</f>
        <v>0</v>
      </c>
      <c r="BD784" s="286" t="n">
        <f aca="false">IFERROR(SUMIF($AB$4:$AM$4, "RDEC", AR784:BC784), "")</f>
        <v>0</v>
      </c>
      <c r="BE784" s="286" t="n">
        <f aca="false">IFERROR(SUMIF($AB$4:$AM$4, "SME", AR784:BC784), "")</f>
        <v>0</v>
      </c>
      <c r="BF784" s="286" t="n">
        <f aca="false">IFERROR(SUMIF($AB$4:$AM$4, "De Minimis", AR784:BC784), "")</f>
        <v>0</v>
      </c>
      <c r="BG784" s="287"/>
      <c r="BH784" s="288" t="str">
        <f aca="false">IF((SUM(O784:Z784)&gt;1),"ERROR","")</f>
        <v/>
      </c>
      <c r="BI784" s="287"/>
      <c r="BJ784" s="18" t="str">
        <f aca="false">IF(C770&gt;0, C770, "")</f>
        <v/>
      </c>
      <c r="BL784" s="200"/>
      <c r="BM784" s="200"/>
      <c r="BN784" s="200"/>
    </row>
    <row r="785" customFormat="false" ht="15" hidden="false" customHeight="true" outlineLevel="0" collapsed="false">
      <c r="B785" s="275"/>
      <c r="D785" s="276" t="n">
        <f aca="false">D769</f>
        <v>45566</v>
      </c>
      <c r="E785" s="277" t="n">
        <v>0</v>
      </c>
      <c r="F785" s="277" t="n">
        <v>0</v>
      </c>
      <c r="G785" s="277" t="n">
        <v>0</v>
      </c>
      <c r="H785" s="277" t="n">
        <v>0</v>
      </c>
      <c r="I785" s="277" t="n">
        <v>0</v>
      </c>
      <c r="J785" s="278" t="n">
        <f aca="false">E785+H785+I785</f>
        <v>0</v>
      </c>
      <c r="K785" s="204"/>
      <c r="L785" s="279" t="n">
        <v>1</v>
      </c>
      <c r="M785" s="280" t="n">
        <f aca="false">1-L785</f>
        <v>0</v>
      </c>
      <c r="N785" s="281"/>
      <c r="O785" s="282"/>
      <c r="P785" s="282"/>
      <c r="Q785" s="282"/>
      <c r="R785" s="282"/>
      <c r="S785" s="282"/>
      <c r="T785" s="282"/>
      <c r="U785" s="282"/>
      <c r="V785" s="282"/>
      <c r="W785" s="282"/>
      <c r="X785" s="282"/>
      <c r="Y785" s="282"/>
      <c r="Z785" s="282"/>
      <c r="AA785" s="283"/>
      <c r="AB785" s="284" t="n">
        <f aca="false">IFERROR(($J785*O785)*$L785, "")</f>
        <v>0</v>
      </c>
      <c r="AC785" s="284" t="n">
        <f aca="false">IFERROR(($J785*P785)*$L785, "")</f>
        <v>0</v>
      </c>
      <c r="AD785" s="284" t="n">
        <f aca="false">IFERROR(($J785*Q785)*$L785, "")</f>
        <v>0</v>
      </c>
      <c r="AE785" s="284" t="n">
        <f aca="false">IFERROR(($J785*R785)*$L785, "")</f>
        <v>0</v>
      </c>
      <c r="AF785" s="284" t="n">
        <f aca="false">IFERROR(($J785*S785)*$L785, "")</f>
        <v>0</v>
      </c>
      <c r="AG785" s="284" t="n">
        <f aca="false">IFERROR(($J785*T785)*$L785, "")</f>
        <v>0</v>
      </c>
      <c r="AH785" s="284" t="n">
        <f aca="false">IFERROR(($J785*U785)*$L785, "")</f>
        <v>0</v>
      </c>
      <c r="AI785" s="284" t="n">
        <f aca="false">IFERROR(($J785*V785)*$L785, "")</f>
        <v>0</v>
      </c>
      <c r="AJ785" s="284" t="n">
        <f aca="false">IFERROR(($J785*W785)*$L785, "")</f>
        <v>0</v>
      </c>
      <c r="AK785" s="284" t="n">
        <f aca="false">IFERROR(($J785*X785)*$L785, "")</f>
        <v>0</v>
      </c>
      <c r="AL785" s="284" t="n">
        <f aca="false">IFERROR(($J785*Y785)*$L785, "")</f>
        <v>0</v>
      </c>
      <c r="AM785" s="285" t="n">
        <f aca="false">IFERROR(($J785*Z785)*$L785, "")</f>
        <v>0</v>
      </c>
      <c r="AN785" s="286" t="n">
        <f aca="false">IFERROR(SUMIF($AB$4:$AM$4, "RDEC", AB785:AM785), "")</f>
        <v>0</v>
      </c>
      <c r="AO785" s="286" t="n">
        <f aca="false">IFERROR(SUMIF($AB$4:$AM$4, "SME", AB785:AM785), "")</f>
        <v>0</v>
      </c>
      <c r="AP785" s="286" t="n">
        <f aca="false">IFERROR(SUMIF($AB$4:$AM$4, "De Minimis", AB785:AM785), "")</f>
        <v>0</v>
      </c>
      <c r="AQ785" s="283"/>
      <c r="AR785" s="284" t="n">
        <f aca="false">IFERROR(($J785*O785)*$M785, "")</f>
        <v>0</v>
      </c>
      <c r="AS785" s="284" t="n">
        <f aca="false">IFERROR(($J785*P785)*$M785, "")</f>
        <v>0</v>
      </c>
      <c r="AT785" s="284" t="n">
        <f aca="false">IFERROR(($J785*Q785)*$M785, "")</f>
        <v>0</v>
      </c>
      <c r="AU785" s="284" t="n">
        <f aca="false">IFERROR(($J785*R785)*$M785, "")</f>
        <v>0</v>
      </c>
      <c r="AV785" s="284" t="n">
        <f aca="false">IFERROR(($J785*S785)*$M785, "")</f>
        <v>0</v>
      </c>
      <c r="AW785" s="284" t="n">
        <f aca="false">IFERROR(($J785*T785)*$M785, "")</f>
        <v>0</v>
      </c>
      <c r="AX785" s="284" t="n">
        <f aca="false">IFERROR(($J785*U785)*$M785, "")</f>
        <v>0</v>
      </c>
      <c r="AY785" s="284" t="n">
        <f aca="false">IFERROR(($J785*V785)*$M785, "")</f>
        <v>0</v>
      </c>
      <c r="AZ785" s="284" t="n">
        <f aca="false">IFERROR(($J785*W785)*$M785, "")</f>
        <v>0</v>
      </c>
      <c r="BA785" s="284" t="n">
        <f aca="false">IFERROR(($J785*X785)*$M785, "")</f>
        <v>0</v>
      </c>
      <c r="BB785" s="284" t="n">
        <f aca="false">IFERROR(($J785*Y785)*$M785, "")</f>
        <v>0</v>
      </c>
      <c r="BC785" s="285" t="n">
        <f aca="false">IFERROR(($J785*Z785)*$M785, "")</f>
        <v>0</v>
      </c>
      <c r="BD785" s="286" t="n">
        <f aca="false">IFERROR(SUMIF($AB$4:$AM$4, "RDEC", AR785:BC785), "")</f>
        <v>0</v>
      </c>
      <c r="BE785" s="286" t="n">
        <f aca="false">IFERROR(SUMIF($AB$4:$AM$4, "SME", AR785:BC785), "")</f>
        <v>0</v>
      </c>
      <c r="BF785" s="286" t="n">
        <f aca="false">IFERROR(SUMIF($AB$4:$AM$4, "De Minimis", AR785:BC785), "")</f>
        <v>0</v>
      </c>
      <c r="BG785" s="287"/>
      <c r="BH785" s="288" t="str">
        <f aca="false">IF((SUM(O785:Z785)&gt;1),"ERROR","")</f>
        <v/>
      </c>
      <c r="BI785" s="287"/>
      <c r="BJ785" s="18" t="str">
        <f aca="false">IF(C771&gt;0, C771, "")</f>
        <v/>
      </c>
      <c r="BL785" s="200"/>
      <c r="BM785" s="200"/>
      <c r="BN785" s="200"/>
    </row>
    <row r="786" customFormat="false" ht="15" hidden="false" customHeight="true" outlineLevel="0" collapsed="false">
      <c r="B786" s="275"/>
      <c r="D786" s="276" t="n">
        <f aca="false">D770</f>
        <v>45597</v>
      </c>
      <c r="E786" s="277" t="n">
        <v>0</v>
      </c>
      <c r="F786" s="277" t="n">
        <v>0</v>
      </c>
      <c r="G786" s="277" t="n">
        <v>0</v>
      </c>
      <c r="H786" s="277" t="n">
        <v>0</v>
      </c>
      <c r="I786" s="277" t="n">
        <v>0</v>
      </c>
      <c r="J786" s="278" t="n">
        <f aca="false">E786+H786+I786</f>
        <v>0</v>
      </c>
      <c r="K786" s="204"/>
      <c r="L786" s="279" t="n">
        <v>1</v>
      </c>
      <c r="M786" s="280" t="n">
        <f aca="false">1-L786</f>
        <v>0</v>
      </c>
      <c r="N786" s="281"/>
      <c r="O786" s="282"/>
      <c r="P786" s="282"/>
      <c r="Q786" s="282"/>
      <c r="R786" s="282"/>
      <c r="S786" s="282"/>
      <c r="T786" s="282"/>
      <c r="U786" s="282"/>
      <c r="V786" s="282"/>
      <c r="W786" s="282"/>
      <c r="X786" s="282"/>
      <c r="Y786" s="282"/>
      <c r="Z786" s="282"/>
      <c r="AA786" s="283"/>
      <c r="AB786" s="284" t="n">
        <f aca="false">IFERROR(($J786*O786)*$L786, "")</f>
        <v>0</v>
      </c>
      <c r="AC786" s="284" t="n">
        <f aca="false">IFERROR(($J786*P786)*$L786, "")</f>
        <v>0</v>
      </c>
      <c r="AD786" s="284" t="n">
        <f aca="false">IFERROR(($J786*Q786)*$L786, "")</f>
        <v>0</v>
      </c>
      <c r="AE786" s="284" t="n">
        <f aca="false">IFERROR(($J786*R786)*$L786, "")</f>
        <v>0</v>
      </c>
      <c r="AF786" s="284" t="n">
        <f aca="false">IFERROR(($J786*S786)*$L786, "")</f>
        <v>0</v>
      </c>
      <c r="AG786" s="284" t="n">
        <f aca="false">IFERROR(($J786*T786)*$L786, "")</f>
        <v>0</v>
      </c>
      <c r="AH786" s="284" t="n">
        <f aca="false">IFERROR(($J786*U786)*$L786, "")</f>
        <v>0</v>
      </c>
      <c r="AI786" s="284" t="n">
        <f aca="false">IFERROR(($J786*V786)*$L786, "")</f>
        <v>0</v>
      </c>
      <c r="AJ786" s="284" t="n">
        <f aca="false">IFERROR(($J786*W786)*$L786, "")</f>
        <v>0</v>
      </c>
      <c r="AK786" s="284" t="n">
        <f aca="false">IFERROR(($J786*X786)*$L786, "")</f>
        <v>0</v>
      </c>
      <c r="AL786" s="284" t="n">
        <f aca="false">IFERROR(($J786*Y786)*$L786, "")</f>
        <v>0</v>
      </c>
      <c r="AM786" s="285" t="n">
        <f aca="false">IFERROR(($J786*Z786)*$L786, "")</f>
        <v>0</v>
      </c>
      <c r="AN786" s="286" t="n">
        <f aca="false">IFERROR(SUMIF($AB$4:$AM$4, "RDEC", AB786:AM786), "")</f>
        <v>0</v>
      </c>
      <c r="AO786" s="286" t="n">
        <f aca="false">IFERROR(SUMIF($AB$4:$AM$4, "SME", AB786:AM786), "")</f>
        <v>0</v>
      </c>
      <c r="AP786" s="286" t="n">
        <f aca="false">IFERROR(SUMIF($AB$4:$AM$4, "De Minimis", AB786:AM786), "")</f>
        <v>0</v>
      </c>
      <c r="AQ786" s="283"/>
      <c r="AR786" s="284" t="n">
        <f aca="false">IFERROR(($J786*O786)*$M786, "")</f>
        <v>0</v>
      </c>
      <c r="AS786" s="284" t="n">
        <f aca="false">IFERROR(($J786*P786)*$M786, "")</f>
        <v>0</v>
      </c>
      <c r="AT786" s="284" t="n">
        <f aca="false">IFERROR(($J786*Q786)*$M786, "")</f>
        <v>0</v>
      </c>
      <c r="AU786" s="284" t="n">
        <f aca="false">IFERROR(($J786*R786)*$M786, "")</f>
        <v>0</v>
      </c>
      <c r="AV786" s="284" t="n">
        <f aca="false">IFERROR(($J786*S786)*$M786, "")</f>
        <v>0</v>
      </c>
      <c r="AW786" s="284" t="n">
        <f aca="false">IFERROR(($J786*T786)*$M786, "")</f>
        <v>0</v>
      </c>
      <c r="AX786" s="284" t="n">
        <f aca="false">IFERROR(($J786*U786)*$M786, "")</f>
        <v>0</v>
      </c>
      <c r="AY786" s="284" t="n">
        <f aca="false">IFERROR(($J786*V786)*$M786, "")</f>
        <v>0</v>
      </c>
      <c r="AZ786" s="284" t="n">
        <f aca="false">IFERROR(($J786*W786)*$M786, "")</f>
        <v>0</v>
      </c>
      <c r="BA786" s="284" t="n">
        <f aca="false">IFERROR(($J786*X786)*$M786, "")</f>
        <v>0</v>
      </c>
      <c r="BB786" s="284" t="n">
        <f aca="false">IFERROR(($J786*Y786)*$M786, "")</f>
        <v>0</v>
      </c>
      <c r="BC786" s="285" t="n">
        <f aca="false">IFERROR(($J786*Z786)*$M786, "")</f>
        <v>0</v>
      </c>
      <c r="BD786" s="286" t="n">
        <f aca="false">IFERROR(SUMIF($AB$4:$AM$4, "RDEC", AR786:BC786), "")</f>
        <v>0</v>
      </c>
      <c r="BE786" s="286" t="n">
        <f aca="false">IFERROR(SUMIF($AB$4:$AM$4, "SME", AR786:BC786), "")</f>
        <v>0</v>
      </c>
      <c r="BF786" s="286" t="n">
        <f aca="false">IFERROR(SUMIF($AB$4:$AM$4, "De Minimis", AR786:BC786), "")</f>
        <v>0</v>
      </c>
      <c r="BG786" s="287"/>
      <c r="BH786" s="288" t="str">
        <f aca="false">IF((SUM(O786:Z786)&gt;1),"ERROR","")</f>
        <v/>
      </c>
      <c r="BI786" s="287"/>
      <c r="BJ786" s="18" t="str">
        <f aca="false">IF(C772&gt;0, C772, "")</f>
        <v/>
      </c>
      <c r="BL786" s="200"/>
      <c r="BM786" s="200"/>
      <c r="BN786" s="200"/>
    </row>
    <row r="787" customFormat="false" ht="15" hidden="false" customHeight="true" outlineLevel="0" collapsed="false">
      <c r="B787" s="275"/>
      <c r="D787" s="276" t="n">
        <f aca="false">D771</f>
        <v>45627</v>
      </c>
      <c r="E787" s="277" t="n">
        <v>0</v>
      </c>
      <c r="F787" s="277" t="n">
        <v>0</v>
      </c>
      <c r="G787" s="277" t="n">
        <v>0</v>
      </c>
      <c r="H787" s="277" t="n">
        <v>0</v>
      </c>
      <c r="I787" s="277" t="n">
        <v>0</v>
      </c>
      <c r="J787" s="278" t="n">
        <f aca="false">E787+H787+I787</f>
        <v>0</v>
      </c>
      <c r="K787" s="204"/>
      <c r="L787" s="289" t="n">
        <v>1</v>
      </c>
      <c r="M787" s="290" t="n">
        <f aca="false">1-L787</f>
        <v>0</v>
      </c>
      <c r="N787" s="281"/>
      <c r="O787" s="291"/>
      <c r="P787" s="291"/>
      <c r="Q787" s="291"/>
      <c r="R787" s="291"/>
      <c r="S787" s="291"/>
      <c r="T787" s="291"/>
      <c r="U787" s="291"/>
      <c r="V787" s="291"/>
      <c r="W787" s="291"/>
      <c r="X787" s="291"/>
      <c r="Y787" s="291"/>
      <c r="Z787" s="291"/>
      <c r="AA787" s="283"/>
      <c r="AB787" s="292" t="n">
        <f aca="false">IFERROR(($J787*O787)*$L787, "")</f>
        <v>0</v>
      </c>
      <c r="AC787" s="292" t="n">
        <f aca="false">IFERROR(($J787*P787)*$L787, "")</f>
        <v>0</v>
      </c>
      <c r="AD787" s="292" t="n">
        <f aca="false">IFERROR(($J787*Q787)*$L787, "")</f>
        <v>0</v>
      </c>
      <c r="AE787" s="292" t="n">
        <f aca="false">IFERROR(($J787*R787)*$L787, "")</f>
        <v>0</v>
      </c>
      <c r="AF787" s="292" t="n">
        <f aca="false">IFERROR(($J787*S787)*$L787, "")</f>
        <v>0</v>
      </c>
      <c r="AG787" s="292" t="n">
        <f aca="false">IFERROR(($J787*T787)*$L787, "")</f>
        <v>0</v>
      </c>
      <c r="AH787" s="292" t="n">
        <f aca="false">IFERROR(($J787*U787)*$L787, "")</f>
        <v>0</v>
      </c>
      <c r="AI787" s="292" t="n">
        <f aca="false">IFERROR(($J787*V787)*$L787, "")</f>
        <v>0</v>
      </c>
      <c r="AJ787" s="292" t="n">
        <f aca="false">IFERROR(($J787*W787)*$L787, "")</f>
        <v>0</v>
      </c>
      <c r="AK787" s="292" t="n">
        <f aca="false">IFERROR(($J787*X787)*$L787, "")</f>
        <v>0</v>
      </c>
      <c r="AL787" s="292" t="n">
        <f aca="false">IFERROR(($J787*Y787)*$L787, "")</f>
        <v>0</v>
      </c>
      <c r="AM787" s="293" t="n">
        <f aca="false">IFERROR(($J787*Z787)*$L787, "")</f>
        <v>0</v>
      </c>
      <c r="AN787" s="294" t="n">
        <f aca="false">IFERROR(SUMIF($AB$4:$AM$4, "RDEC", AB787:AM787), "")</f>
        <v>0</v>
      </c>
      <c r="AO787" s="294" t="n">
        <f aca="false">IFERROR(SUMIF($AB$4:$AM$4, "SME", AB787:AM787), "")</f>
        <v>0</v>
      </c>
      <c r="AP787" s="294" t="n">
        <f aca="false">IFERROR(SUMIF($AB$4:$AM$4, "De Minimis", AB787:AM787), "")</f>
        <v>0</v>
      </c>
      <c r="AQ787" s="283"/>
      <c r="AR787" s="292" t="n">
        <f aca="false">IFERROR(($J787*O787)*$M787, "")</f>
        <v>0</v>
      </c>
      <c r="AS787" s="292" t="n">
        <f aca="false">IFERROR(($J787*P787)*$M787, "")</f>
        <v>0</v>
      </c>
      <c r="AT787" s="292" t="n">
        <f aca="false">IFERROR(($J787*Q787)*$M787, "")</f>
        <v>0</v>
      </c>
      <c r="AU787" s="292" t="n">
        <f aca="false">IFERROR(($J787*R787)*$M787, "")</f>
        <v>0</v>
      </c>
      <c r="AV787" s="292" t="n">
        <f aca="false">IFERROR(($J787*S787)*$M787, "")</f>
        <v>0</v>
      </c>
      <c r="AW787" s="292" t="n">
        <f aca="false">IFERROR(($J787*T787)*$M787, "")</f>
        <v>0</v>
      </c>
      <c r="AX787" s="292" t="n">
        <f aca="false">IFERROR(($J787*U787)*$M787, "")</f>
        <v>0</v>
      </c>
      <c r="AY787" s="292" t="n">
        <f aca="false">IFERROR(($J787*V787)*$M787, "")</f>
        <v>0</v>
      </c>
      <c r="AZ787" s="292" t="n">
        <f aca="false">IFERROR(($J787*W787)*$M787, "")</f>
        <v>0</v>
      </c>
      <c r="BA787" s="292" t="n">
        <f aca="false">IFERROR(($J787*X787)*$M787, "")</f>
        <v>0</v>
      </c>
      <c r="BB787" s="292" t="n">
        <f aca="false">IFERROR(($J787*Y787)*$M787, "")</f>
        <v>0</v>
      </c>
      <c r="BC787" s="293" t="n">
        <f aca="false">IFERROR(($J787*Z787)*$M787, "")</f>
        <v>0</v>
      </c>
      <c r="BD787" s="294" t="n">
        <f aca="false">IFERROR(SUMIF($AB$4:$AM$4, "RDEC", AR787:BC787), "")</f>
        <v>0</v>
      </c>
      <c r="BE787" s="294" t="n">
        <f aca="false">IFERROR(SUMIF($AB$4:$AM$4, "SME", AR787:BC787), "")</f>
        <v>0</v>
      </c>
      <c r="BF787" s="294" t="n">
        <f aca="false">IFERROR(SUMIF($AB$4:$AM$4, "De Minimis", AR787:BC787), "")</f>
        <v>0</v>
      </c>
      <c r="BG787" s="287"/>
      <c r="BH787" s="295" t="str">
        <f aca="false">IF((SUM(O787:Z787)&gt;1),"ERROR","")</f>
        <v/>
      </c>
      <c r="BI787" s="287"/>
      <c r="BJ787" s="18" t="str">
        <f aca="false">IF(C773&gt;0, C773, "")</f>
        <v/>
      </c>
      <c r="BL787" s="200"/>
      <c r="BM787" s="200"/>
      <c r="BN787" s="200"/>
    </row>
    <row r="788" customFormat="false" ht="15" hidden="false" customHeight="true" outlineLevel="0" collapsed="false">
      <c r="B788" s="296"/>
      <c r="D788" s="297" t="s">
        <v>82</v>
      </c>
      <c r="E788" s="298" t="n">
        <f aca="false">SUM(E776:E787)</f>
        <v>0</v>
      </c>
      <c r="F788" s="298" t="n">
        <f aca="false">SUM(F776:F787)</f>
        <v>0</v>
      </c>
      <c r="G788" s="298" t="n">
        <f aca="false">SUM(G776:G787)</f>
        <v>0</v>
      </c>
      <c r="H788" s="298" t="n">
        <f aca="false">SUM(H776:H787)</f>
        <v>0</v>
      </c>
      <c r="I788" s="298" t="n">
        <f aca="false">SUM(I776:I787)</f>
        <v>0</v>
      </c>
      <c r="J788" s="299" t="n">
        <f aca="false">SUM(J776:J787)</f>
        <v>0</v>
      </c>
      <c r="K788" s="300"/>
      <c r="L788" s="301" t="n">
        <f aca="false">AVERAGE(L776:L787)</f>
        <v>1</v>
      </c>
      <c r="M788" s="301" t="n">
        <f aca="false">AVERAGE(M776:M787)</f>
        <v>0</v>
      </c>
      <c r="N788" s="302"/>
      <c r="O788" s="290" t="n">
        <f aca="false">IF(SUM(O776:O787)&gt;0,((AB788+AR788)/J788),0)</f>
        <v>0</v>
      </c>
      <c r="P788" s="290" t="n">
        <f aca="false">IF(SUM(P776:P787)&gt;0,((AC788+AS788)/J788),0)</f>
        <v>0</v>
      </c>
      <c r="Q788" s="290" t="n">
        <f aca="false">IF(SUM(Q776:Q787)&gt;0,((AD788+AT788)/J788),0)</f>
        <v>0</v>
      </c>
      <c r="R788" s="290" t="n">
        <f aca="false">IF(SUM(R776:R787)&gt;0,((AE788+AU788)/J788),0)</f>
        <v>0</v>
      </c>
      <c r="S788" s="290" t="n">
        <f aca="false">IF(SUM(S776:S787)&gt;0,((AF788+AV788)/J788),0)</f>
        <v>0</v>
      </c>
      <c r="T788" s="290" t="n">
        <f aca="false">IF(SUM(T776:T787)&gt;0,((AG788+AW788)/J788),0)</f>
        <v>0</v>
      </c>
      <c r="U788" s="290" t="n">
        <f aca="false">IF(SUM(U776:U787)&gt;0,((AH788+AX788)/J788),0)</f>
        <v>0</v>
      </c>
      <c r="V788" s="290" t="n">
        <f aca="false">IF(SUM(V776:V787)&gt;0,((AI788+AY788)/J788),0)</f>
        <v>0</v>
      </c>
      <c r="W788" s="290" t="n">
        <f aca="false">IF(SUM(W776:W787)&gt;0,((AJ788+AZ788)/J788),0)</f>
        <v>0</v>
      </c>
      <c r="X788" s="290" t="n">
        <f aca="false">IF(SUM(X776:X787)&gt;0,((AK788+BA788)/J788),0)</f>
        <v>0</v>
      </c>
      <c r="Y788" s="290" t="n">
        <f aca="false">IF(SUM(Y776:Y787)&gt;0,((AL788+BB788)/J788),0)</f>
        <v>0</v>
      </c>
      <c r="Z788" s="290" t="n">
        <f aca="false">IF(SUM(Z776:Z787)&gt;0,((AM788+BC788)/J788),0)</f>
        <v>0</v>
      </c>
      <c r="AA788" s="303"/>
      <c r="AB788" s="292" t="n">
        <f aca="false">SUM(AB776:AB787)</f>
        <v>0</v>
      </c>
      <c r="AC788" s="304" t="n">
        <f aca="false">SUM(AC776:AC787)</f>
        <v>0</v>
      </c>
      <c r="AD788" s="304" t="n">
        <f aca="false">SUM(AD776:AD787)</f>
        <v>0</v>
      </c>
      <c r="AE788" s="304" t="n">
        <f aca="false">SUM(AE776:AE787)</f>
        <v>0</v>
      </c>
      <c r="AF788" s="304" t="n">
        <f aca="false">SUM(AF776:AF787)</f>
        <v>0</v>
      </c>
      <c r="AG788" s="304" t="n">
        <f aca="false">SUM(AG776:AG787)</f>
        <v>0</v>
      </c>
      <c r="AH788" s="304" t="n">
        <f aca="false">SUM(AH776:AH787)</f>
        <v>0</v>
      </c>
      <c r="AI788" s="304" t="n">
        <f aca="false">SUM(AI776:AI787)</f>
        <v>0</v>
      </c>
      <c r="AJ788" s="304" t="n">
        <f aca="false">SUM(AJ776:AJ787)</f>
        <v>0</v>
      </c>
      <c r="AK788" s="304" t="n">
        <f aca="false">SUM(AK776:AK787)</f>
        <v>0</v>
      </c>
      <c r="AL788" s="304" t="n">
        <f aca="false">SUM(AL776:AL787)</f>
        <v>0</v>
      </c>
      <c r="AM788" s="304" t="n">
        <f aca="false">SUM(AM776:AM787)</f>
        <v>0</v>
      </c>
      <c r="AN788" s="305" t="n">
        <f aca="false">SUM(AN776:AN787)</f>
        <v>0</v>
      </c>
      <c r="AO788" s="305" t="n">
        <f aca="false">SUM(AO776:AO787)</f>
        <v>0</v>
      </c>
      <c r="AP788" s="305" t="n">
        <f aca="false">SUM(AP776:AP787)</f>
        <v>0</v>
      </c>
      <c r="AQ788" s="303"/>
      <c r="AR788" s="292" t="n">
        <f aca="false">SUM(AR776:AR787)</f>
        <v>0</v>
      </c>
      <c r="AS788" s="304" t="n">
        <f aca="false">SUM(AS776:AS787)</f>
        <v>0</v>
      </c>
      <c r="AT788" s="304" t="n">
        <f aca="false">SUM(AT776:AT787)</f>
        <v>0</v>
      </c>
      <c r="AU788" s="304" t="n">
        <f aca="false">SUM(AU776:AU787)</f>
        <v>0</v>
      </c>
      <c r="AV788" s="304" t="n">
        <f aca="false">SUM(AV776:AV787)</f>
        <v>0</v>
      </c>
      <c r="AW788" s="304" t="n">
        <f aca="false">SUM(AW776:AW787)</f>
        <v>0</v>
      </c>
      <c r="AX788" s="304" t="n">
        <f aca="false">SUM(AX776:AX787)</f>
        <v>0</v>
      </c>
      <c r="AY788" s="304" t="n">
        <f aca="false">SUM(AY776:AY787)</f>
        <v>0</v>
      </c>
      <c r="AZ788" s="304" t="n">
        <f aca="false">SUM(AZ776:AZ787)</f>
        <v>0</v>
      </c>
      <c r="BA788" s="304" t="n">
        <f aca="false">SUM(BA776:BA787)</f>
        <v>0</v>
      </c>
      <c r="BB788" s="304" t="n">
        <f aca="false">SUM(BB776:BB787)</f>
        <v>0</v>
      </c>
      <c r="BC788" s="304" t="n">
        <f aca="false">SUM(BC776:BC787)</f>
        <v>0</v>
      </c>
      <c r="BD788" s="305" t="n">
        <f aca="false">SUM(BD776:BD787)</f>
        <v>0</v>
      </c>
      <c r="BE788" s="305" t="n">
        <f aca="false">SUM(BE776:BE787)</f>
        <v>0</v>
      </c>
      <c r="BF788" s="305" t="n">
        <f aca="false">SUM(BF776:BF787)</f>
        <v>0</v>
      </c>
      <c r="BG788" s="303"/>
      <c r="BH788" s="306"/>
      <c r="BI788" s="303"/>
      <c r="BJ788" s="307" t="str">
        <f aca="false">IF(C774&gt;0, C774, "")</f>
        <v>TBA</v>
      </c>
      <c r="BK788" s="18" t="s">
        <v>234</v>
      </c>
      <c r="BL788" s="200" t="n">
        <f aca="false">IF($BK788="Y",J788,0)</f>
        <v>0</v>
      </c>
      <c r="BM788" s="200" t="n">
        <f aca="false">IF(BK788="Y", AN788,0)</f>
        <v>0</v>
      </c>
      <c r="BN788" s="200" t="n">
        <f aca="false">IF((BK788="Y"),AO788,0)</f>
        <v>0</v>
      </c>
    </row>
    <row r="789" customFormat="false" ht="15" hidden="false" customHeight="true" outlineLevel="0" collapsed="false">
      <c r="B789" s="296"/>
      <c r="D789" s="297"/>
      <c r="E789" s="277"/>
      <c r="F789" s="277"/>
      <c r="G789" s="277"/>
      <c r="H789" s="277"/>
      <c r="I789" s="277"/>
      <c r="J789" s="300"/>
      <c r="K789" s="300"/>
      <c r="L789" s="302"/>
      <c r="M789" s="302"/>
      <c r="N789" s="302"/>
      <c r="O789" s="308"/>
      <c r="P789" s="308"/>
      <c r="Q789" s="308"/>
      <c r="R789" s="308"/>
      <c r="S789" s="308"/>
      <c r="T789" s="308"/>
      <c r="U789" s="308"/>
      <c r="V789" s="308"/>
      <c r="W789" s="308"/>
      <c r="X789" s="308"/>
      <c r="Y789" s="308"/>
      <c r="Z789" s="308"/>
      <c r="AA789" s="303"/>
      <c r="AB789" s="303"/>
      <c r="AC789" s="303"/>
      <c r="AD789" s="303"/>
      <c r="AE789" s="303"/>
      <c r="AF789" s="303"/>
      <c r="AG789" s="303"/>
      <c r="AH789" s="303"/>
      <c r="AI789" s="303"/>
      <c r="AJ789" s="303"/>
      <c r="AK789" s="303"/>
      <c r="AL789" s="303"/>
      <c r="AM789" s="303"/>
      <c r="AN789" s="303"/>
      <c r="AO789" s="303"/>
      <c r="AP789" s="303"/>
      <c r="AQ789" s="303"/>
      <c r="AR789" s="303"/>
      <c r="AS789" s="303"/>
      <c r="AT789" s="303"/>
      <c r="AU789" s="303"/>
      <c r="AV789" s="303"/>
      <c r="AW789" s="303"/>
      <c r="AX789" s="303"/>
      <c r="AY789" s="303"/>
      <c r="AZ789" s="303"/>
      <c r="BA789" s="303"/>
      <c r="BB789" s="303"/>
      <c r="BC789" s="303"/>
      <c r="BD789" s="303"/>
      <c r="BE789" s="303"/>
      <c r="BF789" s="303"/>
      <c r="BG789" s="303"/>
      <c r="BH789" s="303"/>
      <c r="BI789" s="303"/>
      <c r="BJ789" s="307" t="str">
        <f aca="false">IF(C776&gt;0, C776, "")</f>
        <v/>
      </c>
      <c r="BL789" s="200"/>
      <c r="BM789" s="200"/>
      <c r="BN789" s="200"/>
    </row>
    <row r="790" customFormat="false" ht="15" hidden="false" customHeight="true" outlineLevel="0" collapsed="false">
      <c r="A790" s="198" t="n">
        <f aca="false">A774+1</f>
        <v>50</v>
      </c>
      <c r="B790" s="266" t="s">
        <v>253</v>
      </c>
      <c r="C790" s="266" t="s">
        <v>253</v>
      </c>
      <c r="D790" s="267"/>
      <c r="E790" s="242"/>
      <c r="F790" s="242"/>
      <c r="G790" s="242"/>
      <c r="H790" s="242"/>
      <c r="I790" s="242"/>
      <c r="J790" s="241"/>
      <c r="K790" s="241"/>
      <c r="L790" s="241"/>
      <c r="M790" s="241"/>
      <c r="N790" s="241"/>
      <c r="O790" s="268"/>
      <c r="P790" s="268"/>
      <c r="Q790" s="268"/>
      <c r="R790" s="268"/>
      <c r="S790" s="268"/>
      <c r="T790" s="268"/>
      <c r="U790" s="268"/>
      <c r="V790" s="268"/>
      <c r="W790" s="268"/>
      <c r="X790" s="268"/>
      <c r="Y790" s="268"/>
      <c r="Z790" s="268"/>
      <c r="AA790" s="268"/>
      <c r="AB790" s="268"/>
      <c r="AC790" s="268"/>
      <c r="AD790" s="268"/>
      <c r="AE790" s="268"/>
      <c r="AF790" s="268"/>
      <c r="AG790" s="268"/>
      <c r="AH790" s="268"/>
      <c r="AI790" s="268"/>
      <c r="AJ790" s="268"/>
      <c r="AK790" s="268"/>
      <c r="AL790" s="268"/>
      <c r="AM790" s="268"/>
      <c r="AN790" s="268"/>
      <c r="AO790" s="268"/>
      <c r="AP790" s="268"/>
      <c r="AQ790" s="268"/>
      <c r="AR790" s="268"/>
      <c r="AS790" s="268"/>
      <c r="AT790" s="268"/>
      <c r="AU790" s="268"/>
      <c r="AV790" s="268"/>
      <c r="AW790" s="268"/>
      <c r="AX790" s="268"/>
      <c r="AY790" s="268"/>
      <c r="AZ790" s="268"/>
      <c r="BA790" s="268"/>
      <c r="BB790" s="268"/>
      <c r="BC790" s="268"/>
      <c r="BD790" s="268"/>
      <c r="BE790" s="268"/>
      <c r="BF790" s="268"/>
      <c r="BG790" s="268"/>
      <c r="BH790" s="268"/>
      <c r="BI790" s="268"/>
      <c r="BJ790" s="18" t="str">
        <f aca="false">IF(C777&gt;0, C777, "")</f>
        <v/>
      </c>
      <c r="BL790" s="200"/>
      <c r="BM790" s="200"/>
      <c r="BN790" s="200"/>
    </row>
    <row r="791" customFormat="false" ht="7.5" hidden="false" customHeight="true" outlineLevel="0" collapsed="false">
      <c r="A791" s="198"/>
      <c r="B791" s="266"/>
      <c r="C791" s="266"/>
      <c r="D791" s="267"/>
      <c r="E791" s="242"/>
      <c r="F791" s="242"/>
      <c r="G791" s="242"/>
      <c r="H791" s="242"/>
      <c r="I791" s="242"/>
      <c r="J791" s="241"/>
      <c r="K791" s="241"/>
      <c r="L791" s="269"/>
      <c r="M791" s="269"/>
      <c r="N791" s="270"/>
      <c r="O791" s="269"/>
      <c r="P791" s="269"/>
      <c r="Q791" s="269"/>
      <c r="R791" s="269"/>
      <c r="S791" s="269"/>
      <c r="T791" s="269"/>
      <c r="U791" s="269"/>
      <c r="V791" s="269"/>
      <c r="W791" s="269"/>
      <c r="X791" s="269"/>
      <c r="Y791" s="269"/>
      <c r="Z791" s="269"/>
      <c r="AA791" s="268"/>
      <c r="AB791" s="271"/>
      <c r="AC791" s="271"/>
      <c r="AD791" s="271"/>
      <c r="AE791" s="271"/>
      <c r="AF791" s="271"/>
      <c r="AG791" s="271"/>
      <c r="AH791" s="271"/>
      <c r="AI791" s="271"/>
      <c r="AJ791" s="271"/>
      <c r="AK791" s="271"/>
      <c r="AL791" s="271"/>
      <c r="AM791" s="272"/>
      <c r="AN791" s="273"/>
      <c r="AO791" s="273"/>
      <c r="AP791" s="273"/>
      <c r="AQ791" s="268"/>
      <c r="AR791" s="271"/>
      <c r="AS791" s="271"/>
      <c r="AT791" s="271"/>
      <c r="AU791" s="271"/>
      <c r="AV791" s="271"/>
      <c r="AW791" s="271"/>
      <c r="AX791" s="271"/>
      <c r="AY791" s="271"/>
      <c r="AZ791" s="271"/>
      <c r="BA791" s="271"/>
      <c r="BB791" s="271"/>
      <c r="BC791" s="272"/>
      <c r="BD791" s="273"/>
      <c r="BE791" s="273"/>
      <c r="BF791" s="273"/>
      <c r="BG791" s="268"/>
      <c r="BH791" s="274"/>
      <c r="BI791" s="268"/>
      <c r="BL791" s="200"/>
      <c r="BM791" s="200"/>
      <c r="BN791" s="200"/>
    </row>
    <row r="792" customFormat="false" ht="15" hidden="false" customHeight="true" outlineLevel="0" collapsed="false">
      <c r="B792" s="275"/>
      <c r="D792" s="276" t="n">
        <f aca="false">D776</f>
        <v>45292</v>
      </c>
      <c r="E792" s="277" t="n">
        <v>0</v>
      </c>
      <c r="F792" s="277" t="n">
        <v>0</v>
      </c>
      <c r="G792" s="277" t="n">
        <v>0</v>
      </c>
      <c r="H792" s="277" t="n">
        <v>0</v>
      </c>
      <c r="I792" s="277" t="n">
        <v>0</v>
      </c>
      <c r="J792" s="278" t="n">
        <f aca="false">E792+H792+I792</f>
        <v>0</v>
      </c>
      <c r="K792" s="204"/>
      <c r="L792" s="279" t="n">
        <v>1</v>
      </c>
      <c r="M792" s="280" t="n">
        <f aca="false">1-L792</f>
        <v>0</v>
      </c>
      <c r="N792" s="281"/>
      <c r="O792" s="282"/>
      <c r="P792" s="282"/>
      <c r="Q792" s="282"/>
      <c r="R792" s="282"/>
      <c r="S792" s="282"/>
      <c r="T792" s="282"/>
      <c r="U792" s="282"/>
      <c r="V792" s="282"/>
      <c r="W792" s="282"/>
      <c r="X792" s="282"/>
      <c r="Y792" s="282"/>
      <c r="Z792" s="282"/>
      <c r="AA792" s="283"/>
      <c r="AB792" s="284" t="n">
        <f aca="false">IFERROR(($J792*O792)*$L792, "")</f>
        <v>0</v>
      </c>
      <c r="AC792" s="284" t="n">
        <f aca="false">IFERROR(($J792*P792)*$L792, "")</f>
        <v>0</v>
      </c>
      <c r="AD792" s="284" t="n">
        <f aca="false">IFERROR(($J792*Q792)*$L792, "")</f>
        <v>0</v>
      </c>
      <c r="AE792" s="284" t="n">
        <f aca="false">IFERROR(($J792*R792)*$L792, "")</f>
        <v>0</v>
      </c>
      <c r="AF792" s="284" t="n">
        <f aca="false">IFERROR(($J792*S792)*$L792, "")</f>
        <v>0</v>
      </c>
      <c r="AG792" s="284" t="n">
        <f aca="false">IFERROR(($J792*T792)*$L792, "")</f>
        <v>0</v>
      </c>
      <c r="AH792" s="284" t="n">
        <f aca="false">IFERROR(($J792*U792)*$L792, "")</f>
        <v>0</v>
      </c>
      <c r="AI792" s="284" t="n">
        <f aca="false">IFERROR(($J792*V792)*$L792, "")</f>
        <v>0</v>
      </c>
      <c r="AJ792" s="284" t="n">
        <f aca="false">IFERROR(($J792*W792)*$L792, "")</f>
        <v>0</v>
      </c>
      <c r="AK792" s="284" t="n">
        <f aca="false">IFERROR(($J792*X792)*$L792, "")</f>
        <v>0</v>
      </c>
      <c r="AL792" s="284" t="n">
        <f aca="false">IFERROR(($J792*Y792)*$L792, "")</f>
        <v>0</v>
      </c>
      <c r="AM792" s="285" t="n">
        <f aca="false">IFERROR(($J792*Z792)*$L792, "")</f>
        <v>0</v>
      </c>
      <c r="AN792" s="286" t="n">
        <f aca="false">IFERROR(SUMIF($AB$4:$AM$4, "RDEC", AB792:AM792), "")</f>
        <v>0</v>
      </c>
      <c r="AO792" s="286" t="n">
        <f aca="false">IFERROR(SUMIF($AB$4:$AM$4, "SME", AB792:AM792), "")</f>
        <v>0</v>
      </c>
      <c r="AP792" s="286" t="n">
        <f aca="false">IFERROR(SUMIF($AB$4:$AM$4, "De Minimis", AB792:AM792), "")</f>
        <v>0</v>
      </c>
      <c r="AQ792" s="283"/>
      <c r="AR792" s="284" t="n">
        <f aca="false">IFERROR(($J792*O792)*$M792, "")</f>
        <v>0</v>
      </c>
      <c r="AS792" s="284" t="n">
        <f aca="false">IFERROR(($J792*P792)*$M792, "")</f>
        <v>0</v>
      </c>
      <c r="AT792" s="284" t="n">
        <f aca="false">IFERROR(($J792*Q792)*$M792, "")</f>
        <v>0</v>
      </c>
      <c r="AU792" s="284" t="n">
        <f aca="false">IFERROR(($J792*R792)*$M792, "")</f>
        <v>0</v>
      </c>
      <c r="AV792" s="284" t="n">
        <f aca="false">IFERROR(($J792*S792)*$M792, "")</f>
        <v>0</v>
      </c>
      <c r="AW792" s="284" t="n">
        <f aca="false">IFERROR(($J792*T792)*$M792, "")</f>
        <v>0</v>
      </c>
      <c r="AX792" s="284" t="n">
        <f aca="false">IFERROR(($J792*U792)*$M792, "")</f>
        <v>0</v>
      </c>
      <c r="AY792" s="284" t="n">
        <f aca="false">IFERROR(($J792*V792)*$M792, "")</f>
        <v>0</v>
      </c>
      <c r="AZ792" s="284" t="n">
        <f aca="false">IFERROR(($J792*W792)*$M792, "")</f>
        <v>0</v>
      </c>
      <c r="BA792" s="284" t="n">
        <f aca="false">IFERROR(($J792*X792)*$M792, "")</f>
        <v>0</v>
      </c>
      <c r="BB792" s="284" t="n">
        <f aca="false">IFERROR(($J792*Y792)*$M792, "")</f>
        <v>0</v>
      </c>
      <c r="BC792" s="285" t="n">
        <f aca="false">IFERROR(($J792*Z792)*$M792, "")</f>
        <v>0</v>
      </c>
      <c r="BD792" s="286" t="n">
        <f aca="false">IFERROR(SUMIF($AB$4:$AM$4, "RDEC", AR792:BC792), "")</f>
        <v>0</v>
      </c>
      <c r="BE792" s="286" t="n">
        <f aca="false">IFERROR(SUMIF($AB$4:$AM$4, "SME", AR792:BC792), "")</f>
        <v>0</v>
      </c>
      <c r="BF792" s="286" t="n">
        <f aca="false">IFERROR(SUMIF($AB$4:$AM$4, "De Minimis", AR792:BC792), "")</f>
        <v>0</v>
      </c>
      <c r="BG792" s="287"/>
      <c r="BH792" s="288" t="str">
        <f aca="false">IF((SUM(O792:Z792)&gt;1),"ERROR","")</f>
        <v/>
      </c>
      <c r="BI792" s="287"/>
      <c r="BJ792" s="18" t="str">
        <f aca="false">IF(C778&gt;0, C778, "")</f>
        <v/>
      </c>
      <c r="BL792" s="200"/>
      <c r="BM792" s="200"/>
      <c r="BN792" s="200"/>
    </row>
    <row r="793" customFormat="false" ht="15" hidden="false" customHeight="true" outlineLevel="0" collapsed="false">
      <c r="B793" s="275"/>
      <c r="D793" s="276" t="n">
        <f aca="false">D777</f>
        <v>45323</v>
      </c>
      <c r="E793" s="277" t="n">
        <v>0</v>
      </c>
      <c r="F793" s="277" t="n">
        <v>0</v>
      </c>
      <c r="G793" s="277" t="n">
        <v>0</v>
      </c>
      <c r="H793" s="277" t="n">
        <v>0</v>
      </c>
      <c r="I793" s="277" t="n">
        <v>0</v>
      </c>
      <c r="J793" s="278" t="n">
        <f aca="false">E793+H793+I793</f>
        <v>0</v>
      </c>
      <c r="K793" s="204"/>
      <c r="L793" s="279" t="n">
        <v>1</v>
      </c>
      <c r="M793" s="280" t="n">
        <f aca="false">1-L793</f>
        <v>0</v>
      </c>
      <c r="N793" s="281"/>
      <c r="O793" s="282"/>
      <c r="P793" s="282"/>
      <c r="Q793" s="282"/>
      <c r="R793" s="282"/>
      <c r="S793" s="282"/>
      <c r="T793" s="282"/>
      <c r="U793" s="282"/>
      <c r="V793" s="282"/>
      <c r="W793" s="282"/>
      <c r="X793" s="282"/>
      <c r="Y793" s="282"/>
      <c r="Z793" s="282"/>
      <c r="AA793" s="283"/>
      <c r="AB793" s="284" t="n">
        <f aca="false">IFERROR(($J793*O793)*$L793, "")</f>
        <v>0</v>
      </c>
      <c r="AC793" s="284" t="n">
        <f aca="false">IFERROR(($J793*P793)*$L793, "")</f>
        <v>0</v>
      </c>
      <c r="AD793" s="284" t="n">
        <f aca="false">IFERROR(($J793*Q793)*$L793, "")</f>
        <v>0</v>
      </c>
      <c r="AE793" s="284" t="n">
        <f aca="false">IFERROR(($J793*R793)*$L793, "")</f>
        <v>0</v>
      </c>
      <c r="AF793" s="284" t="n">
        <f aca="false">IFERROR(($J793*S793)*$L793, "")</f>
        <v>0</v>
      </c>
      <c r="AG793" s="284" t="n">
        <f aca="false">IFERROR(($J793*T793)*$L793, "")</f>
        <v>0</v>
      </c>
      <c r="AH793" s="284" t="n">
        <f aca="false">IFERROR(($J793*U793)*$L793, "")</f>
        <v>0</v>
      </c>
      <c r="AI793" s="284" t="n">
        <f aca="false">IFERROR(($J793*V793)*$L793, "")</f>
        <v>0</v>
      </c>
      <c r="AJ793" s="284" t="n">
        <f aca="false">IFERROR(($J793*W793)*$L793, "")</f>
        <v>0</v>
      </c>
      <c r="AK793" s="284" t="n">
        <f aca="false">IFERROR(($J793*X793)*$L793, "")</f>
        <v>0</v>
      </c>
      <c r="AL793" s="284" t="n">
        <f aca="false">IFERROR(($J793*Y793)*$L793, "")</f>
        <v>0</v>
      </c>
      <c r="AM793" s="285" t="n">
        <f aca="false">IFERROR(($J793*Z793)*$L793, "")</f>
        <v>0</v>
      </c>
      <c r="AN793" s="286" t="n">
        <f aca="false">IFERROR(SUMIF($AB$4:$AM$4, "RDEC", AB793:AM793), "")</f>
        <v>0</v>
      </c>
      <c r="AO793" s="286" t="n">
        <f aca="false">IFERROR(SUMIF($AB$4:$AM$4, "SME", AB793:AM793), "")</f>
        <v>0</v>
      </c>
      <c r="AP793" s="286" t="n">
        <f aca="false">IFERROR(SUMIF($AB$4:$AM$4, "De Minimis", AB793:AM793), "")</f>
        <v>0</v>
      </c>
      <c r="AQ793" s="283"/>
      <c r="AR793" s="284" t="n">
        <f aca="false">IFERROR(($J793*O793)*$M793, "")</f>
        <v>0</v>
      </c>
      <c r="AS793" s="284" t="n">
        <f aca="false">IFERROR(($J793*P793)*$M793, "")</f>
        <v>0</v>
      </c>
      <c r="AT793" s="284" t="n">
        <f aca="false">IFERROR(($J793*Q793)*$M793, "")</f>
        <v>0</v>
      </c>
      <c r="AU793" s="284" t="n">
        <f aca="false">IFERROR(($J793*R793)*$M793, "")</f>
        <v>0</v>
      </c>
      <c r="AV793" s="284" t="n">
        <f aca="false">IFERROR(($J793*S793)*$M793, "")</f>
        <v>0</v>
      </c>
      <c r="AW793" s="284" t="n">
        <f aca="false">IFERROR(($J793*T793)*$M793, "")</f>
        <v>0</v>
      </c>
      <c r="AX793" s="284" t="n">
        <f aca="false">IFERROR(($J793*U793)*$M793, "")</f>
        <v>0</v>
      </c>
      <c r="AY793" s="284" t="n">
        <f aca="false">IFERROR(($J793*V793)*$M793, "")</f>
        <v>0</v>
      </c>
      <c r="AZ793" s="284" t="n">
        <f aca="false">IFERROR(($J793*W793)*$M793, "")</f>
        <v>0</v>
      </c>
      <c r="BA793" s="284" t="n">
        <f aca="false">IFERROR(($J793*X793)*$M793, "")</f>
        <v>0</v>
      </c>
      <c r="BB793" s="284" t="n">
        <f aca="false">IFERROR(($J793*Y793)*$M793, "")</f>
        <v>0</v>
      </c>
      <c r="BC793" s="285" t="n">
        <f aca="false">IFERROR(($J793*Z793)*$M793, "")</f>
        <v>0</v>
      </c>
      <c r="BD793" s="286" t="n">
        <f aca="false">IFERROR(SUMIF($AB$4:$AM$4, "RDEC", AR793:BC793), "")</f>
        <v>0</v>
      </c>
      <c r="BE793" s="286" t="n">
        <f aca="false">IFERROR(SUMIF($AB$4:$AM$4, "SME", AR793:BC793), "")</f>
        <v>0</v>
      </c>
      <c r="BF793" s="286" t="n">
        <f aca="false">IFERROR(SUMIF($AB$4:$AM$4, "De Minimis", AR793:BC793), "")</f>
        <v>0</v>
      </c>
      <c r="BG793" s="287"/>
      <c r="BH793" s="288" t="str">
        <f aca="false">IF((SUM(O793:Z793)&gt;1),"ERROR","")</f>
        <v/>
      </c>
      <c r="BI793" s="287"/>
      <c r="BJ793" s="18" t="str">
        <f aca="false">IF(C779&gt;0, C779, "")</f>
        <v/>
      </c>
      <c r="BL793" s="200"/>
      <c r="BM793" s="200"/>
      <c r="BN793" s="200"/>
    </row>
    <row r="794" customFormat="false" ht="15" hidden="false" customHeight="true" outlineLevel="0" collapsed="false">
      <c r="B794" s="275"/>
      <c r="D794" s="276" t="n">
        <f aca="false">D778</f>
        <v>45352</v>
      </c>
      <c r="E794" s="277" t="n">
        <v>0</v>
      </c>
      <c r="F794" s="277" t="n">
        <v>0</v>
      </c>
      <c r="G794" s="277" t="n">
        <v>0</v>
      </c>
      <c r="H794" s="277" t="n">
        <v>0</v>
      </c>
      <c r="I794" s="277" t="n">
        <v>0</v>
      </c>
      <c r="J794" s="278" t="n">
        <f aca="false">E794+H794+I794</f>
        <v>0</v>
      </c>
      <c r="K794" s="204"/>
      <c r="L794" s="279" t="n">
        <v>1</v>
      </c>
      <c r="M794" s="280" t="n">
        <f aca="false">1-L794</f>
        <v>0</v>
      </c>
      <c r="N794" s="281"/>
      <c r="O794" s="282"/>
      <c r="P794" s="282"/>
      <c r="Q794" s="282"/>
      <c r="R794" s="282"/>
      <c r="S794" s="282"/>
      <c r="T794" s="282"/>
      <c r="U794" s="282"/>
      <c r="V794" s="282"/>
      <c r="W794" s="282"/>
      <c r="X794" s="282"/>
      <c r="Y794" s="282"/>
      <c r="Z794" s="282"/>
      <c r="AA794" s="283"/>
      <c r="AB794" s="284" t="n">
        <f aca="false">IFERROR(($J794*O794)*$L794, "")</f>
        <v>0</v>
      </c>
      <c r="AC794" s="284" t="n">
        <f aca="false">IFERROR(($J794*P794)*$L794, "")</f>
        <v>0</v>
      </c>
      <c r="AD794" s="284" t="n">
        <f aca="false">IFERROR(($J794*Q794)*$L794, "")</f>
        <v>0</v>
      </c>
      <c r="AE794" s="284" t="n">
        <f aca="false">IFERROR(($J794*R794)*$L794, "")</f>
        <v>0</v>
      </c>
      <c r="AF794" s="284" t="n">
        <f aca="false">IFERROR(($J794*S794)*$L794, "")</f>
        <v>0</v>
      </c>
      <c r="AG794" s="284" t="n">
        <f aca="false">IFERROR(($J794*T794)*$L794, "")</f>
        <v>0</v>
      </c>
      <c r="AH794" s="284" t="n">
        <f aca="false">IFERROR(($J794*U794)*$L794, "")</f>
        <v>0</v>
      </c>
      <c r="AI794" s="284" t="n">
        <f aca="false">IFERROR(($J794*V794)*$L794, "")</f>
        <v>0</v>
      </c>
      <c r="AJ794" s="284" t="n">
        <f aca="false">IFERROR(($J794*W794)*$L794, "")</f>
        <v>0</v>
      </c>
      <c r="AK794" s="284" t="n">
        <f aca="false">IFERROR(($J794*X794)*$L794, "")</f>
        <v>0</v>
      </c>
      <c r="AL794" s="284" t="n">
        <f aca="false">IFERROR(($J794*Y794)*$L794, "")</f>
        <v>0</v>
      </c>
      <c r="AM794" s="285" t="n">
        <f aca="false">IFERROR(($J794*Z794)*$L794, "")</f>
        <v>0</v>
      </c>
      <c r="AN794" s="286" t="n">
        <f aca="false">IFERROR(SUMIF($AB$4:$AM$4, "RDEC", AB794:AM794), "")</f>
        <v>0</v>
      </c>
      <c r="AO794" s="286" t="n">
        <f aca="false">IFERROR(SUMIF($AB$4:$AM$4, "SME", AB794:AM794), "")</f>
        <v>0</v>
      </c>
      <c r="AP794" s="286" t="n">
        <f aca="false">IFERROR(SUMIF($AB$4:$AM$4, "De Minimis", AB794:AM794), "")</f>
        <v>0</v>
      </c>
      <c r="AQ794" s="283"/>
      <c r="AR794" s="284" t="n">
        <f aca="false">IFERROR(($J794*O794)*$M794, "")</f>
        <v>0</v>
      </c>
      <c r="AS794" s="284" t="n">
        <f aca="false">IFERROR(($J794*P794)*$M794, "")</f>
        <v>0</v>
      </c>
      <c r="AT794" s="284" t="n">
        <f aca="false">IFERROR(($J794*Q794)*$M794, "")</f>
        <v>0</v>
      </c>
      <c r="AU794" s="284" t="n">
        <f aca="false">IFERROR(($J794*R794)*$M794, "")</f>
        <v>0</v>
      </c>
      <c r="AV794" s="284" t="n">
        <f aca="false">IFERROR(($J794*S794)*$M794, "")</f>
        <v>0</v>
      </c>
      <c r="AW794" s="284" t="n">
        <f aca="false">IFERROR(($J794*T794)*$M794, "")</f>
        <v>0</v>
      </c>
      <c r="AX794" s="284" t="n">
        <f aca="false">IFERROR(($J794*U794)*$M794, "")</f>
        <v>0</v>
      </c>
      <c r="AY794" s="284" t="n">
        <f aca="false">IFERROR(($J794*V794)*$M794, "")</f>
        <v>0</v>
      </c>
      <c r="AZ794" s="284" t="n">
        <f aca="false">IFERROR(($J794*W794)*$M794, "")</f>
        <v>0</v>
      </c>
      <c r="BA794" s="284" t="n">
        <f aca="false">IFERROR(($J794*X794)*$M794, "")</f>
        <v>0</v>
      </c>
      <c r="BB794" s="284" t="n">
        <f aca="false">IFERROR(($J794*Y794)*$M794, "")</f>
        <v>0</v>
      </c>
      <c r="BC794" s="285" t="n">
        <f aca="false">IFERROR(($J794*Z794)*$M794, "")</f>
        <v>0</v>
      </c>
      <c r="BD794" s="286" t="n">
        <f aca="false">IFERROR(SUMIF($AB$4:$AM$4, "RDEC", AR794:BC794), "")</f>
        <v>0</v>
      </c>
      <c r="BE794" s="286" t="n">
        <f aca="false">IFERROR(SUMIF($AB$4:$AM$4, "SME", AR794:BC794), "")</f>
        <v>0</v>
      </c>
      <c r="BF794" s="286" t="n">
        <f aca="false">IFERROR(SUMIF($AB$4:$AM$4, "De Minimis", AR794:BC794), "")</f>
        <v>0</v>
      </c>
      <c r="BG794" s="287"/>
      <c r="BH794" s="288" t="str">
        <f aca="false">IF((SUM(O794:Z794)&gt;1),"ERROR","")</f>
        <v/>
      </c>
      <c r="BI794" s="287"/>
      <c r="BJ794" s="18" t="str">
        <f aca="false">IF(C780&gt;0, C780, "")</f>
        <v/>
      </c>
      <c r="BL794" s="200"/>
      <c r="BM794" s="200"/>
      <c r="BN794" s="200"/>
    </row>
    <row r="795" customFormat="false" ht="15" hidden="false" customHeight="true" outlineLevel="0" collapsed="false">
      <c r="B795" s="275"/>
      <c r="D795" s="276" t="n">
        <f aca="false">D779</f>
        <v>45383</v>
      </c>
      <c r="E795" s="277" t="n">
        <v>0</v>
      </c>
      <c r="F795" s="277" t="n">
        <v>0</v>
      </c>
      <c r="G795" s="277" t="n">
        <v>0</v>
      </c>
      <c r="H795" s="277" t="n">
        <v>0</v>
      </c>
      <c r="I795" s="277" t="n">
        <v>0</v>
      </c>
      <c r="J795" s="278" t="n">
        <f aca="false">E795+H795+I795</f>
        <v>0</v>
      </c>
      <c r="K795" s="204"/>
      <c r="L795" s="279" t="n">
        <v>1</v>
      </c>
      <c r="M795" s="280" t="n">
        <f aca="false">1-L795</f>
        <v>0</v>
      </c>
      <c r="N795" s="281"/>
      <c r="O795" s="282"/>
      <c r="P795" s="282"/>
      <c r="Q795" s="282"/>
      <c r="R795" s="282"/>
      <c r="S795" s="282"/>
      <c r="T795" s="282"/>
      <c r="U795" s="282"/>
      <c r="V795" s="282"/>
      <c r="W795" s="282"/>
      <c r="X795" s="282"/>
      <c r="Y795" s="282"/>
      <c r="Z795" s="282"/>
      <c r="AA795" s="283"/>
      <c r="AB795" s="284" t="n">
        <f aca="false">IFERROR(($J795*O795)*$L795, "")</f>
        <v>0</v>
      </c>
      <c r="AC795" s="284" t="n">
        <f aca="false">IFERROR(($J795*P795)*$L795, "")</f>
        <v>0</v>
      </c>
      <c r="AD795" s="284" t="n">
        <f aca="false">IFERROR(($J795*Q795)*$L795, "")</f>
        <v>0</v>
      </c>
      <c r="AE795" s="284" t="n">
        <f aca="false">IFERROR(($J795*R795)*$L795, "")</f>
        <v>0</v>
      </c>
      <c r="AF795" s="284" t="n">
        <f aca="false">IFERROR(($J795*S795)*$L795, "")</f>
        <v>0</v>
      </c>
      <c r="AG795" s="284" t="n">
        <f aca="false">IFERROR(($J795*T795)*$L795, "")</f>
        <v>0</v>
      </c>
      <c r="AH795" s="284" t="n">
        <f aca="false">IFERROR(($J795*U795)*$L795, "")</f>
        <v>0</v>
      </c>
      <c r="AI795" s="284" t="n">
        <f aca="false">IFERROR(($J795*V795)*$L795, "")</f>
        <v>0</v>
      </c>
      <c r="AJ795" s="284" t="n">
        <f aca="false">IFERROR(($J795*W795)*$L795, "")</f>
        <v>0</v>
      </c>
      <c r="AK795" s="284" t="n">
        <f aca="false">IFERROR(($J795*X795)*$L795, "")</f>
        <v>0</v>
      </c>
      <c r="AL795" s="284" t="n">
        <f aca="false">IFERROR(($J795*Y795)*$L795, "")</f>
        <v>0</v>
      </c>
      <c r="AM795" s="285" t="n">
        <f aca="false">IFERROR(($J795*Z795)*$L795, "")</f>
        <v>0</v>
      </c>
      <c r="AN795" s="286" t="n">
        <f aca="false">IFERROR(SUMIF($AB$4:$AM$4, "RDEC", AB795:AM795), "")</f>
        <v>0</v>
      </c>
      <c r="AO795" s="286" t="n">
        <f aca="false">IFERROR(SUMIF($AB$4:$AM$4, "SME", AB795:AM795), "")</f>
        <v>0</v>
      </c>
      <c r="AP795" s="286" t="n">
        <f aca="false">IFERROR(SUMIF($AB$4:$AM$4, "De Minimis", AB795:AM795), "")</f>
        <v>0</v>
      </c>
      <c r="AQ795" s="283"/>
      <c r="AR795" s="284" t="n">
        <f aca="false">IFERROR(($J795*O795)*$M795, "")</f>
        <v>0</v>
      </c>
      <c r="AS795" s="284" t="n">
        <f aca="false">IFERROR(($J795*P795)*$M795, "")</f>
        <v>0</v>
      </c>
      <c r="AT795" s="284" t="n">
        <f aca="false">IFERROR(($J795*Q795)*$M795, "")</f>
        <v>0</v>
      </c>
      <c r="AU795" s="284" t="n">
        <f aca="false">IFERROR(($J795*R795)*$M795, "")</f>
        <v>0</v>
      </c>
      <c r="AV795" s="284" t="n">
        <f aca="false">IFERROR(($J795*S795)*$M795, "")</f>
        <v>0</v>
      </c>
      <c r="AW795" s="284" t="n">
        <f aca="false">IFERROR(($J795*T795)*$M795, "")</f>
        <v>0</v>
      </c>
      <c r="AX795" s="284" t="n">
        <f aca="false">IFERROR(($J795*U795)*$M795, "")</f>
        <v>0</v>
      </c>
      <c r="AY795" s="284" t="n">
        <f aca="false">IFERROR(($J795*V795)*$M795, "")</f>
        <v>0</v>
      </c>
      <c r="AZ795" s="284" t="n">
        <f aca="false">IFERROR(($J795*W795)*$M795, "")</f>
        <v>0</v>
      </c>
      <c r="BA795" s="284" t="n">
        <f aca="false">IFERROR(($J795*X795)*$M795, "")</f>
        <v>0</v>
      </c>
      <c r="BB795" s="284" t="n">
        <f aca="false">IFERROR(($J795*Y795)*$M795, "")</f>
        <v>0</v>
      </c>
      <c r="BC795" s="285" t="n">
        <f aca="false">IFERROR(($J795*Z795)*$M795, "")</f>
        <v>0</v>
      </c>
      <c r="BD795" s="286" t="n">
        <f aca="false">IFERROR(SUMIF($AB$4:$AM$4, "RDEC", AR795:BC795), "")</f>
        <v>0</v>
      </c>
      <c r="BE795" s="286" t="n">
        <f aca="false">IFERROR(SUMIF($AB$4:$AM$4, "SME", AR795:BC795), "")</f>
        <v>0</v>
      </c>
      <c r="BF795" s="286" t="n">
        <f aca="false">IFERROR(SUMIF($AB$4:$AM$4, "De Minimis", AR795:BC795), "")</f>
        <v>0</v>
      </c>
      <c r="BG795" s="287"/>
      <c r="BH795" s="288" t="str">
        <f aca="false">IF((SUM(O795:Z795)&gt;1),"ERROR","")</f>
        <v/>
      </c>
      <c r="BI795" s="287"/>
      <c r="BJ795" s="18" t="str">
        <f aca="false">IF(C781&gt;0, C781, "")</f>
        <v/>
      </c>
      <c r="BL795" s="200"/>
      <c r="BM795" s="200"/>
      <c r="BN795" s="200"/>
    </row>
    <row r="796" customFormat="false" ht="15" hidden="false" customHeight="true" outlineLevel="0" collapsed="false">
      <c r="B796" s="275"/>
      <c r="D796" s="276" t="n">
        <f aca="false">D780</f>
        <v>45413</v>
      </c>
      <c r="E796" s="277" t="n">
        <v>0</v>
      </c>
      <c r="F796" s="277" t="n">
        <v>0</v>
      </c>
      <c r="G796" s="277" t="n">
        <v>0</v>
      </c>
      <c r="H796" s="277" t="n">
        <v>0</v>
      </c>
      <c r="I796" s="277" t="n">
        <v>0</v>
      </c>
      <c r="J796" s="278" t="n">
        <f aca="false">E796+H796+I796</f>
        <v>0</v>
      </c>
      <c r="K796" s="204"/>
      <c r="L796" s="279" t="n">
        <v>1</v>
      </c>
      <c r="M796" s="280" t="n">
        <f aca="false">1-L796</f>
        <v>0</v>
      </c>
      <c r="N796" s="281"/>
      <c r="O796" s="282"/>
      <c r="P796" s="282"/>
      <c r="Q796" s="282"/>
      <c r="R796" s="282"/>
      <c r="S796" s="282"/>
      <c r="T796" s="282"/>
      <c r="U796" s="282"/>
      <c r="V796" s="282"/>
      <c r="W796" s="282"/>
      <c r="X796" s="282"/>
      <c r="Y796" s="282"/>
      <c r="Z796" s="282"/>
      <c r="AA796" s="283"/>
      <c r="AB796" s="284" t="n">
        <f aca="false">IFERROR(($J796*O796)*$L796, "")</f>
        <v>0</v>
      </c>
      <c r="AC796" s="284" t="n">
        <f aca="false">IFERROR(($J796*P796)*$L796, "")</f>
        <v>0</v>
      </c>
      <c r="AD796" s="284" t="n">
        <f aca="false">IFERROR(($J796*Q796)*$L796, "")</f>
        <v>0</v>
      </c>
      <c r="AE796" s="284" t="n">
        <f aca="false">IFERROR(($J796*R796)*$L796, "")</f>
        <v>0</v>
      </c>
      <c r="AF796" s="284" t="n">
        <f aca="false">IFERROR(($J796*S796)*$L796, "")</f>
        <v>0</v>
      </c>
      <c r="AG796" s="284" t="n">
        <f aca="false">IFERROR(($J796*T796)*$L796, "")</f>
        <v>0</v>
      </c>
      <c r="AH796" s="284" t="n">
        <f aca="false">IFERROR(($J796*U796)*$L796, "")</f>
        <v>0</v>
      </c>
      <c r="AI796" s="284" t="n">
        <f aca="false">IFERROR(($J796*V796)*$L796, "")</f>
        <v>0</v>
      </c>
      <c r="AJ796" s="284" t="n">
        <f aca="false">IFERROR(($J796*W796)*$L796, "")</f>
        <v>0</v>
      </c>
      <c r="AK796" s="284" t="n">
        <f aca="false">IFERROR(($J796*X796)*$L796, "")</f>
        <v>0</v>
      </c>
      <c r="AL796" s="284" t="n">
        <f aca="false">IFERROR(($J796*Y796)*$L796, "")</f>
        <v>0</v>
      </c>
      <c r="AM796" s="285" t="n">
        <f aca="false">IFERROR(($J796*Z796)*$L796, "")</f>
        <v>0</v>
      </c>
      <c r="AN796" s="286" t="n">
        <f aca="false">IFERROR(SUMIF($AB$4:$AM$4, "RDEC", AB796:AM796), "")</f>
        <v>0</v>
      </c>
      <c r="AO796" s="286" t="n">
        <f aca="false">IFERROR(SUMIF($AB$4:$AM$4, "SME", AB796:AM796), "")</f>
        <v>0</v>
      </c>
      <c r="AP796" s="286" t="n">
        <f aca="false">IFERROR(SUMIF($AB$4:$AM$4, "De Minimis", AB796:AM796), "")</f>
        <v>0</v>
      </c>
      <c r="AQ796" s="283"/>
      <c r="AR796" s="284" t="n">
        <f aca="false">IFERROR(($J796*O796)*$M796, "")</f>
        <v>0</v>
      </c>
      <c r="AS796" s="284" t="n">
        <f aca="false">IFERROR(($J796*P796)*$M796, "")</f>
        <v>0</v>
      </c>
      <c r="AT796" s="284" t="n">
        <f aca="false">IFERROR(($J796*Q796)*$M796, "")</f>
        <v>0</v>
      </c>
      <c r="AU796" s="284" t="n">
        <f aca="false">IFERROR(($J796*R796)*$M796, "")</f>
        <v>0</v>
      </c>
      <c r="AV796" s="284" t="n">
        <f aca="false">IFERROR(($J796*S796)*$M796, "")</f>
        <v>0</v>
      </c>
      <c r="AW796" s="284" t="n">
        <f aca="false">IFERROR(($J796*T796)*$M796, "")</f>
        <v>0</v>
      </c>
      <c r="AX796" s="284" t="n">
        <f aca="false">IFERROR(($J796*U796)*$M796, "")</f>
        <v>0</v>
      </c>
      <c r="AY796" s="284" t="n">
        <f aca="false">IFERROR(($J796*V796)*$M796, "")</f>
        <v>0</v>
      </c>
      <c r="AZ796" s="284" t="n">
        <f aca="false">IFERROR(($J796*W796)*$M796, "")</f>
        <v>0</v>
      </c>
      <c r="BA796" s="284" t="n">
        <f aca="false">IFERROR(($J796*X796)*$M796, "")</f>
        <v>0</v>
      </c>
      <c r="BB796" s="284" t="n">
        <f aca="false">IFERROR(($J796*Y796)*$M796, "")</f>
        <v>0</v>
      </c>
      <c r="BC796" s="285" t="n">
        <f aca="false">IFERROR(($J796*Z796)*$M796, "")</f>
        <v>0</v>
      </c>
      <c r="BD796" s="286" t="n">
        <f aca="false">IFERROR(SUMIF($AB$4:$AM$4, "RDEC", AR796:BC796), "")</f>
        <v>0</v>
      </c>
      <c r="BE796" s="286" t="n">
        <f aca="false">IFERROR(SUMIF($AB$4:$AM$4, "SME", AR796:BC796), "")</f>
        <v>0</v>
      </c>
      <c r="BF796" s="286" t="n">
        <f aca="false">IFERROR(SUMIF($AB$4:$AM$4, "De Minimis", AR796:BC796), "")</f>
        <v>0</v>
      </c>
      <c r="BG796" s="287"/>
      <c r="BH796" s="288" t="str">
        <f aca="false">IF((SUM(O796:Z796)&gt;1),"ERROR","")</f>
        <v/>
      </c>
      <c r="BI796" s="287"/>
      <c r="BJ796" s="18" t="str">
        <f aca="false">IF(C782&gt;0, C782, "")</f>
        <v/>
      </c>
      <c r="BL796" s="200"/>
      <c r="BM796" s="200"/>
      <c r="BN796" s="200"/>
    </row>
    <row r="797" customFormat="false" ht="15" hidden="false" customHeight="true" outlineLevel="0" collapsed="false">
      <c r="B797" s="275"/>
      <c r="D797" s="276" t="n">
        <f aca="false">D781</f>
        <v>45444</v>
      </c>
      <c r="E797" s="277" t="n">
        <v>0</v>
      </c>
      <c r="F797" s="277" t="n">
        <v>0</v>
      </c>
      <c r="G797" s="277" t="n">
        <v>0</v>
      </c>
      <c r="H797" s="277" t="n">
        <v>0</v>
      </c>
      <c r="I797" s="277" t="n">
        <v>0</v>
      </c>
      <c r="J797" s="278" t="n">
        <f aca="false">E797+H797+I797</f>
        <v>0</v>
      </c>
      <c r="K797" s="204"/>
      <c r="L797" s="279" t="n">
        <v>1</v>
      </c>
      <c r="M797" s="280" t="n">
        <f aca="false">1-L797</f>
        <v>0</v>
      </c>
      <c r="N797" s="281"/>
      <c r="O797" s="282"/>
      <c r="P797" s="282"/>
      <c r="Q797" s="282"/>
      <c r="R797" s="282"/>
      <c r="S797" s="282"/>
      <c r="T797" s="282"/>
      <c r="U797" s="282"/>
      <c r="V797" s="282"/>
      <c r="W797" s="282"/>
      <c r="X797" s="282"/>
      <c r="Y797" s="282"/>
      <c r="Z797" s="282"/>
      <c r="AA797" s="283"/>
      <c r="AB797" s="284" t="n">
        <f aca="false">IFERROR(($J797*O797)*$L797, "")</f>
        <v>0</v>
      </c>
      <c r="AC797" s="284" t="n">
        <f aca="false">IFERROR(($J797*P797)*$L797, "")</f>
        <v>0</v>
      </c>
      <c r="AD797" s="284" t="n">
        <f aca="false">IFERROR(($J797*Q797)*$L797, "")</f>
        <v>0</v>
      </c>
      <c r="AE797" s="284" t="n">
        <f aca="false">IFERROR(($J797*R797)*$L797, "")</f>
        <v>0</v>
      </c>
      <c r="AF797" s="284" t="n">
        <f aca="false">IFERROR(($J797*S797)*$L797, "")</f>
        <v>0</v>
      </c>
      <c r="AG797" s="284" t="n">
        <f aca="false">IFERROR(($J797*T797)*$L797, "")</f>
        <v>0</v>
      </c>
      <c r="AH797" s="284" t="n">
        <f aca="false">IFERROR(($J797*U797)*$L797, "")</f>
        <v>0</v>
      </c>
      <c r="AI797" s="284" t="n">
        <f aca="false">IFERROR(($J797*V797)*$L797, "")</f>
        <v>0</v>
      </c>
      <c r="AJ797" s="284" t="n">
        <f aca="false">IFERROR(($J797*W797)*$L797, "")</f>
        <v>0</v>
      </c>
      <c r="AK797" s="284" t="n">
        <f aca="false">IFERROR(($J797*X797)*$L797, "")</f>
        <v>0</v>
      </c>
      <c r="AL797" s="284" t="n">
        <f aca="false">IFERROR(($J797*Y797)*$L797, "")</f>
        <v>0</v>
      </c>
      <c r="AM797" s="285" t="n">
        <f aca="false">IFERROR(($J797*Z797)*$L797, "")</f>
        <v>0</v>
      </c>
      <c r="AN797" s="286" t="n">
        <f aca="false">IFERROR(SUMIF($AB$4:$AM$4, "RDEC", AB797:AM797), "")</f>
        <v>0</v>
      </c>
      <c r="AO797" s="286" t="n">
        <f aca="false">IFERROR(SUMIF($AB$4:$AM$4, "SME", AB797:AM797), "")</f>
        <v>0</v>
      </c>
      <c r="AP797" s="286" t="n">
        <f aca="false">IFERROR(SUMIF($AB$4:$AM$4, "De Minimis", AB797:AM797), "")</f>
        <v>0</v>
      </c>
      <c r="AQ797" s="283"/>
      <c r="AR797" s="284" t="n">
        <f aca="false">IFERROR(($J797*O797)*$M797, "")</f>
        <v>0</v>
      </c>
      <c r="AS797" s="284" t="n">
        <f aca="false">IFERROR(($J797*P797)*$M797, "")</f>
        <v>0</v>
      </c>
      <c r="AT797" s="284" t="n">
        <f aca="false">IFERROR(($J797*Q797)*$M797, "")</f>
        <v>0</v>
      </c>
      <c r="AU797" s="284" t="n">
        <f aca="false">IFERROR(($J797*R797)*$M797, "")</f>
        <v>0</v>
      </c>
      <c r="AV797" s="284" t="n">
        <f aca="false">IFERROR(($J797*S797)*$M797, "")</f>
        <v>0</v>
      </c>
      <c r="AW797" s="284" t="n">
        <f aca="false">IFERROR(($J797*T797)*$M797, "")</f>
        <v>0</v>
      </c>
      <c r="AX797" s="284" t="n">
        <f aca="false">IFERROR(($J797*U797)*$M797, "")</f>
        <v>0</v>
      </c>
      <c r="AY797" s="284" t="n">
        <f aca="false">IFERROR(($J797*V797)*$M797, "")</f>
        <v>0</v>
      </c>
      <c r="AZ797" s="284" t="n">
        <f aca="false">IFERROR(($J797*W797)*$M797, "")</f>
        <v>0</v>
      </c>
      <c r="BA797" s="284" t="n">
        <f aca="false">IFERROR(($J797*X797)*$M797, "")</f>
        <v>0</v>
      </c>
      <c r="BB797" s="284" t="n">
        <f aca="false">IFERROR(($J797*Y797)*$M797, "")</f>
        <v>0</v>
      </c>
      <c r="BC797" s="285" t="n">
        <f aca="false">IFERROR(($J797*Z797)*$M797, "")</f>
        <v>0</v>
      </c>
      <c r="BD797" s="286" t="n">
        <f aca="false">IFERROR(SUMIF($AB$4:$AM$4, "RDEC", AR797:BC797), "")</f>
        <v>0</v>
      </c>
      <c r="BE797" s="286" t="n">
        <f aca="false">IFERROR(SUMIF($AB$4:$AM$4, "SME", AR797:BC797), "")</f>
        <v>0</v>
      </c>
      <c r="BF797" s="286" t="n">
        <f aca="false">IFERROR(SUMIF($AB$4:$AM$4, "De Minimis", AR797:BC797), "")</f>
        <v>0</v>
      </c>
      <c r="BG797" s="287"/>
      <c r="BH797" s="288" t="str">
        <f aca="false">IF((SUM(O797:Z797)&gt;1),"ERROR","")</f>
        <v/>
      </c>
      <c r="BI797" s="287"/>
      <c r="BJ797" s="18" t="str">
        <f aca="false">IF(C783&gt;0, C783, "")</f>
        <v/>
      </c>
      <c r="BL797" s="200"/>
      <c r="BM797" s="200"/>
      <c r="BN797" s="200"/>
    </row>
    <row r="798" customFormat="false" ht="15" hidden="false" customHeight="true" outlineLevel="0" collapsed="false">
      <c r="B798" s="275"/>
      <c r="D798" s="276" t="n">
        <f aca="false">D782</f>
        <v>45474</v>
      </c>
      <c r="E798" s="277" t="n">
        <v>0</v>
      </c>
      <c r="F798" s="277" t="n">
        <v>0</v>
      </c>
      <c r="G798" s="277" t="n">
        <v>0</v>
      </c>
      <c r="H798" s="277" t="n">
        <v>0</v>
      </c>
      <c r="I798" s="277" t="n">
        <v>0</v>
      </c>
      <c r="J798" s="278" t="n">
        <f aca="false">E798+H798+I798</f>
        <v>0</v>
      </c>
      <c r="K798" s="204"/>
      <c r="L798" s="279" t="n">
        <v>1</v>
      </c>
      <c r="M798" s="280" t="n">
        <f aca="false">1-L798</f>
        <v>0</v>
      </c>
      <c r="N798" s="281"/>
      <c r="O798" s="282"/>
      <c r="P798" s="282"/>
      <c r="Q798" s="282"/>
      <c r="R798" s="282"/>
      <c r="S798" s="282"/>
      <c r="T798" s="282"/>
      <c r="U798" s="282"/>
      <c r="V798" s="282"/>
      <c r="W798" s="282"/>
      <c r="X798" s="282"/>
      <c r="Y798" s="282"/>
      <c r="Z798" s="282"/>
      <c r="AA798" s="283"/>
      <c r="AB798" s="284" t="n">
        <f aca="false">IFERROR(($J798*O798)*$L798, "")</f>
        <v>0</v>
      </c>
      <c r="AC798" s="284" t="n">
        <f aca="false">IFERROR(($J798*P798)*$L798, "")</f>
        <v>0</v>
      </c>
      <c r="AD798" s="284" t="n">
        <f aca="false">IFERROR(($J798*Q798)*$L798, "")</f>
        <v>0</v>
      </c>
      <c r="AE798" s="284" t="n">
        <f aca="false">IFERROR(($J798*R798)*$L798, "")</f>
        <v>0</v>
      </c>
      <c r="AF798" s="284" t="n">
        <f aca="false">IFERROR(($J798*S798)*$L798, "")</f>
        <v>0</v>
      </c>
      <c r="AG798" s="284" t="n">
        <f aca="false">IFERROR(($J798*T798)*$L798, "")</f>
        <v>0</v>
      </c>
      <c r="AH798" s="284" t="n">
        <f aca="false">IFERROR(($J798*U798)*$L798, "")</f>
        <v>0</v>
      </c>
      <c r="AI798" s="284" t="n">
        <f aca="false">IFERROR(($J798*V798)*$L798, "")</f>
        <v>0</v>
      </c>
      <c r="AJ798" s="284" t="n">
        <f aca="false">IFERROR(($J798*W798)*$L798, "")</f>
        <v>0</v>
      </c>
      <c r="AK798" s="284" t="n">
        <f aca="false">IFERROR(($J798*X798)*$L798, "")</f>
        <v>0</v>
      </c>
      <c r="AL798" s="284" t="n">
        <f aca="false">IFERROR(($J798*Y798)*$L798, "")</f>
        <v>0</v>
      </c>
      <c r="AM798" s="285" t="n">
        <f aca="false">IFERROR(($J798*Z798)*$L798, "")</f>
        <v>0</v>
      </c>
      <c r="AN798" s="286" t="n">
        <f aca="false">IFERROR(SUMIF($AB$4:$AM$4, "RDEC", AB798:AM798), "")</f>
        <v>0</v>
      </c>
      <c r="AO798" s="286" t="n">
        <f aca="false">IFERROR(SUMIF($AB$4:$AM$4, "SME", AB798:AM798), "")</f>
        <v>0</v>
      </c>
      <c r="AP798" s="286" t="n">
        <f aca="false">IFERROR(SUMIF($AB$4:$AM$4, "De Minimis", AB798:AM798), "")</f>
        <v>0</v>
      </c>
      <c r="AQ798" s="283"/>
      <c r="AR798" s="284" t="n">
        <f aca="false">IFERROR(($J798*O798)*$M798, "")</f>
        <v>0</v>
      </c>
      <c r="AS798" s="284" t="n">
        <f aca="false">IFERROR(($J798*P798)*$M798, "")</f>
        <v>0</v>
      </c>
      <c r="AT798" s="284" t="n">
        <f aca="false">IFERROR(($J798*Q798)*$M798, "")</f>
        <v>0</v>
      </c>
      <c r="AU798" s="284" t="n">
        <f aca="false">IFERROR(($J798*R798)*$M798, "")</f>
        <v>0</v>
      </c>
      <c r="AV798" s="284" t="n">
        <f aca="false">IFERROR(($J798*S798)*$M798, "")</f>
        <v>0</v>
      </c>
      <c r="AW798" s="284" t="n">
        <f aca="false">IFERROR(($J798*T798)*$M798, "")</f>
        <v>0</v>
      </c>
      <c r="AX798" s="284" t="n">
        <f aca="false">IFERROR(($J798*U798)*$M798, "")</f>
        <v>0</v>
      </c>
      <c r="AY798" s="284" t="n">
        <f aca="false">IFERROR(($J798*V798)*$M798, "")</f>
        <v>0</v>
      </c>
      <c r="AZ798" s="284" t="n">
        <f aca="false">IFERROR(($J798*W798)*$M798, "")</f>
        <v>0</v>
      </c>
      <c r="BA798" s="284" t="n">
        <f aca="false">IFERROR(($J798*X798)*$M798, "")</f>
        <v>0</v>
      </c>
      <c r="BB798" s="284" t="n">
        <f aca="false">IFERROR(($J798*Y798)*$M798, "")</f>
        <v>0</v>
      </c>
      <c r="BC798" s="285" t="n">
        <f aca="false">IFERROR(($J798*Z798)*$M798, "")</f>
        <v>0</v>
      </c>
      <c r="BD798" s="286" t="n">
        <f aca="false">IFERROR(SUMIF($AB$4:$AM$4, "RDEC", AR798:BC798), "")</f>
        <v>0</v>
      </c>
      <c r="BE798" s="286" t="n">
        <f aca="false">IFERROR(SUMIF($AB$4:$AM$4, "SME", AR798:BC798), "")</f>
        <v>0</v>
      </c>
      <c r="BF798" s="286" t="n">
        <f aca="false">IFERROR(SUMIF($AB$4:$AM$4, "De Minimis", AR798:BC798), "")</f>
        <v>0</v>
      </c>
      <c r="BG798" s="287"/>
      <c r="BH798" s="288" t="str">
        <f aca="false">IF((SUM(O798:Z798)&gt;1),"ERROR","")</f>
        <v/>
      </c>
      <c r="BI798" s="287"/>
      <c r="BJ798" s="18" t="str">
        <f aca="false">IF(C784&gt;0, C784, "")</f>
        <v/>
      </c>
      <c r="BL798" s="200"/>
      <c r="BM798" s="200"/>
      <c r="BN798" s="200"/>
    </row>
    <row r="799" customFormat="false" ht="15" hidden="false" customHeight="true" outlineLevel="0" collapsed="false">
      <c r="B799" s="275"/>
      <c r="D799" s="276" t="n">
        <f aca="false">D783</f>
        <v>45505</v>
      </c>
      <c r="E799" s="277" t="n">
        <v>0</v>
      </c>
      <c r="F799" s="277" t="n">
        <v>0</v>
      </c>
      <c r="G799" s="277" t="n">
        <v>0</v>
      </c>
      <c r="H799" s="277" t="n">
        <v>0</v>
      </c>
      <c r="I799" s="277" t="n">
        <v>0</v>
      </c>
      <c r="J799" s="278" t="n">
        <f aca="false">E799+H799+I799</f>
        <v>0</v>
      </c>
      <c r="K799" s="204"/>
      <c r="L799" s="279" t="n">
        <v>1</v>
      </c>
      <c r="M799" s="280" t="n">
        <f aca="false">1-L799</f>
        <v>0</v>
      </c>
      <c r="N799" s="281"/>
      <c r="O799" s="282"/>
      <c r="P799" s="282"/>
      <c r="Q799" s="282"/>
      <c r="R799" s="282"/>
      <c r="S799" s="282"/>
      <c r="T799" s="282"/>
      <c r="U799" s="282"/>
      <c r="V799" s="282"/>
      <c r="W799" s="282"/>
      <c r="X799" s="282"/>
      <c r="Y799" s="282"/>
      <c r="Z799" s="282"/>
      <c r="AA799" s="283"/>
      <c r="AB799" s="284" t="n">
        <f aca="false">IFERROR(($J799*O799)*$L799, "")</f>
        <v>0</v>
      </c>
      <c r="AC799" s="284" t="n">
        <f aca="false">IFERROR(($J799*P799)*$L799, "")</f>
        <v>0</v>
      </c>
      <c r="AD799" s="284" t="n">
        <f aca="false">IFERROR(($J799*Q799)*$L799, "")</f>
        <v>0</v>
      </c>
      <c r="AE799" s="284" t="n">
        <f aca="false">IFERROR(($J799*R799)*$L799, "")</f>
        <v>0</v>
      </c>
      <c r="AF799" s="284" t="n">
        <f aca="false">IFERROR(($J799*S799)*$L799, "")</f>
        <v>0</v>
      </c>
      <c r="AG799" s="284" t="n">
        <f aca="false">IFERROR(($J799*T799)*$L799, "")</f>
        <v>0</v>
      </c>
      <c r="AH799" s="284" t="n">
        <f aca="false">IFERROR(($J799*U799)*$L799, "")</f>
        <v>0</v>
      </c>
      <c r="AI799" s="284" t="n">
        <f aca="false">IFERROR(($J799*V799)*$L799, "")</f>
        <v>0</v>
      </c>
      <c r="AJ799" s="284" t="n">
        <f aca="false">IFERROR(($J799*W799)*$L799, "")</f>
        <v>0</v>
      </c>
      <c r="AK799" s="284" t="n">
        <f aca="false">IFERROR(($J799*X799)*$L799, "")</f>
        <v>0</v>
      </c>
      <c r="AL799" s="284" t="n">
        <f aca="false">IFERROR(($J799*Y799)*$L799, "")</f>
        <v>0</v>
      </c>
      <c r="AM799" s="285" t="n">
        <f aca="false">IFERROR(($J799*Z799)*$L799, "")</f>
        <v>0</v>
      </c>
      <c r="AN799" s="286" t="n">
        <f aca="false">IFERROR(SUMIF($AB$4:$AM$4, "RDEC", AB799:AM799), "")</f>
        <v>0</v>
      </c>
      <c r="AO799" s="286" t="n">
        <f aca="false">IFERROR(SUMIF($AB$4:$AM$4, "SME", AB799:AM799), "")</f>
        <v>0</v>
      </c>
      <c r="AP799" s="286" t="n">
        <f aca="false">IFERROR(SUMIF($AB$4:$AM$4, "De Minimis", AB799:AM799), "")</f>
        <v>0</v>
      </c>
      <c r="AQ799" s="283"/>
      <c r="AR799" s="284" t="n">
        <f aca="false">IFERROR(($J799*O799)*$M799, "")</f>
        <v>0</v>
      </c>
      <c r="AS799" s="284" t="n">
        <f aca="false">IFERROR(($J799*P799)*$M799, "")</f>
        <v>0</v>
      </c>
      <c r="AT799" s="284" t="n">
        <f aca="false">IFERROR(($J799*Q799)*$M799, "")</f>
        <v>0</v>
      </c>
      <c r="AU799" s="284" t="n">
        <f aca="false">IFERROR(($J799*R799)*$M799, "")</f>
        <v>0</v>
      </c>
      <c r="AV799" s="284" t="n">
        <f aca="false">IFERROR(($J799*S799)*$M799, "")</f>
        <v>0</v>
      </c>
      <c r="AW799" s="284" t="n">
        <f aca="false">IFERROR(($J799*T799)*$M799, "")</f>
        <v>0</v>
      </c>
      <c r="AX799" s="284" t="n">
        <f aca="false">IFERROR(($J799*U799)*$M799, "")</f>
        <v>0</v>
      </c>
      <c r="AY799" s="284" t="n">
        <f aca="false">IFERROR(($J799*V799)*$M799, "")</f>
        <v>0</v>
      </c>
      <c r="AZ799" s="284" t="n">
        <f aca="false">IFERROR(($J799*W799)*$M799, "")</f>
        <v>0</v>
      </c>
      <c r="BA799" s="284" t="n">
        <f aca="false">IFERROR(($J799*X799)*$M799, "")</f>
        <v>0</v>
      </c>
      <c r="BB799" s="284" t="n">
        <f aca="false">IFERROR(($J799*Y799)*$M799, "")</f>
        <v>0</v>
      </c>
      <c r="BC799" s="285" t="n">
        <f aca="false">IFERROR(($J799*Z799)*$M799, "")</f>
        <v>0</v>
      </c>
      <c r="BD799" s="286" t="n">
        <f aca="false">IFERROR(SUMIF($AB$4:$AM$4, "RDEC", AR799:BC799), "")</f>
        <v>0</v>
      </c>
      <c r="BE799" s="286" t="n">
        <f aca="false">IFERROR(SUMIF($AB$4:$AM$4, "SME", AR799:BC799), "")</f>
        <v>0</v>
      </c>
      <c r="BF799" s="286" t="n">
        <f aca="false">IFERROR(SUMIF($AB$4:$AM$4, "De Minimis", AR799:BC799), "")</f>
        <v>0</v>
      </c>
      <c r="BG799" s="287"/>
      <c r="BH799" s="288" t="str">
        <f aca="false">IF((SUM(O799:Z799)&gt;1),"ERROR","")</f>
        <v/>
      </c>
      <c r="BI799" s="287"/>
      <c r="BJ799" s="18" t="str">
        <f aca="false">IF(C785&gt;0, C785, "")</f>
        <v/>
      </c>
      <c r="BL799" s="200"/>
      <c r="BM799" s="200"/>
      <c r="BN799" s="200"/>
    </row>
    <row r="800" customFormat="false" ht="15" hidden="false" customHeight="true" outlineLevel="0" collapsed="false">
      <c r="B800" s="275"/>
      <c r="D800" s="276" t="n">
        <f aca="false">D784</f>
        <v>45536</v>
      </c>
      <c r="E800" s="277" t="n">
        <v>0</v>
      </c>
      <c r="F800" s="277" t="n">
        <v>0</v>
      </c>
      <c r="G800" s="277" t="n">
        <v>0</v>
      </c>
      <c r="H800" s="277" t="n">
        <v>0</v>
      </c>
      <c r="I800" s="277" t="n">
        <v>0</v>
      </c>
      <c r="J800" s="278" t="n">
        <f aca="false">E800+H800+I800</f>
        <v>0</v>
      </c>
      <c r="K800" s="204"/>
      <c r="L800" s="279" t="n">
        <v>1</v>
      </c>
      <c r="M800" s="280" t="n">
        <f aca="false">1-L800</f>
        <v>0</v>
      </c>
      <c r="N800" s="281"/>
      <c r="O800" s="282"/>
      <c r="P800" s="282"/>
      <c r="Q800" s="282"/>
      <c r="R800" s="282"/>
      <c r="S800" s="282"/>
      <c r="T800" s="282"/>
      <c r="U800" s="282"/>
      <c r="V800" s="282"/>
      <c r="W800" s="282"/>
      <c r="X800" s="282"/>
      <c r="Y800" s="282"/>
      <c r="Z800" s="282"/>
      <c r="AA800" s="283"/>
      <c r="AB800" s="284" t="n">
        <f aca="false">IFERROR(($J800*O800)*$L800, "")</f>
        <v>0</v>
      </c>
      <c r="AC800" s="284" t="n">
        <f aca="false">IFERROR(($J800*P800)*$L800, "")</f>
        <v>0</v>
      </c>
      <c r="AD800" s="284" t="n">
        <f aca="false">IFERROR(($J800*Q800)*$L800, "")</f>
        <v>0</v>
      </c>
      <c r="AE800" s="284" t="n">
        <f aca="false">IFERROR(($J800*R800)*$L800, "")</f>
        <v>0</v>
      </c>
      <c r="AF800" s="284" t="n">
        <f aca="false">IFERROR(($J800*S800)*$L800, "")</f>
        <v>0</v>
      </c>
      <c r="AG800" s="284" t="n">
        <f aca="false">IFERROR(($J800*T800)*$L800, "")</f>
        <v>0</v>
      </c>
      <c r="AH800" s="284" t="n">
        <f aca="false">IFERROR(($J800*U800)*$L800, "")</f>
        <v>0</v>
      </c>
      <c r="AI800" s="284" t="n">
        <f aca="false">IFERROR(($J800*V800)*$L800, "")</f>
        <v>0</v>
      </c>
      <c r="AJ800" s="284" t="n">
        <f aca="false">IFERROR(($J800*W800)*$L800, "")</f>
        <v>0</v>
      </c>
      <c r="AK800" s="284" t="n">
        <f aca="false">IFERROR(($J800*X800)*$L800, "")</f>
        <v>0</v>
      </c>
      <c r="AL800" s="284" t="n">
        <f aca="false">IFERROR(($J800*Y800)*$L800, "")</f>
        <v>0</v>
      </c>
      <c r="AM800" s="285" t="n">
        <f aca="false">IFERROR(($J800*Z800)*$L800, "")</f>
        <v>0</v>
      </c>
      <c r="AN800" s="286" t="n">
        <f aca="false">IFERROR(SUMIF($AB$4:$AM$4, "RDEC", AB800:AM800), "")</f>
        <v>0</v>
      </c>
      <c r="AO800" s="286" t="n">
        <f aca="false">IFERROR(SUMIF($AB$4:$AM$4, "SME", AB800:AM800), "")</f>
        <v>0</v>
      </c>
      <c r="AP800" s="286" t="n">
        <f aca="false">IFERROR(SUMIF($AB$4:$AM$4, "De Minimis", AB800:AM800), "")</f>
        <v>0</v>
      </c>
      <c r="AQ800" s="283"/>
      <c r="AR800" s="284" t="n">
        <f aca="false">IFERROR(($J800*O800)*$M800, "")</f>
        <v>0</v>
      </c>
      <c r="AS800" s="284" t="n">
        <f aca="false">IFERROR(($J800*P800)*$M800, "")</f>
        <v>0</v>
      </c>
      <c r="AT800" s="284" t="n">
        <f aca="false">IFERROR(($J800*Q800)*$M800, "")</f>
        <v>0</v>
      </c>
      <c r="AU800" s="284" t="n">
        <f aca="false">IFERROR(($J800*R800)*$M800, "")</f>
        <v>0</v>
      </c>
      <c r="AV800" s="284" t="n">
        <f aca="false">IFERROR(($J800*S800)*$M800, "")</f>
        <v>0</v>
      </c>
      <c r="AW800" s="284" t="n">
        <f aca="false">IFERROR(($J800*T800)*$M800, "")</f>
        <v>0</v>
      </c>
      <c r="AX800" s="284" t="n">
        <f aca="false">IFERROR(($J800*U800)*$M800, "")</f>
        <v>0</v>
      </c>
      <c r="AY800" s="284" t="n">
        <f aca="false">IFERROR(($J800*V800)*$M800, "")</f>
        <v>0</v>
      </c>
      <c r="AZ800" s="284" t="n">
        <f aca="false">IFERROR(($J800*W800)*$M800, "")</f>
        <v>0</v>
      </c>
      <c r="BA800" s="284" t="n">
        <f aca="false">IFERROR(($J800*X800)*$M800, "")</f>
        <v>0</v>
      </c>
      <c r="BB800" s="284" t="n">
        <f aca="false">IFERROR(($J800*Y800)*$M800, "")</f>
        <v>0</v>
      </c>
      <c r="BC800" s="285" t="n">
        <f aca="false">IFERROR(($J800*Z800)*$M800, "")</f>
        <v>0</v>
      </c>
      <c r="BD800" s="286" t="n">
        <f aca="false">IFERROR(SUMIF($AB$4:$AM$4, "RDEC", AR800:BC800), "")</f>
        <v>0</v>
      </c>
      <c r="BE800" s="286" t="n">
        <f aca="false">IFERROR(SUMIF($AB$4:$AM$4, "SME", AR800:BC800), "")</f>
        <v>0</v>
      </c>
      <c r="BF800" s="286" t="n">
        <f aca="false">IFERROR(SUMIF($AB$4:$AM$4, "De Minimis", AR800:BC800), "")</f>
        <v>0</v>
      </c>
      <c r="BG800" s="287"/>
      <c r="BH800" s="288" t="str">
        <f aca="false">IF((SUM(O800:Z800)&gt;1),"ERROR","")</f>
        <v/>
      </c>
      <c r="BI800" s="287"/>
      <c r="BJ800" s="18" t="str">
        <f aca="false">IF(C786&gt;0, C786, "")</f>
        <v/>
      </c>
      <c r="BL800" s="200"/>
      <c r="BM800" s="200"/>
      <c r="BN800" s="200"/>
    </row>
    <row r="801" customFormat="false" ht="15" hidden="false" customHeight="true" outlineLevel="0" collapsed="false">
      <c r="B801" s="275"/>
      <c r="D801" s="276" t="n">
        <f aca="false">D785</f>
        <v>45566</v>
      </c>
      <c r="E801" s="277" t="n">
        <v>0</v>
      </c>
      <c r="F801" s="277" t="n">
        <v>0</v>
      </c>
      <c r="G801" s="277" t="n">
        <v>0</v>
      </c>
      <c r="H801" s="277" t="n">
        <v>0</v>
      </c>
      <c r="I801" s="277" t="n">
        <v>0</v>
      </c>
      <c r="J801" s="278" t="n">
        <f aca="false">E801+H801+I801</f>
        <v>0</v>
      </c>
      <c r="K801" s="204"/>
      <c r="L801" s="279" t="n">
        <v>1</v>
      </c>
      <c r="M801" s="280" t="n">
        <f aca="false">1-L801</f>
        <v>0</v>
      </c>
      <c r="N801" s="281"/>
      <c r="O801" s="282"/>
      <c r="P801" s="282"/>
      <c r="Q801" s="282"/>
      <c r="R801" s="282"/>
      <c r="S801" s="282"/>
      <c r="T801" s="282"/>
      <c r="U801" s="282"/>
      <c r="V801" s="282"/>
      <c r="W801" s="282"/>
      <c r="X801" s="282"/>
      <c r="Y801" s="282"/>
      <c r="Z801" s="282"/>
      <c r="AA801" s="283"/>
      <c r="AB801" s="284" t="n">
        <f aca="false">IFERROR(($J801*O801)*$L801, "")</f>
        <v>0</v>
      </c>
      <c r="AC801" s="284" t="n">
        <f aca="false">IFERROR(($J801*P801)*$L801, "")</f>
        <v>0</v>
      </c>
      <c r="AD801" s="284" t="n">
        <f aca="false">IFERROR(($J801*Q801)*$L801, "")</f>
        <v>0</v>
      </c>
      <c r="AE801" s="284" t="n">
        <f aca="false">IFERROR(($J801*R801)*$L801, "")</f>
        <v>0</v>
      </c>
      <c r="AF801" s="284" t="n">
        <f aca="false">IFERROR(($J801*S801)*$L801, "")</f>
        <v>0</v>
      </c>
      <c r="AG801" s="284" t="n">
        <f aca="false">IFERROR(($J801*T801)*$L801, "")</f>
        <v>0</v>
      </c>
      <c r="AH801" s="284" t="n">
        <f aca="false">IFERROR(($J801*U801)*$L801, "")</f>
        <v>0</v>
      </c>
      <c r="AI801" s="284" t="n">
        <f aca="false">IFERROR(($J801*V801)*$L801, "")</f>
        <v>0</v>
      </c>
      <c r="AJ801" s="284" t="n">
        <f aca="false">IFERROR(($J801*W801)*$L801, "")</f>
        <v>0</v>
      </c>
      <c r="AK801" s="284" t="n">
        <f aca="false">IFERROR(($J801*X801)*$L801, "")</f>
        <v>0</v>
      </c>
      <c r="AL801" s="284" t="n">
        <f aca="false">IFERROR(($J801*Y801)*$L801, "")</f>
        <v>0</v>
      </c>
      <c r="AM801" s="285" t="n">
        <f aca="false">IFERROR(($J801*Z801)*$L801, "")</f>
        <v>0</v>
      </c>
      <c r="AN801" s="286" t="n">
        <f aca="false">IFERROR(SUMIF($AB$4:$AM$4, "RDEC", AB801:AM801), "")</f>
        <v>0</v>
      </c>
      <c r="AO801" s="286" t="n">
        <f aca="false">IFERROR(SUMIF($AB$4:$AM$4, "SME", AB801:AM801), "")</f>
        <v>0</v>
      </c>
      <c r="AP801" s="286" t="n">
        <f aca="false">IFERROR(SUMIF($AB$4:$AM$4, "De Minimis", AB801:AM801), "")</f>
        <v>0</v>
      </c>
      <c r="AQ801" s="283"/>
      <c r="AR801" s="284" t="n">
        <f aca="false">IFERROR(($J801*O801)*$M801, "")</f>
        <v>0</v>
      </c>
      <c r="AS801" s="284" t="n">
        <f aca="false">IFERROR(($J801*P801)*$M801, "")</f>
        <v>0</v>
      </c>
      <c r="AT801" s="284" t="n">
        <f aca="false">IFERROR(($J801*Q801)*$M801, "")</f>
        <v>0</v>
      </c>
      <c r="AU801" s="284" t="n">
        <f aca="false">IFERROR(($J801*R801)*$M801, "")</f>
        <v>0</v>
      </c>
      <c r="AV801" s="284" t="n">
        <f aca="false">IFERROR(($J801*S801)*$M801, "")</f>
        <v>0</v>
      </c>
      <c r="AW801" s="284" t="n">
        <f aca="false">IFERROR(($J801*T801)*$M801, "")</f>
        <v>0</v>
      </c>
      <c r="AX801" s="284" t="n">
        <f aca="false">IFERROR(($J801*U801)*$M801, "")</f>
        <v>0</v>
      </c>
      <c r="AY801" s="284" t="n">
        <f aca="false">IFERROR(($J801*V801)*$M801, "")</f>
        <v>0</v>
      </c>
      <c r="AZ801" s="284" t="n">
        <f aca="false">IFERROR(($J801*W801)*$M801, "")</f>
        <v>0</v>
      </c>
      <c r="BA801" s="284" t="n">
        <f aca="false">IFERROR(($J801*X801)*$M801, "")</f>
        <v>0</v>
      </c>
      <c r="BB801" s="284" t="n">
        <f aca="false">IFERROR(($J801*Y801)*$M801, "")</f>
        <v>0</v>
      </c>
      <c r="BC801" s="285" t="n">
        <f aca="false">IFERROR(($J801*Z801)*$M801, "")</f>
        <v>0</v>
      </c>
      <c r="BD801" s="286" t="n">
        <f aca="false">IFERROR(SUMIF($AB$4:$AM$4, "RDEC", AR801:BC801), "")</f>
        <v>0</v>
      </c>
      <c r="BE801" s="286" t="n">
        <f aca="false">IFERROR(SUMIF($AB$4:$AM$4, "SME", AR801:BC801), "")</f>
        <v>0</v>
      </c>
      <c r="BF801" s="286" t="n">
        <f aca="false">IFERROR(SUMIF($AB$4:$AM$4, "De Minimis", AR801:BC801), "")</f>
        <v>0</v>
      </c>
      <c r="BG801" s="287"/>
      <c r="BH801" s="288" t="str">
        <f aca="false">IF((SUM(O801:Z801)&gt;1),"ERROR","")</f>
        <v/>
      </c>
      <c r="BI801" s="287"/>
      <c r="BJ801" s="18" t="str">
        <f aca="false">IF(C787&gt;0, C787, "")</f>
        <v/>
      </c>
      <c r="BL801" s="200"/>
      <c r="BM801" s="200"/>
      <c r="BN801" s="200"/>
    </row>
    <row r="802" customFormat="false" ht="15" hidden="false" customHeight="true" outlineLevel="0" collapsed="false">
      <c r="B802" s="275"/>
      <c r="D802" s="276" t="n">
        <f aca="false">D786</f>
        <v>45597</v>
      </c>
      <c r="E802" s="277" t="n">
        <v>0</v>
      </c>
      <c r="F802" s="277" t="n">
        <v>0</v>
      </c>
      <c r="G802" s="277" t="n">
        <v>0</v>
      </c>
      <c r="H802" s="277" t="n">
        <v>0</v>
      </c>
      <c r="I802" s="277" t="n">
        <v>0</v>
      </c>
      <c r="J802" s="278" t="n">
        <f aca="false">E802+H802+I802</f>
        <v>0</v>
      </c>
      <c r="K802" s="204"/>
      <c r="L802" s="279" t="n">
        <v>1</v>
      </c>
      <c r="M802" s="280" t="n">
        <f aca="false">1-L802</f>
        <v>0</v>
      </c>
      <c r="N802" s="281"/>
      <c r="O802" s="282"/>
      <c r="P802" s="282"/>
      <c r="Q802" s="282"/>
      <c r="R802" s="282"/>
      <c r="S802" s="282"/>
      <c r="T802" s="282"/>
      <c r="U802" s="282"/>
      <c r="V802" s="282"/>
      <c r="W802" s="282"/>
      <c r="X802" s="282"/>
      <c r="Y802" s="282"/>
      <c r="Z802" s="282"/>
      <c r="AA802" s="283"/>
      <c r="AB802" s="284" t="n">
        <f aca="false">IFERROR(($J802*O802)*$L802, "")</f>
        <v>0</v>
      </c>
      <c r="AC802" s="284" t="n">
        <f aca="false">IFERROR(($J802*P802)*$L802, "")</f>
        <v>0</v>
      </c>
      <c r="AD802" s="284" t="n">
        <f aca="false">IFERROR(($J802*Q802)*$L802, "")</f>
        <v>0</v>
      </c>
      <c r="AE802" s="284" t="n">
        <f aca="false">IFERROR(($J802*R802)*$L802, "")</f>
        <v>0</v>
      </c>
      <c r="AF802" s="284" t="n">
        <f aca="false">IFERROR(($J802*S802)*$L802, "")</f>
        <v>0</v>
      </c>
      <c r="AG802" s="284" t="n">
        <f aca="false">IFERROR(($J802*T802)*$L802, "")</f>
        <v>0</v>
      </c>
      <c r="AH802" s="284" t="n">
        <f aca="false">IFERROR(($J802*U802)*$L802, "")</f>
        <v>0</v>
      </c>
      <c r="AI802" s="284" t="n">
        <f aca="false">IFERROR(($J802*V802)*$L802, "")</f>
        <v>0</v>
      </c>
      <c r="AJ802" s="284" t="n">
        <f aca="false">IFERROR(($J802*W802)*$L802, "")</f>
        <v>0</v>
      </c>
      <c r="AK802" s="284" t="n">
        <f aca="false">IFERROR(($J802*X802)*$L802, "")</f>
        <v>0</v>
      </c>
      <c r="AL802" s="284" t="n">
        <f aca="false">IFERROR(($J802*Y802)*$L802, "")</f>
        <v>0</v>
      </c>
      <c r="AM802" s="285" t="n">
        <f aca="false">IFERROR(($J802*Z802)*$L802, "")</f>
        <v>0</v>
      </c>
      <c r="AN802" s="286" t="n">
        <f aca="false">IFERROR(SUMIF($AB$4:$AM$4, "RDEC", AB802:AM802), "")</f>
        <v>0</v>
      </c>
      <c r="AO802" s="286" t="n">
        <f aca="false">IFERROR(SUMIF($AB$4:$AM$4, "SME", AB802:AM802), "")</f>
        <v>0</v>
      </c>
      <c r="AP802" s="286" t="n">
        <f aca="false">IFERROR(SUMIF($AB$4:$AM$4, "De Minimis", AB802:AM802), "")</f>
        <v>0</v>
      </c>
      <c r="AQ802" s="283"/>
      <c r="AR802" s="284" t="n">
        <f aca="false">IFERROR(($J802*O802)*$M802, "")</f>
        <v>0</v>
      </c>
      <c r="AS802" s="284" t="n">
        <f aca="false">IFERROR(($J802*P802)*$M802, "")</f>
        <v>0</v>
      </c>
      <c r="AT802" s="284" t="n">
        <f aca="false">IFERROR(($J802*Q802)*$M802, "")</f>
        <v>0</v>
      </c>
      <c r="AU802" s="284" t="n">
        <f aca="false">IFERROR(($J802*R802)*$M802, "")</f>
        <v>0</v>
      </c>
      <c r="AV802" s="284" t="n">
        <f aca="false">IFERROR(($J802*S802)*$M802, "")</f>
        <v>0</v>
      </c>
      <c r="AW802" s="284" t="n">
        <f aca="false">IFERROR(($J802*T802)*$M802, "")</f>
        <v>0</v>
      </c>
      <c r="AX802" s="284" t="n">
        <f aca="false">IFERROR(($J802*U802)*$M802, "")</f>
        <v>0</v>
      </c>
      <c r="AY802" s="284" t="n">
        <f aca="false">IFERROR(($J802*V802)*$M802, "")</f>
        <v>0</v>
      </c>
      <c r="AZ802" s="284" t="n">
        <f aca="false">IFERROR(($J802*W802)*$M802, "")</f>
        <v>0</v>
      </c>
      <c r="BA802" s="284" t="n">
        <f aca="false">IFERROR(($J802*X802)*$M802, "")</f>
        <v>0</v>
      </c>
      <c r="BB802" s="284" t="n">
        <f aca="false">IFERROR(($J802*Y802)*$M802, "")</f>
        <v>0</v>
      </c>
      <c r="BC802" s="285" t="n">
        <f aca="false">IFERROR(($J802*Z802)*$M802, "")</f>
        <v>0</v>
      </c>
      <c r="BD802" s="286" t="n">
        <f aca="false">IFERROR(SUMIF($AB$4:$AM$4, "RDEC", AR802:BC802), "")</f>
        <v>0</v>
      </c>
      <c r="BE802" s="286" t="n">
        <f aca="false">IFERROR(SUMIF($AB$4:$AM$4, "SME", AR802:BC802), "")</f>
        <v>0</v>
      </c>
      <c r="BF802" s="286" t="n">
        <f aca="false">IFERROR(SUMIF($AB$4:$AM$4, "De Minimis", AR802:BC802), "")</f>
        <v>0</v>
      </c>
      <c r="BG802" s="287"/>
      <c r="BH802" s="288" t="str">
        <f aca="false">IF((SUM(O802:Z802)&gt;1),"ERROR","")</f>
        <v/>
      </c>
      <c r="BI802" s="287"/>
      <c r="BJ802" s="18" t="str">
        <f aca="false">IF(C788&gt;0, C788, "")</f>
        <v/>
      </c>
      <c r="BL802" s="200"/>
      <c r="BM802" s="200"/>
      <c r="BN802" s="200"/>
    </row>
    <row r="803" customFormat="false" ht="15" hidden="false" customHeight="true" outlineLevel="0" collapsed="false">
      <c r="B803" s="275"/>
      <c r="D803" s="276" t="n">
        <f aca="false">D787</f>
        <v>45627</v>
      </c>
      <c r="E803" s="277" t="n">
        <v>0</v>
      </c>
      <c r="F803" s="277" t="n">
        <v>0</v>
      </c>
      <c r="G803" s="277" t="n">
        <v>0</v>
      </c>
      <c r="H803" s="277" t="n">
        <v>0</v>
      </c>
      <c r="I803" s="277" t="n">
        <v>0</v>
      </c>
      <c r="J803" s="278" t="n">
        <f aca="false">E803+H803+I803</f>
        <v>0</v>
      </c>
      <c r="K803" s="204"/>
      <c r="L803" s="289" t="n">
        <v>1</v>
      </c>
      <c r="M803" s="290" t="n">
        <f aca="false">1-L803</f>
        <v>0</v>
      </c>
      <c r="N803" s="281"/>
      <c r="O803" s="291"/>
      <c r="P803" s="291"/>
      <c r="Q803" s="291"/>
      <c r="R803" s="291"/>
      <c r="S803" s="291"/>
      <c r="T803" s="291"/>
      <c r="U803" s="291"/>
      <c r="V803" s="291"/>
      <c r="W803" s="291"/>
      <c r="X803" s="291"/>
      <c r="Y803" s="291"/>
      <c r="Z803" s="291"/>
      <c r="AA803" s="283"/>
      <c r="AB803" s="292" t="n">
        <f aca="false">IFERROR(($J803*O803)*$L803, "")</f>
        <v>0</v>
      </c>
      <c r="AC803" s="292" t="n">
        <f aca="false">IFERROR(($J803*P803)*$L803, "")</f>
        <v>0</v>
      </c>
      <c r="AD803" s="292" t="n">
        <f aca="false">IFERROR(($J803*Q803)*$L803, "")</f>
        <v>0</v>
      </c>
      <c r="AE803" s="292" t="n">
        <f aca="false">IFERROR(($J803*R803)*$L803, "")</f>
        <v>0</v>
      </c>
      <c r="AF803" s="292" t="n">
        <f aca="false">IFERROR(($J803*S803)*$L803, "")</f>
        <v>0</v>
      </c>
      <c r="AG803" s="292" t="n">
        <f aca="false">IFERROR(($J803*T803)*$L803, "")</f>
        <v>0</v>
      </c>
      <c r="AH803" s="292" t="n">
        <f aca="false">IFERROR(($J803*U803)*$L803, "")</f>
        <v>0</v>
      </c>
      <c r="AI803" s="292" t="n">
        <f aca="false">IFERROR(($J803*V803)*$L803, "")</f>
        <v>0</v>
      </c>
      <c r="AJ803" s="292" t="n">
        <f aca="false">IFERROR(($J803*W803)*$L803, "")</f>
        <v>0</v>
      </c>
      <c r="AK803" s="292" t="n">
        <f aca="false">IFERROR(($J803*X803)*$L803, "")</f>
        <v>0</v>
      </c>
      <c r="AL803" s="292" t="n">
        <f aca="false">IFERROR(($J803*Y803)*$L803, "")</f>
        <v>0</v>
      </c>
      <c r="AM803" s="293" t="n">
        <f aca="false">IFERROR(($J803*Z803)*$L803, "")</f>
        <v>0</v>
      </c>
      <c r="AN803" s="294" t="n">
        <f aca="false">IFERROR(SUMIF($AB$4:$AM$4, "RDEC", AB803:AM803), "")</f>
        <v>0</v>
      </c>
      <c r="AO803" s="294" t="n">
        <f aca="false">IFERROR(SUMIF($AB$4:$AM$4, "SME", AB803:AM803), "")</f>
        <v>0</v>
      </c>
      <c r="AP803" s="294" t="n">
        <f aca="false">IFERROR(SUMIF($AB$4:$AM$4, "De Minimis", AB803:AM803), "")</f>
        <v>0</v>
      </c>
      <c r="AQ803" s="283"/>
      <c r="AR803" s="292" t="n">
        <f aca="false">IFERROR(($J803*O803)*$M803, "")</f>
        <v>0</v>
      </c>
      <c r="AS803" s="292" t="n">
        <f aca="false">IFERROR(($J803*P803)*$M803, "")</f>
        <v>0</v>
      </c>
      <c r="AT803" s="292" t="n">
        <f aca="false">IFERROR(($J803*Q803)*$M803, "")</f>
        <v>0</v>
      </c>
      <c r="AU803" s="292" t="n">
        <f aca="false">IFERROR(($J803*R803)*$M803, "")</f>
        <v>0</v>
      </c>
      <c r="AV803" s="292" t="n">
        <f aca="false">IFERROR(($J803*S803)*$M803, "")</f>
        <v>0</v>
      </c>
      <c r="AW803" s="292" t="n">
        <f aca="false">IFERROR(($J803*T803)*$M803, "")</f>
        <v>0</v>
      </c>
      <c r="AX803" s="292" t="n">
        <f aca="false">IFERROR(($J803*U803)*$M803, "")</f>
        <v>0</v>
      </c>
      <c r="AY803" s="292" t="n">
        <f aca="false">IFERROR(($J803*V803)*$M803, "")</f>
        <v>0</v>
      </c>
      <c r="AZ803" s="292" t="n">
        <f aca="false">IFERROR(($J803*W803)*$M803, "")</f>
        <v>0</v>
      </c>
      <c r="BA803" s="292" t="n">
        <f aca="false">IFERROR(($J803*X803)*$M803, "")</f>
        <v>0</v>
      </c>
      <c r="BB803" s="292" t="n">
        <f aca="false">IFERROR(($J803*Y803)*$M803, "")</f>
        <v>0</v>
      </c>
      <c r="BC803" s="293" t="n">
        <f aca="false">IFERROR(($J803*Z803)*$M803, "")</f>
        <v>0</v>
      </c>
      <c r="BD803" s="294" t="n">
        <f aca="false">IFERROR(SUMIF($AB$4:$AM$4, "RDEC", AR803:BC803), "")</f>
        <v>0</v>
      </c>
      <c r="BE803" s="294" t="n">
        <f aca="false">IFERROR(SUMIF($AB$4:$AM$4, "SME", AR803:BC803), "")</f>
        <v>0</v>
      </c>
      <c r="BF803" s="294" t="n">
        <f aca="false">IFERROR(SUMIF($AB$4:$AM$4, "De Minimis", AR803:BC803), "")</f>
        <v>0</v>
      </c>
      <c r="BG803" s="287"/>
      <c r="BH803" s="295" t="str">
        <f aca="false">IF((SUM(O803:Z803)&gt;1),"ERROR","")</f>
        <v/>
      </c>
      <c r="BI803" s="287"/>
      <c r="BJ803" s="18" t="str">
        <f aca="false">IF(C789&gt;0, C789, "")</f>
        <v/>
      </c>
      <c r="BL803" s="200"/>
      <c r="BM803" s="200"/>
      <c r="BN803" s="200"/>
    </row>
    <row r="804" customFormat="false" ht="15" hidden="false" customHeight="true" outlineLevel="0" collapsed="false">
      <c r="B804" s="296"/>
      <c r="D804" s="297" t="s">
        <v>82</v>
      </c>
      <c r="E804" s="298" t="n">
        <f aca="false">SUM(E792:E803)</f>
        <v>0</v>
      </c>
      <c r="F804" s="298" t="n">
        <f aca="false">SUM(F792:F803)</f>
        <v>0</v>
      </c>
      <c r="G804" s="298" t="n">
        <f aca="false">SUM(G792:G803)</f>
        <v>0</v>
      </c>
      <c r="H804" s="298" t="n">
        <f aca="false">SUM(H792:H803)</f>
        <v>0</v>
      </c>
      <c r="I804" s="298" t="n">
        <f aca="false">SUM(I792:I803)</f>
        <v>0</v>
      </c>
      <c r="J804" s="299" t="n">
        <f aca="false">SUM(J792:J803)</f>
        <v>0</v>
      </c>
      <c r="K804" s="300"/>
      <c r="L804" s="301" t="n">
        <f aca="false">AVERAGE(L792:L803)</f>
        <v>1</v>
      </c>
      <c r="M804" s="301" t="n">
        <f aca="false">AVERAGE(M792:M803)</f>
        <v>0</v>
      </c>
      <c r="N804" s="302"/>
      <c r="O804" s="290" t="n">
        <f aca="false">IF(SUM(O792:O803)&gt;0,((AB804+AR804)/J804),0)</f>
        <v>0</v>
      </c>
      <c r="P804" s="290" t="n">
        <f aca="false">IF(SUM(P792:P803)&gt;0,((AC804+AS804)/J804),0)</f>
        <v>0</v>
      </c>
      <c r="Q804" s="290" t="n">
        <f aca="false">IF(SUM(Q792:Q803)&gt;0,((AD804+AT804)/J804),0)</f>
        <v>0</v>
      </c>
      <c r="R804" s="290" t="n">
        <f aca="false">IF(SUM(R792:R803)&gt;0,((AE804+AU804)/J804),0)</f>
        <v>0</v>
      </c>
      <c r="S804" s="290" t="n">
        <f aca="false">IF(SUM(S792:S803)&gt;0,((AF804+AV804)/J804),0)</f>
        <v>0</v>
      </c>
      <c r="T804" s="290" t="n">
        <f aca="false">IF(SUM(T792:T803)&gt;0,((AG804+AW804)/J804),0)</f>
        <v>0</v>
      </c>
      <c r="U804" s="290" t="n">
        <f aca="false">IF(SUM(U792:U803)&gt;0,((AH804+AX804)/J804),0)</f>
        <v>0</v>
      </c>
      <c r="V804" s="290" t="n">
        <f aca="false">IF(SUM(V792:V803)&gt;0,((AI804+AY804)/J804),0)</f>
        <v>0</v>
      </c>
      <c r="W804" s="290" t="n">
        <f aca="false">IF(SUM(W792:W803)&gt;0,((AJ804+AZ804)/J804),0)</f>
        <v>0</v>
      </c>
      <c r="X804" s="290" t="n">
        <f aca="false">IF(SUM(X792:X803)&gt;0,((AK804+BA804)/J804),0)</f>
        <v>0</v>
      </c>
      <c r="Y804" s="290" t="n">
        <f aca="false">IF(SUM(Y792:Y803)&gt;0,((AL804+BB804)/J804),0)</f>
        <v>0</v>
      </c>
      <c r="Z804" s="290" t="n">
        <f aca="false">IF(SUM(Z792:Z803)&gt;0,((AM804+BC804)/J804),0)</f>
        <v>0</v>
      </c>
      <c r="AA804" s="303"/>
      <c r="AB804" s="292" t="n">
        <f aca="false">SUM(AB792:AB803)</f>
        <v>0</v>
      </c>
      <c r="AC804" s="304" t="n">
        <f aca="false">SUM(AC792:AC803)</f>
        <v>0</v>
      </c>
      <c r="AD804" s="304" t="n">
        <f aca="false">SUM(AD792:AD803)</f>
        <v>0</v>
      </c>
      <c r="AE804" s="304" t="n">
        <f aca="false">SUM(AE792:AE803)</f>
        <v>0</v>
      </c>
      <c r="AF804" s="304" t="n">
        <f aca="false">SUM(AF792:AF803)</f>
        <v>0</v>
      </c>
      <c r="AG804" s="304" t="n">
        <f aca="false">SUM(AG792:AG803)</f>
        <v>0</v>
      </c>
      <c r="AH804" s="304" t="n">
        <f aca="false">SUM(AH792:AH803)</f>
        <v>0</v>
      </c>
      <c r="AI804" s="304" t="n">
        <f aca="false">SUM(AI792:AI803)</f>
        <v>0</v>
      </c>
      <c r="AJ804" s="304" t="n">
        <f aca="false">SUM(AJ792:AJ803)</f>
        <v>0</v>
      </c>
      <c r="AK804" s="304" t="n">
        <f aca="false">SUM(AK792:AK803)</f>
        <v>0</v>
      </c>
      <c r="AL804" s="304" t="n">
        <f aca="false">SUM(AL792:AL803)</f>
        <v>0</v>
      </c>
      <c r="AM804" s="304" t="n">
        <f aca="false">SUM(AM792:AM803)</f>
        <v>0</v>
      </c>
      <c r="AN804" s="305" t="n">
        <f aca="false">SUM(AN792:AN803)</f>
        <v>0</v>
      </c>
      <c r="AO804" s="305" t="n">
        <f aca="false">SUM(AO792:AO803)</f>
        <v>0</v>
      </c>
      <c r="AP804" s="305" t="n">
        <f aca="false">SUM(AP792:AP803)</f>
        <v>0</v>
      </c>
      <c r="AQ804" s="303"/>
      <c r="AR804" s="292" t="n">
        <f aca="false">SUM(AR792:AR803)</f>
        <v>0</v>
      </c>
      <c r="AS804" s="304" t="n">
        <f aca="false">SUM(AS792:AS803)</f>
        <v>0</v>
      </c>
      <c r="AT804" s="304" t="n">
        <f aca="false">SUM(AT792:AT803)</f>
        <v>0</v>
      </c>
      <c r="AU804" s="304" t="n">
        <f aca="false">SUM(AU792:AU803)</f>
        <v>0</v>
      </c>
      <c r="AV804" s="304" t="n">
        <f aca="false">SUM(AV792:AV803)</f>
        <v>0</v>
      </c>
      <c r="AW804" s="304" t="n">
        <f aca="false">SUM(AW792:AW803)</f>
        <v>0</v>
      </c>
      <c r="AX804" s="304" t="n">
        <f aca="false">SUM(AX792:AX803)</f>
        <v>0</v>
      </c>
      <c r="AY804" s="304" t="n">
        <f aca="false">SUM(AY792:AY803)</f>
        <v>0</v>
      </c>
      <c r="AZ804" s="304" t="n">
        <f aca="false">SUM(AZ792:AZ803)</f>
        <v>0</v>
      </c>
      <c r="BA804" s="304" t="n">
        <f aca="false">SUM(BA792:BA803)</f>
        <v>0</v>
      </c>
      <c r="BB804" s="304" t="n">
        <f aca="false">SUM(BB792:BB803)</f>
        <v>0</v>
      </c>
      <c r="BC804" s="304" t="n">
        <f aca="false">SUM(BC792:BC803)</f>
        <v>0</v>
      </c>
      <c r="BD804" s="305" t="n">
        <f aca="false">SUM(BD792:BD803)</f>
        <v>0</v>
      </c>
      <c r="BE804" s="305" t="n">
        <f aca="false">SUM(BE792:BE803)</f>
        <v>0</v>
      </c>
      <c r="BF804" s="305" t="n">
        <f aca="false">SUM(BF792:BF803)</f>
        <v>0</v>
      </c>
      <c r="BG804" s="303"/>
      <c r="BH804" s="306"/>
      <c r="BI804" s="303"/>
      <c r="BJ804" s="307" t="str">
        <f aca="false">IF(C790&gt;0, C790, "")</f>
        <v>TBA</v>
      </c>
      <c r="BK804" s="18" t="s">
        <v>234</v>
      </c>
      <c r="BL804" s="200" t="n">
        <f aca="false">IF($BK804="Y",J804,0)</f>
        <v>0</v>
      </c>
      <c r="BM804" s="200" t="n">
        <f aca="false">IF(BK804="Y", AN804,0)</f>
        <v>0</v>
      </c>
      <c r="BN804" s="200" t="n">
        <f aca="false">IF((BK804="Y"),AO804,0)</f>
        <v>0</v>
      </c>
    </row>
    <row r="805" customFormat="false" ht="15" hidden="false" customHeight="true" outlineLevel="0" collapsed="false">
      <c r="B805" s="296"/>
      <c r="D805" s="297"/>
      <c r="E805" s="277"/>
      <c r="F805" s="277"/>
      <c r="G805" s="277"/>
      <c r="H805" s="277"/>
      <c r="I805" s="277"/>
      <c r="J805" s="300"/>
      <c r="K805" s="300"/>
      <c r="L805" s="302"/>
      <c r="M805" s="302"/>
      <c r="N805" s="302"/>
      <c r="O805" s="308"/>
      <c r="P805" s="308"/>
      <c r="Q805" s="308"/>
      <c r="R805" s="308"/>
      <c r="S805" s="308"/>
      <c r="T805" s="308"/>
      <c r="U805" s="308"/>
      <c r="V805" s="308"/>
      <c r="W805" s="308"/>
      <c r="X805" s="308"/>
      <c r="Y805" s="308"/>
      <c r="Z805" s="308"/>
      <c r="AA805" s="303"/>
      <c r="AB805" s="303"/>
      <c r="AC805" s="303"/>
      <c r="AD805" s="303"/>
      <c r="AE805" s="303"/>
      <c r="AF805" s="303"/>
      <c r="AG805" s="303"/>
      <c r="AH805" s="303"/>
      <c r="AI805" s="303"/>
      <c r="AJ805" s="303"/>
      <c r="AK805" s="303"/>
      <c r="AL805" s="303"/>
      <c r="AM805" s="303"/>
      <c r="AN805" s="303"/>
      <c r="AO805" s="303"/>
      <c r="AP805" s="303"/>
      <c r="AQ805" s="303"/>
      <c r="AR805" s="303"/>
      <c r="AS805" s="303"/>
      <c r="AT805" s="303"/>
      <c r="AU805" s="303"/>
      <c r="AV805" s="303"/>
      <c r="AW805" s="303"/>
      <c r="AX805" s="303"/>
      <c r="AY805" s="303"/>
      <c r="AZ805" s="303"/>
      <c r="BA805" s="303"/>
      <c r="BB805" s="303"/>
      <c r="BC805" s="303"/>
      <c r="BD805" s="303"/>
      <c r="BE805" s="303"/>
      <c r="BF805" s="303"/>
      <c r="BG805" s="303"/>
      <c r="BH805" s="303"/>
      <c r="BI805" s="303"/>
      <c r="BJ805" s="307" t="str">
        <f aca="false">IF(C792&gt;0, C792, "")</f>
        <v/>
      </c>
      <c r="BL805" s="200"/>
      <c r="BM805" s="200"/>
      <c r="BN805" s="200"/>
    </row>
    <row r="806" customFormat="false" ht="15" hidden="false" customHeight="true" outlineLevel="0" collapsed="false">
      <c r="A806" s="198" t="n">
        <f aca="false">A790+1</f>
        <v>51</v>
      </c>
      <c r="B806" s="266" t="s">
        <v>253</v>
      </c>
      <c r="C806" s="266" t="s">
        <v>253</v>
      </c>
      <c r="D806" s="267"/>
      <c r="E806" s="242"/>
      <c r="F806" s="242"/>
      <c r="G806" s="242"/>
      <c r="H806" s="242"/>
      <c r="I806" s="242"/>
      <c r="J806" s="241"/>
      <c r="K806" s="241"/>
      <c r="L806" s="241"/>
      <c r="M806" s="241"/>
      <c r="N806" s="241"/>
      <c r="O806" s="268"/>
      <c r="P806" s="268"/>
      <c r="Q806" s="268"/>
      <c r="R806" s="268"/>
      <c r="S806" s="268"/>
      <c r="T806" s="268"/>
      <c r="U806" s="268"/>
      <c r="V806" s="268"/>
      <c r="W806" s="268"/>
      <c r="X806" s="268"/>
      <c r="Y806" s="268"/>
      <c r="Z806" s="268"/>
      <c r="AA806" s="268"/>
      <c r="AB806" s="268"/>
      <c r="AC806" s="268"/>
      <c r="AD806" s="268"/>
      <c r="AE806" s="268"/>
      <c r="AF806" s="268"/>
      <c r="AG806" s="268"/>
      <c r="AH806" s="268"/>
      <c r="AI806" s="268"/>
      <c r="AJ806" s="268"/>
      <c r="AK806" s="268"/>
      <c r="AL806" s="268"/>
      <c r="AM806" s="268"/>
      <c r="AN806" s="268"/>
      <c r="AO806" s="268"/>
      <c r="AP806" s="268"/>
      <c r="AQ806" s="268"/>
      <c r="AR806" s="268"/>
      <c r="AS806" s="268"/>
      <c r="AT806" s="268"/>
      <c r="AU806" s="268"/>
      <c r="AV806" s="268"/>
      <c r="AW806" s="268"/>
      <c r="AX806" s="268"/>
      <c r="AY806" s="268"/>
      <c r="AZ806" s="268"/>
      <c r="BA806" s="268"/>
      <c r="BB806" s="268"/>
      <c r="BC806" s="268"/>
      <c r="BD806" s="268"/>
      <c r="BE806" s="268"/>
      <c r="BF806" s="268"/>
      <c r="BG806" s="268"/>
      <c r="BH806" s="268"/>
      <c r="BI806" s="268"/>
      <c r="BJ806" s="18" t="str">
        <f aca="false">IF(C793&gt;0, C793, "")</f>
        <v/>
      </c>
      <c r="BL806" s="200"/>
      <c r="BM806" s="200"/>
      <c r="BN806" s="200"/>
    </row>
    <row r="807" customFormat="false" ht="7.5" hidden="false" customHeight="true" outlineLevel="0" collapsed="false">
      <c r="A807" s="198"/>
      <c r="B807" s="266"/>
      <c r="C807" s="266"/>
      <c r="D807" s="267"/>
      <c r="E807" s="242"/>
      <c r="F807" s="242"/>
      <c r="G807" s="242"/>
      <c r="H807" s="242"/>
      <c r="I807" s="242"/>
      <c r="J807" s="241"/>
      <c r="K807" s="241"/>
      <c r="L807" s="269"/>
      <c r="M807" s="269"/>
      <c r="N807" s="270"/>
      <c r="O807" s="269"/>
      <c r="P807" s="269"/>
      <c r="Q807" s="269"/>
      <c r="R807" s="269"/>
      <c r="S807" s="269"/>
      <c r="T807" s="269"/>
      <c r="U807" s="269"/>
      <c r="V807" s="269"/>
      <c r="W807" s="269"/>
      <c r="X807" s="269"/>
      <c r="Y807" s="269"/>
      <c r="Z807" s="269"/>
      <c r="AA807" s="268"/>
      <c r="AB807" s="271"/>
      <c r="AC807" s="271"/>
      <c r="AD807" s="271"/>
      <c r="AE807" s="271"/>
      <c r="AF807" s="271"/>
      <c r="AG807" s="271"/>
      <c r="AH807" s="271"/>
      <c r="AI807" s="271"/>
      <c r="AJ807" s="271"/>
      <c r="AK807" s="271"/>
      <c r="AL807" s="271"/>
      <c r="AM807" s="272"/>
      <c r="AN807" s="273"/>
      <c r="AO807" s="273"/>
      <c r="AP807" s="273"/>
      <c r="AQ807" s="268"/>
      <c r="AR807" s="271"/>
      <c r="AS807" s="271"/>
      <c r="AT807" s="271"/>
      <c r="AU807" s="271"/>
      <c r="AV807" s="271"/>
      <c r="AW807" s="271"/>
      <c r="AX807" s="271"/>
      <c r="AY807" s="271"/>
      <c r="AZ807" s="271"/>
      <c r="BA807" s="271"/>
      <c r="BB807" s="271"/>
      <c r="BC807" s="272"/>
      <c r="BD807" s="273"/>
      <c r="BE807" s="273"/>
      <c r="BF807" s="273"/>
      <c r="BG807" s="268"/>
      <c r="BH807" s="274"/>
      <c r="BI807" s="268"/>
      <c r="BL807" s="200"/>
      <c r="BM807" s="200"/>
      <c r="BN807" s="200"/>
    </row>
    <row r="808" customFormat="false" ht="15" hidden="false" customHeight="true" outlineLevel="0" collapsed="false">
      <c r="B808" s="275"/>
      <c r="D808" s="276" t="n">
        <f aca="false">D792</f>
        <v>45292</v>
      </c>
      <c r="E808" s="277" t="n">
        <v>0</v>
      </c>
      <c r="F808" s="277" t="n">
        <v>0</v>
      </c>
      <c r="G808" s="277" t="n">
        <v>0</v>
      </c>
      <c r="H808" s="277" t="n">
        <v>0</v>
      </c>
      <c r="I808" s="277" t="n">
        <v>0</v>
      </c>
      <c r="J808" s="278" t="n">
        <f aca="false">E808+H808+I808</f>
        <v>0</v>
      </c>
      <c r="K808" s="204"/>
      <c r="L808" s="279" t="n">
        <v>1</v>
      </c>
      <c r="M808" s="280" t="n">
        <f aca="false">1-L808</f>
        <v>0</v>
      </c>
      <c r="N808" s="281"/>
      <c r="O808" s="282"/>
      <c r="P808" s="282"/>
      <c r="Q808" s="282"/>
      <c r="R808" s="282"/>
      <c r="S808" s="282"/>
      <c r="T808" s="282"/>
      <c r="U808" s="282"/>
      <c r="V808" s="282"/>
      <c r="W808" s="282"/>
      <c r="X808" s="282"/>
      <c r="Y808" s="282"/>
      <c r="Z808" s="282"/>
      <c r="AA808" s="283"/>
      <c r="AB808" s="284" t="n">
        <f aca="false">IFERROR(($J808*O808)*$L808, "")</f>
        <v>0</v>
      </c>
      <c r="AC808" s="284" t="n">
        <f aca="false">IFERROR(($J808*P808)*$L808, "")</f>
        <v>0</v>
      </c>
      <c r="AD808" s="284" t="n">
        <f aca="false">IFERROR(($J808*Q808)*$L808, "")</f>
        <v>0</v>
      </c>
      <c r="AE808" s="284" t="n">
        <f aca="false">IFERROR(($J808*R808)*$L808, "")</f>
        <v>0</v>
      </c>
      <c r="AF808" s="284" t="n">
        <f aca="false">IFERROR(($J808*S808)*$L808, "")</f>
        <v>0</v>
      </c>
      <c r="AG808" s="284" t="n">
        <f aca="false">IFERROR(($J808*T808)*$L808, "")</f>
        <v>0</v>
      </c>
      <c r="AH808" s="284" t="n">
        <f aca="false">IFERROR(($J808*U808)*$L808, "")</f>
        <v>0</v>
      </c>
      <c r="AI808" s="284" t="n">
        <f aca="false">IFERROR(($J808*V808)*$L808, "")</f>
        <v>0</v>
      </c>
      <c r="AJ808" s="284" t="n">
        <f aca="false">IFERROR(($J808*W808)*$L808, "")</f>
        <v>0</v>
      </c>
      <c r="AK808" s="284" t="n">
        <f aca="false">IFERROR(($J808*X808)*$L808, "")</f>
        <v>0</v>
      </c>
      <c r="AL808" s="284" t="n">
        <f aca="false">IFERROR(($J808*Y808)*$L808, "")</f>
        <v>0</v>
      </c>
      <c r="AM808" s="285" t="n">
        <f aca="false">IFERROR(($J808*Z808)*$L808, "")</f>
        <v>0</v>
      </c>
      <c r="AN808" s="286" t="n">
        <f aca="false">IFERROR(SUMIF($AB$4:$AM$4, "RDEC", AB808:AM808), "")</f>
        <v>0</v>
      </c>
      <c r="AO808" s="286" t="n">
        <f aca="false">IFERROR(SUMIF($AB$4:$AM$4, "SME", AB808:AM808), "")</f>
        <v>0</v>
      </c>
      <c r="AP808" s="286" t="n">
        <f aca="false">IFERROR(SUMIF($AB$4:$AM$4, "De Minimis", AB808:AM808), "")</f>
        <v>0</v>
      </c>
      <c r="AQ808" s="283"/>
      <c r="AR808" s="284" t="n">
        <f aca="false">IFERROR(($J808*O808)*$M808, "")</f>
        <v>0</v>
      </c>
      <c r="AS808" s="284" t="n">
        <f aca="false">IFERROR(($J808*P808)*$M808, "")</f>
        <v>0</v>
      </c>
      <c r="AT808" s="284" t="n">
        <f aca="false">IFERROR(($J808*Q808)*$M808, "")</f>
        <v>0</v>
      </c>
      <c r="AU808" s="284" t="n">
        <f aca="false">IFERROR(($J808*R808)*$M808, "")</f>
        <v>0</v>
      </c>
      <c r="AV808" s="284" t="n">
        <f aca="false">IFERROR(($J808*S808)*$M808, "")</f>
        <v>0</v>
      </c>
      <c r="AW808" s="284" t="n">
        <f aca="false">IFERROR(($J808*T808)*$M808, "")</f>
        <v>0</v>
      </c>
      <c r="AX808" s="284" t="n">
        <f aca="false">IFERROR(($J808*U808)*$M808, "")</f>
        <v>0</v>
      </c>
      <c r="AY808" s="284" t="n">
        <f aca="false">IFERROR(($J808*V808)*$M808, "")</f>
        <v>0</v>
      </c>
      <c r="AZ808" s="284" t="n">
        <f aca="false">IFERROR(($J808*W808)*$M808, "")</f>
        <v>0</v>
      </c>
      <c r="BA808" s="284" t="n">
        <f aca="false">IFERROR(($J808*X808)*$M808, "")</f>
        <v>0</v>
      </c>
      <c r="BB808" s="284" t="n">
        <f aca="false">IFERROR(($J808*Y808)*$M808, "")</f>
        <v>0</v>
      </c>
      <c r="BC808" s="285" t="n">
        <f aca="false">IFERROR(($J808*Z808)*$M808, "")</f>
        <v>0</v>
      </c>
      <c r="BD808" s="286" t="n">
        <f aca="false">IFERROR(SUMIF($AB$4:$AM$4, "RDEC", AR808:BC808), "")</f>
        <v>0</v>
      </c>
      <c r="BE808" s="286" t="n">
        <f aca="false">IFERROR(SUMIF($AB$4:$AM$4, "SME", AR808:BC808), "")</f>
        <v>0</v>
      </c>
      <c r="BF808" s="286" t="n">
        <f aca="false">IFERROR(SUMIF($AB$4:$AM$4, "De Minimis", AR808:BC808), "")</f>
        <v>0</v>
      </c>
      <c r="BG808" s="287"/>
      <c r="BH808" s="288" t="str">
        <f aca="false">IF((SUM(O808:Z808)&gt;1),"ERROR","")</f>
        <v/>
      </c>
      <c r="BI808" s="287"/>
      <c r="BJ808" s="18" t="str">
        <f aca="false">IF(C794&gt;0, C794, "")</f>
        <v/>
      </c>
      <c r="BL808" s="200"/>
      <c r="BM808" s="200"/>
      <c r="BN808" s="200"/>
    </row>
    <row r="809" customFormat="false" ht="15" hidden="false" customHeight="true" outlineLevel="0" collapsed="false">
      <c r="B809" s="275"/>
      <c r="D809" s="276" t="n">
        <f aca="false">D793</f>
        <v>45323</v>
      </c>
      <c r="E809" s="277" t="n">
        <v>0</v>
      </c>
      <c r="F809" s="277" t="n">
        <v>0</v>
      </c>
      <c r="G809" s="277" t="n">
        <v>0</v>
      </c>
      <c r="H809" s="277" t="n">
        <v>0</v>
      </c>
      <c r="I809" s="277" t="n">
        <v>0</v>
      </c>
      <c r="J809" s="278" t="n">
        <f aca="false">E809+H809+I809</f>
        <v>0</v>
      </c>
      <c r="K809" s="204"/>
      <c r="L809" s="279" t="n">
        <v>1</v>
      </c>
      <c r="M809" s="280" t="n">
        <f aca="false">1-L809</f>
        <v>0</v>
      </c>
      <c r="N809" s="281"/>
      <c r="O809" s="282"/>
      <c r="P809" s="282"/>
      <c r="Q809" s="282"/>
      <c r="R809" s="282"/>
      <c r="S809" s="282"/>
      <c r="T809" s="282"/>
      <c r="U809" s="282"/>
      <c r="V809" s="282"/>
      <c r="W809" s="282"/>
      <c r="X809" s="282"/>
      <c r="Y809" s="282"/>
      <c r="Z809" s="282"/>
      <c r="AA809" s="283"/>
      <c r="AB809" s="284" t="n">
        <f aca="false">IFERROR(($J809*O809)*$L809, "")</f>
        <v>0</v>
      </c>
      <c r="AC809" s="284" t="n">
        <f aca="false">IFERROR(($J809*P809)*$L809, "")</f>
        <v>0</v>
      </c>
      <c r="AD809" s="284" t="n">
        <f aca="false">IFERROR(($J809*Q809)*$L809, "")</f>
        <v>0</v>
      </c>
      <c r="AE809" s="284" t="n">
        <f aca="false">IFERROR(($J809*R809)*$L809, "")</f>
        <v>0</v>
      </c>
      <c r="AF809" s="284" t="n">
        <f aca="false">IFERROR(($J809*S809)*$L809, "")</f>
        <v>0</v>
      </c>
      <c r="AG809" s="284" t="n">
        <f aca="false">IFERROR(($J809*T809)*$L809, "")</f>
        <v>0</v>
      </c>
      <c r="AH809" s="284" t="n">
        <f aca="false">IFERROR(($J809*U809)*$L809, "")</f>
        <v>0</v>
      </c>
      <c r="AI809" s="284" t="n">
        <f aca="false">IFERROR(($J809*V809)*$L809, "")</f>
        <v>0</v>
      </c>
      <c r="AJ809" s="284" t="n">
        <f aca="false">IFERROR(($J809*W809)*$L809, "")</f>
        <v>0</v>
      </c>
      <c r="AK809" s="284" t="n">
        <f aca="false">IFERROR(($J809*X809)*$L809, "")</f>
        <v>0</v>
      </c>
      <c r="AL809" s="284" t="n">
        <f aca="false">IFERROR(($J809*Y809)*$L809, "")</f>
        <v>0</v>
      </c>
      <c r="AM809" s="285" t="n">
        <f aca="false">IFERROR(($J809*Z809)*$L809, "")</f>
        <v>0</v>
      </c>
      <c r="AN809" s="286" t="n">
        <f aca="false">IFERROR(SUMIF($AB$4:$AM$4, "RDEC", AB809:AM809), "")</f>
        <v>0</v>
      </c>
      <c r="AO809" s="286" t="n">
        <f aca="false">IFERROR(SUMIF($AB$4:$AM$4, "SME", AB809:AM809), "")</f>
        <v>0</v>
      </c>
      <c r="AP809" s="286" t="n">
        <f aca="false">IFERROR(SUMIF($AB$4:$AM$4, "De Minimis", AB809:AM809), "")</f>
        <v>0</v>
      </c>
      <c r="AQ809" s="283"/>
      <c r="AR809" s="284" t="n">
        <f aca="false">IFERROR(($J809*O809)*$M809, "")</f>
        <v>0</v>
      </c>
      <c r="AS809" s="284" t="n">
        <f aca="false">IFERROR(($J809*P809)*$M809, "")</f>
        <v>0</v>
      </c>
      <c r="AT809" s="284" t="n">
        <f aca="false">IFERROR(($J809*Q809)*$M809, "")</f>
        <v>0</v>
      </c>
      <c r="AU809" s="284" t="n">
        <f aca="false">IFERROR(($J809*R809)*$M809, "")</f>
        <v>0</v>
      </c>
      <c r="AV809" s="284" t="n">
        <f aca="false">IFERROR(($J809*S809)*$M809, "")</f>
        <v>0</v>
      </c>
      <c r="AW809" s="284" t="n">
        <f aca="false">IFERROR(($J809*T809)*$M809, "")</f>
        <v>0</v>
      </c>
      <c r="AX809" s="284" t="n">
        <f aca="false">IFERROR(($J809*U809)*$M809, "")</f>
        <v>0</v>
      </c>
      <c r="AY809" s="284" t="n">
        <f aca="false">IFERROR(($J809*V809)*$M809, "")</f>
        <v>0</v>
      </c>
      <c r="AZ809" s="284" t="n">
        <f aca="false">IFERROR(($J809*W809)*$M809, "")</f>
        <v>0</v>
      </c>
      <c r="BA809" s="284" t="n">
        <f aca="false">IFERROR(($J809*X809)*$M809, "")</f>
        <v>0</v>
      </c>
      <c r="BB809" s="284" t="n">
        <f aca="false">IFERROR(($J809*Y809)*$M809, "")</f>
        <v>0</v>
      </c>
      <c r="BC809" s="285" t="n">
        <f aca="false">IFERROR(($J809*Z809)*$M809, "")</f>
        <v>0</v>
      </c>
      <c r="BD809" s="286" t="n">
        <f aca="false">IFERROR(SUMIF($AB$4:$AM$4, "RDEC", AR809:BC809), "")</f>
        <v>0</v>
      </c>
      <c r="BE809" s="286" t="n">
        <f aca="false">IFERROR(SUMIF($AB$4:$AM$4, "SME", AR809:BC809), "")</f>
        <v>0</v>
      </c>
      <c r="BF809" s="286" t="n">
        <f aca="false">IFERROR(SUMIF($AB$4:$AM$4, "De Minimis", AR809:BC809), "")</f>
        <v>0</v>
      </c>
      <c r="BG809" s="287"/>
      <c r="BH809" s="288" t="str">
        <f aca="false">IF((SUM(O809:Z809)&gt;1),"ERROR","")</f>
        <v/>
      </c>
      <c r="BI809" s="287"/>
      <c r="BJ809" s="18" t="str">
        <f aca="false">IF(C795&gt;0, C795, "")</f>
        <v/>
      </c>
      <c r="BL809" s="200"/>
      <c r="BM809" s="200"/>
      <c r="BN809" s="200"/>
    </row>
    <row r="810" customFormat="false" ht="15" hidden="false" customHeight="true" outlineLevel="0" collapsed="false">
      <c r="B810" s="275"/>
      <c r="D810" s="276" t="n">
        <f aca="false">D794</f>
        <v>45352</v>
      </c>
      <c r="E810" s="277" t="n">
        <v>0</v>
      </c>
      <c r="F810" s="277" t="n">
        <v>0</v>
      </c>
      <c r="G810" s="277" t="n">
        <v>0</v>
      </c>
      <c r="H810" s="277" t="n">
        <v>0</v>
      </c>
      <c r="I810" s="277" t="n">
        <v>0</v>
      </c>
      <c r="J810" s="278" t="n">
        <f aca="false">E810+H810+I810</f>
        <v>0</v>
      </c>
      <c r="K810" s="204"/>
      <c r="L810" s="279" t="n">
        <v>1</v>
      </c>
      <c r="M810" s="280" t="n">
        <f aca="false">1-L810</f>
        <v>0</v>
      </c>
      <c r="N810" s="281"/>
      <c r="O810" s="282"/>
      <c r="P810" s="282"/>
      <c r="Q810" s="282"/>
      <c r="R810" s="282"/>
      <c r="S810" s="282"/>
      <c r="T810" s="282"/>
      <c r="U810" s="282"/>
      <c r="V810" s="282"/>
      <c r="W810" s="282"/>
      <c r="X810" s="282"/>
      <c r="Y810" s="282"/>
      <c r="Z810" s="282"/>
      <c r="AA810" s="283"/>
      <c r="AB810" s="284" t="n">
        <f aca="false">IFERROR(($J810*O810)*$L810, "")</f>
        <v>0</v>
      </c>
      <c r="AC810" s="284" t="n">
        <f aca="false">IFERROR(($J810*P810)*$L810, "")</f>
        <v>0</v>
      </c>
      <c r="AD810" s="284" t="n">
        <f aca="false">IFERROR(($J810*Q810)*$L810, "")</f>
        <v>0</v>
      </c>
      <c r="AE810" s="284" t="n">
        <f aca="false">IFERROR(($J810*R810)*$L810, "")</f>
        <v>0</v>
      </c>
      <c r="AF810" s="284" t="n">
        <f aca="false">IFERROR(($J810*S810)*$L810, "")</f>
        <v>0</v>
      </c>
      <c r="AG810" s="284" t="n">
        <f aca="false">IFERROR(($J810*T810)*$L810, "")</f>
        <v>0</v>
      </c>
      <c r="AH810" s="284" t="n">
        <f aca="false">IFERROR(($J810*U810)*$L810, "")</f>
        <v>0</v>
      </c>
      <c r="AI810" s="284" t="n">
        <f aca="false">IFERROR(($J810*V810)*$L810, "")</f>
        <v>0</v>
      </c>
      <c r="AJ810" s="284" t="n">
        <f aca="false">IFERROR(($J810*W810)*$L810, "")</f>
        <v>0</v>
      </c>
      <c r="AK810" s="284" t="n">
        <f aca="false">IFERROR(($J810*X810)*$L810, "")</f>
        <v>0</v>
      </c>
      <c r="AL810" s="284" t="n">
        <f aca="false">IFERROR(($J810*Y810)*$L810, "")</f>
        <v>0</v>
      </c>
      <c r="AM810" s="285" t="n">
        <f aca="false">IFERROR(($J810*Z810)*$L810, "")</f>
        <v>0</v>
      </c>
      <c r="AN810" s="286" t="n">
        <f aca="false">IFERROR(SUMIF($AB$4:$AM$4, "RDEC", AB810:AM810), "")</f>
        <v>0</v>
      </c>
      <c r="AO810" s="286" t="n">
        <f aca="false">IFERROR(SUMIF($AB$4:$AM$4, "SME", AB810:AM810), "")</f>
        <v>0</v>
      </c>
      <c r="AP810" s="286" t="n">
        <f aca="false">IFERROR(SUMIF($AB$4:$AM$4, "De Minimis", AB810:AM810), "")</f>
        <v>0</v>
      </c>
      <c r="AQ810" s="283"/>
      <c r="AR810" s="284" t="n">
        <f aca="false">IFERROR(($J810*O810)*$M810, "")</f>
        <v>0</v>
      </c>
      <c r="AS810" s="284" t="n">
        <f aca="false">IFERROR(($J810*P810)*$M810, "")</f>
        <v>0</v>
      </c>
      <c r="AT810" s="284" t="n">
        <f aca="false">IFERROR(($J810*Q810)*$M810, "")</f>
        <v>0</v>
      </c>
      <c r="AU810" s="284" t="n">
        <f aca="false">IFERROR(($J810*R810)*$M810, "")</f>
        <v>0</v>
      </c>
      <c r="AV810" s="284" t="n">
        <f aca="false">IFERROR(($J810*S810)*$M810, "")</f>
        <v>0</v>
      </c>
      <c r="AW810" s="284" t="n">
        <f aca="false">IFERROR(($J810*T810)*$M810, "")</f>
        <v>0</v>
      </c>
      <c r="AX810" s="284" t="n">
        <f aca="false">IFERROR(($J810*U810)*$M810, "")</f>
        <v>0</v>
      </c>
      <c r="AY810" s="284" t="n">
        <f aca="false">IFERROR(($J810*V810)*$M810, "")</f>
        <v>0</v>
      </c>
      <c r="AZ810" s="284" t="n">
        <f aca="false">IFERROR(($J810*W810)*$M810, "")</f>
        <v>0</v>
      </c>
      <c r="BA810" s="284" t="n">
        <f aca="false">IFERROR(($J810*X810)*$M810, "")</f>
        <v>0</v>
      </c>
      <c r="BB810" s="284" t="n">
        <f aca="false">IFERROR(($J810*Y810)*$M810, "")</f>
        <v>0</v>
      </c>
      <c r="BC810" s="285" t="n">
        <f aca="false">IFERROR(($J810*Z810)*$M810, "")</f>
        <v>0</v>
      </c>
      <c r="BD810" s="286" t="n">
        <f aca="false">IFERROR(SUMIF($AB$4:$AM$4, "RDEC", AR810:BC810), "")</f>
        <v>0</v>
      </c>
      <c r="BE810" s="286" t="n">
        <f aca="false">IFERROR(SUMIF($AB$4:$AM$4, "SME", AR810:BC810), "")</f>
        <v>0</v>
      </c>
      <c r="BF810" s="286" t="n">
        <f aca="false">IFERROR(SUMIF($AB$4:$AM$4, "De Minimis", AR810:BC810), "")</f>
        <v>0</v>
      </c>
      <c r="BG810" s="287"/>
      <c r="BH810" s="288" t="str">
        <f aca="false">IF((SUM(O810:Z810)&gt;1),"ERROR","")</f>
        <v/>
      </c>
      <c r="BI810" s="287"/>
      <c r="BJ810" s="18" t="str">
        <f aca="false">IF(C796&gt;0, C796, "")</f>
        <v/>
      </c>
      <c r="BL810" s="200"/>
      <c r="BM810" s="200"/>
      <c r="BN810" s="200"/>
    </row>
    <row r="811" customFormat="false" ht="15" hidden="false" customHeight="true" outlineLevel="0" collapsed="false">
      <c r="B811" s="275"/>
      <c r="D811" s="276" t="n">
        <f aca="false">D795</f>
        <v>45383</v>
      </c>
      <c r="E811" s="277" t="n">
        <v>0</v>
      </c>
      <c r="F811" s="277" t="n">
        <v>0</v>
      </c>
      <c r="G811" s="277" t="n">
        <v>0</v>
      </c>
      <c r="H811" s="277" t="n">
        <v>0</v>
      </c>
      <c r="I811" s="277" t="n">
        <v>0</v>
      </c>
      <c r="J811" s="278" t="n">
        <f aca="false">E811+H811+I811</f>
        <v>0</v>
      </c>
      <c r="K811" s="204"/>
      <c r="L811" s="279" t="n">
        <v>1</v>
      </c>
      <c r="M811" s="280" t="n">
        <f aca="false">1-L811</f>
        <v>0</v>
      </c>
      <c r="N811" s="281"/>
      <c r="O811" s="282"/>
      <c r="P811" s="282"/>
      <c r="Q811" s="282"/>
      <c r="R811" s="282"/>
      <c r="S811" s="282"/>
      <c r="T811" s="282"/>
      <c r="U811" s="282"/>
      <c r="V811" s="282"/>
      <c r="W811" s="282"/>
      <c r="X811" s="282"/>
      <c r="Y811" s="282"/>
      <c r="Z811" s="282"/>
      <c r="AA811" s="283"/>
      <c r="AB811" s="284" t="n">
        <f aca="false">IFERROR(($J811*O811)*$L811, "")</f>
        <v>0</v>
      </c>
      <c r="AC811" s="284" t="n">
        <f aca="false">IFERROR(($J811*P811)*$L811, "")</f>
        <v>0</v>
      </c>
      <c r="AD811" s="284" t="n">
        <f aca="false">IFERROR(($J811*Q811)*$L811, "")</f>
        <v>0</v>
      </c>
      <c r="AE811" s="284" t="n">
        <f aca="false">IFERROR(($J811*R811)*$L811, "")</f>
        <v>0</v>
      </c>
      <c r="AF811" s="284" t="n">
        <f aca="false">IFERROR(($J811*S811)*$L811, "")</f>
        <v>0</v>
      </c>
      <c r="AG811" s="284" t="n">
        <f aca="false">IFERROR(($J811*T811)*$L811, "")</f>
        <v>0</v>
      </c>
      <c r="AH811" s="284" t="n">
        <f aca="false">IFERROR(($J811*U811)*$L811, "")</f>
        <v>0</v>
      </c>
      <c r="AI811" s="284" t="n">
        <f aca="false">IFERROR(($J811*V811)*$L811, "")</f>
        <v>0</v>
      </c>
      <c r="AJ811" s="284" t="n">
        <f aca="false">IFERROR(($J811*W811)*$L811, "")</f>
        <v>0</v>
      </c>
      <c r="AK811" s="284" t="n">
        <f aca="false">IFERROR(($J811*X811)*$L811, "")</f>
        <v>0</v>
      </c>
      <c r="AL811" s="284" t="n">
        <f aca="false">IFERROR(($J811*Y811)*$L811, "")</f>
        <v>0</v>
      </c>
      <c r="AM811" s="285" t="n">
        <f aca="false">IFERROR(($J811*Z811)*$L811, "")</f>
        <v>0</v>
      </c>
      <c r="AN811" s="286" t="n">
        <f aca="false">IFERROR(SUMIF($AB$4:$AM$4, "RDEC", AB811:AM811), "")</f>
        <v>0</v>
      </c>
      <c r="AO811" s="286" t="n">
        <f aca="false">IFERROR(SUMIF($AB$4:$AM$4, "SME", AB811:AM811), "")</f>
        <v>0</v>
      </c>
      <c r="AP811" s="286" t="n">
        <f aca="false">IFERROR(SUMIF($AB$4:$AM$4, "De Minimis", AB811:AM811), "")</f>
        <v>0</v>
      </c>
      <c r="AQ811" s="283"/>
      <c r="AR811" s="284" t="n">
        <f aca="false">IFERROR(($J811*O811)*$M811, "")</f>
        <v>0</v>
      </c>
      <c r="AS811" s="284" t="n">
        <f aca="false">IFERROR(($J811*P811)*$M811, "")</f>
        <v>0</v>
      </c>
      <c r="AT811" s="284" t="n">
        <f aca="false">IFERROR(($J811*Q811)*$M811, "")</f>
        <v>0</v>
      </c>
      <c r="AU811" s="284" t="n">
        <f aca="false">IFERROR(($J811*R811)*$M811, "")</f>
        <v>0</v>
      </c>
      <c r="AV811" s="284" t="n">
        <f aca="false">IFERROR(($J811*S811)*$M811, "")</f>
        <v>0</v>
      </c>
      <c r="AW811" s="284" t="n">
        <f aca="false">IFERROR(($J811*T811)*$M811, "")</f>
        <v>0</v>
      </c>
      <c r="AX811" s="284" t="n">
        <f aca="false">IFERROR(($J811*U811)*$M811, "")</f>
        <v>0</v>
      </c>
      <c r="AY811" s="284" t="n">
        <f aca="false">IFERROR(($J811*V811)*$M811, "")</f>
        <v>0</v>
      </c>
      <c r="AZ811" s="284" t="n">
        <f aca="false">IFERROR(($J811*W811)*$M811, "")</f>
        <v>0</v>
      </c>
      <c r="BA811" s="284" t="n">
        <f aca="false">IFERROR(($J811*X811)*$M811, "")</f>
        <v>0</v>
      </c>
      <c r="BB811" s="284" t="n">
        <f aca="false">IFERROR(($J811*Y811)*$M811, "")</f>
        <v>0</v>
      </c>
      <c r="BC811" s="285" t="n">
        <f aca="false">IFERROR(($J811*Z811)*$M811, "")</f>
        <v>0</v>
      </c>
      <c r="BD811" s="286" t="n">
        <f aca="false">IFERROR(SUMIF($AB$4:$AM$4, "RDEC", AR811:BC811), "")</f>
        <v>0</v>
      </c>
      <c r="BE811" s="286" t="n">
        <f aca="false">IFERROR(SUMIF($AB$4:$AM$4, "SME", AR811:BC811), "")</f>
        <v>0</v>
      </c>
      <c r="BF811" s="286" t="n">
        <f aca="false">IFERROR(SUMIF($AB$4:$AM$4, "De Minimis", AR811:BC811), "")</f>
        <v>0</v>
      </c>
      <c r="BG811" s="287"/>
      <c r="BH811" s="288" t="str">
        <f aca="false">IF((SUM(O811:Z811)&gt;1),"ERROR","")</f>
        <v/>
      </c>
      <c r="BI811" s="287"/>
      <c r="BJ811" s="18" t="str">
        <f aca="false">IF(C797&gt;0, C797, "")</f>
        <v/>
      </c>
      <c r="BL811" s="200"/>
      <c r="BM811" s="200"/>
      <c r="BN811" s="200"/>
    </row>
    <row r="812" customFormat="false" ht="15" hidden="false" customHeight="true" outlineLevel="0" collapsed="false">
      <c r="B812" s="275"/>
      <c r="D812" s="276" t="n">
        <f aca="false">D796</f>
        <v>45413</v>
      </c>
      <c r="E812" s="277" t="n">
        <v>0</v>
      </c>
      <c r="F812" s="277" t="n">
        <v>0</v>
      </c>
      <c r="G812" s="277" t="n">
        <v>0</v>
      </c>
      <c r="H812" s="277" t="n">
        <v>0</v>
      </c>
      <c r="I812" s="277" t="n">
        <v>0</v>
      </c>
      <c r="J812" s="278" t="n">
        <f aca="false">E812+H812+I812</f>
        <v>0</v>
      </c>
      <c r="K812" s="204"/>
      <c r="L812" s="279" t="n">
        <v>1</v>
      </c>
      <c r="M812" s="280" t="n">
        <f aca="false">1-L812</f>
        <v>0</v>
      </c>
      <c r="N812" s="281"/>
      <c r="O812" s="282"/>
      <c r="P812" s="282"/>
      <c r="Q812" s="282"/>
      <c r="R812" s="282"/>
      <c r="S812" s="282"/>
      <c r="T812" s="282"/>
      <c r="U812" s="282"/>
      <c r="V812" s="282"/>
      <c r="W812" s="282"/>
      <c r="X812" s="282"/>
      <c r="Y812" s="282"/>
      <c r="Z812" s="282"/>
      <c r="AA812" s="283"/>
      <c r="AB812" s="284" t="n">
        <f aca="false">IFERROR(($J812*O812)*$L812, "")</f>
        <v>0</v>
      </c>
      <c r="AC812" s="284" t="n">
        <f aca="false">IFERROR(($J812*P812)*$L812, "")</f>
        <v>0</v>
      </c>
      <c r="AD812" s="284" t="n">
        <f aca="false">IFERROR(($J812*Q812)*$L812, "")</f>
        <v>0</v>
      </c>
      <c r="AE812" s="284" t="n">
        <f aca="false">IFERROR(($J812*R812)*$L812, "")</f>
        <v>0</v>
      </c>
      <c r="AF812" s="284" t="n">
        <f aca="false">IFERROR(($J812*S812)*$L812, "")</f>
        <v>0</v>
      </c>
      <c r="AG812" s="284" t="n">
        <f aca="false">IFERROR(($J812*T812)*$L812, "")</f>
        <v>0</v>
      </c>
      <c r="AH812" s="284" t="n">
        <f aca="false">IFERROR(($J812*U812)*$L812, "")</f>
        <v>0</v>
      </c>
      <c r="AI812" s="284" t="n">
        <f aca="false">IFERROR(($J812*V812)*$L812, "")</f>
        <v>0</v>
      </c>
      <c r="AJ812" s="284" t="n">
        <f aca="false">IFERROR(($J812*W812)*$L812, "")</f>
        <v>0</v>
      </c>
      <c r="AK812" s="284" t="n">
        <f aca="false">IFERROR(($J812*X812)*$L812, "")</f>
        <v>0</v>
      </c>
      <c r="AL812" s="284" t="n">
        <f aca="false">IFERROR(($J812*Y812)*$L812, "")</f>
        <v>0</v>
      </c>
      <c r="AM812" s="285" t="n">
        <f aca="false">IFERROR(($J812*Z812)*$L812, "")</f>
        <v>0</v>
      </c>
      <c r="AN812" s="286" t="n">
        <f aca="false">IFERROR(SUMIF($AB$4:$AM$4, "RDEC", AB812:AM812), "")</f>
        <v>0</v>
      </c>
      <c r="AO812" s="286" t="n">
        <f aca="false">IFERROR(SUMIF($AB$4:$AM$4, "SME", AB812:AM812), "")</f>
        <v>0</v>
      </c>
      <c r="AP812" s="286" t="n">
        <f aca="false">IFERROR(SUMIF($AB$4:$AM$4, "De Minimis", AB812:AM812), "")</f>
        <v>0</v>
      </c>
      <c r="AQ812" s="283"/>
      <c r="AR812" s="284" t="n">
        <f aca="false">IFERROR(($J812*O812)*$M812, "")</f>
        <v>0</v>
      </c>
      <c r="AS812" s="284" t="n">
        <f aca="false">IFERROR(($J812*P812)*$M812, "")</f>
        <v>0</v>
      </c>
      <c r="AT812" s="284" t="n">
        <f aca="false">IFERROR(($J812*Q812)*$M812, "")</f>
        <v>0</v>
      </c>
      <c r="AU812" s="284" t="n">
        <f aca="false">IFERROR(($J812*R812)*$M812, "")</f>
        <v>0</v>
      </c>
      <c r="AV812" s="284" t="n">
        <f aca="false">IFERROR(($J812*S812)*$M812, "")</f>
        <v>0</v>
      </c>
      <c r="AW812" s="284" t="n">
        <f aca="false">IFERROR(($J812*T812)*$M812, "")</f>
        <v>0</v>
      </c>
      <c r="AX812" s="284" t="n">
        <f aca="false">IFERROR(($J812*U812)*$M812, "")</f>
        <v>0</v>
      </c>
      <c r="AY812" s="284" t="n">
        <f aca="false">IFERROR(($J812*V812)*$M812, "")</f>
        <v>0</v>
      </c>
      <c r="AZ812" s="284" t="n">
        <f aca="false">IFERROR(($J812*W812)*$M812, "")</f>
        <v>0</v>
      </c>
      <c r="BA812" s="284" t="n">
        <f aca="false">IFERROR(($J812*X812)*$M812, "")</f>
        <v>0</v>
      </c>
      <c r="BB812" s="284" t="n">
        <f aca="false">IFERROR(($J812*Y812)*$M812, "")</f>
        <v>0</v>
      </c>
      <c r="BC812" s="285" t="n">
        <f aca="false">IFERROR(($J812*Z812)*$M812, "")</f>
        <v>0</v>
      </c>
      <c r="BD812" s="286" t="n">
        <f aca="false">IFERROR(SUMIF($AB$4:$AM$4, "RDEC", AR812:BC812), "")</f>
        <v>0</v>
      </c>
      <c r="BE812" s="286" t="n">
        <f aca="false">IFERROR(SUMIF($AB$4:$AM$4, "SME", AR812:BC812), "")</f>
        <v>0</v>
      </c>
      <c r="BF812" s="286" t="n">
        <f aca="false">IFERROR(SUMIF($AB$4:$AM$4, "De Minimis", AR812:BC812), "")</f>
        <v>0</v>
      </c>
      <c r="BG812" s="287"/>
      <c r="BH812" s="288" t="str">
        <f aca="false">IF((SUM(O812:Z812)&gt;1),"ERROR","")</f>
        <v/>
      </c>
      <c r="BI812" s="287"/>
      <c r="BJ812" s="18" t="str">
        <f aca="false">IF(C798&gt;0, C798, "")</f>
        <v/>
      </c>
      <c r="BL812" s="200"/>
      <c r="BM812" s="200"/>
      <c r="BN812" s="200"/>
    </row>
    <row r="813" customFormat="false" ht="15" hidden="false" customHeight="true" outlineLevel="0" collapsed="false">
      <c r="B813" s="275"/>
      <c r="D813" s="276" t="n">
        <f aca="false">D797</f>
        <v>45444</v>
      </c>
      <c r="E813" s="277" t="n">
        <v>0</v>
      </c>
      <c r="F813" s="277" t="n">
        <v>0</v>
      </c>
      <c r="G813" s="277" t="n">
        <v>0</v>
      </c>
      <c r="H813" s="277" t="n">
        <v>0</v>
      </c>
      <c r="I813" s="277" t="n">
        <v>0</v>
      </c>
      <c r="J813" s="278" t="n">
        <f aca="false">E813+H813+I813</f>
        <v>0</v>
      </c>
      <c r="K813" s="204"/>
      <c r="L813" s="279" t="n">
        <v>1</v>
      </c>
      <c r="M813" s="280" t="n">
        <f aca="false">1-L813</f>
        <v>0</v>
      </c>
      <c r="N813" s="281"/>
      <c r="O813" s="282"/>
      <c r="P813" s="282"/>
      <c r="Q813" s="282"/>
      <c r="R813" s="282"/>
      <c r="S813" s="282"/>
      <c r="T813" s="282"/>
      <c r="U813" s="282"/>
      <c r="V813" s="282"/>
      <c r="W813" s="282"/>
      <c r="X813" s="282"/>
      <c r="Y813" s="282"/>
      <c r="Z813" s="282"/>
      <c r="AA813" s="283"/>
      <c r="AB813" s="284" t="n">
        <f aca="false">IFERROR(($J813*O813)*$L813, "")</f>
        <v>0</v>
      </c>
      <c r="AC813" s="284" t="n">
        <f aca="false">IFERROR(($J813*P813)*$L813, "")</f>
        <v>0</v>
      </c>
      <c r="AD813" s="284" t="n">
        <f aca="false">IFERROR(($J813*Q813)*$L813, "")</f>
        <v>0</v>
      </c>
      <c r="AE813" s="284" t="n">
        <f aca="false">IFERROR(($J813*R813)*$L813, "")</f>
        <v>0</v>
      </c>
      <c r="AF813" s="284" t="n">
        <f aca="false">IFERROR(($J813*S813)*$L813, "")</f>
        <v>0</v>
      </c>
      <c r="AG813" s="284" t="n">
        <f aca="false">IFERROR(($J813*T813)*$L813, "")</f>
        <v>0</v>
      </c>
      <c r="AH813" s="284" t="n">
        <f aca="false">IFERROR(($J813*U813)*$L813, "")</f>
        <v>0</v>
      </c>
      <c r="AI813" s="284" t="n">
        <f aca="false">IFERROR(($J813*V813)*$L813, "")</f>
        <v>0</v>
      </c>
      <c r="AJ813" s="284" t="n">
        <f aca="false">IFERROR(($J813*W813)*$L813, "")</f>
        <v>0</v>
      </c>
      <c r="AK813" s="284" t="n">
        <f aca="false">IFERROR(($J813*X813)*$L813, "")</f>
        <v>0</v>
      </c>
      <c r="AL813" s="284" t="n">
        <f aca="false">IFERROR(($J813*Y813)*$L813, "")</f>
        <v>0</v>
      </c>
      <c r="AM813" s="285" t="n">
        <f aca="false">IFERROR(($J813*Z813)*$L813, "")</f>
        <v>0</v>
      </c>
      <c r="AN813" s="286" t="n">
        <f aca="false">IFERROR(SUMIF($AB$4:$AM$4, "RDEC", AB813:AM813), "")</f>
        <v>0</v>
      </c>
      <c r="AO813" s="286" t="n">
        <f aca="false">IFERROR(SUMIF($AB$4:$AM$4, "SME", AB813:AM813), "")</f>
        <v>0</v>
      </c>
      <c r="AP813" s="286" t="n">
        <f aca="false">IFERROR(SUMIF($AB$4:$AM$4, "De Minimis", AB813:AM813), "")</f>
        <v>0</v>
      </c>
      <c r="AQ813" s="283"/>
      <c r="AR813" s="284" t="n">
        <f aca="false">IFERROR(($J813*O813)*$M813, "")</f>
        <v>0</v>
      </c>
      <c r="AS813" s="284" t="n">
        <f aca="false">IFERROR(($J813*P813)*$M813, "")</f>
        <v>0</v>
      </c>
      <c r="AT813" s="284" t="n">
        <f aca="false">IFERROR(($J813*Q813)*$M813, "")</f>
        <v>0</v>
      </c>
      <c r="AU813" s="284" t="n">
        <f aca="false">IFERROR(($J813*R813)*$M813, "")</f>
        <v>0</v>
      </c>
      <c r="AV813" s="284" t="n">
        <f aca="false">IFERROR(($J813*S813)*$M813, "")</f>
        <v>0</v>
      </c>
      <c r="AW813" s="284" t="n">
        <f aca="false">IFERROR(($J813*T813)*$M813, "")</f>
        <v>0</v>
      </c>
      <c r="AX813" s="284" t="n">
        <f aca="false">IFERROR(($J813*U813)*$M813, "")</f>
        <v>0</v>
      </c>
      <c r="AY813" s="284" t="n">
        <f aca="false">IFERROR(($J813*V813)*$M813, "")</f>
        <v>0</v>
      </c>
      <c r="AZ813" s="284" t="n">
        <f aca="false">IFERROR(($J813*W813)*$M813, "")</f>
        <v>0</v>
      </c>
      <c r="BA813" s="284" t="n">
        <f aca="false">IFERROR(($J813*X813)*$M813, "")</f>
        <v>0</v>
      </c>
      <c r="BB813" s="284" t="n">
        <f aca="false">IFERROR(($J813*Y813)*$M813, "")</f>
        <v>0</v>
      </c>
      <c r="BC813" s="285" t="n">
        <f aca="false">IFERROR(($J813*Z813)*$M813, "")</f>
        <v>0</v>
      </c>
      <c r="BD813" s="286" t="n">
        <f aca="false">IFERROR(SUMIF($AB$4:$AM$4, "RDEC", AR813:BC813), "")</f>
        <v>0</v>
      </c>
      <c r="BE813" s="286" t="n">
        <f aca="false">IFERROR(SUMIF($AB$4:$AM$4, "SME", AR813:BC813), "")</f>
        <v>0</v>
      </c>
      <c r="BF813" s="286" t="n">
        <f aca="false">IFERROR(SUMIF($AB$4:$AM$4, "De Minimis", AR813:BC813), "")</f>
        <v>0</v>
      </c>
      <c r="BG813" s="287"/>
      <c r="BH813" s="288" t="str">
        <f aca="false">IF((SUM(O813:Z813)&gt;1),"ERROR","")</f>
        <v/>
      </c>
      <c r="BI813" s="287"/>
      <c r="BJ813" s="18" t="str">
        <f aca="false">IF(C799&gt;0, C799, "")</f>
        <v/>
      </c>
      <c r="BL813" s="200"/>
      <c r="BM813" s="200"/>
      <c r="BN813" s="200"/>
    </row>
    <row r="814" customFormat="false" ht="15" hidden="false" customHeight="true" outlineLevel="0" collapsed="false">
      <c r="B814" s="275"/>
      <c r="D814" s="276" t="n">
        <f aca="false">D798</f>
        <v>45474</v>
      </c>
      <c r="E814" s="277" t="n">
        <v>0</v>
      </c>
      <c r="F814" s="277" t="n">
        <v>0</v>
      </c>
      <c r="G814" s="277" t="n">
        <v>0</v>
      </c>
      <c r="H814" s="277" t="n">
        <v>0</v>
      </c>
      <c r="I814" s="277" t="n">
        <v>0</v>
      </c>
      <c r="J814" s="278" t="n">
        <f aca="false">E814+H814+I814</f>
        <v>0</v>
      </c>
      <c r="K814" s="204"/>
      <c r="L814" s="279" t="n">
        <v>1</v>
      </c>
      <c r="M814" s="280" t="n">
        <f aca="false">1-L814</f>
        <v>0</v>
      </c>
      <c r="N814" s="281"/>
      <c r="O814" s="282"/>
      <c r="P814" s="282"/>
      <c r="Q814" s="282"/>
      <c r="R814" s="282"/>
      <c r="S814" s="282"/>
      <c r="T814" s="282"/>
      <c r="U814" s="282"/>
      <c r="V814" s="282"/>
      <c r="W814" s="282"/>
      <c r="X814" s="282"/>
      <c r="Y814" s="282"/>
      <c r="Z814" s="282"/>
      <c r="AA814" s="283"/>
      <c r="AB814" s="284" t="n">
        <f aca="false">IFERROR(($J814*O814)*$L814, "")</f>
        <v>0</v>
      </c>
      <c r="AC814" s="284" t="n">
        <f aca="false">IFERROR(($J814*P814)*$L814, "")</f>
        <v>0</v>
      </c>
      <c r="AD814" s="284" t="n">
        <f aca="false">IFERROR(($J814*Q814)*$L814, "")</f>
        <v>0</v>
      </c>
      <c r="AE814" s="284" t="n">
        <f aca="false">IFERROR(($J814*R814)*$L814, "")</f>
        <v>0</v>
      </c>
      <c r="AF814" s="284" t="n">
        <f aca="false">IFERROR(($J814*S814)*$L814, "")</f>
        <v>0</v>
      </c>
      <c r="AG814" s="284" t="n">
        <f aca="false">IFERROR(($J814*T814)*$L814, "")</f>
        <v>0</v>
      </c>
      <c r="AH814" s="284" t="n">
        <f aca="false">IFERROR(($J814*U814)*$L814, "")</f>
        <v>0</v>
      </c>
      <c r="AI814" s="284" t="n">
        <f aca="false">IFERROR(($J814*V814)*$L814, "")</f>
        <v>0</v>
      </c>
      <c r="AJ814" s="284" t="n">
        <f aca="false">IFERROR(($J814*W814)*$L814, "")</f>
        <v>0</v>
      </c>
      <c r="AK814" s="284" t="n">
        <f aca="false">IFERROR(($J814*X814)*$L814, "")</f>
        <v>0</v>
      </c>
      <c r="AL814" s="284" t="n">
        <f aca="false">IFERROR(($J814*Y814)*$L814, "")</f>
        <v>0</v>
      </c>
      <c r="AM814" s="285" t="n">
        <f aca="false">IFERROR(($J814*Z814)*$L814, "")</f>
        <v>0</v>
      </c>
      <c r="AN814" s="286" t="n">
        <f aca="false">IFERROR(SUMIF($AB$4:$AM$4, "RDEC", AB814:AM814), "")</f>
        <v>0</v>
      </c>
      <c r="AO814" s="286" t="n">
        <f aca="false">IFERROR(SUMIF($AB$4:$AM$4, "SME", AB814:AM814), "")</f>
        <v>0</v>
      </c>
      <c r="AP814" s="286" t="n">
        <f aca="false">IFERROR(SUMIF($AB$4:$AM$4, "De Minimis", AB814:AM814), "")</f>
        <v>0</v>
      </c>
      <c r="AQ814" s="283"/>
      <c r="AR814" s="284" t="n">
        <f aca="false">IFERROR(($J814*O814)*$M814, "")</f>
        <v>0</v>
      </c>
      <c r="AS814" s="284" t="n">
        <f aca="false">IFERROR(($J814*P814)*$M814, "")</f>
        <v>0</v>
      </c>
      <c r="AT814" s="284" t="n">
        <f aca="false">IFERROR(($J814*Q814)*$M814, "")</f>
        <v>0</v>
      </c>
      <c r="AU814" s="284" t="n">
        <f aca="false">IFERROR(($J814*R814)*$M814, "")</f>
        <v>0</v>
      </c>
      <c r="AV814" s="284" t="n">
        <f aca="false">IFERROR(($J814*S814)*$M814, "")</f>
        <v>0</v>
      </c>
      <c r="AW814" s="284" t="n">
        <f aca="false">IFERROR(($J814*T814)*$M814, "")</f>
        <v>0</v>
      </c>
      <c r="AX814" s="284" t="n">
        <f aca="false">IFERROR(($J814*U814)*$M814, "")</f>
        <v>0</v>
      </c>
      <c r="AY814" s="284" t="n">
        <f aca="false">IFERROR(($J814*V814)*$M814, "")</f>
        <v>0</v>
      </c>
      <c r="AZ814" s="284" t="n">
        <f aca="false">IFERROR(($J814*W814)*$M814, "")</f>
        <v>0</v>
      </c>
      <c r="BA814" s="284" t="n">
        <f aca="false">IFERROR(($J814*X814)*$M814, "")</f>
        <v>0</v>
      </c>
      <c r="BB814" s="284" t="n">
        <f aca="false">IFERROR(($J814*Y814)*$M814, "")</f>
        <v>0</v>
      </c>
      <c r="BC814" s="285" t="n">
        <f aca="false">IFERROR(($J814*Z814)*$M814, "")</f>
        <v>0</v>
      </c>
      <c r="BD814" s="286" t="n">
        <f aca="false">IFERROR(SUMIF($AB$4:$AM$4, "RDEC", AR814:BC814), "")</f>
        <v>0</v>
      </c>
      <c r="BE814" s="286" t="n">
        <f aca="false">IFERROR(SUMIF($AB$4:$AM$4, "SME", AR814:BC814), "")</f>
        <v>0</v>
      </c>
      <c r="BF814" s="286" t="n">
        <f aca="false">IFERROR(SUMIF($AB$4:$AM$4, "De Minimis", AR814:BC814), "")</f>
        <v>0</v>
      </c>
      <c r="BG814" s="287"/>
      <c r="BH814" s="288" t="str">
        <f aca="false">IF((SUM(O814:Z814)&gt;1),"ERROR","")</f>
        <v/>
      </c>
      <c r="BI814" s="287"/>
      <c r="BJ814" s="18" t="str">
        <f aca="false">IF(C800&gt;0, C800, "")</f>
        <v/>
      </c>
      <c r="BL814" s="200"/>
      <c r="BM814" s="200"/>
      <c r="BN814" s="200"/>
    </row>
    <row r="815" customFormat="false" ht="15" hidden="false" customHeight="true" outlineLevel="0" collapsed="false">
      <c r="B815" s="275"/>
      <c r="D815" s="276" t="n">
        <f aca="false">D799</f>
        <v>45505</v>
      </c>
      <c r="E815" s="277" t="n">
        <v>0</v>
      </c>
      <c r="F815" s="277" t="n">
        <v>0</v>
      </c>
      <c r="G815" s="277" t="n">
        <v>0</v>
      </c>
      <c r="H815" s="277" t="n">
        <v>0</v>
      </c>
      <c r="I815" s="277" t="n">
        <v>0</v>
      </c>
      <c r="J815" s="278" t="n">
        <f aca="false">E815+H815+I815</f>
        <v>0</v>
      </c>
      <c r="K815" s="204"/>
      <c r="L815" s="279" t="n">
        <v>1</v>
      </c>
      <c r="M815" s="280" t="n">
        <f aca="false">1-L815</f>
        <v>0</v>
      </c>
      <c r="N815" s="281"/>
      <c r="O815" s="282"/>
      <c r="P815" s="282"/>
      <c r="Q815" s="282"/>
      <c r="R815" s="282"/>
      <c r="S815" s="282"/>
      <c r="T815" s="282"/>
      <c r="U815" s="282"/>
      <c r="V815" s="282"/>
      <c r="W815" s="282"/>
      <c r="X815" s="282"/>
      <c r="Y815" s="282"/>
      <c r="Z815" s="282"/>
      <c r="AA815" s="283"/>
      <c r="AB815" s="284" t="n">
        <f aca="false">IFERROR(($J815*O815)*$L815, "")</f>
        <v>0</v>
      </c>
      <c r="AC815" s="284" t="n">
        <f aca="false">IFERROR(($J815*P815)*$L815, "")</f>
        <v>0</v>
      </c>
      <c r="AD815" s="284" t="n">
        <f aca="false">IFERROR(($J815*Q815)*$L815, "")</f>
        <v>0</v>
      </c>
      <c r="AE815" s="284" t="n">
        <f aca="false">IFERROR(($J815*R815)*$L815, "")</f>
        <v>0</v>
      </c>
      <c r="AF815" s="284" t="n">
        <f aca="false">IFERROR(($J815*S815)*$L815, "")</f>
        <v>0</v>
      </c>
      <c r="AG815" s="284" t="n">
        <f aca="false">IFERROR(($J815*T815)*$L815, "")</f>
        <v>0</v>
      </c>
      <c r="AH815" s="284" t="n">
        <f aca="false">IFERROR(($J815*U815)*$L815, "")</f>
        <v>0</v>
      </c>
      <c r="AI815" s="284" t="n">
        <f aca="false">IFERROR(($J815*V815)*$L815, "")</f>
        <v>0</v>
      </c>
      <c r="AJ815" s="284" t="n">
        <f aca="false">IFERROR(($J815*W815)*$L815, "")</f>
        <v>0</v>
      </c>
      <c r="AK815" s="284" t="n">
        <f aca="false">IFERROR(($J815*X815)*$L815, "")</f>
        <v>0</v>
      </c>
      <c r="AL815" s="284" t="n">
        <f aca="false">IFERROR(($J815*Y815)*$L815, "")</f>
        <v>0</v>
      </c>
      <c r="AM815" s="285" t="n">
        <f aca="false">IFERROR(($J815*Z815)*$L815, "")</f>
        <v>0</v>
      </c>
      <c r="AN815" s="286" t="n">
        <f aca="false">IFERROR(SUMIF($AB$4:$AM$4, "RDEC", AB815:AM815), "")</f>
        <v>0</v>
      </c>
      <c r="AO815" s="286" t="n">
        <f aca="false">IFERROR(SUMIF($AB$4:$AM$4, "SME", AB815:AM815), "")</f>
        <v>0</v>
      </c>
      <c r="AP815" s="286" t="n">
        <f aca="false">IFERROR(SUMIF($AB$4:$AM$4, "De Minimis", AB815:AM815), "")</f>
        <v>0</v>
      </c>
      <c r="AQ815" s="283"/>
      <c r="AR815" s="284" t="n">
        <f aca="false">IFERROR(($J815*O815)*$M815, "")</f>
        <v>0</v>
      </c>
      <c r="AS815" s="284" t="n">
        <f aca="false">IFERROR(($J815*P815)*$M815, "")</f>
        <v>0</v>
      </c>
      <c r="AT815" s="284" t="n">
        <f aca="false">IFERROR(($J815*Q815)*$M815, "")</f>
        <v>0</v>
      </c>
      <c r="AU815" s="284" t="n">
        <f aca="false">IFERROR(($J815*R815)*$M815, "")</f>
        <v>0</v>
      </c>
      <c r="AV815" s="284" t="n">
        <f aca="false">IFERROR(($J815*S815)*$M815, "")</f>
        <v>0</v>
      </c>
      <c r="AW815" s="284" t="n">
        <f aca="false">IFERROR(($J815*T815)*$M815, "")</f>
        <v>0</v>
      </c>
      <c r="AX815" s="284" t="n">
        <f aca="false">IFERROR(($J815*U815)*$M815, "")</f>
        <v>0</v>
      </c>
      <c r="AY815" s="284" t="n">
        <f aca="false">IFERROR(($J815*V815)*$M815, "")</f>
        <v>0</v>
      </c>
      <c r="AZ815" s="284" t="n">
        <f aca="false">IFERROR(($J815*W815)*$M815, "")</f>
        <v>0</v>
      </c>
      <c r="BA815" s="284" t="n">
        <f aca="false">IFERROR(($J815*X815)*$M815, "")</f>
        <v>0</v>
      </c>
      <c r="BB815" s="284" t="n">
        <f aca="false">IFERROR(($J815*Y815)*$M815, "")</f>
        <v>0</v>
      </c>
      <c r="BC815" s="285" t="n">
        <f aca="false">IFERROR(($J815*Z815)*$M815, "")</f>
        <v>0</v>
      </c>
      <c r="BD815" s="286" t="n">
        <f aca="false">IFERROR(SUMIF($AB$4:$AM$4, "RDEC", AR815:BC815), "")</f>
        <v>0</v>
      </c>
      <c r="BE815" s="286" t="n">
        <f aca="false">IFERROR(SUMIF($AB$4:$AM$4, "SME", AR815:BC815), "")</f>
        <v>0</v>
      </c>
      <c r="BF815" s="286" t="n">
        <f aca="false">IFERROR(SUMIF($AB$4:$AM$4, "De Minimis", AR815:BC815), "")</f>
        <v>0</v>
      </c>
      <c r="BG815" s="287"/>
      <c r="BH815" s="288" t="str">
        <f aca="false">IF((SUM(O815:Z815)&gt;1),"ERROR","")</f>
        <v/>
      </c>
      <c r="BI815" s="287"/>
      <c r="BJ815" s="18" t="str">
        <f aca="false">IF(C801&gt;0, C801, "")</f>
        <v/>
      </c>
      <c r="BL815" s="200"/>
      <c r="BM815" s="200"/>
      <c r="BN815" s="200"/>
    </row>
    <row r="816" customFormat="false" ht="15" hidden="false" customHeight="true" outlineLevel="0" collapsed="false">
      <c r="B816" s="275"/>
      <c r="D816" s="276" t="n">
        <f aca="false">D800</f>
        <v>45536</v>
      </c>
      <c r="E816" s="277" t="n">
        <v>0</v>
      </c>
      <c r="F816" s="277" t="n">
        <v>0</v>
      </c>
      <c r="G816" s="277" t="n">
        <v>0</v>
      </c>
      <c r="H816" s="277" t="n">
        <v>0</v>
      </c>
      <c r="I816" s="277" t="n">
        <v>0</v>
      </c>
      <c r="J816" s="278" t="n">
        <f aca="false">E816+H816+I816</f>
        <v>0</v>
      </c>
      <c r="K816" s="204"/>
      <c r="L816" s="279" t="n">
        <v>1</v>
      </c>
      <c r="M816" s="280" t="n">
        <f aca="false">1-L816</f>
        <v>0</v>
      </c>
      <c r="N816" s="281"/>
      <c r="O816" s="282"/>
      <c r="P816" s="282"/>
      <c r="Q816" s="282"/>
      <c r="R816" s="282"/>
      <c r="S816" s="282"/>
      <c r="T816" s="282"/>
      <c r="U816" s="282"/>
      <c r="V816" s="282"/>
      <c r="W816" s="282"/>
      <c r="X816" s="282"/>
      <c r="Y816" s="282"/>
      <c r="Z816" s="282"/>
      <c r="AA816" s="283"/>
      <c r="AB816" s="284" t="n">
        <f aca="false">IFERROR(($J816*O816)*$L816, "")</f>
        <v>0</v>
      </c>
      <c r="AC816" s="284" t="n">
        <f aca="false">IFERROR(($J816*P816)*$L816, "")</f>
        <v>0</v>
      </c>
      <c r="AD816" s="284" t="n">
        <f aca="false">IFERROR(($J816*Q816)*$L816, "")</f>
        <v>0</v>
      </c>
      <c r="AE816" s="284" t="n">
        <f aca="false">IFERROR(($J816*R816)*$L816, "")</f>
        <v>0</v>
      </c>
      <c r="AF816" s="284" t="n">
        <f aca="false">IFERROR(($J816*S816)*$L816, "")</f>
        <v>0</v>
      </c>
      <c r="AG816" s="284" t="n">
        <f aca="false">IFERROR(($J816*T816)*$L816, "")</f>
        <v>0</v>
      </c>
      <c r="AH816" s="284" t="n">
        <f aca="false">IFERROR(($J816*U816)*$L816, "")</f>
        <v>0</v>
      </c>
      <c r="AI816" s="284" t="n">
        <f aca="false">IFERROR(($J816*V816)*$L816, "")</f>
        <v>0</v>
      </c>
      <c r="AJ816" s="284" t="n">
        <f aca="false">IFERROR(($J816*W816)*$L816, "")</f>
        <v>0</v>
      </c>
      <c r="AK816" s="284" t="n">
        <f aca="false">IFERROR(($J816*X816)*$L816, "")</f>
        <v>0</v>
      </c>
      <c r="AL816" s="284" t="n">
        <f aca="false">IFERROR(($J816*Y816)*$L816, "")</f>
        <v>0</v>
      </c>
      <c r="AM816" s="285" t="n">
        <f aca="false">IFERROR(($J816*Z816)*$L816, "")</f>
        <v>0</v>
      </c>
      <c r="AN816" s="286" t="n">
        <f aca="false">IFERROR(SUMIF($AB$4:$AM$4, "RDEC", AB816:AM816), "")</f>
        <v>0</v>
      </c>
      <c r="AO816" s="286" t="n">
        <f aca="false">IFERROR(SUMIF($AB$4:$AM$4, "SME", AB816:AM816), "")</f>
        <v>0</v>
      </c>
      <c r="AP816" s="286" t="n">
        <f aca="false">IFERROR(SUMIF($AB$4:$AM$4, "De Minimis", AB816:AM816), "")</f>
        <v>0</v>
      </c>
      <c r="AQ816" s="283"/>
      <c r="AR816" s="284" t="n">
        <f aca="false">IFERROR(($J816*O816)*$M816, "")</f>
        <v>0</v>
      </c>
      <c r="AS816" s="284" t="n">
        <f aca="false">IFERROR(($J816*P816)*$M816, "")</f>
        <v>0</v>
      </c>
      <c r="AT816" s="284" t="n">
        <f aca="false">IFERROR(($J816*Q816)*$M816, "")</f>
        <v>0</v>
      </c>
      <c r="AU816" s="284" t="n">
        <f aca="false">IFERROR(($J816*R816)*$M816, "")</f>
        <v>0</v>
      </c>
      <c r="AV816" s="284" t="n">
        <f aca="false">IFERROR(($J816*S816)*$M816, "")</f>
        <v>0</v>
      </c>
      <c r="AW816" s="284" t="n">
        <f aca="false">IFERROR(($J816*T816)*$M816, "")</f>
        <v>0</v>
      </c>
      <c r="AX816" s="284" t="n">
        <f aca="false">IFERROR(($J816*U816)*$M816, "")</f>
        <v>0</v>
      </c>
      <c r="AY816" s="284" t="n">
        <f aca="false">IFERROR(($J816*V816)*$M816, "")</f>
        <v>0</v>
      </c>
      <c r="AZ816" s="284" t="n">
        <f aca="false">IFERROR(($J816*W816)*$M816, "")</f>
        <v>0</v>
      </c>
      <c r="BA816" s="284" t="n">
        <f aca="false">IFERROR(($J816*X816)*$M816, "")</f>
        <v>0</v>
      </c>
      <c r="BB816" s="284" t="n">
        <f aca="false">IFERROR(($J816*Y816)*$M816, "")</f>
        <v>0</v>
      </c>
      <c r="BC816" s="285" t="n">
        <f aca="false">IFERROR(($J816*Z816)*$M816, "")</f>
        <v>0</v>
      </c>
      <c r="BD816" s="286" t="n">
        <f aca="false">IFERROR(SUMIF($AB$4:$AM$4, "RDEC", AR816:BC816), "")</f>
        <v>0</v>
      </c>
      <c r="BE816" s="286" t="n">
        <f aca="false">IFERROR(SUMIF($AB$4:$AM$4, "SME", AR816:BC816), "")</f>
        <v>0</v>
      </c>
      <c r="BF816" s="286" t="n">
        <f aca="false">IFERROR(SUMIF($AB$4:$AM$4, "De Minimis", AR816:BC816), "")</f>
        <v>0</v>
      </c>
      <c r="BG816" s="287"/>
      <c r="BH816" s="288" t="str">
        <f aca="false">IF((SUM(O816:Z816)&gt;1),"ERROR","")</f>
        <v/>
      </c>
      <c r="BI816" s="287"/>
      <c r="BJ816" s="18" t="str">
        <f aca="false">IF(C802&gt;0, C802, "")</f>
        <v/>
      </c>
      <c r="BL816" s="200"/>
      <c r="BM816" s="200"/>
      <c r="BN816" s="200"/>
    </row>
    <row r="817" customFormat="false" ht="15" hidden="false" customHeight="true" outlineLevel="0" collapsed="false">
      <c r="B817" s="275"/>
      <c r="D817" s="276" t="n">
        <f aca="false">D801</f>
        <v>45566</v>
      </c>
      <c r="E817" s="277" t="n">
        <v>0</v>
      </c>
      <c r="F817" s="277" t="n">
        <v>0</v>
      </c>
      <c r="G817" s="277" t="n">
        <v>0</v>
      </c>
      <c r="H817" s="277" t="n">
        <v>0</v>
      </c>
      <c r="I817" s="277" t="n">
        <v>0</v>
      </c>
      <c r="J817" s="278" t="n">
        <f aca="false">E817+H817+I817</f>
        <v>0</v>
      </c>
      <c r="K817" s="204"/>
      <c r="L817" s="279" t="n">
        <v>1</v>
      </c>
      <c r="M817" s="280" t="n">
        <f aca="false">1-L817</f>
        <v>0</v>
      </c>
      <c r="N817" s="281"/>
      <c r="O817" s="282"/>
      <c r="P817" s="282"/>
      <c r="Q817" s="282"/>
      <c r="R817" s="282"/>
      <c r="S817" s="282"/>
      <c r="T817" s="282"/>
      <c r="U817" s="282"/>
      <c r="V817" s="282"/>
      <c r="W817" s="282"/>
      <c r="X817" s="282"/>
      <c r="Y817" s="282"/>
      <c r="Z817" s="282"/>
      <c r="AA817" s="283"/>
      <c r="AB817" s="284" t="n">
        <f aca="false">IFERROR(($J817*O817)*$L817, "")</f>
        <v>0</v>
      </c>
      <c r="AC817" s="284" t="n">
        <f aca="false">IFERROR(($J817*P817)*$L817, "")</f>
        <v>0</v>
      </c>
      <c r="AD817" s="284" t="n">
        <f aca="false">IFERROR(($J817*Q817)*$L817, "")</f>
        <v>0</v>
      </c>
      <c r="AE817" s="284" t="n">
        <f aca="false">IFERROR(($J817*R817)*$L817, "")</f>
        <v>0</v>
      </c>
      <c r="AF817" s="284" t="n">
        <f aca="false">IFERROR(($J817*S817)*$L817, "")</f>
        <v>0</v>
      </c>
      <c r="AG817" s="284" t="n">
        <f aca="false">IFERROR(($J817*T817)*$L817, "")</f>
        <v>0</v>
      </c>
      <c r="AH817" s="284" t="n">
        <f aca="false">IFERROR(($J817*U817)*$L817, "")</f>
        <v>0</v>
      </c>
      <c r="AI817" s="284" t="n">
        <f aca="false">IFERROR(($J817*V817)*$L817, "")</f>
        <v>0</v>
      </c>
      <c r="AJ817" s="284" t="n">
        <f aca="false">IFERROR(($J817*W817)*$L817, "")</f>
        <v>0</v>
      </c>
      <c r="AK817" s="284" t="n">
        <f aca="false">IFERROR(($J817*X817)*$L817, "")</f>
        <v>0</v>
      </c>
      <c r="AL817" s="284" t="n">
        <f aca="false">IFERROR(($J817*Y817)*$L817, "")</f>
        <v>0</v>
      </c>
      <c r="AM817" s="285" t="n">
        <f aca="false">IFERROR(($J817*Z817)*$L817, "")</f>
        <v>0</v>
      </c>
      <c r="AN817" s="286" t="n">
        <f aca="false">IFERROR(SUMIF($AB$4:$AM$4, "RDEC", AB817:AM817), "")</f>
        <v>0</v>
      </c>
      <c r="AO817" s="286" t="n">
        <f aca="false">IFERROR(SUMIF($AB$4:$AM$4, "SME", AB817:AM817), "")</f>
        <v>0</v>
      </c>
      <c r="AP817" s="286" t="n">
        <f aca="false">IFERROR(SUMIF($AB$4:$AM$4, "De Minimis", AB817:AM817), "")</f>
        <v>0</v>
      </c>
      <c r="AQ817" s="283"/>
      <c r="AR817" s="284" t="n">
        <f aca="false">IFERROR(($J817*O817)*$M817, "")</f>
        <v>0</v>
      </c>
      <c r="AS817" s="284" t="n">
        <f aca="false">IFERROR(($J817*P817)*$M817, "")</f>
        <v>0</v>
      </c>
      <c r="AT817" s="284" t="n">
        <f aca="false">IFERROR(($J817*Q817)*$M817, "")</f>
        <v>0</v>
      </c>
      <c r="AU817" s="284" t="n">
        <f aca="false">IFERROR(($J817*R817)*$M817, "")</f>
        <v>0</v>
      </c>
      <c r="AV817" s="284" t="n">
        <f aca="false">IFERROR(($J817*S817)*$M817, "")</f>
        <v>0</v>
      </c>
      <c r="AW817" s="284" t="n">
        <f aca="false">IFERROR(($J817*T817)*$M817, "")</f>
        <v>0</v>
      </c>
      <c r="AX817" s="284" t="n">
        <f aca="false">IFERROR(($J817*U817)*$M817, "")</f>
        <v>0</v>
      </c>
      <c r="AY817" s="284" t="n">
        <f aca="false">IFERROR(($J817*V817)*$M817, "")</f>
        <v>0</v>
      </c>
      <c r="AZ817" s="284" t="n">
        <f aca="false">IFERROR(($J817*W817)*$M817, "")</f>
        <v>0</v>
      </c>
      <c r="BA817" s="284" t="n">
        <f aca="false">IFERROR(($J817*X817)*$M817, "")</f>
        <v>0</v>
      </c>
      <c r="BB817" s="284" t="n">
        <f aca="false">IFERROR(($J817*Y817)*$M817, "")</f>
        <v>0</v>
      </c>
      <c r="BC817" s="285" t="n">
        <f aca="false">IFERROR(($J817*Z817)*$M817, "")</f>
        <v>0</v>
      </c>
      <c r="BD817" s="286" t="n">
        <f aca="false">IFERROR(SUMIF($AB$4:$AM$4, "RDEC", AR817:BC817), "")</f>
        <v>0</v>
      </c>
      <c r="BE817" s="286" t="n">
        <f aca="false">IFERROR(SUMIF($AB$4:$AM$4, "SME", AR817:BC817), "")</f>
        <v>0</v>
      </c>
      <c r="BF817" s="286" t="n">
        <f aca="false">IFERROR(SUMIF($AB$4:$AM$4, "De Minimis", AR817:BC817), "")</f>
        <v>0</v>
      </c>
      <c r="BG817" s="287"/>
      <c r="BH817" s="288" t="str">
        <f aca="false">IF((SUM(O817:Z817)&gt;1),"ERROR","")</f>
        <v/>
      </c>
      <c r="BI817" s="287"/>
      <c r="BJ817" s="18" t="str">
        <f aca="false">IF(C803&gt;0, C803, "")</f>
        <v/>
      </c>
      <c r="BL817" s="200"/>
      <c r="BM817" s="200"/>
      <c r="BN817" s="200"/>
    </row>
    <row r="818" customFormat="false" ht="15" hidden="false" customHeight="true" outlineLevel="0" collapsed="false">
      <c r="B818" s="275"/>
      <c r="D818" s="276" t="n">
        <f aca="false">D802</f>
        <v>45597</v>
      </c>
      <c r="E818" s="277" t="n">
        <v>0</v>
      </c>
      <c r="F818" s="277" t="n">
        <v>0</v>
      </c>
      <c r="G818" s="277" t="n">
        <v>0</v>
      </c>
      <c r="H818" s="277" t="n">
        <v>0</v>
      </c>
      <c r="I818" s="277" t="n">
        <v>0</v>
      </c>
      <c r="J818" s="278" t="n">
        <f aca="false">E818+H818+I818</f>
        <v>0</v>
      </c>
      <c r="K818" s="204"/>
      <c r="L818" s="279" t="n">
        <v>1</v>
      </c>
      <c r="M818" s="280" t="n">
        <f aca="false">1-L818</f>
        <v>0</v>
      </c>
      <c r="N818" s="281"/>
      <c r="O818" s="282"/>
      <c r="P818" s="282"/>
      <c r="Q818" s="282"/>
      <c r="R818" s="282"/>
      <c r="S818" s="282"/>
      <c r="T818" s="282"/>
      <c r="U818" s="282"/>
      <c r="V818" s="282"/>
      <c r="W818" s="282"/>
      <c r="X818" s="282"/>
      <c r="Y818" s="282"/>
      <c r="Z818" s="282"/>
      <c r="AA818" s="283"/>
      <c r="AB818" s="284" t="n">
        <f aca="false">IFERROR(($J818*O818)*$L818, "")</f>
        <v>0</v>
      </c>
      <c r="AC818" s="284" t="n">
        <f aca="false">IFERROR(($J818*P818)*$L818, "")</f>
        <v>0</v>
      </c>
      <c r="AD818" s="284" t="n">
        <f aca="false">IFERROR(($J818*Q818)*$L818, "")</f>
        <v>0</v>
      </c>
      <c r="AE818" s="284" t="n">
        <f aca="false">IFERROR(($J818*R818)*$L818, "")</f>
        <v>0</v>
      </c>
      <c r="AF818" s="284" t="n">
        <f aca="false">IFERROR(($J818*S818)*$L818, "")</f>
        <v>0</v>
      </c>
      <c r="AG818" s="284" t="n">
        <f aca="false">IFERROR(($J818*T818)*$L818, "")</f>
        <v>0</v>
      </c>
      <c r="AH818" s="284" t="n">
        <f aca="false">IFERROR(($J818*U818)*$L818, "")</f>
        <v>0</v>
      </c>
      <c r="AI818" s="284" t="n">
        <f aca="false">IFERROR(($J818*V818)*$L818, "")</f>
        <v>0</v>
      </c>
      <c r="AJ818" s="284" t="n">
        <f aca="false">IFERROR(($J818*W818)*$L818, "")</f>
        <v>0</v>
      </c>
      <c r="AK818" s="284" t="n">
        <f aca="false">IFERROR(($J818*X818)*$L818, "")</f>
        <v>0</v>
      </c>
      <c r="AL818" s="284" t="n">
        <f aca="false">IFERROR(($J818*Y818)*$L818, "")</f>
        <v>0</v>
      </c>
      <c r="AM818" s="285" t="n">
        <f aca="false">IFERROR(($J818*Z818)*$L818, "")</f>
        <v>0</v>
      </c>
      <c r="AN818" s="286" t="n">
        <f aca="false">IFERROR(SUMIF($AB$4:$AM$4, "RDEC", AB818:AM818), "")</f>
        <v>0</v>
      </c>
      <c r="AO818" s="286" t="n">
        <f aca="false">IFERROR(SUMIF($AB$4:$AM$4, "SME", AB818:AM818), "")</f>
        <v>0</v>
      </c>
      <c r="AP818" s="286" t="n">
        <f aca="false">IFERROR(SUMIF($AB$4:$AM$4, "De Minimis", AB818:AM818), "")</f>
        <v>0</v>
      </c>
      <c r="AQ818" s="283"/>
      <c r="AR818" s="284" t="n">
        <f aca="false">IFERROR(($J818*O818)*$M818, "")</f>
        <v>0</v>
      </c>
      <c r="AS818" s="284" t="n">
        <f aca="false">IFERROR(($J818*P818)*$M818, "")</f>
        <v>0</v>
      </c>
      <c r="AT818" s="284" t="n">
        <f aca="false">IFERROR(($J818*Q818)*$M818, "")</f>
        <v>0</v>
      </c>
      <c r="AU818" s="284" t="n">
        <f aca="false">IFERROR(($J818*R818)*$M818, "")</f>
        <v>0</v>
      </c>
      <c r="AV818" s="284" t="n">
        <f aca="false">IFERROR(($J818*S818)*$M818, "")</f>
        <v>0</v>
      </c>
      <c r="AW818" s="284" t="n">
        <f aca="false">IFERROR(($J818*T818)*$M818, "")</f>
        <v>0</v>
      </c>
      <c r="AX818" s="284" t="n">
        <f aca="false">IFERROR(($J818*U818)*$M818, "")</f>
        <v>0</v>
      </c>
      <c r="AY818" s="284" t="n">
        <f aca="false">IFERROR(($J818*V818)*$M818, "")</f>
        <v>0</v>
      </c>
      <c r="AZ818" s="284" t="n">
        <f aca="false">IFERROR(($J818*W818)*$M818, "")</f>
        <v>0</v>
      </c>
      <c r="BA818" s="284" t="n">
        <f aca="false">IFERROR(($J818*X818)*$M818, "")</f>
        <v>0</v>
      </c>
      <c r="BB818" s="284" t="n">
        <f aca="false">IFERROR(($J818*Y818)*$M818, "")</f>
        <v>0</v>
      </c>
      <c r="BC818" s="285" t="n">
        <f aca="false">IFERROR(($J818*Z818)*$M818, "")</f>
        <v>0</v>
      </c>
      <c r="BD818" s="286" t="n">
        <f aca="false">IFERROR(SUMIF($AB$4:$AM$4, "RDEC", AR818:BC818), "")</f>
        <v>0</v>
      </c>
      <c r="BE818" s="286" t="n">
        <f aca="false">IFERROR(SUMIF($AB$4:$AM$4, "SME", AR818:BC818), "")</f>
        <v>0</v>
      </c>
      <c r="BF818" s="286" t="n">
        <f aca="false">IFERROR(SUMIF($AB$4:$AM$4, "De Minimis", AR818:BC818), "")</f>
        <v>0</v>
      </c>
      <c r="BG818" s="287"/>
      <c r="BH818" s="288" t="str">
        <f aca="false">IF((SUM(O818:Z818)&gt;1),"ERROR","")</f>
        <v/>
      </c>
      <c r="BI818" s="287"/>
      <c r="BJ818" s="18" t="str">
        <f aca="false">IF(C804&gt;0, C804, "")</f>
        <v/>
      </c>
      <c r="BL818" s="200"/>
      <c r="BM818" s="200"/>
      <c r="BN818" s="200"/>
    </row>
    <row r="819" customFormat="false" ht="15" hidden="false" customHeight="true" outlineLevel="0" collapsed="false">
      <c r="B819" s="275"/>
      <c r="D819" s="276" t="n">
        <f aca="false">D803</f>
        <v>45627</v>
      </c>
      <c r="E819" s="277" t="n">
        <v>0</v>
      </c>
      <c r="F819" s="277" t="n">
        <v>0</v>
      </c>
      <c r="G819" s="277" t="n">
        <v>0</v>
      </c>
      <c r="H819" s="277" t="n">
        <v>0</v>
      </c>
      <c r="I819" s="277" t="n">
        <v>0</v>
      </c>
      <c r="J819" s="278" t="n">
        <f aca="false">E819+H819+I819</f>
        <v>0</v>
      </c>
      <c r="K819" s="204"/>
      <c r="L819" s="289" t="n">
        <v>1</v>
      </c>
      <c r="M819" s="290" t="n">
        <f aca="false">1-L819</f>
        <v>0</v>
      </c>
      <c r="N819" s="281"/>
      <c r="O819" s="291"/>
      <c r="P819" s="291"/>
      <c r="Q819" s="291"/>
      <c r="R819" s="291"/>
      <c r="S819" s="291"/>
      <c r="T819" s="291"/>
      <c r="U819" s="291"/>
      <c r="V819" s="291"/>
      <c r="W819" s="291"/>
      <c r="X819" s="291"/>
      <c r="Y819" s="291"/>
      <c r="Z819" s="291"/>
      <c r="AA819" s="283"/>
      <c r="AB819" s="292" t="n">
        <f aca="false">IFERROR(($J819*O819)*$L819, "")</f>
        <v>0</v>
      </c>
      <c r="AC819" s="292" t="n">
        <f aca="false">IFERROR(($J819*P819)*$L819, "")</f>
        <v>0</v>
      </c>
      <c r="AD819" s="292" t="n">
        <f aca="false">IFERROR(($J819*Q819)*$L819, "")</f>
        <v>0</v>
      </c>
      <c r="AE819" s="292" t="n">
        <f aca="false">IFERROR(($J819*R819)*$L819, "")</f>
        <v>0</v>
      </c>
      <c r="AF819" s="292" t="n">
        <f aca="false">IFERROR(($J819*S819)*$L819, "")</f>
        <v>0</v>
      </c>
      <c r="AG819" s="292" t="n">
        <f aca="false">IFERROR(($J819*T819)*$L819, "")</f>
        <v>0</v>
      </c>
      <c r="AH819" s="292" t="n">
        <f aca="false">IFERROR(($J819*U819)*$L819, "")</f>
        <v>0</v>
      </c>
      <c r="AI819" s="292" t="n">
        <f aca="false">IFERROR(($J819*V819)*$L819, "")</f>
        <v>0</v>
      </c>
      <c r="AJ819" s="292" t="n">
        <f aca="false">IFERROR(($J819*W819)*$L819, "")</f>
        <v>0</v>
      </c>
      <c r="AK819" s="292" t="n">
        <f aca="false">IFERROR(($J819*X819)*$L819, "")</f>
        <v>0</v>
      </c>
      <c r="AL819" s="292" t="n">
        <f aca="false">IFERROR(($J819*Y819)*$L819, "")</f>
        <v>0</v>
      </c>
      <c r="AM819" s="293" t="n">
        <f aca="false">IFERROR(($J819*Z819)*$L819, "")</f>
        <v>0</v>
      </c>
      <c r="AN819" s="294" t="n">
        <f aca="false">IFERROR(SUMIF($AB$4:$AM$4, "RDEC", AB819:AM819), "")</f>
        <v>0</v>
      </c>
      <c r="AO819" s="294" t="n">
        <f aca="false">IFERROR(SUMIF($AB$4:$AM$4, "SME", AB819:AM819), "")</f>
        <v>0</v>
      </c>
      <c r="AP819" s="294" t="n">
        <f aca="false">IFERROR(SUMIF($AB$4:$AM$4, "De Minimis", AB819:AM819), "")</f>
        <v>0</v>
      </c>
      <c r="AQ819" s="283"/>
      <c r="AR819" s="292" t="n">
        <f aca="false">IFERROR(($J819*O819)*$M819, "")</f>
        <v>0</v>
      </c>
      <c r="AS819" s="292" t="n">
        <f aca="false">IFERROR(($J819*P819)*$M819, "")</f>
        <v>0</v>
      </c>
      <c r="AT819" s="292" t="n">
        <f aca="false">IFERROR(($J819*Q819)*$M819, "")</f>
        <v>0</v>
      </c>
      <c r="AU819" s="292" t="n">
        <f aca="false">IFERROR(($J819*R819)*$M819, "")</f>
        <v>0</v>
      </c>
      <c r="AV819" s="292" t="n">
        <f aca="false">IFERROR(($J819*S819)*$M819, "")</f>
        <v>0</v>
      </c>
      <c r="AW819" s="292" t="n">
        <f aca="false">IFERROR(($J819*T819)*$M819, "")</f>
        <v>0</v>
      </c>
      <c r="AX819" s="292" t="n">
        <f aca="false">IFERROR(($J819*U819)*$M819, "")</f>
        <v>0</v>
      </c>
      <c r="AY819" s="292" t="n">
        <f aca="false">IFERROR(($J819*V819)*$M819, "")</f>
        <v>0</v>
      </c>
      <c r="AZ819" s="292" t="n">
        <f aca="false">IFERROR(($J819*W819)*$M819, "")</f>
        <v>0</v>
      </c>
      <c r="BA819" s="292" t="n">
        <f aca="false">IFERROR(($J819*X819)*$M819, "")</f>
        <v>0</v>
      </c>
      <c r="BB819" s="292" t="n">
        <f aca="false">IFERROR(($J819*Y819)*$M819, "")</f>
        <v>0</v>
      </c>
      <c r="BC819" s="293" t="n">
        <f aca="false">IFERROR(($J819*Z819)*$M819, "")</f>
        <v>0</v>
      </c>
      <c r="BD819" s="294" t="n">
        <f aca="false">IFERROR(SUMIF($AB$4:$AM$4, "RDEC", AR819:BC819), "")</f>
        <v>0</v>
      </c>
      <c r="BE819" s="294" t="n">
        <f aca="false">IFERROR(SUMIF($AB$4:$AM$4, "SME", AR819:BC819), "")</f>
        <v>0</v>
      </c>
      <c r="BF819" s="294" t="n">
        <f aca="false">IFERROR(SUMIF($AB$4:$AM$4, "De Minimis", AR819:BC819), "")</f>
        <v>0</v>
      </c>
      <c r="BG819" s="287"/>
      <c r="BH819" s="295" t="str">
        <f aca="false">IF((SUM(O819:Z819)&gt;1),"ERROR","")</f>
        <v/>
      </c>
      <c r="BI819" s="287"/>
      <c r="BJ819" s="18" t="str">
        <f aca="false">IF(C805&gt;0, C805, "")</f>
        <v/>
      </c>
      <c r="BL819" s="200"/>
      <c r="BM819" s="200"/>
      <c r="BN819" s="200"/>
    </row>
    <row r="820" customFormat="false" ht="15" hidden="false" customHeight="true" outlineLevel="0" collapsed="false">
      <c r="B820" s="296"/>
      <c r="D820" s="297" t="s">
        <v>82</v>
      </c>
      <c r="E820" s="298" t="n">
        <f aca="false">SUM(E808:E819)</f>
        <v>0</v>
      </c>
      <c r="F820" s="298" t="n">
        <f aca="false">SUM(F808:F819)</f>
        <v>0</v>
      </c>
      <c r="G820" s="298" t="n">
        <f aca="false">SUM(G808:G819)</f>
        <v>0</v>
      </c>
      <c r="H820" s="298" t="n">
        <f aca="false">SUM(H808:H819)</f>
        <v>0</v>
      </c>
      <c r="I820" s="298" t="n">
        <f aca="false">SUM(I808:I819)</f>
        <v>0</v>
      </c>
      <c r="J820" s="299" t="n">
        <f aca="false">SUM(J808:J819)</f>
        <v>0</v>
      </c>
      <c r="K820" s="300"/>
      <c r="L820" s="301" t="n">
        <f aca="false">AVERAGE(L808:L819)</f>
        <v>1</v>
      </c>
      <c r="M820" s="301" t="n">
        <f aca="false">AVERAGE(M808:M819)</f>
        <v>0</v>
      </c>
      <c r="N820" s="302"/>
      <c r="O820" s="290" t="n">
        <f aca="false">IF(SUM(O808:O819)&gt;0,((AB820+AR820)/J820),0)</f>
        <v>0</v>
      </c>
      <c r="P820" s="290" t="n">
        <f aca="false">IF(SUM(P808:P819)&gt;0,((AC820+AS820)/J820),0)</f>
        <v>0</v>
      </c>
      <c r="Q820" s="290" t="n">
        <f aca="false">IF(SUM(Q808:Q819)&gt;0,((AD820+AT820)/J820),0)</f>
        <v>0</v>
      </c>
      <c r="R820" s="290" t="n">
        <f aca="false">IF(SUM(R808:R819)&gt;0,((AE820+AU820)/J820),0)</f>
        <v>0</v>
      </c>
      <c r="S820" s="290" t="n">
        <f aca="false">IF(SUM(S808:S819)&gt;0,((AF820+AV820)/J820),0)</f>
        <v>0</v>
      </c>
      <c r="T820" s="290" t="n">
        <f aca="false">IF(SUM(T808:T819)&gt;0,((AG820+AW820)/J820),0)</f>
        <v>0</v>
      </c>
      <c r="U820" s="290" t="n">
        <f aca="false">IF(SUM(U808:U819)&gt;0,((AH820+AX820)/J820),0)</f>
        <v>0</v>
      </c>
      <c r="V820" s="290" t="n">
        <f aca="false">IF(SUM(V808:V819)&gt;0,((AI820+AY820)/J820),0)</f>
        <v>0</v>
      </c>
      <c r="W820" s="290" t="n">
        <f aca="false">IF(SUM(W808:W819)&gt;0,((AJ820+AZ820)/J820),0)</f>
        <v>0</v>
      </c>
      <c r="X820" s="290" t="n">
        <f aca="false">IF(SUM(X808:X819)&gt;0,((AK820+BA820)/J820),0)</f>
        <v>0</v>
      </c>
      <c r="Y820" s="290" t="n">
        <f aca="false">IF(SUM(Y808:Y819)&gt;0,((AL820+BB820)/J820),0)</f>
        <v>0</v>
      </c>
      <c r="Z820" s="290" t="n">
        <f aca="false">IF(SUM(Z808:Z819)&gt;0,((AM820+BC820)/J820),0)</f>
        <v>0</v>
      </c>
      <c r="AA820" s="303"/>
      <c r="AB820" s="292" t="n">
        <f aca="false">SUM(AB808:AB819)</f>
        <v>0</v>
      </c>
      <c r="AC820" s="304" t="n">
        <f aca="false">SUM(AC808:AC819)</f>
        <v>0</v>
      </c>
      <c r="AD820" s="304" t="n">
        <f aca="false">SUM(AD808:AD819)</f>
        <v>0</v>
      </c>
      <c r="AE820" s="304" t="n">
        <f aca="false">SUM(AE808:AE819)</f>
        <v>0</v>
      </c>
      <c r="AF820" s="304" t="n">
        <f aca="false">SUM(AF808:AF819)</f>
        <v>0</v>
      </c>
      <c r="AG820" s="304" t="n">
        <f aca="false">SUM(AG808:AG819)</f>
        <v>0</v>
      </c>
      <c r="AH820" s="304" t="n">
        <f aca="false">SUM(AH808:AH819)</f>
        <v>0</v>
      </c>
      <c r="AI820" s="304" t="n">
        <f aca="false">SUM(AI808:AI819)</f>
        <v>0</v>
      </c>
      <c r="AJ820" s="304" t="n">
        <f aca="false">SUM(AJ808:AJ819)</f>
        <v>0</v>
      </c>
      <c r="AK820" s="304" t="n">
        <f aca="false">SUM(AK808:AK819)</f>
        <v>0</v>
      </c>
      <c r="AL820" s="304" t="n">
        <f aca="false">SUM(AL808:AL819)</f>
        <v>0</v>
      </c>
      <c r="AM820" s="304" t="n">
        <f aca="false">SUM(AM808:AM819)</f>
        <v>0</v>
      </c>
      <c r="AN820" s="305" t="n">
        <f aca="false">SUM(AN808:AN819)</f>
        <v>0</v>
      </c>
      <c r="AO820" s="305" t="n">
        <f aca="false">SUM(AO808:AO819)</f>
        <v>0</v>
      </c>
      <c r="AP820" s="305" t="n">
        <f aca="false">SUM(AP808:AP819)</f>
        <v>0</v>
      </c>
      <c r="AQ820" s="303"/>
      <c r="AR820" s="292" t="n">
        <f aca="false">SUM(AR808:AR819)</f>
        <v>0</v>
      </c>
      <c r="AS820" s="304" t="n">
        <f aca="false">SUM(AS808:AS819)</f>
        <v>0</v>
      </c>
      <c r="AT820" s="304" t="n">
        <f aca="false">SUM(AT808:AT819)</f>
        <v>0</v>
      </c>
      <c r="AU820" s="304" t="n">
        <f aca="false">SUM(AU808:AU819)</f>
        <v>0</v>
      </c>
      <c r="AV820" s="304" t="n">
        <f aca="false">SUM(AV808:AV819)</f>
        <v>0</v>
      </c>
      <c r="AW820" s="304" t="n">
        <f aca="false">SUM(AW808:AW819)</f>
        <v>0</v>
      </c>
      <c r="AX820" s="304" t="n">
        <f aca="false">SUM(AX808:AX819)</f>
        <v>0</v>
      </c>
      <c r="AY820" s="304" t="n">
        <f aca="false">SUM(AY808:AY819)</f>
        <v>0</v>
      </c>
      <c r="AZ820" s="304" t="n">
        <f aca="false">SUM(AZ808:AZ819)</f>
        <v>0</v>
      </c>
      <c r="BA820" s="304" t="n">
        <f aca="false">SUM(BA808:BA819)</f>
        <v>0</v>
      </c>
      <c r="BB820" s="304" t="n">
        <f aca="false">SUM(BB808:BB819)</f>
        <v>0</v>
      </c>
      <c r="BC820" s="304" t="n">
        <f aca="false">SUM(BC808:BC819)</f>
        <v>0</v>
      </c>
      <c r="BD820" s="305" t="n">
        <f aca="false">SUM(BD808:BD819)</f>
        <v>0</v>
      </c>
      <c r="BE820" s="305" t="n">
        <f aca="false">SUM(BE808:BE819)</f>
        <v>0</v>
      </c>
      <c r="BF820" s="305" t="n">
        <f aca="false">SUM(BF808:BF819)</f>
        <v>0</v>
      </c>
      <c r="BG820" s="303"/>
      <c r="BH820" s="306"/>
      <c r="BI820" s="303"/>
      <c r="BJ820" s="307" t="str">
        <f aca="false">IF(C806&gt;0, C806, "")</f>
        <v>TBA</v>
      </c>
      <c r="BK820" s="18" t="s">
        <v>234</v>
      </c>
      <c r="BL820" s="200" t="n">
        <f aca="false">IF($BK820="Y",J820,0)</f>
        <v>0</v>
      </c>
      <c r="BM820" s="200" t="n">
        <f aca="false">IF(BK820="Y", AN820,0)</f>
        <v>0</v>
      </c>
      <c r="BN820" s="200" t="n">
        <f aca="false">IF((BK820="Y"),AO820,0)</f>
        <v>0</v>
      </c>
    </row>
    <row r="821" customFormat="false" ht="15" hidden="false" customHeight="true" outlineLevel="0" collapsed="false">
      <c r="B821" s="296"/>
      <c r="D821" s="297"/>
      <c r="E821" s="277"/>
      <c r="F821" s="277"/>
      <c r="G821" s="277"/>
      <c r="H821" s="277"/>
      <c r="I821" s="277"/>
      <c r="J821" s="300"/>
      <c r="K821" s="300"/>
      <c r="L821" s="302"/>
      <c r="M821" s="302"/>
      <c r="N821" s="302"/>
      <c r="O821" s="308"/>
      <c r="P821" s="308"/>
      <c r="Q821" s="308"/>
      <c r="R821" s="308"/>
      <c r="S821" s="308"/>
      <c r="T821" s="308"/>
      <c r="U821" s="308"/>
      <c r="V821" s="308"/>
      <c r="W821" s="308"/>
      <c r="X821" s="308"/>
      <c r="Y821" s="308"/>
      <c r="Z821" s="308"/>
      <c r="AA821" s="303"/>
      <c r="AB821" s="303"/>
      <c r="AC821" s="303"/>
      <c r="AD821" s="303"/>
      <c r="AE821" s="303"/>
      <c r="AF821" s="303"/>
      <c r="AG821" s="303"/>
      <c r="AH821" s="303"/>
      <c r="AI821" s="303"/>
      <c r="AJ821" s="303"/>
      <c r="AK821" s="303"/>
      <c r="AL821" s="303"/>
      <c r="AM821" s="303"/>
      <c r="AN821" s="303"/>
      <c r="AO821" s="303"/>
      <c r="AP821" s="303"/>
      <c r="AQ821" s="303"/>
      <c r="AR821" s="303"/>
      <c r="AS821" s="303"/>
      <c r="AT821" s="303"/>
      <c r="AU821" s="303"/>
      <c r="AV821" s="303"/>
      <c r="AW821" s="303"/>
      <c r="AX821" s="303"/>
      <c r="AY821" s="303"/>
      <c r="AZ821" s="303"/>
      <c r="BA821" s="303"/>
      <c r="BB821" s="303"/>
      <c r="BC821" s="303"/>
      <c r="BD821" s="303"/>
      <c r="BE821" s="303"/>
      <c r="BF821" s="303"/>
      <c r="BG821" s="303"/>
      <c r="BH821" s="303"/>
      <c r="BI821" s="303"/>
      <c r="BJ821" s="307" t="str">
        <f aca="false">IF(C808&gt;0, C808, "")</f>
        <v/>
      </c>
      <c r="BL821" s="200"/>
      <c r="BM821" s="200"/>
      <c r="BN821" s="200"/>
    </row>
    <row r="822" customFormat="false" ht="15" hidden="false" customHeight="true" outlineLevel="0" collapsed="false">
      <c r="A822" s="198" t="n">
        <f aca="false">A806+1</f>
        <v>52</v>
      </c>
      <c r="B822" s="266" t="s">
        <v>253</v>
      </c>
      <c r="C822" s="266" t="s">
        <v>253</v>
      </c>
      <c r="D822" s="267"/>
      <c r="E822" s="242"/>
      <c r="F822" s="242"/>
      <c r="G822" s="242"/>
      <c r="H822" s="242"/>
      <c r="I822" s="242"/>
      <c r="J822" s="241"/>
      <c r="K822" s="241"/>
      <c r="L822" s="241"/>
      <c r="M822" s="241"/>
      <c r="N822" s="241"/>
      <c r="O822" s="268"/>
      <c r="P822" s="268"/>
      <c r="Q822" s="268"/>
      <c r="R822" s="268"/>
      <c r="S822" s="268"/>
      <c r="T822" s="268"/>
      <c r="U822" s="268"/>
      <c r="V822" s="268"/>
      <c r="W822" s="268"/>
      <c r="X822" s="268"/>
      <c r="Y822" s="268"/>
      <c r="Z822" s="268"/>
      <c r="AA822" s="268"/>
      <c r="AB822" s="268"/>
      <c r="AC822" s="268"/>
      <c r="AD822" s="268"/>
      <c r="AE822" s="268"/>
      <c r="AF822" s="268"/>
      <c r="AG822" s="268"/>
      <c r="AH822" s="268"/>
      <c r="AI822" s="268"/>
      <c r="AJ822" s="268"/>
      <c r="AK822" s="268"/>
      <c r="AL822" s="268"/>
      <c r="AM822" s="268"/>
      <c r="AN822" s="268"/>
      <c r="AO822" s="268"/>
      <c r="AP822" s="268"/>
      <c r="AQ822" s="268"/>
      <c r="AR822" s="268"/>
      <c r="AS822" s="268"/>
      <c r="AT822" s="268"/>
      <c r="AU822" s="268"/>
      <c r="AV822" s="268"/>
      <c r="AW822" s="268"/>
      <c r="AX822" s="268"/>
      <c r="AY822" s="268"/>
      <c r="AZ822" s="268"/>
      <c r="BA822" s="268"/>
      <c r="BB822" s="268"/>
      <c r="BC822" s="268"/>
      <c r="BD822" s="268"/>
      <c r="BE822" s="268"/>
      <c r="BF822" s="268"/>
      <c r="BG822" s="268"/>
      <c r="BH822" s="268"/>
      <c r="BI822" s="268"/>
      <c r="BJ822" s="18" t="str">
        <f aca="false">IF(C809&gt;0, C809, "")</f>
        <v/>
      </c>
      <c r="BL822" s="200"/>
      <c r="BM822" s="200"/>
      <c r="BN822" s="200"/>
    </row>
    <row r="823" customFormat="false" ht="7.5" hidden="false" customHeight="true" outlineLevel="0" collapsed="false">
      <c r="A823" s="198"/>
      <c r="B823" s="266"/>
      <c r="C823" s="266"/>
      <c r="D823" s="267"/>
      <c r="E823" s="242"/>
      <c r="F823" s="242"/>
      <c r="G823" s="242"/>
      <c r="H823" s="242"/>
      <c r="I823" s="242"/>
      <c r="J823" s="241"/>
      <c r="K823" s="241"/>
      <c r="L823" s="269"/>
      <c r="M823" s="269"/>
      <c r="N823" s="270"/>
      <c r="O823" s="269"/>
      <c r="P823" s="269"/>
      <c r="Q823" s="269"/>
      <c r="R823" s="269"/>
      <c r="S823" s="269"/>
      <c r="T823" s="269"/>
      <c r="U823" s="269"/>
      <c r="V823" s="269"/>
      <c r="W823" s="269"/>
      <c r="X823" s="269"/>
      <c r="Y823" s="269"/>
      <c r="Z823" s="269"/>
      <c r="AA823" s="268"/>
      <c r="AB823" s="271"/>
      <c r="AC823" s="271"/>
      <c r="AD823" s="271"/>
      <c r="AE823" s="271"/>
      <c r="AF823" s="271"/>
      <c r="AG823" s="271"/>
      <c r="AH823" s="271"/>
      <c r="AI823" s="271"/>
      <c r="AJ823" s="271"/>
      <c r="AK823" s="271"/>
      <c r="AL823" s="271"/>
      <c r="AM823" s="272"/>
      <c r="AN823" s="273"/>
      <c r="AO823" s="273"/>
      <c r="AP823" s="273"/>
      <c r="AQ823" s="268"/>
      <c r="AR823" s="271"/>
      <c r="AS823" s="271"/>
      <c r="AT823" s="271"/>
      <c r="AU823" s="271"/>
      <c r="AV823" s="271"/>
      <c r="AW823" s="271"/>
      <c r="AX823" s="271"/>
      <c r="AY823" s="271"/>
      <c r="AZ823" s="271"/>
      <c r="BA823" s="271"/>
      <c r="BB823" s="271"/>
      <c r="BC823" s="272"/>
      <c r="BD823" s="273"/>
      <c r="BE823" s="273"/>
      <c r="BF823" s="273"/>
      <c r="BG823" s="268"/>
      <c r="BH823" s="274"/>
      <c r="BI823" s="268"/>
      <c r="BL823" s="200"/>
      <c r="BM823" s="200"/>
      <c r="BN823" s="200"/>
    </row>
    <row r="824" customFormat="false" ht="15" hidden="false" customHeight="true" outlineLevel="0" collapsed="false">
      <c r="B824" s="275"/>
      <c r="D824" s="276" t="n">
        <f aca="false">D808</f>
        <v>45292</v>
      </c>
      <c r="E824" s="277" t="n">
        <v>0</v>
      </c>
      <c r="F824" s="277" t="n">
        <v>0</v>
      </c>
      <c r="G824" s="277" t="n">
        <v>0</v>
      </c>
      <c r="H824" s="277" t="n">
        <v>0</v>
      </c>
      <c r="I824" s="277" t="n">
        <v>0</v>
      </c>
      <c r="J824" s="278" t="n">
        <f aca="false">E824+H824+I824</f>
        <v>0</v>
      </c>
      <c r="K824" s="204"/>
      <c r="L824" s="279" t="n">
        <v>1</v>
      </c>
      <c r="M824" s="280" t="n">
        <f aca="false">1-L824</f>
        <v>0</v>
      </c>
      <c r="N824" s="281"/>
      <c r="O824" s="282"/>
      <c r="P824" s="282"/>
      <c r="Q824" s="282"/>
      <c r="R824" s="282"/>
      <c r="S824" s="282"/>
      <c r="T824" s="282"/>
      <c r="U824" s="282"/>
      <c r="V824" s="282"/>
      <c r="W824" s="282"/>
      <c r="X824" s="282"/>
      <c r="Y824" s="282"/>
      <c r="Z824" s="282"/>
      <c r="AA824" s="283"/>
      <c r="AB824" s="284" t="n">
        <f aca="false">IFERROR(($J824*O824)*$L824, "")</f>
        <v>0</v>
      </c>
      <c r="AC824" s="284" t="n">
        <f aca="false">IFERROR(($J824*P824)*$L824, "")</f>
        <v>0</v>
      </c>
      <c r="AD824" s="284" t="n">
        <f aca="false">IFERROR(($J824*Q824)*$L824, "")</f>
        <v>0</v>
      </c>
      <c r="AE824" s="284" t="n">
        <f aca="false">IFERROR(($J824*R824)*$L824, "")</f>
        <v>0</v>
      </c>
      <c r="AF824" s="284" t="n">
        <f aca="false">IFERROR(($J824*S824)*$L824, "")</f>
        <v>0</v>
      </c>
      <c r="AG824" s="284" t="n">
        <f aca="false">IFERROR(($J824*T824)*$L824, "")</f>
        <v>0</v>
      </c>
      <c r="AH824" s="284" t="n">
        <f aca="false">IFERROR(($J824*U824)*$L824, "")</f>
        <v>0</v>
      </c>
      <c r="AI824" s="284" t="n">
        <f aca="false">IFERROR(($J824*V824)*$L824, "")</f>
        <v>0</v>
      </c>
      <c r="AJ824" s="284" t="n">
        <f aca="false">IFERROR(($J824*W824)*$L824, "")</f>
        <v>0</v>
      </c>
      <c r="AK824" s="284" t="n">
        <f aca="false">IFERROR(($J824*X824)*$L824, "")</f>
        <v>0</v>
      </c>
      <c r="AL824" s="284" t="n">
        <f aca="false">IFERROR(($J824*Y824)*$L824, "")</f>
        <v>0</v>
      </c>
      <c r="AM824" s="285" t="n">
        <f aca="false">IFERROR(($J824*Z824)*$L824, "")</f>
        <v>0</v>
      </c>
      <c r="AN824" s="286" t="n">
        <f aca="false">IFERROR(SUMIF($AB$4:$AM$4, "RDEC", AB824:AM824), "")</f>
        <v>0</v>
      </c>
      <c r="AO824" s="286" t="n">
        <f aca="false">IFERROR(SUMIF($AB$4:$AM$4, "SME", AB824:AM824), "")</f>
        <v>0</v>
      </c>
      <c r="AP824" s="286" t="n">
        <f aca="false">IFERROR(SUMIF($AB$4:$AM$4, "De Minimis", AB824:AM824), "")</f>
        <v>0</v>
      </c>
      <c r="AQ824" s="283"/>
      <c r="AR824" s="284" t="n">
        <f aca="false">IFERROR(($J824*O824)*$M824, "")</f>
        <v>0</v>
      </c>
      <c r="AS824" s="284" t="n">
        <f aca="false">IFERROR(($J824*P824)*$M824, "")</f>
        <v>0</v>
      </c>
      <c r="AT824" s="284" t="n">
        <f aca="false">IFERROR(($J824*Q824)*$M824, "")</f>
        <v>0</v>
      </c>
      <c r="AU824" s="284" t="n">
        <f aca="false">IFERROR(($J824*R824)*$M824, "")</f>
        <v>0</v>
      </c>
      <c r="AV824" s="284" t="n">
        <f aca="false">IFERROR(($J824*S824)*$M824, "")</f>
        <v>0</v>
      </c>
      <c r="AW824" s="284" t="n">
        <f aca="false">IFERROR(($J824*T824)*$M824, "")</f>
        <v>0</v>
      </c>
      <c r="AX824" s="284" t="n">
        <f aca="false">IFERROR(($J824*U824)*$M824, "")</f>
        <v>0</v>
      </c>
      <c r="AY824" s="284" t="n">
        <f aca="false">IFERROR(($J824*V824)*$M824, "")</f>
        <v>0</v>
      </c>
      <c r="AZ824" s="284" t="n">
        <f aca="false">IFERROR(($J824*W824)*$M824, "")</f>
        <v>0</v>
      </c>
      <c r="BA824" s="284" t="n">
        <f aca="false">IFERROR(($J824*X824)*$M824, "")</f>
        <v>0</v>
      </c>
      <c r="BB824" s="284" t="n">
        <f aca="false">IFERROR(($J824*Y824)*$M824, "")</f>
        <v>0</v>
      </c>
      <c r="BC824" s="285" t="n">
        <f aca="false">IFERROR(($J824*Z824)*$M824, "")</f>
        <v>0</v>
      </c>
      <c r="BD824" s="286" t="n">
        <f aca="false">IFERROR(SUMIF($AB$4:$AM$4, "RDEC", AR824:BC824), "")</f>
        <v>0</v>
      </c>
      <c r="BE824" s="286" t="n">
        <f aca="false">IFERROR(SUMIF($AB$4:$AM$4, "SME", AR824:BC824), "")</f>
        <v>0</v>
      </c>
      <c r="BF824" s="286" t="n">
        <f aca="false">IFERROR(SUMIF($AB$4:$AM$4, "De Minimis", AR824:BC824), "")</f>
        <v>0</v>
      </c>
      <c r="BG824" s="287"/>
      <c r="BH824" s="288" t="str">
        <f aca="false">IF((SUM(O824:Z824)&gt;1),"ERROR","")</f>
        <v/>
      </c>
      <c r="BI824" s="287"/>
      <c r="BJ824" s="18" t="str">
        <f aca="false">IF(C810&gt;0, C810, "")</f>
        <v/>
      </c>
      <c r="BL824" s="200"/>
      <c r="BM824" s="200"/>
      <c r="BN824" s="200"/>
    </row>
    <row r="825" customFormat="false" ht="15" hidden="false" customHeight="true" outlineLevel="0" collapsed="false">
      <c r="B825" s="275"/>
      <c r="D825" s="276" t="n">
        <f aca="false">D809</f>
        <v>45323</v>
      </c>
      <c r="E825" s="277" t="n">
        <v>0</v>
      </c>
      <c r="F825" s="277" t="n">
        <v>0</v>
      </c>
      <c r="G825" s="277" t="n">
        <v>0</v>
      </c>
      <c r="H825" s="277" t="n">
        <v>0</v>
      </c>
      <c r="I825" s="277" t="n">
        <v>0</v>
      </c>
      <c r="J825" s="278" t="n">
        <f aca="false">E825+H825+I825</f>
        <v>0</v>
      </c>
      <c r="K825" s="204"/>
      <c r="L825" s="279" t="n">
        <v>1</v>
      </c>
      <c r="M825" s="280" t="n">
        <f aca="false">1-L825</f>
        <v>0</v>
      </c>
      <c r="N825" s="281"/>
      <c r="O825" s="282"/>
      <c r="P825" s="282"/>
      <c r="Q825" s="282"/>
      <c r="R825" s="282"/>
      <c r="S825" s="282"/>
      <c r="T825" s="282"/>
      <c r="U825" s="282"/>
      <c r="V825" s="282"/>
      <c r="W825" s="282"/>
      <c r="X825" s="282"/>
      <c r="Y825" s="282"/>
      <c r="Z825" s="282"/>
      <c r="AA825" s="283"/>
      <c r="AB825" s="284" t="n">
        <f aca="false">IFERROR(($J825*O825)*$L825, "")</f>
        <v>0</v>
      </c>
      <c r="AC825" s="284" t="n">
        <f aca="false">IFERROR(($J825*P825)*$L825, "")</f>
        <v>0</v>
      </c>
      <c r="AD825" s="284" t="n">
        <f aca="false">IFERROR(($J825*Q825)*$L825, "")</f>
        <v>0</v>
      </c>
      <c r="AE825" s="284" t="n">
        <f aca="false">IFERROR(($J825*R825)*$L825, "")</f>
        <v>0</v>
      </c>
      <c r="AF825" s="284" t="n">
        <f aca="false">IFERROR(($J825*S825)*$L825, "")</f>
        <v>0</v>
      </c>
      <c r="AG825" s="284" t="n">
        <f aca="false">IFERROR(($J825*T825)*$L825, "")</f>
        <v>0</v>
      </c>
      <c r="AH825" s="284" t="n">
        <f aca="false">IFERROR(($J825*U825)*$L825, "")</f>
        <v>0</v>
      </c>
      <c r="AI825" s="284" t="n">
        <f aca="false">IFERROR(($J825*V825)*$L825, "")</f>
        <v>0</v>
      </c>
      <c r="AJ825" s="284" t="n">
        <f aca="false">IFERROR(($J825*W825)*$L825, "")</f>
        <v>0</v>
      </c>
      <c r="AK825" s="284" t="n">
        <f aca="false">IFERROR(($J825*X825)*$L825, "")</f>
        <v>0</v>
      </c>
      <c r="AL825" s="284" t="n">
        <f aca="false">IFERROR(($J825*Y825)*$L825, "")</f>
        <v>0</v>
      </c>
      <c r="AM825" s="285" t="n">
        <f aca="false">IFERROR(($J825*Z825)*$L825, "")</f>
        <v>0</v>
      </c>
      <c r="AN825" s="286" t="n">
        <f aca="false">IFERROR(SUMIF($AB$4:$AM$4, "RDEC", AB825:AM825), "")</f>
        <v>0</v>
      </c>
      <c r="AO825" s="286" t="n">
        <f aca="false">IFERROR(SUMIF($AB$4:$AM$4, "SME", AB825:AM825), "")</f>
        <v>0</v>
      </c>
      <c r="AP825" s="286" t="n">
        <f aca="false">IFERROR(SUMIF($AB$4:$AM$4, "De Minimis", AB825:AM825), "")</f>
        <v>0</v>
      </c>
      <c r="AQ825" s="283"/>
      <c r="AR825" s="284" t="n">
        <f aca="false">IFERROR(($J825*O825)*$M825, "")</f>
        <v>0</v>
      </c>
      <c r="AS825" s="284" t="n">
        <f aca="false">IFERROR(($J825*P825)*$M825, "")</f>
        <v>0</v>
      </c>
      <c r="AT825" s="284" t="n">
        <f aca="false">IFERROR(($J825*Q825)*$M825, "")</f>
        <v>0</v>
      </c>
      <c r="AU825" s="284" t="n">
        <f aca="false">IFERROR(($J825*R825)*$M825, "")</f>
        <v>0</v>
      </c>
      <c r="AV825" s="284" t="n">
        <f aca="false">IFERROR(($J825*S825)*$M825, "")</f>
        <v>0</v>
      </c>
      <c r="AW825" s="284" t="n">
        <f aca="false">IFERROR(($J825*T825)*$M825, "")</f>
        <v>0</v>
      </c>
      <c r="AX825" s="284" t="n">
        <f aca="false">IFERROR(($J825*U825)*$M825, "")</f>
        <v>0</v>
      </c>
      <c r="AY825" s="284" t="n">
        <f aca="false">IFERROR(($J825*V825)*$M825, "")</f>
        <v>0</v>
      </c>
      <c r="AZ825" s="284" t="n">
        <f aca="false">IFERROR(($J825*W825)*$M825, "")</f>
        <v>0</v>
      </c>
      <c r="BA825" s="284" t="n">
        <f aca="false">IFERROR(($J825*X825)*$M825, "")</f>
        <v>0</v>
      </c>
      <c r="BB825" s="284" t="n">
        <f aca="false">IFERROR(($J825*Y825)*$M825, "")</f>
        <v>0</v>
      </c>
      <c r="BC825" s="285" t="n">
        <f aca="false">IFERROR(($J825*Z825)*$M825, "")</f>
        <v>0</v>
      </c>
      <c r="BD825" s="286" t="n">
        <f aca="false">IFERROR(SUMIF($AB$4:$AM$4, "RDEC", AR825:BC825), "")</f>
        <v>0</v>
      </c>
      <c r="BE825" s="286" t="n">
        <f aca="false">IFERROR(SUMIF($AB$4:$AM$4, "SME", AR825:BC825), "")</f>
        <v>0</v>
      </c>
      <c r="BF825" s="286" t="n">
        <f aca="false">IFERROR(SUMIF($AB$4:$AM$4, "De Minimis", AR825:BC825), "")</f>
        <v>0</v>
      </c>
      <c r="BG825" s="287"/>
      <c r="BH825" s="288" t="str">
        <f aca="false">IF((SUM(O825:Z825)&gt;1),"ERROR","")</f>
        <v/>
      </c>
      <c r="BI825" s="287"/>
      <c r="BJ825" s="18" t="str">
        <f aca="false">IF(C811&gt;0, C811, "")</f>
        <v/>
      </c>
      <c r="BL825" s="200"/>
      <c r="BM825" s="200"/>
      <c r="BN825" s="200"/>
    </row>
    <row r="826" customFormat="false" ht="15" hidden="false" customHeight="true" outlineLevel="0" collapsed="false">
      <c r="B826" s="275"/>
      <c r="D826" s="276" t="n">
        <f aca="false">D810</f>
        <v>45352</v>
      </c>
      <c r="E826" s="277" t="n">
        <v>0</v>
      </c>
      <c r="F826" s="277" t="n">
        <v>0</v>
      </c>
      <c r="G826" s="277" t="n">
        <v>0</v>
      </c>
      <c r="H826" s="277" t="n">
        <v>0</v>
      </c>
      <c r="I826" s="277" t="n">
        <v>0</v>
      </c>
      <c r="J826" s="278" t="n">
        <f aca="false">E826+H826+I826</f>
        <v>0</v>
      </c>
      <c r="K826" s="204"/>
      <c r="L826" s="279" t="n">
        <v>1</v>
      </c>
      <c r="M826" s="280" t="n">
        <f aca="false">1-L826</f>
        <v>0</v>
      </c>
      <c r="N826" s="281"/>
      <c r="O826" s="282"/>
      <c r="P826" s="282"/>
      <c r="Q826" s="282"/>
      <c r="R826" s="282"/>
      <c r="S826" s="282"/>
      <c r="T826" s="282"/>
      <c r="U826" s="282"/>
      <c r="V826" s="282"/>
      <c r="W826" s="282"/>
      <c r="X826" s="282"/>
      <c r="Y826" s="282"/>
      <c r="Z826" s="282"/>
      <c r="AA826" s="283"/>
      <c r="AB826" s="284" t="n">
        <f aca="false">IFERROR(($J826*O826)*$L826, "")</f>
        <v>0</v>
      </c>
      <c r="AC826" s="284" t="n">
        <f aca="false">IFERROR(($J826*P826)*$L826, "")</f>
        <v>0</v>
      </c>
      <c r="AD826" s="284" t="n">
        <f aca="false">IFERROR(($J826*Q826)*$L826, "")</f>
        <v>0</v>
      </c>
      <c r="AE826" s="284" t="n">
        <f aca="false">IFERROR(($J826*R826)*$L826, "")</f>
        <v>0</v>
      </c>
      <c r="AF826" s="284" t="n">
        <f aca="false">IFERROR(($J826*S826)*$L826, "")</f>
        <v>0</v>
      </c>
      <c r="AG826" s="284" t="n">
        <f aca="false">IFERROR(($J826*T826)*$L826, "")</f>
        <v>0</v>
      </c>
      <c r="AH826" s="284" t="n">
        <f aca="false">IFERROR(($J826*U826)*$L826, "")</f>
        <v>0</v>
      </c>
      <c r="AI826" s="284" t="n">
        <f aca="false">IFERROR(($J826*V826)*$L826, "")</f>
        <v>0</v>
      </c>
      <c r="AJ826" s="284" t="n">
        <f aca="false">IFERROR(($J826*W826)*$L826, "")</f>
        <v>0</v>
      </c>
      <c r="AK826" s="284" t="n">
        <f aca="false">IFERROR(($J826*X826)*$L826, "")</f>
        <v>0</v>
      </c>
      <c r="AL826" s="284" t="n">
        <f aca="false">IFERROR(($J826*Y826)*$L826, "")</f>
        <v>0</v>
      </c>
      <c r="AM826" s="285" t="n">
        <f aca="false">IFERROR(($J826*Z826)*$L826, "")</f>
        <v>0</v>
      </c>
      <c r="AN826" s="286" t="n">
        <f aca="false">IFERROR(SUMIF($AB$4:$AM$4, "RDEC", AB826:AM826), "")</f>
        <v>0</v>
      </c>
      <c r="AO826" s="286" t="n">
        <f aca="false">IFERROR(SUMIF($AB$4:$AM$4, "SME", AB826:AM826), "")</f>
        <v>0</v>
      </c>
      <c r="AP826" s="286" t="n">
        <f aca="false">IFERROR(SUMIF($AB$4:$AM$4, "De Minimis", AB826:AM826), "")</f>
        <v>0</v>
      </c>
      <c r="AQ826" s="283"/>
      <c r="AR826" s="284" t="n">
        <f aca="false">IFERROR(($J826*O826)*$M826, "")</f>
        <v>0</v>
      </c>
      <c r="AS826" s="284" t="n">
        <f aca="false">IFERROR(($J826*P826)*$M826, "")</f>
        <v>0</v>
      </c>
      <c r="AT826" s="284" t="n">
        <f aca="false">IFERROR(($J826*Q826)*$M826, "")</f>
        <v>0</v>
      </c>
      <c r="AU826" s="284" t="n">
        <f aca="false">IFERROR(($J826*R826)*$M826, "")</f>
        <v>0</v>
      </c>
      <c r="AV826" s="284" t="n">
        <f aca="false">IFERROR(($J826*S826)*$M826, "")</f>
        <v>0</v>
      </c>
      <c r="AW826" s="284" t="n">
        <f aca="false">IFERROR(($J826*T826)*$M826, "")</f>
        <v>0</v>
      </c>
      <c r="AX826" s="284" t="n">
        <f aca="false">IFERROR(($J826*U826)*$M826, "")</f>
        <v>0</v>
      </c>
      <c r="AY826" s="284" t="n">
        <f aca="false">IFERROR(($J826*V826)*$M826, "")</f>
        <v>0</v>
      </c>
      <c r="AZ826" s="284" t="n">
        <f aca="false">IFERROR(($J826*W826)*$M826, "")</f>
        <v>0</v>
      </c>
      <c r="BA826" s="284" t="n">
        <f aca="false">IFERROR(($J826*X826)*$M826, "")</f>
        <v>0</v>
      </c>
      <c r="BB826" s="284" t="n">
        <f aca="false">IFERROR(($J826*Y826)*$M826, "")</f>
        <v>0</v>
      </c>
      <c r="BC826" s="285" t="n">
        <f aca="false">IFERROR(($J826*Z826)*$M826, "")</f>
        <v>0</v>
      </c>
      <c r="BD826" s="286" t="n">
        <f aca="false">IFERROR(SUMIF($AB$4:$AM$4, "RDEC", AR826:BC826), "")</f>
        <v>0</v>
      </c>
      <c r="BE826" s="286" t="n">
        <f aca="false">IFERROR(SUMIF($AB$4:$AM$4, "SME", AR826:BC826), "")</f>
        <v>0</v>
      </c>
      <c r="BF826" s="286" t="n">
        <f aca="false">IFERROR(SUMIF($AB$4:$AM$4, "De Minimis", AR826:BC826), "")</f>
        <v>0</v>
      </c>
      <c r="BG826" s="287"/>
      <c r="BH826" s="288" t="str">
        <f aca="false">IF((SUM(O826:Z826)&gt;1),"ERROR","")</f>
        <v/>
      </c>
      <c r="BI826" s="287"/>
      <c r="BJ826" s="18" t="str">
        <f aca="false">IF(C812&gt;0, C812, "")</f>
        <v/>
      </c>
      <c r="BL826" s="200"/>
      <c r="BM826" s="200"/>
      <c r="BN826" s="200"/>
    </row>
    <row r="827" customFormat="false" ht="15" hidden="false" customHeight="true" outlineLevel="0" collapsed="false">
      <c r="B827" s="275"/>
      <c r="D827" s="276" t="n">
        <f aca="false">D811</f>
        <v>45383</v>
      </c>
      <c r="E827" s="277" t="n">
        <v>0</v>
      </c>
      <c r="F827" s="277" t="n">
        <v>0</v>
      </c>
      <c r="G827" s="277" t="n">
        <v>0</v>
      </c>
      <c r="H827" s="277" t="n">
        <v>0</v>
      </c>
      <c r="I827" s="277" t="n">
        <v>0</v>
      </c>
      <c r="J827" s="278" t="n">
        <f aca="false">E827+H827+I827</f>
        <v>0</v>
      </c>
      <c r="K827" s="204"/>
      <c r="L827" s="279" t="n">
        <v>1</v>
      </c>
      <c r="M827" s="280" t="n">
        <f aca="false">1-L827</f>
        <v>0</v>
      </c>
      <c r="N827" s="281"/>
      <c r="O827" s="282"/>
      <c r="P827" s="282"/>
      <c r="Q827" s="282"/>
      <c r="R827" s="282"/>
      <c r="S827" s="282"/>
      <c r="T827" s="282"/>
      <c r="U827" s="282"/>
      <c r="V827" s="282"/>
      <c r="W827" s="282"/>
      <c r="X827" s="282"/>
      <c r="Y827" s="282"/>
      <c r="Z827" s="282"/>
      <c r="AA827" s="283"/>
      <c r="AB827" s="284" t="n">
        <f aca="false">IFERROR(($J827*O827)*$L827, "")</f>
        <v>0</v>
      </c>
      <c r="AC827" s="284" t="n">
        <f aca="false">IFERROR(($J827*P827)*$L827, "")</f>
        <v>0</v>
      </c>
      <c r="AD827" s="284" t="n">
        <f aca="false">IFERROR(($J827*Q827)*$L827, "")</f>
        <v>0</v>
      </c>
      <c r="AE827" s="284" t="n">
        <f aca="false">IFERROR(($J827*R827)*$L827, "")</f>
        <v>0</v>
      </c>
      <c r="AF827" s="284" t="n">
        <f aca="false">IFERROR(($J827*S827)*$L827, "")</f>
        <v>0</v>
      </c>
      <c r="AG827" s="284" t="n">
        <f aca="false">IFERROR(($J827*T827)*$L827, "")</f>
        <v>0</v>
      </c>
      <c r="AH827" s="284" t="n">
        <f aca="false">IFERROR(($J827*U827)*$L827, "")</f>
        <v>0</v>
      </c>
      <c r="AI827" s="284" t="n">
        <f aca="false">IFERROR(($J827*V827)*$L827, "")</f>
        <v>0</v>
      </c>
      <c r="AJ827" s="284" t="n">
        <f aca="false">IFERROR(($J827*W827)*$L827, "")</f>
        <v>0</v>
      </c>
      <c r="AK827" s="284" t="n">
        <f aca="false">IFERROR(($J827*X827)*$L827, "")</f>
        <v>0</v>
      </c>
      <c r="AL827" s="284" t="n">
        <f aca="false">IFERROR(($J827*Y827)*$L827, "")</f>
        <v>0</v>
      </c>
      <c r="AM827" s="285" t="n">
        <f aca="false">IFERROR(($J827*Z827)*$L827, "")</f>
        <v>0</v>
      </c>
      <c r="AN827" s="286" t="n">
        <f aca="false">IFERROR(SUMIF($AB$4:$AM$4, "RDEC", AB827:AM827), "")</f>
        <v>0</v>
      </c>
      <c r="AO827" s="286" t="n">
        <f aca="false">IFERROR(SUMIF($AB$4:$AM$4, "SME", AB827:AM827), "")</f>
        <v>0</v>
      </c>
      <c r="AP827" s="286" t="n">
        <f aca="false">IFERROR(SUMIF($AB$4:$AM$4, "De Minimis", AB827:AM827), "")</f>
        <v>0</v>
      </c>
      <c r="AQ827" s="283"/>
      <c r="AR827" s="284" t="n">
        <f aca="false">IFERROR(($J827*O827)*$M827, "")</f>
        <v>0</v>
      </c>
      <c r="AS827" s="284" t="n">
        <f aca="false">IFERROR(($J827*P827)*$M827, "")</f>
        <v>0</v>
      </c>
      <c r="AT827" s="284" t="n">
        <f aca="false">IFERROR(($J827*Q827)*$M827, "")</f>
        <v>0</v>
      </c>
      <c r="AU827" s="284" t="n">
        <f aca="false">IFERROR(($J827*R827)*$M827, "")</f>
        <v>0</v>
      </c>
      <c r="AV827" s="284" t="n">
        <f aca="false">IFERROR(($J827*S827)*$M827, "")</f>
        <v>0</v>
      </c>
      <c r="AW827" s="284" t="n">
        <f aca="false">IFERROR(($J827*T827)*$M827, "")</f>
        <v>0</v>
      </c>
      <c r="AX827" s="284" t="n">
        <f aca="false">IFERROR(($J827*U827)*$M827, "")</f>
        <v>0</v>
      </c>
      <c r="AY827" s="284" t="n">
        <f aca="false">IFERROR(($J827*V827)*$M827, "")</f>
        <v>0</v>
      </c>
      <c r="AZ827" s="284" t="n">
        <f aca="false">IFERROR(($J827*W827)*$M827, "")</f>
        <v>0</v>
      </c>
      <c r="BA827" s="284" t="n">
        <f aca="false">IFERROR(($J827*X827)*$M827, "")</f>
        <v>0</v>
      </c>
      <c r="BB827" s="284" t="n">
        <f aca="false">IFERROR(($J827*Y827)*$M827, "")</f>
        <v>0</v>
      </c>
      <c r="BC827" s="285" t="n">
        <f aca="false">IFERROR(($J827*Z827)*$M827, "")</f>
        <v>0</v>
      </c>
      <c r="BD827" s="286" t="n">
        <f aca="false">IFERROR(SUMIF($AB$4:$AM$4, "RDEC", AR827:BC827), "")</f>
        <v>0</v>
      </c>
      <c r="BE827" s="286" t="n">
        <f aca="false">IFERROR(SUMIF($AB$4:$AM$4, "SME", AR827:BC827), "")</f>
        <v>0</v>
      </c>
      <c r="BF827" s="286" t="n">
        <f aca="false">IFERROR(SUMIF($AB$4:$AM$4, "De Minimis", AR827:BC827), "")</f>
        <v>0</v>
      </c>
      <c r="BG827" s="287"/>
      <c r="BH827" s="288" t="str">
        <f aca="false">IF((SUM(O827:Z827)&gt;1),"ERROR","")</f>
        <v/>
      </c>
      <c r="BI827" s="287"/>
      <c r="BJ827" s="18" t="str">
        <f aca="false">IF(C813&gt;0, C813, "")</f>
        <v/>
      </c>
      <c r="BL827" s="200"/>
      <c r="BM827" s="200"/>
      <c r="BN827" s="200"/>
    </row>
    <row r="828" customFormat="false" ht="15" hidden="false" customHeight="true" outlineLevel="0" collapsed="false">
      <c r="B828" s="275"/>
      <c r="D828" s="276" t="n">
        <f aca="false">D812</f>
        <v>45413</v>
      </c>
      <c r="E828" s="277" t="n">
        <v>0</v>
      </c>
      <c r="F828" s="277" t="n">
        <v>0</v>
      </c>
      <c r="G828" s="277" t="n">
        <v>0</v>
      </c>
      <c r="H828" s="277" t="n">
        <v>0</v>
      </c>
      <c r="I828" s="277" t="n">
        <v>0</v>
      </c>
      <c r="J828" s="278" t="n">
        <f aca="false">E828+H828+I828</f>
        <v>0</v>
      </c>
      <c r="K828" s="204"/>
      <c r="L828" s="279" t="n">
        <v>1</v>
      </c>
      <c r="M828" s="280" t="n">
        <f aca="false">1-L828</f>
        <v>0</v>
      </c>
      <c r="N828" s="281"/>
      <c r="O828" s="282"/>
      <c r="P828" s="282"/>
      <c r="Q828" s="282"/>
      <c r="R828" s="282"/>
      <c r="S828" s="282"/>
      <c r="T828" s="282"/>
      <c r="U828" s="282"/>
      <c r="V828" s="282"/>
      <c r="W828" s="282"/>
      <c r="X828" s="282"/>
      <c r="Y828" s="282"/>
      <c r="Z828" s="282"/>
      <c r="AA828" s="283"/>
      <c r="AB828" s="284" t="n">
        <f aca="false">IFERROR(($J828*O828)*$L828, "")</f>
        <v>0</v>
      </c>
      <c r="AC828" s="284" t="n">
        <f aca="false">IFERROR(($J828*P828)*$L828, "")</f>
        <v>0</v>
      </c>
      <c r="AD828" s="284" t="n">
        <f aca="false">IFERROR(($J828*Q828)*$L828, "")</f>
        <v>0</v>
      </c>
      <c r="AE828" s="284" t="n">
        <f aca="false">IFERROR(($J828*R828)*$L828, "")</f>
        <v>0</v>
      </c>
      <c r="AF828" s="284" t="n">
        <f aca="false">IFERROR(($J828*S828)*$L828, "")</f>
        <v>0</v>
      </c>
      <c r="AG828" s="284" t="n">
        <f aca="false">IFERROR(($J828*T828)*$L828, "")</f>
        <v>0</v>
      </c>
      <c r="AH828" s="284" t="n">
        <f aca="false">IFERROR(($J828*U828)*$L828, "")</f>
        <v>0</v>
      </c>
      <c r="AI828" s="284" t="n">
        <f aca="false">IFERROR(($J828*V828)*$L828, "")</f>
        <v>0</v>
      </c>
      <c r="AJ828" s="284" t="n">
        <f aca="false">IFERROR(($J828*W828)*$L828, "")</f>
        <v>0</v>
      </c>
      <c r="AK828" s="284" t="n">
        <f aca="false">IFERROR(($J828*X828)*$L828, "")</f>
        <v>0</v>
      </c>
      <c r="AL828" s="284" t="n">
        <f aca="false">IFERROR(($J828*Y828)*$L828, "")</f>
        <v>0</v>
      </c>
      <c r="AM828" s="285" t="n">
        <f aca="false">IFERROR(($J828*Z828)*$L828, "")</f>
        <v>0</v>
      </c>
      <c r="AN828" s="286" t="n">
        <f aca="false">IFERROR(SUMIF($AB$4:$AM$4, "RDEC", AB828:AM828), "")</f>
        <v>0</v>
      </c>
      <c r="AO828" s="286" t="n">
        <f aca="false">IFERROR(SUMIF($AB$4:$AM$4, "SME", AB828:AM828), "")</f>
        <v>0</v>
      </c>
      <c r="AP828" s="286" t="n">
        <f aca="false">IFERROR(SUMIF($AB$4:$AM$4, "De Minimis", AB828:AM828), "")</f>
        <v>0</v>
      </c>
      <c r="AQ828" s="283"/>
      <c r="AR828" s="284" t="n">
        <f aca="false">IFERROR(($J828*O828)*$M828, "")</f>
        <v>0</v>
      </c>
      <c r="AS828" s="284" t="n">
        <f aca="false">IFERROR(($J828*P828)*$M828, "")</f>
        <v>0</v>
      </c>
      <c r="AT828" s="284" t="n">
        <f aca="false">IFERROR(($J828*Q828)*$M828, "")</f>
        <v>0</v>
      </c>
      <c r="AU828" s="284" t="n">
        <f aca="false">IFERROR(($J828*R828)*$M828, "")</f>
        <v>0</v>
      </c>
      <c r="AV828" s="284" t="n">
        <f aca="false">IFERROR(($J828*S828)*$M828, "")</f>
        <v>0</v>
      </c>
      <c r="AW828" s="284" t="n">
        <f aca="false">IFERROR(($J828*T828)*$M828, "")</f>
        <v>0</v>
      </c>
      <c r="AX828" s="284" t="n">
        <f aca="false">IFERROR(($J828*U828)*$M828, "")</f>
        <v>0</v>
      </c>
      <c r="AY828" s="284" t="n">
        <f aca="false">IFERROR(($J828*V828)*$M828, "")</f>
        <v>0</v>
      </c>
      <c r="AZ828" s="284" t="n">
        <f aca="false">IFERROR(($J828*W828)*$M828, "")</f>
        <v>0</v>
      </c>
      <c r="BA828" s="284" t="n">
        <f aca="false">IFERROR(($J828*X828)*$M828, "")</f>
        <v>0</v>
      </c>
      <c r="BB828" s="284" t="n">
        <f aca="false">IFERROR(($J828*Y828)*$M828, "")</f>
        <v>0</v>
      </c>
      <c r="BC828" s="285" t="n">
        <f aca="false">IFERROR(($J828*Z828)*$M828, "")</f>
        <v>0</v>
      </c>
      <c r="BD828" s="286" t="n">
        <f aca="false">IFERROR(SUMIF($AB$4:$AM$4, "RDEC", AR828:BC828), "")</f>
        <v>0</v>
      </c>
      <c r="BE828" s="286" t="n">
        <f aca="false">IFERROR(SUMIF($AB$4:$AM$4, "SME", AR828:BC828), "")</f>
        <v>0</v>
      </c>
      <c r="BF828" s="286" t="n">
        <f aca="false">IFERROR(SUMIF($AB$4:$AM$4, "De Minimis", AR828:BC828), "")</f>
        <v>0</v>
      </c>
      <c r="BG828" s="287"/>
      <c r="BH828" s="288" t="str">
        <f aca="false">IF((SUM(O828:Z828)&gt;1),"ERROR","")</f>
        <v/>
      </c>
      <c r="BI828" s="287"/>
      <c r="BJ828" s="18" t="str">
        <f aca="false">IF(C814&gt;0, C814, "")</f>
        <v/>
      </c>
      <c r="BL828" s="200"/>
      <c r="BM828" s="200"/>
      <c r="BN828" s="200"/>
    </row>
    <row r="829" customFormat="false" ht="15" hidden="false" customHeight="true" outlineLevel="0" collapsed="false">
      <c r="B829" s="275"/>
      <c r="D829" s="276" t="n">
        <f aca="false">D813</f>
        <v>45444</v>
      </c>
      <c r="E829" s="277" t="n">
        <v>0</v>
      </c>
      <c r="F829" s="277" t="n">
        <v>0</v>
      </c>
      <c r="G829" s="277" t="n">
        <v>0</v>
      </c>
      <c r="H829" s="277" t="n">
        <v>0</v>
      </c>
      <c r="I829" s="277" t="n">
        <v>0</v>
      </c>
      <c r="J829" s="278" t="n">
        <f aca="false">E829+H829+I829</f>
        <v>0</v>
      </c>
      <c r="K829" s="204"/>
      <c r="L829" s="279" t="n">
        <v>1</v>
      </c>
      <c r="M829" s="280" t="n">
        <f aca="false">1-L829</f>
        <v>0</v>
      </c>
      <c r="N829" s="281"/>
      <c r="O829" s="282"/>
      <c r="P829" s="282"/>
      <c r="Q829" s="282"/>
      <c r="R829" s="282"/>
      <c r="S829" s="282"/>
      <c r="T829" s="282"/>
      <c r="U829" s="282"/>
      <c r="V829" s="282"/>
      <c r="W829" s="282"/>
      <c r="X829" s="282"/>
      <c r="Y829" s="282"/>
      <c r="Z829" s="282"/>
      <c r="AA829" s="283"/>
      <c r="AB829" s="284" t="n">
        <f aca="false">IFERROR(($J829*O829)*$L829, "")</f>
        <v>0</v>
      </c>
      <c r="AC829" s="284" t="n">
        <f aca="false">IFERROR(($J829*P829)*$L829, "")</f>
        <v>0</v>
      </c>
      <c r="AD829" s="284" t="n">
        <f aca="false">IFERROR(($J829*Q829)*$L829, "")</f>
        <v>0</v>
      </c>
      <c r="AE829" s="284" t="n">
        <f aca="false">IFERROR(($J829*R829)*$L829, "")</f>
        <v>0</v>
      </c>
      <c r="AF829" s="284" t="n">
        <f aca="false">IFERROR(($J829*S829)*$L829, "")</f>
        <v>0</v>
      </c>
      <c r="AG829" s="284" t="n">
        <f aca="false">IFERROR(($J829*T829)*$L829, "")</f>
        <v>0</v>
      </c>
      <c r="AH829" s="284" t="n">
        <f aca="false">IFERROR(($J829*U829)*$L829, "")</f>
        <v>0</v>
      </c>
      <c r="AI829" s="284" t="n">
        <f aca="false">IFERROR(($J829*V829)*$L829, "")</f>
        <v>0</v>
      </c>
      <c r="AJ829" s="284" t="n">
        <f aca="false">IFERROR(($J829*W829)*$L829, "")</f>
        <v>0</v>
      </c>
      <c r="AK829" s="284" t="n">
        <f aca="false">IFERROR(($J829*X829)*$L829, "")</f>
        <v>0</v>
      </c>
      <c r="AL829" s="284" t="n">
        <f aca="false">IFERROR(($J829*Y829)*$L829, "")</f>
        <v>0</v>
      </c>
      <c r="AM829" s="285" t="n">
        <f aca="false">IFERROR(($J829*Z829)*$L829, "")</f>
        <v>0</v>
      </c>
      <c r="AN829" s="286" t="n">
        <f aca="false">IFERROR(SUMIF($AB$4:$AM$4, "RDEC", AB829:AM829), "")</f>
        <v>0</v>
      </c>
      <c r="AO829" s="286" t="n">
        <f aca="false">IFERROR(SUMIF($AB$4:$AM$4, "SME", AB829:AM829), "")</f>
        <v>0</v>
      </c>
      <c r="AP829" s="286" t="n">
        <f aca="false">IFERROR(SUMIF($AB$4:$AM$4, "De Minimis", AB829:AM829), "")</f>
        <v>0</v>
      </c>
      <c r="AQ829" s="283"/>
      <c r="AR829" s="284" t="n">
        <f aca="false">IFERROR(($J829*O829)*$M829, "")</f>
        <v>0</v>
      </c>
      <c r="AS829" s="284" t="n">
        <f aca="false">IFERROR(($J829*P829)*$M829, "")</f>
        <v>0</v>
      </c>
      <c r="AT829" s="284" t="n">
        <f aca="false">IFERROR(($J829*Q829)*$M829, "")</f>
        <v>0</v>
      </c>
      <c r="AU829" s="284" t="n">
        <f aca="false">IFERROR(($J829*R829)*$M829, "")</f>
        <v>0</v>
      </c>
      <c r="AV829" s="284" t="n">
        <f aca="false">IFERROR(($J829*S829)*$M829, "")</f>
        <v>0</v>
      </c>
      <c r="AW829" s="284" t="n">
        <f aca="false">IFERROR(($J829*T829)*$M829, "")</f>
        <v>0</v>
      </c>
      <c r="AX829" s="284" t="n">
        <f aca="false">IFERROR(($J829*U829)*$M829, "")</f>
        <v>0</v>
      </c>
      <c r="AY829" s="284" t="n">
        <f aca="false">IFERROR(($J829*V829)*$M829, "")</f>
        <v>0</v>
      </c>
      <c r="AZ829" s="284" t="n">
        <f aca="false">IFERROR(($J829*W829)*$M829, "")</f>
        <v>0</v>
      </c>
      <c r="BA829" s="284" t="n">
        <f aca="false">IFERROR(($J829*X829)*$M829, "")</f>
        <v>0</v>
      </c>
      <c r="BB829" s="284" t="n">
        <f aca="false">IFERROR(($J829*Y829)*$M829, "")</f>
        <v>0</v>
      </c>
      <c r="BC829" s="285" t="n">
        <f aca="false">IFERROR(($J829*Z829)*$M829, "")</f>
        <v>0</v>
      </c>
      <c r="BD829" s="286" t="n">
        <f aca="false">IFERROR(SUMIF($AB$4:$AM$4, "RDEC", AR829:BC829), "")</f>
        <v>0</v>
      </c>
      <c r="BE829" s="286" t="n">
        <f aca="false">IFERROR(SUMIF($AB$4:$AM$4, "SME", AR829:BC829), "")</f>
        <v>0</v>
      </c>
      <c r="BF829" s="286" t="n">
        <f aca="false">IFERROR(SUMIF($AB$4:$AM$4, "De Minimis", AR829:BC829), "")</f>
        <v>0</v>
      </c>
      <c r="BG829" s="287"/>
      <c r="BH829" s="288" t="str">
        <f aca="false">IF((SUM(O829:Z829)&gt;1),"ERROR","")</f>
        <v/>
      </c>
      <c r="BI829" s="287"/>
      <c r="BJ829" s="18" t="str">
        <f aca="false">IF(C815&gt;0, C815, "")</f>
        <v/>
      </c>
      <c r="BL829" s="200"/>
      <c r="BM829" s="200"/>
      <c r="BN829" s="200"/>
    </row>
    <row r="830" customFormat="false" ht="15" hidden="false" customHeight="true" outlineLevel="0" collapsed="false">
      <c r="B830" s="275"/>
      <c r="D830" s="276" t="n">
        <f aca="false">D814</f>
        <v>45474</v>
      </c>
      <c r="E830" s="277" t="n">
        <v>0</v>
      </c>
      <c r="F830" s="277" t="n">
        <v>0</v>
      </c>
      <c r="G830" s="277" t="n">
        <v>0</v>
      </c>
      <c r="H830" s="277" t="n">
        <v>0</v>
      </c>
      <c r="I830" s="277" t="n">
        <v>0</v>
      </c>
      <c r="J830" s="278" t="n">
        <f aca="false">E830+H830+I830</f>
        <v>0</v>
      </c>
      <c r="K830" s="204"/>
      <c r="L830" s="279" t="n">
        <v>1</v>
      </c>
      <c r="M830" s="280" t="n">
        <f aca="false">1-L830</f>
        <v>0</v>
      </c>
      <c r="N830" s="281"/>
      <c r="O830" s="282"/>
      <c r="P830" s="282"/>
      <c r="Q830" s="282"/>
      <c r="R830" s="282"/>
      <c r="S830" s="282"/>
      <c r="T830" s="282"/>
      <c r="U830" s="282"/>
      <c r="V830" s="282"/>
      <c r="W830" s="282"/>
      <c r="X830" s="282"/>
      <c r="Y830" s="282"/>
      <c r="Z830" s="282"/>
      <c r="AA830" s="283"/>
      <c r="AB830" s="284" t="n">
        <f aca="false">IFERROR(($J830*O830)*$L830, "")</f>
        <v>0</v>
      </c>
      <c r="AC830" s="284" t="n">
        <f aca="false">IFERROR(($J830*P830)*$L830, "")</f>
        <v>0</v>
      </c>
      <c r="AD830" s="284" t="n">
        <f aca="false">IFERROR(($J830*Q830)*$L830, "")</f>
        <v>0</v>
      </c>
      <c r="AE830" s="284" t="n">
        <f aca="false">IFERROR(($J830*R830)*$L830, "")</f>
        <v>0</v>
      </c>
      <c r="AF830" s="284" t="n">
        <f aca="false">IFERROR(($J830*S830)*$L830, "")</f>
        <v>0</v>
      </c>
      <c r="AG830" s="284" t="n">
        <f aca="false">IFERROR(($J830*T830)*$L830, "")</f>
        <v>0</v>
      </c>
      <c r="AH830" s="284" t="n">
        <f aca="false">IFERROR(($J830*U830)*$L830, "")</f>
        <v>0</v>
      </c>
      <c r="AI830" s="284" t="n">
        <f aca="false">IFERROR(($J830*V830)*$L830, "")</f>
        <v>0</v>
      </c>
      <c r="AJ830" s="284" t="n">
        <f aca="false">IFERROR(($J830*W830)*$L830, "")</f>
        <v>0</v>
      </c>
      <c r="AK830" s="284" t="n">
        <f aca="false">IFERROR(($J830*X830)*$L830, "")</f>
        <v>0</v>
      </c>
      <c r="AL830" s="284" t="n">
        <f aca="false">IFERROR(($J830*Y830)*$L830, "")</f>
        <v>0</v>
      </c>
      <c r="AM830" s="285" t="n">
        <f aca="false">IFERROR(($J830*Z830)*$L830, "")</f>
        <v>0</v>
      </c>
      <c r="AN830" s="286" t="n">
        <f aca="false">IFERROR(SUMIF($AB$4:$AM$4, "RDEC", AB830:AM830), "")</f>
        <v>0</v>
      </c>
      <c r="AO830" s="286" t="n">
        <f aca="false">IFERROR(SUMIF($AB$4:$AM$4, "SME", AB830:AM830), "")</f>
        <v>0</v>
      </c>
      <c r="AP830" s="286" t="n">
        <f aca="false">IFERROR(SUMIF($AB$4:$AM$4, "De Minimis", AB830:AM830), "")</f>
        <v>0</v>
      </c>
      <c r="AQ830" s="283"/>
      <c r="AR830" s="284" t="n">
        <f aca="false">IFERROR(($J830*O830)*$M830, "")</f>
        <v>0</v>
      </c>
      <c r="AS830" s="284" t="n">
        <f aca="false">IFERROR(($J830*P830)*$M830, "")</f>
        <v>0</v>
      </c>
      <c r="AT830" s="284" t="n">
        <f aca="false">IFERROR(($J830*Q830)*$M830, "")</f>
        <v>0</v>
      </c>
      <c r="AU830" s="284" t="n">
        <f aca="false">IFERROR(($J830*R830)*$M830, "")</f>
        <v>0</v>
      </c>
      <c r="AV830" s="284" t="n">
        <f aca="false">IFERROR(($J830*S830)*$M830, "")</f>
        <v>0</v>
      </c>
      <c r="AW830" s="284" t="n">
        <f aca="false">IFERROR(($J830*T830)*$M830, "")</f>
        <v>0</v>
      </c>
      <c r="AX830" s="284" t="n">
        <f aca="false">IFERROR(($J830*U830)*$M830, "")</f>
        <v>0</v>
      </c>
      <c r="AY830" s="284" t="n">
        <f aca="false">IFERROR(($J830*V830)*$M830, "")</f>
        <v>0</v>
      </c>
      <c r="AZ830" s="284" t="n">
        <f aca="false">IFERROR(($J830*W830)*$M830, "")</f>
        <v>0</v>
      </c>
      <c r="BA830" s="284" t="n">
        <f aca="false">IFERROR(($J830*X830)*$M830, "")</f>
        <v>0</v>
      </c>
      <c r="BB830" s="284" t="n">
        <f aca="false">IFERROR(($J830*Y830)*$M830, "")</f>
        <v>0</v>
      </c>
      <c r="BC830" s="285" t="n">
        <f aca="false">IFERROR(($J830*Z830)*$M830, "")</f>
        <v>0</v>
      </c>
      <c r="BD830" s="286" t="n">
        <f aca="false">IFERROR(SUMIF($AB$4:$AM$4, "RDEC", AR830:BC830), "")</f>
        <v>0</v>
      </c>
      <c r="BE830" s="286" t="n">
        <f aca="false">IFERROR(SUMIF($AB$4:$AM$4, "SME", AR830:BC830), "")</f>
        <v>0</v>
      </c>
      <c r="BF830" s="286" t="n">
        <f aca="false">IFERROR(SUMIF($AB$4:$AM$4, "De Minimis", AR830:BC830), "")</f>
        <v>0</v>
      </c>
      <c r="BG830" s="287"/>
      <c r="BH830" s="288" t="str">
        <f aca="false">IF((SUM(O830:Z830)&gt;1),"ERROR","")</f>
        <v/>
      </c>
      <c r="BI830" s="287"/>
      <c r="BJ830" s="18" t="str">
        <f aca="false">IF(C816&gt;0, C816, "")</f>
        <v/>
      </c>
      <c r="BL830" s="200"/>
      <c r="BM830" s="200"/>
      <c r="BN830" s="200"/>
    </row>
    <row r="831" customFormat="false" ht="15" hidden="false" customHeight="true" outlineLevel="0" collapsed="false">
      <c r="B831" s="275"/>
      <c r="D831" s="276" t="n">
        <f aca="false">D815</f>
        <v>45505</v>
      </c>
      <c r="E831" s="277" t="n">
        <v>0</v>
      </c>
      <c r="F831" s="277" t="n">
        <v>0</v>
      </c>
      <c r="G831" s="277" t="n">
        <v>0</v>
      </c>
      <c r="H831" s="277" t="n">
        <v>0</v>
      </c>
      <c r="I831" s="277" t="n">
        <v>0</v>
      </c>
      <c r="J831" s="278" t="n">
        <f aca="false">E831+H831+I831</f>
        <v>0</v>
      </c>
      <c r="K831" s="204"/>
      <c r="L831" s="279" t="n">
        <v>1</v>
      </c>
      <c r="M831" s="280" t="n">
        <f aca="false">1-L831</f>
        <v>0</v>
      </c>
      <c r="N831" s="281"/>
      <c r="O831" s="282"/>
      <c r="P831" s="282"/>
      <c r="Q831" s="282"/>
      <c r="R831" s="282"/>
      <c r="S831" s="282"/>
      <c r="T831" s="282"/>
      <c r="U831" s="282"/>
      <c r="V831" s="282"/>
      <c r="W831" s="282"/>
      <c r="X831" s="282"/>
      <c r="Y831" s="282"/>
      <c r="Z831" s="282"/>
      <c r="AA831" s="283"/>
      <c r="AB831" s="284" t="n">
        <f aca="false">IFERROR(($J831*O831)*$L831, "")</f>
        <v>0</v>
      </c>
      <c r="AC831" s="284" t="n">
        <f aca="false">IFERROR(($J831*P831)*$L831, "")</f>
        <v>0</v>
      </c>
      <c r="AD831" s="284" t="n">
        <f aca="false">IFERROR(($J831*Q831)*$L831, "")</f>
        <v>0</v>
      </c>
      <c r="AE831" s="284" t="n">
        <f aca="false">IFERROR(($J831*R831)*$L831, "")</f>
        <v>0</v>
      </c>
      <c r="AF831" s="284" t="n">
        <f aca="false">IFERROR(($J831*S831)*$L831, "")</f>
        <v>0</v>
      </c>
      <c r="AG831" s="284" t="n">
        <f aca="false">IFERROR(($J831*T831)*$L831, "")</f>
        <v>0</v>
      </c>
      <c r="AH831" s="284" t="n">
        <f aca="false">IFERROR(($J831*U831)*$L831, "")</f>
        <v>0</v>
      </c>
      <c r="AI831" s="284" t="n">
        <f aca="false">IFERROR(($J831*V831)*$L831, "")</f>
        <v>0</v>
      </c>
      <c r="AJ831" s="284" t="n">
        <f aca="false">IFERROR(($J831*W831)*$L831, "")</f>
        <v>0</v>
      </c>
      <c r="AK831" s="284" t="n">
        <f aca="false">IFERROR(($J831*X831)*$L831, "")</f>
        <v>0</v>
      </c>
      <c r="AL831" s="284" t="n">
        <f aca="false">IFERROR(($J831*Y831)*$L831, "")</f>
        <v>0</v>
      </c>
      <c r="AM831" s="285" t="n">
        <f aca="false">IFERROR(($J831*Z831)*$L831, "")</f>
        <v>0</v>
      </c>
      <c r="AN831" s="286" t="n">
        <f aca="false">IFERROR(SUMIF($AB$4:$AM$4, "RDEC", AB831:AM831), "")</f>
        <v>0</v>
      </c>
      <c r="AO831" s="286" t="n">
        <f aca="false">IFERROR(SUMIF($AB$4:$AM$4, "SME", AB831:AM831), "")</f>
        <v>0</v>
      </c>
      <c r="AP831" s="286" t="n">
        <f aca="false">IFERROR(SUMIF($AB$4:$AM$4, "De Minimis", AB831:AM831), "")</f>
        <v>0</v>
      </c>
      <c r="AQ831" s="283"/>
      <c r="AR831" s="284" t="n">
        <f aca="false">IFERROR(($J831*O831)*$M831, "")</f>
        <v>0</v>
      </c>
      <c r="AS831" s="284" t="n">
        <f aca="false">IFERROR(($J831*P831)*$M831, "")</f>
        <v>0</v>
      </c>
      <c r="AT831" s="284" t="n">
        <f aca="false">IFERROR(($J831*Q831)*$M831, "")</f>
        <v>0</v>
      </c>
      <c r="AU831" s="284" t="n">
        <f aca="false">IFERROR(($J831*R831)*$M831, "")</f>
        <v>0</v>
      </c>
      <c r="AV831" s="284" t="n">
        <f aca="false">IFERROR(($J831*S831)*$M831, "")</f>
        <v>0</v>
      </c>
      <c r="AW831" s="284" t="n">
        <f aca="false">IFERROR(($J831*T831)*$M831, "")</f>
        <v>0</v>
      </c>
      <c r="AX831" s="284" t="n">
        <f aca="false">IFERROR(($J831*U831)*$M831, "")</f>
        <v>0</v>
      </c>
      <c r="AY831" s="284" t="n">
        <f aca="false">IFERROR(($J831*V831)*$M831, "")</f>
        <v>0</v>
      </c>
      <c r="AZ831" s="284" t="n">
        <f aca="false">IFERROR(($J831*W831)*$M831, "")</f>
        <v>0</v>
      </c>
      <c r="BA831" s="284" t="n">
        <f aca="false">IFERROR(($J831*X831)*$M831, "")</f>
        <v>0</v>
      </c>
      <c r="BB831" s="284" t="n">
        <f aca="false">IFERROR(($J831*Y831)*$M831, "")</f>
        <v>0</v>
      </c>
      <c r="BC831" s="285" t="n">
        <f aca="false">IFERROR(($J831*Z831)*$M831, "")</f>
        <v>0</v>
      </c>
      <c r="BD831" s="286" t="n">
        <f aca="false">IFERROR(SUMIF($AB$4:$AM$4, "RDEC", AR831:BC831), "")</f>
        <v>0</v>
      </c>
      <c r="BE831" s="286" t="n">
        <f aca="false">IFERROR(SUMIF($AB$4:$AM$4, "SME", AR831:BC831), "")</f>
        <v>0</v>
      </c>
      <c r="BF831" s="286" t="n">
        <f aca="false">IFERROR(SUMIF($AB$4:$AM$4, "De Minimis", AR831:BC831), "")</f>
        <v>0</v>
      </c>
      <c r="BG831" s="287"/>
      <c r="BH831" s="288" t="str">
        <f aca="false">IF((SUM(O831:Z831)&gt;1),"ERROR","")</f>
        <v/>
      </c>
      <c r="BI831" s="287"/>
      <c r="BJ831" s="18" t="str">
        <f aca="false">IF(C817&gt;0, C817, "")</f>
        <v/>
      </c>
      <c r="BL831" s="200"/>
      <c r="BM831" s="200"/>
      <c r="BN831" s="200"/>
    </row>
    <row r="832" customFormat="false" ht="15" hidden="false" customHeight="true" outlineLevel="0" collapsed="false">
      <c r="B832" s="275"/>
      <c r="D832" s="276" t="n">
        <f aca="false">D816</f>
        <v>45536</v>
      </c>
      <c r="E832" s="277" t="n">
        <v>0</v>
      </c>
      <c r="F832" s="277" t="n">
        <v>0</v>
      </c>
      <c r="G832" s="277" t="n">
        <v>0</v>
      </c>
      <c r="H832" s="277" t="n">
        <v>0</v>
      </c>
      <c r="I832" s="277" t="n">
        <v>0</v>
      </c>
      <c r="J832" s="278" t="n">
        <f aca="false">E832+H832+I832</f>
        <v>0</v>
      </c>
      <c r="K832" s="204"/>
      <c r="L832" s="279" t="n">
        <v>1</v>
      </c>
      <c r="M832" s="280" t="n">
        <f aca="false">1-L832</f>
        <v>0</v>
      </c>
      <c r="N832" s="281"/>
      <c r="O832" s="282"/>
      <c r="P832" s="282"/>
      <c r="Q832" s="282"/>
      <c r="R832" s="282"/>
      <c r="S832" s="282"/>
      <c r="T832" s="282"/>
      <c r="U832" s="282"/>
      <c r="V832" s="282"/>
      <c r="W832" s="282"/>
      <c r="X832" s="282"/>
      <c r="Y832" s="282"/>
      <c r="Z832" s="282"/>
      <c r="AA832" s="283"/>
      <c r="AB832" s="284" t="n">
        <f aca="false">IFERROR(($J832*O832)*$L832, "")</f>
        <v>0</v>
      </c>
      <c r="AC832" s="284" t="n">
        <f aca="false">IFERROR(($J832*P832)*$L832, "")</f>
        <v>0</v>
      </c>
      <c r="AD832" s="284" t="n">
        <f aca="false">IFERROR(($J832*Q832)*$L832, "")</f>
        <v>0</v>
      </c>
      <c r="AE832" s="284" t="n">
        <f aca="false">IFERROR(($J832*R832)*$L832, "")</f>
        <v>0</v>
      </c>
      <c r="AF832" s="284" t="n">
        <f aca="false">IFERROR(($J832*S832)*$L832, "")</f>
        <v>0</v>
      </c>
      <c r="AG832" s="284" t="n">
        <f aca="false">IFERROR(($J832*T832)*$L832, "")</f>
        <v>0</v>
      </c>
      <c r="AH832" s="284" t="n">
        <f aca="false">IFERROR(($J832*U832)*$L832, "")</f>
        <v>0</v>
      </c>
      <c r="AI832" s="284" t="n">
        <f aca="false">IFERROR(($J832*V832)*$L832, "")</f>
        <v>0</v>
      </c>
      <c r="AJ832" s="284" t="n">
        <f aca="false">IFERROR(($J832*W832)*$L832, "")</f>
        <v>0</v>
      </c>
      <c r="AK832" s="284" t="n">
        <f aca="false">IFERROR(($J832*X832)*$L832, "")</f>
        <v>0</v>
      </c>
      <c r="AL832" s="284" t="n">
        <f aca="false">IFERROR(($J832*Y832)*$L832, "")</f>
        <v>0</v>
      </c>
      <c r="AM832" s="285" t="n">
        <f aca="false">IFERROR(($J832*Z832)*$L832, "")</f>
        <v>0</v>
      </c>
      <c r="AN832" s="286" t="n">
        <f aca="false">IFERROR(SUMIF($AB$4:$AM$4, "RDEC", AB832:AM832), "")</f>
        <v>0</v>
      </c>
      <c r="AO832" s="286" t="n">
        <f aca="false">IFERROR(SUMIF($AB$4:$AM$4, "SME", AB832:AM832), "")</f>
        <v>0</v>
      </c>
      <c r="AP832" s="286" t="n">
        <f aca="false">IFERROR(SUMIF($AB$4:$AM$4, "De Minimis", AB832:AM832), "")</f>
        <v>0</v>
      </c>
      <c r="AQ832" s="283"/>
      <c r="AR832" s="284" t="n">
        <f aca="false">IFERROR(($J832*O832)*$M832, "")</f>
        <v>0</v>
      </c>
      <c r="AS832" s="284" t="n">
        <f aca="false">IFERROR(($J832*P832)*$M832, "")</f>
        <v>0</v>
      </c>
      <c r="AT832" s="284" t="n">
        <f aca="false">IFERROR(($J832*Q832)*$M832, "")</f>
        <v>0</v>
      </c>
      <c r="AU832" s="284" t="n">
        <f aca="false">IFERROR(($J832*R832)*$M832, "")</f>
        <v>0</v>
      </c>
      <c r="AV832" s="284" t="n">
        <f aca="false">IFERROR(($J832*S832)*$M832, "")</f>
        <v>0</v>
      </c>
      <c r="AW832" s="284" t="n">
        <f aca="false">IFERROR(($J832*T832)*$M832, "")</f>
        <v>0</v>
      </c>
      <c r="AX832" s="284" t="n">
        <f aca="false">IFERROR(($J832*U832)*$M832, "")</f>
        <v>0</v>
      </c>
      <c r="AY832" s="284" t="n">
        <f aca="false">IFERROR(($J832*V832)*$M832, "")</f>
        <v>0</v>
      </c>
      <c r="AZ832" s="284" t="n">
        <f aca="false">IFERROR(($J832*W832)*$M832, "")</f>
        <v>0</v>
      </c>
      <c r="BA832" s="284" t="n">
        <f aca="false">IFERROR(($J832*X832)*$M832, "")</f>
        <v>0</v>
      </c>
      <c r="BB832" s="284" t="n">
        <f aca="false">IFERROR(($J832*Y832)*$M832, "")</f>
        <v>0</v>
      </c>
      <c r="BC832" s="285" t="n">
        <f aca="false">IFERROR(($J832*Z832)*$M832, "")</f>
        <v>0</v>
      </c>
      <c r="BD832" s="286" t="n">
        <f aca="false">IFERROR(SUMIF($AB$4:$AM$4, "RDEC", AR832:BC832), "")</f>
        <v>0</v>
      </c>
      <c r="BE832" s="286" t="n">
        <f aca="false">IFERROR(SUMIF($AB$4:$AM$4, "SME", AR832:BC832), "")</f>
        <v>0</v>
      </c>
      <c r="BF832" s="286" t="n">
        <f aca="false">IFERROR(SUMIF($AB$4:$AM$4, "De Minimis", AR832:BC832), "")</f>
        <v>0</v>
      </c>
      <c r="BG832" s="287"/>
      <c r="BH832" s="288" t="str">
        <f aca="false">IF((SUM(O832:Z832)&gt;1),"ERROR","")</f>
        <v/>
      </c>
      <c r="BI832" s="287"/>
      <c r="BJ832" s="18" t="str">
        <f aca="false">IF(C818&gt;0, C818, "")</f>
        <v/>
      </c>
      <c r="BL832" s="200"/>
      <c r="BM832" s="200"/>
      <c r="BN832" s="200"/>
    </row>
    <row r="833" customFormat="false" ht="15" hidden="false" customHeight="true" outlineLevel="0" collapsed="false">
      <c r="B833" s="275"/>
      <c r="D833" s="276" t="n">
        <f aca="false">D817</f>
        <v>45566</v>
      </c>
      <c r="E833" s="277" t="n">
        <v>0</v>
      </c>
      <c r="F833" s="277" t="n">
        <v>0</v>
      </c>
      <c r="G833" s="277" t="n">
        <v>0</v>
      </c>
      <c r="H833" s="277" t="n">
        <v>0</v>
      </c>
      <c r="I833" s="277" t="n">
        <v>0</v>
      </c>
      <c r="J833" s="278" t="n">
        <f aca="false">E833+H833+I833</f>
        <v>0</v>
      </c>
      <c r="K833" s="204"/>
      <c r="L833" s="279" t="n">
        <v>1</v>
      </c>
      <c r="M833" s="280" t="n">
        <f aca="false">1-L833</f>
        <v>0</v>
      </c>
      <c r="N833" s="281"/>
      <c r="O833" s="282"/>
      <c r="P833" s="282"/>
      <c r="Q833" s="282"/>
      <c r="R833" s="282"/>
      <c r="S833" s="282"/>
      <c r="T833" s="282"/>
      <c r="U833" s="282"/>
      <c r="V833" s="282"/>
      <c r="W833" s="282"/>
      <c r="X833" s="282"/>
      <c r="Y833" s="282"/>
      <c r="Z833" s="282"/>
      <c r="AA833" s="283"/>
      <c r="AB833" s="284" t="n">
        <f aca="false">IFERROR(($J833*O833)*$L833, "")</f>
        <v>0</v>
      </c>
      <c r="AC833" s="284" t="n">
        <f aca="false">IFERROR(($J833*P833)*$L833, "")</f>
        <v>0</v>
      </c>
      <c r="AD833" s="284" t="n">
        <f aca="false">IFERROR(($J833*Q833)*$L833, "")</f>
        <v>0</v>
      </c>
      <c r="AE833" s="284" t="n">
        <f aca="false">IFERROR(($J833*R833)*$L833, "")</f>
        <v>0</v>
      </c>
      <c r="AF833" s="284" t="n">
        <f aca="false">IFERROR(($J833*S833)*$L833, "")</f>
        <v>0</v>
      </c>
      <c r="AG833" s="284" t="n">
        <f aca="false">IFERROR(($J833*T833)*$L833, "")</f>
        <v>0</v>
      </c>
      <c r="AH833" s="284" t="n">
        <f aca="false">IFERROR(($J833*U833)*$L833, "")</f>
        <v>0</v>
      </c>
      <c r="AI833" s="284" t="n">
        <f aca="false">IFERROR(($J833*V833)*$L833, "")</f>
        <v>0</v>
      </c>
      <c r="AJ833" s="284" t="n">
        <f aca="false">IFERROR(($J833*W833)*$L833, "")</f>
        <v>0</v>
      </c>
      <c r="AK833" s="284" t="n">
        <f aca="false">IFERROR(($J833*X833)*$L833, "")</f>
        <v>0</v>
      </c>
      <c r="AL833" s="284" t="n">
        <f aca="false">IFERROR(($J833*Y833)*$L833, "")</f>
        <v>0</v>
      </c>
      <c r="AM833" s="285" t="n">
        <f aca="false">IFERROR(($J833*Z833)*$L833, "")</f>
        <v>0</v>
      </c>
      <c r="AN833" s="286" t="n">
        <f aca="false">IFERROR(SUMIF($AB$4:$AM$4, "RDEC", AB833:AM833), "")</f>
        <v>0</v>
      </c>
      <c r="AO833" s="286" t="n">
        <f aca="false">IFERROR(SUMIF($AB$4:$AM$4, "SME", AB833:AM833), "")</f>
        <v>0</v>
      </c>
      <c r="AP833" s="286" t="n">
        <f aca="false">IFERROR(SUMIF($AB$4:$AM$4, "De Minimis", AB833:AM833), "")</f>
        <v>0</v>
      </c>
      <c r="AQ833" s="283"/>
      <c r="AR833" s="284" t="n">
        <f aca="false">IFERROR(($J833*O833)*$M833, "")</f>
        <v>0</v>
      </c>
      <c r="AS833" s="284" t="n">
        <f aca="false">IFERROR(($J833*P833)*$M833, "")</f>
        <v>0</v>
      </c>
      <c r="AT833" s="284" t="n">
        <f aca="false">IFERROR(($J833*Q833)*$M833, "")</f>
        <v>0</v>
      </c>
      <c r="AU833" s="284" t="n">
        <f aca="false">IFERROR(($J833*R833)*$M833, "")</f>
        <v>0</v>
      </c>
      <c r="AV833" s="284" t="n">
        <f aca="false">IFERROR(($J833*S833)*$M833, "")</f>
        <v>0</v>
      </c>
      <c r="AW833" s="284" t="n">
        <f aca="false">IFERROR(($J833*T833)*$M833, "")</f>
        <v>0</v>
      </c>
      <c r="AX833" s="284" t="n">
        <f aca="false">IFERROR(($J833*U833)*$M833, "")</f>
        <v>0</v>
      </c>
      <c r="AY833" s="284" t="n">
        <f aca="false">IFERROR(($J833*V833)*$M833, "")</f>
        <v>0</v>
      </c>
      <c r="AZ833" s="284" t="n">
        <f aca="false">IFERROR(($J833*W833)*$M833, "")</f>
        <v>0</v>
      </c>
      <c r="BA833" s="284" t="n">
        <f aca="false">IFERROR(($J833*X833)*$M833, "")</f>
        <v>0</v>
      </c>
      <c r="BB833" s="284" t="n">
        <f aca="false">IFERROR(($J833*Y833)*$M833, "")</f>
        <v>0</v>
      </c>
      <c r="BC833" s="285" t="n">
        <f aca="false">IFERROR(($J833*Z833)*$M833, "")</f>
        <v>0</v>
      </c>
      <c r="BD833" s="286" t="n">
        <f aca="false">IFERROR(SUMIF($AB$4:$AM$4, "RDEC", AR833:BC833), "")</f>
        <v>0</v>
      </c>
      <c r="BE833" s="286" t="n">
        <f aca="false">IFERROR(SUMIF($AB$4:$AM$4, "SME", AR833:BC833), "")</f>
        <v>0</v>
      </c>
      <c r="BF833" s="286" t="n">
        <f aca="false">IFERROR(SUMIF($AB$4:$AM$4, "De Minimis", AR833:BC833), "")</f>
        <v>0</v>
      </c>
      <c r="BG833" s="287"/>
      <c r="BH833" s="288" t="str">
        <f aca="false">IF((SUM(O833:Z833)&gt;1),"ERROR","")</f>
        <v/>
      </c>
      <c r="BI833" s="287"/>
      <c r="BJ833" s="18" t="str">
        <f aca="false">IF(C819&gt;0, C819, "")</f>
        <v/>
      </c>
      <c r="BL833" s="200"/>
      <c r="BM833" s="200"/>
      <c r="BN833" s="200"/>
    </row>
    <row r="834" customFormat="false" ht="15" hidden="false" customHeight="true" outlineLevel="0" collapsed="false">
      <c r="B834" s="275"/>
      <c r="D834" s="276" t="n">
        <f aca="false">D818</f>
        <v>45597</v>
      </c>
      <c r="E834" s="277" t="n">
        <v>0</v>
      </c>
      <c r="F834" s="277" t="n">
        <v>0</v>
      </c>
      <c r="G834" s="277" t="n">
        <v>0</v>
      </c>
      <c r="H834" s="277" t="n">
        <v>0</v>
      </c>
      <c r="I834" s="277" t="n">
        <v>0</v>
      </c>
      <c r="J834" s="278" t="n">
        <f aca="false">E834+H834+I834</f>
        <v>0</v>
      </c>
      <c r="K834" s="204"/>
      <c r="L834" s="279" t="n">
        <v>1</v>
      </c>
      <c r="M834" s="280" t="n">
        <f aca="false">1-L834</f>
        <v>0</v>
      </c>
      <c r="N834" s="281"/>
      <c r="O834" s="282"/>
      <c r="P834" s="282"/>
      <c r="Q834" s="282"/>
      <c r="R834" s="282"/>
      <c r="S834" s="282"/>
      <c r="T834" s="282"/>
      <c r="U834" s="282"/>
      <c r="V834" s="282"/>
      <c r="W834" s="282"/>
      <c r="X834" s="282"/>
      <c r="Y834" s="282"/>
      <c r="Z834" s="282"/>
      <c r="AA834" s="283"/>
      <c r="AB834" s="284" t="n">
        <f aca="false">IFERROR(($J834*O834)*$L834, "")</f>
        <v>0</v>
      </c>
      <c r="AC834" s="284" t="n">
        <f aca="false">IFERROR(($J834*P834)*$L834, "")</f>
        <v>0</v>
      </c>
      <c r="AD834" s="284" t="n">
        <f aca="false">IFERROR(($J834*Q834)*$L834, "")</f>
        <v>0</v>
      </c>
      <c r="AE834" s="284" t="n">
        <f aca="false">IFERROR(($J834*R834)*$L834, "")</f>
        <v>0</v>
      </c>
      <c r="AF834" s="284" t="n">
        <f aca="false">IFERROR(($J834*S834)*$L834, "")</f>
        <v>0</v>
      </c>
      <c r="AG834" s="284" t="n">
        <f aca="false">IFERROR(($J834*T834)*$L834, "")</f>
        <v>0</v>
      </c>
      <c r="AH834" s="284" t="n">
        <f aca="false">IFERROR(($J834*U834)*$L834, "")</f>
        <v>0</v>
      </c>
      <c r="AI834" s="284" t="n">
        <f aca="false">IFERROR(($J834*V834)*$L834, "")</f>
        <v>0</v>
      </c>
      <c r="AJ834" s="284" t="n">
        <f aca="false">IFERROR(($J834*W834)*$L834, "")</f>
        <v>0</v>
      </c>
      <c r="AK834" s="284" t="n">
        <f aca="false">IFERROR(($J834*X834)*$L834, "")</f>
        <v>0</v>
      </c>
      <c r="AL834" s="284" t="n">
        <f aca="false">IFERROR(($J834*Y834)*$L834, "")</f>
        <v>0</v>
      </c>
      <c r="AM834" s="285" t="n">
        <f aca="false">IFERROR(($J834*Z834)*$L834, "")</f>
        <v>0</v>
      </c>
      <c r="AN834" s="286" t="n">
        <f aca="false">IFERROR(SUMIF($AB$4:$AM$4, "RDEC", AB834:AM834), "")</f>
        <v>0</v>
      </c>
      <c r="AO834" s="286" t="n">
        <f aca="false">IFERROR(SUMIF($AB$4:$AM$4, "SME", AB834:AM834), "")</f>
        <v>0</v>
      </c>
      <c r="AP834" s="286" t="n">
        <f aca="false">IFERROR(SUMIF($AB$4:$AM$4, "De Minimis", AB834:AM834), "")</f>
        <v>0</v>
      </c>
      <c r="AQ834" s="283"/>
      <c r="AR834" s="284" t="n">
        <f aca="false">IFERROR(($J834*O834)*$M834, "")</f>
        <v>0</v>
      </c>
      <c r="AS834" s="284" t="n">
        <f aca="false">IFERROR(($J834*P834)*$M834, "")</f>
        <v>0</v>
      </c>
      <c r="AT834" s="284" t="n">
        <f aca="false">IFERROR(($J834*Q834)*$M834, "")</f>
        <v>0</v>
      </c>
      <c r="AU834" s="284" t="n">
        <f aca="false">IFERROR(($J834*R834)*$M834, "")</f>
        <v>0</v>
      </c>
      <c r="AV834" s="284" t="n">
        <f aca="false">IFERROR(($J834*S834)*$M834, "")</f>
        <v>0</v>
      </c>
      <c r="AW834" s="284" t="n">
        <f aca="false">IFERROR(($J834*T834)*$M834, "")</f>
        <v>0</v>
      </c>
      <c r="AX834" s="284" t="n">
        <f aca="false">IFERROR(($J834*U834)*$M834, "")</f>
        <v>0</v>
      </c>
      <c r="AY834" s="284" t="n">
        <f aca="false">IFERROR(($J834*V834)*$M834, "")</f>
        <v>0</v>
      </c>
      <c r="AZ834" s="284" t="n">
        <f aca="false">IFERROR(($J834*W834)*$M834, "")</f>
        <v>0</v>
      </c>
      <c r="BA834" s="284" t="n">
        <f aca="false">IFERROR(($J834*X834)*$M834, "")</f>
        <v>0</v>
      </c>
      <c r="BB834" s="284" t="n">
        <f aca="false">IFERROR(($J834*Y834)*$M834, "")</f>
        <v>0</v>
      </c>
      <c r="BC834" s="285" t="n">
        <f aca="false">IFERROR(($J834*Z834)*$M834, "")</f>
        <v>0</v>
      </c>
      <c r="BD834" s="286" t="n">
        <f aca="false">IFERROR(SUMIF($AB$4:$AM$4, "RDEC", AR834:BC834), "")</f>
        <v>0</v>
      </c>
      <c r="BE834" s="286" t="n">
        <f aca="false">IFERROR(SUMIF($AB$4:$AM$4, "SME", AR834:BC834), "")</f>
        <v>0</v>
      </c>
      <c r="BF834" s="286" t="n">
        <f aca="false">IFERROR(SUMIF($AB$4:$AM$4, "De Minimis", AR834:BC834), "")</f>
        <v>0</v>
      </c>
      <c r="BG834" s="287"/>
      <c r="BH834" s="288" t="str">
        <f aca="false">IF((SUM(O834:Z834)&gt;1),"ERROR","")</f>
        <v/>
      </c>
      <c r="BI834" s="287"/>
      <c r="BJ834" s="18" t="str">
        <f aca="false">IF(C820&gt;0, C820, "")</f>
        <v/>
      </c>
      <c r="BL834" s="200"/>
      <c r="BM834" s="200"/>
      <c r="BN834" s="200"/>
    </row>
    <row r="835" customFormat="false" ht="15" hidden="false" customHeight="true" outlineLevel="0" collapsed="false">
      <c r="B835" s="275"/>
      <c r="D835" s="276" t="n">
        <f aca="false">D819</f>
        <v>45627</v>
      </c>
      <c r="E835" s="277" t="n">
        <v>0</v>
      </c>
      <c r="F835" s="277" t="n">
        <v>0</v>
      </c>
      <c r="G835" s="277" t="n">
        <v>0</v>
      </c>
      <c r="H835" s="277" t="n">
        <v>0</v>
      </c>
      <c r="I835" s="277" t="n">
        <v>0</v>
      </c>
      <c r="J835" s="278" t="n">
        <f aca="false">E835+H835+I835</f>
        <v>0</v>
      </c>
      <c r="K835" s="204"/>
      <c r="L835" s="289" t="n">
        <v>1</v>
      </c>
      <c r="M835" s="290" t="n">
        <f aca="false">1-L835</f>
        <v>0</v>
      </c>
      <c r="N835" s="281"/>
      <c r="O835" s="291"/>
      <c r="P835" s="291"/>
      <c r="Q835" s="291"/>
      <c r="R835" s="291"/>
      <c r="S835" s="291"/>
      <c r="T835" s="291"/>
      <c r="U835" s="291"/>
      <c r="V835" s="291"/>
      <c r="W835" s="291"/>
      <c r="X835" s="291"/>
      <c r="Y835" s="291"/>
      <c r="Z835" s="291"/>
      <c r="AA835" s="283"/>
      <c r="AB835" s="292" t="n">
        <f aca="false">IFERROR(($J835*O835)*$L835, "")</f>
        <v>0</v>
      </c>
      <c r="AC835" s="292" t="n">
        <f aca="false">IFERROR(($J835*P835)*$L835, "")</f>
        <v>0</v>
      </c>
      <c r="AD835" s="292" t="n">
        <f aca="false">IFERROR(($J835*Q835)*$L835, "")</f>
        <v>0</v>
      </c>
      <c r="AE835" s="292" t="n">
        <f aca="false">IFERROR(($J835*R835)*$L835, "")</f>
        <v>0</v>
      </c>
      <c r="AF835" s="292" t="n">
        <f aca="false">IFERROR(($J835*S835)*$L835, "")</f>
        <v>0</v>
      </c>
      <c r="AG835" s="292" t="n">
        <f aca="false">IFERROR(($J835*T835)*$L835, "")</f>
        <v>0</v>
      </c>
      <c r="AH835" s="292" t="n">
        <f aca="false">IFERROR(($J835*U835)*$L835, "")</f>
        <v>0</v>
      </c>
      <c r="AI835" s="292" t="n">
        <f aca="false">IFERROR(($J835*V835)*$L835, "")</f>
        <v>0</v>
      </c>
      <c r="AJ835" s="292" t="n">
        <f aca="false">IFERROR(($J835*W835)*$L835, "")</f>
        <v>0</v>
      </c>
      <c r="AK835" s="292" t="n">
        <f aca="false">IFERROR(($J835*X835)*$L835, "")</f>
        <v>0</v>
      </c>
      <c r="AL835" s="292" t="n">
        <f aca="false">IFERROR(($J835*Y835)*$L835, "")</f>
        <v>0</v>
      </c>
      <c r="AM835" s="293" t="n">
        <f aca="false">IFERROR(($J835*Z835)*$L835, "")</f>
        <v>0</v>
      </c>
      <c r="AN835" s="294" t="n">
        <f aca="false">IFERROR(SUMIF($AB$4:$AM$4, "RDEC", AB835:AM835), "")</f>
        <v>0</v>
      </c>
      <c r="AO835" s="294" t="n">
        <f aca="false">IFERROR(SUMIF($AB$4:$AM$4, "SME", AB835:AM835), "")</f>
        <v>0</v>
      </c>
      <c r="AP835" s="294" t="n">
        <f aca="false">IFERROR(SUMIF($AB$4:$AM$4, "De Minimis", AB835:AM835), "")</f>
        <v>0</v>
      </c>
      <c r="AQ835" s="283"/>
      <c r="AR835" s="292" t="n">
        <f aca="false">IFERROR(($J835*O835)*$M835, "")</f>
        <v>0</v>
      </c>
      <c r="AS835" s="292" t="n">
        <f aca="false">IFERROR(($J835*P835)*$M835, "")</f>
        <v>0</v>
      </c>
      <c r="AT835" s="292" t="n">
        <f aca="false">IFERROR(($J835*Q835)*$M835, "")</f>
        <v>0</v>
      </c>
      <c r="AU835" s="292" t="n">
        <f aca="false">IFERROR(($J835*R835)*$M835, "")</f>
        <v>0</v>
      </c>
      <c r="AV835" s="292" t="n">
        <f aca="false">IFERROR(($J835*S835)*$M835, "")</f>
        <v>0</v>
      </c>
      <c r="AW835" s="292" t="n">
        <f aca="false">IFERROR(($J835*T835)*$M835, "")</f>
        <v>0</v>
      </c>
      <c r="AX835" s="292" t="n">
        <f aca="false">IFERROR(($J835*U835)*$M835, "")</f>
        <v>0</v>
      </c>
      <c r="AY835" s="292" t="n">
        <f aca="false">IFERROR(($J835*V835)*$M835, "")</f>
        <v>0</v>
      </c>
      <c r="AZ835" s="292" t="n">
        <f aca="false">IFERROR(($J835*W835)*$M835, "")</f>
        <v>0</v>
      </c>
      <c r="BA835" s="292" t="n">
        <f aca="false">IFERROR(($J835*X835)*$M835, "")</f>
        <v>0</v>
      </c>
      <c r="BB835" s="292" t="n">
        <f aca="false">IFERROR(($J835*Y835)*$M835, "")</f>
        <v>0</v>
      </c>
      <c r="BC835" s="293" t="n">
        <f aca="false">IFERROR(($J835*Z835)*$M835, "")</f>
        <v>0</v>
      </c>
      <c r="BD835" s="294" t="n">
        <f aca="false">IFERROR(SUMIF($AB$4:$AM$4, "RDEC", AR835:BC835), "")</f>
        <v>0</v>
      </c>
      <c r="BE835" s="294" t="n">
        <f aca="false">IFERROR(SUMIF($AB$4:$AM$4, "SME", AR835:BC835), "")</f>
        <v>0</v>
      </c>
      <c r="BF835" s="294" t="n">
        <f aca="false">IFERROR(SUMIF($AB$4:$AM$4, "De Minimis", AR835:BC835), "")</f>
        <v>0</v>
      </c>
      <c r="BG835" s="287"/>
      <c r="BH835" s="295" t="str">
        <f aca="false">IF((SUM(O835:Z835)&gt;1),"ERROR","")</f>
        <v/>
      </c>
      <c r="BI835" s="287"/>
      <c r="BJ835" s="18" t="str">
        <f aca="false">IF(C821&gt;0, C821, "")</f>
        <v/>
      </c>
      <c r="BL835" s="200"/>
      <c r="BM835" s="200"/>
      <c r="BN835" s="200"/>
    </row>
    <row r="836" customFormat="false" ht="15" hidden="false" customHeight="true" outlineLevel="0" collapsed="false">
      <c r="B836" s="296"/>
      <c r="D836" s="297" t="s">
        <v>82</v>
      </c>
      <c r="E836" s="298" t="n">
        <f aca="false">SUM(E824:E835)</f>
        <v>0</v>
      </c>
      <c r="F836" s="298" t="n">
        <f aca="false">SUM(F824:F835)</f>
        <v>0</v>
      </c>
      <c r="G836" s="298" t="n">
        <f aca="false">SUM(G824:G835)</f>
        <v>0</v>
      </c>
      <c r="H836" s="298" t="n">
        <f aca="false">SUM(H824:H835)</f>
        <v>0</v>
      </c>
      <c r="I836" s="298" t="n">
        <f aca="false">SUM(I824:I835)</f>
        <v>0</v>
      </c>
      <c r="J836" s="299" t="n">
        <f aca="false">SUM(J824:J835)</f>
        <v>0</v>
      </c>
      <c r="K836" s="300"/>
      <c r="L836" s="301" t="n">
        <f aca="false">AVERAGE(L824:L835)</f>
        <v>1</v>
      </c>
      <c r="M836" s="301" t="n">
        <f aca="false">AVERAGE(M824:M835)</f>
        <v>0</v>
      </c>
      <c r="N836" s="302"/>
      <c r="O836" s="290" t="n">
        <f aca="false">IF(SUM(O824:O835)&gt;0,((AB836+AR836)/J836),0)</f>
        <v>0</v>
      </c>
      <c r="P836" s="290" t="n">
        <f aca="false">IF(SUM(P824:P835)&gt;0,((AC836+AS836)/J836),0)</f>
        <v>0</v>
      </c>
      <c r="Q836" s="290" t="n">
        <f aca="false">IF(SUM(Q824:Q835)&gt;0,((AD836+AT836)/J836),0)</f>
        <v>0</v>
      </c>
      <c r="R836" s="290" t="n">
        <f aca="false">IF(SUM(R824:R835)&gt;0,((AE836+AU836)/J836),0)</f>
        <v>0</v>
      </c>
      <c r="S836" s="290" t="n">
        <f aca="false">IF(SUM(S824:S835)&gt;0,((AF836+AV836)/J836),0)</f>
        <v>0</v>
      </c>
      <c r="T836" s="290" t="n">
        <f aca="false">IF(SUM(T824:T835)&gt;0,((AG836+AW836)/J836),0)</f>
        <v>0</v>
      </c>
      <c r="U836" s="290" t="n">
        <f aca="false">IF(SUM(U824:U835)&gt;0,((AH836+AX836)/J836),0)</f>
        <v>0</v>
      </c>
      <c r="V836" s="290" t="n">
        <f aca="false">IF(SUM(V824:V835)&gt;0,((AI836+AY836)/J836),0)</f>
        <v>0</v>
      </c>
      <c r="W836" s="290" t="n">
        <f aca="false">IF(SUM(W824:W835)&gt;0,((AJ836+AZ836)/J836),0)</f>
        <v>0</v>
      </c>
      <c r="X836" s="290" t="n">
        <f aca="false">IF(SUM(X824:X835)&gt;0,((AK836+BA836)/J836),0)</f>
        <v>0</v>
      </c>
      <c r="Y836" s="290" t="n">
        <f aca="false">IF(SUM(Y824:Y835)&gt;0,((AL836+BB836)/J836),0)</f>
        <v>0</v>
      </c>
      <c r="Z836" s="290" t="n">
        <f aca="false">IF(SUM(Z824:Z835)&gt;0,((AM836+BC836)/J836),0)</f>
        <v>0</v>
      </c>
      <c r="AA836" s="303"/>
      <c r="AB836" s="292" t="n">
        <f aca="false">SUM(AB824:AB835)</f>
        <v>0</v>
      </c>
      <c r="AC836" s="304" t="n">
        <f aca="false">SUM(AC824:AC835)</f>
        <v>0</v>
      </c>
      <c r="AD836" s="304" t="n">
        <f aca="false">SUM(AD824:AD835)</f>
        <v>0</v>
      </c>
      <c r="AE836" s="304" t="n">
        <f aca="false">SUM(AE824:AE835)</f>
        <v>0</v>
      </c>
      <c r="AF836" s="304" t="n">
        <f aca="false">SUM(AF824:AF835)</f>
        <v>0</v>
      </c>
      <c r="AG836" s="304" t="n">
        <f aca="false">SUM(AG824:AG835)</f>
        <v>0</v>
      </c>
      <c r="AH836" s="304" t="n">
        <f aca="false">SUM(AH824:AH835)</f>
        <v>0</v>
      </c>
      <c r="AI836" s="304" t="n">
        <f aca="false">SUM(AI824:AI835)</f>
        <v>0</v>
      </c>
      <c r="AJ836" s="304" t="n">
        <f aca="false">SUM(AJ824:AJ835)</f>
        <v>0</v>
      </c>
      <c r="AK836" s="304" t="n">
        <f aca="false">SUM(AK824:AK835)</f>
        <v>0</v>
      </c>
      <c r="AL836" s="304" t="n">
        <f aca="false">SUM(AL824:AL835)</f>
        <v>0</v>
      </c>
      <c r="AM836" s="304" t="n">
        <f aca="false">SUM(AM824:AM835)</f>
        <v>0</v>
      </c>
      <c r="AN836" s="305" t="n">
        <f aca="false">SUM(AN824:AN835)</f>
        <v>0</v>
      </c>
      <c r="AO836" s="305" t="n">
        <f aca="false">SUM(AO824:AO835)</f>
        <v>0</v>
      </c>
      <c r="AP836" s="305" t="n">
        <f aca="false">SUM(AP824:AP835)</f>
        <v>0</v>
      </c>
      <c r="AQ836" s="303"/>
      <c r="AR836" s="292" t="n">
        <f aca="false">SUM(AR824:AR835)</f>
        <v>0</v>
      </c>
      <c r="AS836" s="304" t="n">
        <f aca="false">SUM(AS824:AS835)</f>
        <v>0</v>
      </c>
      <c r="AT836" s="304" t="n">
        <f aca="false">SUM(AT824:AT835)</f>
        <v>0</v>
      </c>
      <c r="AU836" s="304" t="n">
        <f aca="false">SUM(AU824:AU835)</f>
        <v>0</v>
      </c>
      <c r="AV836" s="304" t="n">
        <f aca="false">SUM(AV824:AV835)</f>
        <v>0</v>
      </c>
      <c r="AW836" s="304" t="n">
        <f aca="false">SUM(AW824:AW835)</f>
        <v>0</v>
      </c>
      <c r="AX836" s="304" t="n">
        <f aca="false">SUM(AX824:AX835)</f>
        <v>0</v>
      </c>
      <c r="AY836" s="304" t="n">
        <f aca="false">SUM(AY824:AY835)</f>
        <v>0</v>
      </c>
      <c r="AZ836" s="304" t="n">
        <f aca="false">SUM(AZ824:AZ835)</f>
        <v>0</v>
      </c>
      <c r="BA836" s="304" t="n">
        <f aca="false">SUM(BA824:BA835)</f>
        <v>0</v>
      </c>
      <c r="BB836" s="304" t="n">
        <f aca="false">SUM(BB824:BB835)</f>
        <v>0</v>
      </c>
      <c r="BC836" s="304" t="n">
        <f aca="false">SUM(BC824:BC835)</f>
        <v>0</v>
      </c>
      <c r="BD836" s="305" t="n">
        <f aca="false">SUM(BD824:BD835)</f>
        <v>0</v>
      </c>
      <c r="BE836" s="305" t="n">
        <f aca="false">SUM(BE824:BE835)</f>
        <v>0</v>
      </c>
      <c r="BF836" s="305" t="n">
        <f aca="false">SUM(BF824:BF835)</f>
        <v>0</v>
      </c>
      <c r="BG836" s="303"/>
      <c r="BH836" s="306"/>
      <c r="BI836" s="303"/>
      <c r="BJ836" s="307" t="str">
        <f aca="false">IF(C822&gt;0, C822, "")</f>
        <v>TBA</v>
      </c>
      <c r="BK836" s="18" t="s">
        <v>234</v>
      </c>
      <c r="BL836" s="200" t="n">
        <f aca="false">IF($BK836="Y",J836,0)</f>
        <v>0</v>
      </c>
      <c r="BM836" s="200" t="n">
        <f aca="false">IF(BK836="Y", AN836,0)</f>
        <v>0</v>
      </c>
      <c r="BN836" s="200" t="n">
        <f aca="false">IF((BK836="Y"),AO836,0)</f>
        <v>0</v>
      </c>
    </row>
    <row r="837" customFormat="false" ht="15" hidden="false" customHeight="true" outlineLevel="0" collapsed="false">
      <c r="B837" s="296"/>
      <c r="D837" s="297"/>
      <c r="E837" s="277"/>
      <c r="F837" s="277"/>
      <c r="G837" s="277"/>
      <c r="H837" s="277"/>
      <c r="I837" s="277"/>
      <c r="J837" s="300"/>
      <c r="K837" s="300"/>
      <c r="L837" s="302"/>
      <c r="M837" s="302"/>
      <c r="N837" s="302"/>
      <c r="O837" s="308"/>
      <c r="P837" s="308"/>
      <c r="Q837" s="308"/>
      <c r="R837" s="308"/>
      <c r="S837" s="308"/>
      <c r="T837" s="308"/>
      <c r="U837" s="308"/>
      <c r="V837" s="308"/>
      <c r="W837" s="308"/>
      <c r="X837" s="308"/>
      <c r="Y837" s="308"/>
      <c r="Z837" s="308"/>
      <c r="AA837" s="303"/>
      <c r="AB837" s="303"/>
      <c r="AC837" s="303"/>
      <c r="AD837" s="303"/>
      <c r="AE837" s="303"/>
      <c r="AF837" s="303"/>
      <c r="AG837" s="303"/>
      <c r="AH837" s="303"/>
      <c r="AI837" s="303"/>
      <c r="AJ837" s="303"/>
      <c r="AK837" s="303"/>
      <c r="AL837" s="303"/>
      <c r="AM837" s="303"/>
      <c r="AN837" s="303"/>
      <c r="AO837" s="303"/>
      <c r="AP837" s="303"/>
      <c r="AQ837" s="303"/>
      <c r="AR837" s="303"/>
      <c r="AS837" s="303"/>
      <c r="AT837" s="303"/>
      <c r="AU837" s="303"/>
      <c r="AV837" s="303"/>
      <c r="AW837" s="303"/>
      <c r="AX837" s="303"/>
      <c r="AY837" s="303"/>
      <c r="AZ837" s="303"/>
      <c r="BA837" s="303"/>
      <c r="BB837" s="303"/>
      <c r="BC837" s="303"/>
      <c r="BD837" s="303"/>
      <c r="BE837" s="303"/>
      <c r="BF837" s="303"/>
      <c r="BG837" s="303"/>
      <c r="BH837" s="303"/>
      <c r="BI837" s="303"/>
      <c r="BJ837" s="307" t="str">
        <f aca="false">IF(C824&gt;0, C824, "")</f>
        <v/>
      </c>
      <c r="BL837" s="200"/>
      <c r="BM837" s="200"/>
      <c r="BN837" s="200"/>
    </row>
    <row r="838" customFormat="false" ht="15" hidden="false" customHeight="true" outlineLevel="0" collapsed="false">
      <c r="A838" s="198" t="n">
        <f aca="false">A822+1</f>
        <v>53</v>
      </c>
      <c r="B838" s="266" t="s">
        <v>253</v>
      </c>
      <c r="C838" s="266" t="s">
        <v>253</v>
      </c>
      <c r="D838" s="267"/>
      <c r="E838" s="242"/>
      <c r="F838" s="242"/>
      <c r="G838" s="242"/>
      <c r="H838" s="242"/>
      <c r="I838" s="242"/>
      <c r="J838" s="241"/>
      <c r="K838" s="241"/>
      <c r="L838" s="241"/>
      <c r="M838" s="241"/>
      <c r="N838" s="241"/>
      <c r="O838" s="268"/>
      <c r="P838" s="268"/>
      <c r="Q838" s="268"/>
      <c r="R838" s="268"/>
      <c r="S838" s="268"/>
      <c r="T838" s="268"/>
      <c r="U838" s="268"/>
      <c r="V838" s="268"/>
      <c r="W838" s="268"/>
      <c r="X838" s="268"/>
      <c r="Y838" s="268"/>
      <c r="Z838" s="268"/>
      <c r="AA838" s="268"/>
      <c r="AB838" s="268"/>
      <c r="AC838" s="268"/>
      <c r="AD838" s="268"/>
      <c r="AE838" s="268"/>
      <c r="AF838" s="268"/>
      <c r="AG838" s="268"/>
      <c r="AH838" s="268"/>
      <c r="AI838" s="268"/>
      <c r="AJ838" s="268"/>
      <c r="AK838" s="268"/>
      <c r="AL838" s="268"/>
      <c r="AM838" s="268"/>
      <c r="AN838" s="268"/>
      <c r="AO838" s="268"/>
      <c r="AP838" s="268"/>
      <c r="AQ838" s="268"/>
      <c r="AR838" s="268"/>
      <c r="AS838" s="268"/>
      <c r="AT838" s="268"/>
      <c r="AU838" s="268"/>
      <c r="AV838" s="268"/>
      <c r="AW838" s="268"/>
      <c r="AX838" s="268"/>
      <c r="AY838" s="268"/>
      <c r="AZ838" s="268"/>
      <c r="BA838" s="268"/>
      <c r="BB838" s="268"/>
      <c r="BC838" s="268"/>
      <c r="BD838" s="268"/>
      <c r="BE838" s="268"/>
      <c r="BF838" s="268"/>
      <c r="BG838" s="268"/>
      <c r="BH838" s="268"/>
      <c r="BI838" s="268"/>
      <c r="BJ838" s="18" t="str">
        <f aca="false">IF(C825&gt;0, C825, "")</f>
        <v/>
      </c>
      <c r="BL838" s="200"/>
      <c r="BM838" s="200"/>
      <c r="BN838" s="200"/>
    </row>
    <row r="839" customFormat="false" ht="7.5" hidden="false" customHeight="true" outlineLevel="0" collapsed="false">
      <c r="A839" s="198"/>
      <c r="B839" s="266"/>
      <c r="C839" s="266"/>
      <c r="D839" s="267"/>
      <c r="E839" s="242"/>
      <c r="F839" s="242"/>
      <c r="G839" s="242"/>
      <c r="H839" s="242"/>
      <c r="I839" s="242"/>
      <c r="J839" s="241"/>
      <c r="K839" s="241"/>
      <c r="L839" s="269"/>
      <c r="M839" s="269"/>
      <c r="N839" s="270"/>
      <c r="O839" s="269"/>
      <c r="P839" s="269"/>
      <c r="Q839" s="269"/>
      <c r="R839" s="269"/>
      <c r="S839" s="269"/>
      <c r="T839" s="269"/>
      <c r="U839" s="269"/>
      <c r="V839" s="269"/>
      <c r="W839" s="269"/>
      <c r="X839" s="269"/>
      <c r="Y839" s="269"/>
      <c r="Z839" s="269"/>
      <c r="AA839" s="268"/>
      <c r="AB839" s="271"/>
      <c r="AC839" s="271"/>
      <c r="AD839" s="271"/>
      <c r="AE839" s="271"/>
      <c r="AF839" s="271"/>
      <c r="AG839" s="271"/>
      <c r="AH839" s="271"/>
      <c r="AI839" s="271"/>
      <c r="AJ839" s="271"/>
      <c r="AK839" s="271"/>
      <c r="AL839" s="271"/>
      <c r="AM839" s="272"/>
      <c r="AN839" s="273"/>
      <c r="AO839" s="273"/>
      <c r="AP839" s="273"/>
      <c r="AQ839" s="268"/>
      <c r="AR839" s="271"/>
      <c r="AS839" s="271"/>
      <c r="AT839" s="271"/>
      <c r="AU839" s="271"/>
      <c r="AV839" s="271"/>
      <c r="AW839" s="271"/>
      <c r="AX839" s="271"/>
      <c r="AY839" s="271"/>
      <c r="AZ839" s="271"/>
      <c r="BA839" s="271"/>
      <c r="BB839" s="271"/>
      <c r="BC839" s="272"/>
      <c r="BD839" s="273"/>
      <c r="BE839" s="273"/>
      <c r="BF839" s="273"/>
      <c r="BG839" s="268"/>
      <c r="BH839" s="274"/>
      <c r="BI839" s="268"/>
      <c r="BL839" s="200"/>
      <c r="BM839" s="200"/>
      <c r="BN839" s="200"/>
    </row>
    <row r="840" customFormat="false" ht="15" hidden="false" customHeight="true" outlineLevel="0" collapsed="false">
      <c r="B840" s="275"/>
      <c r="D840" s="276" t="n">
        <f aca="false">D824</f>
        <v>45292</v>
      </c>
      <c r="E840" s="277" t="n">
        <v>0</v>
      </c>
      <c r="F840" s="277" t="n">
        <v>0</v>
      </c>
      <c r="G840" s="277" t="n">
        <v>0</v>
      </c>
      <c r="H840" s="277" t="n">
        <v>0</v>
      </c>
      <c r="I840" s="277" t="n">
        <v>0</v>
      </c>
      <c r="J840" s="278" t="n">
        <f aca="false">E840+H840+I840</f>
        <v>0</v>
      </c>
      <c r="K840" s="204"/>
      <c r="L840" s="279" t="n">
        <v>1</v>
      </c>
      <c r="M840" s="280" t="n">
        <f aca="false">1-L840</f>
        <v>0</v>
      </c>
      <c r="N840" s="281"/>
      <c r="O840" s="282"/>
      <c r="P840" s="282"/>
      <c r="Q840" s="282"/>
      <c r="R840" s="282"/>
      <c r="S840" s="282"/>
      <c r="T840" s="282"/>
      <c r="U840" s="282"/>
      <c r="V840" s="282"/>
      <c r="W840" s="282"/>
      <c r="X840" s="282"/>
      <c r="Y840" s="282"/>
      <c r="Z840" s="282"/>
      <c r="AA840" s="283"/>
      <c r="AB840" s="284" t="n">
        <f aca="false">IFERROR(($J840*O840)*$L840, "")</f>
        <v>0</v>
      </c>
      <c r="AC840" s="284" t="n">
        <f aca="false">IFERROR(($J840*P840)*$L840, "")</f>
        <v>0</v>
      </c>
      <c r="AD840" s="284" t="n">
        <f aca="false">IFERROR(($J840*Q840)*$L840, "")</f>
        <v>0</v>
      </c>
      <c r="AE840" s="284" t="n">
        <f aca="false">IFERROR(($J840*R840)*$L840, "")</f>
        <v>0</v>
      </c>
      <c r="AF840" s="284" t="n">
        <f aca="false">IFERROR(($J840*S840)*$L840, "")</f>
        <v>0</v>
      </c>
      <c r="AG840" s="284" t="n">
        <f aca="false">IFERROR(($J840*T840)*$L840, "")</f>
        <v>0</v>
      </c>
      <c r="AH840" s="284" t="n">
        <f aca="false">IFERROR(($J840*U840)*$L840, "")</f>
        <v>0</v>
      </c>
      <c r="AI840" s="284" t="n">
        <f aca="false">IFERROR(($J840*V840)*$L840, "")</f>
        <v>0</v>
      </c>
      <c r="AJ840" s="284" t="n">
        <f aca="false">IFERROR(($J840*W840)*$L840, "")</f>
        <v>0</v>
      </c>
      <c r="AK840" s="284" t="n">
        <f aca="false">IFERROR(($J840*X840)*$L840, "")</f>
        <v>0</v>
      </c>
      <c r="AL840" s="284" t="n">
        <f aca="false">IFERROR(($J840*Y840)*$L840, "")</f>
        <v>0</v>
      </c>
      <c r="AM840" s="285" t="n">
        <f aca="false">IFERROR(($J840*Z840)*$L840, "")</f>
        <v>0</v>
      </c>
      <c r="AN840" s="286" t="n">
        <f aca="false">IFERROR(SUMIF($AB$4:$AM$4, "RDEC", AB840:AM840), "")</f>
        <v>0</v>
      </c>
      <c r="AO840" s="286" t="n">
        <f aca="false">IFERROR(SUMIF($AB$4:$AM$4, "SME", AB840:AM840), "")</f>
        <v>0</v>
      </c>
      <c r="AP840" s="286" t="n">
        <f aca="false">IFERROR(SUMIF($AB$4:$AM$4, "De Minimis", AB840:AM840), "")</f>
        <v>0</v>
      </c>
      <c r="AQ840" s="283"/>
      <c r="AR840" s="284" t="n">
        <f aca="false">IFERROR(($J840*O840)*$M840, "")</f>
        <v>0</v>
      </c>
      <c r="AS840" s="284" t="n">
        <f aca="false">IFERROR(($J840*P840)*$M840, "")</f>
        <v>0</v>
      </c>
      <c r="AT840" s="284" t="n">
        <f aca="false">IFERROR(($J840*Q840)*$M840, "")</f>
        <v>0</v>
      </c>
      <c r="AU840" s="284" t="n">
        <f aca="false">IFERROR(($J840*R840)*$M840, "")</f>
        <v>0</v>
      </c>
      <c r="AV840" s="284" t="n">
        <f aca="false">IFERROR(($J840*S840)*$M840, "")</f>
        <v>0</v>
      </c>
      <c r="AW840" s="284" t="n">
        <f aca="false">IFERROR(($J840*T840)*$M840, "")</f>
        <v>0</v>
      </c>
      <c r="AX840" s="284" t="n">
        <f aca="false">IFERROR(($J840*U840)*$M840, "")</f>
        <v>0</v>
      </c>
      <c r="AY840" s="284" t="n">
        <f aca="false">IFERROR(($J840*V840)*$M840, "")</f>
        <v>0</v>
      </c>
      <c r="AZ840" s="284" t="n">
        <f aca="false">IFERROR(($J840*W840)*$M840, "")</f>
        <v>0</v>
      </c>
      <c r="BA840" s="284" t="n">
        <f aca="false">IFERROR(($J840*X840)*$M840, "")</f>
        <v>0</v>
      </c>
      <c r="BB840" s="284" t="n">
        <f aca="false">IFERROR(($J840*Y840)*$M840, "")</f>
        <v>0</v>
      </c>
      <c r="BC840" s="285" t="n">
        <f aca="false">IFERROR(($J840*Z840)*$M840, "")</f>
        <v>0</v>
      </c>
      <c r="BD840" s="286" t="n">
        <f aca="false">IFERROR(SUMIF($AB$4:$AM$4, "RDEC", AR840:BC840), "")</f>
        <v>0</v>
      </c>
      <c r="BE840" s="286" t="n">
        <f aca="false">IFERROR(SUMIF($AB$4:$AM$4, "SME", AR840:BC840), "")</f>
        <v>0</v>
      </c>
      <c r="BF840" s="286" t="n">
        <f aca="false">IFERROR(SUMIF($AB$4:$AM$4, "De Minimis", AR840:BC840), "")</f>
        <v>0</v>
      </c>
      <c r="BG840" s="287"/>
      <c r="BH840" s="288" t="str">
        <f aca="false">IF((SUM(O840:Z840)&gt;1),"ERROR","")</f>
        <v/>
      </c>
      <c r="BI840" s="287"/>
      <c r="BJ840" s="18" t="str">
        <f aca="false">IF(C826&gt;0, C826, "")</f>
        <v/>
      </c>
      <c r="BL840" s="200"/>
      <c r="BM840" s="200"/>
      <c r="BN840" s="200"/>
    </row>
    <row r="841" customFormat="false" ht="15" hidden="false" customHeight="true" outlineLevel="0" collapsed="false">
      <c r="B841" s="275"/>
      <c r="D841" s="276" t="n">
        <f aca="false">D825</f>
        <v>45323</v>
      </c>
      <c r="E841" s="277" t="n">
        <v>0</v>
      </c>
      <c r="F841" s="277" t="n">
        <v>0</v>
      </c>
      <c r="G841" s="277" t="n">
        <v>0</v>
      </c>
      <c r="H841" s="277" t="n">
        <v>0</v>
      </c>
      <c r="I841" s="277" t="n">
        <v>0</v>
      </c>
      <c r="J841" s="278" t="n">
        <f aca="false">E841+H841+I841</f>
        <v>0</v>
      </c>
      <c r="K841" s="204"/>
      <c r="L841" s="279" t="n">
        <v>1</v>
      </c>
      <c r="M841" s="280" t="n">
        <f aca="false">1-L841</f>
        <v>0</v>
      </c>
      <c r="N841" s="281"/>
      <c r="O841" s="282"/>
      <c r="P841" s="282"/>
      <c r="Q841" s="282"/>
      <c r="R841" s="282"/>
      <c r="S841" s="282"/>
      <c r="T841" s="282"/>
      <c r="U841" s="282"/>
      <c r="V841" s="282"/>
      <c r="W841" s="282"/>
      <c r="X841" s="282"/>
      <c r="Y841" s="282"/>
      <c r="Z841" s="282"/>
      <c r="AA841" s="283"/>
      <c r="AB841" s="284" t="n">
        <f aca="false">IFERROR(($J841*O841)*$L841, "")</f>
        <v>0</v>
      </c>
      <c r="AC841" s="284" t="n">
        <f aca="false">IFERROR(($J841*P841)*$L841, "")</f>
        <v>0</v>
      </c>
      <c r="AD841" s="284" t="n">
        <f aca="false">IFERROR(($J841*Q841)*$L841, "")</f>
        <v>0</v>
      </c>
      <c r="AE841" s="284" t="n">
        <f aca="false">IFERROR(($J841*R841)*$L841, "")</f>
        <v>0</v>
      </c>
      <c r="AF841" s="284" t="n">
        <f aca="false">IFERROR(($J841*S841)*$L841, "")</f>
        <v>0</v>
      </c>
      <c r="AG841" s="284" t="n">
        <f aca="false">IFERROR(($J841*T841)*$L841, "")</f>
        <v>0</v>
      </c>
      <c r="AH841" s="284" t="n">
        <f aca="false">IFERROR(($J841*U841)*$L841, "")</f>
        <v>0</v>
      </c>
      <c r="AI841" s="284" t="n">
        <f aca="false">IFERROR(($J841*V841)*$L841, "")</f>
        <v>0</v>
      </c>
      <c r="AJ841" s="284" t="n">
        <f aca="false">IFERROR(($J841*W841)*$L841, "")</f>
        <v>0</v>
      </c>
      <c r="AK841" s="284" t="n">
        <f aca="false">IFERROR(($J841*X841)*$L841, "")</f>
        <v>0</v>
      </c>
      <c r="AL841" s="284" t="n">
        <f aca="false">IFERROR(($J841*Y841)*$L841, "")</f>
        <v>0</v>
      </c>
      <c r="AM841" s="285" t="n">
        <f aca="false">IFERROR(($J841*Z841)*$L841, "")</f>
        <v>0</v>
      </c>
      <c r="AN841" s="286" t="n">
        <f aca="false">IFERROR(SUMIF($AB$4:$AM$4, "RDEC", AB841:AM841), "")</f>
        <v>0</v>
      </c>
      <c r="AO841" s="286" t="n">
        <f aca="false">IFERROR(SUMIF($AB$4:$AM$4, "SME", AB841:AM841), "")</f>
        <v>0</v>
      </c>
      <c r="AP841" s="286" t="n">
        <f aca="false">IFERROR(SUMIF($AB$4:$AM$4, "De Minimis", AB841:AM841), "")</f>
        <v>0</v>
      </c>
      <c r="AQ841" s="283"/>
      <c r="AR841" s="284" t="n">
        <f aca="false">IFERROR(($J841*O841)*$M841, "")</f>
        <v>0</v>
      </c>
      <c r="AS841" s="284" t="n">
        <f aca="false">IFERROR(($J841*P841)*$M841, "")</f>
        <v>0</v>
      </c>
      <c r="AT841" s="284" t="n">
        <f aca="false">IFERROR(($J841*Q841)*$M841, "")</f>
        <v>0</v>
      </c>
      <c r="AU841" s="284" t="n">
        <f aca="false">IFERROR(($J841*R841)*$M841, "")</f>
        <v>0</v>
      </c>
      <c r="AV841" s="284" t="n">
        <f aca="false">IFERROR(($J841*S841)*$M841, "")</f>
        <v>0</v>
      </c>
      <c r="AW841" s="284" t="n">
        <f aca="false">IFERROR(($J841*T841)*$M841, "")</f>
        <v>0</v>
      </c>
      <c r="AX841" s="284" t="n">
        <f aca="false">IFERROR(($J841*U841)*$M841, "")</f>
        <v>0</v>
      </c>
      <c r="AY841" s="284" t="n">
        <f aca="false">IFERROR(($J841*V841)*$M841, "")</f>
        <v>0</v>
      </c>
      <c r="AZ841" s="284" t="n">
        <f aca="false">IFERROR(($J841*W841)*$M841, "")</f>
        <v>0</v>
      </c>
      <c r="BA841" s="284" t="n">
        <f aca="false">IFERROR(($J841*X841)*$M841, "")</f>
        <v>0</v>
      </c>
      <c r="BB841" s="284" t="n">
        <f aca="false">IFERROR(($J841*Y841)*$M841, "")</f>
        <v>0</v>
      </c>
      <c r="BC841" s="285" t="n">
        <f aca="false">IFERROR(($J841*Z841)*$M841, "")</f>
        <v>0</v>
      </c>
      <c r="BD841" s="286" t="n">
        <f aca="false">IFERROR(SUMIF($AB$4:$AM$4, "RDEC", AR841:BC841), "")</f>
        <v>0</v>
      </c>
      <c r="BE841" s="286" t="n">
        <f aca="false">IFERROR(SUMIF($AB$4:$AM$4, "SME", AR841:BC841), "")</f>
        <v>0</v>
      </c>
      <c r="BF841" s="286" t="n">
        <f aca="false">IFERROR(SUMIF($AB$4:$AM$4, "De Minimis", AR841:BC841), "")</f>
        <v>0</v>
      </c>
      <c r="BG841" s="287"/>
      <c r="BH841" s="288" t="str">
        <f aca="false">IF((SUM(O841:Z841)&gt;1),"ERROR","")</f>
        <v/>
      </c>
      <c r="BI841" s="287"/>
      <c r="BJ841" s="18" t="str">
        <f aca="false">IF(C827&gt;0, C827, "")</f>
        <v/>
      </c>
      <c r="BL841" s="200"/>
      <c r="BM841" s="200"/>
      <c r="BN841" s="200"/>
    </row>
    <row r="842" customFormat="false" ht="15" hidden="false" customHeight="true" outlineLevel="0" collapsed="false">
      <c r="B842" s="275"/>
      <c r="D842" s="276" t="n">
        <f aca="false">D826</f>
        <v>45352</v>
      </c>
      <c r="E842" s="277" t="n">
        <v>0</v>
      </c>
      <c r="F842" s="277" t="n">
        <v>0</v>
      </c>
      <c r="G842" s="277" t="n">
        <v>0</v>
      </c>
      <c r="H842" s="277" t="n">
        <v>0</v>
      </c>
      <c r="I842" s="277" t="n">
        <v>0</v>
      </c>
      <c r="J842" s="278" t="n">
        <f aca="false">E842+H842+I842</f>
        <v>0</v>
      </c>
      <c r="K842" s="204"/>
      <c r="L842" s="279" t="n">
        <v>1</v>
      </c>
      <c r="M842" s="280" t="n">
        <f aca="false">1-L842</f>
        <v>0</v>
      </c>
      <c r="N842" s="281"/>
      <c r="O842" s="282"/>
      <c r="P842" s="282"/>
      <c r="Q842" s="282"/>
      <c r="R842" s="282"/>
      <c r="S842" s="282"/>
      <c r="T842" s="282"/>
      <c r="U842" s="282"/>
      <c r="V842" s="282"/>
      <c r="W842" s="282"/>
      <c r="X842" s="282"/>
      <c r="Y842" s="282"/>
      <c r="Z842" s="282"/>
      <c r="AA842" s="283"/>
      <c r="AB842" s="284" t="n">
        <f aca="false">IFERROR(($J842*O842)*$L842, "")</f>
        <v>0</v>
      </c>
      <c r="AC842" s="284" t="n">
        <f aca="false">IFERROR(($J842*P842)*$L842, "")</f>
        <v>0</v>
      </c>
      <c r="AD842" s="284" t="n">
        <f aca="false">IFERROR(($J842*Q842)*$L842, "")</f>
        <v>0</v>
      </c>
      <c r="AE842" s="284" t="n">
        <f aca="false">IFERROR(($J842*R842)*$L842, "")</f>
        <v>0</v>
      </c>
      <c r="AF842" s="284" t="n">
        <f aca="false">IFERROR(($J842*S842)*$L842, "")</f>
        <v>0</v>
      </c>
      <c r="AG842" s="284" t="n">
        <f aca="false">IFERROR(($J842*T842)*$L842, "")</f>
        <v>0</v>
      </c>
      <c r="AH842" s="284" t="n">
        <f aca="false">IFERROR(($J842*U842)*$L842, "")</f>
        <v>0</v>
      </c>
      <c r="AI842" s="284" t="n">
        <f aca="false">IFERROR(($J842*V842)*$L842, "")</f>
        <v>0</v>
      </c>
      <c r="AJ842" s="284" t="n">
        <f aca="false">IFERROR(($J842*W842)*$L842, "")</f>
        <v>0</v>
      </c>
      <c r="AK842" s="284" t="n">
        <f aca="false">IFERROR(($J842*X842)*$L842, "")</f>
        <v>0</v>
      </c>
      <c r="AL842" s="284" t="n">
        <f aca="false">IFERROR(($J842*Y842)*$L842, "")</f>
        <v>0</v>
      </c>
      <c r="AM842" s="285" t="n">
        <f aca="false">IFERROR(($J842*Z842)*$L842, "")</f>
        <v>0</v>
      </c>
      <c r="AN842" s="286" t="n">
        <f aca="false">IFERROR(SUMIF($AB$4:$AM$4, "RDEC", AB842:AM842), "")</f>
        <v>0</v>
      </c>
      <c r="AO842" s="286" t="n">
        <f aca="false">IFERROR(SUMIF($AB$4:$AM$4, "SME", AB842:AM842), "")</f>
        <v>0</v>
      </c>
      <c r="AP842" s="286" t="n">
        <f aca="false">IFERROR(SUMIF($AB$4:$AM$4, "De Minimis", AB842:AM842), "")</f>
        <v>0</v>
      </c>
      <c r="AQ842" s="283"/>
      <c r="AR842" s="284" t="n">
        <f aca="false">IFERROR(($J842*O842)*$M842, "")</f>
        <v>0</v>
      </c>
      <c r="AS842" s="284" t="n">
        <f aca="false">IFERROR(($J842*P842)*$M842, "")</f>
        <v>0</v>
      </c>
      <c r="AT842" s="284" t="n">
        <f aca="false">IFERROR(($J842*Q842)*$M842, "")</f>
        <v>0</v>
      </c>
      <c r="AU842" s="284" t="n">
        <f aca="false">IFERROR(($J842*R842)*$M842, "")</f>
        <v>0</v>
      </c>
      <c r="AV842" s="284" t="n">
        <f aca="false">IFERROR(($J842*S842)*$M842, "")</f>
        <v>0</v>
      </c>
      <c r="AW842" s="284" t="n">
        <f aca="false">IFERROR(($J842*T842)*$M842, "")</f>
        <v>0</v>
      </c>
      <c r="AX842" s="284" t="n">
        <f aca="false">IFERROR(($J842*U842)*$M842, "")</f>
        <v>0</v>
      </c>
      <c r="AY842" s="284" t="n">
        <f aca="false">IFERROR(($J842*V842)*$M842, "")</f>
        <v>0</v>
      </c>
      <c r="AZ842" s="284" t="n">
        <f aca="false">IFERROR(($J842*W842)*$M842, "")</f>
        <v>0</v>
      </c>
      <c r="BA842" s="284" t="n">
        <f aca="false">IFERROR(($J842*X842)*$M842, "")</f>
        <v>0</v>
      </c>
      <c r="BB842" s="284" t="n">
        <f aca="false">IFERROR(($J842*Y842)*$M842, "")</f>
        <v>0</v>
      </c>
      <c r="BC842" s="285" t="n">
        <f aca="false">IFERROR(($J842*Z842)*$M842, "")</f>
        <v>0</v>
      </c>
      <c r="BD842" s="286" t="n">
        <f aca="false">IFERROR(SUMIF($AB$4:$AM$4, "RDEC", AR842:BC842), "")</f>
        <v>0</v>
      </c>
      <c r="BE842" s="286" t="n">
        <f aca="false">IFERROR(SUMIF($AB$4:$AM$4, "SME", AR842:BC842), "")</f>
        <v>0</v>
      </c>
      <c r="BF842" s="286" t="n">
        <f aca="false">IFERROR(SUMIF($AB$4:$AM$4, "De Minimis", AR842:BC842), "")</f>
        <v>0</v>
      </c>
      <c r="BG842" s="287"/>
      <c r="BH842" s="288" t="str">
        <f aca="false">IF((SUM(O842:Z842)&gt;1),"ERROR","")</f>
        <v/>
      </c>
      <c r="BI842" s="287"/>
      <c r="BJ842" s="18" t="str">
        <f aca="false">IF(C828&gt;0, C828, "")</f>
        <v/>
      </c>
      <c r="BL842" s="200"/>
      <c r="BM842" s="200"/>
      <c r="BN842" s="200"/>
    </row>
    <row r="843" customFormat="false" ht="15" hidden="false" customHeight="true" outlineLevel="0" collapsed="false">
      <c r="B843" s="275"/>
      <c r="D843" s="276" t="n">
        <f aca="false">D827</f>
        <v>45383</v>
      </c>
      <c r="E843" s="277" t="n">
        <v>0</v>
      </c>
      <c r="F843" s="277" t="n">
        <v>0</v>
      </c>
      <c r="G843" s="277" t="n">
        <v>0</v>
      </c>
      <c r="H843" s="277" t="n">
        <v>0</v>
      </c>
      <c r="I843" s="277" t="n">
        <v>0</v>
      </c>
      <c r="J843" s="278" t="n">
        <f aca="false">E843+H843+I843</f>
        <v>0</v>
      </c>
      <c r="K843" s="204"/>
      <c r="L843" s="279" t="n">
        <v>1</v>
      </c>
      <c r="M843" s="280" t="n">
        <f aca="false">1-L843</f>
        <v>0</v>
      </c>
      <c r="N843" s="281"/>
      <c r="O843" s="282"/>
      <c r="P843" s="282"/>
      <c r="Q843" s="282"/>
      <c r="R843" s="282"/>
      <c r="S843" s="282"/>
      <c r="T843" s="282"/>
      <c r="U843" s="282"/>
      <c r="V843" s="282"/>
      <c r="W843" s="282"/>
      <c r="X843" s="282"/>
      <c r="Y843" s="282"/>
      <c r="Z843" s="282"/>
      <c r="AA843" s="283"/>
      <c r="AB843" s="284" t="n">
        <f aca="false">IFERROR(($J843*O843)*$L843, "")</f>
        <v>0</v>
      </c>
      <c r="AC843" s="284" t="n">
        <f aca="false">IFERROR(($J843*P843)*$L843, "")</f>
        <v>0</v>
      </c>
      <c r="AD843" s="284" t="n">
        <f aca="false">IFERROR(($J843*Q843)*$L843, "")</f>
        <v>0</v>
      </c>
      <c r="AE843" s="284" t="n">
        <f aca="false">IFERROR(($J843*R843)*$L843, "")</f>
        <v>0</v>
      </c>
      <c r="AF843" s="284" t="n">
        <f aca="false">IFERROR(($J843*S843)*$L843, "")</f>
        <v>0</v>
      </c>
      <c r="AG843" s="284" t="n">
        <f aca="false">IFERROR(($J843*T843)*$L843, "")</f>
        <v>0</v>
      </c>
      <c r="AH843" s="284" t="n">
        <f aca="false">IFERROR(($J843*U843)*$L843, "")</f>
        <v>0</v>
      </c>
      <c r="AI843" s="284" t="n">
        <f aca="false">IFERROR(($J843*V843)*$L843, "")</f>
        <v>0</v>
      </c>
      <c r="AJ843" s="284" t="n">
        <f aca="false">IFERROR(($J843*W843)*$L843, "")</f>
        <v>0</v>
      </c>
      <c r="AK843" s="284" t="n">
        <f aca="false">IFERROR(($J843*X843)*$L843, "")</f>
        <v>0</v>
      </c>
      <c r="AL843" s="284" t="n">
        <f aca="false">IFERROR(($J843*Y843)*$L843, "")</f>
        <v>0</v>
      </c>
      <c r="AM843" s="285" t="n">
        <f aca="false">IFERROR(($J843*Z843)*$L843, "")</f>
        <v>0</v>
      </c>
      <c r="AN843" s="286" t="n">
        <f aca="false">IFERROR(SUMIF($AB$4:$AM$4, "RDEC", AB843:AM843), "")</f>
        <v>0</v>
      </c>
      <c r="AO843" s="286" t="n">
        <f aca="false">IFERROR(SUMIF($AB$4:$AM$4, "SME", AB843:AM843), "")</f>
        <v>0</v>
      </c>
      <c r="AP843" s="286" t="n">
        <f aca="false">IFERROR(SUMIF($AB$4:$AM$4, "De Minimis", AB843:AM843), "")</f>
        <v>0</v>
      </c>
      <c r="AQ843" s="283"/>
      <c r="AR843" s="284" t="n">
        <f aca="false">IFERROR(($J843*O843)*$M843, "")</f>
        <v>0</v>
      </c>
      <c r="AS843" s="284" t="n">
        <f aca="false">IFERROR(($J843*P843)*$M843, "")</f>
        <v>0</v>
      </c>
      <c r="AT843" s="284" t="n">
        <f aca="false">IFERROR(($J843*Q843)*$M843, "")</f>
        <v>0</v>
      </c>
      <c r="AU843" s="284" t="n">
        <f aca="false">IFERROR(($J843*R843)*$M843, "")</f>
        <v>0</v>
      </c>
      <c r="AV843" s="284" t="n">
        <f aca="false">IFERROR(($J843*S843)*$M843, "")</f>
        <v>0</v>
      </c>
      <c r="AW843" s="284" t="n">
        <f aca="false">IFERROR(($J843*T843)*$M843, "")</f>
        <v>0</v>
      </c>
      <c r="AX843" s="284" t="n">
        <f aca="false">IFERROR(($J843*U843)*$M843, "")</f>
        <v>0</v>
      </c>
      <c r="AY843" s="284" t="n">
        <f aca="false">IFERROR(($J843*V843)*$M843, "")</f>
        <v>0</v>
      </c>
      <c r="AZ843" s="284" t="n">
        <f aca="false">IFERROR(($J843*W843)*$M843, "")</f>
        <v>0</v>
      </c>
      <c r="BA843" s="284" t="n">
        <f aca="false">IFERROR(($J843*X843)*$M843, "")</f>
        <v>0</v>
      </c>
      <c r="BB843" s="284" t="n">
        <f aca="false">IFERROR(($J843*Y843)*$M843, "")</f>
        <v>0</v>
      </c>
      <c r="BC843" s="285" t="n">
        <f aca="false">IFERROR(($J843*Z843)*$M843, "")</f>
        <v>0</v>
      </c>
      <c r="BD843" s="286" t="n">
        <f aca="false">IFERROR(SUMIF($AB$4:$AM$4, "RDEC", AR843:BC843), "")</f>
        <v>0</v>
      </c>
      <c r="BE843" s="286" t="n">
        <f aca="false">IFERROR(SUMIF($AB$4:$AM$4, "SME", AR843:BC843), "")</f>
        <v>0</v>
      </c>
      <c r="BF843" s="286" t="n">
        <f aca="false">IFERROR(SUMIF($AB$4:$AM$4, "De Minimis", AR843:BC843), "")</f>
        <v>0</v>
      </c>
      <c r="BG843" s="287"/>
      <c r="BH843" s="288" t="str">
        <f aca="false">IF((SUM(O843:Z843)&gt;1),"ERROR","")</f>
        <v/>
      </c>
      <c r="BI843" s="287"/>
      <c r="BJ843" s="18" t="str">
        <f aca="false">IF(C829&gt;0, C829, "")</f>
        <v/>
      </c>
      <c r="BL843" s="200"/>
      <c r="BM843" s="200"/>
      <c r="BN843" s="200"/>
    </row>
    <row r="844" customFormat="false" ht="15" hidden="false" customHeight="true" outlineLevel="0" collapsed="false">
      <c r="B844" s="275"/>
      <c r="D844" s="276" t="n">
        <f aca="false">D828</f>
        <v>45413</v>
      </c>
      <c r="E844" s="277" t="n">
        <v>0</v>
      </c>
      <c r="F844" s="277" t="n">
        <v>0</v>
      </c>
      <c r="G844" s="277" t="n">
        <v>0</v>
      </c>
      <c r="H844" s="277" t="n">
        <v>0</v>
      </c>
      <c r="I844" s="277" t="n">
        <v>0</v>
      </c>
      <c r="J844" s="278" t="n">
        <f aca="false">E844+H844+I844</f>
        <v>0</v>
      </c>
      <c r="K844" s="204"/>
      <c r="L844" s="279" t="n">
        <v>1</v>
      </c>
      <c r="M844" s="280" t="n">
        <f aca="false">1-L844</f>
        <v>0</v>
      </c>
      <c r="N844" s="281"/>
      <c r="O844" s="282"/>
      <c r="P844" s="282"/>
      <c r="Q844" s="282"/>
      <c r="R844" s="282"/>
      <c r="S844" s="282"/>
      <c r="T844" s="282"/>
      <c r="U844" s="282"/>
      <c r="V844" s="282"/>
      <c r="W844" s="282"/>
      <c r="X844" s="282"/>
      <c r="Y844" s="282"/>
      <c r="Z844" s="282"/>
      <c r="AA844" s="283"/>
      <c r="AB844" s="284" t="n">
        <f aca="false">IFERROR(($J844*O844)*$L844, "")</f>
        <v>0</v>
      </c>
      <c r="AC844" s="284" t="n">
        <f aca="false">IFERROR(($J844*P844)*$L844, "")</f>
        <v>0</v>
      </c>
      <c r="AD844" s="284" t="n">
        <f aca="false">IFERROR(($J844*Q844)*$L844, "")</f>
        <v>0</v>
      </c>
      <c r="AE844" s="284" t="n">
        <f aca="false">IFERROR(($J844*R844)*$L844, "")</f>
        <v>0</v>
      </c>
      <c r="AF844" s="284" t="n">
        <f aca="false">IFERROR(($J844*S844)*$L844, "")</f>
        <v>0</v>
      </c>
      <c r="AG844" s="284" t="n">
        <f aca="false">IFERROR(($J844*T844)*$L844, "")</f>
        <v>0</v>
      </c>
      <c r="AH844" s="284" t="n">
        <f aca="false">IFERROR(($J844*U844)*$L844, "")</f>
        <v>0</v>
      </c>
      <c r="AI844" s="284" t="n">
        <f aca="false">IFERROR(($J844*V844)*$L844, "")</f>
        <v>0</v>
      </c>
      <c r="AJ844" s="284" t="n">
        <f aca="false">IFERROR(($J844*W844)*$L844, "")</f>
        <v>0</v>
      </c>
      <c r="AK844" s="284" t="n">
        <f aca="false">IFERROR(($J844*X844)*$L844, "")</f>
        <v>0</v>
      </c>
      <c r="AL844" s="284" t="n">
        <f aca="false">IFERROR(($J844*Y844)*$L844, "")</f>
        <v>0</v>
      </c>
      <c r="AM844" s="285" t="n">
        <f aca="false">IFERROR(($J844*Z844)*$L844, "")</f>
        <v>0</v>
      </c>
      <c r="AN844" s="286" t="n">
        <f aca="false">IFERROR(SUMIF($AB$4:$AM$4, "RDEC", AB844:AM844), "")</f>
        <v>0</v>
      </c>
      <c r="AO844" s="286" t="n">
        <f aca="false">IFERROR(SUMIF($AB$4:$AM$4, "SME", AB844:AM844), "")</f>
        <v>0</v>
      </c>
      <c r="AP844" s="286" t="n">
        <f aca="false">IFERROR(SUMIF($AB$4:$AM$4, "De Minimis", AB844:AM844), "")</f>
        <v>0</v>
      </c>
      <c r="AQ844" s="283"/>
      <c r="AR844" s="284" t="n">
        <f aca="false">IFERROR(($J844*O844)*$M844, "")</f>
        <v>0</v>
      </c>
      <c r="AS844" s="284" t="n">
        <f aca="false">IFERROR(($J844*P844)*$M844, "")</f>
        <v>0</v>
      </c>
      <c r="AT844" s="284" t="n">
        <f aca="false">IFERROR(($J844*Q844)*$M844, "")</f>
        <v>0</v>
      </c>
      <c r="AU844" s="284" t="n">
        <f aca="false">IFERROR(($J844*R844)*$M844, "")</f>
        <v>0</v>
      </c>
      <c r="AV844" s="284" t="n">
        <f aca="false">IFERROR(($J844*S844)*$M844, "")</f>
        <v>0</v>
      </c>
      <c r="AW844" s="284" t="n">
        <f aca="false">IFERROR(($J844*T844)*$M844, "")</f>
        <v>0</v>
      </c>
      <c r="AX844" s="284" t="n">
        <f aca="false">IFERROR(($J844*U844)*$M844, "")</f>
        <v>0</v>
      </c>
      <c r="AY844" s="284" t="n">
        <f aca="false">IFERROR(($J844*V844)*$M844, "")</f>
        <v>0</v>
      </c>
      <c r="AZ844" s="284" t="n">
        <f aca="false">IFERROR(($J844*W844)*$M844, "")</f>
        <v>0</v>
      </c>
      <c r="BA844" s="284" t="n">
        <f aca="false">IFERROR(($J844*X844)*$M844, "")</f>
        <v>0</v>
      </c>
      <c r="BB844" s="284" t="n">
        <f aca="false">IFERROR(($J844*Y844)*$M844, "")</f>
        <v>0</v>
      </c>
      <c r="BC844" s="285" t="n">
        <f aca="false">IFERROR(($J844*Z844)*$M844, "")</f>
        <v>0</v>
      </c>
      <c r="BD844" s="286" t="n">
        <f aca="false">IFERROR(SUMIF($AB$4:$AM$4, "RDEC", AR844:BC844), "")</f>
        <v>0</v>
      </c>
      <c r="BE844" s="286" t="n">
        <f aca="false">IFERROR(SUMIF($AB$4:$AM$4, "SME", AR844:BC844), "")</f>
        <v>0</v>
      </c>
      <c r="BF844" s="286" t="n">
        <f aca="false">IFERROR(SUMIF($AB$4:$AM$4, "De Minimis", AR844:BC844), "")</f>
        <v>0</v>
      </c>
      <c r="BG844" s="287"/>
      <c r="BH844" s="288" t="str">
        <f aca="false">IF((SUM(O844:Z844)&gt;1),"ERROR","")</f>
        <v/>
      </c>
      <c r="BI844" s="287"/>
      <c r="BJ844" s="18" t="str">
        <f aca="false">IF(C830&gt;0, C830, "")</f>
        <v/>
      </c>
      <c r="BL844" s="200"/>
      <c r="BM844" s="200"/>
      <c r="BN844" s="200"/>
    </row>
    <row r="845" customFormat="false" ht="15" hidden="false" customHeight="true" outlineLevel="0" collapsed="false">
      <c r="B845" s="275"/>
      <c r="D845" s="276" t="n">
        <f aca="false">D829</f>
        <v>45444</v>
      </c>
      <c r="E845" s="277" t="n">
        <v>0</v>
      </c>
      <c r="F845" s="277" t="n">
        <v>0</v>
      </c>
      <c r="G845" s="277" t="n">
        <v>0</v>
      </c>
      <c r="H845" s="277" t="n">
        <v>0</v>
      </c>
      <c r="I845" s="277" t="n">
        <v>0</v>
      </c>
      <c r="J845" s="278" t="n">
        <f aca="false">E845+H845+I845</f>
        <v>0</v>
      </c>
      <c r="K845" s="204"/>
      <c r="L845" s="279" t="n">
        <v>1</v>
      </c>
      <c r="M845" s="280" t="n">
        <f aca="false">1-L845</f>
        <v>0</v>
      </c>
      <c r="N845" s="281"/>
      <c r="O845" s="282"/>
      <c r="P845" s="282"/>
      <c r="Q845" s="282"/>
      <c r="R845" s="282"/>
      <c r="S845" s="282"/>
      <c r="T845" s="282"/>
      <c r="U845" s="282"/>
      <c r="V845" s="282"/>
      <c r="W845" s="282"/>
      <c r="X845" s="282"/>
      <c r="Y845" s="282"/>
      <c r="Z845" s="282"/>
      <c r="AA845" s="283"/>
      <c r="AB845" s="284" t="n">
        <f aca="false">IFERROR(($J845*O845)*$L845, "")</f>
        <v>0</v>
      </c>
      <c r="AC845" s="284" t="n">
        <f aca="false">IFERROR(($J845*P845)*$L845, "")</f>
        <v>0</v>
      </c>
      <c r="AD845" s="284" t="n">
        <f aca="false">IFERROR(($J845*Q845)*$L845, "")</f>
        <v>0</v>
      </c>
      <c r="AE845" s="284" t="n">
        <f aca="false">IFERROR(($J845*R845)*$L845, "")</f>
        <v>0</v>
      </c>
      <c r="AF845" s="284" t="n">
        <f aca="false">IFERROR(($J845*S845)*$L845, "")</f>
        <v>0</v>
      </c>
      <c r="AG845" s="284" t="n">
        <f aca="false">IFERROR(($J845*T845)*$L845, "")</f>
        <v>0</v>
      </c>
      <c r="AH845" s="284" t="n">
        <f aca="false">IFERROR(($J845*U845)*$L845, "")</f>
        <v>0</v>
      </c>
      <c r="AI845" s="284" t="n">
        <f aca="false">IFERROR(($J845*V845)*$L845, "")</f>
        <v>0</v>
      </c>
      <c r="AJ845" s="284" t="n">
        <f aca="false">IFERROR(($J845*W845)*$L845, "")</f>
        <v>0</v>
      </c>
      <c r="AK845" s="284" t="n">
        <f aca="false">IFERROR(($J845*X845)*$L845, "")</f>
        <v>0</v>
      </c>
      <c r="AL845" s="284" t="n">
        <f aca="false">IFERROR(($J845*Y845)*$L845, "")</f>
        <v>0</v>
      </c>
      <c r="AM845" s="285" t="n">
        <f aca="false">IFERROR(($J845*Z845)*$L845, "")</f>
        <v>0</v>
      </c>
      <c r="AN845" s="286" t="n">
        <f aca="false">IFERROR(SUMIF($AB$4:$AM$4, "RDEC", AB845:AM845), "")</f>
        <v>0</v>
      </c>
      <c r="AO845" s="286" t="n">
        <f aca="false">IFERROR(SUMIF($AB$4:$AM$4, "SME", AB845:AM845), "")</f>
        <v>0</v>
      </c>
      <c r="AP845" s="286" t="n">
        <f aca="false">IFERROR(SUMIF($AB$4:$AM$4, "De Minimis", AB845:AM845), "")</f>
        <v>0</v>
      </c>
      <c r="AQ845" s="283"/>
      <c r="AR845" s="284" t="n">
        <f aca="false">IFERROR(($J845*O845)*$M845, "")</f>
        <v>0</v>
      </c>
      <c r="AS845" s="284" t="n">
        <f aca="false">IFERROR(($J845*P845)*$M845, "")</f>
        <v>0</v>
      </c>
      <c r="AT845" s="284" t="n">
        <f aca="false">IFERROR(($J845*Q845)*$M845, "")</f>
        <v>0</v>
      </c>
      <c r="AU845" s="284" t="n">
        <f aca="false">IFERROR(($J845*R845)*$M845, "")</f>
        <v>0</v>
      </c>
      <c r="AV845" s="284" t="n">
        <f aca="false">IFERROR(($J845*S845)*$M845, "")</f>
        <v>0</v>
      </c>
      <c r="AW845" s="284" t="n">
        <f aca="false">IFERROR(($J845*T845)*$M845, "")</f>
        <v>0</v>
      </c>
      <c r="AX845" s="284" t="n">
        <f aca="false">IFERROR(($J845*U845)*$M845, "")</f>
        <v>0</v>
      </c>
      <c r="AY845" s="284" t="n">
        <f aca="false">IFERROR(($J845*V845)*$M845, "")</f>
        <v>0</v>
      </c>
      <c r="AZ845" s="284" t="n">
        <f aca="false">IFERROR(($J845*W845)*$M845, "")</f>
        <v>0</v>
      </c>
      <c r="BA845" s="284" t="n">
        <f aca="false">IFERROR(($J845*X845)*$M845, "")</f>
        <v>0</v>
      </c>
      <c r="BB845" s="284" t="n">
        <f aca="false">IFERROR(($J845*Y845)*$M845, "")</f>
        <v>0</v>
      </c>
      <c r="BC845" s="285" t="n">
        <f aca="false">IFERROR(($J845*Z845)*$M845, "")</f>
        <v>0</v>
      </c>
      <c r="BD845" s="286" t="n">
        <f aca="false">IFERROR(SUMIF($AB$4:$AM$4, "RDEC", AR845:BC845), "")</f>
        <v>0</v>
      </c>
      <c r="BE845" s="286" t="n">
        <f aca="false">IFERROR(SUMIF($AB$4:$AM$4, "SME", AR845:BC845), "")</f>
        <v>0</v>
      </c>
      <c r="BF845" s="286" t="n">
        <f aca="false">IFERROR(SUMIF($AB$4:$AM$4, "De Minimis", AR845:BC845), "")</f>
        <v>0</v>
      </c>
      <c r="BG845" s="287"/>
      <c r="BH845" s="288" t="str">
        <f aca="false">IF((SUM(O845:Z845)&gt;1),"ERROR","")</f>
        <v/>
      </c>
      <c r="BI845" s="287"/>
      <c r="BJ845" s="18" t="str">
        <f aca="false">IF(C831&gt;0, C831, "")</f>
        <v/>
      </c>
      <c r="BL845" s="200"/>
      <c r="BM845" s="200"/>
      <c r="BN845" s="200"/>
    </row>
    <row r="846" customFormat="false" ht="15" hidden="false" customHeight="true" outlineLevel="0" collapsed="false">
      <c r="B846" s="275"/>
      <c r="D846" s="276" t="n">
        <f aca="false">D830</f>
        <v>45474</v>
      </c>
      <c r="E846" s="277" t="n">
        <v>0</v>
      </c>
      <c r="F846" s="277" t="n">
        <v>0</v>
      </c>
      <c r="G846" s="277" t="n">
        <v>0</v>
      </c>
      <c r="H846" s="277" t="n">
        <v>0</v>
      </c>
      <c r="I846" s="277" t="n">
        <v>0</v>
      </c>
      <c r="J846" s="278" t="n">
        <f aca="false">E846+H846+I846</f>
        <v>0</v>
      </c>
      <c r="K846" s="204"/>
      <c r="L846" s="279" t="n">
        <v>1</v>
      </c>
      <c r="M846" s="280" t="n">
        <f aca="false">1-L846</f>
        <v>0</v>
      </c>
      <c r="N846" s="281"/>
      <c r="O846" s="282"/>
      <c r="P846" s="282"/>
      <c r="Q846" s="282"/>
      <c r="R846" s="282"/>
      <c r="S846" s="282"/>
      <c r="T846" s="282"/>
      <c r="U846" s="282"/>
      <c r="V846" s="282"/>
      <c r="W846" s="282"/>
      <c r="X846" s="282"/>
      <c r="Y846" s="282"/>
      <c r="Z846" s="282"/>
      <c r="AA846" s="283"/>
      <c r="AB846" s="284" t="n">
        <f aca="false">IFERROR(($J846*O846)*$L846, "")</f>
        <v>0</v>
      </c>
      <c r="AC846" s="284" t="n">
        <f aca="false">IFERROR(($J846*P846)*$L846, "")</f>
        <v>0</v>
      </c>
      <c r="AD846" s="284" t="n">
        <f aca="false">IFERROR(($J846*Q846)*$L846, "")</f>
        <v>0</v>
      </c>
      <c r="AE846" s="284" t="n">
        <f aca="false">IFERROR(($J846*R846)*$L846, "")</f>
        <v>0</v>
      </c>
      <c r="AF846" s="284" t="n">
        <f aca="false">IFERROR(($J846*S846)*$L846, "")</f>
        <v>0</v>
      </c>
      <c r="AG846" s="284" t="n">
        <f aca="false">IFERROR(($J846*T846)*$L846, "")</f>
        <v>0</v>
      </c>
      <c r="AH846" s="284" t="n">
        <f aca="false">IFERROR(($J846*U846)*$L846, "")</f>
        <v>0</v>
      </c>
      <c r="AI846" s="284" t="n">
        <f aca="false">IFERROR(($J846*V846)*$L846, "")</f>
        <v>0</v>
      </c>
      <c r="AJ846" s="284" t="n">
        <f aca="false">IFERROR(($J846*W846)*$L846, "")</f>
        <v>0</v>
      </c>
      <c r="AK846" s="284" t="n">
        <f aca="false">IFERROR(($J846*X846)*$L846, "")</f>
        <v>0</v>
      </c>
      <c r="AL846" s="284" t="n">
        <f aca="false">IFERROR(($J846*Y846)*$L846, "")</f>
        <v>0</v>
      </c>
      <c r="AM846" s="285" t="n">
        <f aca="false">IFERROR(($J846*Z846)*$L846, "")</f>
        <v>0</v>
      </c>
      <c r="AN846" s="286" t="n">
        <f aca="false">IFERROR(SUMIF($AB$4:$AM$4, "RDEC", AB846:AM846), "")</f>
        <v>0</v>
      </c>
      <c r="AO846" s="286" t="n">
        <f aca="false">IFERROR(SUMIF($AB$4:$AM$4, "SME", AB846:AM846), "")</f>
        <v>0</v>
      </c>
      <c r="AP846" s="286" t="n">
        <f aca="false">IFERROR(SUMIF($AB$4:$AM$4, "De Minimis", AB846:AM846), "")</f>
        <v>0</v>
      </c>
      <c r="AQ846" s="283"/>
      <c r="AR846" s="284" t="n">
        <f aca="false">IFERROR(($J846*O846)*$M846, "")</f>
        <v>0</v>
      </c>
      <c r="AS846" s="284" t="n">
        <f aca="false">IFERROR(($J846*P846)*$M846, "")</f>
        <v>0</v>
      </c>
      <c r="AT846" s="284" t="n">
        <f aca="false">IFERROR(($J846*Q846)*$M846, "")</f>
        <v>0</v>
      </c>
      <c r="AU846" s="284" t="n">
        <f aca="false">IFERROR(($J846*R846)*$M846, "")</f>
        <v>0</v>
      </c>
      <c r="AV846" s="284" t="n">
        <f aca="false">IFERROR(($J846*S846)*$M846, "")</f>
        <v>0</v>
      </c>
      <c r="AW846" s="284" t="n">
        <f aca="false">IFERROR(($J846*T846)*$M846, "")</f>
        <v>0</v>
      </c>
      <c r="AX846" s="284" t="n">
        <f aca="false">IFERROR(($J846*U846)*$M846, "")</f>
        <v>0</v>
      </c>
      <c r="AY846" s="284" t="n">
        <f aca="false">IFERROR(($J846*V846)*$M846, "")</f>
        <v>0</v>
      </c>
      <c r="AZ846" s="284" t="n">
        <f aca="false">IFERROR(($J846*W846)*$M846, "")</f>
        <v>0</v>
      </c>
      <c r="BA846" s="284" t="n">
        <f aca="false">IFERROR(($J846*X846)*$M846, "")</f>
        <v>0</v>
      </c>
      <c r="BB846" s="284" t="n">
        <f aca="false">IFERROR(($J846*Y846)*$M846, "")</f>
        <v>0</v>
      </c>
      <c r="BC846" s="285" t="n">
        <f aca="false">IFERROR(($J846*Z846)*$M846, "")</f>
        <v>0</v>
      </c>
      <c r="BD846" s="286" t="n">
        <f aca="false">IFERROR(SUMIF($AB$4:$AM$4, "RDEC", AR846:BC846), "")</f>
        <v>0</v>
      </c>
      <c r="BE846" s="286" t="n">
        <f aca="false">IFERROR(SUMIF($AB$4:$AM$4, "SME", AR846:BC846), "")</f>
        <v>0</v>
      </c>
      <c r="BF846" s="286" t="n">
        <f aca="false">IFERROR(SUMIF($AB$4:$AM$4, "De Minimis", AR846:BC846), "")</f>
        <v>0</v>
      </c>
      <c r="BG846" s="287"/>
      <c r="BH846" s="288" t="str">
        <f aca="false">IF((SUM(O846:Z846)&gt;1),"ERROR","")</f>
        <v/>
      </c>
      <c r="BI846" s="287"/>
      <c r="BJ846" s="18" t="str">
        <f aca="false">IF(C832&gt;0, C832, "")</f>
        <v/>
      </c>
      <c r="BL846" s="200"/>
      <c r="BM846" s="200"/>
      <c r="BN846" s="200"/>
    </row>
    <row r="847" customFormat="false" ht="15" hidden="false" customHeight="true" outlineLevel="0" collapsed="false">
      <c r="B847" s="275"/>
      <c r="D847" s="276" t="n">
        <f aca="false">D831</f>
        <v>45505</v>
      </c>
      <c r="E847" s="277" t="n">
        <v>0</v>
      </c>
      <c r="F847" s="277" t="n">
        <v>0</v>
      </c>
      <c r="G847" s="277" t="n">
        <v>0</v>
      </c>
      <c r="H847" s="277" t="n">
        <v>0</v>
      </c>
      <c r="I847" s="277" t="n">
        <v>0</v>
      </c>
      <c r="J847" s="278" t="n">
        <f aca="false">E847+H847+I847</f>
        <v>0</v>
      </c>
      <c r="K847" s="204"/>
      <c r="L847" s="279" t="n">
        <v>1</v>
      </c>
      <c r="M847" s="280" t="n">
        <f aca="false">1-L847</f>
        <v>0</v>
      </c>
      <c r="N847" s="281"/>
      <c r="O847" s="282"/>
      <c r="P847" s="282"/>
      <c r="Q847" s="282"/>
      <c r="R847" s="282"/>
      <c r="S847" s="282"/>
      <c r="T847" s="282"/>
      <c r="U847" s="282"/>
      <c r="V847" s="282"/>
      <c r="W847" s="282"/>
      <c r="X847" s="282"/>
      <c r="Y847" s="282"/>
      <c r="Z847" s="282"/>
      <c r="AA847" s="283"/>
      <c r="AB847" s="284" t="n">
        <f aca="false">IFERROR(($J847*O847)*$L847, "")</f>
        <v>0</v>
      </c>
      <c r="AC847" s="284" t="n">
        <f aca="false">IFERROR(($J847*P847)*$L847, "")</f>
        <v>0</v>
      </c>
      <c r="AD847" s="284" t="n">
        <f aca="false">IFERROR(($J847*Q847)*$L847, "")</f>
        <v>0</v>
      </c>
      <c r="AE847" s="284" t="n">
        <f aca="false">IFERROR(($J847*R847)*$L847, "")</f>
        <v>0</v>
      </c>
      <c r="AF847" s="284" t="n">
        <f aca="false">IFERROR(($J847*S847)*$L847, "")</f>
        <v>0</v>
      </c>
      <c r="AG847" s="284" t="n">
        <f aca="false">IFERROR(($J847*T847)*$L847, "")</f>
        <v>0</v>
      </c>
      <c r="AH847" s="284" t="n">
        <f aca="false">IFERROR(($J847*U847)*$L847, "")</f>
        <v>0</v>
      </c>
      <c r="AI847" s="284" t="n">
        <f aca="false">IFERROR(($J847*V847)*$L847, "")</f>
        <v>0</v>
      </c>
      <c r="AJ847" s="284" t="n">
        <f aca="false">IFERROR(($J847*W847)*$L847, "")</f>
        <v>0</v>
      </c>
      <c r="AK847" s="284" t="n">
        <f aca="false">IFERROR(($J847*X847)*$L847, "")</f>
        <v>0</v>
      </c>
      <c r="AL847" s="284" t="n">
        <f aca="false">IFERROR(($J847*Y847)*$L847, "")</f>
        <v>0</v>
      </c>
      <c r="AM847" s="285" t="n">
        <f aca="false">IFERROR(($J847*Z847)*$L847, "")</f>
        <v>0</v>
      </c>
      <c r="AN847" s="286" t="n">
        <f aca="false">IFERROR(SUMIF($AB$4:$AM$4, "RDEC", AB847:AM847), "")</f>
        <v>0</v>
      </c>
      <c r="AO847" s="286" t="n">
        <f aca="false">IFERROR(SUMIF($AB$4:$AM$4, "SME", AB847:AM847), "")</f>
        <v>0</v>
      </c>
      <c r="AP847" s="286" t="n">
        <f aca="false">IFERROR(SUMIF($AB$4:$AM$4, "De Minimis", AB847:AM847), "")</f>
        <v>0</v>
      </c>
      <c r="AQ847" s="283"/>
      <c r="AR847" s="284" t="n">
        <f aca="false">IFERROR(($J847*O847)*$M847, "")</f>
        <v>0</v>
      </c>
      <c r="AS847" s="284" t="n">
        <f aca="false">IFERROR(($J847*P847)*$M847, "")</f>
        <v>0</v>
      </c>
      <c r="AT847" s="284" t="n">
        <f aca="false">IFERROR(($J847*Q847)*$M847, "")</f>
        <v>0</v>
      </c>
      <c r="AU847" s="284" t="n">
        <f aca="false">IFERROR(($J847*R847)*$M847, "")</f>
        <v>0</v>
      </c>
      <c r="AV847" s="284" t="n">
        <f aca="false">IFERROR(($J847*S847)*$M847, "")</f>
        <v>0</v>
      </c>
      <c r="AW847" s="284" t="n">
        <f aca="false">IFERROR(($J847*T847)*$M847, "")</f>
        <v>0</v>
      </c>
      <c r="AX847" s="284" t="n">
        <f aca="false">IFERROR(($J847*U847)*$M847, "")</f>
        <v>0</v>
      </c>
      <c r="AY847" s="284" t="n">
        <f aca="false">IFERROR(($J847*V847)*$M847, "")</f>
        <v>0</v>
      </c>
      <c r="AZ847" s="284" t="n">
        <f aca="false">IFERROR(($J847*W847)*$M847, "")</f>
        <v>0</v>
      </c>
      <c r="BA847" s="284" t="n">
        <f aca="false">IFERROR(($J847*X847)*$M847, "")</f>
        <v>0</v>
      </c>
      <c r="BB847" s="284" t="n">
        <f aca="false">IFERROR(($J847*Y847)*$M847, "")</f>
        <v>0</v>
      </c>
      <c r="BC847" s="285" t="n">
        <f aca="false">IFERROR(($J847*Z847)*$M847, "")</f>
        <v>0</v>
      </c>
      <c r="BD847" s="286" t="n">
        <f aca="false">IFERROR(SUMIF($AB$4:$AM$4, "RDEC", AR847:BC847), "")</f>
        <v>0</v>
      </c>
      <c r="BE847" s="286" t="n">
        <f aca="false">IFERROR(SUMIF($AB$4:$AM$4, "SME", AR847:BC847), "")</f>
        <v>0</v>
      </c>
      <c r="BF847" s="286" t="n">
        <f aca="false">IFERROR(SUMIF($AB$4:$AM$4, "De Minimis", AR847:BC847), "")</f>
        <v>0</v>
      </c>
      <c r="BG847" s="287"/>
      <c r="BH847" s="288" t="str">
        <f aca="false">IF((SUM(O847:Z847)&gt;1),"ERROR","")</f>
        <v/>
      </c>
      <c r="BI847" s="287"/>
      <c r="BJ847" s="18" t="str">
        <f aca="false">IF(C833&gt;0, C833, "")</f>
        <v/>
      </c>
      <c r="BL847" s="200"/>
      <c r="BM847" s="200"/>
      <c r="BN847" s="200"/>
    </row>
    <row r="848" customFormat="false" ht="15" hidden="false" customHeight="true" outlineLevel="0" collapsed="false">
      <c r="B848" s="275"/>
      <c r="D848" s="276" t="n">
        <f aca="false">D832</f>
        <v>45536</v>
      </c>
      <c r="E848" s="277" t="n">
        <v>0</v>
      </c>
      <c r="F848" s="277" t="n">
        <v>0</v>
      </c>
      <c r="G848" s="277" t="n">
        <v>0</v>
      </c>
      <c r="H848" s="277" t="n">
        <v>0</v>
      </c>
      <c r="I848" s="277" t="n">
        <v>0</v>
      </c>
      <c r="J848" s="278" t="n">
        <f aca="false">E848+H848+I848</f>
        <v>0</v>
      </c>
      <c r="K848" s="204"/>
      <c r="L848" s="279" t="n">
        <v>1</v>
      </c>
      <c r="M848" s="280" t="n">
        <f aca="false">1-L848</f>
        <v>0</v>
      </c>
      <c r="N848" s="281"/>
      <c r="O848" s="282"/>
      <c r="P848" s="282"/>
      <c r="Q848" s="282"/>
      <c r="R848" s="282"/>
      <c r="S848" s="282"/>
      <c r="T848" s="282"/>
      <c r="U848" s="282"/>
      <c r="V848" s="282"/>
      <c r="W848" s="282"/>
      <c r="X848" s="282"/>
      <c r="Y848" s="282"/>
      <c r="Z848" s="282"/>
      <c r="AA848" s="283"/>
      <c r="AB848" s="284" t="n">
        <f aca="false">IFERROR(($J848*O848)*$L848, "")</f>
        <v>0</v>
      </c>
      <c r="AC848" s="284" t="n">
        <f aca="false">IFERROR(($J848*P848)*$L848, "")</f>
        <v>0</v>
      </c>
      <c r="AD848" s="284" t="n">
        <f aca="false">IFERROR(($J848*Q848)*$L848, "")</f>
        <v>0</v>
      </c>
      <c r="AE848" s="284" t="n">
        <f aca="false">IFERROR(($J848*R848)*$L848, "")</f>
        <v>0</v>
      </c>
      <c r="AF848" s="284" t="n">
        <f aca="false">IFERROR(($J848*S848)*$L848, "")</f>
        <v>0</v>
      </c>
      <c r="AG848" s="284" t="n">
        <f aca="false">IFERROR(($J848*T848)*$L848, "")</f>
        <v>0</v>
      </c>
      <c r="AH848" s="284" t="n">
        <f aca="false">IFERROR(($J848*U848)*$L848, "")</f>
        <v>0</v>
      </c>
      <c r="AI848" s="284" t="n">
        <f aca="false">IFERROR(($J848*V848)*$L848, "")</f>
        <v>0</v>
      </c>
      <c r="AJ848" s="284" t="n">
        <f aca="false">IFERROR(($J848*W848)*$L848, "")</f>
        <v>0</v>
      </c>
      <c r="AK848" s="284" t="n">
        <f aca="false">IFERROR(($J848*X848)*$L848, "")</f>
        <v>0</v>
      </c>
      <c r="AL848" s="284" t="n">
        <f aca="false">IFERROR(($J848*Y848)*$L848, "")</f>
        <v>0</v>
      </c>
      <c r="AM848" s="285" t="n">
        <f aca="false">IFERROR(($J848*Z848)*$L848, "")</f>
        <v>0</v>
      </c>
      <c r="AN848" s="286" t="n">
        <f aca="false">IFERROR(SUMIF($AB$4:$AM$4, "RDEC", AB848:AM848), "")</f>
        <v>0</v>
      </c>
      <c r="AO848" s="286" t="n">
        <f aca="false">IFERROR(SUMIF($AB$4:$AM$4, "SME", AB848:AM848), "")</f>
        <v>0</v>
      </c>
      <c r="AP848" s="286" t="n">
        <f aca="false">IFERROR(SUMIF($AB$4:$AM$4, "De Minimis", AB848:AM848), "")</f>
        <v>0</v>
      </c>
      <c r="AQ848" s="283"/>
      <c r="AR848" s="284" t="n">
        <f aca="false">IFERROR(($J848*O848)*$M848, "")</f>
        <v>0</v>
      </c>
      <c r="AS848" s="284" t="n">
        <f aca="false">IFERROR(($J848*P848)*$M848, "")</f>
        <v>0</v>
      </c>
      <c r="AT848" s="284" t="n">
        <f aca="false">IFERROR(($J848*Q848)*$M848, "")</f>
        <v>0</v>
      </c>
      <c r="AU848" s="284" t="n">
        <f aca="false">IFERROR(($J848*R848)*$M848, "")</f>
        <v>0</v>
      </c>
      <c r="AV848" s="284" t="n">
        <f aca="false">IFERROR(($J848*S848)*$M848, "")</f>
        <v>0</v>
      </c>
      <c r="AW848" s="284" t="n">
        <f aca="false">IFERROR(($J848*T848)*$M848, "")</f>
        <v>0</v>
      </c>
      <c r="AX848" s="284" t="n">
        <f aca="false">IFERROR(($J848*U848)*$M848, "")</f>
        <v>0</v>
      </c>
      <c r="AY848" s="284" t="n">
        <f aca="false">IFERROR(($J848*V848)*$M848, "")</f>
        <v>0</v>
      </c>
      <c r="AZ848" s="284" t="n">
        <f aca="false">IFERROR(($J848*W848)*$M848, "")</f>
        <v>0</v>
      </c>
      <c r="BA848" s="284" t="n">
        <f aca="false">IFERROR(($J848*X848)*$M848, "")</f>
        <v>0</v>
      </c>
      <c r="BB848" s="284" t="n">
        <f aca="false">IFERROR(($J848*Y848)*$M848, "")</f>
        <v>0</v>
      </c>
      <c r="BC848" s="285" t="n">
        <f aca="false">IFERROR(($J848*Z848)*$M848, "")</f>
        <v>0</v>
      </c>
      <c r="BD848" s="286" t="n">
        <f aca="false">IFERROR(SUMIF($AB$4:$AM$4, "RDEC", AR848:BC848), "")</f>
        <v>0</v>
      </c>
      <c r="BE848" s="286" t="n">
        <f aca="false">IFERROR(SUMIF($AB$4:$AM$4, "SME", AR848:BC848), "")</f>
        <v>0</v>
      </c>
      <c r="BF848" s="286" t="n">
        <f aca="false">IFERROR(SUMIF($AB$4:$AM$4, "De Minimis", AR848:BC848), "")</f>
        <v>0</v>
      </c>
      <c r="BG848" s="287"/>
      <c r="BH848" s="288" t="str">
        <f aca="false">IF((SUM(O848:Z848)&gt;1),"ERROR","")</f>
        <v/>
      </c>
      <c r="BI848" s="287"/>
      <c r="BJ848" s="18" t="str">
        <f aca="false">IF(C834&gt;0, C834, "")</f>
        <v/>
      </c>
      <c r="BL848" s="200"/>
      <c r="BM848" s="200"/>
      <c r="BN848" s="200"/>
    </row>
    <row r="849" customFormat="false" ht="15" hidden="false" customHeight="true" outlineLevel="0" collapsed="false">
      <c r="B849" s="275"/>
      <c r="D849" s="276" t="n">
        <f aca="false">D833</f>
        <v>45566</v>
      </c>
      <c r="E849" s="277" t="n">
        <v>0</v>
      </c>
      <c r="F849" s="277" t="n">
        <v>0</v>
      </c>
      <c r="G849" s="277" t="n">
        <v>0</v>
      </c>
      <c r="H849" s="277" t="n">
        <v>0</v>
      </c>
      <c r="I849" s="277" t="n">
        <v>0</v>
      </c>
      <c r="J849" s="278" t="n">
        <f aca="false">E849+H849+I849</f>
        <v>0</v>
      </c>
      <c r="K849" s="204"/>
      <c r="L849" s="279" t="n">
        <v>1</v>
      </c>
      <c r="M849" s="280" t="n">
        <f aca="false">1-L849</f>
        <v>0</v>
      </c>
      <c r="N849" s="281"/>
      <c r="O849" s="282"/>
      <c r="P849" s="282"/>
      <c r="Q849" s="282"/>
      <c r="R849" s="282"/>
      <c r="S849" s="282"/>
      <c r="T849" s="282"/>
      <c r="U849" s="282"/>
      <c r="V849" s="282"/>
      <c r="W849" s="282"/>
      <c r="X849" s="282"/>
      <c r="Y849" s="282"/>
      <c r="Z849" s="282"/>
      <c r="AA849" s="283"/>
      <c r="AB849" s="284" t="n">
        <f aca="false">IFERROR(($J849*O849)*$L849, "")</f>
        <v>0</v>
      </c>
      <c r="AC849" s="284" t="n">
        <f aca="false">IFERROR(($J849*P849)*$L849, "")</f>
        <v>0</v>
      </c>
      <c r="AD849" s="284" t="n">
        <f aca="false">IFERROR(($J849*Q849)*$L849, "")</f>
        <v>0</v>
      </c>
      <c r="AE849" s="284" t="n">
        <f aca="false">IFERROR(($J849*R849)*$L849, "")</f>
        <v>0</v>
      </c>
      <c r="AF849" s="284" t="n">
        <f aca="false">IFERROR(($J849*S849)*$L849, "")</f>
        <v>0</v>
      </c>
      <c r="AG849" s="284" t="n">
        <f aca="false">IFERROR(($J849*T849)*$L849, "")</f>
        <v>0</v>
      </c>
      <c r="AH849" s="284" t="n">
        <f aca="false">IFERROR(($J849*U849)*$L849, "")</f>
        <v>0</v>
      </c>
      <c r="AI849" s="284" t="n">
        <f aca="false">IFERROR(($J849*V849)*$L849, "")</f>
        <v>0</v>
      </c>
      <c r="AJ849" s="284" t="n">
        <f aca="false">IFERROR(($J849*W849)*$L849, "")</f>
        <v>0</v>
      </c>
      <c r="AK849" s="284" t="n">
        <f aca="false">IFERROR(($J849*X849)*$L849, "")</f>
        <v>0</v>
      </c>
      <c r="AL849" s="284" t="n">
        <f aca="false">IFERROR(($J849*Y849)*$L849, "")</f>
        <v>0</v>
      </c>
      <c r="AM849" s="285" t="n">
        <f aca="false">IFERROR(($J849*Z849)*$L849, "")</f>
        <v>0</v>
      </c>
      <c r="AN849" s="286" t="n">
        <f aca="false">IFERROR(SUMIF($AB$4:$AM$4, "RDEC", AB849:AM849), "")</f>
        <v>0</v>
      </c>
      <c r="AO849" s="286" t="n">
        <f aca="false">IFERROR(SUMIF($AB$4:$AM$4, "SME", AB849:AM849), "")</f>
        <v>0</v>
      </c>
      <c r="AP849" s="286" t="n">
        <f aca="false">IFERROR(SUMIF($AB$4:$AM$4, "De Minimis", AB849:AM849), "")</f>
        <v>0</v>
      </c>
      <c r="AQ849" s="283"/>
      <c r="AR849" s="284" t="n">
        <f aca="false">IFERROR(($J849*O849)*$M849, "")</f>
        <v>0</v>
      </c>
      <c r="AS849" s="284" t="n">
        <f aca="false">IFERROR(($J849*P849)*$M849, "")</f>
        <v>0</v>
      </c>
      <c r="AT849" s="284" t="n">
        <f aca="false">IFERROR(($J849*Q849)*$M849, "")</f>
        <v>0</v>
      </c>
      <c r="AU849" s="284" t="n">
        <f aca="false">IFERROR(($J849*R849)*$M849, "")</f>
        <v>0</v>
      </c>
      <c r="AV849" s="284" t="n">
        <f aca="false">IFERROR(($J849*S849)*$M849, "")</f>
        <v>0</v>
      </c>
      <c r="AW849" s="284" t="n">
        <f aca="false">IFERROR(($J849*T849)*$M849, "")</f>
        <v>0</v>
      </c>
      <c r="AX849" s="284" t="n">
        <f aca="false">IFERROR(($J849*U849)*$M849, "")</f>
        <v>0</v>
      </c>
      <c r="AY849" s="284" t="n">
        <f aca="false">IFERROR(($J849*V849)*$M849, "")</f>
        <v>0</v>
      </c>
      <c r="AZ849" s="284" t="n">
        <f aca="false">IFERROR(($J849*W849)*$M849, "")</f>
        <v>0</v>
      </c>
      <c r="BA849" s="284" t="n">
        <f aca="false">IFERROR(($J849*X849)*$M849, "")</f>
        <v>0</v>
      </c>
      <c r="BB849" s="284" t="n">
        <f aca="false">IFERROR(($J849*Y849)*$M849, "")</f>
        <v>0</v>
      </c>
      <c r="BC849" s="285" t="n">
        <f aca="false">IFERROR(($J849*Z849)*$M849, "")</f>
        <v>0</v>
      </c>
      <c r="BD849" s="286" t="n">
        <f aca="false">IFERROR(SUMIF($AB$4:$AM$4, "RDEC", AR849:BC849), "")</f>
        <v>0</v>
      </c>
      <c r="BE849" s="286" t="n">
        <f aca="false">IFERROR(SUMIF($AB$4:$AM$4, "SME", AR849:BC849), "")</f>
        <v>0</v>
      </c>
      <c r="BF849" s="286" t="n">
        <f aca="false">IFERROR(SUMIF($AB$4:$AM$4, "De Minimis", AR849:BC849), "")</f>
        <v>0</v>
      </c>
      <c r="BG849" s="287"/>
      <c r="BH849" s="288" t="str">
        <f aca="false">IF((SUM(O849:Z849)&gt;1),"ERROR","")</f>
        <v/>
      </c>
      <c r="BI849" s="287"/>
      <c r="BJ849" s="18" t="str">
        <f aca="false">IF(C835&gt;0, C835, "")</f>
        <v/>
      </c>
      <c r="BL849" s="200"/>
      <c r="BM849" s="200"/>
      <c r="BN849" s="200"/>
    </row>
    <row r="850" customFormat="false" ht="15" hidden="false" customHeight="true" outlineLevel="0" collapsed="false">
      <c r="B850" s="275"/>
      <c r="D850" s="276" t="n">
        <f aca="false">D834</f>
        <v>45597</v>
      </c>
      <c r="E850" s="277" t="n">
        <v>0</v>
      </c>
      <c r="F850" s="277" t="n">
        <v>0</v>
      </c>
      <c r="G850" s="277" t="n">
        <v>0</v>
      </c>
      <c r="H850" s="277" t="n">
        <v>0</v>
      </c>
      <c r="I850" s="277" t="n">
        <v>0</v>
      </c>
      <c r="J850" s="278" t="n">
        <f aca="false">E850+H850+I850</f>
        <v>0</v>
      </c>
      <c r="K850" s="204"/>
      <c r="L850" s="279" t="n">
        <v>1</v>
      </c>
      <c r="M850" s="280" t="n">
        <f aca="false">1-L850</f>
        <v>0</v>
      </c>
      <c r="N850" s="281"/>
      <c r="O850" s="282"/>
      <c r="P850" s="282"/>
      <c r="Q850" s="282"/>
      <c r="R850" s="282"/>
      <c r="S850" s="282"/>
      <c r="T850" s="282"/>
      <c r="U850" s="282"/>
      <c r="V850" s="282"/>
      <c r="W850" s="282"/>
      <c r="X850" s="282"/>
      <c r="Y850" s="282"/>
      <c r="Z850" s="282"/>
      <c r="AA850" s="283"/>
      <c r="AB850" s="284" t="n">
        <f aca="false">IFERROR(($J850*O850)*$L850, "")</f>
        <v>0</v>
      </c>
      <c r="AC850" s="284" t="n">
        <f aca="false">IFERROR(($J850*P850)*$L850, "")</f>
        <v>0</v>
      </c>
      <c r="AD850" s="284" t="n">
        <f aca="false">IFERROR(($J850*Q850)*$L850, "")</f>
        <v>0</v>
      </c>
      <c r="AE850" s="284" t="n">
        <f aca="false">IFERROR(($J850*R850)*$L850, "")</f>
        <v>0</v>
      </c>
      <c r="AF850" s="284" t="n">
        <f aca="false">IFERROR(($J850*S850)*$L850, "")</f>
        <v>0</v>
      </c>
      <c r="AG850" s="284" t="n">
        <f aca="false">IFERROR(($J850*T850)*$L850, "")</f>
        <v>0</v>
      </c>
      <c r="AH850" s="284" t="n">
        <f aca="false">IFERROR(($J850*U850)*$L850, "")</f>
        <v>0</v>
      </c>
      <c r="AI850" s="284" t="n">
        <f aca="false">IFERROR(($J850*V850)*$L850, "")</f>
        <v>0</v>
      </c>
      <c r="AJ850" s="284" t="n">
        <f aca="false">IFERROR(($J850*W850)*$L850, "")</f>
        <v>0</v>
      </c>
      <c r="AK850" s="284" t="n">
        <f aca="false">IFERROR(($J850*X850)*$L850, "")</f>
        <v>0</v>
      </c>
      <c r="AL850" s="284" t="n">
        <f aca="false">IFERROR(($J850*Y850)*$L850, "")</f>
        <v>0</v>
      </c>
      <c r="AM850" s="285" t="n">
        <f aca="false">IFERROR(($J850*Z850)*$L850, "")</f>
        <v>0</v>
      </c>
      <c r="AN850" s="286" t="n">
        <f aca="false">IFERROR(SUMIF($AB$4:$AM$4, "RDEC", AB850:AM850), "")</f>
        <v>0</v>
      </c>
      <c r="AO850" s="286" t="n">
        <f aca="false">IFERROR(SUMIF($AB$4:$AM$4, "SME", AB850:AM850), "")</f>
        <v>0</v>
      </c>
      <c r="AP850" s="286" t="n">
        <f aca="false">IFERROR(SUMIF($AB$4:$AM$4, "De Minimis", AB850:AM850), "")</f>
        <v>0</v>
      </c>
      <c r="AQ850" s="283"/>
      <c r="AR850" s="284" t="n">
        <f aca="false">IFERROR(($J850*O850)*$M850, "")</f>
        <v>0</v>
      </c>
      <c r="AS850" s="284" t="n">
        <f aca="false">IFERROR(($J850*P850)*$M850, "")</f>
        <v>0</v>
      </c>
      <c r="AT850" s="284" t="n">
        <f aca="false">IFERROR(($J850*Q850)*$M850, "")</f>
        <v>0</v>
      </c>
      <c r="AU850" s="284" t="n">
        <f aca="false">IFERROR(($J850*R850)*$M850, "")</f>
        <v>0</v>
      </c>
      <c r="AV850" s="284" t="n">
        <f aca="false">IFERROR(($J850*S850)*$M850, "")</f>
        <v>0</v>
      </c>
      <c r="AW850" s="284" t="n">
        <f aca="false">IFERROR(($J850*T850)*$M850, "")</f>
        <v>0</v>
      </c>
      <c r="AX850" s="284" t="n">
        <f aca="false">IFERROR(($J850*U850)*$M850, "")</f>
        <v>0</v>
      </c>
      <c r="AY850" s="284" t="n">
        <f aca="false">IFERROR(($J850*V850)*$M850, "")</f>
        <v>0</v>
      </c>
      <c r="AZ850" s="284" t="n">
        <f aca="false">IFERROR(($J850*W850)*$M850, "")</f>
        <v>0</v>
      </c>
      <c r="BA850" s="284" t="n">
        <f aca="false">IFERROR(($J850*X850)*$M850, "")</f>
        <v>0</v>
      </c>
      <c r="BB850" s="284" t="n">
        <f aca="false">IFERROR(($J850*Y850)*$M850, "")</f>
        <v>0</v>
      </c>
      <c r="BC850" s="285" t="n">
        <f aca="false">IFERROR(($J850*Z850)*$M850, "")</f>
        <v>0</v>
      </c>
      <c r="BD850" s="286" t="n">
        <f aca="false">IFERROR(SUMIF($AB$4:$AM$4, "RDEC", AR850:BC850), "")</f>
        <v>0</v>
      </c>
      <c r="BE850" s="286" t="n">
        <f aca="false">IFERROR(SUMIF($AB$4:$AM$4, "SME", AR850:BC850), "")</f>
        <v>0</v>
      </c>
      <c r="BF850" s="286" t="n">
        <f aca="false">IFERROR(SUMIF($AB$4:$AM$4, "De Minimis", AR850:BC850), "")</f>
        <v>0</v>
      </c>
      <c r="BG850" s="287"/>
      <c r="BH850" s="288" t="str">
        <f aca="false">IF((SUM(O850:Z850)&gt;1),"ERROR","")</f>
        <v/>
      </c>
      <c r="BI850" s="287"/>
      <c r="BJ850" s="18" t="str">
        <f aca="false">IF(C836&gt;0, C836, "")</f>
        <v/>
      </c>
      <c r="BL850" s="200"/>
      <c r="BM850" s="200"/>
      <c r="BN850" s="200"/>
    </row>
    <row r="851" customFormat="false" ht="15" hidden="false" customHeight="true" outlineLevel="0" collapsed="false">
      <c r="B851" s="275"/>
      <c r="D851" s="276" t="n">
        <f aca="false">D835</f>
        <v>45627</v>
      </c>
      <c r="E851" s="277" t="n">
        <v>0</v>
      </c>
      <c r="F851" s="277" t="n">
        <v>0</v>
      </c>
      <c r="G851" s="277" t="n">
        <v>0</v>
      </c>
      <c r="H851" s="277" t="n">
        <v>0</v>
      </c>
      <c r="I851" s="277" t="n">
        <v>0</v>
      </c>
      <c r="J851" s="278" t="n">
        <f aca="false">E851+H851+I851</f>
        <v>0</v>
      </c>
      <c r="K851" s="204"/>
      <c r="L851" s="289" t="n">
        <v>1</v>
      </c>
      <c r="M851" s="290" t="n">
        <f aca="false">1-L851</f>
        <v>0</v>
      </c>
      <c r="N851" s="281"/>
      <c r="O851" s="291"/>
      <c r="P851" s="291"/>
      <c r="Q851" s="291"/>
      <c r="R851" s="291"/>
      <c r="S851" s="291"/>
      <c r="T851" s="291"/>
      <c r="U851" s="291"/>
      <c r="V851" s="291"/>
      <c r="W851" s="291"/>
      <c r="X851" s="291"/>
      <c r="Y851" s="291"/>
      <c r="Z851" s="291"/>
      <c r="AA851" s="283"/>
      <c r="AB851" s="292" t="n">
        <f aca="false">IFERROR(($J851*O851)*$L851, "")</f>
        <v>0</v>
      </c>
      <c r="AC851" s="292" t="n">
        <f aca="false">IFERROR(($J851*P851)*$L851, "")</f>
        <v>0</v>
      </c>
      <c r="AD851" s="292" t="n">
        <f aca="false">IFERROR(($J851*Q851)*$L851, "")</f>
        <v>0</v>
      </c>
      <c r="AE851" s="292" t="n">
        <f aca="false">IFERROR(($J851*R851)*$L851, "")</f>
        <v>0</v>
      </c>
      <c r="AF851" s="292" t="n">
        <f aca="false">IFERROR(($J851*S851)*$L851, "")</f>
        <v>0</v>
      </c>
      <c r="AG851" s="292" t="n">
        <f aca="false">IFERROR(($J851*T851)*$L851, "")</f>
        <v>0</v>
      </c>
      <c r="AH851" s="292" t="n">
        <f aca="false">IFERROR(($J851*U851)*$L851, "")</f>
        <v>0</v>
      </c>
      <c r="AI851" s="292" t="n">
        <f aca="false">IFERROR(($J851*V851)*$L851, "")</f>
        <v>0</v>
      </c>
      <c r="AJ851" s="292" t="n">
        <f aca="false">IFERROR(($J851*W851)*$L851, "")</f>
        <v>0</v>
      </c>
      <c r="AK851" s="292" t="n">
        <f aca="false">IFERROR(($J851*X851)*$L851, "")</f>
        <v>0</v>
      </c>
      <c r="AL851" s="292" t="n">
        <f aca="false">IFERROR(($J851*Y851)*$L851, "")</f>
        <v>0</v>
      </c>
      <c r="AM851" s="293" t="n">
        <f aca="false">IFERROR(($J851*Z851)*$L851, "")</f>
        <v>0</v>
      </c>
      <c r="AN851" s="294" t="n">
        <f aca="false">IFERROR(SUMIF($AB$4:$AM$4, "RDEC", AB851:AM851), "")</f>
        <v>0</v>
      </c>
      <c r="AO851" s="294" t="n">
        <f aca="false">IFERROR(SUMIF($AB$4:$AM$4, "SME", AB851:AM851), "")</f>
        <v>0</v>
      </c>
      <c r="AP851" s="294" t="n">
        <f aca="false">IFERROR(SUMIF($AB$4:$AM$4, "De Minimis", AB851:AM851), "")</f>
        <v>0</v>
      </c>
      <c r="AQ851" s="283"/>
      <c r="AR851" s="292" t="n">
        <f aca="false">IFERROR(($J851*O851)*$M851, "")</f>
        <v>0</v>
      </c>
      <c r="AS851" s="292" t="n">
        <f aca="false">IFERROR(($J851*P851)*$M851, "")</f>
        <v>0</v>
      </c>
      <c r="AT851" s="292" t="n">
        <f aca="false">IFERROR(($J851*Q851)*$M851, "")</f>
        <v>0</v>
      </c>
      <c r="AU851" s="292" t="n">
        <f aca="false">IFERROR(($J851*R851)*$M851, "")</f>
        <v>0</v>
      </c>
      <c r="AV851" s="292" t="n">
        <f aca="false">IFERROR(($J851*S851)*$M851, "")</f>
        <v>0</v>
      </c>
      <c r="AW851" s="292" t="n">
        <f aca="false">IFERROR(($J851*T851)*$M851, "")</f>
        <v>0</v>
      </c>
      <c r="AX851" s="292" t="n">
        <f aca="false">IFERROR(($J851*U851)*$M851, "")</f>
        <v>0</v>
      </c>
      <c r="AY851" s="292" t="n">
        <f aca="false">IFERROR(($J851*V851)*$M851, "")</f>
        <v>0</v>
      </c>
      <c r="AZ851" s="292" t="n">
        <f aca="false">IFERROR(($J851*W851)*$M851, "")</f>
        <v>0</v>
      </c>
      <c r="BA851" s="292" t="n">
        <f aca="false">IFERROR(($J851*X851)*$M851, "")</f>
        <v>0</v>
      </c>
      <c r="BB851" s="292" t="n">
        <f aca="false">IFERROR(($J851*Y851)*$M851, "")</f>
        <v>0</v>
      </c>
      <c r="BC851" s="293" t="n">
        <f aca="false">IFERROR(($J851*Z851)*$M851, "")</f>
        <v>0</v>
      </c>
      <c r="BD851" s="294" t="n">
        <f aca="false">IFERROR(SUMIF($AB$4:$AM$4, "RDEC", AR851:BC851), "")</f>
        <v>0</v>
      </c>
      <c r="BE851" s="294" t="n">
        <f aca="false">IFERROR(SUMIF($AB$4:$AM$4, "SME", AR851:BC851), "")</f>
        <v>0</v>
      </c>
      <c r="BF851" s="294" t="n">
        <f aca="false">IFERROR(SUMIF($AB$4:$AM$4, "De Minimis", AR851:BC851), "")</f>
        <v>0</v>
      </c>
      <c r="BG851" s="287"/>
      <c r="BH851" s="295" t="str">
        <f aca="false">IF((SUM(O851:Z851)&gt;1),"ERROR","")</f>
        <v/>
      </c>
      <c r="BI851" s="287"/>
      <c r="BJ851" s="18" t="str">
        <f aca="false">IF(C837&gt;0, C837, "")</f>
        <v/>
      </c>
      <c r="BL851" s="200"/>
      <c r="BM851" s="200"/>
      <c r="BN851" s="200"/>
    </row>
    <row r="852" customFormat="false" ht="15" hidden="false" customHeight="true" outlineLevel="0" collapsed="false">
      <c r="B852" s="296"/>
      <c r="D852" s="297" t="s">
        <v>82</v>
      </c>
      <c r="E852" s="298" t="n">
        <f aca="false">SUM(E840:E851)</f>
        <v>0</v>
      </c>
      <c r="F852" s="298" t="n">
        <f aca="false">SUM(F840:F851)</f>
        <v>0</v>
      </c>
      <c r="G852" s="298" t="n">
        <f aca="false">SUM(G840:G851)</f>
        <v>0</v>
      </c>
      <c r="H852" s="298" t="n">
        <f aca="false">SUM(H840:H851)</f>
        <v>0</v>
      </c>
      <c r="I852" s="298" t="n">
        <f aca="false">SUM(I840:I851)</f>
        <v>0</v>
      </c>
      <c r="J852" s="299" t="n">
        <f aca="false">SUM(J840:J851)</f>
        <v>0</v>
      </c>
      <c r="K852" s="300"/>
      <c r="L852" s="301" t="n">
        <f aca="false">AVERAGE(L840:L851)</f>
        <v>1</v>
      </c>
      <c r="M852" s="301" t="n">
        <f aca="false">AVERAGE(M840:M851)</f>
        <v>0</v>
      </c>
      <c r="N852" s="302"/>
      <c r="O852" s="290" t="n">
        <f aca="false">IF(SUM(O840:O851)&gt;0,((AB852+AR852)/J852),0)</f>
        <v>0</v>
      </c>
      <c r="P852" s="290" t="n">
        <f aca="false">IF(SUM(P840:P851)&gt;0,((AC852+AS852)/J852),0)</f>
        <v>0</v>
      </c>
      <c r="Q852" s="290" t="n">
        <f aca="false">IF(SUM(Q840:Q851)&gt;0,((AD852+AT852)/J852),0)</f>
        <v>0</v>
      </c>
      <c r="R852" s="290" t="n">
        <f aca="false">IF(SUM(R840:R851)&gt;0,((AE852+AU852)/J852),0)</f>
        <v>0</v>
      </c>
      <c r="S852" s="290" t="n">
        <f aca="false">IF(SUM(S840:S851)&gt;0,((AF852+AV852)/J852),0)</f>
        <v>0</v>
      </c>
      <c r="T852" s="290" t="n">
        <f aca="false">IF(SUM(T840:T851)&gt;0,((AG852+AW852)/J852),0)</f>
        <v>0</v>
      </c>
      <c r="U852" s="290" t="n">
        <f aca="false">IF(SUM(U840:U851)&gt;0,((AH852+AX852)/J852),0)</f>
        <v>0</v>
      </c>
      <c r="V852" s="290" t="n">
        <f aca="false">IF(SUM(V840:V851)&gt;0,((AI852+AY852)/J852),0)</f>
        <v>0</v>
      </c>
      <c r="W852" s="290" t="n">
        <f aca="false">IF(SUM(W840:W851)&gt;0,((AJ852+AZ852)/J852),0)</f>
        <v>0</v>
      </c>
      <c r="X852" s="290" t="n">
        <f aca="false">IF(SUM(X840:X851)&gt;0,((AK852+BA852)/J852),0)</f>
        <v>0</v>
      </c>
      <c r="Y852" s="290" t="n">
        <f aca="false">IF(SUM(Y840:Y851)&gt;0,((AL852+BB852)/J852),0)</f>
        <v>0</v>
      </c>
      <c r="Z852" s="290" t="n">
        <f aca="false">IF(SUM(Z840:Z851)&gt;0,((AM852+BC852)/J852),0)</f>
        <v>0</v>
      </c>
      <c r="AA852" s="303"/>
      <c r="AB852" s="292" t="n">
        <f aca="false">SUM(AB840:AB851)</f>
        <v>0</v>
      </c>
      <c r="AC852" s="304" t="n">
        <f aca="false">SUM(AC840:AC851)</f>
        <v>0</v>
      </c>
      <c r="AD852" s="304" t="n">
        <f aca="false">SUM(AD840:AD851)</f>
        <v>0</v>
      </c>
      <c r="AE852" s="304" t="n">
        <f aca="false">SUM(AE840:AE851)</f>
        <v>0</v>
      </c>
      <c r="AF852" s="304" t="n">
        <f aca="false">SUM(AF840:AF851)</f>
        <v>0</v>
      </c>
      <c r="AG852" s="304" t="n">
        <f aca="false">SUM(AG840:AG851)</f>
        <v>0</v>
      </c>
      <c r="AH852" s="304" t="n">
        <f aca="false">SUM(AH840:AH851)</f>
        <v>0</v>
      </c>
      <c r="AI852" s="304" t="n">
        <f aca="false">SUM(AI840:AI851)</f>
        <v>0</v>
      </c>
      <c r="AJ852" s="304" t="n">
        <f aca="false">SUM(AJ840:AJ851)</f>
        <v>0</v>
      </c>
      <c r="AK852" s="304" t="n">
        <f aca="false">SUM(AK840:AK851)</f>
        <v>0</v>
      </c>
      <c r="AL852" s="304" t="n">
        <f aca="false">SUM(AL840:AL851)</f>
        <v>0</v>
      </c>
      <c r="AM852" s="304" t="n">
        <f aca="false">SUM(AM840:AM851)</f>
        <v>0</v>
      </c>
      <c r="AN852" s="305" t="n">
        <f aca="false">SUM(AN840:AN851)</f>
        <v>0</v>
      </c>
      <c r="AO852" s="305" t="n">
        <f aca="false">SUM(AO840:AO851)</f>
        <v>0</v>
      </c>
      <c r="AP852" s="305" t="n">
        <f aca="false">SUM(AP840:AP851)</f>
        <v>0</v>
      </c>
      <c r="AQ852" s="303"/>
      <c r="AR852" s="292" t="n">
        <f aca="false">SUM(AR840:AR851)</f>
        <v>0</v>
      </c>
      <c r="AS852" s="304" t="n">
        <f aca="false">SUM(AS840:AS851)</f>
        <v>0</v>
      </c>
      <c r="AT852" s="304" t="n">
        <f aca="false">SUM(AT840:AT851)</f>
        <v>0</v>
      </c>
      <c r="AU852" s="304" t="n">
        <f aca="false">SUM(AU840:AU851)</f>
        <v>0</v>
      </c>
      <c r="AV852" s="304" t="n">
        <f aca="false">SUM(AV840:AV851)</f>
        <v>0</v>
      </c>
      <c r="AW852" s="304" t="n">
        <f aca="false">SUM(AW840:AW851)</f>
        <v>0</v>
      </c>
      <c r="AX852" s="304" t="n">
        <f aca="false">SUM(AX840:AX851)</f>
        <v>0</v>
      </c>
      <c r="AY852" s="304" t="n">
        <f aca="false">SUM(AY840:AY851)</f>
        <v>0</v>
      </c>
      <c r="AZ852" s="304" t="n">
        <f aca="false">SUM(AZ840:AZ851)</f>
        <v>0</v>
      </c>
      <c r="BA852" s="304" t="n">
        <f aca="false">SUM(BA840:BA851)</f>
        <v>0</v>
      </c>
      <c r="BB852" s="304" t="n">
        <f aca="false">SUM(BB840:BB851)</f>
        <v>0</v>
      </c>
      <c r="BC852" s="304" t="n">
        <f aca="false">SUM(BC840:BC851)</f>
        <v>0</v>
      </c>
      <c r="BD852" s="305" t="n">
        <f aca="false">SUM(BD840:BD851)</f>
        <v>0</v>
      </c>
      <c r="BE852" s="305" t="n">
        <f aca="false">SUM(BE840:BE851)</f>
        <v>0</v>
      </c>
      <c r="BF852" s="305" t="n">
        <f aca="false">SUM(BF840:BF851)</f>
        <v>0</v>
      </c>
      <c r="BG852" s="303"/>
      <c r="BH852" s="306"/>
      <c r="BI852" s="303"/>
      <c r="BJ852" s="307" t="str">
        <f aca="false">IF(C838&gt;0, C838, "")</f>
        <v>TBA</v>
      </c>
      <c r="BK852" s="18" t="s">
        <v>234</v>
      </c>
      <c r="BL852" s="200" t="n">
        <f aca="false">IF($BK852="Y",J852,0)</f>
        <v>0</v>
      </c>
      <c r="BM852" s="200" t="n">
        <f aca="false">IF(BK852="Y", AN852,0)</f>
        <v>0</v>
      </c>
      <c r="BN852" s="200" t="n">
        <f aca="false">IF((BK852="Y"),AO852,0)</f>
        <v>0</v>
      </c>
    </row>
    <row r="853" customFormat="false" ht="15" hidden="false" customHeight="true" outlineLevel="0" collapsed="false">
      <c r="B853" s="296"/>
      <c r="D853" s="297"/>
      <c r="E853" s="277"/>
      <c r="F853" s="277"/>
      <c r="G853" s="277"/>
      <c r="H853" s="277"/>
      <c r="I853" s="277"/>
      <c r="J853" s="300"/>
      <c r="K853" s="300"/>
      <c r="L853" s="302"/>
      <c r="M853" s="302"/>
      <c r="N853" s="302"/>
      <c r="O853" s="308"/>
      <c r="P853" s="308"/>
      <c r="Q853" s="308"/>
      <c r="R853" s="308"/>
      <c r="S853" s="308"/>
      <c r="T853" s="308"/>
      <c r="U853" s="308"/>
      <c r="V853" s="308"/>
      <c r="W853" s="308"/>
      <c r="X853" s="308"/>
      <c r="Y853" s="308"/>
      <c r="Z853" s="308"/>
      <c r="AA853" s="303"/>
      <c r="AB853" s="303"/>
      <c r="AC853" s="303"/>
      <c r="AD853" s="303"/>
      <c r="AE853" s="303"/>
      <c r="AF853" s="303"/>
      <c r="AG853" s="303"/>
      <c r="AH853" s="303"/>
      <c r="AI853" s="303"/>
      <c r="AJ853" s="303"/>
      <c r="AK853" s="303"/>
      <c r="AL853" s="303"/>
      <c r="AM853" s="303"/>
      <c r="AN853" s="303"/>
      <c r="AO853" s="303"/>
      <c r="AP853" s="303"/>
      <c r="AQ853" s="303"/>
      <c r="AR853" s="303"/>
      <c r="AS853" s="303"/>
      <c r="AT853" s="303"/>
      <c r="AU853" s="303"/>
      <c r="AV853" s="303"/>
      <c r="AW853" s="303"/>
      <c r="AX853" s="303"/>
      <c r="AY853" s="303"/>
      <c r="AZ853" s="303"/>
      <c r="BA853" s="303"/>
      <c r="BB853" s="303"/>
      <c r="BC853" s="303"/>
      <c r="BD853" s="303"/>
      <c r="BE853" s="303"/>
      <c r="BF853" s="303"/>
      <c r="BG853" s="303"/>
      <c r="BH853" s="303"/>
      <c r="BI853" s="303"/>
      <c r="BJ853" s="307" t="str">
        <f aca="false">IF(C840&gt;0, C840, "")</f>
        <v/>
      </c>
      <c r="BL853" s="200"/>
      <c r="BM853" s="200"/>
      <c r="BN853" s="200"/>
    </row>
    <row r="854" customFormat="false" ht="15" hidden="false" customHeight="true" outlineLevel="0" collapsed="false">
      <c r="A854" s="198" t="n">
        <f aca="false">A838+1</f>
        <v>54</v>
      </c>
      <c r="B854" s="266" t="s">
        <v>253</v>
      </c>
      <c r="C854" s="266" t="s">
        <v>253</v>
      </c>
      <c r="D854" s="267"/>
      <c r="E854" s="242"/>
      <c r="F854" s="242"/>
      <c r="G854" s="242"/>
      <c r="H854" s="242"/>
      <c r="I854" s="242"/>
      <c r="J854" s="241"/>
      <c r="K854" s="241"/>
      <c r="L854" s="241"/>
      <c r="M854" s="241"/>
      <c r="N854" s="241"/>
      <c r="O854" s="268"/>
      <c r="P854" s="268"/>
      <c r="Q854" s="268"/>
      <c r="R854" s="268"/>
      <c r="S854" s="268"/>
      <c r="T854" s="268"/>
      <c r="U854" s="268"/>
      <c r="V854" s="268"/>
      <c r="W854" s="268"/>
      <c r="X854" s="268"/>
      <c r="Y854" s="268"/>
      <c r="Z854" s="268"/>
      <c r="AA854" s="268"/>
      <c r="AB854" s="268"/>
      <c r="AC854" s="268"/>
      <c r="AD854" s="268"/>
      <c r="AE854" s="268"/>
      <c r="AF854" s="268"/>
      <c r="AG854" s="268"/>
      <c r="AH854" s="268"/>
      <c r="AI854" s="268"/>
      <c r="AJ854" s="268"/>
      <c r="AK854" s="268"/>
      <c r="AL854" s="268"/>
      <c r="AM854" s="268"/>
      <c r="AN854" s="268"/>
      <c r="AO854" s="268"/>
      <c r="AP854" s="268"/>
      <c r="AQ854" s="268"/>
      <c r="AR854" s="268"/>
      <c r="AS854" s="268"/>
      <c r="AT854" s="268"/>
      <c r="AU854" s="268"/>
      <c r="AV854" s="268"/>
      <c r="AW854" s="268"/>
      <c r="AX854" s="268"/>
      <c r="AY854" s="268"/>
      <c r="AZ854" s="268"/>
      <c r="BA854" s="268"/>
      <c r="BB854" s="268"/>
      <c r="BC854" s="268"/>
      <c r="BD854" s="268"/>
      <c r="BE854" s="268"/>
      <c r="BF854" s="268"/>
      <c r="BG854" s="268"/>
      <c r="BH854" s="268"/>
      <c r="BI854" s="268"/>
      <c r="BJ854" s="18" t="str">
        <f aca="false">IF(C841&gt;0, C841, "")</f>
        <v/>
      </c>
      <c r="BL854" s="200"/>
      <c r="BM854" s="200"/>
      <c r="BN854" s="200"/>
    </row>
    <row r="855" customFormat="false" ht="7.5" hidden="false" customHeight="true" outlineLevel="0" collapsed="false">
      <c r="A855" s="198"/>
      <c r="B855" s="266"/>
      <c r="C855" s="266"/>
      <c r="D855" s="267"/>
      <c r="E855" s="242"/>
      <c r="F855" s="242"/>
      <c r="G855" s="242"/>
      <c r="H855" s="242"/>
      <c r="I855" s="242"/>
      <c r="J855" s="241"/>
      <c r="K855" s="241"/>
      <c r="L855" s="269"/>
      <c r="M855" s="269"/>
      <c r="N855" s="270"/>
      <c r="O855" s="269"/>
      <c r="P855" s="269"/>
      <c r="Q855" s="269"/>
      <c r="R855" s="269"/>
      <c r="S855" s="269"/>
      <c r="T855" s="269"/>
      <c r="U855" s="269"/>
      <c r="V855" s="269"/>
      <c r="W855" s="269"/>
      <c r="X855" s="269"/>
      <c r="Y855" s="269"/>
      <c r="Z855" s="269"/>
      <c r="AA855" s="268"/>
      <c r="AB855" s="271"/>
      <c r="AC855" s="271"/>
      <c r="AD855" s="271"/>
      <c r="AE855" s="271"/>
      <c r="AF855" s="271"/>
      <c r="AG855" s="271"/>
      <c r="AH855" s="271"/>
      <c r="AI855" s="271"/>
      <c r="AJ855" s="271"/>
      <c r="AK855" s="271"/>
      <c r="AL855" s="271"/>
      <c r="AM855" s="272"/>
      <c r="AN855" s="273"/>
      <c r="AO855" s="273"/>
      <c r="AP855" s="273"/>
      <c r="AQ855" s="268"/>
      <c r="AR855" s="271"/>
      <c r="AS855" s="271"/>
      <c r="AT855" s="271"/>
      <c r="AU855" s="271"/>
      <c r="AV855" s="271"/>
      <c r="AW855" s="271"/>
      <c r="AX855" s="271"/>
      <c r="AY855" s="271"/>
      <c r="AZ855" s="271"/>
      <c r="BA855" s="271"/>
      <c r="BB855" s="271"/>
      <c r="BC855" s="272"/>
      <c r="BD855" s="273"/>
      <c r="BE855" s="273"/>
      <c r="BF855" s="273"/>
      <c r="BG855" s="268"/>
      <c r="BH855" s="274"/>
      <c r="BI855" s="268"/>
      <c r="BL855" s="200"/>
      <c r="BM855" s="200"/>
      <c r="BN855" s="200"/>
    </row>
    <row r="856" customFormat="false" ht="15" hidden="false" customHeight="true" outlineLevel="0" collapsed="false">
      <c r="B856" s="275"/>
      <c r="D856" s="276" t="n">
        <f aca="false">D840</f>
        <v>45292</v>
      </c>
      <c r="E856" s="277" t="n">
        <v>0</v>
      </c>
      <c r="F856" s="277" t="n">
        <v>0</v>
      </c>
      <c r="G856" s="277" t="n">
        <v>0</v>
      </c>
      <c r="H856" s="277" t="n">
        <v>0</v>
      </c>
      <c r="I856" s="277" t="n">
        <v>0</v>
      </c>
      <c r="J856" s="278" t="n">
        <f aca="false">E856+H856+I856</f>
        <v>0</v>
      </c>
      <c r="K856" s="204"/>
      <c r="L856" s="279" t="n">
        <v>1</v>
      </c>
      <c r="M856" s="280" t="n">
        <f aca="false">1-L856</f>
        <v>0</v>
      </c>
      <c r="N856" s="281"/>
      <c r="O856" s="282"/>
      <c r="P856" s="282"/>
      <c r="Q856" s="282"/>
      <c r="R856" s="282"/>
      <c r="S856" s="282"/>
      <c r="T856" s="282"/>
      <c r="U856" s="282"/>
      <c r="V856" s="282"/>
      <c r="W856" s="282"/>
      <c r="X856" s="282"/>
      <c r="Y856" s="282"/>
      <c r="Z856" s="282"/>
      <c r="AA856" s="283"/>
      <c r="AB856" s="284" t="n">
        <f aca="false">IFERROR(($J856*O856)*$L856, "")</f>
        <v>0</v>
      </c>
      <c r="AC856" s="284" t="n">
        <f aca="false">IFERROR(($J856*P856)*$L856, "")</f>
        <v>0</v>
      </c>
      <c r="AD856" s="284" t="n">
        <f aca="false">IFERROR(($J856*Q856)*$L856, "")</f>
        <v>0</v>
      </c>
      <c r="AE856" s="284" t="n">
        <f aca="false">IFERROR(($J856*R856)*$L856, "")</f>
        <v>0</v>
      </c>
      <c r="AF856" s="284" t="n">
        <f aca="false">IFERROR(($J856*S856)*$L856, "")</f>
        <v>0</v>
      </c>
      <c r="AG856" s="284" t="n">
        <f aca="false">IFERROR(($J856*T856)*$L856, "")</f>
        <v>0</v>
      </c>
      <c r="AH856" s="284" t="n">
        <f aca="false">IFERROR(($J856*U856)*$L856, "")</f>
        <v>0</v>
      </c>
      <c r="AI856" s="284" t="n">
        <f aca="false">IFERROR(($J856*V856)*$L856, "")</f>
        <v>0</v>
      </c>
      <c r="AJ856" s="284" t="n">
        <f aca="false">IFERROR(($J856*W856)*$L856, "")</f>
        <v>0</v>
      </c>
      <c r="AK856" s="284" t="n">
        <f aca="false">IFERROR(($J856*X856)*$L856, "")</f>
        <v>0</v>
      </c>
      <c r="AL856" s="284" t="n">
        <f aca="false">IFERROR(($J856*Y856)*$L856, "")</f>
        <v>0</v>
      </c>
      <c r="AM856" s="285" t="n">
        <f aca="false">IFERROR(($J856*Z856)*$L856, "")</f>
        <v>0</v>
      </c>
      <c r="AN856" s="286" t="n">
        <f aca="false">IFERROR(SUMIF($AB$4:$AM$4, "RDEC", AB856:AM856), "")</f>
        <v>0</v>
      </c>
      <c r="AO856" s="286" t="n">
        <f aca="false">IFERROR(SUMIF($AB$4:$AM$4, "SME", AB856:AM856), "")</f>
        <v>0</v>
      </c>
      <c r="AP856" s="286" t="n">
        <f aca="false">IFERROR(SUMIF($AB$4:$AM$4, "De Minimis", AB856:AM856), "")</f>
        <v>0</v>
      </c>
      <c r="AQ856" s="283"/>
      <c r="AR856" s="284" t="n">
        <f aca="false">IFERROR(($J856*O856)*$M856, "")</f>
        <v>0</v>
      </c>
      <c r="AS856" s="284" t="n">
        <f aca="false">IFERROR(($J856*P856)*$M856, "")</f>
        <v>0</v>
      </c>
      <c r="AT856" s="284" t="n">
        <f aca="false">IFERROR(($J856*Q856)*$M856, "")</f>
        <v>0</v>
      </c>
      <c r="AU856" s="284" t="n">
        <f aca="false">IFERROR(($J856*R856)*$M856, "")</f>
        <v>0</v>
      </c>
      <c r="AV856" s="284" t="n">
        <f aca="false">IFERROR(($J856*S856)*$M856, "")</f>
        <v>0</v>
      </c>
      <c r="AW856" s="284" t="n">
        <f aca="false">IFERROR(($J856*T856)*$M856, "")</f>
        <v>0</v>
      </c>
      <c r="AX856" s="284" t="n">
        <f aca="false">IFERROR(($J856*U856)*$M856, "")</f>
        <v>0</v>
      </c>
      <c r="AY856" s="284" t="n">
        <f aca="false">IFERROR(($J856*V856)*$M856, "")</f>
        <v>0</v>
      </c>
      <c r="AZ856" s="284" t="n">
        <f aca="false">IFERROR(($J856*W856)*$M856, "")</f>
        <v>0</v>
      </c>
      <c r="BA856" s="284" t="n">
        <f aca="false">IFERROR(($J856*X856)*$M856, "")</f>
        <v>0</v>
      </c>
      <c r="BB856" s="284" t="n">
        <f aca="false">IFERROR(($J856*Y856)*$M856, "")</f>
        <v>0</v>
      </c>
      <c r="BC856" s="285" t="n">
        <f aca="false">IFERROR(($J856*Z856)*$M856, "")</f>
        <v>0</v>
      </c>
      <c r="BD856" s="286" t="n">
        <f aca="false">IFERROR(SUMIF($AB$4:$AM$4, "RDEC", AR856:BC856), "")</f>
        <v>0</v>
      </c>
      <c r="BE856" s="286" t="n">
        <f aca="false">IFERROR(SUMIF($AB$4:$AM$4, "SME", AR856:BC856), "")</f>
        <v>0</v>
      </c>
      <c r="BF856" s="286" t="n">
        <f aca="false">IFERROR(SUMIF($AB$4:$AM$4, "De Minimis", AR856:BC856), "")</f>
        <v>0</v>
      </c>
      <c r="BG856" s="287"/>
      <c r="BH856" s="288" t="str">
        <f aca="false">IF((SUM(O856:Z856)&gt;1),"ERROR","")</f>
        <v/>
      </c>
      <c r="BI856" s="287"/>
      <c r="BJ856" s="18" t="str">
        <f aca="false">IF(C842&gt;0, C842, "")</f>
        <v/>
      </c>
      <c r="BL856" s="200"/>
      <c r="BM856" s="200"/>
      <c r="BN856" s="200"/>
    </row>
    <row r="857" customFormat="false" ht="15" hidden="false" customHeight="true" outlineLevel="0" collapsed="false">
      <c r="B857" s="275"/>
      <c r="D857" s="276" t="n">
        <f aca="false">D841</f>
        <v>45323</v>
      </c>
      <c r="E857" s="277" t="n">
        <v>0</v>
      </c>
      <c r="F857" s="277" t="n">
        <v>0</v>
      </c>
      <c r="G857" s="277" t="n">
        <v>0</v>
      </c>
      <c r="H857" s="277" t="n">
        <v>0</v>
      </c>
      <c r="I857" s="277" t="n">
        <v>0</v>
      </c>
      <c r="J857" s="278" t="n">
        <f aca="false">E857+H857+I857</f>
        <v>0</v>
      </c>
      <c r="K857" s="204"/>
      <c r="L857" s="279" t="n">
        <v>1</v>
      </c>
      <c r="M857" s="280" t="n">
        <f aca="false">1-L857</f>
        <v>0</v>
      </c>
      <c r="N857" s="281"/>
      <c r="O857" s="282"/>
      <c r="P857" s="282"/>
      <c r="Q857" s="282"/>
      <c r="R857" s="282"/>
      <c r="S857" s="282"/>
      <c r="T857" s="282"/>
      <c r="U857" s="282"/>
      <c r="V857" s="282"/>
      <c r="W857" s="282"/>
      <c r="X857" s="282"/>
      <c r="Y857" s="282"/>
      <c r="Z857" s="282"/>
      <c r="AA857" s="283"/>
      <c r="AB857" s="284" t="n">
        <f aca="false">IFERROR(($J857*O857)*$L857, "")</f>
        <v>0</v>
      </c>
      <c r="AC857" s="284" t="n">
        <f aca="false">IFERROR(($J857*P857)*$L857, "")</f>
        <v>0</v>
      </c>
      <c r="AD857" s="284" t="n">
        <f aca="false">IFERROR(($J857*Q857)*$L857, "")</f>
        <v>0</v>
      </c>
      <c r="AE857" s="284" t="n">
        <f aca="false">IFERROR(($J857*R857)*$L857, "")</f>
        <v>0</v>
      </c>
      <c r="AF857" s="284" t="n">
        <f aca="false">IFERROR(($J857*S857)*$L857, "")</f>
        <v>0</v>
      </c>
      <c r="AG857" s="284" t="n">
        <f aca="false">IFERROR(($J857*T857)*$L857, "")</f>
        <v>0</v>
      </c>
      <c r="AH857" s="284" t="n">
        <f aca="false">IFERROR(($J857*U857)*$L857, "")</f>
        <v>0</v>
      </c>
      <c r="AI857" s="284" t="n">
        <f aca="false">IFERROR(($J857*V857)*$L857, "")</f>
        <v>0</v>
      </c>
      <c r="AJ857" s="284" t="n">
        <f aca="false">IFERROR(($J857*W857)*$L857, "")</f>
        <v>0</v>
      </c>
      <c r="AK857" s="284" t="n">
        <f aca="false">IFERROR(($J857*X857)*$L857, "")</f>
        <v>0</v>
      </c>
      <c r="AL857" s="284" t="n">
        <f aca="false">IFERROR(($J857*Y857)*$L857, "")</f>
        <v>0</v>
      </c>
      <c r="AM857" s="285" t="n">
        <f aca="false">IFERROR(($J857*Z857)*$L857, "")</f>
        <v>0</v>
      </c>
      <c r="AN857" s="286" t="n">
        <f aca="false">IFERROR(SUMIF($AB$4:$AM$4, "RDEC", AB857:AM857), "")</f>
        <v>0</v>
      </c>
      <c r="AO857" s="286" t="n">
        <f aca="false">IFERROR(SUMIF($AB$4:$AM$4, "SME", AB857:AM857), "")</f>
        <v>0</v>
      </c>
      <c r="AP857" s="286" t="n">
        <f aca="false">IFERROR(SUMIF($AB$4:$AM$4, "De Minimis", AB857:AM857), "")</f>
        <v>0</v>
      </c>
      <c r="AQ857" s="283"/>
      <c r="AR857" s="284" t="n">
        <f aca="false">IFERROR(($J857*O857)*$M857, "")</f>
        <v>0</v>
      </c>
      <c r="AS857" s="284" t="n">
        <f aca="false">IFERROR(($J857*P857)*$M857, "")</f>
        <v>0</v>
      </c>
      <c r="AT857" s="284" t="n">
        <f aca="false">IFERROR(($J857*Q857)*$M857, "")</f>
        <v>0</v>
      </c>
      <c r="AU857" s="284" t="n">
        <f aca="false">IFERROR(($J857*R857)*$M857, "")</f>
        <v>0</v>
      </c>
      <c r="AV857" s="284" t="n">
        <f aca="false">IFERROR(($J857*S857)*$M857, "")</f>
        <v>0</v>
      </c>
      <c r="AW857" s="284" t="n">
        <f aca="false">IFERROR(($J857*T857)*$M857, "")</f>
        <v>0</v>
      </c>
      <c r="AX857" s="284" t="n">
        <f aca="false">IFERROR(($J857*U857)*$M857, "")</f>
        <v>0</v>
      </c>
      <c r="AY857" s="284" t="n">
        <f aca="false">IFERROR(($J857*V857)*$M857, "")</f>
        <v>0</v>
      </c>
      <c r="AZ857" s="284" t="n">
        <f aca="false">IFERROR(($J857*W857)*$M857, "")</f>
        <v>0</v>
      </c>
      <c r="BA857" s="284" t="n">
        <f aca="false">IFERROR(($J857*X857)*$M857, "")</f>
        <v>0</v>
      </c>
      <c r="BB857" s="284" t="n">
        <f aca="false">IFERROR(($J857*Y857)*$M857, "")</f>
        <v>0</v>
      </c>
      <c r="BC857" s="285" t="n">
        <f aca="false">IFERROR(($J857*Z857)*$M857, "")</f>
        <v>0</v>
      </c>
      <c r="BD857" s="286" t="n">
        <f aca="false">IFERROR(SUMIF($AB$4:$AM$4, "RDEC", AR857:BC857), "")</f>
        <v>0</v>
      </c>
      <c r="BE857" s="286" t="n">
        <f aca="false">IFERROR(SUMIF($AB$4:$AM$4, "SME", AR857:BC857), "")</f>
        <v>0</v>
      </c>
      <c r="BF857" s="286" t="n">
        <f aca="false">IFERROR(SUMIF($AB$4:$AM$4, "De Minimis", AR857:BC857), "")</f>
        <v>0</v>
      </c>
      <c r="BG857" s="287"/>
      <c r="BH857" s="288" t="str">
        <f aca="false">IF((SUM(O857:Z857)&gt;1),"ERROR","")</f>
        <v/>
      </c>
      <c r="BI857" s="287"/>
      <c r="BJ857" s="18" t="str">
        <f aca="false">IF(C843&gt;0, C843, "")</f>
        <v/>
      </c>
      <c r="BL857" s="200"/>
      <c r="BM857" s="200"/>
      <c r="BN857" s="200"/>
    </row>
    <row r="858" customFormat="false" ht="15" hidden="false" customHeight="true" outlineLevel="0" collapsed="false">
      <c r="B858" s="275"/>
      <c r="D858" s="276" t="n">
        <f aca="false">D842</f>
        <v>45352</v>
      </c>
      <c r="E858" s="277" t="n">
        <v>0</v>
      </c>
      <c r="F858" s="277" t="n">
        <v>0</v>
      </c>
      <c r="G858" s="277" t="n">
        <v>0</v>
      </c>
      <c r="H858" s="277" t="n">
        <v>0</v>
      </c>
      <c r="I858" s="277" t="n">
        <v>0</v>
      </c>
      <c r="J858" s="278" t="n">
        <f aca="false">E858+H858+I858</f>
        <v>0</v>
      </c>
      <c r="K858" s="204"/>
      <c r="L858" s="279" t="n">
        <v>1</v>
      </c>
      <c r="M858" s="280" t="n">
        <f aca="false">1-L858</f>
        <v>0</v>
      </c>
      <c r="N858" s="281"/>
      <c r="O858" s="282"/>
      <c r="P858" s="282"/>
      <c r="Q858" s="282"/>
      <c r="R858" s="282"/>
      <c r="S858" s="282"/>
      <c r="T858" s="282"/>
      <c r="U858" s="282"/>
      <c r="V858" s="282"/>
      <c r="W858" s="282"/>
      <c r="X858" s="282"/>
      <c r="Y858" s="282"/>
      <c r="Z858" s="282"/>
      <c r="AA858" s="283"/>
      <c r="AB858" s="284" t="n">
        <f aca="false">IFERROR(($J858*O858)*$L858, "")</f>
        <v>0</v>
      </c>
      <c r="AC858" s="284" t="n">
        <f aca="false">IFERROR(($J858*P858)*$L858, "")</f>
        <v>0</v>
      </c>
      <c r="AD858" s="284" t="n">
        <f aca="false">IFERROR(($J858*Q858)*$L858, "")</f>
        <v>0</v>
      </c>
      <c r="AE858" s="284" t="n">
        <f aca="false">IFERROR(($J858*R858)*$L858, "")</f>
        <v>0</v>
      </c>
      <c r="AF858" s="284" t="n">
        <f aca="false">IFERROR(($J858*S858)*$L858, "")</f>
        <v>0</v>
      </c>
      <c r="AG858" s="284" t="n">
        <f aca="false">IFERROR(($J858*T858)*$L858, "")</f>
        <v>0</v>
      </c>
      <c r="AH858" s="284" t="n">
        <f aca="false">IFERROR(($J858*U858)*$L858, "")</f>
        <v>0</v>
      </c>
      <c r="AI858" s="284" t="n">
        <f aca="false">IFERROR(($J858*V858)*$L858, "")</f>
        <v>0</v>
      </c>
      <c r="AJ858" s="284" t="n">
        <f aca="false">IFERROR(($J858*W858)*$L858, "")</f>
        <v>0</v>
      </c>
      <c r="AK858" s="284" t="n">
        <f aca="false">IFERROR(($J858*X858)*$L858, "")</f>
        <v>0</v>
      </c>
      <c r="AL858" s="284" t="n">
        <f aca="false">IFERROR(($J858*Y858)*$L858, "")</f>
        <v>0</v>
      </c>
      <c r="AM858" s="285" t="n">
        <f aca="false">IFERROR(($J858*Z858)*$L858, "")</f>
        <v>0</v>
      </c>
      <c r="AN858" s="286" t="n">
        <f aca="false">IFERROR(SUMIF($AB$4:$AM$4, "RDEC", AB858:AM858), "")</f>
        <v>0</v>
      </c>
      <c r="AO858" s="286" t="n">
        <f aca="false">IFERROR(SUMIF($AB$4:$AM$4, "SME", AB858:AM858), "")</f>
        <v>0</v>
      </c>
      <c r="AP858" s="286" t="n">
        <f aca="false">IFERROR(SUMIF($AB$4:$AM$4, "De Minimis", AB858:AM858), "")</f>
        <v>0</v>
      </c>
      <c r="AQ858" s="283"/>
      <c r="AR858" s="284" t="n">
        <f aca="false">IFERROR(($J858*O858)*$M858, "")</f>
        <v>0</v>
      </c>
      <c r="AS858" s="284" t="n">
        <f aca="false">IFERROR(($J858*P858)*$M858, "")</f>
        <v>0</v>
      </c>
      <c r="AT858" s="284" t="n">
        <f aca="false">IFERROR(($J858*Q858)*$M858, "")</f>
        <v>0</v>
      </c>
      <c r="AU858" s="284" t="n">
        <f aca="false">IFERROR(($J858*R858)*$M858, "")</f>
        <v>0</v>
      </c>
      <c r="AV858" s="284" t="n">
        <f aca="false">IFERROR(($J858*S858)*$M858, "")</f>
        <v>0</v>
      </c>
      <c r="AW858" s="284" t="n">
        <f aca="false">IFERROR(($J858*T858)*$M858, "")</f>
        <v>0</v>
      </c>
      <c r="AX858" s="284" t="n">
        <f aca="false">IFERROR(($J858*U858)*$M858, "")</f>
        <v>0</v>
      </c>
      <c r="AY858" s="284" t="n">
        <f aca="false">IFERROR(($J858*V858)*$M858, "")</f>
        <v>0</v>
      </c>
      <c r="AZ858" s="284" t="n">
        <f aca="false">IFERROR(($J858*W858)*$M858, "")</f>
        <v>0</v>
      </c>
      <c r="BA858" s="284" t="n">
        <f aca="false">IFERROR(($J858*X858)*$M858, "")</f>
        <v>0</v>
      </c>
      <c r="BB858" s="284" t="n">
        <f aca="false">IFERROR(($J858*Y858)*$M858, "")</f>
        <v>0</v>
      </c>
      <c r="BC858" s="285" t="n">
        <f aca="false">IFERROR(($J858*Z858)*$M858, "")</f>
        <v>0</v>
      </c>
      <c r="BD858" s="286" t="n">
        <f aca="false">IFERROR(SUMIF($AB$4:$AM$4, "RDEC", AR858:BC858), "")</f>
        <v>0</v>
      </c>
      <c r="BE858" s="286" t="n">
        <f aca="false">IFERROR(SUMIF($AB$4:$AM$4, "SME", AR858:BC858), "")</f>
        <v>0</v>
      </c>
      <c r="BF858" s="286" t="n">
        <f aca="false">IFERROR(SUMIF($AB$4:$AM$4, "De Minimis", AR858:BC858), "")</f>
        <v>0</v>
      </c>
      <c r="BG858" s="287"/>
      <c r="BH858" s="288" t="str">
        <f aca="false">IF((SUM(O858:Z858)&gt;1),"ERROR","")</f>
        <v/>
      </c>
      <c r="BI858" s="287"/>
      <c r="BJ858" s="18" t="str">
        <f aca="false">IF(C844&gt;0, C844, "")</f>
        <v/>
      </c>
      <c r="BL858" s="200"/>
      <c r="BM858" s="200"/>
      <c r="BN858" s="200"/>
    </row>
    <row r="859" customFormat="false" ht="15" hidden="false" customHeight="true" outlineLevel="0" collapsed="false">
      <c r="B859" s="275"/>
      <c r="D859" s="276" t="n">
        <f aca="false">D843</f>
        <v>45383</v>
      </c>
      <c r="E859" s="277" t="n">
        <v>0</v>
      </c>
      <c r="F859" s="277" t="n">
        <v>0</v>
      </c>
      <c r="G859" s="277" t="n">
        <v>0</v>
      </c>
      <c r="H859" s="277" t="n">
        <v>0</v>
      </c>
      <c r="I859" s="277" t="n">
        <v>0</v>
      </c>
      <c r="J859" s="278" t="n">
        <f aca="false">E859+H859+I859</f>
        <v>0</v>
      </c>
      <c r="K859" s="204"/>
      <c r="L859" s="279" t="n">
        <v>1</v>
      </c>
      <c r="M859" s="280" t="n">
        <f aca="false">1-L859</f>
        <v>0</v>
      </c>
      <c r="N859" s="281"/>
      <c r="O859" s="282"/>
      <c r="P859" s="282"/>
      <c r="Q859" s="282"/>
      <c r="R859" s="282"/>
      <c r="S859" s="282"/>
      <c r="T859" s="282"/>
      <c r="U859" s="282"/>
      <c r="V859" s="282"/>
      <c r="W859" s="282"/>
      <c r="X859" s="282"/>
      <c r="Y859" s="282"/>
      <c r="Z859" s="282"/>
      <c r="AA859" s="283"/>
      <c r="AB859" s="284" t="n">
        <f aca="false">IFERROR(($J859*O859)*$L859, "")</f>
        <v>0</v>
      </c>
      <c r="AC859" s="284" t="n">
        <f aca="false">IFERROR(($J859*P859)*$L859, "")</f>
        <v>0</v>
      </c>
      <c r="AD859" s="284" t="n">
        <f aca="false">IFERROR(($J859*Q859)*$L859, "")</f>
        <v>0</v>
      </c>
      <c r="AE859" s="284" t="n">
        <f aca="false">IFERROR(($J859*R859)*$L859, "")</f>
        <v>0</v>
      </c>
      <c r="AF859" s="284" t="n">
        <f aca="false">IFERROR(($J859*S859)*$L859, "")</f>
        <v>0</v>
      </c>
      <c r="AG859" s="284" t="n">
        <f aca="false">IFERROR(($J859*T859)*$L859, "")</f>
        <v>0</v>
      </c>
      <c r="AH859" s="284" t="n">
        <f aca="false">IFERROR(($J859*U859)*$L859, "")</f>
        <v>0</v>
      </c>
      <c r="AI859" s="284" t="n">
        <f aca="false">IFERROR(($J859*V859)*$L859, "")</f>
        <v>0</v>
      </c>
      <c r="AJ859" s="284" t="n">
        <f aca="false">IFERROR(($J859*W859)*$L859, "")</f>
        <v>0</v>
      </c>
      <c r="AK859" s="284" t="n">
        <f aca="false">IFERROR(($J859*X859)*$L859, "")</f>
        <v>0</v>
      </c>
      <c r="AL859" s="284" t="n">
        <f aca="false">IFERROR(($J859*Y859)*$L859, "")</f>
        <v>0</v>
      </c>
      <c r="AM859" s="285" t="n">
        <f aca="false">IFERROR(($J859*Z859)*$L859, "")</f>
        <v>0</v>
      </c>
      <c r="AN859" s="286" t="n">
        <f aca="false">IFERROR(SUMIF($AB$4:$AM$4, "RDEC", AB859:AM859), "")</f>
        <v>0</v>
      </c>
      <c r="AO859" s="286" t="n">
        <f aca="false">IFERROR(SUMIF($AB$4:$AM$4, "SME", AB859:AM859), "")</f>
        <v>0</v>
      </c>
      <c r="AP859" s="286" t="n">
        <f aca="false">IFERROR(SUMIF($AB$4:$AM$4, "De Minimis", AB859:AM859), "")</f>
        <v>0</v>
      </c>
      <c r="AQ859" s="283"/>
      <c r="AR859" s="284" t="n">
        <f aca="false">IFERROR(($J859*O859)*$M859, "")</f>
        <v>0</v>
      </c>
      <c r="AS859" s="284" t="n">
        <f aca="false">IFERROR(($J859*P859)*$M859, "")</f>
        <v>0</v>
      </c>
      <c r="AT859" s="284" t="n">
        <f aca="false">IFERROR(($J859*Q859)*$M859, "")</f>
        <v>0</v>
      </c>
      <c r="AU859" s="284" t="n">
        <f aca="false">IFERROR(($J859*R859)*$M859, "")</f>
        <v>0</v>
      </c>
      <c r="AV859" s="284" t="n">
        <f aca="false">IFERROR(($J859*S859)*$M859, "")</f>
        <v>0</v>
      </c>
      <c r="AW859" s="284" t="n">
        <f aca="false">IFERROR(($J859*T859)*$M859, "")</f>
        <v>0</v>
      </c>
      <c r="AX859" s="284" t="n">
        <f aca="false">IFERROR(($J859*U859)*$M859, "")</f>
        <v>0</v>
      </c>
      <c r="AY859" s="284" t="n">
        <f aca="false">IFERROR(($J859*V859)*$M859, "")</f>
        <v>0</v>
      </c>
      <c r="AZ859" s="284" t="n">
        <f aca="false">IFERROR(($J859*W859)*$M859, "")</f>
        <v>0</v>
      </c>
      <c r="BA859" s="284" t="n">
        <f aca="false">IFERROR(($J859*X859)*$M859, "")</f>
        <v>0</v>
      </c>
      <c r="BB859" s="284" t="n">
        <f aca="false">IFERROR(($J859*Y859)*$M859, "")</f>
        <v>0</v>
      </c>
      <c r="BC859" s="285" t="n">
        <f aca="false">IFERROR(($J859*Z859)*$M859, "")</f>
        <v>0</v>
      </c>
      <c r="BD859" s="286" t="n">
        <f aca="false">IFERROR(SUMIF($AB$4:$AM$4, "RDEC", AR859:BC859), "")</f>
        <v>0</v>
      </c>
      <c r="BE859" s="286" t="n">
        <f aca="false">IFERROR(SUMIF($AB$4:$AM$4, "SME", AR859:BC859), "")</f>
        <v>0</v>
      </c>
      <c r="BF859" s="286" t="n">
        <f aca="false">IFERROR(SUMIF($AB$4:$AM$4, "De Minimis", AR859:BC859), "")</f>
        <v>0</v>
      </c>
      <c r="BG859" s="287"/>
      <c r="BH859" s="288" t="str">
        <f aca="false">IF((SUM(O859:Z859)&gt;1),"ERROR","")</f>
        <v/>
      </c>
      <c r="BI859" s="287"/>
      <c r="BJ859" s="18" t="str">
        <f aca="false">IF(C845&gt;0, C845, "")</f>
        <v/>
      </c>
      <c r="BL859" s="200"/>
      <c r="BM859" s="200"/>
      <c r="BN859" s="200"/>
    </row>
    <row r="860" customFormat="false" ht="15" hidden="false" customHeight="true" outlineLevel="0" collapsed="false">
      <c r="B860" s="275"/>
      <c r="D860" s="276" t="n">
        <f aca="false">D844</f>
        <v>45413</v>
      </c>
      <c r="E860" s="277" t="n">
        <v>0</v>
      </c>
      <c r="F860" s="277" t="n">
        <v>0</v>
      </c>
      <c r="G860" s="277" t="n">
        <v>0</v>
      </c>
      <c r="H860" s="277" t="n">
        <v>0</v>
      </c>
      <c r="I860" s="277" t="n">
        <v>0</v>
      </c>
      <c r="J860" s="278" t="n">
        <f aca="false">E860+H860+I860</f>
        <v>0</v>
      </c>
      <c r="K860" s="204"/>
      <c r="L860" s="279" t="n">
        <v>1</v>
      </c>
      <c r="M860" s="280" t="n">
        <f aca="false">1-L860</f>
        <v>0</v>
      </c>
      <c r="N860" s="281"/>
      <c r="O860" s="282"/>
      <c r="P860" s="282"/>
      <c r="Q860" s="282"/>
      <c r="R860" s="282"/>
      <c r="S860" s="282"/>
      <c r="T860" s="282"/>
      <c r="U860" s="282"/>
      <c r="V860" s="282"/>
      <c r="W860" s="282"/>
      <c r="X860" s="282"/>
      <c r="Y860" s="282"/>
      <c r="Z860" s="282"/>
      <c r="AA860" s="283"/>
      <c r="AB860" s="284" t="n">
        <f aca="false">IFERROR(($J860*O860)*$L860, "")</f>
        <v>0</v>
      </c>
      <c r="AC860" s="284" t="n">
        <f aca="false">IFERROR(($J860*P860)*$L860, "")</f>
        <v>0</v>
      </c>
      <c r="AD860" s="284" t="n">
        <f aca="false">IFERROR(($J860*Q860)*$L860, "")</f>
        <v>0</v>
      </c>
      <c r="AE860" s="284" t="n">
        <f aca="false">IFERROR(($J860*R860)*$L860, "")</f>
        <v>0</v>
      </c>
      <c r="AF860" s="284" t="n">
        <f aca="false">IFERROR(($J860*S860)*$L860, "")</f>
        <v>0</v>
      </c>
      <c r="AG860" s="284" t="n">
        <f aca="false">IFERROR(($J860*T860)*$L860, "")</f>
        <v>0</v>
      </c>
      <c r="AH860" s="284" t="n">
        <f aca="false">IFERROR(($J860*U860)*$L860, "")</f>
        <v>0</v>
      </c>
      <c r="AI860" s="284" t="n">
        <f aca="false">IFERROR(($J860*V860)*$L860, "")</f>
        <v>0</v>
      </c>
      <c r="AJ860" s="284" t="n">
        <f aca="false">IFERROR(($J860*W860)*$L860, "")</f>
        <v>0</v>
      </c>
      <c r="AK860" s="284" t="n">
        <f aca="false">IFERROR(($J860*X860)*$L860, "")</f>
        <v>0</v>
      </c>
      <c r="AL860" s="284" t="n">
        <f aca="false">IFERROR(($J860*Y860)*$L860, "")</f>
        <v>0</v>
      </c>
      <c r="AM860" s="285" t="n">
        <f aca="false">IFERROR(($J860*Z860)*$L860, "")</f>
        <v>0</v>
      </c>
      <c r="AN860" s="286" t="n">
        <f aca="false">IFERROR(SUMIF($AB$4:$AM$4, "RDEC", AB860:AM860), "")</f>
        <v>0</v>
      </c>
      <c r="AO860" s="286" t="n">
        <f aca="false">IFERROR(SUMIF($AB$4:$AM$4, "SME", AB860:AM860), "")</f>
        <v>0</v>
      </c>
      <c r="AP860" s="286" t="n">
        <f aca="false">IFERROR(SUMIF($AB$4:$AM$4, "De Minimis", AB860:AM860), "")</f>
        <v>0</v>
      </c>
      <c r="AQ860" s="283"/>
      <c r="AR860" s="284" t="n">
        <f aca="false">IFERROR(($J860*O860)*$M860, "")</f>
        <v>0</v>
      </c>
      <c r="AS860" s="284" t="n">
        <f aca="false">IFERROR(($J860*P860)*$M860, "")</f>
        <v>0</v>
      </c>
      <c r="AT860" s="284" t="n">
        <f aca="false">IFERROR(($J860*Q860)*$M860, "")</f>
        <v>0</v>
      </c>
      <c r="AU860" s="284" t="n">
        <f aca="false">IFERROR(($J860*R860)*$M860, "")</f>
        <v>0</v>
      </c>
      <c r="AV860" s="284" t="n">
        <f aca="false">IFERROR(($J860*S860)*$M860, "")</f>
        <v>0</v>
      </c>
      <c r="AW860" s="284" t="n">
        <f aca="false">IFERROR(($J860*T860)*$M860, "")</f>
        <v>0</v>
      </c>
      <c r="AX860" s="284" t="n">
        <f aca="false">IFERROR(($J860*U860)*$M860, "")</f>
        <v>0</v>
      </c>
      <c r="AY860" s="284" t="n">
        <f aca="false">IFERROR(($J860*V860)*$M860, "")</f>
        <v>0</v>
      </c>
      <c r="AZ860" s="284" t="n">
        <f aca="false">IFERROR(($J860*W860)*$M860, "")</f>
        <v>0</v>
      </c>
      <c r="BA860" s="284" t="n">
        <f aca="false">IFERROR(($J860*X860)*$M860, "")</f>
        <v>0</v>
      </c>
      <c r="BB860" s="284" t="n">
        <f aca="false">IFERROR(($J860*Y860)*$M860, "")</f>
        <v>0</v>
      </c>
      <c r="BC860" s="285" t="n">
        <f aca="false">IFERROR(($J860*Z860)*$M860, "")</f>
        <v>0</v>
      </c>
      <c r="BD860" s="286" t="n">
        <f aca="false">IFERROR(SUMIF($AB$4:$AM$4, "RDEC", AR860:BC860), "")</f>
        <v>0</v>
      </c>
      <c r="BE860" s="286" t="n">
        <f aca="false">IFERROR(SUMIF($AB$4:$AM$4, "SME", AR860:BC860), "")</f>
        <v>0</v>
      </c>
      <c r="BF860" s="286" t="n">
        <f aca="false">IFERROR(SUMIF($AB$4:$AM$4, "De Minimis", AR860:BC860), "")</f>
        <v>0</v>
      </c>
      <c r="BG860" s="287"/>
      <c r="BH860" s="288" t="str">
        <f aca="false">IF((SUM(O860:Z860)&gt;1),"ERROR","")</f>
        <v/>
      </c>
      <c r="BI860" s="287"/>
      <c r="BJ860" s="18" t="str">
        <f aca="false">IF(C846&gt;0, C846, "")</f>
        <v/>
      </c>
      <c r="BL860" s="200"/>
      <c r="BM860" s="200"/>
      <c r="BN860" s="200"/>
    </row>
    <row r="861" customFormat="false" ht="15" hidden="false" customHeight="true" outlineLevel="0" collapsed="false">
      <c r="B861" s="275"/>
      <c r="D861" s="276" t="n">
        <f aca="false">D845</f>
        <v>45444</v>
      </c>
      <c r="E861" s="277" t="n">
        <v>0</v>
      </c>
      <c r="F861" s="277" t="n">
        <v>0</v>
      </c>
      <c r="G861" s="277" t="n">
        <v>0</v>
      </c>
      <c r="H861" s="277" t="n">
        <v>0</v>
      </c>
      <c r="I861" s="277" t="n">
        <v>0</v>
      </c>
      <c r="J861" s="278" t="n">
        <f aca="false">E861+H861+I861</f>
        <v>0</v>
      </c>
      <c r="K861" s="204"/>
      <c r="L861" s="279" t="n">
        <v>1</v>
      </c>
      <c r="M861" s="280" t="n">
        <f aca="false">1-L861</f>
        <v>0</v>
      </c>
      <c r="N861" s="281"/>
      <c r="O861" s="282"/>
      <c r="P861" s="282"/>
      <c r="Q861" s="282"/>
      <c r="R861" s="282"/>
      <c r="S861" s="282"/>
      <c r="T861" s="282"/>
      <c r="U861" s="282"/>
      <c r="V861" s="282"/>
      <c r="W861" s="282"/>
      <c r="X861" s="282"/>
      <c r="Y861" s="282"/>
      <c r="Z861" s="282"/>
      <c r="AA861" s="283"/>
      <c r="AB861" s="284" t="n">
        <f aca="false">IFERROR(($J861*O861)*$L861, "")</f>
        <v>0</v>
      </c>
      <c r="AC861" s="284" t="n">
        <f aca="false">IFERROR(($J861*P861)*$L861, "")</f>
        <v>0</v>
      </c>
      <c r="AD861" s="284" t="n">
        <f aca="false">IFERROR(($J861*Q861)*$L861, "")</f>
        <v>0</v>
      </c>
      <c r="AE861" s="284" t="n">
        <f aca="false">IFERROR(($J861*R861)*$L861, "")</f>
        <v>0</v>
      </c>
      <c r="AF861" s="284" t="n">
        <f aca="false">IFERROR(($J861*S861)*$L861, "")</f>
        <v>0</v>
      </c>
      <c r="AG861" s="284" t="n">
        <f aca="false">IFERROR(($J861*T861)*$L861, "")</f>
        <v>0</v>
      </c>
      <c r="AH861" s="284" t="n">
        <f aca="false">IFERROR(($J861*U861)*$L861, "")</f>
        <v>0</v>
      </c>
      <c r="AI861" s="284" t="n">
        <f aca="false">IFERROR(($J861*V861)*$L861, "")</f>
        <v>0</v>
      </c>
      <c r="AJ861" s="284" t="n">
        <f aca="false">IFERROR(($J861*W861)*$L861, "")</f>
        <v>0</v>
      </c>
      <c r="AK861" s="284" t="n">
        <f aca="false">IFERROR(($J861*X861)*$L861, "")</f>
        <v>0</v>
      </c>
      <c r="AL861" s="284" t="n">
        <f aca="false">IFERROR(($J861*Y861)*$L861, "")</f>
        <v>0</v>
      </c>
      <c r="AM861" s="285" t="n">
        <f aca="false">IFERROR(($J861*Z861)*$L861, "")</f>
        <v>0</v>
      </c>
      <c r="AN861" s="286" t="n">
        <f aca="false">IFERROR(SUMIF($AB$4:$AM$4, "RDEC", AB861:AM861), "")</f>
        <v>0</v>
      </c>
      <c r="AO861" s="286" t="n">
        <f aca="false">IFERROR(SUMIF($AB$4:$AM$4, "SME", AB861:AM861), "")</f>
        <v>0</v>
      </c>
      <c r="AP861" s="286" t="n">
        <f aca="false">IFERROR(SUMIF($AB$4:$AM$4, "De Minimis", AB861:AM861), "")</f>
        <v>0</v>
      </c>
      <c r="AQ861" s="283"/>
      <c r="AR861" s="284" t="n">
        <f aca="false">IFERROR(($J861*O861)*$M861, "")</f>
        <v>0</v>
      </c>
      <c r="AS861" s="284" t="n">
        <f aca="false">IFERROR(($J861*P861)*$M861, "")</f>
        <v>0</v>
      </c>
      <c r="AT861" s="284" t="n">
        <f aca="false">IFERROR(($J861*Q861)*$M861, "")</f>
        <v>0</v>
      </c>
      <c r="AU861" s="284" t="n">
        <f aca="false">IFERROR(($J861*R861)*$M861, "")</f>
        <v>0</v>
      </c>
      <c r="AV861" s="284" t="n">
        <f aca="false">IFERROR(($J861*S861)*$M861, "")</f>
        <v>0</v>
      </c>
      <c r="AW861" s="284" t="n">
        <f aca="false">IFERROR(($J861*T861)*$M861, "")</f>
        <v>0</v>
      </c>
      <c r="AX861" s="284" t="n">
        <f aca="false">IFERROR(($J861*U861)*$M861, "")</f>
        <v>0</v>
      </c>
      <c r="AY861" s="284" t="n">
        <f aca="false">IFERROR(($J861*V861)*$M861, "")</f>
        <v>0</v>
      </c>
      <c r="AZ861" s="284" t="n">
        <f aca="false">IFERROR(($J861*W861)*$M861, "")</f>
        <v>0</v>
      </c>
      <c r="BA861" s="284" t="n">
        <f aca="false">IFERROR(($J861*X861)*$M861, "")</f>
        <v>0</v>
      </c>
      <c r="BB861" s="284" t="n">
        <f aca="false">IFERROR(($J861*Y861)*$M861, "")</f>
        <v>0</v>
      </c>
      <c r="BC861" s="285" t="n">
        <f aca="false">IFERROR(($J861*Z861)*$M861, "")</f>
        <v>0</v>
      </c>
      <c r="BD861" s="286" t="n">
        <f aca="false">IFERROR(SUMIF($AB$4:$AM$4, "RDEC", AR861:BC861), "")</f>
        <v>0</v>
      </c>
      <c r="BE861" s="286" t="n">
        <f aca="false">IFERROR(SUMIF($AB$4:$AM$4, "SME", AR861:BC861), "")</f>
        <v>0</v>
      </c>
      <c r="BF861" s="286" t="n">
        <f aca="false">IFERROR(SUMIF($AB$4:$AM$4, "De Minimis", AR861:BC861), "")</f>
        <v>0</v>
      </c>
      <c r="BG861" s="287"/>
      <c r="BH861" s="288" t="str">
        <f aca="false">IF((SUM(O861:Z861)&gt;1),"ERROR","")</f>
        <v/>
      </c>
      <c r="BI861" s="287"/>
      <c r="BJ861" s="18" t="str">
        <f aca="false">IF(C847&gt;0, C847, "")</f>
        <v/>
      </c>
      <c r="BL861" s="200"/>
      <c r="BM861" s="200"/>
      <c r="BN861" s="200"/>
    </row>
    <row r="862" customFormat="false" ht="15" hidden="false" customHeight="true" outlineLevel="0" collapsed="false">
      <c r="B862" s="275"/>
      <c r="D862" s="276" t="n">
        <f aca="false">D846</f>
        <v>45474</v>
      </c>
      <c r="E862" s="277" t="n">
        <v>0</v>
      </c>
      <c r="F862" s="277" t="n">
        <v>0</v>
      </c>
      <c r="G862" s="277" t="n">
        <v>0</v>
      </c>
      <c r="H862" s="277" t="n">
        <v>0</v>
      </c>
      <c r="I862" s="277" t="n">
        <v>0</v>
      </c>
      <c r="J862" s="278" t="n">
        <f aca="false">E862+H862+I862</f>
        <v>0</v>
      </c>
      <c r="K862" s="204"/>
      <c r="L862" s="279" t="n">
        <v>1</v>
      </c>
      <c r="M862" s="280" t="n">
        <f aca="false">1-L862</f>
        <v>0</v>
      </c>
      <c r="N862" s="281"/>
      <c r="O862" s="282"/>
      <c r="P862" s="282"/>
      <c r="Q862" s="282"/>
      <c r="R862" s="282"/>
      <c r="S862" s="282"/>
      <c r="T862" s="282"/>
      <c r="U862" s="282"/>
      <c r="V862" s="282"/>
      <c r="W862" s="282"/>
      <c r="X862" s="282"/>
      <c r="Y862" s="282"/>
      <c r="Z862" s="282"/>
      <c r="AA862" s="283"/>
      <c r="AB862" s="284" t="n">
        <f aca="false">IFERROR(($J862*O862)*$L862, "")</f>
        <v>0</v>
      </c>
      <c r="AC862" s="284" t="n">
        <f aca="false">IFERROR(($J862*P862)*$L862, "")</f>
        <v>0</v>
      </c>
      <c r="AD862" s="284" t="n">
        <f aca="false">IFERROR(($J862*Q862)*$L862, "")</f>
        <v>0</v>
      </c>
      <c r="AE862" s="284" t="n">
        <f aca="false">IFERROR(($J862*R862)*$L862, "")</f>
        <v>0</v>
      </c>
      <c r="AF862" s="284" t="n">
        <f aca="false">IFERROR(($J862*S862)*$L862, "")</f>
        <v>0</v>
      </c>
      <c r="AG862" s="284" t="n">
        <f aca="false">IFERROR(($J862*T862)*$L862, "")</f>
        <v>0</v>
      </c>
      <c r="AH862" s="284" t="n">
        <f aca="false">IFERROR(($J862*U862)*$L862, "")</f>
        <v>0</v>
      </c>
      <c r="AI862" s="284" t="n">
        <f aca="false">IFERROR(($J862*V862)*$L862, "")</f>
        <v>0</v>
      </c>
      <c r="AJ862" s="284" t="n">
        <f aca="false">IFERROR(($J862*W862)*$L862, "")</f>
        <v>0</v>
      </c>
      <c r="AK862" s="284" t="n">
        <f aca="false">IFERROR(($J862*X862)*$L862, "")</f>
        <v>0</v>
      </c>
      <c r="AL862" s="284" t="n">
        <f aca="false">IFERROR(($J862*Y862)*$L862, "")</f>
        <v>0</v>
      </c>
      <c r="AM862" s="285" t="n">
        <f aca="false">IFERROR(($J862*Z862)*$L862, "")</f>
        <v>0</v>
      </c>
      <c r="AN862" s="286" t="n">
        <f aca="false">IFERROR(SUMIF($AB$4:$AM$4, "RDEC", AB862:AM862), "")</f>
        <v>0</v>
      </c>
      <c r="AO862" s="286" t="n">
        <f aca="false">IFERROR(SUMIF($AB$4:$AM$4, "SME", AB862:AM862), "")</f>
        <v>0</v>
      </c>
      <c r="AP862" s="286" t="n">
        <f aca="false">IFERROR(SUMIF($AB$4:$AM$4, "De Minimis", AB862:AM862), "")</f>
        <v>0</v>
      </c>
      <c r="AQ862" s="283"/>
      <c r="AR862" s="284" t="n">
        <f aca="false">IFERROR(($J862*O862)*$M862, "")</f>
        <v>0</v>
      </c>
      <c r="AS862" s="284" t="n">
        <f aca="false">IFERROR(($J862*P862)*$M862, "")</f>
        <v>0</v>
      </c>
      <c r="AT862" s="284" t="n">
        <f aca="false">IFERROR(($J862*Q862)*$M862, "")</f>
        <v>0</v>
      </c>
      <c r="AU862" s="284" t="n">
        <f aca="false">IFERROR(($J862*R862)*$M862, "")</f>
        <v>0</v>
      </c>
      <c r="AV862" s="284" t="n">
        <f aca="false">IFERROR(($J862*S862)*$M862, "")</f>
        <v>0</v>
      </c>
      <c r="AW862" s="284" t="n">
        <f aca="false">IFERROR(($J862*T862)*$M862, "")</f>
        <v>0</v>
      </c>
      <c r="AX862" s="284" t="n">
        <f aca="false">IFERROR(($J862*U862)*$M862, "")</f>
        <v>0</v>
      </c>
      <c r="AY862" s="284" t="n">
        <f aca="false">IFERROR(($J862*V862)*$M862, "")</f>
        <v>0</v>
      </c>
      <c r="AZ862" s="284" t="n">
        <f aca="false">IFERROR(($J862*W862)*$M862, "")</f>
        <v>0</v>
      </c>
      <c r="BA862" s="284" t="n">
        <f aca="false">IFERROR(($J862*X862)*$M862, "")</f>
        <v>0</v>
      </c>
      <c r="BB862" s="284" t="n">
        <f aca="false">IFERROR(($J862*Y862)*$M862, "")</f>
        <v>0</v>
      </c>
      <c r="BC862" s="285" t="n">
        <f aca="false">IFERROR(($J862*Z862)*$M862, "")</f>
        <v>0</v>
      </c>
      <c r="BD862" s="286" t="n">
        <f aca="false">IFERROR(SUMIF($AB$4:$AM$4, "RDEC", AR862:BC862), "")</f>
        <v>0</v>
      </c>
      <c r="BE862" s="286" t="n">
        <f aca="false">IFERROR(SUMIF($AB$4:$AM$4, "SME", AR862:BC862), "")</f>
        <v>0</v>
      </c>
      <c r="BF862" s="286" t="n">
        <f aca="false">IFERROR(SUMIF($AB$4:$AM$4, "De Minimis", AR862:BC862), "")</f>
        <v>0</v>
      </c>
      <c r="BG862" s="287"/>
      <c r="BH862" s="288" t="str">
        <f aca="false">IF((SUM(O862:Z862)&gt;1),"ERROR","")</f>
        <v/>
      </c>
      <c r="BI862" s="287"/>
      <c r="BJ862" s="18" t="str">
        <f aca="false">IF(C848&gt;0, C848, "")</f>
        <v/>
      </c>
      <c r="BL862" s="200"/>
      <c r="BM862" s="200"/>
      <c r="BN862" s="200"/>
    </row>
    <row r="863" customFormat="false" ht="15" hidden="false" customHeight="true" outlineLevel="0" collapsed="false">
      <c r="B863" s="275"/>
      <c r="D863" s="276" t="n">
        <f aca="false">D847</f>
        <v>45505</v>
      </c>
      <c r="E863" s="277" t="n">
        <v>0</v>
      </c>
      <c r="F863" s="277" t="n">
        <v>0</v>
      </c>
      <c r="G863" s="277" t="n">
        <v>0</v>
      </c>
      <c r="H863" s="277" t="n">
        <v>0</v>
      </c>
      <c r="I863" s="277" t="n">
        <v>0</v>
      </c>
      <c r="J863" s="278" t="n">
        <f aca="false">E863+H863+I863</f>
        <v>0</v>
      </c>
      <c r="K863" s="204"/>
      <c r="L863" s="279" t="n">
        <v>1</v>
      </c>
      <c r="M863" s="280" t="n">
        <f aca="false">1-L863</f>
        <v>0</v>
      </c>
      <c r="N863" s="281"/>
      <c r="O863" s="282"/>
      <c r="P863" s="282"/>
      <c r="Q863" s="282"/>
      <c r="R863" s="282"/>
      <c r="S863" s="282"/>
      <c r="T863" s="282"/>
      <c r="U863" s="282"/>
      <c r="V863" s="282"/>
      <c r="W863" s="282"/>
      <c r="X863" s="282"/>
      <c r="Y863" s="282"/>
      <c r="Z863" s="282"/>
      <c r="AA863" s="283"/>
      <c r="AB863" s="284" t="n">
        <f aca="false">IFERROR(($J863*O863)*$L863, "")</f>
        <v>0</v>
      </c>
      <c r="AC863" s="284" t="n">
        <f aca="false">IFERROR(($J863*P863)*$L863, "")</f>
        <v>0</v>
      </c>
      <c r="AD863" s="284" t="n">
        <f aca="false">IFERROR(($J863*Q863)*$L863, "")</f>
        <v>0</v>
      </c>
      <c r="AE863" s="284" t="n">
        <f aca="false">IFERROR(($J863*R863)*$L863, "")</f>
        <v>0</v>
      </c>
      <c r="AF863" s="284" t="n">
        <f aca="false">IFERROR(($J863*S863)*$L863, "")</f>
        <v>0</v>
      </c>
      <c r="AG863" s="284" t="n">
        <f aca="false">IFERROR(($J863*T863)*$L863, "")</f>
        <v>0</v>
      </c>
      <c r="AH863" s="284" t="n">
        <f aca="false">IFERROR(($J863*U863)*$L863, "")</f>
        <v>0</v>
      </c>
      <c r="AI863" s="284" t="n">
        <f aca="false">IFERROR(($J863*V863)*$L863, "")</f>
        <v>0</v>
      </c>
      <c r="AJ863" s="284" t="n">
        <f aca="false">IFERROR(($J863*W863)*$L863, "")</f>
        <v>0</v>
      </c>
      <c r="AK863" s="284" t="n">
        <f aca="false">IFERROR(($J863*X863)*$L863, "")</f>
        <v>0</v>
      </c>
      <c r="AL863" s="284" t="n">
        <f aca="false">IFERROR(($J863*Y863)*$L863, "")</f>
        <v>0</v>
      </c>
      <c r="AM863" s="285" t="n">
        <f aca="false">IFERROR(($J863*Z863)*$L863, "")</f>
        <v>0</v>
      </c>
      <c r="AN863" s="286" t="n">
        <f aca="false">IFERROR(SUMIF($AB$4:$AM$4, "RDEC", AB863:AM863), "")</f>
        <v>0</v>
      </c>
      <c r="AO863" s="286" t="n">
        <f aca="false">IFERROR(SUMIF($AB$4:$AM$4, "SME", AB863:AM863), "")</f>
        <v>0</v>
      </c>
      <c r="AP863" s="286" t="n">
        <f aca="false">IFERROR(SUMIF($AB$4:$AM$4, "De Minimis", AB863:AM863), "")</f>
        <v>0</v>
      </c>
      <c r="AQ863" s="283"/>
      <c r="AR863" s="284" t="n">
        <f aca="false">IFERROR(($J863*O863)*$M863, "")</f>
        <v>0</v>
      </c>
      <c r="AS863" s="284" t="n">
        <f aca="false">IFERROR(($J863*P863)*$M863, "")</f>
        <v>0</v>
      </c>
      <c r="AT863" s="284" t="n">
        <f aca="false">IFERROR(($J863*Q863)*$M863, "")</f>
        <v>0</v>
      </c>
      <c r="AU863" s="284" t="n">
        <f aca="false">IFERROR(($J863*R863)*$M863, "")</f>
        <v>0</v>
      </c>
      <c r="AV863" s="284" t="n">
        <f aca="false">IFERROR(($J863*S863)*$M863, "")</f>
        <v>0</v>
      </c>
      <c r="AW863" s="284" t="n">
        <f aca="false">IFERROR(($J863*T863)*$M863, "")</f>
        <v>0</v>
      </c>
      <c r="AX863" s="284" t="n">
        <f aca="false">IFERROR(($J863*U863)*$M863, "")</f>
        <v>0</v>
      </c>
      <c r="AY863" s="284" t="n">
        <f aca="false">IFERROR(($J863*V863)*$M863, "")</f>
        <v>0</v>
      </c>
      <c r="AZ863" s="284" t="n">
        <f aca="false">IFERROR(($J863*W863)*$M863, "")</f>
        <v>0</v>
      </c>
      <c r="BA863" s="284" t="n">
        <f aca="false">IFERROR(($J863*X863)*$M863, "")</f>
        <v>0</v>
      </c>
      <c r="BB863" s="284" t="n">
        <f aca="false">IFERROR(($J863*Y863)*$M863, "")</f>
        <v>0</v>
      </c>
      <c r="BC863" s="285" t="n">
        <f aca="false">IFERROR(($J863*Z863)*$M863, "")</f>
        <v>0</v>
      </c>
      <c r="BD863" s="286" t="n">
        <f aca="false">IFERROR(SUMIF($AB$4:$AM$4, "RDEC", AR863:BC863), "")</f>
        <v>0</v>
      </c>
      <c r="BE863" s="286" t="n">
        <f aca="false">IFERROR(SUMIF($AB$4:$AM$4, "SME", AR863:BC863), "")</f>
        <v>0</v>
      </c>
      <c r="BF863" s="286" t="n">
        <f aca="false">IFERROR(SUMIF($AB$4:$AM$4, "De Minimis", AR863:BC863), "")</f>
        <v>0</v>
      </c>
      <c r="BG863" s="287"/>
      <c r="BH863" s="288" t="str">
        <f aca="false">IF((SUM(O863:Z863)&gt;1),"ERROR","")</f>
        <v/>
      </c>
      <c r="BI863" s="287"/>
      <c r="BJ863" s="18" t="str">
        <f aca="false">IF(C849&gt;0, C849, "")</f>
        <v/>
      </c>
      <c r="BL863" s="200"/>
      <c r="BM863" s="200"/>
      <c r="BN863" s="200"/>
    </row>
    <row r="864" customFormat="false" ht="15" hidden="false" customHeight="true" outlineLevel="0" collapsed="false">
      <c r="B864" s="275"/>
      <c r="D864" s="276" t="n">
        <f aca="false">D848</f>
        <v>45536</v>
      </c>
      <c r="E864" s="277" t="n">
        <v>0</v>
      </c>
      <c r="F864" s="277" t="n">
        <v>0</v>
      </c>
      <c r="G864" s="277" t="n">
        <v>0</v>
      </c>
      <c r="H864" s="277" t="n">
        <v>0</v>
      </c>
      <c r="I864" s="277" t="n">
        <v>0</v>
      </c>
      <c r="J864" s="278" t="n">
        <f aca="false">E864+H864+I864</f>
        <v>0</v>
      </c>
      <c r="K864" s="204"/>
      <c r="L864" s="279" t="n">
        <v>1</v>
      </c>
      <c r="M864" s="280" t="n">
        <f aca="false">1-L864</f>
        <v>0</v>
      </c>
      <c r="N864" s="281"/>
      <c r="O864" s="282"/>
      <c r="P864" s="282"/>
      <c r="Q864" s="282"/>
      <c r="R864" s="282"/>
      <c r="S864" s="282"/>
      <c r="T864" s="282"/>
      <c r="U864" s="282"/>
      <c r="V864" s="282"/>
      <c r="W864" s="282"/>
      <c r="X864" s="282"/>
      <c r="Y864" s="282"/>
      <c r="Z864" s="282"/>
      <c r="AA864" s="283"/>
      <c r="AB864" s="284" t="n">
        <f aca="false">IFERROR(($J864*O864)*$L864, "")</f>
        <v>0</v>
      </c>
      <c r="AC864" s="284" t="n">
        <f aca="false">IFERROR(($J864*P864)*$L864, "")</f>
        <v>0</v>
      </c>
      <c r="AD864" s="284" t="n">
        <f aca="false">IFERROR(($J864*Q864)*$L864, "")</f>
        <v>0</v>
      </c>
      <c r="AE864" s="284" t="n">
        <f aca="false">IFERROR(($J864*R864)*$L864, "")</f>
        <v>0</v>
      </c>
      <c r="AF864" s="284" t="n">
        <f aca="false">IFERROR(($J864*S864)*$L864, "")</f>
        <v>0</v>
      </c>
      <c r="AG864" s="284" t="n">
        <f aca="false">IFERROR(($J864*T864)*$L864, "")</f>
        <v>0</v>
      </c>
      <c r="AH864" s="284" t="n">
        <f aca="false">IFERROR(($J864*U864)*$L864, "")</f>
        <v>0</v>
      </c>
      <c r="AI864" s="284" t="n">
        <f aca="false">IFERROR(($J864*V864)*$L864, "")</f>
        <v>0</v>
      </c>
      <c r="AJ864" s="284" t="n">
        <f aca="false">IFERROR(($J864*W864)*$L864, "")</f>
        <v>0</v>
      </c>
      <c r="AK864" s="284" t="n">
        <f aca="false">IFERROR(($J864*X864)*$L864, "")</f>
        <v>0</v>
      </c>
      <c r="AL864" s="284" t="n">
        <f aca="false">IFERROR(($J864*Y864)*$L864, "")</f>
        <v>0</v>
      </c>
      <c r="AM864" s="285" t="n">
        <f aca="false">IFERROR(($J864*Z864)*$L864, "")</f>
        <v>0</v>
      </c>
      <c r="AN864" s="286" t="n">
        <f aca="false">IFERROR(SUMIF($AB$4:$AM$4, "RDEC", AB864:AM864), "")</f>
        <v>0</v>
      </c>
      <c r="AO864" s="286" t="n">
        <f aca="false">IFERROR(SUMIF($AB$4:$AM$4, "SME", AB864:AM864), "")</f>
        <v>0</v>
      </c>
      <c r="AP864" s="286" t="n">
        <f aca="false">IFERROR(SUMIF($AB$4:$AM$4, "De Minimis", AB864:AM864), "")</f>
        <v>0</v>
      </c>
      <c r="AQ864" s="283"/>
      <c r="AR864" s="284" t="n">
        <f aca="false">IFERROR(($J864*O864)*$M864, "")</f>
        <v>0</v>
      </c>
      <c r="AS864" s="284" t="n">
        <f aca="false">IFERROR(($J864*P864)*$M864, "")</f>
        <v>0</v>
      </c>
      <c r="AT864" s="284" t="n">
        <f aca="false">IFERROR(($J864*Q864)*$M864, "")</f>
        <v>0</v>
      </c>
      <c r="AU864" s="284" t="n">
        <f aca="false">IFERROR(($J864*R864)*$M864, "")</f>
        <v>0</v>
      </c>
      <c r="AV864" s="284" t="n">
        <f aca="false">IFERROR(($J864*S864)*$M864, "")</f>
        <v>0</v>
      </c>
      <c r="AW864" s="284" t="n">
        <f aca="false">IFERROR(($J864*T864)*$M864, "")</f>
        <v>0</v>
      </c>
      <c r="AX864" s="284" t="n">
        <f aca="false">IFERROR(($J864*U864)*$M864, "")</f>
        <v>0</v>
      </c>
      <c r="AY864" s="284" t="n">
        <f aca="false">IFERROR(($J864*V864)*$M864, "")</f>
        <v>0</v>
      </c>
      <c r="AZ864" s="284" t="n">
        <f aca="false">IFERROR(($J864*W864)*$M864, "")</f>
        <v>0</v>
      </c>
      <c r="BA864" s="284" t="n">
        <f aca="false">IFERROR(($J864*X864)*$M864, "")</f>
        <v>0</v>
      </c>
      <c r="BB864" s="284" t="n">
        <f aca="false">IFERROR(($J864*Y864)*$M864, "")</f>
        <v>0</v>
      </c>
      <c r="BC864" s="285" t="n">
        <f aca="false">IFERROR(($J864*Z864)*$M864, "")</f>
        <v>0</v>
      </c>
      <c r="BD864" s="286" t="n">
        <f aca="false">IFERROR(SUMIF($AB$4:$AM$4, "RDEC", AR864:BC864), "")</f>
        <v>0</v>
      </c>
      <c r="BE864" s="286" t="n">
        <f aca="false">IFERROR(SUMIF($AB$4:$AM$4, "SME", AR864:BC864), "")</f>
        <v>0</v>
      </c>
      <c r="BF864" s="286" t="n">
        <f aca="false">IFERROR(SUMIF($AB$4:$AM$4, "De Minimis", AR864:BC864), "")</f>
        <v>0</v>
      </c>
      <c r="BG864" s="287"/>
      <c r="BH864" s="288" t="str">
        <f aca="false">IF((SUM(O864:Z864)&gt;1),"ERROR","")</f>
        <v/>
      </c>
      <c r="BI864" s="287"/>
      <c r="BJ864" s="18" t="str">
        <f aca="false">IF(C850&gt;0, C850, "")</f>
        <v/>
      </c>
      <c r="BL864" s="200"/>
      <c r="BM864" s="200"/>
      <c r="BN864" s="200"/>
    </row>
    <row r="865" customFormat="false" ht="15" hidden="false" customHeight="true" outlineLevel="0" collapsed="false">
      <c r="B865" s="275"/>
      <c r="D865" s="276" t="n">
        <f aca="false">D849</f>
        <v>45566</v>
      </c>
      <c r="E865" s="277" t="n">
        <v>0</v>
      </c>
      <c r="F865" s="277" t="n">
        <v>0</v>
      </c>
      <c r="G865" s="277" t="n">
        <v>0</v>
      </c>
      <c r="H865" s="277" t="n">
        <v>0</v>
      </c>
      <c r="I865" s="277" t="n">
        <v>0</v>
      </c>
      <c r="J865" s="278" t="n">
        <f aca="false">E865+H865+I865</f>
        <v>0</v>
      </c>
      <c r="K865" s="204"/>
      <c r="L865" s="279" t="n">
        <v>1</v>
      </c>
      <c r="M865" s="280" t="n">
        <f aca="false">1-L865</f>
        <v>0</v>
      </c>
      <c r="N865" s="281"/>
      <c r="O865" s="282"/>
      <c r="P865" s="282"/>
      <c r="Q865" s="282"/>
      <c r="R865" s="282"/>
      <c r="S865" s="282"/>
      <c r="T865" s="282"/>
      <c r="U865" s="282"/>
      <c r="V865" s="282"/>
      <c r="W865" s="282"/>
      <c r="X865" s="282"/>
      <c r="Y865" s="282"/>
      <c r="Z865" s="282"/>
      <c r="AA865" s="283"/>
      <c r="AB865" s="284" t="n">
        <f aca="false">IFERROR(($J865*O865)*$L865, "")</f>
        <v>0</v>
      </c>
      <c r="AC865" s="284" t="n">
        <f aca="false">IFERROR(($J865*P865)*$L865, "")</f>
        <v>0</v>
      </c>
      <c r="AD865" s="284" t="n">
        <f aca="false">IFERROR(($J865*Q865)*$L865, "")</f>
        <v>0</v>
      </c>
      <c r="AE865" s="284" t="n">
        <f aca="false">IFERROR(($J865*R865)*$L865, "")</f>
        <v>0</v>
      </c>
      <c r="AF865" s="284" t="n">
        <f aca="false">IFERROR(($J865*S865)*$L865, "")</f>
        <v>0</v>
      </c>
      <c r="AG865" s="284" t="n">
        <f aca="false">IFERROR(($J865*T865)*$L865, "")</f>
        <v>0</v>
      </c>
      <c r="AH865" s="284" t="n">
        <f aca="false">IFERROR(($J865*U865)*$L865, "")</f>
        <v>0</v>
      </c>
      <c r="AI865" s="284" t="n">
        <f aca="false">IFERROR(($J865*V865)*$L865, "")</f>
        <v>0</v>
      </c>
      <c r="AJ865" s="284" t="n">
        <f aca="false">IFERROR(($J865*W865)*$L865, "")</f>
        <v>0</v>
      </c>
      <c r="AK865" s="284" t="n">
        <f aca="false">IFERROR(($J865*X865)*$L865, "")</f>
        <v>0</v>
      </c>
      <c r="AL865" s="284" t="n">
        <f aca="false">IFERROR(($J865*Y865)*$L865, "")</f>
        <v>0</v>
      </c>
      <c r="AM865" s="285" t="n">
        <f aca="false">IFERROR(($J865*Z865)*$L865, "")</f>
        <v>0</v>
      </c>
      <c r="AN865" s="286" t="n">
        <f aca="false">IFERROR(SUMIF($AB$4:$AM$4, "RDEC", AB865:AM865), "")</f>
        <v>0</v>
      </c>
      <c r="AO865" s="286" t="n">
        <f aca="false">IFERROR(SUMIF($AB$4:$AM$4, "SME", AB865:AM865), "")</f>
        <v>0</v>
      </c>
      <c r="AP865" s="286" t="n">
        <f aca="false">IFERROR(SUMIF($AB$4:$AM$4, "De Minimis", AB865:AM865), "")</f>
        <v>0</v>
      </c>
      <c r="AQ865" s="283"/>
      <c r="AR865" s="284" t="n">
        <f aca="false">IFERROR(($J865*O865)*$M865, "")</f>
        <v>0</v>
      </c>
      <c r="AS865" s="284" t="n">
        <f aca="false">IFERROR(($J865*P865)*$M865, "")</f>
        <v>0</v>
      </c>
      <c r="AT865" s="284" t="n">
        <f aca="false">IFERROR(($J865*Q865)*$M865, "")</f>
        <v>0</v>
      </c>
      <c r="AU865" s="284" t="n">
        <f aca="false">IFERROR(($J865*R865)*$M865, "")</f>
        <v>0</v>
      </c>
      <c r="AV865" s="284" t="n">
        <f aca="false">IFERROR(($J865*S865)*$M865, "")</f>
        <v>0</v>
      </c>
      <c r="AW865" s="284" t="n">
        <f aca="false">IFERROR(($J865*T865)*$M865, "")</f>
        <v>0</v>
      </c>
      <c r="AX865" s="284" t="n">
        <f aca="false">IFERROR(($J865*U865)*$M865, "")</f>
        <v>0</v>
      </c>
      <c r="AY865" s="284" t="n">
        <f aca="false">IFERROR(($J865*V865)*$M865, "")</f>
        <v>0</v>
      </c>
      <c r="AZ865" s="284" t="n">
        <f aca="false">IFERROR(($J865*W865)*$M865, "")</f>
        <v>0</v>
      </c>
      <c r="BA865" s="284" t="n">
        <f aca="false">IFERROR(($J865*X865)*$M865, "")</f>
        <v>0</v>
      </c>
      <c r="BB865" s="284" t="n">
        <f aca="false">IFERROR(($J865*Y865)*$M865, "")</f>
        <v>0</v>
      </c>
      <c r="BC865" s="285" t="n">
        <f aca="false">IFERROR(($J865*Z865)*$M865, "")</f>
        <v>0</v>
      </c>
      <c r="BD865" s="286" t="n">
        <f aca="false">IFERROR(SUMIF($AB$4:$AM$4, "RDEC", AR865:BC865), "")</f>
        <v>0</v>
      </c>
      <c r="BE865" s="286" t="n">
        <f aca="false">IFERROR(SUMIF($AB$4:$AM$4, "SME", AR865:BC865), "")</f>
        <v>0</v>
      </c>
      <c r="BF865" s="286" t="n">
        <f aca="false">IFERROR(SUMIF($AB$4:$AM$4, "De Minimis", AR865:BC865), "")</f>
        <v>0</v>
      </c>
      <c r="BG865" s="287"/>
      <c r="BH865" s="288" t="str">
        <f aca="false">IF((SUM(O865:Z865)&gt;1),"ERROR","")</f>
        <v/>
      </c>
      <c r="BI865" s="287"/>
      <c r="BJ865" s="18" t="str">
        <f aca="false">IF(C851&gt;0, C851, "")</f>
        <v/>
      </c>
      <c r="BL865" s="200"/>
      <c r="BM865" s="200"/>
      <c r="BN865" s="200"/>
    </row>
    <row r="866" customFormat="false" ht="15" hidden="false" customHeight="true" outlineLevel="0" collapsed="false">
      <c r="B866" s="275"/>
      <c r="D866" s="276" t="n">
        <f aca="false">D850</f>
        <v>45597</v>
      </c>
      <c r="E866" s="277" t="n">
        <v>0</v>
      </c>
      <c r="F866" s="277" t="n">
        <v>0</v>
      </c>
      <c r="G866" s="277" t="n">
        <v>0</v>
      </c>
      <c r="H866" s="277" t="n">
        <v>0</v>
      </c>
      <c r="I866" s="277" t="n">
        <v>0</v>
      </c>
      <c r="J866" s="278" t="n">
        <f aca="false">E866+H866+I866</f>
        <v>0</v>
      </c>
      <c r="K866" s="204"/>
      <c r="L866" s="279" t="n">
        <v>1</v>
      </c>
      <c r="M866" s="280" t="n">
        <f aca="false">1-L866</f>
        <v>0</v>
      </c>
      <c r="N866" s="281"/>
      <c r="O866" s="282"/>
      <c r="P866" s="282"/>
      <c r="Q866" s="282"/>
      <c r="R866" s="282"/>
      <c r="S866" s="282"/>
      <c r="T866" s="282"/>
      <c r="U866" s="282"/>
      <c r="V866" s="282"/>
      <c r="W866" s="282"/>
      <c r="X866" s="282"/>
      <c r="Y866" s="282"/>
      <c r="Z866" s="282"/>
      <c r="AA866" s="283"/>
      <c r="AB866" s="284" t="n">
        <f aca="false">IFERROR(($J866*O866)*$L866, "")</f>
        <v>0</v>
      </c>
      <c r="AC866" s="284" t="n">
        <f aca="false">IFERROR(($J866*P866)*$L866, "")</f>
        <v>0</v>
      </c>
      <c r="AD866" s="284" t="n">
        <f aca="false">IFERROR(($J866*Q866)*$L866, "")</f>
        <v>0</v>
      </c>
      <c r="AE866" s="284" t="n">
        <f aca="false">IFERROR(($J866*R866)*$L866, "")</f>
        <v>0</v>
      </c>
      <c r="AF866" s="284" t="n">
        <f aca="false">IFERROR(($J866*S866)*$L866, "")</f>
        <v>0</v>
      </c>
      <c r="AG866" s="284" t="n">
        <f aca="false">IFERROR(($J866*T866)*$L866, "")</f>
        <v>0</v>
      </c>
      <c r="AH866" s="284" t="n">
        <f aca="false">IFERROR(($J866*U866)*$L866, "")</f>
        <v>0</v>
      </c>
      <c r="AI866" s="284" t="n">
        <f aca="false">IFERROR(($J866*V866)*$L866, "")</f>
        <v>0</v>
      </c>
      <c r="AJ866" s="284" t="n">
        <f aca="false">IFERROR(($J866*W866)*$L866, "")</f>
        <v>0</v>
      </c>
      <c r="AK866" s="284" t="n">
        <f aca="false">IFERROR(($J866*X866)*$L866, "")</f>
        <v>0</v>
      </c>
      <c r="AL866" s="284" t="n">
        <f aca="false">IFERROR(($J866*Y866)*$L866, "")</f>
        <v>0</v>
      </c>
      <c r="AM866" s="285" t="n">
        <f aca="false">IFERROR(($J866*Z866)*$L866, "")</f>
        <v>0</v>
      </c>
      <c r="AN866" s="286" t="n">
        <f aca="false">IFERROR(SUMIF($AB$4:$AM$4, "RDEC", AB866:AM866), "")</f>
        <v>0</v>
      </c>
      <c r="AO866" s="286" t="n">
        <f aca="false">IFERROR(SUMIF($AB$4:$AM$4, "SME", AB866:AM866), "")</f>
        <v>0</v>
      </c>
      <c r="AP866" s="286" t="n">
        <f aca="false">IFERROR(SUMIF($AB$4:$AM$4, "De Minimis", AB866:AM866), "")</f>
        <v>0</v>
      </c>
      <c r="AQ866" s="283"/>
      <c r="AR866" s="284" t="n">
        <f aca="false">IFERROR(($J866*O866)*$M866, "")</f>
        <v>0</v>
      </c>
      <c r="AS866" s="284" t="n">
        <f aca="false">IFERROR(($J866*P866)*$M866, "")</f>
        <v>0</v>
      </c>
      <c r="AT866" s="284" t="n">
        <f aca="false">IFERROR(($J866*Q866)*$M866, "")</f>
        <v>0</v>
      </c>
      <c r="AU866" s="284" t="n">
        <f aca="false">IFERROR(($J866*R866)*$M866, "")</f>
        <v>0</v>
      </c>
      <c r="AV866" s="284" t="n">
        <f aca="false">IFERROR(($J866*S866)*$M866, "")</f>
        <v>0</v>
      </c>
      <c r="AW866" s="284" t="n">
        <f aca="false">IFERROR(($J866*T866)*$M866, "")</f>
        <v>0</v>
      </c>
      <c r="AX866" s="284" t="n">
        <f aca="false">IFERROR(($J866*U866)*$M866, "")</f>
        <v>0</v>
      </c>
      <c r="AY866" s="284" t="n">
        <f aca="false">IFERROR(($J866*V866)*$M866, "")</f>
        <v>0</v>
      </c>
      <c r="AZ866" s="284" t="n">
        <f aca="false">IFERROR(($J866*W866)*$M866, "")</f>
        <v>0</v>
      </c>
      <c r="BA866" s="284" t="n">
        <f aca="false">IFERROR(($J866*X866)*$M866, "")</f>
        <v>0</v>
      </c>
      <c r="BB866" s="284" t="n">
        <f aca="false">IFERROR(($J866*Y866)*$M866, "")</f>
        <v>0</v>
      </c>
      <c r="BC866" s="285" t="n">
        <f aca="false">IFERROR(($J866*Z866)*$M866, "")</f>
        <v>0</v>
      </c>
      <c r="BD866" s="286" t="n">
        <f aca="false">IFERROR(SUMIF($AB$4:$AM$4, "RDEC", AR866:BC866), "")</f>
        <v>0</v>
      </c>
      <c r="BE866" s="286" t="n">
        <f aca="false">IFERROR(SUMIF($AB$4:$AM$4, "SME", AR866:BC866), "")</f>
        <v>0</v>
      </c>
      <c r="BF866" s="286" t="n">
        <f aca="false">IFERROR(SUMIF($AB$4:$AM$4, "De Minimis", AR866:BC866), "")</f>
        <v>0</v>
      </c>
      <c r="BG866" s="287"/>
      <c r="BH866" s="288" t="str">
        <f aca="false">IF((SUM(O866:Z866)&gt;1),"ERROR","")</f>
        <v/>
      </c>
      <c r="BI866" s="287"/>
      <c r="BJ866" s="18" t="str">
        <f aca="false">IF(C852&gt;0, C852, "")</f>
        <v/>
      </c>
      <c r="BL866" s="200"/>
      <c r="BM866" s="200"/>
      <c r="BN866" s="200"/>
    </row>
    <row r="867" customFormat="false" ht="15" hidden="false" customHeight="true" outlineLevel="0" collapsed="false">
      <c r="B867" s="275"/>
      <c r="D867" s="276" t="n">
        <f aca="false">D851</f>
        <v>45627</v>
      </c>
      <c r="E867" s="277" t="n">
        <v>0</v>
      </c>
      <c r="F867" s="277" t="n">
        <v>0</v>
      </c>
      <c r="G867" s="277" t="n">
        <v>0</v>
      </c>
      <c r="H867" s="277" t="n">
        <v>0</v>
      </c>
      <c r="I867" s="277" t="n">
        <v>0</v>
      </c>
      <c r="J867" s="278" t="n">
        <f aca="false">E867+H867+I867</f>
        <v>0</v>
      </c>
      <c r="K867" s="204"/>
      <c r="L867" s="289" t="n">
        <v>1</v>
      </c>
      <c r="M867" s="290" t="n">
        <f aca="false">1-L867</f>
        <v>0</v>
      </c>
      <c r="N867" s="281"/>
      <c r="O867" s="291"/>
      <c r="P867" s="291"/>
      <c r="Q867" s="291"/>
      <c r="R867" s="291"/>
      <c r="S867" s="291"/>
      <c r="T867" s="291"/>
      <c r="U867" s="291"/>
      <c r="V867" s="291"/>
      <c r="W867" s="291"/>
      <c r="X867" s="291"/>
      <c r="Y867" s="291"/>
      <c r="Z867" s="291"/>
      <c r="AA867" s="283"/>
      <c r="AB867" s="292" t="n">
        <f aca="false">IFERROR(($J867*O867)*$L867, "")</f>
        <v>0</v>
      </c>
      <c r="AC867" s="292" t="n">
        <f aca="false">IFERROR(($J867*P867)*$L867, "")</f>
        <v>0</v>
      </c>
      <c r="AD867" s="292" t="n">
        <f aca="false">IFERROR(($J867*Q867)*$L867, "")</f>
        <v>0</v>
      </c>
      <c r="AE867" s="292" t="n">
        <f aca="false">IFERROR(($J867*R867)*$L867, "")</f>
        <v>0</v>
      </c>
      <c r="AF867" s="292" t="n">
        <f aca="false">IFERROR(($J867*S867)*$L867, "")</f>
        <v>0</v>
      </c>
      <c r="AG867" s="292" t="n">
        <f aca="false">IFERROR(($J867*T867)*$L867, "")</f>
        <v>0</v>
      </c>
      <c r="AH867" s="292" t="n">
        <f aca="false">IFERROR(($J867*U867)*$L867, "")</f>
        <v>0</v>
      </c>
      <c r="AI867" s="292" t="n">
        <f aca="false">IFERROR(($J867*V867)*$L867, "")</f>
        <v>0</v>
      </c>
      <c r="AJ867" s="292" t="n">
        <f aca="false">IFERROR(($J867*W867)*$L867, "")</f>
        <v>0</v>
      </c>
      <c r="AK867" s="292" t="n">
        <f aca="false">IFERROR(($J867*X867)*$L867, "")</f>
        <v>0</v>
      </c>
      <c r="AL867" s="292" t="n">
        <f aca="false">IFERROR(($J867*Y867)*$L867, "")</f>
        <v>0</v>
      </c>
      <c r="AM867" s="293" t="n">
        <f aca="false">IFERROR(($J867*Z867)*$L867, "")</f>
        <v>0</v>
      </c>
      <c r="AN867" s="294" t="n">
        <f aca="false">IFERROR(SUMIF($AB$4:$AM$4, "RDEC", AB867:AM867), "")</f>
        <v>0</v>
      </c>
      <c r="AO867" s="294" t="n">
        <f aca="false">IFERROR(SUMIF($AB$4:$AM$4, "SME", AB867:AM867), "")</f>
        <v>0</v>
      </c>
      <c r="AP867" s="294" t="n">
        <f aca="false">IFERROR(SUMIF($AB$4:$AM$4, "De Minimis", AB867:AM867), "")</f>
        <v>0</v>
      </c>
      <c r="AQ867" s="283"/>
      <c r="AR867" s="292" t="n">
        <f aca="false">IFERROR(($J867*O867)*$M867, "")</f>
        <v>0</v>
      </c>
      <c r="AS867" s="292" t="n">
        <f aca="false">IFERROR(($J867*P867)*$M867, "")</f>
        <v>0</v>
      </c>
      <c r="AT867" s="292" t="n">
        <f aca="false">IFERROR(($J867*Q867)*$M867, "")</f>
        <v>0</v>
      </c>
      <c r="AU867" s="292" t="n">
        <f aca="false">IFERROR(($J867*R867)*$M867, "")</f>
        <v>0</v>
      </c>
      <c r="AV867" s="292" t="n">
        <f aca="false">IFERROR(($J867*S867)*$M867, "")</f>
        <v>0</v>
      </c>
      <c r="AW867" s="292" t="n">
        <f aca="false">IFERROR(($J867*T867)*$M867, "")</f>
        <v>0</v>
      </c>
      <c r="AX867" s="292" t="n">
        <f aca="false">IFERROR(($J867*U867)*$M867, "")</f>
        <v>0</v>
      </c>
      <c r="AY867" s="292" t="n">
        <f aca="false">IFERROR(($J867*V867)*$M867, "")</f>
        <v>0</v>
      </c>
      <c r="AZ867" s="292" t="n">
        <f aca="false">IFERROR(($J867*W867)*$M867, "")</f>
        <v>0</v>
      </c>
      <c r="BA867" s="292" t="n">
        <f aca="false">IFERROR(($J867*X867)*$M867, "")</f>
        <v>0</v>
      </c>
      <c r="BB867" s="292" t="n">
        <f aca="false">IFERROR(($J867*Y867)*$M867, "")</f>
        <v>0</v>
      </c>
      <c r="BC867" s="293" t="n">
        <f aca="false">IFERROR(($J867*Z867)*$M867, "")</f>
        <v>0</v>
      </c>
      <c r="BD867" s="294" t="n">
        <f aca="false">IFERROR(SUMIF($AB$4:$AM$4, "RDEC", AR867:BC867), "")</f>
        <v>0</v>
      </c>
      <c r="BE867" s="294" t="n">
        <f aca="false">IFERROR(SUMIF($AB$4:$AM$4, "SME", AR867:BC867), "")</f>
        <v>0</v>
      </c>
      <c r="BF867" s="294" t="n">
        <f aca="false">IFERROR(SUMIF($AB$4:$AM$4, "De Minimis", AR867:BC867), "")</f>
        <v>0</v>
      </c>
      <c r="BG867" s="287"/>
      <c r="BH867" s="295" t="str">
        <f aca="false">IF((SUM(O867:Z867)&gt;1),"ERROR","")</f>
        <v/>
      </c>
      <c r="BI867" s="287"/>
      <c r="BJ867" s="18" t="str">
        <f aca="false">IF(C853&gt;0, C853, "")</f>
        <v/>
      </c>
      <c r="BL867" s="200"/>
      <c r="BM867" s="200"/>
      <c r="BN867" s="200"/>
    </row>
    <row r="868" customFormat="false" ht="15" hidden="false" customHeight="true" outlineLevel="0" collapsed="false">
      <c r="B868" s="296"/>
      <c r="D868" s="297" t="s">
        <v>82</v>
      </c>
      <c r="E868" s="298" t="n">
        <f aca="false">SUM(E856:E867)</f>
        <v>0</v>
      </c>
      <c r="F868" s="298" t="n">
        <f aca="false">SUM(F856:F867)</f>
        <v>0</v>
      </c>
      <c r="G868" s="298" t="n">
        <f aca="false">SUM(G856:G867)</f>
        <v>0</v>
      </c>
      <c r="H868" s="298" t="n">
        <f aca="false">SUM(H856:H867)</f>
        <v>0</v>
      </c>
      <c r="I868" s="298" t="n">
        <f aca="false">SUM(I856:I867)</f>
        <v>0</v>
      </c>
      <c r="J868" s="299" t="n">
        <f aca="false">SUM(J856:J867)</f>
        <v>0</v>
      </c>
      <c r="K868" s="300"/>
      <c r="L868" s="301" t="n">
        <f aca="false">AVERAGE(L856:L867)</f>
        <v>1</v>
      </c>
      <c r="M868" s="301" t="n">
        <f aca="false">AVERAGE(M856:M867)</f>
        <v>0</v>
      </c>
      <c r="N868" s="302"/>
      <c r="O868" s="290" t="n">
        <f aca="false">IF(SUM(O856:O867)&gt;0,((AB868+AR868)/J868),0)</f>
        <v>0</v>
      </c>
      <c r="P868" s="290" t="n">
        <f aca="false">IF(SUM(P856:P867)&gt;0,((AC868+AS868)/J868),0)</f>
        <v>0</v>
      </c>
      <c r="Q868" s="290" t="n">
        <f aca="false">IF(SUM(Q856:Q867)&gt;0,((AD868+AT868)/J868),0)</f>
        <v>0</v>
      </c>
      <c r="R868" s="290" t="n">
        <f aca="false">IF(SUM(R856:R867)&gt;0,((AE868+AU868)/J868),0)</f>
        <v>0</v>
      </c>
      <c r="S868" s="290" t="n">
        <f aca="false">IF(SUM(S856:S867)&gt;0,((AF868+AV868)/J868),0)</f>
        <v>0</v>
      </c>
      <c r="T868" s="290" t="n">
        <f aca="false">IF(SUM(T856:T867)&gt;0,((AG868+AW868)/J868),0)</f>
        <v>0</v>
      </c>
      <c r="U868" s="290" t="n">
        <f aca="false">IF(SUM(U856:U867)&gt;0,((AH868+AX868)/J868),0)</f>
        <v>0</v>
      </c>
      <c r="V868" s="290" t="n">
        <f aca="false">IF(SUM(V856:V867)&gt;0,((AI868+AY868)/J868),0)</f>
        <v>0</v>
      </c>
      <c r="W868" s="290" t="n">
        <f aca="false">IF(SUM(W856:W867)&gt;0,((AJ868+AZ868)/J868),0)</f>
        <v>0</v>
      </c>
      <c r="X868" s="290" t="n">
        <f aca="false">IF(SUM(X856:X867)&gt;0,((AK868+BA868)/J868),0)</f>
        <v>0</v>
      </c>
      <c r="Y868" s="290" t="n">
        <f aca="false">IF(SUM(Y856:Y867)&gt;0,((AL868+BB868)/J868),0)</f>
        <v>0</v>
      </c>
      <c r="Z868" s="290" t="n">
        <f aca="false">IF(SUM(Z856:Z867)&gt;0,((AM868+BC868)/J868),0)</f>
        <v>0</v>
      </c>
      <c r="AA868" s="303"/>
      <c r="AB868" s="292" t="n">
        <f aca="false">SUM(AB856:AB867)</f>
        <v>0</v>
      </c>
      <c r="AC868" s="304" t="n">
        <f aca="false">SUM(AC856:AC867)</f>
        <v>0</v>
      </c>
      <c r="AD868" s="304" t="n">
        <f aca="false">SUM(AD856:AD867)</f>
        <v>0</v>
      </c>
      <c r="AE868" s="304" t="n">
        <f aca="false">SUM(AE856:AE867)</f>
        <v>0</v>
      </c>
      <c r="AF868" s="304" t="n">
        <f aca="false">SUM(AF856:AF867)</f>
        <v>0</v>
      </c>
      <c r="AG868" s="304" t="n">
        <f aca="false">SUM(AG856:AG867)</f>
        <v>0</v>
      </c>
      <c r="AH868" s="304" t="n">
        <f aca="false">SUM(AH856:AH867)</f>
        <v>0</v>
      </c>
      <c r="AI868" s="304" t="n">
        <f aca="false">SUM(AI856:AI867)</f>
        <v>0</v>
      </c>
      <c r="AJ868" s="304" t="n">
        <f aca="false">SUM(AJ856:AJ867)</f>
        <v>0</v>
      </c>
      <c r="AK868" s="304" t="n">
        <f aca="false">SUM(AK856:AK867)</f>
        <v>0</v>
      </c>
      <c r="AL868" s="304" t="n">
        <f aca="false">SUM(AL856:AL867)</f>
        <v>0</v>
      </c>
      <c r="AM868" s="304" t="n">
        <f aca="false">SUM(AM856:AM867)</f>
        <v>0</v>
      </c>
      <c r="AN868" s="305" t="n">
        <f aca="false">SUM(AN856:AN867)</f>
        <v>0</v>
      </c>
      <c r="AO868" s="305" t="n">
        <f aca="false">SUM(AO856:AO867)</f>
        <v>0</v>
      </c>
      <c r="AP868" s="305" t="n">
        <f aca="false">SUM(AP856:AP867)</f>
        <v>0</v>
      </c>
      <c r="AQ868" s="303"/>
      <c r="AR868" s="292" t="n">
        <f aca="false">SUM(AR856:AR867)</f>
        <v>0</v>
      </c>
      <c r="AS868" s="304" t="n">
        <f aca="false">SUM(AS856:AS867)</f>
        <v>0</v>
      </c>
      <c r="AT868" s="304" t="n">
        <f aca="false">SUM(AT856:AT867)</f>
        <v>0</v>
      </c>
      <c r="AU868" s="304" t="n">
        <f aca="false">SUM(AU856:AU867)</f>
        <v>0</v>
      </c>
      <c r="AV868" s="304" t="n">
        <f aca="false">SUM(AV856:AV867)</f>
        <v>0</v>
      </c>
      <c r="AW868" s="304" t="n">
        <f aca="false">SUM(AW856:AW867)</f>
        <v>0</v>
      </c>
      <c r="AX868" s="304" t="n">
        <f aca="false">SUM(AX856:AX867)</f>
        <v>0</v>
      </c>
      <c r="AY868" s="304" t="n">
        <f aca="false">SUM(AY856:AY867)</f>
        <v>0</v>
      </c>
      <c r="AZ868" s="304" t="n">
        <f aca="false">SUM(AZ856:AZ867)</f>
        <v>0</v>
      </c>
      <c r="BA868" s="304" t="n">
        <f aca="false">SUM(BA856:BA867)</f>
        <v>0</v>
      </c>
      <c r="BB868" s="304" t="n">
        <f aca="false">SUM(BB856:BB867)</f>
        <v>0</v>
      </c>
      <c r="BC868" s="304" t="n">
        <f aca="false">SUM(BC856:BC867)</f>
        <v>0</v>
      </c>
      <c r="BD868" s="305" t="n">
        <f aca="false">SUM(BD856:BD867)</f>
        <v>0</v>
      </c>
      <c r="BE868" s="305" t="n">
        <f aca="false">SUM(BE856:BE867)</f>
        <v>0</v>
      </c>
      <c r="BF868" s="305" t="n">
        <f aca="false">SUM(BF856:BF867)</f>
        <v>0</v>
      </c>
      <c r="BG868" s="303"/>
      <c r="BH868" s="306"/>
      <c r="BI868" s="303"/>
      <c r="BJ868" s="307" t="str">
        <f aca="false">IF(C854&gt;0, C854, "")</f>
        <v>TBA</v>
      </c>
      <c r="BK868" s="18" t="s">
        <v>234</v>
      </c>
      <c r="BL868" s="200" t="n">
        <f aca="false">IF($BK868="Y",J868,0)</f>
        <v>0</v>
      </c>
      <c r="BM868" s="200" t="n">
        <f aca="false">IF(BK868="Y", AN868,0)</f>
        <v>0</v>
      </c>
      <c r="BN868" s="200" t="n">
        <f aca="false">IF((BK868="Y"),AO868,0)</f>
        <v>0</v>
      </c>
    </row>
    <row r="869" customFormat="false" ht="15" hidden="false" customHeight="true" outlineLevel="0" collapsed="false">
      <c r="B869" s="296"/>
      <c r="D869" s="297"/>
      <c r="E869" s="277"/>
      <c r="F869" s="277"/>
      <c r="G869" s="277"/>
      <c r="H869" s="277"/>
      <c r="I869" s="277"/>
      <c r="J869" s="300"/>
      <c r="K869" s="300"/>
      <c r="L869" s="302"/>
      <c r="M869" s="302"/>
      <c r="N869" s="302"/>
      <c r="O869" s="308"/>
      <c r="P869" s="308"/>
      <c r="Q869" s="308"/>
      <c r="R869" s="308"/>
      <c r="S869" s="308"/>
      <c r="T869" s="308"/>
      <c r="U869" s="308"/>
      <c r="V869" s="308"/>
      <c r="W869" s="308"/>
      <c r="X869" s="308"/>
      <c r="Y869" s="308"/>
      <c r="Z869" s="308"/>
      <c r="AA869" s="303"/>
      <c r="AB869" s="303"/>
      <c r="AC869" s="303"/>
      <c r="AD869" s="303"/>
      <c r="AE869" s="303"/>
      <c r="AF869" s="303"/>
      <c r="AG869" s="303"/>
      <c r="AH869" s="303"/>
      <c r="AI869" s="303"/>
      <c r="AJ869" s="303"/>
      <c r="AK869" s="303"/>
      <c r="AL869" s="303"/>
      <c r="AM869" s="303"/>
      <c r="AN869" s="303"/>
      <c r="AO869" s="303"/>
      <c r="AP869" s="303"/>
      <c r="AQ869" s="303"/>
      <c r="AR869" s="303"/>
      <c r="AS869" s="303"/>
      <c r="AT869" s="303"/>
      <c r="AU869" s="303"/>
      <c r="AV869" s="303"/>
      <c r="AW869" s="303"/>
      <c r="AX869" s="303"/>
      <c r="AY869" s="303"/>
      <c r="AZ869" s="303"/>
      <c r="BA869" s="303"/>
      <c r="BB869" s="303"/>
      <c r="BC869" s="303"/>
      <c r="BD869" s="303"/>
      <c r="BE869" s="303"/>
      <c r="BF869" s="303"/>
      <c r="BG869" s="303"/>
      <c r="BH869" s="303"/>
      <c r="BI869" s="303"/>
      <c r="BJ869" s="307" t="str">
        <f aca="false">IF(C856&gt;0, C856, "")</f>
        <v/>
      </c>
      <c r="BL869" s="200"/>
      <c r="BM869" s="200"/>
      <c r="BN869" s="200"/>
    </row>
    <row r="870" customFormat="false" ht="15" hidden="false" customHeight="true" outlineLevel="0" collapsed="false">
      <c r="A870" s="198" t="n">
        <f aca="false">A854+1</f>
        <v>55</v>
      </c>
      <c r="B870" s="266" t="s">
        <v>253</v>
      </c>
      <c r="C870" s="266" t="s">
        <v>253</v>
      </c>
      <c r="D870" s="267"/>
      <c r="E870" s="242"/>
      <c r="F870" s="242"/>
      <c r="G870" s="242"/>
      <c r="H870" s="242"/>
      <c r="I870" s="242"/>
      <c r="J870" s="241"/>
      <c r="K870" s="241"/>
      <c r="L870" s="241"/>
      <c r="M870" s="241"/>
      <c r="N870" s="241"/>
      <c r="O870" s="268"/>
      <c r="P870" s="268"/>
      <c r="Q870" s="268"/>
      <c r="R870" s="268"/>
      <c r="S870" s="268"/>
      <c r="T870" s="268"/>
      <c r="U870" s="268"/>
      <c r="V870" s="268"/>
      <c r="W870" s="268"/>
      <c r="X870" s="268"/>
      <c r="Y870" s="268"/>
      <c r="Z870" s="268"/>
      <c r="AA870" s="268"/>
      <c r="AB870" s="268"/>
      <c r="AC870" s="268"/>
      <c r="AD870" s="268"/>
      <c r="AE870" s="268"/>
      <c r="AF870" s="268"/>
      <c r="AG870" s="268"/>
      <c r="AH870" s="268"/>
      <c r="AI870" s="268"/>
      <c r="AJ870" s="268"/>
      <c r="AK870" s="268"/>
      <c r="AL870" s="268"/>
      <c r="AM870" s="268"/>
      <c r="AN870" s="268"/>
      <c r="AO870" s="268"/>
      <c r="AP870" s="268"/>
      <c r="AQ870" s="268"/>
      <c r="AR870" s="268"/>
      <c r="AS870" s="268"/>
      <c r="AT870" s="268"/>
      <c r="AU870" s="268"/>
      <c r="AV870" s="268"/>
      <c r="AW870" s="268"/>
      <c r="AX870" s="268"/>
      <c r="AY870" s="268"/>
      <c r="AZ870" s="268"/>
      <c r="BA870" s="268"/>
      <c r="BB870" s="268"/>
      <c r="BC870" s="268"/>
      <c r="BD870" s="268"/>
      <c r="BE870" s="268"/>
      <c r="BF870" s="268"/>
      <c r="BG870" s="268"/>
      <c r="BH870" s="268"/>
      <c r="BI870" s="268"/>
      <c r="BJ870" s="18" t="str">
        <f aca="false">IF(C857&gt;0, C857, "")</f>
        <v/>
      </c>
      <c r="BL870" s="200"/>
      <c r="BM870" s="200"/>
      <c r="BN870" s="200"/>
    </row>
    <row r="871" customFormat="false" ht="7.5" hidden="false" customHeight="true" outlineLevel="0" collapsed="false">
      <c r="A871" s="198"/>
      <c r="B871" s="266"/>
      <c r="C871" s="266"/>
      <c r="D871" s="267"/>
      <c r="E871" s="242"/>
      <c r="F871" s="242"/>
      <c r="G871" s="242"/>
      <c r="H871" s="242"/>
      <c r="I871" s="242"/>
      <c r="J871" s="241"/>
      <c r="K871" s="241"/>
      <c r="L871" s="269"/>
      <c r="M871" s="269"/>
      <c r="N871" s="270"/>
      <c r="O871" s="269"/>
      <c r="P871" s="269"/>
      <c r="Q871" s="269"/>
      <c r="R871" s="269"/>
      <c r="S871" s="269"/>
      <c r="T871" s="269"/>
      <c r="U871" s="269"/>
      <c r="V871" s="269"/>
      <c r="W871" s="269"/>
      <c r="X871" s="269"/>
      <c r="Y871" s="269"/>
      <c r="Z871" s="269"/>
      <c r="AA871" s="268"/>
      <c r="AB871" s="271"/>
      <c r="AC871" s="271"/>
      <c r="AD871" s="271"/>
      <c r="AE871" s="271"/>
      <c r="AF871" s="271"/>
      <c r="AG871" s="271"/>
      <c r="AH871" s="271"/>
      <c r="AI871" s="271"/>
      <c r="AJ871" s="271"/>
      <c r="AK871" s="271"/>
      <c r="AL871" s="271"/>
      <c r="AM871" s="272"/>
      <c r="AN871" s="273"/>
      <c r="AO871" s="273"/>
      <c r="AP871" s="273"/>
      <c r="AQ871" s="268"/>
      <c r="AR871" s="271"/>
      <c r="AS871" s="271"/>
      <c r="AT871" s="271"/>
      <c r="AU871" s="271"/>
      <c r="AV871" s="271"/>
      <c r="AW871" s="271"/>
      <c r="AX871" s="271"/>
      <c r="AY871" s="271"/>
      <c r="AZ871" s="271"/>
      <c r="BA871" s="271"/>
      <c r="BB871" s="271"/>
      <c r="BC871" s="272"/>
      <c r="BD871" s="273"/>
      <c r="BE871" s="273"/>
      <c r="BF871" s="273"/>
      <c r="BG871" s="268"/>
      <c r="BH871" s="274"/>
      <c r="BI871" s="268"/>
      <c r="BL871" s="200"/>
      <c r="BM871" s="200"/>
      <c r="BN871" s="200"/>
    </row>
    <row r="872" customFormat="false" ht="15" hidden="false" customHeight="true" outlineLevel="0" collapsed="false">
      <c r="B872" s="275"/>
      <c r="D872" s="276" t="n">
        <f aca="false">D856</f>
        <v>45292</v>
      </c>
      <c r="E872" s="277" t="n">
        <v>0</v>
      </c>
      <c r="F872" s="277" t="n">
        <v>0</v>
      </c>
      <c r="G872" s="277" t="n">
        <v>0</v>
      </c>
      <c r="H872" s="277" t="n">
        <v>0</v>
      </c>
      <c r="I872" s="277" t="n">
        <v>0</v>
      </c>
      <c r="J872" s="278" t="n">
        <f aca="false">E872+H872+I872</f>
        <v>0</v>
      </c>
      <c r="K872" s="204"/>
      <c r="L872" s="279" t="n">
        <v>1</v>
      </c>
      <c r="M872" s="280" t="n">
        <f aca="false">1-L872</f>
        <v>0</v>
      </c>
      <c r="N872" s="281"/>
      <c r="O872" s="282"/>
      <c r="P872" s="282"/>
      <c r="Q872" s="282"/>
      <c r="R872" s="282"/>
      <c r="S872" s="282"/>
      <c r="T872" s="282"/>
      <c r="U872" s="282"/>
      <c r="V872" s="282"/>
      <c r="W872" s="282"/>
      <c r="X872" s="282"/>
      <c r="Y872" s="282"/>
      <c r="Z872" s="282"/>
      <c r="AA872" s="283"/>
      <c r="AB872" s="284" t="n">
        <f aca="false">IFERROR(($J872*O872)*$L872, "")</f>
        <v>0</v>
      </c>
      <c r="AC872" s="284" t="n">
        <f aca="false">IFERROR(($J872*P872)*$L872, "")</f>
        <v>0</v>
      </c>
      <c r="AD872" s="284" t="n">
        <f aca="false">IFERROR(($J872*Q872)*$L872, "")</f>
        <v>0</v>
      </c>
      <c r="AE872" s="284" t="n">
        <f aca="false">IFERROR(($J872*R872)*$L872, "")</f>
        <v>0</v>
      </c>
      <c r="AF872" s="284" t="n">
        <f aca="false">IFERROR(($J872*S872)*$L872, "")</f>
        <v>0</v>
      </c>
      <c r="AG872" s="284" t="n">
        <f aca="false">IFERROR(($J872*T872)*$L872, "")</f>
        <v>0</v>
      </c>
      <c r="AH872" s="284" t="n">
        <f aca="false">IFERROR(($J872*U872)*$L872, "")</f>
        <v>0</v>
      </c>
      <c r="AI872" s="284" t="n">
        <f aca="false">IFERROR(($J872*V872)*$L872, "")</f>
        <v>0</v>
      </c>
      <c r="AJ872" s="284" t="n">
        <f aca="false">IFERROR(($J872*W872)*$L872, "")</f>
        <v>0</v>
      </c>
      <c r="AK872" s="284" t="n">
        <f aca="false">IFERROR(($J872*X872)*$L872, "")</f>
        <v>0</v>
      </c>
      <c r="AL872" s="284" t="n">
        <f aca="false">IFERROR(($J872*Y872)*$L872, "")</f>
        <v>0</v>
      </c>
      <c r="AM872" s="285" t="n">
        <f aca="false">IFERROR(($J872*Z872)*$L872, "")</f>
        <v>0</v>
      </c>
      <c r="AN872" s="286" t="n">
        <f aca="false">IFERROR(SUMIF($AB$4:$AM$4, "RDEC", AB872:AM872), "")</f>
        <v>0</v>
      </c>
      <c r="AO872" s="286" t="n">
        <f aca="false">IFERROR(SUMIF($AB$4:$AM$4, "SME", AB872:AM872), "")</f>
        <v>0</v>
      </c>
      <c r="AP872" s="286" t="n">
        <f aca="false">IFERROR(SUMIF($AB$4:$AM$4, "De Minimis", AB872:AM872), "")</f>
        <v>0</v>
      </c>
      <c r="AQ872" s="283"/>
      <c r="AR872" s="284" t="n">
        <f aca="false">IFERROR(($J872*O872)*$M872, "")</f>
        <v>0</v>
      </c>
      <c r="AS872" s="284" t="n">
        <f aca="false">IFERROR(($J872*P872)*$M872, "")</f>
        <v>0</v>
      </c>
      <c r="AT872" s="284" t="n">
        <f aca="false">IFERROR(($J872*Q872)*$M872, "")</f>
        <v>0</v>
      </c>
      <c r="AU872" s="284" t="n">
        <f aca="false">IFERROR(($J872*R872)*$M872, "")</f>
        <v>0</v>
      </c>
      <c r="AV872" s="284" t="n">
        <f aca="false">IFERROR(($J872*S872)*$M872, "")</f>
        <v>0</v>
      </c>
      <c r="AW872" s="284" t="n">
        <f aca="false">IFERROR(($J872*T872)*$M872, "")</f>
        <v>0</v>
      </c>
      <c r="AX872" s="284" t="n">
        <f aca="false">IFERROR(($J872*U872)*$M872, "")</f>
        <v>0</v>
      </c>
      <c r="AY872" s="284" t="n">
        <f aca="false">IFERROR(($J872*V872)*$M872, "")</f>
        <v>0</v>
      </c>
      <c r="AZ872" s="284" t="n">
        <f aca="false">IFERROR(($J872*W872)*$M872, "")</f>
        <v>0</v>
      </c>
      <c r="BA872" s="284" t="n">
        <f aca="false">IFERROR(($J872*X872)*$M872, "")</f>
        <v>0</v>
      </c>
      <c r="BB872" s="284" t="n">
        <f aca="false">IFERROR(($J872*Y872)*$M872, "")</f>
        <v>0</v>
      </c>
      <c r="BC872" s="285" t="n">
        <f aca="false">IFERROR(($J872*Z872)*$M872, "")</f>
        <v>0</v>
      </c>
      <c r="BD872" s="286" t="n">
        <f aca="false">IFERROR(SUMIF($AB$4:$AM$4, "RDEC", AR872:BC872), "")</f>
        <v>0</v>
      </c>
      <c r="BE872" s="286" t="n">
        <f aca="false">IFERROR(SUMIF($AB$4:$AM$4, "SME", AR872:BC872), "")</f>
        <v>0</v>
      </c>
      <c r="BF872" s="286" t="n">
        <f aca="false">IFERROR(SUMIF($AB$4:$AM$4, "De Minimis", AR872:BC872), "")</f>
        <v>0</v>
      </c>
      <c r="BG872" s="287"/>
      <c r="BH872" s="288" t="str">
        <f aca="false">IF((SUM(O872:Z872)&gt;1),"ERROR","")</f>
        <v/>
      </c>
      <c r="BI872" s="287"/>
      <c r="BJ872" s="18" t="str">
        <f aca="false">IF(C858&gt;0, C858, "")</f>
        <v/>
      </c>
      <c r="BL872" s="200"/>
      <c r="BM872" s="200"/>
      <c r="BN872" s="200"/>
    </row>
    <row r="873" customFormat="false" ht="15" hidden="false" customHeight="true" outlineLevel="0" collapsed="false">
      <c r="B873" s="275"/>
      <c r="D873" s="276" t="n">
        <f aca="false">D857</f>
        <v>45323</v>
      </c>
      <c r="E873" s="277" t="n">
        <v>0</v>
      </c>
      <c r="F873" s="277" t="n">
        <v>0</v>
      </c>
      <c r="G873" s="277" t="n">
        <v>0</v>
      </c>
      <c r="H873" s="277" t="n">
        <v>0</v>
      </c>
      <c r="I873" s="277" t="n">
        <v>0</v>
      </c>
      <c r="J873" s="278" t="n">
        <f aca="false">E873+H873+I873</f>
        <v>0</v>
      </c>
      <c r="K873" s="204"/>
      <c r="L873" s="279" t="n">
        <v>1</v>
      </c>
      <c r="M873" s="280" t="n">
        <f aca="false">1-L873</f>
        <v>0</v>
      </c>
      <c r="N873" s="281"/>
      <c r="O873" s="282"/>
      <c r="P873" s="282"/>
      <c r="Q873" s="282"/>
      <c r="R873" s="282"/>
      <c r="S873" s="282"/>
      <c r="T873" s="282"/>
      <c r="U873" s="282"/>
      <c r="V873" s="282"/>
      <c r="W873" s="282"/>
      <c r="X873" s="282"/>
      <c r="Y873" s="282"/>
      <c r="Z873" s="282"/>
      <c r="AA873" s="283"/>
      <c r="AB873" s="284" t="n">
        <f aca="false">IFERROR(($J873*O873)*$L873, "")</f>
        <v>0</v>
      </c>
      <c r="AC873" s="284" t="n">
        <f aca="false">IFERROR(($J873*P873)*$L873, "")</f>
        <v>0</v>
      </c>
      <c r="AD873" s="284" t="n">
        <f aca="false">IFERROR(($J873*Q873)*$L873, "")</f>
        <v>0</v>
      </c>
      <c r="AE873" s="284" t="n">
        <f aca="false">IFERROR(($J873*R873)*$L873, "")</f>
        <v>0</v>
      </c>
      <c r="AF873" s="284" t="n">
        <f aca="false">IFERROR(($J873*S873)*$L873, "")</f>
        <v>0</v>
      </c>
      <c r="AG873" s="284" t="n">
        <f aca="false">IFERROR(($J873*T873)*$L873, "")</f>
        <v>0</v>
      </c>
      <c r="AH873" s="284" t="n">
        <f aca="false">IFERROR(($J873*U873)*$L873, "")</f>
        <v>0</v>
      </c>
      <c r="AI873" s="284" t="n">
        <f aca="false">IFERROR(($J873*V873)*$L873, "")</f>
        <v>0</v>
      </c>
      <c r="AJ873" s="284" t="n">
        <f aca="false">IFERROR(($J873*W873)*$L873, "")</f>
        <v>0</v>
      </c>
      <c r="AK873" s="284" t="n">
        <f aca="false">IFERROR(($J873*X873)*$L873, "")</f>
        <v>0</v>
      </c>
      <c r="AL873" s="284" t="n">
        <f aca="false">IFERROR(($J873*Y873)*$L873, "")</f>
        <v>0</v>
      </c>
      <c r="AM873" s="285" t="n">
        <f aca="false">IFERROR(($J873*Z873)*$L873, "")</f>
        <v>0</v>
      </c>
      <c r="AN873" s="286" t="n">
        <f aca="false">IFERROR(SUMIF($AB$4:$AM$4, "RDEC", AB873:AM873), "")</f>
        <v>0</v>
      </c>
      <c r="AO873" s="286" t="n">
        <f aca="false">IFERROR(SUMIF($AB$4:$AM$4, "SME", AB873:AM873), "")</f>
        <v>0</v>
      </c>
      <c r="AP873" s="286" t="n">
        <f aca="false">IFERROR(SUMIF($AB$4:$AM$4, "De Minimis", AB873:AM873), "")</f>
        <v>0</v>
      </c>
      <c r="AQ873" s="283"/>
      <c r="AR873" s="284" t="n">
        <f aca="false">IFERROR(($J873*O873)*$M873, "")</f>
        <v>0</v>
      </c>
      <c r="AS873" s="284" t="n">
        <f aca="false">IFERROR(($J873*P873)*$M873, "")</f>
        <v>0</v>
      </c>
      <c r="AT873" s="284" t="n">
        <f aca="false">IFERROR(($J873*Q873)*$M873, "")</f>
        <v>0</v>
      </c>
      <c r="AU873" s="284" t="n">
        <f aca="false">IFERROR(($J873*R873)*$M873, "")</f>
        <v>0</v>
      </c>
      <c r="AV873" s="284" t="n">
        <f aca="false">IFERROR(($J873*S873)*$M873, "")</f>
        <v>0</v>
      </c>
      <c r="AW873" s="284" t="n">
        <f aca="false">IFERROR(($J873*T873)*$M873, "")</f>
        <v>0</v>
      </c>
      <c r="AX873" s="284" t="n">
        <f aca="false">IFERROR(($J873*U873)*$M873, "")</f>
        <v>0</v>
      </c>
      <c r="AY873" s="284" t="n">
        <f aca="false">IFERROR(($J873*V873)*$M873, "")</f>
        <v>0</v>
      </c>
      <c r="AZ873" s="284" t="n">
        <f aca="false">IFERROR(($J873*W873)*$M873, "")</f>
        <v>0</v>
      </c>
      <c r="BA873" s="284" t="n">
        <f aca="false">IFERROR(($J873*X873)*$M873, "")</f>
        <v>0</v>
      </c>
      <c r="BB873" s="284" t="n">
        <f aca="false">IFERROR(($J873*Y873)*$M873, "")</f>
        <v>0</v>
      </c>
      <c r="BC873" s="285" t="n">
        <f aca="false">IFERROR(($J873*Z873)*$M873, "")</f>
        <v>0</v>
      </c>
      <c r="BD873" s="286" t="n">
        <f aca="false">IFERROR(SUMIF($AB$4:$AM$4, "RDEC", AR873:BC873), "")</f>
        <v>0</v>
      </c>
      <c r="BE873" s="286" t="n">
        <f aca="false">IFERROR(SUMIF($AB$4:$AM$4, "SME", AR873:BC873), "")</f>
        <v>0</v>
      </c>
      <c r="BF873" s="286" t="n">
        <f aca="false">IFERROR(SUMIF($AB$4:$AM$4, "De Minimis", AR873:BC873), "")</f>
        <v>0</v>
      </c>
      <c r="BG873" s="287"/>
      <c r="BH873" s="288" t="str">
        <f aca="false">IF((SUM(O873:Z873)&gt;1),"ERROR","")</f>
        <v/>
      </c>
      <c r="BI873" s="287"/>
      <c r="BJ873" s="18" t="str">
        <f aca="false">IF(C859&gt;0, C859, "")</f>
        <v/>
      </c>
      <c r="BL873" s="200"/>
      <c r="BM873" s="200"/>
      <c r="BN873" s="200"/>
    </row>
    <row r="874" customFormat="false" ht="15" hidden="false" customHeight="true" outlineLevel="0" collapsed="false">
      <c r="B874" s="275"/>
      <c r="D874" s="276" t="n">
        <f aca="false">D858</f>
        <v>45352</v>
      </c>
      <c r="E874" s="277" t="n">
        <v>0</v>
      </c>
      <c r="F874" s="277" t="n">
        <v>0</v>
      </c>
      <c r="G874" s="277" t="n">
        <v>0</v>
      </c>
      <c r="H874" s="277" t="n">
        <v>0</v>
      </c>
      <c r="I874" s="277" t="n">
        <v>0</v>
      </c>
      <c r="J874" s="278" t="n">
        <f aca="false">E874+H874+I874</f>
        <v>0</v>
      </c>
      <c r="K874" s="204"/>
      <c r="L874" s="279" t="n">
        <v>1</v>
      </c>
      <c r="M874" s="280" t="n">
        <f aca="false">1-L874</f>
        <v>0</v>
      </c>
      <c r="N874" s="281"/>
      <c r="O874" s="282"/>
      <c r="P874" s="282"/>
      <c r="Q874" s="282"/>
      <c r="R874" s="282"/>
      <c r="S874" s="282"/>
      <c r="T874" s="282"/>
      <c r="U874" s="282"/>
      <c r="V874" s="282"/>
      <c r="W874" s="282"/>
      <c r="X874" s="282"/>
      <c r="Y874" s="282"/>
      <c r="Z874" s="282"/>
      <c r="AA874" s="283"/>
      <c r="AB874" s="284" t="n">
        <f aca="false">IFERROR(($J874*O874)*$L874, "")</f>
        <v>0</v>
      </c>
      <c r="AC874" s="284" t="n">
        <f aca="false">IFERROR(($J874*P874)*$L874, "")</f>
        <v>0</v>
      </c>
      <c r="AD874" s="284" t="n">
        <f aca="false">IFERROR(($J874*Q874)*$L874, "")</f>
        <v>0</v>
      </c>
      <c r="AE874" s="284" t="n">
        <f aca="false">IFERROR(($J874*R874)*$L874, "")</f>
        <v>0</v>
      </c>
      <c r="AF874" s="284" t="n">
        <f aca="false">IFERROR(($J874*S874)*$L874, "")</f>
        <v>0</v>
      </c>
      <c r="AG874" s="284" t="n">
        <f aca="false">IFERROR(($J874*T874)*$L874, "")</f>
        <v>0</v>
      </c>
      <c r="AH874" s="284" t="n">
        <f aca="false">IFERROR(($J874*U874)*$L874, "")</f>
        <v>0</v>
      </c>
      <c r="AI874" s="284" t="n">
        <f aca="false">IFERROR(($J874*V874)*$L874, "")</f>
        <v>0</v>
      </c>
      <c r="AJ874" s="284" t="n">
        <f aca="false">IFERROR(($J874*W874)*$L874, "")</f>
        <v>0</v>
      </c>
      <c r="AK874" s="284" t="n">
        <f aca="false">IFERROR(($J874*X874)*$L874, "")</f>
        <v>0</v>
      </c>
      <c r="AL874" s="284" t="n">
        <f aca="false">IFERROR(($J874*Y874)*$L874, "")</f>
        <v>0</v>
      </c>
      <c r="AM874" s="285" t="n">
        <f aca="false">IFERROR(($J874*Z874)*$L874, "")</f>
        <v>0</v>
      </c>
      <c r="AN874" s="286" t="n">
        <f aca="false">IFERROR(SUMIF($AB$4:$AM$4, "RDEC", AB874:AM874), "")</f>
        <v>0</v>
      </c>
      <c r="AO874" s="286" t="n">
        <f aca="false">IFERROR(SUMIF($AB$4:$AM$4, "SME", AB874:AM874), "")</f>
        <v>0</v>
      </c>
      <c r="AP874" s="286" t="n">
        <f aca="false">IFERROR(SUMIF($AB$4:$AM$4, "De Minimis", AB874:AM874), "")</f>
        <v>0</v>
      </c>
      <c r="AQ874" s="283"/>
      <c r="AR874" s="284" t="n">
        <f aca="false">IFERROR(($J874*O874)*$M874, "")</f>
        <v>0</v>
      </c>
      <c r="AS874" s="284" t="n">
        <f aca="false">IFERROR(($J874*P874)*$M874, "")</f>
        <v>0</v>
      </c>
      <c r="AT874" s="284" t="n">
        <f aca="false">IFERROR(($J874*Q874)*$M874, "")</f>
        <v>0</v>
      </c>
      <c r="AU874" s="284" t="n">
        <f aca="false">IFERROR(($J874*R874)*$M874, "")</f>
        <v>0</v>
      </c>
      <c r="AV874" s="284" t="n">
        <f aca="false">IFERROR(($J874*S874)*$M874, "")</f>
        <v>0</v>
      </c>
      <c r="AW874" s="284" t="n">
        <f aca="false">IFERROR(($J874*T874)*$M874, "")</f>
        <v>0</v>
      </c>
      <c r="AX874" s="284" t="n">
        <f aca="false">IFERROR(($J874*U874)*$M874, "")</f>
        <v>0</v>
      </c>
      <c r="AY874" s="284" t="n">
        <f aca="false">IFERROR(($J874*V874)*$M874, "")</f>
        <v>0</v>
      </c>
      <c r="AZ874" s="284" t="n">
        <f aca="false">IFERROR(($J874*W874)*$M874, "")</f>
        <v>0</v>
      </c>
      <c r="BA874" s="284" t="n">
        <f aca="false">IFERROR(($J874*X874)*$M874, "")</f>
        <v>0</v>
      </c>
      <c r="BB874" s="284" t="n">
        <f aca="false">IFERROR(($J874*Y874)*$M874, "")</f>
        <v>0</v>
      </c>
      <c r="BC874" s="285" t="n">
        <f aca="false">IFERROR(($J874*Z874)*$M874, "")</f>
        <v>0</v>
      </c>
      <c r="BD874" s="286" t="n">
        <f aca="false">IFERROR(SUMIF($AB$4:$AM$4, "RDEC", AR874:BC874), "")</f>
        <v>0</v>
      </c>
      <c r="BE874" s="286" t="n">
        <f aca="false">IFERROR(SUMIF($AB$4:$AM$4, "SME", AR874:BC874), "")</f>
        <v>0</v>
      </c>
      <c r="BF874" s="286" t="n">
        <f aca="false">IFERROR(SUMIF($AB$4:$AM$4, "De Minimis", AR874:BC874), "")</f>
        <v>0</v>
      </c>
      <c r="BG874" s="287"/>
      <c r="BH874" s="288" t="str">
        <f aca="false">IF((SUM(O874:Z874)&gt;1),"ERROR","")</f>
        <v/>
      </c>
      <c r="BI874" s="287"/>
      <c r="BJ874" s="18" t="str">
        <f aca="false">IF(C860&gt;0, C860, "")</f>
        <v/>
      </c>
      <c r="BL874" s="200"/>
      <c r="BM874" s="200"/>
      <c r="BN874" s="200"/>
    </row>
    <row r="875" customFormat="false" ht="15" hidden="false" customHeight="true" outlineLevel="0" collapsed="false">
      <c r="B875" s="275"/>
      <c r="D875" s="276" t="n">
        <f aca="false">D859</f>
        <v>45383</v>
      </c>
      <c r="E875" s="277" t="n">
        <v>0</v>
      </c>
      <c r="F875" s="277" t="n">
        <v>0</v>
      </c>
      <c r="G875" s="277" t="n">
        <v>0</v>
      </c>
      <c r="H875" s="277" t="n">
        <v>0</v>
      </c>
      <c r="I875" s="277" t="n">
        <v>0</v>
      </c>
      <c r="J875" s="278" t="n">
        <f aca="false">E875+H875+I875</f>
        <v>0</v>
      </c>
      <c r="K875" s="204"/>
      <c r="L875" s="279" t="n">
        <v>1</v>
      </c>
      <c r="M875" s="280" t="n">
        <f aca="false">1-L875</f>
        <v>0</v>
      </c>
      <c r="N875" s="281"/>
      <c r="O875" s="282"/>
      <c r="P875" s="282"/>
      <c r="Q875" s="282"/>
      <c r="R875" s="282"/>
      <c r="S875" s="282"/>
      <c r="T875" s="282"/>
      <c r="U875" s="282"/>
      <c r="V875" s="282"/>
      <c r="W875" s="282"/>
      <c r="X875" s="282"/>
      <c r="Y875" s="282"/>
      <c r="Z875" s="282"/>
      <c r="AA875" s="283"/>
      <c r="AB875" s="284" t="n">
        <f aca="false">IFERROR(($J875*O875)*$L875, "")</f>
        <v>0</v>
      </c>
      <c r="AC875" s="284" t="n">
        <f aca="false">IFERROR(($J875*P875)*$L875, "")</f>
        <v>0</v>
      </c>
      <c r="AD875" s="284" t="n">
        <f aca="false">IFERROR(($J875*Q875)*$L875, "")</f>
        <v>0</v>
      </c>
      <c r="AE875" s="284" t="n">
        <f aca="false">IFERROR(($J875*R875)*$L875, "")</f>
        <v>0</v>
      </c>
      <c r="AF875" s="284" t="n">
        <f aca="false">IFERROR(($J875*S875)*$L875, "")</f>
        <v>0</v>
      </c>
      <c r="AG875" s="284" t="n">
        <f aca="false">IFERROR(($J875*T875)*$L875, "")</f>
        <v>0</v>
      </c>
      <c r="AH875" s="284" t="n">
        <f aca="false">IFERROR(($J875*U875)*$L875, "")</f>
        <v>0</v>
      </c>
      <c r="AI875" s="284" t="n">
        <f aca="false">IFERROR(($J875*V875)*$L875, "")</f>
        <v>0</v>
      </c>
      <c r="AJ875" s="284" t="n">
        <f aca="false">IFERROR(($J875*W875)*$L875, "")</f>
        <v>0</v>
      </c>
      <c r="AK875" s="284" t="n">
        <f aca="false">IFERROR(($J875*X875)*$L875, "")</f>
        <v>0</v>
      </c>
      <c r="AL875" s="284" t="n">
        <f aca="false">IFERROR(($J875*Y875)*$L875, "")</f>
        <v>0</v>
      </c>
      <c r="AM875" s="285" t="n">
        <f aca="false">IFERROR(($J875*Z875)*$L875, "")</f>
        <v>0</v>
      </c>
      <c r="AN875" s="286" t="n">
        <f aca="false">IFERROR(SUMIF($AB$4:$AM$4, "RDEC", AB875:AM875), "")</f>
        <v>0</v>
      </c>
      <c r="AO875" s="286" t="n">
        <f aca="false">IFERROR(SUMIF($AB$4:$AM$4, "SME", AB875:AM875), "")</f>
        <v>0</v>
      </c>
      <c r="AP875" s="286" t="n">
        <f aca="false">IFERROR(SUMIF($AB$4:$AM$4, "De Minimis", AB875:AM875), "")</f>
        <v>0</v>
      </c>
      <c r="AQ875" s="283"/>
      <c r="AR875" s="284" t="n">
        <f aca="false">IFERROR(($J875*O875)*$M875, "")</f>
        <v>0</v>
      </c>
      <c r="AS875" s="284" t="n">
        <f aca="false">IFERROR(($J875*P875)*$M875, "")</f>
        <v>0</v>
      </c>
      <c r="AT875" s="284" t="n">
        <f aca="false">IFERROR(($J875*Q875)*$M875, "")</f>
        <v>0</v>
      </c>
      <c r="AU875" s="284" t="n">
        <f aca="false">IFERROR(($J875*R875)*$M875, "")</f>
        <v>0</v>
      </c>
      <c r="AV875" s="284" t="n">
        <f aca="false">IFERROR(($J875*S875)*$M875, "")</f>
        <v>0</v>
      </c>
      <c r="AW875" s="284" t="n">
        <f aca="false">IFERROR(($J875*T875)*$M875, "")</f>
        <v>0</v>
      </c>
      <c r="AX875" s="284" t="n">
        <f aca="false">IFERROR(($J875*U875)*$M875, "")</f>
        <v>0</v>
      </c>
      <c r="AY875" s="284" t="n">
        <f aca="false">IFERROR(($J875*V875)*$M875, "")</f>
        <v>0</v>
      </c>
      <c r="AZ875" s="284" t="n">
        <f aca="false">IFERROR(($J875*W875)*$M875, "")</f>
        <v>0</v>
      </c>
      <c r="BA875" s="284" t="n">
        <f aca="false">IFERROR(($J875*X875)*$M875, "")</f>
        <v>0</v>
      </c>
      <c r="BB875" s="284" t="n">
        <f aca="false">IFERROR(($J875*Y875)*$M875, "")</f>
        <v>0</v>
      </c>
      <c r="BC875" s="285" t="n">
        <f aca="false">IFERROR(($J875*Z875)*$M875, "")</f>
        <v>0</v>
      </c>
      <c r="BD875" s="286" t="n">
        <f aca="false">IFERROR(SUMIF($AB$4:$AM$4, "RDEC", AR875:BC875), "")</f>
        <v>0</v>
      </c>
      <c r="BE875" s="286" t="n">
        <f aca="false">IFERROR(SUMIF($AB$4:$AM$4, "SME", AR875:BC875), "")</f>
        <v>0</v>
      </c>
      <c r="BF875" s="286" t="n">
        <f aca="false">IFERROR(SUMIF($AB$4:$AM$4, "De Minimis", AR875:BC875), "")</f>
        <v>0</v>
      </c>
      <c r="BG875" s="287"/>
      <c r="BH875" s="288" t="str">
        <f aca="false">IF((SUM(O875:Z875)&gt;1),"ERROR","")</f>
        <v/>
      </c>
      <c r="BI875" s="287"/>
      <c r="BJ875" s="18" t="str">
        <f aca="false">IF(C861&gt;0, C861, "")</f>
        <v/>
      </c>
      <c r="BL875" s="200"/>
      <c r="BM875" s="200"/>
      <c r="BN875" s="200"/>
    </row>
    <row r="876" customFormat="false" ht="15" hidden="false" customHeight="true" outlineLevel="0" collapsed="false">
      <c r="B876" s="275"/>
      <c r="D876" s="276" t="n">
        <f aca="false">D860</f>
        <v>45413</v>
      </c>
      <c r="E876" s="277" t="n">
        <v>0</v>
      </c>
      <c r="F876" s="277" t="n">
        <v>0</v>
      </c>
      <c r="G876" s="277" t="n">
        <v>0</v>
      </c>
      <c r="H876" s="277" t="n">
        <v>0</v>
      </c>
      <c r="I876" s="277" t="n">
        <v>0</v>
      </c>
      <c r="J876" s="278" t="n">
        <f aca="false">E876+H876+I876</f>
        <v>0</v>
      </c>
      <c r="K876" s="204"/>
      <c r="L876" s="279" t="n">
        <v>1</v>
      </c>
      <c r="M876" s="280" t="n">
        <f aca="false">1-L876</f>
        <v>0</v>
      </c>
      <c r="N876" s="281"/>
      <c r="O876" s="282"/>
      <c r="P876" s="282"/>
      <c r="Q876" s="282"/>
      <c r="R876" s="282"/>
      <c r="S876" s="282"/>
      <c r="T876" s="282"/>
      <c r="U876" s="282"/>
      <c r="V876" s="282"/>
      <c r="W876" s="282"/>
      <c r="X876" s="282"/>
      <c r="Y876" s="282"/>
      <c r="Z876" s="282"/>
      <c r="AA876" s="283"/>
      <c r="AB876" s="284" t="n">
        <f aca="false">IFERROR(($J876*O876)*$L876, "")</f>
        <v>0</v>
      </c>
      <c r="AC876" s="284" t="n">
        <f aca="false">IFERROR(($J876*P876)*$L876, "")</f>
        <v>0</v>
      </c>
      <c r="AD876" s="284" t="n">
        <f aca="false">IFERROR(($J876*Q876)*$L876, "")</f>
        <v>0</v>
      </c>
      <c r="AE876" s="284" t="n">
        <f aca="false">IFERROR(($J876*R876)*$L876, "")</f>
        <v>0</v>
      </c>
      <c r="AF876" s="284" t="n">
        <f aca="false">IFERROR(($J876*S876)*$L876, "")</f>
        <v>0</v>
      </c>
      <c r="AG876" s="284" t="n">
        <f aca="false">IFERROR(($J876*T876)*$L876, "")</f>
        <v>0</v>
      </c>
      <c r="AH876" s="284" t="n">
        <f aca="false">IFERROR(($J876*U876)*$L876, "")</f>
        <v>0</v>
      </c>
      <c r="AI876" s="284" t="n">
        <f aca="false">IFERROR(($J876*V876)*$L876, "")</f>
        <v>0</v>
      </c>
      <c r="AJ876" s="284" t="n">
        <f aca="false">IFERROR(($J876*W876)*$L876, "")</f>
        <v>0</v>
      </c>
      <c r="AK876" s="284" t="n">
        <f aca="false">IFERROR(($J876*X876)*$L876, "")</f>
        <v>0</v>
      </c>
      <c r="AL876" s="284" t="n">
        <f aca="false">IFERROR(($J876*Y876)*$L876, "")</f>
        <v>0</v>
      </c>
      <c r="AM876" s="285" t="n">
        <f aca="false">IFERROR(($J876*Z876)*$L876, "")</f>
        <v>0</v>
      </c>
      <c r="AN876" s="286" t="n">
        <f aca="false">IFERROR(SUMIF($AB$4:$AM$4, "RDEC", AB876:AM876), "")</f>
        <v>0</v>
      </c>
      <c r="AO876" s="286" t="n">
        <f aca="false">IFERROR(SUMIF($AB$4:$AM$4, "SME", AB876:AM876), "")</f>
        <v>0</v>
      </c>
      <c r="AP876" s="286" t="n">
        <f aca="false">IFERROR(SUMIF($AB$4:$AM$4, "De Minimis", AB876:AM876), "")</f>
        <v>0</v>
      </c>
      <c r="AQ876" s="283"/>
      <c r="AR876" s="284" t="n">
        <f aca="false">IFERROR(($J876*O876)*$M876, "")</f>
        <v>0</v>
      </c>
      <c r="AS876" s="284" t="n">
        <f aca="false">IFERROR(($J876*P876)*$M876, "")</f>
        <v>0</v>
      </c>
      <c r="AT876" s="284" t="n">
        <f aca="false">IFERROR(($J876*Q876)*$M876, "")</f>
        <v>0</v>
      </c>
      <c r="AU876" s="284" t="n">
        <f aca="false">IFERROR(($J876*R876)*$M876, "")</f>
        <v>0</v>
      </c>
      <c r="AV876" s="284" t="n">
        <f aca="false">IFERROR(($J876*S876)*$M876, "")</f>
        <v>0</v>
      </c>
      <c r="AW876" s="284" t="n">
        <f aca="false">IFERROR(($J876*T876)*$M876, "")</f>
        <v>0</v>
      </c>
      <c r="AX876" s="284" t="n">
        <f aca="false">IFERROR(($J876*U876)*$M876, "")</f>
        <v>0</v>
      </c>
      <c r="AY876" s="284" t="n">
        <f aca="false">IFERROR(($J876*V876)*$M876, "")</f>
        <v>0</v>
      </c>
      <c r="AZ876" s="284" t="n">
        <f aca="false">IFERROR(($J876*W876)*$M876, "")</f>
        <v>0</v>
      </c>
      <c r="BA876" s="284" t="n">
        <f aca="false">IFERROR(($J876*X876)*$M876, "")</f>
        <v>0</v>
      </c>
      <c r="BB876" s="284" t="n">
        <f aca="false">IFERROR(($J876*Y876)*$M876, "")</f>
        <v>0</v>
      </c>
      <c r="BC876" s="285" t="n">
        <f aca="false">IFERROR(($J876*Z876)*$M876, "")</f>
        <v>0</v>
      </c>
      <c r="BD876" s="286" t="n">
        <f aca="false">IFERROR(SUMIF($AB$4:$AM$4, "RDEC", AR876:BC876), "")</f>
        <v>0</v>
      </c>
      <c r="BE876" s="286" t="n">
        <f aca="false">IFERROR(SUMIF($AB$4:$AM$4, "SME", AR876:BC876), "")</f>
        <v>0</v>
      </c>
      <c r="BF876" s="286" t="n">
        <f aca="false">IFERROR(SUMIF($AB$4:$AM$4, "De Minimis", AR876:BC876), "")</f>
        <v>0</v>
      </c>
      <c r="BG876" s="287"/>
      <c r="BH876" s="288" t="str">
        <f aca="false">IF((SUM(O876:Z876)&gt;1),"ERROR","")</f>
        <v/>
      </c>
      <c r="BI876" s="287"/>
      <c r="BJ876" s="18" t="str">
        <f aca="false">IF(C862&gt;0, C862, "")</f>
        <v/>
      </c>
      <c r="BL876" s="200"/>
      <c r="BM876" s="200"/>
      <c r="BN876" s="200"/>
    </row>
    <row r="877" customFormat="false" ht="15" hidden="false" customHeight="true" outlineLevel="0" collapsed="false">
      <c r="B877" s="275"/>
      <c r="D877" s="276" t="n">
        <f aca="false">D861</f>
        <v>45444</v>
      </c>
      <c r="E877" s="277" t="n">
        <v>0</v>
      </c>
      <c r="F877" s="277" t="n">
        <v>0</v>
      </c>
      <c r="G877" s="277" t="n">
        <v>0</v>
      </c>
      <c r="H877" s="277" t="n">
        <v>0</v>
      </c>
      <c r="I877" s="277" t="n">
        <v>0</v>
      </c>
      <c r="J877" s="278" t="n">
        <f aca="false">E877+H877+I877</f>
        <v>0</v>
      </c>
      <c r="K877" s="204"/>
      <c r="L877" s="279" t="n">
        <v>1</v>
      </c>
      <c r="M877" s="280" t="n">
        <f aca="false">1-L877</f>
        <v>0</v>
      </c>
      <c r="N877" s="281"/>
      <c r="O877" s="282"/>
      <c r="P877" s="282"/>
      <c r="Q877" s="282"/>
      <c r="R877" s="282"/>
      <c r="S877" s="282"/>
      <c r="T877" s="282"/>
      <c r="U877" s="282"/>
      <c r="V877" s="282"/>
      <c r="W877" s="282"/>
      <c r="X877" s="282"/>
      <c r="Y877" s="282"/>
      <c r="Z877" s="282"/>
      <c r="AA877" s="283"/>
      <c r="AB877" s="284" t="n">
        <f aca="false">IFERROR(($J877*O877)*$L877, "")</f>
        <v>0</v>
      </c>
      <c r="AC877" s="284" t="n">
        <f aca="false">IFERROR(($J877*P877)*$L877, "")</f>
        <v>0</v>
      </c>
      <c r="AD877" s="284" t="n">
        <f aca="false">IFERROR(($J877*Q877)*$L877, "")</f>
        <v>0</v>
      </c>
      <c r="AE877" s="284" t="n">
        <f aca="false">IFERROR(($J877*R877)*$L877, "")</f>
        <v>0</v>
      </c>
      <c r="AF877" s="284" t="n">
        <f aca="false">IFERROR(($J877*S877)*$L877, "")</f>
        <v>0</v>
      </c>
      <c r="AG877" s="284" t="n">
        <f aca="false">IFERROR(($J877*T877)*$L877, "")</f>
        <v>0</v>
      </c>
      <c r="AH877" s="284" t="n">
        <f aca="false">IFERROR(($J877*U877)*$L877, "")</f>
        <v>0</v>
      </c>
      <c r="AI877" s="284" t="n">
        <f aca="false">IFERROR(($J877*V877)*$L877, "")</f>
        <v>0</v>
      </c>
      <c r="AJ877" s="284" t="n">
        <f aca="false">IFERROR(($J877*W877)*$L877, "")</f>
        <v>0</v>
      </c>
      <c r="AK877" s="284" t="n">
        <f aca="false">IFERROR(($J877*X877)*$L877, "")</f>
        <v>0</v>
      </c>
      <c r="AL877" s="284" t="n">
        <f aca="false">IFERROR(($J877*Y877)*$L877, "")</f>
        <v>0</v>
      </c>
      <c r="AM877" s="285" t="n">
        <f aca="false">IFERROR(($J877*Z877)*$L877, "")</f>
        <v>0</v>
      </c>
      <c r="AN877" s="286" t="n">
        <f aca="false">IFERROR(SUMIF($AB$4:$AM$4, "RDEC", AB877:AM877), "")</f>
        <v>0</v>
      </c>
      <c r="AO877" s="286" t="n">
        <f aca="false">IFERROR(SUMIF($AB$4:$AM$4, "SME", AB877:AM877), "")</f>
        <v>0</v>
      </c>
      <c r="AP877" s="286" t="n">
        <f aca="false">IFERROR(SUMIF($AB$4:$AM$4, "De Minimis", AB877:AM877), "")</f>
        <v>0</v>
      </c>
      <c r="AQ877" s="283"/>
      <c r="AR877" s="284" t="n">
        <f aca="false">IFERROR(($J877*O877)*$M877, "")</f>
        <v>0</v>
      </c>
      <c r="AS877" s="284" t="n">
        <f aca="false">IFERROR(($J877*P877)*$M877, "")</f>
        <v>0</v>
      </c>
      <c r="AT877" s="284" t="n">
        <f aca="false">IFERROR(($J877*Q877)*$M877, "")</f>
        <v>0</v>
      </c>
      <c r="AU877" s="284" t="n">
        <f aca="false">IFERROR(($J877*R877)*$M877, "")</f>
        <v>0</v>
      </c>
      <c r="AV877" s="284" t="n">
        <f aca="false">IFERROR(($J877*S877)*$M877, "")</f>
        <v>0</v>
      </c>
      <c r="AW877" s="284" t="n">
        <f aca="false">IFERROR(($J877*T877)*$M877, "")</f>
        <v>0</v>
      </c>
      <c r="AX877" s="284" t="n">
        <f aca="false">IFERROR(($J877*U877)*$M877, "")</f>
        <v>0</v>
      </c>
      <c r="AY877" s="284" t="n">
        <f aca="false">IFERROR(($J877*V877)*$M877, "")</f>
        <v>0</v>
      </c>
      <c r="AZ877" s="284" t="n">
        <f aca="false">IFERROR(($J877*W877)*$M877, "")</f>
        <v>0</v>
      </c>
      <c r="BA877" s="284" t="n">
        <f aca="false">IFERROR(($J877*X877)*$M877, "")</f>
        <v>0</v>
      </c>
      <c r="BB877" s="284" t="n">
        <f aca="false">IFERROR(($J877*Y877)*$M877, "")</f>
        <v>0</v>
      </c>
      <c r="BC877" s="285" t="n">
        <f aca="false">IFERROR(($J877*Z877)*$M877, "")</f>
        <v>0</v>
      </c>
      <c r="BD877" s="286" t="n">
        <f aca="false">IFERROR(SUMIF($AB$4:$AM$4, "RDEC", AR877:BC877), "")</f>
        <v>0</v>
      </c>
      <c r="BE877" s="286" t="n">
        <f aca="false">IFERROR(SUMIF($AB$4:$AM$4, "SME", AR877:BC877), "")</f>
        <v>0</v>
      </c>
      <c r="BF877" s="286" t="n">
        <f aca="false">IFERROR(SUMIF($AB$4:$AM$4, "De Minimis", AR877:BC877), "")</f>
        <v>0</v>
      </c>
      <c r="BG877" s="287"/>
      <c r="BH877" s="288" t="str">
        <f aca="false">IF((SUM(O877:Z877)&gt;1),"ERROR","")</f>
        <v/>
      </c>
      <c r="BI877" s="287"/>
      <c r="BJ877" s="18" t="str">
        <f aca="false">IF(C863&gt;0, C863, "")</f>
        <v/>
      </c>
      <c r="BL877" s="200"/>
      <c r="BM877" s="200"/>
      <c r="BN877" s="200"/>
    </row>
    <row r="878" customFormat="false" ht="15" hidden="false" customHeight="true" outlineLevel="0" collapsed="false">
      <c r="B878" s="275"/>
      <c r="D878" s="276" t="n">
        <f aca="false">D862</f>
        <v>45474</v>
      </c>
      <c r="E878" s="277" t="n">
        <v>0</v>
      </c>
      <c r="F878" s="277" t="n">
        <v>0</v>
      </c>
      <c r="G878" s="277" t="n">
        <v>0</v>
      </c>
      <c r="H878" s="277" t="n">
        <v>0</v>
      </c>
      <c r="I878" s="277" t="n">
        <v>0</v>
      </c>
      <c r="J878" s="278" t="n">
        <f aca="false">E878+H878+I878</f>
        <v>0</v>
      </c>
      <c r="K878" s="204"/>
      <c r="L878" s="279" t="n">
        <v>1</v>
      </c>
      <c r="M878" s="280" t="n">
        <f aca="false">1-L878</f>
        <v>0</v>
      </c>
      <c r="N878" s="281"/>
      <c r="O878" s="282"/>
      <c r="P878" s="282"/>
      <c r="Q878" s="282"/>
      <c r="R878" s="282"/>
      <c r="S878" s="282"/>
      <c r="T878" s="282"/>
      <c r="U878" s="282"/>
      <c r="V878" s="282"/>
      <c r="W878" s="282"/>
      <c r="X878" s="282"/>
      <c r="Y878" s="282"/>
      <c r="Z878" s="282"/>
      <c r="AA878" s="283"/>
      <c r="AB878" s="284" t="n">
        <f aca="false">IFERROR(($J878*O878)*$L878, "")</f>
        <v>0</v>
      </c>
      <c r="AC878" s="284" t="n">
        <f aca="false">IFERROR(($J878*P878)*$L878, "")</f>
        <v>0</v>
      </c>
      <c r="AD878" s="284" t="n">
        <f aca="false">IFERROR(($J878*Q878)*$L878, "")</f>
        <v>0</v>
      </c>
      <c r="AE878" s="284" t="n">
        <f aca="false">IFERROR(($J878*R878)*$L878, "")</f>
        <v>0</v>
      </c>
      <c r="AF878" s="284" t="n">
        <f aca="false">IFERROR(($J878*S878)*$L878, "")</f>
        <v>0</v>
      </c>
      <c r="AG878" s="284" t="n">
        <f aca="false">IFERROR(($J878*T878)*$L878, "")</f>
        <v>0</v>
      </c>
      <c r="AH878" s="284" t="n">
        <f aca="false">IFERROR(($J878*U878)*$L878, "")</f>
        <v>0</v>
      </c>
      <c r="AI878" s="284" t="n">
        <f aca="false">IFERROR(($J878*V878)*$L878, "")</f>
        <v>0</v>
      </c>
      <c r="AJ878" s="284" t="n">
        <f aca="false">IFERROR(($J878*W878)*$L878, "")</f>
        <v>0</v>
      </c>
      <c r="AK878" s="284" t="n">
        <f aca="false">IFERROR(($J878*X878)*$L878, "")</f>
        <v>0</v>
      </c>
      <c r="AL878" s="284" t="n">
        <f aca="false">IFERROR(($J878*Y878)*$L878, "")</f>
        <v>0</v>
      </c>
      <c r="AM878" s="285" t="n">
        <f aca="false">IFERROR(($J878*Z878)*$L878, "")</f>
        <v>0</v>
      </c>
      <c r="AN878" s="286" t="n">
        <f aca="false">IFERROR(SUMIF($AB$4:$AM$4, "RDEC", AB878:AM878), "")</f>
        <v>0</v>
      </c>
      <c r="AO878" s="286" t="n">
        <f aca="false">IFERROR(SUMIF($AB$4:$AM$4, "SME", AB878:AM878), "")</f>
        <v>0</v>
      </c>
      <c r="AP878" s="286" t="n">
        <f aca="false">IFERROR(SUMIF($AB$4:$AM$4, "De Minimis", AB878:AM878), "")</f>
        <v>0</v>
      </c>
      <c r="AQ878" s="283"/>
      <c r="AR878" s="284" t="n">
        <f aca="false">IFERROR(($J878*O878)*$M878, "")</f>
        <v>0</v>
      </c>
      <c r="AS878" s="284" t="n">
        <f aca="false">IFERROR(($J878*P878)*$M878, "")</f>
        <v>0</v>
      </c>
      <c r="AT878" s="284" t="n">
        <f aca="false">IFERROR(($J878*Q878)*$M878, "")</f>
        <v>0</v>
      </c>
      <c r="AU878" s="284" t="n">
        <f aca="false">IFERROR(($J878*R878)*$M878, "")</f>
        <v>0</v>
      </c>
      <c r="AV878" s="284" t="n">
        <f aca="false">IFERROR(($J878*S878)*$M878, "")</f>
        <v>0</v>
      </c>
      <c r="AW878" s="284" t="n">
        <f aca="false">IFERROR(($J878*T878)*$M878, "")</f>
        <v>0</v>
      </c>
      <c r="AX878" s="284" t="n">
        <f aca="false">IFERROR(($J878*U878)*$M878, "")</f>
        <v>0</v>
      </c>
      <c r="AY878" s="284" t="n">
        <f aca="false">IFERROR(($J878*V878)*$M878, "")</f>
        <v>0</v>
      </c>
      <c r="AZ878" s="284" t="n">
        <f aca="false">IFERROR(($J878*W878)*$M878, "")</f>
        <v>0</v>
      </c>
      <c r="BA878" s="284" t="n">
        <f aca="false">IFERROR(($J878*X878)*$M878, "")</f>
        <v>0</v>
      </c>
      <c r="BB878" s="284" t="n">
        <f aca="false">IFERROR(($J878*Y878)*$M878, "")</f>
        <v>0</v>
      </c>
      <c r="BC878" s="285" t="n">
        <f aca="false">IFERROR(($J878*Z878)*$M878, "")</f>
        <v>0</v>
      </c>
      <c r="BD878" s="286" t="n">
        <f aca="false">IFERROR(SUMIF($AB$4:$AM$4, "RDEC", AR878:BC878), "")</f>
        <v>0</v>
      </c>
      <c r="BE878" s="286" t="n">
        <f aca="false">IFERROR(SUMIF($AB$4:$AM$4, "SME", AR878:BC878), "")</f>
        <v>0</v>
      </c>
      <c r="BF878" s="286" t="n">
        <f aca="false">IFERROR(SUMIF($AB$4:$AM$4, "De Minimis", AR878:BC878), "")</f>
        <v>0</v>
      </c>
      <c r="BG878" s="287"/>
      <c r="BH878" s="288" t="str">
        <f aca="false">IF((SUM(O878:Z878)&gt;1),"ERROR","")</f>
        <v/>
      </c>
      <c r="BI878" s="287"/>
      <c r="BJ878" s="18" t="str">
        <f aca="false">IF(C864&gt;0, C864, "")</f>
        <v/>
      </c>
      <c r="BL878" s="200"/>
      <c r="BM878" s="200"/>
      <c r="BN878" s="200"/>
    </row>
    <row r="879" customFormat="false" ht="15" hidden="false" customHeight="true" outlineLevel="0" collapsed="false">
      <c r="B879" s="275"/>
      <c r="D879" s="276" t="n">
        <f aca="false">D863</f>
        <v>45505</v>
      </c>
      <c r="E879" s="277" t="n">
        <v>0</v>
      </c>
      <c r="F879" s="277" t="n">
        <v>0</v>
      </c>
      <c r="G879" s="277" t="n">
        <v>0</v>
      </c>
      <c r="H879" s="277" t="n">
        <v>0</v>
      </c>
      <c r="I879" s="277" t="n">
        <v>0</v>
      </c>
      <c r="J879" s="278" t="n">
        <f aca="false">E879+H879+I879</f>
        <v>0</v>
      </c>
      <c r="K879" s="204"/>
      <c r="L879" s="279" t="n">
        <v>1</v>
      </c>
      <c r="M879" s="280" t="n">
        <f aca="false">1-L879</f>
        <v>0</v>
      </c>
      <c r="N879" s="281"/>
      <c r="O879" s="282"/>
      <c r="P879" s="282"/>
      <c r="Q879" s="282"/>
      <c r="R879" s="282"/>
      <c r="S879" s="282"/>
      <c r="T879" s="282"/>
      <c r="U879" s="282"/>
      <c r="V879" s="282"/>
      <c r="W879" s="282"/>
      <c r="X879" s="282"/>
      <c r="Y879" s="282"/>
      <c r="Z879" s="282"/>
      <c r="AA879" s="283"/>
      <c r="AB879" s="284" t="n">
        <f aca="false">IFERROR(($J879*O879)*$L879, "")</f>
        <v>0</v>
      </c>
      <c r="AC879" s="284" t="n">
        <f aca="false">IFERROR(($J879*P879)*$L879, "")</f>
        <v>0</v>
      </c>
      <c r="AD879" s="284" t="n">
        <f aca="false">IFERROR(($J879*Q879)*$L879, "")</f>
        <v>0</v>
      </c>
      <c r="AE879" s="284" t="n">
        <f aca="false">IFERROR(($J879*R879)*$L879, "")</f>
        <v>0</v>
      </c>
      <c r="AF879" s="284" t="n">
        <f aca="false">IFERROR(($J879*S879)*$L879, "")</f>
        <v>0</v>
      </c>
      <c r="AG879" s="284" t="n">
        <f aca="false">IFERROR(($J879*T879)*$L879, "")</f>
        <v>0</v>
      </c>
      <c r="AH879" s="284" t="n">
        <f aca="false">IFERROR(($J879*U879)*$L879, "")</f>
        <v>0</v>
      </c>
      <c r="AI879" s="284" t="n">
        <f aca="false">IFERROR(($J879*V879)*$L879, "")</f>
        <v>0</v>
      </c>
      <c r="AJ879" s="284" t="n">
        <f aca="false">IFERROR(($J879*W879)*$L879, "")</f>
        <v>0</v>
      </c>
      <c r="AK879" s="284" t="n">
        <f aca="false">IFERROR(($J879*X879)*$L879, "")</f>
        <v>0</v>
      </c>
      <c r="AL879" s="284" t="n">
        <f aca="false">IFERROR(($J879*Y879)*$L879, "")</f>
        <v>0</v>
      </c>
      <c r="AM879" s="285" t="n">
        <f aca="false">IFERROR(($J879*Z879)*$L879, "")</f>
        <v>0</v>
      </c>
      <c r="AN879" s="286" t="n">
        <f aca="false">IFERROR(SUMIF($AB$4:$AM$4, "RDEC", AB879:AM879), "")</f>
        <v>0</v>
      </c>
      <c r="AO879" s="286" t="n">
        <f aca="false">IFERROR(SUMIF($AB$4:$AM$4, "SME", AB879:AM879), "")</f>
        <v>0</v>
      </c>
      <c r="AP879" s="286" t="n">
        <f aca="false">IFERROR(SUMIF($AB$4:$AM$4, "De Minimis", AB879:AM879), "")</f>
        <v>0</v>
      </c>
      <c r="AQ879" s="283"/>
      <c r="AR879" s="284" t="n">
        <f aca="false">IFERROR(($J879*O879)*$M879, "")</f>
        <v>0</v>
      </c>
      <c r="AS879" s="284" t="n">
        <f aca="false">IFERROR(($J879*P879)*$M879, "")</f>
        <v>0</v>
      </c>
      <c r="AT879" s="284" t="n">
        <f aca="false">IFERROR(($J879*Q879)*$M879, "")</f>
        <v>0</v>
      </c>
      <c r="AU879" s="284" t="n">
        <f aca="false">IFERROR(($J879*R879)*$M879, "")</f>
        <v>0</v>
      </c>
      <c r="AV879" s="284" t="n">
        <f aca="false">IFERROR(($J879*S879)*$M879, "")</f>
        <v>0</v>
      </c>
      <c r="AW879" s="284" t="n">
        <f aca="false">IFERROR(($J879*T879)*$M879, "")</f>
        <v>0</v>
      </c>
      <c r="AX879" s="284" t="n">
        <f aca="false">IFERROR(($J879*U879)*$M879, "")</f>
        <v>0</v>
      </c>
      <c r="AY879" s="284" t="n">
        <f aca="false">IFERROR(($J879*V879)*$M879, "")</f>
        <v>0</v>
      </c>
      <c r="AZ879" s="284" t="n">
        <f aca="false">IFERROR(($J879*W879)*$M879, "")</f>
        <v>0</v>
      </c>
      <c r="BA879" s="284" t="n">
        <f aca="false">IFERROR(($J879*X879)*$M879, "")</f>
        <v>0</v>
      </c>
      <c r="BB879" s="284" t="n">
        <f aca="false">IFERROR(($J879*Y879)*$M879, "")</f>
        <v>0</v>
      </c>
      <c r="BC879" s="285" t="n">
        <f aca="false">IFERROR(($J879*Z879)*$M879, "")</f>
        <v>0</v>
      </c>
      <c r="BD879" s="286" t="n">
        <f aca="false">IFERROR(SUMIF($AB$4:$AM$4, "RDEC", AR879:BC879), "")</f>
        <v>0</v>
      </c>
      <c r="BE879" s="286" t="n">
        <f aca="false">IFERROR(SUMIF($AB$4:$AM$4, "SME", AR879:BC879), "")</f>
        <v>0</v>
      </c>
      <c r="BF879" s="286" t="n">
        <f aca="false">IFERROR(SUMIF($AB$4:$AM$4, "De Minimis", AR879:BC879), "")</f>
        <v>0</v>
      </c>
      <c r="BG879" s="287"/>
      <c r="BH879" s="288" t="str">
        <f aca="false">IF((SUM(O879:Z879)&gt;1),"ERROR","")</f>
        <v/>
      </c>
      <c r="BI879" s="287"/>
      <c r="BJ879" s="18" t="str">
        <f aca="false">IF(C865&gt;0, C865, "")</f>
        <v/>
      </c>
      <c r="BL879" s="200"/>
      <c r="BM879" s="200"/>
      <c r="BN879" s="200"/>
    </row>
    <row r="880" customFormat="false" ht="15" hidden="false" customHeight="true" outlineLevel="0" collapsed="false">
      <c r="B880" s="275"/>
      <c r="D880" s="276" t="n">
        <f aca="false">D864</f>
        <v>45536</v>
      </c>
      <c r="E880" s="277" t="n">
        <v>0</v>
      </c>
      <c r="F880" s="277" t="n">
        <v>0</v>
      </c>
      <c r="G880" s="277" t="n">
        <v>0</v>
      </c>
      <c r="H880" s="277" t="n">
        <v>0</v>
      </c>
      <c r="I880" s="277" t="n">
        <v>0</v>
      </c>
      <c r="J880" s="278" t="n">
        <f aca="false">E880+H880+I880</f>
        <v>0</v>
      </c>
      <c r="K880" s="204"/>
      <c r="L880" s="279" t="n">
        <v>1</v>
      </c>
      <c r="M880" s="280" t="n">
        <f aca="false">1-L880</f>
        <v>0</v>
      </c>
      <c r="N880" s="281"/>
      <c r="O880" s="282"/>
      <c r="P880" s="282"/>
      <c r="Q880" s="282"/>
      <c r="R880" s="282"/>
      <c r="S880" s="282"/>
      <c r="T880" s="282"/>
      <c r="U880" s="282"/>
      <c r="V880" s="282"/>
      <c r="W880" s="282"/>
      <c r="X880" s="282"/>
      <c r="Y880" s="282"/>
      <c r="Z880" s="282"/>
      <c r="AA880" s="283"/>
      <c r="AB880" s="284" t="n">
        <f aca="false">IFERROR(($J880*O880)*$L880, "")</f>
        <v>0</v>
      </c>
      <c r="AC880" s="284" t="n">
        <f aca="false">IFERROR(($J880*P880)*$L880, "")</f>
        <v>0</v>
      </c>
      <c r="AD880" s="284" t="n">
        <f aca="false">IFERROR(($J880*Q880)*$L880, "")</f>
        <v>0</v>
      </c>
      <c r="AE880" s="284" t="n">
        <f aca="false">IFERROR(($J880*R880)*$L880, "")</f>
        <v>0</v>
      </c>
      <c r="AF880" s="284" t="n">
        <f aca="false">IFERROR(($J880*S880)*$L880, "")</f>
        <v>0</v>
      </c>
      <c r="AG880" s="284" t="n">
        <f aca="false">IFERROR(($J880*T880)*$L880, "")</f>
        <v>0</v>
      </c>
      <c r="AH880" s="284" t="n">
        <f aca="false">IFERROR(($J880*U880)*$L880, "")</f>
        <v>0</v>
      </c>
      <c r="AI880" s="284" t="n">
        <f aca="false">IFERROR(($J880*V880)*$L880, "")</f>
        <v>0</v>
      </c>
      <c r="AJ880" s="284" t="n">
        <f aca="false">IFERROR(($J880*W880)*$L880, "")</f>
        <v>0</v>
      </c>
      <c r="AK880" s="284" t="n">
        <f aca="false">IFERROR(($J880*X880)*$L880, "")</f>
        <v>0</v>
      </c>
      <c r="AL880" s="284" t="n">
        <f aca="false">IFERROR(($J880*Y880)*$L880, "")</f>
        <v>0</v>
      </c>
      <c r="AM880" s="285" t="n">
        <f aca="false">IFERROR(($J880*Z880)*$L880, "")</f>
        <v>0</v>
      </c>
      <c r="AN880" s="286" t="n">
        <f aca="false">IFERROR(SUMIF($AB$4:$AM$4, "RDEC", AB880:AM880), "")</f>
        <v>0</v>
      </c>
      <c r="AO880" s="286" t="n">
        <f aca="false">IFERROR(SUMIF($AB$4:$AM$4, "SME", AB880:AM880), "")</f>
        <v>0</v>
      </c>
      <c r="AP880" s="286" t="n">
        <f aca="false">IFERROR(SUMIF($AB$4:$AM$4, "De Minimis", AB880:AM880), "")</f>
        <v>0</v>
      </c>
      <c r="AQ880" s="283"/>
      <c r="AR880" s="284" t="n">
        <f aca="false">IFERROR(($J880*O880)*$M880, "")</f>
        <v>0</v>
      </c>
      <c r="AS880" s="284" t="n">
        <f aca="false">IFERROR(($J880*P880)*$M880, "")</f>
        <v>0</v>
      </c>
      <c r="AT880" s="284" t="n">
        <f aca="false">IFERROR(($J880*Q880)*$M880, "")</f>
        <v>0</v>
      </c>
      <c r="AU880" s="284" t="n">
        <f aca="false">IFERROR(($J880*R880)*$M880, "")</f>
        <v>0</v>
      </c>
      <c r="AV880" s="284" t="n">
        <f aca="false">IFERROR(($J880*S880)*$M880, "")</f>
        <v>0</v>
      </c>
      <c r="AW880" s="284" t="n">
        <f aca="false">IFERROR(($J880*T880)*$M880, "")</f>
        <v>0</v>
      </c>
      <c r="AX880" s="284" t="n">
        <f aca="false">IFERROR(($J880*U880)*$M880, "")</f>
        <v>0</v>
      </c>
      <c r="AY880" s="284" t="n">
        <f aca="false">IFERROR(($J880*V880)*$M880, "")</f>
        <v>0</v>
      </c>
      <c r="AZ880" s="284" t="n">
        <f aca="false">IFERROR(($J880*W880)*$M880, "")</f>
        <v>0</v>
      </c>
      <c r="BA880" s="284" t="n">
        <f aca="false">IFERROR(($J880*X880)*$M880, "")</f>
        <v>0</v>
      </c>
      <c r="BB880" s="284" t="n">
        <f aca="false">IFERROR(($J880*Y880)*$M880, "")</f>
        <v>0</v>
      </c>
      <c r="BC880" s="285" t="n">
        <f aca="false">IFERROR(($J880*Z880)*$M880, "")</f>
        <v>0</v>
      </c>
      <c r="BD880" s="286" t="n">
        <f aca="false">IFERROR(SUMIF($AB$4:$AM$4, "RDEC", AR880:BC880), "")</f>
        <v>0</v>
      </c>
      <c r="BE880" s="286" t="n">
        <f aca="false">IFERROR(SUMIF($AB$4:$AM$4, "SME", AR880:BC880), "")</f>
        <v>0</v>
      </c>
      <c r="BF880" s="286" t="n">
        <f aca="false">IFERROR(SUMIF($AB$4:$AM$4, "De Minimis", AR880:BC880), "")</f>
        <v>0</v>
      </c>
      <c r="BG880" s="287"/>
      <c r="BH880" s="288" t="str">
        <f aca="false">IF((SUM(O880:Z880)&gt;1),"ERROR","")</f>
        <v/>
      </c>
      <c r="BI880" s="287"/>
      <c r="BJ880" s="18" t="str">
        <f aca="false">IF(C866&gt;0, C866, "")</f>
        <v/>
      </c>
      <c r="BL880" s="200"/>
      <c r="BM880" s="200"/>
      <c r="BN880" s="200"/>
    </row>
    <row r="881" customFormat="false" ht="15" hidden="false" customHeight="true" outlineLevel="0" collapsed="false">
      <c r="B881" s="275"/>
      <c r="D881" s="276" t="n">
        <f aca="false">D865</f>
        <v>45566</v>
      </c>
      <c r="E881" s="277" t="n">
        <v>0</v>
      </c>
      <c r="F881" s="277" t="n">
        <v>0</v>
      </c>
      <c r="G881" s="277" t="n">
        <v>0</v>
      </c>
      <c r="H881" s="277" t="n">
        <v>0</v>
      </c>
      <c r="I881" s="277" t="n">
        <v>0</v>
      </c>
      <c r="J881" s="278" t="n">
        <f aca="false">E881+H881+I881</f>
        <v>0</v>
      </c>
      <c r="K881" s="204"/>
      <c r="L881" s="279" t="n">
        <v>1</v>
      </c>
      <c r="M881" s="280" t="n">
        <f aca="false">1-L881</f>
        <v>0</v>
      </c>
      <c r="N881" s="281"/>
      <c r="O881" s="282"/>
      <c r="P881" s="282"/>
      <c r="Q881" s="282"/>
      <c r="R881" s="282"/>
      <c r="S881" s="282"/>
      <c r="T881" s="282"/>
      <c r="U881" s="282"/>
      <c r="V881" s="282"/>
      <c r="W881" s="282"/>
      <c r="X881" s="282"/>
      <c r="Y881" s="282"/>
      <c r="Z881" s="282"/>
      <c r="AA881" s="283"/>
      <c r="AB881" s="284" t="n">
        <f aca="false">IFERROR(($J881*O881)*$L881, "")</f>
        <v>0</v>
      </c>
      <c r="AC881" s="284" t="n">
        <f aca="false">IFERROR(($J881*P881)*$L881, "")</f>
        <v>0</v>
      </c>
      <c r="AD881" s="284" t="n">
        <f aca="false">IFERROR(($J881*Q881)*$L881, "")</f>
        <v>0</v>
      </c>
      <c r="AE881" s="284" t="n">
        <f aca="false">IFERROR(($J881*R881)*$L881, "")</f>
        <v>0</v>
      </c>
      <c r="AF881" s="284" t="n">
        <f aca="false">IFERROR(($J881*S881)*$L881, "")</f>
        <v>0</v>
      </c>
      <c r="AG881" s="284" t="n">
        <f aca="false">IFERROR(($J881*T881)*$L881, "")</f>
        <v>0</v>
      </c>
      <c r="AH881" s="284" t="n">
        <f aca="false">IFERROR(($J881*U881)*$L881, "")</f>
        <v>0</v>
      </c>
      <c r="AI881" s="284" t="n">
        <f aca="false">IFERROR(($J881*V881)*$L881, "")</f>
        <v>0</v>
      </c>
      <c r="AJ881" s="284" t="n">
        <f aca="false">IFERROR(($J881*W881)*$L881, "")</f>
        <v>0</v>
      </c>
      <c r="AK881" s="284" t="n">
        <f aca="false">IFERROR(($J881*X881)*$L881, "")</f>
        <v>0</v>
      </c>
      <c r="AL881" s="284" t="n">
        <f aca="false">IFERROR(($J881*Y881)*$L881, "")</f>
        <v>0</v>
      </c>
      <c r="AM881" s="285" t="n">
        <f aca="false">IFERROR(($J881*Z881)*$L881, "")</f>
        <v>0</v>
      </c>
      <c r="AN881" s="286" t="n">
        <f aca="false">IFERROR(SUMIF($AB$4:$AM$4, "RDEC", AB881:AM881), "")</f>
        <v>0</v>
      </c>
      <c r="AO881" s="286" t="n">
        <f aca="false">IFERROR(SUMIF($AB$4:$AM$4, "SME", AB881:AM881), "")</f>
        <v>0</v>
      </c>
      <c r="AP881" s="286" t="n">
        <f aca="false">IFERROR(SUMIF($AB$4:$AM$4, "De Minimis", AB881:AM881), "")</f>
        <v>0</v>
      </c>
      <c r="AQ881" s="283"/>
      <c r="AR881" s="284" t="n">
        <f aca="false">IFERROR(($J881*O881)*$M881, "")</f>
        <v>0</v>
      </c>
      <c r="AS881" s="284" t="n">
        <f aca="false">IFERROR(($J881*P881)*$M881, "")</f>
        <v>0</v>
      </c>
      <c r="AT881" s="284" t="n">
        <f aca="false">IFERROR(($J881*Q881)*$M881, "")</f>
        <v>0</v>
      </c>
      <c r="AU881" s="284" t="n">
        <f aca="false">IFERROR(($J881*R881)*$M881, "")</f>
        <v>0</v>
      </c>
      <c r="AV881" s="284" t="n">
        <f aca="false">IFERROR(($J881*S881)*$M881, "")</f>
        <v>0</v>
      </c>
      <c r="AW881" s="284" t="n">
        <f aca="false">IFERROR(($J881*T881)*$M881, "")</f>
        <v>0</v>
      </c>
      <c r="AX881" s="284" t="n">
        <f aca="false">IFERROR(($J881*U881)*$M881, "")</f>
        <v>0</v>
      </c>
      <c r="AY881" s="284" t="n">
        <f aca="false">IFERROR(($J881*V881)*$M881, "")</f>
        <v>0</v>
      </c>
      <c r="AZ881" s="284" t="n">
        <f aca="false">IFERROR(($J881*W881)*$M881, "")</f>
        <v>0</v>
      </c>
      <c r="BA881" s="284" t="n">
        <f aca="false">IFERROR(($J881*X881)*$M881, "")</f>
        <v>0</v>
      </c>
      <c r="BB881" s="284" t="n">
        <f aca="false">IFERROR(($J881*Y881)*$M881, "")</f>
        <v>0</v>
      </c>
      <c r="BC881" s="285" t="n">
        <f aca="false">IFERROR(($J881*Z881)*$M881, "")</f>
        <v>0</v>
      </c>
      <c r="BD881" s="286" t="n">
        <f aca="false">IFERROR(SUMIF($AB$4:$AM$4, "RDEC", AR881:BC881), "")</f>
        <v>0</v>
      </c>
      <c r="BE881" s="286" t="n">
        <f aca="false">IFERROR(SUMIF($AB$4:$AM$4, "SME", AR881:BC881), "")</f>
        <v>0</v>
      </c>
      <c r="BF881" s="286" t="n">
        <f aca="false">IFERROR(SUMIF($AB$4:$AM$4, "De Minimis", AR881:BC881), "")</f>
        <v>0</v>
      </c>
      <c r="BG881" s="287"/>
      <c r="BH881" s="288" t="str">
        <f aca="false">IF((SUM(O881:Z881)&gt;1),"ERROR","")</f>
        <v/>
      </c>
      <c r="BI881" s="287"/>
      <c r="BJ881" s="18" t="str">
        <f aca="false">IF(C867&gt;0, C867, "")</f>
        <v/>
      </c>
      <c r="BL881" s="200"/>
      <c r="BM881" s="200"/>
      <c r="BN881" s="200"/>
    </row>
    <row r="882" customFormat="false" ht="15" hidden="false" customHeight="true" outlineLevel="0" collapsed="false">
      <c r="B882" s="275"/>
      <c r="D882" s="276" t="n">
        <f aca="false">D866</f>
        <v>45597</v>
      </c>
      <c r="E882" s="277" t="n">
        <v>0</v>
      </c>
      <c r="F882" s="277" t="n">
        <v>0</v>
      </c>
      <c r="G882" s="277" t="n">
        <v>0</v>
      </c>
      <c r="H882" s="277" t="n">
        <v>0</v>
      </c>
      <c r="I882" s="277" t="n">
        <v>0</v>
      </c>
      <c r="J882" s="278" t="n">
        <f aca="false">E882+H882+I882</f>
        <v>0</v>
      </c>
      <c r="K882" s="204"/>
      <c r="L882" s="279" t="n">
        <v>1</v>
      </c>
      <c r="M882" s="280" t="n">
        <f aca="false">1-L882</f>
        <v>0</v>
      </c>
      <c r="N882" s="281"/>
      <c r="O882" s="282"/>
      <c r="P882" s="282"/>
      <c r="Q882" s="282"/>
      <c r="R882" s="282"/>
      <c r="S882" s="282"/>
      <c r="T882" s="282"/>
      <c r="U882" s="282"/>
      <c r="V882" s="282"/>
      <c r="W882" s="282"/>
      <c r="X882" s="282"/>
      <c r="Y882" s="282"/>
      <c r="Z882" s="282"/>
      <c r="AA882" s="283"/>
      <c r="AB882" s="284" t="n">
        <f aca="false">IFERROR(($J882*O882)*$L882, "")</f>
        <v>0</v>
      </c>
      <c r="AC882" s="284" t="n">
        <f aca="false">IFERROR(($J882*P882)*$L882, "")</f>
        <v>0</v>
      </c>
      <c r="AD882" s="284" t="n">
        <f aca="false">IFERROR(($J882*Q882)*$L882, "")</f>
        <v>0</v>
      </c>
      <c r="AE882" s="284" t="n">
        <f aca="false">IFERROR(($J882*R882)*$L882, "")</f>
        <v>0</v>
      </c>
      <c r="AF882" s="284" t="n">
        <f aca="false">IFERROR(($J882*S882)*$L882, "")</f>
        <v>0</v>
      </c>
      <c r="AG882" s="284" t="n">
        <f aca="false">IFERROR(($J882*T882)*$L882, "")</f>
        <v>0</v>
      </c>
      <c r="AH882" s="284" t="n">
        <f aca="false">IFERROR(($J882*U882)*$L882, "")</f>
        <v>0</v>
      </c>
      <c r="AI882" s="284" t="n">
        <f aca="false">IFERROR(($J882*V882)*$L882, "")</f>
        <v>0</v>
      </c>
      <c r="AJ882" s="284" t="n">
        <f aca="false">IFERROR(($J882*W882)*$L882, "")</f>
        <v>0</v>
      </c>
      <c r="AK882" s="284" t="n">
        <f aca="false">IFERROR(($J882*X882)*$L882, "")</f>
        <v>0</v>
      </c>
      <c r="AL882" s="284" t="n">
        <f aca="false">IFERROR(($J882*Y882)*$L882, "")</f>
        <v>0</v>
      </c>
      <c r="AM882" s="285" t="n">
        <f aca="false">IFERROR(($J882*Z882)*$L882, "")</f>
        <v>0</v>
      </c>
      <c r="AN882" s="286" t="n">
        <f aca="false">IFERROR(SUMIF($AB$4:$AM$4, "RDEC", AB882:AM882), "")</f>
        <v>0</v>
      </c>
      <c r="AO882" s="286" t="n">
        <f aca="false">IFERROR(SUMIF($AB$4:$AM$4, "SME", AB882:AM882), "")</f>
        <v>0</v>
      </c>
      <c r="AP882" s="286" t="n">
        <f aca="false">IFERROR(SUMIF($AB$4:$AM$4, "De Minimis", AB882:AM882), "")</f>
        <v>0</v>
      </c>
      <c r="AQ882" s="283"/>
      <c r="AR882" s="284" t="n">
        <f aca="false">IFERROR(($J882*O882)*$M882, "")</f>
        <v>0</v>
      </c>
      <c r="AS882" s="284" t="n">
        <f aca="false">IFERROR(($J882*P882)*$M882, "")</f>
        <v>0</v>
      </c>
      <c r="AT882" s="284" t="n">
        <f aca="false">IFERROR(($J882*Q882)*$M882, "")</f>
        <v>0</v>
      </c>
      <c r="AU882" s="284" t="n">
        <f aca="false">IFERROR(($J882*R882)*$M882, "")</f>
        <v>0</v>
      </c>
      <c r="AV882" s="284" t="n">
        <f aca="false">IFERROR(($J882*S882)*$M882, "")</f>
        <v>0</v>
      </c>
      <c r="AW882" s="284" t="n">
        <f aca="false">IFERROR(($J882*T882)*$M882, "")</f>
        <v>0</v>
      </c>
      <c r="AX882" s="284" t="n">
        <f aca="false">IFERROR(($J882*U882)*$M882, "")</f>
        <v>0</v>
      </c>
      <c r="AY882" s="284" t="n">
        <f aca="false">IFERROR(($J882*V882)*$M882, "")</f>
        <v>0</v>
      </c>
      <c r="AZ882" s="284" t="n">
        <f aca="false">IFERROR(($J882*W882)*$M882, "")</f>
        <v>0</v>
      </c>
      <c r="BA882" s="284" t="n">
        <f aca="false">IFERROR(($J882*X882)*$M882, "")</f>
        <v>0</v>
      </c>
      <c r="BB882" s="284" t="n">
        <f aca="false">IFERROR(($J882*Y882)*$M882, "")</f>
        <v>0</v>
      </c>
      <c r="BC882" s="285" t="n">
        <f aca="false">IFERROR(($J882*Z882)*$M882, "")</f>
        <v>0</v>
      </c>
      <c r="BD882" s="286" t="n">
        <f aca="false">IFERROR(SUMIF($AB$4:$AM$4, "RDEC", AR882:BC882), "")</f>
        <v>0</v>
      </c>
      <c r="BE882" s="286" t="n">
        <f aca="false">IFERROR(SUMIF($AB$4:$AM$4, "SME", AR882:BC882), "")</f>
        <v>0</v>
      </c>
      <c r="BF882" s="286" t="n">
        <f aca="false">IFERROR(SUMIF($AB$4:$AM$4, "De Minimis", AR882:BC882), "")</f>
        <v>0</v>
      </c>
      <c r="BG882" s="287"/>
      <c r="BH882" s="288" t="str">
        <f aca="false">IF((SUM(O882:Z882)&gt;1),"ERROR","")</f>
        <v/>
      </c>
      <c r="BI882" s="287"/>
      <c r="BJ882" s="18" t="str">
        <f aca="false">IF(C868&gt;0, C868, "")</f>
        <v/>
      </c>
      <c r="BL882" s="200"/>
      <c r="BM882" s="200"/>
      <c r="BN882" s="200"/>
    </row>
    <row r="883" customFormat="false" ht="15" hidden="false" customHeight="true" outlineLevel="0" collapsed="false">
      <c r="B883" s="275"/>
      <c r="D883" s="276" t="n">
        <f aca="false">D867</f>
        <v>45627</v>
      </c>
      <c r="E883" s="277" t="n">
        <v>0</v>
      </c>
      <c r="F883" s="277" t="n">
        <v>0</v>
      </c>
      <c r="G883" s="277" t="n">
        <v>0</v>
      </c>
      <c r="H883" s="277" t="n">
        <v>0</v>
      </c>
      <c r="I883" s="277" t="n">
        <v>0</v>
      </c>
      <c r="J883" s="278" t="n">
        <f aca="false">E883+H883+I883</f>
        <v>0</v>
      </c>
      <c r="K883" s="204"/>
      <c r="L883" s="289" t="n">
        <v>1</v>
      </c>
      <c r="M883" s="290" t="n">
        <f aca="false">1-L883</f>
        <v>0</v>
      </c>
      <c r="N883" s="281"/>
      <c r="O883" s="291"/>
      <c r="P883" s="291"/>
      <c r="Q883" s="291"/>
      <c r="R883" s="291"/>
      <c r="S883" s="291"/>
      <c r="T883" s="291"/>
      <c r="U883" s="291"/>
      <c r="V883" s="291"/>
      <c r="W883" s="291"/>
      <c r="X883" s="291"/>
      <c r="Y883" s="291"/>
      <c r="Z883" s="291"/>
      <c r="AA883" s="283"/>
      <c r="AB883" s="292" t="n">
        <f aca="false">IFERROR(($J883*O883)*$L883, "")</f>
        <v>0</v>
      </c>
      <c r="AC883" s="292" t="n">
        <f aca="false">IFERROR(($J883*P883)*$L883, "")</f>
        <v>0</v>
      </c>
      <c r="AD883" s="292" t="n">
        <f aca="false">IFERROR(($J883*Q883)*$L883, "")</f>
        <v>0</v>
      </c>
      <c r="AE883" s="292" t="n">
        <f aca="false">IFERROR(($J883*R883)*$L883, "")</f>
        <v>0</v>
      </c>
      <c r="AF883" s="292" t="n">
        <f aca="false">IFERROR(($J883*S883)*$L883, "")</f>
        <v>0</v>
      </c>
      <c r="AG883" s="292" t="n">
        <f aca="false">IFERROR(($J883*T883)*$L883, "")</f>
        <v>0</v>
      </c>
      <c r="AH883" s="292" t="n">
        <f aca="false">IFERROR(($J883*U883)*$L883, "")</f>
        <v>0</v>
      </c>
      <c r="AI883" s="292" t="n">
        <f aca="false">IFERROR(($J883*V883)*$L883, "")</f>
        <v>0</v>
      </c>
      <c r="AJ883" s="292" t="n">
        <f aca="false">IFERROR(($J883*W883)*$L883, "")</f>
        <v>0</v>
      </c>
      <c r="AK883" s="292" t="n">
        <f aca="false">IFERROR(($J883*X883)*$L883, "")</f>
        <v>0</v>
      </c>
      <c r="AL883" s="292" t="n">
        <f aca="false">IFERROR(($J883*Y883)*$L883, "")</f>
        <v>0</v>
      </c>
      <c r="AM883" s="293" t="n">
        <f aca="false">IFERROR(($J883*Z883)*$L883, "")</f>
        <v>0</v>
      </c>
      <c r="AN883" s="294" t="n">
        <f aca="false">IFERROR(SUMIF($AB$4:$AM$4, "RDEC", AB883:AM883), "")</f>
        <v>0</v>
      </c>
      <c r="AO883" s="294" t="n">
        <f aca="false">IFERROR(SUMIF($AB$4:$AM$4, "SME", AB883:AM883), "")</f>
        <v>0</v>
      </c>
      <c r="AP883" s="294" t="n">
        <f aca="false">IFERROR(SUMIF($AB$4:$AM$4, "De Minimis", AB883:AM883), "")</f>
        <v>0</v>
      </c>
      <c r="AQ883" s="283"/>
      <c r="AR883" s="292" t="n">
        <f aca="false">IFERROR(($J883*O883)*$M883, "")</f>
        <v>0</v>
      </c>
      <c r="AS883" s="292" t="n">
        <f aca="false">IFERROR(($J883*P883)*$M883, "")</f>
        <v>0</v>
      </c>
      <c r="AT883" s="292" t="n">
        <f aca="false">IFERROR(($J883*Q883)*$M883, "")</f>
        <v>0</v>
      </c>
      <c r="AU883" s="292" t="n">
        <f aca="false">IFERROR(($J883*R883)*$M883, "")</f>
        <v>0</v>
      </c>
      <c r="AV883" s="292" t="n">
        <f aca="false">IFERROR(($J883*S883)*$M883, "")</f>
        <v>0</v>
      </c>
      <c r="AW883" s="292" t="n">
        <f aca="false">IFERROR(($J883*T883)*$M883, "")</f>
        <v>0</v>
      </c>
      <c r="AX883" s="292" t="n">
        <f aca="false">IFERROR(($J883*U883)*$M883, "")</f>
        <v>0</v>
      </c>
      <c r="AY883" s="292" t="n">
        <f aca="false">IFERROR(($J883*V883)*$M883, "")</f>
        <v>0</v>
      </c>
      <c r="AZ883" s="292" t="n">
        <f aca="false">IFERROR(($J883*W883)*$M883, "")</f>
        <v>0</v>
      </c>
      <c r="BA883" s="292" t="n">
        <f aca="false">IFERROR(($J883*X883)*$M883, "")</f>
        <v>0</v>
      </c>
      <c r="BB883" s="292" t="n">
        <f aca="false">IFERROR(($J883*Y883)*$M883, "")</f>
        <v>0</v>
      </c>
      <c r="BC883" s="293" t="n">
        <f aca="false">IFERROR(($J883*Z883)*$M883, "")</f>
        <v>0</v>
      </c>
      <c r="BD883" s="294" t="n">
        <f aca="false">IFERROR(SUMIF($AB$4:$AM$4, "RDEC", AR883:BC883), "")</f>
        <v>0</v>
      </c>
      <c r="BE883" s="294" t="n">
        <f aca="false">IFERROR(SUMIF($AB$4:$AM$4, "SME", AR883:BC883), "")</f>
        <v>0</v>
      </c>
      <c r="BF883" s="294" t="n">
        <f aca="false">IFERROR(SUMIF($AB$4:$AM$4, "De Minimis", AR883:BC883), "")</f>
        <v>0</v>
      </c>
      <c r="BG883" s="287"/>
      <c r="BH883" s="295" t="str">
        <f aca="false">IF((SUM(O883:Z883)&gt;1),"ERROR","")</f>
        <v/>
      </c>
      <c r="BI883" s="287"/>
      <c r="BJ883" s="18" t="str">
        <f aca="false">IF(C869&gt;0, C869, "")</f>
        <v/>
      </c>
      <c r="BL883" s="200"/>
      <c r="BM883" s="200"/>
      <c r="BN883" s="200"/>
    </row>
    <row r="884" customFormat="false" ht="15" hidden="false" customHeight="true" outlineLevel="0" collapsed="false">
      <c r="B884" s="296"/>
      <c r="D884" s="297" t="s">
        <v>82</v>
      </c>
      <c r="E884" s="298" t="n">
        <f aca="false">SUM(E872:E883)</f>
        <v>0</v>
      </c>
      <c r="F884" s="298" t="n">
        <f aca="false">SUM(F872:F883)</f>
        <v>0</v>
      </c>
      <c r="G884" s="298" t="n">
        <f aca="false">SUM(G872:G883)</f>
        <v>0</v>
      </c>
      <c r="H884" s="298" t="n">
        <f aca="false">SUM(H872:H883)</f>
        <v>0</v>
      </c>
      <c r="I884" s="298" t="n">
        <f aca="false">SUM(I872:I883)</f>
        <v>0</v>
      </c>
      <c r="J884" s="299" t="n">
        <f aca="false">SUM(J872:J883)</f>
        <v>0</v>
      </c>
      <c r="K884" s="300"/>
      <c r="L884" s="301" t="n">
        <f aca="false">AVERAGE(L872:L883)</f>
        <v>1</v>
      </c>
      <c r="M884" s="301" t="n">
        <f aca="false">AVERAGE(M872:M883)</f>
        <v>0</v>
      </c>
      <c r="N884" s="302"/>
      <c r="O884" s="290" t="n">
        <f aca="false">IF(SUM(O872:O883)&gt;0,((AB884+AR884)/J884),0)</f>
        <v>0</v>
      </c>
      <c r="P884" s="290" t="n">
        <f aca="false">IF(SUM(P872:P883)&gt;0,((AC884+AS884)/J884),0)</f>
        <v>0</v>
      </c>
      <c r="Q884" s="290" t="n">
        <f aca="false">IF(SUM(Q872:Q883)&gt;0,((AD884+AT884)/J884),0)</f>
        <v>0</v>
      </c>
      <c r="R884" s="290" t="n">
        <f aca="false">IF(SUM(R872:R883)&gt;0,((AE884+AU884)/J884),0)</f>
        <v>0</v>
      </c>
      <c r="S884" s="290" t="n">
        <f aca="false">IF(SUM(S872:S883)&gt;0,((AF884+AV884)/J884),0)</f>
        <v>0</v>
      </c>
      <c r="T884" s="290" t="n">
        <f aca="false">IF(SUM(T872:T883)&gt;0,((AG884+AW884)/J884),0)</f>
        <v>0</v>
      </c>
      <c r="U884" s="290" t="n">
        <f aca="false">IF(SUM(U872:U883)&gt;0,((AH884+AX884)/J884),0)</f>
        <v>0</v>
      </c>
      <c r="V884" s="290" t="n">
        <f aca="false">IF(SUM(V872:V883)&gt;0,((AI884+AY884)/J884),0)</f>
        <v>0</v>
      </c>
      <c r="W884" s="290" t="n">
        <f aca="false">IF(SUM(W872:W883)&gt;0,((AJ884+AZ884)/J884),0)</f>
        <v>0</v>
      </c>
      <c r="X884" s="290" t="n">
        <f aca="false">IF(SUM(X872:X883)&gt;0,((AK884+BA884)/J884),0)</f>
        <v>0</v>
      </c>
      <c r="Y884" s="290" t="n">
        <f aca="false">IF(SUM(Y872:Y883)&gt;0,((AL884+BB884)/J884),0)</f>
        <v>0</v>
      </c>
      <c r="Z884" s="290" t="n">
        <f aca="false">IF(SUM(Z872:Z883)&gt;0,((AM884+BC884)/J884),0)</f>
        <v>0</v>
      </c>
      <c r="AA884" s="303"/>
      <c r="AB884" s="292" t="n">
        <f aca="false">SUM(AB872:AB883)</f>
        <v>0</v>
      </c>
      <c r="AC884" s="304" t="n">
        <f aca="false">SUM(AC872:AC883)</f>
        <v>0</v>
      </c>
      <c r="AD884" s="304" t="n">
        <f aca="false">SUM(AD872:AD883)</f>
        <v>0</v>
      </c>
      <c r="AE884" s="304" t="n">
        <f aca="false">SUM(AE872:AE883)</f>
        <v>0</v>
      </c>
      <c r="AF884" s="304" t="n">
        <f aca="false">SUM(AF872:AF883)</f>
        <v>0</v>
      </c>
      <c r="AG884" s="304" t="n">
        <f aca="false">SUM(AG872:AG883)</f>
        <v>0</v>
      </c>
      <c r="AH884" s="304" t="n">
        <f aca="false">SUM(AH872:AH883)</f>
        <v>0</v>
      </c>
      <c r="AI884" s="304" t="n">
        <f aca="false">SUM(AI872:AI883)</f>
        <v>0</v>
      </c>
      <c r="AJ884" s="304" t="n">
        <f aca="false">SUM(AJ872:AJ883)</f>
        <v>0</v>
      </c>
      <c r="AK884" s="304" t="n">
        <f aca="false">SUM(AK872:AK883)</f>
        <v>0</v>
      </c>
      <c r="AL884" s="304" t="n">
        <f aca="false">SUM(AL872:AL883)</f>
        <v>0</v>
      </c>
      <c r="AM884" s="304" t="n">
        <f aca="false">SUM(AM872:AM883)</f>
        <v>0</v>
      </c>
      <c r="AN884" s="305" t="n">
        <f aca="false">SUM(AN872:AN883)</f>
        <v>0</v>
      </c>
      <c r="AO884" s="305" t="n">
        <f aca="false">SUM(AO872:AO883)</f>
        <v>0</v>
      </c>
      <c r="AP884" s="305" t="n">
        <f aca="false">SUM(AP872:AP883)</f>
        <v>0</v>
      </c>
      <c r="AQ884" s="303"/>
      <c r="AR884" s="292" t="n">
        <f aca="false">SUM(AR872:AR883)</f>
        <v>0</v>
      </c>
      <c r="AS884" s="304" t="n">
        <f aca="false">SUM(AS872:AS883)</f>
        <v>0</v>
      </c>
      <c r="AT884" s="304" t="n">
        <f aca="false">SUM(AT872:AT883)</f>
        <v>0</v>
      </c>
      <c r="AU884" s="304" t="n">
        <f aca="false">SUM(AU872:AU883)</f>
        <v>0</v>
      </c>
      <c r="AV884" s="304" t="n">
        <f aca="false">SUM(AV872:AV883)</f>
        <v>0</v>
      </c>
      <c r="AW884" s="304" t="n">
        <f aca="false">SUM(AW872:AW883)</f>
        <v>0</v>
      </c>
      <c r="AX884" s="304" t="n">
        <f aca="false">SUM(AX872:AX883)</f>
        <v>0</v>
      </c>
      <c r="AY884" s="304" t="n">
        <f aca="false">SUM(AY872:AY883)</f>
        <v>0</v>
      </c>
      <c r="AZ884" s="304" t="n">
        <f aca="false">SUM(AZ872:AZ883)</f>
        <v>0</v>
      </c>
      <c r="BA884" s="304" t="n">
        <f aca="false">SUM(BA872:BA883)</f>
        <v>0</v>
      </c>
      <c r="BB884" s="304" t="n">
        <f aca="false">SUM(BB872:BB883)</f>
        <v>0</v>
      </c>
      <c r="BC884" s="304" t="n">
        <f aca="false">SUM(BC872:BC883)</f>
        <v>0</v>
      </c>
      <c r="BD884" s="305" t="n">
        <f aca="false">SUM(BD872:BD883)</f>
        <v>0</v>
      </c>
      <c r="BE884" s="305" t="n">
        <f aca="false">SUM(BE872:BE883)</f>
        <v>0</v>
      </c>
      <c r="BF884" s="305" t="n">
        <f aca="false">SUM(BF872:BF883)</f>
        <v>0</v>
      </c>
      <c r="BG884" s="303"/>
      <c r="BH884" s="306"/>
      <c r="BI884" s="303"/>
      <c r="BJ884" s="307" t="str">
        <f aca="false">IF(C870&gt;0, C870, "")</f>
        <v>TBA</v>
      </c>
      <c r="BK884" s="18" t="s">
        <v>234</v>
      </c>
      <c r="BL884" s="200" t="n">
        <f aca="false">IF($BK884="Y",J884,0)</f>
        <v>0</v>
      </c>
      <c r="BM884" s="200" t="n">
        <f aca="false">IF(BK884="Y", AN884,0)</f>
        <v>0</v>
      </c>
      <c r="BN884" s="200" t="n">
        <f aca="false">IF((BK884="Y"),AO884,0)</f>
        <v>0</v>
      </c>
    </row>
    <row r="885" customFormat="false" ht="15" hidden="false" customHeight="true" outlineLevel="0" collapsed="false">
      <c r="B885" s="296"/>
      <c r="D885" s="297"/>
      <c r="E885" s="277"/>
      <c r="F885" s="277"/>
      <c r="G885" s="277"/>
      <c r="H885" s="277"/>
      <c r="I885" s="277"/>
      <c r="J885" s="300"/>
      <c r="K885" s="300"/>
      <c r="L885" s="302"/>
      <c r="M885" s="302"/>
      <c r="N885" s="302"/>
      <c r="O885" s="308"/>
      <c r="P885" s="308"/>
      <c r="Q885" s="308"/>
      <c r="R885" s="308"/>
      <c r="S885" s="308"/>
      <c r="T885" s="308"/>
      <c r="U885" s="308"/>
      <c r="V885" s="308"/>
      <c r="W885" s="308"/>
      <c r="X885" s="308"/>
      <c r="Y885" s="308"/>
      <c r="Z885" s="308"/>
      <c r="AA885" s="303"/>
      <c r="AB885" s="303"/>
      <c r="AC885" s="303"/>
      <c r="AD885" s="303"/>
      <c r="AE885" s="303"/>
      <c r="AF885" s="303"/>
      <c r="AG885" s="303"/>
      <c r="AH885" s="303"/>
      <c r="AI885" s="303"/>
      <c r="AJ885" s="303"/>
      <c r="AK885" s="303"/>
      <c r="AL885" s="303"/>
      <c r="AM885" s="303"/>
      <c r="AN885" s="303"/>
      <c r="AO885" s="303"/>
      <c r="AP885" s="303"/>
      <c r="AQ885" s="303"/>
      <c r="AR885" s="303"/>
      <c r="AS885" s="303"/>
      <c r="AT885" s="303"/>
      <c r="AU885" s="303"/>
      <c r="AV885" s="303"/>
      <c r="AW885" s="303"/>
      <c r="AX885" s="303"/>
      <c r="AY885" s="303"/>
      <c r="AZ885" s="303"/>
      <c r="BA885" s="303"/>
      <c r="BB885" s="303"/>
      <c r="BC885" s="303"/>
      <c r="BD885" s="303"/>
      <c r="BE885" s="303"/>
      <c r="BF885" s="303"/>
      <c r="BG885" s="303"/>
      <c r="BH885" s="303"/>
      <c r="BI885" s="303"/>
      <c r="BJ885" s="307" t="str">
        <f aca="false">IF(C872&gt;0, C872, "")</f>
        <v/>
      </c>
      <c r="BL885" s="200"/>
      <c r="BM885" s="200"/>
      <c r="BN885" s="200"/>
    </row>
    <row r="886" customFormat="false" ht="15" hidden="false" customHeight="true" outlineLevel="0" collapsed="false">
      <c r="A886" s="198" t="n">
        <f aca="false">A870+1</f>
        <v>56</v>
      </c>
      <c r="B886" s="266" t="s">
        <v>253</v>
      </c>
      <c r="C886" s="266" t="s">
        <v>253</v>
      </c>
      <c r="D886" s="267"/>
      <c r="E886" s="242"/>
      <c r="F886" s="242"/>
      <c r="G886" s="242"/>
      <c r="H886" s="242"/>
      <c r="I886" s="242"/>
      <c r="J886" s="241"/>
      <c r="K886" s="241"/>
      <c r="L886" s="241"/>
      <c r="M886" s="241"/>
      <c r="N886" s="241"/>
      <c r="O886" s="268"/>
      <c r="P886" s="268"/>
      <c r="Q886" s="268"/>
      <c r="R886" s="268"/>
      <c r="S886" s="268"/>
      <c r="T886" s="268"/>
      <c r="U886" s="268"/>
      <c r="V886" s="268"/>
      <c r="W886" s="268"/>
      <c r="X886" s="268"/>
      <c r="Y886" s="268"/>
      <c r="Z886" s="268"/>
      <c r="AA886" s="268"/>
      <c r="AB886" s="268"/>
      <c r="AC886" s="268"/>
      <c r="AD886" s="268"/>
      <c r="AE886" s="268"/>
      <c r="AF886" s="268"/>
      <c r="AG886" s="268"/>
      <c r="AH886" s="268"/>
      <c r="AI886" s="268"/>
      <c r="AJ886" s="268"/>
      <c r="AK886" s="268"/>
      <c r="AL886" s="268"/>
      <c r="AM886" s="268"/>
      <c r="AN886" s="268"/>
      <c r="AO886" s="268"/>
      <c r="AP886" s="268"/>
      <c r="AQ886" s="268"/>
      <c r="AR886" s="268"/>
      <c r="AS886" s="268"/>
      <c r="AT886" s="268"/>
      <c r="AU886" s="268"/>
      <c r="AV886" s="268"/>
      <c r="AW886" s="268"/>
      <c r="AX886" s="268"/>
      <c r="AY886" s="268"/>
      <c r="AZ886" s="268"/>
      <c r="BA886" s="268"/>
      <c r="BB886" s="268"/>
      <c r="BC886" s="268"/>
      <c r="BD886" s="268"/>
      <c r="BE886" s="268"/>
      <c r="BF886" s="268"/>
      <c r="BG886" s="268"/>
      <c r="BH886" s="268"/>
      <c r="BI886" s="268"/>
      <c r="BJ886" s="18" t="str">
        <f aca="false">IF(C873&gt;0, C873, "")</f>
        <v/>
      </c>
      <c r="BL886" s="200"/>
      <c r="BM886" s="200"/>
      <c r="BN886" s="200"/>
    </row>
    <row r="887" customFormat="false" ht="7.5" hidden="false" customHeight="true" outlineLevel="0" collapsed="false">
      <c r="A887" s="198"/>
      <c r="B887" s="266"/>
      <c r="C887" s="266"/>
      <c r="D887" s="267"/>
      <c r="E887" s="242"/>
      <c r="F887" s="242"/>
      <c r="G887" s="242"/>
      <c r="H887" s="242"/>
      <c r="I887" s="242"/>
      <c r="J887" s="241"/>
      <c r="K887" s="241"/>
      <c r="L887" s="269"/>
      <c r="M887" s="269"/>
      <c r="N887" s="270"/>
      <c r="O887" s="269"/>
      <c r="P887" s="269"/>
      <c r="Q887" s="269"/>
      <c r="R887" s="269"/>
      <c r="S887" s="269"/>
      <c r="T887" s="269"/>
      <c r="U887" s="269"/>
      <c r="V887" s="269"/>
      <c r="W887" s="269"/>
      <c r="X887" s="269"/>
      <c r="Y887" s="269"/>
      <c r="Z887" s="269"/>
      <c r="AA887" s="268"/>
      <c r="AB887" s="271"/>
      <c r="AC887" s="271"/>
      <c r="AD887" s="271"/>
      <c r="AE887" s="271"/>
      <c r="AF887" s="271"/>
      <c r="AG887" s="271"/>
      <c r="AH887" s="271"/>
      <c r="AI887" s="271"/>
      <c r="AJ887" s="271"/>
      <c r="AK887" s="271"/>
      <c r="AL887" s="271"/>
      <c r="AM887" s="272"/>
      <c r="AN887" s="273"/>
      <c r="AO887" s="273"/>
      <c r="AP887" s="273"/>
      <c r="AQ887" s="268"/>
      <c r="AR887" s="271"/>
      <c r="AS887" s="271"/>
      <c r="AT887" s="271"/>
      <c r="AU887" s="271"/>
      <c r="AV887" s="271"/>
      <c r="AW887" s="271"/>
      <c r="AX887" s="271"/>
      <c r="AY887" s="271"/>
      <c r="AZ887" s="271"/>
      <c r="BA887" s="271"/>
      <c r="BB887" s="271"/>
      <c r="BC887" s="272"/>
      <c r="BD887" s="273"/>
      <c r="BE887" s="273"/>
      <c r="BF887" s="273"/>
      <c r="BG887" s="268"/>
      <c r="BH887" s="274"/>
      <c r="BI887" s="268"/>
      <c r="BL887" s="200"/>
      <c r="BM887" s="200"/>
      <c r="BN887" s="200"/>
    </row>
    <row r="888" customFormat="false" ht="15" hidden="false" customHeight="true" outlineLevel="0" collapsed="false">
      <c r="B888" s="275"/>
      <c r="D888" s="276" t="n">
        <f aca="false">D872</f>
        <v>45292</v>
      </c>
      <c r="E888" s="277" t="n">
        <v>0</v>
      </c>
      <c r="F888" s="277" t="n">
        <v>0</v>
      </c>
      <c r="G888" s="277" t="n">
        <v>0</v>
      </c>
      <c r="H888" s="277" t="n">
        <v>0</v>
      </c>
      <c r="I888" s="277" t="n">
        <v>0</v>
      </c>
      <c r="J888" s="278" t="n">
        <f aca="false">E888+H888+I888</f>
        <v>0</v>
      </c>
      <c r="K888" s="204"/>
      <c r="L888" s="279" t="n">
        <v>1</v>
      </c>
      <c r="M888" s="280" t="n">
        <f aca="false">1-L888</f>
        <v>0</v>
      </c>
      <c r="N888" s="281"/>
      <c r="O888" s="282"/>
      <c r="P888" s="282"/>
      <c r="Q888" s="282"/>
      <c r="R888" s="282"/>
      <c r="S888" s="282"/>
      <c r="T888" s="282"/>
      <c r="U888" s="282"/>
      <c r="V888" s="282"/>
      <c r="W888" s="282"/>
      <c r="X888" s="282"/>
      <c r="Y888" s="282"/>
      <c r="Z888" s="282"/>
      <c r="AA888" s="283"/>
      <c r="AB888" s="284" t="n">
        <f aca="false">IFERROR(($J888*O888)*$L888, "")</f>
        <v>0</v>
      </c>
      <c r="AC888" s="284" t="n">
        <f aca="false">IFERROR(($J888*P888)*$L888, "")</f>
        <v>0</v>
      </c>
      <c r="AD888" s="284" t="n">
        <f aca="false">IFERROR(($J888*Q888)*$L888, "")</f>
        <v>0</v>
      </c>
      <c r="AE888" s="284" t="n">
        <f aca="false">IFERROR(($J888*R888)*$L888, "")</f>
        <v>0</v>
      </c>
      <c r="AF888" s="284" t="n">
        <f aca="false">IFERROR(($J888*S888)*$L888, "")</f>
        <v>0</v>
      </c>
      <c r="AG888" s="284" t="n">
        <f aca="false">IFERROR(($J888*T888)*$L888, "")</f>
        <v>0</v>
      </c>
      <c r="AH888" s="284" t="n">
        <f aca="false">IFERROR(($J888*U888)*$L888, "")</f>
        <v>0</v>
      </c>
      <c r="AI888" s="284" t="n">
        <f aca="false">IFERROR(($J888*V888)*$L888, "")</f>
        <v>0</v>
      </c>
      <c r="AJ888" s="284" t="n">
        <f aca="false">IFERROR(($J888*W888)*$L888, "")</f>
        <v>0</v>
      </c>
      <c r="AK888" s="284" t="n">
        <f aca="false">IFERROR(($J888*X888)*$L888, "")</f>
        <v>0</v>
      </c>
      <c r="AL888" s="284" t="n">
        <f aca="false">IFERROR(($J888*Y888)*$L888, "")</f>
        <v>0</v>
      </c>
      <c r="AM888" s="285" t="n">
        <f aca="false">IFERROR(($J888*Z888)*$L888, "")</f>
        <v>0</v>
      </c>
      <c r="AN888" s="286" t="n">
        <f aca="false">IFERROR(SUMIF($AB$4:$AM$4, "RDEC", AB888:AM888), "")</f>
        <v>0</v>
      </c>
      <c r="AO888" s="286" t="n">
        <f aca="false">IFERROR(SUMIF($AB$4:$AM$4, "SME", AB888:AM888), "")</f>
        <v>0</v>
      </c>
      <c r="AP888" s="286" t="n">
        <f aca="false">IFERROR(SUMIF($AB$4:$AM$4, "De Minimis", AB888:AM888), "")</f>
        <v>0</v>
      </c>
      <c r="AQ888" s="283"/>
      <c r="AR888" s="284" t="n">
        <f aca="false">IFERROR(($J888*O888)*$M888, "")</f>
        <v>0</v>
      </c>
      <c r="AS888" s="284" t="n">
        <f aca="false">IFERROR(($J888*P888)*$M888, "")</f>
        <v>0</v>
      </c>
      <c r="AT888" s="284" t="n">
        <f aca="false">IFERROR(($J888*Q888)*$M888, "")</f>
        <v>0</v>
      </c>
      <c r="AU888" s="284" t="n">
        <f aca="false">IFERROR(($J888*R888)*$M888, "")</f>
        <v>0</v>
      </c>
      <c r="AV888" s="284" t="n">
        <f aca="false">IFERROR(($J888*S888)*$M888, "")</f>
        <v>0</v>
      </c>
      <c r="AW888" s="284" t="n">
        <f aca="false">IFERROR(($J888*T888)*$M888, "")</f>
        <v>0</v>
      </c>
      <c r="AX888" s="284" t="n">
        <f aca="false">IFERROR(($J888*U888)*$M888, "")</f>
        <v>0</v>
      </c>
      <c r="AY888" s="284" t="n">
        <f aca="false">IFERROR(($J888*V888)*$M888, "")</f>
        <v>0</v>
      </c>
      <c r="AZ888" s="284" t="n">
        <f aca="false">IFERROR(($J888*W888)*$M888, "")</f>
        <v>0</v>
      </c>
      <c r="BA888" s="284" t="n">
        <f aca="false">IFERROR(($J888*X888)*$M888, "")</f>
        <v>0</v>
      </c>
      <c r="BB888" s="284" t="n">
        <f aca="false">IFERROR(($J888*Y888)*$M888, "")</f>
        <v>0</v>
      </c>
      <c r="BC888" s="285" t="n">
        <f aca="false">IFERROR(($J888*Z888)*$M888, "")</f>
        <v>0</v>
      </c>
      <c r="BD888" s="286" t="n">
        <f aca="false">IFERROR(SUMIF($AB$4:$AM$4, "RDEC", AR888:BC888), "")</f>
        <v>0</v>
      </c>
      <c r="BE888" s="286" t="n">
        <f aca="false">IFERROR(SUMIF($AB$4:$AM$4, "SME", AR888:BC888), "")</f>
        <v>0</v>
      </c>
      <c r="BF888" s="286" t="n">
        <f aca="false">IFERROR(SUMIF($AB$4:$AM$4, "De Minimis", AR888:BC888), "")</f>
        <v>0</v>
      </c>
      <c r="BG888" s="287"/>
      <c r="BH888" s="288" t="str">
        <f aca="false">IF((SUM(O888:Z888)&gt;1),"ERROR","")</f>
        <v/>
      </c>
      <c r="BI888" s="287"/>
      <c r="BJ888" s="18" t="str">
        <f aca="false">IF(C874&gt;0, C874, "")</f>
        <v/>
      </c>
      <c r="BL888" s="200"/>
      <c r="BM888" s="200"/>
      <c r="BN888" s="200"/>
    </row>
    <row r="889" customFormat="false" ht="15" hidden="false" customHeight="true" outlineLevel="0" collapsed="false">
      <c r="B889" s="275"/>
      <c r="D889" s="276" t="n">
        <f aca="false">D873</f>
        <v>45323</v>
      </c>
      <c r="E889" s="277" t="n">
        <v>0</v>
      </c>
      <c r="F889" s="277" t="n">
        <v>0</v>
      </c>
      <c r="G889" s="277" t="n">
        <v>0</v>
      </c>
      <c r="H889" s="277" t="n">
        <v>0</v>
      </c>
      <c r="I889" s="277" t="n">
        <v>0</v>
      </c>
      <c r="J889" s="278" t="n">
        <f aca="false">E889+H889+I889</f>
        <v>0</v>
      </c>
      <c r="K889" s="204"/>
      <c r="L889" s="279" t="n">
        <v>1</v>
      </c>
      <c r="M889" s="280" t="n">
        <f aca="false">1-L889</f>
        <v>0</v>
      </c>
      <c r="N889" s="281"/>
      <c r="O889" s="282"/>
      <c r="P889" s="282"/>
      <c r="Q889" s="282"/>
      <c r="R889" s="282"/>
      <c r="S889" s="282"/>
      <c r="T889" s="282"/>
      <c r="U889" s="282"/>
      <c r="V889" s="282"/>
      <c r="W889" s="282"/>
      <c r="X889" s="282"/>
      <c r="Y889" s="282"/>
      <c r="Z889" s="282"/>
      <c r="AA889" s="283"/>
      <c r="AB889" s="284" t="n">
        <f aca="false">IFERROR(($J889*O889)*$L889, "")</f>
        <v>0</v>
      </c>
      <c r="AC889" s="284" t="n">
        <f aca="false">IFERROR(($J889*P889)*$L889, "")</f>
        <v>0</v>
      </c>
      <c r="AD889" s="284" t="n">
        <f aca="false">IFERROR(($J889*Q889)*$L889, "")</f>
        <v>0</v>
      </c>
      <c r="AE889" s="284" t="n">
        <f aca="false">IFERROR(($J889*R889)*$L889, "")</f>
        <v>0</v>
      </c>
      <c r="AF889" s="284" t="n">
        <f aca="false">IFERROR(($J889*S889)*$L889, "")</f>
        <v>0</v>
      </c>
      <c r="AG889" s="284" t="n">
        <f aca="false">IFERROR(($J889*T889)*$L889, "")</f>
        <v>0</v>
      </c>
      <c r="AH889" s="284" t="n">
        <f aca="false">IFERROR(($J889*U889)*$L889, "")</f>
        <v>0</v>
      </c>
      <c r="AI889" s="284" t="n">
        <f aca="false">IFERROR(($J889*V889)*$L889, "")</f>
        <v>0</v>
      </c>
      <c r="AJ889" s="284" t="n">
        <f aca="false">IFERROR(($J889*W889)*$L889, "")</f>
        <v>0</v>
      </c>
      <c r="AK889" s="284" t="n">
        <f aca="false">IFERROR(($J889*X889)*$L889, "")</f>
        <v>0</v>
      </c>
      <c r="AL889" s="284" t="n">
        <f aca="false">IFERROR(($J889*Y889)*$L889, "")</f>
        <v>0</v>
      </c>
      <c r="AM889" s="285" t="n">
        <f aca="false">IFERROR(($J889*Z889)*$L889, "")</f>
        <v>0</v>
      </c>
      <c r="AN889" s="286" t="n">
        <f aca="false">IFERROR(SUMIF($AB$4:$AM$4, "RDEC", AB889:AM889), "")</f>
        <v>0</v>
      </c>
      <c r="AO889" s="286" t="n">
        <f aca="false">IFERROR(SUMIF($AB$4:$AM$4, "SME", AB889:AM889), "")</f>
        <v>0</v>
      </c>
      <c r="AP889" s="286" t="n">
        <f aca="false">IFERROR(SUMIF($AB$4:$AM$4, "De Minimis", AB889:AM889), "")</f>
        <v>0</v>
      </c>
      <c r="AQ889" s="283"/>
      <c r="AR889" s="284" t="n">
        <f aca="false">IFERROR(($J889*O889)*$M889, "")</f>
        <v>0</v>
      </c>
      <c r="AS889" s="284" t="n">
        <f aca="false">IFERROR(($J889*P889)*$M889, "")</f>
        <v>0</v>
      </c>
      <c r="AT889" s="284" t="n">
        <f aca="false">IFERROR(($J889*Q889)*$M889, "")</f>
        <v>0</v>
      </c>
      <c r="AU889" s="284" t="n">
        <f aca="false">IFERROR(($J889*R889)*$M889, "")</f>
        <v>0</v>
      </c>
      <c r="AV889" s="284" t="n">
        <f aca="false">IFERROR(($J889*S889)*$M889, "")</f>
        <v>0</v>
      </c>
      <c r="AW889" s="284" t="n">
        <f aca="false">IFERROR(($J889*T889)*$M889, "")</f>
        <v>0</v>
      </c>
      <c r="AX889" s="284" t="n">
        <f aca="false">IFERROR(($J889*U889)*$M889, "")</f>
        <v>0</v>
      </c>
      <c r="AY889" s="284" t="n">
        <f aca="false">IFERROR(($J889*V889)*$M889, "")</f>
        <v>0</v>
      </c>
      <c r="AZ889" s="284" t="n">
        <f aca="false">IFERROR(($J889*W889)*$M889, "")</f>
        <v>0</v>
      </c>
      <c r="BA889" s="284" t="n">
        <f aca="false">IFERROR(($J889*X889)*$M889, "")</f>
        <v>0</v>
      </c>
      <c r="BB889" s="284" t="n">
        <f aca="false">IFERROR(($J889*Y889)*$M889, "")</f>
        <v>0</v>
      </c>
      <c r="BC889" s="285" t="n">
        <f aca="false">IFERROR(($J889*Z889)*$M889, "")</f>
        <v>0</v>
      </c>
      <c r="BD889" s="286" t="n">
        <f aca="false">IFERROR(SUMIF($AB$4:$AM$4, "RDEC", AR889:BC889), "")</f>
        <v>0</v>
      </c>
      <c r="BE889" s="286" t="n">
        <f aca="false">IFERROR(SUMIF($AB$4:$AM$4, "SME", AR889:BC889), "")</f>
        <v>0</v>
      </c>
      <c r="BF889" s="286" t="n">
        <f aca="false">IFERROR(SUMIF($AB$4:$AM$4, "De Minimis", AR889:BC889), "")</f>
        <v>0</v>
      </c>
      <c r="BG889" s="287"/>
      <c r="BH889" s="288" t="str">
        <f aca="false">IF((SUM(O889:Z889)&gt;1),"ERROR","")</f>
        <v/>
      </c>
      <c r="BI889" s="287"/>
      <c r="BJ889" s="18" t="str">
        <f aca="false">IF(C875&gt;0, C875, "")</f>
        <v/>
      </c>
      <c r="BL889" s="200"/>
      <c r="BM889" s="200"/>
      <c r="BN889" s="200"/>
    </row>
    <row r="890" customFormat="false" ht="15" hidden="false" customHeight="true" outlineLevel="0" collapsed="false">
      <c r="B890" s="275"/>
      <c r="D890" s="276" t="n">
        <f aca="false">D874</f>
        <v>45352</v>
      </c>
      <c r="E890" s="277" t="n">
        <v>0</v>
      </c>
      <c r="F890" s="277" t="n">
        <v>0</v>
      </c>
      <c r="G890" s="277" t="n">
        <v>0</v>
      </c>
      <c r="H890" s="277" t="n">
        <v>0</v>
      </c>
      <c r="I890" s="277" t="n">
        <v>0</v>
      </c>
      <c r="J890" s="278" t="n">
        <f aca="false">E890+H890+I890</f>
        <v>0</v>
      </c>
      <c r="K890" s="204"/>
      <c r="L890" s="279" t="n">
        <v>1</v>
      </c>
      <c r="M890" s="280" t="n">
        <f aca="false">1-L890</f>
        <v>0</v>
      </c>
      <c r="N890" s="281"/>
      <c r="O890" s="282"/>
      <c r="P890" s="282"/>
      <c r="Q890" s="282"/>
      <c r="R890" s="282"/>
      <c r="S890" s="282"/>
      <c r="T890" s="282"/>
      <c r="U890" s="282"/>
      <c r="V890" s="282"/>
      <c r="W890" s="282"/>
      <c r="X890" s="282"/>
      <c r="Y890" s="282"/>
      <c r="Z890" s="282"/>
      <c r="AA890" s="283"/>
      <c r="AB890" s="284" t="n">
        <f aca="false">IFERROR(($J890*O890)*$L890, "")</f>
        <v>0</v>
      </c>
      <c r="AC890" s="284" t="n">
        <f aca="false">IFERROR(($J890*P890)*$L890, "")</f>
        <v>0</v>
      </c>
      <c r="AD890" s="284" t="n">
        <f aca="false">IFERROR(($J890*Q890)*$L890, "")</f>
        <v>0</v>
      </c>
      <c r="AE890" s="284" t="n">
        <f aca="false">IFERROR(($J890*R890)*$L890, "")</f>
        <v>0</v>
      </c>
      <c r="AF890" s="284" t="n">
        <f aca="false">IFERROR(($J890*S890)*$L890, "")</f>
        <v>0</v>
      </c>
      <c r="AG890" s="284" t="n">
        <f aca="false">IFERROR(($J890*T890)*$L890, "")</f>
        <v>0</v>
      </c>
      <c r="AH890" s="284" t="n">
        <f aca="false">IFERROR(($J890*U890)*$L890, "")</f>
        <v>0</v>
      </c>
      <c r="AI890" s="284" t="n">
        <f aca="false">IFERROR(($J890*V890)*$L890, "")</f>
        <v>0</v>
      </c>
      <c r="AJ890" s="284" t="n">
        <f aca="false">IFERROR(($J890*W890)*$L890, "")</f>
        <v>0</v>
      </c>
      <c r="AK890" s="284" t="n">
        <f aca="false">IFERROR(($J890*X890)*$L890, "")</f>
        <v>0</v>
      </c>
      <c r="AL890" s="284" t="n">
        <f aca="false">IFERROR(($J890*Y890)*$L890, "")</f>
        <v>0</v>
      </c>
      <c r="AM890" s="285" t="n">
        <f aca="false">IFERROR(($J890*Z890)*$L890, "")</f>
        <v>0</v>
      </c>
      <c r="AN890" s="286" t="n">
        <f aca="false">IFERROR(SUMIF($AB$4:$AM$4, "RDEC", AB890:AM890), "")</f>
        <v>0</v>
      </c>
      <c r="AO890" s="286" t="n">
        <f aca="false">IFERROR(SUMIF($AB$4:$AM$4, "SME", AB890:AM890), "")</f>
        <v>0</v>
      </c>
      <c r="AP890" s="286" t="n">
        <f aca="false">IFERROR(SUMIF($AB$4:$AM$4, "De Minimis", AB890:AM890), "")</f>
        <v>0</v>
      </c>
      <c r="AQ890" s="283"/>
      <c r="AR890" s="284" t="n">
        <f aca="false">IFERROR(($J890*O890)*$M890, "")</f>
        <v>0</v>
      </c>
      <c r="AS890" s="284" t="n">
        <f aca="false">IFERROR(($J890*P890)*$M890, "")</f>
        <v>0</v>
      </c>
      <c r="AT890" s="284" t="n">
        <f aca="false">IFERROR(($J890*Q890)*$M890, "")</f>
        <v>0</v>
      </c>
      <c r="AU890" s="284" t="n">
        <f aca="false">IFERROR(($J890*R890)*$M890, "")</f>
        <v>0</v>
      </c>
      <c r="AV890" s="284" t="n">
        <f aca="false">IFERROR(($J890*S890)*$M890, "")</f>
        <v>0</v>
      </c>
      <c r="AW890" s="284" t="n">
        <f aca="false">IFERROR(($J890*T890)*$M890, "")</f>
        <v>0</v>
      </c>
      <c r="AX890" s="284" t="n">
        <f aca="false">IFERROR(($J890*U890)*$M890, "")</f>
        <v>0</v>
      </c>
      <c r="AY890" s="284" t="n">
        <f aca="false">IFERROR(($J890*V890)*$M890, "")</f>
        <v>0</v>
      </c>
      <c r="AZ890" s="284" t="n">
        <f aca="false">IFERROR(($J890*W890)*$M890, "")</f>
        <v>0</v>
      </c>
      <c r="BA890" s="284" t="n">
        <f aca="false">IFERROR(($J890*X890)*$M890, "")</f>
        <v>0</v>
      </c>
      <c r="BB890" s="284" t="n">
        <f aca="false">IFERROR(($J890*Y890)*$M890, "")</f>
        <v>0</v>
      </c>
      <c r="BC890" s="285" t="n">
        <f aca="false">IFERROR(($J890*Z890)*$M890, "")</f>
        <v>0</v>
      </c>
      <c r="BD890" s="286" t="n">
        <f aca="false">IFERROR(SUMIF($AB$4:$AM$4, "RDEC", AR890:BC890), "")</f>
        <v>0</v>
      </c>
      <c r="BE890" s="286" t="n">
        <f aca="false">IFERROR(SUMIF($AB$4:$AM$4, "SME", AR890:BC890), "")</f>
        <v>0</v>
      </c>
      <c r="BF890" s="286" t="n">
        <f aca="false">IFERROR(SUMIF($AB$4:$AM$4, "De Minimis", AR890:BC890), "")</f>
        <v>0</v>
      </c>
      <c r="BG890" s="287"/>
      <c r="BH890" s="288" t="str">
        <f aca="false">IF((SUM(O890:Z890)&gt;1),"ERROR","")</f>
        <v/>
      </c>
      <c r="BI890" s="287"/>
      <c r="BJ890" s="18" t="str">
        <f aca="false">IF(C876&gt;0, C876, "")</f>
        <v/>
      </c>
      <c r="BL890" s="200"/>
      <c r="BM890" s="200"/>
      <c r="BN890" s="200"/>
    </row>
    <row r="891" customFormat="false" ht="15" hidden="false" customHeight="true" outlineLevel="0" collapsed="false">
      <c r="B891" s="275"/>
      <c r="D891" s="276" t="n">
        <f aca="false">D875</f>
        <v>45383</v>
      </c>
      <c r="E891" s="277" t="n">
        <v>0</v>
      </c>
      <c r="F891" s="277" t="n">
        <v>0</v>
      </c>
      <c r="G891" s="277" t="n">
        <v>0</v>
      </c>
      <c r="H891" s="277" t="n">
        <v>0</v>
      </c>
      <c r="I891" s="277" t="n">
        <v>0</v>
      </c>
      <c r="J891" s="278" t="n">
        <f aca="false">E891+H891+I891</f>
        <v>0</v>
      </c>
      <c r="K891" s="204"/>
      <c r="L891" s="279" t="n">
        <v>1</v>
      </c>
      <c r="M891" s="280" t="n">
        <f aca="false">1-L891</f>
        <v>0</v>
      </c>
      <c r="N891" s="281"/>
      <c r="O891" s="282"/>
      <c r="P891" s="282"/>
      <c r="Q891" s="282"/>
      <c r="R891" s="282"/>
      <c r="S891" s="282"/>
      <c r="T891" s="282"/>
      <c r="U891" s="282"/>
      <c r="V891" s="282"/>
      <c r="W891" s="282"/>
      <c r="X891" s="282"/>
      <c r="Y891" s="282"/>
      <c r="Z891" s="282"/>
      <c r="AA891" s="283"/>
      <c r="AB891" s="284" t="n">
        <f aca="false">IFERROR(($J891*O891)*$L891, "")</f>
        <v>0</v>
      </c>
      <c r="AC891" s="284" t="n">
        <f aca="false">IFERROR(($J891*P891)*$L891, "")</f>
        <v>0</v>
      </c>
      <c r="AD891" s="284" t="n">
        <f aca="false">IFERROR(($J891*Q891)*$L891, "")</f>
        <v>0</v>
      </c>
      <c r="AE891" s="284" t="n">
        <f aca="false">IFERROR(($J891*R891)*$L891, "")</f>
        <v>0</v>
      </c>
      <c r="AF891" s="284" t="n">
        <f aca="false">IFERROR(($J891*S891)*$L891, "")</f>
        <v>0</v>
      </c>
      <c r="AG891" s="284" t="n">
        <f aca="false">IFERROR(($J891*T891)*$L891, "")</f>
        <v>0</v>
      </c>
      <c r="AH891" s="284" t="n">
        <f aca="false">IFERROR(($J891*U891)*$L891, "")</f>
        <v>0</v>
      </c>
      <c r="AI891" s="284" t="n">
        <f aca="false">IFERROR(($J891*V891)*$L891, "")</f>
        <v>0</v>
      </c>
      <c r="AJ891" s="284" t="n">
        <f aca="false">IFERROR(($J891*W891)*$L891, "")</f>
        <v>0</v>
      </c>
      <c r="AK891" s="284" t="n">
        <f aca="false">IFERROR(($J891*X891)*$L891, "")</f>
        <v>0</v>
      </c>
      <c r="AL891" s="284" t="n">
        <f aca="false">IFERROR(($J891*Y891)*$L891, "")</f>
        <v>0</v>
      </c>
      <c r="AM891" s="285" t="n">
        <f aca="false">IFERROR(($J891*Z891)*$L891, "")</f>
        <v>0</v>
      </c>
      <c r="AN891" s="286" t="n">
        <f aca="false">IFERROR(SUMIF($AB$4:$AM$4, "RDEC", AB891:AM891), "")</f>
        <v>0</v>
      </c>
      <c r="AO891" s="286" t="n">
        <f aca="false">IFERROR(SUMIF($AB$4:$AM$4, "SME", AB891:AM891), "")</f>
        <v>0</v>
      </c>
      <c r="AP891" s="286" t="n">
        <f aca="false">IFERROR(SUMIF($AB$4:$AM$4, "De Minimis", AB891:AM891), "")</f>
        <v>0</v>
      </c>
      <c r="AQ891" s="283"/>
      <c r="AR891" s="284" t="n">
        <f aca="false">IFERROR(($J891*O891)*$M891, "")</f>
        <v>0</v>
      </c>
      <c r="AS891" s="284" t="n">
        <f aca="false">IFERROR(($J891*P891)*$M891, "")</f>
        <v>0</v>
      </c>
      <c r="AT891" s="284" t="n">
        <f aca="false">IFERROR(($J891*Q891)*$M891, "")</f>
        <v>0</v>
      </c>
      <c r="AU891" s="284" t="n">
        <f aca="false">IFERROR(($J891*R891)*$M891, "")</f>
        <v>0</v>
      </c>
      <c r="AV891" s="284" t="n">
        <f aca="false">IFERROR(($J891*S891)*$M891, "")</f>
        <v>0</v>
      </c>
      <c r="AW891" s="284" t="n">
        <f aca="false">IFERROR(($J891*T891)*$M891, "")</f>
        <v>0</v>
      </c>
      <c r="AX891" s="284" t="n">
        <f aca="false">IFERROR(($J891*U891)*$M891, "")</f>
        <v>0</v>
      </c>
      <c r="AY891" s="284" t="n">
        <f aca="false">IFERROR(($J891*V891)*$M891, "")</f>
        <v>0</v>
      </c>
      <c r="AZ891" s="284" t="n">
        <f aca="false">IFERROR(($J891*W891)*$M891, "")</f>
        <v>0</v>
      </c>
      <c r="BA891" s="284" t="n">
        <f aca="false">IFERROR(($J891*X891)*$M891, "")</f>
        <v>0</v>
      </c>
      <c r="BB891" s="284" t="n">
        <f aca="false">IFERROR(($J891*Y891)*$M891, "")</f>
        <v>0</v>
      </c>
      <c r="BC891" s="285" t="n">
        <f aca="false">IFERROR(($J891*Z891)*$M891, "")</f>
        <v>0</v>
      </c>
      <c r="BD891" s="286" t="n">
        <f aca="false">IFERROR(SUMIF($AB$4:$AM$4, "RDEC", AR891:BC891), "")</f>
        <v>0</v>
      </c>
      <c r="BE891" s="286" t="n">
        <f aca="false">IFERROR(SUMIF($AB$4:$AM$4, "SME", AR891:BC891), "")</f>
        <v>0</v>
      </c>
      <c r="BF891" s="286" t="n">
        <f aca="false">IFERROR(SUMIF($AB$4:$AM$4, "De Minimis", AR891:BC891), "")</f>
        <v>0</v>
      </c>
      <c r="BG891" s="287"/>
      <c r="BH891" s="288" t="str">
        <f aca="false">IF((SUM(O891:Z891)&gt;1),"ERROR","")</f>
        <v/>
      </c>
      <c r="BI891" s="287"/>
      <c r="BJ891" s="18" t="str">
        <f aca="false">IF(C877&gt;0, C877, "")</f>
        <v/>
      </c>
      <c r="BL891" s="200"/>
      <c r="BM891" s="200"/>
      <c r="BN891" s="200"/>
    </row>
    <row r="892" customFormat="false" ht="15" hidden="false" customHeight="true" outlineLevel="0" collapsed="false">
      <c r="B892" s="275"/>
      <c r="D892" s="276" t="n">
        <f aca="false">D876</f>
        <v>45413</v>
      </c>
      <c r="E892" s="277" t="n">
        <v>0</v>
      </c>
      <c r="F892" s="277" t="n">
        <v>0</v>
      </c>
      <c r="G892" s="277" t="n">
        <v>0</v>
      </c>
      <c r="H892" s="277" t="n">
        <v>0</v>
      </c>
      <c r="I892" s="277" t="n">
        <v>0</v>
      </c>
      <c r="J892" s="278" t="n">
        <f aca="false">E892+H892+I892</f>
        <v>0</v>
      </c>
      <c r="K892" s="204"/>
      <c r="L892" s="279" t="n">
        <v>1</v>
      </c>
      <c r="M892" s="280" t="n">
        <f aca="false">1-L892</f>
        <v>0</v>
      </c>
      <c r="N892" s="281"/>
      <c r="O892" s="282"/>
      <c r="P892" s="282"/>
      <c r="Q892" s="282"/>
      <c r="R892" s="282"/>
      <c r="S892" s="282"/>
      <c r="T892" s="282"/>
      <c r="U892" s="282"/>
      <c r="V892" s="282"/>
      <c r="W892" s="282"/>
      <c r="X892" s="282"/>
      <c r="Y892" s="282"/>
      <c r="Z892" s="282"/>
      <c r="AA892" s="283"/>
      <c r="AB892" s="284" t="n">
        <f aca="false">IFERROR(($J892*O892)*$L892, "")</f>
        <v>0</v>
      </c>
      <c r="AC892" s="284" t="n">
        <f aca="false">IFERROR(($J892*P892)*$L892, "")</f>
        <v>0</v>
      </c>
      <c r="AD892" s="284" t="n">
        <f aca="false">IFERROR(($J892*Q892)*$L892, "")</f>
        <v>0</v>
      </c>
      <c r="AE892" s="284" t="n">
        <f aca="false">IFERROR(($J892*R892)*$L892, "")</f>
        <v>0</v>
      </c>
      <c r="AF892" s="284" t="n">
        <f aca="false">IFERROR(($J892*S892)*$L892, "")</f>
        <v>0</v>
      </c>
      <c r="AG892" s="284" t="n">
        <f aca="false">IFERROR(($J892*T892)*$L892, "")</f>
        <v>0</v>
      </c>
      <c r="AH892" s="284" t="n">
        <f aca="false">IFERROR(($J892*U892)*$L892, "")</f>
        <v>0</v>
      </c>
      <c r="AI892" s="284" t="n">
        <f aca="false">IFERROR(($J892*V892)*$L892, "")</f>
        <v>0</v>
      </c>
      <c r="AJ892" s="284" t="n">
        <f aca="false">IFERROR(($J892*W892)*$L892, "")</f>
        <v>0</v>
      </c>
      <c r="AK892" s="284" t="n">
        <f aca="false">IFERROR(($J892*X892)*$L892, "")</f>
        <v>0</v>
      </c>
      <c r="AL892" s="284" t="n">
        <f aca="false">IFERROR(($J892*Y892)*$L892, "")</f>
        <v>0</v>
      </c>
      <c r="AM892" s="285" t="n">
        <f aca="false">IFERROR(($J892*Z892)*$L892, "")</f>
        <v>0</v>
      </c>
      <c r="AN892" s="286" t="n">
        <f aca="false">IFERROR(SUMIF($AB$4:$AM$4, "RDEC", AB892:AM892), "")</f>
        <v>0</v>
      </c>
      <c r="AO892" s="286" t="n">
        <f aca="false">IFERROR(SUMIF($AB$4:$AM$4, "SME", AB892:AM892), "")</f>
        <v>0</v>
      </c>
      <c r="AP892" s="286" t="n">
        <f aca="false">IFERROR(SUMIF($AB$4:$AM$4, "De Minimis", AB892:AM892), "")</f>
        <v>0</v>
      </c>
      <c r="AQ892" s="283"/>
      <c r="AR892" s="284" t="n">
        <f aca="false">IFERROR(($J892*O892)*$M892, "")</f>
        <v>0</v>
      </c>
      <c r="AS892" s="284" t="n">
        <f aca="false">IFERROR(($J892*P892)*$M892, "")</f>
        <v>0</v>
      </c>
      <c r="AT892" s="284" t="n">
        <f aca="false">IFERROR(($J892*Q892)*$M892, "")</f>
        <v>0</v>
      </c>
      <c r="AU892" s="284" t="n">
        <f aca="false">IFERROR(($J892*R892)*$M892, "")</f>
        <v>0</v>
      </c>
      <c r="AV892" s="284" t="n">
        <f aca="false">IFERROR(($J892*S892)*$M892, "")</f>
        <v>0</v>
      </c>
      <c r="AW892" s="284" t="n">
        <f aca="false">IFERROR(($J892*T892)*$M892, "")</f>
        <v>0</v>
      </c>
      <c r="AX892" s="284" t="n">
        <f aca="false">IFERROR(($J892*U892)*$M892, "")</f>
        <v>0</v>
      </c>
      <c r="AY892" s="284" t="n">
        <f aca="false">IFERROR(($J892*V892)*$M892, "")</f>
        <v>0</v>
      </c>
      <c r="AZ892" s="284" t="n">
        <f aca="false">IFERROR(($J892*W892)*$M892, "")</f>
        <v>0</v>
      </c>
      <c r="BA892" s="284" t="n">
        <f aca="false">IFERROR(($J892*X892)*$M892, "")</f>
        <v>0</v>
      </c>
      <c r="BB892" s="284" t="n">
        <f aca="false">IFERROR(($J892*Y892)*$M892, "")</f>
        <v>0</v>
      </c>
      <c r="BC892" s="285" t="n">
        <f aca="false">IFERROR(($J892*Z892)*$M892, "")</f>
        <v>0</v>
      </c>
      <c r="BD892" s="286" t="n">
        <f aca="false">IFERROR(SUMIF($AB$4:$AM$4, "RDEC", AR892:BC892), "")</f>
        <v>0</v>
      </c>
      <c r="BE892" s="286" t="n">
        <f aca="false">IFERROR(SUMIF($AB$4:$AM$4, "SME", AR892:BC892), "")</f>
        <v>0</v>
      </c>
      <c r="BF892" s="286" t="n">
        <f aca="false">IFERROR(SUMIF($AB$4:$AM$4, "De Minimis", AR892:BC892), "")</f>
        <v>0</v>
      </c>
      <c r="BG892" s="287"/>
      <c r="BH892" s="288" t="str">
        <f aca="false">IF((SUM(O892:Z892)&gt;1),"ERROR","")</f>
        <v/>
      </c>
      <c r="BI892" s="287"/>
      <c r="BJ892" s="18" t="str">
        <f aca="false">IF(C878&gt;0, C878, "")</f>
        <v/>
      </c>
      <c r="BL892" s="200"/>
      <c r="BM892" s="200"/>
      <c r="BN892" s="200"/>
    </row>
    <row r="893" customFormat="false" ht="15" hidden="false" customHeight="true" outlineLevel="0" collapsed="false">
      <c r="B893" s="275"/>
      <c r="D893" s="276" t="n">
        <f aca="false">D877</f>
        <v>45444</v>
      </c>
      <c r="E893" s="277" t="n">
        <v>0</v>
      </c>
      <c r="F893" s="277" t="n">
        <v>0</v>
      </c>
      <c r="G893" s="277" t="n">
        <v>0</v>
      </c>
      <c r="H893" s="277" t="n">
        <v>0</v>
      </c>
      <c r="I893" s="277" t="n">
        <v>0</v>
      </c>
      <c r="J893" s="278" t="n">
        <f aca="false">E893+H893+I893</f>
        <v>0</v>
      </c>
      <c r="K893" s="204"/>
      <c r="L893" s="279" t="n">
        <v>1</v>
      </c>
      <c r="M893" s="280" t="n">
        <f aca="false">1-L893</f>
        <v>0</v>
      </c>
      <c r="N893" s="281"/>
      <c r="O893" s="282"/>
      <c r="P893" s="282"/>
      <c r="Q893" s="282"/>
      <c r="R893" s="282"/>
      <c r="S893" s="282"/>
      <c r="T893" s="282"/>
      <c r="U893" s="282"/>
      <c r="V893" s="282"/>
      <c r="W893" s="282"/>
      <c r="X893" s="282"/>
      <c r="Y893" s="282"/>
      <c r="Z893" s="282"/>
      <c r="AA893" s="283"/>
      <c r="AB893" s="284" t="n">
        <f aca="false">IFERROR(($J893*O893)*$L893, "")</f>
        <v>0</v>
      </c>
      <c r="AC893" s="284" t="n">
        <f aca="false">IFERROR(($J893*P893)*$L893, "")</f>
        <v>0</v>
      </c>
      <c r="AD893" s="284" t="n">
        <f aca="false">IFERROR(($J893*Q893)*$L893, "")</f>
        <v>0</v>
      </c>
      <c r="AE893" s="284" t="n">
        <f aca="false">IFERROR(($J893*R893)*$L893, "")</f>
        <v>0</v>
      </c>
      <c r="AF893" s="284" t="n">
        <f aca="false">IFERROR(($J893*S893)*$L893, "")</f>
        <v>0</v>
      </c>
      <c r="AG893" s="284" t="n">
        <f aca="false">IFERROR(($J893*T893)*$L893, "")</f>
        <v>0</v>
      </c>
      <c r="AH893" s="284" t="n">
        <f aca="false">IFERROR(($J893*U893)*$L893, "")</f>
        <v>0</v>
      </c>
      <c r="AI893" s="284" t="n">
        <f aca="false">IFERROR(($J893*V893)*$L893, "")</f>
        <v>0</v>
      </c>
      <c r="AJ893" s="284" t="n">
        <f aca="false">IFERROR(($J893*W893)*$L893, "")</f>
        <v>0</v>
      </c>
      <c r="AK893" s="284" t="n">
        <f aca="false">IFERROR(($J893*X893)*$L893, "")</f>
        <v>0</v>
      </c>
      <c r="AL893" s="284" t="n">
        <f aca="false">IFERROR(($J893*Y893)*$L893, "")</f>
        <v>0</v>
      </c>
      <c r="AM893" s="285" t="n">
        <f aca="false">IFERROR(($J893*Z893)*$L893, "")</f>
        <v>0</v>
      </c>
      <c r="AN893" s="286" t="n">
        <f aca="false">IFERROR(SUMIF($AB$4:$AM$4, "RDEC", AB893:AM893), "")</f>
        <v>0</v>
      </c>
      <c r="AO893" s="286" t="n">
        <f aca="false">IFERROR(SUMIF($AB$4:$AM$4, "SME", AB893:AM893), "")</f>
        <v>0</v>
      </c>
      <c r="AP893" s="286" t="n">
        <f aca="false">IFERROR(SUMIF($AB$4:$AM$4, "De Minimis", AB893:AM893), "")</f>
        <v>0</v>
      </c>
      <c r="AQ893" s="283"/>
      <c r="AR893" s="284" t="n">
        <f aca="false">IFERROR(($J893*O893)*$M893, "")</f>
        <v>0</v>
      </c>
      <c r="AS893" s="284" t="n">
        <f aca="false">IFERROR(($J893*P893)*$M893, "")</f>
        <v>0</v>
      </c>
      <c r="AT893" s="284" t="n">
        <f aca="false">IFERROR(($J893*Q893)*$M893, "")</f>
        <v>0</v>
      </c>
      <c r="AU893" s="284" t="n">
        <f aca="false">IFERROR(($J893*R893)*$M893, "")</f>
        <v>0</v>
      </c>
      <c r="AV893" s="284" t="n">
        <f aca="false">IFERROR(($J893*S893)*$M893, "")</f>
        <v>0</v>
      </c>
      <c r="AW893" s="284" t="n">
        <f aca="false">IFERROR(($J893*T893)*$M893, "")</f>
        <v>0</v>
      </c>
      <c r="AX893" s="284" t="n">
        <f aca="false">IFERROR(($J893*U893)*$M893, "")</f>
        <v>0</v>
      </c>
      <c r="AY893" s="284" t="n">
        <f aca="false">IFERROR(($J893*V893)*$M893, "")</f>
        <v>0</v>
      </c>
      <c r="AZ893" s="284" t="n">
        <f aca="false">IFERROR(($J893*W893)*$M893, "")</f>
        <v>0</v>
      </c>
      <c r="BA893" s="284" t="n">
        <f aca="false">IFERROR(($J893*X893)*$M893, "")</f>
        <v>0</v>
      </c>
      <c r="BB893" s="284" t="n">
        <f aca="false">IFERROR(($J893*Y893)*$M893, "")</f>
        <v>0</v>
      </c>
      <c r="BC893" s="285" t="n">
        <f aca="false">IFERROR(($J893*Z893)*$M893, "")</f>
        <v>0</v>
      </c>
      <c r="BD893" s="286" t="n">
        <f aca="false">IFERROR(SUMIF($AB$4:$AM$4, "RDEC", AR893:BC893), "")</f>
        <v>0</v>
      </c>
      <c r="BE893" s="286" t="n">
        <f aca="false">IFERROR(SUMIF($AB$4:$AM$4, "SME", AR893:BC893), "")</f>
        <v>0</v>
      </c>
      <c r="BF893" s="286" t="n">
        <f aca="false">IFERROR(SUMIF($AB$4:$AM$4, "De Minimis", AR893:BC893), "")</f>
        <v>0</v>
      </c>
      <c r="BG893" s="287"/>
      <c r="BH893" s="288" t="str">
        <f aca="false">IF((SUM(O893:Z893)&gt;1),"ERROR","")</f>
        <v/>
      </c>
      <c r="BI893" s="287"/>
      <c r="BJ893" s="18" t="str">
        <f aca="false">IF(C879&gt;0, C879, "")</f>
        <v/>
      </c>
      <c r="BL893" s="200"/>
      <c r="BM893" s="200"/>
      <c r="BN893" s="200"/>
    </row>
    <row r="894" customFormat="false" ht="15" hidden="false" customHeight="true" outlineLevel="0" collapsed="false">
      <c r="B894" s="275"/>
      <c r="D894" s="276" t="n">
        <f aca="false">D878</f>
        <v>45474</v>
      </c>
      <c r="E894" s="277" t="n">
        <v>0</v>
      </c>
      <c r="F894" s="277" t="n">
        <v>0</v>
      </c>
      <c r="G894" s="277" t="n">
        <v>0</v>
      </c>
      <c r="H894" s="277" t="n">
        <v>0</v>
      </c>
      <c r="I894" s="277" t="n">
        <v>0</v>
      </c>
      <c r="J894" s="278" t="n">
        <f aca="false">E894+H894+I894</f>
        <v>0</v>
      </c>
      <c r="K894" s="204"/>
      <c r="L894" s="279" t="n">
        <v>1</v>
      </c>
      <c r="M894" s="280" t="n">
        <f aca="false">1-L894</f>
        <v>0</v>
      </c>
      <c r="N894" s="281"/>
      <c r="O894" s="282"/>
      <c r="P894" s="282"/>
      <c r="Q894" s="282"/>
      <c r="R894" s="282"/>
      <c r="S894" s="282"/>
      <c r="T894" s="282"/>
      <c r="U894" s="282"/>
      <c r="V894" s="282"/>
      <c r="W894" s="282"/>
      <c r="X894" s="282"/>
      <c r="Y894" s="282"/>
      <c r="Z894" s="282"/>
      <c r="AA894" s="283"/>
      <c r="AB894" s="284" t="n">
        <f aca="false">IFERROR(($J894*O894)*$L894, "")</f>
        <v>0</v>
      </c>
      <c r="AC894" s="284" t="n">
        <f aca="false">IFERROR(($J894*P894)*$L894, "")</f>
        <v>0</v>
      </c>
      <c r="AD894" s="284" t="n">
        <f aca="false">IFERROR(($J894*Q894)*$L894, "")</f>
        <v>0</v>
      </c>
      <c r="AE894" s="284" t="n">
        <f aca="false">IFERROR(($J894*R894)*$L894, "")</f>
        <v>0</v>
      </c>
      <c r="AF894" s="284" t="n">
        <f aca="false">IFERROR(($J894*S894)*$L894, "")</f>
        <v>0</v>
      </c>
      <c r="AG894" s="284" t="n">
        <f aca="false">IFERROR(($J894*T894)*$L894, "")</f>
        <v>0</v>
      </c>
      <c r="AH894" s="284" t="n">
        <f aca="false">IFERROR(($J894*U894)*$L894, "")</f>
        <v>0</v>
      </c>
      <c r="AI894" s="284" t="n">
        <f aca="false">IFERROR(($J894*V894)*$L894, "")</f>
        <v>0</v>
      </c>
      <c r="AJ894" s="284" t="n">
        <f aca="false">IFERROR(($J894*W894)*$L894, "")</f>
        <v>0</v>
      </c>
      <c r="AK894" s="284" t="n">
        <f aca="false">IFERROR(($J894*X894)*$L894, "")</f>
        <v>0</v>
      </c>
      <c r="AL894" s="284" t="n">
        <f aca="false">IFERROR(($J894*Y894)*$L894, "")</f>
        <v>0</v>
      </c>
      <c r="AM894" s="285" t="n">
        <f aca="false">IFERROR(($J894*Z894)*$L894, "")</f>
        <v>0</v>
      </c>
      <c r="AN894" s="286" t="n">
        <f aca="false">IFERROR(SUMIF($AB$4:$AM$4, "RDEC", AB894:AM894), "")</f>
        <v>0</v>
      </c>
      <c r="AO894" s="286" t="n">
        <f aca="false">IFERROR(SUMIF($AB$4:$AM$4, "SME", AB894:AM894), "")</f>
        <v>0</v>
      </c>
      <c r="AP894" s="286" t="n">
        <f aca="false">IFERROR(SUMIF($AB$4:$AM$4, "De Minimis", AB894:AM894), "")</f>
        <v>0</v>
      </c>
      <c r="AQ894" s="283"/>
      <c r="AR894" s="284" t="n">
        <f aca="false">IFERROR(($J894*O894)*$M894, "")</f>
        <v>0</v>
      </c>
      <c r="AS894" s="284" t="n">
        <f aca="false">IFERROR(($J894*P894)*$M894, "")</f>
        <v>0</v>
      </c>
      <c r="AT894" s="284" t="n">
        <f aca="false">IFERROR(($J894*Q894)*$M894, "")</f>
        <v>0</v>
      </c>
      <c r="AU894" s="284" t="n">
        <f aca="false">IFERROR(($J894*R894)*$M894, "")</f>
        <v>0</v>
      </c>
      <c r="AV894" s="284" t="n">
        <f aca="false">IFERROR(($J894*S894)*$M894, "")</f>
        <v>0</v>
      </c>
      <c r="AW894" s="284" t="n">
        <f aca="false">IFERROR(($J894*T894)*$M894, "")</f>
        <v>0</v>
      </c>
      <c r="AX894" s="284" t="n">
        <f aca="false">IFERROR(($J894*U894)*$M894, "")</f>
        <v>0</v>
      </c>
      <c r="AY894" s="284" t="n">
        <f aca="false">IFERROR(($J894*V894)*$M894, "")</f>
        <v>0</v>
      </c>
      <c r="AZ894" s="284" t="n">
        <f aca="false">IFERROR(($J894*W894)*$M894, "")</f>
        <v>0</v>
      </c>
      <c r="BA894" s="284" t="n">
        <f aca="false">IFERROR(($J894*X894)*$M894, "")</f>
        <v>0</v>
      </c>
      <c r="BB894" s="284" t="n">
        <f aca="false">IFERROR(($J894*Y894)*$M894, "")</f>
        <v>0</v>
      </c>
      <c r="BC894" s="285" t="n">
        <f aca="false">IFERROR(($J894*Z894)*$M894, "")</f>
        <v>0</v>
      </c>
      <c r="BD894" s="286" t="n">
        <f aca="false">IFERROR(SUMIF($AB$4:$AM$4, "RDEC", AR894:BC894), "")</f>
        <v>0</v>
      </c>
      <c r="BE894" s="286" t="n">
        <f aca="false">IFERROR(SUMIF($AB$4:$AM$4, "SME", AR894:BC894), "")</f>
        <v>0</v>
      </c>
      <c r="BF894" s="286" t="n">
        <f aca="false">IFERROR(SUMIF($AB$4:$AM$4, "De Minimis", AR894:BC894), "")</f>
        <v>0</v>
      </c>
      <c r="BG894" s="287"/>
      <c r="BH894" s="288" t="str">
        <f aca="false">IF((SUM(O894:Z894)&gt;1),"ERROR","")</f>
        <v/>
      </c>
      <c r="BI894" s="287"/>
      <c r="BJ894" s="18" t="str">
        <f aca="false">IF(C880&gt;0, C880, "")</f>
        <v/>
      </c>
      <c r="BL894" s="200"/>
      <c r="BM894" s="200"/>
      <c r="BN894" s="200"/>
    </row>
    <row r="895" customFormat="false" ht="15" hidden="false" customHeight="true" outlineLevel="0" collapsed="false">
      <c r="B895" s="275"/>
      <c r="D895" s="276" t="n">
        <f aca="false">D879</f>
        <v>45505</v>
      </c>
      <c r="E895" s="277" t="n">
        <v>0</v>
      </c>
      <c r="F895" s="277" t="n">
        <v>0</v>
      </c>
      <c r="G895" s="277" t="n">
        <v>0</v>
      </c>
      <c r="H895" s="277" t="n">
        <v>0</v>
      </c>
      <c r="I895" s="277" t="n">
        <v>0</v>
      </c>
      <c r="J895" s="278" t="n">
        <f aca="false">E895+H895+I895</f>
        <v>0</v>
      </c>
      <c r="K895" s="204"/>
      <c r="L895" s="279" t="n">
        <v>1</v>
      </c>
      <c r="M895" s="280" t="n">
        <f aca="false">1-L895</f>
        <v>0</v>
      </c>
      <c r="N895" s="281"/>
      <c r="O895" s="282"/>
      <c r="P895" s="282"/>
      <c r="Q895" s="282"/>
      <c r="R895" s="282"/>
      <c r="S895" s="282"/>
      <c r="T895" s="282"/>
      <c r="U895" s="282"/>
      <c r="V895" s="282"/>
      <c r="W895" s="282"/>
      <c r="X895" s="282"/>
      <c r="Y895" s="282"/>
      <c r="Z895" s="282"/>
      <c r="AA895" s="283"/>
      <c r="AB895" s="284" t="n">
        <f aca="false">IFERROR(($J895*O895)*$L895, "")</f>
        <v>0</v>
      </c>
      <c r="AC895" s="284" t="n">
        <f aca="false">IFERROR(($J895*P895)*$L895, "")</f>
        <v>0</v>
      </c>
      <c r="AD895" s="284" t="n">
        <f aca="false">IFERROR(($J895*Q895)*$L895, "")</f>
        <v>0</v>
      </c>
      <c r="AE895" s="284" t="n">
        <f aca="false">IFERROR(($J895*R895)*$L895, "")</f>
        <v>0</v>
      </c>
      <c r="AF895" s="284" t="n">
        <f aca="false">IFERROR(($J895*S895)*$L895, "")</f>
        <v>0</v>
      </c>
      <c r="AG895" s="284" t="n">
        <f aca="false">IFERROR(($J895*T895)*$L895, "")</f>
        <v>0</v>
      </c>
      <c r="AH895" s="284" t="n">
        <f aca="false">IFERROR(($J895*U895)*$L895, "")</f>
        <v>0</v>
      </c>
      <c r="AI895" s="284" t="n">
        <f aca="false">IFERROR(($J895*V895)*$L895, "")</f>
        <v>0</v>
      </c>
      <c r="AJ895" s="284" t="n">
        <f aca="false">IFERROR(($J895*W895)*$L895, "")</f>
        <v>0</v>
      </c>
      <c r="AK895" s="284" t="n">
        <f aca="false">IFERROR(($J895*X895)*$L895, "")</f>
        <v>0</v>
      </c>
      <c r="AL895" s="284" t="n">
        <f aca="false">IFERROR(($J895*Y895)*$L895, "")</f>
        <v>0</v>
      </c>
      <c r="AM895" s="285" t="n">
        <f aca="false">IFERROR(($J895*Z895)*$L895, "")</f>
        <v>0</v>
      </c>
      <c r="AN895" s="286" t="n">
        <f aca="false">IFERROR(SUMIF($AB$4:$AM$4, "RDEC", AB895:AM895), "")</f>
        <v>0</v>
      </c>
      <c r="AO895" s="286" t="n">
        <f aca="false">IFERROR(SUMIF($AB$4:$AM$4, "SME", AB895:AM895), "")</f>
        <v>0</v>
      </c>
      <c r="AP895" s="286" t="n">
        <f aca="false">IFERROR(SUMIF($AB$4:$AM$4, "De Minimis", AB895:AM895), "")</f>
        <v>0</v>
      </c>
      <c r="AQ895" s="283"/>
      <c r="AR895" s="284" t="n">
        <f aca="false">IFERROR(($J895*O895)*$M895, "")</f>
        <v>0</v>
      </c>
      <c r="AS895" s="284" t="n">
        <f aca="false">IFERROR(($J895*P895)*$M895, "")</f>
        <v>0</v>
      </c>
      <c r="AT895" s="284" t="n">
        <f aca="false">IFERROR(($J895*Q895)*$M895, "")</f>
        <v>0</v>
      </c>
      <c r="AU895" s="284" t="n">
        <f aca="false">IFERROR(($J895*R895)*$M895, "")</f>
        <v>0</v>
      </c>
      <c r="AV895" s="284" t="n">
        <f aca="false">IFERROR(($J895*S895)*$M895, "")</f>
        <v>0</v>
      </c>
      <c r="AW895" s="284" t="n">
        <f aca="false">IFERROR(($J895*T895)*$M895, "")</f>
        <v>0</v>
      </c>
      <c r="AX895" s="284" t="n">
        <f aca="false">IFERROR(($J895*U895)*$M895, "")</f>
        <v>0</v>
      </c>
      <c r="AY895" s="284" t="n">
        <f aca="false">IFERROR(($J895*V895)*$M895, "")</f>
        <v>0</v>
      </c>
      <c r="AZ895" s="284" t="n">
        <f aca="false">IFERROR(($J895*W895)*$M895, "")</f>
        <v>0</v>
      </c>
      <c r="BA895" s="284" t="n">
        <f aca="false">IFERROR(($J895*X895)*$M895, "")</f>
        <v>0</v>
      </c>
      <c r="BB895" s="284" t="n">
        <f aca="false">IFERROR(($J895*Y895)*$M895, "")</f>
        <v>0</v>
      </c>
      <c r="BC895" s="285" t="n">
        <f aca="false">IFERROR(($J895*Z895)*$M895, "")</f>
        <v>0</v>
      </c>
      <c r="BD895" s="286" t="n">
        <f aca="false">IFERROR(SUMIF($AB$4:$AM$4, "RDEC", AR895:BC895), "")</f>
        <v>0</v>
      </c>
      <c r="BE895" s="286" t="n">
        <f aca="false">IFERROR(SUMIF($AB$4:$AM$4, "SME", AR895:BC895), "")</f>
        <v>0</v>
      </c>
      <c r="BF895" s="286" t="n">
        <f aca="false">IFERROR(SUMIF($AB$4:$AM$4, "De Minimis", AR895:BC895), "")</f>
        <v>0</v>
      </c>
      <c r="BG895" s="287"/>
      <c r="BH895" s="288" t="str">
        <f aca="false">IF((SUM(O895:Z895)&gt;1),"ERROR","")</f>
        <v/>
      </c>
      <c r="BI895" s="287"/>
      <c r="BJ895" s="18" t="str">
        <f aca="false">IF(C881&gt;0, C881, "")</f>
        <v/>
      </c>
      <c r="BL895" s="200"/>
      <c r="BM895" s="200"/>
      <c r="BN895" s="200"/>
    </row>
    <row r="896" customFormat="false" ht="15" hidden="false" customHeight="true" outlineLevel="0" collapsed="false">
      <c r="B896" s="275"/>
      <c r="D896" s="276" t="n">
        <f aca="false">D880</f>
        <v>45536</v>
      </c>
      <c r="E896" s="277" t="n">
        <v>0</v>
      </c>
      <c r="F896" s="277" t="n">
        <v>0</v>
      </c>
      <c r="G896" s="277" t="n">
        <v>0</v>
      </c>
      <c r="H896" s="277" t="n">
        <v>0</v>
      </c>
      <c r="I896" s="277" t="n">
        <v>0</v>
      </c>
      <c r="J896" s="278" t="n">
        <f aca="false">E896+H896+I896</f>
        <v>0</v>
      </c>
      <c r="K896" s="204"/>
      <c r="L896" s="279" t="n">
        <v>1</v>
      </c>
      <c r="M896" s="280" t="n">
        <f aca="false">1-L896</f>
        <v>0</v>
      </c>
      <c r="N896" s="281"/>
      <c r="O896" s="282"/>
      <c r="P896" s="282"/>
      <c r="Q896" s="282"/>
      <c r="R896" s="282"/>
      <c r="S896" s="282"/>
      <c r="T896" s="282"/>
      <c r="U896" s="282"/>
      <c r="V896" s="282"/>
      <c r="W896" s="282"/>
      <c r="X896" s="282"/>
      <c r="Y896" s="282"/>
      <c r="Z896" s="282"/>
      <c r="AA896" s="283"/>
      <c r="AB896" s="284" t="n">
        <f aca="false">IFERROR(($J896*O896)*$L896, "")</f>
        <v>0</v>
      </c>
      <c r="AC896" s="284" t="n">
        <f aca="false">IFERROR(($J896*P896)*$L896, "")</f>
        <v>0</v>
      </c>
      <c r="AD896" s="284" t="n">
        <f aca="false">IFERROR(($J896*Q896)*$L896, "")</f>
        <v>0</v>
      </c>
      <c r="AE896" s="284" t="n">
        <f aca="false">IFERROR(($J896*R896)*$L896, "")</f>
        <v>0</v>
      </c>
      <c r="AF896" s="284" t="n">
        <f aca="false">IFERROR(($J896*S896)*$L896, "")</f>
        <v>0</v>
      </c>
      <c r="AG896" s="284" t="n">
        <f aca="false">IFERROR(($J896*T896)*$L896, "")</f>
        <v>0</v>
      </c>
      <c r="AH896" s="284" t="n">
        <f aca="false">IFERROR(($J896*U896)*$L896, "")</f>
        <v>0</v>
      </c>
      <c r="AI896" s="284" t="n">
        <f aca="false">IFERROR(($J896*V896)*$L896, "")</f>
        <v>0</v>
      </c>
      <c r="AJ896" s="284" t="n">
        <f aca="false">IFERROR(($J896*W896)*$L896, "")</f>
        <v>0</v>
      </c>
      <c r="AK896" s="284" t="n">
        <f aca="false">IFERROR(($J896*X896)*$L896, "")</f>
        <v>0</v>
      </c>
      <c r="AL896" s="284" t="n">
        <f aca="false">IFERROR(($J896*Y896)*$L896, "")</f>
        <v>0</v>
      </c>
      <c r="AM896" s="285" t="n">
        <f aca="false">IFERROR(($J896*Z896)*$L896, "")</f>
        <v>0</v>
      </c>
      <c r="AN896" s="286" t="n">
        <f aca="false">IFERROR(SUMIF($AB$4:$AM$4, "RDEC", AB896:AM896), "")</f>
        <v>0</v>
      </c>
      <c r="AO896" s="286" t="n">
        <f aca="false">IFERROR(SUMIF($AB$4:$AM$4, "SME", AB896:AM896), "")</f>
        <v>0</v>
      </c>
      <c r="AP896" s="286" t="n">
        <f aca="false">IFERROR(SUMIF($AB$4:$AM$4, "De Minimis", AB896:AM896), "")</f>
        <v>0</v>
      </c>
      <c r="AQ896" s="283"/>
      <c r="AR896" s="284" t="n">
        <f aca="false">IFERROR(($J896*O896)*$M896, "")</f>
        <v>0</v>
      </c>
      <c r="AS896" s="284" t="n">
        <f aca="false">IFERROR(($J896*P896)*$M896, "")</f>
        <v>0</v>
      </c>
      <c r="AT896" s="284" t="n">
        <f aca="false">IFERROR(($J896*Q896)*$M896, "")</f>
        <v>0</v>
      </c>
      <c r="AU896" s="284" t="n">
        <f aca="false">IFERROR(($J896*R896)*$M896, "")</f>
        <v>0</v>
      </c>
      <c r="AV896" s="284" t="n">
        <f aca="false">IFERROR(($J896*S896)*$M896, "")</f>
        <v>0</v>
      </c>
      <c r="AW896" s="284" t="n">
        <f aca="false">IFERROR(($J896*T896)*$M896, "")</f>
        <v>0</v>
      </c>
      <c r="AX896" s="284" t="n">
        <f aca="false">IFERROR(($J896*U896)*$M896, "")</f>
        <v>0</v>
      </c>
      <c r="AY896" s="284" t="n">
        <f aca="false">IFERROR(($J896*V896)*$M896, "")</f>
        <v>0</v>
      </c>
      <c r="AZ896" s="284" t="n">
        <f aca="false">IFERROR(($J896*W896)*$M896, "")</f>
        <v>0</v>
      </c>
      <c r="BA896" s="284" t="n">
        <f aca="false">IFERROR(($J896*X896)*$M896, "")</f>
        <v>0</v>
      </c>
      <c r="BB896" s="284" t="n">
        <f aca="false">IFERROR(($J896*Y896)*$M896, "")</f>
        <v>0</v>
      </c>
      <c r="BC896" s="285" t="n">
        <f aca="false">IFERROR(($J896*Z896)*$M896, "")</f>
        <v>0</v>
      </c>
      <c r="BD896" s="286" t="n">
        <f aca="false">IFERROR(SUMIF($AB$4:$AM$4, "RDEC", AR896:BC896), "")</f>
        <v>0</v>
      </c>
      <c r="BE896" s="286" t="n">
        <f aca="false">IFERROR(SUMIF($AB$4:$AM$4, "SME", AR896:BC896), "")</f>
        <v>0</v>
      </c>
      <c r="BF896" s="286" t="n">
        <f aca="false">IFERROR(SUMIF($AB$4:$AM$4, "De Minimis", AR896:BC896), "")</f>
        <v>0</v>
      </c>
      <c r="BG896" s="287"/>
      <c r="BH896" s="288" t="str">
        <f aca="false">IF((SUM(O896:Z896)&gt;1),"ERROR","")</f>
        <v/>
      </c>
      <c r="BI896" s="287"/>
      <c r="BJ896" s="18" t="str">
        <f aca="false">IF(C882&gt;0, C882, "")</f>
        <v/>
      </c>
      <c r="BL896" s="200"/>
      <c r="BM896" s="200"/>
      <c r="BN896" s="200"/>
    </row>
    <row r="897" customFormat="false" ht="15" hidden="false" customHeight="true" outlineLevel="0" collapsed="false">
      <c r="B897" s="275"/>
      <c r="D897" s="276" t="n">
        <f aca="false">D881</f>
        <v>45566</v>
      </c>
      <c r="E897" s="277" t="n">
        <v>0</v>
      </c>
      <c r="F897" s="277" t="n">
        <v>0</v>
      </c>
      <c r="G897" s="277" t="n">
        <v>0</v>
      </c>
      <c r="H897" s="277" t="n">
        <v>0</v>
      </c>
      <c r="I897" s="277" t="n">
        <v>0</v>
      </c>
      <c r="J897" s="278" t="n">
        <f aca="false">E897+H897+I897</f>
        <v>0</v>
      </c>
      <c r="K897" s="204"/>
      <c r="L897" s="279" t="n">
        <v>1</v>
      </c>
      <c r="M897" s="280" t="n">
        <f aca="false">1-L897</f>
        <v>0</v>
      </c>
      <c r="N897" s="281"/>
      <c r="O897" s="282"/>
      <c r="P897" s="282"/>
      <c r="Q897" s="282"/>
      <c r="R897" s="282"/>
      <c r="S897" s="282"/>
      <c r="T897" s="282"/>
      <c r="U897" s="282"/>
      <c r="V897" s="282"/>
      <c r="W897" s="282"/>
      <c r="X897" s="282"/>
      <c r="Y897" s="282"/>
      <c r="Z897" s="282"/>
      <c r="AA897" s="283"/>
      <c r="AB897" s="284" t="n">
        <f aca="false">IFERROR(($J897*O897)*$L897, "")</f>
        <v>0</v>
      </c>
      <c r="AC897" s="284" t="n">
        <f aca="false">IFERROR(($J897*P897)*$L897, "")</f>
        <v>0</v>
      </c>
      <c r="AD897" s="284" t="n">
        <f aca="false">IFERROR(($J897*Q897)*$L897, "")</f>
        <v>0</v>
      </c>
      <c r="AE897" s="284" t="n">
        <f aca="false">IFERROR(($J897*R897)*$L897, "")</f>
        <v>0</v>
      </c>
      <c r="AF897" s="284" t="n">
        <f aca="false">IFERROR(($J897*S897)*$L897, "")</f>
        <v>0</v>
      </c>
      <c r="AG897" s="284" t="n">
        <f aca="false">IFERROR(($J897*T897)*$L897, "")</f>
        <v>0</v>
      </c>
      <c r="AH897" s="284" t="n">
        <f aca="false">IFERROR(($J897*U897)*$L897, "")</f>
        <v>0</v>
      </c>
      <c r="AI897" s="284" t="n">
        <f aca="false">IFERROR(($J897*V897)*$L897, "")</f>
        <v>0</v>
      </c>
      <c r="AJ897" s="284" t="n">
        <f aca="false">IFERROR(($J897*W897)*$L897, "")</f>
        <v>0</v>
      </c>
      <c r="AK897" s="284" t="n">
        <f aca="false">IFERROR(($J897*X897)*$L897, "")</f>
        <v>0</v>
      </c>
      <c r="AL897" s="284" t="n">
        <f aca="false">IFERROR(($J897*Y897)*$L897, "")</f>
        <v>0</v>
      </c>
      <c r="AM897" s="285" t="n">
        <f aca="false">IFERROR(($J897*Z897)*$L897, "")</f>
        <v>0</v>
      </c>
      <c r="AN897" s="286" t="n">
        <f aca="false">IFERROR(SUMIF($AB$4:$AM$4, "RDEC", AB897:AM897), "")</f>
        <v>0</v>
      </c>
      <c r="AO897" s="286" t="n">
        <f aca="false">IFERROR(SUMIF($AB$4:$AM$4, "SME", AB897:AM897), "")</f>
        <v>0</v>
      </c>
      <c r="AP897" s="286" t="n">
        <f aca="false">IFERROR(SUMIF($AB$4:$AM$4, "De Minimis", AB897:AM897), "")</f>
        <v>0</v>
      </c>
      <c r="AQ897" s="283"/>
      <c r="AR897" s="284" t="n">
        <f aca="false">IFERROR(($J897*O897)*$M897, "")</f>
        <v>0</v>
      </c>
      <c r="AS897" s="284" t="n">
        <f aca="false">IFERROR(($J897*P897)*$M897, "")</f>
        <v>0</v>
      </c>
      <c r="AT897" s="284" t="n">
        <f aca="false">IFERROR(($J897*Q897)*$M897, "")</f>
        <v>0</v>
      </c>
      <c r="AU897" s="284" t="n">
        <f aca="false">IFERROR(($J897*R897)*$M897, "")</f>
        <v>0</v>
      </c>
      <c r="AV897" s="284" t="n">
        <f aca="false">IFERROR(($J897*S897)*$M897, "")</f>
        <v>0</v>
      </c>
      <c r="AW897" s="284" t="n">
        <f aca="false">IFERROR(($J897*T897)*$M897, "")</f>
        <v>0</v>
      </c>
      <c r="AX897" s="284" t="n">
        <f aca="false">IFERROR(($J897*U897)*$M897, "")</f>
        <v>0</v>
      </c>
      <c r="AY897" s="284" t="n">
        <f aca="false">IFERROR(($J897*V897)*$M897, "")</f>
        <v>0</v>
      </c>
      <c r="AZ897" s="284" t="n">
        <f aca="false">IFERROR(($J897*W897)*$M897, "")</f>
        <v>0</v>
      </c>
      <c r="BA897" s="284" t="n">
        <f aca="false">IFERROR(($J897*X897)*$M897, "")</f>
        <v>0</v>
      </c>
      <c r="BB897" s="284" t="n">
        <f aca="false">IFERROR(($J897*Y897)*$M897, "")</f>
        <v>0</v>
      </c>
      <c r="BC897" s="285" t="n">
        <f aca="false">IFERROR(($J897*Z897)*$M897, "")</f>
        <v>0</v>
      </c>
      <c r="BD897" s="286" t="n">
        <f aca="false">IFERROR(SUMIF($AB$4:$AM$4, "RDEC", AR897:BC897), "")</f>
        <v>0</v>
      </c>
      <c r="BE897" s="286" t="n">
        <f aca="false">IFERROR(SUMIF($AB$4:$AM$4, "SME", AR897:BC897), "")</f>
        <v>0</v>
      </c>
      <c r="BF897" s="286" t="n">
        <f aca="false">IFERROR(SUMIF($AB$4:$AM$4, "De Minimis", AR897:BC897), "")</f>
        <v>0</v>
      </c>
      <c r="BG897" s="287"/>
      <c r="BH897" s="288" t="str">
        <f aca="false">IF((SUM(O897:Z897)&gt;1),"ERROR","")</f>
        <v/>
      </c>
      <c r="BI897" s="287"/>
      <c r="BJ897" s="18" t="str">
        <f aca="false">IF(C883&gt;0, C883, "")</f>
        <v/>
      </c>
      <c r="BL897" s="200"/>
      <c r="BM897" s="200"/>
      <c r="BN897" s="200"/>
    </row>
    <row r="898" customFormat="false" ht="15" hidden="false" customHeight="true" outlineLevel="0" collapsed="false">
      <c r="B898" s="275"/>
      <c r="D898" s="276" t="n">
        <f aca="false">D882</f>
        <v>45597</v>
      </c>
      <c r="E898" s="277" t="n">
        <v>0</v>
      </c>
      <c r="F898" s="277" t="n">
        <v>0</v>
      </c>
      <c r="G898" s="277" t="n">
        <v>0</v>
      </c>
      <c r="H898" s="277" t="n">
        <v>0</v>
      </c>
      <c r="I898" s="277" t="n">
        <v>0</v>
      </c>
      <c r="J898" s="278" t="n">
        <f aca="false">E898+H898+I898</f>
        <v>0</v>
      </c>
      <c r="K898" s="204"/>
      <c r="L898" s="279" t="n">
        <v>1</v>
      </c>
      <c r="M898" s="280" t="n">
        <f aca="false">1-L898</f>
        <v>0</v>
      </c>
      <c r="N898" s="281"/>
      <c r="O898" s="282"/>
      <c r="P898" s="282"/>
      <c r="Q898" s="282"/>
      <c r="R898" s="282"/>
      <c r="S898" s="282"/>
      <c r="T898" s="282"/>
      <c r="U898" s="282"/>
      <c r="V898" s="282"/>
      <c r="W898" s="282"/>
      <c r="X898" s="282"/>
      <c r="Y898" s="282"/>
      <c r="Z898" s="282"/>
      <c r="AA898" s="283"/>
      <c r="AB898" s="284" t="n">
        <f aca="false">IFERROR(($J898*O898)*$L898, "")</f>
        <v>0</v>
      </c>
      <c r="AC898" s="284" t="n">
        <f aca="false">IFERROR(($J898*P898)*$L898, "")</f>
        <v>0</v>
      </c>
      <c r="AD898" s="284" t="n">
        <f aca="false">IFERROR(($J898*Q898)*$L898, "")</f>
        <v>0</v>
      </c>
      <c r="AE898" s="284" t="n">
        <f aca="false">IFERROR(($J898*R898)*$L898, "")</f>
        <v>0</v>
      </c>
      <c r="AF898" s="284" t="n">
        <f aca="false">IFERROR(($J898*S898)*$L898, "")</f>
        <v>0</v>
      </c>
      <c r="AG898" s="284" t="n">
        <f aca="false">IFERROR(($J898*T898)*$L898, "")</f>
        <v>0</v>
      </c>
      <c r="AH898" s="284" t="n">
        <f aca="false">IFERROR(($J898*U898)*$L898, "")</f>
        <v>0</v>
      </c>
      <c r="AI898" s="284" t="n">
        <f aca="false">IFERROR(($J898*V898)*$L898, "")</f>
        <v>0</v>
      </c>
      <c r="AJ898" s="284" t="n">
        <f aca="false">IFERROR(($J898*W898)*$L898, "")</f>
        <v>0</v>
      </c>
      <c r="AK898" s="284" t="n">
        <f aca="false">IFERROR(($J898*X898)*$L898, "")</f>
        <v>0</v>
      </c>
      <c r="AL898" s="284" t="n">
        <f aca="false">IFERROR(($J898*Y898)*$L898, "")</f>
        <v>0</v>
      </c>
      <c r="AM898" s="285" t="n">
        <f aca="false">IFERROR(($J898*Z898)*$L898, "")</f>
        <v>0</v>
      </c>
      <c r="AN898" s="286" t="n">
        <f aca="false">IFERROR(SUMIF($AB$4:$AM$4, "RDEC", AB898:AM898), "")</f>
        <v>0</v>
      </c>
      <c r="AO898" s="286" t="n">
        <f aca="false">IFERROR(SUMIF($AB$4:$AM$4, "SME", AB898:AM898), "")</f>
        <v>0</v>
      </c>
      <c r="AP898" s="286" t="n">
        <f aca="false">IFERROR(SUMIF($AB$4:$AM$4, "De Minimis", AB898:AM898), "")</f>
        <v>0</v>
      </c>
      <c r="AQ898" s="283"/>
      <c r="AR898" s="284" t="n">
        <f aca="false">IFERROR(($J898*O898)*$M898, "")</f>
        <v>0</v>
      </c>
      <c r="AS898" s="284" t="n">
        <f aca="false">IFERROR(($J898*P898)*$M898, "")</f>
        <v>0</v>
      </c>
      <c r="AT898" s="284" t="n">
        <f aca="false">IFERROR(($J898*Q898)*$M898, "")</f>
        <v>0</v>
      </c>
      <c r="AU898" s="284" t="n">
        <f aca="false">IFERROR(($J898*R898)*$M898, "")</f>
        <v>0</v>
      </c>
      <c r="AV898" s="284" t="n">
        <f aca="false">IFERROR(($J898*S898)*$M898, "")</f>
        <v>0</v>
      </c>
      <c r="AW898" s="284" t="n">
        <f aca="false">IFERROR(($J898*T898)*$M898, "")</f>
        <v>0</v>
      </c>
      <c r="AX898" s="284" t="n">
        <f aca="false">IFERROR(($J898*U898)*$M898, "")</f>
        <v>0</v>
      </c>
      <c r="AY898" s="284" t="n">
        <f aca="false">IFERROR(($J898*V898)*$M898, "")</f>
        <v>0</v>
      </c>
      <c r="AZ898" s="284" t="n">
        <f aca="false">IFERROR(($J898*W898)*$M898, "")</f>
        <v>0</v>
      </c>
      <c r="BA898" s="284" t="n">
        <f aca="false">IFERROR(($J898*X898)*$M898, "")</f>
        <v>0</v>
      </c>
      <c r="BB898" s="284" t="n">
        <f aca="false">IFERROR(($J898*Y898)*$M898, "")</f>
        <v>0</v>
      </c>
      <c r="BC898" s="285" t="n">
        <f aca="false">IFERROR(($J898*Z898)*$M898, "")</f>
        <v>0</v>
      </c>
      <c r="BD898" s="286" t="n">
        <f aca="false">IFERROR(SUMIF($AB$4:$AM$4, "RDEC", AR898:BC898), "")</f>
        <v>0</v>
      </c>
      <c r="BE898" s="286" t="n">
        <f aca="false">IFERROR(SUMIF($AB$4:$AM$4, "SME", AR898:BC898), "")</f>
        <v>0</v>
      </c>
      <c r="BF898" s="286" t="n">
        <f aca="false">IFERROR(SUMIF($AB$4:$AM$4, "De Minimis", AR898:BC898), "")</f>
        <v>0</v>
      </c>
      <c r="BG898" s="287"/>
      <c r="BH898" s="288" t="str">
        <f aca="false">IF((SUM(O898:Z898)&gt;1),"ERROR","")</f>
        <v/>
      </c>
      <c r="BI898" s="287"/>
      <c r="BJ898" s="18" t="str">
        <f aca="false">IF(C884&gt;0, C884, "")</f>
        <v/>
      </c>
      <c r="BL898" s="200"/>
      <c r="BM898" s="200"/>
      <c r="BN898" s="200"/>
    </row>
    <row r="899" customFormat="false" ht="15" hidden="false" customHeight="true" outlineLevel="0" collapsed="false">
      <c r="B899" s="275"/>
      <c r="D899" s="276" t="n">
        <f aca="false">D883</f>
        <v>45627</v>
      </c>
      <c r="E899" s="277" t="n">
        <v>0</v>
      </c>
      <c r="F899" s="277" t="n">
        <v>0</v>
      </c>
      <c r="G899" s="277" t="n">
        <v>0</v>
      </c>
      <c r="H899" s="277" t="n">
        <v>0</v>
      </c>
      <c r="I899" s="277" t="n">
        <v>0</v>
      </c>
      <c r="J899" s="278" t="n">
        <f aca="false">E899+H899+I899</f>
        <v>0</v>
      </c>
      <c r="K899" s="204"/>
      <c r="L899" s="289" t="n">
        <v>1</v>
      </c>
      <c r="M899" s="290" t="n">
        <f aca="false">1-L899</f>
        <v>0</v>
      </c>
      <c r="N899" s="281"/>
      <c r="O899" s="291"/>
      <c r="P899" s="291"/>
      <c r="Q899" s="291"/>
      <c r="R899" s="291"/>
      <c r="S899" s="291"/>
      <c r="T899" s="291"/>
      <c r="U899" s="291"/>
      <c r="V899" s="291"/>
      <c r="W899" s="291"/>
      <c r="X899" s="291"/>
      <c r="Y899" s="291"/>
      <c r="Z899" s="291"/>
      <c r="AA899" s="283"/>
      <c r="AB899" s="292" t="n">
        <f aca="false">IFERROR(($J899*O899)*$L899, "")</f>
        <v>0</v>
      </c>
      <c r="AC899" s="292" t="n">
        <f aca="false">IFERROR(($J899*P899)*$L899, "")</f>
        <v>0</v>
      </c>
      <c r="AD899" s="292" t="n">
        <f aca="false">IFERROR(($J899*Q899)*$L899, "")</f>
        <v>0</v>
      </c>
      <c r="AE899" s="292" t="n">
        <f aca="false">IFERROR(($J899*R899)*$L899, "")</f>
        <v>0</v>
      </c>
      <c r="AF899" s="292" t="n">
        <f aca="false">IFERROR(($J899*S899)*$L899, "")</f>
        <v>0</v>
      </c>
      <c r="AG899" s="292" t="n">
        <f aca="false">IFERROR(($J899*T899)*$L899, "")</f>
        <v>0</v>
      </c>
      <c r="AH899" s="292" t="n">
        <f aca="false">IFERROR(($J899*U899)*$L899, "")</f>
        <v>0</v>
      </c>
      <c r="AI899" s="292" t="n">
        <f aca="false">IFERROR(($J899*V899)*$L899, "")</f>
        <v>0</v>
      </c>
      <c r="AJ899" s="292" t="n">
        <f aca="false">IFERROR(($J899*W899)*$L899, "")</f>
        <v>0</v>
      </c>
      <c r="AK899" s="292" t="n">
        <f aca="false">IFERROR(($J899*X899)*$L899, "")</f>
        <v>0</v>
      </c>
      <c r="AL899" s="292" t="n">
        <f aca="false">IFERROR(($J899*Y899)*$L899, "")</f>
        <v>0</v>
      </c>
      <c r="AM899" s="293" t="n">
        <f aca="false">IFERROR(($J899*Z899)*$L899, "")</f>
        <v>0</v>
      </c>
      <c r="AN899" s="294" t="n">
        <f aca="false">IFERROR(SUMIF($AB$4:$AM$4, "RDEC", AB899:AM899), "")</f>
        <v>0</v>
      </c>
      <c r="AO899" s="294" t="n">
        <f aca="false">IFERROR(SUMIF($AB$4:$AM$4, "SME", AB899:AM899), "")</f>
        <v>0</v>
      </c>
      <c r="AP899" s="294" t="n">
        <f aca="false">IFERROR(SUMIF($AB$4:$AM$4, "De Minimis", AB899:AM899), "")</f>
        <v>0</v>
      </c>
      <c r="AQ899" s="283"/>
      <c r="AR899" s="292" t="n">
        <f aca="false">IFERROR(($J899*O899)*$M899, "")</f>
        <v>0</v>
      </c>
      <c r="AS899" s="292" t="n">
        <f aca="false">IFERROR(($J899*P899)*$M899, "")</f>
        <v>0</v>
      </c>
      <c r="AT899" s="292" t="n">
        <f aca="false">IFERROR(($J899*Q899)*$M899, "")</f>
        <v>0</v>
      </c>
      <c r="AU899" s="292" t="n">
        <f aca="false">IFERROR(($J899*R899)*$M899, "")</f>
        <v>0</v>
      </c>
      <c r="AV899" s="292" t="n">
        <f aca="false">IFERROR(($J899*S899)*$M899, "")</f>
        <v>0</v>
      </c>
      <c r="AW899" s="292" t="n">
        <f aca="false">IFERROR(($J899*T899)*$M899, "")</f>
        <v>0</v>
      </c>
      <c r="AX899" s="292" t="n">
        <f aca="false">IFERROR(($J899*U899)*$M899, "")</f>
        <v>0</v>
      </c>
      <c r="AY899" s="292" t="n">
        <f aca="false">IFERROR(($J899*V899)*$M899, "")</f>
        <v>0</v>
      </c>
      <c r="AZ899" s="292" t="n">
        <f aca="false">IFERROR(($J899*W899)*$M899, "")</f>
        <v>0</v>
      </c>
      <c r="BA899" s="292" t="n">
        <f aca="false">IFERROR(($J899*X899)*$M899, "")</f>
        <v>0</v>
      </c>
      <c r="BB899" s="292" t="n">
        <f aca="false">IFERROR(($J899*Y899)*$M899, "")</f>
        <v>0</v>
      </c>
      <c r="BC899" s="293" t="n">
        <f aca="false">IFERROR(($J899*Z899)*$M899, "")</f>
        <v>0</v>
      </c>
      <c r="BD899" s="294" t="n">
        <f aca="false">IFERROR(SUMIF($AB$4:$AM$4, "RDEC", AR899:BC899), "")</f>
        <v>0</v>
      </c>
      <c r="BE899" s="294" t="n">
        <f aca="false">IFERROR(SUMIF($AB$4:$AM$4, "SME", AR899:BC899), "")</f>
        <v>0</v>
      </c>
      <c r="BF899" s="294" t="n">
        <f aca="false">IFERROR(SUMIF($AB$4:$AM$4, "De Minimis", AR899:BC899), "")</f>
        <v>0</v>
      </c>
      <c r="BG899" s="287"/>
      <c r="BH899" s="295" t="str">
        <f aca="false">IF((SUM(O899:Z899)&gt;1),"ERROR","")</f>
        <v/>
      </c>
      <c r="BI899" s="287"/>
      <c r="BJ899" s="18" t="str">
        <f aca="false">IF(C885&gt;0, C885, "")</f>
        <v/>
      </c>
      <c r="BL899" s="200"/>
      <c r="BM899" s="200"/>
      <c r="BN899" s="200"/>
    </row>
    <row r="900" customFormat="false" ht="15" hidden="false" customHeight="true" outlineLevel="0" collapsed="false">
      <c r="B900" s="296"/>
      <c r="D900" s="297" t="s">
        <v>82</v>
      </c>
      <c r="E900" s="298" t="n">
        <f aca="false">SUM(E888:E899)</f>
        <v>0</v>
      </c>
      <c r="F900" s="298" t="n">
        <f aca="false">SUM(F888:F899)</f>
        <v>0</v>
      </c>
      <c r="G900" s="298" t="n">
        <f aca="false">SUM(G888:G899)</f>
        <v>0</v>
      </c>
      <c r="H900" s="298" t="n">
        <f aca="false">SUM(H888:H899)</f>
        <v>0</v>
      </c>
      <c r="I900" s="298" t="n">
        <f aca="false">SUM(I888:I899)</f>
        <v>0</v>
      </c>
      <c r="J900" s="299" t="n">
        <f aca="false">SUM(J888:J899)</f>
        <v>0</v>
      </c>
      <c r="K900" s="300"/>
      <c r="L900" s="301" t="n">
        <f aca="false">AVERAGE(L888:L899)</f>
        <v>1</v>
      </c>
      <c r="M900" s="301" t="n">
        <f aca="false">AVERAGE(M888:M899)</f>
        <v>0</v>
      </c>
      <c r="N900" s="302"/>
      <c r="O900" s="290" t="n">
        <f aca="false">IF(SUM(O888:O899)&gt;0,((AB900+AR900)/J900),0)</f>
        <v>0</v>
      </c>
      <c r="P900" s="290" t="n">
        <f aca="false">IF(SUM(P888:P899)&gt;0,((AC900+AS900)/J900),0)</f>
        <v>0</v>
      </c>
      <c r="Q900" s="290" t="n">
        <f aca="false">IF(SUM(Q888:Q899)&gt;0,((AD900+AT900)/J900),0)</f>
        <v>0</v>
      </c>
      <c r="R900" s="290" t="n">
        <f aca="false">IF(SUM(R888:R899)&gt;0,((AE900+AU900)/J900),0)</f>
        <v>0</v>
      </c>
      <c r="S900" s="290" t="n">
        <f aca="false">IF(SUM(S888:S899)&gt;0,((AF900+AV900)/J900),0)</f>
        <v>0</v>
      </c>
      <c r="T900" s="290" t="n">
        <f aca="false">IF(SUM(T888:T899)&gt;0,((AG900+AW900)/J900),0)</f>
        <v>0</v>
      </c>
      <c r="U900" s="290" t="n">
        <f aca="false">IF(SUM(U888:U899)&gt;0,((AH900+AX900)/J900),0)</f>
        <v>0</v>
      </c>
      <c r="V900" s="290" t="n">
        <f aca="false">IF(SUM(V888:V899)&gt;0,((AI900+AY900)/J900),0)</f>
        <v>0</v>
      </c>
      <c r="W900" s="290" t="n">
        <f aca="false">IF(SUM(W888:W899)&gt;0,((AJ900+AZ900)/J900),0)</f>
        <v>0</v>
      </c>
      <c r="X900" s="290" t="n">
        <f aca="false">IF(SUM(X888:X899)&gt;0,((AK900+BA900)/J900),0)</f>
        <v>0</v>
      </c>
      <c r="Y900" s="290" t="n">
        <f aca="false">IF(SUM(Y888:Y899)&gt;0,((AL900+BB900)/J900),0)</f>
        <v>0</v>
      </c>
      <c r="Z900" s="290" t="n">
        <f aca="false">IF(SUM(Z888:Z899)&gt;0,((AM900+BC900)/J900),0)</f>
        <v>0</v>
      </c>
      <c r="AA900" s="303"/>
      <c r="AB900" s="292" t="n">
        <f aca="false">SUM(AB888:AB899)</f>
        <v>0</v>
      </c>
      <c r="AC900" s="304" t="n">
        <f aca="false">SUM(AC888:AC899)</f>
        <v>0</v>
      </c>
      <c r="AD900" s="304" t="n">
        <f aca="false">SUM(AD888:AD899)</f>
        <v>0</v>
      </c>
      <c r="AE900" s="304" t="n">
        <f aca="false">SUM(AE888:AE899)</f>
        <v>0</v>
      </c>
      <c r="AF900" s="304" t="n">
        <f aca="false">SUM(AF888:AF899)</f>
        <v>0</v>
      </c>
      <c r="AG900" s="304" t="n">
        <f aca="false">SUM(AG888:AG899)</f>
        <v>0</v>
      </c>
      <c r="AH900" s="304" t="n">
        <f aca="false">SUM(AH888:AH899)</f>
        <v>0</v>
      </c>
      <c r="AI900" s="304" t="n">
        <f aca="false">SUM(AI888:AI899)</f>
        <v>0</v>
      </c>
      <c r="AJ900" s="304" t="n">
        <f aca="false">SUM(AJ888:AJ899)</f>
        <v>0</v>
      </c>
      <c r="AK900" s="304" t="n">
        <f aca="false">SUM(AK888:AK899)</f>
        <v>0</v>
      </c>
      <c r="AL900" s="304" t="n">
        <f aca="false">SUM(AL888:AL899)</f>
        <v>0</v>
      </c>
      <c r="AM900" s="304" t="n">
        <f aca="false">SUM(AM888:AM899)</f>
        <v>0</v>
      </c>
      <c r="AN900" s="305" t="n">
        <f aca="false">SUM(AN888:AN899)</f>
        <v>0</v>
      </c>
      <c r="AO900" s="305" t="n">
        <f aca="false">SUM(AO888:AO899)</f>
        <v>0</v>
      </c>
      <c r="AP900" s="305" t="n">
        <f aca="false">SUM(AP888:AP899)</f>
        <v>0</v>
      </c>
      <c r="AQ900" s="303"/>
      <c r="AR900" s="292" t="n">
        <f aca="false">SUM(AR888:AR899)</f>
        <v>0</v>
      </c>
      <c r="AS900" s="304" t="n">
        <f aca="false">SUM(AS888:AS899)</f>
        <v>0</v>
      </c>
      <c r="AT900" s="304" t="n">
        <f aca="false">SUM(AT888:AT899)</f>
        <v>0</v>
      </c>
      <c r="AU900" s="304" t="n">
        <f aca="false">SUM(AU888:AU899)</f>
        <v>0</v>
      </c>
      <c r="AV900" s="304" t="n">
        <f aca="false">SUM(AV888:AV899)</f>
        <v>0</v>
      </c>
      <c r="AW900" s="304" t="n">
        <f aca="false">SUM(AW888:AW899)</f>
        <v>0</v>
      </c>
      <c r="AX900" s="304" t="n">
        <f aca="false">SUM(AX888:AX899)</f>
        <v>0</v>
      </c>
      <c r="AY900" s="304" t="n">
        <f aca="false">SUM(AY888:AY899)</f>
        <v>0</v>
      </c>
      <c r="AZ900" s="304" t="n">
        <f aca="false">SUM(AZ888:AZ899)</f>
        <v>0</v>
      </c>
      <c r="BA900" s="304" t="n">
        <f aca="false">SUM(BA888:BA899)</f>
        <v>0</v>
      </c>
      <c r="BB900" s="304" t="n">
        <f aca="false">SUM(BB888:BB899)</f>
        <v>0</v>
      </c>
      <c r="BC900" s="304" t="n">
        <f aca="false">SUM(BC888:BC899)</f>
        <v>0</v>
      </c>
      <c r="BD900" s="305" t="n">
        <f aca="false">SUM(BD888:BD899)</f>
        <v>0</v>
      </c>
      <c r="BE900" s="305" t="n">
        <f aca="false">SUM(BE888:BE899)</f>
        <v>0</v>
      </c>
      <c r="BF900" s="305" t="n">
        <f aca="false">SUM(BF888:BF899)</f>
        <v>0</v>
      </c>
      <c r="BG900" s="303"/>
      <c r="BH900" s="306"/>
      <c r="BI900" s="303"/>
      <c r="BJ900" s="307" t="str">
        <f aca="false">IF(C886&gt;0, C886, "")</f>
        <v>TBA</v>
      </c>
      <c r="BK900" s="18" t="s">
        <v>234</v>
      </c>
      <c r="BL900" s="200" t="n">
        <f aca="false">IF($BK900="Y",J900,0)</f>
        <v>0</v>
      </c>
      <c r="BM900" s="200" t="n">
        <f aca="false">IF(BK900="Y", AN900,0)</f>
        <v>0</v>
      </c>
      <c r="BN900" s="200" t="n">
        <f aca="false">IF((BK900="Y"),AO900,0)</f>
        <v>0</v>
      </c>
    </row>
    <row r="901" customFormat="false" ht="15" hidden="false" customHeight="true" outlineLevel="0" collapsed="false">
      <c r="B901" s="296"/>
      <c r="D901" s="297"/>
      <c r="E901" s="277"/>
      <c r="F901" s="277"/>
      <c r="G901" s="277"/>
      <c r="H901" s="277"/>
      <c r="I901" s="277"/>
      <c r="J901" s="300"/>
      <c r="K901" s="300"/>
      <c r="L901" s="302"/>
      <c r="M901" s="302"/>
      <c r="N901" s="302"/>
      <c r="O901" s="308"/>
      <c r="P901" s="308"/>
      <c r="Q901" s="308"/>
      <c r="R901" s="308"/>
      <c r="S901" s="308"/>
      <c r="T901" s="308"/>
      <c r="U901" s="308"/>
      <c r="V901" s="308"/>
      <c r="W901" s="308"/>
      <c r="X901" s="308"/>
      <c r="Y901" s="308"/>
      <c r="Z901" s="308"/>
      <c r="AA901" s="303"/>
      <c r="AB901" s="303"/>
      <c r="AC901" s="303"/>
      <c r="AD901" s="303"/>
      <c r="AE901" s="303"/>
      <c r="AF901" s="303"/>
      <c r="AG901" s="303"/>
      <c r="AH901" s="303"/>
      <c r="AI901" s="303"/>
      <c r="AJ901" s="303"/>
      <c r="AK901" s="303"/>
      <c r="AL901" s="303"/>
      <c r="AM901" s="303"/>
      <c r="AN901" s="303"/>
      <c r="AO901" s="303"/>
      <c r="AP901" s="303"/>
      <c r="AQ901" s="303"/>
      <c r="AR901" s="303"/>
      <c r="AS901" s="303"/>
      <c r="AT901" s="303"/>
      <c r="AU901" s="303"/>
      <c r="AV901" s="303"/>
      <c r="AW901" s="303"/>
      <c r="AX901" s="303"/>
      <c r="AY901" s="303"/>
      <c r="AZ901" s="303"/>
      <c r="BA901" s="303"/>
      <c r="BB901" s="303"/>
      <c r="BC901" s="303"/>
      <c r="BD901" s="303"/>
      <c r="BE901" s="303"/>
      <c r="BF901" s="303"/>
      <c r="BG901" s="303"/>
      <c r="BH901" s="303"/>
      <c r="BI901" s="303"/>
      <c r="BJ901" s="307" t="str">
        <f aca="false">IF(C888&gt;0, C888, "")</f>
        <v/>
      </c>
      <c r="BL901" s="200"/>
      <c r="BM901" s="200"/>
      <c r="BN901" s="200"/>
    </row>
    <row r="902" customFormat="false" ht="15" hidden="false" customHeight="true" outlineLevel="0" collapsed="false">
      <c r="A902" s="198"/>
      <c r="B902" s="266"/>
      <c r="C902" s="266"/>
      <c r="D902" s="267"/>
      <c r="E902" s="242"/>
      <c r="F902" s="242"/>
      <c r="G902" s="242"/>
      <c r="H902" s="242"/>
      <c r="I902" s="242"/>
      <c r="J902" s="241"/>
      <c r="K902" s="241"/>
      <c r="L902" s="241"/>
      <c r="M902" s="241"/>
      <c r="N902" s="241"/>
      <c r="O902" s="268"/>
      <c r="P902" s="268"/>
      <c r="Q902" s="268"/>
      <c r="R902" s="268"/>
      <c r="S902" s="268"/>
      <c r="T902" s="268"/>
      <c r="U902" s="268"/>
      <c r="V902" s="268"/>
      <c r="W902" s="268"/>
      <c r="X902" s="268"/>
      <c r="Y902" s="268"/>
      <c r="Z902" s="268"/>
      <c r="AA902" s="268"/>
      <c r="AB902" s="268"/>
      <c r="AC902" s="268"/>
      <c r="AD902" s="268"/>
      <c r="AE902" s="268"/>
      <c r="AF902" s="268"/>
      <c r="AG902" s="268"/>
      <c r="AH902" s="268"/>
      <c r="AI902" s="268"/>
      <c r="AJ902" s="268"/>
      <c r="AK902" s="268"/>
      <c r="AL902" s="268"/>
      <c r="AM902" s="268"/>
      <c r="AN902" s="268"/>
      <c r="AO902" s="268"/>
      <c r="AP902" s="268"/>
      <c r="AQ902" s="268"/>
      <c r="AR902" s="268"/>
      <c r="AS902" s="268"/>
      <c r="AT902" s="268"/>
      <c r="AU902" s="268"/>
      <c r="AV902" s="268"/>
      <c r="AW902" s="268"/>
      <c r="AX902" s="268"/>
      <c r="AY902" s="268"/>
      <c r="AZ902" s="268"/>
      <c r="BA902" s="268"/>
      <c r="BB902" s="268"/>
      <c r="BC902" s="268"/>
      <c r="BD902" s="268"/>
      <c r="BE902" s="268"/>
      <c r="BF902" s="268"/>
      <c r="BG902" s="268"/>
      <c r="BH902" s="268"/>
      <c r="BI902" s="268"/>
      <c r="BL902" s="200"/>
      <c r="BM902" s="200"/>
      <c r="BN902" s="200"/>
    </row>
    <row r="903" customFormat="false" ht="15" hidden="false" customHeight="true" outlineLevel="0" collapsed="false">
      <c r="B903" s="275"/>
      <c r="D903" s="297"/>
      <c r="E903" s="300"/>
      <c r="F903" s="300"/>
      <c r="G903" s="228"/>
      <c r="H903" s="300"/>
      <c r="I903" s="228"/>
      <c r="J903" s="300"/>
      <c r="K903" s="300"/>
      <c r="L903" s="281"/>
      <c r="M903" s="281"/>
      <c r="N903" s="302"/>
      <c r="O903" s="309"/>
      <c r="P903" s="309"/>
      <c r="Q903" s="309"/>
      <c r="R903" s="309"/>
      <c r="S903" s="309"/>
      <c r="T903" s="309"/>
      <c r="U903" s="309"/>
      <c r="V903" s="309"/>
      <c r="W903" s="309"/>
      <c r="X903" s="309"/>
      <c r="Y903" s="309"/>
      <c r="Z903" s="309"/>
      <c r="AA903" s="303"/>
      <c r="AB903" s="303"/>
      <c r="AC903" s="303"/>
      <c r="AD903" s="303"/>
      <c r="AE903" s="303"/>
      <c r="AF903" s="303"/>
      <c r="AG903" s="303"/>
      <c r="AH903" s="303"/>
      <c r="AI903" s="303"/>
      <c r="AJ903" s="303"/>
      <c r="AK903" s="303"/>
      <c r="AL903" s="303"/>
      <c r="AM903" s="303"/>
      <c r="AN903" s="303"/>
      <c r="AO903" s="303"/>
      <c r="AP903" s="303"/>
      <c r="AQ903" s="303"/>
      <c r="AR903" s="303"/>
      <c r="AS903" s="303"/>
      <c r="AT903" s="303"/>
      <c r="AU903" s="303"/>
      <c r="AV903" s="303"/>
      <c r="AW903" s="303"/>
      <c r="AX903" s="303"/>
      <c r="AY903" s="303"/>
      <c r="AZ903" s="303"/>
      <c r="BA903" s="303"/>
      <c r="BB903" s="303"/>
      <c r="BC903" s="303"/>
      <c r="BD903" s="303"/>
      <c r="BE903" s="303"/>
      <c r="BF903" s="303"/>
      <c r="BG903" s="303"/>
      <c r="BH903" s="303"/>
      <c r="BI903" s="303"/>
      <c r="BJ903" s="307" t="str">
        <f aca="false">IF(C889&gt;0, C889, "")</f>
        <v/>
      </c>
      <c r="BL903" s="200"/>
      <c r="BM903" s="200"/>
      <c r="BN903" s="200"/>
    </row>
    <row r="904" customFormat="false" ht="15" hidden="false" customHeight="true" outlineLevel="0" collapsed="false">
      <c r="B904" s="275"/>
      <c r="D904" s="276" t="n">
        <f aca="false">D888</f>
        <v>45292</v>
      </c>
      <c r="E904" s="310" t="n">
        <f aca="false">SUMIF($D$8:$D$903,$D$904,E8:E903)</f>
        <v>53067.49</v>
      </c>
      <c r="F904" s="310" t="n">
        <f aca="false">SUMIF($D$8:$D$903,$D$904,F8:F903)</f>
        <v>14341.95</v>
      </c>
      <c r="G904" s="310" t="n">
        <f aca="false">SUMIF($D$8:$D$903,$D$904,G8:G903)</f>
        <v>3638.73</v>
      </c>
      <c r="H904" s="310" t="n">
        <f aca="false">SUMIF($D$8:$D$903,$D$904,H8:H903)</f>
        <v>6276.83</v>
      </c>
      <c r="I904" s="310" t="n">
        <f aca="false">SUMIF($D$8:$D$903,$D$904,I8:I903)</f>
        <v>2459.59</v>
      </c>
      <c r="J904" s="310" t="n">
        <f aca="false">SUMIF($D$8:$D$903,$D$904,J8:J903)</f>
        <v>61803.91</v>
      </c>
      <c r="K904" s="310"/>
      <c r="L904" s="311"/>
      <c r="M904" s="311"/>
      <c r="N904" s="311"/>
      <c r="O904" s="312"/>
      <c r="P904" s="312"/>
      <c r="Q904" s="312"/>
      <c r="R904" s="312"/>
      <c r="S904" s="312"/>
      <c r="T904" s="312"/>
      <c r="U904" s="312"/>
      <c r="V904" s="312"/>
      <c r="W904" s="312"/>
      <c r="X904" s="312"/>
      <c r="Y904" s="312"/>
      <c r="Z904" s="312"/>
      <c r="AA904" s="313"/>
      <c r="AB904" s="313"/>
      <c r="AC904" s="313"/>
      <c r="AD904" s="313"/>
      <c r="AE904" s="313"/>
      <c r="AF904" s="313"/>
      <c r="AG904" s="313"/>
      <c r="AH904" s="313"/>
      <c r="AI904" s="313"/>
      <c r="AJ904" s="313"/>
      <c r="AK904" s="313"/>
      <c r="AL904" s="313"/>
      <c r="AM904" s="313"/>
      <c r="AN904" s="313"/>
      <c r="AO904" s="313"/>
      <c r="AP904" s="313"/>
      <c r="AQ904" s="313"/>
      <c r="AR904" s="313"/>
      <c r="AS904" s="313"/>
      <c r="AT904" s="313"/>
      <c r="AU904" s="313"/>
      <c r="AV904" s="313"/>
      <c r="AW904" s="313"/>
      <c r="AX904" s="313"/>
      <c r="AY904" s="313"/>
      <c r="AZ904" s="313"/>
      <c r="BA904" s="313"/>
      <c r="BB904" s="313"/>
      <c r="BC904" s="313"/>
      <c r="BD904" s="313"/>
      <c r="BE904" s="313"/>
      <c r="BF904" s="313"/>
      <c r="BG904" s="313"/>
      <c r="BH904" s="313"/>
      <c r="BI904" s="313"/>
      <c r="BL904" s="200"/>
      <c r="BM904" s="200"/>
      <c r="BN904" s="200"/>
    </row>
    <row r="905" customFormat="false" ht="15" hidden="false" customHeight="true" outlineLevel="0" collapsed="false">
      <c r="B905" s="275"/>
      <c r="D905" s="276" t="n">
        <f aca="false">D889</f>
        <v>45323</v>
      </c>
      <c r="E905" s="310" t="n">
        <f aca="false">SUMIF($D$8:$D$903,$D$905,E8:E903)</f>
        <v>52767.19</v>
      </c>
      <c r="F905" s="310" t="n">
        <f aca="false">SUMIF($D$8:$D$903,$D$905,F8:F903)</f>
        <v>14259.29</v>
      </c>
      <c r="G905" s="310" t="n">
        <f aca="false">SUMIF($D$8:$D$903,$D$905,G8:G903)</f>
        <v>3614.7</v>
      </c>
      <c r="H905" s="310" t="n">
        <f aca="false">SUMIF($D$8:$D$903,$D$905,H8:H903)</f>
        <v>6235.37</v>
      </c>
      <c r="I905" s="310" t="n">
        <f aca="false">SUMIF($D$8:$D$903,$D$905,I8:I903)</f>
        <v>2447.04</v>
      </c>
      <c r="J905" s="310" t="n">
        <f aca="false">SUMIF($D$8:$D$903,$D$905,J8:J903)</f>
        <v>61449.6</v>
      </c>
      <c r="K905" s="310"/>
      <c r="L905" s="311"/>
      <c r="M905" s="311"/>
      <c r="N905" s="311"/>
      <c r="O905" s="312"/>
      <c r="P905" s="312"/>
      <c r="Q905" s="312"/>
      <c r="R905" s="312"/>
      <c r="S905" s="312"/>
      <c r="T905" s="312"/>
      <c r="U905" s="312"/>
      <c r="V905" s="312"/>
      <c r="W905" s="312"/>
      <c r="X905" s="312"/>
      <c r="Y905" s="312"/>
      <c r="Z905" s="312"/>
      <c r="AA905" s="313"/>
      <c r="AB905" s="313"/>
      <c r="AC905" s="313"/>
      <c r="AD905" s="313"/>
      <c r="AE905" s="313"/>
      <c r="AF905" s="313"/>
      <c r="AG905" s="313"/>
      <c r="AH905" s="313"/>
      <c r="AI905" s="313"/>
      <c r="AJ905" s="313"/>
      <c r="AK905" s="313"/>
      <c r="AL905" s="313"/>
      <c r="AM905" s="313"/>
      <c r="AN905" s="313"/>
      <c r="AO905" s="313"/>
      <c r="AP905" s="313"/>
      <c r="AQ905" s="313"/>
      <c r="AR905" s="313"/>
      <c r="AS905" s="313"/>
      <c r="AT905" s="313"/>
      <c r="AU905" s="313"/>
      <c r="AV905" s="313"/>
      <c r="AW905" s="313"/>
      <c r="AX905" s="313"/>
      <c r="AY905" s="313"/>
      <c r="AZ905" s="313"/>
      <c r="BA905" s="313"/>
      <c r="BB905" s="313"/>
      <c r="BC905" s="313"/>
      <c r="BD905" s="313"/>
      <c r="BE905" s="313"/>
      <c r="BF905" s="313"/>
      <c r="BG905" s="313"/>
      <c r="BH905" s="313"/>
      <c r="BI905" s="313"/>
      <c r="BL905" s="200"/>
      <c r="BM905" s="200"/>
      <c r="BN905" s="200"/>
    </row>
    <row r="906" customFormat="false" ht="15" hidden="false" customHeight="true" outlineLevel="0" collapsed="false">
      <c r="B906" s="275"/>
      <c r="D906" s="276" t="n">
        <f aca="false">D890</f>
        <v>45352</v>
      </c>
      <c r="E906" s="310" t="n">
        <f aca="false">SUMIF($D$8:$D$903,$D$906,E8:E903)</f>
        <v>53434.91</v>
      </c>
      <c r="F906" s="310" t="n">
        <f aca="false">SUMIF($D$8:$D$903,$D$906,F8:F903)</f>
        <v>14448.86</v>
      </c>
      <c r="G906" s="310" t="n">
        <f aca="false">SUMIF($D$8:$D$903,$D$906,G8:G903)</f>
        <v>3668.13</v>
      </c>
      <c r="H906" s="310" t="n">
        <f aca="false">SUMIF($D$8:$D$903,$D$906,H8:H903)</f>
        <v>6327.52</v>
      </c>
      <c r="I906" s="310" t="n">
        <f aca="false">SUMIF($D$8:$D$903,$D$906,I8:I903)</f>
        <v>2478.65</v>
      </c>
      <c r="J906" s="310" t="n">
        <f aca="false">SUMIF($D$8:$D$903,$D$906,J8:J903)</f>
        <v>62241.08</v>
      </c>
      <c r="K906" s="310"/>
      <c r="L906" s="311"/>
      <c r="M906" s="311"/>
      <c r="N906" s="311"/>
      <c r="O906" s="312"/>
      <c r="P906" s="312"/>
      <c r="Q906" s="312"/>
      <c r="R906" s="312"/>
      <c r="S906" s="312"/>
      <c r="T906" s="312"/>
      <c r="U906" s="312"/>
      <c r="V906" s="312"/>
      <c r="W906" s="312"/>
      <c r="X906" s="312"/>
      <c r="Y906" s="312"/>
      <c r="Z906" s="312"/>
      <c r="AA906" s="313"/>
      <c r="AB906" s="313"/>
      <c r="AC906" s="313"/>
      <c r="AD906" s="313"/>
      <c r="AE906" s="313"/>
      <c r="AF906" s="313"/>
      <c r="AG906" s="313"/>
      <c r="AH906" s="313"/>
      <c r="AI906" s="313"/>
      <c r="AJ906" s="313"/>
      <c r="AK906" s="313"/>
      <c r="AL906" s="313"/>
      <c r="AM906" s="313"/>
      <c r="AN906" s="313"/>
      <c r="AO906" s="313"/>
      <c r="AP906" s="313"/>
      <c r="AQ906" s="313"/>
      <c r="AR906" s="313"/>
      <c r="AS906" s="313"/>
      <c r="AT906" s="313"/>
      <c r="AU906" s="313"/>
      <c r="AV906" s="313"/>
      <c r="AW906" s="313"/>
      <c r="AX906" s="313"/>
      <c r="AY906" s="313"/>
      <c r="AZ906" s="313"/>
      <c r="BA906" s="313"/>
      <c r="BB906" s="313"/>
      <c r="BC906" s="313"/>
      <c r="BD906" s="313"/>
      <c r="BE906" s="313"/>
      <c r="BF906" s="313"/>
      <c r="BG906" s="313"/>
      <c r="BH906" s="313"/>
      <c r="BI906" s="313"/>
      <c r="BL906" s="200"/>
      <c r="BM906" s="200"/>
      <c r="BN906" s="200"/>
    </row>
    <row r="907" customFormat="false" ht="15" hidden="false" customHeight="true" outlineLevel="0" collapsed="false">
      <c r="B907" s="275"/>
      <c r="D907" s="276" t="n">
        <f aca="false">D891</f>
        <v>45383</v>
      </c>
      <c r="E907" s="310" t="n">
        <f aca="false">SUMIF($D$8:$D$903,$D$907,E8:E903)</f>
        <v>52435.71</v>
      </c>
      <c r="F907" s="310" t="n">
        <f aca="false">SUMIF($D$8:$D$903,$D$907,F8:F903)</f>
        <v>14171.94</v>
      </c>
      <c r="G907" s="310" t="n">
        <f aca="false">SUMIF($D$8:$D$903,$D$907,G8:G903)</f>
        <v>3588.19</v>
      </c>
      <c r="H907" s="310" t="n">
        <f aca="false">SUMIF($D$8:$D$903,$D$907,H8:H903)</f>
        <v>6189.64</v>
      </c>
      <c r="I907" s="310" t="n">
        <f aca="false">SUMIF($D$8:$D$903,$D$907,I8:I903)</f>
        <v>2431.81</v>
      </c>
      <c r="J907" s="310" t="n">
        <f aca="false">SUMIF($D$8:$D$903,$D$907,J8:J903)</f>
        <v>61057.16</v>
      </c>
      <c r="K907" s="310"/>
      <c r="L907" s="311"/>
      <c r="M907" s="311"/>
      <c r="N907" s="311"/>
      <c r="O907" s="312"/>
      <c r="P907" s="312"/>
      <c r="Q907" s="312"/>
      <c r="R907" s="312"/>
      <c r="S907" s="312"/>
      <c r="T907" s="312"/>
      <c r="U907" s="312"/>
      <c r="V907" s="312"/>
      <c r="W907" s="312"/>
      <c r="X907" s="312"/>
      <c r="Y907" s="312"/>
      <c r="Z907" s="312"/>
      <c r="AA907" s="313"/>
      <c r="AB907" s="313"/>
      <c r="AC907" s="313"/>
      <c r="AD907" s="313"/>
      <c r="AE907" s="313"/>
      <c r="AF907" s="313"/>
      <c r="AG907" s="313"/>
      <c r="AH907" s="313"/>
      <c r="AI907" s="313"/>
      <c r="AJ907" s="313"/>
      <c r="AK907" s="313"/>
      <c r="AL907" s="313"/>
      <c r="AM907" s="313"/>
      <c r="AN907" s="313"/>
      <c r="AO907" s="313"/>
      <c r="AP907" s="313"/>
      <c r="AQ907" s="313"/>
      <c r="AR907" s="313"/>
      <c r="AS907" s="313"/>
      <c r="AT907" s="313"/>
      <c r="AU907" s="313"/>
      <c r="AV907" s="313"/>
      <c r="AW907" s="313"/>
      <c r="AX907" s="313"/>
      <c r="AY907" s="313"/>
      <c r="AZ907" s="313"/>
      <c r="BA907" s="313"/>
      <c r="BB907" s="313"/>
      <c r="BC907" s="313"/>
      <c r="BD907" s="313"/>
      <c r="BE907" s="313"/>
      <c r="BF907" s="313"/>
      <c r="BG907" s="313"/>
      <c r="BH907" s="313"/>
      <c r="BI907" s="313"/>
      <c r="BL907" s="200"/>
      <c r="BM907" s="200"/>
      <c r="BN907" s="200"/>
    </row>
    <row r="908" customFormat="false" ht="15" hidden="false" customHeight="true" outlineLevel="0" collapsed="false">
      <c r="B908" s="275"/>
      <c r="D908" s="276" t="n">
        <f aca="false">D892</f>
        <v>45413</v>
      </c>
      <c r="E908" s="310" t="n">
        <f aca="false">SUMIF($D$8:$D$903,$D$908,E8:E903)</f>
        <v>52900.6</v>
      </c>
      <c r="F908" s="310" t="n">
        <f aca="false">SUMIF($D$8:$D$903,$D$908,F8:F903)</f>
        <v>14294.36</v>
      </c>
      <c r="G908" s="310" t="n">
        <f aca="false">SUMIF($D$8:$D$903,$D$908,G8:G903)</f>
        <v>3625.38</v>
      </c>
      <c r="H908" s="310" t="n">
        <f aca="false">SUMIF($D$8:$D$903,$D$908,H8:H903)</f>
        <v>6253.79</v>
      </c>
      <c r="I908" s="310" t="n">
        <f aca="false">SUMIF($D$8:$D$903,$D$908,I8:I903)</f>
        <v>2454.13</v>
      </c>
      <c r="J908" s="310" t="n">
        <f aca="false">SUMIF($D$8:$D$903,$D$908,J8:J903)</f>
        <v>61608.52</v>
      </c>
      <c r="K908" s="310"/>
      <c r="L908" s="311"/>
      <c r="M908" s="311"/>
      <c r="N908" s="311"/>
      <c r="O908" s="312"/>
      <c r="P908" s="312"/>
      <c r="Q908" s="312"/>
      <c r="R908" s="312"/>
      <c r="S908" s="312"/>
      <c r="T908" s="312"/>
      <c r="U908" s="312"/>
      <c r="V908" s="312"/>
      <c r="W908" s="312"/>
      <c r="X908" s="312"/>
      <c r="Y908" s="312"/>
      <c r="Z908" s="312"/>
      <c r="AA908" s="313"/>
      <c r="AB908" s="313"/>
      <c r="AC908" s="313"/>
      <c r="AD908" s="313"/>
      <c r="AE908" s="313"/>
      <c r="AF908" s="313"/>
      <c r="AG908" s="313"/>
      <c r="AH908" s="313"/>
      <c r="AI908" s="313"/>
      <c r="AJ908" s="313"/>
      <c r="AK908" s="313"/>
      <c r="AL908" s="313"/>
      <c r="AM908" s="313"/>
      <c r="AN908" s="313"/>
      <c r="AO908" s="313"/>
      <c r="AP908" s="313"/>
      <c r="AQ908" s="313"/>
      <c r="AR908" s="313"/>
      <c r="AS908" s="313"/>
      <c r="AT908" s="313"/>
      <c r="AU908" s="313"/>
      <c r="AV908" s="313"/>
      <c r="AW908" s="313"/>
      <c r="AX908" s="313"/>
      <c r="AY908" s="313"/>
      <c r="AZ908" s="313"/>
      <c r="BA908" s="313"/>
      <c r="BB908" s="313"/>
      <c r="BC908" s="313"/>
      <c r="BD908" s="313"/>
      <c r="BE908" s="313"/>
      <c r="BF908" s="313"/>
      <c r="BG908" s="313"/>
      <c r="BH908" s="313"/>
      <c r="BI908" s="313"/>
      <c r="BL908" s="200"/>
      <c r="BM908" s="200"/>
      <c r="BN908" s="200"/>
    </row>
    <row r="909" customFormat="false" ht="15" hidden="false" customHeight="true" outlineLevel="0" collapsed="false">
      <c r="B909" s="275"/>
      <c r="D909" s="276" t="n">
        <f aca="false">D893</f>
        <v>45444</v>
      </c>
      <c r="E909" s="310" t="n">
        <f aca="false">SUMIF($D$8:$D$903,$D$909,E8:E903)</f>
        <v>52953.2</v>
      </c>
      <c r="F909" s="310" t="n">
        <f aca="false">SUMIF($D$8:$D$903,$D$909,F8:F903)</f>
        <v>14314.86</v>
      </c>
      <c r="G909" s="310" t="n">
        <f aca="false">SUMIF($D$8:$D$903,$D$909,G8:G903)</f>
        <v>3629.59</v>
      </c>
      <c r="H909" s="310" t="n">
        <f aca="false">SUMIF($D$8:$D$903,$D$909,H8:H903)</f>
        <v>6261.03</v>
      </c>
      <c r="I909" s="310" t="n">
        <f aca="false">SUMIF($D$8:$D$903,$D$909,I8:I903)</f>
        <v>2457.23</v>
      </c>
      <c r="J909" s="310" t="n">
        <f aca="false">SUMIF($D$8:$D$903,$D$909,J8:J903)</f>
        <v>61671.46</v>
      </c>
      <c r="K909" s="310"/>
      <c r="L909" s="311"/>
      <c r="M909" s="311"/>
      <c r="N909" s="311"/>
      <c r="O909" s="312"/>
      <c r="P909" s="312"/>
      <c r="Q909" s="312"/>
      <c r="R909" s="312"/>
      <c r="S909" s="312"/>
      <c r="T909" s="312"/>
      <c r="U909" s="312"/>
      <c r="V909" s="312"/>
      <c r="W909" s="312"/>
      <c r="X909" s="312"/>
      <c r="Y909" s="312"/>
      <c r="Z909" s="312"/>
      <c r="AA909" s="313"/>
      <c r="AB909" s="313"/>
      <c r="AC909" s="313"/>
      <c r="AD909" s="313"/>
      <c r="AE909" s="313"/>
      <c r="AF909" s="313"/>
      <c r="AG909" s="313"/>
      <c r="AH909" s="313"/>
      <c r="AI909" s="313"/>
      <c r="AJ909" s="313"/>
      <c r="AK909" s="313"/>
      <c r="AL909" s="313"/>
      <c r="AM909" s="313"/>
      <c r="AN909" s="313"/>
      <c r="AO909" s="313"/>
      <c r="AP909" s="313"/>
      <c r="AQ909" s="313"/>
      <c r="AR909" s="313"/>
      <c r="AS909" s="313"/>
      <c r="AT909" s="313"/>
      <c r="AU909" s="313"/>
      <c r="AV909" s="313"/>
      <c r="AW909" s="313"/>
      <c r="AX909" s="313"/>
      <c r="AY909" s="313"/>
      <c r="AZ909" s="313"/>
      <c r="BA909" s="313"/>
      <c r="BB909" s="313"/>
      <c r="BC909" s="313"/>
      <c r="BD909" s="313"/>
      <c r="BE909" s="313"/>
      <c r="BF909" s="313"/>
      <c r="BG909" s="313"/>
      <c r="BH909" s="313"/>
      <c r="BI909" s="313"/>
      <c r="BL909" s="200"/>
      <c r="BM909" s="200"/>
      <c r="BN909" s="200"/>
    </row>
    <row r="910" customFormat="false" ht="15" hidden="false" customHeight="true" outlineLevel="0" collapsed="false">
      <c r="B910" s="275"/>
      <c r="D910" s="276" t="n">
        <f aca="false">D894</f>
        <v>45474</v>
      </c>
      <c r="E910" s="310" t="n">
        <f aca="false">SUMIF($D$8:$D$903,$D$910,E8:E903)</f>
        <v>53071.03</v>
      </c>
      <c r="F910" s="310" t="n">
        <f aca="false">SUMIF($D$8:$D$903,$D$910,F8:F903)</f>
        <v>14340.93</v>
      </c>
      <c r="G910" s="310" t="n">
        <f aca="false">SUMIF($D$8:$D$903,$D$910,G8:G903)</f>
        <v>3639.03</v>
      </c>
      <c r="H910" s="310" t="n">
        <f aca="false">SUMIF($D$8:$D$903,$D$910,H8:H903)</f>
        <v>6277.31</v>
      </c>
      <c r="I910" s="310" t="n">
        <f aca="false">SUMIF($D$8:$D$903,$D$910,I8:I903)</f>
        <v>2459.38</v>
      </c>
      <c r="J910" s="310" t="n">
        <f aca="false">SUMIF($D$8:$D$903,$D$910,J8:J903)</f>
        <v>61807.72</v>
      </c>
      <c r="K910" s="310"/>
      <c r="L910" s="311"/>
      <c r="M910" s="311"/>
      <c r="N910" s="311"/>
      <c r="O910" s="312"/>
      <c r="P910" s="312"/>
      <c r="Q910" s="312"/>
      <c r="R910" s="312"/>
      <c r="S910" s="312"/>
      <c r="T910" s="312"/>
      <c r="U910" s="312"/>
      <c r="V910" s="312"/>
      <c r="W910" s="312"/>
      <c r="X910" s="312"/>
      <c r="Y910" s="312"/>
      <c r="Z910" s="312"/>
      <c r="AA910" s="313"/>
      <c r="AB910" s="313"/>
      <c r="AC910" s="313"/>
      <c r="AD910" s="313"/>
      <c r="AE910" s="313"/>
      <c r="AF910" s="313"/>
      <c r="AG910" s="313"/>
      <c r="AH910" s="313"/>
      <c r="AI910" s="313"/>
      <c r="AJ910" s="313"/>
      <c r="AK910" s="313"/>
      <c r="AL910" s="313"/>
      <c r="AM910" s="313"/>
      <c r="AN910" s="313"/>
      <c r="AO910" s="313"/>
      <c r="AP910" s="313"/>
      <c r="AQ910" s="313"/>
      <c r="AR910" s="313"/>
      <c r="AS910" s="313"/>
      <c r="AT910" s="313"/>
      <c r="AU910" s="313"/>
      <c r="AV910" s="313"/>
      <c r="AW910" s="313"/>
      <c r="AX910" s="313"/>
      <c r="AY910" s="313"/>
      <c r="AZ910" s="313"/>
      <c r="BA910" s="313"/>
      <c r="BB910" s="313"/>
      <c r="BC910" s="313"/>
      <c r="BD910" s="313"/>
      <c r="BE910" s="313"/>
      <c r="BF910" s="313"/>
      <c r="BG910" s="313"/>
      <c r="BH910" s="313"/>
      <c r="BI910" s="313"/>
      <c r="BL910" s="200"/>
      <c r="BM910" s="200"/>
      <c r="BN910" s="200"/>
    </row>
    <row r="911" customFormat="false" ht="15" hidden="false" customHeight="true" outlineLevel="0" collapsed="false">
      <c r="B911" s="275"/>
      <c r="D911" s="276" t="n">
        <f aca="false">D895</f>
        <v>45505</v>
      </c>
      <c r="E911" s="310" t="n">
        <f aca="false">SUMIF($D$8:$D$903,$D$911,E8:E903)</f>
        <v>52882.18</v>
      </c>
      <c r="F911" s="310" t="n">
        <f aca="false">SUMIF($D$8:$D$903,$D$911,F8:F903)</f>
        <v>14287.15</v>
      </c>
      <c r="G911" s="310" t="n">
        <f aca="false">SUMIF($D$8:$D$903,$D$911,G8:G903)</f>
        <v>3623.9</v>
      </c>
      <c r="H911" s="310" t="n">
        <f aca="false">SUMIF($D$8:$D$903,$D$911,H8:H903)</f>
        <v>6251.24</v>
      </c>
      <c r="I911" s="310" t="n">
        <f aca="false">SUMIF($D$8:$D$903,$D$911,I8:I903)</f>
        <v>2451.33</v>
      </c>
      <c r="J911" s="310" t="n">
        <f aca="false">SUMIF($D$8:$D$903,$D$911,J8:J903)</f>
        <v>61584.75</v>
      </c>
      <c r="K911" s="310"/>
      <c r="L911" s="311"/>
      <c r="M911" s="311"/>
      <c r="N911" s="311"/>
      <c r="O911" s="312"/>
      <c r="P911" s="312"/>
      <c r="Q911" s="312"/>
      <c r="R911" s="312"/>
      <c r="S911" s="312"/>
      <c r="T911" s="312"/>
      <c r="U911" s="312"/>
      <c r="V911" s="312"/>
      <c r="W911" s="312"/>
      <c r="X911" s="312"/>
      <c r="Y911" s="312"/>
      <c r="Z911" s="312"/>
      <c r="AA911" s="313"/>
      <c r="AB911" s="313"/>
      <c r="AC911" s="313"/>
      <c r="AD911" s="313"/>
      <c r="AE911" s="313"/>
      <c r="AF911" s="313"/>
      <c r="AG911" s="313"/>
      <c r="AH911" s="313"/>
      <c r="AI911" s="313"/>
      <c r="AJ911" s="313"/>
      <c r="AK911" s="313"/>
      <c r="AL911" s="313"/>
      <c r="AM911" s="313"/>
      <c r="AN911" s="313"/>
      <c r="AO911" s="313"/>
      <c r="AP911" s="313"/>
      <c r="AQ911" s="313"/>
      <c r="AR911" s="313"/>
      <c r="AS911" s="313"/>
      <c r="AT911" s="313"/>
      <c r="AU911" s="313"/>
      <c r="AV911" s="313"/>
      <c r="AW911" s="313"/>
      <c r="AX911" s="313"/>
      <c r="AY911" s="313"/>
      <c r="AZ911" s="313"/>
      <c r="BA911" s="313"/>
      <c r="BB911" s="313"/>
      <c r="BC911" s="313"/>
      <c r="BD911" s="313"/>
      <c r="BE911" s="313"/>
      <c r="BF911" s="313"/>
      <c r="BG911" s="313"/>
      <c r="BH911" s="313"/>
      <c r="BI911" s="313"/>
      <c r="BL911" s="200"/>
      <c r="BM911" s="200"/>
      <c r="BN911" s="200"/>
    </row>
    <row r="912" customFormat="false" ht="15" hidden="false" customHeight="true" outlineLevel="0" collapsed="false">
      <c r="B912" s="275"/>
      <c r="D912" s="276" t="n">
        <f aca="false">D896</f>
        <v>45536</v>
      </c>
      <c r="E912" s="310" t="n">
        <f aca="false">SUMIF($D$8:$D$903,$D$912,E8:E903)</f>
        <v>52633.04</v>
      </c>
      <c r="F912" s="310" t="n">
        <f aca="false">SUMIF($D$8:$D$903,$D$912,F8:F903)</f>
        <v>14222.58</v>
      </c>
      <c r="G912" s="310" t="n">
        <f aca="false">SUMIF($D$8:$D$903,$D$912,G8:G903)</f>
        <v>3603.96</v>
      </c>
      <c r="H912" s="310" t="n">
        <f aca="false">SUMIF($D$8:$D$903,$D$912,H8:H903)</f>
        <v>6216.86</v>
      </c>
      <c r="I912" s="310" t="n">
        <f aca="false">SUMIF($D$8:$D$903,$D$912,I8:I903)</f>
        <v>2439.41</v>
      </c>
      <c r="J912" s="310" t="n">
        <f aca="false">SUMIF($D$8:$D$903,$D$912,J8:J903)</f>
        <v>61289.31</v>
      </c>
      <c r="K912" s="310"/>
      <c r="L912" s="311"/>
      <c r="M912" s="311"/>
      <c r="N912" s="311"/>
      <c r="O912" s="312"/>
      <c r="P912" s="312"/>
      <c r="Q912" s="312"/>
      <c r="R912" s="312"/>
      <c r="S912" s="312"/>
      <c r="T912" s="312"/>
      <c r="U912" s="312"/>
      <c r="V912" s="312"/>
      <c r="W912" s="312"/>
      <c r="X912" s="312"/>
      <c r="Y912" s="312"/>
      <c r="Z912" s="312"/>
      <c r="AA912" s="313"/>
      <c r="AB912" s="313"/>
      <c r="AC912" s="313"/>
      <c r="AD912" s="313"/>
      <c r="AE912" s="313"/>
      <c r="AF912" s="313"/>
      <c r="AG912" s="313"/>
      <c r="AH912" s="313"/>
      <c r="AI912" s="313"/>
      <c r="AJ912" s="313"/>
      <c r="AK912" s="313"/>
      <c r="AL912" s="313"/>
      <c r="AM912" s="313"/>
      <c r="AN912" s="313"/>
      <c r="AO912" s="313"/>
      <c r="AP912" s="313"/>
      <c r="AQ912" s="313"/>
      <c r="AR912" s="313"/>
      <c r="AS912" s="313"/>
      <c r="AT912" s="313"/>
      <c r="AU912" s="313"/>
      <c r="AV912" s="313"/>
      <c r="AW912" s="313"/>
      <c r="AX912" s="313"/>
      <c r="AY912" s="313"/>
      <c r="AZ912" s="313"/>
      <c r="BA912" s="313"/>
      <c r="BB912" s="313"/>
      <c r="BC912" s="313"/>
      <c r="BD912" s="313"/>
      <c r="BE912" s="313"/>
      <c r="BF912" s="313"/>
      <c r="BG912" s="313"/>
      <c r="BH912" s="313"/>
      <c r="BI912" s="313"/>
      <c r="BL912" s="200"/>
      <c r="BM912" s="200"/>
      <c r="BN912" s="200"/>
    </row>
    <row r="913" customFormat="false" ht="15" hidden="false" customHeight="true" outlineLevel="0" collapsed="false">
      <c r="B913" s="275"/>
      <c r="D913" s="276" t="n">
        <f aca="false">D897</f>
        <v>45566</v>
      </c>
      <c r="E913" s="310" t="n">
        <f aca="false">SUMIF($D$8:$D$903,$D$913,E8:E903)</f>
        <v>52857.18</v>
      </c>
      <c r="F913" s="310" t="n">
        <f aca="false">SUMIF($D$8:$D$903,$D$913,F8:F903)</f>
        <v>14286.91</v>
      </c>
      <c r="G913" s="310" t="n">
        <f aca="false">SUMIF($D$8:$D$903,$D$913,G8:G903)</f>
        <v>3621.91</v>
      </c>
      <c r="H913" s="310" t="n">
        <f aca="false">SUMIF($D$8:$D$903,$D$913,H8:H903)</f>
        <v>6247.8</v>
      </c>
      <c r="I913" s="310" t="n">
        <f aca="false">SUMIF($D$8:$D$903,$D$913,I8:I903)</f>
        <v>2450.19</v>
      </c>
      <c r="J913" s="310" t="n">
        <f aca="false">SUMIF($D$8:$D$903,$D$913,J8:J903)</f>
        <v>61555.17</v>
      </c>
      <c r="K913" s="310"/>
      <c r="L913" s="311"/>
      <c r="M913" s="311"/>
      <c r="N913" s="311"/>
      <c r="O913" s="312"/>
      <c r="P913" s="312"/>
      <c r="Q913" s="312"/>
      <c r="R913" s="312"/>
      <c r="S913" s="312"/>
      <c r="T913" s="312"/>
      <c r="U913" s="312"/>
      <c r="V913" s="312"/>
      <c r="W913" s="312"/>
      <c r="X913" s="312"/>
      <c r="Y913" s="312"/>
      <c r="Z913" s="312"/>
      <c r="AA913" s="313"/>
      <c r="AB913" s="313"/>
      <c r="AC913" s="313"/>
      <c r="AD913" s="313"/>
      <c r="AE913" s="313"/>
      <c r="AF913" s="313"/>
      <c r="AG913" s="313"/>
      <c r="AH913" s="313"/>
      <c r="AI913" s="313"/>
      <c r="AJ913" s="313"/>
      <c r="AK913" s="313"/>
      <c r="AL913" s="313"/>
      <c r="AM913" s="313"/>
      <c r="AN913" s="313"/>
      <c r="AO913" s="313"/>
      <c r="AP913" s="313"/>
      <c r="AQ913" s="313"/>
      <c r="AR913" s="313"/>
      <c r="AS913" s="313"/>
      <c r="AT913" s="313"/>
      <c r="AU913" s="313"/>
      <c r="AV913" s="313"/>
      <c r="AW913" s="313"/>
      <c r="AX913" s="313"/>
      <c r="AY913" s="313"/>
      <c r="AZ913" s="313"/>
      <c r="BA913" s="313"/>
      <c r="BB913" s="313"/>
      <c r="BC913" s="313"/>
      <c r="BD913" s="313"/>
      <c r="BE913" s="313"/>
      <c r="BF913" s="313"/>
      <c r="BG913" s="313"/>
      <c r="BH913" s="313"/>
      <c r="BI913" s="313"/>
      <c r="BL913" s="200"/>
      <c r="BM913" s="200"/>
      <c r="BN913" s="200"/>
    </row>
    <row r="914" customFormat="false" ht="15" hidden="false" customHeight="true" outlineLevel="0" collapsed="false">
      <c r="B914" s="275"/>
      <c r="D914" s="276" t="n">
        <f aca="false">D898</f>
        <v>45597</v>
      </c>
      <c r="E914" s="310" t="n">
        <f aca="false">SUMIF($D$8:$D$903,$D$914,E8:E903)</f>
        <v>53103.26</v>
      </c>
      <c r="F914" s="310" t="n">
        <f aca="false">SUMIF($D$8:$D$903,$D$914,F8:F903)</f>
        <v>14349.94</v>
      </c>
      <c r="G914" s="310" t="n">
        <f aca="false">SUMIF($D$8:$D$903,$D$914,G8:G903)</f>
        <v>3641.6</v>
      </c>
      <c r="H914" s="310" t="n">
        <f aca="false">SUMIF($D$8:$D$903,$D$914,H8:H903)</f>
        <v>6281.75</v>
      </c>
      <c r="I914" s="310" t="n">
        <f aca="false">SUMIF($D$8:$D$903,$D$914,I8:I903)</f>
        <v>2462.6</v>
      </c>
      <c r="J914" s="310" t="n">
        <f aca="false">SUMIF($D$8:$D$903,$D$914,J8:J903)</f>
        <v>61847.61</v>
      </c>
      <c r="K914" s="310"/>
      <c r="L914" s="311"/>
      <c r="M914" s="311"/>
      <c r="N914" s="311"/>
      <c r="O914" s="312"/>
      <c r="P914" s="312"/>
      <c r="Q914" s="312"/>
      <c r="R914" s="312"/>
      <c r="S914" s="312"/>
      <c r="T914" s="312"/>
      <c r="U914" s="312"/>
      <c r="V914" s="312"/>
      <c r="W914" s="312"/>
      <c r="X914" s="312"/>
      <c r="Y914" s="312"/>
      <c r="Z914" s="312"/>
      <c r="AA914" s="313"/>
      <c r="AB914" s="313"/>
      <c r="AC914" s="313"/>
      <c r="AD914" s="313"/>
      <c r="AE914" s="313"/>
      <c r="AF914" s="313"/>
      <c r="AG914" s="313"/>
      <c r="AH914" s="313"/>
      <c r="AI914" s="313"/>
      <c r="AJ914" s="313"/>
      <c r="AK914" s="313"/>
      <c r="AL914" s="313"/>
      <c r="AM914" s="313"/>
      <c r="AN914" s="313"/>
      <c r="AO914" s="313"/>
      <c r="AP914" s="313"/>
      <c r="AQ914" s="313"/>
      <c r="AR914" s="313"/>
      <c r="AS914" s="313"/>
      <c r="AT914" s="313"/>
      <c r="AU914" s="313"/>
      <c r="AV914" s="313"/>
      <c r="AW914" s="313"/>
      <c r="AX914" s="313"/>
      <c r="AY914" s="313"/>
      <c r="AZ914" s="313"/>
      <c r="BA914" s="313"/>
      <c r="BB914" s="313"/>
      <c r="BC914" s="313"/>
      <c r="BD914" s="313"/>
      <c r="BE914" s="313"/>
      <c r="BF914" s="313"/>
      <c r="BG914" s="313"/>
      <c r="BH914" s="313"/>
      <c r="BI914" s="313"/>
      <c r="BL914" s="200"/>
      <c r="BM914" s="200"/>
      <c r="BN914" s="200"/>
    </row>
    <row r="915" customFormat="false" ht="15" hidden="false" customHeight="true" outlineLevel="0" collapsed="false">
      <c r="B915" s="296"/>
      <c r="D915" s="276" t="n">
        <f aca="false">D899</f>
        <v>45627</v>
      </c>
      <c r="E915" s="310" t="n">
        <f aca="false">SUMIF($D$8:$D$902,$D$915,E8:E902)</f>
        <v>53006.99</v>
      </c>
      <c r="F915" s="310" t="n">
        <f aca="false">SUMIF($D$8:$D$902,$D$915,F8:F902)</f>
        <v>14327.43</v>
      </c>
      <c r="G915" s="310" t="n">
        <f aca="false">SUMIF($D$8:$D$902,$D$915,G8:G902)</f>
        <v>3633.91</v>
      </c>
      <c r="H915" s="310" t="n">
        <f aca="false">SUMIF($D$8:$D$902,$D$915,H8:H902)</f>
        <v>6268.46</v>
      </c>
      <c r="I915" s="310" t="n">
        <f aca="false">SUMIF($D$8:$D$902,$D$915,I8:I902)</f>
        <v>2460</v>
      </c>
      <c r="J915" s="310" t="n">
        <f aca="false">SUMIF($D$8:$D$902,$D$915,J8:J902)</f>
        <v>61735.45</v>
      </c>
      <c r="K915" s="310"/>
      <c r="L915" s="311"/>
      <c r="M915" s="311"/>
      <c r="N915" s="311"/>
      <c r="O915" s="312"/>
      <c r="P915" s="312"/>
      <c r="Q915" s="312"/>
      <c r="R915" s="312"/>
      <c r="S915" s="312"/>
      <c r="T915" s="312"/>
      <c r="U915" s="312"/>
      <c r="V915" s="312"/>
      <c r="W915" s="312"/>
      <c r="X915" s="312"/>
      <c r="Y915" s="312"/>
      <c r="Z915" s="312"/>
      <c r="AA915" s="313"/>
      <c r="AB915" s="313"/>
      <c r="AC915" s="313"/>
      <c r="AD915" s="313"/>
      <c r="AE915" s="313"/>
      <c r="AF915" s="313"/>
      <c r="AG915" s="313"/>
      <c r="AH915" s="313"/>
      <c r="AI915" s="313"/>
      <c r="AJ915" s="313"/>
      <c r="AK915" s="313"/>
      <c r="AL915" s="313"/>
      <c r="AM915" s="313"/>
      <c r="AN915" s="313"/>
      <c r="AO915" s="313"/>
      <c r="AP915" s="313"/>
      <c r="AQ915" s="313"/>
      <c r="AR915" s="313"/>
      <c r="AS915" s="313"/>
      <c r="AT915" s="313"/>
      <c r="AU915" s="313"/>
      <c r="AV915" s="313"/>
      <c r="AW915" s="313"/>
      <c r="AX915" s="313"/>
      <c r="AY915" s="313"/>
      <c r="AZ915" s="313"/>
      <c r="BA915" s="313"/>
      <c r="BB915" s="313"/>
      <c r="BC915" s="313"/>
      <c r="BD915" s="313"/>
      <c r="BE915" s="313"/>
      <c r="BF915" s="313"/>
      <c r="BG915" s="313"/>
      <c r="BH915" s="313"/>
      <c r="BI915" s="313"/>
      <c r="BL915" s="200"/>
      <c r="BM915" s="200"/>
      <c r="BN915" s="200"/>
    </row>
    <row r="916" customFormat="false" ht="15" hidden="false" customHeight="true" outlineLevel="0" collapsed="false">
      <c r="B916" s="296"/>
      <c r="D916" s="40" t="s">
        <v>254</v>
      </c>
      <c r="E916" s="229" t="n">
        <f aca="false">SUMIF($D6:$D903,"Total",E6:E903)</f>
        <v>635112.78</v>
      </c>
      <c r="F916" s="229" t="n">
        <f aca="false">SUMIF($D6:$D903,"Total",F6:F903)</f>
        <v>171646.2</v>
      </c>
      <c r="G916" s="229" t="n">
        <f aca="false">SUMIF($D6:$D903,"Total",G6:G903)</f>
        <v>43529.03</v>
      </c>
      <c r="H916" s="229" t="n">
        <f aca="false">SUMIF($D6:$D903,"Total",H6:H903)</f>
        <v>75087.6</v>
      </c>
      <c r="I916" s="229" t="n">
        <f aca="false">SUMIF($D6:$D903,"Total",I6:I903)</f>
        <v>29451.36</v>
      </c>
      <c r="J916" s="229" t="n">
        <f aca="false">SUMIF($D6:$D903,"Total",J6:J903)</f>
        <v>739651.74</v>
      </c>
      <c r="K916" s="204"/>
      <c r="L916" s="314" t="n">
        <f aca="false">AVERAGE(L8:L900)</f>
        <v>0.976785714285714</v>
      </c>
      <c r="M916" s="314" t="n">
        <f aca="false">AVERAGE(M8:M900)</f>
        <v>0.0232142857142857</v>
      </c>
      <c r="N916" s="281"/>
      <c r="O916" s="315" t="n">
        <f aca="false">IF(SUM(O904:O915)&gt;0,((AB916+AR916)/J921),0)</f>
        <v>0</v>
      </c>
      <c r="P916" s="315" t="n">
        <f aca="false">IF(SUM(P904:P915)&gt;0,((AC916+AS916)/J920),0)</f>
        <v>0</v>
      </c>
      <c r="Q916" s="315" t="n">
        <f aca="false">IF(SUM(Q904:Q915)&gt;0,((AD916+AT916)/J920),0)</f>
        <v>0</v>
      </c>
      <c r="R916" s="315" t="n">
        <f aca="false">IF(SUM(R904:R915)&gt;0,((AE916+AU916)/J920),0)</f>
        <v>0</v>
      </c>
      <c r="S916" s="315" t="n">
        <f aca="false">IF(SUM(S904:S915)&gt;0,((AF916+AV916)/J920),0)</f>
        <v>0</v>
      </c>
      <c r="T916" s="315" t="n">
        <f aca="false">IF(SUM(T904:T915)&gt;0,((AG916+AW916)/J920),0)</f>
        <v>0</v>
      </c>
      <c r="U916" s="315" t="n">
        <f aca="false">IF(SUM(U904:U915)&gt;0,((AH916+AX916)/J920),0)</f>
        <v>0</v>
      </c>
      <c r="V916" s="315" t="n">
        <f aca="false">IF(SUM(V904:V915)&gt;0,((AI916+AY916)/J920),0)</f>
        <v>0</v>
      </c>
      <c r="W916" s="315" t="n">
        <f aca="false">IF(SUM(W904:W915)&gt;0,((AJ920+AZ916)/J920),0)</f>
        <v>0</v>
      </c>
      <c r="X916" s="315" t="n">
        <f aca="false">IF(SUM(X904:X915)&gt;0,((AK916+BA916)/J920),0)</f>
        <v>0</v>
      </c>
      <c r="Y916" s="315" t="n">
        <f aca="false">IF(SUM(Y904:Y915)&gt;0,((AL916+BB916)/J920),0)</f>
        <v>0</v>
      </c>
      <c r="Z916" s="315" t="n">
        <f aca="false">IF(SUM(Z904:Z915)&gt;0,((AM916+BC916)/J920),0)</f>
        <v>0</v>
      </c>
      <c r="AA916" s="316"/>
      <c r="AB916" s="317" t="n">
        <f aca="false">SUMIF($D6:$D900,"Total",AB6:AB903)</f>
        <v>178267.7794</v>
      </c>
      <c r="AC916" s="317" t="n">
        <f aca="false">SUMIF($D6:$D900,"Total",AC6:AC903)</f>
        <v>154465.807</v>
      </c>
      <c r="AD916" s="317" t="n">
        <f aca="false">SUMIF($D6:$D900,"Total",AD6:AD903)</f>
        <v>102822.8919</v>
      </c>
      <c r="AE916" s="317" t="n">
        <f aca="false">SUMIF($D6:$D900,"Total",AE6:AE903)</f>
        <v>108517.9665</v>
      </c>
      <c r="AF916" s="317" t="n">
        <f aca="false">SUMIF($D6:$D900,"Total",AF6:AF903)</f>
        <v>84332.8492</v>
      </c>
      <c r="AG916" s="317" t="n">
        <f aca="false">SUMIF($D6:$D900,"Total",AG6:AG903)</f>
        <v>0</v>
      </c>
      <c r="AH916" s="317" t="n">
        <f aca="false">SUMIF($D6:$D900,"Total",AH6:AH903)</f>
        <v>0</v>
      </c>
      <c r="AI916" s="317" t="n">
        <f aca="false">SUMIF($D6:$D900,"Total",AI6:AI903)</f>
        <v>0</v>
      </c>
      <c r="AJ916" s="317" t="n">
        <f aca="false">SUMIF($D6:$D900,"Total",AJ6:AJ903)</f>
        <v>0</v>
      </c>
      <c r="AK916" s="317" t="n">
        <f aca="false">SUMIF($D6:$D900,"Total",AK6:AK903)</f>
        <v>0</v>
      </c>
      <c r="AL916" s="317" t="n">
        <f aca="false">SUMIF($D6:$D900,"Total",AL6:AL903)</f>
        <v>0</v>
      </c>
      <c r="AM916" s="317" t="n">
        <f aca="false">SUMIF($D6:$D900,"Total",AM6:AM903)</f>
        <v>0</v>
      </c>
      <c r="AN916" s="318" t="n">
        <f aca="false">SUMIF($D6:$D900,"Total",AN6:AN903)</f>
        <v>108517.9665</v>
      </c>
      <c r="AO916" s="318" t="n">
        <f aca="false">SUMIF($D6:$D900,"Total",AO6:AO903)</f>
        <v>519889.3275</v>
      </c>
      <c r="AP916" s="318" t="n">
        <f aca="false">SUMIF($D6:$D900,"Total",AP6:AP903)</f>
        <v>0</v>
      </c>
      <c r="AQ916" s="316"/>
      <c r="AR916" s="317" t="n">
        <f aca="false">SUMIF($D6:$D900,"Total",AR6:AR900)</f>
        <v>29373.5861</v>
      </c>
      <c r="AS916" s="317" t="n">
        <f aca="false">SUMIF($D6:$D900,"Total",AS6:AS900)</f>
        <v>28479.6865</v>
      </c>
      <c r="AT916" s="317" t="n">
        <f aca="false">SUMIF($D6:$D900,"Total",AT6:AT900)</f>
        <v>19349.2646</v>
      </c>
      <c r="AU916" s="317" t="n">
        <f aca="false">SUMIF($D6:$D900,"Total",AU6:AU900)</f>
        <v>19586.2915</v>
      </c>
      <c r="AV916" s="317" t="n">
        <f aca="false">SUMIF($D6:$D900,"Total",AV6:AV900)</f>
        <v>14455.6173</v>
      </c>
      <c r="AW916" s="317" t="n">
        <f aca="false">SUMIF($D6:$D900,"Total",AW6:AW900)</f>
        <v>0</v>
      </c>
      <c r="AX916" s="317" t="n">
        <f aca="false">SUMIF($D6:$D900,"Total",AX6:AX900)</f>
        <v>0</v>
      </c>
      <c r="AY916" s="317" t="n">
        <f aca="false">SUMIF($D6:$D900,"Total",AY6:AY900)</f>
        <v>0</v>
      </c>
      <c r="AZ916" s="317" t="n">
        <f aca="false">SUMIF($D6:$D900,"Total",AZ6:AZ900)</f>
        <v>0</v>
      </c>
      <c r="BA916" s="317" t="n">
        <f aca="false">SUMIF($D6:$D900,"Total",BA6:BA900)</f>
        <v>0</v>
      </c>
      <c r="BB916" s="317" t="n">
        <f aca="false">SUMIF($D6:$D900,"Total",BB6:BB900)</f>
        <v>0</v>
      </c>
      <c r="BC916" s="317" t="n">
        <f aca="false">SUMIF($D6:$D900,"Total",BC6:BC900)</f>
        <v>0</v>
      </c>
      <c r="BD916" s="318" t="n">
        <f aca="false">SUMIF($D6:$D900,"Total",BD6:BD900)</f>
        <v>19586.2915</v>
      </c>
      <c r="BE916" s="318" t="n">
        <f aca="false">SUMIF($D6:$D900,"Total",BE6:BE900)</f>
        <v>91658.1545</v>
      </c>
      <c r="BF916" s="318" t="n">
        <f aca="false">SUMIF($D6:$D900,"Total",BF6:BF900)</f>
        <v>0</v>
      </c>
      <c r="BG916" s="319"/>
      <c r="BH916" s="313"/>
      <c r="BI916" s="319"/>
      <c r="BL916" s="320" t="n">
        <f aca="false">SUM(BL6:BL903)</f>
        <v>0</v>
      </c>
      <c r="BM916" s="320" t="n">
        <f aca="false">SUM(BM6:BM903)</f>
        <v>0</v>
      </c>
      <c r="BN916" s="320" t="n">
        <f aca="false">SUM(BN6:BN903)</f>
        <v>0</v>
      </c>
    </row>
    <row r="917" customFormat="false" ht="15" hidden="false" customHeight="true" outlineLevel="0" collapsed="false">
      <c r="B917" s="266"/>
      <c r="C917" s="266"/>
      <c r="E917" s="200" t="n">
        <f aca="false">SUM(E904:E915)-E916</f>
        <v>0</v>
      </c>
      <c r="F917" s="200" t="n">
        <f aca="false">SUM(F904:F915)-F916</f>
        <v>0</v>
      </c>
      <c r="G917" s="200" t="n">
        <f aca="false">SUM(G904:G915)-G916</f>
        <v>0</v>
      </c>
      <c r="H917" s="200" t="n">
        <f aca="false">SUM(H904:H915)-H916</f>
        <v>0</v>
      </c>
      <c r="I917" s="200" t="n">
        <f aca="false">SUM(I904:I915)-I916</f>
        <v>0</v>
      </c>
      <c r="J917" s="200" t="n">
        <f aca="false">SUM(J904:J915)-J916</f>
        <v>0</v>
      </c>
      <c r="K917" s="204"/>
      <c r="L917" s="200"/>
      <c r="M917" s="200"/>
      <c r="N917" s="204"/>
      <c r="O917" s="204"/>
      <c r="P917" s="204"/>
      <c r="Q917" s="204"/>
      <c r="R917" s="204"/>
      <c r="S917" s="204"/>
      <c r="T917" s="204"/>
      <c r="U917" s="204"/>
      <c r="V917" s="204"/>
      <c r="W917" s="204"/>
      <c r="X917" s="204"/>
      <c r="Y917" s="204"/>
      <c r="Z917" s="204"/>
      <c r="AA917" s="316"/>
      <c r="AB917" s="319"/>
      <c r="AC917" s="319"/>
      <c r="AD917" s="319"/>
      <c r="AE917" s="319"/>
      <c r="AF917" s="319"/>
      <c r="AG917" s="319"/>
      <c r="AH917" s="319"/>
      <c r="AI917" s="319"/>
      <c r="AJ917" s="319"/>
      <c r="AK917" s="319"/>
      <c r="AL917" s="319"/>
      <c r="AM917" s="319"/>
      <c r="AN917" s="319"/>
      <c r="AO917" s="319"/>
      <c r="AP917" s="319"/>
      <c r="AQ917" s="316"/>
      <c r="AR917" s="319"/>
      <c r="AS917" s="319"/>
      <c r="AT917" s="319"/>
      <c r="AU917" s="319"/>
      <c r="AV917" s="319"/>
      <c r="AW917" s="319"/>
      <c r="AX917" s="319"/>
      <c r="AY917" s="319"/>
      <c r="AZ917" s="319"/>
      <c r="BA917" s="319"/>
      <c r="BB917" s="319"/>
      <c r="BC917" s="319"/>
      <c r="BD917" s="319"/>
      <c r="BE917" s="319"/>
      <c r="BF917" s="319"/>
      <c r="BG917" s="319"/>
      <c r="BH917" s="313"/>
      <c r="BI917" s="319"/>
      <c r="BL917" s="320"/>
      <c r="BM917" s="320"/>
      <c r="BN917" s="320"/>
    </row>
    <row r="918" customFormat="false" ht="15" hidden="false" customHeight="true" outlineLevel="0" collapsed="false">
      <c r="E918" s="200"/>
      <c r="F918" s="200"/>
      <c r="G918" s="200"/>
      <c r="H918" s="200"/>
      <c r="I918" s="200"/>
      <c r="J918" s="200"/>
      <c r="L918" s="321"/>
      <c r="M918" s="321"/>
      <c r="N918" s="322"/>
      <c r="O918" s="323"/>
      <c r="P918" s="323"/>
      <c r="Q918" s="323"/>
      <c r="R918" s="323"/>
      <c r="S918" s="323"/>
      <c r="T918" s="323"/>
      <c r="U918" s="323"/>
      <c r="V918" s="323"/>
      <c r="W918" s="323"/>
      <c r="X918" s="323"/>
      <c r="Y918" s="323"/>
      <c r="Z918" s="323"/>
      <c r="AA918" s="323"/>
      <c r="AB918" s="281" t="n">
        <f aca="false">IFERROR((AB916/$J$916), 0)</f>
        <v>0.241015831856219</v>
      </c>
      <c r="AC918" s="281" t="n">
        <f aca="false">IFERROR((AC916/$J$916), 0)</f>
        <v>0.208835859697971</v>
      </c>
      <c r="AD918" s="281" t="n">
        <f aca="false">IFERROR((AD916/$J$916), 0)</f>
        <v>0.139015277514253</v>
      </c>
      <c r="AE918" s="281" t="n">
        <f aca="false">IFERROR((AE916/$J$916), 0)</f>
        <v>0.146714947902374</v>
      </c>
      <c r="AF918" s="281" t="n">
        <f aca="false">IFERROR((AF916/$J$916), 0)</f>
        <v>0.114016968580375</v>
      </c>
      <c r="AG918" s="281" t="n">
        <f aca="false">IFERROR((AG916/$J$916), 0)</f>
        <v>0</v>
      </c>
      <c r="AH918" s="281" t="n">
        <f aca="false">IFERROR((AH916/$J$916), 0)</f>
        <v>0</v>
      </c>
      <c r="AI918" s="281" t="n">
        <f aca="false">IFERROR((AI916/$J$916), 0)</f>
        <v>0</v>
      </c>
      <c r="AJ918" s="281" t="n">
        <f aca="false">IFERROR((AJ916/$J$916), 0)</f>
        <v>0</v>
      </c>
      <c r="AK918" s="281" t="n">
        <f aca="false">IFERROR((AK916/$J$916), 0)</f>
        <v>0</v>
      </c>
      <c r="AL918" s="281" t="n">
        <f aca="false">IFERROR((AL916/$J$916), 0)</f>
        <v>0</v>
      </c>
      <c r="AM918" s="281" t="n">
        <f aca="false">IFERROR((AM916/$J$916), 0)</f>
        <v>0</v>
      </c>
      <c r="AN918" s="281" t="n">
        <f aca="false">IFERROR((AN916/$J$916), 0)</f>
        <v>0.146714947902374</v>
      </c>
      <c r="AO918" s="281" t="n">
        <f aca="false">IFERROR((AO916/$J$916), 0)</f>
        <v>0.702883937648818</v>
      </c>
      <c r="AP918" s="281" t="n">
        <f aca="false">IFERROR((AP916/$J$916), 0)</f>
        <v>0</v>
      </c>
      <c r="AQ918" s="323"/>
      <c r="AR918" s="281" t="n">
        <f aca="false">IFERROR((AR916/$J$916), 0)</f>
        <v>0.0397127249372793</v>
      </c>
      <c r="AS918" s="281" t="n">
        <f aca="false">IFERROR((AS916/$J$916), 0)</f>
        <v>0.0385041837392284</v>
      </c>
      <c r="AT918" s="281" t="n">
        <f aca="false">IFERROR((AT916/$J$916), 0)</f>
        <v>0.0261599663106315</v>
      </c>
      <c r="AU918" s="281" t="n">
        <f aca="false">IFERROR((AU916/$J$916), 0)</f>
        <v>0.0264804237464513</v>
      </c>
      <c r="AV918" s="281" t="n">
        <f aca="false">IFERROR((AV916/$J$916), 0)</f>
        <v>0.0195438157152175</v>
      </c>
      <c r="AW918" s="281" t="n">
        <f aca="false">IFERROR((AW916/$J$916), 0)</f>
        <v>0</v>
      </c>
      <c r="AX918" s="281" t="n">
        <f aca="false">IFERROR((AX916/$J$916), 0)</f>
        <v>0</v>
      </c>
      <c r="AY918" s="281" t="n">
        <f aca="false">IFERROR((AY916/$J$916), 0)</f>
        <v>0</v>
      </c>
      <c r="AZ918" s="281" t="n">
        <f aca="false">IFERROR((AZ916/$J$916), 0)</f>
        <v>0</v>
      </c>
      <c r="BA918" s="281" t="n">
        <f aca="false">IFERROR((BA916/$J$916), 0)</f>
        <v>0</v>
      </c>
      <c r="BB918" s="281" t="n">
        <f aca="false">IFERROR((BB916/$J$916), 0)</f>
        <v>0</v>
      </c>
      <c r="BC918" s="281" t="n">
        <f aca="false">IFERROR((BC916/$J$916), 0)</f>
        <v>0</v>
      </c>
      <c r="BD918" s="281" t="n">
        <f aca="false">IFERROR((BD916/$J$916), 0)</f>
        <v>0.0264804237464513</v>
      </c>
      <c r="BE918" s="281" t="n">
        <f aca="false">IFERROR((BE916/$J$916), 0)</f>
        <v>0.123920690702357</v>
      </c>
      <c r="BF918" s="281" t="n">
        <f aca="false">IFERROR((BF916/$J$916), 0)</f>
        <v>0</v>
      </c>
      <c r="BH918" s="313"/>
      <c r="BL918" s="40"/>
      <c r="BM918" s="324" t="n">
        <f aca="false">IFERROR(BM916/$BL916,0)</f>
        <v>0</v>
      </c>
      <c r="BN918" s="324" t="n">
        <f aca="false">IFERROR(BN916/$BL916,0)</f>
        <v>0</v>
      </c>
    </row>
    <row r="919" customFormat="false" ht="15" hidden="false" customHeight="true" outlineLevel="0" collapsed="false">
      <c r="B919" s="40"/>
      <c r="C919" s="25"/>
      <c r="D919" s="17" t="s">
        <v>255</v>
      </c>
      <c r="E919" s="325"/>
      <c r="F919" s="325"/>
      <c r="G919" s="325"/>
      <c r="H919" s="326"/>
      <c r="I919" s="325"/>
      <c r="J919" s="327" t="n">
        <f aca="false">H919</f>
        <v>0</v>
      </c>
      <c r="K919" s="327"/>
      <c r="N919" s="327"/>
      <c r="O919" s="328"/>
      <c r="P919" s="328"/>
      <c r="Q919" s="328"/>
      <c r="R919" s="328"/>
      <c r="S919" s="328"/>
      <c r="T919" s="328"/>
      <c r="U919" s="328"/>
      <c r="V919" s="328"/>
      <c r="W919" s="328"/>
      <c r="X919" s="328"/>
      <c r="Y919" s="328"/>
      <c r="Z919" s="328"/>
      <c r="AA919" s="328"/>
      <c r="AB919" s="200" t="n">
        <f aca="false">AB918*$J$919</f>
        <v>0</v>
      </c>
      <c r="AC919" s="200" t="n">
        <f aca="false">AC918*$J$919</f>
        <v>0</v>
      </c>
      <c r="AD919" s="200" t="n">
        <f aca="false">AD918*$J$919</f>
        <v>0</v>
      </c>
      <c r="AE919" s="200" t="n">
        <f aca="false">AE918*$J$919</f>
        <v>0</v>
      </c>
      <c r="AF919" s="200" t="n">
        <f aca="false">AF918*$J$919</f>
        <v>0</v>
      </c>
      <c r="AG919" s="200" t="n">
        <f aca="false">AG918*$J$919</f>
        <v>0</v>
      </c>
      <c r="AH919" s="200" t="n">
        <f aca="false">AH918*$J$919</f>
        <v>0</v>
      </c>
      <c r="AI919" s="200" t="n">
        <f aca="false">AI918*$J$919</f>
        <v>0</v>
      </c>
      <c r="AJ919" s="200" t="n">
        <f aca="false">AJ918*$J$919</f>
        <v>0</v>
      </c>
      <c r="AK919" s="200" t="n">
        <f aca="false">AK918*$J$919</f>
        <v>0</v>
      </c>
      <c r="AL919" s="200" t="n">
        <f aca="false">AL918*$J$919</f>
        <v>0</v>
      </c>
      <c r="AM919" s="200" t="n">
        <f aca="false">AM918*$J$919</f>
        <v>0</v>
      </c>
      <c r="AN919" s="200" t="n">
        <f aca="false">AN918*$J$919</f>
        <v>0</v>
      </c>
      <c r="AO919" s="200" t="n">
        <f aca="false">AO918*$J$919</f>
        <v>0</v>
      </c>
      <c r="AP919" s="200" t="n">
        <f aca="false">AP918*$J$919</f>
        <v>0</v>
      </c>
      <c r="AQ919" s="328"/>
      <c r="AR919" s="200" t="n">
        <f aca="false">AR918*$J$919</f>
        <v>0</v>
      </c>
      <c r="AS919" s="200" t="n">
        <f aca="false">AS918*$J$919</f>
        <v>0</v>
      </c>
      <c r="AT919" s="200" t="n">
        <f aca="false">AT918*$J$919</f>
        <v>0</v>
      </c>
      <c r="AU919" s="200" t="n">
        <f aca="false">AU918*$J$919</f>
        <v>0</v>
      </c>
      <c r="AV919" s="200" t="n">
        <f aca="false">AV918*$J$919</f>
        <v>0</v>
      </c>
      <c r="AW919" s="200" t="n">
        <f aca="false">AW918*$J$919</f>
        <v>0</v>
      </c>
      <c r="AX919" s="200" t="n">
        <f aca="false">AX918*$J$919</f>
        <v>0</v>
      </c>
      <c r="AY919" s="200" t="n">
        <f aca="false">AY918*$J$919</f>
        <v>0</v>
      </c>
      <c r="AZ919" s="200" t="n">
        <f aca="false">AZ918*$J$919</f>
        <v>0</v>
      </c>
      <c r="BA919" s="200" t="n">
        <f aca="false">BA918*$J$919</f>
        <v>0</v>
      </c>
      <c r="BB919" s="200" t="n">
        <f aca="false">BB918*$J$919</f>
        <v>0</v>
      </c>
      <c r="BC919" s="200" t="n">
        <f aca="false">BC918*$J$919</f>
        <v>0</v>
      </c>
      <c r="BD919" s="200" t="n">
        <f aca="false">BD918*$J$919</f>
        <v>0</v>
      </c>
      <c r="BE919" s="200" t="n">
        <f aca="false">BE918*$J$919</f>
        <v>0</v>
      </c>
      <c r="BF919" s="200" t="n">
        <f aca="false">BF918*$J$919</f>
        <v>0</v>
      </c>
      <c r="BG919" s="328"/>
      <c r="BH919" s="313"/>
      <c r="BI919" s="328"/>
    </row>
    <row r="920" customFormat="false" ht="15" hidden="false" customHeight="true" outlineLevel="0" collapsed="false">
      <c r="L920" s="319"/>
      <c r="M920" s="319"/>
      <c r="AB920" s="200"/>
      <c r="AC920" s="200"/>
      <c r="AD920" s="200"/>
      <c r="AE920" s="200"/>
      <c r="AF920" s="200"/>
      <c r="AG920" s="200"/>
      <c r="AH920" s="200"/>
      <c r="AI920" s="200"/>
      <c r="AJ920" s="200"/>
      <c r="AK920" s="200"/>
      <c r="AL920" s="200"/>
      <c r="AM920" s="200"/>
      <c r="AN920" s="200"/>
      <c r="AO920" s="200"/>
      <c r="AP920" s="200"/>
      <c r="AR920" s="200"/>
      <c r="AS920" s="200"/>
      <c r="AT920" s="200"/>
      <c r="AU920" s="200"/>
      <c r="AV920" s="200"/>
      <c r="AW920" s="200"/>
      <c r="AX920" s="200"/>
      <c r="AY920" s="200"/>
      <c r="AZ920" s="200"/>
      <c r="BA920" s="200"/>
      <c r="BB920" s="200"/>
      <c r="BC920" s="200"/>
      <c r="BD920" s="200"/>
      <c r="BE920" s="200"/>
      <c r="BF920" s="200"/>
      <c r="BH920" s="313"/>
    </row>
    <row r="921" s="17" customFormat="true" ht="15" hidden="false" customHeight="true" outlineLevel="0" collapsed="false">
      <c r="A921" s="40"/>
      <c r="H921" s="229" t="n">
        <f aca="false">H916-H919</f>
        <v>75087.6</v>
      </c>
      <c r="J921" s="229" t="n">
        <f aca="false">J916-J919</f>
        <v>739651.74</v>
      </c>
      <c r="K921" s="319"/>
      <c r="N921" s="319"/>
      <c r="O921" s="316"/>
      <c r="P921" s="316"/>
      <c r="Q921" s="316"/>
      <c r="R921" s="316"/>
      <c r="S921" s="316"/>
      <c r="T921" s="316"/>
      <c r="U921" s="316"/>
      <c r="V921" s="316"/>
      <c r="W921" s="316"/>
      <c r="X921" s="316"/>
      <c r="Y921" s="316"/>
      <c r="Z921" s="316"/>
      <c r="AA921" s="316"/>
      <c r="AB921" s="222" t="n">
        <f aca="false">AB916-AB919</f>
        <v>178267.7794</v>
      </c>
      <c r="AC921" s="222" t="n">
        <f aca="false">AC916-AC919</f>
        <v>154465.807</v>
      </c>
      <c r="AD921" s="222" t="n">
        <f aca="false">AD916-AD919</f>
        <v>102822.8919</v>
      </c>
      <c r="AE921" s="222" t="n">
        <f aca="false">AE916-AE919</f>
        <v>108517.9665</v>
      </c>
      <c r="AF921" s="222" t="n">
        <f aca="false">AF916-AF919</f>
        <v>84332.8492</v>
      </c>
      <c r="AG921" s="222" t="n">
        <f aca="false">AG916-AG919</f>
        <v>0</v>
      </c>
      <c r="AH921" s="222" t="n">
        <f aca="false">AH916-AH919</f>
        <v>0</v>
      </c>
      <c r="AI921" s="222" t="n">
        <f aca="false">AI916-AI919</f>
        <v>0</v>
      </c>
      <c r="AJ921" s="222" t="n">
        <f aca="false">AJ916-AJ919</f>
        <v>0</v>
      </c>
      <c r="AK921" s="222" t="n">
        <f aca="false">AK916-AK919</f>
        <v>0</v>
      </c>
      <c r="AL921" s="222" t="n">
        <f aca="false">AL916-AL919</f>
        <v>0</v>
      </c>
      <c r="AM921" s="222" t="n">
        <f aca="false">AM916-AM919</f>
        <v>0</v>
      </c>
      <c r="AN921" s="222" t="n">
        <f aca="false">AN916-AN919</f>
        <v>108517.9665</v>
      </c>
      <c r="AO921" s="222" t="n">
        <f aca="false">AO916-AO919</f>
        <v>519889.3275</v>
      </c>
      <c r="AP921" s="222" t="n">
        <f aca="false">AP916-AP919</f>
        <v>0</v>
      </c>
      <c r="AQ921" s="316"/>
      <c r="AR921" s="222" t="n">
        <f aca="false">AR916-AR919</f>
        <v>29373.5861</v>
      </c>
      <c r="AS921" s="222" t="n">
        <f aca="false">AS916-AS919</f>
        <v>28479.6865</v>
      </c>
      <c r="AT921" s="222" t="n">
        <f aca="false">AT916-AT919</f>
        <v>19349.2646</v>
      </c>
      <c r="AU921" s="222" t="n">
        <f aca="false">AU916-AU919</f>
        <v>19586.2915</v>
      </c>
      <c r="AV921" s="222" t="n">
        <f aca="false">AV916-AV919</f>
        <v>14455.6173</v>
      </c>
      <c r="AW921" s="222" t="n">
        <f aca="false">AW916-AW919</f>
        <v>0</v>
      </c>
      <c r="AX921" s="222" t="n">
        <f aca="false">AX916-AX919</f>
        <v>0</v>
      </c>
      <c r="AY921" s="222" t="n">
        <f aca="false">AY916-AY919</f>
        <v>0</v>
      </c>
      <c r="AZ921" s="222" t="n">
        <f aca="false">AZ916-AZ919</f>
        <v>0</v>
      </c>
      <c r="BA921" s="222" t="n">
        <f aca="false">BA916-BA919</f>
        <v>0</v>
      </c>
      <c r="BB921" s="222" t="n">
        <f aca="false">BB916-BB919</f>
        <v>0</v>
      </c>
      <c r="BC921" s="222" t="n">
        <f aca="false">BC916-BC919</f>
        <v>0</v>
      </c>
      <c r="BD921" s="222" t="n">
        <f aca="false">BD916-BD919</f>
        <v>19586.2915</v>
      </c>
      <c r="BE921" s="222" t="n">
        <f aca="false">BE916-BE919</f>
        <v>91658.1545</v>
      </c>
      <c r="BF921" s="222" t="n">
        <f aca="false">BF916-BF919</f>
        <v>0</v>
      </c>
      <c r="BG921" s="316"/>
      <c r="BH921" s="313"/>
      <c r="BI921" s="316"/>
      <c r="BJ921" s="18"/>
      <c r="BK921" s="18"/>
    </row>
    <row r="922" customFormat="false" ht="15" hidden="false" customHeight="true" outlineLevel="0" collapsed="false">
      <c r="AB922" s="200"/>
      <c r="AC922" s="200"/>
      <c r="AD922" s="200"/>
      <c r="AE922" s="200"/>
      <c r="AF922" s="200"/>
      <c r="AG922" s="200"/>
      <c r="AH922" s="200"/>
      <c r="AI922" s="200"/>
      <c r="AJ922" s="200"/>
      <c r="AK922" s="200"/>
      <c r="AL922" s="200"/>
      <c r="AM922" s="200"/>
      <c r="AN922" s="200"/>
      <c r="AO922" s="200"/>
      <c r="AP922" s="200"/>
      <c r="AR922" s="200"/>
      <c r="AS922" s="200"/>
      <c r="AT922" s="200"/>
      <c r="AU922" s="200"/>
      <c r="AV922" s="200"/>
      <c r="AW922" s="200"/>
      <c r="AX922" s="200"/>
      <c r="AY922" s="200"/>
      <c r="AZ922" s="200"/>
      <c r="BA922" s="200"/>
      <c r="BB922" s="200"/>
      <c r="BC922" s="200"/>
      <c r="BD922" s="200"/>
      <c r="BE922" s="200"/>
      <c r="BF922" s="200"/>
      <c r="BH922" s="313"/>
    </row>
    <row r="923" customFormat="false" ht="15" hidden="false" customHeight="true" outlineLevel="0" collapsed="false">
      <c r="D923" s="40" t="s">
        <v>256</v>
      </c>
      <c r="AB923" s="200"/>
      <c r="AC923" s="200"/>
      <c r="AD923" s="200"/>
      <c r="AE923" s="200"/>
      <c r="AF923" s="200"/>
      <c r="AG923" s="200"/>
      <c r="AH923" s="200"/>
      <c r="AI923" s="200"/>
      <c r="AJ923" s="200"/>
      <c r="AK923" s="200"/>
      <c r="AL923" s="200"/>
      <c r="AM923" s="200" t="s">
        <v>257</v>
      </c>
      <c r="AN923" s="305" t="n">
        <f aca="false">(AN918*(F916+G916+H921))+(BD918*(F916+G916+H921))</f>
        <v>50272.1787176897</v>
      </c>
      <c r="AO923" s="200"/>
      <c r="AP923" s="200"/>
      <c r="AR923" s="200"/>
      <c r="AS923" s="200"/>
      <c r="AT923" s="200"/>
      <c r="AU923" s="200"/>
      <c r="AV923" s="200"/>
      <c r="AW923" s="200"/>
      <c r="AX923" s="200"/>
      <c r="AY923" s="200"/>
      <c r="AZ923" s="200"/>
      <c r="BA923" s="200"/>
      <c r="BB923" s="200"/>
      <c r="BC923" s="200"/>
      <c r="BE923" s="200"/>
      <c r="BF923" s="200"/>
      <c r="BH923" s="313"/>
    </row>
    <row r="924" customFormat="false" ht="15" hidden="false" customHeight="true" outlineLevel="0" collapsed="false">
      <c r="BH924" s="313"/>
    </row>
    <row r="925" customFormat="false" ht="15" hidden="false" customHeight="true" outlineLevel="0" collapsed="false">
      <c r="BH925" s="313"/>
    </row>
    <row r="926" customFormat="false" ht="15" hidden="false" customHeight="true" outlineLevel="0" collapsed="false">
      <c r="BH926" s="313"/>
    </row>
    <row r="927" customFormat="false" ht="15" hidden="false" customHeight="true" outlineLevel="0" collapsed="false">
      <c r="BH927" s="313"/>
    </row>
    <row r="928" customFormat="false" ht="15" hidden="false" customHeight="true" outlineLevel="0" collapsed="false">
      <c r="BH928" s="313"/>
    </row>
    <row r="929" customFormat="false" ht="15" hidden="false" customHeight="true" outlineLevel="0" collapsed="false">
      <c r="BH929" s="313"/>
    </row>
    <row r="930" customFormat="false" ht="15" hidden="false" customHeight="true" outlineLevel="0" collapsed="false">
      <c r="BH930" s="313"/>
    </row>
    <row r="931" customFormat="false" ht="15" hidden="false" customHeight="true" outlineLevel="0" collapsed="false">
      <c r="BH931" s="313"/>
    </row>
    <row r="932" customFormat="false" ht="15" hidden="false" customHeight="true" outlineLevel="0" collapsed="false">
      <c r="BH932" s="313"/>
    </row>
  </sheetData>
  <mergeCells count="23">
    <mergeCell ref="A1:C1"/>
    <mergeCell ref="L2:M2"/>
    <mergeCell ref="O2:Z2"/>
    <mergeCell ref="AB2:AP2"/>
    <mergeCell ref="AR2:BF2"/>
    <mergeCell ref="BJ2:BN2"/>
    <mergeCell ref="A3:A5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L3:L4"/>
    <mergeCell ref="M3:M4"/>
    <mergeCell ref="BJ3:BJ4"/>
    <mergeCell ref="BK3:BK4"/>
    <mergeCell ref="BL3:BL4"/>
    <mergeCell ref="BM3:BM4"/>
    <mergeCell ref="BN3:BN4"/>
  </mergeCells>
  <conditionalFormatting sqref="BH8:BH20 BH24:BH36 BH40:BH52 BH56:BH68 BH72:BH84 BH88:BH100 BH104:BH116 BH120:BH132 BH136:BH148 BH152:BH164 BH168:BH180 BH184:BH196 BH200:BH212 BH216:BH228 BH232:BH244 BH248:BH260 BH264:BH276 BH280:BH292 BH296:BH308 BH312:BH324 BH328:BH340 BH344:BH356 BH360:BH372 BH376:BH388 BH392:BH404 BH408:BH420 BH424:BH436 BH440:BH452 BH456:BH468 BH472:BH484 BH488:BH500 BH504:BH516 BH520:BH532 BH536:BH548 BH552:BH564 BH568:BH580 BH584:BH596 BH600:BH612 BH616:BH628 BH632:BH644 BH648:BH660 BH664:BH676 BH680:BH692 BH696:BH708 BH712:BH724 BH728:BH740 BH744:BH756 BH760:BH772 BH776:BH788 BH792:BH804 BH808:BH820 BH824:BH836 BH840:BH852 BH856:BH868 BH872:BH884 BH888:BH900">
    <cfRule type="cellIs" priority="2" operator="equal" aboveAverage="0" equalAverage="0" bottom="0" percent="0" rank="0" text="" dxfId="0">
      <formula>"error"</formula>
    </cfRule>
  </conditionalFormatting>
  <conditionalFormatting sqref="K8:Z21 K24:Z37 K40:Z53 K56:Z69 K72:Z85 K88:Z101 K104:Z117 K120:Z133 K136:Z149 K152:Z165 K168:Z181 K184:Z197 K200:Z213 K216:Z229 K232:Z245 K248:Z261 K264:Z277 K280:Z293 K296:Z309 K312:Z325 K328:Z341 K344:Z357 K360:Z373 K376:Z389 K392:Z405 K408:Z421 K424:Z437 K440:Z453 K456:Z469 K472:Z485 K488:Z501 K504:Z517 K520:Z533 K536:Z549 K552:Z565 K568:Z581 K584:Z597 K600:Z613 K616:Z629 K632:Z645 K648:Z661 K664:Z677 K680:Z693 K696:Z709 K712:Z725 K728:Z741 K744:Z757 K760:Z773 K776:Z789 K792:Z805 K808:Z821 K824:Z837 K840:Z853 K856:Z869 K872:Z885 K888:Z901 K903:K917">
    <cfRule type="cellIs" priority="3" operator="lessThan" aboveAverage="0" equalAverage="0" bottom="0" percent="0" rank="0" text="" dxfId="1">
      <formula>0</formula>
    </cfRule>
    <cfRule type="cellIs" priority="4" operator="greaterThan" aboveAverage="0" equalAverage="0" bottom="0" percent="0" rank="0" text="" dxfId="1">
      <formula>1</formula>
    </cfRule>
  </conditionalFormatting>
  <conditionalFormatting sqref="L903:Z916 N917:Z917">
    <cfRule type="cellIs" priority="5" operator="lessThan" aboveAverage="0" equalAverage="0" bottom="0" percent="0" rank="0" text="" dxfId="1">
      <formula>0</formula>
    </cfRule>
    <cfRule type="cellIs" priority="6" operator="greater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9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17" width="3.56"/>
    <col collapsed="false" customWidth="true" hidden="false" outlineLevel="0" max="2" min="2" style="237" width="31.33"/>
    <col collapsed="false" customWidth="true" hidden="false" outlineLevel="0" max="3" min="3" style="237" width="26"/>
    <col collapsed="false" customWidth="true" hidden="false" outlineLevel="0" max="4" min="4" style="17" width="21.33"/>
    <col collapsed="false" customWidth="true" hidden="false" outlineLevel="0" max="7" min="5" style="17" width="13"/>
    <col collapsed="false" customWidth="true" hidden="false" outlineLevel="0" max="8" min="8" style="17" width="4.67"/>
    <col collapsed="false" customWidth="true" hidden="false" outlineLevel="0" max="10" min="9" style="17" width="10.56"/>
    <col collapsed="false" customWidth="true" hidden="false" outlineLevel="0" max="11" min="11" style="17" width="4.67"/>
    <col collapsed="false" customWidth="true" hidden="false" outlineLevel="0" max="23" min="12" style="17" width="13"/>
    <col collapsed="false" customWidth="true" hidden="false" outlineLevel="0" max="24" min="24" style="146" width="4.67"/>
    <col collapsed="false" customWidth="true" hidden="false" outlineLevel="0" max="39" min="25" style="146" width="13"/>
    <col collapsed="false" customWidth="true" hidden="false" outlineLevel="0" max="40" min="40" style="146" width="4.67"/>
    <col collapsed="false" customWidth="true" hidden="false" outlineLevel="0" max="55" min="41" style="146" width="13"/>
    <col collapsed="false" customWidth="true" hidden="false" outlineLevel="0" max="56" min="56" style="146" width="4.67"/>
    <col collapsed="false" customWidth="true" hidden="false" outlineLevel="0" max="57" min="57" style="146" width="13"/>
    <col collapsed="false" customWidth="false" hidden="false" outlineLevel="0" max="16384" min="58" style="17" width="8.88"/>
  </cols>
  <sheetData>
    <row r="1" s="22" customFormat="true" ht="15" hidden="false" customHeight="true" outlineLevel="0" collapsed="false">
      <c r="A1" s="238" t="s">
        <v>258</v>
      </c>
      <c r="B1" s="238"/>
      <c r="C1" s="238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40"/>
      <c r="AB1" s="21"/>
      <c r="AR1" s="21"/>
      <c r="BD1" s="240"/>
      <c r="BE1" s="239"/>
    </row>
    <row r="2" customFormat="false" ht="15" hidden="false" customHeight="true" outlineLevel="0" collapsed="false">
      <c r="A2" s="18"/>
      <c r="H2" s="241"/>
      <c r="I2" s="243" t="s">
        <v>212</v>
      </c>
      <c r="J2" s="243"/>
      <c r="K2" s="329"/>
      <c r="L2" s="243" t="s">
        <v>212</v>
      </c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329"/>
      <c r="Y2" s="330" t="s">
        <v>259</v>
      </c>
      <c r="Z2" s="330"/>
      <c r="AA2" s="330"/>
      <c r="AB2" s="330"/>
      <c r="AC2" s="330"/>
      <c r="AD2" s="330"/>
      <c r="AE2" s="330"/>
      <c r="AF2" s="330"/>
      <c r="AG2" s="330"/>
      <c r="AH2" s="330"/>
      <c r="AI2" s="330"/>
      <c r="AJ2" s="330"/>
      <c r="AK2" s="330"/>
      <c r="AL2" s="330"/>
      <c r="AM2" s="330"/>
      <c r="AN2" s="329"/>
      <c r="AO2" s="330" t="s">
        <v>260</v>
      </c>
      <c r="AP2" s="330"/>
      <c r="AQ2" s="330"/>
      <c r="AR2" s="330"/>
      <c r="AS2" s="330"/>
      <c r="AT2" s="330"/>
      <c r="AU2" s="330"/>
      <c r="AV2" s="330"/>
      <c r="AW2" s="330"/>
      <c r="AX2" s="330"/>
      <c r="AY2" s="330"/>
      <c r="AZ2" s="330"/>
      <c r="BA2" s="330"/>
      <c r="BB2" s="330"/>
      <c r="BC2" s="330"/>
      <c r="BD2" s="246"/>
      <c r="BE2" s="246"/>
    </row>
    <row r="3" s="256" customFormat="true" ht="45" hidden="false" customHeight="true" outlineLevel="0" collapsed="false">
      <c r="A3" s="268"/>
      <c r="B3" s="329" t="s">
        <v>216</v>
      </c>
      <c r="C3" s="329" t="s">
        <v>217</v>
      </c>
      <c r="D3" s="329" t="s">
        <v>218</v>
      </c>
      <c r="E3" s="329" t="s">
        <v>261</v>
      </c>
      <c r="F3" s="329"/>
      <c r="G3" s="329" t="s">
        <v>27</v>
      </c>
      <c r="H3" s="249"/>
      <c r="I3" s="250" t="s">
        <v>224</v>
      </c>
      <c r="J3" s="250" t="s">
        <v>225</v>
      </c>
      <c r="K3" s="259"/>
      <c r="L3" s="251" t="str">
        <f aca="false">IF(Summary!$B$15&gt;0,Summary!$B$15,"")</f>
        <v>Automated Document Intelligence Platform</v>
      </c>
      <c r="M3" s="251" t="str">
        <f aca="false">IF(Summary!$B$16&gt;0,Summary!$B$16,"")</f>
        <v>Real-Time Anomaly Detection Engine</v>
      </c>
      <c r="N3" s="251" t="str">
        <f aca="false">IF(Summary!$B$17&gt;0,Summary!$B$17,"")</f>
        <v>Natural Language Query Interface</v>
      </c>
      <c r="O3" s="251" t="str">
        <f aca="false">IF(Summary!$B$18&gt;0,Summary!$B$18,"")</f>
        <v>Predictive Maintenance ML Pipeline</v>
      </c>
      <c r="P3" s="251" t="str">
        <f aca="false">IF(Summary!$B$19&gt;0,Summary!$B$19,"")</f>
        <v>Privacy-Preserving Data Linkage</v>
      </c>
      <c r="Q3" s="251" t="str">
        <f aca="false">IF(Summary!$B$20&gt;0,Summary!$B$20,"")</f>
        <v/>
      </c>
      <c r="R3" s="251" t="str">
        <f aca="false">IF(Summary!$B$21&gt;0,Summary!$B$21,"")</f>
        <v/>
      </c>
      <c r="S3" s="251" t="str">
        <f aca="false">IF(Summary!$B$22&gt;0,Summary!$B$22,"")</f>
        <v/>
      </c>
      <c r="T3" s="251" t="str">
        <f aca="false">IF(Summary!$B$23&gt;0,Summary!$B$23,"")</f>
        <v/>
      </c>
      <c r="U3" s="251" t="str">
        <f aca="false">IF(Summary!$B$24&gt;0,Summary!$B$24,"")</f>
        <v/>
      </c>
      <c r="V3" s="251" t="str">
        <f aca="false">IF(Summary!$B$25&gt;0,Summary!$B$25,"")</f>
        <v/>
      </c>
      <c r="W3" s="251" t="str">
        <f aca="false">IF(Summary!$B$26&gt;0,Summary!$B$26,"")</f>
        <v/>
      </c>
      <c r="X3" s="252"/>
      <c r="Y3" s="251" t="str">
        <f aca="false">IF(Summary!$B$15&gt;0,Summary!$B$15,"")</f>
        <v>Automated Document Intelligence Platform</v>
      </c>
      <c r="Z3" s="251" t="str">
        <f aca="false">IF(Summary!$B$16&gt;0,Summary!$B$16,"")</f>
        <v>Real-Time Anomaly Detection Engine</v>
      </c>
      <c r="AA3" s="251" t="str">
        <f aca="false">IF(Summary!$B$17&gt;0,Summary!$B$17,"")</f>
        <v>Natural Language Query Interface</v>
      </c>
      <c r="AB3" s="251" t="str">
        <f aca="false">IF(Summary!$B$18&gt;0,Summary!$B$18,"")</f>
        <v>Predictive Maintenance ML Pipeline</v>
      </c>
      <c r="AC3" s="251" t="str">
        <f aca="false">IF(Summary!$B$19&gt;0,Summary!$B$19,"")</f>
        <v>Privacy-Preserving Data Linkage</v>
      </c>
      <c r="AD3" s="251" t="str">
        <f aca="false">IF(Summary!$B$20&gt;0,Summary!$B$20,"")</f>
        <v/>
      </c>
      <c r="AE3" s="251" t="str">
        <f aca="false">IF(Summary!$B$21&gt;0,Summary!$B$21,"")</f>
        <v/>
      </c>
      <c r="AF3" s="251" t="str">
        <f aca="false">IF(Summary!$B$22&gt;0,Summary!$B$22,"")</f>
        <v/>
      </c>
      <c r="AG3" s="251" t="str">
        <f aca="false">IF(Summary!$B$23&gt;0,Summary!$B$23,"")</f>
        <v/>
      </c>
      <c r="AH3" s="251" t="str">
        <f aca="false">IF(Summary!$B$24&gt;0,Summary!$B$24,"")</f>
        <v/>
      </c>
      <c r="AI3" s="251" t="str">
        <f aca="false">IF(Summary!$B$25&gt;0,Summary!$B$25,"")</f>
        <v/>
      </c>
      <c r="AJ3" s="251" t="str">
        <f aca="false">IF(Summary!$B$26&gt;0,Summary!$B$26,"")</f>
        <v/>
      </c>
      <c r="AK3" s="251" t="s">
        <v>72</v>
      </c>
      <c r="AL3" s="251" t="s">
        <v>69</v>
      </c>
      <c r="AM3" s="251" t="s">
        <v>74</v>
      </c>
      <c r="AN3" s="252"/>
      <c r="AO3" s="251" t="str">
        <f aca="false">IF(Summary!$B$15&gt;0,Summary!$B$15,"")</f>
        <v>Automated Document Intelligence Platform</v>
      </c>
      <c r="AP3" s="251" t="str">
        <f aca="false">IF(Summary!$B$16&gt;0,Summary!$B$16,"")</f>
        <v>Real-Time Anomaly Detection Engine</v>
      </c>
      <c r="AQ3" s="251" t="str">
        <f aca="false">IF(Summary!$B$17&gt;0,Summary!$B$17,"")</f>
        <v>Natural Language Query Interface</v>
      </c>
      <c r="AR3" s="251" t="str">
        <f aca="false">IF(Summary!$B$18&gt;0,Summary!$B$18,"")</f>
        <v>Predictive Maintenance ML Pipeline</v>
      </c>
      <c r="AS3" s="251" t="str">
        <f aca="false">IF(Summary!$B$19&gt;0,Summary!$B$19,"")</f>
        <v>Privacy-Preserving Data Linkage</v>
      </c>
      <c r="AT3" s="251" t="str">
        <f aca="false">IF(Summary!$B$20&gt;0,Summary!$B$20,"")</f>
        <v/>
      </c>
      <c r="AU3" s="251" t="str">
        <f aca="false">IF(Summary!$B$21&gt;0,Summary!$B$21,"")</f>
        <v/>
      </c>
      <c r="AV3" s="251" t="str">
        <f aca="false">IF(Summary!$B$22&gt;0,Summary!$B$22,"")</f>
        <v/>
      </c>
      <c r="AW3" s="251" t="str">
        <f aca="false">IF(Summary!$B$23&gt;0,Summary!$B$23,"")</f>
        <v/>
      </c>
      <c r="AX3" s="251" t="str">
        <f aca="false">IF(Summary!$B$24&gt;0,Summary!$B$24,"")</f>
        <v/>
      </c>
      <c r="AY3" s="251" t="str">
        <f aca="false">IF(Summary!$B$25&gt;0,Summary!$B$25,"")</f>
        <v/>
      </c>
      <c r="AZ3" s="251" t="str">
        <f aca="false">IF(Summary!$B$26&gt;0,Summary!$B$26,"")</f>
        <v/>
      </c>
      <c r="BA3" s="251" t="s">
        <v>72</v>
      </c>
      <c r="BB3" s="251" t="s">
        <v>69</v>
      </c>
      <c r="BC3" s="251" t="s">
        <v>74</v>
      </c>
      <c r="BD3" s="249"/>
      <c r="BE3" s="251" t="s">
        <v>104</v>
      </c>
    </row>
    <row r="4" s="268" customFormat="true" ht="15" hidden="false" customHeight="true" outlineLevel="0" collapsed="false">
      <c r="A4" s="241"/>
      <c r="B4" s="260"/>
      <c r="C4" s="260"/>
      <c r="D4" s="241"/>
      <c r="E4" s="241"/>
      <c r="F4" s="241"/>
      <c r="G4" s="241"/>
      <c r="H4" s="249"/>
      <c r="I4" s="250"/>
      <c r="J4" s="250"/>
      <c r="K4" s="241"/>
      <c r="L4" s="331" t="str">
        <f aca="false">IF(ISBLANK(Summary!$C$15),"", IF(Summary!$C$15="No", "SME", IF(AND(Summary!$C$15="Yes", Summary!$D$15="Yes"), "De Minimis", "RDEC")))</f>
        <v>SME</v>
      </c>
      <c r="M4" s="331" t="str">
        <f aca="false">IF(ISBLANK(Summary!$C$16),"", IF(Summary!$C$16="No", "SME", IF(AND(Summary!$C$16="Yes", Summary!$D$16="Yes"), "De Minimis", "RDEC")))</f>
        <v>SME</v>
      </c>
      <c r="N4" s="331" t="str">
        <f aca="false">IF(ISBLANK(Summary!$C$17),"", IF(Summary!$C$17="No", "SME", IF(AND(Summary!$C$17="Yes", Summary!$D$17="Yes"), "De Minimis", "RDEC")))</f>
        <v>SME</v>
      </c>
      <c r="O4" s="331" t="str">
        <f aca="false">IF(ISBLANK(Summary!$C$18),"", IF(Summary!$C$18="No", "SME", IF(AND(Summary!$C$18="Yes", Summary!$D$18="Yes"), "De Minimis", "RDEC")))</f>
        <v>RDEC</v>
      </c>
      <c r="P4" s="331" t="str">
        <f aca="false">IF(ISBLANK(Summary!$C$19),"", IF(Summary!$C$19="No", "SME", IF(AND(Summary!$C$19="Yes", Summary!$D$19="Yes"), "De Minimis", "RDEC")))</f>
        <v>SME</v>
      </c>
      <c r="Q4" s="331" t="str">
        <f aca="false">IF(ISBLANK(Summary!$C$20),"", IF(Summary!$C$20="No", "SME", IF(AND(Summary!$C$20="Yes", Summary!$D$20="Yes"), "De Minimis", "RDEC")))</f>
        <v/>
      </c>
      <c r="R4" s="331" t="str">
        <f aca="false">IF(ISBLANK(Summary!$C$21),"", IF(Summary!$C$21="No", "SME", IF(AND(Summary!$C$21="Yes", Summary!$D$21="Yes"), "De Minimis", "RDEC")))</f>
        <v/>
      </c>
      <c r="S4" s="331" t="str">
        <f aca="false">IF(ISBLANK(Summary!$C$22),"", IF(Summary!$C$22="No", "SME", IF(AND(Summary!$C$22="Yes", Summary!$D$22="Yes"), "De Minimis", "RDEC")))</f>
        <v/>
      </c>
      <c r="T4" s="331" t="str">
        <f aca="false">IF(ISBLANK(Summary!$C$23),"", IF(Summary!$C$23="No", "SME", IF(AND(Summary!$C$23="Yes", Summary!$D$23="Yes"), "De Minimis", "RDEC")))</f>
        <v/>
      </c>
      <c r="U4" s="331" t="str">
        <f aca="false">IF(ISBLANK(Summary!$C$24),"", IF(Summary!$C$24="No", "SME", IF(AND(Summary!$C$24="Yes", Summary!$D$24="Yes"), "De Minimis", "RDEC")))</f>
        <v/>
      </c>
      <c r="V4" s="331" t="str">
        <f aca="false">IF(ISBLANK(Summary!$C$25),"", IF(Summary!$C$25="No", "SME", IF(AND(Summary!$C$25="Yes", Summary!$D$25="Yes"), "De Minimis", "RDEC")))</f>
        <v/>
      </c>
      <c r="W4" s="331" t="str">
        <f aca="false">IF(ISBLANK(Summary!$C$26),"", IF(Summary!$C$26="No", "SME", IF(AND(Summary!$C$26="Yes", Summary!$D$26="Yes"), "De Minimis", "RDEC")))</f>
        <v/>
      </c>
      <c r="X4" s="252"/>
      <c r="Y4" s="331" t="str">
        <f aca="false">IF(ISBLANK(Summary!$C$15),"", IF(Summary!$C$15="No", "SME", IF(AND(Summary!$C$15="Yes", Summary!$D$15="Yes"), "De Minimis", "RDEC")))</f>
        <v>SME</v>
      </c>
      <c r="Z4" s="331" t="str">
        <f aca="false">IF(ISBLANK(Summary!$C$16),"", IF(Summary!$C$16="No", "SME", IF(AND(Summary!$C$16="Yes", Summary!$D$16="Yes"), "De Minimis", "RDEC")))</f>
        <v>SME</v>
      </c>
      <c r="AA4" s="331" t="str">
        <f aca="false">IF(ISBLANK(Summary!$C$17),"", IF(Summary!$C$17="No", "SME", IF(AND(Summary!$C$17="Yes", Summary!$D$17="Yes"), "De Minimis", "RDEC")))</f>
        <v>SME</v>
      </c>
      <c r="AB4" s="331" t="str">
        <f aca="false">IF(ISBLANK(Summary!$C$18),"", IF(Summary!$C$18="No", "SME", IF(AND(Summary!$C$18="Yes", Summary!$D$18="Yes"), "De Minimis", "RDEC")))</f>
        <v>RDEC</v>
      </c>
      <c r="AC4" s="331" t="str">
        <f aca="false">IF(ISBLANK(Summary!$C$19),"", IF(Summary!$C$19="No", "SME", IF(AND(Summary!$C$19="Yes", Summary!$D$19="Yes"), "De Minimis", "RDEC")))</f>
        <v>SME</v>
      </c>
      <c r="AD4" s="331" t="str">
        <f aca="false">IF(ISBLANK(Summary!$C$20),"", IF(Summary!$C$20="No", "SME", IF(AND(Summary!$C$20="Yes", Summary!$D$20="Yes"), "De Minimis", "RDEC")))</f>
        <v/>
      </c>
      <c r="AE4" s="331" t="str">
        <f aca="false">IF(ISBLANK(Summary!$C$21),"", IF(Summary!$C$21="No", "SME", IF(AND(Summary!$C$21="Yes", Summary!$D$21="Yes"), "De Minimis", "RDEC")))</f>
        <v/>
      </c>
      <c r="AF4" s="331" t="str">
        <f aca="false">IF(ISBLANK(Summary!$C$22),"", IF(Summary!$C$22="No", "SME", IF(AND(Summary!$C$22="Yes", Summary!$D$22="Yes"), "De Minimis", "RDEC")))</f>
        <v/>
      </c>
      <c r="AG4" s="331" t="str">
        <f aca="false">IF(ISBLANK(Summary!$C$23),"", IF(Summary!$C$23="No", "SME", IF(AND(Summary!$C$23="Yes", Summary!$D$23="Yes"), "De Minimis", "RDEC")))</f>
        <v/>
      </c>
      <c r="AH4" s="331" t="str">
        <f aca="false">IF(ISBLANK(Summary!$C$24),"", IF(Summary!$C$24="No", "SME", IF(AND(Summary!$C$24="Yes", Summary!$D$24="Yes"), "De Minimis", "RDEC")))</f>
        <v/>
      </c>
      <c r="AI4" s="331" t="str">
        <f aca="false">IF(ISBLANK(Summary!$C$25),"", IF(Summary!$C$25="No", "SME", IF(AND(Summary!$C$25="Yes", Summary!$D$25="Yes"), "De Minimis", "RDEC")))</f>
        <v/>
      </c>
      <c r="AJ4" s="331" t="str">
        <f aca="false">IF(ISBLANK(Summary!$C$26),"", IF(Summary!$C$26="No", "SME", IF(AND(Summary!$C$26="Yes", Summary!$D$26="Yes"), "De Minimis", "RDEC")))</f>
        <v/>
      </c>
      <c r="AK4" s="258"/>
      <c r="AL4" s="258"/>
      <c r="AM4" s="258"/>
      <c r="AN4" s="252"/>
      <c r="AO4" s="331" t="str">
        <f aca="false">IF(ISBLANK(Summary!$C$15),"", IF(Summary!$C$15="No", "SME", IF(AND(Summary!$C$15="Yes", Summary!$D$15="Yes"), "De Minimis", "RDEC")))</f>
        <v>SME</v>
      </c>
      <c r="AP4" s="331" t="str">
        <f aca="false">IF(ISBLANK(Summary!$C$16),"", IF(Summary!$C$16="No", "SME", IF(AND(Summary!$C$16="Yes", Summary!$D$16="Yes"), "De Minimis", "RDEC")))</f>
        <v>SME</v>
      </c>
      <c r="AQ4" s="331" t="str">
        <f aca="false">IF(ISBLANK(Summary!$C$17),"", IF(Summary!$C$17="No", "SME", IF(AND(Summary!$C$17="Yes", Summary!$D$17="Yes"), "De Minimis", "RDEC")))</f>
        <v>SME</v>
      </c>
      <c r="AR4" s="331" t="str">
        <f aca="false">IF(ISBLANK(Summary!$C$18),"", IF(Summary!$C$18="No", "SME", IF(AND(Summary!$C$18="Yes", Summary!$D$18="Yes"), "De Minimis", "RDEC")))</f>
        <v>RDEC</v>
      </c>
      <c r="AS4" s="331" t="str">
        <f aca="false">IF(ISBLANK(Summary!$C$19),"", IF(Summary!$C$19="No", "SME", IF(AND(Summary!$C$19="Yes", Summary!$D$19="Yes"), "De Minimis", "RDEC")))</f>
        <v>SME</v>
      </c>
      <c r="AT4" s="331" t="str">
        <f aca="false">IF(ISBLANK(Summary!$C$20),"", IF(Summary!$C$20="No", "SME", IF(AND(Summary!$C$20="Yes", Summary!$D$20="Yes"), "De Minimis", "RDEC")))</f>
        <v/>
      </c>
      <c r="AU4" s="331" t="str">
        <f aca="false">IF(ISBLANK(Summary!$C$21),"", IF(Summary!$C$21="No", "SME", IF(AND(Summary!$C$21="Yes", Summary!$D$21="Yes"), "De Minimis", "RDEC")))</f>
        <v/>
      </c>
      <c r="AV4" s="331" t="str">
        <f aca="false">IF(ISBLANK(Summary!$C$22),"", IF(Summary!$C$22="No", "SME", IF(AND(Summary!$C$22="Yes", Summary!$D$22="Yes"), "De Minimis", "RDEC")))</f>
        <v/>
      </c>
      <c r="AW4" s="331" t="str">
        <f aca="false">IF(ISBLANK(Summary!$C$23),"", IF(Summary!$C$23="No", "SME", IF(AND(Summary!$C$23="Yes", Summary!$D$23="Yes"), "De Minimis", "RDEC")))</f>
        <v/>
      </c>
      <c r="AX4" s="331" t="str">
        <f aca="false">IF(ISBLANK(Summary!$C$24),"", IF(Summary!$C$24="No", "SME", IF(AND(Summary!$C$24="Yes", Summary!$D$24="Yes"), "De Minimis", "RDEC")))</f>
        <v/>
      </c>
      <c r="AY4" s="331" t="str">
        <f aca="false">IF(ISBLANK(Summary!$C$25),"", IF(Summary!$C$25="No", "SME", IF(AND(Summary!$C$25="Yes", Summary!$D$25="Yes"), "De Minimis", "RDEC")))</f>
        <v/>
      </c>
      <c r="AZ4" s="331" t="str">
        <f aca="false">IF(ISBLANK(Summary!$C$26),"", IF(Summary!$C$26="No", "SME", IF(AND(Summary!$C$26="Yes", Summary!$D$26="Yes"), "De Minimis", "RDEC")))</f>
        <v/>
      </c>
      <c r="BA4" s="258"/>
      <c r="BB4" s="258"/>
      <c r="BC4" s="258"/>
      <c r="BD4" s="252"/>
      <c r="BE4" s="258"/>
    </row>
    <row r="5" s="241" customFormat="true" ht="15" hidden="false" customHeight="true" outlineLevel="0" collapsed="false">
      <c r="B5" s="260"/>
      <c r="C5" s="260"/>
      <c r="I5" s="262"/>
      <c r="J5" s="262"/>
      <c r="L5" s="262" t="s">
        <v>229</v>
      </c>
      <c r="M5" s="262" t="s">
        <v>229</v>
      </c>
      <c r="N5" s="262" t="s">
        <v>229</v>
      </c>
      <c r="O5" s="262" t="s">
        <v>229</v>
      </c>
      <c r="P5" s="262" t="s">
        <v>229</v>
      </c>
      <c r="Q5" s="262" t="s">
        <v>229</v>
      </c>
      <c r="R5" s="262" t="s">
        <v>229</v>
      </c>
      <c r="S5" s="262" t="s">
        <v>229</v>
      </c>
      <c r="T5" s="262" t="s">
        <v>229</v>
      </c>
      <c r="U5" s="262" t="s">
        <v>229</v>
      </c>
      <c r="V5" s="262" t="s">
        <v>229</v>
      </c>
      <c r="W5" s="262" t="s">
        <v>229</v>
      </c>
      <c r="X5" s="252"/>
      <c r="Y5" s="263" t="s">
        <v>230</v>
      </c>
      <c r="Z5" s="263" t="s">
        <v>230</v>
      </c>
      <c r="AA5" s="263" t="s">
        <v>230</v>
      </c>
      <c r="AB5" s="263" t="s">
        <v>230</v>
      </c>
      <c r="AC5" s="263" t="s">
        <v>230</v>
      </c>
      <c r="AD5" s="263" t="s">
        <v>230</v>
      </c>
      <c r="AE5" s="263" t="s">
        <v>230</v>
      </c>
      <c r="AF5" s="263" t="s">
        <v>230</v>
      </c>
      <c r="AG5" s="263" t="s">
        <v>230</v>
      </c>
      <c r="AH5" s="263" t="s">
        <v>230</v>
      </c>
      <c r="AI5" s="263" t="s">
        <v>230</v>
      </c>
      <c r="AJ5" s="263" t="s">
        <v>230</v>
      </c>
      <c r="AK5" s="264" t="s">
        <v>230</v>
      </c>
      <c r="AL5" s="264" t="s">
        <v>230</v>
      </c>
      <c r="AM5" s="264" t="s">
        <v>230</v>
      </c>
      <c r="AN5" s="252"/>
      <c r="AO5" s="263" t="s">
        <v>230</v>
      </c>
      <c r="AP5" s="263" t="s">
        <v>230</v>
      </c>
      <c r="AQ5" s="263" t="s">
        <v>230</v>
      </c>
      <c r="AR5" s="263" t="s">
        <v>230</v>
      </c>
      <c r="AS5" s="263" t="s">
        <v>230</v>
      </c>
      <c r="AT5" s="263" t="s">
        <v>230</v>
      </c>
      <c r="AU5" s="263" t="s">
        <v>230</v>
      </c>
      <c r="AV5" s="263" t="s">
        <v>230</v>
      </c>
      <c r="AW5" s="263" t="s">
        <v>230</v>
      </c>
      <c r="AX5" s="263" t="s">
        <v>230</v>
      </c>
      <c r="AY5" s="263" t="s">
        <v>230</v>
      </c>
      <c r="AZ5" s="263" t="s">
        <v>230</v>
      </c>
      <c r="BA5" s="264" t="s">
        <v>230</v>
      </c>
      <c r="BB5" s="264" t="s">
        <v>230</v>
      </c>
      <c r="BC5" s="264" t="s">
        <v>230</v>
      </c>
      <c r="BD5" s="259"/>
      <c r="BE5" s="265" t="s">
        <v>231</v>
      </c>
    </row>
    <row r="6" customFormat="false" ht="15" hidden="false" customHeight="true" outlineLevel="0" collapsed="false">
      <c r="D6" s="241"/>
      <c r="E6" s="241"/>
      <c r="F6" s="241"/>
      <c r="G6" s="241"/>
      <c r="H6" s="241"/>
      <c r="I6" s="259"/>
      <c r="J6" s="259"/>
      <c r="K6" s="241"/>
      <c r="L6" s="259"/>
      <c r="M6" s="259"/>
      <c r="N6" s="259"/>
      <c r="O6" s="259"/>
      <c r="P6" s="259"/>
      <c r="Q6" s="259"/>
      <c r="R6" s="259"/>
      <c r="S6" s="259"/>
      <c r="T6" s="259"/>
      <c r="U6" s="259"/>
      <c r="V6" s="259"/>
      <c r="W6" s="259"/>
      <c r="X6" s="332"/>
      <c r="Y6" s="259"/>
      <c r="Z6" s="259"/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190"/>
      <c r="AL6" s="190"/>
      <c r="AM6" s="190"/>
      <c r="AN6" s="332"/>
      <c r="AO6" s="259"/>
      <c r="AP6" s="259"/>
      <c r="AQ6" s="259"/>
      <c r="AR6" s="259"/>
      <c r="AS6" s="259"/>
      <c r="AT6" s="259"/>
      <c r="AU6" s="259"/>
      <c r="AV6" s="259"/>
      <c r="AW6" s="259"/>
      <c r="AX6" s="259"/>
      <c r="AY6" s="259"/>
      <c r="AZ6" s="259"/>
      <c r="BA6" s="190"/>
      <c r="BB6" s="190"/>
      <c r="BC6" s="190"/>
      <c r="BD6" s="268"/>
      <c r="BE6" s="268"/>
    </row>
    <row r="7" customFormat="false" ht="15" hidden="false" customHeight="true" outlineLevel="0" collapsed="false">
      <c r="A7" s="198" t="n">
        <v>1</v>
      </c>
      <c r="B7" s="266" t="s">
        <v>253</v>
      </c>
      <c r="C7" s="266" t="s">
        <v>253</v>
      </c>
      <c r="D7" s="266"/>
      <c r="E7" s="241"/>
      <c r="F7" s="241"/>
      <c r="G7" s="241"/>
      <c r="H7" s="241"/>
      <c r="I7" s="241"/>
      <c r="J7" s="241"/>
      <c r="K7" s="277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59"/>
      <c r="Y7" s="268"/>
      <c r="Z7" s="268"/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8"/>
      <c r="AN7" s="259"/>
      <c r="AO7" s="268"/>
      <c r="AP7" s="268"/>
      <c r="AQ7" s="268"/>
      <c r="AR7" s="268"/>
      <c r="AS7" s="268"/>
      <c r="AT7" s="268"/>
      <c r="AU7" s="268"/>
      <c r="AV7" s="268"/>
      <c r="AW7" s="268"/>
      <c r="AX7" s="268"/>
      <c r="AY7" s="268"/>
      <c r="AZ7" s="268"/>
      <c r="BA7" s="268"/>
      <c r="BB7" s="268"/>
      <c r="BC7" s="268"/>
      <c r="BD7" s="287"/>
      <c r="BE7" s="268"/>
    </row>
    <row r="8" customFormat="false" ht="7.5" hidden="false" customHeight="true" outlineLevel="0" collapsed="false">
      <c r="A8" s="198"/>
      <c r="B8" s="266"/>
      <c r="C8" s="266"/>
      <c r="D8" s="266"/>
      <c r="E8" s="241"/>
      <c r="F8" s="241"/>
      <c r="G8" s="241"/>
      <c r="H8" s="204"/>
      <c r="I8" s="269"/>
      <c r="J8" s="269"/>
      <c r="K8" s="277"/>
      <c r="L8" s="269"/>
      <c r="M8" s="269"/>
      <c r="N8" s="269"/>
      <c r="O8" s="269"/>
      <c r="P8" s="269"/>
      <c r="Q8" s="269"/>
      <c r="R8" s="269"/>
      <c r="S8" s="269"/>
      <c r="T8" s="269"/>
      <c r="U8" s="269"/>
      <c r="V8" s="269"/>
      <c r="W8" s="269"/>
      <c r="X8" s="259"/>
      <c r="Y8" s="271"/>
      <c r="Z8" s="271"/>
      <c r="AA8" s="271"/>
      <c r="AB8" s="271"/>
      <c r="AC8" s="271"/>
      <c r="AD8" s="271"/>
      <c r="AE8" s="271"/>
      <c r="AF8" s="271"/>
      <c r="AG8" s="271"/>
      <c r="AH8" s="271"/>
      <c r="AI8" s="271"/>
      <c r="AJ8" s="272"/>
      <c r="AK8" s="273"/>
      <c r="AL8" s="273"/>
      <c r="AM8" s="273"/>
      <c r="AN8" s="259"/>
      <c r="AO8" s="271"/>
      <c r="AP8" s="271"/>
      <c r="AQ8" s="271"/>
      <c r="AR8" s="271"/>
      <c r="AS8" s="271"/>
      <c r="AT8" s="271"/>
      <c r="AU8" s="271"/>
      <c r="AV8" s="271"/>
      <c r="AW8" s="271"/>
      <c r="AX8" s="271"/>
      <c r="AY8" s="271"/>
      <c r="AZ8" s="272"/>
      <c r="BA8" s="273"/>
      <c r="BB8" s="273"/>
      <c r="BC8" s="273"/>
      <c r="BD8" s="287"/>
      <c r="BE8" s="274"/>
    </row>
    <row r="9" customFormat="false" ht="15" hidden="false" customHeight="true" outlineLevel="0" collapsed="false">
      <c r="B9" s="333"/>
      <c r="C9" s="334"/>
      <c r="D9" s="333" t="n">
        <f aca="false">+Summary!B8</f>
        <v>45292</v>
      </c>
      <c r="E9" s="277" t="n">
        <v>0</v>
      </c>
      <c r="F9" s="277" t="n">
        <v>0</v>
      </c>
      <c r="G9" s="277" t="n">
        <f aca="false">SUM(E9:F9)</f>
        <v>0</v>
      </c>
      <c r="H9" s="204"/>
      <c r="I9" s="279" t="n">
        <v>1</v>
      </c>
      <c r="J9" s="280" t="n">
        <f aca="false">1-I9</f>
        <v>0</v>
      </c>
      <c r="K9" s="277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68"/>
      <c r="Y9" s="284" t="n">
        <f aca="false">IFERROR(L9*$G9*I$9, "")</f>
        <v>0</v>
      </c>
      <c r="Z9" s="284" t="n">
        <f aca="false">IFERROR(M9*$G9*$I9, "")</f>
        <v>0</v>
      </c>
      <c r="AA9" s="284" t="n">
        <f aca="false">IFERROR(N9*$G9*$I9, "")</f>
        <v>0</v>
      </c>
      <c r="AB9" s="284" t="n">
        <f aca="false">IFERROR(O9*$G9*$I9, "")</f>
        <v>0</v>
      </c>
      <c r="AC9" s="284" t="n">
        <f aca="false">IFERROR(P9*$G9*$I9, "")</f>
        <v>0</v>
      </c>
      <c r="AD9" s="284" t="n">
        <f aca="false">IFERROR(Q9*$G9*$I9, "")</f>
        <v>0</v>
      </c>
      <c r="AE9" s="284" t="n">
        <f aca="false">IFERROR(R9*$G9*$I9, "")</f>
        <v>0</v>
      </c>
      <c r="AF9" s="284" t="n">
        <f aca="false">IFERROR(S9*$G9*$I9, "")</f>
        <v>0</v>
      </c>
      <c r="AG9" s="284" t="n">
        <f aca="false">IFERROR(T9*$G9*$I9, "")</f>
        <v>0</v>
      </c>
      <c r="AH9" s="284" t="n">
        <f aca="false">IFERROR(U9*$G9*$I9, "")</f>
        <v>0</v>
      </c>
      <c r="AI9" s="284" t="n">
        <f aca="false">IFERROR(V9*$G9*$I9, "")</f>
        <v>0</v>
      </c>
      <c r="AJ9" s="284" t="n">
        <f aca="false">IFERROR(W9*$G9*$I9, "")</f>
        <v>0</v>
      </c>
      <c r="AK9" s="286" t="n">
        <f aca="false">IFERROR(SUMIF($Y$4:$AJ$4, "RDEC", Y9:AJ9), "")</f>
        <v>0</v>
      </c>
      <c r="AL9" s="286" t="n">
        <f aca="false">IFERROR(SUMIF($Y$4:$AJ$4, "SME", Y9:AJ9), "")</f>
        <v>0</v>
      </c>
      <c r="AM9" s="286" t="n">
        <f aca="false">IFERROR(SUMIF($Y$4:$AJ$4, "De Minimis", Y9:AJ9), "")</f>
        <v>0</v>
      </c>
      <c r="AN9" s="268"/>
      <c r="AO9" s="284" t="n">
        <f aca="false">IFERROR($G9*$J9*L9, "")</f>
        <v>0</v>
      </c>
      <c r="AP9" s="284" t="n">
        <f aca="false">IFERROR($G9*$J9*M9, "")</f>
        <v>0</v>
      </c>
      <c r="AQ9" s="284" t="n">
        <f aca="false">IFERROR($G9*$J9*N9, "")</f>
        <v>0</v>
      </c>
      <c r="AR9" s="284" t="n">
        <f aca="false">IFERROR($G9*$J9*O9, "")</f>
        <v>0</v>
      </c>
      <c r="AS9" s="284" t="n">
        <f aca="false">IFERROR($G9*$J9*P9, "")</f>
        <v>0</v>
      </c>
      <c r="AT9" s="284" t="n">
        <f aca="false">IFERROR($G9*$J9*Q9, "")</f>
        <v>0</v>
      </c>
      <c r="AU9" s="284" t="n">
        <f aca="false">IFERROR($G9*$J9*R9, "")</f>
        <v>0</v>
      </c>
      <c r="AV9" s="284" t="n">
        <f aca="false">IFERROR($G9*$J9*S9, "")</f>
        <v>0</v>
      </c>
      <c r="AW9" s="284" t="n">
        <f aca="false">IFERROR($G9*$J9*T9, "")</f>
        <v>0</v>
      </c>
      <c r="AX9" s="284" t="n">
        <f aca="false">IFERROR($G9*$J9*U9, "")</f>
        <v>0</v>
      </c>
      <c r="AY9" s="284" t="n">
        <f aca="false">IFERROR($G9*$J9*V9, "")</f>
        <v>0</v>
      </c>
      <c r="AZ9" s="284" t="n">
        <f aca="false">IFERROR($G9*$J9*W9, "")</f>
        <v>0</v>
      </c>
      <c r="BA9" s="286" t="n">
        <f aca="false">IFERROR(SUMIF($AO$4:$AZ$4, "RDEC", AO9:AZ9), "")</f>
        <v>0</v>
      </c>
      <c r="BB9" s="286" t="n">
        <f aca="false">IFERROR(SUMIF($AO$4:$AZ$4, "SME", AO9:AZ9), "")</f>
        <v>0</v>
      </c>
      <c r="BC9" s="286" t="n">
        <f aca="false">IFERROR(SUMIF($AO$4:$AZ$4, "De Minimis", AO9:AZ9), "")</f>
        <v>0</v>
      </c>
      <c r="BD9" s="287"/>
      <c r="BE9" s="288" t="str">
        <f aca="false">IF((SUM(L9:W9)&gt;1),"ERROR","")</f>
        <v/>
      </c>
    </row>
    <row r="10" customFormat="false" ht="15" hidden="false" customHeight="true" outlineLevel="0" collapsed="false">
      <c r="B10" s="333"/>
      <c r="C10" s="334"/>
      <c r="D10" s="333" t="n">
        <f aca="false">EDATE(D9, 1)</f>
        <v>45323</v>
      </c>
      <c r="E10" s="277" t="n">
        <v>0</v>
      </c>
      <c r="F10" s="277" t="n">
        <v>0</v>
      </c>
      <c r="G10" s="277" t="n">
        <f aca="false">SUM(E10:F10)</f>
        <v>0</v>
      </c>
      <c r="H10" s="204"/>
      <c r="I10" s="279" t="n">
        <v>1</v>
      </c>
      <c r="J10" s="280" t="n">
        <f aca="false">1-I10</f>
        <v>0</v>
      </c>
      <c r="K10" s="277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3"/>
      <c r="Y10" s="284" t="n">
        <f aca="false">IFERROR(L10*$G10*I$9, "")</f>
        <v>0</v>
      </c>
      <c r="Z10" s="284" t="n">
        <f aca="false">IFERROR(M10*$G10*$I10, "")</f>
        <v>0</v>
      </c>
      <c r="AA10" s="284" t="n">
        <f aca="false">IFERROR(N10*$G10*$I10, "")</f>
        <v>0</v>
      </c>
      <c r="AB10" s="284" t="n">
        <f aca="false">IFERROR(O10*$G10*$I10, "")</f>
        <v>0</v>
      </c>
      <c r="AC10" s="284" t="n">
        <f aca="false">IFERROR(P10*$G10*$I10, "")</f>
        <v>0</v>
      </c>
      <c r="AD10" s="284" t="n">
        <f aca="false">IFERROR(Q10*$G10*$I10, "")</f>
        <v>0</v>
      </c>
      <c r="AE10" s="284" t="n">
        <f aca="false">IFERROR(R10*$G10*$I10, "")</f>
        <v>0</v>
      </c>
      <c r="AF10" s="284" t="n">
        <f aca="false">IFERROR(S10*$G10*$I10, "")</f>
        <v>0</v>
      </c>
      <c r="AG10" s="284" t="n">
        <f aca="false">IFERROR(T10*$G10*$I10, "")</f>
        <v>0</v>
      </c>
      <c r="AH10" s="284" t="n">
        <f aca="false">IFERROR(U10*$G10*$I10, "")</f>
        <v>0</v>
      </c>
      <c r="AI10" s="284" t="n">
        <f aca="false">IFERROR(V10*$G10*$I10, "")</f>
        <v>0</v>
      </c>
      <c r="AJ10" s="284" t="n">
        <f aca="false">IFERROR(W10*$G10*$I10, "")</f>
        <v>0</v>
      </c>
      <c r="AK10" s="286" t="n">
        <f aca="false">IFERROR(SUMIF($Y$4:$AJ$4, "RDEC", Y10:AJ10), "")</f>
        <v>0</v>
      </c>
      <c r="AL10" s="286" t="n">
        <f aca="false">IFERROR(SUMIF($Y$4:$AJ$4, "SME", Y10:AJ10), "")</f>
        <v>0</v>
      </c>
      <c r="AM10" s="286" t="n">
        <f aca="false">IFERROR(SUMIF($Y$4:$AJ$4, "De Minimis", Y10:AJ10), "")</f>
        <v>0</v>
      </c>
      <c r="AN10" s="283"/>
      <c r="AO10" s="284" t="n">
        <f aca="false">IFERROR($G10*$J10*L10, "")</f>
        <v>0</v>
      </c>
      <c r="AP10" s="284" t="n">
        <f aca="false">IFERROR($G10*$J10*M10, "")</f>
        <v>0</v>
      </c>
      <c r="AQ10" s="284" t="n">
        <f aca="false">IFERROR($G10*$J10*N10, "")</f>
        <v>0</v>
      </c>
      <c r="AR10" s="284" t="n">
        <f aca="false">IFERROR($G10*$J10*O10, "")</f>
        <v>0</v>
      </c>
      <c r="AS10" s="284" t="n">
        <f aca="false">IFERROR($G10*$J10*P10, "")</f>
        <v>0</v>
      </c>
      <c r="AT10" s="284" t="n">
        <f aca="false">IFERROR($G10*$J10*Q10, "")</f>
        <v>0</v>
      </c>
      <c r="AU10" s="284" t="n">
        <f aca="false">IFERROR($G10*$J10*R10, "")</f>
        <v>0</v>
      </c>
      <c r="AV10" s="284" t="n">
        <f aca="false">IFERROR($G10*$J10*S10, "")</f>
        <v>0</v>
      </c>
      <c r="AW10" s="284" t="n">
        <f aca="false">IFERROR($G10*$J10*T10, "")</f>
        <v>0</v>
      </c>
      <c r="AX10" s="284" t="n">
        <f aca="false">IFERROR($G10*$J10*U10, "")</f>
        <v>0</v>
      </c>
      <c r="AY10" s="284" t="n">
        <f aca="false">IFERROR($G10*$J10*V10, "")</f>
        <v>0</v>
      </c>
      <c r="AZ10" s="284" t="n">
        <f aca="false">IFERROR($G10*$J10*W10, "")</f>
        <v>0</v>
      </c>
      <c r="BA10" s="286" t="n">
        <f aca="false">IFERROR(SUMIF($AO$4:$AZ$4, "RDEC", AO10:AZ10), "")</f>
        <v>0</v>
      </c>
      <c r="BB10" s="286" t="n">
        <f aca="false">IFERROR(SUMIF($AO$4:$AZ$4, "SME", AO10:AZ10), "")</f>
        <v>0</v>
      </c>
      <c r="BC10" s="286" t="n">
        <f aca="false">IFERROR(SUMIF($Y$4:$AJ$4, "De Minimis", AO10:AZ10), "")</f>
        <v>0</v>
      </c>
      <c r="BD10" s="287"/>
      <c r="BE10" s="288" t="str">
        <f aca="false">IF((SUM(L10:W10)&gt;1),"ERROR","")</f>
        <v/>
      </c>
    </row>
    <row r="11" customFormat="false" ht="15" hidden="false" customHeight="true" outlineLevel="0" collapsed="false">
      <c r="B11" s="333"/>
      <c r="C11" s="334"/>
      <c r="D11" s="333" t="n">
        <f aca="false">EDATE(D10, 1)</f>
        <v>45352</v>
      </c>
      <c r="E11" s="277" t="n">
        <v>0</v>
      </c>
      <c r="F11" s="277" t="n">
        <v>0</v>
      </c>
      <c r="G11" s="277" t="n">
        <f aca="false">SUM(E11:F11)</f>
        <v>0</v>
      </c>
      <c r="H11" s="204"/>
      <c r="I11" s="279" t="n">
        <v>1</v>
      </c>
      <c r="J11" s="280" t="n">
        <f aca="false">1-I11</f>
        <v>0</v>
      </c>
      <c r="K11" s="277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3"/>
      <c r="Y11" s="284" t="n">
        <f aca="false">IFERROR(L11*$G11*I$9, "")</f>
        <v>0</v>
      </c>
      <c r="Z11" s="284" t="n">
        <f aca="false">IFERROR(M11*$G11*$I11, "")</f>
        <v>0</v>
      </c>
      <c r="AA11" s="284" t="n">
        <f aca="false">IFERROR(N11*$G11*$I11, "")</f>
        <v>0</v>
      </c>
      <c r="AB11" s="284" t="n">
        <f aca="false">IFERROR(O11*$G11*$I11, "")</f>
        <v>0</v>
      </c>
      <c r="AC11" s="284" t="n">
        <f aca="false">IFERROR(P11*$G11*$I11, "")</f>
        <v>0</v>
      </c>
      <c r="AD11" s="284" t="n">
        <f aca="false">IFERROR(Q11*$G11*$I11, "")</f>
        <v>0</v>
      </c>
      <c r="AE11" s="284" t="n">
        <f aca="false">IFERROR(R11*$G11*$I11, "")</f>
        <v>0</v>
      </c>
      <c r="AF11" s="284" t="n">
        <f aca="false">IFERROR(S11*$G11*$I11, "")</f>
        <v>0</v>
      </c>
      <c r="AG11" s="284" t="n">
        <f aca="false">IFERROR(T11*$G11*$I11, "")</f>
        <v>0</v>
      </c>
      <c r="AH11" s="284" t="n">
        <f aca="false">IFERROR(U11*$G11*$I11, "")</f>
        <v>0</v>
      </c>
      <c r="AI11" s="284" t="n">
        <f aca="false">IFERROR(V11*$G11*$I11, "")</f>
        <v>0</v>
      </c>
      <c r="AJ11" s="284" t="n">
        <f aca="false">IFERROR(W11*$G11*$I11, "")</f>
        <v>0</v>
      </c>
      <c r="AK11" s="286" t="n">
        <f aca="false">IFERROR(SUMIF($Y$4:$AJ$4, "RDEC", Y11:AJ11), "")</f>
        <v>0</v>
      </c>
      <c r="AL11" s="286" t="n">
        <f aca="false">IFERROR(SUMIF($Y$4:$AJ$4, "SME", Y11:AJ11), "")</f>
        <v>0</v>
      </c>
      <c r="AM11" s="286" t="n">
        <f aca="false">IFERROR(SUMIF($Y$4:$AJ$4, "De Minimis", Y11:AJ11), "")</f>
        <v>0</v>
      </c>
      <c r="AN11" s="283"/>
      <c r="AO11" s="284" t="n">
        <f aca="false">IFERROR($G11*$J11*L11, "")</f>
        <v>0</v>
      </c>
      <c r="AP11" s="284" t="n">
        <f aca="false">IFERROR($G11*$J11*M11, "")</f>
        <v>0</v>
      </c>
      <c r="AQ11" s="284" t="n">
        <f aca="false">IFERROR($G11*$J11*N11, "")</f>
        <v>0</v>
      </c>
      <c r="AR11" s="284" t="n">
        <f aca="false">IFERROR($G11*$J11*O11, "")</f>
        <v>0</v>
      </c>
      <c r="AS11" s="284" t="n">
        <f aca="false">IFERROR($G11*$J11*P11, "")</f>
        <v>0</v>
      </c>
      <c r="AT11" s="284" t="n">
        <f aca="false">IFERROR($G11*$J11*Q11, "")</f>
        <v>0</v>
      </c>
      <c r="AU11" s="284" t="n">
        <f aca="false">IFERROR($G11*$J11*R11, "")</f>
        <v>0</v>
      </c>
      <c r="AV11" s="284" t="n">
        <f aca="false">IFERROR($G11*$J11*S11, "")</f>
        <v>0</v>
      </c>
      <c r="AW11" s="284" t="n">
        <f aca="false">IFERROR($G11*$J11*T11, "")</f>
        <v>0</v>
      </c>
      <c r="AX11" s="284" t="n">
        <f aca="false">IFERROR($G11*$J11*U11, "")</f>
        <v>0</v>
      </c>
      <c r="AY11" s="284" t="n">
        <f aca="false">IFERROR($G11*$J11*V11, "")</f>
        <v>0</v>
      </c>
      <c r="AZ11" s="284" t="n">
        <f aca="false">IFERROR($G11*$J11*W11, "")</f>
        <v>0</v>
      </c>
      <c r="BA11" s="286" t="n">
        <f aca="false">IFERROR(SUMIF($AO$4:$AZ$4, "RDEC", AO11:AZ11), "")</f>
        <v>0</v>
      </c>
      <c r="BB11" s="286" t="n">
        <f aca="false">IFERROR(SUMIF($AO$4:$AZ$4, "SME", AO11:AZ11), "")</f>
        <v>0</v>
      </c>
      <c r="BC11" s="286" t="n">
        <f aca="false">IFERROR(SUMIF($Y$4:$AJ$4, "De Minimis", AO11:AZ11), "")</f>
        <v>0</v>
      </c>
      <c r="BD11" s="287"/>
      <c r="BE11" s="288" t="str">
        <f aca="false">IF((SUM(L11:W11)&gt;1),"ERROR","")</f>
        <v/>
      </c>
    </row>
    <row r="12" customFormat="false" ht="15" hidden="false" customHeight="true" outlineLevel="0" collapsed="false">
      <c r="B12" s="333"/>
      <c r="C12" s="334"/>
      <c r="D12" s="333" t="n">
        <f aca="false">EDATE(D11, 1)</f>
        <v>45383</v>
      </c>
      <c r="E12" s="277" t="n">
        <v>0</v>
      </c>
      <c r="F12" s="277" t="n">
        <v>0</v>
      </c>
      <c r="G12" s="277" t="n">
        <f aca="false">SUM(E12:F12)</f>
        <v>0</v>
      </c>
      <c r="H12" s="204"/>
      <c r="I12" s="279" t="n">
        <v>1</v>
      </c>
      <c r="J12" s="280" t="n">
        <f aca="false">1-I12</f>
        <v>0</v>
      </c>
      <c r="K12" s="277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3"/>
      <c r="Y12" s="284" t="n">
        <f aca="false">IFERROR(L12*$G12*I$9, "")</f>
        <v>0</v>
      </c>
      <c r="Z12" s="284" t="n">
        <f aca="false">IFERROR(M12*$G12*$I12, "")</f>
        <v>0</v>
      </c>
      <c r="AA12" s="284" t="n">
        <f aca="false">IFERROR(N12*$G12*$I12, "")</f>
        <v>0</v>
      </c>
      <c r="AB12" s="284" t="n">
        <f aca="false">IFERROR(O12*$G12*$I12, "")</f>
        <v>0</v>
      </c>
      <c r="AC12" s="284" t="n">
        <f aca="false">IFERROR(P12*$G12*$I12, "")</f>
        <v>0</v>
      </c>
      <c r="AD12" s="284" t="n">
        <f aca="false">IFERROR(Q12*$G12*$I12, "")</f>
        <v>0</v>
      </c>
      <c r="AE12" s="284" t="n">
        <f aca="false">IFERROR(R12*$G12*$I12, "")</f>
        <v>0</v>
      </c>
      <c r="AF12" s="284" t="n">
        <f aca="false">IFERROR(S12*$G12*$I12, "")</f>
        <v>0</v>
      </c>
      <c r="AG12" s="284" t="n">
        <f aca="false">IFERROR(T12*$G12*$I12, "")</f>
        <v>0</v>
      </c>
      <c r="AH12" s="284" t="n">
        <f aca="false">IFERROR(U12*$G12*$I12, "")</f>
        <v>0</v>
      </c>
      <c r="AI12" s="284" t="n">
        <f aca="false">IFERROR(V12*$G12*$I12, "")</f>
        <v>0</v>
      </c>
      <c r="AJ12" s="284" t="n">
        <f aca="false">IFERROR(W12*$G12*$I12, "")</f>
        <v>0</v>
      </c>
      <c r="AK12" s="286" t="n">
        <f aca="false">IFERROR(SUMIF($Y$4:$AJ$4, "RDEC", Y12:AJ12), "")</f>
        <v>0</v>
      </c>
      <c r="AL12" s="286" t="n">
        <f aca="false">IFERROR(SUMIF($Y$4:$AJ$4, "SME", Y12:AJ12), "")</f>
        <v>0</v>
      </c>
      <c r="AM12" s="286" t="n">
        <f aca="false">IFERROR(SUMIF($Y$4:$AJ$4, "De Minimis", Y12:AJ12), "")</f>
        <v>0</v>
      </c>
      <c r="AN12" s="283"/>
      <c r="AO12" s="284" t="n">
        <f aca="false">IFERROR($G12*$J12*L12, "")</f>
        <v>0</v>
      </c>
      <c r="AP12" s="284" t="n">
        <f aca="false">IFERROR($G12*$J12*M12, "")</f>
        <v>0</v>
      </c>
      <c r="AQ12" s="284" t="n">
        <f aca="false">IFERROR($G12*$J12*N12, "")</f>
        <v>0</v>
      </c>
      <c r="AR12" s="284" t="n">
        <f aca="false">IFERROR($G12*$J12*O12, "")</f>
        <v>0</v>
      </c>
      <c r="AS12" s="284" t="n">
        <f aca="false">IFERROR($G12*$J12*P12, "")</f>
        <v>0</v>
      </c>
      <c r="AT12" s="284" t="n">
        <f aca="false">IFERROR($G12*$J12*Q12, "")</f>
        <v>0</v>
      </c>
      <c r="AU12" s="284" t="n">
        <f aca="false">IFERROR($G12*$J12*R12, "")</f>
        <v>0</v>
      </c>
      <c r="AV12" s="284" t="n">
        <f aca="false">IFERROR($G12*$J12*S12, "")</f>
        <v>0</v>
      </c>
      <c r="AW12" s="284" t="n">
        <f aca="false">IFERROR($G12*$J12*T12, "")</f>
        <v>0</v>
      </c>
      <c r="AX12" s="284" t="n">
        <f aca="false">IFERROR($G12*$J12*U12, "")</f>
        <v>0</v>
      </c>
      <c r="AY12" s="284" t="n">
        <f aca="false">IFERROR($G12*$J12*V12, "")</f>
        <v>0</v>
      </c>
      <c r="AZ12" s="284" t="n">
        <f aca="false">IFERROR($G12*$J12*W12, "")</f>
        <v>0</v>
      </c>
      <c r="BA12" s="286" t="n">
        <f aca="false">IFERROR(SUMIF($AO$4:$AZ$4, "RDEC", AO12:AZ12), "")</f>
        <v>0</v>
      </c>
      <c r="BB12" s="286" t="n">
        <f aca="false">IFERROR(SUMIF($AO$4:$AZ$4, "SME", AO12:AZ12), "")</f>
        <v>0</v>
      </c>
      <c r="BC12" s="286" t="n">
        <f aca="false">IFERROR(SUMIF($Y$4:$AJ$4, "De Minimis", AO12:AZ12), "")</f>
        <v>0</v>
      </c>
      <c r="BD12" s="287"/>
      <c r="BE12" s="288" t="str">
        <f aca="false">IF((SUM(L12:W12)&gt;1),"ERROR","")</f>
        <v/>
      </c>
    </row>
    <row r="13" customFormat="false" ht="15" hidden="false" customHeight="true" outlineLevel="0" collapsed="false">
      <c r="B13" s="333"/>
      <c r="C13" s="334"/>
      <c r="D13" s="333" t="n">
        <f aca="false">EDATE(D12, 1)</f>
        <v>45413</v>
      </c>
      <c r="E13" s="277" t="n">
        <v>0</v>
      </c>
      <c r="F13" s="277" t="n">
        <v>0</v>
      </c>
      <c r="G13" s="277" t="n">
        <f aca="false">SUM(E13:F13)</f>
        <v>0</v>
      </c>
      <c r="H13" s="204"/>
      <c r="I13" s="279" t="n">
        <v>1</v>
      </c>
      <c r="J13" s="280" t="n">
        <f aca="false">1-I13</f>
        <v>0</v>
      </c>
      <c r="K13" s="277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3"/>
      <c r="Y13" s="284" t="n">
        <f aca="false">IFERROR(L13*$G13*I$9, "")</f>
        <v>0</v>
      </c>
      <c r="Z13" s="284" t="n">
        <f aca="false">IFERROR(M13*$G13*$I13, "")</f>
        <v>0</v>
      </c>
      <c r="AA13" s="284" t="n">
        <f aca="false">IFERROR(N13*$G13*$I13, "")</f>
        <v>0</v>
      </c>
      <c r="AB13" s="284" t="n">
        <f aca="false">IFERROR(O13*$G13*$I13, "")</f>
        <v>0</v>
      </c>
      <c r="AC13" s="284" t="n">
        <f aca="false">IFERROR(P13*$G13*$I13, "")</f>
        <v>0</v>
      </c>
      <c r="AD13" s="284" t="n">
        <f aca="false">IFERROR(Q13*$G13*$I13, "")</f>
        <v>0</v>
      </c>
      <c r="AE13" s="284" t="n">
        <f aca="false">IFERROR(R13*$G13*$I13, "")</f>
        <v>0</v>
      </c>
      <c r="AF13" s="284" t="n">
        <f aca="false">IFERROR(S13*$G13*$I13, "")</f>
        <v>0</v>
      </c>
      <c r="AG13" s="284" t="n">
        <f aca="false">IFERROR(T13*$G13*$I13, "")</f>
        <v>0</v>
      </c>
      <c r="AH13" s="284" t="n">
        <f aca="false">IFERROR(U13*$G13*$I13, "")</f>
        <v>0</v>
      </c>
      <c r="AI13" s="284" t="n">
        <f aca="false">IFERROR(V13*$G13*$I13, "")</f>
        <v>0</v>
      </c>
      <c r="AJ13" s="284" t="n">
        <f aca="false">IFERROR(W13*$G13*$I13, "")</f>
        <v>0</v>
      </c>
      <c r="AK13" s="286" t="n">
        <f aca="false">IFERROR(SUMIF($Y$4:$AJ$4, "RDEC", Y13:AJ13), "")</f>
        <v>0</v>
      </c>
      <c r="AL13" s="286" t="n">
        <f aca="false">IFERROR(SUMIF($Y$4:$AJ$4, "SME", Y13:AJ13), "")</f>
        <v>0</v>
      </c>
      <c r="AM13" s="286" t="n">
        <f aca="false">IFERROR(SUMIF($Y$4:$AJ$4, "De Minimis", Y13:AJ13), "")</f>
        <v>0</v>
      </c>
      <c r="AN13" s="283"/>
      <c r="AO13" s="284" t="n">
        <f aca="false">IFERROR($G13*$J13*L13, "")</f>
        <v>0</v>
      </c>
      <c r="AP13" s="284" t="n">
        <f aca="false">IFERROR($G13*$J13*M13, "")</f>
        <v>0</v>
      </c>
      <c r="AQ13" s="284" t="n">
        <f aca="false">IFERROR($G13*$J13*N13, "")</f>
        <v>0</v>
      </c>
      <c r="AR13" s="284" t="n">
        <f aca="false">IFERROR($G13*$J13*O13, "")</f>
        <v>0</v>
      </c>
      <c r="AS13" s="284" t="n">
        <f aca="false">IFERROR($G13*$J13*P13, "")</f>
        <v>0</v>
      </c>
      <c r="AT13" s="284" t="n">
        <f aca="false">IFERROR($G13*$J13*Q13, "")</f>
        <v>0</v>
      </c>
      <c r="AU13" s="284" t="n">
        <f aca="false">IFERROR($G13*$J13*R13, "")</f>
        <v>0</v>
      </c>
      <c r="AV13" s="284" t="n">
        <f aca="false">IFERROR($G13*$J13*S13, "")</f>
        <v>0</v>
      </c>
      <c r="AW13" s="284" t="n">
        <f aca="false">IFERROR($G13*$J13*T13, "")</f>
        <v>0</v>
      </c>
      <c r="AX13" s="284" t="n">
        <f aca="false">IFERROR($G13*$J13*U13, "")</f>
        <v>0</v>
      </c>
      <c r="AY13" s="284" t="n">
        <f aca="false">IFERROR($G13*$J13*V13, "")</f>
        <v>0</v>
      </c>
      <c r="AZ13" s="284" t="n">
        <f aca="false">IFERROR($G13*$J13*W13, "")</f>
        <v>0</v>
      </c>
      <c r="BA13" s="286" t="n">
        <f aca="false">IFERROR(SUMIF($AO$4:$AZ$4, "RDEC", AO13:AZ13), "")</f>
        <v>0</v>
      </c>
      <c r="BB13" s="286" t="n">
        <f aca="false">IFERROR(SUMIF($AO$4:$AZ$4, "SME", AO13:AZ13), "")</f>
        <v>0</v>
      </c>
      <c r="BC13" s="286" t="n">
        <f aca="false">IFERROR(SUMIF($Y$4:$AJ$4, "De Minimis", AO13:AZ13), "")</f>
        <v>0</v>
      </c>
      <c r="BD13" s="287"/>
      <c r="BE13" s="288" t="str">
        <f aca="false">IF((SUM(L13:W13)&gt;1),"ERROR","")</f>
        <v/>
      </c>
    </row>
    <row r="14" customFormat="false" ht="15" hidden="false" customHeight="true" outlineLevel="0" collapsed="false">
      <c r="B14" s="333"/>
      <c r="C14" s="334"/>
      <c r="D14" s="333" t="n">
        <f aca="false">EDATE(D13, 1)</f>
        <v>45444</v>
      </c>
      <c r="E14" s="277" t="n">
        <v>0</v>
      </c>
      <c r="F14" s="277" t="n">
        <v>0</v>
      </c>
      <c r="G14" s="277" t="n">
        <f aca="false">SUM(E14:F14)</f>
        <v>0</v>
      </c>
      <c r="H14" s="204"/>
      <c r="I14" s="279" t="n">
        <v>1</v>
      </c>
      <c r="J14" s="280" t="n">
        <f aca="false">1-I14</f>
        <v>0</v>
      </c>
      <c r="K14" s="277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3"/>
      <c r="Y14" s="284" t="n">
        <f aca="false">IFERROR(L14*$G14*I$9, "")</f>
        <v>0</v>
      </c>
      <c r="Z14" s="284" t="n">
        <f aca="false">IFERROR(M14*$G14*$I14, "")</f>
        <v>0</v>
      </c>
      <c r="AA14" s="284" t="n">
        <f aca="false">IFERROR(N14*$G14*$I14, "")</f>
        <v>0</v>
      </c>
      <c r="AB14" s="284" t="n">
        <f aca="false">IFERROR(O14*$G14*$I14, "")</f>
        <v>0</v>
      </c>
      <c r="AC14" s="284" t="n">
        <f aca="false">IFERROR(P14*$G14*$I14, "")</f>
        <v>0</v>
      </c>
      <c r="AD14" s="284" t="n">
        <f aca="false">IFERROR(Q14*$G14*$I14, "")</f>
        <v>0</v>
      </c>
      <c r="AE14" s="284" t="n">
        <f aca="false">IFERROR(R14*$G14*$I14, "")</f>
        <v>0</v>
      </c>
      <c r="AF14" s="284" t="n">
        <f aca="false">IFERROR(S14*$G14*$I14, "")</f>
        <v>0</v>
      </c>
      <c r="AG14" s="284" t="n">
        <f aca="false">IFERROR(T14*$G14*$I14, "")</f>
        <v>0</v>
      </c>
      <c r="AH14" s="284" t="n">
        <f aca="false">IFERROR(U14*$G14*$I14, "")</f>
        <v>0</v>
      </c>
      <c r="AI14" s="284" t="n">
        <f aca="false">IFERROR(V14*$G14*$I14, "")</f>
        <v>0</v>
      </c>
      <c r="AJ14" s="284" t="n">
        <f aca="false">IFERROR(W14*$G14*$I14, "")</f>
        <v>0</v>
      </c>
      <c r="AK14" s="286" t="n">
        <f aca="false">IFERROR(SUMIF($Y$4:$AJ$4, "RDEC", Y14:AJ14), "")</f>
        <v>0</v>
      </c>
      <c r="AL14" s="286" t="n">
        <f aca="false">IFERROR(SUMIF($Y$4:$AJ$4, "SME", Y14:AJ14), "")</f>
        <v>0</v>
      </c>
      <c r="AM14" s="286" t="n">
        <f aca="false">IFERROR(SUMIF($Y$4:$AJ$4, "De Minimis", Y14:AJ14), "")</f>
        <v>0</v>
      </c>
      <c r="AN14" s="283"/>
      <c r="AO14" s="284" t="n">
        <f aca="false">IFERROR($G14*$J14*L14, "")</f>
        <v>0</v>
      </c>
      <c r="AP14" s="284" t="n">
        <f aca="false">IFERROR($G14*$J14*M14, "")</f>
        <v>0</v>
      </c>
      <c r="AQ14" s="284" t="n">
        <f aca="false">IFERROR($G14*$J14*N14, "")</f>
        <v>0</v>
      </c>
      <c r="AR14" s="284" t="n">
        <f aca="false">IFERROR($G14*$J14*O14, "")</f>
        <v>0</v>
      </c>
      <c r="AS14" s="284" t="n">
        <f aca="false">IFERROR($G14*$J14*P14, "")</f>
        <v>0</v>
      </c>
      <c r="AT14" s="284" t="n">
        <f aca="false">IFERROR($G14*$J14*Q14, "")</f>
        <v>0</v>
      </c>
      <c r="AU14" s="284" t="n">
        <f aca="false">IFERROR($G14*$J14*R14, "")</f>
        <v>0</v>
      </c>
      <c r="AV14" s="284" t="n">
        <f aca="false">IFERROR($G14*$J14*S14, "")</f>
        <v>0</v>
      </c>
      <c r="AW14" s="284" t="n">
        <f aca="false">IFERROR($G14*$J14*T14, "")</f>
        <v>0</v>
      </c>
      <c r="AX14" s="284" t="n">
        <f aca="false">IFERROR($G14*$J14*U14, "")</f>
        <v>0</v>
      </c>
      <c r="AY14" s="284" t="n">
        <f aca="false">IFERROR($G14*$J14*V14, "")</f>
        <v>0</v>
      </c>
      <c r="AZ14" s="284" t="n">
        <f aca="false">IFERROR($G14*$J14*W14, "")</f>
        <v>0</v>
      </c>
      <c r="BA14" s="286" t="n">
        <f aca="false">IFERROR(SUMIF($AO$4:$AZ$4, "RDEC", AO14:AZ14), "")</f>
        <v>0</v>
      </c>
      <c r="BB14" s="286" t="n">
        <f aca="false">IFERROR(SUMIF($AO$4:$AZ$4, "SME", AO14:AZ14), "")</f>
        <v>0</v>
      </c>
      <c r="BC14" s="286" t="n">
        <f aca="false">IFERROR(SUMIF($Y$4:$AJ$4, "De Minimis", AO14:AZ14), "")</f>
        <v>0</v>
      </c>
      <c r="BD14" s="287"/>
      <c r="BE14" s="288" t="str">
        <f aca="false">IF((SUM(L14:W14)&gt;1),"ERROR","")</f>
        <v/>
      </c>
    </row>
    <row r="15" customFormat="false" ht="15" hidden="false" customHeight="true" outlineLevel="0" collapsed="false">
      <c r="B15" s="333"/>
      <c r="C15" s="334"/>
      <c r="D15" s="333" t="n">
        <f aca="false">EDATE(D14, 1)</f>
        <v>45474</v>
      </c>
      <c r="E15" s="277" t="n">
        <v>0</v>
      </c>
      <c r="F15" s="277" t="n">
        <v>0</v>
      </c>
      <c r="G15" s="277" t="n">
        <f aca="false">SUM(E15:F15)</f>
        <v>0</v>
      </c>
      <c r="H15" s="204"/>
      <c r="I15" s="279" t="n">
        <v>1</v>
      </c>
      <c r="J15" s="280" t="n">
        <f aca="false">1-I15</f>
        <v>0</v>
      </c>
      <c r="K15" s="277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3"/>
      <c r="Y15" s="284" t="n">
        <f aca="false">IFERROR(L15*$G15*I$9, "")</f>
        <v>0</v>
      </c>
      <c r="Z15" s="284" t="n">
        <f aca="false">IFERROR(M15*$G15*$I15, "")</f>
        <v>0</v>
      </c>
      <c r="AA15" s="284" t="n">
        <f aca="false">IFERROR(N15*$G15*$I15, "")</f>
        <v>0</v>
      </c>
      <c r="AB15" s="284" t="n">
        <f aca="false">IFERROR(O15*$G15*$I15, "")</f>
        <v>0</v>
      </c>
      <c r="AC15" s="284" t="n">
        <f aca="false">IFERROR(P15*$G15*$I15, "")</f>
        <v>0</v>
      </c>
      <c r="AD15" s="284" t="n">
        <f aca="false">IFERROR(Q15*$G15*$I15, "")</f>
        <v>0</v>
      </c>
      <c r="AE15" s="284" t="n">
        <f aca="false">IFERROR(R15*$G15*$I15, "")</f>
        <v>0</v>
      </c>
      <c r="AF15" s="284" t="n">
        <f aca="false">IFERROR(S15*$G15*$I15, "")</f>
        <v>0</v>
      </c>
      <c r="AG15" s="284" t="n">
        <f aca="false">IFERROR(T15*$G15*$I15, "")</f>
        <v>0</v>
      </c>
      <c r="AH15" s="284" t="n">
        <f aca="false">IFERROR(U15*$G15*$I15, "")</f>
        <v>0</v>
      </c>
      <c r="AI15" s="284" t="n">
        <f aca="false">IFERROR(V15*$G15*$I15, "")</f>
        <v>0</v>
      </c>
      <c r="AJ15" s="284" t="n">
        <f aca="false">IFERROR(W15*$G15*$I15, "")</f>
        <v>0</v>
      </c>
      <c r="AK15" s="286" t="n">
        <f aca="false">IFERROR(SUMIF($Y$4:$AJ$4, "RDEC", Y15:AJ15), "")</f>
        <v>0</v>
      </c>
      <c r="AL15" s="286" t="n">
        <f aca="false">IFERROR(SUMIF($Y$4:$AJ$4, "SME", Y15:AJ15), "")</f>
        <v>0</v>
      </c>
      <c r="AM15" s="286" t="n">
        <f aca="false">IFERROR(SUMIF($Y$4:$AJ$4, "De Minimis", Y15:AJ15), "")</f>
        <v>0</v>
      </c>
      <c r="AN15" s="283"/>
      <c r="AO15" s="284" t="n">
        <f aca="false">IFERROR($G15*$J15*L15, "")</f>
        <v>0</v>
      </c>
      <c r="AP15" s="284" t="n">
        <f aca="false">IFERROR($G15*$J15*M15, "")</f>
        <v>0</v>
      </c>
      <c r="AQ15" s="284" t="n">
        <f aca="false">IFERROR($G15*$J15*N15, "")</f>
        <v>0</v>
      </c>
      <c r="AR15" s="284" t="n">
        <f aca="false">IFERROR($G15*$J15*O15, "")</f>
        <v>0</v>
      </c>
      <c r="AS15" s="284" t="n">
        <f aca="false">IFERROR($G15*$J15*P15, "")</f>
        <v>0</v>
      </c>
      <c r="AT15" s="284" t="n">
        <f aca="false">IFERROR($G15*$J15*Q15, "")</f>
        <v>0</v>
      </c>
      <c r="AU15" s="284" t="n">
        <f aca="false">IFERROR($G15*$J15*R15, "")</f>
        <v>0</v>
      </c>
      <c r="AV15" s="284" t="n">
        <f aca="false">IFERROR($G15*$J15*S15, "")</f>
        <v>0</v>
      </c>
      <c r="AW15" s="284" t="n">
        <f aca="false">IFERROR($G15*$J15*T15, "")</f>
        <v>0</v>
      </c>
      <c r="AX15" s="284" t="n">
        <f aca="false">IFERROR($G15*$J15*U15, "")</f>
        <v>0</v>
      </c>
      <c r="AY15" s="284" t="n">
        <f aca="false">IFERROR($G15*$J15*V15, "")</f>
        <v>0</v>
      </c>
      <c r="AZ15" s="284" t="n">
        <f aca="false">IFERROR($G15*$J15*W15, "")</f>
        <v>0</v>
      </c>
      <c r="BA15" s="286" t="n">
        <f aca="false">IFERROR(SUMIF($AO$4:$AZ$4, "RDEC", AO15:AZ15), "")</f>
        <v>0</v>
      </c>
      <c r="BB15" s="286" t="n">
        <f aca="false">IFERROR(SUMIF($AO$4:$AZ$4, "SME", AO15:AZ15), "")</f>
        <v>0</v>
      </c>
      <c r="BC15" s="286" t="n">
        <f aca="false">IFERROR(SUMIF($Y$4:$AJ$4, "De Minimis", AO15:AZ15), "")</f>
        <v>0</v>
      </c>
      <c r="BD15" s="287"/>
      <c r="BE15" s="288" t="str">
        <f aca="false">IF((SUM(L15:W15)&gt;1),"ERROR","")</f>
        <v/>
      </c>
    </row>
    <row r="16" customFormat="false" ht="15" hidden="false" customHeight="true" outlineLevel="0" collapsed="false">
      <c r="B16" s="333"/>
      <c r="C16" s="334"/>
      <c r="D16" s="333" t="n">
        <f aca="false">EDATE(D15, 1)</f>
        <v>45505</v>
      </c>
      <c r="E16" s="277" t="n">
        <v>0</v>
      </c>
      <c r="F16" s="277" t="n">
        <v>0</v>
      </c>
      <c r="G16" s="277" t="n">
        <f aca="false">SUM(E16:F16)</f>
        <v>0</v>
      </c>
      <c r="H16" s="204"/>
      <c r="I16" s="279" t="n">
        <v>1</v>
      </c>
      <c r="J16" s="280" t="n">
        <f aca="false">1-I16</f>
        <v>0</v>
      </c>
      <c r="K16" s="277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3"/>
      <c r="Y16" s="284" t="n">
        <f aca="false">IFERROR(L16*$G16*I$9, "")</f>
        <v>0</v>
      </c>
      <c r="Z16" s="284" t="n">
        <f aca="false">IFERROR(M16*$G16*$I16, "")</f>
        <v>0</v>
      </c>
      <c r="AA16" s="284" t="n">
        <f aca="false">IFERROR(N16*$G16*$I16, "")</f>
        <v>0</v>
      </c>
      <c r="AB16" s="284" t="n">
        <f aca="false">IFERROR(O16*$G16*$I16, "")</f>
        <v>0</v>
      </c>
      <c r="AC16" s="284" t="n">
        <f aca="false">IFERROR(P16*$G16*$I16, "")</f>
        <v>0</v>
      </c>
      <c r="AD16" s="284" t="n">
        <f aca="false">IFERROR(Q16*$G16*$I16, "")</f>
        <v>0</v>
      </c>
      <c r="AE16" s="284" t="n">
        <f aca="false">IFERROR(R16*$G16*$I16, "")</f>
        <v>0</v>
      </c>
      <c r="AF16" s="284" t="n">
        <f aca="false">IFERROR(S16*$G16*$I16, "")</f>
        <v>0</v>
      </c>
      <c r="AG16" s="284" t="n">
        <f aca="false">IFERROR(T16*$G16*$I16, "")</f>
        <v>0</v>
      </c>
      <c r="AH16" s="284" t="n">
        <f aca="false">IFERROR(U16*$G16*$I16, "")</f>
        <v>0</v>
      </c>
      <c r="AI16" s="284" t="n">
        <f aca="false">IFERROR(V16*$G16*$I16, "")</f>
        <v>0</v>
      </c>
      <c r="AJ16" s="284" t="n">
        <f aca="false">IFERROR(W16*$G16*$I16, "")</f>
        <v>0</v>
      </c>
      <c r="AK16" s="286" t="n">
        <f aca="false">IFERROR(SUMIF($Y$4:$AJ$4, "RDEC", Y16:AJ16), "")</f>
        <v>0</v>
      </c>
      <c r="AL16" s="286" t="n">
        <f aca="false">IFERROR(SUMIF($Y$4:$AJ$4, "SME", Y16:AJ16), "")</f>
        <v>0</v>
      </c>
      <c r="AM16" s="286" t="n">
        <f aca="false">IFERROR(SUMIF($Y$4:$AJ$4, "De Minimis", Y16:AJ16), "")</f>
        <v>0</v>
      </c>
      <c r="AN16" s="283"/>
      <c r="AO16" s="284" t="n">
        <f aca="false">IFERROR($G16*$J16*L16, "")</f>
        <v>0</v>
      </c>
      <c r="AP16" s="284" t="n">
        <f aca="false">IFERROR($G16*$J16*M16, "")</f>
        <v>0</v>
      </c>
      <c r="AQ16" s="284" t="n">
        <f aca="false">IFERROR($G16*$J16*N16, "")</f>
        <v>0</v>
      </c>
      <c r="AR16" s="284" t="n">
        <f aca="false">IFERROR($G16*$J16*O16, "")</f>
        <v>0</v>
      </c>
      <c r="AS16" s="284" t="n">
        <f aca="false">IFERROR($G16*$J16*P16, "")</f>
        <v>0</v>
      </c>
      <c r="AT16" s="284" t="n">
        <f aca="false">IFERROR($G16*$J16*Q16, "")</f>
        <v>0</v>
      </c>
      <c r="AU16" s="284" t="n">
        <f aca="false">IFERROR($G16*$J16*R16, "")</f>
        <v>0</v>
      </c>
      <c r="AV16" s="284" t="n">
        <f aca="false">IFERROR($G16*$J16*S16, "")</f>
        <v>0</v>
      </c>
      <c r="AW16" s="284" t="n">
        <f aca="false">IFERROR($G16*$J16*T16, "")</f>
        <v>0</v>
      </c>
      <c r="AX16" s="284" t="n">
        <f aca="false">IFERROR($G16*$J16*U16, "")</f>
        <v>0</v>
      </c>
      <c r="AY16" s="284" t="n">
        <f aca="false">IFERROR($G16*$J16*V16, "")</f>
        <v>0</v>
      </c>
      <c r="AZ16" s="284" t="n">
        <f aca="false">IFERROR($G16*$J16*W16, "")</f>
        <v>0</v>
      </c>
      <c r="BA16" s="286" t="n">
        <f aca="false">IFERROR(SUMIF($AO$4:$AZ$4, "RDEC", AO16:AZ16), "")</f>
        <v>0</v>
      </c>
      <c r="BB16" s="286" t="n">
        <f aca="false">IFERROR(SUMIF($AO$4:$AZ$4, "SME", AO16:AZ16), "")</f>
        <v>0</v>
      </c>
      <c r="BC16" s="286" t="n">
        <f aca="false">IFERROR(SUMIF($Y$4:$AJ$4, "De Minimis", AO16:AZ16), "")</f>
        <v>0</v>
      </c>
      <c r="BD16" s="287"/>
      <c r="BE16" s="288" t="str">
        <f aca="false">IF((SUM(L16:W16)&gt;1),"ERROR","")</f>
        <v/>
      </c>
    </row>
    <row r="17" customFormat="false" ht="15" hidden="false" customHeight="true" outlineLevel="0" collapsed="false">
      <c r="B17" s="333"/>
      <c r="C17" s="334"/>
      <c r="D17" s="333" t="n">
        <f aca="false">EDATE(D16, 1)</f>
        <v>45536</v>
      </c>
      <c r="E17" s="277" t="n">
        <v>0</v>
      </c>
      <c r="F17" s="277" t="n">
        <v>0</v>
      </c>
      <c r="G17" s="277" t="n">
        <f aca="false">SUM(E17:F17)</f>
        <v>0</v>
      </c>
      <c r="H17" s="204"/>
      <c r="I17" s="279" t="n">
        <v>1</v>
      </c>
      <c r="J17" s="280" t="n">
        <f aca="false">1-I17</f>
        <v>0</v>
      </c>
      <c r="K17" s="277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3"/>
      <c r="Y17" s="284" t="n">
        <f aca="false">IFERROR(L17*$G17*I$9, "")</f>
        <v>0</v>
      </c>
      <c r="Z17" s="284" t="n">
        <f aca="false">IFERROR(M17*$G17*$I17, "")</f>
        <v>0</v>
      </c>
      <c r="AA17" s="284" t="n">
        <f aca="false">IFERROR(N17*$G17*$I17, "")</f>
        <v>0</v>
      </c>
      <c r="AB17" s="284" t="n">
        <f aca="false">IFERROR(O17*$G17*$I17, "")</f>
        <v>0</v>
      </c>
      <c r="AC17" s="284" t="n">
        <f aca="false">IFERROR(P17*$G17*$I17, "")</f>
        <v>0</v>
      </c>
      <c r="AD17" s="284" t="n">
        <f aca="false">IFERROR(Q17*$G17*$I17, "")</f>
        <v>0</v>
      </c>
      <c r="AE17" s="284" t="n">
        <f aca="false">IFERROR(R17*$G17*$I17, "")</f>
        <v>0</v>
      </c>
      <c r="AF17" s="284" t="n">
        <f aca="false">IFERROR(S17*$G17*$I17, "")</f>
        <v>0</v>
      </c>
      <c r="AG17" s="284" t="n">
        <f aca="false">IFERROR(T17*$G17*$I17, "")</f>
        <v>0</v>
      </c>
      <c r="AH17" s="284" t="n">
        <f aca="false">IFERROR(U17*$G17*$I17, "")</f>
        <v>0</v>
      </c>
      <c r="AI17" s="284" t="n">
        <f aca="false">IFERROR(V17*$G17*$I17, "")</f>
        <v>0</v>
      </c>
      <c r="AJ17" s="284" t="n">
        <f aca="false">IFERROR(W17*$G17*$I17, "")</f>
        <v>0</v>
      </c>
      <c r="AK17" s="286" t="n">
        <f aca="false">IFERROR(SUMIF($Y$4:$AJ$4, "RDEC", Y17:AJ17), "")</f>
        <v>0</v>
      </c>
      <c r="AL17" s="286" t="n">
        <f aca="false">IFERROR(SUMIF($Y$4:$AJ$4, "SME", Y17:AJ17), "")</f>
        <v>0</v>
      </c>
      <c r="AM17" s="286" t="n">
        <f aca="false">IFERROR(SUMIF($Y$4:$AJ$4, "De Minimis", Y17:AJ17), "")</f>
        <v>0</v>
      </c>
      <c r="AN17" s="283"/>
      <c r="AO17" s="284" t="n">
        <f aca="false">IFERROR($G17*$J17*L17, "")</f>
        <v>0</v>
      </c>
      <c r="AP17" s="284" t="n">
        <f aca="false">IFERROR($G17*$J17*M17, "")</f>
        <v>0</v>
      </c>
      <c r="AQ17" s="284" t="n">
        <f aca="false">IFERROR($G17*$J17*N17, "")</f>
        <v>0</v>
      </c>
      <c r="AR17" s="284" t="n">
        <f aca="false">IFERROR($G17*$J17*O17, "")</f>
        <v>0</v>
      </c>
      <c r="AS17" s="284" t="n">
        <f aca="false">IFERROR($G17*$J17*P17, "")</f>
        <v>0</v>
      </c>
      <c r="AT17" s="284" t="n">
        <f aca="false">IFERROR($G17*$J17*Q17, "")</f>
        <v>0</v>
      </c>
      <c r="AU17" s="284" t="n">
        <f aca="false">IFERROR($G17*$J17*R17, "")</f>
        <v>0</v>
      </c>
      <c r="AV17" s="284" t="n">
        <f aca="false">IFERROR($G17*$J17*S17, "")</f>
        <v>0</v>
      </c>
      <c r="AW17" s="284" t="n">
        <f aca="false">IFERROR($G17*$J17*T17, "")</f>
        <v>0</v>
      </c>
      <c r="AX17" s="284" t="n">
        <f aca="false">IFERROR($G17*$J17*U17, "")</f>
        <v>0</v>
      </c>
      <c r="AY17" s="284" t="n">
        <f aca="false">IFERROR($G17*$J17*V17, "")</f>
        <v>0</v>
      </c>
      <c r="AZ17" s="284" t="n">
        <f aca="false">IFERROR($G17*$J17*W17, "")</f>
        <v>0</v>
      </c>
      <c r="BA17" s="286" t="n">
        <f aca="false">IFERROR(SUMIF($AO$4:$AZ$4, "RDEC", AO17:AZ17), "")</f>
        <v>0</v>
      </c>
      <c r="BB17" s="286" t="n">
        <f aca="false">IFERROR(SUMIF($AO$4:$AZ$4, "SME", AO17:AZ17), "")</f>
        <v>0</v>
      </c>
      <c r="BC17" s="286" t="n">
        <f aca="false">IFERROR(SUMIF($Y$4:$AJ$4, "De Minimis", AO17:AZ17), "")</f>
        <v>0</v>
      </c>
      <c r="BD17" s="287"/>
      <c r="BE17" s="288" t="str">
        <f aca="false">IF((SUM(L17:W17)&gt;1),"ERROR","")</f>
        <v/>
      </c>
    </row>
    <row r="18" customFormat="false" ht="15" hidden="false" customHeight="true" outlineLevel="0" collapsed="false">
      <c r="B18" s="333"/>
      <c r="C18" s="334"/>
      <c r="D18" s="333" t="n">
        <f aca="false">EDATE(D17, 1)</f>
        <v>45566</v>
      </c>
      <c r="E18" s="277" t="n">
        <v>0</v>
      </c>
      <c r="F18" s="277" t="n">
        <v>0</v>
      </c>
      <c r="G18" s="277" t="n">
        <f aca="false">SUM(E18:F18)</f>
        <v>0</v>
      </c>
      <c r="H18" s="204"/>
      <c r="I18" s="279" t="n">
        <v>1</v>
      </c>
      <c r="J18" s="280" t="n">
        <f aca="false">1-I18</f>
        <v>0</v>
      </c>
      <c r="K18" s="277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3"/>
      <c r="Y18" s="284" t="n">
        <f aca="false">IFERROR(L18*$G18*I$9, "")</f>
        <v>0</v>
      </c>
      <c r="Z18" s="284" t="n">
        <f aca="false">IFERROR(M18*$G18*$I18, "")</f>
        <v>0</v>
      </c>
      <c r="AA18" s="284" t="n">
        <f aca="false">IFERROR(N18*$G18*$I18, "")</f>
        <v>0</v>
      </c>
      <c r="AB18" s="284" t="n">
        <f aca="false">IFERROR(O18*$G18*$I18, "")</f>
        <v>0</v>
      </c>
      <c r="AC18" s="284" t="n">
        <f aca="false">IFERROR(P18*$G18*$I18, "")</f>
        <v>0</v>
      </c>
      <c r="AD18" s="284" t="n">
        <f aca="false">IFERROR(Q18*$G18*$I18, "")</f>
        <v>0</v>
      </c>
      <c r="AE18" s="284" t="n">
        <f aca="false">IFERROR(R18*$G18*$I18, "")</f>
        <v>0</v>
      </c>
      <c r="AF18" s="284" t="n">
        <f aca="false">IFERROR(S18*$G18*$I18, "")</f>
        <v>0</v>
      </c>
      <c r="AG18" s="284" t="n">
        <f aca="false">IFERROR(T18*$G18*$I18, "")</f>
        <v>0</v>
      </c>
      <c r="AH18" s="284" t="n">
        <f aca="false">IFERROR(U18*$G18*$I18, "")</f>
        <v>0</v>
      </c>
      <c r="AI18" s="284" t="n">
        <f aca="false">IFERROR(V18*$G18*$I18, "")</f>
        <v>0</v>
      </c>
      <c r="AJ18" s="284" t="n">
        <f aca="false">IFERROR(W18*$G18*$I18, "")</f>
        <v>0</v>
      </c>
      <c r="AK18" s="286" t="n">
        <f aca="false">IFERROR(SUMIF($Y$4:$AJ$4, "RDEC", Y18:AJ18), "")</f>
        <v>0</v>
      </c>
      <c r="AL18" s="286" t="n">
        <f aca="false">IFERROR(SUMIF($Y$4:$AJ$4, "SME", Y18:AJ18), "")</f>
        <v>0</v>
      </c>
      <c r="AM18" s="286" t="n">
        <f aca="false">IFERROR(SUMIF($Y$4:$AJ$4, "De Minimis", Y18:AJ18), "")</f>
        <v>0</v>
      </c>
      <c r="AN18" s="283"/>
      <c r="AO18" s="284" t="n">
        <f aca="false">IFERROR($G18*$J18*L18, "")</f>
        <v>0</v>
      </c>
      <c r="AP18" s="284" t="n">
        <f aca="false">IFERROR($G18*$J18*M18, "")</f>
        <v>0</v>
      </c>
      <c r="AQ18" s="284" t="n">
        <f aca="false">IFERROR($G18*$J18*N18, "")</f>
        <v>0</v>
      </c>
      <c r="AR18" s="284" t="n">
        <f aca="false">IFERROR($G18*$J18*O18, "")</f>
        <v>0</v>
      </c>
      <c r="AS18" s="284" t="n">
        <f aca="false">IFERROR($G18*$J18*P18, "")</f>
        <v>0</v>
      </c>
      <c r="AT18" s="284" t="n">
        <f aca="false">IFERROR($G18*$J18*Q18, "")</f>
        <v>0</v>
      </c>
      <c r="AU18" s="284" t="n">
        <f aca="false">IFERROR($G18*$J18*R18, "")</f>
        <v>0</v>
      </c>
      <c r="AV18" s="284" t="n">
        <f aca="false">IFERROR($G18*$J18*S18, "")</f>
        <v>0</v>
      </c>
      <c r="AW18" s="284" t="n">
        <f aca="false">IFERROR($G18*$J18*T18, "")</f>
        <v>0</v>
      </c>
      <c r="AX18" s="284" t="n">
        <f aca="false">IFERROR($G18*$J18*U18, "")</f>
        <v>0</v>
      </c>
      <c r="AY18" s="284" t="n">
        <f aca="false">IFERROR($G18*$J18*V18, "")</f>
        <v>0</v>
      </c>
      <c r="AZ18" s="284" t="n">
        <f aca="false">IFERROR($G18*$J18*W18, "")</f>
        <v>0</v>
      </c>
      <c r="BA18" s="286" t="n">
        <f aca="false">IFERROR(SUMIF($AO$4:$AZ$4, "RDEC", AO18:AZ18), "")</f>
        <v>0</v>
      </c>
      <c r="BB18" s="286" t="n">
        <f aca="false">IFERROR(SUMIF($AO$4:$AZ$4, "SME", AO18:AZ18), "")</f>
        <v>0</v>
      </c>
      <c r="BC18" s="286" t="n">
        <f aca="false">IFERROR(SUMIF($Y$4:$AJ$4, "De Minimis", AO18:AZ18), "")</f>
        <v>0</v>
      </c>
      <c r="BD18" s="287"/>
      <c r="BE18" s="288" t="str">
        <f aca="false">IF((SUM(L18:W18)&gt;1),"ERROR","")</f>
        <v/>
      </c>
    </row>
    <row r="19" customFormat="false" ht="15" hidden="false" customHeight="true" outlineLevel="0" collapsed="false">
      <c r="B19" s="333"/>
      <c r="C19" s="334"/>
      <c r="D19" s="333" t="n">
        <f aca="false">EDATE(D18, 1)</f>
        <v>45597</v>
      </c>
      <c r="E19" s="277" t="n">
        <v>0</v>
      </c>
      <c r="F19" s="277" t="n">
        <v>0</v>
      </c>
      <c r="G19" s="277" t="n">
        <f aca="false">SUM(E19:F19)</f>
        <v>0</v>
      </c>
      <c r="H19" s="204"/>
      <c r="I19" s="279" t="n">
        <v>1</v>
      </c>
      <c r="J19" s="280" t="n">
        <f aca="false">1-I19</f>
        <v>0</v>
      </c>
      <c r="K19" s="277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3"/>
      <c r="Y19" s="284" t="n">
        <f aca="false">IFERROR(L19*$G19*I$9, "")</f>
        <v>0</v>
      </c>
      <c r="Z19" s="284" t="n">
        <f aca="false">IFERROR(M19*$G19*$I19, "")</f>
        <v>0</v>
      </c>
      <c r="AA19" s="284" t="n">
        <f aca="false">IFERROR(N19*$G19*$I19, "")</f>
        <v>0</v>
      </c>
      <c r="AB19" s="284" t="n">
        <f aca="false">IFERROR(O19*$G19*$I19, "")</f>
        <v>0</v>
      </c>
      <c r="AC19" s="284" t="n">
        <f aca="false">IFERROR(P19*$G19*$I19, "")</f>
        <v>0</v>
      </c>
      <c r="AD19" s="284" t="n">
        <f aca="false">IFERROR(Q19*$G19*$I19, "")</f>
        <v>0</v>
      </c>
      <c r="AE19" s="284" t="n">
        <f aca="false">IFERROR(R19*$G19*$I19, "")</f>
        <v>0</v>
      </c>
      <c r="AF19" s="284" t="n">
        <f aca="false">IFERROR(S19*$G19*$I19, "")</f>
        <v>0</v>
      </c>
      <c r="AG19" s="284" t="n">
        <f aca="false">IFERROR(T19*$G19*$I19, "")</f>
        <v>0</v>
      </c>
      <c r="AH19" s="284" t="n">
        <f aca="false">IFERROR(U19*$G19*$I19, "")</f>
        <v>0</v>
      </c>
      <c r="AI19" s="284" t="n">
        <f aca="false">IFERROR(V19*$G19*$I19, "")</f>
        <v>0</v>
      </c>
      <c r="AJ19" s="284" t="n">
        <f aca="false">IFERROR(W19*$G19*$I19, "")</f>
        <v>0</v>
      </c>
      <c r="AK19" s="286" t="n">
        <f aca="false">IFERROR(SUMIF($Y$4:$AJ$4, "RDEC", Y19:AJ19), "")</f>
        <v>0</v>
      </c>
      <c r="AL19" s="286" t="n">
        <f aca="false">IFERROR(SUMIF($Y$4:$AJ$4, "SME", Y19:AJ19), "")</f>
        <v>0</v>
      </c>
      <c r="AM19" s="286" t="n">
        <f aca="false">IFERROR(SUMIF($Y$4:$AJ$4, "De Minimis", Y19:AJ19), "")</f>
        <v>0</v>
      </c>
      <c r="AN19" s="283"/>
      <c r="AO19" s="284" t="n">
        <f aca="false">IFERROR($G19*$J19*L19, "")</f>
        <v>0</v>
      </c>
      <c r="AP19" s="284" t="n">
        <f aca="false">IFERROR($G19*$J19*M19, "")</f>
        <v>0</v>
      </c>
      <c r="AQ19" s="284" t="n">
        <f aca="false">IFERROR($G19*$J19*N19, "")</f>
        <v>0</v>
      </c>
      <c r="AR19" s="284" t="n">
        <f aca="false">IFERROR($G19*$J19*O19, "")</f>
        <v>0</v>
      </c>
      <c r="AS19" s="284" t="n">
        <f aca="false">IFERROR($G19*$J19*P19, "")</f>
        <v>0</v>
      </c>
      <c r="AT19" s="284" t="n">
        <f aca="false">IFERROR($G19*$J19*Q19, "")</f>
        <v>0</v>
      </c>
      <c r="AU19" s="284" t="n">
        <f aca="false">IFERROR($G19*$J19*R19, "")</f>
        <v>0</v>
      </c>
      <c r="AV19" s="284" t="n">
        <f aca="false">IFERROR($G19*$J19*S19, "")</f>
        <v>0</v>
      </c>
      <c r="AW19" s="284" t="n">
        <f aca="false">IFERROR($G19*$J19*T19, "")</f>
        <v>0</v>
      </c>
      <c r="AX19" s="284" t="n">
        <f aca="false">IFERROR($G19*$J19*U19, "")</f>
        <v>0</v>
      </c>
      <c r="AY19" s="284" t="n">
        <f aca="false">IFERROR($G19*$J19*V19, "")</f>
        <v>0</v>
      </c>
      <c r="AZ19" s="284" t="n">
        <f aca="false">IFERROR($G19*$J19*W19, "")</f>
        <v>0</v>
      </c>
      <c r="BA19" s="286" t="n">
        <f aca="false">IFERROR(SUMIF($AO$4:$AZ$4, "RDEC", AO19:AZ19), "")</f>
        <v>0</v>
      </c>
      <c r="BB19" s="286" t="n">
        <f aca="false">IFERROR(SUMIF($AO$4:$AZ$4, "SME", AO19:AZ19), "")</f>
        <v>0</v>
      </c>
      <c r="BC19" s="286" t="n">
        <f aca="false">IFERROR(SUMIF($Y$4:$AJ$4, "De Minimis", AO19:AZ19), "")</f>
        <v>0</v>
      </c>
      <c r="BD19" s="287"/>
      <c r="BE19" s="288" t="str">
        <f aca="false">IF((SUM(L19:W19)&gt;1),"ERROR","")</f>
        <v/>
      </c>
    </row>
    <row r="20" customFormat="false" ht="15" hidden="false" customHeight="true" outlineLevel="0" collapsed="false">
      <c r="B20" s="333"/>
      <c r="C20" s="334"/>
      <c r="D20" s="333" t="n">
        <f aca="false">EDATE(D19, 1)</f>
        <v>45627</v>
      </c>
      <c r="E20" s="277" t="n">
        <v>0</v>
      </c>
      <c r="F20" s="277" t="n">
        <v>0</v>
      </c>
      <c r="G20" s="277" t="n">
        <f aca="false">SUM(E20:F20)</f>
        <v>0</v>
      </c>
      <c r="H20" s="300"/>
      <c r="I20" s="289" t="n">
        <v>1</v>
      </c>
      <c r="J20" s="290" t="n">
        <f aca="false">1-I20</f>
        <v>0</v>
      </c>
      <c r="K20" s="300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83"/>
      <c r="Y20" s="284" t="n">
        <f aca="false">IFERROR(L20*$G20*I$9, "")</f>
        <v>0</v>
      </c>
      <c r="Z20" s="284" t="n">
        <f aca="false">IFERROR(M20*$G20*$I20, "")</f>
        <v>0</v>
      </c>
      <c r="AA20" s="284" t="n">
        <f aca="false">IFERROR(N20*$G20*$I20, "")</f>
        <v>0</v>
      </c>
      <c r="AB20" s="284" t="n">
        <f aca="false">IFERROR(O20*$G20*$I20, "")</f>
        <v>0</v>
      </c>
      <c r="AC20" s="284" t="n">
        <f aca="false">IFERROR(P20*$G20*$I20, "")</f>
        <v>0</v>
      </c>
      <c r="AD20" s="284" t="n">
        <f aca="false">IFERROR(Q20*$G20*$I20, "")</f>
        <v>0</v>
      </c>
      <c r="AE20" s="284" t="n">
        <f aca="false">IFERROR(R20*$G20*$I20, "")</f>
        <v>0</v>
      </c>
      <c r="AF20" s="284" t="n">
        <f aca="false">IFERROR(S20*$G20*$I20, "")</f>
        <v>0</v>
      </c>
      <c r="AG20" s="284" t="n">
        <f aca="false">IFERROR(T20*$G20*$I20, "")</f>
        <v>0</v>
      </c>
      <c r="AH20" s="284" t="n">
        <f aca="false">IFERROR(U20*$G20*$I20, "")</f>
        <v>0</v>
      </c>
      <c r="AI20" s="284" t="n">
        <f aca="false">IFERROR(V20*$G20*$I20, "")</f>
        <v>0</v>
      </c>
      <c r="AJ20" s="284" t="n">
        <f aca="false">IFERROR(W20*$G20*$I20, "")</f>
        <v>0</v>
      </c>
      <c r="AK20" s="294" t="n">
        <f aca="false">IFERROR(SUMIF($Y$4:$AJ$4, "RDEC", Y20:AJ20), "")</f>
        <v>0</v>
      </c>
      <c r="AL20" s="294" t="n">
        <f aca="false">IFERROR(SUMIF($Y$4:$AJ$4, "SME", Y20:AJ20), "")</f>
        <v>0</v>
      </c>
      <c r="AM20" s="294" t="n">
        <f aca="false">IFERROR(SUMIF($Y$4:$AJ$4, "De Minimis", Y20:AJ20), "")</f>
        <v>0</v>
      </c>
      <c r="AN20" s="283"/>
      <c r="AO20" s="284" t="n">
        <f aca="false">IFERROR($G20*$J20*L20, "")</f>
        <v>0</v>
      </c>
      <c r="AP20" s="284" t="n">
        <f aca="false">IFERROR($G20*$J20*M20, "")</f>
        <v>0</v>
      </c>
      <c r="AQ20" s="284" t="n">
        <f aca="false">IFERROR($G20*$J20*N20, "")</f>
        <v>0</v>
      </c>
      <c r="AR20" s="284" t="n">
        <f aca="false">IFERROR($G20*$J20*O20, "")</f>
        <v>0</v>
      </c>
      <c r="AS20" s="284" t="n">
        <f aca="false">IFERROR($G20*$J20*P20, "")</f>
        <v>0</v>
      </c>
      <c r="AT20" s="284" t="n">
        <f aca="false">IFERROR($G20*$J20*Q20, "")</f>
        <v>0</v>
      </c>
      <c r="AU20" s="284" t="n">
        <f aca="false">IFERROR($G20*$J20*R20, "")</f>
        <v>0</v>
      </c>
      <c r="AV20" s="284" t="n">
        <f aca="false">IFERROR($G20*$J20*S20, "")</f>
        <v>0</v>
      </c>
      <c r="AW20" s="284" t="n">
        <f aca="false">IFERROR($G20*$J20*T20, "")</f>
        <v>0</v>
      </c>
      <c r="AX20" s="284" t="n">
        <f aca="false">IFERROR($G20*$J20*U20, "")</f>
        <v>0</v>
      </c>
      <c r="AY20" s="284" t="n">
        <f aca="false">IFERROR($G20*$J20*V20, "")</f>
        <v>0</v>
      </c>
      <c r="AZ20" s="284" t="n">
        <f aca="false">IFERROR($G20*$J20*W20, "")</f>
        <v>0</v>
      </c>
      <c r="BA20" s="286" t="n">
        <f aca="false">IFERROR(SUMIF($AO$4:$AZ$4, "RDEC", AO20:AZ20), "")</f>
        <v>0</v>
      </c>
      <c r="BB20" s="286" t="n">
        <f aca="false">IFERROR(SUMIF($AO$4:$AZ$4, "SME", AO20:AZ20), "")</f>
        <v>0</v>
      </c>
      <c r="BC20" s="294" t="n">
        <f aca="false">IFERROR(SUMIF($Y$4:$AJ$4, "De Minimis", AO20:AZ20), "")</f>
        <v>0</v>
      </c>
      <c r="BD20" s="303"/>
      <c r="BE20" s="295" t="str">
        <f aca="false">IF((SUM(L20:W20)&gt;1),"ERROR","")</f>
        <v/>
      </c>
    </row>
    <row r="21" customFormat="false" ht="15" hidden="false" customHeight="true" outlineLevel="0" collapsed="false">
      <c r="B21" s="296"/>
      <c r="D21" s="297" t="s">
        <v>82</v>
      </c>
      <c r="E21" s="299" t="n">
        <f aca="false">SUM(E9:E20)</f>
        <v>0</v>
      </c>
      <c r="F21" s="299" t="n">
        <f aca="false">SUM(F9:F20)</f>
        <v>0</v>
      </c>
      <c r="G21" s="299" t="n">
        <f aca="false">SUM(G9:G20)</f>
        <v>0</v>
      </c>
      <c r="H21" s="300"/>
      <c r="I21" s="301" t="n">
        <f aca="false">AVERAGE(I9:I20)</f>
        <v>1</v>
      </c>
      <c r="J21" s="301" t="n">
        <f aca="false">AVERAGE(J9:J20)</f>
        <v>0</v>
      </c>
      <c r="K21" s="300"/>
      <c r="L21" s="290" t="n">
        <f aca="false">IF(SUM(L9:L20)&gt;0,(Y21/G21),0)</f>
        <v>0</v>
      </c>
      <c r="M21" s="301" t="n">
        <f aca="false">IF(SUM(M9:M20)&gt;0,(Z21/G21),0)</f>
        <v>0</v>
      </c>
      <c r="N21" s="301" t="n">
        <f aca="false">IF(SUM(N9:N20)&gt;0,(AA21/G21),0)</f>
        <v>0</v>
      </c>
      <c r="O21" s="301" t="n">
        <f aca="false">IF(SUM(O9:O20)&gt;0,(AB21/G21),0)</f>
        <v>0</v>
      </c>
      <c r="P21" s="301" t="n">
        <f aca="false">IF(SUM(P9:P20)&gt;0,(AC21/G21),0)</f>
        <v>0</v>
      </c>
      <c r="Q21" s="301" t="n">
        <f aca="false">IF(SUM(Q9:Q20)&gt;0,(AD21/G21),0)</f>
        <v>0</v>
      </c>
      <c r="R21" s="301" t="n">
        <f aca="false">IF(SUM(R9:R20)&gt;0,(AE21/G21),0)</f>
        <v>0</v>
      </c>
      <c r="S21" s="301" t="n">
        <f aca="false">IF(SUM(S9:S20)&gt;0,(AF21/G21),0)</f>
        <v>0</v>
      </c>
      <c r="T21" s="301" t="n">
        <f aca="false">IF(SUM(T9:T20)&gt;0,(AG21/G21),0)</f>
        <v>0</v>
      </c>
      <c r="U21" s="301" t="n">
        <f aca="false">IF(SUM(U9:U20)&gt;0,(AJ21/G21),0)</f>
        <v>0</v>
      </c>
      <c r="V21" s="301" t="n">
        <f aca="false">IF(SUM(V9:V20)&gt;0,(AI21/G21),0)</f>
        <v>0</v>
      </c>
      <c r="W21" s="301" t="n">
        <f aca="false">IF(SUM(W9:W20)&gt;0,(AJ21/G21),0)</f>
        <v>0</v>
      </c>
      <c r="X21" s="283"/>
      <c r="Y21" s="304" t="n">
        <f aca="false">SUM(Y9:Y20)</f>
        <v>0</v>
      </c>
      <c r="Z21" s="304" t="n">
        <f aca="false">SUM(Z9:Z20)</f>
        <v>0</v>
      </c>
      <c r="AA21" s="304" t="n">
        <f aca="false">SUM(AA9:AA20)</f>
        <v>0</v>
      </c>
      <c r="AB21" s="304" t="n">
        <f aca="false">SUM(AB9:AB20)</f>
        <v>0</v>
      </c>
      <c r="AC21" s="304" t="n">
        <f aca="false">SUM(AC9:AC20)</f>
        <v>0</v>
      </c>
      <c r="AD21" s="304" t="n">
        <f aca="false">SUM(AD9:AD20)</f>
        <v>0</v>
      </c>
      <c r="AE21" s="304" t="n">
        <f aca="false">SUM(AE9:AE20)</f>
        <v>0</v>
      </c>
      <c r="AF21" s="304" t="n">
        <f aca="false">SUM(AF9:AF20)</f>
        <v>0</v>
      </c>
      <c r="AG21" s="304" t="n">
        <f aca="false">SUM(AG9:AG20)</f>
        <v>0</v>
      </c>
      <c r="AH21" s="304" t="n">
        <f aca="false">SUM(AH9:AH20)</f>
        <v>0</v>
      </c>
      <c r="AI21" s="304" t="n">
        <f aca="false">SUM(AI9:AI20)</f>
        <v>0</v>
      </c>
      <c r="AJ21" s="304" t="n">
        <f aca="false">SUM(AJ9:AJ20)</f>
        <v>0</v>
      </c>
      <c r="AK21" s="335" t="n">
        <f aca="false">SUM(AK9:AK20)</f>
        <v>0</v>
      </c>
      <c r="AL21" s="336" t="n">
        <f aca="false">SUM(AL9:AL20)</f>
        <v>0</v>
      </c>
      <c r="AM21" s="305" t="n">
        <f aca="false">SUM(AM9:AM20)</f>
        <v>0</v>
      </c>
      <c r="AN21" s="283"/>
      <c r="AO21" s="304" t="n">
        <f aca="false">SUM(AO9:AO20)</f>
        <v>0</v>
      </c>
      <c r="AP21" s="304" t="n">
        <f aca="false">SUM(AP9:AP20)</f>
        <v>0</v>
      </c>
      <c r="AQ21" s="304" t="n">
        <f aca="false">SUM(AQ9:AQ20)</f>
        <v>0</v>
      </c>
      <c r="AR21" s="304" t="n">
        <f aca="false">SUM(AR9:AR20)</f>
        <v>0</v>
      </c>
      <c r="AS21" s="304" t="n">
        <f aca="false">SUM(AS9:AS20)</f>
        <v>0</v>
      </c>
      <c r="AT21" s="304" t="n">
        <f aca="false">SUM(AT9:AT20)</f>
        <v>0</v>
      </c>
      <c r="AU21" s="304" t="n">
        <f aca="false">SUM(AU9:AU20)</f>
        <v>0</v>
      </c>
      <c r="AV21" s="304" t="n">
        <f aca="false">SUM(AV9:AV20)</f>
        <v>0</v>
      </c>
      <c r="AW21" s="304" t="n">
        <f aca="false">SUM(AW9:AW20)</f>
        <v>0</v>
      </c>
      <c r="AX21" s="304" t="n">
        <f aca="false">SUM(AX9:AX20)</f>
        <v>0</v>
      </c>
      <c r="AY21" s="304" t="n">
        <f aca="false">SUM(AY9:AY20)</f>
        <v>0</v>
      </c>
      <c r="AZ21" s="304" t="n">
        <f aca="false">SUM(AZ9:AZ20)</f>
        <v>0</v>
      </c>
      <c r="BA21" s="336" t="n">
        <f aca="false">SUM(BA9:BA20)</f>
        <v>0</v>
      </c>
      <c r="BB21" s="336" t="n">
        <f aca="false">SUM(BB9:BB20)</f>
        <v>0</v>
      </c>
      <c r="BC21" s="305" t="n">
        <f aca="false">SUM(BC9:BC20)</f>
        <v>0</v>
      </c>
      <c r="BD21" s="303"/>
      <c r="BE21" s="337"/>
    </row>
    <row r="22" customFormat="false" ht="15" hidden="false" customHeight="true" outlineLevel="0" collapsed="false">
      <c r="B22" s="296"/>
      <c r="D22" s="297"/>
      <c r="E22" s="300"/>
      <c r="F22" s="300"/>
      <c r="G22" s="300"/>
      <c r="H22" s="241"/>
      <c r="I22" s="302"/>
      <c r="J22" s="302"/>
      <c r="K22" s="241"/>
      <c r="L22" s="259"/>
      <c r="M22" s="259"/>
      <c r="N22" s="259"/>
      <c r="O22" s="259"/>
      <c r="P22" s="259"/>
      <c r="Q22" s="259"/>
      <c r="R22" s="259"/>
      <c r="S22" s="259"/>
      <c r="T22" s="259"/>
      <c r="U22" s="259"/>
      <c r="V22" s="259"/>
      <c r="W22" s="259"/>
      <c r="X22" s="303"/>
      <c r="Y22" s="259"/>
      <c r="Z22" s="303"/>
      <c r="AA22" s="303"/>
      <c r="AB22" s="303"/>
      <c r="AC22" s="303"/>
      <c r="AD22" s="303"/>
      <c r="AE22" s="303"/>
      <c r="AF22" s="303"/>
      <c r="AG22" s="303"/>
      <c r="AH22" s="303"/>
      <c r="AI22" s="303"/>
      <c r="AJ22" s="303"/>
      <c r="AK22" s="303"/>
      <c r="AL22" s="303"/>
      <c r="AM22" s="303"/>
      <c r="AN22" s="303"/>
      <c r="AO22" s="259"/>
      <c r="AP22" s="303"/>
      <c r="AQ22" s="303"/>
      <c r="AR22" s="303"/>
      <c r="AS22" s="303"/>
      <c r="AT22" s="303"/>
      <c r="AU22" s="303"/>
      <c r="AV22" s="303"/>
      <c r="AW22" s="303"/>
      <c r="AX22" s="303"/>
      <c r="AY22" s="303"/>
      <c r="AZ22" s="303"/>
      <c r="BA22" s="303"/>
      <c r="BB22" s="303"/>
      <c r="BC22" s="303"/>
      <c r="BD22" s="268"/>
      <c r="BE22" s="303"/>
    </row>
    <row r="23" customFormat="false" ht="15" hidden="false" customHeight="true" outlineLevel="0" collapsed="false">
      <c r="A23" s="198" t="n">
        <f aca="false">A7+1</f>
        <v>2</v>
      </c>
      <c r="B23" s="266" t="s">
        <v>253</v>
      </c>
      <c r="C23" s="266" t="s">
        <v>253</v>
      </c>
      <c r="D23" s="266"/>
      <c r="E23" s="241"/>
      <c r="F23" s="241"/>
      <c r="G23" s="241"/>
      <c r="H23" s="241"/>
      <c r="I23" s="241"/>
      <c r="J23" s="241"/>
      <c r="K23" s="277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59"/>
      <c r="Y23" s="268"/>
      <c r="Z23" s="268"/>
      <c r="AA23" s="268"/>
      <c r="AB23" s="268"/>
      <c r="AC23" s="268"/>
      <c r="AD23" s="268"/>
      <c r="AE23" s="268"/>
      <c r="AF23" s="268"/>
      <c r="AG23" s="268"/>
      <c r="AH23" s="268"/>
      <c r="AI23" s="268"/>
      <c r="AJ23" s="268"/>
      <c r="AK23" s="268"/>
      <c r="AL23" s="268"/>
      <c r="AM23" s="268"/>
      <c r="AN23" s="259"/>
      <c r="AO23" s="268"/>
      <c r="AP23" s="268"/>
      <c r="AQ23" s="268"/>
      <c r="AR23" s="268"/>
      <c r="AS23" s="268"/>
      <c r="AT23" s="268"/>
      <c r="AU23" s="268"/>
      <c r="AV23" s="268"/>
      <c r="AW23" s="268"/>
      <c r="AX23" s="268"/>
      <c r="AY23" s="268"/>
      <c r="AZ23" s="268"/>
      <c r="BA23" s="268"/>
      <c r="BB23" s="268"/>
      <c r="BC23" s="268"/>
      <c r="BD23" s="287"/>
      <c r="BE23" s="268"/>
    </row>
    <row r="24" customFormat="false" ht="7.5" hidden="false" customHeight="true" outlineLevel="0" collapsed="false">
      <c r="A24" s="198"/>
      <c r="B24" s="266"/>
      <c r="C24" s="266"/>
      <c r="D24" s="266"/>
      <c r="E24" s="241"/>
      <c r="F24" s="241"/>
      <c r="G24" s="241"/>
      <c r="H24" s="204"/>
      <c r="I24" s="269"/>
      <c r="J24" s="269"/>
      <c r="K24" s="277"/>
      <c r="L24" s="269"/>
      <c r="M24" s="269"/>
      <c r="N24" s="269"/>
      <c r="O24" s="269"/>
      <c r="P24" s="269"/>
      <c r="Q24" s="269"/>
      <c r="R24" s="269"/>
      <c r="S24" s="269"/>
      <c r="T24" s="269"/>
      <c r="U24" s="269"/>
      <c r="V24" s="269"/>
      <c r="W24" s="269"/>
      <c r="X24" s="259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2"/>
      <c r="AK24" s="273"/>
      <c r="AL24" s="273"/>
      <c r="AM24" s="273"/>
      <c r="AN24" s="259"/>
      <c r="AO24" s="271"/>
      <c r="AP24" s="271"/>
      <c r="AQ24" s="271"/>
      <c r="AR24" s="271"/>
      <c r="AS24" s="271"/>
      <c r="AT24" s="271"/>
      <c r="AU24" s="271"/>
      <c r="AV24" s="271"/>
      <c r="AW24" s="271"/>
      <c r="AX24" s="271"/>
      <c r="AY24" s="271"/>
      <c r="AZ24" s="272"/>
      <c r="BA24" s="273"/>
      <c r="BB24" s="273"/>
      <c r="BC24" s="273"/>
      <c r="BD24" s="287"/>
      <c r="BE24" s="274"/>
    </row>
    <row r="25" customFormat="false" ht="15" hidden="false" customHeight="true" outlineLevel="0" collapsed="false">
      <c r="B25" s="333"/>
      <c r="C25" s="334"/>
      <c r="D25" s="333" t="n">
        <f aca="false">D9</f>
        <v>45292</v>
      </c>
      <c r="E25" s="277" t="n">
        <v>0</v>
      </c>
      <c r="F25" s="277" t="n">
        <v>0</v>
      </c>
      <c r="G25" s="277" t="n">
        <f aca="false">SUM(E25:F25)</f>
        <v>0</v>
      </c>
      <c r="H25" s="204"/>
      <c r="I25" s="279" t="n">
        <v>1</v>
      </c>
      <c r="J25" s="280" t="n">
        <f aca="false">1-I25</f>
        <v>0</v>
      </c>
      <c r="K25" s="277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68"/>
      <c r="Y25" s="284" t="n">
        <f aca="false">IFERROR(L25*$G25*I$9, "")</f>
        <v>0</v>
      </c>
      <c r="Z25" s="284" t="n">
        <f aca="false">IFERROR(M25*$G25*$I25, "")</f>
        <v>0</v>
      </c>
      <c r="AA25" s="284" t="n">
        <f aca="false">IFERROR(N25*$G25*$I25, "")</f>
        <v>0</v>
      </c>
      <c r="AB25" s="284" t="n">
        <f aca="false">IFERROR(O25*$G25*$I25, "")</f>
        <v>0</v>
      </c>
      <c r="AC25" s="284" t="n">
        <f aca="false">IFERROR(P25*$G25*$I25, "")</f>
        <v>0</v>
      </c>
      <c r="AD25" s="284" t="n">
        <f aca="false">IFERROR(Q25*$G25*$I25, "")</f>
        <v>0</v>
      </c>
      <c r="AE25" s="284" t="n">
        <f aca="false">IFERROR(R25*$G25*$I25, "")</f>
        <v>0</v>
      </c>
      <c r="AF25" s="284" t="n">
        <f aca="false">IFERROR(S25*$G25*$I25, "")</f>
        <v>0</v>
      </c>
      <c r="AG25" s="284" t="n">
        <f aca="false">IFERROR(T25*$G25*$I25, "")</f>
        <v>0</v>
      </c>
      <c r="AH25" s="284" t="n">
        <f aca="false">IFERROR(U25*$G25*$I25, "")</f>
        <v>0</v>
      </c>
      <c r="AI25" s="284" t="n">
        <f aca="false">IFERROR(V25*$G25*$I25, "")</f>
        <v>0</v>
      </c>
      <c r="AJ25" s="284" t="n">
        <f aca="false">IFERROR(W25*$G25*$I25, "")</f>
        <v>0</v>
      </c>
      <c r="AK25" s="286" t="n">
        <f aca="false">IFERROR(SUMIF($Y$4:$AJ$4, "RDEC", Y25:AJ25), "")</f>
        <v>0</v>
      </c>
      <c r="AL25" s="286" t="n">
        <f aca="false">IFERROR(SUMIF($Y$4:$AJ$4, "SME", Y25:AJ25), "")</f>
        <v>0</v>
      </c>
      <c r="AM25" s="286" t="n">
        <f aca="false">IFERROR(SUMIF($Y$4:$AJ$4, "De Minimis", Y25:AJ25), "")</f>
        <v>0</v>
      </c>
      <c r="AN25" s="268"/>
      <c r="AO25" s="284" t="n">
        <f aca="false">IFERROR($G25*$J25*L25, "")</f>
        <v>0</v>
      </c>
      <c r="AP25" s="284" t="n">
        <f aca="false">IFERROR($G25*$J25*M25, "")</f>
        <v>0</v>
      </c>
      <c r="AQ25" s="284" t="n">
        <f aca="false">IFERROR($G25*$J25*N25, "")</f>
        <v>0</v>
      </c>
      <c r="AR25" s="284" t="n">
        <f aca="false">IFERROR($G25*$J25*O25, "")</f>
        <v>0</v>
      </c>
      <c r="AS25" s="284" t="n">
        <f aca="false">IFERROR($G25*$J25*P25, "")</f>
        <v>0</v>
      </c>
      <c r="AT25" s="284" t="n">
        <f aca="false">IFERROR($G25*$J25*Q25, "")</f>
        <v>0</v>
      </c>
      <c r="AU25" s="284" t="n">
        <f aca="false">IFERROR($G25*$J25*R25, "")</f>
        <v>0</v>
      </c>
      <c r="AV25" s="284" t="n">
        <f aca="false">IFERROR($G25*$J25*S25, "")</f>
        <v>0</v>
      </c>
      <c r="AW25" s="284" t="n">
        <f aca="false">IFERROR($G25*$J25*T25, "")</f>
        <v>0</v>
      </c>
      <c r="AX25" s="284" t="n">
        <f aca="false">IFERROR($G25*$J25*U25, "")</f>
        <v>0</v>
      </c>
      <c r="AY25" s="284" t="n">
        <f aca="false">IFERROR($G25*$J25*V25, "")</f>
        <v>0</v>
      </c>
      <c r="AZ25" s="284" t="n">
        <f aca="false">IFERROR($G25*$J25*W25, "")</f>
        <v>0</v>
      </c>
      <c r="BA25" s="286" t="n">
        <f aca="false">IFERROR(SUMIF($AO$4:$AZ$4, "RDEC", AO25:AZ25), "")</f>
        <v>0</v>
      </c>
      <c r="BB25" s="286" t="n">
        <f aca="false">IFERROR(SUMIF($AO$4:$AZ$4, "SME", AO25:AZ25), "")</f>
        <v>0</v>
      </c>
      <c r="BC25" s="286" t="n">
        <f aca="false">IFERROR(SUMIF($AO$4:$AZ$4, "De Minimis", AO25:AZ25), "")</f>
        <v>0</v>
      </c>
      <c r="BD25" s="287"/>
      <c r="BE25" s="288" t="str">
        <f aca="false">IF((SUM(L25:W25)&gt;1),"ERROR","")</f>
        <v/>
      </c>
    </row>
    <row r="26" customFormat="false" ht="15" hidden="false" customHeight="true" outlineLevel="0" collapsed="false">
      <c r="B26" s="333"/>
      <c r="C26" s="334"/>
      <c r="D26" s="333" t="n">
        <f aca="false">D10</f>
        <v>45323</v>
      </c>
      <c r="E26" s="277" t="n">
        <v>0</v>
      </c>
      <c r="F26" s="277" t="n">
        <v>0</v>
      </c>
      <c r="G26" s="277" t="n">
        <f aca="false">SUM(E26:F26)</f>
        <v>0</v>
      </c>
      <c r="H26" s="204"/>
      <c r="I26" s="279" t="n">
        <v>1</v>
      </c>
      <c r="J26" s="280" t="n">
        <f aca="false">1-I26</f>
        <v>0</v>
      </c>
      <c r="K26" s="277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3"/>
      <c r="Y26" s="284" t="n">
        <f aca="false">IFERROR(L26*$G26*I$9, "")</f>
        <v>0</v>
      </c>
      <c r="Z26" s="284" t="n">
        <f aca="false">IFERROR(M26*$G26*$I26, "")</f>
        <v>0</v>
      </c>
      <c r="AA26" s="284" t="n">
        <f aca="false">IFERROR(N26*$G26*$I26, "")</f>
        <v>0</v>
      </c>
      <c r="AB26" s="284" t="n">
        <f aca="false">IFERROR(O26*$G26*$I26, "")</f>
        <v>0</v>
      </c>
      <c r="AC26" s="284" t="n">
        <f aca="false">IFERROR(P26*$G26*$I26, "")</f>
        <v>0</v>
      </c>
      <c r="AD26" s="284" t="n">
        <f aca="false">IFERROR(Q26*$G26*$I26, "")</f>
        <v>0</v>
      </c>
      <c r="AE26" s="284" t="n">
        <f aca="false">IFERROR(R26*$G26*$I26, "")</f>
        <v>0</v>
      </c>
      <c r="AF26" s="284" t="n">
        <f aca="false">IFERROR(S26*$G26*$I26, "")</f>
        <v>0</v>
      </c>
      <c r="AG26" s="284" t="n">
        <f aca="false">IFERROR(T26*$G26*$I26, "")</f>
        <v>0</v>
      </c>
      <c r="AH26" s="284" t="n">
        <f aca="false">IFERROR(U26*$G26*$I26, "")</f>
        <v>0</v>
      </c>
      <c r="AI26" s="284" t="n">
        <f aca="false">IFERROR(V26*$G26*$I26, "")</f>
        <v>0</v>
      </c>
      <c r="AJ26" s="284" t="n">
        <f aca="false">IFERROR(W26*$G26*$I26, "")</f>
        <v>0</v>
      </c>
      <c r="AK26" s="286" t="n">
        <f aca="false">IFERROR(SUMIF($Y$4:$AJ$4, "RDEC", Y26:AJ26), "")</f>
        <v>0</v>
      </c>
      <c r="AL26" s="286" t="n">
        <f aca="false">IFERROR(SUMIF($Y$4:$AJ$4, "SME", Y26:AJ26), "")</f>
        <v>0</v>
      </c>
      <c r="AM26" s="286" t="n">
        <f aca="false">IFERROR(SUMIF($Y$4:$AJ$4, "De Minimis", Y26:AJ26), "")</f>
        <v>0</v>
      </c>
      <c r="AN26" s="283"/>
      <c r="AO26" s="284" t="n">
        <f aca="false">IFERROR($G26*$J26*L26, "")</f>
        <v>0</v>
      </c>
      <c r="AP26" s="284" t="n">
        <f aca="false">IFERROR($G26*$J26*M26, "")</f>
        <v>0</v>
      </c>
      <c r="AQ26" s="284" t="n">
        <f aca="false">IFERROR($G26*$J26*N26, "")</f>
        <v>0</v>
      </c>
      <c r="AR26" s="284" t="n">
        <f aca="false">IFERROR($G26*$J26*O26, "")</f>
        <v>0</v>
      </c>
      <c r="AS26" s="284" t="n">
        <f aca="false">IFERROR($G26*$J26*P26, "")</f>
        <v>0</v>
      </c>
      <c r="AT26" s="284" t="n">
        <f aca="false">IFERROR($G26*$J26*Q26, "")</f>
        <v>0</v>
      </c>
      <c r="AU26" s="284" t="n">
        <f aca="false">IFERROR($G26*$J26*R26, "")</f>
        <v>0</v>
      </c>
      <c r="AV26" s="284" t="n">
        <f aca="false">IFERROR($G26*$J26*S26, "")</f>
        <v>0</v>
      </c>
      <c r="AW26" s="284" t="n">
        <f aca="false">IFERROR($G26*$J26*T26, "")</f>
        <v>0</v>
      </c>
      <c r="AX26" s="284" t="n">
        <f aca="false">IFERROR($G26*$J26*U26, "")</f>
        <v>0</v>
      </c>
      <c r="AY26" s="284" t="n">
        <f aca="false">IFERROR($G26*$J26*V26, "")</f>
        <v>0</v>
      </c>
      <c r="AZ26" s="284" t="n">
        <f aca="false">IFERROR($G26*$J26*W26, "")</f>
        <v>0</v>
      </c>
      <c r="BA26" s="286" t="n">
        <f aca="false">IFERROR(SUMIF($AO$4:$AZ$4, "RDEC", AO26:AZ26), "")</f>
        <v>0</v>
      </c>
      <c r="BB26" s="286" t="n">
        <f aca="false">IFERROR(SUMIF($AO$4:$AZ$4, "SME", AO26:AZ26), "")</f>
        <v>0</v>
      </c>
      <c r="BC26" s="286" t="n">
        <f aca="false">IFERROR(SUMIF($Y$4:$AJ$4, "De Minimis", AO26:AZ26), "")</f>
        <v>0</v>
      </c>
      <c r="BD26" s="287"/>
      <c r="BE26" s="288" t="str">
        <f aca="false">IF((SUM(L26:W26)&gt;1),"ERROR","")</f>
        <v/>
      </c>
    </row>
    <row r="27" customFormat="false" ht="15" hidden="false" customHeight="true" outlineLevel="0" collapsed="false">
      <c r="B27" s="333"/>
      <c r="C27" s="334"/>
      <c r="D27" s="333" t="n">
        <f aca="false">D11</f>
        <v>45352</v>
      </c>
      <c r="E27" s="277" t="n">
        <v>0</v>
      </c>
      <c r="F27" s="277" t="n">
        <v>0</v>
      </c>
      <c r="G27" s="277" t="n">
        <f aca="false">SUM(E27:F27)</f>
        <v>0</v>
      </c>
      <c r="H27" s="204"/>
      <c r="I27" s="279" t="n">
        <v>1</v>
      </c>
      <c r="J27" s="280" t="n">
        <f aca="false">1-I27</f>
        <v>0</v>
      </c>
      <c r="K27" s="277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3"/>
      <c r="Y27" s="284" t="n">
        <f aca="false">IFERROR(L27*$G27*I$9, "")</f>
        <v>0</v>
      </c>
      <c r="Z27" s="284" t="n">
        <f aca="false">IFERROR(M27*$G27*$I27, "")</f>
        <v>0</v>
      </c>
      <c r="AA27" s="284" t="n">
        <f aca="false">IFERROR(N27*$G27*$I27, "")</f>
        <v>0</v>
      </c>
      <c r="AB27" s="284" t="n">
        <f aca="false">IFERROR(O27*$G27*$I27, "")</f>
        <v>0</v>
      </c>
      <c r="AC27" s="284" t="n">
        <f aca="false">IFERROR(P27*$G27*$I27, "")</f>
        <v>0</v>
      </c>
      <c r="AD27" s="284" t="n">
        <f aca="false">IFERROR(Q27*$G27*$I27, "")</f>
        <v>0</v>
      </c>
      <c r="AE27" s="284" t="n">
        <f aca="false">IFERROR(R27*$G27*$I27, "")</f>
        <v>0</v>
      </c>
      <c r="AF27" s="284" t="n">
        <f aca="false">IFERROR(S27*$G27*$I27, "")</f>
        <v>0</v>
      </c>
      <c r="AG27" s="284" t="n">
        <f aca="false">IFERROR(T27*$G27*$I27, "")</f>
        <v>0</v>
      </c>
      <c r="AH27" s="284" t="n">
        <f aca="false">IFERROR(U27*$G27*$I27, "")</f>
        <v>0</v>
      </c>
      <c r="AI27" s="284" t="n">
        <f aca="false">IFERROR(V27*$G27*$I27, "")</f>
        <v>0</v>
      </c>
      <c r="AJ27" s="284" t="n">
        <f aca="false">IFERROR(W27*$G27*$I27, "")</f>
        <v>0</v>
      </c>
      <c r="AK27" s="286" t="n">
        <f aca="false">IFERROR(SUMIF($Y$4:$AJ$4, "RDEC", Y27:AJ27), "")</f>
        <v>0</v>
      </c>
      <c r="AL27" s="286" t="n">
        <f aca="false">IFERROR(SUMIF($Y$4:$AJ$4, "SME", Y27:AJ27), "")</f>
        <v>0</v>
      </c>
      <c r="AM27" s="286" t="n">
        <f aca="false">IFERROR(SUMIF($Y$4:$AJ$4, "De Minimis", Y27:AJ27), "")</f>
        <v>0</v>
      </c>
      <c r="AN27" s="283"/>
      <c r="AO27" s="284" t="n">
        <f aca="false">IFERROR($G27*$J27*L27, "")</f>
        <v>0</v>
      </c>
      <c r="AP27" s="284" t="n">
        <f aca="false">IFERROR($G27*$J27*M27, "")</f>
        <v>0</v>
      </c>
      <c r="AQ27" s="284" t="n">
        <f aca="false">IFERROR($G27*$J27*N27, "")</f>
        <v>0</v>
      </c>
      <c r="AR27" s="284" t="n">
        <f aca="false">IFERROR($G27*$J27*O27, "")</f>
        <v>0</v>
      </c>
      <c r="AS27" s="284" t="n">
        <f aca="false">IFERROR($G27*$J27*P27, "")</f>
        <v>0</v>
      </c>
      <c r="AT27" s="284" t="n">
        <f aca="false">IFERROR($G27*$J27*Q27, "")</f>
        <v>0</v>
      </c>
      <c r="AU27" s="284" t="n">
        <f aca="false">IFERROR($G27*$J27*R27, "")</f>
        <v>0</v>
      </c>
      <c r="AV27" s="284" t="n">
        <f aca="false">IFERROR($G27*$J27*S27, "")</f>
        <v>0</v>
      </c>
      <c r="AW27" s="284" t="n">
        <f aca="false">IFERROR($G27*$J27*T27, "")</f>
        <v>0</v>
      </c>
      <c r="AX27" s="284" t="n">
        <f aca="false">IFERROR($G27*$J27*U27, "")</f>
        <v>0</v>
      </c>
      <c r="AY27" s="284" t="n">
        <f aca="false">IFERROR($G27*$J27*V27, "")</f>
        <v>0</v>
      </c>
      <c r="AZ27" s="284" t="n">
        <f aca="false">IFERROR($G27*$J27*W27, "")</f>
        <v>0</v>
      </c>
      <c r="BA27" s="286" t="n">
        <f aca="false">IFERROR(SUMIF($AO$4:$AZ$4, "RDEC", AO27:AZ27), "")</f>
        <v>0</v>
      </c>
      <c r="BB27" s="286" t="n">
        <f aca="false">IFERROR(SUMIF($AO$4:$AZ$4, "SME", AO27:AZ27), "")</f>
        <v>0</v>
      </c>
      <c r="BC27" s="286" t="n">
        <f aca="false">IFERROR(SUMIF($Y$4:$AJ$4, "De Minimis", AO27:AZ27), "")</f>
        <v>0</v>
      </c>
      <c r="BD27" s="287"/>
      <c r="BE27" s="288" t="str">
        <f aca="false">IF((SUM(L27:W27)&gt;1),"ERROR","")</f>
        <v/>
      </c>
    </row>
    <row r="28" customFormat="false" ht="15" hidden="false" customHeight="true" outlineLevel="0" collapsed="false">
      <c r="B28" s="333"/>
      <c r="C28" s="334"/>
      <c r="D28" s="333" t="n">
        <f aca="false">D12</f>
        <v>45383</v>
      </c>
      <c r="E28" s="277" t="n">
        <v>0</v>
      </c>
      <c r="F28" s="277" t="n">
        <v>0</v>
      </c>
      <c r="G28" s="277" t="n">
        <f aca="false">SUM(E28:F28)</f>
        <v>0</v>
      </c>
      <c r="H28" s="204"/>
      <c r="I28" s="279" t="n">
        <v>1</v>
      </c>
      <c r="J28" s="280" t="n">
        <f aca="false">1-I28</f>
        <v>0</v>
      </c>
      <c r="K28" s="277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3"/>
      <c r="Y28" s="284" t="n">
        <f aca="false">IFERROR(L28*$G28*I$9, "")</f>
        <v>0</v>
      </c>
      <c r="Z28" s="284" t="n">
        <f aca="false">IFERROR(M28*$G28*$I28, "")</f>
        <v>0</v>
      </c>
      <c r="AA28" s="284" t="n">
        <f aca="false">IFERROR(N28*$G28*$I28, "")</f>
        <v>0</v>
      </c>
      <c r="AB28" s="284" t="n">
        <f aca="false">IFERROR(O28*$G28*$I28, "")</f>
        <v>0</v>
      </c>
      <c r="AC28" s="284" t="n">
        <f aca="false">IFERROR(P28*$G28*$I28, "")</f>
        <v>0</v>
      </c>
      <c r="AD28" s="284" t="n">
        <f aca="false">IFERROR(Q28*$G28*$I28, "")</f>
        <v>0</v>
      </c>
      <c r="AE28" s="284" t="n">
        <f aca="false">IFERROR(R28*$G28*$I28, "")</f>
        <v>0</v>
      </c>
      <c r="AF28" s="284" t="n">
        <f aca="false">IFERROR(S28*$G28*$I28, "")</f>
        <v>0</v>
      </c>
      <c r="AG28" s="284" t="n">
        <f aca="false">IFERROR(T28*$G28*$I28, "")</f>
        <v>0</v>
      </c>
      <c r="AH28" s="284" t="n">
        <f aca="false">IFERROR(U28*$G28*$I28, "")</f>
        <v>0</v>
      </c>
      <c r="AI28" s="284" t="n">
        <f aca="false">IFERROR(V28*$G28*$I28, "")</f>
        <v>0</v>
      </c>
      <c r="AJ28" s="284" t="n">
        <f aca="false">IFERROR(W28*$G28*$I28, "")</f>
        <v>0</v>
      </c>
      <c r="AK28" s="286" t="n">
        <f aca="false">IFERROR(SUMIF($Y$4:$AJ$4, "RDEC", Y28:AJ28), "")</f>
        <v>0</v>
      </c>
      <c r="AL28" s="286" t="n">
        <f aca="false">IFERROR(SUMIF($Y$4:$AJ$4, "SME", Y28:AJ28), "")</f>
        <v>0</v>
      </c>
      <c r="AM28" s="286" t="n">
        <f aca="false">IFERROR(SUMIF($Y$4:$AJ$4, "De Minimis", Y28:AJ28), "")</f>
        <v>0</v>
      </c>
      <c r="AN28" s="283"/>
      <c r="AO28" s="284" t="n">
        <f aca="false">IFERROR($G28*$J28*L28, "")</f>
        <v>0</v>
      </c>
      <c r="AP28" s="284" t="n">
        <f aca="false">IFERROR($G28*$J28*M28, "")</f>
        <v>0</v>
      </c>
      <c r="AQ28" s="284" t="n">
        <f aca="false">IFERROR($G28*$J28*N28, "")</f>
        <v>0</v>
      </c>
      <c r="AR28" s="284" t="n">
        <f aca="false">IFERROR($G28*$J28*O28, "")</f>
        <v>0</v>
      </c>
      <c r="AS28" s="284" t="n">
        <f aca="false">IFERROR($G28*$J28*P28, "")</f>
        <v>0</v>
      </c>
      <c r="AT28" s="284" t="n">
        <f aca="false">IFERROR($G28*$J28*Q28, "")</f>
        <v>0</v>
      </c>
      <c r="AU28" s="284" t="n">
        <f aca="false">IFERROR($G28*$J28*R28, "")</f>
        <v>0</v>
      </c>
      <c r="AV28" s="284" t="n">
        <f aca="false">IFERROR($G28*$J28*S28, "")</f>
        <v>0</v>
      </c>
      <c r="AW28" s="284" t="n">
        <f aca="false">IFERROR($G28*$J28*T28, "")</f>
        <v>0</v>
      </c>
      <c r="AX28" s="284" t="n">
        <f aca="false">IFERROR($G28*$J28*U28, "")</f>
        <v>0</v>
      </c>
      <c r="AY28" s="284" t="n">
        <f aca="false">IFERROR($G28*$J28*V28, "")</f>
        <v>0</v>
      </c>
      <c r="AZ28" s="284" t="n">
        <f aca="false">IFERROR($G28*$J28*W28, "")</f>
        <v>0</v>
      </c>
      <c r="BA28" s="286" t="n">
        <f aca="false">IFERROR(SUMIF($AO$4:$AZ$4, "RDEC", AO28:AZ28), "")</f>
        <v>0</v>
      </c>
      <c r="BB28" s="286" t="n">
        <f aca="false">IFERROR(SUMIF($AO$4:$AZ$4, "SME", AO28:AZ28), "")</f>
        <v>0</v>
      </c>
      <c r="BC28" s="286" t="n">
        <f aca="false">IFERROR(SUMIF($Y$4:$AJ$4, "De Minimis", AO28:AZ28), "")</f>
        <v>0</v>
      </c>
      <c r="BD28" s="287"/>
      <c r="BE28" s="288" t="str">
        <f aca="false">IF((SUM(L28:W28)&gt;1),"ERROR","")</f>
        <v/>
      </c>
    </row>
    <row r="29" customFormat="false" ht="15" hidden="false" customHeight="true" outlineLevel="0" collapsed="false">
      <c r="B29" s="333"/>
      <c r="C29" s="334"/>
      <c r="D29" s="333" t="n">
        <f aca="false">D13</f>
        <v>45413</v>
      </c>
      <c r="E29" s="277" t="n">
        <v>0</v>
      </c>
      <c r="F29" s="277" t="n">
        <v>0</v>
      </c>
      <c r="G29" s="277" t="n">
        <f aca="false">SUM(E29:F29)</f>
        <v>0</v>
      </c>
      <c r="H29" s="204"/>
      <c r="I29" s="279" t="n">
        <v>1</v>
      </c>
      <c r="J29" s="280" t="n">
        <f aca="false">1-I29</f>
        <v>0</v>
      </c>
      <c r="K29" s="277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3"/>
      <c r="Y29" s="284" t="n">
        <f aca="false">IFERROR(L29*$G29*I$9, "")</f>
        <v>0</v>
      </c>
      <c r="Z29" s="284" t="n">
        <f aca="false">IFERROR(M29*$G29*$I29, "")</f>
        <v>0</v>
      </c>
      <c r="AA29" s="284" t="n">
        <f aca="false">IFERROR(N29*$G29*$I29, "")</f>
        <v>0</v>
      </c>
      <c r="AB29" s="284" t="n">
        <f aca="false">IFERROR(O29*$G29*$I29, "")</f>
        <v>0</v>
      </c>
      <c r="AC29" s="284" t="n">
        <f aca="false">IFERROR(P29*$G29*$I29, "")</f>
        <v>0</v>
      </c>
      <c r="AD29" s="284" t="n">
        <f aca="false">IFERROR(Q29*$G29*$I29, "")</f>
        <v>0</v>
      </c>
      <c r="AE29" s="284" t="n">
        <f aca="false">IFERROR(R29*$G29*$I29, "")</f>
        <v>0</v>
      </c>
      <c r="AF29" s="284" t="n">
        <f aca="false">IFERROR(S29*$G29*$I29, "")</f>
        <v>0</v>
      </c>
      <c r="AG29" s="284" t="n">
        <f aca="false">IFERROR(T29*$G29*$I29, "")</f>
        <v>0</v>
      </c>
      <c r="AH29" s="284" t="n">
        <f aca="false">IFERROR(U29*$G29*$I29, "")</f>
        <v>0</v>
      </c>
      <c r="AI29" s="284" t="n">
        <f aca="false">IFERROR(V29*$G29*$I29, "")</f>
        <v>0</v>
      </c>
      <c r="AJ29" s="284" t="n">
        <f aca="false">IFERROR(W29*$G29*$I29, "")</f>
        <v>0</v>
      </c>
      <c r="AK29" s="286" t="n">
        <f aca="false">IFERROR(SUMIF($Y$4:$AJ$4, "RDEC", Y29:AJ29), "")</f>
        <v>0</v>
      </c>
      <c r="AL29" s="286" t="n">
        <f aca="false">IFERROR(SUMIF($Y$4:$AJ$4, "SME", Y29:AJ29), "")</f>
        <v>0</v>
      </c>
      <c r="AM29" s="286" t="n">
        <f aca="false">IFERROR(SUMIF($Y$4:$AJ$4, "De Minimis", Y29:AJ29), "")</f>
        <v>0</v>
      </c>
      <c r="AN29" s="283"/>
      <c r="AO29" s="284" t="n">
        <f aca="false">IFERROR($G29*$J29*L29, "")</f>
        <v>0</v>
      </c>
      <c r="AP29" s="284" t="n">
        <f aca="false">IFERROR($G29*$J29*M29, "")</f>
        <v>0</v>
      </c>
      <c r="AQ29" s="284" t="n">
        <f aca="false">IFERROR($G29*$J29*N29, "")</f>
        <v>0</v>
      </c>
      <c r="AR29" s="284" t="n">
        <f aca="false">IFERROR($G29*$J29*O29, "")</f>
        <v>0</v>
      </c>
      <c r="AS29" s="284" t="n">
        <f aca="false">IFERROR($G29*$J29*P29, "")</f>
        <v>0</v>
      </c>
      <c r="AT29" s="284" t="n">
        <f aca="false">IFERROR($G29*$J29*Q29, "")</f>
        <v>0</v>
      </c>
      <c r="AU29" s="284" t="n">
        <f aca="false">IFERROR($G29*$J29*R29, "")</f>
        <v>0</v>
      </c>
      <c r="AV29" s="284" t="n">
        <f aca="false">IFERROR($G29*$J29*S29, "")</f>
        <v>0</v>
      </c>
      <c r="AW29" s="284" t="n">
        <f aca="false">IFERROR($G29*$J29*T29, "")</f>
        <v>0</v>
      </c>
      <c r="AX29" s="284" t="n">
        <f aca="false">IFERROR($G29*$J29*U29, "")</f>
        <v>0</v>
      </c>
      <c r="AY29" s="284" t="n">
        <f aca="false">IFERROR($G29*$J29*V29, "")</f>
        <v>0</v>
      </c>
      <c r="AZ29" s="284" t="n">
        <f aca="false">IFERROR($G29*$J29*W29, "")</f>
        <v>0</v>
      </c>
      <c r="BA29" s="286" t="n">
        <f aca="false">IFERROR(SUMIF($AO$4:$AZ$4, "RDEC", AO29:AZ29), "")</f>
        <v>0</v>
      </c>
      <c r="BB29" s="286" t="n">
        <f aca="false">IFERROR(SUMIF($AO$4:$AZ$4, "SME", AO29:AZ29), "")</f>
        <v>0</v>
      </c>
      <c r="BC29" s="286" t="n">
        <f aca="false">IFERROR(SUMIF($Y$4:$AJ$4, "De Minimis", AO29:AZ29), "")</f>
        <v>0</v>
      </c>
      <c r="BD29" s="287"/>
      <c r="BE29" s="288" t="str">
        <f aca="false">IF((SUM(L29:W29)&gt;1),"ERROR","")</f>
        <v/>
      </c>
    </row>
    <row r="30" customFormat="false" ht="15" hidden="false" customHeight="true" outlineLevel="0" collapsed="false">
      <c r="B30" s="333"/>
      <c r="C30" s="334"/>
      <c r="D30" s="333" t="n">
        <f aca="false">D14</f>
        <v>45444</v>
      </c>
      <c r="E30" s="277" t="n">
        <v>0</v>
      </c>
      <c r="F30" s="277" t="n">
        <v>0</v>
      </c>
      <c r="G30" s="277" t="n">
        <f aca="false">SUM(E30:F30)</f>
        <v>0</v>
      </c>
      <c r="H30" s="204"/>
      <c r="I30" s="279" t="n">
        <v>1</v>
      </c>
      <c r="J30" s="280" t="n">
        <f aca="false">1-I30</f>
        <v>0</v>
      </c>
      <c r="K30" s="277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3"/>
      <c r="Y30" s="284" t="n">
        <f aca="false">IFERROR(L30*$G30*I$9, "")</f>
        <v>0</v>
      </c>
      <c r="Z30" s="284" t="n">
        <f aca="false">IFERROR(M30*$G30*$I30, "")</f>
        <v>0</v>
      </c>
      <c r="AA30" s="284" t="n">
        <f aca="false">IFERROR(N30*$G30*$I30, "")</f>
        <v>0</v>
      </c>
      <c r="AB30" s="284" t="n">
        <f aca="false">IFERROR(O30*$G30*$I30, "")</f>
        <v>0</v>
      </c>
      <c r="AC30" s="284" t="n">
        <f aca="false">IFERROR(P30*$G30*$I30, "")</f>
        <v>0</v>
      </c>
      <c r="AD30" s="284" t="n">
        <f aca="false">IFERROR(Q30*$G30*$I30, "")</f>
        <v>0</v>
      </c>
      <c r="AE30" s="284" t="n">
        <f aca="false">IFERROR(R30*$G30*$I30, "")</f>
        <v>0</v>
      </c>
      <c r="AF30" s="284" t="n">
        <f aca="false">IFERROR(S30*$G30*$I30, "")</f>
        <v>0</v>
      </c>
      <c r="AG30" s="284" t="n">
        <f aca="false">IFERROR(T30*$G30*$I30, "")</f>
        <v>0</v>
      </c>
      <c r="AH30" s="284" t="n">
        <f aca="false">IFERROR(U30*$G30*$I30, "")</f>
        <v>0</v>
      </c>
      <c r="AI30" s="284" t="n">
        <f aca="false">IFERROR(V30*$G30*$I30, "")</f>
        <v>0</v>
      </c>
      <c r="AJ30" s="284" t="n">
        <f aca="false">IFERROR(W30*$G30*$I30, "")</f>
        <v>0</v>
      </c>
      <c r="AK30" s="286" t="n">
        <f aca="false">IFERROR(SUMIF($Y$4:$AJ$4, "RDEC", Y30:AJ30), "")</f>
        <v>0</v>
      </c>
      <c r="AL30" s="286" t="n">
        <f aca="false">IFERROR(SUMIF($Y$4:$AJ$4, "SME", Y30:AJ30), "")</f>
        <v>0</v>
      </c>
      <c r="AM30" s="286" t="n">
        <f aca="false">IFERROR(SUMIF($Y$4:$AJ$4, "De Minimis", Y30:AJ30), "")</f>
        <v>0</v>
      </c>
      <c r="AN30" s="283"/>
      <c r="AO30" s="284" t="n">
        <f aca="false">IFERROR($G30*$J30*L30, "")</f>
        <v>0</v>
      </c>
      <c r="AP30" s="284" t="n">
        <f aca="false">IFERROR($G30*$J30*M30, "")</f>
        <v>0</v>
      </c>
      <c r="AQ30" s="284" t="n">
        <f aca="false">IFERROR($G30*$J30*N30, "")</f>
        <v>0</v>
      </c>
      <c r="AR30" s="284" t="n">
        <f aca="false">IFERROR($G30*$J30*O30, "")</f>
        <v>0</v>
      </c>
      <c r="AS30" s="284" t="n">
        <f aca="false">IFERROR($G30*$J30*P30, "")</f>
        <v>0</v>
      </c>
      <c r="AT30" s="284" t="n">
        <f aca="false">IFERROR($G30*$J30*Q30, "")</f>
        <v>0</v>
      </c>
      <c r="AU30" s="284" t="n">
        <f aca="false">IFERROR($G30*$J30*R30, "")</f>
        <v>0</v>
      </c>
      <c r="AV30" s="284" t="n">
        <f aca="false">IFERROR($G30*$J30*S30, "")</f>
        <v>0</v>
      </c>
      <c r="AW30" s="284" t="n">
        <f aca="false">IFERROR($G30*$J30*T30, "")</f>
        <v>0</v>
      </c>
      <c r="AX30" s="284" t="n">
        <f aca="false">IFERROR($G30*$J30*U30, "")</f>
        <v>0</v>
      </c>
      <c r="AY30" s="284" t="n">
        <f aca="false">IFERROR($G30*$J30*V30, "")</f>
        <v>0</v>
      </c>
      <c r="AZ30" s="284" t="n">
        <f aca="false">IFERROR($G30*$J30*W30, "")</f>
        <v>0</v>
      </c>
      <c r="BA30" s="286" t="n">
        <f aca="false">IFERROR(SUMIF($AO$4:$AZ$4, "RDEC", AO30:AZ30), "")</f>
        <v>0</v>
      </c>
      <c r="BB30" s="286" t="n">
        <f aca="false">IFERROR(SUMIF($AO$4:$AZ$4, "SME", AO30:AZ30), "")</f>
        <v>0</v>
      </c>
      <c r="BC30" s="286" t="n">
        <f aca="false">IFERROR(SUMIF($Y$4:$AJ$4, "De Minimis", AO30:AZ30), "")</f>
        <v>0</v>
      </c>
      <c r="BD30" s="287"/>
      <c r="BE30" s="288" t="str">
        <f aca="false">IF((SUM(L30:W30)&gt;1),"ERROR","")</f>
        <v/>
      </c>
    </row>
    <row r="31" customFormat="false" ht="15" hidden="false" customHeight="true" outlineLevel="0" collapsed="false">
      <c r="B31" s="333"/>
      <c r="C31" s="334"/>
      <c r="D31" s="333" t="n">
        <f aca="false">D15</f>
        <v>45474</v>
      </c>
      <c r="E31" s="277" t="n">
        <v>0</v>
      </c>
      <c r="F31" s="277" t="n">
        <v>0</v>
      </c>
      <c r="G31" s="277" t="n">
        <f aca="false">SUM(E31:F31)</f>
        <v>0</v>
      </c>
      <c r="H31" s="204"/>
      <c r="I31" s="279" t="n">
        <v>1</v>
      </c>
      <c r="J31" s="280" t="n">
        <f aca="false">1-I31</f>
        <v>0</v>
      </c>
      <c r="K31" s="277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3"/>
      <c r="Y31" s="284" t="n">
        <f aca="false">IFERROR(L31*$G31*I$9, "")</f>
        <v>0</v>
      </c>
      <c r="Z31" s="284" t="n">
        <f aca="false">IFERROR(M31*$G31*$I31, "")</f>
        <v>0</v>
      </c>
      <c r="AA31" s="284" t="n">
        <f aca="false">IFERROR(N31*$G31*$I31, "")</f>
        <v>0</v>
      </c>
      <c r="AB31" s="284" t="n">
        <f aca="false">IFERROR(O31*$G31*$I31, "")</f>
        <v>0</v>
      </c>
      <c r="AC31" s="284" t="n">
        <f aca="false">IFERROR(P31*$G31*$I31, "")</f>
        <v>0</v>
      </c>
      <c r="AD31" s="284" t="n">
        <f aca="false">IFERROR(Q31*$G31*$I31, "")</f>
        <v>0</v>
      </c>
      <c r="AE31" s="284" t="n">
        <f aca="false">IFERROR(R31*$G31*$I31, "")</f>
        <v>0</v>
      </c>
      <c r="AF31" s="284" t="n">
        <f aca="false">IFERROR(S31*$G31*$I31, "")</f>
        <v>0</v>
      </c>
      <c r="AG31" s="284" t="n">
        <f aca="false">IFERROR(T31*$G31*$I31, "")</f>
        <v>0</v>
      </c>
      <c r="AH31" s="284" t="n">
        <f aca="false">IFERROR(U31*$G31*$I31, "")</f>
        <v>0</v>
      </c>
      <c r="AI31" s="284" t="n">
        <f aca="false">IFERROR(V31*$G31*$I31, "")</f>
        <v>0</v>
      </c>
      <c r="AJ31" s="284" t="n">
        <f aca="false">IFERROR(W31*$G31*$I31, "")</f>
        <v>0</v>
      </c>
      <c r="AK31" s="286" t="n">
        <f aca="false">IFERROR(SUMIF($Y$4:$AJ$4, "RDEC", Y31:AJ31), "")</f>
        <v>0</v>
      </c>
      <c r="AL31" s="286" t="n">
        <f aca="false">IFERROR(SUMIF($Y$4:$AJ$4, "SME", Y31:AJ31), "")</f>
        <v>0</v>
      </c>
      <c r="AM31" s="286" t="n">
        <f aca="false">IFERROR(SUMIF($Y$4:$AJ$4, "De Minimis", Y31:AJ31), "")</f>
        <v>0</v>
      </c>
      <c r="AN31" s="283"/>
      <c r="AO31" s="284" t="n">
        <f aca="false">IFERROR($G31*$J31*L31, "")</f>
        <v>0</v>
      </c>
      <c r="AP31" s="284" t="n">
        <f aca="false">IFERROR($G31*$J31*M31, "")</f>
        <v>0</v>
      </c>
      <c r="AQ31" s="284" t="n">
        <f aca="false">IFERROR($G31*$J31*N31, "")</f>
        <v>0</v>
      </c>
      <c r="AR31" s="284" t="n">
        <f aca="false">IFERROR($G31*$J31*O31, "")</f>
        <v>0</v>
      </c>
      <c r="AS31" s="284" t="n">
        <f aca="false">IFERROR($G31*$J31*P31, "")</f>
        <v>0</v>
      </c>
      <c r="AT31" s="284" t="n">
        <f aca="false">IFERROR($G31*$J31*Q31, "")</f>
        <v>0</v>
      </c>
      <c r="AU31" s="284" t="n">
        <f aca="false">IFERROR($G31*$J31*R31, "")</f>
        <v>0</v>
      </c>
      <c r="AV31" s="284" t="n">
        <f aca="false">IFERROR($G31*$J31*S31, "")</f>
        <v>0</v>
      </c>
      <c r="AW31" s="284" t="n">
        <f aca="false">IFERROR($G31*$J31*T31, "")</f>
        <v>0</v>
      </c>
      <c r="AX31" s="284" t="n">
        <f aca="false">IFERROR($G31*$J31*U31, "")</f>
        <v>0</v>
      </c>
      <c r="AY31" s="284" t="n">
        <f aca="false">IFERROR($G31*$J31*V31, "")</f>
        <v>0</v>
      </c>
      <c r="AZ31" s="284" t="n">
        <f aca="false">IFERROR($G31*$J31*W31, "")</f>
        <v>0</v>
      </c>
      <c r="BA31" s="286" t="n">
        <f aca="false">IFERROR(SUMIF($AO$4:$AZ$4, "RDEC", AO31:AZ31), "")</f>
        <v>0</v>
      </c>
      <c r="BB31" s="286" t="n">
        <f aca="false">IFERROR(SUMIF($AO$4:$AZ$4, "SME", AO31:AZ31), "")</f>
        <v>0</v>
      </c>
      <c r="BC31" s="286" t="n">
        <f aca="false">IFERROR(SUMIF($Y$4:$AJ$4, "De Minimis", AO31:AZ31), "")</f>
        <v>0</v>
      </c>
      <c r="BD31" s="287"/>
      <c r="BE31" s="288" t="str">
        <f aca="false">IF((SUM(L31:W31)&gt;1),"ERROR","")</f>
        <v/>
      </c>
    </row>
    <row r="32" customFormat="false" ht="15" hidden="false" customHeight="true" outlineLevel="0" collapsed="false">
      <c r="B32" s="333"/>
      <c r="C32" s="334"/>
      <c r="D32" s="333" t="n">
        <f aca="false">D16</f>
        <v>45505</v>
      </c>
      <c r="E32" s="277" t="n">
        <v>0</v>
      </c>
      <c r="F32" s="277" t="n">
        <v>0</v>
      </c>
      <c r="G32" s="277" t="n">
        <f aca="false">SUM(E32:F32)</f>
        <v>0</v>
      </c>
      <c r="H32" s="204"/>
      <c r="I32" s="279" t="n">
        <v>1</v>
      </c>
      <c r="J32" s="280" t="n">
        <f aca="false">1-I32</f>
        <v>0</v>
      </c>
      <c r="K32" s="277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3"/>
      <c r="Y32" s="284" t="n">
        <f aca="false">IFERROR(L32*$G32*I$9, "")</f>
        <v>0</v>
      </c>
      <c r="Z32" s="284" t="n">
        <f aca="false">IFERROR(M32*$G32*$I32, "")</f>
        <v>0</v>
      </c>
      <c r="AA32" s="284" t="n">
        <f aca="false">IFERROR(N32*$G32*$I32, "")</f>
        <v>0</v>
      </c>
      <c r="AB32" s="284" t="n">
        <f aca="false">IFERROR(O32*$G32*$I32, "")</f>
        <v>0</v>
      </c>
      <c r="AC32" s="284" t="n">
        <f aca="false">IFERROR(P32*$G32*$I32, "")</f>
        <v>0</v>
      </c>
      <c r="AD32" s="284" t="n">
        <f aca="false">IFERROR(Q32*$G32*$I32, "")</f>
        <v>0</v>
      </c>
      <c r="AE32" s="284" t="n">
        <f aca="false">IFERROR(R32*$G32*$I32, "")</f>
        <v>0</v>
      </c>
      <c r="AF32" s="284" t="n">
        <f aca="false">IFERROR(S32*$G32*$I32, "")</f>
        <v>0</v>
      </c>
      <c r="AG32" s="284" t="n">
        <f aca="false">IFERROR(T32*$G32*$I32, "")</f>
        <v>0</v>
      </c>
      <c r="AH32" s="284" t="n">
        <f aca="false">IFERROR(U32*$G32*$I32, "")</f>
        <v>0</v>
      </c>
      <c r="AI32" s="284" t="n">
        <f aca="false">IFERROR(V32*$G32*$I32, "")</f>
        <v>0</v>
      </c>
      <c r="AJ32" s="284" t="n">
        <f aca="false">IFERROR(W32*$G32*$I32, "")</f>
        <v>0</v>
      </c>
      <c r="AK32" s="286" t="n">
        <f aca="false">IFERROR(SUMIF($Y$4:$AJ$4, "RDEC", Y32:AJ32), "")</f>
        <v>0</v>
      </c>
      <c r="AL32" s="286" t="n">
        <f aca="false">IFERROR(SUMIF($Y$4:$AJ$4, "SME", Y32:AJ32), "")</f>
        <v>0</v>
      </c>
      <c r="AM32" s="286" t="n">
        <f aca="false">IFERROR(SUMIF($Y$4:$AJ$4, "De Minimis", Y32:AJ32), "")</f>
        <v>0</v>
      </c>
      <c r="AN32" s="283"/>
      <c r="AO32" s="284" t="n">
        <f aca="false">IFERROR($G32*$J32*L32, "")</f>
        <v>0</v>
      </c>
      <c r="AP32" s="284" t="n">
        <f aca="false">IFERROR($G32*$J32*M32, "")</f>
        <v>0</v>
      </c>
      <c r="AQ32" s="284" t="n">
        <f aca="false">IFERROR($G32*$J32*N32, "")</f>
        <v>0</v>
      </c>
      <c r="AR32" s="284" t="n">
        <f aca="false">IFERROR($G32*$J32*O32, "")</f>
        <v>0</v>
      </c>
      <c r="AS32" s="284" t="n">
        <f aca="false">IFERROR($G32*$J32*P32, "")</f>
        <v>0</v>
      </c>
      <c r="AT32" s="284" t="n">
        <f aca="false">IFERROR($G32*$J32*Q32, "")</f>
        <v>0</v>
      </c>
      <c r="AU32" s="284" t="n">
        <f aca="false">IFERROR($G32*$J32*R32, "")</f>
        <v>0</v>
      </c>
      <c r="AV32" s="284" t="n">
        <f aca="false">IFERROR($G32*$J32*S32, "")</f>
        <v>0</v>
      </c>
      <c r="AW32" s="284" t="n">
        <f aca="false">IFERROR($G32*$J32*T32, "")</f>
        <v>0</v>
      </c>
      <c r="AX32" s="284" t="n">
        <f aca="false">IFERROR($G32*$J32*U32, "")</f>
        <v>0</v>
      </c>
      <c r="AY32" s="284" t="n">
        <f aca="false">IFERROR($G32*$J32*V32, "")</f>
        <v>0</v>
      </c>
      <c r="AZ32" s="284" t="n">
        <f aca="false">IFERROR($G32*$J32*W32, "")</f>
        <v>0</v>
      </c>
      <c r="BA32" s="286" t="n">
        <f aca="false">IFERROR(SUMIF($AO$4:$AZ$4, "RDEC", AO32:AZ32), "")</f>
        <v>0</v>
      </c>
      <c r="BB32" s="286" t="n">
        <f aca="false">IFERROR(SUMIF($AO$4:$AZ$4, "SME", AO32:AZ32), "")</f>
        <v>0</v>
      </c>
      <c r="BC32" s="286" t="n">
        <f aca="false">IFERROR(SUMIF($Y$4:$AJ$4, "De Minimis", AO32:AZ32), "")</f>
        <v>0</v>
      </c>
      <c r="BD32" s="287"/>
      <c r="BE32" s="288" t="str">
        <f aca="false">IF((SUM(L32:W32)&gt;1),"ERROR","")</f>
        <v/>
      </c>
    </row>
    <row r="33" customFormat="false" ht="15" hidden="false" customHeight="true" outlineLevel="0" collapsed="false">
      <c r="B33" s="333"/>
      <c r="C33" s="334"/>
      <c r="D33" s="333" t="n">
        <f aca="false">D17</f>
        <v>45536</v>
      </c>
      <c r="E33" s="277" t="n">
        <v>0</v>
      </c>
      <c r="F33" s="277" t="n">
        <v>0</v>
      </c>
      <c r="G33" s="277" t="n">
        <f aca="false">SUM(E33:F33)</f>
        <v>0</v>
      </c>
      <c r="H33" s="204"/>
      <c r="I33" s="279" t="n">
        <v>1</v>
      </c>
      <c r="J33" s="280" t="n">
        <f aca="false">1-I33</f>
        <v>0</v>
      </c>
      <c r="K33" s="277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3"/>
      <c r="Y33" s="284" t="n">
        <f aca="false">IFERROR(L33*$G33*I$9, "")</f>
        <v>0</v>
      </c>
      <c r="Z33" s="284" t="n">
        <f aca="false">IFERROR(M33*$G33*$I33, "")</f>
        <v>0</v>
      </c>
      <c r="AA33" s="284" t="n">
        <f aca="false">IFERROR(N33*$G33*$I33, "")</f>
        <v>0</v>
      </c>
      <c r="AB33" s="284" t="n">
        <f aca="false">IFERROR(O33*$G33*$I33, "")</f>
        <v>0</v>
      </c>
      <c r="AC33" s="284" t="n">
        <f aca="false">IFERROR(P33*$G33*$I33, "")</f>
        <v>0</v>
      </c>
      <c r="AD33" s="284" t="n">
        <f aca="false">IFERROR(Q33*$G33*$I33, "")</f>
        <v>0</v>
      </c>
      <c r="AE33" s="284" t="n">
        <f aca="false">IFERROR(R33*$G33*$I33, "")</f>
        <v>0</v>
      </c>
      <c r="AF33" s="284" t="n">
        <f aca="false">IFERROR(S33*$G33*$I33, "")</f>
        <v>0</v>
      </c>
      <c r="AG33" s="284" t="n">
        <f aca="false">IFERROR(T33*$G33*$I33, "")</f>
        <v>0</v>
      </c>
      <c r="AH33" s="284" t="n">
        <f aca="false">IFERROR(U33*$G33*$I33, "")</f>
        <v>0</v>
      </c>
      <c r="AI33" s="284" t="n">
        <f aca="false">IFERROR(V33*$G33*$I33, "")</f>
        <v>0</v>
      </c>
      <c r="AJ33" s="284" t="n">
        <f aca="false">IFERROR(W33*$G33*$I33, "")</f>
        <v>0</v>
      </c>
      <c r="AK33" s="286" t="n">
        <f aca="false">IFERROR(SUMIF($Y$4:$AJ$4, "RDEC", Y33:AJ33), "")</f>
        <v>0</v>
      </c>
      <c r="AL33" s="286" t="n">
        <f aca="false">IFERROR(SUMIF($Y$4:$AJ$4, "SME", Y33:AJ33), "")</f>
        <v>0</v>
      </c>
      <c r="AM33" s="286" t="n">
        <f aca="false">IFERROR(SUMIF($Y$4:$AJ$4, "De Minimis", Y33:AJ33), "")</f>
        <v>0</v>
      </c>
      <c r="AN33" s="283"/>
      <c r="AO33" s="284" t="n">
        <f aca="false">IFERROR($G33*$J33*L33, "")</f>
        <v>0</v>
      </c>
      <c r="AP33" s="284" t="n">
        <f aca="false">IFERROR($G33*$J33*M33, "")</f>
        <v>0</v>
      </c>
      <c r="AQ33" s="284" t="n">
        <f aca="false">IFERROR($G33*$J33*N33, "")</f>
        <v>0</v>
      </c>
      <c r="AR33" s="284" t="n">
        <f aca="false">IFERROR($G33*$J33*O33, "")</f>
        <v>0</v>
      </c>
      <c r="AS33" s="284" t="n">
        <f aca="false">IFERROR($G33*$J33*P33, "")</f>
        <v>0</v>
      </c>
      <c r="AT33" s="284" t="n">
        <f aca="false">IFERROR($G33*$J33*Q33, "")</f>
        <v>0</v>
      </c>
      <c r="AU33" s="284" t="n">
        <f aca="false">IFERROR($G33*$J33*R33, "")</f>
        <v>0</v>
      </c>
      <c r="AV33" s="284" t="n">
        <f aca="false">IFERROR($G33*$J33*S33, "")</f>
        <v>0</v>
      </c>
      <c r="AW33" s="284" t="n">
        <f aca="false">IFERROR($G33*$J33*T33, "")</f>
        <v>0</v>
      </c>
      <c r="AX33" s="284" t="n">
        <f aca="false">IFERROR($G33*$J33*U33, "")</f>
        <v>0</v>
      </c>
      <c r="AY33" s="284" t="n">
        <f aca="false">IFERROR($G33*$J33*V33, "")</f>
        <v>0</v>
      </c>
      <c r="AZ33" s="284" t="n">
        <f aca="false">IFERROR($G33*$J33*W33, "")</f>
        <v>0</v>
      </c>
      <c r="BA33" s="286" t="n">
        <f aca="false">IFERROR(SUMIF($AO$4:$AZ$4, "RDEC", AO33:AZ33), "")</f>
        <v>0</v>
      </c>
      <c r="BB33" s="286" t="n">
        <f aca="false">IFERROR(SUMIF($AO$4:$AZ$4, "SME", AO33:AZ33), "")</f>
        <v>0</v>
      </c>
      <c r="BC33" s="286" t="n">
        <f aca="false">IFERROR(SUMIF($Y$4:$AJ$4, "De Minimis", AO33:AZ33), "")</f>
        <v>0</v>
      </c>
      <c r="BD33" s="287"/>
      <c r="BE33" s="288" t="str">
        <f aca="false">IF((SUM(L33:W33)&gt;1),"ERROR","")</f>
        <v/>
      </c>
    </row>
    <row r="34" customFormat="false" ht="15" hidden="false" customHeight="true" outlineLevel="0" collapsed="false">
      <c r="B34" s="333"/>
      <c r="C34" s="334"/>
      <c r="D34" s="333" t="n">
        <f aca="false">D18</f>
        <v>45566</v>
      </c>
      <c r="E34" s="277" t="n">
        <v>0</v>
      </c>
      <c r="F34" s="277" t="n">
        <v>0</v>
      </c>
      <c r="G34" s="277" t="n">
        <f aca="false">SUM(E34:F34)</f>
        <v>0</v>
      </c>
      <c r="H34" s="204"/>
      <c r="I34" s="279" t="n">
        <v>1</v>
      </c>
      <c r="J34" s="280" t="n">
        <f aca="false">1-I34</f>
        <v>0</v>
      </c>
      <c r="K34" s="277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3"/>
      <c r="Y34" s="284" t="n">
        <f aca="false">IFERROR(L34*$G34*I$9, "")</f>
        <v>0</v>
      </c>
      <c r="Z34" s="284" t="n">
        <f aca="false">IFERROR(M34*$G34*$I34, "")</f>
        <v>0</v>
      </c>
      <c r="AA34" s="284" t="n">
        <f aca="false">IFERROR(N34*$G34*$I34, "")</f>
        <v>0</v>
      </c>
      <c r="AB34" s="284" t="n">
        <f aca="false">IFERROR(O34*$G34*$I34, "")</f>
        <v>0</v>
      </c>
      <c r="AC34" s="284" t="n">
        <f aca="false">IFERROR(P34*$G34*$I34, "")</f>
        <v>0</v>
      </c>
      <c r="AD34" s="284" t="n">
        <f aca="false">IFERROR(Q34*$G34*$I34, "")</f>
        <v>0</v>
      </c>
      <c r="AE34" s="284" t="n">
        <f aca="false">IFERROR(R34*$G34*$I34, "")</f>
        <v>0</v>
      </c>
      <c r="AF34" s="284" t="n">
        <f aca="false">IFERROR(S34*$G34*$I34, "")</f>
        <v>0</v>
      </c>
      <c r="AG34" s="284" t="n">
        <f aca="false">IFERROR(T34*$G34*$I34, "")</f>
        <v>0</v>
      </c>
      <c r="AH34" s="284" t="n">
        <f aca="false">IFERROR(U34*$G34*$I34, "")</f>
        <v>0</v>
      </c>
      <c r="AI34" s="284" t="n">
        <f aca="false">IFERROR(V34*$G34*$I34, "")</f>
        <v>0</v>
      </c>
      <c r="AJ34" s="284" t="n">
        <f aca="false">IFERROR(W34*$G34*$I34, "")</f>
        <v>0</v>
      </c>
      <c r="AK34" s="286" t="n">
        <f aca="false">IFERROR(SUMIF($Y$4:$AJ$4, "RDEC", Y34:AJ34), "")</f>
        <v>0</v>
      </c>
      <c r="AL34" s="286" t="n">
        <f aca="false">IFERROR(SUMIF($Y$4:$AJ$4, "SME", Y34:AJ34), "")</f>
        <v>0</v>
      </c>
      <c r="AM34" s="286" t="n">
        <f aca="false">IFERROR(SUMIF($Y$4:$AJ$4, "De Minimis", Y34:AJ34), "")</f>
        <v>0</v>
      </c>
      <c r="AN34" s="283"/>
      <c r="AO34" s="284" t="n">
        <f aca="false">IFERROR($G34*$J34*L34, "")</f>
        <v>0</v>
      </c>
      <c r="AP34" s="284" t="n">
        <f aca="false">IFERROR($G34*$J34*M34, "")</f>
        <v>0</v>
      </c>
      <c r="AQ34" s="284" t="n">
        <f aca="false">IFERROR($G34*$J34*N34, "")</f>
        <v>0</v>
      </c>
      <c r="AR34" s="284" t="n">
        <f aca="false">IFERROR($G34*$J34*O34, "")</f>
        <v>0</v>
      </c>
      <c r="AS34" s="284" t="n">
        <f aca="false">IFERROR($G34*$J34*P34, "")</f>
        <v>0</v>
      </c>
      <c r="AT34" s="284" t="n">
        <f aca="false">IFERROR($G34*$J34*Q34, "")</f>
        <v>0</v>
      </c>
      <c r="AU34" s="284" t="n">
        <f aca="false">IFERROR($G34*$J34*R34, "")</f>
        <v>0</v>
      </c>
      <c r="AV34" s="284" t="n">
        <f aca="false">IFERROR($G34*$J34*S34, "")</f>
        <v>0</v>
      </c>
      <c r="AW34" s="284" t="n">
        <f aca="false">IFERROR($G34*$J34*T34, "")</f>
        <v>0</v>
      </c>
      <c r="AX34" s="284" t="n">
        <f aca="false">IFERROR($G34*$J34*U34, "")</f>
        <v>0</v>
      </c>
      <c r="AY34" s="284" t="n">
        <f aca="false">IFERROR($G34*$J34*V34, "")</f>
        <v>0</v>
      </c>
      <c r="AZ34" s="284" t="n">
        <f aca="false">IFERROR($G34*$J34*W34, "")</f>
        <v>0</v>
      </c>
      <c r="BA34" s="286" t="n">
        <f aca="false">IFERROR(SUMIF($AO$4:$AZ$4, "RDEC", AO34:AZ34), "")</f>
        <v>0</v>
      </c>
      <c r="BB34" s="286" t="n">
        <f aca="false">IFERROR(SUMIF($AO$4:$AZ$4, "SME", AO34:AZ34), "")</f>
        <v>0</v>
      </c>
      <c r="BC34" s="286" t="n">
        <f aca="false">IFERROR(SUMIF($Y$4:$AJ$4, "De Minimis", AO34:AZ34), "")</f>
        <v>0</v>
      </c>
      <c r="BD34" s="287"/>
      <c r="BE34" s="288" t="str">
        <f aca="false">IF((SUM(L34:W34)&gt;1),"ERROR","")</f>
        <v/>
      </c>
    </row>
    <row r="35" customFormat="false" ht="15" hidden="false" customHeight="true" outlineLevel="0" collapsed="false">
      <c r="B35" s="333"/>
      <c r="C35" s="334"/>
      <c r="D35" s="333" t="n">
        <f aca="false">D19</f>
        <v>45597</v>
      </c>
      <c r="E35" s="277" t="n">
        <v>0</v>
      </c>
      <c r="F35" s="277" t="n">
        <v>0</v>
      </c>
      <c r="G35" s="277" t="n">
        <f aca="false">SUM(E35:F35)</f>
        <v>0</v>
      </c>
      <c r="H35" s="204"/>
      <c r="I35" s="279" t="n">
        <v>1</v>
      </c>
      <c r="J35" s="280" t="n">
        <f aca="false">1-I35</f>
        <v>0</v>
      </c>
      <c r="K35" s="277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3"/>
      <c r="Y35" s="284" t="n">
        <f aca="false">IFERROR(L35*$G35*I$9, "")</f>
        <v>0</v>
      </c>
      <c r="Z35" s="284" t="n">
        <f aca="false">IFERROR(M35*$G35*$I35, "")</f>
        <v>0</v>
      </c>
      <c r="AA35" s="284" t="n">
        <f aca="false">IFERROR(N35*$G35*$I35, "")</f>
        <v>0</v>
      </c>
      <c r="AB35" s="284" t="n">
        <f aca="false">IFERROR(O35*$G35*$I35, "")</f>
        <v>0</v>
      </c>
      <c r="AC35" s="284" t="n">
        <f aca="false">IFERROR(P35*$G35*$I35, "")</f>
        <v>0</v>
      </c>
      <c r="AD35" s="284" t="n">
        <f aca="false">IFERROR(Q35*$G35*$I35, "")</f>
        <v>0</v>
      </c>
      <c r="AE35" s="284" t="n">
        <f aca="false">IFERROR(R35*$G35*$I35, "")</f>
        <v>0</v>
      </c>
      <c r="AF35" s="284" t="n">
        <f aca="false">IFERROR(S35*$G35*$I35, "")</f>
        <v>0</v>
      </c>
      <c r="AG35" s="284" t="n">
        <f aca="false">IFERROR(T35*$G35*$I35, "")</f>
        <v>0</v>
      </c>
      <c r="AH35" s="284" t="n">
        <f aca="false">IFERROR(U35*$G35*$I35, "")</f>
        <v>0</v>
      </c>
      <c r="AI35" s="284" t="n">
        <f aca="false">IFERROR(V35*$G35*$I35, "")</f>
        <v>0</v>
      </c>
      <c r="AJ35" s="284" t="n">
        <f aca="false">IFERROR(W35*$G35*$I35, "")</f>
        <v>0</v>
      </c>
      <c r="AK35" s="286" t="n">
        <f aca="false">IFERROR(SUMIF($Y$4:$AJ$4, "RDEC", Y35:AJ35), "")</f>
        <v>0</v>
      </c>
      <c r="AL35" s="286" t="n">
        <f aca="false">IFERROR(SUMIF($Y$4:$AJ$4, "SME", Y35:AJ35), "")</f>
        <v>0</v>
      </c>
      <c r="AM35" s="286" t="n">
        <f aca="false">IFERROR(SUMIF($Y$4:$AJ$4, "De Minimis", Y35:AJ35), "")</f>
        <v>0</v>
      </c>
      <c r="AN35" s="283"/>
      <c r="AO35" s="284" t="n">
        <f aca="false">IFERROR($G35*$J35*L35, "")</f>
        <v>0</v>
      </c>
      <c r="AP35" s="284" t="n">
        <f aca="false">IFERROR($G35*$J35*M35, "")</f>
        <v>0</v>
      </c>
      <c r="AQ35" s="284" t="n">
        <f aca="false">IFERROR($G35*$J35*N35, "")</f>
        <v>0</v>
      </c>
      <c r="AR35" s="284" t="n">
        <f aca="false">IFERROR($G35*$J35*O35, "")</f>
        <v>0</v>
      </c>
      <c r="AS35" s="284" t="n">
        <f aca="false">IFERROR($G35*$J35*P35, "")</f>
        <v>0</v>
      </c>
      <c r="AT35" s="284" t="n">
        <f aca="false">IFERROR($G35*$J35*Q35, "")</f>
        <v>0</v>
      </c>
      <c r="AU35" s="284" t="n">
        <f aca="false">IFERROR($G35*$J35*R35, "")</f>
        <v>0</v>
      </c>
      <c r="AV35" s="284" t="n">
        <f aca="false">IFERROR($G35*$J35*S35, "")</f>
        <v>0</v>
      </c>
      <c r="AW35" s="284" t="n">
        <f aca="false">IFERROR($G35*$J35*T35, "")</f>
        <v>0</v>
      </c>
      <c r="AX35" s="284" t="n">
        <f aca="false">IFERROR($G35*$J35*U35, "")</f>
        <v>0</v>
      </c>
      <c r="AY35" s="284" t="n">
        <f aca="false">IFERROR($G35*$J35*V35, "")</f>
        <v>0</v>
      </c>
      <c r="AZ35" s="284" t="n">
        <f aca="false">IFERROR($G35*$J35*W35, "")</f>
        <v>0</v>
      </c>
      <c r="BA35" s="286" t="n">
        <f aca="false">IFERROR(SUMIF($AO$4:$AZ$4, "RDEC", AO35:AZ35), "")</f>
        <v>0</v>
      </c>
      <c r="BB35" s="286" t="n">
        <f aca="false">IFERROR(SUMIF($AO$4:$AZ$4, "SME", AO35:AZ35), "")</f>
        <v>0</v>
      </c>
      <c r="BC35" s="286" t="n">
        <f aca="false">IFERROR(SUMIF($Y$4:$AJ$4, "De Minimis", AO35:AZ35), "")</f>
        <v>0</v>
      </c>
      <c r="BD35" s="287"/>
      <c r="BE35" s="288" t="str">
        <f aca="false">IF((SUM(L35:W35)&gt;1),"ERROR","")</f>
        <v/>
      </c>
    </row>
    <row r="36" customFormat="false" ht="15" hidden="false" customHeight="true" outlineLevel="0" collapsed="false">
      <c r="B36" s="333"/>
      <c r="C36" s="334"/>
      <c r="D36" s="333" t="n">
        <f aca="false">D20</f>
        <v>45627</v>
      </c>
      <c r="E36" s="277" t="n">
        <v>0</v>
      </c>
      <c r="F36" s="277" t="n">
        <v>0</v>
      </c>
      <c r="G36" s="277" t="n">
        <f aca="false">SUM(E36:F36)</f>
        <v>0</v>
      </c>
      <c r="H36" s="300"/>
      <c r="I36" s="289" t="n">
        <v>1</v>
      </c>
      <c r="J36" s="290" t="n">
        <f aca="false">1-I36</f>
        <v>0</v>
      </c>
      <c r="K36" s="300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83"/>
      <c r="Y36" s="284" t="n">
        <f aca="false">IFERROR(L36*$G36*I$9, "")</f>
        <v>0</v>
      </c>
      <c r="Z36" s="284" t="n">
        <f aca="false">IFERROR(M36*$G36*$I36, "")</f>
        <v>0</v>
      </c>
      <c r="AA36" s="284" t="n">
        <f aca="false">IFERROR(N36*$G36*$I36, "")</f>
        <v>0</v>
      </c>
      <c r="AB36" s="284" t="n">
        <f aca="false">IFERROR(O36*$G36*$I36, "")</f>
        <v>0</v>
      </c>
      <c r="AC36" s="284" t="n">
        <f aca="false">IFERROR(P36*$G36*$I36, "")</f>
        <v>0</v>
      </c>
      <c r="AD36" s="284" t="n">
        <f aca="false">IFERROR(Q36*$G36*$I36, "")</f>
        <v>0</v>
      </c>
      <c r="AE36" s="284" t="n">
        <f aca="false">IFERROR(R36*$G36*$I36, "")</f>
        <v>0</v>
      </c>
      <c r="AF36" s="284" t="n">
        <f aca="false">IFERROR(S36*$G36*$I36, "")</f>
        <v>0</v>
      </c>
      <c r="AG36" s="284" t="n">
        <f aca="false">IFERROR(T36*$G36*$I36, "")</f>
        <v>0</v>
      </c>
      <c r="AH36" s="284" t="n">
        <f aca="false">IFERROR(U36*$G36*$I36, "")</f>
        <v>0</v>
      </c>
      <c r="AI36" s="284" t="n">
        <f aca="false">IFERROR(V36*$G36*$I36, "")</f>
        <v>0</v>
      </c>
      <c r="AJ36" s="284" t="n">
        <f aca="false">IFERROR(W36*$G36*$I36, "")</f>
        <v>0</v>
      </c>
      <c r="AK36" s="294" t="n">
        <f aca="false">IFERROR(SUMIF($Y$4:$AJ$4, "RDEC", Y36:AJ36), "")</f>
        <v>0</v>
      </c>
      <c r="AL36" s="294" t="n">
        <f aca="false">IFERROR(SUMIF($Y$4:$AJ$4, "SME", Y36:AJ36), "")</f>
        <v>0</v>
      </c>
      <c r="AM36" s="294" t="n">
        <f aca="false">IFERROR(SUMIF($Y$4:$AJ$4, "De Minimis", Y36:AJ36), "")</f>
        <v>0</v>
      </c>
      <c r="AN36" s="283"/>
      <c r="AO36" s="284" t="n">
        <f aca="false">IFERROR($G36*$J36*L36, "")</f>
        <v>0</v>
      </c>
      <c r="AP36" s="284" t="n">
        <f aca="false">IFERROR($G36*$J36*M36, "")</f>
        <v>0</v>
      </c>
      <c r="AQ36" s="284" t="n">
        <f aca="false">IFERROR($G36*$J36*N36, "")</f>
        <v>0</v>
      </c>
      <c r="AR36" s="284" t="n">
        <f aca="false">IFERROR($G36*$J36*O36, "")</f>
        <v>0</v>
      </c>
      <c r="AS36" s="284" t="n">
        <f aca="false">IFERROR($G36*$J36*P36, "")</f>
        <v>0</v>
      </c>
      <c r="AT36" s="284" t="n">
        <f aca="false">IFERROR($G36*$J36*Q36, "")</f>
        <v>0</v>
      </c>
      <c r="AU36" s="284" t="n">
        <f aca="false">IFERROR($G36*$J36*R36, "")</f>
        <v>0</v>
      </c>
      <c r="AV36" s="284" t="n">
        <f aca="false">IFERROR($G36*$J36*S36, "")</f>
        <v>0</v>
      </c>
      <c r="AW36" s="284" t="n">
        <f aca="false">IFERROR($G36*$J36*T36, "")</f>
        <v>0</v>
      </c>
      <c r="AX36" s="284" t="n">
        <f aca="false">IFERROR($G36*$J36*U36, "")</f>
        <v>0</v>
      </c>
      <c r="AY36" s="284" t="n">
        <f aca="false">IFERROR($G36*$J36*V36, "")</f>
        <v>0</v>
      </c>
      <c r="AZ36" s="284" t="n">
        <f aca="false">IFERROR($G36*$J36*W36, "")</f>
        <v>0</v>
      </c>
      <c r="BA36" s="286" t="n">
        <f aca="false">IFERROR(SUMIF($AO$4:$AZ$4, "RDEC", AO36:AZ36), "")</f>
        <v>0</v>
      </c>
      <c r="BB36" s="286" t="n">
        <f aca="false">IFERROR(SUMIF($AO$4:$AZ$4, "SME", AO36:AZ36), "")</f>
        <v>0</v>
      </c>
      <c r="BC36" s="294" t="n">
        <f aca="false">IFERROR(SUMIF($Y$4:$AJ$4, "De Minimis", AO36:AZ36), "")</f>
        <v>0</v>
      </c>
      <c r="BD36" s="303"/>
      <c r="BE36" s="295" t="str">
        <f aca="false">IF((SUM(L36:W36)&gt;1),"ERROR","")</f>
        <v/>
      </c>
    </row>
    <row r="37" customFormat="false" ht="15" hidden="false" customHeight="true" outlineLevel="0" collapsed="false">
      <c r="B37" s="296"/>
      <c r="D37" s="297" t="s">
        <v>82</v>
      </c>
      <c r="E37" s="299" t="n">
        <f aca="false">SUM(E25:E36)</f>
        <v>0</v>
      </c>
      <c r="F37" s="299" t="n">
        <f aca="false">SUM(F25:F36)</f>
        <v>0</v>
      </c>
      <c r="G37" s="299" t="n">
        <f aca="false">SUM(G25:G36)</f>
        <v>0</v>
      </c>
      <c r="H37" s="300"/>
      <c r="I37" s="301" t="n">
        <f aca="false">AVERAGE(I25:I36)</f>
        <v>1</v>
      </c>
      <c r="J37" s="301" t="n">
        <f aca="false">AVERAGE(J25:J36)</f>
        <v>0</v>
      </c>
      <c r="K37" s="300"/>
      <c r="L37" s="290" t="n">
        <f aca="false">IF(SUM(L25:L36)&gt;0,(Y37/G37),0)</f>
        <v>0</v>
      </c>
      <c r="M37" s="301" t="n">
        <f aca="false">IF(SUM(M25:M36)&gt;0,(Z37/G37),0)</f>
        <v>0</v>
      </c>
      <c r="N37" s="301" t="n">
        <f aca="false">IF(SUM(N25:N36)&gt;0,(AA37/G37),0)</f>
        <v>0</v>
      </c>
      <c r="O37" s="301" t="n">
        <f aca="false">IF(SUM(O25:O36)&gt;0,(AB37/G37),0)</f>
        <v>0</v>
      </c>
      <c r="P37" s="301" t="n">
        <f aca="false">IF(SUM(P25:P36)&gt;0,(AC37/G37),0)</f>
        <v>0</v>
      </c>
      <c r="Q37" s="301" t="n">
        <f aca="false">IF(SUM(Q25:Q36)&gt;0,(AD37/G37),0)</f>
        <v>0</v>
      </c>
      <c r="R37" s="301" t="n">
        <f aca="false">IF(SUM(R25:R36)&gt;0,(AE37/G37),0)</f>
        <v>0</v>
      </c>
      <c r="S37" s="301" t="n">
        <f aca="false">IF(SUM(S25:S36)&gt;0,(AF37/G37),0)</f>
        <v>0</v>
      </c>
      <c r="T37" s="301" t="n">
        <f aca="false">IF(SUM(T25:T36)&gt;0,(AG37/G37),0)</f>
        <v>0</v>
      </c>
      <c r="U37" s="301" t="n">
        <f aca="false">IF(SUM(U25:U36)&gt;0,(AJ37/G37),0)</f>
        <v>0</v>
      </c>
      <c r="V37" s="301" t="n">
        <f aca="false">IF(SUM(V25:V36)&gt;0,(AI37/G37),0)</f>
        <v>0</v>
      </c>
      <c r="W37" s="301" t="n">
        <f aca="false">IF(SUM(W25:W36)&gt;0,(AJ37/G37),0)</f>
        <v>0</v>
      </c>
      <c r="X37" s="283"/>
      <c r="Y37" s="304" t="n">
        <f aca="false">SUM(Y25:Y36)</f>
        <v>0</v>
      </c>
      <c r="Z37" s="304" t="n">
        <f aca="false">SUM(Z25:Z36)</f>
        <v>0</v>
      </c>
      <c r="AA37" s="304" t="n">
        <f aca="false">SUM(AA25:AA36)</f>
        <v>0</v>
      </c>
      <c r="AB37" s="304" t="n">
        <f aca="false">SUM(AB25:AB36)</f>
        <v>0</v>
      </c>
      <c r="AC37" s="304" t="n">
        <f aca="false">SUM(AC25:AC36)</f>
        <v>0</v>
      </c>
      <c r="AD37" s="304" t="n">
        <f aca="false">SUM(AD25:AD36)</f>
        <v>0</v>
      </c>
      <c r="AE37" s="304" t="n">
        <f aca="false">SUM(AE25:AE36)</f>
        <v>0</v>
      </c>
      <c r="AF37" s="304" t="n">
        <f aca="false">SUM(AF25:AF36)</f>
        <v>0</v>
      </c>
      <c r="AG37" s="304" t="n">
        <f aca="false">SUM(AG25:AG36)</f>
        <v>0</v>
      </c>
      <c r="AH37" s="304" t="n">
        <f aca="false">SUM(AH25:AH36)</f>
        <v>0</v>
      </c>
      <c r="AI37" s="304" t="n">
        <f aca="false">SUM(AI25:AI36)</f>
        <v>0</v>
      </c>
      <c r="AJ37" s="304" t="n">
        <f aca="false">SUM(AJ25:AJ36)</f>
        <v>0</v>
      </c>
      <c r="AK37" s="335" t="n">
        <f aca="false">SUM(AK25:AK36)</f>
        <v>0</v>
      </c>
      <c r="AL37" s="336" t="n">
        <f aca="false">SUM(AL25:AL36)</f>
        <v>0</v>
      </c>
      <c r="AM37" s="305" t="n">
        <f aca="false">SUM(AM25:AM36)</f>
        <v>0</v>
      </c>
      <c r="AN37" s="283"/>
      <c r="AO37" s="304" t="n">
        <f aca="false">SUM(AO25:AO36)</f>
        <v>0</v>
      </c>
      <c r="AP37" s="304" t="n">
        <f aca="false">SUM(AP25:AP36)</f>
        <v>0</v>
      </c>
      <c r="AQ37" s="304" t="n">
        <f aca="false">SUM(AQ25:AQ36)</f>
        <v>0</v>
      </c>
      <c r="AR37" s="304" t="n">
        <f aca="false">SUM(AR25:AR36)</f>
        <v>0</v>
      </c>
      <c r="AS37" s="304" t="n">
        <f aca="false">SUM(AS25:AS36)</f>
        <v>0</v>
      </c>
      <c r="AT37" s="304" t="n">
        <f aca="false">SUM(AT25:AT36)</f>
        <v>0</v>
      </c>
      <c r="AU37" s="304" t="n">
        <f aca="false">SUM(AU25:AU36)</f>
        <v>0</v>
      </c>
      <c r="AV37" s="304" t="n">
        <f aca="false">SUM(AV25:AV36)</f>
        <v>0</v>
      </c>
      <c r="AW37" s="304" t="n">
        <f aca="false">SUM(AW25:AW36)</f>
        <v>0</v>
      </c>
      <c r="AX37" s="304" t="n">
        <f aca="false">SUM(AX25:AX36)</f>
        <v>0</v>
      </c>
      <c r="AY37" s="304" t="n">
        <f aca="false">SUM(AY25:AY36)</f>
        <v>0</v>
      </c>
      <c r="AZ37" s="304" t="n">
        <f aca="false">SUM(AZ25:AZ36)</f>
        <v>0</v>
      </c>
      <c r="BA37" s="336" t="n">
        <f aca="false">SUM(BA25:BA36)</f>
        <v>0</v>
      </c>
      <c r="BB37" s="336" t="n">
        <f aca="false">SUM(BB25:BB36)</f>
        <v>0</v>
      </c>
      <c r="BC37" s="305" t="n">
        <f aca="false">SUM(BC25:BC36)</f>
        <v>0</v>
      </c>
      <c r="BD37" s="303"/>
      <c r="BE37" s="337"/>
    </row>
    <row r="38" customFormat="false" ht="15" hidden="false" customHeight="true" outlineLevel="0" collapsed="false">
      <c r="B38" s="296"/>
      <c r="D38" s="297"/>
      <c r="E38" s="300"/>
      <c r="F38" s="300"/>
      <c r="G38" s="300"/>
      <c r="H38" s="241"/>
      <c r="I38" s="302"/>
      <c r="J38" s="302"/>
      <c r="K38" s="241"/>
      <c r="L38" s="259"/>
      <c r="M38" s="259"/>
      <c r="N38" s="259"/>
      <c r="O38" s="259"/>
      <c r="P38" s="259"/>
      <c r="Q38" s="259"/>
      <c r="R38" s="259"/>
      <c r="S38" s="259"/>
      <c r="T38" s="259"/>
      <c r="U38" s="259"/>
      <c r="V38" s="259"/>
      <c r="W38" s="259"/>
      <c r="X38" s="303"/>
      <c r="Y38" s="259"/>
      <c r="Z38" s="303"/>
      <c r="AA38" s="303"/>
      <c r="AB38" s="303"/>
      <c r="AC38" s="303"/>
      <c r="AD38" s="303"/>
      <c r="AE38" s="303"/>
      <c r="AF38" s="303"/>
      <c r="AG38" s="303"/>
      <c r="AH38" s="303"/>
      <c r="AI38" s="303"/>
      <c r="AJ38" s="303"/>
      <c r="AK38" s="303"/>
      <c r="AL38" s="303"/>
      <c r="AM38" s="303"/>
      <c r="AN38" s="303"/>
      <c r="AO38" s="259"/>
      <c r="AP38" s="303"/>
      <c r="AQ38" s="303"/>
      <c r="AR38" s="303"/>
      <c r="AS38" s="303"/>
      <c r="AT38" s="303"/>
      <c r="AU38" s="303"/>
      <c r="AV38" s="303"/>
      <c r="AW38" s="303"/>
      <c r="AX38" s="303"/>
      <c r="AY38" s="303"/>
      <c r="AZ38" s="303"/>
      <c r="BA38" s="303"/>
      <c r="BB38" s="303"/>
      <c r="BC38" s="303"/>
      <c r="BD38" s="268"/>
      <c r="BE38" s="303"/>
    </row>
    <row r="39" customFormat="false" ht="15" hidden="false" customHeight="true" outlineLevel="0" collapsed="false">
      <c r="A39" s="198" t="n">
        <f aca="false">A23+1</f>
        <v>3</v>
      </c>
      <c r="B39" s="266" t="s">
        <v>253</v>
      </c>
      <c r="C39" s="266" t="s">
        <v>253</v>
      </c>
      <c r="D39" s="266"/>
      <c r="E39" s="241"/>
      <c r="F39" s="241"/>
      <c r="G39" s="241"/>
      <c r="H39" s="241"/>
      <c r="I39" s="241"/>
      <c r="J39" s="241"/>
      <c r="K39" s="277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59"/>
      <c r="Y39" s="268"/>
      <c r="Z39" s="268"/>
      <c r="AA39" s="268"/>
      <c r="AB39" s="268"/>
      <c r="AC39" s="268"/>
      <c r="AD39" s="268"/>
      <c r="AE39" s="268"/>
      <c r="AF39" s="268"/>
      <c r="AG39" s="268"/>
      <c r="AH39" s="268"/>
      <c r="AI39" s="268"/>
      <c r="AJ39" s="268"/>
      <c r="AK39" s="268"/>
      <c r="AL39" s="268"/>
      <c r="AM39" s="268"/>
      <c r="AN39" s="259"/>
      <c r="AO39" s="268"/>
      <c r="AP39" s="268"/>
      <c r="AQ39" s="268"/>
      <c r="AR39" s="268"/>
      <c r="AS39" s="268"/>
      <c r="AT39" s="268"/>
      <c r="AU39" s="268"/>
      <c r="AV39" s="268"/>
      <c r="AW39" s="268"/>
      <c r="AX39" s="268"/>
      <c r="AY39" s="268"/>
      <c r="AZ39" s="268"/>
      <c r="BA39" s="268"/>
      <c r="BB39" s="268"/>
      <c r="BC39" s="268"/>
      <c r="BD39" s="287"/>
      <c r="BE39" s="268"/>
    </row>
    <row r="40" customFormat="false" ht="7.5" hidden="false" customHeight="true" outlineLevel="0" collapsed="false">
      <c r="A40" s="198"/>
      <c r="B40" s="266"/>
      <c r="C40" s="266"/>
      <c r="D40" s="266"/>
      <c r="E40" s="241"/>
      <c r="F40" s="241"/>
      <c r="G40" s="241"/>
      <c r="H40" s="204"/>
      <c r="I40" s="269"/>
      <c r="J40" s="269"/>
      <c r="K40" s="277"/>
      <c r="L40" s="269"/>
      <c r="M40" s="269"/>
      <c r="N40" s="269"/>
      <c r="O40" s="269"/>
      <c r="P40" s="269"/>
      <c r="Q40" s="269"/>
      <c r="R40" s="269"/>
      <c r="S40" s="269"/>
      <c r="T40" s="269"/>
      <c r="U40" s="269"/>
      <c r="V40" s="269"/>
      <c r="W40" s="269"/>
      <c r="X40" s="259"/>
      <c r="Y40" s="271"/>
      <c r="Z40" s="271"/>
      <c r="AA40" s="271"/>
      <c r="AB40" s="271"/>
      <c r="AC40" s="271"/>
      <c r="AD40" s="271"/>
      <c r="AE40" s="271"/>
      <c r="AF40" s="271"/>
      <c r="AG40" s="271"/>
      <c r="AH40" s="271"/>
      <c r="AI40" s="271"/>
      <c r="AJ40" s="272"/>
      <c r="AK40" s="273"/>
      <c r="AL40" s="273"/>
      <c r="AM40" s="273"/>
      <c r="AN40" s="259"/>
      <c r="AO40" s="271"/>
      <c r="AP40" s="271"/>
      <c r="AQ40" s="271"/>
      <c r="AR40" s="271"/>
      <c r="AS40" s="271"/>
      <c r="AT40" s="271"/>
      <c r="AU40" s="271"/>
      <c r="AV40" s="271"/>
      <c r="AW40" s="271"/>
      <c r="AX40" s="271"/>
      <c r="AY40" s="271"/>
      <c r="AZ40" s="272"/>
      <c r="BA40" s="273"/>
      <c r="BB40" s="273"/>
      <c r="BC40" s="273"/>
      <c r="BD40" s="287"/>
      <c r="BE40" s="274"/>
    </row>
    <row r="41" customFormat="false" ht="15" hidden="false" customHeight="true" outlineLevel="0" collapsed="false">
      <c r="B41" s="333"/>
      <c r="C41" s="334"/>
      <c r="D41" s="333" t="n">
        <f aca="false">D25</f>
        <v>45292</v>
      </c>
      <c r="E41" s="277" t="n">
        <v>0</v>
      </c>
      <c r="F41" s="277" t="n">
        <v>0</v>
      </c>
      <c r="G41" s="277" t="n">
        <f aca="false">SUM(E41:F41)</f>
        <v>0</v>
      </c>
      <c r="H41" s="204"/>
      <c r="I41" s="279" t="n">
        <v>1</v>
      </c>
      <c r="J41" s="280" t="n">
        <f aca="false">1-I41</f>
        <v>0</v>
      </c>
      <c r="K41" s="277"/>
      <c r="L41" s="282"/>
      <c r="M41" s="282"/>
      <c r="N41" s="282"/>
      <c r="O41" s="282"/>
      <c r="P41" s="282"/>
      <c r="Q41" s="282"/>
      <c r="R41" s="282"/>
      <c r="S41" s="282"/>
      <c r="T41" s="282"/>
      <c r="U41" s="282"/>
      <c r="V41" s="282"/>
      <c r="W41" s="282"/>
      <c r="X41" s="268"/>
      <c r="Y41" s="284" t="n">
        <f aca="false">IFERROR(L41*$G41*I$9, "")</f>
        <v>0</v>
      </c>
      <c r="Z41" s="284" t="n">
        <f aca="false">IFERROR(M41*$G41*$I41, "")</f>
        <v>0</v>
      </c>
      <c r="AA41" s="284" t="n">
        <f aca="false">IFERROR(N41*$G41*$I41, "")</f>
        <v>0</v>
      </c>
      <c r="AB41" s="284" t="n">
        <f aca="false">IFERROR(O41*$G41*$I41, "")</f>
        <v>0</v>
      </c>
      <c r="AC41" s="284" t="n">
        <f aca="false">IFERROR(P41*$G41*$I41, "")</f>
        <v>0</v>
      </c>
      <c r="AD41" s="284" t="n">
        <f aca="false">IFERROR(Q41*$G41*$I41, "")</f>
        <v>0</v>
      </c>
      <c r="AE41" s="284" t="n">
        <f aca="false">IFERROR(R41*$G41*$I41, "")</f>
        <v>0</v>
      </c>
      <c r="AF41" s="284" t="n">
        <f aca="false">IFERROR(S41*$G41*$I41, "")</f>
        <v>0</v>
      </c>
      <c r="AG41" s="284" t="n">
        <f aca="false">IFERROR(T41*$G41*$I41, "")</f>
        <v>0</v>
      </c>
      <c r="AH41" s="284" t="n">
        <f aca="false">IFERROR(U41*$G41*$I41, "")</f>
        <v>0</v>
      </c>
      <c r="AI41" s="284" t="n">
        <f aca="false">IFERROR(V41*$G41*$I41, "")</f>
        <v>0</v>
      </c>
      <c r="AJ41" s="284" t="n">
        <f aca="false">IFERROR(W41*$G41*$I41, "")</f>
        <v>0</v>
      </c>
      <c r="AK41" s="286" t="n">
        <f aca="false">IFERROR(SUMIF($Y$4:$AJ$4, "RDEC", Y41:AJ41), "")</f>
        <v>0</v>
      </c>
      <c r="AL41" s="286" t="n">
        <f aca="false">IFERROR(SUMIF($Y$4:$AJ$4, "SME", Y41:AJ41), "")</f>
        <v>0</v>
      </c>
      <c r="AM41" s="286" t="n">
        <f aca="false">IFERROR(SUMIF($Y$4:$AJ$4, "De Minimis", Y41:AJ41), "")</f>
        <v>0</v>
      </c>
      <c r="AN41" s="268"/>
      <c r="AO41" s="284" t="n">
        <f aca="false">IFERROR($G41*$J41*L41, "")</f>
        <v>0</v>
      </c>
      <c r="AP41" s="284" t="n">
        <f aca="false">IFERROR($G41*$J41*M41, "")</f>
        <v>0</v>
      </c>
      <c r="AQ41" s="284" t="n">
        <f aca="false">IFERROR($G41*$J41*N41, "")</f>
        <v>0</v>
      </c>
      <c r="AR41" s="284" t="n">
        <f aca="false">IFERROR($G41*$J41*O41, "")</f>
        <v>0</v>
      </c>
      <c r="AS41" s="284" t="n">
        <f aca="false">IFERROR($G41*$J41*P41, "")</f>
        <v>0</v>
      </c>
      <c r="AT41" s="284" t="n">
        <f aca="false">IFERROR($G41*$J41*Q41, "")</f>
        <v>0</v>
      </c>
      <c r="AU41" s="284" t="n">
        <f aca="false">IFERROR($G41*$J41*R41, "")</f>
        <v>0</v>
      </c>
      <c r="AV41" s="284" t="n">
        <f aca="false">IFERROR($G41*$J41*S41, "")</f>
        <v>0</v>
      </c>
      <c r="AW41" s="284" t="n">
        <f aca="false">IFERROR($G41*$J41*T41, "")</f>
        <v>0</v>
      </c>
      <c r="AX41" s="284" t="n">
        <f aca="false">IFERROR($G41*$J41*U41, "")</f>
        <v>0</v>
      </c>
      <c r="AY41" s="284" t="n">
        <f aca="false">IFERROR($G41*$J41*V41, "")</f>
        <v>0</v>
      </c>
      <c r="AZ41" s="284" t="n">
        <f aca="false">IFERROR($G41*$J41*W41, "")</f>
        <v>0</v>
      </c>
      <c r="BA41" s="286" t="n">
        <f aca="false">IFERROR(SUMIF($AO$4:$AZ$4, "RDEC", AO41:AZ41), "")</f>
        <v>0</v>
      </c>
      <c r="BB41" s="286" t="n">
        <f aca="false">IFERROR(SUMIF($AO$4:$AZ$4, "SME", AO41:AZ41), "")</f>
        <v>0</v>
      </c>
      <c r="BC41" s="286" t="n">
        <f aca="false">IFERROR(SUMIF($AO$4:$AZ$4, "De Minimis", AO41:AZ41), "")</f>
        <v>0</v>
      </c>
      <c r="BD41" s="287"/>
      <c r="BE41" s="288" t="str">
        <f aca="false">IF((SUM(L41:W41)&gt;1),"ERROR","")</f>
        <v/>
      </c>
    </row>
    <row r="42" customFormat="false" ht="15" hidden="false" customHeight="true" outlineLevel="0" collapsed="false">
      <c r="B42" s="333"/>
      <c r="C42" s="334"/>
      <c r="D42" s="333" t="n">
        <f aca="false">D26</f>
        <v>45323</v>
      </c>
      <c r="E42" s="277" t="n">
        <v>0</v>
      </c>
      <c r="F42" s="277" t="n">
        <v>0</v>
      </c>
      <c r="G42" s="277" t="n">
        <f aca="false">SUM(E42:F42)</f>
        <v>0</v>
      </c>
      <c r="H42" s="204"/>
      <c r="I42" s="279" t="n">
        <v>1</v>
      </c>
      <c r="J42" s="280" t="n">
        <f aca="false">1-I42</f>
        <v>0</v>
      </c>
      <c r="K42" s="277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3"/>
      <c r="Y42" s="284" t="n">
        <f aca="false">IFERROR(L42*$G42*I$9, "")</f>
        <v>0</v>
      </c>
      <c r="Z42" s="284" t="n">
        <f aca="false">IFERROR(M42*$G42*$I42, "")</f>
        <v>0</v>
      </c>
      <c r="AA42" s="284" t="n">
        <f aca="false">IFERROR(N42*$G42*$I42, "")</f>
        <v>0</v>
      </c>
      <c r="AB42" s="284" t="n">
        <f aca="false">IFERROR(O42*$G42*$I42, "")</f>
        <v>0</v>
      </c>
      <c r="AC42" s="284" t="n">
        <f aca="false">IFERROR(P42*$G42*$I42, "")</f>
        <v>0</v>
      </c>
      <c r="AD42" s="284" t="n">
        <f aca="false">IFERROR(Q42*$G42*$I42, "")</f>
        <v>0</v>
      </c>
      <c r="AE42" s="284" t="n">
        <f aca="false">IFERROR(R42*$G42*$I42, "")</f>
        <v>0</v>
      </c>
      <c r="AF42" s="284" t="n">
        <f aca="false">IFERROR(S42*$G42*$I42, "")</f>
        <v>0</v>
      </c>
      <c r="AG42" s="284" t="n">
        <f aca="false">IFERROR(T42*$G42*$I42, "")</f>
        <v>0</v>
      </c>
      <c r="AH42" s="284" t="n">
        <f aca="false">IFERROR(U42*$G42*$I42, "")</f>
        <v>0</v>
      </c>
      <c r="AI42" s="284" t="n">
        <f aca="false">IFERROR(V42*$G42*$I42, "")</f>
        <v>0</v>
      </c>
      <c r="AJ42" s="284" t="n">
        <f aca="false">IFERROR(W42*$G42*$I42, "")</f>
        <v>0</v>
      </c>
      <c r="AK42" s="286" t="n">
        <f aca="false">IFERROR(SUMIF($Y$4:$AJ$4, "RDEC", Y42:AJ42), "")</f>
        <v>0</v>
      </c>
      <c r="AL42" s="286" t="n">
        <f aca="false">IFERROR(SUMIF($Y$4:$AJ$4, "SME", Y42:AJ42), "")</f>
        <v>0</v>
      </c>
      <c r="AM42" s="286" t="n">
        <f aca="false">IFERROR(SUMIF($Y$4:$AJ$4, "De Minimis", Y42:AJ42), "")</f>
        <v>0</v>
      </c>
      <c r="AN42" s="283"/>
      <c r="AO42" s="284" t="n">
        <f aca="false">IFERROR($G42*$J42*L42, "")</f>
        <v>0</v>
      </c>
      <c r="AP42" s="284" t="n">
        <f aca="false">IFERROR($G42*$J42*M42, "")</f>
        <v>0</v>
      </c>
      <c r="AQ42" s="284" t="n">
        <f aca="false">IFERROR($G42*$J42*N42, "")</f>
        <v>0</v>
      </c>
      <c r="AR42" s="284" t="n">
        <f aca="false">IFERROR($G42*$J42*O42, "")</f>
        <v>0</v>
      </c>
      <c r="AS42" s="284" t="n">
        <f aca="false">IFERROR($G42*$J42*P42, "")</f>
        <v>0</v>
      </c>
      <c r="AT42" s="284" t="n">
        <f aca="false">IFERROR($G42*$J42*Q42, "")</f>
        <v>0</v>
      </c>
      <c r="AU42" s="284" t="n">
        <f aca="false">IFERROR($G42*$J42*R42, "")</f>
        <v>0</v>
      </c>
      <c r="AV42" s="284" t="n">
        <f aca="false">IFERROR($G42*$J42*S42, "")</f>
        <v>0</v>
      </c>
      <c r="AW42" s="284" t="n">
        <f aca="false">IFERROR($G42*$J42*T42, "")</f>
        <v>0</v>
      </c>
      <c r="AX42" s="284" t="n">
        <f aca="false">IFERROR($G42*$J42*U42, "")</f>
        <v>0</v>
      </c>
      <c r="AY42" s="284" t="n">
        <f aca="false">IFERROR($G42*$J42*V42, "")</f>
        <v>0</v>
      </c>
      <c r="AZ42" s="284" t="n">
        <f aca="false">IFERROR($G42*$J42*W42, "")</f>
        <v>0</v>
      </c>
      <c r="BA42" s="286" t="n">
        <f aca="false">IFERROR(SUMIF($AO$4:$AZ$4, "RDEC", AO42:AZ42), "")</f>
        <v>0</v>
      </c>
      <c r="BB42" s="286" t="n">
        <f aca="false">IFERROR(SUMIF($AO$4:$AZ$4, "SME", AO42:AZ42), "")</f>
        <v>0</v>
      </c>
      <c r="BC42" s="286" t="n">
        <f aca="false">IFERROR(SUMIF($Y$4:$AJ$4, "De Minimis", AO42:AZ42), "")</f>
        <v>0</v>
      </c>
      <c r="BD42" s="287"/>
      <c r="BE42" s="288" t="str">
        <f aca="false">IF((SUM(L42:W42)&gt;1),"ERROR","")</f>
        <v/>
      </c>
    </row>
    <row r="43" customFormat="false" ht="15" hidden="false" customHeight="true" outlineLevel="0" collapsed="false">
      <c r="B43" s="333"/>
      <c r="C43" s="334"/>
      <c r="D43" s="333" t="n">
        <f aca="false">D27</f>
        <v>45352</v>
      </c>
      <c r="E43" s="277" t="n">
        <v>0</v>
      </c>
      <c r="F43" s="277" t="n">
        <v>0</v>
      </c>
      <c r="G43" s="277" t="n">
        <f aca="false">SUM(E43:F43)</f>
        <v>0</v>
      </c>
      <c r="H43" s="204"/>
      <c r="I43" s="279" t="n">
        <v>1</v>
      </c>
      <c r="J43" s="280" t="n">
        <f aca="false">1-I43</f>
        <v>0</v>
      </c>
      <c r="K43" s="277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3"/>
      <c r="Y43" s="284" t="n">
        <f aca="false">IFERROR(L43*$G43*I$9, "")</f>
        <v>0</v>
      </c>
      <c r="Z43" s="284" t="n">
        <f aca="false">IFERROR(M43*$G43*$I43, "")</f>
        <v>0</v>
      </c>
      <c r="AA43" s="284" t="n">
        <f aca="false">IFERROR(N43*$G43*$I43, "")</f>
        <v>0</v>
      </c>
      <c r="AB43" s="284" t="n">
        <f aca="false">IFERROR(O43*$G43*$I43, "")</f>
        <v>0</v>
      </c>
      <c r="AC43" s="284" t="n">
        <f aca="false">IFERROR(P43*$G43*$I43, "")</f>
        <v>0</v>
      </c>
      <c r="AD43" s="284" t="n">
        <f aca="false">IFERROR(Q43*$G43*$I43, "")</f>
        <v>0</v>
      </c>
      <c r="AE43" s="284" t="n">
        <f aca="false">IFERROR(R43*$G43*$I43, "")</f>
        <v>0</v>
      </c>
      <c r="AF43" s="284" t="n">
        <f aca="false">IFERROR(S43*$G43*$I43, "")</f>
        <v>0</v>
      </c>
      <c r="AG43" s="284" t="n">
        <f aca="false">IFERROR(T43*$G43*$I43, "")</f>
        <v>0</v>
      </c>
      <c r="AH43" s="284" t="n">
        <f aca="false">IFERROR(U43*$G43*$I43, "")</f>
        <v>0</v>
      </c>
      <c r="AI43" s="284" t="n">
        <f aca="false">IFERROR(V43*$G43*$I43, "")</f>
        <v>0</v>
      </c>
      <c r="AJ43" s="284" t="n">
        <f aca="false">IFERROR(W43*$G43*$I43, "")</f>
        <v>0</v>
      </c>
      <c r="AK43" s="286" t="n">
        <f aca="false">IFERROR(SUMIF($Y$4:$AJ$4, "RDEC", Y43:AJ43), "")</f>
        <v>0</v>
      </c>
      <c r="AL43" s="286" t="n">
        <f aca="false">IFERROR(SUMIF($Y$4:$AJ$4, "SME", Y43:AJ43), "")</f>
        <v>0</v>
      </c>
      <c r="AM43" s="286" t="n">
        <f aca="false">IFERROR(SUMIF($Y$4:$AJ$4, "De Minimis", Y43:AJ43), "")</f>
        <v>0</v>
      </c>
      <c r="AN43" s="283"/>
      <c r="AO43" s="284" t="n">
        <f aca="false">IFERROR($G43*$J43*L43, "")</f>
        <v>0</v>
      </c>
      <c r="AP43" s="284" t="n">
        <f aca="false">IFERROR($G43*$J43*M43, "")</f>
        <v>0</v>
      </c>
      <c r="AQ43" s="284" t="n">
        <f aca="false">IFERROR($G43*$J43*N43, "")</f>
        <v>0</v>
      </c>
      <c r="AR43" s="284" t="n">
        <f aca="false">IFERROR($G43*$J43*O43, "")</f>
        <v>0</v>
      </c>
      <c r="AS43" s="284" t="n">
        <f aca="false">IFERROR($G43*$J43*P43, "")</f>
        <v>0</v>
      </c>
      <c r="AT43" s="284" t="n">
        <f aca="false">IFERROR($G43*$J43*Q43, "")</f>
        <v>0</v>
      </c>
      <c r="AU43" s="284" t="n">
        <f aca="false">IFERROR($G43*$J43*R43, "")</f>
        <v>0</v>
      </c>
      <c r="AV43" s="284" t="n">
        <f aca="false">IFERROR($G43*$J43*S43, "")</f>
        <v>0</v>
      </c>
      <c r="AW43" s="284" t="n">
        <f aca="false">IFERROR($G43*$J43*T43, "")</f>
        <v>0</v>
      </c>
      <c r="AX43" s="284" t="n">
        <f aca="false">IFERROR($G43*$J43*U43, "")</f>
        <v>0</v>
      </c>
      <c r="AY43" s="284" t="n">
        <f aca="false">IFERROR($G43*$J43*V43, "")</f>
        <v>0</v>
      </c>
      <c r="AZ43" s="284" t="n">
        <f aca="false">IFERROR($G43*$J43*W43, "")</f>
        <v>0</v>
      </c>
      <c r="BA43" s="286" t="n">
        <f aca="false">IFERROR(SUMIF($AO$4:$AZ$4, "RDEC", AO43:AZ43), "")</f>
        <v>0</v>
      </c>
      <c r="BB43" s="286" t="n">
        <f aca="false">IFERROR(SUMIF($AO$4:$AZ$4, "SME", AO43:AZ43), "")</f>
        <v>0</v>
      </c>
      <c r="BC43" s="286" t="n">
        <f aca="false">IFERROR(SUMIF($Y$4:$AJ$4, "De Minimis", AO43:AZ43), "")</f>
        <v>0</v>
      </c>
      <c r="BD43" s="287"/>
      <c r="BE43" s="288" t="str">
        <f aca="false">IF((SUM(L43:W43)&gt;1),"ERROR","")</f>
        <v/>
      </c>
    </row>
    <row r="44" customFormat="false" ht="15" hidden="false" customHeight="true" outlineLevel="0" collapsed="false">
      <c r="B44" s="333"/>
      <c r="C44" s="334"/>
      <c r="D44" s="333" t="n">
        <f aca="false">D28</f>
        <v>45383</v>
      </c>
      <c r="E44" s="277" t="n">
        <v>0</v>
      </c>
      <c r="F44" s="277" t="n">
        <v>0</v>
      </c>
      <c r="G44" s="277" t="n">
        <f aca="false">SUM(E44:F44)</f>
        <v>0</v>
      </c>
      <c r="H44" s="204"/>
      <c r="I44" s="279" t="n">
        <v>1</v>
      </c>
      <c r="J44" s="280" t="n">
        <f aca="false">1-I44</f>
        <v>0</v>
      </c>
      <c r="K44" s="277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3"/>
      <c r="Y44" s="284" t="n">
        <f aca="false">IFERROR(L44*$G44*I$9, "")</f>
        <v>0</v>
      </c>
      <c r="Z44" s="284" t="n">
        <f aca="false">IFERROR(M44*$G44*$I44, "")</f>
        <v>0</v>
      </c>
      <c r="AA44" s="284" t="n">
        <f aca="false">IFERROR(N44*$G44*$I44, "")</f>
        <v>0</v>
      </c>
      <c r="AB44" s="284" t="n">
        <f aca="false">IFERROR(O44*$G44*$I44, "")</f>
        <v>0</v>
      </c>
      <c r="AC44" s="284" t="n">
        <f aca="false">IFERROR(P44*$G44*$I44, "")</f>
        <v>0</v>
      </c>
      <c r="AD44" s="284" t="n">
        <f aca="false">IFERROR(Q44*$G44*$I44, "")</f>
        <v>0</v>
      </c>
      <c r="AE44" s="284" t="n">
        <f aca="false">IFERROR(R44*$G44*$I44, "")</f>
        <v>0</v>
      </c>
      <c r="AF44" s="284" t="n">
        <f aca="false">IFERROR(S44*$G44*$I44, "")</f>
        <v>0</v>
      </c>
      <c r="AG44" s="284" t="n">
        <f aca="false">IFERROR(T44*$G44*$I44, "")</f>
        <v>0</v>
      </c>
      <c r="AH44" s="284" t="n">
        <f aca="false">IFERROR(U44*$G44*$I44, "")</f>
        <v>0</v>
      </c>
      <c r="AI44" s="284" t="n">
        <f aca="false">IFERROR(V44*$G44*$I44, "")</f>
        <v>0</v>
      </c>
      <c r="AJ44" s="284" t="n">
        <f aca="false">IFERROR(W44*$G44*$I44, "")</f>
        <v>0</v>
      </c>
      <c r="AK44" s="286" t="n">
        <f aca="false">IFERROR(SUMIF($Y$4:$AJ$4, "RDEC", Y44:AJ44), "")</f>
        <v>0</v>
      </c>
      <c r="AL44" s="286" t="n">
        <f aca="false">IFERROR(SUMIF($Y$4:$AJ$4, "SME", Y44:AJ44), "")</f>
        <v>0</v>
      </c>
      <c r="AM44" s="286" t="n">
        <f aca="false">IFERROR(SUMIF($Y$4:$AJ$4, "De Minimis", Y44:AJ44), "")</f>
        <v>0</v>
      </c>
      <c r="AN44" s="283"/>
      <c r="AO44" s="284" t="n">
        <f aca="false">IFERROR($G44*$J44*L44, "")</f>
        <v>0</v>
      </c>
      <c r="AP44" s="284" t="n">
        <f aca="false">IFERROR($G44*$J44*M44, "")</f>
        <v>0</v>
      </c>
      <c r="AQ44" s="284" t="n">
        <f aca="false">IFERROR($G44*$J44*N44, "")</f>
        <v>0</v>
      </c>
      <c r="AR44" s="284" t="n">
        <f aca="false">IFERROR($G44*$J44*O44, "")</f>
        <v>0</v>
      </c>
      <c r="AS44" s="284" t="n">
        <f aca="false">IFERROR($G44*$J44*P44, "")</f>
        <v>0</v>
      </c>
      <c r="AT44" s="284" t="n">
        <f aca="false">IFERROR($G44*$J44*Q44, "")</f>
        <v>0</v>
      </c>
      <c r="AU44" s="284" t="n">
        <f aca="false">IFERROR($G44*$J44*R44, "")</f>
        <v>0</v>
      </c>
      <c r="AV44" s="284" t="n">
        <f aca="false">IFERROR($G44*$J44*S44, "")</f>
        <v>0</v>
      </c>
      <c r="AW44" s="284" t="n">
        <f aca="false">IFERROR($G44*$J44*T44, "")</f>
        <v>0</v>
      </c>
      <c r="AX44" s="284" t="n">
        <f aca="false">IFERROR($G44*$J44*U44, "")</f>
        <v>0</v>
      </c>
      <c r="AY44" s="284" t="n">
        <f aca="false">IFERROR($G44*$J44*V44, "")</f>
        <v>0</v>
      </c>
      <c r="AZ44" s="284" t="n">
        <f aca="false">IFERROR($G44*$J44*W44, "")</f>
        <v>0</v>
      </c>
      <c r="BA44" s="286" t="n">
        <f aca="false">IFERROR(SUMIF($AO$4:$AZ$4, "RDEC", AO44:AZ44), "")</f>
        <v>0</v>
      </c>
      <c r="BB44" s="286" t="n">
        <f aca="false">IFERROR(SUMIF($AO$4:$AZ$4, "SME", AO44:AZ44), "")</f>
        <v>0</v>
      </c>
      <c r="BC44" s="286" t="n">
        <f aca="false">IFERROR(SUMIF($Y$4:$AJ$4, "De Minimis", AO44:AZ44), "")</f>
        <v>0</v>
      </c>
      <c r="BD44" s="287"/>
      <c r="BE44" s="288" t="str">
        <f aca="false">IF((SUM(L44:W44)&gt;1),"ERROR","")</f>
        <v/>
      </c>
    </row>
    <row r="45" customFormat="false" ht="15" hidden="false" customHeight="true" outlineLevel="0" collapsed="false">
      <c r="B45" s="333"/>
      <c r="C45" s="334"/>
      <c r="D45" s="333" t="n">
        <f aca="false">D29</f>
        <v>45413</v>
      </c>
      <c r="E45" s="277" t="n">
        <v>0</v>
      </c>
      <c r="F45" s="277" t="n">
        <v>0</v>
      </c>
      <c r="G45" s="277" t="n">
        <f aca="false">SUM(E45:F45)</f>
        <v>0</v>
      </c>
      <c r="H45" s="204"/>
      <c r="I45" s="279" t="n">
        <v>1</v>
      </c>
      <c r="J45" s="280" t="n">
        <f aca="false">1-I45</f>
        <v>0</v>
      </c>
      <c r="K45" s="277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3"/>
      <c r="Y45" s="284" t="n">
        <f aca="false">IFERROR(L45*$G45*I$9, "")</f>
        <v>0</v>
      </c>
      <c r="Z45" s="284" t="n">
        <f aca="false">IFERROR(M45*$G45*$I45, "")</f>
        <v>0</v>
      </c>
      <c r="AA45" s="284" t="n">
        <f aca="false">IFERROR(N45*$G45*$I45, "")</f>
        <v>0</v>
      </c>
      <c r="AB45" s="284" t="n">
        <f aca="false">IFERROR(O45*$G45*$I45, "")</f>
        <v>0</v>
      </c>
      <c r="AC45" s="284" t="n">
        <f aca="false">IFERROR(P45*$G45*$I45, "")</f>
        <v>0</v>
      </c>
      <c r="AD45" s="284" t="n">
        <f aca="false">IFERROR(Q45*$G45*$I45, "")</f>
        <v>0</v>
      </c>
      <c r="AE45" s="284" t="n">
        <f aca="false">IFERROR(R45*$G45*$I45, "")</f>
        <v>0</v>
      </c>
      <c r="AF45" s="284" t="n">
        <f aca="false">IFERROR(S45*$G45*$I45, "")</f>
        <v>0</v>
      </c>
      <c r="AG45" s="284" t="n">
        <f aca="false">IFERROR(T45*$G45*$I45, "")</f>
        <v>0</v>
      </c>
      <c r="AH45" s="284" t="n">
        <f aca="false">IFERROR(U45*$G45*$I45, "")</f>
        <v>0</v>
      </c>
      <c r="AI45" s="284" t="n">
        <f aca="false">IFERROR(V45*$G45*$I45, "")</f>
        <v>0</v>
      </c>
      <c r="AJ45" s="284" t="n">
        <f aca="false">IFERROR(W45*$G45*$I45, "")</f>
        <v>0</v>
      </c>
      <c r="AK45" s="286" t="n">
        <f aca="false">IFERROR(SUMIF($Y$4:$AJ$4, "RDEC", Y45:AJ45), "")</f>
        <v>0</v>
      </c>
      <c r="AL45" s="286" t="n">
        <f aca="false">IFERROR(SUMIF($Y$4:$AJ$4, "SME", Y45:AJ45), "")</f>
        <v>0</v>
      </c>
      <c r="AM45" s="286" t="n">
        <f aca="false">IFERROR(SUMIF($Y$4:$AJ$4, "De Minimis", Y45:AJ45), "")</f>
        <v>0</v>
      </c>
      <c r="AN45" s="283"/>
      <c r="AO45" s="284" t="n">
        <f aca="false">IFERROR($G45*$J45*L45, "")</f>
        <v>0</v>
      </c>
      <c r="AP45" s="284" t="n">
        <f aca="false">IFERROR($G45*$J45*M45, "")</f>
        <v>0</v>
      </c>
      <c r="AQ45" s="284" t="n">
        <f aca="false">IFERROR($G45*$J45*N45, "")</f>
        <v>0</v>
      </c>
      <c r="AR45" s="284" t="n">
        <f aca="false">IFERROR($G45*$J45*O45, "")</f>
        <v>0</v>
      </c>
      <c r="AS45" s="284" t="n">
        <f aca="false">IFERROR($G45*$J45*P45, "")</f>
        <v>0</v>
      </c>
      <c r="AT45" s="284" t="n">
        <f aca="false">IFERROR($G45*$J45*Q45, "")</f>
        <v>0</v>
      </c>
      <c r="AU45" s="284" t="n">
        <f aca="false">IFERROR($G45*$J45*R45, "")</f>
        <v>0</v>
      </c>
      <c r="AV45" s="284" t="n">
        <f aca="false">IFERROR($G45*$J45*S45, "")</f>
        <v>0</v>
      </c>
      <c r="AW45" s="284" t="n">
        <f aca="false">IFERROR($G45*$J45*T45, "")</f>
        <v>0</v>
      </c>
      <c r="AX45" s="284" t="n">
        <f aca="false">IFERROR($G45*$J45*U45, "")</f>
        <v>0</v>
      </c>
      <c r="AY45" s="284" t="n">
        <f aca="false">IFERROR($G45*$J45*V45, "")</f>
        <v>0</v>
      </c>
      <c r="AZ45" s="284" t="n">
        <f aca="false">IFERROR($G45*$J45*W45, "")</f>
        <v>0</v>
      </c>
      <c r="BA45" s="286" t="n">
        <f aca="false">IFERROR(SUMIF($AO$4:$AZ$4, "RDEC", AO45:AZ45), "")</f>
        <v>0</v>
      </c>
      <c r="BB45" s="286" t="n">
        <f aca="false">IFERROR(SUMIF($AO$4:$AZ$4, "SME", AO45:AZ45), "")</f>
        <v>0</v>
      </c>
      <c r="BC45" s="286" t="n">
        <f aca="false">IFERROR(SUMIF($Y$4:$AJ$4, "De Minimis", AO45:AZ45), "")</f>
        <v>0</v>
      </c>
      <c r="BD45" s="287"/>
      <c r="BE45" s="288" t="str">
        <f aca="false">IF((SUM(L45:W45)&gt;1),"ERROR","")</f>
        <v/>
      </c>
    </row>
    <row r="46" customFormat="false" ht="15" hidden="false" customHeight="true" outlineLevel="0" collapsed="false">
      <c r="B46" s="333"/>
      <c r="C46" s="334"/>
      <c r="D46" s="333" t="n">
        <f aca="false">D30</f>
        <v>45444</v>
      </c>
      <c r="E46" s="277" t="n">
        <v>0</v>
      </c>
      <c r="F46" s="277" t="n">
        <v>0</v>
      </c>
      <c r="G46" s="277" t="n">
        <f aca="false">SUM(E46:F46)</f>
        <v>0</v>
      </c>
      <c r="H46" s="204"/>
      <c r="I46" s="279" t="n">
        <v>1</v>
      </c>
      <c r="J46" s="280" t="n">
        <f aca="false">1-I46</f>
        <v>0</v>
      </c>
      <c r="K46" s="277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2"/>
      <c r="X46" s="283"/>
      <c r="Y46" s="284" t="n">
        <f aca="false">IFERROR(L46*$G46*I$9, "")</f>
        <v>0</v>
      </c>
      <c r="Z46" s="284" t="n">
        <f aca="false">IFERROR(M46*$G46*$I46, "")</f>
        <v>0</v>
      </c>
      <c r="AA46" s="284" t="n">
        <f aca="false">IFERROR(N46*$G46*$I46, "")</f>
        <v>0</v>
      </c>
      <c r="AB46" s="284" t="n">
        <f aca="false">IFERROR(O46*$G46*$I46, "")</f>
        <v>0</v>
      </c>
      <c r="AC46" s="284" t="n">
        <f aca="false">IFERROR(P46*$G46*$I46, "")</f>
        <v>0</v>
      </c>
      <c r="AD46" s="284" t="n">
        <f aca="false">IFERROR(Q46*$G46*$I46, "")</f>
        <v>0</v>
      </c>
      <c r="AE46" s="284" t="n">
        <f aca="false">IFERROR(R46*$G46*$I46, "")</f>
        <v>0</v>
      </c>
      <c r="AF46" s="284" t="n">
        <f aca="false">IFERROR(S46*$G46*$I46, "")</f>
        <v>0</v>
      </c>
      <c r="AG46" s="284" t="n">
        <f aca="false">IFERROR(T46*$G46*$I46, "")</f>
        <v>0</v>
      </c>
      <c r="AH46" s="284" t="n">
        <f aca="false">IFERROR(U46*$G46*$I46, "")</f>
        <v>0</v>
      </c>
      <c r="AI46" s="284" t="n">
        <f aca="false">IFERROR(V46*$G46*$I46, "")</f>
        <v>0</v>
      </c>
      <c r="AJ46" s="284" t="n">
        <f aca="false">IFERROR(W46*$G46*$I46, "")</f>
        <v>0</v>
      </c>
      <c r="AK46" s="286" t="n">
        <f aca="false">IFERROR(SUMIF($Y$4:$AJ$4, "RDEC", Y46:AJ46), "")</f>
        <v>0</v>
      </c>
      <c r="AL46" s="286" t="n">
        <f aca="false">IFERROR(SUMIF($Y$4:$AJ$4, "SME", Y46:AJ46), "")</f>
        <v>0</v>
      </c>
      <c r="AM46" s="286" t="n">
        <f aca="false">IFERROR(SUMIF($Y$4:$AJ$4, "De Minimis", Y46:AJ46), "")</f>
        <v>0</v>
      </c>
      <c r="AN46" s="283"/>
      <c r="AO46" s="284" t="n">
        <f aca="false">IFERROR($G46*$J46*L46, "")</f>
        <v>0</v>
      </c>
      <c r="AP46" s="284" t="n">
        <f aca="false">IFERROR($G46*$J46*M46, "")</f>
        <v>0</v>
      </c>
      <c r="AQ46" s="284" t="n">
        <f aca="false">IFERROR($G46*$J46*N46, "")</f>
        <v>0</v>
      </c>
      <c r="AR46" s="284" t="n">
        <f aca="false">IFERROR($G46*$J46*O46, "")</f>
        <v>0</v>
      </c>
      <c r="AS46" s="284" t="n">
        <f aca="false">IFERROR($G46*$J46*P46, "")</f>
        <v>0</v>
      </c>
      <c r="AT46" s="284" t="n">
        <f aca="false">IFERROR($G46*$J46*Q46, "")</f>
        <v>0</v>
      </c>
      <c r="AU46" s="284" t="n">
        <f aca="false">IFERROR($G46*$J46*R46, "")</f>
        <v>0</v>
      </c>
      <c r="AV46" s="284" t="n">
        <f aca="false">IFERROR($G46*$J46*S46, "")</f>
        <v>0</v>
      </c>
      <c r="AW46" s="284" t="n">
        <f aca="false">IFERROR($G46*$J46*T46, "")</f>
        <v>0</v>
      </c>
      <c r="AX46" s="284" t="n">
        <f aca="false">IFERROR($G46*$J46*U46, "")</f>
        <v>0</v>
      </c>
      <c r="AY46" s="284" t="n">
        <f aca="false">IFERROR($G46*$J46*V46, "")</f>
        <v>0</v>
      </c>
      <c r="AZ46" s="284" t="n">
        <f aca="false">IFERROR($G46*$J46*W46, "")</f>
        <v>0</v>
      </c>
      <c r="BA46" s="286" t="n">
        <f aca="false">IFERROR(SUMIF($AO$4:$AZ$4, "RDEC", AO46:AZ46), "")</f>
        <v>0</v>
      </c>
      <c r="BB46" s="286" t="n">
        <f aca="false">IFERROR(SUMIF($AO$4:$AZ$4, "SME", AO46:AZ46), "")</f>
        <v>0</v>
      </c>
      <c r="BC46" s="286" t="n">
        <f aca="false">IFERROR(SUMIF($Y$4:$AJ$4, "De Minimis", AO46:AZ46), "")</f>
        <v>0</v>
      </c>
      <c r="BD46" s="287"/>
      <c r="BE46" s="288" t="str">
        <f aca="false">IF((SUM(L46:W46)&gt;1),"ERROR","")</f>
        <v/>
      </c>
    </row>
    <row r="47" customFormat="false" ht="15" hidden="false" customHeight="true" outlineLevel="0" collapsed="false">
      <c r="B47" s="333"/>
      <c r="C47" s="334"/>
      <c r="D47" s="333" t="n">
        <f aca="false">D31</f>
        <v>45474</v>
      </c>
      <c r="E47" s="277" t="n">
        <v>0</v>
      </c>
      <c r="F47" s="277" t="n">
        <v>0</v>
      </c>
      <c r="G47" s="277" t="n">
        <f aca="false">SUM(E47:F47)</f>
        <v>0</v>
      </c>
      <c r="H47" s="204"/>
      <c r="I47" s="279" t="n">
        <v>1</v>
      </c>
      <c r="J47" s="280" t="n">
        <f aca="false">1-I47</f>
        <v>0</v>
      </c>
      <c r="K47" s="277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3"/>
      <c r="Y47" s="284" t="n">
        <f aca="false">IFERROR(L47*$G47*I$9, "")</f>
        <v>0</v>
      </c>
      <c r="Z47" s="284" t="n">
        <f aca="false">IFERROR(M47*$G47*$I47, "")</f>
        <v>0</v>
      </c>
      <c r="AA47" s="284" t="n">
        <f aca="false">IFERROR(N47*$G47*$I47, "")</f>
        <v>0</v>
      </c>
      <c r="AB47" s="284" t="n">
        <f aca="false">IFERROR(O47*$G47*$I47, "")</f>
        <v>0</v>
      </c>
      <c r="AC47" s="284" t="n">
        <f aca="false">IFERROR(P47*$G47*$I47, "")</f>
        <v>0</v>
      </c>
      <c r="AD47" s="284" t="n">
        <f aca="false">IFERROR(Q47*$G47*$I47, "")</f>
        <v>0</v>
      </c>
      <c r="AE47" s="284" t="n">
        <f aca="false">IFERROR(R47*$G47*$I47, "")</f>
        <v>0</v>
      </c>
      <c r="AF47" s="284" t="n">
        <f aca="false">IFERROR(S47*$G47*$I47, "")</f>
        <v>0</v>
      </c>
      <c r="AG47" s="284" t="n">
        <f aca="false">IFERROR(T47*$G47*$I47, "")</f>
        <v>0</v>
      </c>
      <c r="AH47" s="284" t="n">
        <f aca="false">IFERROR(U47*$G47*$I47, "")</f>
        <v>0</v>
      </c>
      <c r="AI47" s="284" t="n">
        <f aca="false">IFERROR(V47*$G47*$I47, "")</f>
        <v>0</v>
      </c>
      <c r="AJ47" s="284" t="n">
        <f aca="false">IFERROR(W47*$G47*$I47, "")</f>
        <v>0</v>
      </c>
      <c r="AK47" s="286" t="n">
        <f aca="false">IFERROR(SUMIF($Y$4:$AJ$4, "RDEC", Y47:AJ47), "")</f>
        <v>0</v>
      </c>
      <c r="AL47" s="286" t="n">
        <f aca="false">IFERROR(SUMIF($Y$4:$AJ$4, "SME", Y47:AJ47), "")</f>
        <v>0</v>
      </c>
      <c r="AM47" s="286" t="n">
        <f aca="false">IFERROR(SUMIF($Y$4:$AJ$4, "De Minimis", Y47:AJ47), "")</f>
        <v>0</v>
      </c>
      <c r="AN47" s="283"/>
      <c r="AO47" s="284" t="n">
        <f aca="false">IFERROR($G47*$J47*L47, "")</f>
        <v>0</v>
      </c>
      <c r="AP47" s="284" t="n">
        <f aca="false">IFERROR($G47*$J47*M47, "")</f>
        <v>0</v>
      </c>
      <c r="AQ47" s="284" t="n">
        <f aca="false">IFERROR($G47*$J47*N47, "")</f>
        <v>0</v>
      </c>
      <c r="AR47" s="284" t="n">
        <f aca="false">IFERROR($G47*$J47*O47, "")</f>
        <v>0</v>
      </c>
      <c r="AS47" s="284" t="n">
        <f aca="false">IFERROR($G47*$J47*P47, "")</f>
        <v>0</v>
      </c>
      <c r="AT47" s="284" t="n">
        <f aca="false">IFERROR($G47*$J47*Q47, "")</f>
        <v>0</v>
      </c>
      <c r="AU47" s="284" t="n">
        <f aca="false">IFERROR($G47*$J47*R47, "")</f>
        <v>0</v>
      </c>
      <c r="AV47" s="284" t="n">
        <f aca="false">IFERROR($G47*$J47*S47, "")</f>
        <v>0</v>
      </c>
      <c r="AW47" s="284" t="n">
        <f aca="false">IFERROR($G47*$J47*T47, "")</f>
        <v>0</v>
      </c>
      <c r="AX47" s="284" t="n">
        <f aca="false">IFERROR($G47*$J47*U47, "")</f>
        <v>0</v>
      </c>
      <c r="AY47" s="284" t="n">
        <f aca="false">IFERROR($G47*$J47*V47, "")</f>
        <v>0</v>
      </c>
      <c r="AZ47" s="284" t="n">
        <f aca="false">IFERROR($G47*$J47*W47, "")</f>
        <v>0</v>
      </c>
      <c r="BA47" s="286" t="n">
        <f aca="false">IFERROR(SUMIF($AO$4:$AZ$4, "RDEC", AO47:AZ47), "")</f>
        <v>0</v>
      </c>
      <c r="BB47" s="286" t="n">
        <f aca="false">IFERROR(SUMIF($AO$4:$AZ$4, "SME", AO47:AZ47), "")</f>
        <v>0</v>
      </c>
      <c r="BC47" s="286" t="n">
        <f aca="false">IFERROR(SUMIF($Y$4:$AJ$4, "De Minimis", AO47:AZ47), "")</f>
        <v>0</v>
      </c>
      <c r="BD47" s="287"/>
      <c r="BE47" s="288" t="str">
        <f aca="false">IF((SUM(L47:W47)&gt;1),"ERROR","")</f>
        <v/>
      </c>
    </row>
    <row r="48" customFormat="false" ht="15" hidden="false" customHeight="true" outlineLevel="0" collapsed="false">
      <c r="B48" s="333"/>
      <c r="C48" s="334"/>
      <c r="D48" s="333" t="n">
        <f aca="false">D32</f>
        <v>45505</v>
      </c>
      <c r="E48" s="277" t="n">
        <v>0</v>
      </c>
      <c r="F48" s="277" t="n">
        <v>0</v>
      </c>
      <c r="G48" s="277" t="n">
        <f aca="false">SUM(E48:F48)</f>
        <v>0</v>
      </c>
      <c r="H48" s="204"/>
      <c r="I48" s="279" t="n">
        <v>1</v>
      </c>
      <c r="J48" s="280" t="n">
        <f aca="false">1-I48</f>
        <v>0</v>
      </c>
      <c r="K48" s="277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3"/>
      <c r="Y48" s="284" t="n">
        <f aca="false">IFERROR(L48*$G48*I$9, "")</f>
        <v>0</v>
      </c>
      <c r="Z48" s="284" t="n">
        <f aca="false">IFERROR(M48*$G48*$I48, "")</f>
        <v>0</v>
      </c>
      <c r="AA48" s="284" t="n">
        <f aca="false">IFERROR(N48*$G48*$I48, "")</f>
        <v>0</v>
      </c>
      <c r="AB48" s="284" t="n">
        <f aca="false">IFERROR(O48*$G48*$I48, "")</f>
        <v>0</v>
      </c>
      <c r="AC48" s="284" t="n">
        <f aca="false">IFERROR(P48*$G48*$I48, "")</f>
        <v>0</v>
      </c>
      <c r="AD48" s="284" t="n">
        <f aca="false">IFERROR(Q48*$G48*$I48, "")</f>
        <v>0</v>
      </c>
      <c r="AE48" s="284" t="n">
        <f aca="false">IFERROR(R48*$G48*$I48, "")</f>
        <v>0</v>
      </c>
      <c r="AF48" s="284" t="n">
        <f aca="false">IFERROR(S48*$G48*$I48, "")</f>
        <v>0</v>
      </c>
      <c r="AG48" s="284" t="n">
        <f aca="false">IFERROR(T48*$G48*$I48, "")</f>
        <v>0</v>
      </c>
      <c r="AH48" s="284" t="n">
        <f aca="false">IFERROR(U48*$G48*$I48, "")</f>
        <v>0</v>
      </c>
      <c r="AI48" s="284" t="n">
        <f aca="false">IFERROR(V48*$G48*$I48, "")</f>
        <v>0</v>
      </c>
      <c r="AJ48" s="284" t="n">
        <f aca="false">IFERROR(W48*$G48*$I48, "")</f>
        <v>0</v>
      </c>
      <c r="AK48" s="286" t="n">
        <f aca="false">IFERROR(SUMIF($Y$4:$AJ$4, "RDEC", Y48:AJ48), "")</f>
        <v>0</v>
      </c>
      <c r="AL48" s="286" t="n">
        <f aca="false">IFERROR(SUMIF($Y$4:$AJ$4, "SME", Y48:AJ48), "")</f>
        <v>0</v>
      </c>
      <c r="AM48" s="286" t="n">
        <f aca="false">IFERROR(SUMIF($Y$4:$AJ$4, "De Minimis", Y48:AJ48), "")</f>
        <v>0</v>
      </c>
      <c r="AN48" s="283"/>
      <c r="AO48" s="284" t="n">
        <f aca="false">IFERROR($G48*$J48*L48, "")</f>
        <v>0</v>
      </c>
      <c r="AP48" s="284" t="n">
        <f aca="false">IFERROR($G48*$J48*M48, "")</f>
        <v>0</v>
      </c>
      <c r="AQ48" s="284" t="n">
        <f aca="false">IFERROR($G48*$J48*N48, "")</f>
        <v>0</v>
      </c>
      <c r="AR48" s="284" t="n">
        <f aca="false">IFERROR($G48*$J48*O48, "")</f>
        <v>0</v>
      </c>
      <c r="AS48" s="284" t="n">
        <f aca="false">IFERROR($G48*$J48*P48, "")</f>
        <v>0</v>
      </c>
      <c r="AT48" s="284" t="n">
        <f aca="false">IFERROR($G48*$J48*Q48, "")</f>
        <v>0</v>
      </c>
      <c r="AU48" s="284" t="n">
        <f aca="false">IFERROR($G48*$J48*R48, "")</f>
        <v>0</v>
      </c>
      <c r="AV48" s="284" t="n">
        <f aca="false">IFERROR($G48*$J48*S48, "")</f>
        <v>0</v>
      </c>
      <c r="AW48" s="284" t="n">
        <f aca="false">IFERROR($G48*$J48*T48, "")</f>
        <v>0</v>
      </c>
      <c r="AX48" s="284" t="n">
        <f aca="false">IFERROR($G48*$J48*U48, "")</f>
        <v>0</v>
      </c>
      <c r="AY48" s="284" t="n">
        <f aca="false">IFERROR($G48*$J48*V48, "")</f>
        <v>0</v>
      </c>
      <c r="AZ48" s="284" t="n">
        <f aca="false">IFERROR($G48*$J48*W48, "")</f>
        <v>0</v>
      </c>
      <c r="BA48" s="286" t="n">
        <f aca="false">IFERROR(SUMIF($AO$4:$AZ$4, "RDEC", AO48:AZ48), "")</f>
        <v>0</v>
      </c>
      <c r="BB48" s="286" t="n">
        <f aca="false">IFERROR(SUMIF($AO$4:$AZ$4, "SME", AO48:AZ48), "")</f>
        <v>0</v>
      </c>
      <c r="BC48" s="286" t="n">
        <f aca="false">IFERROR(SUMIF($Y$4:$AJ$4, "De Minimis", AO48:AZ48), "")</f>
        <v>0</v>
      </c>
      <c r="BD48" s="287"/>
      <c r="BE48" s="288" t="str">
        <f aca="false">IF((SUM(L48:W48)&gt;1),"ERROR","")</f>
        <v/>
      </c>
    </row>
    <row r="49" customFormat="false" ht="15" hidden="false" customHeight="true" outlineLevel="0" collapsed="false">
      <c r="B49" s="333"/>
      <c r="C49" s="334"/>
      <c r="D49" s="333" t="n">
        <f aca="false">D33</f>
        <v>45536</v>
      </c>
      <c r="E49" s="277" t="n">
        <v>0</v>
      </c>
      <c r="F49" s="277" t="n">
        <v>0</v>
      </c>
      <c r="G49" s="277" t="n">
        <f aca="false">SUM(E49:F49)</f>
        <v>0</v>
      </c>
      <c r="H49" s="204"/>
      <c r="I49" s="279" t="n">
        <v>1</v>
      </c>
      <c r="J49" s="280" t="n">
        <f aca="false">1-I49</f>
        <v>0</v>
      </c>
      <c r="K49" s="277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283"/>
      <c r="Y49" s="284" t="n">
        <f aca="false">IFERROR(L49*$G49*I$9, "")</f>
        <v>0</v>
      </c>
      <c r="Z49" s="284" t="n">
        <f aca="false">IFERROR(M49*$G49*$I49, "")</f>
        <v>0</v>
      </c>
      <c r="AA49" s="284" t="n">
        <f aca="false">IFERROR(N49*$G49*$I49, "")</f>
        <v>0</v>
      </c>
      <c r="AB49" s="284" t="n">
        <f aca="false">IFERROR(O49*$G49*$I49, "")</f>
        <v>0</v>
      </c>
      <c r="AC49" s="284" t="n">
        <f aca="false">IFERROR(P49*$G49*$I49, "")</f>
        <v>0</v>
      </c>
      <c r="AD49" s="284" t="n">
        <f aca="false">IFERROR(Q49*$G49*$I49, "")</f>
        <v>0</v>
      </c>
      <c r="AE49" s="284" t="n">
        <f aca="false">IFERROR(R49*$G49*$I49, "")</f>
        <v>0</v>
      </c>
      <c r="AF49" s="284" t="n">
        <f aca="false">IFERROR(S49*$G49*$I49, "")</f>
        <v>0</v>
      </c>
      <c r="AG49" s="284" t="n">
        <f aca="false">IFERROR(T49*$G49*$I49, "")</f>
        <v>0</v>
      </c>
      <c r="AH49" s="284" t="n">
        <f aca="false">IFERROR(U49*$G49*$I49, "")</f>
        <v>0</v>
      </c>
      <c r="AI49" s="284" t="n">
        <f aca="false">IFERROR(V49*$G49*$I49, "")</f>
        <v>0</v>
      </c>
      <c r="AJ49" s="284" t="n">
        <f aca="false">IFERROR(W49*$G49*$I49, "")</f>
        <v>0</v>
      </c>
      <c r="AK49" s="286" t="n">
        <f aca="false">IFERROR(SUMIF($Y$4:$AJ$4, "RDEC", Y49:AJ49), "")</f>
        <v>0</v>
      </c>
      <c r="AL49" s="286" t="n">
        <f aca="false">IFERROR(SUMIF($Y$4:$AJ$4, "SME", Y49:AJ49), "")</f>
        <v>0</v>
      </c>
      <c r="AM49" s="286" t="n">
        <f aca="false">IFERROR(SUMIF($Y$4:$AJ$4, "De Minimis", Y49:AJ49), "")</f>
        <v>0</v>
      </c>
      <c r="AN49" s="283"/>
      <c r="AO49" s="284" t="n">
        <f aca="false">IFERROR($G49*$J49*L49, "")</f>
        <v>0</v>
      </c>
      <c r="AP49" s="284" t="n">
        <f aca="false">IFERROR($G49*$J49*M49, "")</f>
        <v>0</v>
      </c>
      <c r="AQ49" s="284" t="n">
        <f aca="false">IFERROR($G49*$J49*N49, "")</f>
        <v>0</v>
      </c>
      <c r="AR49" s="284" t="n">
        <f aca="false">IFERROR($G49*$J49*O49, "")</f>
        <v>0</v>
      </c>
      <c r="AS49" s="284" t="n">
        <f aca="false">IFERROR($G49*$J49*P49, "")</f>
        <v>0</v>
      </c>
      <c r="AT49" s="284" t="n">
        <f aca="false">IFERROR($G49*$J49*Q49, "")</f>
        <v>0</v>
      </c>
      <c r="AU49" s="284" t="n">
        <f aca="false">IFERROR($G49*$J49*R49, "")</f>
        <v>0</v>
      </c>
      <c r="AV49" s="284" t="n">
        <f aca="false">IFERROR($G49*$J49*S49, "")</f>
        <v>0</v>
      </c>
      <c r="AW49" s="284" t="n">
        <f aca="false">IFERROR($G49*$J49*T49, "")</f>
        <v>0</v>
      </c>
      <c r="AX49" s="284" t="n">
        <f aca="false">IFERROR($G49*$J49*U49, "")</f>
        <v>0</v>
      </c>
      <c r="AY49" s="284" t="n">
        <f aca="false">IFERROR($G49*$J49*V49, "")</f>
        <v>0</v>
      </c>
      <c r="AZ49" s="284" t="n">
        <f aca="false">IFERROR($G49*$J49*W49, "")</f>
        <v>0</v>
      </c>
      <c r="BA49" s="286" t="n">
        <f aca="false">IFERROR(SUMIF($AO$4:$AZ$4, "RDEC", AO49:AZ49), "")</f>
        <v>0</v>
      </c>
      <c r="BB49" s="286" t="n">
        <f aca="false">IFERROR(SUMIF($AO$4:$AZ$4, "SME", AO49:AZ49), "")</f>
        <v>0</v>
      </c>
      <c r="BC49" s="286" t="n">
        <f aca="false">IFERROR(SUMIF($Y$4:$AJ$4, "De Minimis", AO49:AZ49), "")</f>
        <v>0</v>
      </c>
      <c r="BD49" s="287"/>
      <c r="BE49" s="288" t="str">
        <f aca="false">IF((SUM(L49:W49)&gt;1),"ERROR","")</f>
        <v/>
      </c>
    </row>
    <row r="50" customFormat="false" ht="15" hidden="false" customHeight="true" outlineLevel="0" collapsed="false">
      <c r="B50" s="333"/>
      <c r="C50" s="334"/>
      <c r="D50" s="333" t="n">
        <f aca="false">D34</f>
        <v>45566</v>
      </c>
      <c r="E50" s="277" t="n">
        <v>0</v>
      </c>
      <c r="F50" s="277" t="n">
        <v>0</v>
      </c>
      <c r="G50" s="277" t="n">
        <f aca="false">SUM(E50:F50)</f>
        <v>0</v>
      </c>
      <c r="H50" s="204"/>
      <c r="I50" s="279" t="n">
        <v>1</v>
      </c>
      <c r="J50" s="280" t="n">
        <f aca="false">1-I50</f>
        <v>0</v>
      </c>
      <c r="K50" s="277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3"/>
      <c r="Y50" s="284" t="n">
        <f aca="false">IFERROR(L50*$G50*I$9, "")</f>
        <v>0</v>
      </c>
      <c r="Z50" s="284" t="n">
        <f aca="false">IFERROR(M50*$G50*$I50, "")</f>
        <v>0</v>
      </c>
      <c r="AA50" s="284" t="n">
        <f aca="false">IFERROR(N50*$G50*$I50, "")</f>
        <v>0</v>
      </c>
      <c r="AB50" s="284" t="n">
        <f aca="false">IFERROR(O50*$G50*$I50, "")</f>
        <v>0</v>
      </c>
      <c r="AC50" s="284" t="n">
        <f aca="false">IFERROR(P50*$G50*$I50, "")</f>
        <v>0</v>
      </c>
      <c r="AD50" s="284" t="n">
        <f aca="false">IFERROR(Q50*$G50*$I50, "")</f>
        <v>0</v>
      </c>
      <c r="AE50" s="284" t="n">
        <f aca="false">IFERROR(R50*$G50*$I50, "")</f>
        <v>0</v>
      </c>
      <c r="AF50" s="284" t="n">
        <f aca="false">IFERROR(S50*$G50*$I50, "")</f>
        <v>0</v>
      </c>
      <c r="AG50" s="284" t="n">
        <f aca="false">IFERROR(T50*$G50*$I50, "")</f>
        <v>0</v>
      </c>
      <c r="AH50" s="284" t="n">
        <f aca="false">IFERROR(U50*$G50*$I50, "")</f>
        <v>0</v>
      </c>
      <c r="AI50" s="284" t="n">
        <f aca="false">IFERROR(V50*$G50*$I50, "")</f>
        <v>0</v>
      </c>
      <c r="AJ50" s="284" t="n">
        <f aca="false">IFERROR(W50*$G50*$I50, "")</f>
        <v>0</v>
      </c>
      <c r="AK50" s="286" t="n">
        <f aca="false">IFERROR(SUMIF($Y$4:$AJ$4, "RDEC", Y50:AJ50), "")</f>
        <v>0</v>
      </c>
      <c r="AL50" s="286" t="n">
        <f aca="false">IFERROR(SUMIF($Y$4:$AJ$4, "SME", Y50:AJ50), "")</f>
        <v>0</v>
      </c>
      <c r="AM50" s="286" t="n">
        <f aca="false">IFERROR(SUMIF($Y$4:$AJ$4, "De Minimis", Y50:AJ50), "")</f>
        <v>0</v>
      </c>
      <c r="AN50" s="283"/>
      <c r="AO50" s="284" t="n">
        <f aca="false">IFERROR($G50*$J50*L50, "")</f>
        <v>0</v>
      </c>
      <c r="AP50" s="284" t="n">
        <f aca="false">IFERROR($G50*$J50*M50, "")</f>
        <v>0</v>
      </c>
      <c r="AQ50" s="284" t="n">
        <f aca="false">IFERROR($G50*$J50*N50, "")</f>
        <v>0</v>
      </c>
      <c r="AR50" s="284" t="n">
        <f aca="false">IFERROR($G50*$J50*O50, "")</f>
        <v>0</v>
      </c>
      <c r="AS50" s="284" t="n">
        <f aca="false">IFERROR($G50*$J50*P50, "")</f>
        <v>0</v>
      </c>
      <c r="AT50" s="284" t="n">
        <f aca="false">IFERROR($G50*$J50*Q50, "")</f>
        <v>0</v>
      </c>
      <c r="AU50" s="284" t="n">
        <f aca="false">IFERROR($G50*$J50*R50, "")</f>
        <v>0</v>
      </c>
      <c r="AV50" s="284" t="n">
        <f aca="false">IFERROR($G50*$J50*S50, "")</f>
        <v>0</v>
      </c>
      <c r="AW50" s="284" t="n">
        <f aca="false">IFERROR($G50*$J50*T50, "")</f>
        <v>0</v>
      </c>
      <c r="AX50" s="284" t="n">
        <f aca="false">IFERROR($G50*$J50*U50, "")</f>
        <v>0</v>
      </c>
      <c r="AY50" s="284" t="n">
        <f aca="false">IFERROR($G50*$J50*V50, "")</f>
        <v>0</v>
      </c>
      <c r="AZ50" s="284" t="n">
        <f aca="false">IFERROR($G50*$J50*W50, "")</f>
        <v>0</v>
      </c>
      <c r="BA50" s="286" t="n">
        <f aca="false">IFERROR(SUMIF($AO$4:$AZ$4, "RDEC", AO50:AZ50), "")</f>
        <v>0</v>
      </c>
      <c r="BB50" s="286" t="n">
        <f aca="false">IFERROR(SUMIF($AO$4:$AZ$4, "SME", AO50:AZ50), "")</f>
        <v>0</v>
      </c>
      <c r="BC50" s="286" t="n">
        <f aca="false">IFERROR(SUMIF($Y$4:$AJ$4, "De Minimis", AO50:AZ50), "")</f>
        <v>0</v>
      </c>
      <c r="BD50" s="287"/>
      <c r="BE50" s="288" t="str">
        <f aca="false">IF((SUM(L50:W50)&gt;1),"ERROR","")</f>
        <v/>
      </c>
    </row>
    <row r="51" customFormat="false" ht="15" hidden="false" customHeight="true" outlineLevel="0" collapsed="false">
      <c r="B51" s="333"/>
      <c r="C51" s="334"/>
      <c r="D51" s="333" t="n">
        <f aca="false">D35</f>
        <v>45597</v>
      </c>
      <c r="E51" s="277" t="n">
        <v>0</v>
      </c>
      <c r="F51" s="277" t="n">
        <v>0</v>
      </c>
      <c r="G51" s="277" t="n">
        <f aca="false">SUM(E51:F51)</f>
        <v>0</v>
      </c>
      <c r="H51" s="204"/>
      <c r="I51" s="279" t="n">
        <v>1</v>
      </c>
      <c r="J51" s="280" t="n">
        <f aca="false">1-I51</f>
        <v>0</v>
      </c>
      <c r="K51" s="277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3"/>
      <c r="Y51" s="284" t="n">
        <f aca="false">IFERROR(L51*$G51*I$9, "")</f>
        <v>0</v>
      </c>
      <c r="Z51" s="284" t="n">
        <f aca="false">IFERROR(M51*$G51*$I51, "")</f>
        <v>0</v>
      </c>
      <c r="AA51" s="284" t="n">
        <f aca="false">IFERROR(N51*$G51*$I51, "")</f>
        <v>0</v>
      </c>
      <c r="AB51" s="284" t="n">
        <f aca="false">IFERROR(O51*$G51*$I51, "")</f>
        <v>0</v>
      </c>
      <c r="AC51" s="284" t="n">
        <f aca="false">IFERROR(P51*$G51*$I51, "")</f>
        <v>0</v>
      </c>
      <c r="AD51" s="284" t="n">
        <f aca="false">IFERROR(Q51*$G51*$I51, "")</f>
        <v>0</v>
      </c>
      <c r="AE51" s="284" t="n">
        <f aca="false">IFERROR(R51*$G51*$I51, "")</f>
        <v>0</v>
      </c>
      <c r="AF51" s="284" t="n">
        <f aca="false">IFERROR(S51*$G51*$I51, "")</f>
        <v>0</v>
      </c>
      <c r="AG51" s="284" t="n">
        <f aca="false">IFERROR(T51*$G51*$I51, "")</f>
        <v>0</v>
      </c>
      <c r="AH51" s="284" t="n">
        <f aca="false">IFERROR(U51*$G51*$I51, "")</f>
        <v>0</v>
      </c>
      <c r="AI51" s="284" t="n">
        <f aca="false">IFERROR(V51*$G51*$I51, "")</f>
        <v>0</v>
      </c>
      <c r="AJ51" s="284" t="n">
        <f aca="false">IFERROR(W51*$G51*$I51, "")</f>
        <v>0</v>
      </c>
      <c r="AK51" s="286" t="n">
        <f aca="false">IFERROR(SUMIF($Y$4:$AJ$4, "RDEC", Y51:AJ51), "")</f>
        <v>0</v>
      </c>
      <c r="AL51" s="286" t="n">
        <f aca="false">IFERROR(SUMIF($Y$4:$AJ$4, "SME", Y51:AJ51), "")</f>
        <v>0</v>
      </c>
      <c r="AM51" s="286" t="n">
        <f aca="false">IFERROR(SUMIF($Y$4:$AJ$4, "De Minimis", Y51:AJ51), "")</f>
        <v>0</v>
      </c>
      <c r="AN51" s="283"/>
      <c r="AO51" s="284" t="n">
        <f aca="false">IFERROR($G51*$J51*L51, "")</f>
        <v>0</v>
      </c>
      <c r="AP51" s="284" t="n">
        <f aca="false">IFERROR($G51*$J51*M51, "")</f>
        <v>0</v>
      </c>
      <c r="AQ51" s="284" t="n">
        <f aca="false">IFERROR($G51*$J51*N51, "")</f>
        <v>0</v>
      </c>
      <c r="AR51" s="284" t="n">
        <f aca="false">IFERROR($G51*$J51*O51, "")</f>
        <v>0</v>
      </c>
      <c r="AS51" s="284" t="n">
        <f aca="false">IFERROR($G51*$J51*P51, "")</f>
        <v>0</v>
      </c>
      <c r="AT51" s="284" t="n">
        <f aca="false">IFERROR($G51*$J51*Q51, "")</f>
        <v>0</v>
      </c>
      <c r="AU51" s="284" t="n">
        <f aca="false">IFERROR($G51*$J51*R51, "")</f>
        <v>0</v>
      </c>
      <c r="AV51" s="284" t="n">
        <f aca="false">IFERROR($G51*$J51*S51, "")</f>
        <v>0</v>
      </c>
      <c r="AW51" s="284" t="n">
        <f aca="false">IFERROR($G51*$J51*T51, "")</f>
        <v>0</v>
      </c>
      <c r="AX51" s="284" t="n">
        <f aca="false">IFERROR($G51*$J51*U51, "")</f>
        <v>0</v>
      </c>
      <c r="AY51" s="284" t="n">
        <f aca="false">IFERROR($G51*$J51*V51, "")</f>
        <v>0</v>
      </c>
      <c r="AZ51" s="284" t="n">
        <f aca="false">IFERROR($G51*$J51*W51, "")</f>
        <v>0</v>
      </c>
      <c r="BA51" s="286" t="n">
        <f aca="false">IFERROR(SUMIF($AO$4:$AZ$4, "RDEC", AO51:AZ51), "")</f>
        <v>0</v>
      </c>
      <c r="BB51" s="286" t="n">
        <f aca="false">IFERROR(SUMIF($AO$4:$AZ$4, "SME", AO51:AZ51), "")</f>
        <v>0</v>
      </c>
      <c r="BC51" s="286" t="n">
        <f aca="false">IFERROR(SUMIF($Y$4:$AJ$4, "De Minimis", AO51:AZ51), "")</f>
        <v>0</v>
      </c>
      <c r="BD51" s="287"/>
      <c r="BE51" s="288" t="str">
        <f aca="false">IF((SUM(L51:W51)&gt;1),"ERROR","")</f>
        <v/>
      </c>
    </row>
    <row r="52" customFormat="false" ht="15" hidden="false" customHeight="true" outlineLevel="0" collapsed="false">
      <c r="B52" s="333"/>
      <c r="C52" s="334"/>
      <c r="D52" s="333" t="n">
        <f aca="false">D36</f>
        <v>45627</v>
      </c>
      <c r="E52" s="277" t="n">
        <v>0</v>
      </c>
      <c r="F52" s="277" t="n">
        <v>0</v>
      </c>
      <c r="G52" s="277" t="n">
        <f aca="false">SUM(E52:F52)</f>
        <v>0</v>
      </c>
      <c r="H52" s="300"/>
      <c r="I52" s="289" t="n">
        <v>1</v>
      </c>
      <c r="J52" s="290" t="n">
        <f aca="false">1-I52</f>
        <v>0</v>
      </c>
      <c r="K52" s="300"/>
      <c r="L52" s="291"/>
      <c r="M52" s="291"/>
      <c r="N52" s="291"/>
      <c r="O52" s="291"/>
      <c r="P52" s="291"/>
      <c r="Q52" s="291"/>
      <c r="R52" s="291"/>
      <c r="S52" s="291"/>
      <c r="T52" s="291"/>
      <c r="U52" s="291"/>
      <c r="V52" s="291"/>
      <c r="W52" s="291"/>
      <c r="X52" s="283"/>
      <c r="Y52" s="284" t="n">
        <f aca="false">IFERROR(L52*$G52*I$9, "")</f>
        <v>0</v>
      </c>
      <c r="Z52" s="284" t="n">
        <f aca="false">IFERROR(M52*$G52*$I52, "")</f>
        <v>0</v>
      </c>
      <c r="AA52" s="284" t="n">
        <f aca="false">IFERROR(N52*$G52*$I52, "")</f>
        <v>0</v>
      </c>
      <c r="AB52" s="284" t="n">
        <f aca="false">IFERROR(O52*$G52*$I52, "")</f>
        <v>0</v>
      </c>
      <c r="AC52" s="284" t="n">
        <f aca="false">IFERROR(P52*$G52*$I52, "")</f>
        <v>0</v>
      </c>
      <c r="AD52" s="284" t="n">
        <f aca="false">IFERROR(Q52*$G52*$I52, "")</f>
        <v>0</v>
      </c>
      <c r="AE52" s="284" t="n">
        <f aca="false">IFERROR(R52*$G52*$I52, "")</f>
        <v>0</v>
      </c>
      <c r="AF52" s="284" t="n">
        <f aca="false">IFERROR(S52*$G52*$I52, "")</f>
        <v>0</v>
      </c>
      <c r="AG52" s="284" t="n">
        <f aca="false">IFERROR(T52*$G52*$I52, "")</f>
        <v>0</v>
      </c>
      <c r="AH52" s="284" t="n">
        <f aca="false">IFERROR(U52*$G52*$I52, "")</f>
        <v>0</v>
      </c>
      <c r="AI52" s="284" t="n">
        <f aca="false">IFERROR(V52*$G52*$I52, "")</f>
        <v>0</v>
      </c>
      <c r="AJ52" s="284" t="n">
        <f aca="false">IFERROR(W52*$G52*$I52, "")</f>
        <v>0</v>
      </c>
      <c r="AK52" s="294" t="n">
        <f aca="false">IFERROR(SUMIF($Y$4:$AJ$4, "RDEC", Y52:AJ52), "")</f>
        <v>0</v>
      </c>
      <c r="AL52" s="294" t="n">
        <f aca="false">IFERROR(SUMIF($Y$4:$AJ$4, "SME", Y52:AJ52), "")</f>
        <v>0</v>
      </c>
      <c r="AM52" s="294" t="n">
        <f aca="false">IFERROR(SUMIF($Y$4:$AJ$4, "De Minimis", Y52:AJ52), "")</f>
        <v>0</v>
      </c>
      <c r="AN52" s="283"/>
      <c r="AO52" s="284" t="n">
        <f aca="false">IFERROR($G52*$J52*L52, "")</f>
        <v>0</v>
      </c>
      <c r="AP52" s="284" t="n">
        <f aca="false">IFERROR($G52*$J52*M52, "")</f>
        <v>0</v>
      </c>
      <c r="AQ52" s="284" t="n">
        <f aca="false">IFERROR($G52*$J52*N52, "")</f>
        <v>0</v>
      </c>
      <c r="AR52" s="284" t="n">
        <f aca="false">IFERROR($G52*$J52*O52, "")</f>
        <v>0</v>
      </c>
      <c r="AS52" s="284" t="n">
        <f aca="false">IFERROR($G52*$J52*P52, "")</f>
        <v>0</v>
      </c>
      <c r="AT52" s="284" t="n">
        <f aca="false">IFERROR($G52*$J52*Q52, "")</f>
        <v>0</v>
      </c>
      <c r="AU52" s="284" t="n">
        <f aca="false">IFERROR($G52*$J52*R52, "")</f>
        <v>0</v>
      </c>
      <c r="AV52" s="284" t="n">
        <f aca="false">IFERROR($G52*$J52*S52, "")</f>
        <v>0</v>
      </c>
      <c r="AW52" s="284" t="n">
        <f aca="false">IFERROR($G52*$J52*T52, "")</f>
        <v>0</v>
      </c>
      <c r="AX52" s="284" t="n">
        <f aca="false">IFERROR($G52*$J52*U52, "")</f>
        <v>0</v>
      </c>
      <c r="AY52" s="284" t="n">
        <f aca="false">IFERROR($G52*$J52*V52, "")</f>
        <v>0</v>
      </c>
      <c r="AZ52" s="284" t="n">
        <f aca="false">IFERROR($G52*$J52*W52, "")</f>
        <v>0</v>
      </c>
      <c r="BA52" s="286" t="n">
        <f aca="false">IFERROR(SUMIF($AO$4:$AZ$4, "RDEC", AO52:AZ52), "")</f>
        <v>0</v>
      </c>
      <c r="BB52" s="286" t="n">
        <f aca="false">IFERROR(SUMIF($AO$4:$AZ$4, "SME", AO52:AZ52), "")</f>
        <v>0</v>
      </c>
      <c r="BC52" s="294" t="n">
        <f aca="false">IFERROR(SUMIF($Y$4:$AJ$4, "De Minimis", AO52:AZ52), "")</f>
        <v>0</v>
      </c>
      <c r="BD52" s="303"/>
      <c r="BE52" s="295" t="str">
        <f aca="false">IF((SUM(L52:W52)&gt;1),"ERROR","")</f>
        <v/>
      </c>
    </row>
    <row r="53" customFormat="false" ht="15" hidden="false" customHeight="true" outlineLevel="0" collapsed="false">
      <c r="B53" s="296"/>
      <c r="D53" s="297" t="s">
        <v>82</v>
      </c>
      <c r="E53" s="299" t="n">
        <f aca="false">SUM(E41:E52)</f>
        <v>0</v>
      </c>
      <c r="F53" s="299" t="n">
        <f aca="false">SUM(F41:F52)</f>
        <v>0</v>
      </c>
      <c r="G53" s="299" t="n">
        <f aca="false">SUM(G41:G52)</f>
        <v>0</v>
      </c>
      <c r="H53" s="300"/>
      <c r="I53" s="301" t="n">
        <f aca="false">AVERAGE(I40:I52)</f>
        <v>1</v>
      </c>
      <c r="J53" s="301" t="n">
        <f aca="false">AVERAGE(J40:J52)</f>
        <v>0</v>
      </c>
      <c r="K53" s="300"/>
      <c r="L53" s="290" t="n">
        <f aca="false">IF(SUM(L41:L52)&gt;0,(Y53/G53),0)</f>
        <v>0</v>
      </c>
      <c r="M53" s="301" t="n">
        <f aca="false">IF(SUM(M41:M52)&gt;0,(Z53/G53),0)</f>
        <v>0</v>
      </c>
      <c r="N53" s="301" t="n">
        <f aca="false">IF(SUM(N41:N52)&gt;0,(AA53/G53),0)</f>
        <v>0</v>
      </c>
      <c r="O53" s="301" t="n">
        <f aca="false">IF(SUM(O41:O52)&gt;0,(AB53/G53),0)</f>
        <v>0</v>
      </c>
      <c r="P53" s="301" t="n">
        <f aca="false">IF(SUM(P41:P52)&gt;0,(AC53/G53),0)</f>
        <v>0</v>
      </c>
      <c r="Q53" s="301" t="n">
        <f aca="false">IF(SUM(Q41:Q52)&gt;0,(AD53/G53),0)</f>
        <v>0</v>
      </c>
      <c r="R53" s="301" t="n">
        <f aca="false">IF(SUM(R41:R52)&gt;0,(AE53/G53),0)</f>
        <v>0</v>
      </c>
      <c r="S53" s="301" t="n">
        <f aca="false">IF(SUM(S41:S52)&gt;0,(AF53/G53),0)</f>
        <v>0</v>
      </c>
      <c r="T53" s="301" t="n">
        <f aca="false">IF(SUM(T41:T52)&gt;0,(AG53/G53),0)</f>
        <v>0</v>
      </c>
      <c r="U53" s="301" t="n">
        <f aca="false">IF(SUM(U41:U52)&gt;0,(AJ53/G53),0)</f>
        <v>0</v>
      </c>
      <c r="V53" s="301" t="n">
        <f aca="false">IF(SUM(V41:V52)&gt;0,(AI53/G53),0)</f>
        <v>0</v>
      </c>
      <c r="W53" s="301" t="n">
        <f aca="false">IF(SUM(W41:W52)&gt;0,(AJ53/G53),0)</f>
        <v>0</v>
      </c>
      <c r="X53" s="283"/>
      <c r="Y53" s="304" t="n">
        <f aca="false">SUM(Y41:Y52)</f>
        <v>0</v>
      </c>
      <c r="Z53" s="304" t="n">
        <f aca="false">SUM(Z41:Z52)</f>
        <v>0</v>
      </c>
      <c r="AA53" s="304" t="n">
        <f aca="false">SUM(AA41:AA52)</f>
        <v>0</v>
      </c>
      <c r="AB53" s="304" t="n">
        <f aca="false">SUM(AB41:AB52)</f>
        <v>0</v>
      </c>
      <c r="AC53" s="304" t="n">
        <f aca="false">SUM(AC41:AC52)</f>
        <v>0</v>
      </c>
      <c r="AD53" s="304" t="n">
        <f aca="false">SUM(AD41:AD52)</f>
        <v>0</v>
      </c>
      <c r="AE53" s="304" t="n">
        <f aca="false">SUM(AE41:AE52)</f>
        <v>0</v>
      </c>
      <c r="AF53" s="304" t="n">
        <f aca="false">SUM(AF41:AF52)</f>
        <v>0</v>
      </c>
      <c r="AG53" s="304" t="n">
        <f aca="false">SUM(AG41:AG52)</f>
        <v>0</v>
      </c>
      <c r="AH53" s="304" t="n">
        <f aca="false">SUM(AH41:AH52)</f>
        <v>0</v>
      </c>
      <c r="AI53" s="304" t="n">
        <f aca="false">SUM(AI41:AI52)</f>
        <v>0</v>
      </c>
      <c r="AJ53" s="304" t="n">
        <f aca="false">SUM(AJ41:AJ52)</f>
        <v>0</v>
      </c>
      <c r="AK53" s="335" t="n">
        <f aca="false">SUM(AK41:AK52)</f>
        <v>0</v>
      </c>
      <c r="AL53" s="336" t="n">
        <f aca="false">SUM(AL41:AL52)</f>
        <v>0</v>
      </c>
      <c r="AM53" s="305" t="n">
        <f aca="false">SUM(AM41:AM52)</f>
        <v>0</v>
      </c>
      <c r="AN53" s="283"/>
      <c r="AO53" s="304" t="n">
        <f aca="false">SUM(AO41:AO52)</f>
        <v>0</v>
      </c>
      <c r="AP53" s="304" t="n">
        <f aca="false">SUM(AP41:AP52)</f>
        <v>0</v>
      </c>
      <c r="AQ53" s="304" t="n">
        <f aca="false">SUM(AQ41:AQ52)</f>
        <v>0</v>
      </c>
      <c r="AR53" s="304" t="n">
        <f aca="false">SUM(AR41:AR52)</f>
        <v>0</v>
      </c>
      <c r="AS53" s="304" t="n">
        <f aca="false">SUM(AS41:AS52)</f>
        <v>0</v>
      </c>
      <c r="AT53" s="304" t="n">
        <f aca="false">SUM(AT41:AT52)</f>
        <v>0</v>
      </c>
      <c r="AU53" s="304" t="n">
        <f aca="false">SUM(AU41:AU52)</f>
        <v>0</v>
      </c>
      <c r="AV53" s="304" t="n">
        <f aca="false">SUM(AV41:AV52)</f>
        <v>0</v>
      </c>
      <c r="AW53" s="304" t="n">
        <f aca="false">SUM(AW41:AW52)</f>
        <v>0</v>
      </c>
      <c r="AX53" s="304" t="n">
        <f aca="false">SUM(AX41:AX52)</f>
        <v>0</v>
      </c>
      <c r="AY53" s="304" t="n">
        <f aca="false">SUM(AY41:AY52)</f>
        <v>0</v>
      </c>
      <c r="AZ53" s="304" t="n">
        <f aca="false">SUM(AZ41:AZ52)</f>
        <v>0</v>
      </c>
      <c r="BA53" s="336" t="n">
        <f aca="false">SUM(BA41:BA52)</f>
        <v>0</v>
      </c>
      <c r="BB53" s="336" t="n">
        <f aca="false">SUM(BB41:BB52)</f>
        <v>0</v>
      </c>
      <c r="BC53" s="305" t="n">
        <f aca="false">SUM(BC41:BC52)</f>
        <v>0</v>
      </c>
      <c r="BD53" s="303"/>
      <c r="BE53" s="337"/>
    </row>
    <row r="54" customFormat="false" ht="15" hidden="false" customHeight="true" outlineLevel="0" collapsed="false">
      <c r="B54" s="296"/>
      <c r="D54" s="297"/>
      <c r="E54" s="300"/>
      <c r="F54" s="300"/>
      <c r="G54" s="300"/>
      <c r="H54" s="241"/>
      <c r="I54" s="302"/>
      <c r="J54" s="302"/>
      <c r="K54" s="241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59"/>
      <c r="W54" s="259"/>
      <c r="X54" s="303"/>
      <c r="Y54" s="259"/>
      <c r="Z54" s="303"/>
      <c r="AA54" s="303"/>
      <c r="AB54" s="303"/>
      <c r="AC54" s="303"/>
      <c r="AD54" s="303"/>
      <c r="AE54" s="303"/>
      <c r="AF54" s="303"/>
      <c r="AG54" s="303"/>
      <c r="AH54" s="303"/>
      <c r="AI54" s="303"/>
      <c r="AJ54" s="303"/>
      <c r="AK54" s="303"/>
      <c r="AL54" s="303"/>
      <c r="AM54" s="303"/>
      <c r="AN54" s="303"/>
      <c r="AO54" s="259"/>
      <c r="AP54" s="303"/>
      <c r="AQ54" s="303"/>
      <c r="AR54" s="303"/>
      <c r="AS54" s="303"/>
      <c r="AT54" s="303"/>
      <c r="AU54" s="303"/>
      <c r="AV54" s="303"/>
      <c r="AW54" s="303"/>
      <c r="AX54" s="303"/>
      <c r="AY54" s="303"/>
      <c r="AZ54" s="303"/>
      <c r="BA54" s="303"/>
      <c r="BB54" s="303"/>
      <c r="BC54" s="303"/>
      <c r="BD54" s="268"/>
      <c r="BE54" s="303"/>
    </row>
    <row r="55" customFormat="false" ht="15" hidden="false" customHeight="true" outlineLevel="0" collapsed="false">
      <c r="A55" s="198" t="n">
        <f aca="false">A39+1</f>
        <v>4</v>
      </c>
      <c r="B55" s="266" t="s">
        <v>253</v>
      </c>
      <c r="C55" s="266" t="s">
        <v>253</v>
      </c>
      <c r="D55" s="266"/>
      <c r="E55" s="241"/>
      <c r="F55" s="241"/>
      <c r="G55" s="241"/>
      <c r="H55" s="241"/>
      <c r="I55" s="241"/>
      <c r="J55" s="241"/>
      <c r="K55" s="277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59"/>
      <c r="Y55" s="268"/>
      <c r="Z55" s="268"/>
      <c r="AA55" s="268"/>
      <c r="AB55" s="268"/>
      <c r="AC55" s="268"/>
      <c r="AD55" s="268"/>
      <c r="AE55" s="268"/>
      <c r="AF55" s="268"/>
      <c r="AG55" s="268"/>
      <c r="AH55" s="268"/>
      <c r="AI55" s="268"/>
      <c r="AJ55" s="268"/>
      <c r="AK55" s="268"/>
      <c r="AL55" s="268"/>
      <c r="AM55" s="268"/>
      <c r="AN55" s="259"/>
      <c r="AO55" s="268"/>
      <c r="AP55" s="268"/>
      <c r="AQ55" s="268"/>
      <c r="AR55" s="268"/>
      <c r="AS55" s="268"/>
      <c r="AT55" s="268"/>
      <c r="AU55" s="268"/>
      <c r="AV55" s="268"/>
      <c r="AW55" s="268"/>
      <c r="AX55" s="268"/>
      <c r="AY55" s="268"/>
      <c r="AZ55" s="268"/>
      <c r="BA55" s="268"/>
      <c r="BB55" s="268"/>
      <c r="BC55" s="268"/>
      <c r="BD55" s="287"/>
      <c r="BE55" s="268"/>
    </row>
    <row r="56" customFormat="false" ht="7.5" hidden="false" customHeight="true" outlineLevel="0" collapsed="false">
      <c r="A56" s="198"/>
      <c r="B56" s="266"/>
      <c r="C56" s="266"/>
      <c r="D56" s="266"/>
      <c r="E56" s="241"/>
      <c r="F56" s="241"/>
      <c r="G56" s="241"/>
      <c r="H56" s="204"/>
      <c r="I56" s="269"/>
      <c r="J56" s="269"/>
      <c r="K56" s="277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59"/>
      <c r="Y56" s="271"/>
      <c r="Z56" s="271"/>
      <c r="AA56" s="271"/>
      <c r="AB56" s="271"/>
      <c r="AC56" s="271"/>
      <c r="AD56" s="271"/>
      <c r="AE56" s="271"/>
      <c r="AF56" s="271"/>
      <c r="AG56" s="271"/>
      <c r="AH56" s="271"/>
      <c r="AI56" s="271"/>
      <c r="AJ56" s="272"/>
      <c r="AK56" s="273"/>
      <c r="AL56" s="273"/>
      <c r="AM56" s="273"/>
      <c r="AN56" s="259"/>
      <c r="AO56" s="271"/>
      <c r="AP56" s="271"/>
      <c r="AQ56" s="271"/>
      <c r="AR56" s="271"/>
      <c r="AS56" s="271"/>
      <c r="AT56" s="271"/>
      <c r="AU56" s="271"/>
      <c r="AV56" s="271"/>
      <c r="AW56" s="271"/>
      <c r="AX56" s="271"/>
      <c r="AY56" s="271"/>
      <c r="AZ56" s="272"/>
      <c r="BA56" s="273"/>
      <c r="BB56" s="273"/>
      <c r="BC56" s="273"/>
      <c r="BD56" s="287"/>
      <c r="BE56" s="274"/>
    </row>
    <row r="57" customFormat="false" ht="15" hidden="false" customHeight="true" outlineLevel="0" collapsed="false">
      <c r="B57" s="333"/>
      <c r="C57" s="334"/>
      <c r="D57" s="333" t="n">
        <f aca="false">D41</f>
        <v>45292</v>
      </c>
      <c r="E57" s="277" t="n">
        <v>0</v>
      </c>
      <c r="F57" s="277" t="n">
        <v>0</v>
      </c>
      <c r="G57" s="277" t="n">
        <f aca="false">SUM(E57:F57)</f>
        <v>0</v>
      </c>
      <c r="H57" s="204"/>
      <c r="I57" s="279" t="n">
        <v>1</v>
      </c>
      <c r="J57" s="280" t="n">
        <f aca="false">1-I57</f>
        <v>0</v>
      </c>
      <c r="K57" s="277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68"/>
      <c r="Y57" s="284" t="n">
        <f aca="false">IFERROR(L57*$G57*I$9, "")</f>
        <v>0</v>
      </c>
      <c r="Z57" s="284" t="n">
        <f aca="false">IFERROR(M57*$G57*$I57, "")</f>
        <v>0</v>
      </c>
      <c r="AA57" s="284" t="n">
        <f aca="false">IFERROR(N57*$G57*$I57, "")</f>
        <v>0</v>
      </c>
      <c r="AB57" s="284" t="n">
        <f aca="false">IFERROR(O57*$G57*$I57, "")</f>
        <v>0</v>
      </c>
      <c r="AC57" s="284" t="n">
        <f aca="false">IFERROR(P57*$G57*$I57, "")</f>
        <v>0</v>
      </c>
      <c r="AD57" s="284" t="n">
        <f aca="false">IFERROR(Q57*$G57*$I57, "")</f>
        <v>0</v>
      </c>
      <c r="AE57" s="284" t="n">
        <f aca="false">IFERROR(R57*$G57*$I57, "")</f>
        <v>0</v>
      </c>
      <c r="AF57" s="284" t="n">
        <f aca="false">IFERROR(S57*$G57*$I57, "")</f>
        <v>0</v>
      </c>
      <c r="AG57" s="284" t="n">
        <f aca="false">IFERROR(T57*$G57*$I57, "")</f>
        <v>0</v>
      </c>
      <c r="AH57" s="284" t="n">
        <f aca="false">IFERROR(U57*$G57*$I57, "")</f>
        <v>0</v>
      </c>
      <c r="AI57" s="284" t="n">
        <f aca="false">IFERROR(V57*$G57*$I57, "")</f>
        <v>0</v>
      </c>
      <c r="AJ57" s="284" t="n">
        <f aca="false">IFERROR(W57*$G57*$I57, "")</f>
        <v>0</v>
      </c>
      <c r="AK57" s="286" t="n">
        <f aca="false">IFERROR(SUMIF($Y$4:$AJ$4, "RDEC", Y57:AJ57), "")</f>
        <v>0</v>
      </c>
      <c r="AL57" s="286" t="n">
        <f aca="false">IFERROR(SUMIF($Y$4:$AJ$4, "SME", Y57:AJ57), "")</f>
        <v>0</v>
      </c>
      <c r="AM57" s="286" t="n">
        <f aca="false">IFERROR(SUMIF($Y$4:$AJ$4, "De Minimis", Y57:AJ57), "")</f>
        <v>0</v>
      </c>
      <c r="AN57" s="268"/>
      <c r="AO57" s="284" t="n">
        <f aca="false">IFERROR($G57*$J57*L57, "")</f>
        <v>0</v>
      </c>
      <c r="AP57" s="284" t="n">
        <f aca="false">IFERROR($G57*$J57*M57, "")</f>
        <v>0</v>
      </c>
      <c r="AQ57" s="284" t="n">
        <f aca="false">IFERROR($G57*$J57*N57, "")</f>
        <v>0</v>
      </c>
      <c r="AR57" s="284" t="n">
        <f aca="false">IFERROR($G57*$J57*O57, "")</f>
        <v>0</v>
      </c>
      <c r="AS57" s="284" t="n">
        <f aca="false">IFERROR($G57*$J57*P57, "")</f>
        <v>0</v>
      </c>
      <c r="AT57" s="284" t="n">
        <f aca="false">IFERROR($G57*$J57*Q57, "")</f>
        <v>0</v>
      </c>
      <c r="AU57" s="284" t="n">
        <f aca="false">IFERROR($G57*$J57*R57, "")</f>
        <v>0</v>
      </c>
      <c r="AV57" s="284" t="n">
        <f aca="false">IFERROR($G57*$J57*S57, "")</f>
        <v>0</v>
      </c>
      <c r="AW57" s="284" t="n">
        <f aca="false">IFERROR($G57*$J57*T57, "")</f>
        <v>0</v>
      </c>
      <c r="AX57" s="284" t="n">
        <f aca="false">IFERROR($G57*$J57*U57, "")</f>
        <v>0</v>
      </c>
      <c r="AY57" s="284" t="n">
        <f aca="false">IFERROR($G57*$J57*V57, "")</f>
        <v>0</v>
      </c>
      <c r="AZ57" s="284" t="n">
        <f aca="false">IFERROR($G57*$J57*W57, "")</f>
        <v>0</v>
      </c>
      <c r="BA57" s="286" t="n">
        <f aca="false">IFERROR(SUMIF($AO$4:$AZ$4, "RDEC", AO57:AZ57), "")</f>
        <v>0</v>
      </c>
      <c r="BB57" s="286" t="n">
        <f aca="false">IFERROR(SUMIF($AO$4:$AZ$4, "SME", AO57:AZ57), "")</f>
        <v>0</v>
      </c>
      <c r="BC57" s="286" t="n">
        <f aca="false">IFERROR(SUMIF($AO$4:$AZ$4, "De Minimis", AO57:AZ57), "")</f>
        <v>0</v>
      </c>
      <c r="BD57" s="287"/>
      <c r="BE57" s="288" t="str">
        <f aca="false">IF((SUM(L57:W57)&gt;1),"ERROR","")</f>
        <v/>
      </c>
    </row>
    <row r="58" customFormat="false" ht="15" hidden="false" customHeight="true" outlineLevel="0" collapsed="false">
      <c r="B58" s="333"/>
      <c r="C58" s="334"/>
      <c r="D58" s="333" t="n">
        <f aca="false">D42</f>
        <v>45323</v>
      </c>
      <c r="E58" s="277" t="n">
        <v>0</v>
      </c>
      <c r="F58" s="277" t="n">
        <v>0</v>
      </c>
      <c r="G58" s="277" t="n">
        <f aca="false">SUM(E58:F58)</f>
        <v>0</v>
      </c>
      <c r="H58" s="204"/>
      <c r="I58" s="279" t="n">
        <v>1</v>
      </c>
      <c r="J58" s="280" t="n">
        <f aca="false">1-I58</f>
        <v>0</v>
      </c>
      <c r="K58" s="277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3"/>
      <c r="Y58" s="284" t="n">
        <f aca="false">IFERROR(L58*$G58*I$9, "")</f>
        <v>0</v>
      </c>
      <c r="Z58" s="284" t="n">
        <f aca="false">IFERROR(M58*$G58*$I58, "")</f>
        <v>0</v>
      </c>
      <c r="AA58" s="284" t="n">
        <f aca="false">IFERROR(N58*$G58*$I58, "")</f>
        <v>0</v>
      </c>
      <c r="AB58" s="284" t="n">
        <f aca="false">IFERROR(O58*$G58*$I58, "")</f>
        <v>0</v>
      </c>
      <c r="AC58" s="284" t="n">
        <f aca="false">IFERROR(P58*$G58*$I58, "")</f>
        <v>0</v>
      </c>
      <c r="AD58" s="284" t="n">
        <f aca="false">IFERROR(Q58*$G58*$I58, "")</f>
        <v>0</v>
      </c>
      <c r="AE58" s="284" t="n">
        <f aca="false">IFERROR(R58*$G58*$I58, "")</f>
        <v>0</v>
      </c>
      <c r="AF58" s="284" t="n">
        <f aca="false">IFERROR(S58*$G58*$I58, "")</f>
        <v>0</v>
      </c>
      <c r="AG58" s="284" t="n">
        <f aca="false">IFERROR(T58*$G58*$I58, "")</f>
        <v>0</v>
      </c>
      <c r="AH58" s="284" t="n">
        <f aca="false">IFERROR(U58*$G58*$I58, "")</f>
        <v>0</v>
      </c>
      <c r="AI58" s="284" t="n">
        <f aca="false">IFERROR(V58*$G58*$I58, "")</f>
        <v>0</v>
      </c>
      <c r="AJ58" s="284" t="n">
        <f aca="false">IFERROR(W58*$G58*$I58, "")</f>
        <v>0</v>
      </c>
      <c r="AK58" s="286" t="n">
        <f aca="false">IFERROR(SUMIF($Y$4:$AJ$4, "RDEC", Y58:AJ58), "")</f>
        <v>0</v>
      </c>
      <c r="AL58" s="286" t="n">
        <f aca="false">IFERROR(SUMIF($Y$4:$AJ$4, "SME", Y58:AJ58), "")</f>
        <v>0</v>
      </c>
      <c r="AM58" s="286" t="n">
        <f aca="false">IFERROR(SUMIF($Y$4:$AJ$4, "De Minimis", Y58:AJ58), "")</f>
        <v>0</v>
      </c>
      <c r="AN58" s="283"/>
      <c r="AO58" s="284" t="n">
        <f aca="false">IFERROR($G58*$J58*L58, "")</f>
        <v>0</v>
      </c>
      <c r="AP58" s="284" t="n">
        <f aca="false">IFERROR($G58*$J58*M58, "")</f>
        <v>0</v>
      </c>
      <c r="AQ58" s="284" t="n">
        <f aca="false">IFERROR($G58*$J58*N58, "")</f>
        <v>0</v>
      </c>
      <c r="AR58" s="284" t="n">
        <f aca="false">IFERROR($G58*$J58*O58, "")</f>
        <v>0</v>
      </c>
      <c r="AS58" s="284" t="n">
        <f aca="false">IFERROR($G58*$J58*P58, "")</f>
        <v>0</v>
      </c>
      <c r="AT58" s="284" t="n">
        <f aca="false">IFERROR($G58*$J58*Q58, "")</f>
        <v>0</v>
      </c>
      <c r="AU58" s="284" t="n">
        <f aca="false">IFERROR($G58*$J58*R58, "")</f>
        <v>0</v>
      </c>
      <c r="AV58" s="284" t="n">
        <f aca="false">IFERROR($G58*$J58*S58, "")</f>
        <v>0</v>
      </c>
      <c r="AW58" s="284" t="n">
        <f aca="false">IFERROR($G58*$J58*T58, "")</f>
        <v>0</v>
      </c>
      <c r="AX58" s="284" t="n">
        <f aca="false">IFERROR($G58*$J58*U58, "")</f>
        <v>0</v>
      </c>
      <c r="AY58" s="284" t="n">
        <f aca="false">IFERROR($G58*$J58*V58, "")</f>
        <v>0</v>
      </c>
      <c r="AZ58" s="284" t="n">
        <f aca="false">IFERROR($G58*$J58*W58, "")</f>
        <v>0</v>
      </c>
      <c r="BA58" s="286" t="n">
        <f aca="false">IFERROR(SUMIF($AO$4:$AZ$4, "RDEC", AO58:AZ58), "")</f>
        <v>0</v>
      </c>
      <c r="BB58" s="286" t="n">
        <f aca="false">IFERROR(SUMIF($AO$4:$AZ$4, "SME", AO58:AZ58), "")</f>
        <v>0</v>
      </c>
      <c r="BC58" s="286" t="n">
        <f aca="false">IFERROR(SUMIF($Y$4:$AJ$4, "De Minimis", AO58:AZ58), "")</f>
        <v>0</v>
      </c>
      <c r="BD58" s="287"/>
      <c r="BE58" s="288" t="str">
        <f aca="false">IF((SUM(L58:W58)&gt;1),"ERROR","")</f>
        <v/>
      </c>
    </row>
    <row r="59" customFormat="false" ht="15" hidden="false" customHeight="true" outlineLevel="0" collapsed="false">
      <c r="B59" s="333"/>
      <c r="C59" s="334"/>
      <c r="D59" s="333" t="n">
        <f aca="false">D43</f>
        <v>45352</v>
      </c>
      <c r="E59" s="277" t="n">
        <v>0</v>
      </c>
      <c r="F59" s="277" t="n">
        <v>0</v>
      </c>
      <c r="G59" s="277" t="n">
        <f aca="false">SUM(E59:F59)</f>
        <v>0</v>
      </c>
      <c r="H59" s="204"/>
      <c r="I59" s="279" t="n">
        <v>1</v>
      </c>
      <c r="J59" s="280" t="n">
        <f aca="false">1-I59</f>
        <v>0</v>
      </c>
      <c r="K59" s="277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3"/>
      <c r="Y59" s="284" t="n">
        <f aca="false">IFERROR(L59*$G59*I$9, "")</f>
        <v>0</v>
      </c>
      <c r="Z59" s="284" t="n">
        <f aca="false">IFERROR(M59*$G59*$I59, "")</f>
        <v>0</v>
      </c>
      <c r="AA59" s="284" t="n">
        <f aca="false">IFERROR(N59*$G59*$I59, "")</f>
        <v>0</v>
      </c>
      <c r="AB59" s="284" t="n">
        <f aca="false">IFERROR(O59*$G59*$I59, "")</f>
        <v>0</v>
      </c>
      <c r="AC59" s="284" t="n">
        <f aca="false">IFERROR(P59*$G59*$I59, "")</f>
        <v>0</v>
      </c>
      <c r="AD59" s="284" t="n">
        <f aca="false">IFERROR(Q59*$G59*$I59, "")</f>
        <v>0</v>
      </c>
      <c r="AE59" s="284" t="n">
        <f aca="false">IFERROR(R59*$G59*$I59, "")</f>
        <v>0</v>
      </c>
      <c r="AF59" s="284" t="n">
        <f aca="false">IFERROR(S59*$G59*$I59, "")</f>
        <v>0</v>
      </c>
      <c r="AG59" s="284" t="n">
        <f aca="false">IFERROR(T59*$G59*$I59, "")</f>
        <v>0</v>
      </c>
      <c r="AH59" s="284" t="n">
        <f aca="false">IFERROR(U59*$G59*$I59, "")</f>
        <v>0</v>
      </c>
      <c r="AI59" s="284" t="n">
        <f aca="false">IFERROR(V59*$G59*$I59, "")</f>
        <v>0</v>
      </c>
      <c r="AJ59" s="284" t="n">
        <f aca="false">IFERROR(W59*$G59*$I59, "")</f>
        <v>0</v>
      </c>
      <c r="AK59" s="286" t="n">
        <f aca="false">IFERROR(SUMIF($Y$4:$AJ$4, "RDEC", Y59:AJ59), "")</f>
        <v>0</v>
      </c>
      <c r="AL59" s="286" t="n">
        <f aca="false">IFERROR(SUMIF($Y$4:$AJ$4, "SME", Y59:AJ59), "")</f>
        <v>0</v>
      </c>
      <c r="AM59" s="286" t="n">
        <f aca="false">IFERROR(SUMIF($Y$4:$AJ$4, "De Minimis", Y59:AJ59), "")</f>
        <v>0</v>
      </c>
      <c r="AN59" s="283"/>
      <c r="AO59" s="284" t="n">
        <f aca="false">IFERROR($G59*$J59*L59, "")</f>
        <v>0</v>
      </c>
      <c r="AP59" s="284" t="n">
        <f aca="false">IFERROR($G59*$J59*M59, "")</f>
        <v>0</v>
      </c>
      <c r="AQ59" s="284" t="n">
        <f aca="false">IFERROR($G59*$J59*N59, "")</f>
        <v>0</v>
      </c>
      <c r="AR59" s="284" t="n">
        <f aca="false">IFERROR($G59*$J59*O59, "")</f>
        <v>0</v>
      </c>
      <c r="AS59" s="284" t="n">
        <f aca="false">IFERROR($G59*$J59*P59, "")</f>
        <v>0</v>
      </c>
      <c r="AT59" s="284" t="n">
        <f aca="false">IFERROR($G59*$J59*Q59, "")</f>
        <v>0</v>
      </c>
      <c r="AU59" s="284" t="n">
        <f aca="false">IFERROR($G59*$J59*R59, "")</f>
        <v>0</v>
      </c>
      <c r="AV59" s="284" t="n">
        <f aca="false">IFERROR($G59*$J59*S59, "")</f>
        <v>0</v>
      </c>
      <c r="AW59" s="284" t="n">
        <f aca="false">IFERROR($G59*$J59*T59, "")</f>
        <v>0</v>
      </c>
      <c r="AX59" s="284" t="n">
        <f aca="false">IFERROR($G59*$J59*U59, "")</f>
        <v>0</v>
      </c>
      <c r="AY59" s="284" t="n">
        <f aca="false">IFERROR($G59*$J59*V59, "")</f>
        <v>0</v>
      </c>
      <c r="AZ59" s="284" t="n">
        <f aca="false">IFERROR($G59*$J59*W59, "")</f>
        <v>0</v>
      </c>
      <c r="BA59" s="286" t="n">
        <f aca="false">IFERROR(SUMIF($AO$4:$AZ$4, "RDEC", AO59:AZ59), "")</f>
        <v>0</v>
      </c>
      <c r="BB59" s="286" t="n">
        <f aca="false">IFERROR(SUMIF($AO$4:$AZ$4, "SME", AO59:AZ59), "")</f>
        <v>0</v>
      </c>
      <c r="BC59" s="286" t="n">
        <f aca="false">IFERROR(SUMIF($Y$4:$AJ$4, "De Minimis", AO59:AZ59), "")</f>
        <v>0</v>
      </c>
      <c r="BD59" s="287"/>
      <c r="BE59" s="288" t="str">
        <f aca="false">IF((SUM(L59:W59)&gt;1),"ERROR","")</f>
        <v/>
      </c>
    </row>
    <row r="60" customFormat="false" ht="15" hidden="false" customHeight="true" outlineLevel="0" collapsed="false">
      <c r="B60" s="333"/>
      <c r="C60" s="334"/>
      <c r="D60" s="333" t="n">
        <f aca="false">D44</f>
        <v>45383</v>
      </c>
      <c r="E60" s="277" t="n">
        <v>0</v>
      </c>
      <c r="F60" s="277" t="n">
        <v>0</v>
      </c>
      <c r="G60" s="277" t="n">
        <f aca="false">SUM(E60:F60)</f>
        <v>0</v>
      </c>
      <c r="H60" s="204"/>
      <c r="I60" s="279" t="n">
        <v>1</v>
      </c>
      <c r="J60" s="280" t="n">
        <f aca="false">1-I60</f>
        <v>0</v>
      </c>
      <c r="K60" s="277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283"/>
      <c r="Y60" s="284" t="n">
        <f aca="false">IFERROR(L60*$G60*I$9, "")</f>
        <v>0</v>
      </c>
      <c r="Z60" s="284" t="n">
        <f aca="false">IFERROR(M60*$G60*$I60, "")</f>
        <v>0</v>
      </c>
      <c r="AA60" s="284" t="n">
        <f aca="false">IFERROR(N60*$G60*$I60, "")</f>
        <v>0</v>
      </c>
      <c r="AB60" s="284" t="n">
        <f aca="false">IFERROR(O60*$G60*$I60, "")</f>
        <v>0</v>
      </c>
      <c r="AC60" s="284" t="n">
        <f aca="false">IFERROR(P60*$G60*$I60, "")</f>
        <v>0</v>
      </c>
      <c r="AD60" s="284" t="n">
        <f aca="false">IFERROR(Q60*$G60*$I60, "")</f>
        <v>0</v>
      </c>
      <c r="AE60" s="284" t="n">
        <f aca="false">IFERROR(R60*$G60*$I60, "")</f>
        <v>0</v>
      </c>
      <c r="AF60" s="284" t="n">
        <f aca="false">IFERROR(S60*$G60*$I60, "")</f>
        <v>0</v>
      </c>
      <c r="AG60" s="284" t="n">
        <f aca="false">IFERROR(T60*$G60*$I60, "")</f>
        <v>0</v>
      </c>
      <c r="AH60" s="284" t="n">
        <f aca="false">IFERROR(U60*$G60*$I60, "")</f>
        <v>0</v>
      </c>
      <c r="AI60" s="284" t="n">
        <f aca="false">IFERROR(V60*$G60*$I60, "")</f>
        <v>0</v>
      </c>
      <c r="AJ60" s="284" t="n">
        <f aca="false">IFERROR(W60*$G60*$I60, "")</f>
        <v>0</v>
      </c>
      <c r="AK60" s="286" t="n">
        <f aca="false">IFERROR(SUMIF($Y$4:$AJ$4, "RDEC", Y60:AJ60), "")</f>
        <v>0</v>
      </c>
      <c r="AL60" s="286" t="n">
        <f aca="false">IFERROR(SUMIF($Y$4:$AJ$4, "SME", Y60:AJ60), "")</f>
        <v>0</v>
      </c>
      <c r="AM60" s="286" t="n">
        <f aca="false">IFERROR(SUMIF($Y$4:$AJ$4, "De Minimis", Y60:AJ60), "")</f>
        <v>0</v>
      </c>
      <c r="AN60" s="283"/>
      <c r="AO60" s="284" t="n">
        <f aca="false">IFERROR($G60*$J60*L60, "")</f>
        <v>0</v>
      </c>
      <c r="AP60" s="284" t="n">
        <f aca="false">IFERROR($G60*$J60*M60, "")</f>
        <v>0</v>
      </c>
      <c r="AQ60" s="284" t="n">
        <f aca="false">IFERROR($G60*$J60*N60, "")</f>
        <v>0</v>
      </c>
      <c r="AR60" s="284" t="n">
        <f aca="false">IFERROR($G60*$J60*O60, "")</f>
        <v>0</v>
      </c>
      <c r="AS60" s="284" t="n">
        <f aca="false">IFERROR($G60*$J60*P60, "")</f>
        <v>0</v>
      </c>
      <c r="AT60" s="284" t="n">
        <f aca="false">IFERROR($G60*$J60*Q60, "")</f>
        <v>0</v>
      </c>
      <c r="AU60" s="284" t="n">
        <f aca="false">IFERROR($G60*$J60*R60, "")</f>
        <v>0</v>
      </c>
      <c r="AV60" s="284" t="n">
        <f aca="false">IFERROR($G60*$J60*S60, "")</f>
        <v>0</v>
      </c>
      <c r="AW60" s="284" t="n">
        <f aca="false">IFERROR($G60*$J60*T60, "")</f>
        <v>0</v>
      </c>
      <c r="AX60" s="284" t="n">
        <f aca="false">IFERROR($G60*$J60*U60, "")</f>
        <v>0</v>
      </c>
      <c r="AY60" s="284" t="n">
        <f aca="false">IFERROR($G60*$J60*V60, "")</f>
        <v>0</v>
      </c>
      <c r="AZ60" s="284" t="n">
        <f aca="false">IFERROR($G60*$J60*W60, "")</f>
        <v>0</v>
      </c>
      <c r="BA60" s="286" t="n">
        <f aca="false">IFERROR(SUMIF($AO$4:$AZ$4, "RDEC", AO60:AZ60), "")</f>
        <v>0</v>
      </c>
      <c r="BB60" s="286" t="n">
        <f aca="false">IFERROR(SUMIF($AO$4:$AZ$4, "SME", AO60:AZ60), "")</f>
        <v>0</v>
      </c>
      <c r="BC60" s="286" t="n">
        <f aca="false">IFERROR(SUMIF($Y$4:$AJ$4, "De Minimis", AO60:AZ60), "")</f>
        <v>0</v>
      </c>
      <c r="BD60" s="287"/>
      <c r="BE60" s="288" t="str">
        <f aca="false">IF((SUM(L60:W60)&gt;1),"ERROR","")</f>
        <v/>
      </c>
    </row>
    <row r="61" customFormat="false" ht="15" hidden="false" customHeight="true" outlineLevel="0" collapsed="false">
      <c r="B61" s="333"/>
      <c r="C61" s="334"/>
      <c r="D61" s="333" t="n">
        <f aca="false">D45</f>
        <v>45413</v>
      </c>
      <c r="E61" s="277" t="n">
        <v>0</v>
      </c>
      <c r="F61" s="277" t="n">
        <v>0</v>
      </c>
      <c r="G61" s="277" t="n">
        <f aca="false">SUM(E61:F61)</f>
        <v>0</v>
      </c>
      <c r="H61" s="204"/>
      <c r="I61" s="279" t="n">
        <v>1</v>
      </c>
      <c r="J61" s="280" t="n">
        <f aca="false">1-I61</f>
        <v>0</v>
      </c>
      <c r="K61" s="277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3"/>
      <c r="Y61" s="284" t="n">
        <f aca="false">IFERROR(L61*$G61*I$9, "")</f>
        <v>0</v>
      </c>
      <c r="Z61" s="284" t="n">
        <f aca="false">IFERROR(M61*$G61*$I61, "")</f>
        <v>0</v>
      </c>
      <c r="AA61" s="284" t="n">
        <f aca="false">IFERROR(N61*$G61*$I61, "")</f>
        <v>0</v>
      </c>
      <c r="AB61" s="284" t="n">
        <f aca="false">IFERROR(O61*$G61*$I61, "")</f>
        <v>0</v>
      </c>
      <c r="AC61" s="284" t="n">
        <f aca="false">IFERROR(P61*$G61*$I61, "")</f>
        <v>0</v>
      </c>
      <c r="AD61" s="284" t="n">
        <f aca="false">IFERROR(Q61*$G61*$I61, "")</f>
        <v>0</v>
      </c>
      <c r="AE61" s="284" t="n">
        <f aca="false">IFERROR(R61*$G61*$I61, "")</f>
        <v>0</v>
      </c>
      <c r="AF61" s="284" t="n">
        <f aca="false">IFERROR(S61*$G61*$I61, "")</f>
        <v>0</v>
      </c>
      <c r="AG61" s="284" t="n">
        <f aca="false">IFERROR(T61*$G61*$I61, "")</f>
        <v>0</v>
      </c>
      <c r="AH61" s="284" t="n">
        <f aca="false">IFERROR(U61*$G61*$I61, "")</f>
        <v>0</v>
      </c>
      <c r="AI61" s="284" t="n">
        <f aca="false">IFERROR(V61*$G61*$I61, "")</f>
        <v>0</v>
      </c>
      <c r="AJ61" s="284" t="n">
        <f aca="false">IFERROR(W61*$G61*$I61, "")</f>
        <v>0</v>
      </c>
      <c r="AK61" s="286" t="n">
        <f aca="false">IFERROR(SUMIF($Y$4:$AJ$4, "RDEC", Y61:AJ61), "")</f>
        <v>0</v>
      </c>
      <c r="AL61" s="286" t="n">
        <f aca="false">IFERROR(SUMIF($Y$4:$AJ$4, "SME", Y61:AJ61), "")</f>
        <v>0</v>
      </c>
      <c r="AM61" s="286" t="n">
        <f aca="false">IFERROR(SUMIF($Y$4:$AJ$4, "De Minimis", Y61:AJ61), "")</f>
        <v>0</v>
      </c>
      <c r="AN61" s="283"/>
      <c r="AO61" s="284" t="n">
        <f aca="false">IFERROR($G61*$J61*L61, "")</f>
        <v>0</v>
      </c>
      <c r="AP61" s="284" t="n">
        <f aca="false">IFERROR($G61*$J61*M61, "")</f>
        <v>0</v>
      </c>
      <c r="AQ61" s="284" t="n">
        <f aca="false">IFERROR($G61*$J61*N61, "")</f>
        <v>0</v>
      </c>
      <c r="AR61" s="284" t="n">
        <f aca="false">IFERROR($G61*$J61*O61, "")</f>
        <v>0</v>
      </c>
      <c r="AS61" s="284" t="n">
        <f aca="false">IFERROR($G61*$J61*P61, "")</f>
        <v>0</v>
      </c>
      <c r="AT61" s="284" t="n">
        <f aca="false">IFERROR($G61*$J61*Q61, "")</f>
        <v>0</v>
      </c>
      <c r="AU61" s="284" t="n">
        <f aca="false">IFERROR($G61*$J61*R61, "")</f>
        <v>0</v>
      </c>
      <c r="AV61" s="284" t="n">
        <f aca="false">IFERROR($G61*$J61*S61, "")</f>
        <v>0</v>
      </c>
      <c r="AW61" s="284" t="n">
        <f aca="false">IFERROR($G61*$J61*T61, "")</f>
        <v>0</v>
      </c>
      <c r="AX61" s="284" t="n">
        <f aca="false">IFERROR($G61*$J61*U61, "")</f>
        <v>0</v>
      </c>
      <c r="AY61" s="284" t="n">
        <f aca="false">IFERROR($G61*$J61*V61, "")</f>
        <v>0</v>
      </c>
      <c r="AZ61" s="284" t="n">
        <f aca="false">IFERROR($G61*$J61*W61, "")</f>
        <v>0</v>
      </c>
      <c r="BA61" s="286" t="n">
        <f aca="false">IFERROR(SUMIF($AO$4:$AZ$4, "RDEC", AO61:AZ61), "")</f>
        <v>0</v>
      </c>
      <c r="BB61" s="286" t="n">
        <f aca="false">IFERROR(SUMIF($AO$4:$AZ$4, "SME", AO61:AZ61), "")</f>
        <v>0</v>
      </c>
      <c r="BC61" s="286" t="n">
        <f aca="false">IFERROR(SUMIF($Y$4:$AJ$4, "De Minimis", AO61:AZ61), "")</f>
        <v>0</v>
      </c>
      <c r="BD61" s="287"/>
      <c r="BE61" s="288" t="str">
        <f aca="false">IF((SUM(L61:W61)&gt;1),"ERROR","")</f>
        <v/>
      </c>
    </row>
    <row r="62" customFormat="false" ht="15" hidden="false" customHeight="true" outlineLevel="0" collapsed="false">
      <c r="B62" s="333"/>
      <c r="C62" s="334"/>
      <c r="D62" s="333" t="n">
        <f aca="false">D46</f>
        <v>45444</v>
      </c>
      <c r="E62" s="277" t="n">
        <v>0</v>
      </c>
      <c r="F62" s="277" t="n">
        <v>0</v>
      </c>
      <c r="G62" s="277" t="n">
        <f aca="false">SUM(E62:F62)</f>
        <v>0</v>
      </c>
      <c r="H62" s="204"/>
      <c r="I62" s="279" t="n">
        <v>1</v>
      </c>
      <c r="J62" s="280" t="n">
        <f aca="false">1-I62</f>
        <v>0</v>
      </c>
      <c r="K62" s="277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3"/>
      <c r="Y62" s="284" t="n">
        <f aca="false">IFERROR(L62*$G62*I$9, "")</f>
        <v>0</v>
      </c>
      <c r="Z62" s="284" t="n">
        <f aca="false">IFERROR(M62*$G62*$I62, "")</f>
        <v>0</v>
      </c>
      <c r="AA62" s="284" t="n">
        <f aca="false">IFERROR(N62*$G62*$I62, "")</f>
        <v>0</v>
      </c>
      <c r="AB62" s="284" t="n">
        <f aca="false">IFERROR(O62*$G62*$I62, "")</f>
        <v>0</v>
      </c>
      <c r="AC62" s="284" t="n">
        <f aca="false">IFERROR(P62*$G62*$I62, "")</f>
        <v>0</v>
      </c>
      <c r="AD62" s="284" t="n">
        <f aca="false">IFERROR(Q62*$G62*$I62, "")</f>
        <v>0</v>
      </c>
      <c r="AE62" s="284" t="n">
        <f aca="false">IFERROR(R62*$G62*$I62, "")</f>
        <v>0</v>
      </c>
      <c r="AF62" s="284" t="n">
        <f aca="false">IFERROR(S62*$G62*$I62, "")</f>
        <v>0</v>
      </c>
      <c r="AG62" s="284" t="n">
        <f aca="false">IFERROR(T62*$G62*$I62, "")</f>
        <v>0</v>
      </c>
      <c r="AH62" s="284" t="n">
        <f aca="false">IFERROR(U62*$G62*$I62, "")</f>
        <v>0</v>
      </c>
      <c r="AI62" s="284" t="n">
        <f aca="false">IFERROR(V62*$G62*$I62, "")</f>
        <v>0</v>
      </c>
      <c r="AJ62" s="284" t="n">
        <f aca="false">IFERROR(W62*$G62*$I62, "")</f>
        <v>0</v>
      </c>
      <c r="AK62" s="286" t="n">
        <f aca="false">IFERROR(SUMIF($Y$4:$AJ$4, "RDEC", Y62:AJ62), "")</f>
        <v>0</v>
      </c>
      <c r="AL62" s="286" t="n">
        <f aca="false">IFERROR(SUMIF($Y$4:$AJ$4, "SME", Y62:AJ62), "")</f>
        <v>0</v>
      </c>
      <c r="AM62" s="286" t="n">
        <f aca="false">IFERROR(SUMIF($Y$4:$AJ$4, "De Minimis", Y62:AJ62), "")</f>
        <v>0</v>
      </c>
      <c r="AN62" s="283"/>
      <c r="AO62" s="284" t="n">
        <f aca="false">IFERROR($G62*$J62*L62, "")</f>
        <v>0</v>
      </c>
      <c r="AP62" s="284" t="n">
        <f aca="false">IFERROR($G62*$J62*M62, "")</f>
        <v>0</v>
      </c>
      <c r="AQ62" s="284" t="n">
        <f aca="false">IFERROR($G62*$J62*N62, "")</f>
        <v>0</v>
      </c>
      <c r="AR62" s="284" t="n">
        <f aca="false">IFERROR($G62*$J62*O62, "")</f>
        <v>0</v>
      </c>
      <c r="AS62" s="284" t="n">
        <f aca="false">IFERROR($G62*$J62*P62, "")</f>
        <v>0</v>
      </c>
      <c r="AT62" s="284" t="n">
        <f aca="false">IFERROR($G62*$J62*Q62, "")</f>
        <v>0</v>
      </c>
      <c r="AU62" s="284" t="n">
        <f aca="false">IFERROR($G62*$J62*R62, "")</f>
        <v>0</v>
      </c>
      <c r="AV62" s="284" t="n">
        <f aca="false">IFERROR($G62*$J62*S62, "")</f>
        <v>0</v>
      </c>
      <c r="AW62" s="284" t="n">
        <f aca="false">IFERROR($G62*$J62*T62, "")</f>
        <v>0</v>
      </c>
      <c r="AX62" s="284" t="n">
        <f aca="false">IFERROR($G62*$J62*U62, "")</f>
        <v>0</v>
      </c>
      <c r="AY62" s="284" t="n">
        <f aca="false">IFERROR($G62*$J62*V62, "")</f>
        <v>0</v>
      </c>
      <c r="AZ62" s="284" t="n">
        <f aca="false">IFERROR($G62*$J62*W62, "")</f>
        <v>0</v>
      </c>
      <c r="BA62" s="286" t="n">
        <f aca="false">IFERROR(SUMIF($AO$4:$AZ$4, "RDEC", AO62:AZ62), "")</f>
        <v>0</v>
      </c>
      <c r="BB62" s="286" t="n">
        <f aca="false">IFERROR(SUMIF($AO$4:$AZ$4, "SME", AO62:AZ62), "")</f>
        <v>0</v>
      </c>
      <c r="BC62" s="286" t="n">
        <f aca="false">IFERROR(SUMIF($Y$4:$AJ$4, "De Minimis", AO62:AZ62), "")</f>
        <v>0</v>
      </c>
      <c r="BD62" s="287"/>
      <c r="BE62" s="288" t="str">
        <f aca="false">IF((SUM(L62:W62)&gt;1),"ERROR","")</f>
        <v/>
      </c>
    </row>
    <row r="63" customFormat="false" ht="15" hidden="false" customHeight="true" outlineLevel="0" collapsed="false">
      <c r="B63" s="333"/>
      <c r="C63" s="334"/>
      <c r="D63" s="333" t="n">
        <f aca="false">D47</f>
        <v>45474</v>
      </c>
      <c r="E63" s="277" t="n">
        <v>0</v>
      </c>
      <c r="F63" s="277" t="n">
        <v>0</v>
      </c>
      <c r="G63" s="277" t="n">
        <f aca="false">SUM(E63:F63)</f>
        <v>0</v>
      </c>
      <c r="H63" s="204"/>
      <c r="I63" s="279" t="n">
        <v>1</v>
      </c>
      <c r="J63" s="280" t="n">
        <f aca="false">1-I63</f>
        <v>0</v>
      </c>
      <c r="K63" s="277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3"/>
      <c r="Y63" s="284" t="n">
        <f aca="false">IFERROR(L63*$G63*I$9, "")</f>
        <v>0</v>
      </c>
      <c r="Z63" s="284" t="n">
        <f aca="false">IFERROR(M63*$G63*$I63, "")</f>
        <v>0</v>
      </c>
      <c r="AA63" s="284" t="n">
        <f aca="false">IFERROR(N63*$G63*$I63, "")</f>
        <v>0</v>
      </c>
      <c r="AB63" s="284" t="n">
        <f aca="false">IFERROR(O63*$G63*$I63, "")</f>
        <v>0</v>
      </c>
      <c r="AC63" s="284" t="n">
        <f aca="false">IFERROR(P63*$G63*$I63, "")</f>
        <v>0</v>
      </c>
      <c r="AD63" s="284" t="n">
        <f aca="false">IFERROR(Q63*$G63*$I63, "")</f>
        <v>0</v>
      </c>
      <c r="AE63" s="284" t="n">
        <f aca="false">IFERROR(R63*$G63*$I63, "")</f>
        <v>0</v>
      </c>
      <c r="AF63" s="284" t="n">
        <f aca="false">IFERROR(S63*$G63*$I63, "")</f>
        <v>0</v>
      </c>
      <c r="AG63" s="284" t="n">
        <f aca="false">IFERROR(T63*$G63*$I63, "")</f>
        <v>0</v>
      </c>
      <c r="AH63" s="284" t="n">
        <f aca="false">IFERROR(U63*$G63*$I63, "")</f>
        <v>0</v>
      </c>
      <c r="AI63" s="284" t="n">
        <f aca="false">IFERROR(V63*$G63*$I63, "")</f>
        <v>0</v>
      </c>
      <c r="AJ63" s="284" t="n">
        <f aca="false">IFERROR(W63*$G63*$I63, "")</f>
        <v>0</v>
      </c>
      <c r="AK63" s="286" t="n">
        <f aca="false">IFERROR(SUMIF($Y$4:$AJ$4, "RDEC", Y63:AJ63), "")</f>
        <v>0</v>
      </c>
      <c r="AL63" s="286" t="n">
        <f aca="false">IFERROR(SUMIF($Y$4:$AJ$4, "SME", Y63:AJ63), "")</f>
        <v>0</v>
      </c>
      <c r="AM63" s="286" t="n">
        <f aca="false">IFERROR(SUMIF($Y$4:$AJ$4, "De Minimis", Y63:AJ63), "")</f>
        <v>0</v>
      </c>
      <c r="AN63" s="283"/>
      <c r="AO63" s="284" t="n">
        <f aca="false">IFERROR($G63*$J63*L63, "")</f>
        <v>0</v>
      </c>
      <c r="AP63" s="284" t="n">
        <f aca="false">IFERROR($G63*$J63*M63, "")</f>
        <v>0</v>
      </c>
      <c r="AQ63" s="284" t="n">
        <f aca="false">IFERROR($G63*$J63*N63, "")</f>
        <v>0</v>
      </c>
      <c r="AR63" s="284" t="n">
        <f aca="false">IFERROR($G63*$J63*O63, "")</f>
        <v>0</v>
      </c>
      <c r="AS63" s="284" t="n">
        <f aca="false">IFERROR($G63*$J63*P63, "")</f>
        <v>0</v>
      </c>
      <c r="AT63" s="284" t="n">
        <f aca="false">IFERROR($G63*$J63*Q63, "")</f>
        <v>0</v>
      </c>
      <c r="AU63" s="284" t="n">
        <f aca="false">IFERROR($G63*$J63*R63, "")</f>
        <v>0</v>
      </c>
      <c r="AV63" s="284" t="n">
        <f aca="false">IFERROR($G63*$J63*S63, "")</f>
        <v>0</v>
      </c>
      <c r="AW63" s="284" t="n">
        <f aca="false">IFERROR($G63*$J63*T63, "")</f>
        <v>0</v>
      </c>
      <c r="AX63" s="284" t="n">
        <f aca="false">IFERROR($G63*$J63*U63, "")</f>
        <v>0</v>
      </c>
      <c r="AY63" s="284" t="n">
        <f aca="false">IFERROR($G63*$J63*V63, "")</f>
        <v>0</v>
      </c>
      <c r="AZ63" s="284" t="n">
        <f aca="false">IFERROR($G63*$J63*W63, "")</f>
        <v>0</v>
      </c>
      <c r="BA63" s="286" t="n">
        <f aca="false">IFERROR(SUMIF($AO$4:$AZ$4, "RDEC", AO63:AZ63), "")</f>
        <v>0</v>
      </c>
      <c r="BB63" s="286" t="n">
        <f aca="false">IFERROR(SUMIF($AO$4:$AZ$4, "SME", AO63:AZ63), "")</f>
        <v>0</v>
      </c>
      <c r="BC63" s="286" t="n">
        <f aca="false">IFERROR(SUMIF($Y$4:$AJ$4, "De Minimis", AO63:AZ63), "")</f>
        <v>0</v>
      </c>
      <c r="BD63" s="287"/>
      <c r="BE63" s="288" t="str">
        <f aca="false">IF((SUM(L63:W63)&gt;1),"ERROR","")</f>
        <v/>
      </c>
    </row>
    <row r="64" customFormat="false" ht="15" hidden="false" customHeight="true" outlineLevel="0" collapsed="false">
      <c r="B64" s="333"/>
      <c r="C64" s="334"/>
      <c r="D64" s="333" t="n">
        <f aca="false">D48</f>
        <v>45505</v>
      </c>
      <c r="E64" s="277" t="n">
        <v>0</v>
      </c>
      <c r="F64" s="277" t="n">
        <v>0</v>
      </c>
      <c r="G64" s="277" t="n">
        <f aca="false">SUM(E64:F64)</f>
        <v>0</v>
      </c>
      <c r="H64" s="204"/>
      <c r="I64" s="279" t="n">
        <v>1</v>
      </c>
      <c r="J64" s="280" t="n">
        <f aca="false">1-I64</f>
        <v>0</v>
      </c>
      <c r="K64" s="277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3"/>
      <c r="Y64" s="284" t="n">
        <f aca="false">IFERROR(L64*$G64*I$9, "")</f>
        <v>0</v>
      </c>
      <c r="Z64" s="284" t="n">
        <f aca="false">IFERROR(M64*$G64*$I64, "")</f>
        <v>0</v>
      </c>
      <c r="AA64" s="284" t="n">
        <f aca="false">IFERROR(N64*$G64*$I64, "")</f>
        <v>0</v>
      </c>
      <c r="AB64" s="284" t="n">
        <f aca="false">IFERROR(O64*$G64*$I64, "")</f>
        <v>0</v>
      </c>
      <c r="AC64" s="284" t="n">
        <f aca="false">IFERROR(P64*$G64*$I64, "")</f>
        <v>0</v>
      </c>
      <c r="AD64" s="284" t="n">
        <f aca="false">IFERROR(Q64*$G64*$I64, "")</f>
        <v>0</v>
      </c>
      <c r="AE64" s="284" t="n">
        <f aca="false">IFERROR(R64*$G64*$I64, "")</f>
        <v>0</v>
      </c>
      <c r="AF64" s="284" t="n">
        <f aca="false">IFERROR(S64*$G64*$I64, "")</f>
        <v>0</v>
      </c>
      <c r="AG64" s="284" t="n">
        <f aca="false">IFERROR(T64*$G64*$I64, "")</f>
        <v>0</v>
      </c>
      <c r="AH64" s="284" t="n">
        <f aca="false">IFERROR(U64*$G64*$I64, "")</f>
        <v>0</v>
      </c>
      <c r="AI64" s="284" t="n">
        <f aca="false">IFERROR(V64*$G64*$I64, "")</f>
        <v>0</v>
      </c>
      <c r="AJ64" s="284" t="n">
        <f aca="false">IFERROR(W64*$G64*$I64, "")</f>
        <v>0</v>
      </c>
      <c r="AK64" s="286" t="n">
        <f aca="false">IFERROR(SUMIF($Y$4:$AJ$4, "RDEC", Y64:AJ64), "")</f>
        <v>0</v>
      </c>
      <c r="AL64" s="286" t="n">
        <f aca="false">IFERROR(SUMIF($Y$4:$AJ$4, "SME", Y64:AJ64), "")</f>
        <v>0</v>
      </c>
      <c r="AM64" s="286" t="n">
        <f aca="false">IFERROR(SUMIF($Y$4:$AJ$4, "De Minimis", Y64:AJ64), "")</f>
        <v>0</v>
      </c>
      <c r="AN64" s="283"/>
      <c r="AO64" s="284" t="n">
        <f aca="false">IFERROR($G64*$J64*L64, "")</f>
        <v>0</v>
      </c>
      <c r="AP64" s="284" t="n">
        <f aca="false">IFERROR($G64*$J64*M64, "")</f>
        <v>0</v>
      </c>
      <c r="AQ64" s="284" t="n">
        <f aca="false">IFERROR($G64*$J64*N64, "")</f>
        <v>0</v>
      </c>
      <c r="AR64" s="284" t="n">
        <f aca="false">IFERROR($G64*$J64*O64, "")</f>
        <v>0</v>
      </c>
      <c r="AS64" s="284" t="n">
        <f aca="false">IFERROR($G64*$J64*P64, "")</f>
        <v>0</v>
      </c>
      <c r="AT64" s="284" t="n">
        <f aca="false">IFERROR($G64*$J64*Q64, "")</f>
        <v>0</v>
      </c>
      <c r="AU64" s="284" t="n">
        <f aca="false">IFERROR($G64*$J64*R64, "")</f>
        <v>0</v>
      </c>
      <c r="AV64" s="284" t="n">
        <f aca="false">IFERROR($G64*$J64*S64, "")</f>
        <v>0</v>
      </c>
      <c r="AW64" s="284" t="n">
        <f aca="false">IFERROR($G64*$J64*T64, "")</f>
        <v>0</v>
      </c>
      <c r="AX64" s="284" t="n">
        <f aca="false">IFERROR($G64*$J64*U64, "")</f>
        <v>0</v>
      </c>
      <c r="AY64" s="284" t="n">
        <f aca="false">IFERROR($G64*$J64*V64, "")</f>
        <v>0</v>
      </c>
      <c r="AZ64" s="284" t="n">
        <f aca="false">IFERROR($G64*$J64*W64, "")</f>
        <v>0</v>
      </c>
      <c r="BA64" s="286" t="n">
        <f aca="false">IFERROR(SUMIF($AO$4:$AZ$4, "RDEC", AO64:AZ64), "")</f>
        <v>0</v>
      </c>
      <c r="BB64" s="286" t="n">
        <f aca="false">IFERROR(SUMIF($AO$4:$AZ$4, "SME", AO64:AZ64), "")</f>
        <v>0</v>
      </c>
      <c r="BC64" s="286" t="n">
        <f aca="false">IFERROR(SUMIF($Y$4:$AJ$4, "De Minimis", AO64:AZ64), "")</f>
        <v>0</v>
      </c>
      <c r="BD64" s="287"/>
      <c r="BE64" s="288" t="str">
        <f aca="false">IF((SUM(L64:W64)&gt;1),"ERROR","")</f>
        <v/>
      </c>
    </row>
    <row r="65" customFormat="false" ht="15" hidden="false" customHeight="true" outlineLevel="0" collapsed="false">
      <c r="B65" s="333"/>
      <c r="C65" s="334"/>
      <c r="D65" s="333" t="n">
        <f aca="false">D49</f>
        <v>45536</v>
      </c>
      <c r="E65" s="277" t="n">
        <v>0</v>
      </c>
      <c r="F65" s="277" t="n">
        <v>0</v>
      </c>
      <c r="G65" s="277" t="n">
        <f aca="false">SUM(E65:F65)</f>
        <v>0</v>
      </c>
      <c r="H65" s="204"/>
      <c r="I65" s="279" t="n">
        <v>1</v>
      </c>
      <c r="J65" s="280" t="n">
        <f aca="false">1-I65</f>
        <v>0</v>
      </c>
      <c r="K65" s="277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3"/>
      <c r="Y65" s="284" t="n">
        <f aca="false">IFERROR(L65*$G65*I$9, "")</f>
        <v>0</v>
      </c>
      <c r="Z65" s="284" t="n">
        <f aca="false">IFERROR(M65*$G65*$I65, "")</f>
        <v>0</v>
      </c>
      <c r="AA65" s="284" t="n">
        <f aca="false">IFERROR(N65*$G65*$I65, "")</f>
        <v>0</v>
      </c>
      <c r="AB65" s="284" t="n">
        <f aca="false">IFERROR(O65*$G65*$I65, "")</f>
        <v>0</v>
      </c>
      <c r="AC65" s="284" t="n">
        <f aca="false">IFERROR(P65*$G65*$I65, "")</f>
        <v>0</v>
      </c>
      <c r="AD65" s="284" t="n">
        <f aca="false">IFERROR(Q65*$G65*$I65, "")</f>
        <v>0</v>
      </c>
      <c r="AE65" s="284" t="n">
        <f aca="false">IFERROR(R65*$G65*$I65, "")</f>
        <v>0</v>
      </c>
      <c r="AF65" s="284" t="n">
        <f aca="false">IFERROR(S65*$G65*$I65, "")</f>
        <v>0</v>
      </c>
      <c r="AG65" s="284" t="n">
        <f aca="false">IFERROR(T65*$G65*$I65, "")</f>
        <v>0</v>
      </c>
      <c r="AH65" s="284" t="n">
        <f aca="false">IFERROR(U65*$G65*$I65, "")</f>
        <v>0</v>
      </c>
      <c r="AI65" s="284" t="n">
        <f aca="false">IFERROR(V65*$G65*$I65, "")</f>
        <v>0</v>
      </c>
      <c r="AJ65" s="284" t="n">
        <f aca="false">IFERROR(W65*$G65*$I65, "")</f>
        <v>0</v>
      </c>
      <c r="AK65" s="286" t="n">
        <f aca="false">IFERROR(SUMIF($Y$4:$AJ$4, "RDEC", Y65:AJ65), "")</f>
        <v>0</v>
      </c>
      <c r="AL65" s="286" t="n">
        <f aca="false">IFERROR(SUMIF($Y$4:$AJ$4, "SME", Y65:AJ65), "")</f>
        <v>0</v>
      </c>
      <c r="AM65" s="286" t="n">
        <f aca="false">IFERROR(SUMIF($Y$4:$AJ$4, "De Minimis", Y65:AJ65), "")</f>
        <v>0</v>
      </c>
      <c r="AN65" s="283"/>
      <c r="AO65" s="284" t="n">
        <f aca="false">IFERROR($G65*$J65*L65, "")</f>
        <v>0</v>
      </c>
      <c r="AP65" s="284" t="n">
        <f aca="false">IFERROR($G65*$J65*M65, "")</f>
        <v>0</v>
      </c>
      <c r="AQ65" s="284" t="n">
        <f aca="false">IFERROR($G65*$J65*N65, "")</f>
        <v>0</v>
      </c>
      <c r="AR65" s="284" t="n">
        <f aca="false">IFERROR($G65*$J65*O65, "")</f>
        <v>0</v>
      </c>
      <c r="AS65" s="284" t="n">
        <f aca="false">IFERROR($G65*$J65*P65, "")</f>
        <v>0</v>
      </c>
      <c r="AT65" s="284" t="n">
        <f aca="false">IFERROR($G65*$J65*Q65, "")</f>
        <v>0</v>
      </c>
      <c r="AU65" s="284" t="n">
        <f aca="false">IFERROR($G65*$J65*R65, "")</f>
        <v>0</v>
      </c>
      <c r="AV65" s="284" t="n">
        <f aca="false">IFERROR($G65*$J65*S65, "")</f>
        <v>0</v>
      </c>
      <c r="AW65" s="284" t="n">
        <f aca="false">IFERROR($G65*$J65*T65, "")</f>
        <v>0</v>
      </c>
      <c r="AX65" s="284" t="n">
        <f aca="false">IFERROR($G65*$J65*U65, "")</f>
        <v>0</v>
      </c>
      <c r="AY65" s="284" t="n">
        <f aca="false">IFERROR($G65*$J65*V65, "")</f>
        <v>0</v>
      </c>
      <c r="AZ65" s="284" t="n">
        <f aca="false">IFERROR($G65*$J65*W65, "")</f>
        <v>0</v>
      </c>
      <c r="BA65" s="286" t="n">
        <f aca="false">IFERROR(SUMIF($AO$4:$AZ$4, "RDEC", AO65:AZ65), "")</f>
        <v>0</v>
      </c>
      <c r="BB65" s="286" t="n">
        <f aca="false">IFERROR(SUMIF($AO$4:$AZ$4, "SME", AO65:AZ65), "")</f>
        <v>0</v>
      </c>
      <c r="BC65" s="286" t="n">
        <f aca="false">IFERROR(SUMIF($Y$4:$AJ$4, "De Minimis", AO65:AZ65), "")</f>
        <v>0</v>
      </c>
      <c r="BD65" s="287"/>
      <c r="BE65" s="288" t="str">
        <f aca="false">IF((SUM(L65:W65)&gt;1),"ERROR","")</f>
        <v/>
      </c>
    </row>
    <row r="66" customFormat="false" ht="15" hidden="false" customHeight="true" outlineLevel="0" collapsed="false">
      <c r="B66" s="333"/>
      <c r="C66" s="334"/>
      <c r="D66" s="333" t="n">
        <f aca="false">D50</f>
        <v>45566</v>
      </c>
      <c r="E66" s="277" t="n">
        <v>0</v>
      </c>
      <c r="F66" s="277" t="n">
        <v>0</v>
      </c>
      <c r="G66" s="277" t="n">
        <f aca="false">SUM(E66:F66)</f>
        <v>0</v>
      </c>
      <c r="H66" s="204"/>
      <c r="I66" s="279" t="n">
        <v>1</v>
      </c>
      <c r="J66" s="280" t="n">
        <f aca="false">1-I66</f>
        <v>0</v>
      </c>
      <c r="K66" s="277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3"/>
      <c r="Y66" s="284" t="n">
        <f aca="false">IFERROR(L66*$G66*I$9, "")</f>
        <v>0</v>
      </c>
      <c r="Z66" s="284" t="n">
        <f aca="false">IFERROR(M66*$G66*$I66, "")</f>
        <v>0</v>
      </c>
      <c r="AA66" s="284" t="n">
        <f aca="false">IFERROR(N66*$G66*$I66, "")</f>
        <v>0</v>
      </c>
      <c r="AB66" s="284" t="n">
        <f aca="false">IFERROR(O66*$G66*$I66, "")</f>
        <v>0</v>
      </c>
      <c r="AC66" s="284" t="n">
        <f aca="false">IFERROR(P66*$G66*$I66, "")</f>
        <v>0</v>
      </c>
      <c r="AD66" s="284" t="n">
        <f aca="false">IFERROR(Q66*$G66*$I66, "")</f>
        <v>0</v>
      </c>
      <c r="AE66" s="284" t="n">
        <f aca="false">IFERROR(R66*$G66*$I66, "")</f>
        <v>0</v>
      </c>
      <c r="AF66" s="284" t="n">
        <f aca="false">IFERROR(S66*$G66*$I66, "")</f>
        <v>0</v>
      </c>
      <c r="AG66" s="284" t="n">
        <f aca="false">IFERROR(T66*$G66*$I66, "")</f>
        <v>0</v>
      </c>
      <c r="AH66" s="284" t="n">
        <f aca="false">IFERROR(U66*$G66*$I66, "")</f>
        <v>0</v>
      </c>
      <c r="AI66" s="284" t="n">
        <f aca="false">IFERROR(V66*$G66*$I66, "")</f>
        <v>0</v>
      </c>
      <c r="AJ66" s="284" t="n">
        <f aca="false">IFERROR(W66*$G66*$I66, "")</f>
        <v>0</v>
      </c>
      <c r="AK66" s="286" t="n">
        <f aca="false">IFERROR(SUMIF($Y$4:$AJ$4, "RDEC", Y66:AJ66), "")</f>
        <v>0</v>
      </c>
      <c r="AL66" s="286" t="n">
        <f aca="false">IFERROR(SUMIF($Y$4:$AJ$4, "SME", Y66:AJ66), "")</f>
        <v>0</v>
      </c>
      <c r="AM66" s="286" t="n">
        <f aca="false">IFERROR(SUMIF($Y$4:$AJ$4, "De Minimis", Y66:AJ66), "")</f>
        <v>0</v>
      </c>
      <c r="AN66" s="283"/>
      <c r="AO66" s="284" t="n">
        <f aca="false">IFERROR($G66*$J66*L66, "")</f>
        <v>0</v>
      </c>
      <c r="AP66" s="284" t="n">
        <f aca="false">IFERROR($G66*$J66*M66, "")</f>
        <v>0</v>
      </c>
      <c r="AQ66" s="284" t="n">
        <f aca="false">IFERROR($G66*$J66*N66, "")</f>
        <v>0</v>
      </c>
      <c r="AR66" s="284" t="n">
        <f aca="false">IFERROR($G66*$J66*O66, "")</f>
        <v>0</v>
      </c>
      <c r="AS66" s="284" t="n">
        <f aca="false">IFERROR($G66*$J66*P66, "")</f>
        <v>0</v>
      </c>
      <c r="AT66" s="284" t="n">
        <f aca="false">IFERROR($G66*$J66*Q66, "")</f>
        <v>0</v>
      </c>
      <c r="AU66" s="284" t="n">
        <f aca="false">IFERROR($G66*$J66*R66, "")</f>
        <v>0</v>
      </c>
      <c r="AV66" s="284" t="n">
        <f aca="false">IFERROR($G66*$J66*S66, "")</f>
        <v>0</v>
      </c>
      <c r="AW66" s="284" t="n">
        <f aca="false">IFERROR($G66*$J66*T66, "")</f>
        <v>0</v>
      </c>
      <c r="AX66" s="284" t="n">
        <f aca="false">IFERROR($G66*$J66*U66, "")</f>
        <v>0</v>
      </c>
      <c r="AY66" s="284" t="n">
        <f aca="false">IFERROR($G66*$J66*V66, "")</f>
        <v>0</v>
      </c>
      <c r="AZ66" s="284" t="n">
        <f aca="false">IFERROR($G66*$J66*W66, "")</f>
        <v>0</v>
      </c>
      <c r="BA66" s="286" t="n">
        <f aca="false">IFERROR(SUMIF($AO$4:$AZ$4, "RDEC", AO66:AZ66), "")</f>
        <v>0</v>
      </c>
      <c r="BB66" s="286" t="n">
        <f aca="false">IFERROR(SUMIF($AO$4:$AZ$4, "SME", AO66:AZ66), "")</f>
        <v>0</v>
      </c>
      <c r="BC66" s="286" t="n">
        <f aca="false">IFERROR(SUMIF($Y$4:$AJ$4, "De Minimis", AO66:AZ66), "")</f>
        <v>0</v>
      </c>
      <c r="BD66" s="287"/>
      <c r="BE66" s="288" t="str">
        <f aca="false">IF((SUM(L66:W66)&gt;1),"ERROR","")</f>
        <v/>
      </c>
    </row>
    <row r="67" customFormat="false" ht="15" hidden="false" customHeight="true" outlineLevel="0" collapsed="false">
      <c r="B67" s="333"/>
      <c r="C67" s="334"/>
      <c r="D67" s="333" t="n">
        <f aca="false">D51</f>
        <v>45597</v>
      </c>
      <c r="E67" s="277" t="n">
        <v>0</v>
      </c>
      <c r="F67" s="277" t="n">
        <v>0</v>
      </c>
      <c r="G67" s="277" t="n">
        <f aca="false">SUM(E67:F67)</f>
        <v>0</v>
      </c>
      <c r="H67" s="204"/>
      <c r="I67" s="279" t="n">
        <v>1</v>
      </c>
      <c r="J67" s="280" t="n">
        <f aca="false">1-I67</f>
        <v>0</v>
      </c>
      <c r="K67" s="277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3"/>
      <c r="Y67" s="284" t="n">
        <f aca="false">IFERROR(L67*$G67*I$9, "")</f>
        <v>0</v>
      </c>
      <c r="Z67" s="284" t="n">
        <f aca="false">IFERROR(M67*$G67*$I67, "")</f>
        <v>0</v>
      </c>
      <c r="AA67" s="284" t="n">
        <f aca="false">IFERROR(N67*$G67*$I67, "")</f>
        <v>0</v>
      </c>
      <c r="AB67" s="284" t="n">
        <f aca="false">IFERROR(O67*$G67*$I67, "")</f>
        <v>0</v>
      </c>
      <c r="AC67" s="284" t="n">
        <f aca="false">IFERROR(P67*$G67*$I67, "")</f>
        <v>0</v>
      </c>
      <c r="AD67" s="284" t="n">
        <f aca="false">IFERROR(Q67*$G67*$I67, "")</f>
        <v>0</v>
      </c>
      <c r="AE67" s="284" t="n">
        <f aca="false">IFERROR(R67*$G67*$I67, "")</f>
        <v>0</v>
      </c>
      <c r="AF67" s="284" t="n">
        <f aca="false">IFERROR(S67*$G67*$I67, "")</f>
        <v>0</v>
      </c>
      <c r="AG67" s="284" t="n">
        <f aca="false">IFERROR(T67*$G67*$I67, "")</f>
        <v>0</v>
      </c>
      <c r="AH67" s="284" t="n">
        <f aca="false">IFERROR(U67*$G67*$I67, "")</f>
        <v>0</v>
      </c>
      <c r="AI67" s="284" t="n">
        <f aca="false">IFERROR(V67*$G67*$I67, "")</f>
        <v>0</v>
      </c>
      <c r="AJ67" s="284" t="n">
        <f aca="false">IFERROR(W67*$G67*$I67, "")</f>
        <v>0</v>
      </c>
      <c r="AK67" s="286" t="n">
        <f aca="false">IFERROR(SUMIF($Y$4:$AJ$4, "RDEC", Y67:AJ67), "")</f>
        <v>0</v>
      </c>
      <c r="AL67" s="286" t="n">
        <f aca="false">IFERROR(SUMIF($Y$4:$AJ$4, "SME", Y67:AJ67), "")</f>
        <v>0</v>
      </c>
      <c r="AM67" s="286" t="n">
        <f aca="false">IFERROR(SUMIF($Y$4:$AJ$4, "De Minimis", Y67:AJ67), "")</f>
        <v>0</v>
      </c>
      <c r="AN67" s="283"/>
      <c r="AO67" s="284" t="n">
        <f aca="false">IFERROR($G67*$J67*L67, "")</f>
        <v>0</v>
      </c>
      <c r="AP67" s="284" t="n">
        <f aca="false">IFERROR($G67*$J67*M67, "")</f>
        <v>0</v>
      </c>
      <c r="AQ67" s="284" t="n">
        <f aca="false">IFERROR($G67*$J67*N67, "")</f>
        <v>0</v>
      </c>
      <c r="AR67" s="284" t="n">
        <f aca="false">IFERROR($G67*$J67*O67, "")</f>
        <v>0</v>
      </c>
      <c r="AS67" s="284" t="n">
        <f aca="false">IFERROR($G67*$J67*P67, "")</f>
        <v>0</v>
      </c>
      <c r="AT67" s="284" t="n">
        <f aca="false">IFERROR($G67*$J67*Q67, "")</f>
        <v>0</v>
      </c>
      <c r="AU67" s="284" t="n">
        <f aca="false">IFERROR($G67*$J67*R67, "")</f>
        <v>0</v>
      </c>
      <c r="AV67" s="284" t="n">
        <f aca="false">IFERROR($G67*$J67*S67, "")</f>
        <v>0</v>
      </c>
      <c r="AW67" s="284" t="n">
        <f aca="false">IFERROR($G67*$J67*T67, "")</f>
        <v>0</v>
      </c>
      <c r="AX67" s="284" t="n">
        <f aca="false">IFERROR($G67*$J67*U67, "")</f>
        <v>0</v>
      </c>
      <c r="AY67" s="284" t="n">
        <f aca="false">IFERROR($G67*$J67*V67, "")</f>
        <v>0</v>
      </c>
      <c r="AZ67" s="284" t="n">
        <f aca="false">IFERROR($G67*$J67*W67, "")</f>
        <v>0</v>
      </c>
      <c r="BA67" s="286" t="n">
        <f aca="false">IFERROR(SUMIF($AO$4:$AZ$4, "RDEC", AO67:AZ67), "")</f>
        <v>0</v>
      </c>
      <c r="BB67" s="286" t="n">
        <f aca="false">IFERROR(SUMIF($AO$4:$AZ$4, "SME", AO67:AZ67), "")</f>
        <v>0</v>
      </c>
      <c r="BC67" s="286" t="n">
        <f aca="false">IFERROR(SUMIF($Y$4:$AJ$4, "De Minimis", AO67:AZ67), "")</f>
        <v>0</v>
      </c>
      <c r="BD67" s="287"/>
      <c r="BE67" s="288" t="str">
        <f aca="false">IF((SUM(L67:W67)&gt;1),"ERROR","")</f>
        <v/>
      </c>
    </row>
    <row r="68" customFormat="false" ht="15" hidden="false" customHeight="true" outlineLevel="0" collapsed="false">
      <c r="B68" s="333"/>
      <c r="C68" s="334"/>
      <c r="D68" s="333" t="n">
        <f aca="false">D52</f>
        <v>45627</v>
      </c>
      <c r="E68" s="277" t="n">
        <v>0</v>
      </c>
      <c r="F68" s="277" t="n">
        <v>0</v>
      </c>
      <c r="G68" s="277" t="n">
        <f aca="false">SUM(E68:F68)</f>
        <v>0</v>
      </c>
      <c r="H68" s="300"/>
      <c r="I68" s="289" t="n">
        <v>1</v>
      </c>
      <c r="J68" s="290" t="n">
        <f aca="false">1-I68</f>
        <v>0</v>
      </c>
      <c r="K68" s="300"/>
      <c r="L68" s="291"/>
      <c r="M68" s="291"/>
      <c r="N68" s="291"/>
      <c r="O68" s="291"/>
      <c r="P68" s="291"/>
      <c r="Q68" s="291"/>
      <c r="R68" s="291"/>
      <c r="S68" s="291"/>
      <c r="T68" s="291"/>
      <c r="U68" s="291"/>
      <c r="V68" s="291"/>
      <c r="W68" s="291"/>
      <c r="X68" s="283"/>
      <c r="Y68" s="284" t="n">
        <f aca="false">IFERROR(L68*$G68*I$9, "")</f>
        <v>0</v>
      </c>
      <c r="Z68" s="284" t="n">
        <f aca="false">IFERROR(M68*$G68*$I68, "")</f>
        <v>0</v>
      </c>
      <c r="AA68" s="284" t="n">
        <f aca="false">IFERROR(N68*$G68*$I68, "")</f>
        <v>0</v>
      </c>
      <c r="AB68" s="284" t="n">
        <f aca="false">IFERROR(O68*$G68*$I68, "")</f>
        <v>0</v>
      </c>
      <c r="AC68" s="284" t="n">
        <f aca="false">IFERROR(P68*$G68*$I68, "")</f>
        <v>0</v>
      </c>
      <c r="AD68" s="284" t="n">
        <f aca="false">IFERROR(Q68*$G68*$I68, "")</f>
        <v>0</v>
      </c>
      <c r="AE68" s="284" t="n">
        <f aca="false">IFERROR(R68*$G68*$I68, "")</f>
        <v>0</v>
      </c>
      <c r="AF68" s="284" t="n">
        <f aca="false">IFERROR(S68*$G68*$I68, "")</f>
        <v>0</v>
      </c>
      <c r="AG68" s="284" t="n">
        <f aca="false">IFERROR(T68*$G68*$I68, "")</f>
        <v>0</v>
      </c>
      <c r="AH68" s="284" t="n">
        <f aca="false">IFERROR(U68*$G68*$I68, "")</f>
        <v>0</v>
      </c>
      <c r="AI68" s="284" t="n">
        <f aca="false">IFERROR(V68*$G68*$I68, "")</f>
        <v>0</v>
      </c>
      <c r="AJ68" s="284" t="n">
        <f aca="false">IFERROR(W68*$G68*$I68, "")</f>
        <v>0</v>
      </c>
      <c r="AK68" s="294" t="n">
        <f aca="false">IFERROR(SUMIF($Y$4:$AJ$4, "RDEC", Y68:AJ68), "")</f>
        <v>0</v>
      </c>
      <c r="AL68" s="294" t="n">
        <f aca="false">IFERROR(SUMIF($Y$4:$AJ$4, "SME", Y68:AJ68), "")</f>
        <v>0</v>
      </c>
      <c r="AM68" s="294" t="n">
        <f aca="false">IFERROR(SUMIF($Y$4:$AJ$4, "De Minimis", Y68:AJ68), "")</f>
        <v>0</v>
      </c>
      <c r="AN68" s="283"/>
      <c r="AO68" s="284" t="n">
        <f aca="false">IFERROR($G68*$J68*L68, "")</f>
        <v>0</v>
      </c>
      <c r="AP68" s="284" t="n">
        <f aca="false">IFERROR($G68*$J68*M68, "")</f>
        <v>0</v>
      </c>
      <c r="AQ68" s="284" t="n">
        <f aca="false">IFERROR($G68*$J68*N68, "")</f>
        <v>0</v>
      </c>
      <c r="AR68" s="284" t="n">
        <f aca="false">IFERROR($G68*$J68*O68, "")</f>
        <v>0</v>
      </c>
      <c r="AS68" s="284" t="n">
        <f aca="false">IFERROR($G68*$J68*P68, "")</f>
        <v>0</v>
      </c>
      <c r="AT68" s="284" t="n">
        <f aca="false">IFERROR($G68*$J68*Q68, "")</f>
        <v>0</v>
      </c>
      <c r="AU68" s="284" t="n">
        <f aca="false">IFERROR($G68*$J68*R68, "")</f>
        <v>0</v>
      </c>
      <c r="AV68" s="284" t="n">
        <f aca="false">IFERROR($G68*$J68*S68, "")</f>
        <v>0</v>
      </c>
      <c r="AW68" s="284" t="n">
        <f aca="false">IFERROR($G68*$J68*T68, "")</f>
        <v>0</v>
      </c>
      <c r="AX68" s="284" t="n">
        <f aca="false">IFERROR($G68*$J68*U68, "")</f>
        <v>0</v>
      </c>
      <c r="AY68" s="284" t="n">
        <f aca="false">IFERROR($G68*$J68*V68, "")</f>
        <v>0</v>
      </c>
      <c r="AZ68" s="284" t="n">
        <f aca="false">IFERROR($G68*$J68*W68, "")</f>
        <v>0</v>
      </c>
      <c r="BA68" s="286" t="n">
        <f aca="false">IFERROR(SUMIF($AO$4:$AZ$4, "RDEC", AO68:AZ68), "")</f>
        <v>0</v>
      </c>
      <c r="BB68" s="286" t="n">
        <f aca="false">IFERROR(SUMIF($AO$4:$AZ$4, "SME", AO68:AZ68), "")</f>
        <v>0</v>
      </c>
      <c r="BC68" s="294" t="n">
        <f aca="false">IFERROR(SUMIF($Y$4:$AJ$4, "De Minimis", AO68:AZ68), "")</f>
        <v>0</v>
      </c>
      <c r="BD68" s="303"/>
      <c r="BE68" s="295" t="str">
        <f aca="false">IF((SUM(L68:W68)&gt;1),"ERROR","")</f>
        <v/>
      </c>
    </row>
    <row r="69" customFormat="false" ht="15" hidden="false" customHeight="true" outlineLevel="0" collapsed="false">
      <c r="B69" s="296"/>
      <c r="D69" s="297" t="s">
        <v>82</v>
      </c>
      <c r="E69" s="299" t="n">
        <f aca="false">SUM(E57:E68)</f>
        <v>0</v>
      </c>
      <c r="F69" s="299" t="n">
        <f aca="false">SUM(F57:F68)</f>
        <v>0</v>
      </c>
      <c r="G69" s="299" t="n">
        <f aca="false">SUM(G57:G68)</f>
        <v>0</v>
      </c>
      <c r="H69" s="300"/>
      <c r="I69" s="301" t="n">
        <f aca="false">AVERAGE(I56:I68)</f>
        <v>1</v>
      </c>
      <c r="J69" s="301" t="n">
        <f aca="false">AVERAGE(J56:J68)</f>
        <v>0</v>
      </c>
      <c r="K69" s="300"/>
      <c r="L69" s="290" t="n">
        <f aca="false">IF(SUM(L57:L68)&gt;0,(Y69/G69),0)</f>
        <v>0</v>
      </c>
      <c r="M69" s="301" t="n">
        <f aca="false">IF(SUM(M57:M68)&gt;0,(Z69/G69),0)</f>
        <v>0</v>
      </c>
      <c r="N69" s="301" t="n">
        <f aca="false">IF(SUM(N57:N68)&gt;0,(AA69/G69),0)</f>
        <v>0</v>
      </c>
      <c r="O69" s="301" t="n">
        <f aca="false">IF(SUM(O57:O68)&gt;0,(AB69/G69),0)</f>
        <v>0</v>
      </c>
      <c r="P69" s="301" t="n">
        <f aca="false">IF(SUM(P57:P68)&gt;0,(AC69/G69),0)</f>
        <v>0</v>
      </c>
      <c r="Q69" s="301" t="n">
        <f aca="false">IF(SUM(Q57:Q68)&gt;0,(AD69/G69),0)</f>
        <v>0</v>
      </c>
      <c r="R69" s="301" t="n">
        <f aca="false">IF(SUM(R57:R68)&gt;0,(AE69/G69),0)</f>
        <v>0</v>
      </c>
      <c r="S69" s="301" t="n">
        <f aca="false">IF(SUM(S57:S68)&gt;0,(AF69/G69),0)</f>
        <v>0</v>
      </c>
      <c r="T69" s="301" t="n">
        <f aca="false">IF(SUM(T57:T68)&gt;0,(AG69/G69),0)</f>
        <v>0</v>
      </c>
      <c r="U69" s="301" t="n">
        <f aca="false">IF(SUM(U57:U68)&gt;0,(AJ69/G69),0)</f>
        <v>0</v>
      </c>
      <c r="V69" s="301" t="n">
        <f aca="false">IF(SUM(V57:V68)&gt;0,(AI69/G69),0)</f>
        <v>0</v>
      </c>
      <c r="W69" s="301" t="n">
        <f aca="false">IF(SUM(W57:W68)&gt;0,(AJ69/G69),0)</f>
        <v>0</v>
      </c>
      <c r="X69" s="283"/>
      <c r="Y69" s="304" t="n">
        <f aca="false">SUM(Y57:Y68)</f>
        <v>0</v>
      </c>
      <c r="Z69" s="304" t="n">
        <f aca="false">SUM(Z57:Z68)</f>
        <v>0</v>
      </c>
      <c r="AA69" s="304" t="n">
        <f aca="false">SUM(AA57:AA68)</f>
        <v>0</v>
      </c>
      <c r="AB69" s="304" t="n">
        <f aca="false">SUM(AB57:AB68)</f>
        <v>0</v>
      </c>
      <c r="AC69" s="304" t="n">
        <f aca="false">SUM(AC57:AC68)</f>
        <v>0</v>
      </c>
      <c r="AD69" s="304" t="n">
        <f aca="false">SUM(AD57:AD68)</f>
        <v>0</v>
      </c>
      <c r="AE69" s="304" t="n">
        <f aca="false">SUM(AE57:AE68)</f>
        <v>0</v>
      </c>
      <c r="AF69" s="304" t="n">
        <f aca="false">SUM(AF57:AF68)</f>
        <v>0</v>
      </c>
      <c r="AG69" s="304" t="n">
        <f aca="false">SUM(AG57:AG68)</f>
        <v>0</v>
      </c>
      <c r="AH69" s="304" t="n">
        <f aca="false">SUM(AH57:AH68)</f>
        <v>0</v>
      </c>
      <c r="AI69" s="304" t="n">
        <f aca="false">SUM(AI57:AI68)</f>
        <v>0</v>
      </c>
      <c r="AJ69" s="304" t="n">
        <f aca="false">SUM(AJ57:AJ68)</f>
        <v>0</v>
      </c>
      <c r="AK69" s="335" t="n">
        <f aca="false">SUM(AK57:AK68)</f>
        <v>0</v>
      </c>
      <c r="AL69" s="336" t="n">
        <f aca="false">SUM(AL57:AL68)</f>
        <v>0</v>
      </c>
      <c r="AM69" s="305" t="n">
        <f aca="false">SUM(AM57:AM68)</f>
        <v>0</v>
      </c>
      <c r="AN69" s="283"/>
      <c r="AO69" s="304" t="n">
        <f aca="false">SUM(AO57:AO68)</f>
        <v>0</v>
      </c>
      <c r="AP69" s="304" t="n">
        <f aca="false">SUM(AP57:AP68)</f>
        <v>0</v>
      </c>
      <c r="AQ69" s="304" t="n">
        <f aca="false">SUM(AQ57:AQ68)</f>
        <v>0</v>
      </c>
      <c r="AR69" s="304" t="n">
        <f aca="false">SUM(AR57:AR68)</f>
        <v>0</v>
      </c>
      <c r="AS69" s="304" t="n">
        <f aca="false">SUM(AS57:AS68)</f>
        <v>0</v>
      </c>
      <c r="AT69" s="304" t="n">
        <f aca="false">SUM(AT57:AT68)</f>
        <v>0</v>
      </c>
      <c r="AU69" s="304" t="n">
        <f aca="false">SUM(AU57:AU68)</f>
        <v>0</v>
      </c>
      <c r="AV69" s="304" t="n">
        <f aca="false">SUM(AV57:AV68)</f>
        <v>0</v>
      </c>
      <c r="AW69" s="304" t="n">
        <f aca="false">SUM(AW57:AW68)</f>
        <v>0</v>
      </c>
      <c r="AX69" s="304" t="n">
        <f aca="false">SUM(AX57:AX68)</f>
        <v>0</v>
      </c>
      <c r="AY69" s="304" t="n">
        <f aca="false">SUM(AY57:AY68)</f>
        <v>0</v>
      </c>
      <c r="AZ69" s="304" t="n">
        <f aca="false">SUM(AZ57:AZ68)</f>
        <v>0</v>
      </c>
      <c r="BA69" s="336" t="n">
        <f aca="false">SUM(BA57:BA68)</f>
        <v>0</v>
      </c>
      <c r="BB69" s="336" t="n">
        <f aca="false">SUM(BB57:BB68)</f>
        <v>0</v>
      </c>
      <c r="BC69" s="305" t="n">
        <f aca="false">SUM(BC57:BC68)</f>
        <v>0</v>
      </c>
      <c r="BD69" s="303"/>
      <c r="BE69" s="337"/>
    </row>
    <row r="70" customFormat="false" ht="15" hidden="false" customHeight="true" outlineLevel="0" collapsed="false">
      <c r="B70" s="296"/>
      <c r="D70" s="297"/>
      <c r="E70" s="300"/>
      <c r="F70" s="300"/>
      <c r="G70" s="300"/>
      <c r="H70" s="241"/>
      <c r="I70" s="302"/>
      <c r="J70" s="302"/>
      <c r="K70" s="241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303"/>
      <c r="Y70" s="259"/>
      <c r="Z70" s="303"/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259"/>
      <c r="AP70" s="303"/>
      <c r="AQ70" s="303"/>
      <c r="AR70" s="303"/>
      <c r="AS70" s="303"/>
      <c r="AT70" s="303"/>
      <c r="AU70" s="303"/>
      <c r="AV70" s="303"/>
      <c r="AW70" s="303"/>
      <c r="AX70" s="303"/>
      <c r="AY70" s="303"/>
      <c r="AZ70" s="303"/>
      <c r="BA70" s="303"/>
      <c r="BB70" s="303"/>
      <c r="BC70" s="303"/>
      <c r="BD70" s="268"/>
      <c r="BE70" s="303"/>
    </row>
    <row r="71" customFormat="false" ht="15" hidden="false" customHeight="true" outlineLevel="0" collapsed="false">
      <c r="A71" s="198" t="n">
        <f aca="false">A55+1</f>
        <v>5</v>
      </c>
      <c r="B71" s="266" t="s">
        <v>253</v>
      </c>
      <c r="C71" s="266" t="s">
        <v>253</v>
      </c>
      <c r="D71" s="266"/>
      <c r="E71" s="241"/>
      <c r="F71" s="241"/>
      <c r="G71" s="241"/>
      <c r="H71" s="241"/>
      <c r="I71" s="241"/>
      <c r="J71" s="241"/>
      <c r="K71" s="277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59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  <c r="AK71" s="268"/>
      <c r="AL71" s="268"/>
      <c r="AM71" s="268"/>
      <c r="AN71" s="259"/>
      <c r="AO71" s="268"/>
      <c r="AP71" s="268"/>
      <c r="AQ71" s="268"/>
      <c r="AR71" s="268"/>
      <c r="AS71" s="268"/>
      <c r="AT71" s="268"/>
      <c r="AU71" s="268"/>
      <c r="AV71" s="268"/>
      <c r="AW71" s="268"/>
      <c r="AX71" s="268"/>
      <c r="AY71" s="268"/>
      <c r="AZ71" s="268"/>
      <c r="BA71" s="268"/>
      <c r="BB71" s="268"/>
      <c r="BC71" s="268"/>
      <c r="BD71" s="287"/>
      <c r="BE71" s="268"/>
    </row>
    <row r="72" customFormat="false" ht="7.5" hidden="false" customHeight="true" outlineLevel="0" collapsed="false">
      <c r="A72" s="198"/>
      <c r="B72" s="266"/>
      <c r="C72" s="266"/>
      <c r="D72" s="266"/>
      <c r="E72" s="241"/>
      <c r="F72" s="241"/>
      <c r="G72" s="241"/>
      <c r="H72" s="204"/>
      <c r="I72" s="269"/>
      <c r="J72" s="269"/>
      <c r="K72" s="277"/>
      <c r="L72" s="269"/>
      <c r="M72" s="269"/>
      <c r="N72" s="269"/>
      <c r="O72" s="269"/>
      <c r="P72" s="269"/>
      <c r="Q72" s="269"/>
      <c r="R72" s="269"/>
      <c r="S72" s="269"/>
      <c r="T72" s="269"/>
      <c r="U72" s="269"/>
      <c r="V72" s="269"/>
      <c r="W72" s="269"/>
      <c r="X72" s="259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2"/>
      <c r="AK72" s="273"/>
      <c r="AL72" s="273"/>
      <c r="AM72" s="273"/>
      <c r="AN72" s="259"/>
      <c r="AO72" s="271"/>
      <c r="AP72" s="271"/>
      <c r="AQ72" s="271"/>
      <c r="AR72" s="271"/>
      <c r="AS72" s="271"/>
      <c r="AT72" s="271"/>
      <c r="AU72" s="271"/>
      <c r="AV72" s="271"/>
      <c r="AW72" s="271"/>
      <c r="AX72" s="271"/>
      <c r="AY72" s="271"/>
      <c r="AZ72" s="272"/>
      <c r="BA72" s="273"/>
      <c r="BB72" s="273"/>
      <c r="BC72" s="273"/>
      <c r="BD72" s="287"/>
      <c r="BE72" s="274"/>
    </row>
    <row r="73" customFormat="false" ht="15" hidden="false" customHeight="true" outlineLevel="0" collapsed="false">
      <c r="B73" s="333"/>
      <c r="C73" s="334"/>
      <c r="D73" s="333" t="n">
        <f aca="false">D57</f>
        <v>45292</v>
      </c>
      <c r="E73" s="277" t="n">
        <v>0</v>
      </c>
      <c r="F73" s="277" t="n">
        <v>0</v>
      </c>
      <c r="G73" s="277" t="n">
        <f aca="false">SUM(E73:F73)</f>
        <v>0</v>
      </c>
      <c r="H73" s="204"/>
      <c r="I73" s="279" t="n">
        <v>1</v>
      </c>
      <c r="J73" s="280" t="n">
        <f aca="false">1-I73</f>
        <v>0</v>
      </c>
      <c r="K73" s="277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68"/>
      <c r="Y73" s="284" t="n">
        <f aca="false">IFERROR(L73*$G73*I$9, "")</f>
        <v>0</v>
      </c>
      <c r="Z73" s="284" t="n">
        <f aca="false">IFERROR(M73*$G73*$I73, "")</f>
        <v>0</v>
      </c>
      <c r="AA73" s="284" t="n">
        <f aca="false">IFERROR(N73*$G73*$I73, "")</f>
        <v>0</v>
      </c>
      <c r="AB73" s="284" t="n">
        <f aca="false">IFERROR(O73*$G73*$I73, "")</f>
        <v>0</v>
      </c>
      <c r="AC73" s="284" t="n">
        <f aca="false">IFERROR(P73*$G73*$I73, "")</f>
        <v>0</v>
      </c>
      <c r="AD73" s="284" t="n">
        <f aca="false">IFERROR(Q73*$G73*$I73, "")</f>
        <v>0</v>
      </c>
      <c r="AE73" s="284" t="n">
        <f aca="false">IFERROR(R73*$G73*$I73, "")</f>
        <v>0</v>
      </c>
      <c r="AF73" s="284" t="n">
        <f aca="false">IFERROR(S73*$G73*$I73, "")</f>
        <v>0</v>
      </c>
      <c r="AG73" s="284" t="n">
        <f aca="false">IFERROR(T73*$G73*$I73, "")</f>
        <v>0</v>
      </c>
      <c r="AH73" s="284" t="n">
        <f aca="false">IFERROR(U73*$G73*$I73, "")</f>
        <v>0</v>
      </c>
      <c r="AI73" s="284" t="n">
        <f aca="false">IFERROR(V73*$G73*$I73, "")</f>
        <v>0</v>
      </c>
      <c r="AJ73" s="284" t="n">
        <f aca="false">IFERROR(W73*$G73*$I73, "")</f>
        <v>0</v>
      </c>
      <c r="AK73" s="286" t="n">
        <f aca="false">IFERROR(SUMIF($Y$4:$AJ$4, "RDEC", Y73:AJ73), "")</f>
        <v>0</v>
      </c>
      <c r="AL73" s="286" t="n">
        <f aca="false">IFERROR(SUMIF($Y$4:$AJ$4, "SME", Y73:AJ73), "")</f>
        <v>0</v>
      </c>
      <c r="AM73" s="286" t="n">
        <f aca="false">IFERROR(SUMIF($Y$4:$AJ$4, "De Minimis", Y73:AJ73), "")</f>
        <v>0</v>
      </c>
      <c r="AN73" s="268"/>
      <c r="AO73" s="284" t="n">
        <f aca="false">IFERROR($G73*$J73*L73, "")</f>
        <v>0</v>
      </c>
      <c r="AP73" s="284" t="n">
        <f aca="false">IFERROR($G73*$J73*M73, "")</f>
        <v>0</v>
      </c>
      <c r="AQ73" s="284" t="n">
        <f aca="false">IFERROR($G73*$J73*N73, "")</f>
        <v>0</v>
      </c>
      <c r="AR73" s="284" t="n">
        <f aca="false">IFERROR($G73*$J73*O73, "")</f>
        <v>0</v>
      </c>
      <c r="AS73" s="284" t="n">
        <f aca="false">IFERROR($G73*$J73*P73, "")</f>
        <v>0</v>
      </c>
      <c r="AT73" s="284" t="n">
        <f aca="false">IFERROR($G73*$J73*Q73, "")</f>
        <v>0</v>
      </c>
      <c r="AU73" s="284" t="n">
        <f aca="false">IFERROR($G73*$J73*R73, "")</f>
        <v>0</v>
      </c>
      <c r="AV73" s="284" t="n">
        <f aca="false">IFERROR($G73*$J73*S73, "")</f>
        <v>0</v>
      </c>
      <c r="AW73" s="284" t="n">
        <f aca="false">IFERROR($G73*$J73*T73, "")</f>
        <v>0</v>
      </c>
      <c r="AX73" s="284" t="n">
        <f aca="false">IFERROR($G73*$J73*U73, "")</f>
        <v>0</v>
      </c>
      <c r="AY73" s="284" t="n">
        <f aca="false">IFERROR($G73*$J73*V73, "")</f>
        <v>0</v>
      </c>
      <c r="AZ73" s="284" t="n">
        <f aca="false">IFERROR($G73*$J73*W73, "")</f>
        <v>0</v>
      </c>
      <c r="BA73" s="286" t="n">
        <f aca="false">IFERROR(SUMIF($AO$4:$AZ$4, "RDEC", AO73:AZ73), "")</f>
        <v>0</v>
      </c>
      <c r="BB73" s="286" t="n">
        <f aca="false">IFERROR(SUMIF($AO$4:$AZ$4, "SME", AO73:AZ73), "")</f>
        <v>0</v>
      </c>
      <c r="BC73" s="286" t="n">
        <f aca="false">IFERROR(SUMIF($AO$4:$AZ$4, "De Minimis", AO73:AZ73), "")</f>
        <v>0</v>
      </c>
      <c r="BD73" s="287"/>
      <c r="BE73" s="288" t="str">
        <f aca="false">IF((SUM(L73:W73)&gt;1),"ERROR","")</f>
        <v/>
      </c>
    </row>
    <row r="74" customFormat="false" ht="15" hidden="false" customHeight="true" outlineLevel="0" collapsed="false">
      <c r="B74" s="333"/>
      <c r="C74" s="334"/>
      <c r="D74" s="333" t="n">
        <f aca="false">D58</f>
        <v>45323</v>
      </c>
      <c r="E74" s="277" t="n">
        <v>0</v>
      </c>
      <c r="F74" s="277" t="n">
        <v>0</v>
      </c>
      <c r="G74" s="277" t="n">
        <f aca="false">SUM(E74:F74)</f>
        <v>0</v>
      </c>
      <c r="H74" s="204"/>
      <c r="I74" s="279" t="n">
        <v>1</v>
      </c>
      <c r="J74" s="280" t="n">
        <f aca="false">1-I74</f>
        <v>0</v>
      </c>
      <c r="K74" s="277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3"/>
      <c r="Y74" s="284" t="n">
        <f aca="false">IFERROR(L74*$G74*I$9, "")</f>
        <v>0</v>
      </c>
      <c r="Z74" s="284" t="n">
        <f aca="false">IFERROR(M74*$G74*$I74, "")</f>
        <v>0</v>
      </c>
      <c r="AA74" s="284" t="n">
        <f aca="false">IFERROR(N74*$G74*$I74, "")</f>
        <v>0</v>
      </c>
      <c r="AB74" s="284" t="n">
        <f aca="false">IFERROR(O74*$G74*$I74, "")</f>
        <v>0</v>
      </c>
      <c r="AC74" s="284" t="n">
        <f aca="false">IFERROR(P74*$G74*$I74, "")</f>
        <v>0</v>
      </c>
      <c r="AD74" s="284" t="n">
        <f aca="false">IFERROR(Q74*$G74*$I74, "")</f>
        <v>0</v>
      </c>
      <c r="AE74" s="284" t="n">
        <f aca="false">IFERROR(R74*$G74*$I74, "")</f>
        <v>0</v>
      </c>
      <c r="AF74" s="284" t="n">
        <f aca="false">IFERROR(S74*$G74*$I74, "")</f>
        <v>0</v>
      </c>
      <c r="AG74" s="284" t="n">
        <f aca="false">IFERROR(T74*$G74*$I74, "")</f>
        <v>0</v>
      </c>
      <c r="AH74" s="284" t="n">
        <f aca="false">IFERROR(U74*$G74*$I74, "")</f>
        <v>0</v>
      </c>
      <c r="AI74" s="284" t="n">
        <f aca="false">IFERROR(V74*$G74*$I74, "")</f>
        <v>0</v>
      </c>
      <c r="AJ74" s="284" t="n">
        <f aca="false">IFERROR(W74*$G74*$I74, "")</f>
        <v>0</v>
      </c>
      <c r="AK74" s="286" t="n">
        <f aca="false">IFERROR(SUMIF($Y$4:$AJ$4, "RDEC", Y74:AJ74), "")</f>
        <v>0</v>
      </c>
      <c r="AL74" s="286" t="n">
        <f aca="false">IFERROR(SUMIF($Y$4:$AJ$4, "SME", Y74:AJ74), "")</f>
        <v>0</v>
      </c>
      <c r="AM74" s="286" t="n">
        <f aca="false">IFERROR(SUMIF($Y$4:$AJ$4, "De Minimis", Y74:AJ74), "")</f>
        <v>0</v>
      </c>
      <c r="AN74" s="283"/>
      <c r="AO74" s="284" t="n">
        <f aca="false">IFERROR($G74*$J74*L74, "")</f>
        <v>0</v>
      </c>
      <c r="AP74" s="284" t="n">
        <f aca="false">IFERROR($G74*$J74*M74, "")</f>
        <v>0</v>
      </c>
      <c r="AQ74" s="284" t="n">
        <f aca="false">IFERROR($G74*$J74*N74, "")</f>
        <v>0</v>
      </c>
      <c r="AR74" s="284" t="n">
        <f aca="false">IFERROR($G74*$J74*O74, "")</f>
        <v>0</v>
      </c>
      <c r="AS74" s="284" t="n">
        <f aca="false">IFERROR($G74*$J74*P74, "")</f>
        <v>0</v>
      </c>
      <c r="AT74" s="284" t="n">
        <f aca="false">IFERROR($G74*$J74*Q74, "")</f>
        <v>0</v>
      </c>
      <c r="AU74" s="284" t="n">
        <f aca="false">IFERROR($G74*$J74*R74, "")</f>
        <v>0</v>
      </c>
      <c r="AV74" s="284" t="n">
        <f aca="false">IFERROR($G74*$J74*S74, "")</f>
        <v>0</v>
      </c>
      <c r="AW74" s="284" t="n">
        <f aca="false">IFERROR($G74*$J74*T74, "")</f>
        <v>0</v>
      </c>
      <c r="AX74" s="284" t="n">
        <f aca="false">IFERROR($G74*$J74*U74, "")</f>
        <v>0</v>
      </c>
      <c r="AY74" s="284" t="n">
        <f aca="false">IFERROR($G74*$J74*V74, "")</f>
        <v>0</v>
      </c>
      <c r="AZ74" s="284" t="n">
        <f aca="false">IFERROR($G74*$J74*W74, "")</f>
        <v>0</v>
      </c>
      <c r="BA74" s="286" t="n">
        <f aca="false">IFERROR(SUMIF($AO$4:$AZ$4, "RDEC", AO74:AZ74), "")</f>
        <v>0</v>
      </c>
      <c r="BB74" s="286" t="n">
        <f aca="false">IFERROR(SUMIF($AO$4:$AZ$4, "SME", AO74:AZ74), "")</f>
        <v>0</v>
      </c>
      <c r="BC74" s="286" t="n">
        <f aca="false">IFERROR(SUMIF($Y$4:$AJ$4, "De Minimis", AO74:AZ74), "")</f>
        <v>0</v>
      </c>
      <c r="BD74" s="287"/>
      <c r="BE74" s="288" t="str">
        <f aca="false">IF((SUM(L74:W74)&gt;1),"ERROR","")</f>
        <v/>
      </c>
    </row>
    <row r="75" customFormat="false" ht="15" hidden="false" customHeight="true" outlineLevel="0" collapsed="false">
      <c r="B75" s="333"/>
      <c r="C75" s="334"/>
      <c r="D75" s="333" t="n">
        <f aca="false">D59</f>
        <v>45352</v>
      </c>
      <c r="E75" s="277" t="n">
        <v>0</v>
      </c>
      <c r="F75" s="277" t="n">
        <v>0</v>
      </c>
      <c r="G75" s="277" t="n">
        <f aca="false">SUM(E75:F75)</f>
        <v>0</v>
      </c>
      <c r="H75" s="204"/>
      <c r="I75" s="279" t="n">
        <v>1</v>
      </c>
      <c r="J75" s="280" t="n">
        <f aca="false">1-I75</f>
        <v>0</v>
      </c>
      <c r="K75" s="277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3"/>
      <c r="Y75" s="284" t="n">
        <f aca="false">IFERROR(L75*$G75*I$9, "")</f>
        <v>0</v>
      </c>
      <c r="Z75" s="284" t="n">
        <f aca="false">IFERROR(M75*$G75*$I75, "")</f>
        <v>0</v>
      </c>
      <c r="AA75" s="284" t="n">
        <f aca="false">IFERROR(N75*$G75*$I75, "")</f>
        <v>0</v>
      </c>
      <c r="AB75" s="284" t="n">
        <f aca="false">IFERROR(O75*$G75*$I75, "")</f>
        <v>0</v>
      </c>
      <c r="AC75" s="284" t="n">
        <f aca="false">IFERROR(P75*$G75*$I75, "")</f>
        <v>0</v>
      </c>
      <c r="AD75" s="284" t="n">
        <f aca="false">IFERROR(Q75*$G75*$I75, "")</f>
        <v>0</v>
      </c>
      <c r="AE75" s="284" t="n">
        <f aca="false">IFERROR(R75*$G75*$I75, "")</f>
        <v>0</v>
      </c>
      <c r="AF75" s="284" t="n">
        <f aca="false">IFERROR(S75*$G75*$I75, "")</f>
        <v>0</v>
      </c>
      <c r="AG75" s="284" t="n">
        <f aca="false">IFERROR(T75*$G75*$I75, "")</f>
        <v>0</v>
      </c>
      <c r="AH75" s="284" t="n">
        <f aca="false">IFERROR(U75*$G75*$I75, "")</f>
        <v>0</v>
      </c>
      <c r="AI75" s="284" t="n">
        <f aca="false">IFERROR(V75*$G75*$I75, "")</f>
        <v>0</v>
      </c>
      <c r="AJ75" s="284" t="n">
        <f aca="false">IFERROR(W75*$G75*$I75, "")</f>
        <v>0</v>
      </c>
      <c r="AK75" s="286" t="n">
        <f aca="false">IFERROR(SUMIF($Y$4:$AJ$4, "RDEC", Y75:AJ75), "")</f>
        <v>0</v>
      </c>
      <c r="AL75" s="286" t="n">
        <f aca="false">IFERROR(SUMIF($Y$4:$AJ$4, "SME", Y75:AJ75), "")</f>
        <v>0</v>
      </c>
      <c r="AM75" s="286" t="n">
        <f aca="false">IFERROR(SUMIF($Y$4:$AJ$4, "De Minimis", Y75:AJ75), "")</f>
        <v>0</v>
      </c>
      <c r="AN75" s="283"/>
      <c r="AO75" s="284" t="n">
        <f aca="false">IFERROR($G75*$J75*L75, "")</f>
        <v>0</v>
      </c>
      <c r="AP75" s="284" t="n">
        <f aca="false">IFERROR($G75*$J75*M75, "")</f>
        <v>0</v>
      </c>
      <c r="AQ75" s="284" t="n">
        <f aca="false">IFERROR($G75*$J75*N75, "")</f>
        <v>0</v>
      </c>
      <c r="AR75" s="284" t="n">
        <f aca="false">IFERROR($G75*$J75*O75, "")</f>
        <v>0</v>
      </c>
      <c r="AS75" s="284" t="n">
        <f aca="false">IFERROR($G75*$J75*P75, "")</f>
        <v>0</v>
      </c>
      <c r="AT75" s="284" t="n">
        <f aca="false">IFERROR($G75*$J75*Q75, "")</f>
        <v>0</v>
      </c>
      <c r="AU75" s="284" t="n">
        <f aca="false">IFERROR($G75*$J75*R75, "")</f>
        <v>0</v>
      </c>
      <c r="AV75" s="284" t="n">
        <f aca="false">IFERROR($G75*$J75*S75, "")</f>
        <v>0</v>
      </c>
      <c r="AW75" s="284" t="n">
        <f aca="false">IFERROR($G75*$J75*T75, "")</f>
        <v>0</v>
      </c>
      <c r="AX75" s="284" t="n">
        <f aca="false">IFERROR($G75*$J75*U75, "")</f>
        <v>0</v>
      </c>
      <c r="AY75" s="284" t="n">
        <f aca="false">IFERROR($G75*$J75*V75, "")</f>
        <v>0</v>
      </c>
      <c r="AZ75" s="284" t="n">
        <f aca="false">IFERROR($G75*$J75*W75, "")</f>
        <v>0</v>
      </c>
      <c r="BA75" s="286" t="n">
        <f aca="false">IFERROR(SUMIF($AO$4:$AZ$4, "RDEC", AO75:AZ75), "")</f>
        <v>0</v>
      </c>
      <c r="BB75" s="286" t="n">
        <f aca="false">IFERROR(SUMIF($AO$4:$AZ$4, "SME", AO75:AZ75), "")</f>
        <v>0</v>
      </c>
      <c r="BC75" s="286" t="n">
        <f aca="false">IFERROR(SUMIF($Y$4:$AJ$4, "De Minimis", AO75:AZ75), "")</f>
        <v>0</v>
      </c>
      <c r="BD75" s="287"/>
      <c r="BE75" s="288" t="str">
        <f aca="false">IF((SUM(L75:W75)&gt;1),"ERROR","")</f>
        <v/>
      </c>
    </row>
    <row r="76" customFormat="false" ht="15" hidden="false" customHeight="true" outlineLevel="0" collapsed="false">
      <c r="B76" s="333"/>
      <c r="C76" s="334"/>
      <c r="D76" s="333" t="n">
        <f aca="false">D60</f>
        <v>45383</v>
      </c>
      <c r="E76" s="277" t="n">
        <v>0</v>
      </c>
      <c r="F76" s="277" t="n">
        <v>0</v>
      </c>
      <c r="G76" s="277" t="n">
        <f aca="false">SUM(E76:F76)</f>
        <v>0</v>
      </c>
      <c r="H76" s="204"/>
      <c r="I76" s="279" t="n">
        <v>1</v>
      </c>
      <c r="J76" s="280" t="n">
        <f aca="false">1-I76</f>
        <v>0</v>
      </c>
      <c r="K76" s="277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3"/>
      <c r="Y76" s="284" t="n">
        <f aca="false">IFERROR(L76*$G76*I$9, "")</f>
        <v>0</v>
      </c>
      <c r="Z76" s="284" t="n">
        <f aca="false">IFERROR(M76*$G76*$I76, "")</f>
        <v>0</v>
      </c>
      <c r="AA76" s="284" t="n">
        <f aca="false">IFERROR(N76*$G76*$I76, "")</f>
        <v>0</v>
      </c>
      <c r="AB76" s="284" t="n">
        <f aca="false">IFERROR(O76*$G76*$I76, "")</f>
        <v>0</v>
      </c>
      <c r="AC76" s="284" t="n">
        <f aca="false">IFERROR(P76*$G76*$I76, "")</f>
        <v>0</v>
      </c>
      <c r="AD76" s="284" t="n">
        <f aca="false">IFERROR(Q76*$G76*$I76, "")</f>
        <v>0</v>
      </c>
      <c r="AE76" s="284" t="n">
        <f aca="false">IFERROR(R76*$G76*$I76, "")</f>
        <v>0</v>
      </c>
      <c r="AF76" s="284" t="n">
        <f aca="false">IFERROR(S76*$G76*$I76, "")</f>
        <v>0</v>
      </c>
      <c r="AG76" s="284" t="n">
        <f aca="false">IFERROR(T76*$G76*$I76, "")</f>
        <v>0</v>
      </c>
      <c r="AH76" s="284" t="n">
        <f aca="false">IFERROR(U76*$G76*$I76, "")</f>
        <v>0</v>
      </c>
      <c r="AI76" s="284" t="n">
        <f aca="false">IFERROR(V76*$G76*$I76, "")</f>
        <v>0</v>
      </c>
      <c r="AJ76" s="284" t="n">
        <f aca="false">IFERROR(W76*$G76*$I76, "")</f>
        <v>0</v>
      </c>
      <c r="AK76" s="286" t="n">
        <f aca="false">IFERROR(SUMIF($Y$4:$AJ$4, "RDEC", Y76:AJ76), "")</f>
        <v>0</v>
      </c>
      <c r="AL76" s="286" t="n">
        <f aca="false">IFERROR(SUMIF($Y$4:$AJ$4, "SME", Y76:AJ76), "")</f>
        <v>0</v>
      </c>
      <c r="AM76" s="286" t="n">
        <f aca="false">IFERROR(SUMIF($Y$4:$AJ$4, "De Minimis", Y76:AJ76), "")</f>
        <v>0</v>
      </c>
      <c r="AN76" s="283"/>
      <c r="AO76" s="284" t="n">
        <f aca="false">IFERROR($G76*$J76*L76, "")</f>
        <v>0</v>
      </c>
      <c r="AP76" s="284" t="n">
        <f aca="false">IFERROR($G76*$J76*M76, "")</f>
        <v>0</v>
      </c>
      <c r="AQ76" s="284" t="n">
        <f aca="false">IFERROR($G76*$J76*N76, "")</f>
        <v>0</v>
      </c>
      <c r="AR76" s="284" t="n">
        <f aca="false">IFERROR($G76*$J76*O76, "")</f>
        <v>0</v>
      </c>
      <c r="AS76" s="284" t="n">
        <f aca="false">IFERROR($G76*$J76*P76, "")</f>
        <v>0</v>
      </c>
      <c r="AT76" s="284" t="n">
        <f aca="false">IFERROR($G76*$J76*Q76, "")</f>
        <v>0</v>
      </c>
      <c r="AU76" s="284" t="n">
        <f aca="false">IFERROR($G76*$J76*R76, "")</f>
        <v>0</v>
      </c>
      <c r="AV76" s="284" t="n">
        <f aca="false">IFERROR($G76*$J76*S76, "")</f>
        <v>0</v>
      </c>
      <c r="AW76" s="284" t="n">
        <f aca="false">IFERROR($G76*$J76*T76, "")</f>
        <v>0</v>
      </c>
      <c r="AX76" s="284" t="n">
        <f aca="false">IFERROR($G76*$J76*U76, "")</f>
        <v>0</v>
      </c>
      <c r="AY76" s="284" t="n">
        <f aca="false">IFERROR($G76*$J76*V76, "")</f>
        <v>0</v>
      </c>
      <c r="AZ76" s="284" t="n">
        <f aca="false">IFERROR($G76*$J76*W76, "")</f>
        <v>0</v>
      </c>
      <c r="BA76" s="286" t="n">
        <f aca="false">IFERROR(SUMIF($AO$4:$AZ$4, "RDEC", AO76:AZ76), "")</f>
        <v>0</v>
      </c>
      <c r="BB76" s="286" t="n">
        <f aca="false">IFERROR(SUMIF($AO$4:$AZ$4, "SME", AO76:AZ76), "")</f>
        <v>0</v>
      </c>
      <c r="BC76" s="286" t="n">
        <f aca="false">IFERROR(SUMIF($Y$4:$AJ$4, "De Minimis", AO76:AZ76), "")</f>
        <v>0</v>
      </c>
      <c r="BD76" s="287"/>
      <c r="BE76" s="288" t="str">
        <f aca="false">IF((SUM(L76:W76)&gt;1),"ERROR","")</f>
        <v/>
      </c>
    </row>
    <row r="77" customFormat="false" ht="15" hidden="false" customHeight="true" outlineLevel="0" collapsed="false">
      <c r="B77" s="333"/>
      <c r="C77" s="334"/>
      <c r="D77" s="333" t="n">
        <f aca="false">D61</f>
        <v>45413</v>
      </c>
      <c r="E77" s="277" t="n">
        <v>0</v>
      </c>
      <c r="F77" s="277" t="n">
        <v>0</v>
      </c>
      <c r="G77" s="277" t="n">
        <f aca="false">SUM(E77:F77)</f>
        <v>0</v>
      </c>
      <c r="H77" s="204"/>
      <c r="I77" s="279" t="n">
        <v>1</v>
      </c>
      <c r="J77" s="280" t="n">
        <f aca="false">1-I77</f>
        <v>0</v>
      </c>
      <c r="K77" s="277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3"/>
      <c r="Y77" s="284" t="n">
        <f aca="false">IFERROR(L77*$G77*I$9, "")</f>
        <v>0</v>
      </c>
      <c r="Z77" s="284" t="n">
        <f aca="false">IFERROR(M77*$G77*$I77, "")</f>
        <v>0</v>
      </c>
      <c r="AA77" s="284" t="n">
        <f aca="false">IFERROR(N77*$G77*$I77, "")</f>
        <v>0</v>
      </c>
      <c r="AB77" s="284" t="n">
        <f aca="false">IFERROR(O77*$G77*$I77, "")</f>
        <v>0</v>
      </c>
      <c r="AC77" s="284" t="n">
        <f aca="false">IFERROR(P77*$G77*$I77, "")</f>
        <v>0</v>
      </c>
      <c r="AD77" s="284" t="n">
        <f aca="false">IFERROR(Q77*$G77*$I77, "")</f>
        <v>0</v>
      </c>
      <c r="AE77" s="284" t="n">
        <f aca="false">IFERROR(R77*$G77*$I77, "")</f>
        <v>0</v>
      </c>
      <c r="AF77" s="284" t="n">
        <f aca="false">IFERROR(S77*$G77*$I77, "")</f>
        <v>0</v>
      </c>
      <c r="AG77" s="284" t="n">
        <f aca="false">IFERROR(T77*$G77*$I77, "")</f>
        <v>0</v>
      </c>
      <c r="AH77" s="284" t="n">
        <f aca="false">IFERROR(U77*$G77*$I77, "")</f>
        <v>0</v>
      </c>
      <c r="AI77" s="284" t="n">
        <f aca="false">IFERROR(V77*$G77*$I77, "")</f>
        <v>0</v>
      </c>
      <c r="AJ77" s="284" t="n">
        <f aca="false">IFERROR(W77*$G77*$I77, "")</f>
        <v>0</v>
      </c>
      <c r="AK77" s="286" t="n">
        <f aca="false">IFERROR(SUMIF($Y$4:$AJ$4, "RDEC", Y77:AJ77), "")</f>
        <v>0</v>
      </c>
      <c r="AL77" s="286" t="n">
        <f aca="false">IFERROR(SUMIF($Y$4:$AJ$4, "SME", Y77:AJ77), "")</f>
        <v>0</v>
      </c>
      <c r="AM77" s="286" t="n">
        <f aca="false">IFERROR(SUMIF($Y$4:$AJ$4, "De Minimis", Y77:AJ77), "")</f>
        <v>0</v>
      </c>
      <c r="AN77" s="283"/>
      <c r="AO77" s="284" t="n">
        <f aca="false">IFERROR($G77*$J77*L77, "")</f>
        <v>0</v>
      </c>
      <c r="AP77" s="284" t="n">
        <f aca="false">IFERROR($G77*$J77*M77, "")</f>
        <v>0</v>
      </c>
      <c r="AQ77" s="284" t="n">
        <f aca="false">IFERROR($G77*$J77*N77, "")</f>
        <v>0</v>
      </c>
      <c r="AR77" s="284" t="n">
        <f aca="false">IFERROR($G77*$J77*O77, "")</f>
        <v>0</v>
      </c>
      <c r="AS77" s="284" t="n">
        <f aca="false">IFERROR($G77*$J77*P77, "")</f>
        <v>0</v>
      </c>
      <c r="AT77" s="284" t="n">
        <f aca="false">IFERROR($G77*$J77*Q77, "")</f>
        <v>0</v>
      </c>
      <c r="AU77" s="284" t="n">
        <f aca="false">IFERROR($G77*$J77*R77, "")</f>
        <v>0</v>
      </c>
      <c r="AV77" s="284" t="n">
        <f aca="false">IFERROR($G77*$J77*S77, "")</f>
        <v>0</v>
      </c>
      <c r="AW77" s="284" t="n">
        <f aca="false">IFERROR($G77*$J77*T77, "")</f>
        <v>0</v>
      </c>
      <c r="AX77" s="284" t="n">
        <f aca="false">IFERROR($G77*$J77*U77, "")</f>
        <v>0</v>
      </c>
      <c r="AY77" s="284" t="n">
        <f aca="false">IFERROR($G77*$J77*V77, "")</f>
        <v>0</v>
      </c>
      <c r="AZ77" s="284" t="n">
        <f aca="false">IFERROR($G77*$J77*W77, "")</f>
        <v>0</v>
      </c>
      <c r="BA77" s="286" t="n">
        <f aca="false">IFERROR(SUMIF($AO$4:$AZ$4, "RDEC", AO77:AZ77), "")</f>
        <v>0</v>
      </c>
      <c r="BB77" s="286" t="n">
        <f aca="false">IFERROR(SUMIF($AO$4:$AZ$4, "SME", AO77:AZ77), "")</f>
        <v>0</v>
      </c>
      <c r="BC77" s="286" t="n">
        <f aca="false">IFERROR(SUMIF($Y$4:$AJ$4, "De Minimis", AO77:AZ77), "")</f>
        <v>0</v>
      </c>
      <c r="BD77" s="287"/>
      <c r="BE77" s="288" t="str">
        <f aca="false">IF((SUM(L77:W77)&gt;1),"ERROR","")</f>
        <v/>
      </c>
    </row>
    <row r="78" customFormat="false" ht="15" hidden="false" customHeight="true" outlineLevel="0" collapsed="false">
      <c r="B78" s="333"/>
      <c r="C78" s="334"/>
      <c r="D78" s="333" t="n">
        <f aca="false">D62</f>
        <v>45444</v>
      </c>
      <c r="E78" s="277" t="n">
        <v>0</v>
      </c>
      <c r="F78" s="277" t="n">
        <v>0</v>
      </c>
      <c r="G78" s="277" t="n">
        <f aca="false">SUM(E78:F78)</f>
        <v>0</v>
      </c>
      <c r="H78" s="204"/>
      <c r="I78" s="279" t="n">
        <v>1</v>
      </c>
      <c r="J78" s="280" t="n">
        <f aca="false">1-I78</f>
        <v>0</v>
      </c>
      <c r="K78" s="277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3"/>
      <c r="Y78" s="284" t="n">
        <f aca="false">IFERROR(L78*$G78*I$9, "")</f>
        <v>0</v>
      </c>
      <c r="Z78" s="284" t="n">
        <f aca="false">IFERROR(M78*$G78*$I78, "")</f>
        <v>0</v>
      </c>
      <c r="AA78" s="284" t="n">
        <f aca="false">IFERROR(N78*$G78*$I78, "")</f>
        <v>0</v>
      </c>
      <c r="AB78" s="284" t="n">
        <f aca="false">IFERROR(O78*$G78*$I78, "")</f>
        <v>0</v>
      </c>
      <c r="AC78" s="284" t="n">
        <f aca="false">IFERROR(P78*$G78*$I78, "")</f>
        <v>0</v>
      </c>
      <c r="AD78" s="284" t="n">
        <f aca="false">IFERROR(Q78*$G78*$I78, "")</f>
        <v>0</v>
      </c>
      <c r="AE78" s="284" t="n">
        <f aca="false">IFERROR(R78*$G78*$I78, "")</f>
        <v>0</v>
      </c>
      <c r="AF78" s="284" t="n">
        <f aca="false">IFERROR(S78*$G78*$I78, "")</f>
        <v>0</v>
      </c>
      <c r="AG78" s="284" t="n">
        <f aca="false">IFERROR(T78*$G78*$I78, "")</f>
        <v>0</v>
      </c>
      <c r="AH78" s="284" t="n">
        <f aca="false">IFERROR(U78*$G78*$I78, "")</f>
        <v>0</v>
      </c>
      <c r="AI78" s="284" t="n">
        <f aca="false">IFERROR(V78*$G78*$I78, "")</f>
        <v>0</v>
      </c>
      <c r="AJ78" s="284" t="n">
        <f aca="false">IFERROR(W78*$G78*$I78, "")</f>
        <v>0</v>
      </c>
      <c r="AK78" s="286" t="n">
        <f aca="false">IFERROR(SUMIF($Y$4:$AJ$4, "RDEC", Y78:AJ78), "")</f>
        <v>0</v>
      </c>
      <c r="AL78" s="286" t="n">
        <f aca="false">IFERROR(SUMIF($Y$4:$AJ$4, "SME", Y78:AJ78), "")</f>
        <v>0</v>
      </c>
      <c r="AM78" s="286" t="n">
        <f aca="false">IFERROR(SUMIF($Y$4:$AJ$4, "De Minimis", Y78:AJ78), "")</f>
        <v>0</v>
      </c>
      <c r="AN78" s="283"/>
      <c r="AO78" s="284" t="n">
        <f aca="false">IFERROR($G78*$J78*L78, "")</f>
        <v>0</v>
      </c>
      <c r="AP78" s="284" t="n">
        <f aca="false">IFERROR($G78*$J78*M78, "")</f>
        <v>0</v>
      </c>
      <c r="AQ78" s="284" t="n">
        <f aca="false">IFERROR($G78*$J78*N78, "")</f>
        <v>0</v>
      </c>
      <c r="AR78" s="284" t="n">
        <f aca="false">IFERROR($G78*$J78*O78, "")</f>
        <v>0</v>
      </c>
      <c r="AS78" s="284" t="n">
        <f aca="false">IFERROR($G78*$J78*P78, "")</f>
        <v>0</v>
      </c>
      <c r="AT78" s="284" t="n">
        <f aca="false">IFERROR($G78*$J78*Q78, "")</f>
        <v>0</v>
      </c>
      <c r="AU78" s="284" t="n">
        <f aca="false">IFERROR($G78*$J78*R78, "")</f>
        <v>0</v>
      </c>
      <c r="AV78" s="284" t="n">
        <f aca="false">IFERROR($G78*$J78*S78, "")</f>
        <v>0</v>
      </c>
      <c r="AW78" s="284" t="n">
        <f aca="false">IFERROR($G78*$J78*T78, "")</f>
        <v>0</v>
      </c>
      <c r="AX78" s="284" t="n">
        <f aca="false">IFERROR($G78*$J78*U78, "")</f>
        <v>0</v>
      </c>
      <c r="AY78" s="284" t="n">
        <f aca="false">IFERROR($G78*$J78*V78, "")</f>
        <v>0</v>
      </c>
      <c r="AZ78" s="284" t="n">
        <f aca="false">IFERROR($G78*$J78*W78, "")</f>
        <v>0</v>
      </c>
      <c r="BA78" s="286" t="n">
        <f aca="false">IFERROR(SUMIF($AO$4:$AZ$4, "RDEC", AO78:AZ78), "")</f>
        <v>0</v>
      </c>
      <c r="BB78" s="286" t="n">
        <f aca="false">IFERROR(SUMIF($AO$4:$AZ$4, "SME", AO78:AZ78), "")</f>
        <v>0</v>
      </c>
      <c r="BC78" s="286" t="n">
        <f aca="false">IFERROR(SUMIF($Y$4:$AJ$4, "De Minimis", AO78:AZ78), "")</f>
        <v>0</v>
      </c>
      <c r="BD78" s="287"/>
      <c r="BE78" s="288" t="str">
        <f aca="false">IF((SUM(L78:W78)&gt;1),"ERROR","")</f>
        <v/>
      </c>
    </row>
    <row r="79" customFormat="false" ht="15" hidden="false" customHeight="true" outlineLevel="0" collapsed="false">
      <c r="B79" s="333"/>
      <c r="C79" s="334"/>
      <c r="D79" s="333" t="n">
        <f aca="false">D63</f>
        <v>45474</v>
      </c>
      <c r="E79" s="277" t="n">
        <v>0</v>
      </c>
      <c r="F79" s="277" t="n">
        <v>0</v>
      </c>
      <c r="G79" s="277" t="n">
        <f aca="false">SUM(E79:F79)</f>
        <v>0</v>
      </c>
      <c r="H79" s="204"/>
      <c r="I79" s="279" t="n">
        <v>1</v>
      </c>
      <c r="J79" s="280" t="n">
        <f aca="false">1-I79</f>
        <v>0</v>
      </c>
      <c r="K79" s="277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3"/>
      <c r="Y79" s="284" t="n">
        <f aca="false">IFERROR(L79*$G79*I$9, "")</f>
        <v>0</v>
      </c>
      <c r="Z79" s="284" t="n">
        <f aca="false">IFERROR(M79*$G79*$I79, "")</f>
        <v>0</v>
      </c>
      <c r="AA79" s="284" t="n">
        <f aca="false">IFERROR(N79*$G79*$I79, "")</f>
        <v>0</v>
      </c>
      <c r="AB79" s="284" t="n">
        <f aca="false">IFERROR(O79*$G79*$I79, "")</f>
        <v>0</v>
      </c>
      <c r="AC79" s="284" t="n">
        <f aca="false">IFERROR(P79*$G79*$I79, "")</f>
        <v>0</v>
      </c>
      <c r="AD79" s="284" t="n">
        <f aca="false">IFERROR(Q79*$G79*$I79, "")</f>
        <v>0</v>
      </c>
      <c r="AE79" s="284" t="n">
        <f aca="false">IFERROR(R79*$G79*$I79, "")</f>
        <v>0</v>
      </c>
      <c r="AF79" s="284" t="n">
        <f aca="false">IFERROR(S79*$G79*$I79, "")</f>
        <v>0</v>
      </c>
      <c r="AG79" s="284" t="n">
        <f aca="false">IFERROR(T79*$G79*$I79, "")</f>
        <v>0</v>
      </c>
      <c r="AH79" s="284" t="n">
        <f aca="false">IFERROR(U79*$G79*$I79, "")</f>
        <v>0</v>
      </c>
      <c r="AI79" s="284" t="n">
        <f aca="false">IFERROR(V79*$G79*$I79, "")</f>
        <v>0</v>
      </c>
      <c r="AJ79" s="284" t="n">
        <f aca="false">IFERROR(W79*$G79*$I79, "")</f>
        <v>0</v>
      </c>
      <c r="AK79" s="286" t="n">
        <f aca="false">IFERROR(SUMIF($Y$4:$AJ$4, "RDEC", Y79:AJ79), "")</f>
        <v>0</v>
      </c>
      <c r="AL79" s="286" t="n">
        <f aca="false">IFERROR(SUMIF($Y$4:$AJ$4, "SME", Y79:AJ79), "")</f>
        <v>0</v>
      </c>
      <c r="AM79" s="286" t="n">
        <f aca="false">IFERROR(SUMIF($Y$4:$AJ$4, "De Minimis", Y79:AJ79), "")</f>
        <v>0</v>
      </c>
      <c r="AN79" s="283"/>
      <c r="AO79" s="284" t="n">
        <f aca="false">IFERROR($G79*$J79*L79, "")</f>
        <v>0</v>
      </c>
      <c r="AP79" s="284" t="n">
        <f aca="false">IFERROR($G79*$J79*M79, "")</f>
        <v>0</v>
      </c>
      <c r="AQ79" s="284" t="n">
        <f aca="false">IFERROR($G79*$J79*N79, "")</f>
        <v>0</v>
      </c>
      <c r="AR79" s="284" t="n">
        <f aca="false">IFERROR($G79*$J79*O79, "")</f>
        <v>0</v>
      </c>
      <c r="AS79" s="284" t="n">
        <f aca="false">IFERROR($G79*$J79*P79, "")</f>
        <v>0</v>
      </c>
      <c r="AT79" s="284" t="n">
        <f aca="false">IFERROR($G79*$J79*Q79, "")</f>
        <v>0</v>
      </c>
      <c r="AU79" s="284" t="n">
        <f aca="false">IFERROR($G79*$J79*R79, "")</f>
        <v>0</v>
      </c>
      <c r="AV79" s="284" t="n">
        <f aca="false">IFERROR($G79*$J79*S79, "")</f>
        <v>0</v>
      </c>
      <c r="AW79" s="284" t="n">
        <f aca="false">IFERROR($G79*$J79*T79, "")</f>
        <v>0</v>
      </c>
      <c r="AX79" s="284" t="n">
        <f aca="false">IFERROR($G79*$J79*U79, "")</f>
        <v>0</v>
      </c>
      <c r="AY79" s="284" t="n">
        <f aca="false">IFERROR($G79*$J79*V79, "")</f>
        <v>0</v>
      </c>
      <c r="AZ79" s="284" t="n">
        <f aca="false">IFERROR($G79*$J79*W79, "")</f>
        <v>0</v>
      </c>
      <c r="BA79" s="286" t="n">
        <f aca="false">IFERROR(SUMIF($AO$4:$AZ$4, "RDEC", AO79:AZ79), "")</f>
        <v>0</v>
      </c>
      <c r="BB79" s="286" t="n">
        <f aca="false">IFERROR(SUMIF($AO$4:$AZ$4, "SME", AO79:AZ79), "")</f>
        <v>0</v>
      </c>
      <c r="BC79" s="286" t="n">
        <f aca="false">IFERROR(SUMIF($Y$4:$AJ$4, "De Minimis", AO79:AZ79), "")</f>
        <v>0</v>
      </c>
      <c r="BD79" s="287"/>
      <c r="BE79" s="288" t="str">
        <f aca="false">IF((SUM(L79:W79)&gt;1),"ERROR","")</f>
        <v/>
      </c>
    </row>
    <row r="80" customFormat="false" ht="15" hidden="false" customHeight="true" outlineLevel="0" collapsed="false">
      <c r="B80" s="333"/>
      <c r="C80" s="334"/>
      <c r="D80" s="333" t="n">
        <f aca="false">D64</f>
        <v>45505</v>
      </c>
      <c r="E80" s="277" t="n">
        <v>0</v>
      </c>
      <c r="F80" s="277" t="n">
        <v>0</v>
      </c>
      <c r="G80" s="277" t="n">
        <f aca="false">SUM(E80:F80)</f>
        <v>0</v>
      </c>
      <c r="H80" s="204"/>
      <c r="I80" s="279" t="n">
        <v>1</v>
      </c>
      <c r="J80" s="280" t="n">
        <f aca="false">1-I80</f>
        <v>0</v>
      </c>
      <c r="K80" s="277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3"/>
      <c r="Y80" s="284" t="n">
        <f aca="false">IFERROR(L80*$G80*I$9, "")</f>
        <v>0</v>
      </c>
      <c r="Z80" s="284" t="n">
        <f aca="false">IFERROR(M80*$G80*$I80, "")</f>
        <v>0</v>
      </c>
      <c r="AA80" s="284" t="n">
        <f aca="false">IFERROR(N80*$G80*$I80, "")</f>
        <v>0</v>
      </c>
      <c r="AB80" s="284" t="n">
        <f aca="false">IFERROR(O80*$G80*$I80, "")</f>
        <v>0</v>
      </c>
      <c r="AC80" s="284" t="n">
        <f aca="false">IFERROR(P80*$G80*$I80, "")</f>
        <v>0</v>
      </c>
      <c r="AD80" s="284" t="n">
        <f aca="false">IFERROR(Q80*$G80*$I80, "")</f>
        <v>0</v>
      </c>
      <c r="AE80" s="284" t="n">
        <f aca="false">IFERROR(R80*$G80*$I80, "")</f>
        <v>0</v>
      </c>
      <c r="AF80" s="284" t="n">
        <f aca="false">IFERROR(S80*$G80*$I80, "")</f>
        <v>0</v>
      </c>
      <c r="AG80" s="284" t="n">
        <f aca="false">IFERROR(T80*$G80*$I80, "")</f>
        <v>0</v>
      </c>
      <c r="AH80" s="284" t="n">
        <f aca="false">IFERROR(U80*$G80*$I80, "")</f>
        <v>0</v>
      </c>
      <c r="AI80" s="284" t="n">
        <f aca="false">IFERROR(V80*$G80*$I80, "")</f>
        <v>0</v>
      </c>
      <c r="AJ80" s="284" t="n">
        <f aca="false">IFERROR(W80*$G80*$I80, "")</f>
        <v>0</v>
      </c>
      <c r="AK80" s="286" t="n">
        <f aca="false">IFERROR(SUMIF($Y$4:$AJ$4, "RDEC", Y80:AJ80), "")</f>
        <v>0</v>
      </c>
      <c r="AL80" s="286" t="n">
        <f aca="false">IFERROR(SUMIF($Y$4:$AJ$4, "SME", Y80:AJ80), "")</f>
        <v>0</v>
      </c>
      <c r="AM80" s="286" t="n">
        <f aca="false">IFERROR(SUMIF($Y$4:$AJ$4, "De Minimis", Y80:AJ80), "")</f>
        <v>0</v>
      </c>
      <c r="AN80" s="283"/>
      <c r="AO80" s="284" t="n">
        <f aca="false">IFERROR($G80*$J80*L80, "")</f>
        <v>0</v>
      </c>
      <c r="AP80" s="284" t="n">
        <f aca="false">IFERROR($G80*$J80*M80, "")</f>
        <v>0</v>
      </c>
      <c r="AQ80" s="284" t="n">
        <f aca="false">IFERROR($G80*$J80*N80, "")</f>
        <v>0</v>
      </c>
      <c r="AR80" s="284" t="n">
        <f aca="false">IFERROR($G80*$J80*O80, "")</f>
        <v>0</v>
      </c>
      <c r="AS80" s="284" t="n">
        <f aca="false">IFERROR($G80*$J80*P80, "")</f>
        <v>0</v>
      </c>
      <c r="AT80" s="284" t="n">
        <f aca="false">IFERROR($G80*$J80*Q80, "")</f>
        <v>0</v>
      </c>
      <c r="AU80" s="284" t="n">
        <f aca="false">IFERROR($G80*$J80*R80, "")</f>
        <v>0</v>
      </c>
      <c r="AV80" s="284" t="n">
        <f aca="false">IFERROR($G80*$J80*S80, "")</f>
        <v>0</v>
      </c>
      <c r="AW80" s="284" t="n">
        <f aca="false">IFERROR($G80*$J80*T80, "")</f>
        <v>0</v>
      </c>
      <c r="AX80" s="284" t="n">
        <f aca="false">IFERROR($G80*$J80*U80, "")</f>
        <v>0</v>
      </c>
      <c r="AY80" s="284" t="n">
        <f aca="false">IFERROR($G80*$J80*V80, "")</f>
        <v>0</v>
      </c>
      <c r="AZ80" s="284" t="n">
        <f aca="false">IFERROR($G80*$J80*W80, "")</f>
        <v>0</v>
      </c>
      <c r="BA80" s="286" t="n">
        <f aca="false">IFERROR(SUMIF($AO$4:$AZ$4, "RDEC", AO80:AZ80), "")</f>
        <v>0</v>
      </c>
      <c r="BB80" s="286" t="n">
        <f aca="false">IFERROR(SUMIF($AO$4:$AZ$4, "SME", AO80:AZ80), "")</f>
        <v>0</v>
      </c>
      <c r="BC80" s="286" t="n">
        <f aca="false">IFERROR(SUMIF($Y$4:$AJ$4, "De Minimis", AO80:AZ80), "")</f>
        <v>0</v>
      </c>
      <c r="BD80" s="287"/>
      <c r="BE80" s="288" t="str">
        <f aca="false">IF((SUM(L80:W80)&gt;1),"ERROR","")</f>
        <v/>
      </c>
    </row>
    <row r="81" customFormat="false" ht="15" hidden="false" customHeight="true" outlineLevel="0" collapsed="false">
      <c r="B81" s="333"/>
      <c r="C81" s="334"/>
      <c r="D81" s="333" t="n">
        <f aca="false">D65</f>
        <v>45536</v>
      </c>
      <c r="E81" s="277" t="n">
        <v>0</v>
      </c>
      <c r="F81" s="277" t="n">
        <v>0</v>
      </c>
      <c r="G81" s="277" t="n">
        <f aca="false">SUM(E81:F81)</f>
        <v>0</v>
      </c>
      <c r="H81" s="204"/>
      <c r="I81" s="279" t="n">
        <v>1</v>
      </c>
      <c r="J81" s="280" t="n">
        <f aca="false">1-I81</f>
        <v>0</v>
      </c>
      <c r="K81" s="277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3"/>
      <c r="Y81" s="284" t="n">
        <f aca="false">IFERROR(L81*$G81*I$9, "")</f>
        <v>0</v>
      </c>
      <c r="Z81" s="284" t="n">
        <f aca="false">IFERROR(M81*$G81*$I81, "")</f>
        <v>0</v>
      </c>
      <c r="AA81" s="284" t="n">
        <f aca="false">IFERROR(N81*$G81*$I81, "")</f>
        <v>0</v>
      </c>
      <c r="AB81" s="284" t="n">
        <f aca="false">IFERROR(O81*$G81*$I81, "")</f>
        <v>0</v>
      </c>
      <c r="AC81" s="284" t="n">
        <f aca="false">IFERROR(P81*$G81*$I81, "")</f>
        <v>0</v>
      </c>
      <c r="AD81" s="284" t="n">
        <f aca="false">IFERROR(Q81*$G81*$I81, "")</f>
        <v>0</v>
      </c>
      <c r="AE81" s="284" t="n">
        <f aca="false">IFERROR(R81*$G81*$I81, "")</f>
        <v>0</v>
      </c>
      <c r="AF81" s="284" t="n">
        <f aca="false">IFERROR(S81*$G81*$I81, "")</f>
        <v>0</v>
      </c>
      <c r="AG81" s="284" t="n">
        <f aca="false">IFERROR(T81*$G81*$I81, "")</f>
        <v>0</v>
      </c>
      <c r="AH81" s="284" t="n">
        <f aca="false">IFERROR(U81*$G81*$I81, "")</f>
        <v>0</v>
      </c>
      <c r="AI81" s="284" t="n">
        <f aca="false">IFERROR(V81*$G81*$I81, "")</f>
        <v>0</v>
      </c>
      <c r="AJ81" s="284" t="n">
        <f aca="false">IFERROR(W81*$G81*$I81, "")</f>
        <v>0</v>
      </c>
      <c r="AK81" s="286" t="n">
        <f aca="false">IFERROR(SUMIF($Y$4:$AJ$4, "RDEC", Y81:AJ81), "")</f>
        <v>0</v>
      </c>
      <c r="AL81" s="286" t="n">
        <f aca="false">IFERROR(SUMIF($Y$4:$AJ$4, "SME", Y81:AJ81), "")</f>
        <v>0</v>
      </c>
      <c r="AM81" s="286" t="n">
        <f aca="false">IFERROR(SUMIF($Y$4:$AJ$4, "De Minimis", Y81:AJ81), "")</f>
        <v>0</v>
      </c>
      <c r="AN81" s="283"/>
      <c r="AO81" s="284" t="n">
        <f aca="false">IFERROR($G81*$J81*L81, "")</f>
        <v>0</v>
      </c>
      <c r="AP81" s="284" t="n">
        <f aca="false">IFERROR($G81*$J81*M81, "")</f>
        <v>0</v>
      </c>
      <c r="AQ81" s="284" t="n">
        <f aca="false">IFERROR($G81*$J81*N81, "")</f>
        <v>0</v>
      </c>
      <c r="AR81" s="284" t="n">
        <f aca="false">IFERROR($G81*$J81*O81, "")</f>
        <v>0</v>
      </c>
      <c r="AS81" s="284" t="n">
        <f aca="false">IFERROR($G81*$J81*P81, "")</f>
        <v>0</v>
      </c>
      <c r="AT81" s="284" t="n">
        <f aca="false">IFERROR($G81*$J81*Q81, "")</f>
        <v>0</v>
      </c>
      <c r="AU81" s="284" t="n">
        <f aca="false">IFERROR($G81*$J81*R81, "")</f>
        <v>0</v>
      </c>
      <c r="AV81" s="284" t="n">
        <f aca="false">IFERROR($G81*$J81*S81, "")</f>
        <v>0</v>
      </c>
      <c r="AW81" s="284" t="n">
        <f aca="false">IFERROR($G81*$J81*T81, "")</f>
        <v>0</v>
      </c>
      <c r="AX81" s="284" t="n">
        <f aca="false">IFERROR($G81*$J81*U81, "")</f>
        <v>0</v>
      </c>
      <c r="AY81" s="284" t="n">
        <f aca="false">IFERROR($G81*$J81*V81, "")</f>
        <v>0</v>
      </c>
      <c r="AZ81" s="284" t="n">
        <f aca="false">IFERROR($G81*$J81*W81, "")</f>
        <v>0</v>
      </c>
      <c r="BA81" s="286" t="n">
        <f aca="false">IFERROR(SUMIF($AO$4:$AZ$4, "RDEC", AO81:AZ81), "")</f>
        <v>0</v>
      </c>
      <c r="BB81" s="286" t="n">
        <f aca="false">IFERROR(SUMIF($AO$4:$AZ$4, "SME", AO81:AZ81), "")</f>
        <v>0</v>
      </c>
      <c r="BC81" s="286" t="n">
        <f aca="false">IFERROR(SUMIF($Y$4:$AJ$4, "De Minimis", AO81:AZ81), "")</f>
        <v>0</v>
      </c>
      <c r="BD81" s="287"/>
      <c r="BE81" s="288" t="str">
        <f aca="false">IF((SUM(L81:W81)&gt;1),"ERROR","")</f>
        <v/>
      </c>
    </row>
    <row r="82" customFormat="false" ht="15" hidden="false" customHeight="true" outlineLevel="0" collapsed="false">
      <c r="B82" s="333"/>
      <c r="C82" s="334"/>
      <c r="D82" s="333" t="n">
        <f aca="false">D66</f>
        <v>45566</v>
      </c>
      <c r="E82" s="277" t="n">
        <v>0</v>
      </c>
      <c r="F82" s="277" t="n">
        <v>0</v>
      </c>
      <c r="G82" s="277" t="n">
        <f aca="false">SUM(E82:F82)</f>
        <v>0</v>
      </c>
      <c r="H82" s="204"/>
      <c r="I82" s="279" t="n">
        <v>1</v>
      </c>
      <c r="J82" s="280" t="n">
        <f aca="false">1-I82</f>
        <v>0</v>
      </c>
      <c r="K82" s="277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3"/>
      <c r="Y82" s="284" t="n">
        <f aca="false">IFERROR(L82*$G82*I$9, "")</f>
        <v>0</v>
      </c>
      <c r="Z82" s="284" t="n">
        <f aca="false">IFERROR(M82*$G82*$I82, "")</f>
        <v>0</v>
      </c>
      <c r="AA82" s="284" t="n">
        <f aca="false">IFERROR(N82*$G82*$I82, "")</f>
        <v>0</v>
      </c>
      <c r="AB82" s="284" t="n">
        <f aca="false">IFERROR(O82*$G82*$I82, "")</f>
        <v>0</v>
      </c>
      <c r="AC82" s="284" t="n">
        <f aca="false">IFERROR(P82*$G82*$I82, "")</f>
        <v>0</v>
      </c>
      <c r="AD82" s="284" t="n">
        <f aca="false">IFERROR(Q82*$G82*$I82, "")</f>
        <v>0</v>
      </c>
      <c r="AE82" s="284" t="n">
        <f aca="false">IFERROR(R82*$G82*$I82, "")</f>
        <v>0</v>
      </c>
      <c r="AF82" s="284" t="n">
        <f aca="false">IFERROR(S82*$G82*$I82, "")</f>
        <v>0</v>
      </c>
      <c r="AG82" s="284" t="n">
        <f aca="false">IFERROR(T82*$G82*$I82, "")</f>
        <v>0</v>
      </c>
      <c r="AH82" s="284" t="n">
        <f aca="false">IFERROR(U82*$G82*$I82, "")</f>
        <v>0</v>
      </c>
      <c r="AI82" s="284" t="n">
        <f aca="false">IFERROR(V82*$G82*$I82, "")</f>
        <v>0</v>
      </c>
      <c r="AJ82" s="284" t="n">
        <f aca="false">IFERROR(W82*$G82*$I82, "")</f>
        <v>0</v>
      </c>
      <c r="AK82" s="286" t="n">
        <f aca="false">IFERROR(SUMIF($Y$4:$AJ$4, "RDEC", Y82:AJ82), "")</f>
        <v>0</v>
      </c>
      <c r="AL82" s="286" t="n">
        <f aca="false">IFERROR(SUMIF($Y$4:$AJ$4, "SME", Y82:AJ82), "")</f>
        <v>0</v>
      </c>
      <c r="AM82" s="286" t="n">
        <f aca="false">IFERROR(SUMIF($Y$4:$AJ$4, "De Minimis", Y82:AJ82), "")</f>
        <v>0</v>
      </c>
      <c r="AN82" s="283"/>
      <c r="AO82" s="284" t="n">
        <f aca="false">IFERROR($G82*$J82*L82, "")</f>
        <v>0</v>
      </c>
      <c r="AP82" s="284" t="n">
        <f aca="false">IFERROR($G82*$J82*M82, "")</f>
        <v>0</v>
      </c>
      <c r="AQ82" s="284" t="n">
        <f aca="false">IFERROR($G82*$J82*N82, "")</f>
        <v>0</v>
      </c>
      <c r="AR82" s="284" t="n">
        <f aca="false">IFERROR($G82*$J82*O82, "")</f>
        <v>0</v>
      </c>
      <c r="AS82" s="284" t="n">
        <f aca="false">IFERROR($G82*$J82*P82, "")</f>
        <v>0</v>
      </c>
      <c r="AT82" s="284" t="n">
        <f aca="false">IFERROR($G82*$J82*Q82, "")</f>
        <v>0</v>
      </c>
      <c r="AU82" s="284" t="n">
        <f aca="false">IFERROR($G82*$J82*R82, "")</f>
        <v>0</v>
      </c>
      <c r="AV82" s="284" t="n">
        <f aca="false">IFERROR($G82*$J82*S82, "")</f>
        <v>0</v>
      </c>
      <c r="AW82" s="284" t="n">
        <f aca="false">IFERROR($G82*$J82*T82, "")</f>
        <v>0</v>
      </c>
      <c r="AX82" s="284" t="n">
        <f aca="false">IFERROR($G82*$J82*U82, "")</f>
        <v>0</v>
      </c>
      <c r="AY82" s="284" t="n">
        <f aca="false">IFERROR($G82*$J82*V82, "")</f>
        <v>0</v>
      </c>
      <c r="AZ82" s="284" t="n">
        <f aca="false">IFERROR($G82*$J82*W82, "")</f>
        <v>0</v>
      </c>
      <c r="BA82" s="286" t="n">
        <f aca="false">IFERROR(SUMIF($AO$4:$AZ$4, "RDEC", AO82:AZ82), "")</f>
        <v>0</v>
      </c>
      <c r="BB82" s="286" t="n">
        <f aca="false">IFERROR(SUMIF($AO$4:$AZ$4, "SME", AO82:AZ82), "")</f>
        <v>0</v>
      </c>
      <c r="BC82" s="286" t="n">
        <f aca="false">IFERROR(SUMIF($Y$4:$AJ$4, "De Minimis", AO82:AZ82), "")</f>
        <v>0</v>
      </c>
      <c r="BD82" s="287"/>
      <c r="BE82" s="288" t="str">
        <f aca="false">IF((SUM(L82:W82)&gt;1),"ERROR","")</f>
        <v/>
      </c>
    </row>
    <row r="83" customFormat="false" ht="15" hidden="false" customHeight="true" outlineLevel="0" collapsed="false">
      <c r="B83" s="333"/>
      <c r="C83" s="334"/>
      <c r="D83" s="333" t="n">
        <f aca="false">D67</f>
        <v>45597</v>
      </c>
      <c r="E83" s="277" t="n">
        <v>0</v>
      </c>
      <c r="F83" s="277" t="n">
        <v>0</v>
      </c>
      <c r="G83" s="277" t="n">
        <f aca="false">SUM(E83:F83)</f>
        <v>0</v>
      </c>
      <c r="H83" s="204"/>
      <c r="I83" s="279" t="n">
        <v>1</v>
      </c>
      <c r="J83" s="280" t="n">
        <f aca="false">1-I83</f>
        <v>0</v>
      </c>
      <c r="K83" s="277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3"/>
      <c r="Y83" s="284" t="n">
        <f aca="false">IFERROR(L83*$G83*I$9, "")</f>
        <v>0</v>
      </c>
      <c r="Z83" s="284" t="n">
        <f aca="false">IFERROR(M83*$G83*$I83, "")</f>
        <v>0</v>
      </c>
      <c r="AA83" s="284" t="n">
        <f aca="false">IFERROR(N83*$G83*$I83, "")</f>
        <v>0</v>
      </c>
      <c r="AB83" s="284" t="n">
        <f aca="false">IFERROR(O83*$G83*$I83, "")</f>
        <v>0</v>
      </c>
      <c r="AC83" s="284" t="n">
        <f aca="false">IFERROR(P83*$G83*$I83, "")</f>
        <v>0</v>
      </c>
      <c r="AD83" s="284" t="n">
        <f aca="false">IFERROR(Q83*$G83*$I83, "")</f>
        <v>0</v>
      </c>
      <c r="AE83" s="284" t="n">
        <f aca="false">IFERROR(R83*$G83*$I83, "")</f>
        <v>0</v>
      </c>
      <c r="AF83" s="284" t="n">
        <f aca="false">IFERROR(S83*$G83*$I83, "")</f>
        <v>0</v>
      </c>
      <c r="AG83" s="284" t="n">
        <f aca="false">IFERROR(T83*$G83*$I83, "")</f>
        <v>0</v>
      </c>
      <c r="AH83" s="284" t="n">
        <f aca="false">IFERROR(U83*$G83*$I83, "")</f>
        <v>0</v>
      </c>
      <c r="AI83" s="284" t="n">
        <f aca="false">IFERROR(V83*$G83*$I83, "")</f>
        <v>0</v>
      </c>
      <c r="AJ83" s="284" t="n">
        <f aca="false">IFERROR(W83*$G83*$I83, "")</f>
        <v>0</v>
      </c>
      <c r="AK83" s="286" t="n">
        <f aca="false">IFERROR(SUMIF($Y$4:$AJ$4, "RDEC", Y83:AJ83), "")</f>
        <v>0</v>
      </c>
      <c r="AL83" s="286" t="n">
        <f aca="false">IFERROR(SUMIF($Y$4:$AJ$4, "SME", Y83:AJ83), "")</f>
        <v>0</v>
      </c>
      <c r="AM83" s="286" t="n">
        <f aca="false">IFERROR(SUMIF($Y$4:$AJ$4, "De Minimis", Y83:AJ83), "")</f>
        <v>0</v>
      </c>
      <c r="AN83" s="283"/>
      <c r="AO83" s="284" t="n">
        <f aca="false">IFERROR($G83*$J83*L83, "")</f>
        <v>0</v>
      </c>
      <c r="AP83" s="284" t="n">
        <f aca="false">IFERROR($G83*$J83*M83, "")</f>
        <v>0</v>
      </c>
      <c r="AQ83" s="284" t="n">
        <f aca="false">IFERROR($G83*$J83*N83, "")</f>
        <v>0</v>
      </c>
      <c r="AR83" s="284" t="n">
        <f aca="false">IFERROR($G83*$J83*O83, "")</f>
        <v>0</v>
      </c>
      <c r="AS83" s="284" t="n">
        <f aca="false">IFERROR($G83*$J83*P83, "")</f>
        <v>0</v>
      </c>
      <c r="AT83" s="284" t="n">
        <f aca="false">IFERROR($G83*$J83*Q83, "")</f>
        <v>0</v>
      </c>
      <c r="AU83" s="284" t="n">
        <f aca="false">IFERROR($G83*$J83*R83, "")</f>
        <v>0</v>
      </c>
      <c r="AV83" s="284" t="n">
        <f aca="false">IFERROR($G83*$J83*S83, "")</f>
        <v>0</v>
      </c>
      <c r="AW83" s="284" t="n">
        <f aca="false">IFERROR($G83*$J83*T83, "")</f>
        <v>0</v>
      </c>
      <c r="AX83" s="284" t="n">
        <f aca="false">IFERROR($G83*$J83*U83, "")</f>
        <v>0</v>
      </c>
      <c r="AY83" s="284" t="n">
        <f aca="false">IFERROR($G83*$J83*V83, "")</f>
        <v>0</v>
      </c>
      <c r="AZ83" s="284" t="n">
        <f aca="false">IFERROR($G83*$J83*W83, "")</f>
        <v>0</v>
      </c>
      <c r="BA83" s="286" t="n">
        <f aca="false">IFERROR(SUMIF($AO$4:$AZ$4, "RDEC", AO83:AZ83), "")</f>
        <v>0</v>
      </c>
      <c r="BB83" s="286" t="n">
        <f aca="false">IFERROR(SUMIF($AO$4:$AZ$4, "SME", AO83:AZ83), "")</f>
        <v>0</v>
      </c>
      <c r="BC83" s="286" t="n">
        <f aca="false">IFERROR(SUMIF($Y$4:$AJ$4, "De Minimis", AO83:AZ83), "")</f>
        <v>0</v>
      </c>
      <c r="BD83" s="287"/>
      <c r="BE83" s="288" t="str">
        <f aca="false">IF((SUM(L83:W83)&gt;1),"ERROR","")</f>
        <v/>
      </c>
    </row>
    <row r="84" customFormat="false" ht="15" hidden="false" customHeight="true" outlineLevel="0" collapsed="false">
      <c r="B84" s="333"/>
      <c r="C84" s="334"/>
      <c r="D84" s="333" t="n">
        <f aca="false">D68</f>
        <v>45627</v>
      </c>
      <c r="E84" s="277" t="n">
        <v>0</v>
      </c>
      <c r="F84" s="277" t="n">
        <v>0</v>
      </c>
      <c r="G84" s="277" t="n">
        <f aca="false">SUM(E84:F84)</f>
        <v>0</v>
      </c>
      <c r="H84" s="300"/>
      <c r="I84" s="289" t="n">
        <v>1</v>
      </c>
      <c r="J84" s="290" t="n">
        <f aca="false">1-I84</f>
        <v>0</v>
      </c>
      <c r="K84" s="300"/>
      <c r="L84" s="291"/>
      <c r="M84" s="291"/>
      <c r="N84" s="291"/>
      <c r="O84" s="291"/>
      <c r="P84" s="291"/>
      <c r="Q84" s="291"/>
      <c r="R84" s="291"/>
      <c r="S84" s="291"/>
      <c r="T84" s="291"/>
      <c r="U84" s="291"/>
      <c r="V84" s="291"/>
      <c r="W84" s="291"/>
      <c r="X84" s="283"/>
      <c r="Y84" s="284" t="n">
        <f aca="false">IFERROR(L84*$G84*I$9, "")</f>
        <v>0</v>
      </c>
      <c r="Z84" s="284" t="n">
        <f aca="false">IFERROR(M84*$G84*$I84, "")</f>
        <v>0</v>
      </c>
      <c r="AA84" s="284" t="n">
        <f aca="false">IFERROR(N84*$G84*$I84, "")</f>
        <v>0</v>
      </c>
      <c r="AB84" s="284" t="n">
        <f aca="false">IFERROR(O84*$G84*$I84, "")</f>
        <v>0</v>
      </c>
      <c r="AC84" s="284" t="n">
        <f aca="false">IFERROR(P84*$G84*$I84, "")</f>
        <v>0</v>
      </c>
      <c r="AD84" s="284" t="n">
        <f aca="false">IFERROR(Q84*$G84*$I84, "")</f>
        <v>0</v>
      </c>
      <c r="AE84" s="284" t="n">
        <f aca="false">IFERROR(R84*$G84*$I84, "")</f>
        <v>0</v>
      </c>
      <c r="AF84" s="284" t="n">
        <f aca="false">IFERROR(S84*$G84*$I84, "")</f>
        <v>0</v>
      </c>
      <c r="AG84" s="284" t="n">
        <f aca="false">IFERROR(T84*$G84*$I84, "")</f>
        <v>0</v>
      </c>
      <c r="AH84" s="284" t="n">
        <f aca="false">IFERROR(U84*$G84*$I84, "")</f>
        <v>0</v>
      </c>
      <c r="AI84" s="284" t="n">
        <f aca="false">IFERROR(V84*$G84*$I84, "")</f>
        <v>0</v>
      </c>
      <c r="AJ84" s="284" t="n">
        <f aca="false">IFERROR(W84*$G84*$I84, "")</f>
        <v>0</v>
      </c>
      <c r="AK84" s="294" t="n">
        <f aca="false">IFERROR(SUMIF($Y$4:$AJ$4, "RDEC", Y84:AJ84), "")</f>
        <v>0</v>
      </c>
      <c r="AL84" s="294" t="n">
        <f aca="false">IFERROR(SUMIF($Y$4:$AJ$4, "SME", Y84:AJ84), "")</f>
        <v>0</v>
      </c>
      <c r="AM84" s="294" t="n">
        <f aca="false">IFERROR(SUMIF($Y$4:$AJ$4, "De Minimis", Y84:AJ84), "")</f>
        <v>0</v>
      </c>
      <c r="AN84" s="283"/>
      <c r="AO84" s="284" t="n">
        <f aca="false">IFERROR($G84*$J84*L84, "")</f>
        <v>0</v>
      </c>
      <c r="AP84" s="284" t="n">
        <f aca="false">IFERROR($G84*$J84*M84, "")</f>
        <v>0</v>
      </c>
      <c r="AQ84" s="284" t="n">
        <f aca="false">IFERROR($G84*$J84*N84, "")</f>
        <v>0</v>
      </c>
      <c r="AR84" s="284" t="n">
        <f aca="false">IFERROR($G84*$J84*O84, "")</f>
        <v>0</v>
      </c>
      <c r="AS84" s="284" t="n">
        <f aca="false">IFERROR($G84*$J84*P84, "")</f>
        <v>0</v>
      </c>
      <c r="AT84" s="284" t="n">
        <f aca="false">IFERROR($G84*$J84*Q84, "")</f>
        <v>0</v>
      </c>
      <c r="AU84" s="284" t="n">
        <f aca="false">IFERROR($G84*$J84*R84, "")</f>
        <v>0</v>
      </c>
      <c r="AV84" s="284" t="n">
        <f aca="false">IFERROR($G84*$J84*S84, "")</f>
        <v>0</v>
      </c>
      <c r="AW84" s="284" t="n">
        <f aca="false">IFERROR($G84*$J84*T84, "")</f>
        <v>0</v>
      </c>
      <c r="AX84" s="284" t="n">
        <f aca="false">IFERROR($G84*$J84*U84, "")</f>
        <v>0</v>
      </c>
      <c r="AY84" s="284" t="n">
        <f aca="false">IFERROR($G84*$J84*V84, "")</f>
        <v>0</v>
      </c>
      <c r="AZ84" s="284" t="n">
        <f aca="false">IFERROR($G84*$J84*W84, "")</f>
        <v>0</v>
      </c>
      <c r="BA84" s="286" t="n">
        <f aca="false">IFERROR(SUMIF($AO$4:$AZ$4, "RDEC", AO84:AZ84), "")</f>
        <v>0</v>
      </c>
      <c r="BB84" s="286" t="n">
        <f aca="false">IFERROR(SUMIF($AO$4:$AZ$4, "SME", AO84:AZ84), "")</f>
        <v>0</v>
      </c>
      <c r="BC84" s="294" t="n">
        <f aca="false">IFERROR(SUMIF($Y$4:$AJ$4, "De Minimis", AO84:AZ84), "")</f>
        <v>0</v>
      </c>
      <c r="BD84" s="303"/>
      <c r="BE84" s="295" t="str">
        <f aca="false">IF((SUM(L84:W84)&gt;1),"ERROR","")</f>
        <v/>
      </c>
    </row>
    <row r="85" customFormat="false" ht="15" hidden="false" customHeight="true" outlineLevel="0" collapsed="false">
      <c r="B85" s="296"/>
      <c r="D85" s="297" t="s">
        <v>82</v>
      </c>
      <c r="E85" s="299" t="n">
        <f aca="false">SUM(E73:E84)</f>
        <v>0</v>
      </c>
      <c r="F85" s="299" t="n">
        <f aca="false">SUM(F73:F84)</f>
        <v>0</v>
      </c>
      <c r="G85" s="299" t="n">
        <f aca="false">SUM(G73:G84)</f>
        <v>0</v>
      </c>
      <c r="H85" s="300"/>
      <c r="I85" s="301" t="n">
        <f aca="false">AVERAGE(I72:I84)</f>
        <v>1</v>
      </c>
      <c r="J85" s="301" t="n">
        <f aca="false">AVERAGE(J72:J84)</f>
        <v>0</v>
      </c>
      <c r="K85" s="300"/>
      <c r="L85" s="290" t="n">
        <f aca="false">IF(SUM(L73:L84)&gt;0,(Y85/G85),0)</f>
        <v>0</v>
      </c>
      <c r="M85" s="301" t="n">
        <f aca="false">IF(SUM(M73:M84)&gt;0,(Z85/G85),0)</f>
        <v>0</v>
      </c>
      <c r="N85" s="301" t="n">
        <f aca="false">IF(SUM(N73:N84)&gt;0,(AA85/G85),0)</f>
        <v>0</v>
      </c>
      <c r="O85" s="301" t="n">
        <f aca="false">IF(SUM(O73:O84)&gt;0,(AB85/G85),0)</f>
        <v>0</v>
      </c>
      <c r="P85" s="301" t="n">
        <f aca="false">IF(SUM(P73:P84)&gt;0,(AC85/G85),0)</f>
        <v>0</v>
      </c>
      <c r="Q85" s="301" t="n">
        <f aca="false">IF(SUM(Q73:Q84)&gt;0,(AD85/G85),0)</f>
        <v>0</v>
      </c>
      <c r="R85" s="301" t="n">
        <f aca="false">IF(SUM(R73:R84)&gt;0,(AE85/G85),0)</f>
        <v>0</v>
      </c>
      <c r="S85" s="301" t="n">
        <f aca="false">IF(SUM(S73:S84)&gt;0,(AF85/G85),0)</f>
        <v>0</v>
      </c>
      <c r="T85" s="301" t="n">
        <f aca="false">IF(SUM(T73:T84)&gt;0,(AG85/G85),0)</f>
        <v>0</v>
      </c>
      <c r="U85" s="301" t="n">
        <f aca="false">IF(SUM(U73:U84)&gt;0,(AJ85/G85),0)</f>
        <v>0</v>
      </c>
      <c r="V85" s="301" t="n">
        <f aca="false">IF(SUM(V73:V84)&gt;0,(AI85/G85),0)</f>
        <v>0</v>
      </c>
      <c r="W85" s="301" t="n">
        <f aca="false">IF(SUM(W73:W84)&gt;0,(AJ85/G85),0)</f>
        <v>0</v>
      </c>
      <c r="X85" s="283"/>
      <c r="Y85" s="304" t="n">
        <f aca="false">SUM(Y73:Y84)</f>
        <v>0</v>
      </c>
      <c r="Z85" s="304" t="n">
        <f aca="false">SUM(Z73:Z84)</f>
        <v>0</v>
      </c>
      <c r="AA85" s="304" t="n">
        <f aca="false">SUM(AA73:AA84)</f>
        <v>0</v>
      </c>
      <c r="AB85" s="304" t="n">
        <f aca="false">SUM(AB73:AB84)</f>
        <v>0</v>
      </c>
      <c r="AC85" s="304" t="n">
        <f aca="false">SUM(AC73:AC84)</f>
        <v>0</v>
      </c>
      <c r="AD85" s="304" t="n">
        <f aca="false">SUM(AD73:AD84)</f>
        <v>0</v>
      </c>
      <c r="AE85" s="304" t="n">
        <f aca="false">SUM(AE73:AE84)</f>
        <v>0</v>
      </c>
      <c r="AF85" s="304" t="n">
        <f aca="false">SUM(AF73:AF84)</f>
        <v>0</v>
      </c>
      <c r="AG85" s="304" t="n">
        <f aca="false">SUM(AG73:AG84)</f>
        <v>0</v>
      </c>
      <c r="AH85" s="304" t="n">
        <f aca="false">SUM(AH73:AH84)</f>
        <v>0</v>
      </c>
      <c r="AI85" s="304" t="n">
        <f aca="false">SUM(AI73:AI84)</f>
        <v>0</v>
      </c>
      <c r="AJ85" s="304" t="n">
        <f aca="false">SUM(AJ73:AJ84)</f>
        <v>0</v>
      </c>
      <c r="AK85" s="335" t="n">
        <f aca="false">SUM(AK73:AK84)</f>
        <v>0</v>
      </c>
      <c r="AL85" s="336" t="n">
        <f aca="false">SUM(AL73:AL84)</f>
        <v>0</v>
      </c>
      <c r="AM85" s="305" t="n">
        <f aca="false">SUM(AM73:AM84)</f>
        <v>0</v>
      </c>
      <c r="AN85" s="283"/>
      <c r="AO85" s="304" t="n">
        <f aca="false">SUM(AO73:AO84)</f>
        <v>0</v>
      </c>
      <c r="AP85" s="304" t="n">
        <f aca="false">SUM(AP73:AP84)</f>
        <v>0</v>
      </c>
      <c r="AQ85" s="304" t="n">
        <f aca="false">SUM(AQ73:AQ84)</f>
        <v>0</v>
      </c>
      <c r="AR85" s="304" t="n">
        <f aca="false">SUM(AR73:AR84)</f>
        <v>0</v>
      </c>
      <c r="AS85" s="304" t="n">
        <f aca="false">SUM(AS73:AS84)</f>
        <v>0</v>
      </c>
      <c r="AT85" s="304" t="n">
        <f aca="false">SUM(AT73:AT84)</f>
        <v>0</v>
      </c>
      <c r="AU85" s="304" t="n">
        <f aca="false">SUM(AU73:AU84)</f>
        <v>0</v>
      </c>
      <c r="AV85" s="304" t="n">
        <f aca="false">SUM(AV73:AV84)</f>
        <v>0</v>
      </c>
      <c r="AW85" s="304" t="n">
        <f aca="false">SUM(AW73:AW84)</f>
        <v>0</v>
      </c>
      <c r="AX85" s="304" t="n">
        <f aca="false">SUM(AX73:AX84)</f>
        <v>0</v>
      </c>
      <c r="AY85" s="304" t="n">
        <f aca="false">SUM(AY73:AY84)</f>
        <v>0</v>
      </c>
      <c r="AZ85" s="304" t="n">
        <f aca="false">SUM(AZ73:AZ84)</f>
        <v>0</v>
      </c>
      <c r="BA85" s="336" t="n">
        <f aca="false">SUM(BA73:BA84)</f>
        <v>0</v>
      </c>
      <c r="BB85" s="336" t="n">
        <f aca="false">SUM(BB73:BB84)</f>
        <v>0</v>
      </c>
      <c r="BC85" s="305" t="n">
        <f aca="false">SUM(BC73:BC84)</f>
        <v>0</v>
      </c>
      <c r="BD85" s="303"/>
      <c r="BE85" s="337"/>
    </row>
    <row r="86" customFormat="false" ht="15" hidden="false" customHeight="true" outlineLevel="0" collapsed="false">
      <c r="B86" s="296"/>
      <c r="D86" s="297"/>
      <c r="E86" s="300"/>
      <c r="F86" s="300"/>
      <c r="G86" s="300"/>
      <c r="H86" s="241"/>
      <c r="I86" s="302"/>
      <c r="J86" s="302"/>
      <c r="K86" s="241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303"/>
      <c r="Y86" s="259"/>
      <c r="Z86" s="303"/>
      <c r="AA86" s="303"/>
      <c r="AB86" s="303"/>
      <c r="AC86" s="303"/>
      <c r="AD86" s="303"/>
      <c r="AE86" s="303"/>
      <c r="AF86" s="303"/>
      <c r="AG86" s="303"/>
      <c r="AH86" s="303"/>
      <c r="AI86" s="303"/>
      <c r="AJ86" s="303"/>
      <c r="AK86" s="303"/>
      <c r="AL86" s="303"/>
      <c r="AM86" s="303"/>
      <c r="AN86" s="303"/>
      <c r="AO86" s="259"/>
      <c r="AP86" s="303"/>
      <c r="AQ86" s="303"/>
      <c r="AR86" s="303"/>
      <c r="AS86" s="303"/>
      <c r="AT86" s="303"/>
      <c r="AU86" s="303"/>
      <c r="AV86" s="303"/>
      <c r="AW86" s="303"/>
      <c r="AX86" s="303"/>
      <c r="AY86" s="303"/>
      <c r="AZ86" s="303"/>
      <c r="BA86" s="303"/>
      <c r="BB86" s="303"/>
      <c r="BC86" s="303"/>
      <c r="BD86" s="268"/>
      <c r="BE86" s="303"/>
    </row>
    <row r="87" customFormat="false" ht="15" hidden="false" customHeight="true" outlineLevel="0" collapsed="false">
      <c r="A87" s="198" t="n">
        <f aca="false">A71+1</f>
        <v>6</v>
      </c>
      <c r="B87" s="266" t="s">
        <v>253</v>
      </c>
      <c r="C87" s="266" t="s">
        <v>253</v>
      </c>
      <c r="D87" s="266"/>
      <c r="E87" s="241"/>
      <c r="F87" s="241"/>
      <c r="G87" s="241"/>
      <c r="H87" s="241"/>
      <c r="I87" s="241"/>
      <c r="J87" s="241"/>
      <c r="K87" s="277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59"/>
      <c r="Y87" s="268"/>
      <c r="Z87" s="268"/>
      <c r="AA87" s="268"/>
      <c r="AB87" s="268"/>
      <c r="AC87" s="268"/>
      <c r="AD87" s="268"/>
      <c r="AE87" s="268"/>
      <c r="AF87" s="268"/>
      <c r="AG87" s="268"/>
      <c r="AH87" s="268"/>
      <c r="AI87" s="268"/>
      <c r="AJ87" s="268"/>
      <c r="AK87" s="268"/>
      <c r="AL87" s="268"/>
      <c r="AM87" s="268"/>
      <c r="AN87" s="259"/>
      <c r="AO87" s="268"/>
      <c r="AP87" s="268"/>
      <c r="AQ87" s="268"/>
      <c r="AR87" s="268"/>
      <c r="AS87" s="268"/>
      <c r="AT87" s="268"/>
      <c r="AU87" s="268"/>
      <c r="AV87" s="268"/>
      <c r="AW87" s="268"/>
      <c r="AX87" s="268"/>
      <c r="AY87" s="268"/>
      <c r="AZ87" s="268"/>
      <c r="BA87" s="268"/>
      <c r="BB87" s="268"/>
      <c r="BC87" s="268"/>
      <c r="BD87" s="287"/>
      <c r="BE87" s="268"/>
    </row>
    <row r="88" customFormat="false" ht="7.5" hidden="false" customHeight="true" outlineLevel="0" collapsed="false">
      <c r="A88" s="198"/>
      <c r="B88" s="266"/>
      <c r="C88" s="266"/>
      <c r="D88" s="266"/>
      <c r="E88" s="241"/>
      <c r="F88" s="241"/>
      <c r="G88" s="241"/>
      <c r="H88" s="204"/>
      <c r="I88" s="269"/>
      <c r="J88" s="269"/>
      <c r="K88" s="277"/>
      <c r="L88" s="269"/>
      <c r="M88" s="269"/>
      <c r="N88" s="269"/>
      <c r="O88" s="269"/>
      <c r="P88" s="269"/>
      <c r="Q88" s="269"/>
      <c r="R88" s="269"/>
      <c r="S88" s="269"/>
      <c r="T88" s="269"/>
      <c r="U88" s="269"/>
      <c r="V88" s="269"/>
      <c r="W88" s="269"/>
      <c r="X88" s="259"/>
      <c r="Y88" s="271"/>
      <c r="Z88" s="271"/>
      <c r="AA88" s="271"/>
      <c r="AB88" s="271"/>
      <c r="AC88" s="271"/>
      <c r="AD88" s="271"/>
      <c r="AE88" s="271"/>
      <c r="AF88" s="271"/>
      <c r="AG88" s="271"/>
      <c r="AH88" s="271"/>
      <c r="AI88" s="271"/>
      <c r="AJ88" s="272"/>
      <c r="AK88" s="273"/>
      <c r="AL88" s="273"/>
      <c r="AM88" s="273"/>
      <c r="AN88" s="259"/>
      <c r="AO88" s="271"/>
      <c r="AP88" s="271"/>
      <c r="AQ88" s="271"/>
      <c r="AR88" s="271"/>
      <c r="AS88" s="271"/>
      <c r="AT88" s="271"/>
      <c r="AU88" s="271"/>
      <c r="AV88" s="271"/>
      <c r="AW88" s="271"/>
      <c r="AX88" s="271"/>
      <c r="AY88" s="271"/>
      <c r="AZ88" s="272"/>
      <c r="BA88" s="273"/>
      <c r="BB88" s="273"/>
      <c r="BC88" s="273"/>
      <c r="BD88" s="287"/>
      <c r="BE88" s="274"/>
    </row>
    <row r="89" customFormat="false" ht="15" hidden="false" customHeight="true" outlineLevel="0" collapsed="false">
      <c r="B89" s="333"/>
      <c r="C89" s="334"/>
      <c r="D89" s="333" t="n">
        <f aca="false">D73</f>
        <v>45292</v>
      </c>
      <c r="E89" s="277" t="n">
        <v>0</v>
      </c>
      <c r="F89" s="277" t="n">
        <v>0</v>
      </c>
      <c r="G89" s="277" t="n">
        <f aca="false">SUM(E89:F89)</f>
        <v>0</v>
      </c>
      <c r="H89" s="204"/>
      <c r="I89" s="279" t="n">
        <v>1</v>
      </c>
      <c r="J89" s="280" t="n">
        <f aca="false">1-I89</f>
        <v>0</v>
      </c>
      <c r="K89" s="277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68"/>
      <c r="Y89" s="284" t="n">
        <f aca="false">IFERROR(L89*$G89*I$9, "")</f>
        <v>0</v>
      </c>
      <c r="Z89" s="284" t="n">
        <f aca="false">IFERROR(M89*$G89*$I89, "")</f>
        <v>0</v>
      </c>
      <c r="AA89" s="284" t="n">
        <f aca="false">IFERROR(N89*$G89*$I89, "")</f>
        <v>0</v>
      </c>
      <c r="AB89" s="284" t="n">
        <f aca="false">IFERROR(O89*$G89*$I89, "")</f>
        <v>0</v>
      </c>
      <c r="AC89" s="284" t="n">
        <f aca="false">IFERROR(P89*$G89*$I89, "")</f>
        <v>0</v>
      </c>
      <c r="AD89" s="284" t="n">
        <f aca="false">IFERROR(Q89*$G89*$I89, "")</f>
        <v>0</v>
      </c>
      <c r="AE89" s="284" t="n">
        <f aca="false">IFERROR(R89*$G89*$I89, "")</f>
        <v>0</v>
      </c>
      <c r="AF89" s="284" t="n">
        <f aca="false">IFERROR(S89*$G89*$I89, "")</f>
        <v>0</v>
      </c>
      <c r="AG89" s="284" t="n">
        <f aca="false">IFERROR(T89*$G89*$I89, "")</f>
        <v>0</v>
      </c>
      <c r="AH89" s="284" t="n">
        <f aca="false">IFERROR(U89*$G89*$I89, "")</f>
        <v>0</v>
      </c>
      <c r="AI89" s="284" t="n">
        <f aca="false">IFERROR(V89*$G89*$I89, "")</f>
        <v>0</v>
      </c>
      <c r="AJ89" s="284" t="n">
        <f aca="false">IFERROR(W89*$G89*$I89, "")</f>
        <v>0</v>
      </c>
      <c r="AK89" s="286" t="n">
        <f aca="false">IFERROR(SUMIF($Y$4:$AJ$4, "RDEC", Y89:AJ89), "")</f>
        <v>0</v>
      </c>
      <c r="AL89" s="286" t="n">
        <f aca="false">IFERROR(SUMIF($Y$4:$AJ$4, "SME", Y89:AJ89), "")</f>
        <v>0</v>
      </c>
      <c r="AM89" s="286" t="n">
        <f aca="false">IFERROR(SUMIF($Y$4:$AJ$4, "De Minimis", Y89:AJ89), "")</f>
        <v>0</v>
      </c>
      <c r="AN89" s="268"/>
      <c r="AO89" s="284" t="n">
        <f aca="false">IFERROR($G89*$J89*L89, "")</f>
        <v>0</v>
      </c>
      <c r="AP89" s="284" t="n">
        <f aca="false">IFERROR($G89*$J89*M89, "")</f>
        <v>0</v>
      </c>
      <c r="AQ89" s="284" t="n">
        <f aca="false">IFERROR($G89*$J89*N89, "")</f>
        <v>0</v>
      </c>
      <c r="AR89" s="284" t="n">
        <f aca="false">IFERROR($G89*$J89*O89, "")</f>
        <v>0</v>
      </c>
      <c r="AS89" s="284" t="n">
        <f aca="false">IFERROR($G89*$J89*P89, "")</f>
        <v>0</v>
      </c>
      <c r="AT89" s="284" t="n">
        <f aca="false">IFERROR($G89*$J89*Q89, "")</f>
        <v>0</v>
      </c>
      <c r="AU89" s="284" t="n">
        <f aca="false">IFERROR($G89*$J89*R89, "")</f>
        <v>0</v>
      </c>
      <c r="AV89" s="284" t="n">
        <f aca="false">IFERROR($G89*$J89*S89, "")</f>
        <v>0</v>
      </c>
      <c r="AW89" s="284" t="n">
        <f aca="false">IFERROR($G89*$J89*T89, "")</f>
        <v>0</v>
      </c>
      <c r="AX89" s="284" t="n">
        <f aca="false">IFERROR($G89*$J89*U89, "")</f>
        <v>0</v>
      </c>
      <c r="AY89" s="284" t="n">
        <f aca="false">IFERROR($G89*$J89*V89, "")</f>
        <v>0</v>
      </c>
      <c r="AZ89" s="284" t="n">
        <f aca="false">IFERROR($G89*$J89*W89, "")</f>
        <v>0</v>
      </c>
      <c r="BA89" s="286" t="n">
        <f aca="false">IFERROR(SUMIF($AO$4:$AZ$4, "RDEC", AO89:AZ89), "")</f>
        <v>0</v>
      </c>
      <c r="BB89" s="286" t="n">
        <f aca="false">IFERROR(SUMIF($AO$4:$AZ$4, "SME", AO89:AZ89), "")</f>
        <v>0</v>
      </c>
      <c r="BC89" s="286" t="n">
        <f aca="false">IFERROR(SUMIF($AO$4:$AZ$4, "De Minimis", AO89:AZ89), "")</f>
        <v>0</v>
      </c>
      <c r="BD89" s="287"/>
      <c r="BE89" s="288" t="str">
        <f aca="false">IF((SUM(L89:W89)&gt;1),"ERROR","")</f>
        <v/>
      </c>
    </row>
    <row r="90" customFormat="false" ht="15" hidden="false" customHeight="true" outlineLevel="0" collapsed="false">
      <c r="B90" s="333"/>
      <c r="C90" s="334"/>
      <c r="D90" s="333" t="n">
        <f aca="false">D74</f>
        <v>45323</v>
      </c>
      <c r="E90" s="277" t="n">
        <v>0</v>
      </c>
      <c r="F90" s="277" t="n">
        <v>0</v>
      </c>
      <c r="G90" s="277" t="n">
        <f aca="false">SUM(E90:F90)</f>
        <v>0</v>
      </c>
      <c r="H90" s="204"/>
      <c r="I90" s="279" t="n">
        <v>1</v>
      </c>
      <c r="J90" s="280" t="n">
        <f aca="false">1-I90</f>
        <v>0</v>
      </c>
      <c r="K90" s="277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3"/>
      <c r="Y90" s="284" t="n">
        <f aca="false">IFERROR(L90*$G90*I$9, "")</f>
        <v>0</v>
      </c>
      <c r="Z90" s="284" t="n">
        <f aca="false">IFERROR(M90*$G90*$I90, "")</f>
        <v>0</v>
      </c>
      <c r="AA90" s="284" t="n">
        <f aca="false">IFERROR(N90*$G90*$I90, "")</f>
        <v>0</v>
      </c>
      <c r="AB90" s="284" t="n">
        <f aca="false">IFERROR(O90*$G90*$I90, "")</f>
        <v>0</v>
      </c>
      <c r="AC90" s="284" t="n">
        <f aca="false">IFERROR(P90*$G90*$I90, "")</f>
        <v>0</v>
      </c>
      <c r="AD90" s="284" t="n">
        <f aca="false">IFERROR(Q90*$G90*$I90, "")</f>
        <v>0</v>
      </c>
      <c r="AE90" s="284" t="n">
        <f aca="false">IFERROR(R90*$G90*$I90, "")</f>
        <v>0</v>
      </c>
      <c r="AF90" s="284" t="n">
        <f aca="false">IFERROR(S90*$G90*$I90, "")</f>
        <v>0</v>
      </c>
      <c r="AG90" s="284" t="n">
        <f aca="false">IFERROR(T90*$G90*$I90, "")</f>
        <v>0</v>
      </c>
      <c r="AH90" s="284" t="n">
        <f aca="false">IFERROR(U90*$G90*$I90, "")</f>
        <v>0</v>
      </c>
      <c r="AI90" s="284" t="n">
        <f aca="false">IFERROR(V90*$G90*$I90, "")</f>
        <v>0</v>
      </c>
      <c r="AJ90" s="284" t="n">
        <f aca="false">IFERROR(W90*$G90*$I90, "")</f>
        <v>0</v>
      </c>
      <c r="AK90" s="286" t="n">
        <f aca="false">IFERROR(SUMIF($Y$4:$AJ$4, "RDEC", Y90:AJ90), "")</f>
        <v>0</v>
      </c>
      <c r="AL90" s="286" t="n">
        <f aca="false">IFERROR(SUMIF($Y$4:$AJ$4, "SME", Y90:AJ90), "")</f>
        <v>0</v>
      </c>
      <c r="AM90" s="286" t="n">
        <f aca="false">IFERROR(SUMIF($Y$4:$AJ$4, "De Minimis", Y90:AJ90), "")</f>
        <v>0</v>
      </c>
      <c r="AN90" s="283"/>
      <c r="AO90" s="284" t="n">
        <f aca="false">IFERROR($G90*$J90*L90, "")</f>
        <v>0</v>
      </c>
      <c r="AP90" s="284" t="n">
        <f aca="false">IFERROR($G90*$J90*M90, "")</f>
        <v>0</v>
      </c>
      <c r="AQ90" s="284" t="n">
        <f aca="false">IFERROR($G90*$J90*N90, "")</f>
        <v>0</v>
      </c>
      <c r="AR90" s="284" t="n">
        <f aca="false">IFERROR($G90*$J90*O90, "")</f>
        <v>0</v>
      </c>
      <c r="AS90" s="284" t="n">
        <f aca="false">IFERROR($G90*$J90*P90, "")</f>
        <v>0</v>
      </c>
      <c r="AT90" s="284" t="n">
        <f aca="false">IFERROR($G90*$J90*Q90, "")</f>
        <v>0</v>
      </c>
      <c r="AU90" s="284" t="n">
        <f aca="false">IFERROR($G90*$J90*R90, "")</f>
        <v>0</v>
      </c>
      <c r="AV90" s="284" t="n">
        <f aca="false">IFERROR($G90*$J90*S90, "")</f>
        <v>0</v>
      </c>
      <c r="AW90" s="284" t="n">
        <f aca="false">IFERROR($G90*$J90*T90, "")</f>
        <v>0</v>
      </c>
      <c r="AX90" s="284" t="n">
        <f aca="false">IFERROR($G90*$J90*U90, "")</f>
        <v>0</v>
      </c>
      <c r="AY90" s="284" t="n">
        <f aca="false">IFERROR($G90*$J90*V90, "")</f>
        <v>0</v>
      </c>
      <c r="AZ90" s="284" t="n">
        <f aca="false">IFERROR($G90*$J90*W90, "")</f>
        <v>0</v>
      </c>
      <c r="BA90" s="286" t="n">
        <f aca="false">IFERROR(SUMIF($AO$4:$AZ$4, "RDEC", AO90:AZ90), "")</f>
        <v>0</v>
      </c>
      <c r="BB90" s="286" t="n">
        <f aca="false">IFERROR(SUMIF($AO$4:$AZ$4, "SME", AO90:AZ90), "")</f>
        <v>0</v>
      </c>
      <c r="BC90" s="286" t="n">
        <f aca="false">IFERROR(SUMIF($Y$4:$AJ$4, "De Minimis", AO90:AZ90), "")</f>
        <v>0</v>
      </c>
      <c r="BD90" s="287"/>
      <c r="BE90" s="288" t="str">
        <f aca="false">IF((SUM(L90:W90)&gt;1),"ERROR","")</f>
        <v/>
      </c>
    </row>
    <row r="91" customFormat="false" ht="15" hidden="false" customHeight="true" outlineLevel="0" collapsed="false">
      <c r="B91" s="333"/>
      <c r="C91" s="334"/>
      <c r="D91" s="333" t="n">
        <f aca="false">D75</f>
        <v>45352</v>
      </c>
      <c r="E91" s="277" t="n">
        <v>0</v>
      </c>
      <c r="F91" s="277" t="n">
        <v>0</v>
      </c>
      <c r="G91" s="277" t="n">
        <f aca="false">SUM(E91:F91)</f>
        <v>0</v>
      </c>
      <c r="H91" s="204"/>
      <c r="I91" s="279" t="n">
        <v>1</v>
      </c>
      <c r="J91" s="280" t="n">
        <f aca="false">1-I91</f>
        <v>0</v>
      </c>
      <c r="K91" s="277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3"/>
      <c r="Y91" s="284" t="n">
        <f aca="false">IFERROR(L91*$G91*I$9, "")</f>
        <v>0</v>
      </c>
      <c r="Z91" s="284" t="n">
        <f aca="false">IFERROR(M91*$G91*$I91, "")</f>
        <v>0</v>
      </c>
      <c r="AA91" s="284" t="n">
        <f aca="false">IFERROR(N91*$G91*$I91, "")</f>
        <v>0</v>
      </c>
      <c r="AB91" s="284" t="n">
        <f aca="false">IFERROR(O91*$G91*$I91, "")</f>
        <v>0</v>
      </c>
      <c r="AC91" s="284" t="n">
        <f aca="false">IFERROR(P91*$G91*$I91, "")</f>
        <v>0</v>
      </c>
      <c r="AD91" s="284" t="n">
        <f aca="false">IFERROR(Q91*$G91*$I91, "")</f>
        <v>0</v>
      </c>
      <c r="AE91" s="284" t="n">
        <f aca="false">IFERROR(R91*$G91*$I91, "")</f>
        <v>0</v>
      </c>
      <c r="AF91" s="284" t="n">
        <f aca="false">IFERROR(S91*$G91*$I91, "")</f>
        <v>0</v>
      </c>
      <c r="AG91" s="284" t="n">
        <f aca="false">IFERROR(T91*$G91*$I91, "")</f>
        <v>0</v>
      </c>
      <c r="AH91" s="284" t="n">
        <f aca="false">IFERROR(U91*$G91*$I91, "")</f>
        <v>0</v>
      </c>
      <c r="AI91" s="284" t="n">
        <f aca="false">IFERROR(V91*$G91*$I91, "")</f>
        <v>0</v>
      </c>
      <c r="AJ91" s="284" t="n">
        <f aca="false">IFERROR(W91*$G91*$I91, "")</f>
        <v>0</v>
      </c>
      <c r="AK91" s="286" t="n">
        <f aca="false">IFERROR(SUMIF($Y$4:$AJ$4, "RDEC", Y91:AJ91), "")</f>
        <v>0</v>
      </c>
      <c r="AL91" s="286" t="n">
        <f aca="false">IFERROR(SUMIF($Y$4:$AJ$4, "SME", Y91:AJ91), "")</f>
        <v>0</v>
      </c>
      <c r="AM91" s="286" t="n">
        <f aca="false">IFERROR(SUMIF($Y$4:$AJ$4, "De Minimis", Y91:AJ91), "")</f>
        <v>0</v>
      </c>
      <c r="AN91" s="283"/>
      <c r="AO91" s="284" t="n">
        <f aca="false">IFERROR($G91*$J91*L91, "")</f>
        <v>0</v>
      </c>
      <c r="AP91" s="284" t="n">
        <f aca="false">IFERROR($G91*$J91*M91, "")</f>
        <v>0</v>
      </c>
      <c r="AQ91" s="284" t="n">
        <f aca="false">IFERROR($G91*$J91*N91, "")</f>
        <v>0</v>
      </c>
      <c r="AR91" s="284" t="n">
        <f aca="false">IFERROR($G91*$J91*O91, "")</f>
        <v>0</v>
      </c>
      <c r="AS91" s="284" t="n">
        <f aca="false">IFERROR($G91*$J91*P91, "")</f>
        <v>0</v>
      </c>
      <c r="AT91" s="284" t="n">
        <f aca="false">IFERROR($G91*$J91*Q91, "")</f>
        <v>0</v>
      </c>
      <c r="AU91" s="284" t="n">
        <f aca="false">IFERROR($G91*$J91*R91, "")</f>
        <v>0</v>
      </c>
      <c r="AV91" s="284" t="n">
        <f aca="false">IFERROR($G91*$J91*S91, "")</f>
        <v>0</v>
      </c>
      <c r="AW91" s="284" t="n">
        <f aca="false">IFERROR($G91*$J91*T91, "")</f>
        <v>0</v>
      </c>
      <c r="AX91" s="284" t="n">
        <f aca="false">IFERROR($G91*$J91*U91, "")</f>
        <v>0</v>
      </c>
      <c r="AY91" s="284" t="n">
        <f aca="false">IFERROR($G91*$J91*V91, "")</f>
        <v>0</v>
      </c>
      <c r="AZ91" s="284" t="n">
        <f aca="false">IFERROR($G91*$J91*W91, "")</f>
        <v>0</v>
      </c>
      <c r="BA91" s="286" t="n">
        <f aca="false">IFERROR(SUMIF($AO$4:$AZ$4, "RDEC", AO91:AZ91), "")</f>
        <v>0</v>
      </c>
      <c r="BB91" s="286" t="n">
        <f aca="false">IFERROR(SUMIF($AO$4:$AZ$4, "SME", AO91:AZ91), "")</f>
        <v>0</v>
      </c>
      <c r="BC91" s="286" t="n">
        <f aca="false">IFERROR(SUMIF($Y$4:$AJ$4, "De Minimis", AO91:AZ91), "")</f>
        <v>0</v>
      </c>
      <c r="BD91" s="287"/>
      <c r="BE91" s="288" t="str">
        <f aca="false">IF((SUM(L91:W91)&gt;1),"ERROR","")</f>
        <v/>
      </c>
    </row>
    <row r="92" customFormat="false" ht="15" hidden="false" customHeight="true" outlineLevel="0" collapsed="false">
      <c r="B92" s="333"/>
      <c r="C92" s="334"/>
      <c r="D92" s="333" t="n">
        <f aca="false">D76</f>
        <v>45383</v>
      </c>
      <c r="E92" s="277" t="n">
        <v>0</v>
      </c>
      <c r="F92" s="277" t="n">
        <v>0</v>
      </c>
      <c r="G92" s="277" t="n">
        <f aca="false">SUM(E92:F92)</f>
        <v>0</v>
      </c>
      <c r="H92" s="204"/>
      <c r="I92" s="279" t="n">
        <v>1</v>
      </c>
      <c r="J92" s="280" t="n">
        <f aca="false">1-I92</f>
        <v>0</v>
      </c>
      <c r="K92" s="277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3"/>
      <c r="Y92" s="284" t="n">
        <f aca="false">IFERROR(L92*$G92*I$9, "")</f>
        <v>0</v>
      </c>
      <c r="Z92" s="284" t="n">
        <f aca="false">IFERROR(M92*$G92*$I92, "")</f>
        <v>0</v>
      </c>
      <c r="AA92" s="284" t="n">
        <f aca="false">IFERROR(N92*$G92*$I92, "")</f>
        <v>0</v>
      </c>
      <c r="AB92" s="284" t="n">
        <f aca="false">IFERROR(O92*$G92*$I92, "")</f>
        <v>0</v>
      </c>
      <c r="AC92" s="284" t="n">
        <f aca="false">IFERROR(P92*$G92*$I92, "")</f>
        <v>0</v>
      </c>
      <c r="AD92" s="284" t="n">
        <f aca="false">IFERROR(Q92*$G92*$I92, "")</f>
        <v>0</v>
      </c>
      <c r="AE92" s="284" t="n">
        <f aca="false">IFERROR(R92*$G92*$I92, "")</f>
        <v>0</v>
      </c>
      <c r="AF92" s="284" t="n">
        <f aca="false">IFERROR(S92*$G92*$I92, "")</f>
        <v>0</v>
      </c>
      <c r="AG92" s="284" t="n">
        <f aca="false">IFERROR(T92*$G92*$I92, "")</f>
        <v>0</v>
      </c>
      <c r="AH92" s="284" t="n">
        <f aca="false">IFERROR(U92*$G92*$I92, "")</f>
        <v>0</v>
      </c>
      <c r="AI92" s="284" t="n">
        <f aca="false">IFERROR(V92*$G92*$I92, "")</f>
        <v>0</v>
      </c>
      <c r="AJ92" s="284" t="n">
        <f aca="false">IFERROR(W92*$G92*$I92, "")</f>
        <v>0</v>
      </c>
      <c r="AK92" s="286" t="n">
        <f aca="false">IFERROR(SUMIF($Y$4:$AJ$4, "RDEC", Y92:AJ92), "")</f>
        <v>0</v>
      </c>
      <c r="AL92" s="286" t="n">
        <f aca="false">IFERROR(SUMIF($Y$4:$AJ$4, "SME", Y92:AJ92), "")</f>
        <v>0</v>
      </c>
      <c r="AM92" s="286" t="n">
        <f aca="false">IFERROR(SUMIF($Y$4:$AJ$4, "De Minimis", Y92:AJ92), "")</f>
        <v>0</v>
      </c>
      <c r="AN92" s="283"/>
      <c r="AO92" s="284" t="n">
        <f aca="false">IFERROR($G92*$J92*L92, "")</f>
        <v>0</v>
      </c>
      <c r="AP92" s="284" t="n">
        <f aca="false">IFERROR($G92*$J92*M92, "")</f>
        <v>0</v>
      </c>
      <c r="AQ92" s="284" t="n">
        <f aca="false">IFERROR($G92*$J92*N92, "")</f>
        <v>0</v>
      </c>
      <c r="AR92" s="284" t="n">
        <f aca="false">IFERROR($G92*$J92*O92, "")</f>
        <v>0</v>
      </c>
      <c r="AS92" s="284" t="n">
        <f aca="false">IFERROR($G92*$J92*P92, "")</f>
        <v>0</v>
      </c>
      <c r="AT92" s="284" t="n">
        <f aca="false">IFERROR($G92*$J92*Q92, "")</f>
        <v>0</v>
      </c>
      <c r="AU92" s="284" t="n">
        <f aca="false">IFERROR($G92*$J92*R92, "")</f>
        <v>0</v>
      </c>
      <c r="AV92" s="284" t="n">
        <f aca="false">IFERROR($G92*$J92*S92, "")</f>
        <v>0</v>
      </c>
      <c r="AW92" s="284" t="n">
        <f aca="false">IFERROR($G92*$J92*T92, "")</f>
        <v>0</v>
      </c>
      <c r="AX92" s="284" t="n">
        <f aca="false">IFERROR($G92*$J92*U92, "")</f>
        <v>0</v>
      </c>
      <c r="AY92" s="284" t="n">
        <f aca="false">IFERROR($G92*$J92*V92, "")</f>
        <v>0</v>
      </c>
      <c r="AZ92" s="284" t="n">
        <f aca="false">IFERROR($G92*$J92*W92, "")</f>
        <v>0</v>
      </c>
      <c r="BA92" s="286" t="n">
        <f aca="false">IFERROR(SUMIF($AO$4:$AZ$4, "RDEC", AO92:AZ92), "")</f>
        <v>0</v>
      </c>
      <c r="BB92" s="286" t="n">
        <f aca="false">IFERROR(SUMIF($AO$4:$AZ$4, "SME", AO92:AZ92), "")</f>
        <v>0</v>
      </c>
      <c r="BC92" s="286" t="n">
        <f aca="false">IFERROR(SUMIF($Y$4:$AJ$4, "De Minimis", AO92:AZ92), "")</f>
        <v>0</v>
      </c>
      <c r="BD92" s="287"/>
      <c r="BE92" s="288" t="str">
        <f aca="false">IF((SUM(L92:W92)&gt;1),"ERROR","")</f>
        <v/>
      </c>
    </row>
    <row r="93" customFormat="false" ht="15" hidden="false" customHeight="true" outlineLevel="0" collapsed="false">
      <c r="B93" s="333"/>
      <c r="C93" s="334"/>
      <c r="D93" s="333" t="n">
        <f aca="false">D77</f>
        <v>45413</v>
      </c>
      <c r="E93" s="277" t="n">
        <v>0</v>
      </c>
      <c r="F93" s="277" t="n">
        <v>0</v>
      </c>
      <c r="G93" s="277" t="n">
        <f aca="false">SUM(E93:F93)</f>
        <v>0</v>
      </c>
      <c r="H93" s="204"/>
      <c r="I93" s="279" t="n">
        <v>1</v>
      </c>
      <c r="J93" s="280" t="n">
        <f aca="false">1-I93</f>
        <v>0</v>
      </c>
      <c r="K93" s="277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3"/>
      <c r="Y93" s="284" t="n">
        <f aca="false">IFERROR(L93*$G93*I$9, "")</f>
        <v>0</v>
      </c>
      <c r="Z93" s="284" t="n">
        <f aca="false">IFERROR(M93*$G93*$I93, "")</f>
        <v>0</v>
      </c>
      <c r="AA93" s="284" t="n">
        <f aca="false">IFERROR(N93*$G93*$I93, "")</f>
        <v>0</v>
      </c>
      <c r="AB93" s="284" t="n">
        <f aca="false">IFERROR(O93*$G93*$I93, "")</f>
        <v>0</v>
      </c>
      <c r="AC93" s="284" t="n">
        <f aca="false">IFERROR(P93*$G93*$I93, "")</f>
        <v>0</v>
      </c>
      <c r="AD93" s="284" t="n">
        <f aca="false">IFERROR(Q93*$G93*$I93, "")</f>
        <v>0</v>
      </c>
      <c r="AE93" s="284" t="n">
        <f aca="false">IFERROR(R93*$G93*$I93, "")</f>
        <v>0</v>
      </c>
      <c r="AF93" s="284" t="n">
        <f aca="false">IFERROR(S93*$G93*$I93, "")</f>
        <v>0</v>
      </c>
      <c r="AG93" s="284" t="n">
        <f aca="false">IFERROR(T93*$G93*$I93, "")</f>
        <v>0</v>
      </c>
      <c r="AH93" s="284" t="n">
        <f aca="false">IFERROR(U93*$G93*$I93, "")</f>
        <v>0</v>
      </c>
      <c r="AI93" s="284" t="n">
        <f aca="false">IFERROR(V93*$G93*$I93, "")</f>
        <v>0</v>
      </c>
      <c r="AJ93" s="284" t="n">
        <f aca="false">IFERROR(W93*$G93*$I93, "")</f>
        <v>0</v>
      </c>
      <c r="AK93" s="286" t="n">
        <f aca="false">IFERROR(SUMIF($Y$4:$AJ$4, "RDEC", Y93:AJ93), "")</f>
        <v>0</v>
      </c>
      <c r="AL93" s="286" t="n">
        <f aca="false">IFERROR(SUMIF($Y$4:$AJ$4, "SME", Y93:AJ93), "")</f>
        <v>0</v>
      </c>
      <c r="AM93" s="286" t="n">
        <f aca="false">IFERROR(SUMIF($Y$4:$AJ$4, "De Minimis", Y93:AJ93), "")</f>
        <v>0</v>
      </c>
      <c r="AN93" s="283"/>
      <c r="AO93" s="284" t="n">
        <f aca="false">IFERROR($G93*$J93*L93, "")</f>
        <v>0</v>
      </c>
      <c r="AP93" s="284" t="n">
        <f aca="false">IFERROR($G93*$J93*M93, "")</f>
        <v>0</v>
      </c>
      <c r="AQ93" s="284" t="n">
        <f aca="false">IFERROR($G93*$J93*N93, "")</f>
        <v>0</v>
      </c>
      <c r="AR93" s="284" t="n">
        <f aca="false">IFERROR($G93*$J93*O93, "")</f>
        <v>0</v>
      </c>
      <c r="AS93" s="284" t="n">
        <f aca="false">IFERROR($G93*$J93*P93, "")</f>
        <v>0</v>
      </c>
      <c r="AT93" s="284" t="n">
        <f aca="false">IFERROR($G93*$J93*Q93, "")</f>
        <v>0</v>
      </c>
      <c r="AU93" s="284" t="n">
        <f aca="false">IFERROR($G93*$J93*R93, "")</f>
        <v>0</v>
      </c>
      <c r="AV93" s="284" t="n">
        <f aca="false">IFERROR($G93*$J93*S93, "")</f>
        <v>0</v>
      </c>
      <c r="AW93" s="284" t="n">
        <f aca="false">IFERROR($G93*$J93*T93, "")</f>
        <v>0</v>
      </c>
      <c r="AX93" s="284" t="n">
        <f aca="false">IFERROR($G93*$J93*U93, "")</f>
        <v>0</v>
      </c>
      <c r="AY93" s="284" t="n">
        <f aca="false">IFERROR($G93*$J93*V93, "")</f>
        <v>0</v>
      </c>
      <c r="AZ93" s="284" t="n">
        <f aca="false">IFERROR($G93*$J93*W93, "")</f>
        <v>0</v>
      </c>
      <c r="BA93" s="286" t="n">
        <f aca="false">IFERROR(SUMIF($AO$4:$AZ$4, "RDEC", AO93:AZ93), "")</f>
        <v>0</v>
      </c>
      <c r="BB93" s="286" t="n">
        <f aca="false">IFERROR(SUMIF($AO$4:$AZ$4, "SME", AO93:AZ93), "")</f>
        <v>0</v>
      </c>
      <c r="BC93" s="286" t="n">
        <f aca="false">IFERROR(SUMIF($Y$4:$AJ$4, "De Minimis", AO93:AZ93), "")</f>
        <v>0</v>
      </c>
      <c r="BD93" s="287"/>
      <c r="BE93" s="288" t="str">
        <f aca="false">IF((SUM(L93:W93)&gt;1),"ERROR","")</f>
        <v/>
      </c>
    </row>
    <row r="94" customFormat="false" ht="15" hidden="false" customHeight="true" outlineLevel="0" collapsed="false">
      <c r="B94" s="333"/>
      <c r="C94" s="334"/>
      <c r="D94" s="333" t="n">
        <f aca="false">D78</f>
        <v>45444</v>
      </c>
      <c r="E94" s="277" t="n">
        <v>0</v>
      </c>
      <c r="F94" s="277" t="n">
        <v>0</v>
      </c>
      <c r="G94" s="277" t="n">
        <f aca="false">SUM(E94:F94)</f>
        <v>0</v>
      </c>
      <c r="H94" s="204"/>
      <c r="I94" s="279" t="n">
        <v>1</v>
      </c>
      <c r="J94" s="280" t="n">
        <f aca="false">1-I94</f>
        <v>0</v>
      </c>
      <c r="K94" s="277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3"/>
      <c r="Y94" s="284" t="n">
        <f aca="false">IFERROR(L94*$G94*I$9, "")</f>
        <v>0</v>
      </c>
      <c r="Z94" s="284" t="n">
        <f aca="false">IFERROR(M94*$G94*$I94, "")</f>
        <v>0</v>
      </c>
      <c r="AA94" s="284" t="n">
        <f aca="false">IFERROR(N94*$G94*$I94, "")</f>
        <v>0</v>
      </c>
      <c r="AB94" s="284" t="n">
        <f aca="false">IFERROR(O94*$G94*$I94, "")</f>
        <v>0</v>
      </c>
      <c r="AC94" s="284" t="n">
        <f aca="false">IFERROR(P94*$G94*$I94, "")</f>
        <v>0</v>
      </c>
      <c r="AD94" s="284" t="n">
        <f aca="false">IFERROR(Q94*$G94*$I94, "")</f>
        <v>0</v>
      </c>
      <c r="AE94" s="284" t="n">
        <f aca="false">IFERROR(R94*$G94*$I94, "")</f>
        <v>0</v>
      </c>
      <c r="AF94" s="284" t="n">
        <f aca="false">IFERROR(S94*$G94*$I94, "")</f>
        <v>0</v>
      </c>
      <c r="AG94" s="284" t="n">
        <f aca="false">IFERROR(T94*$G94*$I94, "")</f>
        <v>0</v>
      </c>
      <c r="AH94" s="284" t="n">
        <f aca="false">IFERROR(U94*$G94*$I94, "")</f>
        <v>0</v>
      </c>
      <c r="AI94" s="284" t="n">
        <f aca="false">IFERROR(V94*$G94*$I94, "")</f>
        <v>0</v>
      </c>
      <c r="AJ94" s="284" t="n">
        <f aca="false">IFERROR(W94*$G94*$I94, "")</f>
        <v>0</v>
      </c>
      <c r="AK94" s="286" t="n">
        <f aca="false">IFERROR(SUMIF($Y$4:$AJ$4, "RDEC", Y94:AJ94), "")</f>
        <v>0</v>
      </c>
      <c r="AL94" s="286" t="n">
        <f aca="false">IFERROR(SUMIF($Y$4:$AJ$4, "SME", Y94:AJ94), "")</f>
        <v>0</v>
      </c>
      <c r="AM94" s="286" t="n">
        <f aca="false">IFERROR(SUMIF($Y$4:$AJ$4, "De Minimis", Y94:AJ94), "")</f>
        <v>0</v>
      </c>
      <c r="AN94" s="283"/>
      <c r="AO94" s="284" t="n">
        <f aca="false">IFERROR($G94*$J94*L94, "")</f>
        <v>0</v>
      </c>
      <c r="AP94" s="284" t="n">
        <f aca="false">IFERROR($G94*$J94*M94, "")</f>
        <v>0</v>
      </c>
      <c r="AQ94" s="284" t="n">
        <f aca="false">IFERROR($G94*$J94*N94, "")</f>
        <v>0</v>
      </c>
      <c r="AR94" s="284" t="n">
        <f aca="false">IFERROR($G94*$J94*O94, "")</f>
        <v>0</v>
      </c>
      <c r="AS94" s="284" t="n">
        <f aca="false">IFERROR($G94*$J94*P94, "")</f>
        <v>0</v>
      </c>
      <c r="AT94" s="284" t="n">
        <f aca="false">IFERROR($G94*$J94*Q94, "")</f>
        <v>0</v>
      </c>
      <c r="AU94" s="284" t="n">
        <f aca="false">IFERROR($G94*$J94*R94, "")</f>
        <v>0</v>
      </c>
      <c r="AV94" s="284" t="n">
        <f aca="false">IFERROR($G94*$J94*S94, "")</f>
        <v>0</v>
      </c>
      <c r="AW94" s="284" t="n">
        <f aca="false">IFERROR($G94*$J94*T94, "")</f>
        <v>0</v>
      </c>
      <c r="AX94" s="284" t="n">
        <f aca="false">IFERROR($G94*$J94*U94, "")</f>
        <v>0</v>
      </c>
      <c r="AY94" s="284" t="n">
        <f aca="false">IFERROR($G94*$J94*V94, "")</f>
        <v>0</v>
      </c>
      <c r="AZ94" s="284" t="n">
        <f aca="false">IFERROR($G94*$J94*W94, "")</f>
        <v>0</v>
      </c>
      <c r="BA94" s="286" t="n">
        <f aca="false">IFERROR(SUMIF($AO$4:$AZ$4, "RDEC", AO94:AZ94), "")</f>
        <v>0</v>
      </c>
      <c r="BB94" s="286" t="n">
        <f aca="false">IFERROR(SUMIF($AO$4:$AZ$4, "SME", AO94:AZ94), "")</f>
        <v>0</v>
      </c>
      <c r="BC94" s="286" t="n">
        <f aca="false">IFERROR(SUMIF($Y$4:$AJ$4, "De Minimis", AO94:AZ94), "")</f>
        <v>0</v>
      </c>
      <c r="BD94" s="287"/>
      <c r="BE94" s="288" t="str">
        <f aca="false">IF((SUM(L94:W94)&gt;1),"ERROR","")</f>
        <v/>
      </c>
    </row>
    <row r="95" customFormat="false" ht="15" hidden="false" customHeight="true" outlineLevel="0" collapsed="false">
      <c r="B95" s="333"/>
      <c r="C95" s="334"/>
      <c r="D95" s="333" t="n">
        <f aca="false">D79</f>
        <v>45474</v>
      </c>
      <c r="E95" s="277" t="n">
        <v>0</v>
      </c>
      <c r="F95" s="277" t="n">
        <v>0</v>
      </c>
      <c r="G95" s="277" t="n">
        <f aca="false">SUM(E95:F95)</f>
        <v>0</v>
      </c>
      <c r="H95" s="204"/>
      <c r="I95" s="279" t="n">
        <v>1</v>
      </c>
      <c r="J95" s="280" t="n">
        <f aca="false">1-I95</f>
        <v>0</v>
      </c>
      <c r="K95" s="277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3"/>
      <c r="Y95" s="284" t="n">
        <f aca="false">IFERROR(L95*$G95*I$9, "")</f>
        <v>0</v>
      </c>
      <c r="Z95" s="284" t="n">
        <f aca="false">IFERROR(M95*$G95*$I95, "")</f>
        <v>0</v>
      </c>
      <c r="AA95" s="284" t="n">
        <f aca="false">IFERROR(N95*$G95*$I95, "")</f>
        <v>0</v>
      </c>
      <c r="AB95" s="284" t="n">
        <f aca="false">IFERROR(O95*$G95*$I95, "")</f>
        <v>0</v>
      </c>
      <c r="AC95" s="284" t="n">
        <f aca="false">IFERROR(P95*$G95*$I95, "")</f>
        <v>0</v>
      </c>
      <c r="AD95" s="284" t="n">
        <f aca="false">IFERROR(Q95*$G95*$I95, "")</f>
        <v>0</v>
      </c>
      <c r="AE95" s="284" t="n">
        <f aca="false">IFERROR(R95*$G95*$I95, "")</f>
        <v>0</v>
      </c>
      <c r="AF95" s="284" t="n">
        <f aca="false">IFERROR(S95*$G95*$I95, "")</f>
        <v>0</v>
      </c>
      <c r="AG95" s="284" t="n">
        <f aca="false">IFERROR(T95*$G95*$I95, "")</f>
        <v>0</v>
      </c>
      <c r="AH95" s="284" t="n">
        <f aca="false">IFERROR(U95*$G95*$I95, "")</f>
        <v>0</v>
      </c>
      <c r="AI95" s="284" t="n">
        <f aca="false">IFERROR(V95*$G95*$I95, "")</f>
        <v>0</v>
      </c>
      <c r="AJ95" s="284" t="n">
        <f aca="false">IFERROR(W95*$G95*$I95, "")</f>
        <v>0</v>
      </c>
      <c r="AK95" s="286" t="n">
        <f aca="false">IFERROR(SUMIF($Y$4:$AJ$4, "RDEC", Y95:AJ95), "")</f>
        <v>0</v>
      </c>
      <c r="AL95" s="286" t="n">
        <f aca="false">IFERROR(SUMIF($Y$4:$AJ$4, "SME", Y95:AJ95), "")</f>
        <v>0</v>
      </c>
      <c r="AM95" s="286" t="n">
        <f aca="false">IFERROR(SUMIF($Y$4:$AJ$4, "De Minimis", Y95:AJ95), "")</f>
        <v>0</v>
      </c>
      <c r="AN95" s="283"/>
      <c r="AO95" s="284" t="n">
        <f aca="false">IFERROR($G95*$J95*L95, "")</f>
        <v>0</v>
      </c>
      <c r="AP95" s="284" t="n">
        <f aca="false">IFERROR($G95*$J95*M95, "")</f>
        <v>0</v>
      </c>
      <c r="AQ95" s="284" t="n">
        <f aca="false">IFERROR($G95*$J95*N95, "")</f>
        <v>0</v>
      </c>
      <c r="AR95" s="284" t="n">
        <f aca="false">IFERROR($G95*$J95*O95, "")</f>
        <v>0</v>
      </c>
      <c r="AS95" s="284" t="n">
        <f aca="false">IFERROR($G95*$J95*P95, "")</f>
        <v>0</v>
      </c>
      <c r="AT95" s="284" t="n">
        <f aca="false">IFERROR($G95*$J95*Q95, "")</f>
        <v>0</v>
      </c>
      <c r="AU95" s="284" t="n">
        <f aca="false">IFERROR($G95*$J95*R95, "")</f>
        <v>0</v>
      </c>
      <c r="AV95" s="284" t="n">
        <f aca="false">IFERROR($G95*$J95*S95, "")</f>
        <v>0</v>
      </c>
      <c r="AW95" s="284" t="n">
        <f aca="false">IFERROR($G95*$J95*T95, "")</f>
        <v>0</v>
      </c>
      <c r="AX95" s="284" t="n">
        <f aca="false">IFERROR($G95*$J95*U95, "")</f>
        <v>0</v>
      </c>
      <c r="AY95" s="284" t="n">
        <f aca="false">IFERROR($G95*$J95*V95, "")</f>
        <v>0</v>
      </c>
      <c r="AZ95" s="284" t="n">
        <f aca="false">IFERROR($G95*$J95*W95, "")</f>
        <v>0</v>
      </c>
      <c r="BA95" s="286" t="n">
        <f aca="false">IFERROR(SUMIF($AO$4:$AZ$4, "RDEC", AO95:AZ95), "")</f>
        <v>0</v>
      </c>
      <c r="BB95" s="286" t="n">
        <f aca="false">IFERROR(SUMIF($AO$4:$AZ$4, "SME", AO95:AZ95), "")</f>
        <v>0</v>
      </c>
      <c r="BC95" s="286" t="n">
        <f aca="false">IFERROR(SUMIF($Y$4:$AJ$4, "De Minimis", AO95:AZ95), "")</f>
        <v>0</v>
      </c>
      <c r="BD95" s="287"/>
      <c r="BE95" s="288" t="str">
        <f aca="false">IF((SUM(L95:W95)&gt;1),"ERROR","")</f>
        <v/>
      </c>
    </row>
    <row r="96" customFormat="false" ht="15" hidden="false" customHeight="true" outlineLevel="0" collapsed="false">
      <c r="B96" s="333"/>
      <c r="C96" s="334"/>
      <c r="D96" s="333" t="n">
        <f aca="false">D80</f>
        <v>45505</v>
      </c>
      <c r="E96" s="277" t="n">
        <v>0</v>
      </c>
      <c r="F96" s="277" t="n">
        <v>0</v>
      </c>
      <c r="G96" s="277" t="n">
        <f aca="false">SUM(E96:F96)</f>
        <v>0</v>
      </c>
      <c r="H96" s="204"/>
      <c r="I96" s="279" t="n">
        <v>1</v>
      </c>
      <c r="J96" s="280" t="n">
        <f aca="false">1-I96</f>
        <v>0</v>
      </c>
      <c r="K96" s="277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3"/>
      <c r="Y96" s="284" t="n">
        <f aca="false">IFERROR(L96*$G96*I$9, "")</f>
        <v>0</v>
      </c>
      <c r="Z96" s="284" t="n">
        <f aca="false">IFERROR(M96*$G96*$I96, "")</f>
        <v>0</v>
      </c>
      <c r="AA96" s="284" t="n">
        <f aca="false">IFERROR(N96*$G96*$I96, "")</f>
        <v>0</v>
      </c>
      <c r="AB96" s="284" t="n">
        <f aca="false">IFERROR(O96*$G96*$I96, "")</f>
        <v>0</v>
      </c>
      <c r="AC96" s="284" t="n">
        <f aca="false">IFERROR(P96*$G96*$I96, "")</f>
        <v>0</v>
      </c>
      <c r="AD96" s="284" t="n">
        <f aca="false">IFERROR(Q96*$G96*$I96, "")</f>
        <v>0</v>
      </c>
      <c r="AE96" s="284" t="n">
        <f aca="false">IFERROR(R96*$G96*$I96, "")</f>
        <v>0</v>
      </c>
      <c r="AF96" s="284" t="n">
        <f aca="false">IFERROR(S96*$G96*$I96, "")</f>
        <v>0</v>
      </c>
      <c r="AG96" s="284" t="n">
        <f aca="false">IFERROR(T96*$G96*$I96, "")</f>
        <v>0</v>
      </c>
      <c r="AH96" s="284" t="n">
        <f aca="false">IFERROR(U96*$G96*$I96, "")</f>
        <v>0</v>
      </c>
      <c r="AI96" s="284" t="n">
        <f aca="false">IFERROR(V96*$G96*$I96, "")</f>
        <v>0</v>
      </c>
      <c r="AJ96" s="284" t="n">
        <f aca="false">IFERROR(W96*$G96*$I96, "")</f>
        <v>0</v>
      </c>
      <c r="AK96" s="286" t="n">
        <f aca="false">IFERROR(SUMIF($Y$4:$AJ$4, "RDEC", Y96:AJ96), "")</f>
        <v>0</v>
      </c>
      <c r="AL96" s="286" t="n">
        <f aca="false">IFERROR(SUMIF($Y$4:$AJ$4, "SME", Y96:AJ96), "")</f>
        <v>0</v>
      </c>
      <c r="AM96" s="286" t="n">
        <f aca="false">IFERROR(SUMIF($Y$4:$AJ$4, "De Minimis", Y96:AJ96), "")</f>
        <v>0</v>
      </c>
      <c r="AN96" s="283"/>
      <c r="AO96" s="284" t="n">
        <f aca="false">IFERROR($G96*$J96*L96, "")</f>
        <v>0</v>
      </c>
      <c r="AP96" s="284" t="n">
        <f aca="false">IFERROR($G96*$J96*M96, "")</f>
        <v>0</v>
      </c>
      <c r="AQ96" s="284" t="n">
        <f aca="false">IFERROR($G96*$J96*N96, "")</f>
        <v>0</v>
      </c>
      <c r="AR96" s="284" t="n">
        <f aca="false">IFERROR($G96*$J96*O96, "")</f>
        <v>0</v>
      </c>
      <c r="AS96" s="284" t="n">
        <f aca="false">IFERROR($G96*$J96*P96, "")</f>
        <v>0</v>
      </c>
      <c r="AT96" s="284" t="n">
        <f aca="false">IFERROR($G96*$J96*Q96, "")</f>
        <v>0</v>
      </c>
      <c r="AU96" s="284" t="n">
        <f aca="false">IFERROR($G96*$J96*R96, "")</f>
        <v>0</v>
      </c>
      <c r="AV96" s="284" t="n">
        <f aca="false">IFERROR($G96*$J96*S96, "")</f>
        <v>0</v>
      </c>
      <c r="AW96" s="284" t="n">
        <f aca="false">IFERROR($G96*$J96*T96, "")</f>
        <v>0</v>
      </c>
      <c r="AX96" s="284" t="n">
        <f aca="false">IFERROR($G96*$J96*U96, "")</f>
        <v>0</v>
      </c>
      <c r="AY96" s="284" t="n">
        <f aca="false">IFERROR($G96*$J96*V96, "")</f>
        <v>0</v>
      </c>
      <c r="AZ96" s="284" t="n">
        <f aca="false">IFERROR($G96*$J96*W96, "")</f>
        <v>0</v>
      </c>
      <c r="BA96" s="286" t="n">
        <f aca="false">IFERROR(SUMIF($AO$4:$AZ$4, "RDEC", AO96:AZ96), "")</f>
        <v>0</v>
      </c>
      <c r="BB96" s="286" t="n">
        <f aca="false">IFERROR(SUMIF($AO$4:$AZ$4, "SME", AO96:AZ96), "")</f>
        <v>0</v>
      </c>
      <c r="BC96" s="286" t="n">
        <f aca="false">IFERROR(SUMIF($Y$4:$AJ$4, "De Minimis", AO96:AZ96), "")</f>
        <v>0</v>
      </c>
      <c r="BD96" s="287"/>
      <c r="BE96" s="288" t="str">
        <f aca="false">IF((SUM(L96:W96)&gt;1),"ERROR","")</f>
        <v/>
      </c>
    </row>
    <row r="97" customFormat="false" ht="15" hidden="false" customHeight="true" outlineLevel="0" collapsed="false">
      <c r="B97" s="333"/>
      <c r="C97" s="334"/>
      <c r="D97" s="333" t="n">
        <f aca="false">D81</f>
        <v>45536</v>
      </c>
      <c r="E97" s="277" t="n">
        <v>0</v>
      </c>
      <c r="F97" s="277" t="n">
        <v>0</v>
      </c>
      <c r="G97" s="277" t="n">
        <f aca="false">SUM(E97:F97)</f>
        <v>0</v>
      </c>
      <c r="H97" s="204"/>
      <c r="I97" s="279" t="n">
        <v>1</v>
      </c>
      <c r="J97" s="280" t="n">
        <f aca="false">1-I97</f>
        <v>0</v>
      </c>
      <c r="K97" s="277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3"/>
      <c r="Y97" s="284" t="n">
        <f aca="false">IFERROR(L97*$G97*I$9, "")</f>
        <v>0</v>
      </c>
      <c r="Z97" s="284" t="n">
        <f aca="false">IFERROR(M97*$G97*$I97, "")</f>
        <v>0</v>
      </c>
      <c r="AA97" s="284" t="n">
        <f aca="false">IFERROR(N97*$G97*$I97, "")</f>
        <v>0</v>
      </c>
      <c r="AB97" s="284" t="n">
        <f aca="false">IFERROR(O97*$G97*$I97, "")</f>
        <v>0</v>
      </c>
      <c r="AC97" s="284" t="n">
        <f aca="false">IFERROR(P97*$G97*$I97, "")</f>
        <v>0</v>
      </c>
      <c r="AD97" s="284" t="n">
        <f aca="false">IFERROR(Q97*$G97*$I97, "")</f>
        <v>0</v>
      </c>
      <c r="AE97" s="284" t="n">
        <f aca="false">IFERROR(R97*$G97*$I97, "")</f>
        <v>0</v>
      </c>
      <c r="AF97" s="284" t="n">
        <f aca="false">IFERROR(S97*$G97*$I97, "")</f>
        <v>0</v>
      </c>
      <c r="AG97" s="284" t="n">
        <f aca="false">IFERROR(T97*$G97*$I97, "")</f>
        <v>0</v>
      </c>
      <c r="AH97" s="284" t="n">
        <f aca="false">IFERROR(U97*$G97*$I97, "")</f>
        <v>0</v>
      </c>
      <c r="AI97" s="284" t="n">
        <f aca="false">IFERROR(V97*$G97*$I97, "")</f>
        <v>0</v>
      </c>
      <c r="AJ97" s="284" t="n">
        <f aca="false">IFERROR(W97*$G97*$I97, "")</f>
        <v>0</v>
      </c>
      <c r="AK97" s="286" t="n">
        <f aca="false">IFERROR(SUMIF($Y$4:$AJ$4, "RDEC", Y97:AJ97), "")</f>
        <v>0</v>
      </c>
      <c r="AL97" s="286" t="n">
        <f aca="false">IFERROR(SUMIF($Y$4:$AJ$4, "SME", Y97:AJ97), "")</f>
        <v>0</v>
      </c>
      <c r="AM97" s="286" t="n">
        <f aca="false">IFERROR(SUMIF($Y$4:$AJ$4, "De Minimis", Y97:AJ97), "")</f>
        <v>0</v>
      </c>
      <c r="AN97" s="283"/>
      <c r="AO97" s="284" t="n">
        <f aca="false">IFERROR($G97*$J97*L97, "")</f>
        <v>0</v>
      </c>
      <c r="AP97" s="284" t="n">
        <f aca="false">IFERROR($G97*$J97*M97, "")</f>
        <v>0</v>
      </c>
      <c r="AQ97" s="284" t="n">
        <f aca="false">IFERROR($G97*$J97*N97, "")</f>
        <v>0</v>
      </c>
      <c r="AR97" s="284" t="n">
        <f aca="false">IFERROR($G97*$J97*O97, "")</f>
        <v>0</v>
      </c>
      <c r="AS97" s="284" t="n">
        <f aca="false">IFERROR($G97*$J97*P97, "")</f>
        <v>0</v>
      </c>
      <c r="AT97" s="284" t="n">
        <f aca="false">IFERROR($G97*$J97*Q97, "")</f>
        <v>0</v>
      </c>
      <c r="AU97" s="284" t="n">
        <f aca="false">IFERROR($G97*$J97*R97, "")</f>
        <v>0</v>
      </c>
      <c r="AV97" s="284" t="n">
        <f aca="false">IFERROR($G97*$J97*S97, "")</f>
        <v>0</v>
      </c>
      <c r="AW97" s="284" t="n">
        <f aca="false">IFERROR($G97*$J97*T97, "")</f>
        <v>0</v>
      </c>
      <c r="AX97" s="284" t="n">
        <f aca="false">IFERROR($G97*$J97*U97, "")</f>
        <v>0</v>
      </c>
      <c r="AY97" s="284" t="n">
        <f aca="false">IFERROR($G97*$J97*V97, "")</f>
        <v>0</v>
      </c>
      <c r="AZ97" s="284" t="n">
        <f aca="false">IFERROR($G97*$J97*W97, "")</f>
        <v>0</v>
      </c>
      <c r="BA97" s="286" t="n">
        <f aca="false">IFERROR(SUMIF($AO$4:$AZ$4, "RDEC", AO97:AZ97), "")</f>
        <v>0</v>
      </c>
      <c r="BB97" s="286" t="n">
        <f aca="false">IFERROR(SUMIF($AO$4:$AZ$4, "SME", AO97:AZ97), "")</f>
        <v>0</v>
      </c>
      <c r="BC97" s="286" t="n">
        <f aca="false">IFERROR(SUMIF($Y$4:$AJ$4, "De Minimis", AO97:AZ97), "")</f>
        <v>0</v>
      </c>
      <c r="BD97" s="287"/>
      <c r="BE97" s="288" t="str">
        <f aca="false">IF((SUM(L97:W97)&gt;1),"ERROR","")</f>
        <v/>
      </c>
    </row>
    <row r="98" customFormat="false" ht="15" hidden="false" customHeight="true" outlineLevel="0" collapsed="false">
      <c r="B98" s="333"/>
      <c r="C98" s="334"/>
      <c r="D98" s="333" t="n">
        <f aca="false">D82</f>
        <v>45566</v>
      </c>
      <c r="E98" s="277" t="n">
        <v>0</v>
      </c>
      <c r="F98" s="277" t="n">
        <v>0</v>
      </c>
      <c r="G98" s="277" t="n">
        <f aca="false">SUM(E98:F98)</f>
        <v>0</v>
      </c>
      <c r="H98" s="204"/>
      <c r="I98" s="279" t="n">
        <v>1</v>
      </c>
      <c r="J98" s="280" t="n">
        <f aca="false">1-I98</f>
        <v>0</v>
      </c>
      <c r="K98" s="277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3"/>
      <c r="Y98" s="284" t="n">
        <f aca="false">IFERROR(L98*$G98*I$9, "")</f>
        <v>0</v>
      </c>
      <c r="Z98" s="284" t="n">
        <f aca="false">IFERROR(M98*$G98*$I98, "")</f>
        <v>0</v>
      </c>
      <c r="AA98" s="284" t="n">
        <f aca="false">IFERROR(N98*$G98*$I98, "")</f>
        <v>0</v>
      </c>
      <c r="AB98" s="284" t="n">
        <f aca="false">IFERROR(O98*$G98*$I98, "")</f>
        <v>0</v>
      </c>
      <c r="AC98" s="284" t="n">
        <f aca="false">IFERROR(P98*$G98*$I98, "")</f>
        <v>0</v>
      </c>
      <c r="AD98" s="284" t="n">
        <f aca="false">IFERROR(Q98*$G98*$I98, "")</f>
        <v>0</v>
      </c>
      <c r="AE98" s="284" t="n">
        <f aca="false">IFERROR(R98*$G98*$I98, "")</f>
        <v>0</v>
      </c>
      <c r="AF98" s="284" t="n">
        <f aca="false">IFERROR(S98*$G98*$I98, "")</f>
        <v>0</v>
      </c>
      <c r="AG98" s="284" t="n">
        <f aca="false">IFERROR(T98*$G98*$I98, "")</f>
        <v>0</v>
      </c>
      <c r="AH98" s="284" t="n">
        <f aca="false">IFERROR(U98*$G98*$I98, "")</f>
        <v>0</v>
      </c>
      <c r="AI98" s="284" t="n">
        <f aca="false">IFERROR(V98*$G98*$I98, "")</f>
        <v>0</v>
      </c>
      <c r="AJ98" s="284" t="n">
        <f aca="false">IFERROR(W98*$G98*$I98, "")</f>
        <v>0</v>
      </c>
      <c r="AK98" s="286" t="n">
        <f aca="false">IFERROR(SUMIF($Y$4:$AJ$4, "RDEC", Y98:AJ98), "")</f>
        <v>0</v>
      </c>
      <c r="AL98" s="286" t="n">
        <f aca="false">IFERROR(SUMIF($Y$4:$AJ$4, "SME", Y98:AJ98), "")</f>
        <v>0</v>
      </c>
      <c r="AM98" s="286" t="n">
        <f aca="false">IFERROR(SUMIF($Y$4:$AJ$4, "De Minimis", Y98:AJ98), "")</f>
        <v>0</v>
      </c>
      <c r="AN98" s="283"/>
      <c r="AO98" s="284" t="n">
        <f aca="false">IFERROR($G98*$J98*L98, "")</f>
        <v>0</v>
      </c>
      <c r="AP98" s="284" t="n">
        <f aca="false">IFERROR($G98*$J98*M98, "")</f>
        <v>0</v>
      </c>
      <c r="AQ98" s="284" t="n">
        <f aca="false">IFERROR($G98*$J98*N98, "")</f>
        <v>0</v>
      </c>
      <c r="AR98" s="284" t="n">
        <f aca="false">IFERROR($G98*$J98*O98, "")</f>
        <v>0</v>
      </c>
      <c r="AS98" s="284" t="n">
        <f aca="false">IFERROR($G98*$J98*P98, "")</f>
        <v>0</v>
      </c>
      <c r="AT98" s="284" t="n">
        <f aca="false">IFERROR($G98*$J98*Q98, "")</f>
        <v>0</v>
      </c>
      <c r="AU98" s="284" t="n">
        <f aca="false">IFERROR($G98*$J98*R98, "")</f>
        <v>0</v>
      </c>
      <c r="AV98" s="284" t="n">
        <f aca="false">IFERROR($G98*$J98*S98, "")</f>
        <v>0</v>
      </c>
      <c r="AW98" s="284" t="n">
        <f aca="false">IFERROR($G98*$J98*T98, "")</f>
        <v>0</v>
      </c>
      <c r="AX98" s="284" t="n">
        <f aca="false">IFERROR($G98*$J98*U98, "")</f>
        <v>0</v>
      </c>
      <c r="AY98" s="284" t="n">
        <f aca="false">IFERROR($G98*$J98*V98, "")</f>
        <v>0</v>
      </c>
      <c r="AZ98" s="284" t="n">
        <f aca="false">IFERROR($G98*$J98*W98, "")</f>
        <v>0</v>
      </c>
      <c r="BA98" s="286" t="n">
        <f aca="false">IFERROR(SUMIF($AO$4:$AZ$4, "RDEC", AO98:AZ98), "")</f>
        <v>0</v>
      </c>
      <c r="BB98" s="286" t="n">
        <f aca="false">IFERROR(SUMIF($AO$4:$AZ$4, "SME", AO98:AZ98), "")</f>
        <v>0</v>
      </c>
      <c r="BC98" s="286" t="n">
        <f aca="false">IFERROR(SUMIF($Y$4:$AJ$4, "De Minimis", AO98:AZ98), "")</f>
        <v>0</v>
      </c>
      <c r="BD98" s="287"/>
      <c r="BE98" s="288" t="str">
        <f aca="false">IF((SUM(L98:W98)&gt;1),"ERROR","")</f>
        <v/>
      </c>
    </row>
    <row r="99" customFormat="false" ht="15" hidden="false" customHeight="true" outlineLevel="0" collapsed="false">
      <c r="B99" s="333"/>
      <c r="C99" s="334"/>
      <c r="D99" s="333" t="n">
        <f aca="false">D83</f>
        <v>45597</v>
      </c>
      <c r="E99" s="277" t="n">
        <v>0</v>
      </c>
      <c r="F99" s="277" t="n">
        <v>0</v>
      </c>
      <c r="G99" s="277" t="n">
        <f aca="false">SUM(E99:F99)</f>
        <v>0</v>
      </c>
      <c r="H99" s="204"/>
      <c r="I99" s="279" t="n">
        <v>1</v>
      </c>
      <c r="J99" s="280" t="n">
        <f aca="false">1-I99</f>
        <v>0</v>
      </c>
      <c r="K99" s="277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3"/>
      <c r="Y99" s="284" t="n">
        <f aca="false">IFERROR(L99*$G99*I$9, "")</f>
        <v>0</v>
      </c>
      <c r="Z99" s="284" t="n">
        <f aca="false">IFERROR(M99*$G99*$I99, "")</f>
        <v>0</v>
      </c>
      <c r="AA99" s="284" t="n">
        <f aca="false">IFERROR(N99*$G99*$I99, "")</f>
        <v>0</v>
      </c>
      <c r="AB99" s="284" t="n">
        <f aca="false">IFERROR(O99*$G99*$I99, "")</f>
        <v>0</v>
      </c>
      <c r="AC99" s="284" t="n">
        <f aca="false">IFERROR(P99*$G99*$I99, "")</f>
        <v>0</v>
      </c>
      <c r="AD99" s="284" t="n">
        <f aca="false">IFERROR(Q99*$G99*$I99, "")</f>
        <v>0</v>
      </c>
      <c r="AE99" s="284" t="n">
        <f aca="false">IFERROR(R99*$G99*$I99, "")</f>
        <v>0</v>
      </c>
      <c r="AF99" s="284" t="n">
        <f aca="false">IFERROR(S99*$G99*$I99, "")</f>
        <v>0</v>
      </c>
      <c r="AG99" s="284" t="n">
        <f aca="false">IFERROR(T99*$G99*$I99, "")</f>
        <v>0</v>
      </c>
      <c r="AH99" s="284" t="n">
        <f aca="false">IFERROR(U99*$G99*$I99, "")</f>
        <v>0</v>
      </c>
      <c r="AI99" s="284" t="n">
        <f aca="false">IFERROR(V99*$G99*$I99, "")</f>
        <v>0</v>
      </c>
      <c r="AJ99" s="284" t="n">
        <f aca="false">IFERROR(W99*$G99*$I99, "")</f>
        <v>0</v>
      </c>
      <c r="AK99" s="286" t="n">
        <f aca="false">IFERROR(SUMIF($Y$4:$AJ$4, "RDEC", Y99:AJ99), "")</f>
        <v>0</v>
      </c>
      <c r="AL99" s="286" t="n">
        <f aca="false">IFERROR(SUMIF($Y$4:$AJ$4, "SME", Y99:AJ99), "")</f>
        <v>0</v>
      </c>
      <c r="AM99" s="286" t="n">
        <f aca="false">IFERROR(SUMIF($Y$4:$AJ$4, "De Minimis", Y99:AJ99), "")</f>
        <v>0</v>
      </c>
      <c r="AN99" s="283"/>
      <c r="AO99" s="284" t="n">
        <f aca="false">IFERROR($G99*$J99*L99, "")</f>
        <v>0</v>
      </c>
      <c r="AP99" s="284" t="n">
        <f aca="false">IFERROR($G99*$J99*M99, "")</f>
        <v>0</v>
      </c>
      <c r="AQ99" s="284" t="n">
        <f aca="false">IFERROR($G99*$J99*N99, "")</f>
        <v>0</v>
      </c>
      <c r="AR99" s="284" t="n">
        <f aca="false">IFERROR($G99*$J99*O99, "")</f>
        <v>0</v>
      </c>
      <c r="AS99" s="284" t="n">
        <f aca="false">IFERROR($G99*$J99*P99, "")</f>
        <v>0</v>
      </c>
      <c r="AT99" s="284" t="n">
        <f aca="false">IFERROR($G99*$J99*Q99, "")</f>
        <v>0</v>
      </c>
      <c r="AU99" s="284" t="n">
        <f aca="false">IFERROR($G99*$J99*R99, "")</f>
        <v>0</v>
      </c>
      <c r="AV99" s="284" t="n">
        <f aca="false">IFERROR($G99*$J99*S99, "")</f>
        <v>0</v>
      </c>
      <c r="AW99" s="284" t="n">
        <f aca="false">IFERROR($G99*$J99*T99, "")</f>
        <v>0</v>
      </c>
      <c r="AX99" s="284" t="n">
        <f aca="false">IFERROR($G99*$J99*U99, "")</f>
        <v>0</v>
      </c>
      <c r="AY99" s="284" t="n">
        <f aca="false">IFERROR($G99*$J99*V99, "")</f>
        <v>0</v>
      </c>
      <c r="AZ99" s="284" t="n">
        <f aca="false">IFERROR($G99*$J99*W99, "")</f>
        <v>0</v>
      </c>
      <c r="BA99" s="286" t="n">
        <f aca="false">IFERROR(SUMIF($AO$4:$AZ$4, "RDEC", AO99:AZ99), "")</f>
        <v>0</v>
      </c>
      <c r="BB99" s="286" t="n">
        <f aca="false">IFERROR(SUMIF($AO$4:$AZ$4, "SME", AO99:AZ99), "")</f>
        <v>0</v>
      </c>
      <c r="BC99" s="286" t="n">
        <f aca="false">IFERROR(SUMIF($Y$4:$AJ$4, "De Minimis", AO99:AZ99), "")</f>
        <v>0</v>
      </c>
      <c r="BD99" s="287"/>
      <c r="BE99" s="288" t="str">
        <f aca="false">IF((SUM(L99:W99)&gt;1),"ERROR","")</f>
        <v/>
      </c>
    </row>
    <row r="100" customFormat="false" ht="15" hidden="false" customHeight="true" outlineLevel="0" collapsed="false">
      <c r="B100" s="333"/>
      <c r="C100" s="334"/>
      <c r="D100" s="333" t="n">
        <f aca="false">D84</f>
        <v>45627</v>
      </c>
      <c r="E100" s="277" t="n">
        <v>0</v>
      </c>
      <c r="F100" s="277" t="n">
        <v>0</v>
      </c>
      <c r="G100" s="277" t="n">
        <f aca="false">SUM(E100:F100)</f>
        <v>0</v>
      </c>
      <c r="H100" s="300"/>
      <c r="I100" s="289" t="n">
        <v>1</v>
      </c>
      <c r="J100" s="290" t="n">
        <f aca="false">1-I100</f>
        <v>0</v>
      </c>
      <c r="K100" s="300"/>
      <c r="L100" s="291"/>
      <c r="M100" s="291"/>
      <c r="N100" s="291"/>
      <c r="O100" s="291"/>
      <c r="P100" s="291"/>
      <c r="Q100" s="291"/>
      <c r="R100" s="291"/>
      <c r="S100" s="291"/>
      <c r="T100" s="291"/>
      <c r="U100" s="291"/>
      <c r="V100" s="291"/>
      <c r="W100" s="291"/>
      <c r="X100" s="283"/>
      <c r="Y100" s="284" t="n">
        <f aca="false">IFERROR(L100*$G100*I$9, "")</f>
        <v>0</v>
      </c>
      <c r="Z100" s="284" t="n">
        <f aca="false">IFERROR(M100*$G100*$I100, "")</f>
        <v>0</v>
      </c>
      <c r="AA100" s="284" t="n">
        <f aca="false">IFERROR(N100*$G100*$I100, "")</f>
        <v>0</v>
      </c>
      <c r="AB100" s="284" t="n">
        <f aca="false">IFERROR(O100*$G100*$I100, "")</f>
        <v>0</v>
      </c>
      <c r="AC100" s="284" t="n">
        <f aca="false">IFERROR(P100*$G100*$I100, "")</f>
        <v>0</v>
      </c>
      <c r="AD100" s="284" t="n">
        <f aca="false">IFERROR(Q100*$G100*$I100, "")</f>
        <v>0</v>
      </c>
      <c r="AE100" s="284" t="n">
        <f aca="false">IFERROR(R100*$G100*$I100, "")</f>
        <v>0</v>
      </c>
      <c r="AF100" s="284" t="n">
        <f aca="false">IFERROR(S100*$G100*$I100, "")</f>
        <v>0</v>
      </c>
      <c r="AG100" s="284" t="n">
        <f aca="false">IFERROR(T100*$G100*$I100, "")</f>
        <v>0</v>
      </c>
      <c r="AH100" s="284" t="n">
        <f aca="false">IFERROR(U100*$G100*$I100, "")</f>
        <v>0</v>
      </c>
      <c r="AI100" s="284" t="n">
        <f aca="false">IFERROR(V100*$G100*$I100, "")</f>
        <v>0</v>
      </c>
      <c r="AJ100" s="284" t="n">
        <f aca="false">IFERROR(W100*$G100*$I100, "")</f>
        <v>0</v>
      </c>
      <c r="AK100" s="294" t="n">
        <f aca="false">IFERROR(SUMIF($Y$4:$AJ$4, "RDEC", Y100:AJ100), "")</f>
        <v>0</v>
      </c>
      <c r="AL100" s="294" t="n">
        <f aca="false">IFERROR(SUMIF($Y$4:$AJ$4, "SME", Y100:AJ100), "")</f>
        <v>0</v>
      </c>
      <c r="AM100" s="294" t="n">
        <f aca="false">IFERROR(SUMIF($Y$4:$AJ$4, "De Minimis", Y100:AJ100), "")</f>
        <v>0</v>
      </c>
      <c r="AN100" s="283"/>
      <c r="AO100" s="284" t="n">
        <f aca="false">IFERROR($G100*$J100*L100, "")</f>
        <v>0</v>
      </c>
      <c r="AP100" s="284" t="n">
        <f aca="false">IFERROR($G100*$J100*M100, "")</f>
        <v>0</v>
      </c>
      <c r="AQ100" s="284" t="n">
        <f aca="false">IFERROR($G100*$J100*N100, "")</f>
        <v>0</v>
      </c>
      <c r="AR100" s="284" t="n">
        <f aca="false">IFERROR($G100*$J100*O100, "")</f>
        <v>0</v>
      </c>
      <c r="AS100" s="284" t="n">
        <f aca="false">IFERROR($G100*$J100*P100, "")</f>
        <v>0</v>
      </c>
      <c r="AT100" s="284" t="n">
        <f aca="false">IFERROR($G100*$J100*Q100, "")</f>
        <v>0</v>
      </c>
      <c r="AU100" s="284" t="n">
        <f aca="false">IFERROR($G100*$J100*R100, "")</f>
        <v>0</v>
      </c>
      <c r="AV100" s="284" t="n">
        <f aca="false">IFERROR($G100*$J100*S100, "")</f>
        <v>0</v>
      </c>
      <c r="AW100" s="284" t="n">
        <f aca="false">IFERROR($G100*$J100*T100, "")</f>
        <v>0</v>
      </c>
      <c r="AX100" s="284" t="n">
        <f aca="false">IFERROR($G100*$J100*U100, "")</f>
        <v>0</v>
      </c>
      <c r="AY100" s="284" t="n">
        <f aca="false">IFERROR($G100*$J100*V100, "")</f>
        <v>0</v>
      </c>
      <c r="AZ100" s="284" t="n">
        <f aca="false">IFERROR($G100*$J100*W100, "")</f>
        <v>0</v>
      </c>
      <c r="BA100" s="286" t="n">
        <f aca="false">IFERROR(SUMIF($AO$4:$AZ$4, "RDEC", AO100:AZ100), "")</f>
        <v>0</v>
      </c>
      <c r="BB100" s="286" t="n">
        <f aca="false">IFERROR(SUMIF($AO$4:$AZ$4, "SME", AO100:AZ100), "")</f>
        <v>0</v>
      </c>
      <c r="BC100" s="294" t="n">
        <f aca="false">IFERROR(SUMIF($Y$4:$AJ$4, "De Minimis", AO100:AZ100), "")</f>
        <v>0</v>
      </c>
      <c r="BD100" s="303"/>
      <c r="BE100" s="295" t="str">
        <f aca="false">IF((SUM(L100:W100)&gt;1),"ERROR","")</f>
        <v/>
      </c>
    </row>
    <row r="101" customFormat="false" ht="15" hidden="false" customHeight="true" outlineLevel="0" collapsed="false">
      <c r="B101" s="296"/>
      <c r="D101" s="297" t="s">
        <v>82</v>
      </c>
      <c r="E101" s="299" t="n">
        <f aca="false">SUM(E89:E100)</f>
        <v>0</v>
      </c>
      <c r="F101" s="299" t="n">
        <f aca="false">SUM(F89:F100)</f>
        <v>0</v>
      </c>
      <c r="G101" s="299" t="n">
        <f aca="false">SUM(G89:G100)</f>
        <v>0</v>
      </c>
      <c r="H101" s="300"/>
      <c r="I101" s="301" t="n">
        <f aca="false">AVERAGE(I88:I100)</f>
        <v>1</v>
      </c>
      <c r="J101" s="301" t="n">
        <f aca="false">AVERAGE(J88:J100)</f>
        <v>0</v>
      </c>
      <c r="K101" s="300"/>
      <c r="L101" s="290" t="n">
        <f aca="false">IF(SUM(L89:L100)&gt;0,(Y101/G101),0)</f>
        <v>0</v>
      </c>
      <c r="M101" s="301" t="n">
        <f aca="false">IF(SUM(M89:M100)&gt;0,(Z101/G101),0)</f>
        <v>0</v>
      </c>
      <c r="N101" s="301" t="n">
        <f aca="false">IF(SUM(N89:N100)&gt;0,(AA101/G101),0)</f>
        <v>0</v>
      </c>
      <c r="O101" s="301" t="n">
        <f aca="false">IF(SUM(O89:O100)&gt;0,(AB101/G101),0)</f>
        <v>0</v>
      </c>
      <c r="P101" s="301" t="n">
        <f aca="false">IF(SUM(P89:P100)&gt;0,(AC101/G101),0)</f>
        <v>0</v>
      </c>
      <c r="Q101" s="301" t="n">
        <f aca="false">IF(SUM(Q89:Q100)&gt;0,(AD101/G101),0)</f>
        <v>0</v>
      </c>
      <c r="R101" s="301" t="n">
        <f aca="false">IF(SUM(R89:R100)&gt;0,(AE101/G101),0)</f>
        <v>0</v>
      </c>
      <c r="S101" s="301" t="n">
        <f aca="false">IF(SUM(S89:S100)&gt;0,(AF101/G101),0)</f>
        <v>0</v>
      </c>
      <c r="T101" s="301" t="n">
        <f aca="false">IF(SUM(T89:T100)&gt;0,(AG101/G101),0)</f>
        <v>0</v>
      </c>
      <c r="U101" s="301" t="n">
        <f aca="false">IF(SUM(U89:U100)&gt;0,(AJ101/G101),0)</f>
        <v>0</v>
      </c>
      <c r="V101" s="301" t="n">
        <f aca="false">IF(SUM(V89:V100)&gt;0,(AI101/G101),0)</f>
        <v>0</v>
      </c>
      <c r="W101" s="301" t="n">
        <f aca="false">IF(SUM(W89:W100)&gt;0,(AJ101/G101),0)</f>
        <v>0</v>
      </c>
      <c r="X101" s="283"/>
      <c r="Y101" s="304" t="n">
        <f aca="false">SUM(Y89:Y100)</f>
        <v>0</v>
      </c>
      <c r="Z101" s="304" t="n">
        <f aca="false">SUM(Z89:Z100)</f>
        <v>0</v>
      </c>
      <c r="AA101" s="304" t="n">
        <f aca="false">SUM(AA89:AA100)</f>
        <v>0</v>
      </c>
      <c r="AB101" s="304" t="n">
        <f aca="false">SUM(AB89:AB100)</f>
        <v>0</v>
      </c>
      <c r="AC101" s="304" t="n">
        <f aca="false">SUM(AC89:AC100)</f>
        <v>0</v>
      </c>
      <c r="AD101" s="304" t="n">
        <f aca="false">SUM(AD89:AD100)</f>
        <v>0</v>
      </c>
      <c r="AE101" s="304" t="n">
        <f aca="false">SUM(AE89:AE100)</f>
        <v>0</v>
      </c>
      <c r="AF101" s="304" t="n">
        <f aca="false">SUM(AF89:AF100)</f>
        <v>0</v>
      </c>
      <c r="AG101" s="304" t="n">
        <f aca="false">SUM(AG89:AG100)</f>
        <v>0</v>
      </c>
      <c r="AH101" s="304" t="n">
        <f aca="false">SUM(AH89:AH100)</f>
        <v>0</v>
      </c>
      <c r="AI101" s="304" t="n">
        <f aca="false">SUM(AI89:AI100)</f>
        <v>0</v>
      </c>
      <c r="AJ101" s="304" t="n">
        <f aca="false">SUM(AJ89:AJ100)</f>
        <v>0</v>
      </c>
      <c r="AK101" s="335" t="n">
        <f aca="false">SUM(AK89:AK100)</f>
        <v>0</v>
      </c>
      <c r="AL101" s="336" t="n">
        <f aca="false">SUM(AL89:AL100)</f>
        <v>0</v>
      </c>
      <c r="AM101" s="305" t="n">
        <f aca="false">SUM(AM89:AM100)</f>
        <v>0</v>
      </c>
      <c r="AN101" s="283"/>
      <c r="AO101" s="304" t="n">
        <f aca="false">SUM(AO89:AO100)</f>
        <v>0</v>
      </c>
      <c r="AP101" s="304" t="n">
        <f aca="false">SUM(AP89:AP100)</f>
        <v>0</v>
      </c>
      <c r="AQ101" s="304" t="n">
        <f aca="false">SUM(AQ89:AQ100)</f>
        <v>0</v>
      </c>
      <c r="AR101" s="304" t="n">
        <f aca="false">SUM(AR89:AR100)</f>
        <v>0</v>
      </c>
      <c r="AS101" s="304" t="n">
        <f aca="false">SUM(AS89:AS100)</f>
        <v>0</v>
      </c>
      <c r="AT101" s="304" t="n">
        <f aca="false">SUM(AT89:AT100)</f>
        <v>0</v>
      </c>
      <c r="AU101" s="304" t="n">
        <f aca="false">SUM(AU89:AU100)</f>
        <v>0</v>
      </c>
      <c r="AV101" s="304" t="n">
        <f aca="false">SUM(AV89:AV100)</f>
        <v>0</v>
      </c>
      <c r="AW101" s="304" t="n">
        <f aca="false">SUM(AW89:AW100)</f>
        <v>0</v>
      </c>
      <c r="AX101" s="304" t="n">
        <f aca="false">SUM(AX89:AX100)</f>
        <v>0</v>
      </c>
      <c r="AY101" s="304" t="n">
        <f aca="false">SUM(AY89:AY100)</f>
        <v>0</v>
      </c>
      <c r="AZ101" s="304" t="n">
        <f aca="false">SUM(AZ89:AZ100)</f>
        <v>0</v>
      </c>
      <c r="BA101" s="336" t="n">
        <f aca="false">SUM(BA89:BA100)</f>
        <v>0</v>
      </c>
      <c r="BB101" s="336" t="n">
        <f aca="false">SUM(BB89:BB100)</f>
        <v>0</v>
      </c>
      <c r="BC101" s="305" t="n">
        <f aca="false">SUM(BC89:BC100)</f>
        <v>0</v>
      </c>
      <c r="BD101" s="303"/>
      <c r="BE101" s="337"/>
    </row>
    <row r="102" customFormat="false" ht="15" hidden="false" customHeight="true" outlineLevel="0" collapsed="false">
      <c r="B102" s="296"/>
      <c r="D102" s="297"/>
      <c r="E102" s="300"/>
      <c r="F102" s="300"/>
      <c r="G102" s="300"/>
      <c r="H102" s="241"/>
      <c r="I102" s="302"/>
      <c r="J102" s="302"/>
      <c r="K102" s="241"/>
      <c r="L102" s="259"/>
      <c r="M102" s="259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303"/>
      <c r="Y102" s="259"/>
      <c r="Z102" s="303"/>
      <c r="AA102" s="303"/>
      <c r="AB102" s="303"/>
      <c r="AC102" s="303"/>
      <c r="AD102" s="303"/>
      <c r="AE102" s="303"/>
      <c r="AF102" s="303"/>
      <c r="AG102" s="303"/>
      <c r="AH102" s="303"/>
      <c r="AI102" s="303"/>
      <c r="AJ102" s="303"/>
      <c r="AK102" s="303"/>
      <c r="AL102" s="303"/>
      <c r="AM102" s="303"/>
      <c r="AN102" s="303"/>
      <c r="AO102" s="259"/>
      <c r="AP102" s="303"/>
      <c r="AQ102" s="303"/>
      <c r="AR102" s="303"/>
      <c r="AS102" s="303"/>
      <c r="AT102" s="303"/>
      <c r="AU102" s="303"/>
      <c r="AV102" s="303"/>
      <c r="AW102" s="303"/>
      <c r="AX102" s="303"/>
      <c r="AY102" s="303"/>
      <c r="AZ102" s="303"/>
      <c r="BA102" s="303"/>
      <c r="BB102" s="303"/>
      <c r="BC102" s="303"/>
      <c r="BD102" s="268"/>
      <c r="BE102" s="303"/>
    </row>
    <row r="103" customFormat="false" ht="15" hidden="false" customHeight="true" outlineLevel="0" collapsed="false">
      <c r="A103" s="198" t="n">
        <f aca="false">A87+1</f>
        <v>7</v>
      </c>
      <c r="B103" s="266" t="s">
        <v>253</v>
      </c>
      <c r="C103" s="266" t="s">
        <v>253</v>
      </c>
      <c r="D103" s="266"/>
      <c r="E103" s="241"/>
      <c r="F103" s="241"/>
      <c r="G103" s="241"/>
      <c r="H103" s="241"/>
      <c r="I103" s="241"/>
      <c r="J103" s="241"/>
      <c r="K103" s="277"/>
      <c r="L103" s="241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59"/>
      <c r="Y103" s="268"/>
      <c r="Z103" s="268"/>
      <c r="AA103" s="268"/>
      <c r="AB103" s="268"/>
      <c r="AC103" s="268"/>
      <c r="AD103" s="268"/>
      <c r="AE103" s="268"/>
      <c r="AF103" s="268"/>
      <c r="AG103" s="268"/>
      <c r="AH103" s="268"/>
      <c r="AI103" s="268"/>
      <c r="AJ103" s="268"/>
      <c r="AK103" s="268"/>
      <c r="AL103" s="268"/>
      <c r="AM103" s="268"/>
      <c r="AN103" s="259"/>
      <c r="AO103" s="268"/>
      <c r="AP103" s="268"/>
      <c r="AQ103" s="268"/>
      <c r="AR103" s="268"/>
      <c r="AS103" s="268"/>
      <c r="AT103" s="268"/>
      <c r="AU103" s="268"/>
      <c r="AV103" s="268"/>
      <c r="AW103" s="268"/>
      <c r="AX103" s="268"/>
      <c r="AY103" s="268"/>
      <c r="AZ103" s="268"/>
      <c r="BA103" s="268"/>
      <c r="BB103" s="268"/>
      <c r="BC103" s="268"/>
      <c r="BD103" s="287"/>
      <c r="BE103" s="268"/>
    </row>
    <row r="104" customFormat="false" ht="7.5" hidden="false" customHeight="true" outlineLevel="0" collapsed="false">
      <c r="A104" s="198"/>
      <c r="B104" s="266"/>
      <c r="C104" s="266"/>
      <c r="D104" s="266"/>
      <c r="E104" s="241"/>
      <c r="F104" s="241"/>
      <c r="G104" s="241"/>
      <c r="H104" s="204"/>
      <c r="I104" s="269"/>
      <c r="J104" s="269"/>
      <c r="K104" s="277"/>
      <c r="L104" s="269"/>
      <c r="M104" s="269"/>
      <c r="N104" s="269"/>
      <c r="O104" s="269"/>
      <c r="P104" s="269"/>
      <c r="Q104" s="269"/>
      <c r="R104" s="269"/>
      <c r="S104" s="269"/>
      <c r="T104" s="269"/>
      <c r="U104" s="269"/>
      <c r="V104" s="269"/>
      <c r="W104" s="269"/>
      <c r="X104" s="259"/>
      <c r="Y104" s="271"/>
      <c r="Z104" s="271"/>
      <c r="AA104" s="271"/>
      <c r="AB104" s="271"/>
      <c r="AC104" s="271"/>
      <c r="AD104" s="271"/>
      <c r="AE104" s="271"/>
      <c r="AF104" s="271"/>
      <c r="AG104" s="271"/>
      <c r="AH104" s="271"/>
      <c r="AI104" s="271"/>
      <c r="AJ104" s="272"/>
      <c r="AK104" s="273"/>
      <c r="AL104" s="273"/>
      <c r="AM104" s="273"/>
      <c r="AN104" s="259"/>
      <c r="AO104" s="271"/>
      <c r="AP104" s="271"/>
      <c r="AQ104" s="271"/>
      <c r="AR104" s="271"/>
      <c r="AS104" s="271"/>
      <c r="AT104" s="271"/>
      <c r="AU104" s="271"/>
      <c r="AV104" s="271"/>
      <c r="AW104" s="271"/>
      <c r="AX104" s="271"/>
      <c r="AY104" s="271"/>
      <c r="AZ104" s="272"/>
      <c r="BA104" s="273"/>
      <c r="BB104" s="273"/>
      <c r="BC104" s="273"/>
      <c r="BD104" s="287"/>
      <c r="BE104" s="274"/>
    </row>
    <row r="105" customFormat="false" ht="15" hidden="false" customHeight="true" outlineLevel="0" collapsed="false">
      <c r="B105" s="333"/>
      <c r="C105" s="334"/>
      <c r="D105" s="333" t="n">
        <f aca="false">D89</f>
        <v>45292</v>
      </c>
      <c r="E105" s="277" t="n">
        <v>0</v>
      </c>
      <c r="F105" s="277" t="n">
        <v>0</v>
      </c>
      <c r="G105" s="277" t="n">
        <f aca="false">SUM(E105:F105)</f>
        <v>0</v>
      </c>
      <c r="H105" s="204"/>
      <c r="I105" s="279" t="n">
        <v>1</v>
      </c>
      <c r="J105" s="280" t="n">
        <f aca="false">1-I105</f>
        <v>0</v>
      </c>
      <c r="K105" s="277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68"/>
      <c r="Y105" s="284" t="n">
        <f aca="false">IFERROR(L105*$G105*I$9, "")</f>
        <v>0</v>
      </c>
      <c r="Z105" s="284" t="n">
        <f aca="false">IFERROR(M105*$G105*$I105, "")</f>
        <v>0</v>
      </c>
      <c r="AA105" s="284" t="n">
        <f aca="false">IFERROR(N105*$G105*$I105, "")</f>
        <v>0</v>
      </c>
      <c r="AB105" s="284" t="n">
        <f aca="false">IFERROR(O105*$G105*$I105, "")</f>
        <v>0</v>
      </c>
      <c r="AC105" s="284" t="n">
        <f aca="false">IFERROR(P105*$G105*$I105, "")</f>
        <v>0</v>
      </c>
      <c r="AD105" s="284" t="n">
        <f aca="false">IFERROR(Q105*$G105*$I105, "")</f>
        <v>0</v>
      </c>
      <c r="AE105" s="284" t="n">
        <f aca="false">IFERROR(R105*$G105*$I105, "")</f>
        <v>0</v>
      </c>
      <c r="AF105" s="284" t="n">
        <f aca="false">IFERROR(S105*$G105*$I105, "")</f>
        <v>0</v>
      </c>
      <c r="AG105" s="284" t="n">
        <f aca="false">IFERROR(T105*$G105*$I105, "")</f>
        <v>0</v>
      </c>
      <c r="AH105" s="284" t="n">
        <f aca="false">IFERROR(U105*$G105*$I105, "")</f>
        <v>0</v>
      </c>
      <c r="AI105" s="284" t="n">
        <f aca="false">IFERROR(V105*$G105*$I105, "")</f>
        <v>0</v>
      </c>
      <c r="AJ105" s="284" t="n">
        <f aca="false">IFERROR(W105*$G105*$I105, "")</f>
        <v>0</v>
      </c>
      <c r="AK105" s="286" t="n">
        <f aca="false">IFERROR(SUMIF($Y$4:$AJ$4, "RDEC", Y105:AJ105), "")</f>
        <v>0</v>
      </c>
      <c r="AL105" s="286" t="n">
        <f aca="false">IFERROR(SUMIF($Y$4:$AJ$4, "SME", Y105:AJ105), "")</f>
        <v>0</v>
      </c>
      <c r="AM105" s="286" t="n">
        <f aca="false">IFERROR(SUMIF($Y$4:$AJ$4, "De Minimis", Y105:AJ105), "")</f>
        <v>0</v>
      </c>
      <c r="AN105" s="268"/>
      <c r="AO105" s="284" t="n">
        <f aca="false">IFERROR($G105*$J105*L105, "")</f>
        <v>0</v>
      </c>
      <c r="AP105" s="284" t="n">
        <f aca="false">IFERROR($G105*$J105*M105, "")</f>
        <v>0</v>
      </c>
      <c r="AQ105" s="284" t="n">
        <f aca="false">IFERROR($G105*$J105*N105, "")</f>
        <v>0</v>
      </c>
      <c r="AR105" s="284" t="n">
        <f aca="false">IFERROR($G105*$J105*O105, "")</f>
        <v>0</v>
      </c>
      <c r="AS105" s="284" t="n">
        <f aca="false">IFERROR($G105*$J105*P105, "")</f>
        <v>0</v>
      </c>
      <c r="AT105" s="284" t="n">
        <f aca="false">IFERROR($G105*$J105*Q105, "")</f>
        <v>0</v>
      </c>
      <c r="AU105" s="284" t="n">
        <f aca="false">IFERROR($G105*$J105*R105, "")</f>
        <v>0</v>
      </c>
      <c r="AV105" s="284" t="n">
        <f aca="false">IFERROR($G105*$J105*S105, "")</f>
        <v>0</v>
      </c>
      <c r="AW105" s="284" t="n">
        <f aca="false">IFERROR($G105*$J105*T105, "")</f>
        <v>0</v>
      </c>
      <c r="AX105" s="284" t="n">
        <f aca="false">IFERROR($G105*$J105*U105, "")</f>
        <v>0</v>
      </c>
      <c r="AY105" s="284" t="n">
        <f aca="false">IFERROR($G105*$J105*V105, "")</f>
        <v>0</v>
      </c>
      <c r="AZ105" s="284" t="n">
        <f aca="false">IFERROR($G105*$J105*W105, "")</f>
        <v>0</v>
      </c>
      <c r="BA105" s="286" t="n">
        <f aca="false">IFERROR(SUMIF($AO$4:$AZ$4, "RDEC", AO105:AZ105), "")</f>
        <v>0</v>
      </c>
      <c r="BB105" s="286" t="n">
        <f aca="false">IFERROR(SUMIF($AO$4:$AZ$4, "SME", AO105:AZ105), "")</f>
        <v>0</v>
      </c>
      <c r="BC105" s="286" t="n">
        <f aca="false">IFERROR(SUMIF($AO$4:$AZ$4, "De Minimis", AO105:AZ105), "")</f>
        <v>0</v>
      </c>
      <c r="BD105" s="287"/>
      <c r="BE105" s="288" t="str">
        <f aca="false">IF((SUM(L105:W105)&gt;1),"ERROR","")</f>
        <v/>
      </c>
    </row>
    <row r="106" customFormat="false" ht="15" hidden="false" customHeight="true" outlineLevel="0" collapsed="false">
      <c r="B106" s="333"/>
      <c r="C106" s="334"/>
      <c r="D106" s="333" t="n">
        <f aca="false">D90</f>
        <v>45323</v>
      </c>
      <c r="E106" s="277" t="n">
        <v>0</v>
      </c>
      <c r="F106" s="277" t="n">
        <v>0</v>
      </c>
      <c r="G106" s="277" t="n">
        <f aca="false">SUM(E106:F106)</f>
        <v>0</v>
      </c>
      <c r="H106" s="204"/>
      <c r="I106" s="279" t="n">
        <v>1</v>
      </c>
      <c r="J106" s="280" t="n">
        <f aca="false">1-I106</f>
        <v>0</v>
      </c>
      <c r="K106" s="277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3"/>
      <c r="Y106" s="284" t="n">
        <f aca="false">IFERROR(L106*$G106*I$9, "")</f>
        <v>0</v>
      </c>
      <c r="Z106" s="284" t="n">
        <f aca="false">IFERROR(M106*$G106*$I106, "")</f>
        <v>0</v>
      </c>
      <c r="AA106" s="284" t="n">
        <f aca="false">IFERROR(N106*$G106*$I106, "")</f>
        <v>0</v>
      </c>
      <c r="AB106" s="284" t="n">
        <f aca="false">IFERROR(O106*$G106*$I106, "")</f>
        <v>0</v>
      </c>
      <c r="AC106" s="284" t="n">
        <f aca="false">IFERROR(P106*$G106*$I106, "")</f>
        <v>0</v>
      </c>
      <c r="AD106" s="284" t="n">
        <f aca="false">IFERROR(Q106*$G106*$I106, "")</f>
        <v>0</v>
      </c>
      <c r="AE106" s="284" t="n">
        <f aca="false">IFERROR(R106*$G106*$I106, "")</f>
        <v>0</v>
      </c>
      <c r="AF106" s="284" t="n">
        <f aca="false">IFERROR(S106*$G106*$I106, "")</f>
        <v>0</v>
      </c>
      <c r="AG106" s="284" t="n">
        <f aca="false">IFERROR(T106*$G106*$I106, "")</f>
        <v>0</v>
      </c>
      <c r="AH106" s="284" t="n">
        <f aca="false">IFERROR(U106*$G106*$I106, "")</f>
        <v>0</v>
      </c>
      <c r="AI106" s="284" t="n">
        <f aca="false">IFERROR(V106*$G106*$I106, "")</f>
        <v>0</v>
      </c>
      <c r="AJ106" s="284" t="n">
        <f aca="false">IFERROR(W106*$G106*$I106, "")</f>
        <v>0</v>
      </c>
      <c r="AK106" s="286" t="n">
        <f aca="false">IFERROR(SUMIF($Y$4:$AJ$4, "RDEC", Y106:AJ106), "")</f>
        <v>0</v>
      </c>
      <c r="AL106" s="286" t="n">
        <f aca="false">IFERROR(SUMIF($Y$4:$AJ$4, "SME", Y106:AJ106), "")</f>
        <v>0</v>
      </c>
      <c r="AM106" s="286" t="n">
        <f aca="false">IFERROR(SUMIF($Y$4:$AJ$4, "De Minimis", Y106:AJ106), "")</f>
        <v>0</v>
      </c>
      <c r="AN106" s="283"/>
      <c r="AO106" s="284" t="n">
        <f aca="false">IFERROR($G106*$J106*L106, "")</f>
        <v>0</v>
      </c>
      <c r="AP106" s="284" t="n">
        <f aca="false">IFERROR($G106*$J106*M106, "")</f>
        <v>0</v>
      </c>
      <c r="AQ106" s="284" t="n">
        <f aca="false">IFERROR($G106*$J106*N106, "")</f>
        <v>0</v>
      </c>
      <c r="AR106" s="284" t="n">
        <f aca="false">IFERROR($G106*$J106*O106, "")</f>
        <v>0</v>
      </c>
      <c r="AS106" s="284" t="n">
        <f aca="false">IFERROR($G106*$J106*P106, "")</f>
        <v>0</v>
      </c>
      <c r="AT106" s="284" t="n">
        <f aca="false">IFERROR($G106*$J106*Q106, "")</f>
        <v>0</v>
      </c>
      <c r="AU106" s="284" t="n">
        <f aca="false">IFERROR($G106*$J106*R106, "")</f>
        <v>0</v>
      </c>
      <c r="AV106" s="284" t="n">
        <f aca="false">IFERROR($G106*$J106*S106, "")</f>
        <v>0</v>
      </c>
      <c r="AW106" s="284" t="n">
        <f aca="false">IFERROR($G106*$J106*T106, "")</f>
        <v>0</v>
      </c>
      <c r="AX106" s="284" t="n">
        <f aca="false">IFERROR($G106*$J106*U106, "")</f>
        <v>0</v>
      </c>
      <c r="AY106" s="284" t="n">
        <f aca="false">IFERROR($G106*$J106*V106, "")</f>
        <v>0</v>
      </c>
      <c r="AZ106" s="284" t="n">
        <f aca="false">IFERROR($G106*$J106*W106, "")</f>
        <v>0</v>
      </c>
      <c r="BA106" s="286" t="n">
        <f aca="false">IFERROR(SUMIF($AO$4:$AZ$4, "RDEC", AO106:AZ106), "")</f>
        <v>0</v>
      </c>
      <c r="BB106" s="286" t="n">
        <f aca="false">IFERROR(SUMIF($AO$4:$AZ$4, "SME", AO106:AZ106), "")</f>
        <v>0</v>
      </c>
      <c r="BC106" s="286" t="n">
        <f aca="false">IFERROR(SUMIF($Y$4:$AJ$4, "De Minimis", AO106:AZ106), "")</f>
        <v>0</v>
      </c>
      <c r="BD106" s="287"/>
      <c r="BE106" s="288" t="str">
        <f aca="false">IF((SUM(L106:W106)&gt;1),"ERROR","")</f>
        <v/>
      </c>
    </row>
    <row r="107" customFormat="false" ht="15" hidden="false" customHeight="true" outlineLevel="0" collapsed="false">
      <c r="B107" s="333"/>
      <c r="C107" s="334"/>
      <c r="D107" s="333" t="n">
        <f aca="false">D91</f>
        <v>45352</v>
      </c>
      <c r="E107" s="277" t="n">
        <v>0</v>
      </c>
      <c r="F107" s="277" t="n">
        <v>0</v>
      </c>
      <c r="G107" s="277" t="n">
        <f aca="false">SUM(E107:F107)</f>
        <v>0</v>
      </c>
      <c r="H107" s="204"/>
      <c r="I107" s="279" t="n">
        <v>1</v>
      </c>
      <c r="J107" s="280" t="n">
        <f aca="false">1-I107</f>
        <v>0</v>
      </c>
      <c r="K107" s="277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3"/>
      <c r="Y107" s="284" t="n">
        <f aca="false">IFERROR(L107*$G107*I$9, "")</f>
        <v>0</v>
      </c>
      <c r="Z107" s="284" t="n">
        <f aca="false">IFERROR(M107*$G107*$I107, "")</f>
        <v>0</v>
      </c>
      <c r="AA107" s="284" t="n">
        <f aca="false">IFERROR(N107*$G107*$I107, "")</f>
        <v>0</v>
      </c>
      <c r="AB107" s="284" t="n">
        <f aca="false">IFERROR(O107*$G107*$I107, "")</f>
        <v>0</v>
      </c>
      <c r="AC107" s="284" t="n">
        <f aca="false">IFERROR(P107*$G107*$I107, "")</f>
        <v>0</v>
      </c>
      <c r="AD107" s="284" t="n">
        <f aca="false">IFERROR(Q107*$G107*$I107, "")</f>
        <v>0</v>
      </c>
      <c r="AE107" s="284" t="n">
        <f aca="false">IFERROR(R107*$G107*$I107, "")</f>
        <v>0</v>
      </c>
      <c r="AF107" s="284" t="n">
        <f aca="false">IFERROR(S107*$G107*$I107, "")</f>
        <v>0</v>
      </c>
      <c r="AG107" s="284" t="n">
        <f aca="false">IFERROR(T107*$G107*$I107, "")</f>
        <v>0</v>
      </c>
      <c r="AH107" s="284" t="n">
        <f aca="false">IFERROR(U107*$G107*$I107, "")</f>
        <v>0</v>
      </c>
      <c r="AI107" s="284" t="n">
        <f aca="false">IFERROR(V107*$G107*$I107, "")</f>
        <v>0</v>
      </c>
      <c r="AJ107" s="284" t="n">
        <f aca="false">IFERROR(W107*$G107*$I107, "")</f>
        <v>0</v>
      </c>
      <c r="AK107" s="286" t="n">
        <f aca="false">IFERROR(SUMIF($Y$4:$AJ$4, "RDEC", Y107:AJ107), "")</f>
        <v>0</v>
      </c>
      <c r="AL107" s="286" t="n">
        <f aca="false">IFERROR(SUMIF($Y$4:$AJ$4, "SME", Y107:AJ107), "")</f>
        <v>0</v>
      </c>
      <c r="AM107" s="286" t="n">
        <f aca="false">IFERROR(SUMIF($Y$4:$AJ$4, "De Minimis", Y107:AJ107), "")</f>
        <v>0</v>
      </c>
      <c r="AN107" s="283"/>
      <c r="AO107" s="284" t="n">
        <f aca="false">IFERROR($G107*$J107*L107, "")</f>
        <v>0</v>
      </c>
      <c r="AP107" s="284" t="n">
        <f aca="false">IFERROR($G107*$J107*M107, "")</f>
        <v>0</v>
      </c>
      <c r="AQ107" s="284" t="n">
        <f aca="false">IFERROR($G107*$J107*N107, "")</f>
        <v>0</v>
      </c>
      <c r="AR107" s="284" t="n">
        <f aca="false">IFERROR($G107*$J107*O107, "")</f>
        <v>0</v>
      </c>
      <c r="AS107" s="284" t="n">
        <f aca="false">IFERROR($G107*$J107*P107, "")</f>
        <v>0</v>
      </c>
      <c r="AT107" s="284" t="n">
        <f aca="false">IFERROR($G107*$J107*Q107, "")</f>
        <v>0</v>
      </c>
      <c r="AU107" s="284" t="n">
        <f aca="false">IFERROR($G107*$J107*R107, "")</f>
        <v>0</v>
      </c>
      <c r="AV107" s="284" t="n">
        <f aca="false">IFERROR($G107*$J107*S107, "")</f>
        <v>0</v>
      </c>
      <c r="AW107" s="284" t="n">
        <f aca="false">IFERROR($G107*$J107*T107, "")</f>
        <v>0</v>
      </c>
      <c r="AX107" s="284" t="n">
        <f aca="false">IFERROR($G107*$J107*U107, "")</f>
        <v>0</v>
      </c>
      <c r="AY107" s="284" t="n">
        <f aca="false">IFERROR($G107*$J107*V107, "")</f>
        <v>0</v>
      </c>
      <c r="AZ107" s="284" t="n">
        <f aca="false">IFERROR($G107*$J107*W107, "")</f>
        <v>0</v>
      </c>
      <c r="BA107" s="286" t="n">
        <f aca="false">IFERROR(SUMIF($AO$4:$AZ$4, "RDEC", AO107:AZ107), "")</f>
        <v>0</v>
      </c>
      <c r="BB107" s="286" t="n">
        <f aca="false">IFERROR(SUMIF($AO$4:$AZ$4, "SME", AO107:AZ107), "")</f>
        <v>0</v>
      </c>
      <c r="BC107" s="286" t="n">
        <f aca="false">IFERROR(SUMIF($Y$4:$AJ$4, "De Minimis", AO107:AZ107), "")</f>
        <v>0</v>
      </c>
      <c r="BD107" s="287"/>
      <c r="BE107" s="288" t="str">
        <f aca="false">IF((SUM(L107:W107)&gt;1),"ERROR","")</f>
        <v/>
      </c>
    </row>
    <row r="108" customFormat="false" ht="15" hidden="false" customHeight="true" outlineLevel="0" collapsed="false">
      <c r="B108" s="333"/>
      <c r="C108" s="334"/>
      <c r="D108" s="333" t="n">
        <f aca="false">D92</f>
        <v>45383</v>
      </c>
      <c r="E108" s="277" t="n">
        <v>0</v>
      </c>
      <c r="F108" s="277" t="n">
        <v>0</v>
      </c>
      <c r="G108" s="277" t="n">
        <f aca="false">SUM(E108:F108)</f>
        <v>0</v>
      </c>
      <c r="H108" s="204"/>
      <c r="I108" s="279" t="n">
        <v>1</v>
      </c>
      <c r="J108" s="280" t="n">
        <f aca="false">1-I108</f>
        <v>0</v>
      </c>
      <c r="K108" s="277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3"/>
      <c r="Y108" s="284" t="n">
        <f aca="false">IFERROR(L108*$G108*I$9, "")</f>
        <v>0</v>
      </c>
      <c r="Z108" s="284" t="n">
        <f aca="false">IFERROR(M108*$G108*$I108, "")</f>
        <v>0</v>
      </c>
      <c r="AA108" s="284" t="n">
        <f aca="false">IFERROR(N108*$G108*$I108, "")</f>
        <v>0</v>
      </c>
      <c r="AB108" s="284" t="n">
        <f aca="false">IFERROR(O108*$G108*$I108, "")</f>
        <v>0</v>
      </c>
      <c r="AC108" s="284" t="n">
        <f aca="false">IFERROR(P108*$G108*$I108, "")</f>
        <v>0</v>
      </c>
      <c r="AD108" s="284" t="n">
        <f aca="false">IFERROR(Q108*$G108*$I108, "")</f>
        <v>0</v>
      </c>
      <c r="AE108" s="284" t="n">
        <f aca="false">IFERROR(R108*$G108*$I108, "")</f>
        <v>0</v>
      </c>
      <c r="AF108" s="284" t="n">
        <f aca="false">IFERROR(S108*$G108*$I108, "")</f>
        <v>0</v>
      </c>
      <c r="AG108" s="284" t="n">
        <f aca="false">IFERROR(T108*$G108*$I108, "")</f>
        <v>0</v>
      </c>
      <c r="AH108" s="284" t="n">
        <f aca="false">IFERROR(U108*$G108*$I108, "")</f>
        <v>0</v>
      </c>
      <c r="AI108" s="284" t="n">
        <f aca="false">IFERROR(V108*$G108*$I108, "")</f>
        <v>0</v>
      </c>
      <c r="AJ108" s="284" t="n">
        <f aca="false">IFERROR(W108*$G108*$I108, "")</f>
        <v>0</v>
      </c>
      <c r="AK108" s="286" t="n">
        <f aca="false">IFERROR(SUMIF($Y$4:$AJ$4, "RDEC", Y108:AJ108), "")</f>
        <v>0</v>
      </c>
      <c r="AL108" s="286" t="n">
        <f aca="false">IFERROR(SUMIF($Y$4:$AJ$4, "SME", Y108:AJ108), "")</f>
        <v>0</v>
      </c>
      <c r="AM108" s="286" t="n">
        <f aca="false">IFERROR(SUMIF($Y$4:$AJ$4, "De Minimis", Y108:AJ108), "")</f>
        <v>0</v>
      </c>
      <c r="AN108" s="283"/>
      <c r="AO108" s="284" t="n">
        <f aca="false">IFERROR($G108*$J108*L108, "")</f>
        <v>0</v>
      </c>
      <c r="AP108" s="284" t="n">
        <f aca="false">IFERROR($G108*$J108*M108, "")</f>
        <v>0</v>
      </c>
      <c r="AQ108" s="284" t="n">
        <f aca="false">IFERROR($G108*$J108*N108, "")</f>
        <v>0</v>
      </c>
      <c r="AR108" s="284" t="n">
        <f aca="false">IFERROR($G108*$J108*O108, "")</f>
        <v>0</v>
      </c>
      <c r="AS108" s="284" t="n">
        <f aca="false">IFERROR($G108*$J108*P108, "")</f>
        <v>0</v>
      </c>
      <c r="AT108" s="284" t="n">
        <f aca="false">IFERROR($G108*$J108*Q108, "")</f>
        <v>0</v>
      </c>
      <c r="AU108" s="284" t="n">
        <f aca="false">IFERROR($G108*$J108*R108, "")</f>
        <v>0</v>
      </c>
      <c r="AV108" s="284" t="n">
        <f aca="false">IFERROR($G108*$J108*S108, "")</f>
        <v>0</v>
      </c>
      <c r="AW108" s="284" t="n">
        <f aca="false">IFERROR($G108*$J108*T108, "")</f>
        <v>0</v>
      </c>
      <c r="AX108" s="284" t="n">
        <f aca="false">IFERROR($G108*$J108*U108, "")</f>
        <v>0</v>
      </c>
      <c r="AY108" s="284" t="n">
        <f aca="false">IFERROR($G108*$J108*V108, "")</f>
        <v>0</v>
      </c>
      <c r="AZ108" s="284" t="n">
        <f aca="false">IFERROR($G108*$J108*W108, "")</f>
        <v>0</v>
      </c>
      <c r="BA108" s="286" t="n">
        <f aca="false">IFERROR(SUMIF($AO$4:$AZ$4, "RDEC", AO108:AZ108), "")</f>
        <v>0</v>
      </c>
      <c r="BB108" s="286" t="n">
        <f aca="false">IFERROR(SUMIF($AO$4:$AZ$4, "SME", AO108:AZ108), "")</f>
        <v>0</v>
      </c>
      <c r="BC108" s="286" t="n">
        <f aca="false">IFERROR(SUMIF($Y$4:$AJ$4, "De Minimis", AO108:AZ108), "")</f>
        <v>0</v>
      </c>
      <c r="BD108" s="287"/>
      <c r="BE108" s="288" t="str">
        <f aca="false">IF((SUM(L108:W108)&gt;1),"ERROR","")</f>
        <v/>
      </c>
    </row>
    <row r="109" customFormat="false" ht="15" hidden="false" customHeight="true" outlineLevel="0" collapsed="false">
      <c r="B109" s="333"/>
      <c r="C109" s="334"/>
      <c r="D109" s="333" t="n">
        <f aca="false">D93</f>
        <v>45413</v>
      </c>
      <c r="E109" s="277" t="n">
        <v>0</v>
      </c>
      <c r="F109" s="277" t="n">
        <v>0</v>
      </c>
      <c r="G109" s="277" t="n">
        <f aca="false">SUM(E109:F109)</f>
        <v>0</v>
      </c>
      <c r="H109" s="204"/>
      <c r="I109" s="279" t="n">
        <v>1</v>
      </c>
      <c r="J109" s="280" t="n">
        <f aca="false">1-I109</f>
        <v>0</v>
      </c>
      <c r="K109" s="277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3"/>
      <c r="Y109" s="284" t="n">
        <f aca="false">IFERROR(L109*$G109*I$9, "")</f>
        <v>0</v>
      </c>
      <c r="Z109" s="284" t="n">
        <f aca="false">IFERROR(M109*$G109*$I109, "")</f>
        <v>0</v>
      </c>
      <c r="AA109" s="284" t="n">
        <f aca="false">IFERROR(N109*$G109*$I109, "")</f>
        <v>0</v>
      </c>
      <c r="AB109" s="284" t="n">
        <f aca="false">IFERROR(O109*$G109*$I109, "")</f>
        <v>0</v>
      </c>
      <c r="AC109" s="284" t="n">
        <f aca="false">IFERROR(P109*$G109*$I109, "")</f>
        <v>0</v>
      </c>
      <c r="AD109" s="284" t="n">
        <f aca="false">IFERROR(Q109*$G109*$I109, "")</f>
        <v>0</v>
      </c>
      <c r="AE109" s="284" t="n">
        <f aca="false">IFERROR(R109*$G109*$I109, "")</f>
        <v>0</v>
      </c>
      <c r="AF109" s="284" t="n">
        <f aca="false">IFERROR(S109*$G109*$I109, "")</f>
        <v>0</v>
      </c>
      <c r="AG109" s="284" t="n">
        <f aca="false">IFERROR(T109*$G109*$I109, "")</f>
        <v>0</v>
      </c>
      <c r="AH109" s="284" t="n">
        <f aca="false">IFERROR(U109*$G109*$I109, "")</f>
        <v>0</v>
      </c>
      <c r="AI109" s="284" t="n">
        <f aca="false">IFERROR(V109*$G109*$I109, "")</f>
        <v>0</v>
      </c>
      <c r="AJ109" s="284" t="n">
        <f aca="false">IFERROR(W109*$G109*$I109, "")</f>
        <v>0</v>
      </c>
      <c r="AK109" s="286" t="n">
        <f aca="false">IFERROR(SUMIF($Y$4:$AJ$4, "RDEC", Y109:AJ109), "")</f>
        <v>0</v>
      </c>
      <c r="AL109" s="286" t="n">
        <f aca="false">IFERROR(SUMIF($Y$4:$AJ$4, "SME", Y109:AJ109), "")</f>
        <v>0</v>
      </c>
      <c r="AM109" s="286" t="n">
        <f aca="false">IFERROR(SUMIF($Y$4:$AJ$4, "De Minimis", Y109:AJ109), "")</f>
        <v>0</v>
      </c>
      <c r="AN109" s="283"/>
      <c r="AO109" s="284" t="n">
        <f aca="false">IFERROR($G109*$J109*L109, "")</f>
        <v>0</v>
      </c>
      <c r="AP109" s="284" t="n">
        <f aca="false">IFERROR($G109*$J109*M109, "")</f>
        <v>0</v>
      </c>
      <c r="AQ109" s="284" t="n">
        <f aca="false">IFERROR($G109*$J109*N109, "")</f>
        <v>0</v>
      </c>
      <c r="AR109" s="284" t="n">
        <f aca="false">IFERROR($G109*$J109*O109, "")</f>
        <v>0</v>
      </c>
      <c r="AS109" s="284" t="n">
        <f aca="false">IFERROR($G109*$J109*P109, "")</f>
        <v>0</v>
      </c>
      <c r="AT109" s="284" t="n">
        <f aca="false">IFERROR($G109*$J109*Q109, "")</f>
        <v>0</v>
      </c>
      <c r="AU109" s="284" t="n">
        <f aca="false">IFERROR($G109*$J109*R109, "")</f>
        <v>0</v>
      </c>
      <c r="AV109" s="284" t="n">
        <f aca="false">IFERROR($G109*$J109*S109, "")</f>
        <v>0</v>
      </c>
      <c r="AW109" s="284" t="n">
        <f aca="false">IFERROR($G109*$J109*T109, "")</f>
        <v>0</v>
      </c>
      <c r="AX109" s="284" t="n">
        <f aca="false">IFERROR($G109*$J109*U109, "")</f>
        <v>0</v>
      </c>
      <c r="AY109" s="284" t="n">
        <f aca="false">IFERROR($G109*$J109*V109, "")</f>
        <v>0</v>
      </c>
      <c r="AZ109" s="284" t="n">
        <f aca="false">IFERROR($G109*$J109*W109, "")</f>
        <v>0</v>
      </c>
      <c r="BA109" s="286" t="n">
        <f aca="false">IFERROR(SUMIF($AO$4:$AZ$4, "RDEC", AO109:AZ109), "")</f>
        <v>0</v>
      </c>
      <c r="BB109" s="286" t="n">
        <f aca="false">IFERROR(SUMIF($AO$4:$AZ$4, "SME", AO109:AZ109), "")</f>
        <v>0</v>
      </c>
      <c r="BC109" s="286" t="n">
        <f aca="false">IFERROR(SUMIF($Y$4:$AJ$4, "De Minimis", AO109:AZ109), "")</f>
        <v>0</v>
      </c>
      <c r="BD109" s="287"/>
      <c r="BE109" s="288" t="str">
        <f aca="false">IF((SUM(L109:W109)&gt;1),"ERROR","")</f>
        <v/>
      </c>
    </row>
    <row r="110" customFormat="false" ht="15" hidden="false" customHeight="true" outlineLevel="0" collapsed="false">
      <c r="B110" s="333"/>
      <c r="C110" s="334"/>
      <c r="D110" s="333" t="n">
        <f aca="false">D94</f>
        <v>45444</v>
      </c>
      <c r="E110" s="277" t="n">
        <v>0</v>
      </c>
      <c r="F110" s="277" t="n">
        <v>0</v>
      </c>
      <c r="G110" s="277" t="n">
        <f aca="false">SUM(E110:F110)</f>
        <v>0</v>
      </c>
      <c r="H110" s="204"/>
      <c r="I110" s="279" t="n">
        <v>1</v>
      </c>
      <c r="J110" s="280" t="n">
        <f aca="false">1-I110</f>
        <v>0</v>
      </c>
      <c r="K110" s="277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3"/>
      <c r="Y110" s="284" t="n">
        <f aca="false">IFERROR(L110*$G110*I$9, "")</f>
        <v>0</v>
      </c>
      <c r="Z110" s="284" t="n">
        <f aca="false">IFERROR(M110*$G110*$I110, "")</f>
        <v>0</v>
      </c>
      <c r="AA110" s="284" t="n">
        <f aca="false">IFERROR(N110*$G110*$I110, "")</f>
        <v>0</v>
      </c>
      <c r="AB110" s="284" t="n">
        <f aca="false">IFERROR(O110*$G110*$I110, "")</f>
        <v>0</v>
      </c>
      <c r="AC110" s="284" t="n">
        <f aca="false">IFERROR(P110*$G110*$I110, "")</f>
        <v>0</v>
      </c>
      <c r="AD110" s="284" t="n">
        <f aca="false">IFERROR(Q110*$G110*$I110, "")</f>
        <v>0</v>
      </c>
      <c r="AE110" s="284" t="n">
        <f aca="false">IFERROR(R110*$G110*$I110, "")</f>
        <v>0</v>
      </c>
      <c r="AF110" s="284" t="n">
        <f aca="false">IFERROR(S110*$G110*$I110, "")</f>
        <v>0</v>
      </c>
      <c r="AG110" s="284" t="n">
        <f aca="false">IFERROR(T110*$G110*$I110, "")</f>
        <v>0</v>
      </c>
      <c r="AH110" s="284" t="n">
        <f aca="false">IFERROR(U110*$G110*$I110, "")</f>
        <v>0</v>
      </c>
      <c r="AI110" s="284" t="n">
        <f aca="false">IFERROR(V110*$G110*$I110, "")</f>
        <v>0</v>
      </c>
      <c r="AJ110" s="284" t="n">
        <f aca="false">IFERROR(W110*$G110*$I110, "")</f>
        <v>0</v>
      </c>
      <c r="AK110" s="286" t="n">
        <f aca="false">IFERROR(SUMIF($Y$4:$AJ$4, "RDEC", Y110:AJ110), "")</f>
        <v>0</v>
      </c>
      <c r="AL110" s="286" t="n">
        <f aca="false">IFERROR(SUMIF($Y$4:$AJ$4, "SME", Y110:AJ110), "")</f>
        <v>0</v>
      </c>
      <c r="AM110" s="286" t="n">
        <f aca="false">IFERROR(SUMIF($Y$4:$AJ$4, "De Minimis", Y110:AJ110), "")</f>
        <v>0</v>
      </c>
      <c r="AN110" s="283"/>
      <c r="AO110" s="284" t="n">
        <f aca="false">IFERROR($G110*$J110*L110, "")</f>
        <v>0</v>
      </c>
      <c r="AP110" s="284" t="n">
        <f aca="false">IFERROR($G110*$J110*M110, "")</f>
        <v>0</v>
      </c>
      <c r="AQ110" s="284" t="n">
        <f aca="false">IFERROR($G110*$J110*N110, "")</f>
        <v>0</v>
      </c>
      <c r="AR110" s="284" t="n">
        <f aca="false">IFERROR($G110*$J110*O110, "")</f>
        <v>0</v>
      </c>
      <c r="AS110" s="284" t="n">
        <f aca="false">IFERROR($G110*$J110*P110, "")</f>
        <v>0</v>
      </c>
      <c r="AT110" s="284" t="n">
        <f aca="false">IFERROR($G110*$J110*Q110, "")</f>
        <v>0</v>
      </c>
      <c r="AU110" s="284" t="n">
        <f aca="false">IFERROR($G110*$J110*R110, "")</f>
        <v>0</v>
      </c>
      <c r="AV110" s="284" t="n">
        <f aca="false">IFERROR($G110*$J110*S110, "")</f>
        <v>0</v>
      </c>
      <c r="AW110" s="284" t="n">
        <f aca="false">IFERROR($G110*$J110*T110, "")</f>
        <v>0</v>
      </c>
      <c r="AX110" s="284" t="n">
        <f aca="false">IFERROR($G110*$J110*U110, "")</f>
        <v>0</v>
      </c>
      <c r="AY110" s="284" t="n">
        <f aca="false">IFERROR($G110*$J110*V110, "")</f>
        <v>0</v>
      </c>
      <c r="AZ110" s="284" t="n">
        <f aca="false">IFERROR($G110*$J110*W110, "")</f>
        <v>0</v>
      </c>
      <c r="BA110" s="286" t="n">
        <f aca="false">IFERROR(SUMIF($AO$4:$AZ$4, "RDEC", AO110:AZ110), "")</f>
        <v>0</v>
      </c>
      <c r="BB110" s="286" t="n">
        <f aca="false">IFERROR(SUMIF($AO$4:$AZ$4, "SME", AO110:AZ110), "")</f>
        <v>0</v>
      </c>
      <c r="BC110" s="286" t="n">
        <f aca="false">IFERROR(SUMIF($Y$4:$AJ$4, "De Minimis", AO110:AZ110), "")</f>
        <v>0</v>
      </c>
      <c r="BD110" s="287"/>
      <c r="BE110" s="288" t="str">
        <f aca="false">IF((SUM(L110:W110)&gt;1),"ERROR","")</f>
        <v/>
      </c>
    </row>
    <row r="111" customFormat="false" ht="15" hidden="false" customHeight="true" outlineLevel="0" collapsed="false">
      <c r="B111" s="333"/>
      <c r="C111" s="334"/>
      <c r="D111" s="333" t="n">
        <f aca="false">D95</f>
        <v>45474</v>
      </c>
      <c r="E111" s="277" t="n">
        <v>0</v>
      </c>
      <c r="F111" s="277" t="n">
        <v>0</v>
      </c>
      <c r="G111" s="277" t="n">
        <f aca="false">SUM(E111:F111)</f>
        <v>0</v>
      </c>
      <c r="H111" s="204"/>
      <c r="I111" s="279" t="n">
        <v>1</v>
      </c>
      <c r="J111" s="280" t="n">
        <f aca="false">1-I111</f>
        <v>0</v>
      </c>
      <c r="K111" s="277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3"/>
      <c r="Y111" s="284" t="n">
        <f aca="false">IFERROR(L111*$G111*I$9, "")</f>
        <v>0</v>
      </c>
      <c r="Z111" s="284" t="n">
        <f aca="false">IFERROR(M111*$G111*$I111, "")</f>
        <v>0</v>
      </c>
      <c r="AA111" s="284" t="n">
        <f aca="false">IFERROR(N111*$G111*$I111, "")</f>
        <v>0</v>
      </c>
      <c r="AB111" s="284" t="n">
        <f aca="false">IFERROR(O111*$G111*$I111, "")</f>
        <v>0</v>
      </c>
      <c r="AC111" s="284" t="n">
        <f aca="false">IFERROR(P111*$G111*$I111, "")</f>
        <v>0</v>
      </c>
      <c r="AD111" s="284" t="n">
        <f aca="false">IFERROR(Q111*$G111*$I111, "")</f>
        <v>0</v>
      </c>
      <c r="AE111" s="284" t="n">
        <f aca="false">IFERROR(R111*$G111*$I111, "")</f>
        <v>0</v>
      </c>
      <c r="AF111" s="284" t="n">
        <f aca="false">IFERROR(S111*$G111*$I111, "")</f>
        <v>0</v>
      </c>
      <c r="AG111" s="284" t="n">
        <f aca="false">IFERROR(T111*$G111*$I111, "")</f>
        <v>0</v>
      </c>
      <c r="AH111" s="284" t="n">
        <f aca="false">IFERROR(U111*$G111*$I111, "")</f>
        <v>0</v>
      </c>
      <c r="AI111" s="284" t="n">
        <f aca="false">IFERROR(V111*$G111*$I111, "")</f>
        <v>0</v>
      </c>
      <c r="AJ111" s="284" t="n">
        <f aca="false">IFERROR(W111*$G111*$I111, "")</f>
        <v>0</v>
      </c>
      <c r="AK111" s="286" t="n">
        <f aca="false">IFERROR(SUMIF($Y$4:$AJ$4, "RDEC", Y111:AJ111), "")</f>
        <v>0</v>
      </c>
      <c r="AL111" s="286" t="n">
        <f aca="false">IFERROR(SUMIF($Y$4:$AJ$4, "SME", Y111:AJ111), "")</f>
        <v>0</v>
      </c>
      <c r="AM111" s="286" t="n">
        <f aca="false">IFERROR(SUMIF($Y$4:$AJ$4, "De Minimis", Y111:AJ111), "")</f>
        <v>0</v>
      </c>
      <c r="AN111" s="283"/>
      <c r="AO111" s="284" t="n">
        <f aca="false">IFERROR($G111*$J111*L111, "")</f>
        <v>0</v>
      </c>
      <c r="AP111" s="284" t="n">
        <f aca="false">IFERROR($G111*$J111*M111, "")</f>
        <v>0</v>
      </c>
      <c r="AQ111" s="284" t="n">
        <f aca="false">IFERROR($G111*$J111*N111, "")</f>
        <v>0</v>
      </c>
      <c r="AR111" s="284" t="n">
        <f aca="false">IFERROR($G111*$J111*O111, "")</f>
        <v>0</v>
      </c>
      <c r="AS111" s="284" t="n">
        <f aca="false">IFERROR($G111*$J111*P111, "")</f>
        <v>0</v>
      </c>
      <c r="AT111" s="284" t="n">
        <f aca="false">IFERROR($G111*$J111*Q111, "")</f>
        <v>0</v>
      </c>
      <c r="AU111" s="284" t="n">
        <f aca="false">IFERROR($G111*$J111*R111, "")</f>
        <v>0</v>
      </c>
      <c r="AV111" s="284" t="n">
        <f aca="false">IFERROR($G111*$J111*S111, "")</f>
        <v>0</v>
      </c>
      <c r="AW111" s="284" t="n">
        <f aca="false">IFERROR($G111*$J111*T111, "")</f>
        <v>0</v>
      </c>
      <c r="AX111" s="284" t="n">
        <f aca="false">IFERROR($G111*$J111*U111, "")</f>
        <v>0</v>
      </c>
      <c r="AY111" s="284" t="n">
        <f aca="false">IFERROR($G111*$J111*V111, "")</f>
        <v>0</v>
      </c>
      <c r="AZ111" s="284" t="n">
        <f aca="false">IFERROR($G111*$J111*W111, "")</f>
        <v>0</v>
      </c>
      <c r="BA111" s="286" t="n">
        <f aca="false">IFERROR(SUMIF($AO$4:$AZ$4, "RDEC", AO111:AZ111), "")</f>
        <v>0</v>
      </c>
      <c r="BB111" s="286" t="n">
        <f aca="false">IFERROR(SUMIF($AO$4:$AZ$4, "SME", AO111:AZ111), "")</f>
        <v>0</v>
      </c>
      <c r="BC111" s="286" t="n">
        <f aca="false">IFERROR(SUMIF($Y$4:$AJ$4, "De Minimis", AO111:AZ111), "")</f>
        <v>0</v>
      </c>
      <c r="BD111" s="287"/>
      <c r="BE111" s="288" t="str">
        <f aca="false">IF((SUM(L111:W111)&gt;1),"ERROR","")</f>
        <v/>
      </c>
    </row>
    <row r="112" customFormat="false" ht="15" hidden="false" customHeight="true" outlineLevel="0" collapsed="false">
      <c r="B112" s="333"/>
      <c r="C112" s="334"/>
      <c r="D112" s="333" t="n">
        <f aca="false">D96</f>
        <v>45505</v>
      </c>
      <c r="E112" s="277" t="n">
        <v>0</v>
      </c>
      <c r="F112" s="277" t="n">
        <v>0</v>
      </c>
      <c r="G112" s="277" t="n">
        <f aca="false">SUM(E112:F112)</f>
        <v>0</v>
      </c>
      <c r="H112" s="204"/>
      <c r="I112" s="279" t="n">
        <v>1</v>
      </c>
      <c r="J112" s="280" t="n">
        <f aca="false">1-I112</f>
        <v>0</v>
      </c>
      <c r="K112" s="277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3"/>
      <c r="Y112" s="284" t="n">
        <f aca="false">IFERROR(L112*$G112*I$9, "")</f>
        <v>0</v>
      </c>
      <c r="Z112" s="284" t="n">
        <f aca="false">IFERROR(M112*$G112*$I112, "")</f>
        <v>0</v>
      </c>
      <c r="AA112" s="284" t="n">
        <f aca="false">IFERROR(N112*$G112*$I112, "")</f>
        <v>0</v>
      </c>
      <c r="AB112" s="284" t="n">
        <f aca="false">IFERROR(O112*$G112*$I112, "")</f>
        <v>0</v>
      </c>
      <c r="AC112" s="284" t="n">
        <f aca="false">IFERROR(P112*$G112*$I112, "")</f>
        <v>0</v>
      </c>
      <c r="AD112" s="284" t="n">
        <f aca="false">IFERROR(Q112*$G112*$I112, "")</f>
        <v>0</v>
      </c>
      <c r="AE112" s="284" t="n">
        <f aca="false">IFERROR(R112*$G112*$I112, "")</f>
        <v>0</v>
      </c>
      <c r="AF112" s="284" t="n">
        <f aca="false">IFERROR(S112*$G112*$I112, "")</f>
        <v>0</v>
      </c>
      <c r="AG112" s="284" t="n">
        <f aca="false">IFERROR(T112*$G112*$I112, "")</f>
        <v>0</v>
      </c>
      <c r="AH112" s="284" t="n">
        <f aca="false">IFERROR(U112*$G112*$I112, "")</f>
        <v>0</v>
      </c>
      <c r="AI112" s="284" t="n">
        <f aca="false">IFERROR(V112*$G112*$I112, "")</f>
        <v>0</v>
      </c>
      <c r="AJ112" s="284" t="n">
        <f aca="false">IFERROR(W112*$G112*$I112, "")</f>
        <v>0</v>
      </c>
      <c r="AK112" s="286" t="n">
        <f aca="false">IFERROR(SUMIF($Y$4:$AJ$4, "RDEC", Y112:AJ112), "")</f>
        <v>0</v>
      </c>
      <c r="AL112" s="286" t="n">
        <f aca="false">IFERROR(SUMIF($Y$4:$AJ$4, "SME", Y112:AJ112), "")</f>
        <v>0</v>
      </c>
      <c r="AM112" s="286" t="n">
        <f aca="false">IFERROR(SUMIF($Y$4:$AJ$4, "De Minimis", Y112:AJ112), "")</f>
        <v>0</v>
      </c>
      <c r="AN112" s="283"/>
      <c r="AO112" s="284" t="n">
        <f aca="false">IFERROR($G112*$J112*L112, "")</f>
        <v>0</v>
      </c>
      <c r="AP112" s="284" t="n">
        <f aca="false">IFERROR($G112*$J112*M112, "")</f>
        <v>0</v>
      </c>
      <c r="AQ112" s="284" t="n">
        <f aca="false">IFERROR($G112*$J112*N112, "")</f>
        <v>0</v>
      </c>
      <c r="AR112" s="284" t="n">
        <f aca="false">IFERROR($G112*$J112*O112, "")</f>
        <v>0</v>
      </c>
      <c r="AS112" s="284" t="n">
        <f aca="false">IFERROR($G112*$J112*P112, "")</f>
        <v>0</v>
      </c>
      <c r="AT112" s="284" t="n">
        <f aca="false">IFERROR($G112*$J112*Q112, "")</f>
        <v>0</v>
      </c>
      <c r="AU112" s="284" t="n">
        <f aca="false">IFERROR($G112*$J112*R112, "")</f>
        <v>0</v>
      </c>
      <c r="AV112" s="284" t="n">
        <f aca="false">IFERROR($G112*$J112*S112, "")</f>
        <v>0</v>
      </c>
      <c r="AW112" s="284" t="n">
        <f aca="false">IFERROR($G112*$J112*T112, "")</f>
        <v>0</v>
      </c>
      <c r="AX112" s="284" t="n">
        <f aca="false">IFERROR($G112*$J112*U112, "")</f>
        <v>0</v>
      </c>
      <c r="AY112" s="284" t="n">
        <f aca="false">IFERROR($G112*$J112*V112, "")</f>
        <v>0</v>
      </c>
      <c r="AZ112" s="284" t="n">
        <f aca="false">IFERROR($G112*$J112*W112, "")</f>
        <v>0</v>
      </c>
      <c r="BA112" s="286" t="n">
        <f aca="false">IFERROR(SUMIF($AO$4:$AZ$4, "RDEC", AO112:AZ112), "")</f>
        <v>0</v>
      </c>
      <c r="BB112" s="286" t="n">
        <f aca="false">IFERROR(SUMIF($AO$4:$AZ$4, "SME", AO112:AZ112), "")</f>
        <v>0</v>
      </c>
      <c r="BC112" s="286" t="n">
        <f aca="false">IFERROR(SUMIF($Y$4:$AJ$4, "De Minimis", AO112:AZ112), "")</f>
        <v>0</v>
      </c>
      <c r="BD112" s="287"/>
      <c r="BE112" s="288" t="str">
        <f aca="false">IF((SUM(L112:W112)&gt;1),"ERROR","")</f>
        <v/>
      </c>
    </row>
    <row r="113" customFormat="false" ht="15" hidden="false" customHeight="true" outlineLevel="0" collapsed="false">
      <c r="B113" s="333"/>
      <c r="C113" s="334"/>
      <c r="D113" s="333" t="n">
        <f aca="false">D97</f>
        <v>45536</v>
      </c>
      <c r="E113" s="277" t="n">
        <v>0</v>
      </c>
      <c r="F113" s="277" t="n">
        <v>0</v>
      </c>
      <c r="G113" s="277" t="n">
        <f aca="false">SUM(E113:F113)</f>
        <v>0</v>
      </c>
      <c r="H113" s="204"/>
      <c r="I113" s="279" t="n">
        <v>1</v>
      </c>
      <c r="J113" s="280" t="n">
        <f aca="false">1-I113</f>
        <v>0</v>
      </c>
      <c r="K113" s="277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3"/>
      <c r="Y113" s="284" t="n">
        <f aca="false">IFERROR(L113*$G113*I$9, "")</f>
        <v>0</v>
      </c>
      <c r="Z113" s="284" t="n">
        <f aca="false">IFERROR(M113*$G113*$I113, "")</f>
        <v>0</v>
      </c>
      <c r="AA113" s="284" t="n">
        <f aca="false">IFERROR(N113*$G113*$I113, "")</f>
        <v>0</v>
      </c>
      <c r="AB113" s="284" t="n">
        <f aca="false">IFERROR(O113*$G113*$I113, "")</f>
        <v>0</v>
      </c>
      <c r="AC113" s="284" t="n">
        <f aca="false">IFERROR(P113*$G113*$I113, "")</f>
        <v>0</v>
      </c>
      <c r="AD113" s="284" t="n">
        <f aca="false">IFERROR(Q113*$G113*$I113, "")</f>
        <v>0</v>
      </c>
      <c r="AE113" s="284" t="n">
        <f aca="false">IFERROR(R113*$G113*$I113, "")</f>
        <v>0</v>
      </c>
      <c r="AF113" s="284" t="n">
        <f aca="false">IFERROR(S113*$G113*$I113, "")</f>
        <v>0</v>
      </c>
      <c r="AG113" s="284" t="n">
        <f aca="false">IFERROR(T113*$G113*$I113, "")</f>
        <v>0</v>
      </c>
      <c r="AH113" s="284" t="n">
        <f aca="false">IFERROR(U113*$G113*$I113, "")</f>
        <v>0</v>
      </c>
      <c r="AI113" s="284" t="n">
        <f aca="false">IFERROR(V113*$G113*$I113, "")</f>
        <v>0</v>
      </c>
      <c r="AJ113" s="284" t="n">
        <f aca="false">IFERROR(W113*$G113*$I113, "")</f>
        <v>0</v>
      </c>
      <c r="AK113" s="286" t="n">
        <f aca="false">IFERROR(SUMIF($Y$4:$AJ$4, "RDEC", Y113:AJ113), "")</f>
        <v>0</v>
      </c>
      <c r="AL113" s="286" t="n">
        <f aca="false">IFERROR(SUMIF($Y$4:$AJ$4, "SME", Y113:AJ113), "")</f>
        <v>0</v>
      </c>
      <c r="AM113" s="286" t="n">
        <f aca="false">IFERROR(SUMIF($Y$4:$AJ$4, "De Minimis", Y113:AJ113), "")</f>
        <v>0</v>
      </c>
      <c r="AN113" s="283"/>
      <c r="AO113" s="284" t="n">
        <f aca="false">IFERROR($G113*$J113*L113, "")</f>
        <v>0</v>
      </c>
      <c r="AP113" s="284" t="n">
        <f aca="false">IFERROR($G113*$J113*M113, "")</f>
        <v>0</v>
      </c>
      <c r="AQ113" s="284" t="n">
        <f aca="false">IFERROR($G113*$J113*N113, "")</f>
        <v>0</v>
      </c>
      <c r="AR113" s="284" t="n">
        <f aca="false">IFERROR($G113*$J113*O113, "")</f>
        <v>0</v>
      </c>
      <c r="AS113" s="284" t="n">
        <f aca="false">IFERROR($G113*$J113*P113, "")</f>
        <v>0</v>
      </c>
      <c r="AT113" s="284" t="n">
        <f aca="false">IFERROR($G113*$J113*Q113, "")</f>
        <v>0</v>
      </c>
      <c r="AU113" s="284" t="n">
        <f aca="false">IFERROR($G113*$J113*R113, "")</f>
        <v>0</v>
      </c>
      <c r="AV113" s="284" t="n">
        <f aca="false">IFERROR($G113*$J113*S113, "")</f>
        <v>0</v>
      </c>
      <c r="AW113" s="284" t="n">
        <f aca="false">IFERROR($G113*$J113*T113, "")</f>
        <v>0</v>
      </c>
      <c r="AX113" s="284" t="n">
        <f aca="false">IFERROR($G113*$J113*U113, "")</f>
        <v>0</v>
      </c>
      <c r="AY113" s="284" t="n">
        <f aca="false">IFERROR($G113*$J113*V113, "")</f>
        <v>0</v>
      </c>
      <c r="AZ113" s="284" t="n">
        <f aca="false">IFERROR($G113*$J113*W113, "")</f>
        <v>0</v>
      </c>
      <c r="BA113" s="286" t="n">
        <f aca="false">IFERROR(SUMIF($AO$4:$AZ$4, "RDEC", AO113:AZ113), "")</f>
        <v>0</v>
      </c>
      <c r="BB113" s="286" t="n">
        <f aca="false">IFERROR(SUMIF($AO$4:$AZ$4, "SME", AO113:AZ113), "")</f>
        <v>0</v>
      </c>
      <c r="BC113" s="286" t="n">
        <f aca="false">IFERROR(SUMIF($Y$4:$AJ$4, "De Minimis", AO113:AZ113), "")</f>
        <v>0</v>
      </c>
      <c r="BD113" s="287"/>
      <c r="BE113" s="288" t="str">
        <f aca="false">IF((SUM(L113:W113)&gt;1),"ERROR","")</f>
        <v/>
      </c>
    </row>
    <row r="114" customFormat="false" ht="15" hidden="false" customHeight="true" outlineLevel="0" collapsed="false">
      <c r="B114" s="333"/>
      <c r="C114" s="334"/>
      <c r="D114" s="333" t="n">
        <f aca="false">D98</f>
        <v>45566</v>
      </c>
      <c r="E114" s="277" t="n">
        <v>0</v>
      </c>
      <c r="F114" s="277" t="n">
        <v>0</v>
      </c>
      <c r="G114" s="277" t="n">
        <f aca="false">SUM(E114:F114)</f>
        <v>0</v>
      </c>
      <c r="H114" s="204"/>
      <c r="I114" s="279" t="n">
        <v>1</v>
      </c>
      <c r="J114" s="280" t="n">
        <f aca="false">1-I114</f>
        <v>0</v>
      </c>
      <c r="K114" s="277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3"/>
      <c r="Y114" s="284" t="n">
        <f aca="false">IFERROR(L114*$G114*I$9, "")</f>
        <v>0</v>
      </c>
      <c r="Z114" s="284" t="n">
        <f aca="false">IFERROR(M114*$G114*$I114, "")</f>
        <v>0</v>
      </c>
      <c r="AA114" s="284" t="n">
        <f aca="false">IFERROR(N114*$G114*$I114, "")</f>
        <v>0</v>
      </c>
      <c r="AB114" s="284" t="n">
        <f aca="false">IFERROR(O114*$G114*$I114, "")</f>
        <v>0</v>
      </c>
      <c r="AC114" s="284" t="n">
        <f aca="false">IFERROR(P114*$G114*$I114, "")</f>
        <v>0</v>
      </c>
      <c r="AD114" s="284" t="n">
        <f aca="false">IFERROR(Q114*$G114*$I114, "")</f>
        <v>0</v>
      </c>
      <c r="AE114" s="284" t="n">
        <f aca="false">IFERROR(R114*$G114*$I114, "")</f>
        <v>0</v>
      </c>
      <c r="AF114" s="284" t="n">
        <f aca="false">IFERROR(S114*$G114*$I114, "")</f>
        <v>0</v>
      </c>
      <c r="AG114" s="284" t="n">
        <f aca="false">IFERROR(T114*$G114*$I114, "")</f>
        <v>0</v>
      </c>
      <c r="AH114" s="284" t="n">
        <f aca="false">IFERROR(U114*$G114*$I114, "")</f>
        <v>0</v>
      </c>
      <c r="AI114" s="284" t="n">
        <f aca="false">IFERROR(V114*$G114*$I114, "")</f>
        <v>0</v>
      </c>
      <c r="AJ114" s="284" t="n">
        <f aca="false">IFERROR(W114*$G114*$I114, "")</f>
        <v>0</v>
      </c>
      <c r="AK114" s="286" t="n">
        <f aca="false">IFERROR(SUMIF($Y$4:$AJ$4, "RDEC", Y114:AJ114), "")</f>
        <v>0</v>
      </c>
      <c r="AL114" s="286" t="n">
        <f aca="false">IFERROR(SUMIF($Y$4:$AJ$4, "SME", Y114:AJ114), "")</f>
        <v>0</v>
      </c>
      <c r="AM114" s="286" t="n">
        <f aca="false">IFERROR(SUMIF($Y$4:$AJ$4, "De Minimis", Y114:AJ114), "")</f>
        <v>0</v>
      </c>
      <c r="AN114" s="283"/>
      <c r="AO114" s="284" t="n">
        <f aca="false">IFERROR($G114*$J114*L114, "")</f>
        <v>0</v>
      </c>
      <c r="AP114" s="284" t="n">
        <f aca="false">IFERROR($G114*$J114*M114, "")</f>
        <v>0</v>
      </c>
      <c r="AQ114" s="284" t="n">
        <f aca="false">IFERROR($G114*$J114*N114, "")</f>
        <v>0</v>
      </c>
      <c r="AR114" s="284" t="n">
        <f aca="false">IFERROR($G114*$J114*O114, "")</f>
        <v>0</v>
      </c>
      <c r="AS114" s="284" t="n">
        <f aca="false">IFERROR($G114*$J114*P114, "")</f>
        <v>0</v>
      </c>
      <c r="AT114" s="284" t="n">
        <f aca="false">IFERROR($G114*$J114*Q114, "")</f>
        <v>0</v>
      </c>
      <c r="AU114" s="284" t="n">
        <f aca="false">IFERROR($G114*$J114*R114, "")</f>
        <v>0</v>
      </c>
      <c r="AV114" s="284" t="n">
        <f aca="false">IFERROR($G114*$J114*S114, "")</f>
        <v>0</v>
      </c>
      <c r="AW114" s="284" t="n">
        <f aca="false">IFERROR($G114*$J114*T114, "")</f>
        <v>0</v>
      </c>
      <c r="AX114" s="284" t="n">
        <f aca="false">IFERROR($G114*$J114*U114, "")</f>
        <v>0</v>
      </c>
      <c r="AY114" s="284" t="n">
        <f aca="false">IFERROR($G114*$J114*V114, "")</f>
        <v>0</v>
      </c>
      <c r="AZ114" s="284" t="n">
        <f aca="false">IFERROR($G114*$J114*W114, "")</f>
        <v>0</v>
      </c>
      <c r="BA114" s="286" t="n">
        <f aca="false">IFERROR(SUMIF($AO$4:$AZ$4, "RDEC", AO114:AZ114), "")</f>
        <v>0</v>
      </c>
      <c r="BB114" s="286" t="n">
        <f aca="false">IFERROR(SUMIF($AO$4:$AZ$4, "SME", AO114:AZ114), "")</f>
        <v>0</v>
      </c>
      <c r="BC114" s="286" t="n">
        <f aca="false">IFERROR(SUMIF($Y$4:$AJ$4, "De Minimis", AO114:AZ114), "")</f>
        <v>0</v>
      </c>
      <c r="BD114" s="287"/>
      <c r="BE114" s="288" t="str">
        <f aca="false">IF((SUM(L114:W114)&gt;1),"ERROR","")</f>
        <v/>
      </c>
    </row>
    <row r="115" customFormat="false" ht="15" hidden="false" customHeight="true" outlineLevel="0" collapsed="false">
      <c r="B115" s="333"/>
      <c r="C115" s="334"/>
      <c r="D115" s="333" t="n">
        <f aca="false">D99</f>
        <v>45597</v>
      </c>
      <c r="E115" s="277" t="n">
        <v>0</v>
      </c>
      <c r="F115" s="277" t="n">
        <v>0</v>
      </c>
      <c r="G115" s="277" t="n">
        <f aca="false">SUM(E115:F115)</f>
        <v>0</v>
      </c>
      <c r="H115" s="204"/>
      <c r="I115" s="279" t="n">
        <v>1</v>
      </c>
      <c r="J115" s="280" t="n">
        <f aca="false">1-I115</f>
        <v>0</v>
      </c>
      <c r="K115" s="277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3"/>
      <c r="Y115" s="284" t="n">
        <f aca="false">IFERROR(L115*$G115*I$9, "")</f>
        <v>0</v>
      </c>
      <c r="Z115" s="284" t="n">
        <f aca="false">IFERROR(M115*$G115*$I115, "")</f>
        <v>0</v>
      </c>
      <c r="AA115" s="284" t="n">
        <f aca="false">IFERROR(N115*$G115*$I115, "")</f>
        <v>0</v>
      </c>
      <c r="AB115" s="284" t="n">
        <f aca="false">IFERROR(O115*$G115*$I115, "")</f>
        <v>0</v>
      </c>
      <c r="AC115" s="284" t="n">
        <f aca="false">IFERROR(P115*$G115*$I115, "")</f>
        <v>0</v>
      </c>
      <c r="AD115" s="284" t="n">
        <f aca="false">IFERROR(Q115*$G115*$I115, "")</f>
        <v>0</v>
      </c>
      <c r="AE115" s="284" t="n">
        <f aca="false">IFERROR(R115*$G115*$I115, "")</f>
        <v>0</v>
      </c>
      <c r="AF115" s="284" t="n">
        <f aca="false">IFERROR(S115*$G115*$I115, "")</f>
        <v>0</v>
      </c>
      <c r="AG115" s="284" t="n">
        <f aca="false">IFERROR(T115*$G115*$I115, "")</f>
        <v>0</v>
      </c>
      <c r="AH115" s="284" t="n">
        <f aca="false">IFERROR(U115*$G115*$I115, "")</f>
        <v>0</v>
      </c>
      <c r="AI115" s="284" t="n">
        <f aca="false">IFERROR(V115*$G115*$I115, "")</f>
        <v>0</v>
      </c>
      <c r="AJ115" s="284" t="n">
        <f aca="false">IFERROR(W115*$G115*$I115, "")</f>
        <v>0</v>
      </c>
      <c r="AK115" s="286" t="n">
        <f aca="false">IFERROR(SUMIF($Y$4:$AJ$4, "RDEC", Y115:AJ115), "")</f>
        <v>0</v>
      </c>
      <c r="AL115" s="286" t="n">
        <f aca="false">IFERROR(SUMIF($Y$4:$AJ$4, "SME", Y115:AJ115), "")</f>
        <v>0</v>
      </c>
      <c r="AM115" s="286" t="n">
        <f aca="false">IFERROR(SUMIF($Y$4:$AJ$4, "De Minimis", Y115:AJ115), "")</f>
        <v>0</v>
      </c>
      <c r="AN115" s="283"/>
      <c r="AO115" s="284" t="n">
        <f aca="false">IFERROR($G115*$J115*L115, "")</f>
        <v>0</v>
      </c>
      <c r="AP115" s="284" t="n">
        <f aca="false">IFERROR($G115*$J115*M115, "")</f>
        <v>0</v>
      </c>
      <c r="AQ115" s="284" t="n">
        <f aca="false">IFERROR($G115*$J115*N115, "")</f>
        <v>0</v>
      </c>
      <c r="AR115" s="284" t="n">
        <f aca="false">IFERROR($G115*$J115*O115, "")</f>
        <v>0</v>
      </c>
      <c r="AS115" s="284" t="n">
        <f aca="false">IFERROR($G115*$J115*P115, "")</f>
        <v>0</v>
      </c>
      <c r="AT115" s="284" t="n">
        <f aca="false">IFERROR($G115*$J115*Q115, "")</f>
        <v>0</v>
      </c>
      <c r="AU115" s="284" t="n">
        <f aca="false">IFERROR($G115*$J115*R115, "")</f>
        <v>0</v>
      </c>
      <c r="AV115" s="284" t="n">
        <f aca="false">IFERROR($G115*$J115*S115, "")</f>
        <v>0</v>
      </c>
      <c r="AW115" s="284" t="n">
        <f aca="false">IFERROR($G115*$J115*T115, "")</f>
        <v>0</v>
      </c>
      <c r="AX115" s="284" t="n">
        <f aca="false">IFERROR($G115*$J115*U115, "")</f>
        <v>0</v>
      </c>
      <c r="AY115" s="284" t="n">
        <f aca="false">IFERROR($G115*$J115*V115, "")</f>
        <v>0</v>
      </c>
      <c r="AZ115" s="284" t="n">
        <f aca="false">IFERROR($G115*$J115*W115, "")</f>
        <v>0</v>
      </c>
      <c r="BA115" s="286" t="n">
        <f aca="false">IFERROR(SUMIF($AO$4:$AZ$4, "RDEC", AO115:AZ115), "")</f>
        <v>0</v>
      </c>
      <c r="BB115" s="286" t="n">
        <f aca="false">IFERROR(SUMIF($AO$4:$AZ$4, "SME", AO115:AZ115), "")</f>
        <v>0</v>
      </c>
      <c r="BC115" s="286" t="n">
        <f aca="false">IFERROR(SUMIF($Y$4:$AJ$4, "De Minimis", AO115:AZ115), "")</f>
        <v>0</v>
      </c>
      <c r="BD115" s="287"/>
      <c r="BE115" s="288" t="str">
        <f aca="false">IF((SUM(L115:W115)&gt;1),"ERROR","")</f>
        <v/>
      </c>
    </row>
    <row r="116" customFormat="false" ht="15" hidden="false" customHeight="true" outlineLevel="0" collapsed="false">
      <c r="B116" s="333"/>
      <c r="C116" s="334"/>
      <c r="D116" s="333" t="n">
        <f aca="false">D100</f>
        <v>45627</v>
      </c>
      <c r="E116" s="277" t="n">
        <v>0</v>
      </c>
      <c r="F116" s="277" t="n">
        <v>0</v>
      </c>
      <c r="G116" s="277" t="n">
        <f aca="false">SUM(E116:F116)</f>
        <v>0</v>
      </c>
      <c r="H116" s="300"/>
      <c r="I116" s="289" t="n">
        <v>1</v>
      </c>
      <c r="J116" s="290" t="n">
        <f aca="false">1-I116</f>
        <v>0</v>
      </c>
      <c r="K116" s="300"/>
      <c r="L116" s="291"/>
      <c r="M116" s="291"/>
      <c r="N116" s="291"/>
      <c r="O116" s="291"/>
      <c r="P116" s="291"/>
      <c r="Q116" s="291"/>
      <c r="R116" s="291"/>
      <c r="S116" s="291"/>
      <c r="T116" s="291"/>
      <c r="U116" s="291"/>
      <c r="V116" s="291"/>
      <c r="W116" s="291"/>
      <c r="X116" s="283"/>
      <c r="Y116" s="284" t="n">
        <f aca="false">IFERROR(L116*$G116*I$9, "")</f>
        <v>0</v>
      </c>
      <c r="Z116" s="284" t="n">
        <f aca="false">IFERROR(M116*$G116*$I116, "")</f>
        <v>0</v>
      </c>
      <c r="AA116" s="284" t="n">
        <f aca="false">IFERROR(N116*$G116*$I116, "")</f>
        <v>0</v>
      </c>
      <c r="AB116" s="284" t="n">
        <f aca="false">IFERROR(O116*$G116*$I116, "")</f>
        <v>0</v>
      </c>
      <c r="AC116" s="284" t="n">
        <f aca="false">IFERROR(P116*$G116*$I116, "")</f>
        <v>0</v>
      </c>
      <c r="AD116" s="284" t="n">
        <f aca="false">IFERROR(Q116*$G116*$I116, "")</f>
        <v>0</v>
      </c>
      <c r="AE116" s="284" t="n">
        <f aca="false">IFERROR(R116*$G116*$I116, "")</f>
        <v>0</v>
      </c>
      <c r="AF116" s="284" t="n">
        <f aca="false">IFERROR(S116*$G116*$I116, "")</f>
        <v>0</v>
      </c>
      <c r="AG116" s="284" t="n">
        <f aca="false">IFERROR(T116*$G116*$I116, "")</f>
        <v>0</v>
      </c>
      <c r="AH116" s="284" t="n">
        <f aca="false">IFERROR(U116*$G116*$I116, "")</f>
        <v>0</v>
      </c>
      <c r="AI116" s="284" t="n">
        <f aca="false">IFERROR(V116*$G116*$I116, "")</f>
        <v>0</v>
      </c>
      <c r="AJ116" s="284" t="n">
        <f aca="false">IFERROR(W116*$G116*$I116, "")</f>
        <v>0</v>
      </c>
      <c r="AK116" s="294" t="n">
        <f aca="false">IFERROR(SUMIF($Y$4:$AJ$4, "RDEC", Y116:AJ116), "")</f>
        <v>0</v>
      </c>
      <c r="AL116" s="294" t="n">
        <f aca="false">IFERROR(SUMIF($Y$4:$AJ$4, "SME", Y116:AJ116), "")</f>
        <v>0</v>
      </c>
      <c r="AM116" s="294" t="n">
        <f aca="false">IFERROR(SUMIF($Y$4:$AJ$4, "De Minimis", Y116:AJ116), "")</f>
        <v>0</v>
      </c>
      <c r="AN116" s="283"/>
      <c r="AO116" s="284" t="n">
        <f aca="false">IFERROR($G116*$J116*L116, "")</f>
        <v>0</v>
      </c>
      <c r="AP116" s="284" t="n">
        <f aca="false">IFERROR($G116*$J116*M116, "")</f>
        <v>0</v>
      </c>
      <c r="AQ116" s="284" t="n">
        <f aca="false">IFERROR($G116*$J116*N116, "")</f>
        <v>0</v>
      </c>
      <c r="AR116" s="284" t="n">
        <f aca="false">IFERROR($G116*$J116*O116, "")</f>
        <v>0</v>
      </c>
      <c r="AS116" s="284" t="n">
        <f aca="false">IFERROR($G116*$J116*P116, "")</f>
        <v>0</v>
      </c>
      <c r="AT116" s="284" t="n">
        <f aca="false">IFERROR($G116*$J116*Q116, "")</f>
        <v>0</v>
      </c>
      <c r="AU116" s="284" t="n">
        <f aca="false">IFERROR($G116*$J116*R116, "")</f>
        <v>0</v>
      </c>
      <c r="AV116" s="284" t="n">
        <f aca="false">IFERROR($G116*$J116*S116, "")</f>
        <v>0</v>
      </c>
      <c r="AW116" s="284" t="n">
        <f aca="false">IFERROR($G116*$J116*T116, "")</f>
        <v>0</v>
      </c>
      <c r="AX116" s="284" t="n">
        <f aca="false">IFERROR($G116*$J116*U116, "")</f>
        <v>0</v>
      </c>
      <c r="AY116" s="284" t="n">
        <f aca="false">IFERROR($G116*$J116*V116, "")</f>
        <v>0</v>
      </c>
      <c r="AZ116" s="284" t="n">
        <f aca="false">IFERROR($G116*$J116*W116, "")</f>
        <v>0</v>
      </c>
      <c r="BA116" s="286" t="n">
        <f aca="false">IFERROR(SUMIF($AO$4:$AZ$4, "RDEC", AO116:AZ116), "")</f>
        <v>0</v>
      </c>
      <c r="BB116" s="286" t="n">
        <f aca="false">IFERROR(SUMIF($AO$4:$AZ$4, "SME", AO116:AZ116), "")</f>
        <v>0</v>
      </c>
      <c r="BC116" s="294" t="n">
        <f aca="false">IFERROR(SUMIF($Y$4:$AJ$4, "De Minimis", AO116:AZ116), "")</f>
        <v>0</v>
      </c>
      <c r="BD116" s="303"/>
      <c r="BE116" s="295" t="str">
        <f aca="false">IF((SUM(L116:W116)&gt;1),"ERROR","")</f>
        <v/>
      </c>
    </row>
    <row r="117" customFormat="false" ht="15" hidden="false" customHeight="true" outlineLevel="0" collapsed="false">
      <c r="B117" s="296"/>
      <c r="D117" s="297" t="s">
        <v>82</v>
      </c>
      <c r="E117" s="299" t="n">
        <f aca="false">SUM(E105:E116)</f>
        <v>0</v>
      </c>
      <c r="F117" s="299" t="n">
        <f aca="false">SUM(F105:F116)</f>
        <v>0</v>
      </c>
      <c r="G117" s="299" t="n">
        <f aca="false">SUM(G105:G116)</f>
        <v>0</v>
      </c>
      <c r="H117" s="300"/>
      <c r="I117" s="301" t="n">
        <f aca="false">AVERAGE(I105:I116)</f>
        <v>1</v>
      </c>
      <c r="J117" s="301" t="n">
        <f aca="false">AVERAGE(J105:J116)</f>
        <v>0</v>
      </c>
      <c r="K117" s="300"/>
      <c r="L117" s="290" t="n">
        <f aca="false">IF(SUM(L105:L116)&gt;0,(Y117/G117),0)</f>
        <v>0</v>
      </c>
      <c r="M117" s="301" t="n">
        <f aca="false">IF(SUM(M105:M116)&gt;0,(Z117/G117),0)</f>
        <v>0</v>
      </c>
      <c r="N117" s="301" t="n">
        <f aca="false">IF(SUM(N105:N116)&gt;0,(AA117/G117),0)</f>
        <v>0</v>
      </c>
      <c r="O117" s="301" t="n">
        <f aca="false">IF(SUM(O105:O116)&gt;0,(AB117/G117),0)</f>
        <v>0</v>
      </c>
      <c r="P117" s="301" t="n">
        <f aca="false">IF(SUM(P105:P116)&gt;0,(AC117/G117),0)</f>
        <v>0</v>
      </c>
      <c r="Q117" s="301" t="n">
        <f aca="false">IF(SUM(Q105:Q116)&gt;0,(AD117/G117),0)</f>
        <v>0</v>
      </c>
      <c r="R117" s="301" t="n">
        <f aca="false">IF(SUM(R105:R116)&gt;0,(AE117/G117),0)</f>
        <v>0</v>
      </c>
      <c r="S117" s="301" t="n">
        <f aca="false">IF(SUM(S105:S116)&gt;0,(AF117/G117),0)</f>
        <v>0</v>
      </c>
      <c r="T117" s="301" t="n">
        <f aca="false">IF(SUM(T105:T116)&gt;0,(AG117/G117),0)</f>
        <v>0</v>
      </c>
      <c r="U117" s="301" t="n">
        <f aca="false">IF(SUM(U105:U116)&gt;0,(AJ117/G117),0)</f>
        <v>0</v>
      </c>
      <c r="V117" s="301" t="n">
        <f aca="false">IF(SUM(V105:V116)&gt;0,(AI117/G117),0)</f>
        <v>0</v>
      </c>
      <c r="W117" s="301" t="n">
        <f aca="false">IF(SUM(W105:W116)&gt;0,(AJ117/G117),0)</f>
        <v>0</v>
      </c>
      <c r="X117" s="283"/>
      <c r="Y117" s="304" t="n">
        <f aca="false">SUM(Y105:Y116)</f>
        <v>0</v>
      </c>
      <c r="Z117" s="304" t="n">
        <f aca="false">SUM(Z105:Z116)</f>
        <v>0</v>
      </c>
      <c r="AA117" s="304" t="n">
        <f aca="false">SUM(AA105:AA116)</f>
        <v>0</v>
      </c>
      <c r="AB117" s="304" t="n">
        <f aca="false">SUM(AB105:AB116)</f>
        <v>0</v>
      </c>
      <c r="AC117" s="304" t="n">
        <f aca="false">SUM(AC105:AC116)</f>
        <v>0</v>
      </c>
      <c r="AD117" s="304" t="n">
        <f aca="false">SUM(AD105:AD116)</f>
        <v>0</v>
      </c>
      <c r="AE117" s="304" t="n">
        <f aca="false">SUM(AE105:AE116)</f>
        <v>0</v>
      </c>
      <c r="AF117" s="304" t="n">
        <f aca="false">SUM(AF105:AF116)</f>
        <v>0</v>
      </c>
      <c r="AG117" s="304" t="n">
        <f aca="false">SUM(AG105:AG116)</f>
        <v>0</v>
      </c>
      <c r="AH117" s="304" t="n">
        <f aca="false">SUM(AH105:AH116)</f>
        <v>0</v>
      </c>
      <c r="AI117" s="304" t="n">
        <f aca="false">SUM(AI105:AI116)</f>
        <v>0</v>
      </c>
      <c r="AJ117" s="304" t="n">
        <f aca="false">SUM(AJ105:AJ116)</f>
        <v>0</v>
      </c>
      <c r="AK117" s="335" t="n">
        <f aca="false">SUM(AK105:AK116)</f>
        <v>0</v>
      </c>
      <c r="AL117" s="336" t="n">
        <f aca="false">SUM(AL105:AL116)</f>
        <v>0</v>
      </c>
      <c r="AM117" s="305" t="n">
        <f aca="false">SUM(AM105:AM116)</f>
        <v>0</v>
      </c>
      <c r="AN117" s="283"/>
      <c r="AO117" s="304" t="n">
        <f aca="false">SUM(AO105:AO116)</f>
        <v>0</v>
      </c>
      <c r="AP117" s="304" t="n">
        <f aca="false">SUM(AP105:AP116)</f>
        <v>0</v>
      </c>
      <c r="AQ117" s="304" t="n">
        <f aca="false">SUM(AQ105:AQ116)</f>
        <v>0</v>
      </c>
      <c r="AR117" s="304" t="n">
        <f aca="false">SUM(AR105:AR116)</f>
        <v>0</v>
      </c>
      <c r="AS117" s="304" t="n">
        <f aca="false">SUM(AS105:AS116)</f>
        <v>0</v>
      </c>
      <c r="AT117" s="304" t="n">
        <f aca="false">SUM(AT105:AT116)</f>
        <v>0</v>
      </c>
      <c r="AU117" s="304" t="n">
        <f aca="false">SUM(AU105:AU116)</f>
        <v>0</v>
      </c>
      <c r="AV117" s="304" t="n">
        <f aca="false">SUM(AV105:AV116)</f>
        <v>0</v>
      </c>
      <c r="AW117" s="304" t="n">
        <f aca="false">SUM(AW105:AW116)</f>
        <v>0</v>
      </c>
      <c r="AX117" s="304" t="n">
        <f aca="false">SUM(AX105:AX116)</f>
        <v>0</v>
      </c>
      <c r="AY117" s="304" t="n">
        <f aca="false">SUM(AY105:AY116)</f>
        <v>0</v>
      </c>
      <c r="AZ117" s="304" t="n">
        <f aca="false">SUM(AZ105:AZ116)</f>
        <v>0</v>
      </c>
      <c r="BA117" s="336" t="n">
        <f aca="false">SUM(BA105:BA116)</f>
        <v>0</v>
      </c>
      <c r="BB117" s="336" t="n">
        <f aca="false">SUM(BB105:BB116)</f>
        <v>0</v>
      </c>
      <c r="BC117" s="305" t="n">
        <f aca="false">SUM(BC105:BC116)</f>
        <v>0</v>
      </c>
      <c r="BD117" s="303"/>
      <c r="BE117" s="337"/>
    </row>
    <row r="118" customFormat="false" ht="15" hidden="false" customHeight="true" outlineLevel="0" collapsed="false">
      <c r="B118" s="296"/>
      <c r="D118" s="297"/>
      <c r="E118" s="300"/>
      <c r="F118" s="300"/>
      <c r="G118" s="300"/>
      <c r="H118" s="241"/>
      <c r="I118" s="302"/>
      <c r="J118" s="302"/>
      <c r="K118" s="241"/>
      <c r="L118" s="259"/>
      <c r="M118" s="259"/>
      <c r="N118" s="259"/>
      <c r="O118" s="259"/>
      <c r="P118" s="259"/>
      <c r="Q118" s="259"/>
      <c r="R118" s="259"/>
      <c r="S118" s="259"/>
      <c r="T118" s="259"/>
      <c r="U118" s="259"/>
      <c r="V118" s="259"/>
      <c r="W118" s="259"/>
      <c r="X118" s="303"/>
      <c r="Y118" s="259"/>
      <c r="Z118" s="303"/>
      <c r="AA118" s="303"/>
      <c r="AB118" s="303"/>
      <c r="AC118" s="303"/>
      <c r="AD118" s="303"/>
      <c r="AE118" s="303"/>
      <c r="AF118" s="303"/>
      <c r="AG118" s="303"/>
      <c r="AH118" s="303"/>
      <c r="AI118" s="303"/>
      <c r="AJ118" s="303"/>
      <c r="AK118" s="303"/>
      <c r="AL118" s="303"/>
      <c r="AM118" s="303"/>
      <c r="AN118" s="303"/>
      <c r="AO118" s="259"/>
      <c r="AP118" s="303"/>
      <c r="AQ118" s="303"/>
      <c r="AR118" s="303"/>
      <c r="AS118" s="303"/>
      <c r="AT118" s="303"/>
      <c r="AU118" s="303"/>
      <c r="AV118" s="303"/>
      <c r="AW118" s="303"/>
      <c r="AX118" s="303"/>
      <c r="AY118" s="303"/>
      <c r="AZ118" s="303"/>
      <c r="BA118" s="303"/>
      <c r="BB118" s="303"/>
      <c r="BC118" s="303"/>
      <c r="BD118" s="268"/>
      <c r="BE118" s="303"/>
    </row>
    <row r="119" customFormat="false" ht="15" hidden="false" customHeight="true" outlineLevel="0" collapsed="false">
      <c r="A119" s="198" t="n">
        <f aca="false">A103+1</f>
        <v>8</v>
      </c>
      <c r="B119" s="266" t="s">
        <v>253</v>
      </c>
      <c r="C119" s="266" t="s">
        <v>253</v>
      </c>
      <c r="D119" s="266"/>
      <c r="E119" s="241"/>
      <c r="F119" s="241"/>
      <c r="G119" s="241"/>
      <c r="H119" s="241"/>
      <c r="I119" s="241"/>
      <c r="J119" s="241"/>
      <c r="K119" s="277"/>
      <c r="L119" s="241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59"/>
      <c r="Y119" s="268"/>
      <c r="Z119" s="268"/>
      <c r="AA119" s="268"/>
      <c r="AB119" s="268"/>
      <c r="AC119" s="268"/>
      <c r="AD119" s="268"/>
      <c r="AE119" s="268"/>
      <c r="AF119" s="268"/>
      <c r="AG119" s="268"/>
      <c r="AH119" s="268"/>
      <c r="AI119" s="268"/>
      <c r="AJ119" s="268"/>
      <c r="AK119" s="268"/>
      <c r="AL119" s="268"/>
      <c r="AM119" s="268"/>
      <c r="AN119" s="259"/>
      <c r="AO119" s="268"/>
      <c r="AP119" s="268"/>
      <c r="AQ119" s="268"/>
      <c r="AR119" s="268"/>
      <c r="AS119" s="268"/>
      <c r="AT119" s="268"/>
      <c r="AU119" s="268"/>
      <c r="AV119" s="268"/>
      <c r="AW119" s="268"/>
      <c r="AX119" s="268"/>
      <c r="AY119" s="268"/>
      <c r="AZ119" s="268"/>
      <c r="BA119" s="268"/>
      <c r="BB119" s="268"/>
      <c r="BC119" s="268"/>
      <c r="BD119" s="287"/>
      <c r="BE119" s="268"/>
    </row>
    <row r="120" customFormat="false" ht="7.5" hidden="false" customHeight="true" outlineLevel="0" collapsed="false">
      <c r="A120" s="198"/>
      <c r="B120" s="266"/>
      <c r="C120" s="266"/>
      <c r="D120" s="266"/>
      <c r="E120" s="241"/>
      <c r="F120" s="241"/>
      <c r="G120" s="241"/>
      <c r="H120" s="204"/>
      <c r="I120" s="269"/>
      <c r="J120" s="269"/>
      <c r="K120" s="277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59"/>
      <c r="Y120" s="271"/>
      <c r="Z120" s="271"/>
      <c r="AA120" s="271"/>
      <c r="AB120" s="271"/>
      <c r="AC120" s="271"/>
      <c r="AD120" s="271"/>
      <c r="AE120" s="271"/>
      <c r="AF120" s="271"/>
      <c r="AG120" s="271"/>
      <c r="AH120" s="271"/>
      <c r="AI120" s="271"/>
      <c r="AJ120" s="272"/>
      <c r="AK120" s="273"/>
      <c r="AL120" s="273"/>
      <c r="AM120" s="273"/>
      <c r="AN120" s="259"/>
      <c r="AO120" s="271"/>
      <c r="AP120" s="271"/>
      <c r="AQ120" s="271"/>
      <c r="AR120" s="271"/>
      <c r="AS120" s="271"/>
      <c r="AT120" s="271"/>
      <c r="AU120" s="271"/>
      <c r="AV120" s="271"/>
      <c r="AW120" s="271"/>
      <c r="AX120" s="271"/>
      <c r="AY120" s="271"/>
      <c r="AZ120" s="272"/>
      <c r="BA120" s="273"/>
      <c r="BB120" s="273"/>
      <c r="BC120" s="273"/>
      <c r="BD120" s="287"/>
      <c r="BE120" s="274"/>
    </row>
    <row r="121" customFormat="false" ht="15" hidden="false" customHeight="true" outlineLevel="0" collapsed="false">
      <c r="B121" s="333"/>
      <c r="C121" s="334"/>
      <c r="D121" s="333" t="n">
        <f aca="false">D105</f>
        <v>45292</v>
      </c>
      <c r="E121" s="277" t="n">
        <v>0</v>
      </c>
      <c r="F121" s="277" t="n">
        <v>0</v>
      </c>
      <c r="G121" s="277" t="n">
        <f aca="false">SUM(E121:F121)</f>
        <v>0</v>
      </c>
      <c r="H121" s="204"/>
      <c r="I121" s="279" t="n">
        <v>1</v>
      </c>
      <c r="J121" s="280" t="n">
        <f aca="false">1-I121</f>
        <v>0</v>
      </c>
      <c r="K121" s="277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68"/>
      <c r="Y121" s="284" t="n">
        <f aca="false">IFERROR(L121*$G121*I$9, "")</f>
        <v>0</v>
      </c>
      <c r="Z121" s="284" t="n">
        <f aca="false">IFERROR(M121*$G121*$I121, "")</f>
        <v>0</v>
      </c>
      <c r="AA121" s="284" t="n">
        <f aca="false">IFERROR(N121*$G121*$I121, "")</f>
        <v>0</v>
      </c>
      <c r="AB121" s="284" t="n">
        <f aca="false">IFERROR(O121*$G121*$I121, "")</f>
        <v>0</v>
      </c>
      <c r="AC121" s="284" t="n">
        <f aca="false">IFERROR(P121*$G121*$I121, "")</f>
        <v>0</v>
      </c>
      <c r="AD121" s="284" t="n">
        <f aca="false">IFERROR(Q121*$G121*$I121, "")</f>
        <v>0</v>
      </c>
      <c r="AE121" s="284" t="n">
        <f aca="false">IFERROR(R121*$G121*$I121, "")</f>
        <v>0</v>
      </c>
      <c r="AF121" s="284" t="n">
        <f aca="false">IFERROR(S121*$G121*$I121, "")</f>
        <v>0</v>
      </c>
      <c r="AG121" s="284" t="n">
        <f aca="false">IFERROR(T121*$G121*$I121, "")</f>
        <v>0</v>
      </c>
      <c r="AH121" s="284" t="n">
        <f aca="false">IFERROR(U121*$G121*$I121, "")</f>
        <v>0</v>
      </c>
      <c r="AI121" s="284" t="n">
        <f aca="false">IFERROR(V121*$G121*$I121, "")</f>
        <v>0</v>
      </c>
      <c r="AJ121" s="284" t="n">
        <f aca="false">IFERROR(W121*$G121*$I121, "")</f>
        <v>0</v>
      </c>
      <c r="AK121" s="286" t="n">
        <f aca="false">IFERROR(SUMIF($Y$4:$AJ$4, "RDEC", Y121:AJ121), "")</f>
        <v>0</v>
      </c>
      <c r="AL121" s="286" t="n">
        <f aca="false">IFERROR(SUMIF($Y$4:$AJ$4, "SME", Y121:AJ121), "")</f>
        <v>0</v>
      </c>
      <c r="AM121" s="286" t="n">
        <f aca="false">IFERROR(SUMIF($Y$4:$AJ$4, "De Minimis", Y121:AJ121), "")</f>
        <v>0</v>
      </c>
      <c r="AN121" s="268"/>
      <c r="AO121" s="284" t="n">
        <f aca="false">IFERROR($G121*$J121*L121, "")</f>
        <v>0</v>
      </c>
      <c r="AP121" s="284" t="n">
        <f aca="false">IFERROR($G121*$J121*M121, "")</f>
        <v>0</v>
      </c>
      <c r="AQ121" s="284" t="n">
        <f aca="false">IFERROR($G121*$J121*N121, "")</f>
        <v>0</v>
      </c>
      <c r="AR121" s="284" t="n">
        <f aca="false">IFERROR($G121*$J121*O121, "")</f>
        <v>0</v>
      </c>
      <c r="AS121" s="284" t="n">
        <f aca="false">IFERROR($G121*$J121*P121, "")</f>
        <v>0</v>
      </c>
      <c r="AT121" s="284" t="n">
        <f aca="false">IFERROR($G121*$J121*Q121, "")</f>
        <v>0</v>
      </c>
      <c r="AU121" s="284" t="n">
        <f aca="false">IFERROR($G121*$J121*R121, "")</f>
        <v>0</v>
      </c>
      <c r="AV121" s="284" t="n">
        <f aca="false">IFERROR($G121*$J121*S121, "")</f>
        <v>0</v>
      </c>
      <c r="AW121" s="284" t="n">
        <f aca="false">IFERROR($G121*$J121*T121, "")</f>
        <v>0</v>
      </c>
      <c r="AX121" s="284" t="n">
        <f aca="false">IFERROR($G121*$J121*U121, "")</f>
        <v>0</v>
      </c>
      <c r="AY121" s="284" t="n">
        <f aca="false">IFERROR($G121*$J121*V121, "")</f>
        <v>0</v>
      </c>
      <c r="AZ121" s="284" t="n">
        <f aca="false">IFERROR($G121*$J121*W121, "")</f>
        <v>0</v>
      </c>
      <c r="BA121" s="286" t="n">
        <f aca="false">IFERROR(SUMIF($AO$4:$AZ$4, "RDEC", AO121:AZ121), "")</f>
        <v>0</v>
      </c>
      <c r="BB121" s="286" t="n">
        <f aca="false">IFERROR(SUMIF($AO$4:$AZ$4, "SME", AO121:AZ121), "")</f>
        <v>0</v>
      </c>
      <c r="BC121" s="286" t="n">
        <f aca="false">IFERROR(SUMIF($AO$4:$AZ$4, "De Minimis", AO121:AZ121), "")</f>
        <v>0</v>
      </c>
      <c r="BD121" s="287"/>
      <c r="BE121" s="288" t="str">
        <f aca="false">IF((SUM(L121:W121)&gt;1),"ERROR","")</f>
        <v/>
      </c>
    </row>
    <row r="122" customFormat="false" ht="15" hidden="false" customHeight="true" outlineLevel="0" collapsed="false">
      <c r="B122" s="333"/>
      <c r="C122" s="334"/>
      <c r="D122" s="333" t="n">
        <f aca="false">D106</f>
        <v>45323</v>
      </c>
      <c r="E122" s="277" t="n">
        <v>0</v>
      </c>
      <c r="F122" s="277" t="n">
        <v>0</v>
      </c>
      <c r="G122" s="277" t="n">
        <f aca="false">SUM(E122:F122)</f>
        <v>0</v>
      </c>
      <c r="H122" s="204"/>
      <c r="I122" s="279" t="n">
        <v>1</v>
      </c>
      <c r="J122" s="280" t="n">
        <f aca="false">1-I122</f>
        <v>0</v>
      </c>
      <c r="K122" s="277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3"/>
      <c r="Y122" s="284" t="n">
        <f aca="false">IFERROR(L122*$G122*I$9, "")</f>
        <v>0</v>
      </c>
      <c r="Z122" s="284" t="n">
        <f aca="false">IFERROR(M122*$G122*$I122, "")</f>
        <v>0</v>
      </c>
      <c r="AA122" s="284" t="n">
        <f aca="false">IFERROR(N122*$G122*$I122, "")</f>
        <v>0</v>
      </c>
      <c r="AB122" s="284" t="n">
        <f aca="false">IFERROR(O122*$G122*$I122, "")</f>
        <v>0</v>
      </c>
      <c r="AC122" s="284" t="n">
        <f aca="false">IFERROR(P122*$G122*$I122, "")</f>
        <v>0</v>
      </c>
      <c r="AD122" s="284" t="n">
        <f aca="false">IFERROR(Q122*$G122*$I122, "")</f>
        <v>0</v>
      </c>
      <c r="AE122" s="284" t="n">
        <f aca="false">IFERROR(R122*$G122*$I122, "")</f>
        <v>0</v>
      </c>
      <c r="AF122" s="284" t="n">
        <f aca="false">IFERROR(S122*$G122*$I122, "")</f>
        <v>0</v>
      </c>
      <c r="AG122" s="284" t="n">
        <f aca="false">IFERROR(T122*$G122*$I122, "")</f>
        <v>0</v>
      </c>
      <c r="AH122" s="284" t="n">
        <f aca="false">IFERROR(U122*$G122*$I122, "")</f>
        <v>0</v>
      </c>
      <c r="AI122" s="284" t="n">
        <f aca="false">IFERROR(V122*$G122*$I122, "")</f>
        <v>0</v>
      </c>
      <c r="AJ122" s="284" t="n">
        <f aca="false">IFERROR(W122*$G122*$I122, "")</f>
        <v>0</v>
      </c>
      <c r="AK122" s="286" t="n">
        <f aca="false">IFERROR(SUMIF($Y$4:$AJ$4, "RDEC", Y122:AJ122), "")</f>
        <v>0</v>
      </c>
      <c r="AL122" s="286" t="n">
        <f aca="false">IFERROR(SUMIF($Y$4:$AJ$4, "SME", Y122:AJ122), "")</f>
        <v>0</v>
      </c>
      <c r="AM122" s="286" t="n">
        <f aca="false">IFERROR(SUMIF($Y$4:$AJ$4, "De Minimis", Y122:AJ122), "")</f>
        <v>0</v>
      </c>
      <c r="AN122" s="283"/>
      <c r="AO122" s="284" t="n">
        <f aca="false">IFERROR($G122*$J122*L122, "")</f>
        <v>0</v>
      </c>
      <c r="AP122" s="284" t="n">
        <f aca="false">IFERROR($G122*$J122*M122, "")</f>
        <v>0</v>
      </c>
      <c r="AQ122" s="284" t="n">
        <f aca="false">IFERROR($G122*$J122*N122, "")</f>
        <v>0</v>
      </c>
      <c r="AR122" s="284" t="n">
        <f aca="false">IFERROR($G122*$J122*O122, "")</f>
        <v>0</v>
      </c>
      <c r="AS122" s="284" t="n">
        <f aca="false">IFERROR($G122*$J122*P122, "")</f>
        <v>0</v>
      </c>
      <c r="AT122" s="284" t="n">
        <f aca="false">IFERROR($G122*$J122*Q122, "")</f>
        <v>0</v>
      </c>
      <c r="AU122" s="284" t="n">
        <f aca="false">IFERROR($G122*$J122*R122, "")</f>
        <v>0</v>
      </c>
      <c r="AV122" s="284" t="n">
        <f aca="false">IFERROR($G122*$J122*S122, "")</f>
        <v>0</v>
      </c>
      <c r="AW122" s="284" t="n">
        <f aca="false">IFERROR($G122*$J122*T122, "")</f>
        <v>0</v>
      </c>
      <c r="AX122" s="284" t="n">
        <f aca="false">IFERROR($G122*$J122*U122, "")</f>
        <v>0</v>
      </c>
      <c r="AY122" s="284" t="n">
        <f aca="false">IFERROR($G122*$J122*V122, "")</f>
        <v>0</v>
      </c>
      <c r="AZ122" s="284" t="n">
        <f aca="false">IFERROR($G122*$J122*W122, "")</f>
        <v>0</v>
      </c>
      <c r="BA122" s="286" t="n">
        <f aca="false">IFERROR(SUMIF($AO$4:$AZ$4, "RDEC", AO122:AZ122), "")</f>
        <v>0</v>
      </c>
      <c r="BB122" s="286" t="n">
        <f aca="false">IFERROR(SUMIF($AO$4:$AZ$4, "SME", AO122:AZ122), "")</f>
        <v>0</v>
      </c>
      <c r="BC122" s="286" t="n">
        <f aca="false">IFERROR(SUMIF($Y$4:$AJ$4, "De Minimis", AO122:AZ122), "")</f>
        <v>0</v>
      </c>
      <c r="BD122" s="287"/>
      <c r="BE122" s="288" t="str">
        <f aca="false">IF((SUM(L122:W122)&gt;1),"ERROR","")</f>
        <v/>
      </c>
    </row>
    <row r="123" customFormat="false" ht="15" hidden="false" customHeight="true" outlineLevel="0" collapsed="false">
      <c r="B123" s="333"/>
      <c r="C123" s="334"/>
      <c r="D123" s="333" t="n">
        <f aca="false">D107</f>
        <v>45352</v>
      </c>
      <c r="E123" s="277" t="n">
        <v>0</v>
      </c>
      <c r="F123" s="277" t="n">
        <v>0</v>
      </c>
      <c r="G123" s="277" t="n">
        <f aca="false">SUM(E123:F123)</f>
        <v>0</v>
      </c>
      <c r="H123" s="204"/>
      <c r="I123" s="279" t="n">
        <v>1</v>
      </c>
      <c r="J123" s="280" t="n">
        <f aca="false">1-I123</f>
        <v>0</v>
      </c>
      <c r="K123" s="277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3"/>
      <c r="Y123" s="284" t="n">
        <f aca="false">IFERROR(L123*$G123*I$9, "")</f>
        <v>0</v>
      </c>
      <c r="Z123" s="284" t="n">
        <f aca="false">IFERROR(M123*$G123*$I123, "")</f>
        <v>0</v>
      </c>
      <c r="AA123" s="284" t="n">
        <f aca="false">IFERROR(N123*$G123*$I123, "")</f>
        <v>0</v>
      </c>
      <c r="AB123" s="284" t="n">
        <f aca="false">IFERROR(O123*$G123*$I123, "")</f>
        <v>0</v>
      </c>
      <c r="AC123" s="284" t="n">
        <f aca="false">IFERROR(P123*$G123*$I123, "")</f>
        <v>0</v>
      </c>
      <c r="AD123" s="284" t="n">
        <f aca="false">IFERROR(Q123*$G123*$I123, "")</f>
        <v>0</v>
      </c>
      <c r="AE123" s="284" t="n">
        <f aca="false">IFERROR(R123*$G123*$I123, "")</f>
        <v>0</v>
      </c>
      <c r="AF123" s="284" t="n">
        <f aca="false">IFERROR(S123*$G123*$I123, "")</f>
        <v>0</v>
      </c>
      <c r="AG123" s="284" t="n">
        <f aca="false">IFERROR(T123*$G123*$I123, "")</f>
        <v>0</v>
      </c>
      <c r="AH123" s="284" t="n">
        <f aca="false">IFERROR(U123*$G123*$I123, "")</f>
        <v>0</v>
      </c>
      <c r="AI123" s="284" t="n">
        <f aca="false">IFERROR(V123*$G123*$I123, "")</f>
        <v>0</v>
      </c>
      <c r="AJ123" s="284" t="n">
        <f aca="false">IFERROR(W123*$G123*$I123, "")</f>
        <v>0</v>
      </c>
      <c r="AK123" s="286" t="n">
        <f aca="false">IFERROR(SUMIF($Y$4:$AJ$4, "RDEC", Y123:AJ123), "")</f>
        <v>0</v>
      </c>
      <c r="AL123" s="286" t="n">
        <f aca="false">IFERROR(SUMIF($Y$4:$AJ$4, "SME", Y123:AJ123), "")</f>
        <v>0</v>
      </c>
      <c r="AM123" s="286" t="n">
        <f aca="false">IFERROR(SUMIF($Y$4:$AJ$4, "De Minimis", Y123:AJ123), "")</f>
        <v>0</v>
      </c>
      <c r="AN123" s="283"/>
      <c r="AO123" s="284" t="n">
        <f aca="false">IFERROR($G123*$J123*L123, "")</f>
        <v>0</v>
      </c>
      <c r="AP123" s="284" t="n">
        <f aca="false">IFERROR($G123*$J123*M123, "")</f>
        <v>0</v>
      </c>
      <c r="AQ123" s="284" t="n">
        <f aca="false">IFERROR($G123*$J123*N123, "")</f>
        <v>0</v>
      </c>
      <c r="AR123" s="284" t="n">
        <f aca="false">IFERROR($G123*$J123*O123, "")</f>
        <v>0</v>
      </c>
      <c r="AS123" s="284" t="n">
        <f aca="false">IFERROR($G123*$J123*P123, "")</f>
        <v>0</v>
      </c>
      <c r="AT123" s="284" t="n">
        <f aca="false">IFERROR($G123*$J123*Q123, "")</f>
        <v>0</v>
      </c>
      <c r="AU123" s="284" t="n">
        <f aca="false">IFERROR($G123*$J123*R123, "")</f>
        <v>0</v>
      </c>
      <c r="AV123" s="284" t="n">
        <f aca="false">IFERROR($G123*$J123*S123, "")</f>
        <v>0</v>
      </c>
      <c r="AW123" s="284" t="n">
        <f aca="false">IFERROR($G123*$J123*T123, "")</f>
        <v>0</v>
      </c>
      <c r="AX123" s="284" t="n">
        <f aca="false">IFERROR($G123*$J123*U123, "")</f>
        <v>0</v>
      </c>
      <c r="AY123" s="284" t="n">
        <f aca="false">IFERROR($G123*$J123*V123, "")</f>
        <v>0</v>
      </c>
      <c r="AZ123" s="284" t="n">
        <f aca="false">IFERROR($G123*$J123*W123, "")</f>
        <v>0</v>
      </c>
      <c r="BA123" s="286" t="n">
        <f aca="false">IFERROR(SUMIF($AO$4:$AZ$4, "RDEC", AO123:AZ123), "")</f>
        <v>0</v>
      </c>
      <c r="BB123" s="286" t="n">
        <f aca="false">IFERROR(SUMIF($AO$4:$AZ$4, "SME", AO123:AZ123), "")</f>
        <v>0</v>
      </c>
      <c r="BC123" s="286" t="n">
        <f aca="false">IFERROR(SUMIF($Y$4:$AJ$4, "De Minimis", AO123:AZ123), "")</f>
        <v>0</v>
      </c>
      <c r="BD123" s="287"/>
      <c r="BE123" s="288" t="str">
        <f aca="false">IF((SUM(L123:W123)&gt;1),"ERROR","")</f>
        <v/>
      </c>
    </row>
    <row r="124" customFormat="false" ht="15" hidden="false" customHeight="true" outlineLevel="0" collapsed="false">
      <c r="B124" s="333"/>
      <c r="C124" s="334"/>
      <c r="D124" s="333" t="n">
        <f aca="false">D108</f>
        <v>45383</v>
      </c>
      <c r="E124" s="277" t="n">
        <v>0</v>
      </c>
      <c r="F124" s="277" t="n">
        <v>0</v>
      </c>
      <c r="G124" s="277" t="n">
        <f aca="false">SUM(E124:F124)</f>
        <v>0</v>
      </c>
      <c r="H124" s="204"/>
      <c r="I124" s="279" t="n">
        <v>1</v>
      </c>
      <c r="J124" s="280" t="n">
        <f aca="false">1-I124</f>
        <v>0</v>
      </c>
      <c r="K124" s="277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3"/>
      <c r="Y124" s="284" t="n">
        <f aca="false">IFERROR(L124*$G124*I$9, "")</f>
        <v>0</v>
      </c>
      <c r="Z124" s="284" t="n">
        <f aca="false">IFERROR(M124*$G124*$I124, "")</f>
        <v>0</v>
      </c>
      <c r="AA124" s="284" t="n">
        <f aca="false">IFERROR(N124*$G124*$I124, "")</f>
        <v>0</v>
      </c>
      <c r="AB124" s="284" t="n">
        <f aca="false">IFERROR(O124*$G124*$I124, "")</f>
        <v>0</v>
      </c>
      <c r="AC124" s="284" t="n">
        <f aca="false">IFERROR(P124*$G124*$I124, "")</f>
        <v>0</v>
      </c>
      <c r="AD124" s="284" t="n">
        <f aca="false">IFERROR(Q124*$G124*$I124, "")</f>
        <v>0</v>
      </c>
      <c r="AE124" s="284" t="n">
        <f aca="false">IFERROR(R124*$G124*$I124, "")</f>
        <v>0</v>
      </c>
      <c r="AF124" s="284" t="n">
        <f aca="false">IFERROR(S124*$G124*$I124, "")</f>
        <v>0</v>
      </c>
      <c r="AG124" s="284" t="n">
        <f aca="false">IFERROR(T124*$G124*$I124, "")</f>
        <v>0</v>
      </c>
      <c r="AH124" s="284" t="n">
        <f aca="false">IFERROR(U124*$G124*$I124, "")</f>
        <v>0</v>
      </c>
      <c r="AI124" s="284" t="n">
        <f aca="false">IFERROR(V124*$G124*$I124, "")</f>
        <v>0</v>
      </c>
      <c r="AJ124" s="284" t="n">
        <f aca="false">IFERROR(W124*$G124*$I124, "")</f>
        <v>0</v>
      </c>
      <c r="AK124" s="286" t="n">
        <f aca="false">IFERROR(SUMIF($Y$4:$AJ$4, "RDEC", Y124:AJ124), "")</f>
        <v>0</v>
      </c>
      <c r="AL124" s="286" t="n">
        <f aca="false">IFERROR(SUMIF($Y$4:$AJ$4, "SME", Y124:AJ124), "")</f>
        <v>0</v>
      </c>
      <c r="AM124" s="286" t="n">
        <f aca="false">IFERROR(SUMIF($Y$4:$AJ$4, "De Minimis", Y124:AJ124), "")</f>
        <v>0</v>
      </c>
      <c r="AN124" s="283"/>
      <c r="AO124" s="284" t="n">
        <f aca="false">IFERROR($G124*$J124*L124, "")</f>
        <v>0</v>
      </c>
      <c r="AP124" s="284" t="n">
        <f aca="false">IFERROR($G124*$J124*M124, "")</f>
        <v>0</v>
      </c>
      <c r="AQ124" s="284" t="n">
        <f aca="false">IFERROR($G124*$J124*N124, "")</f>
        <v>0</v>
      </c>
      <c r="AR124" s="284" t="n">
        <f aca="false">IFERROR($G124*$J124*O124, "")</f>
        <v>0</v>
      </c>
      <c r="AS124" s="284" t="n">
        <f aca="false">IFERROR($G124*$J124*P124, "")</f>
        <v>0</v>
      </c>
      <c r="AT124" s="284" t="n">
        <f aca="false">IFERROR($G124*$J124*Q124, "")</f>
        <v>0</v>
      </c>
      <c r="AU124" s="284" t="n">
        <f aca="false">IFERROR($G124*$J124*R124, "")</f>
        <v>0</v>
      </c>
      <c r="AV124" s="284" t="n">
        <f aca="false">IFERROR($G124*$J124*S124, "")</f>
        <v>0</v>
      </c>
      <c r="AW124" s="284" t="n">
        <f aca="false">IFERROR($G124*$J124*T124, "")</f>
        <v>0</v>
      </c>
      <c r="AX124" s="284" t="n">
        <f aca="false">IFERROR($G124*$J124*U124, "")</f>
        <v>0</v>
      </c>
      <c r="AY124" s="284" t="n">
        <f aca="false">IFERROR($G124*$J124*V124, "")</f>
        <v>0</v>
      </c>
      <c r="AZ124" s="284" t="n">
        <f aca="false">IFERROR($G124*$J124*W124, "")</f>
        <v>0</v>
      </c>
      <c r="BA124" s="286" t="n">
        <f aca="false">IFERROR(SUMIF($AO$4:$AZ$4, "RDEC", AO124:AZ124), "")</f>
        <v>0</v>
      </c>
      <c r="BB124" s="286" t="n">
        <f aca="false">IFERROR(SUMIF($AO$4:$AZ$4, "SME", AO124:AZ124), "")</f>
        <v>0</v>
      </c>
      <c r="BC124" s="286" t="n">
        <f aca="false">IFERROR(SUMIF($Y$4:$AJ$4, "De Minimis", AO124:AZ124), "")</f>
        <v>0</v>
      </c>
      <c r="BD124" s="287"/>
      <c r="BE124" s="288" t="str">
        <f aca="false">IF((SUM(L124:W124)&gt;1),"ERROR","")</f>
        <v/>
      </c>
    </row>
    <row r="125" customFormat="false" ht="15" hidden="false" customHeight="true" outlineLevel="0" collapsed="false">
      <c r="B125" s="333"/>
      <c r="C125" s="334"/>
      <c r="D125" s="333" t="n">
        <f aca="false">D109</f>
        <v>45413</v>
      </c>
      <c r="E125" s="277" t="n">
        <v>0</v>
      </c>
      <c r="F125" s="277" t="n">
        <v>0</v>
      </c>
      <c r="G125" s="277" t="n">
        <f aca="false">SUM(E125:F125)</f>
        <v>0</v>
      </c>
      <c r="H125" s="204"/>
      <c r="I125" s="279" t="n">
        <v>1</v>
      </c>
      <c r="J125" s="280" t="n">
        <f aca="false">1-I125</f>
        <v>0</v>
      </c>
      <c r="K125" s="277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3"/>
      <c r="Y125" s="284" t="n">
        <f aca="false">IFERROR(L125*$G125*I$9, "")</f>
        <v>0</v>
      </c>
      <c r="Z125" s="284" t="n">
        <f aca="false">IFERROR(M125*$G125*$I125, "")</f>
        <v>0</v>
      </c>
      <c r="AA125" s="284" t="n">
        <f aca="false">IFERROR(N125*$G125*$I125, "")</f>
        <v>0</v>
      </c>
      <c r="AB125" s="284" t="n">
        <f aca="false">IFERROR(O125*$G125*$I125, "")</f>
        <v>0</v>
      </c>
      <c r="AC125" s="284" t="n">
        <f aca="false">IFERROR(P125*$G125*$I125, "")</f>
        <v>0</v>
      </c>
      <c r="AD125" s="284" t="n">
        <f aca="false">IFERROR(Q125*$G125*$I125, "")</f>
        <v>0</v>
      </c>
      <c r="AE125" s="284" t="n">
        <f aca="false">IFERROR(R125*$G125*$I125, "")</f>
        <v>0</v>
      </c>
      <c r="AF125" s="284" t="n">
        <f aca="false">IFERROR(S125*$G125*$I125, "")</f>
        <v>0</v>
      </c>
      <c r="AG125" s="284" t="n">
        <f aca="false">IFERROR(T125*$G125*$I125, "")</f>
        <v>0</v>
      </c>
      <c r="AH125" s="284" t="n">
        <f aca="false">IFERROR(U125*$G125*$I125, "")</f>
        <v>0</v>
      </c>
      <c r="AI125" s="284" t="n">
        <f aca="false">IFERROR(V125*$G125*$I125, "")</f>
        <v>0</v>
      </c>
      <c r="AJ125" s="284" t="n">
        <f aca="false">IFERROR(W125*$G125*$I125, "")</f>
        <v>0</v>
      </c>
      <c r="AK125" s="286" t="n">
        <f aca="false">IFERROR(SUMIF($Y$4:$AJ$4, "RDEC", Y125:AJ125), "")</f>
        <v>0</v>
      </c>
      <c r="AL125" s="286" t="n">
        <f aca="false">IFERROR(SUMIF($Y$4:$AJ$4, "SME", Y125:AJ125), "")</f>
        <v>0</v>
      </c>
      <c r="AM125" s="286" t="n">
        <f aca="false">IFERROR(SUMIF($Y$4:$AJ$4, "De Minimis", Y125:AJ125), "")</f>
        <v>0</v>
      </c>
      <c r="AN125" s="283"/>
      <c r="AO125" s="284" t="n">
        <f aca="false">IFERROR($G125*$J125*L125, "")</f>
        <v>0</v>
      </c>
      <c r="AP125" s="284" t="n">
        <f aca="false">IFERROR($G125*$J125*M125, "")</f>
        <v>0</v>
      </c>
      <c r="AQ125" s="284" t="n">
        <f aca="false">IFERROR($G125*$J125*N125, "")</f>
        <v>0</v>
      </c>
      <c r="AR125" s="284" t="n">
        <f aca="false">IFERROR($G125*$J125*O125, "")</f>
        <v>0</v>
      </c>
      <c r="AS125" s="284" t="n">
        <f aca="false">IFERROR($G125*$J125*P125, "")</f>
        <v>0</v>
      </c>
      <c r="AT125" s="284" t="n">
        <f aca="false">IFERROR($G125*$J125*Q125, "")</f>
        <v>0</v>
      </c>
      <c r="AU125" s="284" t="n">
        <f aca="false">IFERROR($G125*$J125*R125, "")</f>
        <v>0</v>
      </c>
      <c r="AV125" s="284" t="n">
        <f aca="false">IFERROR($G125*$J125*S125, "")</f>
        <v>0</v>
      </c>
      <c r="AW125" s="284" t="n">
        <f aca="false">IFERROR($G125*$J125*T125, "")</f>
        <v>0</v>
      </c>
      <c r="AX125" s="284" t="n">
        <f aca="false">IFERROR($G125*$J125*U125, "")</f>
        <v>0</v>
      </c>
      <c r="AY125" s="284" t="n">
        <f aca="false">IFERROR($G125*$J125*V125, "")</f>
        <v>0</v>
      </c>
      <c r="AZ125" s="284" t="n">
        <f aca="false">IFERROR($G125*$J125*W125, "")</f>
        <v>0</v>
      </c>
      <c r="BA125" s="286" t="n">
        <f aca="false">IFERROR(SUMIF($AO$4:$AZ$4, "RDEC", AO125:AZ125), "")</f>
        <v>0</v>
      </c>
      <c r="BB125" s="286" t="n">
        <f aca="false">IFERROR(SUMIF($AO$4:$AZ$4, "SME", AO125:AZ125), "")</f>
        <v>0</v>
      </c>
      <c r="BC125" s="286" t="n">
        <f aca="false">IFERROR(SUMIF($Y$4:$AJ$4, "De Minimis", AO125:AZ125), "")</f>
        <v>0</v>
      </c>
      <c r="BD125" s="287"/>
      <c r="BE125" s="288" t="str">
        <f aca="false">IF((SUM(L125:W125)&gt;1),"ERROR","")</f>
        <v/>
      </c>
    </row>
    <row r="126" customFormat="false" ht="15" hidden="false" customHeight="true" outlineLevel="0" collapsed="false">
      <c r="B126" s="333"/>
      <c r="C126" s="334"/>
      <c r="D126" s="333" t="n">
        <f aca="false">D110</f>
        <v>45444</v>
      </c>
      <c r="E126" s="277" t="n">
        <v>0</v>
      </c>
      <c r="F126" s="277" t="n">
        <v>0</v>
      </c>
      <c r="G126" s="277" t="n">
        <f aca="false">SUM(E126:F126)</f>
        <v>0</v>
      </c>
      <c r="H126" s="204"/>
      <c r="I126" s="279" t="n">
        <v>1</v>
      </c>
      <c r="J126" s="280" t="n">
        <f aca="false">1-I126</f>
        <v>0</v>
      </c>
      <c r="K126" s="277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3"/>
      <c r="Y126" s="284" t="n">
        <f aca="false">IFERROR(L126*$G126*I$9, "")</f>
        <v>0</v>
      </c>
      <c r="Z126" s="284" t="n">
        <f aca="false">IFERROR(M126*$G126*$I126, "")</f>
        <v>0</v>
      </c>
      <c r="AA126" s="284" t="n">
        <f aca="false">IFERROR(N126*$G126*$I126, "")</f>
        <v>0</v>
      </c>
      <c r="AB126" s="284" t="n">
        <f aca="false">IFERROR(O126*$G126*$I126, "")</f>
        <v>0</v>
      </c>
      <c r="AC126" s="284" t="n">
        <f aca="false">IFERROR(P126*$G126*$I126, "")</f>
        <v>0</v>
      </c>
      <c r="AD126" s="284" t="n">
        <f aca="false">IFERROR(Q126*$G126*$I126, "")</f>
        <v>0</v>
      </c>
      <c r="AE126" s="284" t="n">
        <f aca="false">IFERROR(R126*$G126*$I126, "")</f>
        <v>0</v>
      </c>
      <c r="AF126" s="284" t="n">
        <f aca="false">IFERROR(S126*$G126*$I126, "")</f>
        <v>0</v>
      </c>
      <c r="AG126" s="284" t="n">
        <f aca="false">IFERROR(T126*$G126*$I126, "")</f>
        <v>0</v>
      </c>
      <c r="AH126" s="284" t="n">
        <f aca="false">IFERROR(U126*$G126*$I126, "")</f>
        <v>0</v>
      </c>
      <c r="AI126" s="284" t="n">
        <f aca="false">IFERROR(V126*$G126*$I126, "")</f>
        <v>0</v>
      </c>
      <c r="AJ126" s="284" t="n">
        <f aca="false">IFERROR(W126*$G126*$I126, "")</f>
        <v>0</v>
      </c>
      <c r="AK126" s="286" t="n">
        <f aca="false">IFERROR(SUMIF($Y$4:$AJ$4, "RDEC", Y126:AJ126), "")</f>
        <v>0</v>
      </c>
      <c r="AL126" s="286" t="n">
        <f aca="false">IFERROR(SUMIF($Y$4:$AJ$4, "SME", Y126:AJ126), "")</f>
        <v>0</v>
      </c>
      <c r="AM126" s="286" t="n">
        <f aca="false">IFERROR(SUMIF($Y$4:$AJ$4, "De Minimis", Y126:AJ126), "")</f>
        <v>0</v>
      </c>
      <c r="AN126" s="283"/>
      <c r="AO126" s="284" t="n">
        <f aca="false">IFERROR($G126*$J126*L126, "")</f>
        <v>0</v>
      </c>
      <c r="AP126" s="284" t="n">
        <f aca="false">IFERROR($G126*$J126*M126, "")</f>
        <v>0</v>
      </c>
      <c r="AQ126" s="284" t="n">
        <f aca="false">IFERROR($G126*$J126*N126, "")</f>
        <v>0</v>
      </c>
      <c r="AR126" s="284" t="n">
        <f aca="false">IFERROR($G126*$J126*O126, "")</f>
        <v>0</v>
      </c>
      <c r="AS126" s="284" t="n">
        <f aca="false">IFERROR($G126*$J126*P126, "")</f>
        <v>0</v>
      </c>
      <c r="AT126" s="284" t="n">
        <f aca="false">IFERROR($G126*$J126*Q126, "")</f>
        <v>0</v>
      </c>
      <c r="AU126" s="284" t="n">
        <f aca="false">IFERROR($G126*$J126*R126, "")</f>
        <v>0</v>
      </c>
      <c r="AV126" s="284" t="n">
        <f aca="false">IFERROR($G126*$J126*S126, "")</f>
        <v>0</v>
      </c>
      <c r="AW126" s="284" t="n">
        <f aca="false">IFERROR($G126*$J126*T126, "")</f>
        <v>0</v>
      </c>
      <c r="AX126" s="284" t="n">
        <f aca="false">IFERROR($G126*$J126*U126, "")</f>
        <v>0</v>
      </c>
      <c r="AY126" s="284" t="n">
        <f aca="false">IFERROR($G126*$J126*V126, "")</f>
        <v>0</v>
      </c>
      <c r="AZ126" s="284" t="n">
        <f aca="false">IFERROR($G126*$J126*W126, "")</f>
        <v>0</v>
      </c>
      <c r="BA126" s="286" t="n">
        <f aca="false">IFERROR(SUMIF($AO$4:$AZ$4, "RDEC", AO126:AZ126), "")</f>
        <v>0</v>
      </c>
      <c r="BB126" s="286" t="n">
        <f aca="false">IFERROR(SUMIF($AO$4:$AZ$4, "SME", AO126:AZ126), "")</f>
        <v>0</v>
      </c>
      <c r="BC126" s="286" t="n">
        <f aca="false">IFERROR(SUMIF($Y$4:$AJ$4, "De Minimis", AO126:AZ126), "")</f>
        <v>0</v>
      </c>
      <c r="BD126" s="287"/>
      <c r="BE126" s="288" t="str">
        <f aca="false">IF((SUM(L126:W126)&gt;1),"ERROR","")</f>
        <v/>
      </c>
    </row>
    <row r="127" customFormat="false" ht="15" hidden="false" customHeight="true" outlineLevel="0" collapsed="false">
      <c r="B127" s="333"/>
      <c r="C127" s="334"/>
      <c r="D127" s="333" t="n">
        <f aca="false">D111</f>
        <v>45474</v>
      </c>
      <c r="E127" s="277" t="n">
        <v>0</v>
      </c>
      <c r="F127" s="277" t="n">
        <v>0</v>
      </c>
      <c r="G127" s="277" t="n">
        <f aca="false">SUM(E127:F127)</f>
        <v>0</v>
      </c>
      <c r="H127" s="204"/>
      <c r="I127" s="279" t="n">
        <v>1</v>
      </c>
      <c r="J127" s="280" t="n">
        <f aca="false">1-I127</f>
        <v>0</v>
      </c>
      <c r="K127" s="277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3"/>
      <c r="Y127" s="284" t="n">
        <f aca="false">IFERROR(L127*$G127*I$9, "")</f>
        <v>0</v>
      </c>
      <c r="Z127" s="284" t="n">
        <f aca="false">IFERROR(M127*$G127*$I127, "")</f>
        <v>0</v>
      </c>
      <c r="AA127" s="284" t="n">
        <f aca="false">IFERROR(N127*$G127*$I127, "")</f>
        <v>0</v>
      </c>
      <c r="AB127" s="284" t="n">
        <f aca="false">IFERROR(O127*$G127*$I127, "")</f>
        <v>0</v>
      </c>
      <c r="AC127" s="284" t="n">
        <f aca="false">IFERROR(P127*$G127*$I127, "")</f>
        <v>0</v>
      </c>
      <c r="AD127" s="284" t="n">
        <f aca="false">IFERROR(Q127*$G127*$I127, "")</f>
        <v>0</v>
      </c>
      <c r="AE127" s="284" t="n">
        <f aca="false">IFERROR(R127*$G127*$I127, "")</f>
        <v>0</v>
      </c>
      <c r="AF127" s="284" t="n">
        <f aca="false">IFERROR(S127*$G127*$I127, "")</f>
        <v>0</v>
      </c>
      <c r="AG127" s="284" t="n">
        <f aca="false">IFERROR(T127*$G127*$I127, "")</f>
        <v>0</v>
      </c>
      <c r="AH127" s="284" t="n">
        <f aca="false">IFERROR(U127*$G127*$I127, "")</f>
        <v>0</v>
      </c>
      <c r="AI127" s="284" t="n">
        <f aca="false">IFERROR(V127*$G127*$I127, "")</f>
        <v>0</v>
      </c>
      <c r="AJ127" s="284" t="n">
        <f aca="false">IFERROR(W127*$G127*$I127, "")</f>
        <v>0</v>
      </c>
      <c r="AK127" s="286" t="n">
        <f aca="false">IFERROR(SUMIF($Y$4:$AJ$4, "RDEC", Y127:AJ127), "")</f>
        <v>0</v>
      </c>
      <c r="AL127" s="286" t="n">
        <f aca="false">IFERROR(SUMIF($Y$4:$AJ$4, "SME", Y127:AJ127), "")</f>
        <v>0</v>
      </c>
      <c r="AM127" s="286" t="n">
        <f aca="false">IFERROR(SUMIF($Y$4:$AJ$4, "De Minimis", Y127:AJ127), "")</f>
        <v>0</v>
      </c>
      <c r="AN127" s="283"/>
      <c r="AO127" s="284" t="n">
        <f aca="false">IFERROR($G127*$J127*L127, "")</f>
        <v>0</v>
      </c>
      <c r="AP127" s="284" t="n">
        <f aca="false">IFERROR($G127*$J127*M127, "")</f>
        <v>0</v>
      </c>
      <c r="AQ127" s="284" t="n">
        <f aca="false">IFERROR($G127*$J127*N127, "")</f>
        <v>0</v>
      </c>
      <c r="AR127" s="284" t="n">
        <f aca="false">IFERROR($G127*$J127*O127, "")</f>
        <v>0</v>
      </c>
      <c r="AS127" s="284" t="n">
        <f aca="false">IFERROR($G127*$J127*P127, "")</f>
        <v>0</v>
      </c>
      <c r="AT127" s="284" t="n">
        <f aca="false">IFERROR($G127*$J127*Q127, "")</f>
        <v>0</v>
      </c>
      <c r="AU127" s="284" t="n">
        <f aca="false">IFERROR($G127*$J127*R127, "")</f>
        <v>0</v>
      </c>
      <c r="AV127" s="284" t="n">
        <f aca="false">IFERROR($G127*$J127*S127, "")</f>
        <v>0</v>
      </c>
      <c r="AW127" s="284" t="n">
        <f aca="false">IFERROR($G127*$J127*T127, "")</f>
        <v>0</v>
      </c>
      <c r="AX127" s="284" t="n">
        <f aca="false">IFERROR($G127*$J127*U127, "")</f>
        <v>0</v>
      </c>
      <c r="AY127" s="284" t="n">
        <f aca="false">IFERROR($G127*$J127*V127, "")</f>
        <v>0</v>
      </c>
      <c r="AZ127" s="284" t="n">
        <f aca="false">IFERROR($G127*$J127*W127, "")</f>
        <v>0</v>
      </c>
      <c r="BA127" s="286" t="n">
        <f aca="false">IFERROR(SUMIF($AO$4:$AZ$4, "RDEC", AO127:AZ127), "")</f>
        <v>0</v>
      </c>
      <c r="BB127" s="286" t="n">
        <f aca="false">IFERROR(SUMIF($AO$4:$AZ$4, "SME", AO127:AZ127), "")</f>
        <v>0</v>
      </c>
      <c r="BC127" s="286" t="n">
        <f aca="false">IFERROR(SUMIF($Y$4:$AJ$4, "De Minimis", AO127:AZ127), "")</f>
        <v>0</v>
      </c>
      <c r="BD127" s="287"/>
      <c r="BE127" s="288" t="str">
        <f aca="false">IF((SUM(L127:W127)&gt;1),"ERROR","")</f>
        <v/>
      </c>
    </row>
    <row r="128" customFormat="false" ht="15" hidden="false" customHeight="true" outlineLevel="0" collapsed="false">
      <c r="B128" s="333"/>
      <c r="C128" s="334"/>
      <c r="D128" s="333" t="n">
        <f aca="false">D112</f>
        <v>45505</v>
      </c>
      <c r="E128" s="277" t="n">
        <v>0</v>
      </c>
      <c r="F128" s="277" t="n">
        <v>0</v>
      </c>
      <c r="G128" s="277" t="n">
        <f aca="false">SUM(E128:F128)</f>
        <v>0</v>
      </c>
      <c r="H128" s="204"/>
      <c r="I128" s="279" t="n">
        <v>1</v>
      </c>
      <c r="J128" s="280" t="n">
        <f aca="false">1-I128</f>
        <v>0</v>
      </c>
      <c r="K128" s="277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3"/>
      <c r="Y128" s="284" t="n">
        <f aca="false">IFERROR(L128*$G128*I$9, "")</f>
        <v>0</v>
      </c>
      <c r="Z128" s="284" t="n">
        <f aca="false">IFERROR(M128*$G128*$I128, "")</f>
        <v>0</v>
      </c>
      <c r="AA128" s="284" t="n">
        <f aca="false">IFERROR(N128*$G128*$I128, "")</f>
        <v>0</v>
      </c>
      <c r="AB128" s="284" t="n">
        <f aca="false">IFERROR(O128*$G128*$I128, "")</f>
        <v>0</v>
      </c>
      <c r="AC128" s="284" t="n">
        <f aca="false">IFERROR(P128*$G128*$I128, "")</f>
        <v>0</v>
      </c>
      <c r="AD128" s="284" t="n">
        <f aca="false">IFERROR(Q128*$G128*$I128, "")</f>
        <v>0</v>
      </c>
      <c r="AE128" s="284" t="n">
        <f aca="false">IFERROR(R128*$G128*$I128, "")</f>
        <v>0</v>
      </c>
      <c r="AF128" s="284" t="n">
        <f aca="false">IFERROR(S128*$G128*$I128, "")</f>
        <v>0</v>
      </c>
      <c r="AG128" s="284" t="n">
        <f aca="false">IFERROR(T128*$G128*$I128, "")</f>
        <v>0</v>
      </c>
      <c r="AH128" s="284" t="n">
        <f aca="false">IFERROR(U128*$G128*$I128, "")</f>
        <v>0</v>
      </c>
      <c r="AI128" s="284" t="n">
        <f aca="false">IFERROR(V128*$G128*$I128, "")</f>
        <v>0</v>
      </c>
      <c r="AJ128" s="284" t="n">
        <f aca="false">IFERROR(W128*$G128*$I128, "")</f>
        <v>0</v>
      </c>
      <c r="AK128" s="286" t="n">
        <f aca="false">IFERROR(SUMIF($Y$4:$AJ$4, "RDEC", Y128:AJ128), "")</f>
        <v>0</v>
      </c>
      <c r="AL128" s="286" t="n">
        <f aca="false">IFERROR(SUMIF($Y$4:$AJ$4, "SME", Y128:AJ128), "")</f>
        <v>0</v>
      </c>
      <c r="AM128" s="286" t="n">
        <f aca="false">IFERROR(SUMIF($Y$4:$AJ$4, "De Minimis", Y128:AJ128), "")</f>
        <v>0</v>
      </c>
      <c r="AN128" s="283"/>
      <c r="AO128" s="284" t="n">
        <f aca="false">IFERROR($G128*$J128*L128, "")</f>
        <v>0</v>
      </c>
      <c r="AP128" s="284" t="n">
        <f aca="false">IFERROR($G128*$J128*M128, "")</f>
        <v>0</v>
      </c>
      <c r="AQ128" s="284" t="n">
        <f aca="false">IFERROR($G128*$J128*N128, "")</f>
        <v>0</v>
      </c>
      <c r="AR128" s="284" t="n">
        <f aca="false">IFERROR($G128*$J128*O128, "")</f>
        <v>0</v>
      </c>
      <c r="AS128" s="284" t="n">
        <f aca="false">IFERROR($G128*$J128*P128, "")</f>
        <v>0</v>
      </c>
      <c r="AT128" s="284" t="n">
        <f aca="false">IFERROR($G128*$J128*Q128, "")</f>
        <v>0</v>
      </c>
      <c r="AU128" s="284" t="n">
        <f aca="false">IFERROR($G128*$J128*R128, "")</f>
        <v>0</v>
      </c>
      <c r="AV128" s="284" t="n">
        <f aca="false">IFERROR($G128*$J128*S128, "")</f>
        <v>0</v>
      </c>
      <c r="AW128" s="284" t="n">
        <f aca="false">IFERROR($G128*$J128*T128, "")</f>
        <v>0</v>
      </c>
      <c r="AX128" s="284" t="n">
        <f aca="false">IFERROR($G128*$J128*U128, "")</f>
        <v>0</v>
      </c>
      <c r="AY128" s="284" t="n">
        <f aca="false">IFERROR($G128*$J128*V128, "")</f>
        <v>0</v>
      </c>
      <c r="AZ128" s="284" t="n">
        <f aca="false">IFERROR($G128*$J128*W128, "")</f>
        <v>0</v>
      </c>
      <c r="BA128" s="286" t="n">
        <f aca="false">IFERROR(SUMIF($AO$4:$AZ$4, "RDEC", AO128:AZ128), "")</f>
        <v>0</v>
      </c>
      <c r="BB128" s="286" t="n">
        <f aca="false">IFERROR(SUMIF($AO$4:$AZ$4, "SME", AO128:AZ128), "")</f>
        <v>0</v>
      </c>
      <c r="BC128" s="286" t="n">
        <f aca="false">IFERROR(SUMIF($Y$4:$AJ$4, "De Minimis", AO128:AZ128), "")</f>
        <v>0</v>
      </c>
      <c r="BD128" s="287"/>
      <c r="BE128" s="288" t="str">
        <f aca="false">IF((SUM(L128:W128)&gt;1),"ERROR","")</f>
        <v/>
      </c>
    </row>
    <row r="129" customFormat="false" ht="15" hidden="false" customHeight="true" outlineLevel="0" collapsed="false">
      <c r="B129" s="333"/>
      <c r="C129" s="334"/>
      <c r="D129" s="333" t="n">
        <f aca="false">D113</f>
        <v>45536</v>
      </c>
      <c r="E129" s="277" t="n">
        <v>0</v>
      </c>
      <c r="F129" s="277" t="n">
        <v>0</v>
      </c>
      <c r="G129" s="277" t="n">
        <f aca="false">SUM(E129:F129)</f>
        <v>0</v>
      </c>
      <c r="H129" s="204"/>
      <c r="I129" s="279" t="n">
        <v>1</v>
      </c>
      <c r="J129" s="280" t="n">
        <f aca="false">1-I129</f>
        <v>0</v>
      </c>
      <c r="K129" s="277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3"/>
      <c r="Y129" s="284" t="n">
        <f aca="false">IFERROR(L129*$G129*I$9, "")</f>
        <v>0</v>
      </c>
      <c r="Z129" s="284" t="n">
        <f aca="false">IFERROR(M129*$G129*$I129, "")</f>
        <v>0</v>
      </c>
      <c r="AA129" s="284" t="n">
        <f aca="false">IFERROR(N129*$G129*$I129, "")</f>
        <v>0</v>
      </c>
      <c r="AB129" s="284" t="n">
        <f aca="false">IFERROR(O129*$G129*$I129, "")</f>
        <v>0</v>
      </c>
      <c r="AC129" s="284" t="n">
        <f aca="false">IFERROR(P129*$G129*$I129, "")</f>
        <v>0</v>
      </c>
      <c r="AD129" s="284" t="n">
        <f aca="false">IFERROR(Q129*$G129*$I129, "")</f>
        <v>0</v>
      </c>
      <c r="AE129" s="284" t="n">
        <f aca="false">IFERROR(R129*$G129*$I129, "")</f>
        <v>0</v>
      </c>
      <c r="AF129" s="284" t="n">
        <f aca="false">IFERROR(S129*$G129*$I129, "")</f>
        <v>0</v>
      </c>
      <c r="AG129" s="284" t="n">
        <f aca="false">IFERROR(T129*$G129*$I129, "")</f>
        <v>0</v>
      </c>
      <c r="AH129" s="284" t="n">
        <f aca="false">IFERROR(U129*$G129*$I129, "")</f>
        <v>0</v>
      </c>
      <c r="AI129" s="284" t="n">
        <f aca="false">IFERROR(V129*$G129*$I129, "")</f>
        <v>0</v>
      </c>
      <c r="AJ129" s="284" t="n">
        <f aca="false">IFERROR(W129*$G129*$I129, "")</f>
        <v>0</v>
      </c>
      <c r="AK129" s="286" t="n">
        <f aca="false">IFERROR(SUMIF($Y$4:$AJ$4, "RDEC", Y129:AJ129), "")</f>
        <v>0</v>
      </c>
      <c r="AL129" s="286" t="n">
        <f aca="false">IFERROR(SUMIF($Y$4:$AJ$4, "SME", Y129:AJ129), "")</f>
        <v>0</v>
      </c>
      <c r="AM129" s="286" t="n">
        <f aca="false">IFERROR(SUMIF($Y$4:$AJ$4, "De Minimis", Y129:AJ129), "")</f>
        <v>0</v>
      </c>
      <c r="AN129" s="283"/>
      <c r="AO129" s="284" t="n">
        <f aca="false">IFERROR($G129*$J129*L129, "")</f>
        <v>0</v>
      </c>
      <c r="AP129" s="284" t="n">
        <f aca="false">IFERROR($G129*$J129*M129, "")</f>
        <v>0</v>
      </c>
      <c r="AQ129" s="284" t="n">
        <f aca="false">IFERROR($G129*$J129*N129, "")</f>
        <v>0</v>
      </c>
      <c r="AR129" s="284" t="n">
        <f aca="false">IFERROR($G129*$J129*O129, "")</f>
        <v>0</v>
      </c>
      <c r="AS129" s="284" t="n">
        <f aca="false">IFERROR($G129*$J129*P129, "")</f>
        <v>0</v>
      </c>
      <c r="AT129" s="284" t="n">
        <f aca="false">IFERROR($G129*$J129*Q129, "")</f>
        <v>0</v>
      </c>
      <c r="AU129" s="284" t="n">
        <f aca="false">IFERROR($G129*$J129*R129, "")</f>
        <v>0</v>
      </c>
      <c r="AV129" s="284" t="n">
        <f aca="false">IFERROR($G129*$J129*S129, "")</f>
        <v>0</v>
      </c>
      <c r="AW129" s="284" t="n">
        <f aca="false">IFERROR($G129*$J129*T129, "")</f>
        <v>0</v>
      </c>
      <c r="AX129" s="284" t="n">
        <f aca="false">IFERROR($G129*$J129*U129, "")</f>
        <v>0</v>
      </c>
      <c r="AY129" s="284" t="n">
        <f aca="false">IFERROR($G129*$J129*V129, "")</f>
        <v>0</v>
      </c>
      <c r="AZ129" s="284" t="n">
        <f aca="false">IFERROR($G129*$J129*W129, "")</f>
        <v>0</v>
      </c>
      <c r="BA129" s="286" t="n">
        <f aca="false">IFERROR(SUMIF($AO$4:$AZ$4, "RDEC", AO129:AZ129), "")</f>
        <v>0</v>
      </c>
      <c r="BB129" s="286" t="n">
        <f aca="false">IFERROR(SUMIF($AO$4:$AZ$4, "SME", AO129:AZ129), "")</f>
        <v>0</v>
      </c>
      <c r="BC129" s="286" t="n">
        <f aca="false">IFERROR(SUMIF($Y$4:$AJ$4, "De Minimis", AO129:AZ129), "")</f>
        <v>0</v>
      </c>
      <c r="BD129" s="287"/>
      <c r="BE129" s="288" t="str">
        <f aca="false">IF((SUM(L129:W129)&gt;1),"ERROR","")</f>
        <v/>
      </c>
    </row>
    <row r="130" customFormat="false" ht="15" hidden="false" customHeight="true" outlineLevel="0" collapsed="false">
      <c r="B130" s="333"/>
      <c r="C130" s="334"/>
      <c r="D130" s="333" t="n">
        <f aca="false">D114</f>
        <v>45566</v>
      </c>
      <c r="E130" s="277" t="n">
        <v>0</v>
      </c>
      <c r="F130" s="277" t="n">
        <v>0</v>
      </c>
      <c r="G130" s="277" t="n">
        <f aca="false">SUM(E130:F130)</f>
        <v>0</v>
      </c>
      <c r="H130" s="204"/>
      <c r="I130" s="279" t="n">
        <v>1</v>
      </c>
      <c r="J130" s="280" t="n">
        <f aca="false">1-I130</f>
        <v>0</v>
      </c>
      <c r="K130" s="277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3"/>
      <c r="Y130" s="284" t="n">
        <f aca="false">IFERROR(L130*$G130*I$9, "")</f>
        <v>0</v>
      </c>
      <c r="Z130" s="284" t="n">
        <f aca="false">IFERROR(M130*$G130*$I130, "")</f>
        <v>0</v>
      </c>
      <c r="AA130" s="284" t="n">
        <f aca="false">IFERROR(N130*$G130*$I130, "")</f>
        <v>0</v>
      </c>
      <c r="AB130" s="284" t="n">
        <f aca="false">IFERROR(O130*$G130*$I130, "")</f>
        <v>0</v>
      </c>
      <c r="AC130" s="284" t="n">
        <f aca="false">IFERROR(P130*$G130*$I130, "")</f>
        <v>0</v>
      </c>
      <c r="AD130" s="284" t="n">
        <f aca="false">IFERROR(Q130*$G130*$I130, "")</f>
        <v>0</v>
      </c>
      <c r="AE130" s="284" t="n">
        <f aca="false">IFERROR(R130*$G130*$I130, "")</f>
        <v>0</v>
      </c>
      <c r="AF130" s="284" t="n">
        <f aca="false">IFERROR(S130*$G130*$I130, "")</f>
        <v>0</v>
      </c>
      <c r="AG130" s="284" t="n">
        <f aca="false">IFERROR(T130*$G130*$I130, "")</f>
        <v>0</v>
      </c>
      <c r="AH130" s="284" t="n">
        <f aca="false">IFERROR(U130*$G130*$I130, "")</f>
        <v>0</v>
      </c>
      <c r="AI130" s="284" t="n">
        <f aca="false">IFERROR(V130*$G130*$I130, "")</f>
        <v>0</v>
      </c>
      <c r="AJ130" s="284" t="n">
        <f aca="false">IFERROR(W130*$G130*$I130, "")</f>
        <v>0</v>
      </c>
      <c r="AK130" s="286" t="n">
        <f aca="false">IFERROR(SUMIF($Y$4:$AJ$4, "RDEC", Y130:AJ130), "")</f>
        <v>0</v>
      </c>
      <c r="AL130" s="286" t="n">
        <f aca="false">IFERROR(SUMIF($Y$4:$AJ$4, "SME", Y130:AJ130), "")</f>
        <v>0</v>
      </c>
      <c r="AM130" s="286" t="n">
        <f aca="false">IFERROR(SUMIF($Y$4:$AJ$4, "De Minimis", Y130:AJ130), "")</f>
        <v>0</v>
      </c>
      <c r="AN130" s="283"/>
      <c r="AO130" s="284" t="n">
        <f aca="false">IFERROR($G130*$J130*L130, "")</f>
        <v>0</v>
      </c>
      <c r="AP130" s="284" t="n">
        <f aca="false">IFERROR($G130*$J130*M130, "")</f>
        <v>0</v>
      </c>
      <c r="AQ130" s="284" t="n">
        <f aca="false">IFERROR($G130*$J130*N130, "")</f>
        <v>0</v>
      </c>
      <c r="AR130" s="284" t="n">
        <f aca="false">IFERROR($G130*$J130*O130, "")</f>
        <v>0</v>
      </c>
      <c r="AS130" s="284" t="n">
        <f aca="false">IFERROR($G130*$J130*P130, "")</f>
        <v>0</v>
      </c>
      <c r="AT130" s="284" t="n">
        <f aca="false">IFERROR($G130*$J130*Q130, "")</f>
        <v>0</v>
      </c>
      <c r="AU130" s="284" t="n">
        <f aca="false">IFERROR($G130*$J130*R130, "")</f>
        <v>0</v>
      </c>
      <c r="AV130" s="284" t="n">
        <f aca="false">IFERROR($G130*$J130*S130, "")</f>
        <v>0</v>
      </c>
      <c r="AW130" s="284" t="n">
        <f aca="false">IFERROR($G130*$J130*T130, "")</f>
        <v>0</v>
      </c>
      <c r="AX130" s="284" t="n">
        <f aca="false">IFERROR($G130*$J130*U130, "")</f>
        <v>0</v>
      </c>
      <c r="AY130" s="284" t="n">
        <f aca="false">IFERROR($G130*$J130*V130, "")</f>
        <v>0</v>
      </c>
      <c r="AZ130" s="284" t="n">
        <f aca="false">IFERROR($G130*$J130*W130, "")</f>
        <v>0</v>
      </c>
      <c r="BA130" s="286" t="n">
        <f aca="false">IFERROR(SUMIF($AO$4:$AZ$4, "RDEC", AO130:AZ130), "")</f>
        <v>0</v>
      </c>
      <c r="BB130" s="286" t="n">
        <f aca="false">IFERROR(SUMIF($AO$4:$AZ$4, "SME", AO130:AZ130), "")</f>
        <v>0</v>
      </c>
      <c r="BC130" s="286" t="n">
        <f aca="false">IFERROR(SUMIF($Y$4:$AJ$4, "De Minimis", AO130:AZ130), "")</f>
        <v>0</v>
      </c>
      <c r="BD130" s="287"/>
      <c r="BE130" s="288" t="str">
        <f aca="false">IF((SUM(L130:W130)&gt;1),"ERROR","")</f>
        <v/>
      </c>
    </row>
    <row r="131" customFormat="false" ht="15" hidden="false" customHeight="true" outlineLevel="0" collapsed="false">
      <c r="B131" s="333"/>
      <c r="C131" s="334"/>
      <c r="D131" s="333" t="n">
        <f aca="false">D115</f>
        <v>45597</v>
      </c>
      <c r="E131" s="277" t="n">
        <v>0</v>
      </c>
      <c r="F131" s="277" t="n">
        <v>0</v>
      </c>
      <c r="G131" s="277" t="n">
        <f aca="false">SUM(E131:F131)</f>
        <v>0</v>
      </c>
      <c r="H131" s="204"/>
      <c r="I131" s="279" t="n">
        <v>1</v>
      </c>
      <c r="J131" s="280" t="n">
        <f aca="false">1-I131</f>
        <v>0</v>
      </c>
      <c r="K131" s="277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3"/>
      <c r="Y131" s="284" t="n">
        <f aca="false">IFERROR(L131*$G131*I$9, "")</f>
        <v>0</v>
      </c>
      <c r="Z131" s="284" t="n">
        <f aca="false">IFERROR(M131*$G131*$I131, "")</f>
        <v>0</v>
      </c>
      <c r="AA131" s="284" t="n">
        <f aca="false">IFERROR(N131*$G131*$I131, "")</f>
        <v>0</v>
      </c>
      <c r="AB131" s="284" t="n">
        <f aca="false">IFERROR(O131*$G131*$I131, "")</f>
        <v>0</v>
      </c>
      <c r="AC131" s="284" t="n">
        <f aca="false">IFERROR(P131*$G131*$I131, "")</f>
        <v>0</v>
      </c>
      <c r="AD131" s="284" t="n">
        <f aca="false">IFERROR(Q131*$G131*$I131, "")</f>
        <v>0</v>
      </c>
      <c r="AE131" s="284" t="n">
        <f aca="false">IFERROR(R131*$G131*$I131, "")</f>
        <v>0</v>
      </c>
      <c r="AF131" s="284" t="n">
        <f aca="false">IFERROR(S131*$G131*$I131, "")</f>
        <v>0</v>
      </c>
      <c r="AG131" s="284" t="n">
        <f aca="false">IFERROR(T131*$G131*$I131, "")</f>
        <v>0</v>
      </c>
      <c r="AH131" s="284" t="n">
        <f aca="false">IFERROR(U131*$G131*$I131, "")</f>
        <v>0</v>
      </c>
      <c r="AI131" s="284" t="n">
        <f aca="false">IFERROR(V131*$G131*$I131, "")</f>
        <v>0</v>
      </c>
      <c r="AJ131" s="284" t="n">
        <f aca="false">IFERROR(W131*$G131*$I131, "")</f>
        <v>0</v>
      </c>
      <c r="AK131" s="286" t="n">
        <f aca="false">IFERROR(SUMIF($Y$4:$AJ$4, "RDEC", Y131:AJ131), "")</f>
        <v>0</v>
      </c>
      <c r="AL131" s="286" t="n">
        <f aca="false">IFERROR(SUMIF($Y$4:$AJ$4, "SME", Y131:AJ131), "")</f>
        <v>0</v>
      </c>
      <c r="AM131" s="286" t="n">
        <f aca="false">IFERROR(SUMIF($Y$4:$AJ$4, "De Minimis", Y131:AJ131), "")</f>
        <v>0</v>
      </c>
      <c r="AN131" s="283"/>
      <c r="AO131" s="284" t="n">
        <f aca="false">IFERROR($G131*$J131*L131, "")</f>
        <v>0</v>
      </c>
      <c r="AP131" s="284" t="n">
        <f aca="false">IFERROR($G131*$J131*M131, "")</f>
        <v>0</v>
      </c>
      <c r="AQ131" s="284" t="n">
        <f aca="false">IFERROR($G131*$J131*N131, "")</f>
        <v>0</v>
      </c>
      <c r="AR131" s="284" t="n">
        <f aca="false">IFERROR($G131*$J131*O131, "")</f>
        <v>0</v>
      </c>
      <c r="AS131" s="284" t="n">
        <f aca="false">IFERROR($G131*$J131*P131, "")</f>
        <v>0</v>
      </c>
      <c r="AT131" s="284" t="n">
        <f aca="false">IFERROR($G131*$J131*Q131, "")</f>
        <v>0</v>
      </c>
      <c r="AU131" s="284" t="n">
        <f aca="false">IFERROR($G131*$J131*R131, "")</f>
        <v>0</v>
      </c>
      <c r="AV131" s="284" t="n">
        <f aca="false">IFERROR($G131*$J131*S131, "")</f>
        <v>0</v>
      </c>
      <c r="AW131" s="284" t="n">
        <f aca="false">IFERROR($G131*$J131*T131, "")</f>
        <v>0</v>
      </c>
      <c r="AX131" s="284" t="n">
        <f aca="false">IFERROR($G131*$J131*U131, "")</f>
        <v>0</v>
      </c>
      <c r="AY131" s="284" t="n">
        <f aca="false">IFERROR($G131*$J131*V131, "")</f>
        <v>0</v>
      </c>
      <c r="AZ131" s="284" t="n">
        <f aca="false">IFERROR($G131*$J131*W131, "")</f>
        <v>0</v>
      </c>
      <c r="BA131" s="286" t="n">
        <f aca="false">IFERROR(SUMIF($AO$4:$AZ$4, "RDEC", AO131:AZ131), "")</f>
        <v>0</v>
      </c>
      <c r="BB131" s="286" t="n">
        <f aca="false">IFERROR(SUMIF($AO$4:$AZ$4, "SME", AO131:AZ131), "")</f>
        <v>0</v>
      </c>
      <c r="BC131" s="286" t="n">
        <f aca="false">IFERROR(SUMIF($Y$4:$AJ$4, "De Minimis", AO131:AZ131), "")</f>
        <v>0</v>
      </c>
      <c r="BD131" s="287"/>
      <c r="BE131" s="288" t="str">
        <f aca="false">IF((SUM(L131:W131)&gt;1),"ERROR","")</f>
        <v/>
      </c>
    </row>
    <row r="132" customFormat="false" ht="15" hidden="false" customHeight="true" outlineLevel="0" collapsed="false">
      <c r="B132" s="333"/>
      <c r="C132" s="334"/>
      <c r="D132" s="333" t="n">
        <f aca="false">D116</f>
        <v>45627</v>
      </c>
      <c r="E132" s="277" t="n">
        <v>0</v>
      </c>
      <c r="F132" s="277" t="n">
        <v>0</v>
      </c>
      <c r="G132" s="277" t="n">
        <f aca="false">SUM(E132:F132)</f>
        <v>0</v>
      </c>
      <c r="H132" s="300"/>
      <c r="I132" s="289" t="n">
        <v>1</v>
      </c>
      <c r="J132" s="290" t="n">
        <f aca="false">1-I132</f>
        <v>0</v>
      </c>
      <c r="K132" s="300"/>
      <c r="L132" s="291"/>
      <c r="M132" s="291"/>
      <c r="N132" s="291"/>
      <c r="O132" s="291"/>
      <c r="P132" s="291"/>
      <c r="Q132" s="291"/>
      <c r="R132" s="291"/>
      <c r="S132" s="291"/>
      <c r="T132" s="291"/>
      <c r="U132" s="291"/>
      <c r="V132" s="291"/>
      <c r="W132" s="291"/>
      <c r="X132" s="283"/>
      <c r="Y132" s="284" t="n">
        <f aca="false">IFERROR(L132*$G132*I$9, "")</f>
        <v>0</v>
      </c>
      <c r="Z132" s="284" t="n">
        <f aca="false">IFERROR(M132*$G132*$I132, "")</f>
        <v>0</v>
      </c>
      <c r="AA132" s="284" t="n">
        <f aca="false">IFERROR(N132*$G132*$I132, "")</f>
        <v>0</v>
      </c>
      <c r="AB132" s="284" t="n">
        <f aca="false">IFERROR(O132*$G132*$I132, "")</f>
        <v>0</v>
      </c>
      <c r="AC132" s="284" t="n">
        <f aca="false">IFERROR(P132*$G132*$I132, "")</f>
        <v>0</v>
      </c>
      <c r="AD132" s="284" t="n">
        <f aca="false">IFERROR(Q132*$G132*$I132, "")</f>
        <v>0</v>
      </c>
      <c r="AE132" s="284" t="n">
        <f aca="false">IFERROR(R132*$G132*$I132, "")</f>
        <v>0</v>
      </c>
      <c r="AF132" s="284" t="n">
        <f aca="false">IFERROR(S132*$G132*$I132, "")</f>
        <v>0</v>
      </c>
      <c r="AG132" s="284" t="n">
        <f aca="false">IFERROR(T132*$G132*$I132, "")</f>
        <v>0</v>
      </c>
      <c r="AH132" s="284" t="n">
        <f aca="false">IFERROR(U132*$G132*$I132, "")</f>
        <v>0</v>
      </c>
      <c r="AI132" s="284" t="n">
        <f aca="false">IFERROR(V132*$G132*$I132, "")</f>
        <v>0</v>
      </c>
      <c r="AJ132" s="284" t="n">
        <f aca="false">IFERROR(W132*$G132*$I132, "")</f>
        <v>0</v>
      </c>
      <c r="AK132" s="294" t="n">
        <f aca="false">IFERROR(SUMIF($Y$4:$AJ$4, "RDEC", Y132:AJ132), "")</f>
        <v>0</v>
      </c>
      <c r="AL132" s="294" t="n">
        <f aca="false">IFERROR(SUMIF($Y$4:$AJ$4, "SME", Y132:AJ132), "")</f>
        <v>0</v>
      </c>
      <c r="AM132" s="294" t="n">
        <f aca="false">IFERROR(SUMIF($Y$4:$AJ$4, "De Minimis", Y132:AJ132), "")</f>
        <v>0</v>
      </c>
      <c r="AN132" s="283"/>
      <c r="AO132" s="284" t="n">
        <f aca="false">IFERROR($G132*$J132*L132, "")</f>
        <v>0</v>
      </c>
      <c r="AP132" s="284" t="n">
        <f aca="false">IFERROR($G132*$J132*M132, "")</f>
        <v>0</v>
      </c>
      <c r="AQ132" s="284" t="n">
        <f aca="false">IFERROR($G132*$J132*N132, "")</f>
        <v>0</v>
      </c>
      <c r="AR132" s="284" t="n">
        <f aca="false">IFERROR($G132*$J132*O132, "")</f>
        <v>0</v>
      </c>
      <c r="AS132" s="284" t="n">
        <f aca="false">IFERROR($G132*$J132*P132, "")</f>
        <v>0</v>
      </c>
      <c r="AT132" s="284" t="n">
        <f aca="false">IFERROR($G132*$J132*Q132, "")</f>
        <v>0</v>
      </c>
      <c r="AU132" s="284" t="n">
        <f aca="false">IFERROR($G132*$J132*R132, "")</f>
        <v>0</v>
      </c>
      <c r="AV132" s="284" t="n">
        <f aca="false">IFERROR($G132*$J132*S132, "")</f>
        <v>0</v>
      </c>
      <c r="AW132" s="284" t="n">
        <f aca="false">IFERROR($G132*$J132*T132, "")</f>
        <v>0</v>
      </c>
      <c r="AX132" s="284" t="n">
        <f aca="false">IFERROR($G132*$J132*U132, "")</f>
        <v>0</v>
      </c>
      <c r="AY132" s="284" t="n">
        <f aca="false">IFERROR($G132*$J132*V132, "")</f>
        <v>0</v>
      </c>
      <c r="AZ132" s="284" t="n">
        <f aca="false">IFERROR($G132*$J132*W132, "")</f>
        <v>0</v>
      </c>
      <c r="BA132" s="286" t="n">
        <f aca="false">IFERROR(SUMIF($AO$4:$AZ$4, "RDEC", AO132:AZ132), "")</f>
        <v>0</v>
      </c>
      <c r="BB132" s="286" t="n">
        <f aca="false">IFERROR(SUMIF($AO$4:$AZ$4, "SME", AO132:AZ132), "")</f>
        <v>0</v>
      </c>
      <c r="BC132" s="294" t="n">
        <f aca="false">IFERROR(SUMIF($Y$4:$AJ$4, "De Minimis", AO132:AZ132), "")</f>
        <v>0</v>
      </c>
      <c r="BD132" s="303"/>
      <c r="BE132" s="295" t="str">
        <f aca="false">IF((SUM(L132:W132)&gt;1),"ERROR","")</f>
        <v/>
      </c>
    </row>
    <row r="133" customFormat="false" ht="15" hidden="false" customHeight="true" outlineLevel="0" collapsed="false">
      <c r="B133" s="296"/>
      <c r="D133" s="297" t="s">
        <v>82</v>
      </c>
      <c r="E133" s="299" t="n">
        <f aca="false">SUM(E121:E132)</f>
        <v>0</v>
      </c>
      <c r="F133" s="299" t="n">
        <f aca="false">SUM(F121:F132)</f>
        <v>0</v>
      </c>
      <c r="G133" s="299" t="n">
        <f aca="false">SUM(G121:G132)</f>
        <v>0</v>
      </c>
      <c r="H133" s="300"/>
      <c r="I133" s="301" t="n">
        <f aca="false">AVERAGE(I121:I132)</f>
        <v>1</v>
      </c>
      <c r="J133" s="301" t="n">
        <f aca="false">AVERAGE(J121:J132)</f>
        <v>0</v>
      </c>
      <c r="K133" s="300"/>
      <c r="L133" s="290" t="n">
        <f aca="false">IF(SUM(L121:L132)&gt;0,(Y133/G133),0)</f>
        <v>0</v>
      </c>
      <c r="M133" s="301" t="n">
        <f aca="false">IF(SUM(M121:M132)&gt;0,(Z133/G133),0)</f>
        <v>0</v>
      </c>
      <c r="N133" s="301" t="n">
        <f aca="false">IF(SUM(N121:N132)&gt;0,(AA133/G133),0)</f>
        <v>0</v>
      </c>
      <c r="O133" s="301" t="n">
        <f aca="false">IF(SUM(O121:O132)&gt;0,(AB133/G133),0)</f>
        <v>0</v>
      </c>
      <c r="P133" s="301" t="n">
        <f aca="false">IF(SUM(P121:P132)&gt;0,(AC133/G133),0)</f>
        <v>0</v>
      </c>
      <c r="Q133" s="301" t="n">
        <f aca="false">IF(SUM(Q121:Q132)&gt;0,(AD133/G133),0)</f>
        <v>0</v>
      </c>
      <c r="R133" s="301" t="n">
        <f aca="false">IF(SUM(R121:R132)&gt;0,(AE133/G133),0)</f>
        <v>0</v>
      </c>
      <c r="S133" s="301" t="n">
        <f aca="false">IF(SUM(S121:S132)&gt;0,(AF133/G133),0)</f>
        <v>0</v>
      </c>
      <c r="T133" s="301" t="n">
        <f aca="false">IF(SUM(T121:T132)&gt;0,(AG133/G133),0)</f>
        <v>0</v>
      </c>
      <c r="U133" s="301" t="n">
        <f aca="false">IF(SUM(U121:U132)&gt;0,(AJ133/G133),0)</f>
        <v>0</v>
      </c>
      <c r="V133" s="301" t="n">
        <f aca="false">IF(SUM(V121:V132)&gt;0,(AI133/G133),0)</f>
        <v>0</v>
      </c>
      <c r="W133" s="301" t="n">
        <f aca="false">IF(SUM(W121:W132)&gt;0,(AJ133/G133),0)</f>
        <v>0</v>
      </c>
      <c r="X133" s="283"/>
      <c r="Y133" s="304" t="n">
        <f aca="false">SUM(Y121:Y132)</f>
        <v>0</v>
      </c>
      <c r="Z133" s="304" t="n">
        <f aca="false">SUM(Z121:Z132)</f>
        <v>0</v>
      </c>
      <c r="AA133" s="304" t="n">
        <f aca="false">SUM(AA121:AA132)</f>
        <v>0</v>
      </c>
      <c r="AB133" s="304" t="n">
        <f aca="false">SUM(AB121:AB132)</f>
        <v>0</v>
      </c>
      <c r="AC133" s="304" t="n">
        <f aca="false">SUM(AC121:AC132)</f>
        <v>0</v>
      </c>
      <c r="AD133" s="304" t="n">
        <f aca="false">SUM(AD121:AD132)</f>
        <v>0</v>
      </c>
      <c r="AE133" s="304" t="n">
        <f aca="false">SUM(AE121:AE132)</f>
        <v>0</v>
      </c>
      <c r="AF133" s="304" t="n">
        <f aca="false">SUM(AF121:AF132)</f>
        <v>0</v>
      </c>
      <c r="AG133" s="304" t="n">
        <f aca="false">SUM(AG121:AG132)</f>
        <v>0</v>
      </c>
      <c r="AH133" s="304" t="n">
        <f aca="false">SUM(AH121:AH132)</f>
        <v>0</v>
      </c>
      <c r="AI133" s="304" t="n">
        <f aca="false">SUM(AI121:AI132)</f>
        <v>0</v>
      </c>
      <c r="AJ133" s="304" t="n">
        <f aca="false">SUM(AJ121:AJ132)</f>
        <v>0</v>
      </c>
      <c r="AK133" s="335" t="n">
        <f aca="false">SUM(AK121:AK132)</f>
        <v>0</v>
      </c>
      <c r="AL133" s="336" t="n">
        <f aca="false">SUM(AL121:AL132)</f>
        <v>0</v>
      </c>
      <c r="AM133" s="305" t="n">
        <f aca="false">SUM(AM121:AM132)</f>
        <v>0</v>
      </c>
      <c r="AN133" s="283"/>
      <c r="AO133" s="304" t="n">
        <f aca="false">SUM(AO121:AO132)</f>
        <v>0</v>
      </c>
      <c r="AP133" s="304" t="n">
        <f aca="false">SUM(AP121:AP132)</f>
        <v>0</v>
      </c>
      <c r="AQ133" s="304" t="n">
        <f aca="false">SUM(AQ121:AQ132)</f>
        <v>0</v>
      </c>
      <c r="AR133" s="304" t="n">
        <f aca="false">SUM(AR121:AR132)</f>
        <v>0</v>
      </c>
      <c r="AS133" s="304" t="n">
        <f aca="false">SUM(AS121:AS132)</f>
        <v>0</v>
      </c>
      <c r="AT133" s="304" t="n">
        <f aca="false">SUM(AT121:AT132)</f>
        <v>0</v>
      </c>
      <c r="AU133" s="304" t="n">
        <f aca="false">SUM(AU121:AU132)</f>
        <v>0</v>
      </c>
      <c r="AV133" s="304" t="n">
        <f aca="false">SUM(AV121:AV132)</f>
        <v>0</v>
      </c>
      <c r="AW133" s="304" t="n">
        <f aca="false">SUM(AW121:AW132)</f>
        <v>0</v>
      </c>
      <c r="AX133" s="304" t="n">
        <f aca="false">SUM(AX121:AX132)</f>
        <v>0</v>
      </c>
      <c r="AY133" s="304" t="n">
        <f aca="false">SUM(AY121:AY132)</f>
        <v>0</v>
      </c>
      <c r="AZ133" s="304" t="n">
        <f aca="false">SUM(AZ121:AZ132)</f>
        <v>0</v>
      </c>
      <c r="BA133" s="336" t="n">
        <f aca="false">SUM(BA121:BA132)</f>
        <v>0</v>
      </c>
      <c r="BB133" s="336" t="n">
        <f aca="false">SUM(BB121:BB132)</f>
        <v>0</v>
      </c>
      <c r="BC133" s="305" t="n">
        <f aca="false">SUM(BC121:BC132)</f>
        <v>0</v>
      </c>
      <c r="BD133" s="303"/>
      <c r="BE133" s="337"/>
    </row>
    <row r="134" customFormat="false" ht="15" hidden="false" customHeight="true" outlineLevel="0" collapsed="false">
      <c r="B134" s="296"/>
      <c r="D134" s="297"/>
      <c r="E134" s="300"/>
      <c r="F134" s="300"/>
      <c r="G134" s="300"/>
      <c r="H134" s="241"/>
      <c r="I134" s="302"/>
      <c r="J134" s="302"/>
      <c r="K134" s="241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X134" s="303"/>
      <c r="Y134" s="259"/>
      <c r="Z134" s="303"/>
      <c r="AA134" s="303"/>
      <c r="AB134" s="303"/>
      <c r="AC134" s="303"/>
      <c r="AD134" s="303"/>
      <c r="AE134" s="303"/>
      <c r="AF134" s="303"/>
      <c r="AG134" s="303"/>
      <c r="AH134" s="303"/>
      <c r="AI134" s="303"/>
      <c r="AJ134" s="303"/>
      <c r="AK134" s="303"/>
      <c r="AL134" s="303"/>
      <c r="AM134" s="303"/>
      <c r="AN134" s="303"/>
      <c r="AO134" s="259"/>
      <c r="AP134" s="303"/>
      <c r="AQ134" s="303"/>
      <c r="AR134" s="303"/>
      <c r="AS134" s="303"/>
      <c r="AT134" s="303"/>
      <c r="AU134" s="303"/>
      <c r="AV134" s="303"/>
      <c r="AW134" s="303"/>
      <c r="AX134" s="303"/>
      <c r="AY134" s="303"/>
      <c r="AZ134" s="303"/>
      <c r="BA134" s="303"/>
      <c r="BB134" s="303"/>
      <c r="BC134" s="303"/>
      <c r="BD134" s="268"/>
      <c r="BE134" s="303"/>
    </row>
    <row r="135" customFormat="false" ht="15" hidden="false" customHeight="true" outlineLevel="0" collapsed="false">
      <c r="A135" s="198" t="n">
        <f aca="false">A119+1</f>
        <v>9</v>
      </c>
      <c r="B135" s="266" t="s">
        <v>253</v>
      </c>
      <c r="C135" s="266" t="s">
        <v>253</v>
      </c>
      <c r="D135" s="266"/>
      <c r="E135" s="241"/>
      <c r="F135" s="241"/>
      <c r="G135" s="241"/>
      <c r="H135" s="241"/>
      <c r="I135" s="241"/>
      <c r="J135" s="241"/>
      <c r="K135" s="277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59"/>
      <c r="Y135" s="268"/>
      <c r="Z135" s="268"/>
      <c r="AA135" s="268"/>
      <c r="AB135" s="268"/>
      <c r="AC135" s="268"/>
      <c r="AD135" s="268"/>
      <c r="AE135" s="268"/>
      <c r="AF135" s="268"/>
      <c r="AG135" s="268"/>
      <c r="AH135" s="268"/>
      <c r="AI135" s="268"/>
      <c r="AJ135" s="268"/>
      <c r="AK135" s="268"/>
      <c r="AL135" s="268"/>
      <c r="AM135" s="268"/>
      <c r="AN135" s="259"/>
      <c r="AO135" s="268"/>
      <c r="AP135" s="268"/>
      <c r="AQ135" s="268"/>
      <c r="AR135" s="268"/>
      <c r="AS135" s="268"/>
      <c r="AT135" s="268"/>
      <c r="AU135" s="268"/>
      <c r="AV135" s="268"/>
      <c r="AW135" s="268"/>
      <c r="AX135" s="268"/>
      <c r="AY135" s="268"/>
      <c r="AZ135" s="268"/>
      <c r="BA135" s="268"/>
      <c r="BB135" s="268"/>
      <c r="BC135" s="268"/>
      <c r="BD135" s="287"/>
      <c r="BE135" s="268"/>
    </row>
    <row r="136" customFormat="false" ht="7.5" hidden="false" customHeight="true" outlineLevel="0" collapsed="false">
      <c r="A136" s="198"/>
      <c r="B136" s="266"/>
      <c r="C136" s="266"/>
      <c r="D136" s="266"/>
      <c r="E136" s="241"/>
      <c r="F136" s="241"/>
      <c r="G136" s="241"/>
      <c r="H136" s="204"/>
      <c r="I136" s="269"/>
      <c r="J136" s="269"/>
      <c r="K136" s="277"/>
      <c r="L136" s="269"/>
      <c r="M136" s="269"/>
      <c r="N136" s="269"/>
      <c r="O136" s="269"/>
      <c r="P136" s="269"/>
      <c r="Q136" s="269"/>
      <c r="R136" s="269"/>
      <c r="S136" s="269"/>
      <c r="T136" s="269"/>
      <c r="U136" s="269"/>
      <c r="V136" s="269"/>
      <c r="W136" s="269"/>
      <c r="X136" s="259"/>
      <c r="Y136" s="271"/>
      <c r="Z136" s="271"/>
      <c r="AA136" s="271"/>
      <c r="AB136" s="271"/>
      <c r="AC136" s="271"/>
      <c r="AD136" s="271"/>
      <c r="AE136" s="271"/>
      <c r="AF136" s="271"/>
      <c r="AG136" s="271"/>
      <c r="AH136" s="271"/>
      <c r="AI136" s="271"/>
      <c r="AJ136" s="272"/>
      <c r="AK136" s="273"/>
      <c r="AL136" s="273"/>
      <c r="AM136" s="273"/>
      <c r="AN136" s="259"/>
      <c r="AO136" s="271"/>
      <c r="AP136" s="271"/>
      <c r="AQ136" s="271"/>
      <c r="AR136" s="271"/>
      <c r="AS136" s="271"/>
      <c r="AT136" s="271"/>
      <c r="AU136" s="271"/>
      <c r="AV136" s="271"/>
      <c r="AW136" s="271"/>
      <c r="AX136" s="271"/>
      <c r="AY136" s="271"/>
      <c r="AZ136" s="272"/>
      <c r="BA136" s="273"/>
      <c r="BB136" s="273"/>
      <c r="BC136" s="273"/>
      <c r="BD136" s="287"/>
      <c r="BE136" s="274"/>
    </row>
    <row r="137" customFormat="false" ht="15" hidden="false" customHeight="true" outlineLevel="0" collapsed="false">
      <c r="B137" s="333"/>
      <c r="C137" s="334"/>
      <c r="D137" s="333" t="n">
        <f aca="false">D121</f>
        <v>45292</v>
      </c>
      <c r="E137" s="277" t="n">
        <v>0</v>
      </c>
      <c r="F137" s="277" t="n">
        <v>0</v>
      </c>
      <c r="G137" s="277" t="n">
        <f aca="false">SUM(E137:F137)</f>
        <v>0</v>
      </c>
      <c r="H137" s="204"/>
      <c r="I137" s="279" t="n">
        <v>1</v>
      </c>
      <c r="J137" s="280" t="n">
        <f aca="false">1-I137</f>
        <v>0</v>
      </c>
      <c r="K137" s="277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68"/>
      <c r="Y137" s="284" t="n">
        <f aca="false">IFERROR(L137*$G137*I$9, "")</f>
        <v>0</v>
      </c>
      <c r="Z137" s="284" t="n">
        <f aca="false">IFERROR(M137*$G137*$I137, "")</f>
        <v>0</v>
      </c>
      <c r="AA137" s="284" t="n">
        <f aca="false">IFERROR(N137*$G137*$I137, "")</f>
        <v>0</v>
      </c>
      <c r="AB137" s="284" t="n">
        <f aca="false">IFERROR(O137*$G137*$I137, "")</f>
        <v>0</v>
      </c>
      <c r="AC137" s="284" t="n">
        <f aca="false">IFERROR(P137*$G137*$I137, "")</f>
        <v>0</v>
      </c>
      <c r="AD137" s="284" t="n">
        <f aca="false">IFERROR(Q137*$G137*$I137, "")</f>
        <v>0</v>
      </c>
      <c r="AE137" s="284" t="n">
        <f aca="false">IFERROR(R137*$G137*$I137, "")</f>
        <v>0</v>
      </c>
      <c r="AF137" s="284" t="n">
        <f aca="false">IFERROR(S137*$G137*$I137, "")</f>
        <v>0</v>
      </c>
      <c r="AG137" s="284" t="n">
        <f aca="false">IFERROR(T137*$G137*$I137, "")</f>
        <v>0</v>
      </c>
      <c r="AH137" s="284" t="n">
        <f aca="false">IFERROR(U137*$G137*$I137, "")</f>
        <v>0</v>
      </c>
      <c r="AI137" s="284" t="n">
        <f aca="false">IFERROR(V137*$G137*$I137, "")</f>
        <v>0</v>
      </c>
      <c r="AJ137" s="284" t="n">
        <f aca="false">IFERROR(W137*$G137*$I137, "")</f>
        <v>0</v>
      </c>
      <c r="AK137" s="286" t="n">
        <f aca="false">IFERROR(SUMIF($Y$4:$AJ$4, "RDEC", Y137:AJ137), "")</f>
        <v>0</v>
      </c>
      <c r="AL137" s="286" t="n">
        <f aca="false">IFERROR(SUMIF($Y$4:$AJ$4, "SME", Y137:AJ137), "")</f>
        <v>0</v>
      </c>
      <c r="AM137" s="286" t="n">
        <f aca="false">IFERROR(SUMIF($Y$4:$AJ$4, "De Minimis", Y137:AJ137), "")</f>
        <v>0</v>
      </c>
      <c r="AN137" s="268"/>
      <c r="AO137" s="284" t="n">
        <f aca="false">IFERROR($G137*$J137*L137, "")</f>
        <v>0</v>
      </c>
      <c r="AP137" s="284" t="n">
        <f aca="false">IFERROR($G137*$J137*M137, "")</f>
        <v>0</v>
      </c>
      <c r="AQ137" s="284" t="n">
        <f aca="false">IFERROR($G137*$J137*N137, "")</f>
        <v>0</v>
      </c>
      <c r="AR137" s="284" t="n">
        <f aca="false">IFERROR($G137*$J137*O137, "")</f>
        <v>0</v>
      </c>
      <c r="AS137" s="284" t="n">
        <f aca="false">IFERROR($G137*$J137*P137, "")</f>
        <v>0</v>
      </c>
      <c r="AT137" s="284" t="n">
        <f aca="false">IFERROR($G137*$J137*Q137, "")</f>
        <v>0</v>
      </c>
      <c r="AU137" s="284" t="n">
        <f aca="false">IFERROR($G137*$J137*R137, "")</f>
        <v>0</v>
      </c>
      <c r="AV137" s="284" t="n">
        <f aca="false">IFERROR($G137*$J137*S137, "")</f>
        <v>0</v>
      </c>
      <c r="AW137" s="284" t="n">
        <f aca="false">IFERROR($G137*$J137*T137, "")</f>
        <v>0</v>
      </c>
      <c r="AX137" s="284" t="n">
        <f aca="false">IFERROR($G137*$J137*U137, "")</f>
        <v>0</v>
      </c>
      <c r="AY137" s="284" t="n">
        <f aca="false">IFERROR($G137*$J137*V137, "")</f>
        <v>0</v>
      </c>
      <c r="AZ137" s="284" t="n">
        <f aca="false">IFERROR($G137*$J137*W137, "")</f>
        <v>0</v>
      </c>
      <c r="BA137" s="286" t="n">
        <f aca="false">IFERROR(SUMIF($AO$4:$AZ$4, "RDEC", AO137:AZ137), "")</f>
        <v>0</v>
      </c>
      <c r="BB137" s="286" t="n">
        <f aca="false">IFERROR(SUMIF($AO$4:$AZ$4, "SME", AO137:AZ137), "")</f>
        <v>0</v>
      </c>
      <c r="BC137" s="286" t="n">
        <f aca="false">IFERROR(SUMIF($AO$4:$AZ$4, "De Minimis", AO137:AZ137), "")</f>
        <v>0</v>
      </c>
      <c r="BD137" s="287"/>
      <c r="BE137" s="288" t="str">
        <f aca="false">IF((SUM(L137:W137)&gt;1),"ERROR","")</f>
        <v/>
      </c>
    </row>
    <row r="138" customFormat="false" ht="15" hidden="false" customHeight="true" outlineLevel="0" collapsed="false">
      <c r="B138" s="333"/>
      <c r="C138" s="334"/>
      <c r="D138" s="333" t="n">
        <f aca="false">D122</f>
        <v>45323</v>
      </c>
      <c r="E138" s="277" t="n">
        <v>0</v>
      </c>
      <c r="F138" s="277" t="n">
        <v>0</v>
      </c>
      <c r="G138" s="277" t="n">
        <f aca="false">SUM(E138:F138)</f>
        <v>0</v>
      </c>
      <c r="H138" s="204"/>
      <c r="I138" s="279" t="n">
        <v>1</v>
      </c>
      <c r="J138" s="280" t="n">
        <f aca="false">1-I138</f>
        <v>0</v>
      </c>
      <c r="K138" s="277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3"/>
      <c r="Y138" s="284" t="n">
        <f aca="false">IFERROR(L138*$G138*I$9, "")</f>
        <v>0</v>
      </c>
      <c r="Z138" s="284" t="n">
        <f aca="false">IFERROR(M138*$G138*$I138, "")</f>
        <v>0</v>
      </c>
      <c r="AA138" s="284" t="n">
        <f aca="false">IFERROR(N138*$G138*$I138, "")</f>
        <v>0</v>
      </c>
      <c r="AB138" s="284" t="n">
        <f aca="false">IFERROR(O138*$G138*$I138, "")</f>
        <v>0</v>
      </c>
      <c r="AC138" s="284" t="n">
        <f aca="false">IFERROR(P138*$G138*$I138, "")</f>
        <v>0</v>
      </c>
      <c r="AD138" s="284" t="n">
        <f aca="false">IFERROR(Q138*$G138*$I138, "")</f>
        <v>0</v>
      </c>
      <c r="AE138" s="284" t="n">
        <f aca="false">IFERROR(R138*$G138*$I138, "")</f>
        <v>0</v>
      </c>
      <c r="AF138" s="284" t="n">
        <f aca="false">IFERROR(S138*$G138*$I138, "")</f>
        <v>0</v>
      </c>
      <c r="AG138" s="284" t="n">
        <f aca="false">IFERROR(T138*$G138*$I138, "")</f>
        <v>0</v>
      </c>
      <c r="AH138" s="284" t="n">
        <f aca="false">IFERROR(U138*$G138*$I138, "")</f>
        <v>0</v>
      </c>
      <c r="AI138" s="284" t="n">
        <f aca="false">IFERROR(V138*$G138*$I138, "")</f>
        <v>0</v>
      </c>
      <c r="AJ138" s="284" t="n">
        <f aca="false">IFERROR(W138*$G138*$I138, "")</f>
        <v>0</v>
      </c>
      <c r="AK138" s="286" t="n">
        <f aca="false">IFERROR(SUMIF($Y$4:$AJ$4, "RDEC", Y138:AJ138), "")</f>
        <v>0</v>
      </c>
      <c r="AL138" s="286" t="n">
        <f aca="false">IFERROR(SUMIF($Y$4:$AJ$4, "SME", Y138:AJ138), "")</f>
        <v>0</v>
      </c>
      <c r="AM138" s="286" t="n">
        <f aca="false">IFERROR(SUMIF($Y$4:$AJ$4, "De Minimis", Y138:AJ138), "")</f>
        <v>0</v>
      </c>
      <c r="AN138" s="283"/>
      <c r="AO138" s="284" t="n">
        <f aca="false">IFERROR($G138*$J138*L138, "")</f>
        <v>0</v>
      </c>
      <c r="AP138" s="284" t="n">
        <f aca="false">IFERROR($G138*$J138*M138, "")</f>
        <v>0</v>
      </c>
      <c r="AQ138" s="284" t="n">
        <f aca="false">IFERROR($G138*$J138*N138, "")</f>
        <v>0</v>
      </c>
      <c r="AR138" s="284" t="n">
        <f aca="false">IFERROR($G138*$J138*O138, "")</f>
        <v>0</v>
      </c>
      <c r="AS138" s="284" t="n">
        <f aca="false">IFERROR($G138*$J138*P138, "")</f>
        <v>0</v>
      </c>
      <c r="AT138" s="284" t="n">
        <f aca="false">IFERROR($G138*$J138*Q138, "")</f>
        <v>0</v>
      </c>
      <c r="AU138" s="284" t="n">
        <f aca="false">IFERROR($G138*$J138*R138, "")</f>
        <v>0</v>
      </c>
      <c r="AV138" s="284" t="n">
        <f aca="false">IFERROR($G138*$J138*S138, "")</f>
        <v>0</v>
      </c>
      <c r="AW138" s="284" t="n">
        <f aca="false">IFERROR($G138*$J138*T138, "")</f>
        <v>0</v>
      </c>
      <c r="AX138" s="284" t="n">
        <f aca="false">IFERROR($G138*$J138*U138, "")</f>
        <v>0</v>
      </c>
      <c r="AY138" s="284" t="n">
        <f aca="false">IFERROR($G138*$J138*V138, "")</f>
        <v>0</v>
      </c>
      <c r="AZ138" s="284" t="n">
        <f aca="false">IFERROR($G138*$J138*W138, "")</f>
        <v>0</v>
      </c>
      <c r="BA138" s="286" t="n">
        <f aca="false">IFERROR(SUMIF($AO$4:$AZ$4, "RDEC", AO138:AZ138), "")</f>
        <v>0</v>
      </c>
      <c r="BB138" s="286" t="n">
        <f aca="false">IFERROR(SUMIF($AO$4:$AZ$4, "SME", AO138:AZ138), "")</f>
        <v>0</v>
      </c>
      <c r="BC138" s="286" t="n">
        <f aca="false">IFERROR(SUMIF($Y$4:$AJ$4, "De Minimis", AO138:AZ138), "")</f>
        <v>0</v>
      </c>
      <c r="BD138" s="287"/>
      <c r="BE138" s="288" t="str">
        <f aca="false">IF((SUM(L138:W138)&gt;1),"ERROR","")</f>
        <v/>
      </c>
    </row>
    <row r="139" customFormat="false" ht="15" hidden="false" customHeight="true" outlineLevel="0" collapsed="false">
      <c r="B139" s="333"/>
      <c r="C139" s="334"/>
      <c r="D139" s="333" t="n">
        <f aca="false">D123</f>
        <v>45352</v>
      </c>
      <c r="E139" s="277" t="n">
        <v>0</v>
      </c>
      <c r="F139" s="277" t="n">
        <v>0</v>
      </c>
      <c r="G139" s="277" t="n">
        <f aca="false">SUM(E139:F139)</f>
        <v>0</v>
      </c>
      <c r="H139" s="204"/>
      <c r="I139" s="279" t="n">
        <v>1</v>
      </c>
      <c r="J139" s="280" t="n">
        <f aca="false">1-I139</f>
        <v>0</v>
      </c>
      <c r="K139" s="277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3"/>
      <c r="Y139" s="284" t="n">
        <f aca="false">IFERROR(L139*$G139*I$9, "")</f>
        <v>0</v>
      </c>
      <c r="Z139" s="284" t="n">
        <f aca="false">IFERROR(M139*$G139*$I139, "")</f>
        <v>0</v>
      </c>
      <c r="AA139" s="284" t="n">
        <f aca="false">IFERROR(N139*$G139*$I139, "")</f>
        <v>0</v>
      </c>
      <c r="AB139" s="284" t="n">
        <f aca="false">IFERROR(O139*$G139*$I139, "")</f>
        <v>0</v>
      </c>
      <c r="AC139" s="284" t="n">
        <f aca="false">IFERROR(P139*$G139*$I139, "")</f>
        <v>0</v>
      </c>
      <c r="AD139" s="284" t="n">
        <f aca="false">IFERROR(Q139*$G139*$I139, "")</f>
        <v>0</v>
      </c>
      <c r="AE139" s="284" t="n">
        <f aca="false">IFERROR(R139*$G139*$I139, "")</f>
        <v>0</v>
      </c>
      <c r="AF139" s="284" t="n">
        <f aca="false">IFERROR(S139*$G139*$I139, "")</f>
        <v>0</v>
      </c>
      <c r="AG139" s="284" t="n">
        <f aca="false">IFERROR(T139*$G139*$I139, "")</f>
        <v>0</v>
      </c>
      <c r="AH139" s="284" t="n">
        <f aca="false">IFERROR(U139*$G139*$I139, "")</f>
        <v>0</v>
      </c>
      <c r="AI139" s="284" t="n">
        <f aca="false">IFERROR(V139*$G139*$I139, "")</f>
        <v>0</v>
      </c>
      <c r="AJ139" s="284" t="n">
        <f aca="false">IFERROR(W139*$G139*$I139, "")</f>
        <v>0</v>
      </c>
      <c r="AK139" s="286" t="n">
        <f aca="false">IFERROR(SUMIF($Y$4:$AJ$4, "RDEC", Y139:AJ139), "")</f>
        <v>0</v>
      </c>
      <c r="AL139" s="286" t="n">
        <f aca="false">IFERROR(SUMIF($Y$4:$AJ$4, "SME", Y139:AJ139), "")</f>
        <v>0</v>
      </c>
      <c r="AM139" s="286" t="n">
        <f aca="false">IFERROR(SUMIF($Y$4:$AJ$4, "De Minimis", Y139:AJ139), "")</f>
        <v>0</v>
      </c>
      <c r="AN139" s="283"/>
      <c r="AO139" s="284" t="n">
        <f aca="false">IFERROR($G139*$J139*L139, "")</f>
        <v>0</v>
      </c>
      <c r="AP139" s="284" t="n">
        <f aca="false">IFERROR($G139*$J139*M139, "")</f>
        <v>0</v>
      </c>
      <c r="AQ139" s="284" t="n">
        <f aca="false">IFERROR($G139*$J139*N139, "")</f>
        <v>0</v>
      </c>
      <c r="AR139" s="284" t="n">
        <f aca="false">IFERROR($G139*$J139*O139, "")</f>
        <v>0</v>
      </c>
      <c r="AS139" s="284" t="n">
        <f aca="false">IFERROR($G139*$J139*P139, "")</f>
        <v>0</v>
      </c>
      <c r="AT139" s="284" t="n">
        <f aca="false">IFERROR($G139*$J139*Q139, "")</f>
        <v>0</v>
      </c>
      <c r="AU139" s="284" t="n">
        <f aca="false">IFERROR($G139*$J139*R139, "")</f>
        <v>0</v>
      </c>
      <c r="AV139" s="284" t="n">
        <f aca="false">IFERROR($G139*$J139*S139, "")</f>
        <v>0</v>
      </c>
      <c r="AW139" s="284" t="n">
        <f aca="false">IFERROR($G139*$J139*T139, "")</f>
        <v>0</v>
      </c>
      <c r="AX139" s="284" t="n">
        <f aca="false">IFERROR($G139*$J139*U139, "")</f>
        <v>0</v>
      </c>
      <c r="AY139" s="284" t="n">
        <f aca="false">IFERROR($G139*$J139*V139, "")</f>
        <v>0</v>
      </c>
      <c r="AZ139" s="284" t="n">
        <f aca="false">IFERROR($G139*$J139*W139, "")</f>
        <v>0</v>
      </c>
      <c r="BA139" s="286" t="n">
        <f aca="false">IFERROR(SUMIF($AO$4:$AZ$4, "RDEC", AO139:AZ139), "")</f>
        <v>0</v>
      </c>
      <c r="BB139" s="286" t="n">
        <f aca="false">IFERROR(SUMIF($AO$4:$AZ$4, "SME", AO139:AZ139), "")</f>
        <v>0</v>
      </c>
      <c r="BC139" s="286" t="n">
        <f aca="false">IFERROR(SUMIF($Y$4:$AJ$4, "De Minimis", AO139:AZ139), "")</f>
        <v>0</v>
      </c>
      <c r="BD139" s="287"/>
      <c r="BE139" s="288" t="str">
        <f aca="false">IF((SUM(L139:W139)&gt;1),"ERROR","")</f>
        <v/>
      </c>
    </row>
    <row r="140" customFormat="false" ht="15" hidden="false" customHeight="true" outlineLevel="0" collapsed="false">
      <c r="B140" s="333"/>
      <c r="C140" s="334"/>
      <c r="D140" s="333" t="n">
        <f aca="false">D124</f>
        <v>45383</v>
      </c>
      <c r="E140" s="277" t="n">
        <v>0</v>
      </c>
      <c r="F140" s="277" t="n">
        <v>0</v>
      </c>
      <c r="G140" s="277" t="n">
        <f aca="false">SUM(E140:F140)</f>
        <v>0</v>
      </c>
      <c r="H140" s="204"/>
      <c r="I140" s="279" t="n">
        <v>1</v>
      </c>
      <c r="J140" s="280" t="n">
        <f aca="false">1-I140</f>
        <v>0</v>
      </c>
      <c r="K140" s="277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283"/>
      <c r="Y140" s="284" t="n">
        <f aca="false">IFERROR(L140*$G140*I$9, "")</f>
        <v>0</v>
      </c>
      <c r="Z140" s="284" t="n">
        <f aca="false">IFERROR(M140*$G140*$I140, "")</f>
        <v>0</v>
      </c>
      <c r="AA140" s="284" t="n">
        <f aca="false">IFERROR(N140*$G140*$I140, "")</f>
        <v>0</v>
      </c>
      <c r="AB140" s="284" t="n">
        <f aca="false">IFERROR(O140*$G140*$I140, "")</f>
        <v>0</v>
      </c>
      <c r="AC140" s="284" t="n">
        <f aca="false">IFERROR(P140*$G140*$I140, "")</f>
        <v>0</v>
      </c>
      <c r="AD140" s="284" t="n">
        <f aca="false">IFERROR(Q140*$G140*$I140, "")</f>
        <v>0</v>
      </c>
      <c r="AE140" s="284" t="n">
        <f aca="false">IFERROR(R140*$G140*$I140, "")</f>
        <v>0</v>
      </c>
      <c r="AF140" s="284" t="n">
        <f aca="false">IFERROR(S140*$G140*$I140, "")</f>
        <v>0</v>
      </c>
      <c r="AG140" s="284" t="n">
        <f aca="false">IFERROR(T140*$G140*$I140, "")</f>
        <v>0</v>
      </c>
      <c r="AH140" s="284" t="n">
        <f aca="false">IFERROR(U140*$G140*$I140, "")</f>
        <v>0</v>
      </c>
      <c r="AI140" s="284" t="n">
        <f aca="false">IFERROR(V140*$G140*$I140, "")</f>
        <v>0</v>
      </c>
      <c r="AJ140" s="284" t="n">
        <f aca="false">IFERROR(W140*$G140*$I140, "")</f>
        <v>0</v>
      </c>
      <c r="AK140" s="286" t="n">
        <f aca="false">IFERROR(SUMIF($Y$4:$AJ$4, "RDEC", Y140:AJ140), "")</f>
        <v>0</v>
      </c>
      <c r="AL140" s="286" t="n">
        <f aca="false">IFERROR(SUMIF($Y$4:$AJ$4, "SME", Y140:AJ140), "")</f>
        <v>0</v>
      </c>
      <c r="AM140" s="286" t="n">
        <f aca="false">IFERROR(SUMIF($Y$4:$AJ$4, "De Minimis", Y140:AJ140), "")</f>
        <v>0</v>
      </c>
      <c r="AN140" s="283"/>
      <c r="AO140" s="284" t="n">
        <f aca="false">IFERROR($G140*$J140*L140, "")</f>
        <v>0</v>
      </c>
      <c r="AP140" s="284" t="n">
        <f aca="false">IFERROR($G140*$J140*M140, "")</f>
        <v>0</v>
      </c>
      <c r="AQ140" s="284" t="n">
        <f aca="false">IFERROR($G140*$J140*N140, "")</f>
        <v>0</v>
      </c>
      <c r="AR140" s="284" t="n">
        <f aca="false">IFERROR($G140*$J140*O140, "")</f>
        <v>0</v>
      </c>
      <c r="AS140" s="284" t="n">
        <f aca="false">IFERROR($G140*$J140*P140, "")</f>
        <v>0</v>
      </c>
      <c r="AT140" s="284" t="n">
        <f aca="false">IFERROR($G140*$J140*Q140, "")</f>
        <v>0</v>
      </c>
      <c r="AU140" s="284" t="n">
        <f aca="false">IFERROR($G140*$J140*R140, "")</f>
        <v>0</v>
      </c>
      <c r="AV140" s="284" t="n">
        <f aca="false">IFERROR($G140*$J140*S140, "")</f>
        <v>0</v>
      </c>
      <c r="AW140" s="284" t="n">
        <f aca="false">IFERROR($G140*$J140*T140, "")</f>
        <v>0</v>
      </c>
      <c r="AX140" s="284" t="n">
        <f aca="false">IFERROR($G140*$J140*U140, "")</f>
        <v>0</v>
      </c>
      <c r="AY140" s="284" t="n">
        <f aca="false">IFERROR($G140*$J140*V140, "")</f>
        <v>0</v>
      </c>
      <c r="AZ140" s="284" t="n">
        <f aca="false">IFERROR($G140*$J140*W140, "")</f>
        <v>0</v>
      </c>
      <c r="BA140" s="286" t="n">
        <f aca="false">IFERROR(SUMIF($AO$4:$AZ$4, "RDEC", AO140:AZ140), "")</f>
        <v>0</v>
      </c>
      <c r="BB140" s="286" t="n">
        <f aca="false">IFERROR(SUMIF($AO$4:$AZ$4, "SME", AO140:AZ140), "")</f>
        <v>0</v>
      </c>
      <c r="BC140" s="286" t="n">
        <f aca="false">IFERROR(SUMIF($Y$4:$AJ$4, "De Minimis", AO140:AZ140), "")</f>
        <v>0</v>
      </c>
      <c r="BD140" s="287"/>
      <c r="BE140" s="288" t="str">
        <f aca="false">IF((SUM(L140:W140)&gt;1),"ERROR","")</f>
        <v/>
      </c>
    </row>
    <row r="141" customFormat="false" ht="15" hidden="false" customHeight="true" outlineLevel="0" collapsed="false">
      <c r="B141" s="333"/>
      <c r="C141" s="334"/>
      <c r="D141" s="333" t="n">
        <f aca="false">D125</f>
        <v>45413</v>
      </c>
      <c r="E141" s="277" t="n">
        <v>0</v>
      </c>
      <c r="F141" s="277" t="n">
        <v>0</v>
      </c>
      <c r="G141" s="277" t="n">
        <f aca="false">SUM(E141:F141)</f>
        <v>0</v>
      </c>
      <c r="H141" s="204"/>
      <c r="I141" s="279" t="n">
        <v>1</v>
      </c>
      <c r="J141" s="280" t="n">
        <f aca="false">1-I141</f>
        <v>0</v>
      </c>
      <c r="K141" s="277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283"/>
      <c r="Y141" s="284" t="n">
        <f aca="false">IFERROR(L141*$G141*I$9, "")</f>
        <v>0</v>
      </c>
      <c r="Z141" s="284" t="n">
        <f aca="false">IFERROR(M141*$G141*$I141, "")</f>
        <v>0</v>
      </c>
      <c r="AA141" s="284" t="n">
        <f aca="false">IFERROR(N141*$G141*$I141, "")</f>
        <v>0</v>
      </c>
      <c r="AB141" s="284" t="n">
        <f aca="false">IFERROR(O141*$G141*$I141, "")</f>
        <v>0</v>
      </c>
      <c r="AC141" s="284" t="n">
        <f aca="false">IFERROR(P141*$G141*$I141, "")</f>
        <v>0</v>
      </c>
      <c r="AD141" s="284" t="n">
        <f aca="false">IFERROR(Q141*$G141*$I141, "")</f>
        <v>0</v>
      </c>
      <c r="AE141" s="284" t="n">
        <f aca="false">IFERROR(R141*$G141*$I141, "")</f>
        <v>0</v>
      </c>
      <c r="AF141" s="284" t="n">
        <f aca="false">IFERROR(S141*$G141*$I141, "")</f>
        <v>0</v>
      </c>
      <c r="AG141" s="284" t="n">
        <f aca="false">IFERROR(T141*$G141*$I141, "")</f>
        <v>0</v>
      </c>
      <c r="AH141" s="284" t="n">
        <f aca="false">IFERROR(U141*$G141*$I141, "")</f>
        <v>0</v>
      </c>
      <c r="AI141" s="284" t="n">
        <f aca="false">IFERROR(V141*$G141*$I141, "")</f>
        <v>0</v>
      </c>
      <c r="AJ141" s="284" t="n">
        <f aca="false">IFERROR(W141*$G141*$I141, "")</f>
        <v>0</v>
      </c>
      <c r="AK141" s="286" t="n">
        <f aca="false">IFERROR(SUMIF($Y$4:$AJ$4, "RDEC", Y141:AJ141), "")</f>
        <v>0</v>
      </c>
      <c r="AL141" s="286" t="n">
        <f aca="false">IFERROR(SUMIF($Y$4:$AJ$4, "SME", Y141:AJ141), "")</f>
        <v>0</v>
      </c>
      <c r="AM141" s="286" t="n">
        <f aca="false">IFERROR(SUMIF($Y$4:$AJ$4, "De Minimis", Y141:AJ141), "")</f>
        <v>0</v>
      </c>
      <c r="AN141" s="283"/>
      <c r="AO141" s="284" t="n">
        <f aca="false">IFERROR($G141*$J141*L141, "")</f>
        <v>0</v>
      </c>
      <c r="AP141" s="284" t="n">
        <f aca="false">IFERROR($G141*$J141*M141, "")</f>
        <v>0</v>
      </c>
      <c r="AQ141" s="284" t="n">
        <f aca="false">IFERROR($G141*$J141*N141, "")</f>
        <v>0</v>
      </c>
      <c r="AR141" s="284" t="n">
        <f aca="false">IFERROR($G141*$J141*O141, "")</f>
        <v>0</v>
      </c>
      <c r="AS141" s="284" t="n">
        <f aca="false">IFERROR($G141*$J141*P141, "")</f>
        <v>0</v>
      </c>
      <c r="AT141" s="284" t="n">
        <f aca="false">IFERROR($G141*$J141*Q141, "")</f>
        <v>0</v>
      </c>
      <c r="AU141" s="284" t="n">
        <f aca="false">IFERROR($G141*$J141*R141, "")</f>
        <v>0</v>
      </c>
      <c r="AV141" s="284" t="n">
        <f aca="false">IFERROR($G141*$J141*S141, "")</f>
        <v>0</v>
      </c>
      <c r="AW141" s="284" t="n">
        <f aca="false">IFERROR($G141*$J141*T141, "")</f>
        <v>0</v>
      </c>
      <c r="AX141" s="284" t="n">
        <f aca="false">IFERROR($G141*$J141*U141, "")</f>
        <v>0</v>
      </c>
      <c r="AY141" s="284" t="n">
        <f aca="false">IFERROR($G141*$J141*V141, "")</f>
        <v>0</v>
      </c>
      <c r="AZ141" s="284" t="n">
        <f aca="false">IFERROR($G141*$J141*W141, "")</f>
        <v>0</v>
      </c>
      <c r="BA141" s="286" t="n">
        <f aca="false">IFERROR(SUMIF($AO$4:$AZ$4, "RDEC", AO141:AZ141), "")</f>
        <v>0</v>
      </c>
      <c r="BB141" s="286" t="n">
        <f aca="false">IFERROR(SUMIF($AO$4:$AZ$4, "SME", AO141:AZ141), "")</f>
        <v>0</v>
      </c>
      <c r="BC141" s="286" t="n">
        <f aca="false">IFERROR(SUMIF($Y$4:$AJ$4, "De Minimis", AO141:AZ141), "")</f>
        <v>0</v>
      </c>
      <c r="BD141" s="287"/>
      <c r="BE141" s="288" t="str">
        <f aca="false">IF((SUM(L141:W141)&gt;1),"ERROR","")</f>
        <v/>
      </c>
    </row>
    <row r="142" customFormat="false" ht="15" hidden="false" customHeight="true" outlineLevel="0" collapsed="false">
      <c r="B142" s="333"/>
      <c r="C142" s="334"/>
      <c r="D142" s="333" t="n">
        <f aca="false">D126</f>
        <v>45444</v>
      </c>
      <c r="E142" s="277" t="n">
        <v>0</v>
      </c>
      <c r="F142" s="277" t="n">
        <v>0</v>
      </c>
      <c r="G142" s="277" t="n">
        <f aca="false">SUM(E142:F142)</f>
        <v>0</v>
      </c>
      <c r="H142" s="204"/>
      <c r="I142" s="279" t="n">
        <v>1</v>
      </c>
      <c r="J142" s="280" t="n">
        <f aca="false">1-I142</f>
        <v>0</v>
      </c>
      <c r="K142" s="277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283"/>
      <c r="Y142" s="284" t="n">
        <f aca="false">IFERROR(L142*$G142*I$9, "")</f>
        <v>0</v>
      </c>
      <c r="Z142" s="284" t="n">
        <f aca="false">IFERROR(M142*$G142*$I142, "")</f>
        <v>0</v>
      </c>
      <c r="AA142" s="284" t="n">
        <f aca="false">IFERROR(N142*$G142*$I142, "")</f>
        <v>0</v>
      </c>
      <c r="AB142" s="284" t="n">
        <f aca="false">IFERROR(O142*$G142*$I142, "")</f>
        <v>0</v>
      </c>
      <c r="AC142" s="284" t="n">
        <f aca="false">IFERROR(P142*$G142*$I142, "")</f>
        <v>0</v>
      </c>
      <c r="AD142" s="284" t="n">
        <f aca="false">IFERROR(Q142*$G142*$I142, "")</f>
        <v>0</v>
      </c>
      <c r="AE142" s="284" t="n">
        <f aca="false">IFERROR(R142*$G142*$I142, "")</f>
        <v>0</v>
      </c>
      <c r="AF142" s="284" t="n">
        <f aca="false">IFERROR(S142*$G142*$I142, "")</f>
        <v>0</v>
      </c>
      <c r="AG142" s="284" t="n">
        <f aca="false">IFERROR(T142*$G142*$I142, "")</f>
        <v>0</v>
      </c>
      <c r="AH142" s="284" t="n">
        <f aca="false">IFERROR(U142*$G142*$I142, "")</f>
        <v>0</v>
      </c>
      <c r="AI142" s="284" t="n">
        <f aca="false">IFERROR(V142*$G142*$I142, "")</f>
        <v>0</v>
      </c>
      <c r="AJ142" s="284" t="n">
        <f aca="false">IFERROR(W142*$G142*$I142, "")</f>
        <v>0</v>
      </c>
      <c r="AK142" s="286" t="n">
        <f aca="false">IFERROR(SUMIF($Y$4:$AJ$4, "RDEC", Y142:AJ142), "")</f>
        <v>0</v>
      </c>
      <c r="AL142" s="286" t="n">
        <f aca="false">IFERROR(SUMIF($Y$4:$AJ$4, "SME", Y142:AJ142), "")</f>
        <v>0</v>
      </c>
      <c r="AM142" s="286" t="n">
        <f aca="false">IFERROR(SUMIF($Y$4:$AJ$4, "De Minimis", Y142:AJ142), "")</f>
        <v>0</v>
      </c>
      <c r="AN142" s="283"/>
      <c r="AO142" s="284" t="n">
        <f aca="false">IFERROR($G142*$J142*L142, "")</f>
        <v>0</v>
      </c>
      <c r="AP142" s="284" t="n">
        <f aca="false">IFERROR($G142*$J142*M142, "")</f>
        <v>0</v>
      </c>
      <c r="AQ142" s="284" t="n">
        <f aca="false">IFERROR($G142*$J142*N142, "")</f>
        <v>0</v>
      </c>
      <c r="AR142" s="284" t="n">
        <f aca="false">IFERROR($G142*$J142*O142, "")</f>
        <v>0</v>
      </c>
      <c r="AS142" s="284" t="n">
        <f aca="false">IFERROR($G142*$J142*P142, "")</f>
        <v>0</v>
      </c>
      <c r="AT142" s="284" t="n">
        <f aca="false">IFERROR($G142*$J142*Q142, "")</f>
        <v>0</v>
      </c>
      <c r="AU142" s="284" t="n">
        <f aca="false">IFERROR($G142*$J142*R142, "")</f>
        <v>0</v>
      </c>
      <c r="AV142" s="284" t="n">
        <f aca="false">IFERROR($G142*$J142*S142, "")</f>
        <v>0</v>
      </c>
      <c r="AW142" s="284" t="n">
        <f aca="false">IFERROR($G142*$J142*T142, "")</f>
        <v>0</v>
      </c>
      <c r="AX142" s="284" t="n">
        <f aca="false">IFERROR($G142*$J142*U142, "")</f>
        <v>0</v>
      </c>
      <c r="AY142" s="284" t="n">
        <f aca="false">IFERROR($G142*$J142*V142, "")</f>
        <v>0</v>
      </c>
      <c r="AZ142" s="284" t="n">
        <f aca="false">IFERROR($G142*$J142*W142, "")</f>
        <v>0</v>
      </c>
      <c r="BA142" s="286" t="n">
        <f aca="false">IFERROR(SUMIF($AO$4:$AZ$4, "RDEC", AO142:AZ142), "")</f>
        <v>0</v>
      </c>
      <c r="BB142" s="286" t="n">
        <f aca="false">IFERROR(SUMIF($AO$4:$AZ$4, "SME", AO142:AZ142), "")</f>
        <v>0</v>
      </c>
      <c r="BC142" s="286" t="n">
        <f aca="false">IFERROR(SUMIF($Y$4:$AJ$4, "De Minimis", AO142:AZ142), "")</f>
        <v>0</v>
      </c>
      <c r="BD142" s="287"/>
      <c r="BE142" s="288" t="str">
        <f aca="false">IF((SUM(L142:W142)&gt;1),"ERROR","")</f>
        <v/>
      </c>
    </row>
    <row r="143" customFormat="false" ht="15" hidden="false" customHeight="true" outlineLevel="0" collapsed="false">
      <c r="B143" s="333"/>
      <c r="C143" s="334"/>
      <c r="D143" s="333" t="n">
        <f aca="false">D127</f>
        <v>45474</v>
      </c>
      <c r="E143" s="277" t="n">
        <v>0</v>
      </c>
      <c r="F143" s="277" t="n">
        <v>0</v>
      </c>
      <c r="G143" s="277" t="n">
        <f aca="false">SUM(E143:F143)</f>
        <v>0</v>
      </c>
      <c r="H143" s="204"/>
      <c r="I143" s="279" t="n">
        <v>1</v>
      </c>
      <c r="J143" s="280" t="n">
        <f aca="false">1-I143</f>
        <v>0</v>
      </c>
      <c r="K143" s="277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3"/>
      <c r="Y143" s="284" t="n">
        <f aca="false">IFERROR(L143*$G143*I$9, "")</f>
        <v>0</v>
      </c>
      <c r="Z143" s="284" t="n">
        <f aca="false">IFERROR(M143*$G143*$I143, "")</f>
        <v>0</v>
      </c>
      <c r="AA143" s="284" t="n">
        <f aca="false">IFERROR(N143*$G143*$I143, "")</f>
        <v>0</v>
      </c>
      <c r="AB143" s="284" t="n">
        <f aca="false">IFERROR(O143*$G143*$I143, "")</f>
        <v>0</v>
      </c>
      <c r="AC143" s="284" t="n">
        <f aca="false">IFERROR(P143*$G143*$I143, "")</f>
        <v>0</v>
      </c>
      <c r="AD143" s="284" t="n">
        <f aca="false">IFERROR(Q143*$G143*$I143, "")</f>
        <v>0</v>
      </c>
      <c r="AE143" s="284" t="n">
        <f aca="false">IFERROR(R143*$G143*$I143, "")</f>
        <v>0</v>
      </c>
      <c r="AF143" s="284" t="n">
        <f aca="false">IFERROR(S143*$G143*$I143, "")</f>
        <v>0</v>
      </c>
      <c r="AG143" s="284" t="n">
        <f aca="false">IFERROR(T143*$G143*$I143, "")</f>
        <v>0</v>
      </c>
      <c r="AH143" s="284" t="n">
        <f aca="false">IFERROR(U143*$G143*$I143, "")</f>
        <v>0</v>
      </c>
      <c r="AI143" s="284" t="n">
        <f aca="false">IFERROR(V143*$G143*$I143, "")</f>
        <v>0</v>
      </c>
      <c r="AJ143" s="284" t="n">
        <f aca="false">IFERROR(W143*$G143*$I143, "")</f>
        <v>0</v>
      </c>
      <c r="AK143" s="286" t="n">
        <f aca="false">IFERROR(SUMIF($Y$4:$AJ$4, "RDEC", Y143:AJ143), "")</f>
        <v>0</v>
      </c>
      <c r="AL143" s="286" t="n">
        <f aca="false">IFERROR(SUMIF($Y$4:$AJ$4, "SME", Y143:AJ143), "")</f>
        <v>0</v>
      </c>
      <c r="AM143" s="286" t="n">
        <f aca="false">IFERROR(SUMIF($Y$4:$AJ$4, "De Minimis", Y143:AJ143), "")</f>
        <v>0</v>
      </c>
      <c r="AN143" s="283"/>
      <c r="AO143" s="284" t="n">
        <f aca="false">IFERROR($G143*$J143*L143, "")</f>
        <v>0</v>
      </c>
      <c r="AP143" s="284" t="n">
        <f aca="false">IFERROR($G143*$J143*M143, "")</f>
        <v>0</v>
      </c>
      <c r="AQ143" s="284" t="n">
        <f aca="false">IFERROR($G143*$J143*N143, "")</f>
        <v>0</v>
      </c>
      <c r="AR143" s="284" t="n">
        <f aca="false">IFERROR($G143*$J143*O143, "")</f>
        <v>0</v>
      </c>
      <c r="AS143" s="284" t="n">
        <f aca="false">IFERROR($G143*$J143*P143, "")</f>
        <v>0</v>
      </c>
      <c r="AT143" s="284" t="n">
        <f aca="false">IFERROR($G143*$J143*Q143, "")</f>
        <v>0</v>
      </c>
      <c r="AU143" s="284" t="n">
        <f aca="false">IFERROR($G143*$J143*R143, "")</f>
        <v>0</v>
      </c>
      <c r="AV143" s="284" t="n">
        <f aca="false">IFERROR($G143*$J143*S143, "")</f>
        <v>0</v>
      </c>
      <c r="AW143" s="284" t="n">
        <f aca="false">IFERROR($G143*$J143*T143, "")</f>
        <v>0</v>
      </c>
      <c r="AX143" s="284" t="n">
        <f aca="false">IFERROR($G143*$J143*U143, "")</f>
        <v>0</v>
      </c>
      <c r="AY143" s="284" t="n">
        <f aca="false">IFERROR($G143*$J143*V143, "")</f>
        <v>0</v>
      </c>
      <c r="AZ143" s="284" t="n">
        <f aca="false">IFERROR($G143*$J143*W143, "")</f>
        <v>0</v>
      </c>
      <c r="BA143" s="286" t="n">
        <f aca="false">IFERROR(SUMIF($AO$4:$AZ$4, "RDEC", AO143:AZ143), "")</f>
        <v>0</v>
      </c>
      <c r="BB143" s="286" t="n">
        <f aca="false">IFERROR(SUMIF($AO$4:$AZ$4, "SME", AO143:AZ143), "")</f>
        <v>0</v>
      </c>
      <c r="BC143" s="286" t="n">
        <f aca="false">IFERROR(SUMIF($Y$4:$AJ$4, "De Minimis", AO143:AZ143), "")</f>
        <v>0</v>
      </c>
      <c r="BD143" s="287"/>
      <c r="BE143" s="288" t="str">
        <f aca="false">IF((SUM(L143:W143)&gt;1),"ERROR","")</f>
        <v/>
      </c>
    </row>
    <row r="144" customFormat="false" ht="15" hidden="false" customHeight="true" outlineLevel="0" collapsed="false">
      <c r="B144" s="333"/>
      <c r="C144" s="334"/>
      <c r="D144" s="333" t="n">
        <f aca="false">D128</f>
        <v>45505</v>
      </c>
      <c r="E144" s="277" t="n">
        <v>0</v>
      </c>
      <c r="F144" s="277" t="n">
        <v>0</v>
      </c>
      <c r="G144" s="277" t="n">
        <f aca="false">SUM(E144:F144)</f>
        <v>0</v>
      </c>
      <c r="H144" s="204"/>
      <c r="I144" s="279" t="n">
        <v>1</v>
      </c>
      <c r="J144" s="280" t="n">
        <f aca="false">1-I144</f>
        <v>0</v>
      </c>
      <c r="K144" s="277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3"/>
      <c r="Y144" s="284" t="n">
        <f aca="false">IFERROR(L144*$G144*I$9, "")</f>
        <v>0</v>
      </c>
      <c r="Z144" s="284" t="n">
        <f aca="false">IFERROR(M144*$G144*$I144, "")</f>
        <v>0</v>
      </c>
      <c r="AA144" s="284" t="n">
        <f aca="false">IFERROR(N144*$G144*$I144, "")</f>
        <v>0</v>
      </c>
      <c r="AB144" s="284" t="n">
        <f aca="false">IFERROR(O144*$G144*$I144, "")</f>
        <v>0</v>
      </c>
      <c r="AC144" s="284" t="n">
        <f aca="false">IFERROR(P144*$G144*$I144, "")</f>
        <v>0</v>
      </c>
      <c r="AD144" s="284" t="n">
        <f aca="false">IFERROR(Q144*$G144*$I144, "")</f>
        <v>0</v>
      </c>
      <c r="AE144" s="284" t="n">
        <f aca="false">IFERROR(R144*$G144*$I144, "")</f>
        <v>0</v>
      </c>
      <c r="AF144" s="284" t="n">
        <f aca="false">IFERROR(S144*$G144*$I144, "")</f>
        <v>0</v>
      </c>
      <c r="AG144" s="284" t="n">
        <f aca="false">IFERROR(T144*$G144*$I144, "")</f>
        <v>0</v>
      </c>
      <c r="AH144" s="284" t="n">
        <f aca="false">IFERROR(U144*$G144*$I144, "")</f>
        <v>0</v>
      </c>
      <c r="AI144" s="284" t="n">
        <f aca="false">IFERROR(V144*$G144*$I144, "")</f>
        <v>0</v>
      </c>
      <c r="AJ144" s="284" t="n">
        <f aca="false">IFERROR(W144*$G144*$I144, "")</f>
        <v>0</v>
      </c>
      <c r="AK144" s="286" t="n">
        <f aca="false">IFERROR(SUMIF($Y$4:$AJ$4, "RDEC", Y144:AJ144), "")</f>
        <v>0</v>
      </c>
      <c r="AL144" s="286" t="n">
        <f aca="false">IFERROR(SUMIF($Y$4:$AJ$4, "SME", Y144:AJ144), "")</f>
        <v>0</v>
      </c>
      <c r="AM144" s="286" t="n">
        <f aca="false">IFERROR(SUMIF($Y$4:$AJ$4, "De Minimis", Y144:AJ144), "")</f>
        <v>0</v>
      </c>
      <c r="AN144" s="283"/>
      <c r="AO144" s="284" t="n">
        <f aca="false">IFERROR($G144*$J144*L144, "")</f>
        <v>0</v>
      </c>
      <c r="AP144" s="284" t="n">
        <f aca="false">IFERROR($G144*$J144*M144, "")</f>
        <v>0</v>
      </c>
      <c r="AQ144" s="284" t="n">
        <f aca="false">IFERROR($G144*$J144*N144, "")</f>
        <v>0</v>
      </c>
      <c r="AR144" s="284" t="n">
        <f aca="false">IFERROR($G144*$J144*O144, "")</f>
        <v>0</v>
      </c>
      <c r="AS144" s="284" t="n">
        <f aca="false">IFERROR($G144*$J144*P144, "")</f>
        <v>0</v>
      </c>
      <c r="AT144" s="284" t="n">
        <f aca="false">IFERROR($G144*$J144*Q144, "")</f>
        <v>0</v>
      </c>
      <c r="AU144" s="284" t="n">
        <f aca="false">IFERROR($G144*$J144*R144, "")</f>
        <v>0</v>
      </c>
      <c r="AV144" s="284" t="n">
        <f aca="false">IFERROR($G144*$J144*S144, "")</f>
        <v>0</v>
      </c>
      <c r="AW144" s="284" t="n">
        <f aca="false">IFERROR($G144*$J144*T144, "")</f>
        <v>0</v>
      </c>
      <c r="AX144" s="284" t="n">
        <f aca="false">IFERROR($G144*$J144*U144, "")</f>
        <v>0</v>
      </c>
      <c r="AY144" s="284" t="n">
        <f aca="false">IFERROR($G144*$J144*V144, "")</f>
        <v>0</v>
      </c>
      <c r="AZ144" s="284" t="n">
        <f aca="false">IFERROR($G144*$J144*W144, "")</f>
        <v>0</v>
      </c>
      <c r="BA144" s="286" t="n">
        <f aca="false">IFERROR(SUMIF($AO$4:$AZ$4, "RDEC", AO144:AZ144), "")</f>
        <v>0</v>
      </c>
      <c r="BB144" s="286" t="n">
        <f aca="false">IFERROR(SUMIF($AO$4:$AZ$4, "SME", AO144:AZ144), "")</f>
        <v>0</v>
      </c>
      <c r="BC144" s="286" t="n">
        <f aca="false">IFERROR(SUMIF($Y$4:$AJ$4, "De Minimis", AO144:AZ144), "")</f>
        <v>0</v>
      </c>
      <c r="BD144" s="287"/>
      <c r="BE144" s="288" t="str">
        <f aca="false">IF((SUM(L144:W144)&gt;1),"ERROR","")</f>
        <v/>
      </c>
    </row>
    <row r="145" customFormat="false" ht="15" hidden="false" customHeight="true" outlineLevel="0" collapsed="false">
      <c r="B145" s="333"/>
      <c r="C145" s="334"/>
      <c r="D145" s="333" t="n">
        <f aca="false">D129</f>
        <v>45536</v>
      </c>
      <c r="E145" s="277" t="n">
        <v>0</v>
      </c>
      <c r="F145" s="277" t="n">
        <v>0</v>
      </c>
      <c r="G145" s="277" t="n">
        <f aca="false">SUM(E145:F145)</f>
        <v>0</v>
      </c>
      <c r="H145" s="204"/>
      <c r="I145" s="279" t="n">
        <v>1</v>
      </c>
      <c r="J145" s="280" t="n">
        <f aca="false">1-I145</f>
        <v>0</v>
      </c>
      <c r="K145" s="277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283"/>
      <c r="Y145" s="284" t="n">
        <f aca="false">IFERROR(L145*$G145*I$9, "")</f>
        <v>0</v>
      </c>
      <c r="Z145" s="284" t="n">
        <f aca="false">IFERROR(M145*$G145*$I145, "")</f>
        <v>0</v>
      </c>
      <c r="AA145" s="284" t="n">
        <f aca="false">IFERROR(N145*$G145*$I145, "")</f>
        <v>0</v>
      </c>
      <c r="AB145" s="284" t="n">
        <f aca="false">IFERROR(O145*$G145*$I145, "")</f>
        <v>0</v>
      </c>
      <c r="AC145" s="284" t="n">
        <f aca="false">IFERROR(P145*$G145*$I145, "")</f>
        <v>0</v>
      </c>
      <c r="AD145" s="284" t="n">
        <f aca="false">IFERROR(Q145*$G145*$I145, "")</f>
        <v>0</v>
      </c>
      <c r="AE145" s="284" t="n">
        <f aca="false">IFERROR(R145*$G145*$I145, "")</f>
        <v>0</v>
      </c>
      <c r="AF145" s="284" t="n">
        <f aca="false">IFERROR(S145*$G145*$I145, "")</f>
        <v>0</v>
      </c>
      <c r="AG145" s="284" t="n">
        <f aca="false">IFERROR(T145*$G145*$I145, "")</f>
        <v>0</v>
      </c>
      <c r="AH145" s="284" t="n">
        <f aca="false">IFERROR(U145*$G145*$I145, "")</f>
        <v>0</v>
      </c>
      <c r="AI145" s="284" t="n">
        <f aca="false">IFERROR(V145*$G145*$I145, "")</f>
        <v>0</v>
      </c>
      <c r="AJ145" s="284" t="n">
        <f aca="false">IFERROR(W145*$G145*$I145, "")</f>
        <v>0</v>
      </c>
      <c r="AK145" s="286" t="n">
        <f aca="false">IFERROR(SUMIF($Y$4:$AJ$4, "RDEC", Y145:AJ145), "")</f>
        <v>0</v>
      </c>
      <c r="AL145" s="286" t="n">
        <f aca="false">IFERROR(SUMIF($Y$4:$AJ$4, "SME", Y145:AJ145), "")</f>
        <v>0</v>
      </c>
      <c r="AM145" s="286" t="n">
        <f aca="false">IFERROR(SUMIF($Y$4:$AJ$4, "De Minimis", Y145:AJ145), "")</f>
        <v>0</v>
      </c>
      <c r="AN145" s="283"/>
      <c r="AO145" s="284" t="n">
        <f aca="false">IFERROR($G145*$J145*L145, "")</f>
        <v>0</v>
      </c>
      <c r="AP145" s="284" t="n">
        <f aca="false">IFERROR($G145*$J145*M145, "")</f>
        <v>0</v>
      </c>
      <c r="AQ145" s="284" t="n">
        <f aca="false">IFERROR($G145*$J145*N145, "")</f>
        <v>0</v>
      </c>
      <c r="AR145" s="284" t="n">
        <f aca="false">IFERROR($G145*$J145*O145, "")</f>
        <v>0</v>
      </c>
      <c r="AS145" s="284" t="n">
        <f aca="false">IFERROR($G145*$J145*P145, "")</f>
        <v>0</v>
      </c>
      <c r="AT145" s="284" t="n">
        <f aca="false">IFERROR($G145*$J145*Q145, "")</f>
        <v>0</v>
      </c>
      <c r="AU145" s="284" t="n">
        <f aca="false">IFERROR($G145*$J145*R145, "")</f>
        <v>0</v>
      </c>
      <c r="AV145" s="284" t="n">
        <f aca="false">IFERROR($G145*$J145*S145, "")</f>
        <v>0</v>
      </c>
      <c r="AW145" s="284" t="n">
        <f aca="false">IFERROR($G145*$J145*T145, "")</f>
        <v>0</v>
      </c>
      <c r="AX145" s="284" t="n">
        <f aca="false">IFERROR($G145*$J145*U145, "")</f>
        <v>0</v>
      </c>
      <c r="AY145" s="284" t="n">
        <f aca="false">IFERROR($G145*$J145*V145, "")</f>
        <v>0</v>
      </c>
      <c r="AZ145" s="284" t="n">
        <f aca="false">IFERROR($G145*$J145*W145, "")</f>
        <v>0</v>
      </c>
      <c r="BA145" s="286" t="n">
        <f aca="false">IFERROR(SUMIF($AO$4:$AZ$4, "RDEC", AO145:AZ145), "")</f>
        <v>0</v>
      </c>
      <c r="BB145" s="286" t="n">
        <f aca="false">IFERROR(SUMIF($AO$4:$AZ$4, "SME", AO145:AZ145), "")</f>
        <v>0</v>
      </c>
      <c r="BC145" s="286" t="n">
        <f aca="false">IFERROR(SUMIF($Y$4:$AJ$4, "De Minimis", AO145:AZ145), "")</f>
        <v>0</v>
      </c>
      <c r="BD145" s="287"/>
      <c r="BE145" s="288" t="str">
        <f aca="false">IF((SUM(L145:W145)&gt;1),"ERROR","")</f>
        <v/>
      </c>
    </row>
    <row r="146" customFormat="false" ht="15" hidden="false" customHeight="true" outlineLevel="0" collapsed="false">
      <c r="B146" s="333"/>
      <c r="C146" s="334"/>
      <c r="D146" s="333" t="n">
        <f aca="false">D130</f>
        <v>45566</v>
      </c>
      <c r="E146" s="277" t="n">
        <v>0</v>
      </c>
      <c r="F146" s="277" t="n">
        <v>0</v>
      </c>
      <c r="G146" s="277" t="n">
        <f aca="false">SUM(E146:F146)</f>
        <v>0</v>
      </c>
      <c r="H146" s="204"/>
      <c r="I146" s="279" t="n">
        <v>1</v>
      </c>
      <c r="J146" s="280" t="n">
        <f aca="false">1-I146</f>
        <v>0</v>
      </c>
      <c r="K146" s="277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283"/>
      <c r="Y146" s="284" t="n">
        <f aca="false">IFERROR(L146*$G146*I$9, "")</f>
        <v>0</v>
      </c>
      <c r="Z146" s="284" t="n">
        <f aca="false">IFERROR(M146*$G146*$I146, "")</f>
        <v>0</v>
      </c>
      <c r="AA146" s="284" t="n">
        <f aca="false">IFERROR(N146*$G146*$I146, "")</f>
        <v>0</v>
      </c>
      <c r="AB146" s="284" t="n">
        <f aca="false">IFERROR(O146*$G146*$I146, "")</f>
        <v>0</v>
      </c>
      <c r="AC146" s="284" t="n">
        <f aca="false">IFERROR(P146*$G146*$I146, "")</f>
        <v>0</v>
      </c>
      <c r="AD146" s="284" t="n">
        <f aca="false">IFERROR(Q146*$G146*$I146, "")</f>
        <v>0</v>
      </c>
      <c r="AE146" s="284" t="n">
        <f aca="false">IFERROR(R146*$G146*$I146, "")</f>
        <v>0</v>
      </c>
      <c r="AF146" s="284" t="n">
        <f aca="false">IFERROR(S146*$G146*$I146, "")</f>
        <v>0</v>
      </c>
      <c r="AG146" s="284" t="n">
        <f aca="false">IFERROR(T146*$G146*$I146, "")</f>
        <v>0</v>
      </c>
      <c r="AH146" s="284" t="n">
        <f aca="false">IFERROR(U146*$G146*$I146, "")</f>
        <v>0</v>
      </c>
      <c r="AI146" s="284" t="n">
        <f aca="false">IFERROR(V146*$G146*$I146, "")</f>
        <v>0</v>
      </c>
      <c r="AJ146" s="284" t="n">
        <f aca="false">IFERROR(W146*$G146*$I146, "")</f>
        <v>0</v>
      </c>
      <c r="AK146" s="286" t="n">
        <f aca="false">IFERROR(SUMIF($Y$4:$AJ$4, "RDEC", Y146:AJ146), "")</f>
        <v>0</v>
      </c>
      <c r="AL146" s="286" t="n">
        <f aca="false">IFERROR(SUMIF($Y$4:$AJ$4, "SME", Y146:AJ146), "")</f>
        <v>0</v>
      </c>
      <c r="AM146" s="286" t="n">
        <f aca="false">IFERROR(SUMIF($Y$4:$AJ$4, "De Minimis", Y146:AJ146), "")</f>
        <v>0</v>
      </c>
      <c r="AN146" s="283"/>
      <c r="AO146" s="284" t="n">
        <f aca="false">IFERROR($G146*$J146*L146, "")</f>
        <v>0</v>
      </c>
      <c r="AP146" s="284" t="n">
        <f aca="false">IFERROR($G146*$J146*M146, "")</f>
        <v>0</v>
      </c>
      <c r="AQ146" s="284" t="n">
        <f aca="false">IFERROR($G146*$J146*N146, "")</f>
        <v>0</v>
      </c>
      <c r="AR146" s="284" t="n">
        <f aca="false">IFERROR($G146*$J146*O146, "")</f>
        <v>0</v>
      </c>
      <c r="AS146" s="284" t="n">
        <f aca="false">IFERROR($G146*$J146*P146, "")</f>
        <v>0</v>
      </c>
      <c r="AT146" s="284" t="n">
        <f aca="false">IFERROR($G146*$J146*Q146, "")</f>
        <v>0</v>
      </c>
      <c r="AU146" s="284" t="n">
        <f aca="false">IFERROR($G146*$J146*R146, "")</f>
        <v>0</v>
      </c>
      <c r="AV146" s="284" t="n">
        <f aca="false">IFERROR($G146*$J146*S146, "")</f>
        <v>0</v>
      </c>
      <c r="AW146" s="284" t="n">
        <f aca="false">IFERROR($G146*$J146*T146, "")</f>
        <v>0</v>
      </c>
      <c r="AX146" s="284" t="n">
        <f aca="false">IFERROR($G146*$J146*U146, "")</f>
        <v>0</v>
      </c>
      <c r="AY146" s="284" t="n">
        <f aca="false">IFERROR($G146*$J146*V146, "")</f>
        <v>0</v>
      </c>
      <c r="AZ146" s="284" t="n">
        <f aca="false">IFERROR($G146*$J146*W146, "")</f>
        <v>0</v>
      </c>
      <c r="BA146" s="286" t="n">
        <f aca="false">IFERROR(SUMIF($AO$4:$AZ$4, "RDEC", AO146:AZ146), "")</f>
        <v>0</v>
      </c>
      <c r="BB146" s="286" t="n">
        <f aca="false">IFERROR(SUMIF($AO$4:$AZ$4, "SME", AO146:AZ146), "")</f>
        <v>0</v>
      </c>
      <c r="BC146" s="286" t="n">
        <f aca="false">IFERROR(SUMIF($Y$4:$AJ$4, "De Minimis", AO146:AZ146), "")</f>
        <v>0</v>
      </c>
      <c r="BD146" s="287"/>
      <c r="BE146" s="288" t="str">
        <f aca="false">IF((SUM(L146:W146)&gt;1),"ERROR","")</f>
        <v/>
      </c>
    </row>
    <row r="147" customFormat="false" ht="15" hidden="false" customHeight="true" outlineLevel="0" collapsed="false">
      <c r="B147" s="333"/>
      <c r="C147" s="334"/>
      <c r="D147" s="333" t="n">
        <f aca="false">D131</f>
        <v>45597</v>
      </c>
      <c r="E147" s="277" t="n">
        <v>0</v>
      </c>
      <c r="F147" s="277" t="n">
        <v>0</v>
      </c>
      <c r="G147" s="277" t="n">
        <f aca="false">SUM(E147:F147)</f>
        <v>0</v>
      </c>
      <c r="H147" s="204"/>
      <c r="I147" s="279" t="n">
        <v>1</v>
      </c>
      <c r="J147" s="280" t="n">
        <f aca="false">1-I147</f>
        <v>0</v>
      </c>
      <c r="K147" s="277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3"/>
      <c r="Y147" s="284" t="n">
        <f aca="false">IFERROR(L147*$G147*I$9, "")</f>
        <v>0</v>
      </c>
      <c r="Z147" s="284" t="n">
        <f aca="false">IFERROR(M147*$G147*$I147, "")</f>
        <v>0</v>
      </c>
      <c r="AA147" s="284" t="n">
        <f aca="false">IFERROR(N147*$G147*$I147, "")</f>
        <v>0</v>
      </c>
      <c r="AB147" s="284" t="n">
        <f aca="false">IFERROR(O147*$G147*$I147, "")</f>
        <v>0</v>
      </c>
      <c r="AC147" s="284" t="n">
        <f aca="false">IFERROR(P147*$G147*$I147, "")</f>
        <v>0</v>
      </c>
      <c r="AD147" s="284" t="n">
        <f aca="false">IFERROR(Q147*$G147*$I147, "")</f>
        <v>0</v>
      </c>
      <c r="AE147" s="284" t="n">
        <f aca="false">IFERROR(R147*$G147*$I147, "")</f>
        <v>0</v>
      </c>
      <c r="AF147" s="284" t="n">
        <f aca="false">IFERROR(S147*$G147*$I147, "")</f>
        <v>0</v>
      </c>
      <c r="AG147" s="284" t="n">
        <f aca="false">IFERROR(T147*$G147*$I147, "")</f>
        <v>0</v>
      </c>
      <c r="AH147" s="284" t="n">
        <f aca="false">IFERROR(U147*$G147*$I147, "")</f>
        <v>0</v>
      </c>
      <c r="AI147" s="284" t="n">
        <f aca="false">IFERROR(V147*$G147*$I147, "")</f>
        <v>0</v>
      </c>
      <c r="AJ147" s="284" t="n">
        <f aca="false">IFERROR(W147*$G147*$I147, "")</f>
        <v>0</v>
      </c>
      <c r="AK147" s="286" t="n">
        <f aca="false">IFERROR(SUMIF($Y$4:$AJ$4, "RDEC", Y147:AJ147), "")</f>
        <v>0</v>
      </c>
      <c r="AL147" s="286" t="n">
        <f aca="false">IFERROR(SUMIF($Y$4:$AJ$4, "SME", Y147:AJ147), "")</f>
        <v>0</v>
      </c>
      <c r="AM147" s="286" t="n">
        <f aca="false">IFERROR(SUMIF($Y$4:$AJ$4, "De Minimis", Y147:AJ147), "")</f>
        <v>0</v>
      </c>
      <c r="AN147" s="283"/>
      <c r="AO147" s="284" t="n">
        <f aca="false">IFERROR($G147*$J147*L147, "")</f>
        <v>0</v>
      </c>
      <c r="AP147" s="284" t="n">
        <f aca="false">IFERROR($G147*$J147*M147, "")</f>
        <v>0</v>
      </c>
      <c r="AQ147" s="284" t="n">
        <f aca="false">IFERROR($G147*$J147*N147, "")</f>
        <v>0</v>
      </c>
      <c r="AR147" s="284" t="n">
        <f aca="false">IFERROR($G147*$J147*O147, "")</f>
        <v>0</v>
      </c>
      <c r="AS147" s="284" t="n">
        <f aca="false">IFERROR($G147*$J147*P147, "")</f>
        <v>0</v>
      </c>
      <c r="AT147" s="284" t="n">
        <f aca="false">IFERROR($G147*$J147*Q147, "")</f>
        <v>0</v>
      </c>
      <c r="AU147" s="284" t="n">
        <f aca="false">IFERROR($G147*$J147*R147, "")</f>
        <v>0</v>
      </c>
      <c r="AV147" s="284" t="n">
        <f aca="false">IFERROR($G147*$J147*S147, "")</f>
        <v>0</v>
      </c>
      <c r="AW147" s="284" t="n">
        <f aca="false">IFERROR($G147*$J147*T147, "")</f>
        <v>0</v>
      </c>
      <c r="AX147" s="284" t="n">
        <f aca="false">IFERROR($G147*$J147*U147, "")</f>
        <v>0</v>
      </c>
      <c r="AY147" s="284" t="n">
        <f aca="false">IFERROR($G147*$J147*V147, "")</f>
        <v>0</v>
      </c>
      <c r="AZ147" s="284" t="n">
        <f aca="false">IFERROR($G147*$J147*W147, "")</f>
        <v>0</v>
      </c>
      <c r="BA147" s="286" t="n">
        <f aca="false">IFERROR(SUMIF($AO$4:$AZ$4, "RDEC", AO147:AZ147), "")</f>
        <v>0</v>
      </c>
      <c r="BB147" s="286" t="n">
        <f aca="false">IFERROR(SUMIF($AO$4:$AZ$4, "SME", AO147:AZ147), "")</f>
        <v>0</v>
      </c>
      <c r="BC147" s="286" t="n">
        <f aca="false">IFERROR(SUMIF($Y$4:$AJ$4, "De Minimis", AO147:AZ147), "")</f>
        <v>0</v>
      </c>
      <c r="BD147" s="287"/>
      <c r="BE147" s="288" t="str">
        <f aca="false">IF((SUM(L147:W147)&gt;1),"ERROR","")</f>
        <v/>
      </c>
    </row>
    <row r="148" customFormat="false" ht="15" hidden="false" customHeight="true" outlineLevel="0" collapsed="false">
      <c r="B148" s="333"/>
      <c r="C148" s="334"/>
      <c r="D148" s="333" t="n">
        <f aca="false">D132</f>
        <v>45627</v>
      </c>
      <c r="E148" s="277" t="n">
        <v>0</v>
      </c>
      <c r="F148" s="277" t="n">
        <v>0</v>
      </c>
      <c r="G148" s="277" t="n">
        <f aca="false">SUM(E148:F148)</f>
        <v>0</v>
      </c>
      <c r="H148" s="300"/>
      <c r="I148" s="289" t="n">
        <v>1</v>
      </c>
      <c r="J148" s="290" t="n">
        <f aca="false">1-I148</f>
        <v>0</v>
      </c>
      <c r="K148" s="300"/>
      <c r="L148" s="291"/>
      <c r="M148" s="291"/>
      <c r="N148" s="291"/>
      <c r="O148" s="291"/>
      <c r="P148" s="291"/>
      <c r="Q148" s="291"/>
      <c r="R148" s="291"/>
      <c r="S148" s="291"/>
      <c r="T148" s="291"/>
      <c r="U148" s="291"/>
      <c r="V148" s="291"/>
      <c r="W148" s="291"/>
      <c r="X148" s="283"/>
      <c r="Y148" s="284" t="n">
        <f aca="false">IFERROR(L148*$G148*I$9, "")</f>
        <v>0</v>
      </c>
      <c r="Z148" s="284" t="n">
        <f aca="false">IFERROR(M148*$G148*$I148, "")</f>
        <v>0</v>
      </c>
      <c r="AA148" s="284" t="n">
        <f aca="false">IFERROR(N148*$G148*$I148, "")</f>
        <v>0</v>
      </c>
      <c r="AB148" s="284" t="n">
        <f aca="false">IFERROR(O148*$G148*$I148, "")</f>
        <v>0</v>
      </c>
      <c r="AC148" s="284" t="n">
        <f aca="false">IFERROR(P148*$G148*$I148, "")</f>
        <v>0</v>
      </c>
      <c r="AD148" s="284" t="n">
        <f aca="false">IFERROR(Q148*$G148*$I148, "")</f>
        <v>0</v>
      </c>
      <c r="AE148" s="284" t="n">
        <f aca="false">IFERROR(R148*$G148*$I148, "")</f>
        <v>0</v>
      </c>
      <c r="AF148" s="284" t="n">
        <f aca="false">IFERROR(S148*$G148*$I148, "")</f>
        <v>0</v>
      </c>
      <c r="AG148" s="284" t="n">
        <f aca="false">IFERROR(T148*$G148*$I148, "")</f>
        <v>0</v>
      </c>
      <c r="AH148" s="284" t="n">
        <f aca="false">IFERROR(U148*$G148*$I148, "")</f>
        <v>0</v>
      </c>
      <c r="AI148" s="284" t="n">
        <f aca="false">IFERROR(V148*$G148*$I148, "")</f>
        <v>0</v>
      </c>
      <c r="AJ148" s="284" t="n">
        <f aca="false">IFERROR(W148*$G148*$I148, "")</f>
        <v>0</v>
      </c>
      <c r="AK148" s="294" t="n">
        <f aca="false">IFERROR(SUMIF($Y$4:$AJ$4, "RDEC", Y148:AJ148), "")</f>
        <v>0</v>
      </c>
      <c r="AL148" s="294" t="n">
        <f aca="false">IFERROR(SUMIF($Y$4:$AJ$4, "SME", Y148:AJ148), "")</f>
        <v>0</v>
      </c>
      <c r="AM148" s="294" t="n">
        <f aca="false">IFERROR(SUMIF($Y$4:$AJ$4, "De Minimis", Y148:AJ148), "")</f>
        <v>0</v>
      </c>
      <c r="AN148" s="283"/>
      <c r="AO148" s="284" t="n">
        <f aca="false">IFERROR($G148*$J148*L148, "")</f>
        <v>0</v>
      </c>
      <c r="AP148" s="284" t="n">
        <f aca="false">IFERROR($G148*$J148*M148, "")</f>
        <v>0</v>
      </c>
      <c r="AQ148" s="284" t="n">
        <f aca="false">IFERROR($G148*$J148*N148, "")</f>
        <v>0</v>
      </c>
      <c r="AR148" s="284" t="n">
        <f aca="false">IFERROR($G148*$J148*O148, "")</f>
        <v>0</v>
      </c>
      <c r="AS148" s="284" t="n">
        <f aca="false">IFERROR($G148*$J148*P148, "")</f>
        <v>0</v>
      </c>
      <c r="AT148" s="284" t="n">
        <f aca="false">IFERROR($G148*$J148*Q148, "")</f>
        <v>0</v>
      </c>
      <c r="AU148" s="284" t="n">
        <f aca="false">IFERROR($G148*$J148*R148, "")</f>
        <v>0</v>
      </c>
      <c r="AV148" s="284" t="n">
        <f aca="false">IFERROR($G148*$J148*S148, "")</f>
        <v>0</v>
      </c>
      <c r="AW148" s="284" t="n">
        <f aca="false">IFERROR($G148*$J148*T148, "")</f>
        <v>0</v>
      </c>
      <c r="AX148" s="284" t="n">
        <f aca="false">IFERROR($G148*$J148*U148, "")</f>
        <v>0</v>
      </c>
      <c r="AY148" s="284" t="n">
        <f aca="false">IFERROR($G148*$J148*V148, "")</f>
        <v>0</v>
      </c>
      <c r="AZ148" s="284" t="n">
        <f aca="false">IFERROR($G148*$J148*W148, "")</f>
        <v>0</v>
      </c>
      <c r="BA148" s="286" t="n">
        <f aca="false">IFERROR(SUMIF($AO$4:$AZ$4, "RDEC", AO148:AZ148), "")</f>
        <v>0</v>
      </c>
      <c r="BB148" s="286" t="n">
        <f aca="false">IFERROR(SUMIF($AO$4:$AZ$4, "SME", AO148:AZ148), "")</f>
        <v>0</v>
      </c>
      <c r="BC148" s="294" t="n">
        <f aca="false">IFERROR(SUMIF($Y$4:$AJ$4, "De Minimis", AO148:AZ148), "")</f>
        <v>0</v>
      </c>
      <c r="BD148" s="303"/>
      <c r="BE148" s="295" t="str">
        <f aca="false">IF((SUM(L148:W148)&gt;1),"ERROR","")</f>
        <v/>
      </c>
    </row>
    <row r="149" customFormat="false" ht="15" hidden="false" customHeight="true" outlineLevel="0" collapsed="false">
      <c r="B149" s="296"/>
      <c r="D149" s="297" t="s">
        <v>82</v>
      </c>
      <c r="E149" s="299" t="n">
        <f aca="false">SUM(E137:E148)</f>
        <v>0</v>
      </c>
      <c r="F149" s="299" t="n">
        <f aca="false">SUM(F137:F148)</f>
        <v>0</v>
      </c>
      <c r="G149" s="299" t="n">
        <f aca="false">SUM(G137:G148)</f>
        <v>0</v>
      </c>
      <c r="H149" s="300"/>
      <c r="I149" s="301" t="n">
        <f aca="false">AVERAGE(I137:I148)</f>
        <v>1</v>
      </c>
      <c r="J149" s="301" t="n">
        <f aca="false">AVERAGE(J137:J148)</f>
        <v>0</v>
      </c>
      <c r="K149" s="300"/>
      <c r="L149" s="290" t="n">
        <f aca="false">IF(SUM(L137:L148)&gt;0,(Y149/G149),0)</f>
        <v>0</v>
      </c>
      <c r="M149" s="301" t="n">
        <f aca="false">IF(SUM(M137:M148)&gt;0,(Z149/G149),0)</f>
        <v>0</v>
      </c>
      <c r="N149" s="301" t="n">
        <f aca="false">IF(SUM(N137:N148)&gt;0,(AA149/G149),0)</f>
        <v>0</v>
      </c>
      <c r="O149" s="301" t="n">
        <f aca="false">IF(SUM(O137:O148)&gt;0,(AB149/G149),0)</f>
        <v>0</v>
      </c>
      <c r="P149" s="301" t="n">
        <f aca="false">IF(SUM(P137:P148)&gt;0,(AC149/G149),0)</f>
        <v>0</v>
      </c>
      <c r="Q149" s="301" t="n">
        <f aca="false">IF(SUM(Q137:Q148)&gt;0,(AD149/G149),0)</f>
        <v>0</v>
      </c>
      <c r="R149" s="301" t="n">
        <f aca="false">IF(SUM(R137:R148)&gt;0,(AE149/G149),0)</f>
        <v>0</v>
      </c>
      <c r="S149" s="301" t="n">
        <f aca="false">IF(SUM(S137:S148)&gt;0,(AF149/G149),0)</f>
        <v>0</v>
      </c>
      <c r="T149" s="301" t="n">
        <f aca="false">IF(SUM(T137:T148)&gt;0,(AG149/G149),0)</f>
        <v>0</v>
      </c>
      <c r="U149" s="301" t="n">
        <f aca="false">IF(SUM(U137:U148)&gt;0,(AJ149/G149),0)</f>
        <v>0</v>
      </c>
      <c r="V149" s="301" t="n">
        <f aca="false">IF(SUM(V137:V148)&gt;0,(AI149/G149),0)</f>
        <v>0</v>
      </c>
      <c r="W149" s="301" t="n">
        <f aca="false">IF(SUM(W137:W148)&gt;0,(AJ149/G149),0)</f>
        <v>0</v>
      </c>
      <c r="X149" s="283"/>
      <c r="Y149" s="304" t="n">
        <f aca="false">SUM(Y137:Y148)</f>
        <v>0</v>
      </c>
      <c r="Z149" s="304" t="n">
        <f aca="false">SUM(Z137:Z148)</f>
        <v>0</v>
      </c>
      <c r="AA149" s="304" t="n">
        <f aca="false">SUM(AA137:AA148)</f>
        <v>0</v>
      </c>
      <c r="AB149" s="304" t="n">
        <f aca="false">SUM(AB137:AB148)</f>
        <v>0</v>
      </c>
      <c r="AC149" s="304" t="n">
        <f aca="false">SUM(AC137:AC148)</f>
        <v>0</v>
      </c>
      <c r="AD149" s="304" t="n">
        <f aca="false">SUM(AD137:AD148)</f>
        <v>0</v>
      </c>
      <c r="AE149" s="304" t="n">
        <f aca="false">SUM(AE137:AE148)</f>
        <v>0</v>
      </c>
      <c r="AF149" s="304" t="n">
        <f aca="false">SUM(AF137:AF148)</f>
        <v>0</v>
      </c>
      <c r="AG149" s="304" t="n">
        <f aca="false">SUM(AG137:AG148)</f>
        <v>0</v>
      </c>
      <c r="AH149" s="304" t="n">
        <f aca="false">SUM(AH137:AH148)</f>
        <v>0</v>
      </c>
      <c r="AI149" s="304" t="n">
        <f aca="false">SUM(AI137:AI148)</f>
        <v>0</v>
      </c>
      <c r="AJ149" s="304" t="n">
        <f aca="false">SUM(AJ137:AJ148)</f>
        <v>0</v>
      </c>
      <c r="AK149" s="335" t="n">
        <f aca="false">SUM(AK137:AK148)</f>
        <v>0</v>
      </c>
      <c r="AL149" s="336" t="n">
        <f aca="false">SUM(AL137:AL148)</f>
        <v>0</v>
      </c>
      <c r="AM149" s="305" t="n">
        <f aca="false">SUM(AM137:AM148)</f>
        <v>0</v>
      </c>
      <c r="AN149" s="283"/>
      <c r="AO149" s="304" t="n">
        <f aca="false">SUM(AO137:AO148)</f>
        <v>0</v>
      </c>
      <c r="AP149" s="304" t="n">
        <f aca="false">SUM(AP137:AP148)</f>
        <v>0</v>
      </c>
      <c r="AQ149" s="304" t="n">
        <f aca="false">SUM(AQ137:AQ148)</f>
        <v>0</v>
      </c>
      <c r="AR149" s="304" t="n">
        <f aca="false">SUM(AR137:AR148)</f>
        <v>0</v>
      </c>
      <c r="AS149" s="304" t="n">
        <f aca="false">SUM(AS137:AS148)</f>
        <v>0</v>
      </c>
      <c r="AT149" s="304" t="n">
        <f aca="false">SUM(AT137:AT148)</f>
        <v>0</v>
      </c>
      <c r="AU149" s="304" t="n">
        <f aca="false">SUM(AU137:AU148)</f>
        <v>0</v>
      </c>
      <c r="AV149" s="304" t="n">
        <f aca="false">SUM(AV137:AV148)</f>
        <v>0</v>
      </c>
      <c r="AW149" s="304" t="n">
        <f aca="false">SUM(AW137:AW148)</f>
        <v>0</v>
      </c>
      <c r="AX149" s="304" t="n">
        <f aca="false">SUM(AX137:AX148)</f>
        <v>0</v>
      </c>
      <c r="AY149" s="304" t="n">
        <f aca="false">SUM(AY137:AY148)</f>
        <v>0</v>
      </c>
      <c r="AZ149" s="304" t="n">
        <f aca="false">SUM(AZ137:AZ148)</f>
        <v>0</v>
      </c>
      <c r="BA149" s="336" t="n">
        <f aca="false">SUM(BA137:BA148)</f>
        <v>0</v>
      </c>
      <c r="BB149" s="336" t="n">
        <f aca="false">SUM(BB137:BB148)</f>
        <v>0</v>
      </c>
      <c r="BC149" s="305" t="n">
        <f aca="false">SUM(BC137:BC148)</f>
        <v>0</v>
      </c>
      <c r="BD149" s="303"/>
      <c r="BE149" s="337"/>
    </row>
    <row r="150" customFormat="false" ht="15" hidden="false" customHeight="true" outlineLevel="0" collapsed="false">
      <c r="B150" s="296"/>
      <c r="D150" s="297"/>
      <c r="E150" s="300"/>
      <c r="F150" s="300"/>
      <c r="G150" s="300"/>
      <c r="H150" s="241"/>
      <c r="I150" s="302"/>
      <c r="J150" s="302"/>
      <c r="K150" s="241"/>
      <c r="L150" s="259"/>
      <c r="M150" s="259"/>
      <c r="N150" s="259"/>
      <c r="O150" s="259"/>
      <c r="P150" s="259"/>
      <c r="Q150" s="259"/>
      <c r="R150" s="259"/>
      <c r="S150" s="259"/>
      <c r="T150" s="259"/>
      <c r="U150" s="259"/>
      <c r="V150" s="259"/>
      <c r="W150" s="259"/>
      <c r="X150" s="303"/>
      <c r="Y150" s="259"/>
      <c r="Z150" s="303"/>
      <c r="AA150" s="303"/>
      <c r="AB150" s="303"/>
      <c r="AC150" s="303"/>
      <c r="AD150" s="303"/>
      <c r="AE150" s="303"/>
      <c r="AF150" s="303"/>
      <c r="AG150" s="303"/>
      <c r="AH150" s="303"/>
      <c r="AI150" s="303"/>
      <c r="AJ150" s="303"/>
      <c r="AK150" s="303"/>
      <c r="AL150" s="303"/>
      <c r="AM150" s="303"/>
      <c r="AN150" s="303"/>
      <c r="AO150" s="259"/>
      <c r="AP150" s="303"/>
      <c r="AQ150" s="303"/>
      <c r="AR150" s="303"/>
      <c r="AS150" s="303"/>
      <c r="AT150" s="303"/>
      <c r="AU150" s="303"/>
      <c r="AV150" s="303"/>
      <c r="AW150" s="303"/>
      <c r="AX150" s="303"/>
      <c r="AY150" s="303"/>
      <c r="AZ150" s="303"/>
      <c r="BA150" s="303"/>
      <c r="BB150" s="303"/>
      <c r="BC150" s="303"/>
      <c r="BD150" s="268"/>
      <c r="BE150" s="303"/>
    </row>
    <row r="151" customFormat="false" ht="15" hidden="false" customHeight="true" outlineLevel="0" collapsed="false">
      <c r="A151" s="198" t="n">
        <f aca="false">A135+1</f>
        <v>10</v>
      </c>
      <c r="B151" s="266" t="s">
        <v>253</v>
      </c>
      <c r="C151" s="266" t="s">
        <v>253</v>
      </c>
      <c r="D151" s="266"/>
      <c r="E151" s="241"/>
      <c r="F151" s="241"/>
      <c r="G151" s="241"/>
      <c r="H151" s="241"/>
      <c r="I151" s="241"/>
      <c r="J151" s="241"/>
      <c r="K151" s="277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59"/>
      <c r="Y151" s="268"/>
      <c r="Z151" s="268"/>
      <c r="AA151" s="268"/>
      <c r="AB151" s="268"/>
      <c r="AC151" s="268"/>
      <c r="AD151" s="268"/>
      <c r="AE151" s="268"/>
      <c r="AF151" s="268"/>
      <c r="AG151" s="268"/>
      <c r="AH151" s="268"/>
      <c r="AI151" s="268"/>
      <c r="AJ151" s="268"/>
      <c r="AK151" s="268"/>
      <c r="AL151" s="268"/>
      <c r="AM151" s="268"/>
      <c r="AN151" s="259"/>
      <c r="AO151" s="268"/>
      <c r="AP151" s="268"/>
      <c r="AQ151" s="268"/>
      <c r="AR151" s="268"/>
      <c r="AS151" s="268"/>
      <c r="AT151" s="268"/>
      <c r="AU151" s="268"/>
      <c r="AV151" s="268"/>
      <c r="AW151" s="268"/>
      <c r="AX151" s="268"/>
      <c r="AY151" s="268"/>
      <c r="AZ151" s="268"/>
      <c r="BA151" s="268"/>
      <c r="BB151" s="268"/>
      <c r="BC151" s="268"/>
      <c r="BD151" s="287"/>
      <c r="BE151" s="268"/>
    </row>
    <row r="152" customFormat="false" ht="7.5" hidden="false" customHeight="true" outlineLevel="0" collapsed="false">
      <c r="A152" s="198"/>
      <c r="B152" s="266"/>
      <c r="C152" s="266"/>
      <c r="D152" s="266"/>
      <c r="E152" s="241"/>
      <c r="F152" s="241"/>
      <c r="G152" s="241"/>
      <c r="H152" s="204"/>
      <c r="I152" s="269"/>
      <c r="J152" s="269"/>
      <c r="K152" s="277"/>
      <c r="L152" s="269"/>
      <c r="M152" s="269"/>
      <c r="N152" s="269"/>
      <c r="O152" s="269"/>
      <c r="P152" s="269"/>
      <c r="Q152" s="269"/>
      <c r="R152" s="269"/>
      <c r="S152" s="269"/>
      <c r="T152" s="269"/>
      <c r="U152" s="269"/>
      <c r="V152" s="269"/>
      <c r="W152" s="269"/>
      <c r="X152" s="259"/>
      <c r="Y152" s="271"/>
      <c r="Z152" s="271"/>
      <c r="AA152" s="271"/>
      <c r="AB152" s="271"/>
      <c r="AC152" s="271"/>
      <c r="AD152" s="271"/>
      <c r="AE152" s="271"/>
      <c r="AF152" s="271"/>
      <c r="AG152" s="271"/>
      <c r="AH152" s="271"/>
      <c r="AI152" s="271"/>
      <c r="AJ152" s="272"/>
      <c r="AK152" s="273"/>
      <c r="AL152" s="273"/>
      <c r="AM152" s="273"/>
      <c r="AN152" s="259"/>
      <c r="AO152" s="271"/>
      <c r="AP152" s="271"/>
      <c r="AQ152" s="271"/>
      <c r="AR152" s="271"/>
      <c r="AS152" s="271"/>
      <c r="AT152" s="271"/>
      <c r="AU152" s="271"/>
      <c r="AV152" s="271"/>
      <c r="AW152" s="271"/>
      <c r="AX152" s="271"/>
      <c r="AY152" s="271"/>
      <c r="AZ152" s="272"/>
      <c r="BA152" s="273"/>
      <c r="BB152" s="273"/>
      <c r="BC152" s="273"/>
      <c r="BD152" s="287"/>
      <c r="BE152" s="274"/>
    </row>
    <row r="153" customFormat="false" ht="15" hidden="false" customHeight="true" outlineLevel="0" collapsed="false">
      <c r="B153" s="333"/>
      <c r="C153" s="334"/>
      <c r="D153" s="333" t="n">
        <f aca="false">D137</f>
        <v>45292</v>
      </c>
      <c r="E153" s="277" t="n">
        <v>0</v>
      </c>
      <c r="F153" s="277" t="n">
        <v>0</v>
      </c>
      <c r="G153" s="277" t="n">
        <f aca="false">SUM(E153:F153)</f>
        <v>0</v>
      </c>
      <c r="H153" s="204"/>
      <c r="I153" s="279" t="n">
        <v>1</v>
      </c>
      <c r="J153" s="280" t="n">
        <f aca="false">1-I153</f>
        <v>0</v>
      </c>
      <c r="K153" s="277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68"/>
      <c r="Y153" s="284" t="n">
        <f aca="false">IFERROR(L153*$G153*I$9, "")</f>
        <v>0</v>
      </c>
      <c r="Z153" s="284" t="n">
        <f aca="false">IFERROR(M153*$G153*$I153, "")</f>
        <v>0</v>
      </c>
      <c r="AA153" s="284" t="n">
        <f aca="false">IFERROR(N153*$G153*$I153, "")</f>
        <v>0</v>
      </c>
      <c r="AB153" s="284" t="n">
        <f aca="false">IFERROR(O153*$G153*$I153, "")</f>
        <v>0</v>
      </c>
      <c r="AC153" s="284" t="n">
        <f aca="false">IFERROR(P153*$G153*$I153, "")</f>
        <v>0</v>
      </c>
      <c r="AD153" s="284" t="n">
        <f aca="false">IFERROR(Q153*$G153*$I153, "")</f>
        <v>0</v>
      </c>
      <c r="AE153" s="284" t="n">
        <f aca="false">IFERROR(R153*$G153*$I153, "")</f>
        <v>0</v>
      </c>
      <c r="AF153" s="284" t="n">
        <f aca="false">IFERROR(S153*$G153*$I153, "")</f>
        <v>0</v>
      </c>
      <c r="AG153" s="284" t="n">
        <f aca="false">IFERROR(T153*$G153*$I153, "")</f>
        <v>0</v>
      </c>
      <c r="AH153" s="284" t="n">
        <f aca="false">IFERROR(U153*$G153*$I153, "")</f>
        <v>0</v>
      </c>
      <c r="AI153" s="284" t="n">
        <f aca="false">IFERROR(V153*$G153*$I153, "")</f>
        <v>0</v>
      </c>
      <c r="AJ153" s="284" t="n">
        <f aca="false">IFERROR(W153*$G153*$I153, "")</f>
        <v>0</v>
      </c>
      <c r="AK153" s="286" t="n">
        <f aca="false">IFERROR(SUMIF($Y$4:$AJ$4, "RDEC", Y153:AJ153), "")</f>
        <v>0</v>
      </c>
      <c r="AL153" s="286" t="n">
        <f aca="false">IFERROR(SUMIF($Y$4:$AJ$4, "SME", Y153:AJ153), "")</f>
        <v>0</v>
      </c>
      <c r="AM153" s="286" t="n">
        <f aca="false">IFERROR(SUMIF($Y$4:$AJ$4, "De Minimis", Y153:AJ153), "")</f>
        <v>0</v>
      </c>
      <c r="AN153" s="268"/>
      <c r="AO153" s="284" t="n">
        <f aca="false">IFERROR($G153*$J153*L153, "")</f>
        <v>0</v>
      </c>
      <c r="AP153" s="284" t="n">
        <f aca="false">IFERROR($G153*$J153*M153, "")</f>
        <v>0</v>
      </c>
      <c r="AQ153" s="284" t="n">
        <f aca="false">IFERROR($G153*$J153*N153, "")</f>
        <v>0</v>
      </c>
      <c r="AR153" s="284" t="n">
        <f aca="false">IFERROR($G153*$J153*O153, "")</f>
        <v>0</v>
      </c>
      <c r="AS153" s="284" t="n">
        <f aca="false">IFERROR($G153*$J153*P153, "")</f>
        <v>0</v>
      </c>
      <c r="AT153" s="284" t="n">
        <f aca="false">IFERROR($G153*$J153*Q153, "")</f>
        <v>0</v>
      </c>
      <c r="AU153" s="284" t="n">
        <f aca="false">IFERROR($G153*$J153*R153, "")</f>
        <v>0</v>
      </c>
      <c r="AV153" s="284" t="n">
        <f aca="false">IFERROR($G153*$J153*S153, "")</f>
        <v>0</v>
      </c>
      <c r="AW153" s="284" t="n">
        <f aca="false">IFERROR($G153*$J153*T153, "")</f>
        <v>0</v>
      </c>
      <c r="AX153" s="284" t="n">
        <f aca="false">IFERROR($G153*$J153*U153, "")</f>
        <v>0</v>
      </c>
      <c r="AY153" s="284" t="n">
        <f aca="false">IFERROR($G153*$J153*V153, "")</f>
        <v>0</v>
      </c>
      <c r="AZ153" s="284" t="n">
        <f aca="false">IFERROR($G153*$J153*W153, "")</f>
        <v>0</v>
      </c>
      <c r="BA153" s="286" t="n">
        <f aca="false">IFERROR(SUMIF($AO$4:$AZ$4, "RDEC", AO153:AZ153), "")</f>
        <v>0</v>
      </c>
      <c r="BB153" s="286" t="n">
        <f aca="false">IFERROR(SUMIF($AO$4:$AZ$4, "SME", AO153:AZ153), "")</f>
        <v>0</v>
      </c>
      <c r="BC153" s="286" t="n">
        <f aca="false">IFERROR(SUMIF($AO$4:$AZ$4, "De Minimis", AO153:AZ153), "")</f>
        <v>0</v>
      </c>
      <c r="BD153" s="287"/>
      <c r="BE153" s="288" t="str">
        <f aca="false">IF((SUM(L153:W153)&gt;1),"ERROR","")</f>
        <v/>
      </c>
    </row>
    <row r="154" customFormat="false" ht="15" hidden="false" customHeight="true" outlineLevel="0" collapsed="false">
      <c r="B154" s="333"/>
      <c r="C154" s="334"/>
      <c r="D154" s="333" t="n">
        <f aca="false">D138</f>
        <v>45323</v>
      </c>
      <c r="E154" s="277" t="n">
        <v>0</v>
      </c>
      <c r="F154" s="277" t="n">
        <v>0</v>
      </c>
      <c r="G154" s="277" t="n">
        <f aca="false">SUM(E154:F154)</f>
        <v>0</v>
      </c>
      <c r="H154" s="204"/>
      <c r="I154" s="279" t="n">
        <v>1</v>
      </c>
      <c r="J154" s="280" t="n">
        <f aca="false">1-I154</f>
        <v>0</v>
      </c>
      <c r="K154" s="277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3"/>
      <c r="Y154" s="284" t="n">
        <f aca="false">IFERROR(L154*$G154*I$9, "")</f>
        <v>0</v>
      </c>
      <c r="Z154" s="284" t="n">
        <f aca="false">IFERROR(M154*$G154*$I154, "")</f>
        <v>0</v>
      </c>
      <c r="AA154" s="284" t="n">
        <f aca="false">IFERROR(N154*$G154*$I154, "")</f>
        <v>0</v>
      </c>
      <c r="AB154" s="284" t="n">
        <f aca="false">IFERROR(O154*$G154*$I154, "")</f>
        <v>0</v>
      </c>
      <c r="AC154" s="284" t="n">
        <f aca="false">IFERROR(P154*$G154*$I154, "")</f>
        <v>0</v>
      </c>
      <c r="AD154" s="284" t="n">
        <f aca="false">IFERROR(Q154*$G154*$I154, "")</f>
        <v>0</v>
      </c>
      <c r="AE154" s="284" t="n">
        <f aca="false">IFERROR(R154*$G154*$I154, "")</f>
        <v>0</v>
      </c>
      <c r="AF154" s="284" t="n">
        <f aca="false">IFERROR(S154*$G154*$I154, "")</f>
        <v>0</v>
      </c>
      <c r="AG154" s="284" t="n">
        <f aca="false">IFERROR(T154*$G154*$I154, "")</f>
        <v>0</v>
      </c>
      <c r="AH154" s="284" t="n">
        <f aca="false">IFERROR(U154*$G154*$I154, "")</f>
        <v>0</v>
      </c>
      <c r="AI154" s="284" t="n">
        <f aca="false">IFERROR(V154*$G154*$I154, "")</f>
        <v>0</v>
      </c>
      <c r="AJ154" s="284" t="n">
        <f aca="false">IFERROR(W154*$G154*$I154, "")</f>
        <v>0</v>
      </c>
      <c r="AK154" s="286" t="n">
        <f aca="false">IFERROR(SUMIF($Y$4:$AJ$4, "RDEC", Y154:AJ154), "")</f>
        <v>0</v>
      </c>
      <c r="AL154" s="286" t="n">
        <f aca="false">IFERROR(SUMIF($Y$4:$AJ$4, "SME", Y154:AJ154), "")</f>
        <v>0</v>
      </c>
      <c r="AM154" s="286" t="n">
        <f aca="false">IFERROR(SUMIF($Y$4:$AJ$4, "De Minimis", Y154:AJ154), "")</f>
        <v>0</v>
      </c>
      <c r="AN154" s="283"/>
      <c r="AO154" s="284" t="n">
        <f aca="false">IFERROR($G154*$J154*L154, "")</f>
        <v>0</v>
      </c>
      <c r="AP154" s="284" t="n">
        <f aca="false">IFERROR($G154*$J154*M154, "")</f>
        <v>0</v>
      </c>
      <c r="AQ154" s="284" t="n">
        <f aca="false">IFERROR($G154*$J154*N154, "")</f>
        <v>0</v>
      </c>
      <c r="AR154" s="284" t="n">
        <f aca="false">IFERROR($G154*$J154*O154, "")</f>
        <v>0</v>
      </c>
      <c r="AS154" s="284" t="n">
        <f aca="false">IFERROR($G154*$J154*P154, "")</f>
        <v>0</v>
      </c>
      <c r="AT154" s="284" t="n">
        <f aca="false">IFERROR($G154*$J154*Q154, "")</f>
        <v>0</v>
      </c>
      <c r="AU154" s="284" t="n">
        <f aca="false">IFERROR($G154*$J154*R154, "")</f>
        <v>0</v>
      </c>
      <c r="AV154" s="284" t="n">
        <f aca="false">IFERROR($G154*$J154*S154, "")</f>
        <v>0</v>
      </c>
      <c r="AW154" s="284" t="n">
        <f aca="false">IFERROR($G154*$J154*T154, "")</f>
        <v>0</v>
      </c>
      <c r="AX154" s="284" t="n">
        <f aca="false">IFERROR($G154*$J154*U154, "")</f>
        <v>0</v>
      </c>
      <c r="AY154" s="284" t="n">
        <f aca="false">IFERROR($G154*$J154*V154, "")</f>
        <v>0</v>
      </c>
      <c r="AZ154" s="284" t="n">
        <f aca="false">IFERROR($G154*$J154*W154, "")</f>
        <v>0</v>
      </c>
      <c r="BA154" s="286" t="n">
        <f aca="false">IFERROR(SUMIF($AO$4:$AZ$4, "RDEC", AO154:AZ154), "")</f>
        <v>0</v>
      </c>
      <c r="BB154" s="286" t="n">
        <f aca="false">IFERROR(SUMIF($AO$4:$AZ$4, "SME", AO154:AZ154), "")</f>
        <v>0</v>
      </c>
      <c r="BC154" s="286" t="n">
        <f aca="false">IFERROR(SUMIF($Y$4:$AJ$4, "De Minimis", AO154:AZ154), "")</f>
        <v>0</v>
      </c>
      <c r="BD154" s="287"/>
      <c r="BE154" s="288" t="str">
        <f aca="false">IF((SUM(L154:W154)&gt;1),"ERROR","")</f>
        <v/>
      </c>
    </row>
    <row r="155" customFormat="false" ht="15" hidden="false" customHeight="true" outlineLevel="0" collapsed="false">
      <c r="B155" s="333"/>
      <c r="C155" s="334"/>
      <c r="D155" s="333" t="n">
        <f aca="false">D139</f>
        <v>45352</v>
      </c>
      <c r="E155" s="277" t="n">
        <v>0</v>
      </c>
      <c r="F155" s="277" t="n">
        <v>0</v>
      </c>
      <c r="G155" s="277" t="n">
        <f aca="false">SUM(E155:F155)</f>
        <v>0</v>
      </c>
      <c r="H155" s="204"/>
      <c r="I155" s="279" t="n">
        <v>1</v>
      </c>
      <c r="J155" s="280" t="n">
        <f aca="false">1-I155</f>
        <v>0</v>
      </c>
      <c r="K155" s="277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3"/>
      <c r="Y155" s="284" t="n">
        <f aca="false">IFERROR(L155*$G155*I$9, "")</f>
        <v>0</v>
      </c>
      <c r="Z155" s="284" t="n">
        <f aca="false">IFERROR(M155*$G155*$I155, "")</f>
        <v>0</v>
      </c>
      <c r="AA155" s="284" t="n">
        <f aca="false">IFERROR(N155*$G155*$I155, "")</f>
        <v>0</v>
      </c>
      <c r="AB155" s="284" t="n">
        <f aca="false">IFERROR(O155*$G155*$I155, "")</f>
        <v>0</v>
      </c>
      <c r="AC155" s="284" t="n">
        <f aca="false">IFERROR(P155*$G155*$I155, "")</f>
        <v>0</v>
      </c>
      <c r="AD155" s="284" t="n">
        <f aca="false">IFERROR(Q155*$G155*$I155, "")</f>
        <v>0</v>
      </c>
      <c r="AE155" s="284" t="n">
        <f aca="false">IFERROR(R155*$G155*$I155, "")</f>
        <v>0</v>
      </c>
      <c r="AF155" s="284" t="n">
        <f aca="false">IFERROR(S155*$G155*$I155, "")</f>
        <v>0</v>
      </c>
      <c r="AG155" s="284" t="n">
        <f aca="false">IFERROR(T155*$G155*$I155, "")</f>
        <v>0</v>
      </c>
      <c r="AH155" s="284" t="n">
        <f aca="false">IFERROR(U155*$G155*$I155, "")</f>
        <v>0</v>
      </c>
      <c r="AI155" s="284" t="n">
        <f aca="false">IFERROR(V155*$G155*$I155, "")</f>
        <v>0</v>
      </c>
      <c r="AJ155" s="284" t="n">
        <f aca="false">IFERROR(W155*$G155*$I155, "")</f>
        <v>0</v>
      </c>
      <c r="AK155" s="286" t="n">
        <f aca="false">IFERROR(SUMIF($Y$4:$AJ$4, "RDEC", Y155:AJ155), "")</f>
        <v>0</v>
      </c>
      <c r="AL155" s="286" t="n">
        <f aca="false">IFERROR(SUMIF($Y$4:$AJ$4, "SME", Y155:AJ155), "")</f>
        <v>0</v>
      </c>
      <c r="AM155" s="286" t="n">
        <f aca="false">IFERROR(SUMIF($Y$4:$AJ$4, "De Minimis", Y155:AJ155), "")</f>
        <v>0</v>
      </c>
      <c r="AN155" s="283"/>
      <c r="AO155" s="284" t="n">
        <f aca="false">IFERROR($G155*$J155*L155, "")</f>
        <v>0</v>
      </c>
      <c r="AP155" s="284" t="n">
        <f aca="false">IFERROR($G155*$J155*M155, "")</f>
        <v>0</v>
      </c>
      <c r="AQ155" s="284" t="n">
        <f aca="false">IFERROR($G155*$J155*N155, "")</f>
        <v>0</v>
      </c>
      <c r="AR155" s="284" t="n">
        <f aca="false">IFERROR($G155*$J155*O155, "")</f>
        <v>0</v>
      </c>
      <c r="AS155" s="284" t="n">
        <f aca="false">IFERROR($G155*$J155*P155, "")</f>
        <v>0</v>
      </c>
      <c r="AT155" s="284" t="n">
        <f aca="false">IFERROR($G155*$J155*Q155, "")</f>
        <v>0</v>
      </c>
      <c r="AU155" s="284" t="n">
        <f aca="false">IFERROR($G155*$J155*R155, "")</f>
        <v>0</v>
      </c>
      <c r="AV155" s="284" t="n">
        <f aca="false">IFERROR($G155*$J155*S155, "")</f>
        <v>0</v>
      </c>
      <c r="AW155" s="284" t="n">
        <f aca="false">IFERROR($G155*$J155*T155, "")</f>
        <v>0</v>
      </c>
      <c r="AX155" s="284" t="n">
        <f aca="false">IFERROR($G155*$J155*U155, "")</f>
        <v>0</v>
      </c>
      <c r="AY155" s="284" t="n">
        <f aca="false">IFERROR($G155*$J155*V155, "")</f>
        <v>0</v>
      </c>
      <c r="AZ155" s="284" t="n">
        <f aca="false">IFERROR($G155*$J155*W155, "")</f>
        <v>0</v>
      </c>
      <c r="BA155" s="286" t="n">
        <f aca="false">IFERROR(SUMIF($AO$4:$AZ$4, "RDEC", AO155:AZ155), "")</f>
        <v>0</v>
      </c>
      <c r="BB155" s="286" t="n">
        <f aca="false">IFERROR(SUMIF($AO$4:$AZ$4, "SME", AO155:AZ155), "")</f>
        <v>0</v>
      </c>
      <c r="BC155" s="286" t="n">
        <f aca="false">IFERROR(SUMIF($Y$4:$AJ$4, "De Minimis", AO155:AZ155), "")</f>
        <v>0</v>
      </c>
      <c r="BD155" s="287"/>
      <c r="BE155" s="288" t="str">
        <f aca="false">IF((SUM(L155:W155)&gt;1),"ERROR","")</f>
        <v/>
      </c>
    </row>
    <row r="156" customFormat="false" ht="15" hidden="false" customHeight="true" outlineLevel="0" collapsed="false">
      <c r="B156" s="333"/>
      <c r="C156" s="334"/>
      <c r="D156" s="333" t="n">
        <f aca="false">D140</f>
        <v>45383</v>
      </c>
      <c r="E156" s="277" t="n">
        <v>0</v>
      </c>
      <c r="F156" s="277" t="n">
        <v>0</v>
      </c>
      <c r="G156" s="277" t="n">
        <f aca="false">SUM(E156:F156)</f>
        <v>0</v>
      </c>
      <c r="H156" s="204"/>
      <c r="I156" s="279" t="n">
        <v>1</v>
      </c>
      <c r="J156" s="280" t="n">
        <f aca="false">1-I156</f>
        <v>0</v>
      </c>
      <c r="K156" s="277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283"/>
      <c r="Y156" s="284" t="n">
        <f aca="false">IFERROR(L156*$G156*I$9, "")</f>
        <v>0</v>
      </c>
      <c r="Z156" s="284" t="n">
        <f aca="false">IFERROR(M156*$G156*$I156, "")</f>
        <v>0</v>
      </c>
      <c r="AA156" s="284" t="n">
        <f aca="false">IFERROR(N156*$G156*$I156, "")</f>
        <v>0</v>
      </c>
      <c r="AB156" s="284" t="n">
        <f aca="false">IFERROR(O156*$G156*$I156, "")</f>
        <v>0</v>
      </c>
      <c r="AC156" s="284" t="n">
        <f aca="false">IFERROR(P156*$G156*$I156, "")</f>
        <v>0</v>
      </c>
      <c r="AD156" s="284" t="n">
        <f aca="false">IFERROR(Q156*$G156*$I156, "")</f>
        <v>0</v>
      </c>
      <c r="AE156" s="284" t="n">
        <f aca="false">IFERROR(R156*$G156*$I156, "")</f>
        <v>0</v>
      </c>
      <c r="AF156" s="284" t="n">
        <f aca="false">IFERROR(S156*$G156*$I156, "")</f>
        <v>0</v>
      </c>
      <c r="AG156" s="284" t="n">
        <f aca="false">IFERROR(T156*$G156*$I156, "")</f>
        <v>0</v>
      </c>
      <c r="AH156" s="284" t="n">
        <f aca="false">IFERROR(U156*$G156*$I156, "")</f>
        <v>0</v>
      </c>
      <c r="AI156" s="284" t="n">
        <f aca="false">IFERROR(V156*$G156*$I156, "")</f>
        <v>0</v>
      </c>
      <c r="AJ156" s="284" t="n">
        <f aca="false">IFERROR(W156*$G156*$I156, "")</f>
        <v>0</v>
      </c>
      <c r="AK156" s="286" t="n">
        <f aca="false">IFERROR(SUMIF($Y$4:$AJ$4, "RDEC", Y156:AJ156), "")</f>
        <v>0</v>
      </c>
      <c r="AL156" s="286" t="n">
        <f aca="false">IFERROR(SUMIF($Y$4:$AJ$4, "SME", Y156:AJ156), "")</f>
        <v>0</v>
      </c>
      <c r="AM156" s="286" t="n">
        <f aca="false">IFERROR(SUMIF($Y$4:$AJ$4, "De Minimis", Y156:AJ156), "")</f>
        <v>0</v>
      </c>
      <c r="AN156" s="283"/>
      <c r="AO156" s="284" t="n">
        <f aca="false">IFERROR($G156*$J156*L156, "")</f>
        <v>0</v>
      </c>
      <c r="AP156" s="284" t="n">
        <f aca="false">IFERROR($G156*$J156*M156, "")</f>
        <v>0</v>
      </c>
      <c r="AQ156" s="284" t="n">
        <f aca="false">IFERROR($G156*$J156*N156, "")</f>
        <v>0</v>
      </c>
      <c r="AR156" s="284" t="n">
        <f aca="false">IFERROR($G156*$J156*O156, "")</f>
        <v>0</v>
      </c>
      <c r="AS156" s="284" t="n">
        <f aca="false">IFERROR($G156*$J156*P156, "")</f>
        <v>0</v>
      </c>
      <c r="AT156" s="284" t="n">
        <f aca="false">IFERROR($G156*$J156*Q156, "")</f>
        <v>0</v>
      </c>
      <c r="AU156" s="284" t="n">
        <f aca="false">IFERROR($G156*$J156*R156, "")</f>
        <v>0</v>
      </c>
      <c r="AV156" s="284" t="n">
        <f aca="false">IFERROR($G156*$J156*S156, "")</f>
        <v>0</v>
      </c>
      <c r="AW156" s="284" t="n">
        <f aca="false">IFERROR($G156*$J156*T156, "")</f>
        <v>0</v>
      </c>
      <c r="AX156" s="284" t="n">
        <f aca="false">IFERROR($G156*$J156*U156, "")</f>
        <v>0</v>
      </c>
      <c r="AY156" s="284" t="n">
        <f aca="false">IFERROR($G156*$J156*V156, "")</f>
        <v>0</v>
      </c>
      <c r="AZ156" s="284" t="n">
        <f aca="false">IFERROR($G156*$J156*W156, "")</f>
        <v>0</v>
      </c>
      <c r="BA156" s="286" t="n">
        <f aca="false">IFERROR(SUMIF($AO$4:$AZ$4, "RDEC", AO156:AZ156), "")</f>
        <v>0</v>
      </c>
      <c r="BB156" s="286" t="n">
        <f aca="false">IFERROR(SUMIF($AO$4:$AZ$4, "SME", AO156:AZ156), "")</f>
        <v>0</v>
      </c>
      <c r="BC156" s="286" t="n">
        <f aca="false">IFERROR(SUMIF($Y$4:$AJ$4, "De Minimis", AO156:AZ156), "")</f>
        <v>0</v>
      </c>
      <c r="BD156" s="287"/>
      <c r="BE156" s="288" t="str">
        <f aca="false">IF((SUM(L156:W156)&gt;1),"ERROR","")</f>
        <v/>
      </c>
    </row>
    <row r="157" customFormat="false" ht="15" hidden="false" customHeight="true" outlineLevel="0" collapsed="false">
      <c r="B157" s="333"/>
      <c r="C157" s="334"/>
      <c r="D157" s="333" t="n">
        <f aca="false">D141</f>
        <v>45413</v>
      </c>
      <c r="E157" s="277" t="n">
        <v>0</v>
      </c>
      <c r="F157" s="277" t="n">
        <v>0</v>
      </c>
      <c r="G157" s="277" t="n">
        <f aca="false">SUM(E157:F157)</f>
        <v>0</v>
      </c>
      <c r="H157" s="204"/>
      <c r="I157" s="279" t="n">
        <v>1</v>
      </c>
      <c r="J157" s="280" t="n">
        <f aca="false">1-I157</f>
        <v>0</v>
      </c>
      <c r="K157" s="277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283"/>
      <c r="Y157" s="284" t="n">
        <f aca="false">IFERROR(L157*$G157*I$9, "")</f>
        <v>0</v>
      </c>
      <c r="Z157" s="284" t="n">
        <f aca="false">IFERROR(M157*$G157*$I157, "")</f>
        <v>0</v>
      </c>
      <c r="AA157" s="284" t="n">
        <f aca="false">IFERROR(N157*$G157*$I157, "")</f>
        <v>0</v>
      </c>
      <c r="AB157" s="284" t="n">
        <f aca="false">IFERROR(O157*$G157*$I157, "")</f>
        <v>0</v>
      </c>
      <c r="AC157" s="284" t="n">
        <f aca="false">IFERROR(P157*$G157*$I157, "")</f>
        <v>0</v>
      </c>
      <c r="AD157" s="284" t="n">
        <f aca="false">IFERROR(Q157*$G157*$I157, "")</f>
        <v>0</v>
      </c>
      <c r="AE157" s="284" t="n">
        <f aca="false">IFERROR(R157*$G157*$I157, "")</f>
        <v>0</v>
      </c>
      <c r="AF157" s="284" t="n">
        <f aca="false">IFERROR(S157*$G157*$I157, "")</f>
        <v>0</v>
      </c>
      <c r="AG157" s="284" t="n">
        <f aca="false">IFERROR(T157*$G157*$I157, "")</f>
        <v>0</v>
      </c>
      <c r="AH157" s="284" t="n">
        <f aca="false">IFERROR(U157*$G157*$I157, "")</f>
        <v>0</v>
      </c>
      <c r="AI157" s="284" t="n">
        <f aca="false">IFERROR(V157*$G157*$I157, "")</f>
        <v>0</v>
      </c>
      <c r="AJ157" s="284" t="n">
        <f aca="false">IFERROR(W157*$G157*$I157, "")</f>
        <v>0</v>
      </c>
      <c r="AK157" s="286" t="n">
        <f aca="false">IFERROR(SUMIF($Y$4:$AJ$4, "RDEC", Y157:AJ157), "")</f>
        <v>0</v>
      </c>
      <c r="AL157" s="286" t="n">
        <f aca="false">IFERROR(SUMIF($Y$4:$AJ$4, "SME", Y157:AJ157), "")</f>
        <v>0</v>
      </c>
      <c r="AM157" s="286" t="n">
        <f aca="false">IFERROR(SUMIF($Y$4:$AJ$4, "De Minimis", Y157:AJ157), "")</f>
        <v>0</v>
      </c>
      <c r="AN157" s="283"/>
      <c r="AO157" s="284" t="n">
        <f aca="false">IFERROR($G157*$J157*L157, "")</f>
        <v>0</v>
      </c>
      <c r="AP157" s="284" t="n">
        <f aca="false">IFERROR($G157*$J157*M157, "")</f>
        <v>0</v>
      </c>
      <c r="AQ157" s="284" t="n">
        <f aca="false">IFERROR($G157*$J157*N157, "")</f>
        <v>0</v>
      </c>
      <c r="AR157" s="284" t="n">
        <f aca="false">IFERROR($G157*$J157*O157, "")</f>
        <v>0</v>
      </c>
      <c r="AS157" s="284" t="n">
        <f aca="false">IFERROR($G157*$J157*P157, "")</f>
        <v>0</v>
      </c>
      <c r="AT157" s="284" t="n">
        <f aca="false">IFERROR($G157*$J157*Q157, "")</f>
        <v>0</v>
      </c>
      <c r="AU157" s="284" t="n">
        <f aca="false">IFERROR($G157*$J157*R157, "")</f>
        <v>0</v>
      </c>
      <c r="AV157" s="284" t="n">
        <f aca="false">IFERROR($G157*$J157*S157, "")</f>
        <v>0</v>
      </c>
      <c r="AW157" s="284" t="n">
        <f aca="false">IFERROR($G157*$J157*T157, "")</f>
        <v>0</v>
      </c>
      <c r="AX157" s="284" t="n">
        <f aca="false">IFERROR($G157*$J157*U157, "")</f>
        <v>0</v>
      </c>
      <c r="AY157" s="284" t="n">
        <f aca="false">IFERROR($G157*$J157*V157, "")</f>
        <v>0</v>
      </c>
      <c r="AZ157" s="284" t="n">
        <f aca="false">IFERROR($G157*$J157*W157, "")</f>
        <v>0</v>
      </c>
      <c r="BA157" s="286" t="n">
        <f aca="false">IFERROR(SUMIF($AO$4:$AZ$4, "RDEC", AO157:AZ157), "")</f>
        <v>0</v>
      </c>
      <c r="BB157" s="286" t="n">
        <f aca="false">IFERROR(SUMIF($AO$4:$AZ$4, "SME", AO157:AZ157), "")</f>
        <v>0</v>
      </c>
      <c r="BC157" s="286" t="n">
        <f aca="false">IFERROR(SUMIF($Y$4:$AJ$4, "De Minimis", AO157:AZ157), "")</f>
        <v>0</v>
      </c>
      <c r="BD157" s="287"/>
      <c r="BE157" s="288" t="str">
        <f aca="false">IF((SUM(L157:W157)&gt;1),"ERROR","")</f>
        <v/>
      </c>
    </row>
    <row r="158" customFormat="false" ht="15" hidden="false" customHeight="true" outlineLevel="0" collapsed="false">
      <c r="B158" s="333"/>
      <c r="C158" s="334"/>
      <c r="D158" s="333" t="n">
        <f aca="false">D142</f>
        <v>45444</v>
      </c>
      <c r="E158" s="277" t="n">
        <v>0</v>
      </c>
      <c r="F158" s="277" t="n">
        <v>0</v>
      </c>
      <c r="G158" s="277" t="n">
        <f aca="false">SUM(E158:F158)</f>
        <v>0</v>
      </c>
      <c r="H158" s="204"/>
      <c r="I158" s="279" t="n">
        <v>1</v>
      </c>
      <c r="J158" s="280" t="n">
        <f aca="false">1-I158</f>
        <v>0</v>
      </c>
      <c r="K158" s="277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283"/>
      <c r="Y158" s="284" t="n">
        <f aca="false">IFERROR(L158*$G158*I$9, "")</f>
        <v>0</v>
      </c>
      <c r="Z158" s="284" t="n">
        <f aca="false">IFERROR(M158*$G158*$I158, "")</f>
        <v>0</v>
      </c>
      <c r="AA158" s="284" t="n">
        <f aca="false">IFERROR(N158*$G158*$I158, "")</f>
        <v>0</v>
      </c>
      <c r="AB158" s="284" t="n">
        <f aca="false">IFERROR(O158*$G158*$I158, "")</f>
        <v>0</v>
      </c>
      <c r="AC158" s="284" t="n">
        <f aca="false">IFERROR(P158*$G158*$I158, "")</f>
        <v>0</v>
      </c>
      <c r="AD158" s="284" t="n">
        <f aca="false">IFERROR(Q158*$G158*$I158, "")</f>
        <v>0</v>
      </c>
      <c r="AE158" s="284" t="n">
        <f aca="false">IFERROR(R158*$G158*$I158, "")</f>
        <v>0</v>
      </c>
      <c r="AF158" s="284" t="n">
        <f aca="false">IFERROR(S158*$G158*$I158, "")</f>
        <v>0</v>
      </c>
      <c r="AG158" s="284" t="n">
        <f aca="false">IFERROR(T158*$G158*$I158, "")</f>
        <v>0</v>
      </c>
      <c r="AH158" s="284" t="n">
        <f aca="false">IFERROR(U158*$G158*$I158, "")</f>
        <v>0</v>
      </c>
      <c r="AI158" s="284" t="n">
        <f aca="false">IFERROR(V158*$G158*$I158, "")</f>
        <v>0</v>
      </c>
      <c r="AJ158" s="284" t="n">
        <f aca="false">IFERROR(W158*$G158*$I158, "")</f>
        <v>0</v>
      </c>
      <c r="AK158" s="286" t="n">
        <f aca="false">IFERROR(SUMIF($Y$4:$AJ$4, "RDEC", Y158:AJ158), "")</f>
        <v>0</v>
      </c>
      <c r="AL158" s="286" t="n">
        <f aca="false">IFERROR(SUMIF($Y$4:$AJ$4, "SME", Y158:AJ158), "")</f>
        <v>0</v>
      </c>
      <c r="AM158" s="286" t="n">
        <f aca="false">IFERROR(SUMIF($Y$4:$AJ$4, "De Minimis", Y158:AJ158), "")</f>
        <v>0</v>
      </c>
      <c r="AN158" s="283"/>
      <c r="AO158" s="284" t="n">
        <f aca="false">IFERROR($G158*$J158*L158, "")</f>
        <v>0</v>
      </c>
      <c r="AP158" s="284" t="n">
        <f aca="false">IFERROR($G158*$J158*M158, "")</f>
        <v>0</v>
      </c>
      <c r="AQ158" s="284" t="n">
        <f aca="false">IFERROR($G158*$J158*N158, "")</f>
        <v>0</v>
      </c>
      <c r="AR158" s="284" t="n">
        <f aca="false">IFERROR($G158*$J158*O158, "")</f>
        <v>0</v>
      </c>
      <c r="AS158" s="284" t="n">
        <f aca="false">IFERROR($G158*$J158*P158, "")</f>
        <v>0</v>
      </c>
      <c r="AT158" s="284" t="n">
        <f aca="false">IFERROR($G158*$J158*Q158, "")</f>
        <v>0</v>
      </c>
      <c r="AU158" s="284" t="n">
        <f aca="false">IFERROR($G158*$J158*R158, "")</f>
        <v>0</v>
      </c>
      <c r="AV158" s="284" t="n">
        <f aca="false">IFERROR($G158*$J158*S158, "")</f>
        <v>0</v>
      </c>
      <c r="AW158" s="284" t="n">
        <f aca="false">IFERROR($G158*$J158*T158, "")</f>
        <v>0</v>
      </c>
      <c r="AX158" s="284" t="n">
        <f aca="false">IFERROR($G158*$J158*U158, "")</f>
        <v>0</v>
      </c>
      <c r="AY158" s="284" t="n">
        <f aca="false">IFERROR($G158*$J158*V158, "")</f>
        <v>0</v>
      </c>
      <c r="AZ158" s="284" t="n">
        <f aca="false">IFERROR($G158*$J158*W158, "")</f>
        <v>0</v>
      </c>
      <c r="BA158" s="286" t="n">
        <f aca="false">IFERROR(SUMIF($AO$4:$AZ$4, "RDEC", AO158:AZ158), "")</f>
        <v>0</v>
      </c>
      <c r="BB158" s="286" t="n">
        <f aca="false">IFERROR(SUMIF($AO$4:$AZ$4, "SME", AO158:AZ158), "")</f>
        <v>0</v>
      </c>
      <c r="BC158" s="286" t="n">
        <f aca="false">IFERROR(SUMIF($Y$4:$AJ$4, "De Minimis", AO158:AZ158), "")</f>
        <v>0</v>
      </c>
      <c r="BD158" s="287"/>
      <c r="BE158" s="288" t="str">
        <f aca="false">IF((SUM(L158:W158)&gt;1),"ERROR","")</f>
        <v/>
      </c>
    </row>
    <row r="159" customFormat="false" ht="15" hidden="false" customHeight="true" outlineLevel="0" collapsed="false">
      <c r="B159" s="333"/>
      <c r="C159" s="334"/>
      <c r="D159" s="333" t="n">
        <f aca="false">D143</f>
        <v>45474</v>
      </c>
      <c r="E159" s="277" t="n">
        <v>0</v>
      </c>
      <c r="F159" s="277" t="n">
        <v>0</v>
      </c>
      <c r="G159" s="277" t="n">
        <f aca="false">SUM(E159:F159)</f>
        <v>0</v>
      </c>
      <c r="H159" s="204"/>
      <c r="I159" s="279" t="n">
        <v>1</v>
      </c>
      <c r="J159" s="280" t="n">
        <f aca="false">1-I159</f>
        <v>0</v>
      </c>
      <c r="K159" s="277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3"/>
      <c r="Y159" s="284" t="n">
        <f aca="false">IFERROR(L159*$G159*I$9, "")</f>
        <v>0</v>
      </c>
      <c r="Z159" s="284" t="n">
        <f aca="false">IFERROR(M159*$G159*$I159, "")</f>
        <v>0</v>
      </c>
      <c r="AA159" s="284" t="n">
        <f aca="false">IFERROR(N159*$G159*$I159, "")</f>
        <v>0</v>
      </c>
      <c r="AB159" s="284" t="n">
        <f aca="false">IFERROR(O159*$G159*$I159, "")</f>
        <v>0</v>
      </c>
      <c r="AC159" s="284" t="n">
        <f aca="false">IFERROR(P159*$G159*$I159, "")</f>
        <v>0</v>
      </c>
      <c r="AD159" s="284" t="n">
        <f aca="false">IFERROR(Q159*$G159*$I159, "")</f>
        <v>0</v>
      </c>
      <c r="AE159" s="284" t="n">
        <f aca="false">IFERROR(R159*$G159*$I159, "")</f>
        <v>0</v>
      </c>
      <c r="AF159" s="284" t="n">
        <f aca="false">IFERROR(S159*$G159*$I159, "")</f>
        <v>0</v>
      </c>
      <c r="AG159" s="284" t="n">
        <f aca="false">IFERROR(T159*$G159*$I159, "")</f>
        <v>0</v>
      </c>
      <c r="AH159" s="284" t="n">
        <f aca="false">IFERROR(U159*$G159*$I159, "")</f>
        <v>0</v>
      </c>
      <c r="AI159" s="284" t="n">
        <f aca="false">IFERROR(V159*$G159*$I159, "")</f>
        <v>0</v>
      </c>
      <c r="AJ159" s="284" t="n">
        <f aca="false">IFERROR(W159*$G159*$I159, "")</f>
        <v>0</v>
      </c>
      <c r="AK159" s="286" t="n">
        <f aca="false">IFERROR(SUMIF($Y$4:$AJ$4, "RDEC", Y159:AJ159), "")</f>
        <v>0</v>
      </c>
      <c r="AL159" s="286" t="n">
        <f aca="false">IFERROR(SUMIF($Y$4:$AJ$4, "SME", Y159:AJ159), "")</f>
        <v>0</v>
      </c>
      <c r="AM159" s="286" t="n">
        <f aca="false">IFERROR(SUMIF($Y$4:$AJ$4, "De Minimis", Y159:AJ159), "")</f>
        <v>0</v>
      </c>
      <c r="AN159" s="283"/>
      <c r="AO159" s="284" t="n">
        <f aca="false">IFERROR($G159*$J159*L159, "")</f>
        <v>0</v>
      </c>
      <c r="AP159" s="284" t="n">
        <f aca="false">IFERROR($G159*$J159*M159, "")</f>
        <v>0</v>
      </c>
      <c r="AQ159" s="284" t="n">
        <f aca="false">IFERROR($G159*$J159*N159, "")</f>
        <v>0</v>
      </c>
      <c r="AR159" s="284" t="n">
        <f aca="false">IFERROR($G159*$J159*O159, "")</f>
        <v>0</v>
      </c>
      <c r="AS159" s="284" t="n">
        <f aca="false">IFERROR($G159*$J159*P159, "")</f>
        <v>0</v>
      </c>
      <c r="AT159" s="284" t="n">
        <f aca="false">IFERROR($G159*$J159*Q159, "")</f>
        <v>0</v>
      </c>
      <c r="AU159" s="284" t="n">
        <f aca="false">IFERROR($G159*$J159*R159, "")</f>
        <v>0</v>
      </c>
      <c r="AV159" s="284" t="n">
        <f aca="false">IFERROR($G159*$J159*S159, "")</f>
        <v>0</v>
      </c>
      <c r="AW159" s="284" t="n">
        <f aca="false">IFERROR($G159*$J159*T159, "")</f>
        <v>0</v>
      </c>
      <c r="AX159" s="284" t="n">
        <f aca="false">IFERROR($G159*$J159*U159, "")</f>
        <v>0</v>
      </c>
      <c r="AY159" s="284" t="n">
        <f aca="false">IFERROR($G159*$J159*V159, "")</f>
        <v>0</v>
      </c>
      <c r="AZ159" s="284" t="n">
        <f aca="false">IFERROR($G159*$J159*W159, "")</f>
        <v>0</v>
      </c>
      <c r="BA159" s="286" t="n">
        <f aca="false">IFERROR(SUMIF($AO$4:$AZ$4, "RDEC", AO159:AZ159), "")</f>
        <v>0</v>
      </c>
      <c r="BB159" s="286" t="n">
        <f aca="false">IFERROR(SUMIF($AO$4:$AZ$4, "SME", AO159:AZ159), "")</f>
        <v>0</v>
      </c>
      <c r="BC159" s="286" t="n">
        <f aca="false">IFERROR(SUMIF($Y$4:$AJ$4, "De Minimis", AO159:AZ159), "")</f>
        <v>0</v>
      </c>
      <c r="BD159" s="287"/>
      <c r="BE159" s="288" t="str">
        <f aca="false">IF((SUM(L159:W159)&gt;1),"ERROR","")</f>
        <v/>
      </c>
    </row>
    <row r="160" customFormat="false" ht="15" hidden="false" customHeight="true" outlineLevel="0" collapsed="false">
      <c r="B160" s="333"/>
      <c r="C160" s="334"/>
      <c r="D160" s="333" t="n">
        <f aca="false">D144</f>
        <v>45505</v>
      </c>
      <c r="E160" s="277" t="n">
        <v>0</v>
      </c>
      <c r="F160" s="277" t="n">
        <v>0</v>
      </c>
      <c r="G160" s="277" t="n">
        <f aca="false">SUM(E160:F160)</f>
        <v>0</v>
      </c>
      <c r="H160" s="204"/>
      <c r="I160" s="279" t="n">
        <v>1</v>
      </c>
      <c r="J160" s="280" t="n">
        <f aca="false">1-I160</f>
        <v>0</v>
      </c>
      <c r="K160" s="277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3"/>
      <c r="Y160" s="284" t="n">
        <f aca="false">IFERROR(L160*$G160*I$9, "")</f>
        <v>0</v>
      </c>
      <c r="Z160" s="284" t="n">
        <f aca="false">IFERROR(M160*$G160*$I160, "")</f>
        <v>0</v>
      </c>
      <c r="AA160" s="284" t="n">
        <f aca="false">IFERROR(N160*$G160*$I160, "")</f>
        <v>0</v>
      </c>
      <c r="AB160" s="284" t="n">
        <f aca="false">IFERROR(O160*$G160*$I160, "")</f>
        <v>0</v>
      </c>
      <c r="AC160" s="284" t="n">
        <f aca="false">IFERROR(P160*$G160*$I160, "")</f>
        <v>0</v>
      </c>
      <c r="AD160" s="284" t="n">
        <f aca="false">IFERROR(Q160*$G160*$I160, "")</f>
        <v>0</v>
      </c>
      <c r="AE160" s="284" t="n">
        <f aca="false">IFERROR(R160*$G160*$I160, "")</f>
        <v>0</v>
      </c>
      <c r="AF160" s="284" t="n">
        <f aca="false">IFERROR(S160*$G160*$I160, "")</f>
        <v>0</v>
      </c>
      <c r="AG160" s="284" t="n">
        <f aca="false">IFERROR(T160*$G160*$I160, "")</f>
        <v>0</v>
      </c>
      <c r="AH160" s="284" t="n">
        <f aca="false">IFERROR(U160*$G160*$I160, "")</f>
        <v>0</v>
      </c>
      <c r="AI160" s="284" t="n">
        <f aca="false">IFERROR(V160*$G160*$I160, "")</f>
        <v>0</v>
      </c>
      <c r="AJ160" s="284" t="n">
        <f aca="false">IFERROR(W160*$G160*$I160, "")</f>
        <v>0</v>
      </c>
      <c r="AK160" s="286" t="n">
        <f aca="false">IFERROR(SUMIF($Y$4:$AJ$4, "RDEC", Y160:AJ160), "")</f>
        <v>0</v>
      </c>
      <c r="AL160" s="286" t="n">
        <f aca="false">IFERROR(SUMIF($Y$4:$AJ$4, "SME", Y160:AJ160), "")</f>
        <v>0</v>
      </c>
      <c r="AM160" s="286" t="n">
        <f aca="false">IFERROR(SUMIF($Y$4:$AJ$4, "De Minimis", Y160:AJ160), "")</f>
        <v>0</v>
      </c>
      <c r="AN160" s="283"/>
      <c r="AO160" s="284" t="n">
        <f aca="false">IFERROR($G160*$J160*L160, "")</f>
        <v>0</v>
      </c>
      <c r="AP160" s="284" t="n">
        <f aca="false">IFERROR($G160*$J160*M160, "")</f>
        <v>0</v>
      </c>
      <c r="AQ160" s="284" t="n">
        <f aca="false">IFERROR($G160*$J160*N160, "")</f>
        <v>0</v>
      </c>
      <c r="AR160" s="284" t="n">
        <f aca="false">IFERROR($G160*$J160*O160, "")</f>
        <v>0</v>
      </c>
      <c r="AS160" s="284" t="n">
        <f aca="false">IFERROR($G160*$J160*P160, "")</f>
        <v>0</v>
      </c>
      <c r="AT160" s="284" t="n">
        <f aca="false">IFERROR($G160*$J160*Q160, "")</f>
        <v>0</v>
      </c>
      <c r="AU160" s="284" t="n">
        <f aca="false">IFERROR($G160*$J160*R160, "")</f>
        <v>0</v>
      </c>
      <c r="AV160" s="284" t="n">
        <f aca="false">IFERROR($G160*$J160*S160, "")</f>
        <v>0</v>
      </c>
      <c r="AW160" s="284" t="n">
        <f aca="false">IFERROR($G160*$J160*T160, "")</f>
        <v>0</v>
      </c>
      <c r="AX160" s="284" t="n">
        <f aca="false">IFERROR($G160*$J160*U160, "")</f>
        <v>0</v>
      </c>
      <c r="AY160" s="284" t="n">
        <f aca="false">IFERROR($G160*$J160*V160, "")</f>
        <v>0</v>
      </c>
      <c r="AZ160" s="284" t="n">
        <f aca="false">IFERROR($G160*$J160*W160, "")</f>
        <v>0</v>
      </c>
      <c r="BA160" s="286" t="n">
        <f aca="false">IFERROR(SUMIF($AO$4:$AZ$4, "RDEC", AO160:AZ160), "")</f>
        <v>0</v>
      </c>
      <c r="BB160" s="286" t="n">
        <f aca="false">IFERROR(SUMIF($AO$4:$AZ$4, "SME", AO160:AZ160), "")</f>
        <v>0</v>
      </c>
      <c r="BC160" s="286" t="n">
        <f aca="false">IFERROR(SUMIF($Y$4:$AJ$4, "De Minimis", AO160:AZ160), "")</f>
        <v>0</v>
      </c>
      <c r="BD160" s="287"/>
      <c r="BE160" s="288" t="str">
        <f aca="false">IF((SUM(L160:W160)&gt;1),"ERROR","")</f>
        <v/>
      </c>
    </row>
    <row r="161" customFormat="false" ht="15" hidden="false" customHeight="true" outlineLevel="0" collapsed="false">
      <c r="B161" s="333"/>
      <c r="C161" s="334"/>
      <c r="D161" s="333" t="n">
        <f aca="false">D145</f>
        <v>45536</v>
      </c>
      <c r="E161" s="277" t="n">
        <v>0</v>
      </c>
      <c r="F161" s="277" t="n">
        <v>0</v>
      </c>
      <c r="G161" s="277" t="n">
        <f aca="false">SUM(E161:F161)</f>
        <v>0</v>
      </c>
      <c r="H161" s="204"/>
      <c r="I161" s="279" t="n">
        <v>1</v>
      </c>
      <c r="J161" s="280" t="n">
        <f aca="false">1-I161</f>
        <v>0</v>
      </c>
      <c r="K161" s="277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3"/>
      <c r="Y161" s="284" t="n">
        <f aca="false">IFERROR(L161*$G161*I$9, "")</f>
        <v>0</v>
      </c>
      <c r="Z161" s="284" t="n">
        <f aca="false">IFERROR(M161*$G161*$I161, "")</f>
        <v>0</v>
      </c>
      <c r="AA161" s="284" t="n">
        <f aca="false">IFERROR(N161*$G161*$I161, "")</f>
        <v>0</v>
      </c>
      <c r="AB161" s="284" t="n">
        <f aca="false">IFERROR(O161*$G161*$I161, "")</f>
        <v>0</v>
      </c>
      <c r="AC161" s="284" t="n">
        <f aca="false">IFERROR(P161*$G161*$I161, "")</f>
        <v>0</v>
      </c>
      <c r="AD161" s="284" t="n">
        <f aca="false">IFERROR(Q161*$G161*$I161, "")</f>
        <v>0</v>
      </c>
      <c r="AE161" s="284" t="n">
        <f aca="false">IFERROR(R161*$G161*$I161, "")</f>
        <v>0</v>
      </c>
      <c r="AF161" s="284" t="n">
        <f aca="false">IFERROR(S161*$G161*$I161, "")</f>
        <v>0</v>
      </c>
      <c r="AG161" s="284" t="n">
        <f aca="false">IFERROR(T161*$G161*$I161, "")</f>
        <v>0</v>
      </c>
      <c r="AH161" s="284" t="n">
        <f aca="false">IFERROR(U161*$G161*$I161, "")</f>
        <v>0</v>
      </c>
      <c r="AI161" s="284" t="n">
        <f aca="false">IFERROR(V161*$G161*$I161, "")</f>
        <v>0</v>
      </c>
      <c r="AJ161" s="284" t="n">
        <f aca="false">IFERROR(W161*$G161*$I161, "")</f>
        <v>0</v>
      </c>
      <c r="AK161" s="286" t="n">
        <f aca="false">IFERROR(SUMIF($Y$4:$AJ$4, "RDEC", Y161:AJ161), "")</f>
        <v>0</v>
      </c>
      <c r="AL161" s="286" t="n">
        <f aca="false">IFERROR(SUMIF($Y$4:$AJ$4, "SME", Y161:AJ161), "")</f>
        <v>0</v>
      </c>
      <c r="AM161" s="286" t="n">
        <f aca="false">IFERROR(SUMIF($Y$4:$AJ$4, "De Minimis", Y161:AJ161), "")</f>
        <v>0</v>
      </c>
      <c r="AN161" s="283"/>
      <c r="AO161" s="284" t="n">
        <f aca="false">IFERROR($G161*$J161*L161, "")</f>
        <v>0</v>
      </c>
      <c r="AP161" s="284" t="n">
        <f aca="false">IFERROR($G161*$J161*M161, "")</f>
        <v>0</v>
      </c>
      <c r="AQ161" s="284" t="n">
        <f aca="false">IFERROR($G161*$J161*N161, "")</f>
        <v>0</v>
      </c>
      <c r="AR161" s="284" t="n">
        <f aca="false">IFERROR($G161*$J161*O161, "")</f>
        <v>0</v>
      </c>
      <c r="AS161" s="284" t="n">
        <f aca="false">IFERROR($G161*$J161*P161, "")</f>
        <v>0</v>
      </c>
      <c r="AT161" s="284" t="n">
        <f aca="false">IFERROR($G161*$J161*Q161, "")</f>
        <v>0</v>
      </c>
      <c r="AU161" s="284" t="n">
        <f aca="false">IFERROR($G161*$J161*R161, "")</f>
        <v>0</v>
      </c>
      <c r="AV161" s="284" t="n">
        <f aca="false">IFERROR($G161*$J161*S161, "")</f>
        <v>0</v>
      </c>
      <c r="AW161" s="284" t="n">
        <f aca="false">IFERROR($G161*$J161*T161, "")</f>
        <v>0</v>
      </c>
      <c r="AX161" s="284" t="n">
        <f aca="false">IFERROR($G161*$J161*U161, "")</f>
        <v>0</v>
      </c>
      <c r="AY161" s="284" t="n">
        <f aca="false">IFERROR($G161*$J161*V161, "")</f>
        <v>0</v>
      </c>
      <c r="AZ161" s="284" t="n">
        <f aca="false">IFERROR($G161*$J161*W161, "")</f>
        <v>0</v>
      </c>
      <c r="BA161" s="286" t="n">
        <f aca="false">IFERROR(SUMIF($AO$4:$AZ$4, "RDEC", AO161:AZ161), "")</f>
        <v>0</v>
      </c>
      <c r="BB161" s="286" t="n">
        <f aca="false">IFERROR(SUMIF($AO$4:$AZ$4, "SME", AO161:AZ161), "")</f>
        <v>0</v>
      </c>
      <c r="BC161" s="286" t="n">
        <f aca="false">IFERROR(SUMIF($Y$4:$AJ$4, "De Minimis", AO161:AZ161), "")</f>
        <v>0</v>
      </c>
      <c r="BD161" s="287"/>
      <c r="BE161" s="288" t="str">
        <f aca="false">IF((SUM(L161:W161)&gt;1),"ERROR","")</f>
        <v/>
      </c>
    </row>
    <row r="162" customFormat="false" ht="15" hidden="false" customHeight="true" outlineLevel="0" collapsed="false">
      <c r="B162" s="333"/>
      <c r="C162" s="334"/>
      <c r="D162" s="333" t="n">
        <f aca="false">D146</f>
        <v>45566</v>
      </c>
      <c r="E162" s="277" t="n">
        <v>0</v>
      </c>
      <c r="F162" s="277" t="n">
        <v>0</v>
      </c>
      <c r="G162" s="277" t="n">
        <f aca="false">SUM(E162:F162)</f>
        <v>0</v>
      </c>
      <c r="H162" s="204"/>
      <c r="I162" s="279" t="n">
        <v>1</v>
      </c>
      <c r="J162" s="280" t="n">
        <f aca="false">1-I162</f>
        <v>0</v>
      </c>
      <c r="K162" s="277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283"/>
      <c r="Y162" s="284" t="n">
        <f aca="false">IFERROR(L162*$G162*I$9, "")</f>
        <v>0</v>
      </c>
      <c r="Z162" s="284" t="n">
        <f aca="false">IFERROR(M162*$G162*$I162, "")</f>
        <v>0</v>
      </c>
      <c r="AA162" s="284" t="n">
        <f aca="false">IFERROR(N162*$G162*$I162, "")</f>
        <v>0</v>
      </c>
      <c r="AB162" s="284" t="n">
        <f aca="false">IFERROR(O162*$G162*$I162, "")</f>
        <v>0</v>
      </c>
      <c r="AC162" s="284" t="n">
        <f aca="false">IFERROR(P162*$G162*$I162, "")</f>
        <v>0</v>
      </c>
      <c r="AD162" s="284" t="n">
        <f aca="false">IFERROR(Q162*$G162*$I162, "")</f>
        <v>0</v>
      </c>
      <c r="AE162" s="284" t="n">
        <f aca="false">IFERROR(R162*$G162*$I162, "")</f>
        <v>0</v>
      </c>
      <c r="AF162" s="284" t="n">
        <f aca="false">IFERROR(S162*$G162*$I162, "")</f>
        <v>0</v>
      </c>
      <c r="AG162" s="284" t="n">
        <f aca="false">IFERROR(T162*$G162*$I162, "")</f>
        <v>0</v>
      </c>
      <c r="AH162" s="284" t="n">
        <f aca="false">IFERROR(U162*$G162*$I162, "")</f>
        <v>0</v>
      </c>
      <c r="AI162" s="284" t="n">
        <f aca="false">IFERROR(V162*$G162*$I162, "")</f>
        <v>0</v>
      </c>
      <c r="AJ162" s="284" t="n">
        <f aca="false">IFERROR(W162*$G162*$I162, "")</f>
        <v>0</v>
      </c>
      <c r="AK162" s="286" t="n">
        <f aca="false">IFERROR(SUMIF($Y$4:$AJ$4, "RDEC", Y162:AJ162), "")</f>
        <v>0</v>
      </c>
      <c r="AL162" s="286" t="n">
        <f aca="false">IFERROR(SUMIF($Y$4:$AJ$4, "SME", Y162:AJ162), "")</f>
        <v>0</v>
      </c>
      <c r="AM162" s="286" t="n">
        <f aca="false">IFERROR(SUMIF($Y$4:$AJ$4, "De Minimis", Y162:AJ162), "")</f>
        <v>0</v>
      </c>
      <c r="AN162" s="283"/>
      <c r="AO162" s="284" t="n">
        <f aca="false">IFERROR($G162*$J162*L162, "")</f>
        <v>0</v>
      </c>
      <c r="AP162" s="284" t="n">
        <f aca="false">IFERROR($G162*$J162*M162, "")</f>
        <v>0</v>
      </c>
      <c r="AQ162" s="284" t="n">
        <f aca="false">IFERROR($G162*$J162*N162, "")</f>
        <v>0</v>
      </c>
      <c r="AR162" s="284" t="n">
        <f aca="false">IFERROR($G162*$J162*O162, "")</f>
        <v>0</v>
      </c>
      <c r="AS162" s="284" t="n">
        <f aca="false">IFERROR($G162*$J162*P162, "")</f>
        <v>0</v>
      </c>
      <c r="AT162" s="284" t="n">
        <f aca="false">IFERROR($G162*$J162*Q162, "")</f>
        <v>0</v>
      </c>
      <c r="AU162" s="284" t="n">
        <f aca="false">IFERROR($G162*$J162*R162, "")</f>
        <v>0</v>
      </c>
      <c r="AV162" s="284" t="n">
        <f aca="false">IFERROR($G162*$J162*S162, "")</f>
        <v>0</v>
      </c>
      <c r="AW162" s="284" t="n">
        <f aca="false">IFERROR($G162*$J162*T162, "")</f>
        <v>0</v>
      </c>
      <c r="AX162" s="284" t="n">
        <f aca="false">IFERROR($G162*$J162*U162, "")</f>
        <v>0</v>
      </c>
      <c r="AY162" s="284" t="n">
        <f aca="false">IFERROR($G162*$J162*V162, "")</f>
        <v>0</v>
      </c>
      <c r="AZ162" s="284" t="n">
        <f aca="false">IFERROR($G162*$J162*W162, "")</f>
        <v>0</v>
      </c>
      <c r="BA162" s="286" t="n">
        <f aca="false">IFERROR(SUMIF($AO$4:$AZ$4, "RDEC", AO162:AZ162), "")</f>
        <v>0</v>
      </c>
      <c r="BB162" s="286" t="n">
        <f aca="false">IFERROR(SUMIF($AO$4:$AZ$4, "SME", AO162:AZ162), "")</f>
        <v>0</v>
      </c>
      <c r="BC162" s="286" t="n">
        <f aca="false">IFERROR(SUMIF($Y$4:$AJ$4, "De Minimis", AO162:AZ162), "")</f>
        <v>0</v>
      </c>
      <c r="BD162" s="287"/>
      <c r="BE162" s="288" t="str">
        <f aca="false">IF((SUM(L162:W162)&gt;1),"ERROR","")</f>
        <v/>
      </c>
    </row>
    <row r="163" customFormat="false" ht="15" hidden="false" customHeight="true" outlineLevel="0" collapsed="false">
      <c r="B163" s="333"/>
      <c r="C163" s="334"/>
      <c r="D163" s="333" t="n">
        <f aca="false">D147</f>
        <v>45597</v>
      </c>
      <c r="E163" s="277" t="n">
        <v>0</v>
      </c>
      <c r="F163" s="277" t="n">
        <v>0</v>
      </c>
      <c r="G163" s="277" t="n">
        <f aca="false">SUM(E163:F163)</f>
        <v>0</v>
      </c>
      <c r="H163" s="204"/>
      <c r="I163" s="279" t="n">
        <v>1</v>
      </c>
      <c r="J163" s="280" t="n">
        <f aca="false">1-I163</f>
        <v>0</v>
      </c>
      <c r="K163" s="277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283"/>
      <c r="Y163" s="284" t="n">
        <f aca="false">IFERROR(L163*$G163*I$9, "")</f>
        <v>0</v>
      </c>
      <c r="Z163" s="284" t="n">
        <f aca="false">IFERROR(M163*$G163*$I163, "")</f>
        <v>0</v>
      </c>
      <c r="AA163" s="284" t="n">
        <f aca="false">IFERROR(N163*$G163*$I163, "")</f>
        <v>0</v>
      </c>
      <c r="AB163" s="284" t="n">
        <f aca="false">IFERROR(O163*$G163*$I163, "")</f>
        <v>0</v>
      </c>
      <c r="AC163" s="284" t="n">
        <f aca="false">IFERROR(P163*$G163*$I163, "")</f>
        <v>0</v>
      </c>
      <c r="AD163" s="284" t="n">
        <f aca="false">IFERROR(Q163*$G163*$I163, "")</f>
        <v>0</v>
      </c>
      <c r="AE163" s="284" t="n">
        <f aca="false">IFERROR(R163*$G163*$I163, "")</f>
        <v>0</v>
      </c>
      <c r="AF163" s="284" t="n">
        <f aca="false">IFERROR(S163*$G163*$I163, "")</f>
        <v>0</v>
      </c>
      <c r="AG163" s="284" t="n">
        <f aca="false">IFERROR(T163*$G163*$I163, "")</f>
        <v>0</v>
      </c>
      <c r="AH163" s="284" t="n">
        <f aca="false">IFERROR(U163*$G163*$I163, "")</f>
        <v>0</v>
      </c>
      <c r="AI163" s="284" t="n">
        <f aca="false">IFERROR(V163*$G163*$I163, "")</f>
        <v>0</v>
      </c>
      <c r="AJ163" s="284" t="n">
        <f aca="false">IFERROR(W163*$G163*$I163, "")</f>
        <v>0</v>
      </c>
      <c r="AK163" s="286" t="n">
        <f aca="false">IFERROR(SUMIF($Y$4:$AJ$4, "RDEC", Y163:AJ163), "")</f>
        <v>0</v>
      </c>
      <c r="AL163" s="286" t="n">
        <f aca="false">IFERROR(SUMIF($Y$4:$AJ$4, "SME", Y163:AJ163), "")</f>
        <v>0</v>
      </c>
      <c r="AM163" s="286" t="n">
        <f aca="false">IFERROR(SUMIF($Y$4:$AJ$4, "De Minimis", Y163:AJ163), "")</f>
        <v>0</v>
      </c>
      <c r="AN163" s="283"/>
      <c r="AO163" s="284" t="n">
        <f aca="false">IFERROR($G163*$J163*L163, "")</f>
        <v>0</v>
      </c>
      <c r="AP163" s="284" t="n">
        <f aca="false">IFERROR($G163*$J163*M163, "")</f>
        <v>0</v>
      </c>
      <c r="AQ163" s="284" t="n">
        <f aca="false">IFERROR($G163*$J163*N163, "")</f>
        <v>0</v>
      </c>
      <c r="AR163" s="284" t="n">
        <f aca="false">IFERROR($G163*$J163*O163, "")</f>
        <v>0</v>
      </c>
      <c r="AS163" s="284" t="n">
        <f aca="false">IFERROR($G163*$J163*P163, "")</f>
        <v>0</v>
      </c>
      <c r="AT163" s="284" t="n">
        <f aca="false">IFERROR($G163*$J163*Q163, "")</f>
        <v>0</v>
      </c>
      <c r="AU163" s="284" t="n">
        <f aca="false">IFERROR($G163*$J163*R163, "")</f>
        <v>0</v>
      </c>
      <c r="AV163" s="284" t="n">
        <f aca="false">IFERROR($G163*$J163*S163, "")</f>
        <v>0</v>
      </c>
      <c r="AW163" s="284" t="n">
        <f aca="false">IFERROR($G163*$J163*T163, "")</f>
        <v>0</v>
      </c>
      <c r="AX163" s="284" t="n">
        <f aca="false">IFERROR($G163*$J163*U163, "")</f>
        <v>0</v>
      </c>
      <c r="AY163" s="284" t="n">
        <f aca="false">IFERROR($G163*$J163*V163, "")</f>
        <v>0</v>
      </c>
      <c r="AZ163" s="284" t="n">
        <f aca="false">IFERROR($G163*$J163*W163, "")</f>
        <v>0</v>
      </c>
      <c r="BA163" s="286" t="n">
        <f aca="false">IFERROR(SUMIF($AO$4:$AZ$4, "RDEC", AO163:AZ163), "")</f>
        <v>0</v>
      </c>
      <c r="BB163" s="286" t="n">
        <f aca="false">IFERROR(SUMIF($AO$4:$AZ$4, "SME", AO163:AZ163), "")</f>
        <v>0</v>
      </c>
      <c r="BC163" s="286" t="n">
        <f aca="false">IFERROR(SUMIF($Y$4:$AJ$4, "De Minimis", AO163:AZ163), "")</f>
        <v>0</v>
      </c>
      <c r="BD163" s="287"/>
      <c r="BE163" s="288" t="str">
        <f aca="false">IF((SUM(L163:W163)&gt;1),"ERROR","")</f>
        <v/>
      </c>
    </row>
    <row r="164" customFormat="false" ht="15" hidden="false" customHeight="true" outlineLevel="0" collapsed="false">
      <c r="B164" s="333"/>
      <c r="C164" s="334"/>
      <c r="D164" s="333" t="n">
        <f aca="false">D148</f>
        <v>45627</v>
      </c>
      <c r="E164" s="277" t="n">
        <v>0</v>
      </c>
      <c r="F164" s="277" t="n">
        <v>0</v>
      </c>
      <c r="G164" s="277" t="n">
        <f aca="false">SUM(E164:F164)</f>
        <v>0</v>
      </c>
      <c r="H164" s="300"/>
      <c r="I164" s="289" t="n">
        <v>1</v>
      </c>
      <c r="J164" s="290" t="n">
        <f aca="false">1-I164</f>
        <v>0</v>
      </c>
      <c r="K164" s="300"/>
      <c r="L164" s="291"/>
      <c r="M164" s="291"/>
      <c r="N164" s="291"/>
      <c r="O164" s="291"/>
      <c r="P164" s="291"/>
      <c r="Q164" s="291"/>
      <c r="R164" s="291"/>
      <c r="S164" s="291"/>
      <c r="T164" s="291"/>
      <c r="U164" s="291"/>
      <c r="V164" s="291"/>
      <c r="W164" s="291"/>
      <c r="X164" s="283"/>
      <c r="Y164" s="284" t="n">
        <f aca="false">IFERROR(L164*$G164*I$9, "")</f>
        <v>0</v>
      </c>
      <c r="Z164" s="284" t="n">
        <f aca="false">IFERROR(M164*$G164*$I164, "")</f>
        <v>0</v>
      </c>
      <c r="AA164" s="284" t="n">
        <f aca="false">IFERROR(N164*$G164*$I164, "")</f>
        <v>0</v>
      </c>
      <c r="AB164" s="284" t="n">
        <f aca="false">IFERROR(O164*$G164*$I164, "")</f>
        <v>0</v>
      </c>
      <c r="AC164" s="284" t="n">
        <f aca="false">IFERROR(P164*$G164*$I164, "")</f>
        <v>0</v>
      </c>
      <c r="AD164" s="284" t="n">
        <f aca="false">IFERROR(Q164*$G164*$I164, "")</f>
        <v>0</v>
      </c>
      <c r="AE164" s="284" t="n">
        <f aca="false">IFERROR(R164*$G164*$I164, "")</f>
        <v>0</v>
      </c>
      <c r="AF164" s="284" t="n">
        <f aca="false">IFERROR(S164*$G164*$I164, "")</f>
        <v>0</v>
      </c>
      <c r="AG164" s="284" t="n">
        <f aca="false">IFERROR(T164*$G164*$I164, "")</f>
        <v>0</v>
      </c>
      <c r="AH164" s="284" t="n">
        <f aca="false">IFERROR(U164*$G164*$I164, "")</f>
        <v>0</v>
      </c>
      <c r="AI164" s="284" t="n">
        <f aca="false">IFERROR(V164*$G164*$I164, "")</f>
        <v>0</v>
      </c>
      <c r="AJ164" s="284" t="n">
        <f aca="false">IFERROR(W164*$G164*$I164, "")</f>
        <v>0</v>
      </c>
      <c r="AK164" s="294" t="n">
        <f aca="false">IFERROR(SUMIF($Y$4:$AJ$4, "RDEC", Y164:AJ164), "")</f>
        <v>0</v>
      </c>
      <c r="AL164" s="294" t="n">
        <f aca="false">IFERROR(SUMIF($Y$4:$AJ$4, "SME", Y164:AJ164), "")</f>
        <v>0</v>
      </c>
      <c r="AM164" s="294" t="n">
        <f aca="false">IFERROR(SUMIF($Y$4:$AJ$4, "De Minimis", Y164:AJ164), "")</f>
        <v>0</v>
      </c>
      <c r="AN164" s="283"/>
      <c r="AO164" s="284" t="n">
        <f aca="false">IFERROR($G164*$J164*L164, "")</f>
        <v>0</v>
      </c>
      <c r="AP164" s="284" t="n">
        <f aca="false">IFERROR($G164*$J164*M164, "")</f>
        <v>0</v>
      </c>
      <c r="AQ164" s="284" t="n">
        <f aca="false">IFERROR($G164*$J164*N164, "")</f>
        <v>0</v>
      </c>
      <c r="AR164" s="284" t="n">
        <f aca="false">IFERROR($G164*$J164*O164, "")</f>
        <v>0</v>
      </c>
      <c r="AS164" s="284" t="n">
        <f aca="false">IFERROR($G164*$J164*P164, "")</f>
        <v>0</v>
      </c>
      <c r="AT164" s="284" t="n">
        <f aca="false">IFERROR($G164*$J164*Q164, "")</f>
        <v>0</v>
      </c>
      <c r="AU164" s="284" t="n">
        <f aca="false">IFERROR($G164*$J164*R164, "")</f>
        <v>0</v>
      </c>
      <c r="AV164" s="284" t="n">
        <f aca="false">IFERROR($G164*$J164*S164, "")</f>
        <v>0</v>
      </c>
      <c r="AW164" s="284" t="n">
        <f aca="false">IFERROR($G164*$J164*T164, "")</f>
        <v>0</v>
      </c>
      <c r="AX164" s="284" t="n">
        <f aca="false">IFERROR($G164*$J164*U164, "")</f>
        <v>0</v>
      </c>
      <c r="AY164" s="284" t="n">
        <f aca="false">IFERROR($G164*$J164*V164, "")</f>
        <v>0</v>
      </c>
      <c r="AZ164" s="284" t="n">
        <f aca="false">IFERROR($G164*$J164*W164, "")</f>
        <v>0</v>
      </c>
      <c r="BA164" s="286" t="n">
        <f aca="false">IFERROR(SUMIF($AO$4:$AZ$4, "RDEC", AO164:AZ164), "")</f>
        <v>0</v>
      </c>
      <c r="BB164" s="286" t="n">
        <f aca="false">IFERROR(SUMIF($AO$4:$AZ$4, "SME", AO164:AZ164), "")</f>
        <v>0</v>
      </c>
      <c r="BC164" s="294" t="n">
        <f aca="false">IFERROR(SUMIF($Y$4:$AJ$4, "De Minimis", AO164:AZ164), "")</f>
        <v>0</v>
      </c>
      <c r="BD164" s="303"/>
      <c r="BE164" s="295" t="str">
        <f aca="false">IF((SUM(L164:W164)&gt;1),"ERROR","")</f>
        <v/>
      </c>
    </row>
    <row r="165" customFormat="false" ht="15" hidden="false" customHeight="true" outlineLevel="0" collapsed="false">
      <c r="B165" s="296"/>
      <c r="D165" s="297" t="s">
        <v>82</v>
      </c>
      <c r="E165" s="299" t="n">
        <f aca="false">SUM(E153:E164)</f>
        <v>0</v>
      </c>
      <c r="F165" s="299" t="n">
        <f aca="false">SUM(F153:F164)</f>
        <v>0</v>
      </c>
      <c r="G165" s="299" t="n">
        <f aca="false">SUM(G153:G164)</f>
        <v>0</v>
      </c>
      <c r="H165" s="300"/>
      <c r="I165" s="301" t="n">
        <f aca="false">AVERAGE(I153:I164)</f>
        <v>1</v>
      </c>
      <c r="J165" s="301" t="n">
        <f aca="false">AVERAGE(J153:J164)</f>
        <v>0</v>
      </c>
      <c r="K165" s="300"/>
      <c r="L165" s="290" t="n">
        <f aca="false">IF(SUM(L153:L164)&gt;0,(Y165/G165),0)</f>
        <v>0</v>
      </c>
      <c r="M165" s="301" t="n">
        <f aca="false">IF(SUM(M153:M164)&gt;0,(Z165/G165),0)</f>
        <v>0</v>
      </c>
      <c r="N165" s="301" t="n">
        <f aca="false">IF(SUM(N153:N164)&gt;0,(AA165/G165),0)</f>
        <v>0</v>
      </c>
      <c r="O165" s="301" t="n">
        <f aca="false">IF(SUM(O153:O164)&gt;0,(AB165/G165),0)</f>
        <v>0</v>
      </c>
      <c r="P165" s="301" t="n">
        <f aca="false">IF(SUM(P153:P164)&gt;0,(AC165/G165),0)</f>
        <v>0</v>
      </c>
      <c r="Q165" s="301" t="n">
        <f aca="false">IF(SUM(Q153:Q164)&gt;0,(AD165/G165),0)</f>
        <v>0</v>
      </c>
      <c r="R165" s="301" t="n">
        <f aca="false">IF(SUM(R153:R164)&gt;0,(AE165/G165),0)</f>
        <v>0</v>
      </c>
      <c r="S165" s="301" t="n">
        <f aca="false">IF(SUM(S153:S164)&gt;0,(AF165/G165),0)</f>
        <v>0</v>
      </c>
      <c r="T165" s="301" t="n">
        <f aca="false">IF(SUM(T153:T164)&gt;0,(AG165/G165),0)</f>
        <v>0</v>
      </c>
      <c r="U165" s="301" t="n">
        <f aca="false">IF(SUM(U153:U164)&gt;0,(AJ165/G165),0)</f>
        <v>0</v>
      </c>
      <c r="V165" s="301" t="n">
        <f aca="false">IF(SUM(V153:V164)&gt;0,(AI165/G165),0)</f>
        <v>0</v>
      </c>
      <c r="W165" s="301" t="n">
        <f aca="false">IF(SUM(W153:W164)&gt;0,(AJ165/G165),0)</f>
        <v>0</v>
      </c>
      <c r="X165" s="283"/>
      <c r="Y165" s="304" t="n">
        <f aca="false">SUM(Y153:Y164)</f>
        <v>0</v>
      </c>
      <c r="Z165" s="304" t="n">
        <f aca="false">SUM(Z153:Z164)</f>
        <v>0</v>
      </c>
      <c r="AA165" s="304" t="n">
        <f aca="false">SUM(AA153:AA164)</f>
        <v>0</v>
      </c>
      <c r="AB165" s="304" t="n">
        <f aca="false">SUM(AB153:AB164)</f>
        <v>0</v>
      </c>
      <c r="AC165" s="304" t="n">
        <f aca="false">SUM(AC153:AC164)</f>
        <v>0</v>
      </c>
      <c r="AD165" s="304" t="n">
        <f aca="false">SUM(AD153:AD164)</f>
        <v>0</v>
      </c>
      <c r="AE165" s="304" t="n">
        <f aca="false">SUM(AE153:AE164)</f>
        <v>0</v>
      </c>
      <c r="AF165" s="304" t="n">
        <f aca="false">SUM(AF153:AF164)</f>
        <v>0</v>
      </c>
      <c r="AG165" s="304" t="n">
        <f aca="false">SUM(AG153:AG164)</f>
        <v>0</v>
      </c>
      <c r="AH165" s="304" t="n">
        <f aca="false">SUM(AH153:AH164)</f>
        <v>0</v>
      </c>
      <c r="AI165" s="304" t="n">
        <f aca="false">SUM(AI153:AI164)</f>
        <v>0</v>
      </c>
      <c r="AJ165" s="304" t="n">
        <f aca="false">SUM(AJ153:AJ164)</f>
        <v>0</v>
      </c>
      <c r="AK165" s="335" t="n">
        <f aca="false">SUM(AK153:AK164)</f>
        <v>0</v>
      </c>
      <c r="AL165" s="336" t="n">
        <f aca="false">SUM(AL153:AL164)</f>
        <v>0</v>
      </c>
      <c r="AM165" s="305" t="n">
        <f aca="false">SUM(AM153:AM164)</f>
        <v>0</v>
      </c>
      <c r="AN165" s="283"/>
      <c r="AO165" s="304" t="n">
        <f aca="false">SUM(AO153:AO164)</f>
        <v>0</v>
      </c>
      <c r="AP165" s="304" t="n">
        <f aca="false">SUM(AP153:AP164)</f>
        <v>0</v>
      </c>
      <c r="AQ165" s="304" t="n">
        <f aca="false">SUM(AQ153:AQ164)</f>
        <v>0</v>
      </c>
      <c r="AR165" s="304" t="n">
        <f aca="false">SUM(AR153:AR164)</f>
        <v>0</v>
      </c>
      <c r="AS165" s="304" t="n">
        <f aca="false">SUM(AS153:AS164)</f>
        <v>0</v>
      </c>
      <c r="AT165" s="304" t="n">
        <f aca="false">SUM(AT153:AT164)</f>
        <v>0</v>
      </c>
      <c r="AU165" s="304" t="n">
        <f aca="false">SUM(AU153:AU164)</f>
        <v>0</v>
      </c>
      <c r="AV165" s="304" t="n">
        <f aca="false">SUM(AV153:AV164)</f>
        <v>0</v>
      </c>
      <c r="AW165" s="304" t="n">
        <f aca="false">SUM(AW153:AW164)</f>
        <v>0</v>
      </c>
      <c r="AX165" s="304" t="n">
        <f aca="false">SUM(AX153:AX164)</f>
        <v>0</v>
      </c>
      <c r="AY165" s="304" t="n">
        <f aca="false">SUM(AY153:AY164)</f>
        <v>0</v>
      </c>
      <c r="AZ165" s="304" t="n">
        <f aca="false">SUM(AZ153:AZ164)</f>
        <v>0</v>
      </c>
      <c r="BA165" s="336" t="n">
        <f aca="false">SUM(BA153:BA164)</f>
        <v>0</v>
      </c>
      <c r="BB165" s="336" t="n">
        <f aca="false">SUM(BB153:BB164)</f>
        <v>0</v>
      </c>
      <c r="BC165" s="305" t="n">
        <f aca="false">SUM(BC153:BC164)</f>
        <v>0</v>
      </c>
      <c r="BD165" s="303"/>
      <c r="BE165" s="337"/>
    </row>
    <row r="166" customFormat="false" ht="15" hidden="false" customHeight="true" outlineLevel="0" collapsed="false">
      <c r="B166" s="296"/>
      <c r="D166" s="297"/>
      <c r="E166" s="300"/>
      <c r="F166" s="300"/>
      <c r="G166" s="300"/>
      <c r="H166" s="241"/>
      <c r="I166" s="302"/>
      <c r="J166" s="302"/>
      <c r="K166" s="241"/>
      <c r="L166" s="259"/>
      <c r="M166" s="259"/>
      <c r="N166" s="259"/>
      <c r="O166" s="259"/>
      <c r="P166" s="259"/>
      <c r="Q166" s="259"/>
      <c r="R166" s="259"/>
      <c r="S166" s="259"/>
      <c r="T166" s="259"/>
      <c r="U166" s="259"/>
      <c r="V166" s="259"/>
      <c r="W166" s="259"/>
      <c r="X166" s="303"/>
      <c r="Y166" s="259"/>
      <c r="Z166" s="303"/>
      <c r="AA166" s="303"/>
      <c r="AB166" s="303"/>
      <c r="AC166" s="303"/>
      <c r="AD166" s="303"/>
      <c r="AE166" s="303"/>
      <c r="AF166" s="303"/>
      <c r="AG166" s="303"/>
      <c r="AH166" s="303"/>
      <c r="AI166" s="303"/>
      <c r="AJ166" s="303"/>
      <c r="AK166" s="303"/>
      <c r="AL166" s="303"/>
      <c r="AM166" s="303"/>
      <c r="AN166" s="303"/>
      <c r="AO166" s="259"/>
      <c r="AP166" s="303"/>
      <c r="AQ166" s="303"/>
      <c r="AR166" s="303"/>
      <c r="AS166" s="303"/>
      <c r="AT166" s="303"/>
      <c r="AU166" s="303"/>
      <c r="AV166" s="303"/>
      <c r="AW166" s="303"/>
      <c r="AX166" s="303"/>
      <c r="AY166" s="303"/>
      <c r="AZ166" s="303"/>
      <c r="BA166" s="303"/>
      <c r="BB166" s="303"/>
      <c r="BC166" s="303"/>
      <c r="BD166" s="268"/>
      <c r="BE166" s="303"/>
    </row>
    <row r="167" customFormat="false" ht="15" hidden="false" customHeight="true" outlineLevel="0" collapsed="false">
      <c r="A167" s="198" t="n">
        <f aca="false">A151+1</f>
        <v>11</v>
      </c>
      <c r="B167" s="266" t="s">
        <v>253</v>
      </c>
      <c r="C167" s="266" t="s">
        <v>253</v>
      </c>
      <c r="D167" s="266"/>
      <c r="E167" s="241"/>
      <c r="F167" s="241"/>
      <c r="G167" s="241"/>
      <c r="H167" s="241"/>
      <c r="I167" s="241"/>
      <c r="J167" s="241"/>
      <c r="K167" s="277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59"/>
      <c r="Y167" s="268"/>
      <c r="Z167" s="268"/>
      <c r="AA167" s="268"/>
      <c r="AB167" s="268"/>
      <c r="AC167" s="268"/>
      <c r="AD167" s="268"/>
      <c r="AE167" s="268"/>
      <c r="AF167" s="268"/>
      <c r="AG167" s="268"/>
      <c r="AH167" s="268"/>
      <c r="AI167" s="268"/>
      <c r="AJ167" s="268"/>
      <c r="AK167" s="268"/>
      <c r="AL167" s="268"/>
      <c r="AM167" s="268"/>
      <c r="AN167" s="259"/>
      <c r="AO167" s="268"/>
      <c r="AP167" s="268"/>
      <c r="AQ167" s="268"/>
      <c r="AR167" s="268"/>
      <c r="AS167" s="268"/>
      <c r="AT167" s="268"/>
      <c r="AU167" s="268"/>
      <c r="AV167" s="268"/>
      <c r="AW167" s="268"/>
      <c r="AX167" s="268"/>
      <c r="AY167" s="268"/>
      <c r="AZ167" s="268"/>
      <c r="BA167" s="268"/>
      <c r="BB167" s="268"/>
      <c r="BC167" s="268"/>
      <c r="BD167" s="287"/>
      <c r="BE167" s="268"/>
    </row>
    <row r="168" customFormat="false" ht="7.5" hidden="false" customHeight="true" outlineLevel="0" collapsed="false">
      <c r="A168" s="198"/>
      <c r="B168" s="266"/>
      <c r="C168" s="266"/>
      <c r="D168" s="266"/>
      <c r="E168" s="241"/>
      <c r="F168" s="241"/>
      <c r="G168" s="241"/>
      <c r="H168" s="204"/>
      <c r="I168" s="269"/>
      <c r="J168" s="269"/>
      <c r="K168" s="277"/>
      <c r="L168" s="269"/>
      <c r="M168" s="269"/>
      <c r="N168" s="269"/>
      <c r="O168" s="269"/>
      <c r="P168" s="269"/>
      <c r="Q168" s="269"/>
      <c r="R168" s="269"/>
      <c r="S168" s="269"/>
      <c r="T168" s="269"/>
      <c r="U168" s="269"/>
      <c r="V168" s="269"/>
      <c r="W168" s="269"/>
      <c r="X168" s="259"/>
      <c r="Y168" s="271"/>
      <c r="Z168" s="271"/>
      <c r="AA168" s="271"/>
      <c r="AB168" s="271"/>
      <c r="AC168" s="271"/>
      <c r="AD168" s="271"/>
      <c r="AE168" s="271"/>
      <c r="AF168" s="271"/>
      <c r="AG168" s="271"/>
      <c r="AH168" s="271"/>
      <c r="AI168" s="271"/>
      <c r="AJ168" s="272"/>
      <c r="AK168" s="273"/>
      <c r="AL168" s="273"/>
      <c r="AM168" s="273"/>
      <c r="AN168" s="259"/>
      <c r="AO168" s="271"/>
      <c r="AP168" s="271"/>
      <c r="AQ168" s="271"/>
      <c r="AR168" s="271"/>
      <c r="AS168" s="271"/>
      <c r="AT168" s="271"/>
      <c r="AU168" s="271"/>
      <c r="AV168" s="271"/>
      <c r="AW168" s="271"/>
      <c r="AX168" s="271"/>
      <c r="AY168" s="271"/>
      <c r="AZ168" s="272"/>
      <c r="BA168" s="273"/>
      <c r="BB168" s="273"/>
      <c r="BC168" s="273"/>
      <c r="BD168" s="287"/>
      <c r="BE168" s="274"/>
    </row>
    <row r="169" customFormat="false" ht="15" hidden="false" customHeight="true" outlineLevel="0" collapsed="false">
      <c r="B169" s="333"/>
      <c r="C169" s="334"/>
      <c r="D169" s="333" t="n">
        <f aca="false">D153</f>
        <v>45292</v>
      </c>
      <c r="E169" s="277" t="n">
        <v>0</v>
      </c>
      <c r="F169" s="277" t="n">
        <v>0</v>
      </c>
      <c r="G169" s="277" t="n">
        <f aca="false">SUM(E169:F169)</f>
        <v>0</v>
      </c>
      <c r="H169" s="204"/>
      <c r="I169" s="279" t="n">
        <v>1</v>
      </c>
      <c r="J169" s="280" t="n">
        <f aca="false">1-I169</f>
        <v>0</v>
      </c>
      <c r="K169" s="277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68"/>
      <c r="Y169" s="284" t="n">
        <f aca="false">IFERROR(L169*$G169*I$9, "")</f>
        <v>0</v>
      </c>
      <c r="Z169" s="284" t="n">
        <f aca="false">IFERROR(M169*$G169*$I169, "")</f>
        <v>0</v>
      </c>
      <c r="AA169" s="284" t="n">
        <f aca="false">IFERROR(N169*$G169*$I169, "")</f>
        <v>0</v>
      </c>
      <c r="AB169" s="284" t="n">
        <f aca="false">IFERROR(O169*$G169*$I169, "")</f>
        <v>0</v>
      </c>
      <c r="AC169" s="284" t="n">
        <f aca="false">IFERROR(P169*$G169*$I169, "")</f>
        <v>0</v>
      </c>
      <c r="AD169" s="284" t="n">
        <f aca="false">IFERROR(Q169*$G169*$I169, "")</f>
        <v>0</v>
      </c>
      <c r="AE169" s="284" t="n">
        <f aca="false">IFERROR(R169*$G169*$I169, "")</f>
        <v>0</v>
      </c>
      <c r="AF169" s="284" t="n">
        <f aca="false">IFERROR(S169*$G169*$I169, "")</f>
        <v>0</v>
      </c>
      <c r="AG169" s="284" t="n">
        <f aca="false">IFERROR(T169*$G169*$I169, "")</f>
        <v>0</v>
      </c>
      <c r="AH169" s="284" t="n">
        <f aca="false">IFERROR(U169*$G169*$I169, "")</f>
        <v>0</v>
      </c>
      <c r="AI169" s="284" t="n">
        <f aca="false">IFERROR(V169*$G169*$I169, "")</f>
        <v>0</v>
      </c>
      <c r="AJ169" s="284" t="n">
        <f aca="false">IFERROR(W169*$G169*$I169, "")</f>
        <v>0</v>
      </c>
      <c r="AK169" s="286" t="n">
        <f aca="false">IFERROR(SUMIF($Y$4:$AJ$4, "RDEC", Y169:AJ169), "")</f>
        <v>0</v>
      </c>
      <c r="AL169" s="286" t="n">
        <f aca="false">IFERROR(SUMIF($Y$4:$AJ$4, "SME", Y169:AJ169), "")</f>
        <v>0</v>
      </c>
      <c r="AM169" s="286" t="n">
        <f aca="false">IFERROR(SUMIF($Y$4:$AJ$4, "De Minimis", Y169:AJ169), "")</f>
        <v>0</v>
      </c>
      <c r="AN169" s="268"/>
      <c r="AO169" s="284" t="n">
        <f aca="false">IFERROR($G169*$J169*L169, "")</f>
        <v>0</v>
      </c>
      <c r="AP169" s="284" t="n">
        <f aca="false">IFERROR($G169*$J169*M169, "")</f>
        <v>0</v>
      </c>
      <c r="AQ169" s="284" t="n">
        <f aca="false">IFERROR($G169*$J169*N169, "")</f>
        <v>0</v>
      </c>
      <c r="AR169" s="284" t="n">
        <f aca="false">IFERROR($G169*$J169*O169, "")</f>
        <v>0</v>
      </c>
      <c r="AS169" s="284" t="n">
        <f aca="false">IFERROR($G169*$J169*P169, "")</f>
        <v>0</v>
      </c>
      <c r="AT169" s="284" t="n">
        <f aca="false">IFERROR($G169*$J169*Q169, "")</f>
        <v>0</v>
      </c>
      <c r="AU169" s="284" t="n">
        <f aca="false">IFERROR($G169*$J169*R169, "")</f>
        <v>0</v>
      </c>
      <c r="AV169" s="284" t="n">
        <f aca="false">IFERROR($G169*$J169*S169, "")</f>
        <v>0</v>
      </c>
      <c r="AW169" s="284" t="n">
        <f aca="false">IFERROR($G169*$J169*T169, "")</f>
        <v>0</v>
      </c>
      <c r="AX169" s="284" t="n">
        <f aca="false">IFERROR($G169*$J169*U169, "")</f>
        <v>0</v>
      </c>
      <c r="AY169" s="284" t="n">
        <f aca="false">IFERROR($G169*$J169*V169, "")</f>
        <v>0</v>
      </c>
      <c r="AZ169" s="284" t="n">
        <f aca="false">IFERROR($G169*$J169*W169, "")</f>
        <v>0</v>
      </c>
      <c r="BA169" s="286" t="n">
        <f aca="false">IFERROR(SUMIF($AO$4:$AZ$4, "RDEC", AO169:AZ169), "")</f>
        <v>0</v>
      </c>
      <c r="BB169" s="286" t="n">
        <f aca="false">IFERROR(SUMIF($AO$4:$AZ$4, "SME", AO169:AZ169), "")</f>
        <v>0</v>
      </c>
      <c r="BC169" s="286" t="n">
        <f aca="false">IFERROR(SUMIF($AO$4:$AZ$4, "De Minimis", AO169:AZ169), "")</f>
        <v>0</v>
      </c>
      <c r="BD169" s="287"/>
      <c r="BE169" s="288" t="str">
        <f aca="false">IF((SUM(L169:W169)&gt;1),"ERROR","")</f>
        <v/>
      </c>
    </row>
    <row r="170" customFormat="false" ht="15" hidden="false" customHeight="true" outlineLevel="0" collapsed="false">
      <c r="B170" s="333"/>
      <c r="C170" s="334"/>
      <c r="D170" s="333" t="n">
        <f aca="false">D154</f>
        <v>45323</v>
      </c>
      <c r="E170" s="277" t="n">
        <v>0</v>
      </c>
      <c r="F170" s="277" t="n">
        <v>0</v>
      </c>
      <c r="G170" s="277" t="n">
        <f aca="false">SUM(E170:F170)</f>
        <v>0</v>
      </c>
      <c r="H170" s="204"/>
      <c r="I170" s="279" t="n">
        <v>1</v>
      </c>
      <c r="J170" s="280" t="n">
        <f aca="false">1-I170</f>
        <v>0</v>
      </c>
      <c r="K170" s="277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3"/>
      <c r="Y170" s="284" t="n">
        <f aca="false">IFERROR(L170*$G170*I$9, "")</f>
        <v>0</v>
      </c>
      <c r="Z170" s="284" t="n">
        <f aca="false">IFERROR(M170*$G170*$I170, "")</f>
        <v>0</v>
      </c>
      <c r="AA170" s="284" t="n">
        <f aca="false">IFERROR(N170*$G170*$I170, "")</f>
        <v>0</v>
      </c>
      <c r="AB170" s="284" t="n">
        <f aca="false">IFERROR(O170*$G170*$I170, "")</f>
        <v>0</v>
      </c>
      <c r="AC170" s="284" t="n">
        <f aca="false">IFERROR(P170*$G170*$I170, "")</f>
        <v>0</v>
      </c>
      <c r="AD170" s="284" t="n">
        <f aca="false">IFERROR(Q170*$G170*$I170, "")</f>
        <v>0</v>
      </c>
      <c r="AE170" s="284" t="n">
        <f aca="false">IFERROR(R170*$G170*$I170, "")</f>
        <v>0</v>
      </c>
      <c r="AF170" s="284" t="n">
        <f aca="false">IFERROR(S170*$G170*$I170, "")</f>
        <v>0</v>
      </c>
      <c r="AG170" s="284" t="n">
        <f aca="false">IFERROR(T170*$G170*$I170, "")</f>
        <v>0</v>
      </c>
      <c r="AH170" s="284" t="n">
        <f aca="false">IFERROR(U170*$G170*$I170, "")</f>
        <v>0</v>
      </c>
      <c r="AI170" s="284" t="n">
        <f aca="false">IFERROR(V170*$G170*$I170, "")</f>
        <v>0</v>
      </c>
      <c r="AJ170" s="284" t="n">
        <f aca="false">IFERROR(W170*$G170*$I170, "")</f>
        <v>0</v>
      </c>
      <c r="AK170" s="286" t="n">
        <f aca="false">IFERROR(SUMIF($Y$4:$AJ$4, "RDEC", Y170:AJ170), "")</f>
        <v>0</v>
      </c>
      <c r="AL170" s="286" t="n">
        <f aca="false">IFERROR(SUMIF($Y$4:$AJ$4, "SME", Y170:AJ170), "")</f>
        <v>0</v>
      </c>
      <c r="AM170" s="286" t="n">
        <f aca="false">IFERROR(SUMIF($Y$4:$AJ$4, "De Minimis", Y170:AJ170), "")</f>
        <v>0</v>
      </c>
      <c r="AN170" s="283"/>
      <c r="AO170" s="284" t="n">
        <f aca="false">IFERROR($G170*$J170*L170, "")</f>
        <v>0</v>
      </c>
      <c r="AP170" s="284" t="n">
        <f aca="false">IFERROR($G170*$J170*M170, "")</f>
        <v>0</v>
      </c>
      <c r="AQ170" s="284" t="n">
        <f aca="false">IFERROR($G170*$J170*N170, "")</f>
        <v>0</v>
      </c>
      <c r="AR170" s="284" t="n">
        <f aca="false">IFERROR($G170*$J170*O170, "")</f>
        <v>0</v>
      </c>
      <c r="AS170" s="284" t="n">
        <f aca="false">IFERROR($G170*$J170*P170, "")</f>
        <v>0</v>
      </c>
      <c r="AT170" s="284" t="n">
        <f aca="false">IFERROR($G170*$J170*Q170, "")</f>
        <v>0</v>
      </c>
      <c r="AU170" s="284" t="n">
        <f aca="false">IFERROR($G170*$J170*R170, "")</f>
        <v>0</v>
      </c>
      <c r="AV170" s="284" t="n">
        <f aca="false">IFERROR($G170*$J170*S170, "")</f>
        <v>0</v>
      </c>
      <c r="AW170" s="284" t="n">
        <f aca="false">IFERROR($G170*$J170*T170, "")</f>
        <v>0</v>
      </c>
      <c r="AX170" s="284" t="n">
        <f aca="false">IFERROR($G170*$J170*U170, "")</f>
        <v>0</v>
      </c>
      <c r="AY170" s="284" t="n">
        <f aca="false">IFERROR($G170*$J170*V170, "")</f>
        <v>0</v>
      </c>
      <c r="AZ170" s="284" t="n">
        <f aca="false">IFERROR($G170*$J170*W170, "")</f>
        <v>0</v>
      </c>
      <c r="BA170" s="286" t="n">
        <f aca="false">IFERROR(SUMIF($AO$4:$AZ$4, "RDEC", AO170:AZ170), "")</f>
        <v>0</v>
      </c>
      <c r="BB170" s="286" t="n">
        <f aca="false">IFERROR(SUMIF($AO$4:$AZ$4, "SME", AO170:AZ170), "")</f>
        <v>0</v>
      </c>
      <c r="BC170" s="286" t="n">
        <f aca="false">IFERROR(SUMIF($Y$4:$AJ$4, "De Minimis", AO170:AZ170), "")</f>
        <v>0</v>
      </c>
      <c r="BD170" s="287"/>
      <c r="BE170" s="288" t="str">
        <f aca="false">IF((SUM(L170:W170)&gt;1),"ERROR","")</f>
        <v/>
      </c>
    </row>
    <row r="171" customFormat="false" ht="15" hidden="false" customHeight="true" outlineLevel="0" collapsed="false">
      <c r="B171" s="333"/>
      <c r="C171" s="334"/>
      <c r="D171" s="333" t="n">
        <f aca="false">D155</f>
        <v>45352</v>
      </c>
      <c r="E171" s="277" t="n">
        <v>0</v>
      </c>
      <c r="F171" s="277" t="n">
        <v>0</v>
      </c>
      <c r="G171" s="277" t="n">
        <f aca="false">SUM(E171:F171)</f>
        <v>0</v>
      </c>
      <c r="H171" s="204"/>
      <c r="I171" s="279" t="n">
        <v>1</v>
      </c>
      <c r="J171" s="280" t="n">
        <f aca="false">1-I171</f>
        <v>0</v>
      </c>
      <c r="K171" s="277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3"/>
      <c r="Y171" s="284" t="n">
        <f aca="false">IFERROR(L171*$G171*I$9, "")</f>
        <v>0</v>
      </c>
      <c r="Z171" s="284" t="n">
        <f aca="false">IFERROR(M171*$G171*$I171, "")</f>
        <v>0</v>
      </c>
      <c r="AA171" s="284" t="n">
        <f aca="false">IFERROR(N171*$G171*$I171, "")</f>
        <v>0</v>
      </c>
      <c r="AB171" s="284" t="n">
        <f aca="false">IFERROR(O171*$G171*$I171, "")</f>
        <v>0</v>
      </c>
      <c r="AC171" s="284" t="n">
        <f aca="false">IFERROR(P171*$G171*$I171, "")</f>
        <v>0</v>
      </c>
      <c r="AD171" s="284" t="n">
        <f aca="false">IFERROR(Q171*$G171*$I171, "")</f>
        <v>0</v>
      </c>
      <c r="AE171" s="284" t="n">
        <f aca="false">IFERROR(R171*$G171*$I171, "")</f>
        <v>0</v>
      </c>
      <c r="AF171" s="284" t="n">
        <f aca="false">IFERROR(S171*$G171*$I171, "")</f>
        <v>0</v>
      </c>
      <c r="AG171" s="284" t="n">
        <f aca="false">IFERROR(T171*$G171*$I171, "")</f>
        <v>0</v>
      </c>
      <c r="AH171" s="284" t="n">
        <f aca="false">IFERROR(U171*$G171*$I171, "")</f>
        <v>0</v>
      </c>
      <c r="AI171" s="284" t="n">
        <f aca="false">IFERROR(V171*$G171*$I171, "")</f>
        <v>0</v>
      </c>
      <c r="AJ171" s="284" t="n">
        <f aca="false">IFERROR(W171*$G171*$I171, "")</f>
        <v>0</v>
      </c>
      <c r="AK171" s="286" t="n">
        <f aca="false">IFERROR(SUMIF($Y$4:$AJ$4, "RDEC", Y171:AJ171), "")</f>
        <v>0</v>
      </c>
      <c r="AL171" s="286" t="n">
        <f aca="false">IFERROR(SUMIF($Y$4:$AJ$4, "SME", Y171:AJ171), "")</f>
        <v>0</v>
      </c>
      <c r="AM171" s="286" t="n">
        <f aca="false">IFERROR(SUMIF($Y$4:$AJ$4, "De Minimis", Y171:AJ171), "")</f>
        <v>0</v>
      </c>
      <c r="AN171" s="283"/>
      <c r="AO171" s="284" t="n">
        <f aca="false">IFERROR($G171*$J171*L171, "")</f>
        <v>0</v>
      </c>
      <c r="AP171" s="284" t="n">
        <f aca="false">IFERROR($G171*$J171*M171, "")</f>
        <v>0</v>
      </c>
      <c r="AQ171" s="284" t="n">
        <f aca="false">IFERROR($G171*$J171*N171, "")</f>
        <v>0</v>
      </c>
      <c r="AR171" s="284" t="n">
        <f aca="false">IFERROR($G171*$J171*O171, "")</f>
        <v>0</v>
      </c>
      <c r="AS171" s="284" t="n">
        <f aca="false">IFERROR($G171*$J171*P171, "")</f>
        <v>0</v>
      </c>
      <c r="AT171" s="284" t="n">
        <f aca="false">IFERROR($G171*$J171*Q171, "")</f>
        <v>0</v>
      </c>
      <c r="AU171" s="284" t="n">
        <f aca="false">IFERROR($G171*$J171*R171, "")</f>
        <v>0</v>
      </c>
      <c r="AV171" s="284" t="n">
        <f aca="false">IFERROR($G171*$J171*S171, "")</f>
        <v>0</v>
      </c>
      <c r="AW171" s="284" t="n">
        <f aca="false">IFERROR($G171*$J171*T171, "")</f>
        <v>0</v>
      </c>
      <c r="AX171" s="284" t="n">
        <f aca="false">IFERROR($G171*$J171*U171, "")</f>
        <v>0</v>
      </c>
      <c r="AY171" s="284" t="n">
        <f aca="false">IFERROR($G171*$J171*V171, "")</f>
        <v>0</v>
      </c>
      <c r="AZ171" s="284" t="n">
        <f aca="false">IFERROR($G171*$J171*W171, "")</f>
        <v>0</v>
      </c>
      <c r="BA171" s="286" t="n">
        <f aca="false">IFERROR(SUMIF($AO$4:$AZ$4, "RDEC", AO171:AZ171), "")</f>
        <v>0</v>
      </c>
      <c r="BB171" s="286" t="n">
        <f aca="false">IFERROR(SUMIF($AO$4:$AZ$4, "SME", AO171:AZ171), "")</f>
        <v>0</v>
      </c>
      <c r="BC171" s="286" t="n">
        <f aca="false">IFERROR(SUMIF($Y$4:$AJ$4, "De Minimis", AO171:AZ171), "")</f>
        <v>0</v>
      </c>
      <c r="BD171" s="287"/>
      <c r="BE171" s="288" t="str">
        <f aca="false">IF((SUM(L171:W171)&gt;1),"ERROR","")</f>
        <v/>
      </c>
    </row>
    <row r="172" customFormat="false" ht="15" hidden="false" customHeight="true" outlineLevel="0" collapsed="false">
      <c r="B172" s="333"/>
      <c r="C172" s="334"/>
      <c r="D172" s="333" t="n">
        <f aca="false">D156</f>
        <v>45383</v>
      </c>
      <c r="E172" s="277" t="n">
        <v>0</v>
      </c>
      <c r="F172" s="277" t="n">
        <v>0</v>
      </c>
      <c r="G172" s="277" t="n">
        <f aca="false">SUM(E172:F172)</f>
        <v>0</v>
      </c>
      <c r="H172" s="204"/>
      <c r="I172" s="279" t="n">
        <v>1</v>
      </c>
      <c r="J172" s="280" t="n">
        <f aca="false">1-I172</f>
        <v>0</v>
      </c>
      <c r="K172" s="277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283"/>
      <c r="Y172" s="284" t="n">
        <f aca="false">IFERROR(L172*$G172*I$9, "")</f>
        <v>0</v>
      </c>
      <c r="Z172" s="284" t="n">
        <f aca="false">IFERROR(M172*$G172*$I172, "")</f>
        <v>0</v>
      </c>
      <c r="AA172" s="284" t="n">
        <f aca="false">IFERROR(N172*$G172*$I172, "")</f>
        <v>0</v>
      </c>
      <c r="AB172" s="284" t="n">
        <f aca="false">IFERROR(O172*$G172*$I172, "")</f>
        <v>0</v>
      </c>
      <c r="AC172" s="284" t="n">
        <f aca="false">IFERROR(P172*$G172*$I172, "")</f>
        <v>0</v>
      </c>
      <c r="AD172" s="284" t="n">
        <f aca="false">IFERROR(Q172*$G172*$I172, "")</f>
        <v>0</v>
      </c>
      <c r="AE172" s="284" t="n">
        <f aca="false">IFERROR(R172*$G172*$I172, "")</f>
        <v>0</v>
      </c>
      <c r="AF172" s="284" t="n">
        <f aca="false">IFERROR(S172*$G172*$I172, "")</f>
        <v>0</v>
      </c>
      <c r="AG172" s="284" t="n">
        <f aca="false">IFERROR(T172*$G172*$I172, "")</f>
        <v>0</v>
      </c>
      <c r="AH172" s="284" t="n">
        <f aca="false">IFERROR(U172*$G172*$I172, "")</f>
        <v>0</v>
      </c>
      <c r="AI172" s="284" t="n">
        <f aca="false">IFERROR(V172*$G172*$I172, "")</f>
        <v>0</v>
      </c>
      <c r="AJ172" s="284" t="n">
        <f aca="false">IFERROR(W172*$G172*$I172, "")</f>
        <v>0</v>
      </c>
      <c r="AK172" s="286" t="n">
        <f aca="false">IFERROR(SUMIF($Y$4:$AJ$4, "RDEC", Y172:AJ172), "")</f>
        <v>0</v>
      </c>
      <c r="AL172" s="286" t="n">
        <f aca="false">IFERROR(SUMIF($Y$4:$AJ$4, "SME", Y172:AJ172), "")</f>
        <v>0</v>
      </c>
      <c r="AM172" s="286" t="n">
        <f aca="false">IFERROR(SUMIF($Y$4:$AJ$4, "De Minimis", Y172:AJ172), "")</f>
        <v>0</v>
      </c>
      <c r="AN172" s="283"/>
      <c r="AO172" s="284" t="n">
        <f aca="false">IFERROR($G172*$J172*L172, "")</f>
        <v>0</v>
      </c>
      <c r="AP172" s="284" t="n">
        <f aca="false">IFERROR($G172*$J172*M172, "")</f>
        <v>0</v>
      </c>
      <c r="AQ172" s="284" t="n">
        <f aca="false">IFERROR($G172*$J172*N172, "")</f>
        <v>0</v>
      </c>
      <c r="AR172" s="284" t="n">
        <f aca="false">IFERROR($G172*$J172*O172, "")</f>
        <v>0</v>
      </c>
      <c r="AS172" s="284" t="n">
        <f aca="false">IFERROR($G172*$J172*P172, "")</f>
        <v>0</v>
      </c>
      <c r="AT172" s="284" t="n">
        <f aca="false">IFERROR($G172*$J172*Q172, "")</f>
        <v>0</v>
      </c>
      <c r="AU172" s="284" t="n">
        <f aca="false">IFERROR($G172*$J172*R172, "")</f>
        <v>0</v>
      </c>
      <c r="AV172" s="284" t="n">
        <f aca="false">IFERROR($G172*$J172*S172, "")</f>
        <v>0</v>
      </c>
      <c r="AW172" s="284" t="n">
        <f aca="false">IFERROR($G172*$J172*T172, "")</f>
        <v>0</v>
      </c>
      <c r="AX172" s="284" t="n">
        <f aca="false">IFERROR($G172*$J172*U172, "")</f>
        <v>0</v>
      </c>
      <c r="AY172" s="284" t="n">
        <f aca="false">IFERROR($G172*$J172*V172, "")</f>
        <v>0</v>
      </c>
      <c r="AZ172" s="284" t="n">
        <f aca="false">IFERROR($G172*$J172*W172, "")</f>
        <v>0</v>
      </c>
      <c r="BA172" s="286" t="n">
        <f aca="false">IFERROR(SUMIF($AO$4:$AZ$4, "RDEC", AO172:AZ172), "")</f>
        <v>0</v>
      </c>
      <c r="BB172" s="286" t="n">
        <f aca="false">IFERROR(SUMIF($AO$4:$AZ$4, "SME", AO172:AZ172), "")</f>
        <v>0</v>
      </c>
      <c r="BC172" s="286" t="n">
        <f aca="false">IFERROR(SUMIF($Y$4:$AJ$4, "De Minimis", AO172:AZ172), "")</f>
        <v>0</v>
      </c>
      <c r="BD172" s="287"/>
      <c r="BE172" s="288" t="str">
        <f aca="false">IF((SUM(L172:W172)&gt;1),"ERROR","")</f>
        <v/>
      </c>
    </row>
    <row r="173" customFormat="false" ht="15" hidden="false" customHeight="true" outlineLevel="0" collapsed="false">
      <c r="B173" s="333"/>
      <c r="C173" s="334"/>
      <c r="D173" s="333" t="n">
        <f aca="false">D157</f>
        <v>45413</v>
      </c>
      <c r="E173" s="277" t="n">
        <v>0</v>
      </c>
      <c r="F173" s="277" t="n">
        <v>0</v>
      </c>
      <c r="G173" s="277" t="n">
        <f aca="false">SUM(E173:F173)</f>
        <v>0</v>
      </c>
      <c r="H173" s="204"/>
      <c r="I173" s="279" t="n">
        <v>1</v>
      </c>
      <c r="J173" s="280" t="n">
        <f aca="false">1-I173</f>
        <v>0</v>
      </c>
      <c r="K173" s="277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3"/>
      <c r="Y173" s="284" t="n">
        <f aca="false">IFERROR(L173*$G173*I$9, "")</f>
        <v>0</v>
      </c>
      <c r="Z173" s="284" t="n">
        <f aca="false">IFERROR(M173*$G173*$I173, "")</f>
        <v>0</v>
      </c>
      <c r="AA173" s="284" t="n">
        <f aca="false">IFERROR(N173*$G173*$I173, "")</f>
        <v>0</v>
      </c>
      <c r="AB173" s="284" t="n">
        <f aca="false">IFERROR(O173*$G173*$I173, "")</f>
        <v>0</v>
      </c>
      <c r="AC173" s="284" t="n">
        <f aca="false">IFERROR(P173*$G173*$I173, "")</f>
        <v>0</v>
      </c>
      <c r="AD173" s="284" t="n">
        <f aca="false">IFERROR(Q173*$G173*$I173, "")</f>
        <v>0</v>
      </c>
      <c r="AE173" s="284" t="n">
        <f aca="false">IFERROR(R173*$G173*$I173, "")</f>
        <v>0</v>
      </c>
      <c r="AF173" s="284" t="n">
        <f aca="false">IFERROR(S173*$G173*$I173, "")</f>
        <v>0</v>
      </c>
      <c r="AG173" s="284" t="n">
        <f aca="false">IFERROR(T173*$G173*$I173, "")</f>
        <v>0</v>
      </c>
      <c r="AH173" s="284" t="n">
        <f aca="false">IFERROR(U173*$G173*$I173, "")</f>
        <v>0</v>
      </c>
      <c r="AI173" s="284" t="n">
        <f aca="false">IFERROR(V173*$G173*$I173, "")</f>
        <v>0</v>
      </c>
      <c r="AJ173" s="284" t="n">
        <f aca="false">IFERROR(W173*$G173*$I173, "")</f>
        <v>0</v>
      </c>
      <c r="AK173" s="286" t="n">
        <f aca="false">IFERROR(SUMIF($Y$4:$AJ$4, "RDEC", Y173:AJ173), "")</f>
        <v>0</v>
      </c>
      <c r="AL173" s="286" t="n">
        <f aca="false">IFERROR(SUMIF($Y$4:$AJ$4, "SME", Y173:AJ173), "")</f>
        <v>0</v>
      </c>
      <c r="AM173" s="286" t="n">
        <f aca="false">IFERROR(SUMIF($Y$4:$AJ$4, "De Minimis", Y173:AJ173), "")</f>
        <v>0</v>
      </c>
      <c r="AN173" s="283"/>
      <c r="AO173" s="284" t="n">
        <f aca="false">IFERROR($G173*$J173*L173, "")</f>
        <v>0</v>
      </c>
      <c r="AP173" s="284" t="n">
        <f aca="false">IFERROR($G173*$J173*M173, "")</f>
        <v>0</v>
      </c>
      <c r="AQ173" s="284" t="n">
        <f aca="false">IFERROR($G173*$J173*N173, "")</f>
        <v>0</v>
      </c>
      <c r="AR173" s="284" t="n">
        <f aca="false">IFERROR($G173*$J173*O173, "")</f>
        <v>0</v>
      </c>
      <c r="AS173" s="284" t="n">
        <f aca="false">IFERROR($G173*$J173*P173, "")</f>
        <v>0</v>
      </c>
      <c r="AT173" s="284" t="n">
        <f aca="false">IFERROR($G173*$J173*Q173, "")</f>
        <v>0</v>
      </c>
      <c r="AU173" s="284" t="n">
        <f aca="false">IFERROR($G173*$J173*R173, "")</f>
        <v>0</v>
      </c>
      <c r="AV173" s="284" t="n">
        <f aca="false">IFERROR($G173*$J173*S173, "")</f>
        <v>0</v>
      </c>
      <c r="AW173" s="284" t="n">
        <f aca="false">IFERROR($G173*$J173*T173, "")</f>
        <v>0</v>
      </c>
      <c r="AX173" s="284" t="n">
        <f aca="false">IFERROR($G173*$J173*U173, "")</f>
        <v>0</v>
      </c>
      <c r="AY173" s="284" t="n">
        <f aca="false">IFERROR($G173*$J173*V173, "")</f>
        <v>0</v>
      </c>
      <c r="AZ173" s="284" t="n">
        <f aca="false">IFERROR($G173*$J173*W173, "")</f>
        <v>0</v>
      </c>
      <c r="BA173" s="286" t="n">
        <f aca="false">IFERROR(SUMIF($AO$4:$AZ$4, "RDEC", AO173:AZ173), "")</f>
        <v>0</v>
      </c>
      <c r="BB173" s="286" t="n">
        <f aca="false">IFERROR(SUMIF($AO$4:$AZ$4, "SME", AO173:AZ173), "")</f>
        <v>0</v>
      </c>
      <c r="BC173" s="286" t="n">
        <f aca="false">IFERROR(SUMIF($Y$4:$AJ$4, "De Minimis", AO173:AZ173), "")</f>
        <v>0</v>
      </c>
      <c r="BD173" s="287"/>
      <c r="BE173" s="288" t="str">
        <f aca="false">IF((SUM(L173:W173)&gt;1),"ERROR","")</f>
        <v/>
      </c>
    </row>
    <row r="174" customFormat="false" ht="15" hidden="false" customHeight="true" outlineLevel="0" collapsed="false">
      <c r="B174" s="333"/>
      <c r="C174" s="334"/>
      <c r="D174" s="333" t="n">
        <f aca="false">D158</f>
        <v>45444</v>
      </c>
      <c r="E174" s="277" t="n">
        <v>0</v>
      </c>
      <c r="F174" s="277" t="n">
        <v>0</v>
      </c>
      <c r="G174" s="277" t="n">
        <f aca="false">SUM(E174:F174)</f>
        <v>0</v>
      </c>
      <c r="H174" s="204"/>
      <c r="I174" s="279" t="n">
        <v>1</v>
      </c>
      <c r="J174" s="280" t="n">
        <f aca="false">1-I174</f>
        <v>0</v>
      </c>
      <c r="K174" s="277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283"/>
      <c r="Y174" s="284" t="n">
        <f aca="false">IFERROR(L174*$G174*I$9, "")</f>
        <v>0</v>
      </c>
      <c r="Z174" s="284" t="n">
        <f aca="false">IFERROR(M174*$G174*$I174, "")</f>
        <v>0</v>
      </c>
      <c r="AA174" s="284" t="n">
        <f aca="false">IFERROR(N174*$G174*$I174, "")</f>
        <v>0</v>
      </c>
      <c r="AB174" s="284" t="n">
        <f aca="false">IFERROR(O174*$G174*$I174, "")</f>
        <v>0</v>
      </c>
      <c r="AC174" s="284" t="n">
        <f aca="false">IFERROR(P174*$G174*$I174, "")</f>
        <v>0</v>
      </c>
      <c r="AD174" s="284" t="n">
        <f aca="false">IFERROR(Q174*$G174*$I174, "")</f>
        <v>0</v>
      </c>
      <c r="AE174" s="284" t="n">
        <f aca="false">IFERROR(R174*$G174*$I174, "")</f>
        <v>0</v>
      </c>
      <c r="AF174" s="284" t="n">
        <f aca="false">IFERROR(S174*$G174*$I174, "")</f>
        <v>0</v>
      </c>
      <c r="AG174" s="284" t="n">
        <f aca="false">IFERROR(T174*$G174*$I174, "")</f>
        <v>0</v>
      </c>
      <c r="AH174" s="284" t="n">
        <f aca="false">IFERROR(U174*$G174*$I174, "")</f>
        <v>0</v>
      </c>
      <c r="AI174" s="284" t="n">
        <f aca="false">IFERROR(V174*$G174*$I174, "")</f>
        <v>0</v>
      </c>
      <c r="AJ174" s="284" t="n">
        <f aca="false">IFERROR(W174*$G174*$I174, "")</f>
        <v>0</v>
      </c>
      <c r="AK174" s="286" t="n">
        <f aca="false">IFERROR(SUMIF($Y$4:$AJ$4, "RDEC", Y174:AJ174), "")</f>
        <v>0</v>
      </c>
      <c r="AL174" s="286" t="n">
        <f aca="false">IFERROR(SUMIF($Y$4:$AJ$4, "SME", Y174:AJ174), "")</f>
        <v>0</v>
      </c>
      <c r="AM174" s="286" t="n">
        <f aca="false">IFERROR(SUMIF($Y$4:$AJ$4, "De Minimis", Y174:AJ174), "")</f>
        <v>0</v>
      </c>
      <c r="AN174" s="283"/>
      <c r="AO174" s="284" t="n">
        <f aca="false">IFERROR($G174*$J174*L174, "")</f>
        <v>0</v>
      </c>
      <c r="AP174" s="284" t="n">
        <f aca="false">IFERROR($G174*$J174*M174, "")</f>
        <v>0</v>
      </c>
      <c r="AQ174" s="284" t="n">
        <f aca="false">IFERROR($G174*$J174*N174, "")</f>
        <v>0</v>
      </c>
      <c r="AR174" s="284" t="n">
        <f aca="false">IFERROR($G174*$J174*O174, "")</f>
        <v>0</v>
      </c>
      <c r="AS174" s="284" t="n">
        <f aca="false">IFERROR($G174*$J174*P174, "")</f>
        <v>0</v>
      </c>
      <c r="AT174" s="284" t="n">
        <f aca="false">IFERROR($G174*$J174*Q174, "")</f>
        <v>0</v>
      </c>
      <c r="AU174" s="284" t="n">
        <f aca="false">IFERROR($G174*$J174*R174, "")</f>
        <v>0</v>
      </c>
      <c r="AV174" s="284" t="n">
        <f aca="false">IFERROR($G174*$J174*S174, "")</f>
        <v>0</v>
      </c>
      <c r="AW174" s="284" t="n">
        <f aca="false">IFERROR($G174*$J174*T174, "")</f>
        <v>0</v>
      </c>
      <c r="AX174" s="284" t="n">
        <f aca="false">IFERROR($G174*$J174*U174, "")</f>
        <v>0</v>
      </c>
      <c r="AY174" s="284" t="n">
        <f aca="false">IFERROR($G174*$J174*V174, "")</f>
        <v>0</v>
      </c>
      <c r="AZ174" s="284" t="n">
        <f aca="false">IFERROR($G174*$J174*W174, "")</f>
        <v>0</v>
      </c>
      <c r="BA174" s="286" t="n">
        <f aca="false">IFERROR(SUMIF($AO$4:$AZ$4, "RDEC", AO174:AZ174), "")</f>
        <v>0</v>
      </c>
      <c r="BB174" s="286" t="n">
        <f aca="false">IFERROR(SUMIF($AO$4:$AZ$4, "SME", AO174:AZ174), "")</f>
        <v>0</v>
      </c>
      <c r="BC174" s="286" t="n">
        <f aca="false">IFERROR(SUMIF($Y$4:$AJ$4, "De Minimis", AO174:AZ174), "")</f>
        <v>0</v>
      </c>
      <c r="BD174" s="287"/>
      <c r="BE174" s="288" t="str">
        <f aca="false">IF((SUM(L174:W174)&gt;1),"ERROR","")</f>
        <v/>
      </c>
    </row>
    <row r="175" customFormat="false" ht="15" hidden="false" customHeight="true" outlineLevel="0" collapsed="false">
      <c r="B175" s="333"/>
      <c r="C175" s="334"/>
      <c r="D175" s="333" t="n">
        <f aca="false">D159</f>
        <v>45474</v>
      </c>
      <c r="E175" s="277" t="n">
        <v>0</v>
      </c>
      <c r="F175" s="277" t="n">
        <v>0</v>
      </c>
      <c r="G175" s="277" t="n">
        <f aca="false">SUM(E175:F175)</f>
        <v>0</v>
      </c>
      <c r="H175" s="204"/>
      <c r="I175" s="279" t="n">
        <v>1</v>
      </c>
      <c r="J175" s="280" t="n">
        <f aca="false">1-I175</f>
        <v>0</v>
      </c>
      <c r="K175" s="277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283"/>
      <c r="Y175" s="284" t="n">
        <f aca="false">IFERROR(L175*$G175*I$9, "")</f>
        <v>0</v>
      </c>
      <c r="Z175" s="284" t="n">
        <f aca="false">IFERROR(M175*$G175*$I175, "")</f>
        <v>0</v>
      </c>
      <c r="AA175" s="284" t="n">
        <f aca="false">IFERROR(N175*$G175*$I175, "")</f>
        <v>0</v>
      </c>
      <c r="AB175" s="284" t="n">
        <f aca="false">IFERROR(O175*$G175*$I175, "")</f>
        <v>0</v>
      </c>
      <c r="AC175" s="284" t="n">
        <f aca="false">IFERROR(P175*$G175*$I175, "")</f>
        <v>0</v>
      </c>
      <c r="AD175" s="284" t="n">
        <f aca="false">IFERROR(Q175*$G175*$I175, "")</f>
        <v>0</v>
      </c>
      <c r="AE175" s="284" t="n">
        <f aca="false">IFERROR(R175*$G175*$I175, "")</f>
        <v>0</v>
      </c>
      <c r="AF175" s="284" t="n">
        <f aca="false">IFERROR(S175*$G175*$I175, "")</f>
        <v>0</v>
      </c>
      <c r="AG175" s="284" t="n">
        <f aca="false">IFERROR(T175*$G175*$I175, "")</f>
        <v>0</v>
      </c>
      <c r="AH175" s="284" t="n">
        <f aca="false">IFERROR(U175*$G175*$I175, "")</f>
        <v>0</v>
      </c>
      <c r="AI175" s="284" t="n">
        <f aca="false">IFERROR(V175*$G175*$I175, "")</f>
        <v>0</v>
      </c>
      <c r="AJ175" s="284" t="n">
        <f aca="false">IFERROR(W175*$G175*$I175, "")</f>
        <v>0</v>
      </c>
      <c r="AK175" s="286" t="n">
        <f aca="false">IFERROR(SUMIF($Y$4:$AJ$4, "RDEC", Y175:AJ175), "")</f>
        <v>0</v>
      </c>
      <c r="AL175" s="286" t="n">
        <f aca="false">IFERROR(SUMIF($Y$4:$AJ$4, "SME", Y175:AJ175), "")</f>
        <v>0</v>
      </c>
      <c r="AM175" s="286" t="n">
        <f aca="false">IFERROR(SUMIF($Y$4:$AJ$4, "De Minimis", Y175:AJ175), "")</f>
        <v>0</v>
      </c>
      <c r="AN175" s="283"/>
      <c r="AO175" s="284" t="n">
        <f aca="false">IFERROR($G175*$J175*L175, "")</f>
        <v>0</v>
      </c>
      <c r="AP175" s="284" t="n">
        <f aca="false">IFERROR($G175*$J175*M175, "")</f>
        <v>0</v>
      </c>
      <c r="AQ175" s="284" t="n">
        <f aca="false">IFERROR($G175*$J175*N175, "")</f>
        <v>0</v>
      </c>
      <c r="AR175" s="284" t="n">
        <f aca="false">IFERROR($G175*$J175*O175, "")</f>
        <v>0</v>
      </c>
      <c r="AS175" s="284" t="n">
        <f aca="false">IFERROR($G175*$J175*P175, "")</f>
        <v>0</v>
      </c>
      <c r="AT175" s="284" t="n">
        <f aca="false">IFERROR($G175*$J175*Q175, "")</f>
        <v>0</v>
      </c>
      <c r="AU175" s="284" t="n">
        <f aca="false">IFERROR($G175*$J175*R175, "")</f>
        <v>0</v>
      </c>
      <c r="AV175" s="284" t="n">
        <f aca="false">IFERROR($G175*$J175*S175, "")</f>
        <v>0</v>
      </c>
      <c r="AW175" s="284" t="n">
        <f aca="false">IFERROR($G175*$J175*T175, "")</f>
        <v>0</v>
      </c>
      <c r="AX175" s="284" t="n">
        <f aca="false">IFERROR($G175*$J175*U175, "")</f>
        <v>0</v>
      </c>
      <c r="AY175" s="284" t="n">
        <f aca="false">IFERROR($G175*$J175*V175, "")</f>
        <v>0</v>
      </c>
      <c r="AZ175" s="284" t="n">
        <f aca="false">IFERROR($G175*$J175*W175, "")</f>
        <v>0</v>
      </c>
      <c r="BA175" s="286" t="n">
        <f aca="false">IFERROR(SUMIF($AO$4:$AZ$4, "RDEC", AO175:AZ175), "")</f>
        <v>0</v>
      </c>
      <c r="BB175" s="286" t="n">
        <f aca="false">IFERROR(SUMIF($AO$4:$AZ$4, "SME", AO175:AZ175), "")</f>
        <v>0</v>
      </c>
      <c r="BC175" s="286" t="n">
        <f aca="false">IFERROR(SUMIF($Y$4:$AJ$4, "De Minimis", AO175:AZ175), "")</f>
        <v>0</v>
      </c>
      <c r="BD175" s="287"/>
      <c r="BE175" s="288" t="str">
        <f aca="false">IF((SUM(L175:W175)&gt;1),"ERROR","")</f>
        <v/>
      </c>
    </row>
    <row r="176" customFormat="false" ht="15" hidden="false" customHeight="true" outlineLevel="0" collapsed="false">
      <c r="B176" s="333"/>
      <c r="C176" s="334"/>
      <c r="D176" s="333" t="n">
        <f aca="false">D160</f>
        <v>45505</v>
      </c>
      <c r="E176" s="277" t="n">
        <v>0</v>
      </c>
      <c r="F176" s="277" t="n">
        <v>0</v>
      </c>
      <c r="G176" s="277" t="n">
        <f aca="false">SUM(E176:F176)</f>
        <v>0</v>
      </c>
      <c r="H176" s="204"/>
      <c r="I176" s="279" t="n">
        <v>1</v>
      </c>
      <c r="J176" s="280" t="n">
        <f aca="false">1-I176</f>
        <v>0</v>
      </c>
      <c r="K176" s="277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283"/>
      <c r="Y176" s="284" t="n">
        <f aca="false">IFERROR(L176*$G176*I$9, "")</f>
        <v>0</v>
      </c>
      <c r="Z176" s="284" t="n">
        <f aca="false">IFERROR(M176*$G176*$I176, "")</f>
        <v>0</v>
      </c>
      <c r="AA176" s="284" t="n">
        <f aca="false">IFERROR(N176*$G176*$I176, "")</f>
        <v>0</v>
      </c>
      <c r="AB176" s="284" t="n">
        <f aca="false">IFERROR(O176*$G176*$I176, "")</f>
        <v>0</v>
      </c>
      <c r="AC176" s="284" t="n">
        <f aca="false">IFERROR(P176*$G176*$I176, "")</f>
        <v>0</v>
      </c>
      <c r="AD176" s="284" t="n">
        <f aca="false">IFERROR(Q176*$G176*$I176, "")</f>
        <v>0</v>
      </c>
      <c r="AE176" s="284" t="n">
        <f aca="false">IFERROR(R176*$G176*$I176, "")</f>
        <v>0</v>
      </c>
      <c r="AF176" s="284" t="n">
        <f aca="false">IFERROR(S176*$G176*$I176, "")</f>
        <v>0</v>
      </c>
      <c r="AG176" s="284" t="n">
        <f aca="false">IFERROR(T176*$G176*$I176, "")</f>
        <v>0</v>
      </c>
      <c r="AH176" s="284" t="n">
        <f aca="false">IFERROR(U176*$G176*$I176, "")</f>
        <v>0</v>
      </c>
      <c r="AI176" s="284" t="n">
        <f aca="false">IFERROR(V176*$G176*$I176, "")</f>
        <v>0</v>
      </c>
      <c r="AJ176" s="284" t="n">
        <f aca="false">IFERROR(W176*$G176*$I176, "")</f>
        <v>0</v>
      </c>
      <c r="AK176" s="286" t="n">
        <f aca="false">IFERROR(SUMIF($Y$4:$AJ$4, "RDEC", Y176:AJ176), "")</f>
        <v>0</v>
      </c>
      <c r="AL176" s="286" t="n">
        <f aca="false">IFERROR(SUMIF($Y$4:$AJ$4, "SME", Y176:AJ176), "")</f>
        <v>0</v>
      </c>
      <c r="AM176" s="286" t="n">
        <f aca="false">IFERROR(SUMIF($Y$4:$AJ$4, "De Minimis", Y176:AJ176), "")</f>
        <v>0</v>
      </c>
      <c r="AN176" s="283"/>
      <c r="AO176" s="284" t="n">
        <f aca="false">IFERROR($G176*$J176*L176, "")</f>
        <v>0</v>
      </c>
      <c r="AP176" s="284" t="n">
        <f aca="false">IFERROR($G176*$J176*M176, "")</f>
        <v>0</v>
      </c>
      <c r="AQ176" s="284" t="n">
        <f aca="false">IFERROR($G176*$J176*N176, "")</f>
        <v>0</v>
      </c>
      <c r="AR176" s="284" t="n">
        <f aca="false">IFERROR($G176*$J176*O176, "")</f>
        <v>0</v>
      </c>
      <c r="AS176" s="284" t="n">
        <f aca="false">IFERROR($G176*$J176*P176, "")</f>
        <v>0</v>
      </c>
      <c r="AT176" s="284" t="n">
        <f aca="false">IFERROR($G176*$J176*Q176, "")</f>
        <v>0</v>
      </c>
      <c r="AU176" s="284" t="n">
        <f aca="false">IFERROR($G176*$J176*R176, "")</f>
        <v>0</v>
      </c>
      <c r="AV176" s="284" t="n">
        <f aca="false">IFERROR($G176*$J176*S176, "")</f>
        <v>0</v>
      </c>
      <c r="AW176" s="284" t="n">
        <f aca="false">IFERROR($G176*$J176*T176, "")</f>
        <v>0</v>
      </c>
      <c r="AX176" s="284" t="n">
        <f aca="false">IFERROR($G176*$J176*U176, "")</f>
        <v>0</v>
      </c>
      <c r="AY176" s="284" t="n">
        <f aca="false">IFERROR($G176*$J176*V176, "")</f>
        <v>0</v>
      </c>
      <c r="AZ176" s="284" t="n">
        <f aca="false">IFERROR($G176*$J176*W176, "")</f>
        <v>0</v>
      </c>
      <c r="BA176" s="286" t="n">
        <f aca="false">IFERROR(SUMIF($AO$4:$AZ$4, "RDEC", AO176:AZ176), "")</f>
        <v>0</v>
      </c>
      <c r="BB176" s="286" t="n">
        <f aca="false">IFERROR(SUMIF($AO$4:$AZ$4, "SME", AO176:AZ176), "")</f>
        <v>0</v>
      </c>
      <c r="BC176" s="286" t="n">
        <f aca="false">IFERROR(SUMIF($Y$4:$AJ$4, "De Minimis", AO176:AZ176), "")</f>
        <v>0</v>
      </c>
      <c r="BD176" s="287"/>
      <c r="BE176" s="288" t="str">
        <f aca="false">IF((SUM(L176:W176)&gt;1),"ERROR","")</f>
        <v/>
      </c>
    </row>
    <row r="177" customFormat="false" ht="15" hidden="false" customHeight="true" outlineLevel="0" collapsed="false">
      <c r="B177" s="333"/>
      <c r="C177" s="334"/>
      <c r="D177" s="333" t="n">
        <f aca="false">D161</f>
        <v>45536</v>
      </c>
      <c r="E177" s="277" t="n">
        <v>0</v>
      </c>
      <c r="F177" s="277" t="n">
        <v>0</v>
      </c>
      <c r="G177" s="277" t="n">
        <f aca="false">SUM(E177:F177)</f>
        <v>0</v>
      </c>
      <c r="H177" s="204"/>
      <c r="I177" s="279" t="n">
        <v>1</v>
      </c>
      <c r="J177" s="280" t="n">
        <f aca="false">1-I177</f>
        <v>0</v>
      </c>
      <c r="K177" s="277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3"/>
      <c r="Y177" s="284" t="n">
        <f aca="false">IFERROR(L177*$G177*I$9, "")</f>
        <v>0</v>
      </c>
      <c r="Z177" s="284" t="n">
        <f aca="false">IFERROR(M177*$G177*$I177, "")</f>
        <v>0</v>
      </c>
      <c r="AA177" s="284" t="n">
        <f aca="false">IFERROR(N177*$G177*$I177, "")</f>
        <v>0</v>
      </c>
      <c r="AB177" s="284" t="n">
        <f aca="false">IFERROR(O177*$G177*$I177, "")</f>
        <v>0</v>
      </c>
      <c r="AC177" s="284" t="n">
        <f aca="false">IFERROR(P177*$G177*$I177, "")</f>
        <v>0</v>
      </c>
      <c r="AD177" s="284" t="n">
        <f aca="false">IFERROR(Q177*$G177*$I177, "")</f>
        <v>0</v>
      </c>
      <c r="AE177" s="284" t="n">
        <f aca="false">IFERROR(R177*$G177*$I177, "")</f>
        <v>0</v>
      </c>
      <c r="AF177" s="284" t="n">
        <f aca="false">IFERROR(S177*$G177*$I177, "")</f>
        <v>0</v>
      </c>
      <c r="AG177" s="284" t="n">
        <f aca="false">IFERROR(T177*$G177*$I177, "")</f>
        <v>0</v>
      </c>
      <c r="AH177" s="284" t="n">
        <f aca="false">IFERROR(U177*$G177*$I177, "")</f>
        <v>0</v>
      </c>
      <c r="AI177" s="284" t="n">
        <f aca="false">IFERROR(V177*$G177*$I177, "")</f>
        <v>0</v>
      </c>
      <c r="AJ177" s="284" t="n">
        <f aca="false">IFERROR(W177*$G177*$I177, "")</f>
        <v>0</v>
      </c>
      <c r="AK177" s="286" t="n">
        <f aca="false">IFERROR(SUMIF($Y$4:$AJ$4, "RDEC", Y177:AJ177), "")</f>
        <v>0</v>
      </c>
      <c r="AL177" s="286" t="n">
        <f aca="false">IFERROR(SUMIF($Y$4:$AJ$4, "SME", Y177:AJ177), "")</f>
        <v>0</v>
      </c>
      <c r="AM177" s="286" t="n">
        <f aca="false">IFERROR(SUMIF($Y$4:$AJ$4, "De Minimis", Y177:AJ177), "")</f>
        <v>0</v>
      </c>
      <c r="AN177" s="283"/>
      <c r="AO177" s="284" t="n">
        <f aca="false">IFERROR($G177*$J177*L177, "")</f>
        <v>0</v>
      </c>
      <c r="AP177" s="284" t="n">
        <f aca="false">IFERROR($G177*$J177*M177, "")</f>
        <v>0</v>
      </c>
      <c r="AQ177" s="284" t="n">
        <f aca="false">IFERROR($G177*$J177*N177, "")</f>
        <v>0</v>
      </c>
      <c r="AR177" s="284" t="n">
        <f aca="false">IFERROR($G177*$J177*O177, "")</f>
        <v>0</v>
      </c>
      <c r="AS177" s="284" t="n">
        <f aca="false">IFERROR($G177*$J177*P177, "")</f>
        <v>0</v>
      </c>
      <c r="AT177" s="284" t="n">
        <f aca="false">IFERROR($G177*$J177*Q177, "")</f>
        <v>0</v>
      </c>
      <c r="AU177" s="284" t="n">
        <f aca="false">IFERROR($G177*$J177*R177, "")</f>
        <v>0</v>
      </c>
      <c r="AV177" s="284" t="n">
        <f aca="false">IFERROR($G177*$J177*S177, "")</f>
        <v>0</v>
      </c>
      <c r="AW177" s="284" t="n">
        <f aca="false">IFERROR($G177*$J177*T177, "")</f>
        <v>0</v>
      </c>
      <c r="AX177" s="284" t="n">
        <f aca="false">IFERROR($G177*$J177*U177, "")</f>
        <v>0</v>
      </c>
      <c r="AY177" s="284" t="n">
        <f aca="false">IFERROR($G177*$J177*V177, "")</f>
        <v>0</v>
      </c>
      <c r="AZ177" s="284" t="n">
        <f aca="false">IFERROR($G177*$J177*W177, "")</f>
        <v>0</v>
      </c>
      <c r="BA177" s="286" t="n">
        <f aca="false">IFERROR(SUMIF($AO$4:$AZ$4, "RDEC", AO177:AZ177), "")</f>
        <v>0</v>
      </c>
      <c r="BB177" s="286" t="n">
        <f aca="false">IFERROR(SUMIF($AO$4:$AZ$4, "SME", AO177:AZ177), "")</f>
        <v>0</v>
      </c>
      <c r="BC177" s="286" t="n">
        <f aca="false">IFERROR(SUMIF($Y$4:$AJ$4, "De Minimis", AO177:AZ177), "")</f>
        <v>0</v>
      </c>
      <c r="BD177" s="287"/>
      <c r="BE177" s="288" t="str">
        <f aca="false">IF((SUM(L177:W177)&gt;1),"ERROR","")</f>
        <v/>
      </c>
    </row>
    <row r="178" customFormat="false" ht="15" hidden="false" customHeight="true" outlineLevel="0" collapsed="false">
      <c r="B178" s="333"/>
      <c r="C178" s="334"/>
      <c r="D178" s="333" t="n">
        <f aca="false">D162</f>
        <v>45566</v>
      </c>
      <c r="E178" s="277" t="n">
        <v>0</v>
      </c>
      <c r="F178" s="277" t="n">
        <v>0</v>
      </c>
      <c r="G178" s="277" t="n">
        <f aca="false">SUM(E178:F178)</f>
        <v>0</v>
      </c>
      <c r="H178" s="204"/>
      <c r="I178" s="279" t="n">
        <v>1</v>
      </c>
      <c r="J178" s="280" t="n">
        <f aca="false">1-I178</f>
        <v>0</v>
      </c>
      <c r="K178" s="277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3"/>
      <c r="Y178" s="284" t="n">
        <f aca="false">IFERROR(L178*$G178*I$9, "")</f>
        <v>0</v>
      </c>
      <c r="Z178" s="284" t="n">
        <f aca="false">IFERROR(M178*$G178*$I178, "")</f>
        <v>0</v>
      </c>
      <c r="AA178" s="284" t="n">
        <f aca="false">IFERROR(N178*$G178*$I178, "")</f>
        <v>0</v>
      </c>
      <c r="AB178" s="284" t="n">
        <f aca="false">IFERROR(O178*$G178*$I178, "")</f>
        <v>0</v>
      </c>
      <c r="AC178" s="284" t="n">
        <f aca="false">IFERROR(P178*$G178*$I178, "")</f>
        <v>0</v>
      </c>
      <c r="AD178" s="284" t="n">
        <f aca="false">IFERROR(Q178*$G178*$I178, "")</f>
        <v>0</v>
      </c>
      <c r="AE178" s="284" t="n">
        <f aca="false">IFERROR(R178*$G178*$I178, "")</f>
        <v>0</v>
      </c>
      <c r="AF178" s="284" t="n">
        <f aca="false">IFERROR(S178*$G178*$I178, "")</f>
        <v>0</v>
      </c>
      <c r="AG178" s="284" t="n">
        <f aca="false">IFERROR(T178*$G178*$I178, "")</f>
        <v>0</v>
      </c>
      <c r="AH178" s="284" t="n">
        <f aca="false">IFERROR(U178*$G178*$I178, "")</f>
        <v>0</v>
      </c>
      <c r="AI178" s="284" t="n">
        <f aca="false">IFERROR(V178*$G178*$I178, "")</f>
        <v>0</v>
      </c>
      <c r="AJ178" s="284" t="n">
        <f aca="false">IFERROR(W178*$G178*$I178, "")</f>
        <v>0</v>
      </c>
      <c r="AK178" s="286" t="n">
        <f aca="false">IFERROR(SUMIF($Y$4:$AJ$4, "RDEC", Y178:AJ178), "")</f>
        <v>0</v>
      </c>
      <c r="AL178" s="286" t="n">
        <f aca="false">IFERROR(SUMIF($Y$4:$AJ$4, "SME", Y178:AJ178), "")</f>
        <v>0</v>
      </c>
      <c r="AM178" s="286" t="n">
        <f aca="false">IFERROR(SUMIF($Y$4:$AJ$4, "De Minimis", Y178:AJ178), "")</f>
        <v>0</v>
      </c>
      <c r="AN178" s="283"/>
      <c r="AO178" s="284" t="n">
        <f aca="false">IFERROR($G178*$J178*L178, "")</f>
        <v>0</v>
      </c>
      <c r="AP178" s="284" t="n">
        <f aca="false">IFERROR($G178*$J178*M178, "")</f>
        <v>0</v>
      </c>
      <c r="AQ178" s="284" t="n">
        <f aca="false">IFERROR($G178*$J178*N178, "")</f>
        <v>0</v>
      </c>
      <c r="AR178" s="284" t="n">
        <f aca="false">IFERROR($G178*$J178*O178, "")</f>
        <v>0</v>
      </c>
      <c r="AS178" s="284" t="n">
        <f aca="false">IFERROR($G178*$J178*P178, "")</f>
        <v>0</v>
      </c>
      <c r="AT178" s="284" t="n">
        <f aca="false">IFERROR($G178*$J178*Q178, "")</f>
        <v>0</v>
      </c>
      <c r="AU178" s="284" t="n">
        <f aca="false">IFERROR($G178*$J178*R178, "")</f>
        <v>0</v>
      </c>
      <c r="AV178" s="284" t="n">
        <f aca="false">IFERROR($G178*$J178*S178, "")</f>
        <v>0</v>
      </c>
      <c r="AW178" s="284" t="n">
        <f aca="false">IFERROR($G178*$J178*T178, "")</f>
        <v>0</v>
      </c>
      <c r="AX178" s="284" t="n">
        <f aca="false">IFERROR($G178*$J178*U178, "")</f>
        <v>0</v>
      </c>
      <c r="AY178" s="284" t="n">
        <f aca="false">IFERROR($G178*$J178*V178, "")</f>
        <v>0</v>
      </c>
      <c r="AZ178" s="284" t="n">
        <f aca="false">IFERROR($G178*$J178*W178, "")</f>
        <v>0</v>
      </c>
      <c r="BA178" s="286" t="n">
        <f aca="false">IFERROR(SUMIF($AO$4:$AZ$4, "RDEC", AO178:AZ178), "")</f>
        <v>0</v>
      </c>
      <c r="BB178" s="286" t="n">
        <f aca="false">IFERROR(SUMIF($AO$4:$AZ$4, "SME", AO178:AZ178), "")</f>
        <v>0</v>
      </c>
      <c r="BC178" s="286" t="n">
        <f aca="false">IFERROR(SUMIF($Y$4:$AJ$4, "De Minimis", AO178:AZ178), "")</f>
        <v>0</v>
      </c>
      <c r="BD178" s="287"/>
      <c r="BE178" s="288" t="str">
        <f aca="false">IF((SUM(L178:W178)&gt;1),"ERROR","")</f>
        <v/>
      </c>
    </row>
    <row r="179" customFormat="false" ht="15" hidden="false" customHeight="true" outlineLevel="0" collapsed="false">
      <c r="B179" s="333"/>
      <c r="C179" s="334"/>
      <c r="D179" s="333" t="n">
        <f aca="false">D163</f>
        <v>45597</v>
      </c>
      <c r="E179" s="277" t="n">
        <v>0</v>
      </c>
      <c r="F179" s="277" t="n">
        <v>0</v>
      </c>
      <c r="G179" s="277" t="n">
        <f aca="false">SUM(E179:F179)</f>
        <v>0</v>
      </c>
      <c r="H179" s="204"/>
      <c r="I179" s="279" t="n">
        <v>1</v>
      </c>
      <c r="J179" s="280" t="n">
        <f aca="false">1-I179</f>
        <v>0</v>
      </c>
      <c r="K179" s="277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3"/>
      <c r="Y179" s="284" t="n">
        <f aca="false">IFERROR(L179*$G179*I$9, "")</f>
        <v>0</v>
      </c>
      <c r="Z179" s="284" t="n">
        <f aca="false">IFERROR(M179*$G179*$I179, "")</f>
        <v>0</v>
      </c>
      <c r="AA179" s="284" t="n">
        <f aca="false">IFERROR(N179*$G179*$I179, "")</f>
        <v>0</v>
      </c>
      <c r="AB179" s="284" t="n">
        <f aca="false">IFERROR(O179*$G179*$I179, "")</f>
        <v>0</v>
      </c>
      <c r="AC179" s="284" t="n">
        <f aca="false">IFERROR(P179*$G179*$I179, "")</f>
        <v>0</v>
      </c>
      <c r="AD179" s="284" t="n">
        <f aca="false">IFERROR(Q179*$G179*$I179, "")</f>
        <v>0</v>
      </c>
      <c r="AE179" s="284" t="n">
        <f aca="false">IFERROR(R179*$G179*$I179, "")</f>
        <v>0</v>
      </c>
      <c r="AF179" s="284" t="n">
        <f aca="false">IFERROR(S179*$G179*$I179, "")</f>
        <v>0</v>
      </c>
      <c r="AG179" s="284" t="n">
        <f aca="false">IFERROR(T179*$G179*$I179, "")</f>
        <v>0</v>
      </c>
      <c r="AH179" s="284" t="n">
        <f aca="false">IFERROR(U179*$G179*$I179, "")</f>
        <v>0</v>
      </c>
      <c r="AI179" s="284" t="n">
        <f aca="false">IFERROR(V179*$G179*$I179, "")</f>
        <v>0</v>
      </c>
      <c r="AJ179" s="284" t="n">
        <f aca="false">IFERROR(W179*$G179*$I179, "")</f>
        <v>0</v>
      </c>
      <c r="AK179" s="286" t="n">
        <f aca="false">IFERROR(SUMIF($Y$4:$AJ$4, "RDEC", Y179:AJ179), "")</f>
        <v>0</v>
      </c>
      <c r="AL179" s="286" t="n">
        <f aca="false">IFERROR(SUMIF($Y$4:$AJ$4, "SME", Y179:AJ179), "")</f>
        <v>0</v>
      </c>
      <c r="AM179" s="286" t="n">
        <f aca="false">IFERROR(SUMIF($Y$4:$AJ$4, "De Minimis", Y179:AJ179), "")</f>
        <v>0</v>
      </c>
      <c r="AN179" s="283"/>
      <c r="AO179" s="284" t="n">
        <f aca="false">IFERROR($G179*$J179*L179, "")</f>
        <v>0</v>
      </c>
      <c r="AP179" s="284" t="n">
        <f aca="false">IFERROR($G179*$J179*M179, "")</f>
        <v>0</v>
      </c>
      <c r="AQ179" s="284" t="n">
        <f aca="false">IFERROR($G179*$J179*N179, "")</f>
        <v>0</v>
      </c>
      <c r="AR179" s="284" t="n">
        <f aca="false">IFERROR($G179*$J179*O179, "")</f>
        <v>0</v>
      </c>
      <c r="AS179" s="284" t="n">
        <f aca="false">IFERROR($G179*$J179*P179, "")</f>
        <v>0</v>
      </c>
      <c r="AT179" s="284" t="n">
        <f aca="false">IFERROR($G179*$J179*Q179, "")</f>
        <v>0</v>
      </c>
      <c r="AU179" s="284" t="n">
        <f aca="false">IFERROR($G179*$J179*R179, "")</f>
        <v>0</v>
      </c>
      <c r="AV179" s="284" t="n">
        <f aca="false">IFERROR($G179*$J179*S179, "")</f>
        <v>0</v>
      </c>
      <c r="AW179" s="284" t="n">
        <f aca="false">IFERROR($G179*$J179*T179, "")</f>
        <v>0</v>
      </c>
      <c r="AX179" s="284" t="n">
        <f aca="false">IFERROR($G179*$J179*U179, "")</f>
        <v>0</v>
      </c>
      <c r="AY179" s="284" t="n">
        <f aca="false">IFERROR($G179*$J179*V179, "")</f>
        <v>0</v>
      </c>
      <c r="AZ179" s="284" t="n">
        <f aca="false">IFERROR($G179*$J179*W179, "")</f>
        <v>0</v>
      </c>
      <c r="BA179" s="286" t="n">
        <f aca="false">IFERROR(SUMIF($AO$4:$AZ$4, "RDEC", AO179:AZ179), "")</f>
        <v>0</v>
      </c>
      <c r="BB179" s="286" t="n">
        <f aca="false">IFERROR(SUMIF($AO$4:$AZ$4, "SME", AO179:AZ179), "")</f>
        <v>0</v>
      </c>
      <c r="BC179" s="286" t="n">
        <f aca="false">IFERROR(SUMIF($Y$4:$AJ$4, "De Minimis", AO179:AZ179), "")</f>
        <v>0</v>
      </c>
      <c r="BD179" s="287"/>
      <c r="BE179" s="288" t="str">
        <f aca="false">IF((SUM(L179:W179)&gt;1),"ERROR","")</f>
        <v/>
      </c>
    </row>
    <row r="180" customFormat="false" ht="15" hidden="false" customHeight="true" outlineLevel="0" collapsed="false">
      <c r="B180" s="333"/>
      <c r="C180" s="334"/>
      <c r="D180" s="333" t="n">
        <f aca="false">D164</f>
        <v>45627</v>
      </c>
      <c r="E180" s="277" t="n">
        <v>0</v>
      </c>
      <c r="F180" s="277" t="n">
        <v>0</v>
      </c>
      <c r="G180" s="277" t="n">
        <f aca="false">SUM(E180:F180)</f>
        <v>0</v>
      </c>
      <c r="H180" s="300"/>
      <c r="I180" s="289" t="n">
        <v>1</v>
      </c>
      <c r="J180" s="290" t="n">
        <f aca="false">1-I180</f>
        <v>0</v>
      </c>
      <c r="K180" s="300"/>
      <c r="L180" s="291"/>
      <c r="M180" s="291"/>
      <c r="N180" s="291"/>
      <c r="O180" s="291"/>
      <c r="P180" s="291"/>
      <c r="Q180" s="291"/>
      <c r="R180" s="291"/>
      <c r="S180" s="291"/>
      <c r="T180" s="291"/>
      <c r="U180" s="291"/>
      <c r="V180" s="291"/>
      <c r="W180" s="291"/>
      <c r="X180" s="283"/>
      <c r="Y180" s="284" t="n">
        <f aca="false">IFERROR(L180*$G180*I$9, "")</f>
        <v>0</v>
      </c>
      <c r="Z180" s="284" t="n">
        <f aca="false">IFERROR(M180*$G180*$I180, "")</f>
        <v>0</v>
      </c>
      <c r="AA180" s="284" t="n">
        <f aca="false">IFERROR(N180*$G180*$I180, "")</f>
        <v>0</v>
      </c>
      <c r="AB180" s="284" t="n">
        <f aca="false">IFERROR(O180*$G180*$I180, "")</f>
        <v>0</v>
      </c>
      <c r="AC180" s="284" t="n">
        <f aca="false">IFERROR(P180*$G180*$I180, "")</f>
        <v>0</v>
      </c>
      <c r="AD180" s="284" t="n">
        <f aca="false">IFERROR(Q180*$G180*$I180, "")</f>
        <v>0</v>
      </c>
      <c r="AE180" s="284" t="n">
        <f aca="false">IFERROR(R180*$G180*$I180, "")</f>
        <v>0</v>
      </c>
      <c r="AF180" s="284" t="n">
        <f aca="false">IFERROR(S180*$G180*$I180, "")</f>
        <v>0</v>
      </c>
      <c r="AG180" s="284" t="n">
        <f aca="false">IFERROR(T180*$G180*$I180, "")</f>
        <v>0</v>
      </c>
      <c r="AH180" s="284" t="n">
        <f aca="false">IFERROR(U180*$G180*$I180, "")</f>
        <v>0</v>
      </c>
      <c r="AI180" s="284" t="n">
        <f aca="false">IFERROR(V180*$G180*$I180, "")</f>
        <v>0</v>
      </c>
      <c r="AJ180" s="284" t="n">
        <f aca="false">IFERROR(W180*$G180*$I180, "")</f>
        <v>0</v>
      </c>
      <c r="AK180" s="294" t="n">
        <f aca="false">IFERROR(SUMIF($Y$4:$AJ$4, "RDEC", Y180:AJ180), "")</f>
        <v>0</v>
      </c>
      <c r="AL180" s="294" t="n">
        <f aca="false">IFERROR(SUMIF($Y$4:$AJ$4, "SME", Y180:AJ180), "")</f>
        <v>0</v>
      </c>
      <c r="AM180" s="294" t="n">
        <f aca="false">IFERROR(SUMIF($Y$4:$AJ$4, "De Minimis", Y180:AJ180), "")</f>
        <v>0</v>
      </c>
      <c r="AN180" s="283"/>
      <c r="AO180" s="284" t="n">
        <f aca="false">IFERROR($G180*$J180*L180, "")</f>
        <v>0</v>
      </c>
      <c r="AP180" s="284" t="n">
        <f aca="false">IFERROR($G180*$J180*M180, "")</f>
        <v>0</v>
      </c>
      <c r="AQ180" s="284" t="n">
        <f aca="false">IFERROR($G180*$J180*N180, "")</f>
        <v>0</v>
      </c>
      <c r="AR180" s="284" t="n">
        <f aca="false">IFERROR($G180*$J180*O180, "")</f>
        <v>0</v>
      </c>
      <c r="AS180" s="284" t="n">
        <f aca="false">IFERROR($G180*$J180*P180, "")</f>
        <v>0</v>
      </c>
      <c r="AT180" s="284" t="n">
        <f aca="false">IFERROR($G180*$J180*Q180, "")</f>
        <v>0</v>
      </c>
      <c r="AU180" s="284" t="n">
        <f aca="false">IFERROR($G180*$J180*R180, "")</f>
        <v>0</v>
      </c>
      <c r="AV180" s="284" t="n">
        <f aca="false">IFERROR($G180*$J180*S180, "")</f>
        <v>0</v>
      </c>
      <c r="AW180" s="284" t="n">
        <f aca="false">IFERROR($G180*$J180*T180, "")</f>
        <v>0</v>
      </c>
      <c r="AX180" s="284" t="n">
        <f aca="false">IFERROR($G180*$J180*U180, "")</f>
        <v>0</v>
      </c>
      <c r="AY180" s="284" t="n">
        <f aca="false">IFERROR($G180*$J180*V180, "")</f>
        <v>0</v>
      </c>
      <c r="AZ180" s="284" t="n">
        <f aca="false">IFERROR($G180*$J180*W180, "")</f>
        <v>0</v>
      </c>
      <c r="BA180" s="286" t="n">
        <f aca="false">IFERROR(SUMIF($AO$4:$AZ$4, "RDEC", AO180:AZ180), "")</f>
        <v>0</v>
      </c>
      <c r="BB180" s="286" t="n">
        <f aca="false">IFERROR(SUMIF($AO$4:$AZ$4, "SME", AO180:AZ180), "")</f>
        <v>0</v>
      </c>
      <c r="BC180" s="294" t="n">
        <f aca="false">IFERROR(SUMIF($Y$4:$AJ$4, "De Minimis", AO180:AZ180), "")</f>
        <v>0</v>
      </c>
      <c r="BD180" s="303"/>
      <c r="BE180" s="295" t="str">
        <f aca="false">IF((SUM(L180:W180)&gt;1),"ERROR","")</f>
        <v/>
      </c>
    </row>
    <row r="181" customFormat="false" ht="15" hidden="false" customHeight="true" outlineLevel="0" collapsed="false">
      <c r="B181" s="296"/>
      <c r="D181" s="297" t="s">
        <v>82</v>
      </c>
      <c r="E181" s="299" t="n">
        <f aca="false">SUM(E169:E180)</f>
        <v>0</v>
      </c>
      <c r="F181" s="299" t="n">
        <f aca="false">SUM(F169:F180)</f>
        <v>0</v>
      </c>
      <c r="G181" s="299" t="n">
        <f aca="false">SUM(G169:G180)</f>
        <v>0</v>
      </c>
      <c r="H181" s="300"/>
      <c r="I181" s="301" t="n">
        <f aca="false">AVERAGE(I169:I180)</f>
        <v>1</v>
      </c>
      <c r="J181" s="301" t="n">
        <f aca="false">AVERAGE(J169:J180)</f>
        <v>0</v>
      </c>
      <c r="K181" s="300"/>
      <c r="L181" s="290" t="n">
        <f aca="false">IF(SUM(L169:L180)&gt;0,(Y181/G181),0)</f>
        <v>0</v>
      </c>
      <c r="M181" s="301" t="n">
        <f aca="false">IF(SUM(M169:M180)&gt;0,(Z181/G181),0)</f>
        <v>0</v>
      </c>
      <c r="N181" s="301" t="n">
        <f aca="false">IF(SUM(N169:N180)&gt;0,(AA181/G181),0)</f>
        <v>0</v>
      </c>
      <c r="O181" s="301" t="n">
        <f aca="false">IF(SUM(O169:O180)&gt;0,(AB181/G181),0)</f>
        <v>0</v>
      </c>
      <c r="P181" s="301" t="n">
        <f aca="false">IF(SUM(P169:P180)&gt;0,(AC181/G181),0)</f>
        <v>0</v>
      </c>
      <c r="Q181" s="301" t="n">
        <f aca="false">IF(SUM(Q169:Q180)&gt;0,(AD181/G181),0)</f>
        <v>0</v>
      </c>
      <c r="R181" s="301" t="n">
        <f aca="false">IF(SUM(R169:R180)&gt;0,(AE181/G181),0)</f>
        <v>0</v>
      </c>
      <c r="S181" s="301" t="n">
        <f aca="false">IF(SUM(S169:S180)&gt;0,(AF181/G181),0)</f>
        <v>0</v>
      </c>
      <c r="T181" s="301" t="n">
        <f aca="false">IF(SUM(T169:T180)&gt;0,(AG181/G181),0)</f>
        <v>0</v>
      </c>
      <c r="U181" s="301" t="n">
        <f aca="false">IF(SUM(U169:U180)&gt;0,(AJ181/G181),0)</f>
        <v>0</v>
      </c>
      <c r="V181" s="301" t="n">
        <f aca="false">IF(SUM(V169:V180)&gt;0,(AI181/G181),0)</f>
        <v>0</v>
      </c>
      <c r="W181" s="301" t="n">
        <f aca="false">IF(SUM(W169:W180)&gt;0,(AJ181/G181),0)</f>
        <v>0</v>
      </c>
      <c r="X181" s="283"/>
      <c r="Y181" s="304" t="n">
        <f aca="false">SUM(Y169:Y180)</f>
        <v>0</v>
      </c>
      <c r="Z181" s="304" t="n">
        <f aca="false">SUM(Z169:Z180)</f>
        <v>0</v>
      </c>
      <c r="AA181" s="304" t="n">
        <f aca="false">SUM(AA169:AA180)</f>
        <v>0</v>
      </c>
      <c r="AB181" s="304" t="n">
        <f aca="false">SUM(AB169:AB180)</f>
        <v>0</v>
      </c>
      <c r="AC181" s="304" t="n">
        <f aca="false">SUM(AC169:AC180)</f>
        <v>0</v>
      </c>
      <c r="AD181" s="304" t="n">
        <f aca="false">SUM(AD169:AD180)</f>
        <v>0</v>
      </c>
      <c r="AE181" s="304" t="n">
        <f aca="false">SUM(AE169:AE180)</f>
        <v>0</v>
      </c>
      <c r="AF181" s="304" t="n">
        <f aca="false">SUM(AF169:AF180)</f>
        <v>0</v>
      </c>
      <c r="AG181" s="304" t="n">
        <f aca="false">SUM(AG169:AG180)</f>
        <v>0</v>
      </c>
      <c r="AH181" s="304" t="n">
        <f aca="false">SUM(AH169:AH180)</f>
        <v>0</v>
      </c>
      <c r="AI181" s="304" t="n">
        <f aca="false">SUM(AI169:AI180)</f>
        <v>0</v>
      </c>
      <c r="AJ181" s="304" t="n">
        <f aca="false">SUM(AJ169:AJ180)</f>
        <v>0</v>
      </c>
      <c r="AK181" s="335" t="n">
        <f aca="false">SUM(AK169:AK180)</f>
        <v>0</v>
      </c>
      <c r="AL181" s="336" t="n">
        <f aca="false">SUM(AL169:AL180)</f>
        <v>0</v>
      </c>
      <c r="AM181" s="305" t="n">
        <f aca="false">SUM(AM169:AM180)</f>
        <v>0</v>
      </c>
      <c r="AN181" s="283"/>
      <c r="AO181" s="304" t="n">
        <f aca="false">SUM(AO169:AO180)</f>
        <v>0</v>
      </c>
      <c r="AP181" s="304" t="n">
        <f aca="false">SUM(AP169:AP180)</f>
        <v>0</v>
      </c>
      <c r="AQ181" s="304" t="n">
        <f aca="false">SUM(AQ169:AQ180)</f>
        <v>0</v>
      </c>
      <c r="AR181" s="304" t="n">
        <f aca="false">SUM(AR169:AR180)</f>
        <v>0</v>
      </c>
      <c r="AS181" s="304" t="n">
        <f aca="false">SUM(AS169:AS180)</f>
        <v>0</v>
      </c>
      <c r="AT181" s="304" t="n">
        <f aca="false">SUM(AT169:AT180)</f>
        <v>0</v>
      </c>
      <c r="AU181" s="304" t="n">
        <f aca="false">SUM(AU169:AU180)</f>
        <v>0</v>
      </c>
      <c r="AV181" s="304" t="n">
        <f aca="false">SUM(AV169:AV180)</f>
        <v>0</v>
      </c>
      <c r="AW181" s="304" t="n">
        <f aca="false">SUM(AW169:AW180)</f>
        <v>0</v>
      </c>
      <c r="AX181" s="304" t="n">
        <f aca="false">SUM(AX169:AX180)</f>
        <v>0</v>
      </c>
      <c r="AY181" s="304" t="n">
        <f aca="false">SUM(AY169:AY180)</f>
        <v>0</v>
      </c>
      <c r="AZ181" s="304" t="n">
        <f aca="false">SUM(AZ169:AZ180)</f>
        <v>0</v>
      </c>
      <c r="BA181" s="336" t="n">
        <f aca="false">SUM(BA169:BA180)</f>
        <v>0</v>
      </c>
      <c r="BB181" s="336" t="n">
        <f aca="false">SUM(BB169:BB180)</f>
        <v>0</v>
      </c>
      <c r="BC181" s="305" t="n">
        <f aca="false">SUM(BC169:BC180)</f>
        <v>0</v>
      </c>
      <c r="BD181" s="303"/>
      <c r="BE181" s="337"/>
    </row>
    <row r="182" customFormat="false" ht="15" hidden="false" customHeight="true" outlineLevel="0" collapsed="false">
      <c r="B182" s="296"/>
      <c r="D182" s="297"/>
      <c r="E182" s="300"/>
      <c r="F182" s="300"/>
      <c r="G182" s="300"/>
      <c r="H182" s="241"/>
      <c r="I182" s="302"/>
      <c r="J182" s="302"/>
      <c r="K182" s="241"/>
      <c r="L182" s="259"/>
      <c r="M182" s="259"/>
      <c r="N182" s="259"/>
      <c r="O182" s="259"/>
      <c r="P182" s="259"/>
      <c r="Q182" s="259"/>
      <c r="R182" s="259"/>
      <c r="S182" s="259"/>
      <c r="T182" s="259"/>
      <c r="U182" s="259"/>
      <c r="V182" s="259"/>
      <c r="W182" s="259"/>
      <c r="X182" s="303"/>
      <c r="Y182" s="259"/>
      <c r="Z182" s="303"/>
      <c r="AA182" s="303"/>
      <c r="AB182" s="303"/>
      <c r="AC182" s="303"/>
      <c r="AD182" s="303"/>
      <c r="AE182" s="303"/>
      <c r="AF182" s="303"/>
      <c r="AG182" s="303"/>
      <c r="AH182" s="303"/>
      <c r="AI182" s="303"/>
      <c r="AJ182" s="303"/>
      <c r="AK182" s="303"/>
      <c r="AL182" s="303"/>
      <c r="AM182" s="303"/>
      <c r="AN182" s="303"/>
      <c r="AO182" s="259"/>
      <c r="AP182" s="303"/>
      <c r="AQ182" s="303"/>
      <c r="AR182" s="303"/>
      <c r="AS182" s="303"/>
      <c r="AT182" s="303"/>
      <c r="AU182" s="303"/>
      <c r="AV182" s="303"/>
      <c r="AW182" s="303"/>
      <c r="AX182" s="303"/>
      <c r="AY182" s="303"/>
      <c r="AZ182" s="303"/>
      <c r="BA182" s="303"/>
      <c r="BB182" s="303"/>
      <c r="BC182" s="303"/>
      <c r="BD182" s="268"/>
      <c r="BE182" s="303"/>
    </row>
    <row r="183" customFormat="false" ht="15" hidden="false" customHeight="true" outlineLevel="0" collapsed="false">
      <c r="A183" s="198" t="n">
        <f aca="false">A167+1</f>
        <v>12</v>
      </c>
      <c r="B183" s="266" t="s">
        <v>253</v>
      </c>
      <c r="C183" s="266" t="s">
        <v>253</v>
      </c>
      <c r="D183" s="266"/>
      <c r="E183" s="241"/>
      <c r="F183" s="241"/>
      <c r="G183" s="241"/>
      <c r="H183" s="241"/>
      <c r="I183" s="241"/>
      <c r="J183" s="241"/>
      <c r="K183" s="277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59"/>
      <c r="Y183" s="268"/>
      <c r="Z183" s="268"/>
      <c r="AA183" s="268"/>
      <c r="AB183" s="268"/>
      <c r="AC183" s="268"/>
      <c r="AD183" s="268"/>
      <c r="AE183" s="268"/>
      <c r="AF183" s="268"/>
      <c r="AG183" s="268"/>
      <c r="AH183" s="268"/>
      <c r="AI183" s="268"/>
      <c r="AJ183" s="268"/>
      <c r="AK183" s="268"/>
      <c r="AL183" s="268"/>
      <c r="AM183" s="268"/>
      <c r="AN183" s="259"/>
      <c r="AO183" s="268"/>
      <c r="AP183" s="268"/>
      <c r="AQ183" s="268"/>
      <c r="AR183" s="268"/>
      <c r="AS183" s="268"/>
      <c r="AT183" s="268"/>
      <c r="AU183" s="268"/>
      <c r="AV183" s="268"/>
      <c r="AW183" s="268"/>
      <c r="AX183" s="268"/>
      <c r="AY183" s="268"/>
      <c r="AZ183" s="268"/>
      <c r="BA183" s="268"/>
      <c r="BB183" s="268"/>
      <c r="BC183" s="268"/>
      <c r="BD183" s="287"/>
      <c r="BE183" s="268"/>
    </row>
    <row r="184" customFormat="false" ht="7.5" hidden="false" customHeight="true" outlineLevel="0" collapsed="false">
      <c r="A184" s="198"/>
      <c r="B184" s="266"/>
      <c r="C184" s="266"/>
      <c r="D184" s="266"/>
      <c r="E184" s="241"/>
      <c r="F184" s="241"/>
      <c r="G184" s="241"/>
      <c r="H184" s="204"/>
      <c r="I184" s="269"/>
      <c r="J184" s="269"/>
      <c r="K184" s="277"/>
      <c r="L184" s="269"/>
      <c r="M184" s="269"/>
      <c r="N184" s="269"/>
      <c r="O184" s="269"/>
      <c r="P184" s="269"/>
      <c r="Q184" s="269"/>
      <c r="R184" s="269"/>
      <c r="S184" s="269"/>
      <c r="T184" s="269"/>
      <c r="U184" s="269"/>
      <c r="V184" s="269"/>
      <c r="W184" s="269"/>
      <c r="X184" s="259"/>
      <c r="Y184" s="271"/>
      <c r="Z184" s="271"/>
      <c r="AA184" s="271"/>
      <c r="AB184" s="271"/>
      <c r="AC184" s="271"/>
      <c r="AD184" s="271"/>
      <c r="AE184" s="271"/>
      <c r="AF184" s="271"/>
      <c r="AG184" s="271"/>
      <c r="AH184" s="271"/>
      <c r="AI184" s="271"/>
      <c r="AJ184" s="272"/>
      <c r="AK184" s="273"/>
      <c r="AL184" s="273"/>
      <c r="AM184" s="273"/>
      <c r="AN184" s="259"/>
      <c r="AO184" s="271"/>
      <c r="AP184" s="271"/>
      <c r="AQ184" s="271"/>
      <c r="AR184" s="271"/>
      <c r="AS184" s="271"/>
      <c r="AT184" s="271"/>
      <c r="AU184" s="271"/>
      <c r="AV184" s="271"/>
      <c r="AW184" s="271"/>
      <c r="AX184" s="271"/>
      <c r="AY184" s="271"/>
      <c r="AZ184" s="272"/>
      <c r="BA184" s="273"/>
      <c r="BB184" s="273"/>
      <c r="BC184" s="273"/>
      <c r="BD184" s="287"/>
      <c r="BE184" s="274"/>
    </row>
    <row r="185" customFormat="false" ht="15" hidden="false" customHeight="true" outlineLevel="0" collapsed="false">
      <c r="B185" s="333"/>
      <c r="C185" s="334"/>
      <c r="D185" s="333" t="n">
        <f aca="false">D169</f>
        <v>45292</v>
      </c>
      <c r="E185" s="277" t="n">
        <v>0</v>
      </c>
      <c r="F185" s="277" t="n">
        <v>0</v>
      </c>
      <c r="G185" s="277" t="n">
        <f aca="false">SUM(E185:F185)</f>
        <v>0</v>
      </c>
      <c r="H185" s="204"/>
      <c r="I185" s="279" t="n">
        <v>1</v>
      </c>
      <c r="J185" s="280" t="n">
        <f aca="false">1-I185</f>
        <v>0</v>
      </c>
      <c r="K185" s="277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68"/>
      <c r="Y185" s="284" t="n">
        <f aca="false">IFERROR(L185*$G185*I$9, "")</f>
        <v>0</v>
      </c>
      <c r="Z185" s="284" t="n">
        <f aca="false">IFERROR(M185*$G185*$I185, "")</f>
        <v>0</v>
      </c>
      <c r="AA185" s="284" t="n">
        <f aca="false">IFERROR(N185*$G185*$I185, "")</f>
        <v>0</v>
      </c>
      <c r="AB185" s="284" t="n">
        <f aca="false">IFERROR(O185*$G185*$I185, "")</f>
        <v>0</v>
      </c>
      <c r="AC185" s="284" t="n">
        <f aca="false">IFERROR(P185*$G185*$I185, "")</f>
        <v>0</v>
      </c>
      <c r="AD185" s="284" t="n">
        <f aca="false">IFERROR(Q185*$G185*$I185, "")</f>
        <v>0</v>
      </c>
      <c r="AE185" s="284" t="n">
        <f aca="false">IFERROR(R185*$G185*$I185, "")</f>
        <v>0</v>
      </c>
      <c r="AF185" s="284" t="n">
        <f aca="false">IFERROR(S185*$G185*$I185, "")</f>
        <v>0</v>
      </c>
      <c r="AG185" s="284" t="n">
        <f aca="false">IFERROR(T185*$G185*$I185, "")</f>
        <v>0</v>
      </c>
      <c r="AH185" s="284" t="n">
        <f aca="false">IFERROR(U185*$G185*$I185, "")</f>
        <v>0</v>
      </c>
      <c r="AI185" s="284" t="n">
        <f aca="false">IFERROR(V185*$G185*$I185, "")</f>
        <v>0</v>
      </c>
      <c r="AJ185" s="284" t="n">
        <f aca="false">IFERROR(W185*$G185*$I185, "")</f>
        <v>0</v>
      </c>
      <c r="AK185" s="286" t="n">
        <f aca="false">IFERROR(SUMIF($Y$4:$AJ$4, "RDEC", Y185:AJ185), "")</f>
        <v>0</v>
      </c>
      <c r="AL185" s="286" t="n">
        <f aca="false">IFERROR(SUMIF($Y$4:$AJ$4, "SME", Y185:AJ185), "")</f>
        <v>0</v>
      </c>
      <c r="AM185" s="286" t="n">
        <f aca="false">IFERROR(SUMIF($Y$4:$AJ$4, "De Minimis", Y185:AJ185), "")</f>
        <v>0</v>
      </c>
      <c r="AN185" s="268"/>
      <c r="AO185" s="284" t="n">
        <f aca="false">IFERROR($G185*$J185*L185, "")</f>
        <v>0</v>
      </c>
      <c r="AP185" s="284" t="n">
        <f aca="false">IFERROR($G185*$J185*M185, "")</f>
        <v>0</v>
      </c>
      <c r="AQ185" s="284" t="n">
        <f aca="false">IFERROR($G185*$J185*N185, "")</f>
        <v>0</v>
      </c>
      <c r="AR185" s="284" t="n">
        <f aca="false">IFERROR($G185*$J185*O185, "")</f>
        <v>0</v>
      </c>
      <c r="AS185" s="284" t="n">
        <f aca="false">IFERROR($G185*$J185*P185, "")</f>
        <v>0</v>
      </c>
      <c r="AT185" s="284" t="n">
        <f aca="false">IFERROR($G185*$J185*Q185, "")</f>
        <v>0</v>
      </c>
      <c r="AU185" s="284" t="n">
        <f aca="false">IFERROR($G185*$J185*R185, "")</f>
        <v>0</v>
      </c>
      <c r="AV185" s="284" t="n">
        <f aca="false">IFERROR($G185*$J185*S185, "")</f>
        <v>0</v>
      </c>
      <c r="AW185" s="284" t="n">
        <f aca="false">IFERROR($G185*$J185*T185, "")</f>
        <v>0</v>
      </c>
      <c r="AX185" s="284" t="n">
        <f aca="false">IFERROR($G185*$J185*U185, "")</f>
        <v>0</v>
      </c>
      <c r="AY185" s="284" t="n">
        <f aca="false">IFERROR($G185*$J185*V185, "")</f>
        <v>0</v>
      </c>
      <c r="AZ185" s="284" t="n">
        <f aca="false">IFERROR($G185*$J185*W185, "")</f>
        <v>0</v>
      </c>
      <c r="BA185" s="286" t="n">
        <f aca="false">IFERROR(SUMIF($AO$4:$AZ$4, "RDEC", AO185:AZ185), "")</f>
        <v>0</v>
      </c>
      <c r="BB185" s="286" t="n">
        <f aca="false">IFERROR(SUMIF($AO$4:$AZ$4, "SME", AO185:AZ185), "")</f>
        <v>0</v>
      </c>
      <c r="BC185" s="286" t="n">
        <f aca="false">IFERROR(SUMIF($AO$4:$AZ$4, "De Minimis", AO185:AZ185), "")</f>
        <v>0</v>
      </c>
      <c r="BD185" s="287"/>
      <c r="BE185" s="288" t="str">
        <f aca="false">IF((SUM(L185:W185)&gt;1),"ERROR","")</f>
        <v/>
      </c>
    </row>
    <row r="186" customFormat="false" ht="15" hidden="false" customHeight="true" outlineLevel="0" collapsed="false">
      <c r="B186" s="333"/>
      <c r="C186" s="334"/>
      <c r="D186" s="333" t="n">
        <f aca="false">D170</f>
        <v>45323</v>
      </c>
      <c r="E186" s="277" t="n">
        <v>0</v>
      </c>
      <c r="F186" s="277" t="n">
        <v>0</v>
      </c>
      <c r="G186" s="277" t="n">
        <f aca="false">SUM(E186:F186)</f>
        <v>0</v>
      </c>
      <c r="H186" s="204"/>
      <c r="I186" s="279" t="n">
        <v>1</v>
      </c>
      <c r="J186" s="280" t="n">
        <f aca="false">1-I186</f>
        <v>0</v>
      </c>
      <c r="K186" s="277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283"/>
      <c r="Y186" s="284" t="n">
        <f aca="false">IFERROR(L186*$G186*I$9, "")</f>
        <v>0</v>
      </c>
      <c r="Z186" s="284" t="n">
        <f aca="false">IFERROR(M186*$G186*$I186, "")</f>
        <v>0</v>
      </c>
      <c r="AA186" s="284" t="n">
        <f aca="false">IFERROR(N186*$G186*$I186, "")</f>
        <v>0</v>
      </c>
      <c r="AB186" s="284" t="n">
        <f aca="false">IFERROR(O186*$G186*$I186, "")</f>
        <v>0</v>
      </c>
      <c r="AC186" s="284" t="n">
        <f aca="false">IFERROR(P186*$G186*$I186, "")</f>
        <v>0</v>
      </c>
      <c r="AD186" s="284" t="n">
        <f aca="false">IFERROR(Q186*$G186*$I186, "")</f>
        <v>0</v>
      </c>
      <c r="AE186" s="284" t="n">
        <f aca="false">IFERROR(R186*$G186*$I186, "")</f>
        <v>0</v>
      </c>
      <c r="AF186" s="284" t="n">
        <f aca="false">IFERROR(S186*$G186*$I186, "")</f>
        <v>0</v>
      </c>
      <c r="AG186" s="284" t="n">
        <f aca="false">IFERROR(T186*$G186*$I186, "")</f>
        <v>0</v>
      </c>
      <c r="AH186" s="284" t="n">
        <f aca="false">IFERROR(U186*$G186*$I186, "")</f>
        <v>0</v>
      </c>
      <c r="AI186" s="284" t="n">
        <f aca="false">IFERROR(V186*$G186*$I186, "")</f>
        <v>0</v>
      </c>
      <c r="AJ186" s="284" t="n">
        <f aca="false">IFERROR(W186*$G186*$I186, "")</f>
        <v>0</v>
      </c>
      <c r="AK186" s="286" t="n">
        <f aca="false">IFERROR(SUMIF($Y$4:$AJ$4, "RDEC", Y186:AJ186), "")</f>
        <v>0</v>
      </c>
      <c r="AL186" s="286" t="n">
        <f aca="false">IFERROR(SUMIF($Y$4:$AJ$4, "SME", Y186:AJ186), "")</f>
        <v>0</v>
      </c>
      <c r="AM186" s="286" t="n">
        <f aca="false">IFERROR(SUMIF($Y$4:$AJ$4, "De Minimis", Y186:AJ186), "")</f>
        <v>0</v>
      </c>
      <c r="AN186" s="283"/>
      <c r="AO186" s="284" t="n">
        <f aca="false">IFERROR($G186*$J186*L186, "")</f>
        <v>0</v>
      </c>
      <c r="AP186" s="284" t="n">
        <f aca="false">IFERROR($G186*$J186*M186, "")</f>
        <v>0</v>
      </c>
      <c r="AQ186" s="284" t="n">
        <f aca="false">IFERROR($G186*$J186*N186, "")</f>
        <v>0</v>
      </c>
      <c r="AR186" s="284" t="n">
        <f aca="false">IFERROR($G186*$J186*O186, "")</f>
        <v>0</v>
      </c>
      <c r="AS186" s="284" t="n">
        <f aca="false">IFERROR($G186*$J186*P186, "")</f>
        <v>0</v>
      </c>
      <c r="AT186" s="284" t="n">
        <f aca="false">IFERROR($G186*$J186*Q186, "")</f>
        <v>0</v>
      </c>
      <c r="AU186" s="284" t="n">
        <f aca="false">IFERROR($G186*$J186*R186, "")</f>
        <v>0</v>
      </c>
      <c r="AV186" s="284" t="n">
        <f aca="false">IFERROR($G186*$J186*S186, "")</f>
        <v>0</v>
      </c>
      <c r="AW186" s="284" t="n">
        <f aca="false">IFERROR($G186*$J186*T186, "")</f>
        <v>0</v>
      </c>
      <c r="AX186" s="284" t="n">
        <f aca="false">IFERROR($G186*$J186*U186, "")</f>
        <v>0</v>
      </c>
      <c r="AY186" s="284" t="n">
        <f aca="false">IFERROR($G186*$J186*V186, "")</f>
        <v>0</v>
      </c>
      <c r="AZ186" s="284" t="n">
        <f aca="false">IFERROR($G186*$J186*W186, "")</f>
        <v>0</v>
      </c>
      <c r="BA186" s="286" t="n">
        <f aca="false">IFERROR(SUMIF($AO$4:$AZ$4, "RDEC", AO186:AZ186), "")</f>
        <v>0</v>
      </c>
      <c r="BB186" s="286" t="n">
        <f aca="false">IFERROR(SUMIF($AO$4:$AZ$4, "SME", AO186:AZ186), "")</f>
        <v>0</v>
      </c>
      <c r="BC186" s="286" t="n">
        <f aca="false">IFERROR(SUMIF($Y$4:$AJ$4, "De Minimis", AO186:AZ186), "")</f>
        <v>0</v>
      </c>
      <c r="BD186" s="287"/>
      <c r="BE186" s="288" t="str">
        <f aca="false">IF((SUM(L186:W186)&gt;1),"ERROR","")</f>
        <v/>
      </c>
    </row>
    <row r="187" customFormat="false" ht="15" hidden="false" customHeight="true" outlineLevel="0" collapsed="false">
      <c r="B187" s="333"/>
      <c r="C187" s="334"/>
      <c r="D187" s="333" t="n">
        <f aca="false">D171</f>
        <v>45352</v>
      </c>
      <c r="E187" s="277" t="n">
        <v>0</v>
      </c>
      <c r="F187" s="277" t="n">
        <v>0</v>
      </c>
      <c r="G187" s="277" t="n">
        <f aca="false">SUM(E187:F187)</f>
        <v>0</v>
      </c>
      <c r="H187" s="204"/>
      <c r="I187" s="279" t="n">
        <v>1</v>
      </c>
      <c r="J187" s="280" t="n">
        <f aca="false">1-I187</f>
        <v>0</v>
      </c>
      <c r="K187" s="277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283"/>
      <c r="Y187" s="284" t="n">
        <f aca="false">IFERROR(L187*$G187*I$9, "")</f>
        <v>0</v>
      </c>
      <c r="Z187" s="284" t="n">
        <f aca="false">IFERROR(M187*$G187*$I187, "")</f>
        <v>0</v>
      </c>
      <c r="AA187" s="284" t="n">
        <f aca="false">IFERROR(N187*$G187*$I187, "")</f>
        <v>0</v>
      </c>
      <c r="AB187" s="284" t="n">
        <f aca="false">IFERROR(O187*$G187*$I187, "")</f>
        <v>0</v>
      </c>
      <c r="AC187" s="284" t="n">
        <f aca="false">IFERROR(P187*$G187*$I187, "")</f>
        <v>0</v>
      </c>
      <c r="AD187" s="284" t="n">
        <f aca="false">IFERROR(Q187*$G187*$I187, "")</f>
        <v>0</v>
      </c>
      <c r="AE187" s="284" t="n">
        <f aca="false">IFERROR(R187*$G187*$I187, "")</f>
        <v>0</v>
      </c>
      <c r="AF187" s="284" t="n">
        <f aca="false">IFERROR(S187*$G187*$I187, "")</f>
        <v>0</v>
      </c>
      <c r="AG187" s="284" t="n">
        <f aca="false">IFERROR(T187*$G187*$I187, "")</f>
        <v>0</v>
      </c>
      <c r="AH187" s="284" t="n">
        <f aca="false">IFERROR(U187*$G187*$I187, "")</f>
        <v>0</v>
      </c>
      <c r="AI187" s="284" t="n">
        <f aca="false">IFERROR(V187*$G187*$I187, "")</f>
        <v>0</v>
      </c>
      <c r="AJ187" s="284" t="n">
        <f aca="false">IFERROR(W187*$G187*$I187, "")</f>
        <v>0</v>
      </c>
      <c r="AK187" s="286" t="n">
        <f aca="false">IFERROR(SUMIF($Y$4:$AJ$4, "RDEC", Y187:AJ187), "")</f>
        <v>0</v>
      </c>
      <c r="AL187" s="286" t="n">
        <f aca="false">IFERROR(SUMIF($Y$4:$AJ$4, "SME", Y187:AJ187), "")</f>
        <v>0</v>
      </c>
      <c r="AM187" s="286" t="n">
        <f aca="false">IFERROR(SUMIF($Y$4:$AJ$4, "De Minimis", Y187:AJ187), "")</f>
        <v>0</v>
      </c>
      <c r="AN187" s="283"/>
      <c r="AO187" s="284" t="n">
        <f aca="false">IFERROR($G187*$J187*L187, "")</f>
        <v>0</v>
      </c>
      <c r="AP187" s="284" t="n">
        <f aca="false">IFERROR($G187*$J187*M187, "")</f>
        <v>0</v>
      </c>
      <c r="AQ187" s="284" t="n">
        <f aca="false">IFERROR($G187*$J187*N187, "")</f>
        <v>0</v>
      </c>
      <c r="AR187" s="284" t="n">
        <f aca="false">IFERROR($G187*$J187*O187, "")</f>
        <v>0</v>
      </c>
      <c r="AS187" s="284" t="n">
        <f aca="false">IFERROR($G187*$J187*P187, "")</f>
        <v>0</v>
      </c>
      <c r="AT187" s="284" t="n">
        <f aca="false">IFERROR($G187*$J187*Q187, "")</f>
        <v>0</v>
      </c>
      <c r="AU187" s="284" t="n">
        <f aca="false">IFERROR($G187*$J187*R187, "")</f>
        <v>0</v>
      </c>
      <c r="AV187" s="284" t="n">
        <f aca="false">IFERROR($G187*$J187*S187, "")</f>
        <v>0</v>
      </c>
      <c r="AW187" s="284" t="n">
        <f aca="false">IFERROR($G187*$J187*T187, "")</f>
        <v>0</v>
      </c>
      <c r="AX187" s="284" t="n">
        <f aca="false">IFERROR($G187*$J187*U187, "")</f>
        <v>0</v>
      </c>
      <c r="AY187" s="284" t="n">
        <f aca="false">IFERROR($G187*$J187*V187, "")</f>
        <v>0</v>
      </c>
      <c r="AZ187" s="284" t="n">
        <f aca="false">IFERROR($G187*$J187*W187, "")</f>
        <v>0</v>
      </c>
      <c r="BA187" s="286" t="n">
        <f aca="false">IFERROR(SUMIF($AO$4:$AZ$4, "RDEC", AO187:AZ187), "")</f>
        <v>0</v>
      </c>
      <c r="BB187" s="286" t="n">
        <f aca="false">IFERROR(SUMIF($AO$4:$AZ$4, "SME", AO187:AZ187), "")</f>
        <v>0</v>
      </c>
      <c r="BC187" s="286" t="n">
        <f aca="false">IFERROR(SUMIF($Y$4:$AJ$4, "De Minimis", AO187:AZ187), "")</f>
        <v>0</v>
      </c>
      <c r="BD187" s="287"/>
      <c r="BE187" s="288" t="str">
        <f aca="false">IF((SUM(L187:W187)&gt;1),"ERROR","")</f>
        <v/>
      </c>
    </row>
    <row r="188" customFormat="false" ht="15" hidden="false" customHeight="true" outlineLevel="0" collapsed="false">
      <c r="B188" s="333"/>
      <c r="C188" s="334"/>
      <c r="D188" s="333" t="n">
        <f aca="false">D172</f>
        <v>45383</v>
      </c>
      <c r="E188" s="277" t="n">
        <v>0</v>
      </c>
      <c r="F188" s="277" t="n">
        <v>0</v>
      </c>
      <c r="G188" s="277" t="n">
        <f aca="false">SUM(E188:F188)</f>
        <v>0</v>
      </c>
      <c r="H188" s="204"/>
      <c r="I188" s="279" t="n">
        <v>1</v>
      </c>
      <c r="J188" s="280" t="n">
        <f aca="false">1-I188</f>
        <v>0</v>
      </c>
      <c r="K188" s="277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283"/>
      <c r="Y188" s="284" t="n">
        <f aca="false">IFERROR(L188*$G188*I$9, "")</f>
        <v>0</v>
      </c>
      <c r="Z188" s="284" t="n">
        <f aca="false">IFERROR(M188*$G188*$I188, "")</f>
        <v>0</v>
      </c>
      <c r="AA188" s="284" t="n">
        <f aca="false">IFERROR(N188*$G188*$I188, "")</f>
        <v>0</v>
      </c>
      <c r="AB188" s="284" t="n">
        <f aca="false">IFERROR(O188*$G188*$I188, "")</f>
        <v>0</v>
      </c>
      <c r="AC188" s="284" t="n">
        <f aca="false">IFERROR(P188*$G188*$I188, "")</f>
        <v>0</v>
      </c>
      <c r="AD188" s="284" t="n">
        <f aca="false">IFERROR(Q188*$G188*$I188, "")</f>
        <v>0</v>
      </c>
      <c r="AE188" s="284" t="n">
        <f aca="false">IFERROR(R188*$G188*$I188, "")</f>
        <v>0</v>
      </c>
      <c r="AF188" s="284" t="n">
        <f aca="false">IFERROR(S188*$G188*$I188, "")</f>
        <v>0</v>
      </c>
      <c r="AG188" s="284" t="n">
        <f aca="false">IFERROR(T188*$G188*$I188, "")</f>
        <v>0</v>
      </c>
      <c r="AH188" s="284" t="n">
        <f aca="false">IFERROR(U188*$G188*$I188, "")</f>
        <v>0</v>
      </c>
      <c r="AI188" s="284" t="n">
        <f aca="false">IFERROR(V188*$G188*$I188, "")</f>
        <v>0</v>
      </c>
      <c r="AJ188" s="284" t="n">
        <f aca="false">IFERROR(W188*$G188*$I188, "")</f>
        <v>0</v>
      </c>
      <c r="AK188" s="286" t="n">
        <f aca="false">IFERROR(SUMIF($Y$4:$AJ$4, "RDEC", Y188:AJ188), "")</f>
        <v>0</v>
      </c>
      <c r="AL188" s="286" t="n">
        <f aca="false">IFERROR(SUMIF($Y$4:$AJ$4, "SME", Y188:AJ188), "")</f>
        <v>0</v>
      </c>
      <c r="AM188" s="286" t="n">
        <f aca="false">IFERROR(SUMIF($Y$4:$AJ$4, "De Minimis", Y188:AJ188), "")</f>
        <v>0</v>
      </c>
      <c r="AN188" s="283"/>
      <c r="AO188" s="284" t="n">
        <f aca="false">IFERROR($G188*$J188*L188, "")</f>
        <v>0</v>
      </c>
      <c r="AP188" s="284" t="n">
        <f aca="false">IFERROR($G188*$J188*M188, "")</f>
        <v>0</v>
      </c>
      <c r="AQ188" s="284" t="n">
        <f aca="false">IFERROR($G188*$J188*N188, "")</f>
        <v>0</v>
      </c>
      <c r="AR188" s="284" t="n">
        <f aca="false">IFERROR($G188*$J188*O188, "")</f>
        <v>0</v>
      </c>
      <c r="AS188" s="284" t="n">
        <f aca="false">IFERROR($G188*$J188*P188, "")</f>
        <v>0</v>
      </c>
      <c r="AT188" s="284" t="n">
        <f aca="false">IFERROR($G188*$J188*Q188, "")</f>
        <v>0</v>
      </c>
      <c r="AU188" s="284" t="n">
        <f aca="false">IFERROR($G188*$J188*R188, "")</f>
        <v>0</v>
      </c>
      <c r="AV188" s="284" t="n">
        <f aca="false">IFERROR($G188*$J188*S188, "")</f>
        <v>0</v>
      </c>
      <c r="AW188" s="284" t="n">
        <f aca="false">IFERROR($G188*$J188*T188, "")</f>
        <v>0</v>
      </c>
      <c r="AX188" s="284" t="n">
        <f aca="false">IFERROR($G188*$J188*U188, "")</f>
        <v>0</v>
      </c>
      <c r="AY188" s="284" t="n">
        <f aca="false">IFERROR($G188*$J188*V188, "")</f>
        <v>0</v>
      </c>
      <c r="AZ188" s="284" t="n">
        <f aca="false">IFERROR($G188*$J188*W188, "")</f>
        <v>0</v>
      </c>
      <c r="BA188" s="286" t="n">
        <f aca="false">IFERROR(SUMIF($AO$4:$AZ$4, "RDEC", AO188:AZ188), "")</f>
        <v>0</v>
      </c>
      <c r="BB188" s="286" t="n">
        <f aca="false">IFERROR(SUMIF($AO$4:$AZ$4, "SME", AO188:AZ188), "")</f>
        <v>0</v>
      </c>
      <c r="BC188" s="286" t="n">
        <f aca="false">IFERROR(SUMIF($Y$4:$AJ$4, "De Minimis", AO188:AZ188), "")</f>
        <v>0</v>
      </c>
      <c r="BD188" s="287"/>
      <c r="BE188" s="288" t="str">
        <f aca="false">IF((SUM(L188:W188)&gt;1),"ERROR","")</f>
        <v/>
      </c>
    </row>
    <row r="189" customFormat="false" ht="15" hidden="false" customHeight="true" outlineLevel="0" collapsed="false">
      <c r="B189" s="333"/>
      <c r="C189" s="334"/>
      <c r="D189" s="333" t="n">
        <f aca="false">D173</f>
        <v>45413</v>
      </c>
      <c r="E189" s="277" t="n">
        <v>0</v>
      </c>
      <c r="F189" s="277" t="n">
        <v>0</v>
      </c>
      <c r="G189" s="277" t="n">
        <f aca="false">SUM(E189:F189)</f>
        <v>0</v>
      </c>
      <c r="H189" s="204"/>
      <c r="I189" s="279" t="n">
        <v>1</v>
      </c>
      <c r="J189" s="280" t="n">
        <f aca="false">1-I189</f>
        <v>0</v>
      </c>
      <c r="K189" s="277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283"/>
      <c r="Y189" s="284" t="n">
        <f aca="false">IFERROR(L189*$G189*I$9, "")</f>
        <v>0</v>
      </c>
      <c r="Z189" s="284" t="n">
        <f aca="false">IFERROR(M189*$G189*$I189, "")</f>
        <v>0</v>
      </c>
      <c r="AA189" s="284" t="n">
        <f aca="false">IFERROR(N189*$G189*$I189, "")</f>
        <v>0</v>
      </c>
      <c r="AB189" s="284" t="n">
        <f aca="false">IFERROR(O189*$G189*$I189, "")</f>
        <v>0</v>
      </c>
      <c r="AC189" s="284" t="n">
        <f aca="false">IFERROR(P189*$G189*$I189, "")</f>
        <v>0</v>
      </c>
      <c r="AD189" s="284" t="n">
        <f aca="false">IFERROR(Q189*$G189*$I189, "")</f>
        <v>0</v>
      </c>
      <c r="AE189" s="284" t="n">
        <f aca="false">IFERROR(R189*$G189*$I189, "")</f>
        <v>0</v>
      </c>
      <c r="AF189" s="284" t="n">
        <f aca="false">IFERROR(S189*$G189*$I189, "")</f>
        <v>0</v>
      </c>
      <c r="AG189" s="284" t="n">
        <f aca="false">IFERROR(T189*$G189*$I189, "")</f>
        <v>0</v>
      </c>
      <c r="AH189" s="284" t="n">
        <f aca="false">IFERROR(U189*$G189*$I189, "")</f>
        <v>0</v>
      </c>
      <c r="AI189" s="284" t="n">
        <f aca="false">IFERROR(V189*$G189*$I189, "")</f>
        <v>0</v>
      </c>
      <c r="AJ189" s="284" t="n">
        <f aca="false">IFERROR(W189*$G189*$I189, "")</f>
        <v>0</v>
      </c>
      <c r="AK189" s="286" t="n">
        <f aca="false">IFERROR(SUMIF($Y$4:$AJ$4, "RDEC", Y189:AJ189), "")</f>
        <v>0</v>
      </c>
      <c r="AL189" s="286" t="n">
        <f aca="false">IFERROR(SUMIF($Y$4:$AJ$4, "SME", Y189:AJ189), "")</f>
        <v>0</v>
      </c>
      <c r="AM189" s="286" t="n">
        <f aca="false">IFERROR(SUMIF($Y$4:$AJ$4, "De Minimis", Y189:AJ189), "")</f>
        <v>0</v>
      </c>
      <c r="AN189" s="283"/>
      <c r="AO189" s="284" t="n">
        <f aca="false">IFERROR($G189*$J189*L189, "")</f>
        <v>0</v>
      </c>
      <c r="AP189" s="284" t="n">
        <f aca="false">IFERROR($G189*$J189*M189, "")</f>
        <v>0</v>
      </c>
      <c r="AQ189" s="284" t="n">
        <f aca="false">IFERROR($G189*$J189*N189, "")</f>
        <v>0</v>
      </c>
      <c r="AR189" s="284" t="n">
        <f aca="false">IFERROR($G189*$J189*O189, "")</f>
        <v>0</v>
      </c>
      <c r="AS189" s="284" t="n">
        <f aca="false">IFERROR($G189*$J189*P189, "")</f>
        <v>0</v>
      </c>
      <c r="AT189" s="284" t="n">
        <f aca="false">IFERROR($G189*$J189*Q189, "")</f>
        <v>0</v>
      </c>
      <c r="AU189" s="284" t="n">
        <f aca="false">IFERROR($G189*$J189*R189, "")</f>
        <v>0</v>
      </c>
      <c r="AV189" s="284" t="n">
        <f aca="false">IFERROR($G189*$J189*S189, "")</f>
        <v>0</v>
      </c>
      <c r="AW189" s="284" t="n">
        <f aca="false">IFERROR($G189*$J189*T189, "")</f>
        <v>0</v>
      </c>
      <c r="AX189" s="284" t="n">
        <f aca="false">IFERROR($G189*$J189*U189, "")</f>
        <v>0</v>
      </c>
      <c r="AY189" s="284" t="n">
        <f aca="false">IFERROR($G189*$J189*V189, "")</f>
        <v>0</v>
      </c>
      <c r="AZ189" s="284" t="n">
        <f aca="false">IFERROR($G189*$J189*W189, "")</f>
        <v>0</v>
      </c>
      <c r="BA189" s="286" t="n">
        <f aca="false">IFERROR(SUMIF($AO$4:$AZ$4, "RDEC", AO189:AZ189), "")</f>
        <v>0</v>
      </c>
      <c r="BB189" s="286" t="n">
        <f aca="false">IFERROR(SUMIF($AO$4:$AZ$4, "SME", AO189:AZ189), "")</f>
        <v>0</v>
      </c>
      <c r="BC189" s="286" t="n">
        <f aca="false">IFERROR(SUMIF($Y$4:$AJ$4, "De Minimis", AO189:AZ189), "")</f>
        <v>0</v>
      </c>
      <c r="BD189" s="287"/>
      <c r="BE189" s="288" t="str">
        <f aca="false">IF((SUM(L189:W189)&gt;1),"ERROR","")</f>
        <v/>
      </c>
    </row>
    <row r="190" customFormat="false" ht="15" hidden="false" customHeight="true" outlineLevel="0" collapsed="false">
      <c r="B190" s="333"/>
      <c r="C190" s="334"/>
      <c r="D190" s="333" t="n">
        <f aca="false">D174</f>
        <v>45444</v>
      </c>
      <c r="E190" s="277" t="n">
        <v>0</v>
      </c>
      <c r="F190" s="277" t="n">
        <v>0</v>
      </c>
      <c r="G190" s="277" t="n">
        <f aca="false">SUM(E190:F190)</f>
        <v>0</v>
      </c>
      <c r="H190" s="204"/>
      <c r="I190" s="279" t="n">
        <v>1</v>
      </c>
      <c r="J190" s="280" t="n">
        <f aca="false">1-I190</f>
        <v>0</v>
      </c>
      <c r="K190" s="277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3"/>
      <c r="Y190" s="284" t="n">
        <f aca="false">IFERROR(L190*$G190*I$9, "")</f>
        <v>0</v>
      </c>
      <c r="Z190" s="284" t="n">
        <f aca="false">IFERROR(M190*$G190*$I190, "")</f>
        <v>0</v>
      </c>
      <c r="AA190" s="284" t="n">
        <f aca="false">IFERROR(N190*$G190*$I190, "")</f>
        <v>0</v>
      </c>
      <c r="AB190" s="284" t="n">
        <f aca="false">IFERROR(O190*$G190*$I190, "")</f>
        <v>0</v>
      </c>
      <c r="AC190" s="284" t="n">
        <f aca="false">IFERROR(P190*$G190*$I190, "")</f>
        <v>0</v>
      </c>
      <c r="AD190" s="284" t="n">
        <f aca="false">IFERROR(Q190*$G190*$I190, "")</f>
        <v>0</v>
      </c>
      <c r="AE190" s="284" t="n">
        <f aca="false">IFERROR(R190*$G190*$I190, "")</f>
        <v>0</v>
      </c>
      <c r="AF190" s="284" t="n">
        <f aca="false">IFERROR(S190*$G190*$I190, "")</f>
        <v>0</v>
      </c>
      <c r="AG190" s="284" t="n">
        <f aca="false">IFERROR(T190*$G190*$I190, "")</f>
        <v>0</v>
      </c>
      <c r="AH190" s="284" t="n">
        <f aca="false">IFERROR(U190*$G190*$I190, "")</f>
        <v>0</v>
      </c>
      <c r="AI190" s="284" t="n">
        <f aca="false">IFERROR(V190*$G190*$I190, "")</f>
        <v>0</v>
      </c>
      <c r="AJ190" s="284" t="n">
        <f aca="false">IFERROR(W190*$G190*$I190, "")</f>
        <v>0</v>
      </c>
      <c r="AK190" s="286" t="n">
        <f aca="false">IFERROR(SUMIF($Y$4:$AJ$4, "RDEC", Y190:AJ190), "")</f>
        <v>0</v>
      </c>
      <c r="AL190" s="286" t="n">
        <f aca="false">IFERROR(SUMIF($Y$4:$AJ$4, "SME", Y190:AJ190), "")</f>
        <v>0</v>
      </c>
      <c r="AM190" s="286" t="n">
        <f aca="false">IFERROR(SUMIF($Y$4:$AJ$4, "De Minimis", Y190:AJ190), "")</f>
        <v>0</v>
      </c>
      <c r="AN190" s="283"/>
      <c r="AO190" s="284" t="n">
        <f aca="false">IFERROR($G190*$J190*L190, "")</f>
        <v>0</v>
      </c>
      <c r="AP190" s="284" t="n">
        <f aca="false">IFERROR($G190*$J190*M190, "")</f>
        <v>0</v>
      </c>
      <c r="AQ190" s="284" t="n">
        <f aca="false">IFERROR($G190*$J190*N190, "")</f>
        <v>0</v>
      </c>
      <c r="AR190" s="284" t="n">
        <f aca="false">IFERROR($G190*$J190*O190, "")</f>
        <v>0</v>
      </c>
      <c r="AS190" s="284" t="n">
        <f aca="false">IFERROR($G190*$J190*P190, "")</f>
        <v>0</v>
      </c>
      <c r="AT190" s="284" t="n">
        <f aca="false">IFERROR($G190*$J190*Q190, "")</f>
        <v>0</v>
      </c>
      <c r="AU190" s="284" t="n">
        <f aca="false">IFERROR($G190*$J190*R190, "")</f>
        <v>0</v>
      </c>
      <c r="AV190" s="284" t="n">
        <f aca="false">IFERROR($G190*$J190*S190, "")</f>
        <v>0</v>
      </c>
      <c r="AW190" s="284" t="n">
        <f aca="false">IFERROR($G190*$J190*T190, "")</f>
        <v>0</v>
      </c>
      <c r="AX190" s="284" t="n">
        <f aca="false">IFERROR($G190*$J190*U190, "")</f>
        <v>0</v>
      </c>
      <c r="AY190" s="284" t="n">
        <f aca="false">IFERROR($G190*$J190*V190, "")</f>
        <v>0</v>
      </c>
      <c r="AZ190" s="284" t="n">
        <f aca="false">IFERROR($G190*$J190*W190, "")</f>
        <v>0</v>
      </c>
      <c r="BA190" s="286" t="n">
        <f aca="false">IFERROR(SUMIF($AO$4:$AZ$4, "RDEC", AO190:AZ190), "")</f>
        <v>0</v>
      </c>
      <c r="BB190" s="286" t="n">
        <f aca="false">IFERROR(SUMIF($AO$4:$AZ$4, "SME", AO190:AZ190), "")</f>
        <v>0</v>
      </c>
      <c r="BC190" s="286" t="n">
        <f aca="false">IFERROR(SUMIF($Y$4:$AJ$4, "De Minimis", AO190:AZ190), "")</f>
        <v>0</v>
      </c>
      <c r="BD190" s="287"/>
      <c r="BE190" s="288" t="str">
        <f aca="false">IF((SUM(L190:W190)&gt;1),"ERROR","")</f>
        <v/>
      </c>
    </row>
    <row r="191" customFormat="false" ht="15" hidden="false" customHeight="true" outlineLevel="0" collapsed="false">
      <c r="B191" s="333"/>
      <c r="C191" s="334"/>
      <c r="D191" s="333" t="n">
        <f aca="false">D175</f>
        <v>45474</v>
      </c>
      <c r="E191" s="277" t="n">
        <v>0</v>
      </c>
      <c r="F191" s="277" t="n">
        <v>0</v>
      </c>
      <c r="G191" s="277" t="n">
        <f aca="false">SUM(E191:F191)</f>
        <v>0</v>
      </c>
      <c r="H191" s="204"/>
      <c r="I191" s="279" t="n">
        <v>1</v>
      </c>
      <c r="J191" s="280" t="n">
        <f aca="false">1-I191</f>
        <v>0</v>
      </c>
      <c r="K191" s="277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3"/>
      <c r="Y191" s="284" t="n">
        <f aca="false">IFERROR(L191*$G191*I$9, "")</f>
        <v>0</v>
      </c>
      <c r="Z191" s="284" t="n">
        <f aca="false">IFERROR(M191*$G191*$I191, "")</f>
        <v>0</v>
      </c>
      <c r="AA191" s="284" t="n">
        <f aca="false">IFERROR(N191*$G191*$I191, "")</f>
        <v>0</v>
      </c>
      <c r="AB191" s="284" t="n">
        <f aca="false">IFERROR(O191*$G191*$I191, "")</f>
        <v>0</v>
      </c>
      <c r="AC191" s="284" t="n">
        <f aca="false">IFERROR(P191*$G191*$I191, "")</f>
        <v>0</v>
      </c>
      <c r="AD191" s="284" t="n">
        <f aca="false">IFERROR(Q191*$G191*$I191, "")</f>
        <v>0</v>
      </c>
      <c r="AE191" s="284" t="n">
        <f aca="false">IFERROR(R191*$G191*$I191, "")</f>
        <v>0</v>
      </c>
      <c r="AF191" s="284" t="n">
        <f aca="false">IFERROR(S191*$G191*$I191, "")</f>
        <v>0</v>
      </c>
      <c r="AG191" s="284" t="n">
        <f aca="false">IFERROR(T191*$G191*$I191, "")</f>
        <v>0</v>
      </c>
      <c r="AH191" s="284" t="n">
        <f aca="false">IFERROR(U191*$G191*$I191, "")</f>
        <v>0</v>
      </c>
      <c r="AI191" s="284" t="n">
        <f aca="false">IFERROR(V191*$G191*$I191, "")</f>
        <v>0</v>
      </c>
      <c r="AJ191" s="284" t="n">
        <f aca="false">IFERROR(W191*$G191*$I191, "")</f>
        <v>0</v>
      </c>
      <c r="AK191" s="286" t="n">
        <f aca="false">IFERROR(SUMIF($Y$4:$AJ$4, "RDEC", Y191:AJ191), "")</f>
        <v>0</v>
      </c>
      <c r="AL191" s="286" t="n">
        <f aca="false">IFERROR(SUMIF($Y$4:$AJ$4, "SME", Y191:AJ191), "")</f>
        <v>0</v>
      </c>
      <c r="AM191" s="286" t="n">
        <f aca="false">IFERROR(SUMIF($Y$4:$AJ$4, "De Minimis", Y191:AJ191), "")</f>
        <v>0</v>
      </c>
      <c r="AN191" s="283"/>
      <c r="AO191" s="284" t="n">
        <f aca="false">IFERROR($G191*$J191*L191, "")</f>
        <v>0</v>
      </c>
      <c r="AP191" s="284" t="n">
        <f aca="false">IFERROR($G191*$J191*M191, "")</f>
        <v>0</v>
      </c>
      <c r="AQ191" s="284" t="n">
        <f aca="false">IFERROR($G191*$J191*N191, "")</f>
        <v>0</v>
      </c>
      <c r="AR191" s="284" t="n">
        <f aca="false">IFERROR($G191*$J191*O191, "")</f>
        <v>0</v>
      </c>
      <c r="AS191" s="284" t="n">
        <f aca="false">IFERROR($G191*$J191*P191, "")</f>
        <v>0</v>
      </c>
      <c r="AT191" s="284" t="n">
        <f aca="false">IFERROR($G191*$J191*Q191, "")</f>
        <v>0</v>
      </c>
      <c r="AU191" s="284" t="n">
        <f aca="false">IFERROR($G191*$J191*R191, "")</f>
        <v>0</v>
      </c>
      <c r="AV191" s="284" t="n">
        <f aca="false">IFERROR($G191*$J191*S191, "")</f>
        <v>0</v>
      </c>
      <c r="AW191" s="284" t="n">
        <f aca="false">IFERROR($G191*$J191*T191, "")</f>
        <v>0</v>
      </c>
      <c r="AX191" s="284" t="n">
        <f aca="false">IFERROR($G191*$J191*U191, "")</f>
        <v>0</v>
      </c>
      <c r="AY191" s="284" t="n">
        <f aca="false">IFERROR($G191*$J191*V191, "")</f>
        <v>0</v>
      </c>
      <c r="AZ191" s="284" t="n">
        <f aca="false">IFERROR($G191*$J191*W191, "")</f>
        <v>0</v>
      </c>
      <c r="BA191" s="286" t="n">
        <f aca="false">IFERROR(SUMIF($AO$4:$AZ$4, "RDEC", AO191:AZ191), "")</f>
        <v>0</v>
      </c>
      <c r="BB191" s="286" t="n">
        <f aca="false">IFERROR(SUMIF($AO$4:$AZ$4, "SME", AO191:AZ191), "")</f>
        <v>0</v>
      </c>
      <c r="BC191" s="286" t="n">
        <f aca="false">IFERROR(SUMIF($Y$4:$AJ$4, "De Minimis", AO191:AZ191), "")</f>
        <v>0</v>
      </c>
      <c r="BD191" s="287"/>
      <c r="BE191" s="288" t="str">
        <f aca="false">IF((SUM(L191:W191)&gt;1),"ERROR","")</f>
        <v/>
      </c>
    </row>
    <row r="192" customFormat="false" ht="15" hidden="false" customHeight="true" outlineLevel="0" collapsed="false">
      <c r="B192" s="333"/>
      <c r="C192" s="334"/>
      <c r="D192" s="333" t="n">
        <f aca="false">D176</f>
        <v>45505</v>
      </c>
      <c r="E192" s="277" t="n">
        <v>0</v>
      </c>
      <c r="F192" s="277" t="n">
        <v>0</v>
      </c>
      <c r="G192" s="277" t="n">
        <f aca="false">SUM(E192:F192)</f>
        <v>0</v>
      </c>
      <c r="H192" s="204"/>
      <c r="I192" s="279" t="n">
        <v>1</v>
      </c>
      <c r="J192" s="280" t="n">
        <f aca="false">1-I192</f>
        <v>0</v>
      </c>
      <c r="K192" s="277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283"/>
      <c r="Y192" s="284" t="n">
        <f aca="false">IFERROR(L192*$G192*I$9, "")</f>
        <v>0</v>
      </c>
      <c r="Z192" s="284" t="n">
        <f aca="false">IFERROR(M192*$G192*$I192, "")</f>
        <v>0</v>
      </c>
      <c r="AA192" s="284" t="n">
        <f aca="false">IFERROR(N192*$G192*$I192, "")</f>
        <v>0</v>
      </c>
      <c r="AB192" s="284" t="n">
        <f aca="false">IFERROR(O192*$G192*$I192, "")</f>
        <v>0</v>
      </c>
      <c r="AC192" s="284" t="n">
        <f aca="false">IFERROR(P192*$G192*$I192, "")</f>
        <v>0</v>
      </c>
      <c r="AD192" s="284" t="n">
        <f aca="false">IFERROR(Q192*$G192*$I192, "")</f>
        <v>0</v>
      </c>
      <c r="AE192" s="284" t="n">
        <f aca="false">IFERROR(R192*$G192*$I192, "")</f>
        <v>0</v>
      </c>
      <c r="AF192" s="284" t="n">
        <f aca="false">IFERROR(S192*$G192*$I192, "")</f>
        <v>0</v>
      </c>
      <c r="AG192" s="284" t="n">
        <f aca="false">IFERROR(T192*$G192*$I192, "")</f>
        <v>0</v>
      </c>
      <c r="AH192" s="284" t="n">
        <f aca="false">IFERROR(U192*$G192*$I192, "")</f>
        <v>0</v>
      </c>
      <c r="AI192" s="284" t="n">
        <f aca="false">IFERROR(V192*$G192*$I192, "")</f>
        <v>0</v>
      </c>
      <c r="AJ192" s="284" t="n">
        <f aca="false">IFERROR(W192*$G192*$I192, "")</f>
        <v>0</v>
      </c>
      <c r="AK192" s="286" t="n">
        <f aca="false">IFERROR(SUMIF($Y$4:$AJ$4, "RDEC", Y192:AJ192), "")</f>
        <v>0</v>
      </c>
      <c r="AL192" s="286" t="n">
        <f aca="false">IFERROR(SUMIF($Y$4:$AJ$4, "SME", Y192:AJ192), "")</f>
        <v>0</v>
      </c>
      <c r="AM192" s="286" t="n">
        <f aca="false">IFERROR(SUMIF($Y$4:$AJ$4, "De Minimis", Y192:AJ192), "")</f>
        <v>0</v>
      </c>
      <c r="AN192" s="283"/>
      <c r="AO192" s="284" t="n">
        <f aca="false">IFERROR($G192*$J192*L192, "")</f>
        <v>0</v>
      </c>
      <c r="AP192" s="284" t="n">
        <f aca="false">IFERROR($G192*$J192*M192, "")</f>
        <v>0</v>
      </c>
      <c r="AQ192" s="284" t="n">
        <f aca="false">IFERROR($G192*$J192*N192, "")</f>
        <v>0</v>
      </c>
      <c r="AR192" s="284" t="n">
        <f aca="false">IFERROR($G192*$J192*O192, "")</f>
        <v>0</v>
      </c>
      <c r="AS192" s="284" t="n">
        <f aca="false">IFERROR($G192*$J192*P192, "")</f>
        <v>0</v>
      </c>
      <c r="AT192" s="284" t="n">
        <f aca="false">IFERROR($G192*$J192*Q192, "")</f>
        <v>0</v>
      </c>
      <c r="AU192" s="284" t="n">
        <f aca="false">IFERROR($G192*$J192*R192, "")</f>
        <v>0</v>
      </c>
      <c r="AV192" s="284" t="n">
        <f aca="false">IFERROR($G192*$J192*S192, "")</f>
        <v>0</v>
      </c>
      <c r="AW192" s="284" t="n">
        <f aca="false">IFERROR($G192*$J192*T192, "")</f>
        <v>0</v>
      </c>
      <c r="AX192" s="284" t="n">
        <f aca="false">IFERROR($G192*$J192*U192, "")</f>
        <v>0</v>
      </c>
      <c r="AY192" s="284" t="n">
        <f aca="false">IFERROR($G192*$J192*V192, "")</f>
        <v>0</v>
      </c>
      <c r="AZ192" s="284" t="n">
        <f aca="false">IFERROR($G192*$J192*W192, "")</f>
        <v>0</v>
      </c>
      <c r="BA192" s="286" t="n">
        <f aca="false">IFERROR(SUMIF($AO$4:$AZ$4, "RDEC", AO192:AZ192), "")</f>
        <v>0</v>
      </c>
      <c r="BB192" s="286" t="n">
        <f aca="false">IFERROR(SUMIF($AO$4:$AZ$4, "SME", AO192:AZ192), "")</f>
        <v>0</v>
      </c>
      <c r="BC192" s="286" t="n">
        <f aca="false">IFERROR(SUMIF($Y$4:$AJ$4, "De Minimis", AO192:AZ192), "")</f>
        <v>0</v>
      </c>
      <c r="BD192" s="287"/>
      <c r="BE192" s="288" t="str">
        <f aca="false">IF((SUM(L192:W192)&gt;1),"ERROR","")</f>
        <v/>
      </c>
    </row>
    <row r="193" customFormat="false" ht="15" hidden="false" customHeight="true" outlineLevel="0" collapsed="false">
      <c r="B193" s="333"/>
      <c r="C193" s="334"/>
      <c r="D193" s="333" t="n">
        <f aca="false">D177</f>
        <v>45536</v>
      </c>
      <c r="E193" s="277" t="n">
        <v>0</v>
      </c>
      <c r="F193" s="277" t="n">
        <v>0</v>
      </c>
      <c r="G193" s="277" t="n">
        <f aca="false">SUM(E193:F193)</f>
        <v>0</v>
      </c>
      <c r="H193" s="204"/>
      <c r="I193" s="279" t="n">
        <v>1</v>
      </c>
      <c r="J193" s="280" t="n">
        <f aca="false">1-I193</f>
        <v>0</v>
      </c>
      <c r="K193" s="277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3"/>
      <c r="Y193" s="284" t="n">
        <f aca="false">IFERROR(L193*$G193*I$9, "")</f>
        <v>0</v>
      </c>
      <c r="Z193" s="284" t="n">
        <f aca="false">IFERROR(M193*$G193*$I193, "")</f>
        <v>0</v>
      </c>
      <c r="AA193" s="284" t="n">
        <f aca="false">IFERROR(N193*$G193*$I193, "")</f>
        <v>0</v>
      </c>
      <c r="AB193" s="284" t="n">
        <f aca="false">IFERROR(O193*$G193*$I193, "")</f>
        <v>0</v>
      </c>
      <c r="AC193" s="284" t="n">
        <f aca="false">IFERROR(P193*$G193*$I193, "")</f>
        <v>0</v>
      </c>
      <c r="AD193" s="284" t="n">
        <f aca="false">IFERROR(Q193*$G193*$I193, "")</f>
        <v>0</v>
      </c>
      <c r="AE193" s="284" t="n">
        <f aca="false">IFERROR(R193*$G193*$I193, "")</f>
        <v>0</v>
      </c>
      <c r="AF193" s="284" t="n">
        <f aca="false">IFERROR(S193*$G193*$I193, "")</f>
        <v>0</v>
      </c>
      <c r="AG193" s="284" t="n">
        <f aca="false">IFERROR(T193*$G193*$I193, "")</f>
        <v>0</v>
      </c>
      <c r="AH193" s="284" t="n">
        <f aca="false">IFERROR(U193*$G193*$I193, "")</f>
        <v>0</v>
      </c>
      <c r="AI193" s="284" t="n">
        <f aca="false">IFERROR(V193*$G193*$I193, "")</f>
        <v>0</v>
      </c>
      <c r="AJ193" s="284" t="n">
        <f aca="false">IFERROR(W193*$G193*$I193, "")</f>
        <v>0</v>
      </c>
      <c r="AK193" s="286" t="n">
        <f aca="false">IFERROR(SUMIF($Y$4:$AJ$4, "RDEC", Y193:AJ193), "")</f>
        <v>0</v>
      </c>
      <c r="AL193" s="286" t="n">
        <f aca="false">IFERROR(SUMIF($Y$4:$AJ$4, "SME", Y193:AJ193), "")</f>
        <v>0</v>
      </c>
      <c r="AM193" s="286" t="n">
        <f aca="false">IFERROR(SUMIF($Y$4:$AJ$4, "De Minimis", Y193:AJ193), "")</f>
        <v>0</v>
      </c>
      <c r="AN193" s="283"/>
      <c r="AO193" s="284" t="n">
        <f aca="false">IFERROR($G193*$J193*L193, "")</f>
        <v>0</v>
      </c>
      <c r="AP193" s="284" t="n">
        <f aca="false">IFERROR($G193*$J193*M193, "")</f>
        <v>0</v>
      </c>
      <c r="AQ193" s="284" t="n">
        <f aca="false">IFERROR($G193*$J193*N193, "")</f>
        <v>0</v>
      </c>
      <c r="AR193" s="284" t="n">
        <f aca="false">IFERROR($G193*$J193*O193, "")</f>
        <v>0</v>
      </c>
      <c r="AS193" s="284" t="n">
        <f aca="false">IFERROR($G193*$J193*P193, "")</f>
        <v>0</v>
      </c>
      <c r="AT193" s="284" t="n">
        <f aca="false">IFERROR($G193*$J193*Q193, "")</f>
        <v>0</v>
      </c>
      <c r="AU193" s="284" t="n">
        <f aca="false">IFERROR($G193*$J193*R193, "")</f>
        <v>0</v>
      </c>
      <c r="AV193" s="284" t="n">
        <f aca="false">IFERROR($G193*$J193*S193, "")</f>
        <v>0</v>
      </c>
      <c r="AW193" s="284" t="n">
        <f aca="false">IFERROR($G193*$J193*T193, "")</f>
        <v>0</v>
      </c>
      <c r="AX193" s="284" t="n">
        <f aca="false">IFERROR($G193*$J193*U193, "")</f>
        <v>0</v>
      </c>
      <c r="AY193" s="284" t="n">
        <f aca="false">IFERROR($G193*$J193*V193, "")</f>
        <v>0</v>
      </c>
      <c r="AZ193" s="284" t="n">
        <f aca="false">IFERROR($G193*$J193*W193, "")</f>
        <v>0</v>
      </c>
      <c r="BA193" s="286" t="n">
        <f aca="false">IFERROR(SUMIF($AO$4:$AZ$4, "RDEC", AO193:AZ193), "")</f>
        <v>0</v>
      </c>
      <c r="BB193" s="286" t="n">
        <f aca="false">IFERROR(SUMIF($AO$4:$AZ$4, "SME", AO193:AZ193), "")</f>
        <v>0</v>
      </c>
      <c r="BC193" s="286" t="n">
        <f aca="false">IFERROR(SUMIF($Y$4:$AJ$4, "De Minimis", AO193:AZ193), "")</f>
        <v>0</v>
      </c>
      <c r="BD193" s="287"/>
      <c r="BE193" s="288" t="str">
        <f aca="false">IF((SUM(L193:W193)&gt;1),"ERROR","")</f>
        <v/>
      </c>
    </row>
    <row r="194" customFormat="false" ht="15" hidden="false" customHeight="true" outlineLevel="0" collapsed="false">
      <c r="B194" s="333"/>
      <c r="C194" s="334"/>
      <c r="D194" s="333" t="n">
        <f aca="false">D178</f>
        <v>45566</v>
      </c>
      <c r="E194" s="277" t="n">
        <v>0</v>
      </c>
      <c r="F194" s="277" t="n">
        <v>0</v>
      </c>
      <c r="G194" s="277" t="n">
        <f aca="false">SUM(E194:F194)</f>
        <v>0</v>
      </c>
      <c r="H194" s="204"/>
      <c r="I194" s="279" t="n">
        <v>1</v>
      </c>
      <c r="J194" s="280" t="n">
        <f aca="false">1-I194</f>
        <v>0</v>
      </c>
      <c r="K194" s="277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283"/>
      <c r="Y194" s="284" t="n">
        <f aca="false">IFERROR(L194*$G194*I$9, "")</f>
        <v>0</v>
      </c>
      <c r="Z194" s="284" t="n">
        <f aca="false">IFERROR(M194*$G194*$I194, "")</f>
        <v>0</v>
      </c>
      <c r="AA194" s="284" t="n">
        <f aca="false">IFERROR(N194*$G194*$I194, "")</f>
        <v>0</v>
      </c>
      <c r="AB194" s="284" t="n">
        <f aca="false">IFERROR(O194*$G194*$I194, "")</f>
        <v>0</v>
      </c>
      <c r="AC194" s="284" t="n">
        <f aca="false">IFERROR(P194*$G194*$I194, "")</f>
        <v>0</v>
      </c>
      <c r="AD194" s="284" t="n">
        <f aca="false">IFERROR(Q194*$G194*$I194, "")</f>
        <v>0</v>
      </c>
      <c r="AE194" s="284" t="n">
        <f aca="false">IFERROR(R194*$G194*$I194, "")</f>
        <v>0</v>
      </c>
      <c r="AF194" s="284" t="n">
        <f aca="false">IFERROR(S194*$G194*$I194, "")</f>
        <v>0</v>
      </c>
      <c r="AG194" s="284" t="n">
        <f aca="false">IFERROR(T194*$G194*$I194, "")</f>
        <v>0</v>
      </c>
      <c r="AH194" s="284" t="n">
        <f aca="false">IFERROR(U194*$G194*$I194, "")</f>
        <v>0</v>
      </c>
      <c r="AI194" s="284" t="n">
        <f aca="false">IFERROR(V194*$G194*$I194, "")</f>
        <v>0</v>
      </c>
      <c r="AJ194" s="284" t="n">
        <f aca="false">IFERROR(W194*$G194*$I194, "")</f>
        <v>0</v>
      </c>
      <c r="AK194" s="286" t="n">
        <f aca="false">IFERROR(SUMIF($Y$4:$AJ$4, "RDEC", Y194:AJ194), "")</f>
        <v>0</v>
      </c>
      <c r="AL194" s="286" t="n">
        <f aca="false">IFERROR(SUMIF($Y$4:$AJ$4, "SME", Y194:AJ194), "")</f>
        <v>0</v>
      </c>
      <c r="AM194" s="286" t="n">
        <f aca="false">IFERROR(SUMIF($Y$4:$AJ$4, "De Minimis", Y194:AJ194), "")</f>
        <v>0</v>
      </c>
      <c r="AN194" s="283"/>
      <c r="AO194" s="284" t="n">
        <f aca="false">IFERROR($G194*$J194*L194, "")</f>
        <v>0</v>
      </c>
      <c r="AP194" s="284" t="n">
        <f aca="false">IFERROR($G194*$J194*M194, "")</f>
        <v>0</v>
      </c>
      <c r="AQ194" s="284" t="n">
        <f aca="false">IFERROR($G194*$J194*N194, "")</f>
        <v>0</v>
      </c>
      <c r="AR194" s="284" t="n">
        <f aca="false">IFERROR($G194*$J194*O194, "")</f>
        <v>0</v>
      </c>
      <c r="AS194" s="284" t="n">
        <f aca="false">IFERROR($G194*$J194*P194, "")</f>
        <v>0</v>
      </c>
      <c r="AT194" s="284" t="n">
        <f aca="false">IFERROR($G194*$J194*Q194, "")</f>
        <v>0</v>
      </c>
      <c r="AU194" s="284" t="n">
        <f aca="false">IFERROR($G194*$J194*R194, "")</f>
        <v>0</v>
      </c>
      <c r="AV194" s="284" t="n">
        <f aca="false">IFERROR($G194*$J194*S194, "")</f>
        <v>0</v>
      </c>
      <c r="AW194" s="284" t="n">
        <f aca="false">IFERROR($G194*$J194*T194, "")</f>
        <v>0</v>
      </c>
      <c r="AX194" s="284" t="n">
        <f aca="false">IFERROR($G194*$J194*U194, "")</f>
        <v>0</v>
      </c>
      <c r="AY194" s="284" t="n">
        <f aca="false">IFERROR($G194*$J194*V194, "")</f>
        <v>0</v>
      </c>
      <c r="AZ194" s="284" t="n">
        <f aca="false">IFERROR($G194*$J194*W194, "")</f>
        <v>0</v>
      </c>
      <c r="BA194" s="286" t="n">
        <f aca="false">IFERROR(SUMIF($AO$4:$AZ$4, "RDEC", AO194:AZ194), "")</f>
        <v>0</v>
      </c>
      <c r="BB194" s="286" t="n">
        <f aca="false">IFERROR(SUMIF($AO$4:$AZ$4, "SME", AO194:AZ194), "")</f>
        <v>0</v>
      </c>
      <c r="BC194" s="286" t="n">
        <f aca="false">IFERROR(SUMIF($Y$4:$AJ$4, "De Minimis", AO194:AZ194), "")</f>
        <v>0</v>
      </c>
      <c r="BD194" s="287"/>
      <c r="BE194" s="288" t="str">
        <f aca="false">IF((SUM(L194:W194)&gt;1),"ERROR","")</f>
        <v/>
      </c>
    </row>
    <row r="195" customFormat="false" ht="15" hidden="false" customHeight="true" outlineLevel="0" collapsed="false">
      <c r="B195" s="333"/>
      <c r="C195" s="334"/>
      <c r="D195" s="333" t="n">
        <f aca="false">D179</f>
        <v>45597</v>
      </c>
      <c r="E195" s="277" t="n">
        <v>0</v>
      </c>
      <c r="F195" s="277" t="n">
        <v>0</v>
      </c>
      <c r="G195" s="277" t="n">
        <f aca="false">SUM(E195:F195)</f>
        <v>0</v>
      </c>
      <c r="H195" s="204"/>
      <c r="I195" s="279" t="n">
        <v>1</v>
      </c>
      <c r="J195" s="280" t="n">
        <f aca="false">1-I195</f>
        <v>0</v>
      </c>
      <c r="K195" s="277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3"/>
      <c r="Y195" s="284" t="n">
        <f aca="false">IFERROR(L195*$G195*I$9, "")</f>
        <v>0</v>
      </c>
      <c r="Z195" s="284" t="n">
        <f aca="false">IFERROR(M195*$G195*$I195, "")</f>
        <v>0</v>
      </c>
      <c r="AA195" s="284" t="n">
        <f aca="false">IFERROR(N195*$G195*$I195, "")</f>
        <v>0</v>
      </c>
      <c r="AB195" s="284" t="n">
        <f aca="false">IFERROR(O195*$G195*$I195, "")</f>
        <v>0</v>
      </c>
      <c r="AC195" s="284" t="n">
        <f aca="false">IFERROR(P195*$G195*$I195, "")</f>
        <v>0</v>
      </c>
      <c r="AD195" s="284" t="n">
        <f aca="false">IFERROR(Q195*$G195*$I195, "")</f>
        <v>0</v>
      </c>
      <c r="AE195" s="284" t="n">
        <f aca="false">IFERROR(R195*$G195*$I195, "")</f>
        <v>0</v>
      </c>
      <c r="AF195" s="284" t="n">
        <f aca="false">IFERROR(S195*$G195*$I195, "")</f>
        <v>0</v>
      </c>
      <c r="AG195" s="284" t="n">
        <f aca="false">IFERROR(T195*$G195*$I195, "")</f>
        <v>0</v>
      </c>
      <c r="AH195" s="284" t="n">
        <f aca="false">IFERROR(U195*$G195*$I195, "")</f>
        <v>0</v>
      </c>
      <c r="AI195" s="284" t="n">
        <f aca="false">IFERROR(V195*$G195*$I195, "")</f>
        <v>0</v>
      </c>
      <c r="AJ195" s="284" t="n">
        <f aca="false">IFERROR(W195*$G195*$I195, "")</f>
        <v>0</v>
      </c>
      <c r="AK195" s="286" t="n">
        <f aca="false">IFERROR(SUMIF($Y$4:$AJ$4, "RDEC", Y195:AJ195), "")</f>
        <v>0</v>
      </c>
      <c r="AL195" s="286" t="n">
        <f aca="false">IFERROR(SUMIF($Y$4:$AJ$4, "SME", Y195:AJ195), "")</f>
        <v>0</v>
      </c>
      <c r="AM195" s="286" t="n">
        <f aca="false">IFERROR(SUMIF($Y$4:$AJ$4, "De Minimis", Y195:AJ195), "")</f>
        <v>0</v>
      </c>
      <c r="AN195" s="283"/>
      <c r="AO195" s="284" t="n">
        <f aca="false">IFERROR($G195*$J195*L195, "")</f>
        <v>0</v>
      </c>
      <c r="AP195" s="284" t="n">
        <f aca="false">IFERROR($G195*$J195*M195, "")</f>
        <v>0</v>
      </c>
      <c r="AQ195" s="284" t="n">
        <f aca="false">IFERROR($G195*$J195*N195, "")</f>
        <v>0</v>
      </c>
      <c r="AR195" s="284" t="n">
        <f aca="false">IFERROR($G195*$J195*O195, "")</f>
        <v>0</v>
      </c>
      <c r="AS195" s="284" t="n">
        <f aca="false">IFERROR($G195*$J195*P195, "")</f>
        <v>0</v>
      </c>
      <c r="AT195" s="284" t="n">
        <f aca="false">IFERROR($G195*$J195*Q195, "")</f>
        <v>0</v>
      </c>
      <c r="AU195" s="284" t="n">
        <f aca="false">IFERROR($G195*$J195*R195, "")</f>
        <v>0</v>
      </c>
      <c r="AV195" s="284" t="n">
        <f aca="false">IFERROR($G195*$J195*S195, "")</f>
        <v>0</v>
      </c>
      <c r="AW195" s="284" t="n">
        <f aca="false">IFERROR($G195*$J195*T195, "")</f>
        <v>0</v>
      </c>
      <c r="AX195" s="284" t="n">
        <f aca="false">IFERROR($G195*$J195*U195, "")</f>
        <v>0</v>
      </c>
      <c r="AY195" s="284" t="n">
        <f aca="false">IFERROR($G195*$J195*V195, "")</f>
        <v>0</v>
      </c>
      <c r="AZ195" s="284" t="n">
        <f aca="false">IFERROR($G195*$J195*W195, "")</f>
        <v>0</v>
      </c>
      <c r="BA195" s="286" t="n">
        <f aca="false">IFERROR(SUMIF($AO$4:$AZ$4, "RDEC", AO195:AZ195), "")</f>
        <v>0</v>
      </c>
      <c r="BB195" s="286" t="n">
        <f aca="false">IFERROR(SUMIF($AO$4:$AZ$4, "SME", AO195:AZ195), "")</f>
        <v>0</v>
      </c>
      <c r="BC195" s="286" t="n">
        <f aca="false">IFERROR(SUMIF($Y$4:$AJ$4, "De Minimis", AO195:AZ195), "")</f>
        <v>0</v>
      </c>
      <c r="BD195" s="287"/>
      <c r="BE195" s="288" t="str">
        <f aca="false">IF((SUM(L195:W195)&gt;1),"ERROR","")</f>
        <v/>
      </c>
    </row>
    <row r="196" customFormat="false" ht="15" hidden="false" customHeight="true" outlineLevel="0" collapsed="false">
      <c r="B196" s="333"/>
      <c r="C196" s="334"/>
      <c r="D196" s="333" t="n">
        <f aca="false">D180</f>
        <v>45627</v>
      </c>
      <c r="E196" s="277" t="n">
        <v>0</v>
      </c>
      <c r="F196" s="277" t="n">
        <v>0</v>
      </c>
      <c r="G196" s="277" t="n">
        <f aca="false">SUM(E196:F196)</f>
        <v>0</v>
      </c>
      <c r="H196" s="300"/>
      <c r="I196" s="289" t="n">
        <v>1</v>
      </c>
      <c r="J196" s="290" t="n">
        <f aca="false">1-I196</f>
        <v>0</v>
      </c>
      <c r="K196" s="300"/>
      <c r="L196" s="291"/>
      <c r="M196" s="291"/>
      <c r="N196" s="291"/>
      <c r="O196" s="291"/>
      <c r="P196" s="291"/>
      <c r="Q196" s="291"/>
      <c r="R196" s="291"/>
      <c r="S196" s="291"/>
      <c r="T196" s="291"/>
      <c r="U196" s="291"/>
      <c r="V196" s="291"/>
      <c r="W196" s="291"/>
      <c r="X196" s="283"/>
      <c r="Y196" s="284" t="n">
        <f aca="false">IFERROR(L196*$G196*I$9, "")</f>
        <v>0</v>
      </c>
      <c r="Z196" s="284" t="n">
        <f aca="false">IFERROR(M196*$G196*$I196, "")</f>
        <v>0</v>
      </c>
      <c r="AA196" s="284" t="n">
        <f aca="false">IFERROR(N196*$G196*$I196, "")</f>
        <v>0</v>
      </c>
      <c r="AB196" s="284" t="n">
        <f aca="false">IFERROR(O196*$G196*$I196, "")</f>
        <v>0</v>
      </c>
      <c r="AC196" s="284" t="n">
        <f aca="false">IFERROR(P196*$G196*$I196, "")</f>
        <v>0</v>
      </c>
      <c r="AD196" s="284" t="n">
        <f aca="false">IFERROR(Q196*$G196*$I196, "")</f>
        <v>0</v>
      </c>
      <c r="AE196" s="284" t="n">
        <f aca="false">IFERROR(R196*$G196*$I196, "")</f>
        <v>0</v>
      </c>
      <c r="AF196" s="284" t="n">
        <f aca="false">IFERROR(S196*$G196*$I196, "")</f>
        <v>0</v>
      </c>
      <c r="AG196" s="284" t="n">
        <f aca="false">IFERROR(T196*$G196*$I196, "")</f>
        <v>0</v>
      </c>
      <c r="AH196" s="284" t="n">
        <f aca="false">IFERROR(U196*$G196*$I196, "")</f>
        <v>0</v>
      </c>
      <c r="AI196" s="284" t="n">
        <f aca="false">IFERROR(V196*$G196*$I196, "")</f>
        <v>0</v>
      </c>
      <c r="AJ196" s="284" t="n">
        <f aca="false">IFERROR(W196*$G196*$I196, "")</f>
        <v>0</v>
      </c>
      <c r="AK196" s="294" t="n">
        <f aca="false">IFERROR(SUMIF($Y$4:$AJ$4, "RDEC", Y196:AJ196), "")</f>
        <v>0</v>
      </c>
      <c r="AL196" s="294" t="n">
        <f aca="false">IFERROR(SUMIF($Y$4:$AJ$4, "SME", Y196:AJ196), "")</f>
        <v>0</v>
      </c>
      <c r="AM196" s="294" t="n">
        <f aca="false">IFERROR(SUMIF($Y$4:$AJ$4, "De Minimis", Y196:AJ196), "")</f>
        <v>0</v>
      </c>
      <c r="AN196" s="283"/>
      <c r="AO196" s="284" t="n">
        <f aca="false">IFERROR($G196*$J196*L196, "")</f>
        <v>0</v>
      </c>
      <c r="AP196" s="284" t="n">
        <f aca="false">IFERROR($G196*$J196*M196, "")</f>
        <v>0</v>
      </c>
      <c r="AQ196" s="284" t="n">
        <f aca="false">IFERROR($G196*$J196*N196, "")</f>
        <v>0</v>
      </c>
      <c r="AR196" s="284" t="n">
        <f aca="false">IFERROR($G196*$J196*O196, "")</f>
        <v>0</v>
      </c>
      <c r="AS196" s="284" t="n">
        <f aca="false">IFERROR($G196*$J196*P196, "")</f>
        <v>0</v>
      </c>
      <c r="AT196" s="284" t="n">
        <f aca="false">IFERROR($G196*$J196*Q196, "")</f>
        <v>0</v>
      </c>
      <c r="AU196" s="284" t="n">
        <f aca="false">IFERROR($G196*$J196*R196, "")</f>
        <v>0</v>
      </c>
      <c r="AV196" s="284" t="n">
        <f aca="false">IFERROR($G196*$J196*S196, "")</f>
        <v>0</v>
      </c>
      <c r="AW196" s="284" t="n">
        <f aca="false">IFERROR($G196*$J196*T196, "")</f>
        <v>0</v>
      </c>
      <c r="AX196" s="284" t="n">
        <f aca="false">IFERROR($G196*$J196*U196, "")</f>
        <v>0</v>
      </c>
      <c r="AY196" s="284" t="n">
        <f aca="false">IFERROR($G196*$J196*V196, "")</f>
        <v>0</v>
      </c>
      <c r="AZ196" s="284" t="n">
        <f aca="false">IFERROR($G196*$J196*W196, "")</f>
        <v>0</v>
      </c>
      <c r="BA196" s="286" t="n">
        <f aca="false">IFERROR(SUMIF($AO$4:$AZ$4, "RDEC", AO196:AZ196), "")</f>
        <v>0</v>
      </c>
      <c r="BB196" s="286" t="n">
        <f aca="false">IFERROR(SUMIF($AO$4:$AZ$4, "SME", AO196:AZ196), "")</f>
        <v>0</v>
      </c>
      <c r="BC196" s="294" t="n">
        <f aca="false">IFERROR(SUMIF($Y$4:$AJ$4, "De Minimis", AO196:AZ196), "")</f>
        <v>0</v>
      </c>
      <c r="BD196" s="303"/>
      <c r="BE196" s="295" t="str">
        <f aca="false">IF((SUM(L196:W196)&gt;1),"ERROR","")</f>
        <v/>
      </c>
    </row>
    <row r="197" customFormat="false" ht="15" hidden="false" customHeight="true" outlineLevel="0" collapsed="false">
      <c r="B197" s="296"/>
      <c r="D197" s="297" t="s">
        <v>82</v>
      </c>
      <c r="E197" s="299" t="n">
        <f aca="false">SUM(E185:E196)</f>
        <v>0</v>
      </c>
      <c r="F197" s="299" t="n">
        <f aca="false">SUM(F185:F196)</f>
        <v>0</v>
      </c>
      <c r="G197" s="299" t="n">
        <f aca="false">SUM(G185:G196)</f>
        <v>0</v>
      </c>
      <c r="H197" s="300"/>
      <c r="I197" s="301" t="n">
        <f aca="false">AVERAGE(I185:I196)</f>
        <v>1</v>
      </c>
      <c r="J197" s="301" t="n">
        <f aca="false">AVERAGE(J185:J196)</f>
        <v>0</v>
      </c>
      <c r="K197" s="300"/>
      <c r="L197" s="290" t="n">
        <f aca="false">IF(SUM(L185:L196)&gt;0,(Y197/G197),0)</f>
        <v>0</v>
      </c>
      <c r="M197" s="301" t="n">
        <f aca="false">IF(SUM(M185:M196)&gt;0,(Z197/G197),0)</f>
        <v>0</v>
      </c>
      <c r="N197" s="301" t="n">
        <f aca="false">IF(SUM(N185:N196)&gt;0,(AA197/G197),0)</f>
        <v>0</v>
      </c>
      <c r="O197" s="301" t="n">
        <f aca="false">IF(SUM(O185:O196)&gt;0,(AB197/G197),0)</f>
        <v>0</v>
      </c>
      <c r="P197" s="301" t="n">
        <f aca="false">IF(SUM(P185:P196)&gt;0,(AC197/G197),0)</f>
        <v>0</v>
      </c>
      <c r="Q197" s="301" t="n">
        <f aca="false">IF(SUM(Q185:Q196)&gt;0,(AD197/G197),0)</f>
        <v>0</v>
      </c>
      <c r="R197" s="301" t="n">
        <f aca="false">IF(SUM(R185:R196)&gt;0,(AE197/G197),0)</f>
        <v>0</v>
      </c>
      <c r="S197" s="301" t="n">
        <f aca="false">IF(SUM(S185:S196)&gt;0,(AF197/G197),0)</f>
        <v>0</v>
      </c>
      <c r="T197" s="301" t="n">
        <f aca="false">IF(SUM(T185:T196)&gt;0,(AG197/G197),0)</f>
        <v>0</v>
      </c>
      <c r="U197" s="301" t="n">
        <f aca="false">IF(SUM(U185:U196)&gt;0,(AJ197/G197),0)</f>
        <v>0</v>
      </c>
      <c r="V197" s="301" t="n">
        <f aca="false">IF(SUM(V185:V196)&gt;0,(AI197/G197),0)</f>
        <v>0</v>
      </c>
      <c r="W197" s="301" t="n">
        <f aca="false">IF(SUM(W185:W196)&gt;0,(AJ197/G197),0)</f>
        <v>0</v>
      </c>
      <c r="X197" s="283"/>
      <c r="Y197" s="304" t="n">
        <f aca="false">SUM(Y185:Y196)</f>
        <v>0</v>
      </c>
      <c r="Z197" s="304" t="n">
        <f aca="false">SUM(Z185:Z196)</f>
        <v>0</v>
      </c>
      <c r="AA197" s="304" t="n">
        <f aca="false">SUM(AA185:AA196)</f>
        <v>0</v>
      </c>
      <c r="AB197" s="304" t="n">
        <f aca="false">SUM(AB185:AB196)</f>
        <v>0</v>
      </c>
      <c r="AC197" s="304" t="n">
        <f aca="false">SUM(AC185:AC196)</f>
        <v>0</v>
      </c>
      <c r="AD197" s="304" t="n">
        <f aca="false">SUM(AD185:AD196)</f>
        <v>0</v>
      </c>
      <c r="AE197" s="304" t="n">
        <f aca="false">SUM(AE185:AE196)</f>
        <v>0</v>
      </c>
      <c r="AF197" s="304" t="n">
        <f aca="false">SUM(AF185:AF196)</f>
        <v>0</v>
      </c>
      <c r="AG197" s="304" t="n">
        <f aca="false">SUM(AG185:AG196)</f>
        <v>0</v>
      </c>
      <c r="AH197" s="304" t="n">
        <f aca="false">SUM(AH185:AH196)</f>
        <v>0</v>
      </c>
      <c r="AI197" s="304" t="n">
        <f aca="false">SUM(AI185:AI196)</f>
        <v>0</v>
      </c>
      <c r="AJ197" s="304" t="n">
        <f aca="false">SUM(AJ185:AJ196)</f>
        <v>0</v>
      </c>
      <c r="AK197" s="335" t="n">
        <f aca="false">SUM(AK185:AK196)</f>
        <v>0</v>
      </c>
      <c r="AL197" s="336" t="n">
        <f aca="false">SUM(AL185:AL196)</f>
        <v>0</v>
      </c>
      <c r="AM197" s="305" t="n">
        <f aca="false">SUM(AM185:AM196)</f>
        <v>0</v>
      </c>
      <c r="AN197" s="283"/>
      <c r="AO197" s="304" t="n">
        <f aca="false">SUM(AO185:AO196)</f>
        <v>0</v>
      </c>
      <c r="AP197" s="304" t="n">
        <f aca="false">SUM(AP185:AP196)</f>
        <v>0</v>
      </c>
      <c r="AQ197" s="304" t="n">
        <f aca="false">SUM(AQ185:AQ196)</f>
        <v>0</v>
      </c>
      <c r="AR197" s="304" t="n">
        <f aca="false">SUM(AR185:AR196)</f>
        <v>0</v>
      </c>
      <c r="AS197" s="304" t="n">
        <f aca="false">SUM(AS185:AS196)</f>
        <v>0</v>
      </c>
      <c r="AT197" s="304" t="n">
        <f aca="false">SUM(AT185:AT196)</f>
        <v>0</v>
      </c>
      <c r="AU197" s="304" t="n">
        <f aca="false">SUM(AU185:AU196)</f>
        <v>0</v>
      </c>
      <c r="AV197" s="304" t="n">
        <f aca="false">SUM(AV185:AV196)</f>
        <v>0</v>
      </c>
      <c r="AW197" s="304" t="n">
        <f aca="false">SUM(AW185:AW196)</f>
        <v>0</v>
      </c>
      <c r="AX197" s="304" t="n">
        <f aca="false">SUM(AX185:AX196)</f>
        <v>0</v>
      </c>
      <c r="AY197" s="304" t="n">
        <f aca="false">SUM(AY185:AY196)</f>
        <v>0</v>
      </c>
      <c r="AZ197" s="304" t="n">
        <f aca="false">SUM(AZ185:AZ196)</f>
        <v>0</v>
      </c>
      <c r="BA197" s="336" t="n">
        <f aca="false">SUM(BA185:BA196)</f>
        <v>0</v>
      </c>
      <c r="BB197" s="336" t="n">
        <f aca="false">SUM(BB185:BB196)</f>
        <v>0</v>
      </c>
      <c r="BC197" s="305" t="n">
        <f aca="false">SUM(BC185:BC196)</f>
        <v>0</v>
      </c>
      <c r="BD197" s="303"/>
      <c r="BE197" s="337"/>
    </row>
    <row r="198" customFormat="false" ht="15" hidden="false" customHeight="true" outlineLevel="0" collapsed="false">
      <c r="B198" s="296"/>
      <c r="D198" s="297"/>
      <c r="E198" s="300"/>
      <c r="F198" s="300"/>
      <c r="G198" s="300"/>
      <c r="H198" s="241"/>
      <c r="I198" s="302"/>
      <c r="J198" s="302"/>
      <c r="K198" s="241"/>
      <c r="L198" s="259"/>
      <c r="M198" s="259"/>
      <c r="N198" s="259"/>
      <c r="O198" s="259"/>
      <c r="P198" s="259"/>
      <c r="Q198" s="259"/>
      <c r="R198" s="259"/>
      <c r="S198" s="259"/>
      <c r="T198" s="259"/>
      <c r="U198" s="259"/>
      <c r="V198" s="259"/>
      <c r="W198" s="259"/>
      <c r="X198" s="303"/>
      <c r="Y198" s="259"/>
      <c r="Z198" s="303"/>
      <c r="AA198" s="303"/>
      <c r="AB198" s="303"/>
      <c r="AC198" s="303"/>
      <c r="AD198" s="303"/>
      <c r="AE198" s="303"/>
      <c r="AF198" s="303"/>
      <c r="AG198" s="303"/>
      <c r="AH198" s="303"/>
      <c r="AI198" s="303"/>
      <c r="AJ198" s="303"/>
      <c r="AK198" s="303"/>
      <c r="AL198" s="303"/>
      <c r="AM198" s="303"/>
      <c r="AN198" s="303"/>
      <c r="AO198" s="259"/>
      <c r="AP198" s="303"/>
      <c r="AQ198" s="303"/>
      <c r="AR198" s="303"/>
      <c r="AS198" s="303"/>
      <c r="AT198" s="303"/>
      <c r="AU198" s="303"/>
      <c r="AV198" s="303"/>
      <c r="AW198" s="303"/>
      <c r="AX198" s="303"/>
      <c r="AY198" s="303"/>
      <c r="AZ198" s="303"/>
      <c r="BA198" s="303"/>
      <c r="BB198" s="303"/>
      <c r="BC198" s="303"/>
      <c r="BD198" s="268"/>
      <c r="BE198" s="303"/>
    </row>
    <row r="199" customFormat="false" ht="15" hidden="false" customHeight="true" outlineLevel="0" collapsed="false">
      <c r="A199" s="198" t="n">
        <f aca="false">A183+1</f>
        <v>13</v>
      </c>
      <c r="B199" s="266" t="s">
        <v>253</v>
      </c>
      <c r="C199" s="266" t="s">
        <v>253</v>
      </c>
      <c r="D199" s="266"/>
      <c r="E199" s="241"/>
      <c r="F199" s="241"/>
      <c r="G199" s="241"/>
      <c r="H199" s="241"/>
      <c r="I199" s="241"/>
      <c r="J199" s="241"/>
      <c r="K199" s="277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59"/>
      <c r="Y199" s="268"/>
      <c r="Z199" s="268"/>
      <c r="AA199" s="268"/>
      <c r="AB199" s="268"/>
      <c r="AC199" s="268"/>
      <c r="AD199" s="268"/>
      <c r="AE199" s="268"/>
      <c r="AF199" s="268"/>
      <c r="AG199" s="268"/>
      <c r="AH199" s="268"/>
      <c r="AI199" s="268"/>
      <c r="AJ199" s="268"/>
      <c r="AK199" s="268"/>
      <c r="AL199" s="268"/>
      <c r="AM199" s="268"/>
      <c r="AN199" s="259"/>
      <c r="AO199" s="268"/>
      <c r="AP199" s="268"/>
      <c r="AQ199" s="268"/>
      <c r="AR199" s="268"/>
      <c r="AS199" s="268"/>
      <c r="AT199" s="268"/>
      <c r="AU199" s="268"/>
      <c r="AV199" s="268"/>
      <c r="AW199" s="268"/>
      <c r="AX199" s="268"/>
      <c r="AY199" s="268"/>
      <c r="AZ199" s="268"/>
      <c r="BA199" s="268"/>
      <c r="BB199" s="268"/>
      <c r="BC199" s="268"/>
      <c r="BD199" s="287"/>
      <c r="BE199" s="268"/>
    </row>
    <row r="200" customFormat="false" ht="7.5" hidden="false" customHeight="true" outlineLevel="0" collapsed="false">
      <c r="A200" s="198"/>
      <c r="B200" s="266"/>
      <c r="C200" s="266"/>
      <c r="D200" s="266"/>
      <c r="E200" s="241"/>
      <c r="F200" s="241"/>
      <c r="G200" s="241"/>
      <c r="H200" s="204"/>
      <c r="I200" s="269"/>
      <c r="J200" s="269"/>
      <c r="K200" s="277"/>
      <c r="L200" s="269"/>
      <c r="M200" s="269"/>
      <c r="N200" s="269"/>
      <c r="O200" s="269"/>
      <c r="P200" s="269"/>
      <c r="Q200" s="269"/>
      <c r="R200" s="269"/>
      <c r="S200" s="269"/>
      <c r="T200" s="269"/>
      <c r="U200" s="269"/>
      <c r="V200" s="269"/>
      <c r="W200" s="269"/>
      <c r="X200" s="259"/>
      <c r="Y200" s="271"/>
      <c r="Z200" s="271"/>
      <c r="AA200" s="271"/>
      <c r="AB200" s="271"/>
      <c r="AC200" s="271"/>
      <c r="AD200" s="271"/>
      <c r="AE200" s="271"/>
      <c r="AF200" s="271"/>
      <c r="AG200" s="271"/>
      <c r="AH200" s="271"/>
      <c r="AI200" s="271"/>
      <c r="AJ200" s="272"/>
      <c r="AK200" s="273"/>
      <c r="AL200" s="273"/>
      <c r="AM200" s="273"/>
      <c r="AN200" s="259"/>
      <c r="AO200" s="271"/>
      <c r="AP200" s="271"/>
      <c r="AQ200" s="271"/>
      <c r="AR200" s="271"/>
      <c r="AS200" s="271"/>
      <c r="AT200" s="271"/>
      <c r="AU200" s="271"/>
      <c r="AV200" s="271"/>
      <c r="AW200" s="271"/>
      <c r="AX200" s="271"/>
      <c r="AY200" s="271"/>
      <c r="AZ200" s="272"/>
      <c r="BA200" s="273"/>
      <c r="BB200" s="273"/>
      <c r="BC200" s="273"/>
      <c r="BD200" s="287"/>
      <c r="BE200" s="274"/>
    </row>
    <row r="201" customFormat="false" ht="15" hidden="false" customHeight="true" outlineLevel="0" collapsed="false">
      <c r="B201" s="333"/>
      <c r="C201" s="334"/>
      <c r="D201" s="333" t="n">
        <f aca="false">D185</f>
        <v>45292</v>
      </c>
      <c r="E201" s="277" t="n">
        <v>0</v>
      </c>
      <c r="F201" s="277" t="n">
        <v>0</v>
      </c>
      <c r="G201" s="277" t="n">
        <f aca="false">SUM(E201:F201)</f>
        <v>0</v>
      </c>
      <c r="H201" s="204"/>
      <c r="I201" s="279" t="n">
        <v>1</v>
      </c>
      <c r="J201" s="280" t="n">
        <f aca="false">1-I201</f>
        <v>0</v>
      </c>
      <c r="K201" s="277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68"/>
      <c r="Y201" s="284" t="n">
        <f aca="false">IFERROR(L201*$G201*I$9, "")</f>
        <v>0</v>
      </c>
      <c r="Z201" s="284" t="n">
        <f aca="false">IFERROR(M201*$G201*$I201, "")</f>
        <v>0</v>
      </c>
      <c r="AA201" s="284" t="n">
        <f aca="false">IFERROR(N201*$G201*$I201, "")</f>
        <v>0</v>
      </c>
      <c r="AB201" s="284" t="n">
        <f aca="false">IFERROR(O201*$G201*$I201, "")</f>
        <v>0</v>
      </c>
      <c r="AC201" s="284" t="n">
        <f aca="false">IFERROR(P201*$G201*$I201, "")</f>
        <v>0</v>
      </c>
      <c r="AD201" s="284" t="n">
        <f aca="false">IFERROR(Q201*$G201*$I201, "")</f>
        <v>0</v>
      </c>
      <c r="AE201" s="284" t="n">
        <f aca="false">IFERROR(R201*$G201*$I201, "")</f>
        <v>0</v>
      </c>
      <c r="AF201" s="284" t="n">
        <f aca="false">IFERROR(S201*$G201*$I201, "")</f>
        <v>0</v>
      </c>
      <c r="AG201" s="284" t="n">
        <f aca="false">IFERROR(T201*$G201*$I201, "")</f>
        <v>0</v>
      </c>
      <c r="AH201" s="284" t="n">
        <f aca="false">IFERROR(U201*$G201*$I201, "")</f>
        <v>0</v>
      </c>
      <c r="AI201" s="284" t="n">
        <f aca="false">IFERROR(V201*$G201*$I201, "")</f>
        <v>0</v>
      </c>
      <c r="AJ201" s="284" t="n">
        <f aca="false">IFERROR(W201*$G201*$I201, "")</f>
        <v>0</v>
      </c>
      <c r="AK201" s="286" t="n">
        <f aca="false">IFERROR(SUMIF($Y$4:$AJ$4, "RDEC", Y201:AJ201), "")</f>
        <v>0</v>
      </c>
      <c r="AL201" s="286" t="n">
        <f aca="false">IFERROR(SUMIF($Y$4:$AJ$4, "SME", Y201:AJ201), "")</f>
        <v>0</v>
      </c>
      <c r="AM201" s="286" t="n">
        <f aca="false">IFERROR(SUMIF($Y$4:$AJ$4, "De Minimis", Y201:AJ201), "")</f>
        <v>0</v>
      </c>
      <c r="AN201" s="268"/>
      <c r="AO201" s="284" t="n">
        <f aca="false">IFERROR($G201*$J201*L201, "")</f>
        <v>0</v>
      </c>
      <c r="AP201" s="284" t="n">
        <f aca="false">IFERROR($G201*$J201*M201, "")</f>
        <v>0</v>
      </c>
      <c r="AQ201" s="284" t="n">
        <f aca="false">IFERROR($G201*$J201*N201, "")</f>
        <v>0</v>
      </c>
      <c r="AR201" s="284" t="n">
        <f aca="false">IFERROR($G201*$J201*O201, "")</f>
        <v>0</v>
      </c>
      <c r="AS201" s="284" t="n">
        <f aca="false">IFERROR($G201*$J201*P201, "")</f>
        <v>0</v>
      </c>
      <c r="AT201" s="284" t="n">
        <f aca="false">IFERROR($G201*$J201*Q201, "")</f>
        <v>0</v>
      </c>
      <c r="AU201" s="284" t="n">
        <f aca="false">IFERROR($G201*$J201*R201, "")</f>
        <v>0</v>
      </c>
      <c r="AV201" s="284" t="n">
        <f aca="false">IFERROR($G201*$J201*S201, "")</f>
        <v>0</v>
      </c>
      <c r="AW201" s="284" t="n">
        <f aca="false">IFERROR($G201*$J201*T201, "")</f>
        <v>0</v>
      </c>
      <c r="AX201" s="284" t="n">
        <f aca="false">IFERROR($G201*$J201*U201, "")</f>
        <v>0</v>
      </c>
      <c r="AY201" s="284" t="n">
        <f aca="false">IFERROR($G201*$J201*V201, "")</f>
        <v>0</v>
      </c>
      <c r="AZ201" s="284" t="n">
        <f aca="false">IFERROR($G201*$J201*W201, "")</f>
        <v>0</v>
      </c>
      <c r="BA201" s="286" t="n">
        <f aca="false">IFERROR(SUMIF($AO$4:$AZ$4, "RDEC", AO201:AZ201), "")</f>
        <v>0</v>
      </c>
      <c r="BB201" s="286" t="n">
        <f aca="false">IFERROR(SUMIF($AO$4:$AZ$4, "SME", AO201:AZ201), "")</f>
        <v>0</v>
      </c>
      <c r="BC201" s="286" t="n">
        <f aca="false">IFERROR(SUMIF($AO$4:$AZ$4, "De Minimis", AO201:AZ201), "")</f>
        <v>0</v>
      </c>
      <c r="BD201" s="287"/>
      <c r="BE201" s="288" t="str">
        <f aca="false">IF((SUM(L201:W201)&gt;1),"ERROR","")</f>
        <v/>
      </c>
    </row>
    <row r="202" customFormat="false" ht="15" hidden="false" customHeight="true" outlineLevel="0" collapsed="false">
      <c r="B202" s="333"/>
      <c r="C202" s="334"/>
      <c r="D202" s="333" t="n">
        <f aca="false">D186</f>
        <v>45323</v>
      </c>
      <c r="E202" s="277" t="n">
        <v>0</v>
      </c>
      <c r="F202" s="277" t="n">
        <v>0</v>
      </c>
      <c r="G202" s="277" t="n">
        <f aca="false">SUM(E202:F202)</f>
        <v>0</v>
      </c>
      <c r="H202" s="204"/>
      <c r="I202" s="279" t="n">
        <v>1</v>
      </c>
      <c r="J202" s="280" t="n">
        <f aca="false">1-I202</f>
        <v>0</v>
      </c>
      <c r="K202" s="277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283"/>
      <c r="Y202" s="284" t="n">
        <f aca="false">IFERROR(L202*$G202*I$9, "")</f>
        <v>0</v>
      </c>
      <c r="Z202" s="284" t="n">
        <f aca="false">IFERROR(M202*$G202*$I202, "")</f>
        <v>0</v>
      </c>
      <c r="AA202" s="284" t="n">
        <f aca="false">IFERROR(N202*$G202*$I202, "")</f>
        <v>0</v>
      </c>
      <c r="AB202" s="284" t="n">
        <f aca="false">IFERROR(O202*$G202*$I202, "")</f>
        <v>0</v>
      </c>
      <c r="AC202" s="284" t="n">
        <f aca="false">IFERROR(P202*$G202*$I202, "")</f>
        <v>0</v>
      </c>
      <c r="AD202" s="284" t="n">
        <f aca="false">IFERROR(Q202*$G202*$I202, "")</f>
        <v>0</v>
      </c>
      <c r="AE202" s="284" t="n">
        <f aca="false">IFERROR(R202*$G202*$I202, "")</f>
        <v>0</v>
      </c>
      <c r="AF202" s="284" t="n">
        <f aca="false">IFERROR(S202*$G202*$I202, "")</f>
        <v>0</v>
      </c>
      <c r="AG202" s="284" t="n">
        <f aca="false">IFERROR(T202*$G202*$I202, "")</f>
        <v>0</v>
      </c>
      <c r="AH202" s="284" t="n">
        <f aca="false">IFERROR(U202*$G202*$I202, "")</f>
        <v>0</v>
      </c>
      <c r="AI202" s="284" t="n">
        <f aca="false">IFERROR(V202*$G202*$I202, "")</f>
        <v>0</v>
      </c>
      <c r="AJ202" s="284" t="n">
        <f aca="false">IFERROR(W202*$G202*$I202, "")</f>
        <v>0</v>
      </c>
      <c r="AK202" s="286" t="n">
        <f aca="false">IFERROR(SUMIF($Y$4:$AJ$4, "RDEC", Y202:AJ202), "")</f>
        <v>0</v>
      </c>
      <c r="AL202" s="286" t="n">
        <f aca="false">IFERROR(SUMIF($Y$4:$AJ$4, "SME", Y202:AJ202), "")</f>
        <v>0</v>
      </c>
      <c r="AM202" s="286" t="n">
        <f aca="false">IFERROR(SUMIF($Y$4:$AJ$4, "De Minimis", Y202:AJ202), "")</f>
        <v>0</v>
      </c>
      <c r="AN202" s="283"/>
      <c r="AO202" s="284" t="n">
        <f aca="false">IFERROR($G202*$J202*L202, "")</f>
        <v>0</v>
      </c>
      <c r="AP202" s="284" t="n">
        <f aca="false">IFERROR($G202*$J202*M202, "")</f>
        <v>0</v>
      </c>
      <c r="AQ202" s="284" t="n">
        <f aca="false">IFERROR($G202*$J202*N202, "")</f>
        <v>0</v>
      </c>
      <c r="AR202" s="284" t="n">
        <f aca="false">IFERROR($G202*$J202*O202, "")</f>
        <v>0</v>
      </c>
      <c r="AS202" s="284" t="n">
        <f aca="false">IFERROR($G202*$J202*P202, "")</f>
        <v>0</v>
      </c>
      <c r="AT202" s="284" t="n">
        <f aca="false">IFERROR($G202*$J202*Q202, "")</f>
        <v>0</v>
      </c>
      <c r="AU202" s="284" t="n">
        <f aca="false">IFERROR($G202*$J202*R202, "")</f>
        <v>0</v>
      </c>
      <c r="AV202" s="284" t="n">
        <f aca="false">IFERROR($G202*$J202*S202, "")</f>
        <v>0</v>
      </c>
      <c r="AW202" s="284" t="n">
        <f aca="false">IFERROR($G202*$J202*T202, "")</f>
        <v>0</v>
      </c>
      <c r="AX202" s="284" t="n">
        <f aca="false">IFERROR($G202*$J202*U202, "")</f>
        <v>0</v>
      </c>
      <c r="AY202" s="284" t="n">
        <f aca="false">IFERROR($G202*$J202*V202, "")</f>
        <v>0</v>
      </c>
      <c r="AZ202" s="284" t="n">
        <f aca="false">IFERROR($G202*$J202*W202, "")</f>
        <v>0</v>
      </c>
      <c r="BA202" s="286" t="n">
        <f aca="false">IFERROR(SUMIF($AO$4:$AZ$4, "RDEC", AO202:AZ202), "")</f>
        <v>0</v>
      </c>
      <c r="BB202" s="286" t="n">
        <f aca="false">IFERROR(SUMIF($AO$4:$AZ$4, "SME", AO202:AZ202), "")</f>
        <v>0</v>
      </c>
      <c r="BC202" s="286" t="n">
        <f aca="false">IFERROR(SUMIF($Y$4:$AJ$4, "De Minimis", AO202:AZ202), "")</f>
        <v>0</v>
      </c>
      <c r="BD202" s="287"/>
      <c r="BE202" s="288" t="str">
        <f aca="false">IF((SUM(L202:W202)&gt;1),"ERROR","")</f>
        <v/>
      </c>
    </row>
    <row r="203" customFormat="false" ht="15" hidden="false" customHeight="true" outlineLevel="0" collapsed="false">
      <c r="B203" s="333"/>
      <c r="C203" s="334"/>
      <c r="D203" s="333" t="n">
        <f aca="false">D187</f>
        <v>45352</v>
      </c>
      <c r="E203" s="277" t="n">
        <v>0</v>
      </c>
      <c r="F203" s="277" t="n">
        <v>0</v>
      </c>
      <c r="G203" s="277" t="n">
        <f aca="false">SUM(E203:F203)</f>
        <v>0</v>
      </c>
      <c r="H203" s="204"/>
      <c r="I203" s="279" t="n">
        <v>1</v>
      </c>
      <c r="J203" s="280" t="n">
        <f aca="false">1-I203</f>
        <v>0</v>
      </c>
      <c r="K203" s="277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3"/>
      <c r="Y203" s="284" t="n">
        <f aca="false">IFERROR(L203*$G203*I$9, "")</f>
        <v>0</v>
      </c>
      <c r="Z203" s="284" t="n">
        <f aca="false">IFERROR(M203*$G203*$I203, "")</f>
        <v>0</v>
      </c>
      <c r="AA203" s="284" t="n">
        <f aca="false">IFERROR(N203*$G203*$I203, "")</f>
        <v>0</v>
      </c>
      <c r="AB203" s="284" t="n">
        <f aca="false">IFERROR(O203*$G203*$I203, "")</f>
        <v>0</v>
      </c>
      <c r="AC203" s="284" t="n">
        <f aca="false">IFERROR(P203*$G203*$I203, "")</f>
        <v>0</v>
      </c>
      <c r="AD203" s="284" t="n">
        <f aca="false">IFERROR(Q203*$G203*$I203, "")</f>
        <v>0</v>
      </c>
      <c r="AE203" s="284" t="n">
        <f aca="false">IFERROR(R203*$G203*$I203, "")</f>
        <v>0</v>
      </c>
      <c r="AF203" s="284" t="n">
        <f aca="false">IFERROR(S203*$G203*$I203, "")</f>
        <v>0</v>
      </c>
      <c r="AG203" s="284" t="n">
        <f aca="false">IFERROR(T203*$G203*$I203, "")</f>
        <v>0</v>
      </c>
      <c r="AH203" s="284" t="n">
        <f aca="false">IFERROR(U203*$G203*$I203, "")</f>
        <v>0</v>
      </c>
      <c r="AI203" s="284" t="n">
        <f aca="false">IFERROR(V203*$G203*$I203, "")</f>
        <v>0</v>
      </c>
      <c r="AJ203" s="284" t="n">
        <f aca="false">IFERROR(W203*$G203*$I203, "")</f>
        <v>0</v>
      </c>
      <c r="AK203" s="286" t="n">
        <f aca="false">IFERROR(SUMIF($Y$4:$AJ$4, "RDEC", Y203:AJ203), "")</f>
        <v>0</v>
      </c>
      <c r="AL203" s="286" t="n">
        <f aca="false">IFERROR(SUMIF($Y$4:$AJ$4, "SME", Y203:AJ203), "")</f>
        <v>0</v>
      </c>
      <c r="AM203" s="286" t="n">
        <f aca="false">IFERROR(SUMIF($Y$4:$AJ$4, "De Minimis", Y203:AJ203), "")</f>
        <v>0</v>
      </c>
      <c r="AN203" s="283"/>
      <c r="AO203" s="284" t="n">
        <f aca="false">IFERROR($G203*$J203*L203, "")</f>
        <v>0</v>
      </c>
      <c r="AP203" s="284" t="n">
        <f aca="false">IFERROR($G203*$J203*M203, "")</f>
        <v>0</v>
      </c>
      <c r="AQ203" s="284" t="n">
        <f aca="false">IFERROR($G203*$J203*N203, "")</f>
        <v>0</v>
      </c>
      <c r="AR203" s="284" t="n">
        <f aca="false">IFERROR($G203*$J203*O203, "")</f>
        <v>0</v>
      </c>
      <c r="AS203" s="284" t="n">
        <f aca="false">IFERROR($G203*$J203*P203, "")</f>
        <v>0</v>
      </c>
      <c r="AT203" s="284" t="n">
        <f aca="false">IFERROR($G203*$J203*Q203, "")</f>
        <v>0</v>
      </c>
      <c r="AU203" s="284" t="n">
        <f aca="false">IFERROR($G203*$J203*R203, "")</f>
        <v>0</v>
      </c>
      <c r="AV203" s="284" t="n">
        <f aca="false">IFERROR($G203*$J203*S203, "")</f>
        <v>0</v>
      </c>
      <c r="AW203" s="284" t="n">
        <f aca="false">IFERROR($G203*$J203*T203, "")</f>
        <v>0</v>
      </c>
      <c r="AX203" s="284" t="n">
        <f aca="false">IFERROR($G203*$J203*U203, "")</f>
        <v>0</v>
      </c>
      <c r="AY203" s="284" t="n">
        <f aca="false">IFERROR($G203*$J203*V203, "")</f>
        <v>0</v>
      </c>
      <c r="AZ203" s="284" t="n">
        <f aca="false">IFERROR($G203*$J203*W203, "")</f>
        <v>0</v>
      </c>
      <c r="BA203" s="286" t="n">
        <f aca="false">IFERROR(SUMIF($AO$4:$AZ$4, "RDEC", AO203:AZ203), "")</f>
        <v>0</v>
      </c>
      <c r="BB203" s="286" t="n">
        <f aca="false">IFERROR(SUMIF($AO$4:$AZ$4, "SME", AO203:AZ203), "")</f>
        <v>0</v>
      </c>
      <c r="BC203" s="286" t="n">
        <f aca="false">IFERROR(SUMIF($Y$4:$AJ$4, "De Minimis", AO203:AZ203), "")</f>
        <v>0</v>
      </c>
      <c r="BD203" s="287"/>
      <c r="BE203" s="288" t="str">
        <f aca="false">IF((SUM(L203:W203)&gt;1),"ERROR","")</f>
        <v/>
      </c>
    </row>
    <row r="204" customFormat="false" ht="15" hidden="false" customHeight="true" outlineLevel="0" collapsed="false">
      <c r="B204" s="333"/>
      <c r="C204" s="334"/>
      <c r="D204" s="333" t="n">
        <f aca="false">D188</f>
        <v>45383</v>
      </c>
      <c r="E204" s="277" t="n">
        <v>0</v>
      </c>
      <c r="F204" s="277" t="n">
        <v>0</v>
      </c>
      <c r="G204" s="277" t="n">
        <f aca="false">SUM(E204:F204)</f>
        <v>0</v>
      </c>
      <c r="H204" s="204"/>
      <c r="I204" s="279" t="n">
        <v>1</v>
      </c>
      <c r="J204" s="280" t="n">
        <f aca="false">1-I204</f>
        <v>0</v>
      </c>
      <c r="K204" s="277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3"/>
      <c r="Y204" s="284" t="n">
        <f aca="false">IFERROR(L204*$G204*I$9, "")</f>
        <v>0</v>
      </c>
      <c r="Z204" s="284" t="n">
        <f aca="false">IFERROR(M204*$G204*$I204, "")</f>
        <v>0</v>
      </c>
      <c r="AA204" s="284" t="n">
        <f aca="false">IFERROR(N204*$G204*$I204, "")</f>
        <v>0</v>
      </c>
      <c r="AB204" s="284" t="n">
        <f aca="false">IFERROR(O204*$G204*$I204, "")</f>
        <v>0</v>
      </c>
      <c r="AC204" s="284" t="n">
        <f aca="false">IFERROR(P204*$G204*$I204, "")</f>
        <v>0</v>
      </c>
      <c r="AD204" s="284" t="n">
        <f aca="false">IFERROR(Q204*$G204*$I204, "")</f>
        <v>0</v>
      </c>
      <c r="AE204" s="284" t="n">
        <f aca="false">IFERROR(R204*$G204*$I204, "")</f>
        <v>0</v>
      </c>
      <c r="AF204" s="284" t="n">
        <f aca="false">IFERROR(S204*$G204*$I204, "")</f>
        <v>0</v>
      </c>
      <c r="AG204" s="284" t="n">
        <f aca="false">IFERROR(T204*$G204*$I204, "")</f>
        <v>0</v>
      </c>
      <c r="AH204" s="284" t="n">
        <f aca="false">IFERROR(U204*$G204*$I204, "")</f>
        <v>0</v>
      </c>
      <c r="AI204" s="284" t="n">
        <f aca="false">IFERROR(V204*$G204*$I204, "")</f>
        <v>0</v>
      </c>
      <c r="AJ204" s="284" t="n">
        <f aca="false">IFERROR(W204*$G204*$I204, "")</f>
        <v>0</v>
      </c>
      <c r="AK204" s="286" t="n">
        <f aca="false">IFERROR(SUMIF($Y$4:$AJ$4, "RDEC", Y204:AJ204), "")</f>
        <v>0</v>
      </c>
      <c r="AL204" s="286" t="n">
        <f aca="false">IFERROR(SUMIF($Y$4:$AJ$4, "SME", Y204:AJ204), "")</f>
        <v>0</v>
      </c>
      <c r="AM204" s="286" t="n">
        <f aca="false">IFERROR(SUMIF($Y$4:$AJ$4, "De Minimis", Y204:AJ204), "")</f>
        <v>0</v>
      </c>
      <c r="AN204" s="283"/>
      <c r="AO204" s="284" t="n">
        <f aca="false">IFERROR($G204*$J204*L204, "")</f>
        <v>0</v>
      </c>
      <c r="AP204" s="284" t="n">
        <f aca="false">IFERROR($G204*$J204*M204, "")</f>
        <v>0</v>
      </c>
      <c r="AQ204" s="284" t="n">
        <f aca="false">IFERROR($G204*$J204*N204, "")</f>
        <v>0</v>
      </c>
      <c r="AR204" s="284" t="n">
        <f aca="false">IFERROR($G204*$J204*O204, "")</f>
        <v>0</v>
      </c>
      <c r="AS204" s="284" t="n">
        <f aca="false">IFERROR($G204*$J204*P204, "")</f>
        <v>0</v>
      </c>
      <c r="AT204" s="284" t="n">
        <f aca="false">IFERROR($G204*$J204*Q204, "")</f>
        <v>0</v>
      </c>
      <c r="AU204" s="284" t="n">
        <f aca="false">IFERROR($G204*$J204*R204, "")</f>
        <v>0</v>
      </c>
      <c r="AV204" s="284" t="n">
        <f aca="false">IFERROR($G204*$J204*S204, "")</f>
        <v>0</v>
      </c>
      <c r="AW204" s="284" t="n">
        <f aca="false">IFERROR($G204*$J204*T204, "")</f>
        <v>0</v>
      </c>
      <c r="AX204" s="284" t="n">
        <f aca="false">IFERROR($G204*$J204*U204, "")</f>
        <v>0</v>
      </c>
      <c r="AY204" s="284" t="n">
        <f aca="false">IFERROR($G204*$J204*V204, "")</f>
        <v>0</v>
      </c>
      <c r="AZ204" s="284" t="n">
        <f aca="false">IFERROR($G204*$J204*W204, "")</f>
        <v>0</v>
      </c>
      <c r="BA204" s="286" t="n">
        <f aca="false">IFERROR(SUMIF($AO$4:$AZ$4, "RDEC", AO204:AZ204), "")</f>
        <v>0</v>
      </c>
      <c r="BB204" s="286" t="n">
        <f aca="false">IFERROR(SUMIF($AO$4:$AZ$4, "SME", AO204:AZ204), "")</f>
        <v>0</v>
      </c>
      <c r="BC204" s="286" t="n">
        <f aca="false">IFERROR(SUMIF($Y$4:$AJ$4, "De Minimis", AO204:AZ204), "")</f>
        <v>0</v>
      </c>
      <c r="BD204" s="287"/>
      <c r="BE204" s="288" t="str">
        <f aca="false">IF((SUM(L204:W204)&gt;1),"ERROR","")</f>
        <v/>
      </c>
    </row>
    <row r="205" customFormat="false" ht="15" hidden="false" customHeight="true" outlineLevel="0" collapsed="false">
      <c r="B205" s="333"/>
      <c r="C205" s="334"/>
      <c r="D205" s="333" t="n">
        <f aca="false">D189</f>
        <v>45413</v>
      </c>
      <c r="E205" s="277" t="n">
        <v>0</v>
      </c>
      <c r="F205" s="277" t="n">
        <v>0</v>
      </c>
      <c r="G205" s="277" t="n">
        <f aca="false">SUM(E205:F205)</f>
        <v>0</v>
      </c>
      <c r="H205" s="204"/>
      <c r="I205" s="279" t="n">
        <v>1</v>
      </c>
      <c r="J205" s="280" t="n">
        <f aca="false">1-I205</f>
        <v>0</v>
      </c>
      <c r="K205" s="277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3"/>
      <c r="Y205" s="284" t="n">
        <f aca="false">IFERROR(L205*$G205*I$9, "")</f>
        <v>0</v>
      </c>
      <c r="Z205" s="284" t="n">
        <f aca="false">IFERROR(M205*$G205*$I205, "")</f>
        <v>0</v>
      </c>
      <c r="AA205" s="284" t="n">
        <f aca="false">IFERROR(N205*$G205*$I205, "")</f>
        <v>0</v>
      </c>
      <c r="AB205" s="284" t="n">
        <f aca="false">IFERROR(O205*$G205*$I205, "")</f>
        <v>0</v>
      </c>
      <c r="AC205" s="284" t="n">
        <f aca="false">IFERROR(P205*$G205*$I205, "")</f>
        <v>0</v>
      </c>
      <c r="AD205" s="284" t="n">
        <f aca="false">IFERROR(Q205*$G205*$I205, "")</f>
        <v>0</v>
      </c>
      <c r="AE205" s="284" t="n">
        <f aca="false">IFERROR(R205*$G205*$I205, "")</f>
        <v>0</v>
      </c>
      <c r="AF205" s="284" t="n">
        <f aca="false">IFERROR(S205*$G205*$I205, "")</f>
        <v>0</v>
      </c>
      <c r="AG205" s="284" t="n">
        <f aca="false">IFERROR(T205*$G205*$I205, "")</f>
        <v>0</v>
      </c>
      <c r="AH205" s="284" t="n">
        <f aca="false">IFERROR(U205*$G205*$I205, "")</f>
        <v>0</v>
      </c>
      <c r="AI205" s="284" t="n">
        <f aca="false">IFERROR(V205*$G205*$I205, "")</f>
        <v>0</v>
      </c>
      <c r="AJ205" s="284" t="n">
        <f aca="false">IFERROR(W205*$G205*$I205, "")</f>
        <v>0</v>
      </c>
      <c r="AK205" s="286" t="n">
        <f aca="false">IFERROR(SUMIF($Y$4:$AJ$4, "RDEC", Y205:AJ205), "")</f>
        <v>0</v>
      </c>
      <c r="AL205" s="286" t="n">
        <f aca="false">IFERROR(SUMIF($Y$4:$AJ$4, "SME", Y205:AJ205), "")</f>
        <v>0</v>
      </c>
      <c r="AM205" s="286" t="n">
        <f aca="false">IFERROR(SUMIF($Y$4:$AJ$4, "De Minimis", Y205:AJ205), "")</f>
        <v>0</v>
      </c>
      <c r="AN205" s="283"/>
      <c r="AO205" s="284" t="n">
        <f aca="false">IFERROR($G205*$J205*L205, "")</f>
        <v>0</v>
      </c>
      <c r="AP205" s="284" t="n">
        <f aca="false">IFERROR($G205*$J205*M205, "")</f>
        <v>0</v>
      </c>
      <c r="AQ205" s="284" t="n">
        <f aca="false">IFERROR($G205*$J205*N205, "")</f>
        <v>0</v>
      </c>
      <c r="AR205" s="284" t="n">
        <f aca="false">IFERROR($G205*$J205*O205, "")</f>
        <v>0</v>
      </c>
      <c r="AS205" s="284" t="n">
        <f aca="false">IFERROR($G205*$J205*P205, "")</f>
        <v>0</v>
      </c>
      <c r="AT205" s="284" t="n">
        <f aca="false">IFERROR($G205*$J205*Q205, "")</f>
        <v>0</v>
      </c>
      <c r="AU205" s="284" t="n">
        <f aca="false">IFERROR($G205*$J205*R205, "")</f>
        <v>0</v>
      </c>
      <c r="AV205" s="284" t="n">
        <f aca="false">IFERROR($G205*$J205*S205, "")</f>
        <v>0</v>
      </c>
      <c r="AW205" s="284" t="n">
        <f aca="false">IFERROR($G205*$J205*T205, "")</f>
        <v>0</v>
      </c>
      <c r="AX205" s="284" t="n">
        <f aca="false">IFERROR($G205*$J205*U205, "")</f>
        <v>0</v>
      </c>
      <c r="AY205" s="284" t="n">
        <f aca="false">IFERROR($G205*$J205*V205, "")</f>
        <v>0</v>
      </c>
      <c r="AZ205" s="284" t="n">
        <f aca="false">IFERROR($G205*$J205*W205, "")</f>
        <v>0</v>
      </c>
      <c r="BA205" s="286" t="n">
        <f aca="false">IFERROR(SUMIF($AO$4:$AZ$4, "RDEC", AO205:AZ205), "")</f>
        <v>0</v>
      </c>
      <c r="BB205" s="286" t="n">
        <f aca="false">IFERROR(SUMIF($AO$4:$AZ$4, "SME", AO205:AZ205), "")</f>
        <v>0</v>
      </c>
      <c r="BC205" s="286" t="n">
        <f aca="false">IFERROR(SUMIF($Y$4:$AJ$4, "De Minimis", AO205:AZ205), "")</f>
        <v>0</v>
      </c>
      <c r="BD205" s="287"/>
      <c r="BE205" s="288" t="str">
        <f aca="false">IF((SUM(L205:W205)&gt;1),"ERROR","")</f>
        <v/>
      </c>
    </row>
    <row r="206" customFormat="false" ht="15" hidden="false" customHeight="true" outlineLevel="0" collapsed="false">
      <c r="B206" s="333"/>
      <c r="C206" s="334"/>
      <c r="D206" s="333" t="n">
        <f aca="false">D190</f>
        <v>45444</v>
      </c>
      <c r="E206" s="277" t="n">
        <v>0</v>
      </c>
      <c r="F206" s="277" t="n">
        <v>0</v>
      </c>
      <c r="G206" s="277" t="n">
        <f aca="false">SUM(E206:F206)</f>
        <v>0</v>
      </c>
      <c r="H206" s="204"/>
      <c r="I206" s="279" t="n">
        <v>1</v>
      </c>
      <c r="J206" s="280" t="n">
        <f aca="false">1-I206</f>
        <v>0</v>
      </c>
      <c r="K206" s="277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283"/>
      <c r="Y206" s="284" t="n">
        <f aca="false">IFERROR(L206*$G206*I$9, "")</f>
        <v>0</v>
      </c>
      <c r="Z206" s="284" t="n">
        <f aca="false">IFERROR(M206*$G206*$I206, "")</f>
        <v>0</v>
      </c>
      <c r="AA206" s="284" t="n">
        <f aca="false">IFERROR(N206*$G206*$I206, "")</f>
        <v>0</v>
      </c>
      <c r="AB206" s="284" t="n">
        <f aca="false">IFERROR(O206*$G206*$I206, "")</f>
        <v>0</v>
      </c>
      <c r="AC206" s="284" t="n">
        <f aca="false">IFERROR(P206*$G206*$I206, "")</f>
        <v>0</v>
      </c>
      <c r="AD206" s="284" t="n">
        <f aca="false">IFERROR(Q206*$G206*$I206, "")</f>
        <v>0</v>
      </c>
      <c r="AE206" s="284" t="n">
        <f aca="false">IFERROR(R206*$G206*$I206, "")</f>
        <v>0</v>
      </c>
      <c r="AF206" s="284" t="n">
        <f aca="false">IFERROR(S206*$G206*$I206, "")</f>
        <v>0</v>
      </c>
      <c r="AG206" s="284" t="n">
        <f aca="false">IFERROR(T206*$G206*$I206, "")</f>
        <v>0</v>
      </c>
      <c r="AH206" s="284" t="n">
        <f aca="false">IFERROR(U206*$G206*$I206, "")</f>
        <v>0</v>
      </c>
      <c r="AI206" s="284" t="n">
        <f aca="false">IFERROR(V206*$G206*$I206, "")</f>
        <v>0</v>
      </c>
      <c r="AJ206" s="284" t="n">
        <f aca="false">IFERROR(W206*$G206*$I206, "")</f>
        <v>0</v>
      </c>
      <c r="AK206" s="286" t="n">
        <f aca="false">IFERROR(SUMIF($Y$4:$AJ$4, "RDEC", Y206:AJ206), "")</f>
        <v>0</v>
      </c>
      <c r="AL206" s="286" t="n">
        <f aca="false">IFERROR(SUMIF($Y$4:$AJ$4, "SME", Y206:AJ206), "")</f>
        <v>0</v>
      </c>
      <c r="AM206" s="286" t="n">
        <f aca="false">IFERROR(SUMIF($Y$4:$AJ$4, "De Minimis", Y206:AJ206), "")</f>
        <v>0</v>
      </c>
      <c r="AN206" s="283"/>
      <c r="AO206" s="284" t="n">
        <f aca="false">IFERROR($G206*$J206*L206, "")</f>
        <v>0</v>
      </c>
      <c r="AP206" s="284" t="n">
        <f aca="false">IFERROR($G206*$J206*M206, "")</f>
        <v>0</v>
      </c>
      <c r="AQ206" s="284" t="n">
        <f aca="false">IFERROR($G206*$J206*N206, "")</f>
        <v>0</v>
      </c>
      <c r="AR206" s="284" t="n">
        <f aca="false">IFERROR($G206*$J206*O206, "")</f>
        <v>0</v>
      </c>
      <c r="AS206" s="284" t="n">
        <f aca="false">IFERROR($G206*$J206*P206, "")</f>
        <v>0</v>
      </c>
      <c r="AT206" s="284" t="n">
        <f aca="false">IFERROR($G206*$J206*Q206, "")</f>
        <v>0</v>
      </c>
      <c r="AU206" s="284" t="n">
        <f aca="false">IFERROR($G206*$J206*R206, "")</f>
        <v>0</v>
      </c>
      <c r="AV206" s="284" t="n">
        <f aca="false">IFERROR($G206*$J206*S206, "")</f>
        <v>0</v>
      </c>
      <c r="AW206" s="284" t="n">
        <f aca="false">IFERROR($G206*$J206*T206, "")</f>
        <v>0</v>
      </c>
      <c r="AX206" s="284" t="n">
        <f aca="false">IFERROR($G206*$J206*U206, "")</f>
        <v>0</v>
      </c>
      <c r="AY206" s="284" t="n">
        <f aca="false">IFERROR($G206*$J206*V206, "")</f>
        <v>0</v>
      </c>
      <c r="AZ206" s="284" t="n">
        <f aca="false">IFERROR($G206*$J206*W206, "")</f>
        <v>0</v>
      </c>
      <c r="BA206" s="286" t="n">
        <f aca="false">IFERROR(SUMIF($AO$4:$AZ$4, "RDEC", AO206:AZ206), "")</f>
        <v>0</v>
      </c>
      <c r="BB206" s="286" t="n">
        <f aca="false">IFERROR(SUMIF($AO$4:$AZ$4, "SME", AO206:AZ206), "")</f>
        <v>0</v>
      </c>
      <c r="BC206" s="286" t="n">
        <f aca="false">IFERROR(SUMIF($Y$4:$AJ$4, "De Minimis", AO206:AZ206), "")</f>
        <v>0</v>
      </c>
      <c r="BD206" s="287"/>
      <c r="BE206" s="288" t="str">
        <f aca="false">IF((SUM(L206:W206)&gt;1),"ERROR","")</f>
        <v/>
      </c>
    </row>
    <row r="207" customFormat="false" ht="15" hidden="false" customHeight="true" outlineLevel="0" collapsed="false">
      <c r="B207" s="333"/>
      <c r="C207" s="334"/>
      <c r="D207" s="333" t="n">
        <f aca="false">D191</f>
        <v>45474</v>
      </c>
      <c r="E207" s="277" t="n">
        <v>0</v>
      </c>
      <c r="F207" s="277" t="n">
        <v>0</v>
      </c>
      <c r="G207" s="277" t="n">
        <f aca="false">SUM(E207:F207)</f>
        <v>0</v>
      </c>
      <c r="H207" s="204"/>
      <c r="I207" s="279" t="n">
        <v>1</v>
      </c>
      <c r="J207" s="280" t="n">
        <f aca="false">1-I207</f>
        <v>0</v>
      </c>
      <c r="K207" s="277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3"/>
      <c r="Y207" s="284" t="n">
        <f aca="false">IFERROR(L207*$G207*I$9, "")</f>
        <v>0</v>
      </c>
      <c r="Z207" s="284" t="n">
        <f aca="false">IFERROR(M207*$G207*$I207, "")</f>
        <v>0</v>
      </c>
      <c r="AA207" s="284" t="n">
        <f aca="false">IFERROR(N207*$G207*$I207, "")</f>
        <v>0</v>
      </c>
      <c r="AB207" s="284" t="n">
        <f aca="false">IFERROR(O207*$G207*$I207, "")</f>
        <v>0</v>
      </c>
      <c r="AC207" s="284" t="n">
        <f aca="false">IFERROR(P207*$G207*$I207, "")</f>
        <v>0</v>
      </c>
      <c r="AD207" s="284" t="n">
        <f aca="false">IFERROR(Q207*$G207*$I207, "")</f>
        <v>0</v>
      </c>
      <c r="AE207" s="284" t="n">
        <f aca="false">IFERROR(R207*$G207*$I207, "")</f>
        <v>0</v>
      </c>
      <c r="AF207" s="284" t="n">
        <f aca="false">IFERROR(S207*$G207*$I207, "")</f>
        <v>0</v>
      </c>
      <c r="AG207" s="284" t="n">
        <f aca="false">IFERROR(T207*$G207*$I207, "")</f>
        <v>0</v>
      </c>
      <c r="AH207" s="284" t="n">
        <f aca="false">IFERROR(U207*$G207*$I207, "")</f>
        <v>0</v>
      </c>
      <c r="AI207" s="284" t="n">
        <f aca="false">IFERROR(V207*$G207*$I207, "")</f>
        <v>0</v>
      </c>
      <c r="AJ207" s="284" t="n">
        <f aca="false">IFERROR(W207*$G207*$I207, "")</f>
        <v>0</v>
      </c>
      <c r="AK207" s="286" t="n">
        <f aca="false">IFERROR(SUMIF($Y$4:$AJ$4, "RDEC", Y207:AJ207), "")</f>
        <v>0</v>
      </c>
      <c r="AL207" s="286" t="n">
        <f aca="false">IFERROR(SUMIF($Y$4:$AJ$4, "SME", Y207:AJ207), "")</f>
        <v>0</v>
      </c>
      <c r="AM207" s="286" t="n">
        <f aca="false">IFERROR(SUMIF($Y$4:$AJ$4, "De Minimis", Y207:AJ207), "")</f>
        <v>0</v>
      </c>
      <c r="AN207" s="283"/>
      <c r="AO207" s="284" t="n">
        <f aca="false">IFERROR($G207*$J207*L207, "")</f>
        <v>0</v>
      </c>
      <c r="AP207" s="284" t="n">
        <f aca="false">IFERROR($G207*$J207*M207, "")</f>
        <v>0</v>
      </c>
      <c r="AQ207" s="284" t="n">
        <f aca="false">IFERROR($G207*$J207*N207, "")</f>
        <v>0</v>
      </c>
      <c r="AR207" s="284" t="n">
        <f aca="false">IFERROR($G207*$J207*O207, "")</f>
        <v>0</v>
      </c>
      <c r="AS207" s="284" t="n">
        <f aca="false">IFERROR($G207*$J207*P207, "")</f>
        <v>0</v>
      </c>
      <c r="AT207" s="284" t="n">
        <f aca="false">IFERROR($G207*$J207*Q207, "")</f>
        <v>0</v>
      </c>
      <c r="AU207" s="284" t="n">
        <f aca="false">IFERROR($G207*$J207*R207, "")</f>
        <v>0</v>
      </c>
      <c r="AV207" s="284" t="n">
        <f aca="false">IFERROR($G207*$J207*S207, "")</f>
        <v>0</v>
      </c>
      <c r="AW207" s="284" t="n">
        <f aca="false">IFERROR($G207*$J207*T207, "")</f>
        <v>0</v>
      </c>
      <c r="AX207" s="284" t="n">
        <f aca="false">IFERROR($G207*$J207*U207, "")</f>
        <v>0</v>
      </c>
      <c r="AY207" s="284" t="n">
        <f aca="false">IFERROR($G207*$J207*V207, "")</f>
        <v>0</v>
      </c>
      <c r="AZ207" s="284" t="n">
        <f aca="false">IFERROR($G207*$J207*W207, "")</f>
        <v>0</v>
      </c>
      <c r="BA207" s="286" t="n">
        <f aca="false">IFERROR(SUMIF($AO$4:$AZ$4, "RDEC", AO207:AZ207), "")</f>
        <v>0</v>
      </c>
      <c r="BB207" s="286" t="n">
        <f aca="false">IFERROR(SUMIF($AO$4:$AZ$4, "SME", AO207:AZ207), "")</f>
        <v>0</v>
      </c>
      <c r="BC207" s="286" t="n">
        <f aca="false">IFERROR(SUMIF($Y$4:$AJ$4, "De Minimis", AO207:AZ207), "")</f>
        <v>0</v>
      </c>
      <c r="BD207" s="287"/>
      <c r="BE207" s="288" t="str">
        <f aca="false">IF((SUM(L207:W207)&gt;1),"ERROR","")</f>
        <v/>
      </c>
    </row>
    <row r="208" customFormat="false" ht="15" hidden="false" customHeight="true" outlineLevel="0" collapsed="false">
      <c r="B208" s="333"/>
      <c r="C208" s="334"/>
      <c r="D208" s="333" t="n">
        <f aca="false">D192</f>
        <v>45505</v>
      </c>
      <c r="E208" s="277" t="n">
        <v>0</v>
      </c>
      <c r="F208" s="277" t="n">
        <v>0</v>
      </c>
      <c r="G208" s="277" t="n">
        <f aca="false">SUM(E208:F208)</f>
        <v>0</v>
      </c>
      <c r="H208" s="204"/>
      <c r="I208" s="279" t="n">
        <v>1</v>
      </c>
      <c r="J208" s="280" t="n">
        <f aca="false">1-I208</f>
        <v>0</v>
      </c>
      <c r="K208" s="277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3"/>
      <c r="Y208" s="284" t="n">
        <f aca="false">IFERROR(L208*$G208*I$9, "")</f>
        <v>0</v>
      </c>
      <c r="Z208" s="284" t="n">
        <f aca="false">IFERROR(M208*$G208*$I208, "")</f>
        <v>0</v>
      </c>
      <c r="AA208" s="284" t="n">
        <f aca="false">IFERROR(N208*$G208*$I208, "")</f>
        <v>0</v>
      </c>
      <c r="AB208" s="284" t="n">
        <f aca="false">IFERROR(O208*$G208*$I208, "")</f>
        <v>0</v>
      </c>
      <c r="AC208" s="284" t="n">
        <f aca="false">IFERROR(P208*$G208*$I208, "")</f>
        <v>0</v>
      </c>
      <c r="AD208" s="284" t="n">
        <f aca="false">IFERROR(Q208*$G208*$I208, "")</f>
        <v>0</v>
      </c>
      <c r="AE208" s="284" t="n">
        <f aca="false">IFERROR(R208*$G208*$I208, "")</f>
        <v>0</v>
      </c>
      <c r="AF208" s="284" t="n">
        <f aca="false">IFERROR(S208*$G208*$I208, "")</f>
        <v>0</v>
      </c>
      <c r="AG208" s="284" t="n">
        <f aca="false">IFERROR(T208*$G208*$I208, "")</f>
        <v>0</v>
      </c>
      <c r="AH208" s="284" t="n">
        <f aca="false">IFERROR(U208*$G208*$I208, "")</f>
        <v>0</v>
      </c>
      <c r="AI208" s="284" t="n">
        <f aca="false">IFERROR(V208*$G208*$I208, "")</f>
        <v>0</v>
      </c>
      <c r="AJ208" s="284" t="n">
        <f aca="false">IFERROR(W208*$G208*$I208, "")</f>
        <v>0</v>
      </c>
      <c r="AK208" s="286" t="n">
        <f aca="false">IFERROR(SUMIF($Y$4:$AJ$4, "RDEC", Y208:AJ208), "")</f>
        <v>0</v>
      </c>
      <c r="AL208" s="286" t="n">
        <f aca="false">IFERROR(SUMIF($Y$4:$AJ$4, "SME", Y208:AJ208), "")</f>
        <v>0</v>
      </c>
      <c r="AM208" s="286" t="n">
        <f aca="false">IFERROR(SUMIF($Y$4:$AJ$4, "De Minimis", Y208:AJ208), "")</f>
        <v>0</v>
      </c>
      <c r="AN208" s="283"/>
      <c r="AO208" s="284" t="n">
        <f aca="false">IFERROR($G208*$J208*L208, "")</f>
        <v>0</v>
      </c>
      <c r="AP208" s="284" t="n">
        <f aca="false">IFERROR($G208*$J208*M208, "")</f>
        <v>0</v>
      </c>
      <c r="AQ208" s="284" t="n">
        <f aca="false">IFERROR($G208*$J208*N208, "")</f>
        <v>0</v>
      </c>
      <c r="AR208" s="284" t="n">
        <f aca="false">IFERROR($G208*$J208*O208, "")</f>
        <v>0</v>
      </c>
      <c r="AS208" s="284" t="n">
        <f aca="false">IFERROR($G208*$J208*P208, "")</f>
        <v>0</v>
      </c>
      <c r="AT208" s="284" t="n">
        <f aca="false">IFERROR($G208*$J208*Q208, "")</f>
        <v>0</v>
      </c>
      <c r="AU208" s="284" t="n">
        <f aca="false">IFERROR($G208*$J208*R208, "")</f>
        <v>0</v>
      </c>
      <c r="AV208" s="284" t="n">
        <f aca="false">IFERROR($G208*$J208*S208, "")</f>
        <v>0</v>
      </c>
      <c r="AW208" s="284" t="n">
        <f aca="false">IFERROR($G208*$J208*T208, "")</f>
        <v>0</v>
      </c>
      <c r="AX208" s="284" t="n">
        <f aca="false">IFERROR($G208*$J208*U208, "")</f>
        <v>0</v>
      </c>
      <c r="AY208" s="284" t="n">
        <f aca="false">IFERROR($G208*$J208*V208, "")</f>
        <v>0</v>
      </c>
      <c r="AZ208" s="284" t="n">
        <f aca="false">IFERROR($G208*$J208*W208, "")</f>
        <v>0</v>
      </c>
      <c r="BA208" s="286" t="n">
        <f aca="false">IFERROR(SUMIF($AO$4:$AZ$4, "RDEC", AO208:AZ208), "")</f>
        <v>0</v>
      </c>
      <c r="BB208" s="286" t="n">
        <f aca="false">IFERROR(SUMIF($AO$4:$AZ$4, "SME", AO208:AZ208), "")</f>
        <v>0</v>
      </c>
      <c r="BC208" s="286" t="n">
        <f aca="false">IFERROR(SUMIF($Y$4:$AJ$4, "De Minimis", AO208:AZ208), "")</f>
        <v>0</v>
      </c>
      <c r="BD208" s="287"/>
      <c r="BE208" s="288" t="str">
        <f aca="false">IF((SUM(L208:W208)&gt;1),"ERROR","")</f>
        <v/>
      </c>
    </row>
    <row r="209" customFormat="false" ht="15" hidden="false" customHeight="true" outlineLevel="0" collapsed="false">
      <c r="B209" s="333"/>
      <c r="C209" s="334"/>
      <c r="D209" s="333" t="n">
        <f aca="false">D193</f>
        <v>45536</v>
      </c>
      <c r="E209" s="277" t="n">
        <v>0</v>
      </c>
      <c r="F209" s="277" t="n">
        <v>0</v>
      </c>
      <c r="G209" s="277" t="n">
        <f aca="false">SUM(E209:F209)</f>
        <v>0</v>
      </c>
      <c r="H209" s="204"/>
      <c r="I209" s="279" t="n">
        <v>1</v>
      </c>
      <c r="J209" s="280" t="n">
        <f aca="false">1-I209</f>
        <v>0</v>
      </c>
      <c r="K209" s="277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3"/>
      <c r="Y209" s="284" t="n">
        <f aca="false">IFERROR(L209*$G209*I$9, "")</f>
        <v>0</v>
      </c>
      <c r="Z209" s="284" t="n">
        <f aca="false">IFERROR(M209*$G209*$I209, "")</f>
        <v>0</v>
      </c>
      <c r="AA209" s="284" t="n">
        <f aca="false">IFERROR(N209*$G209*$I209, "")</f>
        <v>0</v>
      </c>
      <c r="AB209" s="284" t="n">
        <f aca="false">IFERROR(O209*$G209*$I209, "")</f>
        <v>0</v>
      </c>
      <c r="AC209" s="284" t="n">
        <f aca="false">IFERROR(P209*$G209*$I209, "")</f>
        <v>0</v>
      </c>
      <c r="AD209" s="284" t="n">
        <f aca="false">IFERROR(Q209*$G209*$I209, "")</f>
        <v>0</v>
      </c>
      <c r="AE209" s="284" t="n">
        <f aca="false">IFERROR(R209*$G209*$I209, "")</f>
        <v>0</v>
      </c>
      <c r="AF209" s="284" t="n">
        <f aca="false">IFERROR(S209*$G209*$I209, "")</f>
        <v>0</v>
      </c>
      <c r="AG209" s="284" t="n">
        <f aca="false">IFERROR(T209*$G209*$I209, "")</f>
        <v>0</v>
      </c>
      <c r="AH209" s="284" t="n">
        <f aca="false">IFERROR(U209*$G209*$I209, "")</f>
        <v>0</v>
      </c>
      <c r="AI209" s="284" t="n">
        <f aca="false">IFERROR(V209*$G209*$I209, "")</f>
        <v>0</v>
      </c>
      <c r="AJ209" s="284" t="n">
        <f aca="false">IFERROR(W209*$G209*$I209, "")</f>
        <v>0</v>
      </c>
      <c r="AK209" s="286" t="n">
        <f aca="false">IFERROR(SUMIF($Y$4:$AJ$4, "RDEC", Y209:AJ209), "")</f>
        <v>0</v>
      </c>
      <c r="AL209" s="286" t="n">
        <f aca="false">IFERROR(SUMIF($Y$4:$AJ$4, "SME", Y209:AJ209), "")</f>
        <v>0</v>
      </c>
      <c r="AM209" s="286" t="n">
        <f aca="false">IFERROR(SUMIF($Y$4:$AJ$4, "De Minimis", Y209:AJ209), "")</f>
        <v>0</v>
      </c>
      <c r="AN209" s="283"/>
      <c r="AO209" s="284" t="n">
        <f aca="false">IFERROR($G209*$J209*L209, "")</f>
        <v>0</v>
      </c>
      <c r="AP209" s="284" t="n">
        <f aca="false">IFERROR($G209*$J209*M209, "")</f>
        <v>0</v>
      </c>
      <c r="AQ209" s="284" t="n">
        <f aca="false">IFERROR($G209*$J209*N209, "")</f>
        <v>0</v>
      </c>
      <c r="AR209" s="284" t="n">
        <f aca="false">IFERROR($G209*$J209*O209, "")</f>
        <v>0</v>
      </c>
      <c r="AS209" s="284" t="n">
        <f aca="false">IFERROR($G209*$J209*P209, "")</f>
        <v>0</v>
      </c>
      <c r="AT209" s="284" t="n">
        <f aca="false">IFERROR($G209*$J209*Q209, "")</f>
        <v>0</v>
      </c>
      <c r="AU209" s="284" t="n">
        <f aca="false">IFERROR($G209*$J209*R209, "")</f>
        <v>0</v>
      </c>
      <c r="AV209" s="284" t="n">
        <f aca="false">IFERROR($G209*$J209*S209, "")</f>
        <v>0</v>
      </c>
      <c r="AW209" s="284" t="n">
        <f aca="false">IFERROR($G209*$J209*T209, "")</f>
        <v>0</v>
      </c>
      <c r="AX209" s="284" t="n">
        <f aca="false">IFERROR($G209*$J209*U209, "")</f>
        <v>0</v>
      </c>
      <c r="AY209" s="284" t="n">
        <f aca="false">IFERROR($G209*$J209*V209, "")</f>
        <v>0</v>
      </c>
      <c r="AZ209" s="284" t="n">
        <f aca="false">IFERROR($G209*$J209*W209, "")</f>
        <v>0</v>
      </c>
      <c r="BA209" s="286" t="n">
        <f aca="false">IFERROR(SUMIF($AO$4:$AZ$4, "RDEC", AO209:AZ209), "")</f>
        <v>0</v>
      </c>
      <c r="BB209" s="286" t="n">
        <f aca="false">IFERROR(SUMIF($AO$4:$AZ$4, "SME", AO209:AZ209), "")</f>
        <v>0</v>
      </c>
      <c r="BC209" s="286" t="n">
        <f aca="false">IFERROR(SUMIF($Y$4:$AJ$4, "De Minimis", AO209:AZ209), "")</f>
        <v>0</v>
      </c>
      <c r="BD209" s="287"/>
      <c r="BE209" s="288" t="str">
        <f aca="false">IF((SUM(L209:W209)&gt;1),"ERROR","")</f>
        <v/>
      </c>
    </row>
    <row r="210" customFormat="false" ht="15" hidden="false" customHeight="true" outlineLevel="0" collapsed="false">
      <c r="B210" s="333"/>
      <c r="C210" s="334"/>
      <c r="D210" s="333" t="n">
        <f aca="false">D194</f>
        <v>45566</v>
      </c>
      <c r="E210" s="277" t="n">
        <v>0</v>
      </c>
      <c r="F210" s="277" t="n">
        <v>0</v>
      </c>
      <c r="G210" s="277" t="n">
        <f aca="false">SUM(E210:F210)</f>
        <v>0</v>
      </c>
      <c r="H210" s="204"/>
      <c r="I210" s="279" t="n">
        <v>1</v>
      </c>
      <c r="J210" s="280" t="n">
        <f aca="false">1-I210</f>
        <v>0</v>
      </c>
      <c r="K210" s="277"/>
      <c r="L210" s="282"/>
      <c r="M210" s="282"/>
      <c r="N210" s="282"/>
      <c r="O210" s="282"/>
      <c r="P210" s="282"/>
      <c r="Q210" s="282"/>
      <c r="R210" s="282"/>
      <c r="S210" s="282"/>
      <c r="T210" s="282"/>
      <c r="U210" s="282"/>
      <c r="V210" s="282"/>
      <c r="W210" s="282"/>
      <c r="X210" s="283"/>
      <c r="Y210" s="284" t="n">
        <f aca="false">IFERROR(L210*$G210*I$9, "")</f>
        <v>0</v>
      </c>
      <c r="Z210" s="284" t="n">
        <f aca="false">IFERROR(M210*$G210*$I210, "")</f>
        <v>0</v>
      </c>
      <c r="AA210" s="284" t="n">
        <f aca="false">IFERROR(N210*$G210*$I210, "")</f>
        <v>0</v>
      </c>
      <c r="AB210" s="284" t="n">
        <f aca="false">IFERROR(O210*$G210*$I210, "")</f>
        <v>0</v>
      </c>
      <c r="AC210" s="284" t="n">
        <f aca="false">IFERROR(P210*$G210*$I210, "")</f>
        <v>0</v>
      </c>
      <c r="AD210" s="284" t="n">
        <f aca="false">IFERROR(Q210*$G210*$I210, "")</f>
        <v>0</v>
      </c>
      <c r="AE210" s="284" t="n">
        <f aca="false">IFERROR(R210*$G210*$I210, "")</f>
        <v>0</v>
      </c>
      <c r="AF210" s="284" t="n">
        <f aca="false">IFERROR(S210*$G210*$I210, "")</f>
        <v>0</v>
      </c>
      <c r="AG210" s="284" t="n">
        <f aca="false">IFERROR(T210*$G210*$I210, "")</f>
        <v>0</v>
      </c>
      <c r="AH210" s="284" t="n">
        <f aca="false">IFERROR(U210*$G210*$I210, "")</f>
        <v>0</v>
      </c>
      <c r="AI210" s="284" t="n">
        <f aca="false">IFERROR(V210*$G210*$I210, "")</f>
        <v>0</v>
      </c>
      <c r="AJ210" s="284" t="n">
        <f aca="false">IFERROR(W210*$G210*$I210, "")</f>
        <v>0</v>
      </c>
      <c r="AK210" s="286" t="n">
        <f aca="false">IFERROR(SUMIF($Y$4:$AJ$4, "RDEC", Y210:AJ210), "")</f>
        <v>0</v>
      </c>
      <c r="AL210" s="286" t="n">
        <f aca="false">IFERROR(SUMIF($Y$4:$AJ$4, "SME", Y210:AJ210), "")</f>
        <v>0</v>
      </c>
      <c r="AM210" s="286" t="n">
        <f aca="false">IFERROR(SUMIF($Y$4:$AJ$4, "De Minimis", Y210:AJ210), "")</f>
        <v>0</v>
      </c>
      <c r="AN210" s="283"/>
      <c r="AO210" s="284" t="n">
        <f aca="false">IFERROR($G210*$J210*L210, "")</f>
        <v>0</v>
      </c>
      <c r="AP210" s="284" t="n">
        <f aca="false">IFERROR($G210*$J210*M210, "")</f>
        <v>0</v>
      </c>
      <c r="AQ210" s="284" t="n">
        <f aca="false">IFERROR($G210*$J210*N210, "")</f>
        <v>0</v>
      </c>
      <c r="AR210" s="284" t="n">
        <f aca="false">IFERROR($G210*$J210*O210, "")</f>
        <v>0</v>
      </c>
      <c r="AS210" s="284" t="n">
        <f aca="false">IFERROR($G210*$J210*P210, "")</f>
        <v>0</v>
      </c>
      <c r="AT210" s="284" t="n">
        <f aca="false">IFERROR($G210*$J210*Q210, "")</f>
        <v>0</v>
      </c>
      <c r="AU210" s="284" t="n">
        <f aca="false">IFERROR($G210*$J210*R210, "")</f>
        <v>0</v>
      </c>
      <c r="AV210" s="284" t="n">
        <f aca="false">IFERROR($G210*$J210*S210, "")</f>
        <v>0</v>
      </c>
      <c r="AW210" s="284" t="n">
        <f aca="false">IFERROR($G210*$J210*T210, "")</f>
        <v>0</v>
      </c>
      <c r="AX210" s="284" t="n">
        <f aca="false">IFERROR($G210*$J210*U210, "")</f>
        <v>0</v>
      </c>
      <c r="AY210" s="284" t="n">
        <f aca="false">IFERROR($G210*$J210*V210, "")</f>
        <v>0</v>
      </c>
      <c r="AZ210" s="284" t="n">
        <f aca="false">IFERROR($G210*$J210*W210, "")</f>
        <v>0</v>
      </c>
      <c r="BA210" s="286" t="n">
        <f aca="false">IFERROR(SUMIF($AO$4:$AZ$4, "RDEC", AO210:AZ210), "")</f>
        <v>0</v>
      </c>
      <c r="BB210" s="286" t="n">
        <f aca="false">IFERROR(SUMIF($AO$4:$AZ$4, "SME", AO210:AZ210), "")</f>
        <v>0</v>
      </c>
      <c r="BC210" s="286" t="n">
        <f aca="false">IFERROR(SUMIF($Y$4:$AJ$4, "De Minimis", AO210:AZ210), "")</f>
        <v>0</v>
      </c>
      <c r="BD210" s="287"/>
      <c r="BE210" s="288" t="str">
        <f aca="false">IF((SUM(L210:W210)&gt;1),"ERROR","")</f>
        <v/>
      </c>
    </row>
    <row r="211" customFormat="false" ht="15" hidden="false" customHeight="true" outlineLevel="0" collapsed="false">
      <c r="B211" s="333"/>
      <c r="C211" s="334"/>
      <c r="D211" s="333" t="n">
        <f aca="false">D195</f>
        <v>45597</v>
      </c>
      <c r="E211" s="277" t="n">
        <v>0</v>
      </c>
      <c r="F211" s="277" t="n">
        <v>0</v>
      </c>
      <c r="G211" s="277" t="n">
        <f aca="false">SUM(E211:F211)</f>
        <v>0</v>
      </c>
      <c r="H211" s="204"/>
      <c r="I211" s="279" t="n">
        <v>1</v>
      </c>
      <c r="J211" s="280" t="n">
        <f aca="false">1-I211</f>
        <v>0</v>
      </c>
      <c r="K211" s="277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3"/>
      <c r="Y211" s="284" t="n">
        <f aca="false">IFERROR(L211*$G211*I$9, "")</f>
        <v>0</v>
      </c>
      <c r="Z211" s="284" t="n">
        <f aca="false">IFERROR(M211*$G211*$I211, "")</f>
        <v>0</v>
      </c>
      <c r="AA211" s="284" t="n">
        <f aca="false">IFERROR(N211*$G211*$I211, "")</f>
        <v>0</v>
      </c>
      <c r="AB211" s="284" t="n">
        <f aca="false">IFERROR(O211*$G211*$I211, "")</f>
        <v>0</v>
      </c>
      <c r="AC211" s="284" t="n">
        <f aca="false">IFERROR(P211*$G211*$I211, "")</f>
        <v>0</v>
      </c>
      <c r="AD211" s="284" t="n">
        <f aca="false">IFERROR(Q211*$G211*$I211, "")</f>
        <v>0</v>
      </c>
      <c r="AE211" s="284" t="n">
        <f aca="false">IFERROR(R211*$G211*$I211, "")</f>
        <v>0</v>
      </c>
      <c r="AF211" s="284" t="n">
        <f aca="false">IFERROR(S211*$G211*$I211, "")</f>
        <v>0</v>
      </c>
      <c r="AG211" s="284" t="n">
        <f aca="false">IFERROR(T211*$G211*$I211, "")</f>
        <v>0</v>
      </c>
      <c r="AH211" s="284" t="n">
        <f aca="false">IFERROR(U211*$G211*$I211, "")</f>
        <v>0</v>
      </c>
      <c r="AI211" s="284" t="n">
        <f aca="false">IFERROR(V211*$G211*$I211, "")</f>
        <v>0</v>
      </c>
      <c r="AJ211" s="284" t="n">
        <f aca="false">IFERROR(W211*$G211*$I211, "")</f>
        <v>0</v>
      </c>
      <c r="AK211" s="286" t="n">
        <f aca="false">IFERROR(SUMIF($Y$4:$AJ$4, "RDEC", Y211:AJ211), "")</f>
        <v>0</v>
      </c>
      <c r="AL211" s="286" t="n">
        <f aca="false">IFERROR(SUMIF($Y$4:$AJ$4, "SME", Y211:AJ211), "")</f>
        <v>0</v>
      </c>
      <c r="AM211" s="286" t="n">
        <f aca="false">IFERROR(SUMIF($Y$4:$AJ$4, "De Minimis", Y211:AJ211), "")</f>
        <v>0</v>
      </c>
      <c r="AN211" s="283"/>
      <c r="AO211" s="284" t="n">
        <f aca="false">IFERROR($G211*$J211*L211, "")</f>
        <v>0</v>
      </c>
      <c r="AP211" s="284" t="n">
        <f aca="false">IFERROR($G211*$J211*M211, "")</f>
        <v>0</v>
      </c>
      <c r="AQ211" s="284" t="n">
        <f aca="false">IFERROR($G211*$J211*N211, "")</f>
        <v>0</v>
      </c>
      <c r="AR211" s="284" t="n">
        <f aca="false">IFERROR($G211*$J211*O211, "")</f>
        <v>0</v>
      </c>
      <c r="AS211" s="284" t="n">
        <f aca="false">IFERROR($G211*$J211*P211, "")</f>
        <v>0</v>
      </c>
      <c r="AT211" s="284" t="n">
        <f aca="false">IFERROR($G211*$J211*Q211, "")</f>
        <v>0</v>
      </c>
      <c r="AU211" s="284" t="n">
        <f aca="false">IFERROR($G211*$J211*R211, "")</f>
        <v>0</v>
      </c>
      <c r="AV211" s="284" t="n">
        <f aca="false">IFERROR($G211*$J211*S211, "")</f>
        <v>0</v>
      </c>
      <c r="AW211" s="284" t="n">
        <f aca="false">IFERROR($G211*$J211*T211, "")</f>
        <v>0</v>
      </c>
      <c r="AX211" s="284" t="n">
        <f aca="false">IFERROR($G211*$J211*U211, "")</f>
        <v>0</v>
      </c>
      <c r="AY211" s="284" t="n">
        <f aca="false">IFERROR($G211*$J211*V211, "")</f>
        <v>0</v>
      </c>
      <c r="AZ211" s="284" t="n">
        <f aca="false">IFERROR($G211*$J211*W211, "")</f>
        <v>0</v>
      </c>
      <c r="BA211" s="286" t="n">
        <f aca="false">IFERROR(SUMIF($AO$4:$AZ$4, "RDEC", AO211:AZ211), "")</f>
        <v>0</v>
      </c>
      <c r="BB211" s="286" t="n">
        <f aca="false">IFERROR(SUMIF($AO$4:$AZ$4, "SME", AO211:AZ211), "")</f>
        <v>0</v>
      </c>
      <c r="BC211" s="286" t="n">
        <f aca="false">IFERROR(SUMIF($Y$4:$AJ$4, "De Minimis", AO211:AZ211), "")</f>
        <v>0</v>
      </c>
      <c r="BD211" s="287"/>
      <c r="BE211" s="288" t="str">
        <f aca="false">IF((SUM(L211:W211)&gt;1),"ERROR","")</f>
        <v/>
      </c>
    </row>
    <row r="212" customFormat="false" ht="15" hidden="false" customHeight="true" outlineLevel="0" collapsed="false">
      <c r="B212" s="333"/>
      <c r="C212" s="334"/>
      <c r="D212" s="333" t="n">
        <f aca="false">D196</f>
        <v>45627</v>
      </c>
      <c r="E212" s="277" t="n">
        <v>0</v>
      </c>
      <c r="F212" s="277" t="n">
        <v>0</v>
      </c>
      <c r="G212" s="277" t="n">
        <f aca="false">SUM(E212:F212)</f>
        <v>0</v>
      </c>
      <c r="H212" s="300"/>
      <c r="I212" s="289" t="n">
        <v>1</v>
      </c>
      <c r="J212" s="290" t="n">
        <f aca="false">1-I212</f>
        <v>0</v>
      </c>
      <c r="K212" s="300"/>
      <c r="L212" s="291"/>
      <c r="M212" s="291"/>
      <c r="N212" s="291"/>
      <c r="O212" s="291"/>
      <c r="P212" s="291"/>
      <c r="Q212" s="291"/>
      <c r="R212" s="291"/>
      <c r="S212" s="291"/>
      <c r="T212" s="291"/>
      <c r="U212" s="291"/>
      <c r="V212" s="291"/>
      <c r="W212" s="291"/>
      <c r="X212" s="283"/>
      <c r="Y212" s="284" t="n">
        <f aca="false">IFERROR(L212*$G212*I$9, "")</f>
        <v>0</v>
      </c>
      <c r="Z212" s="284" t="n">
        <f aca="false">IFERROR(M212*$G212*$I212, "")</f>
        <v>0</v>
      </c>
      <c r="AA212" s="284" t="n">
        <f aca="false">IFERROR(N212*$G212*$I212, "")</f>
        <v>0</v>
      </c>
      <c r="AB212" s="284" t="n">
        <f aca="false">IFERROR(O212*$G212*$I212, "")</f>
        <v>0</v>
      </c>
      <c r="AC212" s="284" t="n">
        <f aca="false">IFERROR(P212*$G212*$I212, "")</f>
        <v>0</v>
      </c>
      <c r="AD212" s="284" t="n">
        <f aca="false">IFERROR(Q212*$G212*$I212, "")</f>
        <v>0</v>
      </c>
      <c r="AE212" s="284" t="n">
        <f aca="false">IFERROR(R212*$G212*$I212, "")</f>
        <v>0</v>
      </c>
      <c r="AF212" s="284" t="n">
        <f aca="false">IFERROR(S212*$G212*$I212, "")</f>
        <v>0</v>
      </c>
      <c r="AG212" s="284" t="n">
        <f aca="false">IFERROR(T212*$G212*$I212, "")</f>
        <v>0</v>
      </c>
      <c r="AH212" s="284" t="n">
        <f aca="false">IFERROR(U212*$G212*$I212, "")</f>
        <v>0</v>
      </c>
      <c r="AI212" s="284" t="n">
        <f aca="false">IFERROR(V212*$G212*$I212, "")</f>
        <v>0</v>
      </c>
      <c r="AJ212" s="284" t="n">
        <f aca="false">IFERROR(W212*$G212*$I212, "")</f>
        <v>0</v>
      </c>
      <c r="AK212" s="294" t="n">
        <f aca="false">IFERROR(SUMIF($Y$4:$AJ$4, "RDEC", Y212:AJ212), "")</f>
        <v>0</v>
      </c>
      <c r="AL212" s="294" t="n">
        <f aca="false">IFERROR(SUMIF($Y$4:$AJ$4, "SME", Y212:AJ212), "")</f>
        <v>0</v>
      </c>
      <c r="AM212" s="294" t="n">
        <f aca="false">IFERROR(SUMIF($Y$4:$AJ$4, "De Minimis", Y212:AJ212), "")</f>
        <v>0</v>
      </c>
      <c r="AN212" s="283"/>
      <c r="AO212" s="284" t="n">
        <f aca="false">IFERROR($G212*$J212*L212, "")</f>
        <v>0</v>
      </c>
      <c r="AP212" s="284" t="n">
        <f aca="false">IFERROR($G212*$J212*M212, "")</f>
        <v>0</v>
      </c>
      <c r="AQ212" s="284" t="n">
        <f aca="false">IFERROR($G212*$J212*N212, "")</f>
        <v>0</v>
      </c>
      <c r="AR212" s="284" t="n">
        <f aca="false">IFERROR($G212*$J212*O212, "")</f>
        <v>0</v>
      </c>
      <c r="AS212" s="284" t="n">
        <f aca="false">IFERROR($G212*$J212*P212, "")</f>
        <v>0</v>
      </c>
      <c r="AT212" s="284" t="n">
        <f aca="false">IFERROR($G212*$J212*Q212, "")</f>
        <v>0</v>
      </c>
      <c r="AU212" s="284" t="n">
        <f aca="false">IFERROR($G212*$J212*R212, "")</f>
        <v>0</v>
      </c>
      <c r="AV212" s="284" t="n">
        <f aca="false">IFERROR($G212*$J212*S212, "")</f>
        <v>0</v>
      </c>
      <c r="AW212" s="284" t="n">
        <f aca="false">IFERROR($G212*$J212*T212, "")</f>
        <v>0</v>
      </c>
      <c r="AX212" s="284" t="n">
        <f aca="false">IFERROR($G212*$J212*U212, "")</f>
        <v>0</v>
      </c>
      <c r="AY212" s="284" t="n">
        <f aca="false">IFERROR($G212*$J212*V212, "")</f>
        <v>0</v>
      </c>
      <c r="AZ212" s="284" t="n">
        <f aca="false">IFERROR($G212*$J212*W212, "")</f>
        <v>0</v>
      </c>
      <c r="BA212" s="286" t="n">
        <f aca="false">IFERROR(SUMIF($AO$4:$AZ$4, "RDEC", AO212:AZ212), "")</f>
        <v>0</v>
      </c>
      <c r="BB212" s="286" t="n">
        <f aca="false">IFERROR(SUMIF($AO$4:$AZ$4, "SME", AO212:AZ212), "")</f>
        <v>0</v>
      </c>
      <c r="BC212" s="294" t="n">
        <f aca="false">IFERROR(SUMIF($Y$4:$AJ$4, "De Minimis", AO212:AZ212), "")</f>
        <v>0</v>
      </c>
      <c r="BD212" s="303"/>
      <c r="BE212" s="295" t="str">
        <f aca="false">IF((SUM(L212:W212)&gt;1),"ERROR","")</f>
        <v/>
      </c>
    </row>
    <row r="213" customFormat="false" ht="15" hidden="false" customHeight="true" outlineLevel="0" collapsed="false">
      <c r="B213" s="296"/>
      <c r="D213" s="297" t="s">
        <v>82</v>
      </c>
      <c r="E213" s="299" t="n">
        <f aca="false">SUM(E201:E212)</f>
        <v>0</v>
      </c>
      <c r="F213" s="299" t="n">
        <f aca="false">SUM(F201:F212)</f>
        <v>0</v>
      </c>
      <c r="G213" s="299" t="n">
        <f aca="false">SUM(G201:G212)</f>
        <v>0</v>
      </c>
      <c r="H213" s="300"/>
      <c r="I213" s="301" t="n">
        <f aca="false">AVERAGE(I201:I212)</f>
        <v>1</v>
      </c>
      <c r="J213" s="301" t="n">
        <f aca="false">AVERAGE(J201:J212)</f>
        <v>0</v>
      </c>
      <c r="K213" s="300"/>
      <c r="L213" s="290" t="n">
        <f aca="false">IF(SUM(L201:L212)&gt;0,(Y213/G213),0)</f>
        <v>0</v>
      </c>
      <c r="M213" s="301" t="n">
        <f aca="false">IF(SUM(M201:M212)&gt;0,(Z213/G213),0)</f>
        <v>0</v>
      </c>
      <c r="N213" s="301" t="n">
        <f aca="false">IF(SUM(N201:N212)&gt;0,(AA213/G213),0)</f>
        <v>0</v>
      </c>
      <c r="O213" s="301" t="n">
        <f aca="false">IF(SUM(O201:O212)&gt;0,(AB213/G213),0)</f>
        <v>0</v>
      </c>
      <c r="P213" s="301" t="n">
        <f aca="false">IF(SUM(P201:P212)&gt;0,(AC213/G213),0)</f>
        <v>0</v>
      </c>
      <c r="Q213" s="301" t="n">
        <f aca="false">IF(SUM(Q201:Q212)&gt;0,(AD213/G213),0)</f>
        <v>0</v>
      </c>
      <c r="R213" s="301" t="n">
        <f aca="false">IF(SUM(R201:R212)&gt;0,(AE213/G213),0)</f>
        <v>0</v>
      </c>
      <c r="S213" s="301" t="n">
        <f aca="false">IF(SUM(S201:S212)&gt;0,(AF213/G213),0)</f>
        <v>0</v>
      </c>
      <c r="T213" s="301" t="n">
        <f aca="false">IF(SUM(T201:T212)&gt;0,(AG213/G213),0)</f>
        <v>0</v>
      </c>
      <c r="U213" s="301" t="n">
        <f aca="false">IF(SUM(U201:U212)&gt;0,(AJ213/G213),0)</f>
        <v>0</v>
      </c>
      <c r="V213" s="301" t="n">
        <f aca="false">IF(SUM(V201:V212)&gt;0,(AI213/G213),0)</f>
        <v>0</v>
      </c>
      <c r="W213" s="301" t="n">
        <f aca="false">IF(SUM(W201:W212)&gt;0,(AJ213/G213),0)</f>
        <v>0</v>
      </c>
      <c r="X213" s="283"/>
      <c r="Y213" s="304" t="n">
        <f aca="false">SUM(Y201:Y212)</f>
        <v>0</v>
      </c>
      <c r="Z213" s="304" t="n">
        <f aca="false">SUM(Z201:Z212)</f>
        <v>0</v>
      </c>
      <c r="AA213" s="304" t="n">
        <f aca="false">SUM(AA201:AA212)</f>
        <v>0</v>
      </c>
      <c r="AB213" s="304" t="n">
        <f aca="false">SUM(AB201:AB212)</f>
        <v>0</v>
      </c>
      <c r="AC213" s="304" t="n">
        <f aca="false">SUM(AC201:AC212)</f>
        <v>0</v>
      </c>
      <c r="AD213" s="304" t="n">
        <f aca="false">SUM(AD201:AD212)</f>
        <v>0</v>
      </c>
      <c r="AE213" s="304" t="n">
        <f aca="false">SUM(AE201:AE212)</f>
        <v>0</v>
      </c>
      <c r="AF213" s="304" t="n">
        <f aca="false">SUM(AF201:AF212)</f>
        <v>0</v>
      </c>
      <c r="AG213" s="304" t="n">
        <f aca="false">SUM(AG201:AG212)</f>
        <v>0</v>
      </c>
      <c r="AH213" s="304" t="n">
        <f aca="false">SUM(AH201:AH212)</f>
        <v>0</v>
      </c>
      <c r="AI213" s="304" t="n">
        <f aca="false">SUM(AI201:AI212)</f>
        <v>0</v>
      </c>
      <c r="AJ213" s="304" t="n">
        <f aca="false">SUM(AJ201:AJ212)</f>
        <v>0</v>
      </c>
      <c r="AK213" s="335" t="n">
        <f aca="false">SUM(AK201:AK212)</f>
        <v>0</v>
      </c>
      <c r="AL213" s="336" t="n">
        <f aca="false">SUM(AL201:AL212)</f>
        <v>0</v>
      </c>
      <c r="AM213" s="305" t="n">
        <f aca="false">SUM(AM201:AM212)</f>
        <v>0</v>
      </c>
      <c r="AN213" s="283"/>
      <c r="AO213" s="304" t="n">
        <f aca="false">SUM(AO201:AO212)</f>
        <v>0</v>
      </c>
      <c r="AP213" s="304" t="n">
        <f aca="false">SUM(AP201:AP212)</f>
        <v>0</v>
      </c>
      <c r="AQ213" s="304" t="n">
        <f aca="false">SUM(AQ201:AQ212)</f>
        <v>0</v>
      </c>
      <c r="AR213" s="304" t="n">
        <f aca="false">SUM(AR201:AR212)</f>
        <v>0</v>
      </c>
      <c r="AS213" s="304" t="n">
        <f aca="false">SUM(AS201:AS212)</f>
        <v>0</v>
      </c>
      <c r="AT213" s="304" t="n">
        <f aca="false">SUM(AT201:AT212)</f>
        <v>0</v>
      </c>
      <c r="AU213" s="304" t="n">
        <f aca="false">SUM(AU201:AU212)</f>
        <v>0</v>
      </c>
      <c r="AV213" s="304" t="n">
        <f aca="false">SUM(AV201:AV212)</f>
        <v>0</v>
      </c>
      <c r="AW213" s="304" t="n">
        <f aca="false">SUM(AW201:AW212)</f>
        <v>0</v>
      </c>
      <c r="AX213" s="304" t="n">
        <f aca="false">SUM(AX201:AX212)</f>
        <v>0</v>
      </c>
      <c r="AY213" s="304" t="n">
        <f aca="false">SUM(AY201:AY212)</f>
        <v>0</v>
      </c>
      <c r="AZ213" s="304" t="n">
        <f aca="false">SUM(AZ201:AZ212)</f>
        <v>0</v>
      </c>
      <c r="BA213" s="336" t="n">
        <f aca="false">SUM(BA201:BA212)</f>
        <v>0</v>
      </c>
      <c r="BB213" s="336" t="n">
        <f aca="false">SUM(BB201:BB212)</f>
        <v>0</v>
      </c>
      <c r="BC213" s="305" t="n">
        <f aca="false">SUM(BC201:BC212)</f>
        <v>0</v>
      </c>
      <c r="BD213" s="303"/>
      <c r="BE213" s="337"/>
    </row>
    <row r="214" customFormat="false" ht="15" hidden="false" customHeight="true" outlineLevel="0" collapsed="false">
      <c r="B214" s="296"/>
      <c r="D214" s="297"/>
      <c r="E214" s="300"/>
      <c r="F214" s="300"/>
      <c r="G214" s="300"/>
      <c r="H214" s="241"/>
      <c r="I214" s="302"/>
      <c r="J214" s="302"/>
      <c r="K214" s="241"/>
      <c r="L214" s="259"/>
      <c r="M214" s="259"/>
      <c r="N214" s="259"/>
      <c r="O214" s="259"/>
      <c r="P214" s="259"/>
      <c r="Q214" s="259"/>
      <c r="R214" s="259"/>
      <c r="S214" s="259"/>
      <c r="T214" s="259"/>
      <c r="U214" s="259"/>
      <c r="V214" s="259"/>
      <c r="W214" s="259"/>
      <c r="X214" s="303"/>
      <c r="Y214" s="259"/>
      <c r="Z214" s="303"/>
      <c r="AA214" s="303"/>
      <c r="AB214" s="303"/>
      <c r="AC214" s="303"/>
      <c r="AD214" s="303"/>
      <c r="AE214" s="303"/>
      <c r="AF214" s="303"/>
      <c r="AG214" s="303"/>
      <c r="AH214" s="303"/>
      <c r="AI214" s="303"/>
      <c r="AJ214" s="303"/>
      <c r="AK214" s="303"/>
      <c r="AL214" s="303"/>
      <c r="AM214" s="303"/>
      <c r="AN214" s="303"/>
      <c r="AO214" s="259"/>
      <c r="AP214" s="303"/>
      <c r="AQ214" s="303"/>
      <c r="AR214" s="303"/>
      <c r="AS214" s="303"/>
      <c r="AT214" s="303"/>
      <c r="AU214" s="303"/>
      <c r="AV214" s="303"/>
      <c r="AW214" s="303"/>
      <c r="AX214" s="303"/>
      <c r="AY214" s="303"/>
      <c r="AZ214" s="303"/>
      <c r="BA214" s="303"/>
      <c r="BB214" s="303"/>
      <c r="BC214" s="303"/>
      <c r="BD214" s="268"/>
      <c r="BE214" s="303"/>
    </row>
    <row r="215" customFormat="false" ht="15" hidden="false" customHeight="true" outlineLevel="0" collapsed="false">
      <c r="A215" s="198" t="n">
        <f aca="false">A199+1</f>
        <v>14</v>
      </c>
      <c r="B215" s="266" t="s">
        <v>253</v>
      </c>
      <c r="C215" s="266" t="s">
        <v>253</v>
      </c>
      <c r="D215" s="266"/>
      <c r="E215" s="241"/>
      <c r="F215" s="241"/>
      <c r="G215" s="241"/>
      <c r="H215" s="241"/>
      <c r="I215" s="241"/>
      <c r="J215" s="241"/>
      <c r="K215" s="277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59"/>
      <c r="Y215" s="268"/>
      <c r="Z215" s="268"/>
      <c r="AA215" s="268"/>
      <c r="AB215" s="268"/>
      <c r="AC215" s="268"/>
      <c r="AD215" s="268"/>
      <c r="AE215" s="268"/>
      <c r="AF215" s="268"/>
      <c r="AG215" s="268"/>
      <c r="AH215" s="268"/>
      <c r="AI215" s="268"/>
      <c r="AJ215" s="268"/>
      <c r="AK215" s="268"/>
      <c r="AL215" s="268"/>
      <c r="AM215" s="268"/>
      <c r="AN215" s="259"/>
      <c r="AO215" s="268"/>
      <c r="AP215" s="268"/>
      <c r="AQ215" s="268"/>
      <c r="AR215" s="268"/>
      <c r="AS215" s="268"/>
      <c r="AT215" s="268"/>
      <c r="AU215" s="268"/>
      <c r="AV215" s="268"/>
      <c r="AW215" s="268"/>
      <c r="AX215" s="268"/>
      <c r="AY215" s="268"/>
      <c r="AZ215" s="268"/>
      <c r="BA215" s="268"/>
      <c r="BB215" s="268"/>
      <c r="BC215" s="268"/>
      <c r="BD215" s="287"/>
      <c r="BE215" s="268"/>
    </row>
    <row r="216" customFormat="false" ht="7.5" hidden="false" customHeight="true" outlineLevel="0" collapsed="false">
      <c r="A216" s="198"/>
      <c r="B216" s="266"/>
      <c r="C216" s="266"/>
      <c r="D216" s="266"/>
      <c r="E216" s="241"/>
      <c r="F216" s="241"/>
      <c r="G216" s="241"/>
      <c r="H216" s="204"/>
      <c r="I216" s="269"/>
      <c r="J216" s="269"/>
      <c r="K216" s="277"/>
      <c r="L216" s="269"/>
      <c r="M216" s="269"/>
      <c r="N216" s="269"/>
      <c r="O216" s="269"/>
      <c r="P216" s="269"/>
      <c r="Q216" s="269"/>
      <c r="R216" s="269"/>
      <c r="S216" s="269"/>
      <c r="T216" s="269"/>
      <c r="U216" s="269"/>
      <c r="V216" s="269"/>
      <c r="W216" s="269"/>
      <c r="X216" s="259"/>
      <c r="Y216" s="271"/>
      <c r="Z216" s="271"/>
      <c r="AA216" s="271"/>
      <c r="AB216" s="271"/>
      <c r="AC216" s="271"/>
      <c r="AD216" s="271"/>
      <c r="AE216" s="271"/>
      <c r="AF216" s="271"/>
      <c r="AG216" s="271"/>
      <c r="AH216" s="271"/>
      <c r="AI216" s="271"/>
      <c r="AJ216" s="272"/>
      <c r="AK216" s="273"/>
      <c r="AL216" s="273"/>
      <c r="AM216" s="273"/>
      <c r="AN216" s="259"/>
      <c r="AO216" s="271"/>
      <c r="AP216" s="271"/>
      <c r="AQ216" s="271"/>
      <c r="AR216" s="271"/>
      <c r="AS216" s="271"/>
      <c r="AT216" s="271"/>
      <c r="AU216" s="271"/>
      <c r="AV216" s="271"/>
      <c r="AW216" s="271"/>
      <c r="AX216" s="271"/>
      <c r="AY216" s="271"/>
      <c r="AZ216" s="272"/>
      <c r="BA216" s="273"/>
      <c r="BB216" s="273"/>
      <c r="BC216" s="273"/>
      <c r="BD216" s="287"/>
      <c r="BE216" s="274"/>
    </row>
    <row r="217" customFormat="false" ht="15" hidden="false" customHeight="true" outlineLevel="0" collapsed="false">
      <c r="B217" s="333"/>
      <c r="C217" s="334"/>
      <c r="D217" s="333" t="n">
        <f aca="false">D201</f>
        <v>45292</v>
      </c>
      <c r="E217" s="277" t="n">
        <v>0</v>
      </c>
      <c r="F217" s="277" t="n">
        <v>0</v>
      </c>
      <c r="G217" s="277" t="n">
        <f aca="false">SUM(E217:F217)</f>
        <v>0</v>
      </c>
      <c r="H217" s="204"/>
      <c r="I217" s="279" t="n">
        <v>1</v>
      </c>
      <c r="J217" s="280" t="n">
        <f aca="false">1-I217</f>
        <v>0</v>
      </c>
      <c r="K217" s="277"/>
      <c r="L217" s="282"/>
      <c r="M217" s="282"/>
      <c r="N217" s="282"/>
      <c r="O217" s="282"/>
      <c r="P217" s="282"/>
      <c r="Q217" s="282"/>
      <c r="R217" s="282"/>
      <c r="S217" s="282"/>
      <c r="T217" s="282"/>
      <c r="U217" s="282"/>
      <c r="V217" s="282"/>
      <c r="W217" s="282"/>
      <c r="X217" s="268"/>
      <c r="Y217" s="284" t="n">
        <f aca="false">IFERROR(L217*$G217*I$9, "")</f>
        <v>0</v>
      </c>
      <c r="Z217" s="284" t="n">
        <f aca="false">IFERROR(M217*$G217*$I217, "")</f>
        <v>0</v>
      </c>
      <c r="AA217" s="284" t="n">
        <f aca="false">IFERROR(N217*$G217*$I217, "")</f>
        <v>0</v>
      </c>
      <c r="AB217" s="284" t="n">
        <f aca="false">IFERROR(O217*$G217*$I217, "")</f>
        <v>0</v>
      </c>
      <c r="AC217" s="284" t="n">
        <f aca="false">IFERROR(P217*$G217*$I217, "")</f>
        <v>0</v>
      </c>
      <c r="AD217" s="284" t="n">
        <f aca="false">IFERROR(Q217*$G217*$I217, "")</f>
        <v>0</v>
      </c>
      <c r="AE217" s="284" t="n">
        <f aca="false">IFERROR(R217*$G217*$I217, "")</f>
        <v>0</v>
      </c>
      <c r="AF217" s="284" t="n">
        <f aca="false">IFERROR(S217*$G217*$I217, "")</f>
        <v>0</v>
      </c>
      <c r="AG217" s="284" t="n">
        <f aca="false">IFERROR(T217*$G217*$I217, "")</f>
        <v>0</v>
      </c>
      <c r="AH217" s="284" t="n">
        <f aca="false">IFERROR(U217*$G217*$I217, "")</f>
        <v>0</v>
      </c>
      <c r="AI217" s="284" t="n">
        <f aca="false">IFERROR(V217*$G217*$I217, "")</f>
        <v>0</v>
      </c>
      <c r="AJ217" s="284" t="n">
        <f aca="false">IFERROR(W217*$G217*$I217, "")</f>
        <v>0</v>
      </c>
      <c r="AK217" s="286" t="n">
        <f aca="false">IFERROR(SUMIF($Y$4:$AJ$4, "RDEC", Y217:AJ217), "")</f>
        <v>0</v>
      </c>
      <c r="AL217" s="286" t="n">
        <f aca="false">IFERROR(SUMIF($Y$4:$AJ$4, "SME", Y217:AJ217), "")</f>
        <v>0</v>
      </c>
      <c r="AM217" s="286" t="n">
        <f aca="false">IFERROR(SUMIF($Y$4:$AJ$4, "De Minimis", Y217:AJ217), "")</f>
        <v>0</v>
      </c>
      <c r="AN217" s="268"/>
      <c r="AO217" s="284" t="n">
        <f aca="false">IFERROR($G217*$J217*L217, "")</f>
        <v>0</v>
      </c>
      <c r="AP217" s="284" t="n">
        <f aca="false">IFERROR($G217*$J217*M217, "")</f>
        <v>0</v>
      </c>
      <c r="AQ217" s="284" t="n">
        <f aca="false">IFERROR($G217*$J217*N217, "")</f>
        <v>0</v>
      </c>
      <c r="AR217" s="284" t="n">
        <f aca="false">IFERROR($G217*$J217*O217, "")</f>
        <v>0</v>
      </c>
      <c r="AS217" s="284" t="n">
        <f aca="false">IFERROR($G217*$J217*P217, "")</f>
        <v>0</v>
      </c>
      <c r="AT217" s="284" t="n">
        <f aca="false">IFERROR($G217*$J217*Q217, "")</f>
        <v>0</v>
      </c>
      <c r="AU217" s="284" t="n">
        <f aca="false">IFERROR($G217*$J217*R217, "")</f>
        <v>0</v>
      </c>
      <c r="AV217" s="284" t="n">
        <f aca="false">IFERROR($G217*$J217*S217, "")</f>
        <v>0</v>
      </c>
      <c r="AW217" s="284" t="n">
        <f aca="false">IFERROR($G217*$J217*T217, "")</f>
        <v>0</v>
      </c>
      <c r="AX217" s="284" t="n">
        <f aca="false">IFERROR($G217*$J217*U217, "")</f>
        <v>0</v>
      </c>
      <c r="AY217" s="284" t="n">
        <f aca="false">IFERROR($G217*$J217*V217, "")</f>
        <v>0</v>
      </c>
      <c r="AZ217" s="284" t="n">
        <f aca="false">IFERROR($G217*$J217*W217, "")</f>
        <v>0</v>
      </c>
      <c r="BA217" s="286" t="n">
        <f aca="false">IFERROR(SUMIF($AO$4:$AZ$4, "RDEC", AO217:AZ217), "")</f>
        <v>0</v>
      </c>
      <c r="BB217" s="286" t="n">
        <f aca="false">IFERROR(SUMIF($AO$4:$AZ$4, "SME", AO217:AZ217), "")</f>
        <v>0</v>
      </c>
      <c r="BC217" s="286" t="n">
        <f aca="false">IFERROR(SUMIF($AO$4:$AZ$4, "De Minimis", AO217:AZ217), "")</f>
        <v>0</v>
      </c>
      <c r="BD217" s="287"/>
      <c r="BE217" s="288" t="str">
        <f aca="false">IF((SUM(L217:W217)&gt;1),"ERROR","")</f>
        <v/>
      </c>
    </row>
    <row r="218" customFormat="false" ht="15" hidden="false" customHeight="true" outlineLevel="0" collapsed="false">
      <c r="B218" s="333"/>
      <c r="C218" s="334"/>
      <c r="D218" s="333" t="n">
        <f aca="false">D202</f>
        <v>45323</v>
      </c>
      <c r="E218" s="277" t="n">
        <v>0</v>
      </c>
      <c r="F218" s="277" t="n">
        <v>0</v>
      </c>
      <c r="G218" s="277" t="n">
        <f aca="false">SUM(E218:F218)</f>
        <v>0</v>
      </c>
      <c r="H218" s="204"/>
      <c r="I218" s="279" t="n">
        <v>1</v>
      </c>
      <c r="J218" s="280" t="n">
        <f aca="false">1-I218</f>
        <v>0</v>
      </c>
      <c r="K218" s="277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3"/>
      <c r="Y218" s="284" t="n">
        <f aca="false">IFERROR(L218*$G218*I$9, "")</f>
        <v>0</v>
      </c>
      <c r="Z218" s="284" t="n">
        <f aca="false">IFERROR(M218*$G218*$I218, "")</f>
        <v>0</v>
      </c>
      <c r="AA218" s="284" t="n">
        <f aca="false">IFERROR(N218*$G218*$I218, "")</f>
        <v>0</v>
      </c>
      <c r="AB218" s="284" t="n">
        <f aca="false">IFERROR(O218*$G218*$I218, "")</f>
        <v>0</v>
      </c>
      <c r="AC218" s="284" t="n">
        <f aca="false">IFERROR(P218*$G218*$I218, "")</f>
        <v>0</v>
      </c>
      <c r="AD218" s="284" t="n">
        <f aca="false">IFERROR(Q218*$G218*$I218, "")</f>
        <v>0</v>
      </c>
      <c r="AE218" s="284" t="n">
        <f aca="false">IFERROR(R218*$G218*$I218, "")</f>
        <v>0</v>
      </c>
      <c r="AF218" s="284" t="n">
        <f aca="false">IFERROR(S218*$G218*$I218, "")</f>
        <v>0</v>
      </c>
      <c r="AG218" s="284" t="n">
        <f aca="false">IFERROR(T218*$G218*$I218, "")</f>
        <v>0</v>
      </c>
      <c r="AH218" s="284" t="n">
        <f aca="false">IFERROR(U218*$G218*$I218, "")</f>
        <v>0</v>
      </c>
      <c r="AI218" s="284" t="n">
        <f aca="false">IFERROR(V218*$G218*$I218, "")</f>
        <v>0</v>
      </c>
      <c r="AJ218" s="284" t="n">
        <f aca="false">IFERROR(W218*$G218*$I218, "")</f>
        <v>0</v>
      </c>
      <c r="AK218" s="286" t="n">
        <f aca="false">IFERROR(SUMIF($Y$4:$AJ$4, "RDEC", Y218:AJ218), "")</f>
        <v>0</v>
      </c>
      <c r="AL218" s="286" t="n">
        <f aca="false">IFERROR(SUMIF($Y$4:$AJ$4, "SME", Y218:AJ218), "")</f>
        <v>0</v>
      </c>
      <c r="AM218" s="286" t="n">
        <f aca="false">IFERROR(SUMIF($Y$4:$AJ$4, "De Minimis", Y218:AJ218), "")</f>
        <v>0</v>
      </c>
      <c r="AN218" s="283"/>
      <c r="AO218" s="284" t="n">
        <f aca="false">IFERROR($G218*$J218*L218, "")</f>
        <v>0</v>
      </c>
      <c r="AP218" s="284" t="n">
        <f aca="false">IFERROR($G218*$J218*M218, "")</f>
        <v>0</v>
      </c>
      <c r="AQ218" s="284" t="n">
        <f aca="false">IFERROR($G218*$J218*N218, "")</f>
        <v>0</v>
      </c>
      <c r="AR218" s="284" t="n">
        <f aca="false">IFERROR($G218*$J218*O218, "")</f>
        <v>0</v>
      </c>
      <c r="AS218" s="284" t="n">
        <f aca="false">IFERROR($G218*$J218*P218, "")</f>
        <v>0</v>
      </c>
      <c r="AT218" s="284" t="n">
        <f aca="false">IFERROR($G218*$J218*Q218, "")</f>
        <v>0</v>
      </c>
      <c r="AU218" s="284" t="n">
        <f aca="false">IFERROR($G218*$J218*R218, "")</f>
        <v>0</v>
      </c>
      <c r="AV218" s="284" t="n">
        <f aca="false">IFERROR($G218*$J218*S218, "")</f>
        <v>0</v>
      </c>
      <c r="AW218" s="284" t="n">
        <f aca="false">IFERROR($G218*$J218*T218, "")</f>
        <v>0</v>
      </c>
      <c r="AX218" s="284" t="n">
        <f aca="false">IFERROR($G218*$J218*U218, "")</f>
        <v>0</v>
      </c>
      <c r="AY218" s="284" t="n">
        <f aca="false">IFERROR($G218*$J218*V218, "")</f>
        <v>0</v>
      </c>
      <c r="AZ218" s="284" t="n">
        <f aca="false">IFERROR($G218*$J218*W218, "")</f>
        <v>0</v>
      </c>
      <c r="BA218" s="286" t="n">
        <f aca="false">IFERROR(SUMIF($AO$4:$AZ$4, "RDEC", AO218:AZ218), "")</f>
        <v>0</v>
      </c>
      <c r="BB218" s="286" t="n">
        <f aca="false">IFERROR(SUMIF($AO$4:$AZ$4, "SME", AO218:AZ218), "")</f>
        <v>0</v>
      </c>
      <c r="BC218" s="286" t="n">
        <f aca="false">IFERROR(SUMIF($Y$4:$AJ$4, "De Minimis", AO218:AZ218), "")</f>
        <v>0</v>
      </c>
      <c r="BD218" s="287"/>
      <c r="BE218" s="288" t="str">
        <f aca="false">IF((SUM(L218:W218)&gt;1),"ERROR","")</f>
        <v/>
      </c>
    </row>
    <row r="219" customFormat="false" ht="15" hidden="false" customHeight="true" outlineLevel="0" collapsed="false">
      <c r="B219" s="333"/>
      <c r="C219" s="334"/>
      <c r="D219" s="333" t="n">
        <f aca="false">D203</f>
        <v>45352</v>
      </c>
      <c r="E219" s="277" t="n">
        <v>0</v>
      </c>
      <c r="F219" s="277" t="n">
        <v>0</v>
      </c>
      <c r="G219" s="277" t="n">
        <f aca="false">SUM(E219:F219)</f>
        <v>0</v>
      </c>
      <c r="H219" s="204"/>
      <c r="I219" s="279" t="n">
        <v>1</v>
      </c>
      <c r="J219" s="280" t="n">
        <f aca="false">1-I219</f>
        <v>0</v>
      </c>
      <c r="K219" s="277"/>
      <c r="L219" s="282"/>
      <c r="M219" s="282"/>
      <c r="N219" s="282"/>
      <c r="O219" s="282"/>
      <c r="P219" s="282"/>
      <c r="Q219" s="282"/>
      <c r="R219" s="282"/>
      <c r="S219" s="282"/>
      <c r="T219" s="282"/>
      <c r="U219" s="282"/>
      <c r="V219" s="282"/>
      <c r="W219" s="282"/>
      <c r="X219" s="283"/>
      <c r="Y219" s="284" t="n">
        <f aca="false">IFERROR(L219*$G219*I$9, "")</f>
        <v>0</v>
      </c>
      <c r="Z219" s="284" t="n">
        <f aca="false">IFERROR(M219*$G219*$I219, "")</f>
        <v>0</v>
      </c>
      <c r="AA219" s="284" t="n">
        <f aca="false">IFERROR(N219*$G219*$I219, "")</f>
        <v>0</v>
      </c>
      <c r="AB219" s="284" t="n">
        <f aca="false">IFERROR(O219*$G219*$I219, "")</f>
        <v>0</v>
      </c>
      <c r="AC219" s="284" t="n">
        <f aca="false">IFERROR(P219*$G219*$I219, "")</f>
        <v>0</v>
      </c>
      <c r="AD219" s="284" t="n">
        <f aca="false">IFERROR(Q219*$G219*$I219, "")</f>
        <v>0</v>
      </c>
      <c r="AE219" s="284" t="n">
        <f aca="false">IFERROR(R219*$G219*$I219, "")</f>
        <v>0</v>
      </c>
      <c r="AF219" s="284" t="n">
        <f aca="false">IFERROR(S219*$G219*$I219, "")</f>
        <v>0</v>
      </c>
      <c r="AG219" s="284" t="n">
        <f aca="false">IFERROR(T219*$G219*$I219, "")</f>
        <v>0</v>
      </c>
      <c r="AH219" s="284" t="n">
        <f aca="false">IFERROR(U219*$G219*$I219, "")</f>
        <v>0</v>
      </c>
      <c r="AI219" s="284" t="n">
        <f aca="false">IFERROR(V219*$G219*$I219, "")</f>
        <v>0</v>
      </c>
      <c r="AJ219" s="284" t="n">
        <f aca="false">IFERROR(W219*$G219*$I219, "")</f>
        <v>0</v>
      </c>
      <c r="AK219" s="286" t="n">
        <f aca="false">IFERROR(SUMIF($Y$4:$AJ$4, "RDEC", Y219:AJ219), "")</f>
        <v>0</v>
      </c>
      <c r="AL219" s="286" t="n">
        <f aca="false">IFERROR(SUMIF($Y$4:$AJ$4, "SME", Y219:AJ219), "")</f>
        <v>0</v>
      </c>
      <c r="AM219" s="286" t="n">
        <f aca="false">IFERROR(SUMIF($Y$4:$AJ$4, "De Minimis", Y219:AJ219), "")</f>
        <v>0</v>
      </c>
      <c r="AN219" s="283"/>
      <c r="AO219" s="284" t="n">
        <f aca="false">IFERROR($G219*$J219*L219, "")</f>
        <v>0</v>
      </c>
      <c r="AP219" s="284" t="n">
        <f aca="false">IFERROR($G219*$J219*M219, "")</f>
        <v>0</v>
      </c>
      <c r="AQ219" s="284" t="n">
        <f aca="false">IFERROR($G219*$J219*N219, "")</f>
        <v>0</v>
      </c>
      <c r="AR219" s="284" t="n">
        <f aca="false">IFERROR($G219*$J219*O219, "")</f>
        <v>0</v>
      </c>
      <c r="AS219" s="284" t="n">
        <f aca="false">IFERROR($G219*$J219*P219, "")</f>
        <v>0</v>
      </c>
      <c r="AT219" s="284" t="n">
        <f aca="false">IFERROR($G219*$J219*Q219, "")</f>
        <v>0</v>
      </c>
      <c r="AU219" s="284" t="n">
        <f aca="false">IFERROR($G219*$J219*R219, "")</f>
        <v>0</v>
      </c>
      <c r="AV219" s="284" t="n">
        <f aca="false">IFERROR($G219*$J219*S219, "")</f>
        <v>0</v>
      </c>
      <c r="AW219" s="284" t="n">
        <f aca="false">IFERROR($G219*$J219*T219, "")</f>
        <v>0</v>
      </c>
      <c r="AX219" s="284" t="n">
        <f aca="false">IFERROR($G219*$J219*U219, "")</f>
        <v>0</v>
      </c>
      <c r="AY219" s="284" t="n">
        <f aca="false">IFERROR($G219*$J219*V219, "")</f>
        <v>0</v>
      </c>
      <c r="AZ219" s="284" t="n">
        <f aca="false">IFERROR($G219*$J219*W219, "")</f>
        <v>0</v>
      </c>
      <c r="BA219" s="286" t="n">
        <f aca="false">IFERROR(SUMIF($AO$4:$AZ$4, "RDEC", AO219:AZ219), "")</f>
        <v>0</v>
      </c>
      <c r="BB219" s="286" t="n">
        <f aca="false">IFERROR(SUMIF($AO$4:$AZ$4, "SME", AO219:AZ219), "")</f>
        <v>0</v>
      </c>
      <c r="BC219" s="286" t="n">
        <f aca="false">IFERROR(SUMIF($Y$4:$AJ$4, "De Minimis", AO219:AZ219), "")</f>
        <v>0</v>
      </c>
      <c r="BD219" s="287"/>
      <c r="BE219" s="288" t="str">
        <f aca="false">IF((SUM(L219:W219)&gt;1),"ERROR","")</f>
        <v/>
      </c>
    </row>
    <row r="220" customFormat="false" ht="15" hidden="false" customHeight="true" outlineLevel="0" collapsed="false">
      <c r="B220" s="333"/>
      <c r="C220" s="334"/>
      <c r="D220" s="333" t="n">
        <f aca="false">D204</f>
        <v>45383</v>
      </c>
      <c r="E220" s="277" t="n">
        <v>0</v>
      </c>
      <c r="F220" s="277" t="n">
        <v>0</v>
      </c>
      <c r="G220" s="277" t="n">
        <f aca="false">SUM(E220:F220)</f>
        <v>0</v>
      </c>
      <c r="H220" s="204"/>
      <c r="I220" s="279" t="n">
        <v>1</v>
      </c>
      <c r="J220" s="280" t="n">
        <f aca="false">1-I220</f>
        <v>0</v>
      </c>
      <c r="K220" s="277"/>
      <c r="L220" s="282"/>
      <c r="M220" s="282"/>
      <c r="N220" s="282"/>
      <c r="O220" s="282"/>
      <c r="P220" s="282"/>
      <c r="Q220" s="282"/>
      <c r="R220" s="282"/>
      <c r="S220" s="282"/>
      <c r="T220" s="282"/>
      <c r="U220" s="282"/>
      <c r="V220" s="282"/>
      <c r="W220" s="282"/>
      <c r="X220" s="283"/>
      <c r="Y220" s="284" t="n">
        <f aca="false">IFERROR(L220*$G220*I$9, "")</f>
        <v>0</v>
      </c>
      <c r="Z220" s="284" t="n">
        <f aca="false">IFERROR(M220*$G220*$I220, "")</f>
        <v>0</v>
      </c>
      <c r="AA220" s="284" t="n">
        <f aca="false">IFERROR(N220*$G220*$I220, "")</f>
        <v>0</v>
      </c>
      <c r="AB220" s="284" t="n">
        <f aca="false">IFERROR(O220*$G220*$I220, "")</f>
        <v>0</v>
      </c>
      <c r="AC220" s="284" t="n">
        <f aca="false">IFERROR(P220*$G220*$I220, "")</f>
        <v>0</v>
      </c>
      <c r="AD220" s="284" t="n">
        <f aca="false">IFERROR(Q220*$G220*$I220, "")</f>
        <v>0</v>
      </c>
      <c r="AE220" s="284" t="n">
        <f aca="false">IFERROR(R220*$G220*$I220, "")</f>
        <v>0</v>
      </c>
      <c r="AF220" s="284" t="n">
        <f aca="false">IFERROR(S220*$G220*$I220, "")</f>
        <v>0</v>
      </c>
      <c r="AG220" s="284" t="n">
        <f aca="false">IFERROR(T220*$G220*$I220, "")</f>
        <v>0</v>
      </c>
      <c r="AH220" s="284" t="n">
        <f aca="false">IFERROR(U220*$G220*$I220, "")</f>
        <v>0</v>
      </c>
      <c r="AI220" s="284" t="n">
        <f aca="false">IFERROR(V220*$G220*$I220, "")</f>
        <v>0</v>
      </c>
      <c r="AJ220" s="284" t="n">
        <f aca="false">IFERROR(W220*$G220*$I220, "")</f>
        <v>0</v>
      </c>
      <c r="AK220" s="286" t="n">
        <f aca="false">IFERROR(SUMIF($Y$4:$AJ$4, "RDEC", Y220:AJ220), "")</f>
        <v>0</v>
      </c>
      <c r="AL220" s="286" t="n">
        <f aca="false">IFERROR(SUMIF($Y$4:$AJ$4, "SME", Y220:AJ220), "")</f>
        <v>0</v>
      </c>
      <c r="AM220" s="286" t="n">
        <f aca="false">IFERROR(SUMIF($Y$4:$AJ$4, "De Minimis", Y220:AJ220), "")</f>
        <v>0</v>
      </c>
      <c r="AN220" s="283"/>
      <c r="AO220" s="284" t="n">
        <f aca="false">IFERROR($G220*$J220*L220, "")</f>
        <v>0</v>
      </c>
      <c r="AP220" s="284" t="n">
        <f aca="false">IFERROR($G220*$J220*M220, "")</f>
        <v>0</v>
      </c>
      <c r="AQ220" s="284" t="n">
        <f aca="false">IFERROR($G220*$J220*N220, "")</f>
        <v>0</v>
      </c>
      <c r="AR220" s="284" t="n">
        <f aca="false">IFERROR($G220*$J220*O220, "")</f>
        <v>0</v>
      </c>
      <c r="AS220" s="284" t="n">
        <f aca="false">IFERROR($G220*$J220*P220, "")</f>
        <v>0</v>
      </c>
      <c r="AT220" s="284" t="n">
        <f aca="false">IFERROR($G220*$J220*Q220, "")</f>
        <v>0</v>
      </c>
      <c r="AU220" s="284" t="n">
        <f aca="false">IFERROR($G220*$J220*R220, "")</f>
        <v>0</v>
      </c>
      <c r="AV220" s="284" t="n">
        <f aca="false">IFERROR($G220*$J220*S220, "")</f>
        <v>0</v>
      </c>
      <c r="AW220" s="284" t="n">
        <f aca="false">IFERROR($G220*$J220*T220, "")</f>
        <v>0</v>
      </c>
      <c r="AX220" s="284" t="n">
        <f aca="false">IFERROR($G220*$J220*U220, "")</f>
        <v>0</v>
      </c>
      <c r="AY220" s="284" t="n">
        <f aca="false">IFERROR($G220*$J220*V220, "")</f>
        <v>0</v>
      </c>
      <c r="AZ220" s="284" t="n">
        <f aca="false">IFERROR($G220*$J220*W220, "")</f>
        <v>0</v>
      </c>
      <c r="BA220" s="286" t="n">
        <f aca="false">IFERROR(SUMIF($AO$4:$AZ$4, "RDEC", AO220:AZ220), "")</f>
        <v>0</v>
      </c>
      <c r="BB220" s="286" t="n">
        <f aca="false">IFERROR(SUMIF($AO$4:$AZ$4, "SME", AO220:AZ220), "")</f>
        <v>0</v>
      </c>
      <c r="BC220" s="286" t="n">
        <f aca="false">IFERROR(SUMIF($Y$4:$AJ$4, "De Minimis", AO220:AZ220), "")</f>
        <v>0</v>
      </c>
      <c r="BD220" s="287"/>
      <c r="BE220" s="288" t="str">
        <f aca="false">IF((SUM(L220:W220)&gt;1),"ERROR","")</f>
        <v/>
      </c>
    </row>
    <row r="221" customFormat="false" ht="15" hidden="false" customHeight="true" outlineLevel="0" collapsed="false">
      <c r="B221" s="333"/>
      <c r="C221" s="334"/>
      <c r="D221" s="333" t="n">
        <f aca="false">D205</f>
        <v>45413</v>
      </c>
      <c r="E221" s="277" t="n">
        <v>0</v>
      </c>
      <c r="F221" s="277" t="n">
        <v>0</v>
      </c>
      <c r="G221" s="277" t="n">
        <f aca="false">SUM(E221:F221)</f>
        <v>0</v>
      </c>
      <c r="H221" s="204"/>
      <c r="I221" s="279" t="n">
        <v>1</v>
      </c>
      <c r="J221" s="280" t="n">
        <f aca="false">1-I221</f>
        <v>0</v>
      </c>
      <c r="K221" s="277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3"/>
      <c r="Y221" s="284" t="n">
        <f aca="false">IFERROR(L221*$G221*I$9, "")</f>
        <v>0</v>
      </c>
      <c r="Z221" s="284" t="n">
        <f aca="false">IFERROR(M221*$G221*$I221, "")</f>
        <v>0</v>
      </c>
      <c r="AA221" s="284" t="n">
        <f aca="false">IFERROR(N221*$G221*$I221, "")</f>
        <v>0</v>
      </c>
      <c r="AB221" s="284" t="n">
        <f aca="false">IFERROR(O221*$G221*$I221, "")</f>
        <v>0</v>
      </c>
      <c r="AC221" s="284" t="n">
        <f aca="false">IFERROR(P221*$G221*$I221, "")</f>
        <v>0</v>
      </c>
      <c r="AD221" s="284" t="n">
        <f aca="false">IFERROR(Q221*$G221*$I221, "")</f>
        <v>0</v>
      </c>
      <c r="AE221" s="284" t="n">
        <f aca="false">IFERROR(R221*$G221*$I221, "")</f>
        <v>0</v>
      </c>
      <c r="AF221" s="284" t="n">
        <f aca="false">IFERROR(S221*$G221*$I221, "")</f>
        <v>0</v>
      </c>
      <c r="AG221" s="284" t="n">
        <f aca="false">IFERROR(T221*$G221*$I221, "")</f>
        <v>0</v>
      </c>
      <c r="AH221" s="284" t="n">
        <f aca="false">IFERROR(U221*$G221*$I221, "")</f>
        <v>0</v>
      </c>
      <c r="AI221" s="284" t="n">
        <f aca="false">IFERROR(V221*$G221*$I221, "")</f>
        <v>0</v>
      </c>
      <c r="AJ221" s="284" t="n">
        <f aca="false">IFERROR(W221*$G221*$I221, "")</f>
        <v>0</v>
      </c>
      <c r="AK221" s="286" t="n">
        <f aca="false">IFERROR(SUMIF($Y$4:$AJ$4, "RDEC", Y221:AJ221), "")</f>
        <v>0</v>
      </c>
      <c r="AL221" s="286" t="n">
        <f aca="false">IFERROR(SUMIF($Y$4:$AJ$4, "SME", Y221:AJ221), "")</f>
        <v>0</v>
      </c>
      <c r="AM221" s="286" t="n">
        <f aca="false">IFERROR(SUMIF($Y$4:$AJ$4, "De Minimis", Y221:AJ221), "")</f>
        <v>0</v>
      </c>
      <c r="AN221" s="283"/>
      <c r="AO221" s="284" t="n">
        <f aca="false">IFERROR($G221*$J221*L221, "")</f>
        <v>0</v>
      </c>
      <c r="AP221" s="284" t="n">
        <f aca="false">IFERROR($G221*$J221*M221, "")</f>
        <v>0</v>
      </c>
      <c r="AQ221" s="284" t="n">
        <f aca="false">IFERROR($G221*$J221*N221, "")</f>
        <v>0</v>
      </c>
      <c r="AR221" s="284" t="n">
        <f aca="false">IFERROR($G221*$J221*O221, "")</f>
        <v>0</v>
      </c>
      <c r="AS221" s="284" t="n">
        <f aca="false">IFERROR($G221*$J221*P221, "")</f>
        <v>0</v>
      </c>
      <c r="AT221" s="284" t="n">
        <f aca="false">IFERROR($G221*$J221*Q221, "")</f>
        <v>0</v>
      </c>
      <c r="AU221" s="284" t="n">
        <f aca="false">IFERROR($G221*$J221*R221, "")</f>
        <v>0</v>
      </c>
      <c r="AV221" s="284" t="n">
        <f aca="false">IFERROR($G221*$J221*S221, "")</f>
        <v>0</v>
      </c>
      <c r="AW221" s="284" t="n">
        <f aca="false">IFERROR($G221*$J221*T221, "")</f>
        <v>0</v>
      </c>
      <c r="AX221" s="284" t="n">
        <f aca="false">IFERROR($G221*$J221*U221, "")</f>
        <v>0</v>
      </c>
      <c r="AY221" s="284" t="n">
        <f aca="false">IFERROR($G221*$J221*V221, "")</f>
        <v>0</v>
      </c>
      <c r="AZ221" s="284" t="n">
        <f aca="false">IFERROR($G221*$J221*W221, "")</f>
        <v>0</v>
      </c>
      <c r="BA221" s="286" t="n">
        <f aca="false">IFERROR(SUMIF($AO$4:$AZ$4, "RDEC", AO221:AZ221), "")</f>
        <v>0</v>
      </c>
      <c r="BB221" s="286" t="n">
        <f aca="false">IFERROR(SUMIF($AO$4:$AZ$4, "SME", AO221:AZ221), "")</f>
        <v>0</v>
      </c>
      <c r="BC221" s="286" t="n">
        <f aca="false">IFERROR(SUMIF($Y$4:$AJ$4, "De Minimis", AO221:AZ221), "")</f>
        <v>0</v>
      </c>
      <c r="BD221" s="287"/>
      <c r="BE221" s="288" t="str">
        <f aca="false">IF((SUM(L221:W221)&gt;1),"ERROR","")</f>
        <v/>
      </c>
    </row>
    <row r="222" customFormat="false" ht="15" hidden="false" customHeight="true" outlineLevel="0" collapsed="false">
      <c r="B222" s="333"/>
      <c r="C222" s="334"/>
      <c r="D222" s="333" t="n">
        <f aca="false">D206</f>
        <v>45444</v>
      </c>
      <c r="E222" s="277" t="n">
        <v>0</v>
      </c>
      <c r="F222" s="277" t="n">
        <v>0</v>
      </c>
      <c r="G222" s="277" t="n">
        <f aca="false">SUM(E222:F222)</f>
        <v>0</v>
      </c>
      <c r="H222" s="204"/>
      <c r="I222" s="279" t="n">
        <v>1</v>
      </c>
      <c r="J222" s="280" t="n">
        <f aca="false">1-I222</f>
        <v>0</v>
      </c>
      <c r="K222" s="277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3"/>
      <c r="Y222" s="284" t="n">
        <f aca="false">IFERROR(L222*$G222*I$9, "")</f>
        <v>0</v>
      </c>
      <c r="Z222" s="284" t="n">
        <f aca="false">IFERROR(M222*$G222*$I222, "")</f>
        <v>0</v>
      </c>
      <c r="AA222" s="284" t="n">
        <f aca="false">IFERROR(N222*$G222*$I222, "")</f>
        <v>0</v>
      </c>
      <c r="AB222" s="284" t="n">
        <f aca="false">IFERROR(O222*$G222*$I222, "")</f>
        <v>0</v>
      </c>
      <c r="AC222" s="284" t="n">
        <f aca="false">IFERROR(P222*$G222*$I222, "")</f>
        <v>0</v>
      </c>
      <c r="AD222" s="284" t="n">
        <f aca="false">IFERROR(Q222*$G222*$I222, "")</f>
        <v>0</v>
      </c>
      <c r="AE222" s="284" t="n">
        <f aca="false">IFERROR(R222*$G222*$I222, "")</f>
        <v>0</v>
      </c>
      <c r="AF222" s="284" t="n">
        <f aca="false">IFERROR(S222*$G222*$I222, "")</f>
        <v>0</v>
      </c>
      <c r="AG222" s="284" t="n">
        <f aca="false">IFERROR(T222*$G222*$I222, "")</f>
        <v>0</v>
      </c>
      <c r="AH222" s="284" t="n">
        <f aca="false">IFERROR(U222*$G222*$I222, "")</f>
        <v>0</v>
      </c>
      <c r="AI222" s="284" t="n">
        <f aca="false">IFERROR(V222*$G222*$I222, "")</f>
        <v>0</v>
      </c>
      <c r="AJ222" s="284" t="n">
        <f aca="false">IFERROR(W222*$G222*$I222, "")</f>
        <v>0</v>
      </c>
      <c r="AK222" s="286" t="n">
        <f aca="false">IFERROR(SUMIF($Y$4:$AJ$4, "RDEC", Y222:AJ222), "")</f>
        <v>0</v>
      </c>
      <c r="AL222" s="286" t="n">
        <f aca="false">IFERROR(SUMIF($Y$4:$AJ$4, "SME", Y222:AJ222), "")</f>
        <v>0</v>
      </c>
      <c r="AM222" s="286" t="n">
        <f aca="false">IFERROR(SUMIF($Y$4:$AJ$4, "De Minimis", Y222:AJ222), "")</f>
        <v>0</v>
      </c>
      <c r="AN222" s="283"/>
      <c r="AO222" s="284" t="n">
        <f aca="false">IFERROR($G222*$J222*L222, "")</f>
        <v>0</v>
      </c>
      <c r="AP222" s="284" t="n">
        <f aca="false">IFERROR($G222*$J222*M222, "")</f>
        <v>0</v>
      </c>
      <c r="AQ222" s="284" t="n">
        <f aca="false">IFERROR($G222*$J222*N222, "")</f>
        <v>0</v>
      </c>
      <c r="AR222" s="284" t="n">
        <f aca="false">IFERROR($G222*$J222*O222, "")</f>
        <v>0</v>
      </c>
      <c r="AS222" s="284" t="n">
        <f aca="false">IFERROR($G222*$J222*P222, "")</f>
        <v>0</v>
      </c>
      <c r="AT222" s="284" t="n">
        <f aca="false">IFERROR($G222*$J222*Q222, "")</f>
        <v>0</v>
      </c>
      <c r="AU222" s="284" t="n">
        <f aca="false">IFERROR($G222*$J222*R222, "")</f>
        <v>0</v>
      </c>
      <c r="AV222" s="284" t="n">
        <f aca="false">IFERROR($G222*$J222*S222, "")</f>
        <v>0</v>
      </c>
      <c r="AW222" s="284" t="n">
        <f aca="false">IFERROR($G222*$J222*T222, "")</f>
        <v>0</v>
      </c>
      <c r="AX222" s="284" t="n">
        <f aca="false">IFERROR($G222*$J222*U222, "")</f>
        <v>0</v>
      </c>
      <c r="AY222" s="284" t="n">
        <f aca="false">IFERROR($G222*$J222*V222, "")</f>
        <v>0</v>
      </c>
      <c r="AZ222" s="284" t="n">
        <f aca="false">IFERROR($G222*$J222*W222, "")</f>
        <v>0</v>
      </c>
      <c r="BA222" s="286" t="n">
        <f aca="false">IFERROR(SUMIF($AO$4:$AZ$4, "RDEC", AO222:AZ222), "")</f>
        <v>0</v>
      </c>
      <c r="BB222" s="286" t="n">
        <f aca="false">IFERROR(SUMIF($AO$4:$AZ$4, "SME", AO222:AZ222), "")</f>
        <v>0</v>
      </c>
      <c r="BC222" s="286" t="n">
        <f aca="false">IFERROR(SUMIF($Y$4:$AJ$4, "De Minimis", AO222:AZ222), "")</f>
        <v>0</v>
      </c>
      <c r="BD222" s="287"/>
      <c r="BE222" s="288" t="str">
        <f aca="false">IF((SUM(L222:W222)&gt;1),"ERROR","")</f>
        <v/>
      </c>
    </row>
    <row r="223" customFormat="false" ht="15" hidden="false" customHeight="true" outlineLevel="0" collapsed="false">
      <c r="B223" s="333"/>
      <c r="C223" s="334"/>
      <c r="D223" s="333" t="n">
        <f aca="false">D207</f>
        <v>45474</v>
      </c>
      <c r="E223" s="277" t="n">
        <v>0</v>
      </c>
      <c r="F223" s="277" t="n">
        <v>0</v>
      </c>
      <c r="G223" s="277" t="n">
        <f aca="false">SUM(E223:F223)</f>
        <v>0</v>
      </c>
      <c r="H223" s="204"/>
      <c r="I223" s="279" t="n">
        <v>1</v>
      </c>
      <c r="J223" s="280" t="n">
        <f aca="false">1-I223</f>
        <v>0</v>
      </c>
      <c r="K223" s="277"/>
      <c r="L223" s="282"/>
      <c r="M223" s="282"/>
      <c r="N223" s="282"/>
      <c r="O223" s="282"/>
      <c r="P223" s="282"/>
      <c r="Q223" s="282"/>
      <c r="R223" s="282"/>
      <c r="S223" s="282"/>
      <c r="T223" s="282"/>
      <c r="U223" s="282"/>
      <c r="V223" s="282"/>
      <c r="W223" s="282"/>
      <c r="X223" s="283"/>
      <c r="Y223" s="284" t="n">
        <f aca="false">IFERROR(L223*$G223*I$9, "")</f>
        <v>0</v>
      </c>
      <c r="Z223" s="284" t="n">
        <f aca="false">IFERROR(M223*$G223*$I223, "")</f>
        <v>0</v>
      </c>
      <c r="AA223" s="284" t="n">
        <f aca="false">IFERROR(N223*$G223*$I223, "")</f>
        <v>0</v>
      </c>
      <c r="AB223" s="284" t="n">
        <f aca="false">IFERROR(O223*$G223*$I223, "")</f>
        <v>0</v>
      </c>
      <c r="AC223" s="284" t="n">
        <f aca="false">IFERROR(P223*$G223*$I223, "")</f>
        <v>0</v>
      </c>
      <c r="AD223" s="284" t="n">
        <f aca="false">IFERROR(Q223*$G223*$I223, "")</f>
        <v>0</v>
      </c>
      <c r="AE223" s="284" t="n">
        <f aca="false">IFERROR(R223*$G223*$I223, "")</f>
        <v>0</v>
      </c>
      <c r="AF223" s="284" t="n">
        <f aca="false">IFERROR(S223*$G223*$I223, "")</f>
        <v>0</v>
      </c>
      <c r="AG223" s="284" t="n">
        <f aca="false">IFERROR(T223*$G223*$I223, "")</f>
        <v>0</v>
      </c>
      <c r="AH223" s="284" t="n">
        <f aca="false">IFERROR(U223*$G223*$I223, "")</f>
        <v>0</v>
      </c>
      <c r="AI223" s="284" t="n">
        <f aca="false">IFERROR(V223*$G223*$I223, "")</f>
        <v>0</v>
      </c>
      <c r="AJ223" s="284" t="n">
        <f aca="false">IFERROR(W223*$G223*$I223, "")</f>
        <v>0</v>
      </c>
      <c r="AK223" s="286" t="n">
        <f aca="false">IFERROR(SUMIF($Y$4:$AJ$4, "RDEC", Y223:AJ223), "")</f>
        <v>0</v>
      </c>
      <c r="AL223" s="286" t="n">
        <f aca="false">IFERROR(SUMIF($Y$4:$AJ$4, "SME", Y223:AJ223), "")</f>
        <v>0</v>
      </c>
      <c r="AM223" s="286" t="n">
        <f aca="false">IFERROR(SUMIF($Y$4:$AJ$4, "De Minimis", Y223:AJ223), "")</f>
        <v>0</v>
      </c>
      <c r="AN223" s="283"/>
      <c r="AO223" s="284" t="n">
        <f aca="false">IFERROR($G223*$J223*L223, "")</f>
        <v>0</v>
      </c>
      <c r="AP223" s="284" t="n">
        <f aca="false">IFERROR($G223*$J223*M223, "")</f>
        <v>0</v>
      </c>
      <c r="AQ223" s="284" t="n">
        <f aca="false">IFERROR($G223*$J223*N223, "")</f>
        <v>0</v>
      </c>
      <c r="AR223" s="284" t="n">
        <f aca="false">IFERROR($G223*$J223*O223, "")</f>
        <v>0</v>
      </c>
      <c r="AS223" s="284" t="n">
        <f aca="false">IFERROR($G223*$J223*P223, "")</f>
        <v>0</v>
      </c>
      <c r="AT223" s="284" t="n">
        <f aca="false">IFERROR($G223*$J223*Q223, "")</f>
        <v>0</v>
      </c>
      <c r="AU223" s="284" t="n">
        <f aca="false">IFERROR($G223*$J223*R223, "")</f>
        <v>0</v>
      </c>
      <c r="AV223" s="284" t="n">
        <f aca="false">IFERROR($G223*$J223*S223, "")</f>
        <v>0</v>
      </c>
      <c r="AW223" s="284" t="n">
        <f aca="false">IFERROR($G223*$J223*T223, "")</f>
        <v>0</v>
      </c>
      <c r="AX223" s="284" t="n">
        <f aca="false">IFERROR($G223*$J223*U223, "")</f>
        <v>0</v>
      </c>
      <c r="AY223" s="284" t="n">
        <f aca="false">IFERROR($G223*$J223*V223, "")</f>
        <v>0</v>
      </c>
      <c r="AZ223" s="284" t="n">
        <f aca="false">IFERROR($G223*$J223*W223, "")</f>
        <v>0</v>
      </c>
      <c r="BA223" s="286" t="n">
        <f aca="false">IFERROR(SUMIF($AO$4:$AZ$4, "RDEC", AO223:AZ223), "")</f>
        <v>0</v>
      </c>
      <c r="BB223" s="286" t="n">
        <f aca="false">IFERROR(SUMIF($AO$4:$AZ$4, "SME", AO223:AZ223), "")</f>
        <v>0</v>
      </c>
      <c r="BC223" s="286" t="n">
        <f aca="false">IFERROR(SUMIF($Y$4:$AJ$4, "De Minimis", AO223:AZ223), "")</f>
        <v>0</v>
      </c>
      <c r="BD223" s="287"/>
      <c r="BE223" s="288" t="str">
        <f aca="false">IF((SUM(L223:W223)&gt;1),"ERROR","")</f>
        <v/>
      </c>
    </row>
    <row r="224" customFormat="false" ht="15" hidden="false" customHeight="true" outlineLevel="0" collapsed="false">
      <c r="B224" s="333"/>
      <c r="C224" s="334"/>
      <c r="D224" s="333" t="n">
        <f aca="false">D208</f>
        <v>45505</v>
      </c>
      <c r="E224" s="277" t="n">
        <v>0</v>
      </c>
      <c r="F224" s="277" t="n">
        <v>0</v>
      </c>
      <c r="G224" s="277" t="n">
        <f aca="false">SUM(E224:F224)</f>
        <v>0</v>
      </c>
      <c r="H224" s="204"/>
      <c r="I224" s="279" t="n">
        <v>1</v>
      </c>
      <c r="J224" s="280" t="n">
        <f aca="false">1-I224</f>
        <v>0</v>
      </c>
      <c r="K224" s="277"/>
      <c r="L224" s="282"/>
      <c r="M224" s="282"/>
      <c r="N224" s="282"/>
      <c r="O224" s="282"/>
      <c r="P224" s="282"/>
      <c r="Q224" s="282"/>
      <c r="R224" s="282"/>
      <c r="S224" s="282"/>
      <c r="T224" s="282"/>
      <c r="U224" s="282"/>
      <c r="V224" s="282"/>
      <c r="W224" s="282"/>
      <c r="X224" s="283"/>
      <c r="Y224" s="284" t="n">
        <f aca="false">IFERROR(L224*$G224*I$9, "")</f>
        <v>0</v>
      </c>
      <c r="Z224" s="284" t="n">
        <f aca="false">IFERROR(M224*$G224*$I224, "")</f>
        <v>0</v>
      </c>
      <c r="AA224" s="284" t="n">
        <f aca="false">IFERROR(N224*$G224*$I224, "")</f>
        <v>0</v>
      </c>
      <c r="AB224" s="284" t="n">
        <f aca="false">IFERROR(O224*$G224*$I224, "")</f>
        <v>0</v>
      </c>
      <c r="AC224" s="284" t="n">
        <f aca="false">IFERROR(P224*$G224*$I224, "")</f>
        <v>0</v>
      </c>
      <c r="AD224" s="284" t="n">
        <f aca="false">IFERROR(Q224*$G224*$I224, "")</f>
        <v>0</v>
      </c>
      <c r="AE224" s="284" t="n">
        <f aca="false">IFERROR(R224*$G224*$I224, "")</f>
        <v>0</v>
      </c>
      <c r="AF224" s="284" t="n">
        <f aca="false">IFERROR(S224*$G224*$I224, "")</f>
        <v>0</v>
      </c>
      <c r="AG224" s="284" t="n">
        <f aca="false">IFERROR(T224*$G224*$I224, "")</f>
        <v>0</v>
      </c>
      <c r="AH224" s="284" t="n">
        <f aca="false">IFERROR(U224*$G224*$I224, "")</f>
        <v>0</v>
      </c>
      <c r="AI224" s="284" t="n">
        <f aca="false">IFERROR(V224*$G224*$I224, "")</f>
        <v>0</v>
      </c>
      <c r="AJ224" s="284" t="n">
        <f aca="false">IFERROR(W224*$G224*$I224, "")</f>
        <v>0</v>
      </c>
      <c r="AK224" s="286" t="n">
        <f aca="false">IFERROR(SUMIF($Y$4:$AJ$4, "RDEC", Y224:AJ224), "")</f>
        <v>0</v>
      </c>
      <c r="AL224" s="286" t="n">
        <f aca="false">IFERROR(SUMIF($Y$4:$AJ$4, "SME", Y224:AJ224), "")</f>
        <v>0</v>
      </c>
      <c r="AM224" s="286" t="n">
        <f aca="false">IFERROR(SUMIF($Y$4:$AJ$4, "De Minimis", Y224:AJ224), "")</f>
        <v>0</v>
      </c>
      <c r="AN224" s="283"/>
      <c r="AO224" s="284" t="n">
        <f aca="false">IFERROR($G224*$J224*L224, "")</f>
        <v>0</v>
      </c>
      <c r="AP224" s="284" t="n">
        <f aca="false">IFERROR($G224*$J224*M224, "")</f>
        <v>0</v>
      </c>
      <c r="AQ224" s="284" t="n">
        <f aca="false">IFERROR($G224*$J224*N224, "")</f>
        <v>0</v>
      </c>
      <c r="AR224" s="284" t="n">
        <f aca="false">IFERROR($G224*$J224*O224, "")</f>
        <v>0</v>
      </c>
      <c r="AS224" s="284" t="n">
        <f aca="false">IFERROR($G224*$J224*P224, "")</f>
        <v>0</v>
      </c>
      <c r="AT224" s="284" t="n">
        <f aca="false">IFERROR($G224*$J224*Q224, "")</f>
        <v>0</v>
      </c>
      <c r="AU224" s="284" t="n">
        <f aca="false">IFERROR($G224*$J224*R224, "")</f>
        <v>0</v>
      </c>
      <c r="AV224" s="284" t="n">
        <f aca="false">IFERROR($G224*$J224*S224, "")</f>
        <v>0</v>
      </c>
      <c r="AW224" s="284" t="n">
        <f aca="false">IFERROR($G224*$J224*T224, "")</f>
        <v>0</v>
      </c>
      <c r="AX224" s="284" t="n">
        <f aca="false">IFERROR($G224*$J224*U224, "")</f>
        <v>0</v>
      </c>
      <c r="AY224" s="284" t="n">
        <f aca="false">IFERROR($G224*$J224*V224, "")</f>
        <v>0</v>
      </c>
      <c r="AZ224" s="284" t="n">
        <f aca="false">IFERROR($G224*$J224*W224, "")</f>
        <v>0</v>
      </c>
      <c r="BA224" s="286" t="n">
        <f aca="false">IFERROR(SUMIF($AO$4:$AZ$4, "RDEC", AO224:AZ224), "")</f>
        <v>0</v>
      </c>
      <c r="BB224" s="286" t="n">
        <f aca="false">IFERROR(SUMIF($AO$4:$AZ$4, "SME", AO224:AZ224), "")</f>
        <v>0</v>
      </c>
      <c r="BC224" s="286" t="n">
        <f aca="false">IFERROR(SUMIF($Y$4:$AJ$4, "De Minimis", AO224:AZ224), "")</f>
        <v>0</v>
      </c>
      <c r="BD224" s="287"/>
      <c r="BE224" s="288" t="str">
        <f aca="false">IF((SUM(L224:W224)&gt;1),"ERROR","")</f>
        <v/>
      </c>
    </row>
    <row r="225" customFormat="false" ht="15" hidden="false" customHeight="true" outlineLevel="0" collapsed="false">
      <c r="B225" s="333"/>
      <c r="C225" s="334"/>
      <c r="D225" s="333" t="n">
        <f aca="false">D209</f>
        <v>45536</v>
      </c>
      <c r="E225" s="277" t="n">
        <v>0</v>
      </c>
      <c r="F225" s="277" t="n">
        <v>0</v>
      </c>
      <c r="G225" s="277" t="n">
        <f aca="false">SUM(E225:F225)</f>
        <v>0</v>
      </c>
      <c r="H225" s="204"/>
      <c r="I225" s="279" t="n">
        <v>1</v>
      </c>
      <c r="J225" s="280" t="n">
        <f aca="false">1-I225</f>
        <v>0</v>
      </c>
      <c r="K225" s="277"/>
      <c r="L225" s="282"/>
      <c r="M225" s="282"/>
      <c r="N225" s="282"/>
      <c r="O225" s="282"/>
      <c r="P225" s="282"/>
      <c r="Q225" s="282"/>
      <c r="R225" s="282"/>
      <c r="S225" s="282"/>
      <c r="T225" s="282"/>
      <c r="U225" s="282"/>
      <c r="V225" s="282"/>
      <c r="W225" s="282"/>
      <c r="X225" s="283"/>
      <c r="Y225" s="284" t="n">
        <f aca="false">IFERROR(L225*$G225*I$9, "")</f>
        <v>0</v>
      </c>
      <c r="Z225" s="284" t="n">
        <f aca="false">IFERROR(M225*$G225*$I225, "")</f>
        <v>0</v>
      </c>
      <c r="AA225" s="284" t="n">
        <f aca="false">IFERROR(N225*$G225*$I225, "")</f>
        <v>0</v>
      </c>
      <c r="AB225" s="284" t="n">
        <f aca="false">IFERROR(O225*$G225*$I225, "")</f>
        <v>0</v>
      </c>
      <c r="AC225" s="284" t="n">
        <f aca="false">IFERROR(P225*$G225*$I225, "")</f>
        <v>0</v>
      </c>
      <c r="AD225" s="284" t="n">
        <f aca="false">IFERROR(Q225*$G225*$I225, "")</f>
        <v>0</v>
      </c>
      <c r="AE225" s="284" t="n">
        <f aca="false">IFERROR(R225*$G225*$I225, "")</f>
        <v>0</v>
      </c>
      <c r="AF225" s="284" t="n">
        <f aca="false">IFERROR(S225*$G225*$I225, "")</f>
        <v>0</v>
      </c>
      <c r="AG225" s="284" t="n">
        <f aca="false">IFERROR(T225*$G225*$I225, "")</f>
        <v>0</v>
      </c>
      <c r="AH225" s="284" t="n">
        <f aca="false">IFERROR(U225*$G225*$I225, "")</f>
        <v>0</v>
      </c>
      <c r="AI225" s="284" t="n">
        <f aca="false">IFERROR(V225*$G225*$I225, "")</f>
        <v>0</v>
      </c>
      <c r="AJ225" s="284" t="n">
        <f aca="false">IFERROR(W225*$G225*$I225, "")</f>
        <v>0</v>
      </c>
      <c r="AK225" s="286" t="n">
        <f aca="false">IFERROR(SUMIF($Y$4:$AJ$4, "RDEC", Y225:AJ225), "")</f>
        <v>0</v>
      </c>
      <c r="AL225" s="286" t="n">
        <f aca="false">IFERROR(SUMIF($Y$4:$AJ$4, "SME", Y225:AJ225), "")</f>
        <v>0</v>
      </c>
      <c r="AM225" s="286" t="n">
        <f aca="false">IFERROR(SUMIF($Y$4:$AJ$4, "De Minimis", Y225:AJ225), "")</f>
        <v>0</v>
      </c>
      <c r="AN225" s="283"/>
      <c r="AO225" s="284" t="n">
        <f aca="false">IFERROR($G225*$J225*L225, "")</f>
        <v>0</v>
      </c>
      <c r="AP225" s="284" t="n">
        <f aca="false">IFERROR($G225*$J225*M225, "")</f>
        <v>0</v>
      </c>
      <c r="AQ225" s="284" t="n">
        <f aca="false">IFERROR($G225*$J225*N225, "")</f>
        <v>0</v>
      </c>
      <c r="AR225" s="284" t="n">
        <f aca="false">IFERROR($G225*$J225*O225, "")</f>
        <v>0</v>
      </c>
      <c r="AS225" s="284" t="n">
        <f aca="false">IFERROR($G225*$J225*P225, "")</f>
        <v>0</v>
      </c>
      <c r="AT225" s="284" t="n">
        <f aca="false">IFERROR($G225*$J225*Q225, "")</f>
        <v>0</v>
      </c>
      <c r="AU225" s="284" t="n">
        <f aca="false">IFERROR($G225*$J225*R225, "")</f>
        <v>0</v>
      </c>
      <c r="AV225" s="284" t="n">
        <f aca="false">IFERROR($G225*$J225*S225, "")</f>
        <v>0</v>
      </c>
      <c r="AW225" s="284" t="n">
        <f aca="false">IFERROR($G225*$J225*T225, "")</f>
        <v>0</v>
      </c>
      <c r="AX225" s="284" t="n">
        <f aca="false">IFERROR($G225*$J225*U225, "")</f>
        <v>0</v>
      </c>
      <c r="AY225" s="284" t="n">
        <f aca="false">IFERROR($G225*$J225*V225, "")</f>
        <v>0</v>
      </c>
      <c r="AZ225" s="284" t="n">
        <f aca="false">IFERROR($G225*$J225*W225, "")</f>
        <v>0</v>
      </c>
      <c r="BA225" s="286" t="n">
        <f aca="false">IFERROR(SUMIF($AO$4:$AZ$4, "RDEC", AO225:AZ225), "")</f>
        <v>0</v>
      </c>
      <c r="BB225" s="286" t="n">
        <f aca="false">IFERROR(SUMIF($AO$4:$AZ$4, "SME", AO225:AZ225), "")</f>
        <v>0</v>
      </c>
      <c r="BC225" s="286" t="n">
        <f aca="false">IFERROR(SUMIF($Y$4:$AJ$4, "De Minimis", AO225:AZ225), "")</f>
        <v>0</v>
      </c>
      <c r="BD225" s="287"/>
      <c r="BE225" s="288" t="str">
        <f aca="false">IF((SUM(L225:W225)&gt;1),"ERROR","")</f>
        <v/>
      </c>
    </row>
    <row r="226" customFormat="false" ht="15" hidden="false" customHeight="true" outlineLevel="0" collapsed="false">
      <c r="B226" s="333"/>
      <c r="C226" s="334"/>
      <c r="D226" s="333" t="n">
        <f aca="false">D210</f>
        <v>45566</v>
      </c>
      <c r="E226" s="277" t="n">
        <v>0</v>
      </c>
      <c r="F226" s="277" t="n">
        <v>0</v>
      </c>
      <c r="G226" s="277" t="n">
        <f aca="false">SUM(E226:F226)</f>
        <v>0</v>
      </c>
      <c r="H226" s="204"/>
      <c r="I226" s="279" t="n">
        <v>1</v>
      </c>
      <c r="J226" s="280" t="n">
        <f aca="false">1-I226</f>
        <v>0</v>
      </c>
      <c r="K226" s="277"/>
      <c r="L226" s="282"/>
      <c r="M226" s="282"/>
      <c r="N226" s="282"/>
      <c r="O226" s="282"/>
      <c r="P226" s="282"/>
      <c r="Q226" s="282"/>
      <c r="R226" s="282"/>
      <c r="S226" s="282"/>
      <c r="T226" s="282"/>
      <c r="U226" s="282"/>
      <c r="V226" s="282"/>
      <c r="W226" s="282"/>
      <c r="X226" s="283"/>
      <c r="Y226" s="284" t="n">
        <f aca="false">IFERROR(L226*$G226*I$9, "")</f>
        <v>0</v>
      </c>
      <c r="Z226" s="284" t="n">
        <f aca="false">IFERROR(M226*$G226*$I226, "")</f>
        <v>0</v>
      </c>
      <c r="AA226" s="284" t="n">
        <f aca="false">IFERROR(N226*$G226*$I226, "")</f>
        <v>0</v>
      </c>
      <c r="AB226" s="284" t="n">
        <f aca="false">IFERROR(O226*$G226*$I226, "")</f>
        <v>0</v>
      </c>
      <c r="AC226" s="284" t="n">
        <f aca="false">IFERROR(P226*$G226*$I226, "")</f>
        <v>0</v>
      </c>
      <c r="AD226" s="284" t="n">
        <f aca="false">IFERROR(Q226*$G226*$I226, "")</f>
        <v>0</v>
      </c>
      <c r="AE226" s="284" t="n">
        <f aca="false">IFERROR(R226*$G226*$I226, "")</f>
        <v>0</v>
      </c>
      <c r="AF226" s="284" t="n">
        <f aca="false">IFERROR(S226*$G226*$I226, "")</f>
        <v>0</v>
      </c>
      <c r="AG226" s="284" t="n">
        <f aca="false">IFERROR(T226*$G226*$I226, "")</f>
        <v>0</v>
      </c>
      <c r="AH226" s="284" t="n">
        <f aca="false">IFERROR(U226*$G226*$I226, "")</f>
        <v>0</v>
      </c>
      <c r="AI226" s="284" t="n">
        <f aca="false">IFERROR(V226*$G226*$I226, "")</f>
        <v>0</v>
      </c>
      <c r="AJ226" s="284" t="n">
        <f aca="false">IFERROR(W226*$G226*$I226, "")</f>
        <v>0</v>
      </c>
      <c r="AK226" s="286" t="n">
        <f aca="false">IFERROR(SUMIF($Y$4:$AJ$4, "RDEC", Y226:AJ226), "")</f>
        <v>0</v>
      </c>
      <c r="AL226" s="286" t="n">
        <f aca="false">IFERROR(SUMIF($Y$4:$AJ$4, "SME", Y226:AJ226), "")</f>
        <v>0</v>
      </c>
      <c r="AM226" s="286" t="n">
        <f aca="false">IFERROR(SUMIF($Y$4:$AJ$4, "De Minimis", Y226:AJ226), "")</f>
        <v>0</v>
      </c>
      <c r="AN226" s="283"/>
      <c r="AO226" s="284" t="n">
        <f aca="false">IFERROR($G226*$J226*L226, "")</f>
        <v>0</v>
      </c>
      <c r="AP226" s="284" t="n">
        <f aca="false">IFERROR($G226*$J226*M226, "")</f>
        <v>0</v>
      </c>
      <c r="AQ226" s="284" t="n">
        <f aca="false">IFERROR($G226*$J226*N226, "")</f>
        <v>0</v>
      </c>
      <c r="AR226" s="284" t="n">
        <f aca="false">IFERROR($G226*$J226*O226, "")</f>
        <v>0</v>
      </c>
      <c r="AS226" s="284" t="n">
        <f aca="false">IFERROR($G226*$J226*P226, "")</f>
        <v>0</v>
      </c>
      <c r="AT226" s="284" t="n">
        <f aca="false">IFERROR($G226*$J226*Q226, "")</f>
        <v>0</v>
      </c>
      <c r="AU226" s="284" t="n">
        <f aca="false">IFERROR($G226*$J226*R226, "")</f>
        <v>0</v>
      </c>
      <c r="AV226" s="284" t="n">
        <f aca="false">IFERROR($G226*$J226*S226, "")</f>
        <v>0</v>
      </c>
      <c r="AW226" s="284" t="n">
        <f aca="false">IFERROR($G226*$J226*T226, "")</f>
        <v>0</v>
      </c>
      <c r="AX226" s="284" t="n">
        <f aca="false">IFERROR($G226*$J226*U226, "")</f>
        <v>0</v>
      </c>
      <c r="AY226" s="284" t="n">
        <f aca="false">IFERROR($G226*$J226*V226, "")</f>
        <v>0</v>
      </c>
      <c r="AZ226" s="284" t="n">
        <f aca="false">IFERROR($G226*$J226*W226, "")</f>
        <v>0</v>
      </c>
      <c r="BA226" s="286" t="n">
        <f aca="false">IFERROR(SUMIF($AO$4:$AZ$4, "RDEC", AO226:AZ226), "")</f>
        <v>0</v>
      </c>
      <c r="BB226" s="286" t="n">
        <f aca="false">IFERROR(SUMIF($AO$4:$AZ$4, "SME", AO226:AZ226), "")</f>
        <v>0</v>
      </c>
      <c r="BC226" s="286" t="n">
        <f aca="false">IFERROR(SUMIF($Y$4:$AJ$4, "De Minimis", AO226:AZ226), "")</f>
        <v>0</v>
      </c>
      <c r="BD226" s="287"/>
      <c r="BE226" s="288" t="str">
        <f aca="false">IF((SUM(L226:W226)&gt;1),"ERROR","")</f>
        <v/>
      </c>
    </row>
    <row r="227" customFormat="false" ht="15" hidden="false" customHeight="true" outlineLevel="0" collapsed="false">
      <c r="B227" s="333"/>
      <c r="C227" s="334"/>
      <c r="D227" s="333" t="n">
        <f aca="false">D211</f>
        <v>45597</v>
      </c>
      <c r="E227" s="277" t="n">
        <v>0</v>
      </c>
      <c r="F227" s="277" t="n">
        <v>0</v>
      </c>
      <c r="G227" s="277" t="n">
        <f aca="false">SUM(E227:F227)</f>
        <v>0</v>
      </c>
      <c r="H227" s="204"/>
      <c r="I227" s="279" t="n">
        <v>1</v>
      </c>
      <c r="J227" s="280" t="n">
        <f aca="false">1-I227</f>
        <v>0</v>
      </c>
      <c r="K227" s="277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3"/>
      <c r="Y227" s="284" t="n">
        <f aca="false">IFERROR(L227*$G227*I$9, "")</f>
        <v>0</v>
      </c>
      <c r="Z227" s="284" t="n">
        <f aca="false">IFERROR(M227*$G227*$I227, "")</f>
        <v>0</v>
      </c>
      <c r="AA227" s="284" t="n">
        <f aca="false">IFERROR(N227*$G227*$I227, "")</f>
        <v>0</v>
      </c>
      <c r="AB227" s="284" t="n">
        <f aca="false">IFERROR(O227*$G227*$I227, "")</f>
        <v>0</v>
      </c>
      <c r="AC227" s="284" t="n">
        <f aca="false">IFERROR(P227*$G227*$I227, "")</f>
        <v>0</v>
      </c>
      <c r="AD227" s="284" t="n">
        <f aca="false">IFERROR(Q227*$G227*$I227, "")</f>
        <v>0</v>
      </c>
      <c r="AE227" s="284" t="n">
        <f aca="false">IFERROR(R227*$G227*$I227, "")</f>
        <v>0</v>
      </c>
      <c r="AF227" s="284" t="n">
        <f aca="false">IFERROR(S227*$G227*$I227, "")</f>
        <v>0</v>
      </c>
      <c r="AG227" s="284" t="n">
        <f aca="false">IFERROR(T227*$G227*$I227, "")</f>
        <v>0</v>
      </c>
      <c r="AH227" s="284" t="n">
        <f aca="false">IFERROR(U227*$G227*$I227, "")</f>
        <v>0</v>
      </c>
      <c r="AI227" s="284" t="n">
        <f aca="false">IFERROR(V227*$G227*$I227, "")</f>
        <v>0</v>
      </c>
      <c r="AJ227" s="284" t="n">
        <f aca="false">IFERROR(W227*$G227*$I227, "")</f>
        <v>0</v>
      </c>
      <c r="AK227" s="286" t="n">
        <f aca="false">IFERROR(SUMIF($Y$4:$AJ$4, "RDEC", Y227:AJ227), "")</f>
        <v>0</v>
      </c>
      <c r="AL227" s="286" t="n">
        <f aca="false">IFERROR(SUMIF($Y$4:$AJ$4, "SME", Y227:AJ227), "")</f>
        <v>0</v>
      </c>
      <c r="AM227" s="286" t="n">
        <f aca="false">IFERROR(SUMIF($Y$4:$AJ$4, "De Minimis", Y227:AJ227), "")</f>
        <v>0</v>
      </c>
      <c r="AN227" s="283"/>
      <c r="AO227" s="284" t="n">
        <f aca="false">IFERROR($G227*$J227*L227, "")</f>
        <v>0</v>
      </c>
      <c r="AP227" s="284" t="n">
        <f aca="false">IFERROR($G227*$J227*M227, "")</f>
        <v>0</v>
      </c>
      <c r="AQ227" s="284" t="n">
        <f aca="false">IFERROR($G227*$J227*N227, "")</f>
        <v>0</v>
      </c>
      <c r="AR227" s="284" t="n">
        <f aca="false">IFERROR($G227*$J227*O227, "")</f>
        <v>0</v>
      </c>
      <c r="AS227" s="284" t="n">
        <f aca="false">IFERROR($G227*$J227*P227, "")</f>
        <v>0</v>
      </c>
      <c r="AT227" s="284" t="n">
        <f aca="false">IFERROR($G227*$J227*Q227, "")</f>
        <v>0</v>
      </c>
      <c r="AU227" s="284" t="n">
        <f aca="false">IFERROR($G227*$J227*R227, "")</f>
        <v>0</v>
      </c>
      <c r="AV227" s="284" t="n">
        <f aca="false">IFERROR($G227*$J227*S227, "")</f>
        <v>0</v>
      </c>
      <c r="AW227" s="284" t="n">
        <f aca="false">IFERROR($G227*$J227*T227, "")</f>
        <v>0</v>
      </c>
      <c r="AX227" s="284" t="n">
        <f aca="false">IFERROR($G227*$J227*U227, "")</f>
        <v>0</v>
      </c>
      <c r="AY227" s="284" t="n">
        <f aca="false">IFERROR($G227*$J227*V227, "")</f>
        <v>0</v>
      </c>
      <c r="AZ227" s="284" t="n">
        <f aca="false">IFERROR($G227*$J227*W227, "")</f>
        <v>0</v>
      </c>
      <c r="BA227" s="286" t="n">
        <f aca="false">IFERROR(SUMIF($AO$4:$AZ$4, "RDEC", AO227:AZ227), "")</f>
        <v>0</v>
      </c>
      <c r="BB227" s="286" t="n">
        <f aca="false">IFERROR(SUMIF($AO$4:$AZ$4, "SME", AO227:AZ227), "")</f>
        <v>0</v>
      </c>
      <c r="BC227" s="286" t="n">
        <f aca="false">IFERROR(SUMIF($Y$4:$AJ$4, "De Minimis", AO227:AZ227), "")</f>
        <v>0</v>
      </c>
      <c r="BD227" s="287"/>
      <c r="BE227" s="288" t="str">
        <f aca="false">IF((SUM(L227:W227)&gt;1),"ERROR","")</f>
        <v/>
      </c>
    </row>
    <row r="228" customFormat="false" ht="15" hidden="false" customHeight="true" outlineLevel="0" collapsed="false">
      <c r="B228" s="333"/>
      <c r="C228" s="334"/>
      <c r="D228" s="333" t="n">
        <f aca="false">D212</f>
        <v>45627</v>
      </c>
      <c r="E228" s="277" t="n">
        <v>0</v>
      </c>
      <c r="F228" s="277" t="n">
        <v>0</v>
      </c>
      <c r="G228" s="277" t="n">
        <f aca="false">SUM(E228:F228)</f>
        <v>0</v>
      </c>
      <c r="H228" s="300"/>
      <c r="I228" s="289" t="n">
        <v>1</v>
      </c>
      <c r="J228" s="290" t="n">
        <f aca="false">1-I228</f>
        <v>0</v>
      </c>
      <c r="K228" s="300"/>
      <c r="L228" s="291"/>
      <c r="M228" s="291"/>
      <c r="N228" s="291"/>
      <c r="O228" s="291"/>
      <c r="P228" s="291"/>
      <c r="Q228" s="291"/>
      <c r="R228" s="291"/>
      <c r="S228" s="291"/>
      <c r="T228" s="291"/>
      <c r="U228" s="291"/>
      <c r="V228" s="291"/>
      <c r="W228" s="291"/>
      <c r="X228" s="283"/>
      <c r="Y228" s="284" t="n">
        <f aca="false">IFERROR(L228*$G228*I$9, "")</f>
        <v>0</v>
      </c>
      <c r="Z228" s="284" t="n">
        <f aca="false">IFERROR(M228*$G228*$I228, "")</f>
        <v>0</v>
      </c>
      <c r="AA228" s="284" t="n">
        <f aca="false">IFERROR(N228*$G228*$I228, "")</f>
        <v>0</v>
      </c>
      <c r="AB228" s="284" t="n">
        <f aca="false">IFERROR(O228*$G228*$I228, "")</f>
        <v>0</v>
      </c>
      <c r="AC228" s="284" t="n">
        <f aca="false">IFERROR(P228*$G228*$I228, "")</f>
        <v>0</v>
      </c>
      <c r="AD228" s="284" t="n">
        <f aca="false">IFERROR(Q228*$G228*$I228, "")</f>
        <v>0</v>
      </c>
      <c r="AE228" s="284" t="n">
        <f aca="false">IFERROR(R228*$G228*$I228, "")</f>
        <v>0</v>
      </c>
      <c r="AF228" s="284" t="n">
        <f aca="false">IFERROR(S228*$G228*$I228, "")</f>
        <v>0</v>
      </c>
      <c r="AG228" s="284" t="n">
        <f aca="false">IFERROR(T228*$G228*$I228, "")</f>
        <v>0</v>
      </c>
      <c r="AH228" s="284" t="n">
        <f aca="false">IFERROR(U228*$G228*$I228, "")</f>
        <v>0</v>
      </c>
      <c r="AI228" s="284" t="n">
        <f aca="false">IFERROR(V228*$G228*$I228, "")</f>
        <v>0</v>
      </c>
      <c r="AJ228" s="284" t="n">
        <f aca="false">IFERROR(W228*$G228*$I228, "")</f>
        <v>0</v>
      </c>
      <c r="AK228" s="294" t="n">
        <f aca="false">IFERROR(SUMIF($Y$4:$AJ$4, "RDEC", Y228:AJ228), "")</f>
        <v>0</v>
      </c>
      <c r="AL228" s="294" t="n">
        <f aca="false">IFERROR(SUMIF($Y$4:$AJ$4, "SME", Y228:AJ228), "")</f>
        <v>0</v>
      </c>
      <c r="AM228" s="294" t="n">
        <f aca="false">IFERROR(SUMIF($Y$4:$AJ$4, "De Minimis", Y228:AJ228), "")</f>
        <v>0</v>
      </c>
      <c r="AN228" s="283"/>
      <c r="AO228" s="284" t="n">
        <f aca="false">IFERROR($G228*$J228*L228, "")</f>
        <v>0</v>
      </c>
      <c r="AP228" s="284" t="n">
        <f aca="false">IFERROR($G228*$J228*M228, "")</f>
        <v>0</v>
      </c>
      <c r="AQ228" s="284" t="n">
        <f aca="false">IFERROR($G228*$J228*N228, "")</f>
        <v>0</v>
      </c>
      <c r="AR228" s="284" t="n">
        <f aca="false">IFERROR($G228*$J228*O228, "")</f>
        <v>0</v>
      </c>
      <c r="AS228" s="284" t="n">
        <f aca="false">IFERROR($G228*$J228*P228, "")</f>
        <v>0</v>
      </c>
      <c r="AT228" s="284" t="n">
        <f aca="false">IFERROR($G228*$J228*Q228, "")</f>
        <v>0</v>
      </c>
      <c r="AU228" s="284" t="n">
        <f aca="false">IFERROR($G228*$J228*R228, "")</f>
        <v>0</v>
      </c>
      <c r="AV228" s="284" t="n">
        <f aca="false">IFERROR($G228*$J228*S228, "")</f>
        <v>0</v>
      </c>
      <c r="AW228" s="284" t="n">
        <f aca="false">IFERROR($G228*$J228*T228, "")</f>
        <v>0</v>
      </c>
      <c r="AX228" s="284" t="n">
        <f aca="false">IFERROR($G228*$J228*U228, "")</f>
        <v>0</v>
      </c>
      <c r="AY228" s="284" t="n">
        <f aca="false">IFERROR($G228*$J228*V228, "")</f>
        <v>0</v>
      </c>
      <c r="AZ228" s="284" t="n">
        <f aca="false">IFERROR($G228*$J228*W228, "")</f>
        <v>0</v>
      </c>
      <c r="BA228" s="286" t="n">
        <f aca="false">IFERROR(SUMIF($AO$4:$AZ$4, "RDEC", AO228:AZ228), "")</f>
        <v>0</v>
      </c>
      <c r="BB228" s="286" t="n">
        <f aca="false">IFERROR(SUMIF($AO$4:$AZ$4, "SME", AO228:AZ228), "")</f>
        <v>0</v>
      </c>
      <c r="BC228" s="294" t="n">
        <f aca="false">IFERROR(SUMIF($Y$4:$AJ$4, "De Minimis", AO228:AZ228), "")</f>
        <v>0</v>
      </c>
      <c r="BD228" s="303"/>
      <c r="BE228" s="295" t="str">
        <f aca="false">IF((SUM(L228:W228)&gt;1),"ERROR","")</f>
        <v/>
      </c>
    </row>
    <row r="229" customFormat="false" ht="15" hidden="false" customHeight="true" outlineLevel="0" collapsed="false">
      <c r="B229" s="296"/>
      <c r="D229" s="297" t="s">
        <v>82</v>
      </c>
      <c r="E229" s="299" t="n">
        <f aca="false">SUM(E217:E228)</f>
        <v>0</v>
      </c>
      <c r="F229" s="299" t="n">
        <f aca="false">SUM(F217:F228)</f>
        <v>0</v>
      </c>
      <c r="G229" s="299" t="n">
        <f aca="false">SUM(G217:G228)</f>
        <v>0</v>
      </c>
      <c r="H229" s="300"/>
      <c r="I229" s="301" t="n">
        <f aca="false">AVERAGE(I217:I228)</f>
        <v>1</v>
      </c>
      <c r="J229" s="301" t="n">
        <f aca="false">AVERAGE(J217:J228)</f>
        <v>0</v>
      </c>
      <c r="K229" s="300"/>
      <c r="L229" s="290" t="n">
        <f aca="false">IF(SUM(L217:L228)&gt;0,(Y229/G229),0)</f>
        <v>0</v>
      </c>
      <c r="M229" s="301" t="n">
        <f aca="false">IF(SUM(M217:M228)&gt;0,(Z229/G229),0)</f>
        <v>0</v>
      </c>
      <c r="N229" s="301" t="n">
        <f aca="false">IF(SUM(N217:N228)&gt;0,(AA229/G229),0)</f>
        <v>0</v>
      </c>
      <c r="O229" s="301" t="n">
        <f aca="false">IF(SUM(O217:O228)&gt;0,(AB229/G229),0)</f>
        <v>0</v>
      </c>
      <c r="P229" s="301" t="n">
        <f aca="false">IF(SUM(P217:P228)&gt;0,(AC229/G229),0)</f>
        <v>0</v>
      </c>
      <c r="Q229" s="301" t="n">
        <f aca="false">IF(SUM(Q217:Q228)&gt;0,(AD229/G229),0)</f>
        <v>0</v>
      </c>
      <c r="R229" s="301" t="n">
        <f aca="false">IF(SUM(R217:R228)&gt;0,(AE229/G229),0)</f>
        <v>0</v>
      </c>
      <c r="S229" s="301" t="n">
        <f aca="false">IF(SUM(S217:S228)&gt;0,(AF229/G229),0)</f>
        <v>0</v>
      </c>
      <c r="T229" s="301" t="n">
        <f aca="false">IF(SUM(T217:T228)&gt;0,(AG229/G229),0)</f>
        <v>0</v>
      </c>
      <c r="U229" s="301" t="n">
        <f aca="false">IF(SUM(U217:U228)&gt;0,(AJ229/G229),0)</f>
        <v>0</v>
      </c>
      <c r="V229" s="301" t="n">
        <f aca="false">IF(SUM(V217:V228)&gt;0,(AI229/G229),0)</f>
        <v>0</v>
      </c>
      <c r="W229" s="301" t="n">
        <f aca="false">IF(SUM(W217:W228)&gt;0,(AJ229/G229),0)</f>
        <v>0</v>
      </c>
      <c r="X229" s="283"/>
      <c r="Y229" s="304" t="n">
        <f aca="false">SUM(Y217:Y228)</f>
        <v>0</v>
      </c>
      <c r="Z229" s="304" t="n">
        <f aca="false">SUM(Z217:Z228)</f>
        <v>0</v>
      </c>
      <c r="AA229" s="304" t="n">
        <f aca="false">SUM(AA217:AA228)</f>
        <v>0</v>
      </c>
      <c r="AB229" s="304" t="n">
        <f aca="false">SUM(AB217:AB228)</f>
        <v>0</v>
      </c>
      <c r="AC229" s="304" t="n">
        <f aca="false">SUM(AC217:AC228)</f>
        <v>0</v>
      </c>
      <c r="AD229" s="304" t="n">
        <f aca="false">SUM(AD217:AD228)</f>
        <v>0</v>
      </c>
      <c r="AE229" s="304" t="n">
        <f aca="false">SUM(AE217:AE228)</f>
        <v>0</v>
      </c>
      <c r="AF229" s="304" t="n">
        <f aca="false">SUM(AF217:AF228)</f>
        <v>0</v>
      </c>
      <c r="AG229" s="304" t="n">
        <f aca="false">SUM(AG217:AG228)</f>
        <v>0</v>
      </c>
      <c r="AH229" s="304" t="n">
        <f aca="false">SUM(AH217:AH228)</f>
        <v>0</v>
      </c>
      <c r="AI229" s="304" t="n">
        <f aca="false">SUM(AI217:AI228)</f>
        <v>0</v>
      </c>
      <c r="AJ229" s="304" t="n">
        <f aca="false">SUM(AJ217:AJ228)</f>
        <v>0</v>
      </c>
      <c r="AK229" s="335" t="n">
        <f aca="false">SUM(AK217:AK228)</f>
        <v>0</v>
      </c>
      <c r="AL229" s="336" t="n">
        <f aca="false">SUM(AL217:AL228)</f>
        <v>0</v>
      </c>
      <c r="AM229" s="305" t="n">
        <f aca="false">SUM(AM217:AM228)</f>
        <v>0</v>
      </c>
      <c r="AN229" s="283"/>
      <c r="AO229" s="304" t="n">
        <f aca="false">SUM(AO217:AO228)</f>
        <v>0</v>
      </c>
      <c r="AP229" s="304" t="n">
        <f aca="false">SUM(AP217:AP228)</f>
        <v>0</v>
      </c>
      <c r="AQ229" s="304" t="n">
        <f aca="false">SUM(AQ217:AQ228)</f>
        <v>0</v>
      </c>
      <c r="AR229" s="304" t="n">
        <f aca="false">SUM(AR217:AR228)</f>
        <v>0</v>
      </c>
      <c r="AS229" s="304" t="n">
        <f aca="false">SUM(AS217:AS228)</f>
        <v>0</v>
      </c>
      <c r="AT229" s="304" t="n">
        <f aca="false">SUM(AT217:AT228)</f>
        <v>0</v>
      </c>
      <c r="AU229" s="304" t="n">
        <f aca="false">SUM(AU217:AU228)</f>
        <v>0</v>
      </c>
      <c r="AV229" s="304" t="n">
        <f aca="false">SUM(AV217:AV228)</f>
        <v>0</v>
      </c>
      <c r="AW229" s="304" t="n">
        <f aca="false">SUM(AW217:AW228)</f>
        <v>0</v>
      </c>
      <c r="AX229" s="304" t="n">
        <f aca="false">SUM(AX217:AX228)</f>
        <v>0</v>
      </c>
      <c r="AY229" s="304" t="n">
        <f aca="false">SUM(AY217:AY228)</f>
        <v>0</v>
      </c>
      <c r="AZ229" s="304" t="n">
        <f aca="false">SUM(AZ217:AZ228)</f>
        <v>0</v>
      </c>
      <c r="BA229" s="336" t="n">
        <f aca="false">SUM(BA217:BA228)</f>
        <v>0</v>
      </c>
      <c r="BB229" s="336" t="n">
        <f aca="false">SUM(BB217:BB228)</f>
        <v>0</v>
      </c>
      <c r="BC229" s="305" t="n">
        <f aca="false">SUM(BC217:BC228)</f>
        <v>0</v>
      </c>
      <c r="BD229" s="303"/>
      <c r="BE229" s="337"/>
    </row>
    <row r="230" customFormat="false" ht="15" hidden="false" customHeight="true" outlineLevel="0" collapsed="false">
      <c r="B230" s="296"/>
      <c r="D230" s="297"/>
      <c r="E230" s="300"/>
      <c r="F230" s="300"/>
      <c r="G230" s="300"/>
      <c r="H230" s="241"/>
      <c r="I230" s="302"/>
      <c r="J230" s="302"/>
      <c r="K230" s="241"/>
      <c r="L230" s="259"/>
      <c r="M230" s="259"/>
      <c r="N230" s="259"/>
      <c r="O230" s="259"/>
      <c r="P230" s="259"/>
      <c r="Q230" s="259"/>
      <c r="R230" s="259"/>
      <c r="S230" s="259"/>
      <c r="T230" s="259"/>
      <c r="U230" s="259"/>
      <c r="V230" s="259"/>
      <c r="W230" s="259"/>
      <c r="X230" s="303"/>
      <c r="Y230" s="259"/>
      <c r="Z230" s="303"/>
      <c r="AA230" s="303"/>
      <c r="AB230" s="303"/>
      <c r="AC230" s="303"/>
      <c r="AD230" s="303"/>
      <c r="AE230" s="303"/>
      <c r="AF230" s="303"/>
      <c r="AG230" s="303"/>
      <c r="AH230" s="303"/>
      <c r="AI230" s="303"/>
      <c r="AJ230" s="303"/>
      <c r="AK230" s="303"/>
      <c r="AL230" s="303"/>
      <c r="AM230" s="303"/>
      <c r="AN230" s="303"/>
      <c r="AO230" s="259"/>
      <c r="AP230" s="303"/>
      <c r="AQ230" s="303"/>
      <c r="AR230" s="303"/>
      <c r="AS230" s="303"/>
      <c r="AT230" s="303"/>
      <c r="AU230" s="303"/>
      <c r="AV230" s="303"/>
      <c r="AW230" s="303"/>
      <c r="AX230" s="303"/>
      <c r="AY230" s="303"/>
      <c r="AZ230" s="303"/>
      <c r="BA230" s="303"/>
      <c r="BB230" s="303"/>
      <c r="BC230" s="303"/>
      <c r="BD230" s="268"/>
      <c r="BE230" s="303"/>
    </row>
    <row r="231" customFormat="false" ht="15" hidden="false" customHeight="true" outlineLevel="0" collapsed="false">
      <c r="A231" s="198" t="n">
        <f aca="false">A215+1</f>
        <v>15</v>
      </c>
      <c r="B231" s="266" t="s">
        <v>253</v>
      </c>
      <c r="C231" s="266" t="s">
        <v>253</v>
      </c>
      <c r="D231" s="266"/>
      <c r="E231" s="241"/>
      <c r="F231" s="241"/>
      <c r="G231" s="241"/>
      <c r="H231" s="241"/>
      <c r="I231" s="241"/>
      <c r="J231" s="241"/>
      <c r="K231" s="277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59"/>
      <c r="Y231" s="268"/>
      <c r="Z231" s="268"/>
      <c r="AA231" s="268"/>
      <c r="AB231" s="268"/>
      <c r="AC231" s="268"/>
      <c r="AD231" s="268"/>
      <c r="AE231" s="268"/>
      <c r="AF231" s="268"/>
      <c r="AG231" s="268"/>
      <c r="AH231" s="268"/>
      <c r="AI231" s="268"/>
      <c r="AJ231" s="268"/>
      <c r="AK231" s="268"/>
      <c r="AL231" s="268"/>
      <c r="AM231" s="268"/>
      <c r="AN231" s="259"/>
      <c r="AO231" s="268"/>
      <c r="AP231" s="268"/>
      <c r="AQ231" s="268"/>
      <c r="AR231" s="268"/>
      <c r="AS231" s="268"/>
      <c r="AT231" s="268"/>
      <c r="AU231" s="268"/>
      <c r="AV231" s="268"/>
      <c r="AW231" s="268"/>
      <c r="AX231" s="268"/>
      <c r="AY231" s="268"/>
      <c r="AZ231" s="268"/>
      <c r="BA231" s="268"/>
      <c r="BB231" s="268"/>
      <c r="BC231" s="268"/>
      <c r="BD231" s="287"/>
      <c r="BE231" s="268"/>
    </row>
    <row r="232" customFormat="false" ht="7.5" hidden="false" customHeight="true" outlineLevel="0" collapsed="false">
      <c r="A232" s="198"/>
      <c r="B232" s="266"/>
      <c r="C232" s="266"/>
      <c r="D232" s="266"/>
      <c r="E232" s="241"/>
      <c r="F232" s="241"/>
      <c r="G232" s="241"/>
      <c r="H232" s="204"/>
      <c r="I232" s="269"/>
      <c r="J232" s="269"/>
      <c r="K232" s="277"/>
      <c r="L232" s="269"/>
      <c r="M232" s="269"/>
      <c r="N232" s="269"/>
      <c r="O232" s="269"/>
      <c r="P232" s="269"/>
      <c r="Q232" s="269"/>
      <c r="R232" s="269"/>
      <c r="S232" s="269"/>
      <c r="T232" s="269"/>
      <c r="U232" s="269"/>
      <c r="V232" s="269"/>
      <c r="W232" s="269"/>
      <c r="X232" s="259"/>
      <c r="Y232" s="271"/>
      <c r="Z232" s="271"/>
      <c r="AA232" s="271"/>
      <c r="AB232" s="271"/>
      <c r="AC232" s="271"/>
      <c r="AD232" s="271"/>
      <c r="AE232" s="271"/>
      <c r="AF232" s="271"/>
      <c r="AG232" s="271"/>
      <c r="AH232" s="271"/>
      <c r="AI232" s="271"/>
      <c r="AJ232" s="272"/>
      <c r="AK232" s="273"/>
      <c r="AL232" s="273"/>
      <c r="AM232" s="273"/>
      <c r="AN232" s="259"/>
      <c r="AO232" s="271"/>
      <c r="AP232" s="271"/>
      <c r="AQ232" s="271"/>
      <c r="AR232" s="271"/>
      <c r="AS232" s="271"/>
      <c r="AT232" s="271"/>
      <c r="AU232" s="271"/>
      <c r="AV232" s="271"/>
      <c r="AW232" s="271"/>
      <c r="AX232" s="271"/>
      <c r="AY232" s="271"/>
      <c r="AZ232" s="272"/>
      <c r="BA232" s="273"/>
      <c r="BB232" s="273"/>
      <c r="BC232" s="273"/>
      <c r="BD232" s="287"/>
      <c r="BE232" s="274"/>
    </row>
    <row r="233" customFormat="false" ht="15" hidden="false" customHeight="true" outlineLevel="0" collapsed="false">
      <c r="B233" s="333"/>
      <c r="C233" s="334"/>
      <c r="D233" s="333" t="n">
        <f aca="false">D217</f>
        <v>45292</v>
      </c>
      <c r="E233" s="277" t="n">
        <v>0</v>
      </c>
      <c r="F233" s="277" t="n">
        <v>0</v>
      </c>
      <c r="G233" s="277" t="n">
        <f aca="false">SUM(E233:F233)</f>
        <v>0</v>
      </c>
      <c r="H233" s="204"/>
      <c r="I233" s="279" t="n">
        <v>1</v>
      </c>
      <c r="J233" s="280" t="n">
        <f aca="false">1-I233</f>
        <v>0</v>
      </c>
      <c r="K233" s="277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68"/>
      <c r="Y233" s="284" t="n">
        <f aca="false">IFERROR(L233*$G233*I$9, "")</f>
        <v>0</v>
      </c>
      <c r="Z233" s="284" t="n">
        <f aca="false">IFERROR(M233*$G233*$I233, "")</f>
        <v>0</v>
      </c>
      <c r="AA233" s="284" t="n">
        <f aca="false">IFERROR(N233*$G233*$I233, "")</f>
        <v>0</v>
      </c>
      <c r="AB233" s="284" t="n">
        <f aca="false">IFERROR(O233*$G233*$I233, "")</f>
        <v>0</v>
      </c>
      <c r="AC233" s="284" t="n">
        <f aca="false">IFERROR(P233*$G233*$I233, "")</f>
        <v>0</v>
      </c>
      <c r="AD233" s="284" t="n">
        <f aca="false">IFERROR(Q233*$G233*$I233, "")</f>
        <v>0</v>
      </c>
      <c r="AE233" s="284" t="n">
        <f aca="false">IFERROR(R233*$G233*$I233, "")</f>
        <v>0</v>
      </c>
      <c r="AF233" s="284" t="n">
        <f aca="false">IFERROR(S233*$G233*$I233, "")</f>
        <v>0</v>
      </c>
      <c r="AG233" s="284" t="n">
        <f aca="false">IFERROR(T233*$G233*$I233, "")</f>
        <v>0</v>
      </c>
      <c r="AH233" s="284" t="n">
        <f aca="false">IFERROR(U233*$G233*$I233, "")</f>
        <v>0</v>
      </c>
      <c r="AI233" s="284" t="n">
        <f aca="false">IFERROR(V233*$G233*$I233, "")</f>
        <v>0</v>
      </c>
      <c r="AJ233" s="284" t="n">
        <f aca="false">IFERROR(W233*$G233*$I233, "")</f>
        <v>0</v>
      </c>
      <c r="AK233" s="286" t="n">
        <f aca="false">IFERROR(SUMIF($Y$4:$AJ$4, "RDEC", Y233:AJ233), "")</f>
        <v>0</v>
      </c>
      <c r="AL233" s="286" t="n">
        <f aca="false">IFERROR(SUMIF($Y$4:$AJ$4, "SME", Y233:AJ233), "")</f>
        <v>0</v>
      </c>
      <c r="AM233" s="286" t="n">
        <f aca="false">IFERROR(SUMIF($Y$4:$AJ$4, "De Minimis", Y233:AJ233), "")</f>
        <v>0</v>
      </c>
      <c r="AN233" s="268"/>
      <c r="AO233" s="284" t="n">
        <f aca="false">IFERROR($G233*$J233*L233, "")</f>
        <v>0</v>
      </c>
      <c r="AP233" s="284" t="n">
        <f aca="false">IFERROR($G233*$J233*M233, "")</f>
        <v>0</v>
      </c>
      <c r="AQ233" s="284" t="n">
        <f aca="false">IFERROR($G233*$J233*N233, "")</f>
        <v>0</v>
      </c>
      <c r="AR233" s="284" t="n">
        <f aca="false">IFERROR($G233*$J233*O233, "")</f>
        <v>0</v>
      </c>
      <c r="AS233" s="284" t="n">
        <f aca="false">IFERROR($G233*$J233*P233, "")</f>
        <v>0</v>
      </c>
      <c r="AT233" s="284" t="n">
        <f aca="false">IFERROR($G233*$J233*Q233, "")</f>
        <v>0</v>
      </c>
      <c r="AU233" s="284" t="n">
        <f aca="false">IFERROR($G233*$J233*R233, "")</f>
        <v>0</v>
      </c>
      <c r="AV233" s="284" t="n">
        <f aca="false">IFERROR($G233*$J233*S233, "")</f>
        <v>0</v>
      </c>
      <c r="AW233" s="284" t="n">
        <f aca="false">IFERROR($G233*$J233*T233, "")</f>
        <v>0</v>
      </c>
      <c r="AX233" s="284" t="n">
        <f aca="false">IFERROR($G233*$J233*U233, "")</f>
        <v>0</v>
      </c>
      <c r="AY233" s="284" t="n">
        <f aca="false">IFERROR($G233*$J233*V233, "")</f>
        <v>0</v>
      </c>
      <c r="AZ233" s="284" t="n">
        <f aca="false">IFERROR($G233*$J233*W233, "")</f>
        <v>0</v>
      </c>
      <c r="BA233" s="286" t="n">
        <f aca="false">IFERROR(SUMIF($AO$4:$AZ$4, "RDEC", AO233:AZ233), "")</f>
        <v>0</v>
      </c>
      <c r="BB233" s="286" t="n">
        <f aca="false">IFERROR(SUMIF($AO$4:$AZ$4, "SME", AO233:AZ233), "")</f>
        <v>0</v>
      </c>
      <c r="BC233" s="286" t="n">
        <f aca="false">IFERROR(SUMIF($AO$4:$AZ$4, "De Minimis", AO233:AZ233), "")</f>
        <v>0</v>
      </c>
      <c r="BD233" s="287"/>
      <c r="BE233" s="288" t="str">
        <f aca="false">IF((SUM(L233:W233)&gt;1),"ERROR","")</f>
        <v/>
      </c>
    </row>
    <row r="234" customFormat="false" ht="15" hidden="false" customHeight="true" outlineLevel="0" collapsed="false">
      <c r="B234" s="333"/>
      <c r="C234" s="334"/>
      <c r="D234" s="333" t="n">
        <f aca="false">D218</f>
        <v>45323</v>
      </c>
      <c r="E234" s="277" t="n">
        <v>0</v>
      </c>
      <c r="F234" s="277" t="n">
        <v>0</v>
      </c>
      <c r="G234" s="277" t="n">
        <f aca="false">SUM(E234:F234)</f>
        <v>0</v>
      </c>
      <c r="H234" s="204"/>
      <c r="I234" s="279" t="n">
        <v>1</v>
      </c>
      <c r="J234" s="280" t="n">
        <f aca="false">1-I234</f>
        <v>0</v>
      </c>
      <c r="K234" s="277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3"/>
      <c r="Y234" s="284" t="n">
        <f aca="false">IFERROR(L234*$G234*I$9, "")</f>
        <v>0</v>
      </c>
      <c r="Z234" s="284" t="n">
        <f aca="false">IFERROR(M234*$G234*$I234, "")</f>
        <v>0</v>
      </c>
      <c r="AA234" s="284" t="n">
        <f aca="false">IFERROR(N234*$G234*$I234, "")</f>
        <v>0</v>
      </c>
      <c r="AB234" s="284" t="n">
        <f aca="false">IFERROR(O234*$G234*$I234, "")</f>
        <v>0</v>
      </c>
      <c r="AC234" s="284" t="n">
        <f aca="false">IFERROR(P234*$G234*$I234, "")</f>
        <v>0</v>
      </c>
      <c r="AD234" s="284" t="n">
        <f aca="false">IFERROR(Q234*$G234*$I234, "")</f>
        <v>0</v>
      </c>
      <c r="AE234" s="284" t="n">
        <f aca="false">IFERROR(R234*$G234*$I234, "")</f>
        <v>0</v>
      </c>
      <c r="AF234" s="284" t="n">
        <f aca="false">IFERROR(S234*$G234*$I234, "")</f>
        <v>0</v>
      </c>
      <c r="AG234" s="284" t="n">
        <f aca="false">IFERROR(T234*$G234*$I234, "")</f>
        <v>0</v>
      </c>
      <c r="AH234" s="284" t="n">
        <f aca="false">IFERROR(U234*$G234*$I234, "")</f>
        <v>0</v>
      </c>
      <c r="AI234" s="284" t="n">
        <f aca="false">IFERROR(V234*$G234*$I234, "")</f>
        <v>0</v>
      </c>
      <c r="AJ234" s="284" t="n">
        <f aca="false">IFERROR(W234*$G234*$I234, "")</f>
        <v>0</v>
      </c>
      <c r="AK234" s="286" t="n">
        <f aca="false">IFERROR(SUMIF($Y$4:$AJ$4, "RDEC", Y234:AJ234), "")</f>
        <v>0</v>
      </c>
      <c r="AL234" s="286" t="n">
        <f aca="false">IFERROR(SUMIF($Y$4:$AJ$4, "SME", Y234:AJ234), "")</f>
        <v>0</v>
      </c>
      <c r="AM234" s="286" t="n">
        <f aca="false">IFERROR(SUMIF($Y$4:$AJ$4, "De Minimis", Y234:AJ234), "")</f>
        <v>0</v>
      </c>
      <c r="AN234" s="283"/>
      <c r="AO234" s="284" t="n">
        <f aca="false">IFERROR($G234*$J234*L234, "")</f>
        <v>0</v>
      </c>
      <c r="AP234" s="284" t="n">
        <f aca="false">IFERROR($G234*$J234*M234, "")</f>
        <v>0</v>
      </c>
      <c r="AQ234" s="284" t="n">
        <f aca="false">IFERROR($G234*$J234*N234, "")</f>
        <v>0</v>
      </c>
      <c r="AR234" s="284" t="n">
        <f aca="false">IFERROR($G234*$J234*O234, "")</f>
        <v>0</v>
      </c>
      <c r="AS234" s="284" t="n">
        <f aca="false">IFERROR($G234*$J234*P234, "")</f>
        <v>0</v>
      </c>
      <c r="AT234" s="284" t="n">
        <f aca="false">IFERROR($G234*$J234*Q234, "")</f>
        <v>0</v>
      </c>
      <c r="AU234" s="284" t="n">
        <f aca="false">IFERROR($G234*$J234*R234, "")</f>
        <v>0</v>
      </c>
      <c r="AV234" s="284" t="n">
        <f aca="false">IFERROR($G234*$J234*S234, "")</f>
        <v>0</v>
      </c>
      <c r="AW234" s="284" t="n">
        <f aca="false">IFERROR($G234*$J234*T234, "")</f>
        <v>0</v>
      </c>
      <c r="AX234" s="284" t="n">
        <f aca="false">IFERROR($G234*$J234*U234, "")</f>
        <v>0</v>
      </c>
      <c r="AY234" s="284" t="n">
        <f aca="false">IFERROR($G234*$J234*V234, "")</f>
        <v>0</v>
      </c>
      <c r="AZ234" s="284" t="n">
        <f aca="false">IFERROR($G234*$J234*W234, "")</f>
        <v>0</v>
      </c>
      <c r="BA234" s="286" t="n">
        <f aca="false">IFERROR(SUMIF($AO$4:$AZ$4, "RDEC", AO234:AZ234), "")</f>
        <v>0</v>
      </c>
      <c r="BB234" s="286" t="n">
        <f aca="false">IFERROR(SUMIF($AO$4:$AZ$4, "SME", AO234:AZ234), "")</f>
        <v>0</v>
      </c>
      <c r="BC234" s="286" t="n">
        <f aca="false">IFERROR(SUMIF($Y$4:$AJ$4, "De Minimis", AO234:AZ234), "")</f>
        <v>0</v>
      </c>
      <c r="BD234" s="287"/>
      <c r="BE234" s="288" t="str">
        <f aca="false">IF((SUM(L234:W234)&gt;1),"ERROR","")</f>
        <v/>
      </c>
    </row>
    <row r="235" customFormat="false" ht="15" hidden="false" customHeight="true" outlineLevel="0" collapsed="false">
      <c r="B235" s="333"/>
      <c r="C235" s="334"/>
      <c r="D235" s="333" t="n">
        <f aca="false">D219</f>
        <v>45352</v>
      </c>
      <c r="E235" s="277" t="n">
        <v>0</v>
      </c>
      <c r="F235" s="277" t="n">
        <v>0</v>
      </c>
      <c r="G235" s="277" t="n">
        <f aca="false">SUM(E235:F235)</f>
        <v>0</v>
      </c>
      <c r="H235" s="204"/>
      <c r="I235" s="279" t="n">
        <v>1</v>
      </c>
      <c r="J235" s="280" t="n">
        <f aca="false">1-I235</f>
        <v>0</v>
      </c>
      <c r="K235" s="277"/>
      <c r="L235" s="282"/>
      <c r="M235" s="282"/>
      <c r="N235" s="282"/>
      <c r="O235" s="282"/>
      <c r="P235" s="282"/>
      <c r="Q235" s="282"/>
      <c r="R235" s="282"/>
      <c r="S235" s="282"/>
      <c r="T235" s="282"/>
      <c r="U235" s="282"/>
      <c r="V235" s="282"/>
      <c r="W235" s="282"/>
      <c r="X235" s="283"/>
      <c r="Y235" s="284" t="n">
        <f aca="false">IFERROR(L235*$G235*I$9, "")</f>
        <v>0</v>
      </c>
      <c r="Z235" s="284" t="n">
        <f aca="false">IFERROR(M235*$G235*$I235, "")</f>
        <v>0</v>
      </c>
      <c r="AA235" s="284" t="n">
        <f aca="false">IFERROR(N235*$G235*$I235, "")</f>
        <v>0</v>
      </c>
      <c r="AB235" s="284" t="n">
        <f aca="false">IFERROR(O235*$G235*$I235, "")</f>
        <v>0</v>
      </c>
      <c r="AC235" s="284" t="n">
        <f aca="false">IFERROR(P235*$G235*$I235, "")</f>
        <v>0</v>
      </c>
      <c r="AD235" s="284" t="n">
        <f aca="false">IFERROR(Q235*$G235*$I235, "")</f>
        <v>0</v>
      </c>
      <c r="AE235" s="284" t="n">
        <f aca="false">IFERROR(R235*$G235*$I235, "")</f>
        <v>0</v>
      </c>
      <c r="AF235" s="284" t="n">
        <f aca="false">IFERROR(S235*$G235*$I235, "")</f>
        <v>0</v>
      </c>
      <c r="AG235" s="284" t="n">
        <f aca="false">IFERROR(T235*$G235*$I235, "")</f>
        <v>0</v>
      </c>
      <c r="AH235" s="284" t="n">
        <f aca="false">IFERROR(U235*$G235*$I235, "")</f>
        <v>0</v>
      </c>
      <c r="AI235" s="284" t="n">
        <f aca="false">IFERROR(V235*$G235*$I235, "")</f>
        <v>0</v>
      </c>
      <c r="AJ235" s="284" t="n">
        <f aca="false">IFERROR(W235*$G235*$I235, "")</f>
        <v>0</v>
      </c>
      <c r="AK235" s="286" t="n">
        <f aca="false">IFERROR(SUMIF($Y$4:$AJ$4, "RDEC", Y235:AJ235), "")</f>
        <v>0</v>
      </c>
      <c r="AL235" s="286" t="n">
        <f aca="false">IFERROR(SUMIF($Y$4:$AJ$4, "SME", Y235:AJ235), "")</f>
        <v>0</v>
      </c>
      <c r="AM235" s="286" t="n">
        <f aca="false">IFERROR(SUMIF($Y$4:$AJ$4, "De Minimis", Y235:AJ235), "")</f>
        <v>0</v>
      </c>
      <c r="AN235" s="283"/>
      <c r="AO235" s="284" t="n">
        <f aca="false">IFERROR($G235*$J235*L235, "")</f>
        <v>0</v>
      </c>
      <c r="AP235" s="284" t="n">
        <f aca="false">IFERROR($G235*$J235*M235, "")</f>
        <v>0</v>
      </c>
      <c r="AQ235" s="284" t="n">
        <f aca="false">IFERROR($G235*$J235*N235, "")</f>
        <v>0</v>
      </c>
      <c r="AR235" s="284" t="n">
        <f aca="false">IFERROR($G235*$J235*O235, "")</f>
        <v>0</v>
      </c>
      <c r="AS235" s="284" t="n">
        <f aca="false">IFERROR($G235*$J235*P235, "")</f>
        <v>0</v>
      </c>
      <c r="AT235" s="284" t="n">
        <f aca="false">IFERROR($G235*$J235*Q235, "")</f>
        <v>0</v>
      </c>
      <c r="AU235" s="284" t="n">
        <f aca="false">IFERROR($G235*$J235*R235, "")</f>
        <v>0</v>
      </c>
      <c r="AV235" s="284" t="n">
        <f aca="false">IFERROR($G235*$J235*S235, "")</f>
        <v>0</v>
      </c>
      <c r="AW235" s="284" t="n">
        <f aca="false">IFERROR($G235*$J235*T235, "")</f>
        <v>0</v>
      </c>
      <c r="AX235" s="284" t="n">
        <f aca="false">IFERROR($G235*$J235*U235, "")</f>
        <v>0</v>
      </c>
      <c r="AY235" s="284" t="n">
        <f aca="false">IFERROR($G235*$J235*V235, "")</f>
        <v>0</v>
      </c>
      <c r="AZ235" s="284" t="n">
        <f aca="false">IFERROR($G235*$J235*W235, "")</f>
        <v>0</v>
      </c>
      <c r="BA235" s="286" t="n">
        <f aca="false">IFERROR(SUMIF($AO$4:$AZ$4, "RDEC", AO235:AZ235), "")</f>
        <v>0</v>
      </c>
      <c r="BB235" s="286" t="n">
        <f aca="false">IFERROR(SUMIF($AO$4:$AZ$4, "SME", AO235:AZ235), "")</f>
        <v>0</v>
      </c>
      <c r="BC235" s="286" t="n">
        <f aca="false">IFERROR(SUMIF($Y$4:$AJ$4, "De Minimis", AO235:AZ235), "")</f>
        <v>0</v>
      </c>
      <c r="BD235" s="287"/>
      <c r="BE235" s="288" t="str">
        <f aca="false">IF((SUM(L235:W235)&gt;1),"ERROR","")</f>
        <v/>
      </c>
    </row>
    <row r="236" customFormat="false" ht="15" hidden="false" customHeight="true" outlineLevel="0" collapsed="false">
      <c r="B236" s="333"/>
      <c r="C236" s="334"/>
      <c r="D236" s="333" t="n">
        <f aca="false">D220</f>
        <v>45383</v>
      </c>
      <c r="E236" s="277" t="n">
        <v>0</v>
      </c>
      <c r="F236" s="277" t="n">
        <v>0</v>
      </c>
      <c r="G236" s="277" t="n">
        <f aca="false">SUM(E236:F236)</f>
        <v>0</v>
      </c>
      <c r="H236" s="204"/>
      <c r="I236" s="279" t="n">
        <v>1</v>
      </c>
      <c r="J236" s="280" t="n">
        <f aca="false">1-I236</f>
        <v>0</v>
      </c>
      <c r="K236" s="277"/>
      <c r="L236" s="282"/>
      <c r="M236" s="282"/>
      <c r="N236" s="282"/>
      <c r="O236" s="282"/>
      <c r="P236" s="282"/>
      <c r="Q236" s="282"/>
      <c r="R236" s="282"/>
      <c r="S236" s="282"/>
      <c r="T236" s="282"/>
      <c r="U236" s="282"/>
      <c r="V236" s="282"/>
      <c r="W236" s="282"/>
      <c r="X236" s="283"/>
      <c r="Y236" s="284" t="n">
        <f aca="false">IFERROR(L236*$G236*I$9, "")</f>
        <v>0</v>
      </c>
      <c r="Z236" s="284" t="n">
        <f aca="false">IFERROR(M236*$G236*$I236, "")</f>
        <v>0</v>
      </c>
      <c r="AA236" s="284" t="n">
        <f aca="false">IFERROR(N236*$G236*$I236, "")</f>
        <v>0</v>
      </c>
      <c r="AB236" s="284" t="n">
        <f aca="false">IFERROR(O236*$G236*$I236, "")</f>
        <v>0</v>
      </c>
      <c r="AC236" s="284" t="n">
        <f aca="false">IFERROR(P236*$G236*$I236, "")</f>
        <v>0</v>
      </c>
      <c r="AD236" s="284" t="n">
        <f aca="false">IFERROR(Q236*$G236*$I236, "")</f>
        <v>0</v>
      </c>
      <c r="AE236" s="284" t="n">
        <f aca="false">IFERROR(R236*$G236*$I236, "")</f>
        <v>0</v>
      </c>
      <c r="AF236" s="284" t="n">
        <f aca="false">IFERROR(S236*$G236*$I236, "")</f>
        <v>0</v>
      </c>
      <c r="AG236" s="284" t="n">
        <f aca="false">IFERROR(T236*$G236*$I236, "")</f>
        <v>0</v>
      </c>
      <c r="AH236" s="284" t="n">
        <f aca="false">IFERROR(U236*$G236*$I236, "")</f>
        <v>0</v>
      </c>
      <c r="AI236" s="284" t="n">
        <f aca="false">IFERROR(V236*$G236*$I236, "")</f>
        <v>0</v>
      </c>
      <c r="AJ236" s="284" t="n">
        <f aca="false">IFERROR(W236*$G236*$I236, "")</f>
        <v>0</v>
      </c>
      <c r="AK236" s="286" t="n">
        <f aca="false">IFERROR(SUMIF($Y$4:$AJ$4, "RDEC", Y236:AJ236), "")</f>
        <v>0</v>
      </c>
      <c r="AL236" s="286" t="n">
        <f aca="false">IFERROR(SUMIF($Y$4:$AJ$4, "SME", Y236:AJ236), "")</f>
        <v>0</v>
      </c>
      <c r="AM236" s="286" t="n">
        <f aca="false">IFERROR(SUMIF($Y$4:$AJ$4, "De Minimis", Y236:AJ236), "")</f>
        <v>0</v>
      </c>
      <c r="AN236" s="283"/>
      <c r="AO236" s="284" t="n">
        <f aca="false">IFERROR($G236*$J236*L236, "")</f>
        <v>0</v>
      </c>
      <c r="AP236" s="284" t="n">
        <f aca="false">IFERROR($G236*$J236*M236, "")</f>
        <v>0</v>
      </c>
      <c r="AQ236" s="284" t="n">
        <f aca="false">IFERROR($G236*$J236*N236, "")</f>
        <v>0</v>
      </c>
      <c r="AR236" s="284" t="n">
        <f aca="false">IFERROR($G236*$J236*O236, "")</f>
        <v>0</v>
      </c>
      <c r="AS236" s="284" t="n">
        <f aca="false">IFERROR($G236*$J236*P236, "")</f>
        <v>0</v>
      </c>
      <c r="AT236" s="284" t="n">
        <f aca="false">IFERROR($G236*$J236*Q236, "")</f>
        <v>0</v>
      </c>
      <c r="AU236" s="284" t="n">
        <f aca="false">IFERROR($G236*$J236*R236, "")</f>
        <v>0</v>
      </c>
      <c r="AV236" s="284" t="n">
        <f aca="false">IFERROR($G236*$J236*S236, "")</f>
        <v>0</v>
      </c>
      <c r="AW236" s="284" t="n">
        <f aca="false">IFERROR($G236*$J236*T236, "")</f>
        <v>0</v>
      </c>
      <c r="AX236" s="284" t="n">
        <f aca="false">IFERROR($G236*$J236*U236, "")</f>
        <v>0</v>
      </c>
      <c r="AY236" s="284" t="n">
        <f aca="false">IFERROR($G236*$J236*V236, "")</f>
        <v>0</v>
      </c>
      <c r="AZ236" s="284" t="n">
        <f aca="false">IFERROR($G236*$J236*W236, "")</f>
        <v>0</v>
      </c>
      <c r="BA236" s="286" t="n">
        <f aca="false">IFERROR(SUMIF($AO$4:$AZ$4, "RDEC", AO236:AZ236), "")</f>
        <v>0</v>
      </c>
      <c r="BB236" s="286" t="n">
        <f aca="false">IFERROR(SUMIF($AO$4:$AZ$4, "SME", AO236:AZ236), "")</f>
        <v>0</v>
      </c>
      <c r="BC236" s="286" t="n">
        <f aca="false">IFERROR(SUMIF($Y$4:$AJ$4, "De Minimis", AO236:AZ236), "")</f>
        <v>0</v>
      </c>
      <c r="BD236" s="287"/>
      <c r="BE236" s="288" t="str">
        <f aca="false">IF((SUM(L236:W236)&gt;1),"ERROR","")</f>
        <v/>
      </c>
    </row>
    <row r="237" customFormat="false" ht="15" hidden="false" customHeight="true" outlineLevel="0" collapsed="false">
      <c r="B237" s="333"/>
      <c r="C237" s="334"/>
      <c r="D237" s="333" t="n">
        <f aca="false">D221</f>
        <v>45413</v>
      </c>
      <c r="E237" s="277" t="n">
        <v>0</v>
      </c>
      <c r="F237" s="277" t="n">
        <v>0</v>
      </c>
      <c r="G237" s="277" t="n">
        <f aca="false">SUM(E237:F237)</f>
        <v>0</v>
      </c>
      <c r="H237" s="204"/>
      <c r="I237" s="279" t="n">
        <v>1</v>
      </c>
      <c r="J237" s="280" t="n">
        <f aca="false">1-I237</f>
        <v>0</v>
      </c>
      <c r="K237" s="277"/>
      <c r="L237" s="282"/>
      <c r="M237" s="282"/>
      <c r="N237" s="282"/>
      <c r="O237" s="282"/>
      <c r="P237" s="282"/>
      <c r="Q237" s="282"/>
      <c r="R237" s="282"/>
      <c r="S237" s="282"/>
      <c r="T237" s="282"/>
      <c r="U237" s="282"/>
      <c r="V237" s="282"/>
      <c r="W237" s="282"/>
      <c r="X237" s="283"/>
      <c r="Y237" s="284" t="n">
        <f aca="false">IFERROR(L237*$G237*I$9, "")</f>
        <v>0</v>
      </c>
      <c r="Z237" s="284" t="n">
        <f aca="false">IFERROR(M237*$G237*$I237, "")</f>
        <v>0</v>
      </c>
      <c r="AA237" s="284" t="n">
        <f aca="false">IFERROR(N237*$G237*$I237, "")</f>
        <v>0</v>
      </c>
      <c r="AB237" s="284" t="n">
        <f aca="false">IFERROR(O237*$G237*$I237, "")</f>
        <v>0</v>
      </c>
      <c r="AC237" s="284" t="n">
        <f aca="false">IFERROR(P237*$G237*$I237, "")</f>
        <v>0</v>
      </c>
      <c r="AD237" s="284" t="n">
        <f aca="false">IFERROR(Q237*$G237*$I237, "")</f>
        <v>0</v>
      </c>
      <c r="AE237" s="284" t="n">
        <f aca="false">IFERROR(R237*$G237*$I237, "")</f>
        <v>0</v>
      </c>
      <c r="AF237" s="284" t="n">
        <f aca="false">IFERROR(S237*$G237*$I237, "")</f>
        <v>0</v>
      </c>
      <c r="AG237" s="284" t="n">
        <f aca="false">IFERROR(T237*$G237*$I237, "")</f>
        <v>0</v>
      </c>
      <c r="AH237" s="284" t="n">
        <f aca="false">IFERROR(U237*$G237*$I237, "")</f>
        <v>0</v>
      </c>
      <c r="AI237" s="284" t="n">
        <f aca="false">IFERROR(V237*$G237*$I237, "")</f>
        <v>0</v>
      </c>
      <c r="AJ237" s="284" t="n">
        <f aca="false">IFERROR(W237*$G237*$I237, "")</f>
        <v>0</v>
      </c>
      <c r="AK237" s="286" t="n">
        <f aca="false">IFERROR(SUMIF($Y$4:$AJ$4, "RDEC", Y237:AJ237), "")</f>
        <v>0</v>
      </c>
      <c r="AL237" s="286" t="n">
        <f aca="false">IFERROR(SUMIF($Y$4:$AJ$4, "SME", Y237:AJ237), "")</f>
        <v>0</v>
      </c>
      <c r="AM237" s="286" t="n">
        <f aca="false">IFERROR(SUMIF($Y$4:$AJ$4, "De Minimis", Y237:AJ237), "")</f>
        <v>0</v>
      </c>
      <c r="AN237" s="283"/>
      <c r="AO237" s="284" t="n">
        <f aca="false">IFERROR($G237*$J237*L237, "")</f>
        <v>0</v>
      </c>
      <c r="AP237" s="284" t="n">
        <f aca="false">IFERROR($G237*$J237*M237, "")</f>
        <v>0</v>
      </c>
      <c r="AQ237" s="284" t="n">
        <f aca="false">IFERROR($G237*$J237*N237, "")</f>
        <v>0</v>
      </c>
      <c r="AR237" s="284" t="n">
        <f aca="false">IFERROR($G237*$J237*O237, "")</f>
        <v>0</v>
      </c>
      <c r="AS237" s="284" t="n">
        <f aca="false">IFERROR($G237*$J237*P237, "")</f>
        <v>0</v>
      </c>
      <c r="AT237" s="284" t="n">
        <f aca="false">IFERROR($G237*$J237*Q237, "")</f>
        <v>0</v>
      </c>
      <c r="AU237" s="284" t="n">
        <f aca="false">IFERROR($G237*$J237*R237, "")</f>
        <v>0</v>
      </c>
      <c r="AV237" s="284" t="n">
        <f aca="false">IFERROR($G237*$J237*S237, "")</f>
        <v>0</v>
      </c>
      <c r="AW237" s="284" t="n">
        <f aca="false">IFERROR($G237*$J237*T237, "")</f>
        <v>0</v>
      </c>
      <c r="AX237" s="284" t="n">
        <f aca="false">IFERROR($G237*$J237*U237, "")</f>
        <v>0</v>
      </c>
      <c r="AY237" s="284" t="n">
        <f aca="false">IFERROR($G237*$J237*V237, "")</f>
        <v>0</v>
      </c>
      <c r="AZ237" s="284" t="n">
        <f aca="false">IFERROR($G237*$J237*W237, "")</f>
        <v>0</v>
      </c>
      <c r="BA237" s="286" t="n">
        <f aca="false">IFERROR(SUMIF($AO$4:$AZ$4, "RDEC", AO237:AZ237), "")</f>
        <v>0</v>
      </c>
      <c r="BB237" s="286" t="n">
        <f aca="false">IFERROR(SUMIF($AO$4:$AZ$4, "SME", AO237:AZ237), "")</f>
        <v>0</v>
      </c>
      <c r="BC237" s="286" t="n">
        <f aca="false">IFERROR(SUMIF($Y$4:$AJ$4, "De Minimis", AO237:AZ237), "")</f>
        <v>0</v>
      </c>
      <c r="BD237" s="287"/>
      <c r="BE237" s="288" t="str">
        <f aca="false">IF((SUM(L237:W237)&gt;1),"ERROR","")</f>
        <v/>
      </c>
    </row>
    <row r="238" customFormat="false" ht="15" hidden="false" customHeight="true" outlineLevel="0" collapsed="false">
      <c r="B238" s="333"/>
      <c r="C238" s="334"/>
      <c r="D238" s="333" t="n">
        <f aca="false">D222</f>
        <v>45444</v>
      </c>
      <c r="E238" s="277" t="n">
        <v>0</v>
      </c>
      <c r="F238" s="277" t="n">
        <v>0</v>
      </c>
      <c r="G238" s="277" t="n">
        <f aca="false">SUM(E238:F238)</f>
        <v>0</v>
      </c>
      <c r="H238" s="204"/>
      <c r="I238" s="279" t="n">
        <v>1</v>
      </c>
      <c r="J238" s="280" t="n">
        <f aca="false">1-I238</f>
        <v>0</v>
      </c>
      <c r="K238" s="277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3"/>
      <c r="Y238" s="284" t="n">
        <f aca="false">IFERROR(L238*$G238*I$9, "")</f>
        <v>0</v>
      </c>
      <c r="Z238" s="284" t="n">
        <f aca="false">IFERROR(M238*$G238*$I238, "")</f>
        <v>0</v>
      </c>
      <c r="AA238" s="284" t="n">
        <f aca="false">IFERROR(N238*$G238*$I238, "")</f>
        <v>0</v>
      </c>
      <c r="AB238" s="284" t="n">
        <f aca="false">IFERROR(O238*$G238*$I238, "")</f>
        <v>0</v>
      </c>
      <c r="AC238" s="284" t="n">
        <f aca="false">IFERROR(P238*$G238*$I238, "")</f>
        <v>0</v>
      </c>
      <c r="AD238" s="284" t="n">
        <f aca="false">IFERROR(Q238*$G238*$I238, "")</f>
        <v>0</v>
      </c>
      <c r="AE238" s="284" t="n">
        <f aca="false">IFERROR(R238*$G238*$I238, "")</f>
        <v>0</v>
      </c>
      <c r="AF238" s="284" t="n">
        <f aca="false">IFERROR(S238*$G238*$I238, "")</f>
        <v>0</v>
      </c>
      <c r="AG238" s="284" t="n">
        <f aca="false">IFERROR(T238*$G238*$I238, "")</f>
        <v>0</v>
      </c>
      <c r="AH238" s="284" t="n">
        <f aca="false">IFERROR(U238*$G238*$I238, "")</f>
        <v>0</v>
      </c>
      <c r="AI238" s="284" t="n">
        <f aca="false">IFERROR(V238*$G238*$I238, "")</f>
        <v>0</v>
      </c>
      <c r="AJ238" s="284" t="n">
        <f aca="false">IFERROR(W238*$G238*$I238, "")</f>
        <v>0</v>
      </c>
      <c r="AK238" s="286" t="n">
        <f aca="false">IFERROR(SUMIF($Y$4:$AJ$4, "RDEC", Y238:AJ238), "")</f>
        <v>0</v>
      </c>
      <c r="AL238" s="286" t="n">
        <f aca="false">IFERROR(SUMIF($Y$4:$AJ$4, "SME", Y238:AJ238), "")</f>
        <v>0</v>
      </c>
      <c r="AM238" s="286" t="n">
        <f aca="false">IFERROR(SUMIF($Y$4:$AJ$4, "De Minimis", Y238:AJ238), "")</f>
        <v>0</v>
      </c>
      <c r="AN238" s="283"/>
      <c r="AO238" s="284" t="n">
        <f aca="false">IFERROR($G238*$J238*L238, "")</f>
        <v>0</v>
      </c>
      <c r="AP238" s="284" t="n">
        <f aca="false">IFERROR($G238*$J238*M238, "")</f>
        <v>0</v>
      </c>
      <c r="AQ238" s="284" t="n">
        <f aca="false">IFERROR($G238*$J238*N238, "")</f>
        <v>0</v>
      </c>
      <c r="AR238" s="284" t="n">
        <f aca="false">IFERROR($G238*$J238*O238, "")</f>
        <v>0</v>
      </c>
      <c r="AS238" s="284" t="n">
        <f aca="false">IFERROR($G238*$J238*P238, "")</f>
        <v>0</v>
      </c>
      <c r="AT238" s="284" t="n">
        <f aca="false">IFERROR($G238*$J238*Q238, "")</f>
        <v>0</v>
      </c>
      <c r="AU238" s="284" t="n">
        <f aca="false">IFERROR($G238*$J238*R238, "")</f>
        <v>0</v>
      </c>
      <c r="AV238" s="284" t="n">
        <f aca="false">IFERROR($G238*$J238*S238, "")</f>
        <v>0</v>
      </c>
      <c r="AW238" s="284" t="n">
        <f aca="false">IFERROR($G238*$J238*T238, "")</f>
        <v>0</v>
      </c>
      <c r="AX238" s="284" t="n">
        <f aca="false">IFERROR($G238*$J238*U238, "")</f>
        <v>0</v>
      </c>
      <c r="AY238" s="284" t="n">
        <f aca="false">IFERROR($G238*$J238*V238, "")</f>
        <v>0</v>
      </c>
      <c r="AZ238" s="284" t="n">
        <f aca="false">IFERROR($G238*$J238*W238, "")</f>
        <v>0</v>
      </c>
      <c r="BA238" s="286" t="n">
        <f aca="false">IFERROR(SUMIF($AO$4:$AZ$4, "RDEC", AO238:AZ238), "")</f>
        <v>0</v>
      </c>
      <c r="BB238" s="286" t="n">
        <f aca="false">IFERROR(SUMIF($AO$4:$AZ$4, "SME", AO238:AZ238), "")</f>
        <v>0</v>
      </c>
      <c r="BC238" s="286" t="n">
        <f aca="false">IFERROR(SUMIF($Y$4:$AJ$4, "De Minimis", AO238:AZ238), "")</f>
        <v>0</v>
      </c>
      <c r="BD238" s="287"/>
      <c r="BE238" s="288" t="str">
        <f aca="false">IF((SUM(L238:W238)&gt;1),"ERROR","")</f>
        <v/>
      </c>
    </row>
    <row r="239" customFormat="false" ht="15" hidden="false" customHeight="true" outlineLevel="0" collapsed="false">
      <c r="B239" s="333"/>
      <c r="C239" s="334"/>
      <c r="D239" s="333" t="n">
        <f aca="false">D223</f>
        <v>45474</v>
      </c>
      <c r="E239" s="277" t="n">
        <v>0</v>
      </c>
      <c r="F239" s="277" t="n">
        <v>0</v>
      </c>
      <c r="G239" s="277" t="n">
        <f aca="false">SUM(E239:F239)</f>
        <v>0</v>
      </c>
      <c r="H239" s="204"/>
      <c r="I239" s="279" t="n">
        <v>1</v>
      </c>
      <c r="J239" s="280" t="n">
        <f aca="false">1-I239</f>
        <v>0</v>
      </c>
      <c r="K239" s="277"/>
      <c r="L239" s="282"/>
      <c r="M239" s="282"/>
      <c r="N239" s="282"/>
      <c r="O239" s="282"/>
      <c r="P239" s="282"/>
      <c r="Q239" s="282"/>
      <c r="R239" s="282"/>
      <c r="S239" s="282"/>
      <c r="T239" s="282"/>
      <c r="U239" s="282"/>
      <c r="V239" s="282"/>
      <c r="W239" s="282"/>
      <c r="X239" s="283"/>
      <c r="Y239" s="284" t="n">
        <f aca="false">IFERROR(L239*$G239*I$9, "")</f>
        <v>0</v>
      </c>
      <c r="Z239" s="284" t="n">
        <f aca="false">IFERROR(M239*$G239*$I239, "")</f>
        <v>0</v>
      </c>
      <c r="AA239" s="284" t="n">
        <f aca="false">IFERROR(N239*$G239*$I239, "")</f>
        <v>0</v>
      </c>
      <c r="AB239" s="284" t="n">
        <f aca="false">IFERROR(O239*$G239*$I239, "")</f>
        <v>0</v>
      </c>
      <c r="AC239" s="284" t="n">
        <f aca="false">IFERROR(P239*$G239*$I239, "")</f>
        <v>0</v>
      </c>
      <c r="AD239" s="284" t="n">
        <f aca="false">IFERROR(Q239*$G239*$I239, "")</f>
        <v>0</v>
      </c>
      <c r="AE239" s="284" t="n">
        <f aca="false">IFERROR(R239*$G239*$I239, "")</f>
        <v>0</v>
      </c>
      <c r="AF239" s="284" t="n">
        <f aca="false">IFERROR(S239*$G239*$I239, "")</f>
        <v>0</v>
      </c>
      <c r="AG239" s="284" t="n">
        <f aca="false">IFERROR(T239*$G239*$I239, "")</f>
        <v>0</v>
      </c>
      <c r="AH239" s="284" t="n">
        <f aca="false">IFERROR(U239*$G239*$I239, "")</f>
        <v>0</v>
      </c>
      <c r="AI239" s="284" t="n">
        <f aca="false">IFERROR(V239*$G239*$I239, "")</f>
        <v>0</v>
      </c>
      <c r="AJ239" s="284" t="n">
        <f aca="false">IFERROR(W239*$G239*$I239, "")</f>
        <v>0</v>
      </c>
      <c r="AK239" s="286" t="n">
        <f aca="false">IFERROR(SUMIF($Y$4:$AJ$4, "RDEC", Y239:AJ239), "")</f>
        <v>0</v>
      </c>
      <c r="AL239" s="286" t="n">
        <f aca="false">IFERROR(SUMIF($Y$4:$AJ$4, "SME", Y239:AJ239), "")</f>
        <v>0</v>
      </c>
      <c r="AM239" s="286" t="n">
        <f aca="false">IFERROR(SUMIF($Y$4:$AJ$4, "De Minimis", Y239:AJ239), "")</f>
        <v>0</v>
      </c>
      <c r="AN239" s="283"/>
      <c r="AO239" s="284" t="n">
        <f aca="false">IFERROR($G239*$J239*L239, "")</f>
        <v>0</v>
      </c>
      <c r="AP239" s="284" t="n">
        <f aca="false">IFERROR($G239*$J239*M239, "")</f>
        <v>0</v>
      </c>
      <c r="AQ239" s="284" t="n">
        <f aca="false">IFERROR($G239*$J239*N239, "")</f>
        <v>0</v>
      </c>
      <c r="AR239" s="284" t="n">
        <f aca="false">IFERROR($G239*$J239*O239, "")</f>
        <v>0</v>
      </c>
      <c r="AS239" s="284" t="n">
        <f aca="false">IFERROR($G239*$J239*P239, "")</f>
        <v>0</v>
      </c>
      <c r="AT239" s="284" t="n">
        <f aca="false">IFERROR($G239*$J239*Q239, "")</f>
        <v>0</v>
      </c>
      <c r="AU239" s="284" t="n">
        <f aca="false">IFERROR($G239*$J239*R239, "")</f>
        <v>0</v>
      </c>
      <c r="AV239" s="284" t="n">
        <f aca="false">IFERROR($G239*$J239*S239, "")</f>
        <v>0</v>
      </c>
      <c r="AW239" s="284" t="n">
        <f aca="false">IFERROR($G239*$J239*T239, "")</f>
        <v>0</v>
      </c>
      <c r="AX239" s="284" t="n">
        <f aca="false">IFERROR($G239*$J239*U239, "")</f>
        <v>0</v>
      </c>
      <c r="AY239" s="284" t="n">
        <f aca="false">IFERROR($G239*$J239*V239, "")</f>
        <v>0</v>
      </c>
      <c r="AZ239" s="284" t="n">
        <f aca="false">IFERROR($G239*$J239*W239, "")</f>
        <v>0</v>
      </c>
      <c r="BA239" s="286" t="n">
        <f aca="false">IFERROR(SUMIF($AO$4:$AZ$4, "RDEC", AO239:AZ239), "")</f>
        <v>0</v>
      </c>
      <c r="BB239" s="286" t="n">
        <f aca="false">IFERROR(SUMIF($AO$4:$AZ$4, "SME", AO239:AZ239), "")</f>
        <v>0</v>
      </c>
      <c r="BC239" s="286" t="n">
        <f aca="false">IFERROR(SUMIF($Y$4:$AJ$4, "De Minimis", AO239:AZ239), "")</f>
        <v>0</v>
      </c>
      <c r="BD239" s="287"/>
      <c r="BE239" s="288" t="str">
        <f aca="false">IF((SUM(L239:W239)&gt;1),"ERROR","")</f>
        <v/>
      </c>
    </row>
    <row r="240" customFormat="false" ht="15" hidden="false" customHeight="true" outlineLevel="0" collapsed="false">
      <c r="B240" s="333"/>
      <c r="C240" s="334"/>
      <c r="D240" s="333" t="n">
        <f aca="false">D224</f>
        <v>45505</v>
      </c>
      <c r="E240" s="277" t="n">
        <v>0</v>
      </c>
      <c r="F240" s="277" t="n">
        <v>0</v>
      </c>
      <c r="G240" s="277" t="n">
        <f aca="false">SUM(E240:F240)</f>
        <v>0</v>
      </c>
      <c r="H240" s="204"/>
      <c r="I240" s="279" t="n">
        <v>1</v>
      </c>
      <c r="J240" s="280" t="n">
        <f aca="false">1-I240</f>
        <v>0</v>
      </c>
      <c r="K240" s="277"/>
      <c r="L240" s="282"/>
      <c r="M240" s="282"/>
      <c r="N240" s="282"/>
      <c r="O240" s="282"/>
      <c r="P240" s="282"/>
      <c r="Q240" s="282"/>
      <c r="R240" s="282"/>
      <c r="S240" s="282"/>
      <c r="T240" s="282"/>
      <c r="U240" s="282"/>
      <c r="V240" s="282"/>
      <c r="W240" s="282"/>
      <c r="X240" s="283"/>
      <c r="Y240" s="284" t="n">
        <f aca="false">IFERROR(L240*$G240*I$9, "")</f>
        <v>0</v>
      </c>
      <c r="Z240" s="284" t="n">
        <f aca="false">IFERROR(M240*$G240*$I240, "")</f>
        <v>0</v>
      </c>
      <c r="AA240" s="284" t="n">
        <f aca="false">IFERROR(N240*$G240*$I240, "")</f>
        <v>0</v>
      </c>
      <c r="AB240" s="284" t="n">
        <f aca="false">IFERROR(O240*$G240*$I240, "")</f>
        <v>0</v>
      </c>
      <c r="AC240" s="284" t="n">
        <f aca="false">IFERROR(P240*$G240*$I240, "")</f>
        <v>0</v>
      </c>
      <c r="AD240" s="284" t="n">
        <f aca="false">IFERROR(Q240*$G240*$I240, "")</f>
        <v>0</v>
      </c>
      <c r="AE240" s="284" t="n">
        <f aca="false">IFERROR(R240*$G240*$I240, "")</f>
        <v>0</v>
      </c>
      <c r="AF240" s="284" t="n">
        <f aca="false">IFERROR(S240*$G240*$I240, "")</f>
        <v>0</v>
      </c>
      <c r="AG240" s="284" t="n">
        <f aca="false">IFERROR(T240*$G240*$I240, "")</f>
        <v>0</v>
      </c>
      <c r="AH240" s="284" t="n">
        <f aca="false">IFERROR(U240*$G240*$I240, "")</f>
        <v>0</v>
      </c>
      <c r="AI240" s="284" t="n">
        <f aca="false">IFERROR(V240*$G240*$I240, "")</f>
        <v>0</v>
      </c>
      <c r="AJ240" s="284" t="n">
        <f aca="false">IFERROR(W240*$G240*$I240, "")</f>
        <v>0</v>
      </c>
      <c r="AK240" s="286" t="n">
        <f aca="false">IFERROR(SUMIF($Y$4:$AJ$4, "RDEC", Y240:AJ240), "")</f>
        <v>0</v>
      </c>
      <c r="AL240" s="286" t="n">
        <f aca="false">IFERROR(SUMIF($Y$4:$AJ$4, "SME", Y240:AJ240), "")</f>
        <v>0</v>
      </c>
      <c r="AM240" s="286" t="n">
        <f aca="false">IFERROR(SUMIF($Y$4:$AJ$4, "De Minimis", Y240:AJ240), "")</f>
        <v>0</v>
      </c>
      <c r="AN240" s="283"/>
      <c r="AO240" s="284" t="n">
        <f aca="false">IFERROR($G240*$J240*L240, "")</f>
        <v>0</v>
      </c>
      <c r="AP240" s="284" t="n">
        <f aca="false">IFERROR($G240*$J240*M240, "")</f>
        <v>0</v>
      </c>
      <c r="AQ240" s="284" t="n">
        <f aca="false">IFERROR($G240*$J240*N240, "")</f>
        <v>0</v>
      </c>
      <c r="AR240" s="284" t="n">
        <f aca="false">IFERROR($G240*$J240*O240, "")</f>
        <v>0</v>
      </c>
      <c r="AS240" s="284" t="n">
        <f aca="false">IFERROR($G240*$J240*P240, "")</f>
        <v>0</v>
      </c>
      <c r="AT240" s="284" t="n">
        <f aca="false">IFERROR($G240*$J240*Q240, "")</f>
        <v>0</v>
      </c>
      <c r="AU240" s="284" t="n">
        <f aca="false">IFERROR($G240*$J240*R240, "")</f>
        <v>0</v>
      </c>
      <c r="AV240" s="284" t="n">
        <f aca="false">IFERROR($G240*$J240*S240, "")</f>
        <v>0</v>
      </c>
      <c r="AW240" s="284" t="n">
        <f aca="false">IFERROR($G240*$J240*T240, "")</f>
        <v>0</v>
      </c>
      <c r="AX240" s="284" t="n">
        <f aca="false">IFERROR($G240*$J240*U240, "")</f>
        <v>0</v>
      </c>
      <c r="AY240" s="284" t="n">
        <f aca="false">IFERROR($G240*$J240*V240, "")</f>
        <v>0</v>
      </c>
      <c r="AZ240" s="284" t="n">
        <f aca="false">IFERROR($G240*$J240*W240, "")</f>
        <v>0</v>
      </c>
      <c r="BA240" s="286" t="n">
        <f aca="false">IFERROR(SUMIF($AO$4:$AZ$4, "RDEC", AO240:AZ240), "")</f>
        <v>0</v>
      </c>
      <c r="BB240" s="286" t="n">
        <f aca="false">IFERROR(SUMIF($AO$4:$AZ$4, "SME", AO240:AZ240), "")</f>
        <v>0</v>
      </c>
      <c r="BC240" s="286" t="n">
        <f aca="false">IFERROR(SUMIF($Y$4:$AJ$4, "De Minimis", AO240:AZ240), "")</f>
        <v>0</v>
      </c>
      <c r="BD240" s="287"/>
      <c r="BE240" s="288" t="str">
        <f aca="false">IF((SUM(L240:W240)&gt;1),"ERROR","")</f>
        <v/>
      </c>
    </row>
    <row r="241" customFormat="false" ht="15" hidden="false" customHeight="true" outlineLevel="0" collapsed="false">
      <c r="B241" s="333"/>
      <c r="C241" s="334"/>
      <c r="D241" s="333" t="n">
        <f aca="false">D225</f>
        <v>45536</v>
      </c>
      <c r="E241" s="277" t="n">
        <v>0</v>
      </c>
      <c r="F241" s="277" t="n">
        <v>0</v>
      </c>
      <c r="G241" s="277" t="n">
        <f aca="false">SUM(E241:F241)</f>
        <v>0</v>
      </c>
      <c r="H241" s="204"/>
      <c r="I241" s="279" t="n">
        <v>1</v>
      </c>
      <c r="J241" s="280" t="n">
        <f aca="false">1-I241</f>
        <v>0</v>
      </c>
      <c r="K241" s="277"/>
      <c r="L241" s="282"/>
      <c r="M241" s="282"/>
      <c r="N241" s="282"/>
      <c r="O241" s="282"/>
      <c r="P241" s="282"/>
      <c r="Q241" s="282"/>
      <c r="R241" s="282"/>
      <c r="S241" s="282"/>
      <c r="T241" s="282"/>
      <c r="U241" s="282"/>
      <c r="V241" s="282"/>
      <c r="W241" s="282"/>
      <c r="X241" s="283"/>
      <c r="Y241" s="284" t="n">
        <f aca="false">IFERROR(L241*$G241*I$9, "")</f>
        <v>0</v>
      </c>
      <c r="Z241" s="284" t="n">
        <f aca="false">IFERROR(M241*$G241*$I241, "")</f>
        <v>0</v>
      </c>
      <c r="AA241" s="284" t="n">
        <f aca="false">IFERROR(N241*$G241*$I241, "")</f>
        <v>0</v>
      </c>
      <c r="AB241" s="284" t="n">
        <f aca="false">IFERROR(O241*$G241*$I241, "")</f>
        <v>0</v>
      </c>
      <c r="AC241" s="284" t="n">
        <f aca="false">IFERROR(P241*$G241*$I241, "")</f>
        <v>0</v>
      </c>
      <c r="AD241" s="284" t="n">
        <f aca="false">IFERROR(Q241*$G241*$I241, "")</f>
        <v>0</v>
      </c>
      <c r="AE241" s="284" t="n">
        <f aca="false">IFERROR(R241*$G241*$I241, "")</f>
        <v>0</v>
      </c>
      <c r="AF241" s="284" t="n">
        <f aca="false">IFERROR(S241*$G241*$I241, "")</f>
        <v>0</v>
      </c>
      <c r="AG241" s="284" t="n">
        <f aca="false">IFERROR(T241*$G241*$I241, "")</f>
        <v>0</v>
      </c>
      <c r="AH241" s="284" t="n">
        <f aca="false">IFERROR(U241*$G241*$I241, "")</f>
        <v>0</v>
      </c>
      <c r="AI241" s="284" t="n">
        <f aca="false">IFERROR(V241*$G241*$I241, "")</f>
        <v>0</v>
      </c>
      <c r="AJ241" s="284" t="n">
        <f aca="false">IFERROR(W241*$G241*$I241, "")</f>
        <v>0</v>
      </c>
      <c r="AK241" s="286" t="n">
        <f aca="false">IFERROR(SUMIF($Y$4:$AJ$4, "RDEC", Y241:AJ241), "")</f>
        <v>0</v>
      </c>
      <c r="AL241" s="286" t="n">
        <f aca="false">IFERROR(SUMIF($Y$4:$AJ$4, "SME", Y241:AJ241), "")</f>
        <v>0</v>
      </c>
      <c r="AM241" s="286" t="n">
        <f aca="false">IFERROR(SUMIF($Y$4:$AJ$4, "De Minimis", Y241:AJ241), "")</f>
        <v>0</v>
      </c>
      <c r="AN241" s="283"/>
      <c r="AO241" s="284" t="n">
        <f aca="false">IFERROR($G241*$J241*L241, "")</f>
        <v>0</v>
      </c>
      <c r="AP241" s="284" t="n">
        <f aca="false">IFERROR($G241*$J241*M241, "")</f>
        <v>0</v>
      </c>
      <c r="AQ241" s="284" t="n">
        <f aca="false">IFERROR($G241*$J241*N241, "")</f>
        <v>0</v>
      </c>
      <c r="AR241" s="284" t="n">
        <f aca="false">IFERROR($G241*$J241*O241, "")</f>
        <v>0</v>
      </c>
      <c r="AS241" s="284" t="n">
        <f aca="false">IFERROR($G241*$J241*P241, "")</f>
        <v>0</v>
      </c>
      <c r="AT241" s="284" t="n">
        <f aca="false">IFERROR($G241*$J241*Q241, "")</f>
        <v>0</v>
      </c>
      <c r="AU241" s="284" t="n">
        <f aca="false">IFERROR($G241*$J241*R241, "")</f>
        <v>0</v>
      </c>
      <c r="AV241" s="284" t="n">
        <f aca="false">IFERROR($G241*$J241*S241, "")</f>
        <v>0</v>
      </c>
      <c r="AW241" s="284" t="n">
        <f aca="false">IFERROR($G241*$J241*T241, "")</f>
        <v>0</v>
      </c>
      <c r="AX241" s="284" t="n">
        <f aca="false">IFERROR($G241*$J241*U241, "")</f>
        <v>0</v>
      </c>
      <c r="AY241" s="284" t="n">
        <f aca="false">IFERROR($G241*$J241*V241, "")</f>
        <v>0</v>
      </c>
      <c r="AZ241" s="284" t="n">
        <f aca="false">IFERROR($G241*$J241*W241, "")</f>
        <v>0</v>
      </c>
      <c r="BA241" s="286" t="n">
        <f aca="false">IFERROR(SUMIF($AO$4:$AZ$4, "RDEC", AO241:AZ241), "")</f>
        <v>0</v>
      </c>
      <c r="BB241" s="286" t="n">
        <f aca="false">IFERROR(SUMIF($AO$4:$AZ$4, "SME", AO241:AZ241), "")</f>
        <v>0</v>
      </c>
      <c r="BC241" s="286" t="n">
        <f aca="false">IFERROR(SUMIF($Y$4:$AJ$4, "De Minimis", AO241:AZ241), "")</f>
        <v>0</v>
      </c>
      <c r="BD241" s="287"/>
      <c r="BE241" s="288" t="str">
        <f aca="false">IF((SUM(L241:W241)&gt;1),"ERROR","")</f>
        <v/>
      </c>
    </row>
    <row r="242" customFormat="false" ht="15" hidden="false" customHeight="true" outlineLevel="0" collapsed="false">
      <c r="B242" s="333"/>
      <c r="C242" s="334"/>
      <c r="D242" s="333" t="n">
        <f aca="false">D226</f>
        <v>45566</v>
      </c>
      <c r="E242" s="277" t="n">
        <v>0</v>
      </c>
      <c r="F242" s="277" t="n">
        <v>0</v>
      </c>
      <c r="G242" s="277" t="n">
        <f aca="false">SUM(E242:F242)</f>
        <v>0</v>
      </c>
      <c r="H242" s="204"/>
      <c r="I242" s="279" t="n">
        <v>1</v>
      </c>
      <c r="J242" s="280" t="n">
        <f aca="false">1-I242</f>
        <v>0</v>
      </c>
      <c r="K242" s="277"/>
      <c r="L242" s="282"/>
      <c r="M242" s="282"/>
      <c r="N242" s="282"/>
      <c r="O242" s="282"/>
      <c r="P242" s="282"/>
      <c r="Q242" s="282"/>
      <c r="R242" s="282"/>
      <c r="S242" s="282"/>
      <c r="T242" s="282"/>
      <c r="U242" s="282"/>
      <c r="V242" s="282"/>
      <c r="W242" s="282"/>
      <c r="X242" s="283"/>
      <c r="Y242" s="284" t="n">
        <f aca="false">IFERROR(L242*$G242*I$9, "")</f>
        <v>0</v>
      </c>
      <c r="Z242" s="284" t="n">
        <f aca="false">IFERROR(M242*$G242*$I242, "")</f>
        <v>0</v>
      </c>
      <c r="AA242" s="284" t="n">
        <f aca="false">IFERROR(N242*$G242*$I242, "")</f>
        <v>0</v>
      </c>
      <c r="AB242" s="284" t="n">
        <f aca="false">IFERROR(O242*$G242*$I242, "")</f>
        <v>0</v>
      </c>
      <c r="AC242" s="284" t="n">
        <f aca="false">IFERROR(P242*$G242*$I242, "")</f>
        <v>0</v>
      </c>
      <c r="AD242" s="284" t="n">
        <f aca="false">IFERROR(Q242*$G242*$I242, "")</f>
        <v>0</v>
      </c>
      <c r="AE242" s="284" t="n">
        <f aca="false">IFERROR(R242*$G242*$I242, "")</f>
        <v>0</v>
      </c>
      <c r="AF242" s="284" t="n">
        <f aca="false">IFERROR(S242*$G242*$I242, "")</f>
        <v>0</v>
      </c>
      <c r="AG242" s="284" t="n">
        <f aca="false">IFERROR(T242*$G242*$I242, "")</f>
        <v>0</v>
      </c>
      <c r="AH242" s="284" t="n">
        <f aca="false">IFERROR(U242*$G242*$I242, "")</f>
        <v>0</v>
      </c>
      <c r="AI242" s="284" t="n">
        <f aca="false">IFERROR(V242*$G242*$I242, "")</f>
        <v>0</v>
      </c>
      <c r="AJ242" s="284" t="n">
        <f aca="false">IFERROR(W242*$G242*$I242, "")</f>
        <v>0</v>
      </c>
      <c r="AK242" s="286" t="n">
        <f aca="false">IFERROR(SUMIF($Y$4:$AJ$4, "RDEC", Y242:AJ242), "")</f>
        <v>0</v>
      </c>
      <c r="AL242" s="286" t="n">
        <f aca="false">IFERROR(SUMIF($Y$4:$AJ$4, "SME", Y242:AJ242), "")</f>
        <v>0</v>
      </c>
      <c r="AM242" s="286" t="n">
        <f aca="false">IFERROR(SUMIF($Y$4:$AJ$4, "De Minimis", Y242:AJ242), "")</f>
        <v>0</v>
      </c>
      <c r="AN242" s="283"/>
      <c r="AO242" s="284" t="n">
        <f aca="false">IFERROR($G242*$J242*L242, "")</f>
        <v>0</v>
      </c>
      <c r="AP242" s="284" t="n">
        <f aca="false">IFERROR($G242*$J242*M242, "")</f>
        <v>0</v>
      </c>
      <c r="AQ242" s="284" t="n">
        <f aca="false">IFERROR($G242*$J242*N242, "")</f>
        <v>0</v>
      </c>
      <c r="AR242" s="284" t="n">
        <f aca="false">IFERROR($G242*$J242*O242, "")</f>
        <v>0</v>
      </c>
      <c r="AS242" s="284" t="n">
        <f aca="false">IFERROR($G242*$J242*P242, "")</f>
        <v>0</v>
      </c>
      <c r="AT242" s="284" t="n">
        <f aca="false">IFERROR($G242*$J242*Q242, "")</f>
        <v>0</v>
      </c>
      <c r="AU242" s="284" t="n">
        <f aca="false">IFERROR($G242*$J242*R242, "")</f>
        <v>0</v>
      </c>
      <c r="AV242" s="284" t="n">
        <f aca="false">IFERROR($G242*$J242*S242, "")</f>
        <v>0</v>
      </c>
      <c r="AW242" s="284" t="n">
        <f aca="false">IFERROR($G242*$J242*T242, "")</f>
        <v>0</v>
      </c>
      <c r="AX242" s="284" t="n">
        <f aca="false">IFERROR($G242*$J242*U242, "")</f>
        <v>0</v>
      </c>
      <c r="AY242" s="284" t="n">
        <f aca="false">IFERROR($G242*$J242*V242, "")</f>
        <v>0</v>
      </c>
      <c r="AZ242" s="284" t="n">
        <f aca="false">IFERROR($G242*$J242*W242, "")</f>
        <v>0</v>
      </c>
      <c r="BA242" s="286" t="n">
        <f aca="false">IFERROR(SUMIF($AO$4:$AZ$4, "RDEC", AO242:AZ242), "")</f>
        <v>0</v>
      </c>
      <c r="BB242" s="286" t="n">
        <f aca="false">IFERROR(SUMIF($AO$4:$AZ$4, "SME", AO242:AZ242), "")</f>
        <v>0</v>
      </c>
      <c r="BC242" s="286" t="n">
        <f aca="false">IFERROR(SUMIF($Y$4:$AJ$4, "De Minimis", AO242:AZ242), "")</f>
        <v>0</v>
      </c>
      <c r="BD242" s="287"/>
      <c r="BE242" s="288" t="str">
        <f aca="false">IF((SUM(L242:W242)&gt;1),"ERROR","")</f>
        <v/>
      </c>
    </row>
    <row r="243" customFormat="false" ht="15" hidden="false" customHeight="true" outlineLevel="0" collapsed="false">
      <c r="B243" s="333"/>
      <c r="C243" s="334"/>
      <c r="D243" s="333" t="n">
        <f aca="false">D227</f>
        <v>45597</v>
      </c>
      <c r="E243" s="277" t="n">
        <v>0</v>
      </c>
      <c r="F243" s="277" t="n">
        <v>0</v>
      </c>
      <c r="G243" s="277" t="n">
        <f aca="false">SUM(E243:F243)</f>
        <v>0</v>
      </c>
      <c r="H243" s="204"/>
      <c r="I243" s="279" t="n">
        <v>1</v>
      </c>
      <c r="J243" s="280" t="n">
        <f aca="false">1-I243</f>
        <v>0</v>
      </c>
      <c r="K243" s="277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3"/>
      <c r="Y243" s="284" t="n">
        <f aca="false">IFERROR(L243*$G243*I$9, "")</f>
        <v>0</v>
      </c>
      <c r="Z243" s="284" t="n">
        <f aca="false">IFERROR(M243*$G243*$I243, "")</f>
        <v>0</v>
      </c>
      <c r="AA243" s="284" t="n">
        <f aca="false">IFERROR(N243*$G243*$I243, "")</f>
        <v>0</v>
      </c>
      <c r="AB243" s="284" t="n">
        <f aca="false">IFERROR(O243*$G243*$I243, "")</f>
        <v>0</v>
      </c>
      <c r="AC243" s="284" t="n">
        <f aca="false">IFERROR(P243*$G243*$I243, "")</f>
        <v>0</v>
      </c>
      <c r="AD243" s="284" t="n">
        <f aca="false">IFERROR(Q243*$G243*$I243, "")</f>
        <v>0</v>
      </c>
      <c r="AE243" s="284" t="n">
        <f aca="false">IFERROR(R243*$G243*$I243, "")</f>
        <v>0</v>
      </c>
      <c r="AF243" s="284" t="n">
        <f aca="false">IFERROR(S243*$G243*$I243, "")</f>
        <v>0</v>
      </c>
      <c r="AG243" s="284" t="n">
        <f aca="false">IFERROR(T243*$G243*$I243, "")</f>
        <v>0</v>
      </c>
      <c r="AH243" s="284" t="n">
        <f aca="false">IFERROR(U243*$G243*$I243, "")</f>
        <v>0</v>
      </c>
      <c r="AI243" s="284" t="n">
        <f aca="false">IFERROR(V243*$G243*$I243, "")</f>
        <v>0</v>
      </c>
      <c r="AJ243" s="284" t="n">
        <f aca="false">IFERROR(W243*$G243*$I243, "")</f>
        <v>0</v>
      </c>
      <c r="AK243" s="286" t="n">
        <f aca="false">IFERROR(SUMIF($Y$4:$AJ$4, "RDEC", Y243:AJ243), "")</f>
        <v>0</v>
      </c>
      <c r="AL243" s="286" t="n">
        <f aca="false">IFERROR(SUMIF($Y$4:$AJ$4, "SME", Y243:AJ243), "")</f>
        <v>0</v>
      </c>
      <c r="AM243" s="286" t="n">
        <f aca="false">IFERROR(SUMIF($Y$4:$AJ$4, "De Minimis", Y243:AJ243), "")</f>
        <v>0</v>
      </c>
      <c r="AN243" s="283"/>
      <c r="AO243" s="284" t="n">
        <f aca="false">IFERROR($G243*$J243*L243, "")</f>
        <v>0</v>
      </c>
      <c r="AP243" s="284" t="n">
        <f aca="false">IFERROR($G243*$J243*M243, "")</f>
        <v>0</v>
      </c>
      <c r="AQ243" s="284" t="n">
        <f aca="false">IFERROR($G243*$J243*N243, "")</f>
        <v>0</v>
      </c>
      <c r="AR243" s="284" t="n">
        <f aca="false">IFERROR($G243*$J243*O243, "")</f>
        <v>0</v>
      </c>
      <c r="AS243" s="284" t="n">
        <f aca="false">IFERROR($G243*$J243*P243, "")</f>
        <v>0</v>
      </c>
      <c r="AT243" s="284" t="n">
        <f aca="false">IFERROR($G243*$J243*Q243, "")</f>
        <v>0</v>
      </c>
      <c r="AU243" s="284" t="n">
        <f aca="false">IFERROR($G243*$J243*R243, "")</f>
        <v>0</v>
      </c>
      <c r="AV243" s="284" t="n">
        <f aca="false">IFERROR($G243*$J243*S243, "")</f>
        <v>0</v>
      </c>
      <c r="AW243" s="284" t="n">
        <f aca="false">IFERROR($G243*$J243*T243, "")</f>
        <v>0</v>
      </c>
      <c r="AX243" s="284" t="n">
        <f aca="false">IFERROR($G243*$J243*U243, "")</f>
        <v>0</v>
      </c>
      <c r="AY243" s="284" t="n">
        <f aca="false">IFERROR($G243*$J243*V243, "")</f>
        <v>0</v>
      </c>
      <c r="AZ243" s="284" t="n">
        <f aca="false">IFERROR($G243*$J243*W243, "")</f>
        <v>0</v>
      </c>
      <c r="BA243" s="286" t="n">
        <f aca="false">IFERROR(SUMIF($AO$4:$AZ$4, "RDEC", AO243:AZ243), "")</f>
        <v>0</v>
      </c>
      <c r="BB243" s="286" t="n">
        <f aca="false">IFERROR(SUMIF($AO$4:$AZ$4, "SME", AO243:AZ243), "")</f>
        <v>0</v>
      </c>
      <c r="BC243" s="286" t="n">
        <f aca="false">IFERROR(SUMIF($Y$4:$AJ$4, "De Minimis", AO243:AZ243), "")</f>
        <v>0</v>
      </c>
      <c r="BD243" s="287"/>
      <c r="BE243" s="288" t="str">
        <f aca="false">IF((SUM(L243:W243)&gt;1),"ERROR","")</f>
        <v/>
      </c>
    </row>
    <row r="244" customFormat="false" ht="15" hidden="false" customHeight="true" outlineLevel="0" collapsed="false">
      <c r="B244" s="333"/>
      <c r="C244" s="334"/>
      <c r="D244" s="333" t="n">
        <f aca="false">D228</f>
        <v>45627</v>
      </c>
      <c r="E244" s="277" t="n">
        <v>0</v>
      </c>
      <c r="F244" s="277" t="n">
        <v>0</v>
      </c>
      <c r="G244" s="277" t="n">
        <f aca="false">SUM(E244:F244)</f>
        <v>0</v>
      </c>
      <c r="H244" s="300"/>
      <c r="I244" s="289" t="n">
        <v>1</v>
      </c>
      <c r="J244" s="290" t="n">
        <f aca="false">1-I244</f>
        <v>0</v>
      </c>
      <c r="K244" s="300"/>
      <c r="L244" s="291"/>
      <c r="M244" s="291"/>
      <c r="N244" s="291"/>
      <c r="O244" s="291"/>
      <c r="P244" s="291"/>
      <c r="Q244" s="291"/>
      <c r="R244" s="291"/>
      <c r="S244" s="291"/>
      <c r="T244" s="291"/>
      <c r="U244" s="291"/>
      <c r="V244" s="291"/>
      <c r="W244" s="291"/>
      <c r="X244" s="283"/>
      <c r="Y244" s="284" t="n">
        <f aca="false">IFERROR(L244*$G244*I$9, "")</f>
        <v>0</v>
      </c>
      <c r="Z244" s="284" t="n">
        <f aca="false">IFERROR(M244*$G244*$I244, "")</f>
        <v>0</v>
      </c>
      <c r="AA244" s="284" t="n">
        <f aca="false">IFERROR(N244*$G244*$I244, "")</f>
        <v>0</v>
      </c>
      <c r="AB244" s="284" t="n">
        <f aca="false">IFERROR(O244*$G244*$I244, "")</f>
        <v>0</v>
      </c>
      <c r="AC244" s="284" t="n">
        <f aca="false">IFERROR(P244*$G244*$I244, "")</f>
        <v>0</v>
      </c>
      <c r="AD244" s="284" t="n">
        <f aca="false">IFERROR(Q244*$G244*$I244, "")</f>
        <v>0</v>
      </c>
      <c r="AE244" s="284" t="n">
        <f aca="false">IFERROR(R244*$G244*$I244, "")</f>
        <v>0</v>
      </c>
      <c r="AF244" s="284" t="n">
        <f aca="false">IFERROR(S244*$G244*$I244, "")</f>
        <v>0</v>
      </c>
      <c r="AG244" s="284" t="n">
        <f aca="false">IFERROR(T244*$G244*$I244, "")</f>
        <v>0</v>
      </c>
      <c r="AH244" s="284" t="n">
        <f aca="false">IFERROR(U244*$G244*$I244, "")</f>
        <v>0</v>
      </c>
      <c r="AI244" s="284" t="n">
        <f aca="false">IFERROR(V244*$G244*$I244, "")</f>
        <v>0</v>
      </c>
      <c r="AJ244" s="284" t="n">
        <f aca="false">IFERROR(W244*$G244*$I244, "")</f>
        <v>0</v>
      </c>
      <c r="AK244" s="294" t="n">
        <f aca="false">IFERROR(SUMIF($Y$4:$AJ$4, "RDEC", Y244:AJ244), "")</f>
        <v>0</v>
      </c>
      <c r="AL244" s="294" t="n">
        <f aca="false">IFERROR(SUMIF($Y$4:$AJ$4, "SME", Y244:AJ244), "")</f>
        <v>0</v>
      </c>
      <c r="AM244" s="294" t="n">
        <f aca="false">IFERROR(SUMIF($Y$4:$AJ$4, "De Minimis", Y244:AJ244), "")</f>
        <v>0</v>
      </c>
      <c r="AN244" s="283"/>
      <c r="AO244" s="284" t="n">
        <f aca="false">IFERROR($G244*$J244*L244, "")</f>
        <v>0</v>
      </c>
      <c r="AP244" s="284" t="n">
        <f aca="false">IFERROR($G244*$J244*M244, "")</f>
        <v>0</v>
      </c>
      <c r="AQ244" s="284" t="n">
        <f aca="false">IFERROR($G244*$J244*N244, "")</f>
        <v>0</v>
      </c>
      <c r="AR244" s="284" t="n">
        <f aca="false">IFERROR($G244*$J244*O244, "")</f>
        <v>0</v>
      </c>
      <c r="AS244" s="284" t="n">
        <f aca="false">IFERROR($G244*$J244*P244, "")</f>
        <v>0</v>
      </c>
      <c r="AT244" s="284" t="n">
        <f aca="false">IFERROR($G244*$J244*Q244, "")</f>
        <v>0</v>
      </c>
      <c r="AU244" s="284" t="n">
        <f aca="false">IFERROR($G244*$J244*R244, "")</f>
        <v>0</v>
      </c>
      <c r="AV244" s="284" t="n">
        <f aca="false">IFERROR($G244*$J244*S244, "")</f>
        <v>0</v>
      </c>
      <c r="AW244" s="284" t="n">
        <f aca="false">IFERROR($G244*$J244*T244, "")</f>
        <v>0</v>
      </c>
      <c r="AX244" s="284" t="n">
        <f aca="false">IFERROR($G244*$J244*U244, "")</f>
        <v>0</v>
      </c>
      <c r="AY244" s="284" t="n">
        <f aca="false">IFERROR($G244*$J244*V244, "")</f>
        <v>0</v>
      </c>
      <c r="AZ244" s="284" t="n">
        <f aca="false">IFERROR($G244*$J244*W244, "")</f>
        <v>0</v>
      </c>
      <c r="BA244" s="286" t="n">
        <f aca="false">IFERROR(SUMIF($AO$4:$AZ$4, "RDEC", AO244:AZ244), "")</f>
        <v>0</v>
      </c>
      <c r="BB244" s="286" t="n">
        <f aca="false">IFERROR(SUMIF($AO$4:$AZ$4, "SME", AO244:AZ244), "")</f>
        <v>0</v>
      </c>
      <c r="BC244" s="294" t="n">
        <f aca="false">IFERROR(SUMIF($Y$4:$AJ$4, "De Minimis", AO244:AZ244), "")</f>
        <v>0</v>
      </c>
      <c r="BD244" s="303"/>
      <c r="BE244" s="295" t="str">
        <f aca="false">IF((SUM(L244:W244)&gt;1),"ERROR","")</f>
        <v/>
      </c>
    </row>
    <row r="245" customFormat="false" ht="15" hidden="false" customHeight="true" outlineLevel="0" collapsed="false">
      <c r="B245" s="296"/>
      <c r="D245" s="297" t="s">
        <v>82</v>
      </c>
      <c r="E245" s="299" t="n">
        <f aca="false">SUM(E233:E244)</f>
        <v>0</v>
      </c>
      <c r="F245" s="299" t="n">
        <f aca="false">SUM(F233:F244)</f>
        <v>0</v>
      </c>
      <c r="G245" s="299" t="n">
        <f aca="false">SUM(G233:G244)</f>
        <v>0</v>
      </c>
      <c r="H245" s="300"/>
      <c r="I245" s="301" t="n">
        <f aca="false">AVERAGE(I233:I244)</f>
        <v>1</v>
      </c>
      <c r="J245" s="301" t="n">
        <f aca="false">AVERAGE(J233:J244)</f>
        <v>0</v>
      </c>
      <c r="K245" s="300"/>
      <c r="L245" s="290" t="n">
        <f aca="false">IF(SUM(L233:L244)&gt;0,(Y245/G245),0)</f>
        <v>0</v>
      </c>
      <c r="M245" s="301" t="n">
        <f aca="false">IF(SUM(M233:M244)&gt;0,(Z245/G245),0)</f>
        <v>0</v>
      </c>
      <c r="N245" s="301" t="n">
        <f aca="false">IF(SUM(N233:N244)&gt;0,(AA245/G245),0)</f>
        <v>0</v>
      </c>
      <c r="O245" s="301" t="n">
        <f aca="false">IF(SUM(O233:O244)&gt;0,(AB245/G245),0)</f>
        <v>0</v>
      </c>
      <c r="P245" s="301" t="n">
        <f aca="false">IF(SUM(P233:P244)&gt;0,(AC245/G245),0)</f>
        <v>0</v>
      </c>
      <c r="Q245" s="301" t="n">
        <f aca="false">IF(SUM(Q233:Q244)&gt;0,(AD245/G245),0)</f>
        <v>0</v>
      </c>
      <c r="R245" s="301" t="n">
        <f aca="false">IF(SUM(R233:R244)&gt;0,(AE245/G245),0)</f>
        <v>0</v>
      </c>
      <c r="S245" s="301" t="n">
        <f aca="false">IF(SUM(S233:S244)&gt;0,(AF245/G245),0)</f>
        <v>0</v>
      </c>
      <c r="T245" s="301" t="n">
        <f aca="false">IF(SUM(T233:T244)&gt;0,(AG245/G245),0)</f>
        <v>0</v>
      </c>
      <c r="U245" s="301" t="n">
        <f aca="false">IF(SUM(U233:U244)&gt;0,(AJ245/G245),0)</f>
        <v>0</v>
      </c>
      <c r="V245" s="301" t="n">
        <f aca="false">IF(SUM(V233:V244)&gt;0,(AI245/G245),0)</f>
        <v>0</v>
      </c>
      <c r="W245" s="301" t="n">
        <f aca="false">IF(SUM(W233:W244)&gt;0,(AJ245/G245),0)</f>
        <v>0</v>
      </c>
      <c r="X245" s="283"/>
      <c r="Y245" s="304" t="n">
        <f aca="false">SUM(Y233:Y244)</f>
        <v>0</v>
      </c>
      <c r="Z245" s="304" t="n">
        <f aca="false">SUM(Z233:Z244)</f>
        <v>0</v>
      </c>
      <c r="AA245" s="304" t="n">
        <f aca="false">SUM(AA233:AA244)</f>
        <v>0</v>
      </c>
      <c r="AB245" s="304" t="n">
        <f aca="false">SUM(AB233:AB244)</f>
        <v>0</v>
      </c>
      <c r="AC245" s="304" t="n">
        <f aca="false">SUM(AC233:AC244)</f>
        <v>0</v>
      </c>
      <c r="AD245" s="304" t="n">
        <f aca="false">SUM(AD233:AD244)</f>
        <v>0</v>
      </c>
      <c r="AE245" s="304" t="n">
        <f aca="false">SUM(AE233:AE244)</f>
        <v>0</v>
      </c>
      <c r="AF245" s="304" t="n">
        <f aca="false">SUM(AF233:AF244)</f>
        <v>0</v>
      </c>
      <c r="AG245" s="304" t="n">
        <f aca="false">SUM(AG233:AG244)</f>
        <v>0</v>
      </c>
      <c r="AH245" s="304" t="n">
        <f aca="false">SUM(AH233:AH244)</f>
        <v>0</v>
      </c>
      <c r="AI245" s="304" t="n">
        <f aca="false">SUM(AI233:AI244)</f>
        <v>0</v>
      </c>
      <c r="AJ245" s="304" t="n">
        <f aca="false">SUM(AJ233:AJ244)</f>
        <v>0</v>
      </c>
      <c r="AK245" s="335" t="n">
        <f aca="false">SUM(AK233:AK244)</f>
        <v>0</v>
      </c>
      <c r="AL245" s="336" t="n">
        <f aca="false">SUM(AL233:AL244)</f>
        <v>0</v>
      </c>
      <c r="AM245" s="305" t="n">
        <f aca="false">SUM(AM233:AM244)</f>
        <v>0</v>
      </c>
      <c r="AN245" s="283"/>
      <c r="AO245" s="304" t="n">
        <f aca="false">SUM(AO233:AO244)</f>
        <v>0</v>
      </c>
      <c r="AP245" s="304" t="n">
        <f aca="false">SUM(AP233:AP244)</f>
        <v>0</v>
      </c>
      <c r="AQ245" s="304" t="n">
        <f aca="false">SUM(AQ233:AQ244)</f>
        <v>0</v>
      </c>
      <c r="AR245" s="304" t="n">
        <f aca="false">SUM(AR233:AR244)</f>
        <v>0</v>
      </c>
      <c r="AS245" s="304" t="n">
        <f aca="false">SUM(AS233:AS244)</f>
        <v>0</v>
      </c>
      <c r="AT245" s="304" t="n">
        <f aca="false">SUM(AT233:AT244)</f>
        <v>0</v>
      </c>
      <c r="AU245" s="304" t="n">
        <f aca="false">SUM(AU233:AU244)</f>
        <v>0</v>
      </c>
      <c r="AV245" s="304" t="n">
        <f aca="false">SUM(AV233:AV244)</f>
        <v>0</v>
      </c>
      <c r="AW245" s="304" t="n">
        <f aca="false">SUM(AW233:AW244)</f>
        <v>0</v>
      </c>
      <c r="AX245" s="304" t="n">
        <f aca="false">SUM(AX233:AX244)</f>
        <v>0</v>
      </c>
      <c r="AY245" s="304" t="n">
        <f aca="false">SUM(AY233:AY244)</f>
        <v>0</v>
      </c>
      <c r="AZ245" s="304" t="n">
        <f aca="false">SUM(AZ233:AZ244)</f>
        <v>0</v>
      </c>
      <c r="BA245" s="336" t="n">
        <f aca="false">SUM(BA233:BA244)</f>
        <v>0</v>
      </c>
      <c r="BB245" s="336" t="n">
        <f aca="false">SUM(BB233:BB244)</f>
        <v>0</v>
      </c>
      <c r="BC245" s="305" t="n">
        <f aca="false">SUM(BC233:BC244)</f>
        <v>0</v>
      </c>
      <c r="BD245" s="303"/>
      <c r="BE245" s="337"/>
    </row>
    <row r="246" customFormat="false" ht="15" hidden="false" customHeight="true" outlineLevel="0" collapsed="false">
      <c r="B246" s="296"/>
      <c r="D246" s="297"/>
      <c r="E246" s="300"/>
      <c r="F246" s="300"/>
      <c r="G246" s="300"/>
      <c r="H246" s="241"/>
      <c r="I246" s="302"/>
      <c r="J246" s="302"/>
      <c r="K246" s="241"/>
      <c r="L246" s="259"/>
      <c r="M246" s="259"/>
      <c r="N246" s="259"/>
      <c r="O246" s="259"/>
      <c r="P246" s="259"/>
      <c r="Q246" s="259"/>
      <c r="R246" s="259"/>
      <c r="S246" s="259"/>
      <c r="T246" s="259"/>
      <c r="U246" s="259"/>
      <c r="V246" s="259"/>
      <c r="W246" s="259"/>
      <c r="X246" s="303"/>
      <c r="Y246" s="259"/>
      <c r="Z246" s="303"/>
      <c r="AA246" s="303"/>
      <c r="AB246" s="303"/>
      <c r="AC246" s="303"/>
      <c r="AD246" s="303"/>
      <c r="AE246" s="303"/>
      <c r="AF246" s="303"/>
      <c r="AG246" s="303"/>
      <c r="AH246" s="303"/>
      <c r="AI246" s="303"/>
      <c r="AJ246" s="303"/>
      <c r="AK246" s="303"/>
      <c r="AL246" s="303"/>
      <c r="AM246" s="303"/>
      <c r="AN246" s="303"/>
      <c r="AO246" s="259"/>
      <c r="AP246" s="303"/>
      <c r="AQ246" s="303"/>
      <c r="AR246" s="303"/>
      <c r="AS246" s="303"/>
      <c r="AT246" s="303"/>
      <c r="AU246" s="303"/>
      <c r="AV246" s="303"/>
      <c r="AW246" s="303"/>
      <c r="AX246" s="303"/>
      <c r="AY246" s="303"/>
      <c r="AZ246" s="303"/>
      <c r="BA246" s="303"/>
      <c r="BB246" s="303"/>
      <c r="BC246" s="303"/>
      <c r="BD246" s="268"/>
      <c r="BE246" s="303"/>
    </row>
    <row r="247" customFormat="false" ht="15" hidden="false" customHeight="true" outlineLevel="0" collapsed="false">
      <c r="A247" s="198" t="n">
        <f aca="false">A231+1</f>
        <v>16</v>
      </c>
      <c r="B247" s="266" t="s">
        <v>253</v>
      </c>
      <c r="C247" s="266" t="s">
        <v>253</v>
      </c>
      <c r="D247" s="266"/>
      <c r="E247" s="241"/>
      <c r="F247" s="241"/>
      <c r="G247" s="241"/>
      <c r="H247" s="241"/>
      <c r="I247" s="241"/>
      <c r="J247" s="241"/>
      <c r="K247" s="277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59"/>
      <c r="Y247" s="268"/>
      <c r="Z247" s="268"/>
      <c r="AA247" s="268"/>
      <c r="AB247" s="268"/>
      <c r="AC247" s="268"/>
      <c r="AD247" s="268"/>
      <c r="AE247" s="268"/>
      <c r="AF247" s="268"/>
      <c r="AG247" s="268"/>
      <c r="AH247" s="268"/>
      <c r="AI247" s="268"/>
      <c r="AJ247" s="268"/>
      <c r="AK247" s="268"/>
      <c r="AL247" s="268"/>
      <c r="AM247" s="268"/>
      <c r="AN247" s="259"/>
      <c r="AO247" s="268"/>
      <c r="AP247" s="268"/>
      <c r="AQ247" s="268"/>
      <c r="AR247" s="268"/>
      <c r="AS247" s="268"/>
      <c r="AT247" s="268"/>
      <c r="AU247" s="268"/>
      <c r="AV247" s="268"/>
      <c r="AW247" s="268"/>
      <c r="AX247" s="268"/>
      <c r="AY247" s="268"/>
      <c r="AZ247" s="268"/>
      <c r="BA247" s="268"/>
      <c r="BB247" s="268"/>
      <c r="BC247" s="268"/>
      <c r="BD247" s="287"/>
      <c r="BE247" s="268"/>
    </row>
    <row r="248" customFormat="false" ht="7.5" hidden="false" customHeight="true" outlineLevel="0" collapsed="false">
      <c r="A248" s="198"/>
      <c r="B248" s="266"/>
      <c r="C248" s="266"/>
      <c r="D248" s="266"/>
      <c r="E248" s="241"/>
      <c r="F248" s="241"/>
      <c r="G248" s="241"/>
      <c r="H248" s="204"/>
      <c r="I248" s="269"/>
      <c r="J248" s="269"/>
      <c r="K248" s="277"/>
      <c r="L248" s="269"/>
      <c r="M248" s="269"/>
      <c r="N248" s="269"/>
      <c r="O248" s="269"/>
      <c r="P248" s="269"/>
      <c r="Q248" s="269"/>
      <c r="R248" s="269"/>
      <c r="S248" s="269"/>
      <c r="T248" s="269"/>
      <c r="U248" s="269"/>
      <c r="V248" s="269"/>
      <c r="W248" s="269"/>
      <c r="X248" s="259"/>
      <c r="Y248" s="271"/>
      <c r="Z248" s="271"/>
      <c r="AA248" s="271"/>
      <c r="AB248" s="271"/>
      <c r="AC248" s="271"/>
      <c r="AD248" s="271"/>
      <c r="AE248" s="271"/>
      <c r="AF248" s="271"/>
      <c r="AG248" s="271"/>
      <c r="AH248" s="271"/>
      <c r="AI248" s="271"/>
      <c r="AJ248" s="272"/>
      <c r="AK248" s="273"/>
      <c r="AL248" s="273"/>
      <c r="AM248" s="273"/>
      <c r="AN248" s="259"/>
      <c r="AO248" s="271"/>
      <c r="AP248" s="271"/>
      <c r="AQ248" s="271"/>
      <c r="AR248" s="271"/>
      <c r="AS248" s="271"/>
      <c r="AT248" s="271"/>
      <c r="AU248" s="271"/>
      <c r="AV248" s="271"/>
      <c r="AW248" s="271"/>
      <c r="AX248" s="271"/>
      <c r="AY248" s="271"/>
      <c r="AZ248" s="272"/>
      <c r="BA248" s="273"/>
      <c r="BB248" s="273"/>
      <c r="BC248" s="273"/>
      <c r="BD248" s="287"/>
      <c r="BE248" s="274"/>
    </row>
    <row r="249" customFormat="false" ht="15" hidden="false" customHeight="true" outlineLevel="0" collapsed="false">
      <c r="B249" s="333"/>
      <c r="C249" s="334"/>
      <c r="D249" s="333" t="n">
        <f aca="false">D233</f>
        <v>45292</v>
      </c>
      <c r="E249" s="277" t="n">
        <v>0</v>
      </c>
      <c r="F249" s="277" t="n">
        <v>0</v>
      </c>
      <c r="G249" s="277" t="n">
        <f aca="false">SUM(E249:F249)</f>
        <v>0</v>
      </c>
      <c r="H249" s="204"/>
      <c r="I249" s="279" t="n">
        <v>1</v>
      </c>
      <c r="J249" s="280" t="n">
        <f aca="false">1-I249</f>
        <v>0</v>
      </c>
      <c r="K249" s="277"/>
      <c r="L249" s="282"/>
      <c r="M249" s="282"/>
      <c r="N249" s="282"/>
      <c r="O249" s="282"/>
      <c r="P249" s="282"/>
      <c r="Q249" s="282"/>
      <c r="R249" s="282"/>
      <c r="S249" s="282"/>
      <c r="T249" s="282"/>
      <c r="U249" s="282"/>
      <c r="V249" s="282"/>
      <c r="W249" s="282"/>
      <c r="X249" s="268"/>
      <c r="Y249" s="284" t="n">
        <f aca="false">IFERROR(L249*$G249*I$9, "")</f>
        <v>0</v>
      </c>
      <c r="Z249" s="284" t="n">
        <f aca="false">IFERROR(M249*$G249*$I249, "")</f>
        <v>0</v>
      </c>
      <c r="AA249" s="284" t="n">
        <f aca="false">IFERROR(N249*$G249*$I249, "")</f>
        <v>0</v>
      </c>
      <c r="AB249" s="284" t="n">
        <f aca="false">IFERROR(O249*$G249*$I249, "")</f>
        <v>0</v>
      </c>
      <c r="AC249" s="284" t="n">
        <f aca="false">IFERROR(P249*$G249*$I249, "")</f>
        <v>0</v>
      </c>
      <c r="AD249" s="284" t="n">
        <f aca="false">IFERROR(Q249*$G249*$I249, "")</f>
        <v>0</v>
      </c>
      <c r="AE249" s="284" t="n">
        <f aca="false">IFERROR(R249*$G249*$I249, "")</f>
        <v>0</v>
      </c>
      <c r="AF249" s="284" t="n">
        <f aca="false">IFERROR(S249*$G249*$I249, "")</f>
        <v>0</v>
      </c>
      <c r="AG249" s="284" t="n">
        <f aca="false">IFERROR(T249*$G249*$I249, "")</f>
        <v>0</v>
      </c>
      <c r="AH249" s="284" t="n">
        <f aca="false">IFERROR(U249*$G249*$I249, "")</f>
        <v>0</v>
      </c>
      <c r="AI249" s="284" t="n">
        <f aca="false">IFERROR(V249*$G249*$I249, "")</f>
        <v>0</v>
      </c>
      <c r="AJ249" s="284" t="n">
        <f aca="false">IFERROR(W249*$G249*$I249, "")</f>
        <v>0</v>
      </c>
      <c r="AK249" s="286" t="n">
        <f aca="false">IFERROR(SUMIF($Y$4:$AJ$4, "RDEC", Y249:AJ249), "")</f>
        <v>0</v>
      </c>
      <c r="AL249" s="286" t="n">
        <f aca="false">IFERROR(SUMIF($Y$4:$AJ$4, "SME", Y249:AJ249), "")</f>
        <v>0</v>
      </c>
      <c r="AM249" s="286" t="n">
        <f aca="false">IFERROR(SUMIF($Y$4:$AJ$4, "De Minimis", Y249:AJ249), "")</f>
        <v>0</v>
      </c>
      <c r="AN249" s="268"/>
      <c r="AO249" s="284" t="n">
        <f aca="false">IFERROR($G249*$J249*L249, "")</f>
        <v>0</v>
      </c>
      <c r="AP249" s="284" t="n">
        <f aca="false">IFERROR($G249*$J249*M249, "")</f>
        <v>0</v>
      </c>
      <c r="AQ249" s="284" t="n">
        <f aca="false">IFERROR($G249*$J249*N249, "")</f>
        <v>0</v>
      </c>
      <c r="AR249" s="284" t="n">
        <f aca="false">IFERROR($G249*$J249*O249, "")</f>
        <v>0</v>
      </c>
      <c r="AS249" s="284" t="n">
        <f aca="false">IFERROR($G249*$J249*P249, "")</f>
        <v>0</v>
      </c>
      <c r="AT249" s="284" t="n">
        <f aca="false">IFERROR($G249*$J249*Q249, "")</f>
        <v>0</v>
      </c>
      <c r="AU249" s="284" t="n">
        <f aca="false">IFERROR($G249*$J249*R249, "")</f>
        <v>0</v>
      </c>
      <c r="AV249" s="284" t="n">
        <f aca="false">IFERROR($G249*$J249*S249, "")</f>
        <v>0</v>
      </c>
      <c r="AW249" s="284" t="n">
        <f aca="false">IFERROR($G249*$J249*T249, "")</f>
        <v>0</v>
      </c>
      <c r="AX249" s="284" t="n">
        <f aca="false">IFERROR($G249*$J249*U249, "")</f>
        <v>0</v>
      </c>
      <c r="AY249" s="284" t="n">
        <f aca="false">IFERROR($G249*$J249*V249, "")</f>
        <v>0</v>
      </c>
      <c r="AZ249" s="284" t="n">
        <f aca="false">IFERROR($G249*$J249*W249, "")</f>
        <v>0</v>
      </c>
      <c r="BA249" s="286" t="n">
        <f aca="false">IFERROR(SUMIF($AO$4:$AZ$4, "RDEC", AO249:AZ249), "")</f>
        <v>0</v>
      </c>
      <c r="BB249" s="286" t="n">
        <f aca="false">IFERROR(SUMIF($AO$4:$AZ$4, "SME", AO249:AZ249), "")</f>
        <v>0</v>
      </c>
      <c r="BC249" s="286" t="n">
        <f aca="false">IFERROR(SUMIF($AO$4:$AZ$4, "De Minimis", AO249:AZ249), "")</f>
        <v>0</v>
      </c>
      <c r="BD249" s="287"/>
      <c r="BE249" s="288" t="str">
        <f aca="false">IF((SUM(L249:W249)&gt;1),"ERROR","")</f>
        <v/>
      </c>
    </row>
    <row r="250" customFormat="false" ht="15" hidden="false" customHeight="true" outlineLevel="0" collapsed="false">
      <c r="B250" s="333"/>
      <c r="C250" s="334"/>
      <c r="D250" s="333" t="n">
        <f aca="false">D234</f>
        <v>45323</v>
      </c>
      <c r="E250" s="277" t="n">
        <v>0</v>
      </c>
      <c r="F250" s="277" t="n">
        <v>0</v>
      </c>
      <c r="G250" s="277" t="n">
        <f aca="false">SUM(E250:F250)</f>
        <v>0</v>
      </c>
      <c r="H250" s="204"/>
      <c r="I250" s="279" t="n">
        <v>1</v>
      </c>
      <c r="J250" s="280" t="n">
        <f aca="false">1-I250</f>
        <v>0</v>
      </c>
      <c r="K250" s="277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3"/>
      <c r="Y250" s="284" t="n">
        <f aca="false">IFERROR(L250*$G250*I$9, "")</f>
        <v>0</v>
      </c>
      <c r="Z250" s="284" t="n">
        <f aca="false">IFERROR(M250*$G250*$I250, "")</f>
        <v>0</v>
      </c>
      <c r="AA250" s="284" t="n">
        <f aca="false">IFERROR(N250*$G250*$I250, "")</f>
        <v>0</v>
      </c>
      <c r="AB250" s="284" t="n">
        <f aca="false">IFERROR(O250*$G250*$I250, "")</f>
        <v>0</v>
      </c>
      <c r="AC250" s="284" t="n">
        <f aca="false">IFERROR(P250*$G250*$I250, "")</f>
        <v>0</v>
      </c>
      <c r="AD250" s="284" t="n">
        <f aca="false">IFERROR(Q250*$G250*$I250, "")</f>
        <v>0</v>
      </c>
      <c r="AE250" s="284" t="n">
        <f aca="false">IFERROR(R250*$G250*$I250, "")</f>
        <v>0</v>
      </c>
      <c r="AF250" s="284" t="n">
        <f aca="false">IFERROR(S250*$G250*$I250, "")</f>
        <v>0</v>
      </c>
      <c r="AG250" s="284" t="n">
        <f aca="false">IFERROR(T250*$G250*$I250, "")</f>
        <v>0</v>
      </c>
      <c r="AH250" s="284" t="n">
        <f aca="false">IFERROR(U250*$G250*$I250, "")</f>
        <v>0</v>
      </c>
      <c r="AI250" s="284" t="n">
        <f aca="false">IFERROR(V250*$G250*$I250, "")</f>
        <v>0</v>
      </c>
      <c r="AJ250" s="284" t="n">
        <f aca="false">IFERROR(W250*$G250*$I250, "")</f>
        <v>0</v>
      </c>
      <c r="AK250" s="286" t="n">
        <f aca="false">IFERROR(SUMIF($Y$4:$AJ$4, "RDEC", Y250:AJ250), "")</f>
        <v>0</v>
      </c>
      <c r="AL250" s="286" t="n">
        <f aca="false">IFERROR(SUMIF($Y$4:$AJ$4, "SME", Y250:AJ250), "")</f>
        <v>0</v>
      </c>
      <c r="AM250" s="286" t="n">
        <f aca="false">IFERROR(SUMIF($Y$4:$AJ$4, "De Minimis", Y250:AJ250), "")</f>
        <v>0</v>
      </c>
      <c r="AN250" s="283"/>
      <c r="AO250" s="284" t="n">
        <f aca="false">IFERROR($G250*$J250*L250, "")</f>
        <v>0</v>
      </c>
      <c r="AP250" s="284" t="n">
        <f aca="false">IFERROR($G250*$J250*M250, "")</f>
        <v>0</v>
      </c>
      <c r="AQ250" s="284" t="n">
        <f aca="false">IFERROR($G250*$J250*N250, "")</f>
        <v>0</v>
      </c>
      <c r="AR250" s="284" t="n">
        <f aca="false">IFERROR($G250*$J250*O250, "")</f>
        <v>0</v>
      </c>
      <c r="AS250" s="284" t="n">
        <f aca="false">IFERROR($G250*$J250*P250, "")</f>
        <v>0</v>
      </c>
      <c r="AT250" s="284" t="n">
        <f aca="false">IFERROR($G250*$J250*Q250, "")</f>
        <v>0</v>
      </c>
      <c r="AU250" s="284" t="n">
        <f aca="false">IFERROR($G250*$J250*R250, "")</f>
        <v>0</v>
      </c>
      <c r="AV250" s="284" t="n">
        <f aca="false">IFERROR($G250*$J250*S250, "")</f>
        <v>0</v>
      </c>
      <c r="AW250" s="284" t="n">
        <f aca="false">IFERROR($G250*$J250*T250, "")</f>
        <v>0</v>
      </c>
      <c r="AX250" s="284" t="n">
        <f aca="false">IFERROR($G250*$J250*U250, "")</f>
        <v>0</v>
      </c>
      <c r="AY250" s="284" t="n">
        <f aca="false">IFERROR($G250*$J250*V250, "")</f>
        <v>0</v>
      </c>
      <c r="AZ250" s="284" t="n">
        <f aca="false">IFERROR($G250*$J250*W250, "")</f>
        <v>0</v>
      </c>
      <c r="BA250" s="286" t="n">
        <f aca="false">IFERROR(SUMIF($AO$4:$AZ$4, "RDEC", AO250:AZ250), "")</f>
        <v>0</v>
      </c>
      <c r="BB250" s="286" t="n">
        <f aca="false">IFERROR(SUMIF($AO$4:$AZ$4, "SME", AO250:AZ250), "")</f>
        <v>0</v>
      </c>
      <c r="BC250" s="286" t="n">
        <f aca="false">IFERROR(SUMIF($Y$4:$AJ$4, "De Minimis", AO250:AZ250), "")</f>
        <v>0</v>
      </c>
      <c r="BD250" s="287"/>
      <c r="BE250" s="288" t="str">
        <f aca="false">IF((SUM(L250:W250)&gt;1),"ERROR","")</f>
        <v/>
      </c>
    </row>
    <row r="251" customFormat="false" ht="15" hidden="false" customHeight="true" outlineLevel="0" collapsed="false">
      <c r="B251" s="333"/>
      <c r="C251" s="334"/>
      <c r="D251" s="333" t="n">
        <f aca="false">D235</f>
        <v>45352</v>
      </c>
      <c r="E251" s="277" t="n">
        <v>0</v>
      </c>
      <c r="F251" s="277" t="n">
        <v>0</v>
      </c>
      <c r="G251" s="277" t="n">
        <f aca="false">SUM(E251:F251)</f>
        <v>0</v>
      </c>
      <c r="H251" s="204"/>
      <c r="I251" s="279" t="n">
        <v>1</v>
      </c>
      <c r="J251" s="280" t="n">
        <f aca="false">1-I251</f>
        <v>0</v>
      </c>
      <c r="K251" s="277"/>
      <c r="L251" s="282"/>
      <c r="M251" s="282"/>
      <c r="N251" s="282"/>
      <c r="O251" s="282"/>
      <c r="P251" s="282"/>
      <c r="Q251" s="282"/>
      <c r="R251" s="282"/>
      <c r="S251" s="282"/>
      <c r="T251" s="282"/>
      <c r="U251" s="282"/>
      <c r="V251" s="282"/>
      <c r="W251" s="282"/>
      <c r="X251" s="283"/>
      <c r="Y251" s="284" t="n">
        <f aca="false">IFERROR(L251*$G251*I$9, "")</f>
        <v>0</v>
      </c>
      <c r="Z251" s="284" t="n">
        <f aca="false">IFERROR(M251*$G251*$I251, "")</f>
        <v>0</v>
      </c>
      <c r="AA251" s="284" t="n">
        <f aca="false">IFERROR(N251*$G251*$I251, "")</f>
        <v>0</v>
      </c>
      <c r="AB251" s="284" t="n">
        <f aca="false">IFERROR(O251*$G251*$I251, "")</f>
        <v>0</v>
      </c>
      <c r="AC251" s="284" t="n">
        <f aca="false">IFERROR(P251*$G251*$I251, "")</f>
        <v>0</v>
      </c>
      <c r="AD251" s="284" t="n">
        <f aca="false">IFERROR(Q251*$G251*$I251, "")</f>
        <v>0</v>
      </c>
      <c r="AE251" s="284" t="n">
        <f aca="false">IFERROR(R251*$G251*$I251, "")</f>
        <v>0</v>
      </c>
      <c r="AF251" s="284" t="n">
        <f aca="false">IFERROR(S251*$G251*$I251, "")</f>
        <v>0</v>
      </c>
      <c r="AG251" s="284" t="n">
        <f aca="false">IFERROR(T251*$G251*$I251, "")</f>
        <v>0</v>
      </c>
      <c r="AH251" s="284" t="n">
        <f aca="false">IFERROR(U251*$G251*$I251, "")</f>
        <v>0</v>
      </c>
      <c r="AI251" s="284" t="n">
        <f aca="false">IFERROR(V251*$G251*$I251, "")</f>
        <v>0</v>
      </c>
      <c r="AJ251" s="284" t="n">
        <f aca="false">IFERROR(W251*$G251*$I251, "")</f>
        <v>0</v>
      </c>
      <c r="AK251" s="286" t="n">
        <f aca="false">IFERROR(SUMIF($Y$4:$AJ$4, "RDEC", Y251:AJ251), "")</f>
        <v>0</v>
      </c>
      <c r="AL251" s="286" t="n">
        <f aca="false">IFERROR(SUMIF($Y$4:$AJ$4, "SME", Y251:AJ251), "")</f>
        <v>0</v>
      </c>
      <c r="AM251" s="286" t="n">
        <f aca="false">IFERROR(SUMIF($Y$4:$AJ$4, "De Minimis", Y251:AJ251), "")</f>
        <v>0</v>
      </c>
      <c r="AN251" s="283"/>
      <c r="AO251" s="284" t="n">
        <f aca="false">IFERROR($G251*$J251*L251, "")</f>
        <v>0</v>
      </c>
      <c r="AP251" s="284" t="n">
        <f aca="false">IFERROR($G251*$J251*M251, "")</f>
        <v>0</v>
      </c>
      <c r="AQ251" s="284" t="n">
        <f aca="false">IFERROR($G251*$J251*N251, "")</f>
        <v>0</v>
      </c>
      <c r="AR251" s="284" t="n">
        <f aca="false">IFERROR($G251*$J251*O251, "")</f>
        <v>0</v>
      </c>
      <c r="AS251" s="284" t="n">
        <f aca="false">IFERROR($G251*$J251*P251, "")</f>
        <v>0</v>
      </c>
      <c r="AT251" s="284" t="n">
        <f aca="false">IFERROR($G251*$J251*Q251, "")</f>
        <v>0</v>
      </c>
      <c r="AU251" s="284" t="n">
        <f aca="false">IFERROR($G251*$J251*R251, "")</f>
        <v>0</v>
      </c>
      <c r="AV251" s="284" t="n">
        <f aca="false">IFERROR($G251*$J251*S251, "")</f>
        <v>0</v>
      </c>
      <c r="AW251" s="284" t="n">
        <f aca="false">IFERROR($G251*$J251*T251, "")</f>
        <v>0</v>
      </c>
      <c r="AX251" s="284" t="n">
        <f aca="false">IFERROR($G251*$J251*U251, "")</f>
        <v>0</v>
      </c>
      <c r="AY251" s="284" t="n">
        <f aca="false">IFERROR($G251*$J251*V251, "")</f>
        <v>0</v>
      </c>
      <c r="AZ251" s="284" t="n">
        <f aca="false">IFERROR($G251*$J251*W251, "")</f>
        <v>0</v>
      </c>
      <c r="BA251" s="286" t="n">
        <f aca="false">IFERROR(SUMIF($AO$4:$AZ$4, "RDEC", AO251:AZ251), "")</f>
        <v>0</v>
      </c>
      <c r="BB251" s="286" t="n">
        <f aca="false">IFERROR(SUMIF($AO$4:$AZ$4, "SME", AO251:AZ251), "")</f>
        <v>0</v>
      </c>
      <c r="BC251" s="286" t="n">
        <f aca="false">IFERROR(SUMIF($Y$4:$AJ$4, "De Minimis", AO251:AZ251), "")</f>
        <v>0</v>
      </c>
      <c r="BD251" s="287"/>
      <c r="BE251" s="288" t="str">
        <f aca="false">IF((SUM(L251:W251)&gt;1),"ERROR","")</f>
        <v/>
      </c>
    </row>
    <row r="252" customFormat="false" ht="15" hidden="false" customHeight="true" outlineLevel="0" collapsed="false">
      <c r="B252" s="333"/>
      <c r="C252" s="334"/>
      <c r="D252" s="333" t="n">
        <f aca="false">D236</f>
        <v>45383</v>
      </c>
      <c r="E252" s="277" t="n">
        <v>0</v>
      </c>
      <c r="F252" s="277" t="n">
        <v>0</v>
      </c>
      <c r="G252" s="277" t="n">
        <f aca="false">SUM(E252:F252)</f>
        <v>0</v>
      </c>
      <c r="H252" s="204"/>
      <c r="I252" s="279" t="n">
        <v>1</v>
      </c>
      <c r="J252" s="280" t="n">
        <f aca="false">1-I252</f>
        <v>0</v>
      </c>
      <c r="K252" s="277"/>
      <c r="L252" s="282"/>
      <c r="M252" s="282"/>
      <c r="N252" s="282"/>
      <c r="O252" s="282"/>
      <c r="P252" s="282"/>
      <c r="Q252" s="282"/>
      <c r="R252" s="282"/>
      <c r="S252" s="282"/>
      <c r="T252" s="282"/>
      <c r="U252" s="282"/>
      <c r="V252" s="282"/>
      <c r="W252" s="282"/>
      <c r="X252" s="283"/>
      <c r="Y252" s="284" t="n">
        <f aca="false">IFERROR(L252*$G252*I$9, "")</f>
        <v>0</v>
      </c>
      <c r="Z252" s="284" t="n">
        <f aca="false">IFERROR(M252*$G252*$I252, "")</f>
        <v>0</v>
      </c>
      <c r="AA252" s="284" t="n">
        <f aca="false">IFERROR(N252*$G252*$I252, "")</f>
        <v>0</v>
      </c>
      <c r="AB252" s="284" t="n">
        <f aca="false">IFERROR(O252*$G252*$I252, "")</f>
        <v>0</v>
      </c>
      <c r="AC252" s="284" t="n">
        <f aca="false">IFERROR(P252*$G252*$I252, "")</f>
        <v>0</v>
      </c>
      <c r="AD252" s="284" t="n">
        <f aca="false">IFERROR(Q252*$G252*$I252, "")</f>
        <v>0</v>
      </c>
      <c r="AE252" s="284" t="n">
        <f aca="false">IFERROR(R252*$G252*$I252, "")</f>
        <v>0</v>
      </c>
      <c r="AF252" s="284" t="n">
        <f aca="false">IFERROR(S252*$G252*$I252, "")</f>
        <v>0</v>
      </c>
      <c r="AG252" s="284" t="n">
        <f aca="false">IFERROR(T252*$G252*$I252, "")</f>
        <v>0</v>
      </c>
      <c r="AH252" s="284" t="n">
        <f aca="false">IFERROR(U252*$G252*$I252, "")</f>
        <v>0</v>
      </c>
      <c r="AI252" s="284" t="n">
        <f aca="false">IFERROR(V252*$G252*$I252, "")</f>
        <v>0</v>
      </c>
      <c r="AJ252" s="284" t="n">
        <f aca="false">IFERROR(W252*$G252*$I252, "")</f>
        <v>0</v>
      </c>
      <c r="AK252" s="286" t="n">
        <f aca="false">IFERROR(SUMIF($Y$4:$AJ$4, "RDEC", Y252:AJ252), "")</f>
        <v>0</v>
      </c>
      <c r="AL252" s="286" t="n">
        <f aca="false">IFERROR(SUMIF($Y$4:$AJ$4, "SME", Y252:AJ252), "")</f>
        <v>0</v>
      </c>
      <c r="AM252" s="286" t="n">
        <f aca="false">IFERROR(SUMIF($Y$4:$AJ$4, "De Minimis", Y252:AJ252), "")</f>
        <v>0</v>
      </c>
      <c r="AN252" s="283"/>
      <c r="AO252" s="284" t="n">
        <f aca="false">IFERROR($G252*$J252*L252, "")</f>
        <v>0</v>
      </c>
      <c r="AP252" s="284" t="n">
        <f aca="false">IFERROR($G252*$J252*M252, "")</f>
        <v>0</v>
      </c>
      <c r="AQ252" s="284" t="n">
        <f aca="false">IFERROR($G252*$J252*N252, "")</f>
        <v>0</v>
      </c>
      <c r="AR252" s="284" t="n">
        <f aca="false">IFERROR($G252*$J252*O252, "")</f>
        <v>0</v>
      </c>
      <c r="AS252" s="284" t="n">
        <f aca="false">IFERROR($G252*$J252*P252, "")</f>
        <v>0</v>
      </c>
      <c r="AT252" s="284" t="n">
        <f aca="false">IFERROR($G252*$J252*Q252, "")</f>
        <v>0</v>
      </c>
      <c r="AU252" s="284" t="n">
        <f aca="false">IFERROR($G252*$J252*R252, "")</f>
        <v>0</v>
      </c>
      <c r="AV252" s="284" t="n">
        <f aca="false">IFERROR($G252*$J252*S252, "")</f>
        <v>0</v>
      </c>
      <c r="AW252" s="284" t="n">
        <f aca="false">IFERROR($G252*$J252*T252, "")</f>
        <v>0</v>
      </c>
      <c r="AX252" s="284" t="n">
        <f aca="false">IFERROR($G252*$J252*U252, "")</f>
        <v>0</v>
      </c>
      <c r="AY252" s="284" t="n">
        <f aca="false">IFERROR($G252*$J252*V252, "")</f>
        <v>0</v>
      </c>
      <c r="AZ252" s="284" t="n">
        <f aca="false">IFERROR($G252*$J252*W252, "")</f>
        <v>0</v>
      </c>
      <c r="BA252" s="286" t="n">
        <f aca="false">IFERROR(SUMIF($AO$4:$AZ$4, "RDEC", AO252:AZ252), "")</f>
        <v>0</v>
      </c>
      <c r="BB252" s="286" t="n">
        <f aca="false">IFERROR(SUMIF($AO$4:$AZ$4, "SME", AO252:AZ252), "")</f>
        <v>0</v>
      </c>
      <c r="BC252" s="286" t="n">
        <f aca="false">IFERROR(SUMIF($Y$4:$AJ$4, "De Minimis", AO252:AZ252), "")</f>
        <v>0</v>
      </c>
      <c r="BD252" s="287"/>
      <c r="BE252" s="288" t="str">
        <f aca="false">IF((SUM(L252:W252)&gt;1),"ERROR","")</f>
        <v/>
      </c>
    </row>
    <row r="253" customFormat="false" ht="15" hidden="false" customHeight="true" outlineLevel="0" collapsed="false">
      <c r="B253" s="333"/>
      <c r="C253" s="334"/>
      <c r="D253" s="333" t="n">
        <f aca="false">D237</f>
        <v>45413</v>
      </c>
      <c r="E253" s="277" t="n">
        <v>0</v>
      </c>
      <c r="F253" s="277" t="n">
        <v>0</v>
      </c>
      <c r="G253" s="277" t="n">
        <f aca="false">SUM(E253:F253)</f>
        <v>0</v>
      </c>
      <c r="H253" s="204"/>
      <c r="I253" s="279" t="n">
        <v>1</v>
      </c>
      <c r="J253" s="280" t="n">
        <f aca="false">1-I253</f>
        <v>0</v>
      </c>
      <c r="K253" s="277"/>
      <c r="L253" s="282"/>
      <c r="M253" s="282"/>
      <c r="N253" s="282"/>
      <c r="O253" s="282"/>
      <c r="P253" s="282"/>
      <c r="Q253" s="282"/>
      <c r="R253" s="282"/>
      <c r="S253" s="282"/>
      <c r="T253" s="282"/>
      <c r="U253" s="282"/>
      <c r="V253" s="282"/>
      <c r="W253" s="282"/>
      <c r="X253" s="283"/>
      <c r="Y253" s="284" t="n">
        <f aca="false">IFERROR(L253*$G253*I$9, "")</f>
        <v>0</v>
      </c>
      <c r="Z253" s="284" t="n">
        <f aca="false">IFERROR(M253*$G253*$I253, "")</f>
        <v>0</v>
      </c>
      <c r="AA253" s="284" t="n">
        <f aca="false">IFERROR(N253*$G253*$I253, "")</f>
        <v>0</v>
      </c>
      <c r="AB253" s="284" t="n">
        <f aca="false">IFERROR(O253*$G253*$I253, "")</f>
        <v>0</v>
      </c>
      <c r="AC253" s="284" t="n">
        <f aca="false">IFERROR(P253*$G253*$I253, "")</f>
        <v>0</v>
      </c>
      <c r="AD253" s="284" t="n">
        <f aca="false">IFERROR(Q253*$G253*$I253, "")</f>
        <v>0</v>
      </c>
      <c r="AE253" s="284" t="n">
        <f aca="false">IFERROR(R253*$G253*$I253, "")</f>
        <v>0</v>
      </c>
      <c r="AF253" s="284" t="n">
        <f aca="false">IFERROR(S253*$G253*$I253, "")</f>
        <v>0</v>
      </c>
      <c r="AG253" s="284" t="n">
        <f aca="false">IFERROR(T253*$G253*$I253, "")</f>
        <v>0</v>
      </c>
      <c r="AH253" s="284" t="n">
        <f aca="false">IFERROR(U253*$G253*$I253, "")</f>
        <v>0</v>
      </c>
      <c r="AI253" s="284" t="n">
        <f aca="false">IFERROR(V253*$G253*$I253, "")</f>
        <v>0</v>
      </c>
      <c r="AJ253" s="284" t="n">
        <f aca="false">IFERROR(W253*$G253*$I253, "")</f>
        <v>0</v>
      </c>
      <c r="AK253" s="286" t="n">
        <f aca="false">IFERROR(SUMIF($Y$4:$AJ$4, "RDEC", Y253:AJ253), "")</f>
        <v>0</v>
      </c>
      <c r="AL253" s="286" t="n">
        <f aca="false">IFERROR(SUMIF($Y$4:$AJ$4, "SME", Y253:AJ253), "")</f>
        <v>0</v>
      </c>
      <c r="AM253" s="286" t="n">
        <f aca="false">IFERROR(SUMIF($Y$4:$AJ$4, "De Minimis", Y253:AJ253), "")</f>
        <v>0</v>
      </c>
      <c r="AN253" s="283"/>
      <c r="AO253" s="284" t="n">
        <f aca="false">IFERROR($G253*$J253*L253, "")</f>
        <v>0</v>
      </c>
      <c r="AP253" s="284" t="n">
        <f aca="false">IFERROR($G253*$J253*M253, "")</f>
        <v>0</v>
      </c>
      <c r="AQ253" s="284" t="n">
        <f aca="false">IFERROR($G253*$J253*N253, "")</f>
        <v>0</v>
      </c>
      <c r="AR253" s="284" t="n">
        <f aca="false">IFERROR($G253*$J253*O253, "")</f>
        <v>0</v>
      </c>
      <c r="AS253" s="284" t="n">
        <f aca="false">IFERROR($G253*$J253*P253, "")</f>
        <v>0</v>
      </c>
      <c r="AT253" s="284" t="n">
        <f aca="false">IFERROR($G253*$J253*Q253, "")</f>
        <v>0</v>
      </c>
      <c r="AU253" s="284" t="n">
        <f aca="false">IFERROR($G253*$J253*R253, "")</f>
        <v>0</v>
      </c>
      <c r="AV253" s="284" t="n">
        <f aca="false">IFERROR($G253*$J253*S253, "")</f>
        <v>0</v>
      </c>
      <c r="AW253" s="284" t="n">
        <f aca="false">IFERROR($G253*$J253*T253, "")</f>
        <v>0</v>
      </c>
      <c r="AX253" s="284" t="n">
        <f aca="false">IFERROR($G253*$J253*U253, "")</f>
        <v>0</v>
      </c>
      <c r="AY253" s="284" t="n">
        <f aca="false">IFERROR($G253*$J253*V253, "")</f>
        <v>0</v>
      </c>
      <c r="AZ253" s="284" t="n">
        <f aca="false">IFERROR($G253*$J253*W253, "")</f>
        <v>0</v>
      </c>
      <c r="BA253" s="286" t="n">
        <f aca="false">IFERROR(SUMIF($AO$4:$AZ$4, "RDEC", AO253:AZ253), "")</f>
        <v>0</v>
      </c>
      <c r="BB253" s="286" t="n">
        <f aca="false">IFERROR(SUMIF($AO$4:$AZ$4, "SME", AO253:AZ253), "")</f>
        <v>0</v>
      </c>
      <c r="BC253" s="286" t="n">
        <f aca="false">IFERROR(SUMIF($Y$4:$AJ$4, "De Minimis", AO253:AZ253), "")</f>
        <v>0</v>
      </c>
      <c r="BD253" s="287"/>
      <c r="BE253" s="288" t="str">
        <f aca="false">IF((SUM(L253:W253)&gt;1),"ERROR","")</f>
        <v/>
      </c>
    </row>
    <row r="254" customFormat="false" ht="15" hidden="false" customHeight="true" outlineLevel="0" collapsed="false">
      <c r="B254" s="333"/>
      <c r="C254" s="334"/>
      <c r="D254" s="333" t="n">
        <f aca="false">D238</f>
        <v>45444</v>
      </c>
      <c r="E254" s="277" t="n">
        <v>0</v>
      </c>
      <c r="F254" s="277" t="n">
        <v>0</v>
      </c>
      <c r="G254" s="277" t="n">
        <f aca="false">SUM(E254:F254)</f>
        <v>0</v>
      </c>
      <c r="H254" s="204"/>
      <c r="I254" s="279" t="n">
        <v>1</v>
      </c>
      <c r="J254" s="280" t="n">
        <f aca="false">1-I254</f>
        <v>0</v>
      </c>
      <c r="K254" s="277"/>
      <c r="L254" s="282"/>
      <c r="M254" s="282"/>
      <c r="N254" s="282"/>
      <c r="O254" s="282"/>
      <c r="P254" s="282"/>
      <c r="Q254" s="282"/>
      <c r="R254" s="282"/>
      <c r="S254" s="282"/>
      <c r="T254" s="282"/>
      <c r="U254" s="282"/>
      <c r="V254" s="282"/>
      <c r="W254" s="282"/>
      <c r="X254" s="283"/>
      <c r="Y254" s="284" t="n">
        <f aca="false">IFERROR(L254*$G254*I$9, "")</f>
        <v>0</v>
      </c>
      <c r="Z254" s="284" t="n">
        <f aca="false">IFERROR(M254*$G254*$I254, "")</f>
        <v>0</v>
      </c>
      <c r="AA254" s="284" t="n">
        <f aca="false">IFERROR(N254*$G254*$I254, "")</f>
        <v>0</v>
      </c>
      <c r="AB254" s="284" t="n">
        <f aca="false">IFERROR(O254*$G254*$I254, "")</f>
        <v>0</v>
      </c>
      <c r="AC254" s="284" t="n">
        <f aca="false">IFERROR(P254*$G254*$I254, "")</f>
        <v>0</v>
      </c>
      <c r="AD254" s="284" t="n">
        <f aca="false">IFERROR(Q254*$G254*$I254, "")</f>
        <v>0</v>
      </c>
      <c r="AE254" s="284" t="n">
        <f aca="false">IFERROR(R254*$G254*$I254, "")</f>
        <v>0</v>
      </c>
      <c r="AF254" s="284" t="n">
        <f aca="false">IFERROR(S254*$G254*$I254, "")</f>
        <v>0</v>
      </c>
      <c r="AG254" s="284" t="n">
        <f aca="false">IFERROR(T254*$G254*$I254, "")</f>
        <v>0</v>
      </c>
      <c r="AH254" s="284" t="n">
        <f aca="false">IFERROR(U254*$G254*$I254, "")</f>
        <v>0</v>
      </c>
      <c r="AI254" s="284" t="n">
        <f aca="false">IFERROR(V254*$G254*$I254, "")</f>
        <v>0</v>
      </c>
      <c r="AJ254" s="284" t="n">
        <f aca="false">IFERROR(W254*$G254*$I254, "")</f>
        <v>0</v>
      </c>
      <c r="AK254" s="286" t="n">
        <f aca="false">IFERROR(SUMIF($Y$4:$AJ$4, "RDEC", Y254:AJ254), "")</f>
        <v>0</v>
      </c>
      <c r="AL254" s="286" t="n">
        <f aca="false">IFERROR(SUMIF($Y$4:$AJ$4, "SME", Y254:AJ254), "")</f>
        <v>0</v>
      </c>
      <c r="AM254" s="286" t="n">
        <f aca="false">IFERROR(SUMIF($Y$4:$AJ$4, "De Minimis", Y254:AJ254), "")</f>
        <v>0</v>
      </c>
      <c r="AN254" s="283"/>
      <c r="AO254" s="284" t="n">
        <f aca="false">IFERROR($G254*$J254*L254, "")</f>
        <v>0</v>
      </c>
      <c r="AP254" s="284" t="n">
        <f aca="false">IFERROR($G254*$J254*M254, "")</f>
        <v>0</v>
      </c>
      <c r="AQ254" s="284" t="n">
        <f aca="false">IFERROR($G254*$J254*N254, "")</f>
        <v>0</v>
      </c>
      <c r="AR254" s="284" t="n">
        <f aca="false">IFERROR($G254*$J254*O254, "")</f>
        <v>0</v>
      </c>
      <c r="AS254" s="284" t="n">
        <f aca="false">IFERROR($G254*$J254*P254, "")</f>
        <v>0</v>
      </c>
      <c r="AT254" s="284" t="n">
        <f aca="false">IFERROR($G254*$J254*Q254, "")</f>
        <v>0</v>
      </c>
      <c r="AU254" s="284" t="n">
        <f aca="false">IFERROR($G254*$J254*R254, "")</f>
        <v>0</v>
      </c>
      <c r="AV254" s="284" t="n">
        <f aca="false">IFERROR($G254*$J254*S254, "")</f>
        <v>0</v>
      </c>
      <c r="AW254" s="284" t="n">
        <f aca="false">IFERROR($G254*$J254*T254, "")</f>
        <v>0</v>
      </c>
      <c r="AX254" s="284" t="n">
        <f aca="false">IFERROR($G254*$J254*U254, "")</f>
        <v>0</v>
      </c>
      <c r="AY254" s="284" t="n">
        <f aca="false">IFERROR($G254*$J254*V254, "")</f>
        <v>0</v>
      </c>
      <c r="AZ254" s="284" t="n">
        <f aca="false">IFERROR($G254*$J254*W254, "")</f>
        <v>0</v>
      </c>
      <c r="BA254" s="286" t="n">
        <f aca="false">IFERROR(SUMIF($AO$4:$AZ$4, "RDEC", AO254:AZ254), "")</f>
        <v>0</v>
      </c>
      <c r="BB254" s="286" t="n">
        <f aca="false">IFERROR(SUMIF($AO$4:$AZ$4, "SME", AO254:AZ254), "")</f>
        <v>0</v>
      </c>
      <c r="BC254" s="286" t="n">
        <f aca="false">IFERROR(SUMIF($Y$4:$AJ$4, "De Minimis", AO254:AZ254), "")</f>
        <v>0</v>
      </c>
      <c r="BD254" s="287"/>
      <c r="BE254" s="288" t="str">
        <f aca="false">IF((SUM(L254:W254)&gt;1),"ERROR","")</f>
        <v/>
      </c>
    </row>
    <row r="255" customFormat="false" ht="15" hidden="false" customHeight="true" outlineLevel="0" collapsed="false">
      <c r="B255" s="333"/>
      <c r="C255" s="334"/>
      <c r="D255" s="333" t="n">
        <f aca="false">D239</f>
        <v>45474</v>
      </c>
      <c r="E255" s="277" t="n">
        <v>0</v>
      </c>
      <c r="F255" s="277" t="n">
        <v>0</v>
      </c>
      <c r="G255" s="277" t="n">
        <f aca="false">SUM(E255:F255)</f>
        <v>0</v>
      </c>
      <c r="H255" s="204"/>
      <c r="I255" s="279" t="n">
        <v>1</v>
      </c>
      <c r="J255" s="280" t="n">
        <f aca="false">1-I255</f>
        <v>0</v>
      </c>
      <c r="K255" s="277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3"/>
      <c r="Y255" s="284" t="n">
        <f aca="false">IFERROR(L255*$G255*I$9, "")</f>
        <v>0</v>
      </c>
      <c r="Z255" s="284" t="n">
        <f aca="false">IFERROR(M255*$G255*$I255, "")</f>
        <v>0</v>
      </c>
      <c r="AA255" s="284" t="n">
        <f aca="false">IFERROR(N255*$G255*$I255, "")</f>
        <v>0</v>
      </c>
      <c r="AB255" s="284" t="n">
        <f aca="false">IFERROR(O255*$G255*$I255, "")</f>
        <v>0</v>
      </c>
      <c r="AC255" s="284" t="n">
        <f aca="false">IFERROR(P255*$G255*$I255, "")</f>
        <v>0</v>
      </c>
      <c r="AD255" s="284" t="n">
        <f aca="false">IFERROR(Q255*$G255*$I255, "")</f>
        <v>0</v>
      </c>
      <c r="AE255" s="284" t="n">
        <f aca="false">IFERROR(R255*$G255*$I255, "")</f>
        <v>0</v>
      </c>
      <c r="AF255" s="284" t="n">
        <f aca="false">IFERROR(S255*$G255*$I255, "")</f>
        <v>0</v>
      </c>
      <c r="AG255" s="284" t="n">
        <f aca="false">IFERROR(T255*$G255*$I255, "")</f>
        <v>0</v>
      </c>
      <c r="AH255" s="284" t="n">
        <f aca="false">IFERROR(U255*$G255*$I255, "")</f>
        <v>0</v>
      </c>
      <c r="AI255" s="284" t="n">
        <f aca="false">IFERROR(V255*$G255*$I255, "")</f>
        <v>0</v>
      </c>
      <c r="AJ255" s="284" t="n">
        <f aca="false">IFERROR(W255*$G255*$I255, "")</f>
        <v>0</v>
      </c>
      <c r="AK255" s="286" t="n">
        <f aca="false">IFERROR(SUMIF($Y$4:$AJ$4, "RDEC", Y255:AJ255), "")</f>
        <v>0</v>
      </c>
      <c r="AL255" s="286" t="n">
        <f aca="false">IFERROR(SUMIF($Y$4:$AJ$4, "SME", Y255:AJ255), "")</f>
        <v>0</v>
      </c>
      <c r="AM255" s="286" t="n">
        <f aca="false">IFERROR(SUMIF($Y$4:$AJ$4, "De Minimis", Y255:AJ255), "")</f>
        <v>0</v>
      </c>
      <c r="AN255" s="283"/>
      <c r="AO255" s="284" t="n">
        <f aca="false">IFERROR($G255*$J255*L255, "")</f>
        <v>0</v>
      </c>
      <c r="AP255" s="284" t="n">
        <f aca="false">IFERROR($G255*$J255*M255, "")</f>
        <v>0</v>
      </c>
      <c r="AQ255" s="284" t="n">
        <f aca="false">IFERROR($G255*$J255*N255, "")</f>
        <v>0</v>
      </c>
      <c r="AR255" s="284" t="n">
        <f aca="false">IFERROR($G255*$J255*O255, "")</f>
        <v>0</v>
      </c>
      <c r="AS255" s="284" t="n">
        <f aca="false">IFERROR($G255*$J255*P255, "")</f>
        <v>0</v>
      </c>
      <c r="AT255" s="284" t="n">
        <f aca="false">IFERROR($G255*$J255*Q255, "")</f>
        <v>0</v>
      </c>
      <c r="AU255" s="284" t="n">
        <f aca="false">IFERROR($G255*$J255*R255, "")</f>
        <v>0</v>
      </c>
      <c r="AV255" s="284" t="n">
        <f aca="false">IFERROR($G255*$J255*S255, "")</f>
        <v>0</v>
      </c>
      <c r="AW255" s="284" t="n">
        <f aca="false">IFERROR($G255*$J255*T255, "")</f>
        <v>0</v>
      </c>
      <c r="AX255" s="284" t="n">
        <f aca="false">IFERROR($G255*$J255*U255, "")</f>
        <v>0</v>
      </c>
      <c r="AY255" s="284" t="n">
        <f aca="false">IFERROR($G255*$J255*V255, "")</f>
        <v>0</v>
      </c>
      <c r="AZ255" s="284" t="n">
        <f aca="false">IFERROR($G255*$J255*W255, "")</f>
        <v>0</v>
      </c>
      <c r="BA255" s="286" t="n">
        <f aca="false">IFERROR(SUMIF($AO$4:$AZ$4, "RDEC", AO255:AZ255), "")</f>
        <v>0</v>
      </c>
      <c r="BB255" s="286" t="n">
        <f aca="false">IFERROR(SUMIF($AO$4:$AZ$4, "SME", AO255:AZ255), "")</f>
        <v>0</v>
      </c>
      <c r="BC255" s="286" t="n">
        <f aca="false">IFERROR(SUMIF($Y$4:$AJ$4, "De Minimis", AO255:AZ255), "")</f>
        <v>0</v>
      </c>
      <c r="BD255" s="287"/>
      <c r="BE255" s="288" t="str">
        <f aca="false">IF((SUM(L255:W255)&gt;1),"ERROR","")</f>
        <v/>
      </c>
    </row>
    <row r="256" customFormat="false" ht="15" hidden="false" customHeight="true" outlineLevel="0" collapsed="false">
      <c r="B256" s="333"/>
      <c r="C256" s="334"/>
      <c r="D256" s="333" t="n">
        <f aca="false">D240</f>
        <v>45505</v>
      </c>
      <c r="E256" s="277" t="n">
        <v>0</v>
      </c>
      <c r="F256" s="277" t="n">
        <v>0</v>
      </c>
      <c r="G256" s="277" t="n">
        <f aca="false">SUM(E256:F256)</f>
        <v>0</v>
      </c>
      <c r="H256" s="204"/>
      <c r="I256" s="279" t="n">
        <v>1</v>
      </c>
      <c r="J256" s="280" t="n">
        <f aca="false">1-I256</f>
        <v>0</v>
      </c>
      <c r="K256" s="277"/>
      <c r="L256" s="282"/>
      <c r="M256" s="282"/>
      <c r="N256" s="282"/>
      <c r="O256" s="282"/>
      <c r="P256" s="282"/>
      <c r="Q256" s="282"/>
      <c r="R256" s="282"/>
      <c r="S256" s="282"/>
      <c r="T256" s="282"/>
      <c r="U256" s="282"/>
      <c r="V256" s="282"/>
      <c r="W256" s="282"/>
      <c r="X256" s="283"/>
      <c r="Y256" s="284" t="n">
        <f aca="false">IFERROR(L256*$G256*I$9, "")</f>
        <v>0</v>
      </c>
      <c r="Z256" s="284" t="n">
        <f aca="false">IFERROR(M256*$G256*$I256, "")</f>
        <v>0</v>
      </c>
      <c r="AA256" s="284" t="n">
        <f aca="false">IFERROR(N256*$G256*$I256, "")</f>
        <v>0</v>
      </c>
      <c r="AB256" s="284" t="n">
        <f aca="false">IFERROR(O256*$G256*$I256, "")</f>
        <v>0</v>
      </c>
      <c r="AC256" s="284" t="n">
        <f aca="false">IFERROR(P256*$G256*$I256, "")</f>
        <v>0</v>
      </c>
      <c r="AD256" s="284" t="n">
        <f aca="false">IFERROR(Q256*$G256*$I256, "")</f>
        <v>0</v>
      </c>
      <c r="AE256" s="284" t="n">
        <f aca="false">IFERROR(R256*$G256*$I256, "")</f>
        <v>0</v>
      </c>
      <c r="AF256" s="284" t="n">
        <f aca="false">IFERROR(S256*$G256*$I256, "")</f>
        <v>0</v>
      </c>
      <c r="AG256" s="284" t="n">
        <f aca="false">IFERROR(T256*$G256*$I256, "")</f>
        <v>0</v>
      </c>
      <c r="AH256" s="284" t="n">
        <f aca="false">IFERROR(U256*$G256*$I256, "")</f>
        <v>0</v>
      </c>
      <c r="AI256" s="284" t="n">
        <f aca="false">IFERROR(V256*$G256*$I256, "")</f>
        <v>0</v>
      </c>
      <c r="AJ256" s="284" t="n">
        <f aca="false">IFERROR(W256*$G256*$I256, "")</f>
        <v>0</v>
      </c>
      <c r="AK256" s="286" t="n">
        <f aca="false">IFERROR(SUMIF($Y$4:$AJ$4, "RDEC", Y256:AJ256), "")</f>
        <v>0</v>
      </c>
      <c r="AL256" s="286" t="n">
        <f aca="false">IFERROR(SUMIF($Y$4:$AJ$4, "SME", Y256:AJ256), "")</f>
        <v>0</v>
      </c>
      <c r="AM256" s="286" t="n">
        <f aca="false">IFERROR(SUMIF($Y$4:$AJ$4, "De Minimis", Y256:AJ256), "")</f>
        <v>0</v>
      </c>
      <c r="AN256" s="283"/>
      <c r="AO256" s="284" t="n">
        <f aca="false">IFERROR($G256*$J256*L256, "")</f>
        <v>0</v>
      </c>
      <c r="AP256" s="284" t="n">
        <f aca="false">IFERROR($G256*$J256*M256, "")</f>
        <v>0</v>
      </c>
      <c r="AQ256" s="284" t="n">
        <f aca="false">IFERROR($G256*$J256*N256, "")</f>
        <v>0</v>
      </c>
      <c r="AR256" s="284" t="n">
        <f aca="false">IFERROR($G256*$J256*O256, "")</f>
        <v>0</v>
      </c>
      <c r="AS256" s="284" t="n">
        <f aca="false">IFERROR($G256*$J256*P256, "")</f>
        <v>0</v>
      </c>
      <c r="AT256" s="284" t="n">
        <f aca="false">IFERROR($G256*$J256*Q256, "")</f>
        <v>0</v>
      </c>
      <c r="AU256" s="284" t="n">
        <f aca="false">IFERROR($G256*$J256*R256, "")</f>
        <v>0</v>
      </c>
      <c r="AV256" s="284" t="n">
        <f aca="false">IFERROR($G256*$J256*S256, "")</f>
        <v>0</v>
      </c>
      <c r="AW256" s="284" t="n">
        <f aca="false">IFERROR($G256*$J256*T256, "")</f>
        <v>0</v>
      </c>
      <c r="AX256" s="284" t="n">
        <f aca="false">IFERROR($G256*$J256*U256, "")</f>
        <v>0</v>
      </c>
      <c r="AY256" s="284" t="n">
        <f aca="false">IFERROR($G256*$J256*V256, "")</f>
        <v>0</v>
      </c>
      <c r="AZ256" s="284" t="n">
        <f aca="false">IFERROR($G256*$J256*W256, "")</f>
        <v>0</v>
      </c>
      <c r="BA256" s="286" t="n">
        <f aca="false">IFERROR(SUMIF($AO$4:$AZ$4, "RDEC", AO256:AZ256), "")</f>
        <v>0</v>
      </c>
      <c r="BB256" s="286" t="n">
        <f aca="false">IFERROR(SUMIF($AO$4:$AZ$4, "SME", AO256:AZ256), "")</f>
        <v>0</v>
      </c>
      <c r="BC256" s="286" t="n">
        <f aca="false">IFERROR(SUMIF($Y$4:$AJ$4, "De Minimis", AO256:AZ256), "")</f>
        <v>0</v>
      </c>
      <c r="BD256" s="287"/>
      <c r="BE256" s="288" t="str">
        <f aca="false">IF((SUM(L256:W256)&gt;1),"ERROR","")</f>
        <v/>
      </c>
    </row>
    <row r="257" customFormat="false" ht="15" hidden="false" customHeight="true" outlineLevel="0" collapsed="false">
      <c r="B257" s="333"/>
      <c r="C257" s="334"/>
      <c r="D257" s="333" t="n">
        <f aca="false">D241</f>
        <v>45536</v>
      </c>
      <c r="E257" s="277" t="n">
        <v>0</v>
      </c>
      <c r="F257" s="277" t="n">
        <v>0</v>
      </c>
      <c r="G257" s="277" t="n">
        <f aca="false">SUM(E257:F257)</f>
        <v>0</v>
      </c>
      <c r="H257" s="204"/>
      <c r="I257" s="279" t="n">
        <v>1</v>
      </c>
      <c r="J257" s="280" t="n">
        <f aca="false">1-I257</f>
        <v>0</v>
      </c>
      <c r="K257" s="277"/>
      <c r="L257" s="282"/>
      <c r="M257" s="282"/>
      <c r="N257" s="282"/>
      <c r="O257" s="282"/>
      <c r="P257" s="282"/>
      <c r="Q257" s="282"/>
      <c r="R257" s="282"/>
      <c r="S257" s="282"/>
      <c r="T257" s="282"/>
      <c r="U257" s="282"/>
      <c r="V257" s="282"/>
      <c r="W257" s="282"/>
      <c r="X257" s="283"/>
      <c r="Y257" s="284" t="n">
        <f aca="false">IFERROR(L257*$G257*I$9, "")</f>
        <v>0</v>
      </c>
      <c r="Z257" s="284" t="n">
        <f aca="false">IFERROR(M257*$G257*$I257, "")</f>
        <v>0</v>
      </c>
      <c r="AA257" s="284" t="n">
        <f aca="false">IFERROR(N257*$G257*$I257, "")</f>
        <v>0</v>
      </c>
      <c r="AB257" s="284" t="n">
        <f aca="false">IFERROR(O257*$G257*$I257, "")</f>
        <v>0</v>
      </c>
      <c r="AC257" s="284" t="n">
        <f aca="false">IFERROR(P257*$G257*$I257, "")</f>
        <v>0</v>
      </c>
      <c r="AD257" s="284" t="n">
        <f aca="false">IFERROR(Q257*$G257*$I257, "")</f>
        <v>0</v>
      </c>
      <c r="AE257" s="284" t="n">
        <f aca="false">IFERROR(R257*$G257*$I257, "")</f>
        <v>0</v>
      </c>
      <c r="AF257" s="284" t="n">
        <f aca="false">IFERROR(S257*$G257*$I257, "")</f>
        <v>0</v>
      </c>
      <c r="AG257" s="284" t="n">
        <f aca="false">IFERROR(T257*$G257*$I257, "")</f>
        <v>0</v>
      </c>
      <c r="AH257" s="284" t="n">
        <f aca="false">IFERROR(U257*$G257*$I257, "")</f>
        <v>0</v>
      </c>
      <c r="AI257" s="284" t="n">
        <f aca="false">IFERROR(V257*$G257*$I257, "")</f>
        <v>0</v>
      </c>
      <c r="AJ257" s="284" t="n">
        <f aca="false">IFERROR(W257*$G257*$I257, "")</f>
        <v>0</v>
      </c>
      <c r="AK257" s="286" t="n">
        <f aca="false">IFERROR(SUMIF($Y$4:$AJ$4, "RDEC", Y257:AJ257), "")</f>
        <v>0</v>
      </c>
      <c r="AL257" s="286" t="n">
        <f aca="false">IFERROR(SUMIF($Y$4:$AJ$4, "SME", Y257:AJ257), "")</f>
        <v>0</v>
      </c>
      <c r="AM257" s="286" t="n">
        <f aca="false">IFERROR(SUMIF($Y$4:$AJ$4, "De Minimis", Y257:AJ257), "")</f>
        <v>0</v>
      </c>
      <c r="AN257" s="283"/>
      <c r="AO257" s="284" t="n">
        <f aca="false">IFERROR($G257*$J257*L257, "")</f>
        <v>0</v>
      </c>
      <c r="AP257" s="284" t="n">
        <f aca="false">IFERROR($G257*$J257*M257, "")</f>
        <v>0</v>
      </c>
      <c r="AQ257" s="284" t="n">
        <f aca="false">IFERROR($G257*$J257*N257, "")</f>
        <v>0</v>
      </c>
      <c r="AR257" s="284" t="n">
        <f aca="false">IFERROR($G257*$J257*O257, "")</f>
        <v>0</v>
      </c>
      <c r="AS257" s="284" t="n">
        <f aca="false">IFERROR($G257*$J257*P257, "")</f>
        <v>0</v>
      </c>
      <c r="AT257" s="284" t="n">
        <f aca="false">IFERROR($G257*$J257*Q257, "")</f>
        <v>0</v>
      </c>
      <c r="AU257" s="284" t="n">
        <f aca="false">IFERROR($G257*$J257*R257, "")</f>
        <v>0</v>
      </c>
      <c r="AV257" s="284" t="n">
        <f aca="false">IFERROR($G257*$J257*S257, "")</f>
        <v>0</v>
      </c>
      <c r="AW257" s="284" t="n">
        <f aca="false">IFERROR($G257*$J257*T257, "")</f>
        <v>0</v>
      </c>
      <c r="AX257" s="284" t="n">
        <f aca="false">IFERROR($G257*$J257*U257, "")</f>
        <v>0</v>
      </c>
      <c r="AY257" s="284" t="n">
        <f aca="false">IFERROR($G257*$J257*V257, "")</f>
        <v>0</v>
      </c>
      <c r="AZ257" s="284" t="n">
        <f aca="false">IFERROR($G257*$J257*W257, "")</f>
        <v>0</v>
      </c>
      <c r="BA257" s="286" t="n">
        <f aca="false">IFERROR(SUMIF($AO$4:$AZ$4, "RDEC", AO257:AZ257), "")</f>
        <v>0</v>
      </c>
      <c r="BB257" s="286" t="n">
        <f aca="false">IFERROR(SUMIF($AO$4:$AZ$4, "SME", AO257:AZ257), "")</f>
        <v>0</v>
      </c>
      <c r="BC257" s="286" t="n">
        <f aca="false">IFERROR(SUMIF($Y$4:$AJ$4, "De Minimis", AO257:AZ257), "")</f>
        <v>0</v>
      </c>
      <c r="BD257" s="287"/>
      <c r="BE257" s="288" t="str">
        <f aca="false">IF((SUM(L257:W257)&gt;1),"ERROR","")</f>
        <v/>
      </c>
    </row>
    <row r="258" customFormat="false" ht="15" hidden="false" customHeight="true" outlineLevel="0" collapsed="false">
      <c r="B258" s="333"/>
      <c r="C258" s="334"/>
      <c r="D258" s="333" t="n">
        <f aca="false">D242</f>
        <v>45566</v>
      </c>
      <c r="E258" s="277" t="n">
        <v>0</v>
      </c>
      <c r="F258" s="277" t="n">
        <v>0</v>
      </c>
      <c r="G258" s="277" t="n">
        <f aca="false">SUM(E258:F258)</f>
        <v>0</v>
      </c>
      <c r="H258" s="204"/>
      <c r="I258" s="279" t="n">
        <v>1</v>
      </c>
      <c r="J258" s="280" t="n">
        <f aca="false">1-I258</f>
        <v>0</v>
      </c>
      <c r="K258" s="277"/>
      <c r="L258" s="282"/>
      <c r="M258" s="282"/>
      <c r="N258" s="282"/>
      <c r="O258" s="282"/>
      <c r="P258" s="282"/>
      <c r="Q258" s="282"/>
      <c r="R258" s="282"/>
      <c r="S258" s="282"/>
      <c r="T258" s="282"/>
      <c r="U258" s="282"/>
      <c r="V258" s="282"/>
      <c r="W258" s="282"/>
      <c r="X258" s="283"/>
      <c r="Y258" s="284" t="n">
        <f aca="false">IFERROR(L258*$G258*I$9, "")</f>
        <v>0</v>
      </c>
      <c r="Z258" s="284" t="n">
        <f aca="false">IFERROR(M258*$G258*$I258, "")</f>
        <v>0</v>
      </c>
      <c r="AA258" s="284" t="n">
        <f aca="false">IFERROR(N258*$G258*$I258, "")</f>
        <v>0</v>
      </c>
      <c r="AB258" s="284" t="n">
        <f aca="false">IFERROR(O258*$G258*$I258, "")</f>
        <v>0</v>
      </c>
      <c r="AC258" s="284" t="n">
        <f aca="false">IFERROR(P258*$G258*$I258, "")</f>
        <v>0</v>
      </c>
      <c r="AD258" s="284" t="n">
        <f aca="false">IFERROR(Q258*$G258*$I258, "")</f>
        <v>0</v>
      </c>
      <c r="AE258" s="284" t="n">
        <f aca="false">IFERROR(R258*$G258*$I258, "")</f>
        <v>0</v>
      </c>
      <c r="AF258" s="284" t="n">
        <f aca="false">IFERROR(S258*$G258*$I258, "")</f>
        <v>0</v>
      </c>
      <c r="AG258" s="284" t="n">
        <f aca="false">IFERROR(T258*$G258*$I258, "")</f>
        <v>0</v>
      </c>
      <c r="AH258" s="284" t="n">
        <f aca="false">IFERROR(U258*$G258*$I258, "")</f>
        <v>0</v>
      </c>
      <c r="AI258" s="284" t="n">
        <f aca="false">IFERROR(V258*$G258*$I258, "")</f>
        <v>0</v>
      </c>
      <c r="AJ258" s="284" t="n">
        <f aca="false">IFERROR(W258*$G258*$I258, "")</f>
        <v>0</v>
      </c>
      <c r="AK258" s="286" t="n">
        <f aca="false">IFERROR(SUMIF($Y$4:$AJ$4, "RDEC", Y258:AJ258), "")</f>
        <v>0</v>
      </c>
      <c r="AL258" s="286" t="n">
        <f aca="false">IFERROR(SUMIF($Y$4:$AJ$4, "SME", Y258:AJ258), "")</f>
        <v>0</v>
      </c>
      <c r="AM258" s="286" t="n">
        <f aca="false">IFERROR(SUMIF($Y$4:$AJ$4, "De Minimis", Y258:AJ258), "")</f>
        <v>0</v>
      </c>
      <c r="AN258" s="283"/>
      <c r="AO258" s="284" t="n">
        <f aca="false">IFERROR($G258*$J258*L258, "")</f>
        <v>0</v>
      </c>
      <c r="AP258" s="284" t="n">
        <f aca="false">IFERROR($G258*$J258*M258, "")</f>
        <v>0</v>
      </c>
      <c r="AQ258" s="284" t="n">
        <f aca="false">IFERROR($G258*$J258*N258, "")</f>
        <v>0</v>
      </c>
      <c r="AR258" s="284" t="n">
        <f aca="false">IFERROR($G258*$J258*O258, "")</f>
        <v>0</v>
      </c>
      <c r="AS258" s="284" t="n">
        <f aca="false">IFERROR($G258*$J258*P258, "")</f>
        <v>0</v>
      </c>
      <c r="AT258" s="284" t="n">
        <f aca="false">IFERROR($G258*$J258*Q258, "")</f>
        <v>0</v>
      </c>
      <c r="AU258" s="284" t="n">
        <f aca="false">IFERROR($G258*$J258*R258, "")</f>
        <v>0</v>
      </c>
      <c r="AV258" s="284" t="n">
        <f aca="false">IFERROR($G258*$J258*S258, "")</f>
        <v>0</v>
      </c>
      <c r="AW258" s="284" t="n">
        <f aca="false">IFERROR($G258*$J258*T258, "")</f>
        <v>0</v>
      </c>
      <c r="AX258" s="284" t="n">
        <f aca="false">IFERROR($G258*$J258*U258, "")</f>
        <v>0</v>
      </c>
      <c r="AY258" s="284" t="n">
        <f aca="false">IFERROR($G258*$J258*V258, "")</f>
        <v>0</v>
      </c>
      <c r="AZ258" s="284" t="n">
        <f aca="false">IFERROR($G258*$J258*W258, "")</f>
        <v>0</v>
      </c>
      <c r="BA258" s="286" t="n">
        <f aca="false">IFERROR(SUMIF($AO$4:$AZ$4, "RDEC", AO258:AZ258), "")</f>
        <v>0</v>
      </c>
      <c r="BB258" s="286" t="n">
        <f aca="false">IFERROR(SUMIF($AO$4:$AZ$4, "SME", AO258:AZ258), "")</f>
        <v>0</v>
      </c>
      <c r="BC258" s="286" t="n">
        <f aca="false">IFERROR(SUMIF($Y$4:$AJ$4, "De Minimis", AO258:AZ258), "")</f>
        <v>0</v>
      </c>
      <c r="BD258" s="287"/>
      <c r="BE258" s="288" t="str">
        <f aca="false">IF((SUM(L258:W258)&gt;1),"ERROR","")</f>
        <v/>
      </c>
    </row>
    <row r="259" customFormat="false" ht="15" hidden="false" customHeight="true" outlineLevel="0" collapsed="false">
      <c r="B259" s="333"/>
      <c r="C259" s="334"/>
      <c r="D259" s="333" t="n">
        <f aca="false">D243</f>
        <v>45597</v>
      </c>
      <c r="E259" s="277" t="n">
        <v>0</v>
      </c>
      <c r="F259" s="277" t="n">
        <v>0</v>
      </c>
      <c r="G259" s="277" t="n">
        <f aca="false">SUM(E259:F259)</f>
        <v>0</v>
      </c>
      <c r="H259" s="204"/>
      <c r="I259" s="279" t="n">
        <v>1</v>
      </c>
      <c r="J259" s="280" t="n">
        <f aca="false">1-I259</f>
        <v>0</v>
      </c>
      <c r="K259" s="277"/>
      <c r="L259" s="282"/>
      <c r="M259" s="282"/>
      <c r="N259" s="282"/>
      <c r="O259" s="282"/>
      <c r="P259" s="282"/>
      <c r="Q259" s="282"/>
      <c r="R259" s="282"/>
      <c r="S259" s="282"/>
      <c r="T259" s="282"/>
      <c r="U259" s="282"/>
      <c r="V259" s="282"/>
      <c r="W259" s="282"/>
      <c r="X259" s="283"/>
      <c r="Y259" s="284" t="n">
        <f aca="false">IFERROR(L259*$G259*I$9, "")</f>
        <v>0</v>
      </c>
      <c r="Z259" s="284" t="n">
        <f aca="false">IFERROR(M259*$G259*$I259, "")</f>
        <v>0</v>
      </c>
      <c r="AA259" s="284" t="n">
        <f aca="false">IFERROR(N259*$G259*$I259, "")</f>
        <v>0</v>
      </c>
      <c r="AB259" s="284" t="n">
        <f aca="false">IFERROR(O259*$G259*$I259, "")</f>
        <v>0</v>
      </c>
      <c r="AC259" s="284" t="n">
        <f aca="false">IFERROR(P259*$G259*$I259, "")</f>
        <v>0</v>
      </c>
      <c r="AD259" s="284" t="n">
        <f aca="false">IFERROR(Q259*$G259*$I259, "")</f>
        <v>0</v>
      </c>
      <c r="AE259" s="284" t="n">
        <f aca="false">IFERROR(R259*$G259*$I259, "")</f>
        <v>0</v>
      </c>
      <c r="AF259" s="284" t="n">
        <f aca="false">IFERROR(S259*$G259*$I259, "")</f>
        <v>0</v>
      </c>
      <c r="AG259" s="284" t="n">
        <f aca="false">IFERROR(T259*$G259*$I259, "")</f>
        <v>0</v>
      </c>
      <c r="AH259" s="284" t="n">
        <f aca="false">IFERROR(U259*$G259*$I259, "")</f>
        <v>0</v>
      </c>
      <c r="AI259" s="284" t="n">
        <f aca="false">IFERROR(V259*$G259*$I259, "")</f>
        <v>0</v>
      </c>
      <c r="AJ259" s="284" t="n">
        <f aca="false">IFERROR(W259*$G259*$I259, "")</f>
        <v>0</v>
      </c>
      <c r="AK259" s="286" t="n">
        <f aca="false">IFERROR(SUMIF($Y$4:$AJ$4, "RDEC", Y259:AJ259), "")</f>
        <v>0</v>
      </c>
      <c r="AL259" s="286" t="n">
        <f aca="false">IFERROR(SUMIF($Y$4:$AJ$4, "SME", Y259:AJ259), "")</f>
        <v>0</v>
      </c>
      <c r="AM259" s="286" t="n">
        <f aca="false">IFERROR(SUMIF($Y$4:$AJ$4, "De Minimis", Y259:AJ259), "")</f>
        <v>0</v>
      </c>
      <c r="AN259" s="283"/>
      <c r="AO259" s="284" t="n">
        <f aca="false">IFERROR($G259*$J259*L259, "")</f>
        <v>0</v>
      </c>
      <c r="AP259" s="284" t="n">
        <f aca="false">IFERROR($G259*$J259*M259, "")</f>
        <v>0</v>
      </c>
      <c r="AQ259" s="284" t="n">
        <f aca="false">IFERROR($G259*$J259*N259, "")</f>
        <v>0</v>
      </c>
      <c r="AR259" s="284" t="n">
        <f aca="false">IFERROR($G259*$J259*O259, "")</f>
        <v>0</v>
      </c>
      <c r="AS259" s="284" t="n">
        <f aca="false">IFERROR($G259*$J259*P259, "")</f>
        <v>0</v>
      </c>
      <c r="AT259" s="284" t="n">
        <f aca="false">IFERROR($G259*$J259*Q259, "")</f>
        <v>0</v>
      </c>
      <c r="AU259" s="284" t="n">
        <f aca="false">IFERROR($G259*$J259*R259, "")</f>
        <v>0</v>
      </c>
      <c r="AV259" s="284" t="n">
        <f aca="false">IFERROR($G259*$J259*S259, "")</f>
        <v>0</v>
      </c>
      <c r="AW259" s="284" t="n">
        <f aca="false">IFERROR($G259*$J259*T259, "")</f>
        <v>0</v>
      </c>
      <c r="AX259" s="284" t="n">
        <f aca="false">IFERROR($G259*$J259*U259, "")</f>
        <v>0</v>
      </c>
      <c r="AY259" s="284" t="n">
        <f aca="false">IFERROR($G259*$J259*V259, "")</f>
        <v>0</v>
      </c>
      <c r="AZ259" s="284" t="n">
        <f aca="false">IFERROR($G259*$J259*W259, "")</f>
        <v>0</v>
      </c>
      <c r="BA259" s="286" t="n">
        <f aca="false">IFERROR(SUMIF($AO$4:$AZ$4, "RDEC", AO259:AZ259), "")</f>
        <v>0</v>
      </c>
      <c r="BB259" s="286" t="n">
        <f aca="false">IFERROR(SUMIF($AO$4:$AZ$4, "SME", AO259:AZ259), "")</f>
        <v>0</v>
      </c>
      <c r="BC259" s="286" t="n">
        <f aca="false">IFERROR(SUMIF($Y$4:$AJ$4, "De Minimis", AO259:AZ259), "")</f>
        <v>0</v>
      </c>
      <c r="BD259" s="287"/>
      <c r="BE259" s="288" t="str">
        <f aca="false">IF((SUM(L259:W259)&gt;1),"ERROR","")</f>
        <v/>
      </c>
    </row>
    <row r="260" customFormat="false" ht="15" hidden="false" customHeight="true" outlineLevel="0" collapsed="false">
      <c r="B260" s="333"/>
      <c r="C260" s="334"/>
      <c r="D260" s="333" t="n">
        <f aca="false">D244</f>
        <v>45627</v>
      </c>
      <c r="E260" s="277" t="n">
        <v>0</v>
      </c>
      <c r="F260" s="277" t="n">
        <v>0</v>
      </c>
      <c r="G260" s="277" t="n">
        <f aca="false">SUM(E260:F260)</f>
        <v>0</v>
      </c>
      <c r="H260" s="300"/>
      <c r="I260" s="289" t="n">
        <v>1</v>
      </c>
      <c r="J260" s="290" t="n">
        <f aca="false">1-I260</f>
        <v>0</v>
      </c>
      <c r="K260" s="300"/>
      <c r="L260" s="291"/>
      <c r="M260" s="291"/>
      <c r="N260" s="291"/>
      <c r="O260" s="291"/>
      <c r="P260" s="291"/>
      <c r="Q260" s="291"/>
      <c r="R260" s="291"/>
      <c r="S260" s="291"/>
      <c r="T260" s="291"/>
      <c r="U260" s="291"/>
      <c r="V260" s="291"/>
      <c r="W260" s="291"/>
      <c r="X260" s="283"/>
      <c r="Y260" s="284" t="n">
        <f aca="false">IFERROR(L260*$G260*I$9, "")</f>
        <v>0</v>
      </c>
      <c r="Z260" s="284" t="n">
        <f aca="false">IFERROR(M260*$G260*$I260, "")</f>
        <v>0</v>
      </c>
      <c r="AA260" s="284" t="n">
        <f aca="false">IFERROR(N260*$G260*$I260, "")</f>
        <v>0</v>
      </c>
      <c r="AB260" s="284" t="n">
        <f aca="false">IFERROR(O260*$G260*$I260, "")</f>
        <v>0</v>
      </c>
      <c r="AC260" s="284" t="n">
        <f aca="false">IFERROR(P260*$G260*$I260, "")</f>
        <v>0</v>
      </c>
      <c r="AD260" s="284" t="n">
        <f aca="false">IFERROR(Q260*$G260*$I260, "")</f>
        <v>0</v>
      </c>
      <c r="AE260" s="284" t="n">
        <f aca="false">IFERROR(R260*$G260*$I260, "")</f>
        <v>0</v>
      </c>
      <c r="AF260" s="284" t="n">
        <f aca="false">IFERROR(S260*$G260*$I260, "")</f>
        <v>0</v>
      </c>
      <c r="AG260" s="284" t="n">
        <f aca="false">IFERROR(T260*$G260*$I260, "")</f>
        <v>0</v>
      </c>
      <c r="AH260" s="284" t="n">
        <f aca="false">IFERROR(U260*$G260*$I260, "")</f>
        <v>0</v>
      </c>
      <c r="AI260" s="284" t="n">
        <f aca="false">IFERROR(V260*$G260*$I260, "")</f>
        <v>0</v>
      </c>
      <c r="AJ260" s="284" t="n">
        <f aca="false">IFERROR(W260*$G260*$I260, "")</f>
        <v>0</v>
      </c>
      <c r="AK260" s="294" t="n">
        <f aca="false">IFERROR(SUMIF($Y$4:$AJ$4, "RDEC", Y260:AJ260), "")</f>
        <v>0</v>
      </c>
      <c r="AL260" s="294" t="n">
        <f aca="false">IFERROR(SUMIF($Y$4:$AJ$4, "SME", Y260:AJ260), "")</f>
        <v>0</v>
      </c>
      <c r="AM260" s="294" t="n">
        <f aca="false">IFERROR(SUMIF($Y$4:$AJ$4, "De Minimis", Y260:AJ260), "")</f>
        <v>0</v>
      </c>
      <c r="AN260" s="283"/>
      <c r="AO260" s="284" t="n">
        <f aca="false">IFERROR($G260*$J260*L260, "")</f>
        <v>0</v>
      </c>
      <c r="AP260" s="284" t="n">
        <f aca="false">IFERROR($G260*$J260*M260, "")</f>
        <v>0</v>
      </c>
      <c r="AQ260" s="284" t="n">
        <f aca="false">IFERROR($G260*$J260*N260, "")</f>
        <v>0</v>
      </c>
      <c r="AR260" s="284" t="n">
        <f aca="false">IFERROR($G260*$J260*O260, "")</f>
        <v>0</v>
      </c>
      <c r="AS260" s="284" t="n">
        <f aca="false">IFERROR($G260*$J260*P260, "")</f>
        <v>0</v>
      </c>
      <c r="AT260" s="284" t="n">
        <f aca="false">IFERROR($G260*$J260*Q260, "")</f>
        <v>0</v>
      </c>
      <c r="AU260" s="284" t="n">
        <f aca="false">IFERROR($G260*$J260*R260, "")</f>
        <v>0</v>
      </c>
      <c r="AV260" s="284" t="n">
        <f aca="false">IFERROR($G260*$J260*S260, "")</f>
        <v>0</v>
      </c>
      <c r="AW260" s="284" t="n">
        <f aca="false">IFERROR($G260*$J260*T260, "")</f>
        <v>0</v>
      </c>
      <c r="AX260" s="284" t="n">
        <f aca="false">IFERROR($G260*$J260*U260, "")</f>
        <v>0</v>
      </c>
      <c r="AY260" s="284" t="n">
        <f aca="false">IFERROR($G260*$J260*V260, "")</f>
        <v>0</v>
      </c>
      <c r="AZ260" s="284" t="n">
        <f aca="false">IFERROR($G260*$J260*W260, "")</f>
        <v>0</v>
      </c>
      <c r="BA260" s="286" t="n">
        <f aca="false">IFERROR(SUMIF($AO$4:$AZ$4, "RDEC", AO260:AZ260), "")</f>
        <v>0</v>
      </c>
      <c r="BB260" s="286" t="n">
        <f aca="false">IFERROR(SUMIF($AO$4:$AZ$4, "SME", AO260:AZ260), "")</f>
        <v>0</v>
      </c>
      <c r="BC260" s="294" t="n">
        <f aca="false">IFERROR(SUMIF($Y$4:$AJ$4, "De Minimis", AO260:AZ260), "")</f>
        <v>0</v>
      </c>
      <c r="BD260" s="303"/>
      <c r="BE260" s="295" t="str">
        <f aca="false">IF((SUM(L260:W260)&gt;1),"ERROR","")</f>
        <v/>
      </c>
    </row>
    <row r="261" customFormat="false" ht="15" hidden="false" customHeight="true" outlineLevel="0" collapsed="false">
      <c r="B261" s="296"/>
      <c r="D261" s="297" t="s">
        <v>82</v>
      </c>
      <c r="E261" s="299" t="n">
        <f aca="false">SUM(E249:E260)</f>
        <v>0</v>
      </c>
      <c r="F261" s="299" t="n">
        <f aca="false">SUM(F249:F260)</f>
        <v>0</v>
      </c>
      <c r="G261" s="299" t="n">
        <f aca="false">SUM(G249:G260)</f>
        <v>0</v>
      </c>
      <c r="H261" s="300"/>
      <c r="I261" s="301" t="n">
        <f aca="false">AVERAGE(I249:I260)</f>
        <v>1</v>
      </c>
      <c r="J261" s="301" t="n">
        <f aca="false">AVERAGE(J249:J260)</f>
        <v>0</v>
      </c>
      <c r="K261" s="300"/>
      <c r="L261" s="290" t="n">
        <f aca="false">IF(SUM(L249:L260)&gt;0,(Y261/G261),0)</f>
        <v>0</v>
      </c>
      <c r="M261" s="301" t="n">
        <f aca="false">IF(SUM(M249:M260)&gt;0,(Z261/G261),0)</f>
        <v>0</v>
      </c>
      <c r="N261" s="301" t="n">
        <f aca="false">IF(SUM(N249:N260)&gt;0,(AA261/G261),0)</f>
        <v>0</v>
      </c>
      <c r="O261" s="301" t="n">
        <f aca="false">IF(SUM(O249:O260)&gt;0,(AB261/G261),0)</f>
        <v>0</v>
      </c>
      <c r="P261" s="301" t="n">
        <f aca="false">IF(SUM(P249:P260)&gt;0,(AC261/G261),0)</f>
        <v>0</v>
      </c>
      <c r="Q261" s="301" t="n">
        <f aca="false">IF(SUM(Q249:Q260)&gt;0,(AD261/G261),0)</f>
        <v>0</v>
      </c>
      <c r="R261" s="301" t="n">
        <f aca="false">IF(SUM(R249:R260)&gt;0,(AE261/G261),0)</f>
        <v>0</v>
      </c>
      <c r="S261" s="301" t="n">
        <f aca="false">IF(SUM(S249:S260)&gt;0,(AF261/G261),0)</f>
        <v>0</v>
      </c>
      <c r="T261" s="301" t="n">
        <f aca="false">IF(SUM(T249:T260)&gt;0,(AG261/G261),0)</f>
        <v>0</v>
      </c>
      <c r="U261" s="301" t="n">
        <f aca="false">IF(SUM(U249:U260)&gt;0,(AJ261/G261),0)</f>
        <v>0</v>
      </c>
      <c r="V261" s="301" t="n">
        <f aca="false">IF(SUM(V249:V260)&gt;0,(AI261/G261),0)</f>
        <v>0</v>
      </c>
      <c r="W261" s="301" t="n">
        <f aca="false">IF(SUM(W249:W260)&gt;0,(AJ261/G261),0)</f>
        <v>0</v>
      </c>
      <c r="X261" s="283"/>
      <c r="Y261" s="304" t="n">
        <f aca="false">SUM(Y249:Y260)</f>
        <v>0</v>
      </c>
      <c r="Z261" s="304" t="n">
        <f aca="false">SUM(Z249:Z260)</f>
        <v>0</v>
      </c>
      <c r="AA261" s="304" t="n">
        <f aca="false">SUM(AA249:AA260)</f>
        <v>0</v>
      </c>
      <c r="AB261" s="304" t="n">
        <f aca="false">SUM(AB249:AB260)</f>
        <v>0</v>
      </c>
      <c r="AC261" s="304" t="n">
        <f aca="false">SUM(AC249:AC260)</f>
        <v>0</v>
      </c>
      <c r="AD261" s="304" t="n">
        <f aca="false">SUM(AD249:AD260)</f>
        <v>0</v>
      </c>
      <c r="AE261" s="304" t="n">
        <f aca="false">SUM(AE249:AE260)</f>
        <v>0</v>
      </c>
      <c r="AF261" s="304" t="n">
        <f aca="false">SUM(AF249:AF260)</f>
        <v>0</v>
      </c>
      <c r="AG261" s="304" t="n">
        <f aca="false">SUM(AG249:AG260)</f>
        <v>0</v>
      </c>
      <c r="AH261" s="304" t="n">
        <f aca="false">SUM(AH249:AH260)</f>
        <v>0</v>
      </c>
      <c r="AI261" s="304" t="n">
        <f aca="false">SUM(AI249:AI260)</f>
        <v>0</v>
      </c>
      <c r="AJ261" s="304" t="n">
        <f aca="false">SUM(AJ249:AJ260)</f>
        <v>0</v>
      </c>
      <c r="AK261" s="335" t="n">
        <f aca="false">SUM(AK249:AK260)</f>
        <v>0</v>
      </c>
      <c r="AL261" s="336" t="n">
        <f aca="false">SUM(AL249:AL260)</f>
        <v>0</v>
      </c>
      <c r="AM261" s="305" t="n">
        <f aca="false">SUM(AM249:AM260)</f>
        <v>0</v>
      </c>
      <c r="AN261" s="283"/>
      <c r="AO261" s="304" t="n">
        <f aca="false">SUM(AO249:AO260)</f>
        <v>0</v>
      </c>
      <c r="AP261" s="304" t="n">
        <f aca="false">SUM(AP249:AP260)</f>
        <v>0</v>
      </c>
      <c r="AQ261" s="304" t="n">
        <f aca="false">SUM(AQ249:AQ260)</f>
        <v>0</v>
      </c>
      <c r="AR261" s="304" t="n">
        <f aca="false">SUM(AR249:AR260)</f>
        <v>0</v>
      </c>
      <c r="AS261" s="304" t="n">
        <f aca="false">SUM(AS249:AS260)</f>
        <v>0</v>
      </c>
      <c r="AT261" s="304" t="n">
        <f aca="false">SUM(AT249:AT260)</f>
        <v>0</v>
      </c>
      <c r="AU261" s="304" t="n">
        <f aca="false">SUM(AU249:AU260)</f>
        <v>0</v>
      </c>
      <c r="AV261" s="304" t="n">
        <f aca="false">SUM(AV249:AV260)</f>
        <v>0</v>
      </c>
      <c r="AW261" s="304" t="n">
        <f aca="false">SUM(AW249:AW260)</f>
        <v>0</v>
      </c>
      <c r="AX261" s="304" t="n">
        <f aca="false">SUM(AX249:AX260)</f>
        <v>0</v>
      </c>
      <c r="AY261" s="304" t="n">
        <f aca="false">SUM(AY249:AY260)</f>
        <v>0</v>
      </c>
      <c r="AZ261" s="304" t="n">
        <f aca="false">SUM(AZ249:AZ260)</f>
        <v>0</v>
      </c>
      <c r="BA261" s="336" t="n">
        <f aca="false">SUM(BA249:BA260)</f>
        <v>0</v>
      </c>
      <c r="BB261" s="336" t="n">
        <f aca="false">SUM(BB249:BB260)</f>
        <v>0</v>
      </c>
      <c r="BC261" s="305" t="n">
        <f aca="false">SUM(BC249:BC260)</f>
        <v>0</v>
      </c>
      <c r="BD261" s="303"/>
      <c r="BE261" s="337"/>
    </row>
    <row r="262" customFormat="false" ht="15" hidden="false" customHeight="true" outlineLevel="0" collapsed="false">
      <c r="B262" s="296"/>
      <c r="D262" s="297"/>
      <c r="E262" s="300"/>
      <c r="F262" s="300"/>
      <c r="G262" s="300"/>
      <c r="H262" s="241"/>
      <c r="I262" s="302"/>
      <c r="J262" s="302"/>
      <c r="K262" s="241"/>
      <c r="L262" s="259"/>
      <c r="M262" s="259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303"/>
      <c r="Y262" s="259"/>
      <c r="Z262" s="303"/>
      <c r="AA262" s="303"/>
      <c r="AB262" s="303"/>
      <c r="AC262" s="303"/>
      <c r="AD262" s="303"/>
      <c r="AE262" s="303"/>
      <c r="AF262" s="303"/>
      <c r="AG262" s="303"/>
      <c r="AH262" s="303"/>
      <c r="AI262" s="303"/>
      <c r="AJ262" s="303"/>
      <c r="AK262" s="303"/>
      <c r="AL262" s="303"/>
      <c r="AM262" s="303"/>
      <c r="AN262" s="303"/>
      <c r="AO262" s="259"/>
      <c r="AP262" s="303"/>
      <c r="AQ262" s="303"/>
      <c r="AR262" s="303"/>
      <c r="AS262" s="303"/>
      <c r="AT262" s="303"/>
      <c r="AU262" s="303"/>
      <c r="AV262" s="303"/>
      <c r="AW262" s="303"/>
      <c r="AX262" s="303"/>
      <c r="AY262" s="303"/>
      <c r="AZ262" s="303"/>
      <c r="BA262" s="303"/>
      <c r="BB262" s="303"/>
      <c r="BC262" s="303"/>
      <c r="BD262" s="268"/>
      <c r="BE262" s="303"/>
    </row>
    <row r="263" customFormat="false" ht="15" hidden="false" customHeight="true" outlineLevel="0" collapsed="false">
      <c r="A263" s="198" t="n">
        <f aca="false">A247+1</f>
        <v>17</v>
      </c>
      <c r="B263" s="266" t="s">
        <v>253</v>
      </c>
      <c r="C263" s="266" t="s">
        <v>253</v>
      </c>
      <c r="D263" s="266"/>
      <c r="E263" s="241"/>
      <c r="F263" s="241"/>
      <c r="G263" s="241"/>
      <c r="H263" s="241"/>
      <c r="I263" s="241"/>
      <c r="J263" s="241"/>
      <c r="K263" s="277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59"/>
      <c r="Y263" s="268"/>
      <c r="Z263" s="268"/>
      <c r="AA263" s="268"/>
      <c r="AB263" s="268"/>
      <c r="AC263" s="268"/>
      <c r="AD263" s="268"/>
      <c r="AE263" s="268"/>
      <c r="AF263" s="268"/>
      <c r="AG263" s="268"/>
      <c r="AH263" s="268"/>
      <c r="AI263" s="268"/>
      <c r="AJ263" s="268"/>
      <c r="AK263" s="268"/>
      <c r="AL263" s="268"/>
      <c r="AM263" s="268"/>
      <c r="AN263" s="259"/>
      <c r="AO263" s="268"/>
      <c r="AP263" s="268"/>
      <c r="AQ263" s="268"/>
      <c r="AR263" s="268"/>
      <c r="AS263" s="268"/>
      <c r="AT263" s="268"/>
      <c r="AU263" s="268"/>
      <c r="AV263" s="268"/>
      <c r="AW263" s="268"/>
      <c r="AX263" s="268"/>
      <c r="AY263" s="268"/>
      <c r="AZ263" s="268"/>
      <c r="BA263" s="268"/>
      <c r="BB263" s="268"/>
      <c r="BC263" s="268"/>
      <c r="BD263" s="287"/>
      <c r="BE263" s="268"/>
    </row>
    <row r="264" customFormat="false" ht="7.5" hidden="false" customHeight="true" outlineLevel="0" collapsed="false">
      <c r="A264" s="198"/>
      <c r="B264" s="266"/>
      <c r="C264" s="266"/>
      <c r="D264" s="266"/>
      <c r="E264" s="241"/>
      <c r="F264" s="241"/>
      <c r="G264" s="241"/>
      <c r="H264" s="204"/>
      <c r="I264" s="269"/>
      <c r="J264" s="269"/>
      <c r="K264" s="277"/>
      <c r="L264" s="269"/>
      <c r="M264" s="269"/>
      <c r="N264" s="269"/>
      <c r="O264" s="269"/>
      <c r="P264" s="269"/>
      <c r="Q264" s="269"/>
      <c r="R264" s="269"/>
      <c r="S264" s="269"/>
      <c r="T264" s="269"/>
      <c r="U264" s="269"/>
      <c r="V264" s="269"/>
      <c r="W264" s="269"/>
      <c r="X264" s="259"/>
      <c r="Y264" s="271"/>
      <c r="Z264" s="271"/>
      <c r="AA264" s="271"/>
      <c r="AB264" s="271"/>
      <c r="AC264" s="271"/>
      <c r="AD264" s="271"/>
      <c r="AE264" s="271"/>
      <c r="AF264" s="271"/>
      <c r="AG264" s="271"/>
      <c r="AH264" s="271"/>
      <c r="AI264" s="271"/>
      <c r="AJ264" s="272"/>
      <c r="AK264" s="273"/>
      <c r="AL264" s="273"/>
      <c r="AM264" s="273"/>
      <c r="AN264" s="259"/>
      <c r="AO264" s="271"/>
      <c r="AP264" s="271"/>
      <c r="AQ264" s="271"/>
      <c r="AR264" s="271"/>
      <c r="AS264" s="271"/>
      <c r="AT264" s="271"/>
      <c r="AU264" s="271"/>
      <c r="AV264" s="271"/>
      <c r="AW264" s="271"/>
      <c r="AX264" s="271"/>
      <c r="AY264" s="271"/>
      <c r="AZ264" s="272"/>
      <c r="BA264" s="273"/>
      <c r="BB264" s="273"/>
      <c r="BC264" s="273"/>
      <c r="BD264" s="287"/>
      <c r="BE264" s="274"/>
    </row>
    <row r="265" customFormat="false" ht="15" hidden="false" customHeight="true" outlineLevel="0" collapsed="false">
      <c r="B265" s="333"/>
      <c r="C265" s="334"/>
      <c r="D265" s="333" t="n">
        <f aca="false">D249</f>
        <v>45292</v>
      </c>
      <c r="E265" s="277" t="n">
        <v>0</v>
      </c>
      <c r="F265" s="277" t="n">
        <v>0</v>
      </c>
      <c r="G265" s="277" t="n">
        <f aca="false">SUM(E265:F265)</f>
        <v>0</v>
      </c>
      <c r="H265" s="204"/>
      <c r="I265" s="279" t="n">
        <v>1</v>
      </c>
      <c r="J265" s="280" t="n">
        <f aca="false">1-I265</f>
        <v>0</v>
      </c>
      <c r="K265" s="277"/>
      <c r="L265" s="282"/>
      <c r="M265" s="282"/>
      <c r="N265" s="282"/>
      <c r="O265" s="282"/>
      <c r="P265" s="282"/>
      <c r="Q265" s="282"/>
      <c r="R265" s="282"/>
      <c r="S265" s="282"/>
      <c r="T265" s="282"/>
      <c r="U265" s="282"/>
      <c r="V265" s="282"/>
      <c r="W265" s="282"/>
      <c r="X265" s="268"/>
      <c r="Y265" s="284" t="n">
        <f aca="false">IFERROR(L265*$G265*I$9, "")</f>
        <v>0</v>
      </c>
      <c r="Z265" s="284" t="n">
        <f aca="false">IFERROR(M265*$G265*$I265, "")</f>
        <v>0</v>
      </c>
      <c r="AA265" s="284" t="n">
        <f aca="false">IFERROR(N265*$G265*$I265, "")</f>
        <v>0</v>
      </c>
      <c r="AB265" s="284" t="n">
        <f aca="false">IFERROR(O265*$G265*$I265, "")</f>
        <v>0</v>
      </c>
      <c r="AC265" s="284" t="n">
        <f aca="false">IFERROR(P265*$G265*$I265, "")</f>
        <v>0</v>
      </c>
      <c r="AD265" s="284" t="n">
        <f aca="false">IFERROR(Q265*$G265*$I265, "")</f>
        <v>0</v>
      </c>
      <c r="AE265" s="284" t="n">
        <f aca="false">IFERROR(R265*$G265*$I265, "")</f>
        <v>0</v>
      </c>
      <c r="AF265" s="284" t="n">
        <f aca="false">IFERROR(S265*$G265*$I265, "")</f>
        <v>0</v>
      </c>
      <c r="AG265" s="284" t="n">
        <f aca="false">IFERROR(T265*$G265*$I265, "")</f>
        <v>0</v>
      </c>
      <c r="AH265" s="284" t="n">
        <f aca="false">IFERROR(U265*$G265*$I265, "")</f>
        <v>0</v>
      </c>
      <c r="AI265" s="284" t="n">
        <f aca="false">IFERROR(V265*$G265*$I265, "")</f>
        <v>0</v>
      </c>
      <c r="AJ265" s="284" t="n">
        <f aca="false">IFERROR(W265*$G265*$I265, "")</f>
        <v>0</v>
      </c>
      <c r="AK265" s="286" t="n">
        <f aca="false">IFERROR(SUMIF($Y$4:$AJ$4, "RDEC", Y265:AJ265), "")</f>
        <v>0</v>
      </c>
      <c r="AL265" s="286" t="n">
        <f aca="false">IFERROR(SUMIF($Y$4:$AJ$4, "SME", Y265:AJ265), "")</f>
        <v>0</v>
      </c>
      <c r="AM265" s="286" t="n">
        <f aca="false">IFERROR(SUMIF($Y$4:$AJ$4, "De Minimis", Y265:AJ265), "")</f>
        <v>0</v>
      </c>
      <c r="AN265" s="268"/>
      <c r="AO265" s="284" t="n">
        <f aca="false">IFERROR($G265*$J265*L265, "")</f>
        <v>0</v>
      </c>
      <c r="AP265" s="284" t="n">
        <f aca="false">IFERROR($G265*$J265*M265, "")</f>
        <v>0</v>
      </c>
      <c r="AQ265" s="284" t="n">
        <f aca="false">IFERROR($G265*$J265*N265, "")</f>
        <v>0</v>
      </c>
      <c r="AR265" s="284" t="n">
        <f aca="false">IFERROR($G265*$J265*O265, "")</f>
        <v>0</v>
      </c>
      <c r="AS265" s="284" t="n">
        <f aca="false">IFERROR($G265*$J265*P265, "")</f>
        <v>0</v>
      </c>
      <c r="AT265" s="284" t="n">
        <f aca="false">IFERROR($G265*$J265*Q265, "")</f>
        <v>0</v>
      </c>
      <c r="AU265" s="284" t="n">
        <f aca="false">IFERROR($G265*$J265*R265, "")</f>
        <v>0</v>
      </c>
      <c r="AV265" s="284" t="n">
        <f aca="false">IFERROR($G265*$J265*S265, "")</f>
        <v>0</v>
      </c>
      <c r="AW265" s="284" t="n">
        <f aca="false">IFERROR($G265*$J265*T265, "")</f>
        <v>0</v>
      </c>
      <c r="AX265" s="284" t="n">
        <f aca="false">IFERROR($G265*$J265*U265, "")</f>
        <v>0</v>
      </c>
      <c r="AY265" s="284" t="n">
        <f aca="false">IFERROR($G265*$J265*V265, "")</f>
        <v>0</v>
      </c>
      <c r="AZ265" s="284" t="n">
        <f aca="false">IFERROR($G265*$J265*W265, "")</f>
        <v>0</v>
      </c>
      <c r="BA265" s="286" t="n">
        <f aca="false">IFERROR(SUMIF($AO$4:$AZ$4, "RDEC", AO265:AZ265), "")</f>
        <v>0</v>
      </c>
      <c r="BB265" s="286" t="n">
        <f aca="false">IFERROR(SUMIF($AO$4:$AZ$4, "SME", AO265:AZ265), "")</f>
        <v>0</v>
      </c>
      <c r="BC265" s="286" t="n">
        <f aca="false">IFERROR(SUMIF($AO$4:$AZ$4, "De Minimis", AO265:AZ265), "")</f>
        <v>0</v>
      </c>
      <c r="BD265" s="287"/>
      <c r="BE265" s="288" t="str">
        <f aca="false">IF((SUM(L265:W265)&gt;1),"ERROR","")</f>
        <v/>
      </c>
    </row>
    <row r="266" customFormat="false" ht="15" hidden="false" customHeight="true" outlineLevel="0" collapsed="false">
      <c r="B266" s="333"/>
      <c r="C266" s="334"/>
      <c r="D266" s="333" t="n">
        <f aca="false">D250</f>
        <v>45323</v>
      </c>
      <c r="E266" s="277" t="n">
        <v>0</v>
      </c>
      <c r="F266" s="277" t="n">
        <v>0</v>
      </c>
      <c r="G266" s="277" t="n">
        <f aca="false">SUM(E266:F266)</f>
        <v>0</v>
      </c>
      <c r="H266" s="204"/>
      <c r="I266" s="279" t="n">
        <v>1</v>
      </c>
      <c r="J266" s="280" t="n">
        <f aca="false">1-I266</f>
        <v>0</v>
      </c>
      <c r="K266" s="277"/>
      <c r="L266" s="282"/>
      <c r="M266" s="282"/>
      <c r="N266" s="282"/>
      <c r="O266" s="282"/>
      <c r="P266" s="282"/>
      <c r="Q266" s="282"/>
      <c r="R266" s="282"/>
      <c r="S266" s="282"/>
      <c r="T266" s="282"/>
      <c r="U266" s="282"/>
      <c r="V266" s="282"/>
      <c r="W266" s="282"/>
      <c r="X266" s="283"/>
      <c r="Y266" s="284" t="n">
        <f aca="false">IFERROR(L266*$G266*I$9, "")</f>
        <v>0</v>
      </c>
      <c r="Z266" s="284" t="n">
        <f aca="false">IFERROR(M266*$G266*$I266, "")</f>
        <v>0</v>
      </c>
      <c r="AA266" s="284" t="n">
        <f aca="false">IFERROR(N266*$G266*$I266, "")</f>
        <v>0</v>
      </c>
      <c r="AB266" s="284" t="n">
        <f aca="false">IFERROR(O266*$G266*$I266, "")</f>
        <v>0</v>
      </c>
      <c r="AC266" s="284" t="n">
        <f aca="false">IFERROR(P266*$G266*$I266, "")</f>
        <v>0</v>
      </c>
      <c r="AD266" s="284" t="n">
        <f aca="false">IFERROR(Q266*$G266*$I266, "")</f>
        <v>0</v>
      </c>
      <c r="AE266" s="284" t="n">
        <f aca="false">IFERROR(R266*$G266*$I266, "")</f>
        <v>0</v>
      </c>
      <c r="AF266" s="284" t="n">
        <f aca="false">IFERROR(S266*$G266*$I266, "")</f>
        <v>0</v>
      </c>
      <c r="AG266" s="284" t="n">
        <f aca="false">IFERROR(T266*$G266*$I266, "")</f>
        <v>0</v>
      </c>
      <c r="AH266" s="284" t="n">
        <f aca="false">IFERROR(U266*$G266*$I266, "")</f>
        <v>0</v>
      </c>
      <c r="AI266" s="284" t="n">
        <f aca="false">IFERROR(V266*$G266*$I266, "")</f>
        <v>0</v>
      </c>
      <c r="AJ266" s="284" t="n">
        <f aca="false">IFERROR(W266*$G266*$I266, "")</f>
        <v>0</v>
      </c>
      <c r="AK266" s="286" t="n">
        <f aca="false">IFERROR(SUMIF($Y$4:$AJ$4, "RDEC", Y266:AJ266), "")</f>
        <v>0</v>
      </c>
      <c r="AL266" s="286" t="n">
        <f aca="false">IFERROR(SUMIF($Y$4:$AJ$4, "SME", Y266:AJ266), "")</f>
        <v>0</v>
      </c>
      <c r="AM266" s="286" t="n">
        <f aca="false">IFERROR(SUMIF($Y$4:$AJ$4, "De Minimis", Y266:AJ266), "")</f>
        <v>0</v>
      </c>
      <c r="AN266" s="283"/>
      <c r="AO266" s="284" t="n">
        <f aca="false">IFERROR($G266*$J266*L266, "")</f>
        <v>0</v>
      </c>
      <c r="AP266" s="284" t="n">
        <f aca="false">IFERROR($G266*$J266*M266, "")</f>
        <v>0</v>
      </c>
      <c r="AQ266" s="284" t="n">
        <f aca="false">IFERROR($G266*$J266*N266, "")</f>
        <v>0</v>
      </c>
      <c r="AR266" s="284" t="n">
        <f aca="false">IFERROR($G266*$J266*O266, "")</f>
        <v>0</v>
      </c>
      <c r="AS266" s="284" t="n">
        <f aca="false">IFERROR($G266*$J266*P266, "")</f>
        <v>0</v>
      </c>
      <c r="AT266" s="284" t="n">
        <f aca="false">IFERROR($G266*$J266*Q266, "")</f>
        <v>0</v>
      </c>
      <c r="AU266" s="284" t="n">
        <f aca="false">IFERROR($G266*$J266*R266, "")</f>
        <v>0</v>
      </c>
      <c r="AV266" s="284" t="n">
        <f aca="false">IFERROR($G266*$J266*S266, "")</f>
        <v>0</v>
      </c>
      <c r="AW266" s="284" t="n">
        <f aca="false">IFERROR($G266*$J266*T266, "")</f>
        <v>0</v>
      </c>
      <c r="AX266" s="284" t="n">
        <f aca="false">IFERROR($G266*$J266*U266, "")</f>
        <v>0</v>
      </c>
      <c r="AY266" s="284" t="n">
        <f aca="false">IFERROR($G266*$J266*V266, "")</f>
        <v>0</v>
      </c>
      <c r="AZ266" s="284" t="n">
        <f aca="false">IFERROR($G266*$J266*W266, "")</f>
        <v>0</v>
      </c>
      <c r="BA266" s="286" t="n">
        <f aca="false">IFERROR(SUMIF($AO$4:$AZ$4, "RDEC", AO266:AZ266), "")</f>
        <v>0</v>
      </c>
      <c r="BB266" s="286" t="n">
        <f aca="false">IFERROR(SUMIF($AO$4:$AZ$4, "SME", AO266:AZ266), "")</f>
        <v>0</v>
      </c>
      <c r="BC266" s="286" t="n">
        <f aca="false">IFERROR(SUMIF($Y$4:$AJ$4, "De Minimis", AO266:AZ266), "")</f>
        <v>0</v>
      </c>
      <c r="BD266" s="287"/>
      <c r="BE266" s="288" t="str">
        <f aca="false">IF((SUM(L266:W266)&gt;1),"ERROR","")</f>
        <v/>
      </c>
    </row>
    <row r="267" customFormat="false" ht="15" hidden="false" customHeight="true" outlineLevel="0" collapsed="false">
      <c r="B267" s="333"/>
      <c r="C267" s="334"/>
      <c r="D267" s="333" t="n">
        <f aca="false">D251</f>
        <v>45352</v>
      </c>
      <c r="E267" s="277" t="n">
        <v>0</v>
      </c>
      <c r="F267" s="277" t="n">
        <v>0</v>
      </c>
      <c r="G267" s="277" t="n">
        <f aca="false">SUM(E267:F267)</f>
        <v>0</v>
      </c>
      <c r="H267" s="204"/>
      <c r="I267" s="279" t="n">
        <v>1</v>
      </c>
      <c r="J267" s="280" t="n">
        <f aca="false">1-I267</f>
        <v>0</v>
      </c>
      <c r="K267" s="277"/>
      <c r="L267" s="282"/>
      <c r="M267" s="282"/>
      <c r="N267" s="282"/>
      <c r="O267" s="282"/>
      <c r="P267" s="282"/>
      <c r="Q267" s="282"/>
      <c r="R267" s="282"/>
      <c r="S267" s="282"/>
      <c r="T267" s="282"/>
      <c r="U267" s="282"/>
      <c r="V267" s="282"/>
      <c r="W267" s="282"/>
      <c r="X267" s="283"/>
      <c r="Y267" s="284" t="n">
        <f aca="false">IFERROR(L267*$G267*I$9, "")</f>
        <v>0</v>
      </c>
      <c r="Z267" s="284" t="n">
        <f aca="false">IFERROR(M267*$G267*$I267, "")</f>
        <v>0</v>
      </c>
      <c r="AA267" s="284" t="n">
        <f aca="false">IFERROR(N267*$G267*$I267, "")</f>
        <v>0</v>
      </c>
      <c r="AB267" s="284" t="n">
        <f aca="false">IFERROR(O267*$G267*$I267, "")</f>
        <v>0</v>
      </c>
      <c r="AC267" s="284" t="n">
        <f aca="false">IFERROR(P267*$G267*$I267, "")</f>
        <v>0</v>
      </c>
      <c r="AD267" s="284" t="n">
        <f aca="false">IFERROR(Q267*$G267*$I267, "")</f>
        <v>0</v>
      </c>
      <c r="AE267" s="284" t="n">
        <f aca="false">IFERROR(R267*$G267*$I267, "")</f>
        <v>0</v>
      </c>
      <c r="AF267" s="284" t="n">
        <f aca="false">IFERROR(S267*$G267*$I267, "")</f>
        <v>0</v>
      </c>
      <c r="AG267" s="284" t="n">
        <f aca="false">IFERROR(T267*$G267*$I267, "")</f>
        <v>0</v>
      </c>
      <c r="AH267" s="284" t="n">
        <f aca="false">IFERROR(U267*$G267*$I267, "")</f>
        <v>0</v>
      </c>
      <c r="AI267" s="284" t="n">
        <f aca="false">IFERROR(V267*$G267*$I267, "")</f>
        <v>0</v>
      </c>
      <c r="AJ267" s="284" t="n">
        <f aca="false">IFERROR(W267*$G267*$I267, "")</f>
        <v>0</v>
      </c>
      <c r="AK267" s="286" t="n">
        <f aca="false">IFERROR(SUMIF($Y$4:$AJ$4, "RDEC", Y267:AJ267), "")</f>
        <v>0</v>
      </c>
      <c r="AL267" s="286" t="n">
        <f aca="false">IFERROR(SUMIF($Y$4:$AJ$4, "SME", Y267:AJ267), "")</f>
        <v>0</v>
      </c>
      <c r="AM267" s="286" t="n">
        <f aca="false">IFERROR(SUMIF($Y$4:$AJ$4, "De Minimis", Y267:AJ267), "")</f>
        <v>0</v>
      </c>
      <c r="AN267" s="283"/>
      <c r="AO267" s="284" t="n">
        <f aca="false">IFERROR($G267*$J267*L267, "")</f>
        <v>0</v>
      </c>
      <c r="AP267" s="284" t="n">
        <f aca="false">IFERROR($G267*$J267*M267, "")</f>
        <v>0</v>
      </c>
      <c r="AQ267" s="284" t="n">
        <f aca="false">IFERROR($G267*$J267*N267, "")</f>
        <v>0</v>
      </c>
      <c r="AR267" s="284" t="n">
        <f aca="false">IFERROR($G267*$J267*O267, "")</f>
        <v>0</v>
      </c>
      <c r="AS267" s="284" t="n">
        <f aca="false">IFERROR($G267*$J267*P267, "")</f>
        <v>0</v>
      </c>
      <c r="AT267" s="284" t="n">
        <f aca="false">IFERROR($G267*$J267*Q267, "")</f>
        <v>0</v>
      </c>
      <c r="AU267" s="284" t="n">
        <f aca="false">IFERROR($G267*$J267*R267, "")</f>
        <v>0</v>
      </c>
      <c r="AV267" s="284" t="n">
        <f aca="false">IFERROR($G267*$J267*S267, "")</f>
        <v>0</v>
      </c>
      <c r="AW267" s="284" t="n">
        <f aca="false">IFERROR($G267*$J267*T267, "")</f>
        <v>0</v>
      </c>
      <c r="AX267" s="284" t="n">
        <f aca="false">IFERROR($G267*$J267*U267, "")</f>
        <v>0</v>
      </c>
      <c r="AY267" s="284" t="n">
        <f aca="false">IFERROR($G267*$J267*V267, "")</f>
        <v>0</v>
      </c>
      <c r="AZ267" s="284" t="n">
        <f aca="false">IFERROR($G267*$J267*W267, "")</f>
        <v>0</v>
      </c>
      <c r="BA267" s="286" t="n">
        <f aca="false">IFERROR(SUMIF($AO$4:$AZ$4, "RDEC", AO267:AZ267), "")</f>
        <v>0</v>
      </c>
      <c r="BB267" s="286" t="n">
        <f aca="false">IFERROR(SUMIF($AO$4:$AZ$4, "SME", AO267:AZ267), "")</f>
        <v>0</v>
      </c>
      <c r="BC267" s="286" t="n">
        <f aca="false">IFERROR(SUMIF($Y$4:$AJ$4, "De Minimis", AO267:AZ267), "")</f>
        <v>0</v>
      </c>
      <c r="BD267" s="287"/>
      <c r="BE267" s="288" t="str">
        <f aca="false">IF((SUM(L267:W267)&gt;1),"ERROR","")</f>
        <v/>
      </c>
    </row>
    <row r="268" customFormat="false" ht="15" hidden="false" customHeight="true" outlineLevel="0" collapsed="false">
      <c r="B268" s="333"/>
      <c r="C268" s="334"/>
      <c r="D268" s="333" t="n">
        <f aca="false">D252</f>
        <v>45383</v>
      </c>
      <c r="E268" s="277" t="n">
        <v>0</v>
      </c>
      <c r="F268" s="277" t="n">
        <v>0</v>
      </c>
      <c r="G268" s="277" t="n">
        <f aca="false">SUM(E268:F268)</f>
        <v>0</v>
      </c>
      <c r="H268" s="204"/>
      <c r="I268" s="279" t="n">
        <v>1</v>
      </c>
      <c r="J268" s="280" t="n">
        <f aca="false">1-I268</f>
        <v>0</v>
      </c>
      <c r="K268" s="277"/>
      <c r="L268" s="282"/>
      <c r="M268" s="282"/>
      <c r="N268" s="282"/>
      <c r="O268" s="282"/>
      <c r="P268" s="282"/>
      <c r="Q268" s="282"/>
      <c r="R268" s="282"/>
      <c r="S268" s="282"/>
      <c r="T268" s="282"/>
      <c r="U268" s="282"/>
      <c r="V268" s="282"/>
      <c r="W268" s="282"/>
      <c r="X268" s="283"/>
      <c r="Y268" s="284" t="n">
        <f aca="false">IFERROR(L268*$G268*I$9, "")</f>
        <v>0</v>
      </c>
      <c r="Z268" s="284" t="n">
        <f aca="false">IFERROR(M268*$G268*$I268, "")</f>
        <v>0</v>
      </c>
      <c r="AA268" s="284" t="n">
        <f aca="false">IFERROR(N268*$G268*$I268, "")</f>
        <v>0</v>
      </c>
      <c r="AB268" s="284" t="n">
        <f aca="false">IFERROR(O268*$G268*$I268, "")</f>
        <v>0</v>
      </c>
      <c r="AC268" s="284" t="n">
        <f aca="false">IFERROR(P268*$G268*$I268, "")</f>
        <v>0</v>
      </c>
      <c r="AD268" s="284" t="n">
        <f aca="false">IFERROR(Q268*$G268*$I268, "")</f>
        <v>0</v>
      </c>
      <c r="AE268" s="284" t="n">
        <f aca="false">IFERROR(R268*$G268*$I268, "")</f>
        <v>0</v>
      </c>
      <c r="AF268" s="284" t="n">
        <f aca="false">IFERROR(S268*$G268*$I268, "")</f>
        <v>0</v>
      </c>
      <c r="AG268" s="284" t="n">
        <f aca="false">IFERROR(T268*$G268*$I268, "")</f>
        <v>0</v>
      </c>
      <c r="AH268" s="284" t="n">
        <f aca="false">IFERROR(U268*$G268*$I268, "")</f>
        <v>0</v>
      </c>
      <c r="AI268" s="284" t="n">
        <f aca="false">IFERROR(V268*$G268*$I268, "")</f>
        <v>0</v>
      </c>
      <c r="AJ268" s="284" t="n">
        <f aca="false">IFERROR(W268*$G268*$I268, "")</f>
        <v>0</v>
      </c>
      <c r="AK268" s="286" t="n">
        <f aca="false">IFERROR(SUMIF($Y$4:$AJ$4, "RDEC", Y268:AJ268), "")</f>
        <v>0</v>
      </c>
      <c r="AL268" s="286" t="n">
        <f aca="false">IFERROR(SUMIF($Y$4:$AJ$4, "SME", Y268:AJ268), "")</f>
        <v>0</v>
      </c>
      <c r="AM268" s="286" t="n">
        <f aca="false">IFERROR(SUMIF($Y$4:$AJ$4, "De Minimis", Y268:AJ268), "")</f>
        <v>0</v>
      </c>
      <c r="AN268" s="283"/>
      <c r="AO268" s="284" t="n">
        <f aca="false">IFERROR($G268*$J268*L268, "")</f>
        <v>0</v>
      </c>
      <c r="AP268" s="284" t="n">
        <f aca="false">IFERROR($G268*$J268*M268, "")</f>
        <v>0</v>
      </c>
      <c r="AQ268" s="284" t="n">
        <f aca="false">IFERROR($G268*$J268*N268, "")</f>
        <v>0</v>
      </c>
      <c r="AR268" s="284" t="n">
        <f aca="false">IFERROR($G268*$J268*O268, "")</f>
        <v>0</v>
      </c>
      <c r="AS268" s="284" t="n">
        <f aca="false">IFERROR($G268*$J268*P268, "")</f>
        <v>0</v>
      </c>
      <c r="AT268" s="284" t="n">
        <f aca="false">IFERROR($G268*$J268*Q268, "")</f>
        <v>0</v>
      </c>
      <c r="AU268" s="284" t="n">
        <f aca="false">IFERROR($G268*$J268*R268, "")</f>
        <v>0</v>
      </c>
      <c r="AV268" s="284" t="n">
        <f aca="false">IFERROR($G268*$J268*S268, "")</f>
        <v>0</v>
      </c>
      <c r="AW268" s="284" t="n">
        <f aca="false">IFERROR($G268*$J268*T268, "")</f>
        <v>0</v>
      </c>
      <c r="AX268" s="284" t="n">
        <f aca="false">IFERROR($G268*$J268*U268, "")</f>
        <v>0</v>
      </c>
      <c r="AY268" s="284" t="n">
        <f aca="false">IFERROR($G268*$J268*V268, "")</f>
        <v>0</v>
      </c>
      <c r="AZ268" s="284" t="n">
        <f aca="false">IFERROR($G268*$J268*W268, "")</f>
        <v>0</v>
      </c>
      <c r="BA268" s="286" t="n">
        <f aca="false">IFERROR(SUMIF($AO$4:$AZ$4, "RDEC", AO268:AZ268), "")</f>
        <v>0</v>
      </c>
      <c r="BB268" s="286" t="n">
        <f aca="false">IFERROR(SUMIF($AO$4:$AZ$4, "SME", AO268:AZ268), "")</f>
        <v>0</v>
      </c>
      <c r="BC268" s="286" t="n">
        <f aca="false">IFERROR(SUMIF($Y$4:$AJ$4, "De Minimis", AO268:AZ268), "")</f>
        <v>0</v>
      </c>
      <c r="BD268" s="287"/>
      <c r="BE268" s="288" t="str">
        <f aca="false">IF((SUM(L268:W268)&gt;1),"ERROR","")</f>
        <v/>
      </c>
    </row>
    <row r="269" customFormat="false" ht="15" hidden="false" customHeight="true" outlineLevel="0" collapsed="false">
      <c r="B269" s="333"/>
      <c r="C269" s="334"/>
      <c r="D269" s="333" t="n">
        <f aca="false">D253</f>
        <v>45413</v>
      </c>
      <c r="E269" s="277" t="n">
        <v>0</v>
      </c>
      <c r="F269" s="277" t="n">
        <v>0</v>
      </c>
      <c r="G269" s="277" t="n">
        <f aca="false">SUM(E269:F269)</f>
        <v>0</v>
      </c>
      <c r="H269" s="204"/>
      <c r="I269" s="279" t="n">
        <v>1</v>
      </c>
      <c r="J269" s="280" t="n">
        <f aca="false">1-I269</f>
        <v>0</v>
      </c>
      <c r="K269" s="277"/>
      <c r="L269" s="282"/>
      <c r="M269" s="282"/>
      <c r="N269" s="282"/>
      <c r="O269" s="282"/>
      <c r="P269" s="282"/>
      <c r="Q269" s="282"/>
      <c r="R269" s="282"/>
      <c r="S269" s="282"/>
      <c r="T269" s="282"/>
      <c r="U269" s="282"/>
      <c r="V269" s="282"/>
      <c r="W269" s="282"/>
      <c r="X269" s="283"/>
      <c r="Y269" s="284" t="n">
        <f aca="false">IFERROR(L269*$G269*I$9, "")</f>
        <v>0</v>
      </c>
      <c r="Z269" s="284" t="n">
        <f aca="false">IFERROR(M269*$G269*$I269, "")</f>
        <v>0</v>
      </c>
      <c r="AA269" s="284" t="n">
        <f aca="false">IFERROR(N269*$G269*$I269, "")</f>
        <v>0</v>
      </c>
      <c r="AB269" s="284" t="n">
        <f aca="false">IFERROR(O269*$G269*$I269, "")</f>
        <v>0</v>
      </c>
      <c r="AC269" s="284" t="n">
        <f aca="false">IFERROR(P269*$G269*$I269, "")</f>
        <v>0</v>
      </c>
      <c r="AD269" s="284" t="n">
        <f aca="false">IFERROR(Q269*$G269*$I269, "")</f>
        <v>0</v>
      </c>
      <c r="AE269" s="284" t="n">
        <f aca="false">IFERROR(R269*$G269*$I269, "")</f>
        <v>0</v>
      </c>
      <c r="AF269" s="284" t="n">
        <f aca="false">IFERROR(S269*$G269*$I269, "")</f>
        <v>0</v>
      </c>
      <c r="AG269" s="284" t="n">
        <f aca="false">IFERROR(T269*$G269*$I269, "")</f>
        <v>0</v>
      </c>
      <c r="AH269" s="284" t="n">
        <f aca="false">IFERROR(U269*$G269*$I269, "")</f>
        <v>0</v>
      </c>
      <c r="AI269" s="284" t="n">
        <f aca="false">IFERROR(V269*$G269*$I269, "")</f>
        <v>0</v>
      </c>
      <c r="AJ269" s="284" t="n">
        <f aca="false">IFERROR(W269*$G269*$I269, "")</f>
        <v>0</v>
      </c>
      <c r="AK269" s="286" t="n">
        <f aca="false">IFERROR(SUMIF($Y$4:$AJ$4, "RDEC", Y269:AJ269), "")</f>
        <v>0</v>
      </c>
      <c r="AL269" s="286" t="n">
        <f aca="false">IFERROR(SUMIF($Y$4:$AJ$4, "SME", Y269:AJ269), "")</f>
        <v>0</v>
      </c>
      <c r="AM269" s="286" t="n">
        <f aca="false">IFERROR(SUMIF($Y$4:$AJ$4, "De Minimis", Y269:AJ269), "")</f>
        <v>0</v>
      </c>
      <c r="AN269" s="283"/>
      <c r="AO269" s="284" t="n">
        <f aca="false">IFERROR($G269*$J269*L269, "")</f>
        <v>0</v>
      </c>
      <c r="AP269" s="284" t="n">
        <f aca="false">IFERROR($G269*$J269*M269, "")</f>
        <v>0</v>
      </c>
      <c r="AQ269" s="284" t="n">
        <f aca="false">IFERROR($G269*$J269*N269, "")</f>
        <v>0</v>
      </c>
      <c r="AR269" s="284" t="n">
        <f aca="false">IFERROR($G269*$J269*O269, "")</f>
        <v>0</v>
      </c>
      <c r="AS269" s="284" t="n">
        <f aca="false">IFERROR($G269*$J269*P269, "")</f>
        <v>0</v>
      </c>
      <c r="AT269" s="284" t="n">
        <f aca="false">IFERROR($G269*$J269*Q269, "")</f>
        <v>0</v>
      </c>
      <c r="AU269" s="284" t="n">
        <f aca="false">IFERROR($G269*$J269*R269, "")</f>
        <v>0</v>
      </c>
      <c r="AV269" s="284" t="n">
        <f aca="false">IFERROR($G269*$J269*S269, "")</f>
        <v>0</v>
      </c>
      <c r="AW269" s="284" t="n">
        <f aca="false">IFERROR($G269*$J269*T269, "")</f>
        <v>0</v>
      </c>
      <c r="AX269" s="284" t="n">
        <f aca="false">IFERROR($G269*$J269*U269, "")</f>
        <v>0</v>
      </c>
      <c r="AY269" s="284" t="n">
        <f aca="false">IFERROR($G269*$J269*V269, "")</f>
        <v>0</v>
      </c>
      <c r="AZ269" s="284" t="n">
        <f aca="false">IFERROR($G269*$J269*W269, "")</f>
        <v>0</v>
      </c>
      <c r="BA269" s="286" t="n">
        <f aca="false">IFERROR(SUMIF($AO$4:$AZ$4, "RDEC", AO269:AZ269), "")</f>
        <v>0</v>
      </c>
      <c r="BB269" s="286" t="n">
        <f aca="false">IFERROR(SUMIF($AO$4:$AZ$4, "SME", AO269:AZ269), "")</f>
        <v>0</v>
      </c>
      <c r="BC269" s="286" t="n">
        <f aca="false">IFERROR(SUMIF($Y$4:$AJ$4, "De Minimis", AO269:AZ269), "")</f>
        <v>0</v>
      </c>
      <c r="BD269" s="287"/>
      <c r="BE269" s="288" t="str">
        <f aca="false">IF((SUM(L269:W269)&gt;1),"ERROR","")</f>
        <v/>
      </c>
    </row>
    <row r="270" customFormat="false" ht="15" hidden="false" customHeight="true" outlineLevel="0" collapsed="false">
      <c r="B270" s="333"/>
      <c r="C270" s="334"/>
      <c r="D270" s="333" t="n">
        <f aca="false">D254</f>
        <v>45444</v>
      </c>
      <c r="E270" s="277" t="n">
        <v>0</v>
      </c>
      <c r="F270" s="277" t="n">
        <v>0</v>
      </c>
      <c r="G270" s="277" t="n">
        <f aca="false">SUM(E270:F270)</f>
        <v>0</v>
      </c>
      <c r="H270" s="204"/>
      <c r="I270" s="279" t="n">
        <v>1</v>
      </c>
      <c r="J270" s="280" t="n">
        <f aca="false">1-I270</f>
        <v>0</v>
      </c>
      <c r="K270" s="277"/>
      <c r="L270" s="282"/>
      <c r="M270" s="282"/>
      <c r="N270" s="282"/>
      <c r="O270" s="282"/>
      <c r="P270" s="282"/>
      <c r="Q270" s="282"/>
      <c r="R270" s="282"/>
      <c r="S270" s="282"/>
      <c r="T270" s="282"/>
      <c r="U270" s="282"/>
      <c r="V270" s="282"/>
      <c r="W270" s="282"/>
      <c r="X270" s="283"/>
      <c r="Y270" s="284" t="n">
        <f aca="false">IFERROR(L270*$G270*I$9, "")</f>
        <v>0</v>
      </c>
      <c r="Z270" s="284" t="n">
        <f aca="false">IFERROR(M270*$G270*$I270, "")</f>
        <v>0</v>
      </c>
      <c r="AA270" s="284" t="n">
        <f aca="false">IFERROR(N270*$G270*$I270, "")</f>
        <v>0</v>
      </c>
      <c r="AB270" s="284" t="n">
        <f aca="false">IFERROR(O270*$G270*$I270, "")</f>
        <v>0</v>
      </c>
      <c r="AC270" s="284" t="n">
        <f aca="false">IFERROR(P270*$G270*$I270, "")</f>
        <v>0</v>
      </c>
      <c r="AD270" s="284" t="n">
        <f aca="false">IFERROR(Q270*$G270*$I270, "")</f>
        <v>0</v>
      </c>
      <c r="AE270" s="284" t="n">
        <f aca="false">IFERROR(R270*$G270*$I270, "")</f>
        <v>0</v>
      </c>
      <c r="AF270" s="284" t="n">
        <f aca="false">IFERROR(S270*$G270*$I270, "")</f>
        <v>0</v>
      </c>
      <c r="AG270" s="284" t="n">
        <f aca="false">IFERROR(T270*$G270*$I270, "")</f>
        <v>0</v>
      </c>
      <c r="AH270" s="284" t="n">
        <f aca="false">IFERROR(U270*$G270*$I270, "")</f>
        <v>0</v>
      </c>
      <c r="AI270" s="284" t="n">
        <f aca="false">IFERROR(V270*$G270*$I270, "")</f>
        <v>0</v>
      </c>
      <c r="AJ270" s="284" t="n">
        <f aca="false">IFERROR(W270*$G270*$I270, "")</f>
        <v>0</v>
      </c>
      <c r="AK270" s="286" t="n">
        <f aca="false">IFERROR(SUMIF($Y$4:$AJ$4, "RDEC", Y270:AJ270), "")</f>
        <v>0</v>
      </c>
      <c r="AL270" s="286" t="n">
        <f aca="false">IFERROR(SUMIF($Y$4:$AJ$4, "SME", Y270:AJ270), "")</f>
        <v>0</v>
      </c>
      <c r="AM270" s="286" t="n">
        <f aca="false">IFERROR(SUMIF($Y$4:$AJ$4, "De Minimis", Y270:AJ270), "")</f>
        <v>0</v>
      </c>
      <c r="AN270" s="283"/>
      <c r="AO270" s="284" t="n">
        <f aca="false">IFERROR($G270*$J270*L270, "")</f>
        <v>0</v>
      </c>
      <c r="AP270" s="284" t="n">
        <f aca="false">IFERROR($G270*$J270*M270, "")</f>
        <v>0</v>
      </c>
      <c r="AQ270" s="284" t="n">
        <f aca="false">IFERROR($G270*$J270*N270, "")</f>
        <v>0</v>
      </c>
      <c r="AR270" s="284" t="n">
        <f aca="false">IFERROR($G270*$J270*O270, "")</f>
        <v>0</v>
      </c>
      <c r="AS270" s="284" t="n">
        <f aca="false">IFERROR($G270*$J270*P270, "")</f>
        <v>0</v>
      </c>
      <c r="AT270" s="284" t="n">
        <f aca="false">IFERROR($G270*$J270*Q270, "")</f>
        <v>0</v>
      </c>
      <c r="AU270" s="284" t="n">
        <f aca="false">IFERROR($G270*$J270*R270, "")</f>
        <v>0</v>
      </c>
      <c r="AV270" s="284" t="n">
        <f aca="false">IFERROR($G270*$J270*S270, "")</f>
        <v>0</v>
      </c>
      <c r="AW270" s="284" t="n">
        <f aca="false">IFERROR($G270*$J270*T270, "")</f>
        <v>0</v>
      </c>
      <c r="AX270" s="284" t="n">
        <f aca="false">IFERROR($G270*$J270*U270, "")</f>
        <v>0</v>
      </c>
      <c r="AY270" s="284" t="n">
        <f aca="false">IFERROR($G270*$J270*V270, "")</f>
        <v>0</v>
      </c>
      <c r="AZ270" s="284" t="n">
        <f aca="false">IFERROR($G270*$J270*W270, "")</f>
        <v>0</v>
      </c>
      <c r="BA270" s="286" t="n">
        <f aca="false">IFERROR(SUMIF($AO$4:$AZ$4, "RDEC", AO270:AZ270), "")</f>
        <v>0</v>
      </c>
      <c r="BB270" s="286" t="n">
        <f aca="false">IFERROR(SUMIF($AO$4:$AZ$4, "SME", AO270:AZ270), "")</f>
        <v>0</v>
      </c>
      <c r="BC270" s="286" t="n">
        <f aca="false">IFERROR(SUMIF($Y$4:$AJ$4, "De Minimis", AO270:AZ270), "")</f>
        <v>0</v>
      </c>
      <c r="BD270" s="287"/>
      <c r="BE270" s="288" t="str">
        <f aca="false">IF((SUM(L270:W270)&gt;1),"ERROR","")</f>
        <v/>
      </c>
    </row>
    <row r="271" customFormat="false" ht="15" hidden="false" customHeight="true" outlineLevel="0" collapsed="false">
      <c r="B271" s="333"/>
      <c r="C271" s="334"/>
      <c r="D271" s="333" t="n">
        <f aca="false">D255</f>
        <v>45474</v>
      </c>
      <c r="E271" s="277" t="n">
        <v>0</v>
      </c>
      <c r="F271" s="277" t="n">
        <v>0</v>
      </c>
      <c r="G271" s="277" t="n">
        <f aca="false">SUM(E271:F271)</f>
        <v>0</v>
      </c>
      <c r="H271" s="204"/>
      <c r="I271" s="279" t="n">
        <v>1</v>
      </c>
      <c r="J271" s="280" t="n">
        <f aca="false">1-I271</f>
        <v>0</v>
      </c>
      <c r="K271" s="277"/>
      <c r="L271" s="282"/>
      <c r="M271" s="282"/>
      <c r="N271" s="282"/>
      <c r="O271" s="282"/>
      <c r="P271" s="282"/>
      <c r="Q271" s="282"/>
      <c r="R271" s="282"/>
      <c r="S271" s="282"/>
      <c r="T271" s="282"/>
      <c r="U271" s="282"/>
      <c r="V271" s="282"/>
      <c r="W271" s="282"/>
      <c r="X271" s="283"/>
      <c r="Y271" s="284" t="n">
        <f aca="false">IFERROR(L271*$G271*I$9, "")</f>
        <v>0</v>
      </c>
      <c r="Z271" s="284" t="n">
        <f aca="false">IFERROR(M271*$G271*$I271, "")</f>
        <v>0</v>
      </c>
      <c r="AA271" s="284" t="n">
        <f aca="false">IFERROR(N271*$G271*$I271, "")</f>
        <v>0</v>
      </c>
      <c r="AB271" s="284" t="n">
        <f aca="false">IFERROR(O271*$G271*$I271, "")</f>
        <v>0</v>
      </c>
      <c r="AC271" s="284" t="n">
        <f aca="false">IFERROR(P271*$G271*$I271, "")</f>
        <v>0</v>
      </c>
      <c r="AD271" s="284" t="n">
        <f aca="false">IFERROR(Q271*$G271*$I271, "")</f>
        <v>0</v>
      </c>
      <c r="AE271" s="284" t="n">
        <f aca="false">IFERROR(R271*$G271*$I271, "")</f>
        <v>0</v>
      </c>
      <c r="AF271" s="284" t="n">
        <f aca="false">IFERROR(S271*$G271*$I271, "")</f>
        <v>0</v>
      </c>
      <c r="AG271" s="284" t="n">
        <f aca="false">IFERROR(T271*$G271*$I271, "")</f>
        <v>0</v>
      </c>
      <c r="AH271" s="284" t="n">
        <f aca="false">IFERROR(U271*$G271*$I271, "")</f>
        <v>0</v>
      </c>
      <c r="AI271" s="284" t="n">
        <f aca="false">IFERROR(V271*$G271*$I271, "")</f>
        <v>0</v>
      </c>
      <c r="AJ271" s="284" t="n">
        <f aca="false">IFERROR(W271*$G271*$I271, "")</f>
        <v>0</v>
      </c>
      <c r="AK271" s="286" t="n">
        <f aca="false">IFERROR(SUMIF($Y$4:$AJ$4, "RDEC", Y271:AJ271), "")</f>
        <v>0</v>
      </c>
      <c r="AL271" s="286" t="n">
        <f aca="false">IFERROR(SUMIF($Y$4:$AJ$4, "SME", Y271:AJ271), "")</f>
        <v>0</v>
      </c>
      <c r="AM271" s="286" t="n">
        <f aca="false">IFERROR(SUMIF($Y$4:$AJ$4, "De Minimis", Y271:AJ271), "")</f>
        <v>0</v>
      </c>
      <c r="AN271" s="283"/>
      <c r="AO271" s="284" t="n">
        <f aca="false">IFERROR($G271*$J271*L271, "")</f>
        <v>0</v>
      </c>
      <c r="AP271" s="284" t="n">
        <f aca="false">IFERROR($G271*$J271*M271, "")</f>
        <v>0</v>
      </c>
      <c r="AQ271" s="284" t="n">
        <f aca="false">IFERROR($G271*$J271*N271, "")</f>
        <v>0</v>
      </c>
      <c r="AR271" s="284" t="n">
        <f aca="false">IFERROR($G271*$J271*O271, "")</f>
        <v>0</v>
      </c>
      <c r="AS271" s="284" t="n">
        <f aca="false">IFERROR($G271*$J271*P271, "")</f>
        <v>0</v>
      </c>
      <c r="AT271" s="284" t="n">
        <f aca="false">IFERROR($G271*$J271*Q271, "")</f>
        <v>0</v>
      </c>
      <c r="AU271" s="284" t="n">
        <f aca="false">IFERROR($G271*$J271*R271, "")</f>
        <v>0</v>
      </c>
      <c r="AV271" s="284" t="n">
        <f aca="false">IFERROR($G271*$J271*S271, "")</f>
        <v>0</v>
      </c>
      <c r="AW271" s="284" t="n">
        <f aca="false">IFERROR($G271*$J271*T271, "")</f>
        <v>0</v>
      </c>
      <c r="AX271" s="284" t="n">
        <f aca="false">IFERROR($G271*$J271*U271, "")</f>
        <v>0</v>
      </c>
      <c r="AY271" s="284" t="n">
        <f aca="false">IFERROR($G271*$J271*V271, "")</f>
        <v>0</v>
      </c>
      <c r="AZ271" s="284" t="n">
        <f aca="false">IFERROR($G271*$J271*W271, "")</f>
        <v>0</v>
      </c>
      <c r="BA271" s="286" t="n">
        <f aca="false">IFERROR(SUMIF($AO$4:$AZ$4, "RDEC", AO271:AZ271), "")</f>
        <v>0</v>
      </c>
      <c r="BB271" s="286" t="n">
        <f aca="false">IFERROR(SUMIF($AO$4:$AZ$4, "SME", AO271:AZ271), "")</f>
        <v>0</v>
      </c>
      <c r="BC271" s="286" t="n">
        <f aca="false">IFERROR(SUMIF($Y$4:$AJ$4, "De Minimis", AO271:AZ271), "")</f>
        <v>0</v>
      </c>
      <c r="BD271" s="287"/>
      <c r="BE271" s="288" t="str">
        <f aca="false">IF((SUM(L271:W271)&gt;1),"ERROR","")</f>
        <v/>
      </c>
    </row>
    <row r="272" customFormat="false" ht="15" hidden="false" customHeight="true" outlineLevel="0" collapsed="false">
      <c r="B272" s="333"/>
      <c r="C272" s="334"/>
      <c r="D272" s="333" t="n">
        <f aca="false">D256</f>
        <v>45505</v>
      </c>
      <c r="E272" s="277" t="n">
        <v>0</v>
      </c>
      <c r="F272" s="277" t="n">
        <v>0</v>
      </c>
      <c r="G272" s="277" t="n">
        <f aca="false">SUM(E272:F272)</f>
        <v>0</v>
      </c>
      <c r="H272" s="204"/>
      <c r="I272" s="279" t="n">
        <v>1</v>
      </c>
      <c r="J272" s="280" t="n">
        <f aca="false">1-I272</f>
        <v>0</v>
      </c>
      <c r="K272" s="277"/>
      <c r="L272" s="282"/>
      <c r="M272" s="282"/>
      <c r="N272" s="282"/>
      <c r="O272" s="282"/>
      <c r="P272" s="282"/>
      <c r="Q272" s="282"/>
      <c r="R272" s="282"/>
      <c r="S272" s="282"/>
      <c r="T272" s="282"/>
      <c r="U272" s="282"/>
      <c r="V272" s="282"/>
      <c r="W272" s="282"/>
      <c r="X272" s="283"/>
      <c r="Y272" s="284" t="n">
        <f aca="false">IFERROR(L272*$G272*I$9, "")</f>
        <v>0</v>
      </c>
      <c r="Z272" s="284" t="n">
        <f aca="false">IFERROR(M272*$G272*$I272, "")</f>
        <v>0</v>
      </c>
      <c r="AA272" s="284" t="n">
        <f aca="false">IFERROR(N272*$G272*$I272, "")</f>
        <v>0</v>
      </c>
      <c r="AB272" s="284" t="n">
        <f aca="false">IFERROR(O272*$G272*$I272, "")</f>
        <v>0</v>
      </c>
      <c r="AC272" s="284" t="n">
        <f aca="false">IFERROR(P272*$G272*$I272, "")</f>
        <v>0</v>
      </c>
      <c r="AD272" s="284" t="n">
        <f aca="false">IFERROR(Q272*$G272*$I272, "")</f>
        <v>0</v>
      </c>
      <c r="AE272" s="284" t="n">
        <f aca="false">IFERROR(R272*$G272*$I272, "")</f>
        <v>0</v>
      </c>
      <c r="AF272" s="284" t="n">
        <f aca="false">IFERROR(S272*$G272*$I272, "")</f>
        <v>0</v>
      </c>
      <c r="AG272" s="284" t="n">
        <f aca="false">IFERROR(T272*$G272*$I272, "")</f>
        <v>0</v>
      </c>
      <c r="AH272" s="284" t="n">
        <f aca="false">IFERROR(U272*$G272*$I272, "")</f>
        <v>0</v>
      </c>
      <c r="AI272" s="284" t="n">
        <f aca="false">IFERROR(V272*$G272*$I272, "")</f>
        <v>0</v>
      </c>
      <c r="AJ272" s="284" t="n">
        <f aca="false">IFERROR(W272*$G272*$I272, "")</f>
        <v>0</v>
      </c>
      <c r="AK272" s="286" t="n">
        <f aca="false">IFERROR(SUMIF($Y$4:$AJ$4, "RDEC", Y272:AJ272), "")</f>
        <v>0</v>
      </c>
      <c r="AL272" s="286" t="n">
        <f aca="false">IFERROR(SUMIF($Y$4:$AJ$4, "SME", Y272:AJ272), "")</f>
        <v>0</v>
      </c>
      <c r="AM272" s="286" t="n">
        <f aca="false">IFERROR(SUMIF($Y$4:$AJ$4, "De Minimis", Y272:AJ272), "")</f>
        <v>0</v>
      </c>
      <c r="AN272" s="283"/>
      <c r="AO272" s="284" t="n">
        <f aca="false">IFERROR($G272*$J272*L272, "")</f>
        <v>0</v>
      </c>
      <c r="AP272" s="284" t="n">
        <f aca="false">IFERROR($G272*$J272*M272, "")</f>
        <v>0</v>
      </c>
      <c r="AQ272" s="284" t="n">
        <f aca="false">IFERROR($G272*$J272*N272, "")</f>
        <v>0</v>
      </c>
      <c r="AR272" s="284" t="n">
        <f aca="false">IFERROR($G272*$J272*O272, "")</f>
        <v>0</v>
      </c>
      <c r="AS272" s="284" t="n">
        <f aca="false">IFERROR($G272*$J272*P272, "")</f>
        <v>0</v>
      </c>
      <c r="AT272" s="284" t="n">
        <f aca="false">IFERROR($G272*$J272*Q272, "")</f>
        <v>0</v>
      </c>
      <c r="AU272" s="284" t="n">
        <f aca="false">IFERROR($G272*$J272*R272, "")</f>
        <v>0</v>
      </c>
      <c r="AV272" s="284" t="n">
        <f aca="false">IFERROR($G272*$J272*S272, "")</f>
        <v>0</v>
      </c>
      <c r="AW272" s="284" t="n">
        <f aca="false">IFERROR($G272*$J272*T272, "")</f>
        <v>0</v>
      </c>
      <c r="AX272" s="284" t="n">
        <f aca="false">IFERROR($G272*$J272*U272, "")</f>
        <v>0</v>
      </c>
      <c r="AY272" s="284" t="n">
        <f aca="false">IFERROR($G272*$J272*V272, "")</f>
        <v>0</v>
      </c>
      <c r="AZ272" s="284" t="n">
        <f aca="false">IFERROR($G272*$J272*W272, "")</f>
        <v>0</v>
      </c>
      <c r="BA272" s="286" t="n">
        <f aca="false">IFERROR(SUMIF($AO$4:$AZ$4, "RDEC", AO272:AZ272), "")</f>
        <v>0</v>
      </c>
      <c r="BB272" s="286" t="n">
        <f aca="false">IFERROR(SUMIF($AO$4:$AZ$4, "SME", AO272:AZ272), "")</f>
        <v>0</v>
      </c>
      <c r="BC272" s="286" t="n">
        <f aca="false">IFERROR(SUMIF($Y$4:$AJ$4, "De Minimis", AO272:AZ272), "")</f>
        <v>0</v>
      </c>
      <c r="BD272" s="287"/>
      <c r="BE272" s="288" t="str">
        <f aca="false">IF((SUM(L272:W272)&gt;1),"ERROR","")</f>
        <v/>
      </c>
    </row>
    <row r="273" customFormat="false" ht="15" hidden="false" customHeight="true" outlineLevel="0" collapsed="false">
      <c r="B273" s="333"/>
      <c r="C273" s="334"/>
      <c r="D273" s="333" t="n">
        <f aca="false">D257</f>
        <v>45536</v>
      </c>
      <c r="E273" s="277" t="n">
        <v>0</v>
      </c>
      <c r="F273" s="277" t="n">
        <v>0</v>
      </c>
      <c r="G273" s="277" t="n">
        <f aca="false">SUM(E273:F273)</f>
        <v>0</v>
      </c>
      <c r="H273" s="204"/>
      <c r="I273" s="279" t="n">
        <v>1</v>
      </c>
      <c r="J273" s="280" t="n">
        <f aca="false">1-I273</f>
        <v>0</v>
      </c>
      <c r="K273" s="277"/>
      <c r="L273" s="282"/>
      <c r="M273" s="282"/>
      <c r="N273" s="282"/>
      <c r="O273" s="282"/>
      <c r="P273" s="282"/>
      <c r="Q273" s="282"/>
      <c r="R273" s="282"/>
      <c r="S273" s="282"/>
      <c r="T273" s="282"/>
      <c r="U273" s="282"/>
      <c r="V273" s="282"/>
      <c r="W273" s="282"/>
      <c r="X273" s="283"/>
      <c r="Y273" s="284" t="n">
        <f aca="false">IFERROR(L273*$G273*I$9, "")</f>
        <v>0</v>
      </c>
      <c r="Z273" s="284" t="n">
        <f aca="false">IFERROR(M273*$G273*$I273, "")</f>
        <v>0</v>
      </c>
      <c r="AA273" s="284" t="n">
        <f aca="false">IFERROR(N273*$G273*$I273, "")</f>
        <v>0</v>
      </c>
      <c r="AB273" s="284" t="n">
        <f aca="false">IFERROR(O273*$G273*$I273, "")</f>
        <v>0</v>
      </c>
      <c r="AC273" s="284" t="n">
        <f aca="false">IFERROR(P273*$G273*$I273, "")</f>
        <v>0</v>
      </c>
      <c r="AD273" s="284" t="n">
        <f aca="false">IFERROR(Q273*$G273*$I273, "")</f>
        <v>0</v>
      </c>
      <c r="AE273" s="284" t="n">
        <f aca="false">IFERROR(R273*$G273*$I273, "")</f>
        <v>0</v>
      </c>
      <c r="AF273" s="284" t="n">
        <f aca="false">IFERROR(S273*$G273*$I273, "")</f>
        <v>0</v>
      </c>
      <c r="AG273" s="284" t="n">
        <f aca="false">IFERROR(T273*$G273*$I273, "")</f>
        <v>0</v>
      </c>
      <c r="AH273" s="284" t="n">
        <f aca="false">IFERROR(U273*$G273*$I273, "")</f>
        <v>0</v>
      </c>
      <c r="AI273" s="284" t="n">
        <f aca="false">IFERROR(V273*$G273*$I273, "")</f>
        <v>0</v>
      </c>
      <c r="AJ273" s="284" t="n">
        <f aca="false">IFERROR(W273*$G273*$I273, "")</f>
        <v>0</v>
      </c>
      <c r="AK273" s="286" t="n">
        <f aca="false">IFERROR(SUMIF($Y$4:$AJ$4, "RDEC", Y273:AJ273), "")</f>
        <v>0</v>
      </c>
      <c r="AL273" s="286" t="n">
        <f aca="false">IFERROR(SUMIF($Y$4:$AJ$4, "SME", Y273:AJ273), "")</f>
        <v>0</v>
      </c>
      <c r="AM273" s="286" t="n">
        <f aca="false">IFERROR(SUMIF($Y$4:$AJ$4, "De Minimis", Y273:AJ273), "")</f>
        <v>0</v>
      </c>
      <c r="AN273" s="283"/>
      <c r="AO273" s="284" t="n">
        <f aca="false">IFERROR($G273*$J273*L273, "")</f>
        <v>0</v>
      </c>
      <c r="AP273" s="284" t="n">
        <f aca="false">IFERROR($G273*$J273*M273, "")</f>
        <v>0</v>
      </c>
      <c r="AQ273" s="284" t="n">
        <f aca="false">IFERROR($G273*$J273*N273, "")</f>
        <v>0</v>
      </c>
      <c r="AR273" s="284" t="n">
        <f aca="false">IFERROR($G273*$J273*O273, "")</f>
        <v>0</v>
      </c>
      <c r="AS273" s="284" t="n">
        <f aca="false">IFERROR($G273*$J273*P273, "")</f>
        <v>0</v>
      </c>
      <c r="AT273" s="284" t="n">
        <f aca="false">IFERROR($G273*$J273*Q273, "")</f>
        <v>0</v>
      </c>
      <c r="AU273" s="284" t="n">
        <f aca="false">IFERROR($G273*$J273*R273, "")</f>
        <v>0</v>
      </c>
      <c r="AV273" s="284" t="n">
        <f aca="false">IFERROR($G273*$J273*S273, "")</f>
        <v>0</v>
      </c>
      <c r="AW273" s="284" t="n">
        <f aca="false">IFERROR($G273*$J273*T273, "")</f>
        <v>0</v>
      </c>
      <c r="AX273" s="284" t="n">
        <f aca="false">IFERROR($G273*$J273*U273, "")</f>
        <v>0</v>
      </c>
      <c r="AY273" s="284" t="n">
        <f aca="false">IFERROR($G273*$J273*V273, "")</f>
        <v>0</v>
      </c>
      <c r="AZ273" s="284" t="n">
        <f aca="false">IFERROR($G273*$J273*W273, "")</f>
        <v>0</v>
      </c>
      <c r="BA273" s="286" t="n">
        <f aca="false">IFERROR(SUMIF($AO$4:$AZ$4, "RDEC", AO273:AZ273), "")</f>
        <v>0</v>
      </c>
      <c r="BB273" s="286" t="n">
        <f aca="false">IFERROR(SUMIF($AO$4:$AZ$4, "SME", AO273:AZ273), "")</f>
        <v>0</v>
      </c>
      <c r="BC273" s="286" t="n">
        <f aca="false">IFERROR(SUMIF($Y$4:$AJ$4, "De Minimis", AO273:AZ273), "")</f>
        <v>0</v>
      </c>
      <c r="BD273" s="287"/>
      <c r="BE273" s="288" t="str">
        <f aca="false">IF((SUM(L273:W273)&gt;1),"ERROR","")</f>
        <v/>
      </c>
    </row>
    <row r="274" customFormat="false" ht="15" hidden="false" customHeight="true" outlineLevel="0" collapsed="false">
      <c r="B274" s="333"/>
      <c r="C274" s="334"/>
      <c r="D274" s="333" t="n">
        <f aca="false">D258</f>
        <v>45566</v>
      </c>
      <c r="E274" s="277" t="n">
        <v>0</v>
      </c>
      <c r="F274" s="277" t="n">
        <v>0</v>
      </c>
      <c r="G274" s="277" t="n">
        <f aca="false">SUM(E274:F274)</f>
        <v>0</v>
      </c>
      <c r="H274" s="204"/>
      <c r="I274" s="279" t="n">
        <v>1</v>
      </c>
      <c r="J274" s="280" t="n">
        <f aca="false">1-I274</f>
        <v>0</v>
      </c>
      <c r="K274" s="277"/>
      <c r="L274" s="282"/>
      <c r="M274" s="282"/>
      <c r="N274" s="282"/>
      <c r="O274" s="282"/>
      <c r="P274" s="282"/>
      <c r="Q274" s="282"/>
      <c r="R274" s="282"/>
      <c r="S274" s="282"/>
      <c r="T274" s="282"/>
      <c r="U274" s="282"/>
      <c r="V274" s="282"/>
      <c r="W274" s="282"/>
      <c r="X274" s="283"/>
      <c r="Y274" s="284" t="n">
        <f aca="false">IFERROR(L274*$G274*I$9, "")</f>
        <v>0</v>
      </c>
      <c r="Z274" s="284" t="n">
        <f aca="false">IFERROR(M274*$G274*$I274, "")</f>
        <v>0</v>
      </c>
      <c r="AA274" s="284" t="n">
        <f aca="false">IFERROR(N274*$G274*$I274, "")</f>
        <v>0</v>
      </c>
      <c r="AB274" s="284" t="n">
        <f aca="false">IFERROR(O274*$G274*$I274, "")</f>
        <v>0</v>
      </c>
      <c r="AC274" s="284" t="n">
        <f aca="false">IFERROR(P274*$G274*$I274, "")</f>
        <v>0</v>
      </c>
      <c r="AD274" s="284" t="n">
        <f aca="false">IFERROR(Q274*$G274*$I274, "")</f>
        <v>0</v>
      </c>
      <c r="AE274" s="284" t="n">
        <f aca="false">IFERROR(R274*$G274*$I274, "")</f>
        <v>0</v>
      </c>
      <c r="AF274" s="284" t="n">
        <f aca="false">IFERROR(S274*$G274*$I274, "")</f>
        <v>0</v>
      </c>
      <c r="AG274" s="284" t="n">
        <f aca="false">IFERROR(T274*$G274*$I274, "")</f>
        <v>0</v>
      </c>
      <c r="AH274" s="284" t="n">
        <f aca="false">IFERROR(U274*$G274*$I274, "")</f>
        <v>0</v>
      </c>
      <c r="AI274" s="284" t="n">
        <f aca="false">IFERROR(V274*$G274*$I274, "")</f>
        <v>0</v>
      </c>
      <c r="AJ274" s="284" t="n">
        <f aca="false">IFERROR(W274*$G274*$I274, "")</f>
        <v>0</v>
      </c>
      <c r="AK274" s="286" t="n">
        <f aca="false">IFERROR(SUMIF($Y$4:$AJ$4, "RDEC", Y274:AJ274), "")</f>
        <v>0</v>
      </c>
      <c r="AL274" s="286" t="n">
        <f aca="false">IFERROR(SUMIF($Y$4:$AJ$4, "SME", Y274:AJ274), "")</f>
        <v>0</v>
      </c>
      <c r="AM274" s="286" t="n">
        <f aca="false">IFERROR(SUMIF($Y$4:$AJ$4, "De Minimis", Y274:AJ274), "")</f>
        <v>0</v>
      </c>
      <c r="AN274" s="283"/>
      <c r="AO274" s="284" t="n">
        <f aca="false">IFERROR($G274*$J274*L274, "")</f>
        <v>0</v>
      </c>
      <c r="AP274" s="284" t="n">
        <f aca="false">IFERROR($G274*$J274*M274, "")</f>
        <v>0</v>
      </c>
      <c r="AQ274" s="284" t="n">
        <f aca="false">IFERROR($G274*$J274*N274, "")</f>
        <v>0</v>
      </c>
      <c r="AR274" s="284" t="n">
        <f aca="false">IFERROR($G274*$J274*O274, "")</f>
        <v>0</v>
      </c>
      <c r="AS274" s="284" t="n">
        <f aca="false">IFERROR($G274*$J274*P274, "")</f>
        <v>0</v>
      </c>
      <c r="AT274" s="284" t="n">
        <f aca="false">IFERROR($G274*$J274*Q274, "")</f>
        <v>0</v>
      </c>
      <c r="AU274" s="284" t="n">
        <f aca="false">IFERROR($G274*$J274*R274, "")</f>
        <v>0</v>
      </c>
      <c r="AV274" s="284" t="n">
        <f aca="false">IFERROR($G274*$J274*S274, "")</f>
        <v>0</v>
      </c>
      <c r="AW274" s="284" t="n">
        <f aca="false">IFERROR($G274*$J274*T274, "")</f>
        <v>0</v>
      </c>
      <c r="AX274" s="284" t="n">
        <f aca="false">IFERROR($G274*$J274*U274, "")</f>
        <v>0</v>
      </c>
      <c r="AY274" s="284" t="n">
        <f aca="false">IFERROR($G274*$J274*V274, "")</f>
        <v>0</v>
      </c>
      <c r="AZ274" s="284" t="n">
        <f aca="false">IFERROR($G274*$J274*W274, "")</f>
        <v>0</v>
      </c>
      <c r="BA274" s="286" t="n">
        <f aca="false">IFERROR(SUMIF($AO$4:$AZ$4, "RDEC", AO274:AZ274), "")</f>
        <v>0</v>
      </c>
      <c r="BB274" s="286" t="n">
        <f aca="false">IFERROR(SUMIF($AO$4:$AZ$4, "SME", AO274:AZ274), "")</f>
        <v>0</v>
      </c>
      <c r="BC274" s="286" t="n">
        <f aca="false">IFERROR(SUMIF($Y$4:$AJ$4, "De Minimis", AO274:AZ274), "")</f>
        <v>0</v>
      </c>
      <c r="BD274" s="287"/>
      <c r="BE274" s="288" t="str">
        <f aca="false">IF((SUM(L274:W274)&gt;1),"ERROR","")</f>
        <v/>
      </c>
    </row>
    <row r="275" customFormat="false" ht="15" hidden="false" customHeight="true" outlineLevel="0" collapsed="false">
      <c r="B275" s="333"/>
      <c r="C275" s="334"/>
      <c r="D275" s="333" t="n">
        <f aca="false">D259</f>
        <v>45597</v>
      </c>
      <c r="E275" s="277" t="n">
        <v>0</v>
      </c>
      <c r="F275" s="277" t="n">
        <v>0</v>
      </c>
      <c r="G275" s="277" t="n">
        <f aca="false">SUM(E275:F275)</f>
        <v>0</v>
      </c>
      <c r="H275" s="204"/>
      <c r="I275" s="279" t="n">
        <v>1</v>
      </c>
      <c r="J275" s="280" t="n">
        <f aca="false">1-I275</f>
        <v>0</v>
      </c>
      <c r="K275" s="277"/>
      <c r="L275" s="282"/>
      <c r="M275" s="282"/>
      <c r="N275" s="282"/>
      <c r="O275" s="282"/>
      <c r="P275" s="282"/>
      <c r="Q275" s="282"/>
      <c r="R275" s="282"/>
      <c r="S275" s="282"/>
      <c r="T275" s="282"/>
      <c r="U275" s="282"/>
      <c r="V275" s="282"/>
      <c r="W275" s="282"/>
      <c r="X275" s="283"/>
      <c r="Y275" s="284" t="n">
        <f aca="false">IFERROR(L275*$G275*I$9, "")</f>
        <v>0</v>
      </c>
      <c r="Z275" s="284" t="n">
        <f aca="false">IFERROR(M275*$G275*$I275, "")</f>
        <v>0</v>
      </c>
      <c r="AA275" s="284" t="n">
        <f aca="false">IFERROR(N275*$G275*$I275, "")</f>
        <v>0</v>
      </c>
      <c r="AB275" s="284" t="n">
        <f aca="false">IFERROR(O275*$G275*$I275, "")</f>
        <v>0</v>
      </c>
      <c r="AC275" s="284" t="n">
        <f aca="false">IFERROR(P275*$G275*$I275, "")</f>
        <v>0</v>
      </c>
      <c r="AD275" s="284" t="n">
        <f aca="false">IFERROR(Q275*$G275*$I275, "")</f>
        <v>0</v>
      </c>
      <c r="AE275" s="284" t="n">
        <f aca="false">IFERROR(R275*$G275*$I275, "")</f>
        <v>0</v>
      </c>
      <c r="AF275" s="284" t="n">
        <f aca="false">IFERROR(S275*$G275*$I275, "")</f>
        <v>0</v>
      </c>
      <c r="AG275" s="284" t="n">
        <f aca="false">IFERROR(T275*$G275*$I275, "")</f>
        <v>0</v>
      </c>
      <c r="AH275" s="284" t="n">
        <f aca="false">IFERROR(U275*$G275*$I275, "")</f>
        <v>0</v>
      </c>
      <c r="AI275" s="284" t="n">
        <f aca="false">IFERROR(V275*$G275*$I275, "")</f>
        <v>0</v>
      </c>
      <c r="AJ275" s="284" t="n">
        <f aca="false">IFERROR(W275*$G275*$I275, "")</f>
        <v>0</v>
      </c>
      <c r="AK275" s="286" t="n">
        <f aca="false">IFERROR(SUMIF($Y$4:$AJ$4, "RDEC", Y275:AJ275), "")</f>
        <v>0</v>
      </c>
      <c r="AL275" s="286" t="n">
        <f aca="false">IFERROR(SUMIF($Y$4:$AJ$4, "SME", Y275:AJ275), "")</f>
        <v>0</v>
      </c>
      <c r="AM275" s="286" t="n">
        <f aca="false">IFERROR(SUMIF($Y$4:$AJ$4, "De Minimis", Y275:AJ275), "")</f>
        <v>0</v>
      </c>
      <c r="AN275" s="283"/>
      <c r="AO275" s="284" t="n">
        <f aca="false">IFERROR($G275*$J275*L275, "")</f>
        <v>0</v>
      </c>
      <c r="AP275" s="284" t="n">
        <f aca="false">IFERROR($G275*$J275*M275, "")</f>
        <v>0</v>
      </c>
      <c r="AQ275" s="284" t="n">
        <f aca="false">IFERROR($G275*$J275*N275, "")</f>
        <v>0</v>
      </c>
      <c r="AR275" s="284" t="n">
        <f aca="false">IFERROR($G275*$J275*O275, "")</f>
        <v>0</v>
      </c>
      <c r="AS275" s="284" t="n">
        <f aca="false">IFERROR($G275*$J275*P275, "")</f>
        <v>0</v>
      </c>
      <c r="AT275" s="284" t="n">
        <f aca="false">IFERROR($G275*$J275*Q275, "")</f>
        <v>0</v>
      </c>
      <c r="AU275" s="284" t="n">
        <f aca="false">IFERROR($G275*$J275*R275, "")</f>
        <v>0</v>
      </c>
      <c r="AV275" s="284" t="n">
        <f aca="false">IFERROR($G275*$J275*S275, "")</f>
        <v>0</v>
      </c>
      <c r="AW275" s="284" t="n">
        <f aca="false">IFERROR($G275*$J275*T275, "")</f>
        <v>0</v>
      </c>
      <c r="AX275" s="284" t="n">
        <f aca="false">IFERROR($G275*$J275*U275, "")</f>
        <v>0</v>
      </c>
      <c r="AY275" s="284" t="n">
        <f aca="false">IFERROR($G275*$J275*V275, "")</f>
        <v>0</v>
      </c>
      <c r="AZ275" s="284" t="n">
        <f aca="false">IFERROR($G275*$J275*W275, "")</f>
        <v>0</v>
      </c>
      <c r="BA275" s="286" t="n">
        <f aca="false">IFERROR(SUMIF($AO$4:$AZ$4, "RDEC", AO275:AZ275), "")</f>
        <v>0</v>
      </c>
      <c r="BB275" s="286" t="n">
        <f aca="false">IFERROR(SUMIF($AO$4:$AZ$4, "SME", AO275:AZ275), "")</f>
        <v>0</v>
      </c>
      <c r="BC275" s="286" t="n">
        <f aca="false">IFERROR(SUMIF($Y$4:$AJ$4, "De Minimis", AO275:AZ275), "")</f>
        <v>0</v>
      </c>
      <c r="BD275" s="287"/>
      <c r="BE275" s="288" t="str">
        <f aca="false">IF((SUM(L275:W275)&gt;1),"ERROR","")</f>
        <v/>
      </c>
    </row>
    <row r="276" customFormat="false" ht="15" hidden="false" customHeight="true" outlineLevel="0" collapsed="false">
      <c r="B276" s="333"/>
      <c r="C276" s="334"/>
      <c r="D276" s="333" t="n">
        <f aca="false">D260</f>
        <v>45627</v>
      </c>
      <c r="E276" s="277" t="n">
        <v>0</v>
      </c>
      <c r="F276" s="277" t="n">
        <v>0</v>
      </c>
      <c r="G276" s="277" t="n">
        <f aca="false">SUM(E276:F276)</f>
        <v>0</v>
      </c>
      <c r="H276" s="300"/>
      <c r="I276" s="289" t="n">
        <v>1</v>
      </c>
      <c r="J276" s="290" t="n">
        <f aca="false">1-I276</f>
        <v>0</v>
      </c>
      <c r="K276" s="300"/>
      <c r="L276" s="291"/>
      <c r="M276" s="291"/>
      <c r="N276" s="291"/>
      <c r="O276" s="291"/>
      <c r="P276" s="291"/>
      <c r="Q276" s="291"/>
      <c r="R276" s="291"/>
      <c r="S276" s="291"/>
      <c r="T276" s="291"/>
      <c r="U276" s="291"/>
      <c r="V276" s="291"/>
      <c r="W276" s="291"/>
      <c r="X276" s="283"/>
      <c r="Y276" s="284" t="n">
        <f aca="false">IFERROR(L276*$G276*I$9, "")</f>
        <v>0</v>
      </c>
      <c r="Z276" s="284" t="n">
        <f aca="false">IFERROR(M276*$G276*$I276, "")</f>
        <v>0</v>
      </c>
      <c r="AA276" s="284" t="n">
        <f aca="false">IFERROR(N276*$G276*$I276, "")</f>
        <v>0</v>
      </c>
      <c r="AB276" s="284" t="n">
        <f aca="false">IFERROR(O276*$G276*$I276, "")</f>
        <v>0</v>
      </c>
      <c r="AC276" s="284" t="n">
        <f aca="false">IFERROR(P276*$G276*$I276, "")</f>
        <v>0</v>
      </c>
      <c r="AD276" s="284" t="n">
        <f aca="false">IFERROR(Q276*$G276*$I276, "")</f>
        <v>0</v>
      </c>
      <c r="AE276" s="284" t="n">
        <f aca="false">IFERROR(R276*$G276*$I276, "")</f>
        <v>0</v>
      </c>
      <c r="AF276" s="284" t="n">
        <f aca="false">IFERROR(S276*$G276*$I276, "")</f>
        <v>0</v>
      </c>
      <c r="AG276" s="284" t="n">
        <f aca="false">IFERROR(T276*$G276*$I276, "")</f>
        <v>0</v>
      </c>
      <c r="AH276" s="284" t="n">
        <f aca="false">IFERROR(U276*$G276*$I276, "")</f>
        <v>0</v>
      </c>
      <c r="AI276" s="284" t="n">
        <f aca="false">IFERROR(V276*$G276*$I276, "")</f>
        <v>0</v>
      </c>
      <c r="AJ276" s="284" t="n">
        <f aca="false">IFERROR(W276*$G276*$I276, "")</f>
        <v>0</v>
      </c>
      <c r="AK276" s="294" t="n">
        <f aca="false">IFERROR(SUMIF($Y$4:$AJ$4, "RDEC", Y276:AJ276), "")</f>
        <v>0</v>
      </c>
      <c r="AL276" s="294" t="n">
        <f aca="false">IFERROR(SUMIF($Y$4:$AJ$4, "SME", Y276:AJ276), "")</f>
        <v>0</v>
      </c>
      <c r="AM276" s="294" t="n">
        <f aca="false">IFERROR(SUMIF($Y$4:$AJ$4, "De Minimis", Y276:AJ276), "")</f>
        <v>0</v>
      </c>
      <c r="AN276" s="283"/>
      <c r="AO276" s="284" t="n">
        <f aca="false">IFERROR($G276*$J276*L276, "")</f>
        <v>0</v>
      </c>
      <c r="AP276" s="284" t="n">
        <f aca="false">IFERROR($G276*$J276*M276, "")</f>
        <v>0</v>
      </c>
      <c r="AQ276" s="284" t="n">
        <f aca="false">IFERROR($G276*$J276*N276, "")</f>
        <v>0</v>
      </c>
      <c r="AR276" s="284" t="n">
        <f aca="false">IFERROR($G276*$J276*O276, "")</f>
        <v>0</v>
      </c>
      <c r="AS276" s="284" t="n">
        <f aca="false">IFERROR($G276*$J276*P276, "")</f>
        <v>0</v>
      </c>
      <c r="AT276" s="284" t="n">
        <f aca="false">IFERROR($G276*$J276*Q276, "")</f>
        <v>0</v>
      </c>
      <c r="AU276" s="284" t="n">
        <f aca="false">IFERROR($G276*$J276*R276, "")</f>
        <v>0</v>
      </c>
      <c r="AV276" s="284" t="n">
        <f aca="false">IFERROR($G276*$J276*S276, "")</f>
        <v>0</v>
      </c>
      <c r="AW276" s="284" t="n">
        <f aca="false">IFERROR($G276*$J276*T276, "")</f>
        <v>0</v>
      </c>
      <c r="AX276" s="284" t="n">
        <f aca="false">IFERROR($G276*$J276*U276, "")</f>
        <v>0</v>
      </c>
      <c r="AY276" s="284" t="n">
        <f aca="false">IFERROR($G276*$J276*V276, "")</f>
        <v>0</v>
      </c>
      <c r="AZ276" s="284" t="n">
        <f aca="false">IFERROR($G276*$J276*W276, "")</f>
        <v>0</v>
      </c>
      <c r="BA276" s="286" t="n">
        <f aca="false">IFERROR(SUMIF($AO$4:$AZ$4, "RDEC", AO276:AZ276), "")</f>
        <v>0</v>
      </c>
      <c r="BB276" s="286" t="n">
        <f aca="false">IFERROR(SUMIF($AO$4:$AZ$4, "SME", AO276:AZ276), "")</f>
        <v>0</v>
      </c>
      <c r="BC276" s="294" t="n">
        <f aca="false">IFERROR(SUMIF($Y$4:$AJ$4, "De Minimis", AO276:AZ276), "")</f>
        <v>0</v>
      </c>
      <c r="BD276" s="303"/>
      <c r="BE276" s="295" t="str">
        <f aca="false">IF((SUM(L276:W276)&gt;1),"ERROR","")</f>
        <v/>
      </c>
    </row>
    <row r="277" customFormat="false" ht="15" hidden="false" customHeight="true" outlineLevel="0" collapsed="false">
      <c r="B277" s="296"/>
      <c r="D277" s="297" t="s">
        <v>82</v>
      </c>
      <c r="E277" s="299" t="n">
        <f aca="false">SUM(E265:E276)</f>
        <v>0</v>
      </c>
      <c r="F277" s="299" t="n">
        <f aca="false">SUM(F265:F276)</f>
        <v>0</v>
      </c>
      <c r="G277" s="299" t="n">
        <f aca="false">SUM(G265:G276)</f>
        <v>0</v>
      </c>
      <c r="H277" s="300"/>
      <c r="I277" s="301" t="n">
        <f aca="false">AVERAGE(I265:I276)</f>
        <v>1</v>
      </c>
      <c r="J277" s="301" t="n">
        <f aca="false">AVERAGE(J265:J276)</f>
        <v>0</v>
      </c>
      <c r="K277" s="300"/>
      <c r="L277" s="290" t="n">
        <f aca="false">IF(SUM(L265:L276)&gt;0,(Y277/G277),0)</f>
        <v>0</v>
      </c>
      <c r="M277" s="301" t="n">
        <f aca="false">IF(SUM(M265:M276)&gt;0,(Z277/G277),0)</f>
        <v>0</v>
      </c>
      <c r="N277" s="301" t="n">
        <f aca="false">IF(SUM(N265:N276)&gt;0,(AA277/G277),0)</f>
        <v>0</v>
      </c>
      <c r="O277" s="301" t="n">
        <f aca="false">IF(SUM(O265:O276)&gt;0,(AB277/G277),0)</f>
        <v>0</v>
      </c>
      <c r="P277" s="301" t="n">
        <f aca="false">IF(SUM(P265:P276)&gt;0,(AC277/G277),0)</f>
        <v>0</v>
      </c>
      <c r="Q277" s="301" t="n">
        <f aca="false">IF(SUM(Q265:Q276)&gt;0,(AD277/G277),0)</f>
        <v>0</v>
      </c>
      <c r="R277" s="301" t="n">
        <f aca="false">IF(SUM(R265:R276)&gt;0,(AE277/G277),0)</f>
        <v>0</v>
      </c>
      <c r="S277" s="301" t="n">
        <f aca="false">IF(SUM(S265:S276)&gt;0,(AF277/G277),0)</f>
        <v>0</v>
      </c>
      <c r="T277" s="301" t="n">
        <f aca="false">IF(SUM(T265:T276)&gt;0,(AG277/G277),0)</f>
        <v>0</v>
      </c>
      <c r="U277" s="301" t="n">
        <f aca="false">IF(SUM(U265:U276)&gt;0,(AJ277/G277),0)</f>
        <v>0</v>
      </c>
      <c r="V277" s="301" t="n">
        <f aca="false">IF(SUM(V265:V276)&gt;0,(AI277/G277),0)</f>
        <v>0</v>
      </c>
      <c r="W277" s="301" t="n">
        <f aca="false">IF(SUM(W265:W276)&gt;0,(AJ277/G277),0)</f>
        <v>0</v>
      </c>
      <c r="X277" s="283"/>
      <c r="Y277" s="304" t="n">
        <f aca="false">SUM(Y265:Y276)</f>
        <v>0</v>
      </c>
      <c r="Z277" s="304" t="n">
        <f aca="false">SUM(Z265:Z276)</f>
        <v>0</v>
      </c>
      <c r="AA277" s="304" t="n">
        <f aca="false">SUM(AA265:AA276)</f>
        <v>0</v>
      </c>
      <c r="AB277" s="304" t="n">
        <f aca="false">SUM(AB265:AB276)</f>
        <v>0</v>
      </c>
      <c r="AC277" s="304" t="n">
        <f aca="false">SUM(AC265:AC276)</f>
        <v>0</v>
      </c>
      <c r="AD277" s="304" t="n">
        <f aca="false">SUM(AD265:AD276)</f>
        <v>0</v>
      </c>
      <c r="AE277" s="304" t="n">
        <f aca="false">SUM(AE265:AE276)</f>
        <v>0</v>
      </c>
      <c r="AF277" s="304" t="n">
        <f aca="false">SUM(AF265:AF276)</f>
        <v>0</v>
      </c>
      <c r="AG277" s="304" t="n">
        <f aca="false">SUM(AG265:AG276)</f>
        <v>0</v>
      </c>
      <c r="AH277" s="304" t="n">
        <f aca="false">SUM(AH265:AH276)</f>
        <v>0</v>
      </c>
      <c r="AI277" s="304" t="n">
        <f aca="false">SUM(AI265:AI276)</f>
        <v>0</v>
      </c>
      <c r="AJ277" s="304" t="n">
        <f aca="false">SUM(AJ265:AJ276)</f>
        <v>0</v>
      </c>
      <c r="AK277" s="335" t="n">
        <f aca="false">SUM(AK265:AK276)</f>
        <v>0</v>
      </c>
      <c r="AL277" s="336" t="n">
        <f aca="false">SUM(AL265:AL276)</f>
        <v>0</v>
      </c>
      <c r="AM277" s="305" t="n">
        <f aca="false">SUM(AM265:AM276)</f>
        <v>0</v>
      </c>
      <c r="AN277" s="283"/>
      <c r="AO277" s="304" t="n">
        <f aca="false">SUM(AO265:AO276)</f>
        <v>0</v>
      </c>
      <c r="AP277" s="304" t="n">
        <f aca="false">SUM(AP265:AP276)</f>
        <v>0</v>
      </c>
      <c r="AQ277" s="304" t="n">
        <f aca="false">SUM(AQ265:AQ276)</f>
        <v>0</v>
      </c>
      <c r="AR277" s="304" t="n">
        <f aca="false">SUM(AR265:AR276)</f>
        <v>0</v>
      </c>
      <c r="AS277" s="304" t="n">
        <f aca="false">SUM(AS265:AS276)</f>
        <v>0</v>
      </c>
      <c r="AT277" s="304" t="n">
        <f aca="false">SUM(AT265:AT276)</f>
        <v>0</v>
      </c>
      <c r="AU277" s="304" t="n">
        <f aca="false">SUM(AU265:AU276)</f>
        <v>0</v>
      </c>
      <c r="AV277" s="304" t="n">
        <f aca="false">SUM(AV265:AV276)</f>
        <v>0</v>
      </c>
      <c r="AW277" s="304" t="n">
        <f aca="false">SUM(AW265:AW276)</f>
        <v>0</v>
      </c>
      <c r="AX277" s="304" t="n">
        <f aca="false">SUM(AX265:AX276)</f>
        <v>0</v>
      </c>
      <c r="AY277" s="304" t="n">
        <f aca="false">SUM(AY265:AY276)</f>
        <v>0</v>
      </c>
      <c r="AZ277" s="304" t="n">
        <f aca="false">SUM(AZ265:AZ276)</f>
        <v>0</v>
      </c>
      <c r="BA277" s="336" t="n">
        <f aca="false">SUM(BA265:BA276)</f>
        <v>0</v>
      </c>
      <c r="BB277" s="336" t="n">
        <f aca="false">SUM(BB265:BB276)</f>
        <v>0</v>
      </c>
      <c r="BC277" s="305" t="n">
        <f aca="false">SUM(BC265:BC276)</f>
        <v>0</v>
      </c>
      <c r="BD277" s="303"/>
      <c r="BE277" s="337"/>
    </row>
    <row r="278" customFormat="false" ht="15" hidden="false" customHeight="true" outlineLevel="0" collapsed="false">
      <c r="B278" s="296"/>
      <c r="D278" s="297"/>
      <c r="E278" s="300"/>
      <c r="F278" s="300"/>
      <c r="G278" s="300"/>
      <c r="H278" s="241"/>
      <c r="I278" s="302"/>
      <c r="J278" s="302"/>
      <c r="K278" s="241"/>
      <c r="L278" s="259"/>
      <c r="M278" s="259"/>
      <c r="N278" s="259"/>
      <c r="O278" s="259"/>
      <c r="P278" s="259"/>
      <c r="Q278" s="259"/>
      <c r="R278" s="259"/>
      <c r="S278" s="259"/>
      <c r="T278" s="259"/>
      <c r="U278" s="259"/>
      <c r="V278" s="259"/>
      <c r="W278" s="259"/>
      <c r="X278" s="303"/>
      <c r="Y278" s="259"/>
      <c r="Z278" s="303"/>
      <c r="AA278" s="303"/>
      <c r="AB278" s="303"/>
      <c r="AC278" s="303"/>
      <c r="AD278" s="303"/>
      <c r="AE278" s="303"/>
      <c r="AF278" s="303"/>
      <c r="AG278" s="303"/>
      <c r="AH278" s="303"/>
      <c r="AI278" s="303"/>
      <c r="AJ278" s="303"/>
      <c r="AK278" s="303"/>
      <c r="AL278" s="303"/>
      <c r="AM278" s="303"/>
      <c r="AN278" s="303"/>
      <c r="AO278" s="259"/>
      <c r="AP278" s="303"/>
      <c r="AQ278" s="303"/>
      <c r="AR278" s="303"/>
      <c r="AS278" s="303"/>
      <c r="AT278" s="303"/>
      <c r="AU278" s="303"/>
      <c r="AV278" s="303"/>
      <c r="AW278" s="303"/>
      <c r="AX278" s="303"/>
      <c r="AY278" s="303"/>
      <c r="AZ278" s="303"/>
      <c r="BA278" s="303"/>
      <c r="BB278" s="303"/>
      <c r="BC278" s="303"/>
      <c r="BD278" s="268"/>
      <c r="BE278" s="303"/>
    </row>
    <row r="279" customFormat="false" ht="15" hidden="false" customHeight="true" outlineLevel="0" collapsed="false">
      <c r="A279" s="198" t="n">
        <f aca="false">A263+1</f>
        <v>18</v>
      </c>
      <c r="B279" s="266" t="s">
        <v>253</v>
      </c>
      <c r="C279" s="266" t="s">
        <v>253</v>
      </c>
      <c r="D279" s="266"/>
      <c r="E279" s="241"/>
      <c r="F279" s="241"/>
      <c r="G279" s="241"/>
      <c r="H279" s="241"/>
      <c r="I279" s="241"/>
      <c r="J279" s="241"/>
      <c r="K279" s="277"/>
      <c r="L279" s="241"/>
      <c r="M279" s="241"/>
      <c r="N279" s="241"/>
      <c r="O279" s="241"/>
      <c r="P279" s="241"/>
      <c r="Q279" s="241"/>
      <c r="R279" s="241"/>
      <c r="S279" s="241"/>
      <c r="T279" s="241"/>
      <c r="U279" s="241"/>
      <c r="V279" s="241"/>
      <c r="W279" s="241"/>
      <c r="X279" s="259"/>
      <c r="Y279" s="268"/>
      <c r="Z279" s="268"/>
      <c r="AA279" s="268"/>
      <c r="AB279" s="268"/>
      <c r="AC279" s="268"/>
      <c r="AD279" s="268"/>
      <c r="AE279" s="268"/>
      <c r="AF279" s="268"/>
      <c r="AG279" s="268"/>
      <c r="AH279" s="268"/>
      <c r="AI279" s="268"/>
      <c r="AJ279" s="268"/>
      <c r="AK279" s="268"/>
      <c r="AL279" s="268"/>
      <c r="AM279" s="268"/>
      <c r="AN279" s="259"/>
      <c r="AO279" s="268"/>
      <c r="AP279" s="268"/>
      <c r="AQ279" s="268"/>
      <c r="AR279" s="268"/>
      <c r="AS279" s="268"/>
      <c r="AT279" s="268"/>
      <c r="AU279" s="268"/>
      <c r="AV279" s="268"/>
      <c r="AW279" s="268"/>
      <c r="AX279" s="268"/>
      <c r="AY279" s="268"/>
      <c r="AZ279" s="268"/>
      <c r="BA279" s="268"/>
      <c r="BB279" s="268"/>
      <c r="BC279" s="268"/>
      <c r="BD279" s="287"/>
      <c r="BE279" s="268"/>
    </row>
    <row r="280" customFormat="false" ht="7.5" hidden="false" customHeight="true" outlineLevel="0" collapsed="false">
      <c r="A280" s="198"/>
      <c r="B280" s="266"/>
      <c r="C280" s="266"/>
      <c r="D280" s="266"/>
      <c r="E280" s="241"/>
      <c r="F280" s="241"/>
      <c r="G280" s="241"/>
      <c r="H280" s="204"/>
      <c r="I280" s="269"/>
      <c r="J280" s="269"/>
      <c r="K280" s="277"/>
      <c r="L280" s="269"/>
      <c r="M280" s="269"/>
      <c r="N280" s="269"/>
      <c r="O280" s="269"/>
      <c r="P280" s="269"/>
      <c r="Q280" s="269"/>
      <c r="R280" s="269"/>
      <c r="S280" s="269"/>
      <c r="T280" s="269"/>
      <c r="U280" s="269"/>
      <c r="V280" s="269"/>
      <c r="W280" s="269"/>
      <c r="X280" s="259"/>
      <c r="Y280" s="271"/>
      <c r="Z280" s="271"/>
      <c r="AA280" s="271"/>
      <c r="AB280" s="271"/>
      <c r="AC280" s="271"/>
      <c r="AD280" s="271"/>
      <c r="AE280" s="271"/>
      <c r="AF280" s="271"/>
      <c r="AG280" s="271"/>
      <c r="AH280" s="271"/>
      <c r="AI280" s="271"/>
      <c r="AJ280" s="272"/>
      <c r="AK280" s="273"/>
      <c r="AL280" s="273"/>
      <c r="AM280" s="273"/>
      <c r="AN280" s="259"/>
      <c r="AO280" s="271"/>
      <c r="AP280" s="271"/>
      <c r="AQ280" s="271"/>
      <c r="AR280" s="271"/>
      <c r="AS280" s="271"/>
      <c r="AT280" s="271"/>
      <c r="AU280" s="271"/>
      <c r="AV280" s="271"/>
      <c r="AW280" s="271"/>
      <c r="AX280" s="271"/>
      <c r="AY280" s="271"/>
      <c r="AZ280" s="272"/>
      <c r="BA280" s="273"/>
      <c r="BB280" s="273"/>
      <c r="BC280" s="273"/>
      <c r="BD280" s="287"/>
      <c r="BE280" s="274"/>
    </row>
    <row r="281" customFormat="false" ht="15" hidden="false" customHeight="true" outlineLevel="0" collapsed="false">
      <c r="B281" s="333"/>
      <c r="C281" s="334"/>
      <c r="D281" s="333" t="n">
        <f aca="false">D265</f>
        <v>45292</v>
      </c>
      <c r="E281" s="277" t="n">
        <v>0</v>
      </c>
      <c r="F281" s="277" t="n">
        <v>0</v>
      </c>
      <c r="G281" s="277" t="n">
        <f aca="false">SUM(E281:F281)</f>
        <v>0</v>
      </c>
      <c r="H281" s="204"/>
      <c r="I281" s="279" t="n">
        <v>1</v>
      </c>
      <c r="J281" s="280" t="n">
        <f aca="false">1-I281</f>
        <v>0</v>
      </c>
      <c r="K281" s="277"/>
      <c r="L281" s="282"/>
      <c r="M281" s="282"/>
      <c r="N281" s="282"/>
      <c r="O281" s="282"/>
      <c r="P281" s="282"/>
      <c r="Q281" s="282"/>
      <c r="R281" s="282"/>
      <c r="S281" s="282"/>
      <c r="T281" s="282"/>
      <c r="U281" s="282"/>
      <c r="V281" s="282"/>
      <c r="W281" s="282"/>
      <c r="X281" s="268"/>
      <c r="Y281" s="284" t="n">
        <f aca="false">IFERROR(L281*$G281*I$9, "")</f>
        <v>0</v>
      </c>
      <c r="Z281" s="284" t="n">
        <f aca="false">IFERROR(M281*$G281*$I281, "")</f>
        <v>0</v>
      </c>
      <c r="AA281" s="284" t="n">
        <f aca="false">IFERROR(N281*$G281*$I281, "")</f>
        <v>0</v>
      </c>
      <c r="AB281" s="284" t="n">
        <f aca="false">IFERROR(O281*$G281*$I281, "")</f>
        <v>0</v>
      </c>
      <c r="AC281" s="284" t="n">
        <f aca="false">IFERROR(P281*$G281*$I281, "")</f>
        <v>0</v>
      </c>
      <c r="AD281" s="284" t="n">
        <f aca="false">IFERROR(Q281*$G281*$I281, "")</f>
        <v>0</v>
      </c>
      <c r="AE281" s="284" t="n">
        <f aca="false">IFERROR(R281*$G281*$I281, "")</f>
        <v>0</v>
      </c>
      <c r="AF281" s="284" t="n">
        <f aca="false">IFERROR(S281*$G281*$I281, "")</f>
        <v>0</v>
      </c>
      <c r="AG281" s="284" t="n">
        <f aca="false">IFERROR(T281*$G281*$I281, "")</f>
        <v>0</v>
      </c>
      <c r="AH281" s="284" t="n">
        <f aca="false">IFERROR(U281*$G281*$I281, "")</f>
        <v>0</v>
      </c>
      <c r="AI281" s="284" t="n">
        <f aca="false">IFERROR(V281*$G281*$I281, "")</f>
        <v>0</v>
      </c>
      <c r="AJ281" s="284" t="n">
        <f aca="false">IFERROR(W281*$G281*$I281, "")</f>
        <v>0</v>
      </c>
      <c r="AK281" s="286" t="n">
        <f aca="false">IFERROR(SUMIF($Y$4:$AJ$4, "RDEC", Y281:AJ281), "")</f>
        <v>0</v>
      </c>
      <c r="AL281" s="286" t="n">
        <f aca="false">IFERROR(SUMIF($Y$4:$AJ$4, "SME", Y281:AJ281), "")</f>
        <v>0</v>
      </c>
      <c r="AM281" s="286" t="n">
        <f aca="false">IFERROR(SUMIF($Y$4:$AJ$4, "De Minimis", Y281:AJ281), "")</f>
        <v>0</v>
      </c>
      <c r="AN281" s="268"/>
      <c r="AO281" s="284" t="n">
        <f aca="false">IFERROR($G281*$J281*L281, "")</f>
        <v>0</v>
      </c>
      <c r="AP281" s="284" t="n">
        <f aca="false">IFERROR($G281*$J281*M281, "")</f>
        <v>0</v>
      </c>
      <c r="AQ281" s="284" t="n">
        <f aca="false">IFERROR($G281*$J281*N281, "")</f>
        <v>0</v>
      </c>
      <c r="AR281" s="284" t="n">
        <f aca="false">IFERROR($G281*$J281*O281, "")</f>
        <v>0</v>
      </c>
      <c r="AS281" s="284" t="n">
        <f aca="false">IFERROR($G281*$J281*P281, "")</f>
        <v>0</v>
      </c>
      <c r="AT281" s="284" t="n">
        <f aca="false">IFERROR($G281*$J281*Q281, "")</f>
        <v>0</v>
      </c>
      <c r="AU281" s="284" t="n">
        <f aca="false">IFERROR($G281*$J281*R281, "")</f>
        <v>0</v>
      </c>
      <c r="AV281" s="284" t="n">
        <f aca="false">IFERROR($G281*$J281*S281, "")</f>
        <v>0</v>
      </c>
      <c r="AW281" s="284" t="n">
        <f aca="false">IFERROR($G281*$J281*T281, "")</f>
        <v>0</v>
      </c>
      <c r="AX281" s="284" t="n">
        <f aca="false">IFERROR($G281*$J281*U281, "")</f>
        <v>0</v>
      </c>
      <c r="AY281" s="284" t="n">
        <f aca="false">IFERROR($G281*$J281*V281, "")</f>
        <v>0</v>
      </c>
      <c r="AZ281" s="284" t="n">
        <f aca="false">IFERROR($G281*$J281*W281, "")</f>
        <v>0</v>
      </c>
      <c r="BA281" s="286" t="n">
        <f aca="false">IFERROR(SUMIF($AO$4:$AZ$4, "RDEC", AO281:AZ281), "")</f>
        <v>0</v>
      </c>
      <c r="BB281" s="286" t="n">
        <f aca="false">IFERROR(SUMIF($AO$4:$AZ$4, "SME", AO281:AZ281), "")</f>
        <v>0</v>
      </c>
      <c r="BC281" s="286" t="n">
        <f aca="false">IFERROR(SUMIF($AO$4:$AZ$4, "De Minimis", AO281:AZ281), "")</f>
        <v>0</v>
      </c>
      <c r="BD281" s="287"/>
      <c r="BE281" s="288" t="str">
        <f aca="false">IF((SUM(L281:W281)&gt;1),"ERROR","")</f>
        <v/>
      </c>
    </row>
    <row r="282" customFormat="false" ht="15" hidden="false" customHeight="true" outlineLevel="0" collapsed="false">
      <c r="B282" s="333"/>
      <c r="C282" s="334"/>
      <c r="D282" s="333" t="n">
        <f aca="false">D266</f>
        <v>45323</v>
      </c>
      <c r="E282" s="277" t="n">
        <v>0</v>
      </c>
      <c r="F282" s="277" t="n">
        <v>0</v>
      </c>
      <c r="G282" s="277" t="n">
        <f aca="false">SUM(E282:F282)</f>
        <v>0</v>
      </c>
      <c r="H282" s="204"/>
      <c r="I282" s="279" t="n">
        <v>1</v>
      </c>
      <c r="J282" s="280" t="n">
        <f aca="false">1-I282</f>
        <v>0</v>
      </c>
      <c r="K282" s="277"/>
      <c r="L282" s="282"/>
      <c r="M282" s="282"/>
      <c r="N282" s="282"/>
      <c r="O282" s="282"/>
      <c r="P282" s="282"/>
      <c r="Q282" s="282"/>
      <c r="R282" s="282"/>
      <c r="S282" s="282"/>
      <c r="T282" s="282"/>
      <c r="U282" s="282"/>
      <c r="V282" s="282"/>
      <c r="W282" s="282"/>
      <c r="X282" s="283"/>
      <c r="Y282" s="284" t="n">
        <f aca="false">IFERROR(L282*$G282*I$9, "")</f>
        <v>0</v>
      </c>
      <c r="Z282" s="284" t="n">
        <f aca="false">IFERROR(M282*$G282*$I282, "")</f>
        <v>0</v>
      </c>
      <c r="AA282" s="284" t="n">
        <f aca="false">IFERROR(N282*$G282*$I282, "")</f>
        <v>0</v>
      </c>
      <c r="AB282" s="284" t="n">
        <f aca="false">IFERROR(O282*$G282*$I282, "")</f>
        <v>0</v>
      </c>
      <c r="AC282" s="284" t="n">
        <f aca="false">IFERROR(P282*$G282*$I282, "")</f>
        <v>0</v>
      </c>
      <c r="AD282" s="284" t="n">
        <f aca="false">IFERROR(Q282*$G282*$I282, "")</f>
        <v>0</v>
      </c>
      <c r="AE282" s="284" t="n">
        <f aca="false">IFERROR(R282*$G282*$I282, "")</f>
        <v>0</v>
      </c>
      <c r="AF282" s="284" t="n">
        <f aca="false">IFERROR(S282*$G282*$I282, "")</f>
        <v>0</v>
      </c>
      <c r="AG282" s="284" t="n">
        <f aca="false">IFERROR(T282*$G282*$I282, "")</f>
        <v>0</v>
      </c>
      <c r="AH282" s="284" t="n">
        <f aca="false">IFERROR(U282*$G282*$I282, "")</f>
        <v>0</v>
      </c>
      <c r="AI282" s="284" t="n">
        <f aca="false">IFERROR(V282*$G282*$I282, "")</f>
        <v>0</v>
      </c>
      <c r="AJ282" s="284" t="n">
        <f aca="false">IFERROR(W282*$G282*$I282, "")</f>
        <v>0</v>
      </c>
      <c r="AK282" s="286" t="n">
        <f aca="false">IFERROR(SUMIF($Y$4:$AJ$4, "RDEC", Y282:AJ282), "")</f>
        <v>0</v>
      </c>
      <c r="AL282" s="286" t="n">
        <f aca="false">IFERROR(SUMIF($Y$4:$AJ$4, "SME", Y282:AJ282), "")</f>
        <v>0</v>
      </c>
      <c r="AM282" s="286" t="n">
        <f aca="false">IFERROR(SUMIF($Y$4:$AJ$4, "De Minimis", Y282:AJ282), "")</f>
        <v>0</v>
      </c>
      <c r="AN282" s="283"/>
      <c r="AO282" s="284" t="n">
        <f aca="false">IFERROR($G282*$J282*L282, "")</f>
        <v>0</v>
      </c>
      <c r="AP282" s="284" t="n">
        <f aca="false">IFERROR($G282*$J282*M282, "")</f>
        <v>0</v>
      </c>
      <c r="AQ282" s="284" t="n">
        <f aca="false">IFERROR($G282*$J282*N282, "")</f>
        <v>0</v>
      </c>
      <c r="AR282" s="284" t="n">
        <f aca="false">IFERROR($G282*$J282*O282, "")</f>
        <v>0</v>
      </c>
      <c r="AS282" s="284" t="n">
        <f aca="false">IFERROR($G282*$J282*P282, "")</f>
        <v>0</v>
      </c>
      <c r="AT282" s="284" t="n">
        <f aca="false">IFERROR($G282*$J282*Q282, "")</f>
        <v>0</v>
      </c>
      <c r="AU282" s="284" t="n">
        <f aca="false">IFERROR($G282*$J282*R282, "")</f>
        <v>0</v>
      </c>
      <c r="AV282" s="284" t="n">
        <f aca="false">IFERROR($G282*$J282*S282, "")</f>
        <v>0</v>
      </c>
      <c r="AW282" s="284" t="n">
        <f aca="false">IFERROR($G282*$J282*T282, "")</f>
        <v>0</v>
      </c>
      <c r="AX282" s="284" t="n">
        <f aca="false">IFERROR($G282*$J282*U282, "")</f>
        <v>0</v>
      </c>
      <c r="AY282" s="284" t="n">
        <f aca="false">IFERROR($G282*$J282*V282, "")</f>
        <v>0</v>
      </c>
      <c r="AZ282" s="284" t="n">
        <f aca="false">IFERROR($G282*$J282*W282, "")</f>
        <v>0</v>
      </c>
      <c r="BA282" s="286" t="n">
        <f aca="false">IFERROR(SUMIF($AO$4:$AZ$4, "RDEC", AO282:AZ282), "")</f>
        <v>0</v>
      </c>
      <c r="BB282" s="286" t="n">
        <f aca="false">IFERROR(SUMIF($AO$4:$AZ$4, "SME", AO282:AZ282), "")</f>
        <v>0</v>
      </c>
      <c r="BC282" s="286" t="n">
        <f aca="false">IFERROR(SUMIF($Y$4:$AJ$4, "De Minimis", AO282:AZ282), "")</f>
        <v>0</v>
      </c>
      <c r="BD282" s="287"/>
      <c r="BE282" s="288" t="str">
        <f aca="false">IF((SUM(L282:W282)&gt;1),"ERROR","")</f>
        <v/>
      </c>
    </row>
    <row r="283" customFormat="false" ht="15" hidden="false" customHeight="true" outlineLevel="0" collapsed="false">
      <c r="B283" s="333"/>
      <c r="C283" s="334"/>
      <c r="D283" s="333" t="n">
        <f aca="false">D267</f>
        <v>45352</v>
      </c>
      <c r="E283" s="277" t="n">
        <v>0</v>
      </c>
      <c r="F283" s="277" t="n">
        <v>0</v>
      </c>
      <c r="G283" s="277" t="n">
        <f aca="false">SUM(E283:F283)</f>
        <v>0</v>
      </c>
      <c r="H283" s="204"/>
      <c r="I283" s="279" t="n">
        <v>1</v>
      </c>
      <c r="J283" s="280" t="n">
        <f aca="false">1-I283</f>
        <v>0</v>
      </c>
      <c r="K283" s="277"/>
      <c r="L283" s="282"/>
      <c r="M283" s="282"/>
      <c r="N283" s="282"/>
      <c r="O283" s="282"/>
      <c r="P283" s="282"/>
      <c r="Q283" s="282"/>
      <c r="R283" s="282"/>
      <c r="S283" s="282"/>
      <c r="T283" s="282"/>
      <c r="U283" s="282"/>
      <c r="V283" s="282"/>
      <c r="W283" s="282"/>
      <c r="X283" s="283"/>
      <c r="Y283" s="284" t="n">
        <f aca="false">IFERROR(L283*$G283*I$9, "")</f>
        <v>0</v>
      </c>
      <c r="Z283" s="284" t="n">
        <f aca="false">IFERROR(M283*$G283*$I283, "")</f>
        <v>0</v>
      </c>
      <c r="AA283" s="284" t="n">
        <f aca="false">IFERROR(N283*$G283*$I283, "")</f>
        <v>0</v>
      </c>
      <c r="AB283" s="284" t="n">
        <f aca="false">IFERROR(O283*$G283*$I283, "")</f>
        <v>0</v>
      </c>
      <c r="AC283" s="284" t="n">
        <f aca="false">IFERROR(P283*$G283*$I283, "")</f>
        <v>0</v>
      </c>
      <c r="AD283" s="284" t="n">
        <f aca="false">IFERROR(Q283*$G283*$I283, "")</f>
        <v>0</v>
      </c>
      <c r="AE283" s="284" t="n">
        <f aca="false">IFERROR(R283*$G283*$I283, "")</f>
        <v>0</v>
      </c>
      <c r="AF283" s="284" t="n">
        <f aca="false">IFERROR(S283*$G283*$I283, "")</f>
        <v>0</v>
      </c>
      <c r="AG283" s="284" t="n">
        <f aca="false">IFERROR(T283*$G283*$I283, "")</f>
        <v>0</v>
      </c>
      <c r="AH283" s="284" t="n">
        <f aca="false">IFERROR(U283*$G283*$I283, "")</f>
        <v>0</v>
      </c>
      <c r="AI283" s="284" t="n">
        <f aca="false">IFERROR(V283*$G283*$I283, "")</f>
        <v>0</v>
      </c>
      <c r="AJ283" s="284" t="n">
        <f aca="false">IFERROR(W283*$G283*$I283, "")</f>
        <v>0</v>
      </c>
      <c r="AK283" s="286" t="n">
        <f aca="false">IFERROR(SUMIF($Y$4:$AJ$4, "RDEC", Y283:AJ283), "")</f>
        <v>0</v>
      </c>
      <c r="AL283" s="286" t="n">
        <f aca="false">IFERROR(SUMIF($Y$4:$AJ$4, "SME", Y283:AJ283), "")</f>
        <v>0</v>
      </c>
      <c r="AM283" s="286" t="n">
        <f aca="false">IFERROR(SUMIF($Y$4:$AJ$4, "De Minimis", Y283:AJ283), "")</f>
        <v>0</v>
      </c>
      <c r="AN283" s="283"/>
      <c r="AO283" s="284" t="n">
        <f aca="false">IFERROR($G283*$J283*L283, "")</f>
        <v>0</v>
      </c>
      <c r="AP283" s="284" t="n">
        <f aca="false">IFERROR($G283*$J283*M283, "")</f>
        <v>0</v>
      </c>
      <c r="AQ283" s="284" t="n">
        <f aca="false">IFERROR($G283*$J283*N283, "")</f>
        <v>0</v>
      </c>
      <c r="AR283" s="284" t="n">
        <f aca="false">IFERROR($G283*$J283*O283, "")</f>
        <v>0</v>
      </c>
      <c r="AS283" s="284" t="n">
        <f aca="false">IFERROR($G283*$J283*P283, "")</f>
        <v>0</v>
      </c>
      <c r="AT283" s="284" t="n">
        <f aca="false">IFERROR($G283*$J283*Q283, "")</f>
        <v>0</v>
      </c>
      <c r="AU283" s="284" t="n">
        <f aca="false">IFERROR($G283*$J283*R283, "")</f>
        <v>0</v>
      </c>
      <c r="AV283" s="284" t="n">
        <f aca="false">IFERROR($G283*$J283*S283, "")</f>
        <v>0</v>
      </c>
      <c r="AW283" s="284" t="n">
        <f aca="false">IFERROR($G283*$J283*T283, "")</f>
        <v>0</v>
      </c>
      <c r="AX283" s="284" t="n">
        <f aca="false">IFERROR($G283*$J283*U283, "")</f>
        <v>0</v>
      </c>
      <c r="AY283" s="284" t="n">
        <f aca="false">IFERROR($G283*$J283*V283, "")</f>
        <v>0</v>
      </c>
      <c r="AZ283" s="284" t="n">
        <f aca="false">IFERROR($G283*$J283*W283, "")</f>
        <v>0</v>
      </c>
      <c r="BA283" s="286" t="n">
        <f aca="false">IFERROR(SUMIF($AO$4:$AZ$4, "RDEC", AO283:AZ283), "")</f>
        <v>0</v>
      </c>
      <c r="BB283" s="286" t="n">
        <f aca="false">IFERROR(SUMIF($AO$4:$AZ$4, "SME", AO283:AZ283), "")</f>
        <v>0</v>
      </c>
      <c r="BC283" s="286" t="n">
        <f aca="false">IFERROR(SUMIF($Y$4:$AJ$4, "De Minimis", AO283:AZ283), "")</f>
        <v>0</v>
      </c>
      <c r="BD283" s="287"/>
      <c r="BE283" s="288" t="str">
        <f aca="false">IF((SUM(L283:W283)&gt;1),"ERROR","")</f>
        <v/>
      </c>
    </row>
    <row r="284" customFormat="false" ht="15" hidden="false" customHeight="true" outlineLevel="0" collapsed="false">
      <c r="B284" s="333"/>
      <c r="C284" s="334"/>
      <c r="D284" s="333" t="n">
        <f aca="false">D268</f>
        <v>45383</v>
      </c>
      <c r="E284" s="277" t="n">
        <v>0</v>
      </c>
      <c r="F284" s="277" t="n">
        <v>0</v>
      </c>
      <c r="G284" s="277" t="n">
        <f aca="false">SUM(E284:F284)</f>
        <v>0</v>
      </c>
      <c r="H284" s="204"/>
      <c r="I284" s="279" t="n">
        <v>1</v>
      </c>
      <c r="J284" s="280" t="n">
        <f aca="false">1-I284</f>
        <v>0</v>
      </c>
      <c r="K284" s="277"/>
      <c r="L284" s="282"/>
      <c r="M284" s="282"/>
      <c r="N284" s="282"/>
      <c r="O284" s="282"/>
      <c r="P284" s="282"/>
      <c r="Q284" s="282"/>
      <c r="R284" s="282"/>
      <c r="S284" s="282"/>
      <c r="T284" s="282"/>
      <c r="U284" s="282"/>
      <c r="V284" s="282"/>
      <c r="W284" s="282"/>
      <c r="X284" s="283"/>
      <c r="Y284" s="284" t="n">
        <f aca="false">IFERROR(L284*$G284*I$9, "")</f>
        <v>0</v>
      </c>
      <c r="Z284" s="284" t="n">
        <f aca="false">IFERROR(M284*$G284*$I284, "")</f>
        <v>0</v>
      </c>
      <c r="AA284" s="284" t="n">
        <f aca="false">IFERROR(N284*$G284*$I284, "")</f>
        <v>0</v>
      </c>
      <c r="AB284" s="284" t="n">
        <f aca="false">IFERROR(O284*$G284*$I284, "")</f>
        <v>0</v>
      </c>
      <c r="AC284" s="284" t="n">
        <f aca="false">IFERROR(P284*$G284*$I284, "")</f>
        <v>0</v>
      </c>
      <c r="AD284" s="284" t="n">
        <f aca="false">IFERROR(Q284*$G284*$I284, "")</f>
        <v>0</v>
      </c>
      <c r="AE284" s="284" t="n">
        <f aca="false">IFERROR(R284*$G284*$I284, "")</f>
        <v>0</v>
      </c>
      <c r="AF284" s="284" t="n">
        <f aca="false">IFERROR(S284*$G284*$I284, "")</f>
        <v>0</v>
      </c>
      <c r="AG284" s="284" t="n">
        <f aca="false">IFERROR(T284*$G284*$I284, "")</f>
        <v>0</v>
      </c>
      <c r="AH284" s="284" t="n">
        <f aca="false">IFERROR(U284*$G284*$I284, "")</f>
        <v>0</v>
      </c>
      <c r="AI284" s="284" t="n">
        <f aca="false">IFERROR(V284*$G284*$I284, "")</f>
        <v>0</v>
      </c>
      <c r="AJ284" s="284" t="n">
        <f aca="false">IFERROR(W284*$G284*$I284, "")</f>
        <v>0</v>
      </c>
      <c r="AK284" s="286" t="n">
        <f aca="false">IFERROR(SUMIF($Y$4:$AJ$4, "RDEC", Y284:AJ284), "")</f>
        <v>0</v>
      </c>
      <c r="AL284" s="286" t="n">
        <f aca="false">IFERROR(SUMIF($Y$4:$AJ$4, "SME", Y284:AJ284), "")</f>
        <v>0</v>
      </c>
      <c r="AM284" s="286" t="n">
        <f aca="false">IFERROR(SUMIF($Y$4:$AJ$4, "De Minimis", Y284:AJ284), "")</f>
        <v>0</v>
      </c>
      <c r="AN284" s="283"/>
      <c r="AO284" s="284" t="n">
        <f aca="false">IFERROR($G284*$J284*L284, "")</f>
        <v>0</v>
      </c>
      <c r="AP284" s="284" t="n">
        <f aca="false">IFERROR($G284*$J284*M284, "")</f>
        <v>0</v>
      </c>
      <c r="AQ284" s="284" t="n">
        <f aca="false">IFERROR($G284*$J284*N284, "")</f>
        <v>0</v>
      </c>
      <c r="AR284" s="284" t="n">
        <f aca="false">IFERROR($G284*$J284*O284, "")</f>
        <v>0</v>
      </c>
      <c r="AS284" s="284" t="n">
        <f aca="false">IFERROR($G284*$J284*P284, "")</f>
        <v>0</v>
      </c>
      <c r="AT284" s="284" t="n">
        <f aca="false">IFERROR($G284*$J284*Q284, "")</f>
        <v>0</v>
      </c>
      <c r="AU284" s="284" t="n">
        <f aca="false">IFERROR($G284*$J284*R284, "")</f>
        <v>0</v>
      </c>
      <c r="AV284" s="284" t="n">
        <f aca="false">IFERROR($G284*$J284*S284, "")</f>
        <v>0</v>
      </c>
      <c r="AW284" s="284" t="n">
        <f aca="false">IFERROR($G284*$J284*T284, "")</f>
        <v>0</v>
      </c>
      <c r="AX284" s="284" t="n">
        <f aca="false">IFERROR($G284*$J284*U284, "")</f>
        <v>0</v>
      </c>
      <c r="AY284" s="284" t="n">
        <f aca="false">IFERROR($G284*$J284*V284, "")</f>
        <v>0</v>
      </c>
      <c r="AZ284" s="284" t="n">
        <f aca="false">IFERROR($G284*$J284*W284, "")</f>
        <v>0</v>
      </c>
      <c r="BA284" s="286" t="n">
        <f aca="false">IFERROR(SUMIF($AO$4:$AZ$4, "RDEC", AO284:AZ284), "")</f>
        <v>0</v>
      </c>
      <c r="BB284" s="286" t="n">
        <f aca="false">IFERROR(SUMIF($AO$4:$AZ$4, "SME", AO284:AZ284), "")</f>
        <v>0</v>
      </c>
      <c r="BC284" s="286" t="n">
        <f aca="false">IFERROR(SUMIF($Y$4:$AJ$4, "De Minimis", AO284:AZ284), "")</f>
        <v>0</v>
      </c>
      <c r="BD284" s="287"/>
      <c r="BE284" s="288" t="str">
        <f aca="false">IF((SUM(L284:W284)&gt;1),"ERROR","")</f>
        <v/>
      </c>
    </row>
    <row r="285" customFormat="false" ht="15" hidden="false" customHeight="true" outlineLevel="0" collapsed="false">
      <c r="B285" s="333"/>
      <c r="C285" s="334"/>
      <c r="D285" s="333" t="n">
        <f aca="false">D269</f>
        <v>45413</v>
      </c>
      <c r="E285" s="277" t="n">
        <v>0</v>
      </c>
      <c r="F285" s="277" t="n">
        <v>0</v>
      </c>
      <c r="G285" s="277" t="n">
        <f aca="false">SUM(E285:F285)</f>
        <v>0</v>
      </c>
      <c r="H285" s="204"/>
      <c r="I285" s="279" t="n">
        <v>1</v>
      </c>
      <c r="J285" s="280" t="n">
        <f aca="false">1-I285</f>
        <v>0</v>
      </c>
      <c r="K285" s="277"/>
      <c r="L285" s="282"/>
      <c r="M285" s="282"/>
      <c r="N285" s="282"/>
      <c r="O285" s="282"/>
      <c r="P285" s="282"/>
      <c r="Q285" s="282"/>
      <c r="R285" s="282"/>
      <c r="S285" s="282"/>
      <c r="T285" s="282"/>
      <c r="U285" s="282"/>
      <c r="V285" s="282"/>
      <c r="W285" s="282"/>
      <c r="X285" s="283"/>
      <c r="Y285" s="284" t="n">
        <f aca="false">IFERROR(L285*$G285*I$9, "")</f>
        <v>0</v>
      </c>
      <c r="Z285" s="284" t="n">
        <f aca="false">IFERROR(M285*$G285*$I285, "")</f>
        <v>0</v>
      </c>
      <c r="AA285" s="284" t="n">
        <f aca="false">IFERROR(N285*$G285*$I285, "")</f>
        <v>0</v>
      </c>
      <c r="AB285" s="284" t="n">
        <f aca="false">IFERROR(O285*$G285*$I285, "")</f>
        <v>0</v>
      </c>
      <c r="AC285" s="284" t="n">
        <f aca="false">IFERROR(P285*$G285*$I285, "")</f>
        <v>0</v>
      </c>
      <c r="AD285" s="284" t="n">
        <f aca="false">IFERROR(Q285*$G285*$I285, "")</f>
        <v>0</v>
      </c>
      <c r="AE285" s="284" t="n">
        <f aca="false">IFERROR(R285*$G285*$I285, "")</f>
        <v>0</v>
      </c>
      <c r="AF285" s="284" t="n">
        <f aca="false">IFERROR(S285*$G285*$I285, "")</f>
        <v>0</v>
      </c>
      <c r="AG285" s="284" t="n">
        <f aca="false">IFERROR(T285*$G285*$I285, "")</f>
        <v>0</v>
      </c>
      <c r="AH285" s="284" t="n">
        <f aca="false">IFERROR(U285*$G285*$I285, "")</f>
        <v>0</v>
      </c>
      <c r="AI285" s="284" t="n">
        <f aca="false">IFERROR(V285*$G285*$I285, "")</f>
        <v>0</v>
      </c>
      <c r="AJ285" s="284" t="n">
        <f aca="false">IFERROR(W285*$G285*$I285, "")</f>
        <v>0</v>
      </c>
      <c r="AK285" s="286" t="n">
        <f aca="false">IFERROR(SUMIF($Y$4:$AJ$4, "RDEC", Y285:AJ285), "")</f>
        <v>0</v>
      </c>
      <c r="AL285" s="286" t="n">
        <f aca="false">IFERROR(SUMIF($Y$4:$AJ$4, "SME", Y285:AJ285), "")</f>
        <v>0</v>
      </c>
      <c r="AM285" s="286" t="n">
        <f aca="false">IFERROR(SUMIF($Y$4:$AJ$4, "De Minimis", Y285:AJ285), "")</f>
        <v>0</v>
      </c>
      <c r="AN285" s="283"/>
      <c r="AO285" s="284" t="n">
        <f aca="false">IFERROR($G285*$J285*L285, "")</f>
        <v>0</v>
      </c>
      <c r="AP285" s="284" t="n">
        <f aca="false">IFERROR($G285*$J285*M285, "")</f>
        <v>0</v>
      </c>
      <c r="AQ285" s="284" t="n">
        <f aca="false">IFERROR($G285*$J285*N285, "")</f>
        <v>0</v>
      </c>
      <c r="AR285" s="284" t="n">
        <f aca="false">IFERROR($G285*$J285*O285, "")</f>
        <v>0</v>
      </c>
      <c r="AS285" s="284" t="n">
        <f aca="false">IFERROR($G285*$J285*P285, "")</f>
        <v>0</v>
      </c>
      <c r="AT285" s="284" t="n">
        <f aca="false">IFERROR($G285*$J285*Q285, "")</f>
        <v>0</v>
      </c>
      <c r="AU285" s="284" t="n">
        <f aca="false">IFERROR($G285*$J285*R285, "")</f>
        <v>0</v>
      </c>
      <c r="AV285" s="284" t="n">
        <f aca="false">IFERROR($G285*$J285*S285, "")</f>
        <v>0</v>
      </c>
      <c r="AW285" s="284" t="n">
        <f aca="false">IFERROR($G285*$J285*T285, "")</f>
        <v>0</v>
      </c>
      <c r="AX285" s="284" t="n">
        <f aca="false">IFERROR($G285*$J285*U285, "")</f>
        <v>0</v>
      </c>
      <c r="AY285" s="284" t="n">
        <f aca="false">IFERROR($G285*$J285*V285, "")</f>
        <v>0</v>
      </c>
      <c r="AZ285" s="284" t="n">
        <f aca="false">IFERROR($G285*$J285*W285, "")</f>
        <v>0</v>
      </c>
      <c r="BA285" s="286" t="n">
        <f aca="false">IFERROR(SUMIF($AO$4:$AZ$4, "RDEC", AO285:AZ285), "")</f>
        <v>0</v>
      </c>
      <c r="BB285" s="286" t="n">
        <f aca="false">IFERROR(SUMIF($AO$4:$AZ$4, "SME", AO285:AZ285), "")</f>
        <v>0</v>
      </c>
      <c r="BC285" s="286" t="n">
        <f aca="false">IFERROR(SUMIF($Y$4:$AJ$4, "De Minimis", AO285:AZ285), "")</f>
        <v>0</v>
      </c>
      <c r="BD285" s="287"/>
      <c r="BE285" s="288" t="str">
        <f aca="false">IF((SUM(L285:W285)&gt;1),"ERROR","")</f>
        <v/>
      </c>
    </row>
    <row r="286" customFormat="false" ht="15" hidden="false" customHeight="true" outlineLevel="0" collapsed="false">
      <c r="B286" s="333"/>
      <c r="C286" s="334"/>
      <c r="D286" s="333" t="n">
        <f aca="false">D270</f>
        <v>45444</v>
      </c>
      <c r="E286" s="277" t="n">
        <v>0</v>
      </c>
      <c r="F286" s="277" t="n">
        <v>0</v>
      </c>
      <c r="G286" s="277" t="n">
        <f aca="false">SUM(E286:F286)</f>
        <v>0</v>
      </c>
      <c r="H286" s="204"/>
      <c r="I286" s="279" t="n">
        <v>1</v>
      </c>
      <c r="J286" s="280" t="n">
        <f aca="false">1-I286</f>
        <v>0</v>
      </c>
      <c r="K286" s="277"/>
      <c r="L286" s="282"/>
      <c r="M286" s="282"/>
      <c r="N286" s="282"/>
      <c r="O286" s="282"/>
      <c r="P286" s="282"/>
      <c r="Q286" s="282"/>
      <c r="R286" s="282"/>
      <c r="S286" s="282"/>
      <c r="T286" s="282"/>
      <c r="U286" s="282"/>
      <c r="V286" s="282"/>
      <c r="W286" s="282"/>
      <c r="X286" s="283"/>
      <c r="Y286" s="284" t="n">
        <f aca="false">IFERROR(L286*$G286*I$9, "")</f>
        <v>0</v>
      </c>
      <c r="Z286" s="284" t="n">
        <f aca="false">IFERROR(M286*$G286*$I286, "")</f>
        <v>0</v>
      </c>
      <c r="AA286" s="284" t="n">
        <f aca="false">IFERROR(N286*$G286*$I286, "")</f>
        <v>0</v>
      </c>
      <c r="AB286" s="284" t="n">
        <f aca="false">IFERROR(O286*$G286*$I286, "")</f>
        <v>0</v>
      </c>
      <c r="AC286" s="284" t="n">
        <f aca="false">IFERROR(P286*$G286*$I286, "")</f>
        <v>0</v>
      </c>
      <c r="AD286" s="284" t="n">
        <f aca="false">IFERROR(Q286*$G286*$I286, "")</f>
        <v>0</v>
      </c>
      <c r="AE286" s="284" t="n">
        <f aca="false">IFERROR(R286*$G286*$I286, "")</f>
        <v>0</v>
      </c>
      <c r="AF286" s="284" t="n">
        <f aca="false">IFERROR(S286*$G286*$I286, "")</f>
        <v>0</v>
      </c>
      <c r="AG286" s="284" t="n">
        <f aca="false">IFERROR(T286*$G286*$I286, "")</f>
        <v>0</v>
      </c>
      <c r="AH286" s="284" t="n">
        <f aca="false">IFERROR(U286*$G286*$I286, "")</f>
        <v>0</v>
      </c>
      <c r="AI286" s="284" t="n">
        <f aca="false">IFERROR(V286*$G286*$I286, "")</f>
        <v>0</v>
      </c>
      <c r="AJ286" s="284" t="n">
        <f aca="false">IFERROR(W286*$G286*$I286, "")</f>
        <v>0</v>
      </c>
      <c r="AK286" s="286" t="n">
        <f aca="false">IFERROR(SUMIF($Y$4:$AJ$4, "RDEC", Y286:AJ286), "")</f>
        <v>0</v>
      </c>
      <c r="AL286" s="286" t="n">
        <f aca="false">IFERROR(SUMIF($Y$4:$AJ$4, "SME", Y286:AJ286), "")</f>
        <v>0</v>
      </c>
      <c r="AM286" s="286" t="n">
        <f aca="false">IFERROR(SUMIF($Y$4:$AJ$4, "De Minimis", Y286:AJ286), "")</f>
        <v>0</v>
      </c>
      <c r="AN286" s="283"/>
      <c r="AO286" s="284" t="n">
        <f aca="false">IFERROR($G286*$J286*L286, "")</f>
        <v>0</v>
      </c>
      <c r="AP286" s="284" t="n">
        <f aca="false">IFERROR($G286*$J286*M286, "")</f>
        <v>0</v>
      </c>
      <c r="AQ286" s="284" t="n">
        <f aca="false">IFERROR($G286*$J286*N286, "")</f>
        <v>0</v>
      </c>
      <c r="AR286" s="284" t="n">
        <f aca="false">IFERROR($G286*$J286*O286, "")</f>
        <v>0</v>
      </c>
      <c r="AS286" s="284" t="n">
        <f aca="false">IFERROR($G286*$J286*P286, "")</f>
        <v>0</v>
      </c>
      <c r="AT286" s="284" t="n">
        <f aca="false">IFERROR($G286*$J286*Q286, "")</f>
        <v>0</v>
      </c>
      <c r="AU286" s="284" t="n">
        <f aca="false">IFERROR($G286*$J286*R286, "")</f>
        <v>0</v>
      </c>
      <c r="AV286" s="284" t="n">
        <f aca="false">IFERROR($G286*$J286*S286, "")</f>
        <v>0</v>
      </c>
      <c r="AW286" s="284" t="n">
        <f aca="false">IFERROR($G286*$J286*T286, "")</f>
        <v>0</v>
      </c>
      <c r="AX286" s="284" t="n">
        <f aca="false">IFERROR($G286*$J286*U286, "")</f>
        <v>0</v>
      </c>
      <c r="AY286" s="284" t="n">
        <f aca="false">IFERROR($G286*$J286*V286, "")</f>
        <v>0</v>
      </c>
      <c r="AZ286" s="284" t="n">
        <f aca="false">IFERROR($G286*$J286*W286, "")</f>
        <v>0</v>
      </c>
      <c r="BA286" s="286" t="n">
        <f aca="false">IFERROR(SUMIF($AO$4:$AZ$4, "RDEC", AO286:AZ286), "")</f>
        <v>0</v>
      </c>
      <c r="BB286" s="286" t="n">
        <f aca="false">IFERROR(SUMIF($AO$4:$AZ$4, "SME", AO286:AZ286), "")</f>
        <v>0</v>
      </c>
      <c r="BC286" s="286" t="n">
        <f aca="false">IFERROR(SUMIF($Y$4:$AJ$4, "De Minimis", AO286:AZ286), "")</f>
        <v>0</v>
      </c>
      <c r="BD286" s="287"/>
      <c r="BE286" s="288" t="str">
        <f aca="false">IF((SUM(L286:W286)&gt;1),"ERROR","")</f>
        <v/>
      </c>
    </row>
    <row r="287" customFormat="false" ht="15" hidden="false" customHeight="true" outlineLevel="0" collapsed="false">
      <c r="B287" s="333"/>
      <c r="C287" s="334"/>
      <c r="D287" s="333" t="n">
        <f aca="false">D271</f>
        <v>45474</v>
      </c>
      <c r="E287" s="277" t="n">
        <v>0</v>
      </c>
      <c r="F287" s="277" t="n">
        <v>0</v>
      </c>
      <c r="G287" s="277" t="n">
        <f aca="false">SUM(E287:F287)</f>
        <v>0</v>
      </c>
      <c r="H287" s="204"/>
      <c r="I287" s="279" t="n">
        <v>1</v>
      </c>
      <c r="J287" s="280" t="n">
        <f aca="false">1-I287</f>
        <v>0</v>
      </c>
      <c r="K287" s="277"/>
      <c r="L287" s="282"/>
      <c r="M287" s="282"/>
      <c r="N287" s="282"/>
      <c r="O287" s="282"/>
      <c r="P287" s="282"/>
      <c r="Q287" s="282"/>
      <c r="R287" s="282"/>
      <c r="S287" s="282"/>
      <c r="T287" s="282"/>
      <c r="U287" s="282"/>
      <c r="V287" s="282"/>
      <c r="W287" s="282"/>
      <c r="X287" s="283"/>
      <c r="Y287" s="284" t="n">
        <f aca="false">IFERROR(L287*$G287*I$9, "")</f>
        <v>0</v>
      </c>
      <c r="Z287" s="284" t="n">
        <f aca="false">IFERROR(M287*$G287*$I287, "")</f>
        <v>0</v>
      </c>
      <c r="AA287" s="284" t="n">
        <f aca="false">IFERROR(N287*$G287*$I287, "")</f>
        <v>0</v>
      </c>
      <c r="AB287" s="284" t="n">
        <f aca="false">IFERROR(O287*$G287*$I287, "")</f>
        <v>0</v>
      </c>
      <c r="AC287" s="284" t="n">
        <f aca="false">IFERROR(P287*$G287*$I287, "")</f>
        <v>0</v>
      </c>
      <c r="AD287" s="284" t="n">
        <f aca="false">IFERROR(Q287*$G287*$I287, "")</f>
        <v>0</v>
      </c>
      <c r="AE287" s="284" t="n">
        <f aca="false">IFERROR(R287*$G287*$I287, "")</f>
        <v>0</v>
      </c>
      <c r="AF287" s="284" t="n">
        <f aca="false">IFERROR(S287*$G287*$I287, "")</f>
        <v>0</v>
      </c>
      <c r="AG287" s="284" t="n">
        <f aca="false">IFERROR(T287*$G287*$I287, "")</f>
        <v>0</v>
      </c>
      <c r="AH287" s="284" t="n">
        <f aca="false">IFERROR(U287*$G287*$I287, "")</f>
        <v>0</v>
      </c>
      <c r="AI287" s="284" t="n">
        <f aca="false">IFERROR(V287*$G287*$I287, "")</f>
        <v>0</v>
      </c>
      <c r="AJ287" s="284" t="n">
        <f aca="false">IFERROR(W287*$G287*$I287, "")</f>
        <v>0</v>
      </c>
      <c r="AK287" s="286" t="n">
        <f aca="false">IFERROR(SUMIF($Y$4:$AJ$4, "RDEC", Y287:AJ287), "")</f>
        <v>0</v>
      </c>
      <c r="AL287" s="286" t="n">
        <f aca="false">IFERROR(SUMIF($Y$4:$AJ$4, "SME", Y287:AJ287), "")</f>
        <v>0</v>
      </c>
      <c r="AM287" s="286" t="n">
        <f aca="false">IFERROR(SUMIF($Y$4:$AJ$4, "De Minimis", Y287:AJ287), "")</f>
        <v>0</v>
      </c>
      <c r="AN287" s="283"/>
      <c r="AO287" s="284" t="n">
        <f aca="false">IFERROR($G287*$J287*L287, "")</f>
        <v>0</v>
      </c>
      <c r="AP287" s="284" t="n">
        <f aca="false">IFERROR($G287*$J287*M287, "")</f>
        <v>0</v>
      </c>
      <c r="AQ287" s="284" t="n">
        <f aca="false">IFERROR($G287*$J287*N287, "")</f>
        <v>0</v>
      </c>
      <c r="AR287" s="284" t="n">
        <f aca="false">IFERROR($G287*$J287*O287, "")</f>
        <v>0</v>
      </c>
      <c r="AS287" s="284" t="n">
        <f aca="false">IFERROR($G287*$J287*P287, "")</f>
        <v>0</v>
      </c>
      <c r="AT287" s="284" t="n">
        <f aca="false">IFERROR($G287*$J287*Q287, "")</f>
        <v>0</v>
      </c>
      <c r="AU287" s="284" t="n">
        <f aca="false">IFERROR($G287*$J287*R287, "")</f>
        <v>0</v>
      </c>
      <c r="AV287" s="284" t="n">
        <f aca="false">IFERROR($G287*$J287*S287, "")</f>
        <v>0</v>
      </c>
      <c r="AW287" s="284" t="n">
        <f aca="false">IFERROR($G287*$J287*T287, "")</f>
        <v>0</v>
      </c>
      <c r="AX287" s="284" t="n">
        <f aca="false">IFERROR($G287*$J287*U287, "")</f>
        <v>0</v>
      </c>
      <c r="AY287" s="284" t="n">
        <f aca="false">IFERROR($G287*$J287*V287, "")</f>
        <v>0</v>
      </c>
      <c r="AZ287" s="284" t="n">
        <f aca="false">IFERROR($G287*$J287*W287, "")</f>
        <v>0</v>
      </c>
      <c r="BA287" s="286" t="n">
        <f aca="false">IFERROR(SUMIF($AO$4:$AZ$4, "RDEC", AO287:AZ287), "")</f>
        <v>0</v>
      </c>
      <c r="BB287" s="286" t="n">
        <f aca="false">IFERROR(SUMIF($AO$4:$AZ$4, "SME", AO287:AZ287), "")</f>
        <v>0</v>
      </c>
      <c r="BC287" s="286" t="n">
        <f aca="false">IFERROR(SUMIF($Y$4:$AJ$4, "De Minimis", AO287:AZ287), "")</f>
        <v>0</v>
      </c>
      <c r="BD287" s="287"/>
      <c r="BE287" s="288" t="str">
        <f aca="false">IF((SUM(L287:W287)&gt;1),"ERROR","")</f>
        <v/>
      </c>
    </row>
    <row r="288" customFormat="false" ht="15" hidden="false" customHeight="true" outlineLevel="0" collapsed="false">
      <c r="B288" s="333"/>
      <c r="C288" s="334"/>
      <c r="D288" s="333" t="n">
        <f aca="false">D272</f>
        <v>45505</v>
      </c>
      <c r="E288" s="277" t="n">
        <v>0</v>
      </c>
      <c r="F288" s="277" t="n">
        <v>0</v>
      </c>
      <c r="G288" s="277" t="n">
        <f aca="false">SUM(E288:F288)</f>
        <v>0</v>
      </c>
      <c r="H288" s="204"/>
      <c r="I288" s="279" t="n">
        <v>1</v>
      </c>
      <c r="J288" s="280" t="n">
        <f aca="false">1-I288</f>
        <v>0</v>
      </c>
      <c r="K288" s="277"/>
      <c r="L288" s="282"/>
      <c r="M288" s="282"/>
      <c r="N288" s="282"/>
      <c r="O288" s="282"/>
      <c r="P288" s="282"/>
      <c r="Q288" s="282"/>
      <c r="R288" s="282"/>
      <c r="S288" s="282"/>
      <c r="T288" s="282"/>
      <c r="U288" s="282"/>
      <c r="V288" s="282"/>
      <c r="W288" s="282"/>
      <c r="X288" s="283"/>
      <c r="Y288" s="284" t="n">
        <f aca="false">IFERROR(L288*$G288*I$9, "")</f>
        <v>0</v>
      </c>
      <c r="Z288" s="284" t="n">
        <f aca="false">IFERROR(M288*$G288*$I288, "")</f>
        <v>0</v>
      </c>
      <c r="AA288" s="284" t="n">
        <f aca="false">IFERROR(N288*$G288*$I288, "")</f>
        <v>0</v>
      </c>
      <c r="AB288" s="284" t="n">
        <f aca="false">IFERROR(O288*$G288*$I288, "")</f>
        <v>0</v>
      </c>
      <c r="AC288" s="284" t="n">
        <f aca="false">IFERROR(P288*$G288*$I288, "")</f>
        <v>0</v>
      </c>
      <c r="AD288" s="284" t="n">
        <f aca="false">IFERROR(Q288*$G288*$I288, "")</f>
        <v>0</v>
      </c>
      <c r="AE288" s="284" t="n">
        <f aca="false">IFERROR(R288*$G288*$I288, "")</f>
        <v>0</v>
      </c>
      <c r="AF288" s="284" t="n">
        <f aca="false">IFERROR(S288*$G288*$I288, "")</f>
        <v>0</v>
      </c>
      <c r="AG288" s="284" t="n">
        <f aca="false">IFERROR(T288*$G288*$I288, "")</f>
        <v>0</v>
      </c>
      <c r="AH288" s="284" t="n">
        <f aca="false">IFERROR(U288*$G288*$I288, "")</f>
        <v>0</v>
      </c>
      <c r="AI288" s="284" t="n">
        <f aca="false">IFERROR(V288*$G288*$I288, "")</f>
        <v>0</v>
      </c>
      <c r="AJ288" s="284" t="n">
        <f aca="false">IFERROR(W288*$G288*$I288, "")</f>
        <v>0</v>
      </c>
      <c r="AK288" s="286" t="n">
        <f aca="false">IFERROR(SUMIF($Y$4:$AJ$4, "RDEC", Y288:AJ288), "")</f>
        <v>0</v>
      </c>
      <c r="AL288" s="286" t="n">
        <f aca="false">IFERROR(SUMIF($Y$4:$AJ$4, "SME", Y288:AJ288), "")</f>
        <v>0</v>
      </c>
      <c r="AM288" s="286" t="n">
        <f aca="false">IFERROR(SUMIF($Y$4:$AJ$4, "De Minimis", Y288:AJ288), "")</f>
        <v>0</v>
      </c>
      <c r="AN288" s="283"/>
      <c r="AO288" s="284" t="n">
        <f aca="false">IFERROR($G288*$J288*L288, "")</f>
        <v>0</v>
      </c>
      <c r="AP288" s="284" t="n">
        <f aca="false">IFERROR($G288*$J288*M288, "")</f>
        <v>0</v>
      </c>
      <c r="AQ288" s="284" t="n">
        <f aca="false">IFERROR($G288*$J288*N288, "")</f>
        <v>0</v>
      </c>
      <c r="AR288" s="284" t="n">
        <f aca="false">IFERROR($G288*$J288*O288, "")</f>
        <v>0</v>
      </c>
      <c r="AS288" s="284" t="n">
        <f aca="false">IFERROR($G288*$J288*P288, "")</f>
        <v>0</v>
      </c>
      <c r="AT288" s="284" t="n">
        <f aca="false">IFERROR($G288*$J288*Q288, "")</f>
        <v>0</v>
      </c>
      <c r="AU288" s="284" t="n">
        <f aca="false">IFERROR($G288*$J288*R288, "")</f>
        <v>0</v>
      </c>
      <c r="AV288" s="284" t="n">
        <f aca="false">IFERROR($G288*$J288*S288, "")</f>
        <v>0</v>
      </c>
      <c r="AW288" s="284" t="n">
        <f aca="false">IFERROR($G288*$J288*T288, "")</f>
        <v>0</v>
      </c>
      <c r="AX288" s="284" t="n">
        <f aca="false">IFERROR($G288*$J288*U288, "")</f>
        <v>0</v>
      </c>
      <c r="AY288" s="284" t="n">
        <f aca="false">IFERROR($G288*$J288*V288, "")</f>
        <v>0</v>
      </c>
      <c r="AZ288" s="284" t="n">
        <f aca="false">IFERROR($G288*$J288*W288, "")</f>
        <v>0</v>
      </c>
      <c r="BA288" s="286" t="n">
        <f aca="false">IFERROR(SUMIF($AO$4:$AZ$4, "RDEC", AO288:AZ288), "")</f>
        <v>0</v>
      </c>
      <c r="BB288" s="286" t="n">
        <f aca="false">IFERROR(SUMIF($AO$4:$AZ$4, "SME", AO288:AZ288), "")</f>
        <v>0</v>
      </c>
      <c r="BC288" s="286" t="n">
        <f aca="false">IFERROR(SUMIF($Y$4:$AJ$4, "De Minimis", AO288:AZ288), "")</f>
        <v>0</v>
      </c>
      <c r="BD288" s="287"/>
      <c r="BE288" s="288" t="str">
        <f aca="false">IF((SUM(L288:W288)&gt;1),"ERROR","")</f>
        <v/>
      </c>
    </row>
    <row r="289" customFormat="false" ht="15" hidden="false" customHeight="true" outlineLevel="0" collapsed="false">
      <c r="B289" s="333"/>
      <c r="C289" s="334"/>
      <c r="D289" s="333" t="n">
        <f aca="false">D273</f>
        <v>45536</v>
      </c>
      <c r="E289" s="277" t="n">
        <v>0</v>
      </c>
      <c r="F289" s="277" t="n">
        <v>0</v>
      </c>
      <c r="G289" s="277" t="n">
        <f aca="false">SUM(E289:F289)</f>
        <v>0</v>
      </c>
      <c r="H289" s="204"/>
      <c r="I289" s="279" t="n">
        <v>1</v>
      </c>
      <c r="J289" s="280" t="n">
        <f aca="false">1-I289</f>
        <v>0</v>
      </c>
      <c r="K289" s="277"/>
      <c r="L289" s="282"/>
      <c r="M289" s="282"/>
      <c r="N289" s="282"/>
      <c r="O289" s="282"/>
      <c r="P289" s="282"/>
      <c r="Q289" s="282"/>
      <c r="R289" s="282"/>
      <c r="S289" s="282"/>
      <c r="T289" s="282"/>
      <c r="U289" s="282"/>
      <c r="V289" s="282"/>
      <c r="W289" s="282"/>
      <c r="X289" s="283"/>
      <c r="Y289" s="284" t="n">
        <f aca="false">IFERROR(L289*$G289*I$9, "")</f>
        <v>0</v>
      </c>
      <c r="Z289" s="284" t="n">
        <f aca="false">IFERROR(M289*$G289*$I289, "")</f>
        <v>0</v>
      </c>
      <c r="AA289" s="284" t="n">
        <f aca="false">IFERROR(N289*$G289*$I289, "")</f>
        <v>0</v>
      </c>
      <c r="AB289" s="284" t="n">
        <f aca="false">IFERROR(O289*$G289*$I289, "")</f>
        <v>0</v>
      </c>
      <c r="AC289" s="284" t="n">
        <f aca="false">IFERROR(P289*$G289*$I289, "")</f>
        <v>0</v>
      </c>
      <c r="AD289" s="284" t="n">
        <f aca="false">IFERROR(Q289*$G289*$I289, "")</f>
        <v>0</v>
      </c>
      <c r="AE289" s="284" t="n">
        <f aca="false">IFERROR(R289*$G289*$I289, "")</f>
        <v>0</v>
      </c>
      <c r="AF289" s="284" t="n">
        <f aca="false">IFERROR(S289*$G289*$I289, "")</f>
        <v>0</v>
      </c>
      <c r="AG289" s="284" t="n">
        <f aca="false">IFERROR(T289*$G289*$I289, "")</f>
        <v>0</v>
      </c>
      <c r="AH289" s="284" t="n">
        <f aca="false">IFERROR(U289*$G289*$I289, "")</f>
        <v>0</v>
      </c>
      <c r="AI289" s="284" t="n">
        <f aca="false">IFERROR(V289*$G289*$I289, "")</f>
        <v>0</v>
      </c>
      <c r="AJ289" s="284" t="n">
        <f aca="false">IFERROR(W289*$G289*$I289, "")</f>
        <v>0</v>
      </c>
      <c r="AK289" s="286" t="n">
        <f aca="false">IFERROR(SUMIF($Y$4:$AJ$4, "RDEC", Y289:AJ289), "")</f>
        <v>0</v>
      </c>
      <c r="AL289" s="286" t="n">
        <f aca="false">IFERROR(SUMIF($Y$4:$AJ$4, "SME", Y289:AJ289), "")</f>
        <v>0</v>
      </c>
      <c r="AM289" s="286" t="n">
        <f aca="false">IFERROR(SUMIF($Y$4:$AJ$4, "De Minimis", Y289:AJ289), "")</f>
        <v>0</v>
      </c>
      <c r="AN289" s="283"/>
      <c r="AO289" s="284" t="n">
        <f aca="false">IFERROR($G289*$J289*L289, "")</f>
        <v>0</v>
      </c>
      <c r="AP289" s="284" t="n">
        <f aca="false">IFERROR($G289*$J289*M289, "")</f>
        <v>0</v>
      </c>
      <c r="AQ289" s="284" t="n">
        <f aca="false">IFERROR($G289*$J289*N289, "")</f>
        <v>0</v>
      </c>
      <c r="AR289" s="284" t="n">
        <f aca="false">IFERROR($G289*$J289*O289, "")</f>
        <v>0</v>
      </c>
      <c r="AS289" s="284" t="n">
        <f aca="false">IFERROR($G289*$J289*P289, "")</f>
        <v>0</v>
      </c>
      <c r="AT289" s="284" t="n">
        <f aca="false">IFERROR($G289*$J289*Q289, "")</f>
        <v>0</v>
      </c>
      <c r="AU289" s="284" t="n">
        <f aca="false">IFERROR($G289*$J289*R289, "")</f>
        <v>0</v>
      </c>
      <c r="AV289" s="284" t="n">
        <f aca="false">IFERROR($G289*$J289*S289, "")</f>
        <v>0</v>
      </c>
      <c r="AW289" s="284" t="n">
        <f aca="false">IFERROR($G289*$J289*T289, "")</f>
        <v>0</v>
      </c>
      <c r="AX289" s="284" t="n">
        <f aca="false">IFERROR($G289*$J289*U289, "")</f>
        <v>0</v>
      </c>
      <c r="AY289" s="284" t="n">
        <f aca="false">IFERROR($G289*$J289*V289, "")</f>
        <v>0</v>
      </c>
      <c r="AZ289" s="284" t="n">
        <f aca="false">IFERROR($G289*$J289*W289, "")</f>
        <v>0</v>
      </c>
      <c r="BA289" s="286" t="n">
        <f aca="false">IFERROR(SUMIF($AO$4:$AZ$4, "RDEC", AO289:AZ289), "")</f>
        <v>0</v>
      </c>
      <c r="BB289" s="286" t="n">
        <f aca="false">IFERROR(SUMIF($AO$4:$AZ$4, "SME", AO289:AZ289), "")</f>
        <v>0</v>
      </c>
      <c r="BC289" s="286" t="n">
        <f aca="false">IFERROR(SUMIF($Y$4:$AJ$4, "De Minimis", AO289:AZ289), "")</f>
        <v>0</v>
      </c>
      <c r="BD289" s="287"/>
      <c r="BE289" s="288" t="str">
        <f aca="false">IF((SUM(L289:W289)&gt;1),"ERROR","")</f>
        <v/>
      </c>
    </row>
    <row r="290" customFormat="false" ht="15" hidden="false" customHeight="true" outlineLevel="0" collapsed="false">
      <c r="B290" s="333"/>
      <c r="C290" s="334"/>
      <c r="D290" s="333" t="n">
        <f aca="false">D274</f>
        <v>45566</v>
      </c>
      <c r="E290" s="277" t="n">
        <v>0</v>
      </c>
      <c r="F290" s="277" t="n">
        <v>0</v>
      </c>
      <c r="G290" s="277" t="n">
        <f aca="false">SUM(E290:F290)</f>
        <v>0</v>
      </c>
      <c r="H290" s="204"/>
      <c r="I290" s="279" t="n">
        <v>1</v>
      </c>
      <c r="J290" s="280" t="n">
        <f aca="false">1-I290</f>
        <v>0</v>
      </c>
      <c r="K290" s="277"/>
      <c r="L290" s="282"/>
      <c r="M290" s="282"/>
      <c r="N290" s="282"/>
      <c r="O290" s="282"/>
      <c r="P290" s="282"/>
      <c r="Q290" s="282"/>
      <c r="R290" s="282"/>
      <c r="S290" s="282"/>
      <c r="T290" s="282"/>
      <c r="U290" s="282"/>
      <c r="V290" s="282"/>
      <c r="W290" s="282"/>
      <c r="X290" s="283"/>
      <c r="Y290" s="284" t="n">
        <f aca="false">IFERROR(L290*$G290*I$9, "")</f>
        <v>0</v>
      </c>
      <c r="Z290" s="284" t="n">
        <f aca="false">IFERROR(M290*$G290*$I290, "")</f>
        <v>0</v>
      </c>
      <c r="AA290" s="284" t="n">
        <f aca="false">IFERROR(N290*$G290*$I290, "")</f>
        <v>0</v>
      </c>
      <c r="AB290" s="284" t="n">
        <f aca="false">IFERROR(O290*$G290*$I290, "")</f>
        <v>0</v>
      </c>
      <c r="AC290" s="284" t="n">
        <f aca="false">IFERROR(P290*$G290*$I290, "")</f>
        <v>0</v>
      </c>
      <c r="AD290" s="284" t="n">
        <f aca="false">IFERROR(Q290*$G290*$I290, "")</f>
        <v>0</v>
      </c>
      <c r="AE290" s="284" t="n">
        <f aca="false">IFERROR(R290*$G290*$I290, "")</f>
        <v>0</v>
      </c>
      <c r="AF290" s="284" t="n">
        <f aca="false">IFERROR(S290*$G290*$I290, "")</f>
        <v>0</v>
      </c>
      <c r="AG290" s="284" t="n">
        <f aca="false">IFERROR(T290*$G290*$I290, "")</f>
        <v>0</v>
      </c>
      <c r="AH290" s="284" t="n">
        <f aca="false">IFERROR(U290*$G290*$I290, "")</f>
        <v>0</v>
      </c>
      <c r="AI290" s="284" t="n">
        <f aca="false">IFERROR(V290*$G290*$I290, "")</f>
        <v>0</v>
      </c>
      <c r="AJ290" s="284" t="n">
        <f aca="false">IFERROR(W290*$G290*$I290, "")</f>
        <v>0</v>
      </c>
      <c r="AK290" s="286" t="n">
        <f aca="false">IFERROR(SUMIF($Y$4:$AJ$4, "RDEC", Y290:AJ290), "")</f>
        <v>0</v>
      </c>
      <c r="AL290" s="286" t="n">
        <f aca="false">IFERROR(SUMIF($Y$4:$AJ$4, "SME", Y290:AJ290), "")</f>
        <v>0</v>
      </c>
      <c r="AM290" s="286" t="n">
        <f aca="false">IFERROR(SUMIF($Y$4:$AJ$4, "De Minimis", Y290:AJ290), "")</f>
        <v>0</v>
      </c>
      <c r="AN290" s="283"/>
      <c r="AO290" s="284" t="n">
        <f aca="false">IFERROR($G290*$J290*L290, "")</f>
        <v>0</v>
      </c>
      <c r="AP290" s="284" t="n">
        <f aca="false">IFERROR($G290*$J290*M290, "")</f>
        <v>0</v>
      </c>
      <c r="AQ290" s="284" t="n">
        <f aca="false">IFERROR($G290*$J290*N290, "")</f>
        <v>0</v>
      </c>
      <c r="AR290" s="284" t="n">
        <f aca="false">IFERROR($G290*$J290*O290, "")</f>
        <v>0</v>
      </c>
      <c r="AS290" s="284" t="n">
        <f aca="false">IFERROR($G290*$J290*P290, "")</f>
        <v>0</v>
      </c>
      <c r="AT290" s="284" t="n">
        <f aca="false">IFERROR($G290*$J290*Q290, "")</f>
        <v>0</v>
      </c>
      <c r="AU290" s="284" t="n">
        <f aca="false">IFERROR($G290*$J290*R290, "")</f>
        <v>0</v>
      </c>
      <c r="AV290" s="284" t="n">
        <f aca="false">IFERROR($G290*$J290*S290, "")</f>
        <v>0</v>
      </c>
      <c r="AW290" s="284" t="n">
        <f aca="false">IFERROR($G290*$J290*T290, "")</f>
        <v>0</v>
      </c>
      <c r="AX290" s="284" t="n">
        <f aca="false">IFERROR($G290*$J290*U290, "")</f>
        <v>0</v>
      </c>
      <c r="AY290" s="284" t="n">
        <f aca="false">IFERROR($G290*$J290*V290, "")</f>
        <v>0</v>
      </c>
      <c r="AZ290" s="284" t="n">
        <f aca="false">IFERROR($G290*$J290*W290, "")</f>
        <v>0</v>
      </c>
      <c r="BA290" s="286" t="n">
        <f aca="false">IFERROR(SUMIF($AO$4:$AZ$4, "RDEC", AO290:AZ290), "")</f>
        <v>0</v>
      </c>
      <c r="BB290" s="286" t="n">
        <f aca="false">IFERROR(SUMIF($AO$4:$AZ$4, "SME", AO290:AZ290), "")</f>
        <v>0</v>
      </c>
      <c r="BC290" s="286" t="n">
        <f aca="false">IFERROR(SUMIF($Y$4:$AJ$4, "De Minimis", AO290:AZ290), "")</f>
        <v>0</v>
      </c>
      <c r="BD290" s="287"/>
      <c r="BE290" s="288" t="str">
        <f aca="false">IF((SUM(L290:W290)&gt;1),"ERROR","")</f>
        <v/>
      </c>
    </row>
    <row r="291" customFormat="false" ht="15" hidden="false" customHeight="true" outlineLevel="0" collapsed="false">
      <c r="B291" s="333"/>
      <c r="C291" s="334"/>
      <c r="D291" s="333" t="n">
        <f aca="false">D275</f>
        <v>45597</v>
      </c>
      <c r="E291" s="277" t="n">
        <v>0</v>
      </c>
      <c r="F291" s="277" t="n">
        <v>0</v>
      </c>
      <c r="G291" s="277" t="n">
        <f aca="false">SUM(E291:F291)</f>
        <v>0</v>
      </c>
      <c r="H291" s="204"/>
      <c r="I291" s="279" t="n">
        <v>1</v>
      </c>
      <c r="J291" s="280" t="n">
        <f aca="false">1-I291</f>
        <v>0</v>
      </c>
      <c r="K291" s="277"/>
      <c r="L291" s="282"/>
      <c r="M291" s="282"/>
      <c r="N291" s="282"/>
      <c r="O291" s="282"/>
      <c r="P291" s="282"/>
      <c r="Q291" s="282"/>
      <c r="R291" s="282"/>
      <c r="S291" s="282"/>
      <c r="T291" s="282"/>
      <c r="U291" s="282"/>
      <c r="V291" s="282"/>
      <c r="W291" s="282"/>
      <c r="X291" s="283"/>
      <c r="Y291" s="284" t="n">
        <f aca="false">IFERROR(L291*$G291*I$9, "")</f>
        <v>0</v>
      </c>
      <c r="Z291" s="284" t="n">
        <f aca="false">IFERROR(M291*$G291*$I291, "")</f>
        <v>0</v>
      </c>
      <c r="AA291" s="284" t="n">
        <f aca="false">IFERROR(N291*$G291*$I291, "")</f>
        <v>0</v>
      </c>
      <c r="AB291" s="284" t="n">
        <f aca="false">IFERROR(O291*$G291*$I291, "")</f>
        <v>0</v>
      </c>
      <c r="AC291" s="284" t="n">
        <f aca="false">IFERROR(P291*$G291*$I291, "")</f>
        <v>0</v>
      </c>
      <c r="AD291" s="284" t="n">
        <f aca="false">IFERROR(Q291*$G291*$I291, "")</f>
        <v>0</v>
      </c>
      <c r="AE291" s="284" t="n">
        <f aca="false">IFERROR(R291*$G291*$I291, "")</f>
        <v>0</v>
      </c>
      <c r="AF291" s="284" t="n">
        <f aca="false">IFERROR(S291*$G291*$I291, "")</f>
        <v>0</v>
      </c>
      <c r="AG291" s="284" t="n">
        <f aca="false">IFERROR(T291*$G291*$I291, "")</f>
        <v>0</v>
      </c>
      <c r="AH291" s="284" t="n">
        <f aca="false">IFERROR(U291*$G291*$I291, "")</f>
        <v>0</v>
      </c>
      <c r="AI291" s="284" t="n">
        <f aca="false">IFERROR(V291*$G291*$I291, "")</f>
        <v>0</v>
      </c>
      <c r="AJ291" s="284" t="n">
        <f aca="false">IFERROR(W291*$G291*$I291, "")</f>
        <v>0</v>
      </c>
      <c r="AK291" s="286" t="n">
        <f aca="false">IFERROR(SUMIF($Y$4:$AJ$4, "RDEC", Y291:AJ291), "")</f>
        <v>0</v>
      </c>
      <c r="AL291" s="286" t="n">
        <f aca="false">IFERROR(SUMIF($Y$4:$AJ$4, "SME", Y291:AJ291), "")</f>
        <v>0</v>
      </c>
      <c r="AM291" s="286" t="n">
        <f aca="false">IFERROR(SUMIF($Y$4:$AJ$4, "De Minimis", Y291:AJ291), "")</f>
        <v>0</v>
      </c>
      <c r="AN291" s="283"/>
      <c r="AO291" s="284" t="n">
        <f aca="false">IFERROR($G291*$J291*L291, "")</f>
        <v>0</v>
      </c>
      <c r="AP291" s="284" t="n">
        <f aca="false">IFERROR($G291*$J291*M291, "")</f>
        <v>0</v>
      </c>
      <c r="AQ291" s="284" t="n">
        <f aca="false">IFERROR($G291*$J291*N291, "")</f>
        <v>0</v>
      </c>
      <c r="AR291" s="284" t="n">
        <f aca="false">IFERROR($G291*$J291*O291, "")</f>
        <v>0</v>
      </c>
      <c r="AS291" s="284" t="n">
        <f aca="false">IFERROR($G291*$J291*P291, "")</f>
        <v>0</v>
      </c>
      <c r="AT291" s="284" t="n">
        <f aca="false">IFERROR($G291*$J291*Q291, "")</f>
        <v>0</v>
      </c>
      <c r="AU291" s="284" t="n">
        <f aca="false">IFERROR($G291*$J291*R291, "")</f>
        <v>0</v>
      </c>
      <c r="AV291" s="284" t="n">
        <f aca="false">IFERROR($G291*$J291*S291, "")</f>
        <v>0</v>
      </c>
      <c r="AW291" s="284" t="n">
        <f aca="false">IFERROR($G291*$J291*T291, "")</f>
        <v>0</v>
      </c>
      <c r="AX291" s="284" t="n">
        <f aca="false">IFERROR($G291*$J291*U291, "")</f>
        <v>0</v>
      </c>
      <c r="AY291" s="284" t="n">
        <f aca="false">IFERROR($G291*$J291*V291, "")</f>
        <v>0</v>
      </c>
      <c r="AZ291" s="284" t="n">
        <f aca="false">IFERROR($G291*$J291*W291, "")</f>
        <v>0</v>
      </c>
      <c r="BA291" s="286" t="n">
        <f aca="false">IFERROR(SUMIF($AO$4:$AZ$4, "RDEC", AO291:AZ291), "")</f>
        <v>0</v>
      </c>
      <c r="BB291" s="286" t="n">
        <f aca="false">IFERROR(SUMIF($AO$4:$AZ$4, "SME", AO291:AZ291), "")</f>
        <v>0</v>
      </c>
      <c r="BC291" s="286" t="n">
        <f aca="false">IFERROR(SUMIF($Y$4:$AJ$4, "De Minimis", AO291:AZ291), "")</f>
        <v>0</v>
      </c>
      <c r="BD291" s="287"/>
      <c r="BE291" s="288" t="str">
        <f aca="false">IF((SUM(L291:W291)&gt;1),"ERROR","")</f>
        <v/>
      </c>
    </row>
    <row r="292" customFormat="false" ht="15" hidden="false" customHeight="true" outlineLevel="0" collapsed="false">
      <c r="B292" s="333"/>
      <c r="C292" s="334"/>
      <c r="D292" s="333" t="n">
        <f aca="false">D276</f>
        <v>45627</v>
      </c>
      <c r="E292" s="277" t="n">
        <v>0</v>
      </c>
      <c r="F292" s="277" t="n">
        <v>0</v>
      </c>
      <c r="G292" s="277" t="n">
        <f aca="false">SUM(E292:F292)</f>
        <v>0</v>
      </c>
      <c r="H292" s="300"/>
      <c r="I292" s="289" t="n">
        <v>1</v>
      </c>
      <c r="J292" s="290" t="n">
        <f aca="false">1-I292</f>
        <v>0</v>
      </c>
      <c r="K292" s="300"/>
      <c r="L292" s="291"/>
      <c r="M292" s="291"/>
      <c r="N292" s="291"/>
      <c r="O292" s="291"/>
      <c r="P292" s="291"/>
      <c r="Q292" s="291"/>
      <c r="R292" s="291"/>
      <c r="S292" s="291"/>
      <c r="T292" s="291"/>
      <c r="U292" s="291"/>
      <c r="V292" s="291"/>
      <c r="W292" s="291"/>
      <c r="X292" s="283"/>
      <c r="Y292" s="284" t="n">
        <f aca="false">IFERROR(L292*$G292*I$9, "")</f>
        <v>0</v>
      </c>
      <c r="Z292" s="284" t="n">
        <f aca="false">IFERROR(M292*$G292*$I292, "")</f>
        <v>0</v>
      </c>
      <c r="AA292" s="284" t="n">
        <f aca="false">IFERROR(N292*$G292*$I292, "")</f>
        <v>0</v>
      </c>
      <c r="AB292" s="284" t="n">
        <f aca="false">IFERROR(O292*$G292*$I292, "")</f>
        <v>0</v>
      </c>
      <c r="AC292" s="284" t="n">
        <f aca="false">IFERROR(P292*$G292*$I292, "")</f>
        <v>0</v>
      </c>
      <c r="AD292" s="284" t="n">
        <f aca="false">IFERROR(Q292*$G292*$I292, "")</f>
        <v>0</v>
      </c>
      <c r="AE292" s="284" t="n">
        <f aca="false">IFERROR(R292*$G292*$I292, "")</f>
        <v>0</v>
      </c>
      <c r="AF292" s="284" t="n">
        <f aca="false">IFERROR(S292*$G292*$I292, "")</f>
        <v>0</v>
      </c>
      <c r="AG292" s="284" t="n">
        <f aca="false">IFERROR(T292*$G292*$I292, "")</f>
        <v>0</v>
      </c>
      <c r="AH292" s="284" t="n">
        <f aca="false">IFERROR(U292*$G292*$I292, "")</f>
        <v>0</v>
      </c>
      <c r="AI292" s="284" t="n">
        <f aca="false">IFERROR(V292*$G292*$I292, "")</f>
        <v>0</v>
      </c>
      <c r="AJ292" s="284" t="n">
        <f aca="false">IFERROR(W292*$G292*$I292, "")</f>
        <v>0</v>
      </c>
      <c r="AK292" s="294" t="n">
        <f aca="false">IFERROR(SUMIF($Y$4:$AJ$4, "RDEC", Y292:AJ292), "")</f>
        <v>0</v>
      </c>
      <c r="AL292" s="294" t="n">
        <f aca="false">IFERROR(SUMIF($Y$4:$AJ$4, "SME", Y292:AJ292), "")</f>
        <v>0</v>
      </c>
      <c r="AM292" s="294" t="n">
        <f aca="false">IFERROR(SUMIF($Y$4:$AJ$4, "De Minimis", Y292:AJ292), "")</f>
        <v>0</v>
      </c>
      <c r="AN292" s="283"/>
      <c r="AO292" s="284" t="n">
        <f aca="false">IFERROR($G292*$J292*L292, "")</f>
        <v>0</v>
      </c>
      <c r="AP292" s="284" t="n">
        <f aca="false">IFERROR($G292*$J292*M292, "")</f>
        <v>0</v>
      </c>
      <c r="AQ292" s="284" t="n">
        <f aca="false">IFERROR($G292*$J292*N292, "")</f>
        <v>0</v>
      </c>
      <c r="AR292" s="284" t="n">
        <f aca="false">IFERROR($G292*$J292*O292, "")</f>
        <v>0</v>
      </c>
      <c r="AS292" s="284" t="n">
        <f aca="false">IFERROR($G292*$J292*P292, "")</f>
        <v>0</v>
      </c>
      <c r="AT292" s="284" t="n">
        <f aca="false">IFERROR($G292*$J292*Q292, "")</f>
        <v>0</v>
      </c>
      <c r="AU292" s="284" t="n">
        <f aca="false">IFERROR($G292*$J292*R292, "")</f>
        <v>0</v>
      </c>
      <c r="AV292" s="284" t="n">
        <f aca="false">IFERROR($G292*$J292*S292, "")</f>
        <v>0</v>
      </c>
      <c r="AW292" s="284" t="n">
        <f aca="false">IFERROR($G292*$J292*T292, "")</f>
        <v>0</v>
      </c>
      <c r="AX292" s="284" t="n">
        <f aca="false">IFERROR($G292*$J292*U292, "")</f>
        <v>0</v>
      </c>
      <c r="AY292" s="284" t="n">
        <f aca="false">IFERROR($G292*$J292*V292, "")</f>
        <v>0</v>
      </c>
      <c r="AZ292" s="284" t="n">
        <f aca="false">IFERROR($G292*$J292*W292, "")</f>
        <v>0</v>
      </c>
      <c r="BA292" s="286" t="n">
        <f aca="false">IFERROR(SUMIF($AO$4:$AZ$4, "RDEC", AO292:AZ292), "")</f>
        <v>0</v>
      </c>
      <c r="BB292" s="286" t="n">
        <f aca="false">IFERROR(SUMIF($AO$4:$AZ$4, "SME", AO292:AZ292), "")</f>
        <v>0</v>
      </c>
      <c r="BC292" s="294" t="n">
        <f aca="false">IFERROR(SUMIF($Y$4:$AJ$4, "De Minimis", AO292:AZ292), "")</f>
        <v>0</v>
      </c>
      <c r="BD292" s="303"/>
      <c r="BE292" s="295" t="str">
        <f aca="false">IF((SUM(L292:W292)&gt;1),"ERROR","")</f>
        <v/>
      </c>
    </row>
    <row r="293" customFormat="false" ht="15" hidden="false" customHeight="true" outlineLevel="0" collapsed="false">
      <c r="B293" s="296"/>
      <c r="D293" s="297" t="s">
        <v>82</v>
      </c>
      <c r="E293" s="299" t="n">
        <f aca="false">SUM(E281:E292)</f>
        <v>0</v>
      </c>
      <c r="F293" s="299" t="n">
        <f aca="false">SUM(F281:F292)</f>
        <v>0</v>
      </c>
      <c r="G293" s="299" t="n">
        <f aca="false">SUM(G281:G292)</f>
        <v>0</v>
      </c>
      <c r="H293" s="300"/>
      <c r="I293" s="301" t="n">
        <f aca="false">AVERAGE(I281:I292)</f>
        <v>1</v>
      </c>
      <c r="J293" s="301" t="n">
        <f aca="false">AVERAGE(J281:J292)</f>
        <v>0</v>
      </c>
      <c r="K293" s="300"/>
      <c r="L293" s="290" t="n">
        <f aca="false">IF(SUM(L281:L292)&gt;0,(Y293/G293),0)</f>
        <v>0</v>
      </c>
      <c r="M293" s="301" t="n">
        <f aca="false">IF(SUM(M281:M292)&gt;0,(Z293/G293),0)</f>
        <v>0</v>
      </c>
      <c r="N293" s="301" t="n">
        <f aca="false">IF(SUM(N281:N292)&gt;0,(AA293/G293),0)</f>
        <v>0</v>
      </c>
      <c r="O293" s="301" t="n">
        <f aca="false">IF(SUM(O281:O292)&gt;0,(AB293/G293),0)</f>
        <v>0</v>
      </c>
      <c r="P293" s="301" t="n">
        <f aca="false">IF(SUM(P281:P292)&gt;0,(AC293/G293),0)</f>
        <v>0</v>
      </c>
      <c r="Q293" s="301" t="n">
        <f aca="false">IF(SUM(Q281:Q292)&gt;0,(AD293/G293),0)</f>
        <v>0</v>
      </c>
      <c r="R293" s="301" t="n">
        <f aca="false">IF(SUM(R281:R292)&gt;0,(AE293/G293),0)</f>
        <v>0</v>
      </c>
      <c r="S293" s="301" t="n">
        <f aca="false">IF(SUM(S281:S292)&gt;0,(AF293/G293),0)</f>
        <v>0</v>
      </c>
      <c r="T293" s="301" t="n">
        <f aca="false">IF(SUM(T281:T292)&gt;0,(AG293/G293),0)</f>
        <v>0</v>
      </c>
      <c r="U293" s="301" t="n">
        <f aca="false">IF(SUM(U281:U292)&gt;0,(AJ293/G293),0)</f>
        <v>0</v>
      </c>
      <c r="V293" s="301" t="n">
        <f aca="false">IF(SUM(V281:V292)&gt;0,(AI293/G293),0)</f>
        <v>0</v>
      </c>
      <c r="W293" s="301" t="n">
        <f aca="false">IF(SUM(W281:W292)&gt;0,(AJ293/G293),0)</f>
        <v>0</v>
      </c>
      <c r="X293" s="283"/>
      <c r="Y293" s="304" t="n">
        <f aca="false">SUM(Y281:Y292)</f>
        <v>0</v>
      </c>
      <c r="Z293" s="304" t="n">
        <f aca="false">SUM(Z281:Z292)</f>
        <v>0</v>
      </c>
      <c r="AA293" s="304" t="n">
        <f aca="false">SUM(AA281:AA292)</f>
        <v>0</v>
      </c>
      <c r="AB293" s="304" t="n">
        <f aca="false">SUM(AB281:AB292)</f>
        <v>0</v>
      </c>
      <c r="AC293" s="304" t="n">
        <f aca="false">SUM(AC281:AC292)</f>
        <v>0</v>
      </c>
      <c r="AD293" s="304" t="n">
        <f aca="false">SUM(AD281:AD292)</f>
        <v>0</v>
      </c>
      <c r="AE293" s="304" t="n">
        <f aca="false">SUM(AE281:AE292)</f>
        <v>0</v>
      </c>
      <c r="AF293" s="304" t="n">
        <f aca="false">SUM(AF281:AF292)</f>
        <v>0</v>
      </c>
      <c r="AG293" s="304" t="n">
        <f aca="false">SUM(AG281:AG292)</f>
        <v>0</v>
      </c>
      <c r="AH293" s="304" t="n">
        <f aca="false">SUM(AH281:AH292)</f>
        <v>0</v>
      </c>
      <c r="AI293" s="304" t="n">
        <f aca="false">SUM(AI281:AI292)</f>
        <v>0</v>
      </c>
      <c r="AJ293" s="304" t="n">
        <f aca="false">SUM(AJ281:AJ292)</f>
        <v>0</v>
      </c>
      <c r="AK293" s="335" t="n">
        <f aca="false">SUM(AK281:AK292)</f>
        <v>0</v>
      </c>
      <c r="AL293" s="336" t="n">
        <f aca="false">SUM(AL281:AL292)</f>
        <v>0</v>
      </c>
      <c r="AM293" s="305" t="n">
        <f aca="false">SUM(AM281:AM292)</f>
        <v>0</v>
      </c>
      <c r="AN293" s="283"/>
      <c r="AO293" s="304" t="n">
        <f aca="false">SUM(AO281:AO292)</f>
        <v>0</v>
      </c>
      <c r="AP293" s="304" t="n">
        <f aca="false">SUM(AP281:AP292)</f>
        <v>0</v>
      </c>
      <c r="AQ293" s="304" t="n">
        <f aca="false">SUM(AQ281:AQ292)</f>
        <v>0</v>
      </c>
      <c r="AR293" s="304" t="n">
        <f aca="false">SUM(AR281:AR292)</f>
        <v>0</v>
      </c>
      <c r="AS293" s="304" t="n">
        <f aca="false">SUM(AS281:AS292)</f>
        <v>0</v>
      </c>
      <c r="AT293" s="304" t="n">
        <f aca="false">SUM(AT281:AT292)</f>
        <v>0</v>
      </c>
      <c r="AU293" s="304" t="n">
        <f aca="false">SUM(AU281:AU292)</f>
        <v>0</v>
      </c>
      <c r="AV293" s="304" t="n">
        <f aca="false">SUM(AV281:AV292)</f>
        <v>0</v>
      </c>
      <c r="AW293" s="304" t="n">
        <f aca="false">SUM(AW281:AW292)</f>
        <v>0</v>
      </c>
      <c r="AX293" s="304" t="n">
        <f aca="false">SUM(AX281:AX292)</f>
        <v>0</v>
      </c>
      <c r="AY293" s="304" t="n">
        <f aca="false">SUM(AY281:AY292)</f>
        <v>0</v>
      </c>
      <c r="AZ293" s="304" t="n">
        <f aca="false">SUM(AZ281:AZ292)</f>
        <v>0</v>
      </c>
      <c r="BA293" s="336" t="n">
        <f aca="false">SUM(BA281:BA292)</f>
        <v>0</v>
      </c>
      <c r="BB293" s="336" t="n">
        <f aca="false">SUM(BB281:BB292)</f>
        <v>0</v>
      </c>
      <c r="BC293" s="305" t="n">
        <f aca="false">SUM(BC281:BC292)</f>
        <v>0</v>
      </c>
      <c r="BD293" s="303"/>
      <c r="BE293" s="337"/>
    </row>
    <row r="294" customFormat="false" ht="15" hidden="false" customHeight="true" outlineLevel="0" collapsed="false">
      <c r="B294" s="296"/>
      <c r="D294" s="297"/>
      <c r="E294" s="300"/>
      <c r="F294" s="300"/>
      <c r="G294" s="300"/>
      <c r="H294" s="241"/>
      <c r="I294" s="302"/>
      <c r="J294" s="302"/>
      <c r="K294" s="241"/>
      <c r="L294" s="259"/>
      <c r="M294" s="259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303"/>
      <c r="Y294" s="259"/>
      <c r="Z294" s="303"/>
      <c r="AA294" s="303"/>
      <c r="AB294" s="303"/>
      <c r="AC294" s="303"/>
      <c r="AD294" s="303"/>
      <c r="AE294" s="303"/>
      <c r="AF294" s="303"/>
      <c r="AG294" s="303"/>
      <c r="AH294" s="303"/>
      <c r="AI294" s="303"/>
      <c r="AJ294" s="303"/>
      <c r="AK294" s="303"/>
      <c r="AL294" s="303"/>
      <c r="AM294" s="303"/>
      <c r="AN294" s="303"/>
      <c r="AO294" s="259"/>
      <c r="AP294" s="303"/>
      <c r="AQ294" s="303"/>
      <c r="AR294" s="303"/>
      <c r="AS294" s="303"/>
      <c r="AT294" s="303"/>
      <c r="AU294" s="303"/>
      <c r="AV294" s="303"/>
      <c r="AW294" s="303"/>
      <c r="AX294" s="303"/>
      <c r="AY294" s="303"/>
      <c r="AZ294" s="303"/>
      <c r="BA294" s="303"/>
      <c r="BB294" s="303"/>
      <c r="BC294" s="303"/>
      <c r="BD294" s="268"/>
      <c r="BE294" s="303"/>
    </row>
    <row r="295" customFormat="false" ht="15" hidden="false" customHeight="true" outlineLevel="0" collapsed="false">
      <c r="A295" s="198" t="n">
        <f aca="false">A279+1</f>
        <v>19</v>
      </c>
      <c r="B295" s="266" t="s">
        <v>253</v>
      </c>
      <c r="C295" s="266" t="s">
        <v>253</v>
      </c>
      <c r="D295" s="266"/>
      <c r="E295" s="241"/>
      <c r="F295" s="241"/>
      <c r="G295" s="241"/>
      <c r="H295" s="241"/>
      <c r="I295" s="241"/>
      <c r="J295" s="241"/>
      <c r="K295" s="277"/>
      <c r="L295" s="241"/>
      <c r="M295" s="241"/>
      <c r="N295" s="241"/>
      <c r="O295" s="241"/>
      <c r="P295" s="241"/>
      <c r="Q295" s="241"/>
      <c r="R295" s="241"/>
      <c r="S295" s="241"/>
      <c r="T295" s="241"/>
      <c r="U295" s="241"/>
      <c r="V295" s="241"/>
      <c r="W295" s="241"/>
      <c r="X295" s="259"/>
      <c r="Y295" s="268"/>
      <c r="Z295" s="268"/>
      <c r="AA295" s="268"/>
      <c r="AB295" s="268"/>
      <c r="AC295" s="268"/>
      <c r="AD295" s="268"/>
      <c r="AE295" s="268"/>
      <c r="AF295" s="268"/>
      <c r="AG295" s="268"/>
      <c r="AH295" s="268"/>
      <c r="AI295" s="268"/>
      <c r="AJ295" s="268"/>
      <c r="AK295" s="268"/>
      <c r="AL295" s="268"/>
      <c r="AM295" s="268"/>
      <c r="AN295" s="259"/>
      <c r="AO295" s="268"/>
      <c r="AP295" s="268"/>
      <c r="AQ295" s="268"/>
      <c r="AR295" s="268"/>
      <c r="AS295" s="268"/>
      <c r="AT295" s="268"/>
      <c r="AU295" s="268"/>
      <c r="AV295" s="268"/>
      <c r="AW295" s="268"/>
      <c r="AX295" s="268"/>
      <c r="AY295" s="268"/>
      <c r="AZ295" s="268"/>
      <c r="BA295" s="268"/>
      <c r="BB295" s="268"/>
      <c r="BC295" s="268"/>
      <c r="BD295" s="287"/>
      <c r="BE295" s="268"/>
    </row>
    <row r="296" customFormat="false" ht="7.5" hidden="false" customHeight="true" outlineLevel="0" collapsed="false">
      <c r="A296" s="198"/>
      <c r="B296" s="266"/>
      <c r="C296" s="266"/>
      <c r="D296" s="266"/>
      <c r="E296" s="241"/>
      <c r="F296" s="241"/>
      <c r="G296" s="241"/>
      <c r="H296" s="204"/>
      <c r="I296" s="269"/>
      <c r="J296" s="269"/>
      <c r="K296" s="277"/>
      <c r="L296" s="269"/>
      <c r="M296" s="269"/>
      <c r="N296" s="269"/>
      <c r="O296" s="269"/>
      <c r="P296" s="269"/>
      <c r="Q296" s="269"/>
      <c r="R296" s="269"/>
      <c r="S296" s="269"/>
      <c r="T296" s="269"/>
      <c r="U296" s="269"/>
      <c r="V296" s="269"/>
      <c r="W296" s="269"/>
      <c r="X296" s="259"/>
      <c r="Y296" s="271"/>
      <c r="Z296" s="271"/>
      <c r="AA296" s="271"/>
      <c r="AB296" s="271"/>
      <c r="AC296" s="271"/>
      <c r="AD296" s="271"/>
      <c r="AE296" s="271"/>
      <c r="AF296" s="271"/>
      <c r="AG296" s="271"/>
      <c r="AH296" s="271"/>
      <c r="AI296" s="271"/>
      <c r="AJ296" s="272"/>
      <c r="AK296" s="273"/>
      <c r="AL296" s="273"/>
      <c r="AM296" s="273"/>
      <c r="AN296" s="259"/>
      <c r="AO296" s="271"/>
      <c r="AP296" s="271"/>
      <c r="AQ296" s="271"/>
      <c r="AR296" s="271"/>
      <c r="AS296" s="271"/>
      <c r="AT296" s="271"/>
      <c r="AU296" s="271"/>
      <c r="AV296" s="271"/>
      <c r="AW296" s="271"/>
      <c r="AX296" s="271"/>
      <c r="AY296" s="271"/>
      <c r="AZ296" s="272"/>
      <c r="BA296" s="273"/>
      <c r="BB296" s="273"/>
      <c r="BC296" s="273"/>
      <c r="BD296" s="287"/>
      <c r="BE296" s="274"/>
    </row>
    <row r="297" customFormat="false" ht="15" hidden="false" customHeight="true" outlineLevel="0" collapsed="false">
      <c r="B297" s="333"/>
      <c r="C297" s="334"/>
      <c r="D297" s="333" t="n">
        <f aca="false">D281</f>
        <v>45292</v>
      </c>
      <c r="E297" s="277" t="n">
        <v>0</v>
      </c>
      <c r="F297" s="277" t="n">
        <v>0</v>
      </c>
      <c r="G297" s="277" t="n">
        <f aca="false">SUM(E297:F297)</f>
        <v>0</v>
      </c>
      <c r="H297" s="204"/>
      <c r="I297" s="279" t="n">
        <v>1</v>
      </c>
      <c r="J297" s="280" t="n">
        <f aca="false">1-I297</f>
        <v>0</v>
      </c>
      <c r="K297" s="277"/>
      <c r="L297" s="282"/>
      <c r="M297" s="282"/>
      <c r="N297" s="282"/>
      <c r="O297" s="282"/>
      <c r="P297" s="282"/>
      <c r="Q297" s="282"/>
      <c r="R297" s="282"/>
      <c r="S297" s="282"/>
      <c r="T297" s="282"/>
      <c r="U297" s="282"/>
      <c r="V297" s="282"/>
      <c r="W297" s="282"/>
      <c r="X297" s="268"/>
      <c r="Y297" s="284" t="n">
        <f aca="false">IFERROR(L297*$G297*I$9, "")</f>
        <v>0</v>
      </c>
      <c r="Z297" s="284" t="n">
        <f aca="false">IFERROR(M297*$G297*$I297, "")</f>
        <v>0</v>
      </c>
      <c r="AA297" s="284" t="n">
        <f aca="false">IFERROR(N297*$G297*$I297, "")</f>
        <v>0</v>
      </c>
      <c r="AB297" s="284" t="n">
        <f aca="false">IFERROR(O297*$G297*$I297, "")</f>
        <v>0</v>
      </c>
      <c r="AC297" s="284" t="n">
        <f aca="false">IFERROR(P297*$G297*$I297, "")</f>
        <v>0</v>
      </c>
      <c r="AD297" s="284" t="n">
        <f aca="false">IFERROR(Q297*$G297*$I297, "")</f>
        <v>0</v>
      </c>
      <c r="AE297" s="284" t="n">
        <f aca="false">IFERROR(R297*$G297*$I297, "")</f>
        <v>0</v>
      </c>
      <c r="AF297" s="284" t="n">
        <f aca="false">IFERROR(S297*$G297*$I297, "")</f>
        <v>0</v>
      </c>
      <c r="AG297" s="284" t="n">
        <f aca="false">IFERROR(T297*$G297*$I297, "")</f>
        <v>0</v>
      </c>
      <c r="AH297" s="284" t="n">
        <f aca="false">IFERROR(U297*$G297*$I297, "")</f>
        <v>0</v>
      </c>
      <c r="AI297" s="284" t="n">
        <f aca="false">IFERROR(V297*$G297*$I297, "")</f>
        <v>0</v>
      </c>
      <c r="AJ297" s="284" t="n">
        <f aca="false">IFERROR(W297*$G297*$I297, "")</f>
        <v>0</v>
      </c>
      <c r="AK297" s="286" t="n">
        <f aca="false">IFERROR(SUMIF($Y$4:$AJ$4, "RDEC", Y297:AJ297), "")</f>
        <v>0</v>
      </c>
      <c r="AL297" s="286" t="n">
        <f aca="false">IFERROR(SUMIF($Y$4:$AJ$4, "SME", Y297:AJ297), "")</f>
        <v>0</v>
      </c>
      <c r="AM297" s="286" t="n">
        <f aca="false">IFERROR(SUMIF($Y$4:$AJ$4, "De Minimis", Y297:AJ297), "")</f>
        <v>0</v>
      </c>
      <c r="AN297" s="268"/>
      <c r="AO297" s="284" t="n">
        <f aca="false">IFERROR($G297*$J297*L297, "")</f>
        <v>0</v>
      </c>
      <c r="AP297" s="284" t="n">
        <f aca="false">IFERROR($G297*$J297*M297, "")</f>
        <v>0</v>
      </c>
      <c r="AQ297" s="284" t="n">
        <f aca="false">IFERROR($G297*$J297*N297, "")</f>
        <v>0</v>
      </c>
      <c r="AR297" s="284" t="n">
        <f aca="false">IFERROR($G297*$J297*O297, "")</f>
        <v>0</v>
      </c>
      <c r="AS297" s="284" t="n">
        <f aca="false">IFERROR($G297*$J297*P297, "")</f>
        <v>0</v>
      </c>
      <c r="AT297" s="284" t="n">
        <f aca="false">IFERROR($G297*$J297*Q297, "")</f>
        <v>0</v>
      </c>
      <c r="AU297" s="284" t="n">
        <f aca="false">IFERROR($G297*$J297*R297, "")</f>
        <v>0</v>
      </c>
      <c r="AV297" s="284" t="n">
        <f aca="false">IFERROR($G297*$J297*S297, "")</f>
        <v>0</v>
      </c>
      <c r="AW297" s="284" t="n">
        <f aca="false">IFERROR($G297*$J297*T297, "")</f>
        <v>0</v>
      </c>
      <c r="AX297" s="284" t="n">
        <f aca="false">IFERROR($G297*$J297*U297, "")</f>
        <v>0</v>
      </c>
      <c r="AY297" s="284" t="n">
        <f aca="false">IFERROR($G297*$J297*V297, "")</f>
        <v>0</v>
      </c>
      <c r="AZ297" s="284" t="n">
        <f aca="false">IFERROR($G297*$J297*W297, "")</f>
        <v>0</v>
      </c>
      <c r="BA297" s="286" t="n">
        <f aca="false">IFERROR(SUMIF($AO$4:$AZ$4, "RDEC", AO297:AZ297), "")</f>
        <v>0</v>
      </c>
      <c r="BB297" s="286" t="n">
        <f aca="false">IFERROR(SUMIF($AO$4:$AZ$4, "SME", AO297:AZ297), "")</f>
        <v>0</v>
      </c>
      <c r="BC297" s="286" t="n">
        <f aca="false">IFERROR(SUMIF($AO$4:$AZ$4, "De Minimis", AO297:AZ297), "")</f>
        <v>0</v>
      </c>
      <c r="BD297" s="287"/>
      <c r="BE297" s="288" t="str">
        <f aca="false">IF((SUM(L297:W297)&gt;1),"ERROR","")</f>
        <v/>
      </c>
    </row>
    <row r="298" customFormat="false" ht="15" hidden="false" customHeight="true" outlineLevel="0" collapsed="false">
      <c r="B298" s="333"/>
      <c r="C298" s="334"/>
      <c r="D298" s="333" t="n">
        <f aca="false">D282</f>
        <v>45323</v>
      </c>
      <c r="E298" s="277" t="n">
        <v>0</v>
      </c>
      <c r="F298" s="277" t="n">
        <v>0</v>
      </c>
      <c r="G298" s="277" t="n">
        <f aca="false">SUM(E298:F298)</f>
        <v>0</v>
      </c>
      <c r="H298" s="204"/>
      <c r="I298" s="279" t="n">
        <v>1</v>
      </c>
      <c r="J298" s="280" t="n">
        <f aca="false">1-I298</f>
        <v>0</v>
      </c>
      <c r="K298" s="277"/>
      <c r="L298" s="282"/>
      <c r="M298" s="282"/>
      <c r="N298" s="282"/>
      <c r="O298" s="282"/>
      <c r="P298" s="282"/>
      <c r="Q298" s="282"/>
      <c r="R298" s="282"/>
      <c r="S298" s="282"/>
      <c r="T298" s="282"/>
      <c r="U298" s="282"/>
      <c r="V298" s="282"/>
      <c r="W298" s="282"/>
      <c r="X298" s="283"/>
      <c r="Y298" s="284" t="n">
        <f aca="false">IFERROR(L298*$G298*I$9, "")</f>
        <v>0</v>
      </c>
      <c r="Z298" s="284" t="n">
        <f aca="false">IFERROR(M298*$G298*$I298, "")</f>
        <v>0</v>
      </c>
      <c r="AA298" s="284" t="n">
        <f aca="false">IFERROR(N298*$G298*$I298, "")</f>
        <v>0</v>
      </c>
      <c r="AB298" s="284" t="n">
        <f aca="false">IFERROR(O298*$G298*$I298, "")</f>
        <v>0</v>
      </c>
      <c r="AC298" s="284" t="n">
        <f aca="false">IFERROR(P298*$G298*$I298, "")</f>
        <v>0</v>
      </c>
      <c r="AD298" s="284" t="n">
        <f aca="false">IFERROR(Q298*$G298*$I298, "")</f>
        <v>0</v>
      </c>
      <c r="AE298" s="284" t="n">
        <f aca="false">IFERROR(R298*$G298*$I298, "")</f>
        <v>0</v>
      </c>
      <c r="AF298" s="284" t="n">
        <f aca="false">IFERROR(S298*$G298*$I298, "")</f>
        <v>0</v>
      </c>
      <c r="AG298" s="284" t="n">
        <f aca="false">IFERROR(T298*$G298*$I298, "")</f>
        <v>0</v>
      </c>
      <c r="AH298" s="284" t="n">
        <f aca="false">IFERROR(U298*$G298*$I298, "")</f>
        <v>0</v>
      </c>
      <c r="AI298" s="284" t="n">
        <f aca="false">IFERROR(V298*$G298*$I298, "")</f>
        <v>0</v>
      </c>
      <c r="AJ298" s="284" t="n">
        <f aca="false">IFERROR(W298*$G298*$I298, "")</f>
        <v>0</v>
      </c>
      <c r="AK298" s="286" t="n">
        <f aca="false">IFERROR(SUMIF($Y$4:$AJ$4, "RDEC", Y298:AJ298), "")</f>
        <v>0</v>
      </c>
      <c r="AL298" s="286" t="n">
        <f aca="false">IFERROR(SUMIF($Y$4:$AJ$4, "SME", Y298:AJ298), "")</f>
        <v>0</v>
      </c>
      <c r="AM298" s="286" t="n">
        <f aca="false">IFERROR(SUMIF($Y$4:$AJ$4, "De Minimis", Y298:AJ298), "")</f>
        <v>0</v>
      </c>
      <c r="AN298" s="283"/>
      <c r="AO298" s="284" t="n">
        <f aca="false">IFERROR($G298*$J298*L298, "")</f>
        <v>0</v>
      </c>
      <c r="AP298" s="284" t="n">
        <f aca="false">IFERROR($G298*$J298*M298, "")</f>
        <v>0</v>
      </c>
      <c r="AQ298" s="284" t="n">
        <f aca="false">IFERROR($G298*$J298*N298, "")</f>
        <v>0</v>
      </c>
      <c r="AR298" s="284" t="n">
        <f aca="false">IFERROR($G298*$J298*O298, "")</f>
        <v>0</v>
      </c>
      <c r="AS298" s="284" t="n">
        <f aca="false">IFERROR($G298*$J298*P298, "")</f>
        <v>0</v>
      </c>
      <c r="AT298" s="284" t="n">
        <f aca="false">IFERROR($G298*$J298*Q298, "")</f>
        <v>0</v>
      </c>
      <c r="AU298" s="284" t="n">
        <f aca="false">IFERROR($G298*$J298*R298, "")</f>
        <v>0</v>
      </c>
      <c r="AV298" s="284" t="n">
        <f aca="false">IFERROR($G298*$J298*S298, "")</f>
        <v>0</v>
      </c>
      <c r="AW298" s="284" t="n">
        <f aca="false">IFERROR($G298*$J298*T298, "")</f>
        <v>0</v>
      </c>
      <c r="AX298" s="284" t="n">
        <f aca="false">IFERROR($G298*$J298*U298, "")</f>
        <v>0</v>
      </c>
      <c r="AY298" s="284" t="n">
        <f aca="false">IFERROR($G298*$J298*V298, "")</f>
        <v>0</v>
      </c>
      <c r="AZ298" s="284" t="n">
        <f aca="false">IFERROR($G298*$J298*W298, "")</f>
        <v>0</v>
      </c>
      <c r="BA298" s="286" t="n">
        <f aca="false">IFERROR(SUMIF($AO$4:$AZ$4, "RDEC", AO298:AZ298), "")</f>
        <v>0</v>
      </c>
      <c r="BB298" s="286" t="n">
        <f aca="false">IFERROR(SUMIF($AO$4:$AZ$4, "SME", AO298:AZ298), "")</f>
        <v>0</v>
      </c>
      <c r="BC298" s="286" t="n">
        <f aca="false">IFERROR(SUMIF($Y$4:$AJ$4, "De Minimis", AO298:AZ298), "")</f>
        <v>0</v>
      </c>
      <c r="BD298" s="287"/>
      <c r="BE298" s="288" t="str">
        <f aca="false">IF((SUM(L298:W298)&gt;1),"ERROR","")</f>
        <v/>
      </c>
    </row>
    <row r="299" customFormat="false" ht="15" hidden="false" customHeight="true" outlineLevel="0" collapsed="false">
      <c r="B299" s="333"/>
      <c r="C299" s="334"/>
      <c r="D299" s="333" t="n">
        <f aca="false">D283</f>
        <v>45352</v>
      </c>
      <c r="E299" s="277" t="n">
        <v>0</v>
      </c>
      <c r="F299" s="277" t="n">
        <v>0</v>
      </c>
      <c r="G299" s="277" t="n">
        <f aca="false">SUM(E299:F299)</f>
        <v>0</v>
      </c>
      <c r="H299" s="204"/>
      <c r="I299" s="279" t="n">
        <v>1</v>
      </c>
      <c r="J299" s="280" t="n">
        <f aca="false">1-I299</f>
        <v>0</v>
      </c>
      <c r="K299" s="277"/>
      <c r="L299" s="282"/>
      <c r="M299" s="282"/>
      <c r="N299" s="282"/>
      <c r="O299" s="282"/>
      <c r="P299" s="282"/>
      <c r="Q299" s="282"/>
      <c r="R299" s="282"/>
      <c r="S299" s="282"/>
      <c r="T299" s="282"/>
      <c r="U299" s="282"/>
      <c r="V299" s="282"/>
      <c r="W299" s="282"/>
      <c r="X299" s="283"/>
      <c r="Y299" s="284" t="n">
        <f aca="false">IFERROR(L299*$G299*I$9, "")</f>
        <v>0</v>
      </c>
      <c r="Z299" s="284" t="n">
        <f aca="false">IFERROR(M299*$G299*$I299, "")</f>
        <v>0</v>
      </c>
      <c r="AA299" s="284" t="n">
        <f aca="false">IFERROR(N299*$G299*$I299, "")</f>
        <v>0</v>
      </c>
      <c r="AB299" s="284" t="n">
        <f aca="false">IFERROR(O299*$G299*$I299, "")</f>
        <v>0</v>
      </c>
      <c r="AC299" s="284" t="n">
        <f aca="false">IFERROR(P299*$G299*$I299, "")</f>
        <v>0</v>
      </c>
      <c r="AD299" s="284" t="n">
        <f aca="false">IFERROR(Q299*$G299*$I299, "")</f>
        <v>0</v>
      </c>
      <c r="AE299" s="284" t="n">
        <f aca="false">IFERROR(R299*$G299*$I299, "")</f>
        <v>0</v>
      </c>
      <c r="AF299" s="284" t="n">
        <f aca="false">IFERROR(S299*$G299*$I299, "")</f>
        <v>0</v>
      </c>
      <c r="AG299" s="284" t="n">
        <f aca="false">IFERROR(T299*$G299*$I299, "")</f>
        <v>0</v>
      </c>
      <c r="AH299" s="284" t="n">
        <f aca="false">IFERROR(U299*$G299*$I299, "")</f>
        <v>0</v>
      </c>
      <c r="AI299" s="284" t="n">
        <f aca="false">IFERROR(V299*$G299*$I299, "")</f>
        <v>0</v>
      </c>
      <c r="AJ299" s="284" t="n">
        <f aca="false">IFERROR(W299*$G299*$I299, "")</f>
        <v>0</v>
      </c>
      <c r="AK299" s="286" t="n">
        <f aca="false">IFERROR(SUMIF($Y$4:$AJ$4, "RDEC", Y299:AJ299), "")</f>
        <v>0</v>
      </c>
      <c r="AL299" s="286" t="n">
        <f aca="false">IFERROR(SUMIF($Y$4:$AJ$4, "SME", Y299:AJ299), "")</f>
        <v>0</v>
      </c>
      <c r="AM299" s="286" t="n">
        <f aca="false">IFERROR(SUMIF($Y$4:$AJ$4, "De Minimis", Y299:AJ299), "")</f>
        <v>0</v>
      </c>
      <c r="AN299" s="283"/>
      <c r="AO299" s="284" t="n">
        <f aca="false">IFERROR($G299*$J299*L299, "")</f>
        <v>0</v>
      </c>
      <c r="AP299" s="284" t="n">
        <f aca="false">IFERROR($G299*$J299*M299, "")</f>
        <v>0</v>
      </c>
      <c r="AQ299" s="284" t="n">
        <f aca="false">IFERROR($G299*$J299*N299, "")</f>
        <v>0</v>
      </c>
      <c r="AR299" s="284" t="n">
        <f aca="false">IFERROR($G299*$J299*O299, "")</f>
        <v>0</v>
      </c>
      <c r="AS299" s="284" t="n">
        <f aca="false">IFERROR($G299*$J299*P299, "")</f>
        <v>0</v>
      </c>
      <c r="AT299" s="284" t="n">
        <f aca="false">IFERROR($G299*$J299*Q299, "")</f>
        <v>0</v>
      </c>
      <c r="AU299" s="284" t="n">
        <f aca="false">IFERROR($G299*$J299*R299, "")</f>
        <v>0</v>
      </c>
      <c r="AV299" s="284" t="n">
        <f aca="false">IFERROR($G299*$J299*S299, "")</f>
        <v>0</v>
      </c>
      <c r="AW299" s="284" t="n">
        <f aca="false">IFERROR($G299*$J299*T299, "")</f>
        <v>0</v>
      </c>
      <c r="AX299" s="284" t="n">
        <f aca="false">IFERROR($G299*$J299*U299, "")</f>
        <v>0</v>
      </c>
      <c r="AY299" s="284" t="n">
        <f aca="false">IFERROR($G299*$J299*V299, "")</f>
        <v>0</v>
      </c>
      <c r="AZ299" s="284" t="n">
        <f aca="false">IFERROR($G299*$J299*W299, "")</f>
        <v>0</v>
      </c>
      <c r="BA299" s="286" t="n">
        <f aca="false">IFERROR(SUMIF($AO$4:$AZ$4, "RDEC", AO299:AZ299), "")</f>
        <v>0</v>
      </c>
      <c r="BB299" s="286" t="n">
        <f aca="false">IFERROR(SUMIF($AO$4:$AZ$4, "SME", AO299:AZ299), "")</f>
        <v>0</v>
      </c>
      <c r="BC299" s="286" t="n">
        <f aca="false">IFERROR(SUMIF($Y$4:$AJ$4, "De Minimis", AO299:AZ299), "")</f>
        <v>0</v>
      </c>
      <c r="BD299" s="287"/>
      <c r="BE299" s="288" t="str">
        <f aca="false">IF((SUM(L299:W299)&gt;1),"ERROR","")</f>
        <v/>
      </c>
    </row>
    <row r="300" customFormat="false" ht="15" hidden="false" customHeight="true" outlineLevel="0" collapsed="false">
      <c r="B300" s="333"/>
      <c r="C300" s="334"/>
      <c r="D300" s="333" t="n">
        <f aca="false">D284</f>
        <v>45383</v>
      </c>
      <c r="E300" s="277" t="n">
        <v>0</v>
      </c>
      <c r="F300" s="277" t="n">
        <v>0</v>
      </c>
      <c r="G300" s="277" t="n">
        <f aca="false">SUM(E300:F300)</f>
        <v>0</v>
      </c>
      <c r="H300" s="204"/>
      <c r="I300" s="279" t="n">
        <v>1</v>
      </c>
      <c r="J300" s="280" t="n">
        <f aca="false">1-I300</f>
        <v>0</v>
      </c>
      <c r="K300" s="277"/>
      <c r="L300" s="282"/>
      <c r="M300" s="282"/>
      <c r="N300" s="282"/>
      <c r="O300" s="282"/>
      <c r="P300" s="282"/>
      <c r="Q300" s="282"/>
      <c r="R300" s="282"/>
      <c r="S300" s="282"/>
      <c r="T300" s="282"/>
      <c r="U300" s="282"/>
      <c r="V300" s="282"/>
      <c r="W300" s="282"/>
      <c r="X300" s="283"/>
      <c r="Y300" s="284" t="n">
        <f aca="false">IFERROR(L300*$G300*I$9, "")</f>
        <v>0</v>
      </c>
      <c r="Z300" s="284" t="n">
        <f aca="false">IFERROR(M300*$G300*$I300, "")</f>
        <v>0</v>
      </c>
      <c r="AA300" s="284" t="n">
        <f aca="false">IFERROR(N300*$G300*$I300, "")</f>
        <v>0</v>
      </c>
      <c r="AB300" s="284" t="n">
        <f aca="false">IFERROR(O300*$G300*$I300, "")</f>
        <v>0</v>
      </c>
      <c r="AC300" s="284" t="n">
        <f aca="false">IFERROR(P300*$G300*$I300, "")</f>
        <v>0</v>
      </c>
      <c r="AD300" s="284" t="n">
        <f aca="false">IFERROR(Q300*$G300*$I300, "")</f>
        <v>0</v>
      </c>
      <c r="AE300" s="284" t="n">
        <f aca="false">IFERROR(R300*$G300*$I300, "")</f>
        <v>0</v>
      </c>
      <c r="AF300" s="284" t="n">
        <f aca="false">IFERROR(S300*$G300*$I300, "")</f>
        <v>0</v>
      </c>
      <c r="AG300" s="284" t="n">
        <f aca="false">IFERROR(T300*$G300*$I300, "")</f>
        <v>0</v>
      </c>
      <c r="AH300" s="284" t="n">
        <f aca="false">IFERROR(U300*$G300*$I300, "")</f>
        <v>0</v>
      </c>
      <c r="AI300" s="284" t="n">
        <f aca="false">IFERROR(V300*$G300*$I300, "")</f>
        <v>0</v>
      </c>
      <c r="AJ300" s="284" t="n">
        <f aca="false">IFERROR(W300*$G300*$I300, "")</f>
        <v>0</v>
      </c>
      <c r="AK300" s="286" t="n">
        <f aca="false">IFERROR(SUMIF($Y$4:$AJ$4, "RDEC", Y300:AJ300), "")</f>
        <v>0</v>
      </c>
      <c r="AL300" s="286" t="n">
        <f aca="false">IFERROR(SUMIF($Y$4:$AJ$4, "SME", Y300:AJ300), "")</f>
        <v>0</v>
      </c>
      <c r="AM300" s="286" t="n">
        <f aca="false">IFERROR(SUMIF($Y$4:$AJ$4, "De Minimis", Y300:AJ300), "")</f>
        <v>0</v>
      </c>
      <c r="AN300" s="283"/>
      <c r="AO300" s="284" t="n">
        <f aca="false">IFERROR($G300*$J300*L300, "")</f>
        <v>0</v>
      </c>
      <c r="AP300" s="284" t="n">
        <f aca="false">IFERROR($G300*$J300*M300, "")</f>
        <v>0</v>
      </c>
      <c r="AQ300" s="284" t="n">
        <f aca="false">IFERROR($G300*$J300*N300, "")</f>
        <v>0</v>
      </c>
      <c r="AR300" s="284" t="n">
        <f aca="false">IFERROR($G300*$J300*O300, "")</f>
        <v>0</v>
      </c>
      <c r="AS300" s="284" t="n">
        <f aca="false">IFERROR($G300*$J300*P300, "")</f>
        <v>0</v>
      </c>
      <c r="AT300" s="284" t="n">
        <f aca="false">IFERROR($G300*$J300*Q300, "")</f>
        <v>0</v>
      </c>
      <c r="AU300" s="284" t="n">
        <f aca="false">IFERROR($G300*$J300*R300, "")</f>
        <v>0</v>
      </c>
      <c r="AV300" s="284" t="n">
        <f aca="false">IFERROR($G300*$J300*S300, "")</f>
        <v>0</v>
      </c>
      <c r="AW300" s="284" t="n">
        <f aca="false">IFERROR($G300*$J300*T300, "")</f>
        <v>0</v>
      </c>
      <c r="AX300" s="284" t="n">
        <f aca="false">IFERROR($G300*$J300*U300, "")</f>
        <v>0</v>
      </c>
      <c r="AY300" s="284" t="n">
        <f aca="false">IFERROR($G300*$J300*V300, "")</f>
        <v>0</v>
      </c>
      <c r="AZ300" s="284" t="n">
        <f aca="false">IFERROR($G300*$J300*W300, "")</f>
        <v>0</v>
      </c>
      <c r="BA300" s="286" t="n">
        <f aca="false">IFERROR(SUMIF($AO$4:$AZ$4, "RDEC", AO300:AZ300), "")</f>
        <v>0</v>
      </c>
      <c r="BB300" s="286" t="n">
        <f aca="false">IFERROR(SUMIF($AO$4:$AZ$4, "SME", AO300:AZ300), "")</f>
        <v>0</v>
      </c>
      <c r="BC300" s="286" t="n">
        <f aca="false">IFERROR(SUMIF($Y$4:$AJ$4, "De Minimis", AO300:AZ300), "")</f>
        <v>0</v>
      </c>
      <c r="BD300" s="287"/>
      <c r="BE300" s="288" t="str">
        <f aca="false">IF((SUM(L300:W300)&gt;1),"ERROR","")</f>
        <v/>
      </c>
    </row>
    <row r="301" customFormat="false" ht="15" hidden="false" customHeight="true" outlineLevel="0" collapsed="false">
      <c r="B301" s="333"/>
      <c r="C301" s="334"/>
      <c r="D301" s="333" t="n">
        <f aca="false">D285</f>
        <v>45413</v>
      </c>
      <c r="E301" s="277" t="n">
        <v>0</v>
      </c>
      <c r="F301" s="277" t="n">
        <v>0</v>
      </c>
      <c r="G301" s="277" t="n">
        <f aca="false">SUM(E301:F301)</f>
        <v>0</v>
      </c>
      <c r="H301" s="204"/>
      <c r="I301" s="279" t="n">
        <v>1</v>
      </c>
      <c r="J301" s="280" t="n">
        <f aca="false">1-I301</f>
        <v>0</v>
      </c>
      <c r="K301" s="277"/>
      <c r="L301" s="282"/>
      <c r="M301" s="282"/>
      <c r="N301" s="282"/>
      <c r="O301" s="282"/>
      <c r="P301" s="282"/>
      <c r="Q301" s="282"/>
      <c r="R301" s="282"/>
      <c r="S301" s="282"/>
      <c r="T301" s="282"/>
      <c r="U301" s="282"/>
      <c r="V301" s="282"/>
      <c r="W301" s="282"/>
      <c r="X301" s="283"/>
      <c r="Y301" s="284" t="n">
        <f aca="false">IFERROR(L301*$G301*I$9, "")</f>
        <v>0</v>
      </c>
      <c r="Z301" s="284" t="n">
        <f aca="false">IFERROR(M301*$G301*$I301, "")</f>
        <v>0</v>
      </c>
      <c r="AA301" s="284" t="n">
        <f aca="false">IFERROR(N301*$G301*$I301, "")</f>
        <v>0</v>
      </c>
      <c r="AB301" s="284" t="n">
        <f aca="false">IFERROR(O301*$G301*$I301, "")</f>
        <v>0</v>
      </c>
      <c r="AC301" s="284" t="n">
        <f aca="false">IFERROR(P301*$G301*$I301, "")</f>
        <v>0</v>
      </c>
      <c r="AD301" s="284" t="n">
        <f aca="false">IFERROR(Q301*$G301*$I301, "")</f>
        <v>0</v>
      </c>
      <c r="AE301" s="284" t="n">
        <f aca="false">IFERROR(R301*$G301*$I301, "")</f>
        <v>0</v>
      </c>
      <c r="AF301" s="284" t="n">
        <f aca="false">IFERROR(S301*$G301*$I301, "")</f>
        <v>0</v>
      </c>
      <c r="AG301" s="284" t="n">
        <f aca="false">IFERROR(T301*$G301*$I301, "")</f>
        <v>0</v>
      </c>
      <c r="AH301" s="284" t="n">
        <f aca="false">IFERROR(U301*$G301*$I301, "")</f>
        <v>0</v>
      </c>
      <c r="AI301" s="284" t="n">
        <f aca="false">IFERROR(V301*$G301*$I301, "")</f>
        <v>0</v>
      </c>
      <c r="AJ301" s="284" t="n">
        <f aca="false">IFERROR(W301*$G301*$I301, "")</f>
        <v>0</v>
      </c>
      <c r="AK301" s="286" t="n">
        <f aca="false">IFERROR(SUMIF($Y$4:$AJ$4, "RDEC", Y301:AJ301), "")</f>
        <v>0</v>
      </c>
      <c r="AL301" s="286" t="n">
        <f aca="false">IFERROR(SUMIF($Y$4:$AJ$4, "SME", Y301:AJ301), "")</f>
        <v>0</v>
      </c>
      <c r="AM301" s="286" t="n">
        <f aca="false">IFERROR(SUMIF($Y$4:$AJ$4, "De Minimis", Y301:AJ301), "")</f>
        <v>0</v>
      </c>
      <c r="AN301" s="283"/>
      <c r="AO301" s="284" t="n">
        <f aca="false">IFERROR($G301*$J301*L301, "")</f>
        <v>0</v>
      </c>
      <c r="AP301" s="284" t="n">
        <f aca="false">IFERROR($G301*$J301*M301, "")</f>
        <v>0</v>
      </c>
      <c r="AQ301" s="284" t="n">
        <f aca="false">IFERROR($G301*$J301*N301, "")</f>
        <v>0</v>
      </c>
      <c r="AR301" s="284" t="n">
        <f aca="false">IFERROR($G301*$J301*O301, "")</f>
        <v>0</v>
      </c>
      <c r="AS301" s="284" t="n">
        <f aca="false">IFERROR($G301*$J301*P301, "")</f>
        <v>0</v>
      </c>
      <c r="AT301" s="284" t="n">
        <f aca="false">IFERROR($G301*$J301*Q301, "")</f>
        <v>0</v>
      </c>
      <c r="AU301" s="284" t="n">
        <f aca="false">IFERROR($G301*$J301*R301, "")</f>
        <v>0</v>
      </c>
      <c r="AV301" s="284" t="n">
        <f aca="false">IFERROR($G301*$J301*S301, "")</f>
        <v>0</v>
      </c>
      <c r="AW301" s="284" t="n">
        <f aca="false">IFERROR($G301*$J301*T301, "")</f>
        <v>0</v>
      </c>
      <c r="AX301" s="284" t="n">
        <f aca="false">IFERROR($G301*$J301*U301, "")</f>
        <v>0</v>
      </c>
      <c r="AY301" s="284" t="n">
        <f aca="false">IFERROR($G301*$J301*V301, "")</f>
        <v>0</v>
      </c>
      <c r="AZ301" s="284" t="n">
        <f aca="false">IFERROR($G301*$J301*W301, "")</f>
        <v>0</v>
      </c>
      <c r="BA301" s="286" t="n">
        <f aca="false">IFERROR(SUMIF($AO$4:$AZ$4, "RDEC", AO301:AZ301), "")</f>
        <v>0</v>
      </c>
      <c r="BB301" s="286" t="n">
        <f aca="false">IFERROR(SUMIF($AO$4:$AZ$4, "SME", AO301:AZ301), "")</f>
        <v>0</v>
      </c>
      <c r="BC301" s="286" t="n">
        <f aca="false">IFERROR(SUMIF($Y$4:$AJ$4, "De Minimis", AO301:AZ301), "")</f>
        <v>0</v>
      </c>
      <c r="BD301" s="287"/>
      <c r="BE301" s="288" t="str">
        <f aca="false">IF((SUM(L301:W301)&gt;1),"ERROR","")</f>
        <v/>
      </c>
    </row>
    <row r="302" customFormat="false" ht="15" hidden="false" customHeight="true" outlineLevel="0" collapsed="false">
      <c r="B302" s="333"/>
      <c r="C302" s="334"/>
      <c r="D302" s="333" t="n">
        <f aca="false">D286</f>
        <v>45444</v>
      </c>
      <c r="E302" s="277" t="n">
        <v>0</v>
      </c>
      <c r="F302" s="277" t="n">
        <v>0</v>
      </c>
      <c r="G302" s="277" t="n">
        <f aca="false">SUM(E302:F302)</f>
        <v>0</v>
      </c>
      <c r="H302" s="204"/>
      <c r="I302" s="279" t="n">
        <v>1</v>
      </c>
      <c r="J302" s="280" t="n">
        <f aca="false">1-I302</f>
        <v>0</v>
      </c>
      <c r="K302" s="277"/>
      <c r="L302" s="282"/>
      <c r="M302" s="282"/>
      <c r="N302" s="282"/>
      <c r="O302" s="282"/>
      <c r="P302" s="282"/>
      <c r="Q302" s="282"/>
      <c r="R302" s="282"/>
      <c r="S302" s="282"/>
      <c r="T302" s="282"/>
      <c r="U302" s="282"/>
      <c r="V302" s="282"/>
      <c r="W302" s="282"/>
      <c r="X302" s="283"/>
      <c r="Y302" s="284" t="n">
        <f aca="false">IFERROR(L302*$G302*I$9, "")</f>
        <v>0</v>
      </c>
      <c r="Z302" s="284" t="n">
        <f aca="false">IFERROR(M302*$G302*$I302, "")</f>
        <v>0</v>
      </c>
      <c r="AA302" s="284" t="n">
        <f aca="false">IFERROR(N302*$G302*$I302, "")</f>
        <v>0</v>
      </c>
      <c r="AB302" s="284" t="n">
        <f aca="false">IFERROR(O302*$G302*$I302, "")</f>
        <v>0</v>
      </c>
      <c r="AC302" s="284" t="n">
        <f aca="false">IFERROR(P302*$G302*$I302, "")</f>
        <v>0</v>
      </c>
      <c r="AD302" s="284" t="n">
        <f aca="false">IFERROR(Q302*$G302*$I302, "")</f>
        <v>0</v>
      </c>
      <c r="AE302" s="284" t="n">
        <f aca="false">IFERROR(R302*$G302*$I302, "")</f>
        <v>0</v>
      </c>
      <c r="AF302" s="284" t="n">
        <f aca="false">IFERROR(S302*$G302*$I302, "")</f>
        <v>0</v>
      </c>
      <c r="AG302" s="284" t="n">
        <f aca="false">IFERROR(T302*$G302*$I302, "")</f>
        <v>0</v>
      </c>
      <c r="AH302" s="284" t="n">
        <f aca="false">IFERROR(U302*$G302*$I302, "")</f>
        <v>0</v>
      </c>
      <c r="AI302" s="284" t="n">
        <f aca="false">IFERROR(V302*$G302*$I302, "")</f>
        <v>0</v>
      </c>
      <c r="AJ302" s="284" t="n">
        <f aca="false">IFERROR(W302*$G302*$I302, "")</f>
        <v>0</v>
      </c>
      <c r="AK302" s="286" t="n">
        <f aca="false">IFERROR(SUMIF($Y$4:$AJ$4, "RDEC", Y302:AJ302), "")</f>
        <v>0</v>
      </c>
      <c r="AL302" s="286" t="n">
        <f aca="false">IFERROR(SUMIF($Y$4:$AJ$4, "SME", Y302:AJ302), "")</f>
        <v>0</v>
      </c>
      <c r="AM302" s="286" t="n">
        <f aca="false">IFERROR(SUMIF($Y$4:$AJ$4, "De Minimis", Y302:AJ302), "")</f>
        <v>0</v>
      </c>
      <c r="AN302" s="283"/>
      <c r="AO302" s="284" t="n">
        <f aca="false">IFERROR($G302*$J302*L302, "")</f>
        <v>0</v>
      </c>
      <c r="AP302" s="284" t="n">
        <f aca="false">IFERROR($G302*$J302*M302, "")</f>
        <v>0</v>
      </c>
      <c r="AQ302" s="284" t="n">
        <f aca="false">IFERROR($G302*$J302*N302, "")</f>
        <v>0</v>
      </c>
      <c r="AR302" s="284" t="n">
        <f aca="false">IFERROR($G302*$J302*O302, "")</f>
        <v>0</v>
      </c>
      <c r="AS302" s="284" t="n">
        <f aca="false">IFERROR($G302*$J302*P302, "")</f>
        <v>0</v>
      </c>
      <c r="AT302" s="284" t="n">
        <f aca="false">IFERROR($G302*$J302*Q302, "")</f>
        <v>0</v>
      </c>
      <c r="AU302" s="284" t="n">
        <f aca="false">IFERROR($G302*$J302*R302, "")</f>
        <v>0</v>
      </c>
      <c r="AV302" s="284" t="n">
        <f aca="false">IFERROR($G302*$J302*S302, "")</f>
        <v>0</v>
      </c>
      <c r="AW302" s="284" t="n">
        <f aca="false">IFERROR($G302*$J302*T302, "")</f>
        <v>0</v>
      </c>
      <c r="AX302" s="284" t="n">
        <f aca="false">IFERROR($G302*$J302*U302, "")</f>
        <v>0</v>
      </c>
      <c r="AY302" s="284" t="n">
        <f aca="false">IFERROR($G302*$J302*V302, "")</f>
        <v>0</v>
      </c>
      <c r="AZ302" s="284" t="n">
        <f aca="false">IFERROR($G302*$J302*W302, "")</f>
        <v>0</v>
      </c>
      <c r="BA302" s="286" t="n">
        <f aca="false">IFERROR(SUMIF($AO$4:$AZ$4, "RDEC", AO302:AZ302), "")</f>
        <v>0</v>
      </c>
      <c r="BB302" s="286" t="n">
        <f aca="false">IFERROR(SUMIF($AO$4:$AZ$4, "SME", AO302:AZ302), "")</f>
        <v>0</v>
      </c>
      <c r="BC302" s="286" t="n">
        <f aca="false">IFERROR(SUMIF($Y$4:$AJ$4, "De Minimis", AO302:AZ302), "")</f>
        <v>0</v>
      </c>
      <c r="BD302" s="287"/>
      <c r="BE302" s="288" t="str">
        <f aca="false">IF((SUM(L302:W302)&gt;1),"ERROR","")</f>
        <v/>
      </c>
    </row>
    <row r="303" customFormat="false" ht="15" hidden="false" customHeight="true" outlineLevel="0" collapsed="false">
      <c r="B303" s="333"/>
      <c r="C303" s="334"/>
      <c r="D303" s="333" t="n">
        <f aca="false">D287</f>
        <v>45474</v>
      </c>
      <c r="E303" s="277" t="n">
        <v>0</v>
      </c>
      <c r="F303" s="277" t="n">
        <v>0</v>
      </c>
      <c r="G303" s="277" t="n">
        <f aca="false">SUM(E303:F303)</f>
        <v>0</v>
      </c>
      <c r="H303" s="204"/>
      <c r="I303" s="279" t="n">
        <v>1</v>
      </c>
      <c r="J303" s="280" t="n">
        <f aca="false">1-I303</f>
        <v>0</v>
      </c>
      <c r="K303" s="277"/>
      <c r="L303" s="282"/>
      <c r="M303" s="282"/>
      <c r="N303" s="282"/>
      <c r="O303" s="282"/>
      <c r="P303" s="282"/>
      <c r="Q303" s="282"/>
      <c r="R303" s="282"/>
      <c r="S303" s="282"/>
      <c r="T303" s="282"/>
      <c r="U303" s="282"/>
      <c r="V303" s="282"/>
      <c r="W303" s="282"/>
      <c r="X303" s="283"/>
      <c r="Y303" s="284" t="n">
        <f aca="false">IFERROR(L303*$G303*I$9, "")</f>
        <v>0</v>
      </c>
      <c r="Z303" s="284" t="n">
        <f aca="false">IFERROR(M303*$G303*$I303, "")</f>
        <v>0</v>
      </c>
      <c r="AA303" s="284" t="n">
        <f aca="false">IFERROR(N303*$G303*$I303, "")</f>
        <v>0</v>
      </c>
      <c r="AB303" s="284" t="n">
        <f aca="false">IFERROR(O303*$G303*$I303, "")</f>
        <v>0</v>
      </c>
      <c r="AC303" s="284" t="n">
        <f aca="false">IFERROR(P303*$G303*$I303, "")</f>
        <v>0</v>
      </c>
      <c r="AD303" s="284" t="n">
        <f aca="false">IFERROR(Q303*$G303*$I303, "")</f>
        <v>0</v>
      </c>
      <c r="AE303" s="284" t="n">
        <f aca="false">IFERROR(R303*$G303*$I303, "")</f>
        <v>0</v>
      </c>
      <c r="AF303" s="284" t="n">
        <f aca="false">IFERROR(S303*$G303*$I303, "")</f>
        <v>0</v>
      </c>
      <c r="AG303" s="284" t="n">
        <f aca="false">IFERROR(T303*$G303*$I303, "")</f>
        <v>0</v>
      </c>
      <c r="AH303" s="284" t="n">
        <f aca="false">IFERROR(U303*$G303*$I303, "")</f>
        <v>0</v>
      </c>
      <c r="AI303" s="284" t="n">
        <f aca="false">IFERROR(V303*$G303*$I303, "")</f>
        <v>0</v>
      </c>
      <c r="AJ303" s="284" t="n">
        <f aca="false">IFERROR(W303*$G303*$I303, "")</f>
        <v>0</v>
      </c>
      <c r="AK303" s="286" t="n">
        <f aca="false">IFERROR(SUMIF($Y$4:$AJ$4, "RDEC", Y303:AJ303), "")</f>
        <v>0</v>
      </c>
      <c r="AL303" s="286" t="n">
        <f aca="false">IFERROR(SUMIF($Y$4:$AJ$4, "SME", Y303:AJ303), "")</f>
        <v>0</v>
      </c>
      <c r="AM303" s="286" t="n">
        <f aca="false">IFERROR(SUMIF($Y$4:$AJ$4, "De Minimis", Y303:AJ303), "")</f>
        <v>0</v>
      </c>
      <c r="AN303" s="283"/>
      <c r="AO303" s="284" t="n">
        <f aca="false">IFERROR($G303*$J303*L303, "")</f>
        <v>0</v>
      </c>
      <c r="AP303" s="284" t="n">
        <f aca="false">IFERROR($G303*$J303*M303, "")</f>
        <v>0</v>
      </c>
      <c r="AQ303" s="284" t="n">
        <f aca="false">IFERROR($G303*$J303*N303, "")</f>
        <v>0</v>
      </c>
      <c r="AR303" s="284" t="n">
        <f aca="false">IFERROR($G303*$J303*O303, "")</f>
        <v>0</v>
      </c>
      <c r="AS303" s="284" t="n">
        <f aca="false">IFERROR($G303*$J303*P303, "")</f>
        <v>0</v>
      </c>
      <c r="AT303" s="284" t="n">
        <f aca="false">IFERROR($G303*$J303*Q303, "")</f>
        <v>0</v>
      </c>
      <c r="AU303" s="284" t="n">
        <f aca="false">IFERROR($G303*$J303*R303, "")</f>
        <v>0</v>
      </c>
      <c r="AV303" s="284" t="n">
        <f aca="false">IFERROR($G303*$J303*S303, "")</f>
        <v>0</v>
      </c>
      <c r="AW303" s="284" t="n">
        <f aca="false">IFERROR($G303*$J303*T303, "")</f>
        <v>0</v>
      </c>
      <c r="AX303" s="284" t="n">
        <f aca="false">IFERROR($G303*$J303*U303, "")</f>
        <v>0</v>
      </c>
      <c r="AY303" s="284" t="n">
        <f aca="false">IFERROR($G303*$J303*V303, "")</f>
        <v>0</v>
      </c>
      <c r="AZ303" s="284" t="n">
        <f aca="false">IFERROR($G303*$J303*W303, "")</f>
        <v>0</v>
      </c>
      <c r="BA303" s="286" t="n">
        <f aca="false">IFERROR(SUMIF($AO$4:$AZ$4, "RDEC", AO303:AZ303), "")</f>
        <v>0</v>
      </c>
      <c r="BB303" s="286" t="n">
        <f aca="false">IFERROR(SUMIF($AO$4:$AZ$4, "SME", AO303:AZ303), "")</f>
        <v>0</v>
      </c>
      <c r="BC303" s="286" t="n">
        <f aca="false">IFERROR(SUMIF($Y$4:$AJ$4, "De Minimis", AO303:AZ303), "")</f>
        <v>0</v>
      </c>
      <c r="BD303" s="287"/>
      <c r="BE303" s="288" t="str">
        <f aca="false">IF((SUM(L303:W303)&gt;1),"ERROR","")</f>
        <v/>
      </c>
    </row>
    <row r="304" customFormat="false" ht="15" hidden="false" customHeight="true" outlineLevel="0" collapsed="false">
      <c r="B304" s="333"/>
      <c r="C304" s="334"/>
      <c r="D304" s="333" t="n">
        <f aca="false">D288</f>
        <v>45505</v>
      </c>
      <c r="E304" s="277" t="n">
        <v>0</v>
      </c>
      <c r="F304" s="277" t="n">
        <v>0</v>
      </c>
      <c r="G304" s="277" t="n">
        <f aca="false">SUM(E304:F304)</f>
        <v>0</v>
      </c>
      <c r="H304" s="204"/>
      <c r="I304" s="279" t="n">
        <v>1</v>
      </c>
      <c r="J304" s="280" t="n">
        <f aca="false">1-I304</f>
        <v>0</v>
      </c>
      <c r="K304" s="277"/>
      <c r="L304" s="282"/>
      <c r="M304" s="282"/>
      <c r="N304" s="282"/>
      <c r="O304" s="282"/>
      <c r="P304" s="282"/>
      <c r="Q304" s="282"/>
      <c r="R304" s="282"/>
      <c r="S304" s="282"/>
      <c r="T304" s="282"/>
      <c r="U304" s="282"/>
      <c r="V304" s="282"/>
      <c r="W304" s="282"/>
      <c r="X304" s="283"/>
      <c r="Y304" s="284" t="n">
        <f aca="false">IFERROR(L304*$G304*I$9, "")</f>
        <v>0</v>
      </c>
      <c r="Z304" s="284" t="n">
        <f aca="false">IFERROR(M304*$G304*$I304, "")</f>
        <v>0</v>
      </c>
      <c r="AA304" s="284" t="n">
        <f aca="false">IFERROR(N304*$G304*$I304, "")</f>
        <v>0</v>
      </c>
      <c r="AB304" s="284" t="n">
        <f aca="false">IFERROR(O304*$G304*$I304, "")</f>
        <v>0</v>
      </c>
      <c r="AC304" s="284" t="n">
        <f aca="false">IFERROR(P304*$G304*$I304, "")</f>
        <v>0</v>
      </c>
      <c r="AD304" s="284" t="n">
        <f aca="false">IFERROR(Q304*$G304*$I304, "")</f>
        <v>0</v>
      </c>
      <c r="AE304" s="284" t="n">
        <f aca="false">IFERROR(R304*$G304*$I304, "")</f>
        <v>0</v>
      </c>
      <c r="AF304" s="284" t="n">
        <f aca="false">IFERROR(S304*$G304*$I304, "")</f>
        <v>0</v>
      </c>
      <c r="AG304" s="284" t="n">
        <f aca="false">IFERROR(T304*$G304*$I304, "")</f>
        <v>0</v>
      </c>
      <c r="AH304" s="284" t="n">
        <f aca="false">IFERROR(U304*$G304*$I304, "")</f>
        <v>0</v>
      </c>
      <c r="AI304" s="284" t="n">
        <f aca="false">IFERROR(V304*$G304*$I304, "")</f>
        <v>0</v>
      </c>
      <c r="AJ304" s="284" t="n">
        <f aca="false">IFERROR(W304*$G304*$I304, "")</f>
        <v>0</v>
      </c>
      <c r="AK304" s="286" t="n">
        <f aca="false">IFERROR(SUMIF($Y$4:$AJ$4, "RDEC", Y304:AJ304), "")</f>
        <v>0</v>
      </c>
      <c r="AL304" s="286" t="n">
        <f aca="false">IFERROR(SUMIF($Y$4:$AJ$4, "SME", Y304:AJ304), "")</f>
        <v>0</v>
      </c>
      <c r="AM304" s="286" t="n">
        <f aca="false">IFERROR(SUMIF($Y$4:$AJ$4, "De Minimis", Y304:AJ304), "")</f>
        <v>0</v>
      </c>
      <c r="AN304" s="283"/>
      <c r="AO304" s="284" t="n">
        <f aca="false">IFERROR($G304*$J304*L304, "")</f>
        <v>0</v>
      </c>
      <c r="AP304" s="284" t="n">
        <f aca="false">IFERROR($G304*$J304*M304, "")</f>
        <v>0</v>
      </c>
      <c r="AQ304" s="284" t="n">
        <f aca="false">IFERROR($G304*$J304*N304, "")</f>
        <v>0</v>
      </c>
      <c r="AR304" s="284" t="n">
        <f aca="false">IFERROR($G304*$J304*O304, "")</f>
        <v>0</v>
      </c>
      <c r="AS304" s="284" t="n">
        <f aca="false">IFERROR($G304*$J304*P304, "")</f>
        <v>0</v>
      </c>
      <c r="AT304" s="284" t="n">
        <f aca="false">IFERROR($G304*$J304*Q304, "")</f>
        <v>0</v>
      </c>
      <c r="AU304" s="284" t="n">
        <f aca="false">IFERROR($G304*$J304*R304, "")</f>
        <v>0</v>
      </c>
      <c r="AV304" s="284" t="n">
        <f aca="false">IFERROR($G304*$J304*S304, "")</f>
        <v>0</v>
      </c>
      <c r="AW304" s="284" t="n">
        <f aca="false">IFERROR($G304*$J304*T304, "")</f>
        <v>0</v>
      </c>
      <c r="AX304" s="284" t="n">
        <f aca="false">IFERROR($G304*$J304*U304, "")</f>
        <v>0</v>
      </c>
      <c r="AY304" s="284" t="n">
        <f aca="false">IFERROR($G304*$J304*V304, "")</f>
        <v>0</v>
      </c>
      <c r="AZ304" s="284" t="n">
        <f aca="false">IFERROR($G304*$J304*W304, "")</f>
        <v>0</v>
      </c>
      <c r="BA304" s="286" t="n">
        <f aca="false">IFERROR(SUMIF($AO$4:$AZ$4, "RDEC", AO304:AZ304), "")</f>
        <v>0</v>
      </c>
      <c r="BB304" s="286" t="n">
        <f aca="false">IFERROR(SUMIF($AO$4:$AZ$4, "SME", AO304:AZ304), "")</f>
        <v>0</v>
      </c>
      <c r="BC304" s="286" t="n">
        <f aca="false">IFERROR(SUMIF($Y$4:$AJ$4, "De Minimis", AO304:AZ304), "")</f>
        <v>0</v>
      </c>
      <c r="BD304" s="287"/>
      <c r="BE304" s="288" t="str">
        <f aca="false">IF((SUM(L304:W304)&gt;1),"ERROR","")</f>
        <v/>
      </c>
    </row>
    <row r="305" customFormat="false" ht="15" hidden="false" customHeight="true" outlineLevel="0" collapsed="false">
      <c r="B305" s="333"/>
      <c r="C305" s="334"/>
      <c r="D305" s="333" t="n">
        <f aca="false">D289</f>
        <v>45536</v>
      </c>
      <c r="E305" s="277" t="n">
        <v>0</v>
      </c>
      <c r="F305" s="277" t="n">
        <v>0</v>
      </c>
      <c r="G305" s="277" t="n">
        <f aca="false">SUM(E305:F305)</f>
        <v>0</v>
      </c>
      <c r="H305" s="204"/>
      <c r="I305" s="279" t="n">
        <v>1</v>
      </c>
      <c r="J305" s="280" t="n">
        <f aca="false">1-I305</f>
        <v>0</v>
      </c>
      <c r="K305" s="277"/>
      <c r="L305" s="282"/>
      <c r="M305" s="282"/>
      <c r="N305" s="282"/>
      <c r="O305" s="282"/>
      <c r="P305" s="282"/>
      <c r="Q305" s="282"/>
      <c r="R305" s="282"/>
      <c r="S305" s="282"/>
      <c r="T305" s="282"/>
      <c r="U305" s="282"/>
      <c r="V305" s="282"/>
      <c r="W305" s="282"/>
      <c r="X305" s="283"/>
      <c r="Y305" s="284" t="n">
        <f aca="false">IFERROR(L305*$G305*I$9, "")</f>
        <v>0</v>
      </c>
      <c r="Z305" s="284" t="n">
        <f aca="false">IFERROR(M305*$G305*$I305, "")</f>
        <v>0</v>
      </c>
      <c r="AA305" s="284" t="n">
        <f aca="false">IFERROR(N305*$G305*$I305, "")</f>
        <v>0</v>
      </c>
      <c r="AB305" s="284" t="n">
        <f aca="false">IFERROR(O305*$G305*$I305, "")</f>
        <v>0</v>
      </c>
      <c r="AC305" s="284" t="n">
        <f aca="false">IFERROR(P305*$G305*$I305, "")</f>
        <v>0</v>
      </c>
      <c r="AD305" s="284" t="n">
        <f aca="false">IFERROR(Q305*$G305*$I305, "")</f>
        <v>0</v>
      </c>
      <c r="AE305" s="284" t="n">
        <f aca="false">IFERROR(R305*$G305*$I305, "")</f>
        <v>0</v>
      </c>
      <c r="AF305" s="284" t="n">
        <f aca="false">IFERROR(S305*$G305*$I305, "")</f>
        <v>0</v>
      </c>
      <c r="AG305" s="284" t="n">
        <f aca="false">IFERROR(T305*$G305*$I305, "")</f>
        <v>0</v>
      </c>
      <c r="AH305" s="284" t="n">
        <f aca="false">IFERROR(U305*$G305*$I305, "")</f>
        <v>0</v>
      </c>
      <c r="AI305" s="284" t="n">
        <f aca="false">IFERROR(V305*$G305*$I305, "")</f>
        <v>0</v>
      </c>
      <c r="AJ305" s="284" t="n">
        <f aca="false">IFERROR(W305*$G305*$I305, "")</f>
        <v>0</v>
      </c>
      <c r="AK305" s="286" t="n">
        <f aca="false">IFERROR(SUMIF($Y$4:$AJ$4, "RDEC", Y305:AJ305), "")</f>
        <v>0</v>
      </c>
      <c r="AL305" s="286" t="n">
        <f aca="false">IFERROR(SUMIF($Y$4:$AJ$4, "SME", Y305:AJ305), "")</f>
        <v>0</v>
      </c>
      <c r="AM305" s="286" t="n">
        <f aca="false">IFERROR(SUMIF($Y$4:$AJ$4, "De Minimis", Y305:AJ305), "")</f>
        <v>0</v>
      </c>
      <c r="AN305" s="283"/>
      <c r="AO305" s="284" t="n">
        <f aca="false">IFERROR($G305*$J305*L305, "")</f>
        <v>0</v>
      </c>
      <c r="AP305" s="284" t="n">
        <f aca="false">IFERROR($G305*$J305*M305, "")</f>
        <v>0</v>
      </c>
      <c r="AQ305" s="284" t="n">
        <f aca="false">IFERROR($G305*$J305*N305, "")</f>
        <v>0</v>
      </c>
      <c r="AR305" s="284" t="n">
        <f aca="false">IFERROR($G305*$J305*O305, "")</f>
        <v>0</v>
      </c>
      <c r="AS305" s="284" t="n">
        <f aca="false">IFERROR($G305*$J305*P305, "")</f>
        <v>0</v>
      </c>
      <c r="AT305" s="284" t="n">
        <f aca="false">IFERROR($G305*$J305*Q305, "")</f>
        <v>0</v>
      </c>
      <c r="AU305" s="284" t="n">
        <f aca="false">IFERROR($G305*$J305*R305, "")</f>
        <v>0</v>
      </c>
      <c r="AV305" s="284" t="n">
        <f aca="false">IFERROR($G305*$J305*S305, "")</f>
        <v>0</v>
      </c>
      <c r="AW305" s="284" t="n">
        <f aca="false">IFERROR($G305*$J305*T305, "")</f>
        <v>0</v>
      </c>
      <c r="AX305" s="284" t="n">
        <f aca="false">IFERROR($G305*$J305*U305, "")</f>
        <v>0</v>
      </c>
      <c r="AY305" s="284" t="n">
        <f aca="false">IFERROR($G305*$J305*V305, "")</f>
        <v>0</v>
      </c>
      <c r="AZ305" s="284" t="n">
        <f aca="false">IFERROR($G305*$J305*W305, "")</f>
        <v>0</v>
      </c>
      <c r="BA305" s="286" t="n">
        <f aca="false">IFERROR(SUMIF($AO$4:$AZ$4, "RDEC", AO305:AZ305), "")</f>
        <v>0</v>
      </c>
      <c r="BB305" s="286" t="n">
        <f aca="false">IFERROR(SUMIF($AO$4:$AZ$4, "SME", AO305:AZ305), "")</f>
        <v>0</v>
      </c>
      <c r="BC305" s="286" t="n">
        <f aca="false">IFERROR(SUMIF($Y$4:$AJ$4, "De Minimis", AO305:AZ305), "")</f>
        <v>0</v>
      </c>
      <c r="BD305" s="287"/>
      <c r="BE305" s="288" t="str">
        <f aca="false">IF((SUM(L305:W305)&gt;1),"ERROR","")</f>
        <v/>
      </c>
    </row>
    <row r="306" customFormat="false" ht="15" hidden="false" customHeight="true" outlineLevel="0" collapsed="false">
      <c r="B306" s="333"/>
      <c r="C306" s="334"/>
      <c r="D306" s="333" t="n">
        <f aca="false">D290</f>
        <v>45566</v>
      </c>
      <c r="E306" s="277" t="n">
        <v>0</v>
      </c>
      <c r="F306" s="277" t="n">
        <v>0</v>
      </c>
      <c r="G306" s="277" t="n">
        <f aca="false">SUM(E306:F306)</f>
        <v>0</v>
      </c>
      <c r="H306" s="204"/>
      <c r="I306" s="279" t="n">
        <v>1</v>
      </c>
      <c r="J306" s="280" t="n">
        <f aca="false">1-I306</f>
        <v>0</v>
      </c>
      <c r="K306" s="277"/>
      <c r="L306" s="282"/>
      <c r="M306" s="282"/>
      <c r="N306" s="282"/>
      <c r="O306" s="282"/>
      <c r="P306" s="282"/>
      <c r="Q306" s="282"/>
      <c r="R306" s="282"/>
      <c r="S306" s="282"/>
      <c r="T306" s="282"/>
      <c r="U306" s="282"/>
      <c r="V306" s="282"/>
      <c r="W306" s="282"/>
      <c r="X306" s="283"/>
      <c r="Y306" s="284" t="n">
        <f aca="false">IFERROR(L306*$G306*I$9, "")</f>
        <v>0</v>
      </c>
      <c r="Z306" s="284" t="n">
        <f aca="false">IFERROR(M306*$G306*$I306, "")</f>
        <v>0</v>
      </c>
      <c r="AA306" s="284" t="n">
        <f aca="false">IFERROR(N306*$G306*$I306, "")</f>
        <v>0</v>
      </c>
      <c r="AB306" s="284" t="n">
        <f aca="false">IFERROR(O306*$G306*$I306, "")</f>
        <v>0</v>
      </c>
      <c r="AC306" s="284" t="n">
        <f aca="false">IFERROR(P306*$G306*$I306, "")</f>
        <v>0</v>
      </c>
      <c r="AD306" s="284" t="n">
        <f aca="false">IFERROR(Q306*$G306*$I306, "")</f>
        <v>0</v>
      </c>
      <c r="AE306" s="284" t="n">
        <f aca="false">IFERROR(R306*$G306*$I306, "")</f>
        <v>0</v>
      </c>
      <c r="AF306" s="284" t="n">
        <f aca="false">IFERROR(S306*$G306*$I306, "")</f>
        <v>0</v>
      </c>
      <c r="AG306" s="284" t="n">
        <f aca="false">IFERROR(T306*$G306*$I306, "")</f>
        <v>0</v>
      </c>
      <c r="AH306" s="284" t="n">
        <f aca="false">IFERROR(U306*$G306*$I306, "")</f>
        <v>0</v>
      </c>
      <c r="AI306" s="284" t="n">
        <f aca="false">IFERROR(V306*$G306*$I306, "")</f>
        <v>0</v>
      </c>
      <c r="AJ306" s="284" t="n">
        <f aca="false">IFERROR(W306*$G306*$I306, "")</f>
        <v>0</v>
      </c>
      <c r="AK306" s="286" t="n">
        <f aca="false">IFERROR(SUMIF($Y$4:$AJ$4, "RDEC", Y306:AJ306), "")</f>
        <v>0</v>
      </c>
      <c r="AL306" s="286" t="n">
        <f aca="false">IFERROR(SUMIF($Y$4:$AJ$4, "SME", Y306:AJ306), "")</f>
        <v>0</v>
      </c>
      <c r="AM306" s="286" t="n">
        <f aca="false">IFERROR(SUMIF($Y$4:$AJ$4, "De Minimis", Y306:AJ306), "")</f>
        <v>0</v>
      </c>
      <c r="AN306" s="283"/>
      <c r="AO306" s="284" t="n">
        <f aca="false">IFERROR($G306*$J306*L306, "")</f>
        <v>0</v>
      </c>
      <c r="AP306" s="284" t="n">
        <f aca="false">IFERROR($G306*$J306*M306, "")</f>
        <v>0</v>
      </c>
      <c r="AQ306" s="284" t="n">
        <f aca="false">IFERROR($G306*$J306*N306, "")</f>
        <v>0</v>
      </c>
      <c r="AR306" s="284" t="n">
        <f aca="false">IFERROR($G306*$J306*O306, "")</f>
        <v>0</v>
      </c>
      <c r="AS306" s="284" t="n">
        <f aca="false">IFERROR($G306*$J306*P306, "")</f>
        <v>0</v>
      </c>
      <c r="AT306" s="284" t="n">
        <f aca="false">IFERROR($G306*$J306*Q306, "")</f>
        <v>0</v>
      </c>
      <c r="AU306" s="284" t="n">
        <f aca="false">IFERROR($G306*$J306*R306, "")</f>
        <v>0</v>
      </c>
      <c r="AV306" s="284" t="n">
        <f aca="false">IFERROR($G306*$J306*S306, "")</f>
        <v>0</v>
      </c>
      <c r="AW306" s="284" t="n">
        <f aca="false">IFERROR($G306*$J306*T306, "")</f>
        <v>0</v>
      </c>
      <c r="AX306" s="284" t="n">
        <f aca="false">IFERROR($G306*$J306*U306, "")</f>
        <v>0</v>
      </c>
      <c r="AY306" s="284" t="n">
        <f aca="false">IFERROR($G306*$J306*V306, "")</f>
        <v>0</v>
      </c>
      <c r="AZ306" s="284" t="n">
        <f aca="false">IFERROR($G306*$J306*W306, "")</f>
        <v>0</v>
      </c>
      <c r="BA306" s="286" t="n">
        <f aca="false">IFERROR(SUMIF($AO$4:$AZ$4, "RDEC", AO306:AZ306), "")</f>
        <v>0</v>
      </c>
      <c r="BB306" s="286" t="n">
        <f aca="false">IFERROR(SUMIF($AO$4:$AZ$4, "SME", AO306:AZ306), "")</f>
        <v>0</v>
      </c>
      <c r="BC306" s="286" t="n">
        <f aca="false">IFERROR(SUMIF($Y$4:$AJ$4, "De Minimis", AO306:AZ306), "")</f>
        <v>0</v>
      </c>
      <c r="BD306" s="287"/>
      <c r="BE306" s="288" t="str">
        <f aca="false">IF((SUM(L306:W306)&gt;1),"ERROR","")</f>
        <v/>
      </c>
    </row>
    <row r="307" customFormat="false" ht="15" hidden="false" customHeight="true" outlineLevel="0" collapsed="false">
      <c r="B307" s="333"/>
      <c r="C307" s="334"/>
      <c r="D307" s="333" t="n">
        <f aca="false">D291</f>
        <v>45597</v>
      </c>
      <c r="E307" s="277" t="n">
        <v>0</v>
      </c>
      <c r="F307" s="277" t="n">
        <v>0</v>
      </c>
      <c r="G307" s="277" t="n">
        <f aca="false">SUM(E307:F307)</f>
        <v>0</v>
      </c>
      <c r="H307" s="204"/>
      <c r="I307" s="279" t="n">
        <v>1</v>
      </c>
      <c r="J307" s="280" t="n">
        <f aca="false">1-I307</f>
        <v>0</v>
      </c>
      <c r="K307" s="277"/>
      <c r="L307" s="282"/>
      <c r="M307" s="282"/>
      <c r="N307" s="282"/>
      <c r="O307" s="282"/>
      <c r="P307" s="282"/>
      <c r="Q307" s="282"/>
      <c r="R307" s="282"/>
      <c r="S307" s="282"/>
      <c r="T307" s="282"/>
      <c r="U307" s="282"/>
      <c r="V307" s="282"/>
      <c r="W307" s="282"/>
      <c r="X307" s="283"/>
      <c r="Y307" s="284" t="n">
        <f aca="false">IFERROR(L307*$G307*I$9, "")</f>
        <v>0</v>
      </c>
      <c r="Z307" s="284" t="n">
        <f aca="false">IFERROR(M307*$G307*$I307, "")</f>
        <v>0</v>
      </c>
      <c r="AA307" s="284" t="n">
        <f aca="false">IFERROR(N307*$G307*$I307, "")</f>
        <v>0</v>
      </c>
      <c r="AB307" s="284" t="n">
        <f aca="false">IFERROR(O307*$G307*$I307, "")</f>
        <v>0</v>
      </c>
      <c r="AC307" s="284" t="n">
        <f aca="false">IFERROR(P307*$G307*$I307, "")</f>
        <v>0</v>
      </c>
      <c r="AD307" s="284" t="n">
        <f aca="false">IFERROR(Q307*$G307*$I307, "")</f>
        <v>0</v>
      </c>
      <c r="AE307" s="284" t="n">
        <f aca="false">IFERROR(R307*$G307*$I307, "")</f>
        <v>0</v>
      </c>
      <c r="AF307" s="284" t="n">
        <f aca="false">IFERROR(S307*$G307*$I307, "")</f>
        <v>0</v>
      </c>
      <c r="AG307" s="284" t="n">
        <f aca="false">IFERROR(T307*$G307*$I307, "")</f>
        <v>0</v>
      </c>
      <c r="AH307" s="284" t="n">
        <f aca="false">IFERROR(U307*$G307*$I307, "")</f>
        <v>0</v>
      </c>
      <c r="AI307" s="284" t="n">
        <f aca="false">IFERROR(V307*$G307*$I307, "")</f>
        <v>0</v>
      </c>
      <c r="AJ307" s="284" t="n">
        <f aca="false">IFERROR(W307*$G307*$I307, "")</f>
        <v>0</v>
      </c>
      <c r="AK307" s="286" t="n">
        <f aca="false">IFERROR(SUMIF($Y$4:$AJ$4, "RDEC", Y307:AJ307), "")</f>
        <v>0</v>
      </c>
      <c r="AL307" s="286" t="n">
        <f aca="false">IFERROR(SUMIF($Y$4:$AJ$4, "SME", Y307:AJ307), "")</f>
        <v>0</v>
      </c>
      <c r="AM307" s="286" t="n">
        <f aca="false">IFERROR(SUMIF($Y$4:$AJ$4, "De Minimis", Y307:AJ307), "")</f>
        <v>0</v>
      </c>
      <c r="AN307" s="283"/>
      <c r="AO307" s="284" t="n">
        <f aca="false">IFERROR($G307*$J307*L307, "")</f>
        <v>0</v>
      </c>
      <c r="AP307" s="284" t="n">
        <f aca="false">IFERROR($G307*$J307*M307, "")</f>
        <v>0</v>
      </c>
      <c r="AQ307" s="284" t="n">
        <f aca="false">IFERROR($G307*$J307*N307, "")</f>
        <v>0</v>
      </c>
      <c r="AR307" s="284" t="n">
        <f aca="false">IFERROR($G307*$J307*O307, "")</f>
        <v>0</v>
      </c>
      <c r="AS307" s="284" t="n">
        <f aca="false">IFERROR($G307*$J307*P307, "")</f>
        <v>0</v>
      </c>
      <c r="AT307" s="284" t="n">
        <f aca="false">IFERROR($G307*$J307*Q307, "")</f>
        <v>0</v>
      </c>
      <c r="AU307" s="284" t="n">
        <f aca="false">IFERROR($G307*$J307*R307, "")</f>
        <v>0</v>
      </c>
      <c r="AV307" s="284" t="n">
        <f aca="false">IFERROR($G307*$J307*S307, "")</f>
        <v>0</v>
      </c>
      <c r="AW307" s="284" t="n">
        <f aca="false">IFERROR($G307*$J307*T307, "")</f>
        <v>0</v>
      </c>
      <c r="AX307" s="284" t="n">
        <f aca="false">IFERROR($G307*$J307*U307, "")</f>
        <v>0</v>
      </c>
      <c r="AY307" s="284" t="n">
        <f aca="false">IFERROR($G307*$J307*V307, "")</f>
        <v>0</v>
      </c>
      <c r="AZ307" s="284" t="n">
        <f aca="false">IFERROR($G307*$J307*W307, "")</f>
        <v>0</v>
      </c>
      <c r="BA307" s="286" t="n">
        <f aca="false">IFERROR(SUMIF($AO$4:$AZ$4, "RDEC", AO307:AZ307), "")</f>
        <v>0</v>
      </c>
      <c r="BB307" s="286" t="n">
        <f aca="false">IFERROR(SUMIF($AO$4:$AZ$4, "SME", AO307:AZ307), "")</f>
        <v>0</v>
      </c>
      <c r="BC307" s="286" t="n">
        <f aca="false">IFERROR(SUMIF($Y$4:$AJ$4, "De Minimis", AO307:AZ307), "")</f>
        <v>0</v>
      </c>
      <c r="BD307" s="287"/>
      <c r="BE307" s="288" t="str">
        <f aca="false">IF((SUM(L307:W307)&gt;1),"ERROR","")</f>
        <v/>
      </c>
    </row>
    <row r="308" customFormat="false" ht="15" hidden="false" customHeight="true" outlineLevel="0" collapsed="false">
      <c r="B308" s="333"/>
      <c r="C308" s="334"/>
      <c r="D308" s="333" t="n">
        <f aca="false">D292</f>
        <v>45627</v>
      </c>
      <c r="E308" s="277" t="n">
        <v>0</v>
      </c>
      <c r="F308" s="277" t="n">
        <v>0</v>
      </c>
      <c r="G308" s="277" t="n">
        <f aca="false">SUM(E308:F308)</f>
        <v>0</v>
      </c>
      <c r="H308" s="300"/>
      <c r="I308" s="289" t="n">
        <v>1</v>
      </c>
      <c r="J308" s="290" t="n">
        <f aca="false">1-I308</f>
        <v>0</v>
      </c>
      <c r="K308" s="300"/>
      <c r="L308" s="291"/>
      <c r="M308" s="291"/>
      <c r="N308" s="291"/>
      <c r="O308" s="291"/>
      <c r="P308" s="291"/>
      <c r="Q308" s="291"/>
      <c r="R308" s="291"/>
      <c r="S308" s="291"/>
      <c r="T308" s="291"/>
      <c r="U308" s="291"/>
      <c r="V308" s="291"/>
      <c r="W308" s="291"/>
      <c r="X308" s="283"/>
      <c r="Y308" s="284" t="n">
        <f aca="false">IFERROR(L308*$G308*I$9, "")</f>
        <v>0</v>
      </c>
      <c r="Z308" s="284" t="n">
        <f aca="false">IFERROR(M308*$G308*$I308, "")</f>
        <v>0</v>
      </c>
      <c r="AA308" s="284" t="n">
        <f aca="false">IFERROR(N308*$G308*$I308, "")</f>
        <v>0</v>
      </c>
      <c r="AB308" s="284" t="n">
        <f aca="false">IFERROR(O308*$G308*$I308, "")</f>
        <v>0</v>
      </c>
      <c r="AC308" s="284" t="n">
        <f aca="false">IFERROR(P308*$G308*$I308, "")</f>
        <v>0</v>
      </c>
      <c r="AD308" s="284" t="n">
        <f aca="false">IFERROR(Q308*$G308*$I308, "")</f>
        <v>0</v>
      </c>
      <c r="AE308" s="284" t="n">
        <f aca="false">IFERROR(R308*$G308*$I308, "")</f>
        <v>0</v>
      </c>
      <c r="AF308" s="284" t="n">
        <f aca="false">IFERROR(S308*$G308*$I308, "")</f>
        <v>0</v>
      </c>
      <c r="AG308" s="284" t="n">
        <f aca="false">IFERROR(T308*$G308*$I308, "")</f>
        <v>0</v>
      </c>
      <c r="AH308" s="284" t="n">
        <f aca="false">IFERROR(U308*$G308*$I308, "")</f>
        <v>0</v>
      </c>
      <c r="AI308" s="284" t="n">
        <f aca="false">IFERROR(V308*$G308*$I308, "")</f>
        <v>0</v>
      </c>
      <c r="AJ308" s="284" t="n">
        <f aca="false">IFERROR(W308*$G308*$I308, "")</f>
        <v>0</v>
      </c>
      <c r="AK308" s="294" t="n">
        <f aca="false">IFERROR(SUMIF($Y$4:$AJ$4, "RDEC", Y308:AJ308), "")</f>
        <v>0</v>
      </c>
      <c r="AL308" s="294" t="n">
        <f aca="false">IFERROR(SUMIF($Y$4:$AJ$4, "SME", Y308:AJ308), "")</f>
        <v>0</v>
      </c>
      <c r="AM308" s="294" t="n">
        <f aca="false">IFERROR(SUMIF($Y$4:$AJ$4, "De Minimis", Y308:AJ308), "")</f>
        <v>0</v>
      </c>
      <c r="AN308" s="283"/>
      <c r="AO308" s="284" t="n">
        <f aca="false">IFERROR($G308*$J308*L308, "")</f>
        <v>0</v>
      </c>
      <c r="AP308" s="284" t="n">
        <f aca="false">IFERROR($G308*$J308*M308, "")</f>
        <v>0</v>
      </c>
      <c r="AQ308" s="284" t="n">
        <f aca="false">IFERROR($G308*$J308*N308, "")</f>
        <v>0</v>
      </c>
      <c r="AR308" s="284" t="n">
        <f aca="false">IFERROR($G308*$J308*O308, "")</f>
        <v>0</v>
      </c>
      <c r="AS308" s="284" t="n">
        <f aca="false">IFERROR($G308*$J308*P308, "")</f>
        <v>0</v>
      </c>
      <c r="AT308" s="284" t="n">
        <f aca="false">IFERROR($G308*$J308*Q308, "")</f>
        <v>0</v>
      </c>
      <c r="AU308" s="284" t="n">
        <f aca="false">IFERROR($G308*$J308*R308, "")</f>
        <v>0</v>
      </c>
      <c r="AV308" s="284" t="n">
        <f aca="false">IFERROR($G308*$J308*S308, "")</f>
        <v>0</v>
      </c>
      <c r="AW308" s="284" t="n">
        <f aca="false">IFERROR($G308*$J308*T308, "")</f>
        <v>0</v>
      </c>
      <c r="AX308" s="284" t="n">
        <f aca="false">IFERROR($G308*$J308*U308, "")</f>
        <v>0</v>
      </c>
      <c r="AY308" s="284" t="n">
        <f aca="false">IFERROR($G308*$J308*V308, "")</f>
        <v>0</v>
      </c>
      <c r="AZ308" s="284" t="n">
        <f aca="false">IFERROR($G308*$J308*W308, "")</f>
        <v>0</v>
      </c>
      <c r="BA308" s="286" t="n">
        <f aca="false">IFERROR(SUMIF($AO$4:$AZ$4, "RDEC", AO308:AZ308), "")</f>
        <v>0</v>
      </c>
      <c r="BB308" s="286" t="n">
        <f aca="false">IFERROR(SUMIF($AO$4:$AZ$4, "SME", AO308:AZ308), "")</f>
        <v>0</v>
      </c>
      <c r="BC308" s="294" t="n">
        <f aca="false">IFERROR(SUMIF($Y$4:$AJ$4, "De Minimis", AO308:AZ308), "")</f>
        <v>0</v>
      </c>
      <c r="BD308" s="303"/>
      <c r="BE308" s="295" t="str">
        <f aca="false">IF((SUM(L308:W308)&gt;1),"ERROR","")</f>
        <v/>
      </c>
    </row>
    <row r="309" customFormat="false" ht="15" hidden="false" customHeight="true" outlineLevel="0" collapsed="false">
      <c r="B309" s="296"/>
      <c r="D309" s="297" t="s">
        <v>82</v>
      </c>
      <c r="E309" s="299" t="n">
        <f aca="false">SUM(E297:E308)</f>
        <v>0</v>
      </c>
      <c r="F309" s="299" t="n">
        <f aca="false">SUM(F297:F308)</f>
        <v>0</v>
      </c>
      <c r="G309" s="299" t="n">
        <f aca="false">SUM(G297:G308)</f>
        <v>0</v>
      </c>
      <c r="H309" s="300"/>
      <c r="I309" s="301" t="n">
        <f aca="false">AVERAGE(I297:I308)</f>
        <v>1</v>
      </c>
      <c r="J309" s="301" t="n">
        <f aca="false">AVERAGE(J297:J308)</f>
        <v>0</v>
      </c>
      <c r="K309" s="300"/>
      <c r="L309" s="290" t="n">
        <f aca="false">IF(SUM(L297:L308)&gt;0,(Y309/G309),0)</f>
        <v>0</v>
      </c>
      <c r="M309" s="301" t="n">
        <f aca="false">IF(SUM(M297:M308)&gt;0,(Z309/G309),0)</f>
        <v>0</v>
      </c>
      <c r="N309" s="301" t="n">
        <f aca="false">IF(SUM(N297:N308)&gt;0,(AA309/G309),0)</f>
        <v>0</v>
      </c>
      <c r="O309" s="301" t="n">
        <f aca="false">IF(SUM(O297:O308)&gt;0,(AB309/G309),0)</f>
        <v>0</v>
      </c>
      <c r="P309" s="301" t="n">
        <f aca="false">IF(SUM(P297:P308)&gt;0,(AC309/G309),0)</f>
        <v>0</v>
      </c>
      <c r="Q309" s="301" t="n">
        <f aca="false">IF(SUM(Q297:Q308)&gt;0,(AD309/G309),0)</f>
        <v>0</v>
      </c>
      <c r="R309" s="301" t="n">
        <f aca="false">IF(SUM(R297:R308)&gt;0,(AE309/G309),0)</f>
        <v>0</v>
      </c>
      <c r="S309" s="301" t="n">
        <f aca="false">IF(SUM(S297:S308)&gt;0,(AF309/G309),0)</f>
        <v>0</v>
      </c>
      <c r="T309" s="301" t="n">
        <f aca="false">IF(SUM(T297:T308)&gt;0,(AG309/G309),0)</f>
        <v>0</v>
      </c>
      <c r="U309" s="301" t="n">
        <f aca="false">IF(SUM(U297:U308)&gt;0,(AJ309/G309),0)</f>
        <v>0</v>
      </c>
      <c r="V309" s="301" t="n">
        <f aca="false">IF(SUM(V297:V308)&gt;0,(AI309/G309),0)</f>
        <v>0</v>
      </c>
      <c r="W309" s="301" t="n">
        <f aca="false">IF(SUM(W297:W308)&gt;0,(AJ309/G309),0)</f>
        <v>0</v>
      </c>
      <c r="X309" s="283"/>
      <c r="Y309" s="304" t="n">
        <f aca="false">SUM(Y297:Y308)</f>
        <v>0</v>
      </c>
      <c r="Z309" s="304" t="n">
        <f aca="false">SUM(Z297:Z308)</f>
        <v>0</v>
      </c>
      <c r="AA309" s="304" t="n">
        <f aca="false">SUM(AA297:AA308)</f>
        <v>0</v>
      </c>
      <c r="AB309" s="304" t="n">
        <f aca="false">SUM(AB297:AB308)</f>
        <v>0</v>
      </c>
      <c r="AC309" s="304" t="n">
        <f aca="false">SUM(AC297:AC308)</f>
        <v>0</v>
      </c>
      <c r="AD309" s="304" t="n">
        <f aca="false">SUM(AD297:AD308)</f>
        <v>0</v>
      </c>
      <c r="AE309" s="304" t="n">
        <f aca="false">SUM(AE297:AE308)</f>
        <v>0</v>
      </c>
      <c r="AF309" s="304" t="n">
        <f aca="false">SUM(AF297:AF308)</f>
        <v>0</v>
      </c>
      <c r="AG309" s="304" t="n">
        <f aca="false">SUM(AG297:AG308)</f>
        <v>0</v>
      </c>
      <c r="AH309" s="304" t="n">
        <f aca="false">SUM(AH297:AH308)</f>
        <v>0</v>
      </c>
      <c r="AI309" s="304" t="n">
        <f aca="false">SUM(AI297:AI308)</f>
        <v>0</v>
      </c>
      <c r="AJ309" s="304" t="n">
        <f aca="false">SUM(AJ297:AJ308)</f>
        <v>0</v>
      </c>
      <c r="AK309" s="335" t="n">
        <f aca="false">SUM(AK297:AK308)</f>
        <v>0</v>
      </c>
      <c r="AL309" s="336" t="n">
        <f aca="false">SUM(AL297:AL308)</f>
        <v>0</v>
      </c>
      <c r="AM309" s="305" t="n">
        <f aca="false">SUM(AM297:AM308)</f>
        <v>0</v>
      </c>
      <c r="AN309" s="283"/>
      <c r="AO309" s="304" t="n">
        <f aca="false">SUM(AO297:AO308)</f>
        <v>0</v>
      </c>
      <c r="AP309" s="304" t="n">
        <f aca="false">SUM(AP297:AP308)</f>
        <v>0</v>
      </c>
      <c r="AQ309" s="304" t="n">
        <f aca="false">SUM(AQ297:AQ308)</f>
        <v>0</v>
      </c>
      <c r="AR309" s="304" t="n">
        <f aca="false">SUM(AR297:AR308)</f>
        <v>0</v>
      </c>
      <c r="AS309" s="304" t="n">
        <f aca="false">SUM(AS297:AS308)</f>
        <v>0</v>
      </c>
      <c r="AT309" s="304" t="n">
        <f aca="false">SUM(AT297:AT308)</f>
        <v>0</v>
      </c>
      <c r="AU309" s="304" t="n">
        <f aca="false">SUM(AU297:AU308)</f>
        <v>0</v>
      </c>
      <c r="AV309" s="304" t="n">
        <f aca="false">SUM(AV297:AV308)</f>
        <v>0</v>
      </c>
      <c r="AW309" s="304" t="n">
        <f aca="false">SUM(AW297:AW308)</f>
        <v>0</v>
      </c>
      <c r="AX309" s="304" t="n">
        <f aca="false">SUM(AX297:AX308)</f>
        <v>0</v>
      </c>
      <c r="AY309" s="304" t="n">
        <f aca="false">SUM(AY297:AY308)</f>
        <v>0</v>
      </c>
      <c r="AZ309" s="304" t="n">
        <f aca="false">SUM(AZ297:AZ308)</f>
        <v>0</v>
      </c>
      <c r="BA309" s="336" t="n">
        <f aca="false">SUM(BA297:BA308)</f>
        <v>0</v>
      </c>
      <c r="BB309" s="336" t="n">
        <f aca="false">SUM(BB297:BB308)</f>
        <v>0</v>
      </c>
      <c r="BC309" s="305" t="n">
        <f aca="false">SUM(BC297:BC308)</f>
        <v>0</v>
      </c>
      <c r="BD309" s="303"/>
      <c r="BE309" s="337"/>
    </row>
    <row r="310" customFormat="false" ht="15" hidden="false" customHeight="true" outlineLevel="0" collapsed="false">
      <c r="B310" s="296"/>
      <c r="D310" s="297"/>
      <c r="E310" s="300"/>
      <c r="F310" s="300"/>
      <c r="G310" s="300"/>
      <c r="H310" s="241"/>
      <c r="I310" s="302"/>
      <c r="J310" s="302"/>
      <c r="K310" s="241"/>
      <c r="L310" s="259"/>
      <c r="M310" s="259"/>
      <c r="N310" s="259"/>
      <c r="O310" s="259"/>
      <c r="P310" s="259"/>
      <c r="Q310" s="259"/>
      <c r="R310" s="259"/>
      <c r="S310" s="259"/>
      <c r="T310" s="259"/>
      <c r="U310" s="259"/>
      <c r="V310" s="259"/>
      <c r="W310" s="259"/>
      <c r="X310" s="303"/>
      <c r="Y310" s="259"/>
      <c r="Z310" s="303"/>
      <c r="AA310" s="303"/>
      <c r="AB310" s="303"/>
      <c r="AC310" s="303"/>
      <c r="AD310" s="303"/>
      <c r="AE310" s="303"/>
      <c r="AF310" s="303"/>
      <c r="AG310" s="303"/>
      <c r="AH310" s="303"/>
      <c r="AI310" s="303"/>
      <c r="AJ310" s="303"/>
      <c r="AK310" s="303"/>
      <c r="AL310" s="303"/>
      <c r="AM310" s="303"/>
      <c r="AN310" s="303"/>
      <c r="AO310" s="259"/>
      <c r="AP310" s="303"/>
      <c r="AQ310" s="303"/>
      <c r="AR310" s="303"/>
      <c r="AS310" s="303"/>
      <c r="AT310" s="303"/>
      <c r="AU310" s="303"/>
      <c r="AV310" s="303"/>
      <c r="AW310" s="303"/>
      <c r="AX310" s="303"/>
      <c r="AY310" s="303"/>
      <c r="AZ310" s="303"/>
      <c r="BA310" s="303"/>
      <c r="BB310" s="303"/>
      <c r="BC310" s="303"/>
      <c r="BD310" s="268"/>
      <c r="BE310" s="303"/>
    </row>
    <row r="311" customFormat="false" ht="15" hidden="false" customHeight="true" outlineLevel="0" collapsed="false">
      <c r="A311" s="198" t="n">
        <f aca="false">A295+1</f>
        <v>20</v>
      </c>
      <c r="B311" s="266" t="s">
        <v>253</v>
      </c>
      <c r="C311" s="266" t="s">
        <v>253</v>
      </c>
      <c r="D311" s="266"/>
      <c r="E311" s="241"/>
      <c r="F311" s="241"/>
      <c r="G311" s="241"/>
      <c r="H311" s="241"/>
      <c r="I311" s="241"/>
      <c r="J311" s="241"/>
      <c r="K311" s="277"/>
      <c r="L311" s="241"/>
      <c r="M311" s="241"/>
      <c r="N311" s="241"/>
      <c r="O311" s="241"/>
      <c r="P311" s="241"/>
      <c r="Q311" s="241"/>
      <c r="R311" s="241"/>
      <c r="S311" s="241"/>
      <c r="T311" s="241"/>
      <c r="U311" s="241"/>
      <c r="V311" s="241"/>
      <c r="W311" s="241"/>
      <c r="X311" s="259"/>
      <c r="Y311" s="268"/>
      <c r="Z311" s="268"/>
      <c r="AA311" s="268"/>
      <c r="AB311" s="268"/>
      <c r="AC311" s="268"/>
      <c r="AD311" s="268"/>
      <c r="AE311" s="268"/>
      <c r="AF311" s="268"/>
      <c r="AG311" s="268"/>
      <c r="AH311" s="268"/>
      <c r="AI311" s="268"/>
      <c r="AJ311" s="268"/>
      <c r="AK311" s="268"/>
      <c r="AL311" s="268"/>
      <c r="AM311" s="268"/>
      <c r="AN311" s="259"/>
      <c r="AO311" s="268"/>
      <c r="AP311" s="268"/>
      <c r="AQ311" s="268"/>
      <c r="AR311" s="268"/>
      <c r="AS311" s="268"/>
      <c r="AT311" s="268"/>
      <c r="AU311" s="268"/>
      <c r="AV311" s="268"/>
      <c r="AW311" s="268"/>
      <c r="AX311" s="268"/>
      <c r="AY311" s="268"/>
      <c r="AZ311" s="268"/>
      <c r="BA311" s="268"/>
      <c r="BB311" s="268"/>
      <c r="BC311" s="268"/>
      <c r="BD311" s="287"/>
      <c r="BE311" s="268"/>
    </row>
    <row r="312" customFormat="false" ht="7.5" hidden="false" customHeight="true" outlineLevel="0" collapsed="false">
      <c r="A312" s="198"/>
      <c r="B312" s="266"/>
      <c r="C312" s="266"/>
      <c r="D312" s="266"/>
      <c r="E312" s="241"/>
      <c r="F312" s="241"/>
      <c r="G312" s="241"/>
      <c r="H312" s="204"/>
      <c r="I312" s="269"/>
      <c r="J312" s="269"/>
      <c r="K312" s="277"/>
      <c r="L312" s="269"/>
      <c r="M312" s="269"/>
      <c r="N312" s="269"/>
      <c r="O312" s="269"/>
      <c r="P312" s="269"/>
      <c r="Q312" s="269"/>
      <c r="R312" s="269"/>
      <c r="S312" s="269"/>
      <c r="T312" s="269"/>
      <c r="U312" s="269"/>
      <c r="V312" s="269"/>
      <c r="W312" s="269"/>
      <c r="X312" s="259"/>
      <c r="Y312" s="271"/>
      <c r="Z312" s="271"/>
      <c r="AA312" s="271"/>
      <c r="AB312" s="271"/>
      <c r="AC312" s="271"/>
      <c r="AD312" s="271"/>
      <c r="AE312" s="271"/>
      <c r="AF312" s="271"/>
      <c r="AG312" s="271"/>
      <c r="AH312" s="271"/>
      <c r="AI312" s="271"/>
      <c r="AJ312" s="272"/>
      <c r="AK312" s="273"/>
      <c r="AL312" s="273"/>
      <c r="AM312" s="273"/>
      <c r="AN312" s="259"/>
      <c r="AO312" s="271"/>
      <c r="AP312" s="271"/>
      <c r="AQ312" s="271"/>
      <c r="AR312" s="271"/>
      <c r="AS312" s="271"/>
      <c r="AT312" s="271"/>
      <c r="AU312" s="271"/>
      <c r="AV312" s="271"/>
      <c r="AW312" s="271"/>
      <c r="AX312" s="271"/>
      <c r="AY312" s="271"/>
      <c r="AZ312" s="272"/>
      <c r="BA312" s="273"/>
      <c r="BB312" s="273"/>
      <c r="BC312" s="273"/>
      <c r="BD312" s="287"/>
      <c r="BE312" s="274"/>
    </row>
    <row r="313" customFormat="false" ht="15" hidden="false" customHeight="true" outlineLevel="0" collapsed="false">
      <c r="B313" s="333"/>
      <c r="C313" s="334"/>
      <c r="D313" s="333" t="n">
        <f aca="false">D297</f>
        <v>45292</v>
      </c>
      <c r="E313" s="277" t="n">
        <v>0</v>
      </c>
      <c r="F313" s="277" t="n">
        <v>0</v>
      </c>
      <c r="G313" s="277" t="n">
        <f aca="false">SUM(E313:F313)</f>
        <v>0</v>
      </c>
      <c r="H313" s="204"/>
      <c r="I313" s="279" t="n">
        <v>1</v>
      </c>
      <c r="J313" s="280" t="n">
        <f aca="false">1-I313</f>
        <v>0</v>
      </c>
      <c r="K313" s="277"/>
      <c r="L313" s="282"/>
      <c r="M313" s="282"/>
      <c r="N313" s="282"/>
      <c r="O313" s="282"/>
      <c r="P313" s="282"/>
      <c r="Q313" s="282"/>
      <c r="R313" s="282"/>
      <c r="S313" s="282"/>
      <c r="T313" s="282"/>
      <c r="U313" s="282"/>
      <c r="V313" s="282"/>
      <c r="W313" s="282"/>
      <c r="X313" s="268"/>
      <c r="Y313" s="284" t="n">
        <f aca="false">IFERROR(L313*$G313*I$9, "")</f>
        <v>0</v>
      </c>
      <c r="Z313" s="284" t="n">
        <f aca="false">IFERROR(M313*$G313*$I313, "")</f>
        <v>0</v>
      </c>
      <c r="AA313" s="284" t="n">
        <f aca="false">IFERROR(N313*$G313*$I313, "")</f>
        <v>0</v>
      </c>
      <c r="AB313" s="284" t="n">
        <f aca="false">IFERROR(O313*$G313*$I313, "")</f>
        <v>0</v>
      </c>
      <c r="AC313" s="284" t="n">
        <f aca="false">IFERROR(P313*$G313*$I313, "")</f>
        <v>0</v>
      </c>
      <c r="AD313" s="284" t="n">
        <f aca="false">IFERROR(Q313*$G313*$I313, "")</f>
        <v>0</v>
      </c>
      <c r="AE313" s="284" t="n">
        <f aca="false">IFERROR(R313*$G313*$I313, "")</f>
        <v>0</v>
      </c>
      <c r="AF313" s="284" t="n">
        <f aca="false">IFERROR(S313*$G313*$I313, "")</f>
        <v>0</v>
      </c>
      <c r="AG313" s="284" t="n">
        <f aca="false">IFERROR(T313*$G313*$I313, "")</f>
        <v>0</v>
      </c>
      <c r="AH313" s="284" t="n">
        <f aca="false">IFERROR(U313*$G313*$I313, "")</f>
        <v>0</v>
      </c>
      <c r="AI313" s="284" t="n">
        <f aca="false">IFERROR(V313*$G313*$I313, "")</f>
        <v>0</v>
      </c>
      <c r="AJ313" s="284" t="n">
        <f aca="false">IFERROR(W313*$G313*$I313, "")</f>
        <v>0</v>
      </c>
      <c r="AK313" s="286" t="n">
        <f aca="false">IFERROR(SUMIF($Y$4:$AJ$4, "RDEC", Y313:AJ313), "")</f>
        <v>0</v>
      </c>
      <c r="AL313" s="286" t="n">
        <f aca="false">IFERROR(SUMIF($Y$4:$AJ$4, "SME", Y313:AJ313), "")</f>
        <v>0</v>
      </c>
      <c r="AM313" s="286" t="n">
        <f aca="false">IFERROR(SUMIF($Y$4:$AJ$4, "De Minimis", Y313:AJ313), "")</f>
        <v>0</v>
      </c>
      <c r="AN313" s="268"/>
      <c r="AO313" s="284" t="n">
        <f aca="false">IFERROR($G313*$J313*L313, "")</f>
        <v>0</v>
      </c>
      <c r="AP313" s="284" t="n">
        <f aca="false">IFERROR($G313*$J313*M313, "")</f>
        <v>0</v>
      </c>
      <c r="AQ313" s="284" t="n">
        <f aca="false">IFERROR($G313*$J313*N313, "")</f>
        <v>0</v>
      </c>
      <c r="AR313" s="284" t="n">
        <f aca="false">IFERROR($G313*$J313*O313, "")</f>
        <v>0</v>
      </c>
      <c r="AS313" s="284" t="n">
        <f aca="false">IFERROR($G313*$J313*P313, "")</f>
        <v>0</v>
      </c>
      <c r="AT313" s="284" t="n">
        <f aca="false">IFERROR($G313*$J313*Q313, "")</f>
        <v>0</v>
      </c>
      <c r="AU313" s="284" t="n">
        <f aca="false">IFERROR($G313*$J313*R313, "")</f>
        <v>0</v>
      </c>
      <c r="AV313" s="284" t="n">
        <f aca="false">IFERROR($G313*$J313*S313, "")</f>
        <v>0</v>
      </c>
      <c r="AW313" s="284" t="n">
        <f aca="false">IFERROR($G313*$J313*T313, "")</f>
        <v>0</v>
      </c>
      <c r="AX313" s="284" t="n">
        <f aca="false">IFERROR($G313*$J313*U313, "")</f>
        <v>0</v>
      </c>
      <c r="AY313" s="284" t="n">
        <f aca="false">IFERROR($G313*$J313*V313, "")</f>
        <v>0</v>
      </c>
      <c r="AZ313" s="284" t="n">
        <f aca="false">IFERROR($G313*$J313*W313, "")</f>
        <v>0</v>
      </c>
      <c r="BA313" s="286" t="n">
        <f aca="false">IFERROR(SUMIF($AO$4:$AZ$4, "RDEC", AO313:AZ313), "")</f>
        <v>0</v>
      </c>
      <c r="BB313" s="286" t="n">
        <f aca="false">IFERROR(SUMIF($AO$4:$AZ$4, "SME", AO313:AZ313), "")</f>
        <v>0</v>
      </c>
      <c r="BC313" s="286" t="n">
        <f aca="false">IFERROR(SUMIF($AO$4:$AZ$4, "De Minimis", AO313:AZ313), "")</f>
        <v>0</v>
      </c>
      <c r="BD313" s="287"/>
      <c r="BE313" s="288" t="str">
        <f aca="false">IF((SUM(L313:W313)&gt;1),"ERROR","")</f>
        <v/>
      </c>
    </row>
    <row r="314" customFormat="false" ht="15" hidden="false" customHeight="true" outlineLevel="0" collapsed="false">
      <c r="B314" s="333"/>
      <c r="C314" s="334"/>
      <c r="D314" s="333" t="n">
        <f aca="false">D298</f>
        <v>45323</v>
      </c>
      <c r="E314" s="277" t="n">
        <v>0</v>
      </c>
      <c r="F314" s="277" t="n">
        <v>0</v>
      </c>
      <c r="G314" s="277" t="n">
        <f aca="false">SUM(E314:F314)</f>
        <v>0</v>
      </c>
      <c r="H314" s="204"/>
      <c r="I314" s="279" t="n">
        <v>1</v>
      </c>
      <c r="J314" s="280" t="n">
        <f aca="false">1-I314</f>
        <v>0</v>
      </c>
      <c r="K314" s="277"/>
      <c r="L314" s="282"/>
      <c r="M314" s="282"/>
      <c r="N314" s="282"/>
      <c r="O314" s="282"/>
      <c r="P314" s="282"/>
      <c r="Q314" s="282"/>
      <c r="R314" s="282"/>
      <c r="S314" s="282"/>
      <c r="T314" s="282"/>
      <c r="U314" s="282"/>
      <c r="V314" s="282"/>
      <c r="W314" s="282"/>
      <c r="X314" s="283"/>
      <c r="Y314" s="284" t="n">
        <f aca="false">IFERROR(L314*$G314*I$9, "")</f>
        <v>0</v>
      </c>
      <c r="Z314" s="284" t="n">
        <f aca="false">IFERROR(M314*$G314*$I314, "")</f>
        <v>0</v>
      </c>
      <c r="AA314" s="284" t="n">
        <f aca="false">IFERROR(N314*$G314*$I314, "")</f>
        <v>0</v>
      </c>
      <c r="AB314" s="284" t="n">
        <f aca="false">IFERROR(O314*$G314*$I314, "")</f>
        <v>0</v>
      </c>
      <c r="AC314" s="284" t="n">
        <f aca="false">IFERROR(P314*$G314*$I314, "")</f>
        <v>0</v>
      </c>
      <c r="AD314" s="284" t="n">
        <f aca="false">IFERROR(Q314*$G314*$I314, "")</f>
        <v>0</v>
      </c>
      <c r="AE314" s="284" t="n">
        <f aca="false">IFERROR(R314*$G314*$I314, "")</f>
        <v>0</v>
      </c>
      <c r="AF314" s="284" t="n">
        <f aca="false">IFERROR(S314*$G314*$I314, "")</f>
        <v>0</v>
      </c>
      <c r="AG314" s="284" t="n">
        <f aca="false">IFERROR(T314*$G314*$I314, "")</f>
        <v>0</v>
      </c>
      <c r="AH314" s="284" t="n">
        <f aca="false">IFERROR(U314*$G314*$I314, "")</f>
        <v>0</v>
      </c>
      <c r="AI314" s="284" t="n">
        <f aca="false">IFERROR(V314*$G314*$I314, "")</f>
        <v>0</v>
      </c>
      <c r="AJ314" s="284" t="n">
        <f aca="false">IFERROR(W314*$G314*$I314, "")</f>
        <v>0</v>
      </c>
      <c r="AK314" s="286" t="n">
        <f aca="false">IFERROR(SUMIF($Y$4:$AJ$4, "RDEC", Y314:AJ314), "")</f>
        <v>0</v>
      </c>
      <c r="AL314" s="286" t="n">
        <f aca="false">IFERROR(SUMIF($Y$4:$AJ$4, "SME", Y314:AJ314), "")</f>
        <v>0</v>
      </c>
      <c r="AM314" s="286" t="n">
        <f aca="false">IFERROR(SUMIF($Y$4:$AJ$4, "De Minimis", Y314:AJ314), "")</f>
        <v>0</v>
      </c>
      <c r="AN314" s="283"/>
      <c r="AO314" s="284" t="n">
        <f aca="false">IFERROR($G314*$J314*L314, "")</f>
        <v>0</v>
      </c>
      <c r="AP314" s="284" t="n">
        <f aca="false">IFERROR($G314*$J314*M314, "")</f>
        <v>0</v>
      </c>
      <c r="AQ314" s="284" t="n">
        <f aca="false">IFERROR($G314*$J314*N314, "")</f>
        <v>0</v>
      </c>
      <c r="AR314" s="284" t="n">
        <f aca="false">IFERROR($G314*$J314*O314, "")</f>
        <v>0</v>
      </c>
      <c r="AS314" s="284" t="n">
        <f aca="false">IFERROR($G314*$J314*P314, "")</f>
        <v>0</v>
      </c>
      <c r="AT314" s="284" t="n">
        <f aca="false">IFERROR($G314*$J314*Q314, "")</f>
        <v>0</v>
      </c>
      <c r="AU314" s="284" t="n">
        <f aca="false">IFERROR($G314*$J314*R314, "")</f>
        <v>0</v>
      </c>
      <c r="AV314" s="284" t="n">
        <f aca="false">IFERROR($G314*$J314*S314, "")</f>
        <v>0</v>
      </c>
      <c r="AW314" s="284" t="n">
        <f aca="false">IFERROR($G314*$J314*T314, "")</f>
        <v>0</v>
      </c>
      <c r="AX314" s="284" t="n">
        <f aca="false">IFERROR($G314*$J314*U314, "")</f>
        <v>0</v>
      </c>
      <c r="AY314" s="284" t="n">
        <f aca="false">IFERROR($G314*$J314*V314, "")</f>
        <v>0</v>
      </c>
      <c r="AZ314" s="284" t="n">
        <f aca="false">IFERROR($G314*$J314*W314, "")</f>
        <v>0</v>
      </c>
      <c r="BA314" s="286" t="n">
        <f aca="false">IFERROR(SUMIF($AO$4:$AZ$4, "RDEC", AO314:AZ314), "")</f>
        <v>0</v>
      </c>
      <c r="BB314" s="286" t="n">
        <f aca="false">IFERROR(SUMIF($AO$4:$AZ$4, "SME", AO314:AZ314), "")</f>
        <v>0</v>
      </c>
      <c r="BC314" s="286" t="n">
        <f aca="false">IFERROR(SUMIF($Y$4:$AJ$4, "De Minimis", AO314:AZ314), "")</f>
        <v>0</v>
      </c>
      <c r="BD314" s="287"/>
      <c r="BE314" s="288" t="str">
        <f aca="false">IF((SUM(L314:W314)&gt;1),"ERROR","")</f>
        <v/>
      </c>
    </row>
    <row r="315" customFormat="false" ht="15" hidden="false" customHeight="true" outlineLevel="0" collapsed="false">
      <c r="B315" s="333"/>
      <c r="C315" s="334"/>
      <c r="D315" s="333" t="n">
        <f aca="false">D299</f>
        <v>45352</v>
      </c>
      <c r="E315" s="277" t="n">
        <v>0</v>
      </c>
      <c r="F315" s="277" t="n">
        <v>0</v>
      </c>
      <c r="G315" s="277" t="n">
        <f aca="false">SUM(E315:F315)</f>
        <v>0</v>
      </c>
      <c r="H315" s="204"/>
      <c r="I315" s="279" t="n">
        <v>1</v>
      </c>
      <c r="J315" s="280" t="n">
        <f aca="false">1-I315</f>
        <v>0</v>
      </c>
      <c r="K315" s="277"/>
      <c r="L315" s="282"/>
      <c r="M315" s="282"/>
      <c r="N315" s="282"/>
      <c r="O315" s="282"/>
      <c r="P315" s="282"/>
      <c r="Q315" s="282"/>
      <c r="R315" s="282"/>
      <c r="S315" s="282"/>
      <c r="T315" s="282"/>
      <c r="U315" s="282"/>
      <c r="V315" s="282"/>
      <c r="W315" s="282"/>
      <c r="X315" s="283"/>
      <c r="Y315" s="284" t="n">
        <f aca="false">IFERROR(L315*$G315*I$9, "")</f>
        <v>0</v>
      </c>
      <c r="Z315" s="284" t="n">
        <f aca="false">IFERROR(M315*$G315*$I315, "")</f>
        <v>0</v>
      </c>
      <c r="AA315" s="284" t="n">
        <f aca="false">IFERROR(N315*$G315*$I315, "")</f>
        <v>0</v>
      </c>
      <c r="AB315" s="284" t="n">
        <f aca="false">IFERROR(O315*$G315*$I315, "")</f>
        <v>0</v>
      </c>
      <c r="AC315" s="284" t="n">
        <f aca="false">IFERROR(P315*$G315*$I315, "")</f>
        <v>0</v>
      </c>
      <c r="AD315" s="284" t="n">
        <f aca="false">IFERROR(Q315*$G315*$I315, "")</f>
        <v>0</v>
      </c>
      <c r="AE315" s="284" t="n">
        <f aca="false">IFERROR(R315*$G315*$I315, "")</f>
        <v>0</v>
      </c>
      <c r="AF315" s="284" t="n">
        <f aca="false">IFERROR(S315*$G315*$I315, "")</f>
        <v>0</v>
      </c>
      <c r="AG315" s="284" t="n">
        <f aca="false">IFERROR(T315*$G315*$I315, "")</f>
        <v>0</v>
      </c>
      <c r="AH315" s="284" t="n">
        <f aca="false">IFERROR(U315*$G315*$I315, "")</f>
        <v>0</v>
      </c>
      <c r="AI315" s="284" t="n">
        <f aca="false">IFERROR(V315*$G315*$I315, "")</f>
        <v>0</v>
      </c>
      <c r="AJ315" s="284" t="n">
        <f aca="false">IFERROR(W315*$G315*$I315, "")</f>
        <v>0</v>
      </c>
      <c r="AK315" s="286" t="n">
        <f aca="false">IFERROR(SUMIF($Y$4:$AJ$4, "RDEC", Y315:AJ315), "")</f>
        <v>0</v>
      </c>
      <c r="AL315" s="286" t="n">
        <f aca="false">IFERROR(SUMIF($Y$4:$AJ$4, "SME", Y315:AJ315), "")</f>
        <v>0</v>
      </c>
      <c r="AM315" s="286" t="n">
        <f aca="false">IFERROR(SUMIF($Y$4:$AJ$4, "De Minimis", Y315:AJ315), "")</f>
        <v>0</v>
      </c>
      <c r="AN315" s="283"/>
      <c r="AO315" s="284" t="n">
        <f aca="false">IFERROR($G315*$J315*L315, "")</f>
        <v>0</v>
      </c>
      <c r="AP315" s="284" t="n">
        <f aca="false">IFERROR($G315*$J315*M315, "")</f>
        <v>0</v>
      </c>
      <c r="AQ315" s="284" t="n">
        <f aca="false">IFERROR($G315*$J315*N315, "")</f>
        <v>0</v>
      </c>
      <c r="AR315" s="284" t="n">
        <f aca="false">IFERROR($G315*$J315*O315, "")</f>
        <v>0</v>
      </c>
      <c r="AS315" s="284" t="n">
        <f aca="false">IFERROR($G315*$J315*P315, "")</f>
        <v>0</v>
      </c>
      <c r="AT315" s="284" t="n">
        <f aca="false">IFERROR($G315*$J315*Q315, "")</f>
        <v>0</v>
      </c>
      <c r="AU315" s="284" t="n">
        <f aca="false">IFERROR($G315*$J315*R315, "")</f>
        <v>0</v>
      </c>
      <c r="AV315" s="284" t="n">
        <f aca="false">IFERROR($G315*$J315*S315, "")</f>
        <v>0</v>
      </c>
      <c r="AW315" s="284" t="n">
        <f aca="false">IFERROR($G315*$J315*T315, "")</f>
        <v>0</v>
      </c>
      <c r="AX315" s="284" t="n">
        <f aca="false">IFERROR($G315*$J315*U315, "")</f>
        <v>0</v>
      </c>
      <c r="AY315" s="284" t="n">
        <f aca="false">IFERROR($G315*$J315*V315, "")</f>
        <v>0</v>
      </c>
      <c r="AZ315" s="284" t="n">
        <f aca="false">IFERROR($G315*$J315*W315, "")</f>
        <v>0</v>
      </c>
      <c r="BA315" s="286" t="n">
        <f aca="false">IFERROR(SUMIF($AO$4:$AZ$4, "RDEC", AO315:AZ315), "")</f>
        <v>0</v>
      </c>
      <c r="BB315" s="286" t="n">
        <f aca="false">IFERROR(SUMIF($AO$4:$AZ$4, "SME", AO315:AZ315), "")</f>
        <v>0</v>
      </c>
      <c r="BC315" s="286" t="n">
        <f aca="false">IFERROR(SUMIF($Y$4:$AJ$4, "De Minimis", AO315:AZ315), "")</f>
        <v>0</v>
      </c>
      <c r="BD315" s="287"/>
      <c r="BE315" s="288" t="str">
        <f aca="false">IF((SUM(L315:W315)&gt;1),"ERROR","")</f>
        <v/>
      </c>
    </row>
    <row r="316" customFormat="false" ht="15" hidden="false" customHeight="true" outlineLevel="0" collapsed="false">
      <c r="B316" s="333"/>
      <c r="C316" s="334"/>
      <c r="D316" s="333" t="n">
        <f aca="false">D300</f>
        <v>45383</v>
      </c>
      <c r="E316" s="277" t="n">
        <v>0</v>
      </c>
      <c r="F316" s="277" t="n">
        <v>0</v>
      </c>
      <c r="G316" s="277" t="n">
        <f aca="false">SUM(E316:F316)</f>
        <v>0</v>
      </c>
      <c r="H316" s="204"/>
      <c r="I316" s="279" t="n">
        <v>1</v>
      </c>
      <c r="J316" s="280" t="n">
        <f aca="false">1-I316</f>
        <v>0</v>
      </c>
      <c r="K316" s="277"/>
      <c r="L316" s="282"/>
      <c r="M316" s="282"/>
      <c r="N316" s="282"/>
      <c r="O316" s="282"/>
      <c r="P316" s="282"/>
      <c r="Q316" s="282"/>
      <c r="R316" s="282"/>
      <c r="S316" s="282"/>
      <c r="T316" s="282"/>
      <c r="U316" s="282"/>
      <c r="V316" s="282"/>
      <c r="W316" s="282"/>
      <c r="X316" s="283"/>
      <c r="Y316" s="284" t="n">
        <f aca="false">IFERROR(L316*$G316*I$9, "")</f>
        <v>0</v>
      </c>
      <c r="Z316" s="284" t="n">
        <f aca="false">IFERROR(M316*$G316*$I316, "")</f>
        <v>0</v>
      </c>
      <c r="AA316" s="284" t="n">
        <f aca="false">IFERROR(N316*$G316*$I316, "")</f>
        <v>0</v>
      </c>
      <c r="AB316" s="284" t="n">
        <f aca="false">IFERROR(O316*$G316*$I316, "")</f>
        <v>0</v>
      </c>
      <c r="AC316" s="284" t="n">
        <f aca="false">IFERROR(P316*$G316*$I316, "")</f>
        <v>0</v>
      </c>
      <c r="AD316" s="284" t="n">
        <f aca="false">IFERROR(Q316*$G316*$I316, "")</f>
        <v>0</v>
      </c>
      <c r="AE316" s="284" t="n">
        <f aca="false">IFERROR(R316*$G316*$I316, "")</f>
        <v>0</v>
      </c>
      <c r="AF316" s="284" t="n">
        <f aca="false">IFERROR(S316*$G316*$I316, "")</f>
        <v>0</v>
      </c>
      <c r="AG316" s="284" t="n">
        <f aca="false">IFERROR(T316*$G316*$I316, "")</f>
        <v>0</v>
      </c>
      <c r="AH316" s="284" t="n">
        <f aca="false">IFERROR(U316*$G316*$I316, "")</f>
        <v>0</v>
      </c>
      <c r="AI316" s="284" t="n">
        <f aca="false">IFERROR(V316*$G316*$I316, "")</f>
        <v>0</v>
      </c>
      <c r="AJ316" s="284" t="n">
        <f aca="false">IFERROR(W316*$G316*$I316, "")</f>
        <v>0</v>
      </c>
      <c r="AK316" s="286" t="n">
        <f aca="false">IFERROR(SUMIF($Y$4:$AJ$4, "RDEC", Y316:AJ316), "")</f>
        <v>0</v>
      </c>
      <c r="AL316" s="286" t="n">
        <f aca="false">IFERROR(SUMIF($Y$4:$AJ$4, "SME", Y316:AJ316), "")</f>
        <v>0</v>
      </c>
      <c r="AM316" s="286" t="n">
        <f aca="false">IFERROR(SUMIF($Y$4:$AJ$4, "De Minimis", Y316:AJ316), "")</f>
        <v>0</v>
      </c>
      <c r="AN316" s="283"/>
      <c r="AO316" s="284" t="n">
        <f aca="false">IFERROR($G316*$J316*L316, "")</f>
        <v>0</v>
      </c>
      <c r="AP316" s="284" t="n">
        <f aca="false">IFERROR($G316*$J316*M316, "")</f>
        <v>0</v>
      </c>
      <c r="AQ316" s="284" t="n">
        <f aca="false">IFERROR($G316*$J316*N316, "")</f>
        <v>0</v>
      </c>
      <c r="AR316" s="284" t="n">
        <f aca="false">IFERROR($G316*$J316*O316, "")</f>
        <v>0</v>
      </c>
      <c r="AS316" s="284" t="n">
        <f aca="false">IFERROR($G316*$J316*P316, "")</f>
        <v>0</v>
      </c>
      <c r="AT316" s="284" t="n">
        <f aca="false">IFERROR($G316*$J316*Q316, "")</f>
        <v>0</v>
      </c>
      <c r="AU316" s="284" t="n">
        <f aca="false">IFERROR($G316*$J316*R316, "")</f>
        <v>0</v>
      </c>
      <c r="AV316" s="284" t="n">
        <f aca="false">IFERROR($G316*$J316*S316, "")</f>
        <v>0</v>
      </c>
      <c r="AW316" s="284" t="n">
        <f aca="false">IFERROR($G316*$J316*T316, "")</f>
        <v>0</v>
      </c>
      <c r="AX316" s="284" t="n">
        <f aca="false">IFERROR($G316*$J316*U316, "")</f>
        <v>0</v>
      </c>
      <c r="AY316" s="284" t="n">
        <f aca="false">IFERROR($G316*$J316*V316, "")</f>
        <v>0</v>
      </c>
      <c r="AZ316" s="284" t="n">
        <f aca="false">IFERROR($G316*$J316*W316, "")</f>
        <v>0</v>
      </c>
      <c r="BA316" s="286" t="n">
        <f aca="false">IFERROR(SUMIF($AO$4:$AZ$4, "RDEC", AO316:AZ316), "")</f>
        <v>0</v>
      </c>
      <c r="BB316" s="286" t="n">
        <f aca="false">IFERROR(SUMIF($AO$4:$AZ$4, "SME", AO316:AZ316), "")</f>
        <v>0</v>
      </c>
      <c r="BC316" s="286" t="n">
        <f aca="false">IFERROR(SUMIF($Y$4:$AJ$4, "De Minimis", AO316:AZ316), "")</f>
        <v>0</v>
      </c>
      <c r="BD316" s="287"/>
      <c r="BE316" s="288" t="str">
        <f aca="false">IF((SUM(L316:W316)&gt;1),"ERROR","")</f>
        <v/>
      </c>
    </row>
    <row r="317" customFormat="false" ht="15" hidden="false" customHeight="true" outlineLevel="0" collapsed="false">
      <c r="B317" s="333"/>
      <c r="C317" s="334"/>
      <c r="D317" s="333" t="n">
        <f aca="false">D301</f>
        <v>45413</v>
      </c>
      <c r="E317" s="277" t="n">
        <v>0</v>
      </c>
      <c r="F317" s="277" t="n">
        <v>0</v>
      </c>
      <c r="G317" s="277" t="n">
        <f aca="false">SUM(E317:F317)</f>
        <v>0</v>
      </c>
      <c r="H317" s="204"/>
      <c r="I317" s="279" t="n">
        <v>1</v>
      </c>
      <c r="J317" s="280" t="n">
        <f aca="false">1-I317</f>
        <v>0</v>
      </c>
      <c r="K317" s="277"/>
      <c r="L317" s="282"/>
      <c r="M317" s="282"/>
      <c r="N317" s="282"/>
      <c r="O317" s="282"/>
      <c r="P317" s="282"/>
      <c r="Q317" s="282"/>
      <c r="R317" s="282"/>
      <c r="S317" s="282"/>
      <c r="T317" s="282"/>
      <c r="U317" s="282"/>
      <c r="V317" s="282"/>
      <c r="W317" s="282"/>
      <c r="X317" s="283"/>
      <c r="Y317" s="284" t="n">
        <f aca="false">IFERROR(L317*$G317*I$9, "")</f>
        <v>0</v>
      </c>
      <c r="Z317" s="284" t="n">
        <f aca="false">IFERROR(M317*$G317*$I317, "")</f>
        <v>0</v>
      </c>
      <c r="AA317" s="284" t="n">
        <f aca="false">IFERROR(N317*$G317*$I317, "")</f>
        <v>0</v>
      </c>
      <c r="AB317" s="284" t="n">
        <f aca="false">IFERROR(O317*$G317*$I317, "")</f>
        <v>0</v>
      </c>
      <c r="AC317" s="284" t="n">
        <f aca="false">IFERROR(P317*$G317*$I317, "")</f>
        <v>0</v>
      </c>
      <c r="AD317" s="284" t="n">
        <f aca="false">IFERROR(Q317*$G317*$I317, "")</f>
        <v>0</v>
      </c>
      <c r="AE317" s="284" t="n">
        <f aca="false">IFERROR(R317*$G317*$I317, "")</f>
        <v>0</v>
      </c>
      <c r="AF317" s="284" t="n">
        <f aca="false">IFERROR(S317*$G317*$I317, "")</f>
        <v>0</v>
      </c>
      <c r="AG317" s="284" t="n">
        <f aca="false">IFERROR(T317*$G317*$I317, "")</f>
        <v>0</v>
      </c>
      <c r="AH317" s="284" t="n">
        <f aca="false">IFERROR(U317*$G317*$I317, "")</f>
        <v>0</v>
      </c>
      <c r="AI317" s="284" t="n">
        <f aca="false">IFERROR(V317*$G317*$I317, "")</f>
        <v>0</v>
      </c>
      <c r="AJ317" s="284" t="n">
        <f aca="false">IFERROR(W317*$G317*$I317, "")</f>
        <v>0</v>
      </c>
      <c r="AK317" s="286" t="n">
        <f aca="false">IFERROR(SUMIF($Y$4:$AJ$4, "RDEC", Y317:AJ317), "")</f>
        <v>0</v>
      </c>
      <c r="AL317" s="286" t="n">
        <f aca="false">IFERROR(SUMIF($Y$4:$AJ$4, "SME", Y317:AJ317), "")</f>
        <v>0</v>
      </c>
      <c r="AM317" s="286" t="n">
        <f aca="false">IFERROR(SUMIF($Y$4:$AJ$4, "De Minimis", Y317:AJ317), "")</f>
        <v>0</v>
      </c>
      <c r="AN317" s="283"/>
      <c r="AO317" s="284" t="n">
        <f aca="false">IFERROR($G317*$J317*L317, "")</f>
        <v>0</v>
      </c>
      <c r="AP317" s="284" t="n">
        <f aca="false">IFERROR($G317*$J317*M317, "")</f>
        <v>0</v>
      </c>
      <c r="AQ317" s="284" t="n">
        <f aca="false">IFERROR($G317*$J317*N317, "")</f>
        <v>0</v>
      </c>
      <c r="AR317" s="284" t="n">
        <f aca="false">IFERROR($G317*$J317*O317, "")</f>
        <v>0</v>
      </c>
      <c r="AS317" s="284" t="n">
        <f aca="false">IFERROR($G317*$J317*P317, "")</f>
        <v>0</v>
      </c>
      <c r="AT317" s="284" t="n">
        <f aca="false">IFERROR($G317*$J317*Q317, "")</f>
        <v>0</v>
      </c>
      <c r="AU317" s="284" t="n">
        <f aca="false">IFERROR($G317*$J317*R317, "")</f>
        <v>0</v>
      </c>
      <c r="AV317" s="284" t="n">
        <f aca="false">IFERROR($G317*$J317*S317, "")</f>
        <v>0</v>
      </c>
      <c r="AW317" s="284" t="n">
        <f aca="false">IFERROR($G317*$J317*T317, "")</f>
        <v>0</v>
      </c>
      <c r="AX317" s="284" t="n">
        <f aca="false">IFERROR($G317*$J317*U317, "")</f>
        <v>0</v>
      </c>
      <c r="AY317" s="284" t="n">
        <f aca="false">IFERROR($G317*$J317*V317, "")</f>
        <v>0</v>
      </c>
      <c r="AZ317" s="284" t="n">
        <f aca="false">IFERROR($G317*$J317*W317, "")</f>
        <v>0</v>
      </c>
      <c r="BA317" s="286" t="n">
        <f aca="false">IFERROR(SUMIF($AO$4:$AZ$4, "RDEC", AO317:AZ317), "")</f>
        <v>0</v>
      </c>
      <c r="BB317" s="286" t="n">
        <f aca="false">IFERROR(SUMIF($AO$4:$AZ$4, "SME", AO317:AZ317), "")</f>
        <v>0</v>
      </c>
      <c r="BC317" s="286" t="n">
        <f aca="false">IFERROR(SUMIF($Y$4:$AJ$4, "De Minimis", AO317:AZ317), "")</f>
        <v>0</v>
      </c>
      <c r="BD317" s="287"/>
      <c r="BE317" s="288" t="str">
        <f aca="false">IF((SUM(L317:W317)&gt;1),"ERROR","")</f>
        <v/>
      </c>
    </row>
    <row r="318" customFormat="false" ht="15" hidden="false" customHeight="true" outlineLevel="0" collapsed="false">
      <c r="B318" s="333"/>
      <c r="C318" s="334"/>
      <c r="D318" s="333" t="n">
        <f aca="false">D302</f>
        <v>45444</v>
      </c>
      <c r="E318" s="277" t="n">
        <v>0</v>
      </c>
      <c r="F318" s="277" t="n">
        <v>0</v>
      </c>
      <c r="G318" s="277" t="n">
        <f aca="false">SUM(E318:F318)</f>
        <v>0</v>
      </c>
      <c r="H318" s="204"/>
      <c r="I318" s="279" t="n">
        <v>1</v>
      </c>
      <c r="J318" s="280" t="n">
        <f aca="false">1-I318</f>
        <v>0</v>
      </c>
      <c r="K318" s="277"/>
      <c r="L318" s="282"/>
      <c r="M318" s="282"/>
      <c r="N318" s="282"/>
      <c r="O318" s="282"/>
      <c r="P318" s="282"/>
      <c r="Q318" s="282"/>
      <c r="R318" s="282"/>
      <c r="S318" s="282"/>
      <c r="T318" s="282"/>
      <c r="U318" s="282"/>
      <c r="V318" s="282"/>
      <c r="W318" s="282"/>
      <c r="X318" s="283"/>
      <c r="Y318" s="284" t="n">
        <f aca="false">IFERROR(L318*$G318*I$9, "")</f>
        <v>0</v>
      </c>
      <c r="Z318" s="284" t="n">
        <f aca="false">IFERROR(M318*$G318*$I318, "")</f>
        <v>0</v>
      </c>
      <c r="AA318" s="284" t="n">
        <f aca="false">IFERROR(N318*$G318*$I318, "")</f>
        <v>0</v>
      </c>
      <c r="AB318" s="284" t="n">
        <f aca="false">IFERROR(O318*$G318*$I318, "")</f>
        <v>0</v>
      </c>
      <c r="AC318" s="284" t="n">
        <f aca="false">IFERROR(P318*$G318*$I318, "")</f>
        <v>0</v>
      </c>
      <c r="AD318" s="284" t="n">
        <f aca="false">IFERROR(Q318*$G318*$I318, "")</f>
        <v>0</v>
      </c>
      <c r="AE318" s="284" t="n">
        <f aca="false">IFERROR(R318*$G318*$I318, "")</f>
        <v>0</v>
      </c>
      <c r="AF318" s="284" t="n">
        <f aca="false">IFERROR(S318*$G318*$I318, "")</f>
        <v>0</v>
      </c>
      <c r="AG318" s="284" t="n">
        <f aca="false">IFERROR(T318*$G318*$I318, "")</f>
        <v>0</v>
      </c>
      <c r="AH318" s="284" t="n">
        <f aca="false">IFERROR(U318*$G318*$I318, "")</f>
        <v>0</v>
      </c>
      <c r="AI318" s="284" t="n">
        <f aca="false">IFERROR(V318*$G318*$I318, "")</f>
        <v>0</v>
      </c>
      <c r="AJ318" s="284" t="n">
        <f aca="false">IFERROR(W318*$G318*$I318, "")</f>
        <v>0</v>
      </c>
      <c r="AK318" s="286" t="n">
        <f aca="false">IFERROR(SUMIF($Y$4:$AJ$4, "RDEC", Y318:AJ318), "")</f>
        <v>0</v>
      </c>
      <c r="AL318" s="286" t="n">
        <f aca="false">IFERROR(SUMIF($Y$4:$AJ$4, "SME", Y318:AJ318), "")</f>
        <v>0</v>
      </c>
      <c r="AM318" s="286" t="n">
        <f aca="false">IFERROR(SUMIF($Y$4:$AJ$4, "De Minimis", Y318:AJ318), "")</f>
        <v>0</v>
      </c>
      <c r="AN318" s="283"/>
      <c r="AO318" s="284" t="n">
        <f aca="false">IFERROR($G318*$J318*L318, "")</f>
        <v>0</v>
      </c>
      <c r="AP318" s="284" t="n">
        <f aca="false">IFERROR($G318*$J318*M318, "")</f>
        <v>0</v>
      </c>
      <c r="AQ318" s="284" t="n">
        <f aca="false">IFERROR($G318*$J318*N318, "")</f>
        <v>0</v>
      </c>
      <c r="AR318" s="284" t="n">
        <f aca="false">IFERROR($G318*$J318*O318, "")</f>
        <v>0</v>
      </c>
      <c r="AS318" s="284" t="n">
        <f aca="false">IFERROR($G318*$J318*P318, "")</f>
        <v>0</v>
      </c>
      <c r="AT318" s="284" t="n">
        <f aca="false">IFERROR($G318*$J318*Q318, "")</f>
        <v>0</v>
      </c>
      <c r="AU318" s="284" t="n">
        <f aca="false">IFERROR($G318*$J318*R318, "")</f>
        <v>0</v>
      </c>
      <c r="AV318" s="284" t="n">
        <f aca="false">IFERROR($G318*$J318*S318, "")</f>
        <v>0</v>
      </c>
      <c r="AW318" s="284" t="n">
        <f aca="false">IFERROR($G318*$J318*T318, "")</f>
        <v>0</v>
      </c>
      <c r="AX318" s="284" t="n">
        <f aca="false">IFERROR($G318*$J318*U318, "")</f>
        <v>0</v>
      </c>
      <c r="AY318" s="284" t="n">
        <f aca="false">IFERROR($G318*$J318*V318, "")</f>
        <v>0</v>
      </c>
      <c r="AZ318" s="284" t="n">
        <f aca="false">IFERROR($G318*$J318*W318, "")</f>
        <v>0</v>
      </c>
      <c r="BA318" s="286" t="n">
        <f aca="false">IFERROR(SUMIF($AO$4:$AZ$4, "RDEC", AO318:AZ318), "")</f>
        <v>0</v>
      </c>
      <c r="BB318" s="286" t="n">
        <f aca="false">IFERROR(SUMIF($AO$4:$AZ$4, "SME", AO318:AZ318), "")</f>
        <v>0</v>
      </c>
      <c r="BC318" s="286" t="n">
        <f aca="false">IFERROR(SUMIF($Y$4:$AJ$4, "De Minimis", AO318:AZ318), "")</f>
        <v>0</v>
      </c>
      <c r="BD318" s="287"/>
      <c r="BE318" s="288" t="str">
        <f aca="false">IF((SUM(L318:W318)&gt;1),"ERROR","")</f>
        <v/>
      </c>
    </row>
    <row r="319" customFormat="false" ht="15" hidden="false" customHeight="true" outlineLevel="0" collapsed="false">
      <c r="B319" s="333"/>
      <c r="C319" s="334"/>
      <c r="D319" s="333" t="n">
        <f aca="false">D303</f>
        <v>45474</v>
      </c>
      <c r="E319" s="277" t="n">
        <v>0</v>
      </c>
      <c r="F319" s="277" t="n">
        <v>0</v>
      </c>
      <c r="G319" s="277" t="n">
        <f aca="false">SUM(E319:F319)</f>
        <v>0</v>
      </c>
      <c r="H319" s="204"/>
      <c r="I319" s="279" t="n">
        <v>1</v>
      </c>
      <c r="J319" s="280" t="n">
        <f aca="false">1-I319</f>
        <v>0</v>
      </c>
      <c r="K319" s="277"/>
      <c r="L319" s="282"/>
      <c r="M319" s="282"/>
      <c r="N319" s="282"/>
      <c r="O319" s="282"/>
      <c r="P319" s="282"/>
      <c r="Q319" s="282"/>
      <c r="R319" s="282"/>
      <c r="S319" s="282"/>
      <c r="T319" s="282"/>
      <c r="U319" s="282"/>
      <c r="V319" s="282"/>
      <c r="W319" s="282"/>
      <c r="X319" s="283"/>
      <c r="Y319" s="284" t="n">
        <f aca="false">IFERROR(L319*$G319*I$9, "")</f>
        <v>0</v>
      </c>
      <c r="Z319" s="284" t="n">
        <f aca="false">IFERROR(M319*$G319*$I319, "")</f>
        <v>0</v>
      </c>
      <c r="AA319" s="284" t="n">
        <f aca="false">IFERROR(N319*$G319*$I319, "")</f>
        <v>0</v>
      </c>
      <c r="AB319" s="284" t="n">
        <f aca="false">IFERROR(O319*$G319*$I319, "")</f>
        <v>0</v>
      </c>
      <c r="AC319" s="284" t="n">
        <f aca="false">IFERROR(P319*$G319*$I319, "")</f>
        <v>0</v>
      </c>
      <c r="AD319" s="284" t="n">
        <f aca="false">IFERROR(Q319*$G319*$I319, "")</f>
        <v>0</v>
      </c>
      <c r="AE319" s="284" t="n">
        <f aca="false">IFERROR(R319*$G319*$I319, "")</f>
        <v>0</v>
      </c>
      <c r="AF319" s="284" t="n">
        <f aca="false">IFERROR(S319*$G319*$I319, "")</f>
        <v>0</v>
      </c>
      <c r="AG319" s="284" t="n">
        <f aca="false">IFERROR(T319*$G319*$I319, "")</f>
        <v>0</v>
      </c>
      <c r="AH319" s="284" t="n">
        <f aca="false">IFERROR(U319*$G319*$I319, "")</f>
        <v>0</v>
      </c>
      <c r="AI319" s="284" t="n">
        <f aca="false">IFERROR(V319*$G319*$I319, "")</f>
        <v>0</v>
      </c>
      <c r="AJ319" s="284" t="n">
        <f aca="false">IFERROR(W319*$G319*$I319, "")</f>
        <v>0</v>
      </c>
      <c r="AK319" s="286" t="n">
        <f aca="false">IFERROR(SUMIF($Y$4:$AJ$4, "RDEC", Y319:AJ319), "")</f>
        <v>0</v>
      </c>
      <c r="AL319" s="286" t="n">
        <f aca="false">IFERROR(SUMIF($Y$4:$AJ$4, "SME", Y319:AJ319), "")</f>
        <v>0</v>
      </c>
      <c r="AM319" s="286" t="n">
        <f aca="false">IFERROR(SUMIF($Y$4:$AJ$4, "De Minimis", Y319:AJ319), "")</f>
        <v>0</v>
      </c>
      <c r="AN319" s="283"/>
      <c r="AO319" s="284" t="n">
        <f aca="false">IFERROR($G319*$J319*L319, "")</f>
        <v>0</v>
      </c>
      <c r="AP319" s="284" t="n">
        <f aca="false">IFERROR($G319*$J319*M319, "")</f>
        <v>0</v>
      </c>
      <c r="AQ319" s="284" t="n">
        <f aca="false">IFERROR($G319*$J319*N319, "")</f>
        <v>0</v>
      </c>
      <c r="AR319" s="284" t="n">
        <f aca="false">IFERROR($G319*$J319*O319, "")</f>
        <v>0</v>
      </c>
      <c r="AS319" s="284" t="n">
        <f aca="false">IFERROR($G319*$J319*P319, "")</f>
        <v>0</v>
      </c>
      <c r="AT319" s="284" t="n">
        <f aca="false">IFERROR($G319*$J319*Q319, "")</f>
        <v>0</v>
      </c>
      <c r="AU319" s="284" t="n">
        <f aca="false">IFERROR($G319*$J319*R319, "")</f>
        <v>0</v>
      </c>
      <c r="AV319" s="284" t="n">
        <f aca="false">IFERROR($G319*$J319*S319, "")</f>
        <v>0</v>
      </c>
      <c r="AW319" s="284" t="n">
        <f aca="false">IFERROR($G319*$J319*T319, "")</f>
        <v>0</v>
      </c>
      <c r="AX319" s="284" t="n">
        <f aca="false">IFERROR($G319*$J319*U319, "")</f>
        <v>0</v>
      </c>
      <c r="AY319" s="284" t="n">
        <f aca="false">IFERROR($G319*$J319*V319, "")</f>
        <v>0</v>
      </c>
      <c r="AZ319" s="284" t="n">
        <f aca="false">IFERROR($G319*$J319*W319, "")</f>
        <v>0</v>
      </c>
      <c r="BA319" s="286" t="n">
        <f aca="false">IFERROR(SUMIF($AO$4:$AZ$4, "RDEC", AO319:AZ319), "")</f>
        <v>0</v>
      </c>
      <c r="BB319" s="286" t="n">
        <f aca="false">IFERROR(SUMIF($AO$4:$AZ$4, "SME", AO319:AZ319), "")</f>
        <v>0</v>
      </c>
      <c r="BC319" s="286" t="n">
        <f aca="false">IFERROR(SUMIF($Y$4:$AJ$4, "De Minimis", AO319:AZ319), "")</f>
        <v>0</v>
      </c>
      <c r="BD319" s="287"/>
      <c r="BE319" s="288" t="str">
        <f aca="false">IF((SUM(L319:W319)&gt;1),"ERROR","")</f>
        <v/>
      </c>
    </row>
    <row r="320" customFormat="false" ht="15" hidden="false" customHeight="true" outlineLevel="0" collapsed="false">
      <c r="B320" s="333"/>
      <c r="C320" s="334"/>
      <c r="D320" s="333" t="n">
        <f aca="false">D304</f>
        <v>45505</v>
      </c>
      <c r="E320" s="277" t="n">
        <v>0</v>
      </c>
      <c r="F320" s="277" t="n">
        <v>0</v>
      </c>
      <c r="G320" s="277" t="n">
        <f aca="false">SUM(E320:F320)</f>
        <v>0</v>
      </c>
      <c r="H320" s="204"/>
      <c r="I320" s="279" t="n">
        <v>1</v>
      </c>
      <c r="J320" s="280" t="n">
        <f aca="false">1-I320</f>
        <v>0</v>
      </c>
      <c r="K320" s="277"/>
      <c r="L320" s="282"/>
      <c r="M320" s="282"/>
      <c r="N320" s="282"/>
      <c r="O320" s="282"/>
      <c r="P320" s="282"/>
      <c r="Q320" s="282"/>
      <c r="R320" s="282"/>
      <c r="S320" s="282"/>
      <c r="T320" s="282"/>
      <c r="U320" s="282"/>
      <c r="V320" s="282"/>
      <c r="W320" s="282"/>
      <c r="X320" s="283"/>
      <c r="Y320" s="284" t="n">
        <f aca="false">IFERROR(L320*$G320*I$9, "")</f>
        <v>0</v>
      </c>
      <c r="Z320" s="284" t="n">
        <f aca="false">IFERROR(M320*$G320*$I320, "")</f>
        <v>0</v>
      </c>
      <c r="AA320" s="284" t="n">
        <f aca="false">IFERROR(N320*$G320*$I320, "")</f>
        <v>0</v>
      </c>
      <c r="AB320" s="284" t="n">
        <f aca="false">IFERROR(O320*$G320*$I320, "")</f>
        <v>0</v>
      </c>
      <c r="AC320" s="284" t="n">
        <f aca="false">IFERROR(P320*$G320*$I320, "")</f>
        <v>0</v>
      </c>
      <c r="AD320" s="284" t="n">
        <f aca="false">IFERROR(Q320*$G320*$I320, "")</f>
        <v>0</v>
      </c>
      <c r="AE320" s="284" t="n">
        <f aca="false">IFERROR(R320*$G320*$I320, "")</f>
        <v>0</v>
      </c>
      <c r="AF320" s="284" t="n">
        <f aca="false">IFERROR(S320*$G320*$I320, "")</f>
        <v>0</v>
      </c>
      <c r="AG320" s="284" t="n">
        <f aca="false">IFERROR(T320*$G320*$I320, "")</f>
        <v>0</v>
      </c>
      <c r="AH320" s="284" t="n">
        <f aca="false">IFERROR(U320*$G320*$I320, "")</f>
        <v>0</v>
      </c>
      <c r="AI320" s="284" t="n">
        <f aca="false">IFERROR(V320*$G320*$I320, "")</f>
        <v>0</v>
      </c>
      <c r="AJ320" s="284" t="n">
        <f aca="false">IFERROR(W320*$G320*$I320, "")</f>
        <v>0</v>
      </c>
      <c r="AK320" s="286" t="n">
        <f aca="false">IFERROR(SUMIF($Y$4:$AJ$4, "RDEC", Y320:AJ320), "")</f>
        <v>0</v>
      </c>
      <c r="AL320" s="286" t="n">
        <f aca="false">IFERROR(SUMIF($Y$4:$AJ$4, "SME", Y320:AJ320), "")</f>
        <v>0</v>
      </c>
      <c r="AM320" s="286" t="n">
        <f aca="false">IFERROR(SUMIF($Y$4:$AJ$4, "De Minimis", Y320:AJ320), "")</f>
        <v>0</v>
      </c>
      <c r="AN320" s="283"/>
      <c r="AO320" s="284" t="n">
        <f aca="false">IFERROR($G320*$J320*L320, "")</f>
        <v>0</v>
      </c>
      <c r="AP320" s="284" t="n">
        <f aca="false">IFERROR($G320*$J320*M320, "")</f>
        <v>0</v>
      </c>
      <c r="AQ320" s="284" t="n">
        <f aca="false">IFERROR($G320*$J320*N320, "")</f>
        <v>0</v>
      </c>
      <c r="AR320" s="284" t="n">
        <f aca="false">IFERROR($G320*$J320*O320, "")</f>
        <v>0</v>
      </c>
      <c r="AS320" s="284" t="n">
        <f aca="false">IFERROR($G320*$J320*P320, "")</f>
        <v>0</v>
      </c>
      <c r="AT320" s="284" t="n">
        <f aca="false">IFERROR($G320*$J320*Q320, "")</f>
        <v>0</v>
      </c>
      <c r="AU320" s="284" t="n">
        <f aca="false">IFERROR($G320*$J320*R320, "")</f>
        <v>0</v>
      </c>
      <c r="AV320" s="284" t="n">
        <f aca="false">IFERROR($G320*$J320*S320, "")</f>
        <v>0</v>
      </c>
      <c r="AW320" s="284" t="n">
        <f aca="false">IFERROR($G320*$J320*T320, "")</f>
        <v>0</v>
      </c>
      <c r="AX320" s="284" t="n">
        <f aca="false">IFERROR($G320*$J320*U320, "")</f>
        <v>0</v>
      </c>
      <c r="AY320" s="284" t="n">
        <f aca="false">IFERROR($G320*$J320*V320, "")</f>
        <v>0</v>
      </c>
      <c r="AZ320" s="284" t="n">
        <f aca="false">IFERROR($G320*$J320*W320, "")</f>
        <v>0</v>
      </c>
      <c r="BA320" s="286" t="n">
        <f aca="false">IFERROR(SUMIF($AO$4:$AZ$4, "RDEC", AO320:AZ320), "")</f>
        <v>0</v>
      </c>
      <c r="BB320" s="286" t="n">
        <f aca="false">IFERROR(SUMIF($AO$4:$AZ$4, "SME", AO320:AZ320), "")</f>
        <v>0</v>
      </c>
      <c r="BC320" s="286" t="n">
        <f aca="false">IFERROR(SUMIF($Y$4:$AJ$4, "De Minimis", AO320:AZ320), "")</f>
        <v>0</v>
      </c>
      <c r="BD320" s="287"/>
      <c r="BE320" s="288" t="str">
        <f aca="false">IF((SUM(L320:W320)&gt;1),"ERROR","")</f>
        <v/>
      </c>
    </row>
    <row r="321" customFormat="false" ht="15" hidden="false" customHeight="true" outlineLevel="0" collapsed="false">
      <c r="B321" s="333"/>
      <c r="C321" s="334"/>
      <c r="D321" s="333" t="n">
        <f aca="false">D305</f>
        <v>45536</v>
      </c>
      <c r="E321" s="277" t="n">
        <v>0</v>
      </c>
      <c r="F321" s="277" t="n">
        <v>0</v>
      </c>
      <c r="G321" s="277" t="n">
        <f aca="false">SUM(E321:F321)</f>
        <v>0</v>
      </c>
      <c r="H321" s="204"/>
      <c r="I321" s="279" t="n">
        <v>1</v>
      </c>
      <c r="J321" s="280" t="n">
        <f aca="false">1-I321</f>
        <v>0</v>
      </c>
      <c r="K321" s="277"/>
      <c r="L321" s="282"/>
      <c r="M321" s="282"/>
      <c r="N321" s="282"/>
      <c r="O321" s="282"/>
      <c r="P321" s="282"/>
      <c r="Q321" s="282"/>
      <c r="R321" s="282"/>
      <c r="S321" s="282"/>
      <c r="T321" s="282"/>
      <c r="U321" s="282"/>
      <c r="V321" s="282"/>
      <c r="W321" s="282"/>
      <c r="X321" s="283"/>
      <c r="Y321" s="284" t="n">
        <f aca="false">IFERROR(L321*$G321*I$9, "")</f>
        <v>0</v>
      </c>
      <c r="Z321" s="284" t="n">
        <f aca="false">IFERROR(M321*$G321*$I321, "")</f>
        <v>0</v>
      </c>
      <c r="AA321" s="284" t="n">
        <f aca="false">IFERROR(N321*$G321*$I321, "")</f>
        <v>0</v>
      </c>
      <c r="AB321" s="284" t="n">
        <f aca="false">IFERROR(O321*$G321*$I321, "")</f>
        <v>0</v>
      </c>
      <c r="AC321" s="284" t="n">
        <f aca="false">IFERROR(P321*$G321*$I321, "")</f>
        <v>0</v>
      </c>
      <c r="AD321" s="284" t="n">
        <f aca="false">IFERROR(Q321*$G321*$I321, "")</f>
        <v>0</v>
      </c>
      <c r="AE321" s="284" t="n">
        <f aca="false">IFERROR(R321*$G321*$I321, "")</f>
        <v>0</v>
      </c>
      <c r="AF321" s="284" t="n">
        <f aca="false">IFERROR(S321*$G321*$I321, "")</f>
        <v>0</v>
      </c>
      <c r="AG321" s="284" t="n">
        <f aca="false">IFERROR(T321*$G321*$I321, "")</f>
        <v>0</v>
      </c>
      <c r="AH321" s="284" t="n">
        <f aca="false">IFERROR(U321*$G321*$I321, "")</f>
        <v>0</v>
      </c>
      <c r="AI321" s="284" t="n">
        <f aca="false">IFERROR(V321*$G321*$I321, "")</f>
        <v>0</v>
      </c>
      <c r="AJ321" s="284" t="n">
        <f aca="false">IFERROR(W321*$G321*$I321, "")</f>
        <v>0</v>
      </c>
      <c r="AK321" s="286" t="n">
        <f aca="false">IFERROR(SUMIF($Y$4:$AJ$4, "RDEC", Y321:AJ321), "")</f>
        <v>0</v>
      </c>
      <c r="AL321" s="286" t="n">
        <f aca="false">IFERROR(SUMIF($Y$4:$AJ$4, "SME", Y321:AJ321), "")</f>
        <v>0</v>
      </c>
      <c r="AM321" s="286" t="n">
        <f aca="false">IFERROR(SUMIF($Y$4:$AJ$4, "De Minimis", Y321:AJ321), "")</f>
        <v>0</v>
      </c>
      <c r="AN321" s="283"/>
      <c r="AO321" s="284" t="n">
        <f aca="false">IFERROR($G321*$J321*L321, "")</f>
        <v>0</v>
      </c>
      <c r="AP321" s="284" t="n">
        <f aca="false">IFERROR($G321*$J321*M321, "")</f>
        <v>0</v>
      </c>
      <c r="AQ321" s="284" t="n">
        <f aca="false">IFERROR($G321*$J321*N321, "")</f>
        <v>0</v>
      </c>
      <c r="AR321" s="284" t="n">
        <f aca="false">IFERROR($G321*$J321*O321, "")</f>
        <v>0</v>
      </c>
      <c r="AS321" s="284" t="n">
        <f aca="false">IFERROR($G321*$J321*P321, "")</f>
        <v>0</v>
      </c>
      <c r="AT321" s="284" t="n">
        <f aca="false">IFERROR($G321*$J321*Q321, "")</f>
        <v>0</v>
      </c>
      <c r="AU321" s="284" t="n">
        <f aca="false">IFERROR($G321*$J321*R321, "")</f>
        <v>0</v>
      </c>
      <c r="AV321" s="284" t="n">
        <f aca="false">IFERROR($G321*$J321*S321, "")</f>
        <v>0</v>
      </c>
      <c r="AW321" s="284" t="n">
        <f aca="false">IFERROR($G321*$J321*T321, "")</f>
        <v>0</v>
      </c>
      <c r="AX321" s="284" t="n">
        <f aca="false">IFERROR($G321*$J321*U321, "")</f>
        <v>0</v>
      </c>
      <c r="AY321" s="284" t="n">
        <f aca="false">IFERROR($G321*$J321*V321, "")</f>
        <v>0</v>
      </c>
      <c r="AZ321" s="284" t="n">
        <f aca="false">IFERROR($G321*$J321*W321, "")</f>
        <v>0</v>
      </c>
      <c r="BA321" s="286" t="n">
        <f aca="false">IFERROR(SUMIF($AO$4:$AZ$4, "RDEC", AO321:AZ321), "")</f>
        <v>0</v>
      </c>
      <c r="BB321" s="286" t="n">
        <f aca="false">IFERROR(SUMIF($AO$4:$AZ$4, "SME", AO321:AZ321), "")</f>
        <v>0</v>
      </c>
      <c r="BC321" s="286" t="n">
        <f aca="false">IFERROR(SUMIF($Y$4:$AJ$4, "De Minimis", AO321:AZ321), "")</f>
        <v>0</v>
      </c>
      <c r="BD321" s="287"/>
      <c r="BE321" s="288" t="str">
        <f aca="false">IF((SUM(L321:W321)&gt;1),"ERROR","")</f>
        <v/>
      </c>
    </row>
    <row r="322" customFormat="false" ht="15" hidden="false" customHeight="true" outlineLevel="0" collapsed="false">
      <c r="B322" s="333"/>
      <c r="C322" s="334"/>
      <c r="D322" s="333" t="n">
        <f aca="false">D306</f>
        <v>45566</v>
      </c>
      <c r="E322" s="277" t="n">
        <v>0</v>
      </c>
      <c r="F322" s="277" t="n">
        <v>0</v>
      </c>
      <c r="G322" s="277" t="n">
        <f aca="false">SUM(E322:F322)</f>
        <v>0</v>
      </c>
      <c r="H322" s="204"/>
      <c r="I322" s="279" t="n">
        <v>1</v>
      </c>
      <c r="J322" s="280" t="n">
        <f aca="false">1-I322</f>
        <v>0</v>
      </c>
      <c r="K322" s="277"/>
      <c r="L322" s="282"/>
      <c r="M322" s="282"/>
      <c r="N322" s="282"/>
      <c r="O322" s="282"/>
      <c r="P322" s="282"/>
      <c r="Q322" s="282"/>
      <c r="R322" s="282"/>
      <c r="S322" s="282"/>
      <c r="T322" s="282"/>
      <c r="U322" s="282"/>
      <c r="V322" s="282"/>
      <c r="W322" s="282"/>
      <c r="X322" s="283"/>
      <c r="Y322" s="284" t="n">
        <f aca="false">IFERROR(L322*$G322*I$9, "")</f>
        <v>0</v>
      </c>
      <c r="Z322" s="284" t="n">
        <f aca="false">IFERROR(M322*$G322*$I322, "")</f>
        <v>0</v>
      </c>
      <c r="AA322" s="284" t="n">
        <f aca="false">IFERROR(N322*$G322*$I322, "")</f>
        <v>0</v>
      </c>
      <c r="AB322" s="284" t="n">
        <f aca="false">IFERROR(O322*$G322*$I322, "")</f>
        <v>0</v>
      </c>
      <c r="AC322" s="284" t="n">
        <f aca="false">IFERROR(P322*$G322*$I322, "")</f>
        <v>0</v>
      </c>
      <c r="AD322" s="284" t="n">
        <f aca="false">IFERROR(Q322*$G322*$I322, "")</f>
        <v>0</v>
      </c>
      <c r="AE322" s="284" t="n">
        <f aca="false">IFERROR(R322*$G322*$I322, "")</f>
        <v>0</v>
      </c>
      <c r="AF322" s="284" t="n">
        <f aca="false">IFERROR(S322*$G322*$I322, "")</f>
        <v>0</v>
      </c>
      <c r="AG322" s="284" t="n">
        <f aca="false">IFERROR(T322*$G322*$I322, "")</f>
        <v>0</v>
      </c>
      <c r="AH322" s="284" t="n">
        <f aca="false">IFERROR(U322*$G322*$I322, "")</f>
        <v>0</v>
      </c>
      <c r="AI322" s="284" t="n">
        <f aca="false">IFERROR(V322*$G322*$I322, "")</f>
        <v>0</v>
      </c>
      <c r="AJ322" s="284" t="n">
        <f aca="false">IFERROR(W322*$G322*$I322, "")</f>
        <v>0</v>
      </c>
      <c r="AK322" s="286" t="n">
        <f aca="false">IFERROR(SUMIF($Y$4:$AJ$4, "RDEC", Y322:AJ322), "")</f>
        <v>0</v>
      </c>
      <c r="AL322" s="286" t="n">
        <f aca="false">IFERROR(SUMIF($Y$4:$AJ$4, "SME", Y322:AJ322), "")</f>
        <v>0</v>
      </c>
      <c r="AM322" s="286" t="n">
        <f aca="false">IFERROR(SUMIF($Y$4:$AJ$4, "De Minimis", Y322:AJ322), "")</f>
        <v>0</v>
      </c>
      <c r="AN322" s="283"/>
      <c r="AO322" s="284" t="n">
        <f aca="false">IFERROR($G322*$J322*L322, "")</f>
        <v>0</v>
      </c>
      <c r="AP322" s="284" t="n">
        <f aca="false">IFERROR($G322*$J322*M322, "")</f>
        <v>0</v>
      </c>
      <c r="AQ322" s="284" t="n">
        <f aca="false">IFERROR($G322*$J322*N322, "")</f>
        <v>0</v>
      </c>
      <c r="AR322" s="284" t="n">
        <f aca="false">IFERROR($G322*$J322*O322, "")</f>
        <v>0</v>
      </c>
      <c r="AS322" s="284" t="n">
        <f aca="false">IFERROR($G322*$J322*P322, "")</f>
        <v>0</v>
      </c>
      <c r="AT322" s="284" t="n">
        <f aca="false">IFERROR($G322*$J322*Q322, "")</f>
        <v>0</v>
      </c>
      <c r="AU322" s="284" t="n">
        <f aca="false">IFERROR($G322*$J322*R322, "")</f>
        <v>0</v>
      </c>
      <c r="AV322" s="284" t="n">
        <f aca="false">IFERROR($G322*$J322*S322, "")</f>
        <v>0</v>
      </c>
      <c r="AW322" s="284" t="n">
        <f aca="false">IFERROR($G322*$J322*T322, "")</f>
        <v>0</v>
      </c>
      <c r="AX322" s="284" t="n">
        <f aca="false">IFERROR($G322*$J322*U322, "")</f>
        <v>0</v>
      </c>
      <c r="AY322" s="284" t="n">
        <f aca="false">IFERROR($G322*$J322*V322, "")</f>
        <v>0</v>
      </c>
      <c r="AZ322" s="284" t="n">
        <f aca="false">IFERROR($G322*$J322*W322, "")</f>
        <v>0</v>
      </c>
      <c r="BA322" s="286" t="n">
        <f aca="false">IFERROR(SUMIF($AO$4:$AZ$4, "RDEC", AO322:AZ322), "")</f>
        <v>0</v>
      </c>
      <c r="BB322" s="286" t="n">
        <f aca="false">IFERROR(SUMIF($AO$4:$AZ$4, "SME", AO322:AZ322), "")</f>
        <v>0</v>
      </c>
      <c r="BC322" s="286" t="n">
        <f aca="false">IFERROR(SUMIF($Y$4:$AJ$4, "De Minimis", AO322:AZ322), "")</f>
        <v>0</v>
      </c>
      <c r="BD322" s="287"/>
      <c r="BE322" s="288" t="str">
        <f aca="false">IF((SUM(L322:W322)&gt;1),"ERROR","")</f>
        <v/>
      </c>
    </row>
    <row r="323" customFormat="false" ht="15" hidden="false" customHeight="true" outlineLevel="0" collapsed="false">
      <c r="B323" s="333"/>
      <c r="C323" s="334"/>
      <c r="D323" s="333" t="n">
        <f aca="false">D307</f>
        <v>45597</v>
      </c>
      <c r="E323" s="277" t="n">
        <v>0</v>
      </c>
      <c r="F323" s="277" t="n">
        <v>0</v>
      </c>
      <c r="G323" s="277" t="n">
        <f aca="false">SUM(E323:F323)</f>
        <v>0</v>
      </c>
      <c r="H323" s="204"/>
      <c r="I323" s="279" t="n">
        <v>1</v>
      </c>
      <c r="J323" s="280" t="n">
        <f aca="false">1-I323</f>
        <v>0</v>
      </c>
      <c r="K323" s="277"/>
      <c r="L323" s="282"/>
      <c r="M323" s="282"/>
      <c r="N323" s="282"/>
      <c r="O323" s="282"/>
      <c r="P323" s="282"/>
      <c r="Q323" s="282"/>
      <c r="R323" s="282"/>
      <c r="S323" s="282"/>
      <c r="T323" s="282"/>
      <c r="U323" s="282"/>
      <c r="V323" s="282"/>
      <c r="W323" s="282"/>
      <c r="X323" s="283"/>
      <c r="Y323" s="284" t="n">
        <f aca="false">IFERROR(L323*$G323*I$9, "")</f>
        <v>0</v>
      </c>
      <c r="Z323" s="284" t="n">
        <f aca="false">IFERROR(M323*$G323*$I323, "")</f>
        <v>0</v>
      </c>
      <c r="AA323" s="284" t="n">
        <f aca="false">IFERROR(N323*$G323*$I323, "")</f>
        <v>0</v>
      </c>
      <c r="AB323" s="284" t="n">
        <f aca="false">IFERROR(O323*$G323*$I323, "")</f>
        <v>0</v>
      </c>
      <c r="AC323" s="284" t="n">
        <f aca="false">IFERROR(P323*$G323*$I323, "")</f>
        <v>0</v>
      </c>
      <c r="AD323" s="284" t="n">
        <f aca="false">IFERROR(Q323*$G323*$I323, "")</f>
        <v>0</v>
      </c>
      <c r="AE323" s="284" t="n">
        <f aca="false">IFERROR(R323*$G323*$I323, "")</f>
        <v>0</v>
      </c>
      <c r="AF323" s="284" t="n">
        <f aca="false">IFERROR(S323*$G323*$I323, "")</f>
        <v>0</v>
      </c>
      <c r="AG323" s="284" t="n">
        <f aca="false">IFERROR(T323*$G323*$I323, "")</f>
        <v>0</v>
      </c>
      <c r="AH323" s="284" t="n">
        <f aca="false">IFERROR(U323*$G323*$I323, "")</f>
        <v>0</v>
      </c>
      <c r="AI323" s="284" t="n">
        <f aca="false">IFERROR(V323*$G323*$I323, "")</f>
        <v>0</v>
      </c>
      <c r="AJ323" s="284" t="n">
        <f aca="false">IFERROR(W323*$G323*$I323, "")</f>
        <v>0</v>
      </c>
      <c r="AK323" s="286" t="n">
        <f aca="false">IFERROR(SUMIF($Y$4:$AJ$4, "RDEC", Y323:AJ323), "")</f>
        <v>0</v>
      </c>
      <c r="AL323" s="286" t="n">
        <f aca="false">IFERROR(SUMIF($Y$4:$AJ$4, "SME", Y323:AJ323), "")</f>
        <v>0</v>
      </c>
      <c r="AM323" s="286" t="n">
        <f aca="false">IFERROR(SUMIF($Y$4:$AJ$4, "De Minimis", Y323:AJ323), "")</f>
        <v>0</v>
      </c>
      <c r="AN323" s="283"/>
      <c r="AO323" s="284" t="n">
        <f aca="false">IFERROR($G323*$J323*L323, "")</f>
        <v>0</v>
      </c>
      <c r="AP323" s="284" t="n">
        <f aca="false">IFERROR($G323*$J323*M323, "")</f>
        <v>0</v>
      </c>
      <c r="AQ323" s="284" t="n">
        <f aca="false">IFERROR($G323*$J323*N323, "")</f>
        <v>0</v>
      </c>
      <c r="AR323" s="284" t="n">
        <f aca="false">IFERROR($G323*$J323*O323, "")</f>
        <v>0</v>
      </c>
      <c r="AS323" s="284" t="n">
        <f aca="false">IFERROR($G323*$J323*P323, "")</f>
        <v>0</v>
      </c>
      <c r="AT323" s="284" t="n">
        <f aca="false">IFERROR($G323*$J323*Q323, "")</f>
        <v>0</v>
      </c>
      <c r="AU323" s="284" t="n">
        <f aca="false">IFERROR($G323*$J323*R323, "")</f>
        <v>0</v>
      </c>
      <c r="AV323" s="284" t="n">
        <f aca="false">IFERROR($G323*$J323*S323, "")</f>
        <v>0</v>
      </c>
      <c r="AW323" s="284" t="n">
        <f aca="false">IFERROR($G323*$J323*T323, "")</f>
        <v>0</v>
      </c>
      <c r="AX323" s="284" t="n">
        <f aca="false">IFERROR($G323*$J323*U323, "")</f>
        <v>0</v>
      </c>
      <c r="AY323" s="284" t="n">
        <f aca="false">IFERROR($G323*$J323*V323, "")</f>
        <v>0</v>
      </c>
      <c r="AZ323" s="284" t="n">
        <f aca="false">IFERROR($G323*$J323*W323, "")</f>
        <v>0</v>
      </c>
      <c r="BA323" s="286" t="n">
        <f aca="false">IFERROR(SUMIF($AO$4:$AZ$4, "RDEC", AO323:AZ323), "")</f>
        <v>0</v>
      </c>
      <c r="BB323" s="286" t="n">
        <f aca="false">IFERROR(SUMIF($AO$4:$AZ$4, "SME", AO323:AZ323), "")</f>
        <v>0</v>
      </c>
      <c r="BC323" s="286" t="n">
        <f aca="false">IFERROR(SUMIF($Y$4:$AJ$4, "De Minimis", AO323:AZ323), "")</f>
        <v>0</v>
      </c>
      <c r="BD323" s="287"/>
      <c r="BE323" s="288" t="str">
        <f aca="false">IF((SUM(L323:W323)&gt;1),"ERROR","")</f>
        <v/>
      </c>
    </row>
    <row r="324" customFormat="false" ht="15" hidden="false" customHeight="true" outlineLevel="0" collapsed="false">
      <c r="B324" s="333"/>
      <c r="C324" s="334"/>
      <c r="D324" s="333" t="n">
        <f aca="false">D308</f>
        <v>45627</v>
      </c>
      <c r="E324" s="277" t="n">
        <v>0</v>
      </c>
      <c r="F324" s="277" t="n">
        <v>0</v>
      </c>
      <c r="G324" s="277" t="n">
        <f aca="false">SUM(E324:F324)</f>
        <v>0</v>
      </c>
      <c r="H324" s="300"/>
      <c r="I324" s="289" t="n">
        <v>1</v>
      </c>
      <c r="J324" s="290" t="n">
        <f aca="false">1-I324</f>
        <v>0</v>
      </c>
      <c r="K324" s="300"/>
      <c r="L324" s="291"/>
      <c r="M324" s="291"/>
      <c r="N324" s="291"/>
      <c r="O324" s="291"/>
      <c r="P324" s="291"/>
      <c r="Q324" s="291"/>
      <c r="R324" s="291"/>
      <c r="S324" s="291"/>
      <c r="T324" s="291"/>
      <c r="U324" s="291"/>
      <c r="V324" s="291"/>
      <c r="W324" s="291"/>
      <c r="X324" s="283"/>
      <c r="Y324" s="284" t="n">
        <f aca="false">IFERROR(L324*$G324*I$9, "")</f>
        <v>0</v>
      </c>
      <c r="Z324" s="284" t="n">
        <f aca="false">IFERROR(M324*$G324*$I324, "")</f>
        <v>0</v>
      </c>
      <c r="AA324" s="284" t="n">
        <f aca="false">IFERROR(N324*$G324*$I324, "")</f>
        <v>0</v>
      </c>
      <c r="AB324" s="284" t="n">
        <f aca="false">IFERROR(O324*$G324*$I324, "")</f>
        <v>0</v>
      </c>
      <c r="AC324" s="284" t="n">
        <f aca="false">IFERROR(P324*$G324*$I324, "")</f>
        <v>0</v>
      </c>
      <c r="AD324" s="284" t="n">
        <f aca="false">IFERROR(Q324*$G324*$I324, "")</f>
        <v>0</v>
      </c>
      <c r="AE324" s="284" t="n">
        <f aca="false">IFERROR(R324*$G324*$I324, "")</f>
        <v>0</v>
      </c>
      <c r="AF324" s="284" t="n">
        <f aca="false">IFERROR(S324*$G324*$I324, "")</f>
        <v>0</v>
      </c>
      <c r="AG324" s="284" t="n">
        <f aca="false">IFERROR(T324*$G324*$I324, "")</f>
        <v>0</v>
      </c>
      <c r="AH324" s="284" t="n">
        <f aca="false">IFERROR(U324*$G324*$I324, "")</f>
        <v>0</v>
      </c>
      <c r="AI324" s="284" t="n">
        <f aca="false">IFERROR(V324*$G324*$I324, "")</f>
        <v>0</v>
      </c>
      <c r="AJ324" s="284" t="n">
        <f aca="false">IFERROR(W324*$G324*$I324, "")</f>
        <v>0</v>
      </c>
      <c r="AK324" s="294" t="n">
        <f aca="false">IFERROR(SUMIF($Y$4:$AJ$4, "RDEC", Y324:AJ324), "")</f>
        <v>0</v>
      </c>
      <c r="AL324" s="294" t="n">
        <f aca="false">IFERROR(SUMIF($Y$4:$AJ$4, "SME", Y324:AJ324), "")</f>
        <v>0</v>
      </c>
      <c r="AM324" s="294" t="n">
        <f aca="false">IFERROR(SUMIF($Y$4:$AJ$4, "De Minimis", Y324:AJ324), "")</f>
        <v>0</v>
      </c>
      <c r="AN324" s="283"/>
      <c r="AO324" s="284" t="n">
        <f aca="false">IFERROR($G324*$J324*L324, "")</f>
        <v>0</v>
      </c>
      <c r="AP324" s="284" t="n">
        <f aca="false">IFERROR($G324*$J324*M324, "")</f>
        <v>0</v>
      </c>
      <c r="AQ324" s="284" t="n">
        <f aca="false">IFERROR($G324*$J324*N324, "")</f>
        <v>0</v>
      </c>
      <c r="AR324" s="284" t="n">
        <f aca="false">IFERROR($G324*$J324*O324, "")</f>
        <v>0</v>
      </c>
      <c r="AS324" s="284" t="n">
        <f aca="false">IFERROR($G324*$J324*P324, "")</f>
        <v>0</v>
      </c>
      <c r="AT324" s="284" t="n">
        <f aca="false">IFERROR($G324*$J324*Q324, "")</f>
        <v>0</v>
      </c>
      <c r="AU324" s="284" t="n">
        <f aca="false">IFERROR($G324*$J324*R324, "")</f>
        <v>0</v>
      </c>
      <c r="AV324" s="284" t="n">
        <f aca="false">IFERROR($G324*$J324*S324, "")</f>
        <v>0</v>
      </c>
      <c r="AW324" s="284" t="n">
        <f aca="false">IFERROR($G324*$J324*T324, "")</f>
        <v>0</v>
      </c>
      <c r="AX324" s="284" t="n">
        <f aca="false">IFERROR($G324*$J324*U324, "")</f>
        <v>0</v>
      </c>
      <c r="AY324" s="284" t="n">
        <f aca="false">IFERROR($G324*$J324*V324, "")</f>
        <v>0</v>
      </c>
      <c r="AZ324" s="284" t="n">
        <f aca="false">IFERROR($G324*$J324*W324, "")</f>
        <v>0</v>
      </c>
      <c r="BA324" s="286" t="n">
        <f aca="false">IFERROR(SUMIF($AO$4:$AZ$4, "RDEC", AO324:AZ324), "")</f>
        <v>0</v>
      </c>
      <c r="BB324" s="286" t="n">
        <f aca="false">IFERROR(SUMIF($AO$4:$AZ$4, "SME", AO324:AZ324), "")</f>
        <v>0</v>
      </c>
      <c r="BC324" s="294" t="n">
        <f aca="false">IFERROR(SUMIF($Y$4:$AJ$4, "De Minimis", AO324:AZ324), "")</f>
        <v>0</v>
      </c>
      <c r="BD324" s="303"/>
      <c r="BE324" s="295" t="str">
        <f aca="false">IF((SUM(L324:W324)&gt;1),"ERROR","")</f>
        <v/>
      </c>
    </row>
    <row r="325" customFormat="false" ht="15" hidden="false" customHeight="true" outlineLevel="0" collapsed="false">
      <c r="B325" s="296"/>
      <c r="D325" s="297" t="s">
        <v>82</v>
      </c>
      <c r="E325" s="299" t="n">
        <f aca="false">SUM(E313:E324)</f>
        <v>0</v>
      </c>
      <c r="F325" s="299" t="n">
        <f aca="false">SUM(F313:F324)</f>
        <v>0</v>
      </c>
      <c r="G325" s="299" t="n">
        <f aca="false">SUM(G313:G324)</f>
        <v>0</v>
      </c>
      <c r="H325" s="300"/>
      <c r="I325" s="301" t="n">
        <f aca="false">AVERAGE(I313:I324)</f>
        <v>1</v>
      </c>
      <c r="J325" s="301" t="n">
        <f aca="false">AVERAGE(J313:J324)</f>
        <v>0</v>
      </c>
      <c r="K325" s="300"/>
      <c r="L325" s="290" t="n">
        <f aca="false">IF(SUM(L313:L324)&gt;0,(Y325/G325),0)</f>
        <v>0</v>
      </c>
      <c r="M325" s="301" t="n">
        <f aca="false">IF(SUM(M313:M324)&gt;0,(Z325/G325),0)</f>
        <v>0</v>
      </c>
      <c r="N325" s="301" t="n">
        <f aca="false">IF(SUM(N313:N324)&gt;0,(AA325/G325),0)</f>
        <v>0</v>
      </c>
      <c r="O325" s="301" t="n">
        <f aca="false">IF(SUM(O313:O324)&gt;0,(AB325/G325),0)</f>
        <v>0</v>
      </c>
      <c r="P325" s="301" t="n">
        <f aca="false">IF(SUM(P313:P324)&gt;0,(AC325/G325),0)</f>
        <v>0</v>
      </c>
      <c r="Q325" s="301" t="n">
        <f aca="false">IF(SUM(Q313:Q324)&gt;0,(AD325/G325),0)</f>
        <v>0</v>
      </c>
      <c r="R325" s="301" t="n">
        <f aca="false">IF(SUM(R313:R324)&gt;0,(AE325/G325),0)</f>
        <v>0</v>
      </c>
      <c r="S325" s="301" t="n">
        <f aca="false">IF(SUM(S313:S324)&gt;0,(AF325/G325),0)</f>
        <v>0</v>
      </c>
      <c r="T325" s="301" t="n">
        <f aca="false">IF(SUM(T313:T324)&gt;0,(AG325/G325),0)</f>
        <v>0</v>
      </c>
      <c r="U325" s="301" t="n">
        <f aca="false">IF(SUM(U313:U324)&gt;0,(AJ325/G325),0)</f>
        <v>0</v>
      </c>
      <c r="V325" s="301" t="n">
        <f aca="false">IF(SUM(V313:V324)&gt;0,(AI325/G325),0)</f>
        <v>0</v>
      </c>
      <c r="W325" s="301" t="n">
        <f aca="false">IF(SUM(W313:W324)&gt;0,(AJ325/G325),0)</f>
        <v>0</v>
      </c>
      <c r="X325" s="283"/>
      <c r="Y325" s="304" t="n">
        <f aca="false">SUM(Y313:Y324)</f>
        <v>0</v>
      </c>
      <c r="Z325" s="304" t="n">
        <f aca="false">SUM(Z313:Z324)</f>
        <v>0</v>
      </c>
      <c r="AA325" s="304" t="n">
        <f aca="false">SUM(AA313:AA324)</f>
        <v>0</v>
      </c>
      <c r="AB325" s="304" t="n">
        <f aca="false">SUM(AB313:AB324)</f>
        <v>0</v>
      </c>
      <c r="AC325" s="304" t="n">
        <f aca="false">SUM(AC313:AC324)</f>
        <v>0</v>
      </c>
      <c r="AD325" s="304" t="n">
        <f aca="false">SUM(AD313:AD324)</f>
        <v>0</v>
      </c>
      <c r="AE325" s="304" t="n">
        <f aca="false">SUM(AE313:AE324)</f>
        <v>0</v>
      </c>
      <c r="AF325" s="304" t="n">
        <f aca="false">SUM(AF313:AF324)</f>
        <v>0</v>
      </c>
      <c r="AG325" s="304" t="n">
        <f aca="false">SUM(AG313:AG324)</f>
        <v>0</v>
      </c>
      <c r="AH325" s="304" t="n">
        <f aca="false">SUM(AH313:AH324)</f>
        <v>0</v>
      </c>
      <c r="AI325" s="304" t="n">
        <f aca="false">SUM(AI313:AI324)</f>
        <v>0</v>
      </c>
      <c r="AJ325" s="304" t="n">
        <f aca="false">SUM(AJ313:AJ324)</f>
        <v>0</v>
      </c>
      <c r="AK325" s="335" t="n">
        <f aca="false">SUM(AK313:AK324)</f>
        <v>0</v>
      </c>
      <c r="AL325" s="336" t="n">
        <f aca="false">SUM(AL313:AL324)</f>
        <v>0</v>
      </c>
      <c r="AM325" s="305" t="n">
        <f aca="false">SUM(AM313:AM324)</f>
        <v>0</v>
      </c>
      <c r="AN325" s="283"/>
      <c r="AO325" s="304" t="n">
        <f aca="false">SUM(AO313:AO324)</f>
        <v>0</v>
      </c>
      <c r="AP325" s="304" t="n">
        <f aca="false">SUM(AP313:AP324)</f>
        <v>0</v>
      </c>
      <c r="AQ325" s="304" t="n">
        <f aca="false">SUM(AQ313:AQ324)</f>
        <v>0</v>
      </c>
      <c r="AR325" s="304" t="n">
        <f aca="false">SUM(AR313:AR324)</f>
        <v>0</v>
      </c>
      <c r="AS325" s="304" t="n">
        <f aca="false">SUM(AS313:AS324)</f>
        <v>0</v>
      </c>
      <c r="AT325" s="304" t="n">
        <f aca="false">SUM(AT313:AT324)</f>
        <v>0</v>
      </c>
      <c r="AU325" s="304" t="n">
        <f aca="false">SUM(AU313:AU324)</f>
        <v>0</v>
      </c>
      <c r="AV325" s="304" t="n">
        <f aca="false">SUM(AV313:AV324)</f>
        <v>0</v>
      </c>
      <c r="AW325" s="304" t="n">
        <f aca="false">SUM(AW313:AW324)</f>
        <v>0</v>
      </c>
      <c r="AX325" s="304" t="n">
        <f aca="false">SUM(AX313:AX324)</f>
        <v>0</v>
      </c>
      <c r="AY325" s="304" t="n">
        <f aca="false">SUM(AY313:AY324)</f>
        <v>0</v>
      </c>
      <c r="AZ325" s="304" t="n">
        <f aca="false">SUM(AZ313:AZ324)</f>
        <v>0</v>
      </c>
      <c r="BA325" s="336" t="n">
        <f aca="false">SUM(BA313:BA324)</f>
        <v>0</v>
      </c>
      <c r="BB325" s="336" t="n">
        <f aca="false">SUM(BB313:BB324)</f>
        <v>0</v>
      </c>
      <c r="BC325" s="305" t="n">
        <f aca="false">SUM(BC313:BC324)</f>
        <v>0</v>
      </c>
      <c r="BD325" s="303"/>
      <c r="BE325" s="337"/>
    </row>
    <row r="326" customFormat="false" ht="15" hidden="false" customHeight="true" outlineLevel="0" collapsed="false">
      <c r="B326" s="296"/>
      <c r="D326" s="297"/>
      <c r="E326" s="300"/>
      <c r="F326" s="300"/>
      <c r="G326" s="300"/>
      <c r="H326" s="241"/>
      <c r="I326" s="302"/>
      <c r="J326" s="302"/>
      <c r="K326" s="241"/>
      <c r="L326" s="259"/>
      <c r="M326" s="259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303"/>
      <c r="Y326" s="259"/>
      <c r="Z326" s="303"/>
      <c r="AA326" s="303"/>
      <c r="AB326" s="303"/>
      <c r="AC326" s="303"/>
      <c r="AD326" s="303"/>
      <c r="AE326" s="303"/>
      <c r="AF326" s="303"/>
      <c r="AG326" s="303"/>
      <c r="AH326" s="303"/>
      <c r="AI326" s="303"/>
      <c r="AJ326" s="303"/>
      <c r="AK326" s="303"/>
      <c r="AL326" s="303"/>
      <c r="AM326" s="303"/>
      <c r="AN326" s="303"/>
      <c r="AO326" s="259"/>
      <c r="AP326" s="303"/>
      <c r="AQ326" s="303"/>
      <c r="AR326" s="303"/>
      <c r="AS326" s="303"/>
      <c r="AT326" s="303"/>
      <c r="AU326" s="303"/>
      <c r="AV326" s="303"/>
      <c r="AW326" s="303"/>
      <c r="AX326" s="303"/>
      <c r="AY326" s="303"/>
      <c r="AZ326" s="303"/>
      <c r="BA326" s="303"/>
      <c r="BB326" s="303"/>
      <c r="BC326" s="303"/>
      <c r="BD326" s="268"/>
      <c r="BE326" s="303"/>
    </row>
    <row r="327" customFormat="false" ht="15" hidden="false" customHeight="true" outlineLevel="0" collapsed="false">
      <c r="A327" s="198" t="n">
        <f aca="false">A311+1</f>
        <v>21</v>
      </c>
      <c r="B327" s="266" t="s">
        <v>253</v>
      </c>
      <c r="C327" s="266" t="s">
        <v>253</v>
      </c>
      <c r="D327" s="266"/>
      <c r="E327" s="241"/>
      <c r="F327" s="241"/>
      <c r="G327" s="241"/>
      <c r="H327" s="241"/>
      <c r="I327" s="241"/>
      <c r="J327" s="241"/>
      <c r="K327" s="277"/>
      <c r="L327" s="241"/>
      <c r="M327" s="241"/>
      <c r="N327" s="241"/>
      <c r="O327" s="241"/>
      <c r="P327" s="241"/>
      <c r="Q327" s="241"/>
      <c r="R327" s="241"/>
      <c r="S327" s="241"/>
      <c r="T327" s="241"/>
      <c r="U327" s="241"/>
      <c r="V327" s="241"/>
      <c r="W327" s="241"/>
      <c r="X327" s="259"/>
      <c r="Y327" s="268"/>
      <c r="Z327" s="268"/>
      <c r="AA327" s="268"/>
      <c r="AB327" s="268"/>
      <c r="AC327" s="268"/>
      <c r="AD327" s="268"/>
      <c r="AE327" s="268"/>
      <c r="AF327" s="268"/>
      <c r="AG327" s="268"/>
      <c r="AH327" s="268"/>
      <c r="AI327" s="268"/>
      <c r="AJ327" s="268"/>
      <c r="AK327" s="268"/>
      <c r="AL327" s="268"/>
      <c r="AM327" s="268"/>
      <c r="AN327" s="259"/>
      <c r="AO327" s="268"/>
      <c r="AP327" s="268"/>
      <c r="AQ327" s="268"/>
      <c r="AR327" s="268"/>
      <c r="AS327" s="268"/>
      <c r="AT327" s="268"/>
      <c r="AU327" s="268"/>
      <c r="AV327" s="268"/>
      <c r="AW327" s="268"/>
      <c r="AX327" s="268"/>
      <c r="AY327" s="268"/>
      <c r="AZ327" s="268"/>
      <c r="BA327" s="268"/>
      <c r="BB327" s="268"/>
      <c r="BC327" s="268"/>
      <c r="BD327" s="287"/>
      <c r="BE327" s="268"/>
    </row>
    <row r="328" customFormat="false" ht="7.5" hidden="false" customHeight="true" outlineLevel="0" collapsed="false">
      <c r="A328" s="198"/>
      <c r="B328" s="266"/>
      <c r="C328" s="266"/>
      <c r="D328" s="266"/>
      <c r="E328" s="241"/>
      <c r="F328" s="241"/>
      <c r="G328" s="241"/>
      <c r="H328" s="204"/>
      <c r="I328" s="269"/>
      <c r="J328" s="269"/>
      <c r="K328" s="277"/>
      <c r="L328" s="269"/>
      <c r="M328" s="269"/>
      <c r="N328" s="269"/>
      <c r="O328" s="269"/>
      <c r="P328" s="269"/>
      <c r="Q328" s="269"/>
      <c r="R328" s="269"/>
      <c r="S328" s="269"/>
      <c r="T328" s="269"/>
      <c r="U328" s="269"/>
      <c r="V328" s="269"/>
      <c r="W328" s="269"/>
      <c r="X328" s="259"/>
      <c r="Y328" s="271"/>
      <c r="Z328" s="271"/>
      <c r="AA328" s="271"/>
      <c r="AB328" s="271"/>
      <c r="AC328" s="271"/>
      <c r="AD328" s="271"/>
      <c r="AE328" s="271"/>
      <c r="AF328" s="271"/>
      <c r="AG328" s="271"/>
      <c r="AH328" s="271"/>
      <c r="AI328" s="271"/>
      <c r="AJ328" s="272"/>
      <c r="AK328" s="273"/>
      <c r="AL328" s="273"/>
      <c r="AM328" s="273"/>
      <c r="AN328" s="259"/>
      <c r="AO328" s="271"/>
      <c r="AP328" s="271"/>
      <c r="AQ328" s="271"/>
      <c r="AR328" s="271"/>
      <c r="AS328" s="271"/>
      <c r="AT328" s="271"/>
      <c r="AU328" s="271"/>
      <c r="AV328" s="271"/>
      <c r="AW328" s="271"/>
      <c r="AX328" s="271"/>
      <c r="AY328" s="271"/>
      <c r="AZ328" s="272"/>
      <c r="BA328" s="273"/>
      <c r="BB328" s="273"/>
      <c r="BC328" s="273"/>
      <c r="BD328" s="287"/>
      <c r="BE328" s="274"/>
    </row>
    <row r="329" customFormat="false" ht="15" hidden="false" customHeight="true" outlineLevel="0" collapsed="false">
      <c r="B329" s="333"/>
      <c r="C329" s="334"/>
      <c r="D329" s="333" t="n">
        <f aca="false">D313</f>
        <v>45292</v>
      </c>
      <c r="E329" s="277" t="n">
        <v>0</v>
      </c>
      <c r="F329" s="277" t="n">
        <v>0</v>
      </c>
      <c r="G329" s="277" t="n">
        <f aca="false">SUM(E329:F329)</f>
        <v>0</v>
      </c>
      <c r="H329" s="204"/>
      <c r="I329" s="279" t="n">
        <v>1</v>
      </c>
      <c r="J329" s="280" t="n">
        <f aca="false">1-I329</f>
        <v>0</v>
      </c>
      <c r="K329" s="277"/>
      <c r="L329" s="282"/>
      <c r="M329" s="282"/>
      <c r="N329" s="282"/>
      <c r="O329" s="282"/>
      <c r="P329" s="282"/>
      <c r="Q329" s="282"/>
      <c r="R329" s="282"/>
      <c r="S329" s="282"/>
      <c r="T329" s="282"/>
      <c r="U329" s="282"/>
      <c r="V329" s="282"/>
      <c r="W329" s="282"/>
      <c r="X329" s="268"/>
      <c r="Y329" s="284" t="n">
        <f aca="false">IFERROR(L329*$G329*I$9, "")</f>
        <v>0</v>
      </c>
      <c r="Z329" s="284" t="n">
        <f aca="false">IFERROR(M329*$G329*$I329, "")</f>
        <v>0</v>
      </c>
      <c r="AA329" s="284" t="n">
        <f aca="false">IFERROR(N329*$G329*$I329, "")</f>
        <v>0</v>
      </c>
      <c r="AB329" s="284" t="n">
        <f aca="false">IFERROR(O329*$G329*$I329, "")</f>
        <v>0</v>
      </c>
      <c r="AC329" s="284" t="n">
        <f aca="false">IFERROR(P329*$G329*$I329, "")</f>
        <v>0</v>
      </c>
      <c r="AD329" s="284" t="n">
        <f aca="false">IFERROR(Q329*$G329*$I329, "")</f>
        <v>0</v>
      </c>
      <c r="AE329" s="284" t="n">
        <f aca="false">IFERROR(R329*$G329*$I329, "")</f>
        <v>0</v>
      </c>
      <c r="AF329" s="284" t="n">
        <f aca="false">IFERROR(S329*$G329*$I329, "")</f>
        <v>0</v>
      </c>
      <c r="AG329" s="284" t="n">
        <f aca="false">IFERROR(T329*$G329*$I329, "")</f>
        <v>0</v>
      </c>
      <c r="AH329" s="284" t="n">
        <f aca="false">IFERROR(U329*$G329*$I329, "")</f>
        <v>0</v>
      </c>
      <c r="AI329" s="284" t="n">
        <f aca="false">IFERROR(V329*$G329*$I329, "")</f>
        <v>0</v>
      </c>
      <c r="AJ329" s="284" t="n">
        <f aca="false">IFERROR(W329*$G329*$I329, "")</f>
        <v>0</v>
      </c>
      <c r="AK329" s="286" t="n">
        <f aca="false">IFERROR(SUMIF($Y$4:$AJ$4, "RDEC", Y329:AJ329), "")</f>
        <v>0</v>
      </c>
      <c r="AL329" s="286" t="n">
        <f aca="false">IFERROR(SUMIF($Y$4:$AJ$4, "SME", Y329:AJ329), "")</f>
        <v>0</v>
      </c>
      <c r="AM329" s="286" t="n">
        <f aca="false">IFERROR(SUMIF($Y$4:$AJ$4, "De Minimis", Y329:AJ329), "")</f>
        <v>0</v>
      </c>
      <c r="AN329" s="268"/>
      <c r="AO329" s="284" t="n">
        <f aca="false">IFERROR($G329*$J329*L329, "")</f>
        <v>0</v>
      </c>
      <c r="AP329" s="284" t="n">
        <f aca="false">IFERROR($G329*$J329*M329, "")</f>
        <v>0</v>
      </c>
      <c r="AQ329" s="284" t="n">
        <f aca="false">IFERROR($G329*$J329*N329, "")</f>
        <v>0</v>
      </c>
      <c r="AR329" s="284" t="n">
        <f aca="false">IFERROR($G329*$J329*O329, "")</f>
        <v>0</v>
      </c>
      <c r="AS329" s="284" t="n">
        <f aca="false">IFERROR($G329*$J329*P329, "")</f>
        <v>0</v>
      </c>
      <c r="AT329" s="284" t="n">
        <f aca="false">IFERROR($G329*$J329*Q329, "")</f>
        <v>0</v>
      </c>
      <c r="AU329" s="284" t="n">
        <f aca="false">IFERROR($G329*$J329*R329, "")</f>
        <v>0</v>
      </c>
      <c r="AV329" s="284" t="n">
        <f aca="false">IFERROR($G329*$J329*S329, "")</f>
        <v>0</v>
      </c>
      <c r="AW329" s="284" t="n">
        <f aca="false">IFERROR($G329*$J329*T329, "")</f>
        <v>0</v>
      </c>
      <c r="AX329" s="284" t="n">
        <f aca="false">IFERROR($G329*$J329*U329, "")</f>
        <v>0</v>
      </c>
      <c r="AY329" s="284" t="n">
        <f aca="false">IFERROR($G329*$J329*V329, "")</f>
        <v>0</v>
      </c>
      <c r="AZ329" s="284" t="n">
        <f aca="false">IFERROR($G329*$J329*W329, "")</f>
        <v>0</v>
      </c>
      <c r="BA329" s="286" t="n">
        <f aca="false">IFERROR(SUMIF($AO$4:$AZ$4, "RDEC", AO329:AZ329), "")</f>
        <v>0</v>
      </c>
      <c r="BB329" s="286" t="n">
        <f aca="false">IFERROR(SUMIF($AO$4:$AZ$4, "SME", AO329:AZ329), "")</f>
        <v>0</v>
      </c>
      <c r="BC329" s="286" t="n">
        <f aca="false">IFERROR(SUMIF($AO$4:$AZ$4, "De Minimis", AO329:AZ329), "")</f>
        <v>0</v>
      </c>
      <c r="BD329" s="287"/>
      <c r="BE329" s="288" t="str">
        <f aca="false">IF((SUM(L329:W329)&gt;1),"ERROR","")</f>
        <v/>
      </c>
    </row>
    <row r="330" customFormat="false" ht="15" hidden="false" customHeight="true" outlineLevel="0" collapsed="false">
      <c r="B330" s="333"/>
      <c r="C330" s="334"/>
      <c r="D330" s="333" t="n">
        <f aca="false">D314</f>
        <v>45323</v>
      </c>
      <c r="E330" s="277" t="n">
        <v>0</v>
      </c>
      <c r="F330" s="277" t="n">
        <v>0</v>
      </c>
      <c r="G330" s="277" t="n">
        <f aca="false">SUM(E330:F330)</f>
        <v>0</v>
      </c>
      <c r="H330" s="204"/>
      <c r="I330" s="279" t="n">
        <v>1</v>
      </c>
      <c r="J330" s="280" t="n">
        <f aca="false">1-I330</f>
        <v>0</v>
      </c>
      <c r="K330" s="277"/>
      <c r="L330" s="282"/>
      <c r="M330" s="282"/>
      <c r="N330" s="282"/>
      <c r="O330" s="282"/>
      <c r="P330" s="282"/>
      <c r="Q330" s="282"/>
      <c r="R330" s="282"/>
      <c r="S330" s="282"/>
      <c r="T330" s="282"/>
      <c r="U330" s="282"/>
      <c r="V330" s="282"/>
      <c r="W330" s="282"/>
      <c r="X330" s="283"/>
      <c r="Y330" s="284" t="n">
        <f aca="false">IFERROR(L330*$G330*I$9, "")</f>
        <v>0</v>
      </c>
      <c r="Z330" s="284" t="n">
        <f aca="false">IFERROR(M330*$G330*$I330, "")</f>
        <v>0</v>
      </c>
      <c r="AA330" s="284" t="n">
        <f aca="false">IFERROR(N330*$G330*$I330, "")</f>
        <v>0</v>
      </c>
      <c r="AB330" s="284" t="n">
        <f aca="false">IFERROR(O330*$G330*$I330, "")</f>
        <v>0</v>
      </c>
      <c r="AC330" s="284" t="n">
        <f aca="false">IFERROR(P330*$G330*$I330, "")</f>
        <v>0</v>
      </c>
      <c r="AD330" s="284" t="n">
        <f aca="false">IFERROR(Q330*$G330*$I330, "")</f>
        <v>0</v>
      </c>
      <c r="AE330" s="284" t="n">
        <f aca="false">IFERROR(R330*$G330*$I330, "")</f>
        <v>0</v>
      </c>
      <c r="AF330" s="284" t="n">
        <f aca="false">IFERROR(S330*$G330*$I330, "")</f>
        <v>0</v>
      </c>
      <c r="AG330" s="284" t="n">
        <f aca="false">IFERROR(T330*$G330*$I330, "")</f>
        <v>0</v>
      </c>
      <c r="AH330" s="284" t="n">
        <f aca="false">IFERROR(U330*$G330*$I330, "")</f>
        <v>0</v>
      </c>
      <c r="AI330" s="284" t="n">
        <f aca="false">IFERROR(V330*$G330*$I330, "")</f>
        <v>0</v>
      </c>
      <c r="AJ330" s="284" t="n">
        <f aca="false">IFERROR(W330*$G330*$I330, "")</f>
        <v>0</v>
      </c>
      <c r="AK330" s="286" t="n">
        <f aca="false">IFERROR(SUMIF($Y$4:$AJ$4, "RDEC", Y330:AJ330), "")</f>
        <v>0</v>
      </c>
      <c r="AL330" s="286" t="n">
        <f aca="false">IFERROR(SUMIF($Y$4:$AJ$4, "SME", Y330:AJ330), "")</f>
        <v>0</v>
      </c>
      <c r="AM330" s="286" t="n">
        <f aca="false">IFERROR(SUMIF($Y$4:$AJ$4, "De Minimis", Y330:AJ330), "")</f>
        <v>0</v>
      </c>
      <c r="AN330" s="283"/>
      <c r="AO330" s="284" t="n">
        <f aca="false">IFERROR($G330*$J330*L330, "")</f>
        <v>0</v>
      </c>
      <c r="AP330" s="284" t="n">
        <f aca="false">IFERROR($G330*$J330*M330, "")</f>
        <v>0</v>
      </c>
      <c r="AQ330" s="284" t="n">
        <f aca="false">IFERROR($G330*$J330*N330, "")</f>
        <v>0</v>
      </c>
      <c r="AR330" s="284" t="n">
        <f aca="false">IFERROR($G330*$J330*O330, "")</f>
        <v>0</v>
      </c>
      <c r="AS330" s="284" t="n">
        <f aca="false">IFERROR($G330*$J330*P330, "")</f>
        <v>0</v>
      </c>
      <c r="AT330" s="284" t="n">
        <f aca="false">IFERROR($G330*$J330*Q330, "")</f>
        <v>0</v>
      </c>
      <c r="AU330" s="284" t="n">
        <f aca="false">IFERROR($G330*$J330*R330, "")</f>
        <v>0</v>
      </c>
      <c r="AV330" s="284" t="n">
        <f aca="false">IFERROR($G330*$J330*S330, "")</f>
        <v>0</v>
      </c>
      <c r="AW330" s="284" t="n">
        <f aca="false">IFERROR($G330*$J330*T330, "")</f>
        <v>0</v>
      </c>
      <c r="AX330" s="284" t="n">
        <f aca="false">IFERROR($G330*$J330*U330, "")</f>
        <v>0</v>
      </c>
      <c r="AY330" s="284" t="n">
        <f aca="false">IFERROR($G330*$J330*V330, "")</f>
        <v>0</v>
      </c>
      <c r="AZ330" s="284" t="n">
        <f aca="false">IFERROR($G330*$J330*W330, "")</f>
        <v>0</v>
      </c>
      <c r="BA330" s="286" t="n">
        <f aca="false">IFERROR(SUMIF($AO$4:$AZ$4, "RDEC", AO330:AZ330), "")</f>
        <v>0</v>
      </c>
      <c r="BB330" s="286" t="n">
        <f aca="false">IFERROR(SUMIF($AO$4:$AZ$4, "SME", AO330:AZ330), "")</f>
        <v>0</v>
      </c>
      <c r="BC330" s="286" t="n">
        <f aca="false">IFERROR(SUMIF($Y$4:$AJ$4, "De Minimis", AO330:AZ330), "")</f>
        <v>0</v>
      </c>
      <c r="BD330" s="287"/>
      <c r="BE330" s="288" t="str">
        <f aca="false">IF((SUM(L330:W330)&gt;1),"ERROR","")</f>
        <v/>
      </c>
    </row>
    <row r="331" customFormat="false" ht="15" hidden="false" customHeight="true" outlineLevel="0" collapsed="false">
      <c r="B331" s="333"/>
      <c r="C331" s="334"/>
      <c r="D331" s="333" t="n">
        <f aca="false">D315</f>
        <v>45352</v>
      </c>
      <c r="E331" s="277" t="n">
        <v>0</v>
      </c>
      <c r="F331" s="277" t="n">
        <v>0</v>
      </c>
      <c r="G331" s="277" t="n">
        <f aca="false">SUM(E331:F331)</f>
        <v>0</v>
      </c>
      <c r="H331" s="204"/>
      <c r="I331" s="279" t="n">
        <v>1</v>
      </c>
      <c r="J331" s="280" t="n">
        <f aca="false">1-I331</f>
        <v>0</v>
      </c>
      <c r="K331" s="277"/>
      <c r="L331" s="282"/>
      <c r="M331" s="282"/>
      <c r="N331" s="282"/>
      <c r="O331" s="282"/>
      <c r="P331" s="282"/>
      <c r="Q331" s="282"/>
      <c r="R331" s="282"/>
      <c r="S331" s="282"/>
      <c r="T331" s="282"/>
      <c r="U331" s="282"/>
      <c r="V331" s="282"/>
      <c r="W331" s="282"/>
      <c r="X331" s="283"/>
      <c r="Y331" s="284" t="n">
        <f aca="false">IFERROR(L331*$G331*I$9, "")</f>
        <v>0</v>
      </c>
      <c r="Z331" s="284" t="n">
        <f aca="false">IFERROR(M331*$G331*$I331, "")</f>
        <v>0</v>
      </c>
      <c r="AA331" s="284" t="n">
        <f aca="false">IFERROR(N331*$G331*$I331, "")</f>
        <v>0</v>
      </c>
      <c r="AB331" s="284" t="n">
        <f aca="false">IFERROR(O331*$G331*$I331, "")</f>
        <v>0</v>
      </c>
      <c r="AC331" s="284" t="n">
        <f aca="false">IFERROR(P331*$G331*$I331, "")</f>
        <v>0</v>
      </c>
      <c r="AD331" s="284" t="n">
        <f aca="false">IFERROR(Q331*$G331*$I331, "")</f>
        <v>0</v>
      </c>
      <c r="AE331" s="284" t="n">
        <f aca="false">IFERROR(R331*$G331*$I331, "")</f>
        <v>0</v>
      </c>
      <c r="AF331" s="284" t="n">
        <f aca="false">IFERROR(S331*$G331*$I331, "")</f>
        <v>0</v>
      </c>
      <c r="AG331" s="284" t="n">
        <f aca="false">IFERROR(T331*$G331*$I331, "")</f>
        <v>0</v>
      </c>
      <c r="AH331" s="284" t="n">
        <f aca="false">IFERROR(U331*$G331*$I331, "")</f>
        <v>0</v>
      </c>
      <c r="AI331" s="284" t="n">
        <f aca="false">IFERROR(V331*$G331*$I331, "")</f>
        <v>0</v>
      </c>
      <c r="AJ331" s="284" t="n">
        <f aca="false">IFERROR(W331*$G331*$I331, "")</f>
        <v>0</v>
      </c>
      <c r="AK331" s="286" t="n">
        <f aca="false">IFERROR(SUMIF($Y$4:$AJ$4, "RDEC", Y331:AJ331), "")</f>
        <v>0</v>
      </c>
      <c r="AL331" s="286" t="n">
        <f aca="false">IFERROR(SUMIF($Y$4:$AJ$4, "SME", Y331:AJ331), "")</f>
        <v>0</v>
      </c>
      <c r="AM331" s="286" t="n">
        <f aca="false">IFERROR(SUMIF($Y$4:$AJ$4, "De Minimis", Y331:AJ331), "")</f>
        <v>0</v>
      </c>
      <c r="AN331" s="283"/>
      <c r="AO331" s="284" t="n">
        <f aca="false">IFERROR($G331*$J331*L331, "")</f>
        <v>0</v>
      </c>
      <c r="AP331" s="284" t="n">
        <f aca="false">IFERROR($G331*$J331*M331, "")</f>
        <v>0</v>
      </c>
      <c r="AQ331" s="284" t="n">
        <f aca="false">IFERROR($G331*$J331*N331, "")</f>
        <v>0</v>
      </c>
      <c r="AR331" s="284" t="n">
        <f aca="false">IFERROR($G331*$J331*O331, "")</f>
        <v>0</v>
      </c>
      <c r="AS331" s="284" t="n">
        <f aca="false">IFERROR($G331*$J331*P331, "")</f>
        <v>0</v>
      </c>
      <c r="AT331" s="284" t="n">
        <f aca="false">IFERROR($G331*$J331*Q331, "")</f>
        <v>0</v>
      </c>
      <c r="AU331" s="284" t="n">
        <f aca="false">IFERROR($G331*$J331*R331, "")</f>
        <v>0</v>
      </c>
      <c r="AV331" s="284" t="n">
        <f aca="false">IFERROR($G331*$J331*S331, "")</f>
        <v>0</v>
      </c>
      <c r="AW331" s="284" t="n">
        <f aca="false">IFERROR($G331*$J331*T331, "")</f>
        <v>0</v>
      </c>
      <c r="AX331" s="284" t="n">
        <f aca="false">IFERROR($G331*$J331*U331, "")</f>
        <v>0</v>
      </c>
      <c r="AY331" s="284" t="n">
        <f aca="false">IFERROR($G331*$J331*V331, "")</f>
        <v>0</v>
      </c>
      <c r="AZ331" s="284" t="n">
        <f aca="false">IFERROR($G331*$J331*W331, "")</f>
        <v>0</v>
      </c>
      <c r="BA331" s="286" t="n">
        <f aca="false">IFERROR(SUMIF($AO$4:$AZ$4, "RDEC", AO331:AZ331), "")</f>
        <v>0</v>
      </c>
      <c r="BB331" s="286" t="n">
        <f aca="false">IFERROR(SUMIF($AO$4:$AZ$4, "SME", AO331:AZ331), "")</f>
        <v>0</v>
      </c>
      <c r="BC331" s="286" t="n">
        <f aca="false">IFERROR(SUMIF($Y$4:$AJ$4, "De Minimis", AO331:AZ331), "")</f>
        <v>0</v>
      </c>
      <c r="BD331" s="287"/>
      <c r="BE331" s="288" t="str">
        <f aca="false">IF((SUM(L331:W331)&gt;1),"ERROR","")</f>
        <v/>
      </c>
    </row>
    <row r="332" customFormat="false" ht="15" hidden="false" customHeight="true" outlineLevel="0" collapsed="false">
      <c r="B332" s="333"/>
      <c r="C332" s="334"/>
      <c r="D332" s="333" t="n">
        <f aca="false">D316</f>
        <v>45383</v>
      </c>
      <c r="E332" s="277" t="n">
        <v>0</v>
      </c>
      <c r="F332" s="277" t="n">
        <v>0</v>
      </c>
      <c r="G332" s="277" t="n">
        <f aca="false">SUM(E332:F332)</f>
        <v>0</v>
      </c>
      <c r="H332" s="204"/>
      <c r="I332" s="279" t="n">
        <v>1</v>
      </c>
      <c r="J332" s="280" t="n">
        <f aca="false">1-I332</f>
        <v>0</v>
      </c>
      <c r="K332" s="277"/>
      <c r="L332" s="282"/>
      <c r="M332" s="282"/>
      <c r="N332" s="282"/>
      <c r="O332" s="282"/>
      <c r="P332" s="282"/>
      <c r="Q332" s="282"/>
      <c r="R332" s="282"/>
      <c r="S332" s="282"/>
      <c r="T332" s="282"/>
      <c r="U332" s="282"/>
      <c r="V332" s="282"/>
      <c r="W332" s="282"/>
      <c r="X332" s="283"/>
      <c r="Y332" s="284" t="n">
        <f aca="false">IFERROR(L332*$G332*I$9, "")</f>
        <v>0</v>
      </c>
      <c r="Z332" s="284" t="n">
        <f aca="false">IFERROR(M332*$G332*$I332, "")</f>
        <v>0</v>
      </c>
      <c r="AA332" s="284" t="n">
        <f aca="false">IFERROR(N332*$G332*$I332, "")</f>
        <v>0</v>
      </c>
      <c r="AB332" s="284" t="n">
        <f aca="false">IFERROR(O332*$G332*$I332, "")</f>
        <v>0</v>
      </c>
      <c r="AC332" s="284" t="n">
        <f aca="false">IFERROR(P332*$G332*$I332, "")</f>
        <v>0</v>
      </c>
      <c r="AD332" s="284" t="n">
        <f aca="false">IFERROR(Q332*$G332*$I332, "")</f>
        <v>0</v>
      </c>
      <c r="AE332" s="284" t="n">
        <f aca="false">IFERROR(R332*$G332*$I332, "")</f>
        <v>0</v>
      </c>
      <c r="AF332" s="284" t="n">
        <f aca="false">IFERROR(S332*$G332*$I332, "")</f>
        <v>0</v>
      </c>
      <c r="AG332" s="284" t="n">
        <f aca="false">IFERROR(T332*$G332*$I332, "")</f>
        <v>0</v>
      </c>
      <c r="AH332" s="284" t="n">
        <f aca="false">IFERROR(U332*$G332*$I332, "")</f>
        <v>0</v>
      </c>
      <c r="AI332" s="284" t="n">
        <f aca="false">IFERROR(V332*$G332*$I332, "")</f>
        <v>0</v>
      </c>
      <c r="AJ332" s="284" t="n">
        <f aca="false">IFERROR(W332*$G332*$I332, "")</f>
        <v>0</v>
      </c>
      <c r="AK332" s="286" t="n">
        <f aca="false">IFERROR(SUMIF($Y$4:$AJ$4, "RDEC", Y332:AJ332), "")</f>
        <v>0</v>
      </c>
      <c r="AL332" s="286" t="n">
        <f aca="false">IFERROR(SUMIF($Y$4:$AJ$4, "SME", Y332:AJ332), "")</f>
        <v>0</v>
      </c>
      <c r="AM332" s="286" t="n">
        <f aca="false">IFERROR(SUMIF($Y$4:$AJ$4, "De Minimis", Y332:AJ332), "")</f>
        <v>0</v>
      </c>
      <c r="AN332" s="283"/>
      <c r="AO332" s="284" t="n">
        <f aca="false">IFERROR($G332*$J332*L332, "")</f>
        <v>0</v>
      </c>
      <c r="AP332" s="284" t="n">
        <f aca="false">IFERROR($G332*$J332*M332, "")</f>
        <v>0</v>
      </c>
      <c r="AQ332" s="284" t="n">
        <f aca="false">IFERROR($G332*$J332*N332, "")</f>
        <v>0</v>
      </c>
      <c r="AR332" s="284" t="n">
        <f aca="false">IFERROR($G332*$J332*O332, "")</f>
        <v>0</v>
      </c>
      <c r="AS332" s="284" t="n">
        <f aca="false">IFERROR($G332*$J332*P332, "")</f>
        <v>0</v>
      </c>
      <c r="AT332" s="284" t="n">
        <f aca="false">IFERROR($G332*$J332*Q332, "")</f>
        <v>0</v>
      </c>
      <c r="AU332" s="284" t="n">
        <f aca="false">IFERROR($G332*$J332*R332, "")</f>
        <v>0</v>
      </c>
      <c r="AV332" s="284" t="n">
        <f aca="false">IFERROR($G332*$J332*S332, "")</f>
        <v>0</v>
      </c>
      <c r="AW332" s="284" t="n">
        <f aca="false">IFERROR($G332*$J332*T332, "")</f>
        <v>0</v>
      </c>
      <c r="AX332" s="284" t="n">
        <f aca="false">IFERROR($G332*$J332*U332, "")</f>
        <v>0</v>
      </c>
      <c r="AY332" s="284" t="n">
        <f aca="false">IFERROR($G332*$J332*V332, "")</f>
        <v>0</v>
      </c>
      <c r="AZ332" s="284" t="n">
        <f aca="false">IFERROR($G332*$J332*W332, "")</f>
        <v>0</v>
      </c>
      <c r="BA332" s="286" t="n">
        <f aca="false">IFERROR(SUMIF($AO$4:$AZ$4, "RDEC", AO332:AZ332), "")</f>
        <v>0</v>
      </c>
      <c r="BB332" s="286" t="n">
        <f aca="false">IFERROR(SUMIF($AO$4:$AZ$4, "SME", AO332:AZ332), "")</f>
        <v>0</v>
      </c>
      <c r="BC332" s="286" t="n">
        <f aca="false">IFERROR(SUMIF($Y$4:$AJ$4, "De Minimis", AO332:AZ332), "")</f>
        <v>0</v>
      </c>
      <c r="BD332" s="287"/>
      <c r="BE332" s="288" t="str">
        <f aca="false">IF((SUM(L332:W332)&gt;1),"ERROR","")</f>
        <v/>
      </c>
    </row>
    <row r="333" customFormat="false" ht="15" hidden="false" customHeight="true" outlineLevel="0" collapsed="false">
      <c r="B333" s="333"/>
      <c r="C333" s="334"/>
      <c r="D333" s="333" t="n">
        <f aca="false">D317</f>
        <v>45413</v>
      </c>
      <c r="E333" s="277" t="n">
        <v>0</v>
      </c>
      <c r="F333" s="277" t="n">
        <v>0</v>
      </c>
      <c r="G333" s="277" t="n">
        <f aca="false">SUM(E333:F333)</f>
        <v>0</v>
      </c>
      <c r="H333" s="204"/>
      <c r="I333" s="279" t="n">
        <v>1</v>
      </c>
      <c r="J333" s="280" t="n">
        <f aca="false">1-I333</f>
        <v>0</v>
      </c>
      <c r="K333" s="277"/>
      <c r="L333" s="282"/>
      <c r="M333" s="282"/>
      <c r="N333" s="282"/>
      <c r="O333" s="282"/>
      <c r="P333" s="282"/>
      <c r="Q333" s="282"/>
      <c r="R333" s="282"/>
      <c r="S333" s="282"/>
      <c r="T333" s="282"/>
      <c r="U333" s="282"/>
      <c r="V333" s="282"/>
      <c r="W333" s="282"/>
      <c r="X333" s="283"/>
      <c r="Y333" s="284" t="n">
        <f aca="false">IFERROR(L333*$G333*I$9, "")</f>
        <v>0</v>
      </c>
      <c r="Z333" s="284" t="n">
        <f aca="false">IFERROR(M333*$G333*$I333, "")</f>
        <v>0</v>
      </c>
      <c r="AA333" s="284" t="n">
        <f aca="false">IFERROR(N333*$G333*$I333, "")</f>
        <v>0</v>
      </c>
      <c r="AB333" s="284" t="n">
        <f aca="false">IFERROR(O333*$G333*$I333, "")</f>
        <v>0</v>
      </c>
      <c r="AC333" s="284" t="n">
        <f aca="false">IFERROR(P333*$G333*$I333, "")</f>
        <v>0</v>
      </c>
      <c r="AD333" s="284" t="n">
        <f aca="false">IFERROR(Q333*$G333*$I333, "")</f>
        <v>0</v>
      </c>
      <c r="AE333" s="284" t="n">
        <f aca="false">IFERROR(R333*$G333*$I333, "")</f>
        <v>0</v>
      </c>
      <c r="AF333" s="284" t="n">
        <f aca="false">IFERROR(S333*$G333*$I333, "")</f>
        <v>0</v>
      </c>
      <c r="AG333" s="284" t="n">
        <f aca="false">IFERROR(T333*$G333*$I333, "")</f>
        <v>0</v>
      </c>
      <c r="AH333" s="284" t="n">
        <f aca="false">IFERROR(U333*$G333*$I333, "")</f>
        <v>0</v>
      </c>
      <c r="AI333" s="284" t="n">
        <f aca="false">IFERROR(V333*$G333*$I333, "")</f>
        <v>0</v>
      </c>
      <c r="AJ333" s="284" t="n">
        <f aca="false">IFERROR(W333*$G333*$I333, "")</f>
        <v>0</v>
      </c>
      <c r="AK333" s="286" t="n">
        <f aca="false">IFERROR(SUMIF($Y$4:$AJ$4, "RDEC", Y333:AJ333), "")</f>
        <v>0</v>
      </c>
      <c r="AL333" s="286" t="n">
        <f aca="false">IFERROR(SUMIF($Y$4:$AJ$4, "SME", Y333:AJ333), "")</f>
        <v>0</v>
      </c>
      <c r="AM333" s="286" t="n">
        <f aca="false">IFERROR(SUMIF($Y$4:$AJ$4, "De Minimis", Y333:AJ333), "")</f>
        <v>0</v>
      </c>
      <c r="AN333" s="283"/>
      <c r="AO333" s="284" t="n">
        <f aca="false">IFERROR($G333*$J333*L333, "")</f>
        <v>0</v>
      </c>
      <c r="AP333" s="284" t="n">
        <f aca="false">IFERROR($G333*$J333*M333, "")</f>
        <v>0</v>
      </c>
      <c r="AQ333" s="284" t="n">
        <f aca="false">IFERROR($G333*$J333*N333, "")</f>
        <v>0</v>
      </c>
      <c r="AR333" s="284" t="n">
        <f aca="false">IFERROR($G333*$J333*O333, "")</f>
        <v>0</v>
      </c>
      <c r="AS333" s="284" t="n">
        <f aca="false">IFERROR($G333*$J333*P333, "")</f>
        <v>0</v>
      </c>
      <c r="AT333" s="284" t="n">
        <f aca="false">IFERROR($G333*$J333*Q333, "")</f>
        <v>0</v>
      </c>
      <c r="AU333" s="284" t="n">
        <f aca="false">IFERROR($G333*$J333*R333, "")</f>
        <v>0</v>
      </c>
      <c r="AV333" s="284" t="n">
        <f aca="false">IFERROR($G333*$J333*S333, "")</f>
        <v>0</v>
      </c>
      <c r="AW333" s="284" t="n">
        <f aca="false">IFERROR($G333*$J333*T333, "")</f>
        <v>0</v>
      </c>
      <c r="AX333" s="284" t="n">
        <f aca="false">IFERROR($G333*$J333*U333, "")</f>
        <v>0</v>
      </c>
      <c r="AY333" s="284" t="n">
        <f aca="false">IFERROR($G333*$J333*V333, "")</f>
        <v>0</v>
      </c>
      <c r="AZ333" s="284" t="n">
        <f aca="false">IFERROR($G333*$J333*W333, "")</f>
        <v>0</v>
      </c>
      <c r="BA333" s="286" t="n">
        <f aca="false">IFERROR(SUMIF($AO$4:$AZ$4, "RDEC", AO333:AZ333), "")</f>
        <v>0</v>
      </c>
      <c r="BB333" s="286" t="n">
        <f aca="false">IFERROR(SUMIF($AO$4:$AZ$4, "SME", AO333:AZ333), "")</f>
        <v>0</v>
      </c>
      <c r="BC333" s="286" t="n">
        <f aca="false">IFERROR(SUMIF($Y$4:$AJ$4, "De Minimis", AO333:AZ333), "")</f>
        <v>0</v>
      </c>
      <c r="BD333" s="287"/>
      <c r="BE333" s="288" t="str">
        <f aca="false">IF((SUM(L333:W333)&gt;1),"ERROR","")</f>
        <v/>
      </c>
    </row>
    <row r="334" customFormat="false" ht="15" hidden="false" customHeight="true" outlineLevel="0" collapsed="false">
      <c r="B334" s="333"/>
      <c r="C334" s="334"/>
      <c r="D334" s="333" t="n">
        <f aca="false">D318</f>
        <v>45444</v>
      </c>
      <c r="E334" s="277" t="n">
        <v>0</v>
      </c>
      <c r="F334" s="277" t="n">
        <v>0</v>
      </c>
      <c r="G334" s="277" t="n">
        <f aca="false">SUM(E334:F334)</f>
        <v>0</v>
      </c>
      <c r="H334" s="204"/>
      <c r="I334" s="279" t="n">
        <v>1</v>
      </c>
      <c r="J334" s="280" t="n">
        <f aca="false">1-I334</f>
        <v>0</v>
      </c>
      <c r="K334" s="277"/>
      <c r="L334" s="282"/>
      <c r="M334" s="282"/>
      <c r="N334" s="282"/>
      <c r="O334" s="282"/>
      <c r="P334" s="282"/>
      <c r="Q334" s="282"/>
      <c r="R334" s="282"/>
      <c r="S334" s="282"/>
      <c r="T334" s="282"/>
      <c r="U334" s="282"/>
      <c r="V334" s="282"/>
      <c r="W334" s="282"/>
      <c r="X334" s="283"/>
      <c r="Y334" s="284" t="n">
        <f aca="false">IFERROR(L334*$G334*I$9, "")</f>
        <v>0</v>
      </c>
      <c r="Z334" s="284" t="n">
        <f aca="false">IFERROR(M334*$G334*$I334, "")</f>
        <v>0</v>
      </c>
      <c r="AA334" s="284" t="n">
        <f aca="false">IFERROR(N334*$G334*$I334, "")</f>
        <v>0</v>
      </c>
      <c r="AB334" s="284" t="n">
        <f aca="false">IFERROR(O334*$G334*$I334, "")</f>
        <v>0</v>
      </c>
      <c r="AC334" s="284" t="n">
        <f aca="false">IFERROR(P334*$G334*$I334, "")</f>
        <v>0</v>
      </c>
      <c r="AD334" s="284" t="n">
        <f aca="false">IFERROR(Q334*$G334*$I334, "")</f>
        <v>0</v>
      </c>
      <c r="AE334" s="284" t="n">
        <f aca="false">IFERROR(R334*$G334*$I334, "")</f>
        <v>0</v>
      </c>
      <c r="AF334" s="284" t="n">
        <f aca="false">IFERROR(S334*$G334*$I334, "")</f>
        <v>0</v>
      </c>
      <c r="AG334" s="284" t="n">
        <f aca="false">IFERROR(T334*$G334*$I334, "")</f>
        <v>0</v>
      </c>
      <c r="AH334" s="284" t="n">
        <f aca="false">IFERROR(U334*$G334*$I334, "")</f>
        <v>0</v>
      </c>
      <c r="AI334" s="284" t="n">
        <f aca="false">IFERROR(V334*$G334*$I334, "")</f>
        <v>0</v>
      </c>
      <c r="AJ334" s="284" t="n">
        <f aca="false">IFERROR(W334*$G334*$I334, "")</f>
        <v>0</v>
      </c>
      <c r="AK334" s="286" t="n">
        <f aca="false">IFERROR(SUMIF($Y$4:$AJ$4, "RDEC", Y334:AJ334), "")</f>
        <v>0</v>
      </c>
      <c r="AL334" s="286" t="n">
        <f aca="false">IFERROR(SUMIF($Y$4:$AJ$4, "SME", Y334:AJ334), "")</f>
        <v>0</v>
      </c>
      <c r="AM334" s="286" t="n">
        <f aca="false">IFERROR(SUMIF($Y$4:$AJ$4, "De Minimis", Y334:AJ334), "")</f>
        <v>0</v>
      </c>
      <c r="AN334" s="283"/>
      <c r="AO334" s="284" t="n">
        <f aca="false">IFERROR($G334*$J334*L334, "")</f>
        <v>0</v>
      </c>
      <c r="AP334" s="284" t="n">
        <f aca="false">IFERROR($G334*$J334*M334, "")</f>
        <v>0</v>
      </c>
      <c r="AQ334" s="284" t="n">
        <f aca="false">IFERROR($G334*$J334*N334, "")</f>
        <v>0</v>
      </c>
      <c r="AR334" s="284" t="n">
        <f aca="false">IFERROR($G334*$J334*O334, "")</f>
        <v>0</v>
      </c>
      <c r="AS334" s="284" t="n">
        <f aca="false">IFERROR($G334*$J334*P334, "")</f>
        <v>0</v>
      </c>
      <c r="AT334" s="284" t="n">
        <f aca="false">IFERROR($G334*$J334*Q334, "")</f>
        <v>0</v>
      </c>
      <c r="AU334" s="284" t="n">
        <f aca="false">IFERROR($G334*$J334*R334, "")</f>
        <v>0</v>
      </c>
      <c r="AV334" s="284" t="n">
        <f aca="false">IFERROR($G334*$J334*S334, "")</f>
        <v>0</v>
      </c>
      <c r="AW334" s="284" t="n">
        <f aca="false">IFERROR($G334*$J334*T334, "")</f>
        <v>0</v>
      </c>
      <c r="AX334" s="284" t="n">
        <f aca="false">IFERROR($G334*$J334*U334, "")</f>
        <v>0</v>
      </c>
      <c r="AY334" s="284" t="n">
        <f aca="false">IFERROR($G334*$J334*V334, "")</f>
        <v>0</v>
      </c>
      <c r="AZ334" s="284" t="n">
        <f aca="false">IFERROR($G334*$J334*W334, "")</f>
        <v>0</v>
      </c>
      <c r="BA334" s="286" t="n">
        <f aca="false">IFERROR(SUMIF($AO$4:$AZ$4, "RDEC", AO334:AZ334), "")</f>
        <v>0</v>
      </c>
      <c r="BB334" s="286" t="n">
        <f aca="false">IFERROR(SUMIF($AO$4:$AZ$4, "SME", AO334:AZ334), "")</f>
        <v>0</v>
      </c>
      <c r="BC334" s="286" t="n">
        <f aca="false">IFERROR(SUMIF($Y$4:$AJ$4, "De Minimis", AO334:AZ334), "")</f>
        <v>0</v>
      </c>
      <c r="BD334" s="287"/>
      <c r="BE334" s="288" t="str">
        <f aca="false">IF((SUM(L334:W334)&gt;1),"ERROR","")</f>
        <v/>
      </c>
    </row>
    <row r="335" customFormat="false" ht="15" hidden="false" customHeight="true" outlineLevel="0" collapsed="false">
      <c r="B335" s="333"/>
      <c r="C335" s="334"/>
      <c r="D335" s="333" t="n">
        <f aca="false">D319</f>
        <v>45474</v>
      </c>
      <c r="E335" s="277" t="n">
        <v>0</v>
      </c>
      <c r="F335" s="277" t="n">
        <v>0</v>
      </c>
      <c r="G335" s="277" t="n">
        <f aca="false">SUM(E335:F335)</f>
        <v>0</v>
      </c>
      <c r="H335" s="204"/>
      <c r="I335" s="279" t="n">
        <v>1</v>
      </c>
      <c r="J335" s="280" t="n">
        <f aca="false">1-I335</f>
        <v>0</v>
      </c>
      <c r="K335" s="277"/>
      <c r="L335" s="282"/>
      <c r="M335" s="282"/>
      <c r="N335" s="282"/>
      <c r="O335" s="282"/>
      <c r="P335" s="282"/>
      <c r="Q335" s="282"/>
      <c r="R335" s="282"/>
      <c r="S335" s="282"/>
      <c r="T335" s="282"/>
      <c r="U335" s="282"/>
      <c r="V335" s="282"/>
      <c r="W335" s="282"/>
      <c r="X335" s="283"/>
      <c r="Y335" s="284" t="n">
        <f aca="false">IFERROR(L335*$G335*I$9, "")</f>
        <v>0</v>
      </c>
      <c r="Z335" s="284" t="n">
        <f aca="false">IFERROR(M335*$G335*$I335, "")</f>
        <v>0</v>
      </c>
      <c r="AA335" s="284" t="n">
        <f aca="false">IFERROR(N335*$G335*$I335, "")</f>
        <v>0</v>
      </c>
      <c r="AB335" s="284" t="n">
        <f aca="false">IFERROR(O335*$G335*$I335, "")</f>
        <v>0</v>
      </c>
      <c r="AC335" s="284" t="n">
        <f aca="false">IFERROR(P335*$G335*$I335, "")</f>
        <v>0</v>
      </c>
      <c r="AD335" s="284" t="n">
        <f aca="false">IFERROR(Q335*$G335*$I335, "")</f>
        <v>0</v>
      </c>
      <c r="AE335" s="284" t="n">
        <f aca="false">IFERROR(R335*$G335*$I335, "")</f>
        <v>0</v>
      </c>
      <c r="AF335" s="284" t="n">
        <f aca="false">IFERROR(S335*$G335*$I335, "")</f>
        <v>0</v>
      </c>
      <c r="AG335" s="284" t="n">
        <f aca="false">IFERROR(T335*$G335*$I335, "")</f>
        <v>0</v>
      </c>
      <c r="AH335" s="284" t="n">
        <f aca="false">IFERROR(U335*$G335*$I335, "")</f>
        <v>0</v>
      </c>
      <c r="AI335" s="284" t="n">
        <f aca="false">IFERROR(V335*$G335*$I335, "")</f>
        <v>0</v>
      </c>
      <c r="AJ335" s="284" t="n">
        <f aca="false">IFERROR(W335*$G335*$I335, "")</f>
        <v>0</v>
      </c>
      <c r="AK335" s="286" t="n">
        <f aca="false">IFERROR(SUMIF($Y$4:$AJ$4, "RDEC", Y335:AJ335), "")</f>
        <v>0</v>
      </c>
      <c r="AL335" s="286" t="n">
        <f aca="false">IFERROR(SUMIF($Y$4:$AJ$4, "SME", Y335:AJ335), "")</f>
        <v>0</v>
      </c>
      <c r="AM335" s="286" t="n">
        <f aca="false">IFERROR(SUMIF($Y$4:$AJ$4, "De Minimis", Y335:AJ335), "")</f>
        <v>0</v>
      </c>
      <c r="AN335" s="283"/>
      <c r="AO335" s="284" t="n">
        <f aca="false">IFERROR($G335*$J335*L335, "")</f>
        <v>0</v>
      </c>
      <c r="AP335" s="284" t="n">
        <f aca="false">IFERROR($G335*$J335*M335, "")</f>
        <v>0</v>
      </c>
      <c r="AQ335" s="284" t="n">
        <f aca="false">IFERROR($G335*$J335*N335, "")</f>
        <v>0</v>
      </c>
      <c r="AR335" s="284" t="n">
        <f aca="false">IFERROR($G335*$J335*O335, "")</f>
        <v>0</v>
      </c>
      <c r="AS335" s="284" t="n">
        <f aca="false">IFERROR($G335*$J335*P335, "")</f>
        <v>0</v>
      </c>
      <c r="AT335" s="284" t="n">
        <f aca="false">IFERROR($G335*$J335*Q335, "")</f>
        <v>0</v>
      </c>
      <c r="AU335" s="284" t="n">
        <f aca="false">IFERROR($G335*$J335*R335, "")</f>
        <v>0</v>
      </c>
      <c r="AV335" s="284" t="n">
        <f aca="false">IFERROR($G335*$J335*S335, "")</f>
        <v>0</v>
      </c>
      <c r="AW335" s="284" t="n">
        <f aca="false">IFERROR($G335*$J335*T335, "")</f>
        <v>0</v>
      </c>
      <c r="AX335" s="284" t="n">
        <f aca="false">IFERROR($G335*$J335*U335, "")</f>
        <v>0</v>
      </c>
      <c r="AY335" s="284" t="n">
        <f aca="false">IFERROR($G335*$J335*V335, "")</f>
        <v>0</v>
      </c>
      <c r="AZ335" s="284" t="n">
        <f aca="false">IFERROR($G335*$J335*W335, "")</f>
        <v>0</v>
      </c>
      <c r="BA335" s="286" t="n">
        <f aca="false">IFERROR(SUMIF($AO$4:$AZ$4, "RDEC", AO335:AZ335), "")</f>
        <v>0</v>
      </c>
      <c r="BB335" s="286" t="n">
        <f aca="false">IFERROR(SUMIF($AO$4:$AZ$4, "SME", AO335:AZ335), "")</f>
        <v>0</v>
      </c>
      <c r="BC335" s="286" t="n">
        <f aca="false">IFERROR(SUMIF($Y$4:$AJ$4, "De Minimis", AO335:AZ335), "")</f>
        <v>0</v>
      </c>
      <c r="BD335" s="287"/>
      <c r="BE335" s="288" t="str">
        <f aca="false">IF((SUM(L335:W335)&gt;1),"ERROR","")</f>
        <v/>
      </c>
    </row>
    <row r="336" customFormat="false" ht="15" hidden="false" customHeight="true" outlineLevel="0" collapsed="false">
      <c r="B336" s="333"/>
      <c r="C336" s="334"/>
      <c r="D336" s="333" t="n">
        <f aca="false">D320</f>
        <v>45505</v>
      </c>
      <c r="E336" s="277" t="n">
        <v>0</v>
      </c>
      <c r="F336" s="277" t="n">
        <v>0</v>
      </c>
      <c r="G336" s="277" t="n">
        <f aca="false">SUM(E336:F336)</f>
        <v>0</v>
      </c>
      <c r="H336" s="204"/>
      <c r="I336" s="279" t="n">
        <v>1</v>
      </c>
      <c r="J336" s="280" t="n">
        <f aca="false">1-I336</f>
        <v>0</v>
      </c>
      <c r="K336" s="277"/>
      <c r="L336" s="282"/>
      <c r="M336" s="282"/>
      <c r="N336" s="282"/>
      <c r="O336" s="282"/>
      <c r="P336" s="282"/>
      <c r="Q336" s="282"/>
      <c r="R336" s="282"/>
      <c r="S336" s="282"/>
      <c r="T336" s="282"/>
      <c r="U336" s="282"/>
      <c r="V336" s="282"/>
      <c r="W336" s="282"/>
      <c r="X336" s="283"/>
      <c r="Y336" s="284" t="n">
        <f aca="false">IFERROR(L336*$G336*I$9, "")</f>
        <v>0</v>
      </c>
      <c r="Z336" s="284" t="n">
        <f aca="false">IFERROR(M336*$G336*$I336, "")</f>
        <v>0</v>
      </c>
      <c r="AA336" s="284" t="n">
        <f aca="false">IFERROR(N336*$G336*$I336, "")</f>
        <v>0</v>
      </c>
      <c r="AB336" s="284" t="n">
        <f aca="false">IFERROR(O336*$G336*$I336, "")</f>
        <v>0</v>
      </c>
      <c r="AC336" s="284" t="n">
        <f aca="false">IFERROR(P336*$G336*$I336, "")</f>
        <v>0</v>
      </c>
      <c r="AD336" s="284" t="n">
        <f aca="false">IFERROR(Q336*$G336*$I336, "")</f>
        <v>0</v>
      </c>
      <c r="AE336" s="284" t="n">
        <f aca="false">IFERROR(R336*$G336*$I336, "")</f>
        <v>0</v>
      </c>
      <c r="AF336" s="284" t="n">
        <f aca="false">IFERROR(S336*$G336*$I336, "")</f>
        <v>0</v>
      </c>
      <c r="AG336" s="284" t="n">
        <f aca="false">IFERROR(T336*$G336*$I336, "")</f>
        <v>0</v>
      </c>
      <c r="AH336" s="284" t="n">
        <f aca="false">IFERROR(U336*$G336*$I336, "")</f>
        <v>0</v>
      </c>
      <c r="AI336" s="284" t="n">
        <f aca="false">IFERROR(V336*$G336*$I336, "")</f>
        <v>0</v>
      </c>
      <c r="AJ336" s="284" t="n">
        <f aca="false">IFERROR(W336*$G336*$I336, "")</f>
        <v>0</v>
      </c>
      <c r="AK336" s="286" t="n">
        <f aca="false">IFERROR(SUMIF($Y$4:$AJ$4, "RDEC", Y336:AJ336), "")</f>
        <v>0</v>
      </c>
      <c r="AL336" s="286" t="n">
        <f aca="false">IFERROR(SUMIF($Y$4:$AJ$4, "SME", Y336:AJ336), "")</f>
        <v>0</v>
      </c>
      <c r="AM336" s="286" t="n">
        <f aca="false">IFERROR(SUMIF($Y$4:$AJ$4, "De Minimis", Y336:AJ336), "")</f>
        <v>0</v>
      </c>
      <c r="AN336" s="283"/>
      <c r="AO336" s="284" t="n">
        <f aca="false">IFERROR($G336*$J336*L336, "")</f>
        <v>0</v>
      </c>
      <c r="AP336" s="284" t="n">
        <f aca="false">IFERROR($G336*$J336*M336, "")</f>
        <v>0</v>
      </c>
      <c r="AQ336" s="284" t="n">
        <f aca="false">IFERROR($G336*$J336*N336, "")</f>
        <v>0</v>
      </c>
      <c r="AR336" s="284" t="n">
        <f aca="false">IFERROR($G336*$J336*O336, "")</f>
        <v>0</v>
      </c>
      <c r="AS336" s="284" t="n">
        <f aca="false">IFERROR($G336*$J336*P336, "")</f>
        <v>0</v>
      </c>
      <c r="AT336" s="284" t="n">
        <f aca="false">IFERROR($G336*$J336*Q336, "")</f>
        <v>0</v>
      </c>
      <c r="AU336" s="284" t="n">
        <f aca="false">IFERROR($G336*$J336*R336, "")</f>
        <v>0</v>
      </c>
      <c r="AV336" s="284" t="n">
        <f aca="false">IFERROR($G336*$J336*S336, "")</f>
        <v>0</v>
      </c>
      <c r="AW336" s="284" t="n">
        <f aca="false">IFERROR($G336*$J336*T336, "")</f>
        <v>0</v>
      </c>
      <c r="AX336" s="284" t="n">
        <f aca="false">IFERROR($G336*$J336*U336, "")</f>
        <v>0</v>
      </c>
      <c r="AY336" s="284" t="n">
        <f aca="false">IFERROR($G336*$J336*V336, "")</f>
        <v>0</v>
      </c>
      <c r="AZ336" s="284" t="n">
        <f aca="false">IFERROR($G336*$J336*W336, "")</f>
        <v>0</v>
      </c>
      <c r="BA336" s="286" t="n">
        <f aca="false">IFERROR(SUMIF($AO$4:$AZ$4, "RDEC", AO336:AZ336), "")</f>
        <v>0</v>
      </c>
      <c r="BB336" s="286" t="n">
        <f aca="false">IFERROR(SUMIF($AO$4:$AZ$4, "SME", AO336:AZ336), "")</f>
        <v>0</v>
      </c>
      <c r="BC336" s="286" t="n">
        <f aca="false">IFERROR(SUMIF($Y$4:$AJ$4, "De Minimis", AO336:AZ336), "")</f>
        <v>0</v>
      </c>
      <c r="BD336" s="287"/>
      <c r="BE336" s="288" t="str">
        <f aca="false">IF((SUM(L336:W336)&gt;1),"ERROR","")</f>
        <v/>
      </c>
    </row>
    <row r="337" customFormat="false" ht="15" hidden="false" customHeight="true" outlineLevel="0" collapsed="false">
      <c r="B337" s="333"/>
      <c r="C337" s="334"/>
      <c r="D337" s="333" t="n">
        <f aca="false">D321</f>
        <v>45536</v>
      </c>
      <c r="E337" s="277" t="n">
        <v>0</v>
      </c>
      <c r="F337" s="277" t="n">
        <v>0</v>
      </c>
      <c r="G337" s="277" t="n">
        <f aca="false">SUM(E337:F337)</f>
        <v>0</v>
      </c>
      <c r="H337" s="204"/>
      <c r="I337" s="279" t="n">
        <v>1</v>
      </c>
      <c r="J337" s="280" t="n">
        <f aca="false">1-I337</f>
        <v>0</v>
      </c>
      <c r="K337" s="277"/>
      <c r="L337" s="282"/>
      <c r="M337" s="282"/>
      <c r="N337" s="282"/>
      <c r="O337" s="282"/>
      <c r="P337" s="282"/>
      <c r="Q337" s="282"/>
      <c r="R337" s="282"/>
      <c r="S337" s="282"/>
      <c r="T337" s="282"/>
      <c r="U337" s="282"/>
      <c r="V337" s="282"/>
      <c r="W337" s="282"/>
      <c r="X337" s="283"/>
      <c r="Y337" s="284" t="n">
        <f aca="false">IFERROR(L337*$G337*I$9, "")</f>
        <v>0</v>
      </c>
      <c r="Z337" s="284" t="n">
        <f aca="false">IFERROR(M337*$G337*$I337, "")</f>
        <v>0</v>
      </c>
      <c r="AA337" s="284" t="n">
        <f aca="false">IFERROR(N337*$G337*$I337, "")</f>
        <v>0</v>
      </c>
      <c r="AB337" s="284" t="n">
        <f aca="false">IFERROR(O337*$G337*$I337, "")</f>
        <v>0</v>
      </c>
      <c r="AC337" s="284" t="n">
        <f aca="false">IFERROR(P337*$G337*$I337, "")</f>
        <v>0</v>
      </c>
      <c r="AD337" s="284" t="n">
        <f aca="false">IFERROR(Q337*$G337*$I337, "")</f>
        <v>0</v>
      </c>
      <c r="AE337" s="284" t="n">
        <f aca="false">IFERROR(R337*$G337*$I337, "")</f>
        <v>0</v>
      </c>
      <c r="AF337" s="284" t="n">
        <f aca="false">IFERROR(S337*$G337*$I337, "")</f>
        <v>0</v>
      </c>
      <c r="AG337" s="284" t="n">
        <f aca="false">IFERROR(T337*$G337*$I337, "")</f>
        <v>0</v>
      </c>
      <c r="AH337" s="284" t="n">
        <f aca="false">IFERROR(U337*$G337*$I337, "")</f>
        <v>0</v>
      </c>
      <c r="AI337" s="284" t="n">
        <f aca="false">IFERROR(V337*$G337*$I337, "")</f>
        <v>0</v>
      </c>
      <c r="AJ337" s="284" t="n">
        <f aca="false">IFERROR(W337*$G337*$I337, "")</f>
        <v>0</v>
      </c>
      <c r="AK337" s="286" t="n">
        <f aca="false">IFERROR(SUMIF($Y$4:$AJ$4, "RDEC", Y337:AJ337), "")</f>
        <v>0</v>
      </c>
      <c r="AL337" s="286" t="n">
        <f aca="false">IFERROR(SUMIF($Y$4:$AJ$4, "SME", Y337:AJ337), "")</f>
        <v>0</v>
      </c>
      <c r="AM337" s="286" t="n">
        <f aca="false">IFERROR(SUMIF($Y$4:$AJ$4, "De Minimis", Y337:AJ337), "")</f>
        <v>0</v>
      </c>
      <c r="AN337" s="283"/>
      <c r="AO337" s="284" t="n">
        <f aca="false">IFERROR($G337*$J337*L337, "")</f>
        <v>0</v>
      </c>
      <c r="AP337" s="284" t="n">
        <f aca="false">IFERROR($G337*$J337*M337, "")</f>
        <v>0</v>
      </c>
      <c r="AQ337" s="284" t="n">
        <f aca="false">IFERROR($G337*$J337*N337, "")</f>
        <v>0</v>
      </c>
      <c r="AR337" s="284" t="n">
        <f aca="false">IFERROR($G337*$J337*O337, "")</f>
        <v>0</v>
      </c>
      <c r="AS337" s="284" t="n">
        <f aca="false">IFERROR($G337*$J337*P337, "")</f>
        <v>0</v>
      </c>
      <c r="AT337" s="284" t="n">
        <f aca="false">IFERROR($G337*$J337*Q337, "")</f>
        <v>0</v>
      </c>
      <c r="AU337" s="284" t="n">
        <f aca="false">IFERROR($G337*$J337*R337, "")</f>
        <v>0</v>
      </c>
      <c r="AV337" s="284" t="n">
        <f aca="false">IFERROR($G337*$J337*S337, "")</f>
        <v>0</v>
      </c>
      <c r="AW337" s="284" t="n">
        <f aca="false">IFERROR($G337*$J337*T337, "")</f>
        <v>0</v>
      </c>
      <c r="AX337" s="284" t="n">
        <f aca="false">IFERROR($G337*$J337*U337, "")</f>
        <v>0</v>
      </c>
      <c r="AY337" s="284" t="n">
        <f aca="false">IFERROR($G337*$J337*V337, "")</f>
        <v>0</v>
      </c>
      <c r="AZ337" s="284" t="n">
        <f aca="false">IFERROR($G337*$J337*W337, "")</f>
        <v>0</v>
      </c>
      <c r="BA337" s="286" t="n">
        <f aca="false">IFERROR(SUMIF($AO$4:$AZ$4, "RDEC", AO337:AZ337), "")</f>
        <v>0</v>
      </c>
      <c r="BB337" s="286" t="n">
        <f aca="false">IFERROR(SUMIF($AO$4:$AZ$4, "SME", AO337:AZ337), "")</f>
        <v>0</v>
      </c>
      <c r="BC337" s="286" t="n">
        <f aca="false">IFERROR(SUMIF($Y$4:$AJ$4, "De Minimis", AO337:AZ337), "")</f>
        <v>0</v>
      </c>
      <c r="BD337" s="287"/>
      <c r="BE337" s="288" t="str">
        <f aca="false">IF((SUM(L337:W337)&gt;1),"ERROR","")</f>
        <v/>
      </c>
    </row>
    <row r="338" customFormat="false" ht="15" hidden="false" customHeight="true" outlineLevel="0" collapsed="false">
      <c r="B338" s="333"/>
      <c r="C338" s="334"/>
      <c r="D338" s="333" t="n">
        <f aca="false">D322</f>
        <v>45566</v>
      </c>
      <c r="E338" s="277" t="n">
        <v>0</v>
      </c>
      <c r="F338" s="277" t="n">
        <v>0</v>
      </c>
      <c r="G338" s="277" t="n">
        <f aca="false">SUM(E338:F338)</f>
        <v>0</v>
      </c>
      <c r="H338" s="204"/>
      <c r="I338" s="279" t="n">
        <v>1</v>
      </c>
      <c r="J338" s="280" t="n">
        <f aca="false">1-I338</f>
        <v>0</v>
      </c>
      <c r="K338" s="277"/>
      <c r="L338" s="282"/>
      <c r="M338" s="282"/>
      <c r="N338" s="282"/>
      <c r="O338" s="282"/>
      <c r="P338" s="282"/>
      <c r="Q338" s="282"/>
      <c r="R338" s="282"/>
      <c r="S338" s="282"/>
      <c r="T338" s="282"/>
      <c r="U338" s="282"/>
      <c r="V338" s="282"/>
      <c r="W338" s="282"/>
      <c r="X338" s="283"/>
      <c r="Y338" s="284" t="n">
        <f aca="false">IFERROR(L338*$G338*I$9, "")</f>
        <v>0</v>
      </c>
      <c r="Z338" s="284" t="n">
        <f aca="false">IFERROR(M338*$G338*$I338, "")</f>
        <v>0</v>
      </c>
      <c r="AA338" s="284" t="n">
        <f aca="false">IFERROR(N338*$G338*$I338, "")</f>
        <v>0</v>
      </c>
      <c r="AB338" s="284" t="n">
        <f aca="false">IFERROR(O338*$G338*$I338, "")</f>
        <v>0</v>
      </c>
      <c r="AC338" s="284" t="n">
        <f aca="false">IFERROR(P338*$G338*$I338, "")</f>
        <v>0</v>
      </c>
      <c r="AD338" s="284" t="n">
        <f aca="false">IFERROR(Q338*$G338*$I338, "")</f>
        <v>0</v>
      </c>
      <c r="AE338" s="284" t="n">
        <f aca="false">IFERROR(R338*$G338*$I338, "")</f>
        <v>0</v>
      </c>
      <c r="AF338" s="284" t="n">
        <f aca="false">IFERROR(S338*$G338*$I338, "")</f>
        <v>0</v>
      </c>
      <c r="AG338" s="284" t="n">
        <f aca="false">IFERROR(T338*$G338*$I338, "")</f>
        <v>0</v>
      </c>
      <c r="AH338" s="284" t="n">
        <f aca="false">IFERROR(U338*$G338*$I338, "")</f>
        <v>0</v>
      </c>
      <c r="AI338" s="284" t="n">
        <f aca="false">IFERROR(V338*$G338*$I338, "")</f>
        <v>0</v>
      </c>
      <c r="AJ338" s="284" t="n">
        <f aca="false">IFERROR(W338*$G338*$I338, "")</f>
        <v>0</v>
      </c>
      <c r="AK338" s="286" t="n">
        <f aca="false">IFERROR(SUMIF($Y$4:$AJ$4, "RDEC", Y338:AJ338), "")</f>
        <v>0</v>
      </c>
      <c r="AL338" s="286" t="n">
        <f aca="false">IFERROR(SUMIF($Y$4:$AJ$4, "SME", Y338:AJ338), "")</f>
        <v>0</v>
      </c>
      <c r="AM338" s="286" t="n">
        <f aca="false">IFERROR(SUMIF($Y$4:$AJ$4, "De Minimis", Y338:AJ338), "")</f>
        <v>0</v>
      </c>
      <c r="AN338" s="283"/>
      <c r="AO338" s="284" t="n">
        <f aca="false">IFERROR($G338*$J338*L338, "")</f>
        <v>0</v>
      </c>
      <c r="AP338" s="284" t="n">
        <f aca="false">IFERROR($G338*$J338*M338, "")</f>
        <v>0</v>
      </c>
      <c r="AQ338" s="284" t="n">
        <f aca="false">IFERROR($G338*$J338*N338, "")</f>
        <v>0</v>
      </c>
      <c r="AR338" s="284" t="n">
        <f aca="false">IFERROR($G338*$J338*O338, "")</f>
        <v>0</v>
      </c>
      <c r="AS338" s="284" t="n">
        <f aca="false">IFERROR($G338*$J338*P338, "")</f>
        <v>0</v>
      </c>
      <c r="AT338" s="284" t="n">
        <f aca="false">IFERROR($G338*$J338*Q338, "")</f>
        <v>0</v>
      </c>
      <c r="AU338" s="284" t="n">
        <f aca="false">IFERROR($G338*$J338*R338, "")</f>
        <v>0</v>
      </c>
      <c r="AV338" s="284" t="n">
        <f aca="false">IFERROR($G338*$J338*S338, "")</f>
        <v>0</v>
      </c>
      <c r="AW338" s="284" t="n">
        <f aca="false">IFERROR($G338*$J338*T338, "")</f>
        <v>0</v>
      </c>
      <c r="AX338" s="284" t="n">
        <f aca="false">IFERROR($G338*$J338*U338, "")</f>
        <v>0</v>
      </c>
      <c r="AY338" s="284" t="n">
        <f aca="false">IFERROR($G338*$J338*V338, "")</f>
        <v>0</v>
      </c>
      <c r="AZ338" s="284" t="n">
        <f aca="false">IFERROR($G338*$J338*W338, "")</f>
        <v>0</v>
      </c>
      <c r="BA338" s="286" t="n">
        <f aca="false">IFERROR(SUMIF($AO$4:$AZ$4, "RDEC", AO338:AZ338), "")</f>
        <v>0</v>
      </c>
      <c r="BB338" s="286" t="n">
        <f aca="false">IFERROR(SUMIF($AO$4:$AZ$4, "SME", AO338:AZ338), "")</f>
        <v>0</v>
      </c>
      <c r="BC338" s="286" t="n">
        <f aca="false">IFERROR(SUMIF($Y$4:$AJ$4, "De Minimis", AO338:AZ338), "")</f>
        <v>0</v>
      </c>
      <c r="BD338" s="287"/>
      <c r="BE338" s="288" t="str">
        <f aca="false">IF((SUM(L338:W338)&gt;1),"ERROR","")</f>
        <v/>
      </c>
    </row>
    <row r="339" customFormat="false" ht="15" hidden="false" customHeight="true" outlineLevel="0" collapsed="false">
      <c r="B339" s="333"/>
      <c r="C339" s="334"/>
      <c r="D339" s="333" t="n">
        <f aca="false">D323</f>
        <v>45597</v>
      </c>
      <c r="E339" s="277" t="n">
        <v>0</v>
      </c>
      <c r="F339" s="277" t="n">
        <v>0</v>
      </c>
      <c r="G339" s="277" t="n">
        <f aca="false">SUM(E339:F339)</f>
        <v>0</v>
      </c>
      <c r="H339" s="204"/>
      <c r="I339" s="279" t="n">
        <v>1</v>
      </c>
      <c r="J339" s="280" t="n">
        <f aca="false">1-I339</f>
        <v>0</v>
      </c>
      <c r="K339" s="277"/>
      <c r="L339" s="282"/>
      <c r="M339" s="282"/>
      <c r="N339" s="282"/>
      <c r="O339" s="282"/>
      <c r="P339" s="282"/>
      <c r="Q339" s="282"/>
      <c r="R339" s="282"/>
      <c r="S339" s="282"/>
      <c r="T339" s="282"/>
      <c r="U339" s="282"/>
      <c r="V339" s="282"/>
      <c r="W339" s="282"/>
      <c r="X339" s="283"/>
      <c r="Y339" s="284" t="n">
        <f aca="false">IFERROR(L339*$G339*I$9, "")</f>
        <v>0</v>
      </c>
      <c r="Z339" s="284" t="n">
        <f aca="false">IFERROR(M339*$G339*$I339, "")</f>
        <v>0</v>
      </c>
      <c r="AA339" s="284" t="n">
        <f aca="false">IFERROR(N339*$G339*$I339, "")</f>
        <v>0</v>
      </c>
      <c r="AB339" s="284" t="n">
        <f aca="false">IFERROR(O339*$G339*$I339, "")</f>
        <v>0</v>
      </c>
      <c r="AC339" s="284" t="n">
        <f aca="false">IFERROR(P339*$G339*$I339, "")</f>
        <v>0</v>
      </c>
      <c r="AD339" s="284" t="n">
        <f aca="false">IFERROR(Q339*$G339*$I339, "")</f>
        <v>0</v>
      </c>
      <c r="AE339" s="284" t="n">
        <f aca="false">IFERROR(R339*$G339*$I339, "")</f>
        <v>0</v>
      </c>
      <c r="AF339" s="284" t="n">
        <f aca="false">IFERROR(S339*$G339*$I339, "")</f>
        <v>0</v>
      </c>
      <c r="AG339" s="284" t="n">
        <f aca="false">IFERROR(T339*$G339*$I339, "")</f>
        <v>0</v>
      </c>
      <c r="AH339" s="284" t="n">
        <f aca="false">IFERROR(U339*$G339*$I339, "")</f>
        <v>0</v>
      </c>
      <c r="AI339" s="284" t="n">
        <f aca="false">IFERROR(V339*$G339*$I339, "")</f>
        <v>0</v>
      </c>
      <c r="AJ339" s="284" t="n">
        <f aca="false">IFERROR(W339*$G339*$I339, "")</f>
        <v>0</v>
      </c>
      <c r="AK339" s="286" t="n">
        <f aca="false">IFERROR(SUMIF($Y$4:$AJ$4, "RDEC", Y339:AJ339), "")</f>
        <v>0</v>
      </c>
      <c r="AL339" s="286" t="n">
        <f aca="false">IFERROR(SUMIF($Y$4:$AJ$4, "SME", Y339:AJ339), "")</f>
        <v>0</v>
      </c>
      <c r="AM339" s="286" t="n">
        <f aca="false">IFERROR(SUMIF($Y$4:$AJ$4, "De Minimis", Y339:AJ339), "")</f>
        <v>0</v>
      </c>
      <c r="AN339" s="283"/>
      <c r="AO339" s="284" t="n">
        <f aca="false">IFERROR($G339*$J339*L339, "")</f>
        <v>0</v>
      </c>
      <c r="AP339" s="284" t="n">
        <f aca="false">IFERROR($G339*$J339*M339, "")</f>
        <v>0</v>
      </c>
      <c r="AQ339" s="284" t="n">
        <f aca="false">IFERROR($G339*$J339*N339, "")</f>
        <v>0</v>
      </c>
      <c r="AR339" s="284" t="n">
        <f aca="false">IFERROR($G339*$J339*O339, "")</f>
        <v>0</v>
      </c>
      <c r="AS339" s="284" t="n">
        <f aca="false">IFERROR($G339*$J339*P339, "")</f>
        <v>0</v>
      </c>
      <c r="AT339" s="284" t="n">
        <f aca="false">IFERROR($G339*$J339*Q339, "")</f>
        <v>0</v>
      </c>
      <c r="AU339" s="284" t="n">
        <f aca="false">IFERROR($G339*$J339*R339, "")</f>
        <v>0</v>
      </c>
      <c r="AV339" s="284" t="n">
        <f aca="false">IFERROR($G339*$J339*S339, "")</f>
        <v>0</v>
      </c>
      <c r="AW339" s="284" t="n">
        <f aca="false">IFERROR($G339*$J339*T339, "")</f>
        <v>0</v>
      </c>
      <c r="AX339" s="284" t="n">
        <f aca="false">IFERROR($G339*$J339*U339, "")</f>
        <v>0</v>
      </c>
      <c r="AY339" s="284" t="n">
        <f aca="false">IFERROR($G339*$J339*V339, "")</f>
        <v>0</v>
      </c>
      <c r="AZ339" s="284" t="n">
        <f aca="false">IFERROR($G339*$J339*W339, "")</f>
        <v>0</v>
      </c>
      <c r="BA339" s="286" t="n">
        <f aca="false">IFERROR(SUMIF($AO$4:$AZ$4, "RDEC", AO339:AZ339), "")</f>
        <v>0</v>
      </c>
      <c r="BB339" s="286" t="n">
        <f aca="false">IFERROR(SUMIF($AO$4:$AZ$4, "SME", AO339:AZ339), "")</f>
        <v>0</v>
      </c>
      <c r="BC339" s="286" t="n">
        <f aca="false">IFERROR(SUMIF($Y$4:$AJ$4, "De Minimis", AO339:AZ339), "")</f>
        <v>0</v>
      </c>
      <c r="BD339" s="287"/>
      <c r="BE339" s="288" t="str">
        <f aca="false">IF((SUM(L339:W339)&gt;1),"ERROR","")</f>
        <v/>
      </c>
    </row>
    <row r="340" customFormat="false" ht="15" hidden="false" customHeight="true" outlineLevel="0" collapsed="false">
      <c r="B340" s="333"/>
      <c r="C340" s="334"/>
      <c r="D340" s="333" t="n">
        <f aca="false">D324</f>
        <v>45627</v>
      </c>
      <c r="E340" s="277" t="n">
        <v>0</v>
      </c>
      <c r="F340" s="277" t="n">
        <v>0</v>
      </c>
      <c r="G340" s="277" t="n">
        <f aca="false">SUM(E340:F340)</f>
        <v>0</v>
      </c>
      <c r="H340" s="300"/>
      <c r="I340" s="289" t="n">
        <v>1</v>
      </c>
      <c r="J340" s="290" t="n">
        <f aca="false">1-I340</f>
        <v>0</v>
      </c>
      <c r="K340" s="300"/>
      <c r="L340" s="291"/>
      <c r="M340" s="291"/>
      <c r="N340" s="291"/>
      <c r="O340" s="291"/>
      <c r="P340" s="291"/>
      <c r="Q340" s="291"/>
      <c r="R340" s="291"/>
      <c r="S340" s="291"/>
      <c r="T340" s="291"/>
      <c r="U340" s="291"/>
      <c r="V340" s="291"/>
      <c r="W340" s="291"/>
      <c r="X340" s="283"/>
      <c r="Y340" s="284" t="n">
        <f aca="false">IFERROR(L340*$G340*I$9, "")</f>
        <v>0</v>
      </c>
      <c r="Z340" s="284" t="n">
        <f aca="false">IFERROR(M340*$G340*$I340, "")</f>
        <v>0</v>
      </c>
      <c r="AA340" s="284" t="n">
        <f aca="false">IFERROR(N340*$G340*$I340, "")</f>
        <v>0</v>
      </c>
      <c r="AB340" s="284" t="n">
        <f aca="false">IFERROR(O340*$G340*$I340, "")</f>
        <v>0</v>
      </c>
      <c r="AC340" s="284" t="n">
        <f aca="false">IFERROR(P340*$G340*$I340, "")</f>
        <v>0</v>
      </c>
      <c r="AD340" s="284" t="n">
        <f aca="false">IFERROR(Q340*$G340*$I340, "")</f>
        <v>0</v>
      </c>
      <c r="AE340" s="284" t="n">
        <f aca="false">IFERROR(R340*$G340*$I340, "")</f>
        <v>0</v>
      </c>
      <c r="AF340" s="284" t="n">
        <f aca="false">IFERROR(S340*$G340*$I340, "")</f>
        <v>0</v>
      </c>
      <c r="AG340" s="284" t="n">
        <f aca="false">IFERROR(T340*$G340*$I340, "")</f>
        <v>0</v>
      </c>
      <c r="AH340" s="284" t="n">
        <f aca="false">IFERROR(U340*$G340*$I340, "")</f>
        <v>0</v>
      </c>
      <c r="AI340" s="284" t="n">
        <f aca="false">IFERROR(V340*$G340*$I340, "")</f>
        <v>0</v>
      </c>
      <c r="AJ340" s="284" t="n">
        <f aca="false">IFERROR(W340*$G340*$I340, "")</f>
        <v>0</v>
      </c>
      <c r="AK340" s="294" t="n">
        <f aca="false">IFERROR(SUMIF($Y$4:$AJ$4, "RDEC", Y340:AJ340), "")</f>
        <v>0</v>
      </c>
      <c r="AL340" s="294" t="n">
        <f aca="false">IFERROR(SUMIF($Y$4:$AJ$4, "SME", Y340:AJ340), "")</f>
        <v>0</v>
      </c>
      <c r="AM340" s="294" t="n">
        <f aca="false">IFERROR(SUMIF($Y$4:$AJ$4, "De Minimis", Y340:AJ340), "")</f>
        <v>0</v>
      </c>
      <c r="AN340" s="283"/>
      <c r="AO340" s="284" t="n">
        <f aca="false">IFERROR($G340*$J340*L340, "")</f>
        <v>0</v>
      </c>
      <c r="AP340" s="284" t="n">
        <f aca="false">IFERROR($G340*$J340*M340, "")</f>
        <v>0</v>
      </c>
      <c r="AQ340" s="284" t="n">
        <f aca="false">IFERROR($G340*$J340*N340, "")</f>
        <v>0</v>
      </c>
      <c r="AR340" s="284" t="n">
        <f aca="false">IFERROR($G340*$J340*O340, "")</f>
        <v>0</v>
      </c>
      <c r="AS340" s="284" t="n">
        <f aca="false">IFERROR($G340*$J340*P340, "")</f>
        <v>0</v>
      </c>
      <c r="AT340" s="284" t="n">
        <f aca="false">IFERROR($G340*$J340*Q340, "")</f>
        <v>0</v>
      </c>
      <c r="AU340" s="284" t="n">
        <f aca="false">IFERROR($G340*$J340*R340, "")</f>
        <v>0</v>
      </c>
      <c r="AV340" s="284" t="n">
        <f aca="false">IFERROR($G340*$J340*S340, "")</f>
        <v>0</v>
      </c>
      <c r="AW340" s="284" t="n">
        <f aca="false">IFERROR($G340*$J340*T340, "")</f>
        <v>0</v>
      </c>
      <c r="AX340" s="284" t="n">
        <f aca="false">IFERROR($G340*$J340*U340, "")</f>
        <v>0</v>
      </c>
      <c r="AY340" s="284" t="n">
        <f aca="false">IFERROR($G340*$J340*V340, "")</f>
        <v>0</v>
      </c>
      <c r="AZ340" s="284" t="n">
        <f aca="false">IFERROR($G340*$J340*W340, "")</f>
        <v>0</v>
      </c>
      <c r="BA340" s="286" t="n">
        <f aca="false">IFERROR(SUMIF($AO$4:$AZ$4, "RDEC", AO340:AZ340), "")</f>
        <v>0</v>
      </c>
      <c r="BB340" s="286" t="n">
        <f aca="false">IFERROR(SUMIF($AO$4:$AZ$4, "SME", AO340:AZ340), "")</f>
        <v>0</v>
      </c>
      <c r="BC340" s="294" t="n">
        <f aca="false">IFERROR(SUMIF($Y$4:$AJ$4, "De Minimis", AO340:AZ340), "")</f>
        <v>0</v>
      </c>
      <c r="BD340" s="303"/>
      <c r="BE340" s="295" t="str">
        <f aca="false">IF((SUM(L340:W340)&gt;1),"ERROR","")</f>
        <v/>
      </c>
    </row>
    <row r="341" customFormat="false" ht="15" hidden="false" customHeight="true" outlineLevel="0" collapsed="false">
      <c r="B341" s="296"/>
      <c r="D341" s="297" t="s">
        <v>82</v>
      </c>
      <c r="E341" s="299" t="n">
        <f aca="false">SUM(E329:E340)</f>
        <v>0</v>
      </c>
      <c r="F341" s="299" t="n">
        <f aca="false">SUM(F329:F340)</f>
        <v>0</v>
      </c>
      <c r="G341" s="299" t="n">
        <f aca="false">SUM(G329:G340)</f>
        <v>0</v>
      </c>
      <c r="H341" s="300"/>
      <c r="I341" s="301" t="n">
        <f aca="false">AVERAGE(I329:I340)</f>
        <v>1</v>
      </c>
      <c r="J341" s="301" t="n">
        <f aca="false">AVERAGE(J329:J340)</f>
        <v>0</v>
      </c>
      <c r="K341" s="300"/>
      <c r="L341" s="290" t="n">
        <f aca="false">IF(SUM(L329:L340)&gt;0,(Y341/G341),0)</f>
        <v>0</v>
      </c>
      <c r="M341" s="301" t="n">
        <f aca="false">IF(SUM(M329:M340)&gt;0,(Z341/G341),0)</f>
        <v>0</v>
      </c>
      <c r="N341" s="301" t="n">
        <f aca="false">IF(SUM(N329:N340)&gt;0,(AA341/G341),0)</f>
        <v>0</v>
      </c>
      <c r="O341" s="301" t="n">
        <f aca="false">IF(SUM(O329:O340)&gt;0,(AB341/G341),0)</f>
        <v>0</v>
      </c>
      <c r="P341" s="301" t="n">
        <f aca="false">IF(SUM(P329:P340)&gt;0,(AC341/G341),0)</f>
        <v>0</v>
      </c>
      <c r="Q341" s="301" t="n">
        <f aca="false">IF(SUM(Q329:Q340)&gt;0,(AD341/G341),0)</f>
        <v>0</v>
      </c>
      <c r="R341" s="301" t="n">
        <f aca="false">IF(SUM(R329:R340)&gt;0,(AE341/G341),0)</f>
        <v>0</v>
      </c>
      <c r="S341" s="301" t="n">
        <f aca="false">IF(SUM(S329:S340)&gt;0,(AF341/G341),0)</f>
        <v>0</v>
      </c>
      <c r="T341" s="301" t="n">
        <f aca="false">IF(SUM(T329:T340)&gt;0,(AG341/G341),0)</f>
        <v>0</v>
      </c>
      <c r="U341" s="301" t="n">
        <f aca="false">IF(SUM(U329:U340)&gt;0,(AJ341/G341),0)</f>
        <v>0</v>
      </c>
      <c r="V341" s="301" t="n">
        <f aca="false">IF(SUM(V329:V340)&gt;0,(AI341/G341),0)</f>
        <v>0</v>
      </c>
      <c r="W341" s="301" t="n">
        <f aca="false">IF(SUM(W329:W340)&gt;0,(AJ341/G341),0)</f>
        <v>0</v>
      </c>
      <c r="X341" s="283"/>
      <c r="Y341" s="304" t="n">
        <f aca="false">SUM(Y329:Y340)</f>
        <v>0</v>
      </c>
      <c r="Z341" s="304" t="n">
        <f aca="false">SUM(Z329:Z340)</f>
        <v>0</v>
      </c>
      <c r="AA341" s="304" t="n">
        <f aca="false">SUM(AA329:AA340)</f>
        <v>0</v>
      </c>
      <c r="AB341" s="304" t="n">
        <f aca="false">SUM(AB329:AB340)</f>
        <v>0</v>
      </c>
      <c r="AC341" s="304" t="n">
        <f aca="false">SUM(AC329:AC340)</f>
        <v>0</v>
      </c>
      <c r="AD341" s="304" t="n">
        <f aca="false">SUM(AD329:AD340)</f>
        <v>0</v>
      </c>
      <c r="AE341" s="304" t="n">
        <f aca="false">SUM(AE329:AE340)</f>
        <v>0</v>
      </c>
      <c r="AF341" s="304" t="n">
        <f aca="false">SUM(AF329:AF340)</f>
        <v>0</v>
      </c>
      <c r="AG341" s="304" t="n">
        <f aca="false">SUM(AG329:AG340)</f>
        <v>0</v>
      </c>
      <c r="AH341" s="304" t="n">
        <f aca="false">SUM(AH329:AH340)</f>
        <v>0</v>
      </c>
      <c r="AI341" s="304" t="n">
        <f aca="false">SUM(AI329:AI340)</f>
        <v>0</v>
      </c>
      <c r="AJ341" s="304" t="n">
        <f aca="false">SUM(AJ329:AJ340)</f>
        <v>0</v>
      </c>
      <c r="AK341" s="335" t="n">
        <f aca="false">SUM(AK329:AK340)</f>
        <v>0</v>
      </c>
      <c r="AL341" s="336" t="n">
        <f aca="false">SUM(AL329:AL340)</f>
        <v>0</v>
      </c>
      <c r="AM341" s="305" t="n">
        <f aca="false">SUM(AM329:AM340)</f>
        <v>0</v>
      </c>
      <c r="AN341" s="283"/>
      <c r="AO341" s="304" t="n">
        <f aca="false">SUM(AO329:AO340)</f>
        <v>0</v>
      </c>
      <c r="AP341" s="304" t="n">
        <f aca="false">SUM(AP329:AP340)</f>
        <v>0</v>
      </c>
      <c r="AQ341" s="304" t="n">
        <f aca="false">SUM(AQ329:AQ340)</f>
        <v>0</v>
      </c>
      <c r="AR341" s="304" t="n">
        <f aca="false">SUM(AR329:AR340)</f>
        <v>0</v>
      </c>
      <c r="AS341" s="304" t="n">
        <f aca="false">SUM(AS329:AS340)</f>
        <v>0</v>
      </c>
      <c r="AT341" s="304" t="n">
        <f aca="false">SUM(AT329:AT340)</f>
        <v>0</v>
      </c>
      <c r="AU341" s="304" t="n">
        <f aca="false">SUM(AU329:AU340)</f>
        <v>0</v>
      </c>
      <c r="AV341" s="304" t="n">
        <f aca="false">SUM(AV329:AV340)</f>
        <v>0</v>
      </c>
      <c r="AW341" s="304" t="n">
        <f aca="false">SUM(AW329:AW340)</f>
        <v>0</v>
      </c>
      <c r="AX341" s="304" t="n">
        <f aca="false">SUM(AX329:AX340)</f>
        <v>0</v>
      </c>
      <c r="AY341" s="304" t="n">
        <f aca="false">SUM(AY329:AY340)</f>
        <v>0</v>
      </c>
      <c r="AZ341" s="304" t="n">
        <f aca="false">SUM(AZ329:AZ340)</f>
        <v>0</v>
      </c>
      <c r="BA341" s="336" t="n">
        <f aca="false">SUM(BA329:BA340)</f>
        <v>0</v>
      </c>
      <c r="BB341" s="336" t="n">
        <f aca="false">SUM(BB329:BB340)</f>
        <v>0</v>
      </c>
      <c r="BC341" s="305" t="n">
        <f aca="false">SUM(BC329:BC340)</f>
        <v>0</v>
      </c>
      <c r="BD341" s="303"/>
      <c r="BE341" s="337"/>
    </row>
    <row r="342" customFormat="false" ht="15" hidden="false" customHeight="true" outlineLevel="0" collapsed="false">
      <c r="B342" s="296"/>
      <c r="D342" s="297"/>
      <c r="E342" s="300"/>
      <c r="F342" s="300"/>
      <c r="G342" s="300"/>
      <c r="H342" s="241"/>
      <c r="I342" s="302"/>
      <c r="J342" s="302"/>
      <c r="K342" s="241"/>
      <c r="L342" s="259"/>
      <c r="M342" s="259"/>
      <c r="N342" s="259"/>
      <c r="O342" s="259"/>
      <c r="P342" s="259"/>
      <c r="Q342" s="259"/>
      <c r="R342" s="259"/>
      <c r="S342" s="259"/>
      <c r="T342" s="259"/>
      <c r="U342" s="259"/>
      <c r="V342" s="259"/>
      <c r="W342" s="259"/>
      <c r="X342" s="303"/>
      <c r="Y342" s="259"/>
      <c r="Z342" s="303"/>
      <c r="AA342" s="303"/>
      <c r="AB342" s="303"/>
      <c r="AC342" s="303"/>
      <c r="AD342" s="303"/>
      <c r="AE342" s="303"/>
      <c r="AF342" s="303"/>
      <c r="AG342" s="303"/>
      <c r="AH342" s="303"/>
      <c r="AI342" s="303"/>
      <c r="AJ342" s="303"/>
      <c r="AK342" s="303"/>
      <c r="AL342" s="303"/>
      <c r="AM342" s="303"/>
      <c r="AN342" s="303"/>
      <c r="AO342" s="259"/>
      <c r="AP342" s="303"/>
      <c r="AQ342" s="303"/>
      <c r="AR342" s="303"/>
      <c r="AS342" s="303"/>
      <c r="AT342" s="303"/>
      <c r="AU342" s="303"/>
      <c r="AV342" s="303"/>
      <c r="AW342" s="303"/>
      <c r="AX342" s="303"/>
      <c r="AY342" s="303"/>
      <c r="AZ342" s="303"/>
      <c r="BA342" s="303"/>
      <c r="BB342" s="303"/>
      <c r="BC342" s="303"/>
      <c r="BD342" s="268"/>
      <c r="BE342" s="303"/>
    </row>
    <row r="343" customFormat="false" ht="15" hidden="false" customHeight="true" outlineLevel="0" collapsed="false">
      <c r="A343" s="198" t="n">
        <f aca="false">A327+1</f>
        <v>22</v>
      </c>
      <c r="B343" s="266" t="s">
        <v>253</v>
      </c>
      <c r="C343" s="266" t="s">
        <v>253</v>
      </c>
      <c r="D343" s="266"/>
      <c r="E343" s="241"/>
      <c r="F343" s="241"/>
      <c r="G343" s="241"/>
      <c r="H343" s="241"/>
      <c r="I343" s="241"/>
      <c r="J343" s="241"/>
      <c r="K343" s="277"/>
      <c r="L343" s="241"/>
      <c r="M343" s="241"/>
      <c r="N343" s="241"/>
      <c r="O343" s="241"/>
      <c r="P343" s="241"/>
      <c r="Q343" s="241"/>
      <c r="R343" s="241"/>
      <c r="S343" s="241"/>
      <c r="T343" s="241"/>
      <c r="U343" s="241"/>
      <c r="V343" s="241"/>
      <c r="W343" s="241"/>
      <c r="X343" s="259"/>
      <c r="Y343" s="268"/>
      <c r="Z343" s="268"/>
      <c r="AA343" s="268"/>
      <c r="AB343" s="268"/>
      <c r="AC343" s="268"/>
      <c r="AD343" s="268"/>
      <c r="AE343" s="268"/>
      <c r="AF343" s="268"/>
      <c r="AG343" s="268"/>
      <c r="AH343" s="268"/>
      <c r="AI343" s="268"/>
      <c r="AJ343" s="268"/>
      <c r="AK343" s="268"/>
      <c r="AL343" s="268"/>
      <c r="AM343" s="268"/>
      <c r="AN343" s="259"/>
      <c r="AO343" s="268"/>
      <c r="AP343" s="268"/>
      <c r="AQ343" s="268"/>
      <c r="AR343" s="268"/>
      <c r="AS343" s="268"/>
      <c r="AT343" s="268"/>
      <c r="AU343" s="268"/>
      <c r="AV343" s="268"/>
      <c r="AW343" s="268"/>
      <c r="AX343" s="268"/>
      <c r="AY343" s="268"/>
      <c r="AZ343" s="268"/>
      <c r="BA343" s="268"/>
      <c r="BB343" s="268"/>
      <c r="BC343" s="268"/>
      <c r="BD343" s="287"/>
      <c r="BE343" s="268"/>
    </row>
    <row r="344" customFormat="false" ht="7.5" hidden="false" customHeight="true" outlineLevel="0" collapsed="false">
      <c r="A344" s="198"/>
      <c r="B344" s="266"/>
      <c r="C344" s="266"/>
      <c r="D344" s="266"/>
      <c r="E344" s="241"/>
      <c r="F344" s="241"/>
      <c r="G344" s="241"/>
      <c r="H344" s="204"/>
      <c r="I344" s="269"/>
      <c r="J344" s="269"/>
      <c r="K344" s="277"/>
      <c r="L344" s="269"/>
      <c r="M344" s="269"/>
      <c r="N344" s="269"/>
      <c r="O344" s="269"/>
      <c r="P344" s="269"/>
      <c r="Q344" s="269"/>
      <c r="R344" s="269"/>
      <c r="S344" s="269"/>
      <c r="T344" s="269"/>
      <c r="U344" s="269"/>
      <c r="V344" s="269"/>
      <c r="W344" s="269"/>
      <c r="X344" s="259"/>
      <c r="Y344" s="271"/>
      <c r="Z344" s="271"/>
      <c r="AA344" s="271"/>
      <c r="AB344" s="271"/>
      <c r="AC344" s="271"/>
      <c r="AD344" s="271"/>
      <c r="AE344" s="271"/>
      <c r="AF344" s="271"/>
      <c r="AG344" s="271"/>
      <c r="AH344" s="271"/>
      <c r="AI344" s="271"/>
      <c r="AJ344" s="272"/>
      <c r="AK344" s="273"/>
      <c r="AL344" s="273"/>
      <c r="AM344" s="273"/>
      <c r="AN344" s="259"/>
      <c r="AO344" s="271"/>
      <c r="AP344" s="271"/>
      <c r="AQ344" s="271"/>
      <c r="AR344" s="271"/>
      <c r="AS344" s="271"/>
      <c r="AT344" s="271"/>
      <c r="AU344" s="271"/>
      <c r="AV344" s="271"/>
      <c r="AW344" s="271"/>
      <c r="AX344" s="271"/>
      <c r="AY344" s="271"/>
      <c r="AZ344" s="272"/>
      <c r="BA344" s="273"/>
      <c r="BB344" s="273"/>
      <c r="BC344" s="273"/>
      <c r="BD344" s="287"/>
      <c r="BE344" s="274"/>
    </row>
    <row r="345" customFormat="false" ht="15" hidden="false" customHeight="true" outlineLevel="0" collapsed="false">
      <c r="B345" s="333"/>
      <c r="C345" s="334"/>
      <c r="D345" s="333" t="n">
        <f aca="false">D329</f>
        <v>45292</v>
      </c>
      <c r="E345" s="277" t="n">
        <v>0</v>
      </c>
      <c r="F345" s="277" t="n">
        <v>0</v>
      </c>
      <c r="G345" s="277" t="n">
        <f aca="false">SUM(E345:F345)</f>
        <v>0</v>
      </c>
      <c r="H345" s="204"/>
      <c r="I345" s="279" t="n">
        <v>1</v>
      </c>
      <c r="J345" s="280" t="n">
        <f aca="false">1-I345</f>
        <v>0</v>
      </c>
      <c r="K345" s="277"/>
      <c r="L345" s="282"/>
      <c r="M345" s="282"/>
      <c r="N345" s="282"/>
      <c r="O345" s="282"/>
      <c r="P345" s="282"/>
      <c r="Q345" s="282"/>
      <c r="R345" s="282"/>
      <c r="S345" s="282"/>
      <c r="T345" s="282"/>
      <c r="U345" s="282"/>
      <c r="V345" s="282"/>
      <c r="W345" s="282"/>
      <c r="X345" s="268"/>
      <c r="Y345" s="284" t="n">
        <f aca="false">IFERROR(L345*$G345*I$9, "")</f>
        <v>0</v>
      </c>
      <c r="Z345" s="284" t="n">
        <f aca="false">IFERROR(M345*$G345*$I345, "")</f>
        <v>0</v>
      </c>
      <c r="AA345" s="284" t="n">
        <f aca="false">IFERROR(N345*$G345*$I345, "")</f>
        <v>0</v>
      </c>
      <c r="AB345" s="284" t="n">
        <f aca="false">IFERROR(O345*$G345*$I345, "")</f>
        <v>0</v>
      </c>
      <c r="AC345" s="284" t="n">
        <f aca="false">IFERROR(P345*$G345*$I345, "")</f>
        <v>0</v>
      </c>
      <c r="AD345" s="284" t="n">
        <f aca="false">IFERROR(Q345*$G345*$I345, "")</f>
        <v>0</v>
      </c>
      <c r="AE345" s="284" t="n">
        <f aca="false">IFERROR(R345*$G345*$I345, "")</f>
        <v>0</v>
      </c>
      <c r="AF345" s="284" t="n">
        <f aca="false">IFERROR(S345*$G345*$I345, "")</f>
        <v>0</v>
      </c>
      <c r="AG345" s="284" t="n">
        <f aca="false">IFERROR(T345*$G345*$I345, "")</f>
        <v>0</v>
      </c>
      <c r="AH345" s="284" t="n">
        <f aca="false">IFERROR(U345*$G345*$I345, "")</f>
        <v>0</v>
      </c>
      <c r="AI345" s="284" t="n">
        <f aca="false">IFERROR(V345*$G345*$I345, "")</f>
        <v>0</v>
      </c>
      <c r="AJ345" s="284" t="n">
        <f aca="false">IFERROR(W345*$G345*$I345, "")</f>
        <v>0</v>
      </c>
      <c r="AK345" s="286" t="n">
        <f aca="false">IFERROR(SUMIF($Y$4:$AJ$4, "RDEC", Y345:AJ345), "")</f>
        <v>0</v>
      </c>
      <c r="AL345" s="286" t="n">
        <f aca="false">IFERROR(SUMIF($Y$4:$AJ$4, "SME", Y345:AJ345), "")</f>
        <v>0</v>
      </c>
      <c r="AM345" s="286" t="n">
        <f aca="false">IFERROR(SUMIF($Y$4:$AJ$4, "De Minimis", Y345:AJ345), "")</f>
        <v>0</v>
      </c>
      <c r="AN345" s="268"/>
      <c r="AO345" s="284" t="n">
        <f aca="false">IFERROR($G345*$J345*L345, "")</f>
        <v>0</v>
      </c>
      <c r="AP345" s="284" t="n">
        <f aca="false">IFERROR($G345*$J345*M345, "")</f>
        <v>0</v>
      </c>
      <c r="AQ345" s="284" t="n">
        <f aca="false">IFERROR($G345*$J345*N345, "")</f>
        <v>0</v>
      </c>
      <c r="AR345" s="284" t="n">
        <f aca="false">IFERROR($G345*$J345*O345, "")</f>
        <v>0</v>
      </c>
      <c r="AS345" s="284" t="n">
        <f aca="false">IFERROR($G345*$J345*P345, "")</f>
        <v>0</v>
      </c>
      <c r="AT345" s="284" t="n">
        <f aca="false">IFERROR($G345*$J345*Q345, "")</f>
        <v>0</v>
      </c>
      <c r="AU345" s="284" t="n">
        <f aca="false">IFERROR($G345*$J345*R345, "")</f>
        <v>0</v>
      </c>
      <c r="AV345" s="284" t="n">
        <f aca="false">IFERROR($G345*$J345*S345, "")</f>
        <v>0</v>
      </c>
      <c r="AW345" s="284" t="n">
        <f aca="false">IFERROR($G345*$J345*T345, "")</f>
        <v>0</v>
      </c>
      <c r="AX345" s="284" t="n">
        <f aca="false">IFERROR($G345*$J345*U345, "")</f>
        <v>0</v>
      </c>
      <c r="AY345" s="284" t="n">
        <f aca="false">IFERROR($G345*$J345*V345, "")</f>
        <v>0</v>
      </c>
      <c r="AZ345" s="284" t="n">
        <f aca="false">IFERROR($G345*$J345*W345, "")</f>
        <v>0</v>
      </c>
      <c r="BA345" s="286" t="n">
        <f aca="false">IFERROR(SUMIF($AO$4:$AZ$4, "RDEC", AO345:AZ345), "")</f>
        <v>0</v>
      </c>
      <c r="BB345" s="286" t="n">
        <f aca="false">IFERROR(SUMIF($AO$4:$AZ$4, "SME", AO345:AZ345), "")</f>
        <v>0</v>
      </c>
      <c r="BC345" s="286" t="n">
        <f aca="false">IFERROR(SUMIF($AO$4:$AZ$4, "De Minimis", AO345:AZ345), "")</f>
        <v>0</v>
      </c>
      <c r="BD345" s="287"/>
      <c r="BE345" s="288" t="str">
        <f aca="false">IF((SUM(L345:W345)&gt;1),"ERROR","")</f>
        <v/>
      </c>
    </row>
    <row r="346" customFormat="false" ht="15" hidden="false" customHeight="true" outlineLevel="0" collapsed="false">
      <c r="B346" s="333"/>
      <c r="C346" s="334"/>
      <c r="D346" s="333" t="n">
        <f aca="false">D330</f>
        <v>45323</v>
      </c>
      <c r="E346" s="277" t="n">
        <v>0</v>
      </c>
      <c r="F346" s="277" t="n">
        <v>0</v>
      </c>
      <c r="G346" s="277" t="n">
        <f aca="false">SUM(E346:F346)</f>
        <v>0</v>
      </c>
      <c r="H346" s="204"/>
      <c r="I346" s="279" t="n">
        <v>1</v>
      </c>
      <c r="J346" s="280" t="n">
        <f aca="false">1-I346</f>
        <v>0</v>
      </c>
      <c r="K346" s="277"/>
      <c r="L346" s="282"/>
      <c r="M346" s="282"/>
      <c r="N346" s="282"/>
      <c r="O346" s="282"/>
      <c r="P346" s="282"/>
      <c r="Q346" s="282"/>
      <c r="R346" s="282"/>
      <c r="S346" s="282"/>
      <c r="T346" s="282"/>
      <c r="U346" s="282"/>
      <c r="V346" s="282"/>
      <c r="W346" s="282"/>
      <c r="X346" s="283"/>
      <c r="Y346" s="284" t="n">
        <f aca="false">IFERROR(L346*$G346*I$9, "")</f>
        <v>0</v>
      </c>
      <c r="Z346" s="284" t="n">
        <f aca="false">IFERROR(M346*$G346*$I346, "")</f>
        <v>0</v>
      </c>
      <c r="AA346" s="284" t="n">
        <f aca="false">IFERROR(N346*$G346*$I346, "")</f>
        <v>0</v>
      </c>
      <c r="AB346" s="284" t="n">
        <f aca="false">IFERROR(O346*$G346*$I346, "")</f>
        <v>0</v>
      </c>
      <c r="AC346" s="284" t="n">
        <f aca="false">IFERROR(P346*$G346*$I346, "")</f>
        <v>0</v>
      </c>
      <c r="AD346" s="284" t="n">
        <f aca="false">IFERROR(Q346*$G346*$I346, "")</f>
        <v>0</v>
      </c>
      <c r="AE346" s="284" t="n">
        <f aca="false">IFERROR(R346*$G346*$I346, "")</f>
        <v>0</v>
      </c>
      <c r="AF346" s="284" t="n">
        <f aca="false">IFERROR(S346*$G346*$I346, "")</f>
        <v>0</v>
      </c>
      <c r="AG346" s="284" t="n">
        <f aca="false">IFERROR(T346*$G346*$I346, "")</f>
        <v>0</v>
      </c>
      <c r="AH346" s="284" t="n">
        <f aca="false">IFERROR(U346*$G346*$I346, "")</f>
        <v>0</v>
      </c>
      <c r="AI346" s="284" t="n">
        <f aca="false">IFERROR(V346*$G346*$I346, "")</f>
        <v>0</v>
      </c>
      <c r="AJ346" s="284" t="n">
        <f aca="false">IFERROR(W346*$G346*$I346, "")</f>
        <v>0</v>
      </c>
      <c r="AK346" s="286" t="n">
        <f aca="false">IFERROR(SUMIF($Y$4:$AJ$4, "RDEC", Y346:AJ346), "")</f>
        <v>0</v>
      </c>
      <c r="AL346" s="286" t="n">
        <f aca="false">IFERROR(SUMIF($Y$4:$AJ$4, "SME", Y346:AJ346), "")</f>
        <v>0</v>
      </c>
      <c r="AM346" s="286" t="n">
        <f aca="false">IFERROR(SUMIF($Y$4:$AJ$4, "De Minimis", Y346:AJ346), "")</f>
        <v>0</v>
      </c>
      <c r="AN346" s="283"/>
      <c r="AO346" s="284" t="n">
        <f aca="false">IFERROR($G346*$J346*L346, "")</f>
        <v>0</v>
      </c>
      <c r="AP346" s="284" t="n">
        <f aca="false">IFERROR($G346*$J346*M346, "")</f>
        <v>0</v>
      </c>
      <c r="AQ346" s="284" t="n">
        <f aca="false">IFERROR($G346*$J346*N346, "")</f>
        <v>0</v>
      </c>
      <c r="AR346" s="284" t="n">
        <f aca="false">IFERROR($G346*$J346*O346, "")</f>
        <v>0</v>
      </c>
      <c r="AS346" s="284" t="n">
        <f aca="false">IFERROR($G346*$J346*P346, "")</f>
        <v>0</v>
      </c>
      <c r="AT346" s="284" t="n">
        <f aca="false">IFERROR($G346*$J346*Q346, "")</f>
        <v>0</v>
      </c>
      <c r="AU346" s="284" t="n">
        <f aca="false">IFERROR($G346*$J346*R346, "")</f>
        <v>0</v>
      </c>
      <c r="AV346" s="284" t="n">
        <f aca="false">IFERROR($G346*$J346*S346, "")</f>
        <v>0</v>
      </c>
      <c r="AW346" s="284" t="n">
        <f aca="false">IFERROR($G346*$J346*T346, "")</f>
        <v>0</v>
      </c>
      <c r="AX346" s="284" t="n">
        <f aca="false">IFERROR($G346*$J346*U346, "")</f>
        <v>0</v>
      </c>
      <c r="AY346" s="284" t="n">
        <f aca="false">IFERROR($G346*$J346*V346, "")</f>
        <v>0</v>
      </c>
      <c r="AZ346" s="284" t="n">
        <f aca="false">IFERROR($G346*$J346*W346, "")</f>
        <v>0</v>
      </c>
      <c r="BA346" s="286" t="n">
        <f aca="false">IFERROR(SUMIF($AO$4:$AZ$4, "RDEC", AO346:AZ346), "")</f>
        <v>0</v>
      </c>
      <c r="BB346" s="286" t="n">
        <f aca="false">IFERROR(SUMIF($AO$4:$AZ$4, "SME", AO346:AZ346), "")</f>
        <v>0</v>
      </c>
      <c r="BC346" s="286" t="n">
        <f aca="false">IFERROR(SUMIF($Y$4:$AJ$4, "De Minimis", AO346:AZ346), "")</f>
        <v>0</v>
      </c>
      <c r="BD346" s="287"/>
      <c r="BE346" s="288" t="str">
        <f aca="false">IF((SUM(L346:W346)&gt;1),"ERROR","")</f>
        <v/>
      </c>
    </row>
    <row r="347" customFormat="false" ht="15" hidden="false" customHeight="true" outlineLevel="0" collapsed="false">
      <c r="B347" s="333"/>
      <c r="C347" s="334"/>
      <c r="D347" s="333" t="n">
        <f aca="false">D331</f>
        <v>45352</v>
      </c>
      <c r="E347" s="277" t="n">
        <v>0</v>
      </c>
      <c r="F347" s="277" t="n">
        <v>0</v>
      </c>
      <c r="G347" s="277" t="n">
        <f aca="false">SUM(E347:F347)</f>
        <v>0</v>
      </c>
      <c r="H347" s="204"/>
      <c r="I347" s="279" t="n">
        <v>1</v>
      </c>
      <c r="J347" s="280" t="n">
        <f aca="false">1-I347</f>
        <v>0</v>
      </c>
      <c r="K347" s="277"/>
      <c r="L347" s="282"/>
      <c r="M347" s="282"/>
      <c r="N347" s="282"/>
      <c r="O347" s="282"/>
      <c r="P347" s="282"/>
      <c r="Q347" s="282"/>
      <c r="R347" s="282"/>
      <c r="S347" s="282"/>
      <c r="T347" s="282"/>
      <c r="U347" s="282"/>
      <c r="V347" s="282"/>
      <c r="W347" s="282"/>
      <c r="X347" s="283"/>
      <c r="Y347" s="284" t="n">
        <f aca="false">IFERROR(L347*$G347*I$9, "")</f>
        <v>0</v>
      </c>
      <c r="Z347" s="284" t="n">
        <f aca="false">IFERROR(M347*$G347*$I347, "")</f>
        <v>0</v>
      </c>
      <c r="AA347" s="284" t="n">
        <f aca="false">IFERROR(N347*$G347*$I347, "")</f>
        <v>0</v>
      </c>
      <c r="AB347" s="284" t="n">
        <f aca="false">IFERROR(O347*$G347*$I347, "")</f>
        <v>0</v>
      </c>
      <c r="AC347" s="284" t="n">
        <f aca="false">IFERROR(P347*$G347*$I347, "")</f>
        <v>0</v>
      </c>
      <c r="AD347" s="284" t="n">
        <f aca="false">IFERROR(Q347*$G347*$I347, "")</f>
        <v>0</v>
      </c>
      <c r="AE347" s="284" t="n">
        <f aca="false">IFERROR(R347*$G347*$I347, "")</f>
        <v>0</v>
      </c>
      <c r="AF347" s="284" t="n">
        <f aca="false">IFERROR(S347*$G347*$I347, "")</f>
        <v>0</v>
      </c>
      <c r="AG347" s="284" t="n">
        <f aca="false">IFERROR(T347*$G347*$I347, "")</f>
        <v>0</v>
      </c>
      <c r="AH347" s="284" t="n">
        <f aca="false">IFERROR(U347*$G347*$I347, "")</f>
        <v>0</v>
      </c>
      <c r="AI347" s="284" t="n">
        <f aca="false">IFERROR(V347*$G347*$I347, "")</f>
        <v>0</v>
      </c>
      <c r="AJ347" s="284" t="n">
        <f aca="false">IFERROR(W347*$G347*$I347, "")</f>
        <v>0</v>
      </c>
      <c r="AK347" s="286" t="n">
        <f aca="false">IFERROR(SUMIF($Y$4:$AJ$4, "RDEC", Y347:AJ347), "")</f>
        <v>0</v>
      </c>
      <c r="AL347" s="286" t="n">
        <f aca="false">IFERROR(SUMIF($Y$4:$AJ$4, "SME", Y347:AJ347), "")</f>
        <v>0</v>
      </c>
      <c r="AM347" s="286" t="n">
        <f aca="false">IFERROR(SUMIF($Y$4:$AJ$4, "De Minimis", Y347:AJ347), "")</f>
        <v>0</v>
      </c>
      <c r="AN347" s="283"/>
      <c r="AO347" s="284" t="n">
        <f aca="false">IFERROR($G347*$J347*L347, "")</f>
        <v>0</v>
      </c>
      <c r="AP347" s="284" t="n">
        <f aca="false">IFERROR($G347*$J347*M347, "")</f>
        <v>0</v>
      </c>
      <c r="AQ347" s="284" t="n">
        <f aca="false">IFERROR($G347*$J347*N347, "")</f>
        <v>0</v>
      </c>
      <c r="AR347" s="284" t="n">
        <f aca="false">IFERROR($G347*$J347*O347, "")</f>
        <v>0</v>
      </c>
      <c r="AS347" s="284" t="n">
        <f aca="false">IFERROR($G347*$J347*P347, "")</f>
        <v>0</v>
      </c>
      <c r="AT347" s="284" t="n">
        <f aca="false">IFERROR($G347*$J347*Q347, "")</f>
        <v>0</v>
      </c>
      <c r="AU347" s="284" t="n">
        <f aca="false">IFERROR($G347*$J347*R347, "")</f>
        <v>0</v>
      </c>
      <c r="AV347" s="284" t="n">
        <f aca="false">IFERROR($G347*$J347*S347, "")</f>
        <v>0</v>
      </c>
      <c r="AW347" s="284" t="n">
        <f aca="false">IFERROR($G347*$J347*T347, "")</f>
        <v>0</v>
      </c>
      <c r="AX347" s="284" t="n">
        <f aca="false">IFERROR($G347*$J347*U347, "")</f>
        <v>0</v>
      </c>
      <c r="AY347" s="284" t="n">
        <f aca="false">IFERROR($G347*$J347*V347, "")</f>
        <v>0</v>
      </c>
      <c r="AZ347" s="284" t="n">
        <f aca="false">IFERROR($G347*$J347*W347, "")</f>
        <v>0</v>
      </c>
      <c r="BA347" s="286" t="n">
        <f aca="false">IFERROR(SUMIF($AO$4:$AZ$4, "RDEC", AO347:AZ347), "")</f>
        <v>0</v>
      </c>
      <c r="BB347" s="286" t="n">
        <f aca="false">IFERROR(SUMIF($AO$4:$AZ$4, "SME", AO347:AZ347), "")</f>
        <v>0</v>
      </c>
      <c r="BC347" s="286" t="n">
        <f aca="false">IFERROR(SUMIF($Y$4:$AJ$4, "De Minimis", AO347:AZ347), "")</f>
        <v>0</v>
      </c>
      <c r="BD347" s="287"/>
      <c r="BE347" s="288" t="str">
        <f aca="false">IF((SUM(L347:W347)&gt;1),"ERROR","")</f>
        <v/>
      </c>
    </row>
    <row r="348" customFormat="false" ht="15" hidden="false" customHeight="true" outlineLevel="0" collapsed="false">
      <c r="B348" s="333"/>
      <c r="C348" s="334"/>
      <c r="D348" s="333" t="n">
        <f aca="false">D332</f>
        <v>45383</v>
      </c>
      <c r="E348" s="277" t="n">
        <v>0</v>
      </c>
      <c r="F348" s="277" t="n">
        <v>0</v>
      </c>
      <c r="G348" s="277" t="n">
        <f aca="false">SUM(E348:F348)</f>
        <v>0</v>
      </c>
      <c r="H348" s="204"/>
      <c r="I348" s="279" t="n">
        <v>1</v>
      </c>
      <c r="J348" s="280" t="n">
        <f aca="false">1-I348</f>
        <v>0</v>
      </c>
      <c r="K348" s="277"/>
      <c r="L348" s="282"/>
      <c r="M348" s="282"/>
      <c r="N348" s="282"/>
      <c r="O348" s="282"/>
      <c r="P348" s="282"/>
      <c r="Q348" s="282"/>
      <c r="R348" s="282"/>
      <c r="S348" s="282"/>
      <c r="T348" s="282"/>
      <c r="U348" s="282"/>
      <c r="V348" s="282"/>
      <c r="W348" s="282"/>
      <c r="X348" s="283"/>
      <c r="Y348" s="284" t="n">
        <f aca="false">IFERROR(L348*$G348*I$9, "")</f>
        <v>0</v>
      </c>
      <c r="Z348" s="284" t="n">
        <f aca="false">IFERROR(M348*$G348*$I348, "")</f>
        <v>0</v>
      </c>
      <c r="AA348" s="284" t="n">
        <f aca="false">IFERROR(N348*$G348*$I348, "")</f>
        <v>0</v>
      </c>
      <c r="AB348" s="284" t="n">
        <f aca="false">IFERROR(O348*$G348*$I348, "")</f>
        <v>0</v>
      </c>
      <c r="AC348" s="284" t="n">
        <f aca="false">IFERROR(P348*$G348*$I348, "")</f>
        <v>0</v>
      </c>
      <c r="AD348" s="284" t="n">
        <f aca="false">IFERROR(Q348*$G348*$I348, "")</f>
        <v>0</v>
      </c>
      <c r="AE348" s="284" t="n">
        <f aca="false">IFERROR(R348*$G348*$I348, "")</f>
        <v>0</v>
      </c>
      <c r="AF348" s="284" t="n">
        <f aca="false">IFERROR(S348*$G348*$I348, "")</f>
        <v>0</v>
      </c>
      <c r="AG348" s="284" t="n">
        <f aca="false">IFERROR(T348*$G348*$I348, "")</f>
        <v>0</v>
      </c>
      <c r="AH348" s="284" t="n">
        <f aca="false">IFERROR(U348*$G348*$I348, "")</f>
        <v>0</v>
      </c>
      <c r="AI348" s="284" t="n">
        <f aca="false">IFERROR(V348*$G348*$I348, "")</f>
        <v>0</v>
      </c>
      <c r="AJ348" s="284" t="n">
        <f aca="false">IFERROR(W348*$G348*$I348, "")</f>
        <v>0</v>
      </c>
      <c r="AK348" s="286" t="n">
        <f aca="false">IFERROR(SUMIF($Y$4:$AJ$4, "RDEC", Y348:AJ348), "")</f>
        <v>0</v>
      </c>
      <c r="AL348" s="286" t="n">
        <f aca="false">IFERROR(SUMIF($Y$4:$AJ$4, "SME", Y348:AJ348), "")</f>
        <v>0</v>
      </c>
      <c r="AM348" s="286" t="n">
        <f aca="false">IFERROR(SUMIF($Y$4:$AJ$4, "De Minimis", Y348:AJ348), "")</f>
        <v>0</v>
      </c>
      <c r="AN348" s="283"/>
      <c r="AO348" s="284" t="n">
        <f aca="false">IFERROR($G348*$J348*L348, "")</f>
        <v>0</v>
      </c>
      <c r="AP348" s="284" t="n">
        <f aca="false">IFERROR($G348*$J348*M348, "")</f>
        <v>0</v>
      </c>
      <c r="AQ348" s="284" t="n">
        <f aca="false">IFERROR($G348*$J348*N348, "")</f>
        <v>0</v>
      </c>
      <c r="AR348" s="284" t="n">
        <f aca="false">IFERROR($G348*$J348*O348, "")</f>
        <v>0</v>
      </c>
      <c r="AS348" s="284" t="n">
        <f aca="false">IFERROR($G348*$J348*P348, "")</f>
        <v>0</v>
      </c>
      <c r="AT348" s="284" t="n">
        <f aca="false">IFERROR($G348*$J348*Q348, "")</f>
        <v>0</v>
      </c>
      <c r="AU348" s="284" t="n">
        <f aca="false">IFERROR($G348*$J348*R348, "")</f>
        <v>0</v>
      </c>
      <c r="AV348" s="284" t="n">
        <f aca="false">IFERROR($G348*$J348*S348, "")</f>
        <v>0</v>
      </c>
      <c r="AW348" s="284" t="n">
        <f aca="false">IFERROR($G348*$J348*T348, "")</f>
        <v>0</v>
      </c>
      <c r="AX348" s="284" t="n">
        <f aca="false">IFERROR($G348*$J348*U348, "")</f>
        <v>0</v>
      </c>
      <c r="AY348" s="284" t="n">
        <f aca="false">IFERROR($G348*$J348*V348, "")</f>
        <v>0</v>
      </c>
      <c r="AZ348" s="284" t="n">
        <f aca="false">IFERROR($G348*$J348*W348, "")</f>
        <v>0</v>
      </c>
      <c r="BA348" s="286" t="n">
        <f aca="false">IFERROR(SUMIF($AO$4:$AZ$4, "RDEC", AO348:AZ348), "")</f>
        <v>0</v>
      </c>
      <c r="BB348" s="286" t="n">
        <f aca="false">IFERROR(SUMIF($AO$4:$AZ$4, "SME", AO348:AZ348), "")</f>
        <v>0</v>
      </c>
      <c r="BC348" s="286" t="n">
        <f aca="false">IFERROR(SUMIF($Y$4:$AJ$4, "De Minimis", AO348:AZ348), "")</f>
        <v>0</v>
      </c>
      <c r="BD348" s="287"/>
      <c r="BE348" s="288" t="str">
        <f aca="false">IF((SUM(L348:W348)&gt;1),"ERROR","")</f>
        <v/>
      </c>
    </row>
    <row r="349" customFormat="false" ht="15" hidden="false" customHeight="true" outlineLevel="0" collapsed="false">
      <c r="B349" s="333"/>
      <c r="C349" s="334"/>
      <c r="D349" s="333" t="n">
        <f aca="false">D333</f>
        <v>45413</v>
      </c>
      <c r="E349" s="277" t="n">
        <v>0</v>
      </c>
      <c r="F349" s="277" t="n">
        <v>0</v>
      </c>
      <c r="G349" s="277" t="n">
        <f aca="false">SUM(E349:F349)</f>
        <v>0</v>
      </c>
      <c r="H349" s="204"/>
      <c r="I349" s="279" t="n">
        <v>1</v>
      </c>
      <c r="J349" s="280" t="n">
        <f aca="false">1-I349</f>
        <v>0</v>
      </c>
      <c r="K349" s="277"/>
      <c r="L349" s="282"/>
      <c r="M349" s="282"/>
      <c r="N349" s="282"/>
      <c r="O349" s="282"/>
      <c r="P349" s="282"/>
      <c r="Q349" s="282"/>
      <c r="R349" s="282"/>
      <c r="S349" s="282"/>
      <c r="T349" s="282"/>
      <c r="U349" s="282"/>
      <c r="V349" s="282"/>
      <c r="W349" s="282"/>
      <c r="X349" s="283"/>
      <c r="Y349" s="284" t="n">
        <f aca="false">IFERROR(L349*$G349*I$9, "")</f>
        <v>0</v>
      </c>
      <c r="Z349" s="284" t="n">
        <f aca="false">IFERROR(M349*$G349*$I349, "")</f>
        <v>0</v>
      </c>
      <c r="AA349" s="284" t="n">
        <f aca="false">IFERROR(N349*$G349*$I349, "")</f>
        <v>0</v>
      </c>
      <c r="AB349" s="284" t="n">
        <f aca="false">IFERROR(O349*$G349*$I349, "")</f>
        <v>0</v>
      </c>
      <c r="AC349" s="284" t="n">
        <f aca="false">IFERROR(P349*$G349*$I349, "")</f>
        <v>0</v>
      </c>
      <c r="AD349" s="284" t="n">
        <f aca="false">IFERROR(Q349*$G349*$I349, "")</f>
        <v>0</v>
      </c>
      <c r="AE349" s="284" t="n">
        <f aca="false">IFERROR(R349*$G349*$I349, "")</f>
        <v>0</v>
      </c>
      <c r="AF349" s="284" t="n">
        <f aca="false">IFERROR(S349*$G349*$I349, "")</f>
        <v>0</v>
      </c>
      <c r="AG349" s="284" t="n">
        <f aca="false">IFERROR(T349*$G349*$I349, "")</f>
        <v>0</v>
      </c>
      <c r="AH349" s="284" t="n">
        <f aca="false">IFERROR(U349*$G349*$I349, "")</f>
        <v>0</v>
      </c>
      <c r="AI349" s="284" t="n">
        <f aca="false">IFERROR(V349*$G349*$I349, "")</f>
        <v>0</v>
      </c>
      <c r="AJ349" s="284" t="n">
        <f aca="false">IFERROR(W349*$G349*$I349, "")</f>
        <v>0</v>
      </c>
      <c r="AK349" s="286" t="n">
        <f aca="false">IFERROR(SUMIF($Y$4:$AJ$4, "RDEC", Y349:AJ349), "")</f>
        <v>0</v>
      </c>
      <c r="AL349" s="286" t="n">
        <f aca="false">IFERROR(SUMIF($Y$4:$AJ$4, "SME", Y349:AJ349), "")</f>
        <v>0</v>
      </c>
      <c r="AM349" s="286" t="n">
        <f aca="false">IFERROR(SUMIF($Y$4:$AJ$4, "De Minimis", Y349:AJ349), "")</f>
        <v>0</v>
      </c>
      <c r="AN349" s="283"/>
      <c r="AO349" s="284" t="n">
        <f aca="false">IFERROR($G349*$J349*L349, "")</f>
        <v>0</v>
      </c>
      <c r="AP349" s="284" t="n">
        <f aca="false">IFERROR($G349*$J349*M349, "")</f>
        <v>0</v>
      </c>
      <c r="AQ349" s="284" t="n">
        <f aca="false">IFERROR($G349*$J349*N349, "")</f>
        <v>0</v>
      </c>
      <c r="AR349" s="284" t="n">
        <f aca="false">IFERROR($G349*$J349*O349, "")</f>
        <v>0</v>
      </c>
      <c r="AS349" s="284" t="n">
        <f aca="false">IFERROR($G349*$J349*P349, "")</f>
        <v>0</v>
      </c>
      <c r="AT349" s="284" t="n">
        <f aca="false">IFERROR($G349*$J349*Q349, "")</f>
        <v>0</v>
      </c>
      <c r="AU349" s="284" t="n">
        <f aca="false">IFERROR($G349*$J349*R349, "")</f>
        <v>0</v>
      </c>
      <c r="AV349" s="284" t="n">
        <f aca="false">IFERROR($G349*$J349*S349, "")</f>
        <v>0</v>
      </c>
      <c r="AW349" s="284" t="n">
        <f aca="false">IFERROR($G349*$J349*T349, "")</f>
        <v>0</v>
      </c>
      <c r="AX349" s="284" t="n">
        <f aca="false">IFERROR($G349*$J349*U349, "")</f>
        <v>0</v>
      </c>
      <c r="AY349" s="284" t="n">
        <f aca="false">IFERROR($G349*$J349*V349, "")</f>
        <v>0</v>
      </c>
      <c r="AZ349" s="284" t="n">
        <f aca="false">IFERROR($G349*$J349*W349, "")</f>
        <v>0</v>
      </c>
      <c r="BA349" s="286" t="n">
        <f aca="false">IFERROR(SUMIF($AO$4:$AZ$4, "RDEC", AO349:AZ349), "")</f>
        <v>0</v>
      </c>
      <c r="BB349" s="286" t="n">
        <f aca="false">IFERROR(SUMIF($AO$4:$AZ$4, "SME", AO349:AZ349), "")</f>
        <v>0</v>
      </c>
      <c r="BC349" s="286" t="n">
        <f aca="false">IFERROR(SUMIF($Y$4:$AJ$4, "De Minimis", AO349:AZ349), "")</f>
        <v>0</v>
      </c>
      <c r="BD349" s="287"/>
      <c r="BE349" s="288" t="str">
        <f aca="false">IF((SUM(L349:W349)&gt;1),"ERROR","")</f>
        <v/>
      </c>
    </row>
    <row r="350" customFormat="false" ht="15" hidden="false" customHeight="true" outlineLevel="0" collapsed="false">
      <c r="B350" s="333"/>
      <c r="C350" s="334"/>
      <c r="D350" s="333" t="n">
        <f aca="false">D334</f>
        <v>45444</v>
      </c>
      <c r="E350" s="277" t="n">
        <v>0</v>
      </c>
      <c r="F350" s="277" t="n">
        <v>0</v>
      </c>
      <c r="G350" s="277" t="n">
        <f aca="false">SUM(E350:F350)</f>
        <v>0</v>
      </c>
      <c r="H350" s="204"/>
      <c r="I350" s="279" t="n">
        <v>1</v>
      </c>
      <c r="J350" s="280" t="n">
        <f aca="false">1-I350</f>
        <v>0</v>
      </c>
      <c r="K350" s="277"/>
      <c r="L350" s="282"/>
      <c r="M350" s="282"/>
      <c r="N350" s="282"/>
      <c r="O350" s="282"/>
      <c r="P350" s="282"/>
      <c r="Q350" s="282"/>
      <c r="R350" s="282"/>
      <c r="S350" s="282"/>
      <c r="T350" s="282"/>
      <c r="U350" s="282"/>
      <c r="V350" s="282"/>
      <c r="W350" s="282"/>
      <c r="X350" s="283"/>
      <c r="Y350" s="284" t="n">
        <f aca="false">IFERROR(L350*$G350*I$9, "")</f>
        <v>0</v>
      </c>
      <c r="Z350" s="284" t="n">
        <f aca="false">IFERROR(M350*$G350*$I350, "")</f>
        <v>0</v>
      </c>
      <c r="AA350" s="284" t="n">
        <f aca="false">IFERROR(N350*$G350*$I350, "")</f>
        <v>0</v>
      </c>
      <c r="AB350" s="284" t="n">
        <f aca="false">IFERROR(O350*$G350*$I350, "")</f>
        <v>0</v>
      </c>
      <c r="AC350" s="284" t="n">
        <f aca="false">IFERROR(P350*$G350*$I350, "")</f>
        <v>0</v>
      </c>
      <c r="AD350" s="284" t="n">
        <f aca="false">IFERROR(Q350*$G350*$I350, "")</f>
        <v>0</v>
      </c>
      <c r="AE350" s="284" t="n">
        <f aca="false">IFERROR(R350*$G350*$I350, "")</f>
        <v>0</v>
      </c>
      <c r="AF350" s="284" t="n">
        <f aca="false">IFERROR(S350*$G350*$I350, "")</f>
        <v>0</v>
      </c>
      <c r="AG350" s="284" t="n">
        <f aca="false">IFERROR(T350*$G350*$I350, "")</f>
        <v>0</v>
      </c>
      <c r="AH350" s="284" t="n">
        <f aca="false">IFERROR(U350*$G350*$I350, "")</f>
        <v>0</v>
      </c>
      <c r="AI350" s="284" t="n">
        <f aca="false">IFERROR(V350*$G350*$I350, "")</f>
        <v>0</v>
      </c>
      <c r="AJ350" s="284" t="n">
        <f aca="false">IFERROR(W350*$G350*$I350, "")</f>
        <v>0</v>
      </c>
      <c r="AK350" s="286" t="n">
        <f aca="false">IFERROR(SUMIF($Y$4:$AJ$4, "RDEC", Y350:AJ350), "")</f>
        <v>0</v>
      </c>
      <c r="AL350" s="286" t="n">
        <f aca="false">IFERROR(SUMIF($Y$4:$AJ$4, "SME", Y350:AJ350), "")</f>
        <v>0</v>
      </c>
      <c r="AM350" s="286" t="n">
        <f aca="false">IFERROR(SUMIF($Y$4:$AJ$4, "De Minimis", Y350:AJ350), "")</f>
        <v>0</v>
      </c>
      <c r="AN350" s="283"/>
      <c r="AO350" s="284" t="n">
        <f aca="false">IFERROR($G350*$J350*L350, "")</f>
        <v>0</v>
      </c>
      <c r="AP350" s="284" t="n">
        <f aca="false">IFERROR($G350*$J350*M350, "")</f>
        <v>0</v>
      </c>
      <c r="AQ350" s="284" t="n">
        <f aca="false">IFERROR($G350*$J350*N350, "")</f>
        <v>0</v>
      </c>
      <c r="AR350" s="284" t="n">
        <f aca="false">IFERROR($G350*$J350*O350, "")</f>
        <v>0</v>
      </c>
      <c r="AS350" s="284" t="n">
        <f aca="false">IFERROR($G350*$J350*P350, "")</f>
        <v>0</v>
      </c>
      <c r="AT350" s="284" t="n">
        <f aca="false">IFERROR($G350*$J350*Q350, "")</f>
        <v>0</v>
      </c>
      <c r="AU350" s="284" t="n">
        <f aca="false">IFERROR($G350*$J350*R350, "")</f>
        <v>0</v>
      </c>
      <c r="AV350" s="284" t="n">
        <f aca="false">IFERROR($G350*$J350*S350, "")</f>
        <v>0</v>
      </c>
      <c r="AW350" s="284" t="n">
        <f aca="false">IFERROR($G350*$J350*T350, "")</f>
        <v>0</v>
      </c>
      <c r="AX350" s="284" t="n">
        <f aca="false">IFERROR($G350*$J350*U350, "")</f>
        <v>0</v>
      </c>
      <c r="AY350" s="284" t="n">
        <f aca="false">IFERROR($G350*$J350*V350, "")</f>
        <v>0</v>
      </c>
      <c r="AZ350" s="284" t="n">
        <f aca="false">IFERROR($G350*$J350*W350, "")</f>
        <v>0</v>
      </c>
      <c r="BA350" s="286" t="n">
        <f aca="false">IFERROR(SUMIF($AO$4:$AZ$4, "RDEC", AO350:AZ350), "")</f>
        <v>0</v>
      </c>
      <c r="BB350" s="286" t="n">
        <f aca="false">IFERROR(SUMIF($AO$4:$AZ$4, "SME", AO350:AZ350), "")</f>
        <v>0</v>
      </c>
      <c r="BC350" s="286" t="n">
        <f aca="false">IFERROR(SUMIF($Y$4:$AJ$4, "De Minimis", AO350:AZ350), "")</f>
        <v>0</v>
      </c>
      <c r="BD350" s="287"/>
      <c r="BE350" s="288" t="str">
        <f aca="false">IF((SUM(L350:W350)&gt;1),"ERROR","")</f>
        <v/>
      </c>
    </row>
    <row r="351" customFormat="false" ht="15" hidden="false" customHeight="true" outlineLevel="0" collapsed="false">
      <c r="B351" s="333"/>
      <c r="C351" s="334"/>
      <c r="D351" s="333" t="n">
        <f aca="false">D335</f>
        <v>45474</v>
      </c>
      <c r="E351" s="277" t="n">
        <v>0</v>
      </c>
      <c r="F351" s="277" t="n">
        <v>0</v>
      </c>
      <c r="G351" s="277" t="n">
        <f aca="false">SUM(E351:F351)</f>
        <v>0</v>
      </c>
      <c r="H351" s="204"/>
      <c r="I351" s="279" t="n">
        <v>1</v>
      </c>
      <c r="J351" s="280" t="n">
        <f aca="false">1-I351</f>
        <v>0</v>
      </c>
      <c r="K351" s="277"/>
      <c r="L351" s="282"/>
      <c r="M351" s="282"/>
      <c r="N351" s="282"/>
      <c r="O351" s="282"/>
      <c r="P351" s="282"/>
      <c r="Q351" s="282"/>
      <c r="R351" s="282"/>
      <c r="S351" s="282"/>
      <c r="T351" s="282"/>
      <c r="U351" s="282"/>
      <c r="V351" s="282"/>
      <c r="W351" s="282"/>
      <c r="X351" s="283"/>
      <c r="Y351" s="284" t="n">
        <f aca="false">IFERROR(L351*$G351*I$9, "")</f>
        <v>0</v>
      </c>
      <c r="Z351" s="284" t="n">
        <f aca="false">IFERROR(M351*$G351*$I351, "")</f>
        <v>0</v>
      </c>
      <c r="AA351" s="284" t="n">
        <f aca="false">IFERROR(N351*$G351*$I351, "")</f>
        <v>0</v>
      </c>
      <c r="AB351" s="284" t="n">
        <f aca="false">IFERROR(O351*$G351*$I351, "")</f>
        <v>0</v>
      </c>
      <c r="AC351" s="284" t="n">
        <f aca="false">IFERROR(P351*$G351*$I351, "")</f>
        <v>0</v>
      </c>
      <c r="AD351" s="284" t="n">
        <f aca="false">IFERROR(Q351*$G351*$I351, "")</f>
        <v>0</v>
      </c>
      <c r="AE351" s="284" t="n">
        <f aca="false">IFERROR(R351*$G351*$I351, "")</f>
        <v>0</v>
      </c>
      <c r="AF351" s="284" t="n">
        <f aca="false">IFERROR(S351*$G351*$I351, "")</f>
        <v>0</v>
      </c>
      <c r="AG351" s="284" t="n">
        <f aca="false">IFERROR(T351*$G351*$I351, "")</f>
        <v>0</v>
      </c>
      <c r="AH351" s="284" t="n">
        <f aca="false">IFERROR(U351*$G351*$I351, "")</f>
        <v>0</v>
      </c>
      <c r="AI351" s="284" t="n">
        <f aca="false">IFERROR(V351*$G351*$I351, "")</f>
        <v>0</v>
      </c>
      <c r="AJ351" s="284" t="n">
        <f aca="false">IFERROR(W351*$G351*$I351, "")</f>
        <v>0</v>
      </c>
      <c r="AK351" s="286" t="n">
        <f aca="false">IFERROR(SUMIF($Y$4:$AJ$4, "RDEC", Y351:AJ351), "")</f>
        <v>0</v>
      </c>
      <c r="AL351" s="286" t="n">
        <f aca="false">IFERROR(SUMIF($Y$4:$AJ$4, "SME", Y351:AJ351), "")</f>
        <v>0</v>
      </c>
      <c r="AM351" s="286" t="n">
        <f aca="false">IFERROR(SUMIF($Y$4:$AJ$4, "De Minimis", Y351:AJ351), "")</f>
        <v>0</v>
      </c>
      <c r="AN351" s="283"/>
      <c r="AO351" s="284" t="n">
        <f aca="false">IFERROR($G351*$J351*L351, "")</f>
        <v>0</v>
      </c>
      <c r="AP351" s="284" t="n">
        <f aca="false">IFERROR($G351*$J351*M351, "")</f>
        <v>0</v>
      </c>
      <c r="AQ351" s="284" t="n">
        <f aca="false">IFERROR($G351*$J351*N351, "")</f>
        <v>0</v>
      </c>
      <c r="AR351" s="284" t="n">
        <f aca="false">IFERROR($G351*$J351*O351, "")</f>
        <v>0</v>
      </c>
      <c r="AS351" s="284" t="n">
        <f aca="false">IFERROR($G351*$J351*P351, "")</f>
        <v>0</v>
      </c>
      <c r="AT351" s="284" t="n">
        <f aca="false">IFERROR($G351*$J351*Q351, "")</f>
        <v>0</v>
      </c>
      <c r="AU351" s="284" t="n">
        <f aca="false">IFERROR($G351*$J351*R351, "")</f>
        <v>0</v>
      </c>
      <c r="AV351" s="284" t="n">
        <f aca="false">IFERROR($G351*$J351*S351, "")</f>
        <v>0</v>
      </c>
      <c r="AW351" s="284" t="n">
        <f aca="false">IFERROR($G351*$J351*T351, "")</f>
        <v>0</v>
      </c>
      <c r="AX351" s="284" t="n">
        <f aca="false">IFERROR($G351*$J351*U351, "")</f>
        <v>0</v>
      </c>
      <c r="AY351" s="284" t="n">
        <f aca="false">IFERROR($G351*$J351*V351, "")</f>
        <v>0</v>
      </c>
      <c r="AZ351" s="284" t="n">
        <f aca="false">IFERROR($G351*$J351*W351, "")</f>
        <v>0</v>
      </c>
      <c r="BA351" s="286" t="n">
        <f aca="false">IFERROR(SUMIF($AO$4:$AZ$4, "RDEC", AO351:AZ351), "")</f>
        <v>0</v>
      </c>
      <c r="BB351" s="286" t="n">
        <f aca="false">IFERROR(SUMIF($AO$4:$AZ$4, "SME", AO351:AZ351), "")</f>
        <v>0</v>
      </c>
      <c r="BC351" s="286" t="n">
        <f aca="false">IFERROR(SUMIF($Y$4:$AJ$4, "De Minimis", AO351:AZ351), "")</f>
        <v>0</v>
      </c>
      <c r="BD351" s="287"/>
      <c r="BE351" s="288" t="str">
        <f aca="false">IF((SUM(L351:W351)&gt;1),"ERROR","")</f>
        <v/>
      </c>
    </row>
    <row r="352" customFormat="false" ht="15" hidden="false" customHeight="true" outlineLevel="0" collapsed="false">
      <c r="B352" s="333"/>
      <c r="C352" s="334"/>
      <c r="D352" s="333" t="n">
        <f aca="false">D336</f>
        <v>45505</v>
      </c>
      <c r="E352" s="277" t="n">
        <v>0</v>
      </c>
      <c r="F352" s="277" t="n">
        <v>0</v>
      </c>
      <c r="G352" s="277" t="n">
        <f aca="false">SUM(E352:F352)</f>
        <v>0</v>
      </c>
      <c r="H352" s="204"/>
      <c r="I352" s="279" t="n">
        <v>1</v>
      </c>
      <c r="J352" s="280" t="n">
        <f aca="false">1-I352</f>
        <v>0</v>
      </c>
      <c r="K352" s="277"/>
      <c r="L352" s="282"/>
      <c r="M352" s="282"/>
      <c r="N352" s="282"/>
      <c r="O352" s="282"/>
      <c r="P352" s="282"/>
      <c r="Q352" s="282"/>
      <c r="R352" s="282"/>
      <c r="S352" s="282"/>
      <c r="T352" s="282"/>
      <c r="U352" s="282"/>
      <c r="V352" s="282"/>
      <c r="W352" s="282"/>
      <c r="X352" s="283"/>
      <c r="Y352" s="284" t="n">
        <f aca="false">IFERROR(L352*$G352*I$9, "")</f>
        <v>0</v>
      </c>
      <c r="Z352" s="284" t="n">
        <f aca="false">IFERROR(M352*$G352*$I352, "")</f>
        <v>0</v>
      </c>
      <c r="AA352" s="284" t="n">
        <f aca="false">IFERROR(N352*$G352*$I352, "")</f>
        <v>0</v>
      </c>
      <c r="AB352" s="284" t="n">
        <f aca="false">IFERROR(O352*$G352*$I352, "")</f>
        <v>0</v>
      </c>
      <c r="AC352" s="284" t="n">
        <f aca="false">IFERROR(P352*$G352*$I352, "")</f>
        <v>0</v>
      </c>
      <c r="AD352" s="284" t="n">
        <f aca="false">IFERROR(Q352*$G352*$I352, "")</f>
        <v>0</v>
      </c>
      <c r="AE352" s="284" t="n">
        <f aca="false">IFERROR(R352*$G352*$I352, "")</f>
        <v>0</v>
      </c>
      <c r="AF352" s="284" t="n">
        <f aca="false">IFERROR(S352*$G352*$I352, "")</f>
        <v>0</v>
      </c>
      <c r="AG352" s="284" t="n">
        <f aca="false">IFERROR(T352*$G352*$I352, "")</f>
        <v>0</v>
      </c>
      <c r="AH352" s="284" t="n">
        <f aca="false">IFERROR(U352*$G352*$I352, "")</f>
        <v>0</v>
      </c>
      <c r="AI352" s="284" t="n">
        <f aca="false">IFERROR(V352*$G352*$I352, "")</f>
        <v>0</v>
      </c>
      <c r="AJ352" s="284" t="n">
        <f aca="false">IFERROR(W352*$G352*$I352, "")</f>
        <v>0</v>
      </c>
      <c r="AK352" s="286" t="n">
        <f aca="false">IFERROR(SUMIF($Y$4:$AJ$4, "RDEC", Y352:AJ352), "")</f>
        <v>0</v>
      </c>
      <c r="AL352" s="286" t="n">
        <f aca="false">IFERROR(SUMIF($Y$4:$AJ$4, "SME", Y352:AJ352), "")</f>
        <v>0</v>
      </c>
      <c r="AM352" s="286" t="n">
        <f aca="false">IFERROR(SUMIF($Y$4:$AJ$4, "De Minimis", Y352:AJ352), "")</f>
        <v>0</v>
      </c>
      <c r="AN352" s="283"/>
      <c r="AO352" s="284" t="n">
        <f aca="false">IFERROR($G352*$J352*L352, "")</f>
        <v>0</v>
      </c>
      <c r="AP352" s="284" t="n">
        <f aca="false">IFERROR($G352*$J352*M352, "")</f>
        <v>0</v>
      </c>
      <c r="AQ352" s="284" t="n">
        <f aca="false">IFERROR($G352*$J352*N352, "")</f>
        <v>0</v>
      </c>
      <c r="AR352" s="284" t="n">
        <f aca="false">IFERROR($G352*$J352*O352, "")</f>
        <v>0</v>
      </c>
      <c r="AS352" s="284" t="n">
        <f aca="false">IFERROR($G352*$J352*P352, "")</f>
        <v>0</v>
      </c>
      <c r="AT352" s="284" t="n">
        <f aca="false">IFERROR($G352*$J352*Q352, "")</f>
        <v>0</v>
      </c>
      <c r="AU352" s="284" t="n">
        <f aca="false">IFERROR($G352*$J352*R352, "")</f>
        <v>0</v>
      </c>
      <c r="AV352" s="284" t="n">
        <f aca="false">IFERROR($G352*$J352*S352, "")</f>
        <v>0</v>
      </c>
      <c r="AW352" s="284" t="n">
        <f aca="false">IFERROR($G352*$J352*T352, "")</f>
        <v>0</v>
      </c>
      <c r="AX352" s="284" t="n">
        <f aca="false">IFERROR($G352*$J352*U352, "")</f>
        <v>0</v>
      </c>
      <c r="AY352" s="284" t="n">
        <f aca="false">IFERROR($G352*$J352*V352, "")</f>
        <v>0</v>
      </c>
      <c r="AZ352" s="284" t="n">
        <f aca="false">IFERROR($G352*$J352*W352, "")</f>
        <v>0</v>
      </c>
      <c r="BA352" s="286" t="n">
        <f aca="false">IFERROR(SUMIF($AO$4:$AZ$4, "RDEC", AO352:AZ352), "")</f>
        <v>0</v>
      </c>
      <c r="BB352" s="286" t="n">
        <f aca="false">IFERROR(SUMIF($AO$4:$AZ$4, "SME", AO352:AZ352), "")</f>
        <v>0</v>
      </c>
      <c r="BC352" s="286" t="n">
        <f aca="false">IFERROR(SUMIF($Y$4:$AJ$4, "De Minimis", AO352:AZ352), "")</f>
        <v>0</v>
      </c>
      <c r="BD352" s="287"/>
      <c r="BE352" s="288" t="str">
        <f aca="false">IF((SUM(L352:W352)&gt;1),"ERROR","")</f>
        <v/>
      </c>
    </row>
    <row r="353" customFormat="false" ht="15" hidden="false" customHeight="true" outlineLevel="0" collapsed="false">
      <c r="B353" s="333"/>
      <c r="C353" s="334"/>
      <c r="D353" s="333" t="n">
        <f aca="false">D337</f>
        <v>45536</v>
      </c>
      <c r="E353" s="277" t="n">
        <v>0</v>
      </c>
      <c r="F353" s="277" t="n">
        <v>0</v>
      </c>
      <c r="G353" s="277" t="n">
        <f aca="false">SUM(E353:F353)</f>
        <v>0</v>
      </c>
      <c r="H353" s="204"/>
      <c r="I353" s="279" t="n">
        <v>1</v>
      </c>
      <c r="J353" s="280" t="n">
        <f aca="false">1-I353</f>
        <v>0</v>
      </c>
      <c r="K353" s="277"/>
      <c r="L353" s="282"/>
      <c r="M353" s="282"/>
      <c r="N353" s="282"/>
      <c r="O353" s="282"/>
      <c r="P353" s="282"/>
      <c r="Q353" s="282"/>
      <c r="R353" s="282"/>
      <c r="S353" s="282"/>
      <c r="T353" s="282"/>
      <c r="U353" s="282"/>
      <c r="V353" s="282"/>
      <c r="W353" s="282"/>
      <c r="X353" s="283"/>
      <c r="Y353" s="284" t="n">
        <f aca="false">IFERROR(L353*$G353*I$9, "")</f>
        <v>0</v>
      </c>
      <c r="Z353" s="284" t="n">
        <f aca="false">IFERROR(M353*$G353*$I353, "")</f>
        <v>0</v>
      </c>
      <c r="AA353" s="284" t="n">
        <f aca="false">IFERROR(N353*$G353*$I353, "")</f>
        <v>0</v>
      </c>
      <c r="AB353" s="284" t="n">
        <f aca="false">IFERROR(O353*$G353*$I353, "")</f>
        <v>0</v>
      </c>
      <c r="AC353" s="284" t="n">
        <f aca="false">IFERROR(P353*$G353*$I353, "")</f>
        <v>0</v>
      </c>
      <c r="AD353" s="284" t="n">
        <f aca="false">IFERROR(Q353*$G353*$I353, "")</f>
        <v>0</v>
      </c>
      <c r="AE353" s="284" t="n">
        <f aca="false">IFERROR(R353*$G353*$I353, "")</f>
        <v>0</v>
      </c>
      <c r="AF353" s="284" t="n">
        <f aca="false">IFERROR(S353*$G353*$I353, "")</f>
        <v>0</v>
      </c>
      <c r="AG353" s="284" t="n">
        <f aca="false">IFERROR(T353*$G353*$I353, "")</f>
        <v>0</v>
      </c>
      <c r="AH353" s="284" t="n">
        <f aca="false">IFERROR(U353*$G353*$I353, "")</f>
        <v>0</v>
      </c>
      <c r="AI353" s="284" t="n">
        <f aca="false">IFERROR(V353*$G353*$I353, "")</f>
        <v>0</v>
      </c>
      <c r="AJ353" s="284" t="n">
        <f aca="false">IFERROR(W353*$G353*$I353, "")</f>
        <v>0</v>
      </c>
      <c r="AK353" s="286" t="n">
        <f aca="false">IFERROR(SUMIF($Y$4:$AJ$4, "RDEC", Y353:AJ353), "")</f>
        <v>0</v>
      </c>
      <c r="AL353" s="286" t="n">
        <f aca="false">IFERROR(SUMIF($Y$4:$AJ$4, "SME", Y353:AJ353), "")</f>
        <v>0</v>
      </c>
      <c r="AM353" s="286" t="n">
        <f aca="false">IFERROR(SUMIF($Y$4:$AJ$4, "De Minimis", Y353:AJ353), "")</f>
        <v>0</v>
      </c>
      <c r="AN353" s="283"/>
      <c r="AO353" s="284" t="n">
        <f aca="false">IFERROR($G353*$J353*L353, "")</f>
        <v>0</v>
      </c>
      <c r="AP353" s="284" t="n">
        <f aca="false">IFERROR($G353*$J353*M353, "")</f>
        <v>0</v>
      </c>
      <c r="AQ353" s="284" t="n">
        <f aca="false">IFERROR($G353*$J353*N353, "")</f>
        <v>0</v>
      </c>
      <c r="AR353" s="284" t="n">
        <f aca="false">IFERROR($G353*$J353*O353, "")</f>
        <v>0</v>
      </c>
      <c r="AS353" s="284" t="n">
        <f aca="false">IFERROR($G353*$J353*P353, "")</f>
        <v>0</v>
      </c>
      <c r="AT353" s="284" t="n">
        <f aca="false">IFERROR($G353*$J353*Q353, "")</f>
        <v>0</v>
      </c>
      <c r="AU353" s="284" t="n">
        <f aca="false">IFERROR($G353*$J353*R353, "")</f>
        <v>0</v>
      </c>
      <c r="AV353" s="284" t="n">
        <f aca="false">IFERROR($G353*$J353*S353, "")</f>
        <v>0</v>
      </c>
      <c r="AW353" s="284" t="n">
        <f aca="false">IFERROR($G353*$J353*T353, "")</f>
        <v>0</v>
      </c>
      <c r="AX353" s="284" t="n">
        <f aca="false">IFERROR($G353*$J353*U353, "")</f>
        <v>0</v>
      </c>
      <c r="AY353" s="284" t="n">
        <f aca="false">IFERROR($G353*$J353*V353, "")</f>
        <v>0</v>
      </c>
      <c r="AZ353" s="284" t="n">
        <f aca="false">IFERROR($G353*$J353*W353, "")</f>
        <v>0</v>
      </c>
      <c r="BA353" s="286" t="n">
        <f aca="false">IFERROR(SUMIF($AO$4:$AZ$4, "RDEC", AO353:AZ353), "")</f>
        <v>0</v>
      </c>
      <c r="BB353" s="286" t="n">
        <f aca="false">IFERROR(SUMIF($AO$4:$AZ$4, "SME", AO353:AZ353), "")</f>
        <v>0</v>
      </c>
      <c r="BC353" s="286" t="n">
        <f aca="false">IFERROR(SUMIF($Y$4:$AJ$4, "De Minimis", AO353:AZ353), "")</f>
        <v>0</v>
      </c>
      <c r="BD353" s="287"/>
      <c r="BE353" s="288" t="str">
        <f aca="false">IF((SUM(L353:W353)&gt;1),"ERROR","")</f>
        <v/>
      </c>
    </row>
    <row r="354" customFormat="false" ht="15" hidden="false" customHeight="true" outlineLevel="0" collapsed="false">
      <c r="B354" s="333"/>
      <c r="C354" s="334"/>
      <c r="D354" s="333" t="n">
        <f aca="false">D338</f>
        <v>45566</v>
      </c>
      <c r="E354" s="277" t="n">
        <v>0</v>
      </c>
      <c r="F354" s="277" t="n">
        <v>0</v>
      </c>
      <c r="G354" s="277" t="n">
        <f aca="false">SUM(E354:F354)</f>
        <v>0</v>
      </c>
      <c r="H354" s="204"/>
      <c r="I354" s="279" t="n">
        <v>1</v>
      </c>
      <c r="J354" s="280" t="n">
        <f aca="false">1-I354</f>
        <v>0</v>
      </c>
      <c r="K354" s="277"/>
      <c r="L354" s="282"/>
      <c r="M354" s="282"/>
      <c r="N354" s="282"/>
      <c r="O354" s="282"/>
      <c r="P354" s="282"/>
      <c r="Q354" s="282"/>
      <c r="R354" s="282"/>
      <c r="S354" s="282"/>
      <c r="T354" s="282"/>
      <c r="U354" s="282"/>
      <c r="V354" s="282"/>
      <c r="W354" s="282"/>
      <c r="X354" s="283"/>
      <c r="Y354" s="284" t="n">
        <f aca="false">IFERROR(L354*$G354*I$9, "")</f>
        <v>0</v>
      </c>
      <c r="Z354" s="284" t="n">
        <f aca="false">IFERROR(M354*$G354*$I354, "")</f>
        <v>0</v>
      </c>
      <c r="AA354" s="284" t="n">
        <f aca="false">IFERROR(N354*$G354*$I354, "")</f>
        <v>0</v>
      </c>
      <c r="AB354" s="284" t="n">
        <f aca="false">IFERROR(O354*$G354*$I354, "")</f>
        <v>0</v>
      </c>
      <c r="AC354" s="284" t="n">
        <f aca="false">IFERROR(P354*$G354*$I354, "")</f>
        <v>0</v>
      </c>
      <c r="AD354" s="284" t="n">
        <f aca="false">IFERROR(Q354*$G354*$I354, "")</f>
        <v>0</v>
      </c>
      <c r="AE354" s="284" t="n">
        <f aca="false">IFERROR(R354*$G354*$I354, "")</f>
        <v>0</v>
      </c>
      <c r="AF354" s="284" t="n">
        <f aca="false">IFERROR(S354*$G354*$I354, "")</f>
        <v>0</v>
      </c>
      <c r="AG354" s="284" t="n">
        <f aca="false">IFERROR(T354*$G354*$I354, "")</f>
        <v>0</v>
      </c>
      <c r="AH354" s="284" t="n">
        <f aca="false">IFERROR(U354*$G354*$I354, "")</f>
        <v>0</v>
      </c>
      <c r="AI354" s="284" t="n">
        <f aca="false">IFERROR(V354*$G354*$I354, "")</f>
        <v>0</v>
      </c>
      <c r="AJ354" s="284" t="n">
        <f aca="false">IFERROR(W354*$G354*$I354, "")</f>
        <v>0</v>
      </c>
      <c r="AK354" s="286" t="n">
        <f aca="false">IFERROR(SUMIF($Y$4:$AJ$4, "RDEC", Y354:AJ354), "")</f>
        <v>0</v>
      </c>
      <c r="AL354" s="286" t="n">
        <f aca="false">IFERROR(SUMIF($Y$4:$AJ$4, "SME", Y354:AJ354), "")</f>
        <v>0</v>
      </c>
      <c r="AM354" s="286" t="n">
        <f aca="false">IFERROR(SUMIF($Y$4:$AJ$4, "De Minimis", Y354:AJ354), "")</f>
        <v>0</v>
      </c>
      <c r="AN354" s="283"/>
      <c r="AO354" s="284" t="n">
        <f aca="false">IFERROR($G354*$J354*L354, "")</f>
        <v>0</v>
      </c>
      <c r="AP354" s="284" t="n">
        <f aca="false">IFERROR($G354*$J354*M354, "")</f>
        <v>0</v>
      </c>
      <c r="AQ354" s="284" t="n">
        <f aca="false">IFERROR($G354*$J354*N354, "")</f>
        <v>0</v>
      </c>
      <c r="AR354" s="284" t="n">
        <f aca="false">IFERROR($G354*$J354*O354, "")</f>
        <v>0</v>
      </c>
      <c r="AS354" s="284" t="n">
        <f aca="false">IFERROR($G354*$J354*P354, "")</f>
        <v>0</v>
      </c>
      <c r="AT354" s="284" t="n">
        <f aca="false">IFERROR($G354*$J354*Q354, "")</f>
        <v>0</v>
      </c>
      <c r="AU354" s="284" t="n">
        <f aca="false">IFERROR($G354*$J354*R354, "")</f>
        <v>0</v>
      </c>
      <c r="AV354" s="284" t="n">
        <f aca="false">IFERROR($G354*$J354*S354, "")</f>
        <v>0</v>
      </c>
      <c r="AW354" s="284" t="n">
        <f aca="false">IFERROR($G354*$J354*T354, "")</f>
        <v>0</v>
      </c>
      <c r="AX354" s="284" t="n">
        <f aca="false">IFERROR($G354*$J354*U354, "")</f>
        <v>0</v>
      </c>
      <c r="AY354" s="284" t="n">
        <f aca="false">IFERROR($G354*$J354*V354, "")</f>
        <v>0</v>
      </c>
      <c r="AZ354" s="284" t="n">
        <f aca="false">IFERROR($G354*$J354*W354, "")</f>
        <v>0</v>
      </c>
      <c r="BA354" s="286" t="n">
        <f aca="false">IFERROR(SUMIF($AO$4:$AZ$4, "RDEC", AO354:AZ354), "")</f>
        <v>0</v>
      </c>
      <c r="BB354" s="286" t="n">
        <f aca="false">IFERROR(SUMIF($AO$4:$AZ$4, "SME", AO354:AZ354), "")</f>
        <v>0</v>
      </c>
      <c r="BC354" s="286" t="n">
        <f aca="false">IFERROR(SUMIF($Y$4:$AJ$4, "De Minimis", AO354:AZ354), "")</f>
        <v>0</v>
      </c>
      <c r="BD354" s="287"/>
      <c r="BE354" s="288" t="str">
        <f aca="false">IF((SUM(L354:W354)&gt;1),"ERROR","")</f>
        <v/>
      </c>
    </row>
    <row r="355" customFormat="false" ht="15" hidden="false" customHeight="true" outlineLevel="0" collapsed="false">
      <c r="B355" s="333"/>
      <c r="C355" s="334"/>
      <c r="D355" s="333" t="n">
        <f aca="false">D339</f>
        <v>45597</v>
      </c>
      <c r="E355" s="277" t="n">
        <v>0</v>
      </c>
      <c r="F355" s="277" t="n">
        <v>0</v>
      </c>
      <c r="G355" s="277" t="n">
        <f aca="false">SUM(E355:F355)</f>
        <v>0</v>
      </c>
      <c r="H355" s="204"/>
      <c r="I355" s="279" t="n">
        <v>1</v>
      </c>
      <c r="J355" s="280" t="n">
        <f aca="false">1-I355</f>
        <v>0</v>
      </c>
      <c r="K355" s="277"/>
      <c r="L355" s="282"/>
      <c r="M355" s="282"/>
      <c r="N355" s="282"/>
      <c r="O355" s="282"/>
      <c r="P355" s="282"/>
      <c r="Q355" s="282"/>
      <c r="R355" s="282"/>
      <c r="S355" s="282"/>
      <c r="T355" s="282"/>
      <c r="U355" s="282"/>
      <c r="V355" s="282"/>
      <c r="W355" s="282"/>
      <c r="X355" s="283"/>
      <c r="Y355" s="284" t="n">
        <f aca="false">IFERROR(L355*$G355*I$9, "")</f>
        <v>0</v>
      </c>
      <c r="Z355" s="284" t="n">
        <f aca="false">IFERROR(M355*$G355*$I355, "")</f>
        <v>0</v>
      </c>
      <c r="AA355" s="284" t="n">
        <f aca="false">IFERROR(N355*$G355*$I355, "")</f>
        <v>0</v>
      </c>
      <c r="AB355" s="284" t="n">
        <f aca="false">IFERROR(O355*$G355*$I355, "")</f>
        <v>0</v>
      </c>
      <c r="AC355" s="284" t="n">
        <f aca="false">IFERROR(P355*$G355*$I355, "")</f>
        <v>0</v>
      </c>
      <c r="AD355" s="284" t="n">
        <f aca="false">IFERROR(Q355*$G355*$I355, "")</f>
        <v>0</v>
      </c>
      <c r="AE355" s="284" t="n">
        <f aca="false">IFERROR(R355*$G355*$I355, "")</f>
        <v>0</v>
      </c>
      <c r="AF355" s="284" t="n">
        <f aca="false">IFERROR(S355*$G355*$I355, "")</f>
        <v>0</v>
      </c>
      <c r="AG355" s="284" t="n">
        <f aca="false">IFERROR(T355*$G355*$I355, "")</f>
        <v>0</v>
      </c>
      <c r="AH355" s="284" t="n">
        <f aca="false">IFERROR(U355*$G355*$I355, "")</f>
        <v>0</v>
      </c>
      <c r="AI355" s="284" t="n">
        <f aca="false">IFERROR(V355*$G355*$I355, "")</f>
        <v>0</v>
      </c>
      <c r="AJ355" s="284" t="n">
        <f aca="false">IFERROR(W355*$G355*$I355, "")</f>
        <v>0</v>
      </c>
      <c r="AK355" s="286" t="n">
        <f aca="false">IFERROR(SUMIF($Y$4:$AJ$4, "RDEC", Y355:AJ355), "")</f>
        <v>0</v>
      </c>
      <c r="AL355" s="286" t="n">
        <f aca="false">IFERROR(SUMIF($Y$4:$AJ$4, "SME", Y355:AJ355), "")</f>
        <v>0</v>
      </c>
      <c r="AM355" s="286" t="n">
        <f aca="false">IFERROR(SUMIF($Y$4:$AJ$4, "De Minimis", Y355:AJ355), "")</f>
        <v>0</v>
      </c>
      <c r="AN355" s="283"/>
      <c r="AO355" s="284" t="n">
        <f aca="false">IFERROR($G355*$J355*L355, "")</f>
        <v>0</v>
      </c>
      <c r="AP355" s="284" t="n">
        <f aca="false">IFERROR($G355*$J355*M355, "")</f>
        <v>0</v>
      </c>
      <c r="AQ355" s="284" t="n">
        <f aca="false">IFERROR($G355*$J355*N355, "")</f>
        <v>0</v>
      </c>
      <c r="AR355" s="284" t="n">
        <f aca="false">IFERROR($G355*$J355*O355, "")</f>
        <v>0</v>
      </c>
      <c r="AS355" s="284" t="n">
        <f aca="false">IFERROR($G355*$J355*P355, "")</f>
        <v>0</v>
      </c>
      <c r="AT355" s="284" t="n">
        <f aca="false">IFERROR($G355*$J355*Q355, "")</f>
        <v>0</v>
      </c>
      <c r="AU355" s="284" t="n">
        <f aca="false">IFERROR($G355*$J355*R355, "")</f>
        <v>0</v>
      </c>
      <c r="AV355" s="284" t="n">
        <f aca="false">IFERROR($G355*$J355*S355, "")</f>
        <v>0</v>
      </c>
      <c r="AW355" s="284" t="n">
        <f aca="false">IFERROR($G355*$J355*T355, "")</f>
        <v>0</v>
      </c>
      <c r="AX355" s="284" t="n">
        <f aca="false">IFERROR($G355*$J355*U355, "")</f>
        <v>0</v>
      </c>
      <c r="AY355" s="284" t="n">
        <f aca="false">IFERROR($G355*$J355*V355, "")</f>
        <v>0</v>
      </c>
      <c r="AZ355" s="284" t="n">
        <f aca="false">IFERROR($G355*$J355*W355, "")</f>
        <v>0</v>
      </c>
      <c r="BA355" s="286" t="n">
        <f aca="false">IFERROR(SUMIF($AO$4:$AZ$4, "RDEC", AO355:AZ355), "")</f>
        <v>0</v>
      </c>
      <c r="BB355" s="286" t="n">
        <f aca="false">IFERROR(SUMIF($AO$4:$AZ$4, "SME", AO355:AZ355), "")</f>
        <v>0</v>
      </c>
      <c r="BC355" s="286" t="n">
        <f aca="false">IFERROR(SUMIF($Y$4:$AJ$4, "De Minimis", AO355:AZ355), "")</f>
        <v>0</v>
      </c>
      <c r="BD355" s="287"/>
      <c r="BE355" s="288" t="str">
        <f aca="false">IF((SUM(L355:W355)&gt;1),"ERROR","")</f>
        <v/>
      </c>
    </row>
    <row r="356" customFormat="false" ht="15" hidden="false" customHeight="true" outlineLevel="0" collapsed="false">
      <c r="B356" s="333"/>
      <c r="C356" s="334"/>
      <c r="D356" s="333" t="n">
        <f aca="false">D340</f>
        <v>45627</v>
      </c>
      <c r="E356" s="277" t="n">
        <v>0</v>
      </c>
      <c r="F356" s="277" t="n">
        <v>0</v>
      </c>
      <c r="G356" s="277" t="n">
        <f aca="false">SUM(E356:F356)</f>
        <v>0</v>
      </c>
      <c r="H356" s="300"/>
      <c r="I356" s="289" t="n">
        <v>1</v>
      </c>
      <c r="J356" s="290" t="n">
        <f aca="false">1-I356</f>
        <v>0</v>
      </c>
      <c r="K356" s="300"/>
      <c r="L356" s="291"/>
      <c r="M356" s="291"/>
      <c r="N356" s="291"/>
      <c r="O356" s="291"/>
      <c r="P356" s="291"/>
      <c r="Q356" s="291"/>
      <c r="R356" s="291"/>
      <c r="S356" s="291"/>
      <c r="T356" s="291"/>
      <c r="U356" s="291"/>
      <c r="V356" s="291"/>
      <c r="W356" s="291"/>
      <c r="X356" s="283"/>
      <c r="Y356" s="284" t="n">
        <f aca="false">IFERROR(L356*$G356*I$9, "")</f>
        <v>0</v>
      </c>
      <c r="Z356" s="284" t="n">
        <f aca="false">IFERROR(M356*$G356*$I356, "")</f>
        <v>0</v>
      </c>
      <c r="AA356" s="284" t="n">
        <f aca="false">IFERROR(N356*$G356*$I356, "")</f>
        <v>0</v>
      </c>
      <c r="AB356" s="284" t="n">
        <f aca="false">IFERROR(O356*$G356*$I356, "")</f>
        <v>0</v>
      </c>
      <c r="AC356" s="284" t="n">
        <f aca="false">IFERROR(P356*$G356*$I356, "")</f>
        <v>0</v>
      </c>
      <c r="AD356" s="284" t="n">
        <f aca="false">IFERROR(Q356*$G356*$I356, "")</f>
        <v>0</v>
      </c>
      <c r="AE356" s="284" t="n">
        <f aca="false">IFERROR(R356*$G356*$I356, "")</f>
        <v>0</v>
      </c>
      <c r="AF356" s="284" t="n">
        <f aca="false">IFERROR(S356*$G356*$I356, "")</f>
        <v>0</v>
      </c>
      <c r="AG356" s="284" t="n">
        <f aca="false">IFERROR(T356*$G356*$I356, "")</f>
        <v>0</v>
      </c>
      <c r="AH356" s="284" t="n">
        <f aca="false">IFERROR(U356*$G356*$I356, "")</f>
        <v>0</v>
      </c>
      <c r="AI356" s="284" t="n">
        <f aca="false">IFERROR(V356*$G356*$I356, "")</f>
        <v>0</v>
      </c>
      <c r="AJ356" s="284" t="n">
        <f aca="false">IFERROR(W356*$G356*$I356, "")</f>
        <v>0</v>
      </c>
      <c r="AK356" s="294" t="n">
        <f aca="false">IFERROR(SUMIF($Y$4:$AJ$4, "RDEC", Y356:AJ356), "")</f>
        <v>0</v>
      </c>
      <c r="AL356" s="294" t="n">
        <f aca="false">IFERROR(SUMIF($Y$4:$AJ$4, "SME", Y356:AJ356), "")</f>
        <v>0</v>
      </c>
      <c r="AM356" s="294" t="n">
        <f aca="false">IFERROR(SUMIF($Y$4:$AJ$4, "De Minimis", Y356:AJ356), "")</f>
        <v>0</v>
      </c>
      <c r="AN356" s="283"/>
      <c r="AO356" s="284" t="n">
        <f aca="false">IFERROR($G356*$J356*L356, "")</f>
        <v>0</v>
      </c>
      <c r="AP356" s="284" t="n">
        <f aca="false">IFERROR($G356*$J356*M356, "")</f>
        <v>0</v>
      </c>
      <c r="AQ356" s="284" t="n">
        <f aca="false">IFERROR($G356*$J356*N356, "")</f>
        <v>0</v>
      </c>
      <c r="AR356" s="284" t="n">
        <f aca="false">IFERROR($G356*$J356*O356, "")</f>
        <v>0</v>
      </c>
      <c r="AS356" s="284" t="n">
        <f aca="false">IFERROR($G356*$J356*P356, "")</f>
        <v>0</v>
      </c>
      <c r="AT356" s="284" t="n">
        <f aca="false">IFERROR($G356*$J356*Q356, "")</f>
        <v>0</v>
      </c>
      <c r="AU356" s="284" t="n">
        <f aca="false">IFERROR($G356*$J356*R356, "")</f>
        <v>0</v>
      </c>
      <c r="AV356" s="284" t="n">
        <f aca="false">IFERROR($G356*$J356*S356, "")</f>
        <v>0</v>
      </c>
      <c r="AW356" s="284" t="n">
        <f aca="false">IFERROR($G356*$J356*T356, "")</f>
        <v>0</v>
      </c>
      <c r="AX356" s="284" t="n">
        <f aca="false">IFERROR($G356*$J356*U356, "")</f>
        <v>0</v>
      </c>
      <c r="AY356" s="284" t="n">
        <f aca="false">IFERROR($G356*$J356*V356, "")</f>
        <v>0</v>
      </c>
      <c r="AZ356" s="284" t="n">
        <f aca="false">IFERROR($G356*$J356*W356, "")</f>
        <v>0</v>
      </c>
      <c r="BA356" s="286" t="n">
        <f aca="false">IFERROR(SUMIF($AO$4:$AZ$4, "RDEC", AO356:AZ356), "")</f>
        <v>0</v>
      </c>
      <c r="BB356" s="286" t="n">
        <f aca="false">IFERROR(SUMIF($AO$4:$AZ$4, "SME", AO356:AZ356), "")</f>
        <v>0</v>
      </c>
      <c r="BC356" s="294" t="n">
        <f aca="false">IFERROR(SUMIF($Y$4:$AJ$4, "De Minimis", AO356:AZ356), "")</f>
        <v>0</v>
      </c>
      <c r="BD356" s="303"/>
      <c r="BE356" s="295" t="str">
        <f aca="false">IF((SUM(L356:W356)&gt;1),"ERROR","")</f>
        <v/>
      </c>
    </row>
    <row r="357" customFormat="false" ht="15" hidden="false" customHeight="true" outlineLevel="0" collapsed="false">
      <c r="B357" s="296"/>
      <c r="D357" s="297" t="s">
        <v>82</v>
      </c>
      <c r="E357" s="299" t="n">
        <f aca="false">SUM(E345:E356)</f>
        <v>0</v>
      </c>
      <c r="F357" s="299" t="n">
        <f aca="false">SUM(F345:F356)</f>
        <v>0</v>
      </c>
      <c r="G357" s="299" t="n">
        <f aca="false">SUM(G345:G356)</f>
        <v>0</v>
      </c>
      <c r="H357" s="300"/>
      <c r="I357" s="301" t="n">
        <f aca="false">AVERAGE(I345:I356)</f>
        <v>1</v>
      </c>
      <c r="J357" s="301" t="n">
        <f aca="false">AVERAGE(J345:J356)</f>
        <v>0</v>
      </c>
      <c r="K357" s="300"/>
      <c r="L357" s="290" t="n">
        <f aca="false">IF(SUM(L345:L356)&gt;0,(Y357/G357),0)</f>
        <v>0</v>
      </c>
      <c r="M357" s="301" t="n">
        <f aca="false">IF(SUM(M345:M356)&gt;0,(Z357/G357),0)</f>
        <v>0</v>
      </c>
      <c r="N357" s="301" t="n">
        <f aca="false">IF(SUM(N345:N356)&gt;0,(AA357/G357),0)</f>
        <v>0</v>
      </c>
      <c r="O357" s="301" t="n">
        <f aca="false">IF(SUM(O345:O356)&gt;0,(AB357/G357),0)</f>
        <v>0</v>
      </c>
      <c r="P357" s="301" t="n">
        <f aca="false">IF(SUM(P345:P356)&gt;0,(AC357/G357),0)</f>
        <v>0</v>
      </c>
      <c r="Q357" s="301" t="n">
        <f aca="false">IF(SUM(Q345:Q356)&gt;0,(AD357/G357),0)</f>
        <v>0</v>
      </c>
      <c r="R357" s="301" t="n">
        <f aca="false">IF(SUM(R345:R356)&gt;0,(AE357/G357),0)</f>
        <v>0</v>
      </c>
      <c r="S357" s="301" t="n">
        <f aca="false">IF(SUM(S345:S356)&gt;0,(AF357/G357),0)</f>
        <v>0</v>
      </c>
      <c r="T357" s="301" t="n">
        <f aca="false">IF(SUM(T345:T356)&gt;0,(AG357/G357),0)</f>
        <v>0</v>
      </c>
      <c r="U357" s="301" t="n">
        <f aca="false">IF(SUM(U345:U356)&gt;0,(AJ357/G357),0)</f>
        <v>0</v>
      </c>
      <c r="V357" s="301" t="n">
        <f aca="false">IF(SUM(V345:V356)&gt;0,(AI357/G357),0)</f>
        <v>0</v>
      </c>
      <c r="W357" s="301" t="n">
        <f aca="false">IF(SUM(W345:W356)&gt;0,(AJ357/G357),0)</f>
        <v>0</v>
      </c>
      <c r="X357" s="283"/>
      <c r="Y357" s="304" t="n">
        <f aca="false">SUM(Y345:Y356)</f>
        <v>0</v>
      </c>
      <c r="Z357" s="304" t="n">
        <f aca="false">SUM(Z345:Z356)</f>
        <v>0</v>
      </c>
      <c r="AA357" s="304" t="n">
        <f aca="false">SUM(AA345:AA356)</f>
        <v>0</v>
      </c>
      <c r="AB357" s="304" t="n">
        <f aca="false">SUM(AB345:AB356)</f>
        <v>0</v>
      </c>
      <c r="AC357" s="304" t="n">
        <f aca="false">SUM(AC345:AC356)</f>
        <v>0</v>
      </c>
      <c r="AD357" s="304" t="n">
        <f aca="false">SUM(AD345:AD356)</f>
        <v>0</v>
      </c>
      <c r="AE357" s="304" t="n">
        <f aca="false">SUM(AE345:AE356)</f>
        <v>0</v>
      </c>
      <c r="AF357" s="304" t="n">
        <f aca="false">SUM(AF345:AF356)</f>
        <v>0</v>
      </c>
      <c r="AG357" s="304" t="n">
        <f aca="false">SUM(AG345:AG356)</f>
        <v>0</v>
      </c>
      <c r="AH357" s="304" t="n">
        <f aca="false">SUM(AH345:AH356)</f>
        <v>0</v>
      </c>
      <c r="AI357" s="304" t="n">
        <f aca="false">SUM(AI345:AI356)</f>
        <v>0</v>
      </c>
      <c r="AJ357" s="304" t="n">
        <f aca="false">SUM(AJ345:AJ356)</f>
        <v>0</v>
      </c>
      <c r="AK357" s="335" t="n">
        <f aca="false">SUM(AK345:AK356)</f>
        <v>0</v>
      </c>
      <c r="AL357" s="336" t="n">
        <f aca="false">SUM(AL345:AL356)</f>
        <v>0</v>
      </c>
      <c r="AM357" s="305" t="n">
        <f aca="false">SUM(AM345:AM356)</f>
        <v>0</v>
      </c>
      <c r="AN357" s="283"/>
      <c r="AO357" s="304" t="n">
        <f aca="false">SUM(AO345:AO356)</f>
        <v>0</v>
      </c>
      <c r="AP357" s="304" t="n">
        <f aca="false">SUM(AP345:AP356)</f>
        <v>0</v>
      </c>
      <c r="AQ357" s="304" t="n">
        <f aca="false">SUM(AQ345:AQ356)</f>
        <v>0</v>
      </c>
      <c r="AR357" s="304" t="n">
        <f aca="false">SUM(AR345:AR356)</f>
        <v>0</v>
      </c>
      <c r="AS357" s="304" t="n">
        <f aca="false">SUM(AS345:AS356)</f>
        <v>0</v>
      </c>
      <c r="AT357" s="304" t="n">
        <f aca="false">SUM(AT345:AT356)</f>
        <v>0</v>
      </c>
      <c r="AU357" s="304" t="n">
        <f aca="false">SUM(AU345:AU356)</f>
        <v>0</v>
      </c>
      <c r="AV357" s="304" t="n">
        <f aca="false">SUM(AV345:AV356)</f>
        <v>0</v>
      </c>
      <c r="AW357" s="304" t="n">
        <f aca="false">SUM(AW345:AW356)</f>
        <v>0</v>
      </c>
      <c r="AX357" s="304" t="n">
        <f aca="false">SUM(AX345:AX356)</f>
        <v>0</v>
      </c>
      <c r="AY357" s="304" t="n">
        <f aca="false">SUM(AY345:AY356)</f>
        <v>0</v>
      </c>
      <c r="AZ357" s="304" t="n">
        <f aca="false">SUM(AZ345:AZ356)</f>
        <v>0</v>
      </c>
      <c r="BA357" s="336" t="n">
        <f aca="false">SUM(BA345:BA356)</f>
        <v>0</v>
      </c>
      <c r="BB357" s="336" t="n">
        <f aca="false">SUM(BB345:BB356)</f>
        <v>0</v>
      </c>
      <c r="BC357" s="305" t="n">
        <f aca="false">SUM(BC345:BC356)</f>
        <v>0</v>
      </c>
      <c r="BD357" s="303"/>
      <c r="BE357" s="337"/>
    </row>
    <row r="358" customFormat="false" ht="15" hidden="false" customHeight="true" outlineLevel="0" collapsed="false">
      <c r="B358" s="296"/>
      <c r="D358" s="297"/>
      <c r="E358" s="300"/>
      <c r="F358" s="300"/>
      <c r="G358" s="300"/>
      <c r="H358" s="241"/>
      <c r="I358" s="302"/>
      <c r="J358" s="302"/>
      <c r="K358" s="241"/>
      <c r="L358" s="259"/>
      <c r="M358" s="259"/>
      <c r="N358" s="259"/>
      <c r="O358" s="259"/>
      <c r="P358" s="259"/>
      <c r="Q358" s="259"/>
      <c r="R358" s="259"/>
      <c r="S358" s="259"/>
      <c r="T358" s="259"/>
      <c r="U358" s="259"/>
      <c r="V358" s="259"/>
      <c r="W358" s="259"/>
      <c r="X358" s="303"/>
      <c r="Y358" s="259"/>
      <c r="Z358" s="303"/>
      <c r="AA358" s="303"/>
      <c r="AB358" s="303"/>
      <c r="AC358" s="303"/>
      <c r="AD358" s="303"/>
      <c r="AE358" s="303"/>
      <c r="AF358" s="303"/>
      <c r="AG358" s="303"/>
      <c r="AH358" s="303"/>
      <c r="AI358" s="303"/>
      <c r="AJ358" s="303"/>
      <c r="AK358" s="303"/>
      <c r="AL358" s="303"/>
      <c r="AM358" s="303"/>
      <c r="AN358" s="303"/>
      <c r="AO358" s="259"/>
      <c r="AP358" s="303"/>
      <c r="AQ358" s="303"/>
      <c r="AR358" s="303"/>
      <c r="AS358" s="303"/>
      <c r="AT358" s="303"/>
      <c r="AU358" s="303"/>
      <c r="AV358" s="303"/>
      <c r="AW358" s="303"/>
      <c r="AX358" s="303"/>
      <c r="AY358" s="303"/>
      <c r="AZ358" s="303"/>
      <c r="BA358" s="303"/>
      <c r="BB358" s="303"/>
      <c r="BC358" s="303"/>
      <c r="BD358" s="268"/>
      <c r="BE358" s="303"/>
    </row>
    <row r="359" customFormat="false" ht="15" hidden="false" customHeight="true" outlineLevel="0" collapsed="false">
      <c r="A359" s="198" t="n">
        <f aca="false">A343+1</f>
        <v>23</v>
      </c>
      <c r="B359" s="266" t="s">
        <v>253</v>
      </c>
      <c r="C359" s="266" t="s">
        <v>253</v>
      </c>
      <c r="D359" s="266"/>
      <c r="E359" s="241"/>
      <c r="F359" s="241"/>
      <c r="G359" s="241"/>
      <c r="H359" s="241"/>
      <c r="I359" s="241"/>
      <c r="J359" s="241"/>
      <c r="K359" s="277"/>
      <c r="L359" s="241"/>
      <c r="M359" s="241"/>
      <c r="N359" s="241"/>
      <c r="O359" s="241"/>
      <c r="P359" s="241"/>
      <c r="Q359" s="241"/>
      <c r="R359" s="241"/>
      <c r="S359" s="241"/>
      <c r="T359" s="241"/>
      <c r="U359" s="241"/>
      <c r="V359" s="241"/>
      <c r="W359" s="241"/>
      <c r="X359" s="259"/>
      <c r="Y359" s="268"/>
      <c r="Z359" s="268"/>
      <c r="AA359" s="268"/>
      <c r="AB359" s="268"/>
      <c r="AC359" s="268"/>
      <c r="AD359" s="268"/>
      <c r="AE359" s="268"/>
      <c r="AF359" s="268"/>
      <c r="AG359" s="268"/>
      <c r="AH359" s="268"/>
      <c r="AI359" s="268"/>
      <c r="AJ359" s="268"/>
      <c r="AK359" s="268"/>
      <c r="AL359" s="268"/>
      <c r="AM359" s="268"/>
      <c r="AN359" s="259"/>
      <c r="AO359" s="268"/>
      <c r="AP359" s="268"/>
      <c r="AQ359" s="268"/>
      <c r="AR359" s="268"/>
      <c r="AS359" s="268"/>
      <c r="AT359" s="268"/>
      <c r="AU359" s="268"/>
      <c r="AV359" s="268"/>
      <c r="AW359" s="268"/>
      <c r="AX359" s="268"/>
      <c r="AY359" s="268"/>
      <c r="AZ359" s="268"/>
      <c r="BA359" s="268"/>
      <c r="BB359" s="268"/>
      <c r="BC359" s="268"/>
      <c r="BD359" s="287"/>
      <c r="BE359" s="268"/>
    </row>
    <row r="360" customFormat="false" ht="7.5" hidden="false" customHeight="true" outlineLevel="0" collapsed="false">
      <c r="A360" s="198"/>
      <c r="B360" s="266"/>
      <c r="C360" s="266"/>
      <c r="D360" s="266"/>
      <c r="E360" s="241"/>
      <c r="F360" s="241"/>
      <c r="G360" s="241"/>
      <c r="H360" s="204"/>
      <c r="I360" s="269"/>
      <c r="J360" s="269"/>
      <c r="K360" s="277"/>
      <c r="L360" s="269"/>
      <c r="M360" s="269"/>
      <c r="N360" s="269"/>
      <c r="O360" s="269"/>
      <c r="P360" s="269"/>
      <c r="Q360" s="269"/>
      <c r="R360" s="269"/>
      <c r="S360" s="269"/>
      <c r="T360" s="269"/>
      <c r="U360" s="269"/>
      <c r="V360" s="269"/>
      <c r="W360" s="269"/>
      <c r="X360" s="259"/>
      <c r="Y360" s="271"/>
      <c r="Z360" s="271"/>
      <c r="AA360" s="271"/>
      <c r="AB360" s="271"/>
      <c r="AC360" s="271"/>
      <c r="AD360" s="271"/>
      <c r="AE360" s="271"/>
      <c r="AF360" s="271"/>
      <c r="AG360" s="271"/>
      <c r="AH360" s="271"/>
      <c r="AI360" s="271"/>
      <c r="AJ360" s="272"/>
      <c r="AK360" s="273"/>
      <c r="AL360" s="273"/>
      <c r="AM360" s="273"/>
      <c r="AN360" s="259"/>
      <c r="AO360" s="271"/>
      <c r="AP360" s="271"/>
      <c r="AQ360" s="271"/>
      <c r="AR360" s="271"/>
      <c r="AS360" s="271"/>
      <c r="AT360" s="271"/>
      <c r="AU360" s="271"/>
      <c r="AV360" s="271"/>
      <c r="AW360" s="271"/>
      <c r="AX360" s="271"/>
      <c r="AY360" s="271"/>
      <c r="AZ360" s="272"/>
      <c r="BA360" s="273"/>
      <c r="BB360" s="273"/>
      <c r="BC360" s="273"/>
      <c r="BD360" s="287"/>
      <c r="BE360" s="274"/>
    </row>
    <row r="361" customFormat="false" ht="15" hidden="false" customHeight="true" outlineLevel="0" collapsed="false">
      <c r="B361" s="333"/>
      <c r="C361" s="334"/>
      <c r="D361" s="333" t="n">
        <f aca="false">D345</f>
        <v>45292</v>
      </c>
      <c r="E361" s="277" t="n">
        <v>0</v>
      </c>
      <c r="F361" s="277" t="n">
        <v>0</v>
      </c>
      <c r="G361" s="277" t="n">
        <f aca="false">SUM(E361:F361)</f>
        <v>0</v>
      </c>
      <c r="H361" s="204"/>
      <c r="I361" s="279" t="n">
        <v>1</v>
      </c>
      <c r="J361" s="280" t="n">
        <f aca="false">1-I361</f>
        <v>0</v>
      </c>
      <c r="K361" s="277"/>
      <c r="L361" s="282"/>
      <c r="M361" s="282"/>
      <c r="N361" s="282"/>
      <c r="O361" s="282"/>
      <c r="P361" s="282"/>
      <c r="Q361" s="282"/>
      <c r="R361" s="282"/>
      <c r="S361" s="282"/>
      <c r="T361" s="282"/>
      <c r="U361" s="282"/>
      <c r="V361" s="282"/>
      <c r="W361" s="282"/>
      <c r="X361" s="268"/>
      <c r="Y361" s="284" t="n">
        <f aca="false">IFERROR(L361*$G361*I$9, "")</f>
        <v>0</v>
      </c>
      <c r="Z361" s="284" t="n">
        <f aca="false">IFERROR(M361*$G361*$I361, "")</f>
        <v>0</v>
      </c>
      <c r="AA361" s="284" t="n">
        <f aca="false">IFERROR(N361*$G361*$I361, "")</f>
        <v>0</v>
      </c>
      <c r="AB361" s="284" t="n">
        <f aca="false">IFERROR(O361*$G361*$I361, "")</f>
        <v>0</v>
      </c>
      <c r="AC361" s="284" t="n">
        <f aca="false">IFERROR(P361*$G361*$I361, "")</f>
        <v>0</v>
      </c>
      <c r="AD361" s="284" t="n">
        <f aca="false">IFERROR(Q361*$G361*$I361, "")</f>
        <v>0</v>
      </c>
      <c r="AE361" s="284" t="n">
        <f aca="false">IFERROR(R361*$G361*$I361, "")</f>
        <v>0</v>
      </c>
      <c r="AF361" s="284" t="n">
        <f aca="false">IFERROR(S361*$G361*$I361, "")</f>
        <v>0</v>
      </c>
      <c r="AG361" s="284" t="n">
        <f aca="false">IFERROR(T361*$G361*$I361, "")</f>
        <v>0</v>
      </c>
      <c r="AH361" s="284" t="n">
        <f aca="false">IFERROR(U361*$G361*$I361, "")</f>
        <v>0</v>
      </c>
      <c r="AI361" s="284" t="n">
        <f aca="false">IFERROR(V361*$G361*$I361, "")</f>
        <v>0</v>
      </c>
      <c r="AJ361" s="284" t="n">
        <f aca="false">IFERROR(W361*$G361*$I361, "")</f>
        <v>0</v>
      </c>
      <c r="AK361" s="286" t="n">
        <f aca="false">IFERROR(SUMIF($Y$4:$AJ$4, "RDEC", Y361:AJ361), "")</f>
        <v>0</v>
      </c>
      <c r="AL361" s="286" t="n">
        <f aca="false">IFERROR(SUMIF($Y$4:$AJ$4, "SME", Y361:AJ361), "")</f>
        <v>0</v>
      </c>
      <c r="AM361" s="286" t="n">
        <f aca="false">IFERROR(SUMIF($Y$4:$AJ$4, "De Minimis", Y361:AJ361), "")</f>
        <v>0</v>
      </c>
      <c r="AN361" s="268"/>
      <c r="AO361" s="284" t="n">
        <f aca="false">IFERROR($G361*$J361*L361, "")</f>
        <v>0</v>
      </c>
      <c r="AP361" s="284" t="n">
        <f aca="false">IFERROR($G361*$J361*M361, "")</f>
        <v>0</v>
      </c>
      <c r="AQ361" s="284" t="n">
        <f aca="false">IFERROR($G361*$J361*N361, "")</f>
        <v>0</v>
      </c>
      <c r="AR361" s="284" t="n">
        <f aca="false">IFERROR($G361*$J361*O361, "")</f>
        <v>0</v>
      </c>
      <c r="AS361" s="284" t="n">
        <f aca="false">IFERROR($G361*$J361*P361, "")</f>
        <v>0</v>
      </c>
      <c r="AT361" s="284" t="n">
        <f aca="false">IFERROR($G361*$J361*Q361, "")</f>
        <v>0</v>
      </c>
      <c r="AU361" s="284" t="n">
        <f aca="false">IFERROR($G361*$J361*R361, "")</f>
        <v>0</v>
      </c>
      <c r="AV361" s="284" t="n">
        <f aca="false">IFERROR($G361*$J361*S361, "")</f>
        <v>0</v>
      </c>
      <c r="AW361" s="284" t="n">
        <f aca="false">IFERROR($G361*$J361*T361, "")</f>
        <v>0</v>
      </c>
      <c r="AX361" s="284" t="n">
        <f aca="false">IFERROR($G361*$J361*U361, "")</f>
        <v>0</v>
      </c>
      <c r="AY361" s="284" t="n">
        <f aca="false">IFERROR($G361*$J361*V361, "")</f>
        <v>0</v>
      </c>
      <c r="AZ361" s="284" t="n">
        <f aca="false">IFERROR($G361*$J361*W361, "")</f>
        <v>0</v>
      </c>
      <c r="BA361" s="286" t="n">
        <f aca="false">IFERROR(SUMIF($AO$4:$AZ$4, "RDEC", AO361:AZ361), "")</f>
        <v>0</v>
      </c>
      <c r="BB361" s="286" t="n">
        <f aca="false">IFERROR(SUMIF($AO$4:$AZ$4, "SME", AO361:AZ361), "")</f>
        <v>0</v>
      </c>
      <c r="BC361" s="286" t="n">
        <f aca="false">IFERROR(SUMIF($AO$4:$AZ$4, "De Minimis", AO361:AZ361), "")</f>
        <v>0</v>
      </c>
      <c r="BD361" s="287"/>
      <c r="BE361" s="288" t="str">
        <f aca="false">IF((SUM(L361:W361)&gt;1),"ERROR","")</f>
        <v/>
      </c>
    </row>
    <row r="362" customFormat="false" ht="15" hidden="false" customHeight="true" outlineLevel="0" collapsed="false">
      <c r="B362" s="333"/>
      <c r="C362" s="334"/>
      <c r="D362" s="333" t="n">
        <f aca="false">D346</f>
        <v>45323</v>
      </c>
      <c r="E362" s="277" t="n">
        <v>0</v>
      </c>
      <c r="F362" s="277" t="n">
        <v>0</v>
      </c>
      <c r="G362" s="277" t="n">
        <f aca="false">SUM(E362:F362)</f>
        <v>0</v>
      </c>
      <c r="H362" s="204"/>
      <c r="I362" s="279" t="n">
        <v>1</v>
      </c>
      <c r="J362" s="280" t="n">
        <f aca="false">1-I362</f>
        <v>0</v>
      </c>
      <c r="K362" s="277"/>
      <c r="L362" s="282"/>
      <c r="M362" s="282"/>
      <c r="N362" s="282"/>
      <c r="O362" s="282"/>
      <c r="P362" s="282"/>
      <c r="Q362" s="282"/>
      <c r="R362" s="282"/>
      <c r="S362" s="282"/>
      <c r="T362" s="282"/>
      <c r="U362" s="282"/>
      <c r="V362" s="282"/>
      <c r="W362" s="282"/>
      <c r="X362" s="283"/>
      <c r="Y362" s="284" t="n">
        <f aca="false">IFERROR(L362*$G362*I$9, "")</f>
        <v>0</v>
      </c>
      <c r="Z362" s="284" t="n">
        <f aca="false">IFERROR(M362*$G362*$I362, "")</f>
        <v>0</v>
      </c>
      <c r="AA362" s="284" t="n">
        <f aca="false">IFERROR(N362*$G362*$I362, "")</f>
        <v>0</v>
      </c>
      <c r="AB362" s="284" t="n">
        <f aca="false">IFERROR(O362*$G362*$I362, "")</f>
        <v>0</v>
      </c>
      <c r="AC362" s="284" t="n">
        <f aca="false">IFERROR(P362*$G362*$I362, "")</f>
        <v>0</v>
      </c>
      <c r="AD362" s="284" t="n">
        <f aca="false">IFERROR(Q362*$G362*$I362, "")</f>
        <v>0</v>
      </c>
      <c r="AE362" s="284" t="n">
        <f aca="false">IFERROR(R362*$G362*$I362, "")</f>
        <v>0</v>
      </c>
      <c r="AF362" s="284" t="n">
        <f aca="false">IFERROR(S362*$G362*$I362, "")</f>
        <v>0</v>
      </c>
      <c r="AG362" s="284" t="n">
        <f aca="false">IFERROR(T362*$G362*$I362, "")</f>
        <v>0</v>
      </c>
      <c r="AH362" s="284" t="n">
        <f aca="false">IFERROR(U362*$G362*$I362, "")</f>
        <v>0</v>
      </c>
      <c r="AI362" s="284" t="n">
        <f aca="false">IFERROR(V362*$G362*$I362, "")</f>
        <v>0</v>
      </c>
      <c r="AJ362" s="284" t="n">
        <f aca="false">IFERROR(W362*$G362*$I362, "")</f>
        <v>0</v>
      </c>
      <c r="AK362" s="286" t="n">
        <f aca="false">IFERROR(SUMIF($Y$4:$AJ$4, "RDEC", Y362:AJ362), "")</f>
        <v>0</v>
      </c>
      <c r="AL362" s="286" t="n">
        <f aca="false">IFERROR(SUMIF($Y$4:$AJ$4, "SME", Y362:AJ362), "")</f>
        <v>0</v>
      </c>
      <c r="AM362" s="286" t="n">
        <f aca="false">IFERROR(SUMIF($Y$4:$AJ$4, "De Minimis", Y362:AJ362), "")</f>
        <v>0</v>
      </c>
      <c r="AN362" s="283"/>
      <c r="AO362" s="284" t="n">
        <f aca="false">IFERROR($G362*$J362*L362, "")</f>
        <v>0</v>
      </c>
      <c r="AP362" s="284" t="n">
        <f aca="false">IFERROR($G362*$J362*M362, "")</f>
        <v>0</v>
      </c>
      <c r="AQ362" s="284" t="n">
        <f aca="false">IFERROR($G362*$J362*N362, "")</f>
        <v>0</v>
      </c>
      <c r="AR362" s="284" t="n">
        <f aca="false">IFERROR($G362*$J362*O362, "")</f>
        <v>0</v>
      </c>
      <c r="AS362" s="284" t="n">
        <f aca="false">IFERROR($G362*$J362*P362, "")</f>
        <v>0</v>
      </c>
      <c r="AT362" s="284" t="n">
        <f aca="false">IFERROR($G362*$J362*Q362, "")</f>
        <v>0</v>
      </c>
      <c r="AU362" s="284" t="n">
        <f aca="false">IFERROR($G362*$J362*R362, "")</f>
        <v>0</v>
      </c>
      <c r="AV362" s="284" t="n">
        <f aca="false">IFERROR($G362*$J362*S362, "")</f>
        <v>0</v>
      </c>
      <c r="AW362" s="284" t="n">
        <f aca="false">IFERROR($G362*$J362*T362, "")</f>
        <v>0</v>
      </c>
      <c r="AX362" s="284" t="n">
        <f aca="false">IFERROR($G362*$J362*U362, "")</f>
        <v>0</v>
      </c>
      <c r="AY362" s="284" t="n">
        <f aca="false">IFERROR($G362*$J362*V362, "")</f>
        <v>0</v>
      </c>
      <c r="AZ362" s="284" t="n">
        <f aca="false">IFERROR($G362*$J362*W362, "")</f>
        <v>0</v>
      </c>
      <c r="BA362" s="286" t="n">
        <f aca="false">IFERROR(SUMIF($AO$4:$AZ$4, "RDEC", AO362:AZ362), "")</f>
        <v>0</v>
      </c>
      <c r="BB362" s="286" t="n">
        <f aca="false">IFERROR(SUMIF($AO$4:$AZ$4, "SME", AO362:AZ362), "")</f>
        <v>0</v>
      </c>
      <c r="BC362" s="286" t="n">
        <f aca="false">IFERROR(SUMIF($Y$4:$AJ$4, "De Minimis", AO362:AZ362), "")</f>
        <v>0</v>
      </c>
      <c r="BD362" s="287"/>
      <c r="BE362" s="288" t="str">
        <f aca="false">IF((SUM(L362:W362)&gt;1),"ERROR","")</f>
        <v/>
      </c>
    </row>
    <row r="363" customFormat="false" ht="15" hidden="false" customHeight="true" outlineLevel="0" collapsed="false">
      <c r="B363" s="333"/>
      <c r="C363" s="334"/>
      <c r="D363" s="333" t="n">
        <f aca="false">D347</f>
        <v>45352</v>
      </c>
      <c r="E363" s="277" t="n">
        <v>0</v>
      </c>
      <c r="F363" s="277" t="n">
        <v>0</v>
      </c>
      <c r="G363" s="277" t="n">
        <f aca="false">SUM(E363:F363)</f>
        <v>0</v>
      </c>
      <c r="H363" s="204"/>
      <c r="I363" s="279" t="n">
        <v>1</v>
      </c>
      <c r="J363" s="280" t="n">
        <f aca="false">1-I363</f>
        <v>0</v>
      </c>
      <c r="K363" s="277"/>
      <c r="L363" s="282"/>
      <c r="M363" s="282"/>
      <c r="N363" s="282"/>
      <c r="O363" s="282"/>
      <c r="P363" s="282"/>
      <c r="Q363" s="282"/>
      <c r="R363" s="282"/>
      <c r="S363" s="282"/>
      <c r="T363" s="282"/>
      <c r="U363" s="282"/>
      <c r="V363" s="282"/>
      <c r="W363" s="282"/>
      <c r="X363" s="283"/>
      <c r="Y363" s="284" t="n">
        <f aca="false">IFERROR(L363*$G363*I$9, "")</f>
        <v>0</v>
      </c>
      <c r="Z363" s="284" t="n">
        <f aca="false">IFERROR(M363*$G363*$I363, "")</f>
        <v>0</v>
      </c>
      <c r="AA363" s="284" t="n">
        <f aca="false">IFERROR(N363*$G363*$I363, "")</f>
        <v>0</v>
      </c>
      <c r="AB363" s="284" t="n">
        <f aca="false">IFERROR(O363*$G363*$I363, "")</f>
        <v>0</v>
      </c>
      <c r="AC363" s="284" t="n">
        <f aca="false">IFERROR(P363*$G363*$I363, "")</f>
        <v>0</v>
      </c>
      <c r="AD363" s="284" t="n">
        <f aca="false">IFERROR(Q363*$G363*$I363, "")</f>
        <v>0</v>
      </c>
      <c r="AE363" s="284" t="n">
        <f aca="false">IFERROR(R363*$G363*$I363, "")</f>
        <v>0</v>
      </c>
      <c r="AF363" s="284" t="n">
        <f aca="false">IFERROR(S363*$G363*$I363, "")</f>
        <v>0</v>
      </c>
      <c r="AG363" s="284" t="n">
        <f aca="false">IFERROR(T363*$G363*$I363, "")</f>
        <v>0</v>
      </c>
      <c r="AH363" s="284" t="n">
        <f aca="false">IFERROR(U363*$G363*$I363, "")</f>
        <v>0</v>
      </c>
      <c r="AI363" s="284" t="n">
        <f aca="false">IFERROR(V363*$G363*$I363, "")</f>
        <v>0</v>
      </c>
      <c r="AJ363" s="284" t="n">
        <f aca="false">IFERROR(W363*$G363*$I363, "")</f>
        <v>0</v>
      </c>
      <c r="AK363" s="286" t="n">
        <f aca="false">IFERROR(SUMIF($Y$4:$AJ$4, "RDEC", Y363:AJ363), "")</f>
        <v>0</v>
      </c>
      <c r="AL363" s="286" t="n">
        <f aca="false">IFERROR(SUMIF($Y$4:$AJ$4, "SME", Y363:AJ363), "")</f>
        <v>0</v>
      </c>
      <c r="AM363" s="286" t="n">
        <f aca="false">IFERROR(SUMIF($Y$4:$AJ$4, "De Minimis", Y363:AJ363), "")</f>
        <v>0</v>
      </c>
      <c r="AN363" s="283"/>
      <c r="AO363" s="284" t="n">
        <f aca="false">IFERROR($G363*$J363*L363, "")</f>
        <v>0</v>
      </c>
      <c r="AP363" s="284" t="n">
        <f aca="false">IFERROR($G363*$J363*M363, "")</f>
        <v>0</v>
      </c>
      <c r="AQ363" s="284" t="n">
        <f aca="false">IFERROR($G363*$J363*N363, "")</f>
        <v>0</v>
      </c>
      <c r="AR363" s="284" t="n">
        <f aca="false">IFERROR($G363*$J363*O363, "")</f>
        <v>0</v>
      </c>
      <c r="AS363" s="284" t="n">
        <f aca="false">IFERROR($G363*$J363*P363, "")</f>
        <v>0</v>
      </c>
      <c r="AT363" s="284" t="n">
        <f aca="false">IFERROR($G363*$J363*Q363, "")</f>
        <v>0</v>
      </c>
      <c r="AU363" s="284" t="n">
        <f aca="false">IFERROR($G363*$J363*R363, "")</f>
        <v>0</v>
      </c>
      <c r="AV363" s="284" t="n">
        <f aca="false">IFERROR($G363*$J363*S363, "")</f>
        <v>0</v>
      </c>
      <c r="AW363" s="284" t="n">
        <f aca="false">IFERROR($G363*$J363*T363, "")</f>
        <v>0</v>
      </c>
      <c r="AX363" s="284" t="n">
        <f aca="false">IFERROR($G363*$J363*U363, "")</f>
        <v>0</v>
      </c>
      <c r="AY363" s="284" t="n">
        <f aca="false">IFERROR($G363*$J363*V363, "")</f>
        <v>0</v>
      </c>
      <c r="AZ363" s="284" t="n">
        <f aca="false">IFERROR($G363*$J363*W363, "")</f>
        <v>0</v>
      </c>
      <c r="BA363" s="286" t="n">
        <f aca="false">IFERROR(SUMIF($AO$4:$AZ$4, "RDEC", AO363:AZ363), "")</f>
        <v>0</v>
      </c>
      <c r="BB363" s="286" t="n">
        <f aca="false">IFERROR(SUMIF($AO$4:$AZ$4, "SME", AO363:AZ363), "")</f>
        <v>0</v>
      </c>
      <c r="BC363" s="286" t="n">
        <f aca="false">IFERROR(SUMIF($Y$4:$AJ$4, "De Minimis", AO363:AZ363), "")</f>
        <v>0</v>
      </c>
      <c r="BD363" s="287"/>
      <c r="BE363" s="288" t="str">
        <f aca="false">IF((SUM(L363:W363)&gt;1),"ERROR","")</f>
        <v/>
      </c>
    </row>
    <row r="364" customFormat="false" ht="15" hidden="false" customHeight="true" outlineLevel="0" collapsed="false">
      <c r="B364" s="333"/>
      <c r="C364" s="334"/>
      <c r="D364" s="333" t="n">
        <f aca="false">D348</f>
        <v>45383</v>
      </c>
      <c r="E364" s="277" t="n">
        <v>0</v>
      </c>
      <c r="F364" s="277" t="n">
        <v>0</v>
      </c>
      <c r="G364" s="277" t="n">
        <f aca="false">SUM(E364:F364)</f>
        <v>0</v>
      </c>
      <c r="H364" s="204"/>
      <c r="I364" s="279" t="n">
        <v>1</v>
      </c>
      <c r="J364" s="280" t="n">
        <f aca="false">1-I364</f>
        <v>0</v>
      </c>
      <c r="K364" s="277"/>
      <c r="L364" s="282"/>
      <c r="M364" s="282"/>
      <c r="N364" s="282"/>
      <c r="O364" s="282"/>
      <c r="P364" s="282"/>
      <c r="Q364" s="282"/>
      <c r="R364" s="282"/>
      <c r="S364" s="282"/>
      <c r="T364" s="282"/>
      <c r="U364" s="282"/>
      <c r="V364" s="282"/>
      <c r="W364" s="282"/>
      <c r="X364" s="283"/>
      <c r="Y364" s="284" t="n">
        <f aca="false">IFERROR(L364*$G364*I$9, "")</f>
        <v>0</v>
      </c>
      <c r="Z364" s="284" t="n">
        <f aca="false">IFERROR(M364*$G364*$I364, "")</f>
        <v>0</v>
      </c>
      <c r="AA364" s="284" t="n">
        <f aca="false">IFERROR(N364*$G364*$I364, "")</f>
        <v>0</v>
      </c>
      <c r="AB364" s="284" t="n">
        <f aca="false">IFERROR(O364*$G364*$I364, "")</f>
        <v>0</v>
      </c>
      <c r="AC364" s="284" t="n">
        <f aca="false">IFERROR(P364*$G364*$I364, "")</f>
        <v>0</v>
      </c>
      <c r="AD364" s="284" t="n">
        <f aca="false">IFERROR(Q364*$G364*$I364, "")</f>
        <v>0</v>
      </c>
      <c r="AE364" s="284" t="n">
        <f aca="false">IFERROR(R364*$G364*$I364, "")</f>
        <v>0</v>
      </c>
      <c r="AF364" s="284" t="n">
        <f aca="false">IFERROR(S364*$G364*$I364, "")</f>
        <v>0</v>
      </c>
      <c r="AG364" s="284" t="n">
        <f aca="false">IFERROR(T364*$G364*$I364, "")</f>
        <v>0</v>
      </c>
      <c r="AH364" s="284" t="n">
        <f aca="false">IFERROR(U364*$G364*$I364, "")</f>
        <v>0</v>
      </c>
      <c r="AI364" s="284" t="n">
        <f aca="false">IFERROR(V364*$G364*$I364, "")</f>
        <v>0</v>
      </c>
      <c r="AJ364" s="284" t="n">
        <f aca="false">IFERROR(W364*$G364*$I364, "")</f>
        <v>0</v>
      </c>
      <c r="AK364" s="286" t="n">
        <f aca="false">IFERROR(SUMIF($Y$4:$AJ$4, "RDEC", Y364:AJ364), "")</f>
        <v>0</v>
      </c>
      <c r="AL364" s="286" t="n">
        <f aca="false">IFERROR(SUMIF($Y$4:$AJ$4, "SME", Y364:AJ364), "")</f>
        <v>0</v>
      </c>
      <c r="AM364" s="286" t="n">
        <f aca="false">IFERROR(SUMIF($Y$4:$AJ$4, "De Minimis", Y364:AJ364), "")</f>
        <v>0</v>
      </c>
      <c r="AN364" s="283"/>
      <c r="AO364" s="284" t="n">
        <f aca="false">IFERROR($G364*$J364*L364, "")</f>
        <v>0</v>
      </c>
      <c r="AP364" s="284" t="n">
        <f aca="false">IFERROR($G364*$J364*M364, "")</f>
        <v>0</v>
      </c>
      <c r="AQ364" s="284" t="n">
        <f aca="false">IFERROR($G364*$J364*N364, "")</f>
        <v>0</v>
      </c>
      <c r="AR364" s="284" t="n">
        <f aca="false">IFERROR($G364*$J364*O364, "")</f>
        <v>0</v>
      </c>
      <c r="AS364" s="284" t="n">
        <f aca="false">IFERROR($G364*$J364*P364, "")</f>
        <v>0</v>
      </c>
      <c r="AT364" s="284" t="n">
        <f aca="false">IFERROR($G364*$J364*Q364, "")</f>
        <v>0</v>
      </c>
      <c r="AU364" s="284" t="n">
        <f aca="false">IFERROR($G364*$J364*R364, "")</f>
        <v>0</v>
      </c>
      <c r="AV364" s="284" t="n">
        <f aca="false">IFERROR($G364*$J364*S364, "")</f>
        <v>0</v>
      </c>
      <c r="AW364" s="284" t="n">
        <f aca="false">IFERROR($G364*$J364*T364, "")</f>
        <v>0</v>
      </c>
      <c r="AX364" s="284" t="n">
        <f aca="false">IFERROR($G364*$J364*U364, "")</f>
        <v>0</v>
      </c>
      <c r="AY364" s="284" t="n">
        <f aca="false">IFERROR($G364*$J364*V364, "")</f>
        <v>0</v>
      </c>
      <c r="AZ364" s="284" t="n">
        <f aca="false">IFERROR($G364*$J364*W364, "")</f>
        <v>0</v>
      </c>
      <c r="BA364" s="286" t="n">
        <f aca="false">IFERROR(SUMIF($AO$4:$AZ$4, "RDEC", AO364:AZ364), "")</f>
        <v>0</v>
      </c>
      <c r="BB364" s="286" t="n">
        <f aca="false">IFERROR(SUMIF($AO$4:$AZ$4, "SME", AO364:AZ364), "")</f>
        <v>0</v>
      </c>
      <c r="BC364" s="286" t="n">
        <f aca="false">IFERROR(SUMIF($Y$4:$AJ$4, "De Minimis", AO364:AZ364), "")</f>
        <v>0</v>
      </c>
      <c r="BD364" s="287"/>
      <c r="BE364" s="288" t="str">
        <f aca="false">IF((SUM(L364:W364)&gt;1),"ERROR","")</f>
        <v/>
      </c>
    </row>
    <row r="365" customFormat="false" ht="15" hidden="false" customHeight="true" outlineLevel="0" collapsed="false">
      <c r="B365" s="333"/>
      <c r="C365" s="334"/>
      <c r="D365" s="333" t="n">
        <f aca="false">D349</f>
        <v>45413</v>
      </c>
      <c r="E365" s="277" t="n">
        <v>0</v>
      </c>
      <c r="F365" s="277" t="n">
        <v>0</v>
      </c>
      <c r="G365" s="277" t="n">
        <f aca="false">SUM(E365:F365)</f>
        <v>0</v>
      </c>
      <c r="H365" s="204"/>
      <c r="I365" s="279" t="n">
        <v>1</v>
      </c>
      <c r="J365" s="280" t="n">
        <f aca="false">1-I365</f>
        <v>0</v>
      </c>
      <c r="K365" s="277"/>
      <c r="L365" s="282"/>
      <c r="M365" s="282"/>
      <c r="N365" s="282"/>
      <c r="O365" s="282"/>
      <c r="P365" s="282"/>
      <c r="Q365" s="282"/>
      <c r="R365" s="282"/>
      <c r="S365" s="282"/>
      <c r="T365" s="282"/>
      <c r="U365" s="282"/>
      <c r="V365" s="282"/>
      <c r="W365" s="282"/>
      <c r="X365" s="283"/>
      <c r="Y365" s="284" t="n">
        <f aca="false">IFERROR(L365*$G365*I$9, "")</f>
        <v>0</v>
      </c>
      <c r="Z365" s="284" t="n">
        <f aca="false">IFERROR(M365*$G365*$I365, "")</f>
        <v>0</v>
      </c>
      <c r="AA365" s="284" t="n">
        <f aca="false">IFERROR(N365*$G365*$I365, "")</f>
        <v>0</v>
      </c>
      <c r="AB365" s="284" t="n">
        <f aca="false">IFERROR(O365*$G365*$I365, "")</f>
        <v>0</v>
      </c>
      <c r="AC365" s="284" t="n">
        <f aca="false">IFERROR(P365*$G365*$I365, "")</f>
        <v>0</v>
      </c>
      <c r="AD365" s="284" t="n">
        <f aca="false">IFERROR(Q365*$G365*$I365, "")</f>
        <v>0</v>
      </c>
      <c r="AE365" s="284" t="n">
        <f aca="false">IFERROR(R365*$G365*$I365, "")</f>
        <v>0</v>
      </c>
      <c r="AF365" s="284" t="n">
        <f aca="false">IFERROR(S365*$G365*$I365, "")</f>
        <v>0</v>
      </c>
      <c r="AG365" s="284" t="n">
        <f aca="false">IFERROR(T365*$G365*$I365, "")</f>
        <v>0</v>
      </c>
      <c r="AH365" s="284" t="n">
        <f aca="false">IFERROR(U365*$G365*$I365, "")</f>
        <v>0</v>
      </c>
      <c r="AI365" s="284" t="n">
        <f aca="false">IFERROR(V365*$G365*$I365, "")</f>
        <v>0</v>
      </c>
      <c r="AJ365" s="284" t="n">
        <f aca="false">IFERROR(W365*$G365*$I365, "")</f>
        <v>0</v>
      </c>
      <c r="AK365" s="286" t="n">
        <f aca="false">IFERROR(SUMIF($Y$4:$AJ$4, "RDEC", Y365:AJ365), "")</f>
        <v>0</v>
      </c>
      <c r="AL365" s="286" t="n">
        <f aca="false">IFERROR(SUMIF($Y$4:$AJ$4, "SME", Y365:AJ365), "")</f>
        <v>0</v>
      </c>
      <c r="AM365" s="286" t="n">
        <f aca="false">IFERROR(SUMIF($Y$4:$AJ$4, "De Minimis", Y365:AJ365), "")</f>
        <v>0</v>
      </c>
      <c r="AN365" s="283"/>
      <c r="AO365" s="284" t="n">
        <f aca="false">IFERROR($G365*$J365*L365, "")</f>
        <v>0</v>
      </c>
      <c r="AP365" s="284" t="n">
        <f aca="false">IFERROR($G365*$J365*M365, "")</f>
        <v>0</v>
      </c>
      <c r="AQ365" s="284" t="n">
        <f aca="false">IFERROR($G365*$J365*N365, "")</f>
        <v>0</v>
      </c>
      <c r="AR365" s="284" t="n">
        <f aca="false">IFERROR($G365*$J365*O365, "")</f>
        <v>0</v>
      </c>
      <c r="AS365" s="284" t="n">
        <f aca="false">IFERROR($G365*$J365*P365, "")</f>
        <v>0</v>
      </c>
      <c r="AT365" s="284" t="n">
        <f aca="false">IFERROR($G365*$J365*Q365, "")</f>
        <v>0</v>
      </c>
      <c r="AU365" s="284" t="n">
        <f aca="false">IFERROR($G365*$J365*R365, "")</f>
        <v>0</v>
      </c>
      <c r="AV365" s="284" t="n">
        <f aca="false">IFERROR($G365*$J365*S365, "")</f>
        <v>0</v>
      </c>
      <c r="AW365" s="284" t="n">
        <f aca="false">IFERROR($G365*$J365*T365, "")</f>
        <v>0</v>
      </c>
      <c r="AX365" s="284" t="n">
        <f aca="false">IFERROR($G365*$J365*U365, "")</f>
        <v>0</v>
      </c>
      <c r="AY365" s="284" t="n">
        <f aca="false">IFERROR($G365*$J365*V365, "")</f>
        <v>0</v>
      </c>
      <c r="AZ365" s="284" t="n">
        <f aca="false">IFERROR($G365*$J365*W365, "")</f>
        <v>0</v>
      </c>
      <c r="BA365" s="286" t="n">
        <f aca="false">IFERROR(SUMIF($AO$4:$AZ$4, "RDEC", AO365:AZ365), "")</f>
        <v>0</v>
      </c>
      <c r="BB365" s="286" t="n">
        <f aca="false">IFERROR(SUMIF($AO$4:$AZ$4, "SME", AO365:AZ365), "")</f>
        <v>0</v>
      </c>
      <c r="BC365" s="286" t="n">
        <f aca="false">IFERROR(SUMIF($Y$4:$AJ$4, "De Minimis", AO365:AZ365), "")</f>
        <v>0</v>
      </c>
      <c r="BD365" s="287"/>
      <c r="BE365" s="288" t="str">
        <f aca="false">IF((SUM(L365:W365)&gt;1),"ERROR","")</f>
        <v/>
      </c>
    </row>
    <row r="366" customFormat="false" ht="15" hidden="false" customHeight="true" outlineLevel="0" collapsed="false">
      <c r="B366" s="333"/>
      <c r="C366" s="334"/>
      <c r="D366" s="333" t="n">
        <f aca="false">D350</f>
        <v>45444</v>
      </c>
      <c r="E366" s="277" t="n">
        <v>0</v>
      </c>
      <c r="F366" s="277" t="n">
        <v>0</v>
      </c>
      <c r="G366" s="277" t="n">
        <f aca="false">SUM(E366:F366)</f>
        <v>0</v>
      </c>
      <c r="H366" s="204"/>
      <c r="I366" s="279" t="n">
        <v>1</v>
      </c>
      <c r="J366" s="280" t="n">
        <f aca="false">1-I366</f>
        <v>0</v>
      </c>
      <c r="K366" s="277"/>
      <c r="L366" s="282"/>
      <c r="M366" s="282"/>
      <c r="N366" s="282"/>
      <c r="O366" s="282"/>
      <c r="P366" s="282"/>
      <c r="Q366" s="282"/>
      <c r="R366" s="282"/>
      <c r="S366" s="282"/>
      <c r="T366" s="282"/>
      <c r="U366" s="282"/>
      <c r="V366" s="282"/>
      <c r="W366" s="282"/>
      <c r="X366" s="283"/>
      <c r="Y366" s="284" t="n">
        <f aca="false">IFERROR(L366*$G366*I$9, "")</f>
        <v>0</v>
      </c>
      <c r="Z366" s="284" t="n">
        <f aca="false">IFERROR(M366*$G366*$I366, "")</f>
        <v>0</v>
      </c>
      <c r="AA366" s="284" t="n">
        <f aca="false">IFERROR(N366*$G366*$I366, "")</f>
        <v>0</v>
      </c>
      <c r="AB366" s="284" t="n">
        <f aca="false">IFERROR(O366*$G366*$I366, "")</f>
        <v>0</v>
      </c>
      <c r="AC366" s="284" t="n">
        <f aca="false">IFERROR(P366*$G366*$I366, "")</f>
        <v>0</v>
      </c>
      <c r="AD366" s="284" t="n">
        <f aca="false">IFERROR(Q366*$G366*$I366, "")</f>
        <v>0</v>
      </c>
      <c r="AE366" s="284" t="n">
        <f aca="false">IFERROR(R366*$G366*$I366, "")</f>
        <v>0</v>
      </c>
      <c r="AF366" s="284" t="n">
        <f aca="false">IFERROR(S366*$G366*$I366, "")</f>
        <v>0</v>
      </c>
      <c r="AG366" s="284" t="n">
        <f aca="false">IFERROR(T366*$G366*$I366, "")</f>
        <v>0</v>
      </c>
      <c r="AH366" s="284" t="n">
        <f aca="false">IFERROR(U366*$G366*$I366, "")</f>
        <v>0</v>
      </c>
      <c r="AI366" s="284" t="n">
        <f aca="false">IFERROR(V366*$G366*$I366, "")</f>
        <v>0</v>
      </c>
      <c r="AJ366" s="284" t="n">
        <f aca="false">IFERROR(W366*$G366*$I366, "")</f>
        <v>0</v>
      </c>
      <c r="AK366" s="286" t="n">
        <f aca="false">IFERROR(SUMIF($Y$4:$AJ$4, "RDEC", Y366:AJ366), "")</f>
        <v>0</v>
      </c>
      <c r="AL366" s="286" t="n">
        <f aca="false">IFERROR(SUMIF($Y$4:$AJ$4, "SME", Y366:AJ366), "")</f>
        <v>0</v>
      </c>
      <c r="AM366" s="286" t="n">
        <f aca="false">IFERROR(SUMIF($Y$4:$AJ$4, "De Minimis", Y366:AJ366), "")</f>
        <v>0</v>
      </c>
      <c r="AN366" s="283"/>
      <c r="AO366" s="284" t="n">
        <f aca="false">IFERROR($G366*$J366*L366, "")</f>
        <v>0</v>
      </c>
      <c r="AP366" s="284" t="n">
        <f aca="false">IFERROR($G366*$J366*M366, "")</f>
        <v>0</v>
      </c>
      <c r="AQ366" s="284" t="n">
        <f aca="false">IFERROR($G366*$J366*N366, "")</f>
        <v>0</v>
      </c>
      <c r="AR366" s="284" t="n">
        <f aca="false">IFERROR($G366*$J366*O366, "")</f>
        <v>0</v>
      </c>
      <c r="AS366" s="284" t="n">
        <f aca="false">IFERROR($G366*$J366*P366, "")</f>
        <v>0</v>
      </c>
      <c r="AT366" s="284" t="n">
        <f aca="false">IFERROR($G366*$J366*Q366, "")</f>
        <v>0</v>
      </c>
      <c r="AU366" s="284" t="n">
        <f aca="false">IFERROR($G366*$J366*R366, "")</f>
        <v>0</v>
      </c>
      <c r="AV366" s="284" t="n">
        <f aca="false">IFERROR($G366*$J366*S366, "")</f>
        <v>0</v>
      </c>
      <c r="AW366" s="284" t="n">
        <f aca="false">IFERROR($G366*$J366*T366, "")</f>
        <v>0</v>
      </c>
      <c r="AX366" s="284" t="n">
        <f aca="false">IFERROR($G366*$J366*U366, "")</f>
        <v>0</v>
      </c>
      <c r="AY366" s="284" t="n">
        <f aca="false">IFERROR($G366*$J366*V366, "")</f>
        <v>0</v>
      </c>
      <c r="AZ366" s="284" t="n">
        <f aca="false">IFERROR($G366*$J366*W366, "")</f>
        <v>0</v>
      </c>
      <c r="BA366" s="286" t="n">
        <f aca="false">IFERROR(SUMIF($AO$4:$AZ$4, "RDEC", AO366:AZ366), "")</f>
        <v>0</v>
      </c>
      <c r="BB366" s="286" t="n">
        <f aca="false">IFERROR(SUMIF($AO$4:$AZ$4, "SME", AO366:AZ366), "")</f>
        <v>0</v>
      </c>
      <c r="BC366" s="286" t="n">
        <f aca="false">IFERROR(SUMIF($Y$4:$AJ$4, "De Minimis", AO366:AZ366), "")</f>
        <v>0</v>
      </c>
      <c r="BD366" s="287"/>
      <c r="BE366" s="288" t="str">
        <f aca="false">IF((SUM(L366:W366)&gt;1),"ERROR","")</f>
        <v/>
      </c>
    </row>
    <row r="367" customFormat="false" ht="15" hidden="false" customHeight="true" outlineLevel="0" collapsed="false">
      <c r="B367" s="333"/>
      <c r="C367" s="334"/>
      <c r="D367" s="333" t="n">
        <f aca="false">D351</f>
        <v>45474</v>
      </c>
      <c r="E367" s="277" t="n">
        <v>0</v>
      </c>
      <c r="F367" s="277" t="n">
        <v>0</v>
      </c>
      <c r="G367" s="277" t="n">
        <f aca="false">SUM(E367:F367)</f>
        <v>0</v>
      </c>
      <c r="H367" s="204"/>
      <c r="I367" s="279" t="n">
        <v>1</v>
      </c>
      <c r="J367" s="280" t="n">
        <f aca="false">1-I367</f>
        <v>0</v>
      </c>
      <c r="K367" s="277"/>
      <c r="L367" s="282"/>
      <c r="M367" s="282"/>
      <c r="N367" s="282"/>
      <c r="O367" s="282"/>
      <c r="P367" s="282"/>
      <c r="Q367" s="282"/>
      <c r="R367" s="282"/>
      <c r="S367" s="282"/>
      <c r="T367" s="282"/>
      <c r="U367" s="282"/>
      <c r="V367" s="282"/>
      <c r="W367" s="282"/>
      <c r="X367" s="283"/>
      <c r="Y367" s="284" t="n">
        <f aca="false">IFERROR(L367*$G367*I$9, "")</f>
        <v>0</v>
      </c>
      <c r="Z367" s="284" t="n">
        <f aca="false">IFERROR(M367*$G367*$I367, "")</f>
        <v>0</v>
      </c>
      <c r="AA367" s="284" t="n">
        <f aca="false">IFERROR(N367*$G367*$I367, "")</f>
        <v>0</v>
      </c>
      <c r="AB367" s="284" t="n">
        <f aca="false">IFERROR(O367*$G367*$I367, "")</f>
        <v>0</v>
      </c>
      <c r="AC367" s="284" t="n">
        <f aca="false">IFERROR(P367*$G367*$I367, "")</f>
        <v>0</v>
      </c>
      <c r="AD367" s="284" t="n">
        <f aca="false">IFERROR(Q367*$G367*$I367, "")</f>
        <v>0</v>
      </c>
      <c r="AE367" s="284" t="n">
        <f aca="false">IFERROR(R367*$G367*$I367, "")</f>
        <v>0</v>
      </c>
      <c r="AF367" s="284" t="n">
        <f aca="false">IFERROR(S367*$G367*$I367, "")</f>
        <v>0</v>
      </c>
      <c r="AG367" s="284" t="n">
        <f aca="false">IFERROR(T367*$G367*$I367, "")</f>
        <v>0</v>
      </c>
      <c r="AH367" s="284" t="n">
        <f aca="false">IFERROR(U367*$G367*$I367, "")</f>
        <v>0</v>
      </c>
      <c r="AI367" s="284" t="n">
        <f aca="false">IFERROR(V367*$G367*$I367, "")</f>
        <v>0</v>
      </c>
      <c r="AJ367" s="284" t="n">
        <f aca="false">IFERROR(W367*$G367*$I367, "")</f>
        <v>0</v>
      </c>
      <c r="AK367" s="286" t="n">
        <f aca="false">IFERROR(SUMIF($Y$4:$AJ$4, "RDEC", Y367:AJ367), "")</f>
        <v>0</v>
      </c>
      <c r="AL367" s="286" t="n">
        <f aca="false">IFERROR(SUMIF($Y$4:$AJ$4, "SME", Y367:AJ367), "")</f>
        <v>0</v>
      </c>
      <c r="AM367" s="286" t="n">
        <f aca="false">IFERROR(SUMIF($Y$4:$AJ$4, "De Minimis", Y367:AJ367), "")</f>
        <v>0</v>
      </c>
      <c r="AN367" s="283"/>
      <c r="AO367" s="284" t="n">
        <f aca="false">IFERROR($G367*$J367*L367, "")</f>
        <v>0</v>
      </c>
      <c r="AP367" s="284" t="n">
        <f aca="false">IFERROR($G367*$J367*M367, "")</f>
        <v>0</v>
      </c>
      <c r="AQ367" s="284" t="n">
        <f aca="false">IFERROR($G367*$J367*N367, "")</f>
        <v>0</v>
      </c>
      <c r="AR367" s="284" t="n">
        <f aca="false">IFERROR($G367*$J367*O367, "")</f>
        <v>0</v>
      </c>
      <c r="AS367" s="284" t="n">
        <f aca="false">IFERROR($G367*$J367*P367, "")</f>
        <v>0</v>
      </c>
      <c r="AT367" s="284" t="n">
        <f aca="false">IFERROR($G367*$J367*Q367, "")</f>
        <v>0</v>
      </c>
      <c r="AU367" s="284" t="n">
        <f aca="false">IFERROR($G367*$J367*R367, "")</f>
        <v>0</v>
      </c>
      <c r="AV367" s="284" t="n">
        <f aca="false">IFERROR($G367*$J367*S367, "")</f>
        <v>0</v>
      </c>
      <c r="AW367" s="284" t="n">
        <f aca="false">IFERROR($G367*$J367*T367, "")</f>
        <v>0</v>
      </c>
      <c r="AX367" s="284" t="n">
        <f aca="false">IFERROR($G367*$J367*U367, "")</f>
        <v>0</v>
      </c>
      <c r="AY367" s="284" t="n">
        <f aca="false">IFERROR($G367*$J367*V367, "")</f>
        <v>0</v>
      </c>
      <c r="AZ367" s="284" t="n">
        <f aca="false">IFERROR($G367*$J367*W367, "")</f>
        <v>0</v>
      </c>
      <c r="BA367" s="286" t="n">
        <f aca="false">IFERROR(SUMIF($AO$4:$AZ$4, "RDEC", AO367:AZ367), "")</f>
        <v>0</v>
      </c>
      <c r="BB367" s="286" t="n">
        <f aca="false">IFERROR(SUMIF($AO$4:$AZ$4, "SME", AO367:AZ367), "")</f>
        <v>0</v>
      </c>
      <c r="BC367" s="286" t="n">
        <f aca="false">IFERROR(SUMIF($Y$4:$AJ$4, "De Minimis", AO367:AZ367), "")</f>
        <v>0</v>
      </c>
      <c r="BD367" s="287"/>
      <c r="BE367" s="288" t="str">
        <f aca="false">IF((SUM(L367:W367)&gt;1),"ERROR","")</f>
        <v/>
      </c>
    </row>
    <row r="368" customFormat="false" ht="15" hidden="false" customHeight="true" outlineLevel="0" collapsed="false">
      <c r="B368" s="333"/>
      <c r="C368" s="334"/>
      <c r="D368" s="333" t="n">
        <f aca="false">D352</f>
        <v>45505</v>
      </c>
      <c r="E368" s="277" t="n">
        <v>0</v>
      </c>
      <c r="F368" s="277" t="n">
        <v>0</v>
      </c>
      <c r="G368" s="277" t="n">
        <f aca="false">SUM(E368:F368)</f>
        <v>0</v>
      </c>
      <c r="H368" s="204"/>
      <c r="I368" s="279" t="n">
        <v>1</v>
      </c>
      <c r="J368" s="280" t="n">
        <f aca="false">1-I368</f>
        <v>0</v>
      </c>
      <c r="K368" s="277"/>
      <c r="L368" s="282"/>
      <c r="M368" s="282"/>
      <c r="N368" s="282"/>
      <c r="O368" s="282"/>
      <c r="P368" s="282"/>
      <c r="Q368" s="282"/>
      <c r="R368" s="282"/>
      <c r="S368" s="282"/>
      <c r="T368" s="282"/>
      <c r="U368" s="282"/>
      <c r="V368" s="282"/>
      <c r="W368" s="282"/>
      <c r="X368" s="283"/>
      <c r="Y368" s="284" t="n">
        <f aca="false">IFERROR(L368*$G368*I$9, "")</f>
        <v>0</v>
      </c>
      <c r="Z368" s="284" t="n">
        <f aca="false">IFERROR(M368*$G368*$I368, "")</f>
        <v>0</v>
      </c>
      <c r="AA368" s="284" t="n">
        <f aca="false">IFERROR(N368*$G368*$I368, "")</f>
        <v>0</v>
      </c>
      <c r="AB368" s="284" t="n">
        <f aca="false">IFERROR(O368*$G368*$I368, "")</f>
        <v>0</v>
      </c>
      <c r="AC368" s="284" t="n">
        <f aca="false">IFERROR(P368*$G368*$I368, "")</f>
        <v>0</v>
      </c>
      <c r="AD368" s="284" t="n">
        <f aca="false">IFERROR(Q368*$G368*$I368, "")</f>
        <v>0</v>
      </c>
      <c r="AE368" s="284" t="n">
        <f aca="false">IFERROR(R368*$G368*$I368, "")</f>
        <v>0</v>
      </c>
      <c r="AF368" s="284" t="n">
        <f aca="false">IFERROR(S368*$G368*$I368, "")</f>
        <v>0</v>
      </c>
      <c r="AG368" s="284" t="n">
        <f aca="false">IFERROR(T368*$G368*$I368, "")</f>
        <v>0</v>
      </c>
      <c r="AH368" s="284" t="n">
        <f aca="false">IFERROR(U368*$G368*$I368, "")</f>
        <v>0</v>
      </c>
      <c r="AI368" s="284" t="n">
        <f aca="false">IFERROR(V368*$G368*$I368, "")</f>
        <v>0</v>
      </c>
      <c r="AJ368" s="284" t="n">
        <f aca="false">IFERROR(W368*$G368*$I368, "")</f>
        <v>0</v>
      </c>
      <c r="AK368" s="286" t="n">
        <f aca="false">IFERROR(SUMIF($Y$4:$AJ$4, "RDEC", Y368:AJ368), "")</f>
        <v>0</v>
      </c>
      <c r="AL368" s="286" t="n">
        <f aca="false">IFERROR(SUMIF($Y$4:$AJ$4, "SME", Y368:AJ368), "")</f>
        <v>0</v>
      </c>
      <c r="AM368" s="286" t="n">
        <f aca="false">IFERROR(SUMIF($Y$4:$AJ$4, "De Minimis", Y368:AJ368), "")</f>
        <v>0</v>
      </c>
      <c r="AN368" s="283"/>
      <c r="AO368" s="284" t="n">
        <f aca="false">IFERROR($G368*$J368*L368, "")</f>
        <v>0</v>
      </c>
      <c r="AP368" s="284" t="n">
        <f aca="false">IFERROR($G368*$J368*M368, "")</f>
        <v>0</v>
      </c>
      <c r="AQ368" s="284" t="n">
        <f aca="false">IFERROR($G368*$J368*N368, "")</f>
        <v>0</v>
      </c>
      <c r="AR368" s="284" t="n">
        <f aca="false">IFERROR($G368*$J368*O368, "")</f>
        <v>0</v>
      </c>
      <c r="AS368" s="284" t="n">
        <f aca="false">IFERROR($G368*$J368*P368, "")</f>
        <v>0</v>
      </c>
      <c r="AT368" s="284" t="n">
        <f aca="false">IFERROR($G368*$J368*Q368, "")</f>
        <v>0</v>
      </c>
      <c r="AU368" s="284" t="n">
        <f aca="false">IFERROR($G368*$J368*R368, "")</f>
        <v>0</v>
      </c>
      <c r="AV368" s="284" t="n">
        <f aca="false">IFERROR($G368*$J368*S368, "")</f>
        <v>0</v>
      </c>
      <c r="AW368" s="284" t="n">
        <f aca="false">IFERROR($G368*$J368*T368, "")</f>
        <v>0</v>
      </c>
      <c r="AX368" s="284" t="n">
        <f aca="false">IFERROR($G368*$J368*U368, "")</f>
        <v>0</v>
      </c>
      <c r="AY368" s="284" t="n">
        <f aca="false">IFERROR($G368*$J368*V368, "")</f>
        <v>0</v>
      </c>
      <c r="AZ368" s="284" t="n">
        <f aca="false">IFERROR($G368*$J368*W368, "")</f>
        <v>0</v>
      </c>
      <c r="BA368" s="286" t="n">
        <f aca="false">IFERROR(SUMIF($AO$4:$AZ$4, "RDEC", AO368:AZ368), "")</f>
        <v>0</v>
      </c>
      <c r="BB368" s="286" t="n">
        <f aca="false">IFERROR(SUMIF($AO$4:$AZ$4, "SME", AO368:AZ368), "")</f>
        <v>0</v>
      </c>
      <c r="BC368" s="286" t="n">
        <f aca="false">IFERROR(SUMIF($Y$4:$AJ$4, "De Minimis", AO368:AZ368), "")</f>
        <v>0</v>
      </c>
      <c r="BD368" s="287"/>
      <c r="BE368" s="288" t="str">
        <f aca="false">IF((SUM(L368:W368)&gt;1),"ERROR","")</f>
        <v/>
      </c>
    </row>
    <row r="369" customFormat="false" ht="15" hidden="false" customHeight="true" outlineLevel="0" collapsed="false">
      <c r="B369" s="333"/>
      <c r="C369" s="334"/>
      <c r="D369" s="333" t="n">
        <f aca="false">D353</f>
        <v>45536</v>
      </c>
      <c r="E369" s="277" t="n">
        <v>0</v>
      </c>
      <c r="F369" s="277" t="n">
        <v>0</v>
      </c>
      <c r="G369" s="277" t="n">
        <f aca="false">SUM(E369:F369)</f>
        <v>0</v>
      </c>
      <c r="H369" s="204"/>
      <c r="I369" s="279" t="n">
        <v>1</v>
      </c>
      <c r="J369" s="280" t="n">
        <f aca="false">1-I369</f>
        <v>0</v>
      </c>
      <c r="K369" s="277"/>
      <c r="L369" s="282"/>
      <c r="M369" s="282"/>
      <c r="N369" s="282"/>
      <c r="O369" s="282"/>
      <c r="P369" s="282"/>
      <c r="Q369" s="282"/>
      <c r="R369" s="282"/>
      <c r="S369" s="282"/>
      <c r="T369" s="282"/>
      <c r="U369" s="282"/>
      <c r="V369" s="282"/>
      <c r="W369" s="282"/>
      <c r="X369" s="283"/>
      <c r="Y369" s="284" t="n">
        <f aca="false">IFERROR(L369*$G369*I$9, "")</f>
        <v>0</v>
      </c>
      <c r="Z369" s="284" t="n">
        <f aca="false">IFERROR(M369*$G369*$I369, "")</f>
        <v>0</v>
      </c>
      <c r="AA369" s="284" t="n">
        <f aca="false">IFERROR(N369*$G369*$I369, "")</f>
        <v>0</v>
      </c>
      <c r="AB369" s="284" t="n">
        <f aca="false">IFERROR(O369*$G369*$I369, "")</f>
        <v>0</v>
      </c>
      <c r="AC369" s="284" t="n">
        <f aca="false">IFERROR(P369*$G369*$I369, "")</f>
        <v>0</v>
      </c>
      <c r="AD369" s="284" t="n">
        <f aca="false">IFERROR(Q369*$G369*$I369, "")</f>
        <v>0</v>
      </c>
      <c r="AE369" s="284" t="n">
        <f aca="false">IFERROR(R369*$G369*$I369, "")</f>
        <v>0</v>
      </c>
      <c r="AF369" s="284" t="n">
        <f aca="false">IFERROR(S369*$G369*$I369, "")</f>
        <v>0</v>
      </c>
      <c r="AG369" s="284" t="n">
        <f aca="false">IFERROR(T369*$G369*$I369, "")</f>
        <v>0</v>
      </c>
      <c r="AH369" s="284" t="n">
        <f aca="false">IFERROR(U369*$G369*$I369, "")</f>
        <v>0</v>
      </c>
      <c r="AI369" s="284" t="n">
        <f aca="false">IFERROR(V369*$G369*$I369, "")</f>
        <v>0</v>
      </c>
      <c r="AJ369" s="284" t="n">
        <f aca="false">IFERROR(W369*$G369*$I369, "")</f>
        <v>0</v>
      </c>
      <c r="AK369" s="286" t="n">
        <f aca="false">IFERROR(SUMIF($Y$4:$AJ$4, "RDEC", Y369:AJ369), "")</f>
        <v>0</v>
      </c>
      <c r="AL369" s="286" t="n">
        <f aca="false">IFERROR(SUMIF($Y$4:$AJ$4, "SME", Y369:AJ369), "")</f>
        <v>0</v>
      </c>
      <c r="AM369" s="286" t="n">
        <f aca="false">IFERROR(SUMIF($Y$4:$AJ$4, "De Minimis", Y369:AJ369), "")</f>
        <v>0</v>
      </c>
      <c r="AN369" s="283"/>
      <c r="AO369" s="284" t="n">
        <f aca="false">IFERROR($G369*$J369*L369, "")</f>
        <v>0</v>
      </c>
      <c r="AP369" s="284" t="n">
        <f aca="false">IFERROR($G369*$J369*M369, "")</f>
        <v>0</v>
      </c>
      <c r="AQ369" s="284" t="n">
        <f aca="false">IFERROR($G369*$J369*N369, "")</f>
        <v>0</v>
      </c>
      <c r="AR369" s="284" t="n">
        <f aca="false">IFERROR($G369*$J369*O369, "")</f>
        <v>0</v>
      </c>
      <c r="AS369" s="284" t="n">
        <f aca="false">IFERROR($G369*$J369*P369, "")</f>
        <v>0</v>
      </c>
      <c r="AT369" s="284" t="n">
        <f aca="false">IFERROR($G369*$J369*Q369, "")</f>
        <v>0</v>
      </c>
      <c r="AU369" s="284" t="n">
        <f aca="false">IFERROR($G369*$J369*R369, "")</f>
        <v>0</v>
      </c>
      <c r="AV369" s="284" t="n">
        <f aca="false">IFERROR($G369*$J369*S369, "")</f>
        <v>0</v>
      </c>
      <c r="AW369" s="284" t="n">
        <f aca="false">IFERROR($G369*$J369*T369, "")</f>
        <v>0</v>
      </c>
      <c r="AX369" s="284" t="n">
        <f aca="false">IFERROR($G369*$J369*U369, "")</f>
        <v>0</v>
      </c>
      <c r="AY369" s="284" t="n">
        <f aca="false">IFERROR($G369*$J369*V369, "")</f>
        <v>0</v>
      </c>
      <c r="AZ369" s="284" t="n">
        <f aca="false">IFERROR($G369*$J369*W369, "")</f>
        <v>0</v>
      </c>
      <c r="BA369" s="286" t="n">
        <f aca="false">IFERROR(SUMIF($AO$4:$AZ$4, "RDEC", AO369:AZ369), "")</f>
        <v>0</v>
      </c>
      <c r="BB369" s="286" t="n">
        <f aca="false">IFERROR(SUMIF($AO$4:$AZ$4, "SME", AO369:AZ369), "")</f>
        <v>0</v>
      </c>
      <c r="BC369" s="286" t="n">
        <f aca="false">IFERROR(SUMIF($Y$4:$AJ$4, "De Minimis", AO369:AZ369), "")</f>
        <v>0</v>
      </c>
      <c r="BD369" s="287"/>
      <c r="BE369" s="288" t="str">
        <f aca="false">IF((SUM(L369:W369)&gt;1),"ERROR","")</f>
        <v/>
      </c>
    </row>
    <row r="370" customFormat="false" ht="15" hidden="false" customHeight="true" outlineLevel="0" collapsed="false">
      <c r="B370" s="333"/>
      <c r="C370" s="334"/>
      <c r="D370" s="333" t="n">
        <f aca="false">D354</f>
        <v>45566</v>
      </c>
      <c r="E370" s="277" t="n">
        <v>0</v>
      </c>
      <c r="F370" s="277" t="n">
        <v>0</v>
      </c>
      <c r="G370" s="277" t="n">
        <f aca="false">SUM(E370:F370)</f>
        <v>0</v>
      </c>
      <c r="H370" s="204"/>
      <c r="I370" s="279" t="n">
        <v>1</v>
      </c>
      <c r="J370" s="280" t="n">
        <f aca="false">1-I370</f>
        <v>0</v>
      </c>
      <c r="K370" s="277"/>
      <c r="L370" s="282"/>
      <c r="M370" s="282"/>
      <c r="N370" s="282"/>
      <c r="O370" s="282"/>
      <c r="P370" s="282"/>
      <c r="Q370" s="282"/>
      <c r="R370" s="282"/>
      <c r="S370" s="282"/>
      <c r="T370" s="282"/>
      <c r="U370" s="282"/>
      <c r="V370" s="282"/>
      <c r="W370" s="282"/>
      <c r="X370" s="283"/>
      <c r="Y370" s="284" t="n">
        <f aca="false">IFERROR(L370*$G370*I$9, "")</f>
        <v>0</v>
      </c>
      <c r="Z370" s="284" t="n">
        <f aca="false">IFERROR(M370*$G370*$I370, "")</f>
        <v>0</v>
      </c>
      <c r="AA370" s="284" t="n">
        <f aca="false">IFERROR(N370*$G370*$I370, "")</f>
        <v>0</v>
      </c>
      <c r="AB370" s="284" t="n">
        <f aca="false">IFERROR(O370*$G370*$I370, "")</f>
        <v>0</v>
      </c>
      <c r="AC370" s="284" t="n">
        <f aca="false">IFERROR(P370*$G370*$I370, "")</f>
        <v>0</v>
      </c>
      <c r="AD370" s="284" t="n">
        <f aca="false">IFERROR(Q370*$G370*$I370, "")</f>
        <v>0</v>
      </c>
      <c r="AE370" s="284" t="n">
        <f aca="false">IFERROR(R370*$G370*$I370, "")</f>
        <v>0</v>
      </c>
      <c r="AF370" s="284" t="n">
        <f aca="false">IFERROR(S370*$G370*$I370, "")</f>
        <v>0</v>
      </c>
      <c r="AG370" s="284" t="n">
        <f aca="false">IFERROR(T370*$G370*$I370, "")</f>
        <v>0</v>
      </c>
      <c r="AH370" s="284" t="n">
        <f aca="false">IFERROR(U370*$G370*$I370, "")</f>
        <v>0</v>
      </c>
      <c r="AI370" s="284" t="n">
        <f aca="false">IFERROR(V370*$G370*$I370, "")</f>
        <v>0</v>
      </c>
      <c r="AJ370" s="284" t="n">
        <f aca="false">IFERROR(W370*$G370*$I370, "")</f>
        <v>0</v>
      </c>
      <c r="AK370" s="286" t="n">
        <f aca="false">IFERROR(SUMIF($Y$4:$AJ$4, "RDEC", Y370:AJ370), "")</f>
        <v>0</v>
      </c>
      <c r="AL370" s="286" t="n">
        <f aca="false">IFERROR(SUMIF($Y$4:$AJ$4, "SME", Y370:AJ370), "")</f>
        <v>0</v>
      </c>
      <c r="AM370" s="286" t="n">
        <f aca="false">IFERROR(SUMIF($Y$4:$AJ$4, "De Minimis", Y370:AJ370), "")</f>
        <v>0</v>
      </c>
      <c r="AN370" s="283"/>
      <c r="AO370" s="284" t="n">
        <f aca="false">IFERROR($G370*$J370*L370, "")</f>
        <v>0</v>
      </c>
      <c r="AP370" s="284" t="n">
        <f aca="false">IFERROR($G370*$J370*M370, "")</f>
        <v>0</v>
      </c>
      <c r="AQ370" s="284" t="n">
        <f aca="false">IFERROR($G370*$J370*N370, "")</f>
        <v>0</v>
      </c>
      <c r="AR370" s="284" t="n">
        <f aca="false">IFERROR($G370*$J370*O370, "")</f>
        <v>0</v>
      </c>
      <c r="AS370" s="284" t="n">
        <f aca="false">IFERROR($G370*$J370*P370, "")</f>
        <v>0</v>
      </c>
      <c r="AT370" s="284" t="n">
        <f aca="false">IFERROR($G370*$J370*Q370, "")</f>
        <v>0</v>
      </c>
      <c r="AU370" s="284" t="n">
        <f aca="false">IFERROR($G370*$J370*R370, "")</f>
        <v>0</v>
      </c>
      <c r="AV370" s="284" t="n">
        <f aca="false">IFERROR($G370*$J370*S370, "")</f>
        <v>0</v>
      </c>
      <c r="AW370" s="284" t="n">
        <f aca="false">IFERROR($G370*$J370*T370, "")</f>
        <v>0</v>
      </c>
      <c r="AX370" s="284" t="n">
        <f aca="false">IFERROR($G370*$J370*U370, "")</f>
        <v>0</v>
      </c>
      <c r="AY370" s="284" t="n">
        <f aca="false">IFERROR($G370*$J370*V370, "")</f>
        <v>0</v>
      </c>
      <c r="AZ370" s="284" t="n">
        <f aca="false">IFERROR($G370*$J370*W370, "")</f>
        <v>0</v>
      </c>
      <c r="BA370" s="286" t="n">
        <f aca="false">IFERROR(SUMIF($AO$4:$AZ$4, "RDEC", AO370:AZ370), "")</f>
        <v>0</v>
      </c>
      <c r="BB370" s="286" t="n">
        <f aca="false">IFERROR(SUMIF($AO$4:$AZ$4, "SME", AO370:AZ370), "")</f>
        <v>0</v>
      </c>
      <c r="BC370" s="286" t="n">
        <f aca="false">IFERROR(SUMIF($Y$4:$AJ$4, "De Minimis", AO370:AZ370), "")</f>
        <v>0</v>
      </c>
      <c r="BD370" s="287"/>
      <c r="BE370" s="288" t="str">
        <f aca="false">IF((SUM(L370:W370)&gt;1),"ERROR","")</f>
        <v/>
      </c>
    </row>
    <row r="371" customFormat="false" ht="15" hidden="false" customHeight="true" outlineLevel="0" collapsed="false">
      <c r="B371" s="333"/>
      <c r="C371" s="334"/>
      <c r="D371" s="333" t="n">
        <f aca="false">D355</f>
        <v>45597</v>
      </c>
      <c r="E371" s="277" t="n">
        <v>0</v>
      </c>
      <c r="F371" s="277" t="n">
        <v>0</v>
      </c>
      <c r="G371" s="277" t="n">
        <f aca="false">SUM(E371:F371)</f>
        <v>0</v>
      </c>
      <c r="H371" s="204"/>
      <c r="I371" s="279" t="n">
        <v>1</v>
      </c>
      <c r="J371" s="280" t="n">
        <f aca="false">1-I371</f>
        <v>0</v>
      </c>
      <c r="K371" s="277"/>
      <c r="L371" s="282"/>
      <c r="M371" s="282"/>
      <c r="N371" s="282"/>
      <c r="O371" s="282"/>
      <c r="P371" s="282"/>
      <c r="Q371" s="282"/>
      <c r="R371" s="282"/>
      <c r="S371" s="282"/>
      <c r="T371" s="282"/>
      <c r="U371" s="282"/>
      <c r="V371" s="282"/>
      <c r="W371" s="282"/>
      <c r="X371" s="283"/>
      <c r="Y371" s="284" t="n">
        <f aca="false">IFERROR(L371*$G371*I$9, "")</f>
        <v>0</v>
      </c>
      <c r="Z371" s="284" t="n">
        <f aca="false">IFERROR(M371*$G371*$I371, "")</f>
        <v>0</v>
      </c>
      <c r="AA371" s="284" t="n">
        <f aca="false">IFERROR(N371*$G371*$I371, "")</f>
        <v>0</v>
      </c>
      <c r="AB371" s="284" t="n">
        <f aca="false">IFERROR(O371*$G371*$I371, "")</f>
        <v>0</v>
      </c>
      <c r="AC371" s="284" t="n">
        <f aca="false">IFERROR(P371*$G371*$I371, "")</f>
        <v>0</v>
      </c>
      <c r="AD371" s="284" t="n">
        <f aca="false">IFERROR(Q371*$G371*$I371, "")</f>
        <v>0</v>
      </c>
      <c r="AE371" s="284" t="n">
        <f aca="false">IFERROR(R371*$G371*$I371, "")</f>
        <v>0</v>
      </c>
      <c r="AF371" s="284" t="n">
        <f aca="false">IFERROR(S371*$G371*$I371, "")</f>
        <v>0</v>
      </c>
      <c r="AG371" s="284" t="n">
        <f aca="false">IFERROR(T371*$G371*$I371, "")</f>
        <v>0</v>
      </c>
      <c r="AH371" s="284" t="n">
        <f aca="false">IFERROR(U371*$G371*$I371, "")</f>
        <v>0</v>
      </c>
      <c r="AI371" s="284" t="n">
        <f aca="false">IFERROR(V371*$G371*$I371, "")</f>
        <v>0</v>
      </c>
      <c r="AJ371" s="284" t="n">
        <f aca="false">IFERROR(W371*$G371*$I371, "")</f>
        <v>0</v>
      </c>
      <c r="AK371" s="286" t="n">
        <f aca="false">IFERROR(SUMIF($Y$4:$AJ$4, "RDEC", Y371:AJ371), "")</f>
        <v>0</v>
      </c>
      <c r="AL371" s="286" t="n">
        <f aca="false">IFERROR(SUMIF($Y$4:$AJ$4, "SME", Y371:AJ371), "")</f>
        <v>0</v>
      </c>
      <c r="AM371" s="286" t="n">
        <f aca="false">IFERROR(SUMIF($Y$4:$AJ$4, "De Minimis", Y371:AJ371), "")</f>
        <v>0</v>
      </c>
      <c r="AN371" s="283"/>
      <c r="AO371" s="284" t="n">
        <f aca="false">IFERROR($G371*$J371*L371, "")</f>
        <v>0</v>
      </c>
      <c r="AP371" s="284" t="n">
        <f aca="false">IFERROR($G371*$J371*M371, "")</f>
        <v>0</v>
      </c>
      <c r="AQ371" s="284" t="n">
        <f aca="false">IFERROR($G371*$J371*N371, "")</f>
        <v>0</v>
      </c>
      <c r="AR371" s="284" t="n">
        <f aca="false">IFERROR($G371*$J371*O371, "")</f>
        <v>0</v>
      </c>
      <c r="AS371" s="284" t="n">
        <f aca="false">IFERROR($G371*$J371*P371, "")</f>
        <v>0</v>
      </c>
      <c r="AT371" s="284" t="n">
        <f aca="false">IFERROR($G371*$J371*Q371, "")</f>
        <v>0</v>
      </c>
      <c r="AU371" s="284" t="n">
        <f aca="false">IFERROR($G371*$J371*R371, "")</f>
        <v>0</v>
      </c>
      <c r="AV371" s="284" t="n">
        <f aca="false">IFERROR($G371*$J371*S371, "")</f>
        <v>0</v>
      </c>
      <c r="AW371" s="284" t="n">
        <f aca="false">IFERROR($G371*$J371*T371, "")</f>
        <v>0</v>
      </c>
      <c r="AX371" s="284" t="n">
        <f aca="false">IFERROR($G371*$J371*U371, "")</f>
        <v>0</v>
      </c>
      <c r="AY371" s="284" t="n">
        <f aca="false">IFERROR($G371*$J371*V371, "")</f>
        <v>0</v>
      </c>
      <c r="AZ371" s="284" t="n">
        <f aca="false">IFERROR($G371*$J371*W371, "")</f>
        <v>0</v>
      </c>
      <c r="BA371" s="286" t="n">
        <f aca="false">IFERROR(SUMIF($AO$4:$AZ$4, "RDEC", AO371:AZ371), "")</f>
        <v>0</v>
      </c>
      <c r="BB371" s="286" t="n">
        <f aca="false">IFERROR(SUMIF($AO$4:$AZ$4, "SME", AO371:AZ371), "")</f>
        <v>0</v>
      </c>
      <c r="BC371" s="286" t="n">
        <f aca="false">IFERROR(SUMIF($Y$4:$AJ$4, "De Minimis", AO371:AZ371), "")</f>
        <v>0</v>
      </c>
      <c r="BD371" s="287"/>
      <c r="BE371" s="288" t="str">
        <f aca="false">IF((SUM(L371:W371)&gt;1),"ERROR","")</f>
        <v/>
      </c>
    </row>
    <row r="372" customFormat="false" ht="15" hidden="false" customHeight="true" outlineLevel="0" collapsed="false">
      <c r="B372" s="333"/>
      <c r="C372" s="334"/>
      <c r="D372" s="333" t="n">
        <f aca="false">D356</f>
        <v>45627</v>
      </c>
      <c r="E372" s="277" t="n">
        <v>0</v>
      </c>
      <c r="F372" s="277" t="n">
        <v>0</v>
      </c>
      <c r="G372" s="277" t="n">
        <f aca="false">SUM(E372:F372)</f>
        <v>0</v>
      </c>
      <c r="H372" s="300"/>
      <c r="I372" s="289" t="n">
        <v>1</v>
      </c>
      <c r="J372" s="290" t="n">
        <f aca="false">1-I372</f>
        <v>0</v>
      </c>
      <c r="K372" s="300"/>
      <c r="L372" s="291"/>
      <c r="M372" s="291"/>
      <c r="N372" s="291"/>
      <c r="O372" s="291"/>
      <c r="P372" s="291"/>
      <c r="Q372" s="291"/>
      <c r="R372" s="291"/>
      <c r="S372" s="291"/>
      <c r="T372" s="291"/>
      <c r="U372" s="291"/>
      <c r="V372" s="291"/>
      <c r="W372" s="291"/>
      <c r="X372" s="283"/>
      <c r="Y372" s="284" t="n">
        <f aca="false">IFERROR(L372*$G372*I$9, "")</f>
        <v>0</v>
      </c>
      <c r="Z372" s="284" t="n">
        <f aca="false">IFERROR(M372*$G372*$I372, "")</f>
        <v>0</v>
      </c>
      <c r="AA372" s="284" t="n">
        <f aca="false">IFERROR(N372*$G372*$I372, "")</f>
        <v>0</v>
      </c>
      <c r="AB372" s="284" t="n">
        <f aca="false">IFERROR(O372*$G372*$I372, "")</f>
        <v>0</v>
      </c>
      <c r="AC372" s="284" t="n">
        <f aca="false">IFERROR(P372*$G372*$I372, "")</f>
        <v>0</v>
      </c>
      <c r="AD372" s="284" t="n">
        <f aca="false">IFERROR(Q372*$G372*$I372, "")</f>
        <v>0</v>
      </c>
      <c r="AE372" s="284" t="n">
        <f aca="false">IFERROR(R372*$G372*$I372, "")</f>
        <v>0</v>
      </c>
      <c r="AF372" s="284" t="n">
        <f aca="false">IFERROR(S372*$G372*$I372, "")</f>
        <v>0</v>
      </c>
      <c r="AG372" s="284" t="n">
        <f aca="false">IFERROR(T372*$G372*$I372, "")</f>
        <v>0</v>
      </c>
      <c r="AH372" s="284" t="n">
        <f aca="false">IFERROR(U372*$G372*$I372, "")</f>
        <v>0</v>
      </c>
      <c r="AI372" s="284" t="n">
        <f aca="false">IFERROR(V372*$G372*$I372, "")</f>
        <v>0</v>
      </c>
      <c r="AJ372" s="284" t="n">
        <f aca="false">IFERROR(W372*$G372*$I372, "")</f>
        <v>0</v>
      </c>
      <c r="AK372" s="294" t="n">
        <f aca="false">IFERROR(SUMIF($Y$4:$AJ$4, "RDEC", Y372:AJ372), "")</f>
        <v>0</v>
      </c>
      <c r="AL372" s="294" t="n">
        <f aca="false">IFERROR(SUMIF($Y$4:$AJ$4, "SME", Y372:AJ372), "")</f>
        <v>0</v>
      </c>
      <c r="AM372" s="294" t="n">
        <f aca="false">IFERROR(SUMIF($Y$4:$AJ$4, "De Minimis", Y372:AJ372), "")</f>
        <v>0</v>
      </c>
      <c r="AN372" s="283"/>
      <c r="AO372" s="284" t="n">
        <f aca="false">IFERROR($G372*$J372*L372, "")</f>
        <v>0</v>
      </c>
      <c r="AP372" s="284" t="n">
        <f aca="false">IFERROR($G372*$J372*M372, "")</f>
        <v>0</v>
      </c>
      <c r="AQ372" s="284" t="n">
        <f aca="false">IFERROR($G372*$J372*N372, "")</f>
        <v>0</v>
      </c>
      <c r="AR372" s="284" t="n">
        <f aca="false">IFERROR($G372*$J372*O372, "")</f>
        <v>0</v>
      </c>
      <c r="AS372" s="284" t="n">
        <f aca="false">IFERROR($G372*$J372*P372, "")</f>
        <v>0</v>
      </c>
      <c r="AT372" s="284" t="n">
        <f aca="false">IFERROR($G372*$J372*Q372, "")</f>
        <v>0</v>
      </c>
      <c r="AU372" s="284" t="n">
        <f aca="false">IFERROR($G372*$J372*R372, "")</f>
        <v>0</v>
      </c>
      <c r="AV372" s="284" t="n">
        <f aca="false">IFERROR($G372*$J372*S372, "")</f>
        <v>0</v>
      </c>
      <c r="AW372" s="284" t="n">
        <f aca="false">IFERROR($G372*$J372*T372, "")</f>
        <v>0</v>
      </c>
      <c r="AX372" s="284" t="n">
        <f aca="false">IFERROR($G372*$J372*U372, "")</f>
        <v>0</v>
      </c>
      <c r="AY372" s="284" t="n">
        <f aca="false">IFERROR($G372*$J372*V372, "")</f>
        <v>0</v>
      </c>
      <c r="AZ372" s="284" t="n">
        <f aca="false">IFERROR($G372*$J372*W372, "")</f>
        <v>0</v>
      </c>
      <c r="BA372" s="286" t="n">
        <f aca="false">IFERROR(SUMIF($AO$4:$AZ$4, "RDEC", AO372:AZ372), "")</f>
        <v>0</v>
      </c>
      <c r="BB372" s="286" t="n">
        <f aca="false">IFERROR(SUMIF($AO$4:$AZ$4, "SME", AO372:AZ372), "")</f>
        <v>0</v>
      </c>
      <c r="BC372" s="294" t="n">
        <f aca="false">IFERROR(SUMIF($Y$4:$AJ$4, "De Minimis", AO372:AZ372), "")</f>
        <v>0</v>
      </c>
      <c r="BD372" s="303"/>
      <c r="BE372" s="295" t="str">
        <f aca="false">IF((SUM(L372:W372)&gt;1),"ERROR","")</f>
        <v/>
      </c>
    </row>
    <row r="373" customFormat="false" ht="15" hidden="false" customHeight="true" outlineLevel="0" collapsed="false">
      <c r="B373" s="296"/>
      <c r="D373" s="297" t="s">
        <v>82</v>
      </c>
      <c r="E373" s="299" t="n">
        <f aca="false">SUM(E361:E372)</f>
        <v>0</v>
      </c>
      <c r="F373" s="299" t="n">
        <f aca="false">SUM(F361:F372)</f>
        <v>0</v>
      </c>
      <c r="G373" s="299" t="n">
        <f aca="false">SUM(G361:G372)</f>
        <v>0</v>
      </c>
      <c r="H373" s="300"/>
      <c r="I373" s="301" t="n">
        <f aca="false">AVERAGE(I361:I372)</f>
        <v>1</v>
      </c>
      <c r="J373" s="301" t="n">
        <f aca="false">AVERAGE(J361:J372)</f>
        <v>0</v>
      </c>
      <c r="K373" s="300"/>
      <c r="L373" s="290" t="n">
        <f aca="false">IF(SUM(L361:L372)&gt;0,(Y373/G373),0)</f>
        <v>0</v>
      </c>
      <c r="M373" s="301" t="n">
        <f aca="false">IF(SUM(M361:M372)&gt;0,(Z373/G373),0)</f>
        <v>0</v>
      </c>
      <c r="N373" s="301" t="n">
        <f aca="false">IF(SUM(N361:N372)&gt;0,(AA373/G373),0)</f>
        <v>0</v>
      </c>
      <c r="O373" s="301" t="n">
        <f aca="false">IF(SUM(O361:O372)&gt;0,(AB373/G373),0)</f>
        <v>0</v>
      </c>
      <c r="P373" s="301" t="n">
        <f aca="false">IF(SUM(P361:P372)&gt;0,(AC373/G373),0)</f>
        <v>0</v>
      </c>
      <c r="Q373" s="301" t="n">
        <f aca="false">IF(SUM(Q361:Q372)&gt;0,(AD373/G373),0)</f>
        <v>0</v>
      </c>
      <c r="R373" s="301" t="n">
        <f aca="false">IF(SUM(R361:R372)&gt;0,(AE373/G373),0)</f>
        <v>0</v>
      </c>
      <c r="S373" s="301" t="n">
        <f aca="false">IF(SUM(S361:S372)&gt;0,(AF373/G373),0)</f>
        <v>0</v>
      </c>
      <c r="T373" s="301" t="n">
        <f aca="false">IF(SUM(T361:T372)&gt;0,(AG373/G373),0)</f>
        <v>0</v>
      </c>
      <c r="U373" s="301" t="n">
        <f aca="false">IF(SUM(U361:U372)&gt;0,(AJ373/G373),0)</f>
        <v>0</v>
      </c>
      <c r="V373" s="301" t="n">
        <f aca="false">IF(SUM(V361:V372)&gt;0,(AI373/G373),0)</f>
        <v>0</v>
      </c>
      <c r="W373" s="301" t="n">
        <f aca="false">IF(SUM(W361:W372)&gt;0,(AJ373/G373),0)</f>
        <v>0</v>
      </c>
      <c r="X373" s="283"/>
      <c r="Y373" s="304" t="n">
        <f aca="false">SUM(Y361:Y372)</f>
        <v>0</v>
      </c>
      <c r="Z373" s="304" t="n">
        <f aca="false">SUM(Z361:Z372)</f>
        <v>0</v>
      </c>
      <c r="AA373" s="304" t="n">
        <f aca="false">SUM(AA361:AA372)</f>
        <v>0</v>
      </c>
      <c r="AB373" s="304" t="n">
        <f aca="false">SUM(AB361:AB372)</f>
        <v>0</v>
      </c>
      <c r="AC373" s="304" t="n">
        <f aca="false">SUM(AC361:AC372)</f>
        <v>0</v>
      </c>
      <c r="AD373" s="304" t="n">
        <f aca="false">SUM(AD361:AD372)</f>
        <v>0</v>
      </c>
      <c r="AE373" s="304" t="n">
        <f aca="false">SUM(AE361:AE372)</f>
        <v>0</v>
      </c>
      <c r="AF373" s="304" t="n">
        <f aca="false">SUM(AF361:AF372)</f>
        <v>0</v>
      </c>
      <c r="AG373" s="304" t="n">
        <f aca="false">SUM(AG361:AG372)</f>
        <v>0</v>
      </c>
      <c r="AH373" s="304" t="n">
        <f aca="false">SUM(AH361:AH372)</f>
        <v>0</v>
      </c>
      <c r="AI373" s="304" t="n">
        <f aca="false">SUM(AI361:AI372)</f>
        <v>0</v>
      </c>
      <c r="AJ373" s="304" t="n">
        <f aca="false">SUM(AJ361:AJ372)</f>
        <v>0</v>
      </c>
      <c r="AK373" s="335" t="n">
        <f aca="false">SUM(AK361:AK372)</f>
        <v>0</v>
      </c>
      <c r="AL373" s="336" t="n">
        <f aca="false">SUM(AL361:AL372)</f>
        <v>0</v>
      </c>
      <c r="AM373" s="305" t="n">
        <f aca="false">SUM(AM361:AM372)</f>
        <v>0</v>
      </c>
      <c r="AN373" s="283"/>
      <c r="AO373" s="304" t="n">
        <f aca="false">SUM(AO361:AO372)</f>
        <v>0</v>
      </c>
      <c r="AP373" s="304" t="n">
        <f aca="false">SUM(AP361:AP372)</f>
        <v>0</v>
      </c>
      <c r="AQ373" s="304" t="n">
        <f aca="false">SUM(AQ361:AQ372)</f>
        <v>0</v>
      </c>
      <c r="AR373" s="304" t="n">
        <f aca="false">SUM(AR361:AR372)</f>
        <v>0</v>
      </c>
      <c r="AS373" s="304" t="n">
        <f aca="false">SUM(AS361:AS372)</f>
        <v>0</v>
      </c>
      <c r="AT373" s="304" t="n">
        <f aca="false">SUM(AT361:AT372)</f>
        <v>0</v>
      </c>
      <c r="AU373" s="304" t="n">
        <f aca="false">SUM(AU361:AU372)</f>
        <v>0</v>
      </c>
      <c r="AV373" s="304" t="n">
        <f aca="false">SUM(AV361:AV372)</f>
        <v>0</v>
      </c>
      <c r="AW373" s="304" t="n">
        <f aca="false">SUM(AW361:AW372)</f>
        <v>0</v>
      </c>
      <c r="AX373" s="304" t="n">
        <f aca="false">SUM(AX361:AX372)</f>
        <v>0</v>
      </c>
      <c r="AY373" s="304" t="n">
        <f aca="false">SUM(AY361:AY372)</f>
        <v>0</v>
      </c>
      <c r="AZ373" s="304" t="n">
        <f aca="false">SUM(AZ361:AZ372)</f>
        <v>0</v>
      </c>
      <c r="BA373" s="336" t="n">
        <f aca="false">SUM(BA361:BA372)</f>
        <v>0</v>
      </c>
      <c r="BB373" s="336" t="n">
        <f aca="false">SUM(BB361:BB372)</f>
        <v>0</v>
      </c>
      <c r="BC373" s="305" t="n">
        <f aca="false">SUM(BC361:BC372)</f>
        <v>0</v>
      </c>
      <c r="BD373" s="303"/>
      <c r="BE373" s="337"/>
    </row>
    <row r="374" customFormat="false" ht="15" hidden="false" customHeight="true" outlineLevel="0" collapsed="false">
      <c r="B374" s="296"/>
      <c r="D374" s="297"/>
      <c r="E374" s="300"/>
      <c r="F374" s="300"/>
      <c r="G374" s="300"/>
      <c r="H374" s="241"/>
      <c r="I374" s="302"/>
      <c r="J374" s="302"/>
      <c r="K374" s="241"/>
      <c r="L374" s="259"/>
      <c r="M374" s="259"/>
      <c r="N374" s="259"/>
      <c r="O374" s="259"/>
      <c r="P374" s="259"/>
      <c r="Q374" s="259"/>
      <c r="R374" s="259"/>
      <c r="S374" s="259"/>
      <c r="T374" s="259"/>
      <c r="U374" s="259"/>
      <c r="V374" s="259"/>
      <c r="W374" s="259"/>
      <c r="X374" s="303"/>
      <c r="Y374" s="259"/>
      <c r="Z374" s="303"/>
      <c r="AA374" s="303"/>
      <c r="AB374" s="303"/>
      <c r="AC374" s="303"/>
      <c r="AD374" s="303"/>
      <c r="AE374" s="303"/>
      <c r="AF374" s="303"/>
      <c r="AG374" s="303"/>
      <c r="AH374" s="303"/>
      <c r="AI374" s="303"/>
      <c r="AJ374" s="303"/>
      <c r="AK374" s="303"/>
      <c r="AL374" s="303"/>
      <c r="AM374" s="303"/>
      <c r="AN374" s="303"/>
      <c r="AO374" s="259"/>
      <c r="AP374" s="303"/>
      <c r="AQ374" s="303"/>
      <c r="AR374" s="303"/>
      <c r="AS374" s="303"/>
      <c r="AT374" s="303"/>
      <c r="AU374" s="303"/>
      <c r="AV374" s="303"/>
      <c r="AW374" s="303"/>
      <c r="AX374" s="303"/>
      <c r="AY374" s="303"/>
      <c r="AZ374" s="303"/>
      <c r="BA374" s="303"/>
      <c r="BB374" s="303"/>
      <c r="BC374" s="303"/>
      <c r="BD374" s="268"/>
      <c r="BE374" s="303"/>
    </row>
    <row r="375" customFormat="false" ht="15" hidden="false" customHeight="true" outlineLevel="0" collapsed="false">
      <c r="A375" s="198" t="n">
        <f aca="false">A359+1</f>
        <v>24</v>
      </c>
      <c r="B375" s="266" t="s">
        <v>253</v>
      </c>
      <c r="C375" s="266" t="s">
        <v>253</v>
      </c>
      <c r="D375" s="266"/>
      <c r="E375" s="241"/>
      <c r="F375" s="241"/>
      <c r="G375" s="241"/>
      <c r="H375" s="241"/>
      <c r="I375" s="241"/>
      <c r="J375" s="241"/>
      <c r="K375" s="277"/>
      <c r="L375" s="241"/>
      <c r="M375" s="241"/>
      <c r="N375" s="241"/>
      <c r="O375" s="241"/>
      <c r="P375" s="241"/>
      <c r="Q375" s="241"/>
      <c r="R375" s="241"/>
      <c r="S375" s="241"/>
      <c r="T375" s="241"/>
      <c r="U375" s="241"/>
      <c r="V375" s="241"/>
      <c r="W375" s="241"/>
      <c r="X375" s="259"/>
      <c r="Y375" s="268"/>
      <c r="Z375" s="268"/>
      <c r="AA375" s="268"/>
      <c r="AB375" s="268"/>
      <c r="AC375" s="268"/>
      <c r="AD375" s="268"/>
      <c r="AE375" s="268"/>
      <c r="AF375" s="268"/>
      <c r="AG375" s="268"/>
      <c r="AH375" s="268"/>
      <c r="AI375" s="268"/>
      <c r="AJ375" s="268"/>
      <c r="AK375" s="268"/>
      <c r="AL375" s="268"/>
      <c r="AM375" s="268"/>
      <c r="AN375" s="259"/>
      <c r="AO375" s="268"/>
      <c r="AP375" s="268"/>
      <c r="AQ375" s="268"/>
      <c r="AR375" s="268"/>
      <c r="AS375" s="268"/>
      <c r="AT375" s="268"/>
      <c r="AU375" s="268"/>
      <c r="AV375" s="268"/>
      <c r="AW375" s="268"/>
      <c r="AX375" s="268"/>
      <c r="AY375" s="268"/>
      <c r="AZ375" s="268"/>
      <c r="BA375" s="268"/>
      <c r="BB375" s="268"/>
      <c r="BC375" s="268"/>
      <c r="BD375" s="287"/>
      <c r="BE375" s="268"/>
    </row>
    <row r="376" customFormat="false" ht="7.5" hidden="false" customHeight="true" outlineLevel="0" collapsed="false">
      <c r="A376" s="198"/>
      <c r="B376" s="266"/>
      <c r="C376" s="266"/>
      <c r="D376" s="266"/>
      <c r="E376" s="241"/>
      <c r="F376" s="241"/>
      <c r="G376" s="241"/>
      <c r="H376" s="204"/>
      <c r="I376" s="269"/>
      <c r="J376" s="269"/>
      <c r="K376" s="277"/>
      <c r="L376" s="269"/>
      <c r="M376" s="269"/>
      <c r="N376" s="269"/>
      <c r="O376" s="269"/>
      <c r="P376" s="269"/>
      <c r="Q376" s="269"/>
      <c r="R376" s="269"/>
      <c r="S376" s="269"/>
      <c r="T376" s="269"/>
      <c r="U376" s="269"/>
      <c r="V376" s="269"/>
      <c r="W376" s="269"/>
      <c r="X376" s="259"/>
      <c r="Y376" s="271"/>
      <c r="Z376" s="271"/>
      <c r="AA376" s="271"/>
      <c r="AB376" s="271"/>
      <c r="AC376" s="271"/>
      <c r="AD376" s="271"/>
      <c r="AE376" s="271"/>
      <c r="AF376" s="271"/>
      <c r="AG376" s="271"/>
      <c r="AH376" s="271"/>
      <c r="AI376" s="271"/>
      <c r="AJ376" s="272"/>
      <c r="AK376" s="273"/>
      <c r="AL376" s="273"/>
      <c r="AM376" s="273"/>
      <c r="AN376" s="259"/>
      <c r="AO376" s="271"/>
      <c r="AP376" s="271"/>
      <c r="AQ376" s="271"/>
      <c r="AR376" s="271"/>
      <c r="AS376" s="271"/>
      <c r="AT376" s="271"/>
      <c r="AU376" s="271"/>
      <c r="AV376" s="271"/>
      <c r="AW376" s="271"/>
      <c r="AX376" s="271"/>
      <c r="AY376" s="271"/>
      <c r="AZ376" s="272"/>
      <c r="BA376" s="273"/>
      <c r="BB376" s="273"/>
      <c r="BC376" s="273"/>
      <c r="BD376" s="287"/>
      <c r="BE376" s="274"/>
    </row>
    <row r="377" customFormat="false" ht="15" hidden="false" customHeight="true" outlineLevel="0" collapsed="false">
      <c r="B377" s="333"/>
      <c r="C377" s="334"/>
      <c r="D377" s="333" t="n">
        <f aca="false">D361</f>
        <v>45292</v>
      </c>
      <c r="E377" s="277" t="n">
        <v>0</v>
      </c>
      <c r="F377" s="277" t="n">
        <v>0</v>
      </c>
      <c r="G377" s="277" t="n">
        <f aca="false">SUM(E377:F377)</f>
        <v>0</v>
      </c>
      <c r="H377" s="204"/>
      <c r="I377" s="279" t="n">
        <v>1</v>
      </c>
      <c r="J377" s="280" t="n">
        <f aca="false">1-I377</f>
        <v>0</v>
      </c>
      <c r="K377" s="277"/>
      <c r="L377" s="282"/>
      <c r="M377" s="282"/>
      <c r="N377" s="282"/>
      <c r="O377" s="282"/>
      <c r="P377" s="282"/>
      <c r="Q377" s="282"/>
      <c r="R377" s="282"/>
      <c r="S377" s="282"/>
      <c r="T377" s="282"/>
      <c r="U377" s="282"/>
      <c r="V377" s="282"/>
      <c r="W377" s="282"/>
      <c r="X377" s="268"/>
      <c r="Y377" s="284" t="n">
        <f aca="false">IFERROR(L377*$G377*I$9, "")</f>
        <v>0</v>
      </c>
      <c r="Z377" s="284" t="n">
        <f aca="false">IFERROR(M377*$G377*$I377, "")</f>
        <v>0</v>
      </c>
      <c r="AA377" s="284" t="n">
        <f aca="false">IFERROR(N377*$G377*$I377, "")</f>
        <v>0</v>
      </c>
      <c r="AB377" s="284" t="n">
        <f aca="false">IFERROR(O377*$G377*$I377, "")</f>
        <v>0</v>
      </c>
      <c r="AC377" s="284" t="n">
        <f aca="false">IFERROR(P377*$G377*$I377, "")</f>
        <v>0</v>
      </c>
      <c r="AD377" s="284" t="n">
        <f aca="false">IFERROR(Q377*$G377*$I377, "")</f>
        <v>0</v>
      </c>
      <c r="AE377" s="284" t="n">
        <f aca="false">IFERROR(R377*$G377*$I377, "")</f>
        <v>0</v>
      </c>
      <c r="AF377" s="284" t="n">
        <f aca="false">IFERROR(S377*$G377*$I377, "")</f>
        <v>0</v>
      </c>
      <c r="AG377" s="284" t="n">
        <f aca="false">IFERROR(T377*$G377*$I377, "")</f>
        <v>0</v>
      </c>
      <c r="AH377" s="284" t="n">
        <f aca="false">IFERROR(U377*$G377*$I377, "")</f>
        <v>0</v>
      </c>
      <c r="AI377" s="284" t="n">
        <f aca="false">IFERROR(V377*$G377*$I377, "")</f>
        <v>0</v>
      </c>
      <c r="AJ377" s="284" t="n">
        <f aca="false">IFERROR(W377*$G377*$I377, "")</f>
        <v>0</v>
      </c>
      <c r="AK377" s="286" t="n">
        <f aca="false">IFERROR(SUMIF($Y$4:$AJ$4, "RDEC", Y377:AJ377), "")</f>
        <v>0</v>
      </c>
      <c r="AL377" s="286" t="n">
        <f aca="false">IFERROR(SUMIF($Y$4:$AJ$4, "SME", Y377:AJ377), "")</f>
        <v>0</v>
      </c>
      <c r="AM377" s="286" t="n">
        <f aca="false">IFERROR(SUMIF($Y$4:$AJ$4, "De Minimis", Y377:AJ377), "")</f>
        <v>0</v>
      </c>
      <c r="AN377" s="268"/>
      <c r="AO377" s="284" t="n">
        <f aca="false">IFERROR($G377*$J377*L377, "")</f>
        <v>0</v>
      </c>
      <c r="AP377" s="284" t="n">
        <f aca="false">IFERROR($G377*$J377*M377, "")</f>
        <v>0</v>
      </c>
      <c r="AQ377" s="284" t="n">
        <f aca="false">IFERROR($G377*$J377*N377, "")</f>
        <v>0</v>
      </c>
      <c r="AR377" s="284" t="n">
        <f aca="false">IFERROR($G377*$J377*O377, "")</f>
        <v>0</v>
      </c>
      <c r="AS377" s="284" t="n">
        <f aca="false">IFERROR($G377*$J377*P377, "")</f>
        <v>0</v>
      </c>
      <c r="AT377" s="284" t="n">
        <f aca="false">IFERROR($G377*$J377*Q377, "")</f>
        <v>0</v>
      </c>
      <c r="AU377" s="284" t="n">
        <f aca="false">IFERROR($G377*$J377*R377, "")</f>
        <v>0</v>
      </c>
      <c r="AV377" s="284" t="n">
        <f aca="false">IFERROR($G377*$J377*S377, "")</f>
        <v>0</v>
      </c>
      <c r="AW377" s="284" t="n">
        <f aca="false">IFERROR($G377*$J377*T377, "")</f>
        <v>0</v>
      </c>
      <c r="AX377" s="284" t="n">
        <f aca="false">IFERROR($G377*$J377*U377, "")</f>
        <v>0</v>
      </c>
      <c r="AY377" s="284" t="n">
        <f aca="false">IFERROR($G377*$J377*V377, "")</f>
        <v>0</v>
      </c>
      <c r="AZ377" s="284" t="n">
        <f aca="false">IFERROR($G377*$J377*W377, "")</f>
        <v>0</v>
      </c>
      <c r="BA377" s="286" t="n">
        <f aca="false">IFERROR(SUMIF($AO$4:$AZ$4, "RDEC", AO377:AZ377), "")</f>
        <v>0</v>
      </c>
      <c r="BB377" s="286" t="n">
        <f aca="false">IFERROR(SUMIF($AO$4:$AZ$4, "SME", AO377:AZ377), "")</f>
        <v>0</v>
      </c>
      <c r="BC377" s="286" t="n">
        <f aca="false">IFERROR(SUMIF($AO$4:$AZ$4, "De Minimis", AO377:AZ377), "")</f>
        <v>0</v>
      </c>
      <c r="BD377" s="287"/>
      <c r="BE377" s="288" t="str">
        <f aca="false">IF((SUM(L377:W377)&gt;1),"ERROR","")</f>
        <v/>
      </c>
    </row>
    <row r="378" customFormat="false" ht="15" hidden="false" customHeight="true" outlineLevel="0" collapsed="false">
      <c r="B378" s="333"/>
      <c r="C378" s="334"/>
      <c r="D378" s="333" t="n">
        <f aca="false">D362</f>
        <v>45323</v>
      </c>
      <c r="E378" s="277" t="n">
        <v>0</v>
      </c>
      <c r="F378" s="277" t="n">
        <v>0</v>
      </c>
      <c r="G378" s="277" t="n">
        <f aca="false">SUM(E378:F378)</f>
        <v>0</v>
      </c>
      <c r="H378" s="204"/>
      <c r="I378" s="279" t="n">
        <v>1</v>
      </c>
      <c r="J378" s="280" t="n">
        <f aca="false">1-I378</f>
        <v>0</v>
      </c>
      <c r="K378" s="277"/>
      <c r="L378" s="282"/>
      <c r="M378" s="282"/>
      <c r="N378" s="282"/>
      <c r="O378" s="282"/>
      <c r="P378" s="282"/>
      <c r="Q378" s="282"/>
      <c r="R378" s="282"/>
      <c r="S378" s="282"/>
      <c r="T378" s="282"/>
      <c r="U378" s="282"/>
      <c r="V378" s="282"/>
      <c r="W378" s="282"/>
      <c r="X378" s="283"/>
      <c r="Y378" s="284" t="n">
        <f aca="false">IFERROR(L378*$G378*I$9, "")</f>
        <v>0</v>
      </c>
      <c r="Z378" s="284" t="n">
        <f aca="false">IFERROR(M378*$G378*$I378, "")</f>
        <v>0</v>
      </c>
      <c r="AA378" s="284" t="n">
        <f aca="false">IFERROR(N378*$G378*$I378, "")</f>
        <v>0</v>
      </c>
      <c r="AB378" s="284" t="n">
        <f aca="false">IFERROR(O378*$G378*$I378, "")</f>
        <v>0</v>
      </c>
      <c r="AC378" s="284" t="n">
        <f aca="false">IFERROR(P378*$G378*$I378, "")</f>
        <v>0</v>
      </c>
      <c r="AD378" s="284" t="n">
        <f aca="false">IFERROR(Q378*$G378*$I378, "")</f>
        <v>0</v>
      </c>
      <c r="AE378" s="284" t="n">
        <f aca="false">IFERROR(R378*$G378*$I378, "")</f>
        <v>0</v>
      </c>
      <c r="AF378" s="284" t="n">
        <f aca="false">IFERROR(S378*$G378*$I378, "")</f>
        <v>0</v>
      </c>
      <c r="AG378" s="284" t="n">
        <f aca="false">IFERROR(T378*$G378*$I378, "")</f>
        <v>0</v>
      </c>
      <c r="AH378" s="284" t="n">
        <f aca="false">IFERROR(U378*$G378*$I378, "")</f>
        <v>0</v>
      </c>
      <c r="AI378" s="284" t="n">
        <f aca="false">IFERROR(V378*$G378*$I378, "")</f>
        <v>0</v>
      </c>
      <c r="AJ378" s="284" t="n">
        <f aca="false">IFERROR(W378*$G378*$I378, "")</f>
        <v>0</v>
      </c>
      <c r="AK378" s="286" t="n">
        <f aca="false">IFERROR(SUMIF($Y$4:$AJ$4, "RDEC", Y378:AJ378), "")</f>
        <v>0</v>
      </c>
      <c r="AL378" s="286" t="n">
        <f aca="false">IFERROR(SUMIF($Y$4:$AJ$4, "SME", Y378:AJ378), "")</f>
        <v>0</v>
      </c>
      <c r="AM378" s="286" t="n">
        <f aca="false">IFERROR(SUMIF($Y$4:$AJ$4, "De Minimis", Y378:AJ378), "")</f>
        <v>0</v>
      </c>
      <c r="AN378" s="283"/>
      <c r="AO378" s="284" t="n">
        <f aca="false">IFERROR($G378*$J378*L378, "")</f>
        <v>0</v>
      </c>
      <c r="AP378" s="284" t="n">
        <f aca="false">IFERROR($G378*$J378*M378, "")</f>
        <v>0</v>
      </c>
      <c r="AQ378" s="284" t="n">
        <f aca="false">IFERROR($G378*$J378*N378, "")</f>
        <v>0</v>
      </c>
      <c r="AR378" s="284" t="n">
        <f aca="false">IFERROR($G378*$J378*O378, "")</f>
        <v>0</v>
      </c>
      <c r="AS378" s="284" t="n">
        <f aca="false">IFERROR($G378*$J378*P378, "")</f>
        <v>0</v>
      </c>
      <c r="AT378" s="284" t="n">
        <f aca="false">IFERROR($G378*$J378*Q378, "")</f>
        <v>0</v>
      </c>
      <c r="AU378" s="284" t="n">
        <f aca="false">IFERROR($G378*$J378*R378, "")</f>
        <v>0</v>
      </c>
      <c r="AV378" s="284" t="n">
        <f aca="false">IFERROR($G378*$J378*S378, "")</f>
        <v>0</v>
      </c>
      <c r="AW378" s="284" t="n">
        <f aca="false">IFERROR($G378*$J378*T378, "")</f>
        <v>0</v>
      </c>
      <c r="AX378" s="284" t="n">
        <f aca="false">IFERROR($G378*$J378*U378, "")</f>
        <v>0</v>
      </c>
      <c r="AY378" s="284" t="n">
        <f aca="false">IFERROR($G378*$J378*V378, "")</f>
        <v>0</v>
      </c>
      <c r="AZ378" s="284" t="n">
        <f aca="false">IFERROR($G378*$J378*W378, "")</f>
        <v>0</v>
      </c>
      <c r="BA378" s="286" t="n">
        <f aca="false">IFERROR(SUMIF($AO$4:$AZ$4, "RDEC", AO378:AZ378), "")</f>
        <v>0</v>
      </c>
      <c r="BB378" s="286" t="n">
        <f aca="false">IFERROR(SUMIF($AO$4:$AZ$4, "SME", AO378:AZ378), "")</f>
        <v>0</v>
      </c>
      <c r="BC378" s="286" t="n">
        <f aca="false">IFERROR(SUMIF($Y$4:$AJ$4, "De Minimis", AO378:AZ378), "")</f>
        <v>0</v>
      </c>
      <c r="BD378" s="287"/>
      <c r="BE378" s="288" t="str">
        <f aca="false">IF((SUM(L378:W378)&gt;1),"ERROR","")</f>
        <v/>
      </c>
    </row>
    <row r="379" customFormat="false" ht="15" hidden="false" customHeight="true" outlineLevel="0" collapsed="false">
      <c r="B379" s="333"/>
      <c r="C379" s="334"/>
      <c r="D379" s="333" t="n">
        <f aca="false">D363</f>
        <v>45352</v>
      </c>
      <c r="E379" s="277" t="n">
        <v>0</v>
      </c>
      <c r="F379" s="277" t="n">
        <v>0</v>
      </c>
      <c r="G379" s="277" t="n">
        <f aca="false">SUM(E379:F379)</f>
        <v>0</v>
      </c>
      <c r="H379" s="204"/>
      <c r="I379" s="279" t="n">
        <v>1</v>
      </c>
      <c r="J379" s="280" t="n">
        <f aca="false">1-I379</f>
        <v>0</v>
      </c>
      <c r="K379" s="277"/>
      <c r="L379" s="282"/>
      <c r="M379" s="282"/>
      <c r="N379" s="282"/>
      <c r="O379" s="282"/>
      <c r="P379" s="282"/>
      <c r="Q379" s="282"/>
      <c r="R379" s="282"/>
      <c r="S379" s="282"/>
      <c r="T379" s="282"/>
      <c r="U379" s="282"/>
      <c r="V379" s="282"/>
      <c r="W379" s="282"/>
      <c r="X379" s="283"/>
      <c r="Y379" s="284" t="n">
        <f aca="false">IFERROR(L379*$G379*I$9, "")</f>
        <v>0</v>
      </c>
      <c r="Z379" s="284" t="n">
        <f aca="false">IFERROR(M379*$G379*$I379, "")</f>
        <v>0</v>
      </c>
      <c r="AA379" s="284" t="n">
        <f aca="false">IFERROR(N379*$G379*$I379, "")</f>
        <v>0</v>
      </c>
      <c r="AB379" s="284" t="n">
        <f aca="false">IFERROR(O379*$G379*$I379, "")</f>
        <v>0</v>
      </c>
      <c r="AC379" s="284" t="n">
        <f aca="false">IFERROR(P379*$G379*$I379, "")</f>
        <v>0</v>
      </c>
      <c r="AD379" s="284" t="n">
        <f aca="false">IFERROR(Q379*$G379*$I379, "")</f>
        <v>0</v>
      </c>
      <c r="AE379" s="284" t="n">
        <f aca="false">IFERROR(R379*$G379*$I379, "")</f>
        <v>0</v>
      </c>
      <c r="AF379" s="284" t="n">
        <f aca="false">IFERROR(S379*$G379*$I379, "")</f>
        <v>0</v>
      </c>
      <c r="AG379" s="284" t="n">
        <f aca="false">IFERROR(T379*$G379*$I379, "")</f>
        <v>0</v>
      </c>
      <c r="AH379" s="284" t="n">
        <f aca="false">IFERROR(U379*$G379*$I379, "")</f>
        <v>0</v>
      </c>
      <c r="AI379" s="284" t="n">
        <f aca="false">IFERROR(V379*$G379*$I379, "")</f>
        <v>0</v>
      </c>
      <c r="AJ379" s="284" t="n">
        <f aca="false">IFERROR(W379*$G379*$I379, "")</f>
        <v>0</v>
      </c>
      <c r="AK379" s="286" t="n">
        <f aca="false">IFERROR(SUMIF($Y$4:$AJ$4, "RDEC", Y379:AJ379), "")</f>
        <v>0</v>
      </c>
      <c r="AL379" s="286" t="n">
        <f aca="false">IFERROR(SUMIF($Y$4:$AJ$4, "SME", Y379:AJ379), "")</f>
        <v>0</v>
      </c>
      <c r="AM379" s="286" t="n">
        <f aca="false">IFERROR(SUMIF($Y$4:$AJ$4, "De Minimis", Y379:AJ379), "")</f>
        <v>0</v>
      </c>
      <c r="AN379" s="283"/>
      <c r="AO379" s="284" t="n">
        <f aca="false">IFERROR($G379*$J379*L379, "")</f>
        <v>0</v>
      </c>
      <c r="AP379" s="284" t="n">
        <f aca="false">IFERROR($G379*$J379*M379, "")</f>
        <v>0</v>
      </c>
      <c r="AQ379" s="284" t="n">
        <f aca="false">IFERROR($G379*$J379*N379, "")</f>
        <v>0</v>
      </c>
      <c r="AR379" s="284" t="n">
        <f aca="false">IFERROR($G379*$J379*O379, "")</f>
        <v>0</v>
      </c>
      <c r="AS379" s="284" t="n">
        <f aca="false">IFERROR($G379*$J379*P379, "")</f>
        <v>0</v>
      </c>
      <c r="AT379" s="284" t="n">
        <f aca="false">IFERROR($G379*$J379*Q379, "")</f>
        <v>0</v>
      </c>
      <c r="AU379" s="284" t="n">
        <f aca="false">IFERROR($G379*$J379*R379, "")</f>
        <v>0</v>
      </c>
      <c r="AV379" s="284" t="n">
        <f aca="false">IFERROR($G379*$J379*S379, "")</f>
        <v>0</v>
      </c>
      <c r="AW379" s="284" t="n">
        <f aca="false">IFERROR($G379*$J379*T379, "")</f>
        <v>0</v>
      </c>
      <c r="AX379" s="284" t="n">
        <f aca="false">IFERROR($G379*$J379*U379, "")</f>
        <v>0</v>
      </c>
      <c r="AY379" s="284" t="n">
        <f aca="false">IFERROR($G379*$J379*V379, "")</f>
        <v>0</v>
      </c>
      <c r="AZ379" s="284" t="n">
        <f aca="false">IFERROR($G379*$J379*W379, "")</f>
        <v>0</v>
      </c>
      <c r="BA379" s="286" t="n">
        <f aca="false">IFERROR(SUMIF($AO$4:$AZ$4, "RDEC", AO379:AZ379), "")</f>
        <v>0</v>
      </c>
      <c r="BB379" s="286" t="n">
        <f aca="false">IFERROR(SUMIF($AO$4:$AZ$4, "SME", AO379:AZ379), "")</f>
        <v>0</v>
      </c>
      <c r="BC379" s="286" t="n">
        <f aca="false">IFERROR(SUMIF($Y$4:$AJ$4, "De Minimis", AO379:AZ379), "")</f>
        <v>0</v>
      </c>
      <c r="BD379" s="287"/>
      <c r="BE379" s="288" t="str">
        <f aca="false">IF((SUM(L379:W379)&gt;1),"ERROR","")</f>
        <v/>
      </c>
    </row>
    <row r="380" customFormat="false" ht="15" hidden="false" customHeight="true" outlineLevel="0" collapsed="false">
      <c r="B380" s="333"/>
      <c r="C380" s="334"/>
      <c r="D380" s="333" t="n">
        <f aca="false">D364</f>
        <v>45383</v>
      </c>
      <c r="E380" s="277" t="n">
        <v>0</v>
      </c>
      <c r="F380" s="277" t="n">
        <v>0</v>
      </c>
      <c r="G380" s="277" t="n">
        <f aca="false">SUM(E380:F380)</f>
        <v>0</v>
      </c>
      <c r="H380" s="204"/>
      <c r="I380" s="279" t="n">
        <v>1</v>
      </c>
      <c r="J380" s="280" t="n">
        <f aca="false">1-I380</f>
        <v>0</v>
      </c>
      <c r="K380" s="277"/>
      <c r="L380" s="282"/>
      <c r="M380" s="282"/>
      <c r="N380" s="282"/>
      <c r="O380" s="282"/>
      <c r="P380" s="282"/>
      <c r="Q380" s="282"/>
      <c r="R380" s="282"/>
      <c r="S380" s="282"/>
      <c r="T380" s="282"/>
      <c r="U380" s="282"/>
      <c r="V380" s="282"/>
      <c r="W380" s="282"/>
      <c r="X380" s="283"/>
      <c r="Y380" s="284" t="n">
        <f aca="false">IFERROR(L380*$G380*I$9, "")</f>
        <v>0</v>
      </c>
      <c r="Z380" s="284" t="n">
        <f aca="false">IFERROR(M380*$G380*$I380, "")</f>
        <v>0</v>
      </c>
      <c r="AA380" s="284" t="n">
        <f aca="false">IFERROR(N380*$G380*$I380, "")</f>
        <v>0</v>
      </c>
      <c r="AB380" s="284" t="n">
        <f aca="false">IFERROR(O380*$G380*$I380, "")</f>
        <v>0</v>
      </c>
      <c r="AC380" s="284" t="n">
        <f aca="false">IFERROR(P380*$G380*$I380, "")</f>
        <v>0</v>
      </c>
      <c r="AD380" s="284" t="n">
        <f aca="false">IFERROR(Q380*$G380*$I380, "")</f>
        <v>0</v>
      </c>
      <c r="AE380" s="284" t="n">
        <f aca="false">IFERROR(R380*$G380*$I380, "")</f>
        <v>0</v>
      </c>
      <c r="AF380" s="284" t="n">
        <f aca="false">IFERROR(S380*$G380*$I380, "")</f>
        <v>0</v>
      </c>
      <c r="AG380" s="284" t="n">
        <f aca="false">IFERROR(T380*$G380*$I380, "")</f>
        <v>0</v>
      </c>
      <c r="AH380" s="284" t="n">
        <f aca="false">IFERROR(U380*$G380*$I380, "")</f>
        <v>0</v>
      </c>
      <c r="AI380" s="284" t="n">
        <f aca="false">IFERROR(V380*$G380*$I380, "")</f>
        <v>0</v>
      </c>
      <c r="AJ380" s="284" t="n">
        <f aca="false">IFERROR(W380*$G380*$I380, "")</f>
        <v>0</v>
      </c>
      <c r="AK380" s="286" t="n">
        <f aca="false">IFERROR(SUMIF($Y$4:$AJ$4, "RDEC", Y380:AJ380), "")</f>
        <v>0</v>
      </c>
      <c r="AL380" s="286" t="n">
        <f aca="false">IFERROR(SUMIF($Y$4:$AJ$4, "SME", Y380:AJ380), "")</f>
        <v>0</v>
      </c>
      <c r="AM380" s="286" t="n">
        <f aca="false">IFERROR(SUMIF($Y$4:$AJ$4, "De Minimis", Y380:AJ380), "")</f>
        <v>0</v>
      </c>
      <c r="AN380" s="283"/>
      <c r="AO380" s="284" t="n">
        <f aca="false">IFERROR($G380*$J380*L380, "")</f>
        <v>0</v>
      </c>
      <c r="AP380" s="284" t="n">
        <f aca="false">IFERROR($G380*$J380*M380, "")</f>
        <v>0</v>
      </c>
      <c r="AQ380" s="284" t="n">
        <f aca="false">IFERROR($G380*$J380*N380, "")</f>
        <v>0</v>
      </c>
      <c r="AR380" s="284" t="n">
        <f aca="false">IFERROR($G380*$J380*O380, "")</f>
        <v>0</v>
      </c>
      <c r="AS380" s="284" t="n">
        <f aca="false">IFERROR($G380*$J380*P380, "")</f>
        <v>0</v>
      </c>
      <c r="AT380" s="284" t="n">
        <f aca="false">IFERROR($G380*$J380*Q380, "")</f>
        <v>0</v>
      </c>
      <c r="AU380" s="284" t="n">
        <f aca="false">IFERROR($G380*$J380*R380, "")</f>
        <v>0</v>
      </c>
      <c r="AV380" s="284" t="n">
        <f aca="false">IFERROR($G380*$J380*S380, "")</f>
        <v>0</v>
      </c>
      <c r="AW380" s="284" t="n">
        <f aca="false">IFERROR($G380*$J380*T380, "")</f>
        <v>0</v>
      </c>
      <c r="AX380" s="284" t="n">
        <f aca="false">IFERROR($G380*$J380*U380, "")</f>
        <v>0</v>
      </c>
      <c r="AY380" s="284" t="n">
        <f aca="false">IFERROR($G380*$J380*V380, "")</f>
        <v>0</v>
      </c>
      <c r="AZ380" s="284" t="n">
        <f aca="false">IFERROR($G380*$J380*W380, "")</f>
        <v>0</v>
      </c>
      <c r="BA380" s="286" t="n">
        <f aca="false">IFERROR(SUMIF($AO$4:$AZ$4, "RDEC", AO380:AZ380), "")</f>
        <v>0</v>
      </c>
      <c r="BB380" s="286" t="n">
        <f aca="false">IFERROR(SUMIF($AO$4:$AZ$4, "SME", AO380:AZ380), "")</f>
        <v>0</v>
      </c>
      <c r="BC380" s="286" t="n">
        <f aca="false">IFERROR(SUMIF($Y$4:$AJ$4, "De Minimis", AO380:AZ380), "")</f>
        <v>0</v>
      </c>
      <c r="BD380" s="287"/>
      <c r="BE380" s="288" t="str">
        <f aca="false">IF((SUM(L380:W380)&gt;1),"ERROR","")</f>
        <v/>
      </c>
    </row>
    <row r="381" customFormat="false" ht="15" hidden="false" customHeight="true" outlineLevel="0" collapsed="false">
      <c r="B381" s="333"/>
      <c r="C381" s="334"/>
      <c r="D381" s="333" t="n">
        <f aca="false">D365</f>
        <v>45413</v>
      </c>
      <c r="E381" s="277" t="n">
        <v>0</v>
      </c>
      <c r="F381" s="277" t="n">
        <v>0</v>
      </c>
      <c r="G381" s="277" t="n">
        <f aca="false">SUM(E381:F381)</f>
        <v>0</v>
      </c>
      <c r="H381" s="204"/>
      <c r="I381" s="279" t="n">
        <v>1</v>
      </c>
      <c r="J381" s="280" t="n">
        <f aca="false">1-I381</f>
        <v>0</v>
      </c>
      <c r="K381" s="277"/>
      <c r="L381" s="282"/>
      <c r="M381" s="282"/>
      <c r="N381" s="282"/>
      <c r="O381" s="282"/>
      <c r="P381" s="282"/>
      <c r="Q381" s="282"/>
      <c r="R381" s="282"/>
      <c r="S381" s="282"/>
      <c r="T381" s="282"/>
      <c r="U381" s="282"/>
      <c r="V381" s="282"/>
      <c r="W381" s="282"/>
      <c r="X381" s="283"/>
      <c r="Y381" s="284" t="n">
        <f aca="false">IFERROR(L381*$G381*I$9, "")</f>
        <v>0</v>
      </c>
      <c r="Z381" s="284" t="n">
        <f aca="false">IFERROR(M381*$G381*$I381, "")</f>
        <v>0</v>
      </c>
      <c r="AA381" s="284" t="n">
        <f aca="false">IFERROR(N381*$G381*$I381, "")</f>
        <v>0</v>
      </c>
      <c r="AB381" s="284" t="n">
        <f aca="false">IFERROR(O381*$G381*$I381, "")</f>
        <v>0</v>
      </c>
      <c r="AC381" s="284" t="n">
        <f aca="false">IFERROR(P381*$G381*$I381, "")</f>
        <v>0</v>
      </c>
      <c r="AD381" s="284" t="n">
        <f aca="false">IFERROR(Q381*$G381*$I381, "")</f>
        <v>0</v>
      </c>
      <c r="AE381" s="284" t="n">
        <f aca="false">IFERROR(R381*$G381*$I381, "")</f>
        <v>0</v>
      </c>
      <c r="AF381" s="284" t="n">
        <f aca="false">IFERROR(S381*$G381*$I381, "")</f>
        <v>0</v>
      </c>
      <c r="AG381" s="284" t="n">
        <f aca="false">IFERROR(T381*$G381*$I381, "")</f>
        <v>0</v>
      </c>
      <c r="AH381" s="284" t="n">
        <f aca="false">IFERROR(U381*$G381*$I381, "")</f>
        <v>0</v>
      </c>
      <c r="AI381" s="284" t="n">
        <f aca="false">IFERROR(V381*$G381*$I381, "")</f>
        <v>0</v>
      </c>
      <c r="AJ381" s="284" t="n">
        <f aca="false">IFERROR(W381*$G381*$I381, "")</f>
        <v>0</v>
      </c>
      <c r="AK381" s="286" t="n">
        <f aca="false">IFERROR(SUMIF($Y$4:$AJ$4, "RDEC", Y381:AJ381), "")</f>
        <v>0</v>
      </c>
      <c r="AL381" s="286" t="n">
        <f aca="false">IFERROR(SUMIF($Y$4:$AJ$4, "SME", Y381:AJ381), "")</f>
        <v>0</v>
      </c>
      <c r="AM381" s="286" t="n">
        <f aca="false">IFERROR(SUMIF($Y$4:$AJ$4, "De Minimis", Y381:AJ381), "")</f>
        <v>0</v>
      </c>
      <c r="AN381" s="283"/>
      <c r="AO381" s="284" t="n">
        <f aca="false">IFERROR($G381*$J381*L381, "")</f>
        <v>0</v>
      </c>
      <c r="AP381" s="284" t="n">
        <f aca="false">IFERROR($G381*$J381*M381, "")</f>
        <v>0</v>
      </c>
      <c r="AQ381" s="284" t="n">
        <f aca="false">IFERROR($G381*$J381*N381, "")</f>
        <v>0</v>
      </c>
      <c r="AR381" s="284" t="n">
        <f aca="false">IFERROR($G381*$J381*O381, "")</f>
        <v>0</v>
      </c>
      <c r="AS381" s="284" t="n">
        <f aca="false">IFERROR($G381*$J381*P381, "")</f>
        <v>0</v>
      </c>
      <c r="AT381" s="284" t="n">
        <f aca="false">IFERROR($G381*$J381*Q381, "")</f>
        <v>0</v>
      </c>
      <c r="AU381" s="284" t="n">
        <f aca="false">IFERROR($G381*$J381*R381, "")</f>
        <v>0</v>
      </c>
      <c r="AV381" s="284" t="n">
        <f aca="false">IFERROR($G381*$J381*S381, "")</f>
        <v>0</v>
      </c>
      <c r="AW381" s="284" t="n">
        <f aca="false">IFERROR($G381*$J381*T381, "")</f>
        <v>0</v>
      </c>
      <c r="AX381" s="284" t="n">
        <f aca="false">IFERROR($G381*$J381*U381, "")</f>
        <v>0</v>
      </c>
      <c r="AY381" s="284" t="n">
        <f aca="false">IFERROR($G381*$J381*V381, "")</f>
        <v>0</v>
      </c>
      <c r="AZ381" s="284" t="n">
        <f aca="false">IFERROR($G381*$J381*W381, "")</f>
        <v>0</v>
      </c>
      <c r="BA381" s="286" t="n">
        <f aca="false">IFERROR(SUMIF($AO$4:$AZ$4, "RDEC", AO381:AZ381), "")</f>
        <v>0</v>
      </c>
      <c r="BB381" s="286" t="n">
        <f aca="false">IFERROR(SUMIF($AO$4:$AZ$4, "SME", AO381:AZ381), "")</f>
        <v>0</v>
      </c>
      <c r="BC381" s="286" t="n">
        <f aca="false">IFERROR(SUMIF($Y$4:$AJ$4, "De Minimis", AO381:AZ381), "")</f>
        <v>0</v>
      </c>
      <c r="BD381" s="287"/>
      <c r="BE381" s="288" t="str">
        <f aca="false">IF((SUM(L381:W381)&gt;1),"ERROR","")</f>
        <v/>
      </c>
    </row>
    <row r="382" customFormat="false" ht="15" hidden="false" customHeight="true" outlineLevel="0" collapsed="false">
      <c r="B382" s="333"/>
      <c r="C382" s="334"/>
      <c r="D382" s="333" t="n">
        <f aca="false">D366</f>
        <v>45444</v>
      </c>
      <c r="E382" s="277" t="n">
        <v>0</v>
      </c>
      <c r="F382" s="277" t="n">
        <v>0</v>
      </c>
      <c r="G382" s="277" t="n">
        <f aca="false">SUM(E382:F382)</f>
        <v>0</v>
      </c>
      <c r="H382" s="204"/>
      <c r="I382" s="279" t="n">
        <v>1</v>
      </c>
      <c r="J382" s="280" t="n">
        <f aca="false">1-I382</f>
        <v>0</v>
      </c>
      <c r="K382" s="277"/>
      <c r="L382" s="282"/>
      <c r="M382" s="282"/>
      <c r="N382" s="282"/>
      <c r="O382" s="282"/>
      <c r="P382" s="282"/>
      <c r="Q382" s="282"/>
      <c r="R382" s="282"/>
      <c r="S382" s="282"/>
      <c r="T382" s="282"/>
      <c r="U382" s="282"/>
      <c r="V382" s="282"/>
      <c r="W382" s="282"/>
      <c r="X382" s="283"/>
      <c r="Y382" s="284" t="n">
        <f aca="false">IFERROR(L382*$G382*I$9, "")</f>
        <v>0</v>
      </c>
      <c r="Z382" s="284" t="n">
        <f aca="false">IFERROR(M382*$G382*$I382, "")</f>
        <v>0</v>
      </c>
      <c r="AA382" s="284" t="n">
        <f aca="false">IFERROR(N382*$G382*$I382, "")</f>
        <v>0</v>
      </c>
      <c r="AB382" s="284" t="n">
        <f aca="false">IFERROR(O382*$G382*$I382, "")</f>
        <v>0</v>
      </c>
      <c r="AC382" s="284" t="n">
        <f aca="false">IFERROR(P382*$G382*$I382, "")</f>
        <v>0</v>
      </c>
      <c r="AD382" s="284" t="n">
        <f aca="false">IFERROR(Q382*$G382*$I382, "")</f>
        <v>0</v>
      </c>
      <c r="AE382" s="284" t="n">
        <f aca="false">IFERROR(R382*$G382*$I382, "")</f>
        <v>0</v>
      </c>
      <c r="AF382" s="284" t="n">
        <f aca="false">IFERROR(S382*$G382*$I382, "")</f>
        <v>0</v>
      </c>
      <c r="AG382" s="284" t="n">
        <f aca="false">IFERROR(T382*$G382*$I382, "")</f>
        <v>0</v>
      </c>
      <c r="AH382" s="284" t="n">
        <f aca="false">IFERROR(U382*$G382*$I382, "")</f>
        <v>0</v>
      </c>
      <c r="AI382" s="284" t="n">
        <f aca="false">IFERROR(V382*$G382*$I382, "")</f>
        <v>0</v>
      </c>
      <c r="AJ382" s="284" t="n">
        <f aca="false">IFERROR(W382*$G382*$I382, "")</f>
        <v>0</v>
      </c>
      <c r="AK382" s="286" t="n">
        <f aca="false">IFERROR(SUMIF($Y$4:$AJ$4, "RDEC", Y382:AJ382), "")</f>
        <v>0</v>
      </c>
      <c r="AL382" s="286" t="n">
        <f aca="false">IFERROR(SUMIF($Y$4:$AJ$4, "SME", Y382:AJ382), "")</f>
        <v>0</v>
      </c>
      <c r="AM382" s="286" t="n">
        <f aca="false">IFERROR(SUMIF($Y$4:$AJ$4, "De Minimis", Y382:AJ382), "")</f>
        <v>0</v>
      </c>
      <c r="AN382" s="283"/>
      <c r="AO382" s="284" t="n">
        <f aca="false">IFERROR($G382*$J382*L382, "")</f>
        <v>0</v>
      </c>
      <c r="AP382" s="284" t="n">
        <f aca="false">IFERROR($G382*$J382*M382, "")</f>
        <v>0</v>
      </c>
      <c r="AQ382" s="284" t="n">
        <f aca="false">IFERROR($G382*$J382*N382, "")</f>
        <v>0</v>
      </c>
      <c r="AR382" s="284" t="n">
        <f aca="false">IFERROR($G382*$J382*O382, "")</f>
        <v>0</v>
      </c>
      <c r="AS382" s="284" t="n">
        <f aca="false">IFERROR($G382*$J382*P382, "")</f>
        <v>0</v>
      </c>
      <c r="AT382" s="284" t="n">
        <f aca="false">IFERROR($G382*$J382*Q382, "")</f>
        <v>0</v>
      </c>
      <c r="AU382" s="284" t="n">
        <f aca="false">IFERROR($G382*$J382*R382, "")</f>
        <v>0</v>
      </c>
      <c r="AV382" s="284" t="n">
        <f aca="false">IFERROR($G382*$J382*S382, "")</f>
        <v>0</v>
      </c>
      <c r="AW382" s="284" t="n">
        <f aca="false">IFERROR($G382*$J382*T382, "")</f>
        <v>0</v>
      </c>
      <c r="AX382" s="284" t="n">
        <f aca="false">IFERROR($G382*$J382*U382, "")</f>
        <v>0</v>
      </c>
      <c r="AY382" s="284" t="n">
        <f aca="false">IFERROR($G382*$J382*V382, "")</f>
        <v>0</v>
      </c>
      <c r="AZ382" s="284" t="n">
        <f aca="false">IFERROR($G382*$J382*W382, "")</f>
        <v>0</v>
      </c>
      <c r="BA382" s="286" t="n">
        <f aca="false">IFERROR(SUMIF($AO$4:$AZ$4, "RDEC", AO382:AZ382), "")</f>
        <v>0</v>
      </c>
      <c r="BB382" s="286" t="n">
        <f aca="false">IFERROR(SUMIF($AO$4:$AZ$4, "SME", AO382:AZ382), "")</f>
        <v>0</v>
      </c>
      <c r="BC382" s="286" t="n">
        <f aca="false">IFERROR(SUMIF($Y$4:$AJ$4, "De Minimis", AO382:AZ382), "")</f>
        <v>0</v>
      </c>
      <c r="BD382" s="287"/>
      <c r="BE382" s="288" t="str">
        <f aca="false">IF((SUM(L382:W382)&gt;1),"ERROR","")</f>
        <v/>
      </c>
    </row>
    <row r="383" customFormat="false" ht="15" hidden="false" customHeight="true" outlineLevel="0" collapsed="false">
      <c r="B383" s="333"/>
      <c r="C383" s="334"/>
      <c r="D383" s="333" t="n">
        <f aca="false">D367</f>
        <v>45474</v>
      </c>
      <c r="E383" s="277" t="n">
        <v>0</v>
      </c>
      <c r="F383" s="277" t="n">
        <v>0</v>
      </c>
      <c r="G383" s="277" t="n">
        <f aca="false">SUM(E383:F383)</f>
        <v>0</v>
      </c>
      <c r="H383" s="204"/>
      <c r="I383" s="279" t="n">
        <v>1</v>
      </c>
      <c r="J383" s="280" t="n">
        <f aca="false">1-I383</f>
        <v>0</v>
      </c>
      <c r="K383" s="277"/>
      <c r="L383" s="282"/>
      <c r="M383" s="282"/>
      <c r="N383" s="282"/>
      <c r="O383" s="282"/>
      <c r="P383" s="282"/>
      <c r="Q383" s="282"/>
      <c r="R383" s="282"/>
      <c r="S383" s="282"/>
      <c r="T383" s="282"/>
      <c r="U383" s="282"/>
      <c r="V383" s="282"/>
      <c r="W383" s="282"/>
      <c r="X383" s="283"/>
      <c r="Y383" s="284" t="n">
        <f aca="false">IFERROR(L383*$G383*I$9, "")</f>
        <v>0</v>
      </c>
      <c r="Z383" s="284" t="n">
        <f aca="false">IFERROR(M383*$G383*$I383, "")</f>
        <v>0</v>
      </c>
      <c r="AA383" s="284" t="n">
        <f aca="false">IFERROR(N383*$G383*$I383, "")</f>
        <v>0</v>
      </c>
      <c r="AB383" s="284" t="n">
        <f aca="false">IFERROR(O383*$G383*$I383, "")</f>
        <v>0</v>
      </c>
      <c r="AC383" s="284" t="n">
        <f aca="false">IFERROR(P383*$G383*$I383, "")</f>
        <v>0</v>
      </c>
      <c r="AD383" s="284" t="n">
        <f aca="false">IFERROR(Q383*$G383*$I383, "")</f>
        <v>0</v>
      </c>
      <c r="AE383" s="284" t="n">
        <f aca="false">IFERROR(R383*$G383*$I383, "")</f>
        <v>0</v>
      </c>
      <c r="AF383" s="284" t="n">
        <f aca="false">IFERROR(S383*$G383*$I383, "")</f>
        <v>0</v>
      </c>
      <c r="AG383" s="284" t="n">
        <f aca="false">IFERROR(T383*$G383*$I383, "")</f>
        <v>0</v>
      </c>
      <c r="AH383" s="284" t="n">
        <f aca="false">IFERROR(U383*$G383*$I383, "")</f>
        <v>0</v>
      </c>
      <c r="AI383" s="284" t="n">
        <f aca="false">IFERROR(V383*$G383*$I383, "")</f>
        <v>0</v>
      </c>
      <c r="AJ383" s="284" t="n">
        <f aca="false">IFERROR(W383*$G383*$I383, "")</f>
        <v>0</v>
      </c>
      <c r="AK383" s="286" t="n">
        <f aca="false">IFERROR(SUMIF($Y$4:$AJ$4, "RDEC", Y383:AJ383), "")</f>
        <v>0</v>
      </c>
      <c r="AL383" s="286" t="n">
        <f aca="false">IFERROR(SUMIF($Y$4:$AJ$4, "SME", Y383:AJ383), "")</f>
        <v>0</v>
      </c>
      <c r="AM383" s="286" t="n">
        <f aca="false">IFERROR(SUMIF($Y$4:$AJ$4, "De Minimis", Y383:AJ383), "")</f>
        <v>0</v>
      </c>
      <c r="AN383" s="283"/>
      <c r="AO383" s="284" t="n">
        <f aca="false">IFERROR($G383*$J383*L383, "")</f>
        <v>0</v>
      </c>
      <c r="AP383" s="284" t="n">
        <f aca="false">IFERROR($G383*$J383*M383, "")</f>
        <v>0</v>
      </c>
      <c r="AQ383" s="284" t="n">
        <f aca="false">IFERROR($G383*$J383*N383, "")</f>
        <v>0</v>
      </c>
      <c r="AR383" s="284" t="n">
        <f aca="false">IFERROR($G383*$J383*O383, "")</f>
        <v>0</v>
      </c>
      <c r="AS383" s="284" t="n">
        <f aca="false">IFERROR($G383*$J383*P383, "")</f>
        <v>0</v>
      </c>
      <c r="AT383" s="284" t="n">
        <f aca="false">IFERROR($G383*$J383*Q383, "")</f>
        <v>0</v>
      </c>
      <c r="AU383" s="284" t="n">
        <f aca="false">IFERROR($G383*$J383*R383, "")</f>
        <v>0</v>
      </c>
      <c r="AV383" s="284" t="n">
        <f aca="false">IFERROR($G383*$J383*S383, "")</f>
        <v>0</v>
      </c>
      <c r="AW383" s="284" t="n">
        <f aca="false">IFERROR($G383*$J383*T383, "")</f>
        <v>0</v>
      </c>
      <c r="AX383" s="284" t="n">
        <f aca="false">IFERROR($G383*$J383*U383, "")</f>
        <v>0</v>
      </c>
      <c r="AY383" s="284" t="n">
        <f aca="false">IFERROR($G383*$J383*V383, "")</f>
        <v>0</v>
      </c>
      <c r="AZ383" s="284" t="n">
        <f aca="false">IFERROR($G383*$J383*W383, "")</f>
        <v>0</v>
      </c>
      <c r="BA383" s="286" t="n">
        <f aca="false">IFERROR(SUMIF($AO$4:$AZ$4, "RDEC", AO383:AZ383), "")</f>
        <v>0</v>
      </c>
      <c r="BB383" s="286" t="n">
        <f aca="false">IFERROR(SUMIF($AO$4:$AZ$4, "SME", AO383:AZ383), "")</f>
        <v>0</v>
      </c>
      <c r="BC383" s="286" t="n">
        <f aca="false">IFERROR(SUMIF($Y$4:$AJ$4, "De Minimis", AO383:AZ383), "")</f>
        <v>0</v>
      </c>
      <c r="BD383" s="287"/>
      <c r="BE383" s="288" t="str">
        <f aca="false">IF((SUM(L383:W383)&gt;1),"ERROR","")</f>
        <v/>
      </c>
    </row>
    <row r="384" customFormat="false" ht="15" hidden="false" customHeight="true" outlineLevel="0" collapsed="false">
      <c r="B384" s="333"/>
      <c r="C384" s="334"/>
      <c r="D384" s="333" t="n">
        <f aca="false">D368</f>
        <v>45505</v>
      </c>
      <c r="E384" s="277" t="n">
        <v>0</v>
      </c>
      <c r="F384" s="277" t="n">
        <v>0</v>
      </c>
      <c r="G384" s="277" t="n">
        <f aca="false">SUM(E384:F384)</f>
        <v>0</v>
      </c>
      <c r="H384" s="204"/>
      <c r="I384" s="279" t="n">
        <v>1</v>
      </c>
      <c r="J384" s="280" t="n">
        <f aca="false">1-I384</f>
        <v>0</v>
      </c>
      <c r="K384" s="277"/>
      <c r="L384" s="282"/>
      <c r="M384" s="282"/>
      <c r="N384" s="282"/>
      <c r="O384" s="282"/>
      <c r="P384" s="282"/>
      <c r="Q384" s="282"/>
      <c r="R384" s="282"/>
      <c r="S384" s="282"/>
      <c r="T384" s="282"/>
      <c r="U384" s="282"/>
      <c r="V384" s="282"/>
      <c r="W384" s="282"/>
      <c r="X384" s="283"/>
      <c r="Y384" s="284" t="n">
        <f aca="false">IFERROR(L384*$G384*I$9, "")</f>
        <v>0</v>
      </c>
      <c r="Z384" s="284" t="n">
        <f aca="false">IFERROR(M384*$G384*$I384, "")</f>
        <v>0</v>
      </c>
      <c r="AA384" s="284" t="n">
        <f aca="false">IFERROR(N384*$G384*$I384, "")</f>
        <v>0</v>
      </c>
      <c r="AB384" s="284" t="n">
        <f aca="false">IFERROR(O384*$G384*$I384, "")</f>
        <v>0</v>
      </c>
      <c r="AC384" s="284" t="n">
        <f aca="false">IFERROR(P384*$G384*$I384, "")</f>
        <v>0</v>
      </c>
      <c r="AD384" s="284" t="n">
        <f aca="false">IFERROR(Q384*$G384*$I384, "")</f>
        <v>0</v>
      </c>
      <c r="AE384" s="284" t="n">
        <f aca="false">IFERROR(R384*$G384*$I384, "")</f>
        <v>0</v>
      </c>
      <c r="AF384" s="284" t="n">
        <f aca="false">IFERROR(S384*$G384*$I384, "")</f>
        <v>0</v>
      </c>
      <c r="AG384" s="284" t="n">
        <f aca="false">IFERROR(T384*$G384*$I384, "")</f>
        <v>0</v>
      </c>
      <c r="AH384" s="284" t="n">
        <f aca="false">IFERROR(U384*$G384*$I384, "")</f>
        <v>0</v>
      </c>
      <c r="AI384" s="284" t="n">
        <f aca="false">IFERROR(V384*$G384*$I384, "")</f>
        <v>0</v>
      </c>
      <c r="AJ384" s="284" t="n">
        <f aca="false">IFERROR(W384*$G384*$I384, "")</f>
        <v>0</v>
      </c>
      <c r="AK384" s="286" t="n">
        <f aca="false">IFERROR(SUMIF($Y$4:$AJ$4, "RDEC", Y384:AJ384), "")</f>
        <v>0</v>
      </c>
      <c r="AL384" s="286" t="n">
        <f aca="false">IFERROR(SUMIF($Y$4:$AJ$4, "SME", Y384:AJ384), "")</f>
        <v>0</v>
      </c>
      <c r="AM384" s="286" t="n">
        <f aca="false">IFERROR(SUMIF($Y$4:$AJ$4, "De Minimis", Y384:AJ384), "")</f>
        <v>0</v>
      </c>
      <c r="AN384" s="283"/>
      <c r="AO384" s="284" t="n">
        <f aca="false">IFERROR($G384*$J384*L384, "")</f>
        <v>0</v>
      </c>
      <c r="AP384" s="284" t="n">
        <f aca="false">IFERROR($G384*$J384*M384, "")</f>
        <v>0</v>
      </c>
      <c r="AQ384" s="284" t="n">
        <f aca="false">IFERROR($G384*$J384*N384, "")</f>
        <v>0</v>
      </c>
      <c r="AR384" s="284" t="n">
        <f aca="false">IFERROR($G384*$J384*O384, "")</f>
        <v>0</v>
      </c>
      <c r="AS384" s="284" t="n">
        <f aca="false">IFERROR($G384*$J384*P384, "")</f>
        <v>0</v>
      </c>
      <c r="AT384" s="284" t="n">
        <f aca="false">IFERROR($G384*$J384*Q384, "")</f>
        <v>0</v>
      </c>
      <c r="AU384" s="284" t="n">
        <f aca="false">IFERROR($G384*$J384*R384, "")</f>
        <v>0</v>
      </c>
      <c r="AV384" s="284" t="n">
        <f aca="false">IFERROR($G384*$J384*S384, "")</f>
        <v>0</v>
      </c>
      <c r="AW384" s="284" t="n">
        <f aca="false">IFERROR($G384*$J384*T384, "")</f>
        <v>0</v>
      </c>
      <c r="AX384" s="284" t="n">
        <f aca="false">IFERROR($G384*$J384*U384, "")</f>
        <v>0</v>
      </c>
      <c r="AY384" s="284" t="n">
        <f aca="false">IFERROR($G384*$J384*V384, "")</f>
        <v>0</v>
      </c>
      <c r="AZ384" s="284" t="n">
        <f aca="false">IFERROR($G384*$J384*W384, "")</f>
        <v>0</v>
      </c>
      <c r="BA384" s="286" t="n">
        <f aca="false">IFERROR(SUMIF($AO$4:$AZ$4, "RDEC", AO384:AZ384), "")</f>
        <v>0</v>
      </c>
      <c r="BB384" s="286" t="n">
        <f aca="false">IFERROR(SUMIF($AO$4:$AZ$4, "SME", AO384:AZ384), "")</f>
        <v>0</v>
      </c>
      <c r="BC384" s="286" t="n">
        <f aca="false">IFERROR(SUMIF($Y$4:$AJ$4, "De Minimis", AO384:AZ384), "")</f>
        <v>0</v>
      </c>
      <c r="BD384" s="287"/>
      <c r="BE384" s="288" t="str">
        <f aca="false">IF((SUM(L384:W384)&gt;1),"ERROR","")</f>
        <v/>
      </c>
    </row>
    <row r="385" customFormat="false" ht="15" hidden="false" customHeight="true" outlineLevel="0" collapsed="false">
      <c r="B385" s="333"/>
      <c r="C385" s="334"/>
      <c r="D385" s="333" t="n">
        <f aca="false">D369</f>
        <v>45536</v>
      </c>
      <c r="E385" s="277" t="n">
        <v>0</v>
      </c>
      <c r="F385" s="277" t="n">
        <v>0</v>
      </c>
      <c r="G385" s="277" t="n">
        <f aca="false">SUM(E385:F385)</f>
        <v>0</v>
      </c>
      <c r="H385" s="204"/>
      <c r="I385" s="279" t="n">
        <v>1</v>
      </c>
      <c r="J385" s="280" t="n">
        <f aca="false">1-I385</f>
        <v>0</v>
      </c>
      <c r="K385" s="277"/>
      <c r="L385" s="282"/>
      <c r="M385" s="282"/>
      <c r="N385" s="282"/>
      <c r="O385" s="282"/>
      <c r="P385" s="282"/>
      <c r="Q385" s="282"/>
      <c r="R385" s="282"/>
      <c r="S385" s="282"/>
      <c r="T385" s="282"/>
      <c r="U385" s="282"/>
      <c r="V385" s="282"/>
      <c r="W385" s="282"/>
      <c r="X385" s="283"/>
      <c r="Y385" s="284" t="n">
        <f aca="false">IFERROR(L385*$G385*I$9, "")</f>
        <v>0</v>
      </c>
      <c r="Z385" s="284" t="n">
        <f aca="false">IFERROR(M385*$G385*$I385, "")</f>
        <v>0</v>
      </c>
      <c r="AA385" s="284" t="n">
        <f aca="false">IFERROR(N385*$G385*$I385, "")</f>
        <v>0</v>
      </c>
      <c r="AB385" s="284" t="n">
        <f aca="false">IFERROR(O385*$G385*$I385, "")</f>
        <v>0</v>
      </c>
      <c r="AC385" s="284" t="n">
        <f aca="false">IFERROR(P385*$G385*$I385, "")</f>
        <v>0</v>
      </c>
      <c r="AD385" s="284" t="n">
        <f aca="false">IFERROR(Q385*$G385*$I385, "")</f>
        <v>0</v>
      </c>
      <c r="AE385" s="284" t="n">
        <f aca="false">IFERROR(R385*$G385*$I385, "")</f>
        <v>0</v>
      </c>
      <c r="AF385" s="284" t="n">
        <f aca="false">IFERROR(S385*$G385*$I385, "")</f>
        <v>0</v>
      </c>
      <c r="AG385" s="284" t="n">
        <f aca="false">IFERROR(T385*$G385*$I385, "")</f>
        <v>0</v>
      </c>
      <c r="AH385" s="284" t="n">
        <f aca="false">IFERROR(U385*$G385*$I385, "")</f>
        <v>0</v>
      </c>
      <c r="AI385" s="284" t="n">
        <f aca="false">IFERROR(V385*$G385*$I385, "")</f>
        <v>0</v>
      </c>
      <c r="AJ385" s="284" t="n">
        <f aca="false">IFERROR(W385*$G385*$I385, "")</f>
        <v>0</v>
      </c>
      <c r="AK385" s="286" t="n">
        <f aca="false">IFERROR(SUMIF($Y$4:$AJ$4, "RDEC", Y385:AJ385), "")</f>
        <v>0</v>
      </c>
      <c r="AL385" s="286" t="n">
        <f aca="false">IFERROR(SUMIF($Y$4:$AJ$4, "SME", Y385:AJ385), "")</f>
        <v>0</v>
      </c>
      <c r="AM385" s="286" t="n">
        <f aca="false">IFERROR(SUMIF($Y$4:$AJ$4, "De Minimis", Y385:AJ385), "")</f>
        <v>0</v>
      </c>
      <c r="AN385" s="283"/>
      <c r="AO385" s="284" t="n">
        <f aca="false">IFERROR($G385*$J385*L385, "")</f>
        <v>0</v>
      </c>
      <c r="AP385" s="284" t="n">
        <f aca="false">IFERROR($G385*$J385*M385, "")</f>
        <v>0</v>
      </c>
      <c r="AQ385" s="284" t="n">
        <f aca="false">IFERROR($G385*$J385*N385, "")</f>
        <v>0</v>
      </c>
      <c r="AR385" s="284" t="n">
        <f aca="false">IFERROR($G385*$J385*O385, "")</f>
        <v>0</v>
      </c>
      <c r="AS385" s="284" t="n">
        <f aca="false">IFERROR($G385*$J385*P385, "")</f>
        <v>0</v>
      </c>
      <c r="AT385" s="284" t="n">
        <f aca="false">IFERROR($G385*$J385*Q385, "")</f>
        <v>0</v>
      </c>
      <c r="AU385" s="284" t="n">
        <f aca="false">IFERROR($G385*$J385*R385, "")</f>
        <v>0</v>
      </c>
      <c r="AV385" s="284" t="n">
        <f aca="false">IFERROR($G385*$J385*S385, "")</f>
        <v>0</v>
      </c>
      <c r="AW385" s="284" t="n">
        <f aca="false">IFERROR($G385*$J385*T385, "")</f>
        <v>0</v>
      </c>
      <c r="AX385" s="284" t="n">
        <f aca="false">IFERROR($G385*$J385*U385, "")</f>
        <v>0</v>
      </c>
      <c r="AY385" s="284" t="n">
        <f aca="false">IFERROR($G385*$J385*V385, "")</f>
        <v>0</v>
      </c>
      <c r="AZ385" s="284" t="n">
        <f aca="false">IFERROR($G385*$J385*W385, "")</f>
        <v>0</v>
      </c>
      <c r="BA385" s="286" t="n">
        <f aca="false">IFERROR(SUMIF($AO$4:$AZ$4, "RDEC", AO385:AZ385), "")</f>
        <v>0</v>
      </c>
      <c r="BB385" s="286" t="n">
        <f aca="false">IFERROR(SUMIF($AO$4:$AZ$4, "SME", AO385:AZ385), "")</f>
        <v>0</v>
      </c>
      <c r="BC385" s="286" t="n">
        <f aca="false">IFERROR(SUMIF($Y$4:$AJ$4, "De Minimis", AO385:AZ385), "")</f>
        <v>0</v>
      </c>
      <c r="BD385" s="287"/>
      <c r="BE385" s="288" t="str">
        <f aca="false">IF((SUM(L385:W385)&gt;1),"ERROR","")</f>
        <v/>
      </c>
    </row>
    <row r="386" customFormat="false" ht="15" hidden="false" customHeight="true" outlineLevel="0" collapsed="false">
      <c r="B386" s="333"/>
      <c r="C386" s="334"/>
      <c r="D386" s="333" t="n">
        <f aca="false">D370</f>
        <v>45566</v>
      </c>
      <c r="E386" s="277" t="n">
        <v>0</v>
      </c>
      <c r="F386" s="277" t="n">
        <v>0</v>
      </c>
      <c r="G386" s="277" t="n">
        <f aca="false">SUM(E386:F386)</f>
        <v>0</v>
      </c>
      <c r="H386" s="204"/>
      <c r="I386" s="279" t="n">
        <v>1</v>
      </c>
      <c r="J386" s="280" t="n">
        <f aca="false">1-I386</f>
        <v>0</v>
      </c>
      <c r="K386" s="277"/>
      <c r="L386" s="282"/>
      <c r="M386" s="282"/>
      <c r="N386" s="282"/>
      <c r="O386" s="282"/>
      <c r="P386" s="282"/>
      <c r="Q386" s="282"/>
      <c r="R386" s="282"/>
      <c r="S386" s="282"/>
      <c r="T386" s="282"/>
      <c r="U386" s="282"/>
      <c r="V386" s="282"/>
      <c r="W386" s="282"/>
      <c r="X386" s="283"/>
      <c r="Y386" s="284" t="n">
        <f aca="false">IFERROR(L386*$G386*I$9, "")</f>
        <v>0</v>
      </c>
      <c r="Z386" s="284" t="n">
        <f aca="false">IFERROR(M386*$G386*$I386, "")</f>
        <v>0</v>
      </c>
      <c r="AA386" s="284" t="n">
        <f aca="false">IFERROR(N386*$G386*$I386, "")</f>
        <v>0</v>
      </c>
      <c r="AB386" s="284" t="n">
        <f aca="false">IFERROR(O386*$G386*$I386, "")</f>
        <v>0</v>
      </c>
      <c r="AC386" s="284" t="n">
        <f aca="false">IFERROR(P386*$G386*$I386, "")</f>
        <v>0</v>
      </c>
      <c r="AD386" s="284" t="n">
        <f aca="false">IFERROR(Q386*$G386*$I386, "")</f>
        <v>0</v>
      </c>
      <c r="AE386" s="284" t="n">
        <f aca="false">IFERROR(R386*$G386*$I386, "")</f>
        <v>0</v>
      </c>
      <c r="AF386" s="284" t="n">
        <f aca="false">IFERROR(S386*$G386*$I386, "")</f>
        <v>0</v>
      </c>
      <c r="AG386" s="284" t="n">
        <f aca="false">IFERROR(T386*$G386*$I386, "")</f>
        <v>0</v>
      </c>
      <c r="AH386" s="284" t="n">
        <f aca="false">IFERROR(U386*$G386*$I386, "")</f>
        <v>0</v>
      </c>
      <c r="AI386" s="284" t="n">
        <f aca="false">IFERROR(V386*$G386*$I386, "")</f>
        <v>0</v>
      </c>
      <c r="AJ386" s="284" t="n">
        <f aca="false">IFERROR(W386*$G386*$I386, "")</f>
        <v>0</v>
      </c>
      <c r="AK386" s="286" t="n">
        <f aca="false">IFERROR(SUMIF($Y$4:$AJ$4, "RDEC", Y386:AJ386), "")</f>
        <v>0</v>
      </c>
      <c r="AL386" s="286" t="n">
        <f aca="false">IFERROR(SUMIF($Y$4:$AJ$4, "SME", Y386:AJ386), "")</f>
        <v>0</v>
      </c>
      <c r="AM386" s="286" t="n">
        <f aca="false">IFERROR(SUMIF($Y$4:$AJ$4, "De Minimis", Y386:AJ386), "")</f>
        <v>0</v>
      </c>
      <c r="AN386" s="283"/>
      <c r="AO386" s="284" t="n">
        <f aca="false">IFERROR($G386*$J386*L386, "")</f>
        <v>0</v>
      </c>
      <c r="AP386" s="284" t="n">
        <f aca="false">IFERROR($G386*$J386*M386, "")</f>
        <v>0</v>
      </c>
      <c r="AQ386" s="284" t="n">
        <f aca="false">IFERROR($G386*$J386*N386, "")</f>
        <v>0</v>
      </c>
      <c r="AR386" s="284" t="n">
        <f aca="false">IFERROR($G386*$J386*O386, "")</f>
        <v>0</v>
      </c>
      <c r="AS386" s="284" t="n">
        <f aca="false">IFERROR($G386*$J386*P386, "")</f>
        <v>0</v>
      </c>
      <c r="AT386" s="284" t="n">
        <f aca="false">IFERROR($G386*$J386*Q386, "")</f>
        <v>0</v>
      </c>
      <c r="AU386" s="284" t="n">
        <f aca="false">IFERROR($G386*$J386*R386, "")</f>
        <v>0</v>
      </c>
      <c r="AV386" s="284" t="n">
        <f aca="false">IFERROR($G386*$J386*S386, "")</f>
        <v>0</v>
      </c>
      <c r="AW386" s="284" t="n">
        <f aca="false">IFERROR($G386*$J386*T386, "")</f>
        <v>0</v>
      </c>
      <c r="AX386" s="284" t="n">
        <f aca="false">IFERROR($G386*$J386*U386, "")</f>
        <v>0</v>
      </c>
      <c r="AY386" s="284" t="n">
        <f aca="false">IFERROR($G386*$J386*V386, "")</f>
        <v>0</v>
      </c>
      <c r="AZ386" s="284" t="n">
        <f aca="false">IFERROR($G386*$J386*W386, "")</f>
        <v>0</v>
      </c>
      <c r="BA386" s="286" t="n">
        <f aca="false">IFERROR(SUMIF($AO$4:$AZ$4, "RDEC", AO386:AZ386), "")</f>
        <v>0</v>
      </c>
      <c r="BB386" s="286" t="n">
        <f aca="false">IFERROR(SUMIF($AO$4:$AZ$4, "SME", AO386:AZ386), "")</f>
        <v>0</v>
      </c>
      <c r="BC386" s="286" t="n">
        <f aca="false">IFERROR(SUMIF($Y$4:$AJ$4, "De Minimis", AO386:AZ386), "")</f>
        <v>0</v>
      </c>
      <c r="BD386" s="287"/>
      <c r="BE386" s="288" t="str">
        <f aca="false">IF((SUM(L386:W386)&gt;1),"ERROR","")</f>
        <v/>
      </c>
    </row>
    <row r="387" customFormat="false" ht="15" hidden="false" customHeight="true" outlineLevel="0" collapsed="false">
      <c r="B387" s="333"/>
      <c r="C387" s="334"/>
      <c r="D387" s="333" t="n">
        <f aca="false">D371</f>
        <v>45597</v>
      </c>
      <c r="E387" s="277" t="n">
        <v>0</v>
      </c>
      <c r="F387" s="277" t="n">
        <v>0</v>
      </c>
      <c r="G387" s="277" t="n">
        <f aca="false">SUM(E387:F387)</f>
        <v>0</v>
      </c>
      <c r="H387" s="204"/>
      <c r="I387" s="279" t="n">
        <v>1</v>
      </c>
      <c r="J387" s="280" t="n">
        <f aca="false">1-I387</f>
        <v>0</v>
      </c>
      <c r="K387" s="277"/>
      <c r="L387" s="282"/>
      <c r="M387" s="282"/>
      <c r="N387" s="282"/>
      <c r="O387" s="282"/>
      <c r="P387" s="282"/>
      <c r="Q387" s="282"/>
      <c r="R387" s="282"/>
      <c r="S387" s="282"/>
      <c r="T387" s="282"/>
      <c r="U387" s="282"/>
      <c r="V387" s="282"/>
      <c r="W387" s="282"/>
      <c r="X387" s="283"/>
      <c r="Y387" s="284" t="n">
        <f aca="false">IFERROR(L387*$G387*I$9, "")</f>
        <v>0</v>
      </c>
      <c r="Z387" s="284" t="n">
        <f aca="false">IFERROR(M387*$G387*$I387, "")</f>
        <v>0</v>
      </c>
      <c r="AA387" s="284" t="n">
        <f aca="false">IFERROR(N387*$G387*$I387, "")</f>
        <v>0</v>
      </c>
      <c r="AB387" s="284" t="n">
        <f aca="false">IFERROR(O387*$G387*$I387, "")</f>
        <v>0</v>
      </c>
      <c r="AC387" s="284" t="n">
        <f aca="false">IFERROR(P387*$G387*$I387, "")</f>
        <v>0</v>
      </c>
      <c r="AD387" s="284" t="n">
        <f aca="false">IFERROR(Q387*$G387*$I387, "")</f>
        <v>0</v>
      </c>
      <c r="AE387" s="284" t="n">
        <f aca="false">IFERROR(R387*$G387*$I387, "")</f>
        <v>0</v>
      </c>
      <c r="AF387" s="284" t="n">
        <f aca="false">IFERROR(S387*$G387*$I387, "")</f>
        <v>0</v>
      </c>
      <c r="AG387" s="284" t="n">
        <f aca="false">IFERROR(T387*$G387*$I387, "")</f>
        <v>0</v>
      </c>
      <c r="AH387" s="284" t="n">
        <f aca="false">IFERROR(U387*$G387*$I387, "")</f>
        <v>0</v>
      </c>
      <c r="AI387" s="284" t="n">
        <f aca="false">IFERROR(V387*$G387*$I387, "")</f>
        <v>0</v>
      </c>
      <c r="AJ387" s="284" t="n">
        <f aca="false">IFERROR(W387*$G387*$I387, "")</f>
        <v>0</v>
      </c>
      <c r="AK387" s="286" t="n">
        <f aca="false">IFERROR(SUMIF($Y$4:$AJ$4, "RDEC", Y387:AJ387), "")</f>
        <v>0</v>
      </c>
      <c r="AL387" s="286" t="n">
        <f aca="false">IFERROR(SUMIF($Y$4:$AJ$4, "SME", Y387:AJ387), "")</f>
        <v>0</v>
      </c>
      <c r="AM387" s="286" t="n">
        <f aca="false">IFERROR(SUMIF($Y$4:$AJ$4, "De Minimis", Y387:AJ387), "")</f>
        <v>0</v>
      </c>
      <c r="AN387" s="283"/>
      <c r="AO387" s="284" t="n">
        <f aca="false">IFERROR($G387*$J387*L387, "")</f>
        <v>0</v>
      </c>
      <c r="AP387" s="284" t="n">
        <f aca="false">IFERROR($G387*$J387*M387, "")</f>
        <v>0</v>
      </c>
      <c r="AQ387" s="284" t="n">
        <f aca="false">IFERROR($G387*$J387*N387, "")</f>
        <v>0</v>
      </c>
      <c r="AR387" s="284" t="n">
        <f aca="false">IFERROR($G387*$J387*O387, "")</f>
        <v>0</v>
      </c>
      <c r="AS387" s="284" t="n">
        <f aca="false">IFERROR($G387*$J387*P387, "")</f>
        <v>0</v>
      </c>
      <c r="AT387" s="284" t="n">
        <f aca="false">IFERROR($G387*$J387*Q387, "")</f>
        <v>0</v>
      </c>
      <c r="AU387" s="284" t="n">
        <f aca="false">IFERROR($G387*$J387*R387, "")</f>
        <v>0</v>
      </c>
      <c r="AV387" s="284" t="n">
        <f aca="false">IFERROR($G387*$J387*S387, "")</f>
        <v>0</v>
      </c>
      <c r="AW387" s="284" t="n">
        <f aca="false">IFERROR($G387*$J387*T387, "")</f>
        <v>0</v>
      </c>
      <c r="AX387" s="284" t="n">
        <f aca="false">IFERROR($G387*$J387*U387, "")</f>
        <v>0</v>
      </c>
      <c r="AY387" s="284" t="n">
        <f aca="false">IFERROR($G387*$J387*V387, "")</f>
        <v>0</v>
      </c>
      <c r="AZ387" s="284" t="n">
        <f aca="false">IFERROR($G387*$J387*W387, "")</f>
        <v>0</v>
      </c>
      <c r="BA387" s="286" t="n">
        <f aca="false">IFERROR(SUMIF($AO$4:$AZ$4, "RDEC", AO387:AZ387), "")</f>
        <v>0</v>
      </c>
      <c r="BB387" s="286" t="n">
        <f aca="false">IFERROR(SUMIF($AO$4:$AZ$4, "SME", AO387:AZ387), "")</f>
        <v>0</v>
      </c>
      <c r="BC387" s="286" t="n">
        <f aca="false">IFERROR(SUMIF($Y$4:$AJ$4, "De Minimis", AO387:AZ387), "")</f>
        <v>0</v>
      </c>
      <c r="BD387" s="287"/>
      <c r="BE387" s="288" t="str">
        <f aca="false">IF((SUM(L387:W387)&gt;1),"ERROR","")</f>
        <v/>
      </c>
    </row>
    <row r="388" customFormat="false" ht="15" hidden="false" customHeight="true" outlineLevel="0" collapsed="false">
      <c r="B388" s="333"/>
      <c r="C388" s="334"/>
      <c r="D388" s="333" t="n">
        <f aca="false">D372</f>
        <v>45627</v>
      </c>
      <c r="E388" s="277" t="n">
        <v>0</v>
      </c>
      <c r="F388" s="277" t="n">
        <v>0</v>
      </c>
      <c r="G388" s="277" t="n">
        <f aca="false">SUM(E388:F388)</f>
        <v>0</v>
      </c>
      <c r="H388" s="300"/>
      <c r="I388" s="289" t="n">
        <v>1</v>
      </c>
      <c r="J388" s="290" t="n">
        <f aca="false">1-I388</f>
        <v>0</v>
      </c>
      <c r="K388" s="300"/>
      <c r="L388" s="291"/>
      <c r="M388" s="291"/>
      <c r="N388" s="291"/>
      <c r="O388" s="291"/>
      <c r="P388" s="291"/>
      <c r="Q388" s="291"/>
      <c r="R388" s="291"/>
      <c r="S388" s="291"/>
      <c r="T388" s="291"/>
      <c r="U388" s="291"/>
      <c r="V388" s="291"/>
      <c r="W388" s="291"/>
      <c r="X388" s="283"/>
      <c r="Y388" s="284" t="n">
        <f aca="false">IFERROR(L388*$G388*I$9, "")</f>
        <v>0</v>
      </c>
      <c r="Z388" s="284" t="n">
        <f aca="false">IFERROR(M388*$G388*$I388, "")</f>
        <v>0</v>
      </c>
      <c r="AA388" s="284" t="n">
        <f aca="false">IFERROR(N388*$G388*$I388, "")</f>
        <v>0</v>
      </c>
      <c r="AB388" s="284" t="n">
        <f aca="false">IFERROR(O388*$G388*$I388, "")</f>
        <v>0</v>
      </c>
      <c r="AC388" s="284" t="n">
        <f aca="false">IFERROR(P388*$G388*$I388, "")</f>
        <v>0</v>
      </c>
      <c r="AD388" s="284" t="n">
        <f aca="false">IFERROR(Q388*$G388*$I388, "")</f>
        <v>0</v>
      </c>
      <c r="AE388" s="284" t="n">
        <f aca="false">IFERROR(R388*$G388*$I388, "")</f>
        <v>0</v>
      </c>
      <c r="AF388" s="284" t="n">
        <f aca="false">IFERROR(S388*$G388*$I388, "")</f>
        <v>0</v>
      </c>
      <c r="AG388" s="284" t="n">
        <f aca="false">IFERROR(T388*$G388*$I388, "")</f>
        <v>0</v>
      </c>
      <c r="AH388" s="284" t="n">
        <f aca="false">IFERROR(U388*$G388*$I388, "")</f>
        <v>0</v>
      </c>
      <c r="AI388" s="284" t="n">
        <f aca="false">IFERROR(V388*$G388*$I388, "")</f>
        <v>0</v>
      </c>
      <c r="AJ388" s="284" t="n">
        <f aca="false">IFERROR(W388*$G388*$I388, "")</f>
        <v>0</v>
      </c>
      <c r="AK388" s="294" t="n">
        <f aca="false">IFERROR(SUMIF($Y$4:$AJ$4, "RDEC", Y388:AJ388), "")</f>
        <v>0</v>
      </c>
      <c r="AL388" s="294" t="n">
        <f aca="false">IFERROR(SUMIF($Y$4:$AJ$4, "SME", Y388:AJ388), "")</f>
        <v>0</v>
      </c>
      <c r="AM388" s="294" t="n">
        <f aca="false">IFERROR(SUMIF($Y$4:$AJ$4, "De Minimis", Y388:AJ388), "")</f>
        <v>0</v>
      </c>
      <c r="AN388" s="283"/>
      <c r="AO388" s="284" t="n">
        <f aca="false">IFERROR($G388*$J388*L388, "")</f>
        <v>0</v>
      </c>
      <c r="AP388" s="284" t="n">
        <f aca="false">IFERROR($G388*$J388*M388, "")</f>
        <v>0</v>
      </c>
      <c r="AQ388" s="284" t="n">
        <f aca="false">IFERROR($G388*$J388*N388, "")</f>
        <v>0</v>
      </c>
      <c r="AR388" s="284" t="n">
        <f aca="false">IFERROR($G388*$J388*O388, "")</f>
        <v>0</v>
      </c>
      <c r="AS388" s="284" t="n">
        <f aca="false">IFERROR($G388*$J388*P388, "")</f>
        <v>0</v>
      </c>
      <c r="AT388" s="284" t="n">
        <f aca="false">IFERROR($G388*$J388*Q388, "")</f>
        <v>0</v>
      </c>
      <c r="AU388" s="284" t="n">
        <f aca="false">IFERROR($G388*$J388*R388, "")</f>
        <v>0</v>
      </c>
      <c r="AV388" s="284" t="n">
        <f aca="false">IFERROR($G388*$J388*S388, "")</f>
        <v>0</v>
      </c>
      <c r="AW388" s="284" t="n">
        <f aca="false">IFERROR($G388*$J388*T388, "")</f>
        <v>0</v>
      </c>
      <c r="AX388" s="284" t="n">
        <f aca="false">IFERROR($G388*$J388*U388, "")</f>
        <v>0</v>
      </c>
      <c r="AY388" s="284" t="n">
        <f aca="false">IFERROR($G388*$J388*V388, "")</f>
        <v>0</v>
      </c>
      <c r="AZ388" s="284" t="n">
        <f aca="false">IFERROR($G388*$J388*W388, "")</f>
        <v>0</v>
      </c>
      <c r="BA388" s="286" t="n">
        <f aca="false">IFERROR(SUMIF($AO$4:$AZ$4, "RDEC", AO388:AZ388), "")</f>
        <v>0</v>
      </c>
      <c r="BB388" s="286" t="n">
        <f aca="false">IFERROR(SUMIF($AO$4:$AZ$4, "SME", AO388:AZ388), "")</f>
        <v>0</v>
      </c>
      <c r="BC388" s="294" t="n">
        <f aca="false">IFERROR(SUMIF($Y$4:$AJ$4, "De Minimis", AO388:AZ388), "")</f>
        <v>0</v>
      </c>
      <c r="BD388" s="303"/>
      <c r="BE388" s="295" t="str">
        <f aca="false">IF((SUM(L388:W388)&gt;1),"ERROR","")</f>
        <v/>
      </c>
    </row>
    <row r="389" customFormat="false" ht="15" hidden="false" customHeight="true" outlineLevel="0" collapsed="false">
      <c r="B389" s="296"/>
      <c r="D389" s="297" t="s">
        <v>82</v>
      </c>
      <c r="E389" s="299" t="n">
        <f aca="false">SUM(E377:E388)</f>
        <v>0</v>
      </c>
      <c r="F389" s="299" t="n">
        <f aca="false">SUM(F377:F388)</f>
        <v>0</v>
      </c>
      <c r="G389" s="299" t="n">
        <f aca="false">SUM(G377:G388)</f>
        <v>0</v>
      </c>
      <c r="H389" s="300"/>
      <c r="I389" s="301" t="n">
        <f aca="false">AVERAGE(I377:I388)</f>
        <v>1</v>
      </c>
      <c r="J389" s="301" t="n">
        <f aca="false">AVERAGE(J377:J388)</f>
        <v>0</v>
      </c>
      <c r="K389" s="300"/>
      <c r="L389" s="290" t="n">
        <f aca="false">IF(SUM(L377:L388)&gt;0,(Y389/G389),0)</f>
        <v>0</v>
      </c>
      <c r="M389" s="301" t="n">
        <f aca="false">IF(SUM(M377:M388)&gt;0,(Z389/G389),0)</f>
        <v>0</v>
      </c>
      <c r="N389" s="301" t="n">
        <f aca="false">IF(SUM(N377:N388)&gt;0,(AA389/G389),0)</f>
        <v>0</v>
      </c>
      <c r="O389" s="301" t="n">
        <f aca="false">IF(SUM(O377:O388)&gt;0,(AB389/G389),0)</f>
        <v>0</v>
      </c>
      <c r="P389" s="301" t="n">
        <f aca="false">IF(SUM(P377:P388)&gt;0,(AC389/G389),0)</f>
        <v>0</v>
      </c>
      <c r="Q389" s="301" t="n">
        <f aca="false">IF(SUM(Q377:Q388)&gt;0,(AD389/G389),0)</f>
        <v>0</v>
      </c>
      <c r="R389" s="301" t="n">
        <f aca="false">IF(SUM(R377:R388)&gt;0,(AE389/G389),0)</f>
        <v>0</v>
      </c>
      <c r="S389" s="301" t="n">
        <f aca="false">IF(SUM(S377:S388)&gt;0,(AF389/G389),0)</f>
        <v>0</v>
      </c>
      <c r="T389" s="301" t="n">
        <f aca="false">IF(SUM(T377:T388)&gt;0,(AG389/G389),0)</f>
        <v>0</v>
      </c>
      <c r="U389" s="301" t="n">
        <f aca="false">IF(SUM(U377:U388)&gt;0,(AJ389/G389),0)</f>
        <v>0</v>
      </c>
      <c r="V389" s="301" t="n">
        <f aca="false">IF(SUM(V377:V388)&gt;0,(AI389/G389),0)</f>
        <v>0</v>
      </c>
      <c r="W389" s="301" t="n">
        <f aca="false">IF(SUM(W377:W388)&gt;0,(AJ389/G389),0)</f>
        <v>0</v>
      </c>
      <c r="X389" s="283"/>
      <c r="Y389" s="304" t="n">
        <f aca="false">SUM(Y377:Y388)</f>
        <v>0</v>
      </c>
      <c r="Z389" s="304" t="n">
        <f aca="false">SUM(Z377:Z388)</f>
        <v>0</v>
      </c>
      <c r="AA389" s="304" t="n">
        <f aca="false">SUM(AA377:AA388)</f>
        <v>0</v>
      </c>
      <c r="AB389" s="304" t="n">
        <f aca="false">SUM(AB377:AB388)</f>
        <v>0</v>
      </c>
      <c r="AC389" s="304" t="n">
        <f aca="false">SUM(AC377:AC388)</f>
        <v>0</v>
      </c>
      <c r="AD389" s="304" t="n">
        <f aca="false">SUM(AD377:AD388)</f>
        <v>0</v>
      </c>
      <c r="AE389" s="304" t="n">
        <f aca="false">SUM(AE377:AE388)</f>
        <v>0</v>
      </c>
      <c r="AF389" s="304" t="n">
        <f aca="false">SUM(AF377:AF388)</f>
        <v>0</v>
      </c>
      <c r="AG389" s="304" t="n">
        <f aca="false">SUM(AG377:AG388)</f>
        <v>0</v>
      </c>
      <c r="AH389" s="304" t="n">
        <f aca="false">SUM(AH377:AH388)</f>
        <v>0</v>
      </c>
      <c r="AI389" s="304" t="n">
        <f aca="false">SUM(AI377:AI388)</f>
        <v>0</v>
      </c>
      <c r="AJ389" s="304" t="n">
        <f aca="false">SUM(AJ377:AJ388)</f>
        <v>0</v>
      </c>
      <c r="AK389" s="335" t="n">
        <f aca="false">SUM(AK377:AK388)</f>
        <v>0</v>
      </c>
      <c r="AL389" s="336" t="n">
        <f aca="false">SUM(AL377:AL388)</f>
        <v>0</v>
      </c>
      <c r="AM389" s="305" t="n">
        <f aca="false">SUM(AM377:AM388)</f>
        <v>0</v>
      </c>
      <c r="AN389" s="283"/>
      <c r="AO389" s="304" t="n">
        <f aca="false">SUM(AO377:AO388)</f>
        <v>0</v>
      </c>
      <c r="AP389" s="304" t="n">
        <f aca="false">SUM(AP377:AP388)</f>
        <v>0</v>
      </c>
      <c r="AQ389" s="304" t="n">
        <f aca="false">SUM(AQ377:AQ388)</f>
        <v>0</v>
      </c>
      <c r="AR389" s="304" t="n">
        <f aca="false">SUM(AR377:AR388)</f>
        <v>0</v>
      </c>
      <c r="AS389" s="304" t="n">
        <f aca="false">SUM(AS377:AS388)</f>
        <v>0</v>
      </c>
      <c r="AT389" s="304" t="n">
        <f aca="false">SUM(AT377:AT388)</f>
        <v>0</v>
      </c>
      <c r="AU389" s="304" t="n">
        <f aca="false">SUM(AU377:AU388)</f>
        <v>0</v>
      </c>
      <c r="AV389" s="304" t="n">
        <f aca="false">SUM(AV377:AV388)</f>
        <v>0</v>
      </c>
      <c r="AW389" s="304" t="n">
        <f aca="false">SUM(AW377:AW388)</f>
        <v>0</v>
      </c>
      <c r="AX389" s="304" t="n">
        <f aca="false">SUM(AX377:AX388)</f>
        <v>0</v>
      </c>
      <c r="AY389" s="304" t="n">
        <f aca="false">SUM(AY377:AY388)</f>
        <v>0</v>
      </c>
      <c r="AZ389" s="304" t="n">
        <f aca="false">SUM(AZ377:AZ388)</f>
        <v>0</v>
      </c>
      <c r="BA389" s="336" t="n">
        <f aca="false">SUM(BA377:BA388)</f>
        <v>0</v>
      </c>
      <c r="BB389" s="336" t="n">
        <f aca="false">SUM(BB377:BB388)</f>
        <v>0</v>
      </c>
      <c r="BC389" s="305" t="n">
        <f aca="false">SUM(BC377:BC388)</f>
        <v>0</v>
      </c>
      <c r="BD389" s="303"/>
      <c r="BE389" s="337"/>
    </row>
    <row r="390" customFormat="false" ht="15" hidden="false" customHeight="true" outlineLevel="0" collapsed="false">
      <c r="B390" s="296"/>
      <c r="D390" s="297"/>
      <c r="E390" s="300"/>
      <c r="F390" s="300"/>
      <c r="G390" s="300"/>
      <c r="H390" s="241"/>
      <c r="I390" s="302"/>
      <c r="J390" s="302"/>
      <c r="K390" s="241"/>
      <c r="L390" s="259"/>
      <c r="M390" s="259"/>
      <c r="N390" s="259"/>
      <c r="O390" s="259"/>
      <c r="P390" s="259"/>
      <c r="Q390" s="259"/>
      <c r="R390" s="259"/>
      <c r="S390" s="259"/>
      <c r="T390" s="259"/>
      <c r="U390" s="259"/>
      <c r="V390" s="259"/>
      <c r="W390" s="259"/>
      <c r="X390" s="303"/>
      <c r="Y390" s="259"/>
      <c r="Z390" s="303"/>
      <c r="AA390" s="303"/>
      <c r="AB390" s="303"/>
      <c r="AC390" s="303"/>
      <c r="AD390" s="303"/>
      <c r="AE390" s="303"/>
      <c r="AF390" s="303"/>
      <c r="AG390" s="303"/>
      <c r="AH390" s="303"/>
      <c r="AI390" s="303"/>
      <c r="AJ390" s="303"/>
      <c r="AK390" s="303"/>
      <c r="AL390" s="303"/>
      <c r="AM390" s="303"/>
      <c r="AN390" s="303"/>
      <c r="AO390" s="259"/>
      <c r="AP390" s="303"/>
      <c r="AQ390" s="303"/>
      <c r="AR390" s="303"/>
      <c r="AS390" s="303"/>
      <c r="AT390" s="303"/>
      <c r="AU390" s="303"/>
      <c r="AV390" s="303"/>
      <c r="AW390" s="303"/>
      <c r="AX390" s="303"/>
      <c r="AY390" s="303"/>
      <c r="AZ390" s="303"/>
      <c r="BA390" s="303"/>
      <c r="BB390" s="303"/>
      <c r="BC390" s="303"/>
      <c r="BD390" s="268"/>
      <c r="BE390" s="303"/>
    </row>
    <row r="391" customFormat="false" ht="15" hidden="false" customHeight="true" outlineLevel="0" collapsed="false">
      <c r="A391" s="198" t="n">
        <f aca="false">A375+1</f>
        <v>25</v>
      </c>
      <c r="B391" s="266" t="s">
        <v>253</v>
      </c>
      <c r="C391" s="266" t="s">
        <v>253</v>
      </c>
      <c r="D391" s="266"/>
      <c r="E391" s="241"/>
      <c r="F391" s="241"/>
      <c r="G391" s="241"/>
      <c r="H391" s="241"/>
      <c r="I391" s="241"/>
      <c r="J391" s="241"/>
      <c r="K391" s="277"/>
      <c r="L391" s="241"/>
      <c r="M391" s="241"/>
      <c r="N391" s="241"/>
      <c r="O391" s="241"/>
      <c r="P391" s="241"/>
      <c r="Q391" s="241"/>
      <c r="R391" s="241"/>
      <c r="S391" s="241"/>
      <c r="T391" s="241"/>
      <c r="U391" s="241"/>
      <c r="V391" s="241"/>
      <c r="W391" s="241"/>
      <c r="X391" s="259"/>
      <c r="Y391" s="268"/>
      <c r="Z391" s="268"/>
      <c r="AA391" s="268"/>
      <c r="AB391" s="268"/>
      <c r="AC391" s="268"/>
      <c r="AD391" s="268"/>
      <c r="AE391" s="268"/>
      <c r="AF391" s="268"/>
      <c r="AG391" s="268"/>
      <c r="AH391" s="268"/>
      <c r="AI391" s="268"/>
      <c r="AJ391" s="268"/>
      <c r="AK391" s="268"/>
      <c r="AL391" s="268"/>
      <c r="AM391" s="268"/>
      <c r="AN391" s="259"/>
      <c r="AO391" s="268"/>
      <c r="AP391" s="268"/>
      <c r="AQ391" s="268"/>
      <c r="AR391" s="268"/>
      <c r="AS391" s="268"/>
      <c r="AT391" s="268"/>
      <c r="AU391" s="268"/>
      <c r="AV391" s="268"/>
      <c r="AW391" s="268"/>
      <c r="AX391" s="268"/>
      <c r="AY391" s="268"/>
      <c r="AZ391" s="268"/>
      <c r="BA391" s="268"/>
      <c r="BB391" s="268"/>
      <c r="BC391" s="268"/>
      <c r="BD391" s="287"/>
      <c r="BE391" s="268"/>
    </row>
    <row r="392" customFormat="false" ht="7.5" hidden="false" customHeight="true" outlineLevel="0" collapsed="false">
      <c r="A392" s="198"/>
      <c r="B392" s="266"/>
      <c r="C392" s="266"/>
      <c r="D392" s="266"/>
      <c r="E392" s="241"/>
      <c r="F392" s="241"/>
      <c r="G392" s="241"/>
      <c r="H392" s="204"/>
      <c r="I392" s="269"/>
      <c r="J392" s="269"/>
      <c r="K392" s="277"/>
      <c r="L392" s="269"/>
      <c r="M392" s="269"/>
      <c r="N392" s="269"/>
      <c r="O392" s="269"/>
      <c r="P392" s="269"/>
      <c r="Q392" s="269"/>
      <c r="R392" s="269"/>
      <c r="S392" s="269"/>
      <c r="T392" s="269"/>
      <c r="U392" s="269"/>
      <c r="V392" s="269"/>
      <c r="W392" s="269"/>
      <c r="X392" s="259"/>
      <c r="Y392" s="271"/>
      <c r="Z392" s="271"/>
      <c r="AA392" s="271"/>
      <c r="AB392" s="271"/>
      <c r="AC392" s="271"/>
      <c r="AD392" s="271"/>
      <c r="AE392" s="271"/>
      <c r="AF392" s="271"/>
      <c r="AG392" s="271"/>
      <c r="AH392" s="271"/>
      <c r="AI392" s="271"/>
      <c r="AJ392" s="272"/>
      <c r="AK392" s="273"/>
      <c r="AL392" s="273"/>
      <c r="AM392" s="273"/>
      <c r="AN392" s="259"/>
      <c r="AO392" s="271"/>
      <c r="AP392" s="271"/>
      <c r="AQ392" s="271"/>
      <c r="AR392" s="271"/>
      <c r="AS392" s="271"/>
      <c r="AT392" s="271"/>
      <c r="AU392" s="271"/>
      <c r="AV392" s="271"/>
      <c r="AW392" s="271"/>
      <c r="AX392" s="271"/>
      <c r="AY392" s="271"/>
      <c r="AZ392" s="272"/>
      <c r="BA392" s="273"/>
      <c r="BB392" s="273"/>
      <c r="BC392" s="273"/>
      <c r="BD392" s="287"/>
      <c r="BE392" s="274"/>
    </row>
    <row r="393" customFormat="false" ht="15" hidden="false" customHeight="true" outlineLevel="0" collapsed="false">
      <c r="B393" s="333"/>
      <c r="C393" s="334"/>
      <c r="D393" s="333" t="n">
        <f aca="false">D377</f>
        <v>45292</v>
      </c>
      <c r="E393" s="277" t="n">
        <v>0</v>
      </c>
      <c r="F393" s="277" t="n">
        <v>0</v>
      </c>
      <c r="G393" s="277" t="n">
        <f aca="false">SUM(E393:F393)</f>
        <v>0</v>
      </c>
      <c r="H393" s="204"/>
      <c r="I393" s="279" t="n">
        <v>1</v>
      </c>
      <c r="J393" s="280" t="n">
        <f aca="false">1-I393</f>
        <v>0</v>
      </c>
      <c r="K393" s="277"/>
      <c r="L393" s="282"/>
      <c r="M393" s="282"/>
      <c r="N393" s="282"/>
      <c r="O393" s="282"/>
      <c r="P393" s="282"/>
      <c r="Q393" s="282"/>
      <c r="R393" s="282"/>
      <c r="S393" s="282"/>
      <c r="T393" s="282"/>
      <c r="U393" s="282"/>
      <c r="V393" s="282"/>
      <c r="W393" s="282"/>
      <c r="X393" s="268"/>
      <c r="Y393" s="284" t="n">
        <f aca="false">IFERROR(L393*$G393*I$9, "")</f>
        <v>0</v>
      </c>
      <c r="Z393" s="284" t="n">
        <f aca="false">IFERROR(M393*$G393*$I393, "")</f>
        <v>0</v>
      </c>
      <c r="AA393" s="284" t="n">
        <f aca="false">IFERROR(N393*$G393*$I393, "")</f>
        <v>0</v>
      </c>
      <c r="AB393" s="284" t="n">
        <f aca="false">IFERROR(O393*$G393*$I393, "")</f>
        <v>0</v>
      </c>
      <c r="AC393" s="284" t="n">
        <f aca="false">IFERROR(P393*$G393*$I393, "")</f>
        <v>0</v>
      </c>
      <c r="AD393" s="284" t="n">
        <f aca="false">IFERROR(Q393*$G393*$I393, "")</f>
        <v>0</v>
      </c>
      <c r="AE393" s="284" t="n">
        <f aca="false">IFERROR(R393*$G393*$I393, "")</f>
        <v>0</v>
      </c>
      <c r="AF393" s="284" t="n">
        <f aca="false">IFERROR(S393*$G393*$I393, "")</f>
        <v>0</v>
      </c>
      <c r="AG393" s="284" t="n">
        <f aca="false">IFERROR(T393*$G393*$I393, "")</f>
        <v>0</v>
      </c>
      <c r="AH393" s="284" t="n">
        <f aca="false">IFERROR(U393*$G393*$I393, "")</f>
        <v>0</v>
      </c>
      <c r="AI393" s="284" t="n">
        <f aca="false">IFERROR(V393*$G393*$I393, "")</f>
        <v>0</v>
      </c>
      <c r="AJ393" s="284" t="n">
        <f aca="false">IFERROR(W393*$G393*$I393, "")</f>
        <v>0</v>
      </c>
      <c r="AK393" s="286" t="n">
        <f aca="false">IFERROR(SUMIF($Y$4:$AJ$4, "RDEC", Y393:AJ393), "")</f>
        <v>0</v>
      </c>
      <c r="AL393" s="286" t="n">
        <f aca="false">IFERROR(SUMIF($Y$4:$AJ$4, "SME", Y393:AJ393), "")</f>
        <v>0</v>
      </c>
      <c r="AM393" s="286" t="n">
        <f aca="false">IFERROR(SUMIF($Y$4:$AJ$4, "De Minimis", Y393:AJ393), "")</f>
        <v>0</v>
      </c>
      <c r="AN393" s="268"/>
      <c r="AO393" s="284" t="n">
        <f aca="false">IFERROR($G393*$J393*L393, "")</f>
        <v>0</v>
      </c>
      <c r="AP393" s="284" t="n">
        <f aca="false">IFERROR($G393*$J393*M393, "")</f>
        <v>0</v>
      </c>
      <c r="AQ393" s="284" t="n">
        <f aca="false">IFERROR($G393*$J393*N393, "")</f>
        <v>0</v>
      </c>
      <c r="AR393" s="284" t="n">
        <f aca="false">IFERROR($G393*$J393*O393, "")</f>
        <v>0</v>
      </c>
      <c r="AS393" s="284" t="n">
        <f aca="false">IFERROR($G393*$J393*P393, "")</f>
        <v>0</v>
      </c>
      <c r="AT393" s="284" t="n">
        <f aca="false">IFERROR($G393*$J393*Q393, "")</f>
        <v>0</v>
      </c>
      <c r="AU393" s="284" t="n">
        <f aca="false">IFERROR($G393*$J393*R393, "")</f>
        <v>0</v>
      </c>
      <c r="AV393" s="284" t="n">
        <f aca="false">IFERROR($G393*$J393*S393, "")</f>
        <v>0</v>
      </c>
      <c r="AW393" s="284" t="n">
        <f aca="false">IFERROR($G393*$J393*T393, "")</f>
        <v>0</v>
      </c>
      <c r="AX393" s="284" t="n">
        <f aca="false">IFERROR($G393*$J393*U393, "")</f>
        <v>0</v>
      </c>
      <c r="AY393" s="284" t="n">
        <f aca="false">IFERROR($G393*$J393*V393, "")</f>
        <v>0</v>
      </c>
      <c r="AZ393" s="284" t="n">
        <f aca="false">IFERROR($G393*$J393*W393, "")</f>
        <v>0</v>
      </c>
      <c r="BA393" s="286" t="n">
        <f aca="false">IFERROR(SUMIF($AO$4:$AZ$4, "RDEC", AO393:AZ393), "")</f>
        <v>0</v>
      </c>
      <c r="BB393" s="286" t="n">
        <f aca="false">IFERROR(SUMIF($AO$4:$AZ$4, "SME", AO393:AZ393), "")</f>
        <v>0</v>
      </c>
      <c r="BC393" s="286" t="n">
        <f aca="false">IFERROR(SUMIF($AO$4:$AZ$4, "De Minimis", AO393:AZ393), "")</f>
        <v>0</v>
      </c>
      <c r="BD393" s="287"/>
      <c r="BE393" s="288" t="str">
        <f aca="false">IF((SUM(L393:W393)&gt;1),"ERROR","")</f>
        <v/>
      </c>
    </row>
    <row r="394" customFormat="false" ht="15" hidden="false" customHeight="true" outlineLevel="0" collapsed="false">
      <c r="B394" s="333"/>
      <c r="C394" s="334"/>
      <c r="D394" s="333" t="n">
        <f aca="false">D378</f>
        <v>45323</v>
      </c>
      <c r="E394" s="277" t="n">
        <v>0</v>
      </c>
      <c r="F394" s="277" t="n">
        <v>0</v>
      </c>
      <c r="G394" s="277" t="n">
        <f aca="false">SUM(E394:F394)</f>
        <v>0</v>
      </c>
      <c r="H394" s="204"/>
      <c r="I394" s="279" t="n">
        <v>1</v>
      </c>
      <c r="J394" s="280" t="n">
        <f aca="false">1-I394</f>
        <v>0</v>
      </c>
      <c r="K394" s="277"/>
      <c r="L394" s="282"/>
      <c r="M394" s="282"/>
      <c r="N394" s="282"/>
      <c r="O394" s="282"/>
      <c r="P394" s="282"/>
      <c r="Q394" s="282"/>
      <c r="R394" s="282"/>
      <c r="S394" s="282"/>
      <c r="T394" s="282"/>
      <c r="U394" s="282"/>
      <c r="V394" s="282"/>
      <c r="W394" s="282"/>
      <c r="X394" s="283"/>
      <c r="Y394" s="284" t="n">
        <f aca="false">IFERROR(L394*$G394*I$9, "")</f>
        <v>0</v>
      </c>
      <c r="Z394" s="284" t="n">
        <f aca="false">IFERROR(M394*$G394*$I394, "")</f>
        <v>0</v>
      </c>
      <c r="AA394" s="284" t="n">
        <f aca="false">IFERROR(N394*$G394*$I394, "")</f>
        <v>0</v>
      </c>
      <c r="AB394" s="284" t="n">
        <f aca="false">IFERROR(O394*$G394*$I394, "")</f>
        <v>0</v>
      </c>
      <c r="AC394" s="284" t="n">
        <f aca="false">IFERROR(P394*$G394*$I394, "")</f>
        <v>0</v>
      </c>
      <c r="AD394" s="284" t="n">
        <f aca="false">IFERROR(Q394*$G394*$I394, "")</f>
        <v>0</v>
      </c>
      <c r="AE394" s="284" t="n">
        <f aca="false">IFERROR(R394*$G394*$I394, "")</f>
        <v>0</v>
      </c>
      <c r="AF394" s="284" t="n">
        <f aca="false">IFERROR(S394*$G394*$I394, "")</f>
        <v>0</v>
      </c>
      <c r="AG394" s="284" t="n">
        <f aca="false">IFERROR(T394*$G394*$I394, "")</f>
        <v>0</v>
      </c>
      <c r="AH394" s="284" t="n">
        <f aca="false">IFERROR(U394*$G394*$I394, "")</f>
        <v>0</v>
      </c>
      <c r="AI394" s="284" t="n">
        <f aca="false">IFERROR(V394*$G394*$I394, "")</f>
        <v>0</v>
      </c>
      <c r="AJ394" s="284" t="n">
        <f aca="false">IFERROR(W394*$G394*$I394, "")</f>
        <v>0</v>
      </c>
      <c r="AK394" s="286" t="n">
        <f aca="false">IFERROR(SUMIF($Y$4:$AJ$4, "RDEC", Y394:AJ394), "")</f>
        <v>0</v>
      </c>
      <c r="AL394" s="286" t="n">
        <f aca="false">IFERROR(SUMIF($Y$4:$AJ$4, "SME", Y394:AJ394), "")</f>
        <v>0</v>
      </c>
      <c r="AM394" s="286" t="n">
        <f aca="false">IFERROR(SUMIF($Y$4:$AJ$4, "De Minimis", Y394:AJ394), "")</f>
        <v>0</v>
      </c>
      <c r="AN394" s="283"/>
      <c r="AO394" s="284" t="n">
        <f aca="false">IFERROR($G394*$J394*L394, "")</f>
        <v>0</v>
      </c>
      <c r="AP394" s="284" t="n">
        <f aca="false">IFERROR($G394*$J394*M394, "")</f>
        <v>0</v>
      </c>
      <c r="AQ394" s="284" t="n">
        <f aca="false">IFERROR($G394*$J394*N394, "")</f>
        <v>0</v>
      </c>
      <c r="AR394" s="284" t="n">
        <f aca="false">IFERROR($G394*$J394*O394, "")</f>
        <v>0</v>
      </c>
      <c r="AS394" s="284" t="n">
        <f aca="false">IFERROR($G394*$J394*P394, "")</f>
        <v>0</v>
      </c>
      <c r="AT394" s="284" t="n">
        <f aca="false">IFERROR($G394*$J394*Q394, "")</f>
        <v>0</v>
      </c>
      <c r="AU394" s="284" t="n">
        <f aca="false">IFERROR($G394*$J394*R394, "")</f>
        <v>0</v>
      </c>
      <c r="AV394" s="284" t="n">
        <f aca="false">IFERROR($G394*$J394*S394, "")</f>
        <v>0</v>
      </c>
      <c r="AW394" s="284" t="n">
        <f aca="false">IFERROR($G394*$J394*T394, "")</f>
        <v>0</v>
      </c>
      <c r="AX394" s="284" t="n">
        <f aca="false">IFERROR($G394*$J394*U394, "")</f>
        <v>0</v>
      </c>
      <c r="AY394" s="284" t="n">
        <f aca="false">IFERROR($G394*$J394*V394, "")</f>
        <v>0</v>
      </c>
      <c r="AZ394" s="284" t="n">
        <f aca="false">IFERROR($G394*$J394*W394, "")</f>
        <v>0</v>
      </c>
      <c r="BA394" s="286" t="n">
        <f aca="false">IFERROR(SUMIF($AO$4:$AZ$4, "RDEC", AO394:AZ394), "")</f>
        <v>0</v>
      </c>
      <c r="BB394" s="286" t="n">
        <f aca="false">IFERROR(SUMIF($AO$4:$AZ$4, "SME", AO394:AZ394), "")</f>
        <v>0</v>
      </c>
      <c r="BC394" s="286" t="n">
        <f aca="false">IFERROR(SUMIF($Y$4:$AJ$4, "De Minimis", AO394:AZ394), "")</f>
        <v>0</v>
      </c>
      <c r="BD394" s="287"/>
      <c r="BE394" s="288" t="str">
        <f aca="false">IF((SUM(L394:W394)&gt;1),"ERROR","")</f>
        <v/>
      </c>
    </row>
    <row r="395" customFormat="false" ht="15" hidden="false" customHeight="true" outlineLevel="0" collapsed="false">
      <c r="B395" s="333"/>
      <c r="C395" s="334"/>
      <c r="D395" s="333" t="n">
        <f aca="false">D379</f>
        <v>45352</v>
      </c>
      <c r="E395" s="277" t="n">
        <v>0</v>
      </c>
      <c r="F395" s="277" t="n">
        <v>0</v>
      </c>
      <c r="G395" s="277" t="n">
        <f aca="false">SUM(E395:F395)</f>
        <v>0</v>
      </c>
      <c r="H395" s="204"/>
      <c r="I395" s="279" t="n">
        <v>1</v>
      </c>
      <c r="J395" s="280" t="n">
        <f aca="false">1-I395</f>
        <v>0</v>
      </c>
      <c r="K395" s="277"/>
      <c r="L395" s="282"/>
      <c r="M395" s="282"/>
      <c r="N395" s="282"/>
      <c r="O395" s="282"/>
      <c r="P395" s="282"/>
      <c r="Q395" s="282"/>
      <c r="R395" s="282"/>
      <c r="S395" s="282"/>
      <c r="T395" s="282"/>
      <c r="U395" s="282"/>
      <c r="V395" s="282"/>
      <c r="W395" s="282"/>
      <c r="X395" s="283"/>
      <c r="Y395" s="284" t="n">
        <f aca="false">IFERROR(L395*$G395*I$9, "")</f>
        <v>0</v>
      </c>
      <c r="Z395" s="284" t="n">
        <f aca="false">IFERROR(M395*$G395*$I395, "")</f>
        <v>0</v>
      </c>
      <c r="AA395" s="284" t="n">
        <f aca="false">IFERROR(N395*$G395*$I395, "")</f>
        <v>0</v>
      </c>
      <c r="AB395" s="284" t="n">
        <f aca="false">IFERROR(O395*$G395*$I395, "")</f>
        <v>0</v>
      </c>
      <c r="AC395" s="284" t="n">
        <f aca="false">IFERROR(P395*$G395*$I395, "")</f>
        <v>0</v>
      </c>
      <c r="AD395" s="284" t="n">
        <f aca="false">IFERROR(Q395*$G395*$I395, "")</f>
        <v>0</v>
      </c>
      <c r="AE395" s="284" t="n">
        <f aca="false">IFERROR(R395*$G395*$I395, "")</f>
        <v>0</v>
      </c>
      <c r="AF395" s="284" t="n">
        <f aca="false">IFERROR(S395*$G395*$I395, "")</f>
        <v>0</v>
      </c>
      <c r="AG395" s="284" t="n">
        <f aca="false">IFERROR(T395*$G395*$I395, "")</f>
        <v>0</v>
      </c>
      <c r="AH395" s="284" t="n">
        <f aca="false">IFERROR(U395*$G395*$I395, "")</f>
        <v>0</v>
      </c>
      <c r="AI395" s="284" t="n">
        <f aca="false">IFERROR(V395*$G395*$I395, "")</f>
        <v>0</v>
      </c>
      <c r="AJ395" s="284" t="n">
        <f aca="false">IFERROR(W395*$G395*$I395, "")</f>
        <v>0</v>
      </c>
      <c r="AK395" s="286" t="n">
        <f aca="false">IFERROR(SUMIF($Y$4:$AJ$4, "RDEC", Y395:AJ395), "")</f>
        <v>0</v>
      </c>
      <c r="AL395" s="286" t="n">
        <f aca="false">IFERROR(SUMIF($Y$4:$AJ$4, "SME", Y395:AJ395), "")</f>
        <v>0</v>
      </c>
      <c r="AM395" s="286" t="n">
        <f aca="false">IFERROR(SUMIF($Y$4:$AJ$4, "De Minimis", Y395:AJ395), "")</f>
        <v>0</v>
      </c>
      <c r="AN395" s="283"/>
      <c r="AO395" s="284" t="n">
        <f aca="false">IFERROR($G395*$J395*L395, "")</f>
        <v>0</v>
      </c>
      <c r="AP395" s="284" t="n">
        <f aca="false">IFERROR($G395*$J395*M395, "")</f>
        <v>0</v>
      </c>
      <c r="AQ395" s="284" t="n">
        <f aca="false">IFERROR($G395*$J395*N395, "")</f>
        <v>0</v>
      </c>
      <c r="AR395" s="284" t="n">
        <f aca="false">IFERROR($G395*$J395*O395, "")</f>
        <v>0</v>
      </c>
      <c r="AS395" s="284" t="n">
        <f aca="false">IFERROR($G395*$J395*P395, "")</f>
        <v>0</v>
      </c>
      <c r="AT395" s="284" t="n">
        <f aca="false">IFERROR($G395*$J395*Q395, "")</f>
        <v>0</v>
      </c>
      <c r="AU395" s="284" t="n">
        <f aca="false">IFERROR($G395*$J395*R395, "")</f>
        <v>0</v>
      </c>
      <c r="AV395" s="284" t="n">
        <f aca="false">IFERROR($G395*$J395*S395, "")</f>
        <v>0</v>
      </c>
      <c r="AW395" s="284" t="n">
        <f aca="false">IFERROR($G395*$J395*T395, "")</f>
        <v>0</v>
      </c>
      <c r="AX395" s="284" t="n">
        <f aca="false">IFERROR($G395*$J395*U395, "")</f>
        <v>0</v>
      </c>
      <c r="AY395" s="284" t="n">
        <f aca="false">IFERROR($G395*$J395*V395, "")</f>
        <v>0</v>
      </c>
      <c r="AZ395" s="284" t="n">
        <f aca="false">IFERROR($G395*$J395*W395, "")</f>
        <v>0</v>
      </c>
      <c r="BA395" s="286" t="n">
        <f aca="false">IFERROR(SUMIF($AO$4:$AZ$4, "RDEC", AO395:AZ395), "")</f>
        <v>0</v>
      </c>
      <c r="BB395" s="286" t="n">
        <f aca="false">IFERROR(SUMIF($AO$4:$AZ$4, "SME", AO395:AZ395), "")</f>
        <v>0</v>
      </c>
      <c r="BC395" s="286" t="n">
        <f aca="false">IFERROR(SUMIF($Y$4:$AJ$4, "De Minimis", AO395:AZ395), "")</f>
        <v>0</v>
      </c>
      <c r="BD395" s="287"/>
      <c r="BE395" s="288" t="str">
        <f aca="false">IF((SUM(L395:W395)&gt;1),"ERROR","")</f>
        <v/>
      </c>
    </row>
    <row r="396" customFormat="false" ht="15" hidden="false" customHeight="true" outlineLevel="0" collapsed="false">
      <c r="B396" s="333"/>
      <c r="C396" s="334"/>
      <c r="D396" s="333" t="n">
        <f aca="false">D380</f>
        <v>45383</v>
      </c>
      <c r="E396" s="277" t="n">
        <v>0</v>
      </c>
      <c r="F396" s="277" t="n">
        <v>0</v>
      </c>
      <c r="G396" s="277" t="n">
        <f aca="false">SUM(E396:F396)</f>
        <v>0</v>
      </c>
      <c r="H396" s="204"/>
      <c r="I396" s="279" t="n">
        <v>1</v>
      </c>
      <c r="J396" s="280" t="n">
        <f aca="false">1-I396</f>
        <v>0</v>
      </c>
      <c r="K396" s="277"/>
      <c r="L396" s="282"/>
      <c r="M396" s="282"/>
      <c r="N396" s="282"/>
      <c r="O396" s="282"/>
      <c r="P396" s="282"/>
      <c r="Q396" s="282"/>
      <c r="R396" s="282"/>
      <c r="S396" s="282"/>
      <c r="T396" s="282"/>
      <c r="U396" s="282"/>
      <c r="V396" s="282"/>
      <c r="W396" s="282"/>
      <c r="X396" s="283"/>
      <c r="Y396" s="284" t="n">
        <f aca="false">IFERROR(L396*$G396*I$9, "")</f>
        <v>0</v>
      </c>
      <c r="Z396" s="284" t="n">
        <f aca="false">IFERROR(M396*$G396*$I396, "")</f>
        <v>0</v>
      </c>
      <c r="AA396" s="284" t="n">
        <f aca="false">IFERROR(N396*$G396*$I396, "")</f>
        <v>0</v>
      </c>
      <c r="AB396" s="284" t="n">
        <f aca="false">IFERROR(O396*$G396*$I396, "")</f>
        <v>0</v>
      </c>
      <c r="AC396" s="284" t="n">
        <f aca="false">IFERROR(P396*$G396*$I396, "")</f>
        <v>0</v>
      </c>
      <c r="AD396" s="284" t="n">
        <f aca="false">IFERROR(Q396*$G396*$I396, "")</f>
        <v>0</v>
      </c>
      <c r="AE396" s="284" t="n">
        <f aca="false">IFERROR(R396*$G396*$I396, "")</f>
        <v>0</v>
      </c>
      <c r="AF396" s="284" t="n">
        <f aca="false">IFERROR(S396*$G396*$I396, "")</f>
        <v>0</v>
      </c>
      <c r="AG396" s="284" t="n">
        <f aca="false">IFERROR(T396*$G396*$I396, "")</f>
        <v>0</v>
      </c>
      <c r="AH396" s="284" t="n">
        <f aca="false">IFERROR(U396*$G396*$I396, "")</f>
        <v>0</v>
      </c>
      <c r="AI396" s="284" t="n">
        <f aca="false">IFERROR(V396*$G396*$I396, "")</f>
        <v>0</v>
      </c>
      <c r="AJ396" s="284" t="n">
        <f aca="false">IFERROR(W396*$G396*$I396, "")</f>
        <v>0</v>
      </c>
      <c r="AK396" s="286" t="n">
        <f aca="false">IFERROR(SUMIF($Y$4:$AJ$4, "RDEC", Y396:AJ396), "")</f>
        <v>0</v>
      </c>
      <c r="AL396" s="286" t="n">
        <f aca="false">IFERROR(SUMIF($Y$4:$AJ$4, "SME", Y396:AJ396), "")</f>
        <v>0</v>
      </c>
      <c r="AM396" s="286" t="n">
        <f aca="false">IFERROR(SUMIF($Y$4:$AJ$4, "De Minimis", Y396:AJ396), "")</f>
        <v>0</v>
      </c>
      <c r="AN396" s="283"/>
      <c r="AO396" s="284" t="n">
        <f aca="false">IFERROR($G396*$J396*L396, "")</f>
        <v>0</v>
      </c>
      <c r="AP396" s="284" t="n">
        <f aca="false">IFERROR($G396*$J396*M396, "")</f>
        <v>0</v>
      </c>
      <c r="AQ396" s="284" t="n">
        <f aca="false">IFERROR($G396*$J396*N396, "")</f>
        <v>0</v>
      </c>
      <c r="AR396" s="284" t="n">
        <f aca="false">IFERROR($G396*$J396*O396, "")</f>
        <v>0</v>
      </c>
      <c r="AS396" s="284" t="n">
        <f aca="false">IFERROR($G396*$J396*P396, "")</f>
        <v>0</v>
      </c>
      <c r="AT396" s="284" t="n">
        <f aca="false">IFERROR($G396*$J396*Q396, "")</f>
        <v>0</v>
      </c>
      <c r="AU396" s="284" t="n">
        <f aca="false">IFERROR($G396*$J396*R396, "")</f>
        <v>0</v>
      </c>
      <c r="AV396" s="284" t="n">
        <f aca="false">IFERROR($G396*$J396*S396, "")</f>
        <v>0</v>
      </c>
      <c r="AW396" s="284" t="n">
        <f aca="false">IFERROR($G396*$J396*T396, "")</f>
        <v>0</v>
      </c>
      <c r="AX396" s="284" t="n">
        <f aca="false">IFERROR($G396*$J396*U396, "")</f>
        <v>0</v>
      </c>
      <c r="AY396" s="284" t="n">
        <f aca="false">IFERROR($G396*$J396*V396, "")</f>
        <v>0</v>
      </c>
      <c r="AZ396" s="284" t="n">
        <f aca="false">IFERROR($G396*$J396*W396, "")</f>
        <v>0</v>
      </c>
      <c r="BA396" s="286" t="n">
        <f aca="false">IFERROR(SUMIF($AO$4:$AZ$4, "RDEC", AO396:AZ396), "")</f>
        <v>0</v>
      </c>
      <c r="BB396" s="286" t="n">
        <f aca="false">IFERROR(SUMIF($AO$4:$AZ$4, "SME", AO396:AZ396), "")</f>
        <v>0</v>
      </c>
      <c r="BC396" s="286" t="n">
        <f aca="false">IFERROR(SUMIF($Y$4:$AJ$4, "De Minimis", AO396:AZ396), "")</f>
        <v>0</v>
      </c>
      <c r="BD396" s="287"/>
      <c r="BE396" s="288" t="str">
        <f aca="false">IF((SUM(L396:W396)&gt;1),"ERROR","")</f>
        <v/>
      </c>
    </row>
    <row r="397" customFormat="false" ht="15" hidden="false" customHeight="true" outlineLevel="0" collapsed="false">
      <c r="B397" s="333"/>
      <c r="C397" s="334"/>
      <c r="D397" s="333" t="n">
        <f aca="false">D381</f>
        <v>45413</v>
      </c>
      <c r="E397" s="277" t="n">
        <v>0</v>
      </c>
      <c r="F397" s="277" t="n">
        <v>0</v>
      </c>
      <c r="G397" s="277" t="n">
        <f aca="false">SUM(E397:F397)</f>
        <v>0</v>
      </c>
      <c r="H397" s="204"/>
      <c r="I397" s="279" t="n">
        <v>1</v>
      </c>
      <c r="J397" s="280" t="n">
        <f aca="false">1-I397</f>
        <v>0</v>
      </c>
      <c r="K397" s="277"/>
      <c r="L397" s="282"/>
      <c r="M397" s="282"/>
      <c r="N397" s="282"/>
      <c r="O397" s="282"/>
      <c r="P397" s="282"/>
      <c r="Q397" s="282"/>
      <c r="R397" s="282"/>
      <c r="S397" s="282"/>
      <c r="T397" s="282"/>
      <c r="U397" s="282"/>
      <c r="V397" s="282"/>
      <c r="W397" s="282"/>
      <c r="X397" s="283"/>
      <c r="Y397" s="284" t="n">
        <f aca="false">IFERROR(L397*$G397*I$9, "")</f>
        <v>0</v>
      </c>
      <c r="Z397" s="284" t="n">
        <f aca="false">IFERROR(M397*$G397*$I397, "")</f>
        <v>0</v>
      </c>
      <c r="AA397" s="284" t="n">
        <f aca="false">IFERROR(N397*$G397*$I397, "")</f>
        <v>0</v>
      </c>
      <c r="AB397" s="284" t="n">
        <f aca="false">IFERROR(O397*$G397*$I397, "")</f>
        <v>0</v>
      </c>
      <c r="AC397" s="284" t="n">
        <f aca="false">IFERROR(P397*$G397*$I397, "")</f>
        <v>0</v>
      </c>
      <c r="AD397" s="284" t="n">
        <f aca="false">IFERROR(Q397*$G397*$I397, "")</f>
        <v>0</v>
      </c>
      <c r="AE397" s="284" t="n">
        <f aca="false">IFERROR(R397*$G397*$I397, "")</f>
        <v>0</v>
      </c>
      <c r="AF397" s="284" t="n">
        <f aca="false">IFERROR(S397*$G397*$I397, "")</f>
        <v>0</v>
      </c>
      <c r="AG397" s="284" t="n">
        <f aca="false">IFERROR(T397*$G397*$I397, "")</f>
        <v>0</v>
      </c>
      <c r="AH397" s="284" t="n">
        <f aca="false">IFERROR(U397*$G397*$I397, "")</f>
        <v>0</v>
      </c>
      <c r="AI397" s="284" t="n">
        <f aca="false">IFERROR(V397*$G397*$I397, "")</f>
        <v>0</v>
      </c>
      <c r="AJ397" s="284" t="n">
        <f aca="false">IFERROR(W397*$G397*$I397, "")</f>
        <v>0</v>
      </c>
      <c r="AK397" s="286" t="n">
        <f aca="false">IFERROR(SUMIF($Y$4:$AJ$4, "RDEC", Y397:AJ397), "")</f>
        <v>0</v>
      </c>
      <c r="AL397" s="286" t="n">
        <f aca="false">IFERROR(SUMIF($Y$4:$AJ$4, "SME", Y397:AJ397), "")</f>
        <v>0</v>
      </c>
      <c r="AM397" s="286" t="n">
        <f aca="false">IFERROR(SUMIF($Y$4:$AJ$4, "De Minimis", Y397:AJ397), "")</f>
        <v>0</v>
      </c>
      <c r="AN397" s="283"/>
      <c r="AO397" s="284" t="n">
        <f aca="false">IFERROR($G397*$J397*L397, "")</f>
        <v>0</v>
      </c>
      <c r="AP397" s="284" t="n">
        <f aca="false">IFERROR($G397*$J397*M397, "")</f>
        <v>0</v>
      </c>
      <c r="AQ397" s="284" t="n">
        <f aca="false">IFERROR($G397*$J397*N397, "")</f>
        <v>0</v>
      </c>
      <c r="AR397" s="284" t="n">
        <f aca="false">IFERROR($G397*$J397*O397, "")</f>
        <v>0</v>
      </c>
      <c r="AS397" s="284" t="n">
        <f aca="false">IFERROR($G397*$J397*P397, "")</f>
        <v>0</v>
      </c>
      <c r="AT397" s="284" t="n">
        <f aca="false">IFERROR($G397*$J397*Q397, "")</f>
        <v>0</v>
      </c>
      <c r="AU397" s="284" t="n">
        <f aca="false">IFERROR($G397*$J397*R397, "")</f>
        <v>0</v>
      </c>
      <c r="AV397" s="284" t="n">
        <f aca="false">IFERROR($G397*$J397*S397, "")</f>
        <v>0</v>
      </c>
      <c r="AW397" s="284" t="n">
        <f aca="false">IFERROR($G397*$J397*T397, "")</f>
        <v>0</v>
      </c>
      <c r="AX397" s="284" t="n">
        <f aca="false">IFERROR($G397*$J397*U397, "")</f>
        <v>0</v>
      </c>
      <c r="AY397" s="284" t="n">
        <f aca="false">IFERROR($G397*$J397*V397, "")</f>
        <v>0</v>
      </c>
      <c r="AZ397" s="284" t="n">
        <f aca="false">IFERROR($G397*$J397*W397, "")</f>
        <v>0</v>
      </c>
      <c r="BA397" s="286" t="n">
        <f aca="false">IFERROR(SUMIF($AO$4:$AZ$4, "RDEC", AO397:AZ397), "")</f>
        <v>0</v>
      </c>
      <c r="BB397" s="286" t="n">
        <f aca="false">IFERROR(SUMIF($AO$4:$AZ$4, "SME", AO397:AZ397), "")</f>
        <v>0</v>
      </c>
      <c r="BC397" s="286" t="n">
        <f aca="false">IFERROR(SUMIF($Y$4:$AJ$4, "De Minimis", AO397:AZ397), "")</f>
        <v>0</v>
      </c>
      <c r="BD397" s="287"/>
      <c r="BE397" s="288" t="str">
        <f aca="false">IF((SUM(L397:W397)&gt;1),"ERROR","")</f>
        <v/>
      </c>
    </row>
    <row r="398" customFormat="false" ht="15" hidden="false" customHeight="true" outlineLevel="0" collapsed="false">
      <c r="B398" s="333"/>
      <c r="C398" s="334"/>
      <c r="D398" s="333" t="n">
        <f aca="false">D382</f>
        <v>45444</v>
      </c>
      <c r="E398" s="277" t="n">
        <v>0</v>
      </c>
      <c r="F398" s="277" t="n">
        <v>0</v>
      </c>
      <c r="G398" s="277" t="n">
        <f aca="false">SUM(E398:F398)</f>
        <v>0</v>
      </c>
      <c r="H398" s="204"/>
      <c r="I398" s="279" t="n">
        <v>1</v>
      </c>
      <c r="J398" s="280" t="n">
        <f aca="false">1-I398</f>
        <v>0</v>
      </c>
      <c r="K398" s="277"/>
      <c r="L398" s="282"/>
      <c r="M398" s="282"/>
      <c r="N398" s="282"/>
      <c r="O398" s="282"/>
      <c r="P398" s="282"/>
      <c r="Q398" s="282"/>
      <c r="R398" s="282"/>
      <c r="S398" s="282"/>
      <c r="T398" s="282"/>
      <c r="U398" s="282"/>
      <c r="V398" s="282"/>
      <c r="W398" s="282"/>
      <c r="X398" s="283"/>
      <c r="Y398" s="284" t="n">
        <f aca="false">IFERROR(L398*$G398*I$9, "")</f>
        <v>0</v>
      </c>
      <c r="Z398" s="284" t="n">
        <f aca="false">IFERROR(M398*$G398*$I398, "")</f>
        <v>0</v>
      </c>
      <c r="AA398" s="284" t="n">
        <f aca="false">IFERROR(N398*$G398*$I398, "")</f>
        <v>0</v>
      </c>
      <c r="AB398" s="284" t="n">
        <f aca="false">IFERROR(O398*$G398*$I398, "")</f>
        <v>0</v>
      </c>
      <c r="AC398" s="284" t="n">
        <f aca="false">IFERROR(P398*$G398*$I398, "")</f>
        <v>0</v>
      </c>
      <c r="AD398" s="284" t="n">
        <f aca="false">IFERROR(Q398*$G398*$I398, "")</f>
        <v>0</v>
      </c>
      <c r="AE398" s="284" t="n">
        <f aca="false">IFERROR(R398*$G398*$I398, "")</f>
        <v>0</v>
      </c>
      <c r="AF398" s="284" t="n">
        <f aca="false">IFERROR(S398*$G398*$I398, "")</f>
        <v>0</v>
      </c>
      <c r="AG398" s="284" t="n">
        <f aca="false">IFERROR(T398*$G398*$I398, "")</f>
        <v>0</v>
      </c>
      <c r="AH398" s="284" t="n">
        <f aca="false">IFERROR(U398*$G398*$I398, "")</f>
        <v>0</v>
      </c>
      <c r="AI398" s="284" t="n">
        <f aca="false">IFERROR(V398*$G398*$I398, "")</f>
        <v>0</v>
      </c>
      <c r="AJ398" s="284" t="n">
        <f aca="false">IFERROR(W398*$G398*$I398, "")</f>
        <v>0</v>
      </c>
      <c r="AK398" s="286" t="n">
        <f aca="false">IFERROR(SUMIF($Y$4:$AJ$4, "RDEC", Y398:AJ398), "")</f>
        <v>0</v>
      </c>
      <c r="AL398" s="286" t="n">
        <f aca="false">IFERROR(SUMIF($Y$4:$AJ$4, "SME", Y398:AJ398), "")</f>
        <v>0</v>
      </c>
      <c r="AM398" s="286" t="n">
        <f aca="false">IFERROR(SUMIF($Y$4:$AJ$4, "De Minimis", Y398:AJ398), "")</f>
        <v>0</v>
      </c>
      <c r="AN398" s="283"/>
      <c r="AO398" s="284" t="n">
        <f aca="false">IFERROR($G398*$J398*L398, "")</f>
        <v>0</v>
      </c>
      <c r="AP398" s="284" t="n">
        <f aca="false">IFERROR($G398*$J398*M398, "")</f>
        <v>0</v>
      </c>
      <c r="AQ398" s="284" t="n">
        <f aca="false">IFERROR($G398*$J398*N398, "")</f>
        <v>0</v>
      </c>
      <c r="AR398" s="284" t="n">
        <f aca="false">IFERROR($G398*$J398*O398, "")</f>
        <v>0</v>
      </c>
      <c r="AS398" s="284" t="n">
        <f aca="false">IFERROR($G398*$J398*P398, "")</f>
        <v>0</v>
      </c>
      <c r="AT398" s="284" t="n">
        <f aca="false">IFERROR($G398*$J398*Q398, "")</f>
        <v>0</v>
      </c>
      <c r="AU398" s="284" t="n">
        <f aca="false">IFERROR($G398*$J398*R398, "")</f>
        <v>0</v>
      </c>
      <c r="AV398" s="284" t="n">
        <f aca="false">IFERROR($G398*$J398*S398, "")</f>
        <v>0</v>
      </c>
      <c r="AW398" s="284" t="n">
        <f aca="false">IFERROR($G398*$J398*T398, "")</f>
        <v>0</v>
      </c>
      <c r="AX398" s="284" t="n">
        <f aca="false">IFERROR($G398*$J398*U398, "")</f>
        <v>0</v>
      </c>
      <c r="AY398" s="284" t="n">
        <f aca="false">IFERROR($G398*$J398*V398, "")</f>
        <v>0</v>
      </c>
      <c r="AZ398" s="284" t="n">
        <f aca="false">IFERROR($G398*$J398*W398, "")</f>
        <v>0</v>
      </c>
      <c r="BA398" s="286" t="n">
        <f aca="false">IFERROR(SUMIF($AO$4:$AZ$4, "RDEC", AO398:AZ398), "")</f>
        <v>0</v>
      </c>
      <c r="BB398" s="286" t="n">
        <f aca="false">IFERROR(SUMIF($AO$4:$AZ$4, "SME", AO398:AZ398), "")</f>
        <v>0</v>
      </c>
      <c r="BC398" s="286" t="n">
        <f aca="false">IFERROR(SUMIF($Y$4:$AJ$4, "De Minimis", AO398:AZ398), "")</f>
        <v>0</v>
      </c>
      <c r="BD398" s="287"/>
      <c r="BE398" s="288" t="str">
        <f aca="false">IF((SUM(L398:W398)&gt;1),"ERROR","")</f>
        <v/>
      </c>
    </row>
    <row r="399" customFormat="false" ht="15" hidden="false" customHeight="true" outlineLevel="0" collapsed="false">
      <c r="B399" s="333"/>
      <c r="C399" s="334"/>
      <c r="D399" s="333" t="n">
        <f aca="false">D383</f>
        <v>45474</v>
      </c>
      <c r="E399" s="277" t="n">
        <v>0</v>
      </c>
      <c r="F399" s="277" t="n">
        <v>0</v>
      </c>
      <c r="G399" s="277" t="n">
        <f aca="false">SUM(E399:F399)</f>
        <v>0</v>
      </c>
      <c r="H399" s="204"/>
      <c r="I399" s="279" t="n">
        <v>1</v>
      </c>
      <c r="J399" s="280" t="n">
        <f aca="false">1-I399</f>
        <v>0</v>
      </c>
      <c r="K399" s="277"/>
      <c r="L399" s="282"/>
      <c r="M399" s="282"/>
      <c r="N399" s="282"/>
      <c r="O399" s="282"/>
      <c r="P399" s="282"/>
      <c r="Q399" s="282"/>
      <c r="R399" s="282"/>
      <c r="S399" s="282"/>
      <c r="T399" s="282"/>
      <c r="U399" s="282"/>
      <c r="V399" s="282"/>
      <c r="W399" s="282"/>
      <c r="X399" s="283"/>
      <c r="Y399" s="284" t="n">
        <f aca="false">IFERROR(L399*$G399*I$9, "")</f>
        <v>0</v>
      </c>
      <c r="Z399" s="284" t="n">
        <f aca="false">IFERROR(M399*$G399*$I399, "")</f>
        <v>0</v>
      </c>
      <c r="AA399" s="284" t="n">
        <f aca="false">IFERROR(N399*$G399*$I399, "")</f>
        <v>0</v>
      </c>
      <c r="AB399" s="284" t="n">
        <f aca="false">IFERROR(O399*$G399*$I399, "")</f>
        <v>0</v>
      </c>
      <c r="AC399" s="284" t="n">
        <f aca="false">IFERROR(P399*$G399*$I399, "")</f>
        <v>0</v>
      </c>
      <c r="AD399" s="284" t="n">
        <f aca="false">IFERROR(Q399*$G399*$I399, "")</f>
        <v>0</v>
      </c>
      <c r="AE399" s="284" t="n">
        <f aca="false">IFERROR(R399*$G399*$I399, "")</f>
        <v>0</v>
      </c>
      <c r="AF399" s="284" t="n">
        <f aca="false">IFERROR(S399*$G399*$I399, "")</f>
        <v>0</v>
      </c>
      <c r="AG399" s="284" t="n">
        <f aca="false">IFERROR(T399*$G399*$I399, "")</f>
        <v>0</v>
      </c>
      <c r="AH399" s="284" t="n">
        <f aca="false">IFERROR(U399*$G399*$I399, "")</f>
        <v>0</v>
      </c>
      <c r="AI399" s="284" t="n">
        <f aca="false">IFERROR(V399*$G399*$I399, "")</f>
        <v>0</v>
      </c>
      <c r="AJ399" s="284" t="n">
        <f aca="false">IFERROR(W399*$G399*$I399, "")</f>
        <v>0</v>
      </c>
      <c r="AK399" s="286" t="n">
        <f aca="false">IFERROR(SUMIF($Y$4:$AJ$4, "RDEC", Y399:AJ399), "")</f>
        <v>0</v>
      </c>
      <c r="AL399" s="286" t="n">
        <f aca="false">IFERROR(SUMIF($Y$4:$AJ$4, "SME", Y399:AJ399), "")</f>
        <v>0</v>
      </c>
      <c r="AM399" s="286" t="n">
        <f aca="false">IFERROR(SUMIF($Y$4:$AJ$4, "De Minimis", Y399:AJ399), "")</f>
        <v>0</v>
      </c>
      <c r="AN399" s="283"/>
      <c r="AO399" s="284" t="n">
        <f aca="false">IFERROR($G399*$J399*L399, "")</f>
        <v>0</v>
      </c>
      <c r="AP399" s="284" t="n">
        <f aca="false">IFERROR($G399*$J399*M399, "")</f>
        <v>0</v>
      </c>
      <c r="AQ399" s="284" t="n">
        <f aca="false">IFERROR($G399*$J399*N399, "")</f>
        <v>0</v>
      </c>
      <c r="AR399" s="284" t="n">
        <f aca="false">IFERROR($G399*$J399*O399, "")</f>
        <v>0</v>
      </c>
      <c r="AS399" s="284" t="n">
        <f aca="false">IFERROR($G399*$J399*P399, "")</f>
        <v>0</v>
      </c>
      <c r="AT399" s="284" t="n">
        <f aca="false">IFERROR($G399*$J399*Q399, "")</f>
        <v>0</v>
      </c>
      <c r="AU399" s="284" t="n">
        <f aca="false">IFERROR($G399*$J399*R399, "")</f>
        <v>0</v>
      </c>
      <c r="AV399" s="284" t="n">
        <f aca="false">IFERROR($G399*$J399*S399, "")</f>
        <v>0</v>
      </c>
      <c r="AW399" s="284" t="n">
        <f aca="false">IFERROR($G399*$J399*T399, "")</f>
        <v>0</v>
      </c>
      <c r="AX399" s="284" t="n">
        <f aca="false">IFERROR($G399*$J399*U399, "")</f>
        <v>0</v>
      </c>
      <c r="AY399" s="284" t="n">
        <f aca="false">IFERROR($G399*$J399*V399, "")</f>
        <v>0</v>
      </c>
      <c r="AZ399" s="284" t="n">
        <f aca="false">IFERROR($G399*$J399*W399, "")</f>
        <v>0</v>
      </c>
      <c r="BA399" s="286" t="n">
        <f aca="false">IFERROR(SUMIF($AO$4:$AZ$4, "RDEC", AO399:AZ399), "")</f>
        <v>0</v>
      </c>
      <c r="BB399" s="286" t="n">
        <f aca="false">IFERROR(SUMIF($AO$4:$AZ$4, "SME", AO399:AZ399), "")</f>
        <v>0</v>
      </c>
      <c r="BC399" s="286" t="n">
        <f aca="false">IFERROR(SUMIF($Y$4:$AJ$4, "De Minimis", AO399:AZ399), "")</f>
        <v>0</v>
      </c>
      <c r="BD399" s="287"/>
      <c r="BE399" s="288" t="str">
        <f aca="false">IF((SUM(L399:W399)&gt;1),"ERROR","")</f>
        <v/>
      </c>
    </row>
    <row r="400" customFormat="false" ht="15" hidden="false" customHeight="true" outlineLevel="0" collapsed="false">
      <c r="B400" s="333"/>
      <c r="C400" s="334"/>
      <c r="D400" s="333" t="n">
        <f aca="false">D384</f>
        <v>45505</v>
      </c>
      <c r="E400" s="277" t="n">
        <v>0</v>
      </c>
      <c r="F400" s="277" t="n">
        <v>0</v>
      </c>
      <c r="G400" s="277" t="n">
        <f aca="false">SUM(E400:F400)</f>
        <v>0</v>
      </c>
      <c r="H400" s="204"/>
      <c r="I400" s="279" t="n">
        <v>1</v>
      </c>
      <c r="J400" s="280" t="n">
        <f aca="false">1-I400</f>
        <v>0</v>
      </c>
      <c r="K400" s="277"/>
      <c r="L400" s="282"/>
      <c r="M400" s="282"/>
      <c r="N400" s="282"/>
      <c r="O400" s="282"/>
      <c r="P400" s="282"/>
      <c r="Q400" s="282"/>
      <c r="R400" s="282"/>
      <c r="S400" s="282"/>
      <c r="T400" s="282"/>
      <c r="U400" s="282"/>
      <c r="V400" s="282"/>
      <c r="W400" s="282"/>
      <c r="X400" s="283"/>
      <c r="Y400" s="284" t="n">
        <f aca="false">IFERROR(L400*$G400*I$9, "")</f>
        <v>0</v>
      </c>
      <c r="Z400" s="284" t="n">
        <f aca="false">IFERROR(M400*$G400*$I400, "")</f>
        <v>0</v>
      </c>
      <c r="AA400" s="284" t="n">
        <f aca="false">IFERROR(N400*$G400*$I400, "")</f>
        <v>0</v>
      </c>
      <c r="AB400" s="284" t="n">
        <f aca="false">IFERROR(O400*$G400*$I400, "")</f>
        <v>0</v>
      </c>
      <c r="AC400" s="284" t="n">
        <f aca="false">IFERROR(P400*$G400*$I400, "")</f>
        <v>0</v>
      </c>
      <c r="AD400" s="284" t="n">
        <f aca="false">IFERROR(Q400*$G400*$I400, "")</f>
        <v>0</v>
      </c>
      <c r="AE400" s="284" t="n">
        <f aca="false">IFERROR(R400*$G400*$I400, "")</f>
        <v>0</v>
      </c>
      <c r="AF400" s="284" t="n">
        <f aca="false">IFERROR(S400*$G400*$I400, "")</f>
        <v>0</v>
      </c>
      <c r="AG400" s="284" t="n">
        <f aca="false">IFERROR(T400*$G400*$I400, "")</f>
        <v>0</v>
      </c>
      <c r="AH400" s="284" t="n">
        <f aca="false">IFERROR(U400*$G400*$I400, "")</f>
        <v>0</v>
      </c>
      <c r="AI400" s="284" t="n">
        <f aca="false">IFERROR(V400*$G400*$I400, "")</f>
        <v>0</v>
      </c>
      <c r="AJ400" s="284" t="n">
        <f aca="false">IFERROR(W400*$G400*$I400, "")</f>
        <v>0</v>
      </c>
      <c r="AK400" s="286" t="n">
        <f aca="false">IFERROR(SUMIF($Y$4:$AJ$4, "RDEC", Y400:AJ400), "")</f>
        <v>0</v>
      </c>
      <c r="AL400" s="286" t="n">
        <f aca="false">IFERROR(SUMIF($Y$4:$AJ$4, "SME", Y400:AJ400), "")</f>
        <v>0</v>
      </c>
      <c r="AM400" s="286" t="n">
        <f aca="false">IFERROR(SUMIF($Y$4:$AJ$4, "De Minimis", Y400:AJ400), "")</f>
        <v>0</v>
      </c>
      <c r="AN400" s="283"/>
      <c r="AO400" s="284" t="n">
        <f aca="false">IFERROR($G400*$J400*L400, "")</f>
        <v>0</v>
      </c>
      <c r="AP400" s="284" t="n">
        <f aca="false">IFERROR($G400*$J400*M400, "")</f>
        <v>0</v>
      </c>
      <c r="AQ400" s="284" t="n">
        <f aca="false">IFERROR($G400*$J400*N400, "")</f>
        <v>0</v>
      </c>
      <c r="AR400" s="284" t="n">
        <f aca="false">IFERROR($G400*$J400*O400, "")</f>
        <v>0</v>
      </c>
      <c r="AS400" s="284" t="n">
        <f aca="false">IFERROR($G400*$J400*P400, "")</f>
        <v>0</v>
      </c>
      <c r="AT400" s="284" t="n">
        <f aca="false">IFERROR($G400*$J400*Q400, "")</f>
        <v>0</v>
      </c>
      <c r="AU400" s="284" t="n">
        <f aca="false">IFERROR($G400*$J400*R400, "")</f>
        <v>0</v>
      </c>
      <c r="AV400" s="284" t="n">
        <f aca="false">IFERROR($G400*$J400*S400, "")</f>
        <v>0</v>
      </c>
      <c r="AW400" s="284" t="n">
        <f aca="false">IFERROR($G400*$J400*T400, "")</f>
        <v>0</v>
      </c>
      <c r="AX400" s="284" t="n">
        <f aca="false">IFERROR($G400*$J400*U400, "")</f>
        <v>0</v>
      </c>
      <c r="AY400" s="284" t="n">
        <f aca="false">IFERROR($G400*$J400*V400, "")</f>
        <v>0</v>
      </c>
      <c r="AZ400" s="284" t="n">
        <f aca="false">IFERROR($G400*$J400*W400, "")</f>
        <v>0</v>
      </c>
      <c r="BA400" s="286" t="n">
        <f aca="false">IFERROR(SUMIF($AO$4:$AZ$4, "RDEC", AO400:AZ400), "")</f>
        <v>0</v>
      </c>
      <c r="BB400" s="286" t="n">
        <f aca="false">IFERROR(SUMIF($AO$4:$AZ$4, "SME", AO400:AZ400), "")</f>
        <v>0</v>
      </c>
      <c r="BC400" s="286" t="n">
        <f aca="false">IFERROR(SUMIF($Y$4:$AJ$4, "De Minimis", AO400:AZ400), "")</f>
        <v>0</v>
      </c>
      <c r="BD400" s="287"/>
      <c r="BE400" s="288" t="str">
        <f aca="false">IF((SUM(L400:W400)&gt;1),"ERROR","")</f>
        <v/>
      </c>
    </row>
    <row r="401" customFormat="false" ht="15" hidden="false" customHeight="true" outlineLevel="0" collapsed="false">
      <c r="B401" s="333"/>
      <c r="C401" s="334"/>
      <c r="D401" s="333" t="n">
        <f aca="false">D385</f>
        <v>45536</v>
      </c>
      <c r="E401" s="277" t="n">
        <v>0</v>
      </c>
      <c r="F401" s="277" t="n">
        <v>0</v>
      </c>
      <c r="G401" s="277" t="n">
        <f aca="false">SUM(E401:F401)</f>
        <v>0</v>
      </c>
      <c r="H401" s="204"/>
      <c r="I401" s="279" t="n">
        <v>1</v>
      </c>
      <c r="J401" s="280" t="n">
        <f aca="false">1-I401</f>
        <v>0</v>
      </c>
      <c r="K401" s="277"/>
      <c r="L401" s="282"/>
      <c r="M401" s="282"/>
      <c r="N401" s="282"/>
      <c r="O401" s="282"/>
      <c r="P401" s="282"/>
      <c r="Q401" s="282"/>
      <c r="R401" s="282"/>
      <c r="S401" s="282"/>
      <c r="T401" s="282"/>
      <c r="U401" s="282"/>
      <c r="V401" s="282"/>
      <c r="W401" s="282"/>
      <c r="X401" s="283"/>
      <c r="Y401" s="284" t="n">
        <f aca="false">IFERROR(L401*$G401*I$9, "")</f>
        <v>0</v>
      </c>
      <c r="Z401" s="284" t="n">
        <f aca="false">IFERROR(M401*$G401*$I401, "")</f>
        <v>0</v>
      </c>
      <c r="AA401" s="284" t="n">
        <f aca="false">IFERROR(N401*$G401*$I401, "")</f>
        <v>0</v>
      </c>
      <c r="AB401" s="284" t="n">
        <f aca="false">IFERROR(O401*$G401*$I401, "")</f>
        <v>0</v>
      </c>
      <c r="AC401" s="284" t="n">
        <f aca="false">IFERROR(P401*$G401*$I401, "")</f>
        <v>0</v>
      </c>
      <c r="AD401" s="284" t="n">
        <f aca="false">IFERROR(Q401*$G401*$I401, "")</f>
        <v>0</v>
      </c>
      <c r="AE401" s="284" t="n">
        <f aca="false">IFERROR(R401*$G401*$I401, "")</f>
        <v>0</v>
      </c>
      <c r="AF401" s="284" t="n">
        <f aca="false">IFERROR(S401*$G401*$I401, "")</f>
        <v>0</v>
      </c>
      <c r="AG401" s="284" t="n">
        <f aca="false">IFERROR(T401*$G401*$I401, "")</f>
        <v>0</v>
      </c>
      <c r="AH401" s="284" t="n">
        <f aca="false">IFERROR(U401*$G401*$I401, "")</f>
        <v>0</v>
      </c>
      <c r="AI401" s="284" t="n">
        <f aca="false">IFERROR(V401*$G401*$I401, "")</f>
        <v>0</v>
      </c>
      <c r="AJ401" s="284" t="n">
        <f aca="false">IFERROR(W401*$G401*$I401, "")</f>
        <v>0</v>
      </c>
      <c r="AK401" s="286" t="n">
        <f aca="false">IFERROR(SUMIF($Y$4:$AJ$4, "RDEC", Y401:AJ401), "")</f>
        <v>0</v>
      </c>
      <c r="AL401" s="286" t="n">
        <f aca="false">IFERROR(SUMIF($Y$4:$AJ$4, "SME", Y401:AJ401), "")</f>
        <v>0</v>
      </c>
      <c r="AM401" s="286" t="n">
        <f aca="false">IFERROR(SUMIF($Y$4:$AJ$4, "De Minimis", Y401:AJ401), "")</f>
        <v>0</v>
      </c>
      <c r="AN401" s="283"/>
      <c r="AO401" s="284" t="n">
        <f aca="false">IFERROR($G401*$J401*L401, "")</f>
        <v>0</v>
      </c>
      <c r="AP401" s="284" t="n">
        <f aca="false">IFERROR($G401*$J401*M401, "")</f>
        <v>0</v>
      </c>
      <c r="AQ401" s="284" t="n">
        <f aca="false">IFERROR($G401*$J401*N401, "")</f>
        <v>0</v>
      </c>
      <c r="AR401" s="284" t="n">
        <f aca="false">IFERROR($G401*$J401*O401, "")</f>
        <v>0</v>
      </c>
      <c r="AS401" s="284" t="n">
        <f aca="false">IFERROR($G401*$J401*P401, "")</f>
        <v>0</v>
      </c>
      <c r="AT401" s="284" t="n">
        <f aca="false">IFERROR($G401*$J401*Q401, "")</f>
        <v>0</v>
      </c>
      <c r="AU401" s="284" t="n">
        <f aca="false">IFERROR($G401*$J401*R401, "")</f>
        <v>0</v>
      </c>
      <c r="AV401" s="284" t="n">
        <f aca="false">IFERROR($G401*$J401*S401, "")</f>
        <v>0</v>
      </c>
      <c r="AW401" s="284" t="n">
        <f aca="false">IFERROR($G401*$J401*T401, "")</f>
        <v>0</v>
      </c>
      <c r="AX401" s="284" t="n">
        <f aca="false">IFERROR($G401*$J401*U401, "")</f>
        <v>0</v>
      </c>
      <c r="AY401" s="284" t="n">
        <f aca="false">IFERROR($G401*$J401*V401, "")</f>
        <v>0</v>
      </c>
      <c r="AZ401" s="284" t="n">
        <f aca="false">IFERROR($G401*$J401*W401, "")</f>
        <v>0</v>
      </c>
      <c r="BA401" s="286" t="n">
        <f aca="false">IFERROR(SUMIF($AO$4:$AZ$4, "RDEC", AO401:AZ401), "")</f>
        <v>0</v>
      </c>
      <c r="BB401" s="286" t="n">
        <f aca="false">IFERROR(SUMIF($AO$4:$AZ$4, "SME", AO401:AZ401), "")</f>
        <v>0</v>
      </c>
      <c r="BC401" s="286" t="n">
        <f aca="false">IFERROR(SUMIF($Y$4:$AJ$4, "De Minimis", AO401:AZ401), "")</f>
        <v>0</v>
      </c>
      <c r="BD401" s="287"/>
      <c r="BE401" s="288" t="str">
        <f aca="false">IF((SUM(L401:W401)&gt;1),"ERROR","")</f>
        <v/>
      </c>
    </row>
    <row r="402" customFormat="false" ht="15" hidden="false" customHeight="true" outlineLevel="0" collapsed="false">
      <c r="B402" s="333"/>
      <c r="C402" s="334"/>
      <c r="D402" s="333" t="n">
        <f aca="false">D386</f>
        <v>45566</v>
      </c>
      <c r="E402" s="277" t="n">
        <v>0</v>
      </c>
      <c r="F402" s="277" t="n">
        <v>0</v>
      </c>
      <c r="G402" s="277" t="n">
        <f aca="false">SUM(E402:F402)</f>
        <v>0</v>
      </c>
      <c r="H402" s="204"/>
      <c r="I402" s="279" t="n">
        <v>1</v>
      </c>
      <c r="J402" s="280" t="n">
        <f aca="false">1-I402</f>
        <v>0</v>
      </c>
      <c r="K402" s="277"/>
      <c r="L402" s="282"/>
      <c r="M402" s="282"/>
      <c r="N402" s="282"/>
      <c r="O402" s="282"/>
      <c r="P402" s="282"/>
      <c r="Q402" s="282"/>
      <c r="R402" s="282"/>
      <c r="S402" s="282"/>
      <c r="T402" s="282"/>
      <c r="U402" s="282"/>
      <c r="V402" s="282"/>
      <c r="W402" s="282"/>
      <c r="X402" s="283"/>
      <c r="Y402" s="284" t="n">
        <f aca="false">IFERROR(L402*$G402*I$9, "")</f>
        <v>0</v>
      </c>
      <c r="Z402" s="284" t="n">
        <f aca="false">IFERROR(M402*$G402*$I402, "")</f>
        <v>0</v>
      </c>
      <c r="AA402" s="284" t="n">
        <f aca="false">IFERROR(N402*$G402*$I402, "")</f>
        <v>0</v>
      </c>
      <c r="AB402" s="284" t="n">
        <f aca="false">IFERROR(O402*$G402*$I402, "")</f>
        <v>0</v>
      </c>
      <c r="AC402" s="284" t="n">
        <f aca="false">IFERROR(P402*$G402*$I402, "")</f>
        <v>0</v>
      </c>
      <c r="AD402" s="284" t="n">
        <f aca="false">IFERROR(Q402*$G402*$I402, "")</f>
        <v>0</v>
      </c>
      <c r="AE402" s="284" t="n">
        <f aca="false">IFERROR(R402*$G402*$I402, "")</f>
        <v>0</v>
      </c>
      <c r="AF402" s="284" t="n">
        <f aca="false">IFERROR(S402*$G402*$I402, "")</f>
        <v>0</v>
      </c>
      <c r="AG402" s="284" t="n">
        <f aca="false">IFERROR(T402*$G402*$I402, "")</f>
        <v>0</v>
      </c>
      <c r="AH402" s="284" t="n">
        <f aca="false">IFERROR(U402*$G402*$I402, "")</f>
        <v>0</v>
      </c>
      <c r="AI402" s="284" t="n">
        <f aca="false">IFERROR(V402*$G402*$I402, "")</f>
        <v>0</v>
      </c>
      <c r="AJ402" s="284" t="n">
        <f aca="false">IFERROR(W402*$G402*$I402, "")</f>
        <v>0</v>
      </c>
      <c r="AK402" s="286" t="n">
        <f aca="false">IFERROR(SUMIF($Y$4:$AJ$4, "RDEC", Y402:AJ402), "")</f>
        <v>0</v>
      </c>
      <c r="AL402" s="286" t="n">
        <f aca="false">IFERROR(SUMIF($Y$4:$AJ$4, "SME", Y402:AJ402), "")</f>
        <v>0</v>
      </c>
      <c r="AM402" s="286" t="n">
        <f aca="false">IFERROR(SUMIF($Y$4:$AJ$4, "De Minimis", Y402:AJ402), "")</f>
        <v>0</v>
      </c>
      <c r="AN402" s="283"/>
      <c r="AO402" s="284" t="n">
        <f aca="false">IFERROR($G402*$J402*L402, "")</f>
        <v>0</v>
      </c>
      <c r="AP402" s="284" t="n">
        <f aca="false">IFERROR($G402*$J402*M402, "")</f>
        <v>0</v>
      </c>
      <c r="AQ402" s="284" t="n">
        <f aca="false">IFERROR($G402*$J402*N402, "")</f>
        <v>0</v>
      </c>
      <c r="AR402" s="284" t="n">
        <f aca="false">IFERROR($G402*$J402*O402, "")</f>
        <v>0</v>
      </c>
      <c r="AS402" s="284" t="n">
        <f aca="false">IFERROR($G402*$J402*P402, "")</f>
        <v>0</v>
      </c>
      <c r="AT402" s="284" t="n">
        <f aca="false">IFERROR($G402*$J402*Q402, "")</f>
        <v>0</v>
      </c>
      <c r="AU402" s="284" t="n">
        <f aca="false">IFERROR($G402*$J402*R402, "")</f>
        <v>0</v>
      </c>
      <c r="AV402" s="284" t="n">
        <f aca="false">IFERROR($G402*$J402*S402, "")</f>
        <v>0</v>
      </c>
      <c r="AW402" s="284" t="n">
        <f aca="false">IFERROR($G402*$J402*T402, "")</f>
        <v>0</v>
      </c>
      <c r="AX402" s="284" t="n">
        <f aca="false">IFERROR($G402*$J402*U402, "")</f>
        <v>0</v>
      </c>
      <c r="AY402" s="284" t="n">
        <f aca="false">IFERROR($G402*$J402*V402, "")</f>
        <v>0</v>
      </c>
      <c r="AZ402" s="284" t="n">
        <f aca="false">IFERROR($G402*$J402*W402, "")</f>
        <v>0</v>
      </c>
      <c r="BA402" s="286" t="n">
        <f aca="false">IFERROR(SUMIF($AO$4:$AZ$4, "RDEC", AO402:AZ402), "")</f>
        <v>0</v>
      </c>
      <c r="BB402" s="286" t="n">
        <f aca="false">IFERROR(SUMIF($AO$4:$AZ$4, "SME", AO402:AZ402), "")</f>
        <v>0</v>
      </c>
      <c r="BC402" s="286" t="n">
        <f aca="false">IFERROR(SUMIF($Y$4:$AJ$4, "De Minimis", AO402:AZ402), "")</f>
        <v>0</v>
      </c>
      <c r="BD402" s="287"/>
      <c r="BE402" s="288" t="str">
        <f aca="false">IF((SUM(L402:W402)&gt;1),"ERROR","")</f>
        <v/>
      </c>
    </row>
    <row r="403" customFormat="false" ht="15" hidden="false" customHeight="true" outlineLevel="0" collapsed="false">
      <c r="B403" s="333"/>
      <c r="C403" s="334"/>
      <c r="D403" s="333" t="n">
        <f aca="false">D387</f>
        <v>45597</v>
      </c>
      <c r="E403" s="277" t="n">
        <v>0</v>
      </c>
      <c r="F403" s="277" t="n">
        <v>0</v>
      </c>
      <c r="G403" s="277" t="n">
        <f aca="false">SUM(E403:F403)</f>
        <v>0</v>
      </c>
      <c r="H403" s="204"/>
      <c r="I403" s="279" t="n">
        <v>1</v>
      </c>
      <c r="J403" s="280" t="n">
        <f aca="false">1-I403</f>
        <v>0</v>
      </c>
      <c r="K403" s="277"/>
      <c r="L403" s="282"/>
      <c r="M403" s="282"/>
      <c r="N403" s="282"/>
      <c r="O403" s="282"/>
      <c r="P403" s="282"/>
      <c r="Q403" s="282"/>
      <c r="R403" s="282"/>
      <c r="S403" s="282"/>
      <c r="T403" s="282"/>
      <c r="U403" s="282"/>
      <c r="V403" s="282"/>
      <c r="W403" s="282"/>
      <c r="X403" s="283"/>
      <c r="Y403" s="284" t="n">
        <f aca="false">IFERROR(L403*$G403*I$9, "")</f>
        <v>0</v>
      </c>
      <c r="Z403" s="284" t="n">
        <f aca="false">IFERROR(M403*$G403*$I403, "")</f>
        <v>0</v>
      </c>
      <c r="AA403" s="284" t="n">
        <f aca="false">IFERROR(N403*$G403*$I403, "")</f>
        <v>0</v>
      </c>
      <c r="AB403" s="284" t="n">
        <f aca="false">IFERROR(O403*$G403*$I403, "")</f>
        <v>0</v>
      </c>
      <c r="AC403" s="284" t="n">
        <f aca="false">IFERROR(P403*$G403*$I403, "")</f>
        <v>0</v>
      </c>
      <c r="AD403" s="284" t="n">
        <f aca="false">IFERROR(Q403*$G403*$I403, "")</f>
        <v>0</v>
      </c>
      <c r="AE403" s="284" t="n">
        <f aca="false">IFERROR(R403*$G403*$I403, "")</f>
        <v>0</v>
      </c>
      <c r="AF403" s="284" t="n">
        <f aca="false">IFERROR(S403*$G403*$I403, "")</f>
        <v>0</v>
      </c>
      <c r="AG403" s="284" t="n">
        <f aca="false">IFERROR(T403*$G403*$I403, "")</f>
        <v>0</v>
      </c>
      <c r="AH403" s="284" t="n">
        <f aca="false">IFERROR(U403*$G403*$I403, "")</f>
        <v>0</v>
      </c>
      <c r="AI403" s="284" t="n">
        <f aca="false">IFERROR(V403*$G403*$I403, "")</f>
        <v>0</v>
      </c>
      <c r="AJ403" s="284" t="n">
        <f aca="false">IFERROR(W403*$G403*$I403, "")</f>
        <v>0</v>
      </c>
      <c r="AK403" s="286" t="n">
        <f aca="false">IFERROR(SUMIF($Y$4:$AJ$4, "RDEC", Y403:AJ403), "")</f>
        <v>0</v>
      </c>
      <c r="AL403" s="286" t="n">
        <f aca="false">IFERROR(SUMIF($Y$4:$AJ$4, "SME", Y403:AJ403), "")</f>
        <v>0</v>
      </c>
      <c r="AM403" s="286" t="n">
        <f aca="false">IFERROR(SUMIF($Y$4:$AJ$4, "De Minimis", Y403:AJ403), "")</f>
        <v>0</v>
      </c>
      <c r="AN403" s="283"/>
      <c r="AO403" s="284" t="n">
        <f aca="false">IFERROR($G403*$J403*L403, "")</f>
        <v>0</v>
      </c>
      <c r="AP403" s="284" t="n">
        <f aca="false">IFERROR($G403*$J403*M403, "")</f>
        <v>0</v>
      </c>
      <c r="AQ403" s="284" t="n">
        <f aca="false">IFERROR($G403*$J403*N403, "")</f>
        <v>0</v>
      </c>
      <c r="AR403" s="284" t="n">
        <f aca="false">IFERROR($G403*$J403*O403, "")</f>
        <v>0</v>
      </c>
      <c r="AS403" s="284" t="n">
        <f aca="false">IFERROR($G403*$J403*P403, "")</f>
        <v>0</v>
      </c>
      <c r="AT403" s="284" t="n">
        <f aca="false">IFERROR($G403*$J403*Q403, "")</f>
        <v>0</v>
      </c>
      <c r="AU403" s="284" t="n">
        <f aca="false">IFERROR($G403*$J403*R403, "")</f>
        <v>0</v>
      </c>
      <c r="AV403" s="284" t="n">
        <f aca="false">IFERROR($G403*$J403*S403, "")</f>
        <v>0</v>
      </c>
      <c r="AW403" s="284" t="n">
        <f aca="false">IFERROR($G403*$J403*T403, "")</f>
        <v>0</v>
      </c>
      <c r="AX403" s="284" t="n">
        <f aca="false">IFERROR($G403*$J403*U403, "")</f>
        <v>0</v>
      </c>
      <c r="AY403" s="284" t="n">
        <f aca="false">IFERROR($G403*$J403*V403, "")</f>
        <v>0</v>
      </c>
      <c r="AZ403" s="284" t="n">
        <f aca="false">IFERROR($G403*$J403*W403, "")</f>
        <v>0</v>
      </c>
      <c r="BA403" s="286" t="n">
        <f aca="false">IFERROR(SUMIF($AO$4:$AZ$4, "RDEC", AO403:AZ403), "")</f>
        <v>0</v>
      </c>
      <c r="BB403" s="286" t="n">
        <f aca="false">IFERROR(SUMIF($AO$4:$AZ$4, "SME", AO403:AZ403), "")</f>
        <v>0</v>
      </c>
      <c r="BC403" s="286" t="n">
        <f aca="false">IFERROR(SUMIF($Y$4:$AJ$4, "De Minimis", AO403:AZ403), "")</f>
        <v>0</v>
      </c>
      <c r="BD403" s="287"/>
      <c r="BE403" s="288" t="str">
        <f aca="false">IF((SUM(L403:W403)&gt;1),"ERROR","")</f>
        <v/>
      </c>
    </row>
    <row r="404" customFormat="false" ht="15" hidden="false" customHeight="true" outlineLevel="0" collapsed="false">
      <c r="B404" s="333"/>
      <c r="C404" s="334"/>
      <c r="D404" s="333" t="n">
        <f aca="false">D388</f>
        <v>45627</v>
      </c>
      <c r="E404" s="277" t="n">
        <v>0</v>
      </c>
      <c r="F404" s="277" t="n">
        <v>0</v>
      </c>
      <c r="G404" s="277" t="n">
        <f aca="false">SUM(E404:F404)</f>
        <v>0</v>
      </c>
      <c r="H404" s="300"/>
      <c r="I404" s="289" t="n">
        <v>1</v>
      </c>
      <c r="J404" s="290" t="n">
        <f aca="false">1-I404</f>
        <v>0</v>
      </c>
      <c r="K404" s="300"/>
      <c r="L404" s="291"/>
      <c r="M404" s="291"/>
      <c r="N404" s="291"/>
      <c r="O404" s="291"/>
      <c r="P404" s="291"/>
      <c r="Q404" s="291"/>
      <c r="R404" s="291"/>
      <c r="S404" s="291"/>
      <c r="T404" s="291"/>
      <c r="U404" s="291"/>
      <c r="V404" s="291"/>
      <c r="W404" s="291"/>
      <c r="X404" s="283"/>
      <c r="Y404" s="284" t="n">
        <f aca="false">IFERROR(L404*$G404*I$9, "")</f>
        <v>0</v>
      </c>
      <c r="Z404" s="284" t="n">
        <f aca="false">IFERROR(M404*$G404*$I404, "")</f>
        <v>0</v>
      </c>
      <c r="AA404" s="284" t="n">
        <f aca="false">IFERROR(N404*$G404*$I404, "")</f>
        <v>0</v>
      </c>
      <c r="AB404" s="284" t="n">
        <f aca="false">IFERROR(O404*$G404*$I404, "")</f>
        <v>0</v>
      </c>
      <c r="AC404" s="284" t="n">
        <f aca="false">IFERROR(P404*$G404*$I404, "")</f>
        <v>0</v>
      </c>
      <c r="AD404" s="284" t="n">
        <f aca="false">IFERROR(Q404*$G404*$I404, "")</f>
        <v>0</v>
      </c>
      <c r="AE404" s="284" t="n">
        <f aca="false">IFERROR(R404*$G404*$I404, "")</f>
        <v>0</v>
      </c>
      <c r="AF404" s="284" t="n">
        <f aca="false">IFERROR(S404*$G404*$I404, "")</f>
        <v>0</v>
      </c>
      <c r="AG404" s="284" t="n">
        <f aca="false">IFERROR(T404*$G404*$I404, "")</f>
        <v>0</v>
      </c>
      <c r="AH404" s="284" t="n">
        <f aca="false">IFERROR(U404*$G404*$I404, "")</f>
        <v>0</v>
      </c>
      <c r="AI404" s="284" t="n">
        <f aca="false">IFERROR(V404*$G404*$I404, "")</f>
        <v>0</v>
      </c>
      <c r="AJ404" s="284" t="n">
        <f aca="false">IFERROR(W404*$G404*$I404, "")</f>
        <v>0</v>
      </c>
      <c r="AK404" s="294" t="n">
        <f aca="false">IFERROR(SUMIF($Y$4:$AJ$4, "RDEC", Y404:AJ404), "")</f>
        <v>0</v>
      </c>
      <c r="AL404" s="294" t="n">
        <f aca="false">IFERROR(SUMIF($Y$4:$AJ$4, "SME", Y404:AJ404), "")</f>
        <v>0</v>
      </c>
      <c r="AM404" s="294" t="n">
        <f aca="false">IFERROR(SUMIF($Y$4:$AJ$4, "De Minimis", Y404:AJ404), "")</f>
        <v>0</v>
      </c>
      <c r="AN404" s="283"/>
      <c r="AO404" s="284" t="n">
        <f aca="false">IFERROR($G404*$J404*L404, "")</f>
        <v>0</v>
      </c>
      <c r="AP404" s="284" t="n">
        <f aca="false">IFERROR($G404*$J404*M404, "")</f>
        <v>0</v>
      </c>
      <c r="AQ404" s="284" t="n">
        <f aca="false">IFERROR($G404*$J404*N404, "")</f>
        <v>0</v>
      </c>
      <c r="AR404" s="284" t="n">
        <f aca="false">IFERROR($G404*$J404*O404, "")</f>
        <v>0</v>
      </c>
      <c r="AS404" s="284" t="n">
        <f aca="false">IFERROR($G404*$J404*P404, "")</f>
        <v>0</v>
      </c>
      <c r="AT404" s="284" t="n">
        <f aca="false">IFERROR($G404*$J404*Q404, "")</f>
        <v>0</v>
      </c>
      <c r="AU404" s="284" t="n">
        <f aca="false">IFERROR($G404*$J404*R404, "")</f>
        <v>0</v>
      </c>
      <c r="AV404" s="284" t="n">
        <f aca="false">IFERROR($G404*$J404*S404, "")</f>
        <v>0</v>
      </c>
      <c r="AW404" s="284" t="n">
        <f aca="false">IFERROR($G404*$J404*T404, "")</f>
        <v>0</v>
      </c>
      <c r="AX404" s="284" t="n">
        <f aca="false">IFERROR($G404*$J404*U404, "")</f>
        <v>0</v>
      </c>
      <c r="AY404" s="284" t="n">
        <f aca="false">IFERROR($G404*$J404*V404, "")</f>
        <v>0</v>
      </c>
      <c r="AZ404" s="284" t="n">
        <f aca="false">IFERROR($G404*$J404*W404, "")</f>
        <v>0</v>
      </c>
      <c r="BA404" s="286" t="n">
        <f aca="false">IFERROR(SUMIF($AO$4:$AZ$4, "RDEC", AO404:AZ404), "")</f>
        <v>0</v>
      </c>
      <c r="BB404" s="286" t="n">
        <f aca="false">IFERROR(SUMIF($AO$4:$AZ$4, "SME", AO404:AZ404), "")</f>
        <v>0</v>
      </c>
      <c r="BC404" s="294" t="n">
        <f aca="false">IFERROR(SUMIF($Y$4:$AJ$4, "De Minimis", AO404:AZ404), "")</f>
        <v>0</v>
      </c>
      <c r="BD404" s="303"/>
      <c r="BE404" s="295" t="str">
        <f aca="false">IF((SUM(L404:W404)&gt;1),"ERROR","")</f>
        <v/>
      </c>
    </row>
    <row r="405" customFormat="false" ht="15" hidden="false" customHeight="true" outlineLevel="0" collapsed="false">
      <c r="B405" s="296"/>
      <c r="D405" s="297" t="s">
        <v>82</v>
      </c>
      <c r="E405" s="299" t="n">
        <f aca="false">SUM(E393:E404)</f>
        <v>0</v>
      </c>
      <c r="F405" s="299" t="n">
        <f aca="false">SUM(F393:F404)</f>
        <v>0</v>
      </c>
      <c r="G405" s="299" t="n">
        <f aca="false">SUM(G393:G404)</f>
        <v>0</v>
      </c>
      <c r="H405" s="300"/>
      <c r="I405" s="301" t="n">
        <f aca="false">AVERAGE(I393:I404)</f>
        <v>1</v>
      </c>
      <c r="J405" s="301" t="n">
        <f aca="false">AVERAGE(J393:J404)</f>
        <v>0</v>
      </c>
      <c r="K405" s="300"/>
      <c r="L405" s="290" t="n">
        <f aca="false">IF(SUM(L393:L404)&gt;0,(Y405/G405),0)</f>
        <v>0</v>
      </c>
      <c r="M405" s="301" t="n">
        <f aca="false">IF(SUM(M393:M404)&gt;0,(Z405/G405),0)</f>
        <v>0</v>
      </c>
      <c r="N405" s="301" t="n">
        <f aca="false">IF(SUM(N393:N404)&gt;0,(AA405/G405),0)</f>
        <v>0</v>
      </c>
      <c r="O405" s="301" t="n">
        <f aca="false">IF(SUM(O393:O404)&gt;0,(AB405/G405),0)</f>
        <v>0</v>
      </c>
      <c r="P405" s="301" t="n">
        <f aca="false">IF(SUM(P393:P404)&gt;0,(AC405/G405),0)</f>
        <v>0</v>
      </c>
      <c r="Q405" s="301" t="n">
        <f aca="false">IF(SUM(Q393:Q404)&gt;0,(AD405/G405),0)</f>
        <v>0</v>
      </c>
      <c r="R405" s="301" t="n">
        <f aca="false">IF(SUM(R393:R404)&gt;0,(AE405/G405),0)</f>
        <v>0</v>
      </c>
      <c r="S405" s="301" t="n">
        <f aca="false">IF(SUM(S393:S404)&gt;0,(AF405/G405),0)</f>
        <v>0</v>
      </c>
      <c r="T405" s="301" t="n">
        <f aca="false">IF(SUM(T393:T404)&gt;0,(AG405/G405),0)</f>
        <v>0</v>
      </c>
      <c r="U405" s="301" t="n">
        <f aca="false">IF(SUM(U393:U404)&gt;0,(AJ405/G405),0)</f>
        <v>0</v>
      </c>
      <c r="V405" s="301" t="n">
        <f aca="false">IF(SUM(V393:V404)&gt;0,(AI405/G405),0)</f>
        <v>0</v>
      </c>
      <c r="W405" s="301" t="n">
        <f aca="false">IF(SUM(W393:W404)&gt;0,(AJ405/G405),0)</f>
        <v>0</v>
      </c>
      <c r="X405" s="283"/>
      <c r="Y405" s="304" t="n">
        <f aca="false">SUM(Y393:Y404)</f>
        <v>0</v>
      </c>
      <c r="Z405" s="304" t="n">
        <f aca="false">SUM(Z393:Z404)</f>
        <v>0</v>
      </c>
      <c r="AA405" s="304" t="n">
        <f aca="false">SUM(AA393:AA404)</f>
        <v>0</v>
      </c>
      <c r="AB405" s="304" t="n">
        <f aca="false">SUM(AB393:AB404)</f>
        <v>0</v>
      </c>
      <c r="AC405" s="304" t="n">
        <f aca="false">SUM(AC393:AC404)</f>
        <v>0</v>
      </c>
      <c r="AD405" s="304" t="n">
        <f aca="false">SUM(AD393:AD404)</f>
        <v>0</v>
      </c>
      <c r="AE405" s="304" t="n">
        <f aca="false">SUM(AE393:AE404)</f>
        <v>0</v>
      </c>
      <c r="AF405" s="304" t="n">
        <f aca="false">SUM(AF393:AF404)</f>
        <v>0</v>
      </c>
      <c r="AG405" s="304" t="n">
        <f aca="false">SUM(AG393:AG404)</f>
        <v>0</v>
      </c>
      <c r="AH405" s="304" t="n">
        <f aca="false">SUM(AH393:AH404)</f>
        <v>0</v>
      </c>
      <c r="AI405" s="304" t="n">
        <f aca="false">SUM(AI393:AI404)</f>
        <v>0</v>
      </c>
      <c r="AJ405" s="304" t="n">
        <f aca="false">SUM(AJ393:AJ404)</f>
        <v>0</v>
      </c>
      <c r="AK405" s="335" t="n">
        <f aca="false">SUM(AK393:AK404)</f>
        <v>0</v>
      </c>
      <c r="AL405" s="336" t="n">
        <f aca="false">SUM(AL393:AL404)</f>
        <v>0</v>
      </c>
      <c r="AM405" s="305" t="n">
        <f aca="false">SUM(AM393:AM404)</f>
        <v>0</v>
      </c>
      <c r="AN405" s="283"/>
      <c r="AO405" s="304" t="n">
        <f aca="false">SUM(AO393:AO404)</f>
        <v>0</v>
      </c>
      <c r="AP405" s="304" t="n">
        <f aca="false">SUM(AP393:AP404)</f>
        <v>0</v>
      </c>
      <c r="AQ405" s="304" t="n">
        <f aca="false">SUM(AQ393:AQ404)</f>
        <v>0</v>
      </c>
      <c r="AR405" s="304" t="n">
        <f aca="false">SUM(AR393:AR404)</f>
        <v>0</v>
      </c>
      <c r="AS405" s="304" t="n">
        <f aca="false">SUM(AS393:AS404)</f>
        <v>0</v>
      </c>
      <c r="AT405" s="304" t="n">
        <f aca="false">SUM(AT393:AT404)</f>
        <v>0</v>
      </c>
      <c r="AU405" s="304" t="n">
        <f aca="false">SUM(AU393:AU404)</f>
        <v>0</v>
      </c>
      <c r="AV405" s="304" t="n">
        <f aca="false">SUM(AV393:AV404)</f>
        <v>0</v>
      </c>
      <c r="AW405" s="304" t="n">
        <f aca="false">SUM(AW393:AW404)</f>
        <v>0</v>
      </c>
      <c r="AX405" s="304" t="n">
        <f aca="false">SUM(AX393:AX404)</f>
        <v>0</v>
      </c>
      <c r="AY405" s="304" t="n">
        <f aca="false">SUM(AY393:AY404)</f>
        <v>0</v>
      </c>
      <c r="AZ405" s="304" t="n">
        <f aca="false">SUM(AZ393:AZ404)</f>
        <v>0</v>
      </c>
      <c r="BA405" s="336" t="n">
        <f aca="false">SUM(BA393:BA404)</f>
        <v>0</v>
      </c>
      <c r="BB405" s="336" t="n">
        <f aca="false">SUM(BB393:BB404)</f>
        <v>0</v>
      </c>
      <c r="BC405" s="305" t="n">
        <f aca="false">SUM(BC393:BC404)</f>
        <v>0</v>
      </c>
      <c r="BD405" s="303"/>
      <c r="BE405" s="337"/>
    </row>
    <row r="406" customFormat="false" ht="15" hidden="false" customHeight="true" outlineLevel="0" collapsed="false">
      <c r="B406" s="296"/>
      <c r="D406" s="297"/>
      <c r="E406" s="300"/>
      <c r="F406" s="300"/>
      <c r="G406" s="300"/>
      <c r="H406" s="241"/>
      <c r="I406" s="302"/>
      <c r="J406" s="302"/>
      <c r="K406" s="241"/>
      <c r="L406" s="259"/>
      <c r="M406" s="259"/>
      <c r="N406" s="259"/>
      <c r="O406" s="259"/>
      <c r="P406" s="259"/>
      <c r="Q406" s="259"/>
      <c r="R406" s="259"/>
      <c r="S406" s="259"/>
      <c r="T406" s="259"/>
      <c r="U406" s="259"/>
      <c r="V406" s="259"/>
      <c r="W406" s="259"/>
      <c r="X406" s="303"/>
      <c r="Y406" s="259"/>
      <c r="Z406" s="303"/>
      <c r="AA406" s="303"/>
      <c r="AB406" s="303"/>
      <c r="AC406" s="303"/>
      <c r="AD406" s="303"/>
      <c r="AE406" s="303"/>
      <c r="AF406" s="303"/>
      <c r="AG406" s="303"/>
      <c r="AH406" s="303"/>
      <c r="AI406" s="303"/>
      <c r="AJ406" s="303"/>
      <c r="AK406" s="303"/>
      <c r="AL406" s="303"/>
      <c r="AM406" s="303"/>
      <c r="AN406" s="303"/>
      <c r="AO406" s="259"/>
      <c r="AP406" s="303"/>
      <c r="AQ406" s="303"/>
      <c r="AR406" s="303"/>
      <c r="AS406" s="303"/>
      <c r="AT406" s="303"/>
      <c r="AU406" s="303"/>
      <c r="AV406" s="303"/>
      <c r="AW406" s="303"/>
      <c r="AX406" s="303"/>
      <c r="AY406" s="303"/>
      <c r="AZ406" s="303"/>
      <c r="BA406" s="303"/>
      <c r="BB406" s="303"/>
      <c r="BC406" s="303"/>
      <c r="BD406" s="268"/>
      <c r="BE406" s="303"/>
    </row>
    <row r="407" customFormat="false" ht="15" hidden="false" customHeight="true" outlineLevel="0" collapsed="false">
      <c r="A407" s="198" t="n">
        <f aca="false">A391+1</f>
        <v>26</v>
      </c>
      <c r="B407" s="266" t="s">
        <v>253</v>
      </c>
      <c r="C407" s="266" t="s">
        <v>253</v>
      </c>
      <c r="D407" s="266"/>
      <c r="E407" s="241"/>
      <c r="F407" s="241"/>
      <c r="G407" s="241"/>
      <c r="H407" s="241"/>
      <c r="I407" s="241"/>
      <c r="J407" s="241"/>
      <c r="K407" s="277"/>
      <c r="L407" s="241"/>
      <c r="M407" s="241"/>
      <c r="N407" s="241"/>
      <c r="O407" s="241"/>
      <c r="P407" s="241"/>
      <c r="Q407" s="241"/>
      <c r="R407" s="241"/>
      <c r="S407" s="241"/>
      <c r="T407" s="241"/>
      <c r="U407" s="241"/>
      <c r="V407" s="241"/>
      <c r="W407" s="241"/>
      <c r="X407" s="259"/>
      <c r="Y407" s="268"/>
      <c r="Z407" s="268"/>
      <c r="AA407" s="268"/>
      <c r="AB407" s="268"/>
      <c r="AC407" s="268"/>
      <c r="AD407" s="268"/>
      <c r="AE407" s="268"/>
      <c r="AF407" s="268"/>
      <c r="AG407" s="268"/>
      <c r="AH407" s="268"/>
      <c r="AI407" s="268"/>
      <c r="AJ407" s="268"/>
      <c r="AK407" s="268"/>
      <c r="AL407" s="268"/>
      <c r="AM407" s="268"/>
      <c r="AN407" s="259"/>
      <c r="AO407" s="268"/>
      <c r="AP407" s="268"/>
      <c r="AQ407" s="268"/>
      <c r="AR407" s="268"/>
      <c r="AS407" s="268"/>
      <c r="AT407" s="268"/>
      <c r="AU407" s="268"/>
      <c r="AV407" s="268"/>
      <c r="AW407" s="268"/>
      <c r="AX407" s="268"/>
      <c r="AY407" s="268"/>
      <c r="AZ407" s="268"/>
      <c r="BA407" s="268"/>
      <c r="BB407" s="268"/>
      <c r="BC407" s="268"/>
      <c r="BD407" s="287"/>
      <c r="BE407" s="268"/>
    </row>
    <row r="408" customFormat="false" ht="7.5" hidden="false" customHeight="true" outlineLevel="0" collapsed="false">
      <c r="A408" s="198"/>
      <c r="B408" s="266"/>
      <c r="C408" s="266"/>
      <c r="D408" s="266"/>
      <c r="E408" s="241"/>
      <c r="F408" s="241"/>
      <c r="G408" s="241"/>
      <c r="H408" s="204"/>
      <c r="I408" s="269"/>
      <c r="J408" s="269"/>
      <c r="K408" s="277"/>
      <c r="L408" s="269"/>
      <c r="M408" s="269"/>
      <c r="N408" s="269"/>
      <c r="O408" s="269"/>
      <c r="P408" s="269"/>
      <c r="Q408" s="269"/>
      <c r="R408" s="269"/>
      <c r="S408" s="269"/>
      <c r="T408" s="269"/>
      <c r="U408" s="269"/>
      <c r="V408" s="269"/>
      <c r="W408" s="269"/>
      <c r="X408" s="259"/>
      <c r="Y408" s="271"/>
      <c r="Z408" s="271"/>
      <c r="AA408" s="271"/>
      <c r="AB408" s="271"/>
      <c r="AC408" s="271"/>
      <c r="AD408" s="271"/>
      <c r="AE408" s="271"/>
      <c r="AF408" s="271"/>
      <c r="AG408" s="271"/>
      <c r="AH408" s="271"/>
      <c r="AI408" s="271"/>
      <c r="AJ408" s="272"/>
      <c r="AK408" s="273"/>
      <c r="AL408" s="273"/>
      <c r="AM408" s="273"/>
      <c r="AN408" s="259"/>
      <c r="AO408" s="271"/>
      <c r="AP408" s="271"/>
      <c r="AQ408" s="271"/>
      <c r="AR408" s="271"/>
      <c r="AS408" s="271"/>
      <c r="AT408" s="271"/>
      <c r="AU408" s="271"/>
      <c r="AV408" s="271"/>
      <c r="AW408" s="271"/>
      <c r="AX408" s="271"/>
      <c r="AY408" s="271"/>
      <c r="AZ408" s="272"/>
      <c r="BA408" s="273"/>
      <c r="BB408" s="273"/>
      <c r="BC408" s="273"/>
      <c r="BD408" s="287"/>
      <c r="BE408" s="274"/>
    </row>
    <row r="409" customFormat="false" ht="15" hidden="false" customHeight="true" outlineLevel="0" collapsed="false">
      <c r="B409" s="333"/>
      <c r="C409" s="334"/>
      <c r="D409" s="333" t="n">
        <f aca="false">D393</f>
        <v>45292</v>
      </c>
      <c r="E409" s="277" t="n">
        <v>0</v>
      </c>
      <c r="F409" s="277" t="n">
        <v>0</v>
      </c>
      <c r="G409" s="277" t="n">
        <f aca="false">SUM(E409:F409)</f>
        <v>0</v>
      </c>
      <c r="H409" s="204"/>
      <c r="I409" s="279" t="n">
        <v>1</v>
      </c>
      <c r="J409" s="280" t="n">
        <f aca="false">1-I409</f>
        <v>0</v>
      </c>
      <c r="K409" s="277"/>
      <c r="L409" s="282"/>
      <c r="M409" s="282"/>
      <c r="N409" s="282"/>
      <c r="O409" s="282"/>
      <c r="P409" s="282"/>
      <c r="Q409" s="282"/>
      <c r="R409" s="282"/>
      <c r="S409" s="282"/>
      <c r="T409" s="282"/>
      <c r="U409" s="282"/>
      <c r="V409" s="282"/>
      <c r="W409" s="282"/>
      <c r="X409" s="268"/>
      <c r="Y409" s="284" t="n">
        <f aca="false">IFERROR(L409*$G409*I$9, "")</f>
        <v>0</v>
      </c>
      <c r="Z409" s="284" t="n">
        <f aca="false">IFERROR(M409*$G409*$I409, "")</f>
        <v>0</v>
      </c>
      <c r="AA409" s="284" t="n">
        <f aca="false">IFERROR(N409*$G409*$I409, "")</f>
        <v>0</v>
      </c>
      <c r="AB409" s="284" t="n">
        <f aca="false">IFERROR(O409*$G409*$I409, "")</f>
        <v>0</v>
      </c>
      <c r="AC409" s="284" t="n">
        <f aca="false">IFERROR(P409*$G409*$I409, "")</f>
        <v>0</v>
      </c>
      <c r="AD409" s="284" t="n">
        <f aca="false">IFERROR(Q409*$G409*$I409, "")</f>
        <v>0</v>
      </c>
      <c r="AE409" s="284" t="n">
        <f aca="false">IFERROR(R409*$G409*$I409, "")</f>
        <v>0</v>
      </c>
      <c r="AF409" s="284" t="n">
        <f aca="false">IFERROR(S409*$G409*$I409, "")</f>
        <v>0</v>
      </c>
      <c r="AG409" s="284" t="n">
        <f aca="false">IFERROR(T409*$G409*$I409, "")</f>
        <v>0</v>
      </c>
      <c r="AH409" s="284" t="n">
        <f aca="false">IFERROR(U409*$G409*$I409, "")</f>
        <v>0</v>
      </c>
      <c r="AI409" s="284" t="n">
        <f aca="false">IFERROR(V409*$G409*$I409, "")</f>
        <v>0</v>
      </c>
      <c r="AJ409" s="284" t="n">
        <f aca="false">IFERROR(W409*$G409*$I409, "")</f>
        <v>0</v>
      </c>
      <c r="AK409" s="286" t="n">
        <f aca="false">IFERROR(SUMIF($Y$4:$AJ$4, "RDEC", Y409:AJ409), "")</f>
        <v>0</v>
      </c>
      <c r="AL409" s="286" t="n">
        <f aca="false">IFERROR(SUMIF($Y$4:$AJ$4, "SME", Y409:AJ409), "")</f>
        <v>0</v>
      </c>
      <c r="AM409" s="286" t="n">
        <f aca="false">IFERROR(SUMIF($Y$4:$AJ$4, "De Minimis", Y409:AJ409), "")</f>
        <v>0</v>
      </c>
      <c r="AN409" s="268"/>
      <c r="AO409" s="284" t="n">
        <f aca="false">IFERROR($G409*$J409*L409, "")</f>
        <v>0</v>
      </c>
      <c r="AP409" s="284" t="n">
        <f aca="false">IFERROR($G409*$J409*M409, "")</f>
        <v>0</v>
      </c>
      <c r="AQ409" s="284" t="n">
        <f aca="false">IFERROR($G409*$J409*N409, "")</f>
        <v>0</v>
      </c>
      <c r="AR409" s="284" t="n">
        <f aca="false">IFERROR($G409*$J409*O409, "")</f>
        <v>0</v>
      </c>
      <c r="AS409" s="284" t="n">
        <f aca="false">IFERROR($G409*$J409*P409, "")</f>
        <v>0</v>
      </c>
      <c r="AT409" s="284" t="n">
        <f aca="false">IFERROR($G409*$J409*Q409, "")</f>
        <v>0</v>
      </c>
      <c r="AU409" s="284" t="n">
        <f aca="false">IFERROR($G409*$J409*R409, "")</f>
        <v>0</v>
      </c>
      <c r="AV409" s="284" t="n">
        <f aca="false">IFERROR($G409*$J409*S409, "")</f>
        <v>0</v>
      </c>
      <c r="AW409" s="284" t="n">
        <f aca="false">IFERROR($G409*$J409*T409, "")</f>
        <v>0</v>
      </c>
      <c r="AX409" s="284" t="n">
        <f aca="false">IFERROR($G409*$J409*U409, "")</f>
        <v>0</v>
      </c>
      <c r="AY409" s="284" t="n">
        <f aca="false">IFERROR($G409*$J409*V409, "")</f>
        <v>0</v>
      </c>
      <c r="AZ409" s="284" t="n">
        <f aca="false">IFERROR($G409*$J409*W409, "")</f>
        <v>0</v>
      </c>
      <c r="BA409" s="286" t="n">
        <f aca="false">IFERROR(SUMIF($AO$4:$AZ$4, "RDEC", AO409:AZ409), "")</f>
        <v>0</v>
      </c>
      <c r="BB409" s="286" t="n">
        <f aca="false">IFERROR(SUMIF($AO$4:$AZ$4, "SME", AO409:AZ409), "")</f>
        <v>0</v>
      </c>
      <c r="BC409" s="286" t="n">
        <f aca="false">IFERROR(SUMIF($AO$4:$AZ$4, "De Minimis", AO409:AZ409), "")</f>
        <v>0</v>
      </c>
      <c r="BD409" s="287"/>
      <c r="BE409" s="288" t="str">
        <f aca="false">IF((SUM(L409:W409)&gt;1),"ERROR","")</f>
        <v/>
      </c>
    </row>
    <row r="410" customFormat="false" ht="15" hidden="false" customHeight="true" outlineLevel="0" collapsed="false">
      <c r="B410" s="333"/>
      <c r="C410" s="334"/>
      <c r="D410" s="333" t="n">
        <f aca="false">D394</f>
        <v>45323</v>
      </c>
      <c r="E410" s="277" t="n">
        <v>0</v>
      </c>
      <c r="F410" s="277" t="n">
        <v>0</v>
      </c>
      <c r="G410" s="277" t="n">
        <f aca="false">SUM(E410:F410)</f>
        <v>0</v>
      </c>
      <c r="H410" s="204"/>
      <c r="I410" s="279" t="n">
        <v>1</v>
      </c>
      <c r="J410" s="280" t="n">
        <f aca="false">1-I410</f>
        <v>0</v>
      </c>
      <c r="K410" s="277"/>
      <c r="L410" s="282"/>
      <c r="M410" s="282"/>
      <c r="N410" s="282"/>
      <c r="O410" s="282"/>
      <c r="P410" s="282"/>
      <c r="Q410" s="282"/>
      <c r="R410" s="282"/>
      <c r="S410" s="282"/>
      <c r="T410" s="282"/>
      <c r="U410" s="282"/>
      <c r="V410" s="282"/>
      <c r="W410" s="282"/>
      <c r="X410" s="283"/>
      <c r="Y410" s="284" t="n">
        <f aca="false">IFERROR(L410*$G410*I$9, "")</f>
        <v>0</v>
      </c>
      <c r="Z410" s="284" t="n">
        <f aca="false">IFERROR(M410*$G410*$I410, "")</f>
        <v>0</v>
      </c>
      <c r="AA410" s="284" t="n">
        <f aca="false">IFERROR(N410*$G410*$I410, "")</f>
        <v>0</v>
      </c>
      <c r="AB410" s="284" t="n">
        <f aca="false">IFERROR(O410*$G410*$I410, "")</f>
        <v>0</v>
      </c>
      <c r="AC410" s="284" t="n">
        <f aca="false">IFERROR(P410*$G410*$I410, "")</f>
        <v>0</v>
      </c>
      <c r="AD410" s="284" t="n">
        <f aca="false">IFERROR(Q410*$G410*$I410, "")</f>
        <v>0</v>
      </c>
      <c r="AE410" s="284" t="n">
        <f aca="false">IFERROR(R410*$G410*$I410, "")</f>
        <v>0</v>
      </c>
      <c r="AF410" s="284" t="n">
        <f aca="false">IFERROR(S410*$G410*$I410, "")</f>
        <v>0</v>
      </c>
      <c r="AG410" s="284" t="n">
        <f aca="false">IFERROR(T410*$G410*$I410, "")</f>
        <v>0</v>
      </c>
      <c r="AH410" s="284" t="n">
        <f aca="false">IFERROR(U410*$G410*$I410, "")</f>
        <v>0</v>
      </c>
      <c r="AI410" s="284" t="n">
        <f aca="false">IFERROR(V410*$G410*$I410, "")</f>
        <v>0</v>
      </c>
      <c r="AJ410" s="284" t="n">
        <f aca="false">IFERROR(W410*$G410*$I410, "")</f>
        <v>0</v>
      </c>
      <c r="AK410" s="286" t="n">
        <f aca="false">IFERROR(SUMIF($Y$4:$AJ$4, "RDEC", Y410:AJ410), "")</f>
        <v>0</v>
      </c>
      <c r="AL410" s="286" t="n">
        <f aca="false">IFERROR(SUMIF($Y$4:$AJ$4, "SME", Y410:AJ410), "")</f>
        <v>0</v>
      </c>
      <c r="AM410" s="286" t="n">
        <f aca="false">IFERROR(SUMIF($Y$4:$AJ$4, "De Minimis", Y410:AJ410), "")</f>
        <v>0</v>
      </c>
      <c r="AN410" s="283"/>
      <c r="AO410" s="284" t="n">
        <f aca="false">IFERROR($G410*$J410*L410, "")</f>
        <v>0</v>
      </c>
      <c r="AP410" s="284" t="n">
        <f aca="false">IFERROR($G410*$J410*M410, "")</f>
        <v>0</v>
      </c>
      <c r="AQ410" s="284" t="n">
        <f aca="false">IFERROR($G410*$J410*N410, "")</f>
        <v>0</v>
      </c>
      <c r="AR410" s="284" t="n">
        <f aca="false">IFERROR($G410*$J410*O410, "")</f>
        <v>0</v>
      </c>
      <c r="AS410" s="284" t="n">
        <f aca="false">IFERROR($G410*$J410*P410, "")</f>
        <v>0</v>
      </c>
      <c r="AT410" s="284" t="n">
        <f aca="false">IFERROR($G410*$J410*Q410, "")</f>
        <v>0</v>
      </c>
      <c r="AU410" s="284" t="n">
        <f aca="false">IFERROR($G410*$J410*R410, "")</f>
        <v>0</v>
      </c>
      <c r="AV410" s="284" t="n">
        <f aca="false">IFERROR($G410*$J410*S410, "")</f>
        <v>0</v>
      </c>
      <c r="AW410" s="284" t="n">
        <f aca="false">IFERROR($G410*$J410*T410, "")</f>
        <v>0</v>
      </c>
      <c r="AX410" s="284" t="n">
        <f aca="false">IFERROR($G410*$J410*U410, "")</f>
        <v>0</v>
      </c>
      <c r="AY410" s="284" t="n">
        <f aca="false">IFERROR($G410*$J410*V410, "")</f>
        <v>0</v>
      </c>
      <c r="AZ410" s="284" t="n">
        <f aca="false">IFERROR($G410*$J410*W410, "")</f>
        <v>0</v>
      </c>
      <c r="BA410" s="286" t="n">
        <f aca="false">IFERROR(SUMIF($AO$4:$AZ$4, "RDEC", AO410:AZ410), "")</f>
        <v>0</v>
      </c>
      <c r="BB410" s="286" t="n">
        <f aca="false">IFERROR(SUMIF($AO$4:$AZ$4, "SME", AO410:AZ410), "")</f>
        <v>0</v>
      </c>
      <c r="BC410" s="286" t="n">
        <f aca="false">IFERROR(SUMIF($Y$4:$AJ$4, "De Minimis", AO410:AZ410), "")</f>
        <v>0</v>
      </c>
      <c r="BD410" s="287"/>
      <c r="BE410" s="288" t="str">
        <f aca="false">IF((SUM(L410:W410)&gt;1),"ERROR","")</f>
        <v/>
      </c>
    </row>
    <row r="411" customFormat="false" ht="15" hidden="false" customHeight="true" outlineLevel="0" collapsed="false">
      <c r="B411" s="333"/>
      <c r="C411" s="334"/>
      <c r="D411" s="333" t="n">
        <f aca="false">D395</f>
        <v>45352</v>
      </c>
      <c r="E411" s="277" t="n">
        <v>0</v>
      </c>
      <c r="F411" s="277" t="n">
        <v>0</v>
      </c>
      <c r="G411" s="277" t="n">
        <f aca="false">SUM(E411:F411)</f>
        <v>0</v>
      </c>
      <c r="H411" s="204"/>
      <c r="I411" s="279" t="n">
        <v>1</v>
      </c>
      <c r="J411" s="280" t="n">
        <f aca="false">1-I411</f>
        <v>0</v>
      </c>
      <c r="K411" s="277"/>
      <c r="L411" s="282"/>
      <c r="M411" s="282"/>
      <c r="N411" s="282"/>
      <c r="O411" s="282"/>
      <c r="P411" s="282"/>
      <c r="Q411" s="282"/>
      <c r="R411" s="282"/>
      <c r="S411" s="282"/>
      <c r="T411" s="282"/>
      <c r="U411" s="282"/>
      <c r="V411" s="282"/>
      <c r="W411" s="282"/>
      <c r="X411" s="283"/>
      <c r="Y411" s="284" t="n">
        <f aca="false">IFERROR(L411*$G411*I$9, "")</f>
        <v>0</v>
      </c>
      <c r="Z411" s="284" t="n">
        <f aca="false">IFERROR(M411*$G411*$I411, "")</f>
        <v>0</v>
      </c>
      <c r="AA411" s="284" t="n">
        <f aca="false">IFERROR(N411*$G411*$I411, "")</f>
        <v>0</v>
      </c>
      <c r="AB411" s="284" t="n">
        <f aca="false">IFERROR(O411*$G411*$I411, "")</f>
        <v>0</v>
      </c>
      <c r="AC411" s="284" t="n">
        <f aca="false">IFERROR(P411*$G411*$I411, "")</f>
        <v>0</v>
      </c>
      <c r="AD411" s="284" t="n">
        <f aca="false">IFERROR(Q411*$G411*$I411, "")</f>
        <v>0</v>
      </c>
      <c r="AE411" s="284" t="n">
        <f aca="false">IFERROR(R411*$G411*$I411, "")</f>
        <v>0</v>
      </c>
      <c r="AF411" s="284" t="n">
        <f aca="false">IFERROR(S411*$G411*$I411, "")</f>
        <v>0</v>
      </c>
      <c r="AG411" s="284" t="n">
        <f aca="false">IFERROR(T411*$G411*$I411, "")</f>
        <v>0</v>
      </c>
      <c r="AH411" s="284" t="n">
        <f aca="false">IFERROR(U411*$G411*$I411, "")</f>
        <v>0</v>
      </c>
      <c r="AI411" s="284" t="n">
        <f aca="false">IFERROR(V411*$G411*$I411, "")</f>
        <v>0</v>
      </c>
      <c r="AJ411" s="284" t="n">
        <f aca="false">IFERROR(W411*$G411*$I411, "")</f>
        <v>0</v>
      </c>
      <c r="AK411" s="286" t="n">
        <f aca="false">IFERROR(SUMIF($Y$4:$AJ$4, "RDEC", Y411:AJ411), "")</f>
        <v>0</v>
      </c>
      <c r="AL411" s="286" t="n">
        <f aca="false">IFERROR(SUMIF($Y$4:$AJ$4, "SME", Y411:AJ411), "")</f>
        <v>0</v>
      </c>
      <c r="AM411" s="286" t="n">
        <f aca="false">IFERROR(SUMIF($Y$4:$AJ$4, "De Minimis", Y411:AJ411), "")</f>
        <v>0</v>
      </c>
      <c r="AN411" s="283"/>
      <c r="AO411" s="284" t="n">
        <f aca="false">IFERROR($G411*$J411*L411, "")</f>
        <v>0</v>
      </c>
      <c r="AP411" s="284" t="n">
        <f aca="false">IFERROR($G411*$J411*M411, "")</f>
        <v>0</v>
      </c>
      <c r="AQ411" s="284" t="n">
        <f aca="false">IFERROR($G411*$J411*N411, "")</f>
        <v>0</v>
      </c>
      <c r="AR411" s="284" t="n">
        <f aca="false">IFERROR($G411*$J411*O411, "")</f>
        <v>0</v>
      </c>
      <c r="AS411" s="284" t="n">
        <f aca="false">IFERROR($G411*$J411*P411, "")</f>
        <v>0</v>
      </c>
      <c r="AT411" s="284" t="n">
        <f aca="false">IFERROR($G411*$J411*Q411, "")</f>
        <v>0</v>
      </c>
      <c r="AU411" s="284" t="n">
        <f aca="false">IFERROR($G411*$J411*R411, "")</f>
        <v>0</v>
      </c>
      <c r="AV411" s="284" t="n">
        <f aca="false">IFERROR($G411*$J411*S411, "")</f>
        <v>0</v>
      </c>
      <c r="AW411" s="284" t="n">
        <f aca="false">IFERROR($G411*$J411*T411, "")</f>
        <v>0</v>
      </c>
      <c r="AX411" s="284" t="n">
        <f aca="false">IFERROR($G411*$J411*U411, "")</f>
        <v>0</v>
      </c>
      <c r="AY411" s="284" t="n">
        <f aca="false">IFERROR($G411*$J411*V411, "")</f>
        <v>0</v>
      </c>
      <c r="AZ411" s="284" t="n">
        <f aca="false">IFERROR($G411*$J411*W411, "")</f>
        <v>0</v>
      </c>
      <c r="BA411" s="286" t="n">
        <f aca="false">IFERROR(SUMIF($AO$4:$AZ$4, "RDEC", AO411:AZ411), "")</f>
        <v>0</v>
      </c>
      <c r="BB411" s="286" t="n">
        <f aca="false">IFERROR(SUMIF($AO$4:$AZ$4, "SME", AO411:AZ411), "")</f>
        <v>0</v>
      </c>
      <c r="BC411" s="286" t="n">
        <f aca="false">IFERROR(SUMIF($Y$4:$AJ$4, "De Minimis", AO411:AZ411), "")</f>
        <v>0</v>
      </c>
      <c r="BD411" s="287"/>
      <c r="BE411" s="288" t="str">
        <f aca="false">IF((SUM(L411:W411)&gt;1),"ERROR","")</f>
        <v/>
      </c>
    </row>
    <row r="412" customFormat="false" ht="15" hidden="false" customHeight="true" outlineLevel="0" collapsed="false">
      <c r="B412" s="333"/>
      <c r="C412" s="334"/>
      <c r="D412" s="333" t="n">
        <f aca="false">D396</f>
        <v>45383</v>
      </c>
      <c r="E412" s="277" t="n">
        <v>0</v>
      </c>
      <c r="F412" s="277" t="n">
        <v>0</v>
      </c>
      <c r="G412" s="277" t="n">
        <f aca="false">SUM(E412:F412)</f>
        <v>0</v>
      </c>
      <c r="H412" s="204"/>
      <c r="I412" s="279" t="n">
        <v>1</v>
      </c>
      <c r="J412" s="280" t="n">
        <f aca="false">1-I412</f>
        <v>0</v>
      </c>
      <c r="K412" s="277"/>
      <c r="L412" s="282"/>
      <c r="M412" s="282"/>
      <c r="N412" s="282"/>
      <c r="O412" s="282"/>
      <c r="P412" s="282"/>
      <c r="Q412" s="282"/>
      <c r="R412" s="282"/>
      <c r="S412" s="282"/>
      <c r="T412" s="282"/>
      <c r="U412" s="282"/>
      <c r="V412" s="282"/>
      <c r="W412" s="282"/>
      <c r="X412" s="283"/>
      <c r="Y412" s="284" t="n">
        <f aca="false">IFERROR(L412*$G412*I$9, "")</f>
        <v>0</v>
      </c>
      <c r="Z412" s="284" t="n">
        <f aca="false">IFERROR(M412*$G412*$I412, "")</f>
        <v>0</v>
      </c>
      <c r="AA412" s="284" t="n">
        <f aca="false">IFERROR(N412*$G412*$I412, "")</f>
        <v>0</v>
      </c>
      <c r="AB412" s="284" t="n">
        <f aca="false">IFERROR(O412*$G412*$I412, "")</f>
        <v>0</v>
      </c>
      <c r="AC412" s="284" t="n">
        <f aca="false">IFERROR(P412*$G412*$I412, "")</f>
        <v>0</v>
      </c>
      <c r="AD412" s="284" t="n">
        <f aca="false">IFERROR(Q412*$G412*$I412, "")</f>
        <v>0</v>
      </c>
      <c r="AE412" s="284" t="n">
        <f aca="false">IFERROR(R412*$G412*$I412, "")</f>
        <v>0</v>
      </c>
      <c r="AF412" s="284" t="n">
        <f aca="false">IFERROR(S412*$G412*$I412, "")</f>
        <v>0</v>
      </c>
      <c r="AG412" s="284" t="n">
        <f aca="false">IFERROR(T412*$G412*$I412, "")</f>
        <v>0</v>
      </c>
      <c r="AH412" s="284" t="n">
        <f aca="false">IFERROR(U412*$G412*$I412, "")</f>
        <v>0</v>
      </c>
      <c r="AI412" s="284" t="n">
        <f aca="false">IFERROR(V412*$G412*$I412, "")</f>
        <v>0</v>
      </c>
      <c r="AJ412" s="284" t="n">
        <f aca="false">IFERROR(W412*$G412*$I412, "")</f>
        <v>0</v>
      </c>
      <c r="AK412" s="286" t="n">
        <f aca="false">IFERROR(SUMIF($Y$4:$AJ$4, "RDEC", Y412:AJ412), "")</f>
        <v>0</v>
      </c>
      <c r="AL412" s="286" t="n">
        <f aca="false">IFERROR(SUMIF($Y$4:$AJ$4, "SME", Y412:AJ412), "")</f>
        <v>0</v>
      </c>
      <c r="AM412" s="286" t="n">
        <f aca="false">IFERROR(SUMIF($Y$4:$AJ$4, "De Minimis", Y412:AJ412), "")</f>
        <v>0</v>
      </c>
      <c r="AN412" s="283"/>
      <c r="AO412" s="284" t="n">
        <f aca="false">IFERROR($G412*$J412*L412, "")</f>
        <v>0</v>
      </c>
      <c r="AP412" s="284" t="n">
        <f aca="false">IFERROR($G412*$J412*M412, "")</f>
        <v>0</v>
      </c>
      <c r="AQ412" s="284" t="n">
        <f aca="false">IFERROR($G412*$J412*N412, "")</f>
        <v>0</v>
      </c>
      <c r="AR412" s="284" t="n">
        <f aca="false">IFERROR($G412*$J412*O412, "")</f>
        <v>0</v>
      </c>
      <c r="AS412" s="284" t="n">
        <f aca="false">IFERROR($G412*$J412*P412, "")</f>
        <v>0</v>
      </c>
      <c r="AT412" s="284" t="n">
        <f aca="false">IFERROR($G412*$J412*Q412, "")</f>
        <v>0</v>
      </c>
      <c r="AU412" s="284" t="n">
        <f aca="false">IFERROR($G412*$J412*R412, "")</f>
        <v>0</v>
      </c>
      <c r="AV412" s="284" t="n">
        <f aca="false">IFERROR($G412*$J412*S412, "")</f>
        <v>0</v>
      </c>
      <c r="AW412" s="284" t="n">
        <f aca="false">IFERROR($G412*$J412*T412, "")</f>
        <v>0</v>
      </c>
      <c r="AX412" s="284" t="n">
        <f aca="false">IFERROR($G412*$J412*U412, "")</f>
        <v>0</v>
      </c>
      <c r="AY412" s="284" t="n">
        <f aca="false">IFERROR($G412*$J412*V412, "")</f>
        <v>0</v>
      </c>
      <c r="AZ412" s="284" t="n">
        <f aca="false">IFERROR($G412*$J412*W412, "")</f>
        <v>0</v>
      </c>
      <c r="BA412" s="286" t="n">
        <f aca="false">IFERROR(SUMIF($AO$4:$AZ$4, "RDEC", AO412:AZ412), "")</f>
        <v>0</v>
      </c>
      <c r="BB412" s="286" t="n">
        <f aca="false">IFERROR(SUMIF($AO$4:$AZ$4, "SME", AO412:AZ412), "")</f>
        <v>0</v>
      </c>
      <c r="BC412" s="286" t="n">
        <f aca="false">IFERROR(SUMIF($Y$4:$AJ$4, "De Minimis", AO412:AZ412), "")</f>
        <v>0</v>
      </c>
      <c r="BD412" s="287"/>
      <c r="BE412" s="288" t="str">
        <f aca="false">IF((SUM(L412:W412)&gt;1),"ERROR","")</f>
        <v/>
      </c>
    </row>
    <row r="413" customFormat="false" ht="15" hidden="false" customHeight="true" outlineLevel="0" collapsed="false">
      <c r="B413" s="333"/>
      <c r="C413" s="334"/>
      <c r="D413" s="333" t="n">
        <f aca="false">D397</f>
        <v>45413</v>
      </c>
      <c r="E413" s="277" t="n">
        <v>0</v>
      </c>
      <c r="F413" s="277" t="n">
        <v>0</v>
      </c>
      <c r="G413" s="277" t="n">
        <f aca="false">SUM(E413:F413)</f>
        <v>0</v>
      </c>
      <c r="H413" s="204"/>
      <c r="I413" s="279" t="n">
        <v>1</v>
      </c>
      <c r="J413" s="280" t="n">
        <f aca="false">1-I413</f>
        <v>0</v>
      </c>
      <c r="K413" s="277"/>
      <c r="L413" s="282"/>
      <c r="M413" s="282"/>
      <c r="N413" s="282"/>
      <c r="O413" s="282"/>
      <c r="P413" s="282"/>
      <c r="Q413" s="282"/>
      <c r="R413" s="282"/>
      <c r="S413" s="282"/>
      <c r="T413" s="282"/>
      <c r="U413" s="282"/>
      <c r="V413" s="282"/>
      <c r="W413" s="282"/>
      <c r="X413" s="283"/>
      <c r="Y413" s="284" t="n">
        <f aca="false">IFERROR(L413*$G413*I$9, "")</f>
        <v>0</v>
      </c>
      <c r="Z413" s="284" t="n">
        <f aca="false">IFERROR(M413*$G413*$I413, "")</f>
        <v>0</v>
      </c>
      <c r="AA413" s="284" t="n">
        <f aca="false">IFERROR(N413*$G413*$I413, "")</f>
        <v>0</v>
      </c>
      <c r="AB413" s="284" t="n">
        <f aca="false">IFERROR(O413*$G413*$I413, "")</f>
        <v>0</v>
      </c>
      <c r="AC413" s="284" t="n">
        <f aca="false">IFERROR(P413*$G413*$I413, "")</f>
        <v>0</v>
      </c>
      <c r="AD413" s="284" t="n">
        <f aca="false">IFERROR(Q413*$G413*$I413, "")</f>
        <v>0</v>
      </c>
      <c r="AE413" s="284" t="n">
        <f aca="false">IFERROR(R413*$G413*$I413, "")</f>
        <v>0</v>
      </c>
      <c r="AF413" s="284" t="n">
        <f aca="false">IFERROR(S413*$G413*$I413, "")</f>
        <v>0</v>
      </c>
      <c r="AG413" s="284" t="n">
        <f aca="false">IFERROR(T413*$G413*$I413, "")</f>
        <v>0</v>
      </c>
      <c r="AH413" s="284" t="n">
        <f aca="false">IFERROR(U413*$G413*$I413, "")</f>
        <v>0</v>
      </c>
      <c r="AI413" s="284" t="n">
        <f aca="false">IFERROR(V413*$G413*$I413, "")</f>
        <v>0</v>
      </c>
      <c r="AJ413" s="284" t="n">
        <f aca="false">IFERROR(W413*$G413*$I413, "")</f>
        <v>0</v>
      </c>
      <c r="AK413" s="286" t="n">
        <f aca="false">IFERROR(SUMIF($Y$4:$AJ$4, "RDEC", Y413:AJ413), "")</f>
        <v>0</v>
      </c>
      <c r="AL413" s="286" t="n">
        <f aca="false">IFERROR(SUMIF($Y$4:$AJ$4, "SME", Y413:AJ413), "")</f>
        <v>0</v>
      </c>
      <c r="AM413" s="286" t="n">
        <f aca="false">IFERROR(SUMIF($Y$4:$AJ$4, "De Minimis", Y413:AJ413), "")</f>
        <v>0</v>
      </c>
      <c r="AN413" s="283"/>
      <c r="AO413" s="284" t="n">
        <f aca="false">IFERROR($G413*$J413*L413, "")</f>
        <v>0</v>
      </c>
      <c r="AP413" s="284" t="n">
        <f aca="false">IFERROR($G413*$J413*M413, "")</f>
        <v>0</v>
      </c>
      <c r="AQ413" s="284" t="n">
        <f aca="false">IFERROR($G413*$J413*N413, "")</f>
        <v>0</v>
      </c>
      <c r="AR413" s="284" t="n">
        <f aca="false">IFERROR($G413*$J413*O413, "")</f>
        <v>0</v>
      </c>
      <c r="AS413" s="284" t="n">
        <f aca="false">IFERROR($G413*$J413*P413, "")</f>
        <v>0</v>
      </c>
      <c r="AT413" s="284" t="n">
        <f aca="false">IFERROR($G413*$J413*Q413, "")</f>
        <v>0</v>
      </c>
      <c r="AU413" s="284" t="n">
        <f aca="false">IFERROR($G413*$J413*R413, "")</f>
        <v>0</v>
      </c>
      <c r="AV413" s="284" t="n">
        <f aca="false">IFERROR($G413*$J413*S413, "")</f>
        <v>0</v>
      </c>
      <c r="AW413" s="284" t="n">
        <f aca="false">IFERROR($G413*$J413*T413, "")</f>
        <v>0</v>
      </c>
      <c r="AX413" s="284" t="n">
        <f aca="false">IFERROR($G413*$J413*U413, "")</f>
        <v>0</v>
      </c>
      <c r="AY413" s="284" t="n">
        <f aca="false">IFERROR($G413*$J413*V413, "")</f>
        <v>0</v>
      </c>
      <c r="AZ413" s="284" t="n">
        <f aca="false">IFERROR($G413*$J413*W413, "")</f>
        <v>0</v>
      </c>
      <c r="BA413" s="286" t="n">
        <f aca="false">IFERROR(SUMIF($AO$4:$AZ$4, "RDEC", AO413:AZ413), "")</f>
        <v>0</v>
      </c>
      <c r="BB413" s="286" t="n">
        <f aca="false">IFERROR(SUMIF($AO$4:$AZ$4, "SME", AO413:AZ413), "")</f>
        <v>0</v>
      </c>
      <c r="BC413" s="286" t="n">
        <f aca="false">IFERROR(SUMIF($Y$4:$AJ$4, "De Minimis", AO413:AZ413), "")</f>
        <v>0</v>
      </c>
      <c r="BD413" s="287"/>
      <c r="BE413" s="288" t="str">
        <f aca="false">IF((SUM(L413:W413)&gt;1),"ERROR","")</f>
        <v/>
      </c>
    </row>
    <row r="414" customFormat="false" ht="15" hidden="false" customHeight="true" outlineLevel="0" collapsed="false">
      <c r="B414" s="333"/>
      <c r="C414" s="334"/>
      <c r="D414" s="333" t="n">
        <f aca="false">D398</f>
        <v>45444</v>
      </c>
      <c r="E414" s="277" t="n">
        <v>0</v>
      </c>
      <c r="F414" s="277" t="n">
        <v>0</v>
      </c>
      <c r="G414" s="277" t="n">
        <f aca="false">SUM(E414:F414)</f>
        <v>0</v>
      </c>
      <c r="H414" s="204"/>
      <c r="I414" s="279" t="n">
        <v>1</v>
      </c>
      <c r="J414" s="280" t="n">
        <f aca="false">1-I414</f>
        <v>0</v>
      </c>
      <c r="K414" s="277"/>
      <c r="L414" s="282"/>
      <c r="M414" s="282"/>
      <c r="N414" s="282"/>
      <c r="O414" s="282"/>
      <c r="P414" s="282"/>
      <c r="Q414" s="282"/>
      <c r="R414" s="282"/>
      <c r="S414" s="282"/>
      <c r="T414" s="282"/>
      <c r="U414" s="282"/>
      <c r="V414" s="282"/>
      <c r="W414" s="282"/>
      <c r="X414" s="283"/>
      <c r="Y414" s="284" t="n">
        <f aca="false">IFERROR(L414*$G414*I$9, "")</f>
        <v>0</v>
      </c>
      <c r="Z414" s="284" t="n">
        <f aca="false">IFERROR(M414*$G414*$I414, "")</f>
        <v>0</v>
      </c>
      <c r="AA414" s="284" t="n">
        <f aca="false">IFERROR(N414*$G414*$I414, "")</f>
        <v>0</v>
      </c>
      <c r="AB414" s="284" t="n">
        <f aca="false">IFERROR(O414*$G414*$I414, "")</f>
        <v>0</v>
      </c>
      <c r="AC414" s="284" t="n">
        <f aca="false">IFERROR(P414*$G414*$I414, "")</f>
        <v>0</v>
      </c>
      <c r="AD414" s="284" t="n">
        <f aca="false">IFERROR(Q414*$G414*$I414, "")</f>
        <v>0</v>
      </c>
      <c r="AE414" s="284" t="n">
        <f aca="false">IFERROR(R414*$G414*$I414, "")</f>
        <v>0</v>
      </c>
      <c r="AF414" s="284" t="n">
        <f aca="false">IFERROR(S414*$G414*$I414, "")</f>
        <v>0</v>
      </c>
      <c r="AG414" s="284" t="n">
        <f aca="false">IFERROR(T414*$G414*$I414, "")</f>
        <v>0</v>
      </c>
      <c r="AH414" s="284" t="n">
        <f aca="false">IFERROR(U414*$G414*$I414, "")</f>
        <v>0</v>
      </c>
      <c r="AI414" s="284" t="n">
        <f aca="false">IFERROR(V414*$G414*$I414, "")</f>
        <v>0</v>
      </c>
      <c r="AJ414" s="284" t="n">
        <f aca="false">IFERROR(W414*$G414*$I414, "")</f>
        <v>0</v>
      </c>
      <c r="AK414" s="286" t="n">
        <f aca="false">IFERROR(SUMIF($Y$4:$AJ$4, "RDEC", Y414:AJ414), "")</f>
        <v>0</v>
      </c>
      <c r="AL414" s="286" t="n">
        <f aca="false">IFERROR(SUMIF($Y$4:$AJ$4, "SME", Y414:AJ414), "")</f>
        <v>0</v>
      </c>
      <c r="AM414" s="286" t="n">
        <f aca="false">IFERROR(SUMIF($Y$4:$AJ$4, "De Minimis", Y414:AJ414), "")</f>
        <v>0</v>
      </c>
      <c r="AN414" s="283"/>
      <c r="AO414" s="284" t="n">
        <f aca="false">IFERROR($G414*$J414*L414, "")</f>
        <v>0</v>
      </c>
      <c r="AP414" s="284" t="n">
        <f aca="false">IFERROR($G414*$J414*M414, "")</f>
        <v>0</v>
      </c>
      <c r="AQ414" s="284" t="n">
        <f aca="false">IFERROR($G414*$J414*N414, "")</f>
        <v>0</v>
      </c>
      <c r="AR414" s="284" t="n">
        <f aca="false">IFERROR($G414*$J414*O414, "")</f>
        <v>0</v>
      </c>
      <c r="AS414" s="284" t="n">
        <f aca="false">IFERROR($G414*$J414*P414, "")</f>
        <v>0</v>
      </c>
      <c r="AT414" s="284" t="n">
        <f aca="false">IFERROR($G414*$J414*Q414, "")</f>
        <v>0</v>
      </c>
      <c r="AU414" s="284" t="n">
        <f aca="false">IFERROR($G414*$J414*R414, "")</f>
        <v>0</v>
      </c>
      <c r="AV414" s="284" t="n">
        <f aca="false">IFERROR($G414*$J414*S414, "")</f>
        <v>0</v>
      </c>
      <c r="AW414" s="284" t="n">
        <f aca="false">IFERROR($G414*$J414*T414, "")</f>
        <v>0</v>
      </c>
      <c r="AX414" s="284" t="n">
        <f aca="false">IFERROR($G414*$J414*U414, "")</f>
        <v>0</v>
      </c>
      <c r="AY414" s="284" t="n">
        <f aca="false">IFERROR($G414*$J414*V414, "")</f>
        <v>0</v>
      </c>
      <c r="AZ414" s="284" t="n">
        <f aca="false">IFERROR($G414*$J414*W414, "")</f>
        <v>0</v>
      </c>
      <c r="BA414" s="286" t="n">
        <f aca="false">IFERROR(SUMIF($AO$4:$AZ$4, "RDEC", AO414:AZ414), "")</f>
        <v>0</v>
      </c>
      <c r="BB414" s="286" t="n">
        <f aca="false">IFERROR(SUMIF($AO$4:$AZ$4, "SME", AO414:AZ414), "")</f>
        <v>0</v>
      </c>
      <c r="BC414" s="286" t="n">
        <f aca="false">IFERROR(SUMIF($Y$4:$AJ$4, "De Minimis", AO414:AZ414), "")</f>
        <v>0</v>
      </c>
      <c r="BD414" s="287"/>
      <c r="BE414" s="288" t="str">
        <f aca="false">IF((SUM(L414:W414)&gt;1),"ERROR","")</f>
        <v/>
      </c>
    </row>
    <row r="415" customFormat="false" ht="15" hidden="false" customHeight="true" outlineLevel="0" collapsed="false">
      <c r="B415" s="333"/>
      <c r="C415" s="334"/>
      <c r="D415" s="333" t="n">
        <f aca="false">D399</f>
        <v>45474</v>
      </c>
      <c r="E415" s="277" t="n">
        <v>0</v>
      </c>
      <c r="F415" s="277" t="n">
        <v>0</v>
      </c>
      <c r="G415" s="277" t="n">
        <f aca="false">SUM(E415:F415)</f>
        <v>0</v>
      </c>
      <c r="H415" s="204"/>
      <c r="I415" s="279" t="n">
        <v>1</v>
      </c>
      <c r="J415" s="280" t="n">
        <f aca="false">1-I415</f>
        <v>0</v>
      </c>
      <c r="K415" s="277"/>
      <c r="L415" s="282"/>
      <c r="M415" s="282"/>
      <c r="N415" s="282"/>
      <c r="O415" s="282"/>
      <c r="P415" s="282"/>
      <c r="Q415" s="282"/>
      <c r="R415" s="282"/>
      <c r="S415" s="282"/>
      <c r="T415" s="282"/>
      <c r="U415" s="282"/>
      <c r="V415" s="282"/>
      <c r="W415" s="282"/>
      <c r="X415" s="283"/>
      <c r="Y415" s="284" t="n">
        <f aca="false">IFERROR(L415*$G415*I$9, "")</f>
        <v>0</v>
      </c>
      <c r="Z415" s="284" t="n">
        <f aca="false">IFERROR(M415*$G415*$I415, "")</f>
        <v>0</v>
      </c>
      <c r="AA415" s="284" t="n">
        <f aca="false">IFERROR(N415*$G415*$I415, "")</f>
        <v>0</v>
      </c>
      <c r="AB415" s="284" t="n">
        <f aca="false">IFERROR(O415*$G415*$I415, "")</f>
        <v>0</v>
      </c>
      <c r="AC415" s="284" t="n">
        <f aca="false">IFERROR(P415*$G415*$I415, "")</f>
        <v>0</v>
      </c>
      <c r="AD415" s="284" t="n">
        <f aca="false">IFERROR(Q415*$G415*$I415, "")</f>
        <v>0</v>
      </c>
      <c r="AE415" s="284" t="n">
        <f aca="false">IFERROR(R415*$G415*$I415, "")</f>
        <v>0</v>
      </c>
      <c r="AF415" s="284" t="n">
        <f aca="false">IFERROR(S415*$G415*$I415, "")</f>
        <v>0</v>
      </c>
      <c r="AG415" s="284" t="n">
        <f aca="false">IFERROR(T415*$G415*$I415, "")</f>
        <v>0</v>
      </c>
      <c r="AH415" s="284" t="n">
        <f aca="false">IFERROR(U415*$G415*$I415, "")</f>
        <v>0</v>
      </c>
      <c r="AI415" s="284" t="n">
        <f aca="false">IFERROR(V415*$G415*$I415, "")</f>
        <v>0</v>
      </c>
      <c r="AJ415" s="284" t="n">
        <f aca="false">IFERROR(W415*$G415*$I415, "")</f>
        <v>0</v>
      </c>
      <c r="AK415" s="286" t="n">
        <f aca="false">IFERROR(SUMIF($Y$4:$AJ$4, "RDEC", Y415:AJ415), "")</f>
        <v>0</v>
      </c>
      <c r="AL415" s="286" t="n">
        <f aca="false">IFERROR(SUMIF($Y$4:$AJ$4, "SME", Y415:AJ415), "")</f>
        <v>0</v>
      </c>
      <c r="AM415" s="286" t="n">
        <f aca="false">IFERROR(SUMIF($Y$4:$AJ$4, "De Minimis", Y415:AJ415), "")</f>
        <v>0</v>
      </c>
      <c r="AN415" s="283"/>
      <c r="AO415" s="284" t="n">
        <f aca="false">IFERROR($G415*$J415*L415, "")</f>
        <v>0</v>
      </c>
      <c r="AP415" s="284" t="n">
        <f aca="false">IFERROR($G415*$J415*M415, "")</f>
        <v>0</v>
      </c>
      <c r="AQ415" s="284" t="n">
        <f aca="false">IFERROR($G415*$J415*N415, "")</f>
        <v>0</v>
      </c>
      <c r="AR415" s="284" t="n">
        <f aca="false">IFERROR($G415*$J415*O415, "")</f>
        <v>0</v>
      </c>
      <c r="AS415" s="284" t="n">
        <f aca="false">IFERROR($G415*$J415*P415, "")</f>
        <v>0</v>
      </c>
      <c r="AT415" s="284" t="n">
        <f aca="false">IFERROR($G415*$J415*Q415, "")</f>
        <v>0</v>
      </c>
      <c r="AU415" s="284" t="n">
        <f aca="false">IFERROR($G415*$J415*R415, "")</f>
        <v>0</v>
      </c>
      <c r="AV415" s="284" t="n">
        <f aca="false">IFERROR($G415*$J415*S415, "")</f>
        <v>0</v>
      </c>
      <c r="AW415" s="284" t="n">
        <f aca="false">IFERROR($G415*$J415*T415, "")</f>
        <v>0</v>
      </c>
      <c r="AX415" s="284" t="n">
        <f aca="false">IFERROR($G415*$J415*U415, "")</f>
        <v>0</v>
      </c>
      <c r="AY415" s="284" t="n">
        <f aca="false">IFERROR($G415*$J415*V415, "")</f>
        <v>0</v>
      </c>
      <c r="AZ415" s="284" t="n">
        <f aca="false">IFERROR($G415*$J415*W415, "")</f>
        <v>0</v>
      </c>
      <c r="BA415" s="286" t="n">
        <f aca="false">IFERROR(SUMIF($AO$4:$AZ$4, "RDEC", AO415:AZ415), "")</f>
        <v>0</v>
      </c>
      <c r="BB415" s="286" t="n">
        <f aca="false">IFERROR(SUMIF($AO$4:$AZ$4, "SME", AO415:AZ415), "")</f>
        <v>0</v>
      </c>
      <c r="BC415" s="286" t="n">
        <f aca="false">IFERROR(SUMIF($Y$4:$AJ$4, "De Minimis", AO415:AZ415), "")</f>
        <v>0</v>
      </c>
      <c r="BD415" s="287"/>
      <c r="BE415" s="288" t="str">
        <f aca="false">IF((SUM(L415:W415)&gt;1),"ERROR","")</f>
        <v/>
      </c>
    </row>
    <row r="416" customFormat="false" ht="15" hidden="false" customHeight="true" outlineLevel="0" collapsed="false">
      <c r="B416" s="333"/>
      <c r="C416" s="334"/>
      <c r="D416" s="333" t="n">
        <f aca="false">D400</f>
        <v>45505</v>
      </c>
      <c r="E416" s="277" t="n">
        <v>0</v>
      </c>
      <c r="F416" s="277" t="n">
        <v>0</v>
      </c>
      <c r="G416" s="277" t="n">
        <f aca="false">SUM(E416:F416)</f>
        <v>0</v>
      </c>
      <c r="H416" s="204"/>
      <c r="I416" s="279" t="n">
        <v>1</v>
      </c>
      <c r="J416" s="280" t="n">
        <f aca="false">1-I416</f>
        <v>0</v>
      </c>
      <c r="K416" s="277"/>
      <c r="L416" s="282"/>
      <c r="M416" s="282"/>
      <c r="N416" s="282"/>
      <c r="O416" s="282"/>
      <c r="P416" s="282"/>
      <c r="Q416" s="282"/>
      <c r="R416" s="282"/>
      <c r="S416" s="282"/>
      <c r="T416" s="282"/>
      <c r="U416" s="282"/>
      <c r="V416" s="282"/>
      <c r="W416" s="282"/>
      <c r="X416" s="283"/>
      <c r="Y416" s="284" t="n">
        <f aca="false">IFERROR(L416*$G416*I$9, "")</f>
        <v>0</v>
      </c>
      <c r="Z416" s="284" t="n">
        <f aca="false">IFERROR(M416*$G416*$I416, "")</f>
        <v>0</v>
      </c>
      <c r="AA416" s="284" t="n">
        <f aca="false">IFERROR(N416*$G416*$I416, "")</f>
        <v>0</v>
      </c>
      <c r="AB416" s="284" t="n">
        <f aca="false">IFERROR(O416*$G416*$I416, "")</f>
        <v>0</v>
      </c>
      <c r="AC416" s="284" t="n">
        <f aca="false">IFERROR(P416*$G416*$I416, "")</f>
        <v>0</v>
      </c>
      <c r="AD416" s="284" t="n">
        <f aca="false">IFERROR(Q416*$G416*$I416, "")</f>
        <v>0</v>
      </c>
      <c r="AE416" s="284" t="n">
        <f aca="false">IFERROR(R416*$G416*$I416, "")</f>
        <v>0</v>
      </c>
      <c r="AF416" s="284" t="n">
        <f aca="false">IFERROR(S416*$G416*$I416, "")</f>
        <v>0</v>
      </c>
      <c r="AG416" s="284" t="n">
        <f aca="false">IFERROR(T416*$G416*$I416, "")</f>
        <v>0</v>
      </c>
      <c r="AH416" s="284" t="n">
        <f aca="false">IFERROR(U416*$G416*$I416, "")</f>
        <v>0</v>
      </c>
      <c r="AI416" s="284" t="n">
        <f aca="false">IFERROR(V416*$G416*$I416, "")</f>
        <v>0</v>
      </c>
      <c r="AJ416" s="284" t="n">
        <f aca="false">IFERROR(W416*$G416*$I416, "")</f>
        <v>0</v>
      </c>
      <c r="AK416" s="286" t="n">
        <f aca="false">IFERROR(SUMIF($Y$4:$AJ$4, "RDEC", Y416:AJ416), "")</f>
        <v>0</v>
      </c>
      <c r="AL416" s="286" t="n">
        <f aca="false">IFERROR(SUMIF($Y$4:$AJ$4, "SME", Y416:AJ416), "")</f>
        <v>0</v>
      </c>
      <c r="AM416" s="286" t="n">
        <f aca="false">IFERROR(SUMIF($Y$4:$AJ$4, "De Minimis", Y416:AJ416), "")</f>
        <v>0</v>
      </c>
      <c r="AN416" s="283"/>
      <c r="AO416" s="284" t="n">
        <f aca="false">IFERROR($G416*$J416*L416, "")</f>
        <v>0</v>
      </c>
      <c r="AP416" s="284" t="n">
        <f aca="false">IFERROR($G416*$J416*M416, "")</f>
        <v>0</v>
      </c>
      <c r="AQ416" s="284" t="n">
        <f aca="false">IFERROR($G416*$J416*N416, "")</f>
        <v>0</v>
      </c>
      <c r="AR416" s="284" t="n">
        <f aca="false">IFERROR($G416*$J416*O416, "")</f>
        <v>0</v>
      </c>
      <c r="AS416" s="284" t="n">
        <f aca="false">IFERROR($G416*$J416*P416, "")</f>
        <v>0</v>
      </c>
      <c r="AT416" s="284" t="n">
        <f aca="false">IFERROR($G416*$J416*Q416, "")</f>
        <v>0</v>
      </c>
      <c r="AU416" s="284" t="n">
        <f aca="false">IFERROR($G416*$J416*R416, "")</f>
        <v>0</v>
      </c>
      <c r="AV416" s="284" t="n">
        <f aca="false">IFERROR($G416*$J416*S416, "")</f>
        <v>0</v>
      </c>
      <c r="AW416" s="284" t="n">
        <f aca="false">IFERROR($G416*$J416*T416, "")</f>
        <v>0</v>
      </c>
      <c r="AX416" s="284" t="n">
        <f aca="false">IFERROR($G416*$J416*U416, "")</f>
        <v>0</v>
      </c>
      <c r="AY416" s="284" t="n">
        <f aca="false">IFERROR($G416*$J416*V416, "")</f>
        <v>0</v>
      </c>
      <c r="AZ416" s="284" t="n">
        <f aca="false">IFERROR($G416*$J416*W416, "")</f>
        <v>0</v>
      </c>
      <c r="BA416" s="286" t="n">
        <f aca="false">IFERROR(SUMIF($AO$4:$AZ$4, "RDEC", AO416:AZ416), "")</f>
        <v>0</v>
      </c>
      <c r="BB416" s="286" t="n">
        <f aca="false">IFERROR(SUMIF($AO$4:$AZ$4, "SME", AO416:AZ416), "")</f>
        <v>0</v>
      </c>
      <c r="BC416" s="286" t="n">
        <f aca="false">IFERROR(SUMIF($Y$4:$AJ$4, "De Minimis", AO416:AZ416), "")</f>
        <v>0</v>
      </c>
      <c r="BD416" s="287"/>
      <c r="BE416" s="288" t="str">
        <f aca="false">IF((SUM(L416:W416)&gt;1),"ERROR","")</f>
        <v/>
      </c>
    </row>
    <row r="417" customFormat="false" ht="15" hidden="false" customHeight="true" outlineLevel="0" collapsed="false">
      <c r="B417" s="333"/>
      <c r="C417" s="334"/>
      <c r="D417" s="333" t="n">
        <f aca="false">D401</f>
        <v>45536</v>
      </c>
      <c r="E417" s="277" t="n">
        <v>0</v>
      </c>
      <c r="F417" s="277" t="n">
        <v>0</v>
      </c>
      <c r="G417" s="277" t="n">
        <f aca="false">SUM(E417:F417)</f>
        <v>0</v>
      </c>
      <c r="H417" s="204"/>
      <c r="I417" s="279" t="n">
        <v>1</v>
      </c>
      <c r="J417" s="280" t="n">
        <f aca="false">1-I417</f>
        <v>0</v>
      </c>
      <c r="K417" s="277"/>
      <c r="L417" s="282"/>
      <c r="M417" s="282"/>
      <c r="N417" s="282"/>
      <c r="O417" s="282"/>
      <c r="P417" s="282"/>
      <c r="Q417" s="282"/>
      <c r="R417" s="282"/>
      <c r="S417" s="282"/>
      <c r="T417" s="282"/>
      <c r="U417" s="282"/>
      <c r="V417" s="282"/>
      <c r="W417" s="282"/>
      <c r="X417" s="283"/>
      <c r="Y417" s="284" t="n">
        <f aca="false">IFERROR(L417*$G417*I$9, "")</f>
        <v>0</v>
      </c>
      <c r="Z417" s="284" t="n">
        <f aca="false">IFERROR(M417*$G417*$I417, "")</f>
        <v>0</v>
      </c>
      <c r="AA417" s="284" t="n">
        <f aca="false">IFERROR(N417*$G417*$I417, "")</f>
        <v>0</v>
      </c>
      <c r="AB417" s="284" t="n">
        <f aca="false">IFERROR(O417*$G417*$I417, "")</f>
        <v>0</v>
      </c>
      <c r="AC417" s="284" t="n">
        <f aca="false">IFERROR(P417*$G417*$I417, "")</f>
        <v>0</v>
      </c>
      <c r="AD417" s="284" t="n">
        <f aca="false">IFERROR(Q417*$G417*$I417, "")</f>
        <v>0</v>
      </c>
      <c r="AE417" s="284" t="n">
        <f aca="false">IFERROR(R417*$G417*$I417, "")</f>
        <v>0</v>
      </c>
      <c r="AF417" s="284" t="n">
        <f aca="false">IFERROR(S417*$G417*$I417, "")</f>
        <v>0</v>
      </c>
      <c r="AG417" s="284" t="n">
        <f aca="false">IFERROR(T417*$G417*$I417, "")</f>
        <v>0</v>
      </c>
      <c r="AH417" s="284" t="n">
        <f aca="false">IFERROR(U417*$G417*$I417, "")</f>
        <v>0</v>
      </c>
      <c r="AI417" s="284" t="n">
        <f aca="false">IFERROR(V417*$G417*$I417, "")</f>
        <v>0</v>
      </c>
      <c r="AJ417" s="284" t="n">
        <f aca="false">IFERROR(W417*$G417*$I417, "")</f>
        <v>0</v>
      </c>
      <c r="AK417" s="286" t="n">
        <f aca="false">IFERROR(SUMIF($Y$4:$AJ$4, "RDEC", Y417:AJ417), "")</f>
        <v>0</v>
      </c>
      <c r="AL417" s="286" t="n">
        <f aca="false">IFERROR(SUMIF($Y$4:$AJ$4, "SME", Y417:AJ417), "")</f>
        <v>0</v>
      </c>
      <c r="AM417" s="286" t="n">
        <f aca="false">IFERROR(SUMIF($Y$4:$AJ$4, "De Minimis", Y417:AJ417), "")</f>
        <v>0</v>
      </c>
      <c r="AN417" s="283"/>
      <c r="AO417" s="284" t="n">
        <f aca="false">IFERROR($G417*$J417*L417, "")</f>
        <v>0</v>
      </c>
      <c r="AP417" s="284" t="n">
        <f aca="false">IFERROR($G417*$J417*M417, "")</f>
        <v>0</v>
      </c>
      <c r="AQ417" s="284" t="n">
        <f aca="false">IFERROR($G417*$J417*N417, "")</f>
        <v>0</v>
      </c>
      <c r="AR417" s="284" t="n">
        <f aca="false">IFERROR($G417*$J417*O417, "")</f>
        <v>0</v>
      </c>
      <c r="AS417" s="284" t="n">
        <f aca="false">IFERROR($G417*$J417*P417, "")</f>
        <v>0</v>
      </c>
      <c r="AT417" s="284" t="n">
        <f aca="false">IFERROR($G417*$J417*Q417, "")</f>
        <v>0</v>
      </c>
      <c r="AU417" s="284" t="n">
        <f aca="false">IFERROR($G417*$J417*R417, "")</f>
        <v>0</v>
      </c>
      <c r="AV417" s="284" t="n">
        <f aca="false">IFERROR($G417*$J417*S417, "")</f>
        <v>0</v>
      </c>
      <c r="AW417" s="284" t="n">
        <f aca="false">IFERROR($G417*$J417*T417, "")</f>
        <v>0</v>
      </c>
      <c r="AX417" s="284" t="n">
        <f aca="false">IFERROR($G417*$J417*U417, "")</f>
        <v>0</v>
      </c>
      <c r="AY417" s="284" t="n">
        <f aca="false">IFERROR($G417*$J417*V417, "")</f>
        <v>0</v>
      </c>
      <c r="AZ417" s="284" t="n">
        <f aca="false">IFERROR($G417*$J417*W417, "")</f>
        <v>0</v>
      </c>
      <c r="BA417" s="286" t="n">
        <f aca="false">IFERROR(SUMIF($AO$4:$AZ$4, "RDEC", AO417:AZ417), "")</f>
        <v>0</v>
      </c>
      <c r="BB417" s="286" t="n">
        <f aca="false">IFERROR(SUMIF($AO$4:$AZ$4, "SME", AO417:AZ417), "")</f>
        <v>0</v>
      </c>
      <c r="BC417" s="286" t="n">
        <f aca="false">IFERROR(SUMIF($Y$4:$AJ$4, "De Minimis", AO417:AZ417), "")</f>
        <v>0</v>
      </c>
      <c r="BD417" s="287"/>
      <c r="BE417" s="288" t="str">
        <f aca="false">IF((SUM(L417:W417)&gt;1),"ERROR","")</f>
        <v/>
      </c>
    </row>
    <row r="418" customFormat="false" ht="15" hidden="false" customHeight="true" outlineLevel="0" collapsed="false">
      <c r="B418" s="333"/>
      <c r="C418" s="334"/>
      <c r="D418" s="333" t="n">
        <f aca="false">D402</f>
        <v>45566</v>
      </c>
      <c r="E418" s="277" t="n">
        <v>0</v>
      </c>
      <c r="F418" s="277" t="n">
        <v>0</v>
      </c>
      <c r="G418" s="277" t="n">
        <f aca="false">SUM(E418:F418)</f>
        <v>0</v>
      </c>
      <c r="H418" s="204"/>
      <c r="I418" s="279" t="n">
        <v>1</v>
      </c>
      <c r="J418" s="280" t="n">
        <f aca="false">1-I418</f>
        <v>0</v>
      </c>
      <c r="K418" s="277"/>
      <c r="L418" s="282"/>
      <c r="M418" s="282"/>
      <c r="N418" s="282"/>
      <c r="O418" s="282"/>
      <c r="P418" s="282"/>
      <c r="Q418" s="282"/>
      <c r="R418" s="282"/>
      <c r="S418" s="282"/>
      <c r="T418" s="282"/>
      <c r="U418" s="282"/>
      <c r="V418" s="282"/>
      <c r="W418" s="282"/>
      <c r="X418" s="283"/>
      <c r="Y418" s="284" t="n">
        <f aca="false">IFERROR(L418*$G418*I$9, "")</f>
        <v>0</v>
      </c>
      <c r="Z418" s="284" t="n">
        <f aca="false">IFERROR(M418*$G418*$I418, "")</f>
        <v>0</v>
      </c>
      <c r="AA418" s="284" t="n">
        <f aca="false">IFERROR(N418*$G418*$I418, "")</f>
        <v>0</v>
      </c>
      <c r="AB418" s="284" t="n">
        <f aca="false">IFERROR(O418*$G418*$I418, "")</f>
        <v>0</v>
      </c>
      <c r="AC418" s="284" t="n">
        <f aca="false">IFERROR(P418*$G418*$I418, "")</f>
        <v>0</v>
      </c>
      <c r="AD418" s="284" t="n">
        <f aca="false">IFERROR(Q418*$G418*$I418, "")</f>
        <v>0</v>
      </c>
      <c r="AE418" s="284" t="n">
        <f aca="false">IFERROR(R418*$G418*$I418, "")</f>
        <v>0</v>
      </c>
      <c r="AF418" s="284" t="n">
        <f aca="false">IFERROR(S418*$G418*$I418, "")</f>
        <v>0</v>
      </c>
      <c r="AG418" s="284" t="n">
        <f aca="false">IFERROR(T418*$G418*$I418, "")</f>
        <v>0</v>
      </c>
      <c r="AH418" s="284" t="n">
        <f aca="false">IFERROR(U418*$G418*$I418, "")</f>
        <v>0</v>
      </c>
      <c r="AI418" s="284" t="n">
        <f aca="false">IFERROR(V418*$G418*$I418, "")</f>
        <v>0</v>
      </c>
      <c r="AJ418" s="284" t="n">
        <f aca="false">IFERROR(W418*$G418*$I418, "")</f>
        <v>0</v>
      </c>
      <c r="AK418" s="286" t="n">
        <f aca="false">IFERROR(SUMIF($Y$4:$AJ$4, "RDEC", Y418:AJ418), "")</f>
        <v>0</v>
      </c>
      <c r="AL418" s="286" t="n">
        <f aca="false">IFERROR(SUMIF($Y$4:$AJ$4, "SME", Y418:AJ418), "")</f>
        <v>0</v>
      </c>
      <c r="AM418" s="286" t="n">
        <f aca="false">IFERROR(SUMIF($Y$4:$AJ$4, "De Minimis", Y418:AJ418), "")</f>
        <v>0</v>
      </c>
      <c r="AN418" s="283"/>
      <c r="AO418" s="284" t="n">
        <f aca="false">IFERROR($G418*$J418*L418, "")</f>
        <v>0</v>
      </c>
      <c r="AP418" s="284" t="n">
        <f aca="false">IFERROR($G418*$J418*M418, "")</f>
        <v>0</v>
      </c>
      <c r="AQ418" s="284" t="n">
        <f aca="false">IFERROR($G418*$J418*N418, "")</f>
        <v>0</v>
      </c>
      <c r="AR418" s="284" t="n">
        <f aca="false">IFERROR($G418*$J418*O418, "")</f>
        <v>0</v>
      </c>
      <c r="AS418" s="284" t="n">
        <f aca="false">IFERROR($G418*$J418*P418, "")</f>
        <v>0</v>
      </c>
      <c r="AT418" s="284" t="n">
        <f aca="false">IFERROR($G418*$J418*Q418, "")</f>
        <v>0</v>
      </c>
      <c r="AU418" s="284" t="n">
        <f aca="false">IFERROR($G418*$J418*R418, "")</f>
        <v>0</v>
      </c>
      <c r="AV418" s="284" t="n">
        <f aca="false">IFERROR($G418*$J418*S418, "")</f>
        <v>0</v>
      </c>
      <c r="AW418" s="284" t="n">
        <f aca="false">IFERROR($G418*$J418*T418, "")</f>
        <v>0</v>
      </c>
      <c r="AX418" s="284" t="n">
        <f aca="false">IFERROR($G418*$J418*U418, "")</f>
        <v>0</v>
      </c>
      <c r="AY418" s="284" t="n">
        <f aca="false">IFERROR($G418*$J418*V418, "")</f>
        <v>0</v>
      </c>
      <c r="AZ418" s="284" t="n">
        <f aca="false">IFERROR($G418*$J418*W418, "")</f>
        <v>0</v>
      </c>
      <c r="BA418" s="286" t="n">
        <f aca="false">IFERROR(SUMIF($AO$4:$AZ$4, "RDEC", AO418:AZ418), "")</f>
        <v>0</v>
      </c>
      <c r="BB418" s="286" t="n">
        <f aca="false">IFERROR(SUMIF($AO$4:$AZ$4, "SME", AO418:AZ418), "")</f>
        <v>0</v>
      </c>
      <c r="BC418" s="286" t="n">
        <f aca="false">IFERROR(SUMIF($Y$4:$AJ$4, "De Minimis", AO418:AZ418), "")</f>
        <v>0</v>
      </c>
      <c r="BD418" s="287"/>
      <c r="BE418" s="288" t="str">
        <f aca="false">IF((SUM(L418:W418)&gt;1),"ERROR","")</f>
        <v/>
      </c>
    </row>
    <row r="419" customFormat="false" ht="15" hidden="false" customHeight="true" outlineLevel="0" collapsed="false">
      <c r="B419" s="333"/>
      <c r="C419" s="334"/>
      <c r="D419" s="333" t="n">
        <f aca="false">D403</f>
        <v>45597</v>
      </c>
      <c r="E419" s="277" t="n">
        <v>0</v>
      </c>
      <c r="F419" s="277" t="n">
        <v>0</v>
      </c>
      <c r="G419" s="277" t="n">
        <f aca="false">SUM(E419:F419)</f>
        <v>0</v>
      </c>
      <c r="H419" s="204"/>
      <c r="I419" s="279" t="n">
        <v>1</v>
      </c>
      <c r="J419" s="280" t="n">
        <f aca="false">1-I419</f>
        <v>0</v>
      </c>
      <c r="K419" s="277"/>
      <c r="L419" s="282"/>
      <c r="M419" s="282"/>
      <c r="N419" s="282"/>
      <c r="O419" s="282"/>
      <c r="P419" s="282"/>
      <c r="Q419" s="282"/>
      <c r="R419" s="282"/>
      <c r="S419" s="282"/>
      <c r="T419" s="282"/>
      <c r="U419" s="282"/>
      <c r="V419" s="282"/>
      <c r="W419" s="282"/>
      <c r="X419" s="283"/>
      <c r="Y419" s="284" t="n">
        <f aca="false">IFERROR(L419*$G419*I$9, "")</f>
        <v>0</v>
      </c>
      <c r="Z419" s="284" t="n">
        <f aca="false">IFERROR(M419*$G419*$I419, "")</f>
        <v>0</v>
      </c>
      <c r="AA419" s="284" t="n">
        <f aca="false">IFERROR(N419*$G419*$I419, "")</f>
        <v>0</v>
      </c>
      <c r="AB419" s="284" t="n">
        <f aca="false">IFERROR(O419*$G419*$I419, "")</f>
        <v>0</v>
      </c>
      <c r="AC419" s="284" t="n">
        <f aca="false">IFERROR(P419*$G419*$I419, "")</f>
        <v>0</v>
      </c>
      <c r="AD419" s="284" t="n">
        <f aca="false">IFERROR(Q419*$G419*$I419, "")</f>
        <v>0</v>
      </c>
      <c r="AE419" s="284" t="n">
        <f aca="false">IFERROR(R419*$G419*$I419, "")</f>
        <v>0</v>
      </c>
      <c r="AF419" s="284" t="n">
        <f aca="false">IFERROR(S419*$G419*$I419, "")</f>
        <v>0</v>
      </c>
      <c r="AG419" s="284" t="n">
        <f aca="false">IFERROR(T419*$G419*$I419, "")</f>
        <v>0</v>
      </c>
      <c r="AH419" s="284" t="n">
        <f aca="false">IFERROR(U419*$G419*$I419, "")</f>
        <v>0</v>
      </c>
      <c r="AI419" s="284" t="n">
        <f aca="false">IFERROR(V419*$G419*$I419, "")</f>
        <v>0</v>
      </c>
      <c r="AJ419" s="284" t="n">
        <f aca="false">IFERROR(W419*$G419*$I419, "")</f>
        <v>0</v>
      </c>
      <c r="AK419" s="286" t="n">
        <f aca="false">IFERROR(SUMIF($Y$4:$AJ$4, "RDEC", Y419:AJ419), "")</f>
        <v>0</v>
      </c>
      <c r="AL419" s="286" t="n">
        <f aca="false">IFERROR(SUMIF($Y$4:$AJ$4, "SME", Y419:AJ419), "")</f>
        <v>0</v>
      </c>
      <c r="AM419" s="286" t="n">
        <f aca="false">IFERROR(SUMIF($Y$4:$AJ$4, "De Minimis", Y419:AJ419), "")</f>
        <v>0</v>
      </c>
      <c r="AN419" s="283"/>
      <c r="AO419" s="284" t="n">
        <f aca="false">IFERROR($G419*$J419*L419, "")</f>
        <v>0</v>
      </c>
      <c r="AP419" s="284" t="n">
        <f aca="false">IFERROR($G419*$J419*M419, "")</f>
        <v>0</v>
      </c>
      <c r="AQ419" s="284" t="n">
        <f aca="false">IFERROR($G419*$J419*N419, "")</f>
        <v>0</v>
      </c>
      <c r="AR419" s="284" t="n">
        <f aca="false">IFERROR($G419*$J419*O419, "")</f>
        <v>0</v>
      </c>
      <c r="AS419" s="284" t="n">
        <f aca="false">IFERROR($G419*$J419*P419, "")</f>
        <v>0</v>
      </c>
      <c r="AT419" s="284" t="n">
        <f aca="false">IFERROR($G419*$J419*Q419, "")</f>
        <v>0</v>
      </c>
      <c r="AU419" s="284" t="n">
        <f aca="false">IFERROR($G419*$J419*R419, "")</f>
        <v>0</v>
      </c>
      <c r="AV419" s="284" t="n">
        <f aca="false">IFERROR($G419*$J419*S419, "")</f>
        <v>0</v>
      </c>
      <c r="AW419" s="284" t="n">
        <f aca="false">IFERROR($G419*$J419*T419, "")</f>
        <v>0</v>
      </c>
      <c r="AX419" s="284" t="n">
        <f aca="false">IFERROR($G419*$J419*U419, "")</f>
        <v>0</v>
      </c>
      <c r="AY419" s="284" t="n">
        <f aca="false">IFERROR($G419*$J419*V419, "")</f>
        <v>0</v>
      </c>
      <c r="AZ419" s="284" t="n">
        <f aca="false">IFERROR($G419*$J419*W419, "")</f>
        <v>0</v>
      </c>
      <c r="BA419" s="286" t="n">
        <f aca="false">IFERROR(SUMIF($AO$4:$AZ$4, "RDEC", AO419:AZ419), "")</f>
        <v>0</v>
      </c>
      <c r="BB419" s="286" t="n">
        <f aca="false">IFERROR(SUMIF($AO$4:$AZ$4, "SME", AO419:AZ419), "")</f>
        <v>0</v>
      </c>
      <c r="BC419" s="286" t="n">
        <f aca="false">IFERROR(SUMIF($Y$4:$AJ$4, "De Minimis", AO419:AZ419), "")</f>
        <v>0</v>
      </c>
      <c r="BD419" s="287"/>
      <c r="BE419" s="288" t="str">
        <f aca="false">IF((SUM(L419:W419)&gt;1),"ERROR","")</f>
        <v/>
      </c>
    </row>
    <row r="420" customFormat="false" ht="15" hidden="false" customHeight="true" outlineLevel="0" collapsed="false">
      <c r="B420" s="333"/>
      <c r="C420" s="334"/>
      <c r="D420" s="333" t="n">
        <f aca="false">D404</f>
        <v>45627</v>
      </c>
      <c r="E420" s="277" t="n">
        <v>0</v>
      </c>
      <c r="F420" s="277" t="n">
        <v>0</v>
      </c>
      <c r="G420" s="277" t="n">
        <f aca="false">SUM(E420:F420)</f>
        <v>0</v>
      </c>
      <c r="H420" s="300"/>
      <c r="I420" s="289" t="n">
        <v>1</v>
      </c>
      <c r="J420" s="290" t="n">
        <f aca="false">1-I420</f>
        <v>0</v>
      </c>
      <c r="K420" s="300"/>
      <c r="L420" s="291"/>
      <c r="M420" s="291"/>
      <c r="N420" s="291"/>
      <c r="O420" s="291"/>
      <c r="P420" s="291"/>
      <c r="Q420" s="291"/>
      <c r="R420" s="291"/>
      <c r="S420" s="291"/>
      <c r="T420" s="291"/>
      <c r="U420" s="291"/>
      <c r="V420" s="291"/>
      <c r="W420" s="291"/>
      <c r="X420" s="283"/>
      <c r="Y420" s="284" t="n">
        <f aca="false">IFERROR(L420*$G420*I$9, "")</f>
        <v>0</v>
      </c>
      <c r="Z420" s="284" t="n">
        <f aca="false">IFERROR(M420*$G420*$I420, "")</f>
        <v>0</v>
      </c>
      <c r="AA420" s="284" t="n">
        <f aca="false">IFERROR(N420*$G420*$I420, "")</f>
        <v>0</v>
      </c>
      <c r="AB420" s="284" t="n">
        <f aca="false">IFERROR(O420*$G420*$I420, "")</f>
        <v>0</v>
      </c>
      <c r="AC420" s="284" t="n">
        <f aca="false">IFERROR(P420*$G420*$I420, "")</f>
        <v>0</v>
      </c>
      <c r="AD420" s="284" t="n">
        <f aca="false">IFERROR(Q420*$G420*$I420, "")</f>
        <v>0</v>
      </c>
      <c r="AE420" s="284" t="n">
        <f aca="false">IFERROR(R420*$G420*$I420, "")</f>
        <v>0</v>
      </c>
      <c r="AF420" s="284" t="n">
        <f aca="false">IFERROR(S420*$G420*$I420, "")</f>
        <v>0</v>
      </c>
      <c r="AG420" s="284" t="n">
        <f aca="false">IFERROR(T420*$G420*$I420, "")</f>
        <v>0</v>
      </c>
      <c r="AH420" s="284" t="n">
        <f aca="false">IFERROR(U420*$G420*$I420, "")</f>
        <v>0</v>
      </c>
      <c r="AI420" s="284" t="n">
        <f aca="false">IFERROR(V420*$G420*$I420, "")</f>
        <v>0</v>
      </c>
      <c r="AJ420" s="284" t="n">
        <f aca="false">IFERROR(W420*$G420*$I420, "")</f>
        <v>0</v>
      </c>
      <c r="AK420" s="294" t="n">
        <f aca="false">IFERROR(SUMIF($Y$4:$AJ$4, "RDEC", Y420:AJ420), "")</f>
        <v>0</v>
      </c>
      <c r="AL420" s="294" t="n">
        <f aca="false">IFERROR(SUMIF($Y$4:$AJ$4, "SME", Y420:AJ420), "")</f>
        <v>0</v>
      </c>
      <c r="AM420" s="294" t="n">
        <f aca="false">IFERROR(SUMIF($Y$4:$AJ$4, "De Minimis", Y420:AJ420), "")</f>
        <v>0</v>
      </c>
      <c r="AN420" s="283"/>
      <c r="AO420" s="284" t="n">
        <f aca="false">IFERROR($G420*$J420*L420, "")</f>
        <v>0</v>
      </c>
      <c r="AP420" s="284" t="n">
        <f aca="false">IFERROR($G420*$J420*M420, "")</f>
        <v>0</v>
      </c>
      <c r="AQ420" s="284" t="n">
        <f aca="false">IFERROR($G420*$J420*N420, "")</f>
        <v>0</v>
      </c>
      <c r="AR420" s="284" t="n">
        <f aca="false">IFERROR($G420*$J420*O420, "")</f>
        <v>0</v>
      </c>
      <c r="AS420" s="284" t="n">
        <f aca="false">IFERROR($G420*$J420*P420, "")</f>
        <v>0</v>
      </c>
      <c r="AT420" s="284" t="n">
        <f aca="false">IFERROR($G420*$J420*Q420, "")</f>
        <v>0</v>
      </c>
      <c r="AU420" s="284" t="n">
        <f aca="false">IFERROR($G420*$J420*R420, "")</f>
        <v>0</v>
      </c>
      <c r="AV420" s="284" t="n">
        <f aca="false">IFERROR($G420*$J420*S420, "")</f>
        <v>0</v>
      </c>
      <c r="AW420" s="284" t="n">
        <f aca="false">IFERROR($G420*$J420*T420, "")</f>
        <v>0</v>
      </c>
      <c r="AX420" s="284" t="n">
        <f aca="false">IFERROR($G420*$J420*U420, "")</f>
        <v>0</v>
      </c>
      <c r="AY420" s="284" t="n">
        <f aca="false">IFERROR($G420*$J420*V420, "")</f>
        <v>0</v>
      </c>
      <c r="AZ420" s="284" t="n">
        <f aca="false">IFERROR($G420*$J420*W420, "")</f>
        <v>0</v>
      </c>
      <c r="BA420" s="286" t="n">
        <f aca="false">IFERROR(SUMIF($AO$4:$AZ$4, "RDEC", AO420:AZ420), "")</f>
        <v>0</v>
      </c>
      <c r="BB420" s="286" t="n">
        <f aca="false">IFERROR(SUMIF($AO$4:$AZ$4, "SME", AO420:AZ420), "")</f>
        <v>0</v>
      </c>
      <c r="BC420" s="294" t="n">
        <f aca="false">IFERROR(SUMIF($Y$4:$AJ$4, "De Minimis", AO420:AZ420), "")</f>
        <v>0</v>
      </c>
      <c r="BD420" s="303"/>
      <c r="BE420" s="295" t="str">
        <f aca="false">IF((SUM(L420:W420)&gt;1),"ERROR","")</f>
        <v/>
      </c>
    </row>
    <row r="421" customFormat="false" ht="15" hidden="false" customHeight="true" outlineLevel="0" collapsed="false">
      <c r="B421" s="296"/>
      <c r="D421" s="297" t="s">
        <v>82</v>
      </c>
      <c r="E421" s="299" t="n">
        <f aca="false">SUM(E409:E420)</f>
        <v>0</v>
      </c>
      <c r="F421" s="299" t="n">
        <f aca="false">SUM(F409:F420)</f>
        <v>0</v>
      </c>
      <c r="G421" s="299" t="n">
        <f aca="false">SUM(G409:G420)</f>
        <v>0</v>
      </c>
      <c r="H421" s="300"/>
      <c r="I421" s="301" t="n">
        <f aca="false">AVERAGE(I409:I420)</f>
        <v>1</v>
      </c>
      <c r="J421" s="301" t="n">
        <f aca="false">AVERAGE(J409:J420)</f>
        <v>0</v>
      </c>
      <c r="K421" s="300"/>
      <c r="L421" s="290" t="n">
        <f aca="false">IF(SUM(L409:L420)&gt;0,(Y421/G421),0)</f>
        <v>0</v>
      </c>
      <c r="M421" s="301" t="n">
        <f aca="false">IF(SUM(M409:M420)&gt;0,(Z421/G421),0)</f>
        <v>0</v>
      </c>
      <c r="N421" s="301" t="n">
        <f aca="false">IF(SUM(N409:N420)&gt;0,(AA421/G421),0)</f>
        <v>0</v>
      </c>
      <c r="O421" s="301" t="n">
        <f aca="false">IF(SUM(O409:O420)&gt;0,(AB421/G421),0)</f>
        <v>0</v>
      </c>
      <c r="P421" s="301" t="n">
        <f aca="false">IF(SUM(P409:P420)&gt;0,(AC421/G421),0)</f>
        <v>0</v>
      </c>
      <c r="Q421" s="301" t="n">
        <f aca="false">IF(SUM(Q409:Q420)&gt;0,(AD421/G421),0)</f>
        <v>0</v>
      </c>
      <c r="R421" s="301" t="n">
        <f aca="false">IF(SUM(R409:R420)&gt;0,(AE421/G421),0)</f>
        <v>0</v>
      </c>
      <c r="S421" s="301" t="n">
        <f aca="false">IF(SUM(S409:S420)&gt;0,(AF421/G421),0)</f>
        <v>0</v>
      </c>
      <c r="T421" s="301" t="n">
        <f aca="false">IF(SUM(T409:T420)&gt;0,(AG421/G421),0)</f>
        <v>0</v>
      </c>
      <c r="U421" s="301" t="n">
        <f aca="false">IF(SUM(U409:U420)&gt;0,(AJ421/G421),0)</f>
        <v>0</v>
      </c>
      <c r="V421" s="301" t="n">
        <f aca="false">IF(SUM(V409:V420)&gt;0,(AI421/G421),0)</f>
        <v>0</v>
      </c>
      <c r="W421" s="301" t="n">
        <f aca="false">IF(SUM(W409:W420)&gt;0,(AJ421/G421),0)</f>
        <v>0</v>
      </c>
      <c r="X421" s="283"/>
      <c r="Y421" s="304" t="n">
        <f aca="false">SUM(Y409:Y420)</f>
        <v>0</v>
      </c>
      <c r="Z421" s="304" t="n">
        <f aca="false">SUM(Z409:Z420)</f>
        <v>0</v>
      </c>
      <c r="AA421" s="304" t="n">
        <f aca="false">SUM(AA409:AA420)</f>
        <v>0</v>
      </c>
      <c r="AB421" s="304" t="n">
        <f aca="false">SUM(AB409:AB420)</f>
        <v>0</v>
      </c>
      <c r="AC421" s="304" t="n">
        <f aca="false">SUM(AC409:AC420)</f>
        <v>0</v>
      </c>
      <c r="AD421" s="304" t="n">
        <f aca="false">SUM(AD409:AD420)</f>
        <v>0</v>
      </c>
      <c r="AE421" s="304" t="n">
        <f aca="false">SUM(AE409:AE420)</f>
        <v>0</v>
      </c>
      <c r="AF421" s="304" t="n">
        <f aca="false">SUM(AF409:AF420)</f>
        <v>0</v>
      </c>
      <c r="AG421" s="304" t="n">
        <f aca="false">SUM(AG409:AG420)</f>
        <v>0</v>
      </c>
      <c r="AH421" s="304" t="n">
        <f aca="false">SUM(AH409:AH420)</f>
        <v>0</v>
      </c>
      <c r="AI421" s="304" t="n">
        <f aca="false">SUM(AI409:AI420)</f>
        <v>0</v>
      </c>
      <c r="AJ421" s="304" t="n">
        <f aca="false">SUM(AJ409:AJ420)</f>
        <v>0</v>
      </c>
      <c r="AK421" s="335" t="n">
        <f aca="false">SUM(AK409:AK420)</f>
        <v>0</v>
      </c>
      <c r="AL421" s="336" t="n">
        <f aca="false">SUM(AL409:AL420)</f>
        <v>0</v>
      </c>
      <c r="AM421" s="305" t="n">
        <f aca="false">SUM(AM409:AM420)</f>
        <v>0</v>
      </c>
      <c r="AN421" s="283"/>
      <c r="AO421" s="304" t="n">
        <f aca="false">SUM(AO409:AO420)</f>
        <v>0</v>
      </c>
      <c r="AP421" s="304" t="n">
        <f aca="false">SUM(AP409:AP420)</f>
        <v>0</v>
      </c>
      <c r="AQ421" s="304" t="n">
        <f aca="false">SUM(AQ409:AQ420)</f>
        <v>0</v>
      </c>
      <c r="AR421" s="304" t="n">
        <f aca="false">SUM(AR409:AR420)</f>
        <v>0</v>
      </c>
      <c r="AS421" s="304" t="n">
        <f aca="false">SUM(AS409:AS420)</f>
        <v>0</v>
      </c>
      <c r="AT421" s="304" t="n">
        <f aca="false">SUM(AT409:AT420)</f>
        <v>0</v>
      </c>
      <c r="AU421" s="304" t="n">
        <f aca="false">SUM(AU409:AU420)</f>
        <v>0</v>
      </c>
      <c r="AV421" s="304" t="n">
        <f aca="false">SUM(AV409:AV420)</f>
        <v>0</v>
      </c>
      <c r="AW421" s="304" t="n">
        <f aca="false">SUM(AW409:AW420)</f>
        <v>0</v>
      </c>
      <c r="AX421" s="304" t="n">
        <f aca="false">SUM(AX409:AX420)</f>
        <v>0</v>
      </c>
      <c r="AY421" s="304" t="n">
        <f aca="false">SUM(AY409:AY420)</f>
        <v>0</v>
      </c>
      <c r="AZ421" s="304" t="n">
        <f aca="false">SUM(AZ409:AZ420)</f>
        <v>0</v>
      </c>
      <c r="BA421" s="336" t="n">
        <f aca="false">SUM(BA409:BA420)</f>
        <v>0</v>
      </c>
      <c r="BB421" s="336" t="n">
        <f aca="false">SUM(BB409:BB420)</f>
        <v>0</v>
      </c>
      <c r="BC421" s="305" t="n">
        <f aca="false">SUM(BC409:BC420)</f>
        <v>0</v>
      </c>
      <c r="BD421" s="303"/>
      <c r="BE421" s="337"/>
    </row>
    <row r="422" customFormat="false" ht="15" hidden="false" customHeight="true" outlineLevel="0" collapsed="false">
      <c r="B422" s="296"/>
      <c r="D422" s="297"/>
      <c r="E422" s="300"/>
      <c r="F422" s="300"/>
      <c r="G422" s="300"/>
      <c r="H422" s="241"/>
      <c r="I422" s="302"/>
      <c r="J422" s="302"/>
      <c r="K422" s="241"/>
      <c r="L422" s="259"/>
      <c r="M422" s="259"/>
      <c r="N422" s="259"/>
      <c r="O422" s="259"/>
      <c r="P422" s="259"/>
      <c r="Q422" s="259"/>
      <c r="R422" s="259"/>
      <c r="S422" s="259"/>
      <c r="T422" s="259"/>
      <c r="U422" s="259"/>
      <c r="V422" s="259"/>
      <c r="W422" s="259"/>
      <c r="X422" s="303"/>
      <c r="Y422" s="259"/>
      <c r="Z422" s="303"/>
      <c r="AA422" s="303"/>
      <c r="AB422" s="303"/>
      <c r="AC422" s="303"/>
      <c r="AD422" s="303"/>
      <c r="AE422" s="303"/>
      <c r="AF422" s="303"/>
      <c r="AG422" s="303"/>
      <c r="AH422" s="303"/>
      <c r="AI422" s="303"/>
      <c r="AJ422" s="303"/>
      <c r="AK422" s="303"/>
      <c r="AL422" s="303"/>
      <c r="AM422" s="303"/>
      <c r="AN422" s="303"/>
      <c r="AO422" s="259"/>
      <c r="AP422" s="303"/>
      <c r="AQ422" s="303"/>
      <c r="AR422" s="303"/>
      <c r="AS422" s="303"/>
      <c r="AT422" s="303"/>
      <c r="AU422" s="303"/>
      <c r="AV422" s="303"/>
      <c r="AW422" s="303"/>
      <c r="AX422" s="303"/>
      <c r="AY422" s="303"/>
      <c r="AZ422" s="303"/>
      <c r="BA422" s="303"/>
      <c r="BB422" s="303"/>
      <c r="BC422" s="303"/>
      <c r="BD422" s="268"/>
      <c r="BE422" s="303"/>
    </row>
    <row r="423" customFormat="false" ht="15" hidden="false" customHeight="true" outlineLevel="0" collapsed="false">
      <c r="A423" s="198" t="n">
        <f aca="false">A407+1</f>
        <v>27</v>
      </c>
      <c r="B423" s="266" t="s">
        <v>253</v>
      </c>
      <c r="C423" s="266" t="s">
        <v>253</v>
      </c>
      <c r="D423" s="266"/>
      <c r="E423" s="241"/>
      <c r="F423" s="241"/>
      <c r="G423" s="241"/>
      <c r="H423" s="241"/>
      <c r="I423" s="241"/>
      <c r="J423" s="241"/>
      <c r="K423" s="277"/>
      <c r="L423" s="241"/>
      <c r="M423" s="241"/>
      <c r="N423" s="241"/>
      <c r="O423" s="241"/>
      <c r="P423" s="241"/>
      <c r="Q423" s="241"/>
      <c r="R423" s="241"/>
      <c r="S423" s="241"/>
      <c r="T423" s="241"/>
      <c r="U423" s="241"/>
      <c r="V423" s="241"/>
      <c r="W423" s="241"/>
      <c r="X423" s="259"/>
      <c r="Y423" s="268"/>
      <c r="Z423" s="268"/>
      <c r="AA423" s="268"/>
      <c r="AB423" s="268"/>
      <c r="AC423" s="268"/>
      <c r="AD423" s="268"/>
      <c r="AE423" s="268"/>
      <c r="AF423" s="268"/>
      <c r="AG423" s="268"/>
      <c r="AH423" s="268"/>
      <c r="AI423" s="268"/>
      <c r="AJ423" s="268"/>
      <c r="AK423" s="268"/>
      <c r="AL423" s="268"/>
      <c r="AM423" s="268"/>
      <c r="AN423" s="259"/>
      <c r="AO423" s="268"/>
      <c r="AP423" s="268"/>
      <c r="AQ423" s="268"/>
      <c r="AR423" s="268"/>
      <c r="AS423" s="268"/>
      <c r="AT423" s="268"/>
      <c r="AU423" s="268"/>
      <c r="AV423" s="268"/>
      <c r="AW423" s="268"/>
      <c r="AX423" s="268"/>
      <c r="AY423" s="268"/>
      <c r="AZ423" s="268"/>
      <c r="BA423" s="268"/>
      <c r="BB423" s="268"/>
      <c r="BC423" s="268"/>
      <c r="BD423" s="287"/>
      <c r="BE423" s="268"/>
    </row>
    <row r="424" customFormat="false" ht="7.5" hidden="false" customHeight="true" outlineLevel="0" collapsed="false">
      <c r="A424" s="198"/>
      <c r="B424" s="266"/>
      <c r="C424" s="266"/>
      <c r="D424" s="266"/>
      <c r="E424" s="241"/>
      <c r="F424" s="241"/>
      <c r="G424" s="241"/>
      <c r="H424" s="204"/>
      <c r="I424" s="269"/>
      <c r="J424" s="269"/>
      <c r="K424" s="277"/>
      <c r="L424" s="269"/>
      <c r="M424" s="269"/>
      <c r="N424" s="269"/>
      <c r="O424" s="269"/>
      <c r="P424" s="269"/>
      <c r="Q424" s="269"/>
      <c r="R424" s="269"/>
      <c r="S424" s="269"/>
      <c r="T424" s="269"/>
      <c r="U424" s="269"/>
      <c r="V424" s="269"/>
      <c r="W424" s="269"/>
      <c r="X424" s="259"/>
      <c r="Y424" s="271"/>
      <c r="Z424" s="271"/>
      <c r="AA424" s="271"/>
      <c r="AB424" s="271"/>
      <c r="AC424" s="271"/>
      <c r="AD424" s="271"/>
      <c r="AE424" s="271"/>
      <c r="AF424" s="271"/>
      <c r="AG424" s="271"/>
      <c r="AH424" s="271"/>
      <c r="AI424" s="271"/>
      <c r="AJ424" s="272"/>
      <c r="AK424" s="273"/>
      <c r="AL424" s="273"/>
      <c r="AM424" s="273"/>
      <c r="AN424" s="259"/>
      <c r="AO424" s="271"/>
      <c r="AP424" s="271"/>
      <c r="AQ424" s="271"/>
      <c r="AR424" s="271"/>
      <c r="AS424" s="271"/>
      <c r="AT424" s="271"/>
      <c r="AU424" s="271"/>
      <c r="AV424" s="271"/>
      <c r="AW424" s="271"/>
      <c r="AX424" s="271"/>
      <c r="AY424" s="271"/>
      <c r="AZ424" s="272"/>
      <c r="BA424" s="273"/>
      <c r="BB424" s="273"/>
      <c r="BC424" s="273"/>
      <c r="BD424" s="287"/>
      <c r="BE424" s="274"/>
    </row>
    <row r="425" customFormat="false" ht="15" hidden="false" customHeight="true" outlineLevel="0" collapsed="false">
      <c r="B425" s="333"/>
      <c r="C425" s="334"/>
      <c r="D425" s="333" t="n">
        <f aca="false">D409</f>
        <v>45292</v>
      </c>
      <c r="E425" s="277" t="n">
        <v>0</v>
      </c>
      <c r="F425" s="277" t="n">
        <v>0</v>
      </c>
      <c r="G425" s="277" t="n">
        <f aca="false">SUM(E425:F425)</f>
        <v>0</v>
      </c>
      <c r="H425" s="204"/>
      <c r="I425" s="279" t="n">
        <v>1</v>
      </c>
      <c r="J425" s="280" t="n">
        <f aca="false">1-I425</f>
        <v>0</v>
      </c>
      <c r="K425" s="277"/>
      <c r="L425" s="282"/>
      <c r="M425" s="282"/>
      <c r="N425" s="282"/>
      <c r="O425" s="282"/>
      <c r="P425" s="282"/>
      <c r="Q425" s="282"/>
      <c r="R425" s="282"/>
      <c r="S425" s="282"/>
      <c r="T425" s="282"/>
      <c r="U425" s="282"/>
      <c r="V425" s="282"/>
      <c r="W425" s="282"/>
      <c r="X425" s="268"/>
      <c r="Y425" s="284" t="n">
        <f aca="false">IFERROR(L425*$G425*I$9, "")</f>
        <v>0</v>
      </c>
      <c r="Z425" s="284" t="n">
        <f aca="false">IFERROR(M425*$G425*$I425, "")</f>
        <v>0</v>
      </c>
      <c r="AA425" s="284" t="n">
        <f aca="false">IFERROR(N425*$G425*$I425, "")</f>
        <v>0</v>
      </c>
      <c r="AB425" s="284" t="n">
        <f aca="false">IFERROR(O425*$G425*$I425, "")</f>
        <v>0</v>
      </c>
      <c r="AC425" s="284" t="n">
        <f aca="false">IFERROR(P425*$G425*$I425, "")</f>
        <v>0</v>
      </c>
      <c r="AD425" s="284" t="n">
        <f aca="false">IFERROR(Q425*$G425*$I425, "")</f>
        <v>0</v>
      </c>
      <c r="AE425" s="284" t="n">
        <f aca="false">IFERROR(R425*$G425*$I425, "")</f>
        <v>0</v>
      </c>
      <c r="AF425" s="284" t="n">
        <f aca="false">IFERROR(S425*$G425*$I425, "")</f>
        <v>0</v>
      </c>
      <c r="AG425" s="284" t="n">
        <f aca="false">IFERROR(T425*$G425*$I425, "")</f>
        <v>0</v>
      </c>
      <c r="AH425" s="284" t="n">
        <f aca="false">IFERROR(U425*$G425*$I425, "")</f>
        <v>0</v>
      </c>
      <c r="AI425" s="284" t="n">
        <f aca="false">IFERROR(V425*$G425*$I425, "")</f>
        <v>0</v>
      </c>
      <c r="AJ425" s="284" t="n">
        <f aca="false">IFERROR(W425*$G425*$I425, "")</f>
        <v>0</v>
      </c>
      <c r="AK425" s="286" t="n">
        <f aca="false">IFERROR(SUMIF($Y$4:$AJ$4, "RDEC", Y425:AJ425), "")</f>
        <v>0</v>
      </c>
      <c r="AL425" s="286" t="n">
        <f aca="false">IFERROR(SUMIF($Y$4:$AJ$4, "SME", Y425:AJ425), "")</f>
        <v>0</v>
      </c>
      <c r="AM425" s="286" t="n">
        <f aca="false">IFERROR(SUMIF($Y$4:$AJ$4, "De Minimis", Y425:AJ425), "")</f>
        <v>0</v>
      </c>
      <c r="AN425" s="268"/>
      <c r="AO425" s="284" t="n">
        <f aca="false">IFERROR($G425*$J425*L425, "")</f>
        <v>0</v>
      </c>
      <c r="AP425" s="284" t="n">
        <f aca="false">IFERROR($G425*$J425*M425, "")</f>
        <v>0</v>
      </c>
      <c r="AQ425" s="284" t="n">
        <f aca="false">IFERROR($G425*$J425*N425, "")</f>
        <v>0</v>
      </c>
      <c r="AR425" s="284" t="n">
        <f aca="false">IFERROR($G425*$J425*O425, "")</f>
        <v>0</v>
      </c>
      <c r="AS425" s="284" t="n">
        <f aca="false">IFERROR($G425*$J425*P425, "")</f>
        <v>0</v>
      </c>
      <c r="AT425" s="284" t="n">
        <f aca="false">IFERROR($G425*$J425*Q425, "")</f>
        <v>0</v>
      </c>
      <c r="AU425" s="284" t="n">
        <f aca="false">IFERROR($G425*$J425*R425, "")</f>
        <v>0</v>
      </c>
      <c r="AV425" s="284" t="n">
        <f aca="false">IFERROR($G425*$J425*S425, "")</f>
        <v>0</v>
      </c>
      <c r="AW425" s="284" t="n">
        <f aca="false">IFERROR($G425*$J425*T425, "")</f>
        <v>0</v>
      </c>
      <c r="AX425" s="284" t="n">
        <f aca="false">IFERROR($G425*$J425*U425, "")</f>
        <v>0</v>
      </c>
      <c r="AY425" s="284" t="n">
        <f aca="false">IFERROR($G425*$J425*V425, "")</f>
        <v>0</v>
      </c>
      <c r="AZ425" s="284" t="n">
        <f aca="false">IFERROR($G425*$J425*W425, "")</f>
        <v>0</v>
      </c>
      <c r="BA425" s="286" t="n">
        <f aca="false">IFERROR(SUMIF($AO$4:$AZ$4, "RDEC", AO425:AZ425), "")</f>
        <v>0</v>
      </c>
      <c r="BB425" s="286" t="n">
        <f aca="false">IFERROR(SUMIF($AO$4:$AZ$4, "SME", AO425:AZ425), "")</f>
        <v>0</v>
      </c>
      <c r="BC425" s="286" t="n">
        <f aca="false">IFERROR(SUMIF($AO$4:$AZ$4, "De Minimis", AO425:AZ425), "")</f>
        <v>0</v>
      </c>
      <c r="BD425" s="287"/>
      <c r="BE425" s="288" t="str">
        <f aca="false">IF((SUM(L425:W425)&gt;1),"ERROR","")</f>
        <v/>
      </c>
    </row>
    <row r="426" customFormat="false" ht="15" hidden="false" customHeight="true" outlineLevel="0" collapsed="false">
      <c r="B426" s="333"/>
      <c r="C426" s="334"/>
      <c r="D426" s="333" t="n">
        <f aca="false">D410</f>
        <v>45323</v>
      </c>
      <c r="E426" s="277" t="n">
        <v>0</v>
      </c>
      <c r="F426" s="277" t="n">
        <v>0</v>
      </c>
      <c r="G426" s="277" t="n">
        <f aca="false">SUM(E426:F426)</f>
        <v>0</v>
      </c>
      <c r="H426" s="204"/>
      <c r="I426" s="279" t="n">
        <v>1</v>
      </c>
      <c r="J426" s="280" t="n">
        <f aca="false">1-I426</f>
        <v>0</v>
      </c>
      <c r="K426" s="277"/>
      <c r="L426" s="282"/>
      <c r="M426" s="282"/>
      <c r="N426" s="282"/>
      <c r="O426" s="282"/>
      <c r="P426" s="282"/>
      <c r="Q426" s="282"/>
      <c r="R426" s="282"/>
      <c r="S426" s="282"/>
      <c r="T426" s="282"/>
      <c r="U426" s="282"/>
      <c r="V426" s="282"/>
      <c r="W426" s="282"/>
      <c r="X426" s="283"/>
      <c r="Y426" s="284" t="n">
        <f aca="false">IFERROR(L426*$G426*I$9, "")</f>
        <v>0</v>
      </c>
      <c r="Z426" s="284" t="n">
        <f aca="false">IFERROR(M426*$G426*$I426, "")</f>
        <v>0</v>
      </c>
      <c r="AA426" s="284" t="n">
        <f aca="false">IFERROR(N426*$G426*$I426, "")</f>
        <v>0</v>
      </c>
      <c r="AB426" s="284" t="n">
        <f aca="false">IFERROR(O426*$G426*$I426, "")</f>
        <v>0</v>
      </c>
      <c r="AC426" s="284" t="n">
        <f aca="false">IFERROR(P426*$G426*$I426, "")</f>
        <v>0</v>
      </c>
      <c r="AD426" s="284" t="n">
        <f aca="false">IFERROR(Q426*$G426*$I426, "")</f>
        <v>0</v>
      </c>
      <c r="AE426" s="284" t="n">
        <f aca="false">IFERROR(R426*$G426*$I426, "")</f>
        <v>0</v>
      </c>
      <c r="AF426" s="284" t="n">
        <f aca="false">IFERROR(S426*$G426*$I426, "")</f>
        <v>0</v>
      </c>
      <c r="AG426" s="284" t="n">
        <f aca="false">IFERROR(T426*$G426*$I426, "")</f>
        <v>0</v>
      </c>
      <c r="AH426" s="284" t="n">
        <f aca="false">IFERROR(U426*$G426*$I426, "")</f>
        <v>0</v>
      </c>
      <c r="AI426" s="284" t="n">
        <f aca="false">IFERROR(V426*$G426*$I426, "")</f>
        <v>0</v>
      </c>
      <c r="AJ426" s="284" t="n">
        <f aca="false">IFERROR(W426*$G426*$I426, "")</f>
        <v>0</v>
      </c>
      <c r="AK426" s="286" t="n">
        <f aca="false">IFERROR(SUMIF($Y$4:$AJ$4, "RDEC", Y426:AJ426), "")</f>
        <v>0</v>
      </c>
      <c r="AL426" s="286" t="n">
        <f aca="false">IFERROR(SUMIF($Y$4:$AJ$4, "SME", Y426:AJ426), "")</f>
        <v>0</v>
      </c>
      <c r="AM426" s="286" t="n">
        <f aca="false">IFERROR(SUMIF($Y$4:$AJ$4, "De Minimis", Y426:AJ426), "")</f>
        <v>0</v>
      </c>
      <c r="AN426" s="283"/>
      <c r="AO426" s="284" t="n">
        <f aca="false">IFERROR($G426*$J426*L426, "")</f>
        <v>0</v>
      </c>
      <c r="AP426" s="284" t="n">
        <f aca="false">IFERROR($G426*$J426*M426, "")</f>
        <v>0</v>
      </c>
      <c r="AQ426" s="284" t="n">
        <f aca="false">IFERROR($G426*$J426*N426, "")</f>
        <v>0</v>
      </c>
      <c r="AR426" s="284" t="n">
        <f aca="false">IFERROR($G426*$J426*O426, "")</f>
        <v>0</v>
      </c>
      <c r="AS426" s="284" t="n">
        <f aca="false">IFERROR($G426*$J426*P426, "")</f>
        <v>0</v>
      </c>
      <c r="AT426" s="284" t="n">
        <f aca="false">IFERROR($G426*$J426*Q426, "")</f>
        <v>0</v>
      </c>
      <c r="AU426" s="284" t="n">
        <f aca="false">IFERROR($G426*$J426*R426, "")</f>
        <v>0</v>
      </c>
      <c r="AV426" s="284" t="n">
        <f aca="false">IFERROR($G426*$J426*S426, "")</f>
        <v>0</v>
      </c>
      <c r="AW426" s="284" t="n">
        <f aca="false">IFERROR($G426*$J426*T426, "")</f>
        <v>0</v>
      </c>
      <c r="AX426" s="284" t="n">
        <f aca="false">IFERROR($G426*$J426*U426, "")</f>
        <v>0</v>
      </c>
      <c r="AY426" s="284" t="n">
        <f aca="false">IFERROR($G426*$J426*V426, "")</f>
        <v>0</v>
      </c>
      <c r="AZ426" s="284" t="n">
        <f aca="false">IFERROR($G426*$J426*W426, "")</f>
        <v>0</v>
      </c>
      <c r="BA426" s="286" t="n">
        <f aca="false">IFERROR(SUMIF($AO$4:$AZ$4, "RDEC", AO426:AZ426), "")</f>
        <v>0</v>
      </c>
      <c r="BB426" s="286" t="n">
        <f aca="false">IFERROR(SUMIF($AO$4:$AZ$4, "SME", AO426:AZ426), "")</f>
        <v>0</v>
      </c>
      <c r="BC426" s="286" t="n">
        <f aca="false">IFERROR(SUMIF($Y$4:$AJ$4, "De Minimis", AO426:AZ426), "")</f>
        <v>0</v>
      </c>
      <c r="BD426" s="287"/>
      <c r="BE426" s="288" t="str">
        <f aca="false">IF((SUM(L426:W426)&gt;1),"ERROR","")</f>
        <v/>
      </c>
    </row>
    <row r="427" customFormat="false" ht="15" hidden="false" customHeight="true" outlineLevel="0" collapsed="false">
      <c r="B427" s="333"/>
      <c r="C427" s="334"/>
      <c r="D427" s="333" t="n">
        <f aca="false">D411</f>
        <v>45352</v>
      </c>
      <c r="E427" s="277" t="n">
        <v>0</v>
      </c>
      <c r="F427" s="277" t="n">
        <v>0</v>
      </c>
      <c r="G427" s="277" t="n">
        <f aca="false">SUM(E427:F427)</f>
        <v>0</v>
      </c>
      <c r="H427" s="204"/>
      <c r="I427" s="279" t="n">
        <v>1</v>
      </c>
      <c r="J427" s="280" t="n">
        <f aca="false">1-I427</f>
        <v>0</v>
      </c>
      <c r="K427" s="277"/>
      <c r="L427" s="282"/>
      <c r="M427" s="282"/>
      <c r="N427" s="282"/>
      <c r="O427" s="282"/>
      <c r="P427" s="282"/>
      <c r="Q427" s="282"/>
      <c r="R427" s="282"/>
      <c r="S427" s="282"/>
      <c r="T427" s="282"/>
      <c r="U427" s="282"/>
      <c r="V427" s="282"/>
      <c r="W427" s="282"/>
      <c r="X427" s="283"/>
      <c r="Y427" s="284" t="n">
        <f aca="false">IFERROR(L427*$G427*I$9, "")</f>
        <v>0</v>
      </c>
      <c r="Z427" s="284" t="n">
        <f aca="false">IFERROR(M427*$G427*$I427, "")</f>
        <v>0</v>
      </c>
      <c r="AA427" s="284" t="n">
        <f aca="false">IFERROR(N427*$G427*$I427, "")</f>
        <v>0</v>
      </c>
      <c r="AB427" s="284" t="n">
        <f aca="false">IFERROR(O427*$G427*$I427, "")</f>
        <v>0</v>
      </c>
      <c r="AC427" s="284" t="n">
        <f aca="false">IFERROR(P427*$G427*$I427, "")</f>
        <v>0</v>
      </c>
      <c r="AD427" s="284" t="n">
        <f aca="false">IFERROR(Q427*$G427*$I427, "")</f>
        <v>0</v>
      </c>
      <c r="AE427" s="284" t="n">
        <f aca="false">IFERROR(R427*$G427*$I427, "")</f>
        <v>0</v>
      </c>
      <c r="AF427" s="284" t="n">
        <f aca="false">IFERROR(S427*$G427*$I427, "")</f>
        <v>0</v>
      </c>
      <c r="AG427" s="284" t="n">
        <f aca="false">IFERROR(T427*$G427*$I427, "")</f>
        <v>0</v>
      </c>
      <c r="AH427" s="284" t="n">
        <f aca="false">IFERROR(U427*$G427*$I427, "")</f>
        <v>0</v>
      </c>
      <c r="AI427" s="284" t="n">
        <f aca="false">IFERROR(V427*$G427*$I427, "")</f>
        <v>0</v>
      </c>
      <c r="AJ427" s="284" t="n">
        <f aca="false">IFERROR(W427*$G427*$I427, "")</f>
        <v>0</v>
      </c>
      <c r="AK427" s="286" t="n">
        <f aca="false">IFERROR(SUMIF($Y$4:$AJ$4, "RDEC", Y427:AJ427), "")</f>
        <v>0</v>
      </c>
      <c r="AL427" s="286" t="n">
        <f aca="false">IFERROR(SUMIF($Y$4:$AJ$4, "SME", Y427:AJ427), "")</f>
        <v>0</v>
      </c>
      <c r="AM427" s="286" t="n">
        <f aca="false">IFERROR(SUMIF($Y$4:$AJ$4, "De Minimis", Y427:AJ427), "")</f>
        <v>0</v>
      </c>
      <c r="AN427" s="283"/>
      <c r="AO427" s="284" t="n">
        <f aca="false">IFERROR($G427*$J427*L427, "")</f>
        <v>0</v>
      </c>
      <c r="AP427" s="284" t="n">
        <f aca="false">IFERROR($G427*$J427*M427, "")</f>
        <v>0</v>
      </c>
      <c r="AQ427" s="284" t="n">
        <f aca="false">IFERROR($G427*$J427*N427, "")</f>
        <v>0</v>
      </c>
      <c r="AR427" s="284" t="n">
        <f aca="false">IFERROR($G427*$J427*O427, "")</f>
        <v>0</v>
      </c>
      <c r="AS427" s="284" t="n">
        <f aca="false">IFERROR($G427*$J427*P427, "")</f>
        <v>0</v>
      </c>
      <c r="AT427" s="284" t="n">
        <f aca="false">IFERROR($G427*$J427*Q427, "")</f>
        <v>0</v>
      </c>
      <c r="AU427" s="284" t="n">
        <f aca="false">IFERROR($G427*$J427*R427, "")</f>
        <v>0</v>
      </c>
      <c r="AV427" s="284" t="n">
        <f aca="false">IFERROR($G427*$J427*S427, "")</f>
        <v>0</v>
      </c>
      <c r="AW427" s="284" t="n">
        <f aca="false">IFERROR($G427*$J427*T427, "")</f>
        <v>0</v>
      </c>
      <c r="AX427" s="284" t="n">
        <f aca="false">IFERROR($G427*$J427*U427, "")</f>
        <v>0</v>
      </c>
      <c r="AY427" s="284" t="n">
        <f aca="false">IFERROR($G427*$J427*V427, "")</f>
        <v>0</v>
      </c>
      <c r="AZ427" s="284" t="n">
        <f aca="false">IFERROR($G427*$J427*W427, "")</f>
        <v>0</v>
      </c>
      <c r="BA427" s="286" t="n">
        <f aca="false">IFERROR(SUMIF($AO$4:$AZ$4, "RDEC", AO427:AZ427), "")</f>
        <v>0</v>
      </c>
      <c r="BB427" s="286" t="n">
        <f aca="false">IFERROR(SUMIF($AO$4:$AZ$4, "SME", AO427:AZ427), "")</f>
        <v>0</v>
      </c>
      <c r="BC427" s="286" t="n">
        <f aca="false">IFERROR(SUMIF($Y$4:$AJ$4, "De Minimis", AO427:AZ427), "")</f>
        <v>0</v>
      </c>
      <c r="BD427" s="287"/>
      <c r="BE427" s="288" t="str">
        <f aca="false">IF((SUM(L427:W427)&gt;1),"ERROR","")</f>
        <v/>
      </c>
    </row>
    <row r="428" customFormat="false" ht="15" hidden="false" customHeight="true" outlineLevel="0" collapsed="false">
      <c r="B428" s="333"/>
      <c r="C428" s="334"/>
      <c r="D428" s="333" t="n">
        <f aca="false">D412</f>
        <v>45383</v>
      </c>
      <c r="E428" s="277" t="n">
        <v>0</v>
      </c>
      <c r="F428" s="277" t="n">
        <v>0</v>
      </c>
      <c r="G428" s="277" t="n">
        <f aca="false">SUM(E428:F428)</f>
        <v>0</v>
      </c>
      <c r="H428" s="204"/>
      <c r="I428" s="279" t="n">
        <v>1</v>
      </c>
      <c r="J428" s="280" t="n">
        <f aca="false">1-I428</f>
        <v>0</v>
      </c>
      <c r="K428" s="277"/>
      <c r="L428" s="282"/>
      <c r="M428" s="282"/>
      <c r="N428" s="282"/>
      <c r="O428" s="282"/>
      <c r="P428" s="282"/>
      <c r="Q428" s="282"/>
      <c r="R428" s="282"/>
      <c r="S428" s="282"/>
      <c r="T428" s="282"/>
      <c r="U428" s="282"/>
      <c r="V428" s="282"/>
      <c r="W428" s="282"/>
      <c r="X428" s="283"/>
      <c r="Y428" s="284" t="n">
        <f aca="false">IFERROR(L428*$G428*I$9, "")</f>
        <v>0</v>
      </c>
      <c r="Z428" s="284" t="n">
        <f aca="false">IFERROR(M428*$G428*$I428, "")</f>
        <v>0</v>
      </c>
      <c r="AA428" s="284" t="n">
        <f aca="false">IFERROR(N428*$G428*$I428, "")</f>
        <v>0</v>
      </c>
      <c r="AB428" s="284" t="n">
        <f aca="false">IFERROR(O428*$G428*$I428, "")</f>
        <v>0</v>
      </c>
      <c r="AC428" s="284" t="n">
        <f aca="false">IFERROR(P428*$G428*$I428, "")</f>
        <v>0</v>
      </c>
      <c r="AD428" s="284" t="n">
        <f aca="false">IFERROR(Q428*$G428*$I428, "")</f>
        <v>0</v>
      </c>
      <c r="AE428" s="284" t="n">
        <f aca="false">IFERROR(R428*$G428*$I428, "")</f>
        <v>0</v>
      </c>
      <c r="AF428" s="284" t="n">
        <f aca="false">IFERROR(S428*$G428*$I428, "")</f>
        <v>0</v>
      </c>
      <c r="AG428" s="284" t="n">
        <f aca="false">IFERROR(T428*$G428*$I428, "")</f>
        <v>0</v>
      </c>
      <c r="AH428" s="284" t="n">
        <f aca="false">IFERROR(U428*$G428*$I428, "")</f>
        <v>0</v>
      </c>
      <c r="AI428" s="284" t="n">
        <f aca="false">IFERROR(V428*$G428*$I428, "")</f>
        <v>0</v>
      </c>
      <c r="AJ428" s="284" t="n">
        <f aca="false">IFERROR(W428*$G428*$I428, "")</f>
        <v>0</v>
      </c>
      <c r="AK428" s="286" t="n">
        <f aca="false">IFERROR(SUMIF($Y$4:$AJ$4, "RDEC", Y428:AJ428), "")</f>
        <v>0</v>
      </c>
      <c r="AL428" s="286" t="n">
        <f aca="false">IFERROR(SUMIF($Y$4:$AJ$4, "SME", Y428:AJ428), "")</f>
        <v>0</v>
      </c>
      <c r="AM428" s="286" t="n">
        <f aca="false">IFERROR(SUMIF($Y$4:$AJ$4, "De Minimis", Y428:AJ428), "")</f>
        <v>0</v>
      </c>
      <c r="AN428" s="283"/>
      <c r="AO428" s="284" t="n">
        <f aca="false">IFERROR($G428*$J428*L428, "")</f>
        <v>0</v>
      </c>
      <c r="AP428" s="284" t="n">
        <f aca="false">IFERROR($G428*$J428*M428, "")</f>
        <v>0</v>
      </c>
      <c r="AQ428" s="284" t="n">
        <f aca="false">IFERROR($G428*$J428*N428, "")</f>
        <v>0</v>
      </c>
      <c r="AR428" s="284" t="n">
        <f aca="false">IFERROR($G428*$J428*O428, "")</f>
        <v>0</v>
      </c>
      <c r="AS428" s="284" t="n">
        <f aca="false">IFERROR($G428*$J428*P428, "")</f>
        <v>0</v>
      </c>
      <c r="AT428" s="284" t="n">
        <f aca="false">IFERROR($G428*$J428*Q428, "")</f>
        <v>0</v>
      </c>
      <c r="AU428" s="284" t="n">
        <f aca="false">IFERROR($G428*$J428*R428, "")</f>
        <v>0</v>
      </c>
      <c r="AV428" s="284" t="n">
        <f aca="false">IFERROR($G428*$J428*S428, "")</f>
        <v>0</v>
      </c>
      <c r="AW428" s="284" t="n">
        <f aca="false">IFERROR($G428*$J428*T428, "")</f>
        <v>0</v>
      </c>
      <c r="AX428" s="284" t="n">
        <f aca="false">IFERROR($G428*$J428*U428, "")</f>
        <v>0</v>
      </c>
      <c r="AY428" s="284" t="n">
        <f aca="false">IFERROR($G428*$J428*V428, "")</f>
        <v>0</v>
      </c>
      <c r="AZ428" s="284" t="n">
        <f aca="false">IFERROR($G428*$J428*W428, "")</f>
        <v>0</v>
      </c>
      <c r="BA428" s="286" t="n">
        <f aca="false">IFERROR(SUMIF($AO$4:$AZ$4, "RDEC", AO428:AZ428), "")</f>
        <v>0</v>
      </c>
      <c r="BB428" s="286" t="n">
        <f aca="false">IFERROR(SUMIF($AO$4:$AZ$4, "SME", AO428:AZ428), "")</f>
        <v>0</v>
      </c>
      <c r="BC428" s="286" t="n">
        <f aca="false">IFERROR(SUMIF($Y$4:$AJ$4, "De Minimis", AO428:AZ428), "")</f>
        <v>0</v>
      </c>
      <c r="BD428" s="287"/>
      <c r="BE428" s="288" t="str">
        <f aca="false">IF((SUM(L428:W428)&gt;1),"ERROR","")</f>
        <v/>
      </c>
    </row>
    <row r="429" customFormat="false" ht="15" hidden="false" customHeight="true" outlineLevel="0" collapsed="false">
      <c r="B429" s="333"/>
      <c r="C429" s="334"/>
      <c r="D429" s="333" t="n">
        <f aca="false">D413</f>
        <v>45413</v>
      </c>
      <c r="E429" s="277" t="n">
        <v>0</v>
      </c>
      <c r="F429" s="277" t="n">
        <v>0</v>
      </c>
      <c r="G429" s="277" t="n">
        <f aca="false">SUM(E429:F429)</f>
        <v>0</v>
      </c>
      <c r="H429" s="204"/>
      <c r="I429" s="279" t="n">
        <v>1</v>
      </c>
      <c r="J429" s="280" t="n">
        <f aca="false">1-I429</f>
        <v>0</v>
      </c>
      <c r="K429" s="277"/>
      <c r="L429" s="282"/>
      <c r="M429" s="282"/>
      <c r="N429" s="282"/>
      <c r="O429" s="282"/>
      <c r="P429" s="282"/>
      <c r="Q429" s="282"/>
      <c r="R429" s="282"/>
      <c r="S429" s="282"/>
      <c r="T429" s="282"/>
      <c r="U429" s="282"/>
      <c r="V429" s="282"/>
      <c r="W429" s="282"/>
      <c r="X429" s="283"/>
      <c r="Y429" s="284" t="n">
        <f aca="false">IFERROR(L429*$G429*I$9, "")</f>
        <v>0</v>
      </c>
      <c r="Z429" s="284" t="n">
        <f aca="false">IFERROR(M429*$G429*$I429, "")</f>
        <v>0</v>
      </c>
      <c r="AA429" s="284" t="n">
        <f aca="false">IFERROR(N429*$G429*$I429, "")</f>
        <v>0</v>
      </c>
      <c r="AB429" s="284" t="n">
        <f aca="false">IFERROR(O429*$G429*$I429, "")</f>
        <v>0</v>
      </c>
      <c r="AC429" s="284" t="n">
        <f aca="false">IFERROR(P429*$G429*$I429, "")</f>
        <v>0</v>
      </c>
      <c r="AD429" s="284" t="n">
        <f aca="false">IFERROR(Q429*$G429*$I429, "")</f>
        <v>0</v>
      </c>
      <c r="AE429" s="284" t="n">
        <f aca="false">IFERROR(R429*$G429*$I429, "")</f>
        <v>0</v>
      </c>
      <c r="AF429" s="284" t="n">
        <f aca="false">IFERROR(S429*$G429*$I429, "")</f>
        <v>0</v>
      </c>
      <c r="AG429" s="284" t="n">
        <f aca="false">IFERROR(T429*$G429*$I429, "")</f>
        <v>0</v>
      </c>
      <c r="AH429" s="284" t="n">
        <f aca="false">IFERROR(U429*$G429*$I429, "")</f>
        <v>0</v>
      </c>
      <c r="AI429" s="284" t="n">
        <f aca="false">IFERROR(V429*$G429*$I429, "")</f>
        <v>0</v>
      </c>
      <c r="AJ429" s="284" t="n">
        <f aca="false">IFERROR(W429*$G429*$I429, "")</f>
        <v>0</v>
      </c>
      <c r="AK429" s="286" t="n">
        <f aca="false">IFERROR(SUMIF($Y$4:$AJ$4, "RDEC", Y429:AJ429), "")</f>
        <v>0</v>
      </c>
      <c r="AL429" s="286" t="n">
        <f aca="false">IFERROR(SUMIF($Y$4:$AJ$4, "SME", Y429:AJ429), "")</f>
        <v>0</v>
      </c>
      <c r="AM429" s="286" t="n">
        <f aca="false">IFERROR(SUMIF($Y$4:$AJ$4, "De Minimis", Y429:AJ429), "")</f>
        <v>0</v>
      </c>
      <c r="AN429" s="283"/>
      <c r="AO429" s="284" t="n">
        <f aca="false">IFERROR($G429*$J429*L429, "")</f>
        <v>0</v>
      </c>
      <c r="AP429" s="284" t="n">
        <f aca="false">IFERROR($G429*$J429*M429, "")</f>
        <v>0</v>
      </c>
      <c r="AQ429" s="284" t="n">
        <f aca="false">IFERROR($G429*$J429*N429, "")</f>
        <v>0</v>
      </c>
      <c r="AR429" s="284" t="n">
        <f aca="false">IFERROR($G429*$J429*O429, "")</f>
        <v>0</v>
      </c>
      <c r="AS429" s="284" t="n">
        <f aca="false">IFERROR($G429*$J429*P429, "")</f>
        <v>0</v>
      </c>
      <c r="AT429" s="284" t="n">
        <f aca="false">IFERROR($G429*$J429*Q429, "")</f>
        <v>0</v>
      </c>
      <c r="AU429" s="284" t="n">
        <f aca="false">IFERROR($G429*$J429*R429, "")</f>
        <v>0</v>
      </c>
      <c r="AV429" s="284" t="n">
        <f aca="false">IFERROR($G429*$J429*S429, "")</f>
        <v>0</v>
      </c>
      <c r="AW429" s="284" t="n">
        <f aca="false">IFERROR($G429*$J429*T429, "")</f>
        <v>0</v>
      </c>
      <c r="AX429" s="284" t="n">
        <f aca="false">IFERROR($G429*$J429*U429, "")</f>
        <v>0</v>
      </c>
      <c r="AY429" s="284" t="n">
        <f aca="false">IFERROR($G429*$J429*V429, "")</f>
        <v>0</v>
      </c>
      <c r="AZ429" s="284" t="n">
        <f aca="false">IFERROR($G429*$J429*W429, "")</f>
        <v>0</v>
      </c>
      <c r="BA429" s="286" t="n">
        <f aca="false">IFERROR(SUMIF($AO$4:$AZ$4, "RDEC", AO429:AZ429), "")</f>
        <v>0</v>
      </c>
      <c r="BB429" s="286" t="n">
        <f aca="false">IFERROR(SUMIF($AO$4:$AZ$4, "SME", AO429:AZ429), "")</f>
        <v>0</v>
      </c>
      <c r="BC429" s="286" t="n">
        <f aca="false">IFERROR(SUMIF($Y$4:$AJ$4, "De Minimis", AO429:AZ429), "")</f>
        <v>0</v>
      </c>
      <c r="BD429" s="287"/>
      <c r="BE429" s="288" t="str">
        <f aca="false">IF((SUM(L429:W429)&gt;1),"ERROR","")</f>
        <v/>
      </c>
    </row>
    <row r="430" customFormat="false" ht="15" hidden="false" customHeight="true" outlineLevel="0" collapsed="false">
      <c r="B430" s="333"/>
      <c r="C430" s="334"/>
      <c r="D430" s="333" t="n">
        <f aca="false">D414</f>
        <v>45444</v>
      </c>
      <c r="E430" s="277" t="n">
        <v>0</v>
      </c>
      <c r="F430" s="277" t="n">
        <v>0</v>
      </c>
      <c r="G430" s="277" t="n">
        <f aca="false">SUM(E430:F430)</f>
        <v>0</v>
      </c>
      <c r="H430" s="204"/>
      <c r="I430" s="279" t="n">
        <v>1</v>
      </c>
      <c r="J430" s="280" t="n">
        <f aca="false">1-I430</f>
        <v>0</v>
      </c>
      <c r="K430" s="277"/>
      <c r="L430" s="282"/>
      <c r="M430" s="282"/>
      <c r="N430" s="282"/>
      <c r="O430" s="282"/>
      <c r="P430" s="282"/>
      <c r="Q430" s="282"/>
      <c r="R430" s="282"/>
      <c r="S430" s="282"/>
      <c r="T430" s="282"/>
      <c r="U430" s="282"/>
      <c r="V430" s="282"/>
      <c r="W430" s="282"/>
      <c r="X430" s="283"/>
      <c r="Y430" s="284" t="n">
        <f aca="false">IFERROR(L430*$G430*I$9, "")</f>
        <v>0</v>
      </c>
      <c r="Z430" s="284" t="n">
        <f aca="false">IFERROR(M430*$G430*$I430, "")</f>
        <v>0</v>
      </c>
      <c r="AA430" s="284" t="n">
        <f aca="false">IFERROR(N430*$G430*$I430, "")</f>
        <v>0</v>
      </c>
      <c r="AB430" s="284" t="n">
        <f aca="false">IFERROR(O430*$G430*$I430, "")</f>
        <v>0</v>
      </c>
      <c r="AC430" s="284" t="n">
        <f aca="false">IFERROR(P430*$G430*$I430, "")</f>
        <v>0</v>
      </c>
      <c r="AD430" s="284" t="n">
        <f aca="false">IFERROR(Q430*$G430*$I430, "")</f>
        <v>0</v>
      </c>
      <c r="AE430" s="284" t="n">
        <f aca="false">IFERROR(R430*$G430*$I430, "")</f>
        <v>0</v>
      </c>
      <c r="AF430" s="284" t="n">
        <f aca="false">IFERROR(S430*$G430*$I430, "")</f>
        <v>0</v>
      </c>
      <c r="AG430" s="284" t="n">
        <f aca="false">IFERROR(T430*$G430*$I430, "")</f>
        <v>0</v>
      </c>
      <c r="AH430" s="284" t="n">
        <f aca="false">IFERROR(U430*$G430*$I430, "")</f>
        <v>0</v>
      </c>
      <c r="AI430" s="284" t="n">
        <f aca="false">IFERROR(V430*$G430*$I430, "")</f>
        <v>0</v>
      </c>
      <c r="AJ430" s="284" t="n">
        <f aca="false">IFERROR(W430*$G430*$I430, "")</f>
        <v>0</v>
      </c>
      <c r="AK430" s="286" t="n">
        <f aca="false">IFERROR(SUMIF($Y$4:$AJ$4, "RDEC", Y430:AJ430), "")</f>
        <v>0</v>
      </c>
      <c r="AL430" s="286" t="n">
        <f aca="false">IFERROR(SUMIF($Y$4:$AJ$4, "SME", Y430:AJ430), "")</f>
        <v>0</v>
      </c>
      <c r="AM430" s="286" t="n">
        <f aca="false">IFERROR(SUMIF($Y$4:$AJ$4, "De Minimis", Y430:AJ430), "")</f>
        <v>0</v>
      </c>
      <c r="AN430" s="283"/>
      <c r="AO430" s="284" t="n">
        <f aca="false">IFERROR($G430*$J430*L430, "")</f>
        <v>0</v>
      </c>
      <c r="AP430" s="284" t="n">
        <f aca="false">IFERROR($G430*$J430*M430, "")</f>
        <v>0</v>
      </c>
      <c r="AQ430" s="284" t="n">
        <f aca="false">IFERROR($G430*$J430*N430, "")</f>
        <v>0</v>
      </c>
      <c r="AR430" s="284" t="n">
        <f aca="false">IFERROR($G430*$J430*O430, "")</f>
        <v>0</v>
      </c>
      <c r="AS430" s="284" t="n">
        <f aca="false">IFERROR($G430*$J430*P430, "")</f>
        <v>0</v>
      </c>
      <c r="AT430" s="284" t="n">
        <f aca="false">IFERROR($G430*$J430*Q430, "")</f>
        <v>0</v>
      </c>
      <c r="AU430" s="284" t="n">
        <f aca="false">IFERROR($G430*$J430*R430, "")</f>
        <v>0</v>
      </c>
      <c r="AV430" s="284" t="n">
        <f aca="false">IFERROR($G430*$J430*S430, "")</f>
        <v>0</v>
      </c>
      <c r="AW430" s="284" t="n">
        <f aca="false">IFERROR($G430*$J430*T430, "")</f>
        <v>0</v>
      </c>
      <c r="AX430" s="284" t="n">
        <f aca="false">IFERROR($G430*$J430*U430, "")</f>
        <v>0</v>
      </c>
      <c r="AY430" s="284" t="n">
        <f aca="false">IFERROR($G430*$J430*V430, "")</f>
        <v>0</v>
      </c>
      <c r="AZ430" s="284" t="n">
        <f aca="false">IFERROR($G430*$J430*W430, "")</f>
        <v>0</v>
      </c>
      <c r="BA430" s="286" t="n">
        <f aca="false">IFERROR(SUMIF($AO$4:$AZ$4, "RDEC", AO430:AZ430), "")</f>
        <v>0</v>
      </c>
      <c r="BB430" s="286" t="n">
        <f aca="false">IFERROR(SUMIF($AO$4:$AZ$4, "SME", AO430:AZ430), "")</f>
        <v>0</v>
      </c>
      <c r="BC430" s="286" t="n">
        <f aca="false">IFERROR(SUMIF($Y$4:$AJ$4, "De Minimis", AO430:AZ430), "")</f>
        <v>0</v>
      </c>
      <c r="BD430" s="287"/>
      <c r="BE430" s="288" t="str">
        <f aca="false">IF((SUM(L430:W430)&gt;1),"ERROR","")</f>
        <v/>
      </c>
    </row>
    <row r="431" customFormat="false" ht="15" hidden="false" customHeight="true" outlineLevel="0" collapsed="false">
      <c r="B431" s="333"/>
      <c r="C431" s="334"/>
      <c r="D431" s="333" t="n">
        <f aca="false">D415</f>
        <v>45474</v>
      </c>
      <c r="E431" s="277" t="n">
        <v>0</v>
      </c>
      <c r="F431" s="277" t="n">
        <v>0</v>
      </c>
      <c r="G431" s="277" t="n">
        <f aca="false">SUM(E431:F431)</f>
        <v>0</v>
      </c>
      <c r="H431" s="204"/>
      <c r="I431" s="279" t="n">
        <v>1</v>
      </c>
      <c r="J431" s="280" t="n">
        <f aca="false">1-I431</f>
        <v>0</v>
      </c>
      <c r="K431" s="277"/>
      <c r="L431" s="282"/>
      <c r="M431" s="282"/>
      <c r="N431" s="282"/>
      <c r="O431" s="282"/>
      <c r="P431" s="282"/>
      <c r="Q431" s="282"/>
      <c r="R431" s="282"/>
      <c r="S431" s="282"/>
      <c r="T431" s="282"/>
      <c r="U431" s="282"/>
      <c r="V431" s="282"/>
      <c r="W431" s="282"/>
      <c r="X431" s="283"/>
      <c r="Y431" s="284" t="n">
        <f aca="false">IFERROR(L431*$G431*I$9, "")</f>
        <v>0</v>
      </c>
      <c r="Z431" s="284" t="n">
        <f aca="false">IFERROR(M431*$G431*$I431, "")</f>
        <v>0</v>
      </c>
      <c r="AA431" s="284" t="n">
        <f aca="false">IFERROR(N431*$G431*$I431, "")</f>
        <v>0</v>
      </c>
      <c r="AB431" s="284" t="n">
        <f aca="false">IFERROR(O431*$G431*$I431, "")</f>
        <v>0</v>
      </c>
      <c r="AC431" s="284" t="n">
        <f aca="false">IFERROR(P431*$G431*$I431, "")</f>
        <v>0</v>
      </c>
      <c r="AD431" s="284" t="n">
        <f aca="false">IFERROR(Q431*$G431*$I431, "")</f>
        <v>0</v>
      </c>
      <c r="AE431" s="284" t="n">
        <f aca="false">IFERROR(R431*$G431*$I431, "")</f>
        <v>0</v>
      </c>
      <c r="AF431" s="284" t="n">
        <f aca="false">IFERROR(S431*$G431*$I431, "")</f>
        <v>0</v>
      </c>
      <c r="AG431" s="284" t="n">
        <f aca="false">IFERROR(T431*$G431*$I431, "")</f>
        <v>0</v>
      </c>
      <c r="AH431" s="284" t="n">
        <f aca="false">IFERROR(U431*$G431*$I431, "")</f>
        <v>0</v>
      </c>
      <c r="AI431" s="284" t="n">
        <f aca="false">IFERROR(V431*$G431*$I431, "")</f>
        <v>0</v>
      </c>
      <c r="AJ431" s="284" t="n">
        <f aca="false">IFERROR(W431*$G431*$I431, "")</f>
        <v>0</v>
      </c>
      <c r="AK431" s="286" t="n">
        <f aca="false">IFERROR(SUMIF($Y$4:$AJ$4, "RDEC", Y431:AJ431), "")</f>
        <v>0</v>
      </c>
      <c r="AL431" s="286" t="n">
        <f aca="false">IFERROR(SUMIF($Y$4:$AJ$4, "SME", Y431:AJ431), "")</f>
        <v>0</v>
      </c>
      <c r="AM431" s="286" t="n">
        <f aca="false">IFERROR(SUMIF($Y$4:$AJ$4, "De Minimis", Y431:AJ431), "")</f>
        <v>0</v>
      </c>
      <c r="AN431" s="283"/>
      <c r="AO431" s="284" t="n">
        <f aca="false">IFERROR($G431*$J431*L431, "")</f>
        <v>0</v>
      </c>
      <c r="AP431" s="284" t="n">
        <f aca="false">IFERROR($G431*$J431*M431, "")</f>
        <v>0</v>
      </c>
      <c r="AQ431" s="284" t="n">
        <f aca="false">IFERROR($G431*$J431*N431, "")</f>
        <v>0</v>
      </c>
      <c r="AR431" s="284" t="n">
        <f aca="false">IFERROR($G431*$J431*O431, "")</f>
        <v>0</v>
      </c>
      <c r="AS431" s="284" t="n">
        <f aca="false">IFERROR($G431*$J431*P431, "")</f>
        <v>0</v>
      </c>
      <c r="AT431" s="284" t="n">
        <f aca="false">IFERROR($G431*$J431*Q431, "")</f>
        <v>0</v>
      </c>
      <c r="AU431" s="284" t="n">
        <f aca="false">IFERROR($G431*$J431*R431, "")</f>
        <v>0</v>
      </c>
      <c r="AV431" s="284" t="n">
        <f aca="false">IFERROR($G431*$J431*S431, "")</f>
        <v>0</v>
      </c>
      <c r="AW431" s="284" t="n">
        <f aca="false">IFERROR($G431*$J431*T431, "")</f>
        <v>0</v>
      </c>
      <c r="AX431" s="284" t="n">
        <f aca="false">IFERROR($G431*$J431*U431, "")</f>
        <v>0</v>
      </c>
      <c r="AY431" s="284" t="n">
        <f aca="false">IFERROR($G431*$J431*V431, "")</f>
        <v>0</v>
      </c>
      <c r="AZ431" s="284" t="n">
        <f aca="false">IFERROR($G431*$J431*W431, "")</f>
        <v>0</v>
      </c>
      <c r="BA431" s="286" t="n">
        <f aca="false">IFERROR(SUMIF($AO$4:$AZ$4, "RDEC", AO431:AZ431), "")</f>
        <v>0</v>
      </c>
      <c r="BB431" s="286" t="n">
        <f aca="false">IFERROR(SUMIF($AO$4:$AZ$4, "SME", AO431:AZ431), "")</f>
        <v>0</v>
      </c>
      <c r="BC431" s="286" t="n">
        <f aca="false">IFERROR(SUMIF($Y$4:$AJ$4, "De Minimis", AO431:AZ431), "")</f>
        <v>0</v>
      </c>
      <c r="BD431" s="287"/>
      <c r="BE431" s="288" t="str">
        <f aca="false">IF((SUM(L431:W431)&gt;1),"ERROR","")</f>
        <v/>
      </c>
    </row>
    <row r="432" customFormat="false" ht="15" hidden="false" customHeight="true" outlineLevel="0" collapsed="false">
      <c r="B432" s="333"/>
      <c r="C432" s="334"/>
      <c r="D432" s="333" t="n">
        <f aca="false">D416</f>
        <v>45505</v>
      </c>
      <c r="E432" s="277" t="n">
        <v>0</v>
      </c>
      <c r="F432" s="277" t="n">
        <v>0</v>
      </c>
      <c r="G432" s="277" t="n">
        <f aca="false">SUM(E432:F432)</f>
        <v>0</v>
      </c>
      <c r="H432" s="204"/>
      <c r="I432" s="279" t="n">
        <v>1</v>
      </c>
      <c r="J432" s="280" t="n">
        <f aca="false">1-I432</f>
        <v>0</v>
      </c>
      <c r="K432" s="277"/>
      <c r="L432" s="282"/>
      <c r="M432" s="282"/>
      <c r="N432" s="282"/>
      <c r="O432" s="282"/>
      <c r="P432" s="282"/>
      <c r="Q432" s="282"/>
      <c r="R432" s="282"/>
      <c r="S432" s="282"/>
      <c r="T432" s="282"/>
      <c r="U432" s="282"/>
      <c r="V432" s="282"/>
      <c r="W432" s="282"/>
      <c r="X432" s="283"/>
      <c r="Y432" s="284" t="n">
        <f aca="false">IFERROR(L432*$G432*I$9, "")</f>
        <v>0</v>
      </c>
      <c r="Z432" s="284" t="n">
        <f aca="false">IFERROR(M432*$G432*$I432, "")</f>
        <v>0</v>
      </c>
      <c r="AA432" s="284" t="n">
        <f aca="false">IFERROR(N432*$G432*$I432, "")</f>
        <v>0</v>
      </c>
      <c r="AB432" s="284" t="n">
        <f aca="false">IFERROR(O432*$G432*$I432, "")</f>
        <v>0</v>
      </c>
      <c r="AC432" s="284" t="n">
        <f aca="false">IFERROR(P432*$G432*$I432, "")</f>
        <v>0</v>
      </c>
      <c r="AD432" s="284" t="n">
        <f aca="false">IFERROR(Q432*$G432*$I432, "")</f>
        <v>0</v>
      </c>
      <c r="AE432" s="284" t="n">
        <f aca="false">IFERROR(R432*$G432*$I432, "")</f>
        <v>0</v>
      </c>
      <c r="AF432" s="284" t="n">
        <f aca="false">IFERROR(S432*$G432*$I432, "")</f>
        <v>0</v>
      </c>
      <c r="AG432" s="284" t="n">
        <f aca="false">IFERROR(T432*$G432*$I432, "")</f>
        <v>0</v>
      </c>
      <c r="AH432" s="284" t="n">
        <f aca="false">IFERROR(U432*$G432*$I432, "")</f>
        <v>0</v>
      </c>
      <c r="AI432" s="284" t="n">
        <f aca="false">IFERROR(V432*$G432*$I432, "")</f>
        <v>0</v>
      </c>
      <c r="AJ432" s="284" t="n">
        <f aca="false">IFERROR(W432*$G432*$I432, "")</f>
        <v>0</v>
      </c>
      <c r="AK432" s="286" t="n">
        <f aca="false">IFERROR(SUMIF($Y$4:$AJ$4, "RDEC", Y432:AJ432), "")</f>
        <v>0</v>
      </c>
      <c r="AL432" s="286" t="n">
        <f aca="false">IFERROR(SUMIF($Y$4:$AJ$4, "SME", Y432:AJ432), "")</f>
        <v>0</v>
      </c>
      <c r="AM432" s="286" t="n">
        <f aca="false">IFERROR(SUMIF($Y$4:$AJ$4, "De Minimis", Y432:AJ432), "")</f>
        <v>0</v>
      </c>
      <c r="AN432" s="283"/>
      <c r="AO432" s="284" t="n">
        <f aca="false">IFERROR($G432*$J432*L432, "")</f>
        <v>0</v>
      </c>
      <c r="AP432" s="284" t="n">
        <f aca="false">IFERROR($G432*$J432*M432, "")</f>
        <v>0</v>
      </c>
      <c r="AQ432" s="284" t="n">
        <f aca="false">IFERROR($G432*$J432*N432, "")</f>
        <v>0</v>
      </c>
      <c r="AR432" s="284" t="n">
        <f aca="false">IFERROR($G432*$J432*O432, "")</f>
        <v>0</v>
      </c>
      <c r="AS432" s="284" t="n">
        <f aca="false">IFERROR($G432*$J432*P432, "")</f>
        <v>0</v>
      </c>
      <c r="AT432" s="284" t="n">
        <f aca="false">IFERROR($G432*$J432*Q432, "")</f>
        <v>0</v>
      </c>
      <c r="AU432" s="284" t="n">
        <f aca="false">IFERROR($G432*$J432*R432, "")</f>
        <v>0</v>
      </c>
      <c r="AV432" s="284" t="n">
        <f aca="false">IFERROR($G432*$J432*S432, "")</f>
        <v>0</v>
      </c>
      <c r="AW432" s="284" t="n">
        <f aca="false">IFERROR($G432*$J432*T432, "")</f>
        <v>0</v>
      </c>
      <c r="AX432" s="284" t="n">
        <f aca="false">IFERROR($G432*$J432*U432, "")</f>
        <v>0</v>
      </c>
      <c r="AY432" s="284" t="n">
        <f aca="false">IFERROR($G432*$J432*V432, "")</f>
        <v>0</v>
      </c>
      <c r="AZ432" s="284" t="n">
        <f aca="false">IFERROR($G432*$J432*W432, "")</f>
        <v>0</v>
      </c>
      <c r="BA432" s="286" t="n">
        <f aca="false">IFERROR(SUMIF($AO$4:$AZ$4, "RDEC", AO432:AZ432), "")</f>
        <v>0</v>
      </c>
      <c r="BB432" s="286" t="n">
        <f aca="false">IFERROR(SUMIF($AO$4:$AZ$4, "SME", AO432:AZ432), "")</f>
        <v>0</v>
      </c>
      <c r="BC432" s="286" t="n">
        <f aca="false">IFERROR(SUMIF($Y$4:$AJ$4, "De Minimis", AO432:AZ432), "")</f>
        <v>0</v>
      </c>
      <c r="BD432" s="287"/>
      <c r="BE432" s="288" t="str">
        <f aca="false">IF((SUM(L432:W432)&gt;1),"ERROR","")</f>
        <v/>
      </c>
    </row>
    <row r="433" customFormat="false" ht="15" hidden="false" customHeight="true" outlineLevel="0" collapsed="false">
      <c r="B433" s="333"/>
      <c r="C433" s="334"/>
      <c r="D433" s="333" t="n">
        <f aca="false">D417</f>
        <v>45536</v>
      </c>
      <c r="E433" s="277" t="n">
        <v>0</v>
      </c>
      <c r="F433" s="277" t="n">
        <v>0</v>
      </c>
      <c r="G433" s="277" t="n">
        <f aca="false">SUM(E433:F433)</f>
        <v>0</v>
      </c>
      <c r="H433" s="204"/>
      <c r="I433" s="279" t="n">
        <v>1</v>
      </c>
      <c r="J433" s="280" t="n">
        <f aca="false">1-I433</f>
        <v>0</v>
      </c>
      <c r="K433" s="277"/>
      <c r="L433" s="282"/>
      <c r="M433" s="282"/>
      <c r="N433" s="282"/>
      <c r="O433" s="282"/>
      <c r="P433" s="282"/>
      <c r="Q433" s="282"/>
      <c r="R433" s="282"/>
      <c r="S433" s="282"/>
      <c r="T433" s="282"/>
      <c r="U433" s="282"/>
      <c r="V433" s="282"/>
      <c r="W433" s="282"/>
      <c r="X433" s="283"/>
      <c r="Y433" s="284" t="n">
        <f aca="false">IFERROR(L433*$G433*I$9, "")</f>
        <v>0</v>
      </c>
      <c r="Z433" s="284" t="n">
        <f aca="false">IFERROR(M433*$G433*$I433, "")</f>
        <v>0</v>
      </c>
      <c r="AA433" s="284" t="n">
        <f aca="false">IFERROR(N433*$G433*$I433, "")</f>
        <v>0</v>
      </c>
      <c r="AB433" s="284" t="n">
        <f aca="false">IFERROR(O433*$G433*$I433, "")</f>
        <v>0</v>
      </c>
      <c r="AC433" s="284" t="n">
        <f aca="false">IFERROR(P433*$G433*$I433, "")</f>
        <v>0</v>
      </c>
      <c r="AD433" s="284" t="n">
        <f aca="false">IFERROR(Q433*$G433*$I433, "")</f>
        <v>0</v>
      </c>
      <c r="AE433" s="284" t="n">
        <f aca="false">IFERROR(R433*$G433*$I433, "")</f>
        <v>0</v>
      </c>
      <c r="AF433" s="284" t="n">
        <f aca="false">IFERROR(S433*$G433*$I433, "")</f>
        <v>0</v>
      </c>
      <c r="AG433" s="284" t="n">
        <f aca="false">IFERROR(T433*$G433*$I433, "")</f>
        <v>0</v>
      </c>
      <c r="AH433" s="284" t="n">
        <f aca="false">IFERROR(U433*$G433*$I433, "")</f>
        <v>0</v>
      </c>
      <c r="AI433" s="284" t="n">
        <f aca="false">IFERROR(V433*$G433*$I433, "")</f>
        <v>0</v>
      </c>
      <c r="AJ433" s="284" t="n">
        <f aca="false">IFERROR(W433*$G433*$I433, "")</f>
        <v>0</v>
      </c>
      <c r="AK433" s="286" t="n">
        <f aca="false">IFERROR(SUMIF($Y$4:$AJ$4, "RDEC", Y433:AJ433), "")</f>
        <v>0</v>
      </c>
      <c r="AL433" s="286" t="n">
        <f aca="false">IFERROR(SUMIF($Y$4:$AJ$4, "SME", Y433:AJ433), "")</f>
        <v>0</v>
      </c>
      <c r="AM433" s="286" t="n">
        <f aca="false">IFERROR(SUMIF($Y$4:$AJ$4, "De Minimis", Y433:AJ433), "")</f>
        <v>0</v>
      </c>
      <c r="AN433" s="283"/>
      <c r="AO433" s="284" t="n">
        <f aca="false">IFERROR($G433*$J433*L433, "")</f>
        <v>0</v>
      </c>
      <c r="AP433" s="284" t="n">
        <f aca="false">IFERROR($G433*$J433*M433, "")</f>
        <v>0</v>
      </c>
      <c r="AQ433" s="284" t="n">
        <f aca="false">IFERROR($G433*$J433*N433, "")</f>
        <v>0</v>
      </c>
      <c r="AR433" s="284" t="n">
        <f aca="false">IFERROR($G433*$J433*O433, "")</f>
        <v>0</v>
      </c>
      <c r="AS433" s="284" t="n">
        <f aca="false">IFERROR($G433*$J433*P433, "")</f>
        <v>0</v>
      </c>
      <c r="AT433" s="284" t="n">
        <f aca="false">IFERROR($G433*$J433*Q433, "")</f>
        <v>0</v>
      </c>
      <c r="AU433" s="284" t="n">
        <f aca="false">IFERROR($G433*$J433*R433, "")</f>
        <v>0</v>
      </c>
      <c r="AV433" s="284" t="n">
        <f aca="false">IFERROR($G433*$J433*S433, "")</f>
        <v>0</v>
      </c>
      <c r="AW433" s="284" t="n">
        <f aca="false">IFERROR($G433*$J433*T433, "")</f>
        <v>0</v>
      </c>
      <c r="AX433" s="284" t="n">
        <f aca="false">IFERROR($G433*$J433*U433, "")</f>
        <v>0</v>
      </c>
      <c r="AY433" s="284" t="n">
        <f aca="false">IFERROR($G433*$J433*V433, "")</f>
        <v>0</v>
      </c>
      <c r="AZ433" s="284" t="n">
        <f aca="false">IFERROR($G433*$J433*W433, "")</f>
        <v>0</v>
      </c>
      <c r="BA433" s="286" t="n">
        <f aca="false">IFERROR(SUMIF($AO$4:$AZ$4, "RDEC", AO433:AZ433), "")</f>
        <v>0</v>
      </c>
      <c r="BB433" s="286" t="n">
        <f aca="false">IFERROR(SUMIF($AO$4:$AZ$4, "SME", AO433:AZ433), "")</f>
        <v>0</v>
      </c>
      <c r="BC433" s="286" t="n">
        <f aca="false">IFERROR(SUMIF($Y$4:$AJ$4, "De Minimis", AO433:AZ433), "")</f>
        <v>0</v>
      </c>
      <c r="BD433" s="287"/>
      <c r="BE433" s="288" t="str">
        <f aca="false">IF((SUM(L433:W433)&gt;1),"ERROR","")</f>
        <v/>
      </c>
    </row>
    <row r="434" customFormat="false" ht="15" hidden="false" customHeight="true" outlineLevel="0" collapsed="false">
      <c r="B434" s="333"/>
      <c r="C434" s="334"/>
      <c r="D434" s="333" t="n">
        <f aca="false">D418</f>
        <v>45566</v>
      </c>
      <c r="E434" s="277" t="n">
        <v>0</v>
      </c>
      <c r="F434" s="277" t="n">
        <v>0</v>
      </c>
      <c r="G434" s="277" t="n">
        <f aca="false">SUM(E434:F434)</f>
        <v>0</v>
      </c>
      <c r="H434" s="204"/>
      <c r="I434" s="279" t="n">
        <v>1</v>
      </c>
      <c r="J434" s="280" t="n">
        <f aca="false">1-I434</f>
        <v>0</v>
      </c>
      <c r="K434" s="277"/>
      <c r="L434" s="282"/>
      <c r="M434" s="282"/>
      <c r="N434" s="282"/>
      <c r="O434" s="282"/>
      <c r="P434" s="282"/>
      <c r="Q434" s="282"/>
      <c r="R434" s="282"/>
      <c r="S434" s="282"/>
      <c r="T434" s="282"/>
      <c r="U434" s="282"/>
      <c r="V434" s="282"/>
      <c r="W434" s="282"/>
      <c r="X434" s="283"/>
      <c r="Y434" s="284" t="n">
        <f aca="false">IFERROR(L434*$G434*I$9, "")</f>
        <v>0</v>
      </c>
      <c r="Z434" s="284" t="n">
        <f aca="false">IFERROR(M434*$G434*$I434, "")</f>
        <v>0</v>
      </c>
      <c r="AA434" s="284" t="n">
        <f aca="false">IFERROR(N434*$G434*$I434, "")</f>
        <v>0</v>
      </c>
      <c r="AB434" s="284" t="n">
        <f aca="false">IFERROR(O434*$G434*$I434, "")</f>
        <v>0</v>
      </c>
      <c r="AC434" s="284" t="n">
        <f aca="false">IFERROR(P434*$G434*$I434, "")</f>
        <v>0</v>
      </c>
      <c r="AD434" s="284" t="n">
        <f aca="false">IFERROR(Q434*$G434*$I434, "")</f>
        <v>0</v>
      </c>
      <c r="AE434" s="284" t="n">
        <f aca="false">IFERROR(R434*$G434*$I434, "")</f>
        <v>0</v>
      </c>
      <c r="AF434" s="284" t="n">
        <f aca="false">IFERROR(S434*$G434*$I434, "")</f>
        <v>0</v>
      </c>
      <c r="AG434" s="284" t="n">
        <f aca="false">IFERROR(T434*$G434*$I434, "")</f>
        <v>0</v>
      </c>
      <c r="AH434" s="284" t="n">
        <f aca="false">IFERROR(U434*$G434*$I434, "")</f>
        <v>0</v>
      </c>
      <c r="AI434" s="284" t="n">
        <f aca="false">IFERROR(V434*$G434*$I434, "")</f>
        <v>0</v>
      </c>
      <c r="AJ434" s="284" t="n">
        <f aca="false">IFERROR(W434*$G434*$I434, "")</f>
        <v>0</v>
      </c>
      <c r="AK434" s="286" t="n">
        <f aca="false">IFERROR(SUMIF($Y$4:$AJ$4, "RDEC", Y434:AJ434), "")</f>
        <v>0</v>
      </c>
      <c r="AL434" s="286" t="n">
        <f aca="false">IFERROR(SUMIF($Y$4:$AJ$4, "SME", Y434:AJ434), "")</f>
        <v>0</v>
      </c>
      <c r="AM434" s="286" t="n">
        <f aca="false">IFERROR(SUMIF($Y$4:$AJ$4, "De Minimis", Y434:AJ434), "")</f>
        <v>0</v>
      </c>
      <c r="AN434" s="283"/>
      <c r="AO434" s="284" t="n">
        <f aca="false">IFERROR($G434*$J434*L434, "")</f>
        <v>0</v>
      </c>
      <c r="AP434" s="284" t="n">
        <f aca="false">IFERROR($G434*$J434*M434, "")</f>
        <v>0</v>
      </c>
      <c r="AQ434" s="284" t="n">
        <f aca="false">IFERROR($G434*$J434*N434, "")</f>
        <v>0</v>
      </c>
      <c r="AR434" s="284" t="n">
        <f aca="false">IFERROR($G434*$J434*O434, "")</f>
        <v>0</v>
      </c>
      <c r="AS434" s="284" t="n">
        <f aca="false">IFERROR($G434*$J434*P434, "")</f>
        <v>0</v>
      </c>
      <c r="AT434" s="284" t="n">
        <f aca="false">IFERROR($G434*$J434*Q434, "")</f>
        <v>0</v>
      </c>
      <c r="AU434" s="284" t="n">
        <f aca="false">IFERROR($G434*$J434*R434, "")</f>
        <v>0</v>
      </c>
      <c r="AV434" s="284" t="n">
        <f aca="false">IFERROR($G434*$J434*S434, "")</f>
        <v>0</v>
      </c>
      <c r="AW434" s="284" t="n">
        <f aca="false">IFERROR($G434*$J434*T434, "")</f>
        <v>0</v>
      </c>
      <c r="AX434" s="284" t="n">
        <f aca="false">IFERROR($G434*$J434*U434, "")</f>
        <v>0</v>
      </c>
      <c r="AY434" s="284" t="n">
        <f aca="false">IFERROR($G434*$J434*V434, "")</f>
        <v>0</v>
      </c>
      <c r="AZ434" s="284" t="n">
        <f aca="false">IFERROR($G434*$J434*W434, "")</f>
        <v>0</v>
      </c>
      <c r="BA434" s="286" t="n">
        <f aca="false">IFERROR(SUMIF($AO$4:$AZ$4, "RDEC", AO434:AZ434), "")</f>
        <v>0</v>
      </c>
      <c r="BB434" s="286" t="n">
        <f aca="false">IFERROR(SUMIF($AO$4:$AZ$4, "SME", AO434:AZ434), "")</f>
        <v>0</v>
      </c>
      <c r="BC434" s="286" t="n">
        <f aca="false">IFERROR(SUMIF($Y$4:$AJ$4, "De Minimis", AO434:AZ434), "")</f>
        <v>0</v>
      </c>
      <c r="BD434" s="287"/>
      <c r="BE434" s="288" t="str">
        <f aca="false">IF((SUM(L434:W434)&gt;1),"ERROR","")</f>
        <v/>
      </c>
    </row>
    <row r="435" customFormat="false" ht="15" hidden="false" customHeight="true" outlineLevel="0" collapsed="false">
      <c r="B435" s="333"/>
      <c r="C435" s="334"/>
      <c r="D435" s="333" t="n">
        <f aca="false">D419</f>
        <v>45597</v>
      </c>
      <c r="E435" s="277" t="n">
        <v>0</v>
      </c>
      <c r="F435" s="277" t="n">
        <v>0</v>
      </c>
      <c r="G435" s="277" t="n">
        <f aca="false">SUM(E435:F435)</f>
        <v>0</v>
      </c>
      <c r="H435" s="204"/>
      <c r="I435" s="279" t="n">
        <v>1</v>
      </c>
      <c r="J435" s="280" t="n">
        <f aca="false">1-I435</f>
        <v>0</v>
      </c>
      <c r="K435" s="277"/>
      <c r="L435" s="282"/>
      <c r="M435" s="282"/>
      <c r="N435" s="282"/>
      <c r="O435" s="282"/>
      <c r="P435" s="282"/>
      <c r="Q435" s="282"/>
      <c r="R435" s="282"/>
      <c r="S435" s="282"/>
      <c r="T435" s="282"/>
      <c r="U435" s="282"/>
      <c r="V435" s="282"/>
      <c r="W435" s="282"/>
      <c r="X435" s="283"/>
      <c r="Y435" s="284" t="n">
        <f aca="false">IFERROR(L435*$G435*I$9, "")</f>
        <v>0</v>
      </c>
      <c r="Z435" s="284" t="n">
        <f aca="false">IFERROR(M435*$G435*$I435, "")</f>
        <v>0</v>
      </c>
      <c r="AA435" s="284" t="n">
        <f aca="false">IFERROR(N435*$G435*$I435, "")</f>
        <v>0</v>
      </c>
      <c r="AB435" s="284" t="n">
        <f aca="false">IFERROR(O435*$G435*$I435, "")</f>
        <v>0</v>
      </c>
      <c r="AC435" s="284" t="n">
        <f aca="false">IFERROR(P435*$G435*$I435, "")</f>
        <v>0</v>
      </c>
      <c r="AD435" s="284" t="n">
        <f aca="false">IFERROR(Q435*$G435*$I435, "")</f>
        <v>0</v>
      </c>
      <c r="AE435" s="284" t="n">
        <f aca="false">IFERROR(R435*$G435*$I435, "")</f>
        <v>0</v>
      </c>
      <c r="AF435" s="284" t="n">
        <f aca="false">IFERROR(S435*$G435*$I435, "")</f>
        <v>0</v>
      </c>
      <c r="AG435" s="284" t="n">
        <f aca="false">IFERROR(T435*$G435*$I435, "")</f>
        <v>0</v>
      </c>
      <c r="AH435" s="284" t="n">
        <f aca="false">IFERROR(U435*$G435*$I435, "")</f>
        <v>0</v>
      </c>
      <c r="AI435" s="284" t="n">
        <f aca="false">IFERROR(V435*$G435*$I435, "")</f>
        <v>0</v>
      </c>
      <c r="AJ435" s="284" t="n">
        <f aca="false">IFERROR(W435*$G435*$I435, "")</f>
        <v>0</v>
      </c>
      <c r="AK435" s="286" t="n">
        <f aca="false">IFERROR(SUMIF($Y$4:$AJ$4, "RDEC", Y435:AJ435), "")</f>
        <v>0</v>
      </c>
      <c r="AL435" s="286" t="n">
        <f aca="false">IFERROR(SUMIF($Y$4:$AJ$4, "SME", Y435:AJ435), "")</f>
        <v>0</v>
      </c>
      <c r="AM435" s="286" t="n">
        <f aca="false">IFERROR(SUMIF($Y$4:$AJ$4, "De Minimis", Y435:AJ435), "")</f>
        <v>0</v>
      </c>
      <c r="AN435" s="283"/>
      <c r="AO435" s="284" t="n">
        <f aca="false">IFERROR($G435*$J435*L435, "")</f>
        <v>0</v>
      </c>
      <c r="AP435" s="284" t="n">
        <f aca="false">IFERROR($G435*$J435*M435, "")</f>
        <v>0</v>
      </c>
      <c r="AQ435" s="284" t="n">
        <f aca="false">IFERROR($G435*$J435*N435, "")</f>
        <v>0</v>
      </c>
      <c r="AR435" s="284" t="n">
        <f aca="false">IFERROR($G435*$J435*O435, "")</f>
        <v>0</v>
      </c>
      <c r="AS435" s="284" t="n">
        <f aca="false">IFERROR($G435*$J435*P435, "")</f>
        <v>0</v>
      </c>
      <c r="AT435" s="284" t="n">
        <f aca="false">IFERROR($G435*$J435*Q435, "")</f>
        <v>0</v>
      </c>
      <c r="AU435" s="284" t="n">
        <f aca="false">IFERROR($G435*$J435*R435, "")</f>
        <v>0</v>
      </c>
      <c r="AV435" s="284" t="n">
        <f aca="false">IFERROR($G435*$J435*S435, "")</f>
        <v>0</v>
      </c>
      <c r="AW435" s="284" t="n">
        <f aca="false">IFERROR($G435*$J435*T435, "")</f>
        <v>0</v>
      </c>
      <c r="AX435" s="284" t="n">
        <f aca="false">IFERROR($G435*$J435*U435, "")</f>
        <v>0</v>
      </c>
      <c r="AY435" s="284" t="n">
        <f aca="false">IFERROR($G435*$J435*V435, "")</f>
        <v>0</v>
      </c>
      <c r="AZ435" s="284" t="n">
        <f aca="false">IFERROR($G435*$J435*W435, "")</f>
        <v>0</v>
      </c>
      <c r="BA435" s="286" t="n">
        <f aca="false">IFERROR(SUMIF($AO$4:$AZ$4, "RDEC", AO435:AZ435), "")</f>
        <v>0</v>
      </c>
      <c r="BB435" s="286" t="n">
        <f aca="false">IFERROR(SUMIF($AO$4:$AZ$4, "SME", AO435:AZ435), "")</f>
        <v>0</v>
      </c>
      <c r="BC435" s="286" t="n">
        <f aca="false">IFERROR(SUMIF($Y$4:$AJ$4, "De Minimis", AO435:AZ435), "")</f>
        <v>0</v>
      </c>
      <c r="BD435" s="287"/>
      <c r="BE435" s="288" t="str">
        <f aca="false">IF((SUM(L435:W435)&gt;1),"ERROR","")</f>
        <v/>
      </c>
    </row>
    <row r="436" customFormat="false" ht="15" hidden="false" customHeight="true" outlineLevel="0" collapsed="false">
      <c r="B436" s="333"/>
      <c r="C436" s="334"/>
      <c r="D436" s="333" t="n">
        <f aca="false">D420</f>
        <v>45627</v>
      </c>
      <c r="E436" s="277" t="n">
        <v>0</v>
      </c>
      <c r="F436" s="277" t="n">
        <v>0</v>
      </c>
      <c r="G436" s="277" t="n">
        <f aca="false">SUM(E436:F436)</f>
        <v>0</v>
      </c>
      <c r="H436" s="300"/>
      <c r="I436" s="289" t="n">
        <v>1</v>
      </c>
      <c r="J436" s="290" t="n">
        <f aca="false">1-I436</f>
        <v>0</v>
      </c>
      <c r="K436" s="300"/>
      <c r="L436" s="291"/>
      <c r="M436" s="291"/>
      <c r="N436" s="291"/>
      <c r="O436" s="291"/>
      <c r="P436" s="291"/>
      <c r="Q436" s="291"/>
      <c r="R436" s="291"/>
      <c r="S436" s="291"/>
      <c r="T436" s="291"/>
      <c r="U436" s="291"/>
      <c r="V436" s="291"/>
      <c r="W436" s="291"/>
      <c r="X436" s="283"/>
      <c r="Y436" s="284" t="n">
        <f aca="false">IFERROR(L436*$G436*I$9, "")</f>
        <v>0</v>
      </c>
      <c r="Z436" s="284" t="n">
        <f aca="false">IFERROR(M436*$G436*$I436, "")</f>
        <v>0</v>
      </c>
      <c r="AA436" s="284" t="n">
        <f aca="false">IFERROR(N436*$G436*$I436, "")</f>
        <v>0</v>
      </c>
      <c r="AB436" s="284" t="n">
        <f aca="false">IFERROR(O436*$G436*$I436, "")</f>
        <v>0</v>
      </c>
      <c r="AC436" s="284" t="n">
        <f aca="false">IFERROR(P436*$G436*$I436, "")</f>
        <v>0</v>
      </c>
      <c r="AD436" s="284" t="n">
        <f aca="false">IFERROR(Q436*$G436*$I436, "")</f>
        <v>0</v>
      </c>
      <c r="AE436" s="284" t="n">
        <f aca="false">IFERROR(R436*$G436*$I436, "")</f>
        <v>0</v>
      </c>
      <c r="AF436" s="284" t="n">
        <f aca="false">IFERROR(S436*$G436*$I436, "")</f>
        <v>0</v>
      </c>
      <c r="AG436" s="284" t="n">
        <f aca="false">IFERROR(T436*$G436*$I436, "")</f>
        <v>0</v>
      </c>
      <c r="AH436" s="284" t="n">
        <f aca="false">IFERROR(U436*$G436*$I436, "")</f>
        <v>0</v>
      </c>
      <c r="AI436" s="284" t="n">
        <f aca="false">IFERROR(V436*$G436*$I436, "")</f>
        <v>0</v>
      </c>
      <c r="AJ436" s="284" t="n">
        <f aca="false">IFERROR(W436*$G436*$I436, "")</f>
        <v>0</v>
      </c>
      <c r="AK436" s="294" t="n">
        <f aca="false">IFERROR(SUMIF($Y$4:$AJ$4, "RDEC", Y436:AJ436), "")</f>
        <v>0</v>
      </c>
      <c r="AL436" s="294" t="n">
        <f aca="false">IFERROR(SUMIF($Y$4:$AJ$4, "SME", Y436:AJ436), "")</f>
        <v>0</v>
      </c>
      <c r="AM436" s="294" t="n">
        <f aca="false">IFERROR(SUMIF($Y$4:$AJ$4, "De Minimis", Y436:AJ436), "")</f>
        <v>0</v>
      </c>
      <c r="AN436" s="283"/>
      <c r="AO436" s="284" t="n">
        <f aca="false">IFERROR($G436*$J436*L436, "")</f>
        <v>0</v>
      </c>
      <c r="AP436" s="284" t="n">
        <f aca="false">IFERROR($G436*$J436*M436, "")</f>
        <v>0</v>
      </c>
      <c r="AQ436" s="284" t="n">
        <f aca="false">IFERROR($G436*$J436*N436, "")</f>
        <v>0</v>
      </c>
      <c r="AR436" s="284" t="n">
        <f aca="false">IFERROR($G436*$J436*O436, "")</f>
        <v>0</v>
      </c>
      <c r="AS436" s="284" t="n">
        <f aca="false">IFERROR($G436*$J436*P436, "")</f>
        <v>0</v>
      </c>
      <c r="AT436" s="284" t="n">
        <f aca="false">IFERROR($G436*$J436*Q436, "")</f>
        <v>0</v>
      </c>
      <c r="AU436" s="284" t="n">
        <f aca="false">IFERROR($G436*$J436*R436, "")</f>
        <v>0</v>
      </c>
      <c r="AV436" s="284" t="n">
        <f aca="false">IFERROR($G436*$J436*S436, "")</f>
        <v>0</v>
      </c>
      <c r="AW436" s="284" t="n">
        <f aca="false">IFERROR($G436*$J436*T436, "")</f>
        <v>0</v>
      </c>
      <c r="AX436" s="284" t="n">
        <f aca="false">IFERROR($G436*$J436*U436, "")</f>
        <v>0</v>
      </c>
      <c r="AY436" s="284" t="n">
        <f aca="false">IFERROR($G436*$J436*V436, "")</f>
        <v>0</v>
      </c>
      <c r="AZ436" s="284" t="n">
        <f aca="false">IFERROR($G436*$J436*W436, "")</f>
        <v>0</v>
      </c>
      <c r="BA436" s="286" t="n">
        <f aca="false">IFERROR(SUMIF($AO$4:$AZ$4, "RDEC", AO436:AZ436), "")</f>
        <v>0</v>
      </c>
      <c r="BB436" s="286" t="n">
        <f aca="false">IFERROR(SUMIF($AO$4:$AZ$4, "SME", AO436:AZ436), "")</f>
        <v>0</v>
      </c>
      <c r="BC436" s="294" t="n">
        <f aca="false">IFERROR(SUMIF($Y$4:$AJ$4, "De Minimis", AO436:AZ436), "")</f>
        <v>0</v>
      </c>
      <c r="BD436" s="303"/>
      <c r="BE436" s="295" t="str">
        <f aca="false">IF((SUM(L436:W436)&gt;1),"ERROR","")</f>
        <v/>
      </c>
    </row>
    <row r="437" customFormat="false" ht="15" hidden="false" customHeight="true" outlineLevel="0" collapsed="false">
      <c r="B437" s="296"/>
      <c r="D437" s="297" t="s">
        <v>82</v>
      </c>
      <c r="E437" s="299" t="n">
        <f aca="false">SUM(E425:E436)</f>
        <v>0</v>
      </c>
      <c r="F437" s="299" t="n">
        <f aca="false">SUM(F425:F436)</f>
        <v>0</v>
      </c>
      <c r="G437" s="299" t="n">
        <f aca="false">SUM(G425:G436)</f>
        <v>0</v>
      </c>
      <c r="H437" s="300"/>
      <c r="I437" s="301" t="n">
        <f aca="false">AVERAGE(I425:I436)</f>
        <v>1</v>
      </c>
      <c r="J437" s="301" t="n">
        <f aca="false">AVERAGE(J425:J436)</f>
        <v>0</v>
      </c>
      <c r="K437" s="300"/>
      <c r="L437" s="290" t="n">
        <f aca="false">IF(SUM(L425:L436)&gt;0,(Y437/G437),0)</f>
        <v>0</v>
      </c>
      <c r="M437" s="301" t="n">
        <f aca="false">IF(SUM(M425:M436)&gt;0,(Z437/G437),0)</f>
        <v>0</v>
      </c>
      <c r="N437" s="301" t="n">
        <f aca="false">IF(SUM(N425:N436)&gt;0,(AA437/G437),0)</f>
        <v>0</v>
      </c>
      <c r="O437" s="301" t="n">
        <f aca="false">IF(SUM(O425:O436)&gt;0,(AB437/G437),0)</f>
        <v>0</v>
      </c>
      <c r="P437" s="301" t="n">
        <f aca="false">IF(SUM(P425:P436)&gt;0,(AC437/G437),0)</f>
        <v>0</v>
      </c>
      <c r="Q437" s="301" t="n">
        <f aca="false">IF(SUM(Q425:Q436)&gt;0,(AD437/G437),0)</f>
        <v>0</v>
      </c>
      <c r="R437" s="301" t="n">
        <f aca="false">IF(SUM(R425:R436)&gt;0,(AE437/G437),0)</f>
        <v>0</v>
      </c>
      <c r="S437" s="301" t="n">
        <f aca="false">IF(SUM(S425:S436)&gt;0,(AF437/G437),0)</f>
        <v>0</v>
      </c>
      <c r="T437" s="301" t="n">
        <f aca="false">IF(SUM(T425:T436)&gt;0,(AG437/G437),0)</f>
        <v>0</v>
      </c>
      <c r="U437" s="301" t="n">
        <f aca="false">IF(SUM(U425:U436)&gt;0,(AJ437/G437),0)</f>
        <v>0</v>
      </c>
      <c r="V437" s="301" t="n">
        <f aca="false">IF(SUM(V425:V436)&gt;0,(AI437/G437),0)</f>
        <v>0</v>
      </c>
      <c r="W437" s="301" t="n">
        <f aca="false">IF(SUM(W425:W436)&gt;0,(AJ437/G437),0)</f>
        <v>0</v>
      </c>
      <c r="X437" s="283"/>
      <c r="Y437" s="304" t="n">
        <f aca="false">SUM(Y425:Y436)</f>
        <v>0</v>
      </c>
      <c r="Z437" s="304" t="n">
        <f aca="false">SUM(Z425:Z436)</f>
        <v>0</v>
      </c>
      <c r="AA437" s="304" t="n">
        <f aca="false">SUM(AA425:AA436)</f>
        <v>0</v>
      </c>
      <c r="AB437" s="304" t="n">
        <f aca="false">SUM(AB425:AB436)</f>
        <v>0</v>
      </c>
      <c r="AC437" s="304" t="n">
        <f aca="false">SUM(AC425:AC436)</f>
        <v>0</v>
      </c>
      <c r="AD437" s="304" t="n">
        <f aca="false">SUM(AD425:AD436)</f>
        <v>0</v>
      </c>
      <c r="AE437" s="304" t="n">
        <f aca="false">SUM(AE425:AE436)</f>
        <v>0</v>
      </c>
      <c r="AF437" s="304" t="n">
        <f aca="false">SUM(AF425:AF436)</f>
        <v>0</v>
      </c>
      <c r="AG437" s="304" t="n">
        <f aca="false">SUM(AG425:AG436)</f>
        <v>0</v>
      </c>
      <c r="AH437" s="304" t="n">
        <f aca="false">SUM(AH425:AH436)</f>
        <v>0</v>
      </c>
      <c r="AI437" s="304" t="n">
        <f aca="false">SUM(AI425:AI436)</f>
        <v>0</v>
      </c>
      <c r="AJ437" s="304" t="n">
        <f aca="false">SUM(AJ425:AJ436)</f>
        <v>0</v>
      </c>
      <c r="AK437" s="335" t="n">
        <f aca="false">SUM(AK425:AK436)</f>
        <v>0</v>
      </c>
      <c r="AL437" s="336" t="n">
        <f aca="false">SUM(AL425:AL436)</f>
        <v>0</v>
      </c>
      <c r="AM437" s="305" t="n">
        <f aca="false">SUM(AM425:AM436)</f>
        <v>0</v>
      </c>
      <c r="AN437" s="283"/>
      <c r="AO437" s="304" t="n">
        <f aca="false">SUM(AO425:AO436)</f>
        <v>0</v>
      </c>
      <c r="AP437" s="304" t="n">
        <f aca="false">SUM(AP425:AP436)</f>
        <v>0</v>
      </c>
      <c r="AQ437" s="304" t="n">
        <f aca="false">SUM(AQ425:AQ436)</f>
        <v>0</v>
      </c>
      <c r="AR437" s="304" t="n">
        <f aca="false">SUM(AR425:AR436)</f>
        <v>0</v>
      </c>
      <c r="AS437" s="304" t="n">
        <f aca="false">SUM(AS425:AS436)</f>
        <v>0</v>
      </c>
      <c r="AT437" s="304" t="n">
        <f aca="false">SUM(AT425:AT436)</f>
        <v>0</v>
      </c>
      <c r="AU437" s="304" t="n">
        <f aca="false">SUM(AU425:AU436)</f>
        <v>0</v>
      </c>
      <c r="AV437" s="304" t="n">
        <f aca="false">SUM(AV425:AV436)</f>
        <v>0</v>
      </c>
      <c r="AW437" s="304" t="n">
        <f aca="false">SUM(AW425:AW436)</f>
        <v>0</v>
      </c>
      <c r="AX437" s="304" t="n">
        <f aca="false">SUM(AX425:AX436)</f>
        <v>0</v>
      </c>
      <c r="AY437" s="304" t="n">
        <f aca="false">SUM(AY425:AY436)</f>
        <v>0</v>
      </c>
      <c r="AZ437" s="304" t="n">
        <f aca="false">SUM(AZ425:AZ436)</f>
        <v>0</v>
      </c>
      <c r="BA437" s="336" t="n">
        <f aca="false">SUM(BA425:BA436)</f>
        <v>0</v>
      </c>
      <c r="BB437" s="336" t="n">
        <f aca="false">SUM(BB425:BB436)</f>
        <v>0</v>
      </c>
      <c r="BC437" s="305" t="n">
        <f aca="false">SUM(BC425:BC436)</f>
        <v>0</v>
      </c>
      <c r="BD437" s="303"/>
      <c r="BE437" s="337"/>
    </row>
    <row r="438" customFormat="false" ht="15" hidden="false" customHeight="true" outlineLevel="0" collapsed="false">
      <c r="B438" s="296"/>
      <c r="D438" s="297"/>
      <c r="E438" s="300"/>
      <c r="F438" s="300"/>
      <c r="G438" s="300"/>
      <c r="H438" s="241"/>
      <c r="I438" s="302"/>
      <c r="J438" s="302"/>
      <c r="K438" s="241"/>
      <c r="L438" s="259"/>
      <c r="M438" s="259"/>
      <c r="N438" s="259"/>
      <c r="O438" s="259"/>
      <c r="P438" s="259"/>
      <c r="Q438" s="259"/>
      <c r="R438" s="259"/>
      <c r="S438" s="259"/>
      <c r="T438" s="259"/>
      <c r="U438" s="259"/>
      <c r="V438" s="259"/>
      <c r="W438" s="259"/>
      <c r="X438" s="303"/>
      <c r="Y438" s="259"/>
      <c r="Z438" s="303"/>
      <c r="AA438" s="303"/>
      <c r="AB438" s="303"/>
      <c r="AC438" s="303"/>
      <c r="AD438" s="303"/>
      <c r="AE438" s="303"/>
      <c r="AF438" s="303"/>
      <c r="AG438" s="303"/>
      <c r="AH438" s="303"/>
      <c r="AI438" s="303"/>
      <c r="AJ438" s="303"/>
      <c r="AK438" s="303"/>
      <c r="AL438" s="303"/>
      <c r="AM438" s="303"/>
      <c r="AN438" s="303"/>
      <c r="AO438" s="259"/>
      <c r="AP438" s="303"/>
      <c r="AQ438" s="303"/>
      <c r="AR438" s="303"/>
      <c r="AS438" s="303"/>
      <c r="AT438" s="303"/>
      <c r="AU438" s="303"/>
      <c r="AV438" s="303"/>
      <c r="AW438" s="303"/>
      <c r="AX438" s="303"/>
      <c r="AY438" s="303"/>
      <c r="AZ438" s="303"/>
      <c r="BA438" s="303"/>
      <c r="BB438" s="303"/>
      <c r="BC438" s="303"/>
      <c r="BD438" s="268"/>
      <c r="BE438" s="303"/>
    </row>
    <row r="439" customFormat="false" ht="15" hidden="false" customHeight="true" outlineLevel="0" collapsed="false">
      <c r="A439" s="198" t="n">
        <f aca="false">A423+1</f>
        <v>28</v>
      </c>
      <c r="B439" s="266" t="s">
        <v>253</v>
      </c>
      <c r="C439" s="266" t="s">
        <v>253</v>
      </c>
      <c r="D439" s="266"/>
      <c r="E439" s="241"/>
      <c r="F439" s="241"/>
      <c r="G439" s="241"/>
      <c r="H439" s="241"/>
      <c r="I439" s="241"/>
      <c r="J439" s="241"/>
      <c r="K439" s="277"/>
      <c r="L439" s="241"/>
      <c r="M439" s="241"/>
      <c r="N439" s="241"/>
      <c r="O439" s="241"/>
      <c r="P439" s="241"/>
      <c r="Q439" s="241"/>
      <c r="R439" s="241"/>
      <c r="S439" s="241"/>
      <c r="T439" s="241"/>
      <c r="U439" s="241"/>
      <c r="V439" s="241"/>
      <c r="W439" s="241"/>
      <c r="X439" s="259"/>
      <c r="Y439" s="268"/>
      <c r="Z439" s="268"/>
      <c r="AA439" s="268"/>
      <c r="AB439" s="268"/>
      <c r="AC439" s="268"/>
      <c r="AD439" s="268"/>
      <c r="AE439" s="268"/>
      <c r="AF439" s="268"/>
      <c r="AG439" s="268"/>
      <c r="AH439" s="268"/>
      <c r="AI439" s="268"/>
      <c r="AJ439" s="268"/>
      <c r="AK439" s="268"/>
      <c r="AL439" s="268"/>
      <c r="AM439" s="268"/>
      <c r="AN439" s="259"/>
      <c r="AO439" s="268"/>
      <c r="AP439" s="268"/>
      <c r="AQ439" s="268"/>
      <c r="AR439" s="268"/>
      <c r="AS439" s="268"/>
      <c r="AT439" s="268"/>
      <c r="AU439" s="268"/>
      <c r="AV439" s="268"/>
      <c r="AW439" s="268"/>
      <c r="AX439" s="268"/>
      <c r="AY439" s="268"/>
      <c r="AZ439" s="268"/>
      <c r="BA439" s="268"/>
      <c r="BB439" s="268"/>
      <c r="BC439" s="268"/>
      <c r="BD439" s="287"/>
      <c r="BE439" s="268"/>
    </row>
    <row r="440" customFormat="false" ht="7.5" hidden="false" customHeight="true" outlineLevel="0" collapsed="false">
      <c r="A440" s="198"/>
      <c r="B440" s="266"/>
      <c r="C440" s="266"/>
      <c r="D440" s="266"/>
      <c r="E440" s="241"/>
      <c r="F440" s="241"/>
      <c r="G440" s="241"/>
      <c r="H440" s="204"/>
      <c r="I440" s="269"/>
      <c r="J440" s="269"/>
      <c r="K440" s="277"/>
      <c r="L440" s="269"/>
      <c r="M440" s="269"/>
      <c r="N440" s="269"/>
      <c r="O440" s="269"/>
      <c r="P440" s="269"/>
      <c r="Q440" s="269"/>
      <c r="R440" s="269"/>
      <c r="S440" s="269"/>
      <c r="T440" s="269"/>
      <c r="U440" s="269"/>
      <c r="V440" s="269"/>
      <c r="W440" s="269"/>
      <c r="X440" s="259"/>
      <c r="Y440" s="271"/>
      <c r="Z440" s="271"/>
      <c r="AA440" s="271"/>
      <c r="AB440" s="271"/>
      <c r="AC440" s="271"/>
      <c r="AD440" s="271"/>
      <c r="AE440" s="271"/>
      <c r="AF440" s="271"/>
      <c r="AG440" s="271"/>
      <c r="AH440" s="271"/>
      <c r="AI440" s="271"/>
      <c r="AJ440" s="272"/>
      <c r="AK440" s="273"/>
      <c r="AL440" s="273"/>
      <c r="AM440" s="273"/>
      <c r="AN440" s="259"/>
      <c r="AO440" s="271"/>
      <c r="AP440" s="271"/>
      <c r="AQ440" s="271"/>
      <c r="AR440" s="271"/>
      <c r="AS440" s="271"/>
      <c r="AT440" s="271"/>
      <c r="AU440" s="271"/>
      <c r="AV440" s="271"/>
      <c r="AW440" s="271"/>
      <c r="AX440" s="271"/>
      <c r="AY440" s="271"/>
      <c r="AZ440" s="272"/>
      <c r="BA440" s="273"/>
      <c r="BB440" s="273"/>
      <c r="BC440" s="273"/>
      <c r="BD440" s="287"/>
      <c r="BE440" s="274"/>
    </row>
    <row r="441" customFormat="false" ht="15" hidden="false" customHeight="true" outlineLevel="0" collapsed="false">
      <c r="B441" s="333"/>
      <c r="C441" s="334"/>
      <c r="D441" s="333" t="n">
        <f aca="false">D425</f>
        <v>45292</v>
      </c>
      <c r="E441" s="277" t="n">
        <v>0</v>
      </c>
      <c r="F441" s="277" t="n">
        <v>0</v>
      </c>
      <c r="G441" s="277" t="n">
        <f aca="false">SUM(E441:F441)</f>
        <v>0</v>
      </c>
      <c r="H441" s="204"/>
      <c r="I441" s="279" t="n">
        <v>1</v>
      </c>
      <c r="J441" s="280" t="n">
        <f aca="false">1-I441</f>
        <v>0</v>
      </c>
      <c r="K441" s="277"/>
      <c r="L441" s="282"/>
      <c r="M441" s="282"/>
      <c r="N441" s="282"/>
      <c r="O441" s="282"/>
      <c r="P441" s="282"/>
      <c r="Q441" s="282"/>
      <c r="R441" s="282"/>
      <c r="S441" s="282"/>
      <c r="T441" s="282"/>
      <c r="U441" s="282"/>
      <c r="V441" s="282"/>
      <c r="W441" s="282"/>
      <c r="X441" s="268"/>
      <c r="Y441" s="284" t="n">
        <f aca="false">IFERROR(L441*$G441*I$9, "")</f>
        <v>0</v>
      </c>
      <c r="Z441" s="284" t="n">
        <f aca="false">IFERROR(M441*$G441*$I441, "")</f>
        <v>0</v>
      </c>
      <c r="AA441" s="284" t="n">
        <f aca="false">IFERROR(N441*$G441*$I441, "")</f>
        <v>0</v>
      </c>
      <c r="AB441" s="284" t="n">
        <f aca="false">IFERROR(O441*$G441*$I441, "")</f>
        <v>0</v>
      </c>
      <c r="AC441" s="284" t="n">
        <f aca="false">IFERROR(P441*$G441*$I441, "")</f>
        <v>0</v>
      </c>
      <c r="AD441" s="284" t="n">
        <f aca="false">IFERROR(Q441*$G441*$I441, "")</f>
        <v>0</v>
      </c>
      <c r="AE441" s="284" t="n">
        <f aca="false">IFERROR(R441*$G441*$I441, "")</f>
        <v>0</v>
      </c>
      <c r="AF441" s="284" t="n">
        <f aca="false">IFERROR(S441*$G441*$I441, "")</f>
        <v>0</v>
      </c>
      <c r="AG441" s="284" t="n">
        <f aca="false">IFERROR(T441*$G441*$I441, "")</f>
        <v>0</v>
      </c>
      <c r="AH441" s="284" t="n">
        <f aca="false">IFERROR(U441*$G441*$I441, "")</f>
        <v>0</v>
      </c>
      <c r="AI441" s="284" t="n">
        <f aca="false">IFERROR(V441*$G441*$I441, "")</f>
        <v>0</v>
      </c>
      <c r="AJ441" s="284" t="n">
        <f aca="false">IFERROR(W441*$G441*$I441, "")</f>
        <v>0</v>
      </c>
      <c r="AK441" s="286" t="n">
        <f aca="false">IFERROR(SUMIF($Y$4:$AJ$4, "RDEC", Y441:AJ441), "")</f>
        <v>0</v>
      </c>
      <c r="AL441" s="286" t="n">
        <f aca="false">IFERROR(SUMIF($Y$4:$AJ$4, "SME", Y441:AJ441), "")</f>
        <v>0</v>
      </c>
      <c r="AM441" s="286" t="n">
        <f aca="false">IFERROR(SUMIF($Y$4:$AJ$4, "De Minimis", Y441:AJ441), "")</f>
        <v>0</v>
      </c>
      <c r="AN441" s="268"/>
      <c r="AO441" s="284" t="n">
        <f aca="false">IFERROR($G441*$J441*L441, "")</f>
        <v>0</v>
      </c>
      <c r="AP441" s="284" t="n">
        <f aca="false">IFERROR($G441*$J441*M441, "")</f>
        <v>0</v>
      </c>
      <c r="AQ441" s="284" t="n">
        <f aca="false">IFERROR($G441*$J441*N441, "")</f>
        <v>0</v>
      </c>
      <c r="AR441" s="284" t="n">
        <f aca="false">IFERROR($G441*$J441*O441, "")</f>
        <v>0</v>
      </c>
      <c r="AS441" s="284" t="n">
        <f aca="false">IFERROR($G441*$J441*P441, "")</f>
        <v>0</v>
      </c>
      <c r="AT441" s="284" t="n">
        <f aca="false">IFERROR($G441*$J441*Q441, "")</f>
        <v>0</v>
      </c>
      <c r="AU441" s="284" t="n">
        <f aca="false">IFERROR($G441*$J441*R441, "")</f>
        <v>0</v>
      </c>
      <c r="AV441" s="284" t="n">
        <f aca="false">IFERROR($G441*$J441*S441, "")</f>
        <v>0</v>
      </c>
      <c r="AW441" s="284" t="n">
        <f aca="false">IFERROR($G441*$J441*T441, "")</f>
        <v>0</v>
      </c>
      <c r="AX441" s="284" t="n">
        <f aca="false">IFERROR($G441*$J441*U441, "")</f>
        <v>0</v>
      </c>
      <c r="AY441" s="284" t="n">
        <f aca="false">IFERROR($G441*$J441*V441, "")</f>
        <v>0</v>
      </c>
      <c r="AZ441" s="284" t="n">
        <f aca="false">IFERROR($G441*$J441*W441, "")</f>
        <v>0</v>
      </c>
      <c r="BA441" s="286" t="n">
        <f aca="false">IFERROR(SUMIF($AO$4:$AZ$4, "RDEC", AO441:AZ441), "")</f>
        <v>0</v>
      </c>
      <c r="BB441" s="286" t="n">
        <f aca="false">IFERROR(SUMIF($AO$4:$AZ$4, "SME", AO441:AZ441), "")</f>
        <v>0</v>
      </c>
      <c r="BC441" s="286" t="n">
        <f aca="false">IFERROR(SUMIF($AO$4:$AZ$4, "De Minimis", AO441:AZ441), "")</f>
        <v>0</v>
      </c>
      <c r="BD441" s="287"/>
      <c r="BE441" s="288" t="str">
        <f aca="false">IF((SUM(L441:W441)&gt;1),"ERROR","")</f>
        <v/>
      </c>
    </row>
    <row r="442" customFormat="false" ht="15" hidden="false" customHeight="true" outlineLevel="0" collapsed="false">
      <c r="B442" s="333"/>
      <c r="C442" s="334"/>
      <c r="D442" s="333" t="n">
        <f aca="false">D426</f>
        <v>45323</v>
      </c>
      <c r="E442" s="277" t="n">
        <v>0</v>
      </c>
      <c r="F442" s="277" t="n">
        <v>0</v>
      </c>
      <c r="G442" s="277" t="n">
        <f aca="false">SUM(E442:F442)</f>
        <v>0</v>
      </c>
      <c r="H442" s="204"/>
      <c r="I442" s="279" t="n">
        <v>1</v>
      </c>
      <c r="J442" s="280" t="n">
        <f aca="false">1-I442</f>
        <v>0</v>
      </c>
      <c r="K442" s="277"/>
      <c r="L442" s="282"/>
      <c r="M442" s="282"/>
      <c r="N442" s="282"/>
      <c r="O442" s="282"/>
      <c r="P442" s="282"/>
      <c r="Q442" s="282"/>
      <c r="R442" s="282"/>
      <c r="S442" s="282"/>
      <c r="T442" s="282"/>
      <c r="U442" s="282"/>
      <c r="V442" s="282"/>
      <c r="W442" s="282"/>
      <c r="X442" s="283"/>
      <c r="Y442" s="284" t="n">
        <f aca="false">IFERROR(L442*$G442*I$9, "")</f>
        <v>0</v>
      </c>
      <c r="Z442" s="284" t="n">
        <f aca="false">IFERROR(M442*$G442*$I442, "")</f>
        <v>0</v>
      </c>
      <c r="AA442" s="284" t="n">
        <f aca="false">IFERROR(N442*$G442*$I442, "")</f>
        <v>0</v>
      </c>
      <c r="AB442" s="284" t="n">
        <f aca="false">IFERROR(O442*$G442*$I442, "")</f>
        <v>0</v>
      </c>
      <c r="AC442" s="284" t="n">
        <f aca="false">IFERROR(P442*$G442*$I442, "")</f>
        <v>0</v>
      </c>
      <c r="AD442" s="284" t="n">
        <f aca="false">IFERROR(Q442*$G442*$I442, "")</f>
        <v>0</v>
      </c>
      <c r="AE442" s="284" t="n">
        <f aca="false">IFERROR(R442*$G442*$I442, "")</f>
        <v>0</v>
      </c>
      <c r="AF442" s="284" t="n">
        <f aca="false">IFERROR(S442*$G442*$I442, "")</f>
        <v>0</v>
      </c>
      <c r="AG442" s="284" t="n">
        <f aca="false">IFERROR(T442*$G442*$I442, "")</f>
        <v>0</v>
      </c>
      <c r="AH442" s="284" t="n">
        <f aca="false">IFERROR(U442*$G442*$I442, "")</f>
        <v>0</v>
      </c>
      <c r="AI442" s="284" t="n">
        <f aca="false">IFERROR(V442*$G442*$I442, "")</f>
        <v>0</v>
      </c>
      <c r="AJ442" s="284" t="n">
        <f aca="false">IFERROR(W442*$G442*$I442, "")</f>
        <v>0</v>
      </c>
      <c r="AK442" s="286" t="n">
        <f aca="false">IFERROR(SUMIF($Y$4:$AJ$4, "RDEC", Y442:AJ442), "")</f>
        <v>0</v>
      </c>
      <c r="AL442" s="286" t="n">
        <f aca="false">IFERROR(SUMIF($Y$4:$AJ$4, "SME", Y442:AJ442), "")</f>
        <v>0</v>
      </c>
      <c r="AM442" s="286" t="n">
        <f aca="false">IFERROR(SUMIF($Y$4:$AJ$4, "De Minimis", Y442:AJ442), "")</f>
        <v>0</v>
      </c>
      <c r="AN442" s="283"/>
      <c r="AO442" s="284" t="n">
        <f aca="false">IFERROR($G442*$J442*L442, "")</f>
        <v>0</v>
      </c>
      <c r="AP442" s="284" t="n">
        <f aca="false">IFERROR($G442*$J442*M442, "")</f>
        <v>0</v>
      </c>
      <c r="AQ442" s="284" t="n">
        <f aca="false">IFERROR($G442*$J442*N442, "")</f>
        <v>0</v>
      </c>
      <c r="AR442" s="284" t="n">
        <f aca="false">IFERROR($G442*$J442*O442, "")</f>
        <v>0</v>
      </c>
      <c r="AS442" s="284" t="n">
        <f aca="false">IFERROR($G442*$J442*P442, "")</f>
        <v>0</v>
      </c>
      <c r="AT442" s="284" t="n">
        <f aca="false">IFERROR($G442*$J442*Q442, "")</f>
        <v>0</v>
      </c>
      <c r="AU442" s="284" t="n">
        <f aca="false">IFERROR($G442*$J442*R442, "")</f>
        <v>0</v>
      </c>
      <c r="AV442" s="284" t="n">
        <f aca="false">IFERROR($G442*$J442*S442, "")</f>
        <v>0</v>
      </c>
      <c r="AW442" s="284" t="n">
        <f aca="false">IFERROR($G442*$J442*T442, "")</f>
        <v>0</v>
      </c>
      <c r="AX442" s="284" t="n">
        <f aca="false">IFERROR($G442*$J442*U442, "")</f>
        <v>0</v>
      </c>
      <c r="AY442" s="284" t="n">
        <f aca="false">IFERROR($G442*$J442*V442, "")</f>
        <v>0</v>
      </c>
      <c r="AZ442" s="284" t="n">
        <f aca="false">IFERROR($G442*$J442*W442, "")</f>
        <v>0</v>
      </c>
      <c r="BA442" s="286" t="n">
        <f aca="false">IFERROR(SUMIF($AO$4:$AZ$4, "RDEC", AO442:AZ442), "")</f>
        <v>0</v>
      </c>
      <c r="BB442" s="286" t="n">
        <f aca="false">IFERROR(SUMIF($AO$4:$AZ$4, "SME", AO442:AZ442), "")</f>
        <v>0</v>
      </c>
      <c r="BC442" s="286" t="n">
        <f aca="false">IFERROR(SUMIF($Y$4:$AJ$4, "De Minimis", AO442:AZ442), "")</f>
        <v>0</v>
      </c>
      <c r="BD442" s="287"/>
      <c r="BE442" s="288" t="str">
        <f aca="false">IF((SUM(L442:W442)&gt;1),"ERROR","")</f>
        <v/>
      </c>
    </row>
    <row r="443" customFormat="false" ht="15" hidden="false" customHeight="true" outlineLevel="0" collapsed="false">
      <c r="B443" s="333"/>
      <c r="C443" s="334"/>
      <c r="D443" s="333" t="n">
        <f aca="false">D427</f>
        <v>45352</v>
      </c>
      <c r="E443" s="277" t="n">
        <v>0</v>
      </c>
      <c r="F443" s="277" t="n">
        <v>0</v>
      </c>
      <c r="G443" s="277" t="n">
        <f aca="false">SUM(E443:F443)</f>
        <v>0</v>
      </c>
      <c r="H443" s="204"/>
      <c r="I443" s="279" t="n">
        <v>1</v>
      </c>
      <c r="J443" s="280" t="n">
        <f aca="false">1-I443</f>
        <v>0</v>
      </c>
      <c r="K443" s="277"/>
      <c r="L443" s="282"/>
      <c r="M443" s="282"/>
      <c r="N443" s="282"/>
      <c r="O443" s="282"/>
      <c r="P443" s="282"/>
      <c r="Q443" s="282"/>
      <c r="R443" s="282"/>
      <c r="S443" s="282"/>
      <c r="T443" s="282"/>
      <c r="U443" s="282"/>
      <c r="V443" s="282"/>
      <c r="W443" s="282"/>
      <c r="X443" s="283"/>
      <c r="Y443" s="284" t="n">
        <f aca="false">IFERROR(L443*$G443*I$9, "")</f>
        <v>0</v>
      </c>
      <c r="Z443" s="284" t="n">
        <f aca="false">IFERROR(M443*$G443*$I443, "")</f>
        <v>0</v>
      </c>
      <c r="AA443" s="284" t="n">
        <f aca="false">IFERROR(N443*$G443*$I443, "")</f>
        <v>0</v>
      </c>
      <c r="AB443" s="284" t="n">
        <f aca="false">IFERROR(O443*$G443*$I443, "")</f>
        <v>0</v>
      </c>
      <c r="AC443" s="284" t="n">
        <f aca="false">IFERROR(P443*$G443*$I443, "")</f>
        <v>0</v>
      </c>
      <c r="AD443" s="284" t="n">
        <f aca="false">IFERROR(Q443*$G443*$I443, "")</f>
        <v>0</v>
      </c>
      <c r="AE443" s="284" t="n">
        <f aca="false">IFERROR(R443*$G443*$I443, "")</f>
        <v>0</v>
      </c>
      <c r="AF443" s="284" t="n">
        <f aca="false">IFERROR(S443*$G443*$I443, "")</f>
        <v>0</v>
      </c>
      <c r="AG443" s="284" t="n">
        <f aca="false">IFERROR(T443*$G443*$I443, "")</f>
        <v>0</v>
      </c>
      <c r="AH443" s="284" t="n">
        <f aca="false">IFERROR(U443*$G443*$I443, "")</f>
        <v>0</v>
      </c>
      <c r="AI443" s="284" t="n">
        <f aca="false">IFERROR(V443*$G443*$I443, "")</f>
        <v>0</v>
      </c>
      <c r="AJ443" s="284" t="n">
        <f aca="false">IFERROR(W443*$G443*$I443, "")</f>
        <v>0</v>
      </c>
      <c r="AK443" s="286" t="n">
        <f aca="false">IFERROR(SUMIF($Y$4:$AJ$4, "RDEC", Y443:AJ443), "")</f>
        <v>0</v>
      </c>
      <c r="AL443" s="286" t="n">
        <f aca="false">IFERROR(SUMIF($Y$4:$AJ$4, "SME", Y443:AJ443), "")</f>
        <v>0</v>
      </c>
      <c r="AM443" s="286" t="n">
        <f aca="false">IFERROR(SUMIF($Y$4:$AJ$4, "De Minimis", Y443:AJ443), "")</f>
        <v>0</v>
      </c>
      <c r="AN443" s="283"/>
      <c r="AO443" s="284" t="n">
        <f aca="false">IFERROR($G443*$J443*L443, "")</f>
        <v>0</v>
      </c>
      <c r="AP443" s="284" t="n">
        <f aca="false">IFERROR($G443*$J443*M443, "")</f>
        <v>0</v>
      </c>
      <c r="AQ443" s="284" t="n">
        <f aca="false">IFERROR($G443*$J443*N443, "")</f>
        <v>0</v>
      </c>
      <c r="AR443" s="284" t="n">
        <f aca="false">IFERROR($G443*$J443*O443, "")</f>
        <v>0</v>
      </c>
      <c r="AS443" s="284" t="n">
        <f aca="false">IFERROR($G443*$J443*P443, "")</f>
        <v>0</v>
      </c>
      <c r="AT443" s="284" t="n">
        <f aca="false">IFERROR($G443*$J443*Q443, "")</f>
        <v>0</v>
      </c>
      <c r="AU443" s="284" t="n">
        <f aca="false">IFERROR($G443*$J443*R443, "")</f>
        <v>0</v>
      </c>
      <c r="AV443" s="284" t="n">
        <f aca="false">IFERROR($G443*$J443*S443, "")</f>
        <v>0</v>
      </c>
      <c r="AW443" s="284" t="n">
        <f aca="false">IFERROR($G443*$J443*T443, "")</f>
        <v>0</v>
      </c>
      <c r="AX443" s="284" t="n">
        <f aca="false">IFERROR($G443*$J443*U443, "")</f>
        <v>0</v>
      </c>
      <c r="AY443" s="284" t="n">
        <f aca="false">IFERROR($G443*$J443*V443, "")</f>
        <v>0</v>
      </c>
      <c r="AZ443" s="284" t="n">
        <f aca="false">IFERROR($G443*$J443*W443, "")</f>
        <v>0</v>
      </c>
      <c r="BA443" s="286" t="n">
        <f aca="false">IFERROR(SUMIF($AO$4:$AZ$4, "RDEC", AO443:AZ443), "")</f>
        <v>0</v>
      </c>
      <c r="BB443" s="286" t="n">
        <f aca="false">IFERROR(SUMIF($AO$4:$AZ$4, "SME", AO443:AZ443), "")</f>
        <v>0</v>
      </c>
      <c r="BC443" s="286" t="n">
        <f aca="false">IFERROR(SUMIF($Y$4:$AJ$4, "De Minimis", AO443:AZ443), "")</f>
        <v>0</v>
      </c>
      <c r="BD443" s="287"/>
      <c r="BE443" s="288" t="str">
        <f aca="false">IF((SUM(L443:W443)&gt;1),"ERROR","")</f>
        <v/>
      </c>
    </row>
    <row r="444" customFormat="false" ht="15" hidden="false" customHeight="true" outlineLevel="0" collapsed="false">
      <c r="B444" s="333"/>
      <c r="C444" s="334"/>
      <c r="D444" s="333" t="n">
        <f aca="false">D428</f>
        <v>45383</v>
      </c>
      <c r="E444" s="277" t="n">
        <v>0</v>
      </c>
      <c r="F444" s="277" t="n">
        <v>0</v>
      </c>
      <c r="G444" s="277" t="n">
        <f aca="false">SUM(E444:F444)</f>
        <v>0</v>
      </c>
      <c r="H444" s="204"/>
      <c r="I444" s="279" t="n">
        <v>1</v>
      </c>
      <c r="J444" s="280" t="n">
        <f aca="false">1-I444</f>
        <v>0</v>
      </c>
      <c r="K444" s="277"/>
      <c r="L444" s="282"/>
      <c r="M444" s="282"/>
      <c r="N444" s="282"/>
      <c r="O444" s="282"/>
      <c r="P444" s="282"/>
      <c r="Q444" s="282"/>
      <c r="R444" s="282"/>
      <c r="S444" s="282"/>
      <c r="T444" s="282"/>
      <c r="U444" s="282"/>
      <c r="V444" s="282"/>
      <c r="W444" s="282"/>
      <c r="X444" s="283"/>
      <c r="Y444" s="284" t="n">
        <f aca="false">IFERROR(L444*$G444*I$9, "")</f>
        <v>0</v>
      </c>
      <c r="Z444" s="284" t="n">
        <f aca="false">IFERROR(M444*$G444*$I444, "")</f>
        <v>0</v>
      </c>
      <c r="AA444" s="284" t="n">
        <f aca="false">IFERROR(N444*$G444*$I444, "")</f>
        <v>0</v>
      </c>
      <c r="AB444" s="284" t="n">
        <f aca="false">IFERROR(O444*$G444*$I444, "")</f>
        <v>0</v>
      </c>
      <c r="AC444" s="284" t="n">
        <f aca="false">IFERROR(P444*$G444*$I444, "")</f>
        <v>0</v>
      </c>
      <c r="AD444" s="284" t="n">
        <f aca="false">IFERROR(Q444*$G444*$I444, "")</f>
        <v>0</v>
      </c>
      <c r="AE444" s="284" t="n">
        <f aca="false">IFERROR(R444*$G444*$I444, "")</f>
        <v>0</v>
      </c>
      <c r="AF444" s="284" t="n">
        <f aca="false">IFERROR(S444*$G444*$I444, "")</f>
        <v>0</v>
      </c>
      <c r="AG444" s="284" t="n">
        <f aca="false">IFERROR(T444*$G444*$I444, "")</f>
        <v>0</v>
      </c>
      <c r="AH444" s="284" t="n">
        <f aca="false">IFERROR(U444*$G444*$I444, "")</f>
        <v>0</v>
      </c>
      <c r="AI444" s="284" t="n">
        <f aca="false">IFERROR(V444*$G444*$I444, "")</f>
        <v>0</v>
      </c>
      <c r="AJ444" s="284" t="n">
        <f aca="false">IFERROR(W444*$G444*$I444, "")</f>
        <v>0</v>
      </c>
      <c r="AK444" s="286" t="n">
        <f aca="false">IFERROR(SUMIF($Y$4:$AJ$4, "RDEC", Y444:AJ444), "")</f>
        <v>0</v>
      </c>
      <c r="AL444" s="286" t="n">
        <f aca="false">IFERROR(SUMIF($Y$4:$AJ$4, "SME", Y444:AJ444), "")</f>
        <v>0</v>
      </c>
      <c r="AM444" s="286" t="n">
        <f aca="false">IFERROR(SUMIF($Y$4:$AJ$4, "De Minimis", Y444:AJ444), "")</f>
        <v>0</v>
      </c>
      <c r="AN444" s="283"/>
      <c r="AO444" s="284" t="n">
        <f aca="false">IFERROR($G444*$J444*L444, "")</f>
        <v>0</v>
      </c>
      <c r="AP444" s="284" t="n">
        <f aca="false">IFERROR($G444*$J444*M444, "")</f>
        <v>0</v>
      </c>
      <c r="AQ444" s="284" t="n">
        <f aca="false">IFERROR($G444*$J444*N444, "")</f>
        <v>0</v>
      </c>
      <c r="AR444" s="284" t="n">
        <f aca="false">IFERROR($G444*$J444*O444, "")</f>
        <v>0</v>
      </c>
      <c r="AS444" s="284" t="n">
        <f aca="false">IFERROR($G444*$J444*P444, "")</f>
        <v>0</v>
      </c>
      <c r="AT444" s="284" t="n">
        <f aca="false">IFERROR($G444*$J444*Q444, "")</f>
        <v>0</v>
      </c>
      <c r="AU444" s="284" t="n">
        <f aca="false">IFERROR($G444*$J444*R444, "")</f>
        <v>0</v>
      </c>
      <c r="AV444" s="284" t="n">
        <f aca="false">IFERROR($G444*$J444*S444, "")</f>
        <v>0</v>
      </c>
      <c r="AW444" s="284" t="n">
        <f aca="false">IFERROR($G444*$J444*T444, "")</f>
        <v>0</v>
      </c>
      <c r="AX444" s="284" t="n">
        <f aca="false">IFERROR($G444*$J444*U444, "")</f>
        <v>0</v>
      </c>
      <c r="AY444" s="284" t="n">
        <f aca="false">IFERROR($G444*$J444*V444, "")</f>
        <v>0</v>
      </c>
      <c r="AZ444" s="284" t="n">
        <f aca="false">IFERROR($G444*$J444*W444, "")</f>
        <v>0</v>
      </c>
      <c r="BA444" s="286" t="n">
        <f aca="false">IFERROR(SUMIF($AO$4:$AZ$4, "RDEC", AO444:AZ444), "")</f>
        <v>0</v>
      </c>
      <c r="BB444" s="286" t="n">
        <f aca="false">IFERROR(SUMIF($AO$4:$AZ$4, "SME", AO444:AZ444), "")</f>
        <v>0</v>
      </c>
      <c r="BC444" s="286" t="n">
        <f aca="false">IFERROR(SUMIF($Y$4:$AJ$4, "De Minimis", AO444:AZ444), "")</f>
        <v>0</v>
      </c>
      <c r="BD444" s="287"/>
      <c r="BE444" s="288" t="str">
        <f aca="false">IF((SUM(L444:W444)&gt;1),"ERROR","")</f>
        <v/>
      </c>
    </row>
    <row r="445" customFormat="false" ht="15" hidden="false" customHeight="true" outlineLevel="0" collapsed="false">
      <c r="B445" s="333"/>
      <c r="C445" s="334"/>
      <c r="D445" s="333" t="n">
        <f aca="false">D429</f>
        <v>45413</v>
      </c>
      <c r="E445" s="277" t="n">
        <v>0</v>
      </c>
      <c r="F445" s="277" t="n">
        <v>0</v>
      </c>
      <c r="G445" s="277" t="n">
        <f aca="false">SUM(E445:F445)</f>
        <v>0</v>
      </c>
      <c r="H445" s="204"/>
      <c r="I445" s="279" t="n">
        <v>1</v>
      </c>
      <c r="J445" s="280" t="n">
        <f aca="false">1-I445</f>
        <v>0</v>
      </c>
      <c r="K445" s="277"/>
      <c r="L445" s="282"/>
      <c r="M445" s="282"/>
      <c r="N445" s="282"/>
      <c r="O445" s="282"/>
      <c r="P445" s="282"/>
      <c r="Q445" s="282"/>
      <c r="R445" s="282"/>
      <c r="S445" s="282"/>
      <c r="T445" s="282"/>
      <c r="U445" s="282"/>
      <c r="V445" s="282"/>
      <c r="W445" s="282"/>
      <c r="X445" s="283"/>
      <c r="Y445" s="284" t="n">
        <f aca="false">IFERROR(L445*$G445*I$9, "")</f>
        <v>0</v>
      </c>
      <c r="Z445" s="284" t="n">
        <f aca="false">IFERROR(M445*$G445*$I445, "")</f>
        <v>0</v>
      </c>
      <c r="AA445" s="284" t="n">
        <f aca="false">IFERROR(N445*$G445*$I445, "")</f>
        <v>0</v>
      </c>
      <c r="AB445" s="284" t="n">
        <f aca="false">IFERROR(O445*$G445*$I445, "")</f>
        <v>0</v>
      </c>
      <c r="AC445" s="284" t="n">
        <f aca="false">IFERROR(P445*$G445*$I445, "")</f>
        <v>0</v>
      </c>
      <c r="AD445" s="284" t="n">
        <f aca="false">IFERROR(Q445*$G445*$I445, "")</f>
        <v>0</v>
      </c>
      <c r="AE445" s="284" t="n">
        <f aca="false">IFERROR(R445*$G445*$I445, "")</f>
        <v>0</v>
      </c>
      <c r="AF445" s="284" t="n">
        <f aca="false">IFERROR(S445*$G445*$I445, "")</f>
        <v>0</v>
      </c>
      <c r="AG445" s="284" t="n">
        <f aca="false">IFERROR(T445*$G445*$I445, "")</f>
        <v>0</v>
      </c>
      <c r="AH445" s="284" t="n">
        <f aca="false">IFERROR(U445*$G445*$I445, "")</f>
        <v>0</v>
      </c>
      <c r="AI445" s="284" t="n">
        <f aca="false">IFERROR(V445*$G445*$I445, "")</f>
        <v>0</v>
      </c>
      <c r="AJ445" s="284" t="n">
        <f aca="false">IFERROR(W445*$G445*$I445, "")</f>
        <v>0</v>
      </c>
      <c r="AK445" s="286" t="n">
        <f aca="false">IFERROR(SUMIF($Y$4:$AJ$4, "RDEC", Y445:AJ445), "")</f>
        <v>0</v>
      </c>
      <c r="AL445" s="286" t="n">
        <f aca="false">IFERROR(SUMIF($Y$4:$AJ$4, "SME", Y445:AJ445), "")</f>
        <v>0</v>
      </c>
      <c r="AM445" s="286" t="n">
        <f aca="false">IFERROR(SUMIF($Y$4:$AJ$4, "De Minimis", Y445:AJ445), "")</f>
        <v>0</v>
      </c>
      <c r="AN445" s="283"/>
      <c r="AO445" s="284" t="n">
        <f aca="false">IFERROR($G445*$J445*L445, "")</f>
        <v>0</v>
      </c>
      <c r="AP445" s="284" t="n">
        <f aca="false">IFERROR($G445*$J445*M445, "")</f>
        <v>0</v>
      </c>
      <c r="AQ445" s="284" t="n">
        <f aca="false">IFERROR($G445*$J445*N445, "")</f>
        <v>0</v>
      </c>
      <c r="AR445" s="284" t="n">
        <f aca="false">IFERROR($G445*$J445*O445, "")</f>
        <v>0</v>
      </c>
      <c r="AS445" s="284" t="n">
        <f aca="false">IFERROR($G445*$J445*P445, "")</f>
        <v>0</v>
      </c>
      <c r="AT445" s="284" t="n">
        <f aca="false">IFERROR($G445*$J445*Q445, "")</f>
        <v>0</v>
      </c>
      <c r="AU445" s="284" t="n">
        <f aca="false">IFERROR($G445*$J445*R445, "")</f>
        <v>0</v>
      </c>
      <c r="AV445" s="284" t="n">
        <f aca="false">IFERROR($G445*$J445*S445, "")</f>
        <v>0</v>
      </c>
      <c r="AW445" s="284" t="n">
        <f aca="false">IFERROR($G445*$J445*T445, "")</f>
        <v>0</v>
      </c>
      <c r="AX445" s="284" t="n">
        <f aca="false">IFERROR($G445*$J445*U445, "")</f>
        <v>0</v>
      </c>
      <c r="AY445" s="284" t="n">
        <f aca="false">IFERROR($G445*$J445*V445, "")</f>
        <v>0</v>
      </c>
      <c r="AZ445" s="284" t="n">
        <f aca="false">IFERROR($G445*$J445*W445, "")</f>
        <v>0</v>
      </c>
      <c r="BA445" s="286" t="n">
        <f aca="false">IFERROR(SUMIF($AO$4:$AZ$4, "RDEC", AO445:AZ445), "")</f>
        <v>0</v>
      </c>
      <c r="BB445" s="286" t="n">
        <f aca="false">IFERROR(SUMIF($AO$4:$AZ$4, "SME", AO445:AZ445), "")</f>
        <v>0</v>
      </c>
      <c r="BC445" s="286" t="n">
        <f aca="false">IFERROR(SUMIF($Y$4:$AJ$4, "De Minimis", AO445:AZ445), "")</f>
        <v>0</v>
      </c>
      <c r="BD445" s="287"/>
      <c r="BE445" s="288" t="str">
        <f aca="false">IF((SUM(L445:W445)&gt;1),"ERROR","")</f>
        <v/>
      </c>
    </row>
    <row r="446" customFormat="false" ht="15" hidden="false" customHeight="true" outlineLevel="0" collapsed="false">
      <c r="B446" s="333"/>
      <c r="C446" s="334"/>
      <c r="D446" s="333" t="n">
        <f aca="false">D430</f>
        <v>45444</v>
      </c>
      <c r="E446" s="277" t="n">
        <v>0</v>
      </c>
      <c r="F446" s="277" t="n">
        <v>0</v>
      </c>
      <c r="G446" s="277" t="n">
        <f aca="false">SUM(E446:F446)</f>
        <v>0</v>
      </c>
      <c r="H446" s="204"/>
      <c r="I446" s="279" t="n">
        <v>1</v>
      </c>
      <c r="J446" s="280" t="n">
        <f aca="false">1-I446</f>
        <v>0</v>
      </c>
      <c r="K446" s="277"/>
      <c r="L446" s="282"/>
      <c r="M446" s="282"/>
      <c r="N446" s="282"/>
      <c r="O446" s="282"/>
      <c r="P446" s="282"/>
      <c r="Q446" s="282"/>
      <c r="R446" s="282"/>
      <c r="S446" s="282"/>
      <c r="T446" s="282"/>
      <c r="U446" s="282"/>
      <c r="V446" s="282"/>
      <c r="W446" s="282"/>
      <c r="X446" s="283"/>
      <c r="Y446" s="284" t="n">
        <f aca="false">IFERROR(L446*$G446*I$9, "")</f>
        <v>0</v>
      </c>
      <c r="Z446" s="284" t="n">
        <f aca="false">IFERROR(M446*$G446*$I446, "")</f>
        <v>0</v>
      </c>
      <c r="AA446" s="284" t="n">
        <f aca="false">IFERROR(N446*$G446*$I446, "")</f>
        <v>0</v>
      </c>
      <c r="AB446" s="284" t="n">
        <f aca="false">IFERROR(O446*$G446*$I446, "")</f>
        <v>0</v>
      </c>
      <c r="AC446" s="284" t="n">
        <f aca="false">IFERROR(P446*$G446*$I446, "")</f>
        <v>0</v>
      </c>
      <c r="AD446" s="284" t="n">
        <f aca="false">IFERROR(Q446*$G446*$I446, "")</f>
        <v>0</v>
      </c>
      <c r="AE446" s="284" t="n">
        <f aca="false">IFERROR(R446*$G446*$I446, "")</f>
        <v>0</v>
      </c>
      <c r="AF446" s="284" t="n">
        <f aca="false">IFERROR(S446*$G446*$I446, "")</f>
        <v>0</v>
      </c>
      <c r="AG446" s="284" t="n">
        <f aca="false">IFERROR(T446*$G446*$I446, "")</f>
        <v>0</v>
      </c>
      <c r="AH446" s="284" t="n">
        <f aca="false">IFERROR(U446*$G446*$I446, "")</f>
        <v>0</v>
      </c>
      <c r="AI446" s="284" t="n">
        <f aca="false">IFERROR(V446*$G446*$I446, "")</f>
        <v>0</v>
      </c>
      <c r="AJ446" s="284" t="n">
        <f aca="false">IFERROR(W446*$G446*$I446, "")</f>
        <v>0</v>
      </c>
      <c r="AK446" s="286" t="n">
        <f aca="false">IFERROR(SUMIF($Y$4:$AJ$4, "RDEC", Y446:AJ446), "")</f>
        <v>0</v>
      </c>
      <c r="AL446" s="286" t="n">
        <f aca="false">IFERROR(SUMIF($Y$4:$AJ$4, "SME", Y446:AJ446), "")</f>
        <v>0</v>
      </c>
      <c r="AM446" s="286" t="n">
        <f aca="false">IFERROR(SUMIF($Y$4:$AJ$4, "De Minimis", Y446:AJ446), "")</f>
        <v>0</v>
      </c>
      <c r="AN446" s="283"/>
      <c r="AO446" s="284" t="n">
        <f aca="false">IFERROR($G446*$J446*L446, "")</f>
        <v>0</v>
      </c>
      <c r="AP446" s="284" t="n">
        <f aca="false">IFERROR($G446*$J446*M446, "")</f>
        <v>0</v>
      </c>
      <c r="AQ446" s="284" t="n">
        <f aca="false">IFERROR($G446*$J446*N446, "")</f>
        <v>0</v>
      </c>
      <c r="AR446" s="284" t="n">
        <f aca="false">IFERROR($G446*$J446*O446, "")</f>
        <v>0</v>
      </c>
      <c r="AS446" s="284" t="n">
        <f aca="false">IFERROR($G446*$J446*P446, "")</f>
        <v>0</v>
      </c>
      <c r="AT446" s="284" t="n">
        <f aca="false">IFERROR($G446*$J446*Q446, "")</f>
        <v>0</v>
      </c>
      <c r="AU446" s="284" t="n">
        <f aca="false">IFERROR($G446*$J446*R446, "")</f>
        <v>0</v>
      </c>
      <c r="AV446" s="284" t="n">
        <f aca="false">IFERROR($G446*$J446*S446, "")</f>
        <v>0</v>
      </c>
      <c r="AW446" s="284" t="n">
        <f aca="false">IFERROR($G446*$J446*T446, "")</f>
        <v>0</v>
      </c>
      <c r="AX446" s="284" t="n">
        <f aca="false">IFERROR($G446*$J446*U446, "")</f>
        <v>0</v>
      </c>
      <c r="AY446" s="284" t="n">
        <f aca="false">IFERROR($G446*$J446*V446, "")</f>
        <v>0</v>
      </c>
      <c r="AZ446" s="284" t="n">
        <f aca="false">IFERROR($G446*$J446*W446, "")</f>
        <v>0</v>
      </c>
      <c r="BA446" s="286" t="n">
        <f aca="false">IFERROR(SUMIF($AO$4:$AZ$4, "RDEC", AO446:AZ446), "")</f>
        <v>0</v>
      </c>
      <c r="BB446" s="286" t="n">
        <f aca="false">IFERROR(SUMIF($AO$4:$AZ$4, "SME", AO446:AZ446), "")</f>
        <v>0</v>
      </c>
      <c r="BC446" s="286" t="n">
        <f aca="false">IFERROR(SUMIF($Y$4:$AJ$4, "De Minimis", AO446:AZ446), "")</f>
        <v>0</v>
      </c>
      <c r="BD446" s="287"/>
      <c r="BE446" s="288" t="str">
        <f aca="false">IF((SUM(L446:W446)&gt;1),"ERROR","")</f>
        <v/>
      </c>
    </row>
    <row r="447" customFormat="false" ht="15" hidden="false" customHeight="true" outlineLevel="0" collapsed="false">
      <c r="B447" s="333"/>
      <c r="C447" s="334"/>
      <c r="D447" s="333" t="n">
        <f aca="false">D431</f>
        <v>45474</v>
      </c>
      <c r="E447" s="277" t="n">
        <v>0</v>
      </c>
      <c r="F447" s="277" t="n">
        <v>0</v>
      </c>
      <c r="G447" s="277" t="n">
        <f aca="false">SUM(E447:F447)</f>
        <v>0</v>
      </c>
      <c r="H447" s="204"/>
      <c r="I447" s="279" t="n">
        <v>1</v>
      </c>
      <c r="J447" s="280" t="n">
        <f aca="false">1-I447</f>
        <v>0</v>
      </c>
      <c r="K447" s="277"/>
      <c r="L447" s="282"/>
      <c r="M447" s="282"/>
      <c r="N447" s="282"/>
      <c r="O447" s="282"/>
      <c r="P447" s="282"/>
      <c r="Q447" s="282"/>
      <c r="R447" s="282"/>
      <c r="S447" s="282"/>
      <c r="T447" s="282"/>
      <c r="U447" s="282"/>
      <c r="V447" s="282"/>
      <c r="W447" s="282"/>
      <c r="X447" s="283"/>
      <c r="Y447" s="284" t="n">
        <f aca="false">IFERROR(L447*$G447*I$9, "")</f>
        <v>0</v>
      </c>
      <c r="Z447" s="284" t="n">
        <f aca="false">IFERROR(M447*$G447*$I447, "")</f>
        <v>0</v>
      </c>
      <c r="AA447" s="284" t="n">
        <f aca="false">IFERROR(N447*$G447*$I447, "")</f>
        <v>0</v>
      </c>
      <c r="AB447" s="284" t="n">
        <f aca="false">IFERROR(O447*$G447*$I447, "")</f>
        <v>0</v>
      </c>
      <c r="AC447" s="284" t="n">
        <f aca="false">IFERROR(P447*$G447*$I447, "")</f>
        <v>0</v>
      </c>
      <c r="AD447" s="284" t="n">
        <f aca="false">IFERROR(Q447*$G447*$I447, "")</f>
        <v>0</v>
      </c>
      <c r="AE447" s="284" t="n">
        <f aca="false">IFERROR(R447*$G447*$I447, "")</f>
        <v>0</v>
      </c>
      <c r="AF447" s="284" t="n">
        <f aca="false">IFERROR(S447*$G447*$I447, "")</f>
        <v>0</v>
      </c>
      <c r="AG447" s="284" t="n">
        <f aca="false">IFERROR(T447*$G447*$I447, "")</f>
        <v>0</v>
      </c>
      <c r="AH447" s="284" t="n">
        <f aca="false">IFERROR(U447*$G447*$I447, "")</f>
        <v>0</v>
      </c>
      <c r="AI447" s="284" t="n">
        <f aca="false">IFERROR(V447*$G447*$I447, "")</f>
        <v>0</v>
      </c>
      <c r="AJ447" s="284" t="n">
        <f aca="false">IFERROR(W447*$G447*$I447, "")</f>
        <v>0</v>
      </c>
      <c r="AK447" s="286" t="n">
        <f aca="false">IFERROR(SUMIF($Y$4:$AJ$4, "RDEC", Y447:AJ447), "")</f>
        <v>0</v>
      </c>
      <c r="AL447" s="286" t="n">
        <f aca="false">IFERROR(SUMIF($Y$4:$AJ$4, "SME", Y447:AJ447), "")</f>
        <v>0</v>
      </c>
      <c r="AM447" s="286" t="n">
        <f aca="false">IFERROR(SUMIF($Y$4:$AJ$4, "De Minimis", Y447:AJ447), "")</f>
        <v>0</v>
      </c>
      <c r="AN447" s="283"/>
      <c r="AO447" s="284" t="n">
        <f aca="false">IFERROR($G447*$J447*L447, "")</f>
        <v>0</v>
      </c>
      <c r="AP447" s="284" t="n">
        <f aca="false">IFERROR($G447*$J447*M447, "")</f>
        <v>0</v>
      </c>
      <c r="AQ447" s="284" t="n">
        <f aca="false">IFERROR($G447*$J447*N447, "")</f>
        <v>0</v>
      </c>
      <c r="AR447" s="284" t="n">
        <f aca="false">IFERROR($G447*$J447*O447, "")</f>
        <v>0</v>
      </c>
      <c r="AS447" s="284" t="n">
        <f aca="false">IFERROR($G447*$J447*P447, "")</f>
        <v>0</v>
      </c>
      <c r="AT447" s="284" t="n">
        <f aca="false">IFERROR($G447*$J447*Q447, "")</f>
        <v>0</v>
      </c>
      <c r="AU447" s="284" t="n">
        <f aca="false">IFERROR($G447*$J447*R447, "")</f>
        <v>0</v>
      </c>
      <c r="AV447" s="284" t="n">
        <f aca="false">IFERROR($G447*$J447*S447, "")</f>
        <v>0</v>
      </c>
      <c r="AW447" s="284" t="n">
        <f aca="false">IFERROR($G447*$J447*T447, "")</f>
        <v>0</v>
      </c>
      <c r="AX447" s="284" t="n">
        <f aca="false">IFERROR($G447*$J447*U447, "")</f>
        <v>0</v>
      </c>
      <c r="AY447" s="284" t="n">
        <f aca="false">IFERROR($G447*$J447*V447, "")</f>
        <v>0</v>
      </c>
      <c r="AZ447" s="284" t="n">
        <f aca="false">IFERROR($G447*$J447*W447, "")</f>
        <v>0</v>
      </c>
      <c r="BA447" s="286" t="n">
        <f aca="false">IFERROR(SUMIF($AO$4:$AZ$4, "RDEC", AO447:AZ447), "")</f>
        <v>0</v>
      </c>
      <c r="BB447" s="286" t="n">
        <f aca="false">IFERROR(SUMIF($AO$4:$AZ$4, "SME", AO447:AZ447), "")</f>
        <v>0</v>
      </c>
      <c r="BC447" s="286" t="n">
        <f aca="false">IFERROR(SUMIF($Y$4:$AJ$4, "De Minimis", AO447:AZ447), "")</f>
        <v>0</v>
      </c>
      <c r="BD447" s="287"/>
      <c r="BE447" s="288" t="str">
        <f aca="false">IF((SUM(L447:W447)&gt;1),"ERROR","")</f>
        <v/>
      </c>
    </row>
    <row r="448" customFormat="false" ht="15" hidden="false" customHeight="true" outlineLevel="0" collapsed="false">
      <c r="B448" s="333"/>
      <c r="C448" s="334"/>
      <c r="D448" s="333" t="n">
        <f aca="false">D432</f>
        <v>45505</v>
      </c>
      <c r="E448" s="277" t="n">
        <v>0</v>
      </c>
      <c r="F448" s="277" t="n">
        <v>0</v>
      </c>
      <c r="G448" s="277" t="n">
        <f aca="false">SUM(E448:F448)</f>
        <v>0</v>
      </c>
      <c r="H448" s="204"/>
      <c r="I448" s="279" t="n">
        <v>1</v>
      </c>
      <c r="J448" s="280" t="n">
        <f aca="false">1-I448</f>
        <v>0</v>
      </c>
      <c r="K448" s="277"/>
      <c r="L448" s="282"/>
      <c r="M448" s="282"/>
      <c r="N448" s="282"/>
      <c r="O448" s="282"/>
      <c r="P448" s="282"/>
      <c r="Q448" s="282"/>
      <c r="R448" s="282"/>
      <c r="S448" s="282"/>
      <c r="T448" s="282"/>
      <c r="U448" s="282"/>
      <c r="V448" s="282"/>
      <c r="W448" s="282"/>
      <c r="X448" s="283"/>
      <c r="Y448" s="284" t="n">
        <f aca="false">IFERROR(L448*$G448*I$9, "")</f>
        <v>0</v>
      </c>
      <c r="Z448" s="284" t="n">
        <f aca="false">IFERROR(M448*$G448*$I448, "")</f>
        <v>0</v>
      </c>
      <c r="AA448" s="284" t="n">
        <f aca="false">IFERROR(N448*$G448*$I448, "")</f>
        <v>0</v>
      </c>
      <c r="AB448" s="284" t="n">
        <f aca="false">IFERROR(O448*$G448*$I448, "")</f>
        <v>0</v>
      </c>
      <c r="AC448" s="284" t="n">
        <f aca="false">IFERROR(P448*$G448*$I448, "")</f>
        <v>0</v>
      </c>
      <c r="AD448" s="284" t="n">
        <f aca="false">IFERROR(Q448*$G448*$I448, "")</f>
        <v>0</v>
      </c>
      <c r="AE448" s="284" t="n">
        <f aca="false">IFERROR(R448*$G448*$I448, "")</f>
        <v>0</v>
      </c>
      <c r="AF448" s="284" t="n">
        <f aca="false">IFERROR(S448*$G448*$I448, "")</f>
        <v>0</v>
      </c>
      <c r="AG448" s="284" t="n">
        <f aca="false">IFERROR(T448*$G448*$I448, "")</f>
        <v>0</v>
      </c>
      <c r="AH448" s="284" t="n">
        <f aca="false">IFERROR(U448*$G448*$I448, "")</f>
        <v>0</v>
      </c>
      <c r="AI448" s="284" t="n">
        <f aca="false">IFERROR(V448*$G448*$I448, "")</f>
        <v>0</v>
      </c>
      <c r="AJ448" s="284" t="n">
        <f aca="false">IFERROR(W448*$G448*$I448, "")</f>
        <v>0</v>
      </c>
      <c r="AK448" s="286" t="n">
        <f aca="false">IFERROR(SUMIF($Y$4:$AJ$4, "RDEC", Y448:AJ448), "")</f>
        <v>0</v>
      </c>
      <c r="AL448" s="286" t="n">
        <f aca="false">IFERROR(SUMIF($Y$4:$AJ$4, "SME", Y448:AJ448), "")</f>
        <v>0</v>
      </c>
      <c r="AM448" s="286" t="n">
        <f aca="false">IFERROR(SUMIF($Y$4:$AJ$4, "De Minimis", Y448:AJ448), "")</f>
        <v>0</v>
      </c>
      <c r="AN448" s="283"/>
      <c r="AO448" s="284" t="n">
        <f aca="false">IFERROR($G448*$J448*L448, "")</f>
        <v>0</v>
      </c>
      <c r="AP448" s="284" t="n">
        <f aca="false">IFERROR($G448*$J448*M448, "")</f>
        <v>0</v>
      </c>
      <c r="AQ448" s="284" t="n">
        <f aca="false">IFERROR($G448*$J448*N448, "")</f>
        <v>0</v>
      </c>
      <c r="AR448" s="284" t="n">
        <f aca="false">IFERROR($G448*$J448*O448, "")</f>
        <v>0</v>
      </c>
      <c r="AS448" s="284" t="n">
        <f aca="false">IFERROR($G448*$J448*P448, "")</f>
        <v>0</v>
      </c>
      <c r="AT448" s="284" t="n">
        <f aca="false">IFERROR($G448*$J448*Q448, "")</f>
        <v>0</v>
      </c>
      <c r="AU448" s="284" t="n">
        <f aca="false">IFERROR($G448*$J448*R448, "")</f>
        <v>0</v>
      </c>
      <c r="AV448" s="284" t="n">
        <f aca="false">IFERROR($G448*$J448*S448, "")</f>
        <v>0</v>
      </c>
      <c r="AW448" s="284" t="n">
        <f aca="false">IFERROR($G448*$J448*T448, "")</f>
        <v>0</v>
      </c>
      <c r="AX448" s="284" t="n">
        <f aca="false">IFERROR($G448*$J448*U448, "")</f>
        <v>0</v>
      </c>
      <c r="AY448" s="284" t="n">
        <f aca="false">IFERROR($G448*$J448*V448, "")</f>
        <v>0</v>
      </c>
      <c r="AZ448" s="284" t="n">
        <f aca="false">IFERROR($G448*$J448*W448, "")</f>
        <v>0</v>
      </c>
      <c r="BA448" s="286" t="n">
        <f aca="false">IFERROR(SUMIF($AO$4:$AZ$4, "RDEC", AO448:AZ448), "")</f>
        <v>0</v>
      </c>
      <c r="BB448" s="286" t="n">
        <f aca="false">IFERROR(SUMIF($AO$4:$AZ$4, "SME", AO448:AZ448), "")</f>
        <v>0</v>
      </c>
      <c r="BC448" s="286" t="n">
        <f aca="false">IFERROR(SUMIF($Y$4:$AJ$4, "De Minimis", AO448:AZ448), "")</f>
        <v>0</v>
      </c>
      <c r="BD448" s="287"/>
      <c r="BE448" s="288" t="str">
        <f aca="false">IF((SUM(L448:W448)&gt;1),"ERROR","")</f>
        <v/>
      </c>
    </row>
    <row r="449" customFormat="false" ht="15" hidden="false" customHeight="true" outlineLevel="0" collapsed="false">
      <c r="B449" s="333"/>
      <c r="C449" s="334"/>
      <c r="D449" s="333" t="n">
        <f aca="false">D433</f>
        <v>45536</v>
      </c>
      <c r="E449" s="277" t="n">
        <v>0</v>
      </c>
      <c r="F449" s="277" t="n">
        <v>0</v>
      </c>
      <c r="G449" s="277" t="n">
        <f aca="false">SUM(E449:F449)</f>
        <v>0</v>
      </c>
      <c r="H449" s="204"/>
      <c r="I449" s="279" t="n">
        <v>1</v>
      </c>
      <c r="J449" s="280" t="n">
        <f aca="false">1-I449</f>
        <v>0</v>
      </c>
      <c r="K449" s="277"/>
      <c r="L449" s="282"/>
      <c r="M449" s="282"/>
      <c r="N449" s="282"/>
      <c r="O449" s="282"/>
      <c r="P449" s="282"/>
      <c r="Q449" s="282"/>
      <c r="R449" s="282"/>
      <c r="S449" s="282"/>
      <c r="T449" s="282"/>
      <c r="U449" s="282"/>
      <c r="V449" s="282"/>
      <c r="W449" s="282"/>
      <c r="X449" s="283"/>
      <c r="Y449" s="284" t="n">
        <f aca="false">IFERROR(L449*$G449*I$9, "")</f>
        <v>0</v>
      </c>
      <c r="Z449" s="284" t="n">
        <f aca="false">IFERROR(M449*$G449*$I449, "")</f>
        <v>0</v>
      </c>
      <c r="AA449" s="284" t="n">
        <f aca="false">IFERROR(N449*$G449*$I449, "")</f>
        <v>0</v>
      </c>
      <c r="AB449" s="284" t="n">
        <f aca="false">IFERROR(O449*$G449*$I449, "")</f>
        <v>0</v>
      </c>
      <c r="AC449" s="284" t="n">
        <f aca="false">IFERROR(P449*$G449*$I449, "")</f>
        <v>0</v>
      </c>
      <c r="AD449" s="284" t="n">
        <f aca="false">IFERROR(Q449*$G449*$I449, "")</f>
        <v>0</v>
      </c>
      <c r="AE449" s="284" t="n">
        <f aca="false">IFERROR(R449*$G449*$I449, "")</f>
        <v>0</v>
      </c>
      <c r="AF449" s="284" t="n">
        <f aca="false">IFERROR(S449*$G449*$I449, "")</f>
        <v>0</v>
      </c>
      <c r="AG449" s="284" t="n">
        <f aca="false">IFERROR(T449*$G449*$I449, "")</f>
        <v>0</v>
      </c>
      <c r="AH449" s="284" t="n">
        <f aca="false">IFERROR(U449*$G449*$I449, "")</f>
        <v>0</v>
      </c>
      <c r="AI449" s="284" t="n">
        <f aca="false">IFERROR(V449*$G449*$I449, "")</f>
        <v>0</v>
      </c>
      <c r="AJ449" s="284" t="n">
        <f aca="false">IFERROR(W449*$G449*$I449, "")</f>
        <v>0</v>
      </c>
      <c r="AK449" s="286" t="n">
        <f aca="false">IFERROR(SUMIF($Y$4:$AJ$4, "RDEC", Y449:AJ449), "")</f>
        <v>0</v>
      </c>
      <c r="AL449" s="286" t="n">
        <f aca="false">IFERROR(SUMIF($Y$4:$AJ$4, "SME", Y449:AJ449), "")</f>
        <v>0</v>
      </c>
      <c r="AM449" s="286" t="n">
        <f aca="false">IFERROR(SUMIF($Y$4:$AJ$4, "De Minimis", Y449:AJ449), "")</f>
        <v>0</v>
      </c>
      <c r="AN449" s="283"/>
      <c r="AO449" s="284" t="n">
        <f aca="false">IFERROR($G449*$J449*L449, "")</f>
        <v>0</v>
      </c>
      <c r="AP449" s="284" t="n">
        <f aca="false">IFERROR($G449*$J449*M449, "")</f>
        <v>0</v>
      </c>
      <c r="AQ449" s="284" t="n">
        <f aca="false">IFERROR($G449*$J449*N449, "")</f>
        <v>0</v>
      </c>
      <c r="AR449" s="284" t="n">
        <f aca="false">IFERROR($G449*$J449*O449, "")</f>
        <v>0</v>
      </c>
      <c r="AS449" s="284" t="n">
        <f aca="false">IFERROR($G449*$J449*P449, "")</f>
        <v>0</v>
      </c>
      <c r="AT449" s="284" t="n">
        <f aca="false">IFERROR($G449*$J449*Q449, "")</f>
        <v>0</v>
      </c>
      <c r="AU449" s="284" t="n">
        <f aca="false">IFERROR($G449*$J449*R449, "")</f>
        <v>0</v>
      </c>
      <c r="AV449" s="284" t="n">
        <f aca="false">IFERROR($G449*$J449*S449, "")</f>
        <v>0</v>
      </c>
      <c r="AW449" s="284" t="n">
        <f aca="false">IFERROR($G449*$J449*T449, "")</f>
        <v>0</v>
      </c>
      <c r="AX449" s="284" t="n">
        <f aca="false">IFERROR($G449*$J449*U449, "")</f>
        <v>0</v>
      </c>
      <c r="AY449" s="284" t="n">
        <f aca="false">IFERROR($G449*$J449*V449, "")</f>
        <v>0</v>
      </c>
      <c r="AZ449" s="284" t="n">
        <f aca="false">IFERROR($G449*$J449*W449, "")</f>
        <v>0</v>
      </c>
      <c r="BA449" s="286" t="n">
        <f aca="false">IFERROR(SUMIF($AO$4:$AZ$4, "RDEC", AO449:AZ449), "")</f>
        <v>0</v>
      </c>
      <c r="BB449" s="286" t="n">
        <f aca="false">IFERROR(SUMIF($AO$4:$AZ$4, "SME", AO449:AZ449), "")</f>
        <v>0</v>
      </c>
      <c r="BC449" s="286" t="n">
        <f aca="false">IFERROR(SUMIF($Y$4:$AJ$4, "De Minimis", AO449:AZ449), "")</f>
        <v>0</v>
      </c>
      <c r="BD449" s="287"/>
      <c r="BE449" s="288" t="str">
        <f aca="false">IF((SUM(L449:W449)&gt;1),"ERROR","")</f>
        <v/>
      </c>
    </row>
    <row r="450" customFormat="false" ht="15" hidden="false" customHeight="true" outlineLevel="0" collapsed="false">
      <c r="B450" s="333"/>
      <c r="C450" s="334"/>
      <c r="D450" s="333" t="n">
        <f aca="false">D434</f>
        <v>45566</v>
      </c>
      <c r="E450" s="277" t="n">
        <v>0</v>
      </c>
      <c r="F450" s="277" t="n">
        <v>0</v>
      </c>
      <c r="G450" s="277" t="n">
        <f aca="false">SUM(E450:F450)</f>
        <v>0</v>
      </c>
      <c r="H450" s="204"/>
      <c r="I450" s="279" t="n">
        <v>1</v>
      </c>
      <c r="J450" s="280" t="n">
        <f aca="false">1-I450</f>
        <v>0</v>
      </c>
      <c r="K450" s="277"/>
      <c r="L450" s="282"/>
      <c r="M450" s="282"/>
      <c r="N450" s="282"/>
      <c r="O450" s="282"/>
      <c r="P450" s="282"/>
      <c r="Q450" s="282"/>
      <c r="R450" s="282"/>
      <c r="S450" s="282"/>
      <c r="T450" s="282"/>
      <c r="U450" s="282"/>
      <c r="V450" s="282"/>
      <c r="W450" s="282"/>
      <c r="X450" s="283"/>
      <c r="Y450" s="284" t="n">
        <f aca="false">IFERROR(L450*$G450*I$9, "")</f>
        <v>0</v>
      </c>
      <c r="Z450" s="284" t="n">
        <f aca="false">IFERROR(M450*$G450*$I450, "")</f>
        <v>0</v>
      </c>
      <c r="AA450" s="284" t="n">
        <f aca="false">IFERROR(N450*$G450*$I450, "")</f>
        <v>0</v>
      </c>
      <c r="AB450" s="284" t="n">
        <f aca="false">IFERROR(O450*$G450*$I450, "")</f>
        <v>0</v>
      </c>
      <c r="AC450" s="284" t="n">
        <f aca="false">IFERROR(P450*$G450*$I450, "")</f>
        <v>0</v>
      </c>
      <c r="AD450" s="284" t="n">
        <f aca="false">IFERROR(Q450*$G450*$I450, "")</f>
        <v>0</v>
      </c>
      <c r="AE450" s="284" t="n">
        <f aca="false">IFERROR(R450*$G450*$I450, "")</f>
        <v>0</v>
      </c>
      <c r="AF450" s="284" t="n">
        <f aca="false">IFERROR(S450*$G450*$I450, "")</f>
        <v>0</v>
      </c>
      <c r="AG450" s="284" t="n">
        <f aca="false">IFERROR(T450*$G450*$I450, "")</f>
        <v>0</v>
      </c>
      <c r="AH450" s="284" t="n">
        <f aca="false">IFERROR(U450*$G450*$I450, "")</f>
        <v>0</v>
      </c>
      <c r="AI450" s="284" t="n">
        <f aca="false">IFERROR(V450*$G450*$I450, "")</f>
        <v>0</v>
      </c>
      <c r="AJ450" s="284" t="n">
        <f aca="false">IFERROR(W450*$G450*$I450, "")</f>
        <v>0</v>
      </c>
      <c r="AK450" s="286" t="n">
        <f aca="false">IFERROR(SUMIF($Y$4:$AJ$4, "RDEC", Y450:AJ450), "")</f>
        <v>0</v>
      </c>
      <c r="AL450" s="286" t="n">
        <f aca="false">IFERROR(SUMIF($Y$4:$AJ$4, "SME", Y450:AJ450), "")</f>
        <v>0</v>
      </c>
      <c r="AM450" s="286" t="n">
        <f aca="false">IFERROR(SUMIF($Y$4:$AJ$4, "De Minimis", Y450:AJ450), "")</f>
        <v>0</v>
      </c>
      <c r="AN450" s="283"/>
      <c r="AO450" s="284" t="n">
        <f aca="false">IFERROR($G450*$J450*L450, "")</f>
        <v>0</v>
      </c>
      <c r="AP450" s="284" t="n">
        <f aca="false">IFERROR($G450*$J450*M450, "")</f>
        <v>0</v>
      </c>
      <c r="AQ450" s="284" t="n">
        <f aca="false">IFERROR($G450*$J450*N450, "")</f>
        <v>0</v>
      </c>
      <c r="AR450" s="284" t="n">
        <f aca="false">IFERROR($G450*$J450*O450, "")</f>
        <v>0</v>
      </c>
      <c r="AS450" s="284" t="n">
        <f aca="false">IFERROR($G450*$J450*P450, "")</f>
        <v>0</v>
      </c>
      <c r="AT450" s="284" t="n">
        <f aca="false">IFERROR($G450*$J450*Q450, "")</f>
        <v>0</v>
      </c>
      <c r="AU450" s="284" t="n">
        <f aca="false">IFERROR($G450*$J450*R450, "")</f>
        <v>0</v>
      </c>
      <c r="AV450" s="284" t="n">
        <f aca="false">IFERROR($G450*$J450*S450, "")</f>
        <v>0</v>
      </c>
      <c r="AW450" s="284" t="n">
        <f aca="false">IFERROR($G450*$J450*T450, "")</f>
        <v>0</v>
      </c>
      <c r="AX450" s="284" t="n">
        <f aca="false">IFERROR($G450*$J450*U450, "")</f>
        <v>0</v>
      </c>
      <c r="AY450" s="284" t="n">
        <f aca="false">IFERROR($G450*$J450*V450, "")</f>
        <v>0</v>
      </c>
      <c r="AZ450" s="284" t="n">
        <f aca="false">IFERROR($G450*$J450*W450, "")</f>
        <v>0</v>
      </c>
      <c r="BA450" s="286" t="n">
        <f aca="false">IFERROR(SUMIF($AO$4:$AZ$4, "RDEC", AO450:AZ450), "")</f>
        <v>0</v>
      </c>
      <c r="BB450" s="286" t="n">
        <f aca="false">IFERROR(SUMIF($AO$4:$AZ$4, "SME", AO450:AZ450), "")</f>
        <v>0</v>
      </c>
      <c r="BC450" s="286" t="n">
        <f aca="false">IFERROR(SUMIF($Y$4:$AJ$4, "De Minimis", AO450:AZ450), "")</f>
        <v>0</v>
      </c>
      <c r="BD450" s="287"/>
      <c r="BE450" s="288" t="str">
        <f aca="false">IF((SUM(L450:W450)&gt;1),"ERROR","")</f>
        <v/>
      </c>
    </row>
    <row r="451" customFormat="false" ht="15" hidden="false" customHeight="true" outlineLevel="0" collapsed="false">
      <c r="B451" s="333"/>
      <c r="C451" s="334"/>
      <c r="D451" s="333" t="n">
        <f aca="false">D435</f>
        <v>45597</v>
      </c>
      <c r="E451" s="277" t="n">
        <v>0</v>
      </c>
      <c r="F451" s="277" t="n">
        <v>0</v>
      </c>
      <c r="G451" s="277" t="n">
        <f aca="false">SUM(E451:F451)</f>
        <v>0</v>
      </c>
      <c r="H451" s="204"/>
      <c r="I451" s="279" t="n">
        <v>1</v>
      </c>
      <c r="J451" s="280" t="n">
        <f aca="false">1-I451</f>
        <v>0</v>
      </c>
      <c r="K451" s="277"/>
      <c r="L451" s="282"/>
      <c r="M451" s="282"/>
      <c r="N451" s="282"/>
      <c r="O451" s="282"/>
      <c r="P451" s="282"/>
      <c r="Q451" s="282"/>
      <c r="R451" s="282"/>
      <c r="S451" s="282"/>
      <c r="T451" s="282"/>
      <c r="U451" s="282"/>
      <c r="V451" s="282"/>
      <c r="W451" s="282"/>
      <c r="X451" s="283"/>
      <c r="Y451" s="284" t="n">
        <f aca="false">IFERROR(L451*$G451*I$9, "")</f>
        <v>0</v>
      </c>
      <c r="Z451" s="284" t="n">
        <f aca="false">IFERROR(M451*$G451*$I451, "")</f>
        <v>0</v>
      </c>
      <c r="AA451" s="284" t="n">
        <f aca="false">IFERROR(N451*$G451*$I451, "")</f>
        <v>0</v>
      </c>
      <c r="AB451" s="284" t="n">
        <f aca="false">IFERROR(O451*$G451*$I451, "")</f>
        <v>0</v>
      </c>
      <c r="AC451" s="284" t="n">
        <f aca="false">IFERROR(P451*$G451*$I451, "")</f>
        <v>0</v>
      </c>
      <c r="AD451" s="284" t="n">
        <f aca="false">IFERROR(Q451*$G451*$I451, "")</f>
        <v>0</v>
      </c>
      <c r="AE451" s="284" t="n">
        <f aca="false">IFERROR(R451*$G451*$I451, "")</f>
        <v>0</v>
      </c>
      <c r="AF451" s="284" t="n">
        <f aca="false">IFERROR(S451*$G451*$I451, "")</f>
        <v>0</v>
      </c>
      <c r="AG451" s="284" t="n">
        <f aca="false">IFERROR(T451*$G451*$I451, "")</f>
        <v>0</v>
      </c>
      <c r="AH451" s="284" t="n">
        <f aca="false">IFERROR(U451*$G451*$I451, "")</f>
        <v>0</v>
      </c>
      <c r="AI451" s="284" t="n">
        <f aca="false">IFERROR(V451*$G451*$I451, "")</f>
        <v>0</v>
      </c>
      <c r="AJ451" s="284" t="n">
        <f aca="false">IFERROR(W451*$G451*$I451, "")</f>
        <v>0</v>
      </c>
      <c r="AK451" s="286" t="n">
        <f aca="false">IFERROR(SUMIF($Y$4:$AJ$4, "RDEC", Y451:AJ451), "")</f>
        <v>0</v>
      </c>
      <c r="AL451" s="286" t="n">
        <f aca="false">IFERROR(SUMIF($Y$4:$AJ$4, "SME", Y451:AJ451), "")</f>
        <v>0</v>
      </c>
      <c r="AM451" s="286" t="n">
        <f aca="false">IFERROR(SUMIF($Y$4:$AJ$4, "De Minimis", Y451:AJ451), "")</f>
        <v>0</v>
      </c>
      <c r="AN451" s="283"/>
      <c r="AO451" s="284" t="n">
        <f aca="false">IFERROR($G451*$J451*L451, "")</f>
        <v>0</v>
      </c>
      <c r="AP451" s="284" t="n">
        <f aca="false">IFERROR($G451*$J451*M451, "")</f>
        <v>0</v>
      </c>
      <c r="AQ451" s="284" t="n">
        <f aca="false">IFERROR($G451*$J451*N451, "")</f>
        <v>0</v>
      </c>
      <c r="AR451" s="284" t="n">
        <f aca="false">IFERROR($G451*$J451*O451, "")</f>
        <v>0</v>
      </c>
      <c r="AS451" s="284" t="n">
        <f aca="false">IFERROR($G451*$J451*P451, "")</f>
        <v>0</v>
      </c>
      <c r="AT451" s="284" t="n">
        <f aca="false">IFERROR($G451*$J451*Q451, "")</f>
        <v>0</v>
      </c>
      <c r="AU451" s="284" t="n">
        <f aca="false">IFERROR($G451*$J451*R451, "")</f>
        <v>0</v>
      </c>
      <c r="AV451" s="284" t="n">
        <f aca="false">IFERROR($G451*$J451*S451, "")</f>
        <v>0</v>
      </c>
      <c r="AW451" s="284" t="n">
        <f aca="false">IFERROR($G451*$J451*T451, "")</f>
        <v>0</v>
      </c>
      <c r="AX451" s="284" t="n">
        <f aca="false">IFERROR($G451*$J451*U451, "")</f>
        <v>0</v>
      </c>
      <c r="AY451" s="284" t="n">
        <f aca="false">IFERROR($G451*$J451*V451, "")</f>
        <v>0</v>
      </c>
      <c r="AZ451" s="284" t="n">
        <f aca="false">IFERROR($G451*$J451*W451, "")</f>
        <v>0</v>
      </c>
      <c r="BA451" s="286" t="n">
        <f aca="false">IFERROR(SUMIF($AO$4:$AZ$4, "RDEC", AO451:AZ451), "")</f>
        <v>0</v>
      </c>
      <c r="BB451" s="286" t="n">
        <f aca="false">IFERROR(SUMIF($AO$4:$AZ$4, "SME", AO451:AZ451), "")</f>
        <v>0</v>
      </c>
      <c r="BC451" s="286" t="n">
        <f aca="false">IFERROR(SUMIF($Y$4:$AJ$4, "De Minimis", AO451:AZ451), "")</f>
        <v>0</v>
      </c>
      <c r="BD451" s="287"/>
      <c r="BE451" s="288" t="str">
        <f aca="false">IF((SUM(L451:W451)&gt;1),"ERROR","")</f>
        <v/>
      </c>
    </row>
    <row r="452" customFormat="false" ht="15" hidden="false" customHeight="true" outlineLevel="0" collapsed="false">
      <c r="B452" s="333"/>
      <c r="C452" s="334"/>
      <c r="D452" s="333" t="n">
        <f aca="false">D436</f>
        <v>45627</v>
      </c>
      <c r="E452" s="277" t="n">
        <v>0</v>
      </c>
      <c r="F452" s="277" t="n">
        <v>0</v>
      </c>
      <c r="G452" s="277" t="n">
        <f aca="false">SUM(E452:F452)</f>
        <v>0</v>
      </c>
      <c r="H452" s="300"/>
      <c r="I452" s="289" t="n">
        <v>1</v>
      </c>
      <c r="J452" s="290" t="n">
        <f aca="false">1-I452</f>
        <v>0</v>
      </c>
      <c r="K452" s="300"/>
      <c r="L452" s="291"/>
      <c r="M452" s="291"/>
      <c r="N452" s="291"/>
      <c r="O452" s="291"/>
      <c r="P452" s="291"/>
      <c r="Q452" s="291"/>
      <c r="R452" s="291"/>
      <c r="S452" s="291"/>
      <c r="T452" s="291"/>
      <c r="U452" s="291"/>
      <c r="V452" s="291"/>
      <c r="W452" s="291"/>
      <c r="X452" s="283"/>
      <c r="Y452" s="284" t="n">
        <f aca="false">IFERROR(L452*$G452*I$9, "")</f>
        <v>0</v>
      </c>
      <c r="Z452" s="284" t="n">
        <f aca="false">IFERROR(M452*$G452*$I452, "")</f>
        <v>0</v>
      </c>
      <c r="AA452" s="284" t="n">
        <f aca="false">IFERROR(N452*$G452*$I452, "")</f>
        <v>0</v>
      </c>
      <c r="AB452" s="284" t="n">
        <f aca="false">IFERROR(O452*$G452*$I452, "")</f>
        <v>0</v>
      </c>
      <c r="AC452" s="284" t="n">
        <f aca="false">IFERROR(P452*$G452*$I452, "")</f>
        <v>0</v>
      </c>
      <c r="AD452" s="284" t="n">
        <f aca="false">IFERROR(Q452*$G452*$I452, "")</f>
        <v>0</v>
      </c>
      <c r="AE452" s="284" t="n">
        <f aca="false">IFERROR(R452*$G452*$I452, "")</f>
        <v>0</v>
      </c>
      <c r="AF452" s="284" t="n">
        <f aca="false">IFERROR(S452*$G452*$I452, "")</f>
        <v>0</v>
      </c>
      <c r="AG452" s="284" t="n">
        <f aca="false">IFERROR(T452*$G452*$I452, "")</f>
        <v>0</v>
      </c>
      <c r="AH452" s="284" t="n">
        <f aca="false">IFERROR(U452*$G452*$I452, "")</f>
        <v>0</v>
      </c>
      <c r="AI452" s="284" t="n">
        <f aca="false">IFERROR(V452*$G452*$I452, "")</f>
        <v>0</v>
      </c>
      <c r="AJ452" s="284" t="n">
        <f aca="false">IFERROR(W452*$G452*$I452, "")</f>
        <v>0</v>
      </c>
      <c r="AK452" s="294" t="n">
        <f aca="false">IFERROR(SUMIF($Y$4:$AJ$4, "RDEC", Y452:AJ452), "")</f>
        <v>0</v>
      </c>
      <c r="AL452" s="294" t="n">
        <f aca="false">IFERROR(SUMIF($Y$4:$AJ$4, "SME", Y452:AJ452), "")</f>
        <v>0</v>
      </c>
      <c r="AM452" s="294" t="n">
        <f aca="false">IFERROR(SUMIF($Y$4:$AJ$4, "De Minimis", Y452:AJ452), "")</f>
        <v>0</v>
      </c>
      <c r="AN452" s="283"/>
      <c r="AO452" s="284" t="n">
        <f aca="false">IFERROR($G452*$J452*L452, "")</f>
        <v>0</v>
      </c>
      <c r="AP452" s="284" t="n">
        <f aca="false">IFERROR($G452*$J452*M452, "")</f>
        <v>0</v>
      </c>
      <c r="AQ452" s="284" t="n">
        <f aca="false">IFERROR($G452*$J452*N452, "")</f>
        <v>0</v>
      </c>
      <c r="AR452" s="284" t="n">
        <f aca="false">IFERROR($G452*$J452*O452, "")</f>
        <v>0</v>
      </c>
      <c r="AS452" s="284" t="n">
        <f aca="false">IFERROR($G452*$J452*P452, "")</f>
        <v>0</v>
      </c>
      <c r="AT452" s="284" t="n">
        <f aca="false">IFERROR($G452*$J452*Q452, "")</f>
        <v>0</v>
      </c>
      <c r="AU452" s="284" t="n">
        <f aca="false">IFERROR($G452*$J452*R452, "")</f>
        <v>0</v>
      </c>
      <c r="AV452" s="284" t="n">
        <f aca="false">IFERROR($G452*$J452*S452, "")</f>
        <v>0</v>
      </c>
      <c r="AW452" s="284" t="n">
        <f aca="false">IFERROR($G452*$J452*T452, "")</f>
        <v>0</v>
      </c>
      <c r="AX452" s="284" t="n">
        <f aca="false">IFERROR($G452*$J452*U452, "")</f>
        <v>0</v>
      </c>
      <c r="AY452" s="284" t="n">
        <f aca="false">IFERROR($G452*$J452*V452, "")</f>
        <v>0</v>
      </c>
      <c r="AZ452" s="284" t="n">
        <f aca="false">IFERROR($G452*$J452*W452, "")</f>
        <v>0</v>
      </c>
      <c r="BA452" s="286" t="n">
        <f aca="false">IFERROR(SUMIF($AO$4:$AZ$4, "RDEC", AO452:AZ452), "")</f>
        <v>0</v>
      </c>
      <c r="BB452" s="286" t="n">
        <f aca="false">IFERROR(SUMIF($AO$4:$AZ$4, "SME", AO452:AZ452), "")</f>
        <v>0</v>
      </c>
      <c r="BC452" s="294" t="n">
        <f aca="false">IFERROR(SUMIF($Y$4:$AJ$4, "De Minimis", AO452:AZ452), "")</f>
        <v>0</v>
      </c>
      <c r="BD452" s="303"/>
      <c r="BE452" s="295" t="str">
        <f aca="false">IF((SUM(L452:W452)&gt;1),"ERROR","")</f>
        <v/>
      </c>
    </row>
    <row r="453" customFormat="false" ht="15" hidden="false" customHeight="true" outlineLevel="0" collapsed="false">
      <c r="B453" s="296"/>
      <c r="D453" s="297" t="s">
        <v>82</v>
      </c>
      <c r="E453" s="299" t="n">
        <f aca="false">SUM(E441:E452)</f>
        <v>0</v>
      </c>
      <c r="F453" s="299" t="n">
        <f aca="false">SUM(F441:F452)</f>
        <v>0</v>
      </c>
      <c r="G453" s="299" t="n">
        <f aca="false">SUM(G441:G452)</f>
        <v>0</v>
      </c>
      <c r="H453" s="300"/>
      <c r="I453" s="301" t="n">
        <f aca="false">AVERAGE(I441:I452)</f>
        <v>1</v>
      </c>
      <c r="J453" s="301" t="n">
        <f aca="false">AVERAGE(J441:J452)</f>
        <v>0</v>
      </c>
      <c r="K453" s="300"/>
      <c r="L453" s="290" t="n">
        <f aca="false">IF(SUM(L441:L452)&gt;0,(Y453/G453),0)</f>
        <v>0</v>
      </c>
      <c r="M453" s="301" t="n">
        <f aca="false">IF(SUM(M441:M452)&gt;0,(Z453/G453),0)</f>
        <v>0</v>
      </c>
      <c r="N453" s="301" t="n">
        <f aca="false">IF(SUM(N441:N452)&gt;0,(AA453/G453),0)</f>
        <v>0</v>
      </c>
      <c r="O453" s="301" t="n">
        <f aca="false">IF(SUM(O441:O452)&gt;0,(AB453/G453),0)</f>
        <v>0</v>
      </c>
      <c r="P453" s="301" t="n">
        <f aca="false">IF(SUM(P441:P452)&gt;0,(AC453/G453),0)</f>
        <v>0</v>
      </c>
      <c r="Q453" s="301" t="n">
        <f aca="false">IF(SUM(Q441:Q452)&gt;0,(AD453/G453),0)</f>
        <v>0</v>
      </c>
      <c r="R453" s="301" t="n">
        <f aca="false">IF(SUM(R441:R452)&gt;0,(AE453/G453),0)</f>
        <v>0</v>
      </c>
      <c r="S453" s="301" t="n">
        <f aca="false">IF(SUM(S441:S452)&gt;0,(AF453/G453),0)</f>
        <v>0</v>
      </c>
      <c r="T453" s="301" t="n">
        <f aca="false">IF(SUM(T441:T452)&gt;0,(AG453/G453),0)</f>
        <v>0</v>
      </c>
      <c r="U453" s="301" t="n">
        <f aca="false">IF(SUM(U441:U452)&gt;0,(AJ453/G453),0)</f>
        <v>0</v>
      </c>
      <c r="V453" s="301" t="n">
        <f aca="false">IF(SUM(V441:V452)&gt;0,(AI453/G453),0)</f>
        <v>0</v>
      </c>
      <c r="W453" s="301" t="n">
        <f aca="false">IF(SUM(W441:W452)&gt;0,(AJ453/G453),0)</f>
        <v>0</v>
      </c>
      <c r="X453" s="283"/>
      <c r="Y453" s="304" t="n">
        <f aca="false">SUM(Y441:Y452)</f>
        <v>0</v>
      </c>
      <c r="Z453" s="304" t="n">
        <f aca="false">SUM(Z441:Z452)</f>
        <v>0</v>
      </c>
      <c r="AA453" s="304" t="n">
        <f aca="false">SUM(AA441:AA452)</f>
        <v>0</v>
      </c>
      <c r="AB453" s="304" t="n">
        <f aca="false">SUM(AB441:AB452)</f>
        <v>0</v>
      </c>
      <c r="AC453" s="304" t="n">
        <f aca="false">SUM(AC441:AC452)</f>
        <v>0</v>
      </c>
      <c r="AD453" s="304" t="n">
        <f aca="false">SUM(AD441:AD452)</f>
        <v>0</v>
      </c>
      <c r="AE453" s="304" t="n">
        <f aca="false">SUM(AE441:AE452)</f>
        <v>0</v>
      </c>
      <c r="AF453" s="304" t="n">
        <f aca="false">SUM(AF441:AF452)</f>
        <v>0</v>
      </c>
      <c r="AG453" s="304" t="n">
        <f aca="false">SUM(AG441:AG452)</f>
        <v>0</v>
      </c>
      <c r="AH453" s="304" t="n">
        <f aca="false">SUM(AH441:AH452)</f>
        <v>0</v>
      </c>
      <c r="AI453" s="304" t="n">
        <f aca="false">SUM(AI441:AI452)</f>
        <v>0</v>
      </c>
      <c r="AJ453" s="304" t="n">
        <f aca="false">SUM(AJ441:AJ452)</f>
        <v>0</v>
      </c>
      <c r="AK453" s="335" t="n">
        <f aca="false">SUM(AK441:AK452)</f>
        <v>0</v>
      </c>
      <c r="AL453" s="336" t="n">
        <f aca="false">SUM(AL441:AL452)</f>
        <v>0</v>
      </c>
      <c r="AM453" s="305" t="n">
        <f aca="false">SUM(AM441:AM452)</f>
        <v>0</v>
      </c>
      <c r="AN453" s="283"/>
      <c r="AO453" s="304" t="n">
        <f aca="false">SUM(AO441:AO452)</f>
        <v>0</v>
      </c>
      <c r="AP453" s="304" t="n">
        <f aca="false">SUM(AP441:AP452)</f>
        <v>0</v>
      </c>
      <c r="AQ453" s="304" t="n">
        <f aca="false">SUM(AQ441:AQ452)</f>
        <v>0</v>
      </c>
      <c r="AR453" s="304" t="n">
        <f aca="false">SUM(AR441:AR452)</f>
        <v>0</v>
      </c>
      <c r="AS453" s="304" t="n">
        <f aca="false">SUM(AS441:AS452)</f>
        <v>0</v>
      </c>
      <c r="AT453" s="304" t="n">
        <f aca="false">SUM(AT441:AT452)</f>
        <v>0</v>
      </c>
      <c r="AU453" s="304" t="n">
        <f aca="false">SUM(AU441:AU452)</f>
        <v>0</v>
      </c>
      <c r="AV453" s="304" t="n">
        <f aca="false">SUM(AV441:AV452)</f>
        <v>0</v>
      </c>
      <c r="AW453" s="304" t="n">
        <f aca="false">SUM(AW441:AW452)</f>
        <v>0</v>
      </c>
      <c r="AX453" s="304" t="n">
        <f aca="false">SUM(AX441:AX452)</f>
        <v>0</v>
      </c>
      <c r="AY453" s="304" t="n">
        <f aca="false">SUM(AY441:AY452)</f>
        <v>0</v>
      </c>
      <c r="AZ453" s="304" t="n">
        <f aca="false">SUM(AZ441:AZ452)</f>
        <v>0</v>
      </c>
      <c r="BA453" s="336" t="n">
        <f aca="false">SUM(BA441:BA452)</f>
        <v>0</v>
      </c>
      <c r="BB453" s="336" t="n">
        <f aca="false">SUM(BB441:BB452)</f>
        <v>0</v>
      </c>
      <c r="BC453" s="305" t="n">
        <f aca="false">SUM(BC441:BC452)</f>
        <v>0</v>
      </c>
      <c r="BD453" s="303"/>
      <c r="BE453" s="337"/>
    </row>
    <row r="454" customFormat="false" ht="15" hidden="false" customHeight="true" outlineLevel="0" collapsed="false">
      <c r="B454" s="296"/>
      <c r="D454" s="297"/>
      <c r="E454" s="300"/>
      <c r="F454" s="300"/>
      <c r="G454" s="300"/>
      <c r="H454" s="241"/>
      <c r="I454" s="302"/>
      <c r="J454" s="302"/>
      <c r="K454" s="241"/>
      <c r="L454" s="259"/>
      <c r="M454" s="259"/>
      <c r="N454" s="259"/>
      <c r="O454" s="259"/>
      <c r="P454" s="259"/>
      <c r="Q454" s="259"/>
      <c r="R454" s="259"/>
      <c r="S454" s="259"/>
      <c r="T454" s="259"/>
      <c r="U454" s="259"/>
      <c r="V454" s="259"/>
      <c r="W454" s="259"/>
      <c r="X454" s="303"/>
      <c r="Y454" s="259"/>
      <c r="Z454" s="303"/>
      <c r="AA454" s="303"/>
      <c r="AB454" s="303"/>
      <c r="AC454" s="303"/>
      <c r="AD454" s="303"/>
      <c r="AE454" s="303"/>
      <c r="AF454" s="303"/>
      <c r="AG454" s="303"/>
      <c r="AH454" s="303"/>
      <c r="AI454" s="303"/>
      <c r="AJ454" s="303"/>
      <c r="AK454" s="303"/>
      <c r="AL454" s="303"/>
      <c r="AM454" s="303"/>
      <c r="AN454" s="303"/>
      <c r="AO454" s="259"/>
      <c r="AP454" s="303"/>
      <c r="AQ454" s="303"/>
      <c r="AR454" s="303"/>
      <c r="AS454" s="303"/>
      <c r="AT454" s="303"/>
      <c r="AU454" s="303"/>
      <c r="AV454" s="303"/>
      <c r="AW454" s="303"/>
      <c r="AX454" s="303"/>
      <c r="AY454" s="303"/>
      <c r="AZ454" s="303"/>
      <c r="BA454" s="303"/>
      <c r="BB454" s="303"/>
      <c r="BC454" s="303"/>
      <c r="BD454" s="268"/>
      <c r="BE454" s="303"/>
    </row>
    <row r="455" customFormat="false" ht="15" hidden="false" customHeight="true" outlineLevel="0" collapsed="false">
      <c r="A455" s="198" t="n">
        <f aca="false">A439+1</f>
        <v>29</v>
      </c>
      <c r="B455" s="266" t="s">
        <v>253</v>
      </c>
      <c r="C455" s="266" t="s">
        <v>253</v>
      </c>
      <c r="D455" s="266"/>
      <c r="E455" s="241"/>
      <c r="F455" s="241"/>
      <c r="G455" s="241"/>
      <c r="H455" s="241"/>
      <c r="I455" s="241"/>
      <c r="J455" s="241"/>
      <c r="K455" s="277"/>
      <c r="L455" s="241"/>
      <c r="M455" s="241"/>
      <c r="N455" s="241"/>
      <c r="O455" s="241"/>
      <c r="P455" s="241"/>
      <c r="Q455" s="241"/>
      <c r="R455" s="241"/>
      <c r="S455" s="241"/>
      <c r="T455" s="241"/>
      <c r="U455" s="241"/>
      <c r="V455" s="241"/>
      <c r="W455" s="241"/>
      <c r="X455" s="259"/>
      <c r="Y455" s="268"/>
      <c r="Z455" s="268"/>
      <c r="AA455" s="268"/>
      <c r="AB455" s="268"/>
      <c r="AC455" s="268"/>
      <c r="AD455" s="268"/>
      <c r="AE455" s="268"/>
      <c r="AF455" s="268"/>
      <c r="AG455" s="268"/>
      <c r="AH455" s="268"/>
      <c r="AI455" s="268"/>
      <c r="AJ455" s="268"/>
      <c r="AK455" s="268"/>
      <c r="AL455" s="268"/>
      <c r="AM455" s="268"/>
      <c r="AN455" s="259"/>
      <c r="AO455" s="268"/>
      <c r="AP455" s="268"/>
      <c r="AQ455" s="268"/>
      <c r="AR455" s="268"/>
      <c r="AS455" s="268"/>
      <c r="AT455" s="268"/>
      <c r="AU455" s="268"/>
      <c r="AV455" s="268"/>
      <c r="AW455" s="268"/>
      <c r="AX455" s="268"/>
      <c r="AY455" s="268"/>
      <c r="AZ455" s="268"/>
      <c r="BA455" s="268"/>
      <c r="BB455" s="268"/>
      <c r="BC455" s="268"/>
      <c r="BD455" s="287"/>
      <c r="BE455" s="268"/>
    </row>
    <row r="456" customFormat="false" ht="7.5" hidden="false" customHeight="true" outlineLevel="0" collapsed="false">
      <c r="A456" s="198"/>
      <c r="B456" s="266"/>
      <c r="C456" s="266"/>
      <c r="D456" s="266"/>
      <c r="E456" s="241"/>
      <c r="F456" s="241"/>
      <c r="G456" s="241"/>
      <c r="H456" s="204"/>
      <c r="I456" s="269"/>
      <c r="J456" s="269"/>
      <c r="K456" s="277"/>
      <c r="L456" s="269"/>
      <c r="M456" s="269"/>
      <c r="N456" s="269"/>
      <c r="O456" s="269"/>
      <c r="P456" s="269"/>
      <c r="Q456" s="269"/>
      <c r="R456" s="269"/>
      <c r="S456" s="269"/>
      <c r="T456" s="269"/>
      <c r="U456" s="269"/>
      <c r="V456" s="269"/>
      <c r="W456" s="269"/>
      <c r="X456" s="259"/>
      <c r="Y456" s="271"/>
      <c r="Z456" s="271"/>
      <c r="AA456" s="271"/>
      <c r="AB456" s="271"/>
      <c r="AC456" s="271"/>
      <c r="AD456" s="271"/>
      <c r="AE456" s="271"/>
      <c r="AF456" s="271"/>
      <c r="AG456" s="271"/>
      <c r="AH456" s="271"/>
      <c r="AI456" s="271"/>
      <c r="AJ456" s="272"/>
      <c r="AK456" s="273"/>
      <c r="AL456" s="273"/>
      <c r="AM456" s="273"/>
      <c r="AN456" s="259"/>
      <c r="AO456" s="271"/>
      <c r="AP456" s="271"/>
      <c r="AQ456" s="271"/>
      <c r="AR456" s="271"/>
      <c r="AS456" s="271"/>
      <c r="AT456" s="271"/>
      <c r="AU456" s="271"/>
      <c r="AV456" s="271"/>
      <c r="AW456" s="271"/>
      <c r="AX456" s="271"/>
      <c r="AY456" s="271"/>
      <c r="AZ456" s="272"/>
      <c r="BA456" s="273"/>
      <c r="BB456" s="273"/>
      <c r="BC456" s="273"/>
      <c r="BD456" s="287"/>
      <c r="BE456" s="274"/>
    </row>
    <row r="457" customFormat="false" ht="15" hidden="false" customHeight="true" outlineLevel="0" collapsed="false">
      <c r="B457" s="333"/>
      <c r="C457" s="334"/>
      <c r="D457" s="333" t="n">
        <f aca="false">D441</f>
        <v>45292</v>
      </c>
      <c r="E457" s="277" t="n">
        <v>0</v>
      </c>
      <c r="F457" s="277" t="n">
        <v>0</v>
      </c>
      <c r="G457" s="277" t="n">
        <f aca="false">SUM(E457:F457)</f>
        <v>0</v>
      </c>
      <c r="H457" s="204"/>
      <c r="I457" s="279" t="n">
        <v>1</v>
      </c>
      <c r="J457" s="280" t="n">
        <f aca="false">1-I457</f>
        <v>0</v>
      </c>
      <c r="K457" s="277"/>
      <c r="L457" s="282"/>
      <c r="M457" s="282"/>
      <c r="N457" s="282"/>
      <c r="O457" s="282"/>
      <c r="P457" s="282"/>
      <c r="Q457" s="282"/>
      <c r="R457" s="282"/>
      <c r="S457" s="282"/>
      <c r="T457" s="282"/>
      <c r="U457" s="282"/>
      <c r="V457" s="282"/>
      <c r="W457" s="282"/>
      <c r="X457" s="268"/>
      <c r="Y457" s="284" t="n">
        <f aca="false">IFERROR(L457*$G457*I$9, "")</f>
        <v>0</v>
      </c>
      <c r="Z457" s="284" t="n">
        <f aca="false">IFERROR(M457*$G457*$I457, "")</f>
        <v>0</v>
      </c>
      <c r="AA457" s="284" t="n">
        <f aca="false">IFERROR(N457*$G457*$I457, "")</f>
        <v>0</v>
      </c>
      <c r="AB457" s="284" t="n">
        <f aca="false">IFERROR(O457*$G457*$I457, "")</f>
        <v>0</v>
      </c>
      <c r="AC457" s="284" t="n">
        <f aca="false">IFERROR(P457*$G457*$I457, "")</f>
        <v>0</v>
      </c>
      <c r="AD457" s="284" t="n">
        <f aca="false">IFERROR(Q457*$G457*$I457, "")</f>
        <v>0</v>
      </c>
      <c r="AE457" s="284" t="n">
        <f aca="false">IFERROR(R457*$G457*$I457, "")</f>
        <v>0</v>
      </c>
      <c r="AF457" s="284" t="n">
        <f aca="false">IFERROR(S457*$G457*$I457, "")</f>
        <v>0</v>
      </c>
      <c r="AG457" s="284" t="n">
        <f aca="false">IFERROR(T457*$G457*$I457, "")</f>
        <v>0</v>
      </c>
      <c r="AH457" s="284" t="n">
        <f aca="false">IFERROR(U457*$G457*$I457, "")</f>
        <v>0</v>
      </c>
      <c r="AI457" s="284" t="n">
        <f aca="false">IFERROR(V457*$G457*$I457, "")</f>
        <v>0</v>
      </c>
      <c r="AJ457" s="284" t="n">
        <f aca="false">IFERROR(W457*$G457*$I457, "")</f>
        <v>0</v>
      </c>
      <c r="AK457" s="286" t="n">
        <f aca="false">IFERROR(SUMIF($Y$4:$AJ$4, "RDEC", Y457:AJ457), "")</f>
        <v>0</v>
      </c>
      <c r="AL457" s="286" t="n">
        <f aca="false">IFERROR(SUMIF($Y$4:$AJ$4, "SME", Y457:AJ457), "")</f>
        <v>0</v>
      </c>
      <c r="AM457" s="286" t="n">
        <f aca="false">IFERROR(SUMIF($Y$4:$AJ$4, "De Minimis", Y457:AJ457), "")</f>
        <v>0</v>
      </c>
      <c r="AN457" s="268"/>
      <c r="AO457" s="284" t="n">
        <f aca="false">IFERROR($G457*$J457*L457, "")</f>
        <v>0</v>
      </c>
      <c r="AP457" s="284" t="n">
        <f aca="false">IFERROR($G457*$J457*M457, "")</f>
        <v>0</v>
      </c>
      <c r="AQ457" s="284" t="n">
        <f aca="false">IFERROR($G457*$J457*N457, "")</f>
        <v>0</v>
      </c>
      <c r="AR457" s="284" t="n">
        <f aca="false">IFERROR($G457*$J457*O457, "")</f>
        <v>0</v>
      </c>
      <c r="AS457" s="284" t="n">
        <f aca="false">IFERROR($G457*$J457*P457, "")</f>
        <v>0</v>
      </c>
      <c r="AT457" s="284" t="n">
        <f aca="false">IFERROR($G457*$J457*Q457, "")</f>
        <v>0</v>
      </c>
      <c r="AU457" s="284" t="n">
        <f aca="false">IFERROR($G457*$J457*R457, "")</f>
        <v>0</v>
      </c>
      <c r="AV457" s="284" t="n">
        <f aca="false">IFERROR($G457*$J457*S457, "")</f>
        <v>0</v>
      </c>
      <c r="AW457" s="284" t="n">
        <f aca="false">IFERROR($G457*$J457*T457, "")</f>
        <v>0</v>
      </c>
      <c r="AX457" s="284" t="n">
        <f aca="false">IFERROR($G457*$J457*U457, "")</f>
        <v>0</v>
      </c>
      <c r="AY457" s="284" t="n">
        <f aca="false">IFERROR($G457*$J457*V457, "")</f>
        <v>0</v>
      </c>
      <c r="AZ457" s="284" t="n">
        <f aca="false">IFERROR($G457*$J457*W457, "")</f>
        <v>0</v>
      </c>
      <c r="BA457" s="286" t="n">
        <f aca="false">IFERROR(SUMIF($AO$4:$AZ$4, "RDEC", AO457:AZ457), "")</f>
        <v>0</v>
      </c>
      <c r="BB457" s="286" t="n">
        <f aca="false">IFERROR(SUMIF($AO$4:$AZ$4, "SME", AO457:AZ457), "")</f>
        <v>0</v>
      </c>
      <c r="BC457" s="286" t="n">
        <f aca="false">IFERROR(SUMIF($AO$4:$AZ$4, "De Minimis", AO457:AZ457), "")</f>
        <v>0</v>
      </c>
      <c r="BD457" s="287"/>
      <c r="BE457" s="288" t="str">
        <f aca="false">IF((SUM(L457:W457)&gt;1),"ERROR","")</f>
        <v/>
      </c>
    </row>
    <row r="458" customFormat="false" ht="15" hidden="false" customHeight="true" outlineLevel="0" collapsed="false">
      <c r="B458" s="333"/>
      <c r="C458" s="334"/>
      <c r="D458" s="333" t="n">
        <f aca="false">D442</f>
        <v>45323</v>
      </c>
      <c r="E458" s="277" t="n">
        <v>0</v>
      </c>
      <c r="F458" s="277" t="n">
        <v>0</v>
      </c>
      <c r="G458" s="277" t="n">
        <f aca="false">SUM(E458:F458)</f>
        <v>0</v>
      </c>
      <c r="H458" s="204"/>
      <c r="I458" s="279" t="n">
        <v>1</v>
      </c>
      <c r="J458" s="280" t="n">
        <f aca="false">1-I458</f>
        <v>0</v>
      </c>
      <c r="K458" s="277"/>
      <c r="L458" s="282"/>
      <c r="M458" s="282"/>
      <c r="N458" s="282"/>
      <c r="O458" s="282"/>
      <c r="P458" s="282"/>
      <c r="Q458" s="282"/>
      <c r="R458" s="282"/>
      <c r="S458" s="282"/>
      <c r="T458" s="282"/>
      <c r="U458" s="282"/>
      <c r="V458" s="282"/>
      <c r="W458" s="282"/>
      <c r="X458" s="283"/>
      <c r="Y458" s="284" t="n">
        <f aca="false">IFERROR(L458*$G458*I$9, "")</f>
        <v>0</v>
      </c>
      <c r="Z458" s="284" t="n">
        <f aca="false">IFERROR(M458*$G458*$I458, "")</f>
        <v>0</v>
      </c>
      <c r="AA458" s="284" t="n">
        <f aca="false">IFERROR(N458*$G458*$I458, "")</f>
        <v>0</v>
      </c>
      <c r="AB458" s="284" t="n">
        <f aca="false">IFERROR(O458*$G458*$I458, "")</f>
        <v>0</v>
      </c>
      <c r="AC458" s="284" t="n">
        <f aca="false">IFERROR(P458*$G458*$I458, "")</f>
        <v>0</v>
      </c>
      <c r="AD458" s="284" t="n">
        <f aca="false">IFERROR(Q458*$G458*$I458, "")</f>
        <v>0</v>
      </c>
      <c r="AE458" s="284" t="n">
        <f aca="false">IFERROR(R458*$G458*$I458, "")</f>
        <v>0</v>
      </c>
      <c r="AF458" s="284" t="n">
        <f aca="false">IFERROR(S458*$G458*$I458, "")</f>
        <v>0</v>
      </c>
      <c r="AG458" s="284" t="n">
        <f aca="false">IFERROR(T458*$G458*$I458, "")</f>
        <v>0</v>
      </c>
      <c r="AH458" s="284" t="n">
        <f aca="false">IFERROR(U458*$G458*$I458, "")</f>
        <v>0</v>
      </c>
      <c r="AI458" s="284" t="n">
        <f aca="false">IFERROR(V458*$G458*$I458, "")</f>
        <v>0</v>
      </c>
      <c r="AJ458" s="284" t="n">
        <f aca="false">IFERROR(W458*$G458*$I458, "")</f>
        <v>0</v>
      </c>
      <c r="AK458" s="286" t="n">
        <f aca="false">IFERROR(SUMIF($Y$4:$AJ$4, "RDEC", Y458:AJ458), "")</f>
        <v>0</v>
      </c>
      <c r="AL458" s="286" t="n">
        <f aca="false">IFERROR(SUMIF($Y$4:$AJ$4, "SME", Y458:AJ458), "")</f>
        <v>0</v>
      </c>
      <c r="AM458" s="286" t="n">
        <f aca="false">IFERROR(SUMIF($Y$4:$AJ$4, "De Minimis", Y458:AJ458), "")</f>
        <v>0</v>
      </c>
      <c r="AN458" s="283"/>
      <c r="AO458" s="284" t="n">
        <f aca="false">IFERROR($G458*$J458*L458, "")</f>
        <v>0</v>
      </c>
      <c r="AP458" s="284" t="n">
        <f aca="false">IFERROR($G458*$J458*M458, "")</f>
        <v>0</v>
      </c>
      <c r="AQ458" s="284" t="n">
        <f aca="false">IFERROR($G458*$J458*N458, "")</f>
        <v>0</v>
      </c>
      <c r="AR458" s="284" t="n">
        <f aca="false">IFERROR($G458*$J458*O458, "")</f>
        <v>0</v>
      </c>
      <c r="AS458" s="284" t="n">
        <f aca="false">IFERROR($G458*$J458*P458, "")</f>
        <v>0</v>
      </c>
      <c r="AT458" s="284" t="n">
        <f aca="false">IFERROR($G458*$J458*Q458, "")</f>
        <v>0</v>
      </c>
      <c r="AU458" s="284" t="n">
        <f aca="false">IFERROR($G458*$J458*R458, "")</f>
        <v>0</v>
      </c>
      <c r="AV458" s="284" t="n">
        <f aca="false">IFERROR($G458*$J458*S458, "")</f>
        <v>0</v>
      </c>
      <c r="AW458" s="284" t="n">
        <f aca="false">IFERROR($G458*$J458*T458, "")</f>
        <v>0</v>
      </c>
      <c r="AX458" s="284" t="n">
        <f aca="false">IFERROR($G458*$J458*U458, "")</f>
        <v>0</v>
      </c>
      <c r="AY458" s="284" t="n">
        <f aca="false">IFERROR($G458*$J458*V458, "")</f>
        <v>0</v>
      </c>
      <c r="AZ458" s="284" t="n">
        <f aca="false">IFERROR($G458*$J458*W458, "")</f>
        <v>0</v>
      </c>
      <c r="BA458" s="286" t="n">
        <f aca="false">IFERROR(SUMIF($AO$4:$AZ$4, "RDEC", AO458:AZ458), "")</f>
        <v>0</v>
      </c>
      <c r="BB458" s="286" t="n">
        <f aca="false">IFERROR(SUMIF($AO$4:$AZ$4, "SME", AO458:AZ458), "")</f>
        <v>0</v>
      </c>
      <c r="BC458" s="286" t="n">
        <f aca="false">IFERROR(SUMIF($Y$4:$AJ$4, "De Minimis", AO458:AZ458), "")</f>
        <v>0</v>
      </c>
      <c r="BD458" s="287"/>
      <c r="BE458" s="288" t="str">
        <f aca="false">IF((SUM(L458:W458)&gt;1),"ERROR","")</f>
        <v/>
      </c>
    </row>
    <row r="459" customFormat="false" ht="15" hidden="false" customHeight="true" outlineLevel="0" collapsed="false">
      <c r="B459" s="333"/>
      <c r="C459" s="334"/>
      <c r="D459" s="333" t="n">
        <f aca="false">D443</f>
        <v>45352</v>
      </c>
      <c r="E459" s="277" t="n">
        <v>0</v>
      </c>
      <c r="F459" s="277" t="n">
        <v>0</v>
      </c>
      <c r="G459" s="277" t="n">
        <f aca="false">SUM(E459:F459)</f>
        <v>0</v>
      </c>
      <c r="H459" s="204"/>
      <c r="I459" s="279" t="n">
        <v>1</v>
      </c>
      <c r="J459" s="280" t="n">
        <f aca="false">1-I459</f>
        <v>0</v>
      </c>
      <c r="K459" s="277"/>
      <c r="L459" s="282"/>
      <c r="M459" s="282"/>
      <c r="N459" s="282"/>
      <c r="O459" s="282"/>
      <c r="P459" s="282"/>
      <c r="Q459" s="282"/>
      <c r="R459" s="282"/>
      <c r="S459" s="282"/>
      <c r="T459" s="282"/>
      <c r="U459" s="282"/>
      <c r="V459" s="282"/>
      <c r="W459" s="282"/>
      <c r="X459" s="283"/>
      <c r="Y459" s="284" t="n">
        <f aca="false">IFERROR(L459*$G459*I$9, "")</f>
        <v>0</v>
      </c>
      <c r="Z459" s="284" t="n">
        <f aca="false">IFERROR(M459*$G459*$I459, "")</f>
        <v>0</v>
      </c>
      <c r="AA459" s="284" t="n">
        <f aca="false">IFERROR(N459*$G459*$I459, "")</f>
        <v>0</v>
      </c>
      <c r="AB459" s="284" t="n">
        <f aca="false">IFERROR(O459*$G459*$I459, "")</f>
        <v>0</v>
      </c>
      <c r="AC459" s="284" t="n">
        <f aca="false">IFERROR(P459*$G459*$I459, "")</f>
        <v>0</v>
      </c>
      <c r="AD459" s="284" t="n">
        <f aca="false">IFERROR(Q459*$G459*$I459, "")</f>
        <v>0</v>
      </c>
      <c r="AE459" s="284" t="n">
        <f aca="false">IFERROR(R459*$G459*$I459, "")</f>
        <v>0</v>
      </c>
      <c r="AF459" s="284" t="n">
        <f aca="false">IFERROR(S459*$G459*$I459, "")</f>
        <v>0</v>
      </c>
      <c r="AG459" s="284" t="n">
        <f aca="false">IFERROR(T459*$G459*$I459, "")</f>
        <v>0</v>
      </c>
      <c r="AH459" s="284" t="n">
        <f aca="false">IFERROR(U459*$G459*$I459, "")</f>
        <v>0</v>
      </c>
      <c r="AI459" s="284" t="n">
        <f aca="false">IFERROR(V459*$G459*$I459, "")</f>
        <v>0</v>
      </c>
      <c r="AJ459" s="284" t="n">
        <f aca="false">IFERROR(W459*$G459*$I459, "")</f>
        <v>0</v>
      </c>
      <c r="AK459" s="286" t="n">
        <f aca="false">IFERROR(SUMIF($Y$4:$AJ$4, "RDEC", Y459:AJ459), "")</f>
        <v>0</v>
      </c>
      <c r="AL459" s="286" t="n">
        <f aca="false">IFERROR(SUMIF($Y$4:$AJ$4, "SME", Y459:AJ459), "")</f>
        <v>0</v>
      </c>
      <c r="AM459" s="286" t="n">
        <f aca="false">IFERROR(SUMIF($Y$4:$AJ$4, "De Minimis", Y459:AJ459), "")</f>
        <v>0</v>
      </c>
      <c r="AN459" s="283"/>
      <c r="AO459" s="284" t="n">
        <f aca="false">IFERROR($G459*$J459*L459, "")</f>
        <v>0</v>
      </c>
      <c r="AP459" s="284" t="n">
        <f aca="false">IFERROR($G459*$J459*M459, "")</f>
        <v>0</v>
      </c>
      <c r="AQ459" s="284" t="n">
        <f aca="false">IFERROR($G459*$J459*N459, "")</f>
        <v>0</v>
      </c>
      <c r="AR459" s="284" t="n">
        <f aca="false">IFERROR($G459*$J459*O459, "")</f>
        <v>0</v>
      </c>
      <c r="AS459" s="284" t="n">
        <f aca="false">IFERROR($G459*$J459*P459, "")</f>
        <v>0</v>
      </c>
      <c r="AT459" s="284" t="n">
        <f aca="false">IFERROR($G459*$J459*Q459, "")</f>
        <v>0</v>
      </c>
      <c r="AU459" s="284" t="n">
        <f aca="false">IFERROR($G459*$J459*R459, "")</f>
        <v>0</v>
      </c>
      <c r="AV459" s="284" t="n">
        <f aca="false">IFERROR($G459*$J459*S459, "")</f>
        <v>0</v>
      </c>
      <c r="AW459" s="284" t="n">
        <f aca="false">IFERROR($G459*$J459*T459, "")</f>
        <v>0</v>
      </c>
      <c r="AX459" s="284" t="n">
        <f aca="false">IFERROR($G459*$J459*U459, "")</f>
        <v>0</v>
      </c>
      <c r="AY459" s="284" t="n">
        <f aca="false">IFERROR($G459*$J459*V459, "")</f>
        <v>0</v>
      </c>
      <c r="AZ459" s="284" t="n">
        <f aca="false">IFERROR($G459*$J459*W459, "")</f>
        <v>0</v>
      </c>
      <c r="BA459" s="286" t="n">
        <f aca="false">IFERROR(SUMIF($AO$4:$AZ$4, "RDEC", AO459:AZ459), "")</f>
        <v>0</v>
      </c>
      <c r="BB459" s="286" t="n">
        <f aca="false">IFERROR(SUMIF($AO$4:$AZ$4, "SME", AO459:AZ459), "")</f>
        <v>0</v>
      </c>
      <c r="BC459" s="286" t="n">
        <f aca="false">IFERROR(SUMIF($Y$4:$AJ$4, "De Minimis", AO459:AZ459), "")</f>
        <v>0</v>
      </c>
      <c r="BD459" s="287"/>
      <c r="BE459" s="288" t="str">
        <f aca="false">IF((SUM(L459:W459)&gt;1),"ERROR","")</f>
        <v/>
      </c>
    </row>
    <row r="460" customFormat="false" ht="15" hidden="false" customHeight="true" outlineLevel="0" collapsed="false">
      <c r="B460" s="333"/>
      <c r="C460" s="334"/>
      <c r="D460" s="333" t="n">
        <f aca="false">D444</f>
        <v>45383</v>
      </c>
      <c r="E460" s="277" t="n">
        <v>0</v>
      </c>
      <c r="F460" s="277" t="n">
        <v>0</v>
      </c>
      <c r="G460" s="277" t="n">
        <f aca="false">SUM(E460:F460)</f>
        <v>0</v>
      </c>
      <c r="H460" s="204"/>
      <c r="I460" s="279" t="n">
        <v>1</v>
      </c>
      <c r="J460" s="280" t="n">
        <f aca="false">1-I460</f>
        <v>0</v>
      </c>
      <c r="K460" s="277"/>
      <c r="L460" s="282"/>
      <c r="M460" s="282"/>
      <c r="N460" s="282"/>
      <c r="O460" s="282"/>
      <c r="P460" s="282"/>
      <c r="Q460" s="282"/>
      <c r="R460" s="282"/>
      <c r="S460" s="282"/>
      <c r="T460" s="282"/>
      <c r="U460" s="282"/>
      <c r="V460" s="282"/>
      <c r="W460" s="282"/>
      <c r="X460" s="283"/>
      <c r="Y460" s="284" t="n">
        <f aca="false">IFERROR(L460*$G460*I$9, "")</f>
        <v>0</v>
      </c>
      <c r="Z460" s="284" t="n">
        <f aca="false">IFERROR(M460*$G460*$I460, "")</f>
        <v>0</v>
      </c>
      <c r="AA460" s="284" t="n">
        <f aca="false">IFERROR(N460*$G460*$I460, "")</f>
        <v>0</v>
      </c>
      <c r="AB460" s="284" t="n">
        <f aca="false">IFERROR(O460*$G460*$I460, "")</f>
        <v>0</v>
      </c>
      <c r="AC460" s="284" t="n">
        <f aca="false">IFERROR(P460*$G460*$I460, "")</f>
        <v>0</v>
      </c>
      <c r="AD460" s="284" t="n">
        <f aca="false">IFERROR(Q460*$G460*$I460, "")</f>
        <v>0</v>
      </c>
      <c r="AE460" s="284" t="n">
        <f aca="false">IFERROR(R460*$G460*$I460, "")</f>
        <v>0</v>
      </c>
      <c r="AF460" s="284" t="n">
        <f aca="false">IFERROR(S460*$G460*$I460, "")</f>
        <v>0</v>
      </c>
      <c r="AG460" s="284" t="n">
        <f aca="false">IFERROR(T460*$G460*$I460, "")</f>
        <v>0</v>
      </c>
      <c r="AH460" s="284" t="n">
        <f aca="false">IFERROR(U460*$G460*$I460, "")</f>
        <v>0</v>
      </c>
      <c r="AI460" s="284" t="n">
        <f aca="false">IFERROR(V460*$G460*$I460, "")</f>
        <v>0</v>
      </c>
      <c r="AJ460" s="284" t="n">
        <f aca="false">IFERROR(W460*$G460*$I460, "")</f>
        <v>0</v>
      </c>
      <c r="AK460" s="286" t="n">
        <f aca="false">IFERROR(SUMIF($Y$4:$AJ$4, "RDEC", Y460:AJ460), "")</f>
        <v>0</v>
      </c>
      <c r="AL460" s="286" t="n">
        <f aca="false">IFERROR(SUMIF($Y$4:$AJ$4, "SME", Y460:AJ460), "")</f>
        <v>0</v>
      </c>
      <c r="AM460" s="286" t="n">
        <f aca="false">IFERROR(SUMIF($Y$4:$AJ$4, "De Minimis", Y460:AJ460), "")</f>
        <v>0</v>
      </c>
      <c r="AN460" s="283"/>
      <c r="AO460" s="284" t="n">
        <f aca="false">IFERROR($G460*$J460*L460, "")</f>
        <v>0</v>
      </c>
      <c r="AP460" s="284" t="n">
        <f aca="false">IFERROR($G460*$J460*M460, "")</f>
        <v>0</v>
      </c>
      <c r="AQ460" s="284" t="n">
        <f aca="false">IFERROR($G460*$J460*N460, "")</f>
        <v>0</v>
      </c>
      <c r="AR460" s="284" t="n">
        <f aca="false">IFERROR($G460*$J460*O460, "")</f>
        <v>0</v>
      </c>
      <c r="AS460" s="284" t="n">
        <f aca="false">IFERROR($G460*$J460*P460, "")</f>
        <v>0</v>
      </c>
      <c r="AT460" s="284" t="n">
        <f aca="false">IFERROR($G460*$J460*Q460, "")</f>
        <v>0</v>
      </c>
      <c r="AU460" s="284" t="n">
        <f aca="false">IFERROR($G460*$J460*R460, "")</f>
        <v>0</v>
      </c>
      <c r="AV460" s="284" t="n">
        <f aca="false">IFERROR($G460*$J460*S460, "")</f>
        <v>0</v>
      </c>
      <c r="AW460" s="284" t="n">
        <f aca="false">IFERROR($G460*$J460*T460, "")</f>
        <v>0</v>
      </c>
      <c r="AX460" s="284" t="n">
        <f aca="false">IFERROR($G460*$J460*U460, "")</f>
        <v>0</v>
      </c>
      <c r="AY460" s="284" t="n">
        <f aca="false">IFERROR($G460*$J460*V460, "")</f>
        <v>0</v>
      </c>
      <c r="AZ460" s="284" t="n">
        <f aca="false">IFERROR($G460*$J460*W460, "")</f>
        <v>0</v>
      </c>
      <c r="BA460" s="286" t="n">
        <f aca="false">IFERROR(SUMIF($AO$4:$AZ$4, "RDEC", AO460:AZ460), "")</f>
        <v>0</v>
      </c>
      <c r="BB460" s="286" t="n">
        <f aca="false">IFERROR(SUMIF($AO$4:$AZ$4, "SME", AO460:AZ460), "")</f>
        <v>0</v>
      </c>
      <c r="BC460" s="286" t="n">
        <f aca="false">IFERROR(SUMIF($Y$4:$AJ$4, "De Minimis", AO460:AZ460), "")</f>
        <v>0</v>
      </c>
      <c r="BD460" s="287"/>
      <c r="BE460" s="288" t="str">
        <f aca="false">IF((SUM(L460:W460)&gt;1),"ERROR","")</f>
        <v/>
      </c>
    </row>
    <row r="461" customFormat="false" ht="15" hidden="false" customHeight="true" outlineLevel="0" collapsed="false">
      <c r="B461" s="333"/>
      <c r="C461" s="334"/>
      <c r="D461" s="333" t="n">
        <f aca="false">D445</f>
        <v>45413</v>
      </c>
      <c r="E461" s="277" t="n">
        <v>0</v>
      </c>
      <c r="F461" s="277" t="n">
        <v>0</v>
      </c>
      <c r="G461" s="277" t="n">
        <f aca="false">SUM(E461:F461)</f>
        <v>0</v>
      </c>
      <c r="H461" s="204"/>
      <c r="I461" s="279" t="n">
        <v>1</v>
      </c>
      <c r="J461" s="280" t="n">
        <f aca="false">1-I461</f>
        <v>0</v>
      </c>
      <c r="K461" s="277"/>
      <c r="L461" s="282"/>
      <c r="M461" s="282"/>
      <c r="N461" s="282"/>
      <c r="O461" s="282"/>
      <c r="P461" s="282"/>
      <c r="Q461" s="282"/>
      <c r="R461" s="282"/>
      <c r="S461" s="282"/>
      <c r="T461" s="282"/>
      <c r="U461" s="282"/>
      <c r="V461" s="282"/>
      <c r="W461" s="282"/>
      <c r="X461" s="283"/>
      <c r="Y461" s="284" t="n">
        <f aca="false">IFERROR(L461*$G461*I$9, "")</f>
        <v>0</v>
      </c>
      <c r="Z461" s="284" t="n">
        <f aca="false">IFERROR(M461*$G461*$I461, "")</f>
        <v>0</v>
      </c>
      <c r="AA461" s="284" t="n">
        <f aca="false">IFERROR(N461*$G461*$I461, "")</f>
        <v>0</v>
      </c>
      <c r="AB461" s="284" t="n">
        <f aca="false">IFERROR(O461*$G461*$I461, "")</f>
        <v>0</v>
      </c>
      <c r="AC461" s="284" t="n">
        <f aca="false">IFERROR(P461*$G461*$I461, "")</f>
        <v>0</v>
      </c>
      <c r="AD461" s="284" t="n">
        <f aca="false">IFERROR(Q461*$G461*$I461, "")</f>
        <v>0</v>
      </c>
      <c r="AE461" s="284" t="n">
        <f aca="false">IFERROR(R461*$G461*$I461, "")</f>
        <v>0</v>
      </c>
      <c r="AF461" s="284" t="n">
        <f aca="false">IFERROR(S461*$G461*$I461, "")</f>
        <v>0</v>
      </c>
      <c r="AG461" s="284" t="n">
        <f aca="false">IFERROR(T461*$G461*$I461, "")</f>
        <v>0</v>
      </c>
      <c r="AH461" s="284" t="n">
        <f aca="false">IFERROR(U461*$G461*$I461, "")</f>
        <v>0</v>
      </c>
      <c r="AI461" s="284" t="n">
        <f aca="false">IFERROR(V461*$G461*$I461, "")</f>
        <v>0</v>
      </c>
      <c r="AJ461" s="284" t="n">
        <f aca="false">IFERROR(W461*$G461*$I461, "")</f>
        <v>0</v>
      </c>
      <c r="AK461" s="286" t="n">
        <f aca="false">IFERROR(SUMIF($Y$4:$AJ$4, "RDEC", Y461:AJ461), "")</f>
        <v>0</v>
      </c>
      <c r="AL461" s="286" t="n">
        <f aca="false">IFERROR(SUMIF($Y$4:$AJ$4, "SME", Y461:AJ461), "")</f>
        <v>0</v>
      </c>
      <c r="AM461" s="286" t="n">
        <f aca="false">IFERROR(SUMIF($Y$4:$AJ$4, "De Minimis", Y461:AJ461), "")</f>
        <v>0</v>
      </c>
      <c r="AN461" s="283"/>
      <c r="AO461" s="284" t="n">
        <f aca="false">IFERROR($G461*$J461*L461, "")</f>
        <v>0</v>
      </c>
      <c r="AP461" s="284" t="n">
        <f aca="false">IFERROR($G461*$J461*M461, "")</f>
        <v>0</v>
      </c>
      <c r="AQ461" s="284" t="n">
        <f aca="false">IFERROR($G461*$J461*N461, "")</f>
        <v>0</v>
      </c>
      <c r="AR461" s="284" t="n">
        <f aca="false">IFERROR($G461*$J461*O461, "")</f>
        <v>0</v>
      </c>
      <c r="AS461" s="284" t="n">
        <f aca="false">IFERROR($G461*$J461*P461, "")</f>
        <v>0</v>
      </c>
      <c r="AT461" s="284" t="n">
        <f aca="false">IFERROR($G461*$J461*Q461, "")</f>
        <v>0</v>
      </c>
      <c r="AU461" s="284" t="n">
        <f aca="false">IFERROR($G461*$J461*R461, "")</f>
        <v>0</v>
      </c>
      <c r="AV461" s="284" t="n">
        <f aca="false">IFERROR($G461*$J461*S461, "")</f>
        <v>0</v>
      </c>
      <c r="AW461" s="284" t="n">
        <f aca="false">IFERROR($G461*$J461*T461, "")</f>
        <v>0</v>
      </c>
      <c r="AX461" s="284" t="n">
        <f aca="false">IFERROR($G461*$J461*U461, "")</f>
        <v>0</v>
      </c>
      <c r="AY461" s="284" t="n">
        <f aca="false">IFERROR($G461*$J461*V461, "")</f>
        <v>0</v>
      </c>
      <c r="AZ461" s="284" t="n">
        <f aca="false">IFERROR($G461*$J461*W461, "")</f>
        <v>0</v>
      </c>
      <c r="BA461" s="286" t="n">
        <f aca="false">IFERROR(SUMIF($AO$4:$AZ$4, "RDEC", AO461:AZ461), "")</f>
        <v>0</v>
      </c>
      <c r="BB461" s="286" t="n">
        <f aca="false">IFERROR(SUMIF($AO$4:$AZ$4, "SME", AO461:AZ461), "")</f>
        <v>0</v>
      </c>
      <c r="BC461" s="286" t="n">
        <f aca="false">IFERROR(SUMIF($Y$4:$AJ$4, "De Minimis", AO461:AZ461), "")</f>
        <v>0</v>
      </c>
      <c r="BD461" s="287"/>
      <c r="BE461" s="288" t="str">
        <f aca="false">IF((SUM(L461:W461)&gt;1),"ERROR","")</f>
        <v/>
      </c>
    </row>
    <row r="462" customFormat="false" ht="15" hidden="false" customHeight="true" outlineLevel="0" collapsed="false">
      <c r="B462" s="333"/>
      <c r="C462" s="334"/>
      <c r="D462" s="333" t="n">
        <f aca="false">D446</f>
        <v>45444</v>
      </c>
      <c r="E462" s="277" t="n">
        <v>0</v>
      </c>
      <c r="F462" s="277" t="n">
        <v>0</v>
      </c>
      <c r="G462" s="277" t="n">
        <f aca="false">SUM(E462:F462)</f>
        <v>0</v>
      </c>
      <c r="H462" s="204"/>
      <c r="I462" s="279" t="n">
        <v>1</v>
      </c>
      <c r="J462" s="280" t="n">
        <f aca="false">1-I462</f>
        <v>0</v>
      </c>
      <c r="K462" s="277"/>
      <c r="L462" s="282"/>
      <c r="M462" s="282"/>
      <c r="N462" s="282"/>
      <c r="O462" s="282"/>
      <c r="P462" s="282"/>
      <c r="Q462" s="282"/>
      <c r="R462" s="282"/>
      <c r="S462" s="282"/>
      <c r="T462" s="282"/>
      <c r="U462" s="282"/>
      <c r="V462" s="282"/>
      <c r="W462" s="282"/>
      <c r="X462" s="283"/>
      <c r="Y462" s="284" t="n">
        <f aca="false">IFERROR(L462*$G462*I$9, "")</f>
        <v>0</v>
      </c>
      <c r="Z462" s="284" t="n">
        <f aca="false">IFERROR(M462*$G462*$I462, "")</f>
        <v>0</v>
      </c>
      <c r="AA462" s="284" t="n">
        <f aca="false">IFERROR(N462*$G462*$I462, "")</f>
        <v>0</v>
      </c>
      <c r="AB462" s="284" t="n">
        <f aca="false">IFERROR(O462*$G462*$I462, "")</f>
        <v>0</v>
      </c>
      <c r="AC462" s="284" t="n">
        <f aca="false">IFERROR(P462*$G462*$I462, "")</f>
        <v>0</v>
      </c>
      <c r="AD462" s="284" t="n">
        <f aca="false">IFERROR(Q462*$G462*$I462, "")</f>
        <v>0</v>
      </c>
      <c r="AE462" s="284" t="n">
        <f aca="false">IFERROR(R462*$G462*$I462, "")</f>
        <v>0</v>
      </c>
      <c r="AF462" s="284" t="n">
        <f aca="false">IFERROR(S462*$G462*$I462, "")</f>
        <v>0</v>
      </c>
      <c r="AG462" s="284" t="n">
        <f aca="false">IFERROR(T462*$G462*$I462, "")</f>
        <v>0</v>
      </c>
      <c r="AH462" s="284" t="n">
        <f aca="false">IFERROR(U462*$G462*$I462, "")</f>
        <v>0</v>
      </c>
      <c r="AI462" s="284" t="n">
        <f aca="false">IFERROR(V462*$G462*$I462, "")</f>
        <v>0</v>
      </c>
      <c r="AJ462" s="284" t="n">
        <f aca="false">IFERROR(W462*$G462*$I462, "")</f>
        <v>0</v>
      </c>
      <c r="AK462" s="286" t="n">
        <f aca="false">IFERROR(SUMIF($Y$4:$AJ$4, "RDEC", Y462:AJ462), "")</f>
        <v>0</v>
      </c>
      <c r="AL462" s="286" t="n">
        <f aca="false">IFERROR(SUMIF($Y$4:$AJ$4, "SME", Y462:AJ462), "")</f>
        <v>0</v>
      </c>
      <c r="AM462" s="286" t="n">
        <f aca="false">IFERROR(SUMIF($Y$4:$AJ$4, "De Minimis", Y462:AJ462), "")</f>
        <v>0</v>
      </c>
      <c r="AN462" s="283"/>
      <c r="AO462" s="284" t="n">
        <f aca="false">IFERROR($G462*$J462*L462, "")</f>
        <v>0</v>
      </c>
      <c r="AP462" s="284" t="n">
        <f aca="false">IFERROR($G462*$J462*M462, "")</f>
        <v>0</v>
      </c>
      <c r="AQ462" s="284" t="n">
        <f aca="false">IFERROR($G462*$J462*N462, "")</f>
        <v>0</v>
      </c>
      <c r="AR462" s="284" t="n">
        <f aca="false">IFERROR($G462*$J462*O462, "")</f>
        <v>0</v>
      </c>
      <c r="AS462" s="284" t="n">
        <f aca="false">IFERROR($G462*$J462*P462, "")</f>
        <v>0</v>
      </c>
      <c r="AT462" s="284" t="n">
        <f aca="false">IFERROR($G462*$J462*Q462, "")</f>
        <v>0</v>
      </c>
      <c r="AU462" s="284" t="n">
        <f aca="false">IFERROR($G462*$J462*R462, "")</f>
        <v>0</v>
      </c>
      <c r="AV462" s="284" t="n">
        <f aca="false">IFERROR($G462*$J462*S462, "")</f>
        <v>0</v>
      </c>
      <c r="AW462" s="284" t="n">
        <f aca="false">IFERROR($G462*$J462*T462, "")</f>
        <v>0</v>
      </c>
      <c r="AX462" s="284" t="n">
        <f aca="false">IFERROR($G462*$J462*U462, "")</f>
        <v>0</v>
      </c>
      <c r="AY462" s="284" t="n">
        <f aca="false">IFERROR($G462*$J462*V462, "")</f>
        <v>0</v>
      </c>
      <c r="AZ462" s="284" t="n">
        <f aca="false">IFERROR($G462*$J462*W462, "")</f>
        <v>0</v>
      </c>
      <c r="BA462" s="286" t="n">
        <f aca="false">IFERROR(SUMIF($AO$4:$AZ$4, "RDEC", AO462:AZ462), "")</f>
        <v>0</v>
      </c>
      <c r="BB462" s="286" t="n">
        <f aca="false">IFERROR(SUMIF($AO$4:$AZ$4, "SME", AO462:AZ462), "")</f>
        <v>0</v>
      </c>
      <c r="BC462" s="286" t="n">
        <f aca="false">IFERROR(SUMIF($Y$4:$AJ$4, "De Minimis", AO462:AZ462), "")</f>
        <v>0</v>
      </c>
      <c r="BD462" s="287"/>
      <c r="BE462" s="288" t="str">
        <f aca="false">IF((SUM(L462:W462)&gt;1),"ERROR","")</f>
        <v/>
      </c>
    </row>
    <row r="463" customFormat="false" ht="15" hidden="false" customHeight="true" outlineLevel="0" collapsed="false">
      <c r="B463" s="333"/>
      <c r="C463" s="334"/>
      <c r="D463" s="333" t="n">
        <f aca="false">D447</f>
        <v>45474</v>
      </c>
      <c r="E463" s="277" t="n">
        <v>0</v>
      </c>
      <c r="F463" s="277" t="n">
        <v>0</v>
      </c>
      <c r="G463" s="277" t="n">
        <f aca="false">SUM(E463:F463)</f>
        <v>0</v>
      </c>
      <c r="H463" s="204"/>
      <c r="I463" s="279" t="n">
        <v>1</v>
      </c>
      <c r="J463" s="280" t="n">
        <f aca="false">1-I463</f>
        <v>0</v>
      </c>
      <c r="K463" s="277"/>
      <c r="L463" s="282"/>
      <c r="M463" s="282"/>
      <c r="N463" s="282"/>
      <c r="O463" s="282"/>
      <c r="P463" s="282"/>
      <c r="Q463" s="282"/>
      <c r="R463" s="282"/>
      <c r="S463" s="282"/>
      <c r="T463" s="282"/>
      <c r="U463" s="282"/>
      <c r="V463" s="282"/>
      <c r="W463" s="282"/>
      <c r="X463" s="283"/>
      <c r="Y463" s="284" t="n">
        <f aca="false">IFERROR(L463*$G463*I$9, "")</f>
        <v>0</v>
      </c>
      <c r="Z463" s="284" t="n">
        <f aca="false">IFERROR(M463*$G463*$I463, "")</f>
        <v>0</v>
      </c>
      <c r="AA463" s="284" t="n">
        <f aca="false">IFERROR(N463*$G463*$I463, "")</f>
        <v>0</v>
      </c>
      <c r="AB463" s="284" t="n">
        <f aca="false">IFERROR(O463*$G463*$I463, "")</f>
        <v>0</v>
      </c>
      <c r="AC463" s="284" t="n">
        <f aca="false">IFERROR(P463*$G463*$I463, "")</f>
        <v>0</v>
      </c>
      <c r="AD463" s="284" t="n">
        <f aca="false">IFERROR(Q463*$G463*$I463, "")</f>
        <v>0</v>
      </c>
      <c r="AE463" s="284" t="n">
        <f aca="false">IFERROR(R463*$G463*$I463, "")</f>
        <v>0</v>
      </c>
      <c r="AF463" s="284" t="n">
        <f aca="false">IFERROR(S463*$G463*$I463, "")</f>
        <v>0</v>
      </c>
      <c r="AG463" s="284" t="n">
        <f aca="false">IFERROR(T463*$G463*$I463, "")</f>
        <v>0</v>
      </c>
      <c r="AH463" s="284" t="n">
        <f aca="false">IFERROR(U463*$G463*$I463, "")</f>
        <v>0</v>
      </c>
      <c r="AI463" s="284" t="n">
        <f aca="false">IFERROR(V463*$G463*$I463, "")</f>
        <v>0</v>
      </c>
      <c r="AJ463" s="284" t="n">
        <f aca="false">IFERROR(W463*$G463*$I463, "")</f>
        <v>0</v>
      </c>
      <c r="AK463" s="286" t="n">
        <f aca="false">IFERROR(SUMIF($Y$4:$AJ$4, "RDEC", Y463:AJ463), "")</f>
        <v>0</v>
      </c>
      <c r="AL463" s="286" t="n">
        <f aca="false">IFERROR(SUMIF($Y$4:$AJ$4, "SME", Y463:AJ463), "")</f>
        <v>0</v>
      </c>
      <c r="AM463" s="286" t="n">
        <f aca="false">IFERROR(SUMIF($Y$4:$AJ$4, "De Minimis", Y463:AJ463), "")</f>
        <v>0</v>
      </c>
      <c r="AN463" s="283"/>
      <c r="AO463" s="284" t="n">
        <f aca="false">IFERROR($G463*$J463*L463, "")</f>
        <v>0</v>
      </c>
      <c r="AP463" s="284" t="n">
        <f aca="false">IFERROR($G463*$J463*M463, "")</f>
        <v>0</v>
      </c>
      <c r="AQ463" s="284" t="n">
        <f aca="false">IFERROR($G463*$J463*N463, "")</f>
        <v>0</v>
      </c>
      <c r="AR463" s="284" t="n">
        <f aca="false">IFERROR($G463*$J463*O463, "")</f>
        <v>0</v>
      </c>
      <c r="AS463" s="284" t="n">
        <f aca="false">IFERROR($G463*$J463*P463, "")</f>
        <v>0</v>
      </c>
      <c r="AT463" s="284" t="n">
        <f aca="false">IFERROR($G463*$J463*Q463, "")</f>
        <v>0</v>
      </c>
      <c r="AU463" s="284" t="n">
        <f aca="false">IFERROR($G463*$J463*R463, "")</f>
        <v>0</v>
      </c>
      <c r="AV463" s="284" t="n">
        <f aca="false">IFERROR($G463*$J463*S463, "")</f>
        <v>0</v>
      </c>
      <c r="AW463" s="284" t="n">
        <f aca="false">IFERROR($G463*$J463*T463, "")</f>
        <v>0</v>
      </c>
      <c r="AX463" s="284" t="n">
        <f aca="false">IFERROR($G463*$J463*U463, "")</f>
        <v>0</v>
      </c>
      <c r="AY463" s="284" t="n">
        <f aca="false">IFERROR($G463*$J463*V463, "")</f>
        <v>0</v>
      </c>
      <c r="AZ463" s="284" t="n">
        <f aca="false">IFERROR($G463*$J463*W463, "")</f>
        <v>0</v>
      </c>
      <c r="BA463" s="286" t="n">
        <f aca="false">IFERROR(SUMIF($AO$4:$AZ$4, "RDEC", AO463:AZ463), "")</f>
        <v>0</v>
      </c>
      <c r="BB463" s="286" t="n">
        <f aca="false">IFERROR(SUMIF($AO$4:$AZ$4, "SME", AO463:AZ463), "")</f>
        <v>0</v>
      </c>
      <c r="BC463" s="286" t="n">
        <f aca="false">IFERROR(SUMIF($Y$4:$AJ$4, "De Minimis", AO463:AZ463), "")</f>
        <v>0</v>
      </c>
      <c r="BD463" s="287"/>
      <c r="BE463" s="288" t="str">
        <f aca="false">IF((SUM(L463:W463)&gt;1),"ERROR","")</f>
        <v/>
      </c>
    </row>
    <row r="464" customFormat="false" ht="15" hidden="false" customHeight="true" outlineLevel="0" collapsed="false">
      <c r="B464" s="333"/>
      <c r="C464" s="334"/>
      <c r="D464" s="333" t="n">
        <f aca="false">D448</f>
        <v>45505</v>
      </c>
      <c r="E464" s="277" t="n">
        <v>0</v>
      </c>
      <c r="F464" s="277" t="n">
        <v>0</v>
      </c>
      <c r="G464" s="277" t="n">
        <f aca="false">SUM(E464:F464)</f>
        <v>0</v>
      </c>
      <c r="H464" s="204"/>
      <c r="I464" s="279" t="n">
        <v>1</v>
      </c>
      <c r="J464" s="280" t="n">
        <f aca="false">1-I464</f>
        <v>0</v>
      </c>
      <c r="K464" s="277"/>
      <c r="L464" s="282"/>
      <c r="M464" s="282"/>
      <c r="N464" s="282"/>
      <c r="O464" s="282"/>
      <c r="P464" s="282"/>
      <c r="Q464" s="282"/>
      <c r="R464" s="282"/>
      <c r="S464" s="282"/>
      <c r="T464" s="282"/>
      <c r="U464" s="282"/>
      <c r="V464" s="282"/>
      <c r="W464" s="282"/>
      <c r="X464" s="283"/>
      <c r="Y464" s="284" t="n">
        <f aca="false">IFERROR(L464*$G464*I$9, "")</f>
        <v>0</v>
      </c>
      <c r="Z464" s="284" t="n">
        <f aca="false">IFERROR(M464*$G464*$I464, "")</f>
        <v>0</v>
      </c>
      <c r="AA464" s="284" t="n">
        <f aca="false">IFERROR(N464*$G464*$I464, "")</f>
        <v>0</v>
      </c>
      <c r="AB464" s="284" t="n">
        <f aca="false">IFERROR(O464*$G464*$I464, "")</f>
        <v>0</v>
      </c>
      <c r="AC464" s="284" t="n">
        <f aca="false">IFERROR(P464*$G464*$I464, "")</f>
        <v>0</v>
      </c>
      <c r="AD464" s="284" t="n">
        <f aca="false">IFERROR(Q464*$G464*$I464, "")</f>
        <v>0</v>
      </c>
      <c r="AE464" s="284" t="n">
        <f aca="false">IFERROR(R464*$G464*$I464, "")</f>
        <v>0</v>
      </c>
      <c r="AF464" s="284" t="n">
        <f aca="false">IFERROR(S464*$G464*$I464, "")</f>
        <v>0</v>
      </c>
      <c r="AG464" s="284" t="n">
        <f aca="false">IFERROR(T464*$G464*$I464, "")</f>
        <v>0</v>
      </c>
      <c r="AH464" s="284" t="n">
        <f aca="false">IFERROR(U464*$G464*$I464, "")</f>
        <v>0</v>
      </c>
      <c r="AI464" s="284" t="n">
        <f aca="false">IFERROR(V464*$G464*$I464, "")</f>
        <v>0</v>
      </c>
      <c r="AJ464" s="284" t="n">
        <f aca="false">IFERROR(W464*$G464*$I464, "")</f>
        <v>0</v>
      </c>
      <c r="AK464" s="286" t="n">
        <f aca="false">IFERROR(SUMIF($Y$4:$AJ$4, "RDEC", Y464:AJ464), "")</f>
        <v>0</v>
      </c>
      <c r="AL464" s="286" t="n">
        <f aca="false">IFERROR(SUMIF($Y$4:$AJ$4, "SME", Y464:AJ464), "")</f>
        <v>0</v>
      </c>
      <c r="AM464" s="286" t="n">
        <f aca="false">IFERROR(SUMIF($Y$4:$AJ$4, "De Minimis", Y464:AJ464), "")</f>
        <v>0</v>
      </c>
      <c r="AN464" s="283"/>
      <c r="AO464" s="284" t="n">
        <f aca="false">IFERROR($G464*$J464*L464, "")</f>
        <v>0</v>
      </c>
      <c r="AP464" s="284" t="n">
        <f aca="false">IFERROR($G464*$J464*M464, "")</f>
        <v>0</v>
      </c>
      <c r="AQ464" s="284" t="n">
        <f aca="false">IFERROR($G464*$J464*N464, "")</f>
        <v>0</v>
      </c>
      <c r="AR464" s="284" t="n">
        <f aca="false">IFERROR($G464*$J464*O464, "")</f>
        <v>0</v>
      </c>
      <c r="AS464" s="284" t="n">
        <f aca="false">IFERROR($G464*$J464*P464, "")</f>
        <v>0</v>
      </c>
      <c r="AT464" s="284" t="n">
        <f aca="false">IFERROR($G464*$J464*Q464, "")</f>
        <v>0</v>
      </c>
      <c r="AU464" s="284" t="n">
        <f aca="false">IFERROR($G464*$J464*R464, "")</f>
        <v>0</v>
      </c>
      <c r="AV464" s="284" t="n">
        <f aca="false">IFERROR($G464*$J464*S464, "")</f>
        <v>0</v>
      </c>
      <c r="AW464" s="284" t="n">
        <f aca="false">IFERROR($G464*$J464*T464, "")</f>
        <v>0</v>
      </c>
      <c r="AX464" s="284" t="n">
        <f aca="false">IFERROR($G464*$J464*U464, "")</f>
        <v>0</v>
      </c>
      <c r="AY464" s="284" t="n">
        <f aca="false">IFERROR($G464*$J464*V464, "")</f>
        <v>0</v>
      </c>
      <c r="AZ464" s="284" t="n">
        <f aca="false">IFERROR($G464*$J464*W464, "")</f>
        <v>0</v>
      </c>
      <c r="BA464" s="286" t="n">
        <f aca="false">IFERROR(SUMIF($AO$4:$AZ$4, "RDEC", AO464:AZ464), "")</f>
        <v>0</v>
      </c>
      <c r="BB464" s="286" t="n">
        <f aca="false">IFERROR(SUMIF($AO$4:$AZ$4, "SME", AO464:AZ464), "")</f>
        <v>0</v>
      </c>
      <c r="BC464" s="286" t="n">
        <f aca="false">IFERROR(SUMIF($Y$4:$AJ$4, "De Minimis", AO464:AZ464), "")</f>
        <v>0</v>
      </c>
      <c r="BD464" s="287"/>
      <c r="BE464" s="288" t="str">
        <f aca="false">IF((SUM(L464:W464)&gt;1),"ERROR","")</f>
        <v/>
      </c>
    </row>
    <row r="465" customFormat="false" ht="15" hidden="false" customHeight="true" outlineLevel="0" collapsed="false">
      <c r="B465" s="333"/>
      <c r="C465" s="334"/>
      <c r="D465" s="333" t="n">
        <f aca="false">D449</f>
        <v>45536</v>
      </c>
      <c r="E465" s="277" t="n">
        <v>0</v>
      </c>
      <c r="F465" s="277" t="n">
        <v>0</v>
      </c>
      <c r="G465" s="277" t="n">
        <f aca="false">SUM(E465:F465)</f>
        <v>0</v>
      </c>
      <c r="H465" s="204"/>
      <c r="I465" s="279" t="n">
        <v>1</v>
      </c>
      <c r="J465" s="280" t="n">
        <f aca="false">1-I465</f>
        <v>0</v>
      </c>
      <c r="K465" s="277"/>
      <c r="L465" s="282"/>
      <c r="M465" s="282"/>
      <c r="N465" s="282"/>
      <c r="O465" s="282"/>
      <c r="P465" s="282"/>
      <c r="Q465" s="282"/>
      <c r="R465" s="282"/>
      <c r="S465" s="282"/>
      <c r="T465" s="282"/>
      <c r="U465" s="282"/>
      <c r="V465" s="282"/>
      <c r="W465" s="282"/>
      <c r="X465" s="283"/>
      <c r="Y465" s="284" t="n">
        <f aca="false">IFERROR(L465*$G465*I$9, "")</f>
        <v>0</v>
      </c>
      <c r="Z465" s="284" t="n">
        <f aca="false">IFERROR(M465*$G465*$I465, "")</f>
        <v>0</v>
      </c>
      <c r="AA465" s="284" t="n">
        <f aca="false">IFERROR(N465*$G465*$I465, "")</f>
        <v>0</v>
      </c>
      <c r="AB465" s="284" t="n">
        <f aca="false">IFERROR(O465*$G465*$I465, "")</f>
        <v>0</v>
      </c>
      <c r="AC465" s="284" t="n">
        <f aca="false">IFERROR(P465*$G465*$I465, "")</f>
        <v>0</v>
      </c>
      <c r="AD465" s="284" t="n">
        <f aca="false">IFERROR(Q465*$G465*$I465, "")</f>
        <v>0</v>
      </c>
      <c r="AE465" s="284" t="n">
        <f aca="false">IFERROR(R465*$G465*$I465, "")</f>
        <v>0</v>
      </c>
      <c r="AF465" s="284" t="n">
        <f aca="false">IFERROR(S465*$G465*$I465, "")</f>
        <v>0</v>
      </c>
      <c r="AG465" s="284" t="n">
        <f aca="false">IFERROR(T465*$G465*$I465, "")</f>
        <v>0</v>
      </c>
      <c r="AH465" s="284" t="n">
        <f aca="false">IFERROR(U465*$G465*$I465, "")</f>
        <v>0</v>
      </c>
      <c r="AI465" s="284" t="n">
        <f aca="false">IFERROR(V465*$G465*$I465, "")</f>
        <v>0</v>
      </c>
      <c r="AJ465" s="284" t="n">
        <f aca="false">IFERROR(W465*$G465*$I465, "")</f>
        <v>0</v>
      </c>
      <c r="AK465" s="286" t="n">
        <f aca="false">IFERROR(SUMIF($Y$4:$AJ$4, "RDEC", Y465:AJ465), "")</f>
        <v>0</v>
      </c>
      <c r="AL465" s="286" t="n">
        <f aca="false">IFERROR(SUMIF($Y$4:$AJ$4, "SME", Y465:AJ465), "")</f>
        <v>0</v>
      </c>
      <c r="AM465" s="286" t="n">
        <f aca="false">IFERROR(SUMIF($Y$4:$AJ$4, "De Minimis", Y465:AJ465), "")</f>
        <v>0</v>
      </c>
      <c r="AN465" s="283"/>
      <c r="AO465" s="284" t="n">
        <f aca="false">IFERROR($G465*$J465*L465, "")</f>
        <v>0</v>
      </c>
      <c r="AP465" s="284" t="n">
        <f aca="false">IFERROR($G465*$J465*M465, "")</f>
        <v>0</v>
      </c>
      <c r="AQ465" s="284" t="n">
        <f aca="false">IFERROR($G465*$J465*N465, "")</f>
        <v>0</v>
      </c>
      <c r="AR465" s="284" t="n">
        <f aca="false">IFERROR($G465*$J465*O465, "")</f>
        <v>0</v>
      </c>
      <c r="AS465" s="284" t="n">
        <f aca="false">IFERROR($G465*$J465*P465, "")</f>
        <v>0</v>
      </c>
      <c r="AT465" s="284" t="n">
        <f aca="false">IFERROR($G465*$J465*Q465, "")</f>
        <v>0</v>
      </c>
      <c r="AU465" s="284" t="n">
        <f aca="false">IFERROR($G465*$J465*R465, "")</f>
        <v>0</v>
      </c>
      <c r="AV465" s="284" t="n">
        <f aca="false">IFERROR($G465*$J465*S465, "")</f>
        <v>0</v>
      </c>
      <c r="AW465" s="284" t="n">
        <f aca="false">IFERROR($G465*$J465*T465, "")</f>
        <v>0</v>
      </c>
      <c r="AX465" s="284" t="n">
        <f aca="false">IFERROR($G465*$J465*U465, "")</f>
        <v>0</v>
      </c>
      <c r="AY465" s="284" t="n">
        <f aca="false">IFERROR($G465*$J465*V465, "")</f>
        <v>0</v>
      </c>
      <c r="AZ465" s="284" t="n">
        <f aca="false">IFERROR($G465*$J465*W465, "")</f>
        <v>0</v>
      </c>
      <c r="BA465" s="286" t="n">
        <f aca="false">IFERROR(SUMIF($AO$4:$AZ$4, "RDEC", AO465:AZ465), "")</f>
        <v>0</v>
      </c>
      <c r="BB465" s="286" t="n">
        <f aca="false">IFERROR(SUMIF($AO$4:$AZ$4, "SME", AO465:AZ465), "")</f>
        <v>0</v>
      </c>
      <c r="BC465" s="286" t="n">
        <f aca="false">IFERROR(SUMIF($Y$4:$AJ$4, "De Minimis", AO465:AZ465), "")</f>
        <v>0</v>
      </c>
      <c r="BD465" s="287"/>
      <c r="BE465" s="288" t="str">
        <f aca="false">IF((SUM(L465:W465)&gt;1),"ERROR","")</f>
        <v/>
      </c>
    </row>
    <row r="466" customFormat="false" ht="15" hidden="false" customHeight="true" outlineLevel="0" collapsed="false">
      <c r="B466" s="333"/>
      <c r="C466" s="334"/>
      <c r="D466" s="333" t="n">
        <f aca="false">D450</f>
        <v>45566</v>
      </c>
      <c r="E466" s="277" t="n">
        <v>0</v>
      </c>
      <c r="F466" s="277" t="n">
        <v>0</v>
      </c>
      <c r="G466" s="277" t="n">
        <f aca="false">SUM(E466:F466)</f>
        <v>0</v>
      </c>
      <c r="H466" s="204"/>
      <c r="I466" s="279" t="n">
        <v>1</v>
      </c>
      <c r="J466" s="280" t="n">
        <f aca="false">1-I466</f>
        <v>0</v>
      </c>
      <c r="K466" s="277"/>
      <c r="L466" s="282"/>
      <c r="M466" s="282"/>
      <c r="N466" s="282"/>
      <c r="O466" s="282"/>
      <c r="P466" s="282"/>
      <c r="Q466" s="282"/>
      <c r="R466" s="282"/>
      <c r="S466" s="282"/>
      <c r="T466" s="282"/>
      <c r="U466" s="282"/>
      <c r="V466" s="282"/>
      <c r="W466" s="282"/>
      <c r="X466" s="283"/>
      <c r="Y466" s="284" t="n">
        <f aca="false">IFERROR(L466*$G466*I$9, "")</f>
        <v>0</v>
      </c>
      <c r="Z466" s="284" t="n">
        <f aca="false">IFERROR(M466*$G466*$I466, "")</f>
        <v>0</v>
      </c>
      <c r="AA466" s="284" t="n">
        <f aca="false">IFERROR(N466*$G466*$I466, "")</f>
        <v>0</v>
      </c>
      <c r="AB466" s="284" t="n">
        <f aca="false">IFERROR(O466*$G466*$I466, "")</f>
        <v>0</v>
      </c>
      <c r="AC466" s="284" t="n">
        <f aca="false">IFERROR(P466*$G466*$I466, "")</f>
        <v>0</v>
      </c>
      <c r="AD466" s="284" t="n">
        <f aca="false">IFERROR(Q466*$G466*$I466, "")</f>
        <v>0</v>
      </c>
      <c r="AE466" s="284" t="n">
        <f aca="false">IFERROR(R466*$G466*$I466, "")</f>
        <v>0</v>
      </c>
      <c r="AF466" s="284" t="n">
        <f aca="false">IFERROR(S466*$G466*$I466, "")</f>
        <v>0</v>
      </c>
      <c r="AG466" s="284" t="n">
        <f aca="false">IFERROR(T466*$G466*$I466, "")</f>
        <v>0</v>
      </c>
      <c r="AH466" s="284" t="n">
        <f aca="false">IFERROR(U466*$G466*$I466, "")</f>
        <v>0</v>
      </c>
      <c r="AI466" s="284" t="n">
        <f aca="false">IFERROR(V466*$G466*$I466, "")</f>
        <v>0</v>
      </c>
      <c r="AJ466" s="284" t="n">
        <f aca="false">IFERROR(W466*$G466*$I466, "")</f>
        <v>0</v>
      </c>
      <c r="AK466" s="286" t="n">
        <f aca="false">IFERROR(SUMIF($Y$4:$AJ$4, "RDEC", Y466:AJ466), "")</f>
        <v>0</v>
      </c>
      <c r="AL466" s="286" t="n">
        <f aca="false">IFERROR(SUMIF($Y$4:$AJ$4, "SME", Y466:AJ466), "")</f>
        <v>0</v>
      </c>
      <c r="AM466" s="286" t="n">
        <f aca="false">IFERROR(SUMIF($Y$4:$AJ$4, "De Minimis", Y466:AJ466), "")</f>
        <v>0</v>
      </c>
      <c r="AN466" s="283"/>
      <c r="AO466" s="284" t="n">
        <f aca="false">IFERROR($G466*$J466*L466, "")</f>
        <v>0</v>
      </c>
      <c r="AP466" s="284" t="n">
        <f aca="false">IFERROR($G466*$J466*M466, "")</f>
        <v>0</v>
      </c>
      <c r="AQ466" s="284" t="n">
        <f aca="false">IFERROR($G466*$J466*N466, "")</f>
        <v>0</v>
      </c>
      <c r="AR466" s="284" t="n">
        <f aca="false">IFERROR($G466*$J466*O466, "")</f>
        <v>0</v>
      </c>
      <c r="AS466" s="284" t="n">
        <f aca="false">IFERROR($G466*$J466*P466, "")</f>
        <v>0</v>
      </c>
      <c r="AT466" s="284" t="n">
        <f aca="false">IFERROR($G466*$J466*Q466, "")</f>
        <v>0</v>
      </c>
      <c r="AU466" s="284" t="n">
        <f aca="false">IFERROR($G466*$J466*R466, "")</f>
        <v>0</v>
      </c>
      <c r="AV466" s="284" t="n">
        <f aca="false">IFERROR($G466*$J466*S466, "")</f>
        <v>0</v>
      </c>
      <c r="AW466" s="284" t="n">
        <f aca="false">IFERROR($G466*$J466*T466, "")</f>
        <v>0</v>
      </c>
      <c r="AX466" s="284" t="n">
        <f aca="false">IFERROR($G466*$J466*U466, "")</f>
        <v>0</v>
      </c>
      <c r="AY466" s="284" t="n">
        <f aca="false">IFERROR($G466*$J466*V466, "")</f>
        <v>0</v>
      </c>
      <c r="AZ466" s="284" t="n">
        <f aca="false">IFERROR($G466*$J466*W466, "")</f>
        <v>0</v>
      </c>
      <c r="BA466" s="286" t="n">
        <f aca="false">IFERROR(SUMIF($AO$4:$AZ$4, "RDEC", AO466:AZ466), "")</f>
        <v>0</v>
      </c>
      <c r="BB466" s="286" t="n">
        <f aca="false">IFERROR(SUMIF($AO$4:$AZ$4, "SME", AO466:AZ466), "")</f>
        <v>0</v>
      </c>
      <c r="BC466" s="286" t="n">
        <f aca="false">IFERROR(SUMIF($Y$4:$AJ$4, "De Minimis", AO466:AZ466), "")</f>
        <v>0</v>
      </c>
      <c r="BD466" s="287"/>
      <c r="BE466" s="288" t="str">
        <f aca="false">IF((SUM(L466:W466)&gt;1),"ERROR","")</f>
        <v/>
      </c>
    </row>
    <row r="467" customFormat="false" ht="15" hidden="false" customHeight="true" outlineLevel="0" collapsed="false">
      <c r="B467" s="333"/>
      <c r="C467" s="334"/>
      <c r="D467" s="333" t="n">
        <f aca="false">D451</f>
        <v>45597</v>
      </c>
      <c r="E467" s="277" t="n">
        <v>0</v>
      </c>
      <c r="F467" s="277" t="n">
        <v>0</v>
      </c>
      <c r="G467" s="277" t="n">
        <f aca="false">SUM(E467:F467)</f>
        <v>0</v>
      </c>
      <c r="H467" s="204"/>
      <c r="I467" s="279" t="n">
        <v>1</v>
      </c>
      <c r="J467" s="280" t="n">
        <f aca="false">1-I467</f>
        <v>0</v>
      </c>
      <c r="K467" s="277"/>
      <c r="L467" s="282"/>
      <c r="M467" s="282"/>
      <c r="N467" s="282"/>
      <c r="O467" s="282"/>
      <c r="P467" s="282"/>
      <c r="Q467" s="282"/>
      <c r="R467" s="282"/>
      <c r="S467" s="282"/>
      <c r="T467" s="282"/>
      <c r="U467" s="282"/>
      <c r="V467" s="282"/>
      <c r="W467" s="282"/>
      <c r="X467" s="283"/>
      <c r="Y467" s="284" t="n">
        <f aca="false">IFERROR(L467*$G467*I$9, "")</f>
        <v>0</v>
      </c>
      <c r="Z467" s="284" t="n">
        <f aca="false">IFERROR(M467*$G467*$I467, "")</f>
        <v>0</v>
      </c>
      <c r="AA467" s="284" t="n">
        <f aca="false">IFERROR(N467*$G467*$I467, "")</f>
        <v>0</v>
      </c>
      <c r="AB467" s="284" t="n">
        <f aca="false">IFERROR(O467*$G467*$I467, "")</f>
        <v>0</v>
      </c>
      <c r="AC467" s="284" t="n">
        <f aca="false">IFERROR(P467*$G467*$I467, "")</f>
        <v>0</v>
      </c>
      <c r="AD467" s="284" t="n">
        <f aca="false">IFERROR(Q467*$G467*$I467, "")</f>
        <v>0</v>
      </c>
      <c r="AE467" s="284" t="n">
        <f aca="false">IFERROR(R467*$G467*$I467, "")</f>
        <v>0</v>
      </c>
      <c r="AF467" s="284" t="n">
        <f aca="false">IFERROR(S467*$G467*$I467, "")</f>
        <v>0</v>
      </c>
      <c r="AG467" s="284" t="n">
        <f aca="false">IFERROR(T467*$G467*$I467, "")</f>
        <v>0</v>
      </c>
      <c r="AH467" s="284" t="n">
        <f aca="false">IFERROR(U467*$G467*$I467, "")</f>
        <v>0</v>
      </c>
      <c r="AI467" s="284" t="n">
        <f aca="false">IFERROR(V467*$G467*$I467, "")</f>
        <v>0</v>
      </c>
      <c r="AJ467" s="284" t="n">
        <f aca="false">IFERROR(W467*$G467*$I467, "")</f>
        <v>0</v>
      </c>
      <c r="AK467" s="286" t="n">
        <f aca="false">IFERROR(SUMIF($Y$4:$AJ$4, "RDEC", Y467:AJ467), "")</f>
        <v>0</v>
      </c>
      <c r="AL467" s="286" t="n">
        <f aca="false">IFERROR(SUMIF($Y$4:$AJ$4, "SME", Y467:AJ467), "")</f>
        <v>0</v>
      </c>
      <c r="AM467" s="286" t="n">
        <f aca="false">IFERROR(SUMIF($Y$4:$AJ$4, "De Minimis", Y467:AJ467), "")</f>
        <v>0</v>
      </c>
      <c r="AN467" s="283"/>
      <c r="AO467" s="284" t="n">
        <f aca="false">IFERROR($G467*$J467*L467, "")</f>
        <v>0</v>
      </c>
      <c r="AP467" s="284" t="n">
        <f aca="false">IFERROR($G467*$J467*M467, "")</f>
        <v>0</v>
      </c>
      <c r="AQ467" s="284" t="n">
        <f aca="false">IFERROR($G467*$J467*N467, "")</f>
        <v>0</v>
      </c>
      <c r="AR467" s="284" t="n">
        <f aca="false">IFERROR($G467*$J467*O467, "")</f>
        <v>0</v>
      </c>
      <c r="AS467" s="284" t="n">
        <f aca="false">IFERROR($G467*$J467*P467, "")</f>
        <v>0</v>
      </c>
      <c r="AT467" s="284" t="n">
        <f aca="false">IFERROR($G467*$J467*Q467, "")</f>
        <v>0</v>
      </c>
      <c r="AU467" s="284" t="n">
        <f aca="false">IFERROR($G467*$J467*R467, "")</f>
        <v>0</v>
      </c>
      <c r="AV467" s="284" t="n">
        <f aca="false">IFERROR($G467*$J467*S467, "")</f>
        <v>0</v>
      </c>
      <c r="AW467" s="284" t="n">
        <f aca="false">IFERROR($G467*$J467*T467, "")</f>
        <v>0</v>
      </c>
      <c r="AX467" s="284" t="n">
        <f aca="false">IFERROR($G467*$J467*U467, "")</f>
        <v>0</v>
      </c>
      <c r="AY467" s="284" t="n">
        <f aca="false">IFERROR($G467*$J467*V467, "")</f>
        <v>0</v>
      </c>
      <c r="AZ467" s="284" t="n">
        <f aca="false">IFERROR($G467*$J467*W467, "")</f>
        <v>0</v>
      </c>
      <c r="BA467" s="286" t="n">
        <f aca="false">IFERROR(SUMIF($AO$4:$AZ$4, "RDEC", AO467:AZ467), "")</f>
        <v>0</v>
      </c>
      <c r="BB467" s="286" t="n">
        <f aca="false">IFERROR(SUMIF($AO$4:$AZ$4, "SME", AO467:AZ467), "")</f>
        <v>0</v>
      </c>
      <c r="BC467" s="286" t="n">
        <f aca="false">IFERROR(SUMIF($Y$4:$AJ$4, "De Minimis", AO467:AZ467), "")</f>
        <v>0</v>
      </c>
      <c r="BD467" s="287"/>
      <c r="BE467" s="288" t="str">
        <f aca="false">IF((SUM(L467:W467)&gt;1),"ERROR","")</f>
        <v/>
      </c>
    </row>
    <row r="468" customFormat="false" ht="15" hidden="false" customHeight="true" outlineLevel="0" collapsed="false">
      <c r="B468" s="333"/>
      <c r="C468" s="334"/>
      <c r="D468" s="333" t="n">
        <f aca="false">D452</f>
        <v>45627</v>
      </c>
      <c r="E468" s="277" t="n">
        <v>0</v>
      </c>
      <c r="F468" s="277" t="n">
        <v>0</v>
      </c>
      <c r="G468" s="277" t="n">
        <f aca="false">SUM(E468:F468)</f>
        <v>0</v>
      </c>
      <c r="H468" s="300"/>
      <c r="I468" s="289" t="n">
        <v>1</v>
      </c>
      <c r="J468" s="290" t="n">
        <f aca="false">1-I468</f>
        <v>0</v>
      </c>
      <c r="K468" s="300"/>
      <c r="L468" s="291"/>
      <c r="M468" s="291"/>
      <c r="N468" s="291"/>
      <c r="O468" s="291"/>
      <c r="P468" s="291"/>
      <c r="Q468" s="291"/>
      <c r="R468" s="291"/>
      <c r="S468" s="291"/>
      <c r="T468" s="291"/>
      <c r="U468" s="291"/>
      <c r="V468" s="291"/>
      <c r="W468" s="291"/>
      <c r="X468" s="283"/>
      <c r="Y468" s="284" t="n">
        <f aca="false">IFERROR(L468*$G468*I$9, "")</f>
        <v>0</v>
      </c>
      <c r="Z468" s="284" t="n">
        <f aca="false">IFERROR(M468*$G468*$I468, "")</f>
        <v>0</v>
      </c>
      <c r="AA468" s="284" t="n">
        <f aca="false">IFERROR(N468*$G468*$I468, "")</f>
        <v>0</v>
      </c>
      <c r="AB468" s="284" t="n">
        <f aca="false">IFERROR(O468*$G468*$I468, "")</f>
        <v>0</v>
      </c>
      <c r="AC468" s="284" t="n">
        <f aca="false">IFERROR(P468*$G468*$I468, "")</f>
        <v>0</v>
      </c>
      <c r="AD468" s="284" t="n">
        <f aca="false">IFERROR(Q468*$G468*$I468, "")</f>
        <v>0</v>
      </c>
      <c r="AE468" s="284" t="n">
        <f aca="false">IFERROR(R468*$G468*$I468, "")</f>
        <v>0</v>
      </c>
      <c r="AF468" s="284" t="n">
        <f aca="false">IFERROR(S468*$G468*$I468, "")</f>
        <v>0</v>
      </c>
      <c r="AG468" s="284" t="n">
        <f aca="false">IFERROR(T468*$G468*$I468, "")</f>
        <v>0</v>
      </c>
      <c r="AH468" s="284" t="n">
        <f aca="false">IFERROR(U468*$G468*$I468, "")</f>
        <v>0</v>
      </c>
      <c r="AI468" s="284" t="n">
        <f aca="false">IFERROR(V468*$G468*$I468, "")</f>
        <v>0</v>
      </c>
      <c r="AJ468" s="284" t="n">
        <f aca="false">IFERROR(W468*$G468*$I468, "")</f>
        <v>0</v>
      </c>
      <c r="AK468" s="294" t="n">
        <f aca="false">IFERROR(SUMIF($Y$4:$AJ$4, "RDEC", Y468:AJ468), "")</f>
        <v>0</v>
      </c>
      <c r="AL468" s="294" t="n">
        <f aca="false">IFERROR(SUMIF($Y$4:$AJ$4, "SME", Y468:AJ468), "")</f>
        <v>0</v>
      </c>
      <c r="AM468" s="294" t="n">
        <f aca="false">IFERROR(SUMIF($Y$4:$AJ$4, "De Minimis", Y468:AJ468), "")</f>
        <v>0</v>
      </c>
      <c r="AN468" s="283"/>
      <c r="AO468" s="284" t="n">
        <f aca="false">IFERROR($G468*$J468*L468, "")</f>
        <v>0</v>
      </c>
      <c r="AP468" s="284" t="n">
        <f aca="false">IFERROR($G468*$J468*M468, "")</f>
        <v>0</v>
      </c>
      <c r="AQ468" s="284" t="n">
        <f aca="false">IFERROR($G468*$J468*N468, "")</f>
        <v>0</v>
      </c>
      <c r="AR468" s="284" t="n">
        <f aca="false">IFERROR($G468*$J468*O468, "")</f>
        <v>0</v>
      </c>
      <c r="AS468" s="284" t="n">
        <f aca="false">IFERROR($G468*$J468*P468, "")</f>
        <v>0</v>
      </c>
      <c r="AT468" s="284" t="n">
        <f aca="false">IFERROR($G468*$J468*Q468, "")</f>
        <v>0</v>
      </c>
      <c r="AU468" s="284" t="n">
        <f aca="false">IFERROR($G468*$J468*R468, "")</f>
        <v>0</v>
      </c>
      <c r="AV468" s="284" t="n">
        <f aca="false">IFERROR($G468*$J468*S468, "")</f>
        <v>0</v>
      </c>
      <c r="AW468" s="284" t="n">
        <f aca="false">IFERROR($G468*$J468*T468, "")</f>
        <v>0</v>
      </c>
      <c r="AX468" s="284" t="n">
        <f aca="false">IFERROR($G468*$J468*U468, "")</f>
        <v>0</v>
      </c>
      <c r="AY468" s="284" t="n">
        <f aca="false">IFERROR($G468*$J468*V468, "")</f>
        <v>0</v>
      </c>
      <c r="AZ468" s="284" t="n">
        <f aca="false">IFERROR($G468*$J468*W468, "")</f>
        <v>0</v>
      </c>
      <c r="BA468" s="286" t="n">
        <f aca="false">IFERROR(SUMIF($AO$4:$AZ$4, "RDEC", AO468:AZ468), "")</f>
        <v>0</v>
      </c>
      <c r="BB468" s="286" t="n">
        <f aca="false">IFERROR(SUMIF($AO$4:$AZ$4, "SME", AO468:AZ468), "")</f>
        <v>0</v>
      </c>
      <c r="BC468" s="294" t="n">
        <f aca="false">IFERROR(SUMIF($Y$4:$AJ$4, "De Minimis", AO468:AZ468), "")</f>
        <v>0</v>
      </c>
      <c r="BD468" s="303"/>
      <c r="BE468" s="295" t="str">
        <f aca="false">IF((SUM(L468:W468)&gt;1),"ERROR","")</f>
        <v/>
      </c>
    </row>
    <row r="469" customFormat="false" ht="15" hidden="false" customHeight="true" outlineLevel="0" collapsed="false">
      <c r="B469" s="296"/>
      <c r="D469" s="297" t="s">
        <v>82</v>
      </c>
      <c r="E469" s="299" t="n">
        <f aca="false">SUM(E457:E468)</f>
        <v>0</v>
      </c>
      <c r="F469" s="299" t="n">
        <f aca="false">SUM(F457:F468)</f>
        <v>0</v>
      </c>
      <c r="G469" s="299" t="n">
        <f aca="false">SUM(G457:G468)</f>
        <v>0</v>
      </c>
      <c r="H469" s="300"/>
      <c r="I469" s="301" t="n">
        <f aca="false">AVERAGE(I457:I468)</f>
        <v>1</v>
      </c>
      <c r="J469" s="301" t="n">
        <f aca="false">AVERAGE(J457:J468)</f>
        <v>0</v>
      </c>
      <c r="K469" s="300"/>
      <c r="L469" s="290" t="n">
        <f aca="false">IF(SUM(L457:L468)&gt;0,(Y469/G469),0)</f>
        <v>0</v>
      </c>
      <c r="M469" s="301" t="n">
        <f aca="false">IF(SUM(M457:M468)&gt;0,(Z469/G469),0)</f>
        <v>0</v>
      </c>
      <c r="N469" s="301" t="n">
        <f aca="false">IF(SUM(N457:N468)&gt;0,(AA469/G469),0)</f>
        <v>0</v>
      </c>
      <c r="O469" s="301" t="n">
        <f aca="false">IF(SUM(O457:O468)&gt;0,(AB469/G469),0)</f>
        <v>0</v>
      </c>
      <c r="P469" s="301" t="n">
        <f aca="false">IF(SUM(P457:P468)&gt;0,(AC469/G469),0)</f>
        <v>0</v>
      </c>
      <c r="Q469" s="301" t="n">
        <f aca="false">IF(SUM(Q457:Q468)&gt;0,(AD469/G469),0)</f>
        <v>0</v>
      </c>
      <c r="R469" s="301" t="n">
        <f aca="false">IF(SUM(R457:R468)&gt;0,(AE469/G469),0)</f>
        <v>0</v>
      </c>
      <c r="S469" s="301" t="n">
        <f aca="false">IF(SUM(S457:S468)&gt;0,(AF469/G469),0)</f>
        <v>0</v>
      </c>
      <c r="T469" s="301" t="n">
        <f aca="false">IF(SUM(T457:T468)&gt;0,(AG469/G469),0)</f>
        <v>0</v>
      </c>
      <c r="U469" s="301" t="n">
        <f aca="false">IF(SUM(U457:U468)&gt;0,(AJ469/G469),0)</f>
        <v>0</v>
      </c>
      <c r="V469" s="301" t="n">
        <f aca="false">IF(SUM(V457:V468)&gt;0,(AI469/G469),0)</f>
        <v>0</v>
      </c>
      <c r="W469" s="301" t="n">
        <f aca="false">IF(SUM(W457:W468)&gt;0,(AJ469/G469),0)</f>
        <v>0</v>
      </c>
      <c r="X469" s="283"/>
      <c r="Y469" s="304" t="n">
        <f aca="false">SUM(Y457:Y468)</f>
        <v>0</v>
      </c>
      <c r="Z469" s="304" t="n">
        <f aca="false">SUM(Z457:Z468)</f>
        <v>0</v>
      </c>
      <c r="AA469" s="304" t="n">
        <f aca="false">SUM(AA457:AA468)</f>
        <v>0</v>
      </c>
      <c r="AB469" s="304" t="n">
        <f aca="false">SUM(AB457:AB468)</f>
        <v>0</v>
      </c>
      <c r="AC469" s="304" t="n">
        <f aca="false">SUM(AC457:AC468)</f>
        <v>0</v>
      </c>
      <c r="AD469" s="304" t="n">
        <f aca="false">SUM(AD457:AD468)</f>
        <v>0</v>
      </c>
      <c r="AE469" s="304" t="n">
        <f aca="false">SUM(AE457:AE468)</f>
        <v>0</v>
      </c>
      <c r="AF469" s="304" t="n">
        <f aca="false">SUM(AF457:AF468)</f>
        <v>0</v>
      </c>
      <c r="AG469" s="304" t="n">
        <f aca="false">SUM(AG457:AG468)</f>
        <v>0</v>
      </c>
      <c r="AH469" s="304" t="n">
        <f aca="false">SUM(AH457:AH468)</f>
        <v>0</v>
      </c>
      <c r="AI469" s="304" t="n">
        <f aca="false">SUM(AI457:AI468)</f>
        <v>0</v>
      </c>
      <c r="AJ469" s="304" t="n">
        <f aca="false">SUM(AJ457:AJ468)</f>
        <v>0</v>
      </c>
      <c r="AK469" s="335" t="n">
        <f aca="false">SUM(AK457:AK468)</f>
        <v>0</v>
      </c>
      <c r="AL469" s="336" t="n">
        <f aca="false">SUM(AL457:AL468)</f>
        <v>0</v>
      </c>
      <c r="AM469" s="305" t="n">
        <f aca="false">SUM(AM457:AM468)</f>
        <v>0</v>
      </c>
      <c r="AN469" s="283"/>
      <c r="AO469" s="304" t="n">
        <f aca="false">SUM(AO457:AO468)</f>
        <v>0</v>
      </c>
      <c r="AP469" s="304" t="n">
        <f aca="false">SUM(AP457:AP468)</f>
        <v>0</v>
      </c>
      <c r="AQ469" s="304" t="n">
        <f aca="false">SUM(AQ457:AQ468)</f>
        <v>0</v>
      </c>
      <c r="AR469" s="304" t="n">
        <f aca="false">SUM(AR457:AR468)</f>
        <v>0</v>
      </c>
      <c r="AS469" s="304" t="n">
        <f aca="false">SUM(AS457:AS468)</f>
        <v>0</v>
      </c>
      <c r="AT469" s="304" t="n">
        <f aca="false">SUM(AT457:AT468)</f>
        <v>0</v>
      </c>
      <c r="AU469" s="304" t="n">
        <f aca="false">SUM(AU457:AU468)</f>
        <v>0</v>
      </c>
      <c r="AV469" s="304" t="n">
        <f aca="false">SUM(AV457:AV468)</f>
        <v>0</v>
      </c>
      <c r="AW469" s="304" t="n">
        <f aca="false">SUM(AW457:AW468)</f>
        <v>0</v>
      </c>
      <c r="AX469" s="304" t="n">
        <f aca="false">SUM(AX457:AX468)</f>
        <v>0</v>
      </c>
      <c r="AY469" s="304" t="n">
        <f aca="false">SUM(AY457:AY468)</f>
        <v>0</v>
      </c>
      <c r="AZ469" s="304" t="n">
        <f aca="false">SUM(AZ457:AZ468)</f>
        <v>0</v>
      </c>
      <c r="BA469" s="336" t="n">
        <f aca="false">SUM(BA457:BA468)</f>
        <v>0</v>
      </c>
      <c r="BB469" s="336" t="n">
        <f aca="false">SUM(BB457:BB468)</f>
        <v>0</v>
      </c>
      <c r="BC469" s="305" t="n">
        <f aca="false">SUM(BC457:BC468)</f>
        <v>0</v>
      </c>
      <c r="BD469" s="303"/>
      <c r="BE469" s="337"/>
    </row>
    <row r="470" customFormat="false" ht="15" hidden="false" customHeight="true" outlineLevel="0" collapsed="false">
      <c r="B470" s="296"/>
      <c r="D470" s="297"/>
      <c r="E470" s="300"/>
      <c r="F470" s="300"/>
      <c r="G470" s="300"/>
      <c r="H470" s="241"/>
      <c r="I470" s="302"/>
      <c r="J470" s="302"/>
      <c r="K470" s="241"/>
      <c r="L470" s="259"/>
      <c r="M470" s="259"/>
      <c r="N470" s="259"/>
      <c r="O470" s="259"/>
      <c r="P470" s="259"/>
      <c r="Q470" s="259"/>
      <c r="R470" s="259"/>
      <c r="S470" s="259"/>
      <c r="T470" s="259"/>
      <c r="U470" s="259"/>
      <c r="V470" s="259"/>
      <c r="W470" s="259"/>
      <c r="X470" s="303"/>
      <c r="Y470" s="259"/>
      <c r="Z470" s="303"/>
      <c r="AA470" s="303"/>
      <c r="AB470" s="303"/>
      <c r="AC470" s="303"/>
      <c r="AD470" s="303"/>
      <c r="AE470" s="303"/>
      <c r="AF470" s="303"/>
      <c r="AG470" s="303"/>
      <c r="AH470" s="303"/>
      <c r="AI470" s="303"/>
      <c r="AJ470" s="303"/>
      <c r="AK470" s="303"/>
      <c r="AL470" s="303"/>
      <c r="AM470" s="303"/>
      <c r="AN470" s="303"/>
      <c r="AO470" s="259"/>
      <c r="AP470" s="303"/>
      <c r="AQ470" s="303"/>
      <c r="AR470" s="303"/>
      <c r="AS470" s="303"/>
      <c r="AT470" s="303"/>
      <c r="AU470" s="303"/>
      <c r="AV470" s="303"/>
      <c r="AW470" s="303"/>
      <c r="AX470" s="303"/>
      <c r="AY470" s="303"/>
      <c r="AZ470" s="303"/>
      <c r="BA470" s="303"/>
      <c r="BB470" s="303"/>
      <c r="BC470" s="303"/>
      <c r="BD470" s="268"/>
      <c r="BE470" s="303"/>
    </row>
    <row r="471" customFormat="false" ht="15" hidden="false" customHeight="true" outlineLevel="0" collapsed="false">
      <c r="A471" s="198" t="n">
        <f aca="false">A455+1</f>
        <v>30</v>
      </c>
      <c r="B471" s="266" t="s">
        <v>253</v>
      </c>
      <c r="C471" s="266" t="s">
        <v>253</v>
      </c>
      <c r="D471" s="266"/>
      <c r="E471" s="241"/>
      <c r="F471" s="241"/>
      <c r="G471" s="241"/>
      <c r="H471" s="241"/>
      <c r="I471" s="241"/>
      <c r="J471" s="241"/>
      <c r="K471" s="277"/>
      <c r="L471" s="241"/>
      <c r="M471" s="241"/>
      <c r="N471" s="241"/>
      <c r="O471" s="241"/>
      <c r="P471" s="241"/>
      <c r="Q471" s="241"/>
      <c r="R471" s="241"/>
      <c r="S471" s="241"/>
      <c r="T471" s="241"/>
      <c r="U471" s="241"/>
      <c r="V471" s="241"/>
      <c r="W471" s="241"/>
      <c r="X471" s="259"/>
      <c r="Y471" s="268"/>
      <c r="Z471" s="268"/>
      <c r="AA471" s="268"/>
      <c r="AB471" s="268"/>
      <c r="AC471" s="268"/>
      <c r="AD471" s="268"/>
      <c r="AE471" s="268"/>
      <c r="AF471" s="268"/>
      <c r="AG471" s="268"/>
      <c r="AH471" s="268"/>
      <c r="AI471" s="268"/>
      <c r="AJ471" s="268"/>
      <c r="AK471" s="268"/>
      <c r="AL471" s="268"/>
      <c r="AM471" s="268"/>
      <c r="AN471" s="259"/>
      <c r="AO471" s="268"/>
      <c r="AP471" s="268"/>
      <c r="AQ471" s="268"/>
      <c r="AR471" s="268"/>
      <c r="AS471" s="268"/>
      <c r="AT471" s="268"/>
      <c r="AU471" s="268"/>
      <c r="AV471" s="268"/>
      <c r="AW471" s="268"/>
      <c r="AX471" s="268"/>
      <c r="AY471" s="268"/>
      <c r="AZ471" s="268"/>
      <c r="BA471" s="268"/>
      <c r="BB471" s="268"/>
      <c r="BC471" s="268"/>
      <c r="BD471" s="287"/>
      <c r="BE471" s="268"/>
    </row>
    <row r="472" customFormat="false" ht="7.5" hidden="false" customHeight="true" outlineLevel="0" collapsed="false">
      <c r="A472" s="198"/>
      <c r="B472" s="266"/>
      <c r="C472" s="266"/>
      <c r="D472" s="266"/>
      <c r="E472" s="241"/>
      <c r="F472" s="241"/>
      <c r="G472" s="241"/>
      <c r="H472" s="204"/>
      <c r="I472" s="269"/>
      <c r="J472" s="269"/>
      <c r="K472" s="277"/>
      <c r="L472" s="269"/>
      <c r="M472" s="269"/>
      <c r="N472" s="269"/>
      <c r="O472" s="269"/>
      <c r="P472" s="269"/>
      <c r="Q472" s="269"/>
      <c r="R472" s="269"/>
      <c r="S472" s="269"/>
      <c r="T472" s="269"/>
      <c r="U472" s="269"/>
      <c r="V472" s="269"/>
      <c r="W472" s="269"/>
      <c r="X472" s="259"/>
      <c r="Y472" s="271"/>
      <c r="Z472" s="271"/>
      <c r="AA472" s="271"/>
      <c r="AB472" s="271"/>
      <c r="AC472" s="271"/>
      <c r="AD472" s="271"/>
      <c r="AE472" s="271"/>
      <c r="AF472" s="271"/>
      <c r="AG472" s="271"/>
      <c r="AH472" s="271"/>
      <c r="AI472" s="271"/>
      <c r="AJ472" s="272"/>
      <c r="AK472" s="273"/>
      <c r="AL472" s="273"/>
      <c r="AM472" s="273"/>
      <c r="AN472" s="259"/>
      <c r="AO472" s="271"/>
      <c r="AP472" s="271"/>
      <c r="AQ472" s="271"/>
      <c r="AR472" s="271"/>
      <c r="AS472" s="271"/>
      <c r="AT472" s="271"/>
      <c r="AU472" s="271"/>
      <c r="AV472" s="271"/>
      <c r="AW472" s="271"/>
      <c r="AX472" s="271"/>
      <c r="AY472" s="271"/>
      <c r="AZ472" s="272"/>
      <c r="BA472" s="273"/>
      <c r="BB472" s="273"/>
      <c r="BC472" s="273"/>
      <c r="BD472" s="287"/>
      <c r="BE472" s="274"/>
    </row>
    <row r="473" customFormat="false" ht="15" hidden="false" customHeight="true" outlineLevel="0" collapsed="false">
      <c r="B473" s="333"/>
      <c r="C473" s="334"/>
      <c r="D473" s="333" t="n">
        <f aca="false">D457</f>
        <v>45292</v>
      </c>
      <c r="E473" s="277" t="n">
        <v>0</v>
      </c>
      <c r="F473" s="277" t="n">
        <v>0</v>
      </c>
      <c r="G473" s="277" t="n">
        <f aca="false">SUM(E473:F473)</f>
        <v>0</v>
      </c>
      <c r="H473" s="204"/>
      <c r="I473" s="279" t="n">
        <v>1</v>
      </c>
      <c r="J473" s="280" t="n">
        <f aca="false">1-I473</f>
        <v>0</v>
      </c>
      <c r="K473" s="277"/>
      <c r="L473" s="282"/>
      <c r="M473" s="282"/>
      <c r="N473" s="282"/>
      <c r="O473" s="282"/>
      <c r="P473" s="282"/>
      <c r="Q473" s="282"/>
      <c r="R473" s="282"/>
      <c r="S473" s="282"/>
      <c r="T473" s="282"/>
      <c r="U473" s="282"/>
      <c r="V473" s="282"/>
      <c r="W473" s="282"/>
      <c r="X473" s="268"/>
      <c r="Y473" s="284" t="n">
        <f aca="false">IFERROR(L473*$G473*I$9, "")</f>
        <v>0</v>
      </c>
      <c r="Z473" s="284" t="n">
        <f aca="false">IFERROR(M473*$G473*$I473, "")</f>
        <v>0</v>
      </c>
      <c r="AA473" s="284" t="n">
        <f aca="false">IFERROR(N473*$G473*$I473, "")</f>
        <v>0</v>
      </c>
      <c r="AB473" s="284" t="n">
        <f aca="false">IFERROR(O473*$G473*$I473, "")</f>
        <v>0</v>
      </c>
      <c r="AC473" s="284" t="n">
        <f aca="false">IFERROR(P473*$G473*$I473, "")</f>
        <v>0</v>
      </c>
      <c r="AD473" s="284" t="n">
        <f aca="false">IFERROR(Q473*$G473*$I473, "")</f>
        <v>0</v>
      </c>
      <c r="AE473" s="284" t="n">
        <f aca="false">IFERROR(R473*$G473*$I473, "")</f>
        <v>0</v>
      </c>
      <c r="AF473" s="284" t="n">
        <f aca="false">IFERROR(S473*$G473*$I473, "")</f>
        <v>0</v>
      </c>
      <c r="AG473" s="284" t="n">
        <f aca="false">IFERROR(T473*$G473*$I473, "")</f>
        <v>0</v>
      </c>
      <c r="AH473" s="284" t="n">
        <f aca="false">IFERROR(U473*$G473*$I473, "")</f>
        <v>0</v>
      </c>
      <c r="AI473" s="284" t="n">
        <f aca="false">IFERROR(V473*$G473*$I473, "")</f>
        <v>0</v>
      </c>
      <c r="AJ473" s="284" t="n">
        <f aca="false">IFERROR(W473*$G473*$I473, "")</f>
        <v>0</v>
      </c>
      <c r="AK473" s="286" t="n">
        <f aca="false">IFERROR(SUMIF($Y$4:$AJ$4, "RDEC", Y473:AJ473), "")</f>
        <v>0</v>
      </c>
      <c r="AL473" s="286" t="n">
        <f aca="false">IFERROR(SUMIF($Y$4:$AJ$4, "SME", Y473:AJ473), "")</f>
        <v>0</v>
      </c>
      <c r="AM473" s="286" t="n">
        <f aca="false">IFERROR(SUMIF($Y$4:$AJ$4, "De Minimis", Y473:AJ473), "")</f>
        <v>0</v>
      </c>
      <c r="AN473" s="268"/>
      <c r="AO473" s="284" t="n">
        <f aca="false">IFERROR($G473*$J473*L473, "")</f>
        <v>0</v>
      </c>
      <c r="AP473" s="284" t="n">
        <f aca="false">IFERROR($G473*$J473*M473, "")</f>
        <v>0</v>
      </c>
      <c r="AQ473" s="284" t="n">
        <f aca="false">IFERROR($G473*$J473*N473, "")</f>
        <v>0</v>
      </c>
      <c r="AR473" s="284" t="n">
        <f aca="false">IFERROR($G473*$J473*O473, "")</f>
        <v>0</v>
      </c>
      <c r="AS473" s="284" t="n">
        <f aca="false">IFERROR($G473*$J473*P473, "")</f>
        <v>0</v>
      </c>
      <c r="AT473" s="284" t="n">
        <f aca="false">IFERROR($G473*$J473*Q473, "")</f>
        <v>0</v>
      </c>
      <c r="AU473" s="284" t="n">
        <f aca="false">IFERROR($G473*$J473*R473, "")</f>
        <v>0</v>
      </c>
      <c r="AV473" s="284" t="n">
        <f aca="false">IFERROR($G473*$J473*S473, "")</f>
        <v>0</v>
      </c>
      <c r="AW473" s="284" t="n">
        <f aca="false">IFERROR($G473*$J473*T473, "")</f>
        <v>0</v>
      </c>
      <c r="AX473" s="284" t="n">
        <f aca="false">IFERROR($G473*$J473*U473, "")</f>
        <v>0</v>
      </c>
      <c r="AY473" s="284" t="n">
        <f aca="false">IFERROR($G473*$J473*V473, "")</f>
        <v>0</v>
      </c>
      <c r="AZ473" s="284" t="n">
        <f aca="false">IFERROR($G473*$J473*W473, "")</f>
        <v>0</v>
      </c>
      <c r="BA473" s="286" t="n">
        <f aca="false">IFERROR(SUMIF($AO$4:$AZ$4, "RDEC", AO473:AZ473), "")</f>
        <v>0</v>
      </c>
      <c r="BB473" s="286" t="n">
        <f aca="false">IFERROR(SUMIF($AO$4:$AZ$4, "SME", AO473:AZ473), "")</f>
        <v>0</v>
      </c>
      <c r="BC473" s="286" t="n">
        <f aca="false">IFERROR(SUMIF($AO$4:$AZ$4, "De Minimis", AO473:AZ473), "")</f>
        <v>0</v>
      </c>
      <c r="BD473" s="287"/>
      <c r="BE473" s="288" t="str">
        <f aca="false">IF((SUM(L473:W473)&gt;1),"ERROR","")</f>
        <v/>
      </c>
    </row>
    <row r="474" customFormat="false" ht="15" hidden="false" customHeight="true" outlineLevel="0" collapsed="false">
      <c r="B474" s="333"/>
      <c r="C474" s="334"/>
      <c r="D474" s="333" t="n">
        <f aca="false">D458</f>
        <v>45323</v>
      </c>
      <c r="E474" s="277" t="n">
        <v>0</v>
      </c>
      <c r="F474" s="277" t="n">
        <v>0</v>
      </c>
      <c r="G474" s="277" t="n">
        <f aca="false">SUM(E474:F474)</f>
        <v>0</v>
      </c>
      <c r="H474" s="204"/>
      <c r="I474" s="279" t="n">
        <v>1</v>
      </c>
      <c r="J474" s="280" t="n">
        <f aca="false">1-I474</f>
        <v>0</v>
      </c>
      <c r="K474" s="277"/>
      <c r="L474" s="282"/>
      <c r="M474" s="282"/>
      <c r="N474" s="282"/>
      <c r="O474" s="282"/>
      <c r="P474" s="282"/>
      <c r="Q474" s="282"/>
      <c r="R474" s="282"/>
      <c r="S474" s="282"/>
      <c r="T474" s="282"/>
      <c r="U474" s="282"/>
      <c r="V474" s="282"/>
      <c r="W474" s="282"/>
      <c r="X474" s="283"/>
      <c r="Y474" s="284" t="n">
        <f aca="false">IFERROR(L474*$G474*I$9, "")</f>
        <v>0</v>
      </c>
      <c r="Z474" s="284" t="n">
        <f aca="false">IFERROR(M474*$G474*$I474, "")</f>
        <v>0</v>
      </c>
      <c r="AA474" s="284" t="n">
        <f aca="false">IFERROR(N474*$G474*$I474, "")</f>
        <v>0</v>
      </c>
      <c r="AB474" s="284" t="n">
        <f aca="false">IFERROR(O474*$G474*$I474, "")</f>
        <v>0</v>
      </c>
      <c r="AC474" s="284" t="n">
        <f aca="false">IFERROR(P474*$G474*$I474, "")</f>
        <v>0</v>
      </c>
      <c r="AD474" s="284" t="n">
        <f aca="false">IFERROR(Q474*$G474*$I474, "")</f>
        <v>0</v>
      </c>
      <c r="AE474" s="284" t="n">
        <f aca="false">IFERROR(R474*$G474*$I474, "")</f>
        <v>0</v>
      </c>
      <c r="AF474" s="284" t="n">
        <f aca="false">IFERROR(S474*$G474*$I474, "")</f>
        <v>0</v>
      </c>
      <c r="AG474" s="284" t="n">
        <f aca="false">IFERROR(T474*$G474*$I474, "")</f>
        <v>0</v>
      </c>
      <c r="AH474" s="284" t="n">
        <f aca="false">IFERROR(U474*$G474*$I474, "")</f>
        <v>0</v>
      </c>
      <c r="AI474" s="284" t="n">
        <f aca="false">IFERROR(V474*$G474*$I474, "")</f>
        <v>0</v>
      </c>
      <c r="AJ474" s="284" t="n">
        <f aca="false">IFERROR(W474*$G474*$I474, "")</f>
        <v>0</v>
      </c>
      <c r="AK474" s="286" t="n">
        <f aca="false">IFERROR(SUMIF($Y$4:$AJ$4, "RDEC", Y474:AJ474), "")</f>
        <v>0</v>
      </c>
      <c r="AL474" s="286" t="n">
        <f aca="false">IFERROR(SUMIF($Y$4:$AJ$4, "SME", Y474:AJ474), "")</f>
        <v>0</v>
      </c>
      <c r="AM474" s="286" t="n">
        <f aca="false">IFERROR(SUMIF($Y$4:$AJ$4, "De Minimis", Y474:AJ474), "")</f>
        <v>0</v>
      </c>
      <c r="AN474" s="283"/>
      <c r="AO474" s="284" t="n">
        <f aca="false">IFERROR($G474*$J474*L474, "")</f>
        <v>0</v>
      </c>
      <c r="AP474" s="284" t="n">
        <f aca="false">IFERROR($G474*$J474*M474, "")</f>
        <v>0</v>
      </c>
      <c r="AQ474" s="284" t="n">
        <f aca="false">IFERROR($G474*$J474*N474, "")</f>
        <v>0</v>
      </c>
      <c r="AR474" s="284" t="n">
        <f aca="false">IFERROR($G474*$J474*O474, "")</f>
        <v>0</v>
      </c>
      <c r="AS474" s="284" t="n">
        <f aca="false">IFERROR($G474*$J474*P474, "")</f>
        <v>0</v>
      </c>
      <c r="AT474" s="284" t="n">
        <f aca="false">IFERROR($G474*$J474*Q474, "")</f>
        <v>0</v>
      </c>
      <c r="AU474" s="284" t="n">
        <f aca="false">IFERROR($G474*$J474*R474, "")</f>
        <v>0</v>
      </c>
      <c r="AV474" s="284" t="n">
        <f aca="false">IFERROR($G474*$J474*S474, "")</f>
        <v>0</v>
      </c>
      <c r="AW474" s="284" t="n">
        <f aca="false">IFERROR($G474*$J474*T474, "")</f>
        <v>0</v>
      </c>
      <c r="AX474" s="284" t="n">
        <f aca="false">IFERROR($G474*$J474*U474, "")</f>
        <v>0</v>
      </c>
      <c r="AY474" s="284" t="n">
        <f aca="false">IFERROR($G474*$J474*V474, "")</f>
        <v>0</v>
      </c>
      <c r="AZ474" s="284" t="n">
        <f aca="false">IFERROR($G474*$J474*W474, "")</f>
        <v>0</v>
      </c>
      <c r="BA474" s="286" t="n">
        <f aca="false">IFERROR(SUMIF($AO$4:$AZ$4, "RDEC", AO474:AZ474), "")</f>
        <v>0</v>
      </c>
      <c r="BB474" s="286" t="n">
        <f aca="false">IFERROR(SUMIF($AO$4:$AZ$4, "SME", AO474:AZ474), "")</f>
        <v>0</v>
      </c>
      <c r="BC474" s="286" t="n">
        <f aca="false">IFERROR(SUMIF($Y$4:$AJ$4, "De Minimis", AO474:AZ474), "")</f>
        <v>0</v>
      </c>
      <c r="BD474" s="287"/>
      <c r="BE474" s="288" t="str">
        <f aca="false">IF((SUM(L474:W474)&gt;1),"ERROR","")</f>
        <v/>
      </c>
    </row>
    <row r="475" customFormat="false" ht="15" hidden="false" customHeight="true" outlineLevel="0" collapsed="false">
      <c r="B475" s="333"/>
      <c r="C475" s="334"/>
      <c r="D475" s="333" t="n">
        <f aca="false">D459</f>
        <v>45352</v>
      </c>
      <c r="E475" s="277" t="n">
        <v>0</v>
      </c>
      <c r="F475" s="277" t="n">
        <v>0</v>
      </c>
      <c r="G475" s="277" t="n">
        <f aca="false">SUM(E475:F475)</f>
        <v>0</v>
      </c>
      <c r="H475" s="204"/>
      <c r="I475" s="279" t="n">
        <v>1</v>
      </c>
      <c r="J475" s="280" t="n">
        <f aca="false">1-I475</f>
        <v>0</v>
      </c>
      <c r="K475" s="277"/>
      <c r="L475" s="282"/>
      <c r="M475" s="282"/>
      <c r="N475" s="282"/>
      <c r="O475" s="282"/>
      <c r="P475" s="282"/>
      <c r="Q475" s="282"/>
      <c r="R475" s="282"/>
      <c r="S475" s="282"/>
      <c r="T475" s="282"/>
      <c r="U475" s="282"/>
      <c r="V475" s="282"/>
      <c r="W475" s="282"/>
      <c r="X475" s="283"/>
      <c r="Y475" s="284" t="n">
        <f aca="false">IFERROR(L475*$G475*I$9, "")</f>
        <v>0</v>
      </c>
      <c r="Z475" s="284" t="n">
        <f aca="false">IFERROR(M475*$G475*$I475, "")</f>
        <v>0</v>
      </c>
      <c r="AA475" s="284" t="n">
        <f aca="false">IFERROR(N475*$G475*$I475, "")</f>
        <v>0</v>
      </c>
      <c r="AB475" s="284" t="n">
        <f aca="false">IFERROR(O475*$G475*$I475, "")</f>
        <v>0</v>
      </c>
      <c r="AC475" s="284" t="n">
        <f aca="false">IFERROR(P475*$G475*$I475, "")</f>
        <v>0</v>
      </c>
      <c r="AD475" s="284" t="n">
        <f aca="false">IFERROR(Q475*$G475*$I475, "")</f>
        <v>0</v>
      </c>
      <c r="AE475" s="284" t="n">
        <f aca="false">IFERROR(R475*$G475*$I475, "")</f>
        <v>0</v>
      </c>
      <c r="AF475" s="284" t="n">
        <f aca="false">IFERROR(S475*$G475*$I475, "")</f>
        <v>0</v>
      </c>
      <c r="AG475" s="284" t="n">
        <f aca="false">IFERROR(T475*$G475*$I475, "")</f>
        <v>0</v>
      </c>
      <c r="AH475" s="284" t="n">
        <f aca="false">IFERROR(U475*$G475*$I475, "")</f>
        <v>0</v>
      </c>
      <c r="AI475" s="284" t="n">
        <f aca="false">IFERROR(V475*$G475*$I475, "")</f>
        <v>0</v>
      </c>
      <c r="AJ475" s="284" t="n">
        <f aca="false">IFERROR(W475*$G475*$I475, "")</f>
        <v>0</v>
      </c>
      <c r="AK475" s="286" t="n">
        <f aca="false">IFERROR(SUMIF($Y$4:$AJ$4, "RDEC", Y475:AJ475), "")</f>
        <v>0</v>
      </c>
      <c r="AL475" s="286" t="n">
        <f aca="false">IFERROR(SUMIF($Y$4:$AJ$4, "SME", Y475:AJ475), "")</f>
        <v>0</v>
      </c>
      <c r="AM475" s="286" t="n">
        <f aca="false">IFERROR(SUMIF($Y$4:$AJ$4, "De Minimis", Y475:AJ475), "")</f>
        <v>0</v>
      </c>
      <c r="AN475" s="283"/>
      <c r="AO475" s="284" t="n">
        <f aca="false">IFERROR($G475*$J475*L475, "")</f>
        <v>0</v>
      </c>
      <c r="AP475" s="284" t="n">
        <f aca="false">IFERROR($G475*$J475*M475, "")</f>
        <v>0</v>
      </c>
      <c r="AQ475" s="284" t="n">
        <f aca="false">IFERROR($G475*$J475*N475, "")</f>
        <v>0</v>
      </c>
      <c r="AR475" s="284" t="n">
        <f aca="false">IFERROR($G475*$J475*O475, "")</f>
        <v>0</v>
      </c>
      <c r="AS475" s="284" t="n">
        <f aca="false">IFERROR($G475*$J475*P475, "")</f>
        <v>0</v>
      </c>
      <c r="AT475" s="284" t="n">
        <f aca="false">IFERROR($G475*$J475*Q475, "")</f>
        <v>0</v>
      </c>
      <c r="AU475" s="284" t="n">
        <f aca="false">IFERROR($G475*$J475*R475, "")</f>
        <v>0</v>
      </c>
      <c r="AV475" s="284" t="n">
        <f aca="false">IFERROR($G475*$J475*S475, "")</f>
        <v>0</v>
      </c>
      <c r="AW475" s="284" t="n">
        <f aca="false">IFERROR($G475*$J475*T475, "")</f>
        <v>0</v>
      </c>
      <c r="AX475" s="284" t="n">
        <f aca="false">IFERROR($G475*$J475*U475, "")</f>
        <v>0</v>
      </c>
      <c r="AY475" s="284" t="n">
        <f aca="false">IFERROR($G475*$J475*V475, "")</f>
        <v>0</v>
      </c>
      <c r="AZ475" s="284" t="n">
        <f aca="false">IFERROR($G475*$J475*W475, "")</f>
        <v>0</v>
      </c>
      <c r="BA475" s="286" t="n">
        <f aca="false">IFERROR(SUMIF($AO$4:$AZ$4, "RDEC", AO475:AZ475), "")</f>
        <v>0</v>
      </c>
      <c r="BB475" s="286" t="n">
        <f aca="false">IFERROR(SUMIF($AO$4:$AZ$4, "SME", AO475:AZ475), "")</f>
        <v>0</v>
      </c>
      <c r="BC475" s="286" t="n">
        <f aca="false">IFERROR(SUMIF($Y$4:$AJ$4, "De Minimis", AO475:AZ475), "")</f>
        <v>0</v>
      </c>
      <c r="BD475" s="287"/>
      <c r="BE475" s="288" t="str">
        <f aca="false">IF((SUM(L475:W475)&gt;1),"ERROR","")</f>
        <v/>
      </c>
    </row>
    <row r="476" customFormat="false" ht="15" hidden="false" customHeight="true" outlineLevel="0" collapsed="false">
      <c r="B476" s="333"/>
      <c r="C476" s="334"/>
      <c r="D476" s="333" t="n">
        <f aca="false">D460</f>
        <v>45383</v>
      </c>
      <c r="E476" s="277" t="n">
        <v>0</v>
      </c>
      <c r="F476" s="277" t="n">
        <v>0</v>
      </c>
      <c r="G476" s="277" t="n">
        <f aca="false">SUM(E476:F476)</f>
        <v>0</v>
      </c>
      <c r="H476" s="204"/>
      <c r="I476" s="279" t="n">
        <v>1</v>
      </c>
      <c r="J476" s="280" t="n">
        <f aca="false">1-I476</f>
        <v>0</v>
      </c>
      <c r="K476" s="277"/>
      <c r="L476" s="282"/>
      <c r="M476" s="282"/>
      <c r="N476" s="282"/>
      <c r="O476" s="282"/>
      <c r="P476" s="282"/>
      <c r="Q476" s="282"/>
      <c r="R476" s="282"/>
      <c r="S476" s="282"/>
      <c r="T476" s="282"/>
      <c r="U476" s="282"/>
      <c r="V476" s="282"/>
      <c r="W476" s="282"/>
      <c r="X476" s="283"/>
      <c r="Y476" s="284" t="n">
        <f aca="false">IFERROR(L476*$G476*I$9, "")</f>
        <v>0</v>
      </c>
      <c r="Z476" s="284" t="n">
        <f aca="false">IFERROR(M476*$G476*$I476, "")</f>
        <v>0</v>
      </c>
      <c r="AA476" s="284" t="n">
        <f aca="false">IFERROR(N476*$G476*$I476, "")</f>
        <v>0</v>
      </c>
      <c r="AB476" s="284" t="n">
        <f aca="false">IFERROR(O476*$G476*$I476, "")</f>
        <v>0</v>
      </c>
      <c r="AC476" s="284" t="n">
        <f aca="false">IFERROR(P476*$G476*$I476, "")</f>
        <v>0</v>
      </c>
      <c r="AD476" s="284" t="n">
        <f aca="false">IFERROR(Q476*$G476*$I476, "")</f>
        <v>0</v>
      </c>
      <c r="AE476" s="284" t="n">
        <f aca="false">IFERROR(R476*$G476*$I476, "")</f>
        <v>0</v>
      </c>
      <c r="AF476" s="284" t="n">
        <f aca="false">IFERROR(S476*$G476*$I476, "")</f>
        <v>0</v>
      </c>
      <c r="AG476" s="284" t="n">
        <f aca="false">IFERROR(T476*$G476*$I476, "")</f>
        <v>0</v>
      </c>
      <c r="AH476" s="284" t="n">
        <f aca="false">IFERROR(U476*$G476*$I476, "")</f>
        <v>0</v>
      </c>
      <c r="AI476" s="284" t="n">
        <f aca="false">IFERROR(V476*$G476*$I476, "")</f>
        <v>0</v>
      </c>
      <c r="AJ476" s="284" t="n">
        <f aca="false">IFERROR(W476*$G476*$I476, "")</f>
        <v>0</v>
      </c>
      <c r="AK476" s="286" t="n">
        <f aca="false">IFERROR(SUMIF($Y$4:$AJ$4, "RDEC", Y476:AJ476), "")</f>
        <v>0</v>
      </c>
      <c r="AL476" s="286" t="n">
        <f aca="false">IFERROR(SUMIF($Y$4:$AJ$4, "SME", Y476:AJ476), "")</f>
        <v>0</v>
      </c>
      <c r="AM476" s="286" t="n">
        <f aca="false">IFERROR(SUMIF($Y$4:$AJ$4, "De Minimis", Y476:AJ476), "")</f>
        <v>0</v>
      </c>
      <c r="AN476" s="283"/>
      <c r="AO476" s="284" t="n">
        <f aca="false">IFERROR($G476*$J476*L476, "")</f>
        <v>0</v>
      </c>
      <c r="AP476" s="284" t="n">
        <f aca="false">IFERROR($G476*$J476*M476, "")</f>
        <v>0</v>
      </c>
      <c r="AQ476" s="284" t="n">
        <f aca="false">IFERROR($G476*$J476*N476, "")</f>
        <v>0</v>
      </c>
      <c r="AR476" s="284" t="n">
        <f aca="false">IFERROR($G476*$J476*O476, "")</f>
        <v>0</v>
      </c>
      <c r="AS476" s="284" t="n">
        <f aca="false">IFERROR($G476*$J476*P476, "")</f>
        <v>0</v>
      </c>
      <c r="AT476" s="284" t="n">
        <f aca="false">IFERROR($G476*$J476*Q476, "")</f>
        <v>0</v>
      </c>
      <c r="AU476" s="284" t="n">
        <f aca="false">IFERROR($G476*$J476*R476, "")</f>
        <v>0</v>
      </c>
      <c r="AV476" s="284" t="n">
        <f aca="false">IFERROR($G476*$J476*S476, "")</f>
        <v>0</v>
      </c>
      <c r="AW476" s="284" t="n">
        <f aca="false">IFERROR($G476*$J476*T476, "")</f>
        <v>0</v>
      </c>
      <c r="AX476" s="284" t="n">
        <f aca="false">IFERROR($G476*$J476*U476, "")</f>
        <v>0</v>
      </c>
      <c r="AY476" s="284" t="n">
        <f aca="false">IFERROR($G476*$J476*V476, "")</f>
        <v>0</v>
      </c>
      <c r="AZ476" s="284" t="n">
        <f aca="false">IFERROR($G476*$J476*W476, "")</f>
        <v>0</v>
      </c>
      <c r="BA476" s="286" t="n">
        <f aca="false">IFERROR(SUMIF($AO$4:$AZ$4, "RDEC", AO476:AZ476), "")</f>
        <v>0</v>
      </c>
      <c r="BB476" s="286" t="n">
        <f aca="false">IFERROR(SUMIF($AO$4:$AZ$4, "SME", AO476:AZ476), "")</f>
        <v>0</v>
      </c>
      <c r="BC476" s="286" t="n">
        <f aca="false">IFERROR(SUMIF($Y$4:$AJ$4, "De Minimis", AO476:AZ476), "")</f>
        <v>0</v>
      </c>
      <c r="BD476" s="287"/>
      <c r="BE476" s="288" t="str">
        <f aca="false">IF((SUM(L476:W476)&gt;1),"ERROR","")</f>
        <v/>
      </c>
    </row>
    <row r="477" customFormat="false" ht="15" hidden="false" customHeight="true" outlineLevel="0" collapsed="false">
      <c r="B477" s="333"/>
      <c r="C477" s="334"/>
      <c r="D477" s="333" t="n">
        <f aca="false">D461</f>
        <v>45413</v>
      </c>
      <c r="E477" s="277" t="n">
        <v>0</v>
      </c>
      <c r="F477" s="277" t="n">
        <v>0</v>
      </c>
      <c r="G477" s="277" t="n">
        <f aca="false">SUM(E477:F477)</f>
        <v>0</v>
      </c>
      <c r="H477" s="204"/>
      <c r="I477" s="279" t="n">
        <v>1</v>
      </c>
      <c r="J477" s="280" t="n">
        <f aca="false">1-I477</f>
        <v>0</v>
      </c>
      <c r="K477" s="277"/>
      <c r="L477" s="282"/>
      <c r="M477" s="282"/>
      <c r="N477" s="282"/>
      <c r="O477" s="282"/>
      <c r="P477" s="282"/>
      <c r="Q477" s="282"/>
      <c r="R477" s="282"/>
      <c r="S477" s="282"/>
      <c r="T477" s="282"/>
      <c r="U477" s="282"/>
      <c r="V477" s="282"/>
      <c r="W477" s="282"/>
      <c r="X477" s="283"/>
      <c r="Y477" s="284" t="n">
        <f aca="false">IFERROR(L477*$G477*I$9, "")</f>
        <v>0</v>
      </c>
      <c r="Z477" s="284" t="n">
        <f aca="false">IFERROR(M477*$G477*$I477, "")</f>
        <v>0</v>
      </c>
      <c r="AA477" s="284" t="n">
        <f aca="false">IFERROR(N477*$G477*$I477, "")</f>
        <v>0</v>
      </c>
      <c r="AB477" s="284" t="n">
        <f aca="false">IFERROR(O477*$G477*$I477, "")</f>
        <v>0</v>
      </c>
      <c r="AC477" s="284" t="n">
        <f aca="false">IFERROR(P477*$G477*$I477, "")</f>
        <v>0</v>
      </c>
      <c r="AD477" s="284" t="n">
        <f aca="false">IFERROR(Q477*$G477*$I477, "")</f>
        <v>0</v>
      </c>
      <c r="AE477" s="284" t="n">
        <f aca="false">IFERROR(R477*$G477*$I477, "")</f>
        <v>0</v>
      </c>
      <c r="AF477" s="284" t="n">
        <f aca="false">IFERROR(S477*$G477*$I477, "")</f>
        <v>0</v>
      </c>
      <c r="AG477" s="284" t="n">
        <f aca="false">IFERROR(T477*$G477*$I477, "")</f>
        <v>0</v>
      </c>
      <c r="AH477" s="284" t="n">
        <f aca="false">IFERROR(U477*$G477*$I477, "")</f>
        <v>0</v>
      </c>
      <c r="AI477" s="284" t="n">
        <f aca="false">IFERROR(V477*$G477*$I477, "")</f>
        <v>0</v>
      </c>
      <c r="AJ477" s="284" t="n">
        <f aca="false">IFERROR(W477*$G477*$I477, "")</f>
        <v>0</v>
      </c>
      <c r="AK477" s="286" t="n">
        <f aca="false">IFERROR(SUMIF($Y$4:$AJ$4, "RDEC", Y477:AJ477), "")</f>
        <v>0</v>
      </c>
      <c r="AL477" s="286" t="n">
        <f aca="false">IFERROR(SUMIF($Y$4:$AJ$4, "SME", Y477:AJ477), "")</f>
        <v>0</v>
      </c>
      <c r="AM477" s="286" t="n">
        <f aca="false">IFERROR(SUMIF($Y$4:$AJ$4, "De Minimis", Y477:AJ477), "")</f>
        <v>0</v>
      </c>
      <c r="AN477" s="283"/>
      <c r="AO477" s="284" t="n">
        <f aca="false">IFERROR($G477*$J477*L477, "")</f>
        <v>0</v>
      </c>
      <c r="AP477" s="284" t="n">
        <f aca="false">IFERROR($G477*$J477*M477, "")</f>
        <v>0</v>
      </c>
      <c r="AQ477" s="284" t="n">
        <f aca="false">IFERROR($G477*$J477*N477, "")</f>
        <v>0</v>
      </c>
      <c r="AR477" s="284" t="n">
        <f aca="false">IFERROR($G477*$J477*O477, "")</f>
        <v>0</v>
      </c>
      <c r="AS477" s="284" t="n">
        <f aca="false">IFERROR($G477*$J477*P477, "")</f>
        <v>0</v>
      </c>
      <c r="AT477" s="284" t="n">
        <f aca="false">IFERROR($G477*$J477*Q477, "")</f>
        <v>0</v>
      </c>
      <c r="AU477" s="284" t="n">
        <f aca="false">IFERROR($G477*$J477*R477, "")</f>
        <v>0</v>
      </c>
      <c r="AV477" s="284" t="n">
        <f aca="false">IFERROR($G477*$J477*S477, "")</f>
        <v>0</v>
      </c>
      <c r="AW477" s="284" t="n">
        <f aca="false">IFERROR($G477*$J477*T477, "")</f>
        <v>0</v>
      </c>
      <c r="AX477" s="284" t="n">
        <f aca="false">IFERROR($G477*$J477*U477, "")</f>
        <v>0</v>
      </c>
      <c r="AY477" s="284" t="n">
        <f aca="false">IFERROR($G477*$J477*V477, "")</f>
        <v>0</v>
      </c>
      <c r="AZ477" s="284" t="n">
        <f aca="false">IFERROR($G477*$J477*W477, "")</f>
        <v>0</v>
      </c>
      <c r="BA477" s="286" t="n">
        <f aca="false">IFERROR(SUMIF($AO$4:$AZ$4, "RDEC", AO477:AZ477), "")</f>
        <v>0</v>
      </c>
      <c r="BB477" s="286" t="n">
        <f aca="false">IFERROR(SUMIF($AO$4:$AZ$4, "SME", AO477:AZ477), "")</f>
        <v>0</v>
      </c>
      <c r="BC477" s="286" t="n">
        <f aca="false">IFERROR(SUMIF($Y$4:$AJ$4, "De Minimis", AO477:AZ477), "")</f>
        <v>0</v>
      </c>
      <c r="BD477" s="287"/>
      <c r="BE477" s="288" t="str">
        <f aca="false">IF((SUM(L477:W477)&gt;1),"ERROR","")</f>
        <v/>
      </c>
    </row>
    <row r="478" customFormat="false" ht="15" hidden="false" customHeight="true" outlineLevel="0" collapsed="false">
      <c r="B478" s="333"/>
      <c r="C478" s="334"/>
      <c r="D478" s="333" t="n">
        <f aca="false">D462</f>
        <v>45444</v>
      </c>
      <c r="E478" s="277" t="n">
        <v>0</v>
      </c>
      <c r="F478" s="277" t="n">
        <v>0</v>
      </c>
      <c r="G478" s="277" t="n">
        <f aca="false">SUM(E478:F478)</f>
        <v>0</v>
      </c>
      <c r="H478" s="204"/>
      <c r="I478" s="279" t="n">
        <v>1</v>
      </c>
      <c r="J478" s="280" t="n">
        <f aca="false">1-I478</f>
        <v>0</v>
      </c>
      <c r="K478" s="277"/>
      <c r="L478" s="282"/>
      <c r="M478" s="282"/>
      <c r="N478" s="282"/>
      <c r="O478" s="282"/>
      <c r="P478" s="282"/>
      <c r="Q478" s="282"/>
      <c r="R478" s="282"/>
      <c r="S478" s="282"/>
      <c r="T478" s="282"/>
      <c r="U478" s="282"/>
      <c r="V478" s="282"/>
      <c r="W478" s="282"/>
      <c r="X478" s="283"/>
      <c r="Y478" s="284" t="n">
        <f aca="false">IFERROR(L478*$G478*I$9, "")</f>
        <v>0</v>
      </c>
      <c r="Z478" s="284" t="n">
        <f aca="false">IFERROR(M478*$G478*$I478, "")</f>
        <v>0</v>
      </c>
      <c r="AA478" s="284" t="n">
        <f aca="false">IFERROR(N478*$G478*$I478, "")</f>
        <v>0</v>
      </c>
      <c r="AB478" s="284" t="n">
        <f aca="false">IFERROR(O478*$G478*$I478, "")</f>
        <v>0</v>
      </c>
      <c r="AC478" s="284" t="n">
        <f aca="false">IFERROR(P478*$G478*$I478, "")</f>
        <v>0</v>
      </c>
      <c r="AD478" s="284" t="n">
        <f aca="false">IFERROR(Q478*$G478*$I478, "")</f>
        <v>0</v>
      </c>
      <c r="AE478" s="284" t="n">
        <f aca="false">IFERROR(R478*$G478*$I478, "")</f>
        <v>0</v>
      </c>
      <c r="AF478" s="284" t="n">
        <f aca="false">IFERROR(S478*$G478*$I478, "")</f>
        <v>0</v>
      </c>
      <c r="AG478" s="284" t="n">
        <f aca="false">IFERROR(T478*$G478*$I478, "")</f>
        <v>0</v>
      </c>
      <c r="AH478" s="284" t="n">
        <f aca="false">IFERROR(U478*$G478*$I478, "")</f>
        <v>0</v>
      </c>
      <c r="AI478" s="284" t="n">
        <f aca="false">IFERROR(V478*$G478*$I478, "")</f>
        <v>0</v>
      </c>
      <c r="AJ478" s="284" t="n">
        <f aca="false">IFERROR(W478*$G478*$I478, "")</f>
        <v>0</v>
      </c>
      <c r="AK478" s="286" t="n">
        <f aca="false">IFERROR(SUMIF($Y$4:$AJ$4, "RDEC", Y478:AJ478), "")</f>
        <v>0</v>
      </c>
      <c r="AL478" s="286" t="n">
        <f aca="false">IFERROR(SUMIF($Y$4:$AJ$4, "SME", Y478:AJ478), "")</f>
        <v>0</v>
      </c>
      <c r="AM478" s="286" t="n">
        <f aca="false">IFERROR(SUMIF($Y$4:$AJ$4, "De Minimis", Y478:AJ478), "")</f>
        <v>0</v>
      </c>
      <c r="AN478" s="283"/>
      <c r="AO478" s="284" t="n">
        <f aca="false">IFERROR($G478*$J478*L478, "")</f>
        <v>0</v>
      </c>
      <c r="AP478" s="284" t="n">
        <f aca="false">IFERROR($G478*$J478*M478, "")</f>
        <v>0</v>
      </c>
      <c r="AQ478" s="284" t="n">
        <f aca="false">IFERROR($G478*$J478*N478, "")</f>
        <v>0</v>
      </c>
      <c r="AR478" s="284" t="n">
        <f aca="false">IFERROR($G478*$J478*O478, "")</f>
        <v>0</v>
      </c>
      <c r="AS478" s="284" t="n">
        <f aca="false">IFERROR($G478*$J478*P478, "")</f>
        <v>0</v>
      </c>
      <c r="AT478" s="284" t="n">
        <f aca="false">IFERROR($G478*$J478*Q478, "")</f>
        <v>0</v>
      </c>
      <c r="AU478" s="284" t="n">
        <f aca="false">IFERROR($G478*$J478*R478, "")</f>
        <v>0</v>
      </c>
      <c r="AV478" s="284" t="n">
        <f aca="false">IFERROR($G478*$J478*S478, "")</f>
        <v>0</v>
      </c>
      <c r="AW478" s="284" t="n">
        <f aca="false">IFERROR($G478*$J478*T478, "")</f>
        <v>0</v>
      </c>
      <c r="AX478" s="284" t="n">
        <f aca="false">IFERROR($G478*$J478*U478, "")</f>
        <v>0</v>
      </c>
      <c r="AY478" s="284" t="n">
        <f aca="false">IFERROR($G478*$J478*V478, "")</f>
        <v>0</v>
      </c>
      <c r="AZ478" s="284" t="n">
        <f aca="false">IFERROR($G478*$J478*W478, "")</f>
        <v>0</v>
      </c>
      <c r="BA478" s="286" t="n">
        <f aca="false">IFERROR(SUMIF($AO$4:$AZ$4, "RDEC", AO478:AZ478), "")</f>
        <v>0</v>
      </c>
      <c r="BB478" s="286" t="n">
        <f aca="false">IFERROR(SUMIF($AO$4:$AZ$4, "SME", AO478:AZ478), "")</f>
        <v>0</v>
      </c>
      <c r="BC478" s="286" t="n">
        <f aca="false">IFERROR(SUMIF($Y$4:$AJ$4, "De Minimis", AO478:AZ478), "")</f>
        <v>0</v>
      </c>
      <c r="BD478" s="287"/>
      <c r="BE478" s="288" t="str">
        <f aca="false">IF((SUM(L478:W478)&gt;1),"ERROR","")</f>
        <v/>
      </c>
    </row>
    <row r="479" customFormat="false" ht="15" hidden="false" customHeight="true" outlineLevel="0" collapsed="false">
      <c r="B479" s="333"/>
      <c r="C479" s="334"/>
      <c r="D479" s="333" t="n">
        <f aca="false">D463</f>
        <v>45474</v>
      </c>
      <c r="E479" s="277" t="n">
        <v>0</v>
      </c>
      <c r="F479" s="277" t="n">
        <v>0</v>
      </c>
      <c r="G479" s="277" t="n">
        <f aca="false">SUM(E479:F479)</f>
        <v>0</v>
      </c>
      <c r="H479" s="204"/>
      <c r="I479" s="279" t="n">
        <v>1</v>
      </c>
      <c r="J479" s="280" t="n">
        <f aca="false">1-I479</f>
        <v>0</v>
      </c>
      <c r="K479" s="277"/>
      <c r="L479" s="282"/>
      <c r="M479" s="282"/>
      <c r="N479" s="282"/>
      <c r="O479" s="282"/>
      <c r="P479" s="282"/>
      <c r="Q479" s="282"/>
      <c r="R479" s="282"/>
      <c r="S479" s="282"/>
      <c r="T479" s="282"/>
      <c r="U479" s="282"/>
      <c r="V479" s="282"/>
      <c r="W479" s="282"/>
      <c r="X479" s="283"/>
      <c r="Y479" s="284" t="n">
        <f aca="false">IFERROR(L479*$G479*I$9, "")</f>
        <v>0</v>
      </c>
      <c r="Z479" s="284" t="n">
        <f aca="false">IFERROR(M479*$G479*$I479, "")</f>
        <v>0</v>
      </c>
      <c r="AA479" s="284" t="n">
        <f aca="false">IFERROR(N479*$G479*$I479, "")</f>
        <v>0</v>
      </c>
      <c r="AB479" s="284" t="n">
        <f aca="false">IFERROR(O479*$G479*$I479, "")</f>
        <v>0</v>
      </c>
      <c r="AC479" s="284" t="n">
        <f aca="false">IFERROR(P479*$G479*$I479, "")</f>
        <v>0</v>
      </c>
      <c r="AD479" s="284" t="n">
        <f aca="false">IFERROR(Q479*$G479*$I479, "")</f>
        <v>0</v>
      </c>
      <c r="AE479" s="284" t="n">
        <f aca="false">IFERROR(R479*$G479*$I479, "")</f>
        <v>0</v>
      </c>
      <c r="AF479" s="284" t="n">
        <f aca="false">IFERROR(S479*$G479*$I479, "")</f>
        <v>0</v>
      </c>
      <c r="AG479" s="284" t="n">
        <f aca="false">IFERROR(T479*$G479*$I479, "")</f>
        <v>0</v>
      </c>
      <c r="AH479" s="284" t="n">
        <f aca="false">IFERROR(U479*$G479*$I479, "")</f>
        <v>0</v>
      </c>
      <c r="AI479" s="284" t="n">
        <f aca="false">IFERROR(V479*$G479*$I479, "")</f>
        <v>0</v>
      </c>
      <c r="AJ479" s="284" t="n">
        <f aca="false">IFERROR(W479*$G479*$I479, "")</f>
        <v>0</v>
      </c>
      <c r="AK479" s="286" t="n">
        <f aca="false">IFERROR(SUMIF($Y$4:$AJ$4, "RDEC", Y479:AJ479), "")</f>
        <v>0</v>
      </c>
      <c r="AL479" s="286" t="n">
        <f aca="false">IFERROR(SUMIF($Y$4:$AJ$4, "SME", Y479:AJ479), "")</f>
        <v>0</v>
      </c>
      <c r="AM479" s="286" t="n">
        <f aca="false">IFERROR(SUMIF($Y$4:$AJ$4, "De Minimis", Y479:AJ479), "")</f>
        <v>0</v>
      </c>
      <c r="AN479" s="283"/>
      <c r="AO479" s="284" t="n">
        <f aca="false">IFERROR($G479*$J479*L479, "")</f>
        <v>0</v>
      </c>
      <c r="AP479" s="284" t="n">
        <f aca="false">IFERROR($G479*$J479*M479, "")</f>
        <v>0</v>
      </c>
      <c r="AQ479" s="284" t="n">
        <f aca="false">IFERROR($G479*$J479*N479, "")</f>
        <v>0</v>
      </c>
      <c r="AR479" s="284" t="n">
        <f aca="false">IFERROR($G479*$J479*O479, "")</f>
        <v>0</v>
      </c>
      <c r="AS479" s="284" t="n">
        <f aca="false">IFERROR($G479*$J479*P479, "")</f>
        <v>0</v>
      </c>
      <c r="AT479" s="284" t="n">
        <f aca="false">IFERROR($G479*$J479*Q479, "")</f>
        <v>0</v>
      </c>
      <c r="AU479" s="284" t="n">
        <f aca="false">IFERROR($G479*$J479*R479, "")</f>
        <v>0</v>
      </c>
      <c r="AV479" s="284" t="n">
        <f aca="false">IFERROR($G479*$J479*S479, "")</f>
        <v>0</v>
      </c>
      <c r="AW479" s="284" t="n">
        <f aca="false">IFERROR($G479*$J479*T479, "")</f>
        <v>0</v>
      </c>
      <c r="AX479" s="284" t="n">
        <f aca="false">IFERROR($G479*$J479*U479, "")</f>
        <v>0</v>
      </c>
      <c r="AY479" s="284" t="n">
        <f aca="false">IFERROR($G479*$J479*V479, "")</f>
        <v>0</v>
      </c>
      <c r="AZ479" s="284" t="n">
        <f aca="false">IFERROR($G479*$J479*W479, "")</f>
        <v>0</v>
      </c>
      <c r="BA479" s="286" t="n">
        <f aca="false">IFERROR(SUMIF($AO$4:$AZ$4, "RDEC", AO479:AZ479), "")</f>
        <v>0</v>
      </c>
      <c r="BB479" s="286" t="n">
        <f aca="false">IFERROR(SUMIF($AO$4:$AZ$4, "SME", AO479:AZ479), "")</f>
        <v>0</v>
      </c>
      <c r="BC479" s="286" t="n">
        <f aca="false">IFERROR(SUMIF($Y$4:$AJ$4, "De Minimis", AO479:AZ479), "")</f>
        <v>0</v>
      </c>
      <c r="BD479" s="287"/>
      <c r="BE479" s="288" t="str">
        <f aca="false">IF((SUM(L479:W479)&gt;1),"ERROR","")</f>
        <v/>
      </c>
    </row>
    <row r="480" customFormat="false" ht="15" hidden="false" customHeight="true" outlineLevel="0" collapsed="false">
      <c r="B480" s="333"/>
      <c r="C480" s="334"/>
      <c r="D480" s="333" t="n">
        <f aca="false">D464</f>
        <v>45505</v>
      </c>
      <c r="E480" s="277" t="n">
        <v>0</v>
      </c>
      <c r="F480" s="277" t="n">
        <v>0</v>
      </c>
      <c r="G480" s="277" t="n">
        <f aca="false">SUM(E480:F480)</f>
        <v>0</v>
      </c>
      <c r="H480" s="204"/>
      <c r="I480" s="279" t="n">
        <v>1</v>
      </c>
      <c r="J480" s="280" t="n">
        <f aca="false">1-I480</f>
        <v>0</v>
      </c>
      <c r="K480" s="277"/>
      <c r="L480" s="282"/>
      <c r="M480" s="282"/>
      <c r="N480" s="282"/>
      <c r="O480" s="282"/>
      <c r="P480" s="282"/>
      <c r="Q480" s="282"/>
      <c r="R480" s="282"/>
      <c r="S480" s="282"/>
      <c r="T480" s="282"/>
      <c r="U480" s="282"/>
      <c r="V480" s="282"/>
      <c r="W480" s="282"/>
      <c r="X480" s="283"/>
      <c r="Y480" s="284" t="n">
        <f aca="false">IFERROR(L480*$G480*I$9, "")</f>
        <v>0</v>
      </c>
      <c r="Z480" s="284" t="n">
        <f aca="false">IFERROR(M480*$G480*$I480, "")</f>
        <v>0</v>
      </c>
      <c r="AA480" s="284" t="n">
        <f aca="false">IFERROR(N480*$G480*$I480, "")</f>
        <v>0</v>
      </c>
      <c r="AB480" s="284" t="n">
        <f aca="false">IFERROR(O480*$G480*$I480, "")</f>
        <v>0</v>
      </c>
      <c r="AC480" s="284" t="n">
        <f aca="false">IFERROR(P480*$G480*$I480, "")</f>
        <v>0</v>
      </c>
      <c r="AD480" s="284" t="n">
        <f aca="false">IFERROR(Q480*$G480*$I480, "")</f>
        <v>0</v>
      </c>
      <c r="AE480" s="284" t="n">
        <f aca="false">IFERROR(R480*$G480*$I480, "")</f>
        <v>0</v>
      </c>
      <c r="AF480" s="284" t="n">
        <f aca="false">IFERROR(S480*$G480*$I480, "")</f>
        <v>0</v>
      </c>
      <c r="AG480" s="284" t="n">
        <f aca="false">IFERROR(T480*$G480*$I480, "")</f>
        <v>0</v>
      </c>
      <c r="AH480" s="284" t="n">
        <f aca="false">IFERROR(U480*$G480*$I480, "")</f>
        <v>0</v>
      </c>
      <c r="AI480" s="284" t="n">
        <f aca="false">IFERROR(V480*$G480*$I480, "")</f>
        <v>0</v>
      </c>
      <c r="AJ480" s="284" t="n">
        <f aca="false">IFERROR(W480*$G480*$I480, "")</f>
        <v>0</v>
      </c>
      <c r="AK480" s="286" t="n">
        <f aca="false">IFERROR(SUMIF($Y$4:$AJ$4, "RDEC", Y480:AJ480), "")</f>
        <v>0</v>
      </c>
      <c r="AL480" s="286" t="n">
        <f aca="false">IFERROR(SUMIF($Y$4:$AJ$4, "SME", Y480:AJ480), "")</f>
        <v>0</v>
      </c>
      <c r="AM480" s="286" t="n">
        <f aca="false">IFERROR(SUMIF($Y$4:$AJ$4, "De Minimis", Y480:AJ480), "")</f>
        <v>0</v>
      </c>
      <c r="AN480" s="283"/>
      <c r="AO480" s="284" t="n">
        <f aca="false">IFERROR($G480*$J480*L480, "")</f>
        <v>0</v>
      </c>
      <c r="AP480" s="284" t="n">
        <f aca="false">IFERROR($G480*$J480*M480, "")</f>
        <v>0</v>
      </c>
      <c r="AQ480" s="284" t="n">
        <f aca="false">IFERROR($G480*$J480*N480, "")</f>
        <v>0</v>
      </c>
      <c r="AR480" s="284" t="n">
        <f aca="false">IFERROR($G480*$J480*O480, "")</f>
        <v>0</v>
      </c>
      <c r="AS480" s="284" t="n">
        <f aca="false">IFERROR($G480*$J480*P480, "")</f>
        <v>0</v>
      </c>
      <c r="AT480" s="284" t="n">
        <f aca="false">IFERROR($G480*$J480*Q480, "")</f>
        <v>0</v>
      </c>
      <c r="AU480" s="284" t="n">
        <f aca="false">IFERROR($G480*$J480*R480, "")</f>
        <v>0</v>
      </c>
      <c r="AV480" s="284" t="n">
        <f aca="false">IFERROR($G480*$J480*S480, "")</f>
        <v>0</v>
      </c>
      <c r="AW480" s="284" t="n">
        <f aca="false">IFERROR($G480*$J480*T480, "")</f>
        <v>0</v>
      </c>
      <c r="AX480" s="284" t="n">
        <f aca="false">IFERROR($G480*$J480*U480, "")</f>
        <v>0</v>
      </c>
      <c r="AY480" s="284" t="n">
        <f aca="false">IFERROR($G480*$J480*V480, "")</f>
        <v>0</v>
      </c>
      <c r="AZ480" s="284" t="n">
        <f aca="false">IFERROR($G480*$J480*W480, "")</f>
        <v>0</v>
      </c>
      <c r="BA480" s="286" t="n">
        <f aca="false">IFERROR(SUMIF($AO$4:$AZ$4, "RDEC", AO480:AZ480), "")</f>
        <v>0</v>
      </c>
      <c r="BB480" s="286" t="n">
        <f aca="false">IFERROR(SUMIF($AO$4:$AZ$4, "SME", AO480:AZ480), "")</f>
        <v>0</v>
      </c>
      <c r="BC480" s="286" t="n">
        <f aca="false">IFERROR(SUMIF($Y$4:$AJ$4, "De Minimis", AO480:AZ480), "")</f>
        <v>0</v>
      </c>
      <c r="BD480" s="287"/>
      <c r="BE480" s="288" t="str">
        <f aca="false">IF((SUM(L480:W480)&gt;1),"ERROR","")</f>
        <v/>
      </c>
    </row>
    <row r="481" customFormat="false" ht="15" hidden="false" customHeight="true" outlineLevel="0" collapsed="false">
      <c r="B481" s="333"/>
      <c r="C481" s="334"/>
      <c r="D481" s="333" t="n">
        <f aca="false">D465</f>
        <v>45536</v>
      </c>
      <c r="E481" s="277" t="n">
        <v>0</v>
      </c>
      <c r="F481" s="277" t="n">
        <v>0</v>
      </c>
      <c r="G481" s="277" t="n">
        <f aca="false">SUM(E481:F481)</f>
        <v>0</v>
      </c>
      <c r="H481" s="204"/>
      <c r="I481" s="279" t="n">
        <v>1</v>
      </c>
      <c r="J481" s="280" t="n">
        <f aca="false">1-I481</f>
        <v>0</v>
      </c>
      <c r="K481" s="277"/>
      <c r="L481" s="282"/>
      <c r="M481" s="282"/>
      <c r="N481" s="282"/>
      <c r="O481" s="282"/>
      <c r="P481" s="282"/>
      <c r="Q481" s="282"/>
      <c r="R481" s="282"/>
      <c r="S481" s="282"/>
      <c r="T481" s="282"/>
      <c r="U481" s="282"/>
      <c r="V481" s="282"/>
      <c r="W481" s="282"/>
      <c r="X481" s="283"/>
      <c r="Y481" s="284" t="n">
        <f aca="false">IFERROR(L481*$G481*I$9, "")</f>
        <v>0</v>
      </c>
      <c r="Z481" s="284" t="n">
        <f aca="false">IFERROR(M481*$G481*$I481, "")</f>
        <v>0</v>
      </c>
      <c r="AA481" s="284" t="n">
        <f aca="false">IFERROR(N481*$G481*$I481, "")</f>
        <v>0</v>
      </c>
      <c r="AB481" s="284" t="n">
        <f aca="false">IFERROR(O481*$G481*$I481, "")</f>
        <v>0</v>
      </c>
      <c r="AC481" s="284" t="n">
        <f aca="false">IFERROR(P481*$G481*$I481, "")</f>
        <v>0</v>
      </c>
      <c r="AD481" s="284" t="n">
        <f aca="false">IFERROR(Q481*$G481*$I481, "")</f>
        <v>0</v>
      </c>
      <c r="AE481" s="284" t="n">
        <f aca="false">IFERROR(R481*$G481*$I481, "")</f>
        <v>0</v>
      </c>
      <c r="AF481" s="284" t="n">
        <f aca="false">IFERROR(S481*$G481*$I481, "")</f>
        <v>0</v>
      </c>
      <c r="AG481" s="284" t="n">
        <f aca="false">IFERROR(T481*$G481*$I481, "")</f>
        <v>0</v>
      </c>
      <c r="AH481" s="284" t="n">
        <f aca="false">IFERROR(U481*$G481*$I481, "")</f>
        <v>0</v>
      </c>
      <c r="AI481" s="284" t="n">
        <f aca="false">IFERROR(V481*$G481*$I481, "")</f>
        <v>0</v>
      </c>
      <c r="AJ481" s="284" t="n">
        <f aca="false">IFERROR(W481*$G481*$I481, "")</f>
        <v>0</v>
      </c>
      <c r="AK481" s="286" t="n">
        <f aca="false">IFERROR(SUMIF($Y$4:$AJ$4, "RDEC", Y481:AJ481), "")</f>
        <v>0</v>
      </c>
      <c r="AL481" s="286" t="n">
        <f aca="false">IFERROR(SUMIF($Y$4:$AJ$4, "SME", Y481:AJ481), "")</f>
        <v>0</v>
      </c>
      <c r="AM481" s="286" t="n">
        <f aca="false">IFERROR(SUMIF($Y$4:$AJ$4, "De Minimis", Y481:AJ481), "")</f>
        <v>0</v>
      </c>
      <c r="AN481" s="283"/>
      <c r="AO481" s="284" t="n">
        <f aca="false">IFERROR($G481*$J481*L481, "")</f>
        <v>0</v>
      </c>
      <c r="AP481" s="284" t="n">
        <f aca="false">IFERROR($G481*$J481*M481, "")</f>
        <v>0</v>
      </c>
      <c r="AQ481" s="284" t="n">
        <f aca="false">IFERROR($G481*$J481*N481, "")</f>
        <v>0</v>
      </c>
      <c r="AR481" s="284" t="n">
        <f aca="false">IFERROR($G481*$J481*O481, "")</f>
        <v>0</v>
      </c>
      <c r="AS481" s="284" t="n">
        <f aca="false">IFERROR($G481*$J481*P481, "")</f>
        <v>0</v>
      </c>
      <c r="AT481" s="284" t="n">
        <f aca="false">IFERROR($G481*$J481*Q481, "")</f>
        <v>0</v>
      </c>
      <c r="AU481" s="284" t="n">
        <f aca="false">IFERROR($G481*$J481*R481, "")</f>
        <v>0</v>
      </c>
      <c r="AV481" s="284" t="n">
        <f aca="false">IFERROR($G481*$J481*S481, "")</f>
        <v>0</v>
      </c>
      <c r="AW481" s="284" t="n">
        <f aca="false">IFERROR($G481*$J481*T481, "")</f>
        <v>0</v>
      </c>
      <c r="AX481" s="284" t="n">
        <f aca="false">IFERROR($G481*$J481*U481, "")</f>
        <v>0</v>
      </c>
      <c r="AY481" s="284" t="n">
        <f aca="false">IFERROR($G481*$J481*V481, "")</f>
        <v>0</v>
      </c>
      <c r="AZ481" s="284" t="n">
        <f aca="false">IFERROR($G481*$J481*W481, "")</f>
        <v>0</v>
      </c>
      <c r="BA481" s="286" t="n">
        <f aca="false">IFERROR(SUMIF($AO$4:$AZ$4, "RDEC", AO481:AZ481), "")</f>
        <v>0</v>
      </c>
      <c r="BB481" s="286" t="n">
        <f aca="false">IFERROR(SUMIF($AO$4:$AZ$4, "SME", AO481:AZ481), "")</f>
        <v>0</v>
      </c>
      <c r="BC481" s="286" t="n">
        <f aca="false">IFERROR(SUMIF($Y$4:$AJ$4, "De Minimis", AO481:AZ481), "")</f>
        <v>0</v>
      </c>
      <c r="BD481" s="287"/>
      <c r="BE481" s="288" t="str">
        <f aca="false">IF((SUM(L481:W481)&gt;1),"ERROR","")</f>
        <v/>
      </c>
    </row>
    <row r="482" customFormat="false" ht="15" hidden="false" customHeight="true" outlineLevel="0" collapsed="false">
      <c r="B482" s="333"/>
      <c r="C482" s="334"/>
      <c r="D482" s="333" t="n">
        <f aca="false">D466</f>
        <v>45566</v>
      </c>
      <c r="E482" s="277" t="n">
        <v>0</v>
      </c>
      <c r="F482" s="277" t="n">
        <v>0</v>
      </c>
      <c r="G482" s="277" t="n">
        <f aca="false">SUM(E482:F482)</f>
        <v>0</v>
      </c>
      <c r="H482" s="204"/>
      <c r="I482" s="279" t="n">
        <v>1</v>
      </c>
      <c r="J482" s="280" t="n">
        <f aca="false">1-I482</f>
        <v>0</v>
      </c>
      <c r="K482" s="277"/>
      <c r="L482" s="282"/>
      <c r="M482" s="282"/>
      <c r="N482" s="282"/>
      <c r="O482" s="282"/>
      <c r="P482" s="282"/>
      <c r="Q482" s="282"/>
      <c r="R482" s="282"/>
      <c r="S482" s="282"/>
      <c r="T482" s="282"/>
      <c r="U482" s="282"/>
      <c r="V482" s="282"/>
      <c r="W482" s="282"/>
      <c r="X482" s="283"/>
      <c r="Y482" s="284" t="n">
        <f aca="false">IFERROR(L482*$G482*I$9, "")</f>
        <v>0</v>
      </c>
      <c r="Z482" s="284" t="n">
        <f aca="false">IFERROR(M482*$G482*$I482, "")</f>
        <v>0</v>
      </c>
      <c r="AA482" s="284" t="n">
        <f aca="false">IFERROR(N482*$G482*$I482, "")</f>
        <v>0</v>
      </c>
      <c r="AB482" s="284" t="n">
        <f aca="false">IFERROR(O482*$G482*$I482, "")</f>
        <v>0</v>
      </c>
      <c r="AC482" s="284" t="n">
        <f aca="false">IFERROR(P482*$G482*$I482, "")</f>
        <v>0</v>
      </c>
      <c r="AD482" s="284" t="n">
        <f aca="false">IFERROR(Q482*$G482*$I482, "")</f>
        <v>0</v>
      </c>
      <c r="AE482" s="284" t="n">
        <f aca="false">IFERROR(R482*$G482*$I482, "")</f>
        <v>0</v>
      </c>
      <c r="AF482" s="284" t="n">
        <f aca="false">IFERROR(S482*$G482*$I482, "")</f>
        <v>0</v>
      </c>
      <c r="AG482" s="284" t="n">
        <f aca="false">IFERROR(T482*$G482*$I482, "")</f>
        <v>0</v>
      </c>
      <c r="AH482" s="284" t="n">
        <f aca="false">IFERROR(U482*$G482*$I482, "")</f>
        <v>0</v>
      </c>
      <c r="AI482" s="284" t="n">
        <f aca="false">IFERROR(V482*$G482*$I482, "")</f>
        <v>0</v>
      </c>
      <c r="AJ482" s="284" t="n">
        <f aca="false">IFERROR(W482*$G482*$I482, "")</f>
        <v>0</v>
      </c>
      <c r="AK482" s="286" t="n">
        <f aca="false">IFERROR(SUMIF($Y$4:$AJ$4, "RDEC", Y482:AJ482), "")</f>
        <v>0</v>
      </c>
      <c r="AL482" s="286" t="n">
        <f aca="false">IFERROR(SUMIF($Y$4:$AJ$4, "SME", Y482:AJ482), "")</f>
        <v>0</v>
      </c>
      <c r="AM482" s="286" t="n">
        <f aca="false">IFERROR(SUMIF($Y$4:$AJ$4, "De Minimis", Y482:AJ482), "")</f>
        <v>0</v>
      </c>
      <c r="AN482" s="283"/>
      <c r="AO482" s="284" t="n">
        <f aca="false">IFERROR($G482*$J482*L482, "")</f>
        <v>0</v>
      </c>
      <c r="AP482" s="284" t="n">
        <f aca="false">IFERROR($G482*$J482*M482, "")</f>
        <v>0</v>
      </c>
      <c r="AQ482" s="284" t="n">
        <f aca="false">IFERROR($G482*$J482*N482, "")</f>
        <v>0</v>
      </c>
      <c r="AR482" s="284" t="n">
        <f aca="false">IFERROR($G482*$J482*O482, "")</f>
        <v>0</v>
      </c>
      <c r="AS482" s="284" t="n">
        <f aca="false">IFERROR($G482*$J482*P482, "")</f>
        <v>0</v>
      </c>
      <c r="AT482" s="284" t="n">
        <f aca="false">IFERROR($G482*$J482*Q482, "")</f>
        <v>0</v>
      </c>
      <c r="AU482" s="284" t="n">
        <f aca="false">IFERROR($G482*$J482*R482, "")</f>
        <v>0</v>
      </c>
      <c r="AV482" s="284" t="n">
        <f aca="false">IFERROR($G482*$J482*S482, "")</f>
        <v>0</v>
      </c>
      <c r="AW482" s="284" t="n">
        <f aca="false">IFERROR($G482*$J482*T482, "")</f>
        <v>0</v>
      </c>
      <c r="AX482" s="284" t="n">
        <f aca="false">IFERROR($G482*$J482*U482, "")</f>
        <v>0</v>
      </c>
      <c r="AY482" s="284" t="n">
        <f aca="false">IFERROR($G482*$J482*V482, "")</f>
        <v>0</v>
      </c>
      <c r="AZ482" s="284" t="n">
        <f aca="false">IFERROR($G482*$J482*W482, "")</f>
        <v>0</v>
      </c>
      <c r="BA482" s="286" t="n">
        <f aca="false">IFERROR(SUMIF($AO$4:$AZ$4, "RDEC", AO482:AZ482), "")</f>
        <v>0</v>
      </c>
      <c r="BB482" s="286" t="n">
        <f aca="false">IFERROR(SUMIF($AO$4:$AZ$4, "SME", AO482:AZ482), "")</f>
        <v>0</v>
      </c>
      <c r="BC482" s="286" t="n">
        <f aca="false">IFERROR(SUMIF($Y$4:$AJ$4, "De Minimis", AO482:AZ482), "")</f>
        <v>0</v>
      </c>
      <c r="BD482" s="287"/>
      <c r="BE482" s="288" t="str">
        <f aca="false">IF((SUM(L482:W482)&gt;1),"ERROR","")</f>
        <v/>
      </c>
    </row>
    <row r="483" customFormat="false" ht="15" hidden="false" customHeight="true" outlineLevel="0" collapsed="false">
      <c r="B483" s="333"/>
      <c r="C483" s="334"/>
      <c r="D483" s="333" t="n">
        <f aca="false">D467</f>
        <v>45597</v>
      </c>
      <c r="E483" s="277" t="n">
        <v>0</v>
      </c>
      <c r="F483" s="277" t="n">
        <v>0</v>
      </c>
      <c r="G483" s="277" t="n">
        <f aca="false">SUM(E483:F483)</f>
        <v>0</v>
      </c>
      <c r="H483" s="204"/>
      <c r="I483" s="279" t="n">
        <v>1</v>
      </c>
      <c r="J483" s="280" t="n">
        <f aca="false">1-I483</f>
        <v>0</v>
      </c>
      <c r="K483" s="277"/>
      <c r="L483" s="282"/>
      <c r="M483" s="282"/>
      <c r="N483" s="282"/>
      <c r="O483" s="282"/>
      <c r="P483" s="282"/>
      <c r="Q483" s="282"/>
      <c r="R483" s="282"/>
      <c r="S483" s="282"/>
      <c r="T483" s="282"/>
      <c r="U483" s="282"/>
      <c r="V483" s="282"/>
      <c r="W483" s="282"/>
      <c r="X483" s="283"/>
      <c r="Y483" s="284" t="n">
        <f aca="false">IFERROR(L483*$G483*I$9, "")</f>
        <v>0</v>
      </c>
      <c r="Z483" s="284" t="n">
        <f aca="false">IFERROR(M483*$G483*$I483, "")</f>
        <v>0</v>
      </c>
      <c r="AA483" s="284" t="n">
        <f aca="false">IFERROR(N483*$G483*$I483, "")</f>
        <v>0</v>
      </c>
      <c r="AB483" s="284" t="n">
        <f aca="false">IFERROR(O483*$G483*$I483, "")</f>
        <v>0</v>
      </c>
      <c r="AC483" s="284" t="n">
        <f aca="false">IFERROR(P483*$G483*$I483, "")</f>
        <v>0</v>
      </c>
      <c r="AD483" s="284" t="n">
        <f aca="false">IFERROR(Q483*$G483*$I483, "")</f>
        <v>0</v>
      </c>
      <c r="AE483" s="284" t="n">
        <f aca="false">IFERROR(R483*$G483*$I483, "")</f>
        <v>0</v>
      </c>
      <c r="AF483" s="284" t="n">
        <f aca="false">IFERROR(S483*$G483*$I483, "")</f>
        <v>0</v>
      </c>
      <c r="AG483" s="284" t="n">
        <f aca="false">IFERROR(T483*$G483*$I483, "")</f>
        <v>0</v>
      </c>
      <c r="AH483" s="284" t="n">
        <f aca="false">IFERROR(U483*$G483*$I483, "")</f>
        <v>0</v>
      </c>
      <c r="AI483" s="284" t="n">
        <f aca="false">IFERROR(V483*$G483*$I483, "")</f>
        <v>0</v>
      </c>
      <c r="AJ483" s="284" t="n">
        <f aca="false">IFERROR(W483*$G483*$I483, "")</f>
        <v>0</v>
      </c>
      <c r="AK483" s="286" t="n">
        <f aca="false">IFERROR(SUMIF($Y$4:$AJ$4, "RDEC", Y483:AJ483), "")</f>
        <v>0</v>
      </c>
      <c r="AL483" s="286" t="n">
        <f aca="false">IFERROR(SUMIF($Y$4:$AJ$4, "SME", Y483:AJ483), "")</f>
        <v>0</v>
      </c>
      <c r="AM483" s="286" t="n">
        <f aca="false">IFERROR(SUMIF($Y$4:$AJ$4, "De Minimis", Y483:AJ483), "")</f>
        <v>0</v>
      </c>
      <c r="AN483" s="283"/>
      <c r="AO483" s="284" t="n">
        <f aca="false">IFERROR($G483*$J483*L483, "")</f>
        <v>0</v>
      </c>
      <c r="AP483" s="284" t="n">
        <f aca="false">IFERROR($G483*$J483*M483, "")</f>
        <v>0</v>
      </c>
      <c r="AQ483" s="284" t="n">
        <f aca="false">IFERROR($G483*$J483*N483, "")</f>
        <v>0</v>
      </c>
      <c r="AR483" s="284" t="n">
        <f aca="false">IFERROR($G483*$J483*O483, "")</f>
        <v>0</v>
      </c>
      <c r="AS483" s="284" t="n">
        <f aca="false">IFERROR($G483*$J483*P483, "")</f>
        <v>0</v>
      </c>
      <c r="AT483" s="284" t="n">
        <f aca="false">IFERROR($G483*$J483*Q483, "")</f>
        <v>0</v>
      </c>
      <c r="AU483" s="284" t="n">
        <f aca="false">IFERROR($G483*$J483*R483, "")</f>
        <v>0</v>
      </c>
      <c r="AV483" s="284" t="n">
        <f aca="false">IFERROR($G483*$J483*S483, "")</f>
        <v>0</v>
      </c>
      <c r="AW483" s="284" t="n">
        <f aca="false">IFERROR($G483*$J483*T483, "")</f>
        <v>0</v>
      </c>
      <c r="AX483" s="284" t="n">
        <f aca="false">IFERROR($G483*$J483*U483, "")</f>
        <v>0</v>
      </c>
      <c r="AY483" s="284" t="n">
        <f aca="false">IFERROR($G483*$J483*V483, "")</f>
        <v>0</v>
      </c>
      <c r="AZ483" s="284" t="n">
        <f aca="false">IFERROR($G483*$J483*W483, "")</f>
        <v>0</v>
      </c>
      <c r="BA483" s="286" t="n">
        <f aca="false">IFERROR(SUMIF($AO$4:$AZ$4, "RDEC", AO483:AZ483), "")</f>
        <v>0</v>
      </c>
      <c r="BB483" s="286" t="n">
        <f aca="false">IFERROR(SUMIF($AO$4:$AZ$4, "SME", AO483:AZ483), "")</f>
        <v>0</v>
      </c>
      <c r="BC483" s="286" t="n">
        <f aca="false">IFERROR(SUMIF($Y$4:$AJ$4, "De Minimis", AO483:AZ483), "")</f>
        <v>0</v>
      </c>
      <c r="BD483" s="287"/>
      <c r="BE483" s="288" t="str">
        <f aca="false">IF((SUM(L483:W483)&gt;1),"ERROR","")</f>
        <v/>
      </c>
    </row>
    <row r="484" customFormat="false" ht="15" hidden="false" customHeight="true" outlineLevel="0" collapsed="false">
      <c r="B484" s="333"/>
      <c r="C484" s="334"/>
      <c r="D484" s="333" t="n">
        <f aca="false">D468</f>
        <v>45627</v>
      </c>
      <c r="E484" s="277" t="n">
        <v>0</v>
      </c>
      <c r="F484" s="277" t="n">
        <v>0</v>
      </c>
      <c r="G484" s="277" t="n">
        <f aca="false">SUM(E484:F484)</f>
        <v>0</v>
      </c>
      <c r="H484" s="300"/>
      <c r="I484" s="289" t="n">
        <v>1</v>
      </c>
      <c r="J484" s="290" t="n">
        <f aca="false">1-I484</f>
        <v>0</v>
      </c>
      <c r="K484" s="300"/>
      <c r="L484" s="291"/>
      <c r="M484" s="291"/>
      <c r="N484" s="291"/>
      <c r="O484" s="291"/>
      <c r="P484" s="291"/>
      <c r="Q484" s="291"/>
      <c r="R484" s="291"/>
      <c r="S484" s="291"/>
      <c r="T484" s="291"/>
      <c r="U484" s="291"/>
      <c r="V484" s="291"/>
      <c r="W484" s="291"/>
      <c r="X484" s="283"/>
      <c r="Y484" s="284" t="n">
        <f aca="false">IFERROR(L484*$G484*I$9, "")</f>
        <v>0</v>
      </c>
      <c r="Z484" s="284" t="n">
        <f aca="false">IFERROR(M484*$G484*$I484, "")</f>
        <v>0</v>
      </c>
      <c r="AA484" s="284" t="n">
        <f aca="false">IFERROR(N484*$G484*$I484, "")</f>
        <v>0</v>
      </c>
      <c r="AB484" s="284" t="n">
        <f aca="false">IFERROR(O484*$G484*$I484, "")</f>
        <v>0</v>
      </c>
      <c r="AC484" s="284" t="n">
        <f aca="false">IFERROR(P484*$G484*$I484, "")</f>
        <v>0</v>
      </c>
      <c r="AD484" s="284" t="n">
        <f aca="false">IFERROR(Q484*$G484*$I484, "")</f>
        <v>0</v>
      </c>
      <c r="AE484" s="284" t="n">
        <f aca="false">IFERROR(R484*$G484*$I484, "")</f>
        <v>0</v>
      </c>
      <c r="AF484" s="284" t="n">
        <f aca="false">IFERROR(S484*$G484*$I484, "")</f>
        <v>0</v>
      </c>
      <c r="AG484" s="284" t="n">
        <f aca="false">IFERROR(T484*$G484*$I484, "")</f>
        <v>0</v>
      </c>
      <c r="AH484" s="284" t="n">
        <f aca="false">IFERROR(U484*$G484*$I484, "")</f>
        <v>0</v>
      </c>
      <c r="AI484" s="284" t="n">
        <f aca="false">IFERROR(V484*$G484*$I484, "")</f>
        <v>0</v>
      </c>
      <c r="AJ484" s="284" t="n">
        <f aca="false">IFERROR(W484*$G484*$I484, "")</f>
        <v>0</v>
      </c>
      <c r="AK484" s="294" t="n">
        <f aca="false">IFERROR(SUMIF($Y$4:$AJ$4, "RDEC", Y484:AJ484), "")</f>
        <v>0</v>
      </c>
      <c r="AL484" s="294" t="n">
        <f aca="false">IFERROR(SUMIF($Y$4:$AJ$4, "SME", Y484:AJ484), "")</f>
        <v>0</v>
      </c>
      <c r="AM484" s="294" t="n">
        <f aca="false">IFERROR(SUMIF($Y$4:$AJ$4, "De Minimis", Y484:AJ484), "")</f>
        <v>0</v>
      </c>
      <c r="AN484" s="283"/>
      <c r="AO484" s="284" t="n">
        <f aca="false">IFERROR($G484*$J484*L484, "")</f>
        <v>0</v>
      </c>
      <c r="AP484" s="284" t="n">
        <f aca="false">IFERROR($G484*$J484*M484, "")</f>
        <v>0</v>
      </c>
      <c r="AQ484" s="284" t="n">
        <f aca="false">IFERROR($G484*$J484*N484, "")</f>
        <v>0</v>
      </c>
      <c r="AR484" s="284" t="n">
        <f aca="false">IFERROR($G484*$J484*O484, "")</f>
        <v>0</v>
      </c>
      <c r="AS484" s="284" t="n">
        <f aca="false">IFERROR($G484*$J484*P484, "")</f>
        <v>0</v>
      </c>
      <c r="AT484" s="284" t="n">
        <f aca="false">IFERROR($G484*$J484*Q484, "")</f>
        <v>0</v>
      </c>
      <c r="AU484" s="284" t="n">
        <f aca="false">IFERROR($G484*$J484*R484, "")</f>
        <v>0</v>
      </c>
      <c r="AV484" s="284" t="n">
        <f aca="false">IFERROR($G484*$J484*S484, "")</f>
        <v>0</v>
      </c>
      <c r="AW484" s="284" t="n">
        <f aca="false">IFERROR($G484*$J484*T484, "")</f>
        <v>0</v>
      </c>
      <c r="AX484" s="284" t="n">
        <f aca="false">IFERROR($G484*$J484*U484, "")</f>
        <v>0</v>
      </c>
      <c r="AY484" s="284" t="n">
        <f aca="false">IFERROR($G484*$J484*V484, "")</f>
        <v>0</v>
      </c>
      <c r="AZ484" s="284" t="n">
        <f aca="false">IFERROR($G484*$J484*W484, "")</f>
        <v>0</v>
      </c>
      <c r="BA484" s="286" t="n">
        <f aca="false">IFERROR(SUMIF($AO$4:$AZ$4, "RDEC", AO484:AZ484), "")</f>
        <v>0</v>
      </c>
      <c r="BB484" s="286" t="n">
        <f aca="false">IFERROR(SUMIF($AO$4:$AZ$4, "SME", AO484:AZ484), "")</f>
        <v>0</v>
      </c>
      <c r="BC484" s="294" t="n">
        <f aca="false">IFERROR(SUMIF($Y$4:$AJ$4, "De Minimis", AO484:AZ484), "")</f>
        <v>0</v>
      </c>
      <c r="BD484" s="303"/>
      <c r="BE484" s="295" t="str">
        <f aca="false">IF((SUM(L484:W484)&gt;1),"ERROR","")</f>
        <v/>
      </c>
    </row>
    <row r="485" customFormat="false" ht="15" hidden="false" customHeight="true" outlineLevel="0" collapsed="false">
      <c r="B485" s="296"/>
      <c r="D485" s="297" t="s">
        <v>82</v>
      </c>
      <c r="E485" s="299" t="n">
        <f aca="false">SUM(E473:E484)</f>
        <v>0</v>
      </c>
      <c r="F485" s="299" t="n">
        <f aca="false">SUM(F473:F484)</f>
        <v>0</v>
      </c>
      <c r="G485" s="299" t="n">
        <f aca="false">SUM(G473:G484)</f>
        <v>0</v>
      </c>
      <c r="H485" s="300"/>
      <c r="I485" s="301" t="n">
        <f aca="false">AVERAGE(I473:I484)</f>
        <v>1</v>
      </c>
      <c r="J485" s="301" t="n">
        <f aca="false">AVERAGE(J473:J484)</f>
        <v>0</v>
      </c>
      <c r="K485" s="300"/>
      <c r="L485" s="290" t="n">
        <f aca="false">IF(SUM(L473:L484)&gt;0,(Y485/G485),0)</f>
        <v>0</v>
      </c>
      <c r="M485" s="301" t="n">
        <f aca="false">IF(SUM(M473:M484)&gt;0,(Z485/G485),0)</f>
        <v>0</v>
      </c>
      <c r="N485" s="301" t="n">
        <f aca="false">IF(SUM(N473:N484)&gt;0,(AA485/G485),0)</f>
        <v>0</v>
      </c>
      <c r="O485" s="301" t="n">
        <f aca="false">IF(SUM(O473:O484)&gt;0,(AB485/G485),0)</f>
        <v>0</v>
      </c>
      <c r="P485" s="301" t="n">
        <f aca="false">IF(SUM(P473:P484)&gt;0,(AC485/G485),0)</f>
        <v>0</v>
      </c>
      <c r="Q485" s="301" t="n">
        <f aca="false">IF(SUM(Q473:Q484)&gt;0,(AD485/G485),0)</f>
        <v>0</v>
      </c>
      <c r="R485" s="301" t="n">
        <f aca="false">IF(SUM(R473:R484)&gt;0,(AE485/G485),0)</f>
        <v>0</v>
      </c>
      <c r="S485" s="301" t="n">
        <f aca="false">IF(SUM(S473:S484)&gt;0,(AF485/G485),0)</f>
        <v>0</v>
      </c>
      <c r="T485" s="301" t="n">
        <f aca="false">IF(SUM(T473:T484)&gt;0,(AG485/G485),0)</f>
        <v>0</v>
      </c>
      <c r="U485" s="301" t="n">
        <f aca="false">IF(SUM(U473:U484)&gt;0,(AJ485/G485),0)</f>
        <v>0</v>
      </c>
      <c r="V485" s="301" t="n">
        <f aca="false">IF(SUM(V473:V484)&gt;0,(AI485/G485),0)</f>
        <v>0</v>
      </c>
      <c r="W485" s="301" t="n">
        <f aca="false">IF(SUM(W473:W484)&gt;0,(AJ485/G485),0)</f>
        <v>0</v>
      </c>
      <c r="X485" s="283"/>
      <c r="Y485" s="304" t="n">
        <f aca="false">SUM(Y473:Y484)</f>
        <v>0</v>
      </c>
      <c r="Z485" s="304" t="n">
        <f aca="false">SUM(Z473:Z484)</f>
        <v>0</v>
      </c>
      <c r="AA485" s="304" t="n">
        <f aca="false">SUM(AA473:AA484)</f>
        <v>0</v>
      </c>
      <c r="AB485" s="304" t="n">
        <f aca="false">SUM(AB473:AB484)</f>
        <v>0</v>
      </c>
      <c r="AC485" s="304" t="n">
        <f aca="false">SUM(AC473:AC484)</f>
        <v>0</v>
      </c>
      <c r="AD485" s="304" t="n">
        <f aca="false">SUM(AD473:AD484)</f>
        <v>0</v>
      </c>
      <c r="AE485" s="304" t="n">
        <f aca="false">SUM(AE473:AE484)</f>
        <v>0</v>
      </c>
      <c r="AF485" s="304" t="n">
        <f aca="false">SUM(AF473:AF484)</f>
        <v>0</v>
      </c>
      <c r="AG485" s="304" t="n">
        <f aca="false">SUM(AG473:AG484)</f>
        <v>0</v>
      </c>
      <c r="AH485" s="304" t="n">
        <f aca="false">SUM(AH473:AH484)</f>
        <v>0</v>
      </c>
      <c r="AI485" s="304" t="n">
        <f aca="false">SUM(AI473:AI484)</f>
        <v>0</v>
      </c>
      <c r="AJ485" s="304" t="n">
        <f aca="false">SUM(AJ473:AJ484)</f>
        <v>0</v>
      </c>
      <c r="AK485" s="335" t="n">
        <f aca="false">SUM(AK473:AK484)</f>
        <v>0</v>
      </c>
      <c r="AL485" s="336" t="n">
        <f aca="false">SUM(AL473:AL484)</f>
        <v>0</v>
      </c>
      <c r="AM485" s="305" t="n">
        <f aca="false">SUM(AM473:AM484)</f>
        <v>0</v>
      </c>
      <c r="AN485" s="283"/>
      <c r="AO485" s="304" t="n">
        <f aca="false">SUM(AO473:AO484)</f>
        <v>0</v>
      </c>
      <c r="AP485" s="304" t="n">
        <f aca="false">SUM(AP473:AP484)</f>
        <v>0</v>
      </c>
      <c r="AQ485" s="304" t="n">
        <f aca="false">SUM(AQ473:AQ484)</f>
        <v>0</v>
      </c>
      <c r="AR485" s="304" t="n">
        <f aca="false">SUM(AR473:AR484)</f>
        <v>0</v>
      </c>
      <c r="AS485" s="304" t="n">
        <f aca="false">SUM(AS473:AS484)</f>
        <v>0</v>
      </c>
      <c r="AT485" s="304" t="n">
        <f aca="false">SUM(AT473:AT484)</f>
        <v>0</v>
      </c>
      <c r="AU485" s="304" t="n">
        <f aca="false">SUM(AU473:AU484)</f>
        <v>0</v>
      </c>
      <c r="AV485" s="304" t="n">
        <f aca="false">SUM(AV473:AV484)</f>
        <v>0</v>
      </c>
      <c r="AW485" s="304" t="n">
        <f aca="false">SUM(AW473:AW484)</f>
        <v>0</v>
      </c>
      <c r="AX485" s="304" t="n">
        <f aca="false">SUM(AX473:AX484)</f>
        <v>0</v>
      </c>
      <c r="AY485" s="304" t="n">
        <f aca="false">SUM(AY473:AY484)</f>
        <v>0</v>
      </c>
      <c r="AZ485" s="304" t="n">
        <f aca="false">SUM(AZ473:AZ484)</f>
        <v>0</v>
      </c>
      <c r="BA485" s="336" t="n">
        <f aca="false">SUM(BA473:BA484)</f>
        <v>0</v>
      </c>
      <c r="BB485" s="336" t="n">
        <f aca="false">SUM(BB473:BB484)</f>
        <v>0</v>
      </c>
      <c r="BC485" s="305" t="n">
        <f aca="false">SUM(BC473:BC484)</f>
        <v>0</v>
      </c>
      <c r="BD485" s="303"/>
      <c r="BE485" s="337"/>
    </row>
    <row r="486" customFormat="false" ht="15" hidden="false" customHeight="true" outlineLevel="0" collapsed="false">
      <c r="B486" s="296"/>
      <c r="D486" s="297"/>
      <c r="E486" s="300"/>
      <c r="F486" s="300"/>
      <c r="G486" s="300"/>
      <c r="H486" s="241"/>
      <c r="I486" s="302"/>
      <c r="J486" s="302"/>
      <c r="K486" s="241"/>
      <c r="L486" s="259"/>
      <c r="M486" s="259"/>
      <c r="N486" s="259"/>
      <c r="O486" s="259"/>
      <c r="P486" s="259"/>
      <c r="Q486" s="259"/>
      <c r="R486" s="259"/>
      <c r="S486" s="259"/>
      <c r="T486" s="259"/>
      <c r="U486" s="259"/>
      <c r="V486" s="259"/>
      <c r="W486" s="259"/>
      <c r="X486" s="303"/>
      <c r="Y486" s="259"/>
      <c r="Z486" s="303"/>
      <c r="AA486" s="303"/>
      <c r="AB486" s="303"/>
      <c r="AC486" s="303"/>
      <c r="AD486" s="303"/>
      <c r="AE486" s="303"/>
      <c r="AF486" s="303"/>
      <c r="AG486" s="303"/>
      <c r="AH486" s="303"/>
      <c r="AI486" s="303"/>
      <c r="AJ486" s="303"/>
      <c r="AK486" s="303"/>
      <c r="AL486" s="303"/>
      <c r="AM486" s="303"/>
      <c r="AN486" s="303"/>
      <c r="AO486" s="259"/>
      <c r="AP486" s="303"/>
      <c r="AQ486" s="303"/>
      <c r="AR486" s="303"/>
      <c r="AS486" s="303"/>
      <c r="AT486" s="303"/>
      <c r="AU486" s="303"/>
      <c r="AV486" s="303"/>
      <c r="AW486" s="303"/>
      <c r="AX486" s="303"/>
      <c r="AY486" s="303"/>
      <c r="AZ486" s="303"/>
      <c r="BA486" s="303"/>
      <c r="BB486" s="303"/>
      <c r="BC486" s="303"/>
      <c r="BD486" s="268"/>
      <c r="BE486" s="303"/>
    </row>
    <row r="487" customFormat="false" ht="15" hidden="false" customHeight="true" outlineLevel="0" collapsed="false">
      <c r="A487" s="198" t="n">
        <f aca="false">A471+1</f>
        <v>31</v>
      </c>
      <c r="B487" s="266" t="s">
        <v>253</v>
      </c>
      <c r="C487" s="266" t="s">
        <v>253</v>
      </c>
      <c r="D487" s="266"/>
      <c r="E487" s="241"/>
      <c r="F487" s="241"/>
      <c r="G487" s="241"/>
      <c r="H487" s="241"/>
      <c r="I487" s="241"/>
      <c r="J487" s="241"/>
      <c r="K487" s="277"/>
      <c r="L487" s="241"/>
      <c r="M487" s="241"/>
      <c r="N487" s="241"/>
      <c r="O487" s="241"/>
      <c r="P487" s="241"/>
      <c r="Q487" s="241"/>
      <c r="R487" s="241"/>
      <c r="S487" s="241"/>
      <c r="T487" s="241"/>
      <c r="U487" s="241"/>
      <c r="V487" s="241"/>
      <c r="W487" s="241"/>
      <c r="X487" s="259"/>
      <c r="Y487" s="268"/>
      <c r="Z487" s="268"/>
      <c r="AA487" s="268"/>
      <c r="AB487" s="268"/>
      <c r="AC487" s="268"/>
      <c r="AD487" s="268"/>
      <c r="AE487" s="268"/>
      <c r="AF487" s="268"/>
      <c r="AG487" s="268"/>
      <c r="AH487" s="268"/>
      <c r="AI487" s="268"/>
      <c r="AJ487" s="268"/>
      <c r="AK487" s="268"/>
      <c r="AL487" s="268"/>
      <c r="AM487" s="268"/>
      <c r="AN487" s="259"/>
      <c r="AO487" s="268"/>
      <c r="AP487" s="268"/>
      <c r="AQ487" s="268"/>
      <c r="AR487" s="268"/>
      <c r="AS487" s="268"/>
      <c r="AT487" s="268"/>
      <c r="AU487" s="268"/>
      <c r="AV487" s="268"/>
      <c r="AW487" s="268"/>
      <c r="AX487" s="268"/>
      <c r="AY487" s="268"/>
      <c r="AZ487" s="268"/>
      <c r="BA487" s="268"/>
      <c r="BB487" s="268"/>
      <c r="BC487" s="268"/>
      <c r="BD487" s="287"/>
      <c r="BE487" s="268"/>
    </row>
    <row r="488" customFormat="false" ht="7.5" hidden="false" customHeight="true" outlineLevel="0" collapsed="false">
      <c r="A488" s="198"/>
      <c r="B488" s="266"/>
      <c r="C488" s="266"/>
      <c r="D488" s="266"/>
      <c r="E488" s="241"/>
      <c r="F488" s="241"/>
      <c r="G488" s="241"/>
      <c r="H488" s="204"/>
      <c r="I488" s="269"/>
      <c r="J488" s="269"/>
      <c r="K488" s="277"/>
      <c r="L488" s="269"/>
      <c r="M488" s="269"/>
      <c r="N488" s="269"/>
      <c r="O488" s="269"/>
      <c r="P488" s="269"/>
      <c r="Q488" s="269"/>
      <c r="R488" s="269"/>
      <c r="S488" s="269"/>
      <c r="T488" s="269"/>
      <c r="U488" s="269"/>
      <c r="V488" s="269"/>
      <c r="W488" s="269"/>
      <c r="X488" s="259"/>
      <c r="Y488" s="271"/>
      <c r="Z488" s="271"/>
      <c r="AA488" s="271"/>
      <c r="AB488" s="271"/>
      <c r="AC488" s="271"/>
      <c r="AD488" s="271"/>
      <c r="AE488" s="271"/>
      <c r="AF488" s="271"/>
      <c r="AG488" s="271"/>
      <c r="AH488" s="271"/>
      <c r="AI488" s="271"/>
      <c r="AJ488" s="272"/>
      <c r="AK488" s="273"/>
      <c r="AL488" s="273"/>
      <c r="AM488" s="273"/>
      <c r="AN488" s="259"/>
      <c r="AO488" s="271"/>
      <c r="AP488" s="271"/>
      <c r="AQ488" s="271"/>
      <c r="AR488" s="271"/>
      <c r="AS488" s="271"/>
      <c r="AT488" s="271"/>
      <c r="AU488" s="271"/>
      <c r="AV488" s="271"/>
      <c r="AW488" s="271"/>
      <c r="AX488" s="271"/>
      <c r="AY488" s="271"/>
      <c r="AZ488" s="272"/>
      <c r="BA488" s="273"/>
      <c r="BB488" s="273"/>
      <c r="BC488" s="273"/>
      <c r="BD488" s="287"/>
      <c r="BE488" s="274"/>
    </row>
    <row r="489" customFormat="false" ht="15" hidden="false" customHeight="true" outlineLevel="0" collapsed="false">
      <c r="B489" s="333"/>
      <c r="C489" s="334"/>
      <c r="D489" s="333" t="n">
        <f aca="false">D473</f>
        <v>45292</v>
      </c>
      <c r="E489" s="277" t="n">
        <v>0</v>
      </c>
      <c r="F489" s="277" t="n">
        <v>0</v>
      </c>
      <c r="G489" s="277" t="n">
        <f aca="false">SUM(E489:F489)</f>
        <v>0</v>
      </c>
      <c r="H489" s="204"/>
      <c r="I489" s="279" t="n">
        <v>1</v>
      </c>
      <c r="J489" s="280" t="n">
        <f aca="false">1-I489</f>
        <v>0</v>
      </c>
      <c r="K489" s="277"/>
      <c r="L489" s="282"/>
      <c r="M489" s="282"/>
      <c r="N489" s="282"/>
      <c r="O489" s="282"/>
      <c r="P489" s="282"/>
      <c r="Q489" s="282"/>
      <c r="R489" s="282"/>
      <c r="S489" s="282"/>
      <c r="T489" s="282"/>
      <c r="U489" s="282"/>
      <c r="V489" s="282"/>
      <c r="W489" s="282"/>
      <c r="X489" s="268"/>
      <c r="Y489" s="284" t="n">
        <f aca="false">IFERROR(L489*$G489*I$9, "")</f>
        <v>0</v>
      </c>
      <c r="Z489" s="284" t="n">
        <f aca="false">IFERROR(M489*$G489*$I489, "")</f>
        <v>0</v>
      </c>
      <c r="AA489" s="284" t="n">
        <f aca="false">IFERROR(N489*$G489*$I489, "")</f>
        <v>0</v>
      </c>
      <c r="AB489" s="284" t="n">
        <f aca="false">IFERROR(O489*$G489*$I489, "")</f>
        <v>0</v>
      </c>
      <c r="AC489" s="284" t="n">
        <f aca="false">IFERROR(P489*$G489*$I489, "")</f>
        <v>0</v>
      </c>
      <c r="AD489" s="284" t="n">
        <f aca="false">IFERROR(Q489*$G489*$I489, "")</f>
        <v>0</v>
      </c>
      <c r="AE489" s="284" t="n">
        <f aca="false">IFERROR(R489*$G489*$I489, "")</f>
        <v>0</v>
      </c>
      <c r="AF489" s="284" t="n">
        <f aca="false">IFERROR(S489*$G489*$I489, "")</f>
        <v>0</v>
      </c>
      <c r="AG489" s="284" t="n">
        <f aca="false">IFERROR(T489*$G489*$I489, "")</f>
        <v>0</v>
      </c>
      <c r="AH489" s="284" t="n">
        <f aca="false">IFERROR(U489*$G489*$I489, "")</f>
        <v>0</v>
      </c>
      <c r="AI489" s="284" t="n">
        <f aca="false">IFERROR(V489*$G489*$I489, "")</f>
        <v>0</v>
      </c>
      <c r="AJ489" s="284" t="n">
        <f aca="false">IFERROR(W489*$G489*$I489, "")</f>
        <v>0</v>
      </c>
      <c r="AK489" s="286" t="n">
        <f aca="false">IFERROR(SUMIF($Y$4:$AJ$4, "RDEC", Y489:AJ489), "")</f>
        <v>0</v>
      </c>
      <c r="AL489" s="286" t="n">
        <f aca="false">IFERROR(SUMIF($Y$4:$AJ$4, "SME", Y489:AJ489), "")</f>
        <v>0</v>
      </c>
      <c r="AM489" s="286" t="n">
        <f aca="false">IFERROR(SUMIF($Y$4:$AJ$4, "De Minimis", Y489:AJ489), "")</f>
        <v>0</v>
      </c>
      <c r="AN489" s="268"/>
      <c r="AO489" s="284" t="n">
        <f aca="false">IFERROR($G489*$J489*L489, "")</f>
        <v>0</v>
      </c>
      <c r="AP489" s="284" t="n">
        <f aca="false">IFERROR($G489*$J489*M489, "")</f>
        <v>0</v>
      </c>
      <c r="AQ489" s="284" t="n">
        <f aca="false">IFERROR($G489*$J489*N489, "")</f>
        <v>0</v>
      </c>
      <c r="AR489" s="284" t="n">
        <f aca="false">IFERROR($G489*$J489*O489, "")</f>
        <v>0</v>
      </c>
      <c r="AS489" s="284" t="n">
        <f aca="false">IFERROR($G489*$J489*P489, "")</f>
        <v>0</v>
      </c>
      <c r="AT489" s="284" t="n">
        <f aca="false">IFERROR($G489*$J489*Q489, "")</f>
        <v>0</v>
      </c>
      <c r="AU489" s="284" t="n">
        <f aca="false">IFERROR($G489*$J489*R489, "")</f>
        <v>0</v>
      </c>
      <c r="AV489" s="284" t="n">
        <f aca="false">IFERROR($G489*$J489*S489, "")</f>
        <v>0</v>
      </c>
      <c r="AW489" s="284" t="n">
        <f aca="false">IFERROR($G489*$J489*T489, "")</f>
        <v>0</v>
      </c>
      <c r="AX489" s="284" t="n">
        <f aca="false">IFERROR($G489*$J489*U489, "")</f>
        <v>0</v>
      </c>
      <c r="AY489" s="284" t="n">
        <f aca="false">IFERROR($G489*$J489*V489, "")</f>
        <v>0</v>
      </c>
      <c r="AZ489" s="284" t="n">
        <f aca="false">IFERROR($G489*$J489*W489, "")</f>
        <v>0</v>
      </c>
      <c r="BA489" s="286" t="n">
        <f aca="false">IFERROR(SUMIF($AO$4:$AZ$4, "RDEC", AO489:AZ489), "")</f>
        <v>0</v>
      </c>
      <c r="BB489" s="286" t="n">
        <f aca="false">IFERROR(SUMIF($AO$4:$AZ$4, "SME", AO489:AZ489), "")</f>
        <v>0</v>
      </c>
      <c r="BC489" s="286" t="n">
        <f aca="false">IFERROR(SUMIF($AO$4:$AZ$4, "De Minimis", AO489:AZ489), "")</f>
        <v>0</v>
      </c>
      <c r="BD489" s="287"/>
      <c r="BE489" s="288" t="str">
        <f aca="false">IF((SUM(L489:W489)&gt;1),"ERROR","")</f>
        <v/>
      </c>
    </row>
    <row r="490" customFormat="false" ht="15" hidden="false" customHeight="true" outlineLevel="0" collapsed="false">
      <c r="B490" s="333"/>
      <c r="C490" s="334"/>
      <c r="D490" s="333" t="n">
        <f aca="false">D474</f>
        <v>45323</v>
      </c>
      <c r="E490" s="277" t="n">
        <v>0</v>
      </c>
      <c r="F490" s="277" t="n">
        <v>0</v>
      </c>
      <c r="G490" s="277" t="n">
        <f aca="false">SUM(E490:F490)</f>
        <v>0</v>
      </c>
      <c r="H490" s="204"/>
      <c r="I490" s="279" t="n">
        <v>1</v>
      </c>
      <c r="J490" s="280" t="n">
        <f aca="false">1-I490</f>
        <v>0</v>
      </c>
      <c r="K490" s="277"/>
      <c r="L490" s="282"/>
      <c r="M490" s="282"/>
      <c r="N490" s="282"/>
      <c r="O490" s="282"/>
      <c r="P490" s="282"/>
      <c r="Q490" s="282"/>
      <c r="R490" s="282"/>
      <c r="S490" s="282"/>
      <c r="T490" s="282"/>
      <c r="U490" s="282"/>
      <c r="V490" s="282"/>
      <c r="W490" s="282"/>
      <c r="X490" s="283"/>
      <c r="Y490" s="284" t="n">
        <f aca="false">IFERROR(L490*$G490*I$9, "")</f>
        <v>0</v>
      </c>
      <c r="Z490" s="284" t="n">
        <f aca="false">IFERROR(M490*$G490*$I490, "")</f>
        <v>0</v>
      </c>
      <c r="AA490" s="284" t="n">
        <f aca="false">IFERROR(N490*$G490*$I490, "")</f>
        <v>0</v>
      </c>
      <c r="AB490" s="284" t="n">
        <f aca="false">IFERROR(O490*$G490*$I490, "")</f>
        <v>0</v>
      </c>
      <c r="AC490" s="284" t="n">
        <f aca="false">IFERROR(P490*$G490*$I490, "")</f>
        <v>0</v>
      </c>
      <c r="AD490" s="284" t="n">
        <f aca="false">IFERROR(Q490*$G490*$I490, "")</f>
        <v>0</v>
      </c>
      <c r="AE490" s="284" t="n">
        <f aca="false">IFERROR(R490*$G490*$I490, "")</f>
        <v>0</v>
      </c>
      <c r="AF490" s="284" t="n">
        <f aca="false">IFERROR(S490*$G490*$I490, "")</f>
        <v>0</v>
      </c>
      <c r="AG490" s="284" t="n">
        <f aca="false">IFERROR(T490*$G490*$I490, "")</f>
        <v>0</v>
      </c>
      <c r="AH490" s="284" t="n">
        <f aca="false">IFERROR(U490*$G490*$I490, "")</f>
        <v>0</v>
      </c>
      <c r="AI490" s="284" t="n">
        <f aca="false">IFERROR(V490*$G490*$I490, "")</f>
        <v>0</v>
      </c>
      <c r="AJ490" s="284" t="n">
        <f aca="false">IFERROR(W490*$G490*$I490, "")</f>
        <v>0</v>
      </c>
      <c r="AK490" s="286" t="n">
        <f aca="false">IFERROR(SUMIF($Y$4:$AJ$4, "RDEC", Y490:AJ490), "")</f>
        <v>0</v>
      </c>
      <c r="AL490" s="286" t="n">
        <f aca="false">IFERROR(SUMIF($Y$4:$AJ$4, "SME", Y490:AJ490), "")</f>
        <v>0</v>
      </c>
      <c r="AM490" s="286" t="n">
        <f aca="false">IFERROR(SUMIF($Y$4:$AJ$4, "De Minimis", Y490:AJ490), "")</f>
        <v>0</v>
      </c>
      <c r="AN490" s="283"/>
      <c r="AO490" s="284" t="n">
        <f aca="false">IFERROR($G490*$J490*L490, "")</f>
        <v>0</v>
      </c>
      <c r="AP490" s="284" t="n">
        <f aca="false">IFERROR($G490*$J490*M490, "")</f>
        <v>0</v>
      </c>
      <c r="AQ490" s="284" t="n">
        <f aca="false">IFERROR($G490*$J490*N490, "")</f>
        <v>0</v>
      </c>
      <c r="AR490" s="284" t="n">
        <f aca="false">IFERROR($G490*$J490*O490, "")</f>
        <v>0</v>
      </c>
      <c r="AS490" s="284" t="n">
        <f aca="false">IFERROR($G490*$J490*P490, "")</f>
        <v>0</v>
      </c>
      <c r="AT490" s="284" t="n">
        <f aca="false">IFERROR($G490*$J490*Q490, "")</f>
        <v>0</v>
      </c>
      <c r="AU490" s="284" t="n">
        <f aca="false">IFERROR($G490*$J490*R490, "")</f>
        <v>0</v>
      </c>
      <c r="AV490" s="284" t="n">
        <f aca="false">IFERROR($G490*$J490*S490, "")</f>
        <v>0</v>
      </c>
      <c r="AW490" s="284" t="n">
        <f aca="false">IFERROR($G490*$J490*T490, "")</f>
        <v>0</v>
      </c>
      <c r="AX490" s="284" t="n">
        <f aca="false">IFERROR($G490*$J490*U490, "")</f>
        <v>0</v>
      </c>
      <c r="AY490" s="284" t="n">
        <f aca="false">IFERROR($G490*$J490*V490, "")</f>
        <v>0</v>
      </c>
      <c r="AZ490" s="284" t="n">
        <f aca="false">IFERROR($G490*$J490*W490, "")</f>
        <v>0</v>
      </c>
      <c r="BA490" s="286" t="n">
        <f aca="false">IFERROR(SUMIF($AO$4:$AZ$4, "RDEC", AO490:AZ490), "")</f>
        <v>0</v>
      </c>
      <c r="BB490" s="286" t="n">
        <f aca="false">IFERROR(SUMIF($AO$4:$AZ$4, "SME", AO490:AZ490), "")</f>
        <v>0</v>
      </c>
      <c r="BC490" s="286" t="n">
        <f aca="false">IFERROR(SUMIF($Y$4:$AJ$4, "De Minimis", AO490:AZ490), "")</f>
        <v>0</v>
      </c>
      <c r="BD490" s="287"/>
      <c r="BE490" s="288" t="str">
        <f aca="false">IF((SUM(L490:W490)&gt;1),"ERROR","")</f>
        <v/>
      </c>
    </row>
    <row r="491" customFormat="false" ht="15" hidden="false" customHeight="true" outlineLevel="0" collapsed="false">
      <c r="B491" s="333"/>
      <c r="C491" s="334"/>
      <c r="D491" s="333" t="n">
        <f aca="false">D475</f>
        <v>45352</v>
      </c>
      <c r="E491" s="277" t="n">
        <v>0</v>
      </c>
      <c r="F491" s="277" t="n">
        <v>0</v>
      </c>
      <c r="G491" s="277" t="n">
        <f aca="false">SUM(E491:F491)</f>
        <v>0</v>
      </c>
      <c r="H491" s="204"/>
      <c r="I491" s="279" t="n">
        <v>1</v>
      </c>
      <c r="J491" s="280" t="n">
        <f aca="false">1-I491</f>
        <v>0</v>
      </c>
      <c r="K491" s="277"/>
      <c r="L491" s="282"/>
      <c r="M491" s="282"/>
      <c r="N491" s="282"/>
      <c r="O491" s="282"/>
      <c r="P491" s="282"/>
      <c r="Q491" s="282"/>
      <c r="R491" s="282"/>
      <c r="S491" s="282"/>
      <c r="T491" s="282"/>
      <c r="U491" s="282"/>
      <c r="V491" s="282"/>
      <c r="W491" s="282"/>
      <c r="X491" s="283"/>
      <c r="Y491" s="284" t="n">
        <f aca="false">IFERROR(L491*$G491*I$9, "")</f>
        <v>0</v>
      </c>
      <c r="Z491" s="284" t="n">
        <f aca="false">IFERROR(M491*$G491*$I491, "")</f>
        <v>0</v>
      </c>
      <c r="AA491" s="284" t="n">
        <f aca="false">IFERROR(N491*$G491*$I491, "")</f>
        <v>0</v>
      </c>
      <c r="AB491" s="284" t="n">
        <f aca="false">IFERROR(O491*$G491*$I491, "")</f>
        <v>0</v>
      </c>
      <c r="AC491" s="284" t="n">
        <f aca="false">IFERROR(P491*$G491*$I491, "")</f>
        <v>0</v>
      </c>
      <c r="AD491" s="284" t="n">
        <f aca="false">IFERROR(Q491*$G491*$I491, "")</f>
        <v>0</v>
      </c>
      <c r="AE491" s="284" t="n">
        <f aca="false">IFERROR(R491*$G491*$I491, "")</f>
        <v>0</v>
      </c>
      <c r="AF491" s="284" t="n">
        <f aca="false">IFERROR(S491*$G491*$I491, "")</f>
        <v>0</v>
      </c>
      <c r="AG491" s="284" t="n">
        <f aca="false">IFERROR(T491*$G491*$I491, "")</f>
        <v>0</v>
      </c>
      <c r="AH491" s="284" t="n">
        <f aca="false">IFERROR(U491*$G491*$I491, "")</f>
        <v>0</v>
      </c>
      <c r="AI491" s="284" t="n">
        <f aca="false">IFERROR(V491*$G491*$I491, "")</f>
        <v>0</v>
      </c>
      <c r="AJ491" s="284" t="n">
        <f aca="false">IFERROR(W491*$G491*$I491, "")</f>
        <v>0</v>
      </c>
      <c r="AK491" s="286" t="n">
        <f aca="false">IFERROR(SUMIF($Y$4:$AJ$4, "RDEC", Y491:AJ491), "")</f>
        <v>0</v>
      </c>
      <c r="AL491" s="286" t="n">
        <f aca="false">IFERROR(SUMIF($Y$4:$AJ$4, "SME", Y491:AJ491), "")</f>
        <v>0</v>
      </c>
      <c r="AM491" s="286" t="n">
        <f aca="false">IFERROR(SUMIF($Y$4:$AJ$4, "De Minimis", Y491:AJ491), "")</f>
        <v>0</v>
      </c>
      <c r="AN491" s="283"/>
      <c r="AO491" s="284" t="n">
        <f aca="false">IFERROR($G491*$J491*L491, "")</f>
        <v>0</v>
      </c>
      <c r="AP491" s="284" t="n">
        <f aca="false">IFERROR($G491*$J491*M491, "")</f>
        <v>0</v>
      </c>
      <c r="AQ491" s="284" t="n">
        <f aca="false">IFERROR($G491*$J491*N491, "")</f>
        <v>0</v>
      </c>
      <c r="AR491" s="284" t="n">
        <f aca="false">IFERROR($G491*$J491*O491, "")</f>
        <v>0</v>
      </c>
      <c r="AS491" s="284" t="n">
        <f aca="false">IFERROR($G491*$J491*P491, "")</f>
        <v>0</v>
      </c>
      <c r="AT491" s="284" t="n">
        <f aca="false">IFERROR($G491*$J491*Q491, "")</f>
        <v>0</v>
      </c>
      <c r="AU491" s="284" t="n">
        <f aca="false">IFERROR($G491*$J491*R491, "")</f>
        <v>0</v>
      </c>
      <c r="AV491" s="284" t="n">
        <f aca="false">IFERROR($G491*$J491*S491, "")</f>
        <v>0</v>
      </c>
      <c r="AW491" s="284" t="n">
        <f aca="false">IFERROR($G491*$J491*T491, "")</f>
        <v>0</v>
      </c>
      <c r="AX491" s="284" t="n">
        <f aca="false">IFERROR($G491*$J491*U491, "")</f>
        <v>0</v>
      </c>
      <c r="AY491" s="284" t="n">
        <f aca="false">IFERROR($G491*$J491*V491, "")</f>
        <v>0</v>
      </c>
      <c r="AZ491" s="284" t="n">
        <f aca="false">IFERROR($G491*$J491*W491, "")</f>
        <v>0</v>
      </c>
      <c r="BA491" s="286" t="n">
        <f aca="false">IFERROR(SUMIF($AO$4:$AZ$4, "RDEC", AO491:AZ491), "")</f>
        <v>0</v>
      </c>
      <c r="BB491" s="286" t="n">
        <f aca="false">IFERROR(SUMIF($AO$4:$AZ$4, "SME", AO491:AZ491), "")</f>
        <v>0</v>
      </c>
      <c r="BC491" s="286" t="n">
        <f aca="false">IFERROR(SUMIF($Y$4:$AJ$4, "De Minimis", AO491:AZ491), "")</f>
        <v>0</v>
      </c>
      <c r="BD491" s="287"/>
      <c r="BE491" s="288" t="str">
        <f aca="false">IF((SUM(L491:W491)&gt;1),"ERROR","")</f>
        <v/>
      </c>
    </row>
    <row r="492" customFormat="false" ht="15" hidden="false" customHeight="true" outlineLevel="0" collapsed="false">
      <c r="B492" s="333"/>
      <c r="C492" s="334"/>
      <c r="D492" s="333" t="n">
        <f aca="false">D476</f>
        <v>45383</v>
      </c>
      <c r="E492" s="277" t="n">
        <v>0</v>
      </c>
      <c r="F492" s="277" t="n">
        <v>0</v>
      </c>
      <c r="G492" s="277" t="n">
        <f aca="false">SUM(E492:F492)</f>
        <v>0</v>
      </c>
      <c r="H492" s="204"/>
      <c r="I492" s="279" t="n">
        <v>1</v>
      </c>
      <c r="J492" s="280" t="n">
        <f aca="false">1-I492</f>
        <v>0</v>
      </c>
      <c r="K492" s="277"/>
      <c r="L492" s="282"/>
      <c r="M492" s="282"/>
      <c r="N492" s="282"/>
      <c r="O492" s="282"/>
      <c r="P492" s="282"/>
      <c r="Q492" s="282"/>
      <c r="R492" s="282"/>
      <c r="S492" s="282"/>
      <c r="T492" s="282"/>
      <c r="U492" s="282"/>
      <c r="V492" s="282"/>
      <c r="W492" s="282"/>
      <c r="X492" s="283"/>
      <c r="Y492" s="284" t="n">
        <f aca="false">IFERROR(L492*$G492*I$9, "")</f>
        <v>0</v>
      </c>
      <c r="Z492" s="284" t="n">
        <f aca="false">IFERROR(M492*$G492*$I492, "")</f>
        <v>0</v>
      </c>
      <c r="AA492" s="284" t="n">
        <f aca="false">IFERROR(N492*$G492*$I492, "")</f>
        <v>0</v>
      </c>
      <c r="AB492" s="284" t="n">
        <f aca="false">IFERROR(O492*$G492*$I492, "")</f>
        <v>0</v>
      </c>
      <c r="AC492" s="284" t="n">
        <f aca="false">IFERROR(P492*$G492*$I492, "")</f>
        <v>0</v>
      </c>
      <c r="AD492" s="284" t="n">
        <f aca="false">IFERROR(Q492*$G492*$I492, "")</f>
        <v>0</v>
      </c>
      <c r="AE492" s="284" t="n">
        <f aca="false">IFERROR(R492*$G492*$I492, "")</f>
        <v>0</v>
      </c>
      <c r="AF492" s="284" t="n">
        <f aca="false">IFERROR(S492*$G492*$I492, "")</f>
        <v>0</v>
      </c>
      <c r="AG492" s="284" t="n">
        <f aca="false">IFERROR(T492*$G492*$I492, "")</f>
        <v>0</v>
      </c>
      <c r="AH492" s="284" t="n">
        <f aca="false">IFERROR(U492*$G492*$I492, "")</f>
        <v>0</v>
      </c>
      <c r="AI492" s="284" t="n">
        <f aca="false">IFERROR(V492*$G492*$I492, "")</f>
        <v>0</v>
      </c>
      <c r="AJ492" s="284" t="n">
        <f aca="false">IFERROR(W492*$G492*$I492, "")</f>
        <v>0</v>
      </c>
      <c r="AK492" s="286" t="n">
        <f aca="false">IFERROR(SUMIF($Y$4:$AJ$4, "RDEC", Y492:AJ492), "")</f>
        <v>0</v>
      </c>
      <c r="AL492" s="286" t="n">
        <f aca="false">IFERROR(SUMIF($Y$4:$AJ$4, "SME", Y492:AJ492), "")</f>
        <v>0</v>
      </c>
      <c r="AM492" s="286" t="n">
        <f aca="false">IFERROR(SUMIF($Y$4:$AJ$4, "De Minimis", Y492:AJ492), "")</f>
        <v>0</v>
      </c>
      <c r="AN492" s="283"/>
      <c r="AO492" s="284" t="n">
        <f aca="false">IFERROR($G492*$J492*L492, "")</f>
        <v>0</v>
      </c>
      <c r="AP492" s="284" t="n">
        <f aca="false">IFERROR($G492*$J492*M492, "")</f>
        <v>0</v>
      </c>
      <c r="AQ492" s="284" t="n">
        <f aca="false">IFERROR($G492*$J492*N492, "")</f>
        <v>0</v>
      </c>
      <c r="AR492" s="284" t="n">
        <f aca="false">IFERROR($G492*$J492*O492, "")</f>
        <v>0</v>
      </c>
      <c r="AS492" s="284" t="n">
        <f aca="false">IFERROR($G492*$J492*P492, "")</f>
        <v>0</v>
      </c>
      <c r="AT492" s="284" t="n">
        <f aca="false">IFERROR($G492*$J492*Q492, "")</f>
        <v>0</v>
      </c>
      <c r="AU492" s="284" t="n">
        <f aca="false">IFERROR($G492*$J492*R492, "")</f>
        <v>0</v>
      </c>
      <c r="AV492" s="284" t="n">
        <f aca="false">IFERROR($G492*$J492*S492, "")</f>
        <v>0</v>
      </c>
      <c r="AW492" s="284" t="n">
        <f aca="false">IFERROR($G492*$J492*T492, "")</f>
        <v>0</v>
      </c>
      <c r="AX492" s="284" t="n">
        <f aca="false">IFERROR($G492*$J492*U492, "")</f>
        <v>0</v>
      </c>
      <c r="AY492" s="284" t="n">
        <f aca="false">IFERROR($G492*$J492*V492, "")</f>
        <v>0</v>
      </c>
      <c r="AZ492" s="284" t="n">
        <f aca="false">IFERROR($G492*$J492*W492, "")</f>
        <v>0</v>
      </c>
      <c r="BA492" s="286" t="n">
        <f aca="false">IFERROR(SUMIF($AO$4:$AZ$4, "RDEC", AO492:AZ492), "")</f>
        <v>0</v>
      </c>
      <c r="BB492" s="286" t="n">
        <f aca="false">IFERROR(SUMIF($AO$4:$AZ$4, "SME", AO492:AZ492), "")</f>
        <v>0</v>
      </c>
      <c r="BC492" s="286" t="n">
        <f aca="false">IFERROR(SUMIF($Y$4:$AJ$4, "De Minimis", AO492:AZ492), "")</f>
        <v>0</v>
      </c>
      <c r="BD492" s="287"/>
      <c r="BE492" s="288" t="str">
        <f aca="false">IF((SUM(L492:W492)&gt;1),"ERROR","")</f>
        <v/>
      </c>
    </row>
    <row r="493" customFormat="false" ht="15" hidden="false" customHeight="true" outlineLevel="0" collapsed="false">
      <c r="B493" s="333"/>
      <c r="C493" s="334"/>
      <c r="D493" s="333" t="n">
        <f aca="false">D477</f>
        <v>45413</v>
      </c>
      <c r="E493" s="277" t="n">
        <v>0</v>
      </c>
      <c r="F493" s="277" t="n">
        <v>0</v>
      </c>
      <c r="G493" s="277" t="n">
        <f aca="false">SUM(E493:F493)</f>
        <v>0</v>
      </c>
      <c r="H493" s="204"/>
      <c r="I493" s="279" t="n">
        <v>1</v>
      </c>
      <c r="J493" s="280" t="n">
        <f aca="false">1-I493</f>
        <v>0</v>
      </c>
      <c r="K493" s="277"/>
      <c r="L493" s="282"/>
      <c r="M493" s="282"/>
      <c r="N493" s="282"/>
      <c r="O493" s="282"/>
      <c r="P493" s="282"/>
      <c r="Q493" s="282"/>
      <c r="R493" s="282"/>
      <c r="S493" s="282"/>
      <c r="T493" s="282"/>
      <c r="U493" s="282"/>
      <c r="V493" s="282"/>
      <c r="W493" s="282"/>
      <c r="X493" s="283"/>
      <c r="Y493" s="284" t="n">
        <f aca="false">IFERROR(L493*$G493*I$9, "")</f>
        <v>0</v>
      </c>
      <c r="Z493" s="284" t="n">
        <f aca="false">IFERROR(M493*$G493*$I493, "")</f>
        <v>0</v>
      </c>
      <c r="AA493" s="284" t="n">
        <f aca="false">IFERROR(N493*$G493*$I493, "")</f>
        <v>0</v>
      </c>
      <c r="AB493" s="284" t="n">
        <f aca="false">IFERROR(O493*$G493*$I493, "")</f>
        <v>0</v>
      </c>
      <c r="AC493" s="284" t="n">
        <f aca="false">IFERROR(P493*$G493*$I493, "")</f>
        <v>0</v>
      </c>
      <c r="AD493" s="284" t="n">
        <f aca="false">IFERROR(Q493*$G493*$I493, "")</f>
        <v>0</v>
      </c>
      <c r="AE493" s="284" t="n">
        <f aca="false">IFERROR(R493*$G493*$I493, "")</f>
        <v>0</v>
      </c>
      <c r="AF493" s="284" t="n">
        <f aca="false">IFERROR(S493*$G493*$I493, "")</f>
        <v>0</v>
      </c>
      <c r="AG493" s="284" t="n">
        <f aca="false">IFERROR(T493*$G493*$I493, "")</f>
        <v>0</v>
      </c>
      <c r="AH493" s="284" t="n">
        <f aca="false">IFERROR(U493*$G493*$I493, "")</f>
        <v>0</v>
      </c>
      <c r="AI493" s="284" t="n">
        <f aca="false">IFERROR(V493*$G493*$I493, "")</f>
        <v>0</v>
      </c>
      <c r="AJ493" s="284" t="n">
        <f aca="false">IFERROR(W493*$G493*$I493, "")</f>
        <v>0</v>
      </c>
      <c r="AK493" s="286" t="n">
        <f aca="false">IFERROR(SUMIF($Y$4:$AJ$4, "RDEC", Y493:AJ493), "")</f>
        <v>0</v>
      </c>
      <c r="AL493" s="286" t="n">
        <f aca="false">IFERROR(SUMIF($Y$4:$AJ$4, "SME", Y493:AJ493), "")</f>
        <v>0</v>
      </c>
      <c r="AM493" s="286" t="n">
        <f aca="false">IFERROR(SUMIF($Y$4:$AJ$4, "De Minimis", Y493:AJ493), "")</f>
        <v>0</v>
      </c>
      <c r="AN493" s="283"/>
      <c r="AO493" s="284" t="n">
        <f aca="false">IFERROR($G493*$J493*L493, "")</f>
        <v>0</v>
      </c>
      <c r="AP493" s="284" t="n">
        <f aca="false">IFERROR($G493*$J493*M493, "")</f>
        <v>0</v>
      </c>
      <c r="AQ493" s="284" t="n">
        <f aca="false">IFERROR($G493*$J493*N493, "")</f>
        <v>0</v>
      </c>
      <c r="AR493" s="284" t="n">
        <f aca="false">IFERROR($G493*$J493*O493, "")</f>
        <v>0</v>
      </c>
      <c r="AS493" s="284" t="n">
        <f aca="false">IFERROR($G493*$J493*P493, "")</f>
        <v>0</v>
      </c>
      <c r="AT493" s="284" t="n">
        <f aca="false">IFERROR($G493*$J493*Q493, "")</f>
        <v>0</v>
      </c>
      <c r="AU493" s="284" t="n">
        <f aca="false">IFERROR($G493*$J493*R493, "")</f>
        <v>0</v>
      </c>
      <c r="AV493" s="284" t="n">
        <f aca="false">IFERROR($G493*$J493*S493, "")</f>
        <v>0</v>
      </c>
      <c r="AW493" s="284" t="n">
        <f aca="false">IFERROR($G493*$J493*T493, "")</f>
        <v>0</v>
      </c>
      <c r="AX493" s="284" t="n">
        <f aca="false">IFERROR($G493*$J493*U493, "")</f>
        <v>0</v>
      </c>
      <c r="AY493" s="284" t="n">
        <f aca="false">IFERROR($G493*$J493*V493, "")</f>
        <v>0</v>
      </c>
      <c r="AZ493" s="284" t="n">
        <f aca="false">IFERROR($G493*$J493*W493, "")</f>
        <v>0</v>
      </c>
      <c r="BA493" s="286" t="n">
        <f aca="false">IFERROR(SUMIF($AO$4:$AZ$4, "RDEC", AO493:AZ493), "")</f>
        <v>0</v>
      </c>
      <c r="BB493" s="286" t="n">
        <f aca="false">IFERROR(SUMIF($AO$4:$AZ$4, "SME", AO493:AZ493), "")</f>
        <v>0</v>
      </c>
      <c r="BC493" s="286" t="n">
        <f aca="false">IFERROR(SUMIF($Y$4:$AJ$4, "De Minimis", AO493:AZ493), "")</f>
        <v>0</v>
      </c>
      <c r="BD493" s="287"/>
      <c r="BE493" s="288" t="str">
        <f aca="false">IF((SUM(L493:W493)&gt;1),"ERROR","")</f>
        <v/>
      </c>
    </row>
    <row r="494" customFormat="false" ht="15" hidden="false" customHeight="true" outlineLevel="0" collapsed="false">
      <c r="B494" s="333"/>
      <c r="C494" s="334"/>
      <c r="D494" s="333" t="n">
        <f aca="false">D478</f>
        <v>45444</v>
      </c>
      <c r="E494" s="277" t="n">
        <v>0</v>
      </c>
      <c r="F494" s="277" t="n">
        <v>0</v>
      </c>
      <c r="G494" s="277" t="n">
        <f aca="false">SUM(E494:F494)</f>
        <v>0</v>
      </c>
      <c r="H494" s="204"/>
      <c r="I494" s="279" t="n">
        <v>1</v>
      </c>
      <c r="J494" s="280" t="n">
        <f aca="false">1-I494</f>
        <v>0</v>
      </c>
      <c r="K494" s="277"/>
      <c r="L494" s="282"/>
      <c r="M494" s="282"/>
      <c r="N494" s="282"/>
      <c r="O494" s="282"/>
      <c r="P494" s="282"/>
      <c r="Q494" s="282"/>
      <c r="R494" s="282"/>
      <c r="S494" s="282"/>
      <c r="T494" s="282"/>
      <c r="U494" s="282"/>
      <c r="V494" s="282"/>
      <c r="W494" s="282"/>
      <c r="X494" s="283"/>
      <c r="Y494" s="284" t="n">
        <f aca="false">IFERROR(L494*$G494*I$9, "")</f>
        <v>0</v>
      </c>
      <c r="Z494" s="284" t="n">
        <f aca="false">IFERROR(M494*$G494*$I494, "")</f>
        <v>0</v>
      </c>
      <c r="AA494" s="284" t="n">
        <f aca="false">IFERROR(N494*$G494*$I494, "")</f>
        <v>0</v>
      </c>
      <c r="AB494" s="284" t="n">
        <f aca="false">IFERROR(O494*$G494*$I494, "")</f>
        <v>0</v>
      </c>
      <c r="AC494" s="284" t="n">
        <f aca="false">IFERROR(P494*$G494*$I494, "")</f>
        <v>0</v>
      </c>
      <c r="AD494" s="284" t="n">
        <f aca="false">IFERROR(Q494*$G494*$I494, "")</f>
        <v>0</v>
      </c>
      <c r="AE494" s="284" t="n">
        <f aca="false">IFERROR(R494*$G494*$I494, "")</f>
        <v>0</v>
      </c>
      <c r="AF494" s="284" t="n">
        <f aca="false">IFERROR(S494*$G494*$I494, "")</f>
        <v>0</v>
      </c>
      <c r="AG494" s="284" t="n">
        <f aca="false">IFERROR(T494*$G494*$I494, "")</f>
        <v>0</v>
      </c>
      <c r="AH494" s="284" t="n">
        <f aca="false">IFERROR(U494*$G494*$I494, "")</f>
        <v>0</v>
      </c>
      <c r="AI494" s="284" t="n">
        <f aca="false">IFERROR(V494*$G494*$I494, "")</f>
        <v>0</v>
      </c>
      <c r="AJ494" s="284" t="n">
        <f aca="false">IFERROR(W494*$G494*$I494, "")</f>
        <v>0</v>
      </c>
      <c r="AK494" s="286" t="n">
        <f aca="false">IFERROR(SUMIF($Y$4:$AJ$4, "RDEC", Y494:AJ494), "")</f>
        <v>0</v>
      </c>
      <c r="AL494" s="286" t="n">
        <f aca="false">IFERROR(SUMIF($Y$4:$AJ$4, "SME", Y494:AJ494), "")</f>
        <v>0</v>
      </c>
      <c r="AM494" s="286" t="n">
        <f aca="false">IFERROR(SUMIF($Y$4:$AJ$4, "De Minimis", Y494:AJ494), "")</f>
        <v>0</v>
      </c>
      <c r="AN494" s="283"/>
      <c r="AO494" s="284" t="n">
        <f aca="false">IFERROR($G494*$J494*L494, "")</f>
        <v>0</v>
      </c>
      <c r="AP494" s="284" t="n">
        <f aca="false">IFERROR($G494*$J494*M494, "")</f>
        <v>0</v>
      </c>
      <c r="AQ494" s="284" t="n">
        <f aca="false">IFERROR($G494*$J494*N494, "")</f>
        <v>0</v>
      </c>
      <c r="AR494" s="284" t="n">
        <f aca="false">IFERROR($G494*$J494*O494, "")</f>
        <v>0</v>
      </c>
      <c r="AS494" s="284" t="n">
        <f aca="false">IFERROR($G494*$J494*P494, "")</f>
        <v>0</v>
      </c>
      <c r="AT494" s="284" t="n">
        <f aca="false">IFERROR($G494*$J494*Q494, "")</f>
        <v>0</v>
      </c>
      <c r="AU494" s="284" t="n">
        <f aca="false">IFERROR($G494*$J494*R494, "")</f>
        <v>0</v>
      </c>
      <c r="AV494" s="284" t="n">
        <f aca="false">IFERROR($G494*$J494*S494, "")</f>
        <v>0</v>
      </c>
      <c r="AW494" s="284" t="n">
        <f aca="false">IFERROR($G494*$J494*T494, "")</f>
        <v>0</v>
      </c>
      <c r="AX494" s="284" t="n">
        <f aca="false">IFERROR($G494*$J494*U494, "")</f>
        <v>0</v>
      </c>
      <c r="AY494" s="284" t="n">
        <f aca="false">IFERROR($G494*$J494*V494, "")</f>
        <v>0</v>
      </c>
      <c r="AZ494" s="284" t="n">
        <f aca="false">IFERROR($G494*$J494*W494, "")</f>
        <v>0</v>
      </c>
      <c r="BA494" s="286" t="n">
        <f aca="false">IFERROR(SUMIF($AO$4:$AZ$4, "RDEC", AO494:AZ494), "")</f>
        <v>0</v>
      </c>
      <c r="BB494" s="286" t="n">
        <f aca="false">IFERROR(SUMIF($AO$4:$AZ$4, "SME", AO494:AZ494), "")</f>
        <v>0</v>
      </c>
      <c r="BC494" s="286" t="n">
        <f aca="false">IFERROR(SUMIF($Y$4:$AJ$4, "De Minimis", AO494:AZ494), "")</f>
        <v>0</v>
      </c>
      <c r="BD494" s="287"/>
      <c r="BE494" s="288" t="str">
        <f aca="false">IF((SUM(L494:W494)&gt;1),"ERROR","")</f>
        <v/>
      </c>
    </row>
    <row r="495" customFormat="false" ht="15" hidden="false" customHeight="true" outlineLevel="0" collapsed="false">
      <c r="B495" s="333"/>
      <c r="C495" s="334"/>
      <c r="D495" s="333" t="n">
        <f aca="false">D479</f>
        <v>45474</v>
      </c>
      <c r="E495" s="277" t="n">
        <v>0</v>
      </c>
      <c r="F495" s="277" t="n">
        <v>0</v>
      </c>
      <c r="G495" s="277" t="n">
        <f aca="false">SUM(E495:F495)</f>
        <v>0</v>
      </c>
      <c r="H495" s="204"/>
      <c r="I495" s="279" t="n">
        <v>1</v>
      </c>
      <c r="J495" s="280" t="n">
        <f aca="false">1-I495</f>
        <v>0</v>
      </c>
      <c r="K495" s="277"/>
      <c r="L495" s="282"/>
      <c r="M495" s="282"/>
      <c r="N495" s="282"/>
      <c r="O495" s="282"/>
      <c r="P495" s="282"/>
      <c r="Q495" s="282"/>
      <c r="R495" s="282"/>
      <c r="S495" s="282"/>
      <c r="T495" s="282"/>
      <c r="U495" s="282"/>
      <c r="V495" s="282"/>
      <c r="W495" s="282"/>
      <c r="X495" s="283"/>
      <c r="Y495" s="284" t="n">
        <f aca="false">IFERROR(L495*$G495*I$9, "")</f>
        <v>0</v>
      </c>
      <c r="Z495" s="284" t="n">
        <f aca="false">IFERROR(M495*$G495*$I495, "")</f>
        <v>0</v>
      </c>
      <c r="AA495" s="284" t="n">
        <f aca="false">IFERROR(N495*$G495*$I495, "")</f>
        <v>0</v>
      </c>
      <c r="AB495" s="284" t="n">
        <f aca="false">IFERROR(O495*$G495*$I495, "")</f>
        <v>0</v>
      </c>
      <c r="AC495" s="284" t="n">
        <f aca="false">IFERROR(P495*$G495*$I495, "")</f>
        <v>0</v>
      </c>
      <c r="AD495" s="284" t="n">
        <f aca="false">IFERROR(Q495*$G495*$I495, "")</f>
        <v>0</v>
      </c>
      <c r="AE495" s="284" t="n">
        <f aca="false">IFERROR(R495*$G495*$I495, "")</f>
        <v>0</v>
      </c>
      <c r="AF495" s="284" t="n">
        <f aca="false">IFERROR(S495*$G495*$I495, "")</f>
        <v>0</v>
      </c>
      <c r="AG495" s="284" t="n">
        <f aca="false">IFERROR(T495*$G495*$I495, "")</f>
        <v>0</v>
      </c>
      <c r="AH495" s="284" t="n">
        <f aca="false">IFERROR(U495*$G495*$I495, "")</f>
        <v>0</v>
      </c>
      <c r="AI495" s="284" t="n">
        <f aca="false">IFERROR(V495*$G495*$I495, "")</f>
        <v>0</v>
      </c>
      <c r="AJ495" s="284" t="n">
        <f aca="false">IFERROR(W495*$G495*$I495, "")</f>
        <v>0</v>
      </c>
      <c r="AK495" s="286" t="n">
        <f aca="false">IFERROR(SUMIF($Y$4:$AJ$4, "RDEC", Y495:AJ495), "")</f>
        <v>0</v>
      </c>
      <c r="AL495" s="286" t="n">
        <f aca="false">IFERROR(SUMIF($Y$4:$AJ$4, "SME", Y495:AJ495), "")</f>
        <v>0</v>
      </c>
      <c r="AM495" s="286" t="n">
        <f aca="false">IFERROR(SUMIF($Y$4:$AJ$4, "De Minimis", Y495:AJ495), "")</f>
        <v>0</v>
      </c>
      <c r="AN495" s="283"/>
      <c r="AO495" s="284" t="n">
        <f aca="false">IFERROR($G495*$J495*L495, "")</f>
        <v>0</v>
      </c>
      <c r="AP495" s="284" t="n">
        <f aca="false">IFERROR($G495*$J495*M495, "")</f>
        <v>0</v>
      </c>
      <c r="AQ495" s="284" t="n">
        <f aca="false">IFERROR($G495*$J495*N495, "")</f>
        <v>0</v>
      </c>
      <c r="AR495" s="284" t="n">
        <f aca="false">IFERROR($G495*$J495*O495, "")</f>
        <v>0</v>
      </c>
      <c r="AS495" s="284" t="n">
        <f aca="false">IFERROR($G495*$J495*P495, "")</f>
        <v>0</v>
      </c>
      <c r="AT495" s="284" t="n">
        <f aca="false">IFERROR($G495*$J495*Q495, "")</f>
        <v>0</v>
      </c>
      <c r="AU495" s="284" t="n">
        <f aca="false">IFERROR($G495*$J495*R495, "")</f>
        <v>0</v>
      </c>
      <c r="AV495" s="284" t="n">
        <f aca="false">IFERROR($G495*$J495*S495, "")</f>
        <v>0</v>
      </c>
      <c r="AW495" s="284" t="n">
        <f aca="false">IFERROR($G495*$J495*T495, "")</f>
        <v>0</v>
      </c>
      <c r="AX495" s="284" t="n">
        <f aca="false">IFERROR($G495*$J495*U495, "")</f>
        <v>0</v>
      </c>
      <c r="AY495" s="284" t="n">
        <f aca="false">IFERROR($G495*$J495*V495, "")</f>
        <v>0</v>
      </c>
      <c r="AZ495" s="284" t="n">
        <f aca="false">IFERROR($G495*$J495*W495, "")</f>
        <v>0</v>
      </c>
      <c r="BA495" s="286" t="n">
        <f aca="false">IFERROR(SUMIF($AO$4:$AZ$4, "RDEC", AO495:AZ495), "")</f>
        <v>0</v>
      </c>
      <c r="BB495" s="286" t="n">
        <f aca="false">IFERROR(SUMIF($AO$4:$AZ$4, "SME", AO495:AZ495), "")</f>
        <v>0</v>
      </c>
      <c r="BC495" s="286" t="n">
        <f aca="false">IFERROR(SUMIF($Y$4:$AJ$4, "De Minimis", AO495:AZ495), "")</f>
        <v>0</v>
      </c>
      <c r="BD495" s="287"/>
      <c r="BE495" s="288" t="str">
        <f aca="false">IF((SUM(L495:W495)&gt;1),"ERROR","")</f>
        <v/>
      </c>
    </row>
    <row r="496" customFormat="false" ht="15" hidden="false" customHeight="true" outlineLevel="0" collapsed="false">
      <c r="B496" s="333"/>
      <c r="C496" s="334"/>
      <c r="D496" s="333" t="n">
        <f aca="false">D480</f>
        <v>45505</v>
      </c>
      <c r="E496" s="277" t="n">
        <v>0</v>
      </c>
      <c r="F496" s="277" t="n">
        <v>0</v>
      </c>
      <c r="G496" s="277" t="n">
        <f aca="false">SUM(E496:F496)</f>
        <v>0</v>
      </c>
      <c r="H496" s="204"/>
      <c r="I496" s="279" t="n">
        <v>1</v>
      </c>
      <c r="J496" s="280" t="n">
        <f aca="false">1-I496</f>
        <v>0</v>
      </c>
      <c r="K496" s="277"/>
      <c r="L496" s="282"/>
      <c r="M496" s="282"/>
      <c r="N496" s="282"/>
      <c r="O496" s="282"/>
      <c r="P496" s="282"/>
      <c r="Q496" s="282"/>
      <c r="R496" s="282"/>
      <c r="S496" s="282"/>
      <c r="T496" s="282"/>
      <c r="U496" s="282"/>
      <c r="V496" s="282"/>
      <c r="W496" s="282"/>
      <c r="X496" s="283"/>
      <c r="Y496" s="284" t="n">
        <f aca="false">IFERROR(L496*$G496*I$9, "")</f>
        <v>0</v>
      </c>
      <c r="Z496" s="284" t="n">
        <f aca="false">IFERROR(M496*$G496*$I496, "")</f>
        <v>0</v>
      </c>
      <c r="AA496" s="284" t="n">
        <f aca="false">IFERROR(N496*$G496*$I496, "")</f>
        <v>0</v>
      </c>
      <c r="AB496" s="284" t="n">
        <f aca="false">IFERROR(O496*$G496*$I496, "")</f>
        <v>0</v>
      </c>
      <c r="AC496" s="284" t="n">
        <f aca="false">IFERROR(P496*$G496*$I496, "")</f>
        <v>0</v>
      </c>
      <c r="AD496" s="284" t="n">
        <f aca="false">IFERROR(Q496*$G496*$I496, "")</f>
        <v>0</v>
      </c>
      <c r="AE496" s="284" t="n">
        <f aca="false">IFERROR(R496*$G496*$I496, "")</f>
        <v>0</v>
      </c>
      <c r="AF496" s="284" t="n">
        <f aca="false">IFERROR(S496*$G496*$I496, "")</f>
        <v>0</v>
      </c>
      <c r="AG496" s="284" t="n">
        <f aca="false">IFERROR(T496*$G496*$I496, "")</f>
        <v>0</v>
      </c>
      <c r="AH496" s="284" t="n">
        <f aca="false">IFERROR(U496*$G496*$I496, "")</f>
        <v>0</v>
      </c>
      <c r="AI496" s="284" t="n">
        <f aca="false">IFERROR(V496*$G496*$I496, "")</f>
        <v>0</v>
      </c>
      <c r="AJ496" s="284" t="n">
        <f aca="false">IFERROR(W496*$G496*$I496, "")</f>
        <v>0</v>
      </c>
      <c r="AK496" s="286" t="n">
        <f aca="false">IFERROR(SUMIF($Y$4:$AJ$4, "RDEC", Y496:AJ496), "")</f>
        <v>0</v>
      </c>
      <c r="AL496" s="286" t="n">
        <f aca="false">IFERROR(SUMIF($Y$4:$AJ$4, "SME", Y496:AJ496), "")</f>
        <v>0</v>
      </c>
      <c r="AM496" s="286" t="n">
        <f aca="false">IFERROR(SUMIF($Y$4:$AJ$4, "De Minimis", Y496:AJ496), "")</f>
        <v>0</v>
      </c>
      <c r="AN496" s="283"/>
      <c r="AO496" s="284" t="n">
        <f aca="false">IFERROR($G496*$J496*L496, "")</f>
        <v>0</v>
      </c>
      <c r="AP496" s="284" t="n">
        <f aca="false">IFERROR($G496*$J496*M496, "")</f>
        <v>0</v>
      </c>
      <c r="AQ496" s="284" t="n">
        <f aca="false">IFERROR($G496*$J496*N496, "")</f>
        <v>0</v>
      </c>
      <c r="AR496" s="284" t="n">
        <f aca="false">IFERROR($G496*$J496*O496, "")</f>
        <v>0</v>
      </c>
      <c r="AS496" s="284" t="n">
        <f aca="false">IFERROR($G496*$J496*P496, "")</f>
        <v>0</v>
      </c>
      <c r="AT496" s="284" t="n">
        <f aca="false">IFERROR($G496*$J496*Q496, "")</f>
        <v>0</v>
      </c>
      <c r="AU496" s="284" t="n">
        <f aca="false">IFERROR($G496*$J496*R496, "")</f>
        <v>0</v>
      </c>
      <c r="AV496" s="284" t="n">
        <f aca="false">IFERROR($G496*$J496*S496, "")</f>
        <v>0</v>
      </c>
      <c r="AW496" s="284" t="n">
        <f aca="false">IFERROR($G496*$J496*T496, "")</f>
        <v>0</v>
      </c>
      <c r="AX496" s="284" t="n">
        <f aca="false">IFERROR($G496*$J496*U496, "")</f>
        <v>0</v>
      </c>
      <c r="AY496" s="284" t="n">
        <f aca="false">IFERROR($G496*$J496*V496, "")</f>
        <v>0</v>
      </c>
      <c r="AZ496" s="284" t="n">
        <f aca="false">IFERROR($G496*$J496*W496, "")</f>
        <v>0</v>
      </c>
      <c r="BA496" s="286" t="n">
        <f aca="false">IFERROR(SUMIF($AO$4:$AZ$4, "RDEC", AO496:AZ496), "")</f>
        <v>0</v>
      </c>
      <c r="BB496" s="286" t="n">
        <f aca="false">IFERROR(SUMIF($AO$4:$AZ$4, "SME", AO496:AZ496), "")</f>
        <v>0</v>
      </c>
      <c r="BC496" s="286" t="n">
        <f aca="false">IFERROR(SUMIF($Y$4:$AJ$4, "De Minimis", AO496:AZ496), "")</f>
        <v>0</v>
      </c>
      <c r="BD496" s="287"/>
      <c r="BE496" s="288" t="str">
        <f aca="false">IF((SUM(L496:W496)&gt;1),"ERROR","")</f>
        <v/>
      </c>
    </row>
    <row r="497" customFormat="false" ht="15" hidden="false" customHeight="true" outlineLevel="0" collapsed="false">
      <c r="B497" s="333"/>
      <c r="C497" s="334"/>
      <c r="D497" s="333" t="n">
        <f aca="false">D481</f>
        <v>45536</v>
      </c>
      <c r="E497" s="277" t="n">
        <v>0</v>
      </c>
      <c r="F497" s="277" t="n">
        <v>0</v>
      </c>
      <c r="G497" s="277" t="n">
        <f aca="false">SUM(E497:F497)</f>
        <v>0</v>
      </c>
      <c r="H497" s="204"/>
      <c r="I497" s="279" t="n">
        <v>1</v>
      </c>
      <c r="J497" s="280" t="n">
        <f aca="false">1-I497</f>
        <v>0</v>
      </c>
      <c r="K497" s="277"/>
      <c r="L497" s="282"/>
      <c r="M497" s="282"/>
      <c r="N497" s="282"/>
      <c r="O497" s="282"/>
      <c r="P497" s="282"/>
      <c r="Q497" s="282"/>
      <c r="R497" s="282"/>
      <c r="S497" s="282"/>
      <c r="T497" s="282"/>
      <c r="U497" s="282"/>
      <c r="V497" s="282"/>
      <c r="W497" s="282"/>
      <c r="X497" s="283"/>
      <c r="Y497" s="284" t="n">
        <f aca="false">IFERROR(L497*$G497*I$9, "")</f>
        <v>0</v>
      </c>
      <c r="Z497" s="284" t="n">
        <f aca="false">IFERROR(M497*$G497*$I497, "")</f>
        <v>0</v>
      </c>
      <c r="AA497" s="284" t="n">
        <f aca="false">IFERROR(N497*$G497*$I497, "")</f>
        <v>0</v>
      </c>
      <c r="AB497" s="284" t="n">
        <f aca="false">IFERROR(O497*$G497*$I497, "")</f>
        <v>0</v>
      </c>
      <c r="AC497" s="284" t="n">
        <f aca="false">IFERROR(P497*$G497*$I497, "")</f>
        <v>0</v>
      </c>
      <c r="AD497" s="284" t="n">
        <f aca="false">IFERROR(Q497*$G497*$I497, "")</f>
        <v>0</v>
      </c>
      <c r="AE497" s="284" t="n">
        <f aca="false">IFERROR(R497*$G497*$I497, "")</f>
        <v>0</v>
      </c>
      <c r="AF497" s="284" t="n">
        <f aca="false">IFERROR(S497*$G497*$I497, "")</f>
        <v>0</v>
      </c>
      <c r="AG497" s="284" t="n">
        <f aca="false">IFERROR(T497*$G497*$I497, "")</f>
        <v>0</v>
      </c>
      <c r="AH497" s="284" t="n">
        <f aca="false">IFERROR(U497*$G497*$I497, "")</f>
        <v>0</v>
      </c>
      <c r="AI497" s="284" t="n">
        <f aca="false">IFERROR(V497*$G497*$I497, "")</f>
        <v>0</v>
      </c>
      <c r="AJ497" s="284" t="n">
        <f aca="false">IFERROR(W497*$G497*$I497, "")</f>
        <v>0</v>
      </c>
      <c r="AK497" s="286" t="n">
        <f aca="false">IFERROR(SUMIF($Y$4:$AJ$4, "RDEC", Y497:AJ497), "")</f>
        <v>0</v>
      </c>
      <c r="AL497" s="286" t="n">
        <f aca="false">IFERROR(SUMIF($Y$4:$AJ$4, "SME", Y497:AJ497), "")</f>
        <v>0</v>
      </c>
      <c r="AM497" s="286" t="n">
        <f aca="false">IFERROR(SUMIF($Y$4:$AJ$4, "De Minimis", Y497:AJ497), "")</f>
        <v>0</v>
      </c>
      <c r="AN497" s="283"/>
      <c r="AO497" s="284" t="n">
        <f aca="false">IFERROR($G497*$J497*L497, "")</f>
        <v>0</v>
      </c>
      <c r="AP497" s="284" t="n">
        <f aca="false">IFERROR($G497*$J497*M497, "")</f>
        <v>0</v>
      </c>
      <c r="AQ497" s="284" t="n">
        <f aca="false">IFERROR($G497*$J497*N497, "")</f>
        <v>0</v>
      </c>
      <c r="AR497" s="284" t="n">
        <f aca="false">IFERROR($G497*$J497*O497, "")</f>
        <v>0</v>
      </c>
      <c r="AS497" s="284" t="n">
        <f aca="false">IFERROR($G497*$J497*P497, "")</f>
        <v>0</v>
      </c>
      <c r="AT497" s="284" t="n">
        <f aca="false">IFERROR($G497*$J497*Q497, "")</f>
        <v>0</v>
      </c>
      <c r="AU497" s="284" t="n">
        <f aca="false">IFERROR($G497*$J497*R497, "")</f>
        <v>0</v>
      </c>
      <c r="AV497" s="284" t="n">
        <f aca="false">IFERROR($G497*$J497*S497, "")</f>
        <v>0</v>
      </c>
      <c r="AW497" s="284" t="n">
        <f aca="false">IFERROR($G497*$J497*T497, "")</f>
        <v>0</v>
      </c>
      <c r="AX497" s="284" t="n">
        <f aca="false">IFERROR($G497*$J497*U497, "")</f>
        <v>0</v>
      </c>
      <c r="AY497" s="284" t="n">
        <f aca="false">IFERROR($G497*$J497*V497, "")</f>
        <v>0</v>
      </c>
      <c r="AZ497" s="284" t="n">
        <f aca="false">IFERROR($G497*$J497*W497, "")</f>
        <v>0</v>
      </c>
      <c r="BA497" s="286" t="n">
        <f aca="false">IFERROR(SUMIF($AO$4:$AZ$4, "RDEC", AO497:AZ497), "")</f>
        <v>0</v>
      </c>
      <c r="BB497" s="286" t="n">
        <f aca="false">IFERROR(SUMIF($AO$4:$AZ$4, "SME", AO497:AZ497), "")</f>
        <v>0</v>
      </c>
      <c r="BC497" s="286" t="n">
        <f aca="false">IFERROR(SUMIF($Y$4:$AJ$4, "De Minimis", AO497:AZ497), "")</f>
        <v>0</v>
      </c>
      <c r="BD497" s="287"/>
      <c r="BE497" s="288" t="str">
        <f aca="false">IF((SUM(L497:W497)&gt;1),"ERROR","")</f>
        <v/>
      </c>
    </row>
    <row r="498" customFormat="false" ht="15" hidden="false" customHeight="true" outlineLevel="0" collapsed="false">
      <c r="B498" s="333"/>
      <c r="C498" s="334"/>
      <c r="D498" s="333" t="n">
        <f aca="false">D482</f>
        <v>45566</v>
      </c>
      <c r="E498" s="277" t="n">
        <v>0</v>
      </c>
      <c r="F498" s="277" t="n">
        <v>0</v>
      </c>
      <c r="G498" s="277" t="n">
        <f aca="false">SUM(E498:F498)</f>
        <v>0</v>
      </c>
      <c r="H498" s="204"/>
      <c r="I498" s="279" t="n">
        <v>1</v>
      </c>
      <c r="J498" s="280" t="n">
        <f aca="false">1-I498</f>
        <v>0</v>
      </c>
      <c r="K498" s="277"/>
      <c r="L498" s="282"/>
      <c r="M498" s="282"/>
      <c r="N498" s="282"/>
      <c r="O498" s="282"/>
      <c r="P498" s="282"/>
      <c r="Q498" s="282"/>
      <c r="R498" s="282"/>
      <c r="S498" s="282"/>
      <c r="T498" s="282"/>
      <c r="U498" s="282"/>
      <c r="V498" s="282"/>
      <c r="W498" s="282"/>
      <c r="X498" s="283"/>
      <c r="Y498" s="284" t="n">
        <f aca="false">IFERROR(L498*$G498*I$9, "")</f>
        <v>0</v>
      </c>
      <c r="Z498" s="284" t="n">
        <f aca="false">IFERROR(M498*$G498*$I498, "")</f>
        <v>0</v>
      </c>
      <c r="AA498" s="284" t="n">
        <f aca="false">IFERROR(N498*$G498*$I498, "")</f>
        <v>0</v>
      </c>
      <c r="AB498" s="284" t="n">
        <f aca="false">IFERROR(O498*$G498*$I498, "")</f>
        <v>0</v>
      </c>
      <c r="AC498" s="284" t="n">
        <f aca="false">IFERROR(P498*$G498*$I498, "")</f>
        <v>0</v>
      </c>
      <c r="AD498" s="284" t="n">
        <f aca="false">IFERROR(Q498*$G498*$I498, "")</f>
        <v>0</v>
      </c>
      <c r="AE498" s="284" t="n">
        <f aca="false">IFERROR(R498*$G498*$I498, "")</f>
        <v>0</v>
      </c>
      <c r="AF498" s="284" t="n">
        <f aca="false">IFERROR(S498*$G498*$I498, "")</f>
        <v>0</v>
      </c>
      <c r="AG498" s="284" t="n">
        <f aca="false">IFERROR(T498*$G498*$I498, "")</f>
        <v>0</v>
      </c>
      <c r="AH498" s="284" t="n">
        <f aca="false">IFERROR(U498*$G498*$I498, "")</f>
        <v>0</v>
      </c>
      <c r="AI498" s="284" t="n">
        <f aca="false">IFERROR(V498*$G498*$I498, "")</f>
        <v>0</v>
      </c>
      <c r="AJ498" s="284" t="n">
        <f aca="false">IFERROR(W498*$G498*$I498, "")</f>
        <v>0</v>
      </c>
      <c r="AK498" s="286" t="n">
        <f aca="false">IFERROR(SUMIF($Y$4:$AJ$4, "RDEC", Y498:AJ498), "")</f>
        <v>0</v>
      </c>
      <c r="AL498" s="286" t="n">
        <f aca="false">IFERROR(SUMIF($Y$4:$AJ$4, "SME", Y498:AJ498), "")</f>
        <v>0</v>
      </c>
      <c r="AM498" s="286" t="n">
        <f aca="false">IFERROR(SUMIF($Y$4:$AJ$4, "De Minimis", Y498:AJ498), "")</f>
        <v>0</v>
      </c>
      <c r="AN498" s="283"/>
      <c r="AO498" s="284" t="n">
        <f aca="false">IFERROR($G498*$J498*L498, "")</f>
        <v>0</v>
      </c>
      <c r="AP498" s="284" t="n">
        <f aca="false">IFERROR($G498*$J498*M498, "")</f>
        <v>0</v>
      </c>
      <c r="AQ498" s="284" t="n">
        <f aca="false">IFERROR($G498*$J498*N498, "")</f>
        <v>0</v>
      </c>
      <c r="AR498" s="284" t="n">
        <f aca="false">IFERROR($G498*$J498*O498, "")</f>
        <v>0</v>
      </c>
      <c r="AS498" s="284" t="n">
        <f aca="false">IFERROR($G498*$J498*P498, "")</f>
        <v>0</v>
      </c>
      <c r="AT498" s="284" t="n">
        <f aca="false">IFERROR($G498*$J498*Q498, "")</f>
        <v>0</v>
      </c>
      <c r="AU498" s="284" t="n">
        <f aca="false">IFERROR($G498*$J498*R498, "")</f>
        <v>0</v>
      </c>
      <c r="AV498" s="284" t="n">
        <f aca="false">IFERROR($G498*$J498*S498, "")</f>
        <v>0</v>
      </c>
      <c r="AW498" s="284" t="n">
        <f aca="false">IFERROR($G498*$J498*T498, "")</f>
        <v>0</v>
      </c>
      <c r="AX498" s="284" t="n">
        <f aca="false">IFERROR($G498*$J498*U498, "")</f>
        <v>0</v>
      </c>
      <c r="AY498" s="284" t="n">
        <f aca="false">IFERROR($G498*$J498*V498, "")</f>
        <v>0</v>
      </c>
      <c r="AZ498" s="284" t="n">
        <f aca="false">IFERROR($G498*$J498*W498, "")</f>
        <v>0</v>
      </c>
      <c r="BA498" s="286" t="n">
        <f aca="false">IFERROR(SUMIF($AO$4:$AZ$4, "RDEC", AO498:AZ498), "")</f>
        <v>0</v>
      </c>
      <c r="BB498" s="286" t="n">
        <f aca="false">IFERROR(SUMIF($AO$4:$AZ$4, "SME", AO498:AZ498), "")</f>
        <v>0</v>
      </c>
      <c r="BC498" s="286" t="n">
        <f aca="false">IFERROR(SUMIF($Y$4:$AJ$4, "De Minimis", AO498:AZ498), "")</f>
        <v>0</v>
      </c>
      <c r="BD498" s="287"/>
      <c r="BE498" s="288" t="str">
        <f aca="false">IF((SUM(L498:W498)&gt;1),"ERROR","")</f>
        <v/>
      </c>
    </row>
    <row r="499" customFormat="false" ht="15" hidden="false" customHeight="true" outlineLevel="0" collapsed="false">
      <c r="B499" s="333"/>
      <c r="C499" s="334"/>
      <c r="D499" s="333" t="n">
        <f aca="false">D483</f>
        <v>45597</v>
      </c>
      <c r="E499" s="277" t="n">
        <v>0</v>
      </c>
      <c r="F499" s="277" t="n">
        <v>0</v>
      </c>
      <c r="G499" s="277" t="n">
        <f aca="false">SUM(E499:F499)</f>
        <v>0</v>
      </c>
      <c r="H499" s="204"/>
      <c r="I499" s="279" t="n">
        <v>1</v>
      </c>
      <c r="J499" s="280" t="n">
        <f aca="false">1-I499</f>
        <v>0</v>
      </c>
      <c r="K499" s="277"/>
      <c r="L499" s="282"/>
      <c r="M499" s="282"/>
      <c r="N499" s="282"/>
      <c r="O499" s="282"/>
      <c r="P499" s="282"/>
      <c r="Q499" s="282"/>
      <c r="R499" s="282"/>
      <c r="S499" s="282"/>
      <c r="T499" s="282"/>
      <c r="U499" s="282"/>
      <c r="V499" s="282"/>
      <c r="W499" s="282"/>
      <c r="X499" s="283"/>
      <c r="Y499" s="284" t="n">
        <f aca="false">IFERROR(L499*$G499*I$9, "")</f>
        <v>0</v>
      </c>
      <c r="Z499" s="284" t="n">
        <f aca="false">IFERROR(M499*$G499*$I499, "")</f>
        <v>0</v>
      </c>
      <c r="AA499" s="284" t="n">
        <f aca="false">IFERROR(N499*$G499*$I499, "")</f>
        <v>0</v>
      </c>
      <c r="AB499" s="284" t="n">
        <f aca="false">IFERROR(O499*$G499*$I499, "")</f>
        <v>0</v>
      </c>
      <c r="AC499" s="284" t="n">
        <f aca="false">IFERROR(P499*$G499*$I499, "")</f>
        <v>0</v>
      </c>
      <c r="AD499" s="284" t="n">
        <f aca="false">IFERROR(Q499*$G499*$I499, "")</f>
        <v>0</v>
      </c>
      <c r="AE499" s="284" t="n">
        <f aca="false">IFERROR(R499*$G499*$I499, "")</f>
        <v>0</v>
      </c>
      <c r="AF499" s="284" t="n">
        <f aca="false">IFERROR(S499*$G499*$I499, "")</f>
        <v>0</v>
      </c>
      <c r="AG499" s="284" t="n">
        <f aca="false">IFERROR(T499*$G499*$I499, "")</f>
        <v>0</v>
      </c>
      <c r="AH499" s="284" t="n">
        <f aca="false">IFERROR(U499*$G499*$I499, "")</f>
        <v>0</v>
      </c>
      <c r="AI499" s="284" t="n">
        <f aca="false">IFERROR(V499*$G499*$I499, "")</f>
        <v>0</v>
      </c>
      <c r="AJ499" s="284" t="n">
        <f aca="false">IFERROR(W499*$G499*$I499, "")</f>
        <v>0</v>
      </c>
      <c r="AK499" s="286" t="n">
        <f aca="false">IFERROR(SUMIF($Y$4:$AJ$4, "RDEC", Y499:AJ499), "")</f>
        <v>0</v>
      </c>
      <c r="AL499" s="286" t="n">
        <f aca="false">IFERROR(SUMIF($Y$4:$AJ$4, "SME", Y499:AJ499), "")</f>
        <v>0</v>
      </c>
      <c r="AM499" s="286" t="n">
        <f aca="false">IFERROR(SUMIF($Y$4:$AJ$4, "De Minimis", Y499:AJ499), "")</f>
        <v>0</v>
      </c>
      <c r="AN499" s="283"/>
      <c r="AO499" s="284" t="n">
        <f aca="false">IFERROR($G499*$J499*L499, "")</f>
        <v>0</v>
      </c>
      <c r="AP499" s="284" t="n">
        <f aca="false">IFERROR($G499*$J499*M499, "")</f>
        <v>0</v>
      </c>
      <c r="AQ499" s="284" t="n">
        <f aca="false">IFERROR($G499*$J499*N499, "")</f>
        <v>0</v>
      </c>
      <c r="AR499" s="284" t="n">
        <f aca="false">IFERROR($G499*$J499*O499, "")</f>
        <v>0</v>
      </c>
      <c r="AS499" s="284" t="n">
        <f aca="false">IFERROR($G499*$J499*P499, "")</f>
        <v>0</v>
      </c>
      <c r="AT499" s="284" t="n">
        <f aca="false">IFERROR($G499*$J499*Q499, "")</f>
        <v>0</v>
      </c>
      <c r="AU499" s="284" t="n">
        <f aca="false">IFERROR($G499*$J499*R499, "")</f>
        <v>0</v>
      </c>
      <c r="AV499" s="284" t="n">
        <f aca="false">IFERROR($G499*$J499*S499, "")</f>
        <v>0</v>
      </c>
      <c r="AW499" s="284" t="n">
        <f aca="false">IFERROR($G499*$J499*T499, "")</f>
        <v>0</v>
      </c>
      <c r="AX499" s="284" t="n">
        <f aca="false">IFERROR($G499*$J499*U499, "")</f>
        <v>0</v>
      </c>
      <c r="AY499" s="284" t="n">
        <f aca="false">IFERROR($G499*$J499*V499, "")</f>
        <v>0</v>
      </c>
      <c r="AZ499" s="284" t="n">
        <f aca="false">IFERROR($G499*$J499*W499, "")</f>
        <v>0</v>
      </c>
      <c r="BA499" s="286" t="n">
        <f aca="false">IFERROR(SUMIF($AO$4:$AZ$4, "RDEC", AO499:AZ499), "")</f>
        <v>0</v>
      </c>
      <c r="BB499" s="286" t="n">
        <f aca="false">IFERROR(SUMIF($AO$4:$AZ$4, "SME", AO499:AZ499), "")</f>
        <v>0</v>
      </c>
      <c r="BC499" s="286" t="n">
        <f aca="false">IFERROR(SUMIF($Y$4:$AJ$4, "De Minimis", AO499:AZ499), "")</f>
        <v>0</v>
      </c>
      <c r="BD499" s="287"/>
      <c r="BE499" s="288" t="str">
        <f aca="false">IF((SUM(L499:W499)&gt;1),"ERROR","")</f>
        <v/>
      </c>
    </row>
    <row r="500" customFormat="false" ht="15" hidden="false" customHeight="true" outlineLevel="0" collapsed="false">
      <c r="B500" s="333"/>
      <c r="C500" s="334"/>
      <c r="D500" s="333" t="n">
        <f aca="false">D484</f>
        <v>45627</v>
      </c>
      <c r="E500" s="277" t="n">
        <v>0</v>
      </c>
      <c r="F500" s="277" t="n">
        <v>0</v>
      </c>
      <c r="G500" s="277" t="n">
        <f aca="false">SUM(E500:F500)</f>
        <v>0</v>
      </c>
      <c r="H500" s="300"/>
      <c r="I500" s="289" t="n">
        <v>1</v>
      </c>
      <c r="J500" s="290" t="n">
        <f aca="false">1-I500</f>
        <v>0</v>
      </c>
      <c r="K500" s="300"/>
      <c r="L500" s="291"/>
      <c r="M500" s="291"/>
      <c r="N500" s="291"/>
      <c r="O500" s="291"/>
      <c r="P500" s="291"/>
      <c r="Q500" s="291"/>
      <c r="R500" s="291"/>
      <c r="S500" s="291"/>
      <c r="T500" s="291"/>
      <c r="U500" s="291"/>
      <c r="V500" s="291"/>
      <c r="W500" s="291"/>
      <c r="X500" s="283"/>
      <c r="Y500" s="284" t="n">
        <f aca="false">IFERROR(L500*$G500*I$9, "")</f>
        <v>0</v>
      </c>
      <c r="Z500" s="284" t="n">
        <f aca="false">IFERROR(M500*$G500*$I500, "")</f>
        <v>0</v>
      </c>
      <c r="AA500" s="284" t="n">
        <f aca="false">IFERROR(N500*$G500*$I500, "")</f>
        <v>0</v>
      </c>
      <c r="AB500" s="284" t="n">
        <f aca="false">IFERROR(O500*$G500*$I500, "")</f>
        <v>0</v>
      </c>
      <c r="AC500" s="284" t="n">
        <f aca="false">IFERROR(P500*$G500*$I500, "")</f>
        <v>0</v>
      </c>
      <c r="AD500" s="284" t="n">
        <f aca="false">IFERROR(Q500*$G500*$I500, "")</f>
        <v>0</v>
      </c>
      <c r="AE500" s="284" t="n">
        <f aca="false">IFERROR(R500*$G500*$I500, "")</f>
        <v>0</v>
      </c>
      <c r="AF500" s="284" t="n">
        <f aca="false">IFERROR(S500*$G500*$I500, "")</f>
        <v>0</v>
      </c>
      <c r="AG500" s="284" t="n">
        <f aca="false">IFERROR(T500*$G500*$I500, "")</f>
        <v>0</v>
      </c>
      <c r="AH500" s="284" t="n">
        <f aca="false">IFERROR(U500*$G500*$I500, "")</f>
        <v>0</v>
      </c>
      <c r="AI500" s="284" t="n">
        <f aca="false">IFERROR(V500*$G500*$I500, "")</f>
        <v>0</v>
      </c>
      <c r="AJ500" s="284" t="n">
        <f aca="false">IFERROR(W500*$G500*$I500, "")</f>
        <v>0</v>
      </c>
      <c r="AK500" s="294" t="n">
        <f aca="false">IFERROR(SUMIF($Y$4:$AJ$4, "RDEC", Y500:AJ500), "")</f>
        <v>0</v>
      </c>
      <c r="AL500" s="294" t="n">
        <f aca="false">IFERROR(SUMIF($Y$4:$AJ$4, "SME", Y500:AJ500), "")</f>
        <v>0</v>
      </c>
      <c r="AM500" s="294" t="n">
        <f aca="false">IFERROR(SUMIF($Y$4:$AJ$4, "De Minimis", Y500:AJ500), "")</f>
        <v>0</v>
      </c>
      <c r="AN500" s="283"/>
      <c r="AO500" s="284" t="n">
        <f aca="false">IFERROR($G500*$J500*L500, "")</f>
        <v>0</v>
      </c>
      <c r="AP500" s="284" t="n">
        <f aca="false">IFERROR($G500*$J500*M500, "")</f>
        <v>0</v>
      </c>
      <c r="AQ500" s="284" t="n">
        <f aca="false">IFERROR($G500*$J500*N500, "")</f>
        <v>0</v>
      </c>
      <c r="AR500" s="284" t="n">
        <f aca="false">IFERROR($G500*$J500*O500, "")</f>
        <v>0</v>
      </c>
      <c r="AS500" s="284" t="n">
        <f aca="false">IFERROR($G500*$J500*P500, "")</f>
        <v>0</v>
      </c>
      <c r="AT500" s="284" t="n">
        <f aca="false">IFERROR($G500*$J500*Q500, "")</f>
        <v>0</v>
      </c>
      <c r="AU500" s="284" t="n">
        <f aca="false">IFERROR($G500*$J500*R500, "")</f>
        <v>0</v>
      </c>
      <c r="AV500" s="284" t="n">
        <f aca="false">IFERROR($G500*$J500*S500, "")</f>
        <v>0</v>
      </c>
      <c r="AW500" s="284" t="n">
        <f aca="false">IFERROR($G500*$J500*T500, "")</f>
        <v>0</v>
      </c>
      <c r="AX500" s="284" t="n">
        <f aca="false">IFERROR($G500*$J500*U500, "")</f>
        <v>0</v>
      </c>
      <c r="AY500" s="284" t="n">
        <f aca="false">IFERROR($G500*$J500*V500, "")</f>
        <v>0</v>
      </c>
      <c r="AZ500" s="284" t="n">
        <f aca="false">IFERROR($G500*$J500*W500, "")</f>
        <v>0</v>
      </c>
      <c r="BA500" s="286" t="n">
        <f aca="false">IFERROR(SUMIF($AO$4:$AZ$4, "RDEC", AO500:AZ500), "")</f>
        <v>0</v>
      </c>
      <c r="BB500" s="286" t="n">
        <f aca="false">IFERROR(SUMIF($AO$4:$AZ$4, "SME", AO500:AZ500), "")</f>
        <v>0</v>
      </c>
      <c r="BC500" s="294" t="n">
        <f aca="false">IFERROR(SUMIF($Y$4:$AJ$4, "De Minimis", AO500:AZ500), "")</f>
        <v>0</v>
      </c>
      <c r="BD500" s="303"/>
      <c r="BE500" s="295" t="str">
        <f aca="false">IF((SUM(L500:W500)&gt;1),"ERROR","")</f>
        <v/>
      </c>
    </row>
    <row r="501" customFormat="false" ht="15" hidden="false" customHeight="true" outlineLevel="0" collapsed="false">
      <c r="B501" s="296"/>
      <c r="D501" s="297" t="s">
        <v>82</v>
      </c>
      <c r="E501" s="299" t="n">
        <f aca="false">SUM(E489:E500)</f>
        <v>0</v>
      </c>
      <c r="F501" s="299" t="n">
        <f aca="false">SUM(F489:F500)</f>
        <v>0</v>
      </c>
      <c r="G501" s="299" t="n">
        <f aca="false">SUM(G489:G500)</f>
        <v>0</v>
      </c>
      <c r="H501" s="300"/>
      <c r="I501" s="301" t="n">
        <f aca="false">AVERAGE(I489:I500)</f>
        <v>1</v>
      </c>
      <c r="J501" s="301" t="n">
        <f aca="false">AVERAGE(J489:J500)</f>
        <v>0</v>
      </c>
      <c r="K501" s="300"/>
      <c r="L501" s="290" t="n">
        <f aca="false">IF(SUM(L489:L500)&gt;0,(Y501/G501),0)</f>
        <v>0</v>
      </c>
      <c r="M501" s="301" t="n">
        <f aca="false">IF(SUM(M489:M500)&gt;0,(Z501/G501),0)</f>
        <v>0</v>
      </c>
      <c r="N501" s="301" t="n">
        <f aca="false">IF(SUM(N489:N500)&gt;0,(AA501/G501),0)</f>
        <v>0</v>
      </c>
      <c r="O501" s="301" t="n">
        <f aca="false">IF(SUM(O489:O500)&gt;0,(AB501/G501),0)</f>
        <v>0</v>
      </c>
      <c r="P501" s="301" t="n">
        <f aca="false">IF(SUM(P489:P500)&gt;0,(AC501/G501),0)</f>
        <v>0</v>
      </c>
      <c r="Q501" s="301" t="n">
        <f aca="false">IF(SUM(Q489:Q500)&gt;0,(AD501/G501),0)</f>
        <v>0</v>
      </c>
      <c r="R501" s="301" t="n">
        <f aca="false">IF(SUM(R489:R500)&gt;0,(AE501/G501),0)</f>
        <v>0</v>
      </c>
      <c r="S501" s="301" t="n">
        <f aca="false">IF(SUM(S489:S500)&gt;0,(AF501/G501),0)</f>
        <v>0</v>
      </c>
      <c r="T501" s="301" t="n">
        <f aca="false">IF(SUM(T489:T500)&gt;0,(AG501/G501),0)</f>
        <v>0</v>
      </c>
      <c r="U501" s="301" t="n">
        <f aca="false">IF(SUM(U489:U500)&gt;0,(AJ501/G501),0)</f>
        <v>0</v>
      </c>
      <c r="V501" s="301" t="n">
        <f aca="false">IF(SUM(V489:V500)&gt;0,(AI501/G501),0)</f>
        <v>0</v>
      </c>
      <c r="W501" s="301" t="n">
        <f aca="false">IF(SUM(W489:W500)&gt;0,(AJ501/G501),0)</f>
        <v>0</v>
      </c>
      <c r="X501" s="283"/>
      <c r="Y501" s="304" t="n">
        <f aca="false">SUM(Y489:Y500)</f>
        <v>0</v>
      </c>
      <c r="Z501" s="304" t="n">
        <f aca="false">SUM(Z489:Z500)</f>
        <v>0</v>
      </c>
      <c r="AA501" s="304" t="n">
        <f aca="false">SUM(AA489:AA500)</f>
        <v>0</v>
      </c>
      <c r="AB501" s="304" t="n">
        <f aca="false">SUM(AB489:AB500)</f>
        <v>0</v>
      </c>
      <c r="AC501" s="304" t="n">
        <f aca="false">SUM(AC489:AC500)</f>
        <v>0</v>
      </c>
      <c r="AD501" s="304" t="n">
        <f aca="false">SUM(AD489:AD500)</f>
        <v>0</v>
      </c>
      <c r="AE501" s="304" t="n">
        <f aca="false">SUM(AE489:AE500)</f>
        <v>0</v>
      </c>
      <c r="AF501" s="304" t="n">
        <f aca="false">SUM(AF489:AF500)</f>
        <v>0</v>
      </c>
      <c r="AG501" s="304" t="n">
        <f aca="false">SUM(AG489:AG500)</f>
        <v>0</v>
      </c>
      <c r="AH501" s="304" t="n">
        <f aca="false">SUM(AH489:AH500)</f>
        <v>0</v>
      </c>
      <c r="AI501" s="304" t="n">
        <f aca="false">SUM(AI489:AI500)</f>
        <v>0</v>
      </c>
      <c r="AJ501" s="304" t="n">
        <f aca="false">SUM(AJ489:AJ500)</f>
        <v>0</v>
      </c>
      <c r="AK501" s="335" t="n">
        <f aca="false">SUM(AK489:AK500)</f>
        <v>0</v>
      </c>
      <c r="AL501" s="336" t="n">
        <f aca="false">SUM(AL489:AL500)</f>
        <v>0</v>
      </c>
      <c r="AM501" s="305" t="n">
        <f aca="false">SUM(AM489:AM500)</f>
        <v>0</v>
      </c>
      <c r="AN501" s="283"/>
      <c r="AO501" s="304" t="n">
        <f aca="false">SUM(AO489:AO500)</f>
        <v>0</v>
      </c>
      <c r="AP501" s="304" t="n">
        <f aca="false">SUM(AP489:AP500)</f>
        <v>0</v>
      </c>
      <c r="AQ501" s="304" t="n">
        <f aca="false">SUM(AQ489:AQ500)</f>
        <v>0</v>
      </c>
      <c r="AR501" s="304" t="n">
        <f aca="false">SUM(AR489:AR500)</f>
        <v>0</v>
      </c>
      <c r="AS501" s="304" t="n">
        <f aca="false">SUM(AS489:AS500)</f>
        <v>0</v>
      </c>
      <c r="AT501" s="304" t="n">
        <f aca="false">SUM(AT489:AT500)</f>
        <v>0</v>
      </c>
      <c r="AU501" s="304" t="n">
        <f aca="false">SUM(AU489:AU500)</f>
        <v>0</v>
      </c>
      <c r="AV501" s="304" t="n">
        <f aca="false">SUM(AV489:AV500)</f>
        <v>0</v>
      </c>
      <c r="AW501" s="304" t="n">
        <f aca="false">SUM(AW489:AW500)</f>
        <v>0</v>
      </c>
      <c r="AX501" s="304" t="n">
        <f aca="false">SUM(AX489:AX500)</f>
        <v>0</v>
      </c>
      <c r="AY501" s="304" t="n">
        <f aca="false">SUM(AY489:AY500)</f>
        <v>0</v>
      </c>
      <c r="AZ501" s="304" t="n">
        <f aca="false">SUM(AZ489:AZ500)</f>
        <v>0</v>
      </c>
      <c r="BA501" s="336" t="n">
        <f aca="false">SUM(BA489:BA500)</f>
        <v>0</v>
      </c>
      <c r="BB501" s="336" t="n">
        <f aca="false">SUM(BB489:BB500)</f>
        <v>0</v>
      </c>
      <c r="BC501" s="305" t="n">
        <f aca="false">SUM(BC489:BC500)</f>
        <v>0</v>
      </c>
      <c r="BD501" s="303"/>
      <c r="BE501" s="337"/>
    </row>
    <row r="502" customFormat="false" ht="15" hidden="false" customHeight="true" outlineLevel="0" collapsed="false">
      <c r="B502" s="296"/>
      <c r="D502" s="297"/>
      <c r="E502" s="300"/>
      <c r="F502" s="300"/>
      <c r="G502" s="300"/>
      <c r="H502" s="241"/>
      <c r="I502" s="302"/>
      <c r="J502" s="302"/>
      <c r="K502" s="241"/>
      <c r="L502" s="259"/>
      <c r="M502" s="259"/>
      <c r="N502" s="259"/>
      <c r="O502" s="259"/>
      <c r="P502" s="259"/>
      <c r="Q502" s="259"/>
      <c r="R502" s="259"/>
      <c r="S502" s="259"/>
      <c r="T502" s="259"/>
      <c r="U502" s="259"/>
      <c r="V502" s="259"/>
      <c r="W502" s="259"/>
      <c r="X502" s="303"/>
      <c r="Y502" s="259"/>
      <c r="Z502" s="303"/>
      <c r="AA502" s="303"/>
      <c r="AB502" s="303"/>
      <c r="AC502" s="303"/>
      <c r="AD502" s="303"/>
      <c r="AE502" s="303"/>
      <c r="AF502" s="303"/>
      <c r="AG502" s="303"/>
      <c r="AH502" s="303"/>
      <c r="AI502" s="303"/>
      <c r="AJ502" s="303"/>
      <c r="AK502" s="303"/>
      <c r="AL502" s="303"/>
      <c r="AM502" s="303"/>
      <c r="AN502" s="303"/>
      <c r="AO502" s="259"/>
      <c r="AP502" s="303"/>
      <c r="AQ502" s="303"/>
      <c r="AR502" s="303"/>
      <c r="AS502" s="303"/>
      <c r="AT502" s="303"/>
      <c r="AU502" s="303"/>
      <c r="AV502" s="303"/>
      <c r="AW502" s="303"/>
      <c r="AX502" s="303"/>
      <c r="AY502" s="303"/>
      <c r="AZ502" s="303"/>
      <c r="BA502" s="303"/>
      <c r="BB502" s="303"/>
      <c r="BC502" s="303"/>
      <c r="BD502" s="268"/>
      <c r="BE502" s="303"/>
    </row>
    <row r="503" customFormat="false" ht="15" hidden="false" customHeight="true" outlineLevel="0" collapsed="false">
      <c r="A503" s="198" t="n">
        <f aca="false">A487+1</f>
        <v>32</v>
      </c>
      <c r="B503" s="266" t="s">
        <v>253</v>
      </c>
      <c r="C503" s="266" t="s">
        <v>253</v>
      </c>
      <c r="D503" s="266"/>
      <c r="E503" s="241"/>
      <c r="F503" s="241"/>
      <c r="G503" s="241"/>
      <c r="H503" s="241"/>
      <c r="I503" s="241"/>
      <c r="J503" s="241"/>
      <c r="K503" s="277"/>
      <c r="L503" s="241"/>
      <c r="M503" s="241"/>
      <c r="N503" s="241"/>
      <c r="O503" s="241"/>
      <c r="P503" s="241"/>
      <c r="Q503" s="241"/>
      <c r="R503" s="241"/>
      <c r="S503" s="241"/>
      <c r="T503" s="241"/>
      <c r="U503" s="241"/>
      <c r="V503" s="241"/>
      <c r="W503" s="241"/>
      <c r="X503" s="259"/>
      <c r="Y503" s="268"/>
      <c r="Z503" s="268"/>
      <c r="AA503" s="268"/>
      <c r="AB503" s="268"/>
      <c r="AC503" s="268"/>
      <c r="AD503" s="268"/>
      <c r="AE503" s="268"/>
      <c r="AF503" s="268"/>
      <c r="AG503" s="268"/>
      <c r="AH503" s="268"/>
      <c r="AI503" s="268"/>
      <c r="AJ503" s="268"/>
      <c r="AK503" s="268"/>
      <c r="AL503" s="268"/>
      <c r="AM503" s="268"/>
      <c r="AN503" s="259"/>
      <c r="AO503" s="268"/>
      <c r="AP503" s="268"/>
      <c r="AQ503" s="268"/>
      <c r="AR503" s="268"/>
      <c r="AS503" s="268"/>
      <c r="AT503" s="268"/>
      <c r="AU503" s="268"/>
      <c r="AV503" s="268"/>
      <c r="AW503" s="268"/>
      <c r="AX503" s="268"/>
      <c r="AY503" s="268"/>
      <c r="AZ503" s="268"/>
      <c r="BA503" s="268"/>
      <c r="BB503" s="268"/>
      <c r="BC503" s="268"/>
      <c r="BD503" s="287"/>
      <c r="BE503" s="268"/>
    </row>
    <row r="504" customFormat="false" ht="7.5" hidden="false" customHeight="true" outlineLevel="0" collapsed="false">
      <c r="A504" s="198"/>
      <c r="B504" s="266"/>
      <c r="C504" s="266"/>
      <c r="D504" s="266"/>
      <c r="E504" s="241"/>
      <c r="F504" s="241"/>
      <c r="G504" s="241"/>
      <c r="H504" s="204"/>
      <c r="I504" s="269"/>
      <c r="J504" s="269"/>
      <c r="K504" s="277"/>
      <c r="L504" s="269"/>
      <c r="M504" s="269"/>
      <c r="N504" s="269"/>
      <c r="O504" s="269"/>
      <c r="P504" s="269"/>
      <c r="Q504" s="269"/>
      <c r="R504" s="269"/>
      <c r="S504" s="269"/>
      <c r="T504" s="269"/>
      <c r="U504" s="269"/>
      <c r="V504" s="269"/>
      <c r="W504" s="269"/>
      <c r="X504" s="259"/>
      <c r="Y504" s="271"/>
      <c r="Z504" s="271"/>
      <c r="AA504" s="271"/>
      <c r="AB504" s="271"/>
      <c r="AC504" s="271"/>
      <c r="AD504" s="271"/>
      <c r="AE504" s="271"/>
      <c r="AF504" s="271"/>
      <c r="AG504" s="271"/>
      <c r="AH504" s="271"/>
      <c r="AI504" s="271"/>
      <c r="AJ504" s="272"/>
      <c r="AK504" s="273"/>
      <c r="AL504" s="273"/>
      <c r="AM504" s="273"/>
      <c r="AN504" s="259"/>
      <c r="AO504" s="271"/>
      <c r="AP504" s="271"/>
      <c r="AQ504" s="271"/>
      <c r="AR504" s="271"/>
      <c r="AS504" s="271"/>
      <c r="AT504" s="271"/>
      <c r="AU504" s="271"/>
      <c r="AV504" s="271"/>
      <c r="AW504" s="271"/>
      <c r="AX504" s="271"/>
      <c r="AY504" s="271"/>
      <c r="AZ504" s="272"/>
      <c r="BA504" s="273"/>
      <c r="BB504" s="273"/>
      <c r="BC504" s="273"/>
      <c r="BD504" s="287"/>
      <c r="BE504" s="274"/>
    </row>
    <row r="505" customFormat="false" ht="15" hidden="false" customHeight="true" outlineLevel="0" collapsed="false">
      <c r="B505" s="333"/>
      <c r="C505" s="334"/>
      <c r="D505" s="333" t="n">
        <f aca="false">D489</f>
        <v>45292</v>
      </c>
      <c r="E505" s="277" t="n">
        <v>0</v>
      </c>
      <c r="F505" s="277" t="n">
        <v>0</v>
      </c>
      <c r="G505" s="277" t="n">
        <f aca="false">SUM(E505:F505)</f>
        <v>0</v>
      </c>
      <c r="H505" s="204"/>
      <c r="I505" s="279" t="n">
        <v>1</v>
      </c>
      <c r="J505" s="280" t="n">
        <f aca="false">1-I505</f>
        <v>0</v>
      </c>
      <c r="K505" s="277"/>
      <c r="L505" s="282"/>
      <c r="M505" s="282"/>
      <c r="N505" s="282"/>
      <c r="O505" s="282"/>
      <c r="P505" s="282"/>
      <c r="Q505" s="282"/>
      <c r="R505" s="282"/>
      <c r="S505" s="282"/>
      <c r="T505" s="282"/>
      <c r="U505" s="282"/>
      <c r="V505" s="282"/>
      <c r="W505" s="282"/>
      <c r="X505" s="268"/>
      <c r="Y505" s="284" t="n">
        <f aca="false">IFERROR(L505*$G505*I$9, "")</f>
        <v>0</v>
      </c>
      <c r="Z505" s="284" t="n">
        <f aca="false">IFERROR(M505*$G505*$I505, "")</f>
        <v>0</v>
      </c>
      <c r="AA505" s="284" t="n">
        <f aca="false">IFERROR(N505*$G505*$I505, "")</f>
        <v>0</v>
      </c>
      <c r="AB505" s="284" t="n">
        <f aca="false">IFERROR(O505*$G505*$I505, "")</f>
        <v>0</v>
      </c>
      <c r="AC505" s="284" t="n">
        <f aca="false">IFERROR(P505*$G505*$I505, "")</f>
        <v>0</v>
      </c>
      <c r="AD505" s="284" t="n">
        <f aca="false">IFERROR(Q505*$G505*$I505, "")</f>
        <v>0</v>
      </c>
      <c r="AE505" s="284" t="n">
        <f aca="false">IFERROR(R505*$G505*$I505, "")</f>
        <v>0</v>
      </c>
      <c r="AF505" s="284" t="n">
        <f aca="false">IFERROR(S505*$G505*$I505, "")</f>
        <v>0</v>
      </c>
      <c r="AG505" s="284" t="n">
        <f aca="false">IFERROR(T505*$G505*$I505, "")</f>
        <v>0</v>
      </c>
      <c r="AH505" s="284" t="n">
        <f aca="false">IFERROR(U505*$G505*$I505, "")</f>
        <v>0</v>
      </c>
      <c r="AI505" s="284" t="n">
        <f aca="false">IFERROR(V505*$G505*$I505, "")</f>
        <v>0</v>
      </c>
      <c r="AJ505" s="284" t="n">
        <f aca="false">IFERROR(W505*$G505*$I505, "")</f>
        <v>0</v>
      </c>
      <c r="AK505" s="286" t="n">
        <f aca="false">IFERROR(SUMIF($Y$4:$AJ$4, "RDEC", Y505:AJ505), "")</f>
        <v>0</v>
      </c>
      <c r="AL505" s="286" t="n">
        <f aca="false">IFERROR(SUMIF($Y$4:$AJ$4, "SME", Y505:AJ505), "")</f>
        <v>0</v>
      </c>
      <c r="AM505" s="286" t="n">
        <f aca="false">IFERROR(SUMIF($Y$4:$AJ$4, "De Minimis", Y505:AJ505), "")</f>
        <v>0</v>
      </c>
      <c r="AN505" s="268"/>
      <c r="AO505" s="284" t="n">
        <f aca="false">IFERROR($G505*$J505*L505, "")</f>
        <v>0</v>
      </c>
      <c r="AP505" s="284" t="n">
        <f aca="false">IFERROR($G505*$J505*M505, "")</f>
        <v>0</v>
      </c>
      <c r="AQ505" s="284" t="n">
        <f aca="false">IFERROR($G505*$J505*N505, "")</f>
        <v>0</v>
      </c>
      <c r="AR505" s="284" t="n">
        <f aca="false">IFERROR($G505*$J505*O505, "")</f>
        <v>0</v>
      </c>
      <c r="AS505" s="284" t="n">
        <f aca="false">IFERROR($G505*$J505*P505, "")</f>
        <v>0</v>
      </c>
      <c r="AT505" s="284" t="n">
        <f aca="false">IFERROR($G505*$J505*Q505, "")</f>
        <v>0</v>
      </c>
      <c r="AU505" s="284" t="n">
        <f aca="false">IFERROR($G505*$J505*R505, "")</f>
        <v>0</v>
      </c>
      <c r="AV505" s="284" t="n">
        <f aca="false">IFERROR($G505*$J505*S505, "")</f>
        <v>0</v>
      </c>
      <c r="AW505" s="284" t="n">
        <f aca="false">IFERROR($G505*$J505*T505, "")</f>
        <v>0</v>
      </c>
      <c r="AX505" s="284" t="n">
        <f aca="false">IFERROR($G505*$J505*U505, "")</f>
        <v>0</v>
      </c>
      <c r="AY505" s="284" t="n">
        <f aca="false">IFERROR($G505*$J505*V505, "")</f>
        <v>0</v>
      </c>
      <c r="AZ505" s="284" t="n">
        <f aca="false">IFERROR($G505*$J505*W505, "")</f>
        <v>0</v>
      </c>
      <c r="BA505" s="286" t="n">
        <f aca="false">IFERROR(SUMIF($AO$4:$AZ$4, "RDEC", AO505:AZ505), "")</f>
        <v>0</v>
      </c>
      <c r="BB505" s="286" t="n">
        <f aca="false">IFERROR(SUMIF($AO$4:$AZ$4, "SME", AO505:AZ505), "")</f>
        <v>0</v>
      </c>
      <c r="BC505" s="286" t="n">
        <f aca="false">IFERROR(SUMIF($AO$4:$AZ$4, "De Minimis", AO505:AZ505), "")</f>
        <v>0</v>
      </c>
      <c r="BD505" s="287"/>
      <c r="BE505" s="288" t="str">
        <f aca="false">IF((SUM(L505:W505)&gt;1),"ERROR","")</f>
        <v/>
      </c>
    </row>
    <row r="506" customFormat="false" ht="15" hidden="false" customHeight="true" outlineLevel="0" collapsed="false">
      <c r="B506" s="333"/>
      <c r="C506" s="334"/>
      <c r="D506" s="333" t="n">
        <f aca="false">D490</f>
        <v>45323</v>
      </c>
      <c r="E506" s="277" t="n">
        <v>0</v>
      </c>
      <c r="F506" s="277" t="n">
        <v>0</v>
      </c>
      <c r="G506" s="277" t="n">
        <f aca="false">SUM(E506:F506)</f>
        <v>0</v>
      </c>
      <c r="H506" s="204"/>
      <c r="I506" s="279" t="n">
        <v>1</v>
      </c>
      <c r="J506" s="280" t="n">
        <f aca="false">1-I506</f>
        <v>0</v>
      </c>
      <c r="K506" s="277"/>
      <c r="L506" s="282"/>
      <c r="M506" s="282"/>
      <c r="N506" s="282"/>
      <c r="O506" s="282"/>
      <c r="P506" s="282"/>
      <c r="Q506" s="282"/>
      <c r="R506" s="282"/>
      <c r="S506" s="282"/>
      <c r="T506" s="282"/>
      <c r="U506" s="282"/>
      <c r="V506" s="282"/>
      <c r="W506" s="282"/>
      <c r="X506" s="283"/>
      <c r="Y506" s="284" t="n">
        <f aca="false">IFERROR(L506*$G506*I$9, "")</f>
        <v>0</v>
      </c>
      <c r="Z506" s="284" t="n">
        <f aca="false">IFERROR(M506*$G506*$I506, "")</f>
        <v>0</v>
      </c>
      <c r="AA506" s="284" t="n">
        <f aca="false">IFERROR(N506*$G506*$I506, "")</f>
        <v>0</v>
      </c>
      <c r="AB506" s="284" t="n">
        <f aca="false">IFERROR(O506*$G506*$I506, "")</f>
        <v>0</v>
      </c>
      <c r="AC506" s="284" t="n">
        <f aca="false">IFERROR(P506*$G506*$I506, "")</f>
        <v>0</v>
      </c>
      <c r="AD506" s="284" t="n">
        <f aca="false">IFERROR(Q506*$G506*$I506, "")</f>
        <v>0</v>
      </c>
      <c r="AE506" s="284" t="n">
        <f aca="false">IFERROR(R506*$G506*$I506, "")</f>
        <v>0</v>
      </c>
      <c r="AF506" s="284" t="n">
        <f aca="false">IFERROR(S506*$G506*$I506, "")</f>
        <v>0</v>
      </c>
      <c r="AG506" s="284" t="n">
        <f aca="false">IFERROR(T506*$G506*$I506, "")</f>
        <v>0</v>
      </c>
      <c r="AH506" s="284" t="n">
        <f aca="false">IFERROR(U506*$G506*$I506, "")</f>
        <v>0</v>
      </c>
      <c r="AI506" s="284" t="n">
        <f aca="false">IFERROR(V506*$G506*$I506, "")</f>
        <v>0</v>
      </c>
      <c r="AJ506" s="284" t="n">
        <f aca="false">IFERROR(W506*$G506*$I506, "")</f>
        <v>0</v>
      </c>
      <c r="AK506" s="286" t="n">
        <f aca="false">IFERROR(SUMIF($Y$4:$AJ$4, "RDEC", Y506:AJ506), "")</f>
        <v>0</v>
      </c>
      <c r="AL506" s="286" t="n">
        <f aca="false">IFERROR(SUMIF($Y$4:$AJ$4, "SME", Y506:AJ506), "")</f>
        <v>0</v>
      </c>
      <c r="AM506" s="286" t="n">
        <f aca="false">IFERROR(SUMIF($Y$4:$AJ$4, "De Minimis", Y506:AJ506), "")</f>
        <v>0</v>
      </c>
      <c r="AN506" s="283"/>
      <c r="AO506" s="284" t="n">
        <f aca="false">IFERROR($G506*$J506*L506, "")</f>
        <v>0</v>
      </c>
      <c r="AP506" s="284" t="n">
        <f aca="false">IFERROR($G506*$J506*M506, "")</f>
        <v>0</v>
      </c>
      <c r="AQ506" s="284" t="n">
        <f aca="false">IFERROR($G506*$J506*N506, "")</f>
        <v>0</v>
      </c>
      <c r="AR506" s="284" t="n">
        <f aca="false">IFERROR($G506*$J506*O506, "")</f>
        <v>0</v>
      </c>
      <c r="AS506" s="284" t="n">
        <f aca="false">IFERROR($G506*$J506*P506, "")</f>
        <v>0</v>
      </c>
      <c r="AT506" s="284" t="n">
        <f aca="false">IFERROR($G506*$J506*Q506, "")</f>
        <v>0</v>
      </c>
      <c r="AU506" s="284" t="n">
        <f aca="false">IFERROR($G506*$J506*R506, "")</f>
        <v>0</v>
      </c>
      <c r="AV506" s="284" t="n">
        <f aca="false">IFERROR($G506*$J506*S506, "")</f>
        <v>0</v>
      </c>
      <c r="AW506" s="284" t="n">
        <f aca="false">IFERROR($G506*$J506*T506, "")</f>
        <v>0</v>
      </c>
      <c r="AX506" s="284" t="n">
        <f aca="false">IFERROR($G506*$J506*U506, "")</f>
        <v>0</v>
      </c>
      <c r="AY506" s="284" t="n">
        <f aca="false">IFERROR($G506*$J506*V506, "")</f>
        <v>0</v>
      </c>
      <c r="AZ506" s="284" t="n">
        <f aca="false">IFERROR($G506*$J506*W506, "")</f>
        <v>0</v>
      </c>
      <c r="BA506" s="286" t="n">
        <f aca="false">IFERROR(SUMIF($AO$4:$AZ$4, "RDEC", AO506:AZ506), "")</f>
        <v>0</v>
      </c>
      <c r="BB506" s="286" t="n">
        <f aca="false">IFERROR(SUMIF($AO$4:$AZ$4, "SME", AO506:AZ506), "")</f>
        <v>0</v>
      </c>
      <c r="BC506" s="286" t="n">
        <f aca="false">IFERROR(SUMIF($Y$4:$AJ$4, "De Minimis", AO506:AZ506), "")</f>
        <v>0</v>
      </c>
      <c r="BD506" s="287"/>
      <c r="BE506" s="288" t="str">
        <f aca="false">IF((SUM(L506:W506)&gt;1),"ERROR","")</f>
        <v/>
      </c>
    </row>
    <row r="507" customFormat="false" ht="15" hidden="false" customHeight="true" outlineLevel="0" collapsed="false">
      <c r="B507" s="333"/>
      <c r="C507" s="334"/>
      <c r="D507" s="333" t="n">
        <f aca="false">D491</f>
        <v>45352</v>
      </c>
      <c r="E507" s="277" t="n">
        <v>0</v>
      </c>
      <c r="F507" s="277" t="n">
        <v>0</v>
      </c>
      <c r="G507" s="277" t="n">
        <f aca="false">SUM(E507:F507)</f>
        <v>0</v>
      </c>
      <c r="H507" s="204"/>
      <c r="I507" s="279" t="n">
        <v>1</v>
      </c>
      <c r="J507" s="280" t="n">
        <f aca="false">1-I507</f>
        <v>0</v>
      </c>
      <c r="K507" s="277"/>
      <c r="L507" s="282"/>
      <c r="M507" s="282"/>
      <c r="N507" s="282"/>
      <c r="O507" s="282"/>
      <c r="P507" s="282"/>
      <c r="Q507" s="282"/>
      <c r="R507" s="282"/>
      <c r="S507" s="282"/>
      <c r="T507" s="282"/>
      <c r="U507" s="282"/>
      <c r="V507" s="282"/>
      <c r="W507" s="282"/>
      <c r="X507" s="283"/>
      <c r="Y507" s="284" t="n">
        <f aca="false">IFERROR(L507*$G507*I$9, "")</f>
        <v>0</v>
      </c>
      <c r="Z507" s="284" t="n">
        <f aca="false">IFERROR(M507*$G507*$I507, "")</f>
        <v>0</v>
      </c>
      <c r="AA507" s="284" t="n">
        <f aca="false">IFERROR(N507*$G507*$I507, "")</f>
        <v>0</v>
      </c>
      <c r="AB507" s="284" t="n">
        <f aca="false">IFERROR(O507*$G507*$I507, "")</f>
        <v>0</v>
      </c>
      <c r="AC507" s="284" t="n">
        <f aca="false">IFERROR(P507*$G507*$I507, "")</f>
        <v>0</v>
      </c>
      <c r="AD507" s="284" t="n">
        <f aca="false">IFERROR(Q507*$G507*$I507, "")</f>
        <v>0</v>
      </c>
      <c r="AE507" s="284" t="n">
        <f aca="false">IFERROR(R507*$G507*$I507, "")</f>
        <v>0</v>
      </c>
      <c r="AF507" s="284" t="n">
        <f aca="false">IFERROR(S507*$G507*$I507, "")</f>
        <v>0</v>
      </c>
      <c r="AG507" s="284" t="n">
        <f aca="false">IFERROR(T507*$G507*$I507, "")</f>
        <v>0</v>
      </c>
      <c r="AH507" s="284" t="n">
        <f aca="false">IFERROR(U507*$G507*$I507, "")</f>
        <v>0</v>
      </c>
      <c r="AI507" s="284" t="n">
        <f aca="false">IFERROR(V507*$G507*$I507, "")</f>
        <v>0</v>
      </c>
      <c r="AJ507" s="284" t="n">
        <f aca="false">IFERROR(W507*$G507*$I507, "")</f>
        <v>0</v>
      </c>
      <c r="AK507" s="286" t="n">
        <f aca="false">IFERROR(SUMIF($Y$4:$AJ$4, "RDEC", Y507:AJ507), "")</f>
        <v>0</v>
      </c>
      <c r="AL507" s="286" t="n">
        <f aca="false">IFERROR(SUMIF($Y$4:$AJ$4, "SME", Y507:AJ507), "")</f>
        <v>0</v>
      </c>
      <c r="AM507" s="286" t="n">
        <f aca="false">IFERROR(SUMIF($Y$4:$AJ$4, "De Minimis", Y507:AJ507), "")</f>
        <v>0</v>
      </c>
      <c r="AN507" s="283"/>
      <c r="AO507" s="284" t="n">
        <f aca="false">IFERROR($G507*$J507*L507, "")</f>
        <v>0</v>
      </c>
      <c r="AP507" s="284" t="n">
        <f aca="false">IFERROR($G507*$J507*M507, "")</f>
        <v>0</v>
      </c>
      <c r="AQ507" s="284" t="n">
        <f aca="false">IFERROR($G507*$J507*N507, "")</f>
        <v>0</v>
      </c>
      <c r="AR507" s="284" t="n">
        <f aca="false">IFERROR($G507*$J507*O507, "")</f>
        <v>0</v>
      </c>
      <c r="AS507" s="284" t="n">
        <f aca="false">IFERROR($G507*$J507*P507, "")</f>
        <v>0</v>
      </c>
      <c r="AT507" s="284" t="n">
        <f aca="false">IFERROR($G507*$J507*Q507, "")</f>
        <v>0</v>
      </c>
      <c r="AU507" s="284" t="n">
        <f aca="false">IFERROR($G507*$J507*R507, "")</f>
        <v>0</v>
      </c>
      <c r="AV507" s="284" t="n">
        <f aca="false">IFERROR($G507*$J507*S507, "")</f>
        <v>0</v>
      </c>
      <c r="AW507" s="284" t="n">
        <f aca="false">IFERROR($G507*$J507*T507, "")</f>
        <v>0</v>
      </c>
      <c r="AX507" s="284" t="n">
        <f aca="false">IFERROR($G507*$J507*U507, "")</f>
        <v>0</v>
      </c>
      <c r="AY507" s="284" t="n">
        <f aca="false">IFERROR($G507*$J507*V507, "")</f>
        <v>0</v>
      </c>
      <c r="AZ507" s="284" t="n">
        <f aca="false">IFERROR($G507*$J507*W507, "")</f>
        <v>0</v>
      </c>
      <c r="BA507" s="286" t="n">
        <f aca="false">IFERROR(SUMIF($AO$4:$AZ$4, "RDEC", AO507:AZ507), "")</f>
        <v>0</v>
      </c>
      <c r="BB507" s="286" t="n">
        <f aca="false">IFERROR(SUMIF($AO$4:$AZ$4, "SME", AO507:AZ507), "")</f>
        <v>0</v>
      </c>
      <c r="BC507" s="286" t="n">
        <f aca="false">IFERROR(SUMIF($Y$4:$AJ$4, "De Minimis", AO507:AZ507), "")</f>
        <v>0</v>
      </c>
      <c r="BD507" s="287"/>
      <c r="BE507" s="288" t="str">
        <f aca="false">IF((SUM(L507:W507)&gt;1),"ERROR","")</f>
        <v/>
      </c>
    </row>
    <row r="508" customFormat="false" ht="15" hidden="false" customHeight="true" outlineLevel="0" collapsed="false">
      <c r="B508" s="333"/>
      <c r="C508" s="334"/>
      <c r="D508" s="333" t="n">
        <f aca="false">D492</f>
        <v>45383</v>
      </c>
      <c r="E508" s="277" t="n">
        <v>0</v>
      </c>
      <c r="F508" s="277" t="n">
        <v>0</v>
      </c>
      <c r="G508" s="277" t="n">
        <f aca="false">SUM(E508:F508)</f>
        <v>0</v>
      </c>
      <c r="H508" s="204"/>
      <c r="I508" s="279" t="n">
        <v>1</v>
      </c>
      <c r="J508" s="280" t="n">
        <f aca="false">1-I508</f>
        <v>0</v>
      </c>
      <c r="K508" s="277"/>
      <c r="L508" s="282"/>
      <c r="M508" s="282"/>
      <c r="N508" s="282"/>
      <c r="O508" s="282"/>
      <c r="P508" s="282"/>
      <c r="Q508" s="282"/>
      <c r="R508" s="282"/>
      <c r="S508" s="282"/>
      <c r="T508" s="282"/>
      <c r="U508" s="282"/>
      <c r="V508" s="282"/>
      <c r="W508" s="282"/>
      <c r="X508" s="283"/>
      <c r="Y508" s="284" t="n">
        <f aca="false">IFERROR(L508*$G508*I$9, "")</f>
        <v>0</v>
      </c>
      <c r="Z508" s="284" t="n">
        <f aca="false">IFERROR(M508*$G508*$I508, "")</f>
        <v>0</v>
      </c>
      <c r="AA508" s="284" t="n">
        <f aca="false">IFERROR(N508*$G508*$I508, "")</f>
        <v>0</v>
      </c>
      <c r="AB508" s="284" t="n">
        <f aca="false">IFERROR(O508*$G508*$I508, "")</f>
        <v>0</v>
      </c>
      <c r="AC508" s="284" t="n">
        <f aca="false">IFERROR(P508*$G508*$I508, "")</f>
        <v>0</v>
      </c>
      <c r="AD508" s="284" t="n">
        <f aca="false">IFERROR(Q508*$G508*$I508, "")</f>
        <v>0</v>
      </c>
      <c r="AE508" s="284" t="n">
        <f aca="false">IFERROR(R508*$G508*$I508, "")</f>
        <v>0</v>
      </c>
      <c r="AF508" s="284" t="n">
        <f aca="false">IFERROR(S508*$G508*$I508, "")</f>
        <v>0</v>
      </c>
      <c r="AG508" s="284" t="n">
        <f aca="false">IFERROR(T508*$G508*$I508, "")</f>
        <v>0</v>
      </c>
      <c r="AH508" s="284" t="n">
        <f aca="false">IFERROR(U508*$G508*$I508, "")</f>
        <v>0</v>
      </c>
      <c r="AI508" s="284" t="n">
        <f aca="false">IFERROR(V508*$G508*$I508, "")</f>
        <v>0</v>
      </c>
      <c r="AJ508" s="284" t="n">
        <f aca="false">IFERROR(W508*$G508*$I508, "")</f>
        <v>0</v>
      </c>
      <c r="AK508" s="286" t="n">
        <f aca="false">IFERROR(SUMIF($Y$4:$AJ$4, "RDEC", Y508:AJ508), "")</f>
        <v>0</v>
      </c>
      <c r="AL508" s="286" t="n">
        <f aca="false">IFERROR(SUMIF($Y$4:$AJ$4, "SME", Y508:AJ508), "")</f>
        <v>0</v>
      </c>
      <c r="AM508" s="286" t="n">
        <f aca="false">IFERROR(SUMIF($Y$4:$AJ$4, "De Minimis", Y508:AJ508), "")</f>
        <v>0</v>
      </c>
      <c r="AN508" s="283"/>
      <c r="AO508" s="284" t="n">
        <f aca="false">IFERROR($G508*$J508*L508, "")</f>
        <v>0</v>
      </c>
      <c r="AP508" s="284" t="n">
        <f aca="false">IFERROR($G508*$J508*M508, "")</f>
        <v>0</v>
      </c>
      <c r="AQ508" s="284" t="n">
        <f aca="false">IFERROR($G508*$J508*N508, "")</f>
        <v>0</v>
      </c>
      <c r="AR508" s="284" t="n">
        <f aca="false">IFERROR($G508*$J508*O508, "")</f>
        <v>0</v>
      </c>
      <c r="AS508" s="284" t="n">
        <f aca="false">IFERROR($G508*$J508*P508, "")</f>
        <v>0</v>
      </c>
      <c r="AT508" s="284" t="n">
        <f aca="false">IFERROR($G508*$J508*Q508, "")</f>
        <v>0</v>
      </c>
      <c r="AU508" s="284" t="n">
        <f aca="false">IFERROR($G508*$J508*R508, "")</f>
        <v>0</v>
      </c>
      <c r="AV508" s="284" t="n">
        <f aca="false">IFERROR($G508*$J508*S508, "")</f>
        <v>0</v>
      </c>
      <c r="AW508" s="284" t="n">
        <f aca="false">IFERROR($G508*$J508*T508, "")</f>
        <v>0</v>
      </c>
      <c r="AX508" s="284" t="n">
        <f aca="false">IFERROR($G508*$J508*U508, "")</f>
        <v>0</v>
      </c>
      <c r="AY508" s="284" t="n">
        <f aca="false">IFERROR($G508*$J508*V508, "")</f>
        <v>0</v>
      </c>
      <c r="AZ508" s="284" t="n">
        <f aca="false">IFERROR($G508*$J508*W508, "")</f>
        <v>0</v>
      </c>
      <c r="BA508" s="286" t="n">
        <f aca="false">IFERROR(SUMIF($AO$4:$AZ$4, "RDEC", AO508:AZ508), "")</f>
        <v>0</v>
      </c>
      <c r="BB508" s="286" t="n">
        <f aca="false">IFERROR(SUMIF($AO$4:$AZ$4, "SME", AO508:AZ508), "")</f>
        <v>0</v>
      </c>
      <c r="BC508" s="286" t="n">
        <f aca="false">IFERROR(SUMIF($Y$4:$AJ$4, "De Minimis", AO508:AZ508), "")</f>
        <v>0</v>
      </c>
      <c r="BD508" s="287"/>
      <c r="BE508" s="288" t="str">
        <f aca="false">IF((SUM(L508:W508)&gt;1),"ERROR","")</f>
        <v/>
      </c>
    </row>
    <row r="509" customFormat="false" ht="15" hidden="false" customHeight="true" outlineLevel="0" collapsed="false">
      <c r="B509" s="333"/>
      <c r="C509" s="334"/>
      <c r="D509" s="333" t="n">
        <f aca="false">D493</f>
        <v>45413</v>
      </c>
      <c r="E509" s="277" t="n">
        <v>0</v>
      </c>
      <c r="F509" s="277" t="n">
        <v>0</v>
      </c>
      <c r="G509" s="277" t="n">
        <f aca="false">SUM(E509:F509)</f>
        <v>0</v>
      </c>
      <c r="H509" s="204"/>
      <c r="I509" s="279" t="n">
        <v>1</v>
      </c>
      <c r="J509" s="280" t="n">
        <f aca="false">1-I509</f>
        <v>0</v>
      </c>
      <c r="K509" s="277"/>
      <c r="L509" s="282"/>
      <c r="M509" s="282"/>
      <c r="N509" s="282"/>
      <c r="O509" s="282"/>
      <c r="P509" s="282"/>
      <c r="Q509" s="282"/>
      <c r="R509" s="282"/>
      <c r="S509" s="282"/>
      <c r="T509" s="282"/>
      <c r="U509" s="282"/>
      <c r="V509" s="282"/>
      <c r="W509" s="282"/>
      <c r="X509" s="283"/>
      <c r="Y509" s="284" t="n">
        <f aca="false">IFERROR(L509*$G509*I$9, "")</f>
        <v>0</v>
      </c>
      <c r="Z509" s="284" t="n">
        <f aca="false">IFERROR(M509*$G509*$I509, "")</f>
        <v>0</v>
      </c>
      <c r="AA509" s="284" t="n">
        <f aca="false">IFERROR(N509*$G509*$I509, "")</f>
        <v>0</v>
      </c>
      <c r="AB509" s="284" t="n">
        <f aca="false">IFERROR(O509*$G509*$I509, "")</f>
        <v>0</v>
      </c>
      <c r="AC509" s="284" t="n">
        <f aca="false">IFERROR(P509*$G509*$I509, "")</f>
        <v>0</v>
      </c>
      <c r="AD509" s="284" t="n">
        <f aca="false">IFERROR(Q509*$G509*$I509, "")</f>
        <v>0</v>
      </c>
      <c r="AE509" s="284" t="n">
        <f aca="false">IFERROR(R509*$G509*$I509, "")</f>
        <v>0</v>
      </c>
      <c r="AF509" s="284" t="n">
        <f aca="false">IFERROR(S509*$G509*$I509, "")</f>
        <v>0</v>
      </c>
      <c r="AG509" s="284" t="n">
        <f aca="false">IFERROR(T509*$G509*$I509, "")</f>
        <v>0</v>
      </c>
      <c r="AH509" s="284" t="n">
        <f aca="false">IFERROR(U509*$G509*$I509, "")</f>
        <v>0</v>
      </c>
      <c r="AI509" s="284" t="n">
        <f aca="false">IFERROR(V509*$G509*$I509, "")</f>
        <v>0</v>
      </c>
      <c r="AJ509" s="284" t="n">
        <f aca="false">IFERROR(W509*$G509*$I509, "")</f>
        <v>0</v>
      </c>
      <c r="AK509" s="286" t="n">
        <f aca="false">IFERROR(SUMIF($Y$4:$AJ$4, "RDEC", Y509:AJ509), "")</f>
        <v>0</v>
      </c>
      <c r="AL509" s="286" t="n">
        <f aca="false">IFERROR(SUMIF($Y$4:$AJ$4, "SME", Y509:AJ509), "")</f>
        <v>0</v>
      </c>
      <c r="AM509" s="286" t="n">
        <f aca="false">IFERROR(SUMIF($Y$4:$AJ$4, "De Minimis", Y509:AJ509), "")</f>
        <v>0</v>
      </c>
      <c r="AN509" s="283"/>
      <c r="AO509" s="284" t="n">
        <f aca="false">IFERROR($G509*$J509*L509, "")</f>
        <v>0</v>
      </c>
      <c r="AP509" s="284" t="n">
        <f aca="false">IFERROR($G509*$J509*M509, "")</f>
        <v>0</v>
      </c>
      <c r="AQ509" s="284" t="n">
        <f aca="false">IFERROR($G509*$J509*N509, "")</f>
        <v>0</v>
      </c>
      <c r="AR509" s="284" t="n">
        <f aca="false">IFERROR($G509*$J509*O509, "")</f>
        <v>0</v>
      </c>
      <c r="AS509" s="284" t="n">
        <f aca="false">IFERROR($G509*$J509*P509, "")</f>
        <v>0</v>
      </c>
      <c r="AT509" s="284" t="n">
        <f aca="false">IFERROR($G509*$J509*Q509, "")</f>
        <v>0</v>
      </c>
      <c r="AU509" s="284" t="n">
        <f aca="false">IFERROR($G509*$J509*R509, "")</f>
        <v>0</v>
      </c>
      <c r="AV509" s="284" t="n">
        <f aca="false">IFERROR($G509*$J509*S509, "")</f>
        <v>0</v>
      </c>
      <c r="AW509" s="284" t="n">
        <f aca="false">IFERROR($G509*$J509*T509, "")</f>
        <v>0</v>
      </c>
      <c r="AX509" s="284" t="n">
        <f aca="false">IFERROR($G509*$J509*U509, "")</f>
        <v>0</v>
      </c>
      <c r="AY509" s="284" t="n">
        <f aca="false">IFERROR($G509*$J509*V509, "")</f>
        <v>0</v>
      </c>
      <c r="AZ509" s="284" t="n">
        <f aca="false">IFERROR($G509*$J509*W509, "")</f>
        <v>0</v>
      </c>
      <c r="BA509" s="286" t="n">
        <f aca="false">IFERROR(SUMIF($AO$4:$AZ$4, "RDEC", AO509:AZ509), "")</f>
        <v>0</v>
      </c>
      <c r="BB509" s="286" t="n">
        <f aca="false">IFERROR(SUMIF($AO$4:$AZ$4, "SME", AO509:AZ509), "")</f>
        <v>0</v>
      </c>
      <c r="BC509" s="286" t="n">
        <f aca="false">IFERROR(SUMIF($Y$4:$AJ$4, "De Minimis", AO509:AZ509), "")</f>
        <v>0</v>
      </c>
      <c r="BD509" s="287"/>
      <c r="BE509" s="288" t="str">
        <f aca="false">IF((SUM(L509:W509)&gt;1),"ERROR","")</f>
        <v/>
      </c>
    </row>
    <row r="510" customFormat="false" ht="15" hidden="false" customHeight="true" outlineLevel="0" collapsed="false">
      <c r="B510" s="333"/>
      <c r="C510" s="334"/>
      <c r="D510" s="333" t="n">
        <f aca="false">D494</f>
        <v>45444</v>
      </c>
      <c r="E510" s="277" t="n">
        <v>0</v>
      </c>
      <c r="F510" s="277" t="n">
        <v>0</v>
      </c>
      <c r="G510" s="277" t="n">
        <f aca="false">SUM(E510:F510)</f>
        <v>0</v>
      </c>
      <c r="H510" s="204"/>
      <c r="I510" s="279" t="n">
        <v>1</v>
      </c>
      <c r="J510" s="280" t="n">
        <f aca="false">1-I510</f>
        <v>0</v>
      </c>
      <c r="K510" s="277"/>
      <c r="L510" s="282"/>
      <c r="M510" s="282"/>
      <c r="N510" s="282"/>
      <c r="O510" s="282"/>
      <c r="P510" s="282"/>
      <c r="Q510" s="282"/>
      <c r="R510" s="282"/>
      <c r="S510" s="282"/>
      <c r="T510" s="282"/>
      <c r="U510" s="282"/>
      <c r="V510" s="282"/>
      <c r="W510" s="282"/>
      <c r="X510" s="283"/>
      <c r="Y510" s="284" t="n">
        <f aca="false">IFERROR(L510*$G510*I$9, "")</f>
        <v>0</v>
      </c>
      <c r="Z510" s="284" t="n">
        <f aca="false">IFERROR(M510*$G510*$I510, "")</f>
        <v>0</v>
      </c>
      <c r="AA510" s="284" t="n">
        <f aca="false">IFERROR(N510*$G510*$I510, "")</f>
        <v>0</v>
      </c>
      <c r="AB510" s="284" t="n">
        <f aca="false">IFERROR(O510*$G510*$I510, "")</f>
        <v>0</v>
      </c>
      <c r="AC510" s="284" t="n">
        <f aca="false">IFERROR(P510*$G510*$I510, "")</f>
        <v>0</v>
      </c>
      <c r="AD510" s="284" t="n">
        <f aca="false">IFERROR(Q510*$G510*$I510, "")</f>
        <v>0</v>
      </c>
      <c r="AE510" s="284" t="n">
        <f aca="false">IFERROR(R510*$G510*$I510, "")</f>
        <v>0</v>
      </c>
      <c r="AF510" s="284" t="n">
        <f aca="false">IFERROR(S510*$G510*$I510, "")</f>
        <v>0</v>
      </c>
      <c r="AG510" s="284" t="n">
        <f aca="false">IFERROR(T510*$G510*$I510, "")</f>
        <v>0</v>
      </c>
      <c r="AH510" s="284" t="n">
        <f aca="false">IFERROR(U510*$G510*$I510, "")</f>
        <v>0</v>
      </c>
      <c r="AI510" s="284" t="n">
        <f aca="false">IFERROR(V510*$G510*$I510, "")</f>
        <v>0</v>
      </c>
      <c r="AJ510" s="284" t="n">
        <f aca="false">IFERROR(W510*$G510*$I510, "")</f>
        <v>0</v>
      </c>
      <c r="AK510" s="286" t="n">
        <f aca="false">IFERROR(SUMIF($Y$4:$AJ$4, "RDEC", Y510:AJ510), "")</f>
        <v>0</v>
      </c>
      <c r="AL510" s="286" t="n">
        <f aca="false">IFERROR(SUMIF($Y$4:$AJ$4, "SME", Y510:AJ510), "")</f>
        <v>0</v>
      </c>
      <c r="AM510" s="286" t="n">
        <f aca="false">IFERROR(SUMIF($Y$4:$AJ$4, "De Minimis", Y510:AJ510), "")</f>
        <v>0</v>
      </c>
      <c r="AN510" s="283"/>
      <c r="AO510" s="284" t="n">
        <f aca="false">IFERROR($G510*$J510*L510, "")</f>
        <v>0</v>
      </c>
      <c r="AP510" s="284" t="n">
        <f aca="false">IFERROR($G510*$J510*M510, "")</f>
        <v>0</v>
      </c>
      <c r="AQ510" s="284" t="n">
        <f aca="false">IFERROR($G510*$J510*N510, "")</f>
        <v>0</v>
      </c>
      <c r="AR510" s="284" t="n">
        <f aca="false">IFERROR($G510*$J510*O510, "")</f>
        <v>0</v>
      </c>
      <c r="AS510" s="284" t="n">
        <f aca="false">IFERROR($G510*$J510*P510, "")</f>
        <v>0</v>
      </c>
      <c r="AT510" s="284" t="n">
        <f aca="false">IFERROR($G510*$J510*Q510, "")</f>
        <v>0</v>
      </c>
      <c r="AU510" s="284" t="n">
        <f aca="false">IFERROR($G510*$J510*R510, "")</f>
        <v>0</v>
      </c>
      <c r="AV510" s="284" t="n">
        <f aca="false">IFERROR($G510*$J510*S510, "")</f>
        <v>0</v>
      </c>
      <c r="AW510" s="284" t="n">
        <f aca="false">IFERROR($G510*$J510*T510, "")</f>
        <v>0</v>
      </c>
      <c r="AX510" s="284" t="n">
        <f aca="false">IFERROR($G510*$J510*U510, "")</f>
        <v>0</v>
      </c>
      <c r="AY510" s="284" t="n">
        <f aca="false">IFERROR($G510*$J510*V510, "")</f>
        <v>0</v>
      </c>
      <c r="AZ510" s="284" t="n">
        <f aca="false">IFERROR($G510*$J510*W510, "")</f>
        <v>0</v>
      </c>
      <c r="BA510" s="286" t="n">
        <f aca="false">IFERROR(SUMIF($AO$4:$AZ$4, "RDEC", AO510:AZ510), "")</f>
        <v>0</v>
      </c>
      <c r="BB510" s="286" t="n">
        <f aca="false">IFERROR(SUMIF($AO$4:$AZ$4, "SME", AO510:AZ510), "")</f>
        <v>0</v>
      </c>
      <c r="BC510" s="286" t="n">
        <f aca="false">IFERROR(SUMIF($Y$4:$AJ$4, "De Minimis", AO510:AZ510), "")</f>
        <v>0</v>
      </c>
      <c r="BD510" s="287"/>
      <c r="BE510" s="288" t="str">
        <f aca="false">IF((SUM(L510:W510)&gt;1),"ERROR","")</f>
        <v/>
      </c>
    </row>
    <row r="511" customFormat="false" ht="15" hidden="false" customHeight="true" outlineLevel="0" collapsed="false">
      <c r="B511" s="333"/>
      <c r="C511" s="334"/>
      <c r="D511" s="333" t="n">
        <f aca="false">D495</f>
        <v>45474</v>
      </c>
      <c r="E511" s="277" t="n">
        <v>0</v>
      </c>
      <c r="F511" s="277" t="n">
        <v>0</v>
      </c>
      <c r="G511" s="277" t="n">
        <f aca="false">SUM(E511:F511)</f>
        <v>0</v>
      </c>
      <c r="H511" s="204"/>
      <c r="I511" s="279" t="n">
        <v>1</v>
      </c>
      <c r="J511" s="280" t="n">
        <f aca="false">1-I511</f>
        <v>0</v>
      </c>
      <c r="K511" s="277"/>
      <c r="L511" s="282"/>
      <c r="M511" s="282"/>
      <c r="N511" s="282"/>
      <c r="O511" s="282"/>
      <c r="P511" s="282"/>
      <c r="Q511" s="282"/>
      <c r="R511" s="282"/>
      <c r="S511" s="282"/>
      <c r="T511" s="282"/>
      <c r="U511" s="282"/>
      <c r="V511" s="282"/>
      <c r="W511" s="282"/>
      <c r="X511" s="283"/>
      <c r="Y511" s="284" t="n">
        <f aca="false">IFERROR(L511*$G511*I$9, "")</f>
        <v>0</v>
      </c>
      <c r="Z511" s="284" t="n">
        <f aca="false">IFERROR(M511*$G511*$I511, "")</f>
        <v>0</v>
      </c>
      <c r="AA511" s="284" t="n">
        <f aca="false">IFERROR(N511*$G511*$I511, "")</f>
        <v>0</v>
      </c>
      <c r="AB511" s="284" t="n">
        <f aca="false">IFERROR(O511*$G511*$I511, "")</f>
        <v>0</v>
      </c>
      <c r="AC511" s="284" t="n">
        <f aca="false">IFERROR(P511*$G511*$I511, "")</f>
        <v>0</v>
      </c>
      <c r="AD511" s="284" t="n">
        <f aca="false">IFERROR(Q511*$G511*$I511, "")</f>
        <v>0</v>
      </c>
      <c r="AE511" s="284" t="n">
        <f aca="false">IFERROR(R511*$G511*$I511, "")</f>
        <v>0</v>
      </c>
      <c r="AF511" s="284" t="n">
        <f aca="false">IFERROR(S511*$G511*$I511, "")</f>
        <v>0</v>
      </c>
      <c r="AG511" s="284" t="n">
        <f aca="false">IFERROR(T511*$G511*$I511, "")</f>
        <v>0</v>
      </c>
      <c r="AH511" s="284" t="n">
        <f aca="false">IFERROR(U511*$G511*$I511, "")</f>
        <v>0</v>
      </c>
      <c r="AI511" s="284" t="n">
        <f aca="false">IFERROR(V511*$G511*$I511, "")</f>
        <v>0</v>
      </c>
      <c r="AJ511" s="284" t="n">
        <f aca="false">IFERROR(W511*$G511*$I511, "")</f>
        <v>0</v>
      </c>
      <c r="AK511" s="286" t="n">
        <f aca="false">IFERROR(SUMIF($Y$4:$AJ$4, "RDEC", Y511:AJ511), "")</f>
        <v>0</v>
      </c>
      <c r="AL511" s="286" t="n">
        <f aca="false">IFERROR(SUMIF($Y$4:$AJ$4, "SME", Y511:AJ511), "")</f>
        <v>0</v>
      </c>
      <c r="AM511" s="286" t="n">
        <f aca="false">IFERROR(SUMIF($Y$4:$AJ$4, "De Minimis", Y511:AJ511), "")</f>
        <v>0</v>
      </c>
      <c r="AN511" s="283"/>
      <c r="AO511" s="284" t="n">
        <f aca="false">IFERROR($G511*$J511*L511, "")</f>
        <v>0</v>
      </c>
      <c r="AP511" s="284" t="n">
        <f aca="false">IFERROR($G511*$J511*M511, "")</f>
        <v>0</v>
      </c>
      <c r="AQ511" s="284" t="n">
        <f aca="false">IFERROR($G511*$J511*N511, "")</f>
        <v>0</v>
      </c>
      <c r="AR511" s="284" t="n">
        <f aca="false">IFERROR($G511*$J511*O511, "")</f>
        <v>0</v>
      </c>
      <c r="AS511" s="284" t="n">
        <f aca="false">IFERROR($G511*$J511*P511, "")</f>
        <v>0</v>
      </c>
      <c r="AT511" s="284" t="n">
        <f aca="false">IFERROR($G511*$J511*Q511, "")</f>
        <v>0</v>
      </c>
      <c r="AU511" s="284" t="n">
        <f aca="false">IFERROR($G511*$J511*R511, "")</f>
        <v>0</v>
      </c>
      <c r="AV511" s="284" t="n">
        <f aca="false">IFERROR($G511*$J511*S511, "")</f>
        <v>0</v>
      </c>
      <c r="AW511" s="284" t="n">
        <f aca="false">IFERROR($G511*$J511*T511, "")</f>
        <v>0</v>
      </c>
      <c r="AX511" s="284" t="n">
        <f aca="false">IFERROR($G511*$J511*U511, "")</f>
        <v>0</v>
      </c>
      <c r="AY511" s="284" t="n">
        <f aca="false">IFERROR($G511*$J511*V511, "")</f>
        <v>0</v>
      </c>
      <c r="AZ511" s="284" t="n">
        <f aca="false">IFERROR($G511*$J511*W511, "")</f>
        <v>0</v>
      </c>
      <c r="BA511" s="286" t="n">
        <f aca="false">IFERROR(SUMIF($AO$4:$AZ$4, "RDEC", AO511:AZ511), "")</f>
        <v>0</v>
      </c>
      <c r="BB511" s="286" t="n">
        <f aca="false">IFERROR(SUMIF($AO$4:$AZ$4, "SME", AO511:AZ511), "")</f>
        <v>0</v>
      </c>
      <c r="BC511" s="286" t="n">
        <f aca="false">IFERROR(SUMIF($Y$4:$AJ$4, "De Minimis", AO511:AZ511), "")</f>
        <v>0</v>
      </c>
      <c r="BD511" s="287"/>
      <c r="BE511" s="288" t="str">
        <f aca="false">IF((SUM(L511:W511)&gt;1),"ERROR","")</f>
        <v/>
      </c>
    </row>
    <row r="512" customFormat="false" ht="15" hidden="false" customHeight="true" outlineLevel="0" collapsed="false">
      <c r="B512" s="333"/>
      <c r="C512" s="334"/>
      <c r="D512" s="333" t="n">
        <f aca="false">D496</f>
        <v>45505</v>
      </c>
      <c r="E512" s="277" t="n">
        <v>0</v>
      </c>
      <c r="F512" s="277" t="n">
        <v>0</v>
      </c>
      <c r="G512" s="277" t="n">
        <f aca="false">SUM(E512:F512)</f>
        <v>0</v>
      </c>
      <c r="H512" s="204"/>
      <c r="I512" s="279" t="n">
        <v>1</v>
      </c>
      <c r="J512" s="280" t="n">
        <f aca="false">1-I512</f>
        <v>0</v>
      </c>
      <c r="K512" s="277"/>
      <c r="L512" s="282"/>
      <c r="M512" s="282"/>
      <c r="N512" s="282"/>
      <c r="O512" s="282"/>
      <c r="P512" s="282"/>
      <c r="Q512" s="282"/>
      <c r="R512" s="282"/>
      <c r="S512" s="282"/>
      <c r="T512" s="282"/>
      <c r="U512" s="282"/>
      <c r="V512" s="282"/>
      <c r="W512" s="282"/>
      <c r="X512" s="283"/>
      <c r="Y512" s="284" t="n">
        <f aca="false">IFERROR(L512*$G512*I$9, "")</f>
        <v>0</v>
      </c>
      <c r="Z512" s="284" t="n">
        <f aca="false">IFERROR(M512*$G512*$I512, "")</f>
        <v>0</v>
      </c>
      <c r="AA512" s="284" t="n">
        <f aca="false">IFERROR(N512*$G512*$I512, "")</f>
        <v>0</v>
      </c>
      <c r="AB512" s="284" t="n">
        <f aca="false">IFERROR(O512*$G512*$I512, "")</f>
        <v>0</v>
      </c>
      <c r="AC512" s="284" t="n">
        <f aca="false">IFERROR(P512*$G512*$I512, "")</f>
        <v>0</v>
      </c>
      <c r="AD512" s="284" t="n">
        <f aca="false">IFERROR(Q512*$G512*$I512, "")</f>
        <v>0</v>
      </c>
      <c r="AE512" s="284" t="n">
        <f aca="false">IFERROR(R512*$G512*$I512, "")</f>
        <v>0</v>
      </c>
      <c r="AF512" s="284" t="n">
        <f aca="false">IFERROR(S512*$G512*$I512, "")</f>
        <v>0</v>
      </c>
      <c r="AG512" s="284" t="n">
        <f aca="false">IFERROR(T512*$G512*$I512, "")</f>
        <v>0</v>
      </c>
      <c r="AH512" s="284" t="n">
        <f aca="false">IFERROR(U512*$G512*$I512, "")</f>
        <v>0</v>
      </c>
      <c r="AI512" s="284" t="n">
        <f aca="false">IFERROR(V512*$G512*$I512, "")</f>
        <v>0</v>
      </c>
      <c r="AJ512" s="284" t="n">
        <f aca="false">IFERROR(W512*$G512*$I512, "")</f>
        <v>0</v>
      </c>
      <c r="AK512" s="286" t="n">
        <f aca="false">IFERROR(SUMIF($Y$4:$AJ$4, "RDEC", Y512:AJ512), "")</f>
        <v>0</v>
      </c>
      <c r="AL512" s="286" t="n">
        <f aca="false">IFERROR(SUMIF($Y$4:$AJ$4, "SME", Y512:AJ512), "")</f>
        <v>0</v>
      </c>
      <c r="AM512" s="286" t="n">
        <f aca="false">IFERROR(SUMIF($Y$4:$AJ$4, "De Minimis", Y512:AJ512), "")</f>
        <v>0</v>
      </c>
      <c r="AN512" s="283"/>
      <c r="AO512" s="284" t="n">
        <f aca="false">IFERROR($G512*$J512*L512, "")</f>
        <v>0</v>
      </c>
      <c r="AP512" s="284" t="n">
        <f aca="false">IFERROR($G512*$J512*M512, "")</f>
        <v>0</v>
      </c>
      <c r="AQ512" s="284" t="n">
        <f aca="false">IFERROR($G512*$J512*N512, "")</f>
        <v>0</v>
      </c>
      <c r="AR512" s="284" t="n">
        <f aca="false">IFERROR($G512*$J512*O512, "")</f>
        <v>0</v>
      </c>
      <c r="AS512" s="284" t="n">
        <f aca="false">IFERROR($G512*$J512*P512, "")</f>
        <v>0</v>
      </c>
      <c r="AT512" s="284" t="n">
        <f aca="false">IFERROR($G512*$J512*Q512, "")</f>
        <v>0</v>
      </c>
      <c r="AU512" s="284" t="n">
        <f aca="false">IFERROR($G512*$J512*R512, "")</f>
        <v>0</v>
      </c>
      <c r="AV512" s="284" t="n">
        <f aca="false">IFERROR($G512*$J512*S512, "")</f>
        <v>0</v>
      </c>
      <c r="AW512" s="284" t="n">
        <f aca="false">IFERROR($G512*$J512*T512, "")</f>
        <v>0</v>
      </c>
      <c r="AX512" s="284" t="n">
        <f aca="false">IFERROR($G512*$J512*U512, "")</f>
        <v>0</v>
      </c>
      <c r="AY512" s="284" t="n">
        <f aca="false">IFERROR($G512*$J512*V512, "")</f>
        <v>0</v>
      </c>
      <c r="AZ512" s="284" t="n">
        <f aca="false">IFERROR($G512*$J512*W512, "")</f>
        <v>0</v>
      </c>
      <c r="BA512" s="286" t="n">
        <f aca="false">IFERROR(SUMIF($AO$4:$AZ$4, "RDEC", AO512:AZ512), "")</f>
        <v>0</v>
      </c>
      <c r="BB512" s="286" t="n">
        <f aca="false">IFERROR(SUMIF($AO$4:$AZ$4, "SME", AO512:AZ512), "")</f>
        <v>0</v>
      </c>
      <c r="BC512" s="286" t="n">
        <f aca="false">IFERROR(SUMIF($Y$4:$AJ$4, "De Minimis", AO512:AZ512), "")</f>
        <v>0</v>
      </c>
      <c r="BD512" s="287"/>
      <c r="BE512" s="288" t="str">
        <f aca="false">IF((SUM(L512:W512)&gt;1),"ERROR","")</f>
        <v/>
      </c>
    </row>
    <row r="513" customFormat="false" ht="15" hidden="false" customHeight="true" outlineLevel="0" collapsed="false">
      <c r="B513" s="333"/>
      <c r="C513" s="334"/>
      <c r="D513" s="333" t="n">
        <f aca="false">D497</f>
        <v>45536</v>
      </c>
      <c r="E513" s="277" t="n">
        <v>0</v>
      </c>
      <c r="F513" s="277" t="n">
        <v>0</v>
      </c>
      <c r="G513" s="277" t="n">
        <f aca="false">SUM(E513:F513)</f>
        <v>0</v>
      </c>
      <c r="H513" s="204"/>
      <c r="I513" s="279" t="n">
        <v>1</v>
      </c>
      <c r="J513" s="280" t="n">
        <f aca="false">1-I513</f>
        <v>0</v>
      </c>
      <c r="K513" s="277"/>
      <c r="L513" s="282"/>
      <c r="M513" s="282"/>
      <c r="N513" s="282"/>
      <c r="O513" s="282"/>
      <c r="P513" s="282"/>
      <c r="Q513" s="282"/>
      <c r="R513" s="282"/>
      <c r="S513" s="282"/>
      <c r="T513" s="282"/>
      <c r="U513" s="282"/>
      <c r="V513" s="282"/>
      <c r="W513" s="282"/>
      <c r="X513" s="283"/>
      <c r="Y513" s="284" t="n">
        <f aca="false">IFERROR(L513*$G513*I$9, "")</f>
        <v>0</v>
      </c>
      <c r="Z513" s="284" t="n">
        <f aca="false">IFERROR(M513*$G513*$I513, "")</f>
        <v>0</v>
      </c>
      <c r="AA513" s="284" t="n">
        <f aca="false">IFERROR(N513*$G513*$I513, "")</f>
        <v>0</v>
      </c>
      <c r="AB513" s="284" t="n">
        <f aca="false">IFERROR(O513*$G513*$I513, "")</f>
        <v>0</v>
      </c>
      <c r="AC513" s="284" t="n">
        <f aca="false">IFERROR(P513*$G513*$I513, "")</f>
        <v>0</v>
      </c>
      <c r="AD513" s="284" t="n">
        <f aca="false">IFERROR(Q513*$G513*$I513, "")</f>
        <v>0</v>
      </c>
      <c r="AE513" s="284" t="n">
        <f aca="false">IFERROR(R513*$G513*$I513, "")</f>
        <v>0</v>
      </c>
      <c r="AF513" s="284" t="n">
        <f aca="false">IFERROR(S513*$G513*$I513, "")</f>
        <v>0</v>
      </c>
      <c r="AG513" s="284" t="n">
        <f aca="false">IFERROR(T513*$G513*$I513, "")</f>
        <v>0</v>
      </c>
      <c r="AH513" s="284" t="n">
        <f aca="false">IFERROR(U513*$G513*$I513, "")</f>
        <v>0</v>
      </c>
      <c r="AI513" s="284" t="n">
        <f aca="false">IFERROR(V513*$G513*$I513, "")</f>
        <v>0</v>
      </c>
      <c r="AJ513" s="284" t="n">
        <f aca="false">IFERROR(W513*$G513*$I513, "")</f>
        <v>0</v>
      </c>
      <c r="AK513" s="286" t="n">
        <f aca="false">IFERROR(SUMIF($Y$4:$AJ$4, "RDEC", Y513:AJ513), "")</f>
        <v>0</v>
      </c>
      <c r="AL513" s="286" t="n">
        <f aca="false">IFERROR(SUMIF($Y$4:$AJ$4, "SME", Y513:AJ513), "")</f>
        <v>0</v>
      </c>
      <c r="AM513" s="286" t="n">
        <f aca="false">IFERROR(SUMIF($Y$4:$AJ$4, "De Minimis", Y513:AJ513), "")</f>
        <v>0</v>
      </c>
      <c r="AN513" s="283"/>
      <c r="AO513" s="284" t="n">
        <f aca="false">IFERROR($G513*$J513*L513, "")</f>
        <v>0</v>
      </c>
      <c r="AP513" s="284" t="n">
        <f aca="false">IFERROR($G513*$J513*M513, "")</f>
        <v>0</v>
      </c>
      <c r="AQ513" s="284" t="n">
        <f aca="false">IFERROR($G513*$J513*N513, "")</f>
        <v>0</v>
      </c>
      <c r="AR513" s="284" t="n">
        <f aca="false">IFERROR($G513*$J513*O513, "")</f>
        <v>0</v>
      </c>
      <c r="AS513" s="284" t="n">
        <f aca="false">IFERROR($G513*$J513*P513, "")</f>
        <v>0</v>
      </c>
      <c r="AT513" s="284" t="n">
        <f aca="false">IFERROR($G513*$J513*Q513, "")</f>
        <v>0</v>
      </c>
      <c r="AU513" s="284" t="n">
        <f aca="false">IFERROR($G513*$J513*R513, "")</f>
        <v>0</v>
      </c>
      <c r="AV513" s="284" t="n">
        <f aca="false">IFERROR($G513*$J513*S513, "")</f>
        <v>0</v>
      </c>
      <c r="AW513" s="284" t="n">
        <f aca="false">IFERROR($G513*$J513*T513, "")</f>
        <v>0</v>
      </c>
      <c r="AX513" s="284" t="n">
        <f aca="false">IFERROR($G513*$J513*U513, "")</f>
        <v>0</v>
      </c>
      <c r="AY513" s="284" t="n">
        <f aca="false">IFERROR($G513*$J513*V513, "")</f>
        <v>0</v>
      </c>
      <c r="AZ513" s="284" t="n">
        <f aca="false">IFERROR($G513*$J513*W513, "")</f>
        <v>0</v>
      </c>
      <c r="BA513" s="286" t="n">
        <f aca="false">IFERROR(SUMIF($AO$4:$AZ$4, "RDEC", AO513:AZ513), "")</f>
        <v>0</v>
      </c>
      <c r="BB513" s="286" t="n">
        <f aca="false">IFERROR(SUMIF($AO$4:$AZ$4, "SME", AO513:AZ513), "")</f>
        <v>0</v>
      </c>
      <c r="BC513" s="286" t="n">
        <f aca="false">IFERROR(SUMIF($Y$4:$AJ$4, "De Minimis", AO513:AZ513), "")</f>
        <v>0</v>
      </c>
      <c r="BD513" s="287"/>
      <c r="BE513" s="288" t="str">
        <f aca="false">IF((SUM(L513:W513)&gt;1),"ERROR","")</f>
        <v/>
      </c>
    </row>
    <row r="514" customFormat="false" ht="15" hidden="false" customHeight="true" outlineLevel="0" collapsed="false">
      <c r="B514" s="333"/>
      <c r="C514" s="334"/>
      <c r="D514" s="333" t="n">
        <f aca="false">D498</f>
        <v>45566</v>
      </c>
      <c r="E514" s="277" t="n">
        <v>0</v>
      </c>
      <c r="F514" s="277" t="n">
        <v>0</v>
      </c>
      <c r="G514" s="277" t="n">
        <f aca="false">SUM(E514:F514)</f>
        <v>0</v>
      </c>
      <c r="H514" s="204"/>
      <c r="I514" s="279" t="n">
        <v>1</v>
      </c>
      <c r="J514" s="280" t="n">
        <f aca="false">1-I514</f>
        <v>0</v>
      </c>
      <c r="K514" s="277"/>
      <c r="L514" s="282"/>
      <c r="M514" s="282"/>
      <c r="N514" s="282"/>
      <c r="O514" s="282"/>
      <c r="P514" s="282"/>
      <c r="Q514" s="282"/>
      <c r="R514" s="282"/>
      <c r="S514" s="282"/>
      <c r="T514" s="282"/>
      <c r="U514" s="282"/>
      <c r="V514" s="282"/>
      <c r="W514" s="282"/>
      <c r="X514" s="283"/>
      <c r="Y514" s="284" t="n">
        <f aca="false">IFERROR(L514*$G514*I$9, "")</f>
        <v>0</v>
      </c>
      <c r="Z514" s="284" t="n">
        <f aca="false">IFERROR(M514*$G514*$I514, "")</f>
        <v>0</v>
      </c>
      <c r="AA514" s="284" t="n">
        <f aca="false">IFERROR(N514*$G514*$I514, "")</f>
        <v>0</v>
      </c>
      <c r="AB514" s="284" t="n">
        <f aca="false">IFERROR(O514*$G514*$I514, "")</f>
        <v>0</v>
      </c>
      <c r="AC514" s="284" t="n">
        <f aca="false">IFERROR(P514*$G514*$I514, "")</f>
        <v>0</v>
      </c>
      <c r="AD514" s="284" t="n">
        <f aca="false">IFERROR(Q514*$G514*$I514, "")</f>
        <v>0</v>
      </c>
      <c r="AE514" s="284" t="n">
        <f aca="false">IFERROR(R514*$G514*$I514, "")</f>
        <v>0</v>
      </c>
      <c r="AF514" s="284" t="n">
        <f aca="false">IFERROR(S514*$G514*$I514, "")</f>
        <v>0</v>
      </c>
      <c r="AG514" s="284" t="n">
        <f aca="false">IFERROR(T514*$G514*$I514, "")</f>
        <v>0</v>
      </c>
      <c r="AH514" s="284" t="n">
        <f aca="false">IFERROR(U514*$G514*$I514, "")</f>
        <v>0</v>
      </c>
      <c r="AI514" s="284" t="n">
        <f aca="false">IFERROR(V514*$G514*$I514, "")</f>
        <v>0</v>
      </c>
      <c r="AJ514" s="284" t="n">
        <f aca="false">IFERROR(W514*$G514*$I514, "")</f>
        <v>0</v>
      </c>
      <c r="AK514" s="286" t="n">
        <f aca="false">IFERROR(SUMIF($Y$4:$AJ$4, "RDEC", Y514:AJ514), "")</f>
        <v>0</v>
      </c>
      <c r="AL514" s="286" t="n">
        <f aca="false">IFERROR(SUMIF($Y$4:$AJ$4, "SME", Y514:AJ514), "")</f>
        <v>0</v>
      </c>
      <c r="AM514" s="286" t="n">
        <f aca="false">IFERROR(SUMIF($Y$4:$AJ$4, "De Minimis", Y514:AJ514), "")</f>
        <v>0</v>
      </c>
      <c r="AN514" s="283"/>
      <c r="AO514" s="284" t="n">
        <f aca="false">IFERROR($G514*$J514*L514, "")</f>
        <v>0</v>
      </c>
      <c r="AP514" s="284" t="n">
        <f aca="false">IFERROR($G514*$J514*M514, "")</f>
        <v>0</v>
      </c>
      <c r="AQ514" s="284" t="n">
        <f aca="false">IFERROR($G514*$J514*N514, "")</f>
        <v>0</v>
      </c>
      <c r="AR514" s="284" t="n">
        <f aca="false">IFERROR($G514*$J514*O514, "")</f>
        <v>0</v>
      </c>
      <c r="AS514" s="284" t="n">
        <f aca="false">IFERROR($G514*$J514*P514, "")</f>
        <v>0</v>
      </c>
      <c r="AT514" s="284" t="n">
        <f aca="false">IFERROR($G514*$J514*Q514, "")</f>
        <v>0</v>
      </c>
      <c r="AU514" s="284" t="n">
        <f aca="false">IFERROR($G514*$J514*R514, "")</f>
        <v>0</v>
      </c>
      <c r="AV514" s="284" t="n">
        <f aca="false">IFERROR($G514*$J514*S514, "")</f>
        <v>0</v>
      </c>
      <c r="AW514" s="284" t="n">
        <f aca="false">IFERROR($G514*$J514*T514, "")</f>
        <v>0</v>
      </c>
      <c r="AX514" s="284" t="n">
        <f aca="false">IFERROR($G514*$J514*U514, "")</f>
        <v>0</v>
      </c>
      <c r="AY514" s="284" t="n">
        <f aca="false">IFERROR($G514*$J514*V514, "")</f>
        <v>0</v>
      </c>
      <c r="AZ514" s="284" t="n">
        <f aca="false">IFERROR($G514*$J514*W514, "")</f>
        <v>0</v>
      </c>
      <c r="BA514" s="286" t="n">
        <f aca="false">IFERROR(SUMIF($AO$4:$AZ$4, "RDEC", AO514:AZ514), "")</f>
        <v>0</v>
      </c>
      <c r="BB514" s="286" t="n">
        <f aca="false">IFERROR(SUMIF($AO$4:$AZ$4, "SME", AO514:AZ514), "")</f>
        <v>0</v>
      </c>
      <c r="BC514" s="286" t="n">
        <f aca="false">IFERROR(SUMIF($Y$4:$AJ$4, "De Minimis", AO514:AZ514), "")</f>
        <v>0</v>
      </c>
      <c r="BD514" s="287"/>
      <c r="BE514" s="288" t="str">
        <f aca="false">IF((SUM(L514:W514)&gt;1),"ERROR","")</f>
        <v/>
      </c>
    </row>
    <row r="515" customFormat="false" ht="15" hidden="false" customHeight="true" outlineLevel="0" collapsed="false">
      <c r="B515" s="333"/>
      <c r="C515" s="334"/>
      <c r="D515" s="333" t="n">
        <f aca="false">D499</f>
        <v>45597</v>
      </c>
      <c r="E515" s="277" t="n">
        <v>0</v>
      </c>
      <c r="F515" s="277" t="n">
        <v>0</v>
      </c>
      <c r="G515" s="277" t="n">
        <f aca="false">SUM(E515:F515)</f>
        <v>0</v>
      </c>
      <c r="H515" s="204"/>
      <c r="I515" s="279" t="n">
        <v>1</v>
      </c>
      <c r="J515" s="280" t="n">
        <f aca="false">1-I515</f>
        <v>0</v>
      </c>
      <c r="K515" s="277"/>
      <c r="L515" s="282"/>
      <c r="M515" s="282"/>
      <c r="N515" s="282"/>
      <c r="O515" s="282"/>
      <c r="P515" s="282"/>
      <c r="Q515" s="282"/>
      <c r="R515" s="282"/>
      <c r="S515" s="282"/>
      <c r="T515" s="282"/>
      <c r="U515" s="282"/>
      <c r="V515" s="282"/>
      <c r="W515" s="282"/>
      <c r="X515" s="283"/>
      <c r="Y515" s="284" t="n">
        <f aca="false">IFERROR(L515*$G515*I$9, "")</f>
        <v>0</v>
      </c>
      <c r="Z515" s="284" t="n">
        <f aca="false">IFERROR(M515*$G515*$I515, "")</f>
        <v>0</v>
      </c>
      <c r="AA515" s="284" t="n">
        <f aca="false">IFERROR(N515*$G515*$I515, "")</f>
        <v>0</v>
      </c>
      <c r="AB515" s="284" t="n">
        <f aca="false">IFERROR(O515*$G515*$I515, "")</f>
        <v>0</v>
      </c>
      <c r="AC515" s="284" t="n">
        <f aca="false">IFERROR(P515*$G515*$I515, "")</f>
        <v>0</v>
      </c>
      <c r="AD515" s="284" t="n">
        <f aca="false">IFERROR(Q515*$G515*$I515, "")</f>
        <v>0</v>
      </c>
      <c r="AE515" s="284" t="n">
        <f aca="false">IFERROR(R515*$G515*$I515, "")</f>
        <v>0</v>
      </c>
      <c r="AF515" s="284" t="n">
        <f aca="false">IFERROR(S515*$G515*$I515, "")</f>
        <v>0</v>
      </c>
      <c r="AG515" s="284" t="n">
        <f aca="false">IFERROR(T515*$G515*$I515, "")</f>
        <v>0</v>
      </c>
      <c r="AH515" s="284" t="n">
        <f aca="false">IFERROR(U515*$G515*$I515, "")</f>
        <v>0</v>
      </c>
      <c r="AI515" s="284" t="n">
        <f aca="false">IFERROR(V515*$G515*$I515, "")</f>
        <v>0</v>
      </c>
      <c r="AJ515" s="284" t="n">
        <f aca="false">IFERROR(W515*$G515*$I515, "")</f>
        <v>0</v>
      </c>
      <c r="AK515" s="286" t="n">
        <f aca="false">IFERROR(SUMIF($Y$4:$AJ$4, "RDEC", Y515:AJ515), "")</f>
        <v>0</v>
      </c>
      <c r="AL515" s="286" t="n">
        <f aca="false">IFERROR(SUMIF($Y$4:$AJ$4, "SME", Y515:AJ515), "")</f>
        <v>0</v>
      </c>
      <c r="AM515" s="286" t="n">
        <f aca="false">IFERROR(SUMIF($Y$4:$AJ$4, "De Minimis", Y515:AJ515), "")</f>
        <v>0</v>
      </c>
      <c r="AN515" s="283"/>
      <c r="AO515" s="284" t="n">
        <f aca="false">IFERROR($G515*$J515*L515, "")</f>
        <v>0</v>
      </c>
      <c r="AP515" s="284" t="n">
        <f aca="false">IFERROR($G515*$J515*M515, "")</f>
        <v>0</v>
      </c>
      <c r="AQ515" s="284" t="n">
        <f aca="false">IFERROR($G515*$J515*N515, "")</f>
        <v>0</v>
      </c>
      <c r="AR515" s="284" t="n">
        <f aca="false">IFERROR($G515*$J515*O515, "")</f>
        <v>0</v>
      </c>
      <c r="AS515" s="284" t="n">
        <f aca="false">IFERROR($G515*$J515*P515, "")</f>
        <v>0</v>
      </c>
      <c r="AT515" s="284" t="n">
        <f aca="false">IFERROR($G515*$J515*Q515, "")</f>
        <v>0</v>
      </c>
      <c r="AU515" s="284" t="n">
        <f aca="false">IFERROR($G515*$J515*R515, "")</f>
        <v>0</v>
      </c>
      <c r="AV515" s="284" t="n">
        <f aca="false">IFERROR($G515*$J515*S515, "")</f>
        <v>0</v>
      </c>
      <c r="AW515" s="284" t="n">
        <f aca="false">IFERROR($G515*$J515*T515, "")</f>
        <v>0</v>
      </c>
      <c r="AX515" s="284" t="n">
        <f aca="false">IFERROR($G515*$J515*U515, "")</f>
        <v>0</v>
      </c>
      <c r="AY515" s="284" t="n">
        <f aca="false">IFERROR($G515*$J515*V515, "")</f>
        <v>0</v>
      </c>
      <c r="AZ515" s="284" t="n">
        <f aca="false">IFERROR($G515*$J515*W515, "")</f>
        <v>0</v>
      </c>
      <c r="BA515" s="286" t="n">
        <f aca="false">IFERROR(SUMIF($AO$4:$AZ$4, "RDEC", AO515:AZ515), "")</f>
        <v>0</v>
      </c>
      <c r="BB515" s="286" t="n">
        <f aca="false">IFERROR(SUMIF($AO$4:$AZ$4, "SME", AO515:AZ515), "")</f>
        <v>0</v>
      </c>
      <c r="BC515" s="286" t="n">
        <f aca="false">IFERROR(SUMIF($Y$4:$AJ$4, "De Minimis", AO515:AZ515), "")</f>
        <v>0</v>
      </c>
      <c r="BD515" s="287"/>
      <c r="BE515" s="288" t="str">
        <f aca="false">IF((SUM(L515:W515)&gt;1),"ERROR","")</f>
        <v/>
      </c>
    </row>
    <row r="516" customFormat="false" ht="15" hidden="false" customHeight="true" outlineLevel="0" collapsed="false">
      <c r="B516" s="333"/>
      <c r="C516" s="334"/>
      <c r="D516" s="333" t="n">
        <f aca="false">D500</f>
        <v>45627</v>
      </c>
      <c r="E516" s="277" t="n">
        <v>0</v>
      </c>
      <c r="F516" s="277" t="n">
        <v>0</v>
      </c>
      <c r="G516" s="277" t="n">
        <f aca="false">SUM(E516:F516)</f>
        <v>0</v>
      </c>
      <c r="H516" s="300"/>
      <c r="I516" s="289" t="n">
        <v>1</v>
      </c>
      <c r="J516" s="290" t="n">
        <f aca="false">1-I516</f>
        <v>0</v>
      </c>
      <c r="K516" s="300"/>
      <c r="L516" s="291"/>
      <c r="M516" s="291"/>
      <c r="N516" s="291"/>
      <c r="O516" s="291"/>
      <c r="P516" s="291"/>
      <c r="Q516" s="291"/>
      <c r="R516" s="291"/>
      <c r="S516" s="291"/>
      <c r="T516" s="291"/>
      <c r="U516" s="291"/>
      <c r="V516" s="291"/>
      <c r="W516" s="291"/>
      <c r="X516" s="283"/>
      <c r="Y516" s="284" t="n">
        <f aca="false">IFERROR(L516*$G516*I$9, "")</f>
        <v>0</v>
      </c>
      <c r="Z516" s="284" t="n">
        <f aca="false">IFERROR(M516*$G516*$I516, "")</f>
        <v>0</v>
      </c>
      <c r="AA516" s="284" t="n">
        <f aca="false">IFERROR(N516*$G516*$I516, "")</f>
        <v>0</v>
      </c>
      <c r="AB516" s="284" t="n">
        <f aca="false">IFERROR(O516*$G516*$I516, "")</f>
        <v>0</v>
      </c>
      <c r="AC516" s="284" t="n">
        <f aca="false">IFERROR(P516*$G516*$I516, "")</f>
        <v>0</v>
      </c>
      <c r="AD516" s="284" t="n">
        <f aca="false">IFERROR(Q516*$G516*$I516, "")</f>
        <v>0</v>
      </c>
      <c r="AE516" s="284" t="n">
        <f aca="false">IFERROR(R516*$G516*$I516, "")</f>
        <v>0</v>
      </c>
      <c r="AF516" s="284" t="n">
        <f aca="false">IFERROR(S516*$G516*$I516, "")</f>
        <v>0</v>
      </c>
      <c r="AG516" s="284" t="n">
        <f aca="false">IFERROR(T516*$G516*$I516, "")</f>
        <v>0</v>
      </c>
      <c r="AH516" s="284" t="n">
        <f aca="false">IFERROR(U516*$G516*$I516, "")</f>
        <v>0</v>
      </c>
      <c r="AI516" s="284" t="n">
        <f aca="false">IFERROR(V516*$G516*$I516, "")</f>
        <v>0</v>
      </c>
      <c r="AJ516" s="284" t="n">
        <f aca="false">IFERROR(W516*$G516*$I516, "")</f>
        <v>0</v>
      </c>
      <c r="AK516" s="294" t="n">
        <f aca="false">IFERROR(SUMIF($Y$4:$AJ$4, "RDEC", Y516:AJ516), "")</f>
        <v>0</v>
      </c>
      <c r="AL516" s="294" t="n">
        <f aca="false">IFERROR(SUMIF($Y$4:$AJ$4, "SME", Y516:AJ516), "")</f>
        <v>0</v>
      </c>
      <c r="AM516" s="294" t="n">
        <f aca="false">IFERROR(SUMIF($Y$4:$AJ$4, "De Minimis", Y516:AJ516), "")</f>
        <v>0</v>
      </c>
      <c r="AN516" s="283"/>
      <c r="AO516" s="284" t="n">
        <f aca="false">IFERROR($G516*$J516*L516, "")</f>
        <v>0</v>
      </c>
      <c r="AP516" s="284" t="n">
        <f aca="false">IFERROR($G516*$J516*M516, "")</f>
        <v>0</v>
      </c>
      <c r="AQ516" s="284" t="n">
        <f aca="false">IFERROR($G516*$J516*N516, "")</f>
        <v>0</v>
      </c>
      <c r="AR516" s="284" t="n">
        <f aca="false">IFERROR($G516*$J516*O516, "")</f>
        <v>0</v>
      </c>
      <c r="AS516" s="284" t="n">
        <f aca="false">IFERROR($G516*$J516*P516, "")</f>
        <v>0</v>
      </c>
      <c r="AT516" s="284" t="n">
        <f aca="false">IFERROR($G516*$J516*Q516, "")</f>
        <v>0</v>
      </c>
      <c r="AU516" s="284" t="n">
        <f aca="false">IFERROR($G516*$J516*R516, "")</f>
        <v>0</v>
      </c>
      <c r="AV516" s="284" t="n">
        <f aca="false">IFERROR($G516*$J516*S516, "")</f>
        <v>0</v>
      </c>
      <c r="AW516" s="284" t="n">
        <f aca="false">IFERROR($G516*$J516*T516, "")</f>
        <v>0</v>
      </c>
      <c r="AX516" s="284" t="n">
        <f aca="false">IFERROR($G516*$J516*U516, "")</f>
        <v>0</v>
      </c>
      <c r="AY516" s="284" t="n">
        <f aca="false">IFERROR($G516*$J516*V516, "")</f>
        <v>0</v>
      </c>
      <c r="AZ516" s="284" t="n">
        <f aca="false">IFERROR($G516*$J516*W516, "")</f>
        <v>0</v>
      </c>
      <c r="BA516" s="286" t="n">
        <f aca="false">IFERROR(SUMIF($AO$4:$AZ$4, "RDEC", AO516:AZ516), "")</f>
        <v>0</v>
      </c>
      <c r="BB516" s="286" t="n">
        <f aca="false">IFERROR(SUMIF($AO$4:$AZ$4, "SME", AO516:AZ516), "")</f>
        <v>0</v>
      </c>
      <c r="BC516" s="294" t="n">
        <f aca="false">IFERROR(SUMIF($Y$4:$AJ$4, "De Minimis", AO516:AZ516), "")</f>
        <v>0</v>
      </c>
      <c r="BD516" s="303"/>
      <c r="BE516" s="295" t="str">
        <f aca="false">IF((SUM(L516:W516)&gt;1),"ERROR","")</f>
        <v/>
      </c>
    </row>
    <row r="517" customFormat="false" ht="15" hidden="false" customHeight="true" outlineLevel="0" collapsed="false">
      <c r="B517" s="296"/>
      <c r="D517" s="297" t="s">
        <v>82</v>
      </c>
      <c r="E517" s="299" t="n">
        <f aca="false">SUM(E505:E516)</f>
        <v>0</v>
      </c>
      <c r="F517" s="299" t="n">
        <f aca="false">SUM(F505:F516)</f>
        <v>0</v>
      </c>
      <c r="G517" s="299" t="n">
        <f aca="false">SUM(G505:G516)</f>
        <v>0</v>
      </c>
      <c r="H517" s="300"/>
      <c r="I517" s="301" t="n">
        <f aca="false">AVERAGE(I505:I516)</f>
        <v>1</v>
      </c>
      <c r="J517" s="301" t="n">
        <f aca="false">AVERAGE(J505:J516)</f>
        <v>0</v>
      </c>
      <c r="K517" s="300"/>
      <c r="L517" s="290" t="n">
        <f aca="false">IF(SUM(L505:L516)&gt;0,(Y517/G517),0)</f>
        <v>0</v>
      </c>
      <c r="M517" s="301" t="n">
        <f aca="false">IF(SUM(M505:M516)&gt;0,(Z517/G517),0)</f>
        <v>0</v>
      </c>
      <c r="N517" s="301" t="n">
        <f aca="false">IF(SUM(N505:N516)&gt;0,(AA517/G517),0)</f>
        <v>0</v>
      </c>
      <c r="O517" s="301" t="n">
        <f aca="false">IF(SUM(O505:O516)&gt;0,(AB517/G517),0)</f>
        <v>0</v>
      </c>
      <c r="P517" s="301" t="n">
        <f aca="false">IF(SUM(P505:P516)&gt;0,(AC517/G517),0)</f>
        <v>0</v>
      </c>
      <c r="Q517" s="301" t="n">
        <f aca="false">IF(SUM(Q505:Q516)&gt;0,(AD517/G517),0)</f>
        <v>0</v>
      </c>
      <c r="R517" s="301" t="n">
        <f aca="false">IF(SUM(R505:R516)&gt;0,(AE517/G517),0)</f>
        <v>0</v>
      </c>
      <c r="S517" s="301" t="n">
        <f aca="false">IF(SUM(S505:S516)&gt;0,(AF517/G517),0)</f>
        <v>0</v>
      </c>
      <c r="T517" s="301" t="n">
        <f aca="false">IF(SUM(T505:T516)&gt;0,(AG517/G517),0)</f>
        <v>0</v>
      </c>
      <c r="U517" s="301" t="n">
        <f aca="false">IF(SUM(U505:U516)&gt;0,(AJ517/G517),0)</f>
        <v>0</v>
      </c>
      <c r="V517" s="301" t="n">
        <f aca="false">IF(SUM(V505:V516)&gt;0,(AI517/G517),0)</f>
        <v>0</v>
      </c>
      <c r="W517" s="301" t="n">
        <f aca="false">IF(SUM(W505:W516)&gt;0,(AJ517/G517),0)</f>
        <v>0</v>
      </c>
      <c r="X517" s="283"/>
      <c r="Y517" s="304" t="n">
        <f aca="false">SUM(Y505:Y516)</f>
        <v>0</v>
      </c>
      <c r="Z517" s="304" t="n">
        <f aca="false">SUM(Z505:Z516)</f>
        <v>0</v>
      </c>
      <c r="AA517" s="304" t="n">
        <f aca="false">SUM(AA505:AA516)</f>
        <v>0</v>
      </c>
      <c r="AB517" s="304" t="n">
        <f aca="false">SUM(AB505:AB516)</f>
        <v>0</v>
      </c>
      <c r="AC517" s="304" t="n">
        <f aca="false">SUM(AC505:AC516)</f>
        <v>0</v>
      </c>
      <c r="AD517" s="304" t="n">
        <f aca="false">SUM(AD505:AD516)</f>
        <v>0</v>
      </c>
      <c r="AE517" s="304" t="n">
        <f aca="false">SUM(AE505:AE516)</f>
        <v>0</v>
      </c>
      <c r="AF517" s="304" t="n">
        <f aca="false">SUM(AF505:AF516)</f>
        <v>0</v>
      </c>
      <c r="AG517" s="304" t="n">
        <f aca="false">SUM(AG505:AG516)</f>
        <v>0</v>
      </c>
      <c r="AH517" s="304" t="n">
        <f aca="false">SUM(AH505:AH516)</f>
        <v>0</v>
      </c>
      <c r="AI517" s="304" t="n">
        <f aca="false">SUM(AI505:AI516)</f>
        <v>0</v>
      </c>
      <c r="AJ517" s="304" t="n">
        <f aca="false">SUM(AJ505:AJ516)</f>
        <v>0</v>
      </c>
      <c r="AK517" s="335" t="n">
        <f aca="false">SUM(AK505:AK516)</f>
        <v>0</v>
      </c>
      <c r="AL517" s="336" t="n">
        <f aca="false">SUM(AL505:AL516)</f>
        <v>0</v>
      </c>
      <c r="AM517" s="305" t="n">
        <f aca="false">SUM(AM505:AM516)</f>
        <v>0</v>
      </c>
      <c r="AN517" s="283"/>
      <c r="AO517" s="304" t="n">
        <f aca="false">SUM(AO505:AO516)</f>
        <v>0</v>
      </c>
      <c r="AP517" s="304" t="n">
        <f aca="false">SUM(AP505:AP516)</f>
        <v>0</v>
      </c>
      <c r="AQ517" s="304" t="n">
        <f aca="false">SUM(AQ505:AQ516)</f>
        <v>0</v>
      </c>
      <c r="AR517" s="304" t="n">
        <f aca="false">SUM(AR505:AR516)</f>
        <v>0</v>
      </c>
      <c r="AS517" s="304" t="n">
        <f aca="false">SUM(AS505:AS516)</f>
        <v>0</v>
      </c>
      <c r="AT517" s="304" t="n">
        <f aca="false">SUM(AT505:AT516)</f>
        <v>0</v>
      </c>
      <c r="AU517" s="304" t="n">
        <f aca="false">SUM(AU505:AU516)</f>
        <v>0</v>
      </c>
      <c r="AV517" s="304" t="n">
        <f aca="false">SUM(AV505:AV516)</f>
        <v>0</v>
      </c>
      <c r="AW517" s="304" t="n">
        <f aca="false">SUM(AW505:AW516)</f>
        <v>0</v>
      </c>
      <c r="AX517" s="304" t="n">
        <f aca="false">SUM(AX505:AX516)</f>
        <v>0</v>
      </c>
      <c r="AY517" s="304" t="n">
        <f aca="false">SUM(AY505:AY516)</f>
        <v>0</v>
      </c>
      <c r="AZ517" s="304" t="n">
        <f aca="false">SUM(AZ505:AZ516)</f>
        <v>0</v>
      </c>
      <c r="BA517" s="336" t="n">
        <f aca="false">SUM(BA505:BA516)</f>
        <v>0</v>
      </c>
      <c r="BB517" s="336" t="n">
        <f aca="false">SUM(BB505:BB516)</f>
        <v>0</v>
      </c>
      <c r="BC517" s="305" t="n">
        <f aca="false">SUM(BC505:BC516)</f>
        <v>0</v>
      </c>
      <c r="BD517" s="303"/>
      <c r="BE517" s="337"/>
    </row>
    <row r="518" customFormat="false" ht="15" hidden="false" customHeight="true" outlineLevel="0" collapsed="false">
      <c r="B518" s="296"/>
      <c r="D518" s="297"/>
      <c r="E518" s="300"/>
      <c r="F518" s="300"/>
      <c r="G518" s="300"/>
      <c r="H518" s="241"/>
      <c r="I518" s="302"/>
      <c r="J518" s="302"/>
      <c r="K518" s="241"/>
      <c r="L518" s="259"/>
      <c r="M518" s="259"/>
      <c r="N518" s="259"/>
      <c r="O518" s="259"/>
      <c r="P518" s="259"/>
      <c r="Q518" s="259"/>
      <c r="R518" s="259"/>
      <c r="S518" s="259"/>
      <c r="T518" s="259"/>
      <c r="U518" s="259"/>
      <c r="V518" s="259"/>
      <c r="W518" s="259"/>
      <c r="X518" s="303"/>
      <c r="Y518" s="259"/>
      <c r="Z518" s="303"/>
      <c r="AA518" s="303"/>
      <c r="AB518" s="303"/>
      <c r="AC518" s="303"/>
      <c r="AD518" s="303"/>
      <c r="AE518" s="303"/>
      <c r="AF518" s="303"/>
      <c r="AG518" s="303"/>
      <c r="AH518" s="303"/>
      <c r="AI518" s="303"/>
      <c r="AJ518" s="303"/>
      <c r="AK518" s="303"/>
      <c r="AL518" s="303"/>
      <c r="AM518" s="303"/>
      <c r="AN518" s="303"/>
      <c r="AO518" s="259"/>
      <c r="AP518" s="303"/>
      <c r="AQ518" s="303"/>
      <c r="AR518" s="303"/>
      <c r="AS518" s="303"/>
      <c r="AT518" s="303"/>
      <c r="AU518" s="303"/>
      <c r="AV518" s="303"/>
      <c r="AW518" s="303"/>
      <c r="AX518" s="303"/>
      <c r="AY518" s="303"/>
      <c r="AZ518" s="303"/>
      <c r="BA518" s="303"/>
      <c r="BB518" s="303"/>
      <c r="BC518" s="303"/>
      <c r="BD518" s="268"/>
      <c r="BE518" s="303"/>
    </row>
    <row r="519" customFormat="false" ht="15" hidden="false" customHeight="true" outlineLevel="0" collapsed="false">
      <c r="A519" s="198" t="n">
        <f aca="false">A503+1</f>
        <v>33</v>
      </c>
      <c r="B519" s="266" t="s">
        <v>253</v>
      </c>
      <c r="C519" s="266" t="s">
        <v>253</v>
      </c>
      <c r="D519" s="266"/>
      <c r="E519" s="241"/>
      <c r="F519" s="241"/>
      <c r="G519" s="241"/>
      <c r="H519" s="241"/>
      <c r="I519" s="241"/>
      <c r="J519" s="241"/>
      <c r="K519" s="277"/>
      <c r="L519" s="241"/>
      <c r="M519" s="241"/>
      <c r="N519" s="241"/>
      <c r="O519" s="241"/>
      <c r="P519" s="241"/>
      <c r="Q519" s="241"/>
      <c r="R519" s="241"/>
      <c r="S519" s="241"/>
      <c r="T519" s="241"/>
      <c r="U519" s="241"/>
      <c r="V519" s="241"/>
      <c r="W519" s="241"/>
      <c r="X519" s="259"/>
      <c r="Y519" s="268"/>
      <c r="Z519" s="268"/>
      <c r="AA519" s="268"/>
      <c r="AB519" s="268"/>
      <c r="AC519" s="268"/>
      <c r="AD519" s="268"/>
      <c r="AE519" s="268"/>
      <c r="AF519" s="268"/>
      <c r="AG519" s="268"/>
      <c r="AH519" s="268"/>
      <c r="AI519" s="268"/>
      <c r="AJ519" s="268"/>
      <c r="AK519" s="268"/>
      <c r="AL519" s="268"/>
      <c r="AM519" s="268"/>
      <c r="AN519" s="259"/>
      <c r="AO519" s="268"/>
      <c r="AP519" s="268"/>
      <c r="AQ519" s="268"/>
      <c r="AR519" s="268"/>
      <c r="AS519" s="268"/>
      <c r="AT519" s="268"/>
      <c r="AU519" s="268"/>
      <c r="AV519" s="268"/>
      <c r="AW519" s="268"/>
      <c r="AX519" s="268"/>
      <c r="AY519" s="268"/>
      <c r="AZ519" s="268"/>
      <c r="BA519" s="268"/>
      <c r="BB519" s="268"/>
      <c r="BC519" s="268"/>
      <c r="BD519" s="287"/>
      <c r="BE519" s="268"/>
    </row>
    <row r="520" customFormat="false" ht="7.5" hidden="false" customHeight="true" outlineLevel="0" collapsed="false">
      <c r="A520" s="198"/>
      <c r="B520" s="266"/>
      <c r="C520" s="266"/>
      <c r="D520" s="266"/>
      <c r="E520" s="241"/>
      <c r="F520" s="241"/>
      <c r="G520" s="241"/>
      <c r="H520" s="204"/>
      <c r="I520" s="269"/>
      <c r="J520" s="269"/>
      <c r="K520" s="277"/>
      <c r="L520" s="269"/>
      <c r="M520" s="269"/>
      <c r="N520" s="269"/>
      <c r="O520" s="269"/>
      <c r="P520" s="269"/>
      <c r="Q520" s="269"/>
      <c r="R520" s="269"/>
      <c r="S520" s="269"/>
      <c r="T520" s="269"/>
      <c r="U520" s="269"/>
      <c r="V520" s="269"/>
      <c r="W520" s="269"/>
      <c r="X520" s="259"/>
      <c r="Y520" s="271"/>
      <c r="Z520" s="271"/>
      <c r="AA520" s="271"/>
      <c r="AB520" s="271"/>
      <c r="AC520" s="271"/>
      <c r="AD520" s="271"/>
      <c r="AE520" s="271"/>
      <c r="AF520" s="271"/>
      <c r="AG520" s="271"/>
      <c r="AH520" s="271"/>
      <c r="AI520" s="271"/>
      <c r="AJ520" s="272"/>
      <c r="AK520" s="273"/>
      <c r="AL520" s="273"/>
      <c r="AM520" s="273"/>
      <c r="AN520" s="259"/>
      <c r="AO520" s="271"/>
      <c r="AP520" s="271"/>
      <c r="AQ520" s="271"/>
      <c r="AR520" s="271"/>
      <c r="AS520" s="271"/>
      <c r="AT520" s="271"/>
      <c r="AU520" s="271"/>
      <c r="AV520" s="271"/>
      <c r="AW520" s="271"/>
      <c r="AX520" s="271"/>
      <c r="AY520" s="271"/>
      <c r="AZ520" s="272"/>
      <c r="BA520" s="273"/>
      <c r="BB520" s="273"/>
      <c r="BC520" s="273"/>
      <c r="BD520" s="287"/>
      <c r="BE520" s="274"/>
    </row>
    <row r="521" customFormat="false" ht="15" hidden="false" customHeight="true" outlineLevel="0" collapsed="false">
      <c r="B521" s="333"/>
      <c r="C521" s="334"/>
      <c r="D521" s="333" t="n">
        <f aca="false">D505</f>
        <v>45292</v>
      </c>
      <c r="E521" s="277" t="n">
        <v>0</v>
      </c>
      <c r="F521" s="277" t="n">
        <v>0</v>
      </c>
      <c r="G521" s="277" t="n">
        <f aca="false">SUM(E521:F521)</f>
        <v>0</v>
      </c>
      <c r="H521" s="204"/>
      <c r="I521" s="279" t="n">
        <v>1</v>
      </c>
      <c r="J521" s="280" t="n">
        <f aca="false">1-I521</f>
        <v>0</v>
      </c>
      <c r="K521" s="277"/>
      <c r="L521" s="282"/>
      <c r="M521" s="282"/>
      <c r="N521" s="282"/>
      <c r="O521" s="282"/>
      <c r="P521" s="282"/>
      <c r="Q521" s="282"/>
      <c r="R521" s="282"/>
      <c r="S521" s="282"/>
      <c r="T521" s="282"/>
      <c r="U521" s="282"/>
      <c r="V521" s="282"/>
      <c r="W521" s="282"/>
      <c r="X521" s="268"/>
      <c r="Y521" s="284" t="n">
        <f aca="false">IFERROR(L521*$G521*I$9, "")</f>
        <v>0</v>
      </c>
      <c r="Z521" s="284" t="n">
        <f aca="false">IFERROR(M521*$G521*$I521, "")</f>
        <v>0</v>
      </c>
      <c r="AA521" s="284" t="n">
        <f aca="false">IFERROR(N521*$G521*$I521, "")</f>
        <v>0</v>
      </c>
      <c r="AB521" s="284" t="n">
        <f aca="false">IFERROR(O521*$G521*$I521, "")</f>
        <v>0</v>
      </c>
      <c r="AC521" s="284" t="n">
        <f aca="false">IFERROR(P521*$G521*$I521, "")</f>
        <v>0</v>
      </c>
      <c r="AD521" s="284" t="n">
        <f aca="false">IFERROR(Q521*$G521*$I521, "")</f>
        <v>0</v>
      </c>
      <c r="AE521" s="284" t="n">
        <f aca="false">IFERROR(R521*$G521*$I521, "")</f>
        <v>0</v>
      </c>
      <c r="AF521" s="284" t="n">
        <f aca="false">IFERROR(S521*$G521*$I521, "")</f>
        <v>0</v>
      </c>
      <c r="AG521" s="284" t="n">
        <f aca="false">IFERROR(T521*$G521*$I521, "")</f>
        <v>0</v>
      </c>
      <c r="AH521" s="284" t="n">
        <f aca="false">IFERROR(U521*$G521*$I521, "")</f>
        <v>0</v>
      </c>
      <c r="AI521" s="284" t="n">
        <f aca="false">IFERROR(V521*$G521*$I521, "")</f>
        <v>0</v>
      </c>
      <c r="AJ521" s="284" t="n">
        <f aca="false">IFERROR(W521*$G521*$I521, "")</f>
        <v>0</v>
      </c>
      <c r="AK521" s="286" t="n">
        <f aca="false">IFERROR(SUMIF($Y$4:$AJ$4, "RDEC", Y521:AJ521), "")</f>
        <v>0</v>
      </c>
      <c r="AL521" s="286" t="n">
        <f aca="false">IFERROR(SUMIF($Y$4:$AJ$4, "SME", Y521:AJ521), "")</f>
        <v>0</v>
      </c>
      <c r="AM521" s="286" t="n">
        <f aca="false">IFERROR(SUMIF($Y$4:$AJ$4, "De Minimis", Y521:AJ521), "")</f>
        <v>0</v>
      </c>
      <c r="AN521" s="268"/>
      <c r="AO521" s="284" t="n">
        <f aca="false">IFERROR($G521*$J521*L521, "")</f>
        <v>0</v>
      </c>
      <c r="AP521" s="284" t="n">
        <f aca="false">IFERROR($G521*$J521*M521, "")</f>
        <v>0</v>
      </c>
      <c r="AQ521" s="284" t="n">
        <f aca="false">IFERROR($G521*$J521*N521, "")</f>
        <v>0</v>
      </c>
      <c r="AR521" s="284" t="n">
        <f aca="false">IFERROR($G521*$J521*O521, "")</f>
        <v>0</v>
      </c>
      <c r="AS521" s="284" t="n">
        <f aca="false">IFERROR($G521*$J521*P521, "")</f>
        <v>0</v>
      </c>
      <c r="AT521" s="284" t="n">
        <f aca="false">IFERROR($G521*$J521*Q521, "")</f>
        <v>0</v>
      </c>
      <c r="AU521" s="284" t="n">
        <f aca="false">IFERROR($G521*$J521*R521, "")</f>
        <v>0</v>
      </c>
      <c r="AV521" s="284" t="n">
        <f aca="false">IFERROR($G521*$J521*S521, "")</f>
        <v>0</v>
      </c>
      <c r="AW521" s="284" t="n">
        <f aca="false">IFERROR($G521*$J521*T521, "")</f>
        <v>0</v>
      </c>
      <c r="AX521" s="284" t="n">
        <f aca="false">IFERROR($G521*$J521*U521, "")</f>
        <v>0</v>
      </c>
      <c r="AY521" s="284" t="n">
        <f aca="false">IFERROR($G521*$J521*V521, "")</f>
        <v>0</v>
      </c>
      <c r="AZ521" s="284" t="n">
        <f aca="false">IFERROR($G521*$J521*W521, "")</f>
        <v>0</v>
      </c>
      <c r="BA521" s="286" t="n">
        <f aca="false">IFERROR(SUMIF($AO$4:$AZ$4, "RDEC", AO521:AZ521), "")</f>
        <v>0</v>
      </c>
      <c r="BB521" s="286" t="n">
        <f aca="false">IFERROR(SUMIF($AO$4:$AZ$4, "SME", AO521:AZ521), "")</f>
        <v>0</v>
      </c>
      <c r="BC521" s="286" t="n">
        <f aca="false">IFERROR(SUMIF($AO$4:$AZ$4, "De Minimis", AO521:AZ521), "")</f>
        <v>0</v>
      </c>
      <c r="BD521" s="287"/>
      <c r="BE521" s="288" t="str">
        <f aca="false">IF((SUM(L521:W521)&gt;1),"ERROR","")</f>
        <v/>
      </c>
    </row>
    <row r="522" customFormat="false" ht="15" hidden="false" customHeight="true" outlineLevel="0" collapsed="false">
      <c r="B522" s="333"/>
      <c r="C522" s="334"/>
      <c r="D522" s="333" t="n">
        <f aca="false">D506</f>
        <v>45323</v>
      </c>
      <c r="E522" s="277" t="n">
        <v>0</v>
      </c>
      <c r="F522" s="277" t="n">
        <v>0</v>
      </c>
      <c r="G522" s="277" t="n">
        <f aca="false">SUM(E522:F522)</f>
        <v>0</v>
      </c>
      <c r="H522" s="204"/>
      <c r="I522" s="279" t="n">
        <v>1</v>
      </c>
      <c r="J522" s="280" t="n">
        <f aca="false">1-I522</f>
        <v>0</v>
      </c>
      <c r="K522" s="277"/>
      <c r="L522" s="282"/>
      <c r="M522" s="282"/>
      <c r="N522" s="282"/>
      <c r="O522" s="282"/>
      <c r="P522" s="282"/>
      <c r="Q522" s="282"/>
      <c r="R522" s="282"/>
      <c r="S522" s="282"/>
      <c r="T522" s="282"/>
      <c r="U522" s="282"/>
      <c r="V522" s="282"/>
      <c r="W522" s="282"/>
      <c r="X522" s="283"/>
      <c r="Y522" s="284" t="n">
        <f aca="false">IFERROR(L522*$G522*I$9, "")</f>
        <v>0</v>
      </c>
      <c r="Z522" s="284" t="n">
        <f aca="false">IFERROR(M522*$G522*$I522, "")</f>
        <v>0</v>
      </c>
      <c r="AA522" s="284" t="n">
        <f aca="false">IFERROR(N522*$G522*$I522, "")</f>
        <v>0</v>
      </c>
      <c r="AB522" s="284" t="n">
        <f aca="false">IFERROR(O522*$G522*$I522, "")</f>
        <v>0</v>
      </c>
      <c r="AC522" s="284" t="n">
        <f aca="false">IFERROR(P522*$G522*$I522, "")</f>
        <v>0</v>
      </c>
      <c r="AD522" s="284" t="n">
        <f aca="false">IFERROR(Q522*$G522*$I522, "")</f>
        <v>0</v>
      </c>
      <c r="AE522" s="284" t="n">
        <f aca="false">IFERROR(R522*$G522*$I522, "")</f>
        <v>0</v>
      </c>
      <c r="AF522" s="284" t="n">
        <f aca="false">IFERROR(S522*$G522*$I522, "")</f>
        <v>0</v>
      </c>
      <c r="AG522" s="284" t="n">
        <f aca="false">IFERROR(T522*$G522*$I522, "")</f>
        <v>0</v>
      </c>
      <c r="AH522" s="284" t="n">
        <f aca="false">IFERROR(U522*$G522*$I522, "")</f>
        <v>0</v>
      </c>
      <c r="AI522" s="284" t="n">
        <f aca="false">IFERROR(V522*$G522*$I522, "")</f>
        <v>0</v>
      </c>
      <c r="AJ522" s="284" t="n">
        <f aca="false">IFERROR(W522*$G522*$I522, "")</f>
        <v>0</v>
      </c>
      <c r="AK522" s="286" t="n">
        <f aca="false">IFERROR(SUMIF($Y$4:$AJ$4, "RDEC", Y522:AJ522), "")</f>
        <v>0</v>
      </c>
      <c r="AL522" s="286" t="n">
        <f aca="false">IFERROR(SUMIF($Y$4:$AJ$4, "SME", Y522:AJ522), "")</f>
        <v>0</v>
      </c>
      <c r="AM522" s="286" t="n">
        <f aca="false">IFERROR(SUMIF($Y$4:$AJ$4, "De Minimis", Y522:AJ522), "")</f>
        <v>0</v>
      </c>
      <c r="AN522" s="283"/>
      <c r="AO522" s="284" t="n">
        <f aca="false">IFERROR($G522*$J522*L522, "")</f>
        <v>0</v>
      </c>
      <c r="AP522" s="284" t="n">
        <f aca="false">IFERROR($G522*$J522*M522, "")</f>
        <v>0</v>
      </c>
      <c r="AQ522" s="284" t="n">
        <f aca="false">IFERROR($G522*$J522*N522, "")</f>
        <v>0</v>
      </c>
      <c r="AR522" s="284" t="n">
        <f aca="false">IFERROR($G522*$J522*O522, "")</f>
        <v>0</v>
      </c>
      <c r="AS522" s="284" t="n">
        <f aca="false">IFERROR($G522*$J522*P522, "")</f>
        <v>0</v>
      </c>
      <c r="AT522" s="284" t="n">
        <f aca="false">IFERROR($G522*$J522*Q522, "")</f>
        <v>0</v>
      </c>
      <c r="AU522" s="284" t="n">
        <f aca="false">IFERROR($G522*$J522*R522, "")</f>
        <v>0</v>
      </c>
      <c r="AV522" s="284" t="n">
        <f aca="false">IFERROR($G522*$J522*S522, "")</f>
        <v>0</v>
      </c>
      <c r="AW522" s="284" t="n">
        <f aca="false">IFERROR($G522*$J522*T522, "")</f>
        <v>0</v>
      </c>
      <c r="AX522" s="284" t="n">
        <f aca="false">IFERROR($G522*$J522*U522, "")</f>
        <v>0</v>
      </c>
      <c r="AY522" s="284" t="n">
        <f aca="false">IFERROR($G522*$J522*V522, "")</f>
        <v>0</v>
      </c>
      <c r="AZ522" s="284" t="n">
        <f aca="false">IFERROR($G522*$J522*W522, "")</f>
        <v>0</v>
      </c>
      <c r="BA522" s="286" t="n">
        <f aca="false">IFERROR(SUMIF($AO$4:$AZ$4, "RDEC", AO522:AZ522), "")</f>
        <v>0</v>
      </c>
      <c r="BB522" s="286" t="n">
        <f aca="false">IFERROR(SUMIF($AO$4:$AZ$4, "SME", AO522:AZ522), "")</f>
        <v>0</v>
      </c>
      <c r="BC522" s="286" t="n">
        <f aca="false">IFERROR(SUMIF($Y$4:$AJ$4, "De Minimis", AO522:AZ522), "")</f>
        <v>0</v>
      </c>
      <c r="BD522" s="287"/>
      <c r="BE522" s="288" t="str">
        <f aca="false">IF((SUM(L522:W522)&gt;1),"ERROR","")</f>
        <v/>
      </c>
    </row>
    <row r="523" customFormat="false" ht="15" hidden="false" customHeight="true" outlineLevel="0" collapsed="false">
      <c r="B523" s="333"/>
      <c r="C523" s="334"/>
      <c r="D523" s="333" t="n">
        <f aca="false">D507</f>
        <v>45352</v>
      </c>
      <c r="E523" s="277" t="n">
        <v>0</v>
      </c>
      <c r="F523" s="277" t="n">
        <v>0</v>
      </c>
      <c r="G523" s="277" t="n">
        <f aca="false">SUM(E523:F523)</f>
        <v>0</v>
      </c>
      <c r="H523" s="204"/>
      <c r="I523" s="279" t="n">
        <v>1</v>
      </c>
      <c r="J523" s="280" t="n">
        <f aca="false">1-I523</f>
        <v>0</v>
      </c>
      <c r="K523" s="277"/>
      <c r="L523" s="282"/>
      <c r="M523" s="282"/>
      <c r="N523" s="282"/>
      <c r="O523" s="282"/>
      <c r="P523" s="282"/>
      <c r="Q523" s="282"/>
      <c r="R523" s="282"/>
      <c r="S523" s="282"/>
      <c r="T523" s="282"/>
      <c r="U523" s="282"/>
      <c r="V523" s="282"/>
      <c r="W523" s="282"/>
      <c r="X523" s="283"/>
      <c r="Y523" s="284" t="n">
        <f aca="false">IFERROR(L523*$G523*I$9, "")</f>
        <v>0</v>
      </c>
      <c r="Z523" s="284" t="n">
        <f aca="false">IFERROR(M523*$G523*$I523, "")</f>
        <v>0</v>
      </c>
      <c r="AA523" s="284" t="n">
        <f aca="false">IFERROR(N523*$G523*$I523, "")</f>
        <v>0</v>
      </c>
      <c r="AB523" s="284" t="n">
        <f aca="false">IFERROR(O523*$G523*$I523, "")</f>
        <v>0</v>
      </c>
      <c r="AC523" s="284" t="n">
        <f aca="false">IFERROR(P523*$G523*$I523, "")</f>
        <v>0</v>
      </c>
      <c r="AD523" s="284" t="n">
        <f aca="false">IFERROR(Q523*$G523*$I523, "")</f>
        <v>0</v>
      </c>
      <c r="AE523" s="284" t="n">
        <f aca="false">IFERROR(R523*$G523*$I523, "")</f>
        <v>0</v>
      </c>
      <c r="AF523" s="284" t="n">
        <f aca="false">IFERROR(S523*$G523*$I523, "")</f>
        <v>0</v>
      </c>
      <c r="AG523" s="284" t="n">
        <f aca="false">IFERROR(T523*$G523*$I523, "")</f>
        <v>0</v>
      </c>
      <c r="AH523" s="284" t="n">
        <f aca="false">IFERROR(U523*$G523*$I523, "")</f>
        <v>0</v>
      </c>
      <c r="AI523" s="284" t="n">
        <f aca="false">IFERROR(V523*$G523*$I523, "")</f>
        <v>0</v>
      </c>
      <c r="AJ523" s="284" t="n">
        <f aca="false">IFERROR(W523*$G523*$I523, "")</f>
        <v>0</v>
      </c>
      <c r="AK523" s="286" t="n">
        <f aca="false">IFERROR(SUMIF($Y$4:$AJ$4, "RDEC", Y523:AJ523), "")</f>
        <v>0</v>
      </c>
      <c r="AL523" s="286" t="n">
        <f aca="false">IFERROR(SUMIF($Y$4:$AJ$4, "SME", Y523:AJ523), "")</f>
        <v>0</v>
      </c>
      <c r="AM523" s="286" t="n">
        <f aca="false">IFERROR(SUMIF($Y$4:$AJ$4, "De Minimis", Y523:AJ523), "")</f>
        <v>0</v>
      </c>
      <c r="AN523" s="283"/>
      <c r="AO523" s="284" t="n">
        <f aca="false">IFERROR($G523*$J523*L523, "")</f>
        <v>0</v>
      </c>
      <c r="AP523" s="284" t="n">
        <f aca="false">IFERROR($G523*$J523*M523, "")</f>
        <v>0</v>
      </c>
      <c r="AQ523" s="284" t="n">
        <f aca="false">IFERROR($G523*$J523*N523, "")</f>
        <v>0</v>
      </c>
      <c r="AR523" s="284" t="n">
        <f aca="false">IFERROR($G523*$J523*O523, "")</f>
        <v>0</v>
      </c>
      <c r="AS523" s="284" t="n">
        <f aca="false">IFERROR($G523*$J523*P523, "")</f>
        <v>0</v>
      </c>
      <c r="AT523" s="284" t="n">
        <f aca="false">IFERROR($G523*$J523*Q523, "")</f>
        <v>0</v>
      </c>
      <c r="AU523" s="284" t="n">
        <f aca="false">IFERROR($G523*$J523*R523, "")</f>
        <v>0</v>
      </c>
      <c r="AV523" s="284" t="n">
        <f aca="false">IFERROR($G523*$J523*S523, "")</f>
        <v>0</v>
      </c>
      <c r="AW523" s="284" t="n">
        <f aca="false">IFERROR($G523*$J523*T523, "")</f>
        <v>0</v>
      </c>
      <c r="AX523" s="284" t="n">
        <f aca="false">IFERROR($G523*$J523*U523, "")</f>
        <v>0</v>
      </c>
      <c r="AY523" s="284" t="n">
        <f aca="false">IFERROR($G523*$J523*V523, "")</f>
        <v>0</v>
      </c>
      <c r="AZ523" s="284" t="n">
        <f aca="false">IFERROR($G523*$J523*W523, "")</f>
        <v>0</v>
      </c>
      <c r="BA523" s="286" t="n">
        <f aca="false">IFERROR(SUMIF($AO$4:$AZ$4, "RDEC", AO523:AZ523), "")</f>
        <v>0</v>
      </c>
      <c r="BB523" s="286" t="n">
        <f aca="false">IFERROR(SUMIF($AO$4:$AZ$4, "SME", AO523:AZ523), "")</f>
        <v>0</v>
      </c>
      <c r="BC523" s="286" t="n">
        <f aca="false">IFERROR(SUMIF($Y$4:$AJ$4, "De Minimis", AO523:AZ523), "")</f>
        <v>0</v>
      </c>
      <c r="BD523" s="287"/>
      <c r="BE523" s="288" t="str">
        <f aca="false">IF((SUM(L523:W523)&gt;1),"ERROR","")</f>
        <v/>
      </c>
    </row>
    <row r="524" customFormat="false" ht="15" hidden="false" customHeight="true" outlineLevel="0" collapsed="false">
      <c r="B524" s="333"/>
      <c r="C524" s="334"/>
      <c r="D524" s="333" t="n">
        <f aca="false">D508</f>
        <v>45383</v>
      </c>
      <c r="E524" s="277" t="n">
        <v>0</v>
      </c>
      <c r="F524" s="277" t="n">
        <v>0</v>
      </c>
      <c r="G524" s="277" t="n">
        <f aca="false">SUM(E524:F524)</f>
        <v>0</v>
      </c>
      <c r="H524" s="204"/>
      <c r="I524" s="279" t="n">
        <v>1</v>
      </c>
      <c r="J524" s="280" t="n">
        <f aca="false">1-I524</f>
        <v>0</v>
      </c>
      <c r="K524" s="277"/>
      <c r="L524" s="282"/>
      <c r="M524" s="282"/>
      <c r="N524" s="282"/>
      <c r="O524" s="282"/>
      <c r="P524" s="282"/>
      <c r="Q524" s="282"/>
      <c r="R524" s="282"/>
      <c r="S524" s="282"/>
      <c r="T524" s="282"/>
      <c r="U524" s="282"/>
      <c r="V524" s="282"/>
      <c r="W524" s="282"/>
      <c r="X524" s="283"/>
      <c r="Y524" s="284" t="n">
        <f aca="false">IFERROR(L524*$G524*I$9, "")</f>
        <v>0</v>
      </c>
      <c r="Z524" s="284" t="n">
        <f aca="false">IFERROR(M524*$G524*$I524, "")</f>
        <v>0</v>
      </c>
      <c r="AA524" s="284" t="n">
        <f aca="false">IFERROR(N524*$G524*$I524, "")</f>
        <v>0</v>
      </c>
      <c r="AB524" s="284" t="n">
        <f aca="false">IFERROR(O524*$G524*$I524, "")</f>
        <v>0</v>
      </c>
      <c r="AC524" s="284" t="n">
        <f aca="false">IFERROR(P524*$G524*$I524, "")</f>
        <v>0</v>
      </c>
      <c r="AD524" s="284" t="n">
        <f aca="false">IFERROR(Q524*$G524*$I524, "")</f>
        <v>0</v>
      </c>
      <c r="AE524" s="284" t="n">
        <f aca="false">IFERROR(R524*$G524*$I524, "")</f>
        <v>0</v>
      </c>
      <c r="AF524" s="284" t="n">
        <f aca="false">IFERROR(S524*$G524*$I524, "")</f>
        <v>0</v>
      </c>
      <c r="AG524" s="284" t="n">
        <f aca="false">IFERROR(T524*$G524*$I524, "")</f>
        <v>0</v>
      </c>
      <c r="AH524" s="284" t="n">
        <f aca="false">IFERROR(U524*$G524*$I524, "")</f>
        <v>0</v>
      </c>
      <c r="AI524" s="284" t="n">
        <f aca="false">IFERROR(V524*$G524*$I524, "")</f>
        <v>0</v>
      </c>
      <c r="AJ524" s="284" t="n">
        <f aca="false">IFERROR(W524*$G524*$I524, "")</f>
        <v>0</v>
      </c>
      <c r="AK524" s="286" t="n">
        <f aca="false">IFERROR(SUMIF($Y$4:$AJ$4, "RDEC", Y524:AJ524), "")</f>
        <v>0</v>
      </c>
      <c r="AL524" s="286" t="n">
        <f aca="false">IFERROR(SUMIF($Y$4:$AJ$4, "SME", Y524:AJ524), "")</f>
        <v>0</v>
      </c>
      <c r="AM524" s="286" t="n">
        <f aca="false">IFERROR(SUMIF($Y$4:$AJ$4, "De Minimis", Y524:AJ524), "")</f>
        <v>0</v>
      </c>
      <c r="AN524" s="283"/>
      <c r="AO524" s="284" t="n">
        <f aca="false">IFERROR($G524*$J524*L524, "")</f>
        <v>0</v>
      </c>
      <c r="AP524" s="284" t="n">
        <f aca="false">IFERROR($G524*$J524*M524, "")</f>
        <v>0</v>
      </c>
      <c r="AQ524" s="284" t="n">
        <f aca="false">IFERROR($G524*$J524*N524, "")</f>
        <v>0</v>
      </c>
      <c r="AR524" s="284" t="n">
        <f aca="false">IFERROR($G524*$J524*O524, "")</f>
        <v>0</v>
      </c>
      <c r="AS524" s="284" t="n">
        <f aca="false">IFERROR($G524*$J524*P524, "")</f>
        <v>0</v>
      </c>
      <c r="AT524" s="284" t="n">
        <f aca="false">IFERROR($G524*$J524*Q524, "")</f>
        <v>0</v>
      </c>
      <c r="AU524" s="284" t="n">
        <f aca="false">IFERROR($G524*$J524*R524, "")</f>
        <v>0</v>
      </c>
      <c r="AV524" s="284" t="n">
        <f aca="false">IFERROR($G524*$J524*S524, "")</f>
        <v>0</v>
      </c>
      <c r="AW524" s="284" t="n">
        <f aca="false">IFERROR($G524*$J524*T524, "")</f>
        <v>0</v>
      </c>
      <c r="AX524" s="284" t="n">
        <f aca="false">IFERROR($G524*$J524*U524, "")</f>
        <v>0</v>
      </c>
      <c r="AY524" s="284" t="n">
        <f aca="false">IFERROR($G524*$J524*V524, "")</f>
        <v>0</v>
      </c>
      <c r="AZ524" s="284" t="n">
        <f aca="false">IFERROR($G524*$J524*W524, "")</f>
        <v>0</v>
      </c>
      <c r="BA524" s="286" t="n">
        <f aca="false">IFERROR(SUMIF($AO$4:$AZ$4, "RDEC", AO524:AZ524), "")</f>
        <v>0</v>
      </c>
      <c r="BB524" s="286" t="n">
        <f aca="false">IFERROR(SUMIF($AO$4:$AZ$4, "SME", AO524:AZ524), "")</f>
        <v>0</v>
      </c>
      <c r="BC524" s="286" t="n">
        <f aca="false">IFERROR(SUMIF($Y$4:$AJ$4, "De Minimis", AO524:AZ524), "")</f>
        <v>0</v>
      </c>
      <c r="BD524" s="287"/>
      <c r="BE524" s="288" t="str">
        <f aca="false">IF((SUM(L524:W524)&gt;1),"ERROR","")</f>
        <v/>
      </c>
    </row>
    <row r="525" customFormat="false" ht="15" hidden="false" customHeight="true" outlineLevel="0" collapsed="false">
      <c r="B525" s="333"/>
      <c r="C525" s="334"/>
      <c r="D525" s="333" t="n">
        <f aca="false">D509</f>
        <v>45413</v>
      </c>
      <c r="E525" s="277" t="n">
        <v>0</v>
      </c>
      <c r="F525" s="277" t="n">
        <v>0</v>
      </c>
      <c r="G525" s="277" t="n">
        <f aca="false">SUM(E525:F525)</f>
        <v>0</v>
      </c>
      <c r="H525" s="204"/>
      <c r="I525" s="279" t="n">
        <v>1</v>
      </c>
      <c r="J525" s="280" t="n">
        <f aca="false">1-I525</f>
        <v>0</v>
      </c>
      <c r="K525" s="277"/>
      <c r="L525" s="282"/>
      <c r="M525" s="282"/>
      <c r="N525" s="282"/>
      <c r="O525" s="282"/>
      <c r="P525" s="282"/>
      <c r="Q525" s="282"/>
      <c r="R525" s="282"/>
      <c r="S525" s="282"/>
      <c r="T525" s="282"/>
      <c r="U525" s="282"/>
      <c r="V525" s="282"/>
      <c r="W525" s="282"/>
      <c r="X525" s="283"/>
      <c r="Y525" s="284" t="n">
        <f aca="false">IFERROR(L525*$G525*I$9, "")</f>
        <v>0</v>
      </c>
      <c r="Z525" s="284" t="n">
        <f aca="false">IFERROR(M525*$G525*$I525, "")</f>
        <v>0</v>
      </c>
      <c r="AA525" s="284" t="n">
        <f aca="false">IFERROR(N525*$G525*$I525, "")</f>
        <v>0</v>
      </c>
      <c r="AB525" s="284" t="n">
        <f aca="false">IFERROR(O525*$G525*$I525, "")</f>
        <v>0</v>
      </c>
      <c r="AC525" s="284" t="n">
        <f aca="false">IFERROR(P525*$G525*$I525, "")</f>
        <v>0</v>
      </c>
      <c r="AD525" s="284" t="n">
        <f aca="false">IFERROR(Q525*$G525*$I525, "")</f>
        <v>0</v>
      </c>
      <c r="AE525" s="284" t="n">
        <f aca="false">IFERROR(R525*$G525*$I525, "")</f>
        <v>0</v>
      </c>
      <c r="AF525" s="284" t="n">
        <f aca="false">IFERROR(S525*$G525*$I525, "")</f>
        <v>0</v>
      </c>
      <c r="AG525" s="284" t="n">
        <f aca="false">IFERROR(T525*$G525*$I525, "")</f>
        <v>0</v>
      </c>
      <c r="AH525" s="284" t="n">
        <f aca="false">IFERROR(U525*$G525*$I525, "")</f>
        <v>0</v>
      </c>
      <c r="AI525" s="284" t="n">
        <f aca="false">IFERROR(V525*$G525*$I525, "")</f>
        <v>0</v>
      </c>
      <c r="AJ525" s="284" t="n">
        <f aca="false">IFERROR(W525*$G525*$I525, "")</f>
        <v>0</v>
      </c>
      <c r="AK525" s="286" t="n">
        <f aca="false">IFERROR(SUMIF($Y$4:$AJ$4, "RDEC", Y525:AJ525), "")</f>
        <v>0</v>
      </c>
      <c r="AL525" s="286" t="n">
        <f aca="false">IFERROR(SUMIF($Y$4:$AJ$4, "SME", Y525:AJ525), "")</f>
        <v>0</v>
      </c>
      <c r="AM525" s="286" t="n">
        <f aca="false">IFERROR(SUMIF($Y$4:$AJ$4, "De Minimis", Y525:AJ525), "")</f>
        <v>0</v>
      </c>
      <c r="AN525" s="283"/>
      <c r="AO525" s="284" t="n">
        <f aca="false">IFERROR($G525*$J525*L525, "")</f>
        <v>0</v>
      </c>
      <c r="AP525" s="284" t="n">
        <f aca="false">IFERROR($G525*$J525*M525, "")</f>
        <v>0</v>
      </c>
      <c r="AQ525" s="284" t="n">
        <f aca="false">IFERROR($G525*$J525*N525, "")</f>
        <v>0</v>
      </c>
      <c r="AR525" s="284" t="n">
        <f aca="false">IFERROR($G525*$J525*O525, "")</f>
        <v>0</v>
      </c>
      <c r="AS525" s="284" t="n">
        <f aca="false">IFERROR($G525*$J525*P525, "")</f>
        <v>0</v>
      </c>
      <c r="AT525" s="284" t="n">
        <f aca="false">IFERROR($G525*$J525*Q525, "")</f>
        <v>0</v>
      </c>
      <c r="AU525" s="284" t="n">
        <f aca="false">IFERROR($G525*$J525*R525, "")</f>
        <v>0</v>
      </c>
      <c r="AV525" s="284" t="n">
        <f aca="false">IFERROR($G525*$J525*S525, "")</f>
        <v>0</v>
      </c>
      <c r="AW525" s="284" t="n">
        <f aca="false">IFERROR($G525*$J525*T525, "")</f>
        <v>0</v>
      </c>
      <c r="AX525" s="284" t="n">
        <f aca="false">IFERROR($G525*$J525*U525, "")</f>
        <v>0</v>
      </c>
      <c r="AY525" s="284" t="n">
        <f aca="false">IFERROR($G525*$J525*V525, "")</f>
        <v>0</v>
      </c>
      <c r="AZ525" s="284" t="n">
        <f aca="false">IFERROR($G525*$J525*W525, "")</f>
        <v>0</v>
      </c>
      <c r="BA525" s="286" t="n">
        <f aca="false">IFERROR(SUMIF($AO$4:$AZ$4, "RDEC", AO525:AZ525), "")</f>
        <v>0</v>
      </c>
      <c r="BB525" s="286" t="n">
        <f aca="false">IFERROR(SUMIF($AO$4:$AZ$4, "SME", AO525:AZ525), "")</f>
        <v>0</v>
      </c>
      <c r="BC525" s="286" t="n">
        <f aca="false">IFERROR(SUMIF($Y$4:$AJ$4, "De Minimis", AO525:AZ525), "")</f>
        <v>0</v>
      </c>
      <c r="BD525" s="287"/>
      <c r="BE525" s="288" t="str">
        <f aca="false">IF((SUM(L525:W525)&gt;1),"ERROR","")</f>
        <v/>
      </c>
    </row>
    <row r="526" customFormat="false" ht="15" hidden="false" customHeight="true" outlineLevel="0" collapsed="false">
      <c r="B526" s="333"/>
      <c r="C526" s="334"/>
      <c r="D526" s="333" t="n">
        <f aca="false">D510</f>
        <v>45444</v>
      </c>
      <c r="E526" s="277" t="n">
        <v>0</v>
      </c>
      <c r="F526" s="277" t="n">
        <v>0</v>
      </c>
      <c r="G526" s="277" t="n">
        <f aca="false">SUM(E526:F526)</f>
        <v>0</v>
      </c>
      <c r="H526" s="204"/>
      <c r="I526" s="279" t="n">
        <v>1</v>
      </c>
      <c r="J526" s="280" t="n">
        <f aca="false">1-I526</f>
        <v>0</v>
      </c>
      <c r="K526" s="277"/>
      <c r="L526" s="282"/>
      <c r="M526" s="282"/>
      <c r="N526" s="282"/>
      <c r="O526" s="282"/>
      <c r="P526" s="282"/>
      <c r="Q526" s="282"/>
      <c r="R526" s="282"/>
      <c r="S526" s="282"/>
      <c r="T526" s="282"/>
      <c r="U526" s="282"/>
      <c r="V526" s="282"/>
      <c r="W526" s="282"/>
      <c r="X526" s="283"/>
      <c r="Y526" s="284" t="n">
        <f aca="false">IFERROR(L526*$G526*I$9, "")</f>
        <v>0</v>
      </c>
      <c r="Z526" s="284" t="n">
        <f aca="false">IFERROR(M526*$G526*$I526, "")</f>
        <v>0</v>
      </c>
      <c r="AA526" s="284" t="n">
        <f aca="false">IFERROR(N526*$G526*$I526, "")</f>
        <v>0</v>
      </c>
      <c r="AB526" s="284" t="n">
        <f aca="false">IFERROR(O526*$G526*$I526, "")</f>
        <v>0</v>
      </c>
      <c r="AC526" s="284" t="n">
        <f aca="false">IFERROR(P526*$G526*$I526, "")</f>
        <v>0</v>
      </c>
      <c r="AD526" s="284" t="n">
        <f aca="false">IFERROR(Q526*$G526*$I526, "")</f>
        <v>0</v>
      </c>
      <c r="AE526" s="284" t="n">
        <f aca="false">IFERROR(R526*$G526*$I526, "")</f>
        <v>0</v>
      </c>
      <c r="AF526" s="284" t="n">
        <f aca="false">IFERROR(S526*$G526*$I526, "")</f>
        <v>0</v>
      </c>
      <c r="AG526" s="284" t="n">
        <f aca="false">IFERROR(T526*$G526*$I526, "")</f>
        <v>0</v>
      </c>
      <c r="AH526" s="284" t="n">
        <f aca="false">IFERROR(U526*$G526*$I526, "")</f>
        <v>0</v>
      </c>
      <c r="AI526" s="284" t="n">
        <f aca="false">IFERROR(V526*$G526*$I526, "")</f>
        <v>0</v>
      </c>
      <c r="AJ526" s="284" t="n">
        <f aca="false">IFERROR(W526*$G526*$I526, "")</f>
        <v>0</v>
      </c>
      <c r="AK526" s="286" t="n">
        <f aca="false">IFERROR(SUMIF($Y$4:$AJ$4, "RDEC", Y526:AJ526), "")</f>
        <v>0</v>
      </c>
      <c r="AL526" s="286" t="n">
        <f aca="false">IFERROR(SUMIF($Y$4:$AJ$4, "SME", Y526:AJ526), "")</f>
        <v>0</v>
      </c>
      <c r="AM526" s="286" t="n">
        <f aca="false">IFERROR(SUMIF($Y$4:$AJ$4, "De Minimis", Y526:AJ526), "")</f>
        <v>0</v>
      </c>
      <c r="AN526" s="283"/>
      <c r="AO526" s="284" t="n">
        <f aca="false">IFERROR($G526*$J526*L526, "")</f>
        <v>0</v>
      </c>
      <c r="AP526" s="284" t="n">
        <f aca="false">IFERROR($G526*$J526*M526, "")</f>
        <v>0</v>
      </c>
      <c r="AQ526" s="284" t="n">
        <f aca="false">IFERROR($G526*$J526*N526, "")</f>
        <v>0</v>
      </c>
      <c r="AR526" s="284" t="n">
        <f aca="false">IFERROR($G526*$J526*O526, "")</f>
        <v>0</v>
      </c>
      <c r="AS526" s="284" t="n">
        <f aca="false">IFERROR($G526*$J526*P526, "")</f>
        <v>0</v>
      </c>
      <c r="AT526" s="284" t="n">
        <f aca="false">IFERROR($G526*$J526*Q526, "")</f>
        <v>0</v>
      </c>
      <c r="AU526" s="284" t="n">
        <f aca="false">IFERROR($G526*$J526*R526, "")</f>
        <v>0</v>
      </c>
      <c r="AV526" s="284" t="n">
        <f aca="false">IFERROR($G526*$J526*S526, "")</f>
        <v>0</v>
      </c>
      <c r="AW526" s="284" t="n">
        <f aca="false">IFERROR($G526*$J526*T526, "")</f>
        <v>0</v>
      </c>
      <c r="AX526" s="284" t="n">
        <f aca="false">IFERROR($G526*$J526*U526, "")</f>
        <v>0</v>
      </c>
      <c r="AY526" s="284" t="n">
        <f aca="false">IFERROR($G526*$J526*V526, "")</f>
        <v>0</v>
      </c>
      <c r="AZ526" s="284" t="n">
        <f aca="false">IFERROR($G526*$J526*W526, "")</f>
        <v>0</v>
      </c>
      <c r="BA526" s="286" t="n">
        <f aca="false">IFERROR(SUMIF($AO$4:$AZ$4, "RDEC", AO526:AZ526), "")</f>
        <v>0</v>
      </c>
      <c r="BB526" s="286" t="n">
        <f aca="false">IFERROR(SUMIF($AO$4:$AZ$4, "SME", AO526:AZ526), "")</f>
        <v>0</v>
      </c>
      <c r="BC526" s="286" t="n">
        <f aca="false">IFERROR(SUMIF($Y$4:$AJ$4, "De Minimis", AO526:AZ526), "")</f>
        <v>0</v>
      </c>
      <c r="BD526" s="287"/>
      <c r="BE526" s="288" t="str">
        <f aca="false">IF((SUM(L526:W526)&gt;1),"ERROR","")</f>
        <v/>
      </c>
    </row>
    <row r="527" customFormat="false" ht="15" hidden="false" customHeight="true" outlineLevel="0" collapsed="false">
      <c r="B527" s="333"/>
      <c r="C527" s="334"/>
      <c r="D527" s="333" t="n">
        <f aca="false">D511</f>
        <v>45474</v>
      </c>
      <c r="E527" s="277" t="n">
        <v>0</v>
      </c>
      <c r="F527" s="277" t="n">
        <v>0</v>
      </c>
      <c r="G527" s="277" t="n">
        <f aca="false">SUM(E527:F527)</f>
        <v>0</v>
      </c>
      <c r="H527" s="204"/>
      <c r="I527" s="279" t="n">
        <v>1</v>
      </c>
      <c r="J527" s="280" t="n">
        <f aca="false">1-I527</f>
        <v>0</v>
      </c>
      <c r="K527" s="277"/>
      <c r="L527" s="282"/>
      <c r="M527" s="282"/>
      <c r="N527" s="282"/>
      <c r="O527" s="282"/>
      <c r="P527" s="282"/>
      <c r="Q527" s="282"/>
      <c r="R527" s="282"/>
      <c r="S527" s="282"/>
      <c r="T527" s="282"/>
      <c r="U527" s="282"/>
      <c r="V527" s="282"/>
      <c r="W527" s="282"/>
      <c r="X527" s="283"/>
      <c r="Y527" s="284" t="n">
        <f aca="false">IFERROR(L527*$G527*I$9, "")</f>
        <v>0</v>
      </c>
      <c r="Z527" s="284" t="n">
        <f aca="false">IFERROR(M527*$G527*$I527, "")</f>
        <v>0</v>
      </c>
      <c r="AA527" s="284" t="n">
        <f aca="false">IFERROR(N527*$G527*$I527, "")</f>
        <v>0</v>
      </c>
      <c r="AB527" s="284" t="n">
        <f aca="false">IFERROR(O527*$G527*$I527, "")</f>
        <v>0</v>
      </c>
      <c r="AC527" s="284" t="n">
        <f aca="false">IFERROR(P527*$G527*$I527, "")</f>
        <v>0</v>
      </c>
      <c r="AD527" s="284" t="n">
        <f aca="false">IFERROR(Q527*$G527*$I527, "")</f>
        <v>0</v>
      </c>
      <c r="AE527" s="284" t="n">
        <f aca="false">IFERROR(R527*$G527*$I527, "")</f>
        <v>0</v>
      </c>
      <c r="AF527" s="284" t="n">
        <f aca="false">IFERROR(S527*$G527*$I527, "")</f>
        <v>0</v>
      </c>
      <c r="AG527" s="284" t="n">
        <f aca="false">IFERROR(T527*$G527*$I527, "")</f>
        <v>0</v>
      </c>
      <c r="AH527" s="284" t="n">
        <f aca="false">IFERROR(U527*$G527*$I527, "")</f>
        <v>0</v>
      </c>
      <c r="AI527" s="284" t="n">
        <f aca="false">IFERROR(V527*$G527*$I527, "")</f>
        <v>0</v>
      </c>
      <c r="AJ527" s="284" t="n">
        <f aca="false">IFERROR(W527*$G527*$I527, "")</f>
        <v>0</v>
      </c>
      <c r="AK527" s="286" t="n">
        <f aca="false">IFERROR(SUMIF($Y$4:$AJ$4, "RDEC", Y527:AJ527), "")</f>
        <v>0</v>
      </c>
      <c r="AL527" s="286" t="n">
        <f aca="false">IFERROR(SUMIF($Y$4:$AJ$4, "SME", Y527:AJ527), "")</f>
        <v>0</v>
      </c>
      <c r="AM527" s="286" t="n">
        <f aca="false">IFERROR(SUMIF($Y$4:$AJ$4, "De Minimis", Y527:AJ527), "")</f>
        <v>0</v>
      </c>
      <c r="AN527" s="283"/>
      <c r="AO527" s="284" t="n">
        <f aca="false">IFERROR($G527*$J527*L527, "")</f>
        <v>0</v>
      </c>
      <c r="AP527" s="284" t="n">
        <f aca="false">IFERROR($G527*$J527*M527, "")</f>
        <v>0</v>
      </c>
      <c r="AQ527" s="284" t="n">
        <f aca="false">IFERROR($G527*$J527*N527, "")</f>
        <v>0</v>
      </c>
      <c r="AR527" s="284" t="n">
        <f aca="false">IFERROR($G527*$J527*O527, "")</f>
        <v>0</v>
      </c>
      <c r="AS527" s="284" t="n">
        <f aca="false">IFERROR($G527*$J527*P527, "")</f>
        <v>0</v>
      </c>
      <c r="AT527" s="284" t="n">
        <f aca="false">IFERROR($G527*$J527*Q527, "")</f>
        <v>0</v>
      </c>
      <c r="AU527" s="284" t="n">
        <f aca="false">IFERROR($G527*$J527*R527, "")</f>
        <v>0</v>
      </c>
      <c r="AV527" s="284" t="n">
        <f aca="false">IFERROR($G527*$J527*S527, "")</f>
        <v>0</v>
      </c>
      <c r="AW527" s="284" t="n">
        <f aca="false">IFERROR($G527*$J527*T527, "")</f>
        <v>0</v>
      </c>
      <c r="AX527" s="284" t="n">
        <f aca="false">IFERROR($G527*$J527*U527, "")</f>
        <v>0</v>
      </c>
      <c r="AY527" s="284" t="n">
        <f aca="false">IFERROR($G527*$J527*V527, "")</f>
        <v>0</v>
      </c>
      <c r="AZ527" s="284" t="n">
        <f aca="false">IFERROR($G527*$J527*W527, "")</f>
        <v>0</v>
      </c>
      <c r="BA527" s="286" t="n">
        <f aca="false">IFERROR(SUMIF($AO$4:$AZ$4, "RDEC", AO527:AZ527), "")</f>
        <v>0</v>
      </c>
      <c r="BB527" s="286" t="n">
        <f aca="false">IFERROR(SUMIF($AO$4:$AZ$4, "SME", AO527:AZ527), "")</f>
        <v>0</v>
      </c>
      <c r="BC527" s="286" t="n">
        <f aca="false">IFERROR(SUMIF($Y$4:$AJ$4, "De Minimis", AO527:AZ527), "")</f>
        <v>0</v>
      </c>
      <c r="BD527" s="287"/>
      <c r="BE527" s="288" t="str">
        <f aca="false">IF((SUM(L527:W527)&gt;1),"ERROR","")</f>
        <v/>
      </c>
    </row>
    <row r="528" customFormat="false" ht="15" hidden="false" customHeight="true" outlineLevel="0" collapsed="false">
      <c r="B528" s="333"/>
      <c r="C528" s="334"/>
      <c r="D528" s="333" t="n">
        <f aca="false">D512</f>
        <v>45505</v>
      </c>
      <c r="E528" s="277" t="n">
        <v>0</v>
      </c>
      <c r="F528" s="277" t="n">
        <v>0</v>
      </c>
      <c r="G528" s="277" t="n">
        <f aca="false">SUM(E528:F528)</f>
        <v>0</v>
      </c>
      <c r="H528" s="204"/>
      <c r="I528" s="279" t="n">
        <v>1</v>
      </c>
      <c r="J528" s="280" t="n">
        <f aca="false">1-I528</f>
        <v>0</v>
      </c>
      <c r="K528" s="277"/>
      <c r="L528" s="282"/>
      <c r="M528" s="282"/>
      <c r="N528" s="282"/>
      <c r="O528" s="282"/>
      <c r="P528" s="282"/>
      <c r="Q528" s="282"/>
      <c r="R528" s="282"/>
      <c r="S528" s="282"/>
      <c r="T528" s="282"/>
      <c r="U528" s="282"/>
      <c r="V528" s="282"/>
      <c r="W528" s="282"/>
      <c r="X528" s="283"/>
      <c r="Y528" s="284" t="n">
        <f aca="false">IFERROR(L528*$G528*I$9, "")</f>
        <v>0</v>
      </c>
      <c r="Z528" s="284" t="n">
        <f aca="false">IFERROR(M528*$G528*$I528, "")</f>
        <v>0</v>
      </c>
      <c r="AA528" s="284" t="n">
        <f aca="false">IFERROR(N528*$G528*$I528, "")</f>
        <v>0</v>
      </c>
      <c r="AB528" s="284" t="n">
        <f aca="false">IFERROR(O528*$G528*$I528, "")</f>
        <v>0</v>
      </c>
      <c r="AC528" s="284" t="n">
        <f aca="false">IFERROR(P528*$G528*$I528, "")</f>
        <v>0</v>
      </c>
      <c r="AD528" s="284" t="n">
        <f aca="false">IFERROR(Q528*$G528*$I528, "")</f>
        <v>0</v>
      </c>
      <c r="AE528" s="284" t="n">
        <f aca="false">IFERROR(R528*$G528*$I528, "")</f>
        <v>0</v>
      </c>
      <c r="AF528" s="284" t="n">
        <f aca="false">IFERROR(S528*$G528*$I528, "")</f>
        <v>0</v>
      </c>
      <c r="AG528" s="284" t="n">
        <f aca="false">IFERROR(T528*$G528*$I528, "")</f>
        <v>0</v>
      </c>
      <c r="AH528" s="284" t="n">
        <f aca="false">IFERROR(U528*$G528*$I528, "")</f>
        <v>0</v>
      </c>
      <c r="AI528" s="284" t="n">
        <f aca="false">IFERROR(V528*$G528*$I528, "")</f>
        <v>0</v>
      </c>
      <c r="AJ528" s="284" t="n">
        <f aca="false">IFERROR(W528*$G528*$I528, "")</f>
        <v>0</v>
      </c>
      <c r="AK528" s="286" t="n">
        <f aca="false">IFERROR(SUMIF($Y$4:$AJ$4, "RDEC", Y528:AJ528), "")</f>
        <v>0</v>
      </c>
      <c r="AL528" s="286" t="n">
        <f aca="false">IFERROR(SUMIF($Y$4:$AJ$4, "SME", Y528:AJ528), "")</f>
        <v>0</v>
      </c>
      <c r="AM528" s="286" t="n">
        <f aca="false">IFERROR(SUMIF($Y$4:$AJ$4, "De Minimis", Y528:AJ528), "")</f>
        <v>0</v>
      </c>
      <c r="AN528" s="283"/>
      <c r="AO528" s="284" t="n">
        <f aca="false">IFERROR($G528*$J528*L528, "")</f>
        <v>0</v>
      </c>
      <c r="AP528" s="284" t="n">
        <f aca="false">IFERROR($G528*$J528*M528, "")</f>
        <v>0</v>
      </c>
      <c r="AQ528" s="284" t="n">
        <f aca="false">IFERROR($G528*$J528*N528, "")</f>
        <v>0</v>
      </c>
      <c r="AR528" s="284" t="n">
        <f aca="false">IFERROR($G528*$J528*O528, "")</f>
        <v>0</v>
      </c>
      <c r="AS528" s="284" t="n">
        <f aca="false">IFERROR($G528*$J528*P528, "")</f>
        <v>0</v>
      </c>
      <c r="AT528" s="284" t="n">
        <f aca="false">IFERROR($G528*$J528*Q528, "")</f>
        <v>0</v>
      </c>
      <c r="AU528" s="284" t="n">
        <f aca="false">IFERROR($G528*$J528*R528, "")</f>
        <v>0</v>
      </c>
      <c r="AV528" s="284" t="n">
        <f aca="false">IFERROR($G528*$J528*S528, "")</f>
        <v>0</v>
      </c>
      <c r="AW528" s="284" t="n">
        <f aca="false">IFERROR($G528*$J528*T528, "")</f>
        <v>0</v>
      </c>
      <c r="AX528" s="284" t="n">
        <f aca="false">IFERROR($G528*$J528*U528, "")</f>
        <v>0</v>
      </c>
      <c r="AY528" s="284" t="n">
        <f aca="false">IFERROR($G528*$J528*V528, "")</f>
        <v>0</v>
      </c>
      <c r="AZ528" s="284" t="n">
        <f aca="false">IFERROR($G528*$J528*W528, "")</f>
        <v>0</v>
      </c>
      <c r="BA528" s="286" t="n">
        <f aca="false">IFERROR(SUMIF($AO$4:$AZ$4, "RDEC", AO528:AZ528), "")</f>
        <v>0</v>
      </c>
      <c r="BB528" s="286" t="n">
        <f aca="false">IFERROR(SUMIF($AO$4:$AZ$4, "SME", AO528:AZ528), "")</f>
        <v>0</v>
      </c>
      <c r="BC528" s="286" t="n">
        <f aca="false">IFERROR(SUMIF($Y$4:$AJ$4, "De Minimis", AO528:AZ528), "")</f>
        <v>0</v>
      </c>
      <c r="BD528" s="287"/>
      <c r="BE528" s="288" t="str">
        <f aca="false">IF((SUM(L528:W528)&gt;1),"ERROR","")</f>
        <v/>
      </c>
    </row>
    <row r="529" customFormat="false" ht="15" hidden="false" customHeight="true" outlineLevel="0" collapsed="false">
      <c r="B529" s="333"/>
      <c r="C529" s="334"/>
      <c r="D529" s="333" t="n">
        <f aca="false">D513</f>
        <v>45536</v>
      </c>
      <c r="E529" s="277" t="n">
        <v>0</v>
      </c>
      <c r="F529" s="277" t="n">
        <v>0</v>
      </c>
      <c r="G529" s="277" t="n">
        <f aca="false">SUM(E529:F529)</f>
        <v>0</v>
      </c>
      <c r="H529" s="204"/>
      <c r="I529" s="279" t="n">
        <v>1</v>
      </c>
      <c r="J529" s="280" t="n">
        <f aca="false">1-I529</f>
        <v>0</v>
      </c>
      <c r="K529" s="277"/>
      <c r="L529" s="282"/>
      <c r="M529" s="282"/>
      <c r="N529" s="282"/>
      <c r="O529" s="282"/>
      <c r="P529" s="282"/>
      <c r="Q529" s="282"/>
      <c r="R529" s="282"/>
      <c r="S529" s="282"/>
      <c r="T529" s="282"/>
      <c r="U529" s="282"/>
      <c r="V529" s="282"/>
      <c r="W529" s="282"/>
      <c r="X529" s="283"/>
      <c r="Y529" s="284" t="n">
        <f aca="false">IFERROR(L529*$G529*I$9, "")</f>
        <v>0</v>
      </c>
      <c r="Z529" s="284" t="n">
        <f aca="false">IFERROR(M529*$G529*$I529, "")</f>
        <v>0</v>
      </c>
      <c r="AA529" s="284" t="n">
        <f aca="false">IFERROR(N529*$G529*$I529, "")</f>
        <v>0</v>
      </c>
      <c r="AB529" s="284" t="n">
        <f aca="false">IFERROR(O529*$G529*$I529, "")</f>
        <v>0</v>
      </c>
      <c r="AC529" s="284" t="n">
        <f aca="false">IFERROR(P529*$G529*$I529, "")</f>
        <v>0</v>
      </c>
      <c r="AD529" s="284" t="n">
        <f aca="false">IFERROR(Q529*$G529*$I529, "")</f>
        <v>0</v>
      </c>
      <c r="AE529" s="284" t="n">
        <f aca="false">IFERROR(R529*$G529*$I529, "")</f>
        <v>0</v>
      </c>
      <c r="AF529" s="284" t="n">
        <f aca="false">IFERROR(S529*$G529*$I529, "")</f>
        <v>0</v>
      </c>
      <c r="AG529" s="284" t="n">
        <f aca="false">IFERROR(T529*$G529*$I529, "")</f>
        <v>0</v>
      </c>
      <c r="AH529" s="284" t="n">
        <f aca="false">IFERROR(U529*$G529*$I529, "")</f>
        <v>0</v>
      </c>
      <c r="AI529" s="284" t="n">
        <f aca="false">IFERROR(V529*$G529*$I529, "")</f>
        <v>0</v>
      </c>
      <c r="AJ529" s="284" t="n">
        <f aca="false">IFERROR(W529*$G529*$I529, "")</f>
        <v>0</v>
      </c>
      <c r="AK529" s="286" t="n">
        <f aca="false">IFERROR(SUMIF($Y$4:$AJ$4, "RDEC", Y529:AJ529), "")</f>
        <v>0</v>
      </c>
      <c r="AL529" s="286" t="n">
        <f aca="false">IFERROR(SUMIF($Y$4:$AJ$4, "SME", Y529:AJ529), "")</f>
        <v>0</v>
      </c>
      <c r="AM529" s="286" t="n">
        <f aca="false">IFERROR(SUMIF($Y$4:$AJ$4, "De Minimis", Y529:AJ529), "")</f>
        <v>0</v>
      </c>
      <c r="AN529" s="283"/>
      <c r="AO529" s="284" t="n">
        <f aca="false">IFERROR($G529*$J529*L529, "")</f>
        <v>0</v>
      </c>
      <c r="AP529" s="284" t="n">
        <f aca="false">IFERROR($G529*$J529*M529, "")</f>
        <v>0</v>
      </c>
      <c r="AQ529" s="284" t="n">
        <f aca="false">IFERROR($G529*$J529*N529, "")</f>
        <v>0</v>
      </c>
      <c r="AR529" s="284" t="n">
        <f aca="false">IFERROR($G529*$J529*O529, "")</f>
        <v>0</v>
      </c>
      <c r="AS529" s="284" t="n">
        <f aca="false">IFERROR($G529*$J529*P529, "")</f>
        <v>0</v>
      </c>
      <c r="AT529" s="284" t="n">
        <f aca="false">IFERROR($G529*$J529*Q529, "")</f>
        <v>0</v>
      </c>
      <c r="AU529" s="284" t="n">
        <f aca="false">IFERROR($G529*$J529*R529, "")</f>
        <v>0</v>
      </c>
      <c r="AV529" s="284" t="n">
        <f aca="false">IFERROR($G529*$J529*S529, "")</f>
        <v>0</v>
      </c>
      <c r="AW529" s="284" t="n">
        <f aca="false">IFERROR($G529*$J529*T529, "")</f>
        <v>0</v>
      </c>
      <c r="AX529" s="284" t="n">
        <f aca="false">IFERROR($G529*$J529*U529, "")</f>
        <v>0</v>
      </c>
      <c r="AY529" s="284" t="n">
        <f aca="false">IFERROR($G529*$J529*V529, "")</f>
        <v>0</v>
      </c>
      <c r="AZ529" s="284" t="n">
        <f aca="false">IFERROR($G529*$J529*W529, "")</f>
        <v>0</v>
      </c>
      <c r="BA529" s="286" t="n">
        <f aca="false">IFERROR(SUMIF($AO$4:$AZ$4, "RDEC", AO529:AZ529), "")</f>
        <v>0</v>
      </c>
      <c r="BB529" s="286" t="n">
        <f aca="false">IFERROR(SUMIF($AO$4:$AZ$4, "SME", AO529:AZ529), "")</f>
        <v>0</v>
      </c>
      <c r="BC529" s="286" t="n">
        <f aca="false">IFERROR(SUMIF($Y$4:$AJ$4, "De Minimis", AO529:AZ529), "")</f>
        <v>0</v>
      </c>
      <c r="BD529" s="287"/>
      <c r="BE529" s="288" t="str">
        <f aca="false">IF((SUM(L529:W529)&gt;1),"ERROR","")</f>
        <v/>
      </c>
    </row>
    <row r="530" customFormat="false" ht="15" hidden="false" customHeight="true" outlineLevel="0" collapsed="false">
      <c r="B530" s="333"/>
      <c r="C530" s="334"/>
      <c r="D530" s="333" t="n">
        <f aca="false">D514</f>
        <v>45566</v>
      </c>
      <c r="E530" s="277" t="n">
        <v>0</v>
      </c>
      <c r="F530" s="277" t="n">
        <v>0</v>
      </c>
      <c r="G530" s="277" t="n">
        <f aca="false">SUM(E530:F530)</f>
        <v>0</v>
      </c>
      <c r="H530" s="204"/>
      <c r="I530" s="279" t="n">
        <v>1</v>
      </c>
      <c r="J530" s="280" t="n">
        <f aca="false">1-I530</f>
        <v>0</v>
      </c>
      <c r="K530" s="277"/>
      <c r="L530" s="282"/>
      <c r="M530" s="282"/>
      <c r="N530" s="282"/>
      <c r="O530" s="282"/>
      <c r="P530" s="282"/>
      <c r="Q530" s="282"/>
      <c r="R530" s="282"/>
      <c r="S530" s="282"/>
      <c r="T530" s="282"/>
      <c r="U530" s="282"/>
      <c r="V530" s="282"/>
      <c r="W530" s="282"/>
      <c r="X530" s="283"/>
      <c r="Y530" s="284" t="n">
        <f aca="false">IFERROR(L530*$G530*I$9, "")</f>
        <v>0</v>
      </c>
      <c r="Z530" s="284" t="n">
        <f aca="false">IFERROR(M530*$G530*$I530, "")</f>
        <v>0</v>
      </c>
      <c r="AA530" s="284" t="n">
        <f aca="false">IFERROR(N530*$G530*$I530, "")</f>
        <v>0</v>
      </c>
      <c r="AB530" s="284" t="n">
        <f aca="false">IFERROR(O530*$G530*$I530, "")</f>
        <v>0</v>
      </c>
      <c r="AC530" s="284" t="n">
        <f aca="false">IFERROR(P530*$G530*$I530, "")</f>
        <v>0</v>
      </c>
      <c r="AD530" s="284" t="n">
        <f aca="false">IFERROR(Q530*$G530*$I530, "")</f>
        <v>0</v>
      </c>
      <c r="AE530" s="284" t="n">
        <f aca="false">IFERROR(R530*$G530*$I530, "")</f>
        <v>0</v>
      </c>
      <c r="AF530" s="284" t="n">
        <f aca="false">IFERROR(S530*$G530*$I530, "")</f>
        <v>0</v>
      </c>
      <c r="AG530" s="284" t="n">
        <f aca="false">IFERROR(T530*$G530*$I530, "")</f>
        <v>0</v>
      </c>
      <c r="AH530" s="284" t="n">
        <f aca="false">IFERROR(U530*$G530*$I530, "")</f>
        <v>0</v>
      </c>
      <c r="AI530" s="284" t="n">
        <f aca="false">IFERROR(V530*$G530*$I530, "")</f>
        <v>0</v>
      </c>
      <c r="AJ530" s="284" t="n">
        <f aca="false">IFERROR(W530*$G530*$I530, "")</f>
        <v>0</v>
      </c>
      <c r="AK530" s="286" t="n">
        <f aca="false">IFERROR(SUMIF($Y$4:$AJ$4, "RDEC", Y530:AJ530), "")</f>
        <v>0</v>
      </c>
      <c r="AL530" s="286" t="n">
        <f aca="false">IFERROR(SUMIF($Y$4:$AJ$4, "SME", Y530:AJ530), "")</f>
        <v>0</v>
      </c>
      <c r="AM530" s="286" t="n">
        <f aca="false">IFERROR(SUMIF($Y$4:$AJ$4, "De Minimis", Y530:AJ530), "")</f>
        <v>0</v>
      </c>
      <c r="AN530" s="283"/>
      <c r="AO530" s="284" t="n">
        <f aca="false">IFERROR($G530*$J530*L530, "")</f>
        <v>0</v>
      </c>
      <c r="AP530" s="284" t="n">
        <f aca="false">IFERROR($G530*$J530*M530, "")</f>
        <v>0</v>
      </c>
      <c r="AQ530" s="284" t="n">
        <f aca="false">IFERROR($G530*$J530*N530, "")</f>
        <v>0</v>
      </c>
      <c r="AR530" s="284" t="n">
        <f aca="false">IFERROR($G530*$J530*O530, "")</f>
        <v>0</v>
      </c>
      <c r="AS530" s="284" t="n">
        <f aca="false">IFERROR($G530*$J530*P530, "")</f>
        <v>0</v>
      </c>
      <c r="AT530" s="284" t="n">
        <f aca="false">IFERROR($G530*$J530*Q530, "")</f>
        <v>0</v>
      </c>
      <c r="AU530" s="284" t="n">
        <f aca="false">IFERROR($G530*$J530*R530, "")</f>
        <v>0</v>
      </c>
      <c r="AV530" s="284" t="n">
        <f aca="false">IFERROR($G530*$J530*S530, "")</f>
        <v>0</v>
      </c>
      <c r="AW530" s="284" t="n">
        <f aca="false">IFERROR($G530*$J530*T530, "")</f>
        <v>0</v>
      </c>
      <c r="AX530" s="284" t="n">
        <f aca="false">IFERROR($G530*$J530*U530, "")</f>
        <v>0</v>
      </c>
      <c r="AY530" s="284" t="n">
        <f aca="false">IFERROR($G530*$J530*V530, "")</f>
        <v>0</v>
      </c>
      <c r="AZ530" s="284" t="n">
        <f aca="false">IFERROR($G530*$J530*W530, "")</f>
        <v>0</v>
      </c>
      <c r="BA530" s="286" t="n">
        <f aca="false">IFERROR(SUMIF($AO$4:$AZ$4, "RDEC", AO530:AZ530), "")</f>
        <v>0</v>
      </c>
      <c r="BB530" s="286" t="n">
        <f aca="false">IFERROR(SUMIF($AO$4:$AZ$4, "SME", AO530:AZ530), "")</f>
        <v>0</v>
      </c>
      <c r="BC530" s="286" t="n">
        <f aca="false">IFERROR(SUMIF($Y$4:$AJ$4, "De Minimis", AO530:AZ530), "")</f>
        <v>0</v>
      </c>
      <c r="BD530" s="287"/>
      <c r="BE530" s="288" t="str">
        <f aca="false">IF((SUM(L530:W530)&gt;1),"ERROR","")</f>
        <v/>
      </c>
    </row>
    <row r="531" customFormat="false" ht="15" hidden="false" customHeight="true" outlineLevel="0" collapsed="false">
      <c r="B531" s="333"/>
      <c r="C531" s="334"/>
      <c r="D531" s="333" t="n">
        <f aca="false">D515</f>
        <v>45597</v>
      </c>
      <c r="E531" s="277" t="n">
        <v>0</v>
      </c>
      <c r="F531" s="277" t="n">
        <v>0</v>
      </c>
      <c r="G531" s="277" t="n">
        <f aca="false">SUM(E531:F531)</f>
        <v>0</v>
      </c>
      <c r="H531" s="204"/>
      <c r="I531" s="279" t="n">
        <v>1</v>
      </c>
      <c r="J531" s="280" t="n">
        <f aca="false">1-I531</f>
        <v>0</v>
      </c>
      <c r="K531" s="277"/>
      <c r="L531" s="282"/>
      <c r="M531" s="282"/>
      <c r="N531" s="282"/>
      <c r="O531" s="282"/>
      <c r="P531" s="282"/>
      <c r="Q531" s="282"/>
      <c r="R531" s="282"/>
      <c r="S531" s="282"/>
      <c r="T531" s="282"/>
      <c r="U531" s="282"/>
      <c r="V531" s="282"/>
      <c r="W531" s="282"/>
      <c r="X531" s="283"/>
      <c r="Y531" s="284" t="n">
        <f aca="false">IFERROR(L531*$G531*I$9, "")</f>
        <v>0</v>
      </c>
      <c r="Z531" s="284" t="n">
        <f aca="false">IFERROR(M531*$G531*$I531, "")</f>
        <v>0</v>
      </c>
      <c r="AA531" s="284" t="n">
        <f aca="false">IFERROR(N531*$G531*$I531, "")</f>
        <v>0</v>
      </c>
      <c r="AB531" s="284" t="n">
        <f aca="false">IFERROR(O531*$G531*$I531, "")</f>
        <v>0</v>
      </c>
      <c r="AC531" s="284" t="n">
        <f aca="false">IFERROR(P531*$G531*$I531, "")</f>
        <v>0</v>
      </c>
      <c r="AD531" s="284" t="n">
        <f aca="false">IFERROR(Q531*$G531*$I531, "")</f>
        <v>0</v>
      </c>
      <c r="AE531" s="284" t="n">
        <f aca="false">IFERROR(R531*$G531*$I531, "")</f>
        <v>0</v>
      </c>
      <c r="AF531" s="284" t="n">
        <f aca="false">IFERROR(S531*$G531*$I531, "")</f>
        <v>0</v>
      </c>
      <c r="AG531" s="284" t="n">
        <f aca="false">IFERROR(T531*$G531*$I531, "")</f>
        <v>0</v>
      </c>
      <c r="AH531" s="284" t="n">
        <f aca="false">IFERROR(U531*$G531*$I531, "")</f>
        <v>0</v>
      </c>
      <c r="AI531" s="284" t="n">
        <f aca="false">IFERROR(V531*$G531*$I531, "")</f>
        <v>0</v>
      </c>
      <c r="AJ531" s="284" t="n">
        <f aca="false">IFERROR(W531*$G531*$I531, "")</f>
        <v>0</v>
      </c>
      <c r="AK531" s="286" t="n">
        <f aca="false">IFERROR(SUMIF($Y$4:$AJ$4, "RDEC", Y531:AJ531), "")</f>
        <v>0</v>
      </c>
      <c r="AL531" s="286" t="n">
        <f aca="false">IFERROR(SUMIF($Y$4:$AJ$4, "SME", Y531:AJ531), "")</f>
        <v>0</v>
      </c>
      <c r="AM531" s="286" t="n">
        <f aca="false">IFERROR(SUMIF($Y$4:$AJ$4, "De Minimis", Y531:AJ531), "")</f>
        <v>0</v>
      </c>
      <c r="AN531" s="283"/>
      <c r="AO531" s="284" t="n">
        <f aca="false">IFERROR($G531*$J531*L531, "")</f>
        <v>0</v>
      </c>
      <c r="AP531" s="284" t="n">
        <f aca="false">IFERROR($G531*$J531*M531, "")</f>
        <v>0</v>
      </c>
      <c r="AQ531" s="284" t="n">
        <f aca="false">IFERROR($G531*$J531*N531, "")</f>
        <v>0</v>
      </c>
      <c r="AR531" s="284" t="n">
        <f aca="false">IFERROR($G531*$J531*O531, "")</f>
        <v>0</v>
      </c>
      <c r="AS531" s="284" t="n">
        <f aca="false">IFERROR($G531*$J531*P531, "")</f>
        <v>0</v>
      </c>
      <c r="AT531" s="284" t="n">
        <f aca="false">IFERROR($G531*$J531*Q531, "")</f>
        <v>0</v>
      </c>
      <c r="AU531" s="284" t="n">
        <f aca="false">IFERROR($G531*$J531*R531, "")</f>
        <v>0</v>
      </c>
      <c r="AV531" s="284" t="n">
        <f aca="false">IFERROR($G531*$J531*S531, "")</f>
        <v>0</v>
      </c>
      <c r="AW531" s="284" t="n">
        <f aca="false">IFERROR($G531*$J531*T531, "")</f>
        <v>0</v>
      </c>
      <c r="AX531" s="284" t="n">
        <f aca="false">IFERROR($G531*$J531*U531, "")</f>
        <v>0</v>
      </c>
      <c r="AY531" s="284" t="n">
        <f aca="false">IFERROR($G531*$J531*V531, "")</f>
        <v>0</v>
      </c>
      <c r="AZ531" s="284" t="n">
        <f aca="false">IFERROR($G531*$J531*W531, "")</f>
        <v>0</v>
      </c>
      <c r="BA531" s="286" t="n">
        <f aca="false">IFERROR(SUMIF($AO$4:$AZ$4, "RDEC", AO531:AZ531), "")</f>
        <v>0</v>
      </c>
      <c r="BB531" s="286" t="n">
        <f aca="false">IFERROR(SUMIF($AO$4:$AZ$4, "SME", AO531:AZ531), "")</f>
        <v>0</v>
      </c>
      <c r="BC531" s="286" t="n">
        <f aca="false">IFERROR(SUMIF($Y$4:$AJ$4, "De Minimis", AO531:AZ531), "")</f>
        <v>0</v>
      </c>
      <c r="BD531" s="287"/>
      <c r="BE531" s="288" t="str">
        <f aca="false">IF((SUM(L531:W531)&gt;1),"ERROR","")</f>
        <v/>
      </c>
    </row>
    <row r="532" customFormat="false" ht="15" hidden="false" customHeight="true" outlineLevel="0" collapsed="false">
      <c r="B532" s="333"/>
      <c r="C532" s="334"/>
      <c r="D532" s="333" t="n">
        <f aca="false">D516</f>
        <v>45627</v>
      </c>
      <c r="E532" s="277" t="n">
        <v>0</v>
      </c>
      <c r="F532" s="277" t="n">
        <v>0</v>
      </c>
      <c r="G532" s="277" t="n">
        <f aca="false">SUM(E532:F532)</f>
        <v>0</v>
      </c>
      <c r="H532" s="300"/>
      <c r="I532" s="289" t="n">
        <v>1</v>
      </c>
      <c r="J532" s="290" t="n">
        <f aca="false">1-I532</f>
        <v>0</v>
      </c>
      <c r="K532" s="300"/>
      <c r="L532" s="291"/>
      <c r="M532" s="291"/>
      <c r="N532" s="291"/>
      <c r="O532" s="291"/>
      <c r="P532" s="291"/>
      <c r="Q532" s="291"/>
      <c r="R532" s="291"/>
      <c r="S532" s="291"/>
      <c r="T532" s="291"/>
      <c r="U532" s="291"/>
      <c r="V532" s="291"/>
      <c r="W532" s="291"/>
      <c r="X532" s="283"/>
      <c r="Y532" s="284" t="n">
        <f aca="false">IFERROR(L532*$G532*I$9, "")</f>
        <v>0</v>
      </c>
      <c r="Z532" s="284" t="n">
        <f aca="false">IFERROR(M532*$G532*$I532, "")</f>
        <v>0</v>
      </c>
      <c r="AA532" s="284" t="n">
        <f aca="false">IFERROR(N532*$G532*$I532, "")</f>
        <v>0</v>
      </c>
      <c r="AB532" s="284" t="n">
        <f aca="false">IFERROR(O532*$G532*$I532, "")</f>
        <v>0</v>
      </c>
      <c r="AC532" s="284" t="n">
        <f aca="false">IFERROR(P532*$G532*$I532, "")</f>
        <v>0</v>
      </c>
      <c r="AD532" s="284" t="n">
        <f aca="false">IFERROR(Q532*$G532*$I532, "")</f>
        <v>0</v>
      </c>
      <c r="AE532" s="284" t="n">
        <f aca="false">IFERROR(R532*$G532*$I532, "")</f>
        <v>0</v>
      </c>
      <c r="AF532" s="284" t="n">
        <f aca="false">IFERROR(S532*$G532*$I532, "")</f>
        <v>0</v>
      </c>
      <c r="AG532" s="284" t="n">
        <f aca="false">IFERROR(T532*$G532*$I532, "")</f>
        <v>0</v>
      </c>
      <c r="AH532" s="284" t="n">
        <f aca="false">IFERROR(U532*$G532*$I532, "")</f>
        <v>0</v>
      </c>
      <c r="AI532" s="284" t="n">
        <f aca="false">IFERROR(V532*$G532*$I532, "")</f>
        <v>0</v>
      </c>
      <c r="AJ532" s="284" t="n">
        <f aca="false">IFERROR(W532*$G532*$I532, "")</f>
        <v>0</v>
      </c>
      <c r="AK532" s="294" t="n">
        <f aca="false">IFERROR(SUMIF($Y$4:$AJ$4, "RDEC", Y532:AJ532), "")</f>
        <v>0</v>
      </c>
      <c r="AL532" s="294" t="n">
        <f aca="false">IFERROR(SUMIF($Y$4:$AJ$4, "SME", Y532:AJ532), "")</f>
        <v>0</v>
      </c>
      <c r="AM532" s="294" t="n">
        <f aca="false">IFERROR(SUMIF($Y$4:$AJ$4, "De Minimis", Y532:AJ532), "")</f>
        <v>0</v>
      </c>
      <c r="AN532" s="283"/>
      <c r="AO532" s="284" t="n">
        <f aca="false">IFERROR($G532*$J532*L532, "")</f>
        <v>0</v>
      </c>
      <c r="AP532" s="284" t="n">
        <f aca="false">IFERROR($G532*$J532*M532, "")</f>
        <v>0</v>
      </c>
      <c r="AQ532" s="284" t="n">
        <f aca="false">IFERROR($G532*$J532*N532, "")</f>
        <v>0</v>
      </c>
      <c r="AR532" s="284" t="n">
        <f aca="false">IFERROR($G532*$J532*O532, "")</f>
        <v>0</v>
      </c>
      <c r="AS532" s="284" t="n">
        <f aca="false">IFERROR($G532*$J532*P532, "")</f>
        <v>0</v>
      </c>
      <c r="AT532" s="284" t="n">
        <f aca="false">IFERROR($G532*$J532*Q532, "")</f>
        <v>0</v>
      </c>
      <c r="AU532" s="284" t="n">
        <f aca="false">IFERROR($G532*$J532*R532, "")</f>
        <v>0</v>
      </c>
      <c r="AV532" s="284" t="n">
        <f aca="false">IFERROR($G532*$J532*S532, "")</f>
        <v>0</v>
      </c>
      <c r="AW532" s="284" t="n">
        <f aca="false">IFERROR($G532*$J532*T532, "")</f>
        <v>0</v>
      </c>
      <c r="AX532" s="284" t="n">
        <f aca="false">IFERROR($G532*$J532*U532, "")</f>
        <v>0</v>
      </c>
      <c r="AY532" s="284" t="n">
        <f aca="false">IFERROR($G532*$J532*V532, "")</f>
        <v>0</v>
      </c>
      <c r="AZ532" s="284" t="n">
        <f aca="false">IFERROR($G532*$J532*W532, "")</f>
        <v>0</v>
      </c>
      <c r="BA532" s="286" t="n">
        <f aca="false">IFERROR(SUMIF($AO$4:$AZ$4, "RDEC", AO532:AZ532), "")</f>
        <v>0</v>
      </c>
      <c r="BB532" s="286" t="n">
        <f aca="false">IFERROR(SUMIF($AO$4:$AZ$4, "SME", AO532:AZ532), "")</f>
        <v>0</v>
      </c>
      <c r="BC532" s="294" t="n">
        <f aca="false">IFERROR(SUMIF($Y$4:$AJ$4, "De Minimis", AO532:AZ532), "")</f>
        <v>0</v>
      </c>
      <c r="BD532" s="303"/>
      <c r="BE532" s="295" t="str">
        <f aca="false">IF((SUM(L532:W532)&gt;1),"ERROR","")</f>
        <v/>
      </c>
    </row>
    <row r="533" customFormat="false" ht="15" hidden="false" customHeight="true" outlineLevel="0" collapsed="false">
      <c r="B533" s="296"/>
      <c r="D533" s="297" t="s">
        <v>82</v>
      </c>
      <c r="E533" s="299" t="n">
        <f aca="false">SUM(E521:E532)</f>
        <v>0</v>
      </c>
      <c r="F533" s="299" t="n">
        <f aca="false">SUM(F521:F532)</f>
        <v>0</v>
      </c>
      <c r="G533" s="299" t="n">
        <f aca="false">SUM(G521:G532)</f>
        <v>0</v>
      </c>
      <c r="H533" s="300"/>
      <c r="I533" s="301" t="n">
        <f aca="false">AVERAGE(I521:I532)</f>
        <v>1</v>
      </c>
      <c r="J533" s="301" t="n">
        <f aca="false">AVERAGE(J521:J532)</f>
        <v>0</v>
      </c>
      <c r="K533" s="300"/>
      <c r="L533" s="290" t="n">
        <f aca="false">IF(SUM(L521:L532)&gt;0,(Y533/G533),0)</f>
        <v>0</v>
      </c>
      <c r="M533" s="301" t="n">
        <f aca="false">IF(SUM(M521:M532)&gt;0,(Z533/G533),0)</f>
        <v>0</v>
      </c>
      <c r="N533" s="301" t="n">
        <f aca="false">IF(SUM(N521:N532)&gt;0,(AA533/G533),0)</f>
        <v>0</v>
      </c>
      <c r="O533" s="301" t="n">
        <f aca="false">IF(SUM(O521:O532)&gt;0,(AB533/G533),0)</f>
        <v>0</v>
      </c>
      <c r="P533" s="301" t="n">
        <f aca="false">IF(SUM(P521:P532)&gt;0,(AC533/G533),0)</f>
        <v>0</v>
      </c>
      <c r="Q533" s="301" t="n">
        <f aca="false">IF(SUM(Q521:Q532)&gt;0,(AD533/G533),0)</f>
        <v>0</v>
      </c>
      <c r="R533" s="301" t="n">
        <f aca="false">IF(SUM(R521:R532)&gt;0,(AE533/G533),0)</f>
        <v>0</v>
      </c>
      <c r="S533" s="301" t="n">
        <f aca="false">IF(SUM(S521:S532)&gt;0,(AF533/G533),0)</f>
        <v>0</v>
      </c>
      <c r="T533" s="301" t="n">
        <f aca="false">IF(SUM(T521:T532)&gt;0,(AG533/G533),0)</f>
        <v>0</v>
      </c>
      <c r="U533" s="301" t="n">
        <f aca="false">IF(SUM(U521:U532)&gt;0,(AJ533/G533),0)</f>
        <v>0</v>
      </c>
      <c r="V533" s="301" t="n">
        <f aca="false">IF(SUM(V521:V532)&gt;0,(AI533/G533),0)</f>
        <v>0</v>
      </c>
      <c r="W533" s="301" t="n">
        <f aca="false">IF(SUM(W521:W532)&gt;0,(AJ533/G533),0)</f>
        <v>0</v>
      </c>
      <c r="X533" s="283"/>
      <c r="Y533" s="304" t="n">
        <f aca="false">SUM(Y521:Y532)</f>
        <v>0</v>
      </c>
      <c r="Z533" s="304" t="n">
        <f aca="false">SUM(Z521:Z532)</f>
        <v>0</v>
      </c>
      <c r="AA533" s="304" t="n">
        <f aca="false">SUM(AA521:AA532)</f>
        <v>0</v>
      </c>
      <c r="AB533" s="304" t="n">
        <f aca="false">SUM(AB521:AB532)</f>
        <v>0</v>
      </c>
      <c r="AC533" s="304" t="n">
        <f aca="false">SUM(AC521:AC532)</f>
        <v>0</v>
      </c>
      <c r="AD533" s="304" t="n">
        <f aca="false">SUM(AD521:AD532)</f>
        <v>0</v>
      </c>
      <c r="AE533" s="304" t="n">
        <f aca="false">SUM(AE521:AE532)</f>
        <v>0</v>
      </c>
      <c r="AF533" s="304" t="n">
        <f aca="false">SUM(AF521:AF532)</f>
        <v>0</v>
      </c>
      <c r="AG533" s="304" t="n">
        <f aca="false">SUM(AG521:AG532)</f>
        <v>0</v>
      </c>
      <c r="AH533" s="304" t="n">
        <f aca="false">SUM(AH521:AH532)</f>
        <v>0</v>
      </c>
      <c r="AI533" s="304" t="n">
        <f aca="false">SUM(AI521:AI532)</f>
        <v>0</v>
      </c>
      <c r="AJ533" s="304" t="n">
        <f aca="false">SUM(AJ521:AJ532)</f>
        <v>0</v>
      </c>
      <c r="AK533" s="335" t="n">
        <f aca="false">SUM(AK521:AK532)</f>
        <v>0</v>
      </c>
      <c r="AL533" s="336" t="n">
        <f aca="false">SUM(AL521:AL532)</f>
        <v>0</v>
      </c>
      <c r="AM533" s="305" t="n">
        <f aca="false">SUM(AM521:AM532)</f>
        <v>0</v>
      </c>
      <c r="AN533" s="283"/>
      <c r="AO533" s="304" t="n">
        <f aca="false">SUM(AO521:AO532)</f>
        <v>0</v>
      </c>
      <c r="AP533" s="304" t="n">
        <f aca="false">SUM(AP521:AP532)</f>
        <v>0</v>
      </c>
      <c r="AQ533" s="304" t="n">
        <f aca="false">SUM(AQ521:AQ532)</f>
        <v>0</v>
      </c>
      <c r="AR533" s="304" t="n">
        <f aca="false">SUM(AR521:AR532)</f>
        <v>0</v>
      </c>
      <c r="AS533" s="304" t="n">
        <f aca="false">SUM(AS521:AS532)</f>
        <v>0</v>
      </c>
      <c r="AT533" s="304" t="n">
        <f aca="false">SUM(AT521:AT532)</f>
        <v>0</v>
      </c>
      <c r="AU533" s="304" t="n">
        <f aca="false">SUM(AU521:AU532)</f>
        <v>0</v>
      </c>
      <c r="AV533" s="304" t="n">
        <f aca="false">SUM(AV521:AV532)</f>
        <v>0</v>
      </c>
      <c r="AW533" s="304" t="n">
        <f aca="false">SUM(AW521:AW532)</f>
        <v>0</v>
      </c>
      <c r="AX533" s="304" t="n">
        <f aca="false">SUM(AX521:AX532)</f>
        <v>0</v>
      </c>
      <c r="AY533" s="304" t="n">
        <f aca="false">SUM(AY521:AY532)</f>
        <v>0</v>
      </c>
      <c r="AZ533" s="304" t="n">
        <f aca="false">SUM(AZ521:AZ532)</f>
        <v>0</v>
      </c>
      <c r="BA533" s="336" t="n">
        <f aca="false">SUM(BA521:BA532)</f>
        <v>0</v>
      </c>
      <c r="BB533" s="336" t="n">
        <f aca="false">SUM(BB521:BB532)</f>
        <v>0</v>
      </c>
      <c r="BC533" s="305" t="n">
        <f aca="false">SUM(BC521:BC532)</f>
        <v>0</v>
      </c>
      <c r="BD533" s="303"/>
      <c r="BE533" s="337"/>
    </row>
    <row r="534" customFormat="false" ht="15" hidden="false" customHeight="true" outlineLevel="0" collapsed="false">
      <c r="B534" s="296"/>
      <c r="D534" s="297"/>
      <c r="E534" s="300"/>
      <c r="F534" s="300"/>
      <c r="G534" s="300"/>
      <c r="H534" s="241"/>
      <c r="I534" s="302"/>
      <c r="J534" s="302"/>
      <c r="K534" s="241"/>
      <c r="L534" s="259"/>
      <c r="M534" s="259"/>
      <c r="N534" s="259"/>
      <c r="O534" s="259"/>
      <c r="P534" s="259"/>
      <c r="Q534" s="259"/>
      <c r="R534" s="259"/>
      <c r="S534" s="259"/>
      <c r="T534" s="259"/>
      <c r="U534" s="259"/>
      <c r="V534" s="259"/>
      <c r="W534" s="259"/>
      <c r="X534" s="303"/>
      <c r="Y534" s="259"/>
      <c r="Z534" s="303"/>
      <c r="AA534" s="303"/>
      <c r="AB534" s="303"/>
      <c r="AC534" s="303"/>
      <c r="AD534" s="303"/>
      <c r="AE534" s="303"/>
      <c r="AF534" s="303"/>
      <c r="AG534" s="303"/>
      <c r="AH534" s="303"/>
      <c r="AI534" s="303"/>
      <c r="AJ534" s="303"/>
      <c r="AK534" s="303"/>
      <c r="AL534" s="303"/>
      <c r="AM534" s="303"/>
      <c r="AN534" s="303"/>
      <c r="AO534" s="259"/>
      <c r="AP534" s="303"/>
      <c r="AQ534" s="303"/>
      <c r="AR534" s="303"/>
      <c r="AS534" s="303"/>
      <c r="AT534" s="303"/>
      <c r="AU534" s="303"/>
      <c r="AV534" s="303"/>
      <c r="AW534" s="303"/>
      <c r="AX534" s="303"/>
      <c r="AY534" s="303"/>
      <c r="AZ534" s="303"/>
      <c r="BA534" s="303"/>
      <c r="BB534" s="303"/>
      <c r="BC534" s="303"/>
      <c r="BD534" s="268"/>
      <c r="BE534" s="303"/>
    </row>
    <row r="535" customFormat="false" ht="15" hidden="false" customHeight="true" outlineLevel="0" collapsed="false">
      <c r="A535" s="198" t="n">
        <f aca="false">A519+1</f>
        <v>34</v>
      </c>
      <c r="B535" s="266" t="s">
        <v>253</v>
      </c>
      <c r="C535" s="266" t="s">
        <v>253</v>
      </c>
      <c r="D535" s="266"/>
      <c r="E535" s="241"/>
      <c r="F535" s="241"/>
      <c r="G535" s="241"/>
      <c r="H535" s="241"/>
      <c r="I535" s="241"/>
      <c r="J535" s="241"/>
      <c r="K535" s="277"/>
      <c r="L535" s="241"/>
      <c r="M535" s="241"/>
      <c r="N535" s="241"/>
      <c r="O535" s="241"/>
      <c r="P535" s="241"/>
      <c r="Q535" s="241"/>
      <c r="R535" s="241"/>
      <c r="S535" s="241"/>
      <c r="T535" s="241"/>
      <c r="U535" s="241"/>
      <c r="V535" s="241"/>
      <c r="W535" s="241"/>
      <c r="X535" s="259"/>
      <c r="Y535" s="268"/>
      <c r="Z535" s="268"/>
      <c r="AA535" s="268"/>
      <c r="AB535" s="268"/>
      <c r="AC535" s="268"/>
      <c r="AD535" s="268"/>
      <c r="AE535" s="268"/>
      <c r="AF535" s="268"/>
      <c r="AG535" s="268"/>
      <c r="AH535" s="268"/>
      <c r="AI535" s="268"/>
      <c r="AJ535" s="268"/>
      <c r="AK535" s="268"/>
      <c r="AL535" s="268"/>
      <c r="AM535" s="268"/>
      <c r="AN535" s="259"/>
      <c r="AO535" s="268"/>
      <c r="AP535" s="268"/>
      <c r="AQ535" s="268"/>
      <c r="AR535" s="268"/>
      <c r="AS535" s="268"/>
      <c r="AT535" s="268"/>
      <c r="AU535" s="268"/>
      <c r="AV535" s="268"/>
      <c r="AW535" s="268"/>
      <c r="AX535" s="268"/>
      <c r="AY535" s="268"/>
      <c r="AZ535" s="268"/>
      <c r="BA535" s="268"/>
      <c r="BB535" s="268"/>
      <c r="BC535" s="268"/>
      <c r="BD535" s="287"/>
      <c r="BE535" s="268"/>
    </row>
    <row r="536" customFormat="false" ht="7.5" hidden="false" customHeight="true" outlineLevel="0" collapsed="false">
      <c r="A536" s="198"/>
      <c r="B536" s="266"/>
      <c r="C536" s="266"/>
      <c r="D536" s="266"/>
      <c r="E536" s="241"/>
      <c r="F536" s="241"/>
      <c r="G536" s="241"/>
      <c r="H536" s="204"/>
      <c r="I536" s="269"/>
      <c r="J536" s="269"/>
      <c r="K536" s="277"/>
      <c r="L536" s="269"/>
      <c r="M536" s="269"/>
      <c r="N536" s="269"/>
      <c r="O536" s="269"/>
      <c r="P536" s="269"/>
      <c r="Q536" s="269"/>
      <c r="R536" s="269"/>
      <c r="S536" s="269"/>
      <c r="T536" s="269"/>
      <c r="U536" s="269"/>
      <c r="V536" s="269"/>
      <c r="W536" s="269"/>
      <c r="X536" s="259"/>
      <c r="Y536" s="271"/>
      <c r="Z536" s="271"/>
      <c r="AA536" s="271"/>
      <c r="AB536" s="271"/>
      <c r="AC536" s="271"/>
      <c r="AD536" s="271"/>
      <c r="AE536" s="271"/>
      <c r="AF536" s="271"/>
      <c r="AG536" s="271"/>
      <c r="AH536" s="271"/>
      <c r="AI536" s="271"/>
      <c r="AJ536" s="272"/>
      <c r="AK536" s="273"/>
      <c r="AL536" s="273"/>
      <c r="AM536" s="273"/>
      <c r="AN536" s="259"/>
      <c r="AO536" s="271"/>
      <c r="AP536" s="271"/>
      <c r="AQ536" s="271"/>
      <c r="AR536" s="271"/>
      <c r="AS536" s="271"/>
      <c r="AT536" s="271"/>
      <c r="AU536" s="271"/>
      <c r="AV536" s="271"/>
      <c r="AW536" s="271"/>
      <c r="AX536" s="271"/>
      <c r="AY536" s="271"/>
      <c r="AZ536" s="272"/>
      <c r="BA536" s="273"/>
      <c r="BB536" s="273"/>
      <c r="BC536" s="273"/>
      <c r="BD536" s="287"/>
      <c r="BE536" s="274"/>
    </row>
    <row r="537" customFormat="false" ht="15" hidden="false" customHeight="true" outlineLevel="0" collapsed="false">
      <c r="B537" s="333"/>
      <c r="C537" s="334"/>
      <c r="D537" s="333" t="n">
        <f aca="false">D521</f>
        <v>45292</v>
      </c>
      <c r="E537" s="277" t="n">
        <v>0</v>
      </c>
      <c r="F537" s="277" t="n">
        <v>0</v>
      </c>
      <c r="G537" s="277" t="n">
        <f aca="false">SUM(E537:F537)</f>
        <v>0</v>
      </c>
      <c r="H537" s="204"/>
      <c r="I537" s="279" t="n">
        <v>1</v>
      </c>
      <c r="J537" s="280" t="n">
        <f aca="false">1-I537</f>
        <v>0</v>
      </c>
      <c r="K537" s="277"/>
      <c r="L537" s="282"/>
      <c r="M537" s="282"/>
      <c r="N537" s="282"/>
      <c r="O537" s="282"/>
      <c r="P537" s="282"/>
      <c r="Q537" s="282"/>
      <c r="R537" s="282"/>
      <c r="S537" s="282"/>
      <c r="T537" s="282"/>
      <c r="U537" s="282"/>
      <c r="V537" s="282"/>
      <c r="W537" s="282"/>
      <c r="X537" s="268"/>
      <c r="Y537" s="284" t="n">
        <f aca="false">IFERROR(L537*$G537*I$9, "")</f>
        <v>0</v>
      </c>
      <c r="Z537" s="284" t="n">
        <f aca="false">IFERROR(M537*$G537*$I537, "")</f>
        <v>0</v>
      </c>
      <c r="AA537" s="284" t="n">
        <f aca="false">IFERROR(N537*$G537*$I537, "")</f>
        <v>0</v>
      </c>
      <c r="AB537" s="284" t="n">
        <f aca="false">IFERROR(O537*$G537*$I537, "")</f>
        <v>0</v>
      </c>
      <c r="AC537" s="284" t="n">
        <f aca="false">IFERROR(P537*$G537*$I537, "")</f>
        <v>0</v>
      </c>
      <c r="AD537" s="284" t="n">
        <f aca="false">IFERROR(Q537*$G537*$I537, "")</f>
        <v>0</v>
      </c>
      <c r="AE537" s="284" t="n">
        <f aca="false">IFERROR(R537*$G537*$I537, "")</f>
        <v>0</v>
      </c>
      <c r="AF537" s="284" t="n">
        <f aca="false">IFERROR(S537*$G537*$I537, "")</f>
        <v>0</v>
      </c>
      <c r="AG537" s="284" t="n">
        <f aca="false">IFERROR(T537*$G537*$I537, "")</f>
        <v>0</v>
      </c>
      <c r="AH537" s="284" t="n">
        <f aca="false">IFERROR(U537*$G537*$I537, "")</f>
        <v>0</v>
      </c>
      <c r="AI537" s="284" t="n">
        <f aca="false">IFERROR(V537*$G537*$I537, "")</f>
        <v>0</v>
      </c>
      <c r="AJ537" s="284" t="n">
        <f aca="false">IFERROR(W537*$G537*$I537, "")</f>
        <v>0</v>
      </c>
      <c r="AK537" s="286" t="n">
        <f aca="false">IFERROR(SUMIF($Y$4:$AJ$4, "RDEC", Y537:AJ537), "")</f>
        <v>0</v>
      </c>
      <c r="AL537" s="286" t="n">
        <f aca="false">IFERROR(SUMIF($Y$4:$AJ$4, "SME", Y537:AJ537), "")</f>
        <v>0</v>
      </c>
      <c r="AM537" s="286" t="n">
        <f aca="false">IFERROR(SUMIF($Y$4:$AJ$4, "De Minimis", Y537:AJ537), "")</f>
        <v>0</v>
      </c>
      <c r="AN537" s="268"/>
      <c r="AO537" s="284" t="n">
        <f aca="false">IFERROR($G537*$J537*L537, "")</f>
        <v>0</v>
      </c>
      <c r="AP537" s="284" t="n">
        <f aca="false">IFERROR($G537*$J537*M537, "")</f>
        <v>0</v>
      </c>
      <c r="AQ537" s="284" t="n">
        <f aca="false">IFERROR($G537*$J537*N537, "")</f>
        <v>0</v>
      </c>
      <c r="AR537" s="284" t="n">
        <f aca="false">IFERROR($G537*$J537*O537, "")</f>
        <v>0</v>
      </c>
      <c r="AS537" s="284" t="n">
        <f aca="false">IFERROR($G537*$J537*P537, "")</f>
        <v>0</v>
      </c>
      <c r="AT537" s="284" t="n">
        <f aca="false">IFERROR($G537*$J537*Q537, "")</f>
        <v>0</v>
      </c>
      <c r="AU537" s="284" t="n">
        <f aca="false">IFERROR($G537*$J537*R537, "")</f>
        <v>0</v>
      </c>
      <c r="AV537" s="284" t="n">
        <f aca="false">IFERROR($G537*$J537*S537, "")</f>
        <v>0</v>
      </c>
      <c r="AW537" s="284" t="n">
        <f aca="false">IFERROR($G537*$J537*T537, "")</f>
        <v>0</v>
      </c>
      <c r="AX537" s="284" t="n">
        <f aca="false">IFERROR($G537*$J537*U537, "")</f>
        <v>0</v>
      </c>
      <c r="AY537" s="284" t="n">
        <f aca="false">IFERROR($G537*$J537*V537, "")</f>
        <v>0</v>
      </c>
      <c r="AZ537" s="284" t="n">
        <f aca="false">IFERROR($G537*$J537*W537, "")</f>
        <v>0</v>
      </c>
      <c r="BA537" s="286" t="n">
        <f aca="false">IFERROR(SUMIF($AO$4:$AZ$4, "RDEC", AO537:AZ537), "")</f>
        <v>0</v>
      </c>
      <c r="BB537" s="286" t="n">
        <f aca="false">IFERROR(SUMIF($AO$4:$AZ$4, "SME", AO537:AZ537), "")</f>
        <v>0</v>
      </c>
      <c r="BC537" s="286" t="n">
        <f aca="false">IFERROR(SUMIF($AO$4:$AZ$4, "De Minimis", AO537:AZ537), "")</f>
        <v>0</v>
      </c>
      <c r="BD537" s="287"/>
      <c r="BE537" s="288" t="str">
        <f aca="false">IF((SUM(L537:W537)&gt;1),"ERROR","")</f>
        <v/>
      </c>
    </row>
    <row r="538" customFormat="false" ht="15" hidden="false" customHeight="true" outlineLevel="0" collapsed="false">
      <c r="B538" s="333"/>
      <c r="C538" s="334"/>
      <c r="D538" s="333" t="n">
        <f aca="false">D522</f>
        <v>45323</v>
      </c>
      <c r="E538" s="277" t="n">
        <v>0</v>
      </c>
      <c r="F538" s="277" t="n">
        <v>0</v>
      </c>
      <c r="G538" s="277" t="n">
        <f aca="false">SUM(E538:F538)</f>
        <v>0</v>
      </c>
      <c r="H538" s="204"/>
      <c r="I538" s="279" t="n">
        <v>1</v>
      </c>
      <c r="J538" s="280" t="n">
        <f aca="false">1-I538</f>
        <v>0</v>
      </c>
      <c r="K538" s="277"/>
      <c r="L538" s="282"/>
      <c r="M538" s="282"/>
      <c r="N538" s="282"/>
      <c r="O538" s="282"/>
      <c r="P538" s="282"/>
      <c r="Q538" s="282"/>
      <c r="R538" s="282"/>
      <c r="S538" s="282"/>
      <c r="T538" s="282"/>
      <c r="U538" s="282"/>
      <c r="V538" s="282"/>
      <c r="W538" s="282"/>
      <c r="X538" s="283"/>
      <c r="Y538" s="284" t="n">
        <f aca="false">IFERROR(L538*$G538*I$9, "")</f>
        <v>0</v>
      </c>
      <c r="Z538" s="284" t="n">
        <f aca="false">IFERROR(M538*$G538*$I538, "")</f>
        <v>0</v>
      </c>
      <c r="AA538" s="284" t="n">
        <f aca="false">IFERROR(N538*$G538*$I538, "")</f>
        <v>0</v>
      </c>
      <c r="AB538" s="284" t="n">
        <f aca="false">IFERROR(O538*$G538*$I538, "")</f>
        <v>0</v>
      </c>
      <c r="AC538" s="284" t="n">
        <f aca="false">IFERROR(P538*$G538*$I538, "")</f>
        <v>0</v>
      </c>
      <c r="AD538" s="284" t="n">
        <f aca="false">IFERROR(Q538*$G538*$I538, "")</f>
        <v>0</v>
      </c>
      <c r="AE538" s="284" t="n">
        <f aca="false">IFERROR(R538*$G538*$I538, "")</f>
        <v>0</v>
      </c>
      <c r="AF538" s="284" t="n">
        <f aca="false">IFERROR(S538*$G538*$I538, "")</f>
        <v>0</v>
      </c>
      <c r="AG538" s="284" t="n">
        <f aca="false">IFERROR(T538*$G538*$I538, "")</f>
        <v>0</v>
      </c>
      <c r="AH538" s="284" t="n">
        <f aca="false">IFERROR(U538*$G538*$I538, "")</f>
        <v>0</v>
      </c>
      <c r="AI538" s="284" t="n">
        <f aca="false">IFERROR(V538*$G538*$I538, "")</f>
        <v>0</v>
      </c>
      <c r="AJ538" s="284" t="n">
        <f aca="false">IFERROR(W538*$G538*$I538, "")</f>
        <v>0</v>
      </c>
      <c r="AK538" s="286" t="n">
        <f aca="false">IFERROR(SUMIF($Y$4:$AJ$4, "RDEC", Y538:AJ538), "")</f>
        <v>0</v>
      </c>
      <c r="AL538" s="286" t="n">
        <f aca="false">IFERROR(SUMIF($Y$4:$AJ$4, "SME", Y538:AJ538), "")</f>
        <v>0</v>
      </c>
      <c r="AM538" s="286" t="n">
        <f aca="false">IFERROR(SUMIF($Y$4:$AJ$4, "De Minimis", Y538:AJ538), "")</f>
        <v>0</v>
      </c>
      <c r="AN538" s="283"/>
      <c r="AO538" s="284" t="n">
        <f aca="false">IFERROR($G538*$J538*L538, "")</f>
        <v>0</v>
      </c>
      <c r="AP538" s="284" t="n">
        <f aca="false">IFERROR($G538*$J538*M538, "")</f>
        <v>0</v>
      </c>
      <c r="AQ538" s="284" t="n">
        <f aca="false">IFERROR($G538*$J538*N538, "")</f>
        <v>0</v>
      </c>
      <c r="AR538" s="284" t="n">
        <f aca="false">IFERROR($G538*$J538*O538, "")</f>
        <v>0</v>
      </c>
      <c r="AS538" s="284" t="n">
        <f aca="false">IFERROR($G538*$J538*P538, "")</f>
        <v>0</v>
      </c>
      <c r="AT538" s="284" t="n">
        <f aca="false">IFERROR($G538*$J538*Q538, "")</f>
        <v>0</v>
      </c>
      <c r="AU538" s="284" t="n">
        <f aca="false">IFERROR($G538*$J538*R538, "")</f>
        <v>0</v>
      </c>
      <c r="AV538" s="284" t="n">
        <f aca="false">IFERROR($G538*$J538*S538, "")</f>
        <v>0</v>
      </c>
      <c r="AW538" s="284" t="n">
        <f aca="false">IFERROR($G538*$J538*T538, "")</f>
        <v>0</v>
      </c>
      <c r="AX538" s="284" t="n">
        <f aca="false">IFERROR($G538*$J538*U538, "")</f>
        <v>0</v>
      </c>
      <c r="AY538" s="284" t="n">
        <f aca="false">IFERROR($G538*$J538*V538, "")</f>
        <v>0</v>
      </c>
      <c r="AZ538" s="284" t="n">
        <f aca="false">IFERROR($G538*$J538*W538, "")</f>
        <v>0</v>
      </c>
      <c r="BA538" s="286" t="n">
        <f aca="false">IFERROR(SUMIF($AO$4:$AZ$4, "RDEC", AO538:AZ538), "")</f>
        <v>0</v>
      </c>
      <c r="BB538" s="286" t="n">
        <f aca="false">IFERROR(SUMIF($AO$4:$AZ$4, "SME", AO538:AZ538), "")</f>
        <v>0</v>
      </c>
      <c r="BC538" s="286" t="n">
        <f aca="false">IFERROR(SUMIF($Y$4:$AJ$4, "De Minimis", AO538:AZ538), "")</f>
        <v>0</v>
      </c>
      <c r="BD538" s="287"/>
      <c r="BE538" s="288" t="str">
        <f aca="false">IF((SUM(L538:W538)&gt;1),"ERROR","")</f>
        <v/>
      </c>
    </row>
    <row r="539" customFormat="false" ht="15" hidden="false" customHeight="true" outlineLevel="0" collapsed="false">
      <c r="B539" s="333"/>
      <c r="C539" s="334"/>
      <c r="D539" s="333" t="n">
        <f aca="false">D523</f>
        <v>45352</v>
      </c>
      <c r="E539" s="277" t="n">
        <v>0</v>
      </c>
      <c r="F539" s="277" t="n">
        <v>0</v>
      </c>
      <c r="G539" s="277" t="n">
        <f aca="false">SUM(E539:F539)</f>
        <v>0</v>
      </c>
      <c r="H539" s="204"/>
      <c r="I539" s="279" t="n">
        <v>1</v>
      </c>
      <c r="J539" s="280" t="n">
        <f aca="false">1-I539</f>
        <v>0</v>
      </c>
      <c r="K539" s="277"/>
      <c r="L539" s="282"/>
      <c r="M539" s="282"/>
      <c r="N539" s="282"/>
      <c r="O539" s="282"/>
      <c r="P539" s="282"/>
      <c r="Q539" s="282"/>
      <c r="R539" s="282"/>
      <c r="S539" s="282"/>
      <c r="T539" s="282"/>
      <c r="U539" s="282"/>
      <c r="V539" s="282"/>
      <c r="W539" s="282"/>
      <c r="X539" s="283"/>
      <c r="Y539" s="284" t="n">
        <f aca="false">IFERROR(L539*$G539*I$9, "")</f>
        <v>0</v>
      </c>
      <c r="Z539" s="284" t="n">
        <f aca="false">IFERROR(M539*$G539*$I539, "")</f>
        <v>0</v>
      </c>
      <c r="AA539" s="284" t="n">
        <f aca="false">IFERROR(N539*$G539*$I539, "")</f>
        <v>0</v>
      </c>
      <c r="AB539" s="284" t="n">
        <f aca="false">IFERROR(O539*$G539*$I539, "")</f>
        <v>0</v>
      </c>
      <c r="AC539" s="284" t="n">
        <f aca="false">IFERROR(P539*$G539*$I539, "")</f>
        <v>0</v>
      </c>
      <c r="AD539" s="284" t="n">
        <f aca="false">IFERROR(Q539*$G539*$I539, "")</f>
        <v>0</v>
      </c>
      <c r="AE539" s="284" t="n">
        <f aca="false">IFERROR(R539*$G539*$I539, "")</f>
        <v>0</v>
      </c>
      <c r="AF539" s="284" t="n">
        <f aca="false">IFERROR(S539*$G539*$I539, "")</f>
        <v>0</v>
      </c>
      <c r="AG539" s="284" t="n">
        <f aca="false">IFERROR(T539*$G539*$I539, "")</f>
        <v>0</v>
      </c>
      <c r="AH539" s="284" t="n">
        <f aca="false">IFERROR(U539*$G539*$I539, "")</f>
        <v>0</v>
      </c>
      <c r="AI539" s="284" t="n">
        <f aca="false">IFERROR(V539*$G539*$I539, "")</f>
        <v>0</v>
      </c>
      <c r="AJ539" s="284" t="n">
        <f aca="false">IFERROR(W539*$G539*$I539, "")</f>
        <v>0</v>
      </c>
      <c r="AK539" s="286" t="n">
        <f aca="false">IFERROR(SUMIF($Y$4:$AJ$4, "RDEC", Y539:AJ539), "")</f>
        <v>0</v>
      </c>
      <c r="AL539" s="286" t="n">
        <f aca="false">IFERROR(SUMIF($Y$4:$AJ$4, "SME", Y539:AJ539), "")</f>
        <v>0</v>
      </c>
      <c r="AM539" s="286" t="n">
        <f aca="false">IFERROR(SUMIF($Y$4:$AJ$4, "De Minimis", Y539:AJ539), "")</f>
        <v>0</v>
      </c>
      <c r="AN539" s="283"/>
      <c r="AO539" s="284" t="n">
        <f aca="false">IFERROR($G539*$J539*L539, "")</f>
        <v>0</v>
      </c>
      <c r="AP539" s="284" t="n">
        <f aca="false">IFERROR($G539*$J539*M539, "")</f>
        <v>0</v>
      </c>
      <c r="AQ539" s="284" t="n">
        <f aca="false">IFERROR($G539*$J539*N539, "")</f>
        <v>0</v>
      </c>
      <c r="AR539" s="284" t="n">
        <f aca="false">IFERROR($G539*$J539*O539, "")</f>
        <v>0</v>
      </c>
      <c r="AS539" s="284" t="n">
        <f aca="false">IFERROR($G539*$J539*P539, "")</f>
        <v>0</v>
      </c>
      <c r="AT539" s="284" t="n">
        <f aca="false">IFERROR($G539*$J539*Q539, "")</f>
        <v>0</v>
      </c>
      <c r="AU539" s="284" t="n">
        <f aca="false">IFERROR($G539*$J539*R539, "")</f>
        <v>0</v>
      </c>
      <c r="AV539" s="284" t="n">
        <f aca="false">IFERROR($G539*$J539*S539, "")</f>
        <v>0</v>
      </c>
      <c r="AW539" s="284" t="n">
        <f aca="false">IFERROR($G539*$J539*T539, "")</f>
        <v>0</v>
      </c>
      <c r="AX539" s="284" t="n">
        <f aca="false">IFERROR($G539*$J539*U539, "")</f>
        <v>0</v>
      </c>
      <c r="AY539" s="284" t="n">
        <f aca="false">IFERROR($G539*$J539*V539, "")</f>
        <v>0</v>
      </c>
      <c r="AZ539" s="284" t="n">
        <f aca="false">IFERROR($G539*$J539*W539, "")</f>
        <v>0</v>
      </c>
      <c r="BA539" s="286" t="n">
        <f aca="false">IFERROR(SUMIF($AO$4:$AZ$4, "RDEC", AO539:AZ539), "")</f>
        <v>0</v>
      </c>
      <c r="BB539" s="286" t="n">
        <f aca="false">IFERROR(SUMIF($AO$4:$AZ$4, "SME", AO539:AZ539), "")</f>
        <v>0</v>
      </c>
      <c r="BC539" s="286" t="n">
        <f aca="false">IFERROR(SUMIF($Y$4:$AJ$4, "De Minimis", AO539:AZ539), "")</f>
        <v>0</v>
      </c>
      <c r="BD539" s="287"/>
      <c r="BE539" s="288" t="str">
        <f aca="false">IF((SUM(L539:W539)&gt;1),"ERROR","")</f>
        <v/>
      </c>
    </row>
    <row r="540" customFormat="false" ht="15" hidden="false" customHeight="true" outlineLevel="0" collapsed="false">
      <c r="B540" s="333"/>
      <c r="C540" s="334"/>
      <c r="D540" s="333" t="n">
        <f aca="false">D524</f>
        <v>45383</v>
      </c>
      <c r="E540" s="277" t="n">
        <v>0</v>
      </c>
      <c r="F540" s="277" t="n">
        <v>0</v>
      </c>
      <c r="G540" s="277" t="n">
        <f aca="false">SUM(E540:F540)</f>
        <v>0</v>
      </c>
      <c r="H540" s="204"/>
      <c r="I540" s="279" t="n">
        <v>1</v>
      </c>
      <c r="J540" s="280" t="n">
        <f aca="false">1-I540</f>
        <v>0</v>
      </c>
      <c r="K540" s="277"/>
      <c r="L540" s="282"/>
      <c r="M540" s="282"/>
      <c r="N540" s="282"/>
      <c r="O540" s="282"/>
      <c r="P540" s="282"/>
      <c r="Q540" s="282"/>
      <c r="R540" s="282"/>
      <c r="S540" s="282"/>
      <c r="T540" s="282"/>
      <c r="U540" s="282"/>
      <c r="V540" s="282"/>
      <c r="W540" s="282"/>
      <c r="X540" s="283"/>
      <c r="Y540" s="284" t="n">
        <f aca="false">IFERROR(L540*$G540*I$9, "")</f>
        <v>0</v>
      </c>
      <c r="Z540" s="284" t="n">
        <f aca="false">IFERROR(M540*$G540*$I540, "")</f>
        <v>0</v>
      </c>
      <c r="AA540" s="284" t="n">
        <f aca="false">IFERROR(N540*$G540*$I540, "")</f>
        <v>0</v>
      </c>
      <c r="AB540" s="284" t="n">
        <f aca="false">IFERROR(O540*$G540*$I540, "")</f>
        <v>0</v>
      </c>
      <c r="AC540" s="284" t="n">
        <f aca="false">IFERROR(P540*$G540*$I540, "")</f>
        <v>0</v>
      </c>
      <c r="AD540" s="284" t="n">
        <f aca="false">IFERROR(Q540*$G540*$I540, "")</f>
        <v>0</v>
      </c>
      <c r="AE540" s="284" t="n">
        <f aca="false">IFERROR(R540*$G540*$I540, "")</f>
        <v>0</v>
      </c>
      <c r="AF540" s="284" t="n">
        <f aca="false">IFERROR(S540*$G540*$I540, "")</f>
        <v>0</v>
      </c>
      <c r="AG540" s="284" t="n">
        <f aca="false">IFERROR(T540*$G540*$I540, "")</f>
        <v>0</v>
      </c>
      <c r="AH540" s="284" t="n">
        <f aca="false">IFERROR(U540*$G540*$I540, "")</f>
        <v>0</v>
      </c>
      <c r="AI540" s="284" t="n">
        <f aca="false">IFERROR(V540*$G540*$I540, "")</f>
        <v>0</v>
      </c>
      <c r="AJ540" s="284" t="n">
        <f aca="false">IFERROR(W540*$G540*$I540, "")</f>
        <v>0</v>
      </c>
      <c r="AK540" s="286" t="n">
        <f aca="false">IFERROR(SUMIF($Y$4:$AJ$4, "RDEC", Y540:AJ540), "")</f>
        <v>0</v>
      </c>
      <c r="AL540" s="286" t="n">
        <f aca="false">IFERROR(SUMIF($Y$4:$AJ$4, "SME", Y540:AJ540), "")</f>
        <v>0</v>
      </c>
      <c r="AM540" s="286" t="n">
        <f aca="false">IFERROR(SUMIF($Y$4:$AJ$4, "De Minimis", Y540:AJ540), "")</f>
        <v>0</v>
      </c>
      <c r="AN540" s="283"/>
      <c r="AO540" s="284" t="n">
        <f aca="false">IFERROR($G540*$J540*L540, "")</f>
        <v>0</v>
      </c>
      <c r="AP540" s="284" t="n">
        <f aca="false">IFERROR($G540*$J540*M540, "")</f>
        <v>0</v>
      </c>
      <c r="AQ540" s="284" t="n">
        <f aca="false">IFERROR($G540*$J540*N540, "")</f>
        <v>0</v>
      </c>
      <c r="AR540" s="284" t="n">
        <f aca="false">IFERROR($G540*$J540*O540, "")</f>
        <v>0</v>
      </c>
      <c r="AS540" s="284" t="n">
        <f aca="false">IFERROR($G540*$J540*P540, "")</f>
        <v>0</v>
      </c>
      <c r="AT540" s="284" t="n">
        <f aca="false">IFERROR($G540*$J540*Q540, "")</f>
        <v>0</v>
      </c>
      <c r="AU540" s="284" t="n">
        <f aca="false">IFERROR($G540*$J540*R540, "")</f>
        <v>0</v>
      </c>
      <c r="AV540" s="284" t="n">
        <f aca="false">IFERROR($G540*$J540*S540, "")</f>
        <v>0</v>
      </c>
      <c r="AW540" s="284" t="n">
        <f aca="false">IFERROR($G540*$J540*T540, "")</f>
        <v>0</v>
      </c>
      <c r="AX540" s="284" t="n">
        <f aca="false">IFERROR($G540*$J540*U540, "")</f>
        <v>0</v>
      </c>
      <c r="AY540" s="284" t="n">
        <f aca="false">IFERROR($G540*$J540*V540, "")</f>
        <v>0</v>
      </c>
      <c r="AZ540" s="284" t="n">
        <f aca="false">IFERROR($G540*$J540*W540, "")</f>
        <v>0</v>
      </c>
      <c r="BA540" s="286" t="n">
        <f aca="false">IFERROR(SUMIF($AO$4:$AZ$4, "RDEC", AO540:AZ540), "")</f>
        <v>0</v>
      </c>
      <c r="BB540" s="286" t="n">
        <f aca="false">IFERROR(SUMIF($AO$4:$AZ$4, "SME", AO540:AZ540), "")</f>
        <v>0</v>
      </c>
      <c r="BC540" s="286" t="n">
        <f aca="false">IFERROR(SUMIF($Y$4:$AJ$4, "De Minimis", AO540:AZ540), "")</f>
        <v>0</v>
      </c>
      <c r="BD540" s="287"/>
      <c r="BE540" s="288" t="str">
        <f aca="false">IF((SUM(L540:W540)&gt;1),"ERROR","")</f>
        <v/>
      </c>
    </row>
    <row r="541" customFormat="false" ht="15" hidden="false" customHeight="true" outlineLevel="0" collapsed="false">
      <c r="B541" s="333"/>
      <c r="C541" s="334"/>
      <c r="D541" s="333" t="n">
        <f aca="false">D525</f>
        <v>45413</v>
      </c>
      <c r="E541" s="277" t="n">
        <v>0</v>
      </c>
      <c r="F541" s="277" t="n">
        <v>0</v>
      </c>
      <c r="G541" s="277" t="n">
        <f aca="false">SUM(E541:F541)</f>
        <v>0</v>
      </c>
      <c r="H541" s="204"/>
      <c r="I541" s="279" t="n">
        <v>1</v>
      </c>
      <c r="J541" s="280" t="n">
        <f aca="false">1-I541</f>
        <v>0</v>
      </c>
      <c r="K541" s="277"/>
      <c r="L541" s="282"/>
      <c r="M541" s="282"/>
      <c r="N541" s="282"/>
      <c r="O541" s="282"/>
      <c r="P541" s="282"/>
      <c r="Q541" s="282"/>
      <c r="R541" s="282"/>
      <c r="S541" s="282"/>
      <c r="T541" s="282"/>
      <c r="U541" s="282"/>
      <c r="V541" s="282"/>
      <c r="W541" s="282"/>
      <c r="X541" s="283"/>
      <c r="Y541" s="284" t="n">
        <f aca="false">IFERROR(L541*$G541*I$9, "")</f>
        <v>0</v>
      </c>
      <c r="Z541" s="284" t="n">
        <f aca="false">IFERROR(M541*$G541*$I541, "")</f>
        <v>0</v>
      </c>
      <c r="AA541" s="284" t="n">
        <f aca="false">IFERROR(N541*$G541*$I541, "")</f>
        <v>0</v>
      </c>
      <c r="AB541" s="284" t="n">
        <f aca="false">IFERROR(O541*$G541*$I541, "")</f>
        <v>0</v>
      </c>
      <c r="AC541" s="284" t="n">
        <f aca="false">IFERROR(P541*$G541*$I541, "")</f>
        <v>0</v>
      </c>
      <c r="AD541" s="284" t="n">
        <f aca="false">IFERROR(Q541*$G541*$I541, "")</f>
        <v>0</v>
      </c>
      <c r="AE541" s="284" t="n">
        <f aca="false">IFERROR(R541*$G541*$I541, "")</f>
        <v>0</v>
      </c>
      <c r="AF541" s="284" t="n">
        <f aca="false">IFERROR(S541*$G541*$I541, "")</f>
        <v>0</v>
      </c>
      <c r="AG541" s="284" t="n">
        <f aca="false">IFERROR(T541*$G541*$I541, "")</f>
        <v>0</v>
      </c>
      <c r="AH541" s="284" t="n">
        <f aca="false">IFERROR(U541*$G541*$I541, "")</f>
        <v>0</v>
      </c>
      <c r="AI541" s="284" t="n">
        <f aca="false">IFERROR(V541*$G541*$I541, "")</f>
        <v>0</v>
      </c>
      <c r="AJ541" s="284" t="n">
        <f aca="false">IFERROR(W541*$G541*$I541, "")</f>
        <v>0</v>
      </c>
      <c r="AK541" s="286" t="n">
        <f aca="false">IFERROR(SUMIF($Y$4:$AJ$4, "RDEC", Y541:AJ541), "")</f>
        <v>0</v>
      </c>
      <c r="AL541" s="286" t="n">
        <f aca="false">IFERROR(SUMIF($Y$4:$AJ$4, "SME", Y541:AJ541), "")</f>
        <v>0</v>
      </c>
      <c r="AM541" s="286" t="n">
        <f aca="false">IFERROR(SUMIF($Y$4:$AJ$4, "De Minimis", Y541:AJ541), "")</f>
        <v>0</v>
      </c>
      <c r="AN541" s="283"/>
      <c r="AO541" s="284" t="n">
        <f aca="false">IFERROR($G541*$J541*L541, "")</f>
        <v>0</v>
      </c>
      <c r="AP541" s="284" t="n">
        <f aca="false">IFERROR($G541*$J541*M541, "")</f>
        <v>0</v>
      </c>
      <c r="AQ541" s="284" t="n">
        <f aca="false">IFERROR($G541*$J541*N541, "")</f>
        <v>0</v>
      </c>
      <c r="AR541" s="284" t="n">
        <f aca="false">IFERROR($G541*$J541*O541, "")</f>
        <v>0</v>
      </c>
      <c r="AS541" s="284" t="n">
        <f aca="false">IFERROR($G541*$J541*P541, "")</f>
        <v>0</v>
      </c>
      <c r="AT541" s="284" t="n">
        <f aca="false">IFERROR($G541*$J541*Q541, "")</f>
        <v>0</v>
      </c>
      <c r="AU541" s="284" t="n">
        <f aca="false">IFERROR($G541*$J541*R541, "")</f>
        <v>0</v>
      </c>
      <c r="AV541" s="284" t="n">
        <f aca="false">IFERROR($G541*$J541*S541, "")</f>
        <v>0</v>
      </c>
      <c r="AW541" s="284" t="n">
        <f aca="false">IFERROR($G541*$J541*T541, "")</f>
        <v>0</v>
      </c>
      <c r="AX541" s="284" t="n">
        <f aca="false">IFERROR($G541*$J541*U541, "")</f>
        <v>0</v>
      </c>
      <c r="AY541" s="284" t="n">
        <f aca="false">IFERROR($G541*$J541*V541, "")</f>
        <v>0</v>
      </c>
      <c r="AZ541" s="284" t="n">
        <f aca="false">IFERROR($G541*$J541*W541, "")</f>
        <v>0</v>
      </c>
      <c r="BA541" s="286" t="n">
        <f aca="false">IFERROR(SUMIF($AO$4:$AZ$4, "RDEC", AO541:AZ541), "")</f>
        <v>0</v>
      </c>
      <c r="BB541" s="286" t="n">
        <f aca="false">IFERROR(SUMIF($AO$4:$AZ$4, "SME", AO541:AZ541), "")</f>
        <v>0</v>
      </c>
      <c r="BC541" s="286" t="n">
        <f aca="false">IFERROR(SUMIF($Y$4:$AJ$4, "De Minimis", AO541:AZ541), "")</f>
        <v>0</v>
      </c>
      <c r="BD541" s="287"/>
      <c r="BE541" s="288" t="str">
        <f aca="false">IF((SUM(L541:W541)&gt;1),"ERROR","")</f>
        <v/>
      </c>
    </row>
    <row r="542" customFormat="false" ht="15" hidden="false" customHeight="true" outlineLevel="0" collapsed="false">
      <c r="B542" s="333"/>
      <c r="C542" s="334"/>
      <c r="D542" s="333" t="n">
        <f aca="false">D526</f>
        <v>45444</v>
      </c>
      <c r="E542" s="277" t="n">
        <v>0</v>
      </c>
      <c r="F542" s="277" t="n">
        <v>0</v>
      </c>
      <c r="G542" s="277" t="n">
        <f aca="false">SUM(E542:F542)</f>
        <v>0</v>
      </c>
      <c r="H542" s="204"/>
      <c r="I542" s="279" t="n">
        <v>1</v>
      </c>
      <c r="J542" s="280" t="n">
        <f aca="false">1-I542</f>
        <v>0</v>
      </c>
      <c r="K542" s="277"/>
      <c r="L542" s="282"/>
      <c r="M542" s="282"/>
      <c r="N542" s="282"/>
      <c r="O542" s="282"/>
      <c r="P542" s="282"/>
      <c r="Q542" s="282"/>
      <c r="R542" s="282"/>
      <c r="S542" s="282"/>
      <c r="T542" s="282"/>
      <c r="U542" s="282"/>
      <c r="V542" s="282"/>
      <c r="W542" s="282"/>
      <c r="X542" s="283"/>
      <c r="Y542" s="284" t="n">
        <f aca="false">IFERROR(L542*$G542*I$9, "")</f>
        <v>0</v>
      </c>
      <c r="Z542" s="284" t="n">
        <f aca="false">IFERROR(M542*$G542*$I542, "")</f>
        <v>0</v>
      </c>
      <c r="AA542" s="284" t="n">
        <f aca="false">IFERROR(N542*$G542*$I542, "")</f>
        <v>0</v>
      </c>
      <c r="AB542" s="284" t="n">
        <f aca="false">IFERROR(O542*$G542*$I542, "")</f>
        <v>0</v>
      </c>
      <c r="AC542" s="284" t="n">
        <f aca="false">IFERROR(P542*$G542*$I542, "")</f>
        <v>0</v>
      </c>
      <c r="AD542" s="284" t="n">
        <f aca="false">IFERROR(Q542*$G542*$I542, "")</f>
        <v>0</v>
      </c>
      <c r="AE542" s="284" t="n">
        <f aca="false">IFERROR(R542*$G542*$I542, "")</f>
        <v>0</v>
      </c>
      <c r="AF542" s="284" t="n">
        <f aca="false">IFERROR(S542*$G542*$I542, "")</f>
        <v>0</v>
      </c>
      <c r="AG542" s="284" t="n">
        <f aca="false">IFERROR(T542*$G542*$I542, "")</f>
        <v>0</v>
      </c>
      <c r="AH542" s="284" t="n">
        <f aca="false">IFERROR(U542*$G542*$I542, "")</f>
        <v>0</v>
      </c>
      <c r="AI542" s="284" t="n">
        <f aca="false">IFERROR(V542*$G542*$I542, "")</f>
        <v>0</v>
      </c>
      <c r="AJ542" s="284" t="n">
        <f aca="false">IFERROR(W542*$G542*$I542, "")</f>
        <v>0</v>
      </c>
      <c r="AK542" s="286" t="n">
        <f aca="false">IFERROR(SUMIF($Y$4:$AJ$4, "RDEC", Y542:AJ542), "")</f>
        <v>0</v>
      </c>
      <c r="AL542" s="286" t="n">
        <f aca="false">IFERROR(SUMIF($Y$4:$AJ$4, "SME", Y542:AJ542), "")</f>
        <v>0</v>
      </c>
      <c r="AM542" s="286" t="n">
        <f aca="false">IFERROR(SUMIF($Y$4:$AJ$4, "De Minimis", Y542:AJ542), "")</f>
        <v>0</v>
      </c>
      <c r="AN542" s="283"/>
      <c r="AO542" s="284" t="n">
        <f aca="false">IFERROR($G542*$J542*L542, "")</f>
        <v>0</v>
      </c>
      <c r="AP542" s="284" t="n">
        <f aca="false">IFERROR($G542*$J542*M542, "")</f>
        <v>0</v>
      </c>
      <c r="AQ542" s="284" t="n">
        <f aca="false">IFERROR($G542*$J542*N542, "")</f>
        <v>0</v>
      </c>
      <c r="AR542" s="284" t="n">
        <f aca="false">IFERROR($G542*$J542*O542, "")</f>
        <v>0</v>
      </c>
      <c r="AS542" s="284" t="n">
        <f aca="false">IFERROR($G542*$J542*P542, "")</f>
        <v>0</v>
      </c>
      <c r="AT542" s="284" t="n">
        <f aca="false">IFERROR($G542*$J542*Q542, "")</f>
        <v>0</v>
      </c>
      <c r="AU542" s="284" t="n">
        <f aca="false">IFERROR($G542*$J542*R542, "")</f>
        <v>0</v>
      </c>
      <c r="AV542" s="284" t="n">
        <f aca="false">IFERROR($G542*$J542*S542, "")</f>
        <v>0</v>
      </c>
      <c r="AW542" s="284" t="n">
        <f aca="false">IFERROR($G542*$J542*T542, "")</f>
        <v>0</v>
      </c>
      <c r="AX542" s="284" t="n">
        <f aca="false">IFERROR($G542*$J542*U542, "")</f>
        <v>0</v>
      </c>
      <c r="AY542" s="284" t="n">
        <f aca="false">IFERROR($G542*$J542*V542, "")</f>
        <v>0</v>
      </c>
      <c r="AZ542" s="284" t="n">
        <f aca="false">IFERROR($G542*$J542*W542, "")</f>
        <v>0</v>
      </c>
      <c r="BA542" s="286" t="n">
        <f aca="false">IFERROR(SUMIF($AO$4:$AZ$4, "RDEC", AO542:AZ542), "")</f>
        <v>0</v>
      </c>
      <c r="BB542" s="286" t="n">
        <f aca="false">IFERROR(SUMIF($AO$4:$AZ$4, "SME", AO542:AZ542), "")</f>
        <v>0</v>
      </c>
      <c r="BC542" s="286" t="n">
        <f aca="false">IFERROR(SUMIF($Y$4:$AJ$4, "De Minimis", AO542:AZ542), "")</f>
        <v>0</v>
      </c>
      <c r="BD542" s="287"/>
      <c r="BE542" s="288" t="str">
        <f aca="false">IF((SUM(L542:W542)&gt;1),"ERROR","")</f>
        <v/>
      </c>
    </row>
    <row r="543" customFormat="false" ht="15" hidden="false" customHeight="true" outlineLevel="0" collapsed="false">
      <c r="B543" s="333"/>
      <c r="C543" s="334"/>
      <c r="D543" s="333" t="n">
        <f aca="false">D527</f>
        <v>45474</v>
      </c>
      <c r="E543" s="277" t="n">
        <v>0</v>
      </c>
      <c r="F543" s="277" t="n">
        <v>0</v>
      </c>
      <c r="G543" s="277" t="n">
        <f aca="false">SUM(E543:F543)</f>
        <v>0</v>
      </c>
      <c r="H543" s="204"/>
      <c r="I543" s="279" t="n">
        <v>1</v>
      </c>
      <c r="J543" s="280" t="n">
        <f aca="false">1-I543</f>
        <v>0</v>
      </c>
      <c r="K543" s="277"/>
      <c r="L543" s="282"/>
      <c r="M543" s="282"/>
      <c r="N543" s="282"/>
      <c r="O543" s="282"/>
      <c r="P543" s="282"/>
      <c r="Q543" s="282"/>
      <c r="R543" s="282"/>
      <c r="S543" s="282"/>
      <c r="T543" s="282"/>
      <c r="U543" s="282"/>
      <c r="V543" s="282"/>
      <c r="W543" s="282"/>
      <c r="X543" s="283"/>
      <c r="Y543" s="284" t="n">
        <f aca="false">IFERROR(L543*$G543*I$9, "")</f>
        <v>0</v>
      </c>
      <c r="Z543" s="284" t="n">
        <f aca="false">IFERROR(M543*$G543*$I543, "")</f>
        <v>0</v>
      </c>
      <c r="AA543" s="284" t="n">
        <f aca="false">IFERROR(N543*$G543*$I543, "")</f>
        <v>0</v>
      </c>
      <c r="AB543" s="284" t="n">
        <f aca="false">IFERROR(O543*$G543*$I543, "")</f>
        <v>0</v>
      </c>
      <c r="AC543" s="284" t="n">
        <f aca="false">IFERROR(P543*$G543*$I543, "")</f>
        <v>0</v>
      </c>
      <c r="AD543" s="284" t="n">
        <f aca="false">IFERROR(Q543*$G543*$I543, "")</f>
        <v>0</v>
      </c>
      <c r="AE543" s="284" t="n">
        <f aca="false">IFERROR(R543*$G543*$I543, "")</f>
        <v>0</v>
      </c>
      <c r="AF543" s="284" t="n">
        <f aca="false">IFERROR(S543*$G543*$I543, "")</f>
        <v>0</v>
      </c>
      <c r="AG543" s="284" t="n">
        <f aca="false">IFERROR(T543*$G543*$I543, "")</f>
        <v>0</v>
      </c>
      <c r="AH543" s="284" t="n">
        <f aca="false">IFERROR(U543*$G543*$I543, "")</f>
        <v>0</v>
      </c>
      <c r="AI543" s="284" t="n">
        <f aca="false">IFERROR(V543*$G543*$I543, "")</f>
        <v>0</v>
      </c>
      <c r="AJ543" s="284" t="n">
        <f aca="false">IFERROR(W543*$G543*$I543, "")</f>
        <v>0</v>
      </c>
      <c r="AK543" s="286" t="n">
        <f aca="false">IFERROR(SUMIF($Y$4:$AJ$4, "RDEC", Y543:AJ543), "")</f>
        <v>0</v>
      </c>
      <c r="AL543" s="286" t="n">
        <f aca="false">IFERROR(SUMIF($Y$4:$AJ$4, "SME", Y543:AJ543), "")</f>
        <v>0</v>
      </c>
      <c r="AM543" s="286" t="n">
        <f aca="false">IFERROR(SUMIF($Y$4:$AJ$4, "De Minimis", Y543:AJ543), "")</f>
        <v>0</v>
      </c>
      <c r="AN543" s="283"/>
      <c r="AO543" s="284" t="n">
        <f aca="false">IFERROR($G543*$J543*L543, "")</f>
        <v>0</v>
      </c>
      <c r="AP543" s="284" t="n">
        <f aca="false">IFERROR($G543*$J543*M543, "")</f>
        <v>0</v>
      </c>
      <c r="AQ543" s="284" t="n">
        <f aca="false">IFERROR($G543*$J543*N543, "")</f>
        <v>0</v>
      </c>
      <c r="AR543" s="284" t="n">
        <f aca="false">IFERROR($G543*$J543*O543, "")</f>
        <v>0</v>
      </c>
      <c r="AS543" s="284" t="n">
        <f aca="false">IFERROR($G543*$J543*P543, "")</f>
        <v>0</v>
      </c>
      <c r="AT543" s="284" t="n">
        <f aca="false">IFERROR($G543*$J543*Q543, "")</f>
        <v>0</v>
      </c>
      <c r="AU543" s="284" t="n">
        <f aca="false">IFERROR($G543*$J543*R543, "")</f>
        <v>0</v>
      </c>
      <c r="AV543" s="284" t="n">
        <f aca="false">IFERROR($G543*$J543*S543, "")</f>
        <v>0</v>
      </c>
      <c r="AW543" s="284" t="n">
        <f aca="false">IFERROR($G543*$J543*T543, "")</f>
        <v>0</v>
      </c>
      <c r="AX543" s="284" t="n">
        <f aca="false">IFERROR($G543*$J543*U543, "")</f>
        <v>0</v>
      </c>
      <c r="AY543" s="284" t="n">
        <f aca="false">IFERROR($G543*$J543*V543, "")</f>
        <v>0</v>
      </c>
      <c r="AZ543" s="284" t="n">
        <f aca="false">IFERROR($G543*$J543*W543, "")</f>
        <v>0</v>
      </c>
      <c r="BA543" s="286" t="n">
        <f aca="false">IFERROR(SUMIF($AO$4:$AZ$4, "RDEC", AO543:AZ543), "")</f>
        <v>0</v>
      </c>
      <c r="BB543" s="286" t="n">
        <f aca="false">IFERROR(SUMIF($AO$4:$AZ$4, "SME", AO543:AZ543), "")</f>
        <v>0</v>
      </c>
      <c r="BC543" s="286" t="n">
        <f aca="false">IFERROR(SUMIF($Y$4:$AJ$4, "De Minimis", AO543:AZ543), "")</f>
        <v>0</v>
      </c>
      <c r="BD543" s="287"/>
      <c r="BE543" s="288" t="str">
        <f aca="false">IF((SUM(L543:W543)&gt;1),"ERROR","")</f>
        <v/>
      </c>
    </row>
    <row r="544" customFormat="false" ht="15" hidden="false" customHeight="true" outlineLevel="0" collapsed="false">
      <c r="B544" s="333"/>
      <c r="C544" s="334"/>
      <c r="D544" s="333" t="n">
        <f aca="false">D528</f>
        <v>45505</v>
      </c>
      <c r="E544" s="277" t="n">
        <v>0</v>
      </c>
      <c r="F544" s="277" t="n">
        <v>0</v>
      </c>
      <c r="G544" s="277" t="n">
        <f aca="false">SUM(E544:F544)</f>
        <v>0</v>
      </c>
      <c r="H544" s="204"/>
      <c r="I544" s="279" t="n">
        <v>1</v>
      </c>
      <c r="J544" s="280" t="n">
        <f aca="false">1-I544</f>
        <v>0</v>
      </c>
      <c r="K544" s="277"/>
      <c r="L544" s="282"/>
      <c r="M544" s="282"/>
      <c r="N544" s="282"/>
      <c r="O544" s="282"/>
      <c r="P544" s="282"/>
      <c r="Q544" s="282"/>
      <c r="R544" s="282"/>
      <c r="S544" s="282"/>
      <c r="T544" s="282"/>
      <c r="U544" s="282"/>
      <c r="V544" s="282"/>
      <c r="W544" s="282"/>
      <c r="X544" s="283"/>
      <c r="Y544" s="284" t="n">
        <f aca="false">IFERROR(L544*$G544*I$9, "")</f>
        <v>0</v>
      </c>
      <c r="Z544" s="284" t="n">
        <f aca="false">IFERROR(M544*$G544*$I544, "")</f>
        <v>0</v>
      </c>
      <c r="AA544" s="284" t="n">
        <f aca="false">IFERROR(N544*$G544*$I544, "")</f>
        <v>0</v>
      </c>
      <c r="AB544" s="284" t="n">
        <f aca="false">IFERROR(O544*$G544*$I544, "")</f>
        <v>0</v>
      </c>
      <c r="AC544" s="284" t="n">
        <f aca="false">IFERROR(P544*$G544*$I544, "")</f>
        <v>0</v>
      </c>
      <c r="AD544" s="284" t="n">
        <f aca="false">IFERROR(Q544*$G544*$I544, "")</f>
        <v>0</v>
      </c>
      <c r="AE544" s="284" t="n">
        <f aca="false">IFERROR(R544*$G544*$I544, "")</f>
        <v>0</v>
      </c>
      <c r="AF544" s="284" t="n">
        <f aca="false">IFERROR(S544*$G544*$I544, "")</f>
        <v>0</v>
      </c>
      <c r="AG544" s="284" t="n">
        <f aca="false">IFERROR(T544*$G544*$I544, "")</f>
        <v>0</v>
      </c>
      <c r="AH544" s="284" t="n">
        <f aca="false">IFERROR(U544*$G544*$I544, "")</f>
        <v>0</v>
      </c>
      <c r="AI544" s="284" t="n">
        <f aca="false">IFERROR(V544*$G544*$I544, "")</f>
        <v>0</v>
      </c>
      <c r="AJ544" s="284" t="n">
        <f aca="false">IFERROR(W544*$G544*$I544, "")</f>
        <v>0</v>
      </c>
      <c r="AK544" s="286" t="n">
        <f aca="false">IFERROR(SUMIF($Y$4:$AJ$4, "RDEC", Y544:AJ544), "")</f>
        <v>0</v>
      </c>
      <c r="AL544" s="286" t="n">
        <f aca="false">IFERROR(SUMIF($Y$4:$AJ$4, "SME", Y544:AJ544), "")</f>
        <v>0</v>
      </c>
      <c r="AM544" s="286" t="n">
        <f aca="false">IFERROR(SUMIF($Y$4:$AJ$4, "De Minimis", Y544:AJ544), "")</f>
        <v>0</v>
      </c>
      <c r="AN544" s="283"/>
      <c r="AO544" s="284" t="n">
        <f aca="false">IFERROR($G544*$J544*L544, "")</f>
        <v>0</v>
      </c>
      <c r="AP544" s="284" t="n">
        <f aca="false">IFERROR($G544*$J544*M544, "")</f>
        <v>0</v>
      </c>
      <c r="AQ544" s="284" t="n">
        <f aca="false">IFERROR($G544*$J544*N544, "")</f>
        <v>0</v>
      </c>
      <c r="AR544" s="284" t="n">
        <f aca="false">IFERROR($G544*$J544*O544, "")</f>
        <v>0</v>
      </c>
      <c r="AS544" s="284" t="n">
        <f aca="false">IFERROR($G544*$J544*P544, "")</f>
        <v>0</v>
      </c>
      <c r="AT544" s="284" t="n">
        <f aca="false">IFERROR($G544*$J544*Q544, "")</f>
        <v>0</v>
      </c>
      <c r="AU544" s="284" t="n">
        <f aca="false">IFERROR($G544*$J544*R544, "")</f>
        <v>0</v>
      </c>
      <c r="AV544" s="284" t="n">
        <f aca="false">IFERROR($G544*$J544*S544, "")</f>
        <v>0</v>
      </c>
      <c r="AW544" s="284" t="n">
        <f aca="false">IFERROR($G544*$J544*T544, "")</f>
        <v>0</v>
      </c>
      <c r="AX544" s="284" t="n">
        <f aca="false">IFERROR($G544*$J544*U544, "")</f>
        <v>0</v>
      </c>
      <c r="AY544" s="284" t="n">
        <f aca="false">IFERROR($G544*$J544*V544, "")</f>
        <v>0</v>
      </c>
      <c r="AZ544" s="284" t="n">
        <f aca="false">IFERROR($G544*$J544*W544, "")</f>
        <v>0</v>
      </c>
      <c r="BA544" s="286" t="n">
        <f aca="false">IFERROR(SUMIF($AO$4:$AZ$4, "RDEC", AO544:AZ544), "")</f>
        <v>0</v>
      </c>
      <c r="BB544" s="286" t="n">
        <f aca="false">IFERROR(SUMIF($AO$4:$AZ$4, "SME", AO544:AZ544), "")</f>
        <v>0</v>
      </c>
      <c r="BC544" s="286" t="n">
        <f aca="false">IFERROR(SUMIF($Y$4:$AJ$4, "De Minimis", AO544:AZ544), "")</f>
        <v>0</v>
      </c>
      <c r="BD544" s="287"/>
      <c r="BE544" s="288" t="str">
        <f aca="false">IF((SUM(L544:W544)&gt;1),"ERROR","")</f>
        <v/>
      </c>
    </row>
    <row r="545" customFormat="false" ht="15" hidden="false" customHeight="true" outlineLevel="0" collapsed="false">
      <c r="B545" s="333"/>
      <c r="C545" s="334"/>
      <c r="D545" s="333" t="n">
        <f aca="false">D529</f>
        <v>45536</v>
      </c>
      <c r="E545" s="277" t="n">
        <v>0</v>
      </c>
      <c r="F545" s="277" t="n">
        <v>0</v>
      </c>
      <c r="G545" s="277" t="n">
        <f aca="false">SUM(E545:F545)</f>
        <v>0</v>
      </c>
      <c r="H545" s="204"/>
      <c r="I545" s="279" t="n">
        <v>1</v>
      </c>
      <c r="J545" s="280" t="n">
        <f aca="false">1-I545</f>
        <v>0</v>
      </c>
      <c r="K545" s="277"/>
      <c r="L545" s="282"/>
      <c r="M545" s="282"/>
      <c r="N545" s="282"/>
      <c r="O545" s="282"/>
      <c r="P545" s="282"/>
      <c r="Q545" s="282"/>
      <c r="R545" s="282"/>
      <c r="S545" s="282"/>
      <c r="T545" s="282"/>
      <c r="U545" s="282"/>
      <c r="V545" s="282"/>
      <c r="W545" s="282"/>
      <c r="X545" s="283"/>
      <c r="Y545" s="284" t="n">
        <f aca="false">IFERROR(L545*$G545*I$9, "")</f>
        <v>0</v>
      </c>
      <c r="Z545" s="284" t="n">
        <f aca="false">IFERROR(M545*$G545*$I545, "")</f>
        <v>0</v>
      </c>
      <c r="AA545" s="284" t="n">
        <f aca="false">IFERROR(N545*$G545*$I545, "")</f>
        <v>0</v>
      </c>
      <c r="AB545" s="284" t="n">
        <f aca="false">IFERROR(O545*$G545*$I545, "")</f>
        <v>0</v>
      </c>
      <c r="AC545" s="284" t="n">
        <f aca="false">IFERROR(P545*$G545*$I545, "")</f>
        <v>0</v>
      </c>
      <c r="AD545" s="284" t="n">
        <f aca="false">IFERROR(Q545*$G545*$I545, "")</f>
        <v>0</v>
      </c>
      <c r="AE545" s="284" t="n">
        <f aca="false">IFERROR(R545*$G545*$I545, "")</f>
        <v>0</v>
      </c>
      <c r="AF545" s="284" t="n">
        <f aca="false">IFERROR(S545*$G545*$I545, "")</f>
        <v>0</v>
      </c>
      <c r="AG545" s="284" t="n">
        <f aca="false">IFERROR(T545*$G545*$I545, "")</f>
        <v>0</v>
      </c>
      <c r="AH545" s="284" t="n">
        <f aca="false">IFERROR(U545*$G545*$I545, "")</f>
        <v>0</v>
      </c>
      <c r="AI545" s="284" t="n">
        <f aca="false">IFERROR(V545*$G545*$I545, "")</f>
        <v>0</v>
      </c>
      <c r="AJ545" s="284" t="n">
        <f aca="false">IFERROR(W545*$G545*$I545, "")</f>
        <v>0</v>
      </c>
      <c r="AK545" s="286" t="n">
        <f aca="false">IFERROR(SUMIF($Y$4:$AJ$4, "RDEC", Y545:AJ545), "")</f>
        <v>0</v>
      </c>
      <c r="AL545" s="286" t="n">
        <f aca="false">IFERROR(SUMIF($Y$4:$AJ$4, "SME", Y545:AJ545), "")</f>
        <v>0</v>
      </c>
      <c r="AM545" s="286" t="n">
        <f aca="false">IFERROR(SUMIF($Y$4:$AJ$4, "De Minimis", Y545:AJ545), "")</f>
        <v>0</v>
      </c>
      <c r="AN545" s="283"/>
      <c r="AO545" s="284" t="n">
        <f aca="false">IFERROR($G545*$J545*L545, "")</f>
        <v>0</v>
      </c>
      <c r="AP545" s="284" t="n">
        <f aca="false">IFERROR($G545*$J545*M545, "")</f>
        <v>0</v>
      </c>
      <c r="AQ545" s="284" t="n">
        <f aca="false">IFERROR($G545*$J545*N545, "")</f>
        <v>0</v>
      </c>
      <c r="AR545" s="284" t="n">
        <f aca="false">IFERROR($G545*$J545*O545, "")</f>
        <v>0</v>
      </c>
      <c r="AS545" s="284" t="n">
        <f aca="false">IFERROR($G545*$J545*P545, "")</f>
        <v>0</v>
      </c>
      <c r="AT545" s="284" t="n">
        <f aca="false">IFERROR($G545*$J545*Q545, "")</f>
        <v>0</v>
      </c>
      <c r="AU545" s="284" t="n">
        <f aca="false">IFERROR($G545*$J545*R545, "")</f>
        <v>0</v>
      </c>
      <c r="AV545" s="284" t="n">
        <f aca="false">IFERROR($G545*$J545*S545, "")</f>
        <v>0</v>
      </c>
      <c r="AW545" s="284" t="n">
        <f aca="false">IFERROR($G545*$J545*T545, "")</f>
        <v>0</v>
      </c>
      <c r="AX545" s="284" t="n">
        <f aca="false">IFERROR($G545*$J545*U545, "")</f>
        <v>0</v>
      </c>
      <c r="AY545" s="284" t="n">
        <f aca="false">IFERROR($G545*$J545*V545, "")</f>
        <v>0</v>
      </c>
      <c r="AZ545" s="284" t="n">
        <f aca="false">IFERROR($G545*$J545*W545, "")</f>
        <v>0</v>
      </c>
      <c r="BA545" s="286" t="n">
        <f aca="false">IFERROR(SUMIF($AO$4:$AZ$4, "RDEC", AO545:AZ545), "")</f>
        <v>0</v>
      </c>
      <c r="BB545" s="286" t="n">
        <f aca="false">IFERROR(SUMIF($AO$4:$AZ$4, "SME", AO545:AZ545), "")</f>
        <v>0</v>
      </c>
      <c r="BC545" s="286" t="n">
        <f aca="false">IFERROR(SUMIF($Y$4:$AJ$4, "De Minimis", AO545:AZ545), "")</f>
        <v>0</v>
      </c>
      <c r="BD545" s="287"/>
      <c r="BE545" s="288" t="str">
        <f aca="false">IF((SUM(L545:W545)&gt;1),"ERROR","")</f>
        <v/>
      </c>
    </row>
    <row r="546" customFormat="false" ht="15" hidden="false" customHeight="true" outlineLevel="0" collapsed="false">
      <c r="B546" s="333"/>
      <c r="C546" s="334"/>
      <c r="D546" s="333" t="n">
        <f aca="false">D530</f>
        <v>45566</v>
      </c>
      <c r="E546" s="277" t="n">
        <v>0</v>
      </c>
      <c r="F546" s="277" t="n">
        <v>0</v>
      </c>
      <c r="G546" s="277" t="n">
        <f aca="false">SUM(E546:F546)</f>
        <v>0</v>
      </c>
      <c r="H546" s="204"/>
      <c r="I546" s="279" t="n">
        <v>1</v>
      </c>
      <c r="J546" s="280" t="n">
        <f aca="false">1-I546</f>
        <v>0</v>
      </c>
      <c r="K546" s="277"/>
      <c r="L546" s="282"/>
      <c r="M546" s="282"/>
      <c r="N546" s="282"/>
      <c r="O546" s="282"/>
      <c r="P546" s="282"/>
      <c r="Q546" s="282"/>
      <c r="R546" s="282"/>
      <c r="S546" s="282"/>
      <c r="T546" s="282"/>
      <c r="U546" s="282"/>
      <c r="V546" s="282"/>
      <c r="W546" s="282"/>
      <c r="X546" s="283"/>
      <c r="Y546" s="284" t="n">
        <f aca="false">IFERROR(L546*$G546*I$9, "")</f>
        <v>0</v>
      </c>
      <c r="Z546" s="284" t="n">
        <f aca="false">IFERROR(M546*$G546*$I546, "")</f>
        <v>0</v>
      </c>
      <c r="AA546" s="284" t="n">
        <f aca="false">IFERROR(N546*$G546*$I546, "")</f>
        <v>0</v>
      </c>
      <c r="AB546" s="284" t="n">
        <f aca="false">IFERROR(O546*$G546*$I546, "")</f>
        <v>0</v>
      </c>
      <c r="AC546" s="284" t="n">
        <f aca="false">IFERROR(P546*$G546*$I546, "")</f>
        <v>0</v>
      </c>
      <c r="AD546" s="284" t="n">
        <f aca="false">IFERROR(Q546*$G546*$I546, "")</f>
        <v>0</v>
      </c>
      <c r="AE546" s="284" t="n">
        <f aca="false">IFERROR(R546*$G546*$I546, "")</f>
        <v>0</v>
      </c>
      <c r="AF546" s="284" t="n">
        <f aca="false">IFERROR(S546*$G546*$I546, "")</f>
        <v>0</v>
      </c>
      <c r="AG546" s="284" t="n">
        <f aca="false">IFERROR(T546*$G546*$I546, "")</f>
        <v>0</v>
      </c>
      <c r="AH546" s="284" t="n">
        <f aca="false">IFERROR(U546*$G546*$I546, "")</f>
        <v>0</v>
      </c>
      <c r="AI546" s="284" t="n">
        <f aca="false">IFERROR(V546*$G546*$I546, "")</f>
        <v>0</v>
      </c>
      <c r="AJ546" s="284" t="n">
        <f aca="false">IFERROR(W546*$G546*$I546, "")</f>
        <v>0</v>
      </c>
      <c r="AK546" s="286" t="n">
        <f aca="false">IFERROR(SUMIF($Y$4:$AJ$4, "RDEC", Y546:AJ546), "")</f>
        <v>0</v>
      </c>
      <c r="AL546" s="286" t="n">
        <f aca="false">IFERROR(SUMIF($Y$4:$AJ$4, "SME", Y546:AJ546), "")</f>
        <v>0</v>
      </c>
      <c r="AM546" s="286" t="n">
        <f aca="false">IFERROR(SUMIF($Y$4:$AJ$4, "De Minimis", Y546:AJ546), "")</f>
        <v>0</v>
      </c>
      <c r="AN546" s="283"/>
      <c r="AO546" s="284" t="n">
        <f aca="false">IFERROR($G546*$J546*L546, "")</f>
        <v>0</v>
      </c>
      <c r="AP546" s="284" t="n">
        <f aca="false">IFERROR($G546*$J546*M546, "")</f>
        <v>0</v>
      </c>
      <c r="AQ546" s="284" t="n">
        <f aca="false">IFERROR($G546*$J546*N546, "")</f>
        <v>0</v>
      </c>
      <c r="AR546" s="284" t="n">
        <f aca="false">IFERROR($G546*$J546*O546, "")</f>
        <v>0</v>
      </c>
      <c r="AS546" s="284" t="n">
        <f aca="false">IFERROR($G546*$J546*P546, "")</f>
        <v>0</v>
      </c>
      <c r="AT546" s="284" t="n">
        <f aca="false">IFERROR($G546*$J546*Q546, "")</f>
        <v>0</v>
      </c>
      <c r="AU546" s="284" t="n">
        <f aca="false">IFERROR($G546*$J546*R546, "")</f>
        <v>0</v>
      </c>
      <c r="AV546" s="284" t="n">
        <f aca="false">IFERROR($G546*$J546*S546, "")</f>
        <v>0</v>
      </c>
      <c r="AW546" s="284" t="n">
        <f aca="false">IFERROR($G546*$J546*T546, "")</f>
        <v>0</v>
      </c>
      <c r="AX546" s="284" t="n">
        <f aca="false">IFERROR($G546*$J546*U546, "")</f>
        <v>0</v>
      </c>
      <c r="AY546" s="284" t="n">
        <f aca="false">IFERROR($G546*$J546*V546, "")</f>
        <v>0</v>
      </c>
      <c r="AZ546" s="284" t="n">
        <f aca="false">IFERROR($G546*$J546*W546, "")</f>
        <v>0</v>
      </c>
      <c r="BA546" s="286" t="n">
        <f aca="false">IFERROR(SUMIF($AO$4:$AZ$4, "RDEC", AO546:AZ546), "")</f>
        <v>0</v>
      </c>
      <c r="BB546" s="286" t="n">
        <f aca="false">IFERROR(SUMIF($AO$4:$AZ$4, "SME", AO546:AZ546), "")</f>
        <v>0</v>
      </c>
      <c r="BC546" s="286" t="n">
        <f aca="false">IFERROR(SUMIF($Y$4:$AJ$4, "De Minimis", AO546:AZ546), "")</f>
        <v>0</v>
      </c>
      <c r="BD546" s="287"/>
      <c r="BE546" s="288" t="str">
        <f aca="false">IF((SUM(L546:W546)&gt;1),"ERROR","")</f>
        <v/>
      </c>
    </row>
    <row r="547" customFormat="false" ht="15" hidden="false" customHeight="true" outlineLevel="0" collapsed="false">
      <c r="B547" s="333"/>
      <c r="C547" s="334"/>
      <c r="D547" s="333" t="n">
        <f aca="false">D531</f>
        <v>45597</v>
      </c>
      <c r="E547" s="277" t="n">
        <v>0</v>
      </c>
      <c r="F547" s="277" t="n">
        <v>0</v>
      </c>
      <c r="G547" s="277" t="n">
        <f aca="false">SUM(E547:F547)</f>
        <v>0</v>
      </c>
      <c r="H547" s="204"/>
      <c r="I547" s="279" t="n">
        <v>1</v>
      </c>
      <c r="J547" s="280" t="n">
        <f aca="false">1-I547</f>
        <v>0</v>
      </c>
      <c r="K547" s="277"/>
      <c r="L547" s="282"/>
      <c r="M547" s="282"/>
      <c r="N547" s="282"/>
      <c r="O547" s="282"/>
      <c r="P547" s="282"/>
      <c r="Q547" s="282"/>
      <c r="R547" s="282"/>
      <c r="S547" s="282"/>
      <c r="T547" s="282"/>
      <c r="U547" s="282"/>
      <c r="V547" s="282"/>
      <c r="W547" s="282"/>
      <c r="X547" s="283"/>
      <c r="Y547" s="284" t="n">
        <f aca="false">IFERROR(L547*$G547*I$9, "")</f>
        <v>0</v>
      </c>
      <c r="Z547" s="284" t="n">
        <f aca="false">IFERROR(M547*$G547*$I547, "")</f>
        <v>0</v>
      </c>
      <c r="AA547" s="284" t="n">
        <f aca="false">IFERROR(N547*$G547*$I547, "")</f>
        <v>0</v>
      </c>
      <c r="AB547" s="284" t="n">
        <f aca="false">IFERROR(O547*$G547*$I547, "")</f>
        <v>0</v>
      </c>
      <c r="AC547" s="284" t="n">
        <f aca="false">IFERROR(P547*$G547*$I547, "")</f>
        <v>0</v>
      </c>
      <c r="AD547" s="284" t="n">
        <f aca="false">IFERROR(Q547*$G547*$I547, "")</f>
        <v>0</v>
      </c>
      <c r="AE547" s="284" t="n">
        <f aca="false">IFERROR(R547*$G547*$I547, "")</f>
        <v>0</v>
      </c>
      <c r="AF547" s="284" t="n">
        <f aca="false">IFERROR(S547*$G547*$I547, "")</f>
        <v>0</v>
      </c>
      <c r="AG547" s="284" t="n">
        <f aca="false">IFERROR(T547*$G547*$I547, "")</f>
        <v>0</v>
      </c>
      <c r="AH547" s="284" t="n">
        <f aca="false">IFERROR(U547*$G547*$I547, "")</f>
        <v>0</v>
      </c>
      <c r="AI547" s="284" t="n">
        <f aca="false">IFERROR(V547*$G547*$I547, "")</f>
        <v>0</v>
      </c>
      <c r="AJ547" s="284" t="n">
        <f aca="false">IFERROR(W547*$G547*$I547, "")</f>
        <v>0</v>
      </c>
      <c r="AK547" s="286" t="n">
        <f aca="false">IFERROR(SUMIF($Y$4:$AJ$4, "RDEC", Y547:AJ547), "")</f>
        <v>0</v>
      </c>
      <c r="AL547" s="286" t="n">
        <f aca="false">IFERROR(SUMIF($Y$4:$AJ$4, "SME", Y547:AJ547), "")</f>
        <v>0</v>
      </c>
      <c r="AM547" s="286" t="n">
        <f aca="false">IFERROR(SUMIF($Y$4:$AJ$4, "De Minimis", Y547:AJ547), "")</f>
        <v>0</v>
      </c>
      <c r="AN547" s="283"/>
      <c r="AO547" s="284" t="n">
        <f aca="false">IFERROR($G547*$J547*L547, "")</f>
        <v>0</v>
      </c>
      <c r="AP547" s="284" t="n">
        <f aca="false">IFERROR($G547*$J547*M547, "")</f>
        <v>0</v>
      </c>
      <c r="AQ547" s="284" t="n">
        <f aca="false">IFERROR($G547*$J547*N547, "")</f>
        <v>0</v>
      </c>
      <c r="AR547" s="284" t="n">
        <f aca="false">IFERROR($G547*$J547*O547, "")</f>
        <v>0</v>
      </c>
      <c r="AS547" s="284" t="n">
        <f aca="false">IFERROR($G547*$J547*P547, "")</f>
        <v>0</v>
      </c>
      <c r="AT547" s="284" t="n">
        <f aca="false">IFERROR($G547*$J547*Q547, "")</f>
        <v>0</v>
      </c>
      <c r="AU547" s="284" t="n">
        <f aca="false">IFERROR($G547*$J547*R547, "")</f>
        <v>0</v>
      </c>
      <c r="AV547" s="284" t="n">
        <f aca="false">IFERROR($G547*$J547*S547, "")</f>
        <v>0</v>
      </c>
      <c r="AW547" s="284" t="n">
        <f aca="false">IFERROR($G547*$J547*T547, "")</f>
        <v>0</v>
      </c>
      <c r="AX547" s="284" t="n">
        <f aca="false">IFERROR($G547*$J547*U547, "")</f>
        <v>0</v>
      </c>
      <c r="AY547" s="284" t="n">
        <f aca="false">IFERROR($G547*$J547*V547, "")</f>
        <v>0</v>
      </c>
      <c r="AZ547" s="284" t="n">
        <f aca="false">IFERROR($G547*$J547*W547, "")</f>
        <v>0</v>
      </c>
      <c r="BA547" s="286" t="n">
        <f aca="false">IFERROR(SUMIF($AO$4:$AZ$4, "RDEC", AO547:AZ547), "")</f>
        <v>0</v>
      </c>
      <c r="BB547" s="286" t="n">
        <f aca="false">IFERROR(SUMIF($AO$4:$AZ$4, "SME", AO547:AZ547), "")</f>
        <v>0</v>
      </c>
      <c r="BC547" s="286" t="n">
        <f aca="false">IFERROR(SUMIF($Y$4:$AJ$4, "De Minimis", AO547:AZ547), "")</f>
        <v>0</v>
      </c>
      <c r="BD547" s="287"/>
      <c r="BE547" s="288" t="str">
        <f aca="false">IF((SUM(L547:W547)&gt;1),"ERROR","")</f>
        <v/>
      </c>
    </row>
    <row r="548" customFormat="false" ht="15" hidden="false" customHeight="true" outlineLevel="0" collapsed="false">
      <c r="B548" s="333"/>
      <c r="C548" s="334"/>
      <c r="D548" s="333" t="n">
        <f aca="false">D532</f>
        <v>45627</v>
      </c>
      <c r="E548" s="277" t="n">
        <v>0</v>
      </c>
      <c r="F548" s="277" t="n">
        <v>0</v>
      </c>
      <c r="G548" s="277" t="n">
        <f aca="false">SUM(E548:F548)</f>
        <v>0</v>
      </c>
      <c r="H548" s="300"/>
      <c r="I548" s="289" t="n">
        <v>1</v>
      </c>
      <c r="J548" s="290" t="n">
        <f aca="false">1-I548</f>
        <v>0</v>
      </c>
      <c r="K548" s="300"/>
      <c r="L548" s="291"/>
      <c r="M548" s="291"/>
      <c r="N548" s="291"/>
      <c r="O548" s="291"/>
      <c r="P548" s="291"/>
      <c r="Q548" s="291"/>
      <c r="R548" s="291"/>
      <c r="S548" s="291"/>
      <c r="T548" s="291"/>
      <c r="U548" s="291"/>
      <c r="V548" s="291"/>
      <c r="W548" s="291"/>
      <c r="X548" s="283"/>
      <c r="Y548" s="284" t="n">
        <f aca="false">IFERROR(L548*$G548*I$9, "")</f>
        <v>0</v>
      </c>
      <c r="Z548" s="284" t="n">
        <f aca="false">IFERROR(M548*$G548*$I548, "")</f>
        <v>0</v>
      </c>
      <c r="AA548" s="284" t="n">
        <f aca="false">IFERROR(N548*$G548*$I548, "")</f>
        <v>0</v>
      </c>
      <c r="AB548" s="284" t="n">
        <f aca="false">IFERROR(O548*$G548*$I548, "")</f>
        <v>0</v>
      </c>
      <c r="AC548" s="284" t="n">
        <f aca="false">IFERROR(P548*$G548*$I548, "")</f>
        <v>0</v>
      </c>
      <c r="AD548" s="284" t="n">
        <f aca="false">IFERROR(Q548*$G548*$I548, "")</f>
        <v>0</v>
      </c>
      <c r="AE548" s="284" t="n">
        <f aca="false">IFERROR(R548*$G548*$I548, "")</f>
        <v>0</v>
      </c>
      <c r="AF548" s="284" t="n">
        <f aca="false">IFERROR(S548*$G548*$I548, "")</f>
        <v>0</v>
      </c>
      <c r="AG548" s="284" t="n">
        <f aca="false">IFERROR(T548*$G548*$I548, "")</f>
        <v>0</v>
      </c>
      <c r="AH548" s="284" t="n">
        <f aca="false">IFERROR(U548*$G548*$I548, "")</f>
        <v>0</v>
      </c>
      <c r="AI548" s="284" t="n">
        <f aca="false">IFERROR(V548*$G548*$I548, "")</f>
        <v>0</v>
      </c>
      <c r="AJ548" s="284" t="n">
        <f aca="false">IFERROR(W548*$G548*$I548, "")</f>
        <v>0</v>
      </c>
      <c r="AK548" s="294" t="n">
        <f aca="false">IFERROR(SUMIF($Y$4:$AJ$4, "RDEC", Y548:AJ548), "")</f>
        <v>0</v>
      </c>
      <c r="AL548" s="294" t="n">
        <f aca="false">IFERROR(SUMIF($Y$4:$AJ$4, "SME", Y548:AJ548), "")</f>
        <v>0</v>
      </c>
      <c r="AM548" s="294" t="n">
        <f aca="false">IFERROR(SUMIF($Y$4:$AJ$4, "De Minimis", Y548:AJ548), "")</f>
        <v>0</v>
      </c>
      <c r="AN548" s="283"/>
      <c r="AO548" s="284" t="n">
        <f aca="false">IFERROR($G548*$J548*L548, "")</f>
        <v>0</v>
      </c>
      <c r="AP548" s="284" t="n">
        <f aca="false">IFERROR($G548*$J548*M548, "")</f>
        <v>0</v>
      </c>
      <c r="AQ548" s="284" t="n">
        <f aca="false">IFERROR($G548*$J548*N548, "")</f>
        <v>0</v>
      </c>
      <c r="AR548" s="284" t="n">
        <f aca="false">IFERROR($G548*$J548*O548, "")</f>
        <v>0</v>
      </c>
      <c r="AS548" s="284" t="n">
        <f aca="false">IFERROR($G548*$J548*P548, "")</f>
        <v>0</v>
      </c>
      <c r="AT548" s="284" t="n">
        <f aca="false">IFERROR($G548*$J548*Q548, "")</f>
        <v>0</v>
      </c>
      <c r="AU548" s="284" t="n">
        <f aca="false">IFERROR($G548*$J548*R548, "")</f>
        <v>0</v>
      </c>
      <c r="AV548" s="284" t="n">
        <f aca="false">IFERROR($G548*$J548*S548, "")</f>
        <v>0</v>
      </c>
      <c r="AW548" s="284" t="n">
        <f aca="false">IFERROR($G548*$J548*T548, "")</f>
        <v>0</v>
      </c>
      <c r="AX548" s="284" t="n">
        <f aca="false">IFERROR($G548*$J548*U548, "")</f>
        <v>0</v>
      </c>
      <c r="AY548" s="284" t="n">
        <f aca="false">IFERROR($G548*$J548*V548, "")</f>
        <v>0</v>
      </c>
      <c r="AZ548" s="284" t="n">
        <f aca="false">IFERROR($G548*$J548*W548, "")</f>
        <v>0</v>
      </c>
      <c r="BA548" s="286" t="n">
        <f aca="false">IFERROR(SUMIF($AO$4:$AZ$4, "RDEC", AO548:AZ548), "")</f>
        <v>0</v>
      </c>
      <c r="BB548" s="286" t="n">
        <f aca="false">IFERROR(SUMIF($AO$4:$AZ$4, "SME", AO548:AZ548), "")</f>
        <v>0</v>
      </c>
      <c r="BC548" s="294" t="n">
        <f aca="false">IFERROR(SUMIF($Y$4:$AJ$4, "De Minimis", AO548:AZ548), "")</f>
        <v>0</v>
      </c>
      <c r="BD548" s="303"/>
      <c r="BE548" s="295" t="str">
        <f aca="false">IF((SUM(L548:W548)&gt;1),"ERROR","")</f>
        <v/>
      </c>
    </row>
    <row r="549" customFormat="false" ht="15" hidden="false" customHeight="true" outlineLevel="0" collapsed="false">
      <c r="B549" s="296"/>
      <c r="D549" s="297" t="s">
        <v>82</v>
      </c>
      <c r="E549" s="299" t="n">
        <f aca="false">SUM(E537:E548)</f>
        <v>0</v>
      </c>
      <c r="F549" s="299" t="n">
        <f aca="false">SUM(F537:F548)</f>
        <v>0</v>
      </c>
      <c r="G549" s="299" t="n">
        <f aca="false">SUM(G537:G548)</f>
        <v>0</v>
      </c>
      <c r="H549" s="300"/>
      <c r="I549" s="301" t="n">
        <f aca="false">AVERAGE(I537:I548)</f>
        <v>1</v>
      </c>
      <c r="J549" s="301" t="n">
        <f aca="false">AVERAGE(J537:J548)</f>
        <v>0</v>
      </c>
      <c r="K549" s="300"/>
      <c r="L549" s="290" t="n">
        <f aca="false">IF(SUM(L537:L548)&gt;0,(Y549/G549),0)</f>
        <v>0</v>
      </c>
      <c r="M549" s="301" t="n">
        <f aca="false">IF(SUM(M537:M548)&gt;0,(Z549/G549),0)</f>
        <v>0</v>
      </c>
      <c r="N549" s="301" t="n">
        <f aca="false">IF(SUM(N537:N548)&gt;0,(AA549/G549),0)</f>
        <v>0</v>
      </c>
      <c r="O549" s="301" t="n">
        <f aca="false">IF(SUM(O537:O548)&gt;0,(AB549/G549),0)</f>
        <v>0</v>
      </c>
      <c r="P549" s="301" t="n">
        <f aca="false">IF(SUM(P537:P548)&gt;0,(AC549/G549),0)</f>
        <v>0</v>
      </c>
      <c r="Q549" s="301" t="n">
        <f aca="false">IF(SUM(Q537:Q548)&gt;0,(AD549/G549),0)</f>
        <v>0</v>
      </c>
      <c r="R549" s="301" t="n">
        <f aca="false">IF(SUM(R537:R548)&gt;0,(AE549/G549),0)</f>
        <v>0</v>
      </c>
      <c r="S549" s="301" t="n">
        <f aca="false">IF(SUM(S537:S548)&gt;0,(AF549/G549),0)</f>
        <v>0</v>
      </c>
      <c r="T549" s="301" t="n">
        <f aca="false">IF(SUM(T537:T548)&gt;0,(AG549/G549),0)</f>
        <v>0</v>
      </c>
      <c r="U549" s="301" t="n">
        <f aca="false">IF(SUM(U537:U548)&gt;0,(AJ549/G549),0)</f>
        <v>0</v>
      </c>
      <c r="V549" s="301" t="n">
        <f aca="false">IF(SUM(V537:V548)&gt;0,(AI549/G549),0)</f>
        <v>0</v>
      </c>
      <c r="W549" s="301" t="n">
        <f aca="false">IF(SUM(W537:W548)&gt;0,(AJ549/G549),0)</f>
        <v>0</v>
      </c>
      <c r="X549" s="283"/>
      <c r="Y549" s="304" t="n">
        <f aca="false">SUM(Y537:Y548)</f>
        <v>0</v>
      </c>
      <c r="Z549" s="304" t="n">
        <f aca="false">SUM(Z537:Z548)</f>
        <v>0</v>
      </c>
      <c r="AA549" s="304" t="n">
        <f aca="false">SUM(AA537:AA548)</f>
        <v>0</v>
      </c>
      <c r="AB549" s="304" t="n">
        <f aca="false">SUM(AB537:AB548)</f>
        <v>0</v>
      </c>
      <c r="AC549" s="304" t="n">
        <f aca="false">SUM(AC537:AC548)</f>
        <v>0</v>
      </c>
      <c r="AD549" s="304" t="n">
        <f aca="false">SUM(AD537:AD548)</f>
        <v>0</v>
      </c>
      <c r="AE549" s="304" t="n">
        <f aca="false">SUM(AE537:AE548)</f>
        <v>0</v>
      </c>
      <c r="AF549" s="304" t="n">
        <f aca="false">SUM(AF537:AF548)</f>
        <v>0</v>
      </c>
      <c r="AG549" s="304" t="n">
        <f aca="false">SUM(AG537:AG548)</f>
        <v>0</v>
      </c>
      <c r="AH549" s="304" t="n">
        <f aca="false">SUM(AH537:AH548)</f>
        <v>0</v>
      </c>
      <c r="AI549" s="304" t="n">
        <f aca="false">SUM(AI537:AI548)</f>
        <v>0</v>
      </c>
      <c r="AJ549" s="304" t="n">
        <f aca="false">SUM(AJ537:AJ548)</f>
        <v>0</v>
      </c>
      <c r="AK549" s="335" t="n">
        <f aca="false">SUM(AK537:AK548)</f>
        <v>0</v>
      </c>
      <c r="AL549" s="336" t="n">
        <f aca="false">SUM(AL537:AL548)</f>
        <v>0</v>
      </c>
      <c r="AM549" s="305" t="n">
        <f aca="false">SUM(AM537:AM548)</f>
        <v>0</v>
      </c>
      <c r="AN549" s="283"/>
      <c r="AO549" s="304" t="n">
        <f aca="false">SUM(AO537:AO548)</f>
        <v>0</v>
      </c>
      <c r="AP549" s="304" t="n">
        <f aca="false">SUM(AP537:AP548)</f>
        <v>0</v>
      </c>
      <c r="AQ549" s="304" t="n">
        <f aca="false">SUM(AQ537:AQ548)</f>
        <v>0</v>
      </c>
      <c r="AR549" s="304" t="n">
        <f aca="false">SUM(AR537:AR548)</f>
        <v>0</v>
      </c>
      <c r="AS549" s="304" t="n">
        <f aca="false">SUM(AS537:AS548)</f>
        <v>0</v>
      </c>
      <c r="AT549" s="304" t="n">
        <f aca="false">SUM(AT537:AT548)</f>
        <v>0</v>
      </c>
      <c r="AU549" s="304" t="n">
        <f aca="false">SUM(AU537:AU548)</f>
        <v>0</v>
      </c>
      <c r="AV549" s="304" t="n">
        <f aca="false">SUM(AV537:AV548)</f>
        <v>0</v>
      </c>
      <c r="AW549" s="304" t="n">
        <f aca="false">SUM(AW537:AW548)</f>
        <v>0</v>
      </c>
      <c r="AX549" s="304" t="n">
        <f aca="false">SUM(AX537:AX548)</f>
        <v>0</v>
      </c>
      <c r="AY549" s="304" t="n">
        <f aca="false">SUM(AY537:AY548)</f>
        <v>0</v>
      </c>
      <c r="AZ549" s="304" t="n">
        <f aca="false">SUM(AZ537:AZ548)</f>
        <v>0</v>
      </c>
      <c r="BA549" s="336" t="n">
        <f aca="false">SUM(BA537:BA548)</f>
        <v>0</v>
      </c>
      <c r="BB549" s="336" t="n">
        <f aca="false">SUM(BB537:BB548)</f>
        <v>0</v>
      </c>
      <c r="BC549" s="305" t="n">
        <f aca="false">SUM(BC537:BC548)</f>
        <v>0</v>
      </c>
      <c r="BD549" s="303"/>
      <c r="BE549" s="337"/>
    </row>
    <row r="550" customFormat="false" ht="15" hidden="false" customHeight="true" outlineLevel="0" collapsed="false">
      <c r="B550" s="296"/>
      <c r="D550" s="297"/>
      <c r="E550" s="300"/>
      <c r="F550" s="300"/>
      <c r="G550" s="300"/>
      <c r="H550" s="241"/>
      <c r="I550" s="302"/>
      <c r="J550" s="302"/>
      <c r="K550" s="241"/>
      <c r="L550" s="259"/>
      <c r="M550" s="259"/>
      <c r="N550" s="259"/>
      <c r="O550" s="259"/>
      <c r="P550" s="259"/>
      <c r="Q550" s="259"/>
      <c r="R550" s="259"/>
      <c r="S550" s="259"/>
      <c r="T550" s="259"/>
      <c r="U550" s="259"/>
      <c r="V550" s="259"/>
      <c r="W550" s="259"/>
      <c r="X550" s="303"/>
      <c r="Y550" s="259"/>
      <c r="Z550" s="303"/>
      <c r="AA550" s="303"/>
      <c r="AB550" s="303"/>
      <c r="AC550" s="303"/>
      <c r="AD550" s="303"/>
      <c r="AE550" s="303"/>
      <c r="AF550" s="303"/>
      <c r="AG550" s="303"/>
      <c r="AH550" s="303"/>
      <c r="AI550" s="303"/>
      <c r="AJ550" s="303"/>
      <c r="AK550" s="303"/>
      <c r="AL550" s="303"/>
      <c r="AM550" s="303"/>
      <c r="AN550" s="303"/>
      <c r="AO550" s="259"/>
      <c r="AP550" s="303"/>
      <c r="AQ550" s="303"/>
      <c r="AR550" s="303"/>
      <c r="AS550" s="303"/>
      <c r="AT550" s="303"/>
      <c r="AU550" s="303"/>
      <c r="AV550" s="303"/>
      <c r="AW550" s="303"/>
      <c r="AX550" s="303"/>
      <c r="AY550" s="303"/>
      <c r="AZ550" s="303"/>
      <c r="BA550" s="303"/>
      <c r="BB550" s="303"/>
      <c r="BC550" s="303"/>
      <c r="BD550" s="268"/>
      <c r="BE550" s="303"/>
    </row>
    <row r="551" customFormat="false" ht="15" hidden="false" customHeight="true" outlineLevel="0" collapsed="false">
      <c r="A551" s="198" t="n">
        <f aca="false">A535+1</f>
        <v>35</v>
      </c>
      <c r="B551" s="266" t="s">
        <v>253</v>
      </c>
      <c r="C551" s="266" t="s">
        <v>253</v>
      </c>
      <c r="D551" s="266"/>
      <c r="E551" s="241"/>
      <c r="F551" s="241"/>
      <c r="G551" s="241"/>
      <c r="H551" s="241"/>
      <c r="I551" s="241"/>
      <c r="J551" s="241"/>
      <c r="K551" s="277"/>
      <c r="L551" s="241"/>
      <c r="M551" s="241"/>
      <c r="N551" s="241"/>
      <c r="O551" s="241"/>
      <c r="P551" s="241"/>
      <c r="Q551" s="241"/>
      <c r="R551" s="241"/>
      <c r="S551" s="241"/>
      <c r="T551" s="241"/>
      <c r="U551" s="241"/>
      <c r="V551" s="241"/>
      <c r="W551" s="241"/>
      <c r="X551" s="259"/>
      <c r="Y551" s="268"/>
      <c r="Z551" s="268"/>
      <c r="AA551" s="268"/>
      <c r="AB551" s="268"/>
      <c r="AC551" s="268"/>
      <c r="AD551" s="268"/>
      <c r="AE551" s="268"/>
      <c r="AF551" s="268"/>
      <c r="AG551" s="268"/>
      <c r="AH551" s="268"/>
      <c r="AI551" s="268"/>
      <c r="AJ551" s="268"/>
      <c r="AK551" s="268"/>
      <c r="AL551" s="268"/>
      <c r="AM551" s="268"/>
      <c r="AN551" s="259"/>
      <c r="AO551" s="268"/>
      <c r="AP551" s="268"/>
      <c r="AQ551" s="268"/>
      <c r="AR551" s="268"/>
      <c r="AS551" s="268"/>
      <c r="AT551" s="268"/>
      <c r="AU551" s="268"/>
      <c r="AV551" s="268"/>
      <c r="AW551" s="268"/>
      <c r="AX551" s="268"/>
      <c r="AY551" s="268"/>
      <c r="AZ551" s="268"/>
      <c r="BA551" s="268"/>
      <c r="BB551" s="268"/>
      <c r="BC551" s="268"/>
      <c r="BD551" s="287"/>
      <c r="BE551" s="268"/>
    </row>
    <row r="552" customFormat="false" ht="7.5" hidden="false" customHeight="true" outlineLevel="0" collapsed="false">
      <c r="A552" s="198"/>
      <c r="B552" s="266"/>
      <c r="C552" s="266"/>
      <c r="D552" s="266"/>
      <c r="E552" s="241"/>
      <c r="F552" s="241"/>
      <c r="G552" s="241"/>
      <c r="H552" s="204"/>
      <c r="I552" s="269"/>
      <c r="J552" s="269"/>
      <c r="K552" s="277"/>
      <c r="L552" s="269"/>
      <c r="M552" s="269"/>
      <c r="N552" s="269"/>
      <c r="O552" s="269"/>
      <c r="P552" s="269"/>
      <c r="Q552" s="269"/>
      <c r="R552" s="269"/>
      <c r="S552" s="269"/>
      <c r="T552" s="269"/>
      <c r="U552" s="269"/>
      <c r="V552" s="269"/>
      <c r="W552" s="269"/>
      <c r="X552" s="259"/>
      <c r="Y552" s="271"/>
      <c r="Z552" s="271"/>
      <c r="AA552" s="271"/>
      <c r="AB552" s="271"/>
      <c r="AC552" s="271"/>
      <c r="AD552" s="271"/>
      <c r="AE552" s="271"/>
      <c r="AF552" s="271"/>
      <c r="AG552" s="271"/>
      <c r="AH552" s="271"/>
      <c r="AI552" s="271"/>
      <c r="AJ552" s="272"/>
      <c r="AK552" s="273"/>
      <c r="AL552" s="273"/>
      <c r="AM552" s="273"/>
      <c r="AN552" s="259"/>
      <c r="AO552" s="271"/>
      <c r="AP552" s="271"/>
      <c r="AQ552" s="271"/>
      <c r="AR552" s="271"/>
      <c r="AS552" s="271"/>
      <c r="AT552" s="271"/>
      <c r="AU552" s="271"/>
      <c r="AV552" s="271"/>
      <c r="AW552" s="271"/>
      <c r="AX552" s="271"/>
      <c r="AY552" s="271"/>
      <c r="AZ552" s="272"/>
      <c r="BA552" s="273"/>
      <c r="BB552" s="273"/>
      <c r="BC552" s="273"/>
      <c r="BD552" s="287"/>
      <c r="BE552" s="274"/>
    </row>
    <row r="553" customFormat="false" ht="15" hidden="false" customHeight="true" outlineLevel="0" collapsed="false">
      <c r="B553" s="333"/>
      <c r="C553" s="334"/>
      <c r="D553" s="333" t="n">
        <f aca="false">D537</f>
        <v>45292</v>
      </c>
      <c r="E553" s="277" t="n">
        <v>0</v>
      </c>
      <c r="F553" s="277" t="n">
        <v>0</v>
      </c>
      <c r="G553" s="277" t="n">
        <f aca="false">SUM(E553:F553)</f>
        <v>0</v>
      </c>
      <c r="H553" s="204"/>
      <c r="I553" s="279" t="n">
        <v>1</v>
      </c>
      <c r="J553" s="280" t="n">
        <f aca="false">1-I553</f>
        <v>0</v>
      </c>
      <c r="K553" s="277"/>
      <c r="L553" s="282"/>
      <c r="M553" s="282"/>
      <c r="N553" s="282"/>
      <c r="O553" s="282"/>
      <c r="P553" s="282"/>
      <c r="Q553" s="282"/>
      <c r="R553" s="282"/>
      <c r="S553" s="282"/>
      <c r="T553" s="282"/>
      <c r="U553" s="282"/>
      <c r="V553" s="282"/>
      <c r="W553" s="282"/>
      <c r="X553" s="268"/>
      <c r="Y553" s="284" t="n">
        <f aca="false">IFERROR(L553*$G553*I$9, "")</f>
        <v>0</v>
      </c>
      <c r="Z553" s="284" t="n">
        <f aca="false">IFERROR(M553*$G553*$I553, "")</f>
        <v>0</v>
      </c>
      <c r="AA553" s="284" t="n">
        <f aca="false">IFERROR(N553*$G553*$I553, "")</f>
        <v>0</v>
      </c>
      <c r="AB553" s="284" t="n">
        <f aca="false">IFERROR(O553*$G553*$I553, "")</f>
        <v>0</v>
      </c>
      <c r="AC553" s="284" t="n">
        <f aca="false">IFERROR(P553*$G553*$I553, "")</f>
        <v>0</v>
      </c>
      <c r="AD553" s="284" t="n">
        <f aca="false">IFERROR(Q553*$G553*$I553, "")</f>
        <v>0</v>
      </c>
      <c r="AE553" s="284" t="n">
        <f aca="false">IFERROR(R553*$G553*$I553, "")</f>
        <v>0</v>
      </c>
      <c r="AF553" s="284" t="n">
        <f aca="false">IFERROR(S553*$G553*$I553, "")</f>
        <v>0</v>
      </c>
      <c r="AG553" s="284" t="n">
        <f aca="false">IFERROR(T553*$G553*$I553, "")</f>
        <v>0</v>
      </c>
      <c r="AH553" s="284" t="n">
        <f aca="false">IFERROR(U553*$G553*$I553, "")</f>
        <v>0</v>
      </c>
      <c r="AI553" s="284" t="n">
        <f aca="false">IFERROR(V553*$G553*$I553, "")</f>
        <v>0</v>
      </c>
      <c r="AJ553" s="284" t="n">
        <f aca="false">IFERROR(W553*$G553*$I553, "")</f>
        <v>0</v>
      </c>
      <c r="AK553" s="286" t="n">
        <f aca="false">IFERROR(SUMIF($Y$4:$AJ$4, "RDEC", Y553:AJ553), "")</f>
        <v>0</v>
      </c>
      <c r="AL553" s="286" t="n">
        <f aca="false">IFERROR(SUMIF($Y$4:$AJ$4, "SME", Y553:AJ553), "")</f>
        <v>0</v>
      </c>
      <c r="AM553" s="286" t="n">
        <f aca="false">IFERROR(SUMIF($Y$4:$AJ$4, "De Minimis", Y553:AJ553), "")</f>
        <v>0</v>
      </c>
      <c r="AN553" s="268"/>
      <c r="AO553" s="284" t="n">
        <f aca="false">IFERROR($G553*$J553*L553, "")</f>
        <v>0</v>
      </c>
      <c r="AP553" s="284" t="n">
        <f aca="false">IFERROR($G553*$J553*M553, "")</f>
        <v>0</v>
      </c>
      <c r="AQ553" s="284" t="n">
        <f aca="false">IFERROR($G553*$J553*N553, "")</f>
        <v>0</v>
      </c>
      <c r="AR553" s="284" t="n">
        <f aca="false">IFERROR($G553*$J553*O553, "")</f>
        <v>0</v>
      </c>
      <c r="AS553" s="284" t="n">
        <f aca="false">IFERROR($G553*$J553*P553, "")</f>
        <v>0</v>
      </c>
      <c r="AT553" s="284" t="n">
        <f aca="false">IFERROR($G553*$J553*Q553, "")</f>
        <v>0</v>
      </c>
      <c r="AU553" s="284" t="n">
        <f aca="false">IFERROR($G553*$J553*R553, "")</f>
        <v>0</v>
      </c>
      <c r="AV553" s="284" t="n">
        <f aca="false">IFERROR($G553*$J553*S553, "")</f>
        <v>0</v>
      </c>
      <c r="AW553" s="284" t="n">
        <f aca="false">IFERROR($G553*$J553*T553, "")</f>
        <v>0</v>
      </c>
      <c r="AX553" s="284" t="n">
        <f aca="false">IFERROR($G553*$J553*U553, "")</f>
        <v>0</v>
      </c>
      <c r="AY553" s="284" t="n">
        <f aca="false">IFERROR($G553*$J553*V553, "")</f>
        <v>0</v>
      </c>
      <c r="AZ553" s="284" t="n">
        <f aca="false">IFERROR($G553*$J553*W553, "")</f>
        <v>0</v>
      </c>
      <c r="BA553" s="286" t="n">
        <f aca="false">IFERROR(SUMIF($AO$4:$AZ$4, "RDEC", AO553:AZ553), "")</f>
        <v>0</v>
      </c>
      <c r="BB553" s="286" t="n">
        <f aca="false">IFERROR(SUMIF($AO$4:$AZ$4, "SME", AO553:AZ553), "")</f>
        <v>0</v>
      </c>
      <c r="BC553" s="286" t="n">
        <f aca="false">IFERROR(SUMIF($AO$4:$AZ$4, "De Minimis", AO553:AZ553), "")</f>
        <v>0</v>
      </c>
      <c r="BD553" s="287"/>
      <c r="BE553" s="288" t="str">
        <f aca="false">IF((SUM(L553:W553)&gt;1),"ERROR","")</f>
        <v/>
      </c>
    </row>
    <row r="554" customFormat="false" ht="15" hidden="false" customHeight="true" outlineLevel="0" collapsed="false">
      <c r="B554" s="333"/>
      <c r="C554" s="334"/>
      <c r="D554" s="333" t="n">
        <f aca="false">D538</f>
        <v>45323</v>
      </c>
      <c r="E554" s="277" t="n">
        <v>0</v>
      </c>
      <c r="F554" s="277" t="n">
        <v>0</v>
      </c>
      <c r="G554" s="277" t="n">
        <f aca="false">SUM(E554:F554)</f>
        <v>0</v>
      </c>
      <c r="H554" s="204"/>
      <c r="I554" s="279" t="n">
        <v>1</v>
      </c>
      <c r="J554" s="280" t="n">
        <f aca="false">1-I554</f>
        <v>0</v>
      </c>
      <c r="K554" s="277"/>
      <c r="L554" s="282"/>
      <c r="M554" s="282"/>
      <c r="N554" s="282"/>
      <c r="O554" s="282"/>
      <c r="P554" s="282"/>
      <c r="Q554" s="282"/>
      <c r="R554" s="282"/>
      <c r="S554" s="282"/>
      <c r="T554" s="282"/>
      <c r="U554" s="282"/>
      <c r="V554" s="282"/>
      <c r="W554" s="282"/>
      <c r="X554" s="283"/>
      <c r="Y554" s="284" t="n">
        <f aca="false">IFERROR(L554*$G554*I$9, "")</f>
        <v>0</v>
      </c>
      <c r="Z554" s="284" t="n">
        <f aca="false">IFERROR(M554*$G554*$I554, "")</f>
        <v>0</v>
      </c>
      <c r="AA554" s="284" t="n">
        <f aca="false">IFERROR(N554*$G554*$I554, "")</f>
        <v>0</v>
      </c>
      <c r="AB554" s="284" t="n">
        <f aca="false">IFERROR(O554*$G554*$I554, "")</f>
        <v>0</v>
      </c>
      <c r="AC554" s="284" t="n">
        <f aca="false">IFERROR(P554*$G554*$I554, "")</f>
        <v>0</v>
      </c>
      <c r="AD554" s="284" t="n">
        <f aca="false">IFERROR(Q554*$G554*$I554, "")</f>
        <v>0</v>
      </c>
      <c r="AE554" s="284" t="n">
        <f aca="false">IFERROR(R554*$G554*$I554, "")</f>
        <v>0</v>
      </c>
      <c r="AF554" s="284" t="n">
        <f aca="false">IFERROR(S554*$G554*$I554, "")</f>
        <v>0</v>
      </c>
      <c r="AG554" s="284" t="n">
        <f aca="false">IFERROR(T554*$G554*$I554, "")</f>
        <v>0</v>
      </c>
      <c r="AH554" s="284" t="n">
        <f aca="false">IFERROR(U554*$G554*$I554, "")</f>
        <v>0</v>
      </c>
      <c r="AI554" s="284" t="n">
        <f aca="false">IFERROR(V554*$G554*$I554, "")</f>
        <v>0</v>
      </c>
      <c r="AJ554" s="284" t="n">
        <f aca="false">IFERROR(W554*$G554*$I554, "")</f>
        <v>0</v>
      </c>
      <c r="AK554" s="286" t="n">
        <f aca="false">IFERROR(SUMIF($Y$4:$AJ$4, "RDEC", Y554:AJ554), "")</f>
        <v>0</v>
      </c>
      <c r="AL554" s="286" t="n">
        <f aca="false">IFERROR(SUMIF($Y$4:$AJ$4, "SME", Y554:AJ554), "")</f>
        <v>0</v>
      </c>
      <c r="AM554" s="286" t="n">
        <f aca="false">IFERROR(SUMIF($Y$4:$AJ$4, "De Minimis", Y554:AJ554), "")</f>
        <v>0</v>
      </c>
      <c r="AN554" s="283"/>
      <c r="AO554" s="284" t="n">
        <f aca="false">IFERROR($G554*$J554*L554, "")</f>
        <v>0</v>
      </c>
      <c r="AP554" s="284" t="n">
        <f aca="false">IFERROR($G554*$J554*M554, "")</f>
        <v>0</v>
      </c>
      <c r="AQ554" s="284" t="n">
        <f aca="false">IFERROR($G554*$J554*N554, "")</f>
        <v>0</v>
      </c>
      <c r="AR554" s="284" t="n">
        <f aca="false">IFERROR($G554*$J554*O554, "")</f>
        <v>0</v>
      </c>
      <c r="AS554" s="284" t="n">
        <f aca="false">IFERROR($G554*$J554*P554, "")</f>
        <v>0</v>
      </c>
      <c r="AT554" s="284" t="n">
        <f aca="false">IFERROR($G554*$J554*Q554, "")</f>
        <v>0</v>
      </c>
      <c r="AU554" s="284" t="n">
        <f aca="false">IFERROR($G554*$J554*R554, "")</f>
        <v>0</v>
      </c>
      <c r="AV554" s="284" t="n">
        <f aca="false">IFERROR($G554*$J554*S554, "")</f>
        <v>0</v>
      </c>
      <c r="AW554" s="284" t="n">
        <f aca="false">IFERROR($G554*$J554*T554, "")</f>
        <v>0</v>
      </c>
      <c r="AX554" s="284" t="n">
        <f aca="false">IFERROR($G554*$J554*U554, "")</f>
        <v>0</v>
      </c>
      <c r="AY554" s="284" t="n">
        <f aca="false">IFERROR($G554*$J554*V554, "")</f>
        <v>0</v>
      </c>
      <c r="AZ554" s="284" t="n">
        <f aca="false">IFERROR($G554*$J554*W554, "")</f>
        <v>0</v>
      </c>
      <c r="BA554" s="286" t="n">
        <f aca="false">IFERROR(SUMIF($AO$4:$AZ$4, "RDEC", AO554:AZ554), "")</f>
        <v>0</v>
      </c>
      <c r="BB554" s="286" t="n">
        <f aca="false">IFERROR(SUMIF($AO$4:$AZ$4, "SME", AO554:AZ554), "")</f>
        <v>0</v>
      </c>
      <c r="BC554" s="286" t="n">
        <f aca="false">IFERROR(SUMIF($Y$4:$AJ$4, "De Minimis", AO554:AZ554), "")</f>
        <v>0</v>
      </c>
      <c r="BD554" s="287"/>
      <c r="BE554" s="288" t="str">
        <f aca="false">IF((SUM(L554:W554)&gt;1),"ERROR","")</f>
        <v/>
      </c>
    </row>
    <row r="555" customFormat="false" ht="15" hidden="false" customHeight="true" outlineLevel="0" collapsed="false">
      <c r="B555" s="333"/>
      <c r="C555" s="334"/>
      <c r="D555" s="333" t="n">
        <f aca="false">D539</f>
        <v>45352</v>
      </c>
      <c r="E555" s="277" t="n">
        <v>0</v>
      </c>
      <c r="F555" s="277" t="n">
        <v>0</v>
      </c>
      <c r="G555" s="277" t="n">
        <f aca="false">SUM(E555:F555)</f>
        <v>0</v>
      </c>
      <c r="H555" s="204"/>
      <c r="I555" s="279" t="n">
        <v>1</v>
      </c>
      <c r="J555" s="280" t="n">
        <f aca="false">1-I555</f>
        <v>0</v>
      </c>
      <c r="K555" s="277"/>
      <c r="L555" s="282"/>
      <c r="M555" s="282"/>
      <c r="N555" s="282"/>
      <c r="O555" s="282"/>
      <c r="P555" s="282"/>
      <c r="Q555" s="282"/>
      <c r="R555" s="282"/>
      <c r="S555" s="282"/>
      <c r="T555" s="282"/>
      <c r="U555" s="282"/>
      <c r="V555" s="282"/>
      <c r="W555" s="282"/>
      <c r="X555" s="283"/>
      <c r="Y555" s="284" t="n">
        <f aca="false">IFERROR(L555*$G555*I$9, "")</f>
        <v>0</v>
      </c>
      <c r="Z555" s="284" t="n">
        <f aca="false">IFERROR(M555*$G555*$I555, "")</f>
        <v>0</v>
      </c>
      <c r="AA555" s="284" t="n">
        <f aca="false">IFERROR(N555*$G555*$I555, "")</f>
        <v>0</v>
      </c>
      <c r="AB555" s="284" t="n">
        <f aca="false">IFERROR(O555*$G555*$I555, "")</f>
        <v>0</v>
      </c>
      <c r="AC555" s="284" t="n">
        <f aca="false">IFERROR(P555*$G555*$I555, "")</f>
        <v>0</v>
      </c>
      <c r="AD555" s="284" t="n">
        <f aca="false">IFERROR(Q555*$G555*$I555, "")</f>
        <v>0</v>
      </c>
      <c r="AE555" s="284" t="n">
        <f aca="false">IFERROR(R555*$G555*$I555, "")</f>
        <v>0</v>
      </c>
      <c r="AF555" s="284" t="n">
        <f aca="false">IFERROR(S555*$G555*$I555, "")</f>
        <v>0</v>
      </c>
      <c r="AG555" s="284" t="n">
        <f aca="false">IFERROR(T555*$G555*$I555, "")</f>
        <v>0</v>
      </c>
      <c r="AH555" s="284" t="n">
        <f aca="false">IFERROR(U555*$G555*$I555, "")</f>
        <v>0</v>
      </c>
      <c r="AI555" s="284" t="n">
        <f aca="false">IFERROR(V555*$G555*$I555, "")</f>
        <v>0</v>
      </c>
      <c r="AJ555" s="284" t="n">
        <f aca="false">IFERROR(W555*$G555*$I555, "")</f>
        <v>0</v>
      </c>
      <c r="AK555" s="286" t="n">
        <f aca="false">IFERROR(SUMIF($Y$4:$AJ$4, "RDEC", Y555:AJ555), "")</f>
        <v>0</v>
      </c>
      <c r="AL555" s="286" t="n">
        <f aca="false">IFERROR(SUMIF($Y$4:$AJ$4, "SME", Y555:AJ555), "")</f>
        <v>0</v>
      </c>
      <c r="AM555" s="286" t="n">
        <f aca="false">IFERROR(SUMIF($Y$4:$AJ$4, "De Minimis", Y555:AJ555), "")</f>
        <v>0</v>
      </c>
      <c r="AN555" s="283"/>
      <c r="AO555" s="284" t="n">
        <f aca="false">IFERROR($G555*$J555*L555, "")</f>
        <v>0</v>
      </c>
      <c r="AP555" s="284" t="n">
        <f aca="false">IFERROR($G555*$J555*M555, "")</f>
        <v>0</v>
      </c>
      <c r="AQ555" s="284" t="n">
        <f aca="false">IFERROR($G555*$J555*N555, "")</f>
        <v>0</v>
      </c>
      <c r="AR555" s="284" t="n">
        <f aca="false">IFERROR($G555*$J555*O555, "")</f>
        <v>0</v>
      </c>
      <c r="AS555" s="284" t="n">
        <f aca="false">IFERROR($G555*$J555*P555, "")</f>
        <v>0</v>
      </c>
      <c r="AT555" s="284" t="n">
        <f aca="false">IFERROR($G555*$J555*Q555, "")</f>
        <v>0</v>
      </c>
      <c r="AU555" s="284" t="n">
        <f aca="false">IFERROR($G555*$J555*R555, "")</f>
        <v>0</v>
      </c>
      <c r="AV555" s="284" t="n">
        <f aca="false">IFERROR($G555*$J555*S555, "")</f>
        <v>0</v>
      </c>
      <c r="AW555" s="284" t="n">
        <f aca="false">IFERROR($G555*$J555*T555, "")</f>
        <v>0</v>
      </c>
      <c r="AX555" s="284" t="n">
        <f aca="false">IFERROR($G555*$J555*U555, "")</f>
        <v>0</v>
      </c>
      <c r="AY555" s="284" t="n">
        <f aca="false">IFERROR($G555*$J555*V555, "")</f>
        <v>0</v>
      </c>
      <c r="AZ555" s="284" t="n">
        <f aca="false">IFERROR($G555*$J555*W555, "")</f>
        <v>0</v>
      </c>
      <c r="BA555" s="286" t="n">
        <f aca="false">IFERROR(SUMIF($AO$4:$AZ$4, "RDEC", AO555:AZ555), "")</f>
        <v>0</v>
      </c>
      <c r="BB555" s="286" t="n">
        <f aca="false">IFERROR(SUMIF($AO$4:$AZ$4, "SME", AO555:AZ555), "")</f>
        <v>0</v>
      </c>
      <c r="BC555" s="286" t="n">
        <f aca="false">IFERROR(SUMIF($Y$4:$AJ$4, "De Minimis", AO555:AZ555), "")</f>
        <v>0</v>
      </c>
      <c r="BD555" s="287"/>
      <c r="BE555" s="288" t="str">
        <f aca="false">IF((SUM(L555:W555)&gt;1),"ERROR","")</f>
        <v/>
      </c>
    </row>
    <row r="556" customFormat="false" ht="15" hidden="false" customHeight="true" outlineLevel="0" collapsed="false">
      <c r="B556" s="333"/>
      <c r="C556" s="334"/>
      <c r="D556" s="333" t="n">
        <f aca="false">D540</f>
        <v>45383</v>
      </c>
      <c r="E556" s="277" t="n">
        <v>0</v>
      </c>
      <c r="F556" s="277" t="n">
        <v>0</v>
      </c>
      <c r="G556" s="277" t="n">
        <f aca="false">SUM(E556:F556)</f>
        <v>0</v>
      </c>
      <c r="H556" s="204"/>
      <c r="I556" s="279" t="n">
        <v>1</v>
      </c>
      <c r="J556" s="280" t="n">
        <f aca="false">1-I556</f>
        <v>0</v>
      </c>
      <c r="K556" s="277"/>
      <c r="L556" s="282"/>
      <c r="M556" s="282"/>
      <c r="N556" s="282"/>
      <c r="O556" s="282"/>
      <c r="P556" s="282"/>
      <c r="Q556" s="282"/>
      <c r="R556" s="282"/>
      <c r="S556" s="282"/>
      <c r="T556" s="282"/>
      <c r="U556" s="282"/>
      <c r="V556" s="282"/>
      <c r="W556" s="282"/>
      <c r="X556" s="283"/>
      <c r="Y556" s="284" t="n">
        <f aca="false">IFERROR(L556*$G556*I$9, "")</f>
        <v>0</v>
      </c>
      <c r="Z556" s="284" t="n">
        <f aca="false">IFERROR(M556*$G556*$I556, "")</f>
        <v>0</v>
      </c>
      <c r="AA556" s="284" t="n">
        <f aca="false">IFERROR(N556*$G556*$I556, "")</f>
        <v>0</v>
      </c>
      <c r="AB556" s="284" t="n">
        <f aca="false">IFERROR(O556*$G556*$I556, "")</f>
        <v>0</v>
      </c>
      <c r="AC556" s="284" t="n">
        <f aca="false">IFERROR(P556*$G556*$I556, "")</f>
        <v>0</v>
      </c>
      <c r="AD556" s="284" t="n">
        <f aca="false">IFERROR(Q556*$G556*$I556, "")</f>
        <v>0</v>
      </c>
      <c r="AE556" s="284" t="n">
        <f aca="false">IFERROR(R556*$G556*$I556, "")</f>
        <v>0</v>
      </c>
      <c r="AF556" s="284" t="n">
        <f aca="false">IFERROR(S556*$G556*$I556, "")</f>
        <v>0</v>
      </c>
      <c r="AG556" s="284" t="n">
        <f aca="false">IFERROR(T556*$G556*$I556, "")</f>
        <v>0</v>
      </c>
      <c r="AH556" s="284" t="n">
        <f aca="false">IFERROR(U556*$G556*$I556, "")</f>
        <v>0</v>
      </c>
      <c r="AI556" s="284" t="n">
        <f aca="false">IFERROR(V556*$G556*$I556, "")</f>
        <v>0</v>
      </c>
      <c r="AJ556" s="284" t="n">
        <f aca="false">IFERROR(W556*$G556*$I556, "")</f>
        <v>0</v>
      </c>
      <c r="AK556" s="286" t="n">
        <f aca="false">IFERROR(SUMIF($Y$4:$AJ$4, "RDEC", Y556:AJ556), "")</f>
        <v>0</v>
      </c>
      <c r="AL556" s="286" t="n">
        <f aca="false">IFERROR(SUMIF($Y$4:$AJ$4, "SME", Y556:AJ556), "")</f>
        <v>0</v>
      </c>
      <c r="AM556" s="286" t="n">
        <f aca="false">IFERROR(SUMIF($Y$4:$AJ$4, "De Minimis", Y556:AJ556), "")</f>
        <v>0</v>
      </c>
      <c r="AN556" s="283"/>
      <c r="AO556" s="284" t="n">
        <f aca="false">IFERROR($G556*$J556*L556, "")</f>
        <v>0</v>
      </c>
      <c r="AP556" s="284" t="n">
        <f aca="false">IFERROR($G556*$J556*M556, "")</f>
        <v>0</v>
      </c>
      <c r="AQ556" s="284" t="n">
        <f aca="false">IFERROR($G556*$J556*N556, "")</f>
        <v>0</v>
      </c>
      <c r="AR556" s="284" t="n">
        <f aca="false">IFERROR($G556*$J556*O556, "")</f>
        <v>0</v>
      </c>
      <c r="AS556" s="284" t="n">
        <f aca="false">IFERROR($G556*$J556*P556, "")</f>
        <v>0</v>
      </c>
      <c r="AT556" s="284" t="n">
        <f aca="false">IFERROR($G556*$J556*Q556, "")</f>
        <v>0</v>
      </c>
      <c r="AU556" s="284" t="n">
        <f aca="false">IFERROR($G556*$J556*R556, "")</f>
        <v>0</v>
      </c>
      <c r="AV556" s="284" t="n">
        <f aca="false">IFERROR($G556*$J556*S556, "")</f>
        <v>0</v>
      </c>
      <c r="AW556" s="284" t="n">
        <f aca="false">IFERROR($G556*$J556*T556, "")</f>
        <v>0</v>
      </c>
      <c r="AX556" s="284" t="n">
        <f aca="false">IFERROR($G556*$J556*U556, "")</f>
        <v>0</v>
      </c>
      <c r="AY556" s="284" t="n">
        <f aca="false">IFERROR($G556*$J556*V556, "")</f>
        <v>0</v>
      </c>
      <c r="AZ556" s="284" t="n">
        <f aca="false">IFERROR($G556*$J556*W556, "")</f>
        <v>0</v>
      </c>
      <c r="BA556" s="286" t="n">
        <f aca="false">IFERROR(SUMIF($AO$4:$AZ$4, "RDEC", AO556:AZ556), "")</f>
        <v>0</v>
      </c>
      <c r="BB556" s="286" t="n">
        <f aca="false">IFERROR(SUMIF($AO$4:$AZ$4, "SME", AO556:AZ556), "")</f>
        <v>0</v>
      </c>
      <c r="BC556" s="286" t="n">
        <f aca="false">IFERROR(SUMIF($Y$4:$AJ$4, "De Minimis", AO556:AZ556), "")</f>
        <v>0</v>
      </c>
      <c r="BD556" s="287"/>
      <c r="BE556" s="288" t="str">
        <f aca="false">IF((SUM(L556:W556)&gt;1),"ERROR","")</f>
        <v/>
      </c>
    </row>
    <row r="557" customFormat="false" ht="15" hidden="false" customHeight="true" outlineLevel="0" collapsed="false">
      <c r="B557" s="333"/>
      <c r="C557" s="334"/>
      <c r="D557" s="333" t="n">
        <f aca="false">D541</f>
        <v>45413</v>
      </c>
      <c r="E557" s="277" t="n">
        <v>0</v>
      </c>
      <c r="F557" s="277" t="n">
        <v>0</v>
      </c>
      <c r="G557" s="277" t="n">
        <f aca="false">SUM(E557:F557)</f>
        <v>0</v>
      </c>
      <c r="H557" s="204"/>
      <c r="I557" s="279" t="n">
        <v>1</v>
      </c>
      <c r="J557" s="280" t="n">
        <f aca="false">1-I557</f>
        <v>0</v>
      </c>
      <c r="K557" s="277"/>
      <c r="L557" s="282"/>
      <c r="M557" s="282"/>
      <c r="N557" s="282"/>
      <c r="O557" s="282"/>
      <c r="P557" s="282"/>
      <c r="Q557" s="282"/>
      <c r="R557" s="282"/>
      <c r="S557" s="282"/>
      <c r="T557" s="282"/>
      <c r="U557" s="282"/>
      <c r="V557" s="282"/>
      <c r="W557" s="282"/>
      <c r="X557" s="283"/>
      <c r="Y557" s="284" t="n">
        <f aca="false">IFERROR(L557*$G557*I$9, "")</f>
        <v>0</v>
      </c>
      <c r="Z557" s="284" t="n">
        <f aca="false">IFERROR(M557*$G557*$I557, "")</f>
        <v>0</v>
      </c>
      <c r="AA557" s="284" t="n">
        <f aca="false">IFERROR(N557*$G557*$I557, "")</f>
        <v>0</v>
      </c>
      <c r="AB557" s="284" t="n">
        <f aca="false">IFERROR(O557*$G557*$I557, "")</f>
        <v>0</v>
      </c>
      <c r="AC557" s="284" t="n">
        <f aca="false">IFERROR(P557*$G557*$I557, "")</f>
        <v>0</v>
      </c>
      <c r="AD557" s="284" t="n">
        <f aca="false">IFERROR(Q557*$G557*$I557, "")</f>
        <v>0</v>
      </c>
      <c r="AE557" s="284" t="n">
        <f aca="false">IFERROR(R557*$G557*$I557, "")</f>
        <v>0</v>
      </c>
      <c r="AF557" s="284" t="n">
        <f aca="false">IFERROR(S557*$G557*$I557, "")</f>
        <v>0</v>
      </c>
      <c r="AG557" s="284" t="n">
        <f aca="false">IFERROR(T557*$G557*$I557, "")</f>
        <v>0</v>
      </c>
      <c r="AH557" s="284" t="n">
        <f aca="false">IFERROR(U557*$G557*$I557, "")</f>
        <v>0</v>
      </c>
      <c r="AI557" s="284" t="n">
        <f aca="false">IFERROR(V557*$G557*$I557, "")</f>
        <v>0</v>
      </c>
      <c r="AJ557" s="284" t="n">
        <f aca="false">IFERROR(W557*$G557*$I557, "")</f>
        <v>0</v>
      </c>
      <c r="AK557" s="286" t="n">
        <f aca="false">IFERROR(SUMIF($Y$4:$AJ$4, "RDEC", Y557:AJ557), "")</f>
        <v>0</v>
      </c>
      <c r="AL557" s="286" t="n">
        <f aca="false">IFERROR(SUMIF($Y$4:$AJ$4, "SME", Y557:AJ557), "")</f>
        <v>0</v>
      </c>
      <c r="AM557" s="286" t="n">
        <f aca="false">IFERROR(SUMIF($Y$4:$AJ$4, "De Minimis", Y557:AJ557), "")</f>
        <v>0</v>
      </c>
      <c r="AN557" s="283"/>
      <c r="AO557" s="284" t="n">
        <f aca="false">IFERROR($G557*$J557*L557, "")</f>
        <v>0</v>
      </c>
      <c r="AP557" s="284" t="n">
        <f aca="false">IFERROR($G557*$J557*M557, "")</f>
        <v>0</v>
      </c>
      <c r="AQ557" s="284" t="n">
        <f aca="false">IFERROR($G557*$J557*N557, "")</f>
        <v>0</v>
      </c>
      <c r="AR557" s="284" t="n">
        <f aca="false">IFERROR($G557*$J557*O557, "")</f>
        <v>0</v>
      </c>
      <c r="AS557" s="284" t="n">
        <f aca="false">IFERROR($G557*$J557*P557, "")</f>
        <v>0</v>
      </c>
      <c r="AT557" s="284" t="n">
        <f aca="false">IFERROR($G557*$J557*Q557, "")</f>
        <v>0</v>
      </c>
      <c r="AU557" s="284" t="n">
        <f aca="false">IFERROR($G557*$J557*R557, "")</f>
        <v>0</v>
      </c>
      <c r="AV557" s="284" t="n">
        <f aca="false">IFERROR($G557*$J557*S557, "")</f>
        <v>0</v>
      </c>
      <c r="AW557" s="284" t="n">
        <f aca="false">IFERROR($G557*$J557*T557, "")</f>
        <v>0</v>
      </c>
      <c r="AX557" s="284" t="n">
        <f aca="false">IFERROR($G557*$J557*U557, "")</f>
        <v>0</v>
      </c>
      <c r="AY557" s="284" t="n">
        <f aca="false">IFERROR($G557*$J557*V557, "")</f>
        <v>0</v>
      </c>
      <c r="AZ557" s="284" t="n">
        <f aca="false">IFERROR($G557*$J557*W557, "")</f>
        <v>0</v>
      </c>
      <c r="BA557" s="286" t="n">
        <f aca="false">IFERROR(SUMIF($AO$4:$AZ$4, "RDEC", AO557:AZ557), "")</f>
        <v>0</v>
      </c>
      <c r="BB557" s="286" t="n">
        <f aca="false">IFERROR(SUMIF($AO$4:$AZ$4, "SME", AO557:AZ557), "")</f>
        <v>0</v>
      </c>
      <c r="BC557" s="286" t="n">
        <f aca="false">IFERROR(SUMIF($Y$4:$AJ$4, "De Minimis", AO557:AZ557), "")</f>
        <v>0</v>
      </c>
      <c r="BD557" s="287"/>
      <c r="BE557" s="288" t="str">
        <f aca="false">IF((SUM(L557:W557)&gt;1),"ERROR","")</f>
        <v/>
      </c>
    </row>
    <row r="558" customFormat="false" ht="15" hidden="false" customHeight="true" outlineLevel="0" collapsed="false">
      <c r="B558" s="333"/>
      <c r="C558" s="334"/>
      <c r="D558" s="333" t="n">
        <f aca="false">D542</f>
        <v>45444</v>
      </c>
      <c r="E558" s="277" t="n">
        <v>0</v>
      </c>
      <c r="F558" s="277" t="n">
        <v>0</v>
      </c>
      <c r="G558" s="277" t="n">
        <f aca="false">SUM(E558:F558)</f>
        <v>0</v>
      </c>
      <c r="H558" s="204"/>
      <c r="I558" s="279" t="n">
        <v>1</v>
      </c>
      <c r="J558" s="280" t="n">
        <f aca="false">1-I558</f>
        <v>0</v>
      </c>
      <c r="K558" s="277"/>
      <c r="L558" s="282"/>
      <c r="M558" s="282"/>
      <c r="N558" s="282"/>
      <c r="O558" s="282"/>
      <c r="P558" s="282"/>
      <c r="Q558" s="282"/>
      <c r="R558" s="282"/>
      <c r="S558" s="282"/>
      <c r="T558" s="282"/>
      <c r="U558" s="282"/>
      <c r="V558" s="282"/>
      <c r="W558" s="282"/>
      <c r="X558" s="283"/>
      <c r="Y558" s="284" t="n">
        <f aca="false">IFERROR(L558*$G558*I$9, "")</f>
        <v>0</v>
      </c>
      <c r="Z558" s="284" t="n">
        <f aca="false">IFERROR(M558*$G558*$I558, "")</f>
        <v>0</v>
      </c>
      <c r="AA558" s="284" t="n">
        <f aca="false">IFERROR(N558*$G558*$I558, "")</f>
        <v>0</v>
      </c>
      <c r="AB558" s="284" t="n">
        <f aca="false">IFERROR(O558*$G558*$I558, "")</f>
        <v>0</v>
      </c>
      <c r="AC558" s="284" t="n">
        <f aca="false">IFERROR(P558*$G558*$I558, "")</f>
        <v>0</v>
      </c>
      <c r="AD558" s="284" t="n">
        <f aca="false">IFERROR(Q558*$G558*$I558, "")</f>
        <v>0</v>
      </c>
      <c r="AE558" s="284" t="n">
        <f aca="false">IFERROR(R558*$G558*$I558, "")</f>
        <v>0</v>
      </c>
      <c r="AF558" s="284" t="n">
        <f aca="false">IFERROR(S558*$G558*$I558, "")</f>
        <v>0</v>
      </c>
      <c r="AG558" s="284" t="n">
        <f aca="false">IFERROR(T558*$G558*$I558, "")</f>
        <v>0</v>
      </c>
      <c r="AH558" s="284" t="n">
        <f aca="false">IFERROR(U558*$G558*$I558, "")</f>
        <v>0</v>
      </c>
      <c r="AI558" s="284" t="n">
        <f aca="false">IFERROR(V558*$G558*$I558, "")</f>
        <v>0</v>
      </c>
      <c r="AJ558" s="284" t="n">
        <f aca="false">IFERROR(W558*$G558*$I558, "")</f>
        <v>0</v>
      </c>
      <c r="AK558" s="286" t="n">
        <f aca="false">IFERROR(SUMIF($Y$4:$AJ$4, "RDEC", Y558:AJ558), "")</f>
        <v>0</v>
      </c>
      <c r="AL558" s="286" t="n">
        <f aca="false">IFERROR(SUMIF($Y$4:$AJ$4, "SME", Y558:AJ558), "")</f>
        <v>0</v>
      </c>
      <c r="AM558" s="286" t="n">
        <f aca="false">IFERROR(SUMIF($Y$4:$AJ$4, "De Minimis", Y558:AJ558), "")</f>
        <v>0</v>
      </c>
      <c r="AN558" s="283"/>
      <c r="AO558" s="284" t="n">
        <f aca="false">IFERROR($G558*$J558*L558, "")</f>
        <v>0</v>
      </c>
      <c r="AP558" s="284" t="n">
        <f aca="false">IFERROR($G558*$J558*M558, "")</f>
        <v>0</v>
      </c>
      <c r="AQ558" s="284" t="n">
        <f aca="false">IFERROR($G558*$J558*N558, "")</f>
        <v>0</v>
      </c>
      <c r="AR558" s="284" t="n">
        <f aca="false">IFERROR($G558*$J558*O558, "")</f>
        <v>0</v>
      </c>
      <c r="AS558" s="284" t="n">
        <f aca="false">IFERROR($G558*$J558*P558, "")</f>
        <v>0</v>
      </c>
      <c r="AT558" s="284" t="n">
        <f aca="false">IFERROR($G558*$J558*Q558, "")</f>
        <v>0</v>
      </c>
      <c r="AU558" s="284" t="n">
        <f aca="false">IFERROR($G558*$J558*R558, "")</f>
        <v>0</v>
      </c>
      <c r="AV558" s="284" t="n">
        <f aca="false">IFERROR($G558*$J558*S558, "")</f>
        <v>0</v>
      </c>
      <c r="AW558" s="284" t="n">
        <f aca="false">IFERROR($G558*$J558*T558, "")</f>
        <v>0</v>
      </c>
      <c r="AX558" s="284" t="n">
        <f aca="false">IFERROR($G558*$J558*U558, "")</f>
        <v>0</v>
      </c>
      <c r="AY558" s="284" t="n">
        <f aca="false">IFERROR($G558*$J558*V558, "")</f>
        <v>0</v>
      </c>
      <c r="AZ558" s="284" t="n">
        <f aca="false">IFERROR($G558*$J558*W558, "")</f>
        <v>0</v>
      </c>
      <c r="BA558" s="286" t="n">
        <f aca="false">IFERROR(SUMIF($AO$4:$AZ$4, "RDEC", AO558:AZ558), "")</f>
        <v>0</v>
      </c>
      <c r="BB558" s="286" t="n">
        <f aca="false">IFERROR(SUMIF($AO$4:$AZ$4, "SME", AO558:AZ558), "")</f>
        <v>0</v>
      </c>
      <c r="BC558" s="286" t="n">
        <f aca="false">IFERROR(SUMIF($Y$4:$AJ$4, "De Minimis", AO558:AZ558), "")</f>
        <v>0</v>
      </c>
      <c r="BD558" s="287"/>
      <c r="BE558" s="288" t="str">
        <f aca="false">IF((SUM(L558:W558)&gt;1),"ERROR","")</f>
        <v/>
      </c>
    </row>
    <row r="559" customFormat="false" ht="15" hidden="false" customHeight="true" outlineLevel="0" collapsed="false">
      <c r="B559" s="333"/>
      <c r="C559" s="334"/>
      <c r="D559" s="333" t="n">
        <f aca="false">D543</f>
        <v>45474</v>
      </c>
      <c r="E559" s="277" t="n">
        <v>0</v>
      </c>
      <c r="F559" s="277" t="n">
        <v>0</v>
      </c>
      <c r="G559" s="277" t="n">
        <f aca="false">SUM(E559:F559)</f>
        <v>0</v>
      </c>
      <c r="H559" s="204"/>
      <c r="I559" s="279" t="n">
        <v>1</v>
      </c>
      <c r="J559" s="280" t="n">
        <f aca="false">1-I559</f>
        <v>0</v>
      </c>
      <c r="K559" s="277"/>
      <c r="L559" s="282"/>
      <c r="M559" s="282"/>
      <c r="N559" s="282"/>
      <c r="O559" s="282"/>
      <c r="P559" s="282"/>
      <c r="Q559" s="282"/>
      <c r="R559" s="282"/>
      <c r="S559" s="282"/>
      <c r="T559" s="282"/>
      <c r="U559" s="282"/>
      <c r="V559" s="282"/>
      <c r="W559" s="282"/>
      <c r="X559" s="283"/>
      <c r="Y559" s="284" t="n">
        <f aca="false">IFERROR(L559*$G559*I$9, "")</f>
        <v>0</v>
      </c>
      <c r="Z559" s="284" t="n">
        <f aca="false">IFERROR(M559*$G559*$I559, "")</f>
        <v>0</v>
      </c>
      <c r="AA559" s="284" t="n">
        <f aca="false">IFERROR(N559*$G559*$I559, "")</f>
        <v>0</v>
      </c>
      <c r="AB559" s="284" t="n">
        <f aca="false">IFERROR(O559*$G559*$I559, "")</f>
        <v>0</v>
      </c>
      <c r="AC559" s="284" t="n">
        <f aca="false">IFERROR(P559*$G559*$I559, "")</f>
        <v>0</v>
      </c>
      <c r="AD559" s="284" t="n">
        <f aca="false">IFERROR(Q559*$G559*$I559, "")</f>
        <v>0</v>
      </c>
      <c r="AE559" s="284" t="n">
        <f aca="false">IFERROR(R559*$G559*$I559, "")</f>
        <v>0</v>
      </c>
      <c r="AF559" s="284" t="n">
        <f aca="false">IFERROR(S559*$G559*$I559, "")</f>
        <v>0</v>
      </c>
      <c r="AG559" s="284" t="n">
        <f aca="false">IFERROR(T559*$G559*$I559, "")</f>
        <v>0</v>
      </c>
      <c r="AH559" s="284" t="n">
        <f aca="false">IFERROR(U559*$G559*$I559, "")</f>
        <v>0</v>
      </c>
      <c r="AI559" s="284" t="n">
        <f aca="false">IFERROR(V559*$G559*$I559, "")</f>
        <v>0</v>
      </c>
      <c r="AJ559" s="284" t="n">
        <f aca="false">IFERROR(W559*$G559*$I559, "")</f>
        <v>0</v>
      </c>
      <c r="AK559" s="286" t="n">
        <f aca="false">IFERROR(SUMIF($Y$4:$AJ$4, "RDEC", Y559:AJ559), "")</f>
        <v>0</v>
      </c>
      <c r="AL559" s="286" t="n">
        <f aca="false">IFERROR(SUMIF($Y$4:$AJ$4, "SME", Y559:AJ559), "")</f>
        <v>0</v>
      </c>
      <c r="AM559" s="286" t="n">
        <f aca="false">IFERROR(SUMIF($Y$4:$AJ$4, "De Minimis", Y559:AJ559), "")</f>
        <v>0</v>
      </c>
      <c r="AN559" s="283"/>
      <c r="AO559" s="284" t="n">
        <f aca="false">IFERROR($G559*$J559*L559, "")</f>
        <v>0</v>
      </c>
      <c r="AP559" s="284" t="n">
        <f aca="false">IFERROR($G559*$J559*M559, "")</f>
        <v>0</v>
      </c>
      <c r="AQ559" s="284" t="n">
        <f aca="false">IFERROR($G559*$J559*N559, "")</f>
        <v>0</v>
      </c>
      <c r="AR559" s="284" t="n">
        <f aca="false">IFERROR($G559*$J559*O559, "")</f>
        <v>0</v>
      </c>
      <c r="AS559" s="284" t="n">
        <f aca="false">IFERROR($G559*$J559*P559, "")</f>
        <v>0</v>
      </c>
      <c r="AT559" s="284" t="n">
        <f aca="false">IFERROR($G559*$J559*Q559, "")</f>
        <v>0</v>
      </c>
      <c r="AU559" s="284" t="n">
        <f aca="false">IFERROR($G559*$J559*R559, "")</f>
        <v>0</v>
      </c>
      <c r="AV559" s="284" t="n">
        <f aca="false">IFERROR($G559*$J559*S559, "")</f>
        <v>0</v>
      </c>
      <c r="AW559" s="284" t="n">
        <f aca="false">IFERROR($G559*$J559*T559, "")</f>
        <v>0</v>
      </c>
      <c r="AX559" s="284" t="n">
        <f aca="false">IFERROR($G559*$J559*U559, "")</f>
        <v>0</v>
      </c>
      <c r="AY559" s="284" t="n">
        <f aca="false">IFERROR($G559*$J559*V559, "")</f>
        <v>0</v>
      </c>
      <c r="AZ559" s="284" t="n">
        <f aca="false">IFERROR($G559*$J559*W559, "")</f>
        <v>0</v>
      </c>
      <c r="BA559" s="286" t="n">
        <f aca="false">IFERROR(SUMIF($AO$4:$AZ$4, "RDEC", AO559:AZ559), "")</f>
        <v>0</v>
      </c>
      <c r="BB559" s="286" t="n">
        <f aca="false">IFERROR(SUMIF($AO$4:$AZ$4, "SME", AO559:AZ559), "")</f>
        <v>0</v>
      </c>
      <c r="BC559" s="286" t="n">
        <f aca="false">IFERROR(SUMIF($Y$4:$AJ$4, "De Minimis", AO559:AZ559), "")</f>
        <v>0</v>
      </c>
      <c r="BD559" s="287"/>
      <c r="BE559" s="288" t="str">
        <f aca="false">IF((SUM(L559:W559)&gt;1),"ERROR","")</f>
        <v/>
      </c>
    </row>
    <row r="560" customFormat="false" ht="15" hidden="false" customHeight="true" outlineLevel="0" collapsed="false">
      <c r="B560" s="333"/>
      <c r="C560" s="334"/>
      <c r="D560" s="333" t="n">
        <f aca="false">D544</f>
        <v>45505</v>
      </c>
      <c r="E560" s="277" t="n">
        <v>0</v>
      </c>
      <c r="F560" s="277" t="n">
        <v>0</v>
      </c>
      <c r="G560" s="277" t="n">
        <f aca="false">SUM(E560:F560)</f>
        <v>0</v>
      </c>
      <c r="H560" s="204"/>
      <c r="I560" s="279" t="n">
        <v>1</v>
      </c>
      <c r="J560" s="280" t="n">
        <f aca="false">1-I560</f>
        <v>0</v>
      </c>
      <c r="K560" s="277"/>
      <c r="L560" s="282"/>
      <c r="M560" s="282"/>
      <c r="N560" s="282"/>
      <c r="O560" s="282"/>
      <c r="P560" s="282"/>
      <c r="Q560" s="282"/>
      <c r="R560" s="282"/>
      <c r="S560" s="282"/>
      <c r="T560" s="282"/>
      <c r="U560" s="282"/>
      <c r="V560" s="282"/>
      <c r="W560" s="282"/>
      <c r="X560" s="283"/>
      <c r="Y560" s="284" t="n">
        <f aca="false">IFERROR(L560*$G560*I$9, "")</f>
        <v>0</v>
      </c>
      <c r="Z560" s="284" t="n">
        <f aca="false">IFERROR(M560*$G560*$I560, "")</f>
        <v>0</v>
      </c>
      <c r="AA560" s="284" t="n">
        <f aca="false">IFERROR(N560*$G560*$I560, "")</f>
        <v>0</v>
      </c>
      <c r="AB560" s="284" t="n">
        <f aca="false">IFERROR(O560*$G560*$I560, "")</f>
        <v>0</v>
      </c>
      <c r="AC560" s="284" t="n">
        <f aca="false">IFERROR(P560*$G560*$I560, "")</f>
        <v>0</v>
      </c>
      <c r="AD560" s="284" t="n">
        <f aca="false">IFERROR(Q560*$G560*$I560, "")</f>
        <v>0</v>
      </c>
      <c r="AE560" s="284" t="n">
        <f aca="false">IFERROR(R560*$G560*$I560, "")</f>
        <v>0</v>
      </c>
      <c r="AF560" s="284" t="n">
        <f aca="false">IFERROR(S560*$G560*$I560, "")</f>
        <v>0</v>
      </c>
      <c r="AG560" s="284" t="n">
        <f aca="false">IFERROR(T560*$G560*$I560, "")</f>
        <v>0</v>
      </c>
      <c r="AH560" s="284" t="n">
        <f aca="false">IFERROR(U560*$G560*$I560, "")</f>
        <v>0</v>
      </c>
      <c r="AI560" s="284" t="n">
        <f aca="false">IFERROR(V560*$G560*$I560, "")</f>
        <v>0</v>
      </c>
      <c r="AJ560" s="284" t="n">
        <f aca="false">IFERROR(W560*$G560*$I560, "")</f>
        <v>0</v>
      </c>
      <c r="AK560" s="286" t="n">
        <f aca="false">IFERROR(SUMIF($Y$4:$AJ$4, "RDEC", Y560:AJ560), "")</f>
        <v>0</v>
      </c>
      <c r="AL560" s="286" t="n">
        <f aca="false">IFERROR(SUMIF($Y$4:$AJ$4, "SME", Y560:AJ560), "")</f>
        <v>0</v>
      </c>
      <c r="AM560" s="286" t="n">
        <f aca="false">IFERROR(SUMIF($Y$4:$AJ$4, "De Minimis", Y560:AJ560), "")</f>
        <v>0</v>
      </c>
      <c r="AN560" s="283"/>
      <c r="AO560" s="284" t="n">
        <f aca="false">IFERROR($G560*$J560*L560, "")</f>
        <v>0</v>
      </c>
      <c r="AP560" s="284" t="n">
        <f aca="false">IFERROR($G560*$J560*M560, "")</f>
        <v>0</v>
      </c>
      <c r="AQ560" s="284" t="n">
        <f aca="false">IFERROR($G560*$J560*N560, "")</f>
        <v>0</v>
      </c>
      <c r="AR560" s="284" t="n">
        <f aca="false">IFERROR($G560*$J560*O560, "")</f>
        <v>0</v>
      </c>
      <c r="AS560" s="284" t="n">
        <f aca="false">IFERROR($G560*$J560*P560, "")</f>
        <v>0</v>
      </c>
      <c r="AT560" s="284" t="n">
        <f aca="false">IFERROR($G560*$J560*Q560, "")</f>
        <v>0</v>
      </c>
      <c r="AU560" s="284" t="n">
        <f aca="false">IFERROR($G560*$J560*R560, "")</f>
        <v>0</v>
      </c>
      <c r="AV560" s="284" t="n">
        <f aca="false">IFERROR($G560*$J560*S560, "")</f>
        <v>0</v>
      </c>
      <c r="AW560" s="284" t="n">
        <f aca="false">IFERROR($G560*$J560*T560, "")</f>
        <v>0</v>
      </c>
      <c r="AX560" s="284" t="n">
        <f aca="false">IFERROR($G560*$J560*U560, "")</f>
        <v>0</v>
      </c>
      <c r="AY560" s="284" t="n">
        <f aca="false">IFERROR($G560*$J560*V560, "")</f>
        <v>0</v>
      </c>
      <c r="AZ560" s="284" t="n">
        <f aca="false">IFERROR($G560*$J560*W560, "")</f>
        <v>0</v>
      </c>
      <c r="BA560" s="286" t="n">
        <f aca="false">IFERROR(SUMIF($AO$4:$AZ$4, "RDEC", AO560:AZ560), "")</f>
        <v>0</v>
      </c>
      <c r="BB560" s="286" t="n">
        <f aca="false">IFERROR(SUMIF($AO$4:$AZ$4, "SME", AO560:AZ560), "")</f>
        <v>0</v>
      </c>
      <c r="BC560" s="286" t="n">
        <f aca="false">IFERROR(SUMIF($Y$4:$AJ$4, "De Minimis", AO560:AZ560), "")</f>
        <v>0</v>
      </c>
      <c r="BD560" s="287"/>
      <c r="BE560" s="288" t="str">
        <f aca="false">IF((SUM(L560:W560)&gt;1),"ERROR","")</f>
        <v/>
      </c>
    </row>
    <row r="561" customFormat="false" ht="15" hidden="false" customHeight="true" outlineLevel="0" collapsed="false">
      <c r="B561" s="333"/>
      <c r="C561" s="334"/>
      <c r="D561" s="333" t="n">
        <f aca="false">D545</f>
        <v>45536</v>
      </c>
      <c r="E561" s="277" t="n">
        <v>0</v>
      </c>
      <c r="F561" s="277" t="n">
        <v>0</v>
      </c>
      <c r="G561" s="277" t="n">
        <f aca="false">SUM(E561:F561)</f>
        <v>0</v>
      </c>
      <c r="H561" s="204"/>
      <c r="I561" s="279" t="n">
        <v>1</v>
      </c>
      <c r="J561" s="280" t="n">
        <f aca="false">1-I561</f>
        <v>0</v>
      </c>
      <c r="K561" s="277"/>
      <c r="L561" s="282"/>
      <c r="M561" s="282"/>
      <c r="N561" s="282"/>
      <c r="O561" s="282"/>
      <c r="P561" s="282"/>
      <c r="Q561" s="282"/>
      <c r="R561" s="282"/>
      <c r="S561" s="282"/>
      <c r="T561" s="282"/>
      <c r="U561" s="282"/>
      <c r="V561" s="282"/>
      <c r="W561" s="282"/>
      <c r="X561" s="283"/>
      <c r="Y561" s="284" t="n">
        <f aca="false">IFERROR(L561*$G561*I$9, "")</f>
        <v>0</v>
      </c>
      <c r="Z561" s="284" t="n">
        <f aca="false">IFERROR(M561*$G561*$I561, "")</f>
        <v>0</v>
      </c>
      <c r="AA561" s="284" t="n">
        <f aca="false">IFERROR(N561*$G561*$I561, "")</f>
        <v>0</v>
      </c>
      <c r="AB561" s="284" t="n">
        <f aca="false">IFERROR(O561*$G561*$I561, "")</f>
        <v>0</v>
      </c>
      <c r="AC561" s="284" t="n">
        <f aca="false">IFERROR(P561*$G561*$I561, "")</f>
        <v>0</v>
      </c>
      <c r="AD561" s="284" t="n">
        <f aca="false">IFERROR(Q561*$G561*$I561, "")</f>
        <v>0</v>
      </c>
      <c r="AE561" s="284" t="n">
        <f aca="false">IFERROR(R561*$G561*$I561, "")</f>
        <v>0</v>
      </c>
      <c r="AF561" s="284" t="n">
        <f aca="false">IFERROR(S561*$G561*$I561, "")</f>
        <v>0</v>
      </c>
      <c r="AG561" s="284" t="n">
        <f aca="false">IFERROR(T561*$G561*$I561, "")</f>
        <v>0</v>
      </c>
      <c r="AH561" s="284" t="n">
        <f aca="false">IFERROR(U561*$G561*$I561, "")</f>
        <v>0</v>
      </c>
      <c r="AI561" s="284" t="n">
        <f aca="false">IFERROR(V561*$G561*$I561, "")</f>
        <v>0</v>
      </c>
      <c r="AJ561" s="284" t="n">
        <f aca="false">IFERROR(W561*$G561*$I561, "")</f>
        <v>0</v>
      </c>
      <c r="AK561" s="286" t="n">
        <f aca="false">IFERROR(SUMIF($Y$4:$AJ$4, "RDEC", Y561:AJ561), "")</f>
        <v>0</v>
      </c>
      <c r="AL561" s="286" t="n">
        <f aca="false">IFERROR(SUMIF($Y$4:$AJ$4, "SME", Y561:AJ561), "")</f>
        <v>0</v>
      </c>
      <c r="AM561" s="286" t="n">
        <f aca="false">IFERROR(SUMIF($Y$4:$AJ$4, "De Minimis", Y561:AJ561), "")</f>
        <v>0</v>
      </c>
      <c r="AN561" s="283"/>
      <c r="AO561" s="284" t="n">
        <f aca="false">IFERROR($G561*$J561*L561, "")</f>
        <v>0</v>
      </c>
      <c r="AP561" s="284" t="n">
        <f aca="false">IFERROR($G561*$J561*M561, "")</f>
        <v>0</v>
      </c>
      <c r="AQ561" s="284" t="n">
        <f aca="false">IFERROR($G561*$J561*N561, "")</f>
        <v>0</v>
      </c>
      <c r="AR561" s="284" t="n">
        <f aca="false">IFERROR($G561*$J561*O561, "")</f>
        <v>0</v>
      </c>
      <c r="AS561" s="284" t="n">
        <f aca="false">IFERROR($G561*$J561*P561, "")</f>
        <v>0</v>
      </c>
      <c r="AT561" s="284" t="n">
        <f aca="false">IFERROR($G561*$J561*Q561, "")</f>
        <v>0</v>
      </c>
      <c r="AU561" s="284" t="n">
        <f aca="false">IFERROR($G561*$J561*R561, "")</f>
        <v>0</v>
      </c>
      <c r="AV561" s="284" t="n">
        <f aca="false">IFERROR($G561*$J561*S561, "")</f>
        <v>0</v>
      </c>
      <c r="AW561" s="284" t="n">
        <f aca="false">IFERROR($G561*$J561*T561, "")</f>
        <v>0</v>
      </c>
      <c r="AX561" s="284" t="n">
        <f aca="false">IFERROR($G561*$J561*U561, "")</f>
        <v>0</v>
      </c>
      <c r="AY561" s="284" t="n">
        <f aca="false">IFERROR($G561*$J561*V561, "")</f>
        <v>0</v>
      </c>
      <c r="AZ561" s="284" t="n">
        <f aca="false">IFERROR($G561*$J561*W561, "")</f>
        <v>0</v>
      </c>
      <c r="BA561" s="286" t="n">
        <f aca="false">IFERROR(SUMIF($AO$4:$AZ$4, "RDEC", AO561:AZ561), "")</f>
        <v>0</v>
      </c>
      <c r="BB561" s="286" t="n">
        <f aca="false">IFERROR(SUMIF($AO$4:$AZ$4, "SME", AO561:AZ561), "")</f>
        <v>0</v>
      </c>
      <c r="BC561" s="286" t="n">
        <f aca="false">IFERROR(SUMIF($Y$4:$AJ$4, "De Minimis", AO561:AZ561), "")</f>
        <v>0</v>
      </c>
      <c r="BD561" s="287"/>
      <c r="BE561" s="288" t="str">
        <f aca="false">IF((SUM(L561:W561)&gt;1),"ERROR","")</f>
        <v/>
      </c>
    </row>
    <row r="562" customFormat="false" ht="15" hidden="false" customHeight="true" outlineLevel="0" collapsed="false">
      <c r="B562" s="333"/>
      <c r="C562" s="334"/>
      <c r="D562" s="333" t="n">
        <f aca="false">D546</f>
        <v>45566</v>
      </c>
      <c r="E562" s="277" t="n">
        <v>0</v>
      </c>
      <c r="F562" s="277" t="n">
        <v>0</v>
      </c>
      <c r="G562" s="277" t="n">
        <f aca="false">SUM(E562:F562)</f>
        <v>0</v>
      </c>
      <c r="H562" s="204"/>
      <c r="I562" s="279" t="n">
        <v>1</v>
      </c>
      <c r="J562" s="280" t="n">
        <f aca="false">1-I562</f>
        <v>0</v>
      </c>
      <c r="K562" s="277"/>
      <c r="L562" s="282"/>
      <c r="M562" s="282"/>
      <c r="N562" s="282"/>
      <c r="O562" s="282"/>
      <c r="P562" s="282"/>
      <c r="Q562" s="282"/>
      <c r="R562" s="282"/>
      <c r="S562" s="282"/>
      <c r="T562" s="282"/>
      <c r="U562" s="282"/>
      <c r="V562" s="282"/>
      <c r="W562" s="282"/>
      <c r="X562" s="283"/>
      <c r="Y562" s="284" t="n">
        <f aca="false">IFERROR(L562*$G562*I$9, "")</f>
        <v>0</v>
      </c>
      <c r="Z562" s="284" t="n">
        <f aca="false">IFERROR(M562*$G562*$I562, "")</f>
        <v>0</v>
      </c>
      <c r="AA562" s="284" t="n">
        <f aca="false">IFERROR(N562*$G562*$I562, "")</f>
        <v>0</v>
      </c>
      <c r="AB562" s="284" t="n">
        <f aca="false">IFERROR(O562*$G562*$I562, "")</f>
        <v>0</v>
      </c>
      <c r="AC562" s="284" t="n">
        <f aca="false">IFERROR(P562*$G562*$I562, "")</f>
        <v>0</v>
      </c>
      <c r="AD562" s="284" t="n">
        <f aca="false">IFERROR(Q562*$G562*$I562, "")</f>
        <v>0</v>
      </c>
      <c r="AE562" s="284" t="n">
        <f aca="false">IFERROR(R562*$G562*$I562, "")</f>
        <v>0</v>
      </c>
      <c r="AF562" s="284" t="n">
        <f aca="false">IFERROR(S562*$G562*$I562, "")</f>
        <v>0</v>
      </c>
      <c r="AG562" s="284" t="n">
        <f aca="false">IFERROR(T562*$G562*$I562, "")</f>
        <v>0</v>
      </c>
      <c r="AH562" s="284" t="n">
        <f aca="false">IFERROR(U562*$G562*$I562, "")</f>
        <v>0</v>
      </c>
      <c r="AI562" s="284" t="n">
        <f aca="false">IFERROR(V562*$G562*$I562, "")</f>
        <v>0</v>
      </c>
      <c r="AJ562" s="284" t="n">
        <f aca="false">IFERROR(W562*$G562*$I562, "")</f>
        <v>0</v>
      </c>
      <c r="AK562" s="286" t="n">
        <f aca="false">IFERROR(SUMIF($Y$4:$AJ$4, "RDEC", Y562:AJ562), "")</f>
        <v>0</v>
      </c>
      <c r="AL562" s="286" t="n">
        <f aca="false">IFERROR(SUMIF($Y$4:$AJ$4, "SME", Y562:AJ562), "")</f>
        <v>0</v>
      </c>
      <c r="AM562" s="286" t="n">
        <f aca="false">IFERROR(SUMIF($Y$4:$AJ$4, "De Minimis", Y562:AJ562), "")</f>
        <v>0</v>
      </c>
      <c r="AN562" s="283"/>
      <c r="AO562" s="284" t="n">
        <f aca="false">IFERROR($G562*$J562*L562, "")</f>
        <v>0</v>
      </c>
      <c r="AP562" s="284" t="n">
        <f aca="false">IFERROR($G562*$J562*M562, "")</f>
        <v>0</v>
      </c>
      <c r="AQ562" s="284" t="n">
        <f aca="false">IFERROR($G562*$J562*N562, "")</f>
        <v>0</v>
      </c>
      <c r="AR562" s="284" t="n">
        <f aca="false">IFERROR($G562*$J562*O562, "")</f>
        <v>0</v>
      </c>
      <c r="AS562" s="284" t="n">
        <f aca="false">IFERROR($G562*$J562*P562, "")</f>
        <v>0</v>
      </c>
      <c r="AT562" s="284" t="n">
        <f aca="false">IFERROR($G562*$J562*Q562, "")</f>
        <v>0</v>
      </c>
      <c r="AU562" s="284" t="n">
        <f aca="false">IFERROR($G562*$J562*R562, "")</f>
        <v>0</v>
      </c>
      <c r="AV562" s="284" t="n">
        <f aca="false">IFERROR($G562*$J562*S562, "")</f>
        <v>0</v>
      </c>
      <c r="AW562" s="284" t="n">
        <f aca="false">IFERROR($G562*$J562*T562, "")</f>
        <v>0</v>
      </c>
      <c r="AX562" s="284" t="n">
        <f aca="false">IFERROR($G562*$J562*U562, "")</f>
        <v>0</v>
      </c>
      <c r="AY562" s="284" t="n">
        <f aca="false">IFERROR($G562*$J562*V562, "")</f>
        <v>0</v>
      </c>
      <c r="AZ562" s="284" t="n">
        <f aca="false">IFERROR($G562*$J562*W562, "")</f>
        <v>0</v>
      </c>
      <c r="BA562" s="286" t="n">
        <f aca="false">IFERROR(SUMIF($AO$4:$AZ$4, "RDEC", AO562:AZ562), "")</f>
        <v>0</v>
      </c>
      <c r="BB562" s="286" t="n">
        <f aca="false">IFERROR(SUMIF($AO$4:$AZ$4, "SME", AO562:AZ562), "")</f>
        <v>0</v>
      </c>
      <c r="BC562" s="286" t="n">
        <f aca="false">IFERROR(SUMIF($Y$4:$AJ$4, "De Minimis", AO562:AZ562), "")</f>
        <v>0</v>
      </c>
      <c r="BD562" s="287"/>
      <c r="BE562" s="288" t="str">
        <f aca="false">IF((SUM(L562:W562)&gt;1),"ERROR","")</f>
        <v/>
      </c>
    </row>
    <row r="563" customFormat="false" ht="15" hidden="false" customHeight="true" outlineLevel="0" collapsed="false">
      <c r="B563" s="333"/>
      <c r="C563" s="334"/>
      <c r="D563" s="333" t="n">
        <f aca="false">D547</f>
        <v>45597</v>
      </c>
      <c r="E563" s="277" t="n">
        <v>0</v>
      </c>
      <c r="F563" s="277" t="n">
        <v>0</v>
      </c>
      <c r="G563" s="277" t="n">
        <f aca="false">SUM(E563:F563)</f>
        <v>0</v>
      </c>
      <c r="H563" s="204"/>
      <c r="I563" s="279" t="n">
        <v>1</v>
      </c>
      <c r="J563" s="280" t="n">
        <f aca="false">1-I563</f>
        <v>0</v>
      </c>
      <c r="K563" s="277"/>
      <c r="L563" s="282"/>
      <c r="M563" s="282"/>
      <c r="N563" s="282"/>
      <c r="O563" s="282"/>
      <c r="P563" s="282"/>
      <c r="Q563" s="282"/>
      <c r="R563" s="282"/>
      <c r="S563" s="282"/>
      <c r="T563" s="282"/>
      <c r="U563" s="282"/>
      <c r="V563" s="282"/>
      <c r="W563" s="282"/>
      <c r="X563" s="283"/>
      <c r="Y563" s="284" t="n">
        <f aca="false">IFERROR(L563*$G563*I$9, "")</f>
        <v>0</v>
      </c>
      <c r="Z563" s="284" t="n">
        <f aca="false">IFERROR(M563*$G563*$I563, "")</f>
        <v>0</v>
      </c>
      <c r="AA563" s="284" t="n">
        <f aca="false">IFERROR(N563*$G563*$I563, "")</f>
        <v>0</v>
      </c>
      <c r="AB563" s="284" t="n">
        <f aca="false">IFERROR(O563*$G563*$I563, "")</f>
        <v>0</v>
      </c>
      <c r="AC563" s="284" t="n">
        <f aca="false">IFERROR(P563*$G563*$I563, "")</f>
        <v>0</v>
      </c>
      <c r="AD563" s="284" t="n">
        <f aca="false">IFERROR(Q563*$G563*$I563, "")</f>
        <v>0</v>
      </c>
      <c r="AE563" s="284" t="n">
        <f aca="false">IFERROR(R563*$G563*$I563, "")</f>
        <v>0</v>
      </c>
      <c r="AF563" s="284" t="n">
        <f aca="false">IFERROR(S563*$G563*$I563, "")</f>
        <v>0</v>
      </c>
      <c r="AG563" s="284" t="n">
        <f aca="false">IFERROR(T563*$G563*$I563, "")</f>
        <v>0</v>
      </c>
      <c r="AH563" s="284" t="n">
        <f aca="false">IFERROR(U563*$G563*$I563, "")</f>
        <v>0</v>
      </c>
      <c r="AI563" s="284" t="n">
        <f aca="false">IFERROR(V563*$G563*$I563, "")</f>
        <v>0</v>
      </c>
      <c r="AJ563" s="284" t="n">
        <f aca="false">IFERROR(W563*$G563*$I563, "")</f>
        <v>0</v>
      </c>
      <c r="AK563" s="286" t="n">
        <f aca="false">IFERROR(SUMIF($Y$4:$AJ$4, "RDEC", Y563:AJ563), "")</f>
        <v>0</v>
      </c>
      <c r="AL563" s="286" t="n">
        <f aca="false">IFERROR(SUMIF($Y$4:$AJ$4, "SME", Y563:AJ563), "")</f>
        <v>0</v>
      </c>
      <c r="AM563" s="286" t="n">
        <f aca="false">IFERROR(SUMIF($Y$4:$AJ$4, "De Minimis", Y563:AJ563), "")</f>
        <v>0</v>
      </c>
      <c r="AN563" s="283"/>
      <c r="AO563" s="284" t="n">
        <f aca="false">IFERROR($G563*$J563*L563, "")</f>
        <v>0</v>
      </c>
      <c r="AP563" s="284" t="n">
        <f aca="false">IFERROR($G563*$J563*M563, "")</f>
        <v>0</v>
      </c>
      <c r="AQ563" s="284" t="n">
        <f aca="false">IFERROR($G563*$J563*N563, "")</f>
        <v>0</v>
      </c>
      <c r="AR563" s="284" t="n">
        <f aca="false">IFERROR($G563*$J563*O563, "")</f>
        <v>0</v>
      </c>
      <c r="AS563" s="284" t="n">
        <f aca="false">IFERROR($G563*$J563*P563, "")</f>
        <v>0</v>
      </c>
      <c r="AT563" s="284" t="n">
        <f aca="false">IFERROR($G563*$J563*Q563, "")</f>
        <v>0</v>
      </c>
      <c r="AU563" s="284" t="n">
        <f aca="false">IFERROR($G563*$J563*R563, "")</f>
        <v>0</v>
      </c>
      <c r="AV563" s="284" t="n">
        <f aca="false">IFERROR($G563*$J563*S563, "")</f>
        <v>0</v>
      </c>
      <c r="AW563" s="284" t="n">
        <f aca="false">IFERROR($G563*$J563*T563, "")</f>
        <v>0</v>
      </c>
      <c r="AX563" s="284" t="n">
        <f aca="false">IFERROR($G563*$J563*U563, "")</f>
        <v>0</v>
      </c>
      <c r="AY563" s="284" t="n">
        <f aca="false">IFERROR($G563*$J563*V563, "")</f>
        <v>0</v>
      </c>
      <c r="AZ563" s="284" t="n">
        <f aca="false">IFERROR($G563*$J563*W563, "")</f>
        <v>0</v>
      </c>
      <c r="BA563" s="286" t="n">
        <f aca="false">IFERROR(SUMIF($AO$4:$AZ$4, "RDEC", AO563:AZ563), "")</f>
        <v>0</v>
      </c>
      <c r="BB563" s="286" t="n">
        <f aca="false">IFERROR(SUMIF($AO$4:$AZ$4, "SME", AO563:AZ563), "")</f>
        <v>0</v>
      </c>
      <c r="BC563" s="286" t="n">
        <f aca="false">IFERROR(SUMIF($Y$4:$AJ$4, "De Minimis", AO563:AZ563), "")</f>
        <v>0</v>
      </c>
      <c r="BD563" s="287"/>
      <c r="BE563" s="288" t="str">
        <f aca="false">IF((SUM(L563:W563)&gt;1),"ERROR","")</f>
        <v/>
      </c>
    </row>
    <row r="564" customFormat="false" ht="15" hidden="false" customHeight="true" outlineLevel="0" collapsed="false">
      <c r="B564" s="333"/>
      <c r="C564" s="334"/>
      <c r="D564" s="333" t="n">
        <f aca="false">D548</f>
        <v>45627</v>
      </c>
      <c r="E564" s="277" t="n">
        <v>0</v>
      </c>
      <c r="F564" s="277" t="n">
        <v>0</v>
      </c>
      <c r="G564" s="277" t="n">
        <f aca="false">SUM(E564:F564)</f>
        <v>0</v>
      </c>
      <c r="H564" s="300"/>
      <c r="I564" s="289" t="n">
        <v>1</v>
      </c>
      <c r="J564" s="290" t="n">
        <f aca="false">1-I564</f>
        <v>0</v>
      </c>
      <c r="K564" s="300"/>
      <c r="L564" s="291"/>
      <c r="M564" s="291"/>
      <c r="N564" s="291"/>
      <c r="O564" s="291"/>
      <c r="P564" s="291"/>
      <c r="Q564" s="291"/>
      <c r="R564" s="291"/>
      <c r="S564" s="291"/>
      <c r="T564" s="291"/>
      <c r="U564" s="291"/>
      <c r="V564" s="291"/>
      <c r="W564" s="291"/>
      <c r="X564" s="283"/>
      <c r="Y564" s="284" t="n">
        <f aca="false">IFERROR(L564*$G564*I$9, "")</f>
        <v>0</v>
      </c>
      <c r="Z564" s="284" t="n">
        <f aca="false">IFERROR(M564*$G564*$I564, "")</f>
        <v>0</v>
      </c>
      <c r="AA564" s="284" t="n">
        <f aca="false">IFERROR(N564*$G564*$I564, "")</f>
        <v>0</v>
      </c>
      <c r="AB564" s="284" t="n">
        <f aca="false">IFERROR(O564*$G564*$I564, "")</f>
        <v>0</v>
      </c>
      <c r="AC564" s="284" t="n">
        <f aca="false">IFERROR(P564*$G564*$I564, "")</f>
        <v>0</v>
      </c>
      <c r="AD564" s="284" t="n">
        <f aca="false">IFERROR(Q564*$G564*$I564, "")</f>
        <v>0</v>
      </c>
      <c r="AE564" s="284" t="n">
        <f aca="false">IFERROR(R564*$G564*$I564, "")</f>
        <v>0</v>
      </c>
      <c r="AF564" s="284" t="n">
        <f aca="false">IFERROR(S564*$G564*$I564, "")</f>
        <v>0</v>
      </c>
      <c r="AG564" s="284" t="n">
        <f aca="false">IFERROR(T564*$G564*$I564, "")</f>
        <v>0</v>
      </c>
      <c r="AH564" s="284" t="n">
        <f aca="false">IFERROR(U564*$G564*$I564, "")</f>
        <v>0</v>
      </c>
      <c r="AI564" s="284" t="n">
        <f aca="false">IFERROR(V564*$G564*$I564, "")</f>
        <v>0</v>
      </c>
      <c r="AJ564" s="284" t="n">
        <f aca="false">IFERROR(W564*$G564*$I564, "")</f>
        <v>0</v>
      </c>
      <c r="AK564" s="294" t="n">
        <f aca="false">IFERROR(SUMIF($Y$4:$AJ$4, "RDEC", Y564:AJ564), "")</f>
        <v>0</v>
      </c>
      <c r="AL564" s="294" t="n">
        <f aca="false">IFERROR(SUMIF($Y$4:$AJ$4, "SME", Y564:AJ564), "")</f>
        <v>0</v>
      </c>
      <c r="AM564" s="294" t="n">
        <f aca="false">IFERROR(SUMIF($Y$4:$AJ$4, "De Minimis", Y564:AJ564), "")</f>
        <v>0</v>
      </c>
      <c r="AN564" s="283"/>
      <c r="AO564" s="284" t="n">
        <f aca="false">IFERROR($G564*$J564*L564, "")</f>
        <v>0</v>
      </c>
      <c r="AP564" s="284" t="n">
        <f aca="false">IFERROR($G564*$J564*M564, "")</f>
        <v>0</v>
      </c>
      <c r="AQ564" s="284" t="n">
        <f aca="false">IFERROR($G564*$J564*N564, "")</f>
        <v>0</v>
      </c>
      <c r="AR564" s="284" t="n">
        <f aca="false">IFERROR($G564*$J564*O564, "")</f>
        <v>0</v>
      </c>
      <c r="AS564" s="284" t="n">
        <f aca="false">IFERROR($G564*$J564*P564, "")</f>
        <v>0</v>
      </c>
      <c r="AT564" s="284" t="n">
        <f aca="false">IFERROR($G564*$J564*Q564, "")</f>
        <v>0</v>
      </c>
      <c r="AU564" s="284" t="n">
        <f aca="false">IFERROR($G564*$J564*R564, "")</f>
        <v>0</v>
      </c>
      <c r="AV564" s="284" t="n">
        <f aca="false">IFERROR($G564*$J564*S564, "")</f>
        <v>0</v>
      </c>
      <c r="AW564" s="284" t="n">
        <f aca="false">IFERROR($G564*$J564*T564, "")</f>
        <v>0</v>
      </c>
      <c r="AX564" s="284" t="n">
        <f aca="false">IFERROR($G564*$J564*U564, "")</f>
        <v>0</v>
      </c>
      <c r="AY564" s="284" t="n">
        <f aca="false">IFERROR($G564*$J564*V564, "")</f>
        <v>0</v>
      </c>
      <c r="AZ564" s="284" t="n">
        <f aca="false">IFERROR($G564*$J564*W564, "")</f>
        <v>0</v>
      </c>
      <c r="BA564" s="286" t="n">
        <f aca="false">IFERROR(SUMIF($AO$4:$AZ$4, "RDEC", AO564:AZ564), "")</f>
        <v>0</v>
      </c>
      <c r="BB564" s="286" t="n">
        <f aca="false">IFERROR(SUMIF($AO$4:$AZ$4, "SME", AO564:AZ564), "")</f>
        <v>0</v>
      </c>
      <c r="BC564" s="294" t="n">
        <f aca="false">IFERROR(SUMIF($Y$4:$AJ$4, "De Minimis", AO564:AZ564), "")</f>
        <v>0</v>
      </c>
      <c r="BD564" s="303"/>
      <c r="BE564" s="295" t="str">
        <f aca="false">IF((SUM(L564:W564)&gt;1),"ERROR","")</f>
        <v/>
      </c>
    </row>
    <row r="565" customFormat="false" ht="15" hidden="false" customHeight="true" outlineLevel="0" collapsed="false">
      <c r="B565" s="296"/>
      <c r="D565" s="297" t="s">
        <v>82</v>
      </c>
      <c r="E565" s="299" t="n">
        <f aca="false">SUM(E553:E564)</f>
        <v>0</v>
      </c>
      <c r="F565" s="299" t="n">
        <f aca="false">SUM(F553:F564)</f>
        <v>0</v>
      </c>
      <c r="G565" s="299" t="n">
        <f aca="false">SUM(G553:G564)</f>
        <v>0</v>
      </c>
      <c r="H565" s="300"/>
      <c r="I565" s="301" t="n">
        <f aca="false">AVERAGE(I553:I564)</f>
        <v>1</v>
      </c>
      <c r="J565" s="301" t="n">
        <f aca="false">AVERAGE(J553:J564)</f>
        <v>0</v>
      </c>
      <c r="K565" s="300"/>
      <c r="L565" s="290" t="n">
        <f aca="false">IF(SUM(L553:L564)&gt;0,(Y565/G565),0)</f>
        <v>0</v>
      </c>
      <c r="M565" s="301" t="n">
        <f aca="false">IF(SUM(M553:M564)&gt;0,(Z565/G565),0)</f>
        <v>0</v>
      </c>
      <c r="N565" s="301" t="n">
        <f aca="false">IF(SUM(N553:N564)&gt;0,(AA565/G565),0)</f>
        <v>0</v>
      </c>
      <c r="O565" s="301" t="n">
        <f aca="false">IF(SUM(O553:O564)&gt;0,(AB565/G565),0)</f>
        <v>0</v>
      </c>
      <c r="P565" s="301" t="n">
        <f aca="false">IF(SUM(P553:P564)&gt;0,(AC565/G565),0)</f>
        <v>0</v>
      </c>
      <c r="Q565" s="301" t="n">
        <f aca="false">IF(SUM(Q553:Q564)&gt;0,(AD565/G565),0)</f>
        <v>0</v>
      </c>
      <c r="R565" s="301" t="n">
        <f aca="false">IF(SUM(R553:R564)&gt;0,(AE565/G565),0)</f>
        <v>0</v>
      </c>
      <c r="S565" s="301" t="n">
        <f aca="false">IF(SUM(S553:S564)&gt;0,(AF565/G565),0)</f>
        <v>0</v>
      </c>
      <c r="T565" s="301" t="n">
        <f aca="false">IF(SUM(T553:T564)&gt;0,(AG565/G565),0)</f>
        <v>0</v>
      </c>
      <c r="U565" s="301" t="n">
        <f aca="false">IF(SUM(U553:U564)&gt;0,(AJ565/G565),0)</f>
        <v>0</v>
      </c>
      <c r="V565" s="301" t="n">
        <f aca="false">IF(SUM(V553:V564)&gt;0,(AI565/G565),0)</f>
        <v>0</v>
      </c>
      <c r="W565" s="301" t="n">
        <f aca="false">IF(SUM(W553:W564)&gt;0,(AJ565/G565),0)</f>
        <v>0</v>
      </c>
      <c r="X565" s="283"/>
      <c r="Y565" s="304" t="n">
        <f aca="false">SUM(Y553:Y564)</f>
        <v>0</v>
      </c>
      <c r="Z565" s="304" t="n">
        <f aca="false">SUM(Z553:Z564)</f>
        <v>0</v>
      </c>
      <c r="AA565" s="304" t="n">
        <f aca="false">SUM(AA553:AA564)</f>
        <v>0</v>
      </c>
      <c r="AB565" s="304" t="n">
        <f aca="false">SUM(AB553:AB564)</f>
        <v>0</v>
      </c>
      <c r="AC565" s="304" t="n">
        <f aca="false">SUM(AC553:AC564)</f>
        <v>0</v>
      </c>
      <c r="AD565" s="304" t="n">
        <f aca="false">SUM(AD553:AD564)</f>
        <v>0</v>
      </c>
      <c r="AE565" s="304" t="n">
        <f aca="false">SUM(AE553:AE564)</f>
        <v>0</v>
      </c>
      <c r="AF565" s="304" t="n">
        <f aca="false">SUM(AF553:AF564)</f>
        <v>0</v>
      </c>
      <c r="AG565" s="304" t="n">
        <f aca="false">SUM(AG553:AG564)</f>
        <v>0</v>
      </c>
      <c r="AH565" s="304" t="n">
        <f aca="false">SUM(AH553:AH564)</f>
        <v>0</v>
      </c>
      <c r="AI565" s="304" t="n">
        <f aca="false">SUM(AI553:AI564)</f>
        <v>0</v>
      </c>
      <c r="AJ565" s="304" t="n">
        <f aca="false">SUM(AJ553:AJ564)</f>
        <v>0</v>
      </c>
      <c r="AK565" s="335" t="n">
        <f aca="false">SUM(AK553:AK564)</f>
        <v>0</v>
      </c>
      <c r="AL565" s="336" t="n">
        <f aca="false">SUM(AL553:AL564)</f>
        <v>0</v>
      </c>
      <c r="AM565" s="305" t="n">
        <f aca="false">SUM(AM553:AM564)</f>
        <v>0</v>
      </c>
      <c r="AN565" s="283"/>
      <c r="AO565" s="304" t="n">
        <f aca="false">SUM(AO553:AO564)</f>
        <v>0</v>
      </c>
      <c r="AP565" s="304" t="n">
        <f aca="false">SUM(AP553:AP564)</f>
        <v>0</v>
      </c>
      <c r="AQ565" s="304" t="n">
        <f aca="false">SUM(AQ553:AQ564)</f>
        <v>0</v>
      </c>
      <c r="AR565" s="304" t="n">
        <f aca="false">SUM(AR553:AR564)</f>
        <v>0</v>
      </c>
      <c r="AS565" s="304" t="n">
        <f aca="false">SUM(AS553:AS564)</f>
        <v>0</v>
      </c>
      <c r="AT565" s="304" t="n">
        <f aca="false">SUM(AT553:AT564)</f>
        <v>0</v>
      </c>
      <c r="AU565" s="304" t="n">
        <f aca="false">SUM(AU553:AU564)</f>
        <v>0</v>
      </c>
      <c r="AV565" s="304" t="n">
        <f aca="false">SUM(AV553:AV564)</f>
        <v>0</v>
      </c>
      <c r="AW565" s="304" t="n">
        <f aca="false">SUM(AW553:AW564)</f>
        <v>0</v>
      </c>
      <c r="AX565" s="304" t="n">
        <f aca="false">SUM(AX553:AX564)</f>
        <v>0</v>
      </c>
      <c r="AY565" s="304" t="n">
        <f aca="false">SUM(AY553:AY564)</f>
        <v>0</v>
      </c>
      <c r="AZ565" s="304" t="n">
        <f aca="false">SUM(AZ553:AZ564)</f>
        <v>0</v>
      </c>
      <c r="BA565" s="336" t="n">
        <f aca="false">SUM(BA553:BA564)</f>
        <v>0</v>
      </c>
      <c r="BB565" s="336" t="n">
        <f aca="false">SUM(BB553:BB564)</f>
        <v>0</v>
      </c>
      <c r="BC565" s="305" t="n">
        <f aca="false">SUM(BC553:BC564)</f>
        <v>0</v>
      </c>
      <c r="BD565" s="303"/>
      <c r="BE565" s="337"/>
    </row>
    <row r="566" customFormat="false" ht="15" hidden="false" customHeight="true" outlineLevel="0" collapsed="false">
      <c r="B566" s="296"/>
      <c r="D566" s="297"/>
      <c r="E566" s="300"/>
      <c r="F566" s="300"/>
      <c r="G566" s="300"/>
      <c r="H566" s="241"/>
      <c r="I566" s="302"/>
      <c r="J566" s="302"/>
      <c r="K566" s="241"/>
      <c r="L566" s="259"/>
      <c r="M566" s="259"/>
      <c r="N566" s="259"/>
      <c r="O566" s="259"/>
      <c r="P566" s="259"/>
      <c r="Q566" s="259"/>
      <c r="R566" s="259"/>
      <c r="S566" s="259"/>
      <c r="T566" s="259"/>
      <c r="U566" s="259"/>
      <c r="V566" s="259"/>
      <c r="W566" s="259"/>
      <c r="X566" s="303"/>
      <c r="Y566" s="259"/>
      <c r="Z566" s="303"/>
      <c r="AA566" s="303"/>
      <c r="AB566" s="303"/>
      <c r="AC566" s="303"/>
      <c r="AD566" s="303"/>
      <c r="AE566" s="303"/>
      <c r="AF566" s="303"/>
      <c r="AG566" s="303"/>
      <c r="AH566" s="303"/>
      <c r="AI566" s="303"/>
      <c r="AJ566" s="303"/>
      <c r="AK566" s="303"/>
      <c r="AL566" s="303"/>
      <c r="AM566" s="303"/>
      <c r="AN566" s="303"/>
      <c r="AO566" s="259"/>
      <c r="AP566" s="303"/>
      <c r="AQ566" s="303"/>
      <c r="AR566" s="303"/>
      <c r="AS566" s="303"/>
      <c r="AT566" s="303"/>
      <c r="AU566" s="303"/>
      <c r="AV566" s="303"/>
      <c r="AW566" s="303"/>
      <c r="AX566" s="303"/>
      <c r="AY566" s="303"/>
      <c r="AZ566" s="303"/>
      <c r="BA566" s="303"/>
      <c r="BB566" s="303"/>
      <c r="BC566" s="303"/>
      <c r="BD566" s="268"/>
      <c r="BE566" s="303"/>
    </row>
    <row r="567" customFormat="false" ht="15" hidden="false" customHeight="true" outlineLevel="0" collapsed="false">
      <c r="A567" s="198" t="n">
        <f aca="false">A551+1</f>
        <v>36</v>
      </c>
      <c r="B567" s="266" t="s">
        <v>253</v>
      </c>
      <c r="C567" s="266" t="s">
        <v>253</v>
      </c>
      <c r="D567" s="266"/>
      <c r="E567" s="241"/>
      <c r="F567" s="241"/>
      <c r="G567" s="241"/>
      <c r="H567" s="241"/>
      <c r="I567" s="241"/>
      <c r="J567" s="241"/>
      <c r="K567" s="277"/>
      <c r="L567" s="241"/>
      <c r="M567" s="241"/>
      <c r="N567" s="241"/>
      <c r="O567" s="241"/>
      <c r="P567" s="241"/>
      <c r="Q567" s="241"/>
      <c r="R567" s="241"/>
      <c r="S567" s="241"/>
      <c r="T567" s="241"/>
      <c r="U567" s="241"/>
      <c r="V567" s="241"/>
      <c r="W567" s="241"/>
      <c r="X567" s="259"/>
      <c r="Y567" s="268"/>
      <c r="Z567" s="268"/>
      <c r="AA567" s="268"/>
      <c r="AB567" s="268"/>
      <c r="AC567" s="268"/>
      <c r="AD567" s="268"/>
      <c r="AE567" s="268"/>
      <c r="AF567" s="268"/>
      <c r="AG567" s="268"/>
      <c r="AH567" s="268"/>
      <c r="AI567" s="268"/>
      <c r="AJ567" s="268"/>
      <c r="AK567" s="268"/>
      <c r="AL567" s="268"/>
      <c r="AM567" s="268"/>
      <c r="AN567" s="259"/>
      <c r="AO567" s="268"/>
      <c r="AP567" s="268"/>
      <c r="AQ567" s="268"/>
      <c r="AR567" s="268"/>
      <c r="AS567" s="268"/>
      <c r="AT567" s="268"/>
      <c r="AU567" s="268"/>
      <c r="AV567" s="268"/>
      <c r="AW567" s="268"/>
      <c r="AX567" s="268"/>
      <c r="AY567" s="268"/>
      <c r="AZ567" s="268"/>
      <c r="BA567" s="268"/>
      <c r="BB567" s="268"/>
      <c r="BC567" s="268"/>
      <c r="BD567" s="287"/>
      <c r="BE567" s="268"/>
    </row>
    <row r="568" customFormat="false" ht="7.5" hidden="false" customHeight="true" outlineLevel="0" collapsed="false">
      <c r="A568" s="198"/>
      <c r="B568" s="266"/>
      <c r="C568" s="266"/>
      <c r="D568" s="266"/>
      <c r="E568" s="241"/>
      <c r="F568" s="241"/>
      <c r="G568" s="241"/>
      <c r="H568" s="204"/>
      <c r="I568" s="269"/>
      <c r="J568" s="269"/>
      <c r="K568" s="277"/>
      <c r="L568" s="269"/>
      <c r="M568" s="269"/>
      <c r="N568" s="269"/>
      <c r="O568" s="269"/>
      <c r="P568" s="269"/>
      <c r="Q568" s="269"/>
      <c r="R568" s="269"/>
      <c r="S568" s="269"/>
      <c r="T568" s="269"/>
      <c r="U568" s="269"/>
      <c r="V568" s="269"/>
      <c r="W568" s="269"/>
      <c r="X568" s="259"/>
      <c r="Y568" s="271"/>
      <c r="Z568" s="271"/>
      <c r="AA568" s="271"/>
      <c r="AB568" s="271"/>
      <c r="AC568" s="271"/>
      <c r="AD568" s="271"/>
      <c r="AE568" s="271"/>
      <c r="AF568" s="271"/>
      <c r="AG568" s="271"/>
      <c r="AH568" s="271"/>
      <c r="AI568" s="271"/>
      <c r="AJ568" s="272"/>
      <c r="AK568" s="273"/>
      <c r="AL568" s="273"/>
      <c r="AM568" s="273"/>
      <c r="AN568" s="259"/>
      <c r="AO568" s="271"/>
      <c r="AP568" s="271"/>
      <c r="AQ568" s="271"/>
      <c r="AR568" s="271"/>
      <c r="AS568" s="271"/>
      <c r="AT568" s="271"/>
      <c r="AU568" s="271"/>
      <c r="AV568" s="271"/>
      <c r="AW568" s="271"/>
      <c r="AX568" s="271"/>
      <c r="AY568" s="271"/>
      <c r="AZ568" s="272"/>
      <c r="BA568" s="273"/>
      <c r="BB568" s="273"/>
      <c r="BC568" s="273"/>
      <c r="BD568" s="287"/>
      <c r="BE568" s="274"/>
    </row>
    <row r="569" customFormat="false" ht="15" hidden="false" customHeight="true" outlineLevel="0" collapsed="false">
      <c r="B569" s="333"/>
      <c r="C569" s="334"/>
      <c r="D569" s="333" t="n">
        <f aca="false">D553</f>
        <v>45292</v>
      </c>
      <c r="E569" s="277" t="n">
        <v>0</v>
      </c>
      <c r="F569" s="277" t="n">
        <v>0</v>
      </c>
      <c r="G569" s="277" t="n">
        <f aca="false">SUM(E569:F569)</f>
        <v>0</v>
      </c>
      <c r="H569" s="204"/>
      <c r="I569" s="279" t="n">
        <v>1</v>
      </c>
      <c r="J569" s="280" t="n">
        <f aca="false">1-I569</f>
        <v>0</v>
      </c>
      <c r="K569" s="277"/>
      <c r="L569" s="282"/>
      <c r="M569" s="282"/>
      <c r="N569" s="282"/>
      <c r="O569" s="282"/>
      <c r="P569" s="282"/>
      <c r="Q569" s="282"/>
      <c r="R569" s="282"/>
      <c r="S569" s="282"/>
      <c r="T569" s="282"/>
      <c r="U569" s="282"/>
      <c r="V569" s="282"/>
      <c r="W569" s="282"/>
      <c r="X569" s="268"/>
      <c r="Y569" s="284" t="n">
        <f aca="false">IFERROR(L569*$G569*I$9, "")</f>
        <v>0</v>
      </c>
      <c r="Z569" s="284" t="n">
        <f aca="false">IFERROR(M569*$G569*$I569, "")</f>
        <v>0</v>
      </c>
      <c r="AA569" s="284" t="n">
        <f aca="false">IFERROR(N569*$G569*$I569, "")</f>
        <v>0</v>
      </c>
      <c r="AB569" s="284" t="n">
        <f aca="false">IFERROR(O569*$G569*$I569, "")</f>
        <v>0</v>
      </c>
      <c r="AC569" s="284" t="n">
        <f aca="false">IFERROR(P569*$G569*$I569, "")</f>
        <v>0</v>
      </c>
      <c r="AD569" s="284" t="n">
        <f aca="false">IFERROR(Q569*$G569*$I569, "")</f>
        <v>0</v>
      </c>
      <c r="AE569" s="284" t="n">
        <f aca="false">IFERROR(R569*$G569*$I569, "")</f>
        <v>0</v>
      </c>
      <c r="AF569" s="284" t="n">
        <f aca="false">IFERROR(S569*$G569*$I569, "")</f>
        <v>0</v>
      </c>
      <c r="AG569" s="284" t="n">
        <f aca="false">IFERROR(T569*$G569*$I569, "")</f>
        <v>0</v>
      </c>
      <c r="AH569" s="284" t="n">
        <f aca="false">IFERROR(U569*$G569*$I569, "")</f>
        <v>0</v>
      </c>
      <c r="AI569" s="284" t="n">
        <f aca="false">IFERROR(V569*$G569*$I569, "")</f>
        <v>0</v>
      </c>
      <c r="AJ569" s="284" t="n">
        <f aca="false">IFERROR(W569*$G569*$I569, "")</f>
        <v>0</v>
      </c>
      <c r="AK569" s="286" t="n">
        <f aca="false">IFERROR(SUMIF($Y$4:$AJ$4, "RDEC", Y569:AJ569), "")</f>
        <v>0</v>
      </c>
      <c r="AL569" s="286" t="n">
        <f aca="false">IFERROR(SUMIF($Y$4:$AJ$4, "SME", Y569:AJ569), "")</f>
        <v>0</v>
      </c>
      <c r="AM569" s="286" t="n">
        <f aca="false">IFERROR(SUMIF($Y$4:$AJ$4, "De Minimis", Y569:AJ569), "")</f>
        <v>0</v>
      </c>
      <c r="AN569" s="268"/>
      <c r="AO569" s="284" t="n">
        <f aca="false">IFERROR($G569*$J569*L569, "")</f>
        <v>0</v>
      </c>
      <c r="AP569" s="284" t="n">
        <f aca="false">IFERROR($G569*$J569*M569, "")</f>
        <v>0</v>
      </c>
      <c r="AQ569" s="284" t="n">
        <f aca="false">IFERROR($G569*$J569*N569, "")</f>
        <v>0</v>
      </c>
      <c r="AR569" s="284" t="n">
        <f aca="false">IFERROR($G569*$J569*O569, "")</f>
        <v>0</v>
      </c>
      <c r="AS569" s="284" t="n">
        <f aca="false">IFERROR($G569*$J569*P569, "")</f>
        <v>0</v>
      </c>
      <c r="AT569" s="284" t="n">
        <f aca="false">IFERROR($G569*$J569*Q569, "")</f>
        <v>0</v>
      </c>
      <c r="AU569" s="284" t="n">
        <f aca="false">IFERROR($G569*$J569*R569, "")</f>
        <v>0</v>
      </c>
      <c r="AV569" s="284" t="n">
        <f aca="false">IFERROR($G569*$J569*S569, "")</f>
        <v>0</v>
      </c>
      <c r="AW569" s="284" t="n">
        <f aca="false">IFERROR($G569*$J569*T569, "")</f>
        <v>0</v>
      </c>
      <c r="AX569" s="284" t="n">
        <f aca="false">IFERROR($G569*$J569*U569, "")</f>
        <v>0</v>
      </c>
      <c r="AY569" s="284" t="n">
        <f aca="false">IFERROR($G569*$J569*V569, "")</f>
        <v>0</v>
      </c>
      <c r="AZ569" s="284" t="n">
        <f aca="false">IFERROR($G569*$J569*W569, "")</f>
        <v>0</v>
      </c>
      <c r="BA569" s="286" t="n">
        <f aca="false">IFERROR(SUMIF($AO$4:$AZ$4, "RDEC", AO569:AZ569), "")</f>
        <v>0</v>
      </c>
      <c r="BB569" s="286" t="n">
        <f aca="false">IFERROR(SUMIF($AO$4:$AZ$4, "SME", AO569:AZ569), "")</f>
        <v>0</v>
      </c>
      <c r="BC569" s="286" t="n">
        <f aca="false">IFERROR(SUMIF($AO$4:$AZ$4, "De Minimis", AO569:AZ569), "")</f>
        <v>0</v>
      </c>
      <c r="BD569" s="287"/>
      <c r="BE569" s="288" t="str">
        <f aca="false">IF((SUM(L569:W569)&gt;1),"ERROR","")</f>
        <v/>
      </c>
    </row>
    <row r="570" customFormat="false" ht="15" hidden="false" customHeight="true" outlineLevel="0" collapsed="false">
      <c r="B570" s="333"/>
      <c r="C570" s="334"/>
      <c r="D570" s="333" t="n">
        <f aca="false">D554</f>
        <v>45323</v>
      </c>
      <c r="E570" s="277" t="n">
        <v>0</v>
      </c>
      <c r="F570" s="277" t="n">
        <v>0</v>
      </c>
      <c r="G570" s="277" t="n">
        <f aca="false">SUM(E570:F570)</f>
        <v>0</v>
      </c>
      <c r="H570" s="204"/>
      <c r="I570" s="279" t="n">
        <v>1</v>
      </c>
      <c r="J570" s="280" t="n">
        <f aca="false">1-I570</f>
        <v>0</v>
      </c>
      <c r="K570" s="277"/>
      <c r="L570" s="282"/>
      <c r="M570" s="282"/>
      <c r="N570" s="282"/>
      <c r="O570" s="282"/>
      <c r="P570" s="282"/>
      <c r="Q570" s="282"/>
      <c r="R570" s="282"/>
      <c r="S570" s="282"/>
      <c r="T570" s="282"/>
      <c r="U570" s="282"/>
      <c r="V570" s="282"/>
      <c r="W570" s="282"/>
      <c r="X570" s="283"/>
      <c r="Y570" s="284" t="n">
        <f aca="false">IFERROR(L570*$G570*I$9, "")</f>
        <v>0</v>
      </c>
      <c r="Z570" s="284" t="n">
        <f aca="false">IFERROR(M570*$G570*$I570, "")</f>
        <v>0</v>
      </c>
      <c r="AA570" s="284" t="n">
        <f aca="false">IFERROR(N570*$G570*$I570, "")</f>
        <v>0</v>
      </c>
      <c r="AB570" s="284" t="n">
        <f aca="false">IFERROR(O570*$G570*$I570, "")</f>
        <v>0</v>
      </c>
      <c r="AC570" s="284" t="n">
        <f aca="false">IFERROR(P570*$G570*$I570, "")</f>
        <v>0</v>
      </c>
      <c r="AD570" s="284" t="n">
        <f aca="false">IFERROR(Q570*$G570*$I570, "")</f>
        <v>0</v>
      </c>
      <c r="AE570" s="284" t="n">
        <f aca="false">IFERROR(R570*$G570*$I570, "")</f>
        <v>0</v>
      </c>
      <c r="AF570" s="284" t="n">
        <f aca="false">IFERROR(S570*$G570*$I570, "")</f>
        <v>0</v>
      </c>
      <c r="AG570" s="284" t="n">
        <f aca="false">IFERROR(T570*$G570*$I570, "")</f>
        <v>0</v>
      </c>
      <c r="AH570" s="284" t="n">
        <f aca="false">IFERROR(U570*$G570*$I570, "")</f>
        <v>0</v>
      </c>
      <c r="AI570" s="284" t="n">
        <f aca="false">IFERROR(V570*$G570*$I570, "")</f>
        <v>0</v>
      </c>
      <c r="AJ570" s="284" t="n">
        <f aca="false">IFERROR(W570*$G570*$I570, "")</f>
        <v>0</v>
      </c>
      <c r="AK570" s="286" t="n">
        <f aca="false">IFERROR(SUMIF($Y$4:$AJ$4, "RDEC", Y570:AJ570), "")</f>
        <v>0</v>
      </c>
      <c r="AL570" s="286" t="n">
        <f aca="false">IFERROR(SUMIF($Y$4:$AJ$4, "SME", Y570:AJ570), "")</f>
        <v>0</v>
      </c>
      <c r="AM570" s="286" t="n">
        <f aca="false">IFERROR(SUMIF($Y$4:$AJ$4, "De Minimis", Y570:AJ570), "")</f>
        <v>0</v>
      </c>
      <c r="AN570" s="283"/>
      <c r="AO570" s="284" t="n">
        <f aca="false">IFERROR($G570*$J570*L570, "")</f>
        <v>0</v>
      </c>
      <c r="AP570" s="284" t="n">
        <f aca="false">IFERROR($G570*$J570*M570, "")</f>
        <v>0</v>
      </c>
      <c r="AQ570" s="284" t="n">
        <f aca="false">IFERROR($G570*$J570*N570, "")</f>
        <v>0</v>
      </c>
      <c r="AR570" s="284" t="n">
        <f aca="false">IFERROR($G570*$J570*O570, "")</f>
        <v>0</v>
      </c>
      <c r="AS570" s="284" t="n">
        <f aca="false">IFERROR($G570*$J570*P570, "")</f>
        <v>0</v>
      </c>
      <c r="AT570" s="284" t="n">
        <f aca="false">IFERROR($G570*$J570*Q570, "")</f>
        <v>0</v>
      </c>
      <c r="AU570" s="284" t="n">
        <f aca="false">IFERROR($G570*$J570*R570, "")</f>
        <v>0</v>
      </c>
      <c r="AV570" s="284" t="n">
        <f aca="false">IFERROR($G570*$J570*S570, "")</f>
        <v>0</v>
      </c>
      <c r="AW570" s="284" t="n">
        <f aca="false">IFERROR($G570*$J570*T570, "")</f>
        <v>0</v>
      </c>
      <c r="AX570" s="284" t="n">
        <f aca="false">IFERROR($G570*$J570*U570, "")</f>
        <v>0</v>
      </c>
      <c r="AY570" s="284" t="n">
        <f aca="false">IFERROR($G570*$J570*V570, "")</f>
        <v>0</v>
      </c>
      <c r="AZ570" s="284" t="n">
        <f aca="false">IFERROR($G570*$J570*W570, "")</f>
        <v>0</v>
      </c>
      <c r="BA570" s="286" t="n">
        <f aca="false">IFERROR(SUMIF($AO$4:$AZ$4, "RDEC", AO570:AZ570), "")</f>
        <v>0</v>
      </c>
      <c r="BB570" s="286" t="n">
        <f aca="false">IFERROR(SUMIF($AO$4:$AZ$4, "SME", AO570:AZ570), "")</f>
        <v>0</v>
      </c>
      <c r="BC570" s="286" t="n">
        <f aca="false">IFERROR(SUMIF($Y$4:$AJ$4, "De Minimis", AO570:AZ570), "")</f>
        <v>0</v>
      </c>
      <c r="BD570" s="287"/>
      <c r="BE570" s="288" t="str">
        <f aca="false">IF((SUM(L570:W570)&gt;1),"ERROR","")</f>
        <v/>
      </c>
    </row>
    <row r="571" customFormat="false" ht="15" hidden="false" customHeight="true" outlineLevel="0" collapsed="false">
      <c r="B571" s="333"/>
      <c r="C571" s="334"/>
      <c r="D571" s="333" t="n">
        <f aca="false">D555</f>
        <v>45352</v>
      </c>
      <c r="E571" s="277" t="n">
        <v>0</v>
      </c>
      <c r="F571" s="277" t="n">
        <v>0</v>
      </c>
      <c r="G571" s="277" t="n">
        <f aca="false">SUM(E571:F571)</f>
        <v>0</v>
      </c>
      <c r="H571" s="204"/>
      <c r="I571" s="279" t="n">
        <v>1</v>
      </c>
      <c r="J571" s="280" t="n">
        <f aca="false">1-I571</f>
        <v>0</v>
      </c>
      <c r="K571" s="277"/>
      <c r="L571" s="282"/>
      <c r="M571" s="282"/>
      <c r="N571" s="282"/>
      <c r="O571" s="282"/>
      <c r="P571" s="282"/>
      <c r="Q571" s="282"/>
      <c r="R571" s="282"/>
      <c r="S571" s="282"/>
      <c r="T571" s="282"/>
      <c r="U571" s="282"/>
      <c r="V571" s="282"/>
      <c r="W571" s="282"/>
      <c r="X571" s="283"/>
      <c r="Y571" s="284" t="n">
        <f aca="false">IFERROR(L571*$G571*I$9, "")</f>
        <v>0</v>
      </c>
      <c r="Z571" s="284" t="n">
        <f aca="false">IFERROR(M571*$G571*$I571, "")</f>
        <v>0</v>
      </c>
      <c r="AA571" s="284" t="n">
        <f aca="false">IFERROR(N571*$G571*$I571, "")</f>
        <v>0</v>
      </c>
      <c r="AB571" s="284" t="n">
        <f aca="false">IFERROR(O571*$G571*$I571, "")</f>
        <v>0</v>
      </c>
      <c r="AC571" s="284" t="n">
        <f aca="false">IFERROR(P571*$G571*$I571, "")</f>
        <v>0</v>
      </c>
      <c r="AD571" s="284" t="n">
        <f aca="false">IFERROR(Q571*$G571*$I571, "")</f>
        <v>0</v>
      </c>
      <c r="AE571" s="284" t="n">
        <f aca="false">IFERROR(R571*$G571*$I571, "")</f>
        <v>0</v>
      </c>
      <c r="AF571" s="284" t="n">
        <f aca="false">IFERROR(S571*$G571*$I571, "")</f>
        <v>0</v>
      </c>
      <c r="AG571" s="284" t="n">
        <f aca="false">IFERROR(T571*$G571*$I571, "")</f>
        <v>0</v>
      </c>
      <c r="AH571" s="284" t="n">
        <f aca="false">IFERROR(U571*$G571*$I571, "")</f>
        <v>0</v>
      </c>
      <c r="AI571" s="284" t="n">
        <f aca="false">IFERROR(V571*$G571*$I571, "")</f>
        <v>0</v>
      </c>
      <c r="AJ571" s="284" t="n">
        <f aca="false">IFERROR(W571*$G571*$I571, "")</f>
        <v>0</v>
      </c>
      <c r="AK571" s="286" t="n">
        <f aca="false">IFERROR(SUMIF($Y$4:$AJ$4, "RDEC", Y571:AJ571), "")</f>
        <v>0</v>
      </c>
      <c r="AL571" s="286" t="n">
        <f aca="false">IFERROR(SUMIF($Y$4:$AJ$4, "SME", Y571:AJ571), "")</f>
        <v>0</v>
      </c>
      <c r="AM571" s="286" t="n">
        <f aca="false">IFERROR(SUMIF($Y$4:$AJ$4, "De Minimis", Y571:AJ571), "")</f>
        <v>0</v>
      </c>
      <c r="AN571" s="283"/>
      <c r="AO571" s="284" t="n">
        <f aca="false">IFERROR($G571*$J571*L571, "")</f>
        <v>0</v>
      </c>
      <c r="AP571" s="284" t="n">
        <f aca="false">IFERROR($G571*$J571*M571, "")</f>
        <v>0</v>
      </c>
      <c r="AQ571" s="284" t="n">
        <f aca="false">IFERROR($G571*$J571*N571, "")</f>
        <v>0</v>
      </c>
      <c r="AR571" s="284" t="n">
        <f aca="false">IFERROR($G571*$J571*O571, "")</f>
        <v>0</v>
      </c>
      <c r="AS571" s="284" t="n">
        <f aca="false">IFERROR($G571*$J571*P571, "")</f>
        <v>0</v>
      </c>
      <c r="AT571" s="284" t="n">
        <f aca="false">IFERROR($G571*$J571*Q571, "")</f>
        <v>0</v>
      </c>
      <c r="AU571" s="284" t="n">
        <f aca="false">IFERROR($G571*$J571*R571, "")</f>
        <v>0</v>
      </c>
      <c r="AV571" s="284" t="n">
        <f aca="false">IFERROR($G571*$J571*S571, "")</f>
        <v>0</v>
      </c>
      <c r="AW571" s="284" t="n">
        <f aca="false">IFERROR($G571*$J571*T571, "")</f>
        <v>0</v>
      </c>
      <c r="AX571" s="284" t="n">
        <f aca="false">IFERROR($G571*$J571*U571, "")</f>
        <v>0</v>
      </c>
      <c r="AY571" s="284" t="n">
        <f aca="false">IFERROR($G571*$J571*V571, "")</f>
        <v>0</v>
      </c>
      <c r="AZ571" s="284" t="n">
        <f aca="false">IFERROR($G571*$J571*W571, "")</f>
        <v>0</v>
      </c>
      <c r="BA571" s="286" t="n">
        <f aca="false">IFERROR(SUMIF($AO$4:$AZ$4, "RDEC", AO571:AZ571), "")</f>
        <v>0</v>
      </c>
      <c r="BB571" s="286" t="n">
        <f aca="false">IFERROR(SUMIF($AO$4:$AZ$4, "SME", AO571:AZ571), "")</f>
        <v>0</v>
      </c>
      <c r="BC571" s="286" t="n">
        <f aca="false">IFERROR(SUMIF($Y$4:$AJ$4, "De Minimis", AO571:AZ571), "")</f>
        <v>0</v>
      </c>
      <c r="BD571" s="287"/>
      <c r="BE571" s="288" t="str">
        <f aca="false">IF((SUM(L571:W571)&gt;1),"ERROR","")</f>
        <v/>
      </c>
    </row>
    <row r="572" customFormat="false" ht="15" hidden="false" customHeight="true" outlineLevel="0" collapsed="false">
      <c r="B572" s="333"/>
      <c r="C572" s="334"/>
      <c r="D572" s="333" t="n">
        <f aca="false">D556</f>
        <v>45383</v>
      </c>
      <c r="E572" s="277" t="n">
        <v>0</v>
      </c>
      <c r="F572" s="277" t="n">
        <v>0</v>
      </c>
      <c r="G572" s="277" t="n">
        <f aca="false">SUM(E572:F572)</f>
        <v>0</v>
      </c>
      <c r="H572" s="204"/>
      <c r="I572" s="279" t="n">
        <v>1</v>
      </c>
      <c r="J572" s="280" t="n">
        <f aca="false">1-I572</f>
        <v>0</v>
      </c>
      <c r="K572" s="277"/>
      <c r="L572" s="282"/>
      <c r="M572" s="282"/>
      <c r="N572" s="282"/>
      <c r="O572" s="282"/>
      <c r="P572" s="282"/>
      <c r="Q572" s="282"/>
      <c r="R572" s="282"/>
      <c r="S572" s="282"/>
      <c r="T572" s="282"/>
      <c r="U572" s="282"/>
      <c r="V572" s="282"/>
      <c r="W572" s="282"/>
      <c r="X572" s="283"/>
      <c r="Y572" s="284" t="n">
        <f aca="false">IFERROR(L572*$G572*I$9, "")</f>
        <v>0</v>
      </c>
      <c r="Z572" s="284" t="n">
        <f aca="false">IFERROR(M572*$G572*$I572, "")</f>
        <v>0</v>
      </c>
      <c r="AA572" s="284" t="n">
        <f aca="false">IFERROR(N572*$G572*$I572, "")</f>
        <v>0</v>
      </c>
      <c r="AB572" s="284" t="n">
        <f aca="false">IFERROR(O572*$G572*$I572, "")</f>
        <v>0</v>
      </c>
      <c r="AC572" s="284" t="n">
        <f aca="false">IFERROR(P572*$G572*$I572, "")</f>
        <v>0</v>
      </c>
      <c r="AD572" s="284" t="n">
        <f aca="false">IFERROR(Q572*$G572*$I572, "")</f>
        <v>0</v>
      </c>
      <c r="AE572" s="284" t="n">
        <f aca="false">IFERROR(R572*$G572*$I572, "")</f>
        <v>0</v>
      </c>
      <c r="AF572" s="284" t="n">
        <f aca="false">IFERROR(S572*$G572*$I572, "")</f>
        <v>0</v>
      </c>
      <c r="AG572" s="284" t="n">
        <f aca="false">IFERROR(T572*$G572*$I572, "")</f>
        <v>0</v>
      </c>
      <c r="AH572" s="284" t="n">
        <f aca="false">IFERROR(U572*$G572*$I572, "")</f>
        <v>0</v>
      </c>
      <c r="AI572" s="284" t="n">
        <f aca="false">IFERROR(V572*$G572*$I572, "")</f>
        <v>0</v>
      </c>
      <c r="AJ572" s="284" t="n">
        <f aca="false">IFERROR(W572*$G572*$I572, "")</f>
        <v>0</v>
      </c>
      <c r="AK572" s="286" t="n">
        <f aca="false">IFERROR(SUMIF($Y$4:$AJ$4, "RDEC", Y572:AJ572), "")</f>
        <v>0</v>
      </c>
      <c r="AL572" s="286" t="n">
        <f aca="false">IFERROR(SUMIF($Y$4:$AJ$4, "SME", Y572:AJ572), "")</f>
        <v>0</v>
      </c>
      <c r="AM572" s="286" t="n">
        <f aca="false">IFERROR(SUMIF($Y$4:$AJ$4, "De Minimis", Y572:AJ572), "")</f>
        <v>0</v>
      </c>
      <c r="AN572" s="283"/>
      <c r="AO572" s="284" t="n">
        <f aca="false">IFERROR($G572*$J572*L572, "")</f>
        <v>0</v>
      </c>
      <c r="AP572" s="284" t="n">
        <f aca="false">IFERROR($G572*$J572*M572, "")</f>
        <v>0</v>
      </c>
      <c r="AQ572" s="284" t="n">
        <f aca="false">IFERROR($G572*$J572*N572, "")</f>
        <v>0</v>
      </c>
      <c r="AR572" s="284" t="n">
        <f aca="false">IFERROR($G572*$J572*O572, "")</f>
        <v>0</v>
      </c>
      <c r="AS572" s="284" t="n">
        <f aca="false">IFERROR($G572*$J572*P572, "")</f>
        <v>0</v>
      </c>
      <c r="AT572" s="284" t="n">
        <f aca="false">IFERROR($G572*$J572*Q572, "")</f>
        <v>0</v>
      </c>
      <c r="AU572" s="284" t="n">
        <f aca="false">IFERROR($G572*$J572*R572, "")</f>
        <v>0</v>
      </c>
      <c r="AV572" s="284" t="n">
        <f aca="false">IFERROR($G572*$J572*S572, "")</f>
        <v>0</v>
      </c>
      <c r="AW572" s="284" t="n">
        <f aca="false">IFERROR($G572*$J572*T572, "")</f>
        <v>0</v>
      </c>
      <c r="AX572" s="284" t="n">
        <f aca="false">IFERROR($G572*$J572*U572, "")</f>
        <v>0</v>
      </c>
      <c r="AY572" s="284" t="n">
        <f aca="false">IFERROR($G572*$J572*V572, "")</f>
        <v>0</v>
      </c>
      <c r="AZ572" s="284" t="n">
        <f aca="false">IFERROR($G572*$J572*W572, "")</f>
        <v>0</v>
      </c>
      <c r="BA572" s="286" t="n">
        <f aca="false">IFERROR(SUMIF($AO$4:$AZ$4, "RDEC", AO572:AZ572), "")</f>
        <v>0</v>
      </c>
      <c r="BB572" s="286" t="n">
        <f aca="false">IFERROR(SUMIF($AO$4:$AZ$4, "SME", AO572:AZ572), "")</f>
        <v>0</v>
      </c>
      <c r="BC572" s="286" t="n">
        <f aca="false">IFERROR(SUMIF($Y$4:$AJ$4, "De Minimis", AO572:AZ572), "")</f>
        <v>0</v>
      </c>
      <c r="BD572" s="287"/>
      <c r="BE572" s="288" t="str">
        <f aca="false">IF((SUM(L572:W572)&gt;1),"ERROR","")</f>
        <v/>
      </c>
    </row>
    <row r="573" customFormat="false" ht="15" hidden="false" customHeight="true" outlineLevel="0" collapsed="false">
      <c r="B573" s="333"/>
      <c r="C573" s="334"/>
      <c r="D573" s="333" t="n">
        <f aca="false">D557</f>
        <v>45413</v>
      </c>
      <c r="E573" s="277" t="n">
        <v>0</v>
      </c>
      <c r="F573" s="277" t="n">
        <v>0</v>
      </c>
      <c r="G573" s="277" t="n">
        <f aca="false">SUM(E573:F573)</f>
        <v>0</v>
      </c>
      <c r="H573" s="204"/>
      <c r="I573" s="279" t="n">
        <v>1</v>
      </c>
      <c r="J573" s="280" t="n">
        <f aca="false">1-I573</f>
        <v>0</v>
      </c>
      <c r="K573" s="277"/>
      <c r="L573" s="282"/>
      <c r="M573" s="282"/>
      <c r="N573" s="282"/>
      <c r="O573" s="282"/>
      <c r="P573" s="282"/>
      <c r="Q573" s="282"/>
      <c r="R573" s="282"/>
      <c r="S573" s="282"/>
      <c r="T573" s="282"/>
      <c r="U573" s="282"/>
      <c r="V573" s="282"/>
      <c r="W573" s="282"/>
      <c r="X573" s="283"/>
      <c r="Y573" s="284" t="n">
        <f aca="false">IFERROR(L573*$G573*I$9, "")</f>
        <v>0</v>
      </c>
      <c r="Z573" s="284" t="n">
        <f aca="false">IFERROR(M573*$G573*$I573, "")</f>
        <v>0</v>
      </c>
      <c r="AA573" s="284" t="n">
        <f aca="false">IFERROR(N573*$G573*$I573, "")</f>
        <v>0</v>
      </c>
      <c r="AB573" s="284" t="n">
        <f aca="false">IFERROR(O573*$G573*$I573, "")</f>
        <v>0</v>
      </c>
      <c r="AC573" s="284" t="n">
        <f aca="false">IFERROR(P573*$G573*$I573, "")</f>
        <v>0</v>
      </c>
      <c r="AD573" s="284" t="n">
        <f aca="false">IFERROR(Q573*$G573*$I573, "")</f>
        <v>0</v>
      </c>
      <c r="AE573" s="284" t="n">
        <f aca="false">IFERROR(R573*$G573*$I573, "")</f>
        <v>0</v>
      </c>
      <c r="AF573" s="284" t="n">
        <f aca="false">IFERROR(S573*$G573*$I573, "")</f>
        <v>0</v>
      </c>
      <c r="AG573" s="284" t="n">
        <f aca="false">IFERROR(T573*$G573*$I573, "")</f>
        <v>0</v>
      </c>
      <c r="AH573" s="284" t="n">
        <f aca="false">IFERROR(U573*$G573*$I573, "")</f>
        <v>0</v>
      </c>
      <c r="AI573" s="284" t="n">
        <f aca="false">IFERROR(V573*$G573*$I573, "")</f>
        <v>0</v>
      </c>
      <c r="AJ573" s="284" t="n">
        <f aca="false">IFERROR(W573*$G573*$I573, "")</f>
        <v>0</v>
      </c>
      <c r="AK573" s="286" t="n">
        <f aca="false">IFERROR(SUMIF($Y$4:$AJ$4, "RDEC", Y573:AJ573), "")</f>
        <v>0</v>
      </c>
      <c r="AL573" s="286" t="n">
        <f aca="false">IFERROR(SUMIF($Y$4:$AJ$4, "SME", Y573:AJ573), "")</f>
        <v>0</v>
      </c>
      <c r="AM573" s="286" t="n">
        <f aca="false">IFERROR(SUMIF($Y$4:$AJ$4, "De Minimis", Y573:AJ573), "")</f>
        <v>0</v>
      </c>
      <c r="AN573" s="283"/>
      <c r="AO573" s="284" t="n">
        <f aca="false">IFERROR($G573*$J573*L573, "")</f>
        <v>0</v>
      </c>
      <c r="AP573" s="284" t="n">
        <f aca="false">IFERROR($G573*$J573*M573, "")</f>
        <v>0</v>
      </c>
      <c r="AQ573" s="284" t="n">
        <f aca="false">IFERROR($G573*$J573*N573, "")</f>
        <v>0</v>
      </c>
      <c r="AR573" s="284" t="n">
        <f aca="false">IFERROR($G573*$J573*O573, "")</f>
        <v>0</v>
      </c>
      <c r="AS573" s="284" t="n">
        <f aca="false">IFERROR($G573*$J573*P573, "")</f>
        <v>0</v>
      </c>
      <c r="AT573" s="284" t="n">
        <f aca="false">IFERROR($G573*$J573*Q573, "")</f>
        <v>0</v>
      </c>
      <c r="AU573" s="284" t="n">
        <f aca="false">IFERROR($G573*$J573*R573, "")</f>
        <v>0</v>
      </c>
      <c r="AV573" s="284" t="n">
        <f aca="false">IFERROR($G573*$J573*S573, "")</f>
        <v>0</v>
      </c>
      <c r="AW573" s="284" t="n">
        <f aca="false">IFERROR($G573*$J573*T573, "")</f>
        <v>0</v>
      </c>
      <c r="AX573" s="284" t="n">
        <f aca="false">IFERROR($G573*$J573*U573, "")</f>
        <v>0</v>
      </c>
      <c r="AY573" s="284" t="n">
        <f aca="false">IFERROR($G573*$J573*V573, "")</f>
        <v>0</v>
      </c>
      <c r="AZ573" s="284" t="n">
        <f aca="false">IFERROR($G573*$J573*W573, "")</f>
        <v>0</v>
      </c>
      <c r="BA573" s="286" t="n">
        <f aca="false">IFERROR(SUMIF($AO$4:$AZ$4, "RDEC", AO573:AZ573), "")</f>
        <v>0</v>
      </c>
      <c r="BB573" s="286" t="n">
        <f aca="false">IFERROR(SUMIF($AO$4:$AZ$4, "SME", AO573:AZ573), "")</f>
        <v>0</v>
      </c>
      <c r="BC573" s="286" t="n">
        <f aca="false">IFERROR(SUMIF($Y$4:$AJ$4, "De Minimis", AO573:AZ573), "")</f>
        <v>0</v>
      </c>
      <c r="BD573" s="287"/>
      <c r="BE573" s="288" t="str">
        <f aca="false">IF((SUM(L573:W573)&gt;1),"ERROR","")</f>
        <v/>
      </c>
    </row>
    <row r="574" customFormat="false" ht="15" hidden="false" customHeight="true" outlineLevel="0" collapsed="false">
      <c r="B574" s="333"/>
      <c r="C574" s="334"/>
      <c r="D574" s="333" t="n">
        <f aca="false">D558</f>
        <v>45444</v>
      </c>
      <c r="E574" s="277" t="n">
        <v>0</v>
      </c>
      <c r="F574" s="277" t="n">
        <v>0</v>
      </c>
      <c r="G574" s="277" t="n">
        <f aca="false">SUM(E574:F574)</f>
        <v>0</v>
      </c>
      <c r="H574" s="204"/>
      <c r="I574" s="279" t="n">
        <v>1</v>
      </c>
      <c r="J574" s="280" t="n">
        <f aca="false">1-I574</f>
        <v>0</v>
      </c>
      <c r="K574" s="277"/>
      <c r="L574" s="282"/>
      <c r="M574" s="282"/>
      <c r="N574" s="282"/>
      <c r="O574" s="282"/>
      <c r="P574" s="282"/>
      <c r="Q574" s="282"/>
      <c r="R574" s="282"/>
      <c r="S574" s="282"/>
      <c r="T574" s="282"/>
      <c r="U574" s="282"/>
      <c r="V574" s="282"/>
      <c r="W574" s="282"/>
      <c r="X574" s="283"/>
      <c r="Y574" s="284" t="n">
        <f aca="false">IFERROR(L574*$G574*I$9, "")</f>
        <v>0</v>
      </c>
      <c r="Z574" s="284" t="n">
        <f aca="false">IFERROR(M574*$G574*$I574, "")</f>
        <v>0</v>
      </c>
      <c r="AA574" s="284" t="n">
        <f aca="false">IFERROR(N574*$G574*$I574, "")</f>
        <v>0</v>
      </c>
      <c r="AB574" s="284" t="n">
        <f aca="false">IFERROR(O574*$G574*$I574, "")</f>
        <v>0</v>
      </c>
      <c r="AC574" s="284" t="n">
        <f aca="false">IFERROR(P574*$G574*$I574, "")</f>
        <v>0</v>
      </c>
      <c r="AD574" s="284" t="n">
        <f aca="false">IFERROR(Q574*$G574*$I574, "")</f>
        <v>0</v>
      </c>
      <c r="AE574" s="284" t="n">
        <f aca="false">IFERROR(R574*$G574*$I574, "")</f>
        <v>0</v>
      </c>
      <c r="AF574" s="284" t="n">
        <f aca="false">IFERROR(S574*$G574*$I574, "")</f>
        <v>0</v>
      </c>
      <c r="AG574" s="284" t="n">
        <f aca="false">IFERROR(T574*$G574*$I574, "")</f>
        <v>0</v>
      </c>
      <c r="AH574" s="284" t="n">
        <f aca="false">IFERROR(U574*$G574*$I574, "")</f>
        <v>0</v>
      </c>
      <c r="AI574" s="284" t="n">
        <f aca="false">IFERROR(V574*$G574*$I574, "")</f>
        <v>0</v>
      </c>
      <c r="AJ574" s="284" t="n">
        <f aca="false">IFERROR(W574*$G574*$I574, "")</f>
        <v>0</v>
      </c>
      <c r="AK574" s="286" t="n">
        <f aca="false">IFERROR(SUMIF($Y$4:$AJ$4, "RDEC", Y574:AJ574), "")</f>
        <v>0</v>
      </c>
      <c r="AL574" s="286" t="n">
        <f aca="false">IFERROR(SUMIF($Y$4:$AJ$4, "SME", Y574:AJ574), "")</f>
        <v>0</v>
      </c>
      <c r="AM574" s="286" t="n">
        <f aca="false">IFERROR(SUMIF($Y$4:$AJ$4, "De Minimis", Y574:AJ574), "")</f>
        <v>0</v>
      </c>
      <c r="AN574" s="283"/>
      <c r="AO574" s="284" t="n">
        <f aca="false">IFERROR($G574*$J574*L574, "")</f>
        <v>0</v>
      </c>
      <c r="AP574" s="284" t="n">
        <f aca="false">IFERROR($G574*$J574*M574, "")</f>
        <v>0</v>
      </c>
      <c r="AQ574" s="284" t="n">
        <f aca="false">IFERROR($G574*$J574*N574, "")</f>
        <v>0</v>
      </c>
      <c r="AR574" s="284" t="n">
        <f aca="false">IFERROR($G574*$J574*O574, "")</f>
        <v>0</v>
      </c>
      <c r="AS574" s="284" t="n">
        <f aca="false">IFERROR($G574*$J574*P574, "")</f>
        <v>0</v>
      </c>
      <c r="AT574" s="284" t="n">
        <f aca="false">IFERROR($G574*$J574*Q574, "")</f>
        <v>0</v>
      </c>
      <c r="AU574" s="284" t="n">
        <f aca="false">IFERROR($G574*$J574*R574, "")</f>
        <v>0</v>
      </c>
      <c r="AV574" s="284" t="n">
        <f aca="false">IFERROR($G574*$J574*S574, "")</f>
        <v>0</v>
      </c>
      <c r="AW574" s="284" t="n">
        <f aca="false">IFERROR($G574*$J574*T574, "")</f>
        <v>0</v>
      </c>
      <c r="AX574" s="284" t="n">
        <f aca="false">IFERROR($G574*$J574*U574, "")</f>
        <v>0</v>
      </c>
      <c r="AY574" s="284" t="n">
        <f aca="false">IFERROR($G574*$J574*V574, "")</f>
        <v>0</v>
      </c>
      <c r="AZ574" s="284" t="n">
        <f aca="false">IFERROR($G574*$J574*W574, "")</f>
        <v>0</v>
      </c>
      <c r="BA574" s="286" t="n">
        <f aca="false">IFERROR(SUMIF($AO$4:$AZ$4, "RDEC", AO574:AZ574), "")</f>
        <v>0</v>
      </c>
      <c r="BB574" s="286" t="n">
        <f aca="false">IFERROR(SUMIF($AO$4:$AZ$4, "SME", AO574:AZ574), "")</f>
        <v>0</v>
      </c>
      <c r="BC574" s="286" t="n">
        <f aca="false">IFERROR(SUMIF($Y$4:$AJ$4, "De Minimis", AO574:AZ574), "")</f>
        <v>0</v>
      </c>
      <c r="BD574" s="287"/>
      <c r="BE574" s="288" t="str">
        <f aca="false">IF((SUM(L574:W574)&gt;1),"ERROR","")</f>
        <v/>
      </c>
    </row>
    <row r="575" customFormat="false" ht="15" hidden="false" customHeight="true" outlineLevel="0" collapsed="false">
      <c r="B575" s="333"/>
      <c r="C575" s="334"/>
      <c r="D575" s="333" t="n">
        <f aca="false">D559</f>
        <v>45474</v>
      </c>
      <c r="E575" s="277" t="n">
        <v>0</v>
      </c>
      <c r="F575" s="277" t="n">
        <v>0</v>
      </c>
      <c r="G575" s="277" t="n">
        <f aca="false">SUM(E575:F575)</f>
        <v>0</v>
      </c>
      <c r="H575" s="204"/>
      <c r="I575" s="279" t="n">
        <v>1</v>
      </c>
      <c r="J575" s="280" t="n">
        <f aca="false">1-I575</f>
        <v>0</v>
      </c>
      <c r="K575" s="277"/>
      <c r="L575" s="282"/>
      <c r="M575" s="282"/>
      <c r="N575" s="282"/>
      <c r="O575" s="282"/>
      <c r="P575" s="282"/>
      <c r="Q575" s="282"/>
      <c r="R575" s="282"/>
      <c r="S575" s="282"/>
      <c r="T575" s="282"/>
      <c r="U575" s="282"/>
      <c r="V575" s="282"/>
      <c r="W575" s="282"/>
      <c r="X575" s="283"/>
      <c r="Y575" s="284" t="n">
        <f aca="false">IFERROR(L575*$G575*I$9, "")</f>
        <v>0</v>
      </c>
      <c r="Z575" s="284" t="n">
        <f aca="false">IFERROR(M575*$G575*$I575, "")</f>
        <v>0</v>
      </c>
      <c r="AA575" s="284" t="n">
        <f aca="false">IFERROR(N575*$G575*$I575, "")</f>
        <v>0</v>
      </c>
      <c r="AB575" s="284" t="n">
        <f aca="false">IFERROR(O575*$G575*$I575, "")</f>
        <v>0</v>
      </c>
      <c r="AC575" s="284" t="n">
        <f aca="false">IFERROR(P575*$G575*$I575, "")</f>
        <v>0</v>
      </c>
      <c r="AD575" s="284" t="n">
        <f aca="false">IFERROR(Q575*$G575*$I575, "")</f>
        <v>0</v>
      </c>
      <c r="AE575" s="284" t="n">
        <f aca="false">IFERROR(R575*$G575*$I575, "")</f>
        <v>0</v>
      </c>
      <c r="AF575" s="284" t="n">
        <f aca="false">IFERROR(S575*$G575*$I575, "")</f>
        <v>0</v>
      </c>
      <c r="AG575" s="284" t="n">
        <f aca="false">IFERROR(T575*$G575*$I575, "")</f>
        <v>0</v>
      </c>
      <c r="AH575" s="284" t="n">
        <f aca="false">IFERROR(U575*$G575*$I575, "")</f>
        <v>0</v>
      </c>
      <c r="AI575" s="284" t="n">
        <f aca="false">IFERROR(V575*$G575*$I575, "")</f>
        <v>0</v>
      </c>
      <c r="AJ575" s="284" t="n">
        <f aca="false">IFERROR(W575*$G575*$I575, "")</f>
        <v>0</v>
      </c>
      <c r="AK575" s="286" t="n">
        <f aca="false">IFERROR(SUMIF($Y$4:$AJ$4, "RDEC", Y575:AJ575), "")</f>
        <v>0</v>
      </c>
      <c r="AL575" s="286" t="n">
        <f aca="false">IFERROR(SUMIF($Y$4:$AJ$4, "SME", Y575:AJ575), "")</f>
        <v>0</v>
      </c>
      <c r="AM575" s="286" t="n">
        <f aca="false">IFERROR(SUMIF($Y$4:$AJ$4, "De Minimis", Y575:AJ575), "")</f>
        <v>0</v>
      </c>
      <c r="AN575" s="283"/>
      <c r="AO575" s="284" t="n">
        <f aca="false">IFERROR($G575*$J575*L575, "")</f>
        <v>0</v>
      </c>
      <c r="AP575" s="284" t="n">
        <f aca="false">IFERROR($G575*$J575*M575, "")</f>
        <v>0</v>
      </c>
      <c r="AQ575" s="284" t="n">
        <f aca="false">IFERROR($G575*$J575*N575, "")</f>
        <v>0</v>
      </c>
      <c r="AR575" s="284" t="n">
        <f aca="false">IFERROR($G575*$J575*O575, "")</f>
        <v>0</v>
      </c>
      <c r="AS575" s="284" t="n">
        <f aca="false">IFERROR($G575*$J575*P575, "")</f>
        <v>0</v>
      </c>
      <c r="AT575" s="284" t="n">
        <f aca="false">IFERROR($G575*$J575*Q575, "")</f>
        <v>0</v>
      </c>
      <c r="AU575" s="284" t="n">
        <f aca="false">IFERROR($G575*$J575*R575, "")</f>
        <v>0</v>
      </c>
      <c r="AV575" s="284" t="n">
        <f aca="false">IFERROR($G575*$J575*S575, "")</f>
        <v>0</v>
      </c>
      <c r="AW575" s="284" t="n">
        <f aca="false">IFERROR($G575*$J575*T575, "")</f>
        <v>0</v>
      </c>
      <c r="AX575" s="284" t="n">
        <f aca="false">IFERROR($G575*$J575*U575, "")</f>
        <v>0</v>
      </c>
      <c r="AY575" s="284" t="n">
        <f aca="false">IFERROR($G575*$J575*V575, "")</f>
        <v>0</v>
      </c>
      <c r="AZ575" s="284" t="n">
        <f aca="false">IFERROR($G575*$J575*W575, "")</f>
        <v>0</v>
      </c>
      <c r="BA575" s="286" t="n">
        <f aca="false">IFERROR(SUMIF($AO$4:$AZ$4, "RDEC", AO575:AZ575), "")</f>
        <v>0</v>
      </c>
      <c r="BB575" s="286" t="n">
        <f aca="false">IFERROR(SUMIF($AO$4:$AZ$4, "SME", AO575:AZ575), "")</f>
        <v>0</v>
      </c>
      <c r="BC575" s="286" t="n">
        <f aca="false">IFERROR(SUMIF($Y$4:$AJ$4, "De Minimis", AO575:AZ575), "")</f>
        <v>0</v>
      </c>
      <c r="BD575" s="287"/>
      <c r="BE575" s="288" t="str">
        <f aca="false">IF((SUM(L575:W575)&gt;1),"ERROR","")</f>
        <v/>
      </c>
    </row>
    <row r="576" customFormat="false" ht="15" hidden="false" customHeight="true" outlineLevel="0" collapsed="false">
      <c r="B576" s="333"/>
      <c r="C576" s="334"/>
      <c r="D576" s="333" t="n">
        <f aca="false">D560</f>
        <v>45505</v>
      </c>
      <c r="E576" s="277" t="n">
        <v>0</v>
      </c>
      <c r="F576" s="277" t="n">
        <v>0</v>
      </c>
      <c r="G576" s="277" t="n">
        <f aca="false">SUM(E576:F576)</f>
        <v>0</v>
      </c>
      <c r="H576" s="204"/>
      <c r="I576" s="279" t="n">
        <v>1</v>
      </c>
      <c r="J576" s="280" t="n">
        <f aca="false">1-I576</f>
        <v>0</v>
      </c>
      <c r="K576" s="277"/>
      <c r="L576" s="282"/>
      <c r="M576" s="282"/>
      <c r="N576" s="282"/>
      <c r="O576" s="282"/>
      <c r="P576" s="282"/>
      <c r="Q576" s="282"/>
      <c r="R576" s="282"/>
      <c r="S576" s="282"/>
      <c r="T576" s="282"/>
      <c r="U576" s="282"/>
      <c r="V576" s="282"/>
      <c r="W576" s="282"/>
      <c r="X576" s="283"/>
      <c r="Y576" s="284" t="n">
        <f aca="false">IFERROR(L576*$G576*I$9, "")</f>
        <v>0</v>
      </c>
      <c r="Z576" s="284" t="n">
        <f aca="false">IFERROR(M576*$G576*$I576, "")</f>
        <v>0</v>
      </c>
      <c r="AA576" s="284" t="n">
        <f aca="false">IFERROR(N576*$G576*$I576, "")</f>
        <v>0</v>
      </c>
      <c r="AB576" s="284" t="n">
        <f aca="false">IFERROR(O576*$G576*$I576, "")</f>
        <v>0</v>
      </c>
      <c r="AC576" s="284" t="n">
        <f aca="false">IFERROR(P576*$G576*$I576, "")</f>
        <v>0</v>
      </c>
      <c r="AD576" s="284" t="n">
        <f aca="false">IFERROR(Q576*$G576*$I576, "")</f>
        <v>0</v>
      </c>
      <c r="AE576" s="284" t="n">
        <f aca="false">IFERROR(R576*$G576*$I576, "")</f>
        <v>0</v>
      </c>
      <c r="AF576" s="284" t="n">
        <f aca="false">IFERROR(S576*$G576*$I576, "")</f>
        <v>0</v>
      </c>
      <c r="AG576" s="284" t="n">
        <f aca="false">IFERROR(T576*$G576*$I576, "")</f>
        <v>0</v>
      </c>
      <c r="AH576" s="284" t="n">
        <f aca="false">IFERROR(U576*$G576*$I576, "")</f>
        <v>0</v>
      </c>
      <c r="AI576" s="284" t="n">
        <f aca="false">IFERROR(V576*$G576*$I576, "")</f>
        <v>0</v>
      </c>
      <c r="AJ576" s="284" t="n">
        <f aca="false">IFERROR(W576*$G576*$I576, "")</f>
        <v>0</v>
      </c>
      <c r="AK576" s="286" t="n">
        <f aca="false">IFERROR(SUMIF($Y$4:$AJ$4, "RDEC", Y576:AJ576), "")</f>
        <v>0</v>
      </c>
      <c r="AL576" s="286" t="n">
        <f aca="false">IFERROR(SUMIF($Y$4:$AJ$4, "SME", Y576:AJ576), "")</f>
        <v>0</v>
      </c>
      <c r="AM576" s="286" t="n">
        <f aca="false">IFERROR(SUMIF($Y$4:$AJ$4, "De Minimis", Y576:AJ576), "")</f>
        <v>0</v>
      </c>
      <c r="AN576" s="283"/>
      <c r="AO576" s="284" t="n">
        <f aca="false">IFERROR($G576*$J576*L576, "")</f>
        <v>0</v>
      </c>
      <c r="AP576" s="284" t="n">
        <f aca="false">IFERROR($G576*$J576*M576, "")</f>
        <v>0</v>
      </c>
      <c r="AQ576" s="284" t="n">
        <f aca="false">IFERROR($G576*$J576*N576, "")</f>
        <v>0</v>
      </c>
      <c r="AR576" s="284" t="n">
        <f aca="false">IFERROR($G576*$J576*O576, "")</f>
        <v>0</v>
      </c>
      <c r="AS576" s="284" t="n">
        <f aca="false">IFERROR($G576*$J576*P576, "")</f>
        <v>0</v>
      </c>
      <c r="AT576" s="284" t="n">
        <f aca="false">IFERROR($G576*$J576*Q576, "")</f>
        <v>0</v>
      </c>
      <c r="AU576" s="284" t="n">
        <f aca="false">IFERROR($G576*$J576*R576, "")</f>
        <v>0</v>
      </c>
      <c r="AV576" s="284" t="n">
        <f aca="false">IFERROR($G576*$J576*S576, "")</f>
        <v>0</v>
      </c>
      <c r="AW576" s="284" t="n">
        <f aca="false">IFERROR($G576*$J576*T576, "")</f>
        <v>0</v>
      </c>
      <c r="AX576" s="284" t="n">
        <f aca="false">IFERROR($G576*$J576*U576, "")</f>
        <v>0</v>
      </c>
      <c r="AY576" s="284" t="n">
        <f aca="false">IFERROR($G576*$J576*V576, "")</f>
        <v>0</v>
      </c>
      <c r="AZ576" s="284" t="n">
        <f aca="false">IFERROR($G576*$J576*W576, "")</f>
        <v>0</v>
      </c>
      <c r="BA576" s="286" t="n">
        <f aca="false">IFERROR(SUMIF($AO$4:$AZ$4, "RDEC", AO576:AZ576), "")</f>
        <v>0</v>
      </c>
      <c r="BB576" s="286" t="n">
        <f aca="false">IFERROR(SUMIF($AO$4:$AZ$4, "SME", AO576:AZ576), "")</f>
        <v>0</v>
      </c>
      <c r="BC576" s="286" t="n">
        <f aca="false">IFERROR(SUMIF($Y$4:$AJ$4, "De Minimis", AO576:AZ576), "")</f>
        <v>0</v>
      </c>
      <c r="BD576" s="287"/>
      <c r="BE576" s="288" t="str">
        <f aca="false">IF((SUM(L576:W576)&gt;1),"ERROR","")</f>
        <v/>
      </c>
    </row>
    <row r="577" customFormat="false" ht="15" hidden="false" customHeight="true" outlineLevel="0" collapsed="false">
      <c r="B577" s="333"/>
      <c r="C577" s="334"/>
      <c r="D577" s="333" t="n">
        <f aca="false">D561</f>
        <v>45536</v>
      </c>
      <c r="E577" s="277" t="n">
        <v>0</v>
      </c>
      <c r="F577" s="277" t="n">
        <v>0</v>
      </c>
      <c r="G577" s="277" t="n">
        <f aca="false">SUM(E577:F577)</f>
        <v>0</v>
      </c>
      <c r="H577" s="204"/>
      <c r="I577" s="279" t="n">
        <v>1</v>
      </c>
      <c r="J577" s="280" t="n">
        <f aca="false">1-I577</f>
        <v>0</v>
      </c>
      <c r="K577" s="277"/>
      <c r="L577" s="282"/>
      <c r="M577" s="282"/>
      <c r="N577" s="282"/>
      <c r="O577" s="282"/>
      <c r="P577" s="282"/>
      <c r="Q577" s="282"/>
      <c r="R577" s="282"/>
      <c r="S577" s="282"/>
      <c r="T577" s="282"/>
      <c r="U577" s="282"/>
      <c r="V577" s="282"/>
      <c r="W577" s="282"/>
      <c r="X577" s="283"/>
      <c r="Y577" s="284" t="n">
        <f aca="false">IFERROR(L577*$G577*I$9, "")</f>
        <v>0</v>
      </c>
      <c r="Z577" s="284" t="n">
        <f aca="false">IFERROR(M577*$G577*$I577, "")</f>
        <v>0</v>
      </c>
      <c r="AA577" s="284" t="n">
        <f aca="false">IFERROR(N577*$G577*$I577, "")</f>
        <v>0</v>
      </c>
      <c r="AB577" s="284" t="n">
        <f aca="false">IFERROR(O577*$G577*$I577, "")</f>
        <v>0</v>
      </c>
      <c r="AC577" s="284" t="n">
        <f aca="false">IFERROR(P577*$G577*$I577, "")</f>
        <v>0</v>
      </c>
      <c r="AD577" s="284" t="n">
        <f aca="false">IFERROR(Q577*$G577*$I577, "")</f>
        <v>0</v>
      </c>
      <c r="AE577" s="284" t="n">
        <f aca="false">IFERROR(R577*$G577*$I577, "")</f>
        <v>0</v>
      </c>
      <c r="AF577" s="284" t="n">
        <f aca="false">IFERROR(S577*$G577*$I577, "")</f>
        <v>0</v>
      </c>
      <c r="AG577" s="284" t="n">
        <f aca="false">IFERROR(T577*$G577*$I577, "")</f>
        <v>0</v>
      </c>
      <c r="AH577" s="284" t="n">
        <f aca="false">IFERROR(U577*$G577*$I577, "")</f>
        <v>0</v>
      </c>
      <c r="AI577" s="284" t="n">
        <f aca="false">IFERROR(V577*$G577*$I577, "")</f>
        <v>0</v>
      </c>
      <c r="AJ577" s="284" t="n">
        <f aca="false">IFERROR(W577*$G577*$I577, "")</f>
        <v>0</v>
      </c>
      <c r="AK577" s="286" t="n">
        <f aca="false">IFERROR(SUMIF($Y$4:$AJ$4, "RDEC", Y577:AJ577), "")</f>
        <v>0</v>
      </c>
      <c r="AL577" s="286" t="n">
        <f aca="false">IFERROR(SUMIF($Y$4:$AJ$4, "SME", Y577:AJ577), "")</f>
        <v>0</v>
      </c>
      <c r="AM577" s="286" t="n">
        <f aca="false">IFERROR(SUMIF($Y$4:$AJ$4, "De Minimis", Y577:AJ577), "")</f>
        <v>0</v>
      </c>
      <c r="AN577" s="283"/>
      <c r="AO577" s="284" t="n">
        <f aca="false">IFERROR($G577*$J577*L577, "")</f>
        <v>0</v>
      </c>
      <c r="AP577" s="284" t="n">
        <f aca="false">IFERROR($G577*$J577*M577, "")</f>
        <v>0</v>
      </c>
      <c r="AQ577" s="284" t="n">
        <f aca="false">IFERROR($G577*$J577*N577, "")</f>
        <v>0</v>
      </c>
      <c r="AR577" s="284" t="n">
        <f aca="false">IFERROR($G577*$J577*O577, "")</f>
        <v>0</v>
      </c>
      <c r="AS577" s="284" t="n">
        <f aca="false">IFERROR($G577*$J577*P577, "")</f>
        <v>0</v>
      </c>
      <c r="AT577" s="284" t="n">
        <f aca="false">IFERROR($G577*$J577*Q577, "")</f>
        <v>0</v>
      </c>
      <c r="AU577" s="284" t="n">
        <f aca="false">IFERROR($G577*$J577*R577, "")</f>
        <v>0</v>
      </c>
      <c r="AV577" s="284" t="n">
        <f aca="false">IFERROR($G577*$J577*S577, "")</f>
        <v>0</v>
      </c>
      <c r="AW577" s="284" t="n">
        <f aca="false">IFERROR($G577*$J577*T577, "")</f>
        <v>0</v>
      </c>
      <c r="AX577" s="284" t="n">
        <f aca="false">IFERROR($G577*$J577*U577, "")</f>
        <v>0</v>
      </c>
      <c r="AY577" s="284" t="n">
        <f aca="false">IFERROR($G577*$J577*V577, "")</f>
        <v>0</v>
      </c>
      <c r="AZ577" s="284" t="n">
        <f aca="false">IFERROR($G577*$J577*W577, "")</f>
        <v>0</v>
      </c>
      <c r="BA577" s="286" t="n">
        <f aca="false">IFERROR(SUMIF($AO$4:$AZ$4, "RDEC", AO577:AZ577), "")</f>
        <v>0</v>
      </c>
      <c r="BB577" s="286" t="n">
        <f aca="false">IFERROR(SUMIF($AO$4:$AZ$4, "SME", AO577:AZ577), "")</f>
        <v>0</v>
      </c>
      <c r="BC577" s="286" t="n">
        <f aca="false">IFERROR(SUMIF($Y$4:$AJ$4, "De Minimis", AO577:AZ577), "")</f>
        <v>0</v>
      </c>
      <c r="BD577" s="287"/>
      <c r="BE577" s="288" t="str">
        <f aca="false">IF((SUM(L577:W577)&gt;1),"ERROR","")</f>
        <v/>
      </c>
    </row>
    <row r="578" customFormat="false" ht="15" hidden="false" customHeight="true" outlineLevel="0" collapsed="false">
      <c r="B578" s="333"/>
      <c r="C578" s="334"/>
      <c r="D578" s="333" t="n">
        <f aca="false">D562</f>
        <v>45566</v>
      </c>
      <c r="E578" s="277" t="n">
        <v>0</v>
      </c>
      <c r="F578" s="277" t="n">
        <v>0</v>
      </c>
      <c r="G578" s="277" t="n">
        <f aca="false">SUM(E578:F578)</f>
        <v>0</v>
      </c>
      <c r="H578" s="204"/>
      <c r="I578" s="279" t="n">
        <v>1</v>
      </c>
      <c r="J578" s="280" t="n">
        <f aca="false">1-I578</f>
        <v>0</v>
      </c>
      <c r="K578" s="277"/>
      <c r="L578" s="282"/>
      <c r="M578" s="282"/>
      <c r="N578" s="282"/>
      <c r="O578" s="282"/>
      <c r="P578" s="282"/>
      <c r="Q578" s="282"/>
      <c r="R578" s="282"/>
      <c r="S578" s="282"/>
      <c r="T578" s="282"/>
      <c r="U578" s="282"/>
      <c r="V578" s="282"/>
      <c r="W578" s="282"/>
      <c r="X578" s="283"/>
      <c r="Y578" s="284" t="n">
        <f aca="false">IFERROR(L578*$G578*I$9, "")</f>
        <v>0</v>
      </c>
      <c r="Z578" s="284" t="n">
        <f aca="false">IFERROR(M578*$G578*$I578, "")</f>
        <v>0</v>
      </c>
      <c r="AA578" s="284" t="n">
        <f aca="false">IFERROR(N578*$G578*$I578, "")</f>
        <v>0</v>
      </c>
      <c r="AB578" s="284" t="n">
        <f aca="false">IFERROR(O578*$G578*$I578, "")</f>
        <v>0</v>
      </c>
      <c r="AC578" s="284" t="n">
        <f aca="false">IFERROR(P578*$G578*$I578, "")</f>
        <v>0</v>
      </c>
      <c r="AD578" s="284" t="n">
        <f aca="false">IFERROR(Q578*$G578*$I578, "")</f>
        <v>0</v>
      </c>
      <c r="AE578" s="284" t="n">
        <f aca="false">IFERROR(R578*$G578*$I578, "")</f>
        <v>0</v>
      </c>
      <c r="AF578" s="284" t="n">
        <f aca="false">IFERROR(S578*$G578*$I578, "")</f>
        <v>0</v>
      </c>
      <c r="AG578" s="284" t="n">
        <f aca="false">IFERROR(T578*$G578*$I578, "")</f>
        <v>0</v>
      </c>
      <c r="AH578" s="284" t="n">
        <f aca="false">IFERROR(U578*$G578*$I578, "")</f>
        <v>0</v>
      </c>
      <c r="AI578" s="284" t="n">
        <f aca="false">IFERROR(V578*$G578*$I578, "")</f>
        <v>0</v>
      </c>
      <c r="AJ578" s="284" t="n">
        <f aca="false">IFERROR(W578*$G578*$I578, "")</f>
        <v>0</v>
      </c>
      <c r="AK578" s="286" t="n">
        <f aca="false">IFERROR(SUMIF($Y$4:$AJ$4, "RDEC", Y578:AJ578), "")</f>
        <v>0</v>
      </c>
      <c r="AL578" s="286" t="n">
        <f aca="false">IFERROR(SUMIF($Y$4:$AJ$4, "SME", Y578:AJ578), "")</f>
        <v>0</v>
      </c>
      <c r="AM578" s="286" t="n">
        <f aca="false">IFERROR(SUMIF($Y$4:$AJ$4, "De Minimis", Y578:AJ578), "")</f>
        <v>0</v>
      </c>
      <c r="AN578" s="283"/>
      <c r="AO578" s="284" t="n">
        <f aca="false">IFERROR($G578*$J578*L578, "")</f>
        <v>0</v>
      </c>
      <c r="AP578" s="284" t="n">
        <f aca="false">IFERROR($G578*$J578*M578, "")</f>
        <v>0</v>
      </c>
      <c r="AQ578" s="284" t="n">
        <f aca="false">IFERROR($G578*$J578*N578, "")</f>
        <v>0</v>
      </c>
      <c r="AR578" s="284" t="n">
        <f aca="false">IFERROR($G578*$J578*O578, "")</f>
        <v>0</v>
      </c>
      <c r="AS578" s="284" t="n">
        <f aca="false">IFERROR($G578*$J578*P578, "")</f>
        <v>0</v>
      </c>
      <c r="AT578" s="284" t="n">
        <f aca="false">IFERROR($G578*$J578*Q578, "")</f>
        <v>0</v>
      </c>
      <c r="AU578" s="284" t="n">
        <f aca="false">IFERROR($G578*$J578*R578, "")</f>
        <v>0</v>
      </c>
      <c r="AV578" s="284" t="n">
        <f aca="false">IFERROR($G578*$J578*S578, "")</f>
        <v>0</v>
      </c>
      <c r="AW578" s="284" t="n">
        <f aca="false">IFERROR($G578*$J578*T578, "")</f>
        <v>0</v>
      </c>
      <c r="AX578" s="284" t="n">
        <f aca="false">IFERROR($G578*$J578*U578, "")</f>
        <v>0</v>
      </c>
      <c r="AY578" s="284" t="n">
        <f aca="false">IFERROR($G578*$J578*V578, "")</f>
        <v>0</v>
      </c>
      <c r="AZ578" s="284" t="n">
        <f aca="false">IFERROR($G578*$J578*W578, "")</f>
        <v>0</v>
      </c>
      <c r="BA578" s="286" t="n">
        <f aca="false">IFERROR(SUMIF($AO$4:$AZ$4, "RDEC", AO578:AZ578), "")</f>
        <v>0</v>
      </c>
      <c r="BB578" s="286" t="n">
        <f aca="false">IFERROR(SUMIF($AO$4:$AZ$4, "SME", AO578:AZ578), "")</f>
        <v>0</v>
      </c>
      <c r="BC578" s="286" t="n">
        <f aca="false">IFERROR(SUMIF($Y$4:$AJ$4, "De Minimis", AO578:AZ578), "")</f>
        <v>0</v>
      </c>
      <c r="BD578" s="287"/>
      <c r="BE578" s="288" t="str">
        <f aca="false">IF((SUM(L578:W578)&gt;1),"ERROR","")</f>
        <v/>
      </c>
    </row>
    <row r="579" customFormat="false" ht="15" hidden="false" customHeight="true" outlineLevel="0" collapsed="false">
      <c r="B579" s="333"/>
      <c r="C579" s="334"/>
      <c r="D579" s="333" t="n">
        <f aca="false">D563</f>
        <v>45597</v>
      </c>
      <c r="E579" s="277" t="n">
        <v>0</v>
      </c>
      <c r="F579" s="277" t="n">
        <v>0</v>
      </c>
      <c r="G579" s="277" t="n">
        <f aca="false">SUM(E579:F579)</f>
        <v>0</v>
      </c>
      <c r="H579" s="204"/>
      <c r="I579" s="279" t="n">
        <v>1</v>
      </c>
      <c r="J579" s="280" t="n">
        <f aca="false">1-I579</f>
        <v>0</v>
      </c>
      <c r="K579" s="277"/>
      <c r="L579" s="282"/>
      <c r="M579" s="282"/>
      <c r="N579" s="282"/>
      <c r="O579" s="282"/>
      <c r="P579" s="282"/>
      <c r="Q579" s="282"/>
      <c r="R579" s="282"/>
      <c r="S579" s="282"/>
      <c r="T579" s="282"/>
      <c r="U579" s="282"/>
      <c r="V579" s="282"/>
      <c r="W579" s="282"/>
      <c r="X579" s="283"/>
      <c r="Y579" s="284" t="n">
        <f aca="false">IFERROR(L579*$G579*I$9, "")</f>
        <v>0</v>
      </c>
      <c r="Z579" s="284" t="n">
        <f aca="false">IFERROR(M579*$G579*$I579, "")</f>
        <v>0</v>
      </c>
      <c r="AA579" s="284" t="n">
        <f aca="false">IFERROR(N579*$G579*$I579, "")</f>
        <v>0</v>
      </c>
      <c r="AB579" s="284" t="n">
        <f aca="false">IFERROR(O579*$G579*$I579, "")</f>
        <v>0</v>
      </c>
      <c r="AC579" s="284" t="n">
        <f aca="false">IFERROR(P579*$G579*$I579, "")</f>
        <v>0</v>
      </c>
      <c r="AD579" s="284" t="n">
        <f aca="false">IFERROR(Q579*$G579*$I579, "")</f>
        <v>0</v>
      </c>
      <c r="AE579" s="284" t="n">
        <f aca="false">IFERROR(R579*$G579*$I579, "")</f>
        <v>0</v>
      </c>
      <c r="AF579" s="284" t="n">
        <f aca="false">IFERROR(S579*$G579*$I579, "")</f>
        <v>0</v>
      </c>
      <c r="AG579" s="284" t="n">
        <f aca="false">IFERROR(T579*$G579*$I579, "")</f>
        <v>0</v>
      </c>
      <c r="AH579" s="284" t="n">
        <f aca="false">IFERROR(U579*$G579*$I579, "")</f>
        <v>0</v>
      </c>
      <c r="AI579" s="284" t="n">
        <f aca="false">IFERROR(V579*$G579*$I579, "")</f>
        <v>0</v>
      </c>
      <c r="AJ579" s="284" t="n">
        <f aca="false">IFERROR(W579*$G579*$I579, "")</f>
        <v>0</v>
      </c>
      <c r="AK579" s="286" t="n">
        <f aca="false">IFERROR(SUMIF($Y$4:$AJ$4, "RDEC", Y579:AJ579), "")</f>
        <v>0</v>
      </c>
      <c r="AL579" s="286" t="n">
        <f aca="false">IFERROR(SUMIF($Y$4:$AJ$4, "SME", Y579:AJ579), "")</f>
        <v>0</v>
      </c>
      <c r="AM579" s="286" t="n">
        <f aca="false">IFERROR(SUMIF($Y$4:$AJ$4, "De Minimis", Y579:AJ579), "")</f>
        <v>0</v>
      </c>
      <c r="AN579" s="283"/>
      <c r="AO579" s="284" t="n">
        <f aca="false">IFERROR($G579*$J579*L579, "")</f>
        <v>0</v>
      </c>
      <c r="AP579" s="284" t="n">
        <f aca="false">IFERROR($G579*$J579*M579, "")</f>
        <v>0</v>
      </c>
      <c r="AQ579" s="284" t="n">
        <f aca="false">IFERROR($G579*$J579*N579, "")</f>
        <v>0</v>
      </c>
      <c r="AR579" s="284" t="n">
        <f aca="false">IFERROR($G579*$J579*O579, "")</f>
        <v>0</v>
      </c>
      <c r="AS579" s="284" t="n">
        <f aca="false">IFERROR($G579*$J579*P579, "")</f>
        <v>0</v>
      </c>
      <c r="AT579" s="284" t="n">
        <f aca="false">IFERROR($G579*$J579*Q579, "")</f>
        <v>0</v>
      </c>
      <c r="AU579" s="284" t="n">
        <f aca="false">IFERROR($G579*$J579*R579, "")</f>
        <v>0</v>
      </c>
      <c r="AV579" s="284" t="n">
        <f aca="false">IFERROR($G579*$J579*S579, "")</f>
        <v>0</v>
      </c>
      <c r="AW579" s="284" t="n">
        <f aca="false">IFERROR($G579*$J579*T579, "")</f>
        <v>0</v>
      </c>
      <c r="AX579" s="284" t="n">
        <f aca="false">IFERROR($G579*$J579*U579, "")</f>
        <v>0</v>
      </c>
      <c r="AY579" s="284" t="n">
        <f aca="false">IFERROR($G579*$J579*V579, "")</f>
        <v>0</v>
      </c>
      <c r="AZ579" s="284" t="n">
        <f aca="false">IFERROR($G579*$J579*W579, "")</f>
        <v>0</v>
      </c>
      <c r="BA579" s="286" t="n">
        <f aca="false">IFERROR(SUMIF($AO$4:$AZ$4, "RDEC", AO579:AZ579), "")</f>
        <v>0</v>
      </c>
      <c r="BB579" s="286" t="n">
        <f aca="false">IFERROR(SUMIF($AO$4:$AZ$4, "SME", AO579:AZ579), "")</f>
        <v>0</v>
      </c>
      <c r="BC579" s="286" t="n">
        <f aca="false">IFERROR(SUMIF($Y$4:$AJ$4, "De Minimis", AO579:AZ579), "")</f>
        <v>0</v>
      </c>
      <c r="BD579" s="287"/>
      <c r="BE579" s="288" t="str">
        <f aca="false">IF((SUM(L579:W579)&gt;1),"ERROR","")</f>
        <v/>
      </c>
    </row>
    <row r="580" customFormat="false" ht="15" hidden="false" customHeight="true" outlineLevel="0" collapsed="false">
      <c r="B580" s="333"/>
      <c r="C580" s="334"/>
      <c r="D580" s="333" t="n">
        <f aca="false">D564</f>
        <v>45627</v>
      </c>
      <c r="E580" s="277" t="n">
        <v>0</v>
      </c>
      <c r="F580" s="277" t="n">
        <v>0</v>
      </c>
      <c r="G580" s="277" t="n">
        <f aca="false">SUM(E580:F580)</f>
        <v>0</v>
      </c>
      <c r="H580" s="300"/>
      <c r="I580" s="289" t="n">
        <v>1</v>
      </c>
      <c r="J580" s="290" t="n">
        <f aca="false">1-I580</f>
        <v>0</v>
      </c>
      <c r="K580" s="300"/>
      <c r="L580" s="291"/>
      <c r="M580" s="291"/>
      <c r="N580" s="291"/>
      <c r="O580" s="291"/>
      <c r="P580" s="291"/>
      <c r="Q580" s="291"/>
      <c r="R580" s="291"/>
      <c r="S580" s="291"/>
      <c r="T580" s="291"/>
      <c r="U580" s="291"/>
      <c r="V580" s="291"/>
      <c r="W580" s="291"/>
      <c r="X580" s="283"/>
      <c r="Y580" s="284" t="n">
        <f aca="false">IFERROR(L580*$G580*I$9, "")</f>
        <v>0</v>
      </c>
      <c r="Z580" s="284" t="n">
        <f aca="false">IFERROR(M580*$G580*$I580, "")</f>
        <v>0</v>
      </c>
      <c r="AA580" s="284" t="n">
        <f aca="false">IFERROR(N580*$G580*$I580, "")</f>
        <v>0</v>
      </c>
      <c r="AB580" s="284" t="n">
        <f aca="false">IFERROR(O580*$G580*$I580, "")</f>
        <v>0</v>
      </c>
      <c r="AC580" s="284" t="n">
        <f aca="false">IFERROR(P580*$G580*$I580, "")</f>
        <v>0</v>
      </c>
      <c r="AD580" s="284" t="n">
        <f aca="false">IFERROR(Q580*$G580*$I580, "")</f>
        <v>0</v>
      </c>
      <c r="AE580" s="284" t="n">
        <f aca="false">IFERROR(R580*$G580*$I580, "")</f>
        <v>0</v>
      </c>
      <c r="AF580" s="284" t="n">
        <f aca="false">IFERROR(S580*$G580*$I580, "")</f>
        <v>0</v>
      </c>
      <c r="AG580" s="284" t="n">
        <f aca="false">IFERROR(T580*$G580*$I580, "")</f>
        <v>0</v>
      </c>
      <c r="AH580" s="284" t="n">
        <f aca="false">IFERROR(U580*$G580*$I580, "")</f>
        <v>0</v>
      </c>
      <c r="AI580" s="284" t="n">
        <f aca="false">IFERROR(V580*$G580*$I580, "")</f>
        <v>0</v>
      </c>
      <c r="AJ580" s="284" t="n">
        <f aca="false">IFERROR(W580*$G580*$I580, "")</f>
        <v>0</v>
      </c>
      <c r="AK580" s="294" t="n">
        <f aca="false">IFERROR(SUMIF($Y$4:$AJ$4, "RDEC", Y580:AJ580), "")</f>
        <v>0</v>
      </c>
      <c r="AL580" s="294" t="n">
        <f aca="false">IFERROR(SUMIF($Y$4:$AJ$4, "SME", Y580:AJ580), "")</f>
        <v>0</v>
      </c>
      <c r="AM580" s="294" t="n">
        <f aca="false">IFERROR(SUMIF($Y$4:$AJ$4, "De Minimis", Y580:AJ580), "")</f>
        <v>0</v>
      </c>
      <c r="AN580" s="283"/>
      <c r="AO580" s="284" t="n">
        <f aca="false">IFERROR($G580*$J580*L580, "")</f>
        <v>0</v>
      </c>
      <c r="AP580" s="284" t="n">
        <f aca="false">IFERROR($G580*$J580*M580, "")</f>
        <v>0</v>
      </c>
      <c r="AQ580" s="284" t="n">
        <f aca="false">IFERROR($G580*$J580*N580, "")</f>
        <v>0</v>
      </c>
      <c r="AR580" s="284" t="n">
        <f aca="false">IFERROR($G580*$J580*O580, "")</f>
        <v>0</v>
      </c>
      <c r="AS580" s="284" t="n">
        <f aca="false">IFERROR($G580*$J580*P580, "")</f>
        <v>0</v>
      </c>
      <c r="AT580" s="284" t="n">
        <f aca="false">IFERROR($G580*$J580*Q580, "")</f>
        <v>0</v>
      </c>
      <c r="AU580" s="284" t="n">
        <f aca="false">IFERROR($G580*$J580*R580, "")</f>
        <v>0</v>
      </c>
      <c r="AV580" s="284" t="n">
        <f aca="false">IFERROR($G580*$J580*S580, "")</f>
        <v>0</v>
      </c>
      <c r="AW580" s="284" t="n">
        <f aca="false">IFERROR($G580*$J580*T580, "")</f>
        <v>0</v>
      </c>
      <c r="AX580" s="284" t="n">
        <f aca="false">IFERROR($G580*$J580*U580, "")</f>
        <v>0</v>
      </c>
      <c r="AY580" s="284" t="n">
        <f aca="false">IFERROR($G580*$J580*V580, "")</f>
        <v>0</v>
      </c>
      <c r="AZ580" s="284" t="n">
        <f aca="false">IFERROR($G580*$J580*W580, "")</f>
        <v>0</v>
      </c>
      <c r="BA580" s="286" t="n">
        <f aca="false">IFERROR(SUMIF($AO$4:$AZ$4, "RDEC", AO580:AZ580), "")</f>
        <v>0</v>
      </c>
      <c r="BB580" s="286" t="n">
        <f aca="false">IFERROR(SUMIF($AO$4:$AZ$4, "SME", AO580:AZ580), "")</f>
        <v>0</v>
      </c>
      <c r="BC580" s="294" t="n">
        <f aca="false">IFERROR(SUMIF($Y$4:$AJ$4, "De Minimis", AO580:AZ580), "")</f>
        <v>0</v>
      </c>
      <c r="BD580" s="303"/>
      <c r="BE580" s="295" t="str">
        <f aca="false">IF((SUM(L580:W580)&gt;1),"ERROR","")</f>
        <v/>
      </c>
    </row>
    <row r="581" customFormat="false" ht="15" hidden="false" customHeight="true" outlineLevel="0" collapsed="false">
      <c r="B581" s="296"/>
      <c r="D581" s="297" t="s">
        <v>82</v>
      </c>
      <c r="E581" s="299" t="n">
        <f aca="false">SUM(E569:E580)</f>
        <v>0</v>
      </c>
      <c r="F581" s="299" t="n">
        <f aca="false">SUM(F569:F580)</f>
        <v>0</v>
      </c>
      <c r="G581" s="299" t="n">
        <f aca="false">SUM(G569:G580)</f>
        <v>0</v>
      </c>
      <c r="H581" s="300"/>
      <c r="I581" s="301" t="n">
        <f aca="false">AVERAGE(I569:I580)</f>
        <v>1</v>
      </c>
      <c r="J581" s="301" t="n">
        <f aca="false">AVERAGE(J569:J580)</f>
        <v>0</v>
      </c>
      <c r="K581" s="300"/>
      <c r="L581" s="290" t="n">
        <f aca="false">IF(SUM(L569:L580)&gt;0,(Y581/G581),0)</f>
        <v>0</v>
      </c>
      <c r="M581" s="301" t="n">
        <f aca="false">IF(SUM(M569:M580)&gt;0,(Z581/G581),0)</f>
        <v>0</v>
      </c>
      <c r="N581" s="301" t="n">
        <f aca="false">IF(SUM(N569:N580)&gt;0,(AA581/G581),0)</f>
        <v>0</v>
      </c>
      <c r="O581" s="301" t="n">
        <f aca="false">IF(SUM(O569:O580)&gt;0,(AB581/G581),0)</f>
        <v>0</v>
      </c>
      <c r="P581" s="301" t="n">
        <f aca="false">IF(SUM(P569:P580)&gt;0,(AC581/G581),0)</f>
        <v>0</v>
      </c>
      <c r="Q581" s="301" t="n">
        <f aca="false">IF(SUM(Q569:Q580)&gt;0,(AD581/G581),0)</f>
        <v>0</v>
      </c>
      <c r="R581" s="301" t="n">
        <f aca="false">IF(SUM(R569:R580)&gt;0,(AE581/G581),0)</f>
        <v>0</v>
      </c>
      <c r="S581" s="301" t="n">
        <f aca="false">IF(SUM(S569:S580)&gt;0,(AF581/G581),0)</f>
        <v>0</v>
      </c>
      <c r="T581" s="301" t="n">
        <f aca="false">IF(SUM(T569:T580)&gt;0,(AG581/G581),0)</f>
        <v>0</v>
      </c>
      <c r="U581" s="301" t="n">
        <f aca="false">IF(SUM(U569:U580)&gt;0,(AJ581/G581),0)</f>
        <v>0</v>
      </c>
      <c r="V581" s="301" t="n">
        <f aca="false">IF(SUM(V569:V580)&gt;0,(AI581/G581),0)</f>
        <v>0</v>
      </c>
      <c r="W581" s="301" t="n">
        <f aca="false">IF(SUM(W569:W580)&gt;0,(AJ581/G581),0)</f>
        <v>0</v>
      </c>
      <c r="X581" s="283"/>
      <c r="Y581" s="304" t="n">
        <f aca="false">SUM(Y569:Y580)</f>
        <v>0</v>
      </c>
      <c r="Z581" s="304" t="n">
        <f aca="false">SUM(Z569:Z580)</f>
        <v>0</v>
      </c>
      <c r="AA581" s="304" t="n">
        <f aca="false">SUM(AA569:AA580)</f>
        <v>0</v>
      </c>
      <c r="AB581" s="304" t="n">
        <f aca="false">SUM(AB569:AB580)</f>
        <v>0</v>
      </c>
      <c r="AC581" s="304" t="n">
        <f aca="false">SUM(AC569:AC580)</f>
        <v>0</v>
      </c>
      <c r="AD581" s="304" t="n">
        <f aca="false">SUM(AD569:AD580)</f>
        <v>0</v>
      </c>
      <c r="AE581" s="304" t="n">
        <f aca="false">SUM(AE569:AE580)</f>
        <v>0</v>
      </c>
      <c r="AF581" s="304" t="n">
        <f aca="false">SUM(AF569:AF580)</f>
        <v>0</v>
      </c>
      <c r="AG581" s="304" t="n">
        <f aca="false">SUM(AG569:AG580)</f>
        <v>0</v>
      </c>
      <c r="AH581" s="304" t="n">
        <f aca="false">SUM(AH569:AH580)</f>
        <v>0</v>
      </c>
      <c r="AI581" s="304" t="n">
        <f aca="false">SUM(AI569:AI580)</f>
        <v>0</v>
      </c>
      <c r="AJ581" s="304" t="n">
        <f aca="false">SUM(AJ569:AJ580)</f>
        <v>0</v>
      </c>
      <c r="AK581" s="335" t="n">
        <f aca="false">SUM(AK569:AK580)</f>
        <v>0</v>
      </c>
      <c r="AL581" s="336" t="n">
        <f aca="false">SUM(AL569:AL580)</f>
        <v>0</v>
      </c>
      <c r="AM581" s="305" t="n">
        <f aca="false">SUM(AM569:AM580)</f>
        <v>0</v>
      </c>
      <c r="AN581" s="283"/>
      <c r="AO581" s="304" t="n">
        <f aca="false">SUM(AO569:AO580)</f>
        <v>0</v>
      </c>
      <c r="AP581" s="304" t="n">
        <f aca="false">SUM(AP569:AP580)</f>
        <v>0</v>
      </c>
      <c r="AQ581" s="304" t="n">
        <f aca="false">SUM(AQ569:AQ580)</f>
        <v>0</v>
      </c>
      <c r="AR581" s="304" t="n">
        <f aca="false">SUM(AR569:AR580)</f>
        <v>0</v>
      </c>
      <c r="AS581" s="304" t="n">
        <f aca="false">SUM(AS569:AS580)</f>
        <v>0</v>
      </c>
      <c r="AT581" s="304" t="n">
        <f aca="false">SUM(AT569:AT580)</f>
        <v>0</v>
      </c>
      <c r="AU581" s="304" t="n">
        <f aca="false">SUM(AU569:AU580)</f>
        <v>0</v>
      </c>
      <c r="AV581" s="304" t="n">
        <f aca="false">SUM(AV569:AV580)</f>
        <v>0</v>
      </c>
      <c r="AW581" s="304" t="n">
        <f aca="false">SUM(AW569:AW580)</f>
        <v>0</v>
      </c>
      <c r="AX581" s="304" t="n">
        <f aca="false">SUM(AX569:AX580)</f>
        <v>0</v>
      </c>
      <c r="AY581" s="304" t="n">
        <f aca="false">SUM(AY569:AY580)</f>
        <v>0</v>
      </c>
      <c r="AZ581" s="304" t="n">
        <f aca="false">SUM(AZ569:AZ580)</f>
        <v>0</v>
      </c>
      <c r="BA581" s="336" t="n">
        <f aca="false">SUM(BA569:BA580)</f>
        <v>0</v>
      </c>
      <c r="BB581" s="336" t="n">
        <f aca="false">SUM(BB569:BB580)</f>
        <v>0</v>
      </c>
      <c r="BC581" s="305" t="n">
        <f aca="false">SUM(BC569:BC580)</f>
        <v>0</v>
      </c>
      <c r="BD581" s="303"/>
      <c r="BE581" s="337"/>
    </row>
    <row r="582" customFormat="false" ht="15" hidden="false" customHeight="true" outlineLevel="0" collapsed="false">
      <c r="B582" s="296"/>
      <c r="D582" s="297"/>
      <c r="E582" s="300"/>
      <c r="F582" s="300"/>
      <c r="G582" s="300"/>
      <c r="H582" s="241"/>
      <c r="I582" s="302"/>
      <c r="J582" s="302"/>
      <c r="K582" s="241"/>
      <c r="L582" s="259"/>
      <c r="M582" s="259"/>
      <c r="N582" s="259"/>
      <c r="O582" s="259"/>
      <c r="P582" s="259"/>
      <c r="Q582" s="259"/>
      <c r="R582" s="259"/>
      <c r="S582" s="259"/>
      <c r="T582" s="259"/>
      <c r="U582" s="259"/>
      <c r="V582" s="259"/>
      <c r="W582" s="259"/>
      <c r="X582" s="303"/>
      <c r="Y582" s="259"/>
      <c r="Z582" s="303"/>
      <c r="AA582" s="303"/>
      <c r="AB582" s="303"/>
      <c r="AC582" s="303"/>
      <c r="AD582" s="303"/>
      <c r="AE582" s="303"/>
      <c r="AF582" s="303"/>
      <c r="AG582" s="303"/>
      <c r="AH582" s="303"/>
      <c r="AI582" s="303"/>
      <c r="AJ582" s="303"/>
      <c r="AK582" s="303"/>
      <c r="AL582" s="303"/>
      <c r="AM582" s="303"/>
      <c r="AN582" s="303"/>
      <c r="AO582" s="259"/>
      <c r="AP582" s="303"/>
      <c r="AQ582" s="303"/>
      <c r="AR582" s="303"/>
      <c r="AS582" s="303"/>
      <c r="AT582" s="303"/>
      <c r="AU582" s="303"/>
      <c r="AV582" s="303"/>
      <c r="AW582" s="303"/>
      <c r="AX582" s="303"/>
      <c r="AY582" s="303"/>
      <c r="AZ582" s="303"/>
      <c r="BA582" s="303"/>
      <c r="BB582" s="303"/>
      <c r="BC582" s="303"/>
      <c r="BD582" s="268"/>
      <c r="BE582" s="303"/>
    </row>
    <row r="583" customFormat="false" ht="15" hidden="false" customHeight="true" outlineLevel="0" collapsed="false">
      <c r="A583" s="198" t="n">
        <f aca="false">A567+1</f>
        <v>37</v>
      </c>
      <c r="B583" s="266" t="s">
        <v>253</v>
      </c>
      <c r="C583" s="266" t="s">
        <v>253</v>
      </c>
      <c r="D583" s="266"/>
      <c r="E583" s="241"/>
      <c r="F583" s="241"/>
      <c r="G583" s="241"/>
      <c r="H583" s="241"/>
      <c r="I583" s="241"/>
      <c r="J583" s="241"/>
      <c r="K583" s="277"/>
      <c r="L583" s="241"/>
      <c r="M583" s="241"/>
      <c r="N583" s="241"/>
      <c r="O583" s="241"/>
      <c r="P583" s="241"/>
      <c r="Q583" s="241"/>
      <c r="R583" s="241"/>
      <c r="S583" s="241"/>
      <c r="T583" s="241"/>
      <c r="U583" s="241"/>
      <c r="V583" s="241"/>
      <c r="W583" s="241"/>
      <c r="X583" s="259"/>
      <c r="Y583" s="268"/>
      <c r="Z583" s="268"/>
      <c r="AA583" s="268"/>
      <c r="AB583" s="268"/>
      <c r="AC583" s="268"/>
      <c r="AD583" s="268"/>
      <c r="AE583" s="268"/>
      <c r="AF583" s="268"/>
      <c r="AG583" s="268"/>
      <c r="AH583" s="268"/>
      <c r="AI583" s="268"/>
      <c r="AJ583" s="268"/>
      <c r="AK583" s="268"/>
      <c r="AL583" s="268"/>
      <c r="AM583" s="268"/>
      <c r="AN583" s="259"/>
      <c r="AO583" s="268"/>
      <c r="AP583" s="268"/>
      <c r="AQ583" s="268"/>
      <c r="AR583" s="268"/>
      <c r="AS583" s="268"/>
      <c r="AT583" s="268"/>
      <c r="AU583" s="268"/>
      <c r="AV583" s="268"/>
      <c r="AW583" s="268"/>
      <c r="AX583" s="268"/>
      <c r="AY583" s="268"/>
      <c r="AZ583" s="268"/>
      <c r="BA583" s="268"/>
      <c r="BB583" s="268"/>
      <c r="BC583" s="268"/>
      <c r="BD583" s="287"/>
      <c r="BE583" s="268"/>
    </row>
    <row r="584" customFormat="false" ht="7.5" hidden="false" customHeight="true" outlineLevel="0" collapsed="false">
      <c r="A584" s="198"/>
      <c r="B584" s="266"/>
      <c r="C584" s="266"/>
      <c r="D584" s="266"/>
      <c r="E584" s="241"/>
      <c r="F584" s="241"/>
      <c r="G584" s="241"/>
      <c r="H584" s="204"/>
      <c r="I584" s="269"/>
      <c r="J584" s="269"/>
      <c r="K584" s="277"/>
      <c r="L584" s="269"/>
      <c r="M584" s="269"/>
      <c r="N584" s="269"/>
      <c r="O584" s="269"/>
      <c r="P584" s="269"/>
      <c r="Q584" s="269"/>
      <c r="R584" s="269"/>
      <c r="S584" s="269"/>
      <c r="T584" s="269"/>
      <c r="U584" s="269"/>
      <c r="V584" s="269"/>
      <c r="W584" s="269"/>
      <c r="X584" s="259"/>
      <c r="Y584" s="271"/>
      <c r="Z584" s="271"/>
      <c r="AA584" s="271"/>
      <c r="AB584" s="271"/>
      <c r="AC584" s="271"/>
      <c r="AD584" s="271"/>
      <c r="AE584" s="271"/>
      <c r="AF584" s="271"/>
      <c r="AG584" s="271"/>
      <c r="AH584" s="271"/>
      <c r="AI584" s="271"/>
      <c r="AJ584" s="272"/>
      <c r="AK584" s="273"/>
      <c r="AL584" s="273"/>
      <c r="AM584" s="273"/>
      <c r="AN584" s="259"/>
      <c r="AO584" s="271"/>
      <c r="AP584" s="271"/>
      <c r="AQ584" s="271"/>
      <c r="AR584" s="271"/>
      <c r="AS584" s="271"/>
      <c r="AT584" s="271"/>
      <c r="AU584" s="271"/>
      <c r="AV584" s="271"/>
      <c r="AW584" s="271"/>
      <c r="AX584" s="271"/>
      <c r="AY584" s="271"/>
      <c r="AZ584" s="272"/>
      <c r="BA584" s="273"/>
      <c r="BB584" s="273"/>
      <c r="BC584" s="273"/>
      <c r="BD584" s="287"/>
      <c r="BE584" s="274"/>
    </row>
    <row r="585" customFormat="false" ht="15" hidden="false" customHeight="true" outlineLevel="0" collapsed="false">
      <c r="B585" s="333"/>
      <c r="C585" s="334"/>
      <c r="D585" s="333" t="n">
        <f aca="false">D569</f>
        <v>45292</v>
      </c>
      <c r="E585" s="277" t="n">
        <v>0</v>
      </c>
      <c r="F585" s="277" t="n">
        <v>0</v>
      </c>
      <c r="G585" s="277" t="n">
        <f aca="false">SUM(E585:F585)</f>
        <v>0</v>
      </c>
      <c r="H585" s="204"/>
      <c r="I585" s="279" t="n">
        <v>1</v>
      </c>
      <c r="J585" s="280" t="n">
        <f aca="false">1-I585</f>
        <v>0</v>
      </c>
      <c r="K585" s="277"/>
      <c r="L585" s="282"/>
      <c r="M585" s="282"/>
      <c r="N585" s="282"/>
      <c r="O585" s="282"/>
      <c r="P585" s="282"/>
      <c r="Q585" s="282"/>
      <c r="R585" s="282"/>
      <c r="S585" s="282"/>
      <c r="T585" s="282"/>
      <c r="U585" s="282"/>
      <c r="V585" s="282"/>
      <c r="W585" s="282"/>
      <c r="X585" s="268"/>
      <c r="Y585" s="284" t="n">
        <f aca="false">IFERROR(L585*$G585*I$9, "")</f>
        <v>0</v>
      </c>
      <c r="Z585" s="284" t="n">
        <f aca="false">IFERROR(M585*$G585*$I585, "")</f>
        <v>0</v>
      </c>
      <c r="AA585" s="284" t="n">
        <f aca="false">IFERROR(N585*$G585*$I585, "")</f>
        <v>0</v>
      </c>
      <c r="AB585" s="284" t="n">
        <f aca="false">IFERROR(O585*$G585*$I585, "")</f>
        <v>0</v>
      </c>
      <c r="AC585" s="284" t="n">
        <f aca="false">IFERROR(P585*$G585*$I585, "")</f>
        <v>0</v>
      </c>
      <c r="AD585" s="284" t="n">
        <f aca="false">IFERROR(Q585*$G585*$I585, "")</f>
        <v>0</v>
      </c>
      <c r="AE585" s="284" t="n">
        <f aca="false">IFERROR(R585*$G585*$I585, "")</f>
        <v>0</v>
      </c>
      <c r="AF585" s="284" t="n">
        <f aca="false">IFERROR(S585*$G585*$I585, "")</f>
        <v>0</v>
      </c>
      <c r="AG585" s="284" t="n">
        <f aca="false">IFERROR(T585*$G585*$I585, "")</f>
        <v>0</v>
      </c>
      <c r="AH585" s="284" t="n">
        <f aca="false">IFERROR(U585*$G585*$I585, "")</f>
        <v>0</v>
      </c>
      <c r="AI585" s="284" t="n">
        <f aca="false">IFERROR(V585*$G585*$I585, "")</f>
        <v>0</v>
      </c>
      <c r="AJ585" s="284" t="n">
        <f aca="false">IFERROR(W585*$G585*$I585, "")</f>
        <v>0</v>
      </c>
      <c r="AK585" s="286" t="n">
        <f aca="false">IFERROR(SUMIF($Y$4:$AJ$4, "RDEC", Y585:AJ585), "")</f>
        <v>0</v>
      </c>
      <c r="AL585" s="286" t="n">
        <f aca="false">IFERROR(SUMIF($Y$4:$AJ$4, "SME", Y585:AJ585), "")</f>
        <v>0</v>
      </c>
      <c r="AM585" s="286" t="n">
        <f aca="false">IFERROR(SUMIF($Y$4:$AJ$4, "De Minimis", Y585:AJ585), "")</f>
        <v>0</v>
      </c>
      <c r="AN585" s="268"/>
      <c r="AO585" s="284" t="n">
        <f aca="false">IFERROR($G585*$J585*L585, "")</f>
        <v>0</v>
      </c>
      <c r="AP585" s="284" t="n">
        <f aca="false">IFERROR($G585*$J585*M585, "")</f>
        <v>0</v>
      </c>
      <c r="AQ585" s="284" t="n">
        <f aca="false">IFERROR($G585*$J585*N585, "")</f>
        <v>0</v>
      </c>
      <c r="AR585" s="284" t="n">
        <f aca="false">IFERROR($G585*$J585*O585, "")</f>
        <v>0</v>
      </c>
      <c r="AS585" s="284" t="n">
        <f aca="false">IFERROR($G585*$J585*P585, "")</f>
        <v>0</v>
      </c>
      <c r="AT585" s="284" t="n">
        <f aca="false">IFERROR($G585*$J585*Q585, "")</f>
        <v>0</v>
      </c>
      <c r="AU585" s="284" t="n">
        <f aca="false">IFERROR($G585*$J585*R585, "")</f>
        <v>0</v>
      </c>
      <c r="AV585" s="284" t="n">
        <f aca="false">IFERROR($G585*$J585*S585, "")</f>
        <v>0</v>
      </c>
      <c r="AW585" s="284" t="n">
        <f aca="false">IFERROR($G585*$J585*T585, "")</f>
        <v>0</v>
      </c>
      <c r="AX585" s="284" t="n">
        <f aca="false">IFERROR($G585*$J585*U585, "")</f>
        <v>0</v>
      </c>
      <c r="AY585" s="284" t="n">
        <f aca="false">IFERROR($G585*$J585*V585, "")</f>
        <v>0</v>
      </c>
      <c r="AZ585" s="284" t="n">
        <f aca="false">IFERROR($G585*$J585*W585, "")</f>
        <v>0</v>
      </c>
      <c r="BA585" s="286" t="n">
        <f aca="false">IFERROR(SUMIF($AO$4:$AZ$4, "RDEC", AO585:AZ585), "")</f>
        <v>0</v>
      </c>
      <c r="BB585" s="286" t="n">
        <f aca="false">IFERROR(SUMIF($AO$4:$AZ$4, "SME", AO585:AZ585), "")</f>
        <v>0</v>
      </c>
      <c r="BC585" s="286" t="n">
        <f aca="false">IFERROR(SUMIF($AO$4:$AZ$4, "De Minimis", AO585:AZ585), "")</f>
        <v>0</v>
      </c>
      <c r="BD585" s="287"/>
      <c r="BE585" s="288" t="str">
        <f aca="false">IF((SUM(L585:W585)&gt;1),"ERROR","")</f>
        <v/>
      </c>
    </row>
    <row r="586" customFormat="false" ht="15" hidden="false" customHeight="true" outlineLevel="0" collapsed="false">
      <c r="B586" s="333"/>
      <c r="C586" s="334"/>
      <c r="D586" s="333" t="n">
        <f aca="false">D570</f>
        <v>45323</v>
      </c>
      <c r="E586" s="277" t="n">
        <v>0</v>
      </c>
      <c r="F586" s="277" t="n">
        <v>0</v>
      </c>
      <c r="G586" s="277" t="n">
        <f aca="false">SUM(E586:F586)</f>
        <v>0</v>
      </c>
      <c r="H586" s="204"/>
      <c r="I586" s="279" t="n">
        <v>1</v>
      </c>
      <c r="J586" s="280" t="n">
        <f aca="false">1-I586</f>
        <v>0</v>
      </c>
      <c r="K586" s="277"/>
      <c r="L586" s="282"/>
      <c r="M586" s="282"/>
      <c r="N586" s="282"/>
      <c r="O586" s="282"/>
      <c r="P586" s="282"/>
      <c r="Q586" s="282"/>
      <c r="R586" s="282"/>
      <c r="S586" s="282"/>
      <c r="T586" s="282"/>
      <c r="U586" s="282"/>
      <c r="V586" s="282"/>
      <c r="W586" s="282"/>
      <c r="X586" s="283"/>
      <c r="Y586" s="284" t="n">
        <f aca="false">IFERROR(L586*$G586*I$9, "")</f>
        <v>0</v>
      </c>
      <c r="Z586" s="284" t="n">
        <f aca="false">IFERROR(M586*$G586*$I586, "")</f>
        <v>0</v>
      </c>
      <c r="AA586" s="284" t="n">
        <f aca="false">IFERROR(N586*$G586*$I586, "")</f>
        <v>0</v>
      </c>
      <c r="AB586" s="284" t="n">
        <f aca="false">IFERROR(O586*$G586*$I586, "")</f>
        <v>0</v>
      </c>
      <c r="AC586" s="284" t="n">
        <f aca="false">IFERROR(P586*$G586*$I586, "")</f>
        <v>0</v>
      </c>
      <c r="AD586" s="284" t="n">
        <f aca="false">IFERROR(Q586*$G586*$I586, "")</f>
        <v>0</v>
      </c>
      <c r="AE586" s="284" t="n">
        <f aca="false">IFERROR(R586*$G586*$I586, "")</f>
        <v>0</v>
      </c>
      <c r="AF586" s="284" t="n">
        <f aca="false">IFERROR(S586*$G586*$I586, "")</f>
        <v>0</v>
      </c>
      <c r="AG586" s="284" t="n">
        <f aca="false">IFERROR(T586*$G586*$I586, "")</f>
        <v>0</v>
      </c>
      <c r="AH586" s="284" t="n">
        <f aca="false">IFERROR(U586*$G586*$I586, "")</f>
        <v>0</v>
      </c>
      <c r="AI586" s="284" t="n">
        <f aca="false">IFERROR(V586*$G586*$I586, "")</f>
        <v>0</v>
      </c>
      <c r="AJ586" s="284" t="n">
        <f aca="false">IFERROR(W586*$G586*$I586, "")</f>
        <v>0</v>
      </c>
      <c r="AK586" s="286" t="n">
        <f aca="false">IFERROR(SUMIF($Y$4:$AJ$4, "RDEC", Y586:AJ586), "")</f>
        <v>0</v>
      </c>
      <c r="AL586" s="286" t="n">
        <f aca="false">IFERROR(SUMIF($Y$4:$AJ$4, "SME", Y586:AJ586), "")</f>
        <v>0</v>
      </c>
      <c r="AM586" s="286" t="n">
        <f aca="false">IFERROR(SUMIF($Y$4:$AJ$4, "De Minimis", Y586:AJ586), "")</f>
        <v>0</v>
      </c>
      <c r="AN586" s="283"/>
      <c r="AO586" s="284" t="n">
        <f aca="false">IFERROR($G586*$J586*L586, "")</f>
        <v>0</v>
      </c>
      <c r="AP586" s="284" t="n">
        <f aca="false">IFERROR($G586*$J586*M586, "")</f>
        <v>0</v>
      </c>
      <c r="AQ586" s="284" t="n">
        <f aca="false">IFERROR($G586*$J586*N586, "")</f>
        <v>0</v>
      </c>
      <c r="AR586" s="284" t="n">
        <f aca="false">IFERROR($G586*$J586*O586, "")</f>
        <v>0</v>
      </c>
      <c r="AS586" s="284" t="n">
        <f aca="false">IFERROR($G586*$J586*P586, "")</f>
        <v>0</v>
      </c>
      <c r="AT586" s="284" t="n">
        <f aca="false">IFERROR($G586*$J586*Q586, "")</f>
        <v>0</v>
      </c>
      <c r="AU586" s="284" t="n">
        <f aca="false">IFERROR($G586*$J586*R586, "")</f>
        <v>0</v>
      </c>
      <c r="AV586" s="284" t="n">
        <f aca="false">IFERROR($G586*$J586*S586, "")</f>
        <v>0</v>
      </c>
      <c r="AW586" s="284" t="n">
        <f aca="false">IFERROR($G586*$J586*T586, "")</f>
        <v>0</v>
      </c>
      <c r="AX586" s="284" t="n">
        <f aca="false">IFERROR($G586*$J586*U586, "")</f>
        <v>0</v>
      </c>
      <c r="AY586" s="284" t="n">
        <f aca="false">IFERROR($G586*$J586*V586, "")</f>
        <v>0</v>
      </c>
      <c r="AZ586" s="284" t="n">
        <f aca="false">IFERROR($G586*$J586*W586, "")</f>
        <v>0</v>
      </c>
      <c r="BA586" s="286" t="n">
        <f aca="false">IFERROR(SUMIF($AO$4:$AZ$4, "RDEC", AO586:AZ586), "")</f>
        <v>0</v>
      </c>
      <c r="BB586" s="286" t="n">
        <f aca="false">IFERROR(SUMIF($AO$4:$AZ$4, "SME", AO586:AZ586), "")</f>
        <v>0</v>
      </c>
      <c r="BC586" s="286" t="n">
        <f aca="false">IFERROR(SUMIF($Y$4:$AJ$4, "De Minimis", AO586:AZ586), "")</f>
        <v>0</v>
      </c>
      <c r="BD586" s="287"/>
      <c r="BE586" s="288" t="str">
        <f aca="false">IF((SUM(L586:W586)&gt;1),"ERROR","")</f>
        <v/>
      </c>
    </row>
    <row r="587" customFormat="false" ht="15" hidden="false" customHeight="true" outlineLevel="0" collapsed="false">
      <c r="B587" s="333"/>
      <c r="C587" s="334"/>
      <c r="D587" s="333" t="n">
        <f aca="false">D571</f>
        <v>45352</v>
      </c>
      <c r="E587" s="277" t="n">
        <v>0</v>
      </c>
      <c r="F587" s="277" t="n">
        <v>0</v>
      </c>
      <c r="G587" s="277" t="n">
        <f aca="false">SUM(E587:F587)</f>
        <v>0</v>
      </c>
      <c r="H587" s="204"/>
      <c r="I587" s="279" t="n">
        <v>1</v>
      </c>
      <c r="J587" s="280" t="n">
        <f aca="false">1-I587</f>
        <v>0</v>
      </c>
      <c r="K587" s="277"/>
      <c r="L587" s="282"/>
      <c r="M587" s="282"/>
      <c r="N587" s="282"/>
      <c r="O587" s="282"/>
      <c r="P587" s="282"/>
      <c r="Q587" s="282"/>
      <c r="R587" s="282"/>
      <c r="S587" s="282"/>
      <c r="T587" s="282"/>
      <c r="U587" s="282"/>
      <c r="V587" s="282"/>
      <c r="W587" s="282"/>
      <c r="X587" s="283"/>
      <c r="Y587" s="284" t="n">
        <f aca="false">IFERROR(L587*$G587*I$9, "")</f>
        <v>0</v>
      </c>
      <c r="Z587" s="284" t="n">
        <f aca="false">IFERROR(M587*$G587*$I587, "")</f>
        <v>0</v>
      </c>
      <c r="AA587" s="284" t="n">
        <f aca="false">IFERROR(N587*$G587*$I587, "")</f>
        <v>0</v>
      </c>
      <c r="AB587" s="284" t="n">
        <f aca="false">IFERROR(O587*$G587*$I587, "")</f>
        <v>0</v>
      </c>
      <c r="AC587" s="284" t="n">
        <f aca="false">IFERROR(P587*$G587*$I587, "")</f>
        <v>0</v>
      </c>
      <c r="AD587" s="284" t="n">
        <f aca="false">IFERROR(Q587*$G587*$I587, "")</f>
        <v>0</v>
      </c>
      <c r="AE587" s="284" t="n">
        <f aca="false">IFERROR(R587*$G587*$I587, "")</f>
        <v>0</v>
      </c>
      <c r="AF587" s="284" t="n">
        <f aca="false">IFERROR(S587*$G587*$I587, "")</f>
        <v>0</v>
      </c>
      <c r="AG587" s="284" t="n">
        <f aca="false">IFERROR(T587*$G587*$I587, "")</f>
        <v>0</v>
      </c>
      <c r="AH587" s="284" t="n">
        <f aca="false">IFERROR(U587*$G587*$I587, "")</f>
        <v>0</v>
      </c>
      <c r="AI587" s="284" t="n">
        <f aca="false">IFERROR(V587*$G587*$I587, "")</f>
        <v>0</v>
      </c>
      <c r="AJ587" s="284" t="n">
        <f aca="false">IFERROR(W587*$G587*$I587, "")</f>
        <v>0</v>
      </c>
      <c r="AK587" s="286" t="n">
        <f aca="false">IFERROR(SUMIF($Y$4:$AJ$4, "RDEC", Y587:AJ587), "")</f>
        <v>0</v>
      </c>
      <c r="AL587" s="286" t="n">
        <f aca="false">IFERROR(SUMIF($Y$4:$AJ$4, "SME", Y587:AJ587), "")</f>
        <v>0</v>
      </c>
      <c r="AM587" s="286" t="n">
        <f aca="false">IFERROR(SUMIF($Y$4:$AJ$4, "De Minimis", Y587:AJ587), "")</f>
        <v>0</v>
      </c>
      <c r="AN587" s="283"/>
      <c r="AO587" s="284" t="n">
        <f aca="false">IFERROR($G587*$J587*L587, "")</f>
        <v>0</v>
      </c>
      <c r="AP587" s="284" t="n">
        <f aca="false">IFERROR($G587*$J587*M587, "")</f>
        <v>0</v>
      </c>
      <c r="AQ587" s="284" t="n">
        <f aca="false">IFERROR($G587*$J587*N587, "")</f>
        <v>0</v>
      </c>
      <c r="AR587" s="284" t="n">
        <f aca="false">IFERROR($G587*$J587*O587, "")</f>
        <v>0</v>
      </c>
      <c r="AS587" s="284" t="n">
        <f aca="false">IFERROR($G587*$J587*P587, "")</f>
        <v>0</v>
      </c>
      <c r="AT587" s="284" t="n">
        <f aca="false">IFERROR($G587*$J587*Q587, "")</f>
        <v>0</v>
      </c>
      <c r="AU587" s="284" t="n">
        <f aca="false">IFERROR($G587*$J587*R587, "")</f>
        <v>0</v>
      </c>
      <c r="AV587" s="284" t="n">
        <f aca="false">IFERROR($G587*$J587*S587, "")</f>
        <v>0</v>
      </c>
      <c r="AW587" s="284" t="n">
        <f aca="false">IFERROR($G587*$J587*T587, "")</f>
        <v>0</v>
      </c>
      <c r="AX587" s="284" t="n">
        <f aca="false">IFERROR($G587*$J587*U587, "")</f>
        <v>0</v>
      </c>
      <c r="AY587" s="284" t="n">
        <f aca="false">IFERROR($G587*$J587*V587, "")</f>
        <v>0</v>
      </c>
      <c r="AZ587" s="284" t="n">
        <f aca="false">IFERROR($G587*$J587*W587, "")</f>
        <v>0</v>
      </c>
      <c r="BA587" s="286" t="n">
        <f aca="false">IFERROR(SUMIF($AO$4:$AZ$4, "RDEC", AO587:AZ587), "")</f>
        <v>0</v>
      </c>
      <c r="BB587" s="286" t="n">
        <f aca="false">IFERROR(SUMIF($AO$4:$AZ$4, "SME", AO587:AZ587), "")</f>
        <v>0</v>
      </c>
      <c r="BC587" s="286" t="n">
        <f aca="false">IFERROR(SUMIF($Y$4:$AJ$4, "De Minimis", AO587:AZ587), "")</f>
        <v>0</v>
      </c>
      <c r="BD587" s="287"/>
      <c r="BE587" s="288" t="str">
        <f aca="false">IF((SUM(L587:W587)&gt;1),"ERROR","")</f>
        <v/>
      </c>
    </row>
    <row r="588" customFormat="false" ht="15" hidden="false" customHeight="true" outlineLevel="0" collapsed="false">
      <c r="B588" s="333"/>
      <c r="C588" s="334"/>
      <c r="D588" s="333" t="n">
        <f aca="false">D572</f>
        <v>45383</v>
      </c>
      <c r="E588" s="277" t="n">
        <v>0</v>
      </c>
      <c r="F588" s="277" t="n">
        <v>0</v>
      </c>
      <c r="G588" s="277" t="n">
        <f aca="false">SUM(E588:F588)</f>
        <v>0</v>
      </c>
      <c r="H588" s="204"/>
      <c r="I588" s="279" t="n">
        <v>1</v>
      </c>
      <c r="J588" s="280" t="n">
        <f aca="false">1-I588</f>
        <v>0</v>
      </c>
      <c r="K588" s="277"/>
      <c r="L588" s="282"/>
      <c r="M588" s="282"/>
      <c r="N588" s="282"/>
      <c r="O588" s="282"/>
      <c r="P588" s="282"/>
      <c r="Q588" s="282"/>
      <c r="R588" s="282"/>
      <c r="S588" s="282"/>
      <c r="T588" s="282"/>
      <c r="U588" s="282"/>
      <c r="V588" s="282"/>
      <c r="W588" s="282"/>
      <c r="X588" s="283"/>
      <c r="Y588" s="284" t="n">
        <f aca="false">IFERROR(L588*$G588*I$9, "")</f>
        <v>0</v>
      </c>
      <c r="Z588" s="284" t="n">
        <f aca="false">IFERROR(M588*$G588*$I588, "")</f>
        <v>0</v>
      </c>
      <c r="AA588" s="284" t="n">
        <f aca="false">IFERROR(N588*$G588*$I588, "")</f>
        <v>0</v>
      </c>
      <c r="AB588" s="284" t="n">
        <f aca="false">IFERROR(O588*$G588*$I588, "")</f>
        <v>0</v>
      </c>
      <c r="AC588" s="284" t="n">
        <f aca="false">IFERROR(P588*$G588*$I588, "")</f>
        <v>0</v>
      </c>
      <c r="AD588" s="284" t="n">
        <f aca="false">IFERROR(Q588*$G588*$I588, "")</f>
        <v>0</v>
      </c>
      <c r="AE588" s="284" t="n">
        <f aca="false">IFERROR(R588*$G588*$I588, "")</f>
        <v>0</v>
      </c>
      <c r="AF588" s="284" t="n">
        <f aca="false">IFERROR(S588*$G588*$I588, "")</f>
        <v>0</v>
      </c>
      <c r="AG588" s="284" t="n">
        <f aca="false">IFERROR(T588*$G588*$I588, "")</f>
        <v>0</v>
      </c>
      <c r="AH588" s="284" t="n">
        <f aca="false">IFERROR(U588*$G588*$I588, "")</f>
        <v>0</v>
      </c>
      <c r="AI588" s="284" t="n">
        <f aca="false">IFERROR(V588*$G588*$I588, "")</f>
        <v>0</v>
      </c>
      <c r="AJ588" s="284" t="n">
        <f aca="false">IFERROR(W588*$G588*$I588, "")</f>
        <v>0</v>
      </c>
      <c r="AK588" s="286" t="n">
        <f aca="false">IFERROR(SUMIF($Y$4:$AJ$4, "RDEC", Y588:AJ588), "")</f>
        <v>0</v>
      </c>
      <c r="AL588" s="286" t="n">
        <f aca="false">IFERROR(SUMIF($Y$4:$AJ$4, "SME", Y588:AJ588), "")</f>
        <v>0</v>
      </c>
      <c r="AM588" s="286" t="n">
        <f aca="false">IFERROR(SUMIF($Y$4:$AJ$4, "De Minimis", Y588:AJ588), "")</f>
        <v>0</v>
      </c>
      <c r="AN588" s="283"/>
      <c r="AO588" s="284" t="n">
        <f aca="false">IFERROR($G588*$J588*L588, "")</f>
        <v>0</v>
      </c>
      <c r="AP588" s="284" t="n">
        <f aca="false">IFERROR($G588*$J588*M588, "")</f>
        <v>0</v>
      </c>
      <c r="AQ588" s="284" t="n">
        <f aca="false">IFERROR($G588*$J588*N588, "")</f>
        <v>0</v>
      </c>
      <c r="AR588" s="284" t="n">
        <f aca="false">IFERROR($G588*$J588*O588, "")</f>
        <v>0</v>
      </c>
      <c r="AS588" s="284" t="n">
        <f aca="false">IFERROR($G588*$J588*P588, "")</f>
        <v>0</v>
      </c>
      <c r="AT588" s="284" t="n">
        <f aca="false">IFERROR($G588*$J588*Q588, "")</f>
        <v>0</v>
      </c>
      <c r="AU588" s="284" t="n">
        <f aca="false">IFERROR($G588*$J588*R588, "")</f>
        <v>0</v>
      </c>
      <c r="AV588" s="284" t="n">
        <f aca="false">IFERROR($G588*$J588*S588, "")</f>
        <v>0</v>
      </c>
      <c r="AW588" s="284" t="n">
        <f aca="false">IFERROR($G588*$J588*T588, "")</f>
        <v>0</v>
      </c>
      <c r="AX588" s="284" t="n">
        <f aca="false">IFERROR($G588*$J588*U588, "")</f>
        <v>0</v>
      </c>
      <c r="AY588" s="284" t="n">
        <f aca="false">IFERROR($G588*$J588*V588, "")</f>
        <v>0</v>
      </c>
      <c r="AZ588" s="284" t="n">
        <f aca="false">IFERROR($G588*$J588*W588, "")</f>
        <v>0</v>
      </c>
      <c r="BA588" s="286" t="n">
        <f aca="false">IFERROR(SUMIF($AO$4:$AZ$4, "RDEC", AO588:AZ588), "")</f>
        <v>0</v>
      </c>
      <c r="BB588" s="286" t="n">
        <f aca="false">IFERROR(SUMIF($AO$4:$AZ$4, "SME", AO588:AZ588), "")</f>
        <v>0</v>
      </c>
      <c r="BC588" s="286" t="n">
        <f aca="false">IFERROR(SUMIF($Y$4:$AJ$4, "De Minimis", AO588:AZ588), "")</f>
        <v>0</v>
      </c>
      <c r="BD588" s="287"/>
      <c r="BE588" s="288" t="str">
        <f aca="false">IF((SUM(L588:W588)&gt;1),"ERROR","")</f>
        <v/>
      </c>
    </row>
    <row r="589" customFormat="false" ht="15" hidden="false" customHeight="true" outlineLevel="0" collapsed="false">
      <c r="B589" s="333"/>
      <c r="C589" s="334"/>
      <c r="D589" s="333" t="n">
        <f aca="false">D573</f>
        <v>45413</v>
      </c>
      <c r="E589" s="277" t="n">
        <v>0</v>
      </c>
      <c r="F589" s="277" t="n">
        <v>0</v>
      </c>
      <c r="G589" s="277" t="n">
        <f aca="false">SUM(E589:F589)</f>
        <v>0</v>
      </c>
      <c r="H589" s="204"/>
      <c r="I589" s="279" t="n">
        <v>1</v>
      </c>
      <c r="J589" s="280" t="n">
        <f aca="false">1-I589</f>
        <v>0</v>
      </c>
      <c r="K589" s="277"/>
      <c r="L589" s="282"/>
      <c r="M589" s="282"/>
      <c r="N589" s="282"/>
      <c r="O589" s="282"/>
      <c r="P589" s="282"/>
      <c r="Q589" s="282"/>
      <c r="R589" s="282"/>
      <c r="S589" s="282"/>
      <c r="T589" s="282"/>
      <c r="U589" s="282"/>
      <c r="V589" s="282"/>
      <c r="W589" s="282"/>
      <c r="X589" s="283"/>
      <c r="Y589" s="284" t="n">
        <f aca="false">IFERROR(L589*$G589*I$9, "")</f>
        <v>0</v>
      </c>
      <c r="Z589" s="284" t="n">
        <f aca="false">IFERROR(M589*$G589*$I589, "")</f>
        <v>0</v>
      </c>
      <c r="AA589" s="284" t="n">
        <f aca="false">IFERROR(N589*$G589*$I589, "")</f>
        <v>0</v>
      </c>
      <c r="AB589" s="284" t="n">
        <f aca="false">IFERROR(O589*$G589*$I589, "")</f>
        <v>0</v>
      </c>
      <c r="AC589" s="284" t="n">
        <f aca="false">IFERROR(P589*$G589*$I589, "")</f>
        <v>0</v>
      </c>
      <c r="AD589" s="284" t="n">
        <f aca="false">IFERROR(Q589*$G589*$I589, "")</f>
        <v>0</v>
      </c>
      <c r="AE589" s="284" t="n">
        <f aca="false">IFERROR(R589*$G589*$I589, "")</f>
        <v>0</v>
      </c>
      <c r="AF589" s="284" t="n">
        <f aca="false">IFERROR(S589*$G589*$I589, "")</f>
        <v>0</v>
      </c>
      <c r="AG589" s="284" t="n">
        <f aca="false">IFERROR(T589*$G589*$I589, "")</f>
        <v>0</v>
      </c>
      <c r="AH589" s="284" t="n">
        <f aca="false">IFERROR(U589*$G589*$I589, "")</f>
        <v>0</v>
      </c>
      <c r="AI589" s="284" t="n">
        <f aca="false">IFERROR(V589*$G589*$I589, "")</f>
        <v>0</v>
      </c>
      <c r="AJ589" s="284" t="n">
        <f aca="false">IFERROR(W589*$G589*$I589, "")</f>
        <v>0</v>
      </c>
      <c r="AK589" s="286" t="n">
        <f aca="false">IFERROR(SUMIF($Y$4:$AJ$4, "RDEC", Y589:AJ589), "")</f>
        <v>0</v>
      </c>
      <c r="AL589" s="286" t="n">
        <f aca="false">IFERROR(SUMIF($Y$4:$AJ$4, "SME", Y589:AJ589), "")</f>
        <v>0</v>
      </c>
      <c r="AM589" s="286" t="n">
        <f aca="false">IFERROR(SUMIF($Y$4:$AJ$4, "De Minimis", Y589:AJ589), "")</f>
        <v>0</v>
      </c>
      <c r="AN589" s="283"/>
      <c r="AO589" s="284" t="n">
        <f aca="false">IFERROR($G589*$J589*L589, "")</f>
        <v>0</v>
      </c>
      <c r="AP589" s="284" t="n">
        <f aca="false">IFERROR($G589*$J589*M589, "")</f>
        <v>0</v>
      </c>
      <c r="AQ589" s="284" t="n">
        <f aca="false">IFERROR($G589*$J589*N589, "")</f>
        <v>0</v>
      </c>
      <c r="AR589" s="284" t="n">
        <f aca="false">IFERROR($G589*$J589*O589, "")</f>
        <v>0</v>
      </c>
      <c r="AS589" s="284" t="n">
        <f aca="false">IFERROR($G589*$J589*P589, "")</f>
        <v>0</v>
      </c>
      <c r="AT589" s="284" t="n">
        <f aca="false">IFERROR($G589*$J589*Q589, "")</f>
        <v>0</v>
      </c>
      <c r="AU589" s="284" t="n">
        <f aca="false">IFERROR($G589*$J589*R589, "")</f>
        <v>0</v>
      </c>
      <c r="AV589" s="284" t="n">
        <f aca="false">IFERROR($G589*$J589*S589, "")</f>
        <v>0</v>
      </c>
      <c r="AW589" s="284" t="n">
        <f aca="false">IFERROR($G589*$J589*T589, "")</f>
        <v>0</v>
      </c>
      <c r="AX589" s="284" t="n">
        <f aca="false">IFERROR($G589*$J589*U589, "")</f>
        <v>0</v>
      </c>
      <c r="AY589" s="284" t="n">
        <f aca="false">IFERROR($G589*$J589*V589, "")</f>
        <v>0</v>
      </c>
      <c r="AZ589" s="284" t="n">
        <f aca="false">IFERROR($G589*$J589*W589, "")</f>
        <v>0</v>
      </c>
      <c r="BA589" s="286" t="n">
        <f aca="false">IFERROR(SUMIF($AO$4:$AZ$4, "RDEC", AO589:AZ589), "")</f>
        <v>0</v>
      </c>
      <c r="BB589" s="286" t="n">
        <f aca="false">IFERROR(SUMIF($AO$4:$AZ$4, "SME", AO589:AZ589), "")</f>
        <v>0</v>
      </c>
      <c r="BC589" s="286" t="n">
        <f aca="false">IFERROR(SUMIF($Y$4:$AJ$4, "De Minimis", AO589:AZ589), "")</f>
        <v>0</v>
      </c>
      <c r="BD589" s="287"/>
      <c r="BE589" s="288" t="str">
        <f aca="false">IF((SUM(L589:W589)&gt;1),"ERROR","")</f>
        <v/>
      </c>
    </row>
    <row r="590" customFormat="false" ht="15" hidden="false" customHeight="true" outlineLevel="0" collapsed="false">
      <c r="B590" s="333"/>
      <c r="C590" s="334"/>
      <c r="D590" s="333" t="n">
        <f aca="false">D574</f>
        <v>45444</v>
      </c>
      <c r="E590" s="277" t="n">
        <v>0</v>
      </c>
      <c r="F590" s="277" t="n">
        <v>0</v>
      </c>
      <c r="G590" s="277" t="n">
        <f aca="false">SUM(E590:F590)</f>
        <v>0</v>
      </c>
      <c r="H590" s="204"/>
      <c r="I590" s="279" t="n">
        <v>1</v>
      </c>
      <c r="J590" s="280" t="n">
        <f aca="false">1-I590</f>
        <v>0</v>
      </c>
      <c r="K590" s="277"/>
      <c r="L590" s="282"/>
      <c r="M590" s="282"/>
      <c r="N590" s="282"/>
      <c r="O590" s="282"/>
      <c r="P590" s="282"/>
      <c r="Q590" s="282"/>
      <c r="R590" s="282"/>
      <c r="S590" s="282"/>
      <c r="T590" s="282"/>
      <c r="U590" s="282"/>
      <c r="V590" s="282"/>
      <c r="W590" s="282"/>
      <c r="X590" s="283"/>
      <c r="Y590" s="284" t="n">
        <f aca="false">IFERROR(L590*$G590*I$9, "")</f>
        <v>0</v>
      </c>
      <c r="Z590" s="284" t="n">
        <f aca="false">IFERROR(M590*$G590*$I590, "")</f>
        <v>0</v>
      </c>
      <c r="AA590" s="284" t="n">
        <f aca="false">IFERROR(N590*$G590*$I590, "")</f>
        <v>0</v>
      </c>
      <c r="AB590" s="284" t="n">
        <f aca="false">IFERROR(O590*$G590*$I590, "")</f>
        <v>0</v>
      </c>
      <c r="AC590" s="284" t="n">
        <f aca="false">IFERROR(P590*$G590*$I590, "")</f>
        <v>0</v>
      </c>
      <c r="AD590" s="284" t="n">
        <f aca="false">IFERROR(Q590*$G590*$I590, "")</f>
        <v>0</v>
      </c>
      <c r="AE590" s="284" t="n">
        <f aca="false">IFERROR(R590*$G590*$I590, "")</f>
        <v>0</v>
      </c>
      <c r="AF590" s="284" t="n">
        <f aca="false">IFERROR(S590*$G590*$I590, "")</f>
        <v>0</v>
      </c>
      <c r="AG590" s="284" t="n">
        <f aca="false">IFERROR(T590*$G590*$I590, "")</f>
        <v>0</v>
      </c>
      <c r="AH590" s="284" t="n">
        <f aca="false">IFERROR(U590*$G590*$I590, "")</f>
        <v>0</v>
      </c>
      <c r="AI590" s="284" t="n">
        <f aca="false">IFERROR(V590*$G590*$I590, "")</f>
        <v>0</v>
      </c>
      <c r="AJ590" s="284" t="n">
        <f aca="false">IFERROR(W590*$G590*$I590, "")</f>
        <v>0</v>
      </c>
      <c r="AK590" s="286" t="n">
        <f aca="false">IFERROR(SUMIF($Y$4:$AJ$4, "RDEC", Y590:AJ590), "")</f>
        <v>0</v>
      </c>
      <c r="AL590" s="286" t="n">
        <f aca="false">IFERROR(SUMIF($Y$4:$AJ$4, "SME", Y590:AJ590), "")</f>
        <v>0</v>
      </c>
      <c r="AM590" s="286" t="n">
        <f aca="false">IFERROR(SUMIF($Y$4:$AJ$4, "De Minimis", Y590:AJ590), "")</f>
        <v>0</v>
      </c>
      <c r="AN590" s="283"/>
      <c r="AO590" s="284" t="n">
        <f aca="false">IFERROR($G590*$J590*L590, "")</f>
        <v>0</v>
      </c>
      <c r="AP590" s="284" t="n">
        <f aca="false">IFERROR($G590*$J590*M590, "")</f>
        <v>0</v>
      </c>
      <c r="AQ590" s="284" t="n">
        <f aca="false">IFERROR($G590*$J590*N590, "")</f>
        <v>0</v>
      </c>
      <c r="AR590" s="284" t="n">
        <f aca="false">IFERROR($G590*$J590*O590, "")</f>
        <v>0</v>
      </c>
      <c r="AS590" s="284" t="n">
        <f aca="false">IFERROR($G590*$J590*P590, "")</f>
        <v>0</v>
      </c>
      <c r="AT590" s="284" t="n">
        <f aca="false">IFERROR($G590*$J590*Q590, "")</f>
        <v>0</v>
      </c>
      <c r="AU590" s="284" t="n">
        <f aca="false">IFERROR($G590*$J590*R590, "")</f>
        <v>0</v>
      </c>
      <c r="AV590" s="284" t="n">
        <f aca="false">IFERROR($G590*$J590*S590, "")</f>
        <v>0</v>
      </c>
      <c r="AW590" s="284" t="n">
        <f aca="false">IFERROR($G590*$J590*T590, "")</f>
        <v>0</v>
      </c>
      <c r="AX590" s="284" t="n">
        <f aca="false">IFERROR($G590*$J590*U590, "")</f>
        <v>0</v>
      </c>
      <c r="AY590" s="284" t="n">
        <f aca="false">IFERROR($G590*$J590*V590, "")</f>
        <v>0</v>
      </c>
      <c r="AZ590" s="284" t="n">
        <f aca="false">IFERROR($G590*$J590*W590, "")</f>
        <v>0</v>
      </c>
      <c r="BA590" s="286" t="n">
        <f aca="false">IFERROR(SUMIF($AO$4:$AZ$4, "RDEC", AO590:AZ590), "")</f>
        <v>0</v>
      </c>
      <c r="BB590" s="286" t="n">
        <f aca="false">IFERROR(SUMIF($AO$4:$AZ$4, "SME", AO590:AZ590), "")</f>
        <v>0</v>
      </c>
      <c r="BC590" s="286" t="n">
        <f aca="false">IFERROR(SUMIF($Y$4:$AJ$4, "De Minimis", AO590:AZ590), "")</f>
        <v>0</v>
      </c>
      <c r="BD590" s="287"/>
      <c r="BE590" s="288" t="str">
        <f aca="false">IF((SUM(L590:W590)&gt;1),"ERROR","")</f>
        <v/>
      </c>
    </row>
    <row r="591" customFormat="false" ht="15" hidden="false" customHeight="true" outlineLevel="0" collapsed="false">
      <c r="B591" s="333"/>
      <c r="C591" s="334"/>
      <c r="D591" s="333" t="n">
        <f aca="false">D575</f>
        <v>45474</v>
      </c>
      <c r="E591" s="277" t="n">
        <v>0</v>
      </c>
      <c r="F591" s="277" t="n">
        <v>0</v>
      </c>
      <c r="G591" s="277" t="n">
        <f aca="false">SUM(E591:F591)</f>
        <v>0</v>
      </c>
      <c r="H591" s="204"/>
      <c r="I591" s="279" t="n">
        <v>1</v>
      </c>
      <c r="J591" s="280" t="n">
        <f aca="false">1-I591</f>
        <v>0</v>
      </c>
      <c r="K591" s="277"/>
      <c r="L591" s="282"/>
      <c r="M591" s="282"/>
      <c r="N591" s="282"/>
      <c r="O591" s="282"/>
      <c r="P591" s="282"/>
      <c r="Q591" s="282"/>
      <c r="R591" s="282"/>
      <c r="S591" s="282"/>
      <c r="T591" s="282"/>
      <c r="U591" s="282"/>
      <c r="V591" s="282"/>
      <c r="W591" s="282"/>
      <c r="X591" s="283"/>
      <c r="Y591" s="284" t="n">
        <f aca="false">IFERROR(L591*$G591*I$9, "")</f>
        <v>0</v>
      </c>
      <c r="Z591" s="284" t="n">
        <f aca="false">IFERROR(M591*$G591*$I591, "")</f>
        <v>0</v>
      </c>
      <c r="AA591" s="284" t="n">
        <f aca="false">IFERROR(N591*$G591*$I591, "")</f>
        <v>0</v>
      </c>
      <c r="AB591" s="284" t="n">
        <f aca="false">IFERROR(O591*$G591*$I591, "")</f>
        <v>0</v>
      </c>
      <c r="AC591" s="284" t="n">
        <f aca="false">IFERROR(P591*$G591*$I591, "")</f>
        <v>0</v>
      </c>
      <c r="AD591" s="284" t="n">
        <f aca="false">IFERROR(Q591*$G591*$I591, "")</f>
        <v>0</v>
      </c>
      <c r="AE591" s="284" t="n">
        <f aca="false">IFERROR(R591*$G591*$I591, "")</f>
        <v>0</v>
      </c>
      <c r="AF591" s="284" t="n">
        <f aca="false">IFERROR(S591*$G591*$I591, "")</f>
        <v>0</v>
      </c>
      <c r="AG591" s="284" t="n">
        <f aca="false">IFERROR(T591*$G591*$I591, "")</f>
        <v>0</v>
      </c>
      <c r="AH591" s="284" t="n">
        <f aca="false">IFERROR(U591*$G591*$I591, "")</f>
        <v>0</v>
      </c>
      <c r="AI591" s="284" t="n">
        <f aca="false">IFERROR(V591*$G591*$I591, "")</f>
        <v>0</v>
      </c>
      <c r="AJ591" s="284" t="n">
        <f aca="false">IFERROR(W591*$G591*$I591, "")</f>
        <v>0</v>
      </c>
      <c r="AK591" s="286" t="n">
        <f aca="false">IFERROR(SUMIF($Y$4:$AJ$4, "RDEC", Y591:AJ591), "")</f>
        <v>0</v>
      </c>
      <c r="AL591" s="286" t="n">
        <f aca="false">IFERROR(SUMIF($Y$4:$AJ$4, "SME", Y591:AJ591), "")</f>
        <v>0</v>
      </c>
      <c r="AM591" s="286" t="n">
        <f aca="false">IFERROR(SUMIF($Y$4:$AJ$4, "De Minimis", Y591:AJ591), "")</f>
        <v>0</v>
      </c>
      <c r="AN591" s="283"/>
      <c r="AO591" s="284" t="n">
        <f aca="false">IFERROR($G591*$J591*L591, "")</f>
        <v>0</v>
      </c>
      <c r="AP591" s="284" t="n">
        <f aca="false">IFERROR($G591*$J591*M591, "")</f>
        <v>0</v>
      </c>
      <c r="AQ591" s="284" t="n">
        <f aca="false">IFERROR($G591*$J591*N591, "")</f>
        <v>0</v>
      </c>
      <c r="AR591" s="284" t="n">
        <f aca="false">IFERROR($G591*$J591*O591, "")</f>
        <v>0</v>
      </c>
      <c r="AS591" s="284" t="n">
        <f aca="false">IFERROR($G591*$J591*P591, "")</f>
        <v>0</v>
      </c>
      <c r="AT591" s="284" t="n">
        <f aca="false">IFERROR($G591*$J591*Q591, "")</f>
        <v>0</v>
      </c>
      <c r="AU591" s="284" t="n">
        <f aca="false">IFERROR($G591*$J591*R591, "")</f>
        <v>0</v>
      </c>
      <c r="AV591" s="284" t="n">
        <f aca="false">IFERROR($G591*$J591*S591, "")</f>
        <v>0</v>
      </c>
      <c r="AW591" s="284" t="n">
        <f aca="false">IFERROR($G591*$J591*T591, "")</f>
        <v>0</v>
      </c>
      <c r="AX591" s="284" t="n">
        <f aca="false">IFERROR($G591*$J591*U591, "")</f>
        <v>0</v>
      </c>
      <c r="AY591" s="284" t="n">
        <f aca="false">IFERROR($G591*$J591*V591, "")</f>
        <v>0</v>
      </c>
      <c r="AZ591" s="284" t="n">
        <f aca="false">IFERROR($G591*$J591*W591, "")</f>
        <v>0</v>
      </c>
      <c r="BA591" s="286" t="n">
        <f aca="false">IFERROR(SUMIF($AO$4:$AZ$4, "RDEC", AO591:AZ591), "")</f>
        <v>0</v>
      </c>
      <c r="BB591" s="286" t="n">
        <f aca="false">IFERROR(SUMIF($AO$4:$AZ$4, "SME", AO591:AZ591), "")</f>
        <v>0</v>
      </c>
      <c r="BC591" s="286" t="n">
        <f aca="false">IFERROR(SUMIF($Y$4:$AJ$4, "De Minimis", AO591:AZ591), "")</f>
        <v>0</v>
      </c>
      <c r="BD591" s="287"/>
      <c r="BE591" s="288" t="str">
        <f aca="false">IF((SUM(L591:W591)&gt;1),"ERROR","")</f>
        <v/>
      </c>
    </row>
    <row r="592" customFormat="false" ht="15" hidden="false" customHeight="true" outlineLevel="0" collapsed="false">
      <c r="B592" s="333"/>
      <c r="C592" s="334"/>
      <c r="D592" s="333" t="n">
        <f aca="false">D576</f>
        <v>45505</v>
      </c>
      <c r="E592" s="277" t="n">
        <v>0</v>
      </c>
      <c r="F592" s="277" t="n">
        <v>0</v>
      </c>
      <c r="G592" s="277" t="n">
        <f aca="false">SUM(E592:F592)</f>
        <v>0</v>
      </c>
      <c r="H592" s="204"/>
      <c r="I592" s="279" t="n">
        <v>1</v>
      </c>
      <c r="J592" s="280" t="n">
        <f aca="false">1-I592</f>
        <v>0</v>
      </c>
      <c r="K592" s="277"/>
      <c r="L592" s="282"/>
      <c r="M592" s="282"/>
      <c r="N592" s="282"/>
      <c r="O592" s="282"/>
      <c r="P592" s="282"/>
      <c r="Q592" s="282"/>
      <c r="R592" s="282"/>
      <c r="S592" s="282"/>
      <c r="T592" s="282"/>
      <c r="U592" s="282"/>
      <c r="V592" s="282"/>
      <c r="W592" s="282"/>
      <c r="X592" s="283"/>
      <c r="Y592" s="284" t="n">
        <f aca="false">IFERROR(L592*$G592*I$9, "")</f>
        <v>0</v>
      </c>
      <c r="Z592" s="284" t="n">
        <f aca="false">IFERROR(M592*$G592*$I592, "")</f>
        <v>0</v>
      </c>
      <c r="AA592" s="284" t="n">
        <f aca="false">IFERROR(N592*$G592*$I592, "")</f>
        <v>0</v>
      </c>
      <c r="AB592" s="284" t="n">
        <f aca="false">IFERROR(O592*$G592*$I592, "")</f>
        <v>0</v>
      </c>
      <c r="AC592" s="284" t="n">
        <f aca="false">IFERROR(P592*$G592*$I592, "")</f>
        <v>0</v>
      </c>
      <c r="AD592" s="284" t="n">
        <f aca="false">IFERROR(Q592*$G592*$I592, "")</f>
        <v>0</v>
      </c>
      <c r="AE592" s="284" t="n">
        <f aca="false">IFERROR(R592*$G592*$I592, "")</f>
        <v>0</v>
      </c>
      <c r="AF592" s="284" t="n">
        <f aca="false">IFERROR(S592*$G592*$I592, "")</f>
        <v>0</v>
      </c>
      <c r="AG592" s="284" t="n">
        <f aca="false">IFERROR(T592*$G592*$I592, "")</f>
        <v>0</v>
      </c>
      <c r="AH592" s="284" t="n">
        <f aca="false">IFERROR(U592*$G592*$I592, "")</f>
        <v>0</v>
      </c>
      <c r="AI592" s="284" t="n">
        <f aca="false">IFERROR(V592*$G592*$I592, "")</f>
        <v>0</v>
      </c>
      <c r="AJ592" s="284" t="n">
        <f aca="false">IFERROR(W592*$G592*$I592, "")</f>
        <v>0</v>
      </c>
      <c r="AK592" s="286" t="n">
        <f aca="false">IFERROR(SUMIF($Y$4:$AJ$4, "RDEC", Y592:AJ592), "")</f>
        <v>0</v>
      </c>
      <c r="AL592" s="286" t="n">
        <f aca="false">IFERROR(SUMIF($Y$4:$AJ$4, "SME", Y592:AJ592), "")</f>
        <v>0</v>
      </c>
      <c r="AM592" s="286" t="n">
        <f aca="false">IFERROR(SUMIF($Y$4:$AJ$4, "De Minimis", Y592:AJ592), "")</f>
        <v>0</v>
      </c>
      <c r="AN592" s="283"/>
      <c r="AO592" s="284" t="n">
        <f aca="false">IFERROR($G592*$J592*L592, "")</f>
        <v>0</v>
      </c>
      <c r="AP592" s="284" t="n">
        <f aca="false">IFERROR($G592*$J592*M592, "")</f>
        <v>0</v>
      </c>
      <c r="AQ592" s="284" t="n">
        <f aca="false">IFERROR($G592*$J592*N592, "")</f>
        <v>0</v>
      </c>
      <c r="AR592" s="284" t="n">
        <f aca="false">IFERROR($G592*$J592*O592, "")</f>
        <v>0</v>
      </c>
      <c r="AS592" s="284" t="n">
        <f aca="false">IFERROR($G592*$J592*P592, "")</f>
        <v>0</v>
      </c>
      <c r="AT592" s="284" t="n">
        <f aca="false">IFERROR($G592*$J592*Q592, "")</f>
        <v>0</v>
      </c>
      <c r="AU592" s="284" t="n">
        <f aca="false">IFERROR($G592*$J592*R592, "")</f>
        <v>0</v>
      </c>
      <c r="AV592" s="284" t="n">
        <f aca="false">IFERROR($G592*$J592*S592, "")</f>
        <v>0</v>
      </c>
      <c r="AW592" s="284" t="n">
        <f aca="false">IFERROR($G592*$J592*T592, "")</f>
        <v>0</v>
      </c>
      <c r="AX592" s="284" t="n">
        <f aca="false">IFERROR($G592*$J592*U592, "")</f>
        <v>0</v>
      </c>
      <c r="AY592" s="284" t="n">
        <f aca="false">IFERROR($G592*$J592*V592, "")</f>
        <v>0</v>
      </c>
      <c r="AZ592" s="284" t="n">
        <f aca="false">IFERROR($G592*$J592*W592, "")</f>
        <v>0</v>
      </c>
      <c r="BA592" s="286" t="n">
        <f aca="false">IFERROR(SUMIF($AO$4:$AZ$4, "RDEC", AO592:AZ592), "")</f>
        <v>0</v>
      </c>
      <c r="BB592" s="286" t="n">
        <f aca="false">IFERROR(SUMIF($AO$4:$AZ$4, "SME", AO592:AZ592), "")</f>
        <v>0</v>
      </c>
      <c r="BC592" s="286" t="n">
        <f aca="false">IFERROR(SUMIF($Y$4:$AJ$4, "De Minimis", AO592:AZ592), "")</f>
        <v>0</v>
      </c>
      <c r="BD592" s="287"/>
      <c r="BE592" s="288" t="str">
        <f aca="false">IF((SUM(L592:W592)&gt;1),"ERROR","")</f>
        <v/>
      </c>
    </row>
    <row r="593" customFormat="false" ht="15" hidden="false" customHeight="true" outlineLevel="0" collapsed="false">
      <c r="B593" s="333"/>
      <c r="C593" s="334"/>
      <c r="D593" s="333" t="n">
        <f aca="false">D577</f>
        <v>45536</v>
      </c>
      <c r="E593" s="277" t="n">
        <v>0</v>
      </c>
      <c r="F593" s="277" t="n">
        <v>0</v>
      </c>
      <c r="G593" s="277" t="n">
        <f aca="false">SUM(E593:F593)</f>
        <v>0</v>
      </c>
      <c r="H593" s="204"/>
      <c r="I593" s="279" t="n">
        <v>1</v>
      </c>
      <c r="J593" s="280" t="n">
        <f aca="false">1-I593</f>
        <v>0</v>
      </c>
      <c r="K593" s="277"/>
      <c r="L593" s="282"/>
      <c r="M593" s="282"/>
      <c r="N593" s="282"/>
      <c r="O593" s="282"/>
      <c r="P593" s="282"/>
      <c r="Q593" s="282"/>
      <c r="R593" s="282"/>
      <c r="S593" s="282"/>
      <c r="T593" s="282"/>
      <c r="U593" s="282"/>
      <c r="V593" s="282"/>
      <c r="W593" s="282"/>
      <c r="X593" s="283"/>
      <c r="Y593" s="284" t="n">
        <f aca="false">IFERROR(L593*$G593*I$9, "")</f>
        <v>0</v>
      </c>
      <c r="Z593" s="284" t="n">
        <f aca="false">IFERROR(M593*$G593*$I593, "")</f>
        <v>0</v>
      </c>
      <c r="AA593" s="284" t="n">
        <f aca="false">IFERROR(N593*$G593*$I593, "")</f>
        <v>0</v>
      </c>
      <c r="AB593" s="284" t="n">
        <f aca="false">IFERROR(O593*$G593*$I593, "")</f>
        <v>0</v>
      </c>
      <c r="AC593" s="284" t="n">
        <f aca="false">IFERROR(P593*$G593*$I593, "")</f>
        <v>0</v>
      </c>
      <c r="AD593" s="284" t="n">
        <f aca="false">IFERROR(Q593*$G593*$I593, "")</f>
        <v>0</v>
      </c>
      <c r="AE593" s="284" t="n">
        <f aca="false">IFERROR(R593*$G593*$I593, "")</f>
        <v>0</v>
      </c>
      <c r="AF593" s="284" t="n">
        <f aca="false">IFERROR(S593*$G593*$I593, "")</f>
        <v>0</v>
      </c>
      <c r="AG593" s="284" t="n">
        <f aca="false">IFERROR(T593*$G593*$I593, "")</f>
        <v>0</v>
      </c>
      <c r="AH593" s="284" t="n">
        <f aca="false">IFERROR(U593*$G593*$I593, "")</f>
        <v>0</v>
      </c>
      <c r="AI593" s="284" t="n">
        <f aca="false">IFERROR(V593*$G593*$I593, "")</f>
        <v>0</v>
      </c>
      <c r="AJ593" s="284" t="n">
        <f aca="false">IFERROR(W593*$G593*$I593, "")</f>
        <v>0</v>
      </c>
      <c r="AK593" s="286" t="n">
        <f aca="false">IFERROR(SUMIF($Y$4:$AJ$4, "RDEC", Y593:AJ593), "")</f>
        <v>0</v>
      </c>
      <c r="AL593" s="286" t="n">
        <f aca="false">IFERROR(SUMIF($Y$4:$AJ$4, "SME", Y593:AJ593), "")</f>
        <v>0</v>
      </c>
      <c r="AM593" s="286" t="n">
        <f aca="false">IFERROR(SUMIF($Y$4:$AJ$4, "De Minimis", Y593:AJ593), "")</f>
        <v>0</v>
      </c>
      <c r="AN593" s="283"/>
      <c r="AO593" s="284" t="n">
        <f aca="false">IFERROR($G593*$J593*L593, "")</f>
        <v>0</v>
      </c>
      <c r="AP593" s="284" t="n">
        <f aca="false">IFERROR($G593*$J593*M593, "")</f>
        <v>0</v>
      </c>
      <c r="AQ593" s="284" t="n">
        <f aca="false">IFERROR($G593*$J593*N593, "")</f>
        <v>0</v>
      </c>
      <c r="AR593" s="284" t="n">
        <f aca="false">IFERROR($G593*$J593*O593, "")</f>
        <v>0</v>
      </c>
      <c r="AS593" s="284" t="n">
        <f aca="false">IFERROR($G593*$J593*P593, "")</f>
        <v>0</v>
      </c>
      <c r="AT593" s="284" t="n">
        <f aca="false">IFERROR($G593*$J593*Q593, "")</f>
        <v>0</v>
      </c>
      <c r="AU593" s="284" t="n">
        <f aca="false">IFERROR($G593*$J593*R593, "")</f>
        <v>0</v>
      </c>
      <c r="AV593" s="284" t="n">
        <f aca="false">IFERROR($G593*$J593*S593, "")</f>
        <v>0</v>
      </c>
      <c r="AW593" s="284" t="n">
        <f aca="false">IFERROR($G593*$J593*T593, "")</f>
        <v>0</v>
      </c>
      <c r="AX593" s="284" t="n">
        <f aca="false">IFERROR($G593*$J593*U593, "")</f>
        <v>0</v>
      </c>
      <c r="AY593" s="284" t="n">
        <f aca="false">IFERROR($G593*$J593*V593, "")</f>
        <v>0</v>
      </c>
      <c r="AZ593" s="284" t="n">
        <f aca="false">IFERROR($G593*$J593*W593, "")</f>
        <v>0</v>
      </c>
      <c r="BA593" s="286" t="n">
        <f aca="false">IFERROR(SUMIF($AO$4:$AZ$4, "RDEC", AO593:AZ593), "")</f>
        <v>0</v>
      </c>
      <c r="BB593" s="286" t="n">
        <f aca="false">IFERROR(SUMIF($AO$4:$AZ$4, "SME", AO593:AZ593), "")</f>
        <v>0</v>
      </c>
      <c r="BC593" s="286" t="n">
        <f aca="false">IFERROR(SUMIF($Y$4:$AJ$4, "De Minimis", AO593:AZ593), "")</f>
        <v>0</v>
      </c>
      <c r="BD593" s="287"/>
      <c r="BE593" s="288" t="str">
        <f aca="false">IF((SUM(L593:W593)&gt;1),"ERROR","")</f>
        <v/>
      </c>
    </row>
    <row r="594" customFormat="false" ht="15" hidden="false" customHeight="true" outlineLevel="0" collapsed="false">
      <c r="B594" s="333"/>
      <c r="C594" s="334"/>
      <c r="D594" s="333" t="n">
        <f aca="false">D578</f>
        <v>45566</v>
      </c>
      <c r="E594" s="277" t="n">
        <v>0</v>
      </c>
      <c r="F594" s="277" t="n">
        <v>0</v>
      </c>
      <c r="G594" s="277" t="n">
        <f aca="false">SUM(E594:F594)</f>
        <v>0</v>
      </c>
      <c r="H594" s="204"/>
      <c r="I594" s="279" t="n">
        <v>1</v>
      </c>
      <c r="J594" s="280" t="n">
        <f aca="false">1-I594</f>
        <v>0</v>
      </c>
      <c r="K594" s="277"/>
      <c r="L594" s="282"/>
      <c r="M594" s="282"/>
      <c r="N594" s="282"/>
      <c r="O594" s="282"/>
      <c r="P594" s="282"/>
      <c r="Q594" s="282"/>
      <c r="R594" s="282"/>
      <c r="S594" s="282"/>
      <c r="T594" s="282"/>
      <c r="U594" s="282"/>
      <c r="V594" s="282"/>
      <c r="W594" s="282"/>
      <c r="X594" s="283"/>
      <c r="Y594" s="284" t="n">
        <f aca="false">IFERROR(L594*$G594*I$9, "")</f>
        <v>0</v>
      </c>
      <c r="Z594" s="284" t="n">
        <f aca="false">IFERROR(M594*$G594*$I594, "")</f>
        <v>0</v>
      </c>
      <c r="AA594" s="284" t="n">
        <f aca="false">IFERROR(N594*$G594*$I594, "")</f>
        <v>0</v>
      </c>
      <c r="AB594" s="284" t="n">
        <f aca="false">IFERROR(O594*$G594*$I594, "")</f>
        <v>0</v>
      </c>
      <c r="AC594" s="284" t="n">
        <f aca="false">IFERROR(P594*$G594*$I594, "")</f>
        <v>0</v>
      </c>
      <c r="AD594" s="284" t="n">
        <f aca="false">IFERROR(Q594*$G594*$I594, "")</f>
        <v>0</v>
      </c>
      <c r="AE594" s="284" t="n">
        <f aca="false">IFERROR(R594*$G594*$I594, "")</f>
        <v>0</v>
      </c>
      <c r="AF594" s="284" t="n">
        <f aca="false">IFERROR(S594*$G594*$I594, "")</f>
        <v>0</v>
      </c>
      <c r="AG594" s="284" t="n">
        <f aca="false">IFERROR(T594*$G594*$I594, "")</f>
        <v>0</v>
      </c>
      <c r="AH594" s="284" t="n">
        <f aca="false">IFERROR(U594*$G594*$I594, "")</f>
        <v>0</v>
      </c>
      <c r="AI594" s="284" t="n">
        <f aca="false">IFERROR(V594*$G594*$I594, "")</f>
        <v>0</v>
      </c>
      <c r="AJ594" s="284" t="n">
        <f aca="false">IFERROR(W594*$G594*$I594, "")</f>
        <v>0</v>
      </c>
      <c r="AK594" s="286" t="n">
        <f aca="false">IFERROR(SUMIF($Y$4:$AJ$4, "RDEC", Y594:AJ594), "")</f>
        <v>0</v>
      </c>
      <c r="AL594" s="286" t="n">
        <f aca="false">IFERROR(SUMIF($Y$4:$AJ$4, "SME", Y594:AJ594), "")</f>
        <v>0</v>
      </c>
      <c r="AM594" s="286" t="n">
        <f aca="false">IFERROR(SUMIF($Y$4:$AJ$4, "De Minimis", Y594:AJ594), "")</f>
        <v>0</v>
      </c>
      <c r="AN594" s="283"/>
      <c r="AO594" s="284" t="n">
        <f aca="false">IFERROR($G594*$J594*L594, "")</f>
        <v>0</v>
      </c>
      <c r="AP594" s="284" t="n">
        <f aca="false">IFERROR($G594*$J594*M594, "")</f>
        <v>0</v>
      </c>
      <c r="AQ594" s="284" t="n">
        <f aca="false">IFERROR($G594*$J594*N594, "")</f>
        <v>0</v>
      </c>
      <c r="AR594" s="284" t="n">
        <f aca="false">IFERROR($G594*$J594*O594, "")</f>
        <v>0</v>
      </c>
      <c r="AS594" s="284" t="n">
        <f aca="false">IFERROR($G594*$J594*P594, "")</f>
        <v>0</v>
      </c>
      <c r="AT594" s="284" t="n">
        <f aca="false">IFERROR($G594*$J594*Q594, "")</f>
        <v>0</v>
      </c>
      <c r="AU594" s="284" t="n">
        <f aca="false">IFERROR($G594*$J594*R594, "")</f>
        <v>0</v>
      </c>
      <c r="AV594" s="284" t="n">
        <f aca="false">IFERROR($G594*$J594*S594, "")</f>
        <v>0</v>
      </c>
      <c r="AW594" s="284" t="n">
        <f aca="false">IFERROR($G594*$J594*T594, "")</f>
        <v>0</v>
      </c>
      <c r="AX594" s="284" t="n">
        <f aca="false">IFERROR($G594*$J594*U594, "")</f>
        <v>0</v>
      </c>
      <c r="AY594" s="284" t="n">
        <f aca="false">IFERROR($G594*$J594*V594, "")</f>
        <v>0</v>
      </c>
      <c r="AZ594" s="284" t="n">
        <f aca="false">IFERROR($G594*$J594*W594, "")</f>
        <v>0</v>
      </c>
      <c r="BA594" s="286" t="n">
        <f aca="false">IFERROR(SUMIF($AO$4:$AZ$4, "RDEC", AO594:AZ594), "")</f>
        <v>0</v>
      </c>
      <c r="BB594" s="286" t="n">
        <f aca="false">IFERROR(SUMIF($AO$4:$AZ$4, "SME", AO594:AZ594), "")</f>
        <v>0</v>
      </c>
      <c r="BC594" s="286" t="n">
        <f aca="false">IFERROR(SUMIF($Y$4:$AJ$4, "De Minimis", AO594:AZ594), "")</f>
        <v>0</v>
      </c>
      <c r="BD594" s="287"/>
      <c r="BE594" s="288" t="str">
        <f aca="false">IF((SUM(L594:W594)&gt;1),"ERROR","")</f>
        <v/>
      </c>
    </row>
    <row r="595" customFormat="false" ht="15" hidden="false" customHeight="true" outlineLevel="0" collapsed="false">
      <c r="B595" s="333"/>
      <c r="C595" s="334"/>
      <c r="D595" s="333" t="n">
        <f aca="false">D579</f>
        <v>45597</v>
      </c>
      <c r="E595" s="277" t="n">
        <v>0</v>
      </c>
      <c r="F595" s="277" t="n">
        <v>0</v>
      </c>
      <c r="G595" s="277" t="n">
        <f aca="false">SUM(E595:F595)</f>
        <v>0</v>
      </c>
      <c r="H595" s="204"/>
      <c r="I595" s="279" t="n">
        <v>1</v>
      </c>
      <c r="J595" s="280" t="n">
        <f aca="false">1-I595</f>
        <v>0</v>
      </c>
      <c r="K595" s="277"/>
      <c r="L595" s="282"/>
      <c r="M595" s="282"/>
      <c r="N595" s="282"/>
      <c r="O595" s="282"/>
      <c r="P595" s="282"/>
      <c r="Q595" s="282"/>
      <c r="R595" s="282"/>
      <c r="S595" s="282"/>
      <c r="T595" s="282"/>
      <c r="U595" s="282"/>
      <c r="V595" s="282"/>
      <c r="W595" s="282"/>
      <c r="X595" s="283"/>
      <c r="Y595" s="284" t="n">
        <f aca="false">IFERROR(L595*$G595*I$9, "")</f>
        <v>0</v>
      </c>
      <c r="Z595" s="284" t="n">
        <f aca="false">IFERROR(M595*$G595*$I595, "")</f>
        <v>0</v>
      </c>
      <c r="AA595" s="284" t="n">
        <f aca="false">IFERROR(N595*$G595*$I595, "")</f>
        <v>0</v>
      </c>
      <c r="AB595" s="284" t="n">
        <f aca="false">IFERROR(O595*$G595*$I595, "")</f>
        <v>0</v>
      </c>
      <c r="AC595" s="284" t="n">
        <f aca="false">IFERROR(P595*$G595*$I595, "")</f>
        <v>0</v>
      </c>
      <c r="AD595" s="284" t="n">
        <f aca="false">IFERROR(Q595*$G595*$I595, "")</f>
        <v>0</v>
      </c>
      <c r="AE595" s="284" t="n">
        <f aca="false">IFERROR(R595*$G595*$I595, "")</f>
        <v>0</v>
      </c>
      <c r="AF595" s="284" t="n">
        <f aca="false">IFERROR(S595*$G595*$I595, "")</f>
        <v>0</v>
      </c>
      <c r="AG595" s="284" t="n">
        <f aca="false">IFERROR(T595*$G595*$I595, "")</f>
        <v>0</v>
      </c>
      <c r="AH595" s="284" t="n">
        <f aca="false">IFERROR(U595*$G595*$I595, "")</f>
        <v>0</v>
      </c>
      <c r="AI595" s="284" t="n">
        <f aca="false">IFERROR(V595*$G595*$I595, "")</f>
        <v>0</v>
      </c>
      <c r="AJ595" s="284" t="n">
        <f aca="false">IFERROR(W595*$G595*$I595, "")</f>
        <v>0</v>
      </c>
      <c r="AK595" s="286" t="n">
        <f aca="false">IFERROR(SUMIF($Y$4:$AJ$4, "RDEC", Y595:AJ595), "")</f>
        <v>0</v>
      </c>
      <c r="AL595" s="286" t="n">
        <f aca="false">IFERROR(SUMIF($Y$4:$AJ$4, "SME", Y595:AJ595), "")</f>
        <v>0</v>
      </c>
      <c r="AM595" s="286" t="n">
        <f aca="false">IFERROR(SUMIF($Y$4:$AJ$4, "De Minimis", Y595:AJ595), "")</f>
        <v>0</v>
      </c>
      <c r="AN595" s="283"/>
      <c r="AO595" s="284" t="n">
        <f aca="false">IFERROR($G595*$J595*L595, "")</f>
        <v>0</v>
      </c>
      <c r="AP595" s="284" t="n">
        <f aca="false">IFERROR($G595*$J595*M595, "")</f>
        <v>0</v>
      </c>
      <c r="AQ595" s="284" t="n">
        <f aca="false">IFERROR($G595*$J595*N595, "")</f>
        <v>0</v>
      </c>
      <c r="AR595" s="284" t="n">
        <f aca="false">IFERROR($G595*$J595*O595, "")</f>
        <v>0</v>
      </c>
      <c r="AS595" s="284" t="n">
        <f aca="false">IFERROR($G595*$J595*P595, "")</f>
        <v>0</v>
      </c>
      <c r="AT595" s="284" t="n">
        <f aca="false">IFERROR($G595*$J595*Q595, "")</f>
        <v>0</v>
      </c>
      <c r="AU595" s="284" t="n">
        <f aca="false">IFERROR($G595*$J595*R595, "")</f>
        <v>0</v>
      </c>
      <c r="AV595" s="284" t="n">
        <f aca="false">IFERROR($G595*$J595*S595, "")</f>
        <v>0</v>
      </c>
      <c r="AW595" s="284" t="n">
        <f aca="false">IFERROR($G595*$J595*T595, "")</f>
        <v>0</v>
      </c>
      <c r="AX595" s="284" t="n">
        <f aca="false">IFERROR($G595*$J595*U595, "")</f>
        <v>0</v>
      </c>
      <c r="AY595" s="284" t="n">
        <f aca="false">IFERROR($G595*$J595*V595, "")</f>
        <v>0</v>
      </c>
      <c r="AZ595" s="284" t="n">
        <f aca="false">IFERROR($G595*$J595*W595, "")</f>
        <v>0</v>
      </c>
      <c r="BA595" s="286" t="n">
        <f aca="false">IFERROR(SUMIF($AO$4:$AZ$4, "RDEC", AO595:AZ595), "")</f>
        <v>0</v>
      </c>
      <c r="BB595" s="286" t="n">
        <f aca="false">IFERROR(SUMIF($AO$4:$AZ$4, "SME", AO595:AZ595), "")</f>
        <v>0</v>
      </c>
      <c r="BC595" s="286" t="n">
        <f aca="false">IFERROR(SUMIF($Y$4:$AJ$4, "De Minimis", AO595:AZ595), "")</f>
        <v>0</v>
      </c>
      <c r="BD595" s="287"/>
      <c r="BE595" s="288" t="str">
        <f aca="false">IF((SUM(L595:W595)&gt;1),"ERROR","")</f>
        <v/>
      </c>
    </row>
    <row r="596" customFormat="false" ht="15" hidden="false" customHeight="true" outlineLevel="0" collapsed="false">
      <c r="B596" s="333"/>
      <c r="C596" s="334"/>
      <c r="D596" s="333" t="n">
        <f aca="false">D580</f>
        <v>45627</v>
      </c>
      <c r="E596" s="277" t="n">
        <v>0</v>
      </c>
      <c r="F596" s="277" t="n">
        <v>0</v>
      </c>
      <c r="G596" s="277" t="n">
        <f aca="false">SUM(E596:F596)</f>
        <v>0</v>
      </c>
      <c r="H596" s="300"/>
      <c r="I596" s="289" t="n">
        <v>1</v>
      </c>
      <c r="J596" s="290" t="n">
        <f aca="false">1-I596</f>
        <v>0</v>
      </c>
      <c r="K596" s="300"/>
      <c r="L596" s="291"/>
      <c r="M596" s="291"/>
      <c r="N596" s="291"/>
      <c r="O596" s="291"/>
      <c r="P596" s="291"/>
      <c r="Q596" s="291"/>
      <c r="R596" s="291"/>
      <c r="S596" s="291"/>
      <c r="T596" s="291"/>
      <c r="U596" s="291"/>
      <c r="V596" s="291"/>
      <c r="W596" s="291"/>
      <c r="X596" s="283"/>
      <c r="Y596" s="284" t="n">
        <f aca="false">IFERROR(L596*$G596*I$9, "")</f>
        <v>0</v>
      </c>
      <c r="Z596" s="284" t="n">
        <f aca="false">IFERROR(M596*$G596*$I596, "")</f>
        <v>0</v>
      </c>
      <c r="AA596" s="284" t="n">
        <f aca="false">IFERROR(N596*$G596*$I596, "")</f>
        <v>0</v>
      </c>
      <c r="AB596" s="284" t="n">
        <f aca="false">IFERROR(O596*$G596*$I596, "")</f>
        <v>0</v>
      </c>
      <c r="AC596" s="284" t="n">
        <f aca="false">IFERROR(P596*$G596*$I596, "")</f>
        <v>0</v>
      </c>
      <c r="AD596" s="284" t="n">
        <f aca="false">IFERROR(Q596*$G596*$I596, "")</f>
        <v>0</v>
      </c>
      <c r="AE596" s="284" t="n">
        <f aca="false">IFERROR(R596*$G596*$I596, "")</f>
        <v>0</v>
      </c>
      <c r="AF596" s="284" t="n">
        <f aca="false">IFERROR(S596*$G596*$I596, "")</f>
        <v>0</v>
      </c>
      <c r="AG596" s="284" t="n">
        <f aca="false">IFERROR(T596*$G596*$I596, "")</f>
        <v>0</v>
      </c>
      <c r="AH596" s="284" t="n">
        <f aca="false">IFERROR(U596*$G596*$I596, "")</f>
        <v>0</v>
      </c>
      <c r="AI596" s="284" t="n">
        <f aca="false">IFERROR(V596*$G596*$I596, "")</f>
        <v>0</v>
      </c>
      <c r="AJ596" s="284" t="n">
        <f aca="false">IFERROR(W596*$G596*$I596, "")</f>
        <v>0</v>
      </c>
      <c r="AK596" s="294" t="n">
        <f aca="false">IFERROR(SUMIF($Y$4:$AJ$4, "RDEC", Y596:AJ596), "")</f>
        <v>0</v>
      </c>
      <c r="AL596" s="294" t="n">
        <f aca="false">IFERROR(SUMIF($Y$4:$AJ$4, "SME", Y596:AJ596), "")</f>
        <v>0</v>
      </c>
      <c r="AM596" s="294" t="n">
        <f aca="false">IFERROR(SUMIF($Y$4:$AJ$4, "De Minimis", Y596:AJ596), "")</f>
        <v>0</v>
      </c>
      <c r="AN596" s="283"/>
      <c r="AO596" s="284" t="n">
        <f aca="false">IFERROR($G596*$J596*L596, "")</f>
        <v>0</v>
      </c>
      <c r="AP596" s="284" t="n">
        <f aca="false">IFERROR($G596*$J596*M596, "")</f>
        <v>0</v>
      </c>
      <c r="AQ596" s="284" t="n">
        <f aca="false">IFERROR($G596*$J596*N596, "")</f>
        <v>0</v>
      </c>
      <c r="AR596" s="284" t="n">
        <f aca="false">IFERROR($G596*$J596*O596, "")</f>
        <v>0</v>
      </c>
      <c r="AS596" s="284" t="n">
        <f aca="false">IFERROR($G596*$J596*P596, "")</f>
        <v>0</v>
      </c>
      <c r="AT596" s="284" t="n">
        <f aca="false">IFERROR($G596*$J596*Q596, "")</f>
        <v>0</v>
      </c>
      <c r="AU596" s="284" t="n">
        <f aca="false">IFERROR($G596*$J596*R596, "")</f>
        <v>0</v>
      </c>
      <c r="AV596" s="284" t="n">
        <f aca="false">IFERROR($G596*$J596*S596, "")</f>
        <v>0</v>
      </c>
      <c r="AW596" s="284" t="n">
        <f aca="false">IFERROR($G596*$J596*T596, "")</f>
        <v>0</v>
      </c>
      <c r="AX596" s="284" t="n">
        <f aca="false">IFERROR($G596*$J596*U596, "")</f>
        <v>0</v>
      </c>
      <c r="AY596" s="284" t="n">
        <f aca="false">IFERROR($G596*$J596*V596, "")</f>
        <v>0</v>
      </c>
      <c r="AZ596" s="284" t="n">
        <f aca="false">IFERROR($G596*$J596*W596, "")</f>
        <v>0</v>
      </c>
      <c r="BA596" s="286" t="n">
        <f aca="false">IFERROR(SUMIF($AO$4:$AZ$4, "RDEC", AO596:AZ596), "")</f>
        <v>0</v>
      </c>
      <c r="BB596" s="286" t="n">
        <f aca="false">IFERROR(SUMIF($AO$4:$AZ$4, "SME", AO596:AZ596), "")</f>
        <v>0</v>
      </c>
      <c r="BC596" s="294" t="n">
        <f aca="false">IFERROR(SUMIF($Y$4:$AJ$4, "De Minimis", AO596:AZ596), "")</f>
        <v>0</v>
      </c>
      <c r="BD596" s="303"/>
      <c r="BE596" s="295" t="str">
        <f aca="false">IF((SUM(L596:W596)&gt;1),"ERROR","")</f>
        <v/>
      </c>
    </row>
    <row r="597" customFormat="false" ht="15" hidden="false" customHeight="true" outlineLevel="0" collapsed="false">
      <c r="B597" s="296"/>
      <c r="D597" s="297" t="s">
        <v>82</v>
      </c>
      <c r="E597" s="299" t="n">
        <f aca="false">SUM(E585:E596)</f>
        <v>0</v>
      </c>
      <c r="F597" s="299" t="n">
        <f aca="false">SUM(F585:F596)</f>
        <v>0</v>
      </c>
      <c r="G597" s="299" t="n">
        <f aca="false">SUM(G585:G596)</f>
        <v>0</v>
      </c>
      <c r="H597" s="300"/>
      <c r="I597" s="301" t="n">
        <f aca="false">AVERAGE(I585:I596)</f>
        <v>1</v>
      </c>
      <c r="J597" s="301" t="n">
        <f aca="false">AVERAGE(J585:J596)</f>
        <v>0</v>
      </c>
      <c r="K597" s="300"/>
      <c r="L597" s="290" t="n">
        <f aca="false">IF(SUM(L585:L596)&gt;0,(Y597/G597),0)</f>
        <v>0</v>
      </c>
      <c r="M597" s="301" t="n">
        <f aca="false">IF(SUM(M585:M596)&gt;0,(Z597/G597),0)</f>
        <v>0</v>
      </c>
      <c r="N597" s="301" t="n">
        <f aca="false">IF(SUM(N585:N596)&gt;0,(AA597/G597),0)</f>
        <v>0</v>
      </c>
      <c r="O597" s="301" t="n">
        <f aca="false">IF(SUM(O585:O596)&gt;0,(AB597/G597),0)</f>
        <v>0</v>
      </c>
      <c r="P597" s="301" t="n">
        <f aca="false">IF(SUM(P585:P596)&gt;0,(AC597/G597),0)</f>
        <v>0</v>
      </c>
      <c r="Q597" s="301" t="n">
        <f aca="false">IF(SUM(Q585:Q596)&gt;0,(AD597/G597),0)</f>
        <v>0</v>
      </c>
      <c r="R597" s="301" t="n">
        <f aca="false">IF(SUM(R585:R596)&gt;0,(AE597/G597),0)</f>
        <v>0</v>
      </c>
      <c r="S597" s="301" t="n">
        <f aca="false">IF(SUM(S585:S596)&gt;0,(AF597/G597),0)</f>
        <v>0</v>
      </c>
      <c r="T597" s="301" t="n">
        <f aca="false">IF(SUM(T585:T596)&gt;0,(AG597/G597),0)</f>
        <v>0</v>
      </c>
      <c r="U597" s="301" t="n">
        <f aca="false">IF(SUM(U585:U596)&gt;0,(AJ597/G597),0)</f>
        <v>0</v>
      </c>
      <c r="V597" s="301" t="n">
        <f aca="false">IF(SUM(V585:V596)&gt;0,(AI597/G597),0)</f>
        <v>0</v>
      </c>
      <c r="W597" s="301" t="n">
        <f aca="false">IF(SUM(W585:W596)&gt;0,(AJ597/G597),0)</f>
        <v>0</v>
      </c>
      <c r="X597" s="283"/>
      <c r="Y597" s="304" t="n">
        <f aca="false">SUM(Y585:Y596)</f>
        <v>0</v>
      </c>
      <c r="Z597" s="304" t="n">
        <f aca="false">SUM(Z585:Z596)</f>
        <v>0</v>
      </c>
      <c r="AA597" s="304" t="n">
        <f aca="false">SUM(AA585:AA596)</f>
        <v>0</v>
      </c>
      <c r="AB597" s="304" t="n">
        <f aca="false">SUM(AB585:AB596)</f>
        <v>0</v>
      </c>
      <c r="AC597" s="304" t="n">
        <f aca="false">SUM(AC585:AC596)</f>
        <v>0</v>
      </c>
      <c r="AD597" s="304" t="n">
        <f aca="false">SUM(AD585:AD596)</f>
        <v>0</v>
      </c>
      <c r="AE597" s="304" t="n">
        <f aca="false">SUM(AE585:AE596)</f>
        <v>0</v>
      </c>
      <c r="AF597" s="304" t="n">
        <f aca="false">SUM(AF585:AF596)</f>
        <v>0</v>
      </c>
      <c r="AG597" s="304" t="n">
        <f aca="false">SUM(AG585:AG596)</f>
        <v>0</v>
      </c>
      <c r="AH597" s="304" t="n">
        <f aca="false">SUM(AH585:AH596)</f>
        <v>0</v>
      </c>
      <c r="AI597" s="304" t="n">
        <f aca="false">SUM(AI585:AI596)</f>
        <v>0</v>
      </c>
      <c r="AJ597" s="304" t="n">
        <f aca="false">SUM(AJ585:AJ596)</f>
        <v>0</v>
      </c>
      <c r="AK597" s="335" t="n">
        <f aca="false">SUM(AK585:AK596)</f>
        <v>0</v>
      </c>
      <c r="AL597" s="336" t="n">
        <f aca="false">SUM(AL585:AL596)</f>
        <v>0</v>
      </c>
      <c r="AM597" s="305" t="n">
        <f aca="false">SUM(AM585:AM596)</f>
        <v>0</v>
      </c>
      <c r="AN597" s="283"/>
      <c r="AO597" s="304" t="n">
        <f aca="false">SUM(AO585:AO596)</f>
        <v>0</v>
      </c>
      <c r="AP597" s="304" t="n">
        <f aca="false">SUM(AP585:AP596)</f>
        <v>0</v>
      </c>
      <c r="AQ597" s="304" t="n">
        <f aca="false">SUM(AQ585:AQ596)</f>
        <v>0</v>
      </c>
      <c r="AR597" s="304" t="n">
        <f aca="false">SUM(AR585:AR596)</f>
        <v>0</v>
      </c>
      <c r="AS597" s="304" t="n">
        <f aca="false">SUM(AS585:AS596)</f>
        <v>0</v>
      </c>
      <c r="AT597" s="304" t="n">
        <f aca="false">SUM(AT585:AT596)</f>
        <v>0</v>
      </c>
      <c r="AU597" s="304" t="n">
        <f aca="false">SUM(AU585:AU596)</f>
        <v>0</v>
      </c>
      <c r="AV597" s="304" t="n">
        <f aca="false">SUM(AV585:AV596)</f>
        <v>0</v>
      </c>
      <c r="AW597" s="304" t="n">
        <f aca="false">SUM(AW585:AW596)</f>
        <v>0</v>
      </c>
      <c r="AX597" s="304" t="n">
        <f aca="false">SUM(AX585:AX596)</f>
        <v>0</v>
      </c>
      <c r="AY597" s="304" t="n">
        <f aca="false">SUM(AY585:AY596)</f>
        <v>0</v>
      </c>
      <c r="AZ597" s="304" t="n">
        <f aca="false">SUM(AZ585:AZ596)</f>
        <v>0</v>
      </c>
      <c r="BA597" s="336" t="n">
        <f aca="false">SUM(BA585:BA596)</f>
        <v>0</v>
      </c>
      <c r="BB597" s="336" t="n">
        <f aca="false">SUM(BB585:BB596)</f>
        <v>0</v>
      </c>
      <c r="BC597" s="305" t="n">
        <f aca="false">SUM(BC585:BC596)</f>
        <v>0</v>
      </c>
      <c r="BD597" s="303"/>
      <c r="BE597" s="337"/>
    </row>
    <row r="598" customFormat="false" ht="15" hidden="false" customHeight="true" outlineLevel="0" collapsed="false">
      <c r="B598" s="296"/>
      <c r="D598" s="297"/>
      <c r="E598" s="300"/>
      <c r="F598" s="300"/>
      <c r="G598" s="300"/>
      <c r="H598" s="241"/>
      <c r="I598" s="302"/>
      <c r="J598" s="302"/>
      <c r="K598" s="241"/>
      <c r="L598" s="259"/>
      <c r="M598" s="259"/>
      <c r="N598" s="259"/>
      <c r="O598" s="259"/>
      <c r="P598" s="259"/>
      <c r="Q598" s="259"/>
      <c r="R598" s="259"/>
      <c r="S598" s="259"/>
      <c r="T598" s="259"/>
      <c r="U598" s="259"/>
      <c r="V598" s="259"/>
      <c r="W598" s="259"/>
      <c r="X598" s="303"/>
      <c r="Y598" s="259"/>
      <c r="Z598" s="303"/>
      <c r="AA598" s="303"/>
      <c r="AB598" s="303"/>
      <c r="AC598" s="303"/>
      <c r="AD598" s="303"/>
      <c r="AE598" s="303"/>
      <c r="AF598" s="303"/>
      <c r="AG598" s="303"/>
      <c r="AH598" s="303"/>
      <c r="AI598" s="303"/>
      <c r="AJ598" s="303"/>
      <c r="AK598" s="303"/>
      <c r="AL598" s="303"/>
      <c r="AM598" s="303"/>
      <c r="AN598" s="303"/>
      <c r="AO598" s="259"/>
      <c r="AP598" s="303"/>
      <c r="AQ598" s="303"/>
      <c r="AR598" s="303"/>
      <c r="AS598" s="303"/>
      <c r="AT598" s="303"/>
      <c r="AU598" s="303"/>
      <c r="AV598" s="303"/>
      <c r="AW598" s="303"/>
      <c r="AX598" s="303"/>
      <c r="AY598" s="303"/>
      <c r="AZ598" s="303"/>
      <c r="BA598" s="303"/>
      <c r="BB598" s="303"/>
      <c r="BC598" s="303"/>
      <c r="BD598" s="268"/>
      <c r="BE598" s="303"/>
    </row>
    <row r="599" customFormat="false" ht="15" hidden="false" customHeight="true" outlineLevel="0" collapsed="false">
      <c r="A599" s="198" t="n">
        <f aca="false">A583+1</f>
        <v>38</v>
      </c>
      <c r="B599" s="266" t="s">
        <v>253</v>
      </c>
      <c r="C599" s="266" t="s">
        <v>253</v>
      </c>
      <c r="D599" s="266"/>
      <c r="E599" s="241"/>
      <c r="F599" s="241"/>
      <c r="G599" s="241"/>
      <c r="H599" s="241"/>
      <c r="I599" s="241"/>
      <c r="J599" s="241"/>
      <c r="K599" s="277"/>
      <c r="L599" s="241"/>
      <c r="M599" s="241"/>
      <c r="N599" s="241"/>
      <c r="O599" s="241"/>
      <c r="P599" s="241"/>
      <c r="Q599" s="241"/>
      <c r="R599" s="241"/>
      <c r="S599" s="241"/>
      <c r="T599" s="241"/>
      <c r="U599" s="241"/>
      <c r="V599" s="241"/>
      <c r="W599" s="241"/>
      <c r="X599" s="259"/>
      <c r="Y599" s="268"/>
      <c r="Z599" s="268"/>
      <c r="AA599" s="268"/>
      <c r="AB599" s="268"/>
      <c r="AC599" s="268"/>
      <c r="AD599" s="268"/>
      <c r="AE599" s="268"/>
      <c r="AF599" s="268"/>
      <c r="AG599" s="268"/>
      <c r="AH599" s="268"/>
      <c r="AI599" s="268"/>
      <c r="AJ599" s="268"/>
      <c r="AK599" s="268"/>
      <c r="AL599" s="268"/>
      <c r="AM599" s="268"/>
      <c r="AN599" s="259"/>
      <c r="AO599" s="268"/>
      <c r="AP599" s="268"/>
      <c r="AQ599" s="268"/>
      <c r="AR599" s="268"/>
      <c r="AS599" s="268"/>
      <c r="AT599" s="268"/>
      <c r="AU599" s="268"/>
      <c r="AV599" s="268"/>
      <c r="AW599" s="268"/>
      <c r="AX599" s="268"/>
      <c r="AY599" s="268"/>
      <c r="AZ599" s="268"/>
      <c r="BA599" s="268"/>
      <c r="BB599" s="268"/>
      <c r="BC599" s="268"/>
      <c r="BD599" s="287"/>
      <c r="BE599" s="268"/>
    </row>
    <row r="600" customFormat="false" ht="7.5" hidden="false" customHeight="true" outlineLevel="0" collapsed="false">
      <c r="A600" s="198"/>
      <c r="B600" s="266"/>
      <c r="C600" s="266"/>
      <c r="D600" s="266"/>
      <c r="E600" s="241"/>
      <c r="F600" s="241"/>
      <c r="G600" s="241"/>
      <c r="H600" s="204"/>
      <c r="I600" s="269"/>
      <c r="J600" s="269"/>
      <c r="K600" s="277"/>
      <c r="L600" s="269"/>
      <c r="M600" s="269"/>
      <c r="N600" s="269"/>
      <c r="O600" s="269"/>
      <c r="P600" s="269"/>
      <c r="Q600" s="269"/>
      <c r="R600" s="269"/>
      <c r="S600" s="269"/>
      <c r="T600" s="269"/>
      <c r="U600" s="269"/>
      <c r="V600" s="269"/>
      <c r="W600" s="269"/>
      <c r="X600" s="259"/>
      <c r="Y600" s="271"/>
      <c r="Z600" s="271"/>
      <c r="AA600" s="271"/>
      <c r="AB600" s="271"/>
      <c r="AC600" s="271"/>
      <c r="AD600" s="271"/>
      <c r="AE600" s="271"/>
      <c r="AF600" s="271"/>
      <c r="AG600" s="271"/>
      <c r="AH600" s="271"/>
      <c r="AI600" s="271"/>
      <c r="AJ600" s="272"/>
      <c r="AK600" s="273"/>
      <c r="AL600" s="273"/>
      <c r="AM600" s="273"/>
      <c r="AN600" s="259"/>
      <c r="AO600" s="271"/>
      <c r="AP600" s="271"/>
      <c r="AQ600" s="271"/>
      <c r="AR600" s="271"/>
      <c r="AS600" s="271"/>
      <c r="AT600" s="271"/>
      <c r="AU600" s="271"/>
      <c r="AV600" s="271"/>
      <c r="AW600" s="271"/>
      <c r="AX600" s="271"/>
      <c r="AY600" s="271"/>
      <c r="AZ600" s="272"/>
      <c r="BA600" s="273"/>
      <c r="BB600" s="273"/>
      <c r="BC600" s="273"/>
      <c r="BD600" s="287"/>
      <c r="BE600" s="274"/>
    </row>
    <row r="601" customFormat="false" ht="15" hidden="false" customHeight="true" outlineLevel="0" collapsed="false">
      <c r="B601" s="333"/>
      <c r="C601" s="334"/>
      <c r="D601" s="333" t="n">
        <f aca="false">D585</f>
        <v>45292</v>
      </c>
      <c r="E601" s="277" t="n">
        <v>0</v>
      </c>
      <c r="F601" s="277" t="n">
        <v>0</v>
      </c>
      <c r="G601" s="277" t="n">
        <f aca="false">SUM(E601:F601)</f>
        <v>0</v>
      </c>
      <c r="H601" s="204"/>
      <c r="I601" s="279" t="n">
        <v>1</v>
      </c>
      <c r="J601" s="280" t="n">
        <f aca="false">1-I601</f>
        <v>0</v>
      </c>
      <c r="K601" s="277"/>
      <c r="L601" s="282"/>
      <c r="M601" s="282"/>
      <c r="N601" s="282"/>
      <c r="O601" s="282"/>
      <c r="P601" s="282"/>
      <c r="Q601" s="282"/>
      <c r="R601" s="282"/>
      <c r="S601" s="282"/>
      <c r="T601" s="282"/>
      <c r="U601" s="282"/>
      <c r="V601" s="282"/>
      <c r="W601" s="282"/>
      <c r="X601" s="268"/>
      <c r="Y601" s="284" t="n">
        <f aca="false">IFERROR(L601*$G601*I$9, "")</f>
        <v>0</v>
      </c>
      <c r="Z601" s="284" t="n">
        <f aca="false">IFERROR(M601*$G601*$I601, "")</f>
        <v>0</v>
      </c>
      <c r="AA601" s="284" t="n">
        <f aca="false">IFERROR(N601*$G601*$I601, "")</f>
        <v>0</v>
      </c>
      <c r="AB601" s="284" t="n">
        <f aca="false">IFERROR(O601*$G601*$I601, "")</f>
        <v>0</v>
      </c>
      <c r="AC601" s="284" t="n">
        <f aca="false">IFERROR(P601*$G601*$I601, "")</f>
        <v>0</v>
      </c>
      <c r="AD601" s="284" t="n">
        <f aca="false">IFERROR(Q601*$G601*$I601, "")</f>
        <v>0</v>
      </c>
      <c r="AE601" s="284" t="n">
        <f aca="false">IFERROR(R601*$G601*$I601, "")</f>
        <v>0</v>
      </c>
      <c r="AF601" s="284" t="n">
        <f aca="false">IFERROR(S601*$G601*$I601, "")</f>
        <v>0</v>
      </c>
      <c r="AG601" s="284" t="n">
        <f aca="false">IFERROR(T601*$G601*$I601, "")</f>
        <v>0</v>
      </c>
      <c r="AH601" s="284" t="n">
        <f aca="false">IFERROR(U601*$G601*$I601, "")</f>
        <v>0</v>
      </c>
      <c r="AI601" s="284" t="n">
        <f aca="false">IFERROR(V601*$G601*$I601, "")</f>
        <v>0</v>
      </c>
      <c r="AJ601" s="284" t="n">
        <f aca="false">IFERROR(W601*$G601*$I601, "")</f>
        <v>0</v>
      </c>
      <c r="AK601" s="286" t="n">
        <f aca="false">IFERROR(SUMIF($Y$4:$AJ$4, "RDEC", Y601:AJ601), "")</f>
        <v>0</v>
      </c>
      <c r="AL601" s="286" t="n">
        <f aca="false">IFERROR(SUMIF($Y$4:$AJ$4, "SME", Y601:AJ601), "")</f>
        <v>0</v>
      </c>
      <c r="AM601" s="286" t="n">
        <f aca="false">IFERROR(SUMIF($Y$4:$AJ$4, "De Minimis", Y601:AJ601), "")</f>
        <v>0</v>
      </c>
      <c r="AN601" s="268"/>
      <c r="AO601" s="284" t="n">
        <f aca="false">IFERROR($G601*$J601*L601, "")</f>
        <v>0</v>
      </c>
      <c r="AP601" s="284" t="n">
        <f aca="false">IFERROR($G601*$J601*M601, "")</f>
        <v>0</v>
      </c>
      <c r="AQ601" s="284" t="n">
        <f aca="false">IFERROR($G601*$J601*N601, "")</f>
        <v>0</v>
      </c>
      <c r="AR601" s="284" t="n">
        <f aca="false">IFERROR($G601*$J601*O601, "")</f>
        <v>0</v>
      </c>
      <c r="AS601" s="284" t="n">
        <f aca="false">IFERROR($G601*$J601*P601, "")</f>
        <v>0</v>
      </c>
      <c r="AT601" s="284" t="n">
        <f aca="false">IFERROR($G601*$J601*Q601, "")</f>
        <v>0</v>
      </c>
      <c r="AU601" s="284" t="n">
        <f aca="false">IFERROR($G601*$J601*R601, "")</f>
        <v>0</v>
      </c>
      <c r="AV601" s="284" t="n">
        <f aca="false">IFERROR($G601*$J601*S601, "")</f>
        <v>0</v>
      </c>
      <c r="AW601" s="284" t="n">
        <f aca="false">IFERROR($G601*$J601*T601, "")</f>
        <v>0</v>
      </c>
      <c r="AX601" s="284" t="n">
        <f aca="false">IFERROR($G601*$J601*U601, "")</f>
        <v>0</v>
      </c>
      <c r="AY601" s="284" t="n">
        <f aca="false">IFERROR($G601*$J601*V601, "")</f>
        <v>0</v>
      </c>
      <c r="AZ601" s="284" t="n">
        <f aca="false">IFERROR($G601*$J601*W601, "")</f>
        <v>0</v>
      </c>
      <c r="BA601" s="286" t="n">
        <f aca="false">IFERROR(SUMIF($AO$4:$AZ$4, "RDEC", AO601:AZ601), "")</f>
        <v>0</v>
      </c>
      <c r="BB601" s="286" t="n">
        <f aca="false">IFERROR(SUMIF($AO$4:$AZ$4, "SME", AO601:AZ601), "")</f>
        <v>0</v>
      </c>
      <c r="BC601" s="286" t="n">
        <f aca="false">IFERROR(SUMIF($AO$4:$AZ$4, "De Minimis", AO601:AZ601), "")</f>
        <v>0</v>
      </c>
      <c r="BD601" s="287"/>
      <c r="BE601" s="288" t="str">
        <f aca="false">IF((SUM(L601:W601)&gt;1),"ERROR","")</f>
        <v/>
      </c>
    </row>
    <row r="602" customFormat="false" ht="15" hidden="false" customHeight="true" outlineLevel="0" collapsed="false">
      <c r="B602" s="333"/>
      <c r="C602" s="334"/>
      <c r="D602" s="333" t="n">
        <f aca="false">D586</f>
        <v>45323</v>
      </c>
      <c r="E602" s="277" t="n">
        <v>0</v>
      </c>
      <c r="F602" s="277" t="n">
        <v>0</v>
      </c>
      <c r="G602" s="277" t="n">
        <f aca="false">SUM(E602:F602)</f>
        <v>0</v>
      </c>
      <c r="H602" s="204"/>
      <c r="I602" s="279" t="n">
        <v>1</v>
      </c>
      <c r="J602" s="280" t="n">
        <f aca="false">1-I602</f>
        <v>0</v>
      </c>
      <c r="K602" s="277"/>
      <c r="L602" s="282"/>
      <c r="M602" s="282"/>
      <c r="N602" s="282"/>
      <c r="O602" s="282"/>
      <c r="P602" s="282"/>
      <c r="Q602" s="282"/>
      <c r="R602" s="282"/>
      <c r="S602" s="282"/>
      <c r="T602" s="282"/>
      <c r="U602" s="282"/>
      <c r="V602" s="282"/>
      <c r="W602" s="282"/>
      <c r="X602" s="283"/>
      <c r="Y602" s="284" t="n">
        <f aca="false">IFERROR(L602*$G602*I$9, "")</f>
        <v>0</v>
      </c>
      <c r="Z602" s="284" t="n">
        <f aca="false">IFERROR(M602*$G602*$I602, "")</f>
        <v>0</v>
      </c>
      <c r="AA602" s="284" t="n">
        <f aca="false">IFERROR(N602*$G602*$I602, "")</f>
        <v>0</v>
      </c>
      <c r="AB602" s="284" t="n">
        <f aca="false">IFERROR(O602*$G602*$I602, "")</f>
        <v>0</v>
      </c>
      <c r="AC602" s="284" t="n">
        <f aca="false">IFERROR(P602*$G602*$I602, "")</f>
        <v>0</v>
      </c>
      <c r="AD602" s="284" t="n">
        <f aca="false">IFERROR(Q602*$G602*$I602, "")</f>
        <v>0</v>
      </c>
      <c r="AE602" s="284" t="n">
        <f aca="false">IFERROR(R602*$G602*$I602, "")</f>
        <v>0</v>
      </c>
      <c r="AF602" s="284" t="n">
        <f aca="false">IFERROR(S602*$G602*$I602, "")</f>
        <v>0</v>
      </c>
      <c r="AG602" s="284" t="n">
        <f aca="false">IFERROR(T602*$G602*$I602, "")</f>
        <v>0</v>
      </c>
      <c r="AH602" s="284" t="n">
        <f aca="false">IFERROR(U602*$G602*$I602, "")</f>
        <v>0</v>
      </c>
      <c r="AI602" s="284" t="n">
        <f aca="false">IFERROR(V602*$G602*$I602, "")</f>
        <v>0</v>
      </c>
      <c r="AJ602" s="284" t="n">
        <f aca="false">IFERROR(W602*$G602*$I602, "")</f>
        <v>0</v>
      </c>
      <c r="AK602" s="286" t="n">
        <f aca="false">IFERROR(SUMIF($Y$4:$AJ$4, "RDEC", Y602:AJ602), "")</f>
        <v>0</v>
      </c>
      <c r="AL602" s="286" t="n">
        <f aca="false">IFERROR(SUMIF($Y$4:$AJ$4, "SME", Y602:AJ602), "")</f>
        <v>0</v>
      </c>
      <c r="AM602" s="286" t="n">
        <f aca="false">IFERROR(SUMIF($Y$4:$AJ$4, "De Minimis", Y602:AJ602), "")</f>
        <v>0</v>
      </c>
      <c r="AN602" s="283"/>
      <c r="AO602" s="284" t="n">
        <f aca="false">IFERROR($G602*$J602*L602, "")</f>
        <v>0</v>
      </c>
      <c r="AP602" s="284" t="n">
        <f aca="false">IFERROR($G602*$J602*M602, "")</f>
        <v>0</v>
      </c>
      <c r="AQ602" s="284" t="n">
        <f aca="false">IFERROR($G602*$J602*N602, "")</f>
        <v>0</v>
      </c>
      <c r="AR602" s="284" t="n">
        <f aca="false">IFERROR($G602*$J602*O602, "")</f>
        <v>0</v>
      </c>
      <c r="AS602" s="284" t="n">
        <f aca="false">IFERROR($G602*$J602*P602, "")</f>
        <v>0</v>
      </c>
      <c r="AT602" s="284" t="n">
        <f aca="false">IFERROR($G602*$J602*Q602, "")</f>
        <v>0</v>
      </c>
      <c r="AU602" s="284" t="n">
        <f aca="false">IFERROR($G602*$J602*R602, "")</f>
        <v>0</v>
      </c>
      <c r="AV602" s="284" t="n">
        <f aca="false">IFERROR($G602*$J602*S602, "")</f>
        <v>0</v>
      </c>
      <c r="AW602" s="284" t="n">
        <f aca="false">IFERROR($G602*$J602*T602, "")</f>
        <v>0</v>
      </c>
      <c r="AX602" s="284" t="n">
        <f aca="false">IFERROR($G602*$J602*U602, "")</f>
        <v>0</v>
      </c>
      <c r="AY602" s="284" t="n">
        <f aca="false">IFERROR($G602*$J602*V602, "")</f>
        <v>0</v>
      </c>
      <c r="AZ602" s="284" t="n">
        <f aca="false">IFERROR($G602*$J602*W602, "")</f>
        <v>0</v>
      </c>
      <c r="BA602" s="286" t="n">
        <f aca="false">IFERROR(SUMIF($AO$4:$AZ$4, "RDEC", AO602:AZ602), "")</f>
        <v>0</v>
      </c>
      <c r="BB602" s="286" t="n">
        <f aca="false">IFERROR(SUMIF($AO$4:$AZ$4, "SME", AO602:AZ602), "")</f>
        <v>0</v>
      </c>
      <c r="BC602" s="286" t="n">
        <f aca="false">IFERROR(SUMIF($Y$4:$AJ$4, "De Minimis", AO602:AZ602), "")</f>
        <v>0</v>
      </c>
      <c r="BD602" s="287"/>
      <c r="BE602" s="288" t="str">
        <f aca="false">IF((SUM(L602:W602)&gt;1),"ERROR","")</f>
        <v/>
      </c>
    </row>
    <row r="603" customFormat="false" ht="15" hidden="false" customHeight="true" outlineLevel="0" collapsed="false">
      <c r="B603" s="333"/>
      <c r="C603" s="334"/>
      <c r="D603" s="333" t="n">
        <f aca="false">D587</f>
        <v>45352</v>
      </c>
      <c r="E603" s="277" t="n">
        <v>0</v>
      </c>
      <c r="F603" s="277" t="n">
        <v>0</v>
      </c>
      <c r="G603" s="277" t="n">
        <f aca="false">SUM(E603:F603)</f>
        <v>0</v>
      </c>
      <c r="H603" s="204"/>
      <c r="I603" s="279" t="n">
        <v>1</v>
      </c>
      <c r="J603" s="280" t="n">
        <f aca="false">1-I603</f>
        <v>0</v>
      </c>
      <c r="K603" s="277"/>
      <c r="L603" s="282"/>
      <c r="M603" s="282"/>
      <c r="N603" s="282"/>
      <c r="O603" s="282"/>
      <c r="P603" s="282"/>
      <c r="Q603" s="282"/>
      <c r="R603" s="282"/>
      <c r="S603" s="282"/>
      <c r="T603" s="282"/>
      <c r="U603" s="282"/>
      <c r="V603" s="282"/>
      <c r="W603" s="282"/>
      <c r="X603" s="283"/>
      <c r="Y603" s="284" t="n">
        <f aca="false">IFERROR(L603*$G603*I$9, "")</f>
        <v>0</v>
      </c>
      <c r="Z603" s="284" t="n">
        <f aca="false">IFERROR(M603*$G603*$I603, "")</f>
        <v>0</v>
      </c>
      <c r="AA603" s="284" t="n">
        <f aca="false">IFERROR(N603*$G603*$I603, "")</f>
        <v>0</v>
      </c>
      <c r="AB603" s="284" t="n">
        <f aca="false">IFERROR(O603*$G603*$I603, "")</f>
        <v>0</v>
      </c>
      <c r="AC603" s="284" t="n">
        <f aca="false">IFERROR(P603*$G603*$I603, "")</f>
        <v>0</v>
      </c>
      <c r="AD603" s="284" t="n">
        <f aca="false">IFERROR(Q603*$G603*$I603, "")</f>
        <v>0</v>
      </c>
      <c r="AE603" s="284" t="n">
        <f aca="false">IFERROR(R603*$G603*$I603, "")</f>
        <v>0</v>
      </c>
      <c r="AF603" s="284" t="n">
        <f aca="false">IFERROR(S603*$G603*$I603, "")</f>
        <v>0</v>
      </c>
      <c r="AG603" s="284" t="n">
        <f aca="false">IFERROR(T603*$G603*$I603, "")</f>
        <v>0</v>
      </c>
      <c r="AH603" s="284" t="n">
        <f aca="false">IFERROR(U603*$G603*$I603, "")</f>
        <v>0</v>
      </c>
      <c r="AI603" s="284" t="n">
        <f aca="false">IFERROR(V603*$G603*$I603, "")</f>
        <v>0</v>
      </c>
      <c r="AJ603" s="284" t="n">
        <f aca="false">IFERROR(W603*$G603*$I603, "")</f>
        <v>0</v>
      </c>
      <c r="AK603" s="286" t="n">
        <f aca="false">IFERROR(SUMIF($Y$4:$AJ$4, "RDEC", Y603:AJ603), "")</f>
        <v>0</v>
      </c>
      <c r="AL603" s="286" t="n">
        <f aca="false">IFERROR(SUMIF($Y$4:$AJ$4, "SME", Y603:AJ603), "")</f>
        <v>0</v>
      </c>
      <c r="AM603" s="286" t="n">
        <f aca="false">IFERROR(SUMIF($Y$4:$AJ$4, "De Minimis", Y603:AJ603), "")</f>
        <v>0</v>
      </c>
      <c r="AN603" s="283"/>
      <c r="AO603" s="284" t="n">
        <f aca="false">IFERROR($G603*$J603*L603, "")</f>
        <v>0</v>
      </c>
      <c r="AP603" s="284" t="n">
        <f aca="false">IFERROR($G603*$J603*M603, "")</f>
        <v>0</v>
      </c>
      <c r="AQ603" s="284" t="n">
        <f aca="false">IFERROR($G603*$J603*N603, "")</f>
        <v>0</v>
      </c>
      <c r="AR603" s="284" t="n">
        <f aca="false">IFERROR($G603*$J603*O603, "")</f>
        <v>0</v>
      </c>
      <c r="AS603" s="284" t="n">
        <f aca="false">IFERROR($G603*$J603*P603, "")</f>
        <v>0</v>
      </c>
      <c r="AT603" s="284" t="n">
        <f aca="false">IFERROR($G603*$J603*Q603, "")</f>
        <v>0</v>
      </c>
      <c r="AU603" s="284" t="n">
        <f aca="false">IFERROR($G603*$J603*R603, "")</f>
        <v>0</v>
      </c>
      <c r="AV603" s="284" t="n">
        <f aca="false">IFERROR($G603*$J603*S603, "")</f>
        <v>0</v>
      </c>
      <c r="AW603" s="284" t="n">
        <f aca="false">IFERROR($G603*$J603*T603, "")</f>
        <v>0</v>
      </c>
      <c r="AX603" s="284" t="n">
        <f aca="false">IFERROR($G603*$J603*U603, "")</f>
        <v>0</v>
      </c>
      <c r="AY603" s="284" t="n">
        <f aca="false">IFERROR($G603*$J603*V603, "")</f>
        <v>0</v>
      </c>
      <c r="AZ603" s="284" t="n">
        <f aca="false">IFERROR($G603*$J603*W603, "")</f>
        <v>0</v>
      </c>
      <c r="BA603" s="286" t="n">
        <f aca="false">IFERROR(SUMIF($AO$4:$AZ$4, "RDEC", AO603:AZ603), "")</f>
        <v>0</v>
      </c>
      <c r="BB603" s="286" t="n">
        <f aca="false">IFERROR(SUMIF($AO$4:$AZ$4, "SME", AO603:AZ603), "")</f>
        <v>0</v>
      </c>
      <c r="BC603" s="286" t="n">
        <f aca="false">IFERROR(SUMIF($Y$4:$AJ$4, "De Minimis", AO603:AZ603), "")</f>
        <v>0</v>
      </c>
      <c r="BD603" s="287"/>
      <c r="BE603" s="288" t="str">
        <f aca="false">IF((SUM(L603:W603)&gt;1),"ERROR","")</f>
        <v/>
      </c>
    </row>
    <row r="604" customFormat="false" ht="15" hidden="false" customHeight="true" outlineLevel="0" collapsed="false">
      <c r="B604" s="333"/>
      <c r="C604" s="334"/>
      <c r="D604" s="333" t="n">
        <f aca="false">D588</f>
        <v>45383</v>
      </c>
      <c r="E604" s="277" t="n">
        <v>0</v>
      </c>
      <c r="F604" s="277" t="n">
        <v>0</v>
      </c>
      <c r="G604" s="277" t="n">
        <f aca="false">SUM(E604:F604)</f>
        <v>0</v>
      </c>
      <c r="H604" s="204"/>
      <c r="I604" s="279" t="n">
        <v>1</v>
      </c>
      <c r="J604" s="280" t="n">
        <f aca="false">1-I604</f>
        <v>0</v>
      </c>
      <c r="K604" s="277"/>
      <c r="L604" s="282"/>
      <c r="M604" s="282"/>
      <c r="N604" s="282"/>
      <c r="O604" s="282"/>
      <c r="P604" s="282"/>
      <c r="Q604" s="282"/>
      <c r="R604" s="282"/>
      <c r="S604" s="282"/>
      <c r="T604" s="282"/>
      <c r="U604" s="282"/>
      <c r="V604" s="282"/>
      <c r="W604" s="282"/>
      <c r="X604" s="283"/>
      <c r="Y604" s="284" t="n">
        <f aca="false">IFERROR(L604*$G604*I$9, "")</f>
        <v>0</v>
      </c>
      <c r="Z604" s="284" t="n">
        <f aca="false">IFERROR(M604*$G604*$I604, "")</f>
        <v>0</v>
      </c>
      <c r="AA604" s="284" t="n">
        <f aca="false">IFERROR(N604*$G604*$I604, "")</f>
        <v>0</v>
      </c>
      <c r="AB604" s="284" t="n">
        <f aca="false">IFERROR(O604*$G604*$I604, "")</f>
        <v>0</v>
      </c>
      <c r="AC604" s="284" t="n">
        <f aca="false">IFERROR(P604*$G604*$I604, "")</f>
        <v>0</v>
      </c>
      <c r="AD604" s="284" t="n">
        <f aca="false">IFERROR(Q604*$G604*$I604, "")</f>
        <v>0</v>
      </c>
      <c r="AE604" s="284" t="n">
        <f aca="false">IFERROR(R604*$G604*$I604, "")</f>
        <v>0</v>
      </c>
      <c r="AF604" s="284" t="n">
        <f aca="false">IFERROR(S604*$G604*$I604, "")</f>
        <v>0</v>
      </c>
      <c r="AG604" s="284" t="n">
        <f aca="false">IFERROR(T604*$G604*$I604, "")</f>
        <v>0</v>
      </c>
      <c r="AH604" s="284" t="n">
        <f aca="false">IFERROR(U604*$G604*$I604, "")</f>
        <v>0</v>
      </c>
      <c r="AI604" s="284" t="n">
        <f aca="false">IFERROR(V604*$G604*$I604, "")</f>
        <v>0</v>
      </c>
      <c r="AJ604" s="284" t="n">
        <f aca="false">IFERROR(W604*$G604*$I604, "")</f>
        <v>0</v>
      </c>
      <c r="AK604" s="286" t="n">
        <f aca="false">IFERROR(SUMIF($Y$4:$AJ$4, "RDEC", Y604:AJ604), "")</f>
        <v>0</v>
      </c>
      <c r="AL604" s="286" t="n">
        <f aca="false">IFERROR(SUMIF($Y$4:$AJ$4, "SME", Y604:AJ604), "")</f>
        <v>0</v>
      </c>
      <c r="AM604" s="286" t="n">
        <f aca="false">IFERROR(SUMIF($Y$4:$AJ$4, "De Minimis", Y604:AJ604), "")</f>
        <v>0</v>
      </c>
      <c r="AN604" s="283"/>
      <c r="AO604" s="284" t="n">
        <f aca="false">IFERROR($G604*$J604*L604, "")</f>
        <v>0</v>
      </c>
      <c r="AP604" s="284" t="n">
        <f aca="false">IFERROR($G604*$J604*M604, "")</f>
        <v>0</v>
      </c>
      <c r="AQ604" s="284" t="n">
        <f aca="false">IFERROR($G604*$J604*N604, "")</f>
        <v>0</v>
      </c>
      <c r="AR604" s="284" t="n">
        <f aca="false">IFERROR($G604*$J604*O604, "")</f>
        <v>0</v>
      </c>
      <c r="AS604" s="284" t="n">
        <f aca="false">IFERROR($G604*$J604*P604, "")</f>
        <v>0</v>
      </c>
      <c r="AT604" s="284" t="n">
        <f aca="false">IFERROR($G604*$J604*Q604, "")</f>
        <v>0</v>
      </c>
      <c r="AU604" s="284" t="n">
        <f aca="false">IFERROR($G604*$J604*R604, "")</f>
        <v>0</v>
      </c>
      <c r="AV604" s="284" t="n">
        <f aca="false">IFERROR($G604*$J604*S604, "")</f>
        <v>0</v>
      </c>
      <c r="AW604" s="284" t="n">
        <f aca="false">IFERROR($G604*$J604*T604, "")</f>
        <v>0</v>
      </c>
      <c r="AX604" s="284" t="n">
        <f aca="false">IFERROR($G604*$J604*U604, "")</f>
        <v>0</v>
      </c>
      <c r="AY604" s="284" t="n">
        <f aca="false">IFERROR($G604*$J604*V604, "")</f>
        <v>0</v>
      </c>
      <c r="AZ604" s="284" t="n">
        <f aca="false">IFERROR($G604*$J604*W604, "")</f>
        <v>0</v>
      </c>
      <c r="BA604" s="286" t="n">
        <f aca="false">IFERROR(SUMIF($AO$4:$AZ$4, "RDEC", AO604:AZ604), "")</f>
        <v>0</v>
      </c>
      <c r="BB604" s="286" t="n">
        <f aca="false">IFERROR(SUMIF($AO$4:$AZ$4, "SME", AO604:AZ604), "")</f>
        <v>0</v>
      </c>
      <c r="BC604" s="286" t="n">
        <f aca="false">IFERROR(SUMIF($Y$4:$AJ$4, "De Minimis", AO604:AZ604), "")</f>
        <v>0</v>
      </c>
      <c r="BD604" s="287"/>
      <c r="BE604" s="288" t="str">
        <f aca="false">IF((SUM(L604:W604)&gt;1),"ERROR","")</f>
        <v/>
      </c>
    </row>
    <row r="605" customFormat="false" ht="15" hidden="false" customHeight="true" outlineLevel="0" collapsed="false">
      <c r="B605" s="333"/>
      <c r="C605" s="334"/>
      <c r="D605" s="333" t="n">
        <f aca="false">D589</f>
        <v>45413</v>
      </c>
      <c r="E605" s="277" t="n">
        <v>0</v>
      </c>
      <c r="F605" s="277" t="n">
        <v>0</v>
      </c>
      <c r="G605" s="277" t="n">
        <f aca="false">SUM(E605:F605)</f>
        <v>0</v>
      </c>
      <c r="H605" s="204"/>
      <c r="I605" s="279" t="n">
        <v>1</v>
      </c>
      <c r="J605" s="280" t="n">
        <f aca="false">1-I605</f>
        <v>0</v>
      </c>
      <c r="K605" s="277"/>
      <c r="L605" s="282"/>
      <c r="M605" s="282"/>
      <c r="N605" s="282"/>
      <c r="O605" s="282"/>
      <c r="P605" s="282"/>
      <c r="Q605" s="282"/>
      <c r="R605" s="282"/>
      <c r="S605" s="282"/>
      <c r="T605" s="282"/>
      <c r="U605" s="282"/>
      <c r="V605" s="282"/>
      <c r="W605" s="282"/>
      <c r="X605" s="283"/>
      <c r="Y605" s="284" t="n">
        <f aca="false">IFERROR(L605*$G605*I$9, "")</f>
        <v>0</v>
      </c>
      <c r="Z605" s="284" t="n">
        <f aca="false">IFERROR(M605*$G605*$I605, "")</f>
        <v>0</v>
      </c>
      <c r="AA605" s="284" t="n">
        <f aca="false">IFERROR(N605*$G605*$I605, "")</f>
        <v>0</v>
      </c>
      <c r="AB605" s="284" t="n">
        <f aca="false">IFERROR(O605*$G605*$I605, "")</f>
        <v>0</v>
      </c>
      <c r="AC605" s="284" t="n">
        <f aca="false">IFERROR(P605*$G605*$I605, "")</f>
        <v>0</v>
      </c>
      <c r="AD605" s="284" t="n">
        <f aca="false">IFERROR(Q605*$G605*$I605, "")</f>
        <v>0</v>
      </c>
      <c r="AE605" s="284" t="n">
        <f aca="false">IFERROR(R605*$G605*$I605, "")</f>
        <v>0</v>
      </c>
      <c r="AF605" s="284" t="n">
        <f aca="false">IFERROR(S605*$G605*$I605, "")</f>
        <v>0</v>
      </c>
      <c r="AG605" s="284" t="n">
        <f aca="false">IFERROR(T605*$G605*$I605, "")</f>
        <v>0</v>
      </c>
      <c r="AH605" s="284" t="n">
        <f aca="false">IFERROR(U605*$G605*$I605, "")</f>
        <v>0</v>
      </c>
      <c r="AI605" s="284" t="n">
        <f aca="false">IFERROR(V605*$G605*$I605, "")</f>
        <v>0</v>
      </c>
      <c r="AJ605" s="284" t="n">
        <f aca="false">IFERROR(W605*$G605*$I605, "")</f>
        <v>0</v>
      </c>
      <c r="AK605" s="286" t="n">
        <f aca="false">IFERROR(SUMIF($Y$4:$AJ$4, "RDEC", Y605:AJ605), "")</f>
        <v>0</v>
      </c>
      <c r="AL605" s="286" t="n">
        <f aca="false">IFERROR(SUMIF($Y$4:$AJ$4, "SME", Y605:AJ605), "")</f>
        <v>0</v>
      </c>
      <c r="AM605" s="286" t="n">
        <f aca="false">IFERROR(SUMIF($Y$4:$AJ$4, "De Minimis", Y605:AJ605), "")</f>
        <v>0</v>
      </c>
      <c r="AN605" s="283"/>
      <c r="AO605" s="284" t="n">
        <f aca="false">IFERROR($G605*$J605*L605, "")</f>
        <v>0</v>
      </c>
      <c r="AP605" s="284" t="n">
        <f aca="false">IFERROR($G605*$J605*M605, "")</f>
        <v>0</v>
      </c>
      <c r="AQ605" s="284" t="n">
        <f aca="false">IFERROR($G605*$J605*N605, "")</f>
        <v>0</v>
      </c>
      <c r="AR605" s="284" t="n">
        <f aca="false">IFERROR($G605*$J605*O605, "")</f>
        <v>0</v>
      </c>
      <c r="AS605" s="284" t="n">
        <f aca="false">IFERROR($G605*$J605*P605, "")</f>
        <v>0</v>
      </c>
      <c r="AT605" s="284" t="n">
        <f aca="false">IFERROR($G605*$J605*Q605, "")</f>
        <v>0</v>
      </c>
      <c r="AU605" s="284" t="n">
        <f aca="false">IFERROR($G605*$J605*R605, "")</f>
        <v>0</v>
      </c>
      <c r="AV605" s="284" t="n">
        <f aca="false">IFERROR($G605*$J605*S605, "")</f>
        <v>0</v>
      </c>
      <c r="AW605" s="284" t="n">
        <f aca="false">IFERROR($G605*$J605*T605, "")</f>
        <v>0</v>
      </c>
      <c r="AX605" s="284" t="n">
        <f aca="false">IFERROR($G605*$J605*U605, "")</f>
        <v>0</v>
      </c>
      <c r="AY605" s="284" t="n">
        <f aca="false">IFERROR($G605*$J605*V605, "")</f>
        <v>0</v>
      </c>
      <c r="AZ605" s="284" t="n">
        <f aca="false">IFERROR($G605*$J605*W605, "")</f>
        <v>0</v>
      </c>
      <c r="BA605" s="286" t="n">
        <f aca="false">IFERROR(SUMIF($AO$4:$AZ$4, "RDEC", AO605:AZ605), "")</f>
        <v>0</v>
      </c>
      <c r="BB605" s="286" t="n">
        <f aca="false">IFERROR(SUMIF($AO$4:$AZ$4, "SME", AO605:AZ605), "")</f>
        <v>0</v>
      </c>
      <c r="BC605" s="286" t="n">
        <f aca="false">IFERROR(SUMIF($Y$4:$AJ$4, "De Minimis", AO605:AZ605), "")</f>
        <v>0</v>
      </c>
      <c r="BD605" s="287"/>
      <c r="BE605" s="288" t="str">
        <f aca="false">IF((SUM(L605:W605)&gt;1),"ERROR","")</f>
        <v/>
      </c>
    </row>
    <row r="606" customFormat="false" ht="15" hidden="false" customHeight="true" outlineLevel="0" collapsed="false">
      <c r="B606" s="333"/>
      <c r="C606" s="334"/>
      <c r="D606" s="333" t="n">
        <f aca="false">D590</f>
        <v>45444</v>
      </c>
      <c r="E606" s="277" t="n">
        <v>0</v>
      </c>
      <c r="F606" s="277" t="n">
        <v>0</v>
      </c>
      <c r="G606" s="277" t="n">
        <f aca="false">SUM(E606:F606)</f>
        <v>0</v>
      </c>
      <c r="H606" s="204"/>
      <c r="I606" s="279" t="n">
        <v>1</v>
      </c>
      <c r="J606" s="280" t="n">
        <f aca="false">1-I606</f>
        <v>0</v>
      </c>
      <c r="K606" s="277"/>
      <c r="L606" s="282"/>
      <c r="M606" s="282"/>
      <c r="N606" s="282"/>
      <c r="O606" s="282"/>
      <c r="P606" s="282"/>
      <c r="Q606" s="282"/>
      <c r="R606" s="282"/>
      <c r="S606" s="282"/>
      <c r="T606" s="282"/>
      <c r="U606" s="282"/>
      <c r="V606" s="282"/>
      <c r="W606" s="282"/>
      <c r="X606" s="283"/>
      <c r="Y606" s="284" t="n">
        <f aca="false">IFERROR(L606*$G606*I$9, "")</f>
        <v>0</v>
      </c>
      <c r="Z606" s="284" t="n">
        <f aca="false">IFERROR(M606*$G606*$I606, "")</f>
        <v>0</v>
      </c>
      <c r="AA606" s="284" t="n">
        <f aca="false">IFERROR(N606*$G606*$I606, "")</f>
        <v>0</v>
      </c>
      <c r="AB606" s="284" t="n">
        <f aca="false">IFERROR(O606*$G606*$I606, "")</f>
        <v>0</v>
      </c>
      <c r="AC606" s="284" t="n">
        <f aca="false">IFERROR(P606*$G606*$I606, "")</f>
        <v>0</v>
      </c>
      <c r="AD606" s="284" t="n">
        <f aca="false">IFERROR(Q606*$G606*$I606, "")</f>
        <v>0</v>
      </c>
      <c r="AE606" s="284" t="n">
        <f aca="false">IFERROR(R606*$G606*$I606, "")</f>
        <v>0</v>
      </c>
      <c r="AF606" s="284" t="n">
        <f aca="false">IFERROR(S606*$G606*$I606, "")</f>
        <v>0</v>
      </c>
      <c r="AG606" s="284" t="n">
        <f aca="false">IFERROR(T606*$G606*$I606, "")</f>
        <v>0</v>
      </c>
      <c r="AH606" s="284" t="n">
        <f aca="false">IFERROR(U606*$G606*$I606, "")</f>
        <v>0</v>
      </c>
      <c r="AI606" s="284" t="n">
        <f aca="false">IFERROR(V606*$G606*$I606, "")</f>
        <v>0</v>
      </c>
      <c r="AJ606" s="284" t="n">
        <f aca="false">IFERROR(W606*$G606*$I606, "")</f>
        <v>0</v>
      </c>
      <c r="AK606" s="286" t="n">
        <f aca="false">IFERROR(SUMIF($Y$4:$AJ$4, "RDEC", Y606:AJ606), "")</f>
        <v>0</v>
      </c>
      <c r="AL606" s="286" t="n">
        <f aca="false">IFERROR(SUMIF($Y$4:$AJ$4, "SME", Y606:AJ606), "")</f>
        <v>0</v>
      </c>
      <c r="AM606" s="286" t="n">
        <f aca="false">IFERROR(SUMIF($Y$4:$AJ$4, "De Minimis", Y606:AJ606), "")</f>
        <v>0</v>
      </c>
      <c r="AN606" s="283"/>
      <c r="AO606" s="284" t="n">
        <f aca="false">IFERROR($G606*$J606*L606, "")</f>
        <v>0</v>
      </c>
      <c r="AP606" s="284" t="n">
        <f aca="false">IFERROR($G606*$J606*M606, "")</f>
        <v>0</v>
      </c>
      <c r="AQ606" s="284" t="n">
        <f aca="false">IFERROR($G606*$J606*N606, "")</f>
        <v>0</v>
      </c>
      <c r="AR606" s="284" t="n">
        <f aca="false">IFERROR($G606*$J606*O606, "")</f>
        <v>0</v>
      </c>
      <c r="AS606" s="284" t="n">
        <f aca="false">IFERROR($G606*$J606*P606, "")</f>
        <v>0</v>
      </c>
      <c r="AT606" s="284" t="n">
        <f aca="false">IFERROR($G606*$J606*Q606, "")</f>
        <v>0</v>
      </c>
      <c r="AU606" s="284" t="n">
        <f aca="false">IFERROR($G606*$J606*R606, "")</f>
        <v>0</v>
      </c>
      <c r="AV606" s="284" t="n">
        <f aca="false">IFERROR($G606*$J606*S606, "")</f>
        <v>0</v>
      </c>
      <c r="AW606" s="284" t="n">
        <f aca="false">IFERROR($G606*$J606*T606, "")</f>
        <v>0</v>
      </c>
      <c r="AX606" s="284" t="n">
        <f aca="false">IFERROR($G606*$J606*U606, "")</f>
        <v>0</v>
      </c>
      <c r="AY606" s="284" t="n">
        <f aca="false">IFERROR($G606*$J606*V606, "")</f>
        <v>0</v>
      </c>
      <c r="AZ606" s="284" t="n">
        <f aca="false">IFERROR($G606*$J606*W606, "")</f>
        <v>0</v>
      </c>
      <c r="BA606" s="286" t="n">
        <f aca="false">IFERROR(SUMIF($AO$4:$AZ$4, "RDEC", AO606:AZ606), "")</f>
        <v>0</v>
      </c>
      <c r="BB606" s="286" t="n">
        <f aca="false">IFERROR(SUMIF($AO$4:$AZ$4, "SME", AO606:AZ606), "")</f>
        <v>0</v>
      </c>
      <c r="BC606" s="286" t="n">
        <f aca="false">IFERROR(SUMIF($Y$4:$AJ$4, "De Minimis", AO606:AZ606), "")</f>
        <v>0</v>
      </c>
      <c r="BD606" s="287"/>
      <c r="BE606" s="288" t="str">
        <f aca="false">IF((SUM(L606:W606)&gt;1),"ERROR","")</f>
        <v/>
      </c>
    </row>
    <row r="607" customFormat="false" ht="15" hidden="false" customHeight="true" outlineLevel="0" collapsed="false">
      <c r="B607" s="333"/>
      <c r="C607" s="334"/>
      <c r="D607" s="333" t="n">
        <f aca="false">D591</f>
        <v>45474</v>
      </c>
      <c r="E607" s="277" t="n">
        <v>0</v>
      </c>
      <c r="F607" s="277" t="n">
        <v>0</v>
      </c>
      <c r="G607" s="277" t="n">
        <f aca="false">SUM(E607:F607)</f>
        <v>0</v>
      </c>
      <c r="H607" s="204"/>
      <c r="I607" s="279" t="n">
        <v>1</v>
      </c>
      <c r="J607" s="280" t="n">
        <f aca="false">1-I607</f>
        <v>0</v>
      </c>
      <c r="K607" s="277"/>
      <c r="L607" s="282"/>
      <c r="M607" s="282"/>
      <c r="N607" s="282"/>
      <c r="O607" s="282"/>
      <c r="P607" s="282"/>
      <c r="Q607" s="282"/>
      <c r="R607" s="282"/>
      <c r="S607" s="282"/>
      <c r="T607" s="282"/>
      <c r="U607" s="282"/>
      <c r="V607" s="282"/>
      <c r="W607" s="282"/>
      <c r="X607" s="283"/>
      <c r="Y607" s="284" t="n">
        <f aca="false">IFERROR(L607*$G607*I$9, "")</f>
        <v>0</v>
      </c>
      <c r="Z607" s="284" t="n">
        <f aca="false">IFERROR(M607*$G607*$I607, "")</f>
        <v>0</v>
      </c>
      <c r="AA607" s="284" t="n">
        <f aca="false">IFERROR(N607*$G607*$I607, "")</f>
        <v>0</v>
      </c>
      <c r="AB607" s="284" t="n">
        <f aca="false">IFERROR(O607*$G607*$I607, "")</f>
        <v>0</v>
      </c>
      <c r="AC607" s="284" t="n">
        <f aca="false">IFERROR(P607*$G607*$I607, "")</f>
        <v>0</v>
      </c>
      <c r="AD607" s="284" t="n">
        <f aca="false">IFERROR(Q607*$G607*$I607, "")</f>
        <v>0</v>
      </c>
      <c r="AE607" s="284" t="n">
        <f aca="false">IFERROR(R607*$G607*$I607, "")</f>
        <v>0</v>
      </c>
      <c r="AF607" s="284" t="n">
        <f aca="false">IFERROR(S607*$G607*$I607, "")</f>
        <v>0</v>
      </c>
      <c r="AG607" s="284" t="n">
        <f aca="false">IFERROR(T607*$G607*$I607, "")</f>
        <v>0</v>
      </c>
      <c r="AH607" s="284" t="n">
        <f aca="false">IFERROR(U607*$G607*$I607, "")</f>
        <v>0</v>
      </c>
      <c r="AI607" s="284" t="n">
        <f aca="false">IFERROR(V607*$G607*$I607, "")</f>
        <v>0</v>
      </c>
      <c r="AJ607" s="284" t="n">
        <f aca="false">IFERROR(W607*$G607*$I607, "")</f>
        <v>0</v>
      </c>
      <c r="AK607" s="286" t="n">
        <f aca="false">IFERROR(SUMIF($Y$4:$AJ$4, "RDEC", Y607:AJ607), "")</f>
        <v>0</v>
      </c>
      <c r="AL607" s="286" t="n">
        <f aca="false">IFERROR(SUMIF($Y$4:$AJ$4, "SME", Y607:AJ607), "")</f>
        <v>0</v>
      </c>
      <c r="AM607" s="286" t="n">
        <f aca="false">IFERROR(SUMIF($Y$4:$AJ$4, "De Minimis", Y607:AJ607), "")</f>
        <v>0</v>
      </c>
      <c r="AN607" s="283"/>
      <c r="AO607" s="284" t="n">
        <f aca="false">IFERROR($G607*$J607*L607, "")</f>
        <v>0</v>
      </c>
      <c r="AP607" s="284" t="n">
        <f aca="false">IFERROR($G607*$J607*M607, "")</f>
        <v>0</v>
      </c>
      <c r="AQ607" s="284" t="n">
        <f aca="false">IFERROR($G607*$J607*N607, "")</f>
        <v>0</v>
      </c>
      <c r="AR607" s="284" t="n">
        <f aca="false">IFERROR($G607*$J607*O607, "")</f>
        <v>0</v>
      </c>
      <c r="AS607" s="284" t="n">
        <f aca="false">IFERROR($G607*$J607*P607, "")</f>
        <v>0</v>
      </c>
      <c r="AT607" s="284" t="n">
        <f aca="false">IFERROR($G607*$J607*Q607, "")</f>
        <v>0</v>
      </c>
      <c r="AU607" s="284" t="n">
        <f aca="false">IFERROR($G607*$J607*R607, "")</f>
        <v>0</v>
      </c>
      <c r="AV607" s="284" t="n">
        <f aca="false">IFERROR($G607*$J607*S607, "")</f>
        <v>0</v>
      </c>
      <c r="AW607" s="284" t="n">
        <f aca="false">IFERROR($G607*$J607*T607, "")</f>
        <v>0</v>
      </c>
      <c r="AX607" s="284" t="n">
        <f aca="false">IFERROR($G607*$J607*U607, "")</f>
        <v>0</v>
      </c>
      <c r="AY607" s="284" t="n">
        <f aca="false">IFERROR($G607*$J607*V607, "")</f>
        <v>0</v>
      </c>
      <c r="AZ607" s="284" t="n">
        <f aca="false">IFERROR($G607*$J607*W607, "")</f>
        <v>0</v>
      </c>
      <c r="BA607" s="286" t="n">
        <f aca="false">IFERROR(SUMIF($AO$4:$AZ$4, "RDEC", AO607:AZ607), "")</f>
        <v>0</v>
      </c>
      <c r="BB607" s="286" t="n">
        <f aca="false">IFERROR(SUMIF($AO$4:$AZ$4, "SME", AO607:AZ607), "")</f>
        <v>0</v>
      </c>
      <c r="BC607" s="286" t="n">
        <f aca="false">IFERROR(SUMIF($Y$4:$AJ$4, "De Minimis", AO607:AZ607), "")</f>
        <v>0</v>
      </c>
      <c r="BD607" s="287"/>
      <c r="BE607" s="288" t="str">
        <f aca="false">IF((SUM(L607:W607)&gt;1),"ERROR","")</f>
        <v/>
      </c>
    </row>
    <row r="608" customFormat="false" ht="15" hidden="false" customHeight="true" outlineLevel="0" collapsed="false">
      <c r="B608" s="333"/>
      <c r="C608" s="334"/>
      <c r="D608" s="333" t="n">
        <f aca="false">D592</f>
        <v>45505</v>
      </c>
      <c r="E608" s="277" t="n">
        <v>0</v>
      </c>
      <c r="F608" s="277" t="n">
        <v>0</v>
      </c>
      <c r="G608" s="277" t="n">
        <f aca="false">SUM(E608:F608)</f>
        <v>0</v>
      </c>
      <c r="H608" s="204"/>
      <c r="I608" s="279" t="n">
        <v>1</v>
      </c>
      <c r="J608" s="280" t="n">
        <f aca="false">1-I608</f>
        <v>0</v>
      </c>
      <c r="K608" s="277"/>
      <c r="L608" s="282"/>
      <c r="M608" s="282"/>
      <c r="N608" s="282"/>
      <c r="O608" s="282"/>
      <c r="P608" s="282"/>
      <c r="Q608" s="282"/>
      <c r="R608" s="282"/>
      <c r="S608" s="282"/>
      <c r="T608" s="282"/>
      <c r="U608" s="282"/>
      <c r="V608" s="282"/>
      <c r="W608" s="282"/>
      <c r="X608" s="283"/>
      <c r="Y608" s="284" t="n">
        <f aca="false">IFERROR(L608*$G608*I$9, "")</f>
        <v>0</v>
      </c>
      <c r="Z608" s="284" t="n">
        <f aca="false">IFERROR(M608*$G608*$I608, "")</f>
        <v>0</v>
      </c>
      <c r="AA608" s="284" t="n">
        <f aca="false">IFERROR(N608*$G608*$I608, "")</f>
        <v>0</v>
      </c>
      <c r="AB608" s="284" t="n">
        <f aca="false">IFERROR(O608*$G608*$I608, "")</f>
        <v>0</v>
      </c>
      <c r="AC608" s="284" t="n">
        <f aca="false">IFERROR(P608*$G608*$I608, "")</f>
        <v>0</v>
      </c>
      <c r="AD608" s="284" t="n">
        <f aca="false">IFERROR(Q608*$G608*$I608, "")</f>
        <v>0</v>
      </c>
      <c r="AE608" s="284" t="n">
        <f aca="false">IFERROR(R608*$G608*$I608, "")</f>
        <v>0</v>
      </c>
      <c r="AF608" s="284" t="n">
        <f aca="false">IFERROR(S608*$G608*$I608, "")</f>
        <v>0</v>
      </c>
      <c r="AG608" s="284" t="n">
        <f aca="false">IFERROR(T608*$G608*$I608, "")</f>
        <v>0</v>
      </c>
      <c r="AH608" s="284" t="n">
        <f aca="false">IFERROR(U608*$G608*$I608, "")</f>
        <v>0</v>
      </c>
      <c r="AI608" s="284" t="n">
        <f aca="false">IFERROR(V608*$G608*$I608, "")</f>
        <v>0</v>
      </c>
      <c r="AJ608" s="284" t="n">
        <f aca="false">IFERROR(W608*$G608*$I608, "")</f>
        <v>0</v>
      </c>
      <c r="AK608" s="286" t="n">
        <f aca="false">IFERROR(SUMIF($Y$4:$AJ$4, "RDEC", Y608:AJ608), "")</f>
        <v>0</v>
      </c>
      <c r="AL608" s="286" t="n">
        <f aca="false">IFERROR(SUMIF($Y$4:$AJ$4, "SME", Y608:AJ608), "")</f>
        <v>0</v>
      </c>
      <c r="AM608" s="286" t="n">
        <f aca="false">IFERROR(SUMIF($Y$4:$AJ$4, "De Minimis", Y608:AJ608), "")</f>
        <v>0</v>
      </c>
      <c r="AN608" s="283"/>
      <c r="AO608" s="284" t="n">
        <f aca="false">IFERROR($G608*$J608*L608, "")</f>
        <v>0</v>
      </c>
      <c r="AP608" s="284" t="n">
        <f aca="false">IFERROR($G608*$J608*M608, "")</f>
        <v>0</v>
      </c>
      <c r="AQ608" s="284" t="n">
        <f aca="false">IFERROR($G608*$J608*N608, "")</f>
        <v>0</v>
      </c>
      <c r="AR608" s="284" t="n">
        <f aca="false">IFERROR($G608*$J608*O608, "")</f>
        <v>0</v>
      </c>
      <c r="AS608" s="284" t="n">
        <f aca="false">IFERROR($G608*$J608*P608, "")</f>
        <v>0</v>
      </c>
      <c r="AT608" s="284" t="n">
        <f aca="false">IFERROR($G608*$J608*Q608, "")</f>
        <v>0</v>
      </c>
      <c r="AU608" s="284" t="n">
        <f aca="false">IFERROR($G608*$J608*R608, "")</f>
        <v>0</v>
      </c>
      <c r="AV608" s="284" t="n">
        <f aca="false">IFERROR($G608*$J608*S608, "")</f>
        <v>0</v>
      </c>
      <c r="AW608" s="284" t="n">
        <f aca="false">IFERROR($G608*$J608*T608, "")</f>
        <v>0</v>
      </c>
      <c r="AX608" s="284" t="n">
        <f aca="false">IFERROR($G608*$J608*U608, "")</f>
        <v>0</v>
      </c>
      <c r="AY608" s="284" t="n">
        <f aca="false">IFERROR($G608*$J608*V608, "")</f>
        <v>0</v>
      </c>
      <c r="AZ608" s="284" t="n">
        <f aca="false">IFERROR($G608*$J608*W608, "")</f>
        <v>0</v>
      </c>
      <c r="BA608" s="286" t="n">
        <f aca="false">IFERROR(SUMIF($AO$4:$AZ$4, "RDEC", AO608:AZ608), "")</f>
        <v>0</v>
      </c>
      <c r="BB608" s="286" t="n">
        <f aca="false">IFERROR(SUMIF($AO$4:$AZ$4, "SME", AO608:AZ608), "")</f>
        <v>0</v>
      </c>
      <c r="BC608" s="286" t="n">
        <f aca="false">IFERROR(SUMIF($Y$4:$AJ$4, "De Minimis", AO608:AZ608), "")</f>
        <v>0</v>
      </c>
      <c r="BD608" s="287"/>
      <c r="BE608" s="288" t="str">
        <f aca="false">IF((SUM(L608:W608)&gt;1),"ERROR","")</f>
        <v/>
      </c>
    </row>
    <row r="609" customFormat="false" ht="15" hidden="false" customHeight="true" outlineLevel="0" collapsed="false">
      <c r="B609" s="333"/>
      <c r="C609" s="334"/>
      <c r="D609" s="333" t="n">
        <f aca="false">D593</f>
        <v>45536</v>
      </c>
      <c r="E609" s="277" t="n">
        <v>0</v>
      </c>
      <c r="F609" s="277" t="n">
        <v>0</v>
      </c>
      <c r="G609" s="277" t="n">
        <f aca="false">SUM(E609:F609)</f>
        <v>0</v>
      </c>
      <c r="H609" s="204"/>
      <c r="I609" s="279" t="n">
        <v>1</v>
      </c>
      <c r="J609" s="280" t="n">
        <f aca="false">1-I609</f>
        <v>0</v>
      </c>
      <c r="K609" s="277"/>
      <c r="L609" s="282"/>
      <c r="M609" s="282"/>
      <c r="N609" s="282"/>
      <c r="O609" s="282"/>
      <c r="P609" s="282"/>
      <c r="Q609" s="282"/>
      <c r="R609" s="282"/>
      <c r="S609" s="282"/>
      <c r="T609" s="282"/>
      <c r="U609" s="282"/>
      <c r="V609" s="282"/>
      <c r="W609" s="282"/>
      <c r="X609" s="283"/>
      <c r="Y609" s="284" t="n">
        <f aca="false">IFERROR(L609*$G609*I$9, "")</f>
        <v>0</v>
      </c>
      <c r="Z609" s="284" t="n">
        <f aca="false">IFERROR(M609*$G609*$I609, "")</f>
        <v>0</v>
      </c>
      <c r="AA609" s="284" t="n">
        <f aca="false">IFERROR(N609*$G609*$I609, "")</f>
        <v>0</v>
      </c>
      <c r="AB609" s="284" t="n">
        <f aca="false">IFERROR(O609*$G609*$I609, "")</f>
        <v>0</v>
      </c>
      <c r="AC609" s="284" t="n">
        <f aca="false">IFERROR(P609*$G609*$I609, "")</f>
        <v>0</v>
      </c>
      <c r="AD609" s="284" t="n">
        <f aca="false">IFERROR(Q609*$G609*$I609, "")</f>
        <v>0</v>
      </c>
      <c r="AE609" s="284" t="n">
        <f aca="false">IFERROR(R609*$G609*$I609, "")</f>
        <v>0</v>
      </c>
      <c r="AF609" s="284" t="n">
        <f aca="false">IFERROR(S609*$G609*$I609, "")</f>
        <v>0</v>
      </c>
      <c r="AG609" s="284" t="n">
        <f aca="false">IFERROR(T609*$G609*$I609, "")</f>
        <v>0</v>
      </c>
      <c r="AH609" s="284" t="n">
        <f aca="false">IFERROR(U609*$G609*$I609, "")</f>
        <v>0</v>
      </c>
      <c r="AI609" s="284" t="n">
        <f aca="false">IFERROR(V609*$G609*$I609, "")</f>
        <v>0</v>
      </c>
      <c r="AJ609" s="284" t="n">
        <f aca="false">IFERROR(W609*$G609*$I609, "")</f>
        <v>0</v>
      </c>
      <c r="AK609" s="286" t="n">
        <f aca="false">IFERROR(SUMIF($Y$4:$AJ$4, "RDEC", Y609:AJ609), "")</f>
        <v>0</v>
      </c>
      <c r="AL609" s="286" t="n">
        <f aca="false">IFERROR(SUMIF($Y$4:$AJ$4, "SME", Y609:AJ609), "")</f>
        <v>0</v>
      </c>
      <c r="AM609" s="286" t="n">
        <f aca="false">IFERROR(SUMIF($Y$4:$AJ$4, "De Minimis", Y609:AJ609), "")</f>
        <v>0</v>
      </c>
      <c r="AN609" s="283"/>
      <c r="AO609" s="284" t="n">
        <f aca="false">IFERROR($G609*$J609*L609, "")</f>
        <v>0</v>
      </c>
      <c r="AP609" s="284" t="n">
        <f aca="false">IFERROR($G609*$J609*M609, "")</f>
        <v>0</v>
      </c>
      <c r="AQ609" s="284" t="n">
        <f aca="false">IFERROR($G609*$J609*N609, "")</f>
        <v>0</v>
      </c>
      <c r="AR609" s="284" t="n">
        <f aca="false">IFERROR($G609*$J609*O609, "")</f>
        <v>0</v>
      </c>
      <c r="AS609" s="284" t="n">
        <f aca="false">IFERROR($G609*$J609*P609, "")</f>
        <v>0</v>
      </c>
      <c r="AT609" s="284" t="n">
        <f aca="false">IFERROR($G609*$J609*Q609, "")</f>
        <v>0</v>
      </c>
      <c r="AU609" s="284" t="n">
        <f aca="false">IFERROR($G609*$J609*R609, "")</f>
        <v>0</v>
      </c>
      <c r="AV609" s="284" t="n">
        <f aca="false">IFERROR($G609*$J609*S609, "")</f>
        <v>0</v>
      </c>
      <c r="AW609" s="284" t="n">
        <f aca="false">IFERROR($G609*$J609*T609, "")</f>
        <v>0</v>
      </c>
      <c r="AX609" s="284" t="n">
        <f aca="false">IFERROR($G609*$J609*U609, "")</f>
        <v>0</v>
      </c>
      <c r="AY609" s="284" t="n">
        <f aca="false">IFERROR($G609*$J609*V609, "")</f>
        <v>0</v>
      </c>
      <c r="AZ609" s="284" t="n">
        <f aca="false">IFERROR($G609*$J609*W609, "")</f>
        <v>0</v>
      </c>
      <c r="BA609" s="286" t="n">
        <f aca="false">IFERROR(SUMIF($AO$4:$AZ$4, "RDEC", AO609:AZ609), "")</f>
        <v>0</v>
      </c>
      <c r="BB609" s="286" t="n">
        <f aca="false">IFERROR(SUMIF($AO$4:$AZ$4, "SME", AO609:AZ609), "")</f>
        <v>0</v>
      </c>
      <c r="BC609" s="286" t="n">
        <f aca="false">IFERROR(SUMIF($Y$4:$AJ$4, "De Minimis", AO609:AZ609), "")</f>
        <v>0</v>
      </c>
      <c r="BD609" s="287"/>
      <c r="BE609" s="288" t="str">
        <f aca="false">IF((SUM(L609:W609)&gt;1),"ERROR","")</f>
        <v/>
      </c>
    </row>
    <row r="610" customFormat="false" ht="15" hidden="false" customHeight="true" outlineLevel="0" collapsed="false">
      <c r="B610" s="333"/>
      <c r="C610" s="334"/>
      <c r="D610" s="333" t="n">
        <f aca="false">D594</f>
        <v>45566</v>
      </c>
      <c r="E610" s="277" t="n">
        <v>0</v>
      </c>
      <c r="F610" s="277" t="n">
        <v>0</v>
      </c>
      <c r="G610" s="277" t="n">
        <f aca="false">SUM(E610:F610)</f>
        <v>0</v>
      </c>
      <c r="H610" s="204"/>
      <c r="I610" s="279" t="n">
        <v>1</v>
      </c>
      <c r="J610" s="280" t="n">
        <f aca="false">1-I610</f>
        <v>0</v>
      </c>
      <c r="K610" s="277"/>
      <c r="L610" s="282"/>
      <c r="M610" s="282"/>
      <c r="N610" s="282"/>
      <c r="O610" s="282"/>
      <c r="P610" s="282"/>
      <c r="Q610" s="282"/>
      <c r="R610" s="282"/>
      <c r="S610" s="282"/>
      <c r="T610" s="282"/>
      <c r="U610" s="282"/>
      <c r="V610" s="282"/>
      <c r="W610" s="282"/>
      <c r="X610" s="283"/>
      <c r="Y610" s="284" t="n">
        <f aca="false">IFERROR(L610*$G610*I$9, "")</f>
        <v>0</v>
      </c>
      <c r="Z610" s="284" t="n">
        <f aca="false">IFERROR(M610*$G610*$I610, "")</f>
        <v>0</v>
      </c>
      <c r="AA610" s="284" t="n">
        <f aca="false">IFERROR(N610*$G610*$I610, "")</f>
        <v>0</v>
      </c>
      <c r="AB610" s="284" t="n">
        <f aca="false">IFERROR(O610*$G610*$I610, "")</f>
        <v>0</v>
      </c>
      <c r="AC610" s="284" t="n">
        <f aca="false">IFERROR(P610*$G610*$I610, "")</f>
        <v>0</v>
      </c>
      <c r="AD610" s="284" t="n">
        <f aca="false">IFERROR(Q610*$G610*$I610, "")</f>
        <v>0</v>
      </c>
      <c r="AE610" s="284" t="n">
        <f aca="false">IFERROR(R610*$G610*$I610, "")</f>
        <v>0</v>
      </c>
      <c r="AF610" s="284" t="n">
        <f aca="false">IFERROR(S610*$G610*$I610, "")</f>
        <v>0</v>
      </c>
      <c r="AG610" s="284" t="n">
        <f aca="false">IFERROR(T610*$G610*$I610, "")</f>
        <v>0</v>
      </c>
      <c r="AH610" s="284" t="n">
        <f aca="false">IFERROR(U610*$G610*$I610, "")</f>
        <v>0</v>
      </c>
      <c r="AI610" s="284" t="n">
        <f aca="false">IFERROR(V610*$G610*$I610, "")</f>
        <v>0</v>
      </c>
      <c r="AJ610" s="284" t="n">
        <f aca="false">IFERROR(W610*$G610*$I610, "")</f>
        <v>0</v>
      </c>
      <c r="AK610" s="286" t="n">
        <f aca="false">IFERROR(SUMIF($Y$4:$AJ$4, "RDEC", Y610:AJ610), "")</f>
        <v>0</v>
      </c>
      <c r="AL610" s="286" t="n">
        <f aca="false">IFERROR(SUMIF($Y$4:$AJ$4, "SME", Y610:AJ610), "")</f>
        <v>0</v>
      </c>
      <c r="AM610" s="286" t="n">
        <f aca="false">IFERROR(SUMIF($Y$4:$AJ$4, "De Minimis", Y610:AJ610), "")</f>
        <v>0</v>
      </c>
      <c r="AN610" s="283"/>
      <c r="AO610" s="284" t="n">
        <f aca="false">IFERROR($G610*$J610*L610, "")</f>
        <v>0</v>
      </c>
      <c r="AP610" s="284" t="n">
        <f aca="false">IFERROR($G610*$J610*M610, "")</f>
        <v>0</v>
      </c>
      <c r="AQ610" s="284" t="n">
        <f aca="false">IFERROR($G610*$J610*N610, "")</f>
        <v>0</v>
      </c>
      <c r="AR610" s="284" t="n">
        <f aca="false">IFERROR($G610*$J610*O610, "")</f>
        <v>0</v>
      </c>
      <c r="AS610" s="284" t="n">
        <f aca="false">IFERROR($G610*$J610*P610, "")</f>
        <v>0</v>
      </c>
      <c r="AT610" s="284" t="n">
        <f aca="false">IFERROR($G610*$J610*Q610, "")</f>
        <v>0</v>
      </c>
      <c r="AU610" s="284" t="n">
        <f aca="false">IFERROR($G610*$J610*R610, "")</f>
        <v>0</v>
      </c>
      <c r="AV610" s="284" t="n">
        <f aca="false">IFERROR($G610*$J610*S610, "")</f>
        <v>0</v>
      </c>
      <c r="AW610" s="284" t="n">
        <f aca="false">IFERROR($G610*$J610*T610, "")</f>
        <v>0</v>
      </c>
      <c r="AX610" s="284" t="n">
        <f aca="false">IFERROR($G610*$J610*U610, "")</f>
        <v>0</v>
      </c>
      <c r="AY610" s="284" t="n">
        <f aca="false">IFERROR($G610*$J610*V610, "")</f>
        <v>0</v>
      </c>
      <c r="AZ610" s="284" t="n">
        <f aca="false">IFERROR($G610*$J610*W610, "")</f>
        <v>0</v>
      </c>
      <c r="BA610" s="286" t="n">
        <f aca="false">IFERROR(SUMIF($AO$4:$AZ$4, "RDEC", AO610:AZ610), "")</f>
        <v>0</v>
      </c>
      <c r="BB610" s="286" t="n">
        <f aca="false">IFERROR(SUMIF($AO$4:$AZ$4, "SME", AO610:AZ610), "")</f>
        <v>0</v>
      </c>
      <c r="BC610" s="286" t="n">
        <f aca="false">IFERROR(SUMIF($Y$4:$AJ$4, "De Minimis", AO610:AZ610), "")</f>
        <v>0</v>
      </c>
      <c r="BD610" s="287"/>
      <c r="BE610" s="288" t="str">
        <f aca="false">IF((SUM(L610:W610)&gt;1),"ERROR","")</f>
        <v/>
      </c>
    </row>
    <row r="611" customFormat="false" ht="15" hidden="false" customHeight="true" outlineLevel="0" collapsed="false">
      <c r="B611" s="333"/>
      <c r="C611" s="334"/>
      <c r="D611" s="333" t="n">
        <f aca="false">D595</f>
        <v>45597</v>
      </c>
      <c r="E611" s="277" t="n">
        <v>0</v>
      </c>
      <c r="F611" s="277" t="n">
        <v>0</v>
      </c>
      <c r="G611" s="277" t="n">
        <f aca="false">SUM(E611:F611)</f>
        <v>0</v>
      </c>
      <c r="H611" s="204"/>
      <c r="I611" s="279" t="n">
        <v>1</v>
      </c>
      <c r="J611" s="280" t="n">
        <f aca="false">1-I611</f>
        <v>0</v>
      </c>
      <c r="K611" s="277"/>
      <c r="L611" s="282"/>
      <c r="M611" s="282"/>
      <c r="N611" s="282"/>
      <c r="O611" s="282"/>
      <c r="P611" s="282"/>
      <c r="Q611" s="282"/>
      <c r="R611" s="282"/>
      <c r="S611" s="282"/>
      <c r="T611" s="282"/>
      <c r="U611" s="282"/>
      <c r="V611" s="282"/>
      <c r="W611" s="282"/>
      <c r="X611" s="283"/>
      <c r="Y611" s="284" t="n">
        <f aca="false">IFERROR(L611*$G611*I$9, "")</f>
        <v>0</v>
      </c>
      <c r="Z611" s="284" t="n">
        <f aca="false">IFERROR(M611*$G611*$I611, "")</f>
        <v>0</v>
      </c>
      <c r="AA611" s="284" t="n">
        <f aca="false">IFERROR(N611*$G611*$I611, "")</f>
        <v>0</v>
      </c>
      <c r="AB611" s="284" t="n">
        <f aca="false">IFERROR(O611*$G611*$I611, "")</f>
        <v>0</v>
      </c>
      <c r="AC611" s="284" t="n">
        <f aca="false">IFERROR(P611*$G611*$I611, "")</f>
        <v>0</v>
      </c>
      <c r="AD611" s="284" t="n">
        <f aca="false">IFERROR(Q611*$G611*$I611, "")</f>
        <v>0</v>
      </c>
      <c r="AE611" s="284" t="n">
        <f aca="false">IFERROR(R611*$G611*$I611, "")</f>
        <v>0</v>
      </c>
      <c r="AF611" s="284" t="n">
        <f aca="false">IFERROR(S611*$G611*$I611, "")</f>
        <v>0</v>
      </c>
      <c r="AG611" s="284" t="n">
        <f aca="false">IFERROR(T611*$G611*$I611, "")</f>
        <v>0</v>
      </c>
      <c r="AH611" s="284" t="n">
        <f aca="false">IFERROR(U611*$G611*$I611, "")</f>
        <v>0</v>
      </c>
      <c r="AI611" s="284" t="n">
        <f aca="false">IFERROR(V611*$G611*$I611, "")</f>
        <v>0</v>
      </c>
      <c r="AJ611" s="284" t="n">
        <f aca="false">IFERROR(W611*$G611*$I611, "")</f>
        <v>0</v>
      </c>
      <c r="AK611" s="286" t="n">
        <f aca="false">IFERROR(SUMIF($Y$4:$AJ$4, "RDEC", Y611:AJ611), "")</f>
        <v>0</v>
      </c>
      <c r="AL611" s="286" t="n">
        <f aca="false">IFERROR(SUMIF($Y$4:$AJ$4, "SME", Y611:AJ611), "")</f>
        <v>0</v>
      </c>
      <c r="AM611" s="286" t="n">
        <f aca="false">IFERROR(SUMIF($Y$4:$AJ$4, "De Minimis", Y611:AJ611), "")</f>
        <v>0</v>
      </c>
      <c r="AN611" s="283"/>
      <c r="AO611" s="284" t="n">
        <f aca="false">IFERROR($G611*$J611*L611, "")</f>
        <v>0</v>
      </c>
      <c r="AP611" s="284" t="n">
        <f aca="false">IFERROR($G611*$J611*M611, "")</f>
        <v>0</v>
      </c>
      <c r="AQ611" s="284" t="n">
        <f aca="false">IFERROR($G611*$J611*N611, "")</f>
        <v>0</v>
      </c>
      <c r="AR611" s="284" t="n">
        <f aca="false">IFERROR($G611*$J611*O611, "")</f>
        <v>0</v>
      </c>
      <c r="AS611" s="284" t="n">
        <f aca="false">IFERROR($G611*$J611*P611, "")</f>
        <v>0</v>
      </c>
      <c r="AT611" s="284" t="n">
        <f aca="false">IFERROR($G611*$J611*Q611, "")</f>
        <v>0</v>
      </c>
      <c r="AU611" s="284" t="n">
        <f aca="false">IFERROR($G611*$J611*R611, "")</f>
        <v>0</v>
      </c>
      <c r="AV611" s="284" t="n">
        <f aca="false">IFERROR($G611*$J611*S611, "")</f>
        <v>0</v>
      </c>
      <c r="AW611" s="284" t="n">
        <f aca="false">IFERROR($G611*$J611*T611, "")</f>
        <v>0</v>
      </c>
      <c r="AX611" s="284" t="n">
        <f aca="false">IFERROR($G611*$J611*U611, "")</f>
        <v>0</v>
      </c>
      <c r="AY611" s="284" t="n">
        <f aca="false">IFERROR($G611*$J611*V611, "")</f>
        <v>0</v>
      </c>
      <c r="AZ611" s="284" t="n">
        <f aca="false">IFERROR($G611*$J611*W611, "")</f>
        <v>0</v>
      </c>
      <c r="BA611" s="286" t="n">
        <f aca="false">IFERROR(SUMIF($AO$4:$AZ$4, "RDEC", AO611:AZ611), "")</f>
        <v>0</v>
      </c>
      <c r="BB611" s="286" t="n">
        <f aca="false">IFERROR(SUMIF($AO$4:$AZ$4, "SME", AO611:AZ611), "")</f>
        <v>0</v>
      </c>
      <c r="BC611" s="286" t="n">
        <f aca="false">IFERROR(SUMIF($Y$4:$AJ$4, "De Minimis", AO611:AZ611), "")</f>
        <v>0</v>
      </c>
      <c r="BD611" s="287"/>
      <c r="BE611" s="288" t="str">
        <f aca="false">IF((SUM(L611:W611)&gt;1),"ERROR","")</f>
        <v/>
      </c>
    </row>
    <row r="612" customFormat="false" ht="15" hidden="false" customHeight="true" outlineLevel="0" collapsed="false">
      <c r="B612" s="333"/>
      <c r="C612" s="334"/>
      <c r="D612" s="333" t="n">
        <f aca="false">D596</f>
        <v>45627</v>
      </c>
      <c r="E612" s="277" t="n">
        <v>0</v>
      </c>
      <c r="F612" s="277" t="n">
        <v>0</v>
      </c>
      <c r="G612" s="277" t="n">
        <f aca="false">SUM(E612:F612)</f>
        <v>0</v>
      </c>
      <c r="H612" s="300"/>
      <c r="I612" s="289" t="n">
        <v>1</v>
      </c>
      <c r="J612" s="290" t="n">
        <f aca="false">1-I612</f>
        <v>0</v>
      </c>
      <c r="K612" s="300"/>
      <c r="L612" s="291"/>
      <c r="M612" s="291"/>
      <c r="N612" s="291"/>
      <c r="O612" s="291"/>
      <c r="P612" s="291"/>
      <c r="Q612" s="291"/>
      <c r="R612" s="291"/>
      <c r="S612" s="291"/>
      <c r="T612" s="291"/>
      <c r="U612" s="291"/>
      <c r="V612" s="291"/>
      <c r="W612" s="291"/>
      <c r="X612" s="283"/>
      <c r="Y612" s="284" t="n">
        <f aca="false">IFERROR(L612*$G612*I$9, "")</f>
        <v>0</v>
      </c>
      <c r="Z612" s="284" t="n">
        <f aca="false">IFERROR(M612*$G612*$I612, "")</f>
        <v>0</v>
      </c>
      <c r="AA612" s="284" t="n">
        <f aca="false">IFERROR(N612*$G612*$I612, "")</f>
        <v>0</v>
      </c>
      <c r="AB612" s="284" t="n">
        <f aca="false">IFERROR(O612*$G612*$I612, "")</f>
        <v>0</v>
      </c>
      <c r="AC612" s="284" t="n">
        <f aca="false">IFERROR(P612*$G612*$I612, "")</f>
        <v>0</v>
      </c>
      <c r="AD612" s="284" t="n">
        <f aca="false">IFERROR(Q612*$G612*$I612, "")</f>
        <v>0</v>
      </c>
      <c r="AE612" s="284" t="n">
        <f aca="false">IFERROR(R612*$G612*$I612, "")</f>
        <v>0</v>
      </c>
      <c r="AF612" s="284" t="n">
        <f aca="false">IFERROR(S612*$G612*$I612, "")</f>
        <v>0</v>
      </c>
      <c r="AG612" s="284" t="n">
        <f aca="false">IFERROR(T612*$G612*$I612, "")</f>
        <v>0</v>
      </c>
      <c r="AH612" s="284" t="n">
        <f aca="false">IFERROR(U612*$G612*$I612, "")</f>
        <v>0</v>
      </c>
      <c r="AI612" s="284" t="n">
        <f aca="false">IFERROR(V612*$G612*$I612, "")</f>
        <v>0</v>
      </c>
      <c r="AJ612" s="284" t="n">
        <f aca="false">IFERROR(W612*$G612*$I612, "")</f>
        <v>0</v>
      </c>
      <c r="AK612" s="294" t="n">
        <f aca="false">IFERROR(SUMIF($Y$4:$AJ$4, "RDEC", Y612:AJ612), "")</f>
        <v>0</v>
      </c>
      <c r="AL612" s="294" t="n">
        <f aca="false">IFERROR(SUMIF($Y$4:$AJ$4, "SME", Y612:AJ612), "")</f>
        <v>0</v>
      </c>
      <c r="AM612" s="294" t="n">
        <f aca="false">IFERROR(SUMIF($Y$4:$AJ$4, "De Minimis", Y612:AJ612), "")</f>
        <v>0</v>
      </c>
      <c r="AN612" s="283"/>
      <c r="AO612" s="284" t="n">
        <f aca="false">IFERROR($G612*$J612*L612, "")</f>
        <v>0</v>
      </c>
      <c r="AP612" s="284" t="n">
        <f aca="false">IFERROR($G612*$J612*M612, "")</f>
        <v>0</v>
      </c>
      <c r="AQ612" s="284" t="n">
        <f aca="false">IFERROR($G612*$J612*N612, "")</f>
        <v>0</v>
      </c>
      <c r="AR612" s="284" t="n">
        <f aca="false">IFERROR($G612*$J612*O612, "")</f>
        <v>0</v>
      </c>
      <c r="AS612" s="284" t="n">
        <f aca="false">IFERROR($G612*$J612*P612, "")</f>
        <v>0</v>
      </c>
      <c r="AT612" s="284" t="n">
        <f aca="false">IFERROR($G612*$J612*Q612, "")</f>
        <v>0</v>
      </c>
      <c r="AU612" s="284" t="n">
        <f aca="false">IFERROR($G612*$J612*R612, "")</f>
        <v>0</v>
      </c>
      <c r="AV612" s="284" t="n">
        <f aca="false">IFERROR($G612*$J612*S612, "")</f>
        <v>0</v>
      </c>
      <c r="AW612" s="284" t="n">
        <f aca="false">IFERROR($G612*$J612*T612, "")</f>
        <v>0</v>
      </c>
      <c r="AX612" s="284" t="n">
        <f aca="false">IFERROR($G612*$J612*U612, "")</f>
        <v>0</v>
      </c>
      <c r="AY612" s="284" t="n">
        <f aca="false">IFERROR($G612*$J612*V612, "")</f>
        <v>0</v>
      </c>
      <c r="AZ612" s="284" t="n">
        <f aca="false">IFERROR($G612*$J612*W612, "")</f>
        <v>0</v>
      </c>
      <c r="BA612" s="286" t="n">
        <f aca="false">IFERROR(SUMIF($AO$4:$AZ$4, "RDEC", AO612:AZ612), "")</f>
        <v>0</v>
      </c>
      <c r="BB612" s="286" t="n">
        <f aca="false">IFERROR(SUMIF($AO$4:$AZ$4, "SME", AO612:AZ612), "")</f>
        <v>0</v>
      </c>
      <c r="BC612" s="294" t="n">
        <f aca="false">IFERROR(SUMIF($Y$4:$AJ$4, "De Minimis", AO612:AZ612), "")</f>
        <v>0</v>
      </c>
      <c r="BD612" s="303"/>
      <c r="BE612" s="295" t="str">
        <f aca="false">IF((SUM(L612:W612)&gt;1),"ERROR","")</f>
        <v/>
      </c>
    </row>
    <row r="613" customFormat="false" ht="15" hidden="false" customHeight="true" outlineLevel="0" collapsed="false">
      <c r="B613" s="296"/>
      <c r="D613" s="297" t="s">
        <v>82</v>
      </c>
      <c r="E613" s="299" t="n">
        <f aca="false">SUM(E601:E612)</f>
        <v>0</v>
      </c>
      <c r="F613" s="299" t="n">
        <f aca="false">SUM(F601:F612)</f>
        <v>0</v>
      </c>
      <c r="G613" s="299" t="n">
        <f aca="false">SUM(G601:G612)</f>
        <v>0</v>
      </c>
      <c r="H613" s="300"/>
      <c r="I613" s="301" t="n">
        <f aca="false">AVERAGE(I601:I612)</f>
        <v>1</v>
      </c>
      <c r="J613" s="301" t="n">
        <f aca="false">AVERAGE(J601:J612)</f>
        <v>0</v>
      </c>
      <c r="K613" s="300"/>
      <c r="L613" s="290" t="n">
        <f aca="false">IF(SUM(L601:L612)&gt;0,(Y613/G613),0)</f>
        <v>0</v>
      </c>
      <c r="M613" s="301" t="n">
        <f aca="false">IF(SUM(M601:M612)&gt;0,(Z613/G613),0)</f>
        <v>0</v>
      </c>
      <c r="N613" s="301" t="n">
        <f aca="false">IF(SUM(N601:N612)&gt;0,(AA613/G613),0)</f>
        <v>0</v>
      </c>
      <c r="O613" s="301" t="n">
        <f aca="false">IF(SUM(O601:O612)&gt;0,(AB613/G613),0)</f>
        <v>0</v>
      </c>
      <c r="P613" s="301" t="n">
        <f aca="false">IF(SUM(P601:P612)&gt;0,(AC613/G613),0)</f>
        <v>0</v>
      </c>
      <c r="Q613" s="301" t="n">
        <f aca="false">IF(SUM(Q601:Q612)&gt;0,(AD613/G613),0)</f>
        <v>0</v>
      </c>
      <c r="R613" s="301" t="n">
        <f aca="false">IF(SUM(R601:R612)&gt;0,(AE613/G613),0)</f>
        <v>0</v>
      </c>
      <c r="S613" s="301" t="n">
        <f aca="false">IF(SUM(S601:S612)&gt;0,(AF613/G613),0)</f>
        <v>0</v>
      </c>
      <c r="T613" s="301" t="n">
        <f aca="false">IF(SUM(T601:T612)&gt;0,(AG613/G613),0)</f>
        <v>0</v>
      </c>
      <c r="U613" s="301" t="n">
        <f aca="false">IF(SUM(U601:U612)&gt;0,(AJ613/G613),0)</f>
        <v>0</v>
      </c>
      <c r="V613" s="301" t="n">
        <f aca="false">IF(SUM(V601:V612)&gt;0,(AI613/G613),0)</f>
        <v>0</v>
      </c>
      <c r="W613" s="301" t="n">
        <f aca="false">IF(SUM(W601:W612)&gt;0,(AJ613/G613),0)</f>
        <v>0</v>
      </c>
      <c r="X613" s="283"/>
      <c r="Y613" s="304" t="n">
        <f aca="false">SUM(Y601:Y612)</f>
        <v>0</v>
      </c>
      <c r="Z613" s="304" t="n">
        <f aca="false">SUM(Z601:Z612)</f>
        <v>0</v>
      </c>
      <c r="AA613" s="304" t="n">
        <f aca="false">SUM(AA601:AA612)</f>
        <v>0</v>
      </c>
      <c r="AB613" s="304" t="n">
        <f aca="false">SUM(AB601:AB612)</f>
        <v>0</v>
      </c>
      <c r="AC613" s="304" t="n">
        <f aca="false">SUM(AC601:AC612)</f>
        <v>0</v>
      </c>
      <c r="AD613" s="304" t="n">
        <f aca="false">SUM(AD601:AD612)</f>
        <v>0</v>
      </c>
      <c r="AE613" s="304" t="n">
        <f aca="false">SUM(AE601:AE612)</f>
        <v>0</v>
      </c>
      <c r="AF613" s="304" t="n">
        <f aca="false">SUM(AF601:AF612)</f>
        <v>0</v>
      </c>
      <c r="AG613" s="304" t="n">
        <f aca="false">SUM(AG601:AG612)</f>
        <v>0</v>
      </c>
      <c r="AH613" s="304" t="n">
        <f aca="false">SUM(AH601:AH612)</f>
        <v>0</v>
      </c>
      <c r="AI613" s="304" t="n">
        <f aca="false">SUM(AI601:AI612)</f>
        <v>0</v>
      </c>
      <c r="AJ613" s="304" t="n">
        <f aca="false">SUM(AJ601:AJ612)</f>
        <v>0</v>
      </c>
      <c r="AK613" s="335" t="n">
        <f aca="false">SUM(AK601:AK612)</f>
        <v>0</v>
      </c>
      <c r="AL613" s="336" t="n">
        <f aca="false">SUM(AL601:AL612)</f>
        <v>0</v>
      </c>
      <c r="AM613" s="305" t="n">
        <f aca="false">SUM(AM601:AM612)</f>
        <v>0</v>
      </c>
      <c r="AN613" s="283"/>
      <c r="AO613" s="304" t="n">
        <f aca="false">SUM(AO601:AO612)</f>
        <v>0</v>
      </c>
      <c r="AP613" s="304" t="n">
        <f aca="false">SUM(AP601:AP612)</f>
        <v>0</v>
      </c>
      <c r="AQ613" s="304" t="n">
        <f aca="false">SUM(AQ601:AQ612)</f>
        <v>0</v>
      </c>
      <c r="AR613" s="304" t="n">
        <f aca="false">SUM(AR601:AR612)</f>
        <v>0</v>
      </c>
      <c r="AS613" s="304" t="n">
        <f aca="false">SUM(AS601:AS612)</f>
        <v>0</v>
      </c>
      <c r="AT613" s="304" t="n">
        <f aca="false">SUM(AT601:AT612)</f>
        <v>0</v>
      </c>
      <c r="AU613" s="304" t="n">
        <f aca="false">SUM(AU601:AU612)</f>
        <v>0</v>
      </c>
      <c r="AV613" s="304" t="n">
        <f aca="false">SUM(AV601:AV612)</f>
        <v>0</v>
      </c>
      <c r="AW613" s="304" t="n">
        <f aca="false">SUM(AW601:AW612)</f>
        <v>0</v>
      </c>
      <c r="AX613" s="304" t="n">
        <f aca="false">SUM(AX601:AX612)</f>
        <v>0</v>
      </c>
      <c r="AY613" s="304" t="n">
        <f aca="false">SUM(AY601:AY612)</f>
        <v>0</v>
      </c>
      <c r="AZ613" s="304" t="n">
        <f aca="false">SUM(AZ601:AZ612)</f>
        <v>0</v>
      </c>
      <c r="BA613" s="336" t="n">
        <f aca="false">SUM(BA601:BA612)</f>
        <v>0</v>
      </c>
      <c r="BB613" s="336" t="n">
        <f aca="false">SUM(BB601:BB612)</f>
        <v>0</v>
      </c>
      <c r="BC613" s="305" t="n">
        <f aca="false">SUM(BC601:BC612)</f>
        <v>0</v>
      </c>
      <c r="BD613" s="303"/>
      <c r="BE613" s="337"/>
    </row>
    <row r="614" customFormat="false" ht="15" hidden="false" customHeight="true" outlineLevel="0" collapsed="false">
      <c r="B614" s="296"/>
      <c r="D614" s="297"/>
      <c r="E614" s="300"/>
      <c r="F614" s="300"/>
      <c r="G614" s="300"/>
      <c r="H614" s="241"/>
      <c r="I614" s="302"/>
      <c r="J614" s="302"/>
      <c r="K614" s="241"/>
      <c r="L614" s="259"/>
      <c r="M614" s="259"/>
      <c r="N614" s="259"/>
      <c r="O614" s="259"/>
      <c r="P614" s="259"/>
      <c r="Q614" s="259"/>
      <c r="R614" s="259"/>
      <c r="S614" s="259"/>
      <c r="T614" s="259"/>
      <c r="U614" s="259"/>
      <c r="V614" s="259"/>
      <c r="W614" s="259"/>
      <c r="X614" s="303"/>
      <c r="Y614" s="259"/>
      <c r="Z614" s="303"/>
      <c r="AA614" s="303"/>
      <c r="AB614" s="303"/>
      <c r="AC614" s="303"/>
      <c r="AD614" s="303"/>
      <c r="AE614" s="303"/>
      <c r="AF614" s="303"/>
      <c r="AG614" s="303"/>
      <c r="AH614" s="303"/>
      <c r="AI614" s="303"/>
      <c r="AJ614" s="303"/>
      <c r="AK614" s="303"/>
      <c r="AL614" s="303"/>
      <c r="AM614" s="303"/>
      <c r="AN614" s="303"/>
      <c r="AO614" s="259"/>
      <c r="AP614" s="303"/>
      <c r="AQ614" s="303"/>
      <c r="AR614" s="303"/>
      <c r="AS614" s="303"/>
      <c r="AT614" s="303"/>
      <c r="AU614" s="303"/>
      <c r="AV614" s="303"/>
      <c r="AW614" s="303"/>
      <c r="AX614" s="303"/>
      <c r="AY614" s="303"/>
      <c r="AZ614" s="303"/>
      <c r="BA614" s="303"/>
      <c r="BB614" s="303"/>
      <c r="BC614" s="303"/>
      <c r="BD614" s="268"/>
      <c r="BE614" s="303"/>
    </row>
    <row r="615" customFormat="false" ht="15" hidden="false" customHeight="true" outlineLevel="0" collapsed="false">
      <c r="A615" s="198" t="n">
        <f aca="false">A599+1</f>
        <v>39</v>
      </c>
      <c r="B615" s="266" t="s">
        <v>253</v>
      </c>
      <c r="C615" s="266" t="s">
        <v>253</v>
      </c>
      <c r="D615" s="266"/>
      <c r="E615" s="241"/>
      <c r="F615" s="241"/>
      <c r="G615" s="241"/>
      <c r="H615" s="241"/>
      <c r="I615" s="241"/>
      <c r="J615" s="241"/>
      <c r="K615" s="277"/>
      <c r="L615" s="241"/>
      <c r="M615" s="241"/>
      <c r="N615" s="241"/>
      <c r="O615" s="241"/>
      <c r="P615" s="241"/>
      <c r="Q615" s="241"/>
      <c r="R615" s="241"/>
      <c r="S615" s="241"/>
      <c r="T615" s="241"/>
      <c r="U615" s="241"/>
      <c r="V615" s="241"/>
      <c r="W615" s="241"/>
      <c r="X615" s="259"/>
      <c r="Y615" s="268"/>
      <c r="Z615" s="268"/>
      <c r="AA615" s="268"/>
      <c r="AB615" s="268"/>
      <c r="AC615" s="268"/>
      <c r="AD615" s="268"/>
      <c r="AE615" s="268"/>
      <c r="AF615" s="268"/>
      <c r="AG615" s="268"/>
      <c r="AH615" s="268"/>
      <c r="AI615" s="268"/>
      <c r="AJ615" s="268"/>
      <c r="AK615" s="268"/>
      <c r="AL615" s="268"/>
      <c r="AM615" s="268"/>
      <c r="AN615" s="259"/>
      <c r="AO615" s="268"/>
      <c r="AP615" s="268"/>
      <c r="AQ615" s="268"/>
      <c r="AR615" s="268"/>
      <c r="AS615" s="268"/>
      <c r="AT615" s="268"/>
      <c r="AU615" s="268"/>
      <c r="AV615" s="268"/>
      <c r="AW615" s="268"/>
      <c r="AX615" s="268"/>
      <c r="AY615" s="268"/>
      <c r="AZ615" s="268"/>
      <c r="BA615" s="268"/>
      <c r="BB615" s="268"/>
      <c r="BC615" s="268"/>
      <c r="BD615" s="287"/>
      <c r="BE615" s="268"/>
    </row>
    <row r="616" customFormat="false" ht="7.5" hidden="false" customHeight="true" outlineLevel="0" collapsed="false">
      <c r="A616" s="198"/>
      <c r="B616" s="266"/>
      <c r="C616" s="266"/>
      <c r="D616" s="266"/>
      <c r="E616" s="241"/>
      <c r="F616" s="241"/>
      <c r="G616" s="241"/>
      <c r="H616" s="204"/>
      <c r="I616" s="269"/>
      <c r="J616" s="269"/>
      <c r="K616" s="277"/>
      <c r="L616" s="269"/>
      <c r="M616" s="269"/>
      <c r="N616" s="269"/>
      <c r="O616" s="269"/>
      <c r="P616" s="269"/>
      <c r="Q616" s="269"/>
      <c r="R616" s="269"/>
      <c r="S616" s="269"/>
      <c r="T616" s="269"/>
      <c r="U616" s="269"/>
      <c r="V616" s="269"/>
      <c r="W616" s="269"/>
      <c r="X616" s="259"/>
      <c r="Y616" s="271"/>
      <c r="Z616" s="271"/>
      <c r="AA616" s="271"/>
      <c r="AB616" s="271"/>
      <c r="AC616" s="271"/>
      <c r="AD616" s="271"/>
      <c r="AE616" s="271"/>
      <c r="AF616" s="271"/>
      <c r="AG616" s="271"/>
      <c r="AH616" s="271"/>
      <c r="AI616" s="271"/>
      <c r="AJ616" s="272"/>
      <c r="AK616" s="273"/>
      <c r="AL616" s="273"/>
      <c r="AM616" s="273"/>
      <c r="AN616" s="259"/>
      <c r="AO616" s="271"/>
      <c r="AP616" s="271"/>
      <c r="AQ616" s="271"/>
      <c r="AR616" s="271"/>
      <c r="AS616" s="271"/>
      <c r="AT616" s="271"/>
      <c r="AU616" s="271"/>
      <c r="AV616" s="271"/>
      <c r="AW616" s="271"/>
      <c r="AX616" s="271"/>
      <c r="AY616" s="271"/>
      <c r="AZ616" s="272"/>
      <c r="BA616" s="273"/>
      <c r="BB616" s="273"/>
      <c r="BC616" s="273"/>
      <c r="BD616" s="287"/>
      <c r="BE616" s="274"/>
    </row>
    <row r="617" customFormat="false" ht="15" hidden="false" customHeight="true" outlineLevel="0" collapsed="false">
      <c r="B617" s="333"/>
      <c r="C617" s="334"/>
      <c r="D617" s="333" t="n">
        <f aca="false">D601</f>
        <v>45292</v>
      </c>
      <c r="E617" s="277" t="n">
        <v>0</v>
      </c>
      <c r="F617" s="277" t="n">
        <v>0</v>
      </c>
      <c r="G617" s="277" t="n">
        <f aca="false">SUM(E617:F617)</f>
        <v>0</v>
      </c>
      <c r="H617" s="204"/>
      <c r="I617" s="279" t="n">
        <v>1</v>
      </c>
      <c r="J617" s="280" t="n">
        <f aca="false">1-I617</f>
        <v>0</v>
      </c>
      <c r="K617" s="277"/>
      <c r="L617" s="282"/>
      <c r="M617" s="282"/>
      <c r="N617" s="282"/>
      <c r="O617" s="282"/>
      <c r="P617" s="282"/>
      <c r="Q617" s="282"/>
      <c r="R617" s="282"/>
      <c r="S617" s="282"/>
      <c r="T617" s="282"/>
      <c r="U617" s="282"/>
      <c r="V617" s="282"/>
      <c r="W617" s="282"/>
      <c r="X617" s="268"/>
      <c r="Y617" s="284" t="n">
        <f aca="false">IFERROR(L617*$G617*I$9, "")</f>
        <v>0</v>
      </c>
      <c r="Z617" s="284" t="n">
        <f aca="false">IFERROR(M617*$G617*$I617, "")</f>
        <v>0</v>
      </c>
      <c r="AA617" s="284" t="n">
        <f aca="false">IFERROR(N617*$G617*$I617, "")</f>
        <v>0</v>
      </c>
      <c r="AB617" s="284" t="n">
        <f aca="false">IFERROR(O617*$G617*$I617, "")</f>
        <v>0</v>
      </c>
      <c r="AC617" s="284" t="n">
        <f aca="false">IFERROR(P617*$G617*$I617, "")</f>
        <v>0</v>
      </c>
      <c r="AD617" s="284" t="n">
        <f aca="false">IFERROR(Q617*$G617*$I617, "")</f>
        <v>0</v>
      </c>
      <c r="AE617" s="284" t="n">
        <f aca="false">IFERROR(R617*$G617*$I617, "")</f>
        <v>0</v>
      </c>
      <c r="AF617" s="284" t="n">
        <f aca="false">IFERROR(S617*$G617*$I617, "")</f>
        <v>0</v>
      </c>
      <c r="AG617" s="284" t="n">
        <f aca="false">IFERROR(T617*$G617*$I617, "")</f>
        <v>0</v>
      </c>
      <c r="AH617" s="284" t="n">
        <f aca="false">IFERROR(U617*$G617*$I617, "")</f>
        <v>0</v>
      </c>
      <c r="AI617" s="284" t="n">
        <f aca="false">IFERROR(V617*$G617*$I617, "")</f>
        <v>0</v>
      </c>
      <c r="AJ617" s="284" t="n">
        <f aca="false">IFERROR(W617*$G617*$I617, "")</f>
        <v>0</v>
      </c>
      <c r="AK617" s="286" t="n">
        <f aca="false">IFERROR(SUMIF($Y$4:$AJ$4, "RDEC", Y617:AJ617), "")</f>
        <v>0</v>
      </c>
      <c r="AL617" s="286" t="n">
        <f aca="false">IFERROR(SUMIF($Y$4:$AJ$4, "SME", Y617:AJ617), "")</f>
        <v>0</v>
      </c>
      <c r="AM617" s="286" t="n">
        <f aca="false">IFERROR(SUMIF($Y$4:$AJ$4, "De Minimis", Y617:AJ617), "")</f>
        <v>0</v>
      </c>
      <c r="AN617" s="268"/>
      <c r="AO617" s="284" t="n">
        <f aca="false">IFERROR($G617*$J617*L617, "")</f>
        <v>0</v>
      </c>
      <c r="AP617" s="284" t="n">
        <f aca="false">IFERROR($G617*$J617*M617, "")</f>
        <v>0</v>
      </c>
      <c r="AQ617" s="284" t="n">
        <f aca="false">IFERROR($G617*$J617*N617, "")</f>
        <v>0</v>
      </c>
      <c r="AR617" s="284" t="n">
        <f aca="false">IFERROR($G617*$J617*O617, "")</f>
        <v>0</v>
      </c>
      <c r="AS617" s="284" t="n">
        <f aca="false">IFERROR($G617*$J617*P617, "")</f>
        <v>0</v>
      </c>
      <c r="AT617" s="284" t="n">
        <f aca="false">IFERROR($G617*$J617*Q617, "")</f>
        <v>0</v>
      </c>
      <c r="AU617" s="284" t="n">
        <f aca="false">IFERROR($G617*$J617*R617, "")</f>
        <v>0</v>
      </c>
      <c r="AV617" s="284" t="n">
        <f aca="false">IFERROR($G617*$J617*S617, "")</f>
        <v>0</v>
      </c>
      <c r="AW617" s="284" t="n">
        <f aca="false">IFERROR($G617*$J617*T617, "")</f>
        <v>0</v>
      </c>
      <c r="AX617" s="284" t="n">
        <f aca="false">IFERROR($G617*$J617*U617, "")</f>
        <v>0</v>
      </c>
      <c r="AY617" s="284" t="n">
        <f aca="false">IFERROR($G617*$J617*V617, "")</f>
        <v>0</v>
      </c>
      <c r="AZ617" s="284" t="n">
        <f aca="false">IFERROR($G617*$J617*W617, "")</f>
        <v>0</v>
      </c>
      <c r="BA617" s="286" t="n">
        <f aca="false">IFERROR(SUMIF($AO$4:$AZ$4, "RDEC", AO617:AZ617), "")</f>
        <v>0</v>
      </c>
      <c r="BB617" s="286" t="n">
        <f aca="false">IFERROR(SUMIF($AO$4:$AZ$4, "SME", AO617:AZ617), "")</f>
        <v>0</v>
      </c>
      <c r="BC617" s="286" t="n">
        <f aca="false">IFERROR(SUMIF($AO$4:$AZ$4, "De Minimis", AO617:AZ617), "")</f>
        <v>0</v>
      </c>
      <c r="BD617" s="287"/>
      <c r="BE617" s="288" t="str">
        <f aca="false">IF((SUM(L617:W617)&gt;1),"ERROR","")</f>
        <v/>
      </c>
    </row>
    <row r="618" customFormat="false" ht="15" hidden="false" customHeight="true" outlineLevel="0" collapsed="false">
      <c r="B618" s="333"/>
      <c r="C618" s="334"/>
      <c r="D618" s="333" t="n">
        <f aca="false">D602</f>
        <v>45323</v>
      </c>
      <c r="E618" s="277" t="n">
        <v>0</v>
      </c>
      <c r="F618" s="277" t="n">
        <v>0</v>
      </c>
      <c r="G618" s="277" t="n">
        <f aca="false">SUM(E618:F618)</f>
        <v>0</v>
      </c>
      <c r="H618" s="204"/>
      <c r="I618" s="279" t="n">
        <v>1</v>
      </c>
      <c r="J618" s="280" t="n">
        <f aca="false">1-I618</f>
        <v>0</v>
      </c>
      <c r="K618" s="277"/>
      <c r="L618" s="282"/>
      <c r="M618" s="282"/>
      <c r="N618" s="282"/>
      <c r="O618" s="282"/>
      <c r="P618" s="282"/>
      <c r="Q618" s="282"/>
      <c r="R618" s="282"/>
      <c r="S618" s="282"/>
      <c r="T618" s="282"/>
      <c r="U618" s="282"/>
      <c r="V618" s="282"/>
      <c r="W618" s="282"/>
      <c r="X618" s="283"/>
      <c r="Y618" s="284" t="n">
        <f aca="false">IFERROR(L618*$G618*I$9, "")</f>
        <v>0</v>
      </c>
      <c r="Z618" s="284" t="n">
        <f aca="false">IFERROR(M618*$G618*$I618, "")</f>
        <v>0</v>
      </c>
      <c r="AA618" s="284" t="n">
        <f aca="false">IFERROR(N618*$G618*$I618, "")</f>
        <v>0</v>
      </c>
      <c r="AB618" s="284" t="n">
        <f aca="false">IFERROR(O618*$G618*$I618, "")</f>
        <v>0</v>
      </c>
      <c r="AC618" s="284" t="n">
        <f aca="false">IFERROR(P618*$G618*$I618, "")</f>
        <v>0</v>
      </c>
      <c r="AD618" s="284" t="n">
        <f aca="false">IFERROR(Q618*$G618*$I618, "")</f>
        <v>0</v>
      </c>
      <c r="AE618" s="284" t="n">
        <f aca="false">IFERROR(R618*$G618*$I618, "")</f>
        <v>0</v>
      </c>
      <c r="AF618" s="284" t="n">
        <f aca="false">IFERROR(S618*$G618*$I618, "")</f>
        <v>0</v>
      </c>
      <c r="AG618" s="284" t="n">
        <f aca="false">IFERROR(T618*$G618*$I618, "")</f>
        <v>0</v>
      </c>
      <c r="AH618" s="284" t="n">
        <f aca="false">IFERROR(U618*$G618*$I618, "")</f>
        <v>0</v>
      </c>
      <c r="AI618" s="284" t="n">
        <f aca="false">IFERROR(V618*$G618*$I618, "")</f>
        <v>0</v>
      </c>
      <c r="AJ618" s="284" t="n">
        <f aca="false">IFERROR(W618*$G618*$I618, "")</f>
        <v>0</v>
      </c>
      <c r="AK618" s="286" t="n">
        <f aca="false">IFERROR(SUMIF($Y$4:$AJ$4, "RDEC", Y618:AJ618), "")</f>
        <v>0</v>
      </c>
      <c r="AL618" s="286" t="n">
        <f aca="false">IFERROR(SUMIF($Y$4:$AJ$4, "SME", Y618:AJ618), "")</f>
        <v>0</v>
      </c>
      <c r="AM618" s="286" t="n">
        <f aca="false">IFERROR(SUMIF($Y$4:$AJ$4, "De Minimis", Y618:AJ618), "")</f>
        <v>0</v>
      </c>
      <c r="AN618" s="283"/>
      <c r="AO618" s="284" t="n">
        <f aca="false">IFERROR($G618*$J618*L618, "")</f>
        <v>0</v>
      </c>
      <c r="AP618" s="284" t="n">
        <f aca="false">IFERROR($G618*$J618*M618, "")</f>
        <v>0</v>
      </c>
      <c r="AQ618" s="284" t="n">
        <f aca="false">IFERROR($G618*$J618*N618, "")</f>
        <v>0</v>
      </c>
      <c r="AR618" s="284" t="n">
        <f aca="false">IFERROR($G618*$J618*O618, "")</f>
        <v>0</v>
      </c>
      <c r="AS618" s="284" t="n">
        <f aca="false">IFERROR($G618*$J618*P618, "")</f>
        <v>0</v>
      </c>
      <c r="AT618" s="284" t="n">
        <f aca="false">IFERROR($G618*$J618*Q618, "")</f>
        <v>0</v>
      </c>
      <c r="AU618" s="284" t="n">
        <f aca="false">IFERROR($G618*$J618*R618, "")</f>
        <v>0</v>
      </c>
      <c r="AV618" s="284" t="n">
        <f aca="false">IFERROR($G618*$J618*S618, "")</f>
        <v>0</v>
      </c>
      <c r="AW618" s="284" t="n">
        <f aca="false">IFERROR($G618*$J618*T618, "")</f>
        <v>0</v>
      </c>
      <c r="AX618" s="284" t="n">
        <f aca="false">IFERROR($G618*$J618*U618, "")</f>
        <v>0</v>
      </c>
      <c r="AY618" s="284" t="n">
        <f aca="false">IFERROR($G618*$J618*V618, "")</f>
        <v>0</v>
      </c>
      <c r="AZ618" s="284" t="n">
        <f aca="false">IFERROR($G618*$J618*W618, "")</f>
        <v>0</v>
      </c>
      <c r="BA618" s="286" t="n">
        <f aca="false">IFERROR(SUMIF($AO$4:$AZ$4, "RDEC", AO618:AZ618), "")</f>
        <v>0</v>
      </c>
      <c r="BB618" s="286" t="n">
        <f aca="false">IFERROR(SUMIF($AO$4:$AZ$4, "SME", AO618:AZ618), "")</f>
        <v>0</v>
      </c>
      <c r="BC618" s="286" t="n">
        <f aca="false">IFERROR(SUMIF($Y$4:$AJ$4, "De Minimis", AO618:AZ618), "")</f>
        <v>0</v>
      </c>
      <c r="BD618" s="287"/>
      <c r="BE618" s="288" t="str">
        <f aca="false">IF((SUM(L618:W618)&gt;1),"ERROR","")</f>
        <v/>
      </c>
    </row>
    <row r="619" customFormat="false" ht="15" hidden="false" customHeight="true" outlineLevel="0" collapsed="false">
      <c r="B619" s="333"/>
      <c r="C619" s="334"/>
      <c r="D619" s="333" t="n">
        <f aca="false">D603</f>
        <v>45352</v>
      </c>
      <c r="E619" s="277" t="n">
        <v>0</v>
      </c>
      <c r="F619" s="277" t="n">
        <v>0</v>
      </c>
      <c r="G619" s="277" t="n">
        <f aca="false">SUM(E619:F619)</f>
        <v>0</v>
      </c>
      <c r="H619" s="204"/>
      <c r="I619" s="279" t="n">
        <v>1</v>
      </c>
      <c r="J619" s="280" t="n">
        <f aca="false">1-I619</f>
        <v>0</v>
      </c>
      <c r="K619" s="277"/>
      <c r="L619" s="282"/>
      <c r="M619" s="282"/>
      <c r="N619" s="282"/>
      <c r="O619" s="282"/>
      <c r="P619" s="282"/>
      <c r="Q619" s="282"/>
      <c r="R619" s="282"/>
      <c r="S619" s="282"/>
      <c r="T619" s="282"/>
      <c r="U619" s="282"/>
      <c r="V619" s="282"/>
      <c r="W619" s="282"/>
      <c r="X619" s="283"/>
      <c r="Y619" s="284" t="n">
        <f aca="false">IFERROR(L619*$G619*I$9, "")</f>
        <v>0</v>
      </c>
      <c r="Z619" s="284" t="n">
        <f aca="false">IFERROR(M619*$G619*$I619, "")</f>
        <v>0</v>
      </c>
      <c r="AA619" s="284" t="n">
        <f aca="false">IFERROR(N619*$G619*$I619, "")</f>
        <v>0</v>
      </c>
      <c r="AB619" s="284" t="n">
        <f aca="false">IFERROR(O619*$G619*$I619, "")</f>
        <v>0</v>
      </c>
      <c r="AC619" s="284" t="n">
        <f aca="false">IFERROR(P619*$G619*$I619, "")</f>
        <v>0</v>
      </c>
      <c r="AD619" s="284" t="n">
        <f aca="false">IFERROR(Q619*$G619*$I619, "")</f>
        <v>0</v>
      </c>
      <c r="AE619" s="284" t="n">
        <f aca="false">IFERROR(R619*$G619*$I619, "")</f>
        <v>0</v>
      </c>
      <c r="AF619" s="284" t="n">
        <f aca="false">IFERROR(S619*$G619*$I619, "")</f>
        <v>0</v>
      </c>
      <c r="AG619" s="284" t="n">
        <f aca="false">IFERROR(T619*$G619*$I619, "")</f>
        <v>0</v>
      </c>
      <c r="AH619" s="284" t="n">
        <f aca="false">IFERROR(U619*$G619*$I619, "")</f>
        <v>0</v>
      </c>
      <c r="AI619" s="284" t="n">
        <f aca="false">IFERROR(V619*$G619*$I619, "")</f>
        <v>0</v>
      </c>
      <c r="AJ619" s="284" t="n">
        <f aca="false">IFERROR(W619*$G619*$I619, "")</f>
        <v>0</v>
      </c>
      <c r="AK619" s="286" t="n">
        <f aca="false">IFERROR(SUMIF($Y$4:$AJ$4, "RDEC", Y619:AJ619), "")</f>
        <v>0</v>
      </c>
      <c r="AL619" s="286" t="n">
        <f aca="false">IFERROR(SUMIF($Y$4:$AJ$4, "SME", Y619:AJ619), "")</f>
        <v>0</v>
      </c>
      <c r="AM619" s="286" t="n">
        <f aca="false">IFERROR(SUMIF($Y$4:$AJ$4, "De Minimis", Y619:AJ619), "")</f>
        <v>0</v>
      </c>
      <c r="AN619" s="283"/>
      <c r="AO619" s="284" t="n">
        <f aca="false">IFERROR($G619*$J619*L619, "")</f>
        <v>0</v>
      </c>
      <c r="AP619" s="284" t="n">
        <f aca="false">IFERROR($G619*$J619*M619, "")</f>
        <v>0</v>
      </c>
      <c r="AQ619" s="284" t="n">
        <f aca="false">IFERROR($G619*$J619*N619, "")</f>
        <v>0</v>
      </c>
      <c r="AR619" s="284" t="n">
        <f aca="false">IFERROR($G619*$J619*O619, "")</f>
        <v>0</v>
      </c>
      <c r="AS619" s="284" t="n">
        <f aca="false">IFERROR($G619*$J619*P619, "")</f>
        <v>0</v>
      </c>
      <c r="AT619" s="284" t="n">
        <f aca="false">IFERROR($G619*$J619*Q619, "")</f>
        <v>0</v>
      </c>
      <c r="AU619" s="284" t="n">
        <f aca="false">IFERROR($G619*$J619*R619, "")</f>
        <v>0</v>
      </c>
      <c r="AV619" s="284" t="n">
        <f aca="false">IFERROR($G619*$J619*S619, "")</f>
        <v>0</v>
      </c>
      <c r="AW619" s="284" t="n">
        <f aca="false">IFERROR($G619*$J619*T619, "")</f>
        <v>0</v>
      </c>
      <c r="AX619" s="284" t="n">
        <f aca="false">IFERROR($G619*$J619*U619, "")</f>
        <v>0</v>
      </c>
      <c r="AY619" s="284" t="n">
        <f aca="false">IFERROR($G619*$J619*V619, "")</f>
        <v>0</v>
      </c>
      <c r="AZ619" s="284" t="n">
        <f aca="false">IFERROR($G619*$J619*W619, "")</f>
        <v>0</v>
      </c>
      <c r="BA619" s="286" t="n">
        <f aca="false">IFERROR(SUMIF($AO$4:$AZ$4, "RDEC", AO619:AZ619), "")</f>
        <v>0</v>
      </c>
      <c r="BB619" s="286" t="n">
        <f aca="false">IFERROR(SUMIF($AO$4:$AZ$4, "SME", AO619:AZ619), "")</f>
        <v>0</v>
      </c>
      <c r="BC619" s="286" t="n">
        <f aca="false">IFERROR(SUMIF($Y$4:$AJ$4, "De Minimis", AO619:AZ619), "")</f>
        <v>0</v>
      </c>
      <c r="BD619" s="287"/>
      <c r="BE619" s="288" t="str">
        <f aca="false">IF((SUM(L619:W619)&gt;1),"ERROR","")</f>
        <v/>
      </c>
    </row>
    <row r="620" customFormat="false" ht="15" hidden="false" customHeight="true" outlineLevel="0" collapsed="false">
      <c r="B620" s="333"/>
      <c r="C620" s="334"/>
      <c r="D620" s="333" t="n">
        <f aca="false">D604</f>
        <v>45383</v>
      </c>
      <c r="E620" s="277" t="n">
        <v>0</v>
      </c>
      <c r="F620" s="277" t="n">
        <v>0</v>
      </c>
      <c r="G620" s="277" t="n">
        <f aca="false">SUM(E620:F620)</f>
        <v>0</v>
      </c>
      <c r="H620" s="204"/>
      <c r="I620" s="279" t="n">
        <v>1</v>
      </c>
      <c r="J620" s="280" t="n">
        <f aca="false">1-I620</f>
        <v>0</v>
      </c>
      <c r="K620" s="277"/>
      <c r="L620" s="282"/>
      <c r="M620" s="282"/>
      <c r="N620" s="282"/>
      <c r="O620" s="282"/>
      <c r="P620" s="282"/>
      <c r="Q620" s="282"/>
      <c r="R620" s="282"/>
      <c r="S620" s="282"/>
      <c r="T620" s="282"/>
      <c r="U620" s="282"/>
      <c r="V620" s="282"/>
      <c r="W620" s="282"/>
      <c r="X620" s="283"/>
      <c r="Y620" s="284" t="n">
        <f aca="false">IFERROR(L620*$G620*I$9, "")</f>
        <v>0</v>
      </c>
      <c r="Z620" s="284" t="n">
        <f aca="false">IFERROR(M620*$G620*$I620, "")</f>
        <v>0</v>
      </c>
      <c r="AA620" s="284" t="n">
        <f aca="false">IFERROR(N620*$G620*$I620, "")</f>
        <v>0</v>
      </c>
      <c r="AB620" s="284" t="n">
        <f aca="false">IFERROR(O620*$G620*$I620, "")</f>
        <v>0</v>
      </c>
      <c r="AC620" s="284" t="n">
        <f aca="false">IFERROR(P620*$G620*$I620, "")</f>
        <v>0</v>
      </c>
      <c r="AD620" s="284" t="n">
        <f aca="false">IFERROR(Q620*$G620*$I620, "")</f>
        <v>0</v>
      </c>
      <c r="AE620" s="284" t="n">
        <f aca="false">IFERROR(R620*$G620*$I620, "")</f>
        <v>0</v>
      </c>
      <c r="AF620" s="284" t="n">
        <f aca="false">IFERROR(S620*$G620*$I620, "")</f>
        <v>0</v>
      </c>
      <c r="AG620" s="284" t="n">
        <f aca="false">IFERROR(T620*$G620*$I620, "")</f>
        <v>0</v>
      </c>
      <c r="AH620" s="284" t="n">
        <f aca="false">IFERROR(U620*$G620*$I620, "")</f>
        <v>0</v>
      </c>
      <c r="AI620" s="284" t="n">
        <f aca="false">IFERROR(V620*$G620*$I620, "")</f>
        <v>0</v>
      </c>
      <c r="AJ620" s="284" t="n">
        <f aca="false">IFERROR(W620*$G620*$I620, "")</f>
        <v>0</v>
      </c>
      <c r="AK620" s="286" t="n">
        <f aca="false">IFERROR(SUMIF($Y$4:$AJ$4, "RDEC", Y620:AJ620), "")</f>
        <v>0</v>
      </c>
      <c r="AL620" s="286" t="n">
        <f aca="false">IFERROR(SUMIF($Y$4:$AJ$4, "SME", Y620:AJ620), "")</f>
        <v>0</v>
      </c>
      <c r="AM620" s="286" t="n">
        <f aca="false">IFERROR(SUMIF($Y$4:$AJ$4, "De Minimis", Y620:AJ620), "")</f>
        <v>0</v>
      </c>
      <c r="AN620" s="283"/>
      <c r="AO620" s="284" t="n">
        <f aca="false">IFERROR($G620*$J620*L620, "")</f>
        <v>0</v>
      </c>
      <c r="AP620" s="284" t="n">
        <f aca="false">IFERROR($G620*$J620*M620, "")</f>
        <v>0</v>
      </c>
      <c r="AQ620" s="284" t="n">
        <f aca="false">IFERROR($G620*$J620*N620, "")</f>
        <v>0</v>
      </c>
      <c r="AR620" s="284" t="n">
        <f aca="false">IFERROR($G620*$J620*O620, "")</f>
        <v>0</v>
      </c>
      <c r="AS620" s="284" t="n">
        <f aca="false">IFERROR($G620*$J620*P620, "")</f>
        <v>0</v>
      </c>
      <c r="AT620" s="284" t="n">
        <f aca="false">IFERROR($G620*$J620*Q620, "")</f>
        <v>0</v>
      </c>
      <c r="AU620" s="284" t="n">
        <f aca="false">IFERROR($G620*$J620*R620, "")</f>
        <v>0</v>
      </c>
      <c r="AV620" s="284" t="n">
        <f aca="false">IFERROR($G620*$J620*S620, "")</f>
        <v>0</v>
      </c>
      <c r="AW620" s="284" t="n">
        <f aca="false">IFERROR($G620*$J620*T620, "")</f>
        <v>0</v>
      </c>
      <c r="AX620" s="284" t="n">
        <f aca="false">IFERROR($G620*$J620*U620, "")</f>
        <v>0</v>
      </c>
      <c r="AY620" s="284" t="n">
        <f aca="false">IFERROR($G620*$J620*V620, "")</f>
        <v>0</v>
      </c>
      <c r="AZ620" s="284" t="n">
        <f aca="false">IFERROR($G620*$J620*W620, "")</f>
        <v>0</v>
      </c>
      <c r="BA620" s="286" t="n">
        <f aca="false">IFERROR(SUMIF($AO$4:$AZ$4, "RDEC", AO620:AZ620), "")</f>
        <v>0</v>
      </c>
      <c r="BB620" s="286" t="n">
        <f aca="false">IFERROR(SUMIF($AO$4:$AZ$4, "SME", AO620:AZ620), "")</f>
        <v>0</v>
      </c>
      <c r="BC620" s="286" t="n">
        <f aca="false">IFERROR(SUMIF($Y$4:$AJ$4, "De Minimis", AO620:AZ620), "")</f>
        <v>0</v>
      </c>
      <c r="BD620" s="287"/>
      <c r="BE620" s="288" t="str">
        <f aca="false">IF((SUM(L620:W620)&gt;1),"ERROR","")</f>
        <v/>
      </c>
    </row>
    <row r="621" customFormat="false" ht="15" hidden="false" customHeight="true" outlineLevel="0" collapsed="false">
      <c r="B621" s="333"/>
      <c r="C621" s="334"/>
      <c r="D621" s="333" t="n">
        <f aca="false">D605</f>
        <v>45413</v>
      </c>
      <c r="E621" s="277" t="n">
        <v>0</v>
      </c>
      <c r="F621" s="277" t="n">
        <v>0</v>
      </c>
      <c r="G621" s="277" t="n">
        <f aca="false">SUM(E621:F621)</f>
        <v>0</v>
      </c>
      <c r="H621" s="204"/>
      <c r="I621" s="279" t="n">
        <v>1</v>
      </c>
      <c r="J621" s="280" t="n">
        <f aca="false">1-I621</f>
        <v>0</v>
      </c>
      <c r="K621" s="277"/>
      <c r="L621" s="282"/>
      <c r="M621" s="282"/>
      <c r="N621" s="282"/>
      <c r="O621" s="282"/>
      <c r="P621" s="282"/>
      <c r="Q621" s="282"/>
      <c r="R621" s="282"/>
      <c r="S621" s="282"/>
      <c r="T621" s="282"/>
      <c r="U621" s="282"/>
      <c r="V621" s="282"/>
      <c r="W621" s="282"/>
      <c r="X621" s="283"/>
      <c r="Y621" s="284" t="n">
        <f aca="false">IFERROR(L621*$G621*I$9, "")</f>
        <v>0</v>
      </c>
      <c r="Z621" s="284" t="n">
        <f aca="false">IFERROR(M621*$G621*$I621, "")</f>
        <v>0</v>
      </c>
      <c r="AA621" s="284" t="n">
        <f aca="false">IFERROR(N621*$G621*$I621, "")</f>
        <v>0</v>
      </c>
      <c r="AB621" s="284" t="n">
        <f aca="false">IFERROR(O621*$G621*$I621, "")</f>
        <v>0</v>
      </c>
      <c r="AC621" s="284" t="n">
        <f aca="false">IFERROR(P621*$G621*$I621, "")</f>
        <v>0</v>
      </c>
      <c r="AD621" s="284" t="n">
        <f aca="false">IFERROR(Q621*$G621*$I621, "")</f>
        <v>0</v>
      </c>
      <c r="AE621" s="284" t="n">
        <f aca="false">IFERROR(R621*$G621*$I621, "")</f>
        <v>0</v>
      </c>
      <c r="AF621" s="284" t="n">
        <f aca="false">IFERROR(S621*$G621*$I621, "")</f>
        <v>0</v>
      </c>
      <c r="AG621" s="284" t="n">
        <f aca="false">IFERROR(T621*$G621*$I621, "")</f>
        <v>0</v>
      </c>
      <c r="AH621" s="284" t="n">
        <f aca="false">IFERROR(U621*$G621*$I621, "")</f>
        <v>0</v>
      </c>
      <c r="AI621" s="284" t="n">
        <f aca="false">IFERROR(V621*$G621*$I621, "")</f>
        <v>0</v>
      </c>
      <c r="AJ621" s="284" t="n">
        <f aca="false">IFERROR(W621*$G621*$I621, "")</f>
        <v>0</v>
      </c>
      <c r="AK621" s="286" t="n">
        <f aca="false">IFERROR(SUMIF($Y$4:$AJ$4, "RDEC", Y621:AJ621), "")</f>
        <v>0</v>
      </c>
      <c r="AL621" s="286" t="n">
        <f aca="false">IFERROR(SUMIF($Y$4:$AJ$4, "SME", Y621:AJ621), "")</f>
        <v>0</v>
      </c>
      <c r="AM621" s="286" t="n">
        <f aca="false">IFERROR(SUMIF($Y$4:$AJ$4, "De Minimis", Y621:AJ621), "")</f>
        <v>0</v>
      </c>
      <c r="AN621" s="283"/>
      <c r="AO621" s="284" t="n">
        <f aca="false">IFERROR($G621*$J621*L621, "")</f>
        <v>0</v>
      </c>
      <c r="AP621" s="284" t="n">
        <f aca="false">IFERROR($G621*$J621*M621, "")</f>
        <v>0</v>
      </c>
      <c r="AQ621" s="284" t="n">
        <f aca="false">IFERROR($G621*$J621*N621, "")</f>
        <v>0</v>
      </c>
      <c r="AR621" s="284" t="n">
        <f aca="false">IFERROR($G621*$J621*O621, "")</f>
        <v>0</v>
      </c>
      <c r="AS621" s="284" t="n">
        <f aca="false">IFERROR($G621*$J621*P621, "")</f>
        <v>0</v>
      </c>
      <c r="AT621" s="284" t="n">
        <f aca="false">IFERROR($G621*$J621*Q621, "")</f>
        <v>0</v>
      </c>
      <c r="AU621" s="284" t="n">
        <f aca="false">IFERROR($G621*$J621*R621, "")</f>
        <v>0</v>
      </c>
      <c r="AV621" s="284" t="n">
        <f aca="false">IFERROR($G621*$J621*S621, "")</f>
        <v>0</v>
      </c>
      <c r="AW621" s="284" t="n">
        <f aca="false">IFERROR($G621*$J621*T621, "")</f>
        <v>0</v>
      </c>
      <c r="AX621" s="284" t="n">
        <f aca="false">IFERROR($G621*$J621*U621, "")</f>
        <v>0</v>
      </c>
      <c r="AY621" s="284" t="n">
        <f aca="false">IFERROR($G621*$J621*V621, "")</f>
        <v>0</v>
      </c>
      <c r="AZ621" s="284" t="n">
        <f aca="false">IFERROR($G621*$J621*W621, "")</f>
        <v>0</v>
      </c>
      <c r="BA621" s="286" t="n">
        <f aca="false">IFERROR(SUMIF($AO$4:$AZ$4, "RDEC", AO621:AZ621), "")</f>
        <v>0</v>
      </c>
      <c r="BB621" s="286" t="n">
        <f aca="false">IFERROR(SUMIF($AO$4:$AZ$4, "SME", AO621:AZ621), "")</f>
        <v>0</v>
      </c>
      <c r="BC621" s="286" t="n">
        <f aca="false">IFERROR(SUMIF($Y$4:$AJ$4, "De Minimis", AO621:AZ621), "")</f>
        <v>0</v>
      </c>
      <c r="BD621" s="287"/>
      <c r="BE621" s="288" t="str">
        <f aca="false">IF((SUM(L621:W621)&gt;1),"ERROR","")</f>
        <v/>
      </c>
    </row>
    <row r="622" customFormat="false" ht="15" hidden="false" customHeight="true" outlineLevel="0" collapsed="false">
      <c r="B622" s="333"/>
      <c r="C622" s="334"/>
      <c r="D622" s="333" t="n">
        <f aca="false">D606</f>
        <v>45444</v>
      </c>
      <c r="E622" s="277" t="n">
        <v>0</v>
      </c>
      <c r="F622" s="277" t="n">
        <v>0</v>
      </c>
      <c r="G622" s="277" t="n">
        <f aca="false">SUM(E622:F622)</f>
        <v>0</v>
      </c>
      <c r="H622" s="204"/>
      <c r="I622" s="279" t="n">
        <v>1</v>
      </c>
      <c r="J622" s="280" t="n">
        <f aca="false">1-I622</f>
        <v>0</v>
      </c>
      <c r="K622" s="277"/>
      <c r="L622" s="282"/>
      <c r="M622" s="282"/>
      <c r="N622" s="282"/>
      <c r="O622" s="282"/>
      <c r="P622" s="282"/>
      <c r="Q622" s="282"/>
      <c r="R622" s="282"/>
      <c r="S622" s="282"/>
      <c r="T622" s="282"/>
      <c r="U622" s="282"/>
      <c r="V622" s="282"/>
      <c r="W622" s="282"/>
      <c r="X622" s="283"/>
      <c r="Y622" s="284" t="n">
        <f aca="false">IFERROR(L622*$G622*I$9, "")</f>
        <v>0</v>
      </c>
      <c r="Z622" s="284" t="n">
        <f aca="false">IFERROR(M622*$G622*$I622, "")</f>
        <v>0</v>
      </c>
      <c r="AA622" s="284" t="n">
        <f aca="false">IFERROR(N622*$G622*$I622, "")</f>
        <v>0</v>
      </c>
      <c r="AB622" s="284" t="n">
        <f aca="false">IFERROR(O622*$G622*$I622, "")</f>
        <v>0</v>
      </c>
      <c r="AC622" s="284" t="n">
        <f aca="false">IFERROR(P622*$G622*$I622, "")</f>
        <v>0</v>
      </c>
      <c r="AD622" s="284" t="n">
        <f aca="false">IFERROR(Q622*$G622*$I622, "")</f>
        <v>0</v>
      </c>
      <c r="AE622" s="284" t="n">
        <f aca="false">IFERROR(R622*$G622*$I622, "")</f>
        <v>0</v>
      </c>
      <c r="AF622" s="284" t="n">
        <f aca="false">IFERROR(S622*$G622*$I622, "")</f>
        <v>0</v>
      </c>
      <c r="AG622" s="284" t="n">
        <f aca="false">IFERROR(T622*$G622*$I622, "")</f>
        <v>0</v>
      </c>
      <c r="AH622" s="284" t="n">
        <f aca="false">IFERROR(U622*$G622*$I622, "")</f>
        <v>0</v>
      </c>
      <c r="AI622" s="284" t="n">
        <f aca="false">IFERROR(V622*$G622*$I622, "")</f>
        <v>0</v>
      </c>
      <c r="AJ622" s="284" t="n">
        <f aca="false">IFERROR(W622*$G622*$I622, "")</f>
        <v>0</v>
      </c>
      <c r="AK622" s="286" t="n">
        <f aca="false">IFERROR(SUMIF($Y$4:$AJ$4, "RDEC", Y622:AJ622), "")</f>
        <v>0</v>
      </c>
      <c r="AL622" s="286" t="n">
        <f aca="false">IFERROR(SUMIF($Y$4:$AJ$4, "SME", Y622:AJ622), "")</f>
        <v>0</v>
      </c>
      <c r="AM622" s="286" t="n">
        <f aca="false">IFERROR(SUMIF($Y$4:$AJ$4, "De Minimis", Y622:AJ622), "")</f>
        <v>0</v>
      </c>
      <c r="AN622" s="283"/>
      <c r="AO622" s="284" t="n">
        <f aca="false">IFERROR($G622*$J622*L622, "")</f>
        <v>0</v>
      </c>
      <c r="AP622" s="284" t="n">
        <f aca="false">IFERROR($G622*$J622*M622, "")</f>
        <v>0</v>
      </c>
      <c r="AQ622" s="284" t="n">
        <f aca="false">IFERROR($G622*$J622*N622, "")</f>
        <v>0</v>
      </c>
      <c r="AR622" s="284" t="n">
        <f aca="false">IFERROR($G622*$J622*O622, "")</f>
        <v>0</v>
      </c>
      <c r="AS622" s="284" t="n">
        <f aca="false">IFERROR($G622*$J622*P622, "")</f>
        <v>0</v>
      </c>
      <c r="AT622" s="284" t="n">
        <f aca="false">IFERROR($G622*$J622*Q622, "")</f>
        <v>0</v>
      </c>
      <c r="AU622" s="284" t="n">
        <f aca="false">IFERROR($G622*$J622*R622, "")</f>
        <v>0</v>
      </c>
      <c r="AV622" s="284" t="n">
        <f aca="false">IFERROR($G622*$J622*S622, "")</f>
        <v>0</v>
      </c>
      <c r="AW622" s="284" t="n">
        <f aca="false">IFERROR($G622*$J622*T622, "")</f>
        <v>0</v>
      </c>
      <c r="AX622" s="284" t="n">
        <f aca="false">IFERROR($G622*$J622*U622, "")</f>
        <v>0</v>
      </c>
      <c r="AY622" s="284" t="n">
        <f aca="false">IFERROR($G622*$J622*V622, "")</f>
        <v>0</v>
      </c>
      <c r="AZ622" s="284" t="n">
        <f aca="false">IFERROR($G622*$J622*W622, "")</f>
        <v>0</v>
      </c>
      <c r="BA622" s="286" t="n">
        <f aca="false">IFERROR(SUMIF($AO$4:$AZ$4, "RDEC", AO622:AZ622), "")</f>
        <v>0</v>
      </c>
      <c r="BB622" s="286" t="n">
        <f aca="false">IFERROR(SUMIF($AO$4:$AZ$4, "SME", AO622:AZ622), "")</f>
        <v>0</v>
      </c>
      <c r="BC622" s="286" t="n">
        <f aca="false">IFERROR(SUMIF($Y$4:$AJ$4, "De Minimis", AO622:AZ622), "")</f>
        <v>0</v>
      </c>
      <c r="BD622" s="287"/>
      <c r="BE622" s="288" t="str">
        <f aca="false">IF((SUM(L622:W622)&gt;1),"ERROR","")</f>
        <v/>
      </c>
    </row>
    <row r="623" customFormat="false" ht="15" hidden="false" customHeight="true" outlineLevel="0" collapsed="false">
      <c r="B623" s="333"/>
      <c r="C623" s="334"/>
      <c r="D623" s="333" t="n">
        <f aca="false">D607</f>
        <v>45474</v>
      </c>
      <c r="E623" s="277" t="n">
        <v>0</v>
      </c>
      <c r="F623" s="277" t="n">
        <v>0</v>
      </c>
      <c r="G623" s="277" t="n">
        <f aca="false">SUM(E623:F623)</f>
        <v>0</v>
      </c>
      <c r="H623" s="204"/>
      <c r="I623" s="279" t="n">
        <v>1</v>
      </c>
      <c r="J623" s="280" t="n">
        <f aca="false">1-I623</f>
        <v>0</v>
      </c>
      <c r="K623" s="277"/>
      <c r="L623" s="282"/>
      <c r="M623" s="282"/>
      <c r="N623" s="282"/>
      <c r="O623" s="282"/>
      <c r="P623" s="282"/>
      <c r="Q623" s="282"/>
      <c r="R623" s="282"/>
      <c r="S623" s="282"/>
      <c r="T623" s="282"/>
      <c r="U623" s="282"/>
      <c r="V623" s="282"/>
      <c r="W623" s="282"/>
      <c r="X623" s="283"/>
      <c r="Y623" s="284" t="n">
        <f aca="false">IFERROR(L623*$G623*I$9, "")</f>
        <v>0</v>
      </c>
      <c r="Z623" s="284" t="n">
        <f aca="false">IFERROR(M623*$G623*$I623, "")</f>
        <v>0</v>
      </c>
      <c r="AA623" s="284" t="n">
        <f aca="false">IFERROR(N623*$G623*$I623, "")</f>
        <v>0</v>
      </c>
      <c r="AB623" s="284" t="n">
        <f aca="false">IFERROR(O623*$G623*$I623, "")</f>
        <v>0</v>
      </c>
      <c r="AC623" s="284" t="n">
        <f aca="false">IFERROR(P623*$G623*$I623, "")</f>
        <v>0</v>
      </c>
      <c r="AD623" s="284" t="n">
        <f aca="false">IFERROR(Q623*$G623*$I623, "")</f>
        <v>0</v>
      </c>
      <c r="AE623" s="284" t="n">
        <f aca="false">IFERROR(R623*$G623*$I623, "")</f>
        <v>0</v>
      </c>
      <c r="AF623" s="284" t="n">
        <f aca="false">IFERROR(S623*$G623*$I623, "")</f>
        <v>0</v>
      </c>
      <c r="AG623" s="284" t="n">
        <f aca="false">IFERROR(T623*$G623*$I623, "")</f>
        <v>0</v>
      </c>
      <c r="AH623" s="284" t="n">
        <f aca="false">IFERROR(U623*$G623*$I623, "")</f>
        <v>0</v>
      </c>
      <c r="AI623" s="284" t="n">
        <f aca="false">IFERROR(V623*$G623*$I623, "")</f>
        <v>0</v>
      </c>
      <c r="AJ623" s="284" t="n">
        <f aca="false">IFERROR(W623*$G623*$I623, "")</f>
        <v>0</v>
      </c>
      <c r="AK623" s="286" t="n">
        <f aca="false">IFERROR(SUMIF($Y$4:$AJ$4, "RDEC", Y623:AJ623), "")</f>
        <v>0</v>
      </c>
      <c r="AL623" s="286" t="n">
        <f aca="false">IFERROR(SUMIF($Y$4:$AJ$4, "SME", Y623:AJ623), "")</f>
        <v>0</v>
      </c>
      <c r="AM623" s="286" t="n">
        <f aca="false">IFERROR(SUMIF($Y$4:$AJ$4, "De Minimis", Y623:AJ623), "")</f>
        <v>0</v>
      </c>
      <c r="AN623" s="283"/>
      <c r="AO623" s="284" t="n">
        <f aca="false">IFERROR($G623*$J623*L623, "")</f>
        <v>0</v>
      </c>
      <c r="AP623" s="284" t="n">
        <f aca="false">IFERROR($G623*$J623*M623, "")</f>
        <v>0</v>
      </c>
      <c r="AQ623" s="284" t="n">
        <f aca="false">IFERROR($G623*$J623*N623, "")</f>
        <v>0</v>
      </c>
      <c r="AR623" s="284" t="n">
        <f aca="false">IFERROR($G623*$J623*O623, "")</f>
        <v>0</v>
      </c>
      <c r="AS623" s="284" t="n">
        <f aca="false">IFERROR($G623*$J623*P623, "")</f>
        <v>0</v>
      </c>
      <c r="AT623" s="284" t="n">
        <f aca="false">IFERROR($G623*$J623*Q623, "")</f>
        <v>0</v>
      </c>
      <c r="AU623" s="284" t="n">
        <f aca="false">IFERROR($G623*$J623*R623, "")</f>
        <v>0</v>
      </c>
      <c r="AV623" s="284" t="n">
        <f aca="false">IFERROR($G623*$J623*S623, "")</f>
        <v>0</v>
      </c>
      <c r="AW623" s="284" t="n">
        <f aca="false">IFERROR($G623*$J623*T623, "")</f>
        <v>0</v>
      </c>
      <c r="AX623" s="284" t="n">
        <f aca="false">IFERROR($G623*$J623*U623, "")</f>
        <v>0</v>
      </c>
      <c r="AY623" s="284" t="n">
        <f aca="false">IFERROR($G623*$J623*V623, "")</f>
        <v>0</v>
      </c>
      <c r="AZ623" s="284" t="n">
        <f aca="false">IFERROR($G623*$J623*W623, "")</f>
        <v>0</v>
      </c>
      <c r="BA623" s="286" t="n">
        <f aca="false">IFERROR(SUMIF($AO$4:$AZ$4, "RDEC", AO623:AZ623), "")</f>
        <v>0</v>
      </c>
      <c r="BB623" s="286" t="n">
        <f aca="false">IFERROR(SUMIF($AO$4:$AZ$4, "SME", AO623:AZ623), "")</f>
        <v>0</v>
      </c>
      <c r="BC623" s="286" t="n">
        <f aca="false">IFERROR(SUMIF($Y$4:$AJ$4, "De Minimis", AO623:AZ623), "")</f>
        <v>0</v>
      </c>
      <c r="BD623" s="287"/>
      <c r="BE623" s="288" t="str">
        <f aca="false">IF((SUM(L623:W623)&gt;1),"ERROR","")</f>
        <v/>
      </c>
    </row>
    <row r="624" customFormat="false" ht="15" hidden="false" customHeight="true" outlineLevel="0" collapsed="false">
      <c r="B624" s="333"/>
      <c r="C624" s="334"/>
      <c r="D624" s="333" t="n">
        <f aca="false">D608</f>
        <v>45505</v>
      </c>
      <c r="E624" s="277" t="n">
        <v>0</v>
      </c>
      <c r="F624" s="277" t="n">
        <v>0</v>
      </c>
      <c r="G624" s="277" t="n">
        <f aca="false">SUM(E624:F624)</f>
        <v>0</v>
      </c>
      <c r="H624" s="204"/>
      <c r="I624" s="279" t="n">
        <v>1</v>
      </c>
      <c r="J624" s="280" t="n">
        <f aca="false">1-I624</f>
        <v>0</v>
      </c>
      <c r="K624" s="277"/>
      <c r="L624" s="282"/>
      <c r="M624" s="282"/>
      <c r="N624" s="282"/>
      <c r="O624" s="282"/>
      <c r="P624" s="282"/>
      <c r="Q624" s="282"/>
      <c r="R624" s="282"/>
      <c r="S624" s="282"/>
      <c r="T624" s="282"/>
      <c r="U624" s="282"/>
      <c r="V624" s="282"/>
      <c r="W624" s="282"/>
      <c r="X624" s="283"/>
      <c r="Y624" s="284" t="n">
        <f aca="false">IFERROR(L624*$G624*I$9, "")</f>
        <v>0</v>
      </c>
      <c r="Z624" s="284" t="n">
        <f aca="false">IFERROR(M624*$G624*$I624, "")</f>
        <v>0</v>
      </c>
      <c r="AA624" s="284" t="n">
        <f aca="false">IFERROR(N624*$G624*$I624, "")</f>
        <v>0</v>
      </c>
      <c r="AB624" s="284" t="n">
        <f aca="false">IFERROR(O624*$G624*$I624, "")</f>
        <v>0</v>
      </c>
      <c r="AC624" s="284" t="n">
        <f aca="false">IFERROR(P624*$G624*$I624, "")</f>
        <v>0</v>
      </c>
      <c r="AD624" s="284" t="n">
        <f aca="false">IFERROR(Q624*$G624*$I624, "")</f>
        <v>0</v>
      </c>
      <c r="AE624" s="284" t="n">
        <f aca="false">IFERROR(R624*$G624*$I624, "")</f>
        <v>0</v>
      </c>
      <c r="AF624" s="284" t="n">
        <f aca="false">IFERROR(S624*$G624*$I624, "")</f>
        <v>0</v>
      </c>
      <c r="AG624" s="284" t="n">
        <f aca="false">IFERROR(T624*$G624*$I624, "")</f>
        <v>0</v>
      </c>
      <c r="AH624" s="284" t="n">
        <f aca="false">IFERROR(U624*$G624*$I624, "")</f>
        <v>0</v>
      </c>
      <c r="AI624" s="284" t="n">
        <f aca="false">IFERROR(V624*$G624*$I624, "")</f>
        <v>0</v>
      </c>
      <c r="AJ624" s="284" t="n">
        <f aca="false">IFERROR(W624*$G624*$I624, "")</f>
        <v>0</v>
      </c>
      <c r="AK624" s="286" t="n">
        <f aca="false">IFERROR(SUMIF($Y$4:$AJ$4, "RDEC", Y624:AJ624), "")</f>
        <v>0</v>
      </c>
      <c r="AL624" s="286" t="n">
        <f aca="false">IFERROR(SUMIF($Y$4:$AJ$4, "SME", Y624:AJ624), "")</f>
        <v>0</v>
      </c>
      <c r="AM624" s="286" t="n">
        <f aca="false">IFERROR(SUMIF($Y$4:$AJ$4, "De Minimis", Y624:AJ624), "")</f>
        <v>0</v>
      </c>
      <c r="AN624" s="283"/>
      <c r="AO624" s="284" t="n">
        <f aca="false">IFERROR($G624*$J624*L624, "")</f>
        <v>0</v>
      </c>
      <c r="AP624" s="284" t="n">
        <f aca="false">IFERROR($G624*$J624*M624, "")</f>
        <v>0</v>
      </c>
      <c r="AQ624" s="284" t="n">
        <f aca="false">IFERROR($G624*$J624*N624, "")</f>
        <v>0</v>
      </c>
      <c r="AR624" s="284" t="n">
        <f aca="false">IFERROR($G624*$J624*O624, "")</f>
        <v>0</v>
      </c>
      <c r="AS624" s="284" t="n">
        <f aca="false">IFERROR($G624*$J624*P624, "")</f>
        <v>0</v>
      </c>
      <c r="AT624" s="284" t="n">
        <f aca="false">IFERROR($G624*$J624*Q624, "")</f>
        <v>0</v>
      </c>
      <c r="AU624" s="284" t="n">
        <f aca="false">IFERROR($G624*$J624*R624, "")</f>
        <v>0</v>
      </c>
      <c r="AV624" s="284" t="n">
        <f aca="false">IFERROR($G624*$J624*S624, "")</f>
        <v>0</v>
      </c>
      <c r="AW624" s="284" t="n">
        <f aca="false">IFERROR($G624*$J624*T624, "")</f>
        <v>0</v>
      </c>
      <c r="AX624" s="284" t="n">
        <f aca="false">IFERROR($G624*$J624*U624, "")</f>
        <v>0</v>
      </c>
      <c r="AY624" s="284" t="n">
        <f aca="false">IFERROR($G624*$J624*V624, "")</f>
        <v>0</v>
      </c>
      <c r="AZ624" s="284" t="n">
        <f aca="false">IFERROR($G624*$J624*W624, "")</f>
        <v>0</v>
      </c>
      <c r="BA624" s="286" t="n">
        <f aca="false">IFERROR(SUMIF($AO$4:$AZ$4, "RDEC", AO624:AZ624), "")</f>
        <v>0</v>
      </c>
      <c r="BB624" s="286" t="n">
        <f aca="false">IFERROR(SUMIF($AO$4:$AZ$4, "SME", AO624:AZ624), "")</f>
        <v>0</v>
      </c>
      <c r="BC624" s="286" t="n">
        <f aca="false">IFERROR(SUMIF($Y$4:$AJ$4, "De Minimis", AO624:AZ624), "")</f>
        <v>0</v>
      </c>
      <c r="BD624" s="287"/>
      <c r="BE624" s="288" t="str">
        <f aca="false">IF((SUM(L624:W624)&gt;1),"ERROR","")</f>
        <v/>
      </c>
    </row>
    <row r="625" customFormat="false" ht="15" hidden="false" customHeight="true" outlineLevel="0" collapsed="false">
      <c r="B625" s="333"/>
      <c r="C625" s="334"/>
      <c r="D625" s="333" t="n">
        <f aca="false">D609</f>
        <v>45536</v>
      </c>
      <c r="E625" s="277" t="n">
        <v>0</v>
      </c>
      <c r="F625" s="277" t="n">
        <v>0</v>
      </c>
      <c r="G625" s="277" t="n">
        <f aca="false">SUM(E625:F625)</f>
        <v>0</v>
      </c>
      <c r="H625" s="204"/>
      <c r="I625" s="279" t="n">
        <v>1</v>
      </c>
      <c r="J625" s="280" t="n">
        <f aca="false">1-I625</f>
        <v>0</v>
      </c>
      <c r="K625" s="277"/>
      <c r="L625" s="282"/>
      <c r="M625" s="282"/>
      <c r="N625" s="282"/>
      <c r="O625" s="282"/>
      <c r="P625" s="282"/>
      <c r="Q625" s="282"/>
      <c r="R625" s="282"/>
      <c r="S625" s="282"/>
      <c r="T625" s="282"/>
      <c r="U625" s="282"/>
      <c r="V625" s="282"/>
      <c r="W625" s="282"/>
      <c r="X625" s="283"/>
      <c r="Y625" s="284" t="n">
        <f aca="false">IFERROR(L625*$G625*I$9, "")</f>
        <v>0</v>
      </c>
      <c r="Z625" s="284" t="n">
        <f aca="false">IFERROR(M625*$G625*$I625, "")</f>
        <v>0</v>
      </c>
      <c r="AA625" s="284" t="n">
        <f aca="false">IFERROR(N625*$G625*$I625, "")</f>
        <v>0</v>
      </c>
      <c r="AB625" s="284" t="n">
        <f aca="false">IFERROR(O625*$G625*$I625, "")</f>
        <v>0</v>
      </c>
      <c r="AC625" s="284" t="n">
        <f aca="false">IFERROR(P625*$G625*$I625, "")</f>
        <v>0</v>
      </c>
      <c r="AD625" s="284" t="n">
        <f aca="false">IFERROR(Q625*$G625*$I625, "")</f>
        <v>0</v>
      </c>
      <c r="AE625" s="284" t="n">
        <f aca="false">IFERROR(R625*$G625*$I625, "")</f>
        <v>0</v>
      </c>
      <c r="AF625" s="284" t="n">
        <f aca="false">IFERROR(S625*$G625*$I625, "")</f>
        <v>0</v>
      </c>
      <c r="AG625" s="284" t="n">
        <f aca="false">IFERROR(T625*$G625*$I625, "")</f>
        <v>0</v>
      </c>
      <c r="AH625" s="284" t="n">
        <f aca="false">IFERROR(U625*$G625*$I625, "")</f>
        <v>0</v>
      </c>
      <c r="AI625" s="284" t="n">
        <f aca="false">IFERROR(V625*$G625*$I625, "")</f>
        <v>0</v>
      </c>
      <c r="AJ625" s="284" t="n">
        <f aca="false">IFERROR(W625*$G625*$I625, "")</f>
        <v>0</v>
      </c>
      <c r="AK625" s="286" t="n">
        <f aca="false">IFERROR(SUMIF($Y$4:$AJ$4, "RDEC", Y625:AJ625), "")</f>
        <v>0</v>
      </c>
      <c r="AL625" s="286" t="n">
        <f aca="false">IFERROR(SUMIF($Y$4:$AJ$4, "SME", Y625:AJ625), "")</f>
        <v>0</v>
      </c>
      <c r="AM625" s="286" t="n">
        <f aca="false">IFERROR(SUMIF($Y$4:$AJ$4, "De Minimis", Y625:AJ625), "")</f>
        <v>0</v>
      </c>
      <c r="AN625" s="283"/>
      <c r="AO625" s="284" t="n">
        <f aca="false">IFERROR($G625*$J625*L625, "")</f>
        <v>0</v>
      </c>
      <c r="AP625" s="284" t="n">
        <f aca="false">IFERROR($G625*$J625*M625, "")</f>
        <v>0</v>
      </c>
      <c r="AQ625" s="284" t="n">
        <f aca="false">IFERROR($G625*$J625*N625, "")</f>
        <v>0</v>
      </c>
      <c r="AR625" s="284" t="n">
        <f aca="false">IFERROR($G625*$J625*O625, "")</f>
        <v>0</v>
      </c>
      <c r="AS625" s="284" t="n">
        <f aca="false">IFERROR($G625*$J625*P625, "")</f>
        <v>0</v>
      </c>
      <c r="AT625" s="284" t="n">
        <f aca="false">IFERROR($G625*$J625*Q625, "")</f>
        <v>0</v>
      </c>
      <c r="AU625" s="284" t="n">
        <f aca="false">IFERROR($G625*$J625*R625, "")</f>
        <v>0</v>
      </c>
      <c r="AV625" s="284" t="n">
        <f aca="false">IFERROR($G625*$J625*S625, "")</f>
        <v>0</v>
      </c>
      <c r="AW625" s="284" t="n">
        <f aca="false">IFERROR($G625*$J625*T625, "")</f>
        <v>0</v>
      </c>
      <c r="AX625" s="284" t="n">
        <f aca="false">IFERROR($G625*$J625*U625, "")</f>
        <v>0</v>
      </c>
      <c r="AY625" s="284" t="n">
        <f aca="false">IFERROR($G625*$J625*V625, "")</f>
        <v>0</v>
      </c>
      <c r="AZ625" s="284" t="n">
        <f aca="false">IFERROR($G625*$J625*W625, "")</f>
        <v>0</v>
      </c>
      <c r="BA625" s="286" t="n">
        <f aca="false">IFERROR(SUMIF($AO$4:$AZ$4, "RDEC", AO625:AZ625), "")</f>
        <v>0</v>
      </c>
      <c r="BB625" s="286" t="n">
        <f aca="false">IFERROR(SUMIF($AO$4:$AZ$4, "SME", AO625:AZ625), "")</f>
        <v>0</v>
      </c>
      <c r="BC625" s="286" t="n">
        <f aca="false">IFERROR(SUMIF($Y$4:$AJ$4, "De Minimis", AO625:AZ625), "")</f>
        <v>0</v>
      </c>
      <c r="BD625" s="287"/>
      <c r="BE625" s="288" t="str">
        <f aca="false">IF((SUM(L625:W625)&gt;1),"ERROR","")</f>
        <v/>
      </c>
    </row>
    <row r="626" customFormat="false" ht="15" hidden="false" customHeight="true" outlineLevel="0" collapsed="false">
      <c r="B626" s="333"/>
      <c r="C626" s="334"/>
      <c r="D626" s="333" t="n">
        <f aca="false">D610</f>
        <v>45566</v>
      </c>
      <c r="E626" s="277" t="n">
        <v>0</v>
      </c>
      <c r="F626" s="277" t="n">
        <v>0</v>
      </c>
      <c r="G626" s="277" t="n">
        <f aca="false">SUM(E626:F626)</f>
        <v>0</v>
      </c>
      <c r="H626" s="204"/>
      <c r="I626" s="279" t="n">
        <v>1</v>
      </c>
      <c r="J626" s="280" t="n">
        <f aca="false">1-I626</f>
        <v>0</v>
      </c>
      <c r="K626" s="277"/>
      <c r="L626" s="282"/>
      <c r="M626" s="282"/>
      <c r="N626" s="282"/>
      <c r="O626" s="282"/>
      <c r="P626" s="282"/>
      <c r="Q626" s="282"/>
      <c r="R626" s="282"/>
      <c r="S626" s="282"/>
      <c r="T626" s="282"/>
      <c r="U626" s="282"/>
      <c r="V626" s="282"/>
      <c r="W626" s="282"/>
      <c r="X626" s="283"/>
      <c r="Y626" s="284" t="n">
        <f aca="false">IFERROR(L626*$G626*I$9, "")</f>
        <v>0</v>
      </c>
      <c r="Z626" s="284" t="n">
        <f aca="false">IFERROR(M626*$G626*$I626, "")</f>
        <v>0</v>
      </c>
      <c r="AA626" s="284" t="n">
        <f aca="false">IFERROR(N626*$G626*$I626, "")</f>
        <v>0</v>
      </c>
      <c r="AB626" s="284" t="n">
        <f aca="false">IFERROR(O626*$G626*$I626, "")</f>
        <v>0</v>
      </c>
      <c r="AC626" s="284" t="n">
        <f aca="false">IFERROR(P626*$G626*$I626, "")</f>
        <v>0</v>
      </c>
      <c r="AD626" s="284" t="n">
        <f aca="false">IFERROR(Q626*$G626*$I626, "")</f>
        <v>0</v>
      </c>
      <c r="AE626" s="284" t="n">
        <f aca="false">IFERROR(R626*$G626*$I626, "")</f>
        <v>0</v>
      </c>
      <c r="AF626" s="284" t="n">
        <f aca="false">IFERROR(S626*$G626*$I626, "")</f>
        <v>0</v>
      </c>
      <c r="AG626" s="284" t="n">
        <f aca="false">IFERROR(T626*$G626*$I626, "")</f>
        <v>0</v>
      </c>
      <c r="AH626" s="284" t="n">
        <f aca="false">IFERROR(U626*$G626*$I626, "")</f>
        <v>0</v>
      </c>
      <c r="AI626" s="284" t="n">
        <f aca="false">IFERROR(V626*$G626*$I626, "")</f>
        <v>0</v>
      </c>
      <c r="AJ626" s="284" t="n">
        <f aca="false">IFERROR(W626*$G626*$I626, "")</f>
        <v>0</v>
      </c>
      <c r="AK626" s="286" t="n">
        <f aca="false">IFERROR(SUMIF($Y$4:$AJ$4, "RDEC", Y626:AJ626), "")</f>
        <v>0</v>
      </c>
      <c r="AL626" s="286" t="n">
        <f aca="false">IFERROR(SUMIF($Y$4:$AJ$4, "SME", Y626:AJ626), "")</f>
        <v>0</v>
      </c>
      <c r="AM626" s="286" t="n">
        <f aca="false">IFERROR(SUMIF($Y$4:$AJ$4, "De Minimis", Y626:AJ626), "")</f>
        <v>0</v>
      </c>
      <c r="AN626" s="283"/>
      <c r="AO626" s="284" t="n">
        <f aca="false">IFERROR($G626*$J626*L626, "")</f>
        <v>0</v>
      </c>
      <c r="AP626" s="284" t="n">
        <f aca="false">IFERROR($G626*$J626*M626, "")</f>
        <v>0</v>
      </c>
      <c r="AQ626" s="284" t="n">
        <f aca="false">IFERROR($G626*$J626*N626, "")</f>
        <v>0</v>
      </c>
      <c r="AR626" s="284" t="n">
        <f aca="false">IFERROR($G626*$J626*O626, "")</f>
        <v>0</v>
      </c>
      <c r="AS626" s="284" t="n">
        <f aca="false">IFERROR($G626*$J626*P626, "")</f>
        <v>0</v>
      </c>
      <c r="AT626" s="284" t="n">
        <f aca="false">IFERROR($G626*$J626*Q626, "")</f>
        <v>0</v>
      </c>
      <c r="AU626" s="284" t="n">
        <f aca="false">IFERROR($G626*$J626*R626, "")</f>
        <v>0</v>
      </c>
      <c r="AV626" s="284" t="n">
        <f aca="false">IFERROR($G626*$J626*S626, "")</f>
        <v>0</v>
      </c>
      <c r="AW626" s="284" t="n">
        <f aca="false">IFERROR($G626*$J626*T626, "")</f>
        <v>0</v>
      </c>
      <c r="AX626" s="284" t="n">
        <f aca="false">IFERROR($G626*$J626*U626, "")</f>
        <v>0</v>
      </c>
      <c r="AY626" s="284" t="n">
        <f aca="false">IFERROR($G626*$J626*V626, "")</f>
        <v>0</v>
      </c>
      <c r="AZ626" s="284" t="n">
        <f aca="false">IFERROR($G626*$J626*W626, "")</f>
        <v>0</v>
      </c>
      <c r="BA626" s="286" t="n">
        <f aca="false">IFERROR(SUMIF($AO$4:$AZ$4, "RDEC", AO626:AZ626), "")</f>
        <v>0</v>
      </c>
      <c r="BB626" s="286" t="n">
        <f aca="false">IFERROR(SUMIF($AO$4:$AZ$4, "SME", AO626:AZ626), "")</f>
        <v>0</v>
      </c>
      <c r="BC626" s="286" t="n">
        <f aca="false">IFERROR(SUMIF($Y$4:$AJ$4, "De Minimis", AO626:AZ626), "")</f>
        <v>0</v>
      </c>
      <c r="BD626" s="287"/>
      <c r="BE626" s="288" t="str">
        <f aca="false">IF((SUM(L626:W626)&gt;1),"ERROR","")</f>
        <v/>
      </c>
    </row>
    <row r="627" customFormat="false" ht="15" hidden="false" customHeight="true" outlineLevel="0" collapsed="false">
      <c r="B627" s="333"/>
      <c r="C627" s="334"/>
      <c r="D627" s="333" t="n">
        <f aca="false">D611</f>
        <v>45597</v>
      </c>
      <c r="E627" s="277" t="n">
        <v>0</v>
      </c>
      <c r="F627" s="277" t="n">
        <v>0</v>
      </c>
      <c r="G627" s="277" t="n">
        <f aca="false">SUM(E627:F627)</f>
        <v>0</v>
      </c>
      <c r="H627" s="204"/>
      <c r="I627" s="279" t="n">
        <v>1</v>
      </c>
      <c r="J627" s="280" t="n">
        <f aca="false">1-I627</f>
        <v>0</v>
      </c>
      <c r="K627" s="277"/>
      <c r="L627" s="282"/>
      <c r="M627" s="282"/>
      <c r="N627" s="282"/>
      <c r="O627" s="282"/>
      <c r="P627" s="282"/>
      <c r="Q627" s="282"/>
      <c r="R627" s="282"/>
      <c r="S627" s="282"/>
      <c r="T627" s="282"/>
      <c r="U627" s="282"/>
      <c r="V627" s="282"/>
      <c r="W627" s="282"/>
      <c r="X627" s="283"/>
      <c r="Y627" s="284" t="n">
        <f aca="false">IFERROR(L627*$G627*I$9, "")</f>
        <v>0</v>
      </c>
      <c r="Z627" s="284" t="n">
        <f aca="false">IFERROR(M627*$G627*$I627, "")</f>
        <v>0</v>
      </c>
      <c r="AA627" s="284" t="n">
        <f aca="false">IFERROR(N627*$G627*$I627, "")</f>
        <v>0</v>
      </c>
      <c r="AB627" s="284" t="n">
        <f aca="false">IFERROR(O627*$G627*$I627, "")</f>
        <v>0</v>
      </c>
      <c r="AC627" s="284" t="n">
        <f aca="false">IFERROR(P627*$G627*$I627, "")</f>
        <v>0</v>
      </c>
      <c r="AD627" s="284" t="n">
        <f aca="false">IFERROR(Q627*$G627*$I627, "")</f>
        <v>0</v>
      </c>
      <c r="AE627" s="284" t="n">
        <f aca="false">IFERROR(R627*$G627*$I627, "")</f>
        <v>0</v>
      </c>
      <c r="AF627" s="284" t="n">
        <f aca="false">IFERROR(S627*$G627*$I627, "")</f>
        <v>0</v>
      </c>
      <c r="AG627" s="284" t="n">
        <f aca="false">IFERROR(T627*$G627*$I627, "")</f>
        <v>0</v>
      </c>
      <c r="AH627" s="284" t="n">
        <f aca="false">IFERROR(U627*$G627*$I627, "")</f>
        <v>0</v>
      </c>
      <c r="AI627" s="284" t="n">
        <f aca="false">IFERROR(V627*$G627*$I627, "")</f>
        <v>0</v>
      </c>
      <c r="AJ627" s="284" t="n">
        <f aca="false">IFERROR(W627*$G627*$I627, "")</f>
        <v>0</v>
      </c>
      <c r="AK627" s="286" t="n">
        <f aca="false">IFERROR(SUMIF($Y$4:$AJ$4, "RDEC", Y627:AJ627), "")</f>
        <v>0</v>
      </c>
      <c r="AL627" s="286" t="n">
        <f aca="false">IFERROR(SUMIF($Y$4:$AJ$4, "SME", Y627:AJ627), "")</f>
        <v>0</v>
      </c>
      <c r="AM627" s="286" t="n">
        <f aca="false">IFERROR(SUMIF($Y$4:$AJ$4, "De Minimis", Y627:AJ627), "")</f>
        <v>0</v>
      </c>
      <c r="AN627" s="283"/>
      <c r="AO627" s="284" t="n">
        <f aca="false">IFERROR($G627*$J627*L627, "")</f>
        <v>0</v>
      </c>
      <c r="AP627" s="284" t="n">
        <f aca="false">IFERROR($G627*$J627*M627, "")</f>
        <v>0</v>
      </c>
      <c r="AQ627" s="284" t="n">
        <f aca="false">IFERROR($G627*$J627*N627, "")</f>
        <v>0</v>
      </c>
      <c r="AR627" s="284" t="n">
        <f aca="false">IFERROR($G627*$J627*O627, "")</f>
        <v>0</v>
      </c>
      <c r="AS627" s="284" t="n">
        <f aca="false">IFERROR($G627*$J627*P627, "")</f>
        <v>0</v>
      </c>
      <c r="AT627" s="284" t="n">
        <f aca="false">IFERROR($G627*$J627*Q627, "")</f>
        <v>0</v>
      </c>
      <c r="AU627" s="284" t="n">
        <f aca="false">IFERROR($G627*$J627*R627, "")</f>
        <v>0</v>
      </c>
      <c r="AV627" s="284" t="n">
        <f aca="false">IFERROR($G627*$J627*S627, "")</f>
        <v>0</v>
      </c>
      <c r="AW627" s="284" t="n">
        <f aca="false">IFERROR($G627*$J627*T627, "")</f>
        <v>0</v>
      </c>
      <c r="AX627" s="284" t="n">
        <f aca="false">IFERROR($G627*$J627*U627, "")</f>
        <v>0</v>
      </c>
      <c r="AY627" s="284" t="n">
        <f aca="false">IFERROR($G627*$J627*V627, "")</f>
        <v>0</v>
      </c>
      <c r="AZ627" s="284" t="n">
        <f aca="false">IFERROR($G627*$J627*W627, "")</f>
        <v>0</v>
      </c>
      <c r="BA627" s="286" t="n">
        <f aca="false">IFERROR(SUMIF($AO$4:$AZ$4, "RDEC", AO627:AZ627), "")</f>
        <v>0</v>
      </c>
      <c r="BB627" s="286" t="n">
        <f aca="false">IFERROR(SUMIF($AO$4:$AZ$4, "SME", AO627:AZ627), "")</f>
        <v>0</v>
      </c>
      <c r="BC627" s="286" t="n">
        <f aca="false">IFERROR(SUMIF($Y$4:$AJ$4, "De Minimis", AO627:AZ627), "")</f>
        <v>0</v>
      </c>
      <c r="BD627" s="287"/>
      <c r="BE627" s="288" t="str">
        <f aca="false">IF((SUM(L627:W627)&gt;1),"ERROR","")</f>
        <v/>
      </c>
    </row>
    <row r="628" customFormat="false" ht="15" hidden="false" customHeight="true" outlineLevel="0" collapsed="false">
      <c r="B628" s="333"/>
      <c r="C628" s="334"/>
      <c r="D628" s="333" t="n">
        <f aca="false">D612</f>
        <v>45627</v>
      </c>
      <c r="E628" s="277" t="n">
        <v>0</v>
      </c>
      <c r="F628" s="277" t="n">
        <v>0</v>
      </c>
      <c r="G628" s="277" t="n">
        <f aca="false">SUM(E628:F628)</f>
        <v>0</v>
      </c>
      <c r="H628" s="300"/>
      <c r="I628" s="289" t="n">
        <v>1</v>
      </c>
      <c r="J628" s="290" t="n">
        <f aca="false">1-I628</f>
        <v>0</v>
      </c>
      <c r="K628" s="300"/>
      <c r="L628" s="291"/>
      <c r="M628" s="291"/>
      <c r="N628" s="291"/>
      <c r="O628" s="291"/>
      <c r="P628" s="291"/>
      <c r="Q628" s="291"/>
      <c r="R628" s="291"/>
      <c r="S628" s="291"/>
      <c r="T628" s="291"/>
      <c r="U628" s="291"/>
      <c r="V628" s="291"/>
      <c r="W628" s="291"/>
      <c r="X628" s="283"/>
      <c r="Y628" s="284" t="n">
        <f aca="false">IFERROR(L628*$G628*I$9, "")</f>
        <v>0</v>
      </c>
      <c r="Z628" s="284" t="n">
        <f aca="false">IFERROR(M628*$G628*$I628, "")</f>
        <v>0</v>
      </c>
      <c r="AA628" s="284" t="n">
        <f aca="false">IFERROR(N628*$G628*$I628, "")</f>
        <v>0</v>
      </c>
      <c r="AB628" s="284" t="n">
        <f aca="false">IFERROR(O628*$G628*$I628, "")</f>
        <v>0</v>
      </c>
      <c r="AC628" s="284" t="n">
        <f aca="false">IFERROR(P628*$G628*$I628, "")</f>
        <v>0</v>
      </c>
      <c r="AD628" s="284" t="n">
        <f aca="false">IFERROR(Q628*$G628*$I628, "")</f>
        <v>0</v>
      </c>
      <c r="AE628" s="284" t="n">
        <f aca="false">IFERROR(R628*$G628*$I628, "")</f>
        <v>0</v>
      </c>
      <c r="AF628" s="284" t="n">
        <f aca="false">IFERROR(S628*$G628*$I628, "")</f>
        <v>0</v>
      </c>
      <c r="AG628" s="284" t="n">
        <f aca="false">IFERROR(T628*$G628*$I628, "")</f>
        <v>0</v>
      </c>
      <c r="AH628" s="284" t="n">
        <f aca="false">IFERROR(U628*$G628*$I628, "")</f>
        <v>0</v>
      </c>
      <c r="AI628" s="284" t="n">
        <f aca="false">IFERROR(V628*$G628*$I628, "")</f>
        <v>0</v>
      </c>
      <c r="AJ628" s="284" t="n">
        <f aca="false">IFERROR(W628*$G628*$I628, "")</f>
        <v>0</v>
      </c>
      <c r="AK628" s="294" t="n">
        <f aca="false">IFERROR(SUMIF($Y$4:$AJ$4, "RDEC", Y628:AJ628), "")</f>
        <v>0</v>
      </c>
      <c r="AL628" s="294" t="n">
        <f aca="false">IFERROR(SUMIF($Y$4:$AJ$4, "SME", Y628:AJ628), "")</f>
        <v>0</v>
      </c>
      <c r="AM628" s="294" t="n">
        <f aca="false">IFERROR(SUMIF($Y$4:$AJ$4, "De Minimis", Y628:AJ628), "")</f>
        <v>0</v>
      </c>
      <c r="AN628" s="283"/>
      <c r="AO628" s="284" t="n">
        <f aca="false">IFERROR($G628*$J628*L628, "")</f>
        <v>0</v>
      </c>
      <c r="AP628" s="284" t="n">
        <f aca="false">IFERROR($G628*$J628*M628, "")</f>
        <v>0</v>
      </c>
      <c r="AQ628" s="284" t="n">
        <f aca="false">IFERROR($G628*$J628*N628, "")</f>
        <v>0</v>
      </c>
      <c r="AR628" s="284" t="n">
        <f aca="false">IFERROR($G628*$J628*O628, "")</f>
        <v>0</v>
      </c>
      <c r="AS628" s="284" t="n">
        <f aca="false">IFERROR($G628*$J628*P628, "")</f>
        <v>0</v>
      </c>
      <c r="AT628" s="284" t="n">
        <f aca="false">IFERROR($G628*$J628*Q628, "")</f>
        <v>0</v>
      </c>
      <c r="AU628" s="284" t="n">
        <f aca="false">IFERROR($G628*$J628*R628, "")</f>
        <v>0</v>
      </c>
      <c r="AV628" s="284" t="n">
        <f aca="false">IFERROR($G628*$J628*S628, "")</f>
        <v>0</v>
      </c>
      <c r="AW628" s="284" t="n">
        <f aca="false">IFERROR($G628*$J628*T628, "")</f>
        <v>0</v>
      </c>
      <c r="AX628" s="284" t="n">
        <f aca="false">IFERROR($G628*$J628*U628, "")</f>
        <v>0</v>
      </c>
      <c r="AY628" s="284" t="n">
        <f aca="false">IFERROR($G628*$J628*V628, "")</f>
        <v>0</v>
      </c>
      <c r="AZ628" s="284" t="n">
        <f aca="false">IFERROR($G628*$J628*W628, "")</f>
        <v>0</v>
      </c>
      <c r="BA628" s="286" t="n">
        <f aca="false">IFERROR(SUMIF($AO$4:$AZ$4, "RDEC", AO628:AZ628), "")</f>
        <v>0</v>
      </c>
      <c r="BB628" s="286" t="n">
        <f aca="false">IFERROR(SUMIF($AO$4:$AZ$4, "SME", AO628:AZ628), "")</f>
        <v>0</v>
      </c>
      <c r="BC628" s="294" t="n">
        <f aca="false">IFERROR(SUMIF($Y$4:$AJ$4, "De Minimis", AO628:AZ628), "")</f>
        <v>0</v>
      </c>
      <c r="BD628" s="303"/>
      <c r="BE628" s="295" t="str">
        <f aca="false">IF((SUM(L628:W628)&gt;1),"ERROR","")</f>
        <v/>
      </c>
    </row>
    <row r="629" customFormat="false" ht="15" hidden="false" customHeight="true" outlineLevel="0" collapsed="false">
      <c r="B629" s="296"/>
      <c r="D629" s="297" t="s">
        <v>82</v>
      </c>
      <c r="E629" s="299" t="n">
        <f aca="false">SUM(E617:E628)</f>
        <v>0</v>
      </c>
      <c r="F629" s="299" t="n">
        <f aca="false">SUM(F617:F628)</f>
        <v>0</v>
      </c>
      <c r="G629" s="299" t="n">
        <f aca="false">SUM(G617:G628)</f>
        <v>0</v>
      </c>
      <c r="H629" s="300"/>
      <c r="I629" s="301" t="n">
        <f aca="false">AVERAGE(I617:I628)</f>
        <v>1</v>
      </c>
      <c r="J629" s="301" t="n">
        <f aca="false">AVERAGE(J617:J628)</f>
        <v>0</v>
      </c>
      <c r="K629" s="300"/>
      <c r="L629" s="290" t="n">
        <f aca="false">IF(SUM(L617:L628)&gt;0,(Y629/G629),0)</f>
        <v>0</v>
      </c>
      <c r="M629" s="301" t="n">
        <f aca="false">IF(SUM(M617:M628)&gt;0,(Z629/G629),0)</f>
        <v>0</v>
      </c>
      <c r="N629" s="301" t="n">
        <f aca="false">IF(SUM(N617:N628)&gt;0,(AA629/G629),0)</f>
        <v>0</v>
      </c>
      <c r="O629" s="301" t="n">
        <f aca="false">IF(SUM(O617:O628)&gt;0,(AB629/G629),0)</f>
        <v>0</v>
      </c>
      <c r="P629" s="301" t="n">
        <f aca="false">IF(SUM(P617:P628)&gt;0,(AC629/G629),0)</f>
        <v>0</v>
      </c>
      <c r="Q629" s="301" t="n">
        <f aca="false">IF(SUM(Q617:Q628)&gt;0,(AD629/G629),0)</f>
        <v>0</v>
      </c>
      <c r="R629" s="301" t="n">
        <f aca="false">IF(SUM(R617:R628)&gt;0,(AE629/G629),0)</f>
        <v>0</v>
      </c>
      <c r="S629" s="301" t="n">
        <f aca="false">IF(SUM(S617:S628)&gt;0,(AF629/G629),0)</f>
        <v>0</v>
      </c>
      <c r="T629" s="301" t="n">
        <f aca="false">IF(SUM(T617:T628)&gt;0,(AG629/G629),0)</f>
        <v>0</v>
      </c>
      <c r="U629" s="301" t="n">
        <f aca="false">IF(SUM(U617:U628)&gt;0,(AJ629/G629),0)</f>
        <v>0</v>
      </c>
      <c r="V629" s="301" t="n">
        <f aca="false">IF(SUM(V617:V628)&gt;0,(AI629/G629),0)</f>
        <v>0</v>
      </c>
      <c r="W629" s="301" t="n">
        <f aca="false">IF(SUM(W617:W628)&gt;0,(AJ629/G629),0)</f>
        <v>0</v>
      </c>
      <c r="X629" s="283"/>
      <c r="Y629" s="304" t="n">
        <f aca="false">SUM(Y617:Y628)</f>
        <v>0</v>
      </c>
      <c r="Z629" s="304" t="n">
        <f aca="false">SUM(Z617:Z628)</f>
        <v>0</v>
      </c>
      <c r="AA629" s="304" t="n">
        <f aca="false">SUM(AA617:AA628)</f>
        <v>0</v>
      </c>
      <c r="AB629" s="304" t="n">
        <f aca="false">SUM(AB617:AB628)</f>
        <v>0</v>
      </c>
      <c r="AC629" s="304" t="n">
        <f aca="false">SUM(AC617:AC628)</f>
        <v>0</v>
      </c>
      <c r="AD629" s="304" t="n">
        <f aca="false">SUM(AD617:AD628)</f>
        <v>0</v>
      </c>
      <c r="AE629" s="304" t="n">
        <f aca="false">SUM(AE617:AE628)</f>
        <v>0</v>
      </c>
      <c r="AF629" s="304" t="n">
        <f aca="false">SUM(AF617:AF628)</f>
        <v>0</v>
      </c>
      <c r="AG629" s="304" t="n">
        <f aca="false">SUM(AG617:AG628)</f>
        <v>0</v>
      </c>
      <c r="AH629" s="304" t="n">
        <f aca="false">SUM(AH617:AH628)</f>
        <v>0</v>
      </c>
      <c r="AI629" s="304" t="n">
        <f aca="false">SUM(AI617:AI628)</f>
        <v>0</v>
      </c>
      <c r="AJ629" s="304" t="n">
        <f aca="false">SUM(AJ617:AJ628)</f>
        <v>0</v>
      </c>
      <c r="AK629" s="335" t="n">
        <f aca="false">SUM(AK617:AK628)</f>
        <v>0</v>
      </c>
      <c r="AL629" s="336" t="n">
        <f aca="false">SUM(AL617:AL628)</f>
        <v>0</v>
      </c>
      <c r="AM629" s="305" t="n">
        <f aca="false">SUM(AM617:AM628)</f>
        <v>0</v>
      </c>
      <c r="AN629" s="283"/>
      <c r="AO629" s="304" t="n">
        <f aca="false">SUM(AO617:AO628)</f>
        <v>0</v>
      </c>
      <c r="AP629" s="304" t="n">
        <f aca="false">SUM(AP617:AP628)</f>
        <v>0</v>
      </c>
      <c r="AQ629" s="304" t="n">
        <f aca="false">SUM(AQ617:AQ628)</f>
        <v>0</v>
      </c>
      <c r="AR629" s="304" t="n">
        <f aca="false">SUM(AR617:AR628)</f>
        <v>0</v>
      </c>
      <c r="AS629" s="304" t="n">
        <f aca="false">SUM(AS617:AS628)</f>
        <v>0</v>
      </c>
      <c r="AT629" s="304" t="n">
        <f aca="false">SUM(AT617:AT628)</f>
        <v>0</v>
      </c>
      <c r="AU629" s="304" t="n">
        <f aca="false">SUM(AU617:AU628)</f>
        <v>0</v>
      </c>
      <c r="AV629" s="304" t="n">
        <f aca="false">SUM(AV617:AV628)</f>
        <v>0</v>
      </c>
      <c r="AW629" s="304" t="n">
        <f aca="false">SUM(AW617:AW628)</f>
        <v>0</v>
      </c>
      <c r="AX629" s="304" t="n">
        <f aca="false">SUM(AX617:AX628)</f>
        <v>0</v>
      </c>
      <c r="AY629" s="304" t="n">
        <f aca="false">SUM(AY617:AY628)</f>
        <v>0</v>
      </c>
      <c r="AZ629" s="304" t="n">
        <f aca="false">SUM(AZ617:AZ628)</f>
        <v>0</v>
      </c>
      <c r="BA629" s="336" t="n">
        <f aca="false">SUM(BA617:BA628)</f>
        <v>0</v>
      </c>
      <c r="BB629" s="336" t="n">
        <f aca="false">SUM(BB617:BB628)</f>
        <v>0</v>
      </c>
      <c r="BC629" s="305" t="n">
        <f aca="false">SUM(BC617:BC628)</f>
        <v>0</v>
      </c>
      <c r="BD629" s="303"/>
      <c r="BE629" s="337"/>
    </row>
    <row r="630" customFormat="false" ht="15" hidden="false" customHeight="true" outlineLevel="0" collapsed="false">
      <c r="B630" s="296"/>
      <c r="D630" s="297"/>
      <c r="E630" s="300"/>
      <c r="F630" s="300"/>
      <c r="G630" s="300"/>
      <c r="H630" s="241"/>
      <c r="I630" s="302"/>
      <c r="J630" s="302"/>
      <c r="K630" s="241"/>
      <c r="L630" s="259"/>
      <c r="M630" s="259"/>
      <c r="N630" s="259"/>
      <c r="O630" s="259"/>
      <c r="P630" s="259"/>
      <c r="Q630" s="259"/>
      <c r="R630" s="259"/>
      <c r="S630" s="259"/>
      <c r="T630" s="259"/>
      <c r="U630" s="259"/>
      <c r="V630" s="259"/>
      <c r="W630" s="259"/>
      <c r="X630" s="303"/>
      <c r="Y630" s="259"/>
      <c r="Z630" s="303"/>
      <c r="AA630" s="303"/>
      <c r="AB630" s="303"/>
      <c r="AC630" s="303"/>
      <c r="AD630" s="303"/>
      <c r="AE630" s="303"/>
      <c r="AF630" s="303"/>
      <c r="AG630" s="303"/>
      <c r="AH630" s="303"/>
      <c r="AI630" s="303"/>
      <c r="AJ630" s="303"/>
      <c r="AK630" s="303"/>
      <c r="AL630" s="303"/>
      <c r="AM630" s="303"/>
      <c r="AN630" s="303"/>
      <c r="AO630" s="259"/>
      <c r="AP630" s="303"/>
      <c r="AQ630" s="303"/>
      <c r="AR630" s="303"/>
      <c r="AS630" s="303"/>
      <c r="AT630" s="303"/>
      <c r="AU630" s="303"/>
      <c r="AV630" s="303"/>
      <c r="AW630" s="303"/>
      <c r="AX630" s="303"/>
      <c r="AY630" s="303"/>
      <c r="AZ630" s="303"/>
      <c r="BA630" s="303"/>
      <c r="BB630" s="303"/>
      <c r="BC630" s="303"/>
      <c r="BD630" s="268"/>
      <c r="BE630" s="303"/>
    </row>
    <row r="631" customFormat="false" ht="15" hidden="false" customHeight="true" outlineLevel="0" collapsed="false">
      <c r="A631" s="198" t="n">
        <f aca="false">A615+1</f>
        <v>40</v>
      </c>
      <c r="B631" s="266" t="s">
        <v>253</v>
      </c>
      <c r="C631" s="266" t="s">
        <v>253</v>
      </c>
      <c r="D631" s="266"/>
      <c r="E631" s="241"/>
      <c r="F631" s="241"/>
      <c r="G631" s="241"/>
      <c r="H631" s="241"/>
      <c r="I631" s="241"/>
      <c r="J631" s="241"/>
      <c r="K631" s="277"/>
      <c r="L631" s="241"/>
      <c r="M631" s="241"/>
      <c r="N631" s="241"/>
      <c r="O631" s="241"/>
      <c r="P631" s="241"/>
      <c r="Q631" s="241"/>
      <c r="R631" s="241"/>
      <c r="S631" s="241"/>
      <c r="T631" s="241"/>
      <c r="U631" s="241"/>
      <c r="V631" s="241"/>
      <c r="W631" s="241"/>
      <c r="X631" s="259"/>
      <c r="Y631" s="268"/>
      <c r="Z631" s="268"/>
      <c r="AA631" s="268"/>
      <c r="AB631" s="268"/>
      <c r="AC631" s="268"/>
      <c r="AD631" s="268"/>
      <c r="AE631" s="268"/>
      <c r="AF631" s="268"/>
      <c r="AG631" s="268"/>
      <c r="AH631" s="268"/>
      <c r="AI631" s="268"/>
      <c r="AJ631" s="268"/>
      <c r="AK631" s="268"/>
      <c r="AL631" s="268"/>
      <c r="AM631" s="268"/>
      <c r="AN631" s="259"/>
      <c r="AO631" s="268"/>
      <c r="AP631" s="268"/>
      <c r="AQ631" s="268"/>
      <c r="AR631" s="268"/>
      <c r="AS631" s="268"/>
      <c r="AT631" s="268"/>
      <c r="AU631" s="268"/>
      <c r="AV631" s="268"/>
      <c r="AW631" s="268"/>
      <c r="AX631" s="268"/>
      <c r="AY631" s="268"/>
      <c r="AZ631" s="268"/>
      <c r="BA631" s="268"/>
      <c r="BB631" s="268"/>
      <c r="BC631" s="268"/>
      <c r="BD631" s="287"/>
      <c r="BE631" s="268"/>
    </row>
    <row r="632" customFormat="false" ht="7.5" hidden="false" customHeight="true" outlineLevel="0" collapsed="false">
      <c r="A632" s="198"/>
      <c r="B632" s="266"/>
      <c r="C632" s="266"/>
      <c r="D632" s="266"/>
      <c r="E632" s="241"/>
      <c r="F632" s="241"/>
      <c r="G632" s="241"/>
      <c r="H632" s="204"/>
      <c r="I632" s="269"/>
      <c r="J632" s="269"/>
      <c r="K632" s="277"/>
      <c r="L632" s="269"/>
      <c r="M632" s="269"/>
      <c r="N632" s="269"/>
      <c r="O632" s="269"/>
      <c r="P632" s="269"/>
      <c r="Q632" s="269"/>
      <c r="R632" s="269"/>
      <c r="S632" s="269"/>
      <c r="T632" s="269"/>
      <c r="U632" s="269"/>
      <c r="V632" s="269"/>
      <c r="W632" s="269"/>
      <c r="X632" s="259"/>
      <c r="Y632" s="271"/>
      <c r="Z632" s="271"/>
      <c r="AA632" s="271"/>
      <c r="AB632" s="271"/>
      <c r="AC632" s="271"/>
      <c r="AD632" s="271"/>
      <c r="AE632" s="271"/>
      <c r="AF632" s="271"/>
      <c r="AG632" s="271"/>
      <c r="AH632" s="271"/>
      <c r="AI632" s="271"/>
      <c r="AJ632" s="272"/>
      <c r="AK632" s="273"/>
      <c r="AL632" s="273"/>
      <c r="AM632" s="273"/>
      <c r="AN632" s="259"/>
      <c r="AO632" s="271"/>
      <c r="AP632" s="271"/>
      <c r="AQ632" s="271"/>
      <c r="AR632" s="271"/>
      <c r="AS632" s="271"/>
      <c r="AT632" s="271"/>
      <c r="AU632" s="271"/>
      <c r="AV632" s="271"/>
      <c r="AW632" s="271"/>
      <c r="AX632" s="271"/>
      <c r="AY632" s="271"/>
      <c r="AZ632" s="272"/>
      <c r="BA632" s="273"/>
      <c r="BB632" s="273"/>
      <c r="BC632" s="273"/>
      <c r="BD632" s="287"/>
      <c r="BE632" s="274"/>
    </row>
    <row r="633" customFormat="false" ht="15" hidden="false" customHeight="true" outlineLevel="0" collapsed="false">
      <c r="B633" s="333"/>
      <c r="C633" s="334"/>
      <c r="D633" s="333" t="n">
        <f aca="false">D617</f>
        <v>45292</v>
      </c>
      <c r="E633" s="277" t="n">
        <v>0</v>
      </c>
      <c r="F633" s="277" t="n">
        <v>0</v>
      </c>
      <c r="G633" s="277" t="n">
        <f aca="false">SUM(E633:F633)</f>
        <v>0</v>
      </c>
      <c r="H633" s="204"/>
      <c r="I633" s="279" t="n">
        <v>1</v>
      </c>
      <c r="J633" s="280" t="n">
        <f aca="false">1-I633</f>
        <v>0</v>
      </c>
      <c r="K633" s="277"/>
      <c r="L633" s="282"/>
      <c r="M633" s="282"/>
      <c r="N633" s="282"/>
      <c r="O633" s="282"/>
      <c r="P633" s="282"/>
      <c r="Q633" s="282"/>
      <c r="R633" s="282"/>
      <c r="S633" s="282"/>
      <c r="T633" s="282"/>
      <c r="U633" s="282"/>
      <c r="V633" s="282"/>
      <c r="W633" s="282"/>
      <c r="X633" s="268"/>
      <c r="Y633" s="284" t="n">
        <f aca="false">IFERROR(L633*$G633*I$9, "")</f>
        <v>0</v>
      </c>
      <c r="Z633" s="284" t="n">
        <f aca="false">IFERROR(M633*$G633*$I633, "")</f>
        <v>0</v>
      </c>
      <c r="AA633" s="284" t="n">
        <f aca="false">IFERROR(N633*$G633*$I633, "")</f>
        <v>0</v>
      </c>
      <c r="AB633" s="284" t="n">
        <f aca="false">IFERROR(O633*$G633*$I633, "")</f>
        <v>0</v>
      </c>
      <c r="AC633" s="284" t="n">
        <f aca="false">IFERROR(P633*$G633*$I633, "")</f>
        <v>0</v>
      </c>
      <c r="AD633" s="284" t="n">
        <f aca="false">IFERROR(Q633*$G633*$I633, "")</f>
        <v>0</v>
      </c>
      <c r="AE633" s="284" t="n">
        <f aca="false">IFERROR(R633*$G633*$I633, "")</f>
        <v>0</v>
      </c>
      <c r="AF633" s="284" t="n">
        <f aca="false">IFERROR(S633*$G633*$I633, "")</f>
        <v>0</v>
      </c>
      <c r="AG633" s="284" t="n">
        <f aca="false">IFERROR(T633*$G633*$I633, "")</f>
        <v>0</v>
      </c>
      <c r="AH633" s="284" t="n">
        <f aca="false">IFERROR(U633*$G633*$I633, "")</f>
        <v>0</v>
      </c>
      <c r="AI633" s="284" t="n">
        <f aca="false">IFERROR(V633*$G633*$I633, "")</f>
        <v>0</v>
      </c>
      <c r="AJ633" s="284" t="n">
        <f aca="false">IFERROR(W633*$G633*$I633, "")</f>
        <v>0</v>
      </c>
      <c r="AK633" s="286" t="n">
        <f aca="false">IFERROR(SUMIF($Y$4:$AJ$4, "RDEC", Y633:AJ633), "")</f>
        <v>0</v>
      </c>
      <c r="AL633" s="286" t="n">
        <f aca="false">IFERROR(SUMIF($Y$4:$AJ$4, "SME", Y633:AJ633), "")</f>
        <v>0</v>
      </c>
      <c r="AM633" s="286" t="n">
        <f aca="false">IFERROR(SUMIF($Y$4:$AJ$4, "De Minimis", Y633:AJ633), "")</f>
        <v>0</v>
      </c>
      <c r="AN633" s="268"/>
      <c r="AO633" s="284" t="n">
        <f aca="false">IFERROR($G633*$J633*L633, "")</f>
        <v>0</v>
      </c>
      <c r="AP633" s="284" t="n">
        <f aca="false">IFERROR($G633*$J633*M633, "")</f>
        <v>0</v>
      </c>
      <c r="AQ633" s="284" t="n">
        <f aca="false">IFERROR($G633*$J633*N633, "")</f>
        <v>0</v>
      </c>
      <c r="AR633" s="284" t="n">
        <f aca="false">IFERROR($G633*$J633*O633, "")</f>
        <v>0</v>
      </c>
      <c r="AS633" s="284" t="n">
        <f aca="false">IFERROR($G633*$J633*P633, "")</f>
        <v>0</v>
      </c>
      <c r="AT633" s="284" t="n">
        <f aca="false">IFERROR($G633*$J633*Q633, "")</f>
        <v>0</v>
      </c>
      <c r="AU633" s="284" t="n">
        <f aca="false">IFERROR($G633*$J633*R633, "")</f>
        <v>0</v>
      </c>
      <c r="AV633" s="284" t="n">
        <f aca="false">IFERROR($G633*$J633*S633, "")</f>
        <v>0</v>
      </c>
      <c r="AW633" s="284" t="n">
        <f aca="false">IFERROR($G633*$J633*T633, "")</f>
        <v>0</v>
      </c>
      <c r="AX633" s="284" t="n">
        <f aca="false">IFERROR($G633*$J633*U633, "")</f>
        <v>0</v>
      </c>
      <c r="AY633" s="284" t="n">
        <f aca="false">IFERROR($G633*$J633*V633, "")</f>
        <v>0</v>
      </c>
      <c r="AZ633" s="284" t="n">
        <f aca="false">IFERROR($G633*$J633*W633, "")</f>
        <v>0</v>
      </c>
      <c r="BA633" s="286" t="n">
        <f aca="false">IFERROR(SUMIF($AO$4:$AZ$4, "RDEC", AO633:AZ633), "")</f>
        <v>0</v>
      </c>
      <c r="BB633" s="286" t="n">
        <f aca="false">IFERROR(SUMIF($AO$4:$AZ$4, "SME", AO633:AZ633), "")</f>
        <v>0</v>
      </c>
      <c r="BC633" s="286" t="n">
        <f aca="false">IFERROR(SUMIF($AO$4:$AZ$4, "De Minimis", AO633:AZ633), "")</f>
        <v>0</v>
      </c>
      <c r="BD633" s="287"/>
      <c r="BE633" s="288" t="str">
        <f aca="false">IF((SUM(L633:W633)&gt;1),"ERROR","")</f>
        <v/>
      </c>
    </row>
    <row r="634" customFormat="false" ht="15" hidden="false" customHeight="true" outlineLevel="0" collapsed="false">
      <c r="B634" s="333"/>
      <c r="C634" s="334"/>
      <c r="D634" s="333" t="n">
        <f aca="false">D618</f>
        <v>45323</v>
      </c>
      <c r="E634" s="277" t="n">
        <v>0</v>
      </c>
      <c r="F634" s="277" t="n">
        <v>0</v>
      </c>
      <c r="G634" s="277" t="n">
        <f aca="false">SUM(E634:F634)</f>
        <v>0</v>
      </c>
      <c r="H634" s="204"/>
      <c r="I634" s="279" t="n">
        <v>1</v>
      </c>
      <c r="J634" s="280" t="n">
        <f aca="false">1-I634</f>
        <v>0</v>
      </c>
      <c r="K634" s="277"/>
      <c r="L634" s="282"/>
      <c r="M634" s="282"/>
      <c r="N634" s="282"/>
      <c r="O634" s="282"/>
      <c r="P634" s="282"/>
      <c r="Q634" s="282"/>
      <c r="R634" s="282"/>
      <c r="S634" s="282"/>
      <c r="T634" s="282"/>
      <c r="U634" s="282"/>
      <c r="V634" s="282"/>
      <c r="W634" s="282"/>
      <c r="X634" s="283"/>
      <c r="Y634" s="284" t="n">
        <f aca="false">IFERROR(L634*$G634*I$9, "")</f>
        <v>0</v>
      </c>
      <c r="Z634" s="284" t="n">
        <f aca="false">IFERROR(M634*$G634*$I634, "")</f>
        <v>0</v>
      </c>
      <c r="AA634" s="284" t="n">
        <f aca="false">IFERROR(N634*$G634*$I634, "")</f>
        <v>0</v>
      </c>
      <c r="AB634" s="284" t="n">
        <f aca="false">IFERROR(O634*$G634*$I634, "")</f>
        <v>0</v>
      </c>
      <c r="AC634" s="284" t="n">
        <f aca="false">IFERROR(P634*$G634*$I634, "")</f>
        <v>0</v>
      </c>
      <c r="AD634" s="284" t="n">
        <f aca="false">IFERROR(Q634*$G634*$I634, "")</f>
        <v>0</v>
      </c>
      <c r="AE634" s="284" t="n">
        <f aca="false">IFERROR(R634*$G634*$I634, "")</f>
        <v>0</v>
      </c>
      <c r="AF634" s="284" t="n">
        <f aca="false">IFERROR(S634*$G634*$I634, "")</f>
        <v>0</v>
      </c>
      <c r="AG634" s="284" t="n">
        <f aca="false">IFERROR(T634*$G634*$I634, "")</f>
        <v>0</v>
      </c>
      <c r="AH634" s="284" t="n">
        <f aca="false">IFERROR(U634*$G634*$I634, "")</f>
        <v>0</v>
      </c>
      <c r="AI634" s="284" t="n">
        <f aca="false">IFERROR(V634*$G634*$I634, "")</f>
        <v>0</v>
      </c>
      <c r="AJ634" s="284" t="n">
        <f aca="false">IFERROR(W634*$G634*$I634, "")</f>
        <v>0</v>
      </c>
      <c r="AK634" s="286" t="n">
        <f aca="false">IFERROR(SUMIF($Y$4:$AJ$4, "RDEC", Y634:AJ634), "")</f>
        <v>0</v>
      </c>
      <c r="AL634" s="286" t="n">
        <f aca="false">IFERROR(SUMIF($Y$4:$AJ$4, "SME", Y634:AJ634), "")</f>
        <v>0</v>
      </c>
      <c r="AM634" s="286" t="n">
        <f aca="false">IFERROR(SUMIF($Y$4:$AJ$4, "De Minimis", Y634:AJ634), "")</f>
        <v>0</v>
      </c>
      <c r="AN634" s="283"/>
      <c r="AO634" s="284" t="n">
        <f aca="false">IFERROR($G634*$J634*L634, "")</f>
        <v>0</v>
      </c>
      <c r="AP634" s="284" t="n">
        <f aca="false">IFERROR($G634*$J634*M634, "")</f>
        <v>0</v>
      </c>
      <c r="AQ634" s="284" t="n">
        <f aca="false">IFERROR($G634*$J634*N634, "")</f>
        <v>0</v>
      </c>
      <c r="AR634" s="284" t="n">
        <f aca="false">IFERROR($G634*$J634*O634, "")</f>
        <v>0</v>
      </c>
      <c r="AS634" s="284" t="n">
        <f aca="false">IFERROR($G634*$J634*P634, "")</f>
        <v>0</v>
      </c>
      <c r="AT634" s="284" t="n">
        <f aca="false">IFERROR($G634*$J634*Q634, "")</f>
        <v>0</v>
      </c>
      <c r="AU634" s="284" t="n">
        <f aca="false">IFERROR($G634*$J634*R634, "")</f>
        <v>0</v>
      </c>
      <c r="AV634" s="284" t="n">
        <f aca="false">IFERROR($G634*$J634*S634, "")</f>
        <v>0</v>
      </c>
      <c r="AW634" s="284" t="n">
        <f aca="false">IFERROR($G634*$J634*T634, "")</f>
        <v>0</v>
      </c>
      <c r="AX634" s="284" t="n">
        <f aca="false">IFERROR($G634*$J634*U634, "")</f>
        <v>0</v>
      </c>
      <c r="AY634" s="284" t="n">
        <f aca="false">IFERROR($G634*$J634*V634, "")</f>
        <v>0</v>
      </c>
      <c r="AZ634" s="284" t="n">
        <f aca="false">IFERROR($G634*$J634*W634, "")</f>
        <v>0</v>
      </c>
      <c r="BA634" s="286" t="n">
        <f aca="false">IFERROR(SUMIF($AO$4:$AZ$4, "RDEC", AO634:AZ634), "")</f>
        <v>0</v>
      </c>
      <c r="BB634" s="286" t="n">
        <f aca="false">IFERROR(SUMIF($AO$4:$AZ$4, "SME", AO634:AZ634), "")</f>
        <v>0</v>
      </c>
      <c r="BC634" s="286" t="n">
        <f aca="false">IFERROR(SUMIF($Y$4:$AJ$4, "De Minimis", AO634:AZ634), "")</f>
        <v>0</v>
      </c>
      <c r="BD634" s="287"/>
      <c r="BE634" s="288" t="str">
        <f aca="false">IF((SUM(L634:W634)&gt;1),"ERROR","")</f>
        <v/>
      </c>
    </row>
    <row r="635" customFormat="false" ht="15" hidden="false" customHeight="true" outlineLevel="0" collapsed="false">
      <c r="B635" s="333"/>
      <c r="C635" s="334"/>
      <c r="D635" s="333" t="n">
        <f aca="false">D619</f>
        <v>45352</v>
      </c>
      <c r="E635" s="277" t="n">
        <v>0</v>
      </c>
      <c r="F635" s="277" t="n">
        <v>0</v>
      </c>
      <c r="G635" s="277" t="n">
        <f aca="false">SUM(E635:F635)</f>
        <v>0</v>
      </c>
      <c r="H635" s="204"/>
      <c r="I635" s="279" t="n">
        <v>1</v>
      </c>
      <c r="J635" s="280" t="n">
        <f aca="false">1-I635</f>
        <v>0</v>
      </c>
      <c r="K635" s="277"/>
      <c r="L635" s="282"/>
      <c r="M635" s="282"/>
      <c r="N635" s="282"/>
      <c r="O635" s="282"/>
      <c r="P635" s="282"/>
      <c r="Q635" s="282"/>
      <c r="R635" s="282"/>
      <c r="S635" s="282"/>
      <c r="T635" s="282"/>
      <c r="U635" s="282"/>
      <c r="V635" s="282"/>
      <c r="W635" s="282"/>
      <c r="X635" s="283"/>
      <c r="Y635" s="284" t="n">
        <f aca="false">IFERROR(L635*$G635*I$9, "")</f>
        <v>0</v>
      </c>
      <c r="Z635" s="284" t="n">
        <f aca="false">IFERROR(M635*$G635*$I635, "")</f>
        <v>0</v>
      </c>
      <c r="AA635" s="284" t="n">
        <f aca="false">IFERROR(N635*$G635*$I635, "")</f>
        <v>0</v>
      </c>
      <c r="AB635" s="284" t="n">
        <f aca="false">IFERROR(O635*$G635*$I635, "")</f>
        <v>0</v>
      </c>
      <c r="AC635" s="284" t="n">
        <f aca="false">IFERROR(P635*$G635*$I635, "")</f>
        <v>0</v>
      </c>
      <c r="AD635" s="284" t="n">
        <f aca="false">IFERROR(Q635*$G635*$I635, "")</f>
        <v>0</v>
      </c>
      <c r="AE635" s="284" t="n">
        <f aca="false">IFERROR(R635*$G635*$I635, "")</f>
        <v>0</v>
      </c>
      <c r="AF635" s="284" t="n">
        <f aca="false">IFERROR(S635*$G635*$I635, "")</f>
        <v>0</v>
      </c>
      <c r="AG635" s="284" t="n">
        <f aca="false">IFERROR(T635*$G635*$I635, "")</f>
        <v>0</v>
      </c>
      <c r="AH635" s="284" t="n">
        <f aca="false">IFERROR(U635*$G635*$I635, "")</f>
        <v>0</v>
      </c>
      <c r="AI635" s="284" t="n">
        <f aca="false">IFERROR(V635*$G635*$I635, "")</f>
        <v>0</v>
      </c>
      <c r="AJ635" s="284" t="n">
        <f aca="false">IFERROR(W635*$G635*$I635, "")</f>
        <v>0</v>
      </c>
      <c r="AK635" s="286" t="n">
        <f aca="false">IFERROR(SUMIF($Y$4:$AJ$4, "RDEC", Y635:AJ635), "")</f>
        <v>0</v>
      </c>
      <c r="AL635" s="286" t="n">
        <f aca="false">IFERROR(SUMIF($Y$4:$AJ$4, "SME", Y635:AJ635), "")</f>
        <v>0</v>
      </c>
      <c r="AM635" s="286" t="n">
        <f aca="false">IFERROR(SUMIF($Y$4:$AJ$4, "De Minimis", Y635:AJ635), "")</f>
        <v>0</v>
      </c>
      <c r="AN635" s="283"/>
      <c r="AO635" s="284" t="n">
        <f aca="false">IFERROR($G635*$J635*L635, "")</f>
        <v>0</v>
      </c>
      <c r="AP635" s="284" t="n">
        <f aca="false">IFERROR($G635*$J635*M635, "")</f>
        <v>0</v>
      </c>
      <c r="AQ635" s="284" t="n">
        <f aca="false">IFERROR($G635*$J635*N635, "")</f>
        <v>0</v>
      </c>
      <c r="AR635" s="284" t="n">
        <f aca="false">IFERROR($G635*$J635*O635, "")</f>
        <v>0</v>
      </c>
      <c r="AS635" s="284" t="n">
        <f aca="false">IFERROR($G635*$J635*P635, "")</f>
        <v>0</v>
      </c>
      <c r="AT635" s="284" t="n">
        <f aca="false">IFERROR($G635*$J635*Q635, "")</f>
        <v>0</v>
      </c>
      <c r="AU635" s="284" t="n">
        <f aca="false">IFERROR($G635*$J635*R635, "")</f>
        <v>0</v>
      </c>
      <c r="AV635" s="284" t="n">
        <f aca="false">IFERROR($G635*$J635*S635, "")</f>
        <v>0</v>
      </c>
      <c r="AW635" s="284" t="n">
        <f aca="false">IFERROR($G635*$J635*T635, "")</f>
        <v>0</v>
      </c>
      <c r="AX635" s="284" t="n">
        <f aca="false">IFERROR($G635*$J635*U635, "")</f>
        <v>0</v>
      </c>
      <c r="AY635" s="284" t="n">
        <f aca="false">IFERROR($G635*$J635*V635, "")</f>
        <v>0</v>
      </c>
      <c r="AZ635" s="284" t="n">
        <f aca="false">IFERROR($G635*$J635*W635, "")</f>
        <v>0</v>
      </c>
      <c r="BA635" s="286" t="n">
        <f aca="false">IFERROR(SUMIF($AO$4:$AZ$4, "RDEC", AO635:AZ635), "")</f>
        <v>0</v>
      </c>
      <c r="BB635" s="286" t="n">
        <f aca="false">IFERROR(SUMIF($AO$4:$AZ$4, "SME", AO635:AZ635), "")</f>
        <v>0</v>
      </c>
      <c r="BC635" s="286" t="n">
        <f aca="false">IFERROR(SUMIF($Y$4:$AJ$4, "De Minimis", AO635:AZ635), "")</f>
        <v>0</v>
      </c>
      <c r="BD635" s="287"/>
      <c r="BE635" s="288" t="str">
        <f aca="false">IF((SUM(L635:W635)&gt;1),"ERROR","")</f>
        <v/>
      </c>
    </row>
    <row r="636" customFormat="false" ht="15" hidden="false" customHeight="true" outlineLevel="0" collapsed="false">
      <c r="B636" s="333"/>
      <c r="C636" s="334"/>
      <c r="D636" s="333" t="n">
        <f aca="false">D620</f>
        <v>45383</v>
      </c>
      <c r="E636" s="277" t="n">
        <v>0</v>
      </c>
      <c r="F636" s="277" t="n">
        <v>0</v>
      </c>
      <c r="G636" s="277" t="n">
        <f aca="false">SUM(E636:F636)</f>
        <v>0</v>
      </c>
      <c r="H636" s="204"/>
      <c r="I636" s="279" t="n">
        <v>1</v>
      </c>
      <c r="J636" s="280" t="n">
        <f aca="false">1-I636</f>
        <v>0</v>
      </c>
      <c r="K636" s="277"/>
      <c r="L636" s="282"/>
      <c r="M636" s="282"/>
      <c r="N636" s="282"/>
      <c r="O636" s="282"/>
      <c r="P636" s="282"/>
      <c r="Q636" s="282"/>
      <c r="R636" s="282"/>
      <c r="S636" s="282"/>
      <c r="T636" s="282"/>
      <c r="U636" s="282"/>
      <c r="V636" s="282"/>
      <c r="W636" s="282"/>
      <c r="X636" s="283"/>
      <c r="Y636" s="284" t="n">
        <f aca="false">IFERROR(L636*$G636*I$9, "")</f>
        <v>0</v>
      </c>
      <c r="Z636" s="284" t="n">
        <f aca="false">IFERROR(M636*$G636*$I636, "")</f>
        <v>0</v>
      </c>
      <c r="AA636" s="284" t="n">
        <f aca="false">IFERROR(N636*$G636*$I636, "")</f>
        <v>0</v>
      </c>
      <c r="AB636" s="284" t="n">
        <f aca="false">IFERROR(O636*$G636*$I636, "")</f>
        <v>0</v>
      </c>
      <c r="AC636" s="284" t="n">
        <f aca="false">IFERROR(P636*$G636*$I636, "")</f>
        <v>0</v>
      </c>
      <c r="AD636" s="284" t="n">
        <f aca="false">IFERROR(Q636*$G636*$I636, "")</f>
        <v>0</v>
      </c>
      <c r="AE636" s="284" t="n">
        <f aca="false">IFERROR(R636*$G636*$I636, "")</f>
        <v>0</v>
      </c>
      <c r="AF636" s="284" t="n">
        <f aca="false">IFERROR(S636*$G636*$I636, "")</f>
        <v>0</v>
      </c>
      <c r="AG636" s="284" t="n">
        <f aca="false">IFERROR(T636*$G636*$I636, "")</f>
        <v>0</v>
      </c>
      <c r="AH636" s="284" t="n">
        <f aca="false">IFERROR(U636*$G636*$I636, "")</f>
        <v>0</v>
      </c>
      <c r="AI636" s="284" t="n">
        <f aca="false">IFERROR(V636*$G636*$I636, "")</f>
        <v>0</v>
      </c>
      <c r="AJ636" s="284" t="n">
        <f aca="false">IFERROR(W636*$G636*$I636, "")</f>
        <v>0</v>
      </c>
      <c r="AK636" s="286" t="n">
        <f aca="false">IFERROR(SUMIF($Y$4:$AJ$4, "RDEC", Y636:AJ636), "")</f>
        <v>0</v>
      </c>
      <c r="AL636" s="286" t="n">
        <f aca="false">IFERROR(SUMIF($Y$4:$AJ$4, "SME", Y636:AJ636), "")</f>
        <v>0</v>
      </c>
      <c r="AM636" s="286" t="n">
        <f aca="false">IFERROR(SUMIF($Y$4:$AJ$4, "De Minimis", Y636:AJ636), "")</f>
        <v>0</v>
      </c>
      <c r="AN636" s="283"/>
      <c r="AO636" s="284" t="n">
        <f aca="false">IFERROR($G636*$J636*L636, "")</f>
        <v>0</v>
      </c>
      <c r="AP636" s="284" t="n">
        <f aca="false">IFERROR($G636*$J636*M636, "")</f>
        <v>0</v>
      </c>
      <c r="AQ636" s="284" t="n">
        <f aca="false">IFERROR($G636*$J636*N636, "")</f>
        <v>0</v>
      </c>
      <c r="AR636" s="284" t="n">
        <f aca="false">IFERROR($G636*$J636*O636, "")</f>
        <v>0</v>
      </c>
      <c r="AS636" s="284" t="n">
        <f aca="false">IFERROR($G636*$J636*P636, "")</f>
        <v>0</v>
      </c>
      <c r="AT636" s="284" t="n">
        <f aca="false">IFERROR($G636*$J636*Q636, "")</f>
        <v>0</v>
      </c>
      <c r="AU636" s="284" t="n">
        <f aca="false">IFERROR($G636*$J636*R636, "")</f>
        <v>0</v>
      </c>
      <c r="AV636" s="284" t="n">
        <f aca="false">IFERROR($G636*$J636*S636, "")</f>
        <v>0</v>
      </c>
      <c r="AW636" s="284" t="n">
        <f aca="false">IFERROR($G636*$J636*T636, "")</f>
        <v>0</v>
      </c>
      <c r="AX636" s="284" t="n">
        <f aca="false">IFERROR($G636*$J636*U636, "")</f>
        <v>0</v>
      </c>
      <c r="AY636" s="284" t="n">
        <f aca="false">IFERROR($G636*$J636*V636, "")</f>
        <v>0</v>
      </c>
      <c r="AZ636" s="284" t="n">
        <f aca="false">IFERROR($G636*$J636*W636, "")</f>
        <v>0</v>
      </c>
      <c r="BA636" s="286" t="n">
        <f aca="false">IFERROR(SUMIF($AO$4:$AZ$4, "RDEC", AO636:AZ636), "")</f>
        <v>0</v>
      </c>
      <c r="BB636" s="286" t="n">
        <f aca="false">IFERROR(SUMIF($AO$4:$AZ$4, "SME", AO636:AZ636), "")</f>
        <v>0</v>
      </c>
      <c r="BC636" s="286" t="n">
        <f aca="false">IFERROR(SUMIF($Y$4:$AJ$4, "De Minimis", AO636:AZ636), "")</f>
        <v>0</v>
      </c>
      <c r="BD636" s="287"/>
      <c r="BE636" s="288" t="str">
        <f aca="false">IF((SUM(L636:W636)&gt;1),"ERROR","")</f>
        <v/>
      </c>
    </row>
    <row r="637" customFormat="false" ht="15" hidden="false" customHeight="true" outlineLevel="0" collapsed="false">
      <c r="B637" s="333"/>
      <c r="C637" s="334"/>
      <c r="D637" s="333" t="n">
        <f aca="false">D621</f>
        <v>45413</v>
      </c>
      <c r="E637" s="277" t="n">
        <v>0</v>
      </c>
      <c r="F637" s="277" t="n">
        <v>0</v>
      </c>
      <c r="G637" s="277" t="n">
        <f aca="false">SUM(E637:F637)</f>
        <v>0</v>
      </c>
      <c r="H637" s="204"/>
      <c r="I637" s="279" t="n">
        <v>1</v>
      </c>
      <c r="J637" s="280" t="n">
        <f aca="false">1-I637</f>
        <v>0</v>
      </c>
      <c r="K637" s="277"/>
      <c r="L637" s="282"/>
      <c r="M637" s="282"/>
      <c r="N637" s="282"/>
      <c r="O637" s="282"/>
      <c r="P637" s="282"/>
      <c r="Q637" s="282"/>
      <c r="R637" s="282"/>
      <c r="S637" s="282"/>
      <c r="T637" s="282"/>
      <c r="U637" s="282"/>
      <c r="V637" s="282"/>
      <c r="W637" s="282"/>
      <c r="X637" s="283"/>
      <c r="Y637" s="284" t="n">
        <f aca="false">IFERROR(L637*$G637*I$9, "")</f>
        <v>0</v>
      </c>
      <c r="Z637" s="284" t="n">
        <f aca="false">IFERROR(M637*$G637*$I637, "")</f>
        <v>0</v>
      </c>
      <c r="AA637" s="284" t="n">
        <f aca="false">IFERROR(N637*$G637*$I637, "")</f>
        <v>0</v>
      </c>
      <c r="AB637" s="284" t="n">
        <f aca="false">IFERROR(O637*$G637*$I637, "")</f>
        <v>0</v>
      </c>
      <c r="AC637" s="284" t="n">
        <f aca="false">IFERROR(P637*$G637*$I637, "")</f>
        <v>0</v>
      </c>
      <c r="AD637" s="284" t="n">
        <f aca="false">IFERROR(Q637*$G637*$I637, "")</f>
        <v>0</v>
      </c>
      <c r="AE637" s="284" t="n">
        <f aca="false">IFERROR(R637*$G637*$I637, "")</f>
        <v>0</v>
      </c>
      <c r="AF637" s="284" t="n">
        <f aca="false">IFERROR(S637*$G637*$I637, "")</f>
        <v>0</v>
      </c>
      <c r="AG637" s="284" t="n">
        <f aca="false">IFERROR(T637*$G637*$I637, "")</f>
        <v>0</v>
      </c>
      <c r="AH637" s="284" t="n">
        <f aca="false">IFERROR(U637*$G637*$I637, "")</f>
        <v>0</v>
      </c>
      <c r="AI637" s="284" t="n">
        <f aca="false">IFERROR(V637*$G637*$I637, "")</f>
        <v>0</v>
      </c>
      <c r="AJ637" s="284" t="n">
        <f aca="false">IFERROR(W637*$G637*$I637, "")</f>
        <v>0</v>
      </c>
      <c r="AK637" s="286" t="n">
        <f aca="false">IFERROR(SUMIF($Y$4:$AJ$4, "RDEC", Y637:AJ637), "")</f>
        <v>0</v>
      </c>
      <c r="AL637" s="286" t="n">
        <f aca="false">IFERROR(SUMIF($Y$4:$AJ$4, "SME", Y637:AJ637), "")</f>
        <v>0</v>
      </c>
      <c r="AM637" s="286" t="n">
        <f aca="false">IFERROR(SUMIF($Y$4:$AJ$4, "De Minimis", Y637:AJ637), "")</f>
        <v>0</v>
      </c>
      <c r="AN637" s="283"/>
      <c r="AO637" s="284" t="n">
        <f aca="false">IFERROR($G637*$J637*L637, "")</f>
        <v>0</v>
      </c>
      <c r="AP637" s="284" t="n">
        <f aca="false">IFERROR($G637*$J637*M637, "")</f>
        <v>0</v>
      </c>
      <c r="AQ637" s="284" t="n">
        <f aca="false">IFERROR($G637*$J637*N637, "")</f>
        <v>0</v>
      </c>
      <c r="AR637" s="284" t="n">
        <f aca="false">IFERROR($G637*$J637*O637, "")</f>
        <v>0</v>
      </c>
      <c r="AS637" s="284" t="n">
        <f aca="false">IFERROR($G637*$J637*P637, "")</f>
        <v>0</v>
      </c>
      <c r="AT637" s="284" t="n">
        <f aca="false">IFERROR($G637*$J637*Q637, "")</f>
        <v>0</v>
      </c>
      <c r="AU637" s="284" t="n">
        <f aca="false">IFERROR($G637*$J637*R637, "")</f>
        <v>0</v>
      </c>
      <c r="AV637" s="284" t="n">
        <f aca="false">IFERROR($G637*$J637*S637, "")</f>
        <v>0</v>
      </c>
      <c r="AW637" s="284" t="n">
        <f aca="false">IFERROR($G637*$J637*T637, "")</f>
        <v>0</v>
      </c>
      <c r="AX637" s="284" t="n">
        <f aca="false">IFERROR($G637*$J637*U637, "")</f>
        <v>0</v>
      </c>
      <c r="AY637" s="284" t="n">
        <f aca="false">IFERROR($G637*$J637*V637, "")</f>
        <v>0</v>
      </c>
      <c r="AZ637" s="284" t="n">
        <f aca="false">IFERROR($G637*$J637*W637, "")</f>
        <v>0</v>
      </c>
      <c r="BA637" s="286" t="n">
        <f aca="false">IFERROR(SUMIF($AO$4:$AZ$4, "RDEC", AO637:AZ637), "")</f>
        <v>0</v>
      </c>
      <c r="BB637" s="286" t="n">
        <f aca="false">IFERROR(SUMIF($AO$4:$AZ$4, "SME", AO637:AZ637), "")</f>
        <v>0</v>
      </c>
      <c r="BC637" s="286" t="n">
        <f aca="false">IFERROR(SUMIF($Y$4:$AJ$4, "De Minimis", AO637:AZ637), "")</f>
        <v>0</v>
      </c>
      <c r="BD637" s="287"/>
      <c r="BE637" s="288" t="str">
        <f aca="false">IF((SUM(L637:W637)&gt;1),"ERROR","")</f>
        <v/>
      </c>
    </row>
    <row r="638" customFormat="false" ht="15" hidden="false" customHeight="true" outlineLevel="0" collapsed="false">
      <c r="B638" s="333"/>
      <c r="C638" s="334"/>
      <c r="D638" s="333" t="n">
        <f aca="false">D622</f>
        <v>45444</v>
      </c>
      <c r="E638" s="277" t="n">
        <v>0</v>
      </c>
      <c r="F638" s="277" t="n">
        <v>0</v>
      </c>
      <c r="G638" s="277" t="n">
        <f aca="false">SUM(E638:F638)</f>
        <v>0</v>
      </c>
      <c r="H638" s="204"/>
      <c r="I638" s="279" t="n">
        <v>1</v>
      </c>
      <c r="J638" s="280" t="n">
        <f aca="false">1-I638</f>
        <v>0</v>
      </c>
      <c r="K638" s="277"/>
      <c r="L638" s="282"/>
      <c r="M638" s="282"/>
      <c r="N638" s="282"/>
      <c r="O638" s="282"/>
      <c r="P638" s="282"/>
      <c r="Q638" s="282"/>
      <c r="R638" s="282"/>
      <c r="S638" s="282"/>
      <c r="T638" s="282"/>
      <c r="U638" s="282"/>
      <c r="V638" s="282"/>
      <c r="W638" s="282"/>
      <c r="X638" s="283"/>
      <c r="Y638" s="284" t="n">
        <f aca="false">IFERROR(L638*$G638*I$9, "")</f>
        <v>0</v>
      </c>
      <c r="Z638" s="284" t="n">
        <f aca="false">IFERROR(M638*$G638*$I638, "")</f>
        <v>0</v>
      </c>
      <c r="AA638" s="284" t="n">
        <f aca="false">IFERROR(N638*$G638*$I638, "")</f>
        <v>0</v>
      </c>
      <c r="AB638" s="284" t="n">
        <f aca="false">IFERROR(O638*$G638*$I638, "")</f>
        <v>0</v>
      </c>
      <c r="AC638" s="284" t="n">
        <f aca="false">IFERROR(P638*$G638*$I638, "")</f>
        <v>0</v>
      </c>
      <c r="AD638" s="284" t="n">
        <f aca="false">IFERROR(Q638*$G638*$I638, "")</f>
        <v>0</v>
      </c>
      <c r="AE638" s="284" t="n">
        <f aca="false">IFERROR(R638*$G638*$I638, "")</f>
        <v>0</v>
      </c>
      <c r="AF638" s="284" t="n">
        <f aca="false">IFERROR(S638*$G638*$I638, "")</f>
        <v>0</v>
      </c>
      <c r="AG638" s="284" t="n">
        <f aca="false">IFERROR(T638*$G638*$I638, "")</f>
        <v>0</v>
      </c>
      <c r="AH638" s="284" t="n">
        <f aca="false">IFERROR(U638*$G638*$I638, "")</f>
        <v>0</v>
      </c>
      <c r="AI638" s="284" t="n">
        <f aca="false">IFERROR(V638*$G638*$I638, "")</f>
        <v>0</v>
      </c>
      <c r="AJ638" s="284" t="n">
        <f aca="false">IFERROR(W638*$G638*$I638, "")</f>
        <v>0</v>
      </c>
      <c r="AK638" s="286" t="n">
        <f aca="false">IFERROR(SUMIF($Y$4:$AJ$4, "RDEC", Y638:AJ638), "")</f>
        <v>0</v>
      </c>
      <c r="AL638" s="286" t="n">
        <f aca="false">IFERROR(SUMIF($Y$4:$AJ$4, "SME", Y638:AJ638), "")</f>
        <v>0</v>
      </c>
      <c r="AM638" s="286" t="n">
        <f aca="false">IFERROR(SUMIF($Y$4:$AJ$4, "De Minimis", Y638:AJ638), "")</f>
        <v>0</v>
      </c>
      <c r="AN638" s="283"/>
      <c r="AO638" s="284" t="n">
        <f aca="false">IFERROR($G638*$J638*L638, "")</f>
        <v>0</v>
      </c>
      <c r="AP638" s="284" t="n">
        <f aca="false">IFERROR($G638*$J638*M638, "")</f>
        <v>0</v>
      </c>
      <c r="AQ638" s="284" t="n">
        <f aca="false">IFERROR($G638*$J638*N638, "")</f>
        <v>0</v>
      </c>
      <c r="AR638" s="284" t="n">
        <f aca="false">IFERROR($G638*$J638*O638, "")</f>
        <v>0</v>
      </c>
      <c r="AS638" s="284" t="n">
        <f aca="false">IFERROR($G638*$J638*P638, "")</f>
        <v>0</v>
      </c>
      <c r="AT638" s="284" t="n">
        <f aca="false">IFERROR($G638*$J638*Q638, "")</f>
        <v>0</v>
      </c>
      <c r="AU638" s="284" t="n">
        <f aca="false">IFERROR($G638*$J638*R638, "")</f>
        <v>0</v>
      </c>
      <c r="AV638" s="284" t="n">
        <f aca="false">IFERROR($G638*$J638*S638, "")</f>
        <v>0</v>
      </c>
      <c r="AW638" s="284" t="n">
        <f aca="false">IFERROR($G638*$J638*T638, "")</f>
        <v>0</v>
      </c>
      <c r="AX638" s="284" t="n">
        <f aca="false">IFERROR($G638*$J638*U638, "")</f>
        <v>0</v>
      </c>
      <c r="AY638" s="284" t="n">
        <f aca="false">IFERROR($G638*$J638*V638, "")</f>
        <v>0</v>
      </c>
      <c r="AZ638" s="284" t="n">
        <f aca="false">IFERROR($G638*$J638*W638, "")</f>
        <v>0</v>
      </c>
      <c r="BA638" s="286" t="n">
        <f aca="false">IFERROR(SUMIF($AO$4:$AZ$4, "RDEC", AO638:AZ638), "")</f>
        <v>0</v>
      </c>
      <c r="BB638" s="286" t="n">
        <f aca="false">IFERROR(SUMIF($AO$4:$AZ$4, "SME", AO638:AZ638), "")</f>
        <v>0</v>
      </c>
      <c r="BC638" s="286" t="n">
        <f aca="false">IFERROR(SUMIF($Y$4:$AJ$4, "De Minimis", AO638:AZ638), "")</f>
        <v>0</v>
      </c>
      <c r="BD638" s="287"/>
      <c r="BE638" s="288" t="str">
        <f aca="false">IF((SUM(L638:W638)&gt;1),"ERROR","")</f>
        <v/>
      </c>
    </row>
    <row r="639" customFormat="false" ht="15" hidden="false" customHeight="true" outlineLevel="0" collapsed="false">
      <c r="B639" s="333"/>
      <c r="C639" s="334"/>
      <c r="D639" s="333" t="n">
        <f aca="false">D623</f>
        <v>45474</v>
      </c>
      <c r="E639" s="277" t="n">
        <v>0</v>
      </c>
      <c r="F639" s="277" t="n">
        <v>0</v>
      </c>
      <c r="G639" s="277" t="n">
        <f aca="false">SUM(E639:F639)</f>
        <v>0</v>
      </c>
      <c r="H639" s="204"/>
      <c r="I639" s="279" t="n">
        <v>1</v>
      </c>
      <c r="J639" s="280" t="n">
        <f aca="false">1-I639</f>
        <v>0</v>
      </c>
      <c r="K639" s="277"/>
      <c r="L639" s="282"/>
      <c r="M639" s="282"/>
      <c r="N639" s="282"/>
      <c r="O639" s="282"/>
      <c r="P639" s="282"/>
      <c r="Q639" s="282"/>
      <c r="R639" s="282"/>
      <c r="S639" s="282"/>
      <c r="T639" s="282"/>
      <c r="U639" s="282"/>
      <c r="V639" s="282"/>
      <c r="W639" s="282"/>
      <c r="X639" s="283"/>
      <c r="Y639" s="284" t="n">
        <f aca="false">IFERROR(L639*$G639*I$9, "")</f>
        <v>0</v>
      </c>
      <c r="Z639" s="284" t="n">
        <f aca="false">IFERROR(M639*$G639*$I639, "")</f>
        <v>0</v>
      </c>
      <c r="AA639" s="284" t="n">
        <f aca="false">IFERROR(N639*$G639*$I639, "")</f>
        <v>0</v>
      </c>
      <c r="AB639" s="284" t="n">
        <f aca="false">IFERROR(O639*$G639*$I639, "")</f>
        <v>0</v>
      </c>
      <c r="AC639" s="284" t="n">
        <f aca="false">IFERROR(P639*$G639*$I639, "")</f>
        <v>0</v>
      </c>
      <c r="AD639" s="284" t="n">
        <f aca="false">IFERROR(Q639*$G639*$I639, "")</f>
        <v>0</v>
      </c>
      <c r="AE639" s="284" t="n">
        <f aca="false">IFERROR(R639*$G639*$I639, "")</f>
        <v>0</v>
      </c>
      <c r="AF639" s="284" t="n">
        <f aca="false">IFERROR(S639*$G639*$I639, "")</f>
        <v>0</v>
      </c>
      <c r="AG639" s="284" t="n">
        <f aca="false">IFERROR(T639*$G639*$I639, "")</f>
        <v>0</v>
      </c>
      <c r="AH639" s="284" t="n">
        <f aca="false">IFERROR(U639*$G639*$I639, "")</f>
        <v>0</v>
      </c>
      <c r="AI639" s="284" t="n">
        <f aca="false">IFERROR(V639*$G639*$I639, "")</f>
        <v>0</v>
      </c>
      <c r="AJ639" s="284" t="n">
        <f aca="false">IFERROR(W639*$G639*$I639, "")</f>
        <v>0</v>
      </c>
      <c r="AK639" s="286" t="n">
        <f aca="false">IFERROR(SUMIF($Y$4:$AJ$4, "RDEC", Y639:AJ639), "")</f>
        <v>0</v>
      </c>
      <c r="AL639" s="286" t="n">
        <f aca="false">IFERROR(SUMIF($Y$4:$AJ$4, "SME", Y639:AJ639), "")</f>
        <v>0</v>
      </c>
      <c r="AM639" s="286" t="n">
        <f aca="false">IFERROR(SUMIF($Y$4:$AJ$4, "De Minimis", Y639:AJ639), "")</f>
        <v>0</v>
      </c>
      <c r="AN639" s="283"/>
      <c r="AO639" s="284" t="n">
        <f aca="false">IFERROR($G639*$J639*L639, "")</f>
        <v>0</v>
      </c>
      <c r="AP639" s="284" t="n">
        <f aca="false">IFERROR($G639*$J639*M639, "")</f>
        <v>0</v>
      </c>
      <c r="AQ639" s="284" t="n">
        <f aca="false">IFERROR($G639*$J639*N639, "")</f>
        <v>0</v>
      </c>
      <c r="AR639" s="284" t="n">
        <f aca="false">IFERROR($G639*$J639*O639, "")</f>
        <v>0</v>
      </c>
      <c r="AS639" s="284" t="n">
        <f aca="false">IFERROR($G639*$J639*P639, "")</f>
        <v>0</v>
      </c>
      <c r="AT639" s="284" t="n">
        <f aca="false">IFERROR($G639*$J639*Q639, "")</f>
        <v>0</v>
      </c>
      <c r="AU639" s="284" t="n">
        <f aca="false">IFERROR($G639*$J639*R639, "")</f>
        <v>0</v>
      </c>
      <c r="AV639" s="284" t="n">
        <f aca="false">IFERROR($G639*$J639*S639, "")</f>
        <v>0</v>
      </c>
      <c r="AW639" s="284" t="n">
        <f aca="false">IFERROR($G639*$J639*T639, "")</f>
        <v>0</v>
      </c>
      <c r="AX639" s="284" t="n">
        <f aca="false">IFERROR($G639*$J639*U639, "")</f>
        <v>0</v>
      </c>
      <c r="AY639" s="284" t="n">
        <f aca="false">IFERROR($G639*$J639*V639, "")</f>
        <v>0</v>
      </c>
      <c r="AZ639" s="284" t="n">
        <f aca="false">IFERROR($G639*$J639*W639, "")</f>
        <v>0</v>
      </c>
      <c r="BA639" s="286" t="n">
        <f aca="false">IFERROR(SUMIF($AO$4:$AZ$4, "RDEC", AO639:AZ639), "")</f>
        <v>0</v>
      </c>
      <c r="BB639" s="286" t="n">
        <f aca="false">IFERROR(SUMIF($AO$4:$AZ$4, "SME", AO639:AZ639), "")</f>
        <v>0</v>
      </c>
      <c r="BC639" s="286" t="n">
        <f aca="false">IFERROR(SUMIF($Y$4:$AJ$4, "De Minimis", AO639:AZ639), "")</f>
        <v>0</v>
      </c>
      <c r="BD639" s="287"/>
      <c r="BE639" s="288" t="str">
        <f aca="false">IF((SUM(L639:W639)&gt;1),"ERROR","")</f>
        <v/>
      </c>
    </row>
    <row r="640" customFormat="false" ht="15" hidden="false" customHeight="true" outlineLevel="0" collapsed="false">
      <c r="B640" s="333"/>
      <c r="C640" s="334"/>
      <c r="D640" s="333" t="n">
        <f aca="false">D624</f>
        <v>45505</v>
      </c>
      <c r="E640" s="277" t="n">
        <v>0</v>
      </c>
      <c r="F640" s="277" t="n">
        <v>0</v>
      </c>
      <c r="G640" s="277" t="n">
        <f aca="false">SUM(E640:F640)</f>
        <v>0</v>
      </c>
      <c r="H640" s="204"/>
      <c r="I640" s="279" t="n">
        <v>1</v>
      </c>
      <c r="J640" s="280" t="n">
        <f aca="false">1-I640</f>
        <v>0</v>
      </c>
      <c r="K640" s="277"/>
      <c r="L640" s="282"/>
      <c r="M640" s="282"/>
      <c r="N640" s="282"/>
      <c r="O640" s="282"/>
      <c r="P640" s="282"/>
      <c r="Q640" s="282"/>
      <c r="R640" s="282"/>
      <c r="S640" s="282"/>
      <c r="T640" s="282"/>
      <c r="U640" s="282"/>
      <c r="V640" s="282"/>
      <c r="W640" s="282"/>
      <c r="X640" s="283"/>
      <c r="Y640" s="284" t="n">
        <f aca="false">IFERROR(L640*$G640*I$9, "")</f>
        <v>0</v>
      </c>
      <c r="Z640" s="284" t="n">
        <f aca="false">IFERROR(M640*$G640*$I640, "")</f>
        <v>0</v>
      </c>
      <c r="AA640" s="284" t="n">
        <f aca="false">IFERROR(N640*$G640*$I640, "")</f>
        <v>0</v>
      </c>
      <c r="AB640" s="284" t="n">
        <f aca="false">IFERROR(O640*$G640*$I640, "")</f>
        <v>0</v>
      </c>
      <c r="AC640" s="284" t="n">
        <f aca="false">IFERROR(P640*$G640*$I640, "")</f>
        <v>0</v>
      </c>
      <c r="AD640" s="284" t="n">
        <f aca="false">IFERROR(Q640*$G640*$I640, "")</f>
        <v>0</v>
      </c>
      <c r="AE640" s="284" t="n">
        <f aca="false">IFERROR(R640*$G640*$I640, "")</f>
        <v>0</v>
      </c>
      <c r="AF640" s="284" t="n">
        <f aca="false">IFERROR(S640*$G640*$I640, "")</f>
        <v>0</v>
      </c>
      <c r="AG640" s="284" t="n">
        <f aca="false">IFERROR(T640*$G640*$I640, "")</f>
        <v>0</v>
      </c>
      <c r="AH640" s="284" t="n">
        <f aca="false">IFERROR(U640*$G640*$I640, "")</f>
        <v>0</v>
      </c>
      <c r="AI640" s="284" t="n">
        <f aca="false">IFERROR(V640*$G640*$I640, "")</f>
        <v>0</v>
      </c>
      <c r="AJ640" s="284" t="n">
        <f aca="false">IFERROR(W640*$G640*$I640, "")</f>
        <v>0</v>
      </c>
      <c r="AK640" s="286" t="n">
        <f aca="false">IFERROR(SUMIF($Y$4:$AJ$4, "RDEC", Y640:AJ640), "")</f>
        <v>0</v>
      </c>
      <c r="AL640" s="286" t="n">
        <f aca="false">IFERROR(SUMIF($Y$4:$AJ$4, "SME", Y640:AJ640), "")</f>
        <v>0</v>
      </c>
      <c r="AM640" s="286" t="n">
        <f aca="false">IFERROR(SUMIF($Y$4:$AJ$4, "De Minimis", Y640:AJ640), "")</f>
        <v>0</v>
      </c>
      <c r="AN640" s="283"/>
      <c r="AO640" s="284" t="n">
        <f aca="false">IFERROR($G640*$J640*L640, "")</f>
        <v>0</v>
      </c>
      <c r="AP640" s="284" t="n">
        <f aca="false">IFERROR($G640*$J640*M640, "")</f>
        <v>0</v>
      </c>
      <c r="AQ640" s="284" t="n">
        <f aca="false">IFERROR($G640*$J640*N640, "")</f>
        <v>0</v>
      </c>
      <c r="AR640" s="284" t="n">
        <f aca="false">IFERROR($G640*$J640*O640, "")</f>
        <v>0</v>
      </c>
      <c r="AS640" s="284" t="n">
        <f aca="false">IFERROR($G640*$J640*P640, "")</f>
        <v>0</v>
      </c>
      <c r="AT640" s="284" t="n">
        <f aca="false">IFERROR($G640*$J640*Q640, "")</f>
        <v>0</v>
      </c>
      <c r="AU640" s="284" t="n">
        <f aca="false">IFERROR($G640*$J640*R640, "")</f>
        <v>0</v>
      </c>
      <c r="AV640" s="284" t="n">
        <f aca="false">IFERROR($G640*$J640*S640, "")</f>
        <v>0</v>
      </c>
      <c r="AW640" s="284" t="n">
        <f aca="false">IFERROR($G640*$J640*T640, "")</f>
        <v>0</v>
      </c>
      <c r="AX640" s="284" t="n">
        <f aca="false">IFERROR($G640*$J640*U640, "")</f>
        <v>0</v>
      </c>
      <c r="AY640" s="284" t="n">
        <f aca="false">IFERROR($G640*$J640*V640, "")</f>
        <v>0</v>
      </c>
      <c r="AZ640" s="284" t="n">
        <f aca="false">IFERROR($G640*$J640*W640, "")</f>
        <v>0</v>
      </c>
      <c r="BA640" s="286" t="n">
        <f aca="false">IFERROR(SUMIF($AO$4:$AZ$4, "RDEC", AO640:AZ640), "")</f>
        <v>0</v>
      </c>
      <c r="BB640" s="286" t="n">
        <f aca="false">IFERROR(SUMIF($AO$4:$AZ$4, "SME", AO640:AZ640), "")</f>
        <v>0</v>
      </c>
      <c r="BC640" s="286" t="n">
        <f aca="false">IFERROR(SUMIF($Y$4:$AJ$4, "De Minimis", AO640:AZ640), "")</f>
        <v>0</v>
      </c>
      <c r="BD640" s="287"/>
      <c r="BE640" s="288" t="str">
        <f aca="false">IF((SUM(L640:W640)&gt;1),"ERROR","")</f>
        <v/>
      </c>
    </row>
    <row r="641" customFormat="false" ht="15" hidden="false" customHeight="true" outlineLevel="0" collapsed="false">
      <c r="B641" s="333"/>
      <c r="C641" s="334"/>
      <c r="D641" s="333" t="n">
        <f aca="false">D625</f>
        <v>45536</v>
      </c>
      <c r="E641" s="277" t="n">
        <v>0</v>
      </c>
      <c r="F641" s="277" t="n">
        <v>0</v>
      </c>
      <c r="G641" s="277" t="n">
        <f aca="false">SUM(E641:F641)</f>
        <v>0</v>
      </c>
      <c r="H641" s="204"/>
      <c r="I641" s="279" t="n">
        <v>1</v>
      </c>
      <c r="J641" s="280" t="n">
        <f aca="false">1-I641</f>
        <v>0</v>
      </c>
      <c r="K641" s="277"/>
      <c r="L641" s="282"/>
      <c r="M641" s="282"/>
      <c r="N641" s="282"/>
      <c r="O641" s="282"/>
      <c r="P641" s="282"/>
      <c r="Q641" s="282"/>
      <c r="R641" s="282"/>
      <c r="S641" s="282"/>
      <c r="T641" s="282"/>
      <c r="U641" s="282"/>
      <c r="V641" s="282"/>
      <c r="W641" s="282"/>
      <c r="X641" s="283"/>
      <c r="Y641" s="284" t="n">
        <f aca="false">IFERROR(L641*$G641*I$9, "")</f>
        <v>0</v>
      </c>
      <c r="Z641" s="284" t="n">
        <f aca="false">IFERROR(M641*$G641*$I641, "")</f>
        <v>0</v>
      </c>
      <c r="AA641" s="284" t="n">
        <f aca="false">IFERROR(N641*$G641*$I641, "")</f>
        <v>0</v>
      </c>
      <c r="AB641" s="284" t="n">
        <f aca="false">IFERROR(O641*$G641*$I641, "")</f>
        <v>0</v>
      </c>
      <c r="AC641" s="284" t="n">
        <f aca="false">IFERROR(P641*$G641*$I641, "")</f>
        <v>0</v>
      </c>
      <c r="AD641" s="284" t="n">
        <f aca="false">IFERROR(Q641*$G641*$I641, "")</f>
        <v>0</v>
      </c>
      <c r="AE641" s="284" t="n">
        <f aca="false">IFERROR(R641*$G641*$I641, "")</f>
        <v>0</v>
      </c>
      <c r="AF641" s="284" t="n">
        <f aca="false">IFERROR(S641*$G641*$I641, "")</f>
        <v>0</v>
      </c>
      <c r="AG641" s="284" t="n">
        <f aca="false">IFERROR(T641*$G641*$I641, "")</f>
        <v>0</v>
      </c>
      <c r="AH641" s="284" t="n">
        <f aca="false">IFERROR(U641*$G641*$I641, "")</f>
        <v>0</v>
      </c>
      <c r="AI641" s="284" t="n">
        <f aca="false">IFERROR(V641*$G641*$I641, "")</f>
        <v>0</v>
      </c>
      <c r="AJ641" s="284" t="n">
        <f aca="false">IFERROR(W641*$G641*$I641, "")</f>
        <v>0</v>
      </c>
      <c r="AK641" s="286" t="n">
        <f aca="false">IFERROR(SUMIF($Y$4:$AJ$4, "RDEC", Y641:AJ641), "")</f>
        <v>0</v>
      </c>
      <c r="AL641" s="286" t="n">
        <f aca="false">IFERROR(SUMIF($Y$4:$AJ$4, "SME", Y641:AJ641), "")</f>
        <v>0</v>
      </c>
      <c r="AM641" s="286" t="n">
        <f aca="false">IFERROR(SUMIF($Y$4:$AJ$4, "De Minimis", Y641:AJ641), "")</f>
        <v>0</v>
      </c>
      <c r="AN641" s="283"/>
      <c r="AO641" s="284" t="n">
        <f aca="false">IFERROR($G641*$J641*L641, "")</f>
        <v>0</v>
      </c>
      <c r="AP641" s="284" t="n">
        <f aca="false">IFERROR($G641*$J641*M641, "")</f>
        <v>0</v>
      </c>
      <c r="AQ641" s="284" t="n">
        <f aca="false">IFERROR($G641*$J641*N641, "")</f>
        <v>0</v>
      </c>
      <c r="AR641" s="284" t="n">
        <f aca="false">IFERROR($G641*$J641*O641, "")</f>
        <v>0</v>
      </c>
      <c r="AS641" s="284" t="n">
        <f aca="false">IFERROR($G641*$J641*P641, "")</f>
        <v>0</v>
      </c>
      <c r="AT641" s="284" t="n">
        <f aca="false">IFERROR($G641*$J641*Q641, "")</f>
        <v>0</v>
      </c>
      <c r="AU641" s="284" t="n">
        <f aca="false">IFERROR($G641*$J641*R641, "")</f>
        <v>0</v>
      </c>
      <c r="AV641" s="284" t="n">
        <f aca="false">IFERROR($G641*$J641*S641, "")</f>
        <v>0</v>
      </c>
      <c r="AW641" s="284" t="n">
        <f aca="false">IFERROR($G641*$J641*T641, "")</f>
        <v>0</v>
      </c>
      <c r="AX641" s="284" t="n">
        <f aca="false">IFERROR($G641*$J641*U641, "")</f>
        <v>0</v>
      </c>
      <c r="AY641" s="284" t="n">
        <f aca="false">IFERROR($G641*$J641*V641, "")</f>
        <v>0</v>
      </c>
      <c r="AZ641" s="284" t="n">
        <f aca="false">IFERROR($G641*$J641*W641, "")</f>
        <v>0</v>
      </c>
      <c r="BA641" s="286" t="n">
        <f aca="false">IFERROR(SUMIF($AO$4:$AZ$4, "RDEC", AO641:AZ641), "")</f>
        <v>0</v>
      </c>
      <c r="BB641" s="286" t="n">
        <f aca="false">IFERROR(SUMIF($AO$4:$AZ$4, "SME", AO641:AZ641), "")</f>
        <v>0</v>
      </c>
      <c r="BC641" s="286" t="n">
        <f aca="false">IFERROR(SUMIF($Y$4:$AJ$4, "De Minimis", AO641:AZ641), "")</f>
        <v>0</v>
      </c>
      <c r="BD641" s="287"/>
      <c r="BE641" s="288" t="str">
        <f aca="false">IF((SUM(L641:W641)&gt;1),"ERROR","")</f>
        <v/>
      </c>
    </row>
    <row r="642" customFormat="false" ht="15" hidden="false" customHeight="true" outlineLevel="0" collapsed="false">
      <c r="B642" s="333"/>
      <c r="C642" s="334"/>
      <c r="D642" s="333" t="n">
        <f aca="false">D626</f>
        <v>45566</v>
      </c>
      <c r="E642" s="277" t="n">
        <v>0</v>
      </c>
      <c r="F642" s="277" t="n">
        <v>0</v>
      </c>
      <c r="G642" s="277" t="n">
        <f aca="false">SUM(E642:F642)</f>
        <v>0</v>
      </c>
      <c r="H642" s="204"/>
      <c r="I642" s="279" t="n">
        <v>1</v>
      </c>
      <c r="J642" s="280" t="n">
        <f aca="false">1-I642</f>
        <v>0</v>
      </c>
      <c r="K642" s="277"/>
      <c r="L642" s="282"/>
      <c r="M642" s="282"/>
      <c r="N642" s="282"/>
      <c r="O642" s="282"/>
      <c r="P642" s="282"/>
      <c r="Q642" s="282"/>
      <c r="R642" s="282"/>
      <c r="S642" s="282"/>
      <c r="T642" s="282"/>
      <c r="U642" s="282"/>
      <c r="V642" s="282"/>
      <c r="W642" s="282"/>
      <c r="X642" s="283"/>
      <c r="Y642" s="284" t="n">
        <f aca="false">IFERROR(L642*$G642*I$9, "")</f>
        <v>0</v>
      </c>
      <c r="Z642" s="284" t="n">
        <f aca="false">IFERROR(M642*$G642*$I642, "")</f>
        <v>0</v>
      </c>
      <c r="AA642" s="284" t="n">
        <f aca="false">IFERROR(N642*$G642*$I642, "")</f>
        <v>0</v>
      </c>
      <c r="AB642" s="284" t="n">
        <f aca="false">IFERROR(O642*$G642*$I642, "")</f>
        <v>0</v>
      </c>
      <c r="AC642" s="284" t="n">
        <f aca="false">IFERROR(P642*$G642*$I642, "")</f>
        <v>0</v>
      </c>
      <c r="AD642" s="284" t="n">
        <f aca="false">IFERROR(Q642*$G642*$I642, "")</f>
        <v>0</v>
      </c>
      <c r="AE642" s="284" t="n">
        <f aca="false">IFERROR(R642*$G642*$I642, "")</f>
        <v>0</v>
      </c>
      <c r="AF642" s="284" t="n">
        <f aca="false">IFERROR(S642*$G642*$I642, "")</f>
        <v>0</v>
      </c>
      <c r="AG642" s="284" t="n">
        <f aca="false">IFERROR(T642*$G642*$I642, "")</f>
        <v>0</v>
      </c>
      <c r="AH642" s="284" t="n">
        <f aca="false">IFERROR(U642*$G642*$I642, "")</f>
        <v>0</v>
      </c>
      <c r="AI642" s="284" t="n">
        <f aca="false">IFERROR(V642*$G642*$I642, "")</f>
        <v>0</v>
      </c>
      <c r="AJ642" s="284" t="n">
        <f aca="false">IFERROR(W642*$G642*$I642, "")</f>
        <v>0</v>
      </c>
      <c r="AK642" s="286" t="n">
        <f aca="false">IFERROR(SUMIF($Y$4:$AJ$4, "RDEC", Y642:AJ642), "")</f>
        <v>0</v>
      </c>
      <c r="AL642" s="286" t="n">
        <f aca="false">IFERROR(SUMIF($Y$4:$AJ$4, "SME", Y642:AJ642), "")</f>
        <v>0</v>
      </c>
      <c r="AM642" s="286" t="n">
        <f aca="false">IFERROR(SUMIF($Y$4:$AJ$4, "De Minimis", Y642:AJ642), "")</f>
        <v>0</v>
      </c>
      <c r="AN642" s="283"/>
      <c r="AO642" s="284" t="n">
        <f aca="false">IFERROR($G642*$J642*L642, "")</f>
        <v>0</v>
      </c>
      <c r="AP642" s="284" t="n">
        <f aca="false">IFERROR($G642*$J642*M642, "")</f>
        <v>0</v>
      </c>
      <c r="AQ642" s="284" t="n">
        <f aca="false">IFERROR($G642*$J642*N642, "")</f>
        <v>0</v>
      </c>
      <c r="AR642" s="284" t="n">
        <f aca="false">IFERROR($G642*$J642*O642, "")</f>
        <v>0</v>
      </c>
      <c r="AS642" s="284" t="n">
        <f aca="false">IFERROR($G642*$J642*P642, "")</f>
        <v>0</v>
      </c>
      <c r="AT642" s="284" t="n">
        <f aca="false">IFERROR($G642*$J642*Q642, "")</f>
        <v>0</v>
      </c>
      <c r="AU642" s="284" t="n">
        <f aca="false">IFERROR($G642*$J642*R642, "")</f>
        <v>0</v>
      </c>
      <c r="AV642" s="284" t="n">
        <f aca="false">IFERROR($G642*$J642*S642, "")</f>
        <v>0</v>
      </c>
      <c r="AW642" s="284" t="n">
        <f aca="false">IFERROR($G642*$J642*T642, "")</f>
        <v>0</v>
      </c>
      <c r="AX642" s="284" t="n">
        <f aca="false">IFERROR($G642*$J642*U642, "")</f>
        <v>0</v>
      </c>
      <c r="AY642" s="284" t="n">
        <f aca="false">IFERROR($G642*$J642*V642, "")</f>
        <v>0</v>
      </c>
      <c r="AZ642" s="284" t="n">
        <f aca="false">IFERROR($G642*$J642*W642, "")</f>
        <v>0</v>
      </c>
      <c r="BA642" s="286" t="n">
        <f aca="false">IFERROR(SUMIF($AO$4:$AZ$4, "RDEC", AO642:AZ642), "")</f>
        <v>0</v>
      </c>
      <c r="BB642" s="286" t="n">
        <f aca="false">IFERROR(SUMIF($AO$4:$AZ$4, "SME", AO642:AZ642), "")</f>
        <v>0</v>
      </c>
      <c r="BC642" s="286" t="n">
        <f aca="false">IFERROR(SUMIF($Y$4:$AJ$4, "De Minimis", AO642:AZ642), "")</f>
        <v>0</v>
      </c>
      <c r="BD642" s="287"/>
      <c r="BE642" s="288" t="str">
        <f aca="false">IF((SUM(L642:W642)&gt;1),"ERROR","")</f>
        <v/>
      </c>
    </row>
    <row r="643" customFormat="false" ht="15" hidden="false" customHeight="true" outlineLevel="0" collapsed="false">
      <c r="B643" s="333"/>
      <c r="C643" s="334"/>
      <c r="D643" s="333" t="n">
        <f aca="false">D627</f>
        <v>45597</v>
      </c>
      <c r="E643" s="277" t="n">
        <v>0</v>
      </c>
      <c r="F643" s="277" t="n">
        <v>0</v>
      </c>
      <c r="G643" s="277" t="n">
        <f aca="false">SUM(E643:F643)</f>
        <v>0</v>
      </c>
      <c r="H643" s="204"/>
      <c r="I643" s="279" t="n">
        <v>1</v>
      </c>
      <c r="J643" s="280" t="n">
        <f aca="false">1-I643</f>
        <v>0</v>
      </c>
      <c r="K643" s="277"/>
      <c r="L643" s="282"/>
      <c r="M643" s="282"/>
      <c r="N643" s="282"/>
      <c r="O643" s="282"/>
      <c r="P643" s="282"/>
      <c r="Q643" s="282"/>
      <c r="R643" s="282"/>
      <c r="S643" s="282"/>
      <c r="T643" s="282"/>
      <c r="U643" s="282"/>
      <c r="V643" s="282"/>
      <c r="W643" s="282"/>
      <c r="X643" s="283"/>
      <c r="Y643" s="284" t="n">
        <f aca="false">IFERROR(L643*$G643*I$9, "")</f>
        <v>0</v>
      </c>
      <c r="Z643" s="284" t="n">
        <f aca="false">IFERROR(M643*$G643*$I643, "")</f>
        <v>0</v>
      </c>
      <c r="AA643" s="284" t="n">
        <f aca="false">IFERROR(N643*$G643*$I643, "")</f>
        <v>0</v>
      </c>
      <c r="AB643" s="284" t="n">
        <f aca="false">IFERROR(O643*$G643*$I643, "")</f>
        <v>0</v>
      </c>
      <c r="AC643" s="284" t="n">
        <f aca="false">IFERROR(P643*$G643*$I643, "")</f>
        <v>0</v>
      </c>
      <c r="AD643" s="284" t="n">
        <f aca="false">IFERROR(Q643*$G643*$I643, "")</f>
        <v>0</v>
      </c>
      <c r="AE643" s="284" t="n">
        <f aca="false">IFERROR(R643*$G643*$I643, "")</f>
        <v>0</v>
      </c>
      <c r="AF643" s="284" t="n">
        <f aca="false">IFERROR(S643*$G643*$I643, "")</f>
        <v>0</v>
      </c>
      <c r="AG643" s="284" t="n">
        <f aca="false">IFERROR(T643*$G643*$I643, "")</f>
        <v>0</v>
      </c>
      <c r="AH643" s="284" t="n">
        <f aca="false">IFERROR(U643*$G643*$I643, "")</f>
        <v>0</v>
      </c>
      <c r="AI643" s="284" t="n">
        <f aca="false">IFERROR(V643*$G643*$I643, "")</f>
        <v>0</v>
      </c>
      <c r="AJ643" s="284" t="n">
        <f aca="false">IFERROR(W643*$G643*$I643, "")</f>
        <v>0</v>
      </c>
      <c r="AK643" s="286" t="n">
        <f aca="false">IFERROR(SUMIF($Y$4:$AJ$4, "RDEC", Y643:AJ643), "")</f>
        <v>0</v>
      </c>
      <c r="AL643" s="286" t="n">
        <f aca="false">IFERROR(SUMIF($Y$4:$AJ$4, "SME", Y643:AJ643), "")</f>
        <v>0</v>
      </c>
      <c r="AM643" s="286" t="n">
        <f aca="false">IFERROR(SUMIF($Y$4:$AJ$4, "De Minimis", Y643:AJ643), "")</f>
        <v>0</v>
      </c>
      <c r="AN643" s="283"/>
      <c r="AO643" s="284" t="n">
        <f aca="false">IFERROR($G643*$J643*L643, "")</f>
        <v>0</v>
      </c>
      <c r="AP643" s="284" t="n">
        <f aca="false">IFERROR($G643*$J643*M643, "")</f>
        <v>0</v>
      </c>
      <c r="AQ643" s="284" t="n">
        <f aca="false">IFERROR($G643*$J643*N643, "")</f>
        <v>0</v>
      </c>
      <c r="AR643" s="284" t="n">
        <f aca="false">IFERROR($G643*$J643*O643, "")</f>
        <v>0</v>
      </c>
      <c r="AS643" s="284" t="n">
        <f aca="false">IFERROR($G643*$J643*P643, "")</f>
        <v>0</v>
      </c>
      <c r="AT643" s="284" t="n">
        <f aca="false">IFERROR($G643*$J643*Q643, "")</f>
        <v>0</v>
      </c>
      <c r="AU643" s="284" t="n">
        <f aca="false">IFERROR($G643*$J643*R643, "")</f>
        <v>0</v>
      </c>
      <c r="AV643" s="284" t="n">
        <f aca="false">IFERROR($G643*$J643*S643, "")</f>
        <v>0</v>
      </c>
      <c r="AW643" s="284" t="n">
        <f aca="false">IFERROR($G643*$J643*T643, "")</f>
        <v>0</v>
      </c>
      <c r="AX643" s="284" t="n">
        <f aca="false">IFERROR($G643*$J643*U643, "")</f>
        <v>0</v>
      </c>
      <c r="AY643" s="284" t="n">
        <f aca="false">IFERROR($G643*$J643*V643, "")</f>
        <v>0</v>
      </c>
      <c r="AZ643" s="284" t="n">
        <f aca="false">IFERROR($G643*$J643*W643, "")</f>
        <v>0</v>
      </c>
      <c r="BA643" s="286" t="n">
        <f aca="false">IFERROR(SUMIF($AO$4:$AZ$4, "RDEC", AO643:AZ643), "")</f>
        <v>0</v>
      </c>
      <c r="BB643" s="286" t="n">
        <f aca="false">IFERROR(SUMIF($AO$4:$AZ$4, "SME", AO643:AZ643), "")</f>
        <v>0</v>
      </c>
      <c r="BC643" s="286" t="n">
        <f aca="false">IFERROR(SUMIF($Y$4:$AJ$4, "De Minimis", AO643:AZ643), "")</f>
        <v>0</v>
      </c>
      <c r="BD643" s="287"/>
      <c r="BE643" s="288" t="str">
        <f aca="false">IF((SUM(L643:W643)&gt;1),"ERROR","")</f>
        <v/>
      </c>
    </row>
    <row r="644" customFormat="false" ht="15" hidden="false" customHeight="true" outlineLevel="0" collapsed="false">
      <c r="B644" s="333"/>
      <c r="C644" s="334"/>
      <c r="D644" s="333" t="n">
        <f aca="false">D628</f>
        <v>45627</v>
      </c>
      <c r="E644" s="277" t="n">
        <v>0</v>
      </c>
      <c r="F644" s="277" t="n">
        <v>0</v>
      </c>
      <c r="G644" s="277" t="n">
        <f aca="false">SUM(E644:F644)</f>
        <v>0</v>
      </c>
      <c r="H644" s="300"/>
      <c r="I644" s="289" t="n">
        <v>1</v>
      </c>
      <c r="J644" s="290" t="n">
        <f aca="false">1-I644</f>
        <v>0</v>
      </c>
      <c r="K644" s="300"/>
      <c r="L644" s="291"/>
      <c r="M644" s="291"/>
      <c r="N644" s="291"/>
      <c r="O644" s="291"/>
      <c r="P644" s="291"/>
      <c r="Q644" s="291"/>
      <c r="R644" s="291"/>
      <c r="S644" s="291"/>
      <c r="T644" s="291"/>
      <c r="U644" s="291"/>
      <c r="V644" s="291"/>
      <c r="W644" s="291"/>
      <c r="X644" s="283"/>
      <c r="Y644" s="284" t="n">
        <f aca="false">IFERROR(L644*$G644*I$9, "")</f>
        <v>0</v>
      </c>
      <c r="Z644" s="284" t="n">
        <f aca="false">IFERROR(M644*$G644*$I644, "")</f>
        <v>0</v>
      </c>
      <c r="AA644" s="284" t="n">
        <f aca="false">IFERROR(N644*$G644*$I644, "")</f>
        <v>0</v>
      </c>
      <c r="AB644" s="284" t="n">
        <f aca="false">IFERROR(O644*$G644*$I644, "")</f>
        <v>0</v>
      </c>
      <c r="AC644" s="284" t="n">
        <f aca="false">IFERROR(P644*$G644*$I644, "")</f>
        <v>0</v>
      </c>
      <c r="AD644" s="284" t="n">
        <f aca="false">IFERROR(Q644*$G644*$I644, "")</f>
        <v>0</v>
      </c>
      <c r="AE644" s="284" t="n">
        <f aca="false">IFERROR(R644*$G644*$I644, "")</f>
        <v>0</v>
      </c>
      <c r="AF644" s="284" t="n">
        <f aca="false">IFERROR(S644*$G644*$I644, "")</f>
        <v>0</v>
      </c>
      <c r="AG644" s="284" t="n">
        <f aca="false">IFERROR(T644*$G644*$I644, "")</f>
        <v>0</v>
      </c>
      <c r="AH644" s="284" t="n">
        <f aca="false">IFERROR(U644*$G644*$I644, "")</f>
        <v>0</v>
      </c>
      <c r="AI644" s="284" t="n">
        <f aca="false">IFERROR(V644*$G644*$I644, "")</f>
        <v>0</v>
      </c>
      <c r="AJ644" s="284" t="n">
        <f aca="false">IFERROR(W644*$G644*$I644, "")</f>
        <v>0</v>
      </c>
      <c r="AK644" s="294" t="n">
        <f aca="false">IFERROR(SUMIF($Y$4:$AJ$4, "RDEC", Y644:AJ644), "")</f>
        <v>0</v>
      </c>
      <c r="AL644" s="294" t="n">
        <f aca="false">IFERROR(SUMIF($Y$4:$AJ$4, "SME", Y644:AJ644), "")</f>
        <v>0</v>
      </c>
      <c r="AM644" s="294" t="n">
        <f aca="false">IFERROR(SUMIF($Y$4:$AJ$4, "De Minimis", Y644:AJ644), "")</f>
        <v>0</v>
      </c>
      <c r="AN644" s="283"/>
      <c r="AO644" s="284" t="n">
        <f aca="false">IFERROR($G644*$J644*L644, "")</f>
        <v>0</v>
      </c>
      <c r="AP644" s="284" t="n">
        <f aca="false">IFERROR($G644*$J644*M644, "")</f>
        <v>0</v>
      </c>
      <c r="AQ644" s="284" t="n">
        <f aca="false">IFERROR($G644*$J644*N644, "")</f>
        <v>0</v>
      </c>
      <c r="AR644" s="284" t="n">
        <f aca="false">IFERROR($G644*$J644*O644, "")</f>
        <v>0</v>
      </c>
      <c r="AS644" s="284" t="n">
        <f aca="false">IFERROR($G644*$J644*P644, "")</f>
        <v>0</v>
      </c>
      <c r="AT644" s="284" t="n">
        <f aca="false">IFERROR($G644*$J644*Q644, "")</f>
        <v>0</v>
      </c>
      <c r="AU644" s="284" t="n">
        <f aca="false">IFERROR($G644*$J644*R644, "")</f>
        <v>0</v>
      </c>
      <c r="AV644" s="284" t="n">
        <f aca="false">IFERROR($G644*$J644*S644, "")</f>
        <v>0</v>
      </c>
      <c r="AW644" s="284" t="n">
        <f aca="false">IFERROR($G644*$J644*T644, "")</f>
        <v>0</v>
      </c>
      <c r="AX644" s="284" t="n">
        <f aca="false">IFERROR($G644*$J644*U644, "")</f>
        <v>0</v>
      </c>
      <c r="AY644" s="284" t="n">
        <f aca="false">IFERROR($G644*$J644*V644, "")</f>
        <v>0</v>
      </c>
      <c r="AZ644" s="284" t="n">
        <f aca="false">IFERROR($G644*$J644*W644, "")</f>
        <v>0</v>
      </c>
      <c r="BA644" s="286" t="n">
        <f aca="false">IFERROR(SUMIF($AO$4:$AZ$4, "RDEC", AO644:AZ644), "")</f>
        <v>0</v>
      </c>
      <c r="BB644" s="286" t="n">
        <f aca="false">IFERROR(SUMIF($AO$4:$AZ$4, "SME", AO644:AZ644), "")</f>
        <v>0</v>
      </c>
      <c r="BC644" s="294" t="n">
        <f aca="false">IFERROR(SUMIF($Y$4:$AJ$4, "De Minimis", AO644:AZ644), "")</f>
        <v>0</v>
      </c>
      <c r="BD644" s="303"/>
      <c r="BE644" s="295" t="str">
        <f aca="false">IF((SUM(L644:W644)&gt;1),"ERROR","")</f>
        <v/>
      </c>
    </row>
    <row r="645" customFormat="false" ht="15" hidden="false" customHeight="true" outlineLevel="0" collapsed="false">
      <c r="B645" s="296"/>
      <c r="D645" s="297" t="s">
        <v>82</v>
      </c>
      <c r="E645" s="299" t="n">
        <f aca="false">SUM(E633:E644)</f>
        <v>0</v>
      </c>
      <c r="F645" s="299" t="n">
        <f aca="false">SUM(F633:F644)</f>
        <v>0</v>
      </c>
      <c r="G645" s="299" t="n">
        <f aca="false">SUM(G633:G644)</f>
        <v>0</v>
      </c>
      <c r="H645" s="300"/>
      <c r="I645" s="301" t="n">
        <f aca="false">AVERAGE(I633:I644)</f>
        <v>1</v>
      </c>
      <c r="J645" s="301" t="n">
        <f aca="false">AVERAGE(J633:J644)</f>
        <v>0</v>
      </c>
      <c r="K645" s="300"/>
      <c r="L645" s="290" t="n">
        <f aca="false">IF(SUM(L633:L644)&gt;0,(Y645/G645),0)</f>
        <v>0</v>
      </c>
      <c r="M645" s="301" t="n">
        <f aca="false">IF(SUM(M633:M644)&gt;0,(Z645/G645),0)</f>
        <v>0</v>
      </c>
      <c r="N645" s="301" t="n">
        <f aca="false">IF(SUM(N633:N644)&gt;0,(AA645/G645),0)</f>
        <v>0</v>
      </c>
      <c r="O645" s="301" t="n">
        <f aca="false">IF(SUM(O633:O644)&gt;0,(AB645/G645),0)</f>
        <v>0</v>
      </c>
      <c r="P645" s="301" t="n">
        <f aca="false">IF(SUM(P633:P644)&gt;0,(AC645/G645),0)</f>
        <v>0</v>
      </c>
      <c r="Q645" s="301" t="n">
        <f aca="false">IF(SUM(Q633:Q644)&gt;0,(AD645/G645),0)</f>
        <v>0</v>
      </c>
      <c r="R645" s="301" t="n">
        <f aca="false">IF(SUM(R633:R644)&gt;0,(AE645/G645),0)</f>
        <v>0</v>
      </c>
      <c r="S645" s="301" t="n">
        <f aca="false">IF(SUM(S633:S644)&gt;0,(AF645/G645),0)</f>
        <v>0</v>
      </c>
      <c r="T645" s="301" t="n">
        <f aca="false">IF(SUM(T633:T644)&gt;0,(AG645/G645),0)</f>
        <v>0</v>
      </c>
      <c r="U645" s="301" t="n">
        <f aca="false">IF(SUM(U633:U644)&gt;0,(AJ645/G645),0)</f>
        <v>0</v>
      </c>
      <c r="V645" s="301" t="n">
        <f aca="false">IF(SUM(V633:V644)&gt;0,(AI645/G645),0)</f>
        <v>0</v>
      </c>
      <c r="W645" s="301" t="n">
        <f aca="false">IF(SUM(W633:W644)&gt;0,(AJ645/G645),0)</f>
        <v>0</v>
      </c>
      <c r="X645" s="283"/>
      <c r="Y645" s="304" t="n">
        <f aca="false">SUM(Y633:Y644)</f>
        <v>0</v>
      </c>
      <c r="Z645" s="304" t="n">
        <f aca="false">SUM(Z633:Z644)</f>
        <v>0</v>
      </c>
      <c r="AA645" s="304" t="n">
        <f aca="false">SUM(AA633:AA644)</f>
        <v>0</v>
      </c>
      <c r="AB645" s="304" t="n">
        <f aca="false">SUM(AB633:AB644)</f>
        <v>0</v>
      </c>
      <c r="AC645" s="304" t="n">
        <f aca="false">SUM(AC633:AC644)</f>
        <v>0</v>
      </c>
      <c r="AD645" s="304" t="n">
        <f aca="false">SUM(AD633:AD644)</f>
        <v>0</v>
      </c>
      <c r="AE645" s="304" t="n">
        <f aca="false">SUM(AE633:AE644)</f>
        <v>0</v>
      </c>
      <c r="AF645" s="304" t="n">
        <f aca="false">SUM(AF633:AF644)</f>
        <v>0</v>
      </c>
      <c r="AG645" s="304" t="n">
        <f aca="false">SUM(AG633:AG644)</f>
        <v>0</v>
      </c>
      <c r="AH645" s="304" t="n">
        <f aca="false">SUM(AH633:AH644)</f>
        <v>0</v>
      </c>
      <c r="AI645" s="304" t="n">
        <f aca="false">SUM(AI633:AI644)</f>
        <v>0</v>
      </c>
      <c r="AJ645" s="304" t="n">
        <f aca="false">SUM(AJ633:AJ644)</f>
        <v>0</v>
      </c>
      <c r="AK645" s="335" t="n">
        <f aca="false">SUM(AK633:AK644)</f>
        <v>0</v>
      </c>
      <c r="AL645" s="336" t="n">
        <f aca="false">SUM(AL633:AL644)</f>
        <v>0</v>
      </c>
      <c r="AM645" s="305" t="n">
        <f aca="false">SUM(AM633:AM644)</f>
        <v>0</v>
      </c>
      <c r="AN645" s="283"/>
      <c r="AO645" s="304" t="n">
        <f aca="false">SUM(AO633:AO644)</f>
        <v>0</v>
      </c>
      <c r="AP645" s="304" t="n">
        <f aca="false">SUM(AP633:AP644)</f>
        <v>0</v>
      </c>
      <c r="AQ645" s="304" t="n">
        <f aca="false">SUM(AQ633:AQ644)</f>
        <v>0</v>
      </c>
      <c r="AR645" s="304" t="n">
        <f aca="false">SUM(AR633:AR644)</f>
        <v>0</v>
      </c>
      <c r="AS645" s="304" t="n">
        <f aca="false">SUM(AS633:AS644)</f>
        <v>0</v>
      </c>
      <c r="AT645" s="304" t="n">
        <f aca="false">SUM(AT633:AT644)</f>
        <v>0</v>
      </c>
      <c r="AU645" s="304" t="n">
        <f aca="false">SUM(AU633:AU644)</f>
        <v>0</v>
      </c>
      <c r="AV645" s="304" t="n">
        <f aca="false">SUM(AV633:AV644)</f>
        <v>0</v>
      </c>
      <c r="AW645" s="304" t="n">
        <f aca="false">SUM(AW633:AW644)</f>
        <v>0</v>
      </c>
      <c r="AX645" s="304" t="n">
        <f aca="false">SUM(AX633:AX644)</f>
        <v>0</v>
      </c>
      <c r="AY645" s="304" t="n">
        <f aca="false">SUM(AY633:AY644)</f>
        <v>0</v>
      </c>
      <c r="AZ645" s="304" t="n">
        <f aca="false">SUM(AZ633:AZ644)</f>
        <v>0</v>
      </c>
      <c r="BA645" s="336" t="n">
        <f aca="false">SUM(BA633:BA644)</f>
        <v>0</v>
      </c>
      <c r="BB645" s="336" t="n">
        <f aca="false">SUM(BB633:BB644)</f>
        <v>0</v>
      </c>
      <c r="BC645" s="305" t="n">
        <f aca="false">SUM(BC633:BC644)</f>
        <v>0</v>
      </c>
      <c r="BD645" s="303"/>
      <c r="BE645" s="337"/>
    </row>
    <row r="646" customFormat="false" ht="15" hidden="false" customHeight="true" outlineLevel="0" collapsed="false">
      <c r="B646" s="296"/>
      <c r="D646" s="297"/>
      <c r="E646" s="300"/>
      <c r="F646" s="300"/>
      <c r="G646" s="300"/>
      <c r="H646" s="241"/>
      <c r="I646" s="302"/>
      <c r="J646" s="302"/>
      <c r="K646" s="241"/>
      <c r="L646" s="259"/>
      <c r="M646" s="259"/>
      <c r="N646" s="259"/>
      <c r="O646" s="259"/>
      <c r="P646" s="259"/>
      <c r="Q646" s="259"/>
      <c r="R646" s="259"/>
      <c r="S646" s="259"/>
      <c r="T646" s="259"/>
      <c r="U646" s="259"/>
      <c r="V646" s="259"/>
      <c r="W646" s="259"/>
      <c r="X646" s="303"/>
      <c r="Y646" s="259"/>
      <c r="Z646" s="303"/>
      <c r="AA646" s="303"/>
      <c r="AB646" s="303"/>
      <c r="AC646" s="303"/>
      <c r="AD646" s="303"/>
      <c r="AE646" s="303"/>
      <c r="AF646" s="303"/>
      <c r="AG646" s="303"/>
      <c r="AH646" s="303"/>
      <c r="AI646" s="303"/>
      <c r="AJ646" s="303"/>
      <c r="AK646" s="303"/>
      <c r="AL646" s="303"/>
      <c r="AM646" s="303"/>
      <c r="AN646" s="303"/>
      <c r="AO646" s="259"/>
      <c r="AP646" s="303"/>
      <c r="AQ646" s="303"/>
      <c r="AR646" s="303"/>
      <c r="AS646" s="303"/>
      <c r="AT646" s="303"/>
      <c r="AU646" s="303"/>
      <c r="AV646" s="303"/>
      <c r="AW646" s="303"/>
      <c r="AX646" s="303"/>
      <c r="AY646" s="303"/>
      <c r="AZ646" s="303"/>
      <c r="BA646" s="303"/>
      <c r="BB646" s="303"/>
      <c r="BC646" s="303"/>
      <c r="BD646" s="268"/>
      <c r="BE646" s="303"/>
    </row>
    <row r="647" customFormat="false" ht="15" hidden="false" customHeight="true" outlineLevel="0" collapsed="false">
      <c r="A647" s="198" t="n">
        <f aca="false">A631+1</f>
        <v>41</v>
      </c>
      <c r="B647" s="266" t="s">
        <v>253</v>
      </c>
      <c r="C647" s="266" t="s">
        <v>253</v>
      </c>
      <c r="D647" s="266"/>
      <c r="E647" s="241"/>
      <c r="F647" s="241"/>
      <c r="G647" s="241"/>
      <c r="H647" s="241"/>
      <c r="I647" s="241"/>
      <c r="J647" s="241"/>
      <c r="K647" s="277"/>
      <c r="L647" s="241"/>
      <c r="M647" s="241"/>
      <c r="N647" s="241"/>
      <c r="O647" s="241"/>
      <c r="P647" s="241"/>
      <c r="Q647" s="241"/>
      <c r="R647" s="241"/>
      <c r="S647" s="241"/>
      <c r="T647" s="241"/>
      <c r="U647" s="241"/>
      <c r="V647" s="241"/>
      <c r="W647" s="241"/>
      <c r="X647" s="259"/>
      <c r="Y647" s="268"/>
      <c r="Z647" s="268"/>
      <c r="AA647" s="268"/>
      <c r="AB647" s="268"/>
      <c r="AC647" s="268"/>
      <c r="AD647" s="268"/>
      <c r="AE647" s="268"/>
      <c r="AF647" s="268"/>
      <c r="AG647" s="268"/>
      <c r="AH647" s="268"/>
      <c r="AI647" s="268"/>
      <c r="AJ647" s="268"/>
      <c r="AK647" s="268"/>
      <c r="AL647" s="268"/>
      <c r="AM647" s="268"/>
      <c r="AN647" s="259"/>
      <c r="AO647" s="268"/>
      <c r="AP647" s="268"/>
      <c r="AQ647" s="268"/>
      <c r="AR647" s="268"/>
      <c r="AS647" s="268"/>
      <c r="AT647" s="268"/>
      <c r="AU647" s="268"/>
      <c r="AV647" s="268"/>
      <c r="AW647" s="268"/>
      <c r="AX647" s="268"/>
      <c r="AY647" s="268"/>
      <c r="AZ647" s="268"/>
      <c r="BA647" s="268"/>
      <c r="BB647" s="268"/>
      <c r="BC647" s="268"/>
      <c r="BD647" s="287"/>
      <c r="BE647" s="268"/>
    </row>
    <row r="648" customFormat="false" ht="7.5" hidden="false" customHeight="true" outlineLevel="0" collapsed="false">
      <c r="A648" s="198"/>
      <c r="B648" s="266"/>
      <c r="C648" s="266"/>
      <c r="D648" s="266"/>
      <c r="E648" s="241"/>
      <c r="F648" s="241"/>
      <c r="G648" s="241"/>
      <c r="H648" s="204"/>
      <c r="I648" s="269"/>
      <c r="J648" s="269"/>
      <c r="K648" s="277"/>
      <c r="L648" s="269"/>
      <c r="M648" s="269"/>
      <c r="N648" s="269"/>
      <c r="O648" s="269"/>
      <c r="P648" s="269"/>
      <c r="Q648" s="269"/>
      <c r="R648" s="269"/>
      <c r="S648" s="269"/>
      <c r="T648" s="269"/>
      <c r="U648" s="269"/>
      <c r="V648" s="269"/>
      <c r="W648" s="269"/>
      <c r="X648" s="259"/>
      <c r="Y648" s="271"/>
      <c r="Z648" s="271"/>
      <c r="AA648" s="271"/>
      <c r="AB648" s="271"/>
      <c r="AC648" s="271"/>
      <c r="AD648" s="271"/>
      <c r="AE648" s="271"/>
      <c r="AF648" s="271"/>
      <c r="AG648" s="271"/>
      <c r="AH648" s="271"/>
      <c r="AI648" s="271"/>
      <c r="AJ648" s="272"/>
      <c r="AK648" s="273"/>
      <c r="AL648" s="273"/>
      <c r="AM648" s="273"/>
      <c r="AN648" s="259"/>
      <c r="AO648" s="271"/>
      <c r="AP648" s="271"/>
      <c r="AQ648" s="271"/>
      <c r="AR648" s="271"/>
      <c r="AS648" s="271"/>
      <c r="AT648" s="271"/>
      <c r="AU648" s="271"/>
      <c r="AV648" s="271"/>
      <c r="AW648" s="271"/>
      <c r="AX648" s="271"/>
      <c r="AY648" s="271"/>
      <c r="AZ648" s="272"/>
      <c r="BA648" s="273"/>
      <c r="BB648" s="273"/>
      <c r="BC648" s="273"/>
      <c r="BD648" s="287"/>
      <c r="BE648" s="274"/>
    </row>
    <row r="649" customFormat="false" ht="15" hidden="false" customHeight="true" outlineLevel="0" collapsed="false">
      <c r="B649" s="333"/>
      <c r="C649" s="334"/>
      <c r="D649" s="333" t="n">
        <f aca="false">D633</f>
        <v>45292</v>
      </c>
      <c r="E649" s="277" t="n">
        <v>0</v>
      </c>
      <c r="F649" s="277" t="n">
        <v>0</v>
      </c>
      <c r="G649" s="277" t="n">
        <f aca="false">SUM(E649:F649)</f>
        <v>0</v>
      </c>
      <c r="H649" s="204"/>
      <c r="I649" s="279" t="n">
        <v>1</v>
      </c>
      <c r="J649" s="280" t="n">
        <f aca="false">1-I649</f>
        <v>0</v>
      </c>
      <c r="K649" s="277"/>
      <c r="L649" s="282"/>
      <c r="M649" s="282"/>
      <c r="N649" s="282"/>
      <c r="O649" s="282"/>
      <c r="P649" s="282"/>
      <c r="Q649" s="282"/>
      <c r="R649" s="282"/>
      <c r="S649" s="282"/>
      <c r="T649" s="282"/>
      <c r="U649" s="282"/>
      <c r="V649" s="282"/>
      <c r="W649" s="282"/>
      <c r="X649" s="268"/>
      <c r="Y649" s="284" t="n">
        <f aca="false">IFERROR(L649*$G649*I$9, "")</f>
        <v>0</v>
      </c>
      <c r="Z649" s="284" t="n">
        <f aca="false">IFERROR(M649*$G649*$I649, "")</f>
        <v>0</v>
      </c>
      <c r="AA649" s="284" t="n">
        <f aca="false">IFERROR(N649*$G649*$I649, "")</f>
        <v>0</v>
      </c>
      <c r="AB649" s="284" t="n">
        <f aca="false">IFERROR(O649*$G649*$I649, "")</f>
        <v>0</v>
      </c>
      <c r="AC649" s="284" t="n">
        <f aca="false">IFERROR(P649*$G649*$I649, "")</f>
        <v>0</v>
      </c>
      <c r="AD649" s="284" t="n">
        <f aca="false">IFERROR(Q649*$G649*$I649, "")</f>
        <v>0</v>
      </c>
      <c r="AE649" s="284" t="n">
        <f aca="false">IFERROR(R649*$G649*$I649, "")</f>
        <v>0</v>
      </c>
      <c r="AF649" s="284" t="n">
        <f aca="false">IFERROR(S649*$G649*$I649, "")</f>
        <v>0</v>
      </c>
      <c r="AG649" s="284" t="n">
        <f aca="false">IFERROR(T649*$G649*$I649, "")</f>
        <v>0</v>
      </c>
      <c r="AH649" s="284" t="n">
        <f aca="false">IFERROR(U649*$G649*$I649, "")</f>
        <v>0</v>
      </c>
      <c r="AI649" s="284" t="n">
        <f aca="false">IFERROR(V649*$G649*$I649, "")</f>
        <v>0</v>
      </c>
      <c r="AJ649" s="284" t="n">
        <f aca="false">IFERROR(W649*$G649*$I649, "")</f>
        <v>0</v>
      </c>
      <c r="AK649" s="286" t="n">
        <f aca="false">IFERROR(SUMIF($Y$4:$AJ$4, "RDEC", Y649:AJ649), "")</f>
        <v>0</v>
      </c>
      <c r="AL649" s="286" t="n">
        <f aca="false">IFERROR(SUMIF($Y$4:$AJ$4, "SME", Y649:AJ649), "")</f>
        <v>0</v>
      </c>
      <c r="AM649" s="286" t="n">
        <f aca="false">IFERROR(SUMIF($Y$4:$AJ$4, "De Minimis", Y649:AJ649), "")</f>
        <v>0</v>
      </c>
      <c r="AN649" s="268"/>
      <c r="AO649" s="284" t="n">
        <f aca="false">IFERROR($G649*$J649*L649, "")</f>
        <v>0</v>
      </c>
      <c r="AP649" s="284" t="n">
        <f aca="false">IFERROR($G649*$J649*M649, "")</f>
        <v>0</v>
      </c>
      <c r="AQ649" s="284" t="n">
        <f aca="false">IFERROR($G649*$J649*N649, "")</f>
        <v>0</v>
      </c>
      <c r="AR649" s="284" t="n">
        <f aca="false">IFERROR($G649*$J649*O649, "")</f>
        <v>0</v>
      </c>
      <c r="AS649" s="284" t="n">
        <f aca="false">IFERROR($G649*$J649*P649, "")</f>
        <v>0</v>
      </c>
      <c r="AT649" s="284" t="n">
        <f aca="false">IFERROR($G649*$J649*Q649, "")</f>
        <v>0</v>
      </c>
      <c r="AU649" s="284" t="n">
        <f aca="false">IFERROR($G649*$J649*R649, "")</f>
        <v>0</v>
      </c>
      <c r="AV649" s="284" t="n">
        <f aca="false">IFERROR($G649*$J649*S649, "")</f>
        <v>0</v>
      </c>
      <c r="AW649" s="284" t="n">
        <f aca="false">IFERROR($G649*$J649*T649, "")</f>
        <v>0</v>
      </c>
      <c r="AX649" s="284" t="n">
        <f aca="false">IFERROR($G649*$J649*U649, "")</f>
        <v>0</v>
      </c>
      <c r="AY649" s="284" t="n">
        <f aca="false">IFERROR($G649*$J649*V649, "")</f>
        <v>0</v>
      </c>
      <c r="AZ649" s="284" t="n">
        <f aca="false">IFERROR($G649*$J649*W649, "")</f>
        <v>0</v>
      </c>
      <c r="BA649" s="286" t="n">
        <f aca="false">IFERROR(SUMIF($AO$4:$AZ$4, "RDEC", AO649:AZ649), "")</f>
        <v>0</v>
      </c>
      <c r="BB649" s="286" t="n">
        <f aca="false">IFERROR(SUMIF($AO$4:$AZ$4, "SME", AO649:AZ649), "")</f>
        <v>0</v>
      </c>
      <c r="BC649" s="286" t="n">
        <f aca="false">IFERROR(SUMIF($AO$4:$AZ$4, "De Minimis", AO649:AZ649), "")</f>
        <v>0</v>
      </c>
      <c r="BD649" s="287"/>
      <c r="BE649" s="288" t="str">
        <f aca="false">IF((SUM(L649:W649)&gt;1),"ERROR","")</f>
        <v/>
      </c>
    </row>
    <row r="650" customFormat="false" ht="15" hidden="false" customHeight="true" outlineLevel="0" collapsed="false">
      <c r="B650" s="333"/>
      <c r="C650" s="334"/>
      <c r="D650" s="333" t="n">
        <f aca="false">D634</f>
        <v>45323</v>
      </c>
      <c r="E650" s="277" t="n">
        <v>0</v>
      </c>
      <c r="F650" s="277" t="n">
        <v>0</v>
      </c>
      <c r="G650" s="277" t="n">
        <f aca="false">SUM(E650:F650)</f>
        <v>0</v>
      </c>
      <c r="H650" s="204"/>
      <c r="I650" s="279" t="n">
        <v>1</v>
      </c>
      <c r="J650" s="280" t="n">
        <f aca="false">1-I650</f>
        <v>0</v>
      </c>
      <c r="K650" s="277"/>
      <c r="L650" s="282"/>
      <c r="M650" s="282"/>
      <c r="N650" s="282"/>
      <c r="O650" s="282"/>
      <c r="P650" s="282"/>
      <c r="Q650" s="282"/>
      <c r="R650" s="282"/>
      <c r="S650" s="282"/>
      <c r="T650" s="282"/>
      <c r="U650" s="282"/>
      <c r="V650" s="282"/>
      <c r="W650" s="282"/>
      <c r="X650" s="283"/>
      <c r="Y650" s="284" t="n">
        <f aca="false">IFERROR(L650*$G650*I$9, "")</f>
        <v>0</v>
      </c>
      <c r="Z650" s="284" t="n">
        <f aca="false">IFERROR(M650*$G650*$I650, "")</f>
        <v>0</v>
      </c>
      <c r="AA650" s="284" t="n">
        <f aca="false">IFERROR(N650*$G650*$I650, "")</f>
        <v>0</v>
      </c>
      <c r="AB650" s="284" t="n">
        <f aca="false">IFERROR(O650*$G650*$I650, "")</f>
        <v>0</v>
      </c>
      <c r="AC650" s="284" t="n">
        <f aca="false">IFERROR(P650*$G650*$I650, "")</f>
        <v>0</v>
      </c>
      <c r="AD650" s="284" t="n">
        <f aca="false">IFERROR(Q650*$G650*$I650, "")</f>
        <v>0</v>
      </c>
      <c r="AE650" s="284" t="n">
        <f aca="false">IFERROR(R650*$G650*$I650, "")</f>
        <v>0</v>
      </c>
      <c r="AF650" s="284" t="n">
        <f aca="false">IFERROR(S650*$G650*$I650, "")</f>
        <v>0</v>
      </c>
      <c r="AG650" s="284" t="n">
        <f aca="false">IFERROR(T650*$G650*$I650, "")</f>
        <v>0</v>
      </c>
      <c r="AH650" s="284" t="n">
        <f aca="false">IFERROR(U650*$G650*$I650, "")</f>
        <v>0</v>
      </c>
      <c r="AI650" s="284" t="n">
        <f aca="false">IFERROR(V650*$G650*$I650, "")</f>
        <v>0</v>
      </c>
      <c r="AJ650" s="284" t="n">
        <f aca="false">IFERROR(W650*$G650*$I650, "")</f>
        <v>0</v>
      </c>
      <c r="AK650" s="286" t="n">
        <f aca="false">IFERROR(SUMIF($Y$4:$AJ$4, "RDEC", Y650:AJ650), "")</f>
        <v>0</v>
      </c>
      <c r="AL650" s="286" t="n">
        <f aca="false">IFERROR(SUMIF($Y$4:$AJ$4, "SME", Y650:AJ650), "")</f>
        <v>0</v>
      </c>
      <c r="AM650" s="286" t="n">
        <f aca="false">IFERROR(SUMIF($Y$4:$AJ$4, "De Minimis", Y650:AJ650), "")</f>
        <v>0</v>
      </c>
      <c r="AN650" s="283"/>
      <c r="AO650" s="284" t="n">
        <f aca="false">IFERROR($G650*$J650*L650, "")</f>
        <v>0</v>
      </c>
      <c r="AP650" s="284" t="n">
        <f aca="false">IFERROR($G650*$J650*M650, "")</f>
        <v>0</v>
      </c>
      <c r="AQ650" s="284" t="n">
        <f aca="false">IFERROR($G650*$J650*N650, "")</f>
        <v>0</v>
      </c>
      <c r="AR650" s="284" t="n">
        <f aca="false">IFERROR($G650*$J650*O650, "")</f>
        <v>0</v>
      </c>
      <c r="AS650" s="284" t="n">
        <f aca="false">IFERROR($G650*$J650*P650, "")</f>
        <v>0</v>
      </c>
      <c r="AT650" s="284" t="n">
        <f aca="false">IFERROR($G650*$J650*Q650, "")</f>
        <v>0</v>
      </c>
      <c r="AU650" s="284" t="n">
        <f aca="false">IFERROR($G650*$J650*R650, "")</f>
        <v>0</v>
      </c>
      <c r="AV650" s="284" t="n">
        <f aca="false">IFERROR($G650*$J650*S650, "")</f>
        <v>0</v>
      </c>
      <c r="AW650" s="284" t="n">
        <f aca="false">IFERROR($G650*$J650*T650, "")</f>
        <v>0</v>
      </c>
      <c r="AX650" s="284" t="n">
        <f aca="false">IFERROR($G650*$J650*U650, "")</f>
        <v>0</v>
      </c>
      <c r="AY650" s="284" t="n">
        <f aca="false">IFERROR($G650*$J650*V650, "")</f>
        <v>0</v>
      </c>
      <c r="AZ650" s="284" t="n">
        <f aca="false">IFERROR($G650*$J650*W650, "")</f>
        <v>0</v>
      </c>
      <c r="BA650" s="286" t="n">
        <f aca="false">IFERROR(SUMIF($AO$4:$AZ$4, "RDEC", AO650:AZ650), "")</f>
        <v>0</v>
      </c>
      <c r="BB650" s="286" t="n">
        <f aca="false">IFERROR(SUMIF($AO$4:$AZ$4, "SME", AO650:AZ650), "")</f>
        <v>0</v>
      </c>
      <c r="BC650" s="286" t="n">
        <f aca="false">IFERROR(SUMIF($Y$4:$AJ$4, "De Minimis", AO650:AZ650), "")</f>
        <v>0</v>
      </c>
      <c r="BD650" s="287"/>
      <c r="BE650" s="288" t="str">
        <f aca="false">IF((SUM(L650:W650)&gt;1),"ERROR","")</f>
        <v/>
      </c>
    </row>
    <row r="651" customFormat="false" ht="15" hidden="false" customHeight="true" outlineLevel="0" collapsed="false">
      <c r="B651" s="333"/>
      <c r="C651" s="334"/>
      <c r="D651" s="333" t="n">
        <f aca="false">D635</f>
        <v>45352</v>
      </c>
      <c r="E651" s="277" t="n">
        <v>0</v>
      </c>
      <c r="F651" s="277" t="n">
        <v>0</v>
      </c>
      <c r="G651" s="277" t="n">
        <f aca="false">SUM(E651:F651)</f>
        <v>0</v>
      </c>
      <c r="H651" s="204"/>
      <c r="I651" s="279" t="n">
        <v>1</v>
      </c>
      <c r="J651" s="280" t="n">
        <f aca="false">1-I651</f>
        <v>0</v>
      </c>
      <c r="K651" s="277"/>
      <c r="L651" s="282"/>
      <c r="M651" s="282"/>
      <c r="N651" s="282"/>
      <c r="O651" s="282"/>
      <c r="P651" s="282"/>
      <c r="Q651" s="282"/>
      <c r="R651" s="282"/>
      <c r="S651" s="282"/>
      <c r="T651" s="282"/>
      <c r="U651" s="282"/>
      <c r="V651" s="282"/>
      <c r="W651" s="282"/>
      <c r="X651" s="283"/>
      <c r="Y651" s="284" t="n">
        <f aca="false">IFERROR(L651*$G651*I$9, "")</f>
        <v>0</v>
      </c>
      <c r="Z651" s="284" t="n">
        <f aca="false">IFERROR(M651*$G651*$I651, "")</f>
        <v>0</v>
      </c>
      <c r="AA651" s="284" t="n">
        <f aca="false">IFERROR(N651*$G651*$I651, "")</f>
        <v>0</v>
      </c>
      <c r="AB651" s="284" t="n">
        <f aca="false">IFERROR(O651*$G651*$I651, "")</f>
        <v>0</v>
      </c>
      <c r="AC651" s="284" t="n">
        <f aca="false">IFERROR(P651*$G651*$I651, "")</f>
        <v>0</v>
      </c>
      <c r="AD651" s="284" t="n">
        <f aca="false">IFERROR(Q651*$G651*$I651, "")</f>
        <v>0</v>
      </c>
      <c r="AE651" s="284" t="n">
        <f aca="false">IFERROR(R651*$G651*$I651, "")</f>
        <v>0</v>
      </c>
      <c r="AF651" s="284" t="n">
        <f aca="false">IFERROR(S651*$G651*$I651, "")</f>
        <v>0</v>
      </c>
      <c r="AG651" s="284" t="n">
        <f aca="false">IFERROR(T651*$G651*$I651, "")</f>
        <v>0</v>
      </c>
      <c r="AH651" s="284" t="n">
        <f aca="false">IFERROR(U651*$G651*$I651, "")</f>
        <v>0</v>
      </c>
      <c r="AI651" s="284" t="n">
        <f aca="false">IFERROR(V651*$G651*$I651, "")</f>
        <v>0</v>
      </c>
      <c r="AJ651" s="284" t="n">
        <f aca="false">IFERROR(W651*$G651*$I651, "")</f>
        <v>0</v>
      </c>
      <c r="AK651" s="286" t="n">
        <f aca="false">IFERROR(SUMIF($Y$4:$AJ$4, "RDEC", Y651:AJ651), "")</f>
        <v>0</v>
      </c>
      <c r="AL651" s="286" t="n">
        <f aca="false">IFERROR(SUMIF($Y$4:$AJ$4, "SME", Y651:AJ651), "")</f>
        <v>0</v>
      </c>
      <c r="AM651" s="286" t="n">
        <f aca="false">IFERROR(SUMIF($Y$4:$AJ$4, "De Minimis", Y651:AJ651), "")</f>
        <v>0</v>
      </c>
      <c r="AN651" s="283"/>
      <c r="AO651" s="284" t="n">
        <f aca="false">IFERROR($G651*$J651*L651, "")</f>
        <v>0</v>
      </c>
      <c r="AP651" s="284" t="n">
        <f aca="false">IFERROR($G651*$J651*M651, "")</f>
        <v>0</v>
      </c>
      <c r="AQ651" s="284" t="n">
        <f aca="false">IFERROR($G651*$J651*N651, "")</f>
        <v>0</v>
      </c>
      <c r="AR651" s="284" t="n">
        <f aca="false">IFERROR($G651*$J651*O651, "")</f>
        <v>0</v>
      </c>
      <c r="AS651" s="284" t="n">
        <f aca="false">IFERROR($G651*$J651*P651, "")</f>
        <v>0</v>
      </c>
      <c r="AT651" s="284" t="n">
        <f aca="false">IFERROR($G651*$J651*Q651, "")</f>
        <v>0</v>
      </c>
      <c r="AU651" s="284" t="n">
        <f aca="false">IFERROR($G651*$J651*R651, "")</f>
        <v>0</v>
      </c>
      <c r="AV651" s="284" t="n">
        <f aca="false">IFERROR($G651*$J651*S651, "")</f>
        <v>0</v>
      </c>
      <c r="AW651" s="284" t="n">
        <f aca="false">IFERROR($G651*$J651*T651, "")</f>
        <v>0</v>
      </c>
      <c r="AX651" s="284" t="n">
        <f aca="false">IFERROR($G651*$J651*U651, "")</f>
        <v>0</v>
      </c>
      <c r="AY651" s="284" t="n">
        <f aca="false">IFERROR($G651*$J651*V651, "")</f>
        <v>0</v>
      </c>
      <c r="AZ651" s="284" t="n">
        <f aca="false">IFERROR($G651*$J651*W651, "")</f>
        <v>0</v>
      </c>
      <c r="BA651" s="286" t="n">
        <f aca="false">IFERROR(SUMIF($AO$4:$AZ$4, "RDEC", AO651:AZ651), "")</f>
        <v>0</v>
      </c>
      <c r="BB651" s="286" t="n">
        <f aca="false">IFERROR(SUMIF($AO$4:$AZ$4, "SME", AO651:AZ651), "")</f>
        <v>0</v>
      </c>
      <c r="BC651" s="286" t="n">
        <f aca="false">IFERROR(SUMIF($Y$4:$AJ$4, "De Minimis", AO651:AZ651), "")</f>
        <v>0</v>
      </c>
      <c r="BD651" s="287"/>
      <c r="BE651" s="288" t="str">
        <f aca="false">IF((SUM(L651:W651)&gt;1),"ERROR","")</f>
        <v/>
      </c>
    </row>
    <row r="652" customFormat="false" ht="15" hidden="false" customHeight="true" outlineLevel="0" collapsed="false">
      <c r="B652" s="333"/>
      <c r="C652" s="334"/>
      <c r="D652" s="333" t="n">
        <f aca="false">D636</f>
        <v>45383</v>
      </c>
      <c r="E652" s="277" t="n">
        <v>0</v>
      </c>
      <c r="F652" s="277" t="n">
        <v>0</v>
      </c>
      <c r="G652" s="277" t="n">
        <f aca="false">SUM(E652:F652)</f>
        <v>0</v>
      </c>
      <c r="H652" s="204"/>
      <c r="I652" s="279" t="n">
        <v>1</v>
      </c>
      <c r="J652" s="280" t="n">
        <f aca="false">1-I652</f>
        <v>0</v>
      </c>
      <c r="K652" s="277"/>
      <c r="L652" s="282"/>
      <c r="M652" s="282"/>
      <c r="N652" s="282"/>
      <c r="O652" s="282"/>
      <c r="P652" s="282"/>
      <c r="Q652" s="282"/>
      <c r="R652" s="282"/>
      <c r="S652" s="282"/>
      <c r="T652" s="282"/>
      <c r="U652" s="282"/>
      <c r="V652" s="282"/>
      <c r="W652" s="282"/>
      <c r="X652" s="283"/>
      <c r="Y652" s="284" t="n">
        <f aca="false">IFERROR(L652*$G652*I$9, "")</f>
        <v>0</v>
      </c>
      <c r="Z652" s="284" t="n">
        <f aca="false">IFERROR(M652*$G652*$I652, "")</f>
        <v>0</v>
      </c>
      <c r="AA652" s="284" t="n">
        <f aca="false">IFERROR(N652*$G652*$I652, "")</f>
        <v>0</v>
      </c>
      <c r="AB652" s="284" t="n">
        <f aca="false">IFERROR(O652*$G652*$I652, "")</f>
        <v>0</v>
      </c>
      <c r="AC652" s="284" t="n">
        <f aca="false">IFERROR(P652*$G652*$I652, "")</f>
        <v>0</v>
      </c>
      <c r="AD652" s="284" t="n">
        <f aca="false">IFERROR(Q652*$G652*$I652, "")</f>
        <v>0</v>
      </c>
      <c r="AE652" s="284" t="n">
        <f aca="false">IFERROR(R652*$G652*$I652, "")</f>
        <v>0</v>
      </c>
      <c r="AF652" s="284" t="n">
        <f aca="false">IFERROR(S652*$G652*$I652, "")</f>
        <v>0</v>
      </c>
      <c r="AG652" s="284" t="n">
        <f aca="false">IFERROR(T652*$G652*$I652, "")</f>
        <v>0</v>
      </c>
      <c r="AH652" s="284" t="n">
        <f aca="false">IFERROR(U652*$G652*$I652, "")</f>
        <v>0</v>
      </c>
      <c r="AI652" s="284" t="n">
        <f aca="false">IFERROR(V652*$G652*$I652, "")</f>
        <v>0</v>
      </c>
      <c r="AJ652" s="284" t="n">
        <f aca="false">IFERROR(W652*$G652*$I652, "")</f>
        <v>0</v>
      </c>
      <c r="AK652" s="286" t="n">
        <f aca="false">IFERROR(SUMIF($Y$4:$AJ$4, "RDEC", Y652:AJ652), "")</f>
        <v>0</v>
      </c>
      <c r="AL652" s="286" t="n">
        <f aca="false">IFERROR(SUMIF($Y$4:$AJ$4, "SME", Y652:AJ652), "")</f>
        <v>0</v>
      </c>
      <c r="AM652" s="286" t="n">
        <f aca="false">IFERROR(SUMIF($Y$4:$AJ$4, "De Minimis", Y652:AJ652), "")</f>
        <v>0</v>
      </c>
      <c r="AN652" s="283"/>
      <c r="AO652" s="284" t="n">
        <f aca="false">IFERROR($G652*$J652*L652, "")</f>
        <v>0</v>
      </c>
      <c r="AP652" s="284" t="n">
        <f aca="false">IFERROR($G652*$J652*M652, "")</f>
        <v>0</v>
      </c>
      <c r="AQ652" s="284" t="n">
        <f aca="false">IFERROR($G652*$J652*N652, "")</f>
        <v>0</v>
      </c>
      <c r="AR652" s="284" t="n">
        <f aca="false">IFERROR($G652*$J652*O652, "")</f>
        <v>0</v>
      </c>
      <c r="AS652" s="284" t="n">
        <f aca="false">IFERROR($G652*$J652*P652, "")</f>
        <v>0</v>
      </c>
      <c r="AT652" s="284" t="n">
        <f aca="false">IFERROR($G652*$J652*Q652, "")</f>
        <v>0</v>
      </c>
      <c r="AU652" s="284" t="n">
        <f aca="false">IFERROR($G652*$J652*R652, "")</f>
        <v>0</v>
      </c>
      <c r="AV652" s="284" t="n">
        <f aca="false">IFERROR($G652*$J652*S652, "")</f>
        <v>0</v>
      </c>
      <c r="AW652" s="284" t="n">
        <f aca="false">IFERROR($G652*$J652*T652, "")</f>
        <v>0</v>
      </c>
      <c r="AX652" s="284" t="n">
        <f aca="false">IFERROR($G652*$J652*U652, "")</f>
        <v>0</v>
      </c>
      <c r="AY652" s="284" t="n">
        <f aca="false">IFERROR($G652*$J652*V652, "")</f>
        <v>0</v>
      </c>
      <c r="AZ652" s="284" t="n">
        <f aca="false">IFERROR($G652*$J652*W652, "")</f>
        <v>0</v>
      </c>
      <c r="BA652" s="286" t="n">
        <f aca="false">IFERROR(SUMIF($AO$4:$AZ$4, "RDEC", AO652:AZ652), "")</f>
        <v>0</v>
      </c>
      <c r="BB652" s="286" t="n">
        <f aca="false">IFERROR(SUMIF($AO$4:$AZ$4, "SME", AO652:AZ652), "")</f>
        <v>0</v>
      </c>
      <c r="BC652" s="286" t="n">
        <f aca="false">IFERROR(SUMIF($Y$4:$AJ$4, "De Minimis", AO652:AZ652), "")</f>
        <v>0</v>
      </c>
      <c r="BD652" s="287"/>
      <c r="BE652" s="288" t="str">
        <f aca="false">IF((SUM(L652:W652)&gt;1),"ERROR","")</f>
        <v/>
      </c>
    </row>
    <row r="653" customFormat="false" ht="15" hidden="false" customHeight="true" outlineLevel="0" collapsed="false">
      <c r="B653" s="333"/>
      <c r="C653" s="334"/>
      <c r="D653" s="333" t="n">
        <f aca="false">D637</f>
        <v>45413</v>
      </c>
      <c r="E653" s="277" t="n">
        <v>0</v>
      </c>
      <c r="F653" s="277" t="n">
        <v>0</v>
      </c>
      <c r="G653" s="277" t="n">
        <f aca="false">SUM(E653:F653)</f>
        <v>0</v>
      </c>
      <c r="H653" s="204"/>
      <c r="I653" s="279" t="n">
        <v>1</v>
      </c>
      <c r="J653" s="280" t="n">
        <f aca="false">1-I653</f>
        <v>0</v>
      </c>
      <c r="K653" s="277"/>
      <c r="L653" s="282"/>
      <c r="M653" s="282"/>
      <c r="N653" s="282"/>
      <c r="O653" s="282"/>
      <c r="P653" s="282"/>
      <c r="Q653" s="282"/>
      <c r="R653" s="282"/>
      <c r="S653" s="282"/>
      <c r="T653" s="282"/>
      <c r="U653" s="282"/>
      <c r="V653" s="282"/>
      <c r="W653" s="282"/>
      <c r="X653" s="283"/>
      <c r="Y653" s="284" t="n">
        <f aca="false">IFERROR(L653*$G653*I$9, "")</f>
        <v>0</v>
      </c>
      <c r="Z653" s="284" t="n">
        <f aca="false">IFERROR(M653*$G653*$I653, "")</f>
        <v>0</v>
      </c>
      <c r="AA653" s="284" t="n">
        <f aca="false">IFERROR(N653*$G653*$I653, "")</f>
        <v>0</v>
      </c>
      <c r="AB653" s="284" t="n">
        <f aca="false">IFERROR(O653*$G653*$I653, "")</f>
        <v>0</v>
      </c>
      <c r="AC653" s="284" t="n">
        <f aca="false">IFERROR(P653*$G653*$I653, "")</f>
        <v>0</v>
      </c>
      <c r="AD653" s="284" t="n">
        <f aca="false">IFERROR(Q653*$G653*$I653, "")</f>
        <v>0</v>
      </c>
      <c r="AE653" s="284" t="n">
        <f aca="false">IFERROR(R653*$G653*$I653, "")</f>
        <v>0</v>
      </c>
      <c r="AF653" s="284" t="n">
        <f aca="false">IFERROR(S653*$G653*$I653, "")</f>
        <v>0</v>
      </c>
      <c r="AG653" s="284" t="n">
        <f aca="false">IFERROR(T653*$G653*$I653, "")</f>
        <v>0</v>
      </c>
      <c r="AH653" s="284" t="n">
        <f aca="false">IFERROR(U653*$G653*$I653, "")</f>
        <v>0</v>
      </c>
      <c r="AI653" s="284" t="n">
        <f aca="false">IFERROR(V653*$G653*$I653, "")</f>
        <v>0</v>
      </c>
      <c r="AJ653" s="284" t="n">
        <f aca="false">IFERROR(W653*$G653*$I653, "")</f>
        <v>0</v>
      </c>
      <c r="AK653" s="286" t="n">
        <f aca="false">IFERROR(SUMIF($Y$4:$AJ$4, "RDEC", Y653:AJ653), "")</f>
        <v>0</v>
      </c>
      <c r="AL653" s="286" t="n">
        <f aca="false">IFERROR(SUMIF($Y$4:$AJ$4, "SME", Y653:AJ653), "")</f>
        <v>0</v>
      </c>
      <c r="AM653" s="286" t="n">
        <f aca="false">IFERROR(SUMIF($Y$4:$AJ$4, "De Minimis", Y653:AJ653), "")</f>
        <v>0</v>
      </c>
      <c r="AN653" s="283"/>
      <c r="AO653" s="284" t="n">
        <f aca="false">IFERROR($G653*$J653*L653, "")</f>
        <v>0</v>
      </c>
      <c r="AP653" s="284" t="n">
        <f aca="false">IFERROR($G653*$J653*M653, "")</f>
        <v>0</v>
      </c>
      <c r="AQ653" s="284" t="n">
        <f aca="false">IFERROR($G653*$J653*N653, "")</f>
        <v>0</v>
      </c>
      <c r="AR653" s="284" t="n">
        <f aca="false">IFERROR($G653*$J653*O653, "")</f>
        <v>0</v>
      </c>
      <c r="AS653" s="284" t="n">
        <f aca="false">IFERROR($G653*$J653*P653, "")</f>
        <v>0</v>
      </c>
      <c r="AT653" s="284" t="n">
        <f aca="false">IFERROR($G653*$J653*Q653, "")</f>
        <v>0</v>
      </c>
      <c r="AU653" s="284" t="n">
        <f aca="false">IFERROR($G653*$J653*R653, "")</f>
        <v>0</v>
      </c>
      <c r="AV653" s="284" t="n">
        <f aca="false">IFERROR($G653*$J653*S653, "")</f>
        <v>0</v>
      </c>
      <c r="AW653" s="284" t="n">
        <f aca="false">IFERROR($G653*$J653*T653, "")</f>
        <v>0</v>
      </c>
      <c r="AX653" s="284" t="n">
        <f aca="false">IFERROR($G653*$J653*U653, "")</f>
        <v>0</v>
      </c>
      <c r="AY653" s="284" t="n">
        <f aca="false">IFERROR($G653*$J653*V653, "")</f>
        <v>0</v>
      </c>
      <c r="AZ653" s="284" t="n">
        <f aca="false">IFERROR($G653*$J653*W653, "")</f>
        <v>0</v>
      </c>
      <c r="BA653" s="286" t="n">
        <f aca="false">IFERROR(SUMIF($AO$4:$AZ$4, "RDEC", AO653:AZ653), "")</f>
        <v>0</v>
      </c>
      <c r="BB653" s="286" t="n">
        <f aca="false">IFERROR(SUMIF($AO$4:$AZ$4, "SME", AO653:AZ653), "")</f>
        <v>0</v>
      </c>
      <c r="BC653" s="286" t="n">
        <f aca="false">IFERROR(SUMIF($Y$4:$AJ$4, "De Minimis", AO653:AZ653), "")</f>
        <v>0</v>
      </c>
      <c r="BD653" s="287"/>
      <c r="BE653" s="288" t="str">
        <f aca="false">IF((SUM(L653:W653)&gt;1),"ERROR","")</f>
        <v/>
      </c>
    </row>
    <row r="654" customFormat="false" ht="15" hidden="false" customHeight="true" outlineLevel="0" collapsed="false">
      <c r="B654" s="333"/>
      <c r="C654" s="334"/>
      <c r="D654" s="333" t="n">
        <f aca="false">D638</f>
        <v>45444</v>
      </c>
      <c r="E654" s="277" t="n">
        <v>0</v>
      </c>
      <c r="F654" s="277" t="n">
        <v>0</v>
      </c>
      <c r="G654" s="277" t="n">
        <f aca="false">SUM(E654:F654)</f>
        <v>0</v>
      </c>
      <c r="H654" s="204"/>
      <c r="I654" s="279" t="n">
        <v>1</v>
      </c>
      <c r="J654" s="280" t="n">
        <f aca="false">1-I654</f>
        <v>0</v>
      </c>
      <c r="K654" s="277"/>
      <c r="L654" s="282"/>
      <c r="M654" s="282"/>
      <c r="N654" s="282"/>
      <c r="O654" s="282"/>
      <c r="P654" s="282"/>
      <c r="Q654" s="282"/>
      <c r="R654" s="282"/>
      <c r="S654" s="282"/>
      <c r="T654" s="282"/>
      <c r="U654" s="282"/>
      <c r="V654" s="282"/>
      <c r="W654" s="282"/>
      <c r="X654" s="283"/>
      <c r="Y654" s="284" t="n">
        <f aca="false">IFERROR(L654*$G654*I$9, "")</f>
        <v>0</v>
      </c>
      <c r="Z654" s="284" t="n">
        <f aca="false">IFERROR(M654*$G654*$I654, "")</f>
        <v>0</v>
      </c>
      <c r="AA654" s="284" t="n">
        <f aca="false">IFERROR(N654*$G654*$I654, "")</f>
        <v>0</v>
      </c>
      <c r="AB654" s="284" t="n">
        <f aca="false">IFERROR(O654*$G654*$I654, "")</f>
        <v>0</v>
      </c>
      <c r="AC654" s="284" t="n">
        <f aca="false">IFERROR(P654*$G654*$I654, "")</f>
        <v>0</v>
      </c>
      <c r="AD654" s="284" t="n">
        <f aca="false">IFERROR(Q654*$G654*$I654, "")</f>
        <v>0</v>
      </c>
      <c r="AE654" s="284" t="n">
        <f aca="false">IFERROR(R654*$G654*$I654, "")</f>
        <v>0</v>
      </c>
      <c r="AF654" s="284" t="n">
        <f aca="false">IFERROR(S654*$G654*$I654, "")</f>
        <v>0</v>
      </c>
      <c r="AG654" s="284" t="n">
        <f aca="false">IFERROR(T654*$G654*$I654, "")</f>
        <v>0</v>
      </c>
      <c r="AH654" s="284" t="n">
        <f aca="false">IFERROR(U654*$G654*$I654, "")</f>
        <v>0</v>
      </c>
      <c r="AI654" s="284" t="n">
        <f aca="false">IFERROR(V654*$G654*$I654, "")</f>
        <v>0</v>
      </c>
      <c r="AJ654" s="284" t="n">
        <f aca="false">IFERROR(W654*$G654*$I654, "")</f>
        <v>0</v>
      </c>
      <c r="AK654" s="286" t="n">
        <f aca="false">IFERROR(SUMIF($Y$4:$AJ$4, "RDEC", Y654:AJ654), "")</f>
        <v>0</v>
      </c>
      <c r="AL654" s="286" t="n">
        <f aca="false">IFERROR(SUMIF($Y$4:$AJ$4, "SME", Y654:AJ654), "")</f>
        <v>0</v>
      </c>
      <c r="AM654" s="286" t="n">
        <f aca="false">IFERROR(SUMIF($Y$4:$AJ$4, "De Minimis", Y654:AJ654), "")</f>
        <v>0</v>
      </c>
      <c r="AN654" s="283"/>
      <c r="AO654" s="284" t="n">
        <f aca="false">IFERROR($G654*$J654*L654, "")</f>
        <v>0</v>
      </c>
      <c r="AP654" s="284" t="n">
        <f aca="false">IFERROR($G654*$J654*M654, "")</f>
        <v>0</v>
      </c>
      <c r="AQ654" s="284" t="n">
        <f aca="false">IFERROR($G654*$J654*N654, "")</f>
        <v>0</v>
      </c>
      <c r="AR654" s="284" t="n">
        <f aca="false">IFERROR($G654*$J654*O654, "")</f>
        <v>0</v>
      </c>
      <c r="AS654" s="284" t="n">
        <f aca="false">IFERROR($G654*$J654*P654, "")</f>
        <v>0</v>
      </c>
      <c r="AT654" s="284" t="n">
        <f aca="false">IFERROR($G654*$J654*Q654, "")</f>
        <v>0</v>
      </c>
      <c r="AU654" s="284" t="n">
        <f aca="false">IFERROR($G654*$J654*R654, "")</f>
        <v>0</v>
      </c>
      <c r="AV654" s="284" t="n">
        <f aca="false">IFERROR($G654*$J654*S654, "")</f>
        <v>0</v>
      </c>
      <c r="AW654" s="284" t="n">
        <f aca="false">IFERROR($G654*$J654*T654, "")</f>
        <v>0</v>
      </c>
      <c r="AX654" s="284" t="n">
        <f aca="false">IFERROR($G654*$J654*U654, "")</f>
        <v>0</v>
      </c>
      <c r="AY654" s="284" t="n">
        <f aca="false">IFERROR($G654*$J654*V654, "")</f>
        <v>0</v>
      </c>
      <c r="AZ654" s="284" t="n">
        <f aca="false">IFERROR($G654*$J654*W654, "")</f>
        <v>0</v>
      </c>
      <c r="BA654" s="286" t="n">
        <f aca="false">IFERROR(SUMIF($AO$4:$AZ$4, "RDEC", AO654:AZ654), "")</f>
        <v>0</v>
      </c>
      <c r="BB654" s="286" t="n">
        <f aca="false">IFERROR(SUMIF($AO$4:$AZ$4, "SME", AO654:AZ654), "")</f>
        <v>0</v>
      </c>
      <c r="BC654" s="286" t="n">
        <f aca="false">IFERROR(SUMIF($Y$4:$AJ$4, "De Minimis", AO654:AZ654), "")</f>
        <v>0</v>
      </c>
      <c r="BD654" s="287"/>
      <c r="BE654" s="288" t="str">
        <f aca="false">IF((SUM(L654:W654)&gt;1),"ERROR","")</f>
        <v/>
      </c>
    </row>
    <row r="655" customFormat="false" ht="15" hidden="false" customHeight="true" outlineLevel="0" collapsed="false">
      <c r="B655" s="333"/>
      <c r="C655" s="334"/>
      <c r="D655" s="333" t="n">
        <f aca="false">D639</f>
        <v>45474</v>
      </c>
      <c r="E655" s="277" t="n">
        <v>0</v>
      </c>
      <c r="F655" s="277" t="n">
        <v>0</v>
      </c>
      <c r="G655" s="277" t="n">
        <f aca="false">SUM(E655:F655)</f>
        <v>0</v>
      </c>
      <c r="H655" s="204"/>
      <c r="I655" s="279" t="n">
        <v>1</v>
      </c>
      <c r="J655" s="280" t="n">
        <f aca="false">1-I655</f>
        <v>0</v>
      </c>
      <c r="K655" s="277"/>
      <c r="L655" s="282"/>
      <c r="M655" s="282"/>
      <c r="N655" s="282"/>
      <c r="O655" s="282"/>
      <c r="P655" s="282"/>
      <c r="Q655" s="282"/>
      <c r="R655" s="282"/>
      <c r="S655" s="282"/>
      <c r="T655" s="282"/>
      <c r="U655" s="282"/>
      <c r="V655" s="282"/>
      <c r="W655" s="282"/>
      <c r="X655" s="283"/>
      <c r="Y655" s="284" t="n">
        <f aca="false">IFERROR(L655*$G655*I$9, "")</f>
        <v>0</v>
      </c>
      <c r="Z655" s="284" t="n">
        <f aca="false">IFERROR(M655*$G655*$I655, "")</f>
        <v>0</v>
      </c>
      <c r="AA655" s="284" t="n">
        <f aca="false">IFERROR(N655*$G655*$I655, "")</f>
        <v>0</v>
      </c>
      <c r="AB655" s="284" t="n">
        <f aca="false">IFERROR(O655*$G655*$I655, "")</f>
        <v>0</v>
      </c>
      <c r="AC655" s="284" t="n">
        <f aca="false">IFERROR(P655*$G655*$I655, "")</f>
        <v>0</v>
      </c>
      <c r="AD655" s="284" t="n">
        <f aca="false">IFERROR(Q655*$G655*$I655, "")</f>
        <v>0</v>
      </c>
      <c r="AE655" s="284" t="n">
        <f aca="false">IFERROR(R655*$G655*$I655, "")</f>
        <v>0</v>
      </c>
      <c r="AF655" s="284" t="n">
        <f aca="false">IFERROR(S655*$G655*$I655, "")</f>
        <v>0</v>
      </c>
      <c r="AG655" s="284" t="n">
        <f aca="false">IFERROR(T655*$G655*$I655, "")</f>
        <v>0</v>
      </c>
      <c r="AH655" s="284" t="n">
        <f aca="false">IFERROR(U655*$G655*$I655, "")</f>
        <v>0</v>
      </c>
      <c r="AI655" s="284" t="n">
        <f aca="false">IFERROR(V655*$G655*$I655, "")</f>
        <v>0</v>
      </c>
      <c r="AJ655" s="284" t="n">
        <f aca="false">IFERROR(W655*$G655*$I655, "")</f>
        <v>0</v>
      </c>
      <c r="AK655" s="286" t="n">
        <f aca="false">IFERROR(SUMIF($Y$4:$AJ$4, "RDEC", Y655:AJ655), "")</f>
        <v>0</v>
      </c>
      <c r="AL655" s="286" t="n">
        <f aca="false">IFERROR(SUMIF($Y$4:$AJ$4, "SME", Y655:AJ655), "")</f>
        <v>0</v>
      </c>
      <c r="AM655" s="286" t="n">
        <f aca="false">IFERROR(SUMIF($Y$4:$AJ$4, "De Minimis", Y655:AJ655), "")</f>
        <v>0</v>
      </c>
      <c r="AN655" s="283"/>
      <c r="AO655" s="284" t="n">
        <f aca="false">IFERROR($G655*$J655*L655, "")</f>
        <v>0</v>
      </c>
      <c r="AP655" s="284" t="n">
        <f aca="false">IFERROR($G655*$J655*M655, "")</f>
        <v>0</v>
      </c>
      <c r="AQ655" s="284" t="n">
        <f aca="false">IFERROR($G655*$J655*N655, "")</f>
        <v>0</v>
      </c>
      <c r="AR655" s="284" t="n">
        <f aca="false">IFERROR($G655*$J655*O655, "")</f>
        <v>0</v>
      </c>
      <c r="AS655" s="284" t="n">
        <f aca="false">IFERROR($G655*$J655*P655, "")</f>
        <v>0</v>
      </c>
      <c r="AT655" s="284" t="n">
        <f aca="false">IFERROR($G655*$J655*Q655, "")</f>
        <v>0</v>
      </c>
      <c r="AU655" s="284" t="n">
        <f aca="false">IFERROR($G655*$J655*R655, "")</f>
        <v>0</v>
      </c>
      <c r="AV655" s="284" t="n">
        <f aca="false">IFERROR($G655*$J655*S655, "")</f>
        <v>0</v>
      </c>
      <c r="AW655" s="284" t="n">
        <f aca="false">IFERROR($G655*$J655*T655, "")</f>
        <v>0</v>
      </c>
      <c r="AX655" s="284" t="n">
        <f aca="false">IFERROR($G655*$J655*U655, "")</f>
        <v>0</v>
      </c>
      <c r="AY655" s="284" t="n">
        <f aca="false">IFERROR($G655*$J655*V655, "")</f>
        <v>0</v>
      </c>
      <c r="AZ655" s="284" t="n">
        <f aca="false">IFERROR($G655*$J655*W655, "")</f>
        <v>0</v>
      </c>
      <c r="BA655" s="286" t="n">
        <f aca="false">IFERROR(SUMIF($AO$4:$AZ$4, "RDEC", AO655:AZ655), "")</f>
        <v>0</v>
      </c>
      <c r="BB655" s="286" t="n">
        <f aca="false">IFERROR(SUMIF($AO$4:$AZ$4, "SME", AO655:AZ655), "")</f>
        <v>0</v>
      </c>
      <c r="BC655" s="286" t="n">
        <f aca="false">IFERROR(SUMIF($Y$4:$AJ$4, "De Minimis", AO655:AZ655), "")</f>
        <v>0</v>
      </c>
      <c r="BD655" s="287"/>
      <c r="BE655" s="288" t="str">
        <f aca="false">IF((SUM(L655:W655)&gt;1),"ERROR","")</f>
        <v/>
      </c>
    </row>
    <row r="656" customFormat="false" ht="15" hidden="false" customHeight="true" outlineLevel="0" collapsed="false">
      <c r="B656" s="333"/>
      <c r="C656" s="334"/>
      <c r="D656" s="333" t="n">
        <f aca="false">D640</f>
        <v>45505</v>
      </c>
      <c r="E656" s="277" t="n">
        <v>0</v>
      </c>
      <c r="F656" s="277" t="n">
        <v>0</v>
      </c>
      <c r="G656" s="277" t="n">
        <f aca="false">SUM(E656:F656)</f>
        <v>0</v>
      </c>
      <c r="H656" s="204"/>
      <c r="I656" s="279" t="n">
        <v>1</v>
      </c>
      <c r="J656" s="280" t="n">
        <f aca="false">1-I656</f>
        <v>0</v>
      </c>
      <c r="K656" s="277"/>
      <c r="L656" s="282"/>
      <c r="M656" s="282"/>
      <c r="N656" s="282"/>
      <c r="O656" s="282"/>
      <c r="P656" s="282"/>
      <c r="Q656" s="282"/>
      <c r="R656" s="282"/>
      <c r="S656" s="282"/>
      <c r="T656" s="282"/>
      <c r="U656" s="282"/>
      <c r="V656" s="282"/>
      <c r="W656" s="282"/>
      <c r="X656" s="283"/>
      <c r="Y656" s="284" t="n">
        <f aca="false">IFERROR(L656*$G656*I$9, "")</f>
        <v>0</v>
      </c>
      <c r="Z656" s="284" t="n">
        <f aca="false">IFERROR(M656*$G656*$I656, "")</f>
        <v>0</v>
      </c>
      <c r="AA656" s="284" t="n">
        <f aca="false">IFERROR(N656*$G656*$I656, "")</f>
        <v>0</v>
      </c>
      <c r="AB656" s="284" t="n">
        <f aca="false">IFERROR(O656*$G656*$I656, "")</f>
        <v>0</v>
      </c>
      <c r="AC656" s="284" t="n">
        <f aca="false">IFERROR(P656*$G656*$I656, "")</f>
        <v>0</v>
      </c>
      <c r="AD656" s="284" t="n">
        <f aca="false">IFERROR(Q656*$G656*$I656, "")</f>
        <v>0</v>
      </c>
      <c r="AE656" s="284" t="n">
        <f aca="false">IFERROR(R656*$G656*$I656, "")</f>
        <v>0</v>
      </c>
      <c r="AF656" s="284" t="n">
        <f aca="false">IFERROR(S656*$G656*$I656, "")</f>
        <v>0</v>
      </c>
      <c r="AG656" s="284" t="n">
        <f aca="false">IFERROR(T656*$G656*$I656, "")</f>
        <v>0</v>
      </c>
      <c r="AH656" s="284" t="n">
        <f aca="false">IFERROR(U656*$G656*$I656, "")</f>
        <v>0</v>
      </c>
      <c r="AI656" s="284" t="n">
        <f aca="false">IFERROR(V656*$G656*$I656, "")</f>
        <v>0</v>
      </c>
      <c r="AJ656" s="284" t="n">
        <f aca="false">IFERROR(W656*$G656*$I656, "")</f>
        <v>0</v>
      </c>
      <c r="AK656" s="286" t="n">
        <f aca="false">IFERROR(SUMIF($Y$4:$AJ$4, "RDEC", Y656:AJ656), "")</f>
        <v>0</v>
      </c>
      <c r="AL656" s="286" t="n">
        <f aca="false">IFERROR(SUMIF($Y$4:$AJ$4, "SME", Y656:AJ656), "")</f>
        <v>0</v>
      </c>
      <c r="AM656" s="286" t="n">
        <f aca="false">IFERROR(SUMIF($Y$4:$AJ$4, "De Minimis", Y656:AJ656), "")</f>
        <v>0</v>
      </c>
      <c r="AN656" s="283"/>
      <c r="AO656" s="284" t="n">
        <f aca="false">IFERROR($G656*$J656*L656, "")</f>
        <v>0</v>
      </c>
      <c r="AP656" s="284" t="n">
        <f aca="false">IFERROR($G656*$J656*M656, "")</f>
        <v>0</v>
      </c>
      <c r="AQ656" s="284" t="n">
        <f aca="false">IFERROR($G656*$J656*N656, "")</f>
        <v>0</v>
      </c>
      <c r="AR656" s="284" t="n">
        <f aca="false">IFERROR($G656*$J656*O656, "")</f>
        <v>0</v>
      </c>
      <c r="AS656" s="284" t="n">
        <f aca="false">IFERROR($G656*$J656*P656, "")</f>
        <v>0</v>
      </c>
      <c r="AT656" s="284" t="n">
        <f aca="false">IFERROR($G656*$J656*Q656, "")</f>
        <v>0</v>
      </c>
      <c r="AU656" s="284" t="n">
        <f aca="false">IFERROR($G656*$J656*R656, "")</f>
        <v>0</v>
      </c>
      <c r="AV656" s="284" t="n">
        <f aca="false">IFERROR($G656*$J656*S656, "")</f>
        <v>0</v>
      </c>
      <c r="AW656" s="284" t="n">
        <f aca="false">IFERROR($G656*$J656*T656, "")</f>
        <v>0</v>
      </c>
      <c r="AX656" s="284" t="n">
        <f aca="false">IFERROR($G656*$J656*U656, "")</f>
        <v>0</v>
      </c>
      <c r="AY656" s="284" t="n">
        <f aca="false">IFERROR($G656*$J656*V656, "")</f>
        <v>0</v>
      </c>
      <c r="AZ656" s="284" t="n">
        <f aca="false">IFERROR($G656*$J656*W656, "")</f>
        <v>0</v>
      </c>
      <c r="BA656" s="286" t="n">
        <f aca="false">IFERROR(SUMIF($AO$4:$AZ$4, "RDEC", AO656:AZ656), "")</f>
        <v>0</v>
      </c>
      <c r="BB656" s="286" t="n">
        <f aca="false">IFERROR(SUMIF($AO$4:$AZ$4, "SME", AO656:AZ656), "")</f>
        <v>0</v>
      </c>
      <c r="BC656" s="286" t="n">
        <f aca="false">IFERROR(SUMIF($Y$4:$AJ$4, "De Minimis", AO656:AZ656), "")</f>
        <v>0</v>
      </c>
      <c r="BD656" s="287"/>
      <c r="BE656" s="288" t="str">
        <f aca="false">IF((SUM(L656:W656)&gt;1),"ERROR","")</f>
        <v/>
      </c>
    </row>
    <row r="657" customFormat="false" ht="15" hidden="false" customHeight="true" outlineLevel="0" collapsed="false">
      <c r="B657" s="333"/>
      <c r="C657" s="334"/>
      <c r="D657" s="333" t="n">
        <f aca="false">D641</f>
        <v>45536</v>
      </c>
      <c r="E657" s="277" t="n">
        <v>0</v>
      </c>
      <c r="F657" s="277" t="n">
        <v>0</v>
      </c>
      <c r="G657" s="277" t="n">
        <f aca="false">SUM(E657:F657)</f>
        <v>0</v>
      </c>
      <c r="H657" s="204"/>
      <c r="I657" s="279" t="n">
        <v>1</v>
      </c>
      <c r="J657" s="280" t="n">
        <f aca="false">1-I657</f>
        <v>0</v>
      </c>
      <c r="K657" s="277"/>
      <c r="L657" s="282"/>
      <c r="M657" s="282"/>
      <c r="N657" s="282"/>
      <c r="O657" s="282"/>
      <c r="P657" s="282"/>
      <c r="Q657" s="282"/>
      <c r="R657" s="282"/>
      <c r="S657" s="282"/>
      <c r="T657" s="282"/>
      <c r="U657" s="282"/>
      <c r="V657" s="282"/>
      <c r="W657" s="282"/>
      <c r="X657" s="283"/>
      <c r="Y657" s="284" t="n">
        <f aca="false">IFERROR(L657*$G657*I$9, "")</f>
        <v>0</v>
      </c>
      <c r="Z657" s="284" t="n">
        <f aca="false">IFERROR(M657*$G657*$I657, "")</f>
        <v>0</v>
      </c>
      <c r="AA657" s="284" t="n">
        <f aca="false">IFERROR(N657*$G657*$I657, "")</f>
        <v>0</v>
      </c>
      <c r="AB657" s="284" t="n">
        <f aca="false">IFERROR(O657*$G657*$I657, "")</f>
        <v>0</v>
      </c>
      <c r="AC657" s="284" t="n">
        <f aca="false">IFERROR(P657*$G657*$I657, "")</f>
        <v>0</v>
      </c>
      <c r="AD657" s="284" t="n">
        <f aca="false">IFERROR(Q657*$G657*$I657, "")</f>
        <v>0</v>
      </c>
      <c r="AE657" s="284" t="n">
        <f aca="false">IFERROR(R657*$G657*$I657, "")</f>
        <v>0</v>
      </c>
      <c r="AF657" s="284" t="n">
        <f aca="false">IFERROR(S657*$G657*$I657, "")</f>
        <v>0</v>
      </c>
      <c r="AG657" s="284" t="n">
        <f aca="false">IFERROR(T657*$G657*$I657, "")</f>
        <v>0</v>
      </c>
      <c r="AH657" s="284" t="n">
        <f aca="false">IFERROR(U657*$G657*$I657, "")</f>
        <v>0</v>
      </c>
      <c r="AI657" s="284" t="n">
        <f aca="false">IFERROR(V657*$G657*$I657, "")</f>
        <v>0</v>
      </c>
      <c r="AJ657" s="284" t="n">
        <f aca="false">IFERROR(W657*$G657*$I657, "")</f>
        <v>0</v>
      </c>
      <c r="AK657" s="286" t="n">
        <f aca="false">IFERROR(SUMIF($Y$4:$AJ$4, "RDEC", Y657:AJ657), "")</f>
        <v>0</v>
      </c>
      <c r="AL657" s="286" t="n">
        <f aca="false">IFERROR(SUMIF($Y$4:$AJ$4, "SME", Y657:AJ657), "")</f>
        <v>0</v>
      </c>
      <c r="AM657" s="286" t="n">
        <f aca="false">IFERROR(SUMIF($Y$4:$AJ$4, "De Minimis", Y657:AJ657), "")</f>
        <v>0</v>
      </c>
      <c r="AN657" s="283"/>
      <c r="AO657" s="284" t="n">
        <f aca="false">IFERROR($G657*$J657*L657, "")</f>
        <v>0</v>
      </c>
      <c r="AP657" s="284" t="n">
        <f aca="false">IFERROR($G657*$J657*M657, "")</f>
        <v>0</v>
      </c>
      <c r="AQ657" s="284" t="n">
        <f aca="false">IFERROR($G657*$J657*N657, "")</f>
        <v>0</v>
      </c>
      <c r="AR657" s="284" t="n">
        <f aca="false">IFERROR($G657*$J657*O657, "")</f>
        <v>0</v>
      </c>
      <c r="AS657" s="284" t="n">
        <f aca="false">IFERROR($G657*$J657*P657, "")</f>
        <v>0</v>
      </c>
      <c r="AT657" s="284" t="n">
        <f aca="false">IFERROR($G657*$J657*Q657, "")</f>
        <v>0</v>
      </c>
      <c r="AU657" s="284" t="n">
        <f aca="false">IFERROR($G657*$J657*R657, "")</f>
        <v>0</v>
      </c>
      <c r="AV657" s="284" t="n">
        <f aca="false">IFERROR($G657*$J657*S657, "")</f>
        <v>0</v>
      </c>
      <c r="AW657" s="284" t="n">
        <f aca="false">IFERROR($G657*$J657*T657, "")</f>
        <v>0</v>
      </c>
      <c r="AX657" s="284" t="n">
        <f aca="false">IFERROR($G657*$J657*U657, "")</f>
        <v>0</v>
      </c>
      <c r="AY657" s="284" t="n">
        <f aca="false">IFERROR($G657*$J657*V657, "")</f>
        <v>0</v>
      </c>
      <c r="AZ657" s="284" t="n">
        <f aca="false">IFERROR($G657*$J657*W657, "")</f>
        <v>0</v>
      </c>
      <c r="BA657" s="286" t="n">
        <f aca="false">IFERROR(SUMIF($AO$4:$AZ$4, "RDEC", AO657:AZ657), "")</f>
        <v>0</v>
      </c>
      <c r="BB657" s="286" t="n">
        <f aca="false">IFERROR(SUMIF($AO$4:$AZ$4, "SME", AO657:AZ657), "")</f>
        <v>0</v>
      </c>
      <c r="BC657" s="286" t="n">
        <f aca="false">IFERROR(SUMIF($Y$4:$AJ$4, "De Minimis", AO657:AZ657), "")</f>
        <v>0</v>
      </c>
      <c r="BD657" s="287"/>
      <c r="BE657" s="288" t="str">
        <f aca="false">IF((SUM(L657:W657)&gt;1),"ERROR","")</f>
        <v/>
      </c>
    </row>
    <row r="658" customFormat="false" ht="15" hidden="false" customHeight="true" outlineLevel="0" collapsed="false">
      <c r="B658" s="333"/>
      <c r="C658" s="334"/>
      <c r="D658" s="333" t="n">
        <f aca="false">D642</f>
        <v>45566</v>
      </c>
      <c r="E658" s="277" t="n">
        <v>0</v>
      </c>
      <c r="F658" s="277" t="n">
        <v>0</v>
      </c>
      <c r="G658" s="277" t="n">
        <f aca="false">SUM(E658:F658)</f>
        <v>0</v>
      </c>
      <c r="H658" s="204"/>
      <c r="I658" s="279" t="n">
        <v>1</v>
      </c>
      <c r="J658" s="280" t="n">
        <f aca="false">1-I658</f>
        <v>0</v>
      </c>
      <c r="K658" s="277"/>
      <c r="L658" s="282"/>
      <c r="M658" s="282"/>
      <c r="N658" s="282"/>
      <c r="O658" s="282"/>
      <c r="P658" s="282"/>
      <c r="Q658" s="282"/>
      <c r="R658" s="282"/>
      <c r="S658" s="282"/>
      <c r="T658" s="282"/>
      <c r="U658" s="282"/>
      <c r="V658" s="282"/>
      <c r="W658" s="282"/>
      <c r="X658" s="283"/>
      <c r="Y658" s="284" t="n">
        <f aca="false">IFERROR(L658*$G658*I$9, "")</f>
        <v>0</v>
      </c>
      <c r="Z658" s="284" t="n">
        <f aca="false">IFERROR(M658*$G658*$I658, "")</f>
        <v>0</v>
      </c>
      <c r="AA658" s="284" t="n">
        <f aca="false">IFERROR(N658*$G658*$I658, "")</f>
        <v>0</v>
      </c>
      <c r="AB658" s="284" t="n">
        <f aca="false">IFERROR(O658*$G658*$I658, "")</f>
        <v>0</v>
      </c>
      <c r="AC658" s="284" t="n">
        <f aca="false">IFERROR(P658*$G658*$I658, "")</f>
        <v>0</v>
      </c>
      <c r="AD658" s="284" t="n">
        <f aca="false">IFERROR(Q658*$G658*$I658, "")</f>
        <v>0</v>
      </c>
      <c r="AE658" s="284" t="n">
        <f aca="false">IFERROR(R658*$G658*$I658, "")</f>
        <v>0</v>
      </c>
      <c r="AF658" s="284" t="n">
        <f aca="false">IFERROR(S658*$G658*$I658, "")</f>
        <v>0</v>
      </c>
      <c r="AG658" s="284" t="n">
        <f aca="false">IFERROR(T658*$G658*$I658, "")</f>
        <v>0</v>
      </c>
      <c r="AH658" s="284" t="n">
        <f aca="false">IFERROR(U658*$G658*$I658, "")</f>
        <v>0</v>
      </c>
      <c r="AI658" s="284" t="n">
        <f aca="false">IFERROR(V658*$G658*$I658, "")</f>
        <v>0</v>
      </c>
      <c r="AJ658" s="284" t="n">
        <f aca="false">IFERROR(W658*$G658*$I658, "")</f>
        <v>0</v>
      </c>
      <c r="AK658" s="286" t="n">
        <f aca="false">IFERROR(SUMIF($Y$4:$AJ$4, "RDEC", Y658:AJ658), "")</f>
        <v>0</v>
      </c>
      <c r="AL658" s="286" t="n">
        <f aca="false">IFERROR(SUMIF($Y$4:$AJ$4, "SME", Y658:AJ658), "")</f>
        <v>0</v>
      </c>
      <c r="AM658" s="286" t="n">
        <f aca="false">IFERROR(SUMIF($Y$4:$AJ$4, "De Minimis", Y658:AJ658), "")</f>
        <v>0</v>
      </c>
      <c r="AN658" s="283"/>
      <c r="AO658" s="284" t="n">
        <f aca="false">IFERROR($G658*$J658*L658, "")</f>
        <v>0</v>
      </c>
      <c r="AP658" s="284" t="n">
        <f aca="false">IFERROR($G658*$J658*M658, "")</f>
        <v>0</v>
      </c>
      <c r="AQ658" s="284" t="n">
        <f aca="false">IFERROR($G658*$J658*N658, "")</f>
        <v>0</v>
      </c>
      <c r="AR658" s="284" t="n">
        <f aca="false">IFERROR($G658*$J658*O658, "")</f>
        <v>0</v>
      </c>
      <c r="AS658" s="284" t="n">
        <f aca="false">IFERROR($G658*$J658*P658, "")</f>
        <v>0</v>
      </c>
      <c r="AT658" s="284" t="n">
        <f aca="false">IFERROR($G658*$J658*Q658, "")</f>
        <v>0</v>
      </c>
      <c r="AU658" s="284" t="n">
        <f aca="false">IFERROR($G658*$J658*R658, "")</f>
        <v>0</v>
      </c>
      <c r="AV658" s="284" t="n">
        <f aca="false">IFERROR($G658*$J658*S658, "")</f>
        <v>0</v>
      </c>
      <c r="AW658" s="284" t="n">
        <f aca="false">IFERROR($G658*$J658*T658, "")</f>
        <v>0</v>
      </c>
      <c r="AX658" s="284" t="n">
        <f aca="false">IFERROR($G658*$J658*U658, "")</f>
        <v>0</v>
      </c>
      <c r="AY658" s="284" t="n">
        <f aca="false">IFERROR($G658*$J658*V658, "")</f>
        <v>0</v>
      </c>
      <c r="AZ658" s="284" t="n">
        <f aca="false">IFERROR($G658*$J658*W658, "")</f>
        <v>0</v>
      </c>
      <c r="BA658" s="286" t="n">
        <f aca="false">IFERROR(SUMIF($AO$4:$AZ$4, "RDEC", AO658:AZ658), "")</f>
        <v>0</v>
      </c>
      <c r="BB658" s="286" t="n">
        <f aca="false">IFERROR(SUMIF($AO$4:$AZ$4, "SME", AO658:AZ658), "")</f>
        <v>0</v>
      </c>
      <c r="BC658" s="286" t="n">
        <f aca="false">IFERROR(SUMIF($Y$4:$AJ$4, "De Minimis", AO658:AZ658), "")</f>
        <v>0</v>
      </c>
      <c r="BD658" s="287"/>
      <c r="BE658" s="288" t="str">
        <f aca="false">IF((SUM(L658:W658)&gt;1),"ERROR","")</f>
        <v/>
      </c>
    </row>
    <row r="659" customFormat="false" ht="15" hidden="false" customHeight="true" outlineLevel="0" collapsed="false">
      <c r="B659" s="333"/>
      <c r="C659" s="334"/>
      <c r="D659" s="333" t="n">
        <f aca="false">D643</f>
        <v>45597</v>
      </c>
      <c r="E659" s="277" t="n">
        <v>0</v>
      </c>
      <c r="F659" s="277" t="n">
        <v>0</v>
      </c>
      <c r="G659" s="277" t="n">
        <f aca="false">SUM(E659:F659)</f>
        <v>0</v>
      </c>
      <c r="H659" s="204"/>
      <c r="I659" s="279" t="n">
        <v>1</v>
      </c>
      <c r="J659" s="280" t="n">
        <f aca="false">1-I659</f>
        <v>0</v>
      </c>
      <c r="K659" s="277"/>
      <c r="L659" s="282"/>
      <c r="M659" s="282"/>
      <c r="N659" s="282"/>
      <c r="O659" s="282"/>
      <c r="P659" s="282"/>
      <c r="Q659" s="282"/>
      <c r="R659" s="282"/>
      <c r="S659" s="282"/>
      <c r="T659" s="282"/>
      <c r="U659" s="282"/>
      <c r="V659" s="282"/>
      <c r="W659" s="282"/>
      <c r="X659" s="283"/>
      <c r="Y659" s="284" t="n">
        <f aca="false">IFERROR(L659*$G659*I$9, "")</f>
        <v>0</v>
      </c>
      <c r="Z659" s="284" t="n">
        <f aca="false">IFERROR(M659*$G659*$I659, "")</f>
        <v>0</v>
      </c>
      <c r="AA659" s="284" t="n">
        <f aca="false">IFERROR(N659*$G659*$I659, "")</f>
        <v>0</v>
      </c>
      <c r="AB659" s="284" t="n">
        <f aca="false">IFERROR(O659*$G659*$I659, "")</f>
        <v>0</v>
      </c>
      <c r="AC659" s="284" t="n">
        <f aca="false">IFERROR(P659*$G659*$I659, "")</f>
        <v>0</v>
      </c>
      <c r="AD659" s="284" t="n">
        <f aca="false">IFERROR(Q659*$G659*$I659, "")</f>
        <v>0</v>
      </c>
      <c r="AE659" s="284" t="n">
        <f aca="false">IFERROR(R659*$G659*$I659, "")</f>
        <v>0</v>
      </c>
      <c r="AF659" s="284" t="n">
        <f aca="false">IFERROR(S659*$G659*$I659, "")</f>
        <v>0</v>
      </c>
      <c r="AG659" s="284" t="n">
        <f aca="false">IFERROR(T659*$G659*$I659, "")</f>
        <v>0</v>
      </c>
      <c r="AH659" s="284" t="n">
        <f aca="false">IFERROR(U659*$G659*$I659, "")</f>
        <v>0</v>
      </c>
      <c r="AI659" s="284" t="n">
        <f aca="false">IFERROR(V659*$G659*$I659, "")</f>
        <v>0</v>
      </c>
      <c r="AJ659" s="284" t="n">
        <f aca="false">IFERROR(W659*$G659*$I659, "")</f>
        <v>0</v>
      </c>
      <c r="AK659" s="286" t="n">
        <f aca="false">IFERROR(SUMIF($Y$4:$AJ$4, "RDEC", Y659:AJ659), "")</f>
        <v>0</v>
      </c>
      <c r="AL659" s="286" t="n">
        <f aca="false">IFERROR(SUMIF($Y$4:$AJ$4, "SME", Y659:AJ659), "")</f>
        <v>0</v>
      </c>
      <c r="AM659" s="286" t="n">
        <f aca="false">IFERROR(SUMIF($Y$4:$AJ$4, "De Minimis", Y659:AJ659), "")</f>
        <v>0</v>
      </c>
      <c r="AN659" s="283"/>
      <c r="AO659" s="284" t="n">
        <f aca="false">IFERROR($G659*$J659*L659, "")</f>
        <v>0</v>
      </c>
      <c r="AP659" s="284" t="n">
        <f aca="false">IFERROR($G659*$J659*M659, "")</f>
        <v>0</v>
      </c>
      <c r="AQ659" s="284" t="n">
        <f aca="false">IFERROR($G659*$J659*N659, "")</f>
        <v>0</v>
      </c>
      <c r="AR659" s="284" t="n">
        <f aca="false">IFERROR($G659*$J659*O659, "")</f>
        <v>0</v>
      </c>
      <c r="AS659" s="284" t="n">
        <f aca="false">IFERROR($G659*$J659*P659, "")</f>
        <v>0</v>
      </c>
      <c r="AT659" s="284" t="n">
        <f aca="false">IFERROR($G659*$J659*Q659, "")</f>
        <v>0</v>
      </c>
      <c r="AU659" s="284" t="n">
        <f aca="false">IFERROR($G659*$J659*R659, "")</f>
        <v>0</v>
      </c>
      <c r="AV659" s="284" t="n">
        <f aca="false">IFERROR($G659*$J659*S659, "")</f>
        <v>0</v>
      </c>
      <c r="AW659" s="284" t="n">
        <f aca="false">IFERROR($G659*$J659*T659, "")</f>
        <v>0</v>
      </c>
      <c r="AX659" s="284" t="n">
        <f aca="false">IFERROR($G659*$J659*U659, "")</f>
        <v>0</v>
      </c>
      <c r="AY659" s="284" t="n">
        <f aca="false">IFERROR($G659*$J659*V659, "")</f>
        <v>0</v>
      </c>
      <c r="AZ659" s="284" t="n">
        <f aca="false">IFERROR($G659*$J659*W659, "")</f>
        <v>0</v>
      </c>
      <c r="BA659" s="286" t="n">
        <f aca="false">IFERROR(SUMIF($AO$4:$AZ$4, "RDEC", AO659:AZ659), "")</f>
        <v>0</v>
      </c>
      <c r="BB659" s="286" t="n">
        <f aca="false">IFERROR(SUMIF($AO$4:$AZ$4, "SME", AO659:AZ659), "")</f>
        <v>0</v>
      </c>
      <c r="BC659" s="286" t="n">
        <f aca="false">IFERROR(SUMIF($Y$4:$AJ$4, "De Minimis", AO659:AZ659), "")</f>
        <v>0</v>
      </c>
      <c r="BD659" s="287"/>
      <c r="BE659" s="288" t="str">
        <f aca="false">IF((SUM(L659:W659)&gt;1),"ERROR","")</f>
        <v/>
      </c>
    </row>
    <row r="660" customFormat="false" ht="15" hidden="false" customHeight="true" outlineLevel="0" collapsed="false">
      <c r="B660" s="333"/>
      <c r="C660" s="334"/>
      <c r="D660" s="333" t="n">
        <f aca="false">D644</f>
        <v>45627</v>
      </c>
      <c r="E660" s="277" t="n">
        <v>0</v>
      </c>
      <c r="F660" s="277" t="n">
        <v>0</v>
      </c>
      <c r="G660" s="277" t="n">
        <f aca="false">SUM(E660:F660)</f>
        <v>0</v>
      </c>
      <c r="H660" s="300"/>
      <c r="I660" s="289" t="n">
        <v>1</v>
      </c>
      <c r="J660" s="290" t="n">
        <f aca="false">1-I660</f>
        <v>0</v>
      </c>
      <c r="K660" s="300"/>
      <c r="L660" s="291"/>
      <c r="M660" s="291"/>
      <c r="N660" s="291"/>
      <c r="O660" s="291"/>
      <c r="P660" s="291"/>
      <c r="Q660" s="291"/>
      <c r="R660" s="291"/>
      <c r="S660" s="291"/>
      <c r="T660" s="291"/>
      <c r="U660" s="291"/>
      <c r="V660" s="291"/>
      <c r="W660" s="291"/>
      <c r="X660" s="283"/>
      <c r="Y660" s="284" t="n">
        <f aca="false">IFERROR(L660*$G660*I$9, "")</f>
        <v>0</v>
      </c>
      <c r="Z660" s="284" t="n">
        <f aca="false">IFERROR(M660*$G660*$I660, "")</f>
        <v>0</v>
      </c>
      <c r="AA660" s="284" t="n">
        <f aca="false">IFERROR(N660*$G660*$I660, "")</f>
        <v>0</v>
      </c>
      <c r="AB660" s="284" t="n">
        <f aca="false">IFERROR(O660*$G660*$I660, "")</f>
        <v>0</v>
      </c>
      <c r="AC660" s="284" t="n">
        <f aca="false">IFERROR(P660*$G660*$I660, "")</f>
        <v>0</v>
      </c>
      <c r="AD660" s="284" t="n">
        <f aca="false">IFERROR(Q660*$G660*$I660, "")</f>
        <v>0</v>
      </c>
      <c r="AE660" s="284" t="n">
        <f aca="false">IFERROR(R660*$G660*$I660, "")</f>
        <v>0</v>
      </c>
      <c r="AF660" s="284" t="n">
        <f aca="false">IFERROR(S660*$G660*$I660, "")</f>
        <v>0</v>
      </c>
      <c r="AG660" s="284" t="n">
        <f aca="false">IFERROR(T660*$G660*$I660, "")</f>
        <v>0</v>
      </c>
      <c r="AH660" s="284" t="n">
        <f aca="false">IFERROR(U660*$G660*$I660, "")</f>
        <v>0</v>
      </c>
      <c r="AI660" s="284" t="n">
        <f aca="false">IFERROR(V660*$G660*$I660, "")</f>
        <v>0</v>
      </c>
      <c r="AJ660" s="284" t="n">
        <f aca="false">IFERROR(W660*$G660*$I660, "")</f>
        <v>0</v>
      </c>
      <c r="AK660" s="294" t="n">
        <f aca="false">IFERROR(SUMIF($Y$4:$AJ$4, "RDEC", Y660:AJ660), "")</f>
        <v>0</v>
      </c>
      <c r="AL660" s="294" t="n">
        <f aca="false">IFERROR(SUMIF($Y$4:$AJ$4, "SME", Y660:AJ660), "")</f>
        <v>0</v>
      </c>
      <c r="AM660" s="294" t="n">
        <f aca="false">IFERROR(SUMIF($Y$4:$AJ$4, "De Minimis", Y660:AJ660), "")</f>
        <v>0</v>
      </c>
      <c r="AN660" s="283"/>
      <c r="AO660" s="284" t="n">
        <f aca="false">IFERROR($G660*$J660*L660, "")</f>
        <v>0</v>
      </c>
      <c r="AP660" s="284" t="n">
        <f aca="false">IFERROR($G660*$J660*M660, "")</f>
        <v>0</v>
      </c>
      <c r="AQ660" s="284" t="n">
        <f aca="false">IFERROR($G660*$J660*N660, "")</f>
        <v>0</v>
      </c>
      <c r="AR660" s="284" t="n">
        <f aca="false">IFERROR($G660*$J660*O660, "")</f>
        <v>0</v>
      </c>
      <c r="AS660" s="284" t="n">
        <f aca="false">IFERROR($G660*$J660*P660, "")</f>
        <v>0</v>
      </c>
      <c r="AT660" s="284" t="n">
        <f aca="false">IFERROR($G660*$J660*Q660, "")</f>
        <v>0</v>
      </c>
      <c r="AU660" s="284" t="n">
        <f aca="false">IFERROR($G660*$J660*R660, "")</f>
        <v>0</v>
      </c>
      <c r="AV660" s="284" t="n">
        <f aca="false">IFERROR($G660*$J660*S660, "")</f>
        <v>0</v>
      </c>
      <c r="AW660" s="284" t="n">
        <f aca="false">IFERROR($G660*$J660*T660, "")</f>
        <v>0</v>
      </c>
      <c r="AX660" s="284" t="n">
        <f aca="false">IFERROR($G660*$J660*U660, "")</f>
        <v>0</v>
      </c>
      <c r="AY660" s="284" t="n">
        <f aca="false">IFERROR($G660*$J660*V660, "")</f>
        <v>0</v>
      </c>
      <c r="AZ660" s="284" t="n">
        <f aca="false">IFERROR($G660*$J660*W660, "")</f>
        <v>0</v>
      </c>
      <c r="BA660" s="286" t="n">
        <f aca="false">IFERROR(SUMIF($AO$4:$AZ$4, "RDEC", AO660:AZ660), "")</f>
        <v>0</v>
      </c>
      <c r="BB660" s="286" t="n">
        <f aca="false">IFERROR(SUMIF($AO$4:$AZ$4, "SME", AO660:AZ660), "")</f>
        <v>0</v>
      </c>
      <c r="BC660" s="294" t="n">
        <f aca="false">IFERROR(SUMIF($Y$4:$AJ$4, "De Minimis", AO660:AZ660), "")</f>
        <v>0</v>
      </c>
      <c r="BD660" s="303"/>
      <c r="BE660" s="295" t="str">
        <f aca="false">IF((SUM(L660:W660)&gt;1),"ERROR","")</f>
        <v/>
      </c>
    </row>
    <row r="661" customFormat="false" ht="15" hidden="false" customHeight="true" outlineLevel="0" collapsed="false">
      <c r="B661" s="296"/>
      <c r="D661" s="297" t="s">
        <v>82</v>
      </c>
      <c r="E661" s="299" t="n">
        <f aca="false">SUM(E649:E660)</f>
        <v>0</v>
      </c>
      <c r="F661" s="299" t="n">
        <f aca="false">SUM(F649:F660)</f>
        <v>0</v>
      </c>
      <c r="G661" s="299" t="n">
        <f aca="false">SUM(G649:G660)</f>
        <v>0</v>
      </c>
      <c r="H661" s="300"/>
      <c r="I661" s="301" t="n">
        <f aca="false">AVERAGE(I649:I660)</f>
        <v>1</v>
      </c>
      <c r="J661" s="301" t="n">
        <f aca="false">AVERAGE(J649:J660)</f>
        <v>0</v>
      </c>
      <c r="K661" s="300"/>
      <c r="L661" s="290" t="n">
        <f aca="false">IF(SUM(L649:L660)&gt;0,(Y661/G661),0)</f>
        <v>0</v>
      </c>
      <c r="M661" s="301" t="n">
        <f aca="false">IF(SUM(M649:M660)&gt;0,(Z661/G661),0)</f>
        <v>0</v>
      </c>
      <c r="N661" s="301" t="n">
        <f aca="false">IF(SUM(N649:N660)&gt;0,(AA661/G661),0)</f>
        <v>0</v>
      </c>
      <c r="O661" s="301" t="n">
        <f aca="false">IF(SUM(O649:O660)&gt;0,(AB661/G661),0)</f>
        <v>0</v>
      </c>
      <c r="P661" s="301" t="n">
        <f aca="false">IF(SUM(P649:P660)&gt;0,(AC661/G661),0)</f>
        <v>0</v>
      </c>
      <c r="Q661" s="301" t="n">
        <f aca="false">IF(SUM(Q649:Q660)&gt;0,(AD661/G661),0)</f>
        <v>0</v>
      </c>
      <c r="R661" s="301" t="n">
        <f aca="false">IF(SUM(R649:R660)&gt;0,(AE661/G661),0)</f>
        <v>0</v>
      </c>
      <c r="S661" s="301" t="n">
        <f aca="false">IF(SUM(S649:S660)&gt;0,(AF661/G661),0)</f>
        <v>0</v>
      </c>
      <c r="T661" s="301" t="n">
        <f aca="false">IF(SUM(T649:T660)&gt;0,(AG661/G661),0)</f>
        <v>0</v>
      </c>
      <c r="U661" s="301" t="n">
        <f aca="false">IF(SUM(U649:U660)&gt;0,(AJ661/G661),0)</f>
        <v>0</v>
      </c>
      <c r="V661" s="301" t="n">
        <f aca="false">IF(SUM(V649:V660)&gt;0,(AI661/G661),0)</f>
        <v>0</v>
      </c>
      <c r="W661" s="301" t="n">
        <f aca="false">IF(SUM(W649:W660)&gt;0,(AJ661/G661),0)</f>
        <v>0</v>
      </c>
      <c r="X661" s="283"/>
      <c r="Y661" s="304" t="n">
        <f aca="false">SUM(Y649:Y660)</f>
        <v>0</v>
      </c>
      <c r="Z661" s="304" t="n">
        <f aca="false">SUM(Z649:Z660)</f>
        <v>0</v>
      </c>
      <c r="AA661" s="304" t="n">
        <f aca="false">SUM(AA649:AA660)</f>
        <v>0</v>
      </c>
      <c r="AB661" s="304" t="n">
        <f aca="false">SUM(AB649:AB660)</f>
        <v>0</v>
      </c>
      <c r="AC661" s="304" t="n">
        <f aca="false">SUM(AC649:AC660)</f>
        <v>0</v>
      </c>
      <c r="AD661" s="304" t="n">
        <f aca="false">SUM(AD649:AD660)</f>
        <v>0</v>
      </c>
      <c r="AE661" s="304" t="n">
        <f aca="false">SUM(AE649:AE660)</f>
        <v>0</v>
      </c>
      <c r="AF661" s="304" t="n">
        <f aca="false">SUM(AF649:AF660)</f>
        <v>0</v>
      </c>
      <c r="AG661" s="304" t="n">
        <f aca="false">SUM(AG649:AG660)</f>
        <v>0</v>
      </c>
      <c r="AH661" s="304" t="n">
        <f aca="false">SUM(AH649:AH660)</f>
        <v>0</v>
      </c>
      <c r="AI661" s="304" t="n">
        <f aca="false">SUM(AI649:AI660)</f>
        <v>0</v>
      </c>
      <c r="AJ661" s="304" t="n">
        <f aca="false">SUM(AJ649:AJ660)</f>
        <v>0</v>
      </c>
      <c r="AK661" s="335" t="n">
        <f aca="false">SUM(AK649:AK660)</f>
        <v>0</v>
      </c>
      <c r="AL661" s="336" t="n">
        <f aca="false">SUM(AL649:AL660)</f>
        <v>0</v>
      </c>
      <c r="AM661" s="305" t="n">
        <f aca="false">SUM(AM649:AM660)</f>
        <v>0</v>
      </c>
      <c r="AN661" s="283"/>
      <c r="AO661" s="304" t="n">
        <f aca="false">SUM(AO649:AO660)</f>
        <v>0</v>
      </c>
      <c r="AP661" s="304" t="n">
        <f aca="false">SUM(AP649:AP660)</f>
        <v>0</v>
      </c>
      <c r="AQ661" s="304" t="n">
        <f aca="false">SUM(AQ649:AQ660)</f>
        <v>0</v>
      </c>
      <c r="AR661" s="304" t="n">
        <f aca="false">SUM(AR649:AR660)</f>
        <v>0</v>
      </c>
      <c r="AS661" s="304" t="n">
        <f aca="false">SUM(AS649:AS660)</f>
        <v>0</v>
      </c>
      <c r="AT661" s="304" t="n">
        <f aca="false">SUM(AT649:AT660)</f>
        <v>0</v>
      </c>
      <c r="AU661" s="304" t="n">
        <f aca="false">SUM(AU649:AU660)</f>
        <v>0</v>
      </c>
      <c r="AV661" s="304" t="n">
        <f aca="false">SUM(AV649:AV660)</f>
        <v>0</v>
      </c>
      <c r="AW661" s="304" t="n">
        <f aca="false">SUM(AW649:AW660)</f>
        <v>0</v>
      </c>
      <c r="AX661" s="304" t="n">
        <f aca="false">SUM(AX649:AX660)</f>
        <v>0</v>
      </c>
      <c r="AY661" s="304" t="n">
        <f aca="false">SUM(AY649:AY660)</f>
        <v>0</v>
      </c>
      <c r="AZ661" s="304" t="n">
        <f aca="false">SUM(AZ649:AZ660)</f>
        <v>0</v>
      </c>
      <c r="BA661" s="336" t="n">
        <f aca="false">SUM(BA649:BA660)</f>
        <v>0</v>
      </c>
      <c r="BB661" s="336" t="n">
        <f aca="false">SUM(BB649:BB660)</f>
        <v>0</v>
      </c>
      <c r="BC661" s="305" t="n">
        <f aca="false">SUM(BC649:BC660)</f>
        <v>0</v>
      </c>
      <c r="BD661" s="303"/>
      <c r="BE661" s="337"/>
    </row>
    <row r="662" customFormat="false" ht="15" hidden="false" customHeight="true" outlineLevel="0" collapsed="false">
      <c r="B662" s="296"/>
      <c r="D662" s="297"/>
      <c r="E662" s="300"/>
      <c r="F662" s="300"/>
      <c r="G662" s="300"/>
      <c r="H662" s="241"/>
      <c r="I662" s="302"/>
      <c r="J662" s="302"/>
      <c r="K662" s="241"/>
      <c r="L662" s="259"/>
      <c r="M662" s="259"/>
      <c r="N662" s="259"/>
      <c r="O662" s="259"/>
      <c r="P662" s="259"/>
      <c r="Q662" s="259"/>
      <c r="R662" s="259"/>
      <c r="S662" s="259"/>
      <c r="T662" s="259"/>
      <c r="U662" s="259"/>
      <c r="V662" s="259"/>
      <c r="W662" s="259"/>
      <c r="X662" s="303"/>
      <c r="Y662" s="259"/>
      <c r="Z662" s="303"/>
      <c r="AA662" s="303"/>
      <c r="AB662" s="303"/>
      <c r="AC662" s="303"/>
      <c r="AD662" s="303"/>
      <c r="AE662" s="303"/>
      <c r="AF662" s="303"/>
      <c r="AG662" s="303"/>
      <c r="AH662" s="303"/>
      <c r="AI662" s="303"/>
      <c r="AJ662" s="303"/>
      <c r="AK662" s="303"/>
      <c r="AL662" s="303"/>
      <c r="AM662" s="303"/>
      <c r="AN662" s="303"/>
      <c r="AO662" s="259"/>
      <c r="AP662" s="303"/>
      <c r="AQ662" s="303"/>
      <c r="AR662" s="303"/>
      <c r="AS662" s="303"/>
      <c r="AT662" s="303"/>
      <c r="AU662" s="303"/>
      <c r="AV662" s="303"/>
      <c r="AW662" s="303"/>
      <c r="AX662" s="303"/>
      <c r="AY662" s="303"/>
      <c r="AZ662" s="303"/>
      <c r="BA662" s="303"/>
      <c r="BB662" s="303"/>
      <c r="BC662" s="303"/>
      <c r="BD662" s="268"/>
      <c r="BE662" s="303"/>
    </row>
    <row r="663" customFormat="false" ht="15" hidden="false" customHeight="true" outlineLevel="0" collapsed="false">
      <c r="A663" s="198" t="n">
        <f aca="false">A647+1</f>
        <v>42</v>
      </c>
      <c r="B663" s="266" t="s">
        <v>253</v>
      </c>
      <c r="C663" s="266" t="s">
        <v>253</v>
      </c>
      <c r="D663" s="266"/>
      <c r="E663" s="241"/>
      <c r="F663" s="241"/>
      <c r="G663" s="241"/>
      <c r="H663" s="241"/>
      <c r="I663" s="241"/>
      <c r="J663" s="241"/>
      <c r="K663" s="277"/>
      <c r="L663" s="241"/>
      <c r="M663" s="241"/>
      <c r="N663" s="241"/>
      <c r="O663" s="241"/>
      <c r="P663" s="241"/>
      <c r="Q663" s="241"/>
      <c r="R663" s="241"/>
      <c r="S663" s="241"/>
      <c r="T663" s="241"/>
      <c r="U663" s="241"/>
      <c r="V663" s="241"/>
      <c r="W663" s="241"/>
      <c r="X663" s="259"/>
      <c r="Y663" s="268"/>
      <c r="Z663" s="268"/>
      <c r="AA663" s="268"/>
      <c r="AB663" s="268"/>
      <c r="AC663" s="268"/>
      <c r="AD663" s="268"/>
      <c r="AE663" s="268"/>
      <c r="AF663" s="268"/>
      <c r="AG663" s="268"/>
      <c r="AH663" s="268"/>
      <c r="AI663" s="268"/>
      <c r="AJ663" s="268"/>
      <c r="AK663" s="268"/>
      <c r="AL663" s="268"/>
      <c r="AM663" s="268"/>
      <c r="AN663" s="259"/>
      <c r="AO663" s="268"/>
      <c r="AP663" s="268"/>
      <c r="AQ663" s="268"/>
      <c r="AR663" s="268"/>
      <c r="AS663" s="268"/>
      <c r="AT663" s="268"/>
      <c r="AU663" s="268"/>
      <c r="AV663" s="268"/>
      <c r="AW663" s="268"/>
      <c r="AX663" s="268"/>
      <c r="AY663" s="268"/>
      <c r="AZ663" s="268"/>
      <c r="BA663" s="268"/>
      <c r="BB663" s="268"/>
      <c r="BC663" s="268"/>
      <c r="BD663" s="287"/>
      <c r="BE663" s="268"/>
    </row>
    <row r="664" customFormat="false" ht="7.5" hidden="false" customHeight="true" outlineLevel="0" collapsed="false">
      <c r="A664" s="198"/>
      <c r="B664" s="266"/>
      <c r="C664" s="266"/>
      <c r="D664" s="266"/>
      <c r="E664" s="241"/>
      <c r="F664" s="241"/>
      <c r="G664" s="241"/>
      <c r="H664" s="204"/>
      <c r="I664" s="269"/>
      <c r="J664" s="269"/>
      <c r="K664" s="277"/>
      <c r="L664" s="269"/>
      <c r="M664" s="269"/>
      <c r="N664" s="269"/>
      <c r="O664" s="269"/>
      <c r="P664" s="269"/>
      <c r="Q664" s="269"/>
      <c r="R664" s="269"/>
      <c r="S664" s="269"/>
      <c r="T664" s="269"/>
      <c r="U664" s="269"/>
      <c r="V664" s="269"/>
      <c r="W664" s="269"/>
      <c r="X664" s="259"/>
      <c r="Y664" s="271"/>
      <c r="Z664" s="271"/>
      <c r="AA664" s="271"/>
      <c r="AB664" s="271"/>
      <c r="AC664" s="271"/>
      <c r="AD664" s="271"/>
      <c r="AE664" s="271"/>
      <c r="AF664" s="271"/>
      <c r="AG664" s="271"/>
      <c r="AH664" s="271"/>
      <c r="AI664" s="271"/>
      <c r="AJ664" s="272"/>
      <c r="AK664" s="273"/>
      <c r="AL664" s="273"/>
      <c r="AM664" s="273"/>
      <c r="AN664" s="259"/>
      <c r="AO664" s="271"/>
      <c r="AP664" s="271"/>
      <c r="AQ664" s="271"/>
      <c r="AR664" s="271"/>
      <c r="AS664" s="271"/>
      <c r="AT664" s="271"/>
      <c r="AU664" s="271"/>
      <c r="AV664" s="271"/>
      <c r="AW664" s="271"/>
      <c r="AX664" s="271"/>
      <c r="AY664" s="271"/>
      <c r="AZ664" s="272"/>
      <c r="BA664" s="273"/>
      <c r="BB664" s="273"/>
      <c r="BC664" s="273"/>
      <c r="BD664" s="287"/>
      <c r="BE664" s="274"/>
    </row>
    <row r="665" customFormat="false" ht="15" hidden="false" customHeight="true" outlineLevel="0" collapsed="false">
      <c r="B665" s="333"/>
      <c r="C665" s="334"/>
      <c r="D665" s="333" t="n">
        <f aca="false">D649</f>
        <v>45292</v>
      </c>
      <c r="E665" s="277" t="n">
        <v>0</v>
      </c>
      <c r="F665" s="277" t="n">
        <v>0</v>
      </c>
      <c r="G665" s="277" t="n">
        <f aca="false">SUM(E665:F665)</f>
        <v>0</v>
      </c>
      <c r="H665" s="204"/>
      <c r="I665" s="279" t="n">
        <v>1</v>
      </c>
      <c r="J665" s="280" t="n">
        <f aca="false">1-I665</f>
        <v>0</v>
      </c>
      <c r="K665" s="277"/>
      <c r="L665" s="282"/>
      <c r="M665" s="282"/>
      <c r="N665" s="282"/>
      <c r="O665" s="282"/>
      <c r="P665" s="282"/>
      <c r="Q665" s="282"/>
      <c r="R665" s="282"/>
      <c r="S665" s="282"/>
      <c r="T665" s="282"/>
      <c r="U665" s="282"/>
      <c r="V665" s="282"/>
      <c r="W665" s="282"/>
      <c r="X665" s="268"/>
      <c r="Y665" s="284" t="n">
        <f aca="false">IFERROR(L665*$G665*I$9, "")</f>
        <v>0</v>
      </c>
      <c r="Z665" s="284" t="n">
        <f aca="false">IFERROR(M665*$G665*$I665, "")</f>
        <v>0</v>
      </c>
      <c r="AA665" s="284" t="n">
        <f aca="false">IFERROR(N665*$G665*$I665, "")</f>
        <v>0</v>
      </c>
      <c r="AB665" s="284" t="n">
        <f aca="false">IFERROR(O665*$G665*$I665, "")</f>
        <v>0</v>
      </c>
      <c r="AC665" s="284" t="n">
        <f aca="false">IFERROR(P665*$G665*$I665, "")</f>
        <v>0</v>
      </c>
      <c r="AD665" s="284" t="n">
        <f aca="false">IFERROR(Q665*$G665*$I665, "")</f>
        <v>0</v>
      </c>
      <c r="AE665" s="284" t="n">
        <f aca="false">IFERROR(R665*$G665*$I665, "")</f>
        <v>0</v>
      </c>
      <c r="AF665" s="284" t="n">
        <f aca="false">IFERROR(S665*$G665*$I665, "")</f>
        <v>0</v>
      </c>
      <c r="AG665" s="284" t="n">
        <f aca="false">IFERROR(T665*$G665*$I665, "")</f>
        <v>0</v>
      </c>
      <c r="AH665" s="284" t="n">
        <f aca="false">IFERROR(U665*$G665*$I665, "")</f>
        <v>0</v>
      </c>
      <c r="AI665" s="284" t="n">
        <f aca="false">IFERROR(V665*$G665*$I665, "")</f>
        <v>0</v>
      </c>
      <c r="AJ665" s="284" t="n">
        <f aca="false">IFERROR(W665*$G665*$I665, "")</f>
        <v>0</v>
      </c>
      <c r="AK665" s="286" t="n">
        <f aca="false">IFERROR(SUMIF($Y$4:$AJ$4, "RDEC", Y665:AJ665), "")</f>
        <v>0</v>
      </c>
      <c r="AL665" s="286" t="n">
        <f aca="false">IFERROR(SUMIF($Y$4:$AJ$4, "SME", Y665:AJ665), "")</f>
        <v>0</v>
      </c>
      <c r="AM665" s="286" t="n">
        <f aca="false">IFERROR(SUMIF($Y$4:$AJ$4, "De Minimis", Y665:AJ665), "")</f>
        <v>0</v>
      </c>
      <c r="AN665" s="268"/>
      <c r="AO665" s="284" t="n">
        <f aca="false">IFERROR($G665*$J665*L665, "")</f>
        <v>0</v>
      </c>
      <c r="AP665" s="284" t="n">
        <f aca="false">IFERROR($G665*$J665*M665, "")</f>
        <v>0</v>
      </c>
      <c r="AQ665" s="284" t="n">
        <f aca="false">IFERROR($G665*$J665*N665, "")</f>
        <v>0</v>
      </c>
      <c r="AR665" s="284" t="n">
        <f aca="false">IFERROR($G665*$J665*O665, "")</f>
        <v>0</v>
      </c>
      <c r="AS665" s="284" t="n">
        <f aca="false">IFERROR($G665*$J665*P665, "")</f>
        <v>0</v>
      </c>
      <c r="AT665" s="284" t="n">
        <f aca="false">IFERROR($G665*$J665*Q665, "")</f>
        <v>0</v>
      </c>
      <c r="AU665" s="284" t="n">
        <f aca="false">IFERROR($G665*$J665*R665, "")</f>
        <v>0</v>
      </c>
      <c r="AV665" s="284" t="n">
        <f aca="false">IFERROR($G665*$J665*S665, "")</f>
        <v>0</v>
      </c>
      <c r="AW665" s="284" t="n">
        <f aca="false">IFERROR($G665*$J665*T665, "")</f>
        <v>0</v>
      </c>
      <c r="AX665" s="284" t="n">
        <f aca="false">IFERROR($G665*$J665*U665, "")</f>
        <v>0</v>
      </c>
      <c r="AY665" s="284" t="n">
        <f aca="false">IFERROR($G665*$J665*V665, "")</f>
        <v>0</v>
      </c>
      <c r="AZ665" s="284" t="n">
        <f aca="false">IFERROR($G665*$J665*W665, "")</f>
        <v>0</v>
      </c>
      <c r="BA665" s="286" t="n">
        <f aca="false">IFERROR(SUMIF($AO$4:$AZ$4, "RDEC", AO665:AZ665), "")</f>
        <v>0</v>
      </c>
      <c r="BB665" s="286" t="n">
        <f aca="false">IFERROR(SUMIF($AO$4:$AZ$4, "SME", AO665:AZ665), "")</f>
        <v>0</v>
      </c>
      <c r="BC665" s="286" t="n">
        <f aca="false">IFERROR(SUMIF($AO$4:$AZ$4, "De Minimis", AO665:AZ665), "")</f>
        <v>0</v>
      </c>
      <c r="BD665" s="287"/>
      <c r="BE665" s="288" t="str">
        <f aca="false">IF((SUM(L665:W665)&gt;1),"ERROR","")</f>
        <v/>
      </c>
    </row>
    <row r="666" customFormat="false" ht="15" hidden="false" customHeight="true" outlineLevel="0" collapsed="false">
      <c r="B666" s="333"/>
      <c r="C666" s="334"/>
      <c r="D666" s="333" t="n">
        <f aca="false">D650</f>
        <v>45323</v>
      </c>
      <c r="E666" s="277" t="n">
        <v>0</v>
      </c>
      <c r="F666" s="277" t="n">
        <v>0</v>
      </c>
      <c r="G666" s="277" t="n">
        <f aca="false">SUM(E666:F666)</f>
        <v>0</v>
      </c>
      <c r="H666" s="204"/>
      <c r="I666" s="279" t="n">
        <v>1</v>
      </c>
      <c r="J666" s="280" t="n">
        <f aca="false">1-I666</f>
        <v>0</v>
      </c>
      <c r="K666" s="277"/>
      <c r="L666" s="282"/>
      <c r="M666" s="282"/>
      <c r="N666" s="282"/>
      <c r="O666" s="282"/>
      <c r="P666" s="282"/>
      <c r="Q666" s="282"/>
      <c r="R666" s="282"/>
      <c r="S666" s="282"/>
      <c r="T666" s="282"/>
      <c r="U666" s="282"/>
      <c r="V666" s="282"/>
      <c r="W666" s="282"/>
      <c r="X666" s="283"/>
      <c r="Y666" s="284" t="n">
        <f aca="false">IFERROR(L666*$G666*I$9, "")</f>
        <v>0</v>
      </c>
      <c r="Z666" s="284" t="n">
        <f aca="false">IFERROR(M666*$G666*$I666, "")</f>
        <v>0</v>
      </c>
      <c r="AA666" s="284" t="n">
        <f aca="false">IFERROR(N666*$G666*$I666, "")</f>
        <v>0</v>
      </c>
      <c r="AB666" s="284" t="n">
        <f aca="false">IFERROR(O666*$G666*$I666, "")</f>
        <v>0</v>
      </c>
      <c r="AC666" s="284" t="n">
        <f aca="false">IFERROR(P666*$G666*$I666, "")</f>
        <v>0</v>
      </c>
      <c r="AD666" s="284" t="n">
        <f aca="false">IFERROR(Q666*$G666*$I666, "")</f>
        <v>0</v>
      </c>
      <c r="AE666" s="284" t="n">
        <f aca="false">IFERROR(R666*$G666*$I666, "")</f>
        <v>0</v>
      </c>
      <c r="AF666" s="284" t="n">
        <f aca="false">IFERROR(S666*$G666*$I666, "")</f>
        <v>0</v>
      </c>
      <c r="AG666" s="284" t="n">
        <f aca="false">IFERROR(T666*$G666*$I666, "")</f>
        <v>0</v>
      </c>
      <c r="AH666" s="284" t="n">
        <f aca="false">IFERROR(U666*$G666*$I666, "")</f>
        <v>0</v>
      </c>
      <c r="AI666" s="284" t="n">
        <f aca="false">IFERROR(V666*$G666*$I666, "")</f>
        <v>0</v>
      </c>
      <c r="AJ666" s="284" t="n">
        <f aca="false">IFERROR(W666*$G666*$I666, "")</f>
        <v>0</v>
      </c>
      <c r="AK666" s="286" t="n">
        <f aca="false">IFERROR(SUMIF($Y$4:$AJ$4, "RDEC", Y666:AJ666), "")</f>
        <v>0</v>
      </c>
      <c r="AL666" s="286" t="n">
        <f aca="false">IFERROR(SUMIF($Y$4:$AJ$4, "SME", Y666:AJ666), "")</f>
        <v>0</v>
      </c>
      <c r="AM666" s="286" t="n">
        <f aca="false">IFERROR(SUMIF($Y$4:$AJ$4, "De Minimis", Y666:AJ666), "")</f>
        <v>0</v>
      </c>
      <c r="AN666" s="283"/>
      <c r="AO666" s="284" t="n">
        <f aca="false">IFERROR($G666*$J666*L666, "")</f>
        <v>0</v>
      </c>
      <c r="AP666" s="284" t="n">
        <f aca="false">IFERROR($G666*$J666*M666, "")</f>
        <v>0</v>
      </c>
      <c r="AQ666" s="284" t="n">
        <f aca="false">IFERROR($G666*$J666*N666, "")</f>
        <v>0</v>
      </c>
      <c r="AR666" s="284" t="n">
        <f aca="false">IFERROR($G666*$J666*O666, "")</f>
        <v>0</v>
      </c>
      <c r="AS666" s="284" t="n">
        <f aca="false">IFERROR($G666*$J666*P666, "")</f>
        <v>0</v>
      </c>
      <c r="AT666" s="284" t="n">
        <f aca="false">IFERROR($G666*$J666*Q666, "")</f>
        <v>0</v>
      </c>
      <c r="AU666" s="284" t="n">
        <f aca="false">IFERROR($G666*$J666*R666, "")</f>
        <v>0</v>
      </c>
      <c r="AV666" s="284" t="n">
        <f aca="false">IFERROR($G666*$J666*S666, "")</f>
        <v>0</v>
      </c>
      <c r="AW666" s="284" t="n">
        <f aca="false">IFERROR($G666*$J666*T666, "")</f>
        <v>0</v>
      </c>
      <c r="AX666" s="284" t="n">
        <f aca="false">IFERROR($G666*$J666*U666, "")</f>
        <v>0</v>
      </c>
      <c r="AY666" s="284" t="n">
        <f aca="false">IFERROR($G666*$J666*V666, "")</f>
        <v>0</v>
      </c>
      <c r="AZ666" s="284" t="n">
        <f aca="false">IFERROR($G666*$J666*W666, "")</f>
        <v>0</v>
      </c>
      <c r="BA666" s="286" t="n">
        <f aca="false">IFERROR(SUMIF($AO$4:$AZ$4, "RDEC", AO666:AZ666), "")</f>
        <v>0</v>
      </c>
      <c r="BB666" s="286" t="n">
        <f aca="false">IFERROR(SUMIF($AO$4:$AZ$4, "SME", AO666:AZ666), "")</f>
        <v>0</v>
      </c>
      <c r="BC666" s="286" t="n">
        <f aca="false">IFERROR(SUMIF($Y$4:$AJ$4, "De Minimis", AO666:AZ666), "")</f>
        <v>0</v>
      </c>
      <c r="BD666" s="287"/>
      <c r="BE666" s="288" t="str">
        <f aca="false">IF((SUM(L666:W666)&gt;1),"ERROR","")</f>
        <v/>
      </c>
    </row>
    <row r="667" customFormat="false" ht="15" hidden="false" customHeight="true" outlineLevel="0" collapsed="false">
      <c r="B667" s="333"/>
      <c r="C667" s="334"/>
      <c r="D667" s="333" t="n">
        <f aca="false">D651</f>
        <v>45352</v>
      </c>
      <c r="E667" s="277" t="n">
        <v>0</v>
      </c>
      <c r="F667" s="277" t="n">
        <v>0</v>
      </c>
      <c r="G667" s="277" t="n">
        <f aca="false">SUM(E667:F667)</f>
        <v>0</v>
      </c>
      <c r="H667" s="204"/>
      <c r="I667" s="279" t="n">
        <v>1</v>
      </c>
      <c r="J667" s="280" t="n">
        <f aca="false">1-I667</f>
        <v>0</v>
      </c>
      <c r="K667" s="277"/>
      <c r="L667" s="282"/>
      <c r="M667" s="282"/>
      <c r="N667" s="282"/>
      <c r="O667" s="282"/>
      <c r="P667" s="282"/>
      <c r="Q667" s="282"/>
      <c r="R667" s="282"/>
      <c r="S667" s="282"/>
      <c r="T667" s="282"/>
      <c r="U667" s="282"/>
      <c r="V667" s="282"/>
      <c r="W667" s="282"/>
      <c r="X667" s="283"/>
      <c r="Y667" s="284" t="n">
        <f aca="false">IFERROR(L667*$G667*I$9, "")</f>
        <v>0</v>
      </c>
      <c r="Z667" s="284" t="n">
        <f aca="false">IFERROR(M667*$G667*$I667, "")</f>
        <v>0</v>
      </c>
      <c r="AA667" s="284" t="n">
        <f aca="false">IFERROR(N667*$G667*$I667, "")</f>
        <v>0</v>
      </c>
      <c r="AB667" s="284" t="n">
        <f aca="false">IFERROR(O667*$G667*$I667, "")</f>
        <v>0</v>
      </c>
      <c r="AC667" s="284" t="n">
        <f aca="false">IFERROR(P667*$G667*$I667, "")</f>
        <v>0</v>
      </c>
      <c r="AD667" s="284" t="n">
        <f aca="false">IFERROR(Q667*$G667*$I667, "")</f>
        <v>0</v>
      </c>
      <c r="AE667" s="284" t="n">
        <f aca="false">IFERROR(R667*$G667*$I667, "")</f>
        <v>0</v>
      </c>
      <c r="AF667" s="284" t="n">
        <f aca="false">IFERROR(S667*$G667*$I667, "")</f>
        <v>0</v>
      </c>
      <c r="AG667" s="284" t="n">
        <f aca="false">IFERROR(T667*$G667*$I667, "")</f>
        <v>0</v>
      </c>
      <c r="AH667" s="284" t="n">
        <f aca="false">IFERROR(U667*$G667*$I667, "")</f>
        <v>0</v>
      </c>
      <c r="AI667" s="284" t="n">
        <f aca="false">IFERROR(V667*$G667*$I667, "")</f>
        <v>0</v>
      </c>
      <c r="AJ667" s="284" t="n">
        <f aca="false">IFERROR(W667*$G667*$I667, "")</f>
        <v>0</v>
      </c>
      <c r="AK667" s="286" t="n">
        <f aca="false">IFERROR(SUMIF($Y$4:$AJ$4, "RDEC", Y667:AJ667), "")</f>
        <v>0</v>
      </c>
      <c r="AL667" s="286" t="n">
        <f aca="false">IFERROR(SUMIF($Y$4:$AJ$4, "SME", Y667:AJ667), "")</f>
        <v>0</v>
      </c>
      <c r="AM667" s="286" t="n">
        <f aca="false">IFERROR(SUMIF($Y$4:$AJ$4, "De Minimis", Y667:AJ667), "")</f>
        <v>0</v>
      </c>
      <c r="AN667" s="283"/>
      <c r="AO667" s="284" t="n">
        <f aca="false">IFERROR($G667*$J667*L667, "")</f>
        <v>0</v>
      </c>
      <c r="AP667" s="284" t="n">
        <f aca="false">IFERROR($G667*$J667*M667, "")</f>
        <v>0</v>
      </c>
      <c r="AQ667" s="284" t="n">
        <f aca="false">IFERROR($G667*$J667*N667, "")</f>
        <v>0</v>
      </c>
      <c r="AR667" s="284" t="n">
        <f aca="false">IFERROR($G667*$J667*O667, "")</f>
        <v>0</v>
      </c>
      <c r="AS667" s="284" t="n">
        <f aca="false">IFERROR($G667*$J667*P667, "")</f>
        <v>0</v>
      </c>
      <c r="AT667" s="284" t="n">
        <f aca="false">IFERROR($G667*$J667*Q667, "")</f>
        <v>0</v>
      </c>
      <c r="AU667" s="284" t="n">
        <f aca="false">IFERROR($G667*$J667*R667, "")</f>
        <v>0</v>
      </c>
      <c r="AV667" s="284" t="n">
        <f aca="false">IFERROR($G667*$J667*S667, "")</f>
        <v>0</v>
      </c>
      <c r="AW667" s="284" t="n">
        <f aca="false">IFERROR($G667*$J667*T667, "")</f>
        <v>0</v>
      </c>
      <c r="AX667" s="284" t="n">
        <f aca="false">IFERROR($G667*$J667*U667, "")</f>
        <v>0</v>
      </c>
      <c r="AY667" s="284" t="n">
        <f aca="false">IFERROR($G667*$J667*V667, "")</f>
        <v>0</v>
      </c>
      <c r="AZ667" s="284" t="n">
        <f aca="false">IFERROR($G667*$J667*W667, "")</f>
        <v>0</v>
      </c>
      <c r="BA667" s="286" t="n">
        <f aca="false">IFERROR(SUMIF($AO$4:$AZ$4, "RDEC", AO667:AZ667), "")</f>
        <v>0</v>
      </c>
      <c r="BB667" s="286" t="n">
        <f aca="false">IFERROR(SUMIF($AO$4:$AZ$4, "SME", AO667:AZ667), "")</f>
        <v>0</v>
      </c>
      <c r="BC667" s="286" t="n">
        <f aca="false">IFERROR(SUMIF($Y$4:$AJ$4, "De Minimis", AO667:AZ667), "")</f>
        <v>0</v>
      </c>
      <c r="BD667" s="287"/>
      <c r="BE667" s="288" t="str">
        <f aca="false">IF((SUM(L667:W667)&gt;1),"ERROR","")</f>
        <v/>
      </c>
    </row>
    <row r="668" customFormat="false" ht="15" hidden="false" customHeight="true" outlineLevel="0" collapsed="false">
      <c r="B668" s="333"/>
      <c r="C668" s="334"/>
      <c r="D668" s="333" t="n">
        <f aca="false">D652</f>
        <v>45383</v>
      </c>
      <c r="E668" s="277" t="n">
        <v>0</v>
      </c>
      <c r="F668" s="277" t="n">
        <v>0</v>
      </c>
      <c r="G668" s="277" t="n">
        <f aca="false">SUM(E668:F668)</f>
        <v>0</v>
      </c>
      <c r="H668" s="204"/>
      <c r="I668" s="279" t="n">
        <v>1</v>
      </c>
      <c r="J668" s="280" t="n">
        <f aca="false">1-I668</f>
        <v>0</v>
      </c>
      <c r="K668" s="277"/>
      <c r="L668" s="282"/>
      <c r="M668" s="282"/>
      <c r="N668" s="282"/>
      <c r="O668" s="282"/>
      <c r="P668" s="282"/>
      <c r="Q668" s="282"/>
      <c r="R668" s="282"/>
      <c r="S668" s="282"/>
      <c r="T668" s="282"/>
      <c r="U668" s="282"/>
      <c r="V668" s="282"/>
      <c r="W668" s="282"/>
      <c r="X668" s="283"/>
      <c r="Y668" s="284" t="n">
        <f aca="false">IFERROR(L668*$G668*I$9, "")</f>
        <v>0</v>
      </c>
      <c r="Z668" s="284" t="n">
        <f aca="false">IFERROR(M668*$G668*$I668, "")</f>
        <v>0</v>
      </c>
      <c r="AA668" s="284" t="n">
        <f aca="false">IFERROR(N668*$G668*$I668, "")</f>
        <v>0</v>
      </c>
      <c r="AB668" s="284" t="n">
        <f aca="false">IFERROR(O668*$G668*$I668, "")</f>
        <v>0</v>
      </c>
      <c r="AC668" s="284" t="n">
        <f aca="false">IFERROR(P668*$G668*$I668, "")</f>
        <v>0</v>
      </c>
      <c r="AD668" s="284" t="n">
        <f aca="false">IFERROR(Q668*$G668*$I668, "")</f>
        <v>0</v>
      </c>
      <c r="AE668" s="284" t="n">
        <f aca="false">IFERROR(R668*$G668*$I668, "")</f>
        <v>0</v>
      </c>
      <c r="AF668" s="284" t="n">
        <f aca="false">IFERROR(S668*$G668*$I668, "")</f>
        <v>0</v>
      </c>
      <c r="AG668" s="284" t="n">
        <f aca="false">IFERROR(T668*$G668*$I668, "")</f>
        <v>0</v>
      </c>
      <c r="AH668" s="284" t="n">
        <f aca="false">IFERROR(U668*$G668*$I668, "")</f>
        <v>0</v>
      </c>
      <c r="AI668" s="284" t="n">
        <f aca="false">IFERROR(V668*$G668*$I668, "")</f>
        <v>0</v>
      </c>
      <c r="AJ668" s="284" t="n">
        <f aca="false">IFERROR(W668*$G668*$I668, "")</f>
        <v>0</v>
      </c>
      <c r="AK668" s="286" t="n">
        <f aca="false">IFERROR(SUMIF($Y$4:$AJ$4, "RDEC", Y668:AJ668), "")</f>
        <v>0</v>
      </c>
      <c r="AL668" s="286" t="n">
        <f aca="false">IFERROR(SUMIF($Y$4:$AJ$4, "SME", Y668:AJ668), "")</f>
        <v>0</v>
      </c>
      <c r="AM668" s="286" t="n">
        <f aca="false">IFERROR(SUMIF($Y$4:$AJ$4, "De Minimis", Y668:AJ668), "")</f>
        <v>0</v>
      </c>
      <c r="AN668" s="283"/>
      <c r="AO668" s="284" t="n">
        <f aca="false">IFERROR($G668*$J668*L668, "")</f>
        <v>0</v>
      </c>
      <c r="AP668" s="284" t="n">
        <f aca="false">IFERROR($G668*$J668*M668, "")</f>
        <v>0</v>
      </c>
      <c r="AQ668" s="284" t="n">
        <f aca="false">IFERROR($G668*$J668*N668, "")</f>
        <v>0</v>
      </c>
      <c r="AR668" s="284" t="n">
        <f aca="false">IFERROR($G668*$J668*O668, "")</f>
        <v>0</v>
      </c>
      <c r="AS668" s="284" t="n">
        <f aca="false">IFERROR($G668*$J668*P668, "")</f>
        <v>0</v>
      </c>
      <c r="AT668" s="284" t="n">
        <f aca="false">IFERROR($G668*$J668*Q668, "")</f>
        <v>0</v>
      </c>
      <c r="AU668" s="284" t="n">
        <f aca="false">IFERROR($G668*$J668*R668, "")</f>
        <v>0</v>
      </c>
      <c r="AV668" s="284" t="n">
        <f aca="false">IFERROR($G668*$J668*S668, "")</f>
        <v>0</v>
      </c>
      <c r="AW668" s="284" t="n">
        <f aca="false">IFERROR($G668*$J668*T668, "")</f>
        <v>0</v>
      </c>
      <c r="AX668" s="284" t="n">
        <f aca="false">IFERROR($G668*$J668*U668, "")</f>
        <v>0</v>
      </c>
      <c r="AY668" s="284" t="n">
        <f aca="false">IFERROR($G668*$J668*V668, "")</f>
        <v>0</v>
      </c>
      <c r="AZ668" s="284" t="n">
        <f aca="false">IFERROR($G668*$J668*W668, "")</f>
        <v>0</v>
      </c>
      <c r="BA668" s="286" t="n">
        <f aca="false">IFERROR(SUMIF($AO$4:$AZ$4, "RDEC", AO668:AZ668), "")</f>
        <v>0</v>
      </c>
      <c r="BB668" s="286" t="n">
        <f aca="false">IFERROR(SUMIF($AO$4:$AZ$4, "SME", AO668:AZ668), "")</f>
        <v>0</v>
      </c>
      <c r="BC668" s="286" t="n">
        <f aca="false">IFERROR(SUMIF($Y$4:$AJ$4, "De Minimis", AO668:AZ668), "")</f>
        <v>0</v>
      </c>
      <c r="BD668" s="287"/>
      <c r="BE668" s="288" t="str">
        <f aca="false">IF((SUM(L668:W668)&gt;1),"ERROR","")</f>
        <v/>
      </c>
    </row>
    <row r="669" customFormat="false" ht="15" hidden="false" customHeight="true" outlineLevel="0" collapsed="false">
      <c r="B669" s="333"/>
      <c r="C669" s="334"/>
      <c r="D669" s="333" t="n">
        <f aca="false">D653</f>
        <v>45413</v>
      </c>
      <c r="E669" s="277" t="n">
        <v>0</v>
      </c>
      <c r="F669" s="277" t="n">
        <v>0</v>
      </c>
      <c r="G669" s="277" t="n">
        <f aca="false">SUM(E669:F669)</f>
        <v>0</v>
      </c>
      <c r="H669" s="204"/>
      <c r="I669" s="279" t="n">
        <v>1</v>
      </c>
      <c r="J669" s="280" t="n">
        <f aca="false">1-I669</f>
        <v>0</v>
      </c>
      <c r="K669" s="277"/>
      <c r="L669" s="282"/>
      <c r="M669" s="282"/>
      <c r="N669" s="282"/>
      <c r="O669" s="282"/>
      <c r="P669" s="282"/>
      <c r="Q669" s="282"/>
      <c r="R669" s="282"/>
      <c r="S669" s="282"/>
      <c r="T669" s="282"/>
      <c r="U669" s="282"/>
      <c r="V669" s="282"/>
      <c r="W669" s="282"/>
      <c r="X669" s="283"/>
      <c r="Y669" s="284" t="n">
        <f aca="false">IFERROR(L669*$G669*I$9, "")</f>
        <v>0</v>
      </c>
      <c r="Z669" s="284" t="n">
        <f aca="false">IFERROR(M669*$G669*$I669, "")</f>
        <v>0</v>
      </c>
      <c r="AA669" s="284" t="n">
        <f aca="false">IFERROR(N669*$G669*$I669, "")</f>
        <v>0</v>
      </c>
      <c r="AB669" s="284" t="n">
        <f aca="false">IFERROR(O669*$G669*$I669, "")</f>
        <v>0</v>
      </c>
      <c r="AC669" s="284" t="n">
        <f aca="false">IFERROR(P669*$G669*$I669, "")</f>
        <v>0</v>
      </c>
      <c r="AD669" s="284" t="n">
        <f aca="false">IFERROR(Q669*$G669*$I669, "")</f>
        <v>0</v>
      </c>
      <c r="AE669" s="284" t="n">
        <f aca="false">IFERROR(R669*$G669*$I669, "")</f>
        <v>0</v>
      </c>
      <c r="AF669" s="284" t="n">
        <f aca="false">IFERROR(S669*$G669*$I669, "")</f>
        <v>0</v>
      </c>
      <c r="AG669" s="284" t="n">
        <f aca="false">IFERROR(T669*$G669*$I669, "")</f>
        <v>0</v>
      </c>
      <c r="AH669" s="284" t="n">
        <f aca="false">IFERROR(U669*$G669*$I669, "")</f>
        <v>0</v>
      </c>
      <c r="AI669" s="284" t="n">
        <f aca="false">IFERROR(V669*$G669*$I669, "")</f>
        <v>0</v>
      </c>
      <c r="AJ669" s="284" t="n">
        <f aca="false">IFERROR(W669*$G669*$I669, "")</f>
        <v>0</v>
      </c>
      <c r="AK669" s="286" t="n">
        <f aca="false">IFERROR(SUMIF($Y$4:$AJ$4, "RDEC", Y669:AJ669), "")</f>
        <v>0</v>
      </c>
      <c r="AL669" s="286" t="n">
        <f aca="false">IFERROR(SUMIF($Y$4:$AJ$4, "SME", Y669:AJ669), "")</f>
        <v>0</v>
      </c>
      <c r="AM669" s="286" t="n">
        <f aca="false">IFERROR(SUMIF($Y$4:$AJ$4, "De Minimis", Y669:AJ669), "")</f>
        <v>0</v>
      </c>
      <c r="AN669" s="283"/>
      <c r="AO669" s="284" t="n">
        <f aca="false">IFERROR($G669*$J669*L669, "")</f>
        <v>0</v>
      </c>
      <c r="AP669" s="284" t="n">
        <f aca="false">IFERROR($G669*$J669*M669, "")</f>
        <v>0</v>
      </c>
      <c r="AQ669" s="284" t="n">
        <f aca="false">IFERROR($G669*$J669*N669, "")</f>
        <v>0</v>
      </c>
      <c r="AR669" s="284" t="n">
        <f aca="false">IFERROR($G669*$J669*O669, "")</f>
        <v>0</v>
      </c>
      <c r="AS669" s="284" t="n">
        <f aca="false">IFERROR($G669*$J669*P669, "")</f>
        <v>0</v>
      </c>
      <c r="AT669" s="284" t="n">
        <f aca="false">IFERROR($G669*$J669*Q669, "")</f>
        <v>0</v>
      </c>
      <c r="AU669" s="284" t="n">
        <f aca="false">IFERROR($G669*$J669*R669, "")</f>
        <v>0</v>
      </c>
      <c r="AV669" s="284" t="n">
        <f aca="false">IFERROR($G669*$J669*S669, "")</f>
        <v>0</v>
      </c>
      <c r="AW669" s="284" t="n">
        <f aca="false">IFERROR($G669*$J669*T669, "")</f>
        <v>0</v>
      </c>
      <c r="AX669" s="284" t="n">
        <f aca="false">IFERROR($G669*$J669*U669, "")</f>
        <v>0</v>
      </c>
      <c r="AY669" s="284" t="n">
        <f aca="false">IFERROR($G669*$J669*V669, "")</f>
        <v>0</v>
      </c>
      <c r="AZ669" s="284" t="n">
        <f aca="false">IFERROR($G669*$J669*W669, "")</f>
        <v>0</v>
      </c>
      <c r="BA669" s="286" t="n">
        <f aca="false">IFERROR(SUMIF($AO$4:$AZ$4, "RDEC", AO669:AZ669), "")</f>
        <v>0</v>
      </c>
      <c r="BB669" s="286" t="n">
        <f aca="false">IFERROR(SUMIF($AO$4:$AZ$4, "SME", AO669:AZ669), "")</f>
        <v>0</v>
      </c>
      <c r="BC669" s="286" t="n">
        <f aca="false">IFERROR(SUMIF($Y$4:$AJ$4, "De Minimis", AO669:AZ669), "")</f>
        <v>0</v>
      </c>
      <c r="BD669" s="287"/>
      <c r="BE669" s="288" t="str">
        <f aca="false">IF((SUM(L669:W669)&gt;1),"ERROR","")</f>
        <v/>
      </c>
    </row>
    <row r="670" customFormat="false" ht="15" hidden="false" customHeight="true" outlineLevel="0" collapsed="false">
      <c r="B670" s="333"/>
      <c r="C670" s="334"/>
      <c r="D670" s="333" t="n">
        <f aca="false">D654</f>
        <v>45444</v>
      </c>
      <c r="E670" s="277" t="n">
        <v>0</v>
      </c>
      <c r="F670" s="277" t="n">
        <v>0</v>
      </c>
      <c r="G670" s="277" t="n">
        <f aca="false">SUM(E670:F670)</f>
        <v>0</v>
      </c>
      <c r="H670" s="204"/>
      <c r="I670" s="279" t="n">
        <v>1</v>
      </c>
      <c r="J670" s="280" t="n">
        <f aca="false">1-I670</f>
        <v>0</v>
      </c>
      <c r="K670" s="277"/>
      <c r="L670" s="282"/>
      <c r="M670" s="282"/>
      <c r="N670" s="282"/>
      <c r="O670" s="282"/>
      <c r="P670" s="282"/>
      <c r="Q670" s="282"/>
      <c r="R670" s="282"/>
      <c r="S670" s="282"/>
      <c r="T670" s="282"/>
      <c r="U670" s="282"/>
      <c r="V670" s="282"/>
      <c r="W670" s="282"/>
      <c r="X670" s="283"/>
      <c r="Y670" s="284" t="n">
        <f aca="false">IFERROR(L670*$G670*I$9, "")</f>
        <v>0</v>
      </c>
      <c r="Z670" s="284" t="n">
        <f aca="false">IFERROR(M670*$G670*$I670, "")</f>
        <v>0</v>
      </c>
      <c r="AA670" s="284" t="n">
        <f aca="false">IFERROR(N670*$G670*$I670, "")</f>
        <v>0</v>
      </c>
      <c r="AB670" s="284" t="n">
        <f aca="false">IFERROR(O670*$G670*$I670, "")</f>
        <v>0</v>
      </c>
      <c r="AC670" s="284" t="n">
        <f aca="false">IFERROR(P670*$G670*$I670, "")</f>
        <v>0</v>
      </c>
      <c r="AD670" s="284" t="n">
        <f aca="false">IFERROR(Q670*$G670*$I670, "")</f>
        <v>0</v>
      </c>
      <c r="AE670" s="284" t="n">
        <f aca="false">IFERROR(R670*$G670*$I670, "")</f>
        <v>0</v>
      </c>
      <c r="AF670" s="284" t="n">
        <f aca="false">IFERROR(S670*$G670*$I670, "")</f>
        <v>0</v>
      </c>
      <c r="AG670" s="284" t="n">
        <f aca="false">IFERROR(T670*$G670*$I670, "")</f>
        <v>0</v>
      </c>
      <c r="AH670" s="284" t="n">
        <f aca="false">IFERROR(U670*$G670*$I670, "")</f>
        <v>0</v>
      </c>
      <c r="AI670" s="284" t="n">
        <f aca="false">IFERROR(V670*$G670*$I670, "")</f>
        <v>0</v>
      </c>
      <c r="AJ670" s="284" t="n">
        <f aca="false">IFERROR(W670*$G670*$I670, "")</f>
        <v>0</v>
      </c>
      <c r="AK670" s="286" t="n">
        <f aca="false">IFERROR(SUMIF($Y$4:$AJ$4, "RDEC", Y670:AJ670), "")</f>
        <v>0</v>
      </c>
      <c r="AL670" s="286" t="n">
        <f aca="false">IFERROR(SUMIF($Y$4:$AJ$4, "SME", Y670:AJ670), "")</f>
        <v>0</v>
      </c>
      <c r="AM670" s="286" t="n">
        <f aca="false">IFERROR(SUMIF($Y$4:$AJ$4, "De Minimis", Y670:AJ670), "")</f>
        <v>0</v>
      </c>
      <c r="AN670" s="283"/>
      <c r="AO670" s="284" t="n">
        <f aca="false">IFERROR($G670*$J670*L670, "")</f>
        <v>0</v>
      </c>
      <c r="AP670" s="284" t="n">
        <f aca="false">IFERROR($G670*$J670*M670, "")</f>
        <v>0</v>
      </c>
      <c r="AQ670" s="284" t="n">
        <f aca="false">IFERROR($G670*$J670*N670, "")</f>
        <v>0</v>
      </c>
      <c r="AR670" s="284" t="n">
        <f aca="false">IFERROR($G670*$J670*O670, "")</f>
        <v>0</v>
      </c>
      <c r="AS670" s="284" t="n">
        <f aca="false">IFERROR($G670*$J670*P670, "")</f>
        <v>0</v>
      </c>
      <c r="AT670" s="284" t="n">
        <f aca="false">IFERROR($G670*$J670*Q670, "")</f>
        <v>0</v>
      </c>
      <c r="AU670" s="284" t="n">
        <f aca="false">IFERROR($G670*$J670*R670, "")</f>
        <v>0</v>
      </c>
      <c r="AV670" s="284" t="n">
        <f aca="false">IFERROR($G670*$J670*S670, "")</f>
        <v>0</v>
      </c>
      <c r="AW670" s="284" t="n">
        <f aca="false">IFERROR($G670*$J670*T670, "")</f>
        <v>0</v>
      </c>
      <c r="AX670" s="284" t="n">
        <f aca="false">IFERROR($G670*$J670*U670, "")</f>
        <v>0</v>
      </c>
      <c r="AY670" s="284" t="n">
        <f aca="false">IFERROR($G670*$J670*V670, "")</f>
        <v>0</v>
      </c>
      <c r="AZ670" s="284" t="n">
        <f aca="false">IFERROR($G670*$J670*W670, "")</f>
        <v>0</v>
      </c>
      <c r="BA670" s="286" t="n">
        <f aca="false">IFERROR(SUMIF($AO$4:$AZ$4, "RDEC", AO670:AZ670), "")</f>
        <v>0</v>
      </c>
      <c r="BB670" s="286" t="n">
        <f aca="false">IFERROR(SUMIF($AO$4:$AZ$4, "SME", AO670:AZ670), "")</f>
        <v>0</v>
      </c>
      <c r="BC670" s="286" t="n">
        <f aca="false">IFERROR(SUMIF($Y$4:$AJ$4, "De Minimis", AO670:AZ670), "")</f>
        <v>0</v>
      </c>
      <c r="BD670" s="287"/>
      <c r="BE670" s="288" t="str">
        <f aca="false">IF((SUM(L670:W670)&gt;1),"ERROR","")</f>
        <v/>
      </c>
    </row>
    <row r="671" customFormat="false" ht="15" hidden="false" customHeight="true" outlineLevel="0" collapsed="false">
      <c r="B671" s="333"/>
      <c r="C671" s="334"/>
      <c r="D671" s="333" t="n">
        <f aca="false">D655</f>
        <v>45474</v>
      </c>
      <c r="E671" s="277" t="n">
        <v>0</v>
      </c>
      <c r="F671" s="277" t="n">
        <v>0</v>
      </c>
      <c r="G671" s="277" t="n">
        <f aca="false">SUM(E671:F671)</f>
        <v>0</v>
      </c>
      <c r="H671" s="204"/>
      <c r="I671" s="279" t="n">
        <v>1</v>
      </c>
      <c r="J671" s="280" t="n">
        <f aca="false">1-I671</f>
        <v>0</v>
      </c>
      <c r="K671" s="277"/>
      <c r="L671" s="282"/>
      <c r="M671" s="282"/>
      <c r="N671" s="282"/>
      <c r="O671" s="282"/>
      <c r="P671" s="282"/>
      <c r="Q671" s="282"/>
      <c r="R671" s="282"/>
      <c r="S671" s="282"/>
      <c r="T671" s="282"/>
      <c r="U671" s="282"/>
      <c r="V671" s="282"/>
      <c r="W671" s="282"/>
      <c r="X671" s="283"/>
      <c r="Y671" s="284" t="n">
        <f aca="false">IFERROR(L671*$G671*I$9, "")</f>
        <v>0</v>
      </c>
      <c r="Z671" s="284" t="n">
        <f aca="false">IFERROR(M671*$G671*$I671, "")</f>
        <v>0</v>
      </c>
      <c r="AA671" s="284" t="n">
        <f aca="false">IFERROR(N671*$G671*$I671, "")</f>
        <v>0</v>
      </c>
      <c r="AB671" s="284" t="n">
        <f aca="false">IFERROR(O671*$G671*$I671, "")</f>
        <v>0</v>
      </c>
      <c r="AC671" s="284" t="n">
        <f aca="false">IFERROR(P671*$G671*$I671, "")</f>
        <v>0</v>
      </c>
      <c r="AD671" s="284" t="n">
        <f aca="false">IFERROR(Q671*$G671*$I671, "")</f>
        <v>0</v>
      </c>
      <c r="AE671" s="284" t="n">
        <f aca="false">IFERROR(R671*$G671*$I671, "")</f>
        <v>0</v>
      </c>
      <c r="AF671" s="284" t="n">
        <f aca="false">IFERROR(S671*$G671*$I671, "")</f>
        <v>0</v>
      </c>
      <c r="AG671" s="284" t="n">
        <f aca="false">IFERROR(T671*$G671*$I671, "")</f>
        <v>0</v>
      </c>
      <c r="AH671" s="284" t="n">
        <f aca="false">IFERROR(U671*$G671*$I671, "")</f>
        <v>0</v>
      </c>
      <c r="AI671" s="284" t="n">
        <f aca="false">IFERROR(V671*$G671*$I671, "")</f>
        <v>0</v>
      </c>
      <c r="AJ671" s="284" t="n">
        <f aca="false">IFERROR(W671*$G671*$I671, "")</f>
        <v>0</v>
      </c>
      <c r="AK671" s="286" t="n">
        <f aca="false">IFERROR(SUMIF($Y$4:$AJ$4, "RDEC", Y671:AJ671), "")</f>
        <v>0</v>
      </c>
      <c r="AL671" s="286" t="n">
        <f aca="false">IFERROR(SUMIF($Y$4:$AJ$4, "SME", Y671:AJ671), "")</f>
        <v>0</v>
      </c>
      <c r="AM671" s="286" t="n">
        <f aca="false">IFERROR(SUMIF($Y$4:$AJ$4, "De Minimis", Y671:AJ671), "")</f>
        <v>0</v>
      </c>
      <c r="AN671" s="283"/>
      <c r="AO671" s="284" t="n">
        <f aca="false">IFERROR($G671*$J671*L671, "")</f>
        <v>0</v>
      </c>
      <c r="AP671" s="284" t="n">
        <f aca="false">IFERROR($G671*$J671*M671, "")</f>
        <v>0</v>
      </c>
      <c r="AQ671" s="284" t="n">
        <f aca="false">IFERROR($G671*$J671*N671, "")</f>
        <v>0</v>
      </c>
      <c r="AR671" s="284" t="n">
        <f aca="false">IFERROR($G671*$J671*O671, "")</f>
        <v>0</v>
      </c>
      <c r="AS671" s="284" t="n">
        <f aca="false">IFERROR($G671*$J671*P671, "")</f>
        <v>0</v>
      </c>
      <c r="AT671" s="284" t="n">
        <f aca="false">IFERROR($G671*$J671*Q671, "")</f>
        <v>0</v>
      </c>
      <c r="AU671" s="284" t="n">
        <f aca="false">IFERROR($G671*$J671*R671, "")</f>
        <v>0</v>
      </c>
      <c r="AV671" s="284" t="n">
        <f aca="false">IFERROR($G671*$J671*S671, "")</f>
        <v>0</v>
      </c>
      <c r="AW671" s="284" t="n">
        <f aca="false">IFERROR($G671*$J671*T671, "")</f>
        <v>0</v>
      </c>
      <c r="AX671" s="284" t="n">
        <f aca="false">IFERROR($G671*$J671*U671, "")</f>
        <v>0</v>
      </c>
      <c r="AY671" s="284" t="n">
        <f aca="false">IFERROR($G671*$J671*V671, "")</f>
        <v>0</v>
      </c>
      <c r="AZ671" s="284" t="n">
        <f aca="false">IFERROR($G671*$J671*W671, "")</f>
        <v>0</v>
      </c>
      <c r="BA671" s="286" t="n">
        <f aca="false">IFERROR(SUMIF($AO$4:$AZ$4, "RDEC", AO671:AZ671), "")</f>
        <v>0</v>
      </c>
      <c r="BB671" s="286" t="n">
        <f aca="false">IFERROR(SUMIF($AO$4:$AZ$4, "SME", AO671:AZ671), "")</f>
        <v>0</v>
      </c>
      <c r="BC671" s="286" t="n">
        <f aca="false">IFERROR(SUMIF($Y$4:$AJ$4, "De Minimis", AO671:AZ671), "")</f>
        <v>0</v>
      </c>
      <c r="BD671" s="287"/>
      <c r="BE671" s="288" t="str">
        <f aca="false">IF((SUM(L671:W671)&gt;1),"ERROR","")</f>
        <v/>
      </c>
    </row>
    <row r="672" customFormat="false" ht="15" hidden="false" customHeight="true" outlineLevel="0" collapsed="false">
      <c r="B672" s="333"/>
      <c r="C672" s="334"/>
      <c r="D672" s="333" t="n">
        <f aca="false">D656</f>
        <v>45505</v>
      </c>
      <c r="E672" s="277" t="n">
        <v>0</v>
      </c>
      <c r="F672" s="277" t="n">
        <v>0</v>
      </c>
      <c r="G672" s="277" t="n">
        <f aca="false">SUM(E672:F672)</f>
        <v>0</v>
      </c>
      <c r="H672" s="204"/>
      <c r="I672" s="279" t="n">
        <v>1</v>
      </c>
      <c r="J672" s="280" t="n">
        <f aca="false">1-I672</f>
        <v>0</v>
      </c>
      <c r="K672" s="277"/>
      <c r="L672" s="282"/>
      <c r="M672" s="282"/>
      <c r="N672" s="282"/>
      <c r="O672" s="282"/>
      <c r="P672" s="282"/>
      <c r="Q672" s="282"/>
      <c r="R672" s="282"/>
      <c r="S672" s="282"/>
      <c r="T672" s="282"/>
      <c r="U672" s="282"/>
      <c r="V672" s="282"/>
      <c r="W672" s="282"/>
      <c r="X672" s="283"/>
      <c r="Y672" s="284" t="n">
        <f aca="false">IFERROR(L672*$G672*I$9, "")</f>
        <v>0</v>
      </c>
      <c r="Z672" s="284" t="n">
        <f aca="false">IFERROR(M672*$G672*$I672, "")</f>
        <v>0</v>
      </c>
      <c r="AA672" s="284" t="n">
        <f aca="false">IFERROR(N672*$G672*$I672, "")</f>
        <v>0</v>
      </c>
      <c r="AB672" s="284" t="n">
        <f aca="false">IFERROR(O672*$G672*$I672, "")</f>
        <v>0</v>
      </c>
      <c r="AC672" s="284" t="n">
        <f aca="false">IFERROR(P672*$G672*$I672, "")</f>
        <v>0</v>
      </c>
      <c r="AD672" s="284" t="n">
        <f aca="false">IFERROR(Q672*$G672*$I672, "")</f>
        <v>0</v>
      </c>
      <c r="AE672" s="284" t="n">
        <f aca="false">IFERROR(R672*$G672*$I672, "")</f>
        <v>0</v>
      </c>
      <c r="AF672" s="284" t="n">
        <f aca="false">IFERROR(S672*$G672*$I672, "")</f>
        <v>0</v>
      </c>
      <c r="AG672" s="284" t="n">
        <f aca="false">IFERROR(T672*$G672*$I672, "")</f>
        <v>0</v>
      </c>
      <c r="AH672" s="284" t="n">
        <f aca="false">IFERROR(U672*$G672*$I672, "")</f>
        <v>0</v>
      </c>
      <c r="AI672" s="284" t="n">
        <f aca="false">IFERROR(V672*$G672*$I672, "")</f>
        <v>0</v>
      </c>
      <c r="AJ672" s="284" t="n">
        <f aca="false">IFERROR(W672*$G672*$I672, "")</f>
        <v>0</v>
      </c>
      <c r="AK672" s="286" t="n">
        <f aca="false">IFERROR(SUMIF($Y$4:$AJ$4, "RDEC", Y672:AJ672), "")</f>
        <v>0</v>
      </c>
      <c r="AL672" s="286" t="n">
        <f aca="false">IFERROR(SUMIF($Y$4:$AJ$4, "SME", Y672:AJ672), "")</f>
        <v>0</v>
      </c>
      <c r="AM672" s="286" t="n">
        <f aca="false">IFERROR(SUMIF($Y$4:$AJ$4, "De Minimis", Y672:AJ672), "")</f>
        <v>0</v>
      </c>
      <c r="AN672" s="283"/>
      <c r="AO672" s="284" t="n">
        <f aca="false">IFERROR($G672*$J672*L672, "")</f>
        <v>0</v>
      </c>
      <c r="AP672" s="284" t="n">
        <f aca="false">IFERROR($G672*$J672*M672, "")</f>
        <v>0</v>
      </c>
      <c r="AQ672" s="284" t="n">
        <f aca="false">IFERROR($G672*$J672*N672, "")</f>
        <v>0</v>
      </c>
      <c r="AR672" s="284" t="n">
        <f aca="false">IFERROR($G672*$J672*O672, "")</f>
        <v>0</v>
      </c>
      <c r="AS672" s="284" t="n">
        <f aca="false">IFERROR($G672*$J672*P672, "")</f>
        <v>0</v>
      </c>
      <c r="AT672" s="284" t="n">
        <f aca="false">IFERROR($G672*$J672*Q672, "")</f>
        <v>0</v>
      </c>
      <c r="AU672" s="284" t="n">
        <f aca="false">IFERROR($G672*$J672*R672, "")</f>
        <v>0</v>
      </c>
      <c r="AV672" s="284" t="n">
        <f aca="false">IFERROR($G672*$J672*S672, "")</f>
        <v>0</v>
      </c>
      <c r="AW672" s="284" t="n">
        <f aca="false">IFERROR($G672*$J672*T672, "")</f>
        <v>0</v>
      </c>
      <c r="AX672" s="284" t="n">
        <f aca="false">IFERROR($G672*$J672*U672, "")</f>
        <v>0</v>
      </c>
      <c r="AY672" s="284" t="n">
        <f aca="false">IFERROR($G672*$J672*V672, "")</f>
        <v>0</v>
      </c>
      <c r="AZ672" s="284" t="n">
        <f aca="false">IFERROR($G672*$J672*W672, "")</f>
        <v>0</v>
      </c>
      <c r="BA672" s="286" t="n">
        <f aca="false">IFERROR(SUMIF($AO$4:$AZ$4, "RDEC", AO672:AZ672), "")</f>
        <v>0</v>
      </c>
      <c r="BB672" s="286" t="n">
        <f aca="false">IFERROR(SUMIF($AO$4:$AZ$4, "SME", AO672:AZ672), "")</f>
        <v>0</v>
      </c>
      <c r="BC672" s="286" t="n">
        <f aca="false">IFERROR(SUMIF($Y$4:$AJ$4, "De Minimis", AO672:AZ672), "")</f>
        <v>0</v>
      </c>
      <c r="BD672" s="287"/>
      <c r="BE672" s="288" t="str">
        <f aca="false">IF((SUM(L672:W672)&gt;1),"ERROR","")</f>
        <v/>
      </c>
    </row>
    <row r="673" customFormat="false" ht="15" hidden="false" customHeight="true" outlineLevel="0" collapsed="false">
      <c r="B673" s="333"/>
      <c r="C673" s="334"/>
      <c r="D673" s="333" t="n">
        <f aca="false">D657</f>
        <v>45536</v>
      </c>
      <c r="E673" s="277" t="n">
        <v>0</v>
      </c>
      <c r="F673" s="277" t="n">
        <v>0</v>
      </c>
      <c r="G673" s="277" t="n">
        <f aca="false">SUM(E673:F673)</f>
        <v>0</v>
      </c>
      <c r="H673" s="204"/>
      <c r="I673" s="279" t="n">
        <v>1</v>
      </c>
      <c r="J673" s="280" t="n">
        <f aca="false">1-I673</f>
        <v>0</v>
      </c>
      <c r="K673" s="277"/>
      <c r="L673" s="282"/>
      <c r="M673" s="282"/>
      <c r="N673" s="282"/>
      <c r="O673" s="282"/>
      <c r="P673" s="282"/>
      <c r="Q673" s="282"/>
      <c r="R673" s="282"/>
      <c r="S673" s="282"/>
      <c r="T673" s="282"/>
      <c r="U673" s="282"/>
      <c r="V673" s="282"/>
      <c r="W673" s="282"/>
      <c r="X673" s="283"/>
      <c r="Y673" s="284" t="n">
        <f aca="false">IFERROR(L673*$G673*I$9, "")</f>
        <v>0</v>
      </c>
      <c r="Z673" s="284" t="n">
        <f aca="false">IFERROR(M673*$G673*$I673, "")</f>
        <v>0</v>
      </c>
      <c r="AA673" s="284" t="n">
        <f aca="false">IFERROR(N673*$G673*$I673, "")</f>
        <v>0</v>
      </c>
      <c r="AB673" s="284" t="n">
        <f aca="false">IFERROR(O673*$G673*$I673, "")</f>
        <v>0</v>
      </c>
      <c r="AC673" s="284" t="n">
        <f aca="false">IFERROR(P673*$G673*$I673, "")</f>
        <v>0</v>
      </c>
      <c r="AD673" s="284" t="n">
        <f aca="false">IFERROR(Q673*$G673*$I673, "")</f>
        <v>0</v>
      </c>
      <c r="AE673" s="284" t="n">
        <f aca="false">IFERROR(R673*$G673*$I673, "")</f>
        <v>0</v>
      </c>
      <c r="AF673" s="284" t="n">
        <f aca="false">IFERROR(S673*$G673*$I673, "")</f>
        <v>0</v>
      </c>
      <c r="AG673" s="284" t="n">
        <f aca="false">IFERROR(T673*$G673*$I673, "")</f>
        <v>0</v>
      </c>
      <c r="AH673" s="284" t="n">
        <f aca="false">IFERROR(U673*$G673*$I673, "")</f>
        <v>0</v>
      </c>
      <c r="AI673" s="284" t="n">
        <f aca="false">IFERROR(V673*$G673*$I673, "")</f>
        <v>0</v>
      </c>
      <c r="AJ673" s="284" t="n">
        <f aca="false">IFERROR(W673*$G673*$I673, "")</f>
        <v>0</v>
      </c>
      <c r="AK673" s="286" t="n">
        <f aca="false">IFERROR(SUMIF($Y$4:$AJ$4, "RDEC", Y673:AJ673), "")</f>
        <v>0</v>
      </c>
      <c r="AL673" s="286" t="n">
        <f aca="false">IFERROR(SUMIF($Y$4:$AJ$4, "SME", Y673:AJ673), "")</f>
        <v>0</v>
      </c>
      <c r="AM673" s="286" t="n">
        <f aca="false">IFERROR(SUMIF($Y$4:$AJ$4, "De Minimis", Y673:AJ673), "")</f>
        <v>0</v>
      </c>
      <c r="AN673" s="283"/>
      <c r="AO673" s="284" t="n">
        <f aca="false">IFERROR($G673*$J673*L673, "")</f>
        <v>0</v>
      </c>
      <c r="AP673" s="284" t="n">
        <f aca="false">IFERROR($G673*$J673*M673, "")</f>
        <v>0</v>
      </c>
      <c r="AQ673" s="284" t="n">
        <f aca="false">IFERROR($G673*$J673*N673, "")</f>
        <v>0</v>
      </c>
      <c r="AR673" s="284" t="n">
        <f aca="false">IFERROR($G673*$J673*O673, "")</f>
        <v>0</v>
      </c>
      <c r="AS673" s="284" t="n">
        <f aca="false">IFERROR($G673*$J673*P673, "")</f>
        <v>0</v>
      </c>
      <c r="AT673" s="284" t="n">
        <f aca="false">IFERROR($G673*$J673*Q673, "")</f>
        <v>0</v>
      </c>
      <c r="AU673" s="284" t="n">
        <f aca="false">IFERROR($G673*$J673*R673, "")</f>
        <v>0</v>
      </c>
      <c r="AV673" s="284" t="n">
        <f aca="false">IFERROR($G673*$J673*S673, "")</f>
        <v>0</v>
      </c>
      <c r="AW673" s="284" t="n">
        <f aca="false">IFERROR($G673*$J673*T673, "")</f>
        <v>0</v>
      </c>
      <c r="AX673" s="284" t="n">
        <f aca="false">IFERROR($G673*$J673*U673, "")</f>
        <v>0</v>
      </c>
      <c r="AY673" s="284" t="n">
        <f aca="false">IFERROR($G673*$J673*V673, "")</f>
        <v>0</v>
      </c>
      <c r="AZ673" s="284" t="n">
        <f aca="false">IFERROR($G673*$J673*W673, "")</f>
        <v>0</v>
      </c>
      <c r="BA673" s="286" t="n">
        <f aca="false">IFERROR(SUMIF($AO$4:$AZ$4, "RDEC", AO673:AZ673), "")</f>
        <v>0</v>
      </c>
      <c r="BB673" s="286" t="n">
        <f aca="false">IFERROR(SUMIF($AO$4:$AZ$4, "SME", AO673:AZ673), "")</f>
        <v>0</v>
      </c>
      <c r="BC673" s="286" t="n">
        <f aca="false">IFERROR(SUMIF($Y$4:$AJ$4, "De Minimis", AO673:AZ673), "")</f>
        <v>0</v>
      </c>
      <c r="BD673" s="287"/>
      <c r="BE673" s="288" t="str">
        <f aca="false">IF((SUM(L673:W673)&gt;1),"ERROR","")</f>
        <v/>
      </c>
    </row>
    <row r="674" customFormat="false" ht="15" hidden="false" customHeight="true" outlineLevel="0" collapsed="false">
      <c r="B674" s="333"/>
      <c r="C674" s="334"/>
      <c r="D674" s="333" t="n">
        <f aca="false">D658</f>
        <v>45566</v>
      </c>
      <c r="E674" s="277" t="n">
        <v>0</v>
      </c>
      <c r="F674" s="277" t="n">
        <v>0</v>
      </c>
      <c r="G674" s="277" t="n">
        <f aca="false">SUM(E674:F674)</f>
        <v>0</v>
      </c>
      <c r="H674" s="204"/>
      <c r="I674" s="279" t="n">
        <v>1</v>
      </c>
      <c r="J674" s="280" t="n">
        <f aca="false">1-I674</f>
        <v>0</v>
      </c>
      <c r="K674" s="277"/>
      <c r="L674" s="282"/>
      <c r="M674" s="282"/>
      <c r="N674" s="282"/>
      <c r="O674" s="282"/>
      <c r="P674" s="282"/>
      <c r="Q674" s="282"/>
      <c r="R674" s="282"/>
      <c r="S674" s="282"/>
      <c r="T674" s="282"/>
      <c r="U674" s="282"/>
      <c r="V674" s="282"/>
      <c r="W674" s="282"/>
      <c r="X674" s="283"/>
      <c r="Y674" s="284" t="n">
        <f aca="false">IFERROR(L674*$G674*I$9, "")</f>
        <v>0</v>
      </c>
      <c r="Z674" s="284" t="n">
        <f aca="false">IFERROR(M674*$G674*$I674, "")</f>
        <v>0</v>
      </c>
      <c r="AA674" s="284" t="n">
        <f aca="false">IFERROR(N674*$G674*$I674, "")</f>
        <v>0</v>
      </c>
      <c r="AB674" s="284" t="n">
        <f aca="false">IFERROR(O674*$G674*$I674, "")</f>
        <v>0</v>
      </c>
      <c r="AC674" s="284" t="n">
        <f aca="false">IFERROR(P674*$G674*$I674, "")</f>
        <v>0</v>
      </c>
      <c r="AD674" s="284" t="n">
        <f aca="false">IFERROR(Q674*$G674*$I674, "")</f>
        <v>0</v>
      </c>
      <c r="AE674" s="284" t="n">
        <f aca="false">IFERROR(R674*$G674*$I674, "")</f>
        <v>0</v>
      </c>
      <c r="AF674" s="284" t="n">
        <f aca="false">IFERROR(S674*$G674*$I674, "")</f>
        <v>0</v>
      </c>
      <c r="AG674" s="284" t="n">
        <f aca="false">IFERROR(T674*$G674*$I674, "")</f>
        <v>0</v>
      </c>
      <c r="AH674" s="284" t="n">
        <f aca="false">IFERROR(U674*$G674*$I674, "")</f>
        <v>0</v>
      </c>
      <c r="AI674" s="284" t="n">
        <f aca="false">IFERROR(V674*$G674*$I674, "")</f>
        <v>0</v>
      </c>
      <c r="AJ674" s="284" t="n">
        <f aca="false">IFERROR(W674*$G674*$I674, "")</f>
        <v>0</v>
      </c>
      <c r="AK674" s="286" t="n">
        <f aca="false">IFERROR(SUMIF($Y$4:$AJ$4, "RDEC", Y674:AJ674), "")</f>
        <v>0</v>
      </c>
      <c r="AL674" s="286" t="n">
        <f aca="false">IFERROR(SUMIF($Y$4:$AJ$4, "SME", Y674:AJ674), "")</f>
        <v>0</v>
      </c>
      <c r="AM674" s="286" t="n">
        <f aca="false">IFERROR(SUMIF($Y$4:$AJ$4, "De Minimis", Y674:AJ674), "")</f>
        <v>0</v>
      </c>
      <c r="AN674" s="283"/>
      <c r="AO674" s="284" t="n">
        <f aca="false">IFERROR($G674*$J674*L674, "")</f>
        <v>0</v>
      </c>
      <c r="AP674" s="284" t="n">
        <f aca="false">IFERROR($G674*$J674*M674, "")</f>
        <v>0</v>
      </c>
      <c r="AQ674" s="284" t="n">
        <f aca="false">IFERROR($G674*$J674*N674, "")</f>
        <v>0</v>
      </c>
      <c r="AR674" s="284" t="n">
        <f aca="false">IFERROR($G674*$J674*O674, "")</f>
        <v>0</v>
      </c>
      <c r="AS674" s="284" t="n">
        <f aca="false">IFERROR($G674*$J674*P674, "")</f>
        <v>0</v>
      </c>
      <c r="AT674" s="284" t="n">
        <f aca="false">IFERROR($G674*$J674*Q674, "")</f>
        <v>0</v>
      </c>
      <c r="AU674" s="284" t="n">
        <f aca="false">IFERROR($G674*$J674*R674, "")</f>
        <v>0</v>
      </c>
      <c r="AV674" s="284" t="n">
        <f aca="false">IFERROR($G674*$J674*S674, "")</f>
        <v>0</v>
      </c>
      <c r="AW674" s="284" t="n">
        <f aca="false">IFERROR($G674*$J674*T674, "")</f>
        <v>0</v>
      </c>
      <c r="AX674" s="284" t="n">
        <f aca="false">IFERROR($G674*$J674*U674, "")</f>
        <v>0</v>
      </c>
      <c r="AY674" s="284" t="n">
        <f aca="false">IFERROR($G674*$J674*V674, "")</f>
        <v>0</v>
      </c>
      <c r="AZ674" s="284" t="n">
        <f aca="false">IFERROR($G674*$J674*W674, "")</f>
        <v>0</v>
      </c>
      <c r="BA674" s="286" t="n">
        <f aca="false">IFERROR(SUMIF($AO$4:$AZ$4, "RDEC", AO674:AZ674), "")</f>
        <v>0</v>
      </c>
      <c r="BB674" s="286" t="n">
        <f aca="false">IFERROR(SUMIF($AO$4:$AZ$4, "SME", AO674:AZ674), "")</f>
        <v>0</v>
      </c>
      <c r="BC674" s="286" t="n">
        <f aca="false">IFERROR(SUMIF($Y$4:$AJ$4, "De Minimis", AO674:AZ674), "")</f>
        <v>0</v>
      </c>
      <c r="BD674" s="287"/>
      <c r="BE674" s="288" t="str">
        <f aca="false">IF((SUM(L674:W674)&gt;1),"ERROR","")</f>
        <v/>
      </c>
    </row>
    <row r="675" customFormat="false" ht="15" hidden="false" customHeight="true" outlineLevel="0" collapsed="false">
      <c r="B675" s="333"/>
      <c r="C675" s="334"/>
      <c r="D675" s="333" t="n">
        <f aca="false">D659</f>
        <v>45597</v>
      </c>
      <c r="E675" s="277" t="n">
        <v>0</v>
      </c>
      <c r="F675" s="277" t="n">
        <v>0</v>
      </c>
      <c r="G675" s="277" t="n">
        <f aca="false">SUM(E675:F675)</f>
        <v>0</v>
      </c>
      <c r="H675" s="204"/>
      <c r="I675" s="279" t="n">
        <v>1</v>
      </c>
      <c r="J675" s="280" t="n">
        <f aca="false">1-I675</f>
        <v>0</v>
      </c>
      <c r="K675" s="277"/>
      <c r="L675" s="282"/>
      <c r="M675" s="282"/>
      <c r="N675" s="282"/>
      <c r="O675" s="282"/>
      <c r="P675" s="282"/>
      <c r="Q675" s="282"/>
      <c r="R675" s="282"/>
      <c r="S675" s="282"/>
      <c r="T675" s="282"/>
      <c r="U675" s="282"/>
      <c r="V675" s="282"/>
      <c r="W675" s="282"/>
      <c r="X675" s="283"/>
      <c r="Y675" s="284" t="n">
        <f aca="false">IFERROR(L675*$G675*I$9, "")</f>
        <v>0</v>
      </c>
      <c r="Z675" s="284" t="n">
        <f aca="false">IFERROR(M675*$G675*$I675, "")</f>
        <v>0</v>
      </c>
      <c r="AA675" s="284" t="n">
        <f aca="false">IFERROR(N675*$G675*$I675, "")</f>
        <v>0</v>
      </c>
      <c r="AB675" s="284" t="n">
        <f aca="false">IFERROR(O675*$G675*$I675, "")</f>
        <v>0</v>
      </c>
      <c r="AC675" s="284" t="n">
        <f aca="false">IFERROR(P675*$G675*$I675, "")</f>
        <v>0</v>
      </c>
      <c r="AD675" s="284" t="n">
        <f aca="false">IFERROR(Q675*$G675*$I675, "")</f>
        <v>0</v>
      </c>
      <c r="AE675" s="284" t="n">
        <f aca="false">IFERROR(R675*$G675*$I675, "")</f>
        <v>0</v>
      </c>
      <c r="AF675" s="284" t="n">
        <f aca="false">IFERROR(S675*$G675*$I675, "")</f>
        <v>0</v>
      </c>
      <c r="AG675" s="284" t="n">
        <f aca="false">IFERROR(T675*$G675*$I675, "")</f>
        <v>0</v>
      </c>
      <c r="AH675" s="284" t="n">
        <f aca="false">IFERROR(U675*$G675*$I675, "")</f>
        <v>0</v>
      </c>
      <c r="AI675" s="284" t="n">
        <f aca="false">IFERROR(V675*$G675*$I675, "")</f>
        <v>0</v>
      </c>
      <c r="AJ675" s="284" t="n">
        <f aca="false">IFERROR(W675*$G675*$I675, "")</f>
        <v>0</v>
      </c>
      <c r="AK675" s="286" t="n">
        <f aca="false">IFERROR(SUMIF($Y$4:$AJ$4, "RDEC", Y675:AJ675), "")</f>
        <v>0</v>
      </c>
      <c r="AL675" s="286" t="n">
        <f aca="false">IFERROR(SUMIF($Y$4:$AJ$4, "SME", Y675:AJ675), "")</f>
        <v>0</v>
      </c>
      <c r="AM675" s="286" t="n">
        <f aca="false">IFERROR(SUMIF($Y$4:$AJ$4, "De Minimis", Y675:AJ675), "")</f>
        <v>0</v>
      </c>
      <c r="AN675" s="283"/>
      <c r="AO675" s="284" t="n">
        <f aca="false">IFERROR($G675*$J675*L675, "")</f>
        <v>0</v>
      </c>
      <c r="AP675" s="284" t="n">
        <f aca="false">IFERROR($G675*$J675*M675, "")</f>
        <v>0</v>
      </c>
      <c r="AQ675" s="284" t="n">
        <f aca="false">IFERROR($G675*$J675*N675, "")</f>
        <v>0</v>
      </c>
      <c r="AR675" s="284" t="n">
        <f aca="false">IFERROR($G675*$J675*O675, "")</f>
        <v>0</v>
      </c>
      <c r="AS675" s="284" t="n">
        <f aca="false">IFERROR($G675*$J675*P675, "")</f>
        <v>0</v>
      </c>
      <c r="AT675" s="284" t="n">
        <f aca="false">IFERROR($G675*$J675*Q675, "")</f>
        <v>0</v>
      </c>
      <c r="AU675" s="284" t="n">
        <f aca="false">IFERROR($G675*$J675*R675, "")</f>
        <v>0</v>
      </c>
      <c r="AV675" s="284" t="n">
        <f aca="false">IFERROR($G675*$J675*S675, "")</f>
        <v>0</v>
      </c>
      <c r="AW675" s="284" t="n">
        <f aca="false">IFERROR($G675*$J675*T675, "")</f>
        <v>0</v>
      </c>
      <c r="AX675" s="284" t="n">
        <f aca="false">IFERROR($G675*$J675*U675, "")</f>
        <v>0</v>
      </c>
      <c r="AY675" s="284" t="n">
        <f aca="false">IFERROR($G675*$J675*V675, "")</f>
        <v>0</v>
      </c>
      <c r="AZ675" s="284" t="n">
        <f aca="false">IFERROR($G675*$J675*W675, "")</f>
        <v>0</v>
      </c>
      <c r="BA675" s="286" t="n">
        <f aca="false">IFERROR(SUMIF($AO$4:$AZ$4, "RDEC", AO675:AZ675), "")</f>
        <v>0</v>
      </c>
      <c r="BB675" s="286" t="n">
        <f aca="false">IFERROR(SUMIF($AO$4:$AZ$4, "SME", AO675:AZ675), "")</f>
        <v>0</v>
      </c>
      <c r="BC675" s="286" t="n">
        <f aca="false">IFERROR(SUMIF($Y$4:$AJ$4, "De Minimis", AO675:AZ675), "")</f>
        <v>0</v>
      </c>
      <c r="BD675" s="287"/>
      <c r="BE675" s="288" t="str">
        <f aca="false">IF((SUM(L675:W675)&gt;1),"ERROR","")</f>
        <v/>
      </c>
    </row>
    <row r="676" customFormat="false" ht="15" hidden="false" customHeight="true" outlineLevel="0" collapsed="false">
      <c r="B676" s="333"/>
      <c r="C676" s="334"/>
      <c r="D676" s="333" t="n">
        <f aca="false">D660</f>
        <v>45627</v>
      </c>
      <c r="E676" s="277" t="n">
        <v>0</v>
      </c>
      <c r="F676" s="277" t="n">
        <v>0</v>
      </c>
      <c r="G676" s="277" t="n">
        <f aca="false">SUM(E676:F676)</f>
        <v>0</v>
      </c>
      <c r="H676" s="300"/>
      <c r="I676" s="289" t="n">
        <v>1</v>
      </c>
      <c r="J676" s="290" t="n">
        <f aca="false">1-I676</f>
        <v>0</v>
      </c>
      <c r="K676" s="300"/>
      <c r="L676" s="291"/>
      <c r="M676" s="291"/>
      <c r="N676" s="291"/>
      <c r="O676" s="291"/>
      <c r="P676" s="291"/>
      <c r="Q676" s="291"/>
      <c r="R676" s="291"/>
      <c r="S676" s="291"/>
      <c r="T676" s="291"/>
      <c r="U676" s="291"/>
      <c r="V676" s="291"/>
      <c r="W676" s="291"/>
      <c r="X676" s="283"/>
      <c r="Y676" s="284" t="n">
        <f aca="false">IFERROR(L676*$G676*I$9, "")</f>
        <v>0</v>
      </c>
      <c r="Z676" s="284" t="n">
        <f aca="false">IFERROR(M676*$G676*$I676, "")</f>
        <v>0</v>
      </c>
      <c r="AA676" s="284" t="n">
        <f aca="false">IFERROR(N676*$G676*$I676, "")</f>
        <v>0</v>
      </c>
      <c r="AB676" s="284" t="n">
        <f aca="false">IFERROR(O676*$G676*$I676, "")</f>
        <v>0</v>
      </c>
      <c r="AC676" s="284" t="n">
        <f aca="false">IFERROR(P676*$G676*$I676, "")</f>
        <v>0</v>
      </c>
      <c r="AD676" s="284" t="n">
        <f aca="false">IFERROR(Q676*$G676*$I676, "")</f>
        <v>0</v>
      </c>
      <c r="AE676" s="284" t="n">
        <f aca="false">IFERROR(R676*$G676*$I676, "")</f>
        <v>0</v>
      </c>
      <c r="AF676" s="284" t="n">
        <f aca="false">IFERROR(S676*$G676*$I676, "")</f>
        <v>0</v>
      </c>
      <c r="AG676" s="284" t="n">
        <f aca="false">IFERROR(T676*$G676*$I676, "")</f>
        <v>0</v>
      </c>
      <c r="AH676" s="284" t="n">
        <f aca="false">IFERROR(U676*$G676*$I676, "")</f>
        <v>0</v>
      </c>
      <c r="AI676" s="284" t="n">
        <f aca="false">IFERROR(V676*$G676*$I676, "")</f>
        <v>0</v>
      </c>
      <c r="AJ676" s="284" t="n">
        <f aca="false">IFERROR(W676*$G676*$I676, "")</f>
        <v>0</v>
      </c>
      <c r="AK676" s="294" t="n">
        <f aca="false">IFERROR(SUMIF($Y$4:$AJ$4, "RDEC", Y676:AJ676), "")</f>
        <v>0</v>
      </c>
      <c r="AL676" s="294" t="n">
        <f aca="false">IFERROR(SUMIF($Y$4:$AJ$4, "SME", Y676:AJ676), "")</f>
        <v>0</v>
      </c>
      <c r="AM676" s="294" t="n">
        <f aca="false">IFERROR(SUMIF($Y$4:$AJ$4, "De Minimis", Y676:AJ676), "")</f>
        <v>0</v>
      </c>
      <c r="AN676" s="283"/>
      <c r="AO676" s="284" t="n">
        <f aca="false">IFERROR($G676*$J676*L676, "")</f>
        <v>0</v>
      </c>
      <c r="AP676" s="284" t="n">
        <f aca="false">IFERROR($G676*$J676*M676, "")</f>
        <v>0</v>
      </c>
      <c r="AQ676" s="284" t="n">
        <f aca="false">IFERROR($G676*$J676*N676, "")</f>
        <v>0</v>
      </c>
      <c r="AR676" s="284" t="n">
        <f aca="false">IFERROR($G676*$J676*O676, "")</f>
        <v>0</v>
      </c>
      <c r="AS676" s="284" t="n">
        <f aca="false">IFERROR($G676*$J676*P676, "")</f>
        <v>0</v>
      </c>
      <c r="AT676" s="284" t="n">
        <f aca="false">IFERROR($G676*$J676*Q676, "")</f>
        <v>0</v>
      </c>
      <c r="AU676" s="284" t="n">
        <f aca="false">IFERROR($G676*$J676*R676, "")</f>
        <v>0</v>
      </c>
      <c r="AV676" s="284" t="n">
        <f aca="false">IFERROR($G676*$J676*S676, "")</f>
        <v>0</v>
      </c>
      <c r="AW676" s="284" t="n">
        <f aca="false">IFERROR($G676*$J676*T676, "")</f>
        <v>0</v>
      </c>
      <c r="AX676" s="284" t="n">
        <f aca="false">IFERROR($G676*$J676*U676, "")</f>
        <v>0</v>
      </c>
      <c r="AY676" s="284" t="n">
        <f aca="false">IFERROR($G676*$J676*V676, "")</f>
        <v>0</v>
      </c>
      <c r="AZ676" s="284" t="n">
        <f aca="false">IFERROR($G676*$J676*W676, "")</f>
        <v>0</v>
      </c>
      <c r="BA676" s="286" t="n">
        <f aca="false">IFERROR(SUMIF($AO$4:$AZ$4, "RDEC", AO676:AZ676), "")</f>
        <v>0</v>
      </c>
      <c r="BB676" s="286" t="n">
        <f aca="false">IFERROR(SUMIF($AO$4:$AZ$4, "SME", AO676:AZ676), "")</f>
        <v>0</v>
      </c>
      <c r="BC676" s="294" t="n">
        <f aca="false">IFERROR(SUMIF($Y$4:$AJ$4, "De Minimis", AO676:AZ676), "")</f>
        <v>0</v>
      </c>
      <c r="BD676" s="303"/>
      <c r="BE676" s="295" t="str">
        <f aca="false">IF((SUM(L676:W676)&gt;1),"ERROR","")</f>
        <v/>
      </c>
    </row>
    <row r="677" customFormat="false" ht="15" hidden="false" customHeight="true" outlineLevel="0" collapsed="false">
      <c r="B677" s="296"/>
      <c r="D677" s="297" t="s">
        <v>82</v>
      </c>
      <c r="E677" s="299" t="n">
        <f aca="false">SUM(E665:E676)</f>
        <v>0</v>
      </c>
      <c r="F677" s="299" t="n">
        <f aca="false">SUM(F665:F676)</f>
        <v>0</v>
      </c>
      <c r="G677" s="299" t="n">
        <f aca="false">SUM(G665:G676)</f>
        <v>0</v>
      </c>
      <c r="H677" s="300"/>
      <c r="I677" s="301" t="n">
        <f aca="false">AVERAGE(I665:I676)</f>
        <v>1</v>
      </c>
      <c r="J677" s="301" t="n">
        <f aca="false">AVERAGE(J665:J676)</f>
        <v>0</v>
      </c>
      <c r="K677" s="300"/>
      <c r="L677" s="290" t="n">
        <f aca="false">IF(SUM(L665:L676)&gt;0,(Y677/G677),0)</f>
        <v>0</v>
      </c>
      <c r="M677" s="301" t="n">
        <f aca="false">IF(SUM(M665:M676)&gt;0,(Z677/G677),0)</f>
        <v>0</v>
      </c>
      <c r="N677" s="301" t="n">
        <f aca="false">IF(SUM(N665:N676)&gt;0,(AA677/G677),0)</f>
        <v>0</v>
      </c>
      <c r="O677" s="301" t="n">
        <f aca="false">IF(SUM(O665:O676)&gt;0,(AB677/G677),0)</f>
        <v>0</v>
      </c>
      <c r="P677" s="301" t="n">
        <f aca="false">IF(SUM(P665:P676)&gt;0,(AC677/G677),0)</f>
        <v>0</v>
      </c>
      <c r="Q677" s="301" t="n">
        <f aca="false">IF(SUM(Q665:Q676)&gt;0,(AD677/G677),0)</f>
        <v>0</v>
      </c>
      <c r="R677" s="301" t="n">
        <f aca="false">IF(SUM(R665:R676)&gt;0,(AE677/G677),0)</f>
        <v>0</v>
      </c>
      <c r="S677" s="301" t="n">
        <f aca="false">IF(SUM(S665:S676)&gt;0,(AF677/G677),0)</f>
        <v>0</v>
      </c>
      <c r="T677" s="301" t="n">
        <f aca="false">IF(SUM(T665:T676)&gt;0,(AG677/G677),0)</f>
        <v>0</v>
      </c>
      <c r="U677" s="301" t="n">
        <f aca="false">IF(SUM(U665:U676)&gt;0,(AJ677/G677),0)</f>
        <v>0</v>
      </c>
      <c r="V677" s="301" t="n">
        <f aca="false">IF(SUM(V665:V676)&gt;0,(AI677/G677),0)</f>
        <v>0</v>
      </c>
      <c r="W677" s="301" t="n">
        <f aca="false">IF(SUM(W665:W676)&gt;0,(AJ677/G677),0)</f>
        <v>0</v>
      </c>
      <c r="X677" s="283"/>
      <c r="Y677" s="304" t="n">
        <f aca="false">SUM(Y665:Y676)</f>
        <v>0</v>
      </c>
      <c r="Z677" s="304" t="n">
        <f aca="false">SUM(Z665:Z676)</f>
        <v>0</v>
      </c>
      <c r="AA677" s="304" t="n">
        <f aca="false">SUM(AA665:AA676)</f>
        <v>0</v>
      </c>
      <c r="AB677" s="304" t="n">
        <f aca="false">SUM(AB665:AB676)</f>
        <v>0</v>
      </c>
      <c r="AC677" s="304" t="n">
        <f aca="false">SUM(AC665:AC676)</f>
        <v>0</v>
      </c>
      <c r="AD677" s="304" t="n">
        <f aca="false">SUM(AD665:AD676)</f>
        <v>0</v>
      </c>
      <c r="AE677" s="304" t="n">
        <f aca="false">SUM(AE665:AE676)</f>
        <v>0</v>
      </c>
      <c r="AF677" s="304" t="n">
        <f aca="false">SUM(AF665:AF676)</f>
        <v>0</v>
      </c>
      <c r="AG677" s="304" t="n">
        <f aca="false">SUM(AG665:AG676)</f>
        <v>0</v>
      </c>
      <c r="AH677" s="304" t="n">
        <f aca="false">SUM(AH665:AH676)</f>
        <v>0</v>
      </c>
      <c r="AI677" s="304" t="n">
        <f aca="false">SUM(AI665:AI676)</f>
        <v>0</v>
      </c>
      <c r="AJ677" s="304" t="n">
        <f aca="false">SUM(AJ665:AJ676)</f>
        <v>0</v>
      </c>
      <c r="AK677" s="335" t="n">
        <f aca="false">SUM(AK665:AK676)</f>
        <v>0</v>
      </c>
      <c r="AL677" s="336" t="n">
        <f aca="false">SUM(AL665:AL676)</f>
        <v>0</v>
      </c>
      <c r="AM677" s="305" t="n">
        <f aca="false">SUM(AM665:AM676)</f>
        <v>0</v>
      </c>
      <c r="AN677" s="283"/>
      <c r="AO677" s="304" t="n">
        <f aca="false">SUM(AO665:AO676)</f>
        <v>0</v>
      </c>
      <c r="AP677" s="304" t="n">
        <f aca="false">SUM(AP665:AP676)</f>
        <v>0</v>
      </c>
      <c r="AQ677" s="304" t="n">
        <f aca="false">SUM(AQ665:AQ676)</f>
        <v>0</v>
      </c>
      <c r="AR677" s="304" t="n">
        <f aca="false">SUM(AR665:AR676)</f>
        <v>0</v>
      </c>
      <c r="AS677" s="304" t="n">
        <f aca="false">SUM(AS665:AS676)</f>
        <v>0</v>
      </c>
      <c r="AT677" s="304" t="n">
        <f aca="false">SUM(AT665:AT676)</f>
        <v>0</v>
      </c>
      <c r="AU677" s="304" t="n">
        <f aca="false">SUM(AU665:AU676)</f>
        <v>0</v>
      </c>
      <c r="AV677" s="304" t="n">
        <f aca="false">SUM(AV665:AV676)</f>
        <v>0</v>
      </c>
      <c r="AW677" s="304" t="n">
        <f aca="false">SUM(AW665:AW676)</f>
        <v>0</v>
      </c>
      <c r="AX677" s="304" t="n">
        <f aca="false">SUM(AX665:AX676)</f>
        <v>0</v>
      </c>
      <c r="AY677" s="304" t="n">
        <f aca="false">SUM(AY665:AY676)</f>
        <v>0</v>
      </c>
      <c r="AZ677" s="304" t="n">
        <f aca="false">SUM(AZ665:AZ676)</f>
        <v>0</v>
      </c>
      <c r="BA677" s="336" t="n">
        <f aca="false">SUM(BA665:BA676)</f>
        <v>0</v>
      </c>
      <c r="BB677" s="336" t="n">
        <f aca="false">SUM(BB665:BB676)</f>
        <v>0</v>
      </c>
      <c r="BC677" s="305" t="n">
        <f aca="false">SUM(BC665:BC676)</f>
        <v>0</v>
      </c>
      <c r="BD677" s="303"/>
      <c r="BE677" s="337"/>
    </row>
    <row r="678" customFormat="false" ht="15" hidden="false" customHeight="true" outlineLevel="0" collapsed="false">
      <c r="B678" s="296"/>
      <c r="D678" s="297"/>
      <c r="E678" s="300"/>
      <c r="F678" s="300"/>
      <c r="G678" s="300"/>
      <c r="H678" s="241"/>
      <c r="I678" s="302"/>
      <c r="J678" s="302"/>
      <c r="K678" s="241"/>
      <c r="L678" s="259"/>
      <c r="M678" s="259"/>
      <c r="N678" s="259"/>
      <c r="O678" s="259"/>
      <c r="P678" s="259"/>
      <c r="Q678" s="259"/>
      <c r="R678" s="259"/>
      <c r="S678" s="259"/>
      <c r="T678" s="259"/>
      <c r="U678" s="259"/>
      <c r="V678" s="259"/>
      <c r="W678" s="259"/>
      <c r="X678" s="303"/>
      <c r="Y678" s="259"/>
      <c r="Z678" s="303"/>
      <c r="AA678" s="303"/>
      <c r="AB678" s="303"/>
      <c r="AC678" s="303"/>
      <c r="AD678" s="303"/>
      <c r="AE678" s="303"/>
      <c r="AF678" s="303"/>
      <c r="AG678" s="303"/>
      <c r="AH678" s="303"/>
      <c r="AI678" s="303"/>
      <c r="AJ678" s="303"/>
      <c r="AK678" s="303"/>
      <c r="AL678" s="303"/>
      <c r="AM678" s="303"/>
      <c r="AN678" s="303"/>
      <c r="AO678" s="259"/>
      <c r="AP678" s="303"/>
      <c r="AQ678" s="303"/>
      <c r="AR678" s="303"/>
      <c r="AS678" s="303"/>
      <c r="AT678" s="303"/>
      <c r="AU678" s="303"/>
      <c r="AV678" s="303"/>
      <c r="AW678" s="303"/>
      <c r="AX678" s="303"/>
      <c r="AY678" s="303"/>
      <c r="AZ678" s="303"/>
      <c r="BA678" s="303"/>
      <c r="BB678" s="303"/>
      <c r="BC678" s="303"/>
      <c r="BD678" s="268"/>
      <c r="BE678" s="303"/>
    </row>
    <row r="679" customFormat="false" ht="15" hidden="false" customHeight="true" outlineLevel="0" collapsed="false">
      <c r="A679" s="198" t="n">
        <f aca="false">A663+1</f>
        <v>43</v>
      </c>
      <c r="B679" s="266" t="s">
        <v>253</v>
      </c>
      <c r="C679" s="266" t="s">
        <v>253</v>
      </c>
      <c r="D679" s="266"/>
      <c r="E679" s="241"/>
      <c r="F679" s="241"/>
      <c r="G679" s="241"/>
      <c r="H679" s="241"/>
      <c r="I679" s="241"/>
      <c r="J679" s="241"/>
      <c r="K679" s="277"/>
      <c r="L679" s="241"/>
      <c r="M679" s="241"/>
      <c r="N679" s="241"/>
      <c r="O679" s="241"/>
      <c r="P679" s="241"/>
      <c r="Q679" s="241"/>
      <c r="R679" s="241"/>
      <c r="S679" s="241"/>
      <c r="T679" s="241"/>
      <c r="U679" s="241"/>
      <c r="V679" s="241"/>
      <c r="W679" s="241"/>
      <c r="X679" s="259"/>
      <c r="Y679" s="268"/>
      <c r="Z679" s="268"/>
      <c r="AA679" s="268"/>
      <c r="AB679" s="268"/>
      <c r="AC679" s="268"/>
      <c r="AD679" s="268"/>
      <c r="AE679" s="268"/>
      <c r="AF679" s="268"/>
      <c r="AG679" s="268"/>
      <c r="AH679" s="268"/>
      <c r="AI679" s="268"/>
      <c r="AJ679" s="268"/>
      <c r="AK679" s="268"/>
      <c r="AL679" s="268"/>
      <c r="AM679" s="268"/>
      <c r="AN679" s="259"/>
      <c r="AO679" s="268"/>
      <c r="AP679" s="268"/>
      <c r="AQ679" s="268"/>
      <c r="AR679" s="268"/>
      <c r="AS679" s="268"/>
      <c r="AT679" s="268"/>
      <c r="AU679" s="268"/>
      <c r="AV679" s="268"/>
      <c r="AW679" s="268"/>
      <c r="AX679" s="268"/>
      <c r="AY679" s="268"/>
      <c r="AZ679" s="268"/>
      <c r="BA679" s="268"/>
      <c r="BB679" s="268"/>
      <c r="BC679" s="268"/>
      <c r="BD679" s="287"/>
      <c r="BE679" s="268"/>
    </row>
    <row r="680" customFormat="false" ht="7.5" hidden="false" customHeight="true" outlineLevel="0" collapsed="false">
      <c r="A680" s="198"/>
      <c r="B680" s="266"/>
      <c r="C680" s="266"/>
      <c r="D680" s="266"/>
      <c r="E680" s="241"/>
      <c r="F680" s="241"/>
      <c r="G680" s="241"/>
      <c r="H680" s="204"/>
      <c r="I680" s="269"/>
      <c r="J680" s="269"/>
      <c r="K680" s="277"/>
      <c r="L680" s="269"/>
      <c r="M680" s="269"/>
      <c r="N680" s="269"/>
      <c r="O680" s="269"/>
      <c r="P680" s="269"/>
      <c r="Q680" s="269"/>
      <c r="R680" s="269"/>
      <c r="S680" s="269"/>
      <c r="T680" s="269"/>
      <c r="U680" s="269"/>
      <c r="V680" s="269"/>
      <c r="W680" s="269"/>
      <c r="X680" s="259"/>
      <c r="Y680" s="271"/>
      <c r="Z680" s="271"/>
      <c r="AA680" s="271"/>
      <c r="AB680" s="271"/>
      <c r="AC680" s="271"/>
      <c r="AD680" s="271"/>
      <c r="AE680" s="271"/>
      <c r="AF680" s="271"/>
      <c r="AG680" s="271"/>
      <c r="AH680" s="271"/>
      <c r="AI680" s="271"/>
      <c r="AJ680" s="272"/>
      <c r="AK680" s="273"/>
      <c r="AL680" s="273"/>
      <c r="AM680" s="273"/>
      <c r="AN680" s="259"/>
      <c r="AO680" s="271"/>
      <c r="AP680" s="271"/>
      <c r="AQ680" s="271"/>
      <c r="AR680" s="271"/>
      <c r="AS680" s="271"/>
      <c r="AT680" s="271"/>
      <c r="AU680" s="271"/>
      <c r="AV680" s="271"/>
      <c r="AW680" s="271"/>
      <c r="AX680" s="271"/>
      <c r="AY680" s="271"/>
      <c r="AZ680" s="272"/>
      <c r="BA680" s="273"/>
      <c r="BB680" s="273"/>
      <c r="BC680" s="273"/>
      <c r="BD680" s="287"/>
      <c r="BE680" s="274"/>
    </row>
    <row r="681" customFormat="false" ht="15" hidden="false" customHeight="true" outlineLevel="0" collapsed="false">
      <c r="B681" s="333"/>
      <c r="C681" s="334"/>
      <c r="D681" s="333" t="n">
        <f aca="false">D665</f>
        <v>45292</v>
      </c>
      <c r="E681" s="277" t="n">
        <v>0</v>
      </c>
      <c r="F681" s="277" t="n">
        <v>0</v>
      </c>
      <c r="G681" s="277" t="n">
        <f aca="false">SUM(E681:F681)</f>
        <v>0</v>
      </c>
      <c r="H681" s="204"/>
      <c r="I681" s="279" t="n">
        <v>1</v>
      </c>
      <c r="J681" s="280" t="n">
        <f aca="false">1-I681</f>
        <v>0</v>
      </c>
      <c r="K681" s="277"/>
      <c r="L681" s="282"/>
      <c r="M681" s="282"/>
      <c r="N681" s="282"/>
      <c r="O681" s="282"/>
      <c r="P681" s="282"/>
      <c r="Q681" s="282"/>
      <c r="R681" s="282"/>
      <c r="S681" s="282"/>
      <c r="T681" s="282"/>
      <c r="U681" s="282"/>
      <c r="V681" s="282"/>
      <c r="W681" s="282"/>
      <c r="X681" s="268"/>
      <c r="Y681" s="284" t="n">
        <f aca="false">IFERROR(L681*$G681*I$9, "")</f>
        <v>0</v>
      </c>
      <c r="Z681" s="284" t="n">
        <f aca="false">IFERROR(M681*$G681*$I681, "")</f>
        <v>0</v>
      </c>
      <c r="AA681" s="284" t="n">
        <f aca="false">IFERROR(N681*$G681*$I681, "")</f>
        <v>0</v>
      </c>
      <c r="AB681" s="284" t="n">
        <f aca="false">IFERROR(O681*$G681*$I681, "")</f>
        <v>0</v>
      </c>
      <c r="AC681" s="284" t="n">
        <f aca="false">IFERROR(P681*$G681*$I681, "")</f>
        <v>0</v>
      </c>
      <c r="AD681" s="284" t="n">
        <f aca="false">IFERROR(Q681*$G681*$I681, "")</f>
        <v>0</v>
      </c>
      <c r="AE681" s="284" t="n">
        <f aca="false">IFERROR(R681*$G681*$I681, "")</f>
        <v>0</v>
      </c>
      <c r="AF681" s="284" t="n">
        <f aca="false">IFERROR(S681*$G681*$I681, "")</f>
        <v>0</v>
      </c>
      <c r="AG681" s="284" t="n">
        <f aca="false">IFERROR(T681*$G681*$I681, "")</f>
        <v>0</v>
      </c>
      <c r="AH681" s="284" t="n">
        <f aca="false">IFERROR(U681*$G681*$I681, "")</f>
        <v>0</v>
      </c>
      <c r="AI681" s="284" t="n">
        <f aca="false">IFERROR(V681*$G681*$I681, "")</f>
        <v>0</v>
      </c>
      <c r="AJ681" s="284" t="n">
        <f aca="false">IFERROR(W681*$G681*$I681, "")</f>
        <v>0</v>
      </c>
      <c r="AK681" s="286" t="n">
        <f aca="false">IFERROR(SUMIF($Y$4:$AJ$4, "RDEC", Y681:AJ681), "")</f>
        <v>0</v>
      </c>
      <c r="AL681" s="286" t="n">
        <f aca="false">IFERROR(SUMIF($Y$4:$AJ$4, "SME", Y681:AJ681), "")</f>
        <v>0</v>
      </c>
      <c r="AM681" s="286" t="n">
        <f aca="false">IFERROR(SUMIF($Y$4:$AJ$4, "De Minimis", Y681:AJ681), "")</f>
        <v>0</v>
      </c>
      <c r="AN681" s="268"/>
      <c r="AO681" s="284" t="n">
        <f aca="false">IFERROR($G681*$J681*L681, "")</f>
        <v>0</v>
      </c>
      <c r="AP681" s="284" t="n">
        <f aca="false">IFERROR($G681*$J681*M681, "")</f>
        <v>0</v>
      </c>
      <c r="AQ681" s="284" t="n">
        <f aca="false">IFERROR($G681*$J681*N681, "")</f>
        <v>0</v>
      </c>
      <c r="AR681" s="284" t="n">
        <f aca="false">IFERROR($G681*$J681*O681, "")</f>
        <v>0</v>
      </c>
      <c r="AS681" s="284" t="n">
        <f aca="false">IFERROR($G681*$J681*P681, "")</f>
        <v>0</v>
      </c>
      <c r="AT681" s="284" t="n">
        <f aca="false">IFERROR($G681*$J681*Q681, "")</f>
        <v>0</v>
      </c>
      <c r="AU681" s="284" t="n">
        <f aca="false">IFERROR($G681*$J681*R681, "")</f>
        <v>0</v>
      </c>
      <c r="AV681" s="284" t="n">
        <f aca="false">IFERROR($G681*$J681*S681, "")</f>
        <v>0</v>
      </c>
      <c r="AW681" s="284" t="n">
        <f aca="false">IFERROR($G681*$J681*T681, "")</f>
        <v>0</v>
      </c>
      <c r="AX681" s="284" t="n">
        <f aca="false">IFERROR($G681*$J681*U681, "")</f>
        <v>0</v>
      </c>
      <c r="AY681" s="284" t="n">
        <f aca="false">IFERROR($G681*$J681*V681, "")</f>
        <v>0</v>
      </c>
      <c r="AZ681" s="284" t="n">
        <f aca="false">IFERROR($G681*$J681*W681, "")</f>
        <v>0</v>
      </c>
      <c r="BA681" s="286" t="n">
        <f aca="false">IFERROR(SUMIF($AO$4:$AZ$4, "RDEC", AO681:AZ681), "")</f>
        <v>0</v>
      </c>
      <c r="BB681" s="286" t="n">
        <f aca="false">IFERROR(SUMIF($AO$4:$AZ$4, "SME", AO681:AZ681), "")</f>
        <v>0</v>
      </c>
      <c r="BC681" s="286" t="n">
        <f aca="false">IFERROR(SUMIF($AO$4:$AZ$4, "De Minimis", AO681:AZ681), "")</f>
        <v>0</v>
      </c>
      <c r="BD681" s="287"/>
      <c r="BE681" s="288" t="str">
        <f aca="false">IF((SUM(L681:W681)&gt;1),"ERROR","")</f>
        <v/>
      </c>
    </row>
    <row r="682" customFormat="false" ht="15" hidden="false" customHeight="true" outlineLevel="0" collapsed="false">
      <c r="B682" s="333"/>
      <c r="C682" s="334"/>
      <c r="D682" s="333" t="n">
        <f aca="false">D666</f>
        <v>45323</v>
      </c>
      <c r="E682" s="277" t="n">
        <v>0</v>
      </c>
      <c r="F682" s="277" t="n">
        <v>0</v>
      </c>
      <c r="G682" s="277" t="n">
        <f aca="false">SUM(E682:F682)</f>
        <v>0</v>
      </c>
      <c r="H682" s="204"/>
      <c r="I682" s="279" t="n">
        <v>1</v>
      </c>
      <c r="J682" s="280" t="n">
        <f aca="false">1-I682</f>
        <v>0</v>
      </c>
      <c r="K682" s="277"/>
      <c r="L682" s="282"/>
      <c r="M682" s="282"/>
      <c r="N682" s="282"/>
      <c r="O682" s="282"/>
      <c r="P682" s="282"/>
      <c r="Q682" s="282"/>
      <c r="R682" s="282"/>
      <c r="S682" s="282"/>
      <c r="T682" s="282"/>
      <c r="U682" s="282"/>
      <c r="V682" s="282"/>
      <c r="W682" s="282"/>
      <c r="X682" s="283"/>
      <c r="Y682" s="284" t="n">
        <f aca="false">IFERROR(L682*$G682*I$9, "")</f>
        <v>0</v>
      </c>
      <c r="Z682" s="284" t="n">
        <f aca="false">IFERROR(M682*$G682*$I682, "")</f>
        <v>0</v>
      </c>
      <c r="AA682" s="284" t="n">
        <f aca="false">IFERROR(N682*$G682*$I682, "")</f>
        <v>0</v>
      </c>
      <c r="AB682" s="284" t="n">
        <f aca="false">IFERROR(O682*$G682*$I682, "")</f>
        <v>0</v>
      </c>
      <c r="AC682" s="284" t="n">
        <f aca="false">IFERROR(P682*$G682*$I682, "")</f>
        <v>0</v>
      </c>
      <c r="AD682" s="284" t="n">
        <f aca="false">IFERROR(Q682*$G682*$I682, "")</f>
        <v>0</v>
      </c>
      <c r="AE682" s="284" t="n">
        <f aca="false">IFERROR(R682*$G682*$I682, "")</f>
        <v>0</v>
      </c>
      <c r="AF682" s="284" t="n">
        <f aca="false">IFERROR(S682*$G682*$I682, "")</f>
        <v>0</v>
      </c>
      <c r="AG682" s="284" t="n">
        <f aca="false">IFERROR(T682*$G682*$I682, "")</f>
        <v>0</v>
      </c>
      <c r="AH682" s="284" t="n">
        <f aca="false">IFERROR(U682*$G682*$I682, "")</f>
        <v>0</v>
      </c>
      <c r="AI682" s="284" t="n">
        <f aca="false">IFERROR(V682*$G682*$I682, "")</f>
        <v>0</v>
      </c>
      <c r="AJ682" s="284" t="n">
        <f aca="false">IFERROR(W682*$G682*$I682, "")</f>
        <v>0</v>
      </c>
      <c r="AK682" s="286" t="n">
        <f aca="false">IFERROR(SUMIF($Y$4:$AJ$4, "RDEC", Y682:AJ682), "")</f>
        <v>0</v>
      </c>
      <c r="AL682" s="286" t="n">
        <f aca="false">IFERROR(SUMIF($Y$4:$AJ$4, "SME", Y682:AJ682), "")</f>
        <v>0</v>
      </c>
      <c r="AM682" s="286" t="n">
        <f aca="false">IFERROR(SUMIF($Y$4:$AJ$4, "De Minimis", Y682:AJ682), "")</f>
        <v>0</v>
      </c>
      <c r="AN682" s="283"/>
      <c r="AO682" s="284" t="n">
        <f aca="false">IFERROR($G682*$J682*L682, "")</f>
        <v>0</v>
      </c>
      <c r="AP682" s="284" t="n">
        <f aca="false">IFERROR($G682*$J682*M682, "")</f>
        <v>0</v>
      </c>
      <c r="AQ682" s="284" t="n">
        <f aca="false">IFERROR($G682*$J682*N682, "")</f>
        <v>0</v>
      </c>
      <c r="AR682" s="284" t="n">
        <f aca="false">IFERROR($G682*$J682*O682, "")</f>
        <v>0</v>
      </c>
      <c r="AS682" s="284" t="n">
        <f aca="false">IFERROR($G682*$J682*P682, "")</f>
        <v>0</v>
      </c>
      <c r="AT682" s="284" t="n">
        <f aca="false">IFERROR($G682*$J682*Q682, "")</f>
        <v>0</v>
      </c>
      <c r="AU682" s="284" t="n">
        <f aca="false">IFERROR($G682*$J682*R682, "")</f>
        <v>0</v>
      </c>
      <c r="AV682" s="284" t="n">
        <f aca="false">IFERROR($G682*$J682*S682, "")</f>
        <v>0</v>
      </c>
      <c r="AW682" s="284" t="n">
        <f aca="false">IFERROR($G682*$J682*T682, "")</f>
        <v>0</v>
      </c>
      <c r="AX682" s="284" t="n">
        <f aca="false">IFERROR($G682*$J682*U682, "")</f>
        <v>0</v>
      </c>
      <c r="AY682" s="284" t="n">
        <f aca="false">IFERROR($G682*$J682*V682, "")</f>
        <v>0</v>
      </c>
      <c r="AZ682" s="284" t="n">
        <f aca="false">IFERROR($G682*$J682*W682, "")</f>
        <v>0</v>
      </c>
      <c r="BA682" s="286" t="n">
        <f aca="false">IFERROR(SUMIF($AO$4:$AZ$4, "RDEC", AO682:AZ682), "")</f>
        <v>0</v>
      </c>
      <c r="BB682" s="286" t="n">
        <f aca="false">IFERROR(SUMIF($AO$4:$AZ$4, "SME", AO682:AZ682), "")</f>
        <v>0</v>
      </c>
      <c r="BC682" s="286" t="n">
        <f aca="false">IFERROR(SUMIF($Y$4:$AJ$4, "De Minimis", AO682:AZ682), "")</f>
        <v>0</v>
      </c>
      <c r="BD682" s="287"/>
      <c r="BE682" s="288" t="str">
        <f aca="false">IF((SUM(L682:W682)&gt;1),"ERROR","")</f>
        <v/>
      </c>
    </row>
    <row r="683" customFormat="false" ht="15" hidden="false" customHeight="true" outlineLevel="0" collapsed="false">
      <c r="B683" s="333"/>
      <c r="C683" s="334"/>
      <c r="D683" s="333" t="n">
        <f aca="false">D667</f>
        <v>45352</v>
      </c>
      <c r="E683" s="277" t="n">
        <v>0</v>
      </c>
      <c r="F683" s="277" t="n">
        <v>0</v>
      </c>
      <c r="G683" s="277" t="n">
        <f aca="false">SUM(E683:F683)</f>
        <v>0</v>
      </c>
      <c r="H683" s="204"/>
      <c r="I683" s="279" t="n">
        <v>1</v>
      </c>
      <c r="J683" s="280" t="n">
        <f aca="false">1-I683</f>
        <v>0</v>
      </c>
      <c r="K683" s="277"/>
      <c r="L683" s="282"/>
      <c r="M683" s="282"/>
      <c r="N683" s="282"/>
      <c r="O683" s="282"/>
      <c r="P683" s="282"/>
      <c r="Q683" s="282"/>
      <c r="R683" s="282"/>
      <c r="S683" s="282"/>
      <c r="T683" s="282"/>
      <c r="U683" s="282"/>
      <c r="V683" s="282"/>
      <c r="W683" s="282"/>
      <c r="X683" s="283"/>
      <c r="Y683" s="284" t="n">
        <f aca="false">IFERROR(L683*$G683*I$9, "")</f>
        <v>0</v>
      </c>
      <c r="Z683" s="284" t="n">
        <f aca="false">IFERROR(M683*$G683*$I683, "")</f>
        <v>0</v>
      </c>
      <c r="AA683" s="284" t="n">
        <f aca="false">IFERROR(N683*$G683*$I683, "")</f>
        <v>0</v>
      </c>
      <c r="AB683" s="284" t="n">
        <f aca="false">IFERROR(O683*$G683*$I683, "")</f>
        <v>0</v>
      </c>
      <c r="AC683" s="284" t="n">
        <f aca="false">IFERROR(P683*$G683*$I683, "")</f>
        <v>0</v>
      </c>
      <c r="AD683" s="284" t="n">
        <f aca="false">IFERROR(Q683*$G683*$I683, "")</f>
        <v>0</v>
      </c>
      <c r="AE683" s="284" t="n">
        <f aca="false">IFERROR(R683*$G683*$I683, "")</f>
        <v>0</v>
      </c>
      <c r="AF683" s="284" t="n">
        <f aca="false">IFERROR(S683*$G683*$I683, "")</f>
        <v>0</v>
      </c>
      <c r="AG683" s="284" t="n">
        <f aca="false">IFERROR(T683*$G683*$I683, "")</f>
        <v>0</v>
      </c>
      <c r="AH683" s="284" t="n">
        <f aca="false">IFERROR(U683*$G683*$I683, "")</f>
        <v>0</v>
      </c>
      <c r="AI683" s="284" t="n">
        <f aca="false">IFERROR(V683*$G683*$I683, "")</f>
        <v>0</v>
      </c>
      <c r="AJ683" s="284" t="n">
        <f aca="false">IFERROR(W683*$G683*$I683, "")</f>
        <v>0</v>
      </c>
      <c r="AK683" s="286" t="n">
        <f aca="false">IFERROR(SUMIF($Y$4:$AJ$4, "RDEC", Y683:AJ683), "")</f>
        <v>0</v>
      </c>
      <c r="AL683" s="286" t="n">
        <f aca="false">IFERROR(SUMIF($Y$4:$AJ$4, "SME", Y683:AJ683), "")</f>
        <v>0</v>
      </c>
      <c r="AM683" s="286" t="n">
        <f aca="false">IFERROR(SUMIF($Y$4:$AJ$4, "De Minimis", Y683:AJ683), "")</f>
        <v>0</v>
      </c>
      <c r="AN683" s="283"/>
      <c r="AO683" s="284" t="n">
        <f aca="false">IFERROR($G683*$J683*L683, "")</f>
        <v>0</v>
      </c>
      <c r="AP683" s="284" t="n">
        <f aca="false">IFERROR($G683*$J683*M683, "")</f>
        <v>0</v>
      </c>
      <c r="AQ683" s="284" t="n">
        <f aca="false">IFERROR($G683*$J683*N683, "")</f>
        <v>0</v>
      </c>
      <c r="AR683" s="284" t="n">
        <f aca="false">IFERROR($G683*$J683*O683, "")</f>
        <v>0</v>
      </c>
      <c r="AS683" s="284" t="n">
        <f aca="false">IFERROR($G683*$J683*P683, "")</f>
        <v>0</v>
      </c>
      <c r="AT683" s="284" t="n">
        <f aca="false">IFERROR($G683*$J683*Q683, "")</f>
        <v>0</v>
      </c>
      <c r="AU683" s="284" t="n">
        <f aca="false">IFERROR($G683*$J683*R683, "")</f>
        <v>0</v>
      </c>
      <c r="AV683" s="284" t="n">
        <f aca="false">IFERROR($G683*$J683*S683, "")</f>
        <v>0</v>
      </c>
      <c r="AW683" s="284" t="n">
        <f aca="false">IFERROR($G683*$J683*T683, "")</f>
        <v>0</v>
      </c>
      <c r="AX683" s="284" t="n">
        <f aca="false">IFERROR($G683*$J683*U683, "")</f>
        <v>0</v>
      </c>
      <c r="AY683" s="284" t="n">
        <f aca="false">IFERROR($G683*$J683*V683, "")</f>
        <v>0</v>
      </c>
      <c r="AZ683" s="284" t="n">
        <f aca="false">IFERROR($G683*$J683*W683, "")</f>
        <v>0</v>
      </c>
      <c r="BA683" s="286" t="n">
        <f aca="false">IFERROR(SUMIF($AO$4:$AZ$4, "RDEC", AO683:AZ683), "")</f>
        <v>0</v>
      </c>
      <c r="BB683" s="286" t="n">
        <f aca="false">IFERROR(SUMIF($AO$4:$AZ$4, "SME", AO683:AZ683), "")</f>
        <v>0</v>
      </c>
      <c r="BC683" s="286" t="n">
        <f aca="false">IFERROR(SUMIF($Y$4:$AJ$4, "De Minimis", AO683:AZ683), "")</f>
        <v>0</v>
      </c>
      <c r="BD683" s="287"/>
      <c r="BE683" s="288" t="str">
        <f aca="false">IF((SUM(L683:W683)&gt;1),"ERROR","")</f>
        <v/>
      </c>
    </row>
    <row r="684" customFormat="false" ht="15" hidden="false" customHeight="true" outlineLevel="0" collapsed="false">
      <c r="B684" s="333"/>
      <c r="C684" s="334"/>
      <c r="D684" s="333" t="n">
        <f aca="false">D668</f>
        <v>45383</v>
      </c>
      <c r="E684" s="277" t="n">
        <v>0</v>
      </c>
      <c r="F684" s="277" t="n">
        <v>0</v>
      </c>
      <c r="G684" s="277" t="n">
        <f aca="false">SUM(E684:F684)</f>
        <v>0</v>
      </c>
      <c r="H684" s="204"/>
      <c r="I684" s="279" t="n">
        <v>1</v>
      </c>
      <c r="J684" s="280" t="n">
        <f aca="false">1-I684</f>
        <v>0</v>
      </c>
      <c r="K684" s="277"/>
      <c r="L684" s="282"/>
      <c r="M684" s="282"/>
      <c r="N684" s="282"/>
      <c r="O684" s="282"/>
      <c r="P684" s="282"/>
      <c r="Q684" s="282"/>
      <c r="R684" s="282"/>
      <c r="S684" s="282"/>
      <c r="T684" s="282"/>
      <c r="U684" s="282"/>
      <c r="V684" s="282"/>
      <c r="W684" s="282"/>
      <c r="X684" s="283"/>
      <c r="Y684" s="284" t="n">
        <f aca="false">IFERROR(L684*$G684*I$9, "")</f>
        <v>0</v>
      </c>
      <c r="Z684" s="284" t="n">
        <f aca="false">IFERROR(M684*$G684*$I684, "")</f>
        <v>0</v>
      </c>
      <c r="AA684" s="284" t="n">
        <f aca="false">IFERROR(N684*$G684*$I684, "")</f>
        <v>0</v>
      </c>
      <c r="AB684" s="284" t="n">
        <f aca="false">IFERROR(O684*$G684*$I684, "")</f>
        <v>0</v>
      </c>
      <c r="AC684" s="284" t="n">
        <f aca="false">IFERROR(P684*$G684*$I684, "")</f>
        <v>0</v>
      </c>
      <c r="AD684" s="284" t="n">
        <f aca="false">IFERROR(Q684*$G684*$I684, "")</f>
        <v>0</v>
      </c>
      <c r="AE684" s="284" t="n">
        <f aca="false">IFERROR(R684*$G684*$I684, "")</f>
        <v>0</v>
      </c>
      <c r="AF684" s="284" t="n">
        <f aca="false">IFERROR(S684*$G684*$I684, "")</f>
        <v>0</v>
      </c>
      <c r="AG684" s="284" t="n">
        <f aca="false">IFERROR(T684*$G684*$I684, "")</f>
        <v>0</v>
      </c>
      <c r="AH684" s="284" t="n">
        <f aca="false">IFERROR(U684*$G684*$I684, "")</f>
        <v>0</v>
      </c>
      <c r="AI684" s="284" t="n">
        <f aca="false">IFERROR(V684*$G684*$I684, "")</f>
        <v>0</v>
      </c>
      <c r="AJ684" s="284" t="n">
        <f aca="false">IFERROR(W684*$G684*$I684, "")</f>
        <v>0</v>
      </c>
      <c r="AK684" s="286" t="n">
        <f aca="false">IFERROR(SUMIF($Y$4:$AJ$4, "RDEC", Y684:AJ684), "")</f>
        <v>0</v>
      </c>
      <c r="AL684" s="286" t="n">
        <f aca="false">IFERROR(SUMIF($Y$4:$AJ$4, "SME", Y684:AJ684), "")</f>
        <v>0</v>
      </c>
      <c r="AM684" s="286" t="n">
        <f aca="false">IFERROR(SUMIF($Y$4:$AJ$4, "De Minimis", Y684:AJ684), "")</f>
        <v>0</v>
      </c>
      <c r="AN684" s="283"/>
      <c r="AO684" s="284" t="n">
        <f aca="false">IFERROR($G684*$J684*L684, "")</f>
        <v>0</v>
      </c>
      <c r="AP684" s="284" t="n">
        <f aca="false">IFERROR($G684*$J684*M684, "")</f>
        <v>0</v>
      </c>
      <c r="AQ684" s="284" t="n">
        <f aca="false">IFERROR($G684*$J684*N684, "")</f>
        <v>0</v>
      </c>
      <c r="AR684" s="284" t="n">
        <f aca="false">IFERROR($G684*$J684*O684, "")</f>
        <v>0</v>
      </c>
      <c r="AS684" s="284" t="n">
        <f aca="false">IFERROR($G684*$J684*P684, "")</f>
        <v>0</v>
      </c>
      <c r="AT684" s="284" t="n">
        <f aca="false">IFERROR($G684*$J684*Q684, "")</f>
        <v>0</v>
      </c>
      <c r="AU684" s="284" t="n">
        <f aca="false">IFERROR($G684*$J684*R684, "")</f>
        <v>0</v>
      </c>
      <c r="AV684" s="284" t="n">
        <f aca="false">IFERROR($G684*$J684*S684, "")</f>
        <v>0</v>
      </c>
      <c r="AW684" s="284" t="n">
        <f aca="false">IFERROR($G684*$J684*T684, "")</f>
        <v>0</v>
      </c>
      <c r="AX684" s="284" t="n">
        <f aca="false">IFERROR($G684*$J684*U684, "")</f>
        <v>0</v>
      </c>
      <c r="AY684" s="284" t="n">
        <f aca="false">IFERROR($G684*$J684*V684, "")</f>
        <v>0</v>
      </c>
      <c r="AZ684" s="284" t="n">
        <f aca="false">IFERROR($G684*$J684*W684, "")</f>
        <v>0</v>
      </c>
      <c r="BA684" s="286" t="n">
        <f aca="false">IFERROR(SUMIF($AO$4:$AZ$4, "RDEC", AO684:AZ684), "")</f>
        <v>0</v>
      </c>
      <c r="BB684" s="286" t="n">
        <f aca="false">IFERROR(SUMIF($AO$4:$AZ$4, "SME", AO684:AZ684), "")</f>
        <v>0</v>
      </c>
      <c r="BC684" s="286" t="n">
        <f aca="false">IFERROR(SUMIF($Y$4:$AJ$4, "De Minimis", AO684:AZ684), "")</f>
        <v>0</v>
      </c>
      <c r="BD684" s="287"/>
      <c r="BE684" s="288" t="str">
        <f aca="false">IF((SUM(L684:W684)&gt;1),"ERROR","")</f>
        <v/>
      </c>
    </row>
    <row r="685" customFormat="false" ht="15" hidden="false" customHeight="true" outlineLevel="0" collapsed="false">
      <c r="B685" s="333"/>
      <c r="C685" s="334"/>
      <c r="D685" s="333" t="n">
        <f aca="false">D669</f>
        <v>45413</v>
      </c>
      <c r="E685" s="277" t="n">
        <v>0</v>
      </c>
      <c r="F685" s="277" t="n">
        <v>0</v>
      </c>
      <c r="G685" s="277" t="n">
        <f aca="false">SUM(E685:F685)</f>
        <v>0</v>
      </c>
      <c r="H685" s="204"/>
      <c r="I685" s="279" t="n">
        <v>1</v>
      </c>
      <c r="J685" s="280" t="n">
        <f aca="false">1-I685</f>
        <v>0</v>
      </c>
      <c r="K685" s="277"/>
      <c r="L685" s="282"/>
      <c r="M685" s="282"/>
      <c r="N685" s="282"/>
      <c r="O685" s="282"/>
      <c r="P685" s="282"/>
      <c r="Q685" s="282"/>
      <c r="R685" s="282"/>
      <c r="S685" s="282"/>
      <c r="T685" s="282"/>
      <c r="U685" s="282"/>
      <c r="V685" s="282"/>
      <c r="W685" s="282"/>
      <c r="X685" s="283"/>
      <c r="Y685" s="284" t="n">
        <f aca="false">IFERROR(L685*$G685*I$9, "")</f>
        <v>0</v>
      </c>
      <c r="Z685" s="284" t="n">
        <f aca="false">IFERROR(M685*$G685*$I685, "")</f>
        <v>0</v>
      </c>
      <c r="AA685" s="284" t="n">
        <f aca="false">IFERROR(N685*$G685*$I685, "")</f>
        <v>0</v>
      </c>
      <c r="AB685" s="284" t="n">
        <f aca="false">IFERROR(O685*$G685*$I685, "")</f>
        <v>0</v>
      </c>
      <c r="AC685" s="284" t="n">
        <f aca="false">IFERROR(P685*$G685*$I685, "")</f>
        <v>0</v>
      </c>
      <c r="AD685" s="284" t="n">
        <f aca="false">IFERROR(Q685*$G685*$I685, "")</f>
        <v>0</v>
      </c>
      <c r="AE685" s="284" t="n">
        <f aca="false">IFERROR(R685*$G685*$I685, "")</f>
        <v>0</v>
      </c>
      <c r="AF685" s="284" t="n">
        <f aca="false">IFERROR(S685*$G685*$I685, "")</f>
        <v>0</v>
      </c>
      <c r="AG685" s="284" t="n">
        <f aca="false">IFERROR(T685*$G685*$I685, "")</f>
        <v>0</v>
      </c>
      <c r="AH685" s="284" t="n">
        <f aca="false">IFERROR(U685*$G685*$I685, "")</f>
        <v>0</v>
      </c>
      <c r="AI685" s="284" t="n">
        <f aca="false">IFERROR(V685*$G685*$I685, "")</f>
        <v>0</v>
      </c>
      <c r="AJ685" s="284" t="n">
        <f aca="false">IFERROR(W685*$G685*$I685, "")</f>
        <v>0</v>
      </c>
      <c r="AK685" s="286" t="n">
        <f aca="false">IFERROR(SUMIF($Y$4:$AJ$4, "RDEC", Y685:AJ685), "")</f>
        <v>0</v>
      </c>
      <c r="AL685" s="286" t="n">
        <f aca="false">IFERROR(SUMIF($Y$4:$AJ$4, "SME", Y685:AJ685), "")</f>
        <v>0</v>
      </c>
      <c r="AM685" s="286" t="n">
        <f aca="false">IFERROR(SUMIF($Y$4:$AJ$4, "De Minimis", Y685:AJ685), "")</f>
        <v>0</v>
      </c>
      <c r="AN685" s="283"/>
      <c r="AO685" s="284" t="n">
        <f aca="false">IFERROR($G685*$J685*L685, "")</f>
        <v>0</v>
      </c>
      <c r="AP685" s="284" t="n">
        <f aca="false">IFERROR($G685*$J685*M685, "")</f>
        <v>0</v>
      </c>
      <c r="AQ685" s="284" t="n">
        <f aca="false">IFERROR($G685*$J685*N685, "")</f>
        <v>0</v>
      </c>
      <c r="AR685" s="284" t="n">
        <f aca="false">IFERROR($G685*$J685*O685, "")</f>
        <v>0</v>
      </c>
      <c r="AS685" s="284" t="n">
        <f aca="false">IFERROR($G685*$J685*P685, "")</f>
        <v>0</v>
      </c>
      <c r="AT685" s="284" t="n">
        <f aca="false">IFERROR($G685*$J685*Q685, "")</f>
        <v>0</v>
      </c>
      <c r="AU685" s="284" t="n">
        <f aca="false">IFERROR($G685*$J685*R685, "")</f>
        <v>0</v>
      </c>
      <c r="AV685" s="284" t="n">
        <f aca="false">IFERROR($G685*$J685*S685, "")</f>
        <v>0</v>
      </c>
      <c r="AW685" s="284" t="n">
        <f aca="false">IFERROR($G685*$J685*T685, "")</f>
        <v>0</v>
      </c>
      <c r="AX685" s="284" t="n">
        <f aca="false">IFERROR($G685*$J685*U685, "")</f>
        <v>0</v>
      </c>
      <c r="AY685" s="284" t="n">
        <f aca="false">IFERROR($G685*$J685*V685, "")</f>
        <v>0</v>
      </c>
      <c r="AZ685" s="284" t="n">
        <f aca="false">IFERROR($G685*$J685*W685, "")</f>
        <v>0</v>
      </c>
      <c r="BA685" s="286" t="n">
        <f aca="false">IFERROR(SUMIF($AO$4:$AZ$4, "RDEC", AO685:AZ685), "")</f>
        <v>0</v>
      </c>
      <c r="BB685" s="286" t="n">
        <f aca="false">IFERROR(SUMIF($AO$4:$AZ$4, "SME", AO685:AZ685), "")</f>
        <v>0</v>
      </c>
      <c r="BC685" s="286" t="n">
        <f aca="false">IFERROR(SUMIF($Y$4:$AJ$4, "De Minimis", AO685:AZ685), "")</f>
        <v>0</v>
      </c>
      <c r="BD685" s="287"/>
      <c r="BE685" s="288" t="str">
        <f aca="false">IF((SUM(L685:W685)&gt;1),"ERROR","")</f>
        <v/>
      </c>
    </row>
    <row r="686" customFormat="false" ht="15" hidden="false" customHeight="true" outlineLevel="0" collapsed="false">
      <c r="B686" s="333"/>
      <c r="C686" s="334"/>
      <c r="D686" s="333" t="n">
        <f aca="false">D670</f>
        <v>45444</v>
      </c>
      <c r="E686" s="277" t="n">
        <v>0</v>
      </c>
      <c r="F686" s="277" t="n">
        <v>0</v>
      </c>
      <c r="G686" s="277" t="n">
        <f aca="false">SUM(E686:F686)</f>
        <v>0</v>
      </c>
      <c r="H686" s="204"/>
      <c r="I686" s="279" t="n">
        <v>1</v>
      </c>
      <c r="J686" s="280" t="n">
        <f aca="false">1-I686</f>
        <v>0</v>
      </c>
      <c r="K686" s="277"/>
      <c r="L686" s="282"/>
      <c r="M686" s="282"/>
      <c r="N686" s="282"/>
      <c r="O686" s="282"/>
      <c r="P686" s="282"/>
      <c r="Q686" s="282"/>
      <c r="R686" s="282"/>
      <c r="S686" s="282"/>
      <c r="T686" s="282"/>
      <c r="U686" s="282"/>
      <c r="V686" s="282"/>
      <c r="W686" s="282"/>
      <c r="X686" s="283"/>
      <c r="Y686" s="284" t="n">
        <f aca="false">IFERROR(L686*$G686*I$9, "")</f>
        <v>0</v>
      </c>
      <c r="Z686" s="284" t="n">
        <f aca="false">IFERROR(M686*$G686*$I686, "")</f>
        <v>0</v>
      </c>
      <c r="AA686" s="284" t="n">
        <f aca="false">IFERROR(N686*$G686*$I686, "")</f>
        <v>0</v>
      </c>
      <c r="AB686" s="284" t="n">
        <f aca="false">IFERROR(O686*$G686*$I686, "")</f>
        <v>0</v>
      </c>
      <c r="AC686" s="284" t="n">
        <f aca="false">IFERROR(P686*$G686*$I686, "")</f>
        <v>0</v>
      </c>
      <c r="AD686" s="284" t="n">
        <f aca="false">IFERROR(Q686*$G686*$I686, "")</f>
        <v>0</v>
      </c>
      <c r="AE686" s="284" t="n">
        <f aca="false">IFERROR(R686*$G686*$I686, "")</f>
        <v>0</v>
      </c>
      <c r="AF686" s="284" t="n">
        <f aca="false">IFERROR(S686*$G686*$I686, "")</f>
        <v>0</v>
      </c>
      <c r="AG686" s="284" t="n">
        <f aca="false">IFERROR(T686*$G686*$I686, "")</f>
        <v>0</v>
      </c>
      <c r="AH686" s="284" t="n">
        <f aca="false">IFERROR(U686*$G686*$I686, "")</f>
        <v>0</v>
      </c>
      <c r="AI686" s="284" t="n">
        <f aca="false">IFERROR(V686*$G686*$I686, "")</f>
        <v>0</v>
      </c>
      <c r="AJ686" s="284" t="n">
        <f aca="false">IFERROR(W686*$G686*$I686, "")</f>
        <v>0</v>
      </c>
      <c r="AK686" s="286" t="n">
        <f aca="false">IFERROR(SUMIF($Y$4:$AJ$4, "RDEC", Y686:AJ686), "")</f>
        <v>0</v>
      </c>
      <c r="AL686" s="286" t="n">
        <f aca="false">IFERROR(SUMIF($Y$4:$AJ$4, "SME", Y686:AJ686), "")</f>
        <v>0</v>
      </c>
      <c r="AM686" s="286" t="n">
        <f aca="false">IFERROR(SUMIF($Y$4:$AJ$4, "De Minimis", Y686:AJ686), "")</f>
        <v>0</v>
      </c>
      <c r="AN686" s="283"/>
      <c r="AO686" s="284" t="n">
        <f aca="false">IFERROR($G686*$J686*L686, "")</f>
        <v>0</v>
      </c>
      <c r="AP686" s="284" t="n">
        <f aca="false">IFERROR($G686*$J686*M686, "")</f>
        <v>0</v>
      </c>
      <c r="AQ686" s="284" t="n">
        <f aca="false">IFERROR($G686*$J686*N686, "")</f>
        <v>0</v>
      </c>
      <c r="AR686" s="284" t="n">
        <f aca="false">IFERROR($G686*$J686*O686, "")</f>
        <v>0</v>
      </c>
      <c r="AS686" s="284" t="n">
        <f aca="false">IFERROR($G686*$J686*P686, "")</f>
        <v>0</v>
      </c>
      <c r="AT686" s="284" t="n">
        <f aca="false">IFERROR($G686*$J686*Q686, "")</f>
        <v>0</v>
      </c>
      <c r="AU686" s="284" t="n">
        <f aca="false">IFERROR($G686*$J686*R686, "")</f>
        <v>0</v>
      </c>
      <c r="AV686" s="284" t="n">
        <f aca="false">IFERROR($G686*$J686*S686, "")</f>
        <v>0</v>
      </c>
      <c r="AW686" s="284" t="n">
        <f aca="false">IFERROR($G686*$J686*T686, "")</f>
        <v>0</v>
      </c>
      <c r="AX686" s="284" t="n">
        <f aca="false">IFERROR($G686*$J686*U686, "")</f>
        <v>0</v>
      </c>
      <c r="AY686" s="284" t="n">
        <f aca="false">IFERROR($G686*$J686*V686, "")</f>
        <v>0</v>
      </c>
      <c r="AZ686" s="284" t="n">
        <f aca="false">IFERROR($G686*$J686*W686, "")</f>
        <v>0</v>
      </c>
      <c r="BA686" s="286" t="n">
        <f aca="false">IFERROR(SUMIF($AO$4:$AZ$4, "RDEC", AO686:AZ686), "")</f>
        <v>0</v>
      </c>
      <c r="BB686" s="286" t="n">
        <f aca="false">IFERROR(SUMIF($AO$4:$AZ$4, "SME", AO686:AZ686), "")</f>
        <v>0</v>
      </c>
      <c r="BC686" s="286" t="n">
        <f aca="false">IFERROR(SUMIF($Y$4:$AJ$4, "De Minimis", AO686:AZ686), "")</f>
        <v>0</v>
      </c>
      <c r="BD686" s="287"/>
      <c r="BE686" s="288" t="str">
        <f aca="false">IF((SUM(L686:W686)&gt;1),"ERROR","")</f>
        <v/>
      </c>
    </row>
    <row r="687" customFormat="false" ht="15" hidden="false" customHeight="true" outlineLevel="0" collapsed="false">
      <c r="B687" s="333"/>
      <c r="C687" s="334"/>
      <c r="D687" s="333" t="n">
        <f aca="false">D671</f>
        <v>45474</v>
      </c>
      <c r="E687" s="277" t="n">
        <v>0</v>
      </c>
      <c r="F687" s="277" t="n">
        <v>0</v>
      </c>
      <c r="G687" s="277" t="n">
        <f aca="false">SUM(E687:F687)</f>
        <v>0</v>
      </c>
      <c r="H687" s="204"/>
      <c r="I687" s="279" t="n">
        <v>1</v>
      </c>
      <c r="J687" s="280" t="n">
        <f aca="false">1-I687</f>
        <v>0</v>
      </c>
      <c r="K687" s="277"/>
      <c r="L687" s="282"/>
      <c r="M687" s="282"/>
      <c r="N687" s="282"/>
      <c r="O687" s="282"/>
      <c r="P687" s="282"/>
      <c r="Q687" s="282"/>
      <c r="R687" s="282"/>
      <c r="S687" s="282"/>
      <c r="T687" s="282"/>
      <c r="U687" s="282"/>
      <c r="V687" s="282"/>
      <c r="W687" s="282"/>
      <c r="X687" s="283"/>
      <c r="Y687" s="284" t="n">
        <f aca="false">IFERROR(L687*$G687*I$9, "")</f>
        <v>0</v>
      </c>
      <c r="Z687" s="284" t="n">
        <f aca="false">IFERROR(M687*$G687*$I687, "")</f>
        <v>0</v>
      </c>
      <c r="AA687" s="284" t="n">
        <f aca="false">IFERROR(N687*$G687*$I687, "")</f>
        <v>0</v>
      </c>
      <c r="AB687" s="284" t="n">
        <f aca="false">IFERROR(O687*$G687*$I687, "")</f>
        <v>0</v>
      </c>
      <c r="AC687" s="284" t="n">
        <f aca="false">IFERROR(P687*$G687*$I687, "")</f>
        <v>0</v>
      </c>
      <c r="AD687" s="284" t="n">
        <f aca="false">IFERROR(Q687*$G687*$I687, "")</f>
        <v>0</v>
      </c>
      <c r="AE687" s="284" t="n">
        <f aca="false">IFERROR(R687*$G687*$I687, "")</f>
        <v>0</v>
      </c>
      <c r="AF687" s="284" t="n">
        <f aca="false">IFERROR(S687*$G687*$I687, "")</f>
        <v>0</v>
      </c>
      <c r="AG687" s="284" t="n">
        <f aca="false">IFERROR(T687*$G687*$I687, "")</f>
        <v>0</v>
      </c>
      <c r="AH687" s="284" t="n">
        <f aca="false">IFERROR(U687*$G687*$I687, "")</f>
        <v>0</v>
      </c>
      <c r="AI687" s="284" t="n">
        <f aca="false">IFERROR(V687*$G687*$I687, "")</f>
        <v>0</v>
      </c>
      <c r="AJ687" s="284" t="n">
        <f aca="false">IFERROR(W687*$G687*$I687, "")</f>
        <v>0</v>
      </c>
      <c r="AK687" s="286" t="n">
        <f aca="false">IFERROR(SUMIF($Y$4:$AJ$4, "RDEC", Y687:AJ687), "")</f>
        <v>0</v>
      </c>
      <c r="AL687" s="286" t="n">
        <f aca="false">IFERROR(SUMIF($Y$4:$AJ$4, "SME", Y687:AJ687), "")</f>
        <v>0</v>
      </c>
      <c r="AM687" s="286" t="n">
        <f aca="false">IFERROR(SUMIF($Y$4:$AJ$4, "De Minimis", Y687:AJ687), "")</f>
        <v>0</v>
      </c>
      <c r="AN687" s="283"/>
      <c r="AO687" s="284" t="n">
        <f aca="false">IFERROR($G687*$J687*L687, "")</f>
        <v>0</v>
      </c>
      <c r="AP687" s="284" t="n">
        <f aca="false">IFERROR($G687*$J687*M687, "")</f>
        <v>0</v>
      </c>
      <c r="AQ687" s="284" t="n">
        <f aca="false">IFERROR($G687*$J687*N687, "")</f>
        <v>0</v>
      </c>
      <c r="AR687" s="284" t="n">
        <f aca="false">IFERROR($G687*$J687*O687, "")</f>
        <v>0</v>
      </c>
      <c r="AS687" s="284" t="n">
        <f aca="false">IFERROR($G687*$J687*P687, "")</f>
        <v>0</v>
      </c>
      <c r="AT687" s="284" t="n">
        <f aca="false">IFERROR($G687*$J687*Q687, "")</f>
        <v>0</v>
      </c>
      <c r="AU687" s="284" t="n">
        <f aca="false">IFERROR($G687*$J687*R687, "")</f>
        <v>0</v>
      </c>
      <c r="AV687" s="284" t="n">
        <f aca="false">IFERROR($G687*$J687*S687, "")</f>
        <v>0</v>
      </c>
      <c r="AW687" s="284" t="n">
        <f aca="false">IFERROR($G687*$J687*T687, "")</f>
        <v>0</v>
      </c>
      <c r="AX687" s="284" t="n">
        <f aca="false">IFERROR($G687*$J687*U687, "")</f>
        <v>0</v>
      </c>
      <c r="AY687" s="284" t="n">
        <f aca="false">IFERROR($G687*$J687*V687, "")</f>
        <v>0</v>
      </c>
      <c r="AZ687" s="284" t="n">
        <f aca="false">IFERROR($G687*$J687*W687, "")</f>
        <v>0</v>
      </c>
      <c r="BA687" s="286" t="n">
        <f aca="false">IFERROR(SUMIF($AO$4:$AZ$4, "RDEC", AO687:AZ687), "")</f>
        <v>0</v>
      </c>
      <c r="BB687" s="286" t="n">
        <f aca="false">IFERROR(SUMIF($AO$4:$AZ$4, "SME", AO687:AZ687), "")</f>
        <v>0</v>
      </c>
      <c r="BC687" s="286" t="n">
        <f aca="false">IFERROR(SUMIF($Y$4:$AJ$4, "De Minimis", AO687:AZ687), "")</f>
        <v>0</v>
      </c>
      <c r="BD687" s="287"/>
      <c r="BE687" s="288" t="str">
        <f aca="false">IF((SUM(L687:W687)&gt;1),"ERROR","")</f>
        <v/>
      </c>
    </row>
    <row r="688" customFormat="false" ht="15" hidden="false" customHeight="true" outlineLevel="0" collapsed="false">
      <c r="B688" s="333"/>
      <c r="C688" s="334"/>
      <c r="D688" s="333" t="n">
        <f aca="false">D672</f>
        <v>45505</v>
      </c>
      <c r="E688" s="277" t="n">
        <v>0</v>
      </c>
      <c r="F688" s="277" t="n">
        <v>0</v>
      </c>
      <c r="G688" s="277" t="n">
        <f aca="false">SUM(E688:F688)</f>
        <v>0</v>
      </c>
      <c r="H688" s="204"/>
      <c r="I688" s="279" t="n">
        <v>1</v>
      </c>
      <c r="J688" s="280" t="n">
        <f aca="false">1-I688</f>
        <v>0</v>
      </c>
      <c r="K688" s="277"/>
      <c r="L688" s="282"/>
      <c r="M688" s="282"/>
      <c r="N688" s="282"/>
      <c r="O688" s="282"/>
      <c r="P688" s="282"/>
      <c r="Q688" s="282"/>
      <c r="R688" s="282"/>
      <c r="S688" s="282"/>
      <c r="T688" s="282"/>
      <c r="U688" s="282"/>
      <c r="V688" s="282"/>
      <c r="W688" s="282"/>
      <c r="X688" s="283"/>
      <c r="Y688" s="284" t="n">
        <f aca="false">IFERROR(L688*$G688*I$9, "")</f>
        <v>0</v>
      </c>
      <c r="Z688" s="284" t="n">
        <f aca="false">IFERROR(M688*$G688*$I688, "")</f>
        <v>0</v>
      </c>
      <c r="AA688" s="284" t="n">
        <f aca="false">IFERROR(N688*$G688*$I688, "")</f>
        <v>0</v>
      </c>
      <c r="AB688" s="284" t="n">
        <f aca="false">IFERROR(O688*$G688*$I688, "")</f>
        <v>0</v>
      </c>
      <c r="AC688" s="284" t="n">
        <f aca="false">IFERROR(P688*$G688*$I688, "")</f>
        <v>0</v>
      </c>
      <c r="AD688" s="284" t="n">
        <f aca="false">IFERROR(Q688*$G688*$I688, "")</f>
        <v>0</v>
      </c>
      <c r="AE688" s="284" t="n">
        <f aca="false">IFERROR(R688*$G688*$I688, "")</f>
        <v>0</v>
      </c>
      <c r="AF688" s="284" t="n">
        <f aca="false">IFERROR(S688*$G688*$I688, "")</f>
        <v>0</v>
      </c>
      <c r="AG688" s="284" t="n">
        <f aca="false">IFERROR(T688*$G688*$I688, "")</f>
        <v>0</v>
      </c>
      <c r="AH688" s="284" t="n">
        <f aca="false">IFERROR(U688*$G688*$I688, "")</f>
        <v>0</v>
      </c>
      <c r="AI688" s="284" t="n">
        <f aca="false">IFERROR(V688*$G688*$I688, "")</f>
        <v>0</v>
      </c>
      <c r="AJ688" s="284" t="n">
        <f aca="false">IFERROR(W688*$G688*$I688, "")</f>
        <v>0</v>
      </c>
      <c r="AK688" s="286" t="n">
        <f aca="false">IFERROR(SUMIF($Y$4:$AJ$4, "RDEC", Y688:AJ688), "")</f>
        <v>0</v>
      </c>
      <c r="AL688" s="286" t="n">
        <f aca="false">IFERROR(SUMIF($Y$4:$AJ$4, "SME", Y688:AJ688), "")</f>
        <v>0</v>
      </c>
      <c r="AM688" s="286" t="n">
        <f aca="false">IFERROR(SUMIF($Y$4:$AJ$4, "De Minimis", Y688:AJ688), "")</f>
        <v>0</v>
      </c>
      <c r="AN688" s="283"/>
      <c r="AO688" s="284" t="n">
        <f aca="false">IFERROR($G688*$J688*L688, "")</f>
        <v>0</v>
      </c>
      <c r="AP688" s="284" t="n">
        <f aca="false">IFERROR($G688*$J688*M688, "")</f>
        <v>0</v>
      </c>
      <c r="AQ688" s="284" t="n">
        <f aca="false">IFERROR($G688*$J688*N688, "")</f>
        <v>0</v>
      </c>
      <c r="AR688" s="284" t="n">
        <f aca="false">IFERROR($G688*$J688*O688, "")</f>
        <v>0</v>
      </c>
      <c r="AS688" s="284" t="n">
        <f aca="false">IFERROR($G688*$J688*P688, "")</f>
        <v>0</v>
      </c>
      <c r="AT688" s="284" t="n">
        <f aca="false">IFERROR($G688*$J688*Q688, "")</f>
        <v>0</v>
      </c>
      <c r="AU688" s="284" t="n">
        <f aca="false">IFERROR($G688*$J688*R688, "")</f>
        <v>0</v>
      </c>
      <c r="AV688" s="284" t="n">
        <f aca="false">IFERROR($G688*$J688*S688, "")</f>
        <v>0</v>
      </c>
      <c r="AW688" s="284" t="n">
        <f aca="false">IFERROR($G688*$J688*T688, "")</f>
        <v>0</v>
      </c>
      <c r="AX688" s="284" t="n">
        <f aca="false">IFERROR($G688*$J688*U688, "")</f>
        <v>0</v>
      </c>
      <c r="AY688" s="284" t="n">
        <f aca="false">IFERROR($G688*$J688*V688, "")</f>
        <v>0</v>
      </c>
      <c r="AZ688" s="284" t="n">
        <f aca="false">IFERROR($G688*$J688*W688, "")</f>
        <v>0</v>
      </c>
      <c r="BA688" s="286" t="n">
        <f aca="false">IFERROR(SUMIF($AO$4:$AZ$4, "RDEC", AO688:AZ688), "")</f>
        <v>0</v>
      </c>
      <c r="BB688" s="286" t="n">
        <f aca="false">IFERROR(SUMIF($AO$4:$AZ$4, "SME", AO688:AZ688), "")</f>
        <v>0</v>
      </c>
      <c r="BC688" s="286" t="n">
        <f aca="false">IFERROR(SUMIF($Y$4:$AJ$4, "De Minimis", AO688:AZ688), "")</f>
        <v>0</v>
      </c>
      <c r="BD688" s="287"/>
      <c r="BE688" s="288" t="str">
        <f aca="false">IF((SUM(L688:W688)&gt;1),"ERROR","")</f>
        <v/>
      </c>
    </row>
    <row r="689" customFormat="false" ht="15" hidden="false" customHeight="true" outlineLevel="0" collapsed="false">
      <c r="B689" s="333"/>
      <c r="C689" s="334"/>
      <c r="D689" s="333" t="n">
        <f aca="false">D673</f>
        <v>45536</v>
      </c>
      <c r="E689" s="277" t="n">
        <v>0</v>
      </c>
      <c r="F689" s="277" t="n">
        <v>0</v>
      </c>
      <c r="G689" s="277" t="n">
        <f aca="false">SUM(E689:F689)</f>
        <v>0</v>
      </c>
      <c r="H689" s="204"/>
      <c r="I689" s="279" t="n">
        <v>1</v>
      </c>
      <c r="J689" s="280" t="n">
        <f aca="false">1-I689</f>
        <v>0</v>
      </c>
      <c r="K689" s="277"/>
      <c r="L689" s="282"/>
      <c r="M689" s="282"/>
      <c r="N689" s="282"/>
      <c r="O689" s="282"/>
      <c r="P689" s="282"/>
      <c r="Q689" s="282"/>
      <c r="R689" s="282"/>
      <c r="S689" s="282"/>
      <c r="T689" s="282"/>
      <c r="U689" s="282"/>
      <c r="V689" s="282"/>
      <c r="W689" s="282"/>
      <c r="X689" s="283"/>
      <c r="Y689" s="284" t="n">
        <f aca="false">IFERROR(L689*$G689*I$9, "")</f>
        <v>0</v>
      </c>
      <c r="Z689" s="284" t="n">
        <f aca="false">IFERROR(M689*$G689*$I689, "")</f>
        <v>0</v>
      </c>
      <c r="AA689" s="284" t="n">
        <f aca="false">IFERROR(N689*$G689*$I689, "")</f>
        <v>0</v>
      </c>
      <c r="AB689" s="284" t="n">
        <f aca="false">IFERROR(O689*$G689*$I689, "")</f>
        <v>0</v>
      </c>
      <c r="AC689" s="284" t="n">
        <f aca="false">IFERROR(P689*$G689*$I689, "")</f>
        <v>0</v>
      </c>
      <c r="AD689" s="284" t="n">
        <f aca="false">IFERROR(Q689*$G689*$I689, "")</f>
        <v>0</v>
      </c>
      <c r="AE689" s="284" t="n">
        <f aca="false">IFERROR(R689*$G689*$I689, "")</f>
        <v>0</v>
      </c>
      <c r="AF689" s="284" t="n">
        <f aca="false">IFERROR(S689*$G689*$I689, "")</f>
        <v>0</v>
      </c>
      <c r="AG689" s="284" t="n">
        <f aca="false">IFERROR(T689*$G689*$I689, "")</f>
        <v>0</v>
      </c>
      <c r="AH689" s="284" t="n">
        <f aca="false">IFERROR(U689*$G689*$I689, "")</f>
        <v>0</v>
      </c>
      <c r="AI689" s="284" t="n">
        <f aca="false">IFERROR(V689*$G689*$I689, "")</f>
        <v>0</v>
      </c>
      <c r="AJ689" s="284" t="n">
        <f aca="false">IFERROR(W689*$G689*$I689, "")</f>
        <v>0</v>
      </c>
      <c r="AK689" s="286" t="n">
        <f aca="false">IFERROR(SUMIF($Y$4:$AJ$4, "RDEC", Y689:AJ689), "")</f>
        <v>0</v>
      </c>
      <c r="AL689" s="286" t="n">
        <f aca="false">IFERROR(SUMIF($Y$4:$AJ$4, "SME", Y689:AJ689), "")</f>
        <v>0</v>
      </c>
      <c r="AM689" s="286" t="n">
        <f aca="false">IFERROR(SUMIF($Y$4:$AJ$4, "De Minimis", Y689:AJ689), "")</f>
        <v>0</v>
      </c>
      <c r="AN689" s="283"/>
      <c r="AO689" s="284" t="n">
        <f aca="false">IFERROR($G689*$J689*L689, "")</f>
        <v>0</v>
      </c>
      <c r="AP689" s="284" t="n">
        <f aca="false">IFERROR($G689*$J689*M689, "")</f>
        <v>0</v>
      </c>
      <c r="AQ689" s="284" t="n">
        <f aca="false">IFERROR($G689*$J689*N689, "")</f>
        <v>0</v>
      </c>
      <c r="AR689" s="284" t="n">
        <f aca="false">IFERROR($G689*$J689*O689, "")</f>
        <v>0</v>
      </c>
      <c r="AS689" s="284" t="n">
        <f aca="false">IFERROR($G689*$J689*P689, "")</f>
        <v>0</v>
      </c>
      <c r="AT689" s="284" t="n">
        <f aca="false">IFERROR($G689*$J689*Q689, "")</f>
        <v>0</v>
      </c>
      <c r="AU689" s="284" t="n">
        <f aca="false">IFERROR($G689*$J689*R689, "")</f>
        <v>0</v>
      </c>
      <c r="AV689" s="284" t="n">
        <f aca="false">IFERROR($G689*$J689*S689, "")</f>
        <v>0</v>
      </c>
      <c r="AW689" s="284" t="n">
        <f aca="false">IFERROR($G689*$J689*T689, "")</f>
        <v>0</v>
      </c>
      <c r="AX689" s="284" t="n">
        <f aca="false">IFERROR($G689*$J689*U689, "")</f>
        <v>0</v>
      </c>
      <c r="AY689" s="284" t="n">
        <f aca="false">IFERROR($G689*$J689*V689, "")</f>
        <v>0</v>
      </c>
      <c r="AZ689" s="284" t="n">
        <f aca="false">IFERROR($G689*$J689*W689, "")</f>
        <v>0</v>
      </c>
      <c r="BA689" s="286" t="n">
        <f aca="false">IFERROR(SUMIF($AO$4:$AZ$4, "RDEC", AO689:AZ689), "")</f>
        <v>0</v>
      </c>
      <c r="BB689" s="286" t="n">
        <f aca="false">IFERROR(SUMIF($AO$4:$AZ$4, "SME", AO689:AZ689), "")</f>
        <v>0</v>
      </c>
      <c r="BC689" s="286" t="n">
        <f aca="false">IFERROR(SUMIF($Y$4:$AJ$4, "De Minimis", AO689:AZ689), "")</f>
        <v>0</v>
      </c>
      <c r="BD689" s="287"/>
      <c r="BE689" s="288" t="str">
        <f aca="false">IF((SUM(L689:W689)&gt;1),"ERROR","")</f>
        <v/>
      </c>
    </row>
    <row r="690" customFormat="false" ht="15" hidden="false" customHeight="true" outlineLevel="0" collapsed="false">
      <c r="B690" s="333"/>
      <c r="C690" s="334"/>
      <c r="D690" s="333" t="n">
        <f aca="false">D674</f>
        <v>45566</v>
      </c>
      <c r="E690" s="277" t="n">
        <v>0</v>
      </c>
      <c r="F690" s="277" t="n">
        <v>0</v>
      </c>
      <c r="G690" s="277" t="n">
        <f aca="false">SUM(E690:F690)</f>
        <v>0</v>
      </c>
      <c r="H690" s="204"/>
      <c r="I690" s="279" t="n">
        <v>1</v>
      </c>
      <c r="J690" s="280" t="n">
        <f aca="false">1-I690</f>
        <v>0</v>
      </c>
      <c r="K690" s="277"/>
      <c r="L690" s="282"/>
      <c r="M690" s="282"/>
      <c r="N690" s="282"/>
      <c r="O690" s="282"/>
      <c r="P690" s="282"/>
      <c r="Q690" s="282"/>
      <c r="R690" s="282"/>
      <c r="S690" s="282"/>
      <c r="T690" s="282"/>
      <c r="U690" s="282"/>
      <c r="V690" s="282"/>
      <c r="W690" s="282"/>
      <c r="X690" s="283"/>
      <c r="Y690" s="284" t="n">
        <f aca="false">IFERROR(L690*$G690*I$9, "")</f>
        <v>0</v>
      </c>
      <c r="Z690" s="284" t="n">
        <f aca="false">IFERROR(M690*$G690*$I690, "")</f>
        <v>0</v>
      </c>
      <c r="AA690" s="284" t="n">
        <f aca="false">IFERROR(N690*$G690*$I690, "")</f>
        <v>0</v>
      </c>
      <c r="AB690" s="284" t="n">
        <f aca="false">IFERROR(O690*$G690*$I690, "")</f>
        <v>0</v>
      </c>
      <c r="AC690" s="284" t="n">
        <f aca="false">IFERROR(P690*$G690*$I690, "")</f>
        <v>0</v>
      </c>
      <c r="AD690" s="284" t="n">
        <f aca="false">IFERROR(Q690*$G690*$I690, "")</f>
        <v>0</v>
      </c>
      <c r="AE690" s="284" t="n">
        <f aca="false">IFERROR(R690*$G690*$I690, "")</f>
        <v>0</v>
      </c>
      <c r="AF690" s="284" t="n">
        <f aca="false">IFERROR(S690*$G690*$I690, "")</f>
        <v>0</v>
      </c>
      <c r="AG690" s="284" t="n">
        <f aca="false">IFERROR(T690*$G690*$I690, "")</f>
        <v>0</v>
      </c>
      <c r="AH690" s="284" t="n">
        <f aca="false">IFERROR(U690*$G690*$I690, "")</f>
        <v>0</v>
      </c>
      <c r="AI690" s="284" t="n">
        <f aca="false">IFERROR(V690*$G690*$I690, "")</f>
        <v>0</v>
      </c>
      <c r="AJ690" s="284" t="n">
        <f aca="false">IFERROR(W690*$G690*$I690, "")</f>
        <v>0</v>
      </c>
      <c r="AK690" s="286" t="n">
        <f aca="false">IFERROR(SUMIF($Y$4:$AJ$4, "RDEC", Y690:AJ690), "")</f>
        <v>0</v>
      </c>
      <c r="AL690" s="286" t="n">
        <f aca="false">IFERROR(SUMIF($Y$4:$AJ$4, "SME", Y690:AJ690), "")</f>
        <v>0</v>
      </c>
      <c r="AM690" s="286" t="n">
        <f aca="false">IFERROR(SUMIF($Y$4:$AJ$4, "De Minimis", Y690:AJ690), "")</f>
        <v>0</v>
      </c>
      <c r="AN690" s="283"/>
      <c r="AO690" s="284" t="n">
        <f aca="false">IFERROR($G690*$J690*L690, "")</f>
        <v>0</v>
      </c>
      <c r="AP690" s="284" t="n">
        <f aca="false">IFERROR($G690*$J690*M690, "")</f>
        <v>0</v>
      </c>
      <c r="AQ690" s="284" t="n">
        <f aca="false">IFERROR($G690*$J690*N690, "")</f>
        <v>0</v>
      </c>
      <c r="AR690" s="284" t="n">
        <f aca="false">IFERROR($G690*$J690*O690, "")</f>
        <v>0</v>
      </c>
      <c r="AS690" s="284" t="n">
        <f aca="false">IFERROR($G690*$J690*P690, "")</f>
        <v>0</v>
      </c>
      <c r="AT690" s="284" t="n">
        <f aca="false">IFERROR($G690*$J690*Q690, "")</f>
        <v>0</v>
      </c>
      <c r="AU690" s="284" t="n">
        <f aca="false">IFERROR($G690*$J690*R690, "")</f>
        <v>0</v>
      </c>
      <c r="AV690" s="284" t="n">
        <f aca="false">IFERROR($G690*$J690*S690, "")</f>
        <v>0</v>
      </c>
      <c r="AW690" s="284" t="n">
        <f aca="false">IFERROR($G690*$J690*T690, "")</f>
        <v>0</v>
      </c>
      <c r="AX690" s="284" t="n">
        <f aca="false">IFERROR($G690*$J690*U690, "")</f>
        <v>0</v>
      </c>
      <c r="AY690" s="284" t="n">
        <f aca="false">IFERROR($G690*$J690*V690, "")</f>
        <v>0</v>
      </c>
      <c r="AZ690" s="284" t="n">
        <f aca="false">IFERROR($G690*$J690*W690, "")</f>
        <v>0</v>
      </c>
      <c r="BA690" s="286" t="n">
        <f aca="false">IFERROR(SUMIF($AO$4:$AZ$4, "RDEC", AO690:AZ690), "")</f>
        <v>0</v>
      </c>
      <c r="BB690" s="286" t="n">
        <f aca="false">IFERROR(SUMIF($AO$4:$AZ$4, "SME", AO690:AZ690), "")</f>
        <v>0</v>
      </c>
      <c r="BC690" s="286" t="n">
        <f aca="false">IFERROR(SUMIF($Y$4:$AJ$4, "De Minimis", AO690:AZ690), "")</f>
        <v>0</v>
      </c>
      <c r="BD690" s="287"/>
      <c r="BE690" s="288" t="str">
        <f aca="false">IF((SUM(L690:W690)&gt;1),"ERROR","")</f>
        <v/>
      </c>
    </row>
    <row r="691" customFormat="false" ht="15" hidden="false" customHeight="true" outlineLevel="0" collapsed="false">
      <c r="B691" s="333"/>
      <c r="C691" s="334"/>
      <c r="D691" s="333" t="n">
        <f aca="false">D675</f>
        <v>45597</v>
      </c>
      <c r="E691" s="277" t="n">
        <v>0</v>
      </c>
      <c r="F691" s="277" t="n">
        <v>0</v>
      </c>
      <c r="G691" s="277" t="n">
        <f aca="false">SUM(E691:F691)</f>
        <v>0</v>
      </c>
      <c r="H691" s="204"/>
      <c r="I691" s="279" t="n">
        <v>1</v>
      </c>
      <c r="J691" s="280" t="n">
        <f aca="false">1-I691</f>
        <v>0</v>
      </c>
      <c r="K691" s="277"/>
      <c r="L691" s="282"/>
      <c r="M691" s="282"/>
      <c r="N691" s="282"/>
      <c r="O691" s="282"/>
      <c r="P691" s="282"/>
      <c r="Q691" s="282"/>
      <c r="R691" s="282"/>
      <c r="S691" s="282"/>
      <c r="T691" s="282"/>
      <c r="U691" s="282"/>
      <c r="V691" s="282"/>
      <c r="W691" s="282"/>
      <c r="X691" s="283"/>
      <c r="Y691" s="284" t="n">
        <f aca="false">IFERROR(L691*$G691*I$9, "")</f>
        <v>0</v>
      </c>
      <c r="Z691" s="284" t="n">
        <f aca="false">IFERROR(M691*$G691*$I691, "")</f>
        <v>0</v>
      </c>
      <c r="AA691" s="284" t="n">
        <f aca="false">IFERROR(N691*$G691*$I691, "")</f>
        <v>0</v>
      </c>
      <c r="AB691" s="284" t="n">
        <f aca="false">IFERROR(O691*$G691*$I691, "")</f>
        <v>0</v>
      </c>
      <c r="AC691" s="284" t="n">
        <f aca="false">IFERROR(P691*$G691*$I691, "")</f>
        <v>0</v>
      </c>
      <c r="AD691" s="284" t="n">
        <f aca="false">IFERROR(Q691*$G691*$I691, "")</f>
        <v>0</v>
      </c>
      <c r="AE691" s="284" t="n">
        <f aca="false">IFERROR(R691*$G691*$I691, "")</f>
        <v>0</v>
      </c>
      <c r="AF691" s="284" t="n">
        <f aca="false">IFERROR(S691*$G691*$I691, "")</f>
        <v>0</v>
      </c>
      <c r="AG691" s="284" t="n">
        <f aca="false">IFERROR(T691*$G691*$I691, "")</f>
        <v>0</v>
      </c>
      <c r="AH691" s="284" t="n">
        <f aca="false">IFERROR(U691*$G691*$I691, "")</f>
        <v>0</v>
      </c>
      <c r="AI691" s="284" t="n">
        <f aca="false">IFERROR(V691*$G691*$I691, "")</f>
        <v>0</v>
      </c>
      <c r="AJ691" s="284" t="n">
        <f aca="false">IFERROR(W691*$G691*$I691, "")</f>
        <v>0</v>
      </c>
      <c r="AK691" s="286" t="n">
        <f aca="false">IFERROR(SUMIF($Y$4:$AJ$4, "RDEC", Y691:AJ691), "")</f>
        <v>0</v>
      </c>
      <c r="AL691" s="286" t="n">
        <f aca="false">IFERROR(SUMIF($Y$4:$AJ$4, "SME", Y691:AJ691), "")</f>
        <v>0</v>
      </c>
      <c r="AM691" s="286" t="n">
        <f aca="false">IFERROR(SUMIF($Y$4:$AJ$4, "De Minimis", Y691:AJ691), "")</f>
        <v>0</v>
      </c>
      <c r="AN691" s="283"/>
      <c r="AO691" s="284" t="n">
        <f aca="false">IFERROR($G691*$J691*L691, "")</f>
        <v>0</v>
      </c>
      <c r="AP691" s="284" t="n">
        <f aca="false">IFERROR($G691*$J691*M691, "")</f>
        <v>0</v>
      </c>
      <c r="AQ691" s="284" t="n">
        <f aca="false">IFERROR($G691*$J691*N691, "")</f>
        <v>0</v>
      </c>
      <c r="AR691" s="284" t="n">
        <f aca="false">IFERROR($G691*$J691*O691, "")</f>
        <v>0</v>
      </c>
      <c r="AS691" s="284" t="n">
        <f aca="false">IFERROR($G691*$J691*P691, "")</f>
        <v>0</v>
      </c>
      <c r="AT691" s="284" t="n">
        <f aca="false">IFERROR($G691*$J691*Q691, "")</f>
        <v>0</v>
      </c>
      <c r="AU691" s="284" t="n">
        <f aca="false">IFERROR($G691*$J691*R691, "")</f>
        <v>0</v>
      </c>
      <c r="AV691" s="284" t="n">
        <f aca="false">IFERROR($G691*$J691*S691, "")</f>
        <v>0</v>
      </c>
      <c r="AW691" s="284" t="n">
        <f aca="false">IFERROR($G691*$J691*T691, "")</f>
        <v>0</v>
      </c>
      <c r="AX691" s="284" t="n">
        <f aca="false">IFERROR($G691*$J691*U691, "")</f>
        <v>0</v>
      </c>
      <c r="AY691" s="284" t="n">
        <f aca="false">IFERROR($G691*$J691*V691, "")</f>
        <v>0</v>
      </c>
      <c r="AZ691" s="284" t="n">
        <f aca="false">IFERROR($G691*$J691*W691, "")</f>
        <v>0</v>
      </c>
      <c r="BA691" s="286" t="n">
        <f aca="false">IFERROR(SUMIF($AO$4:$AZ$4, "RDEC", AO691:AZ691), "")</f>
        <v>0</v>
      </c>
      <c r="BB691" s="286" t="n">
        <f aca="false">IFERROR(SUMIF($AO$4:$AZ$4, "SME", AO691:AZ691), "")</f>
        <v>0</v>
      </c>
      <c r="BC691" s="286" t="n">
        <f aca="false">IFERROR(SUMIF($Y$4:$AJ$4, "De Minimis", AO691:AZ691), "")</f>
        <v>0</v>
      </c>
      <c r="BD691" s="287"/>
      <c r="BE691" s="288" t="str">
        <f aca="false">IF((SUM(L691:W691)&gt;1),"ERROR","")</f>
        <v/>
      </c>
    </row>
    <row r="692" customFormat="false" ht="15" hidden="false" customHeight="true" outlineLevel="0" collapsed="false">
      <c r="B692" s="333"/>
      <c r="C692" s="334"/>
      <c r="D692" s="333" t="n">
        <f aca="false">D676</f>
        <v>45627</v>
      </c>
      <c r="E692" s="277" t="n">
        <v>0</v>
      </c>
      <c r="F692" s="277" t="n">
        <v>0</v>
      </c>
      <c r="G692" s="277" t="n">
        <f aca="false">SUM(E692:F692)</f>
        <v>0</v>
      </c>
      <c r="H692" s="300"/>
      <c r="I692" s="289" t="n">
        <v>1</v>
      </c>
      <c r="J692" s="290" t="n">
        <f aca="false">1-I692</f>
        <v>0</v>
      </c>
      <c r="K692" s="300"/>
      <c r="L692" s="291"/>
      <c r="M692" s="291"/>
      <c r="N692" s="291"/>
      <c r="O692" s="291"/>
      <c r="P692" s="291"/>
      <c r="Q692" s="291"/>
      <c r="R692" s="291"/>
      <c r="S692" s="291"/>
      <c r="T692" s="291"/>
      <c r="U692" s="291"/>
      <c r="V692" s="291"/>
      <c r="W692" s="291"/>
      <c r="X692" s="283"/>
      <c r="Y692" s="284" t="n">
        <f aca="false">IFERROR(L692*$G692*I$9, "")</f>
        <v>0</v>
      </c>
      <c r="Z692" s="284" t="n">
        <f aca="false">IFERROR(M692*$G692*$I692, "")</f>
        <v>0</v>
      </c>
      <c r="AA692" s="284" t="n">
        <f aca="false">IFERROR(N692*$G692*$I692, "")</f>
        <v>0</v>
      </c>
      <c r="AB692" s="284" t="n">
        <f aca="false">IFERROR(O692*$G692*$I692, "")</f>
        <v>0</v>
      </c>
      <c r="AC692" s="284" t="n">
        <f aca="false">IFERROR(P692*$G692*$I692, "")</f>
        <v>0</v>
      </c>
      <c r="AD692" s="284" t="n">
        <f aca="false">IFERROR(Q692*$G692*$I692, "")</f>
        <v>0</v>
      </c>
      <c r="AE692" s="284" t="n">
        <f aca="false">IFERROR(R692*$G692*$I692, "")</f>
        <v>0</v>
      </c>
      <c r="AF692" s="284" t="n">
        <f aca="false">IFERROR(S692*$G692*$I692, "")</f>
        <v>0</v>
      </c>
      <c r="AG692" s="284" t="n">
        <f aca="false">IFERROR(T692*$G692*$I692, "")</f>
        <v>0</v>
      </c>
      <c r="AH692" s="284" t="n">
        <f aca="false">IFERROR(U692*$G692*$I692, "")</f>
        <v>0</v>
      </c>
      <c r="AI692" s="284" t="n">
        <f aca="false">IFERROR(V692*$G692*$I692, "")</f>
        <v>0</v>
      </c>
      <c r="AJ692" s="284" t="n">
        <f aca="false">IFERROR(W692*$G692*$I692, "")</f>
        <v>0</v>
      </c>
      <c r="AK692" s="294" t="n">
        <f aca="false">IFERROR(SUMIF($Y$4:$AJ$4, "RDEC", Y692:AJ692), "")</f>
        <v>0</v>
      </c>
      <c r="AL692" s="294" t="n">
        <f aca="false">IFERROR(SUMIF($Y$4:$AJ$4, "SME", Y692:AJ692), "")</f>
        <v>0</v>
      </c>
      <c r="AM692" s="294" t="n">
        <f aca="false">IFERROR(SUMIF($Y$4:$AJ$4, "De Minimis", Y692:AJ692), "")</f>
        <v>0</v>
      </c>
      <c r="AN692" s="283"/>
      <c r="AO692" s="284" t="n">
        <f aca="false">IFERROR($G692*$J692*L692, "")</f>
        <v>0</v>
      </c>
      <c r="AP692" s="284" t="n">
        <f aca="false">IFERROR($G692*$J692*M692, "")</f>
        <v>0</v>
      </c>
      <c r="AQ692" s="284" t="n">
        <f aca="false">IFERROR($G692*$J692*N692, "")</f>
        <v>0</v>
      </c>
      <c r="AR692" s="284" t="n">
        <f aca="false">IFERROR($G692*$J692*O692, "")</f>
        <v>0</v>
      </c>
      <c r="AS692" s="284" t="n">
        <f aca="false">IFERROR($G692*$J692*P692, "")</f>
        <v>0</v>
      </c>
      <c r="AT692" s="284" t="n">
        <f aca="false">IFERROR($G692*$J692*Q692, "")</f>
        <v>0</v>
      </c>
      <c r="AU692" s="284" t="n">
        <f aca="false">IFERROR($G692*$J692*R692, "")</f>
        <v>0</v>
      </c>
      <c r="AV692" s="284" t="n">
        <f aca="false">IFERROR($G692*$J692*S692, "")</f>
        <v>0</v>
      </c>
      <c r="AW692" s="284" t="n">
        <f aca="false">IFERROR($G692*$J692*T692, "")</f>
        <v>0</v>
      </c>
      <c r="AX692" s="284" t="n">
        <f aca="false">IFERROR($G692*$J692*U692, "")</f>
        <v>0</v>
      </c>
      <c r="AY692" s="284" t="n">
        <f aca="false">IFERROR($G692*$J692*V692, "")</f>
        <v>0</v>
      </c>
      <c r="AZ692" s="284" t="n">
        <f aca="false">IFERROR($G692*$J692*W692, "")</f>
        <v>0</v>
      </c>
      <c r="BA692" s="286" t="n">
        <f aca="false">IFERROR(SUMIF($AO$4:$AZ$4, "RDEC", AO692:AZ692), "")</f>
        <v>0</v>
      </c>
      <c r="BB692" s="286" t="n">
        <f aca="false">IFERROR(SUMIF($AO$4:$AZ$4, "SME", AO692:AZ692), "")</f>
        <v>0</v>
      </c>
      <c r="BC692" s="294" t="n">
        <f aca="false">IFERROR(SUMIF($Y$4:$AJ$4, "De Minimis", AO692:AZ692), "")</f>
        <v>0</v>
      </c>
      <c r="BD692" s="303"/>
      <c r="BE692" s="295" t="str">
        <f aca="false">IF((SUM(L692:W692)&gt;1),"ERROR","")</f>
        <v/>
      </c>
    </row>
    <row r="693" customFormat="false" ht="15" hidden="false" customHeight="true" outlineLevel="0" collapsed="false">
      <c r="B693" s="296"/>
      <c r="D693" s="297" t="s">
        <v>82</v>
      </c>
      <c r="E693" s="299" t="n">
        <f aca="false">SUM(E681:E692)</f>
        <v>0</v>
      </c>
      <c r="F693" s="299" t="n">
        <f aca="false">SUM(F681:F692)</f>
        <v>0</v>
      </c>
      <c r="G693" s="299" t="n">
        <f aca="false">SUM(G681:G692)</f>
        <v>0</v>
      </c>
      <c r="H693" s="300"/>
      <c r="I693" s="301" t="n">
        <f aca="false">AVERAGE(I681:I692)</f>
        <v>1</v>
      </c>
      <c r="J693" s="301" t="n">
        <f aca="false">AVERAGE(J681:J692)</f>
        <v>0</v>
      </c>
      <c r="K693" s="300"/>
      <c r="L693" s="290" t="n">
        <f aca="false">IF(SUM(L681:L692)&gt;0,(Y693/G693),0)</f>
        <v>0</v>
      </c>
      <c r="M693" s="301" t="n">
        <f aca="false">IF(SUM(M681:M692)&gt;0,(Z693/G693),0)</f>
        <v>0</v>
      </c>
      <c r="N693" s="301" t="n">
        <f aca="false">IF(SUM(N681:N692)&gt;0,(AA693/G693),0)</f>
        <v>0</v>
      </c>
      <c r="O693" s="301" t="n">
        <f aca="false">IF(SUM(O681:O692)&gt;0,(AB693/G693),0)</f>
        <v>0</v>
      </c>
      <c r="P693" s="301" t="n">
        <f aca="false">IF(SUM(P681:P692)&gt;0,(AC693/G693),0)</f>
        <v>0</v>
      </c>
      <c r="Q693" s="301" t="n">
        <f aca="false">IF(SUM(Q681:Q692)&gt;0,(AD693/G693),0)</f>
        <v>0</v>
      </c>
      <c r="R693" s="301" t="n">
        <f aca="false">IF(SUM(R681:R692)&gt;0,(AE693/G693),0)</f>
        <v>0</v>
      </c>
      <c r="S693" s="301" t="n">
        <f aca="false">IF(SUM(S681:S692)&gt;0,(AF693/G693),0)</f>
        <v>0</v>
      </c>
      <c r="T693" s="301" t="n">
        <f aca="false">IF(SUM(T681:T692)&gt;0,(AG693/G693),0)</f>
        <v>0</v>
      </c>
      <c r="U693" s="301" t="n">
        <f aca="false">IF(SUM(U681:U692)&gt;0,(AJ693/G693),0)</f>
        <v>0</v>
      </c>
      <c r="V693" s="301" t="n">
        <f aca="false">IF(SUM(V681:V692)&gt;0,(AI693/G693),0)</f>
        <v>0</v>
      </c>
      <c r="W693" s="301" t="n">
        <f aca="false">IF(SUM(W681:W692)&gt;0,(AJ693/G693),0)</f>
        <v>0</v>
      </c>
      <c r="X693" s="283"/>
      <c r="Y693" s="304" t="n">
        <f aca="false">SUM(Y681:Y692)</f>
        <v>0</v>
      </c>
      <c r="Z693" s="304" t="n">
        <f aca="false">SUM(Z681:Z692)</f>
        <v>0</v>
      </c>
      <c r="AA693" s="304" t="n">
        <f aca="false">SUM(AA681:AA692)</f>
        <v>0</v>
      </c>
      <c r="AB693" s="304" t="n">
        <f aca="false">SUM(AB681:AB692)</f>
        <v>0</v>
      </c>
      <c r="AC693" s="304" t="n">
        <f aca="false">SUM(AC681:AC692)</f>
        <v>0</v>
      </c>
      <c r="AD693" s="304" t="n">
        <f aca="false">SUM(AD681:AD692)</f>
        <v>0</v>
      </c>
      <c r="AE693" s="304" t="n">
        <f aca="false">SUM(AE681:AE692)</f>
        <v>0</v>
      </c>
      <c r="AF693" s="304" t="n">
        <f aca="false">SUM(AF681:AF692)</f>
        <v>0</v>
      </c>
      <c r="AG693" s="304" t="n">
        <f aca="false">SUM(AG681:AG692)</f>
        <v>0</v>
      </c>
      <c r="AH693" s="304" t="n">
        <f aca="false">SUM(AH681:AH692)</f>
        <v>0</v>
      </c>
      <c r="AI693" s="304" t="n">
        <f aca="false">SUM(AI681:AI692)</f>
        <v>0</v>
      </c>
      <c r="AJ693" s="304" t="n">
        <f aca="false">SUM(AJ681:AJ692)</f>
        <v>0</v>
      </c>
      <c r="AK693" s="335" t="n">
        <f aca="false">SUM(AK681:AK692)</f>
        <v>0</v>
      </c>
      <c r="AL693" s="336" t="n">
        <f aca="false">SUM(AL681:AL692)</f>
        <v>0</v>
      </c>
      <c r="AM693" s="305" t="n">
        <f aca="false">SUM(AM681:AM692)</f>
        <v>0</v>
      </c>
      <c r="AN693" s="283"/>
      <c r="AO693" s="304" t="n">
        <f aca="false">SUM(AO681:AO692)</f>
        <v>0</v>
      </c>
      <c r="AP693" s="304" t="n">
        <f aca="false">SUM(AP681:AP692)</f>
        <v>0</v>
      </c>
      <c r="AQ693" s="304" t="n">
        <f aca="false">SUM(AQ681:AQ692)</f>
        <v>0</v>
      </c>
      <c r="AR693" s="304" t="n">
        <f aca="false">SUM(AR681:AR692)</f>
        <v>0</v>
      </c>
      <c r="AS693" s="304" t="n">
        <f aca="false">SUM(AS681:AS692)</f>
        <v>0</v>
      </c>
      <c r="AT693" s="304" t="n">
        <f aca="false">SUM(AT681:AT692)</f>
        <v>0</v>
      </c>
      <c r="AU693" s="304" t="n">
        <f aca="false">SUM(AU681:AU692)</f>
        <v>0</v>
      </c>
      <c r="AV693" s="304" t="n">
        <f aca="false">SUM(AV681:AV692)</f>
        <v>0</v>
      </c>
      <c r="AW693" s="304" t="n">
        <f aca="false">SUM(AW681:AW692)</f>
        <v>0</v>
      </c>
      <c r="AX693" s="304" t="n">
        <f aca="false">SUM(AX681:AX692)</f>
        <v>0</v>
      </c>
      <c r="AY693" s="304" t="n">
        <f aca="false">SUM(AY681:AY692)</f>
        <v>0</v>
      </c>
      <c r="AZ693" s="304" t="n">
        <f aca="false">SUM(AZ681:AZ692)</f>
        <v>0</v>
      </c>
      <c r="BA693" s="336" t="n">
        <f aca="false">SUM(BA681:BA692)</f>
        <v>0</v>
      </c>
      <c r="BB693" s="336" t="n">
        <f aca="false">SUM(BB681:BB692)</f>
        <v>0</v>
      </c>
      <c r="BC693" s="305" t="n">
        <f aca="false">SUM(BC681:BC692)</f>
        <v>0</v>
      </c>
      <c r="BD693" s="303"/>
      <c r="BE693" s="337"/>
    </row>
    <row r="694" customFormat="false" ht="15" hidden="false" customHeight="true" outlineLevel="0" collapsed="false">
      <c r="B694" s="296"/>
      <c r="D694" s="297"/>
      <c r="E694" s="300"/>
      <c r="F694" s="300"/>
      <c r="G694" s="300"/>
      <c r="H694" s="241"/>
      <c r="I694" s="302"/>
      <c r="J694" s="302"/>
      <c r="K694" s="241"/>
      <c r="L694" s="259"/>
      <c r="M694" s="259"/>
      <c r="N694" s="259"/>
      <c r="O694" s="259"/>
      <c r="P694" s="259"/>
      <c r="Q694" s="259"/>
      <c r="R694" s="259"/>
      <c r="S694" s="259"/>
      <c r="T694" s="259"/>
      <c r="U694" s="259"/>
      <c r="V694" s="259"/>
      <c r="W694" s="259"/>
      <c r="X694" s="303"/>
      <c r="Y694" s="259"/>
      <c r="Z694" s="303"/>
      <c r="AA694" s="303"/>
      <c r="AB694" s="303"/>
      <c r="AC694" s="303"/>
      <c r="AD694" s="303"/>
      <c r="AE694" s="303"/>
      <c r="AF694" s="303"/>
      <c r="AG694" s="303"/>
      <c r="AH694" s="303"/>
      <c r="AI694" s="303"/>
      <c r="AJ694" s="303"/>
      <c r="AK694" s="303"/>
      <c r="AL694" s="303"/>
      <c r="AM694" s="303"/>
      <c r="AN694" s="303"/>
      <c r="AO694" s="259"/>
      <c r="AP694" s="303"/>
      <c r="AQ694" s="303"/>
      <c r="AR694" s="303"/>
      <c r="AS694" s="303"/>
      <c r="AT694" s="303"/>
      <c r="AU694" s="303"/>
      <c r="AV694" s="303"/>
      <c r="AW694" s="303"/>
      <c r="AX694" s="303"/>
      <c r="AY694" s="303"/>
      <c r="AZ694" s="303"/>
      <c r="BA694" s="303"/>
      <c r="BB694" s="303"/>
      <c r="BC694" s="303"/>
      <c r="BD694" s="268"/>
      <c r="BE694" s="303"/>
    </row>
    <row r="695" customFormat="false" ht="15" hidden="false" customHeight="true" outlineLevel="0" collapsed="false">
      <c r="A695" s="198" t="n">
        <f aca="false">A679+1</f>
        <v>44</v>
      </c>
      <c r="B695" s="266" t="s">
        <v>253</v>
      </c>
      <c r="C695" s="266" t="s">
        <v>253</v>
      </c>
      <c r="D695" s="266"/>
      <c r="E695" s="241"/>
      <c r="F695" s="241"/>
      <c r="G695" s="241"/>
      <c r="H695" s="241"/>
      <c r="I695" s="241"/>
      <c r="J695" s="241"/>
      <c r="K695" s="277"/>
      <c r="L695" s="241"/>
      <c r="M695" s="241"/>
      <c r="N695" s="241"/>
      <c r="O695" s="241"/>
      <c r="P695" s="241"/>
      <c r="Q695" s="241"/>
      <c r="R695" s="241"/>
      <c r="S695" s="241"/>
      <c r="T695" s="241"/>
      <c r="U695" s="241"/>
      <c r="V695" s="241"/>
      <c r="W695" s="241"/>
      <c r="X695" s="259"/>
      <c r="Y695" s="268"/>
      <c r="Z695" s="268"/>
      <c r="AA695" s="268"/>
      <c r="AB695" s="268"/>
      <c r="AC695" s="268"/>
      <c r="AD695" s="268"/>
      <c r="AE695" s="268"/>
      <c r="AF695" s="268"/>
      <c r="AG695" s="268"/>
      <c r="AH695" s="268"/>
      <c r="AI695" s="268"/>
      <c r="AJ695" s="268"/>
      <c r="AK695" s="268"/>
      <c r="AL695" s="268"/>
      <c r="AM695" s="268"/>
      <c r="AN695" s="259"/>
      <c r="AO695" s="268"/>
      <c r="AP695" s="268"/>
      <c r="AQ695" s="268"/>
      <c r="AR695" s="268"/>
      <c r="AS695" s="268"/>
      <c r="AT695" s="268"/>
      <c r="AU695" s="268"/>
      <c r="AV695" s="268"/>
      <c r="AW695" s="268"/>
      <c r="AX695" s="268"/>
      <c r="AY695" s="268"/>
      <c r="AZ695" s="268"/>
      <c r="BA695" s="268"/>
      <c r="BB695" s="268"/>
      <c r="BC695" s="268"/>
      <c r="BD695" s="287"/>
      <c r="BE695" s="268"/>
    </row>
    <row r="696" customFormat="false" ht="7.5" hidden="false" customHeight="true" outlineLevel="0" collapsed="false">
      <c r="A696" s="198"/>
      <c r="B696" s="266"/>
      <c r="C696" s="266"/>
      <c r="D696" s="266"/>
      <c r="E696" s="241"/>
      <c r="F696" s="241"/>
      <c r="G696" s="241"/>
      <c r="H696" s="204"/>
      <c r="I696" s="269"/>
      <c r="J696" s="269"/>
      <c r="K696" s="277"/>
      <c r="L696" s="269"/>
      <c r="M696" s="269"/>
      <c r="N696" s="269"/>
      <c r="O696" s="269"/>
      <c r="P696" s="269"/>
      <c r="Q696" s="269"/>
      <c r="R696" s="269"/>
      <c r="S696" s="269"/>
      <c r="T696" s="269"/>
      <c r="U696" s="269"/>
      <c r="V696" s="269"/>
      <c r="W696" s="269"/>
      <c r="X696" s="259"/>
      <c r="Y696" s="271"/>
      <c r="Z696" s="271"/>
      <c r="AA696" s="271"/>
      <c r="AB696" s="271"/>
      <c r="AC696" s="271"/>
      <c r="AD696" s="271"/>
      <c r="AE696" s="271"/>
      <c r="AF696" s="271"/>
      <c r="AG696" s="271"/>
      <c r="AH696" s="271"/>
      <c r="AI696" s="271"/>
      <c r="AJ696" s="272"/>
      <c r="AK696" s="273"/>
      <c r="AL696" s="273"/>
      <c r="AM696" s="273"/>
      <c r="AN696" s="259"/>
      <c r="AO696" s="271"/>
      <c r="AP696" s="271"/>
      <c r="AQ696" s="271"/>
      <c r="AR696" s="271"/>
      <c r="AS696" s="271"/>
      <c r="AT696" s="271"/>
      <c r="AU696" s="271"/>
      <c r="AV696" s="271"/>
      <c r="AW696" s="271"/>
      <c r="AX696" s="271"/>
      <c r="AY696" s="271"/>
      <c r="AZ696" s="272"/>
      <c r="BA696" s="273"/>
      <c r="BB696" s="273"/>
      <c r="BC696" s="273"/>
      <c r="BD696" s="287"/>
      <c r="BE696" s="274"/>
    </row>
    <row r="697" customFormat="false" ht="15" hidden="false" customHeight="true" outlineLevel="0" collapsed="false">
      <c r="B697" s="333"/>
      <c r="C697" s="334"/>
      <c r="D697" s="333" t="n">
        <f aca="false">D681</f>
        <v>45292</v>
      </c>
      <c r="E697" s="277" t="n">
        <v>0</v>
      </c>
      <c r="F697" s="277" t="n">
        <v>0</v>
      </c>
      <c r="G697" s="277" t="n">
        <f aca="false">SUM(E697:F697)</f>
        <v>0</v>
      </c>
      <c r="H697" s="204"/>
      <c r="I697" s="279" t="n">
        <v>1</v>
      </c>
      <c r="J697" s="280" t="n">
        <f aca="false">1-I697</f>
        <v>0</v>
      </c>
      <c r="K697" s="277"/>
      <c r="L697" s="282"/>
      <c r="M697" s="282"/>
      <c r="N697" s="282"/>
      <c r="O697" s="282"/>
      <c r="P697" s="282"/>
      <c r="Q697" s="282"/>
      <c r="R697" s="282"/>
      <c r="S697" s="282"/>
      <c r="T697" s="282"/>
      <c r="U697" s="282"/>
      <c r="V697" s="282"/>
      <c r="W697" s="282"/>
      <c r="X697" s="268"/>
      <c r="Y697" s="284" t="n">
        <f aca="false">IFERROR(L697*$G697*I$9, "")</f>
        <v>0</v>
      </c>
      <c r="Z697" s="284" t="n">
        <f aca="false">IFERROR(M697*$G697*$I697, "")</f>
        <v>0</v>
      </c>
      <c r="AA697" s="284" t="n">
        <f aca="false">IFERROR(N697*$G697*$I697, "")</f>
        <v>0</v>
      </c>
      <c r="AB697" s="284" t="n">
        <f aca="false">IFERROR(O697*$G697*$I697, "")</f>
        <v>0</v>
      </c>
      <c r="AC697" s="284" t="n">
        <f aca="false">IFERROR(P697*$G697*$I697, "")</f>
        <v>0</v>
      </c>
      <c r="AD697" s="284" t="n">
        <f aca="false">IFERROR(Q697*$G697*$I697, "")</f>
        <v>0</v>
      </c>
      <c r="AE697" s="284" t="n">
        <f aca="false">IFERROR(R697*$G697*$I697, "")</f>
        <v>0</v>
      </c>
      <c r="AF697" s="284" t="n">
        <f aca="false">IFERROR(S697*$G697*$I697, "")</f>
        <v>0</v>
      </c>
      <c r="AG697" s="284" t="n">
        <f aca="false">IFERROR(T697*$G697*$I697, "")</f>
        <v>0</v>
      </c>
      <c r="AH697" s="284" t="n">
        <f aca="false">IFERROR(U697*$G697*$I697, "")</f>
        <v>0</v>
      </c>
      <c r="AI697" s="284" t="n">
        <f aca="false">IFERROR(V697*$G697*$I697, "")</f>
        <v>0</v>
      </c>
      <c r="AJ697" s="284" t="n">
        <f aca="false">IFERROR(W697*$G697*$I697, "")</f>
        <v>0</v>
      </c>
      <c r="AK697" s="286" t="n">
        <f aca="false">IFERROR(SUMIF($Y$4:$AJ$4, "RDEC", Y697:AJ697), "")</f>
        <v>0</v>
      </c>
      <c r="AL697" s="286" t="n">
        <f aca="false">IFERROR(SUMIF($Y$4:$AJ$4, "SME", Y697:AJ697), "")</f>
        <v>0</v>
      </c>
      <c r="AM697" s="286" t="n">
        <f aca="false">IFERROR(SUMIF($Y$4:$AJ$4, "De Minimis", Y697:AJ697), "")</f>
        <v>0</v>
      </c>
      <c r="AN697" s="268"/>
      <c r="AO697" s="284" t="n">
        <f aca="false">IFERROR($G697*$J697*L697, "")</f>
        <v>0</v>
      </c>
      <c r="AP697" s="284" t="n">
        <f aca="false">IFERROR($G697*$J697*M697, "")</f>
        <v>0</v>
      </c>
      <c r="AQ697" s="284" t="n">
        <f aca="false">IFERROR($G697*$J697*N697, "")</f>
        <v>0</v>
      </c>
      <c r="AR697" s="284" t="n">
        <f aca="false">IFERROR($G697*$J697*O697, "")</f>
        <v>0</v>
      </c>
      <c r="AS697" s="284" t="n">
        <f aca="false">IFERROR($G697*$J697*P697, "")</f>
        <v>0</v>
      </c>
      <c r="AT697" s="284" t="n">
        <f aca="false">IFERROR($G697*$J697*Q697, "")</f>
        <v>0</v>
      </c>
      <c r="AU697" s="284" t="n">
        <f aca="false">IFERROR($G697*$J697*R697, "")</f>
        <v>0</v>
      </c>
      <c r="AV697" s="284" t="n">
        <f aca="false">IFERROR($G697*$J697*S697, "")</f>
        <v>0</v>
      </c>
      <c r="AW697" s="284" t="n">
        <f aca="false">IFERROR($G697*$J697*T697, "")</f>
        <v>0</v>
      </c>
      <c r="AX697" s="284" t="n">
        <f aca="false">IFERROR($G697*$J697*U697, "")</f>
        <v>0</v>
      </c>
      <c r="AY697" s="284" t="n">
        <f aca="false">IFERROR($G697*$J697*V697, "")</f>
        <v>0</v>
      </c>
      <c r="AZ697" s="284" t="n">
        <f aca="false">IFERROR($G697*$J697*W697, "")</f>
        <v>0</v>
      </c>
      <c r="BA697" s="286" t="n">
        <f aca="false">IFERROR(SUMIF($AO$4:$AZ$4, "RDEC", AO697:AZ697), "")</f>
        <v>0</v>
      </c>
      <c r="BB697" s="286" t="n">
        <f aca="false">IFERROR(SUMIF($AO$4:$AZ$4, "SME", AO697:AZ697), "")</f>
        <v>0</v>
      </c>
      <c r="BC697" s="286" t="n">
        <f aca="false">IFERROR(SUMIF($AO$4:$AZ$4, "De Minimis", AO697:AZ697), "")</f>
        <v>0</v>
      </c>
      <c r="BD697" s="287"/>
      <c r="BE697" s="288" t="str">
        <f aca="false">IF((SUM(L697:W697)&gt;1),"ERROR","")</f>
        <v/>
      </c>
    </row>
    <row r="698" customFormat="false" ht="15" hidden="false" customHeight="true" outlineLevel="0" collapsed="false">
      <c r="B698" s="333"/>
      <c r="C698" s="334"/>
      <c r="D698" s="333" t="n">
        <f aca="false">D682</f>
        <v>45323</v>
      </c>
      <c r="E698" s="277" t="n">
        <v>0</v>
      </c>
      <c r="F698" s="277" t="n">
        <v>0</v>
      </c>
      <c r="G698" s="277" t="n">
        <f aca="false">SUM(E698:F698)</f>
        <v>0</v>
      </c>
      <c r="H698" s="204"/>
      <c r="I698" s="279" t="n">
        <v>1</v>
      </c>
      <c r="J698" s="280" t="n">
        <f aca="false">1-I698</f>
        <v>0</v>
      </c>
      <c r="K698" s="277"/>
      <c r="L698" s="282"/>
      <c r="M698" s="282"/>
      <c r="N698" s="282"/>
      <c r="O698" s="282"/>
      <c r="P698" s="282"/>
      <c r="Q698" s="282"/>
      <c r="R698" s="282"/>
      <c r="S698" s="282"/>
      <c r="T698" s="282"/>
      <c r="U698" s="282"/>
      <c r="V698" s="282"/>
      <c r="W698" s="282"/>
      <c r="X698" s="283"/>
      <c r="Y698" s="284" t="n">
        <f aca="false">IFERROR(L698*$G698*I$9, "")</f>
        <v>0</v>
      </c>
      <c r="Z698" s="284" t="n">
        <f aca="false">IFERROR(M698*$G698*$I698, "")</f>
        <v>0</v>
      </c>
      <c r="AA698" s="284" t="n">
        <f aca="false">IFERROR(N698*$G698*$I698, "")</f>
        <v>0</v>
      </c>
      <c r="AB698" s="284" t="n">
        <f aca="false">IFERROR(O698*$G698*$I698, "")</f>
        <v>0</v>
      </c>
      <c r="AC698" s="284" t="n">
        <f aca="false">IFERROR(P698*$G698*$I698, "")</f>
        <v>0</v>
      </c>
      <c r="AD698" s="284" t="n">
        <f aca="false">IFERROR(Q698*$G698*$I698, "")</f>
        <v>0</v>
      </c>
      <c r="AE698" s="284" t="n">
        <f aca="false">IFERROR(R698*$G698*$I698, "")</f>
        <v>0</v>
      </c>
      <c r="AF698" s="284" t="n">
        <f aca="false">IFERROR(S698*$G698*$I698, "")</f>
        <v>0</v>
      </c>
      <c r="AG698" s="284" t="n">
        <f aca="false">IFERROR(T698*$G698*$I698, "")</f>
        <v>0</v>
      </c>
      <c r="AH698" s="284" t="n">
        <f aca="false">IFERROR(U698*$G698*$I698, "")</f>
        <v>0</v>
      </c>
      <c r="AI698" s="284" t="n">
        <f aca="false">IFERROR(V698*$G698*$I698, "")</f>
        <v>0</v>
      </c>
      <c r="AJ698" s="284" t="n">
        <f aca="false">IFERROR(W698*$G698*$I698, "")</f>
        <v>0</v>
      </c>
      <c r="AK698" s="286" t="n">
        <f aca="false">IFERROR(SUMIF($Y$4:$AJ$4, "RDEC", Y698:AJ698), "")</f>
        <v>0</v>
      </c>
      <c r="AL698" s="286" t="n">
        <f aca="false">IFERROR(SUMIF($Y$4:$AJ$4, "SME", Y698:AJ698), "")</f>
        <v>0</v>
      </c>
      <c r="AM698" s="286" t="n">
        <f aca="false">IFERROR(SUMIF($Y$4:$AJ$4, "De Minimis", Y698:AJ698), "")</f>
        <v>0</v>
      </c>
      <c r="AN698" s="283"/>
      <c r="AO698" s="284" t="n">
        <f aca="false">IFERROR($G698*$J698*L698, "")</f>
        <v>0</v>
      </c>
      <c r="AP698" s="284" t="n">
        <f aca="false">IFERROR($G698*$J698*M698, "")</f>
        <v>0</v>
      </c>
      <c r="AQ698" s="284" t="n">
        <f aca="false">IFERROR($G698*$J698*N698, "")</f>
        <v>0</v>
      </c>
      <c r="AR698" s="284" t="n">
        <f aca="false">IFERROR($G698*$J698*O698, "")</f>
        <v>0</v>
      </c>
      <c r="AS698" s="284" t="n">
        <f aca="false">IFERROR($G698*$J698*P698, "")</f>
        <v>0</v>
      </c>
      <c r="AT698" s="284" t="n">
        <f aca="false">IFERROR($G698*$J698*Q698, "")</f>
        <v>0</v>
      </c>
      <c r="AU698" s="284" t="n">
        <f aca="false">IFERROR($G698*$J698*R698, "")</f>
        <v>0</v>
      </c>
      <c r="AV698" s="284" t="n">
        <f aca="false">IFERROR($G698*$J698*S698, "")</f>
        <v>0</v>
      </c>
      <c r="AW698" s="284" t="n">
        <f aca="false">IFERROR($G698*$J698*T698, "")</f>
        <v>0</v>
      </c>
      <c r="AX698" s="284" t="n">
        <f aca="false">IFERROR($G698*$J698*U698, "")</f>
        <v>0</v>
      </c>
      <c r="AY698" s="284" t="n">
        <f aca="false">IFERROR($G698*$J698*V698, "")</f>
        <v>0</v>
      </c>
      <c r="AZ698" s="284" t="n">
        <f aca="false">IFERROR($G698*$J698*W698, "")</f>
        <v>0</v>
      </c>
      <c r="BA698" s="286" t="n">
        <f aca="false">IFERROR(SUMIF($AO$4:$AZ$4, "RDEC", AO698:AZ698), "")</f>
        <v>0</v>
      </c>
      <c r="BB698" s="286" t="n">
        <f aca="false">IFERROR(SUMIF($AO$4:$AZ$4, "SME", AO698:AZ698), "")</f>
        <v>0</v>
      </c>
      <c r="BC698" s="286" t="n">
        <f aca="false">IFERROR(SUMIF($Y$4:$AJ$4, "De Minimis", AO698:AZ698), "")</f>
        <v>0</v>
      </c>
      <c r="BD698" s="287"/>
      <c r="BE698" s="288" t="str">
        <f aca="false">IF((SUM(L698:W698)&gt;1),"ERROR","")</f>
        <v/>
      </c>
    </row>
    <row r="699" customFormat="false" ht="15" hidden="false" customHeight="true" outlineLevel="0" collapsed="false">
      <c r="B699" s="333"/>
      <c r="C699" s="334"/>
      <c r="D699" s="333" t="n">
        <f aca="false">D683</f>
        <v>45352</v>
      </c>
      <c r="E699" s="277" t="n">
        <v>0</v>
      </c>
      <c r="F699" s="277" t="n">
        <v>0</v>
      </c>
      <c r="G699" s="277" t="n">
        <f aca="false">SUM(E699:F699)</f>
        <v>0</v>
      </c>
      <c r="H699" s="204"/>
      <c r="I699" s="279" t="n">
        <v>1</v>
      </c>
      <c r="J699" s="280" t="n">
        <f aca="false">1-I699</f>
        <v>0</v>
      </c>
      <c r="K699" s="277"/>
      <c r="L699" s="282"/>
      <c r="M699" s="282"/>
      <c r="N699" s="282"/>
      <c r="O699" s="282"/>
      <c r="P699" s="282"/>
      <c r="Q699" s="282"/>
      <c r="R699" s="282"/>
      <c r="S699" s="282"/>
      <c r="T699" s="282"/>
      <c r="U699" s="282"/>
      <c r="V699" s="282"/>
      <c r="W699" s="282"/>
      <c r="X699" s="283"/>
      <c r="Y699" s="284" t="n">
        <f aca="false">IFERROR(L699*$G699*I$9, "")</f>
        <v>0</v>
      </c>
      <c r="Z699" s="284" t="n">
        <f aca="false">IFERROR(M699*$G699*$I699, "")</f>
        <v>0</v>
      </c>
      <c r="AA699" s="284" t="n">
        <f aca="false">IFERROR(N699*$G699*$I699, "")</f>
        <v>0</v>
      </c>
      <c r="AB699" s="284" t="n">
        <f aca="false">IFERROR(O699*$G699*$I699, "")</f>
        <v>0</v>
      </c>
      <c r="AC699" s="284" t="n">
        <f aca="false">IFERROR(P699*$G699*$I699, "")</f>
        <v>0</v>
      </c>
      <c r="AD699" s="284" t="n">
        <f aca="false">IFERROR(Q699*$G699*$I699, "")</f>
        <v>0</v>
      </c>
      <c r="AE699" s="284" t="n">
        <f aca="false">IFERROR(R699*$G699*$I699, "")</f>
        <v>0</v>
      </c>
      <c r="AF699" s="284" t="n">
        <f aca="false">IFERROR(S699*$G699*$I699, "")</f>
        <v>0</v>
      </c>
      <c r="AG699" s="284" t="n">
        <f aca="false">IFERROR(T699*$G699*$I699, "")</f>
        <v>0</v>
      </c>
      <c r="AH699" s="284" t="n">
        <f aca="false">IFERROR(U699*$G699*$I699, "")</f>
        <v>0</v>
      </c>
      <c r="AI699" s="284" t="n">
        <f aca="false">IFERROR(V699*$G699*$I699, "")</f>
        <v>0</v>
      </c>
      <c r="AJ699" s="284" t="n">
        <f aca="false">IFERROR(W699*$G699*$I699, "")</f>
        <v>0</v>
      </c>
      <c r="AK699" s="286" t="n">
        <f aca="false">IFERROR(SUMIF($Y$4:$AJ$4, "RDEC", Y699:AJ699), "")</f>
        <v>0</v>
      </c>
      <c r="AL699" s="286" t="n">
        <f aca="false">IFERROR(SUMIF($Y$4:$AJ$4, "SME", Y699:AJ699), "")</f>
        <v>0</v>
      </c>
      <c r="AM699" s="286" t="n">
        <f aca="false">IFERROR(SUMIF($Y$4:$AJ$4, "De Minimis", Y699:AJ699), "")</f>
        <v>0</v>
      </c>
      <c r="AN699" s="283"/>
      <c r="AO699" s="284" t="n">
        <f aca="false">IFERROR($G699*$J699*L699, "")</f>
        <v>0</v>
      </c>
      <c r="AP699" s="284" t="n">
        <f aca="false">IFERROR($G699*$J699*M699, "")</f>
        <v>0</v>
      </c>
      <c r="AQ699" s="284" t="n">
        <f aca="false">IFERROR($G699*$J699*N699, "")</f>
        <v>0</v>
      </c>
      <c r="AR699" s="284" t="n">
        <f aca="false">IFERROR($G699*$J699*O699, "")</f>
        <v>0</v>
      </c>
      <c r="AS699" s="284" t="n">
        <f aca="false">IFERROR($G699*$J699*P699, "")</f>
        <v>0</v>
      </c>
      <c r="AT699" s="284" t="n">
        <f aca="false">IFERROR($G699*$J699*Q699, "")</f>
        <v>0</v>
      </c>
      <c r="AU699" s="284" t="n">
        <f aca="false">IFERROR($G699*$J699*R699, "")</f>
        <v>0</v>
      </c>
      <c r="AV699" s="284" t="n">
        <f aca="false">IFERROR($G699*$J699*S699, "")</f>
        <v>0</v>
      </c>
      <c r="AW699" s="284" t="n">
        <f aca="false">IFERROR($G699*$J699*T699, "")</f>
        <v>0</v>
      </c>
      <c r="AX699" s="284" t="n">
        <f aca="false">IFERROR($G699*$J699*U699, "")</f>
        <v>0</v>
      </c>
      <c r="AY699" s="284" t="n">
        <f aca="false">IFERROR($G699*$J699*V699, "")</f>
        <v>0</v>
      </c>
      <c r="AZ699" s="284" t="n">
        <f aca="false">IFERROR($G699*$J699*W699, "")</f>
        <v>0</v>
      </c>
      <c r="BA699" s="286" t="n">
        <f aca="false">IFERROR(SUMIF($AO$4:$AZ$4, "RDEC", AO699:AZ699), "")</f>
        <v>0</v>
      </c>
      <c r="BB699" s="286" t="n">
        <f aca="false">IFERROR(SUMIF($AO$4:$AZ$4, "SME", AO699:AZ699), "")</f>
        <v>0</v>
      </c>
      <c r="BC699" s="286" t="n">
        <f aca="false">IFERROR(SUMIF($Y$4:$AJ$4, "De Minimis", AO699:AZ699), "")</f>
        <v>0</v>
      </c>
      <c r="BD699" s="287"/>
      <c r="BE699" s="288" t="str">
        <f aca="false">IF((SUM(L699:W699)&gt;1),"ERROR","")</f>
        <v/>
      </c>
    </row>
    <row r="700" customFormat="false" ht="15" hidden="false" customHeight="true" outlineLevel="0" collapsed="false">
      <c r="B700" s="333"/>
      <c r="C700" s="334"/>
      <c r="D700" s="333" t="n">
        <f aca="false">D684</f>
        <v>45383</v>
      </c>
      <c r="E700" s="277" t="n">
        <v>0</v>
      </c>
      <c r="F700" s="277" t="n">
        <v>0</v>
      </c>
      <c r="G700" s="277" t="n">
        <f aca="false">SUM(E700:F700)</f>
        <v>0</v>
      </c>
      <c r="H700" s="204"/>
      <c r="I700" s="279" t="n">
        <v>1</v>
      </c>
      <c r="J700" s="280" t="n">
        <f aca="false">1-I700</f>
        <v>0</v>
      </c>
      <c r="K700" s="277"/>
      <c r="L700" s="282"/>
      <c r="M700" s="282"/>
      <c r="N700" s="282"/>
      <c r="O700" s="282"/>
      <c r="P700" s="282"/>
      <c r="Q700" s="282"/>
      <c r="R700" s="282"/>
      <c r="S700" s="282"/>
      <c r="T700" s="282"/>
      <c r="U700" s="282"/>
      <c r="V700" s="282"/>
      <c r="W700" s="282"/>
      <c r="X700" s="283"/>
      <c r="Y700" s="284" t="n">
        <f aca="false">IFERROR(L700*$G700*I$9, "")</f>
        <v>0</v>
      </c>
      <c r="Z700" s="284" t="n">
        <f aca="false">IFERROR(M700*$G700*$I700, "")</f>
        <v>0</v>
      </c>
      <c r="AA700" s="284" t="n">
        <f aca="false">IFERROR(N700*$G700*$I700, "")</f>
        <v>0</v>
      </c>
      <c r="AB700" s="284" t="n">
        <f aca="false">IFERROR(O700*$G700*$I700, "")</f>
        <v>0</v>
      </c>
      <c r="AC700" s="284" t="n">
        <f aca="false">IFERROR(P700*$G700*$I700, "")</f>
        <v>0</v>
      </c>
      <c r="AD700" s="284" t="n">
        <f aca="false">IFERROR(Q700*$G700*$I700, "")</f>
        <v>0</v>
      </c>
      <c r="AE700" s="284" t="n">
        <f aca="false">IFERROR(R700*$G700*$I700, "")</f>
        <v>0</v>
      </c>
      <c r="AF700" s="284" t="n">
        <f aca="false">IFERROR(S700*$G700*$I700, "")</f>
        <v>0</v>
      </c>
      <c r="AG700" s="284" t="n">
        <f aca="false">IFERROR(T700*$G700*$I700, "")</f>
        <v>0</v>
      </c>
      <c r="AH700" s="284" t="n">
        <f aca="false">IFERROR(U700*$G700*$I700, "")</f>
        <v>0</v>
      </c>
      <c r="AI700" s="284" t="n">
        <f aca="false">IFERROR(V700*$G700*$I700, "")</f>
        <v>0</v>
      </c>
      <c r="AJ700" s="284" t="n">
        <f aca="false">IFERROR(W700*$G700*$I700, "")</f>
        <v>0</v>
      </c>
      <c r="AK700" s="286" t="n">
        <f aca="false">IFERROR(SUMIF($Y$4:$AJ$4, "RDEC", Y700:AJ700), "")</f>
        <v>0</v>
      </c>
      <c r="AL700" s="286" t="n">
        <f aca="false">IFERROR(SUMIF($Y$4:$AJ$4, "SME", Y700:AJ700), "")</f>
        <v>0</v>
      </c>
      <c r="AM700" s="286" t="n">
        <f aca="false">IFERROR(SUMIF($Y$4:$AJ$4, "De Minimis", Y700:AJ700), "")</f>
        <v>0</v>
      </c>
      <c r="AN700" s="283"/>
      <c r="AO700" s="284" t="n">
        <f aca="false">IFERROR($G700*$J700*L700, "")</f>
        <v>0</v>
      </c>
      <c r="AP700" s="284" t="n">
        <f aca="false">IFERROR($G700*$J700*M700, "")</f>
        <v>0</v>
      </c>
      <c r="AQ700" s="284" t="n">
        <f aca="false">IFERROR($G700*$J700*N700, "")</f>
        <v>0</v>
      </c>
      <c r="AR700" s="284" t="n">
        <f aca="false">IFERROR($G700*$J700*O700, "")</f>
        <v>0</v>
      </c>
      <c r="AS700" s="284" t="n">
        <f aca="false">IFERROR($G700*$J700*P700, "")</f>
        <v>0</v>
      </c>
      <c r="AT700" s="284" t="n">
        <f aca="false">IFERROR($G700*$J700*Q700, "")</f>
        <v>0</v>
      </c>
      <c r="AU700" s="284" t="n">
        <f aca="false">IFERROR($G700*$J700*R700, "")</f>
        <v>0</v>
      </c>
      <c r="AV700" s="284" t="n">
        <f aca="false">IFERROR($G700*$J700*S700, "")</f>
        <v>0</v>
      </c>
      <c r="AW700" s="284" t="n">
        <f aca="false">IFERROR($G700*$J700*T700, "")</f>
        <v>0</v>
      </c>
      <c r="AX700" s="284" t="n">
        <f aca="false">IFERROR($G700*$J700*U700, "")</f>
        <v>0</v>
      </c>
      <c r="AY700" s="284" t="n">
        <f aca="false">IFERROR($G700*$J700*V700, "")</f>
        <v>0</v>
      </c>
      <c r="AZ700" s="284" t="n">
        <f aca="false">IFERROR($G700*$J700*W700, "")</f>
        <v>0</v>
      </c>
      <c r="BA700" s="286" t="n">
        <f aca="false">IFERROR(SUMIF($AO$4:$AZ$4, "RDEC", AO700:AZ700), "")</f>
        <v>0</v>
      </c>
      <c r="BB700" s="286" t="n">
        <f aca="false">IFERROR(SUMIF($AO$4:$AZ$4, "SME", AO700:AZ700), "")</f>
        <v>0</v>
      </c>
      <c r="BC700" s="286" t="n">
        <f aca="false">IFERROR(SUMIF($Y$4:$AJ$4, "De Minimis", AO700:AZ700), "")</f>
        <v>0</v>
      </c>
      <c r="BD700" s="287"/>
      <c r="BE700" s="288" t="str">
        <f aca="false">IF((SUM(L700:W700)&gt;1),"ERROR","")</f>
        <v/>
      </c>
    </row>
    <row r="701" customFormat="false" ht="15" hidden="false" customHeight="true" outlineLevel="0" collapsed="false">
      <c r="B701" s="333"/>
      <c r="C701" s="334"/>
      <c r="D701" s="333" t="n">
        <f aca="false">D685</f>
        <v>45413</v>
      </c>
      <c r="E701" s="277" t="n">
        <v>0</v>
      </c>
      <c r="F701" s="277" t="n">
        <v>0</v>
      </c>
      <c r="G701" s="277" t="n">
        <f aca="false">SUM(E701:F701)</f>
        <v>0</v>
      </c>
      <c r="H701" s="204"/>
      <c r="I701" s="279" t="n">
        <v>1</v>
      </c>
      <c r="J701" s="280" t="n">
        <f aca="false">1-I701</f>
        <v>0</v>
      </c>
      <c r="K701" s="277"/>
      <c r="L701" s="282"/>
      <c r="M701" s="282"/>
      <c r="N701" s="282"/>
      <c r="O701" s="282"/>
      <c r="P701" s="282"/>
      <c r="Q701" s="282"/>
      <c r="R701" s="282"/>
      <c r="S701" s="282"/>
      <c r="T701" s="282"/>
      <c r="U701" s="282"/>
      <c r="V701" s="282"/>
      <c r="W701" s="282"/>
      <c r="X701" s="283"/>
      <c r="Y701" s="284" t="n">
        <f aca="false">IFERROR(L701*$G701*I$9, "")</f>
        <v>0</v>
      </c>
      <c r="Z701" s="284" t="n">
        <f aca="false">IFERROR(M701*$G701*$I701, "")</f>
        <v>0</v>
      </c>
      <c r="AA701" s="284" t="n">
        <f aca="false">IFERROR(N701*$G701*$I701, "")</f>
        <v>0</v>
      </c>
      <c r="AB701" s="284" t="n">
        <f aca="false">IFERROR(O701*$G701*$I701, "")</f>
        <v>0</v>
      </c>
      <c r="AC701" s="284" t="n">
        <f aca="false">IFERROR(P701*$G701*$I701, "")</f>
        <v>0</v>
      </c>
      <c r="AD701" s="284" t="n">
        <f aca="false">IFERROR(Q701*$G701*$I701, "")</f>
        <v>0</v>
      </c>
      <c r="AE701" s="284" t="n">
        <f aca="false">IFERROR(R701*$G701*$I701, "")</f>
        <v>0</v>
      </c>
      <c r="AF701" s="284" t="n">
        <f aca="false">IFERROR(S701*$G701*$I701, "")</f>
        <v>0</v>
      </c>
      <c r="AG701" s="284" t="n">
        <f aca="false">IFERROR(T701*$G701*$I701, "")</f>
        <v>0</v>
      </c>
      <c r="AH701" s="284" t="n">
        <f aca="false">IFERROR(U701*$G701*$I701, "")</f>
        <v>0</v>
      </c>
      <c r="AI701" s="284" t="n">
        <f aca="false">IFERROR(V701*$G701*$I701, "")</f>
        <v>0</v>
      </c>
      <c r="AJ701" s="284" t="n">
        <f aca="false">IFERROR(W701*$G701*$I701, "")</f>
        <v>0</v>
      </c>
      <c r="AK701" s="286" t="n">
        <f aca="false">IFERROR(SUMIF($Y$4:$AJ$4, "RDEC", Y701:AJ701), "")</f>
        <v>0</v>
      </c>
      <c r="AL701" s="286" t="n">
        <f aca="false">IFERROR(SUMIF($Y$4:$AJ$4, "SME", Y701:AJ701), "")</f>
        <v>0</v>
      </c>
      <c r="AM701" s="286" t="n">
        <f aca="false">IFERROR(SUMIF($Y$4:$AJ$4, "De Minimis", Y701:AJ701), "")</f>
        <v>0</v>
      </c>
      <c r="AN701" s="283"/>
      <c r="AO701" s="284" t="n">
        <f aca="false">IFERROR($G701*$J701*L701, "")</f>
        <v>0</v>
      </c>
      <c r="AP701" s="284" t="n">
        <f aca="false">IFERROR($G701*$J701*M701, "")</f>
        <v>0</v>
      </c>
      <c r="AQ701" s="284" t="n">
        <f aca="false">IFERROR($G701*$J701*N701, "")</f>
        <v>0</v>
      </c>
      <c r="AR701" s="284" t="n">
        <f aca="false">IFERROR($G701*$J701*O701, "")</f>
        <v>0</v>
      </c>
      <c r="AS701" s="284" t="n">
        <f aca="false">IFERROR($G701*$J701*P701, "")</f>
        <v>0</v>
      </c>
      <c r="AT701" s="284" t="n">
        <f aca="false">IFERROR($G701*$J701*Q701, "")</f>
        <v>0</v>
      </c>
      <c r="AU701" s="284" t="n">
        <f aca="false">IFERROR($G701*$J701*R701, "")</f>
        <v>0</v>
      </c>
      <c r="AV701" s="284" t="n">
        <f aca="false">IFERROR($G701*$J701*S701, "")</f>
        <v>0</v>
      </c>
      <c r="AW701" s="284" t="n">
        <f aca="false">IFERROR($G701*$J701*T701, "")</f>
        <v>0</v>
      </c>
      <c r="AX701" s="284" t="n">
        <f aca="false">IFERROR($G701*$J701*U701, "")</f>
        <v>0</v>
      </c>
      <c r="AY701" s="284" t="n">
        <f aca="false">IFERROR($G701*$J701*V701, "")</f>
        <v>0</v>
      </c>
      <c r="AZ701" s="284" t="n">
        <f aca="false">IFERROR($G701*$J701*W701, "")</f>
        <v>0</v>
      </c>
      <c r="BA701" s="286" t="n">
        <f aca="false">IFERROR(SUMIF($AO$4:$AZ$4, "RDEC", AO701:AZ701), "")</f>
        <v>0</v>
      </c>
      <c r="BB701" s="286" t="n">
        <f aca="false">IFERROR(SUMIF($AO$4:$AZ$4, "SME", AO701:AZ701), "")</f>
        <v>0</v>
      </c>
      <c r="BC701" s="286" t="n">
        <f aca="false">IFERROR(SUMIF($Y$4:$AJ$4, "De Minimis", AO701:AZ701), "")</f>
        <v>0</v>
      </c>
      <c r="BD701" s="287"/>
      <c r="BE701" s="288" t="str">
        <f aca="false">IF((SUM(L701:W701)&gt;1),"ERROR","")</f>
        <v/>
      </c>
    </row>
    <row r="702" customFormat="false" ht="15" hidden="false" customHeight="true" outlineLevel="0" collapsed="false">
      <c r="B702" s="333"/>
      <c r="C702" s="334"/>
      <c r="D702" s="333" t="n">
        <f aca="false">D686</f>
        <v>45444</v>
      </c>
      <c r="E702" s="277" t="n">
        <v>0</v>
      </c>
      <c r="F702" s="277" t="n">
        <v>0</v>
      </c>
      <c r="G702" s="277" t="n">
        <f aca="false">SUM(E702:F702)</f>
        <v>0</v>
      </c>
      <c r="H702" s="204"/>
      <c r="I702" s="279" t="n">
        <v>1</v>
      </c>
      <c r="J702" s="280" t="n">
        <f aca="false">1-I702</f>
        <v>0</v>
      </c>
      <c r="K702" s="277"/>
      <c r="L702" s="282"/>
      <c r="M702" s="282"/>
      <c r="N702" s="282"/>
      <c r="O702" s="282"/>
      <c r="P702" s="282"/>
      <c r="Q702" s="282"/>
      <c r="R702" s="282"/>
      <c r="S702" s="282"/>
      <c r="T702" s="282"/>
      <c r="U702" s="282"/>
      <c r="V702" s="282"/>
      <c r="W702" s="282"/>
      <c r="X702" s="283"/>
      <c r="Y702" s="284" t="n">
        <f aca="false">IFERROR(L702*$G702*I$9, "")</f>
        <v>0</v>
      </c>
      <c r="Z702" s="284" t="n">
        <f aca="false">IFERROR(M702*$G702*$I702, "")</f>
        <v>0</v>
      </c>
      <c r="AA702" s="284" t="n">
        <f aca="false">IFERROR(N702*$G702*$I702, "")</f>
        <v>0</v>
      </c>
      <c r="AB702" s="284" t="n">
        <f aca="false">IFERROR(O702*$G702*$I702, "")</f>
        <v>0</v>
      </c>
      <c r="AC702" s="284" t="n">
        <f aca="false">IFERROR(P702*$G702*$I702, "")</f>
        <v>0</v>
      </c>
      <c r="AD702" s="284" t="n">
        <f aca="false">IFERROR(Q702*$G702*$I702, "")</f>
        <v>0</v>
      </c>
      <c r="AE702" s="284" t="n">
        <f aca="false">IFERROR(R702*$G702*$I702, "")</f>
        <v>0</v>
      </c>
      <c r="AF702" s="284" t="n">
        <f aca="false">IFERROR(S702*$G702*$I702, "")</f>
        <v>0</v>
      </c>
      <c r="AG702" s="284" t="n">
        <f aca="false">IFERROR(T702*$G702*$I702, "")</f>
        <v>0</v>
      </c>
      <c r="AH702" s="284" t="n">
        <f aca="false">IFERROR(U702*$G702*$I702, "")</f>
        <v>0</v>
      </c>
      <c r="AI702" s="284" t="n">
        <f aca="false">IFERROR(V702*$G702*$I702, "")</f>
        <v>0</v>
      </c>
      <c r="AJ702" s="284" t="n">
        <f aca="false">IFERROR(W702*$G702*$I702, "")</f>
        <v>0</v>
      </c>
      <c r="AK702" s="286" t="n">
        <f aca="false">IFERROR(SUMIF($Y$4:$AJ$4, "RDEC", Y702:AJ702), "")</f>
        <v>0</v>
      </c>
      <c r="AL702" s="286" t="n">
        <f aca="false">IFERROR(SUMIF($Y$4:$AJ$4, "SME", Y702:AJ702), "")</f>
        <v>0</v>
      </c>
      <c r="AM702" s="286" t="n">
        <f aca="false">IFERROR(SUMIF($Y$4:$AJ$4, "De Minimis", Y702:AJ702), "")</f>
        <v>0</v>
      </c>
      <c r="AN702" s="283"/>
      <c r="AO702" s="284" t="n">
        <f aca="false">IFERROR($G702*$J702*L702, "")</f>
        <v>0</v>
      </c>
      <c r="AP702" s="284" t="n">
        <f aca="false">IFERROR($G702*$J702*M702, "")</f>
        <v>0</v>
      </c>
      <c r="AQ702" s="284" t="n">
        <f aca="false">IFERROR($G702*$J702*N702, "")</f>
        <v>0</v>
      </c>
      <c r="AR702" s="284" t="n">
        <f aca="false">IFERROR($G702*$J702*O702, "")</f>
        <v>0</v>
      </c>
      <c r="AS702" s="284" t="n">
        <f aca="false">IFERROR($G702*$J702*P702, "")</f>
        <v>0</v>
      </c>
      <c r="AT702" s="284" t="n">
        <f aca="false">IFERROR($G702*$J702*Q702, "")</f>
        <v>0</v>
      </c>
      <c r="AU702" s="284" t="n">
        <f aca="false">IFERROR($G702*$J702*R702, "")</f>
        <v>0</v>
      </c>
      <c r="AV702" s="284" t="n">
        <f aca="false">IFERROR($G702*$J702*S702, "")</f>
        <v>0</v>
      </c>
      <c r="AW702" s="284" t="n">
        <f aca="false">IFERROR($G702*$J702*T702, "")</f>
        <v>0</v>
      </c>
      <c r="AX702" s="284" t="n">
        <f aca="false">IFERROR($G702*$J702*U702, "")</f>
        <v>0</v>
      </c>
      <c r="AY702" s="284" t="n">
        <f aca="false">IFERROR($G702*$J702*V702, "")</f>
        <v>0</v>
      </c>
      <c r="AZ702" s="284" t="n">
        <f aca="false">IFERROR($G702*$J702*W702, "")</f>
        <v>0</v>
      </c>
      <c r="BA702" s="286" t="n">
        <f aca="false">IFERROR(SUMIF($AO$4:$AZ$4, "RDEC", AO702:AZ702), "")</f>
        <v>0</v>
      </c>
      <c r="BB702" s="286" t="n">
        <f aca="false">IFERROR(SUMIF($AO$4:$AZ$4, "SME", AO702:AZ702), "")</f>
        <v>0</v>
      </c>
      <c r="BC702" s="286" t="n">
        <f aca="false">IFERROR(SUMIF($Y$4:$AJ$4, "De Minimis", AO702:AZ702), "")</f>
        <v>0</v>
      </c>
      <c r="BD702" s="287"/>
      <c r="BE702" s="288" t="str">
        <f aca="false">IF((SUM(L702:W702)&gt;1),"ERROR","")</f>
        <v/>
      </c>
    </row>
    <row r="703" customFormat="false" ht="15" hidden="false" customHeight="true" outlineLevel="0" collapsed="false">
      <c r="B703" s="333"/>
      <c r="C703" s="334"/>
      <c r="D703" s="333" t="n">
        <f aca="false">D687</f>
        <v>45474</v>
      </c>
      <c r="E703" s="277" t="n">
        <v>0</v>
      </c>
      <c r="F703" s="277" t="n">
        <v>0</v>
      </c>
      <c r="G703" s="277" t="n">
        <f aca="false">SUM(E703:F703)</f>
        <v>0</v>
      </c>
      <c r="H703" s="204"/>
      <c r="I703" s="279" t="n">
        <v>1</v>
      </c>
      <c r="J703" s="280" t="n">
        <f aca="false">1-I703</f>
        <v>0</v>
      </c>
      <c r="K703" s="277"/>
      <c r="L703" s="282"/>
      <c r="M703" s="282"/>
      <c r="N703" s="282"/>
      <c r="O703" s="282"/>
      <c r="P703" s="282"/>
      <c r="Q703" s="282"/>
      <c r="R703" s="282"/>
      <c r="S703" s="282"/>
      <c r="T703" s="282"/>
      <c r="U703" s="282"/>
      <c r="V703" s="282"/>
      <c r="W703" s="282"/>
      <c r="X703" s="283"/>
      <c r="Y703" s="284" t="n">
        <f aca="false">IFERROR(L703*$G703*I$9, "")</f>
        <v>0</v>
      </c>
      <c r="Z703" s="284" t="n">
        <f aca="false">IFERROR(M703*$G703*$I703, "")</f>
        <v>0</v>
      </c>
      <c r="AA703" s="284" t="n">
        <f aca="false">IFERROR(N703*$G703*$I703, "")</f>
        <v>0</v>
      </c>
      <c r="AB703" s="284" t="n">
        <f aca="false">IFERROR(O703*$G703*$I703, "")</f>
        <v>0</v>
      </c>
      <c r="AC703" s="284" t="n">
        <f aca="false">IFERROR(P703*$G703*$I703, "")</f>
        <v>0</v>
      </c>
      <c r="AD703" s="284" t="n">
        <f aca="false">IFERROR(Q703*$G703*$I703, "")</f>
        <v>0</v>
      </c>
      <c r="AE703" s="284" t="n">
        <f aca="false">IFERROR(R703*$G703*$I703, "")</f>
        <v>0</v>
      </c>
      <c r="AF703" s="284" t="n">
        <f aca="false">IFERROR(S703*$G703*$I703, "")</f>
        <v>0</v>
      </c>
      <c r="AG703" s="284" t="n">
        <f aca="false">IFERROR(T703*$G703*$I703, "")</f>
        <v>0</v>
      </c>
      <c r="AH703" s="284" t="n">
        <f aca="false">IFERROR(U703*$G703*$I703, "")</f>
        <v>0</v>
      </c>
      <c r="AI703" s="284" t="n">
        <f aca="false">IFERROR(V703*$G703*$I703, "")</f>
        <v>0</v>
      </c>
      <c r="AJ703" s="284" t="n">
        <f aca="false">IFERROR(W703*$G703*$I703, "")</f>
        <v>0</v>
      </c>
      <c r="AK703" s="286" t="n">
        <f aca="false">IFERROR(SUMIF($Y$4:$AJ$4, "RDEC", Y703:AJ703), "")</f>
        <v>0</v>
      </c>
      <c r="AL703" s="286" t="n">
        <f aca="false">IFERROR(SUMIF($Y$4:$AJ$4, "SME", Y703:AJ703), "")</f>
        <v>0</v>
      </c>
      <c r="AM703" s="286" t="n">
        <f aca="false">IFERROR(SUMIF($Y$4:$AJ$4, "De Minimis", Y703:AJ703), "")</f>
        <v>0</v>
      </c>
      <c r="AN703" s="283"/>
      <c r="AO703" s="284" t="n">
        <f aca="false">IFERROR($G703*$J703*L703, "")</f>
        <v>0</v>
      </c>
      <c r="AP703" s="284" t="n">
        <f aca="false">IFERROR($G703*$J703*M703, "")</f>
        <v>0</v>
      </c>
      <c r="AQ703" s="284" t="n">
        <f aca="false">IFERROR($G703*$J703*N703, "")</f>
        <v>0</v>
      </c>
      <c r="AR703" s="284" t="n">
        <f aca="false">IFERROR($G703*$J703*O703, "")</f>
        <v>0</v>
      </c>
      <c r="AS703" s="284" t="n">
        <f aca="false">IFERROR($G703*$J703*P703, "")</f>
        <v>0</v>
      </c>
      <c r="AT703" s="284" t="n">
        <f aca="false">IFERROR($G703*$J703*Q703, "")</f>
        <v>0</v>
      </c>
      <c r="AU703" s="284" t="n">
        <f aca="false">IFERROR($G703*$J703*R703, "")</f>
        <v>0</v>
      </c>
      <c r="AV703" s="284" t="n">
        <f aca="false">IFERROR($G703*$J703*S703, "")</f>
        <v>0</v>
      </c>
      <c r="AW703" s="284" t="n">
        <f aca="false">IFERROR($G703*$J703*T703, "")</f>
        <v>0</v>
      </c>
      <c r="AX703" s="284" t="n">
        <f aca="false">IFERROR($G703*$J703*U703, "")</f>
        <v>0</v>
      </c>
      <c r="AY703" s="284" t="n">
        <f aca="false">IFERROR($G703*$J703*V703, "")</f>
        <v>0</v>
      </c>
      <c r="AZ703" s="284" t="n">
        <f aca="false">IFERROR($G703*$J703*W703, "")</f>
        <v>0</v>
      </c>
      <c r="BA703" s="286" t="n">
        <f aca="false">IFERROR(SUMIF($AO$4:$AZ$4, "RDEC", AO703:AZ703), "")</f>
        <v>0</v>
      </c>
      <c r="BB703" s="286" t="n">
        <f aca="false">IFERROR(SUMIF($AO$4:$AZ$4, "SME", AO703:AZ703), "")</f>
        <v>0</v>
      </c>
      <c r="BC703" s="286" t="n">
        <f aca="false">IFERROR(SUMIF($Y$4:$AJ$4, "De Minimis", AO703:AZ703), "")</f>
        <v>0</v>
      </c>
      <c r="BD703" s="287"/>
      <c r="BE703" s="288" t="str">
        <f aca="false">IF((SUM(L703:W703)&gt;1),"ERROR","")</f>
        <v/>
      </c>
    </row>
    <row r="704" customFormat="false" ht="15" hidden="false" customHeight="true" outlineLevel="0" collapsed="false">
      <c r="B704" s="333"/>
      <c r="C704" s="334"/>
      <c r="D704" s="333" t="n">
        <f aca="false">D688</f>
        <v>45505</v>
      </c>
      <c r="E704" s="277" t="n">
        <v>0</v>
      </c>
      <c r="F704" s="277" t="n">
        <v>0</v>
      </c>
      <c r="G704" s="277" t="n">
        <f aca="false">SUM(E704:F704)</f>
        <v>0</v>
      </c>
      <c r="H704" s="204"/>
      <c r="I704" s="279" t="n">
        <v>1</v>
      </c>
      <c r="J704" s="280" t="n">
        <f aca="false">1-I704</f>
        <v>0</v>
      </c>
      <c r="K704" s="277"/>
      <c r="L704" s="282"/>
      <c r="M704" s="282"/>
      <c r="N704" s="282"/>
      <c r="O704" s="282"/>
      <c r="P704" s="282"/>
      <c r="Q704" s="282"/>
      <c r="R704" s="282"/>
      <c r="S704" s="282"/>
      <c r="T704" s="282"/>
      <c r="U704" s="282"/>
      <c r="V704" s="282"/>
      <c r="W704" s="282"/>
      <c r="X704" s="283"/>
      <c r="Y704" s="284" t="n">
        <f aca="false">IFERROR(L704*$G704*I$9, "")</f>
        <v>0</v>
      </c>
      <c r="Z704" s="284" t="n">
        <f aca="false">IFERROR(M704*$G704*$I704, "")</f>
        <v>0</v>
      </c>
      <c r="AA704" s="284" t="n">
        <f aca="false">IFERROR(N704*$G704*$I704, "")</f>
        <v>0</v>
      </c>
      <c r="AB704" s="284" t="n">
        <f aca="false">IFERROR(O704*$G704*$I704, "")</f>
        <v>0</v>
      </c>
      <c r="AC704" s="284" t="n">
        <f aca="false">IFERROR(P704*$G704*$I704, "")</f>
        <v>0</v>
      </c>
      <c r="AD704" s="284" t="n">
        <f aca="false">IFERROR(Q704*$G704*$I704, "")</f>
        <v>0</v>
      </c>
      <c r="AE704" s="284" t="n">
        <f aca="false">IFERROR(R704*$G704*$I704, "")</f>
        <v>0</v>
      </c>
      <c r="AF704" s="284" t="n">
        <f aca="false">IFERROR(S704*$G704*$I704, "")</f>
        <v>0</v>
      </c>
      <c r="AG704" s="284" t="n">
        <f aca="false">IFERROR(T704*$G704*$I704, "")</f>
        <v>0</v>
      </c>
      <c r="AH704" s="284" t="n">
        <f aca="false">IFERROR(U704*$G704*$I704, "")</f>
        <v>0</v>
      </c>
      <c r="AI704" s="284" t="n">
        <f aca="false">IFERROR(V704*$G704*$I704, "")</f>
        <v>0</v>
      </c>
      <c r="AJ704" s="284" t="n">
        <f aca="false">IFERROR(W704*$G704*$I704, "")</f>
        <v>0</v>
      </c>
      <c r="AK704" s="286" t="n">
        <f aca="false">IFERROR(SUMIF($Y$4:$AJ$4, "RDEC", Y704:AJ704), "")</f>
        <v>0</v>
      </c>
      <c r="AL704" s="286" t="n">
        <f aca="false">IFERROR(SUMIF($Y$4:$AJ$4, "SME", Y704:AJ704), "")</f>
        <v>0</v>
      </c>
      <c r="AM704" s="286" t="n">
        <f aca="false">IFERROR(SUMIF($Y$4:$AJ$4, "De Minimis", Y704:AJ704), "")</f>
        <v>0</v>
      </c>
      <c r="AN704" s="283"/>
      <c r="AO704" s="284" t="n">
        <f aca="false">IFERROR($G704*$J704*L704, "")</f>
        <v>0</v>
      </c>
      <c r="AP704" s="284" t="n">
        <f aca="false">IFERROR($G704*$J704*M704, "")</f>
        <v>0</v>
      </c>
      <c r="AQ704" s="284" t="n">
        <f aca="false">IFERROR($G704*$J704*N704, "")</f>
        <v>0</v>
      </c>
      <c r="AR704" s="284" t="n">
        <f aca="false">IFERROR($G704*$J704*O704, "")</f>
        <v>0</v>
      </c>
      <c r="AS704" s="284" t="n">
        <f aca="false">IFERROR($G704*$J704*P704, "")</f>
        <v>0</v>
      </c>
      <c r="AT704" s="284" t="n">
        <f aca="false">IFERROR($G704*$J704*Q704, "")</f>
        <v>0</v>
      </c>
      <c r="AU704" s="284" t="n">
        <f aca="false">IFERROR($G704*$J704*R704, "")</f>
        <v>0</v>
      </c>
      <c r="AV704" s="284" t="n">
        <f aca="false">IFERROR($G704*$J704*S704, "")</f>
        <v>0</v>
      </c>
      <c r="AW704" s="284" t="n">
        <f aca="false">IFERROR($G704*$J704*T704, "")</f>
        <v>0</v>
      </c>
      <c r="AX704" s="284" t="n">
        <f aca="false">IFERROR($G704*$J704*U704, "")</f>
        <v>0</v>
      </c>
      <c r="AY704" s="284" t="n">
        <f aca="false">IFERROR($G704*$J704*V704, "")</f>
        <v>0</v>
      </c>
      <c r="AZ704" s="284" t="n">
        <f aca="false">IFERROR($G704*$J704*W704, "")</f>
        <v>0</v>
      </c>
      <c r="BA704" s="286" t="n">
        <f aca="false">IFERROR(SUMIF($AO$4:$AZ$4, "RDEC", AO704:AZ704), "")</f>
        <v>0</v>
      </c>
      <c r="BB704" s="286" t="n">
        <f aca="false">IFERROR(SUMIF($AO$4:$AZ$4, "SME", AO704:AZ704), "")</f>
        <v>0</v>
      </c>
      <c r="BC704" s="286" t="n">
        <f aca="false">IFERROR(SUMIF($Y$4:$AJ$4, "De Minimis", AO704:AZ704), "")</f>
        <v>0</v>
      </c>
      <c r="BD704" s="287"/>
      <c r="BE704" s="288" t="str">
        <f aca="false">IF((SUM(L704:W704)&gt;1),"ERROR","")</f>
        <v/>
      </c>
    </row>
    <row r="705" customFormat="false" ht="15" hidden="false" customHeight="true" outlineLevel="0" collapsed="false">
      <c r="B705" s="333"/>
      <c r="C705" s="334"/>
      <c r="D705" s="333" t="n">
        <f aca="false">D689</f>
        <v>45536</v>
      </c>
      <c r="E705" s="277" t="n">
        <v>0</v>
      </c>
      <c r="F705" s="277" t="n">
        <v>0</v>
      </c>
      <c r="G705" s="277" t="n">
        <f aca="false">SUM(E705:F705)</f>
        <v>0</v>
      </c>
      <c r="H705" s="204"/>
      <c r="I705" s="279" t="n">
        <v>1</v>
      </c>
      <c r="J705" s="280" t="n">
        <f aca="false">1-I705</f>
        <v>0</v>
      </c>
      <c r="K705" s="277"/>
      <c r="L705" s="282"/>
      <c r="M705" s="282"/>
      <c r="N705" s="282"/>
      <c r="O705" s="282"/>
      <c r="P705" s="282"/>
      <c r="Q705" s="282"/>
      <c r="R705" s="282"/>
      <c r="S705" s="282"/>
      <c r="T705" s="282"/>
      <c r="U705" s="282"/>
      <c r="V705" s="282"/>
      <c r="W705" s="282"/>
      <c r="X705" s="283"/>
      <c r="Y705" s="284" t="n">
        <f aca="false">IFERROR(L705*$G705*I$9, "")</f>
        <v>0</v>
      </c>
      <c r="Z705" s="284" t="n">
        <f aca="false">IFERROR(M705*$G705*$I705, "")</f>
        <v>0</v>
      </c>
      <c r="AA705" s="284" t="n">
        <f aca="false">IFERROR(N705*$G705*$I705, "")</f>
        <v>0</v>
      </c>
      <c r="AB705" s="284" t="n">
        <f aca="false">IFERROR(O705*$G705*$I705, "")</f>
        <v>0</v>
      </c>
      <c r="AC705" s="284" t="n">
        <f aca="false">IFERROR(P705*$G705*$I705, "")</f>
        <v>0</v>
      </c>
      <c r="AD705" s="284" t="n">
        <f aca="false">IFERROR(Q705*$G705*$I705, "")</f>
        <v>0</v>
      </c>
      <c r="AE705" s="284" t="n">
        <f aca="false">IFERROR(R705*$G705*$I705, "")</f>
        <v>0</v>
      </c>
      <c r="AF705" s="284" t="n">
        <f aca="false">IFERROR(S705*$G705*$I705, "")</f>
        <v>0</v>
      </c>
      <c r="AG705" s="284" t="n">
        <f aca="false">IFERROR(T705*$G705*$I705, "")</f>
        <v>0</v>
      </c>
      <c r="AH705" s="284" t="n">
        <f aca="false">IFERROR(U705*$G705*$I705, "")</f>
        <v>0</v>
      </c>
      <c r="AI705" s="284" t="n">
        <f aca="false">IFERROR(V705*$G705*$I705, "")</f>
        <v>0</v>
      </c>
      <c r="AJ705" s="284" t="n">
        <f aca="false">IFERROR(W705*$G705*$I705, "")</f>
        <v>0</v>
      </c>
      <c r="AK705" s="286" t="n">
        <f aca="false">IFERROR(SUMIF($Y$4:$AJ$4, "RDEC", Y705:AJ705), "")</f>
        <v>0</v>
      </c>
      <c r="AL705" s="286" t="n">
        <f aca="false">IFERROR(SUMIF($Y$4:$AJ$4, "SME", Y705:AJ705), "")</f>
        <v>0</v>
      </c>
      <c r="AM705" s="286" t="n">
        <f aca="false">IFERROR(SUMIF($Y$4:$AJ$4, "De Minimis", Y705:AJ705), "")</f>
        <v>0</v>
      </c>
      <c r="AN705" s="283"/>
      <c r="AO705" s="284" t="n">
        <f aca="false">IFERROR($G705*$J705*L705, "")</f>
        <v>0</v>
      </c>
      <c r="AP705" s="284" t="n">
        <f aca="false">IFERROR($G705*$J705*M705, "")</f>
        <v>0</v>
      </c>
      <c r="AQ705" s="284" t="n">
        <f aca="false">IFERROR($G705*$J705*N705, "")</f>
        <v>0</v>
      </c>
      <c r="AR705" s="284" t="n">
        <f aca="false">IFERROR($G705*$J705*O705, "")</f>
        <v>0</v>
      </c>
      <c r="AS705" s="284" t="n">
        <f aca="false">IFERROR($G705*$J705*P705, "")</f>
        <v>0</v>
      </c>
      <c r="AT705" s="284" t="n">
        <f aca="false">IFERROR($G705*$J705*Q705, "")</f>
        <v>0</v>
      </c>
      <c r="AU705" s="284" t="n">
        <f aca="false">IFERROR($G705*$J705*R705, "")</f>
        <v>0</v>
      </c>
      <c r="AV705" s="284" t="n">
        <f aca="false">IFERROR($G705*$J705*S705, "")</f>
        <v>0</v>
      </c>
      <c r="AW705" s="284" t="n">
        <f aca="false">IFERROR($G705*$J705*T705, "")</f>
        <v>0</v>
      </c>
      <c r="AX705" s="284" t="n">
        <f aca="false">IFERROR($G705*$J705*U705, "")</f>
        <v>0</v>
      </c>
      <c r="AY705" s="284" t="n">
        <f aca="false">IFERROR($G705*$J705*V705, "")</f>
        <v>0</v>
      </c>
      <c r="AZ705" s="284" t="n">
        <f aca="false">IFERROR($G705*$J705*W705, "")</f>
        <v>0</v>
      </c>
      <c r="BA705" s="286" t="n">
        <f aca="false">IFERROR(SUMIF($AO$4:$AZ$4, "RDEC", AO705:AZ705), "")</f>
        <v>0</v>
      </c>
      <c r="BB705" s="286" t="n">
        <f aca="false">IFERROR(SUMIF($AO$4:$AZ$4, "SME", AO705:AZ705), "")</f>
        <v>0</v>
      </c>
      <c r="BC705" s="286" t="n">
        <f aca="false">IFERROR(SUMIF($Y$4:$AJ$4, "De Minimis", AO705:AZ705), "")</f>
        <v>0</v>
      </c>
      <c r="BD705" s="287"/>
      <c r="BE705" s="288" t="str">
        <f aca="false">IF((SUM(L705:W705)&gt;1),"ERROR","")</f>
        <v/>
      </c>
    </row>
    <row r="706" customFormat="false" ht="15" hidden="false" customHeight="true" outlineLevel="0" collapsed="false">
      <c r="B706" s="333"/>
      <c r="C706" s="334"/>
      <c r="D706" s="333" t="n">
        <f aca="false">D690</f>
        <v>45566</v>
      </c>
      <c r="E706" s="277" t="n">
        <v>0</v>
      </c>
      <c r="F706" s="277" t="n">
        <v>0</v>
      </c>
      <c r="G706" s="277" t="n">
        <f aca="false">SUM(E706:F706)</f>
        <v>0</v>
      </c>
      <c r="H706" s="204"/>
      <c r="I706" s="279" t="n">
        <v>1</v>
      </c>
      <c r="J706" s="280" t="n">
        <f aca="false">1-I706</f>
        <v>0</v>
      </c>
      <c r="K706" s="277"/>
      <c r="L706" s="282"/>
      <c r="M706" s="282"/>
      <c r="N706" s="282"/>
      <c r="O706" s="282"/>
      <c r="P706" s="282"/>
      <c r="Q706" s="282"/>
      <c r="R706" s="282"/>
      <c r="S706" s="282"/>
      <c r="T706" s="282"/>
      <c r="U706" s="282"/>
      <c r="V706" s="282"/>
      <c r="W706" s="282"/>
      <c r="X706" s="283"/>
      <c r="Y706" s="284" t="n">
        <f aca="false">IFERROR(L706*$G706*I$9, "")</f>
        <v>0</v>
      </c>
      <c r="Z706" s="284" t="n">
        <f aca="false">IFERROR(M706*$G706*$I706, "")</f>
        <v>0</v>
      </c>
      <c r="AA706" s="284" t="n">
        <f aca="false">IFERROR(N706*$G706*$I706, "")</f>
        <v>0</v>
      </c>
      <c r="AB706" s="284" t="n">
        <f aca="false">IFERROR(O706*$G706*$I706, "")</f>
        <v>0</v>
      </c>
      <c r="AC706" s="284" t="n">
        <f aca="false">IFERROR(P706*$G706*$I706, "")</f>
        <v>0</v>
      </c>
      <c r="AD706" s="284" t="n">
        <f aca="false">IFERROR(Q706*$G706*$I706, "")</f>
        <v>0</v>
      </c>
      <c r="AE706" s="284" t="n">
        <f aca="false">IFERROR(R706*$G706*$I706, "")</f>
        <v>0</v>
      </c>
      <c r="AF706" s="284" t="n">
        <f aca="false">IFERROR(S706*$G706*$I706, "")</f>
        <v>0</v>
      </c>
      <c r="AG706" s="284" t="n">
        <f aca="false">IFERROR(T706*$G706*$I706, "")</f>
        <v>0</v>
      </c>
      <c r="AH706" s="284" t="n">
        <f aca="false">IFERROR(U706*$G706*$I706, "")</f>
        <v>0</v>
      </c>
      <c r="AI706" s="284" t="n">
        <f aca="false">IFERROR(V706*$G706*$I706, "")</f>
        <v>0</v>
      </c>
      <c r="AJ706" s="284" t="n">
        <f aca="false">IFERROR(W706*$G706*$I706, "")</f>
        <v>0</v>
      </c>
      <c r="AK706" s="286" t="n">
        <f aca="false">IFERROR(SUMIF($Y$4:$AJ$4, "RDEC", Y706:AJ706), "")</f>
        <v>0</v>
      </c>
      <c r="AL706" s="286" t="n">
        <f aca="false">IFERROR(SUMIF($Y$4:$AJ$4, "SME", Y706:AJ706), "")</f>
        <v>0</v>
      </c>
      <c r="AM706" s="286" t="n">
        <f aca="false">IFERROR(SUMIF($Y$4:$AJ$4, "De Minimis", Y706:AJ706), "")</f>
        <v>0</v>
      </c>
      <c r="AN706" s="283"/>
      <c r="AO706" s="284" t="n">
        <f aca="false">IFERROR($G706*$J706*L706, "")</f>
        <v>0</v>
      </c>
      <c r="AP706" s="284" t="n">
        <f aca="false">IFERROR($G706*$J706*M706, "")</f>
        <v>0</v>
      </c>
      <c r="AQ706" s="284" t="n">
        <f aca="false">IFERROR($G706*$J706*N706, "")</f>
        <v>0</v>
      </c>
      <c r="AR706" s="284" t="n">
        <f aca="false">IFERROR($G706*$J706*O706, "")</f>
        <v>0</v>
      </c>
      <c r="AS706" s="284" t="n">
        <f aca="false">IFERROR($G706*$J706*P706, "")</f>
        <v>0</v>
      </c>
      <c r="AT706" s="284" t="n">
        <f aca="false">IFERROR($G706*$J706*Q706, "")</f>
        <v>0</v>
      </c>
      <c r="AU706" s="284" t="n">
        <f aca="false">IFERROR($G706*$J706*R706, "")</f>
        <v>0</v>
      </c>
      <c r="AV706" s="284" t="n">
        <f aca="false">IFERROR($G706*$J706*S706, "")</f>
        <v>0</v>
      </c>
      <c r="AW706" s="284" t="n">
        <f aca="false">IFERROR($G706*$J706*T706, "")</f>
        <v>0</v>
      </c>
      <c r="AX706" s="284" t="n">
        <f aca="false">IFERROR($G706*$J706*U706, "")</f>
        <v>0</v>
      </c>
      <c r="AY706" s="284" t="n">
        <f aca="false">IFERROR($G706*$J706*V706, "")</f>
        <v>0</v>
      </c>
      <c r="AZ706" s="284" t="n">
        <f aca="false">IFERROR($G706*$J706*W706, "")</f>
        <v>0</v>
      </c>
      <c r="BA706" s="286" t="n">
        <f aca="false">IFERROR(SUMIF($AO$4:$AZ$4, "RDEC", AO706:AZ706), "")</f>
        <v>0</v>
      </c>
      <c r="BB706" s="286" t="n">
        <f aca="false">IFERROR(SUMIF($AO$4:$AZ$4, "SME", AO706:AZ706), "")</f>
        <v>0</v>
      </c>
      <c r="BC706" s="286" t="n">
        <f aca="false">IFERROR(SUMIF($Y$4:$AJ$4, "De Minimis", AO706:AZ706), "")</f>
        <v>0</v>
      </c>
      <c r="BD706" s="287"/>
      <c r="BE706" s="288" t="str">
        <f aca="false">IF((SUM(L706:W706)&gt;1),"ERROR","")</f>
        <v/>
      </c>
    </row>
    <row r="707" customFormat="false" ht="15" hidden="false" customHeight="true" outlineLevel="0" collapsed="false">
      <c r="B707" s="333"/>
      <c r="C707" s="334"/>
      <c r="D707" s="333" t="n">
        <f aca="false">D691</f>
        <v>45597</v>
      </c>
      <c r="E707" s="277" t="n">
        <v>0</v>
      </c>
      <c r="F707" s="277" t="n">
        <v>0</v>
      </c>
      <c r="G707" s="277" t="n">
        <f aca="false">SUM(E707:F707)</f>
        <v>0</v>
      </c>
      <c r="H707" s="204"/>
      <c r="I707" s="279" t="n">
        <v>1</v>
      </c>
      <c r="J707" s="280" t="n">
        <f aca="false">1-I707</f>
        <v>0</v>
      </c>
      <c r="K707" s="277"/>
      <c r="L707" s="282"/>
      <c r="M707" s="282"/>
      <c r="N707" s="282"/>
      <c r="O707" s="282"/>
      <c r="P707" s="282"/>
      <c r="Q707" s="282"/>
      <c r="R707" s="282"/>
      <c r="S707" s="282"/>
      <c r="T707" s="282"/>
      <c r="U707" s="282"/>
      <c r="V707" s="282"/>
      <c r="W707" s="282"/>
      <c r="X707" s="283"/>
      <c r="Y707" s="284" t="n">
        <f aca="false">IFERROR(L707*$G707*I$9, "")</f>
        <v>0</v>
      </c>
      <c r="Z707" s="284" t="n">
        <f aca="false">IFERROR(M707*$G707*$I707, "")</f>
        <v>0</v>
      </c>
      <c r="AA707" s="284" t="n">
        <f aca="false">IFERROR(N707*$G707*$I707, "")</f>
        <v>0</v>
      </c>
      <c r="AB707" s="284" t="n">
        <f aca="false">IFERROR(O707*$G707*$I707, "")</f>
        <v>0</v>
      </c>
      <c r="AC707" s="284" t="n">
        <f aca="false">IFERROR(P707*$G707*$I707, "")</f>
        <v>0</v>
      </c>
      <c r="AD707" s="284" t="n">
        <f aca="false">IFERROR(Q707*$G707*$I707, "")</f>
        <v>0</v>
      </c>
      <c r="AE707" s="284" t="n">
        <f aca="false">IFERROR(R707*$G707*$I707, "")</f>
        <v>0</v>
      </c>
      <c r="AF707" s="284" t="n">
        <f aca="false">IFERROR(S707*$G707*$I707, "")</f>
        <v>0</v>
      </c>
      <c r="AG707" s="284" t="n">
        <f aca="false">IFERROR(T707*$G707*$I707, "")</f>
        <v>0</v>
      </c>
      <c r="AH707" s="284" t="n">
        <f aca="false">IFERROR(U707*$G707*$I707, "")</f>
        <v>0</v>
      </c>
      <c r="AI707" s="284" t="n">
        <f aca="false">IFERROR(V707*$G707*$I707, "")</f>
        <v>0</v>
      </c>
      <c r="AJ707" s="284" t="n">
        <f aca="false">IFERROR(W707*$G707*$I707, "")</f>
        <v>0</v>
      </c>
      <c r="AK707" s="286" t="n">
        <f aca="false">IFERROR(SUMIF($Y$4:$AJ$4, "RDEC", Y707:AJ707), "")</f>
        <v>0</v>
      </c>
      <c r="AL707" s="286" t="n">
        <f aca="false">IFERROR(SUMIF($Y$4:$AJ$4, "SME", Y707:AJ707), "")</f>
        <v>0</v>
      </c>
      <c r="AM707" s="286" t="n">
        <f aca="false">IFERROR(SUMIF($Y$4:$AJ$4, "De Minimis", Y707:AJ707), "")</f>
        <v>0</v>
      </c>
      <c r="AN707" s="283"/>
      <c r="AO707" s="284" t="n">
        <f aca="false">IFERROR($G707*$J707*L707, "")</f>
        <v>0</v>
      </c>
      <c r="AP707" s="284" t="n">
        <f aca="false">IFERROR($G707*$J707*M707, "")</f>
        <v>0</v>
      </c>
      <c r="AQ707" s="284" t="n">
        <f aca="false">IFERROR($G707*$J707*N707, "")</f>
        <v>0</v>
      </c>
      <c r="AR707" s="284" t="n">
        <f aca="false">IFERROR($G707*$J707*O707, "")</f>
        <v>0</v>
      </c>
      <c r="AS707" s="284" t="n">
        <f aca="false">IFERROR($G707*$J707*P707, "")</f>
        <v>0</v>
      </c>
      <c r="AT707" s="284" t="n">
        <f aca="false">IFERROR($G707*$J707*Q707, "")</f>
        <v>0</v>
      </c>
      <c r="AU707" s="284" t="n">
        <f aca="false">IFERROR($G707*$J707*R707, "")</f>
        <v>0</v>
      </c>
      <c r="AV707" s="284" t="n">
        <f aca="false">IFERROR($G707*$J707*S707, "")</f>
        <v>0</v>
      </c>
      <c r="AW707" s="284" t="n">
        <f aca="false">IFERROR($G707*$J707*T707, "")</f>
        <v>0</v>
      </c>
      <c r="AX707" s="284" t="n">
        <f aca="false">IFERROR($G707*$J707*U707, "")</f>
        <v>0</v>
      </c>
      <c r="AY707" s="284" t="n">
        <f aca="false">IFERROR($G707*$J707*V707, "")</f>
        <v>0</v>
      </c>
      <c r="AZ707" s="284" t="n">
        <f aca="false">IFERROR($G707*$J707*W707, "")</f>
        <v>0</v>
      </c>
      <c r="BA707" s="286" t="n">
        <f aca="false">IFERROR(SUMIF($AO$4:$AZ$4, "RDEC", AO707:AZ707), "")</f>
        <v>0</v>
      </c>
      <c r="BB707" s="286" t="n">
        <f aca="false">IFERROR(SUMIF($AO$4:$AZ$4, "SME", AO707:AZ707), "")</f>
        <v>0</v>
      </c>
      <c r="BC707" s="286" t="n">
        <f aca="false">IFERROR(SUMIF($Y$4:$AJ$4, "De Minimis", AO707:AZ707), "")</f>
        <v>0</v>
      </c>
      <c r="BD707" s="287"/>
      <c r="BE707" s="288" t="str">
        <f aca="false">IF((SUM(L707:W707)&gt;1),"ERROR","")</f>
        <v/>
      </c>
    </row>
    <row r="708" customFormat="false" ht="15" hidden="false" customHeight="true" outlineLevel="0" collapsed="false">
      <c r="B708" s="333"/>
      <c r="C708" s="334"/>
      <c r="D708" s="333" t="n">
        <f aca="false">D692</f>
        <v>45627</v>
      </c>
      <c r="E708" s="277" t="n">
        <v>0</v>
      </c>
      <c r="F708" s="277" t="n">
        <v>0</v>
      </c>
      <c r="G708" s="277" t="n">
        <f aca="false">SUM(E708:F708)</f>
        <v>0</v>
      </c>
      <c r="H708" s="300"/>
      <c r="I708" s="289" t="n">
        <v>1</v>
      </c>
      <c r="J708" s="290" t="n">
        <f aca="false">1-I708</f>
        <v>0</v>
      </c>
      <c r="K708" s="300"/>
      <c r="L708" s="291"/>
      <c r="M708" s="291"/>
      <c r="N708" s="291"/>
      <c r="O708" s="291"/>
      <c r="P708" s="291"/>
      <c r="Q708" s="291"/>
      <c r="R708" s="291"/>
      <c r="S708" s="291"/>
      <c r="T708" s="291"/>
      <c r="U708" s="291"/>
      <c r="V708" s="291"/>
      <c r="W708" s="291"/>
      <c r="X708" s="283"/>
      <c r="Y708" s="284" t="n">
        <f aca="false">IFERROR(L708*$G708*I$9, "")</f>
        <v>0</v>
      </c>
      <c r="Z708" s="284" t="n">
        <f aca="false">IFERROR(M708*$G708*$I708, "")</f>
        <v>0</v>
      </c>
      <c r="AA708" s="284" t="n">
        <f aca="false">IFERROR(N708*$G708*$I708, "")</f>
        <v>0</v>
      </c>
      <c r="AB708" s="284" t="n">
        <f aca="false">IFERROR(O708*$G708*$I708, "")</f>
        <v>0</v>
      </c>
      <c r="AC708" s="284" t="n">
        <f aca="false">IFERROR(P708*$G708*$I708, "")</f>
        <v>0</v>
      </c>
      <c r="AD708" s="284" t="n">
        <f aca="false">IFERROR(Q708*$G708*$I708, "")</f>
        <v>0</v>
      </c>
      <c r="AE708" s="284" t="n">
        <f aca="false">IFERROR(R708*$G708*$I708, "")</f>
        <v>0</v>
      </c>
      <c r="AF708" s="284" t="n">
        <f aca="false">IFERROR(S708*$G708*$I708, "")</f>
        <v>0</v>
      </c>
      <c r="AG708" s="284" t="n">
        <f aca="false">IFERROR(T708*$G708*$I708, "")</f>
        <v>0</v>
      </c>
      <c r="AH708" s="284" t="n">
        <f aca="false">IFERROR(U708*$G708*$I708, "")</f>
        <v>0</v>
      </c>
      <c r="AI708" s="284" t="n">
        <f aca="false">IFERROR(V708*$G708*$I708, "")</f>
        <v>0</v>
      </c>
      <c r="AJ708" s="284" t="n">
        <f aca="false">IFERROR(W708*$G708*$I708, "")</f>
        <v>0</v>
      </c>
      <c r="AK708" s="294" t="n">
        <f aca="false">IFERROR(SUMIF($Y$4:$AJ$4, "RDEC", Y708:AJ708), "")</f>
        <v>0</v>
      </c>
      <c r="AL708" s="294" t="n">
        <f aca="false">IFERROR(SUMIF($Y$4:$AJ$4, "SME", Y708:AJ708), "")</f>
        <v>0</v>
      </c>
      <c r="AM708" s="294" t="n">
        <f aca="false">IFERROR(SUMIF($Y$4:$AJ$4, "De Minimis", Y708:AJ708), "")</f>
        <v>0</v>
      </c>
      <c r="AN708" s="283"/>
      <c r="AO708" s="284" t="n">
        <f aca="false">IFERROR($G708*$J708*L708, "")</f>
        <v>0</v>
      </c>
      <c r="AP708" s="284" t="n">
        <f aca="false">IFERROR($G708*$J708*M708, "")</f>
        <v>0</v>
      </c>
      <c r="AQ708" s="284" t="n">
        <f aca="false">IFERROR($G708*$J708*N708, "")</f>
        <v>0</v>
      </c>
      <c r="AR708" s="284" t="n">
        <f aca="false">IFERROR($G708*$J708*O708, "")</f>
        <v>0</v>
      </c>
      <c r="AS708" s="284" t="n">
        <f aca="false">IFERROR($G708*$J708*P708, "")</f>
        <v>0</v>
      </c>
      <c r="AT708" s="284" t="n">
        <f aca="false">IFERROR($G708*$J708*Q708, "")</f>
        <v>0</v>
      </c>
      <c r="AU708" s="284" t="n">
        <f aca="false">IFERROR($G708*$J708*R708, "")</f>
        <v>0</v>
      </c>
      <c r="AV708" s="284" t="n">
        <f aca="false">IFERROR($G708*$J708*S708, "")</f>
        <v>0</v>
      </c>
      <c r="AW708" s="284" t="n">
        <f aca="false">IFERROR($G708*$J708*T708, "")</f>
        <v>0</v>
      </c>
      <c r="AX708" s="284" t="n">
        <f aca="false">IFERROR($G708*$J708*U708, "")</f>
        <v>0</v>
      </c>
      <c r="AY708" s="284" t="n">
        <f aca="false">IFERROR($G708*$J708*V708, "")</f>
        <v>0</v>
      </c>
      <c r="AZ708" s="284" t="n">
        <f aca="false">IFERROR($G708*$J708*W708, "")</f>
        <v>0</v>
      </c>
      <c r="BA708" s="286" t="n">
        <f aca="false">IFERROR(SUMIF($AO$4:$AZ$4, "RDEC", AO708:AZ708), "")</f>
        <v>0</v>
      </c>
      <c r="BB708" s="286" t="n">
        <f aca="false">IFERROR(SUMIF($AO$4:$AZ$4, "SME", AO708:AZ708), "")</f>
        <v>0</v>
      </c>
      <c r="BC708" s="294" t="n">
        <f aca="false">IFERROR(SUMIF($Y$4:$AJ$4, "De Minimis", AO708:AZ708), "")</f>
        <v>0</v>
      </c>
      <c r="BD708" s="303"/>
      <c r="BE708" s="295" t="str">
        <f aca="false">IF((SUM(L708:W708)&gt;1),"ERROR","")</f>
        <v/>
      </c>
    </row>
    <row r="709" customFormat="false" ht="15" hidden="false" customHeight="true" outlineLevel="0" collapsed="false">
      <c r="B709" s="296"/>
      <c r="D709" s="297" t="s">
        <v>82</v>
      </c>
      <c r="E709" s="299" t="n">
        <f aca="false">SUM(E697:E708)</f>
        <v>0</v>
      </c>
      <c r="F709" s="299" t="n">
        <f aca="false">SUM(F697:F708)</f>
        <v>0</v>
      </c>
      <c r="G709" s="299" t="n">
        <f aca="false">SUM(G697:G708)</f>
        <v>0</v>
      </c>
      <c r="H709" s="300"/>
      <c r="I709" s="301" t="n">
        <f aca="false">AVERAGE(I697:I708)</f>
        <v>1</v>
      </c>
      <c r="J709" s="301" t="n">
        <f aca="false">AVERAGE(J697:J708)</f>
        <v>0</v>
      </c>
      <c r="K709" s="300"/>
      <c r="L709" s="290" t="n">
        <f aca="false">IF(SUM(L697:L708)&gt;0,(Y709/G709),0)</f>
        <v>0</v>
      </c>
      <c r="M709" s="301" t="n">
        <f aca="false">IF(SUM(M697:M708)&gt;0,(Z709/G709),0)</f>
        <v>0</v>
      </c>
      <c r="N709" s="301" t="n">
        <f aca="false">IF(SUM(N697:N708)&gt;0,(AA709/G709),0)</f>
        <v>0</v>
      </c>
      <c r="O709" s="301" t="n">
        <f aca="false">IF(SUM(O697:O708)&gt;0,(AB709/G709),0)</f>
        <v>0</v>
      </c>
      <c r="P709" s="301" t="n">
        <f aca="false">IF(SUM(P697:P708)&gt;0,(AC709/G709),0)</f>
        <v>0</v>
      </c>
      <c r="Q709" s="301" t="n">
        <f aca="false">IF(SUM(Q697:Q708)&gt;0,(AD709/G709),0)</f>
        <v>0</v>
      </c>
      <c r="R709" s="301" t="n">
        <f aca="false">IF(SUM(R697:R708)&gt;0,(AE709/G709),0)</f>
        <v>0</v>
      </c>
      <c r="S709" s="301" t="n">
        <f aca="false">IF(SUM(S697:S708)&gt;0,(AF709/G709),0)</f>
        <v>0</v>
      </c>
      <c r="T709" s="301" t="n">
        <f aca="false">IF(SUM(T697:T708)&gt;0,(AG709/G709),0)</f>
        <v>0</v>
      </c>
      <c r="U709" s="301" t="n">
        <f aca="false">IF(SUM(U697:U708)&gt;0,(AJ709/G709),0)</f>
        <v>0</v>
      </c>
      <c r="V709" s="301" t="n">
        <f aca="false">IF(SUM(V697:V708)&gt;0,(AI709/G709),0)</f>
        <v>0</v>
      </c>
      <c r="W709" s="301" t="n">
        <f aca="false">IF(SUM(W697:W708)&gt;0,(AJ709/G709),0)</f>
        <v>0</v>
      </c>
      <c r="X709" s="283"/>
      <c r="Y709" s="304" t="n">
        <f aca="false">SUM(Y697:Y708)</f>
        <v>0</v>
      </c>
      <c r="Z709" s="304" t="n">
        <f aca="false">SUM(Z697:Z708)</f>
        <v>0</v>
      </c>
      <c r="AA709" s="304" t="n">
        <f aca="false">SUM(AA697:AA708)</f>
        <v>0</v>
      </c>
      <c r="AB709" s="304" t="n">
        <f aca="false">SUM(AB697:AB708)</f>
        <v>0</v>
      </c>
      <c r="AC709" s="304" t="n">
        <f aca="false">SUM(AC697:AC708)</f>
        <v>0</v>
      </c>
      <c r="AD709" s="304" t="n">
        <f aca="false">SUM(AD697:AD708)</f>
        <v>0</v>
      </c>
      <c r="AE709" s="304" t="n">
        <f aca="false">SUM(AE697:AE708)</f>
        <v>0</v>
      </c>
      <c r="AF709" s="304" t="n">
        <f aca="false">SUM(AF697:AF708)</f>
        <v>0</v>
      </c>
      <c r="AG709" s="304" t="n">
        <f aca="false">SUM(AG697:AG708)</f>
        <v>0</v>
      </c>
      <c r="AH709" s="304" t="n">
        <f aca="false">SUM(AH697:AH708)</f>
        <v>0</v>
      </c>
      <c r="AI709" s="304" t="n">
        <f aca="false">SUM(AI697:AI708)</f>
        <v>0</v>
      </c>
      <c r="AJ709" s="304" t="n">
        <f aca="false">SUM(AJ697:AJ708)</f>
        <v>0</v>
      </c>
      <c r="AK709" s="335" t="n">
        <f aca="false">SUM(AK697:AK708)</f>
        <v>0</v>
      </c>
      <c r="AL709" s="336" t="n">
        <f aca="false">SUM(AL697:AL708)</f>
        <v>0</v>
      </c>
      <c r="AM709" s="305" t="n">
        <f aca="false">SUM(AM697:AM708)</f>
        <v>0</v>
      </c>
      <c r="AN709" s="283"/>
      <c r="AO709" s="304" t="n">
        <f aca="false">SUM(AO697:AO708)</f>
        <v>0</v>
      </c>
      <c r="AP709" s="304" t="n">
        <f aca="false">SUM(AP697:AP708)</f>
        <v>0</v>
      </c>
      <c r="AQ709" s="304" t="n">
        <f aca="false">SUM(AQ697:AQ708)</f>
        <v>0</v>
      </c>
      <c r="AR709" s="304" t="n">
        <f aca="false">SUM(AR697:AR708)</f>
        <v>0</v>
      </c>
      <c r="AS709" s="304" t="n">
        <f aca="false">SUM(AS697:AS708)</f>
        <v>0</v>
      </c>
      <c r="AT709" s="304" t="n">
        <f aca="false">SUM(AT697:AT708)</f>
        <v>0</v>
      </c>
      <c r="AU709" s="304" t="n">
        <f aca="false">SUM(AU697:AU708)</f>
        <v>0</v>
      </c>
      <c r="AV709" s="304" t="n">
        <f aca="false">SUM(AV697:AV708)</f>
        <v>0</v>
      </c>
      <c r="AW709" s="304" t="n">
        <f aca="false">SUM(AW697:AW708)</f>
        <v>0</v>
      </c>
      <c r="AX709" s="304" t="n">
        <f aca="false">SUM(AX697:AX708)</f>
        <v>0</v>
      </c>
      <c r="AY709" s="304" t="n">
        <f aca="false">SUM(AY697:AY708)</f>
        <v>0</v>
      </c>
      <c r="AZ709" s="304" t="n">
        <f aca="false">SUM(AZ697:AZ708)</f>
        <v>0</v>
      </c>
      <c r="BA709" s="336" t="n">
        <f aca="false">SUM(BA697:BA708)</f>
        <v>0</v>
      </c>
      <c r="BB709" s="336" t="n">
        <f aca="false">SUM(BB697:BB708)</f>
        <v>0</v>
      </c>
      <c r="BC709" s="305" t="n">
        <f aca="false">SUM(BC697:BC708)</f>
        <v>0</v>
      </c>
      <c r="BD709" s="303"/>
      <c r="BE709" s="337"/>
    </row>
    <row r="710" customFormat="false" ht="15" hidden="false" customHeight="true" outlineLevel="0" collapsed="false">
      <c r="B710" s="296"/>
      <c r="D710" s="297"/>
      <c r="E710" s="300"/>
      <c r="F710" s="300"/>
      <c r="G710" s="300"/>
      <c r="H710" s="241"/>
      <c r="I710" s="302"/>
      <c r="J710" s="302"/>
      <c r="K710" s="241"/>
      <c r="L710" s="259"/>
      <c r="M710" s="259"/>
      <c r="N710" s="259"/>
      <c r="O710" s="259"/>
      <c r="P710" s="259"/>
      <c r="Q710" s="259"/>
      <c r="R710" s="259"/>
      <c r="S710" s="259"/>
      <c r="T710" s="259"/>
      <c r="U710" s="259"/>
      <c r="V710" s="259"/>
      <c r="W710" s="259"/>
      <c r="X710" s="303"/>
      <c r="Y710" s="259"/>
      <c r="Z710" s="303"/>
      <c r="AA710" s="303"/>
      <c r="AB710" s="303"/>
      <c r="AC710" s="303"/>
      <c r="AD710" s="303"/>
      <c r="AE710" s="303"/>
      <c r="AF710" s="303"/>
      <c r="AG710" s="303"/>
      <c r="AH710" s="303"/>
      <c r="AI710" s="303"/>
      <c r="AJ710" s="303"/>
      <c r="AK710" s="303"/>
      <c r="AL710" s="303"/>
      <c r="AM710" s="303"/>
      <c r="AN710" s="303"/>
      <c r="AO710" s="259"/>
      <c r="AP710" s="303"/>
      <c r="AQ710" s="303"/>
      <c r="AR710" s="303"/>
      <c r="AS710" s="303"/>
      <c r="AT710" s="303"/>
      <c r="AU710" s="303"/>
      <c r="AV710" s="303"/>
      <c r="AW710" s="303"/>
      <c r="AX710" s="303"/>
      <c r="AY710" s="303"/>
      <c r="AZ710" s="303"/>
      <c r="BA710" s="303"/>
      <c r="BB710" s="303"/>
      <c r="BC710" s="303"/>
      <c r="BD710" s="268"/>
      <c r="BE710" s="303"/>
    </row>
    <row r="711" customFormat="false" ht="15" hidden="false" customHeight="true" outlineLevel="0" collapsed="false">
      <c r="A711" s="198" t="n">
        <f aca="false">A695+1</f>
        <v>45</v>
      </c>
      <c r="B711" s="266" t="s">
        <v>253</v>
      </c>
      <c r="C711" s="266" t="s">
        <v>253</v>
      </c>
      <c r="D711" s="266"/>
      <c r="E711" s="241"/>
      <c r="F711" s="241"/>
      <c r="G711" s="241"/>
      <c r="H711" s="241"/>
      <c r="I711" s="241"/>
      <c r="J711" s="241"/>
      <c r="K711" s="277"/>
      <c r="L711" s="241"/>
      <c r="M711" s="241"/>
      <c r="N711" s="241"/>
      <c r="O711" s="241"/>
      <c r="P711" s="241"/>
      <c r="Q711" s="241"/>
      <c r="R711" s="241"/>
      <c r="S711" s="241"/>
      <c r="T711" s="241"/>
      <c r="U711" s="241"/>
      <c r="V711" s="241"/>
      <c r="W711" s="241"/>
      <c r="X711" s="259"/>
      <c r="Y711" s="268"/>
      <c r="Z711" s="268"/>
      <c r="AA711" s="268"/>
      <c r="AB711" s="268"/>
      <c r="AC711" s="268"/>
      <c r="AD711" s="268"/>
      <c r="AE711" s="268"/>
      <c r="AF711" s="268"/>
      <c r="AG711" s="268"/>
      <c r="AH711" s="268"/>
      <c r="AI711" s="268"/>
      <c r="AJ711" s="268"/>
      <c r="AK711" s="268"/>
      <c r="AL711" s="268"/>
      <c r="AM711" s="268"/>
      <c r="AN711" s="259"/>
      <c r="AO711" s="268"/>
      <c r="AP711" s="268"/>
      <c r="AQ711" s="268"/>
      <c r="AR711" s="268"/>
      <c r="AS711" s="268"/>
      <c r="AT711" s="268"/>
      <c r="AU711" s="268"/>
      <c r="AV711" s="268"/>
      <c r="AW711" s="268"/>
      <c r="AX711" s="268"/>
      <c r="AY711" s="268"/>
      <c r="AZ711" s="268"/>
      <c r="BA711" s="268"/>
      <c r="BB711" s="268"/>
      <c r="BC711" s="268"/>
      <c r="BD711" s="287"/>
      <c r="BE711" s="268"/>
    </row>
    <row r="712" customFormat="false" ht="7.5" hidden="false" customHeight="true" outlineLevel="0" collapsed="false">
      <c r="A712" s="198"/>
      <c r="B712" s="266"/>
      <c r="C712" s="266"/>
      <c r="D712" s="266"/>
      <c r="E712" s="241"/>
      <c r="F712" s="241"/>
      <c r="G712" s="241"/>
      <c r="H712" s="204"/>
      <c r="I712" s="269"/>
      <c r="J712" s="269"/>
      <c r="K712" s="277"/>
      <c r="L712" s="269"/>
      <c r="M712" s="269"/>
      <c r="N712" s="269"/>
      <c r="O712" s="269"/>
      <c r="P712" s="269"/>
      <c r="Q712" s="269"/>
      <c r="R712" s="269"/>
      <c r="S712" s="269"/>
      <c r="T712" s="269"/>
      <c r="U712" s="269"/>
      <c r="V712" s="269"/>
      <c r="W712" s="269"/>
      <c r="X712" s="259"/>
      <c r="Y712" s="271"/>
      <c r="Z712" s="271"/>
      <c r="AA712" s="271"/>
      <c r="AB712" s="271"/>
      <c r="AC712" s="271"/>
      <c r="AD712" s="271"/>
      <c r="AE712" s="271"/>
      <c r="AF712" s="271"/>
      <c r="AG712" s="271"/>
      <c r="AH712" s="271"/>
      <c r="AI712" s="271"/>
      <c r="AJ712" s="272"/>
      <c r="AK712" s="273"/>
      <c r="AL712" s="273"/>
      <c r="AM712" s="273"/>
      <c r="AN712" s="259"/>
      <c r="AO712" s="271"/>
      <c r="AP712" s="271"/>
      <c r="AQ712" s="271"/>
      <c r="AR712" s="271"/>
      <c r="AS712" s="271"/>
      <c r="AT712" s="271"/>
      <c r="AU712" s="271"/>
      <c r="AV712" s="271"/>
      <c r="AW712" s="271"/>
      <c r="AX712" s="271"/>
      <c r="AY712" s="271"/>
      <c r="AZ712" s="272"/>
      <c r="BA712" s="273"/>
      <c r="BB712" s="273"/>
      <c r="BC712" s="273"/>
      <c r="BD712" s="287"/>
      <c r="BE712" s="274"/>
    </row>
    <row r="713" customFormat="false" ht="15" hidden="false" customHeight="true" outlineLevel="0" collapsed="false">
      <c r="B713" s="333"/>
      <c r="C713" s="334"/>
      <c r="D713" s="333" t="n">
        <f aca="false">D697</f>
        <v>45292</v>
      </c>
      <c r="E713" s="277" t="n">
        <v>0</v>
      </c>
      <c r="F713" s="277" t="n">
        <v>0</v>
      </c>
      <c r="G713" s="277" t="n">
        <f aca="false">SUM(E713:F713)</f>
        <v>0</v>
      </c>
      <c r="H713" s="204"/>
      <c r="I713" s="279" t="n">
        <v>1</v>
      </c>
      <c r="J713" s="280" t="n">
        <f aca="false">1-I713</f>
        <v>0</v>
      </c>
      <c r="K713" s="277"/>
      <c r="L713" s="282"/>
      <c r="M713" s="282"/>
      <c r="N713" s="282"/>
      <c r="O713" s="282"/>
      <c r="P713" s="282"/>
      <c r="Q713" s="282"/>
      <c r="R713" s="282"/>
      <c r="S713" s="282"/>
      <c r="T713" s="282"/>
      <c r="U713" s="282"/>
      <c r="V713" s="282"/>
      <c r="W713" s="282"/>
      <c r="X713" s="268"/>
      <c r="Y713" s="284" t="n">
        <f aca="false">IFERROR(L713*$G713*I$9, "")</f>
        <v>0</v>
      </c>
      <c r="Z713" s="284" t="n">
        <f aca="false">IFERROR(M713*$G713*$I713, "")</f>
        <v>0</v>
      </c>
      <c r="AA713" s="284" t="n">
        <f aca="false">IFERROR(N713*$G713*$I713, "")</f>
        <v>0</v>
      </c>
      <c r="AB713" s="284" t="n">
        <f aca="false">IFERROR(O713*$G713*$I713, "")</f>
        <v>0</v>
      </c>
      <c r="AC713" s="284" t="n">
        <f aca="false">IFERROR(P713*$G713*$I713, "")</f>
        <v>0</v>
      </c>
      <c r="AD713" s="284" t="n">
        <f aca="false">IFERROR(Q713*$G713*$I713, "")</f>
        <v>0</v>
      </c>
      <c r="AE713" s="284" t="n">
        <f aca="false">IFERROR(R713*$G713*$I713, "")</f>
        <v>0</v>
      </c>
      <c r="AF713" s="284" t="n">
        <f aca="false">IFERROR(S713*$G713*$I713, "")</f>
        <v>0</v>
      </c>
      <c r="AG713" s="284" t="n">
        <f aca="false">IFERROR(T713*$G713*$I713, "")</f>
        <v>0</v>
      </c>
      <c r="AH713" s="284" t="n">
        <f aca="false">IFERROR(U713*$G713*$I713, "")</f>
        <v>0</v>
      </c>
      <c r="AI713" s="284" t="n">
        <f aca="false">IFERROR(V713*$G713*$I713, "")</f>
        <v>0</v>
      </c>
      <c r="AJ713" s="284" t="n">
        <f aca="false">IFERROR(W713*$G713*$I713, "")</f>
        <v>0</v>
      </c>
      <c r="AK713" s="286" t="n">
        <f aca="false">IFERROR(SUMIF($Y$4:$AJ$4, "RDEC", Y713:AJ713), "")</f>
        <v>0</v>
      </c>
      <c r="AL713" s="286" t="n">
        <f aca="false">IFERROR(SUMIF($Y$4:$AJ$4, "SME", Y713:AJ713), "")</f>
        <v>0</v>
      </c>
      <c r="AM713" s="286" t="n">
        <f aca="false">IFERROR(SUMIF($Y$4:$AJ$4, "De Minimis", Y713:AJ713), "")</f>
        <v>0</v>
      </c>
      <c r="AN713" s="268"/>
      <c r="AO713" s="284" t="n">
        <f aca="false">IFERROR($G713*$J713*L713, "")</f>
        <v>0</v>
      </c>
      <c r="AP713" s="284" t="n">
        <f aca="false">IFERROR($G713*$J713*M713, "")</f>
        <v>0</v>
      </c>
      <c r="AQ713" s="284" t="n">
        <f aca="false">IFERROR($G713*$J713*N713, "")</f>
        <v>0</v>
      </c>
      <c r="AR713" s="284" t="n">
        <f aca="false">IFERROR($G713*$J713*O713, "")</f>
        <v>0</v>
      </c>
      <c r="AS713" s="284" t="n">
        <f aca="false">IFERROR($G713*$J713*P713, "")</f>
        <v>0</v>
      </c>
      <c r="AT713" s="284" t="n">
        <f aca="false">IFERROR($G713*$J713*Q713, "")</f>
        <v>0</v>
      </c>
      <c r="AU713" s="284" t="n">
        <f aca="false">IFERROR($G713*$J713*R713, "")</f>
        <v>0</v>
      </c>
      <c r="AV713" s="284" t="n">
        <f aca="false">IFERROR($G713*$J713*S713, "")</f>
        <v>0</v>
      </c>
      <c r="AW713" s="284" t="n">
        <f aca="false">IFERROR($G713*$J713*T713, "")</f>
        <v>0</v>
      </c>
      <c r="AX713" s="284" t="n">
        <f aca="false">IFERROR($G713*$J713*U713, "")</f>
        <v>0</v>
      </c>
      <c r="AY713" s="284" t="n">
        <f aca="false">IFERROR($G713*$J713*V713, "")</f>
        <v>0</v>
      </c>
      <c r="AZ713" s="284" t="n">
        <f aca="false">IFERROR($G713*$J713*W713, "")</f>
        <v>0</v>
      </c>
      <c r="BA713" s="286" t="n">
        <f aca="false">IFERROR(SUMIF($AO$4:$AZ$4, "RDEC", AO713:AZ713), "")</f>
        <v>0</v>
      </c>
      <c r="BB713" s="286" t="n">
        <f aca="false">IFERROR(SUMIF($AO$4:$AZ$4, "SME", AO713:AZ713), "")</f>
        <v>0</v>
      </c>
      <c r="BC713" s="286" t="n">
        <f aca="false">IFERROR(SUMIF($AO$4:$AZ$4, "De Minimis", AO713:AZ713), "")</f>
        <v>0</v>
      </c>
      <c r="BD713" s="287"/>
      <c r="BE713" s="288" t="str">
        <f aca="false">IF((SUM(L713:W713)&gt;1),"ERROR","")</f>
        <v/>
      </c>
    </row>
    <row r="714" customFormat="false" ht="15" hidden="false" customHeight="true" outlineLevel="0" collapsed="false">
      <c r="B714" s="333"/>
      <c r="C714" s="334"/>
      <c r="D714" s="333" t="n">
        <f aca="false">D698</f>
        <v>45323</v>
      </c>
      <c r="E714" s="277" t="n">
        <v>0</v>
      </c>
      <c r="F714" s="277" t="n">
        <v>0</v>
      </c>
      <c r="G714" s="277" t="n">
        <f aca="false">SUM(E714:F714)</f>
        <v>0</v>
      </c>
      <c r="H714" s="204"/>
      <c r="I714" s="279" t="n">
        <v>1</v>
      </c>
      <c r="J714" s="280" t="n">
        <f aca="false">1-I714</f>
        <v>0</v>
      </c>
      <c r="K714" s="277"/>
      <c r="L714" s="282"/>
      <c r="M714" s="282"/>
      <c r="N714" s="282"/>
      <c r="O714" s="282"/>
      <c r="P714" s="282"/>
      <c r="Q714" s="282"/>
      <c r="R714" s="282"/>
      <c r="S714" s="282"/>
      <c r="T714" s="282"/>
      <c r="U714" s="282"/>
      <c r="V714" s="282"/>
      <c r="W714" s="282"/>
      <c r="X714" s="283"/>
      <c r="Y714" s="284" t="n">
        <f aca="false">IFERROR(L714*$G714*I$9, "")</f>
        <v>0</v>
      </c>
      <c r="Z714" s="284" t="n">
        <f aca="false">IFERROR(M714*$G714*$I714, "")</f>
        <v>0</v>
      </c>
      <c r="AA714" s="284" t="n">
        <f aca="false">IFERROR(N714*$G714*$I714, "")</f>
        <v>0</v>
      </c>
      <c r="AB714" s="284" t="n">
        <f aca="false">IFERROR(O714*$G714*$I714, "")</f>
        <v>0</v>
      </c>
      <c r="AC714" s="284" t="n">
        <f aca="false">IFERROR(P714*$G714*$I714, "")</f>
        <v>0</v>
      </c>
      <c r="AD714" s="284" t="n">
        <f aca="false">IFERROR(Q714*$G714*$I714, "")</f>
        <v>0</v>
      </c>
      <c r="AE714" s="284" t="n">
        <f aca="false">IFERROR(R714*$G714*$I714, "")</f>
        <v>0</v>
      </c>
      <c r="AF714" s="284" t="n">
        <f aca="false">IFERROR(S714*$G714*$I714, "")</f>
        <v>0</v>
      </c>
      <c r="AG714" s="284" t="n">
        <f aca="false">IFERROR(T714*$G714*$I714, "")</f>
        <v>0</v>
      </c>
      <c r="AH714" s="284" t="n">
        <f aca="false">IFERROR(U714*$G714*$I714, "")</f>
        <v>0</v>
      </c>
      <c r="AI714" s="284" t="n">
        <f aca="false">IFERROR(V714*$G714*$I714, "")</f>
        <v>0</v>
      </c>
      <c r="AJ714" s="284" t="n">
        <f aca="false">IFERROR(W714*$G714*$I714, "")</f>
        <v>0</v>
      </c>
      <c r="AK714" s="286" t="n">
        <f aca="false">IFERROR(SUMIF($Y$4:$AJ$4, "RDEC", Y714:AJ714), "")</f>
        <v>0</v>
      </c>
      <c r="AL714" s="286" t="n">
        <f aca="false">IFERROR(SUMIF($Y$4:$AJ$4, "SME", Y714:AJ714), "")</f>
        <v>0</v>
      </c>
      <c r="AM714" s="286" t="n">
        <f aca="false">IFERROR(SUMIF($Y$4:$AJ$4, "De Minimis", Y714:AJ714), "")</f>
        <v>0</v>
      </c>
      <c r="AN714" s="283"/>
      <c r="AO714" s="284" t="n">
        <f aca="false">IFERROR($G714*$J714*L714, "")</f>
        <v>0</v>
      </c>
      <c r="AP714" s="284" t="n">
        <f aca="false">IFERROR($G714*$J714*M714, "")</f>
        <v>0</v>
      </c>
      <c r="AQ714" s="284" t="n">
        <f aca="false">IFERROR($G714*$J714*N714, "")</f>
        <v>0</v>
      </c>
      <c r="AR714" s="284" t="n">
        <f aca="false">IFERROR($G714*$J714*O714, "")</f>
        <v>0</v>
      </c>
      <c r="AS714" s="284" t="n">
        <f aca="false">IFERROR($G714*$J714*P714, "")</f>
        <v>0</v>
      </c>
      <c r="AT714" s="284" t="n">
        <f aca="false">IFERROR($G714*$J714*Q714, "")</f>
        <v>0</v>
      </c>
      <c r="AU714" s="284" t="n">
        <f aca="false">IFERROR($G714*$J714*R714, "")</f>
        <v>0</v>
      </c>
      <c r="AV714" s="284" t="n">
        <f aca="false">IFERROR($G714*$J714*S714, "")</f>
        <v>0</v>
      </c>
      <c r="AW714" s="284" t="n">
        <f aca="false">IFERROR($G714*$J714*T714, "")</f>
        <v>0</v>
      </c>
      <c r="AX714" s="284" t="n">
        <f aca="false">IFERROR($G714*$J714*U714, "")</f>
        <v>0</v>
      </c>
      <c r="AY714" s="284" t="n">
        <f aca="false">IFERROR($G714*$J714*V714, "")</f>
        <v>0</v>
      </c>
      <c r="AZ714" s="284" t="n">
        <f aca="false">IFERROR($G714*$J714*W714, "")</f>
        <v>0</v>
      </c>
      <c r="BA714" s="286" t="n">
        <f aca="false">IFERROR(SUMIF($AO$4:$AZ$4, "RDEC", AO714:AZ714), "")</f>
        <v>0</v>
      </c>
      <c r="BB714" s="286" t="n">
        <f aca="false">IFERROR(SUMIF($AO$4:$AZ$4, "SME", AO714:AZ714), "")</f>
        <v>0</v>
      </c>
      <c r="BC714" s="286" t="n">
        <f aca="false">IFERROR(SUMIF($Y$4:$AJ$4, "De Minimis", AO714:AZ714), "")</f>
        <v>0</v>
      </c>
      <c r="BD714" s="287"/>
      <c r="BE714" s="288" t="str">
        <f aca="false">IF((SUM(L714:W714)&gt;1),"ERROR","")</f>
        <v/>
      </c>
    </row>
    <row r="715" customFormat="false" ht="15" hidden="false" customHeight="true" outlineLevel="0" collapsed="false">
      <c r="B715" s="333"/>
      <c r="C715" s="334"/>
      <c r="D715" s="333" t="n">
        <f aca="false">D699</f>
        <v>45352</v>
      </c>
      <c r="E715" s="277" t="n">
        <v>0</v>
      </c>
      <c r="F715" s="277" t="n">
        <v>0</v>
      </c>
      <c r="G715" s="277" t="n">
        <f aca="false">SUM(E715:F715)</f>
        <v>0</v>
      </c>
      <c r="H715" s="204"/>
      <c r="I715" s="279" t="n">
        <v>1</v>
      </c>
      <c r="J715" s="280" t="n">
        <f aca="false">1-I715</f>
        <v>0</v>
      </c>
      <c r="K715" s="277"/>
      <c r="L715" s="282"/>
      <c r="M715" s="282"/>
      <c r="N715" s="282"/>
      <c r="O715" s="282"/>
      <c r="P715" s="282"/>
      <c r="Q715" s="282"/>
      <c r="R715" s="282"/>
      <c r="S715" s="282"/>
      <c r="T715" s="282"/>
      <c r="U715" s="282"/>
      <c r="V715" s="282"/>
      <c r="W715" s="282"/>
      <c r="X715" s="283"/>
      <c r="Y715" s="284" t="n">
        <f aca="false">IFERROR(L715*$G715*I$9, "")</f>
        <v>0</v>
      </c>
      <c r="Z715" s="284" t="n">
        <f aca="false">IFERROR(M715*$G715*$I715, "")</f>
        <v>0</v>
      </c>
      <c r="AA715" s="284" t="n">
        <f aca="false">IFERROR(N715*$G715*$I715, "")</f>
        <v>0</v>
      </c>
      <c r="AB715" s="284" t="n">
        <f aca="false">IFERROR(O715*$G715*$I715, "")</f>
        <v>0</v>
      </c>
      <c r="AC715" s="284" t="n">
        <f aca="false">IFERROR(P715*$G715*$I715, "")</f>
        <v>0</v>
      </c>
      <c r="AD715" s="284" t="n">
        <f aca="false">IFERROR(Q715*$G715*$I715, "")</f>
        <v>0</v>
      </c>
      <c r="AE715" s="284" t="n">
        <f aca="false">IFERROR(R715*$G715*$I715, "")</f>
        <v>0</v>
      </c>
      <c r="AF715" s="284" t="n">
        <f aca="false">IFERROR(S715*$G715*$I715, "")</f>
        <v>0</v>
      </c>
      <c r="AG715" s="284" t="n">
        <f aca="false">IFERROR(T715*$G715*$I715, "")</f>
        <v>0</v>
      </c>
      <c r="AH715" s="284" t="n">
        <f aca="false">IFERROR(U715*$G715*$I715, "")</f>
        <v>0</v>
      </c>
      <c r="AI715" s="284" t="n">
        <f aca="false">IFERROR(V715*$G715*$I715, "")</f>
        <v>0</v>
      </c>
      <c r="AJ715" s="284" t="n">
        <f aca="false">IFERROR(W715*$G715*$I715, "")</f>
        <v>0</v>
      </c>
      <c r="AK715" s="286" t="n">
        <f aca="false">IFERROR(SUMIF($Y$4:$AJ$4, "RDEC", Y715:AJ715), "")</f>
        <v>0</v>
      </c>
      <c r="AL715" s="286" t="n">
        <f aca="false">IFERROR(SUMIF($Y$4:$AJ$4, "SME", Y715:AJ715), "")</f>
        <v>0</v>
      </c>
      <c r="AM715" s="286" t="n">
        <f aca="false">IFERROR(SUMIF($Y$4:$AJ$4, "De Minimis", Y715:AJ715), "")</f>
        <v>0</v>
      </c>
      <c r="AN715" s="283"/>
      <c r="AO715" s="284" t="n">
        <f aca="false">IFERROR($G715*$J715*L715, "")</f>
        <v>0</v>
      </c>
      <c r="AP715" s="284" t="n">
        <f aca="false">IFERROR($G715*$J715*M715, "")</f>
        <v>0</v>
      </c>
      <c r="AQ715" s="284" t="n">
        <f aca="false">IFERROR($G715*$J715*N715, "")</f>
        <v>0</v>
      </c>
      <c r="AR715" s="284" t="n">
        <f aca="false">IFERROR($G715*$J715*O715, "")</f>
        <v>0</v>
      </c>
      <c r="AS715" s="284" t="n">
        <f aca="false">IFERROR($G715*$J715*P715, "")</f>
        <v>0</v>
      </c>
      <c r="AT715" s="284" t="n">
        <f aca="false">IFERROR($G715*$J715*Q715, "")</f>
        <v>0</v>
      </c>
      <c r="AU715" s="284" t="n">
        <f aca="false">IFERROR($G715*$J715*R715, "")</f>
        <v>0</v>
      </c>
      <c r="AV715" s="284" t="n">
        <f aca="false">IFERROR($G715*$J715*S715, "")</f>
        <v>0</v>
      </c>
      <c r="AW715" s="284" t="n">
        <f aca="false">IFERROR($G715*$J715*T715, "")</f>
        <v>0</v>
      </c>
      <c r="AX715" s="284" t="n">
        <f aca="false">IFERROR($G715*$J715*U715, "")</f>
        <v>0</v>
      </c>
      <c r="AY715" s="284" t="n">
        <f aca="false">IFERROR($G715*$J715*V715, "")</f>
        <v>0</v>
      </c>
      <c r="AZ715" s="284" t="n">
        <f aca="false">IFERROR($G715*$J715*W715, "")</f>
        <v>0</v>
      </c>
      <c r="BA715" s="286" t="n">
        <f aca="false">IFERROR(SUMIF($AO$4:$AZ$4, "RDEC", AO715:AZ715), "")</f>
        <v>0</v>
      </c>
      <c r="BB715" s="286" t="n">
        <f aca="false">IFERROR(SUMIF($AO$4:$AZ$4, "SME", AO715:AZ715), "")</f>
        <v>0</v>
      </c>
      <c r="BC715" s="286" t="n">
        <f aca="false">IFERROR(SUMIF($Y$4:$AJ$4, "De Minimis", AO715:AZ715), "")</f>
        <v>0</v>
      </c>
      <c r="BD715" s="287"/>
      <c r="BE715" s="288" t="str">
        <f aca="false">IF((SUM(L715:W715)&gt;1),"ERROR","")</f>
        <v/>
      </c>
    </row>
    <row r="716" customFormat="false" ht="15" hidden="false" customHeight="true" outlineLevel="0" collapsed="false">
      <c r="B716" s="333"/>
      <c r="C716" s="334"/>
      <c r="D716" s="333" t="n">
        <f aca="false">D700</f>
        <v>45383</v>
      </c>
      <c r="E716" s="277" t="n">
        <v>0</v>
      </c>
      <c r="F716" s="277" t="n">
        <v>0</v>
      </c>
      <c r="G716" s="277" t="n">
        <f aca="false">SUM(E716:F716)</f>
        <v>0</v>
      </c>
      <c r="H716" s="204"/>
      <c r="I716" s="279" t="n">
        <v>1</v>
      </c>
      <c r="J716" s="280" t="n">
        <f aca="false">1-I716</f>
        <v>0</v>
      </c>
      <c r="K716" s="277"/>
      <c r="L716" s="282"/>
      <c r="M716" s="282"/>
      <c r="N716" s="282"/>
      <c r="O716" s="282"/>
      <c r="P716" s="282"/>
      <c r="Q716" s="282"/>
      <c r="R716" s="282"/>
      <c r="S716" s="282"/>
      <c r="T716" s="282"/>
      <c r="U716" s="282"/>
      <c r="V716" s="282"/>
      <c r="W716" s="282"/>
      <c r="X716" s="283"/>
      <c r="Y716" s="284" t="n">
        <f aca="false">IFERROR(L716*$G716*I$9, "")</f>
        <v>0</v>
      </c>
      <c r="Z716" s="284" t="n">
        <f aca="false">IFERROR(M716*$G716*$I716, "")</f>
        <v>0</v>
      </c>
      <c r="AA716" s="284" t="n">
        <f aca="false">IFERROR(N716*$G716*$I716, "")</f>
        <v>0</v>
      </c>
      <c r="AB716" s="284" t="n">
        <f aca="false">IFERROR(O716*$G716*$I716, "")</f>
        <v>0</v>
      </c>
      <c r="AC716" s="284" t="n">
        <f aca="false">IFERROR(P716*$G716*$I716, "")</f>
        <v>0</v>
      </c>
      <c r="AD716" s="284" t="n">
        <f aca="false">IFERROR(Q716*$G716*$I716, "")</f>
        <v>0</v>
      </c>
      <c r="AE716" s="284" t="n">
        <f aca="false">IFERROR(R716*$G716*$I716, "")</f>
        <v>0</v>
      </c>
      <c r="AF716" s="284" t="n">
        <f aca="false">IFERROR(S716*$G716*$I716, "")</f>
        <v>0</v>
      </c>
      <c r="AG716" s="284" t="n">
        <f aca="false">IFERROR(T716*$G716*$I716, "")</f>
        <v>0</v>
      </c>
      <c r="AH716" s="284" t="n">
        <f aca="false">IFERROR(U716*$G716*$I716, "")</f>
        <v>0</v>
      </c>
      <c r="AI716" s="284" t="n">
        <f aca="false">IFERROR(V716*$G716*$I716, "")</f>
        <v>0</v>
      </c>
      <c r="AJ716" s="284" t="n">
        <f aca="false">IFERROR(W716*$G716*$I716, "")</f>
        <v>0</v>
      </c>
      <c r="AK716" s="286" t="n">
        <f aca="false">IFERROR(SUMIF($Y$4:$AJ$4, "RDEC", Y716:AJ716), "")</f>
        <v>0</v>
      </c>
      <c r="AL716" s="286" t="n">
        <f aca="false">IFERROR(SUMIF($Y$4:$AJ$4, "SME", Y716:AJ716), "")</f>
        <v>0</v>
      </c>
      <c r="AM716" s="286" t="n">
        <f aca="false">IFERROR(SUMIF($Y$4:$AJ$4, "De Minimis", Y716:AJ716), "")</f>
        <v>0</v>
      </c>
      <c r="AN716" s="283"/>
      <c r="AO716" s="284" t="n">
        <f aca="false">IFERROR($G716*$J716*L716, "")</f>
        <v>0</v>
      </c>
      <c r="AP716" s="284" t="n">
        <f aca="false">IFERROR($G716*$J716*M716, "")</f>
        <v>0</v>
      </c>
      <c r="AQ716" s="284" t="n">
        <f aca="false">IFERROR($G716*$J716*N716, "")</f>
        <v>0</v>
      </c>
      <c r="AR716" s="284" t="n">
        <f aca="false">IFERROR($G716*$J716*O716, "")</f>
        <v>0</v>
      </c>
      <c r="AS716" s="284" t="n">
        <f aca="false">IFERROR($G716*$J716*P716, "")</f>
        <v>0</v>
      </c>
      <c r="AT716" s="284" t="n">
        <f aca="false">IFERROR($G716*$J716*Q716, "")</f>
        <v>0</v>
      </c>
      <c r="AU716" s="284" t="n">
        <f aca="false">IFERROR($G716*$J716*R716, "")</f>
        <v>0</v>
      </c>
      <c r="AV716" s="284" t="n">
        <f aca="false">IFERROR($G716*$J716*S716, "")</f>
        <v>0</v>
      </c>
      <c r="AW716" s="284" t="n">
        <f aca="false">IFERROR($G716*$J716*T716, "")</f>
        <v>0</v>
      </c>
      <c r="AX716" s="284" t="n">
        <f aca="false">IFERROR($G716*$J716*U716, "")</f>
        <v>0</v>
      </c>
      <c r="AY716" s="284" t="n">
        <f aca="false">IFERROR($G716*$J716*V716, "")</f>
        <v>0</v>
      </c>
      <c r="AZ716" s="284" t="n">
        <f aca="false">IFERROR($G716*$J716*W716, "")</f>
        <v>0</v>
      </c>
      <c r="BA716" s="286" t="n">
        <f aca="false">IFERROR(SUMIF($AO$4:$AZ$4, "RDEC", AO716:AZ716), "")</f>
        <v>0</v>
      </c>
      <c r="BB716" s="286" t="n">
        <f aca="false">IFERROR(SUMIF($AO$4:$AZ$4, "SME", AO716:AZ716), "")</f>
        <v>0</v>
      </c>
      <c r="BC716" s="286" t="n">
        <f aca="false">IFERROR(SUMIF($Y$4:$AJ$4, "De Minimis", AO716:AZ716), "")</f>
        <v>0</v>
      </c>
      <c r="BD716" s="287"/>
      <c r="BE716" s="288" t="str">
        <f aca="false">IF((SUM(L716:W716)&gt;1),"ERROR","")</f>
        <v/>
      </c>
    </row>
    <row r="717" customFormat="false" ht="15" hidden="false" customHeight="true" outlineLevel="0" collapsed="false">
      <c r="B717" s="333"/>
      <c r="C717" s="334"/>
      <c r="D717" s="333" t="n">
        <f aca="false">D701</f>
        <v>45413</v>
      </c>
      <c r="E717" s="277" t="n">
        <v>0</v>
      </c>
      <c r="F717" s="277" t="n">
        <v>0</v>
      </c>
      <c r="G717" s="277" t="n">
        <f aca="false">SUM(E717:F717)</f>
        <v>0</v>
      </c>
      <c r="H717" s="204"/>
      <c r="I717" s="279" t="n">
        <v>1</v>
      </c>
      <c r="J717" s="280" t="n">
        <f aca="false">1-I717</f>
        <v>0</v>
      </c>
      <c r="K717" s="277"/>
      <c r="L717" s="282"/>
      <c r="M717" s="282"/>
      <c r="N717" s="282"/>
      <c r="O717" s="282"/>
      <c r="P717" s="282"/>
      <c r="Q717" s="282"/>
      <c r="R717" s="282"/>
      <c r="S717" s="282"/>
      <c r="T717" s="282"/>
      <c r="U717" s="282"/>
      <c r="V717" s="282"/>
      <c r="W717" s="282"/>
      <c r="X717" s="283"/>
      <c r="Y717" s="284" t="n">
        <f aca="false">IFERROR(L717*$G717*I$9, "")</f>
        <v>0</v>
      </c>
      <c r="Z717" s="284" t="n">
        <f aca="false">IFERROR(M717*$G717*$I717, "")</f>
        <v>0</v>
      </c>
      <c r="AA717" s="284" t="n">
        <f aca="false">IFERROR(N717*$G717*$I717, "")</f>
        <v>0</v>
      </c>
      <c r="AB717" s="284" t="n">
        <f aca="false">IFERROR(O717*$G717*$I717, "")</f>
        <v>0</v>
      </c>
      <c r="AC717" s="284" t="n">
        <f aca="false">IFERROR(P717*$G717*$I717, "")</f>
        <v>0</v>
      </c>
      <c r="AD717" s="284" t="n">
        <f aca="false">IFERROR(Q717*$G717*$I717, "")</f>
        <v>0</v>
      </c>
      <c r="AE717" s="284" t="n">
        <f aca="false">IFERROR(R717*$G717*$I717, "")</f>
        <v>0</v>
      </c>
      <c r="AF717" s="284" t="n">
        <f aca="false">IFERROR(S717*$G717*$I717, "")</f>
        <v>0</v>
      </c>
      <c r="AG717" s="284" t="n">
        <f aca="false">IFERROR(T717*$G717*$I717, "")</f>
        <v>0</v>
      </c>
      <c r="AH717" s="284" t="n">
        <f aca="false">IFERROR(U717*$G717*$I717, "")</f>
        <v>0</v>
      </c>
      <c r="AI717" s="284" t="n">
        <f aca="false">IFERROR(V717*$G717*$I717, "")</f>
        <v>0</v>
      </c>
      <c r="AJ717" s="284" t="n">
        <f aca="false">IFERROR(W717*$G717*$I717, "")</f>
        <v>0</v>
      </c>
      <c r="AK717" s="286" t="n">
        <f aca="false">IFERROR(SUMIF($Y$4:$AJ$4, "RDEC", Y717:AJ717), "")</f>
        <v>0</v>
      </c>
      <c r="AL717" s="286" t="n">
        <f aca="false">IFERROR(SUMIF($Y$4:$AJ$4, "SME", Y717:AJ717), "")</f>
        <v>0</v>
      </c>
      <c r="AM717" s="286" t="n">
        <f aca="false">IFERROR(SUMIF($Y$4:$AJ$4, "De Minimis", Y717:AJ717), "")</f>
        <v>0</v>
      </c>
      <c r="AN717" s="283"/>
      <c r="AO717" s="284" t="n">
        <f aca="false">IFERROR($G717*$J717*L717, "")</f>
        <v>0</v>
      </c>
      <c r="AP717" s="284" t="n">
        <f aca="false">IFERROR($G717*$J717*M717, "")</f>
        <v>0</v>
      </c>
      <c r="AQ717" s="284" t="n">
        <f aca="false">IFERROR($G717*$J717*N717, "")</f>
        <v>0</v>
      </c>
      <c r="AR717" s="284" t="n">
        <f aca="false">IFERROR($G717*$J717*O717, "")</f>
        <v>0</v>
      </c>
      <c r="AS717" s="284" t="n">
        <f aca="false">IFERROR($G717*$J717*P717, "")</f>
        <v>0</v>
      </c>
      <c r="AT717" s="284" t="n">
        <f aca="false">IFERROR($G717*$J717*Q717, "")</f>
        <v>0</v>
      </c>
      <c r="AU717" s="284" t="n">
        <f aca="false">IFERROR($G717*$J717*R717, "")</f>
        <v>0</v>
      </c>
      <c r="AV717" s="284" t="n">
        <f aca="false">IFERROR($G717*$J717*S717, "")</f>
        <v>0</v>
      </c>
      <c r="AW717" s="284" t="n">
        <f aca="false">IFERROR($G717*$J717*T717, "")</f>
        <v>0</v>
      </c>
      <c r="AX717" s="284" t="n">
        <f aca="false">IFERROR($G717*$J717*U717, "")</f>
        <v>0</v>
      </c>
      <c r="AY717" s="284" t="n">
        <f aca="false">IFERROR($G717*$J717*V717, "")</f>
        <v>0</v>
      </c>
      <c r="AZ717" s="284" t="n">
        <f aca="false">IFERROR($G717*$J717*W717, "")</f>
        <v>0</v>
      </c>
      <c r="BA717" s="286" t="n">
        <f aca="false">IFERROR(SUMIF($AO$4:$AZ$4, "RDEC", AO717:AZ717), "")</f>
        <v>0</v>
      </c>
      <c r="BB717" s="286" t="n">
        <f aca="false">IFERROR(SUMIF($AO$4:$AZ$4, "SME", AO717:AZ717), "")</f>
        <v>0</v>
      </c>
      <c r="BC717" s="286" t="n">
        <f aca="false">IFERROR(SUMIF($Y$4:$AJ$4, "De Minimis", AO717:AZ717), "")</f>
        <v>0</v>
      </c>
      <c r="BD717" s="287"/>
      <c r="BE717" s="288" t="str">
        <f aca="false">IF((SUM(L717:W717)&gt;1),"ERROR","")</f>
        <v/>
      </c>
    </row>
    <row r="718" customFormat="false" ht="15" hidden="false" customHeight="true" outlineLevel="0" collapsed="false">
      <c r="B718" s="333"/>
      <c r="C718" s="334"/>
      <c r="D718" s="333" t="n">
        <f aca="false">D702</f>
        <v>45444</v>
      </c>
      <c r="E718" s="277" t="n">
        <v>0</v>
      </c>
      <c r="F718" s="277" t="n">
        <v>0</v>
      </c>
      <c r="G718" s="277" t="n">
        <f aca="false">SUM(E718:F718)</f>
        <v>0</v>
      </c>
      <c r="H718" s="204"/>
      <c r="I718" s="279" t="n">
        <v>1</v>
      </c>
      <c r="J718" s="280" t="n">
        <f aca="false">1-I718</f>
        <v>0</v>
      </c>
      <c r="K718" s="277"/>
      <c r="L718" s="282"/>
      <c r="M718" s="282"/>
      <c r="N718" s="282"/>
      <c r="O718" s="282"/>
      <c r="P718" s="282"/>
      <c r="Q718" s="282"/>
      <c r="R718" s="282"/>
      <c r="S718" s="282"/>
      <c r="T718" s="282"/>
      <c r="U718" s="282"/>
      <c r="V718" s="282"/>
      <c r="W718" s="282"/>
      <c r="X718" s="283"/>
      <c r="Y718" s="284" t="n">
        <f aca="false">IFERROR(L718*$G718*I$9, "")</f>
        <v>0</v>
      </c>
      <c r="Z718" s="284" t="n">
        <f aca="false">IFERROR(M718*$G718*$I718, "")</f>
        <v>0</v>
      </c>
      <c r="AA718" s="284" t="n">
        <f aca="false">IFERROR(N718*$G718*$I718, "")</f>
        <v>0</v>
      </c>
      <c r="AB718" s="284" t="n">
        <f aca="false">IFERROR(O718*$G718*$I718, "")</f>
        <v>0</v>
      </c>
      <c r="AC718" s="284" t="n">
        <f aca="false">IFERROR(P718*$G718*$I718, "")</f>
        <v>0</v>
      </c>
      <c r="AD718" s="284" t="n">
        <f aca="false">IFERROR(Q718*$G718*$I718, "")</f>
        <v>0</v>
      </c>
      <c r="AE718" s="284" t="n">
        <f aca="false">IFERROR(R718*$G718*$I718, "")</f>
        <v>0</v>
      </c>
      <c r="AF718" s="284" t="n">
        <f aca="false">IFERROR(S718*$G718*$I718, "")</f>
        <v>0</v>
      </c>
      <c r="AG718" s="284" t="n">
        <f aca="false">IFERROR(T718*$G718*$I718, "")</f>
        <v>0</v>
      </c>
      <c r="AH718" s="284" t="n">
        <f aca="false">IFERROR(U718*$G718*$I718, "")</f>
        <v>0</v>
      </c>
      <c r="AI718" s="284" t="n">
        <f aca="false">IFERROR(V718*$G718*$I718, "")</f>
        <v>0</v>
      </c>
      <c r="AJ718" s="284" t="n">
        <f aca="false">IFERROR(W718*$G718*$I718, "")</f>
        <v>0</v>
      </c>
      <c r="AK718" s="286" t="n">
        <f aca="false">IFERROR(SUMIF($Y$4:$AJ$4, "RDEC", Y718:AJ718), "")</f>
        <v>0</v>
      </c>
      <c r="AL718" s="286" t="n">
        <f aca="false">IFERROR(SUMIF($Y$4:$AJ$4, "SME", Y718:AJ718), "")</f>
        <v>0</v>
      </c>
      <c r="AM718" s="286" t="n">
        <f aca="false">IFERROR(SUMIF($Y$4:$AJ$4, "De Minimis", Y718:AJ718), "")</f>
        <v>0</v>
      </c>
      <c r="AN718" s="283"/>
      <c r="AO718" s="284" t="n">
        <f aca="false">IFERROR($G718*$J718*L718, "")</f>
        <v>0</v>
      </c>
      <c r="AP718" s="284" t="n">
        <f aca="false">IFERROR($G718*$J718*M718, "")</f>
        <v>0</v>
      </c>
      <c r="AQ718" s="284" t="n">
        <f aca="false">IFERROR($G718*$J718*N718, "")</f>
        <v>0</v>
      </c>
      <c r="AR718" s="284" t="n">
        <f aca="false">IFERROR($G718*$J718*O718, "")</f>
        <v>0</v>
      </c>
      <c r="AS718" s="284" t="n">
        <f aca="false">IFERROR($G718*$J718*P718, "")</f>
        <v>0</v>
      </c>
      <c r="AT718" s="284" t="n">
        <f aca="false">IFERROR($G718*$J718*Q718, "")</f>
        <v>0</v>
      </c>
      <c r="AU718" s="284" t="n">
        <f aca="false">IFERROR($G718*$J718*R718, "")</f>
        <v>0</v>
      </c>
      <c r="AV718" s="284" t="n">
        <f aca="false">IFERROR($G718*$J718*S718, "")</f>
        <v>0</v>
      </c>
      <c r="AW718" s="284" t="n">
        <f aca="false">IFERROR($G718*$J718*T718, "")</f>
        <v>0</v>
      </c>
      <c r="AX718" s="284" t="n">
        <f aca="false">IFERROR($G718*$J718*U718, "")</f>
        <v>0</v>
      </c>
      <c r="AY718" s="284" t="n">
        <f aca="false">IFERROR($G718*$J718*V718, "")</f>
        <v>0</v>
      </c>
      <c r="AZ718" s="284" t="n">
        <f aca="false">IFERROR($G718*$J718*W718, "")</f>
        <v>0</v>
      </c>
      <c r="BA718" s="286" t="n">
        <f aca="false">IFERROR(SUMIF($AO$4:$AZ$4, "RDEC", AO718:AZ718), "")</f>
        <v>0</v>
      </c>
      <c r="BB718" s="286" t="n">
        <f aca="false">IFERROR(SUMIF($AO$4:$AZ$4, "SME", AO718:AZ718), "")</f>
        <v>0</v>
      </c>
      <c r="BC718" s="286" t="n">
        <f aca="false">IFERROR(SUMIF($Y$4:$AJ$4, "De Minimis", AO718:AZ718), "")</f>
        <v>0</v>
      </c>
      <c r="BD718" s="287"/>
      <c r="BE718" s="288" t="str">
        <f aca="false">IF((SUM(L718:W718)&gt;1),"ERROR","")</f>
        <v/>
      </c>
    </row>
    <row r="719" customFormat="false" ht="15" hidden="false" customHeight="true" outlineLevel="0" collapsed="false">
      <c r="B719" s="333"/>
      <c r="C719" s="334"/>
      <c r="D719" s="333" t="n">
        <f aca="false">D703</f>
        <v>45474</v>
      </c>
      <c r="E719" s="277" t="n">
        <v>0</v>
      </c>
      <c r="F719" s="277" t="n">
        <v>0</v>
      </c>
      <c r="G719" s="277" t="n">
        <f aca="false">SUM(E719:F719)</f>
        <v>0</v>
      </c>
      <c r="H719" s="204"/>
      <c r="I719" s="279" t="n">
        <v>1</v>
      </c>
      <c r="J719" s="280" t="n">
        <f aca="false">1-I719</f>
        <v>0</v>
      </c>
      <c r="K719" s="277"/>
      <c r="L719" s="282"/>
      <c r="M719" s="282"/>
      <c r="N719" s="282"/>
      <c r="O719" s="282"/>
      <c r="P719" s="282"/>
      <c r="Q719" s="282"/>
      <c r="R719" s="282"/>
      <c r="S719" s="282"/>
      <c r="T719" s="282"/>
      <c r="U719" s="282"/>
      <c r="V719" s="282"/>
      <c r="W719" s="282"/>
      <c r="X719" s="283"/>
      <c r="Y719" s="284" t="n">
        <f aca="false">IFERROR(L719*$G719*I$9, "")</f>
        <v>0</v>
      </c>
      <c r="Z719" s="284" t="n">
        <f aca="false">IFERROR(M719*$G719*$I719, "")</f>
        <v>0</v>
      </c>
      <c r="AA719" s="284" t="n">
        <f aca="false">IFERROR(N719*$G719*$I719, "")</f>
        <v>0</v>
      </c>
      <c r="AB719" s="284" t="n">
        <f aca="false">IFERROR(O719*$G719*$I719, "")</f>
        <v>0</v>
      </c>
      <c r="AC719" s="284" t="n">
        <f aca="false">IFERROR(P719*$G719*$I719, "")</f>
        <v>0</v>
      </c>
      <c r="AD719" s="284" t="n">
        <f aca="false">IFERROR(Q719*$G719*$I719, "")</f>
        <v>0</v>
      </c>
      <c r="AE719" s="284" t="n">
        <f aca="false">IFERROR(R719*$G719*$I719, "")</f>
        <v>0</v>
      </c>
      <c r="AF719" s="284" t="n">
        <f aca="false">IFERROR(S719*$G719*$I719, "")</f>
        <v>0</v>
      </c>
      <c r="AG719" s="284" t="n">
        <f aca="false">IFERROR(T719*$G719*$I719, "")</f>
        <v>0</v>
      </c>
      <c r="AH719" s="284" t="n">
        <f aca="false">IFERROR(U719*$G719*$I719, "")</f>
        <v>0</v>
      </c>
      <c r="AI719" s="284" t="n">
        <f aca="false">IFERROR(V719*$G719*$I719, "")</f>
        <v>0</v>
      </c>
      <c r="AJ719" s="284" t="n">
        <f aca="false">IFERROR(W719*$G719*$I719, "")</f>
        <v>0</v>
      </c>
      <c r="AK719" s="286" t="n">
        <f aca="false">IFERROR(SUMIF($Y$4:$AJ$4, "RDEC", Y719:AJ719), "")</f>
        <v>0</v>
      </c>
      <c r="AL719" s="286" t="n">
        <f aca="false">IFERROR(SUMIF($Y$4:$AJ$4, "SME", Y719:AJ719), "")</f>
        <v>0</v>
      </c>
      <c r="AM719" s="286" t="n">
        <f aca="false">IFERROR(SUMIF($Y$4:$AJ$4, "De Minimis", Y719:AJ719), "")</f>
        <v>0</v>
      </c>
      <c r="AN719" s="283"/>
      <c r="AO719" s="284" t="n">
        <f aca="false">IFERROR($G719*$J719*L719, "")</f>
        <v>0</v>
      </c>
      <c r="AP719" s="284" t="n">
        <f aca="false">IFERROR($G719*$J719*M719, "")</f>
        <v>0</v>
      </c>
      <c r="AQ719" s="284" t="n">
        <f aca="false">IFERROR($G719*$J719*N719, "")</f>
        <v>0</v>
      </c>
      <c r="AR719" s="284" t="n">
        <f aca="false">IFERROR($G719*$J719*O719, "")</f>
        <v>0</v>
      </c>
      <c r="AS719" s="284" t="n">
        <f aca="false">IFERROR($G719*$J719*P719, "")</f>
        <v>0</v>
      </c>
      <c r="AT719" s="284" t="n">
        <f aca="false">IFERROR($G719*$J719*Q719, "")</f>
        <v>0</v>
      </c>
      <c r="AU719" s="284" t="n">
        <f aca="false">IFERROR($G719*$J719*R719, "")</f>
        <v>0</v>
      </c>
      <c r="AV719" s="284" t="n">
        <f aca="false">IFERROR($G719*$J719*S719, "")</f>
        <v>0</v>
      </c>
      <c r="AW719" s="284" t="n">
        <f aca="false">IFERROR($G719*$J719*T719, "")</f>
        <v>0</v>
      </c>
      <c r="AX719" s="284" t="n">
        <f aca="false">IFERROR($G719*$J719*U719, "")</f>
        <v>0</v>
      </c>
      <c r="AY719" s="284" t="n">
        <f aca="false">IFERROR($G719*$J719*V719, "")</f>
        <v>0</v>
      </c>
      <c r="AZ719" s="284" t="n">
        <f aca="false">IFERROR($G719*$J719*W719, "")</f>
        <v>0</v>
      </c>
      <c r="BA719" s="286" t="n">
        <f aca="false">IFERROR(SUMIF($AO$4:$AZ$4, "RDEC", AO719:AZ719), "")</f>
        <v>0</v>
      </c>
      <c r="BB719" s="286" t="n">
        <f aca="false">IFERROR(SUMIF($AO$4:$AZ$4, "SME", AO719:AZ719), "")</f>
        <v>0</v>
      </c>
      <c r="BC719" s="286" t="n">
        <f aca="false">IFERROR(SUMIF($Y$4:$AJ$4, "De Minimis", AO719:AZ719), "")</f>
        <v>0</v>
      </c>
      <c r="BD719" s="287"/>
      <c r="BE719" s="288" t="str">
        <f aca="false">IF((SUM(L719:W719)&gt;1),"ERROR","")</f>
        <v/>
      </c>
    </row>
    <row r="720" customFormat="false" ht="15" hidden="false" customHeight="true" outlineLevel="0" collapsed="false">
      <c r="B720" s="333"/>
      <c r="C720" s="334"/>
      <c r="D720" s="333" t="n">
        <f aca="false">D704</f>
        <v>45505</v>
      </c>
      <c r="E720" s="277" t="n">
        <v>0</v>
      </c>
      <c r="F720" s="277" t="n">
        <v>0</v>
      </c>
      <c r="G720" s="277" t="n">
        <f aca="false">SUM(E720:F720)</f>
        <v>0</v>
      </c>
      <c r="H720" s="204"/>
      <c r="I720" s="279" t="n">
        <v>1</v>
      </c>
      <c r="J720" s="280" t="n">
        <f aca="false">1-I720</f>
        <v>0</v>
      </c>
      <c r="K720" s="277"/>
      <c r="L720" s="282"/>
      <c r="M720" s="282"/>
      <c r="N720" s="282"/>
      <c r="O720" s="282"/>
      <c r="P720" s="282"/>
      <c r="Q720" s="282"/>
      <c r="R720" s="282"/>
      <c r="S720" s="282"/>
      <c r="T720" s="282"/>
      <c r="U720" s="282"/>
      <c r="V720" s="282"/>
      <c r="W720" s="282"/>
      <c r="X720" s="283"/>
      <c r="Y720" s="284" t="n">
        <f aca="false">IFERROR(L720*$G720*I$9, "")</f>
        <v>0</v>
      </c>
      <c r="Z720" s="284" t="n">
        <f aca="false">IFERROR(M720*$G720*$I720, "")</f>
        <v>0</v>
      </c>
      <c r="AA720" s="284" t="n">
        <f aca="false">IFERROR(N720*$G720*$I720, "")</f>
        <v>0</v>
      </c>
      <c r="AB720" s="284" t="n">
        <f aca="false">IFERROR(O720*$G720*$I720, "")</f>
        <v>0</v>
      </c>
      <c r="AC720" s="284" t="n">
        <f aca="false">IFERROR(P720*$G720*$I720, "")</f>
        <v>0</v>
      </c>
      <c r="AD720" s="284" t="n">
        <f aca="false">IFERROR(Q720*$G720*$I720, "")</f>
        <v>0</v>
      </c>
      <c r="AE720" s="284" t="n">
        <f aca="false">IFERROR(R720*$G720*$I720, "")</f>
        <v>0</v>
      </c>
      <c r="AF720" s="284" t="n">
        <f aca="false">IFERROR(S720*$G720*$I720, "")</f>
        <v>0</v>
      </c>
      <c r="AG720" s="284" t="n">
        <f aca="false">IFERROR(T720*$G720*$I720, "")</f>
        <v>0</v>
      </c>
      <c r="AH720" s="284" t="n">
        <f aca="false">IFERROR(U720*$G720*$I720, "")</f>
        <v>0</v>
      </c>
      <c r="AI720" s="284" t="n">
        <f aca="false">IFERROR(V720*$G720*$I720, "")</f>
        <v>0</v>
      </c>
      <c r="AJ720" s="284" t="n">
        <f aca="false">IFERROR(W720*$G720*$I720, "")</f>
        <v>0</v>
      </c>
      <c r="AK720" s="286" t="n">
        <f aca="false">IFERROR(SUMIF($Y$4:$AJ$4, "RDEC", Y720:AJ720), "")</f>
        <v>0</v>
      </c>
      <c r="AL720" s="286" t="n">
        <f aca="false">IFERROR(SUMIF($Y$4:$AJ$4, "SME", Y720:AJ720), "")</f>
        <v>0</v>
      </c>
      <c r="AM720" s="286" t="n">
        <f aca="false">IFERROR(SUMIF($Y$4:$AJ$4, "De Minimis", Y720:AJ720), "")</f>
        <v>0</v>
      </c>
      <c r="AN720" s="283"/>
      <c r="AO720" s="284" t="n">
        <f aca="false">IFERROR($G720*$J720*L720, "")</f>
        <v>0</v>
      </c>
      <c r="AP720" s="284" t="n">
        <f aca="false">IFERROR($G720*$J720*M720, "")</f>
        <v>0</v>
      </c>
      <c r="AQ720" s="284" t="n">
        <f aca="false">IFERROR($G720*$J720*N720, "")</f>
        <v>0</v>
      </c>
      <c r="AR720" s="284" t="n">
        <f aca="false">IFERROR($G720*$J720*O720, "")</f>
        <v>0</v>
      </c>
      <c r="AS720" s="284" t="n">
        <f aca="false">IFERROR($G720*$J720*P720, "")</f>
        <v>0</v>
      </c>
      <c r="AT720" s="284" t="n">
        <f aca="false">IFERROR($G720*$J720*Q720, "")</f>
        <v>0</v>
      </c>
      <c r="AU720" s="284" t="n">
        <f aca="false">IFERROR($G720*$J720*R720, "")</f>
        <v>0</v>
      </c>
      <c r="AV720" s="284" t="n">
        <f aca="false">IFERROR($G720*$J720*S720, "")</f>
        <v>0</v>
      </c>
      <c r="AW720" s="284" t="n">
        <f aca="false">IFERROR($G720*$J720*T720, "")</f>
        <v>0</v>
      </c>
      <c r="AX720" s="284" t="n">
        <f aca="false">IFERROR($G720*$J720*U720, "")</f>
        <v>0</v>
      </c>
      <c r="AY720" s="284" t="n">
        <f aca="false">IFERROR($G720*$J720*V720, "")</f>
        <v>0</v>
      </c>
      <c r="AZ720" s="284" t="n">
        <f aca="false">IFERROR($G720*$J720*W720, "")</f>
        <v>0</v>
      </c>
      <c r="BA720" s="286" t="n">
        <f aca="false">IFERROR(SUMIF($AO$4:$AZ$4, "RDEC", AO720:AZ720), "")</f>
        <v>0</v>
      </c>
      <c r="BB720" s="286" t="n">
        <f aca="false">IFERROR(SUMIF($AO$4:$AZ$4, "SME", AO720:AZ720), "")</f>
        <v>0</v>
      </c>
      <c r="BC720" s="286" t="n">
        <f aca="false">IFERROR(SUMIF($Y$4:$AJ$4, "De Minimis", AO720:AZ720), "")</f>
        <v>0</v>
      </c>
      <c r="BD720" s="287"/>
      <c r="BE720" s="288" t="str">
        <f aca="false">IF((SUM(L720:W720)&gt;1),"ERROR","")</f>
        <v/>
      </c>
    </row>
    <row r="721" customFormat="false" ht="15" hidden="false" customHeight="true" outlineLevel="0" collapsed="false">
      <c r="B721" s="333"/>
      <c r="C721" s="334"/>
      <c r="D721" s="333" t="n">
        <f aca="false">D705</f>
        <v>45536</v>
      </c>
      <c r="E721" s="277" t="n">
        <v>0</v>
      </c>
      <c r="F721" s="277" t="n">
        <v>0</v>
      </c>
      <c r="G721" s="277" t="n">
        <f aca="false">SUM(E721:F721)</f>
        <v>0</v>
      </c>
      <c r="H721" s="204"/>
      <c r="I721" s="279" t="n">
        <v>1</v>
      </c>
      <c r="J721" s="280" t="n">
        <f aca="false">1-I721</f>
        <v>0</v>
      </c>
      <c r="K721" s="277"/>
      <c r="L721" s="282"/>
      <c r="M721" s="282"/>
      <c r="N721" s="282"/>
      <c r="O721" s="282"/>
      <c r="P721" s="282"/>
      <c r="Q721" s="282"/>
      <c r="R721" s="282"/>
      <c r="S721" s="282"/>
      <c r="T721" s="282"/>
      <c r="U721" s="282"/>
      <c r="V721" s="282"/>
      <c r="W721" s="282"/>
      <c r="X721" s="283"/>
      <c r="Y721" s="284" t="n">
        <f aca="false">IFERROR(L721*$G721*I$9, "")</f>
        <v>0</v>
      </c>
      <c r="Z721" s="284" t="n">
        <f aca="false">IFERROR(M721*$G721*$I721, "")</f>
        <v>0</v>
      </c>
      <c r="AA721" s="284" t="n">
        <f aca="false">IFERROR(N721*$G721*$I721, "")</f>
        <v>0</v>
      </c>
      <c r="AB721" s="284" t="n">
        <f aca="false">IFERROR(O721*$G721*$I721, "")</f>
        <v>0</v>
      </c>
      <c r="AC721" s="284" t="n">
        <f aca="false">IFERROR(P721*$G721*$I721, "")</f>
        <v>0</v>
      </c>
      <c r="AD721" s="284" t="n">
        <f aca="false">IFERROR(Q721*$G721*$I721, "")</f>
        <v>0</v>
      </c>
      <c r="AE721" s="284" t="n">
        <f aca="false">IFERROR(R721*$G721*$I721, "")</f>
        <v>0</v>
      </c>
      <c r="AF721" s="284" t="n">
        <f aca="false">IFERROR(S721*$G721*$I721, "")</f>
        <v>0</v>
      </c>
      <c r="AG721" s="284" t="n">
        <f aca="false">IFERROR(T721*$G721*$I721, "")</f>
        <v>0</v>
      </c>
      <c r="AH721" s="284" t="n">
        <f aca="false">IFERROR(U721*$G721*$I721, "")</f>
        <v>0</v>
      </c>
      <c r="AI721" s="284" t="n">
        <f aca="false">IFERROR(V721*$G721*$I721, "")</f>
        <v>0</v>
      </c>
      <c r="AJ721" s="284" t="n">
        <f aca="false">IFERROR(W721*$G721*$I721, "")</f>
        <v>0</v>
      </c>
      <c r="AK721" s="286" t="n">
        <f aca="false">IFERROR(SUMIF($Y$4:$AJ$4, "RDEC", Y721:AJ721), "")</f>
        <v>0</v>
      </c>
      <c r="AL721" s="286" t="n">
        <f aca="false">IFERROR(SUMIF($Y$4:$AJ$4, "SME", Y721:AJ721), "")</f>
        <v>0</v>
      </c>
      <c r="AM721" s="286" t="n">
        <f aca="false">IFERROR(SUMIF($Y$4:$AJ$4, "De Minimis", Y721:AJ721), "")</f>
        <v>0</v>
      </c>
      <c r="AN721" s="283"/>
      <c r="AO721" s="284" t="n">
        <f aca="false">IFERROR($G721*$J721*L721, "")</f>
        <v>0</v>
      </c>
      <c r="AP721" s="284" t="n">
        <f aca="false">IFERROR($G721*$J721*M721, "")</f>
        <v>0</v>
      </c>
      <c r="AQ721" s="284" t="n">
        <f aca="false">IFERROR($G721*$J721*N721, "")</f>
        <v>0</v>
      </c>
      <c r="AR721" s="284" t="n">
        <f aca="false">IFERROR($G721*$J721*O721, "")</f>
        <v>0</v>
      </c>
      <c r="AS721" s="284" t="n">
        <f aca="false">IFERROR($G721*$J721*P721, "")</f>
        <v>0</v>
      </c>
      <c r="AT721" s="284" t="n">
        <f aca="false">IFERROR($G721*$J721*Q721, "")</f>
        <v>0</v>
      </c>
      <c r="AU721" s="284" t="n">
        <f aca="false">IFERROR($G721*$J721*R721, "")</f>
        <v>0</v>
      </c>
      <c r="AV721" s="284" t="n">
        <f aca="false">IFERROR($G721*$J721*S721, "")</f>
        <v>0</v>
      </c>
      <c r="AW721" s="284" t="n">
        <f aca="false">IFERROR($G721*$J721*T721, "")</f>
        <v>0</v>
      </c>
      <c r="AX721" s="284" t="n">
        <f aca="false">IFERROR($G721*$J721*U721, "")</f>
        <v>0</v>
      </c>
      <c r="AY721" s="284" t="n">
        <f aca="false">IFERROR($G721*$J721*V721, "")</f>
        <v>0</v>
      </c>
      <c r="AZ721" s="284" t="n">
        <f aca="false">IFERROR($G721*$J721*W721, "")</f>
        <v>0</v>
      </c>
      <c r="BA721" s="286" t="n">
        <f aca="false">IFERROR(SUMIF($AO$4:$AZ$4, "RDEC", AO721:AZ721), "")</f>
        <v>0</v>
      </c>
      <c r="BB721" s="286" t="n">
        <f aca="false">IFERROR(SUMIF($AO$4:$AZ$4, "SME", AO721:AZ721), "")</f>
        <v>0</v>
      </c>
      <c r="BC721" s="286" t="n">
        <f aca="false">IFERROR(SUMIF($Y$4:$AJ$4, "De Minimis", AO721:AZ721), "")</f>
        <v>0</v>
      </c>
      <c r="BD721" s="287"/>
      <c r="BE721" s="288" t="str">
        <f aca="false">IF((SUM(L721:W721)&gt;1),"ERROR","")</f>
        <v/>
      </c>
    </row>
    <row r="722" customFormat="false" ht="15" hidden="false" customHeight="true" outlineLevel="0" collapsed="false">
      <c r="B722" s="333"/>
      <c r="C722" s="334"/>
      <c r="D722" s="333" t="n">
        <f aca="false">D706</f>
        <v>45566</v>
      </c>
      <c r="E722" s="277" t="n">
        <v>0</v>
      </c>
      <c r="F722" s="277" t="n">
        <v>0</v>
      </c>
      <c r="G722" s="277" t="n">
        <f aca="false">SUM(E722:F722)</f>
        <v>0</v>
      </c>
      <c r="H722" s="204"/>
      <c r="I722" s="279" t="n">
        <v>1</v>
      </c>
      <c r="J722" s="280" t="n">
        <f aca="false">1-I722</f>
        <v>0</v>
      </c>
      <c r="K722" s="277"/>
      <c r="L722" s="282"/>
      <c r="M722" s="282"/>
      <c r="N722" s="282"/>
      <c r="O722" s="282"/>
      <c r="P722" s="282"/>
      <c r="Q722" s="282"/>
      <c r="R722" s="282"/>
      <c r="S722" s="282"/>
      <c r="T722" s="282"/>
      <c r="U722" s="282"/>
      <c r="V722" s="282"/>
      <c r="W722" s="282"/>
      <c r="X722" s="283"/>
      <c r="Y722" s="284" t="n">
        <f aca="false">IFERROR(L722*$G722*I$9, "")</f>
        <v>0</v>
      </c>
      <c r="Z722" s="284" t="n">
        <f aca="false">IFERROR(M722*$G722*$I722, "")</f>
        <v>0</v>
      </c>
      <c r="AA722" s="284" t="n">
        <f aca="false">IFERROR(N722*$G722*$I722, "")</f>
        <v>0</v>
      </c>
      <c r="AB722" s="284" t="n">
        <f aca="false">IFERROR(O722*$G722*$I722, "")</f>
        <v>0</v>
      </c>
      <c r="AC722" s="284" t="n">
        <f aca="false">IFERROR(P722*$G722*$I722, "")</f>
        <v>0</v>
      </c>
      <c r="AD722" s="284" t="n">
        <f aca="false">IFERROR(Q722*$G722*$I722, "")</f>
        <v>0</v>
      </c>
      <c r="AE722" s="284" t="n">
        <f aca="false">IFERROR(R722*$G722*$I722, "")</f>
        <v>0</v>
      </c>
      <c r="AF722" s="284" t="n">
        <f aca="false">IFERROR(S722*$G722*$I722, "")</f>
        <v>0</v>
      </c>
      <c r="AG722" s="284" t="n">
        <f aca="false">IFERROR(T722*$G722*$I722, "")</f>
        <v>0</v>
      </c>
      <c r="AH722" s="284" t="n">
        <f aca="false">IFERROR(U722*$G722*$I722, "")</f>
        <v>0</v>
      </c>
      <c r="AI722" s="284" t="n">
        <f aca="false">IFERROR(V722*$G722*$I722, "")</f>
        <v>0</v>
      </c>
      <c r="AJ722" s="284" t="n">
        <f aca="false">IFERROR(W722*$G722*$I722, "")</f>
        <v>0</v>
      </c>
      <c r="AK722" s="286" t="n">
        <f aca="false">IFERROR(SUMIF($Y$4:$AJ$4, "RDEC", Y722:AJ722), "")</f>
        <v>0</v>
      </c>
      <c r="AL722" s="286" t="n">
        <f aca="false">IFERROR(SUMIF($Y$4:$AJ$4, "SME", Y722:AJ722), "")</f>
        <v>0</v>
      </c>
      <c r="AM722" s="286" t="n">
        <f aca="false">IFERROR(SUMIF($Y$4:$AJ$4, "De Minimis", Y722:AJ722), "")</f>
        <v>0</v>
      </c>
      <c r="AN722" s="283"/>
      <c r="AO722" s="284" t="n">
        <f aca="false">IFERROR($G722*$J722*L722, "")</f>
        <v>0</v>
      </c>
      <c r="AP722" s="284" t="n">
        <f aca="false">IFERROR($G722*$J722*M722, "")</f>
        <v>0</v>
      </c>
      <c r="AQ722" s="284" t="n">
        <f aca="false">IFERROR($G722*$J722*N722, "")</f>
        <v>0</v>
      </c>
      <c r="AR722" s="284" t="n">
        <f aca="false">IFERROR($G722*$J722*O722, "")</f>
        <v>0</v>
      </c>
      <c r="AS722" s="284" t="n">
        <f aca="false">IFERROR($G722*$J722*P722, "")</f>
        <v>0</v>
      </c>
      <c r="AT722" s="284" t="n">
        <f aca="false">IFERROR($G722*$J722*Q722, "")</f>
        <v>0</v>
      </c>
      <c r="AU722" s="284" t="n">
        <f aca="false">IFERROR($G722*$J722*R722, "")</f>
        <v>0</v>
      </c>
      <c r="AV722" s="284" t="n">
        <f aca="false">IFERROR($G722*$J722*S722, "")</f>
        <v>0</v>
      </c>
      <c r="AW722" s="284" t="n">
        <f aca="false">IFERROR($G722*$J722*T722, "")</f>
        <v>0</v>
      </c>
      <c r="AX722" s="284" t="n">
        <f aca="false">IFERROR($G722*$J722*U722, "")</f>
        <v>0</v>
      </c>
      <c r="AY722" s="284" t="n">
        <f aca="false">IFERROR($G722*$J722*V722, "")</f>
        <v>0</v>
      </c>
      <c r="AZ722" s="284" t="n">
        <f aca="false">IFERROR($G722*$J722*W722, "")</f>
        <v>0</v>
      </c>
      <c r="BA722" s="286" t="n">
        <f aca="false">IFERROR(SUMIF($AO$4:$AZ$4, "RDEC", AO722:AZ722), "")</f>
        <v>0</v>
      </c>
      <c r="BB722" s="286" t="n">
        <f aca="false">IFERROR(SUMIF($AO$4:$AZ$4, "SME", AO722:AZ722), "")</f>
        <v>0</v>
      </c>
      <c r="BC722" s="286" t="n">
        <f aca="false">IFERROR(SUMIF($Y$4:$AJ$4, "De Minimis", AO722:AZ722), "")</f>
        <v>0</v>
      </c>
      <c r="BD722" s="287"/>
      <c r="BE722" s="288" t="str">
        <f aca="false">IF((SUM(L722:W722)&gt;1),"ERROR","")</f>
        <v/>
      </c>
    </row>
    <row r="723" customFormat="false" ht="15" hidden="false" customHeight="true" outlineLevel="0" collapsed="false">
      <c r="B723" s="333"/>
      <c r="C723" s="334"/>
      <c r="D723" s="333" t="n">
        <f aca="false">D707</f>
        <v>45597</v>
      </c>
      <c r="E723" s="277" t="n">
        <v>0</v>
      </c>
      <c r="F723" s="277" t="n">
        <v>0</v>
      </c>
      <c r="G723" s="277" t="n">
        <f aca="false">SUM(E723:F723)</f>
        <v>0</v>
      </c>
      <c r="H723" s="204"/>
      <c r="I723" s="279" t="n">
        <v>1</v>
      </c>
      <c r="J723" s="280" t="n">
        <f aca="false">1-I723</f>
        <v>0</v>
      </c>
      <c r="K723" s="277"/>
      <c r="L723" s="282"/>
      <c r="M723" s="282"/>
      <c r="N723" s="282"/>
      <c r="O723" s="282"/>
      <c r="P723" s="282"/>
      <c r="Q723" s="282"/>
      <c r="R723" s="282"/>
      <c r="S723" s="282"/>
      <c r="T723" s="282"/>
      <c r="U723" s="282"/>
      <c r="V723" s="282"/>
      <c r="W723" s="282"/>
      <c r="X723" s="283"/>
      <c r="Y723" s="284" t="n">
        <f aca="false">IFERROR(L723*$G723*I$9, "")</f>
        <v>0</v>
      </c>
      <c r="Z723" s="284" t="n">
        <f aca="false">IFERROR(M723*$G723*$I723, "")</f>
        <v>0</v>
      </c>
      <c r="AA723" s="284" t="n">
        <f aca="false">IFERROR(N723*$G723*$I723, "")</f>
        <v>0</v>
      </c>
      <c r="AB723" s="284" t="n">
        <f aca="false">IFERROR(O723*$G723*$I723, "")</f>
        <v>0</v>
      </c>
      <c r="AC723" s="284" t="n">
        <f aca="false">IFERROR(P723*$G723*$I723, "")</f>
        <v>0</v>
      </c>
      <c r="AD723" s="284" t="n">
        <f aca="false">IFERROR(Q723*$G723*$I723, "")</f>
        <v>0</v>
      </c>
      <c r="AE723" s="284" t="n">
        <f aca="false">IFERROR(R723*$G723*$I723, "")</f>
        <v>0</v>
      </c>
      <c r="AF723" s="284" t="n">
        <f aca="false">IFERROR(S723*$G723*$I723, "")</f>
        <v>0</v>
      </c>
      <c r="AG723" s="284" t="n">
        <f aca="false">IFERROR(T723*$G723*$I723, "")</f>
        <v>0</v>
      </c>
      <c r="AH723" s="284" t="n">
        <f aca="false">IFERROR(U723*$G723*$I723, "")</f>
        <v>0</v>
      </c>
      <c r="AI723" s="284" t="n">
        <f aca="false">IFERROR(V723*$G723*$I723, "")</f>
        <v>0</v>
      </c>
      <c r="AJ723" s="284" t="n">
        <f aca="false">IFERROR(W723*$G723*$I723, "")</f>
        <v>0</v>
      </c>
      <c r="AK723" s="286" t="n">
        <f aca="false">IFERROR(SUMIF($Y$4:$AJ$4, "RDEC", Y723:AJ723), "")</f>
        <v>0</v>
      </c>
      <c r="AL723" s="286" t="n">
        <f aca="false">IFERROR(SUMIF($Y$4:$AJ$4, "SME", Y723:AJ723), "")</f>
        <v>0</v>
      </c>
      <c r="AM723" s="286" t="n">
        <f aca="false">IFERROR(SUMIF($Y$4:$AJ$4, "De Minimis", Y723:AJ723), "")</f>
        <v>0</v>
      </c>
      <c r="AN723" s="283"/>
      <c r="AO723" s="284" t="n">
        <f aca="false">IFERROR($G723*$J723*L723, "")</f>
        <v>0</v>
      </c>
      <c r="AP723" s="284" t="n">
        <f aca="false">IFERROR($G723*$J723*M723, "")</f>
        <v>0</v>
      </c>
      <c r="AQ723" s="284" t="n">
        <f aca="false">IFERROR($G723*$J723*N723, "")</f>
        <v>0</v>
      </c>
      <c r="AR723" s="284" t="n">
        <f aca="false">IFERROR($G723*$J723*O723, "")</f>
        <v>0</v>
      </c>
      <c r="AS723" s="284" t="n">
        <f aca="false">IFERROR($G723*$J723*P723, "")</f>
        <v>0</v>
      </c>
      <c r="AT723" s="284" t="n">
        <f aca="false">IFERROR($G723*$J723*Q723, "")</f>
        <v>0</v>
      </c>
      <c r="AU723" s="284" t="n">
        <f aca="false">IFERROR($G723*$J723*R723, "")</f>
        <v>0</v>
      </c>
      <c r="AV723" s="284" t="n">
        <f aca="false">IFERROR($G723*$J723*S723, "")</f>
        <v>0</v>
      </c>
      <c r="AW723" s="284" t="n">
        <f aca="false">IFERROR($G723*$J723*T723, "")</f>
        <v>0</v>
      </c>
      <c r="AX723" s="284" t="n">
        <f aca="false">IFERROR($G723*$J723*U723, "")</f>
        <v>0</v>
      </c>
      <c r="AY723" s="284" t="n">
        <f aca="false">IFERROR($G723*$J723*V723, "")</f>
        <v>0</v>
      </c>
      <c r="AZ723" s="284" t="n">
        <f aca="false">IFERROR($G723*$J723*W723, "")</f>
        <v>0</v>
      </c>
      <c r="BA723" s="286" t="n">
        <f aca="false">IFERROR(SUMIF($AO$4:$AZ$4, "RDEC", AO723:AZ723), "")</f>
        <v>0</v>
      </c>
      <c r="BB723" s="286" t="n">
        <f aca="false">IFERROR(SUMIF($AO$4:$AZ$4, "SME", AO723:AZ723), "")</f>
        <v>0</v>
      </c>
      <c r="BC723" s="286" t="n">
        <f aca="false">IFERROR(SUMIF($Y$4:$AJ$4, "De Minimis", AO723:AZ723), "")</f>
        <v>0</v>
      </c>
      <c r="BD723" s="287"/>
      <c r="BE723" s="288" t="str">
        <f aca="false">IF((SUM(L723:W723)&gt;1),"ERROR","")</f>
        <v/>
      </c>
    </row>
    <row r="724" customFormat="false" ht="15" hidden="false" customHeight="true" outlineLevel="0" collapsed="false">
      <c r="B724" s="333"/>
      <c r="C724" s="334"/>
      <c r="D724" s="333" t="n">
        <f aca="false">D708</f>
        <v>45627</v>
      </c>
      <c r="E724" s="277" t="n">
        <v>0</v>
      </c>
      <c r="F724" s="277" t="n">
        <v>0</v>
      </c>
      <c r="G724" s="277" t="n">
        <f aca="false">SUM(E724:F724)</f>
        <v>0</v>
      </c>
      <c r="H724" s="300"/>
      <c r="I724" s="289" t="n">
        <v>1</v>
      </c>
      <c r="J724" s="290" t="n">
        <f aca="false">1-I724</f>
        <v>0</v>
      </c>
      <c r="K724" s="300"/>
      <c r="L724" s="291"/>
      <c r="M724" s="291"/>
      <c r="N724" s="291"/>
      <c r="O724" s="291"/>
      <c r="P724" s="291"/>
      <c r="Q724" s="291"/>
      <c r="R724" s="291"/>
      <c r="S724" s="291"/>
      <c r="T724" s="291"/>
      <c r="U724" s="291"/>
      <c r="V724" s="291"/>
      <c r="W724" s="291"/>
      <c r="X724" s="283"/>
      <c r="Y724" s="284" t="n">
        <f aca="false">IFERROR(L724*$G724*I$9, "")</f>
        <v>0</v>
      </c>
      <c r="Z724" s="284" t="n">
        <f aca="false">IFERROR(M724*$G724*$I724, "")</f>
        <v>0</v>
      </c>
      <c r="AA724" s="284" t="n">
        <f aca="false">IFERROR(N724*$G724*$I724, "")</f>
        <v>0</v>
      </c>
      <c r="AB724" s="284" t="n">
        <f aca="false">IFERROR(O724*$G724*$I724, "")</f>
        <v>0</v>
      </c>
      <c r="AC724" s="284" t="n">
        <f aca="false">IFERROR(P724*$G724*$I724, "")</f>
        <v>0</v>
      </c>
      <c r="AD724" s="284" t="n">
        <f aca="false">IFERROR(Q724*$G724*$I724, "")</f>
        <v>0</v>
      </c>
      <c r="AE724" s="284" t="n">
        <f aca="false">IFERROR(R724*$G724*$I724, "")</f>
        <v>0</v>
      </c>
      <c r="AF724" s="284" t="n">
        <f aca="false">IFERROR(S724*$G724*$I724, "")</f>
        <v>0</v>
      </c>
      <c r="AG724" s="284" t="n">
        <f aca="false">IFERROR(T724*$G724*$I724, "")</f>
        <v>0</v>
      </c>
      <c r="AH724" s="284" t="n">
        <f aca="false">IFERROR(U724*$G724*$I724, "")</f>
        <v>0</v>
      </c>
      <c r="AI724" s="284" t="n">
        <f aca="false">IFERROR(V724*$G724*$I724, "")</f>
        <v>0</v>
      </c>
      <c r="AJ724" s="284" t="n">
        <f aca="false">IFERROR(W724*$G724*$I724, "")</f>
        <v>0</v>
      </c>
      <c r="AK724" s="294" t="n">
        <f aca="false">IFERROR(SUMIF($Y$4:$AJ$4, "RDEC", Y724:AJ724), "")</f>
        <v>0</v>
      </c>
      <c r="AL724" s="294" t="n">
        <f aca="false">IFERROR(SUMIF($Y$4:$AJ$4, "SME", Y724:AJ724), "")</f>
        <v>0</v>
      </c>
      <c r="AM724" s="294" t="n">
        <f aca="false">IFERROR(SUMIF($Y$4:$AJ$4, "De Minimis", Y724:AJ724), "")</f>
        <v>0</v>
      </c>
      <c r="AN724" s="283"/>
      <c r="AO724" s="284" t="n">
        <f aca="false">IFERROR($G724*$J724*L724, "")</f>
        <v>0</v>
      </c>
      <c r="AP724" s="284" t="n">
        <f aca="false">IFERROR($G724*$J724*M724, "")</f>
        <v>0</v>
      </c>
      <c r="AQ724" s="284" t="n">
        <f aca="false">IFERROR($G724*$J724*N724, "")</f>
        <v>0</v>
      </c>
      <c r="AR724" s="284" t="n">
        <f aca="false">IFERROR($G724*$J724*O724, "")</f>
        <v>0</v>
      </c>
      <c r="AS724" s="284" t="n">
        <f aca="false">IFERROR($G724*$J724*P724, "")</f>
        <v>0</v>
      </c>
      <c r="AT724" s="284" t="n">
        <f aca="false">IFERROR($G724*$J724*Q724, "")</f>
        <v>0</v>
      </c>
      <c r="AU724" s="284" t="n">
        <f aca="false">IFERROR($G724*$J724*R724, "")</f>
        <v>0</v>
      </c>
      <c r="AV724" s="284" t="n">
        <f aca="false">IFERROR($G724*$J724*S724, "")</f>
        <v>0</v>
      </c>
      <c r="AW724" s="284" t="n">
        <f aca="false">IFERROR($G724*$J724*T724, "")</f>
        <v>0</v>
      </c>
      <c r="AX724" s="284" t="n">
        <f aca="false">IFERROR($G724*$J724*U724, "")</f>
        <v>0</v>
      </c>
      <c r="AY724" s="284" t="n">
        <f aca="false">IFERROR($G724*$J724*V724, "")</f>
        <v>0</v>
      </c>
      <c r="AZ724" s="284" t="n">
        <f aca="false">IFERROR($G724*$J724*W724, "")</f>
        <v>0</v>
      </c>
      <c r="BA724" s="286" t="n">
        <f aca="false">IFERROR(SUMIF($AO$4:$AZ$4, "RDEC", AO724:AZ724), "")</f>
        <v>0</v>
      </c>
      <c r="BB724" s="286" t="n">
        <f aca="false">IFERROR(SUMIF($AO$4:$AZ$4, "SME", AO724:AZ724), "")</f>
        <v>0</v>
      </c>
      <c r="BC724" s="294" t="n">
        <f aca="false">IFERROR(SUMIF($Y$4:$AJ$4, "De Minimis", AO724:AZ724), "")</f>
        <v>0</v>
      </c>
      <c r="BD724" s="303"/>
      <c r="BE724" s="295" t="str">
        <f aca="false">IF((SUM(L724:W724)&gt;1),"ERROR","")</f>
        <v/>
      </c>
    </row>
    <row r="725" customFormat="false" ht="15" hidden="false" customHeight="true" outlineLevel="0" collapsed="false">
      <c r="B725" s="296"/>
      <c r="D725" s="297" t="s">
        <v>82</v>
      </c>
      <c r="E725" s="299" t="n">
        <f aca="false">SUM(E713:E724)</f>
        <v>0</v>
      </c>
      <c r="F725" s="299" t="n">
        <f aca="false">SUM(F713:F724)</f>
        <v>0</v>
      </c>
      <c r="G725" s="299" t="n">
        <f aca="false">SUM(G713:G724)</f>
        <v>0</v>
      </c>
      <c r="H725" s="300"/>
      <c r="I725" s="301" t="n">
        <f aca="false">AVERAGE(I713:I724)</f>
        <v>1</v>
      </c>
      <c r="J725" s="301" t="n">
        <f aca="false">AVERAGE(J713:J724)</f>
        <v>0</v>
      </c>
      <c r="K725" s="300"/>
      <c r="L725" s="290" t="n">
        <f aca="false">IF(SUM(L713:L724)&gt;0,(Y725/G725),0)</f>
        <v>0</v>
      </c>
      <c r="M725" s="301" t="n">
        <f aca="false">IF(SUM(M713:M724)&gt;0,(Z725/G725),0)</f>
        <v>0</v>
      </c>
      <c r="N725" s="301" t="n">
        <f aca="false">IF(SUM(N713:N724)&gt;0,(AA725/G725),0)</f>
        <v>0</v>
      </c>
      <c r="O725" s="301" t="n">
        <f aca="false">IF(SUM(O713:O724)&gt;0,(AB725/G725),0)</f>
        <v>0</v>
      </c>
      <c r="P725" s="301" t="n">
        <f aca="false">IF(SUM(P713:P724)&gt;0,(AC725/G725),0)</f>
        <v>0</v>
      </c>
      <c r="Q725" s="301" t="n">
        <f aca="false">IF(SUM(Q713:Q724)&gt;0,(AD725/G725),0)</f>
        <v>0</v>
      </c>
      <c r="R725" s="301" t="n">
        <f aca="false">IF(SUM(R713:R724)&gt;0,(AE725/G725),0)</f>
        <v>0</v>
      </c>
      <c r="S725" s="301" t="n">
        <f aca="false">IF(SUM(S713:S724)&gt;0,(AF725/G725),0)</f>
        <v>0</v>
      </c>
      <c r="T725" s="301" t="n">
        <f aca="false">IF(SUM(T713:T724)&gt;0,(AG725/G725),0)</f>
        <v>0</v>
      </c>
      <c r="U725" s="301" t="n">
        <f aca="false">IF(SUM(U713:U724)&gt;0,(AJ725/G725),0)</f>
        <v>0</v>
      </c>
      <c r="V725" s="301" t="n">
        <f aca="false">IF(SUM(V713:V724)&gt;0,(AI725/G725),0)</f>
        <v>0</v>
      </c>
      <c r="W725" s="301" t="n">
        <f aca="false">IF(SUM(W713:W724)&gt;0,(AJ725/G725),0)</f>
        <v>0</v>
      </c>
      <c r="X725" s="283"/>
      <c r="Y725" s="304" t="n">
        <f aca="false">SUM(Y713:Y724)</f>
        <v>0</v>
      </c>
      <c r="Z725" s="304" t="n">
        <f aca="false">SUM(Z713:Z724)</f>
        <v>0</v>
      </c>
      <c r="AA725" s="304" t="n">
        <f aca="false">SUM(AA713:AA724)</f>
        <v>0</v>
      </c>
      <c r="AB725" s="304" t="n">
        <f aca="false">SUM(AB713:AB724)</f>
        <v>0</v>
      </c>
      <c r="AC725" s="304" t="n">
        <f aca="false">SUM(AC713:AC724)</f>
        <v>0</v>
      </c>
      <c r="AD725" s="304" t="n">
        <f aca="false">SUM(AD713:AD724)</f>
        <v>0</v>
      </c>
      <c r="AE725" s="304" t="n">
        <f aca="false">SUM(AE713:AE724)</f>
        <v>0</v>
      </c>
      <c r="AF725" s="304" t="n">
        <f aca="false">SUM(AF713:AF724)</f>
        <v>0</v>
      </c>
      <c r="AG725" s="304" t="n">
        <f aca="false">SUM(AG713:AG724)</f>
        <v>0</v>
      </c>
      <c r="AH725" s="304" t="n">
        <f aca="false">SUM(AH713:AH724)</f>
        <v>0</v>
      </c>
      <c r="AI725" s="304" t="n">
        <f aca="false">SUM(AI713:AI724)</f>
        <v>0</v>
      </c>
      <c r="AJ725" s="304" t="n">
        <f aca="false">SUM(AJ713:AJ724)</f>
        <v>0</v>
      </c>
      <c r="AK725" s="335" t="n">
        <f aca="false">SUM(AK713:AK724)</f>
        <v>0</v>
      </c>
      <c r="AL725" s="336" t="n">
        <f aca="false">SUM(AL713:AL724)</f>
        <v>0</v>
      </c>
      <c r="AM725" s="305" t="n">
        <f aca="false">SUM(AM713:AM724)</f>
        <v>0</v>
      </c>
      <c r="AN725" s="283"/>
      <c r="AO725" s="304" t="n">
        <f aca="false">SUM(AO713:AO724)</f>
        <v>0</v>
      </c>
      <c r="AP725" s="304" t="n">
        <f aca="false">SUM(AP713:AP724)</f>
        <v>0</v>
      </c>
      <c r="AQ725" s="304" t="n">
        <f aca="false">SUM(AQ713:AQ724)</f>
        <v>0</v>
      </c>
      <c r="AR725" s="304" t="n">
        <f aca="false">SUM(AR713:AR724)</f>
        <v>0</v>
      </c>
      <c r="AS725" s="304" t="n">
        <f aca="false">SUM(AS713:AS724)</f>
        <v>0</v>
      </c>
      <c r="AT725" s="304" t="n">
        <f aca="false">SUM(AT713:AT724)</f>
        <v>0</v>
      </c>
      <c r="AU725" s="304" t="n">
        <f aca="false">SUM(AU713:AU724)</f>
        <v>0</v>
      </c>
      <c r="AV725" s="304" t="n">
        <f aca="false">SUM(AV713:AV724)</f>
        <v>0</v>
      </c>
      <c r="AW725" s="304" t="n">
        <f aca="false">SUM(AW713:AW724)</f>
        <v>0</v>
      </c>
      <c r="AX725" s="304" t="n">
        <f aca="false">SUM(AX713:AX724)</f>
        <v>0</v>
      </c>
      <c r="AY725" s="304" t="n">
        <f aca="false">SUM(AY713:AY724)</f>
        <v>0</v>
      </c>
      <c r="AZ725" s="304" t="n">
        <f aca="false">SUM(AZ713:AZ724)</f>
        <v>0</v>
      </c>
      <c r="BA725" s="336" t="n">
        <f aca="false">SUM(BA713:BA724)</f>
        <v>0</v>
      </c>
      <c r="BB725" s="336" t="n">
        <f aca="false">SUM(BB713:BB724)</f>
        <v>0</v>
      </c>
      <c r="BC725" s="305" t="n">
        <f aca="false">SUM(BC713:BC724)</f>
        <v>0</v>
      </c>
      <c r="BD725" s="303"/>
      <c r="BE725" s="337"/>
    </row>
    <row r="726" customFormat="false" ht="15" hidden="false" customHeight="true" outlineLevel="0" collapsed="false">
      <c r="B726" s="296"/>
      <c r="D726" s="297"/>
      <c r="E726" s="300"/>
      <c r="F726" s="300"/>
      <c r="G726" s="300"/>
      <c r="H726" s="241"/>
      <c r="I726" s="302"/>
      <c r="J726" s="302"/>
      <c r="K726" s="241"/>
      <c r="L726" s="259"/>
      <c r="M726" s="259"/>
      <c r="N726" s="259"/>
      <c r="O726" s="259"/>
      <c r="P726" s="259"/>
      <c r="Q726" s="259"/>
      <c r="R726" s="259"/>
      <c r="S726" s="259"/>
      <c r="T726" s="259"/>
      <c r="U726" s="259"/>
      <c r="V726" s="259"/>
      <c r="W726" s="259"/>
      <c r="X726" s="303"/>
      <c r="Y726" s="259"/>
      <c r="Z726" s="303"/>
      <c r="AA726" s="303"/>
      <c r="AB726" s="303"/>
      <c r="AC726" s="303"/>
      <c r="AD726" s="303"/>
      <c r="AE726" s="303"/>
      <c r="AF726" s="303"/>
      <c r="AG726" s="303"/>
      <c r="AH726" s="303"/>
      <c r="AI726" s="303"/>
      <c r="AJ726" s="303"/>
      <c r="AK726" s="303"/>
      <c r="AL726" s="303"/>
      <c r="AM726" s="303"/>
      <c r="AN726" s="303"/>
      <c r="AO726" s="259"/>
      <c r="AP726" s="303"/>
      <c r="AQ726" s="303"/>
      <c r="AR726" s="303"/>
      <c r="AS726" s="303"/>
      <c r="AT726" s="303"/>
      <c r="AU726" s="303"/>
      <c r="AV726" s="303"/>
      <c r="AW726" s="303"/>
      <c r="AX726" s="303"/>
      <c r="AY726" s="303"/>
      <c r="AZ726" s="303"/>
      <c r="BA726" s="303"/>
      <c r="BB726" s="303"/>
      <c r="BC726" s="303"/>
      <c r="BD726" s="268"/>
      <c r="BE726" s="303"/>
    </row>
    <row r="727" customFormat="false" ht="15" hidden="false" customHeight="true" outlineLevel="0" collapsed="false">
      <c r="A727" s="198" t="n">
        <f aca="false">A711+1</f>
        <v>46</v>
      </c>
      <c r="B727" s="266" t="s">
        <v>253</v>
      </c>
      <c r="C727" s="266" t="s">
        <v>253</v>
      </c>
      <c r="D727" s="266"/>
      <c r="E727" s="241"/>
      <c r="F727" s="241"/>
      <c r="G727" s="241"/>
      <c r="H727" s="241"/>
      <c r="I727" s="241"/>
      <c r="J727" s="241"/>
      <c r="K727" s="277"/>
      <c r="L727" s="241"/>
      <c r="M727" s="241"/>
      <c r="N727" s="241"/>
      <c r="O727" s="241"/>
      <c r="P727" s="241"/>
      <c r="Q727" s="241"/>
      <c r="R727" s="241"/>
      <c r="S727" s="241"/>
      <c r="T727" s="241"/>
      <c r="U727" s="241"/>
      <c r="V727" s="241"/>
      <c r="W727" s="241"/>
      <c r="X727" s="259"/>
      <c r="Y727" s="268"/>
      <c r="Z727" s="268"/>
      <c r="AA727" s="268"/>
      <c r="AB727" s="268"/>
      <c r="AC727" s="268"/>
      <c r="AD727" s="268"/>
      <c r="AE727" s="268"/>
      <c r="AF727" s="268"/>
      <c r="AG727" s="268"/>
      <c r="AH727" s="268"/>
      <c r="AI727" s="268"/>
      <c r="AJ727" s="268"/>
      <c r="AK727" s="268"/>
      <c r="AL727" s="268"/>
      <c r="AM727" s="268"/>
      <c r="AN727" s="259"/>
      <c r="AO727" s="268"/>
      <c r="AP727" s="268"/>
      <c r="AQ727" s="268"/>
      <c r="AR727" s="268"/>
      <c r="AS727" s="268"/>
      <c r="AT727" s="268"/>
      <c r="AU727" s="268"/>
      <c r="AV727" s="268"/>
      <c r="AW727" s="268"/>
      <c r="AX727" s="268"/>
      <c r="AY727" s="268"/>
      <c r="AZ727" s="268"/>
      <c r="BA727" s="268"/>
      <c r="BB727" s="268"/>
      <c r="BC727" s="268"/>
      <c r="BD727" s="287"/>
      <c r="BE727" s="268"/>
    </row>
    <row r="728" customFormat="false" ht="7.5" hidden="false" customHeight="true" outlineLevel="0" collapsed="false">
      <c r="A728" s="198"/>
      <c r="B728" s="266"/>
      <c r="C728" s="266"/>
      <c r="D728" s="266"/>
      <c r="E728" s="241"/>
      <c r="F728" s="241"/>
      <c r="G728" s="241"/>
      <c r="H728" s="204"/>
      <c r="I728" s="269"/>
      <c r="J728" s="269"/>
      <c r="K728" s="277"/>
      <c r="L728" s="269"/>
      <c r="M728" s="269"/>
      <c r="N728" s="269"/>
      <c r="O728" s="269"/>
      <c r="P728" s="269"/>
      <c r="Q728" s="269"/>
      <c r="R728" s="269"/>
      <c r="S728" s="269"/>
      <c r="T728" s="269"/>
      <c r="U728" s="269"/>
      <c r="V728" s="269"/>
      <c r="W728" s="269"/>
      <c r="X728" s="259"/>
      <c r="Y728" s="271"/>
      <c r="Z728" s="271"/>
      <c r="AA728" s="271"/>
      <c r="AB728" s="271"/>
      <c r="AC728" s="271"/>
      <c r="AD728" s="271"/>
      <c r="AE728" s="271"/>
      <c r="AF728" s="271"/>
      <c r="AG728" s="271"/>
      <c r="AH728" s="271"/>
      <c r="AI728" s="271"/>
      <c r="AJ728" s="272"/>
      <c r="AK728" s="273"/>
      <c r="AL728" s="273"/>
      <c r="AM728" s="273"/>
      <c r="AN728" s="259"/>
      <c r="AO728" s="271"/>
      <c r="AP728" s="271"/>
      <c r="AQ728" s="271"/>
      <c r="AR728" s="271"/>
      <c r="AS728" s="271"/>
      <c r="AT728" s="271"/>
      <c r="AU728" s="271"/>
      <c r="AV728" s="271"/>
      <c r="AW728" s="271"/>
      <c r="AX728" s="271"/>
      <c r="AY728" s="271"/>
      <c r="AZ728" s="272"/>
      <c r="BA728" s="273"/>
      <c r="BB728" s="273"/>
      <c r="BC728" s="273"/>
      <c r="BD728" s="287"/>
      <c r="BE728" s="274"/>
    </row>
    <row r="729" customFormat="false" ht="15" hidden="false" customHeight="true" outlineLevel="0" collapsed="false">
      <c r="B729" s="333"/>
      <c r="C729" s="334"/>
      <c r="D729" s="333" t="n">
        <f aca="false">D713</f>
        <v>45292</v>
      </c>
      <c r="E729" s="277" t="n">
        <v>0</v>
      </c>
      <c r="F729" s="277" t="n">
        <v>0</v>
      </c>
      <c r="G729" s="277" t="n">
        <f aca="false">SUM(E729:F729)</f>
        <v>0</v>
      </c>
      <c r="H729" s="204"/>
      <c r="I729" s="279" t="n">
        <v>1</v>
      </c>
      <c r="J729" s="280" t="n">
        <f aca="false">1-I729</f>
        <v>0</v>
      </c>
      <c r="K729" s="277"/>
      <c r="L729" s="282"/>
      <c r="M729" s="282"/>
      <c r="N729" s="282"/>
      <c r="O729" s="282"/>
      <c r="P729" s="282"/>
      <c r="Q729" s="282"/>
      <c r="R729" s="282"/>
      <c r="S729" s="282"/>
      <c r="T729" s="282"/>
      <c r="U729" s="282"/>
      <c r="V729" s="282"/>
      <c r="W729" s="282"/>
      <c r="X729" s="268"/>
      <c r="Y729" s="284" t="n">
        <f aca="false">IFERROR(L729*$G729*I$9, "")</f>
        <v>0</v>
      </c>
      <c r="Z729" s="284" t="n">
        <f aca="false">IFERROR(M729*$G729*$I729, "")</f>
        <v>0</v>
      </c>
      <c r="AA729" s="284" t="n">
        <f aca="false">IFERROR(N729*$G729*$I729, "")</f>
        <v>0</v>
      </c>
      <c r="AB729" s="284" t="n">
        <f aca="false">IFERROR(O729*$G729*$I729, "")</f>
        <v>0</v>
      </c>
      <c r="AC729" s="284" t="n">
        <f aca="false">IFERROR(P729*$G729*$I729, "")</f>
        <v>0</v>
      </c>
      <c r="AD729" s="284" t="n">
        <f aca="false">IFERROR(Q729*$G729*$I729, "")</f>
        <v>0</v>
      </c>
      <c r="AE729" s="284" t="n">
        <f aca="false">IFERROR(R729*$G729*$I729, "")</f>
        <v>0</v>
      </c>
      <c r="AF729" s="284" t="n">
        <f aca="false">IFERROR(S729*$G729*$I729, "")</f>
        <v>0</v>
      </c>
      <c r="AG729" s="284" t="n">
        <f aca="false">IFERROR(T729*$G729*$I729, "")</f>
        <v>0</v>
      </c>
      <c r="AH729" s="284" t="n">
        <f aca="false">IFERROR(U729*$G729*$I729, "")</f>
        <v>0</v>
      </c>
      <c r="AI729" s="284" t="n">
        <f aca="false">IFERROR(V729*$G729*$I729, "")</f>
        <v>0</v>
      </c>
      <c r="AJ729" s="284" t="n">
        <f aca="false">IFERROR(W729*$G729*$I729, "")</f>
        <v>0</v>
      </c>
      <c r="AK729" s="286" t="n">
        <f aca="false">IFERROR(SUMIF($Y$4:$AJ$4, "RDEC", Y729:AJ729), "")</f>
        <v>0</v>
      </c>
      <c r="AL729" s="286" t="n">
        <f aca="false">IFERROR(SUMIF($Y$4:$AJ$4, "SME", Y729:AJ729), "")</f>
        <v>0</v>
      </c>
      <c r="AM729" s="286" t="n">
        <f aca="false">IFERROR(SUMIF($Y$4:$AJ$4, "De Minimis", Y729:AJ729), "")</f>
        <v>0</v>
      </c>
      <c r="AN729" s="268"/>
      <c r="AO729" s="284" t="n">
        <f aca="false">IFERROR($G729*$J729*L729, "")</f>
        <v>0</v>
      </c>
      <c r="AP729" s="284" t="n">
        <f aca="false">IFERROR($G729*$J729*M729, "")</f>
        <v>0</v>
      </c>
      <c r="AQ729" s="284" t="n">
        <f aca="false">IFERROR($G729*$J729*N729, "")</f>
        <v>0</v>
      </c>
      <c r="AR729" s="284" t="n">
        <f aca="false">IFERROR($G729*$J729*O729, "")</f>
        <v>0</v>
      </c>
      <c r="AS729" s="284" t="n">
        <f aca="false">IFERROR($G729*$J729*P729, "")</f>
        <v>0</v>
      </c>
      <c r="AT729" s="284" t="n">
        <f aca="false">IFERROR($G729*$J729*Q729, "")</f>
        <v>0</v>
      </c>
      <c r="AU729" s="284" t="n">
        <f aca="false">IFERROR($G729*$J729*R729, "")</f>
        <v>0</v>
      </c>
      <c r="AV729" s="284" t="n">
        <f aca="false">IFERROR($G729*$J729*S729, "")</f>
        <v>0</v>
      </c>
      <c r="AW729" s="284" t="n">
        <f aca="false">IFERROR($G729*$J729*T729, "")</f>
        <v>0</v>
      </c>
      <c r="AX729" s="284" t="n">
        <f aca="false">IFERROR($G729*$J729*U729, "")</f>
        <v>0</v>
      </c>
      <c r="AY729" s="284" t="n">
        <f aca="false">IFERROR($G729*$J729*V729, "")</f>
        <v>0</v>
      </c>
      <c r="AZ729" s="284" t="n">
        <f aca="false">IFERROR($G729*$J729*W729, "")</f>
        <v>0</v>
      </c>
      <c r="BA729" s="286" t="n">
        <f aca="false">IFERROR(SUMIF($AO$4:$AZ$4, "RDEC", AO729:AZ729), "")</f>
        <v>0</v>
      </c>
      <c r="BB729" s="286" t="n">
        <f aca="false">IFERROR(SUMIF($AO$4:$AZ$4, "SME", AO729:AZ729), "")</f>
        <v>0</v>
      </c>
      <c r="BC729" s="286" t="n">
        <f aca="false">IFERROR(SUMIF($AO$4:$AZ$4, "De Minimis", AO729:AZ729), "")</f>
        <v>0</v>
      </c>
      <c r="BD729" s="287"/>
      <c r="BE729" s="288" t="str">
        <f aca="false">IF((SUM(L729:W729)&gt;1),"ERROR","")</f>
        <v/>
      </c>
    </row>
    <row r="730" customFormat="false" ht="15" hidden="false" customHeight="true" outlineLevel="0" collapsed="false">
      <c r="B730" s="333"/>
      <c r="C730" s="334"/>
      <c r="D730" s="333" t="n">
        <f aca="false">D714</f>
        <v>45323</v>
      </c>
      <c r="E730" s="277" t="n">
        <v>0</v>
      </c>
      <c r="F730" s="277" t="n">
        <v>0</v>
      </c>
      <c r="G730" s="277" t="n">
        <f aca="false">SUM(E730:F730)</f>
        <v>0</v>
      </c>
      <c r="H730" s="204"/>
      <c r="I730" s="279" t="n">
        <v>1</v>
      </c>
      <c r="J730" s="280" t="n">
        <f aca="false">1-I730</f>
        <v>0</v>
      </c>
      <c r="K730" s="277"/>
      <c r="L730" s="282"/>
      <c r="M730" s="282"/>
      <c r="N730" s="282"/>
      <c r="O730" s="282"/>
      <c r="P730" s="282"/>
      <c r="Q730" s="282"/>
      <c r="R730" s="282"/>
      <c r="S730" s="282"/>
      <c r="T730" s="282"/>
      <c r="U730" s="282"/>
      <c r="V730" s="282"/>
      <c r="W730" s="282"/>
      <c r="X730" s="283"/>
      <c r="Y730" s="284" t="n">
        <f aca="false">IFERROR(L730*$G730*I$9, "")</f>
        <v>0</v>
      </c>
      <c r="Z730" s="284" t="n">
        <f aca="false">IFERROR(M730*$G730*$I730, "")</f>
        <v>0</v>
      </c>
      <c r="AA730" s="284" t="n">
        <f aca="false">IFERROR(N730*$G730*$I730, "")</f>
        <v>0</v>
      </c>
      <c r="AB730" s="284" t="n">
        <f aca="false">IFERROR(O730*$G730*$I730, "")</f>
        <v>0</v>
      </c>
      <c r="AC730" s="284" t="n">
        <f aca="false">IFERROR(P730*$G730*$I730, "")</f>
        <v>0</v>
      </c>
      <c r="AD730" s="284" t="n">
        <f aca="false">IFERROR(Q730*$G730*$I730, "")</f>
        <v>0</v>
      </c>
      <c r="AE730" s="284" t="n">
        <f aca="false">IFERROR(R730*$G730*$I730, "")</f>
        <v>0</v>
      </c>
      <c r="AF730" s="284" t="n">
        <f aca="false">IFERROR(S730*$G730*$I730, "")</f>
        <v>0</v>
      </c>
      <c r="AG730" s="284" t="n">
        <f aca="false">IFERROR(T730*$G730*$I730, "")</f>
        <v>0</v>
      </c>
      <c r="AH730" s="284" t="n">
        <f aca="false">IFERROR(U730*$G730*$I730, "")</f>
        <v>0</v>
      </c>
      <c r="AI730" s="284" t="n">
        <f aca="false">IFERROR(V730*$G730*$I730, "")</f>
        <v>0</v>
      </c>
      <c r="AJ730" s="284" t="n">
        <f aca="false">IFERROR(W730*$G730*$I730, "")</f>
        <v>0</v>
      </c>
      <c r="AK730" s="286" t="n">
        <f aca="false">IFERROR(SUMIF($Y$4:$AJ$4, "RDEC", Y730:AJ730), "")</f>
        <v>0</v>
      </c>
      <c r="AL730" s="286" t="n">
        <f aca="false">IFERROR(SUMIF($Y$4:$AJ$4, "SME", Y730:AJ730), "")</f>
        <v>0</v>
      </c>
      <c r="AM730" s="286" t="n">
        <f aca="false">IFERROR(SUMIF($Y$4:$AJ$4, "De Minimis", Y730:AJ730), "")</f>
        <v>0</v>
      </c>
      <c r="AN730" s="283"/>
      <c r="AO730" s="284" t="n">
        <f aca="false">IFERROR($G730*$J730*L730, "")</f>
        <v>0</v>
      </c>
      <c r="AP730" s="284" t="n">
        <f aca="false">IFERROR($G730*$J730*M730, "")</f>
        <v>0</v>
      </c>
      <c r="AQ730" s="284" t="n">
        <f aca="false">IFERROR($G730*$J730*N730, "")</f>
        <v>0</v>
      </c>
      <c r="AR730" s="284" t="n">
        <f aca="false">IFERROR($G730*$J730*O730, "")</f>
        <v>0</v>
      </c>
      <c r="AS730" s="284" t="n">
        <f aca="false">IFERROR($G730*$J730*P730, "")</f>
        <v>0</v>
      </c>
      <c r="AT730" s="284" t="n">
        <f aca="false">IFERROR($G730*$J730*Q730, "")</f>
        <v>0</v>
      </c>
      <c r="AU730" s="284" t="n">
        <f aca="false">IFERROR($G730*$J730*R730, "")</f>
        <v>0</v>
      </c>
      <c r="AV730" s="284" t="n">
        <f aca="false">IFERROR($G730*$J730*S730, "")</f>
        <v>0</v>
      </c>
      <c r="AW730" s="284" t="n">
        <f aca="false">IFERROR($G730*$J730*T730, "")</f>
        <v>0</v>
      </c>
      <c r="AX730" s="284" t="n">
        <f aca="false">IFERROR($G730*$J730*U730, "")</f>
        <v>0</v>
      </c>
      <c r="AY730" s="284" t="n">
        <f aca="false">IFERROR($G730*$J730*V730, "")</f>
        <v>0</v>
      </c>
      <c r="AZ730" s="284" t="n">
        <f aca="false">IFERROR($G730*$J730*W730, "")</f>
        <v>0</v>
      </c>
      <c r="BA730" s="286" t="n">
        <f aca="false">IFERROR(SUMIF($AO$4:$AZ$4, "RDEC", AO730:AZ730), "")</f>
        <v>0</v>
      </c>
      <c r="BB730" s="286" t="n">
        <f aca="false">IFERROR(SUMIF($AO$4:$AZ$4, "SME", AO730:AZ730), "")</f>
        <v>0</v>
      </c>
      <c r="BC730" s="286" t="n">
        <f aca="false">IFERROR(SUMIF($Y$4:$AJ$4, "De Minimis", AO730:AZ730), "")</f>
        <v>0</v>
      </c>
      <c r="BD730" s="287"/>
      <c r="BE730" s="288" t="str">
        <f aca="false">IF((SUM(L730:W730)&gt;1),"ERROR","")</f>
        <v/>
      </c>
    </row>
    <row r="731" customFormat="false" ht="15" hidden="false" customHeight="true" outlineLevel="0" collapsed="false">
      <c r="B731" s="333"/>
      <c r="C731" s="334"/>
      <c r="D731" s="333" t="n">
        <f aca="false">D715</f>
        <v>45352</v>
      </c>
      <c r="E731" s="277" t="n">
        <v>0</v>
      </c>
      <c r="F731" s="277" t="n">
        <v>0</v>
      </c>
      <c r="G731" s="277" t="n">
        <f aca="false">SUM(E731:F731)</f>
        <v>0</v>
      </c>
      <c r="H731" s="204"/>
      <c r="I731" s="279" t="n">
        <v>1</v>
      </c>
      <c r="J731" s="280" t="n">
        <f aca="false">1-I731</f>
        <v>0</v>
      </c>
      <c r="K731" s="277"/>
      <c r="L731" s="282"/>
      <c r="M731" s="282"/>
      <c r="N731" s="282"/>
      <c r="O731" s="282"/>
      <c r="P731" s="282"/>
      <c r="Q731" s="282"/>
      <c r="R731" s="282"/>
      <c r="S731" s="282"/>
      <c r="T731" s="282"/>
      <c r="U731" s="282"/>
      <c r="V731" s="282"/>
      <c r="W731" s="282"/>
      <c r="X731" s="283"/>
      <c r="Y731" s="284" t="n">
        <f aca="false">IFERROR(L731*$G731*I$9, "")</f>
        <v>0</v>
      </c>
      <c r="Z731" s="284" t="n">
        <f aca="false">IFERROR(M731*$G731*$I731, "")</f>
        <v>0</v>
      </c>
      <c r="AA731" s="284" t="n">
        <f aca="false">IFERROR(N731*$G731*$I731, "")</f>
        <v>0</v>
      </c>
      <c r="AB731" s="284" t="n">
        <f aca="false">IFERROR(O731*$G731*$I731, "")</f>
        <v>0</v>
      </c>
      <c r="AC731" s="284" t="n">
        <f aca="false">IFERROR(P731*$G731*$I731, "")</f>
        <v>0</v>
      </c>
      <c r="AD731" s="284" t="n">
        <f aca="false">IFERROR(Q731*$G731*$I731, "")</f>
        <v>0</v>
      </c>
      <c r="AE731" s="284" t="n">
        <f aca="false">IFERROR(R731*$G731*$I731, "")</f>
        <v>0</v>
      </c>
      <c r="AF731" s="284" t="n">
        <f aca="false">IFERROR(S731*$G731*$I731, "")</f>
        <v>0</v>
      </c>
      <c r="AG731" s="284" t="n">
        <f aca="false">IFERROR(T731*$G731*$I731, "")</f>
        <v>0</v>
      </c>
      <c r="AH731" s="284" t="n">
        <f aca="false">IFERROR(U731*$G731*$I731, "")</f>
        <v>0</v>
      </c>
      <c r="AI731" s="284" t="n">
        <f aca="false">IFERROR(V731*$G731*$I731, "")</f>
        <v>0</v>
      </c>
      <c r="AJ731" s="284" t="n">
        <f aca="false">IFERROR(W731*$G731*$I731, "")</f>
        <v>0</v>
      </c>
      <c r="AK731" s="286" t="n">
        <f aca="false">IFERROR(SUMIF($Y$4:$AJ$4, "RDEC", Y731:AJ731), "")</f>
        <v>0</v>
      </c>
      <c r="AL731" s="286" t="n">
        <f aca="false">IFERROR(SUMIF($Y$4:$AJ$4, "SME", Y731:AJ731), "")</f>
        <v>0</v>
      </c>
      <c r="AM731" s="286" t="n">
        <f aca="false">IFERROR(SUMIF($Y$4:$AJ$4, "De Minimis", Y731:AJ731), "")</f>
        <v>0</v>
      </c>
      <c r="AN731" s="283"/>
      <c r="AO731" s="284" t="n">
        <f aca="false">IFERROR($G731*$J731*L731, "")</f>
        <v>0</v>
      </c>
      <c r="AP731" s="284" t="n">
        <f aca="false">IFERROR($G731*$J731*M731, "")</f>
        <v>0</v>
      </c>
      <c r="AQ731" s="284" t="n">
        <f aca="false">IFERROR($G731*$J731*N731, "")</f>
        <v>0</v>
      </c>
      <c r="AR731" s="284" t="n">
        <f aca="false">IFERROR($G731*$J731*O731, "")</f>
        <v>0</v>
      </c>
      <c r="AS731" s="284" t="n">
        <f aca="false">IFERROR($G731*$J731*P731, "")</f>
        <v>0</v>
      </c>
      <c r="AT731" s="284" t="n">
        <f aca="false">IFERROR($G731*$J731*Q731, "")</f>
        <v>0</v>
      </c>
      <c r="AU731" s="284" t="n">
        <f aca="false">IFERROR($G731*$J731*R731, "")</f>
        <v>0</v>
      </c>
      <c r="AV731" s="284" t="n">
        <f aca="false">IFERROR($G731*$J731*S731, "")</f>
        <v>0</v>
      </c>
      <c r="AW731" s="284" t="n">
        <f aca="false">IFERROR($G731*$J731*T731, "")</f>
        <v>0</v>
      </c>
      <c r="AX731" s="284" t="n">
        <f aca="false">IFERROR($G731*$J731*U731, "")</f>
        <v>0</v>
      </c>
      <c r="AY731" s="284" t="n">
        <f aca="false">IFERROR($G731*$J731*V731, "")</f>
        <v>0</v>
      </c>
      <c r="AZ731" s="284" t="n">
        <f aca="false">IFERROR($G731*$J731*W731, "")</f>
        <v>0</v>
      </c>
      <c r="BA731" s="286" t="n">
        <f aca="false">IFERROR(SUMIF($AO$4:$AZ$4, "RDEC", AO731:AZ731), "")</f>
        <v>0</v>
      </c>
      <c r="BB731" s="286" t="n">
        <f aca="false">IFERROR(SUMIF($AO$4:$AZ$4, "SME", AO731:AZ731), "")</f>
        <v>0</v>
      </c>
      <c r="BC731" s="286" t="n">
        <f aca="false">IFERROR(SUMIF($Y$4:$AJ$4, "De Minimis", AO731:AZ731), "")</f>
        <v>0</v>
      </c>
      <c r="BD731" s="287"/>
      <c r="BE731" s="288" t="str">
        <f aca="false">IF((SUM(L731:W731)&gt;1),"ERROR","")</f>
        <v/>
      </c>
    </row>
    <row r="732" customFormat="false" ht="15" hidden="false" customHeight="true" outlineLevel="0" collapsed="false">
      <c r="B732" s="333"/>
      <c r="C732" s="334"/>
      <c r="D732" s="333" t="n">
        <f aca="false">D716</f>
        <v>45383</v>
      </c>
      <c r="E732" s="277" t="n">
        <v>0</v>
      </c>
      <c r="F732" s="277" t="n">
        <v>0</v>
      </c>
      <c r="G732" s="277" t="n">
        <f aca="false">SUM(E732:F732)</f>
        <v>0</v>
      </c>
      <c r="H732" s="204"/>
      <c r="I732" s="279" t="n">
        <v>1</v>
      </c>
      <c r="J732" s="280" t="n">
        <f aca="false">1-I732</f>
        <v>0</v>
      </c>
      <c r="K732" s="277"/>
      <c r="L732" s="282"/>
      <c r="M732" s="282"/>
      <c r="N732" s="282"/>
      <c r="O732" s="282"/>
      <c r="P732" s="282"/>
      <c r="Q732" s="282"/>
      <c r="R732" s="282"/>
      <c r="S732" s="282"/>
      <c r="T732" s="282"/>
      <c r="U732" s="282"/>
      <c r="V732" s="282"/>
      <c r="W732" s="282"/>
      <c r="X732" s="283"/>
      <c r="Y732" s="284" t="n">
        <f aca="false">IFERROR(L732*$G732*I$9, "")</f>
        <v>0</v>
      </c>
      <c r="Z732" s="284" t="n">
        <f aca="false">IFERROR(M732*$G732*$I732, "")</f>
        <v>0</v>
      </c>
      <c r="AA732" s="284" t="n">
        <f aca="false">IFERROR(N732*$G732*$I732, "")</f>
        <v>0</v>
      </c>
      <c r="AB732" s="284" t="n">
        <f aca="false">IFERROR(O732*$G732*$I732, "")</f>
        <v>0</v>
      </c>
      <c r="AC732" s="284" t="n">
        <f aca="false">IFERROR(P732*$G732*$I732, "")</f>
        <v>0</v>
      </c>
      <c r="AD732" s="284" t="n">
        <f aca="false">IFERROR(Q732*$G732*$I732, "")</f>
        <v>0</v>
      </c>
      <c r="AE732" s="284" t="n">
        <f aca="false">IFERROR(R732*$G732*$I732, "")</f>
        <v>0</v>
      </c>
      <c r="AF732" s="284" t="n">
        <f aca="false">IFERROR(S732*$G732*$I732, "")</f>
        <v>0</v>
      </c>
      <c r="AG732" s="284" t="n">
        <f aca="false">IFERROR(T732*$G732*$I732, "")</f>
        <v>0</v>
      </c>
      <c r="AH732" s="284" t="n">
        <f aca="false">IFERROR(U732*$G732*$I732, "")</f>
        <v>0</v>
      </c>
      <c r="AI732" s="284" t="n">
        <f aca="false">IFERROR(V732*$G732*$I732, "")</f>
        <v>0</v>
      </c>
      <c r="AJ732" s="284" t="n">
        <f aca="false">IFERROR(W732*$G732*$I732, "")</f>
        <v>0</v>
      </c>
      <c r="AK732" s="286" t="n">
        <f aca="false">IFERROR(SUMIF($Y$4:$AJ$4, "RDEC", Y732:AJ732), "")</f>
        <v>0</v>
      </c>
      <c r="AL732" s="286" t="n">
        <f aca="false">IFERROR(SUMIF($Y$4:$AJ$4, "SME", Y732:AJ732), "")</f>
        <v>0</v>
      </c>
      <c r="AM732" s="286" t="n">
        <f aca="false">IFERROR(SUMIF($Y$4:$AJ$4, "De Minimis", Y732:AJ732), "")</f>
        <v>0</v>
      </c>
      <c r="AN732" s="283"/>
      <c r="AO732" s="284" t="n">
        <f aca="false">IFERROR($G732*$J732*L732, "")</f>
        <v>0</v>
      </c>
      <c r="AP732" s="284" t="n">
        <f aca="false">IFERROR($G732*$J732*M732, "")</f>
        <v>0</v>
      </c>
      <c r="AQ732" s="284" t="n">
        <f aca="false">IFERROR($G732*$J732*N732, "")</f>
        <v>0</v>
      </c>
      <c r="AR732" s="284" t="n">
        <f aca="false">IFERROR($G732*$J732*O732, "")</f>
        <v>0</v>
      </c>
      <c r="AS732" s="284" t="n">
        <f aca="false">IFERROR($G732*$J732*P732, "")</f>
        <v>0</v>
      </c>
      <c r="AT732" s="284" t="n">
        <f aca="false">IFERROR($G732*$J732*Q732, "")</f>
        <v>0</v>
      </c>
      <c r="AU732" s="284" t="n">
        <f aca="false">IFERROR($G732*$J732*R732, "")</f>
        <v>0</v>
      </c>
      <c r="AV732" s="284" t="n">
        <f aca="false">IFERROR($G732*$J732*S732, "")</f>
        <v>0</v>
      </c>
      <c r="AW732" s="284" t="n">
        <f aca="false">IFERROR($G732*$J732*T732, "")</f>
        <v>0</v>
      </c>
      <c r="AX732" s="284" t="n">
        <f aca="false">IFERROR($G732*$J732*U732, "")</f>
        <v>0</v>
      </c>
      <c r="AY732" s="284" t="n">
        <f aca="false">IFERROR($G732*$J732*V732, "")</f>
        <v>0</v>
      </c>
      <c r="AZ732" s="284" t="n">
        <f aca="false">IFERROR($G732*$J732*W732, "")</f>
        <v>0</v>
      </c>
      <c r="BA732" s="286" t="n">
        <f aca="false">IFERROR(SUMIF($AO$4:$AZ$4, "RDEC", AO732:AZ732), "")</f>
        <v>0</v>
      </c>
      <c r="BB732" s="286" t="n">
        <f aca="false">IFERROR(SUMIF($AO$4:$AZ$4, "SME", AO732:AZ732), "")</f>
        <v>0</v>
      </c>
      <c r="BC732" s="286" t="n">
        <f aca="false">IFERROR(SUMIF($Y$4:$AJ$4, "De Minimis", AO732:AZ732), "")</f>
        <v>0</v>
      </c>
      <c r="BD732" s="287"/>
      <c r="BE732" s="288" t="str">
        <f aca="false">IF((SUM(L732:W732)&gt;1),"ERROR","")</f>
        <v/>
      </c>
    </row>
    <row r="733" customFormat="false" ht="15" hidden="false" customHeight="true" outlineLevel="0" collapsed="false">
      <c r="B733" s="333"/>
      <c r="C733" s="334"/>
      <c r="D733" s="333" t="n">
        <f aca="false">D717</f>
        <v>45413</v>
      </c>
      <c r="E733" s="277" t="n">
        <v>0</v>
      </c>
      <c r="F733" s="277" t="n">
        <v>0</v>
      </c>
      <c r="G733" s="277" t="n">
        <f aca="false">SUM(E733:F733)</f>
        <v>0</v>
      </c>
      <c r="H733" s="204"/>
      <c r="I733" s="279" t="n">
        <v>1</v>
      </c>
      <c r="J733" s="280" t="n">
        <f aca="false">1-I733</f>
        <v>0</v>
      </c>
      <c r="K733" s="277"/>
      <c r="L733" s="282"/>
      <c r="M733" s="282"/>
      <c r="N733" s="282"/>
      <c r="O733" s="282"/>
      <c r="P733" s="282"/>
      <c r="Q733" s="282"/>
      <c r="R733" s="282"/>
      <c r="S733" s="282"/>
      <c r="T733" s="282"/>
      <c r="U733" s="282"/>
      <c r="V733" s="282"/>
      <c r="W733" s="282"/>
      <c r="X733" s="283"/>
      <c r="Y733" s="284" t="n">
        <f aca="false">IFERROR(L733*$G733*I$9, "")</f>
        <v>0</v>
      </c>
      <c r="Z733" s="284" t="n">
        <f aca="false">IFERROR(M733*$G733*$I733, "")</f>
        <v>0</v>
      </c>
      <c r="AA733" s="284" t="n">
        <f aca="false">IFERROR(N733*$G733*$I733, "")</f>
        <v>0</v>
      </c>
      <c r="AB733" s="284" t="n">
        <f aca="false">IFERROR(O733*$G733*$I733, "")</f>
        <v>0</v>
      </c>
      <c r="AC733" s="284" t="n">
        <f aca="false">IFERROR(P733*$G733*$I733, "")</f>
        <v>0</v>
      </c>
      <c r="AD733" s="284" t="n">
        <f aca="false">IFERROR(Q733*$G733*$I733, "")</f>
        <v>0</v>
      </c>
      <c r="AE733" s="284" t="n">
        <f aca="false">IFERROR(R733*$G733*$I733, "")</f>
        <v>0</v>
      </c>
      <c r="AF733" s="284" t="n">
        <f aca="false">IFERROR(S733*$G733*$I733, "")</f>
        <v>0</v>
      </c>
      <c r="AG733" s="284" t="n">
        <f aca="false">IFERROR(T733*$G733*$I733, "")</f>
        <v>0</v>
      </c>
      <c r="AH733" s="284" t="n">
        <f aca="false">IFERROR(U733*$G733*$I733, "")</f>
        <v>0</v>
      </c>
      <c r="AI733" s="284" t="n">
        <f aca="false">IFERROR(V733*$G733*$I733, "")</f>
        <v>0</v>
      </c>
      <c r="AJ733" s="284" t="n">
        <f aca="false">IFERROR(W733*$G733*$I733, "")</f>
        <v>0</v>
      </c>
      <c r="AK733" s="286" t="n">
        <f aca="false">IFERROR(SUMIF($Y$4:$AJ$4, "RDEC", Y733:AJ733), "")</f>
        <v>0</v>
      </c>
      <c r="AL733" s="286" t="n">
        <f aca="false">IFERROR(SUMIF($Y$4:$AJ$4, "SME", Y733:AJ733), "")</f>
        <v>0</v>
      </c>
      <c r="AM733" s="286" t="n">
        <f aca="false">IFERROR(SUMIF($Y$4:$AJ$4, "De Minimis", Y733:AJ733), "")</f>
        <v>0</v>
      </c>
      <c r="AN733" s="283"/>
      <c r="AO733" s="284" t="n">
        <f aca="false">IFERROR($G733*$J733*L733, "")</f>
        <v>0</v>
      </c>
      <c r="AP733" s="284" t="n">
        <f aca="false">IFERROR($G733*$J733*M733, "")</f>
        <v>0</v>
      </c>
      <c r="AQ733" s="284" t="n">
        <f aca="false">IFERROR($G733*$J733*N733, "")</f>
        <v>0</v>
      </c>
      <c r="AR733" s="284" t="n">
        <f aca="false">IFERROR($G733*$J733*O733, "")</f>
        <v>0</v>
      </c>
      <c r="AS733" s="284" t="n">
        <f aca="false">IFERROR($G733*$J733*P733, "")</f>
        <v>0</v>
      </c>
      <c r="AT733" s="284" t="n">
        <f aca="false">IFERROR($G733*$J733*Q733, "")</f>
        <v>0</v>
      </c>
      <c r="AU733" s="284" t="n">
        <f aca="false">IFERROR($G733*$J733*R733, "")</f>
        <v>0</v>
      </c>
      <c r="AV733" s="284" t="n">
        <f aca="false">IFERROR($G733*$J733*S733, "")</f>
        <v>0</v>
      </c>
      <c r="AW733" s="284" t="n">
        <f aca="false">IFERROR($G733*$J733*T733, "")</f>
        <v>0</v>
      </c>
      <c r="AX733" s="284" t="n">
        <f aca="false">IFERROR($G733*$J733*U733, "")</f>
        <v>0</v>
      </c>
      <c r="AY733" s="284" t="n">
        <f aca="false">IFERROR($G733*$J733*V733, "")</f>
        <v>0</v>
      </c>
      <c r="AZ733" s="284" t="n">
        <f aca="false">IFERROR($G733*$J733*W733, "")</f>
        <v>0</v>
      </c>
      <c r="BA733" s="286" t="n">
        <f aca="false">IFERROR(SUMIF($AO$4:$AZ$4, "RDEC", AO733:AZ733), "")</f>
        <v>0</v>
      </c>
      <c r="BB733" s="286" t="n">
        <f aca="false">IFERROR(SUMIF($AO$4:$AZ$4, "SME", AO733:AZ733), "")</f>
        <v>0</v>
      </c>
      <c r="BC733" s="286" t="n">
        <f aca="false">IFERROR(SUMIF($Y$4:$AJ$4, "De Minimis", AO733:AZ733), "")</f>
        <v>0</v>
      </c>
      <c r="BD733" s="287"/>
      <c r="BE733" s="288" t="str">
        <f aca="false">IF((SUM(L733:W733)&gt;1),"ERROR","")</f>
        <v/>
      </c>
    </row>
    <row r="734" customFormat="false" ht="15" hidden="false" customHeight="true" outlineLevel="0" collapsed="false">
      <c r="B734" s="333"/>
      <c r="C734" s="334"/>
      <c r="D734" s="333" t="n">
        <f aca="false">D718</f>
        <v>45444</v>
      </c>
      <c r="E734" s="277" t="n">
        <v>0</v>
      </c>
      <c r="F734" s="277" t="n">
        <v>0</v>
      </c>
      <c r="G734" s="277" t="n">
        <f aca="false">SUM(E734:F734)</f>
        <v>0</v>
      </c>
      <c r="H734" s="204"/>
      <c r="I734" s="279" t="n">
        <v>1</v>
      </c>
      <c r="J734" s="280" t="n">
        <f aca="false">1-I734</f>
        <v>0</v>
      </c>
      <c r="K734" s="277"/>
      <c r="L734" s="282"/>
      <c r="M734" s="282"/>
      <c r="N734" s="282"/>
      <c r="O734" s="282"/>
      <c r="P734" s="282"/>
      <c r="Q734" s="282"/>
      <c r="R734" s="282"/>
      <c r="S734" s="282"/>
      <c r="T734" s="282"/>
      <c r="U734" s="282"/>
      <c r="V734" s="282"/>
      <c r="W734" s="282"/>
      <c r="X734" s="283"/>
      <c r="Y734" s="284" t="n">
        <f aca="false">IFERROR(L734*$G734*I$9, "")</f>
        <v>0</v>
      </c>
      <c r="Z734" s="284" t="n">
        <f aca="false">IFERROR(M734*$G734*$I734, "")</f>
        <v>0</v>
      </c>
      <c r="AA734" s="284" t="n">
        <f aca="false">IFERROR(N734*$G734*$I734, "")</f>
        <v>0</v>
      </c>
      <c r="AB734" s="284" t="n">
        <f aca="false">IFERROR(O734*$G734*$I734, "")</f>
        <v>0</v>
      </c>
      <c r="AC734" s="284" t="n">
        <f aca="false">IFERROR(P734*$G734*$I734, "")</f>
        <v>0</v>
      </c>
      <c r="AD734" s="284" t="n">
        <f aca="false">IFERROR(Q734*$G734*$I734, "")</f>
        <v>0</v>
      </c>
      <c r="AE734" s="284" t="n">
        <f aca="false">IFERROR(R734*$G734*$I734, "")</f>
        <v>0</v>
      </c>
      <c r="AF734" s="284" t="n">
        <f aca="false">IFERROR(S734*$G734*$I734, "")</f>
        <v>0</v>
      </c>
      <c r="AG734" s="284" t="n">
        <f aca="false">IFERROR(T734*$G734*$I734, "")</f>
        <v>0</v>
      </c>
      <c r="AH734" s="284" t="n">
        <f aca="false">IFERROR(U734*$G734*$I734, "")</f>
        <v>0</v>
      </c>
      <c r="AI734" s="284" t="n">
        <f aca="false">IFERROR(V734*$G734*$I734, "")</f>
        <v>0</v>
      </c>
      <c r="AJ734" s="284" t="n">
        <f aca="false">IFERROR(W734*$G734*$I734, "")</f>
        <v>0</v>
      </c>
      <c r="AK734" s="286" t="n">
        <f aca="false">IFERROR(SUMIF($Y$4:$AJ$4, "RDEC", Y734:AJ734), "")</f>
        <v>0</v>
      </c>
      <c r="AL734" s="286" t="n">
        <f aca="false">IFERROR(SUMIF($Y$4:$AJ$4, "SME", Y734:AJ734), "")</f>
        <v>0</v>
      </c>
      <c r="AM734" s="286" t="n">
        <f aca="false">IFERROR(SUMIF($Y$4:$AJ$4, "De Minimis", Y734:AJ734), "")</f>
        <v>0</v>
      </c>
      <c r="AN734" s="283"/>
      <c r="AO734" s="284" t="n">
        <f aca="false">IFERROR($G734*$J734*L734, "")</f>
        <v>0</v>
      </c>
      <c r="AP734" s="284" t="n">
        <f aca="false">IFERROR($G734*$J734*M734, "")</f>
        <v>0</v>
      </c>
      <c r="AQ734" s="284" t="n">
        <f aca="false">IFERROR($G734*$J734*N734, "")</f>
        <v>0</v>
      </c>
      <c r="AR734" s="284" t="n">
        <f aca="false">IFERROR($G734*$J734*O734, "")</f>
        <v>0</v>
      </c>
      <c r="AS734" s="284" t="n">
        <f aca="false">IFERROR($G734*$J734*P734, "")</f>
        <v>0</v>
      </c>
      <c r="AT734" s="284" t="n">
        <f aca="false">IFERROR($G734*$J734*Q734, "")</f>
        <v>0</v>
      </c>
      <c r="AU734" s="284" t="n">
        <f aca="false">IFERROR($G734*$J734*R734, "")</f>
        <v>0</v>
      </c>
      <c r="AV734" s="284" t="n">
        <f aca="false">IFERROR($G734*$J734*S734, "")</f>
        <v>0</v>
      </c>
      <c r="AW734" s="284" t="n">
        <f aca="false">IFERROR($G734*$J734*T734, "")</f>
        <v>0</v>
      </c>
      <c r="AX734" s="284" t="n">
        <f aca="false">IFERROR($G734*$J734*U734, "")</f>
        <v>0</v>
      </c>
      <c r="AY734" s="284" t="n">
        <f aca="false">IFERROR($G734*$J734*V734, "")</f>
        <v>0</v>
      </c>
      <c r="AZ734" s="284" t="n">
        <f aca="false">IFERROR($G734*$J734*W734, "")</f>
        <v>0</v>
      </c>
      <c r="BA734" s="286" t="n">
        <f aca="false">IFERROR(SUMIF($AO$4:$AZ$4, "RDEC", AO734:AZ734), "")</f>
        <v>0</v>
      </c>
      <c r="BB734" s="286" t="n">
        <f aca="false">IFERROR(SUMIF($AO$4:$AZ$4, "SME", AO734:AZ734), "")</f>
        <v>0</v>
      </c>
      <c r="BC734" s="286" t="n">
        <f aca="false">IFERROR(SUMIF($Y$4:$AJ$4, "De Minimis", AO734:AZ734), "")</f>
        <v>0</v>
      </c>
      <c r="BD734" s="287"/>
      <c r="BE734" s="288" t="str">
        <f aca="false">IF((SUM(L734:W734)&gt;1),"ERROR","")</f>
        <v/>
      </c>
    </row>
    <row r="735" customFormat="false" ht="15" hidden="false" customHeight="true" outlineLevel="0" collapsed="false">
      <c r="B735" s="333"/>
      <c r="C735" s="334"/>
      <c r="D735" s="333" t="n">
        <f aca="false">D719</f>
        <v>45474</v>
      </c>
      <c r="E735" s="277" t="n">
        <v>0</v>
      </c>
      <c r="F735" s="277" t="n">
        <v>0</v>
      </c>
      <c r="G735" s="277" t="n">
        <f aca="false">SUM(E735:F735)</f>
        <v>0</v>
      </c>
      <c r="H735" s="204"/>
      <c r="I735" s="279" t="n">
        <v>1</v>
      </c>
      <c r="J735" s="280" t="n">
        <f aca="false">1-I735</f>
        <v>0</v>
      </c>
      <c r="K735" s="277"/>
      <c r="L735" s="282"/>
      <c r="M735" s="282"/>
      <c r="N735" s="282"/>
      <c r="O735" s="282"/>
      <c r="P735" s="282"/>
      <c r="Q735" s="282"/>
      <c r="R735" s="282"/>
      <c r="S735" s="282"/>
      <c r="T735" s="282"/>
      <c r="U735" s="282"/>
      <c r="V735" s="282"/>
      <c r="W735" s="282"/>
      <c r="X735" s="283"/>
      <c r="Y735" s="284" t="n">
        <f aca="false">IFERROR(L735*$G735*I$9, "")</f>
        <v>0</v>
      </c>
      <c r="Z735" s="284" t="n">
        <f aca="false">IFERROR(M735*$G735*$I735, "")</f>
        <v>0</v>
      </c>
      <c r="AA735" s="284" t="n">
        <f aca="false">IFERROR(N735*$G735*$I735, "")</f>
        <v>0</v>
      </c>
      <c r="AB735" s="284" t="n">
        <f aca="false">IFERROR(O735*$G735*$I735, "")</f>
        <v>0</v>
      </c>
      <c r="AC735" s="284" t="n">
        <f aca="false">IFERROR(P735*$G735*$I735, "")</f>
        <v>0</v>
      </c>
      <c r="AD735" s="284" t="n">
        <f aca="false">IFERROR(Q735*$G735*$I735, "")</f>
        <v>0</v>
      </c>
      <c r="AE735" s="284" t="n">
        <f aca="false">IFERROR(R735*$G735*$I735, "")</f>
        <v>0</v>
      </c>
      <c r="AF735" s="284" t="n">
        <f aca="false">IFERROR(S735*$G735*$I735, "")</f>
        <v>0</v>
      </c>
      <c r="AG735" s="284" t="n">
        <f aca="false">IFERROR(T735*$G735*$I735, "")</f>
        <v>0</v>
      </c>
      <c r="AH735" s="284" t="n">
        <f aca="false">IFERROR(U735*$G735*$I735, "")</f>
        <v>0</v>
      </c>
      <c r="AI735" s="284" t="n">
        <f aca="false">IFERROR(V735*$G735*$I735, "")</f>
        <v>0</v>
      </c>
      <c r="AJ735" s="284" t="n">
        <f aca="false">IFERROR(W735*$G735*$I735, "")</f>
        <v>0</v>
      </c>
      <c r="AK735" s="286" t="n">
        <f aca="false">IFERROR(SUMIF($Y$4:$AJ$4, "RDEC", Y735:AJ735), "")</f>
        <v>0</v>
      </c>
      <c r="AL735" s="286" t="n">
        <f aca="false">IFERROR(SUMIF($Y$4:$AJ$4, "SME", Y735:AJ735), "")</f>
        <v>0</v>
      </c>
      <c r="AM735" s="286" t="n">
        <f aca="false">IFERROR(SUMIF($Y$4:$AJ$4, "De Minimis", Y735:AJ735), "")</f>
        <v>0</v>
      </c>
      <c r="AN735" s="283"/>
      <c r="AO735" s="284" t="n">
        <f aca="false">IFERROR($G735*$J735*L735, "")</f>
        <v>0</v>
      </c>
      <c r="AP735" s="284" t="n">
        <f aca="false">IFERROR($G735*$J735*M735, "")</f>
        <v>0</v>
      </c>
      <c r="AQ735" s="284" t="n">
        <f aca="false">IFERROR($G735*$J735*N735, "")</f>
        <v>0</v>
      </c>
      <c r="AR735" s="284" t="n">
        <f aca="false">IFERROR($G735*$J735*O735, "")</f>
        <v>0</v>
      </c>
      <c r="AS735" s="284" t="n">
        <f aca="false">IFERROR($G735*$J735*P735, "")</f>
        <v>0</v>
      </c>
      <c r="AT735" s="284" t="n">
        <f aca="false">IFERROR($G735*$J735*Q735, "")</f>
        <v>0</v>
      </c>
      <c r="AU735" s="284" t="n">
        <f aca="false">IFERROR($G735*$J735*R735, "")</f>
        <v>0</v>
      </c>
      <c r="AV735" s="284" t="n">
        <f aca="false">IFERROR($G735*$J735*S735, "")</f>
        <v>0</v>
      </c>
      <c r="AW735" s="284" t="n">
        <f aca="false">IFERROR($G735*$J735*T735, "")</f>
        <v>0</v>
      </c>
      <c r="AX735" s="284" t="n">
        <f aca="false">IFERROR($G735*$J735*U735, "")</f>
        <v>0</v>
      </c>
      <c r="AY735" s="284" t="n">
        <f aca="false">IFERROR($G735*$J735*V735, "")</f>
        <v>0</v>
      </c>
      <c r="AZ735" s="284" t="n">
        <f aca="false">IFERROR($G735*$J735*W735, "")</f>
        <v>0</v>
      </c>
      <c r="BA735" s="286" t="n">
        <f aca="false">IFERROR(SUMIF($AO$4:$AZ$4, "RDEC", AO735:AZ735), "")</f>
        <v>0</v>
      </c>
      <c r="BB735" s="286" t="n">
        <f aca="false">IFERROR(SUMIF($AO$4:$AZ$4, "SME", AO735:AZ735), "")</f>
        <v>0</v>
      </c>
      <c r="BC735" s="286" t="n">
        <f aca="false">IFERROR(SUMIF($Y$4:$AJ$4, "De Minimis", AO735:AZ735), "")</f>
        <v>0</v>
      </c>
      <c r="BD735" s="287"/>
      <c r="BE735" s="288" t="str">
        <f aca="false">IF((SUM(L735:W735)&gt;1),"ERROR","")</f>
        <v/>
      </c>
    </row>
    <row r="736" customFormat="false" ht="15" hidden="false" customHeight="true" outlineLevel="0" collapsed="false">
      <c r="B736" s="333"/>
      <c r="C736" s="334"/>
      <c r="D736" s="333" t="n">
        <f aca="false">D720</f>
        <v>45505</v>
      </c>
      <c r="E736" s="277" t="n">
        <v>0</v>
      </c>
      <c r="F736" s="277" t="n">
        <v>0</v>
      </c>
      <c r="G736" s="277" t="n">
        <f aca="false">SUM(E736:F736)</f>
        <v>0</v>
      </c>
      <c r="H736" s="204"/>
      <c r="I736" s="279" t="n">
        <v>1</v>
      </c>
      <c r="J736" s="280" t="n">
        <f aca="false">1-I736</f>
        <v>0</v>
      </c>
      <c r="K736" s="277"/>
      <c r="L736" s="282"/>
      <c r="M736" s="282"/>
      <c r="N736" s="282"/>
      <c r="O736" s="282"/>
      <c r="P736" s="282"/>
      <c r="Q736" s="282"/>
      <c r="R736" s="282"/>
      <c r="S736" s="282"/>
      <c r="T736" s="282"/>
      <c r="U736" s="282"/>
      <c r="V736" s="282"/>
      <c r="W736" s="282"/>
      <c r="X736" s="283"/>
      <c r="Y736" s="284" t="n">
        <f aca="false">IFERROR(L736*$G736*I$9, "")</f>
        <v>0</v>
      </c>
      <c r="Z736" s="284" t="n">
        <f aca="false">IFERROR(M736*$G736*$I736, "")</f>
        <v>0</v>
      </c>
      <c r="AA736" s="284" t="n">
        <f aca="false">IFERROR(N736*$G736*$I736, "")</f>
        <v>0</v>
      </c>
      <c r="AB736" s="284" t="n">
        <f aca="false">IFERROR(O736*$G736*$I736, "")</f>
        <v>0</v>
      </c>
      <c r="AC736" s="284" t="n">
        <f aca="false">IFERROR(P736*$G736*$I736, "")</f>
        <v>0</v>
      </c>
      <c r="AD736" s="284" t="n">
        <f aca="false">IFERROR(Q736*$G736*$I736, "")</f>
        <v>0</v>
      </c>
      <c r="AE736" s="284" t="n">
        <f aca="false">IFERROR(R736*$G736*$I736, "")</f>
        <v>0</v>
      </c>
      <c r="AF736" s="284" t="n">
        <f aca="false">IFERROR(S736*$G736*$I736, "")</f>
        <v>0</v>
      </c>
      <c r="AG736" s="284" t="n">
        <f aca="false">IFERROR(T736*$G736*$I736, "")</f>
        <v>0</v>
      </c>
      <c r="AH736" s="284" t="n">
        <f aca="false">IFERROR(U736*$G736*$I736, "")</f>
        <v>0</v>
      </c>
      <c r="AI736" s="284" t="n">
        <f aca="false">IFERROR(V736*$G736*$I736, "")</f>
        <v>0</v>
      </c>
      <c r="AJ736" s="284" t="n">
        <f aca="false">IFERROR(W736*$G736*$I736, "")</f>
        <v>0</v>
      </c>
      <c r="AK736" s="286" t="n">
        <f aca="false">IFERROR(SUMIF($Y$4:$AJ$4, "RDEC", Y736:AJ736), "")</f>
        <v>0</v>
      </c>
      <c r="AL736" s="286" t="n">
        <f aca="false">IFERROR(SUMIF($Y$4:$AJ$4, "SME", Y736:AJ736), "")</f>
        <v>0</v>
      </c>
      <c r="AM736" s="286" t="n">
        <f aca="false">IFERROR(SUMIF($Y$4:$AJ$4, "De Minimis", Y736:AJ736), "")</f>
        <v>0</v>
      </c>
      <c r="AN736" s="283"/>
      <c r="AO736" s="284" t="n">
        <f aca="false">IFERROR($G736*$J736*L736, "")</f>
        <v>0</v>
      </c>
      <c r="AP736" s="284" t="n">
        <f aca="false">IFERROR($G736*$J736*M736, "")</f>
        <v>0</v>
      </c>
      <c r="AQ736" s="284" t="n">
        <f aca="false">IFERROR($G736*$J736*N736, "")</f>
        <v>0</v>
      </c>
      <c r="AR736" s="284" t="n">
        <f aca="false">IFERROR($G736*$J736*O736, "")</f>
        <v>0</v>
      </c>
      <c r="AS736" s="284" t="n">
        <f aca="false">IFERROR($G736*$J736*P736, "")</f>
        <v>0</v>
      </c>
      <c r="AT736" s="284" t="n">
        <f aca="false">IFERROR($G736*$J736*Q736, "")</f>
        <v>0</v>
      </c>
      <c r="AU736" s="284" t="n">
        <f aca="false">IFERROR($G736*$J736*R736, "")</f>
        <v>0</v>
      </c>
      <c r="AV736" s="284" t="n">
        <f aca="false">IFERROR($G736*$J736*S736, "")</f>
        <v>0</v>
      </c>
      <c r="AW736" s="284" t="n">
        <f aca="false">IFERROR($G736*$J736*T736, "")</f>
        <v>0</v>
      </c>
      <c r="AX736" s="284" t="n">
        <f aca="false">IFERROR($G736*$J736*U736, "")</f>
        <v>0</v>
      </c>
      <c r="AY736" s="284" t="n">
        <f aca="false">IFERROR($G736*$J736*V736, "")</f>
        <v>0</v>
      </c>
      <c r="AZ736" s="284" t="n">
        <f aca="false">IFERROR($G736*$J736*W736, "")</f>
        <v>0</v>
      </c>
      <c r="BA736" s="286" t="n">
        <f aca="false">IFERROR(SUMIF($AO$4:$AZ$4, "RDEC", AO736:AZ736), "")</f>
        <v>0</v>
      </c>
      <c r="BB736" s="286" t="n">
        <f aca="false">IFERROR(SUMIF($AO$4:$AZ$4, "SME", AO736:AZ736), "")</f>
        <v>0</v>
      </c>
      <c r="BC736" s="286" t="n">
        <f aca="false">IFERROR(SUMIF($Y$4:$AJ$4, "De Minimis", AO736:AZ736), "")</f>
        <v>0</v>
      </c>
      <c r="BD736" s="287"/>
      <c r="BE736" s="288" t="str">
        <f aca="false">IF((SUM(L736:W736)&gt;1),"ERROR","")</f>
        <v/>
      </c>
    </row>
    <row r="737" customFormat="false" ht="15" hidden="false" customHeight="true" outlineLevel="0" collapsed="false">
      <c r="B737" s="333"/>
      <c r="C737" s="334"/>
      <c r="D737" s="333" t="n">
        <f aca="false">D721</f>
        <v>45536</v>
      </c>
      <c r="E737" s="277" t="n">
        <v>0</v>
      </c>
      <c r="F737" s="277" t="n">
        <v>0</v>
      </c>
      <c r="G737" s="277" t="n">
        <f aca="false">SUM(E737:F737)</f>
        <v>0</v>
      </c>
      <c r="H737" s="204"/>
      <c r="I737" s="279" t="n">
        <v>1</v>
      </c>
      <c r="J737" s="280" t="n">
        <f aca="false">1-I737</f>
        <v>0</v>
      </c>
      <c r="K737" s="277"/>
      <c r="L737" s="282"/>
      <c r="M737" s="282"/>
      <c r="N737" s="282"/>
      <c r="O737" s="282"/>
      <c r="P737" s="282"/>
      <c r="Q737" s="282"/>
      <c r="R737" s="282"/>
      <c r="S737" s="282"/>
      <c r="T737" s="282"/>
      <c r="U737" s="282"/>
      <c r="V737" s="282"/>
      <c r="W737" s="282"/>
      <c r="X737" s="283"/>
      <c r="Y737" s="284" t="n">
        <f aca="false">IFERROR(L737*$G737*I$9, "")</f>
        <v>0</v>
      </c>
      <c r="Z737" s="284" t="n">
        <f aca="false">IFERROR(M737*$G737*$I737, "")</f>
        <v>0</v>
      </c>
      <c r="AA737" s="284" t="n">
        <f aca="false">IFERROR(N737*$G737*$I737, "")</f>
        <v>0</v>
      </c>
      <c r="AB737" s="284" t="n">
        <f aca="false">IFERROR(O737*$G737*$I737, "")</f>
        <v>0</v>
      </c>
      <c r="AC737" s="284" t="n">
        <f aca="false">IFERROR(P737*$G737*$I737, "")</f>
        <v>0</v>
      </c>
      <c r="AD737" s="284" t="n">
        <f aca="false">IFERROR(Q737*$G737*$I737, "")</f>
        <v>0</v>
      </c>
      <c r="AE737" s="284" t="n">
        <f aca="false">IFERROR(R737*$G737*$I737, "")</f>
        <v>0</v>
      </c>
      <c r="AF737" s="284" t="n">
        <f aca="false">IFERROR(S737*$G737*$I737, "")</f>
        <v>0</v>
      </c>
      <c r="AG737" s="284" t="n">
        <f aca="false">IFERROR(T737*$G737*$I737, "")</f>
        <v>0</v>
      </c>
      <c r="AH737" s="284" t="n">
        <f aca="false">IFERROR(U737*$G737*$I737, "")</f>
        <v>0</v>
      </c>
      <c r="AI737" s="284" t="n">
        <f aca="false">IFERROR(V737*$G737*$I737, "")</f>
        <v>0</v>
      </c>
      <c r="AJ737" s="284" t="n">
        <f aca="false">IFERROR(W737*$G737*$I737, "")</f>
        <v>0</v>
      </c>
      <c r="AK737" s="286" t="n">
        <f aca="false">IFERROR(SUMIF($Y$4:$AJ$4, "RDEC", Y737:AJ737), "")</f>
        <v>0</v>
      </c>
      <c r="AL737" s="286" t="n">
        <f aca="false">IFERROR(SUMIF($Y$4:$AJ$4, "SME", Y737:AJ737), "")</f>
        <v>0</v>
      </c>
      <c r="AM737" s="286" t="n">
        <f aca="false">IFERROR(SUMIF($Y$4:$AJ$4, "De Minimis", Y737:AJ737), "")</f>
        <v>0</v>
      </c>
      <c r="AN737" s="283"/>
      <c r="AO737" s="284" t="n">
        <f aca="false">IFERROR($G737*$J737*L737, "")</f>
        <v>0</v>
      </c>
      <c r="AP737" s="284" t="n">
        <f aca="false">IFERROR($G737*$J737*M737, "")</f>
        <v>0</v>
      </c>
      <c r="AQ737" s="284" t="n">
        <f aca="false">IFERROR($G737*$J737*N737, "")</f>
        <v>0</v>
      </c>
      <c r="AR737" s="284" t="n">
        <f aca="false">IFERROR($G737*$J737*O737, "")</f>
        <v>0</v>
      </c>
      <c r="AS737" s="284" t="n">
        <f aca="false">IFERROR($G737*$J737*P737, "")</f>
        <v>0</v>
      </c>
      <c r="AT737" s="284" t="n">
        <f aca="false">IFERROR($G737*$J737*Q737, "")</f>
        <v>0</v>
      </c>
      <c r="AU737" s="284" t="n">
        <f aca="false">IFERROR($G737*$J737*R737, "")</f>
        <v>0</v>
      </c>
      <c r="AV737" s="284" t="n">
        <f aca="false">IFERROR($G737*$J737*S737, "")</f>
        <v>0</v>
      </c>
      <c r="AW737" s="284" t="n">
        <f aca="false">IFERROR($G737*$J737*T737, "")</f>
        <v>0</v>
      </c>
      <c r="AX737" s="284" t="n">
        <f aca="false">IFERROR($G737*$J737*U737, "")</f>
        <v>0</v>
      </c>
      <c r="AY737" s="284" t="n">
        <f aca="false">IFERROR($G737*$J737*V737, "")</f>
        <v>0</v>
      </c>
      <c r="AZ737" s="284" t="n">
        <f aca="false">IFERROR($G737*$J737*W737, "")</f>
        <v>0</v>
      </c>
      <c r="BA737" s="286" t="n">
        <f aca="false">IFERROR(SUMIF($AO$4:$AZ$4, "RDEC", AO737:AZ737), "")</f>
        <v>0</v>
      </c>
      <c r="BB737" s="286" t="n">
        <f aca="false">IFERROR(SUMIF($AO$4:$AZ$4, "SME", AO737:AZ737), "")</f>
        <v>0</v>
      </c>
      <c r="BC737" s="286" t="n">
        <f aca="false">IFERROR(SUMIF($Y$4:$AJ$4, "De Minimis", AO737:AZ737), "")</f>
        <v>0</v>
      </c>
      <c r="BD737" s="287"/>
      <c r="BE737" s="288" t="str">
        <f aca="false">IF((SUM(L737:W737)&gt;1),"ERROR","")</f>
        <v/>
      </c>
    </row>
    <row r="738" customFormat="false" ht="15" hidden="false" customHeight="true" outlineLevel="0" collapsed="false">
      <c r="B738" s="333"/>
      <c r="C738" s="334"/>
      <c r="D738" s="333" t="n">
        <f aca="false">D722</f>
        <v>45566</v>
      </c>
      <c r="E738" s="277" t="n">
        <v>0</v>
      </c>
      <c r="F738" s="277" t="n">
        <v>0</v>
      </c>
      <c r="G738" s="277" t="n">
        <f aca="false">SUM(E738:F738)</f>
        <v>0</v>
      </c>
      <c r="H738" s="204"/>
      <c r="I738" s="279" t="n">
        <v>1</v>
      </c>
      <c r="J738" s="280" t="n">
        <f aca="false">1-I738</f>
        <v>0</v>
      </c>
      <c r="K738" s="277"/>
      <c r="L738" s="282"/>
      <c r="M738" s="282"/>
      <c r="N738" s="282"/>
      <c r="O738" s="282"/>
      <c r="P738" s="282"/>
      <c r="Q738" s="282"/>
      <c r="R738" s="282"/>
      <c r="S738" s="282"/>
      <c r="T738" s="282"/>
      <c r="U738" s="282"/>
      <c r="V738" s="282"/>
      <c r="W738" s="282"/>
      <c r="X738" s="283"/>
      <c r="Y738" s="284" t="n">
        <f aca="false">IFERROR(L738*$G738*I$9, "")</f>
        <v>0</v>
      </c>
      <c r="Z738" s="284" t="n">
        <f aca="false">IFERROR(M738*$G738*$I738, "")</f>
        <v>0</v>
      </c>
      <c r="AA738" s="284" t="n">
        <f aca="false">IFERROR(N738*$G738*$I738, "")</f>
        <v>0</v>
      </c>
      <c r="AB738" s="284" t="n">
        <f aca="false">IFERROR(O738*$G738*$I738, "")</f>
        <v>0</v>
      </c>
      <c r="AC738" s="284" t="n">
        <f aca="false">IFERROR(P738*$G738*$I738, "")</f>
        <v>0</v>
      </c>
      <c r="AD738" s="284" t="n">
        <f aca="false">IFERROR(Q738*$G738*$I738, "")</f>
        <v>0</v>
      </c>
      <c r="AE738" s="284" t="n">
        <f aca="false">IFERROR(R738*$G738*$I738, "")</f>
        <v>0</v>
      </c>
      <c r="AF738" s="284" t="n">
        <f aca="false">IFERROR(S738*$G738*$I738, "")</f>
        <v>0</v>
      </c>
      <c r="AG738" s="284" t="n">
        <f aca="false">IFERROR(T738*$G738*$I738, "")</f>
        <v>0</v>
      </c>
      <c r="AH738" s="284" t="n">
        <f aca="false">IFERROR(U738*$G738*$I738, "")</f>
        <v>0</v>
      </c>
      <c r="AI738" s="284" t="n">
        <f aca="false">IFERROR(V738*$G738*$I738, "")</f>
        <v>0</v>
      </c>
      <c r="AJ738" s="284" t="n">
        <f aca="false">IFERROR(W738*$G738*$I738, "")</f>
        <v>0</v>
      </c>
      <c r="AK738" s="286" t="n">
        <f aca="false">IFERROR(SUMIF($Y$4:$AJ$4, "RDEC", Y738:AJ738), "")</f>
        <v>0</v>
      </c>
      <c r="AL738" s="286" t="n">
        <f aca="false">IFERROR(SUMIF($Y$4:$AJ$4, "SME", Y738:AJ738), "")</f>
        <v>0</v>
      </c>
      <c r="AM738" s="286" t="n">
        <f aca="false">IFERROR(SUMIF($Y$4:$AJ$4, "De Minimis", Y738:AJ738), "")</f>
        <v>0</v>
      </c>
      <c r="AN738" s="283"/>
      <c r="AO738" s="284" t="n">
        <f aca="false">IFERROR($G738*$J738*L738, "")</f>
        <v>0</v>
      </c>
      <c r="AP738" s="284" t="n">
        <f aca="false">IFERROR($G738*$J738*M738, "")</f>
        <v>0</v>
      </c>
      <c r="AQ738" s="284" t="n">
        <f aca="false">IFERROR($G738*$J738*N738, "")</f>
        <v>0</v>
      </c>
      <c r="AR738" s="284" t="n">
        <f aca="false">IFERROR($G738*$J738*O738, "")</f>
        <v>0</v>
      </c>
      <c r="AS738" s="284" t="n">
        <f aca="false">IFERROR($G738*$J738*P738, "")</f>
        <v>0</v>
      </c>
      <c r="AT738" s="284" t="n">
        <f aca="false">IFERROR($G738*$J738*Q738, "")</f>
        <v>0</v>
      </c>
      <c r="AU738" s="284" t="n">
        <f aca="false">IFERROR($G738*$J738*R738, "")</f>
        <v>0</v>
      </c>
      <c r="AV738" s="284" t="n">
        <f aca="false">IFERROR($G738*$J738*S738, "")</f>
        <v>0</v>
      </c>
      <c r="AW738" s="284" t="n">
        <f aca="false">IFERROR($G738*$J738*T738, "")</f>
        <v>0</v>
      </c>
      <c r="AX738" s="284" t="n">
        <f aca="false">IFERROR($G738*$J738*U738, "")</f>
        <v>0</v>
      </c>
      <c r="AY738" s="284" t="n">
        <f aca="false">IFERROR($G738*$J738*V738, "")</f>
        <v>0</v>
      </c>
      <c r="AZ738" s="284" t="n">
        <f aca="false">IFERROR($G738*$J738*W738, "")</f>
        <v>0</v>
      </c>
      <c r="BA738" s="286" t="n">
        <f aca="false">IFERROR(SUMIF($AO$4:$AZ$4, "RDEC", AO738:AZ738), "")</f>
        <v>0</v>
      </c>
      <c r="BB738" s="286" t="n">
        <f aca="false">IFERROR(SUMIF($AO$4:$AZ$4, "SME", AO738:AZ738), "")</f>
        <v>0</v>
      </c>
      <c r="BC738" s="286" t="n">
        <f aca="false">IFERROR(SUMIF($Y$4:$AJ$4, "De Minimis", AO738:AZ738), "")</f>
        <v>0</v>
      </c>
      <c r="BD738" s="287"/>
      <c r="BE738" s="288" t="str">
        <f aca="false">IF((SUM(L738:W738)&gt;1),"ERROR","")</f>
        <v/>
      </c>
    </row>
    <row r="739" customFormat="false" ht="15" hidden="false" customHeight="true" outlineLevel="0" collapsed="false">
      <c r="B739" s="333"/>
      <c r="C739" s="334"/>
      <c r="D739" s="333" t="n">
        <f aca="false">D723</f>
        <v>45597</v>
      </c>
      <c r="E739" s="277" t="n">
        <v>0</v>
      </c>
      <c r="F739" s="277" t="n">
        <v>0</v>
      </c>
      <c r="G739" s="277" t="n">
        <f aca="false">SUM(E739:F739)</f>
        <v>0</v>
      </c>
      <c r="H739" s="204"/>
      <c r="I739" s="279" t="n">
        <v>1</v>
      </c>
      <c r="J739" s="280" t="n">
        <f aca="false">1-I739</f>
        <v>0</v>
      </c>
      <c r="K739" s="277"/>
      <c r="L739" s="282"/>
      <c r="M739" s="282"/>
      <c r="N739" s="282"/>
      <c r="O739" s="282"/>
      <c r="P739" s="282"/>
      <c r="Q739" s="282"/>
      <c r="R739" s="282"/>
      <c r="S739" s="282"/>
      <c r="T739" s="282"/>
      <c r="U739" s="282"/>
      <c r="V739" s="282"/>
      <c r="W739" s="282"/>
      <c r="X739" s="283"/>
      <c r="Y739" s="284" t="n">
        <f aca="false">IFERROR(L739*$G739*I$9, "")</f>
        <v>0</v>
      </c>
      <c r="Z739" s="284" t="n">
        <f aca="false">IFERROR(M739*$G739*$I739, "")</f>
        <v>0</v>
      </c>
      <c r="AA739" s="284" t="n">
        <f aca="false">IFERROR(N739*$G739*$I739, "")</f>
        <v>0</v>
      </c>
      <c r="AB739" s="284" t="n">
        <f aca="false">IFERROR(O739*$G739*$I739, "")</f>
        <v>0</v>
      </c>
      <c r="AC739" s="284" t="n">
        <f aca="false">IFERROR(P739*$G739*$I739, "")</f>
        <v>0</v>
      </c>
      <c r="AD739" s="284" t="n">
        <f aca="false">IFERROR(Q739*$G739*$I739, "")</f>
        <v>0</v>
      </c>
      <c r="AE739" s="284" t="n">
        <f aca="false">IFERROR(R739*$G739*$I739, "")</f>
        <v>0</v>
      </c>
      <c r="AF739" s="284" t="n">
        <f aca="false">IFERROR(S739*$G739*$I739, "")</f>
        <v>0</v>
      </c>
      <c r="AG739" s="284" t="n">
        <f aca="false">IFERROR(T739*$G739*$I739, "")</f>
        <v>0</v>
      </c>
      <c r="AH739" s="284" t="n">
        <f aca="false">IFERROR(U739*$G739*$I739, "")</f>
        <v>0</v>
      </c>
      <c r="AI739" s="284" t="n">
        <f aca="false">IFERROR(V739*$G739*$I739, "")</f>
        <v>0</v>
      </c>
      <c r="AJ739" s="284" t="n">
        <f aca="false">IFERROR(W739*$G739*$I739, "")</f>
        <v>0</v>
      </c>
      <c r="AK739" s="286" t="n">
        <f aca="false">IFERROR(SUMIF($Y$4:$AJ$4, "RDEC", Y739:AJ739), "")</f>
        <v>0</v>
      </c>
      <c r="AL739" s="286" t="n">
        <f aca="false">IFERROR(SUMIF($Y$4:$AJ$4, "SME", Y739:AJ739), "")</f>
        <v>0</v>
      </c>
      <c r="AM739" s="286" t="n">
        <f aca="false">IFERROR(SUMIF($Y$4:$AJ$4, "De Minimis", Y739:AJ739), "")</f>
        <v>0</v>
      </c>
      <c r="AN739" s="283"/>
      <c r="AO739" s="284" t="n">
        <f aca="false">IFERROR($G739*$J739*L739, "")</f>
        <v>0</v>
      </c>
      <c r="AP739" s="284" t="n">
        <f aca="false">IFERROR($G739*$J739*M739, "")</f>
        <v>0</v>
      </c>
      <c r="AQ739" s="284" t="n">
        <f aca="false">IFERROR($G739*$J739*N739, "")</f>
        <v>0</v>
      </c>
      <c r="AR739" s="284" t="n">
        <f aca="false">IFERROR($G739*$J739*O739, "")</f>
        <v>0</v>
      </c>
      <c r="AS739" s="284" t="n">
        <f aca="false">IFERROR($G739*$J739*P739, "")</f>
        <v>0</v>
      </c>
      <c r="AT739" s="284" t="n">
        <f aca="false">IFERROR($G739*$J739*Q739, "")</f>
        <v>0</v>
      </c>
      <c r="AU739" s="284" t="n">
        <f aca="false">IFERROR($G739*$J739*R739, "")</f>
        <v>0</v>
      </c>
      <c r="AV739" s="284" t="n">
        <f aca="false">IFERROR($G739*$J739*S739, "")</f>
        <v>0</v>
      </c>
      <c r="AW739" s="284" t="n">
        <f aca="false">IFERROR($G739*$J739*T739, "")</f>
        <v>0</v>
      </c>
      <c r="AX739" s="284" t="n">
        <f aca="false">IFERROR($G739*$J739*U739, "")</f>
        <v>0</v>
      </c>
      <c r="AY739" s="284" t="n">
        <f aca="false">IFERROR($G739*$J739*V739, "")</f>
        <v>0</v>
      </c>
      <c r="AZ739" s="284" t="n">
        <f aca="false">IFERROR($G739*$J739*W739, "")</f>
        <v>0</v>
      </c>
      <c r="BA739" s="286" t="n">
        <f aca="false">IFERROR(SUMIF($AO$4:$AZ$4, "RDEC", AO739:AZ739), "")</f>
        <v>0</v>
      </c>
      <c r="BB739" s="286" t="n">
        <f aca="false">IFERROR(SUMIF($AO$4:$AZ$4, "SME", AO739:AZ739), "")</f>
        <v>0</v>
      </c>
      <c r="BC739" s="286" t="n">
        <f aca="false">IFERROR(SUMIF($Y$4:$AJ$4, "De Minimis", AO739:AZ739), "")</f>
        <v>0</v>
      </c>
      <c r="BD739" s="287"/>
      <c r="BE739" s="288" t="str">
        <f aca="false">IF((SUM(L739:W739)&gt;1),"ERROR","")</f>
        <v/>
      </c>
    </row>
    <row r="740" customFormat="false" ht="15" hidden="false" customHeight="true" outlineLevel="0" collapsed="false">
      <c r="B740" s="333"/>
      <c r="C740" s="334"/>
      <c r="D740" s="333" t="n">
        <f aca="false">D724</f>
        <v>45627</v>
      </c>
      <c r="E740" s="277" t="n">
        <v>0</v>
      </c>
      <c r="F740" s="277" t="n">
        <v>0</v>
      </c>
      <c r="G740" s="277" t="n">
        <f aca="false">SUM(E740:F740)</f>
        <v>0</v>
      </c>
      <c r="H740" s="300"/>
      <c r="I740" s="289" t="n">
        <v>1</v>
      </c>
      <c r="J740" s="290" t="n">
        <f aca="false">1-I740</f>
        <v>0</v>
      </c>
      <c r="K740" s="300"/>
      <c r="L740" s="291"/>
      <c r="M740" s="291"/>
      <c r="N740" s="291"/>
      <c r="O740" s="291"/>
      <c r="P740" s="291"/>
      <c r="Q740" s="291"/>
      <c r="R740" s="291"/>
      <c r="S740" s="291"/>
      <c r="T740" s="291"/>
      <c r="U740" s="291"/>
      <c r="V740" s="291"/>
      <c r="W740" s="291"/>
      <c r="X740" s="283"/>
      <c r="Y740" s="284" t="n">
        <f aca="false">IFERROR(L740*$G740*I$9, "")</f>
        <v>0</v>
      </c>
      <c r="Z740" s="284" t="n">
        <f aca="false">IFERROR(M740*$G740*$I740, "")</f>
        <v>0</v>
      </c>
      <c r="AA740" s="284" t="n">
        <f aca="false">IFERROR(N740*$G740*$I740, "")</f>
        <v>0</v>
      </c>
      <c r="AB740" s="284" t="n">
        <f aca="false">IFERROR(O740*$G740*$I740, "")</f>
        <v>0</v>
      </c>
      <c r="AC740" s="284" t="n">
        <f aca="false">IFERROR(P740*$G740*$I740, "")</f>
        <v>0</v>
      </c>
      <c r="AD740" s="284" t="n">
        <f aca="false">IFERROR(Q740*$G740*$I740, "")</f>
        <v>0</v>
      </c>
      <c r="AE740" s="284" t="n">
        <f aca="false">IFERROR(R740*$G740*$I740, "")</f>
        <v>0</v>
      </c>
      <c r="AF740" s="284" t="n">
        <f aca="false">IFERROR(S740*$G740*$I740, "")</f>
        <v>0</v>
      </c>
      <c r="AG740" s="284" t="n">
        <f aca="false">IFERROR(T740*$G740*$I740, "")</f>
        <v>0</v>
      </c>
      <c r="AH740" s="284" t="n">
        <f aca="false">IFERROR(U740*$G740*$I740, "")</f>
        <v>0</v>
      </c>
      <c r="AI740" s="284" t="n">
        <f aca="false">IFERROR(V740*$G740*$I740, "")</f>
        <v>0</v>
      </c>
      <c r="AJ740" s="284" t="n">
        <f aca="false">IFERROR(W740*$G740*$I740, "")</f>
        <v>0</v>
      </c>
      <c r="AK740" s="294" t="n">
        <f aca="false">IFERROR(SUMIF($Y$4:$AJ$4, "RDEC", Y740:AJ740), "")</f>
        <v>0</v>
      </c>
      <c r="AL740" s="294" t="n">
        <f aca="false">IFERROR(SUMIF($Y$4:$AJ$4, "SME", Y740:AJ740), "")</f>
        <v>0</v>
      </c>
      <c r="AM740" s="294" t="n">
        <f aca="false">IFERROR(SUMIF($Y$4:$AJ$4, "De Minimis", Y740:AJ740), "")</f>
        <v>0</v>
      </c>
      <c r="AN740" s="283"/>
      <c r="AO740" s="284" t="n">
        <f aca="false">IFERROR($G740*$J740*L740, "")</f>
        <v>0</v>
      </c>
      <c r="AP740" s="284" t="n">
        <f aca="false">IFERROR($G740*$J740*M740, "")</f>
        <v>0</v>
      </c>
      <c r="AQ740" s="284" t="n">
        <f aca="false">IFERROR($G740*$J740*N740, "")</f>
        <v>0</v>
      </c>
      <c r="AR740" s="284" t="n">
        <f aca="false">IFERROR($G740*$J740*O740, "")</f>
        <v>0</v>
      </c>
      <c r="AS740" s="284" t="n">
        <f aca="false">IFERROR($G740*$J740*P740, "")</f>
        <v>0</v>
      </c>
      <c r="AT740" s="284" t="n">
        <f aca="false">IFERROR($G740*$J740*Q740, "")</f>
        <v>0</v>
      </c>
      <c r="AU740" s="284" t="n">
        <f aca="false">IFERROR($G740*$J740*R740, "")</f>
        <v>0</v>
      </c>
      <c r="AV740" s="284" t="n">
        <f aca="false">IFERROR($G740*$J740*S740, "")</f>
        <v>0</v>
      </c>
      <c r="AW740" s="284" t="n">
        <f aca="false">IFERROR($G740*$J740*T740, "")</f>
        <v>0</v>
      </c>
      <c r="AX740" s="284" t="n">
        <f aca="false">IFERROR($G740*$J740*U740, "")</f>
        <v>0</v>
      </c>
      <c r="AY740" s="284" t="n">
        <f aca="false">IFERROR($G740*$J740*V740, "")</f>
        <v>0</v>
      </c>
      <c r="AZ740" s="284" t="n">
        <f aca="false">IFERROR($G740*$J740*W740, "")</f>
        <v>0</v>
      </c>
      <c r="BA740" s="286" t="n">
        <f aca="false">IFERROR(SUMIF($AO$4:$AZ$4, "RDEC", AO740:AZ740), "")</f>
        <v>0</v>
      </c>
      <c r="BB740" s="286" t="n">
        <f aca="false">IFERROR(SUMIF($AO$4:$AZ$4, "SME", AO740:AZ740), "")</f>
        <v>0</v>
      </c>
      <c r="BC740" s="294" t="n">
        <f aca="false">IFERROR(SUMIF($Y$4:$AJ$4, "De Minimis", AO740:AZ740), "")</f>
        <v>0</v>
      </c>
      <c r="BD740" s="303"/>
      <c r="BE740" s="295" t="str">
        <f aca="false">IF((SUM(L740:W740)&gt;1),"ERROR","")</f>
        <v/>
      </c>
    </row>
    <row r="741" customFormat="false" ht="15" hidden="false" customHeight="true" outlineLevel="0" collapsed="false">
      <c r="B741" s="296"/>
      <c r="D741" s="297" t="s">
        <v>82</v>
      </c>
      <c r="E741" s="299" t="n">
        <f aca="false">SUM(E729:E740)</f>
        <v>0</v>
      </c>
      <c r="F741" s="299" t="n">
        <f aca="false">SUM(F729:F740)</f>
        <v>0</v>
      </c>
      <c r="G741" s="299" t="n">
        <f aca="false">SUM(G729:G740)</f>
        <v>0</v>
      </c>
      <c r="H741" s="300"/>
      <c r="I741" s="301" t="n">
        <f aca="false">AVERAGE(I729:I740)</f>
        <v>1</v>
      </c>
      <c r="J741" s="301" t="n">
        <f aca="false">AVERAGE(J729:J740)</f>
        <v>0</v>
      </c>
      <c r="K741" s="300"/>
      <c r="L741" s="290" t="n">
        <f aca="false">IF(SUM(L729:L740)&gt;0,(Y741/G741),0)</f>
        <v>0</v>
      </c>
      <c r="M741" s="301" t="n">
        <f aca="false">IF(SUM(M729:M740)&gt;0,(Z741/G741),0)</f>
        <v>0</v>
      </c>
      <c r="N741" s="301" t="n">
        <f aca="false">IF(SUM(N729:N740)&gt;0,(AA741/G741),0)</f>
        <v>0</v>
      </c>
      <c r="O741" s="301" t="n">
        <f aca="false">IF(SUM(O729:O740)&gt;0,(AB741/G741),0)</f>
        <v>0</v>
      </c>
      <c r="P741" s="301" t="n">
        <f aca="false">IF(SUM(P729:P740)&gt;0,(AC741/G741),0)</f>
        <v>0</v>
      </c>
      <c r="Q741" s="301" t="n">
        <f aca="false">IF(SUM(Q729:Q740)&gt;0,(AD741/G741),0)</f>
        <v>0</v>
      </c>
      <c r="R741" s="301" t="n">
        <f aca="false">IF(SUM(R729:R740)&gt;0,(AE741/G741),0)</f>
        <v>0</v>
      </c>
      <c r="S741" s="301" t="n">
        <f aca="false">IF(SUM(S729:S740)&gt;0,(AF741/G741),0)</f>
        <v>0</v>
      </c>
      <c r="T741" s="301" t="n">
        <f aca="false">IF(SUM(T729:T740)&gt;0,(AG741/G741),0)</f>
        <v>0</v>
      </c>
      <c r="U741" s="301" t="n">
        <f aca="false">IF(SUM(U729:U740)&gt;0,(AJ741/G741),0)</f>
        <v>0</v>
      </c>
      <c r="V741" s="301" t="n">
        <f aca="false">IF(SUM(V729:V740)&gt;0,(AI741/G741),0)</f>
        <v>0</v>
      </c>
      <c r="W741" s="301" t="n">
        <f aca="false">IF(SUM(W729:W740)&gt;0,(AJ741/G741),0)</f>
        <v>0</v>
      </c>
      <c r="X741" s="283"/>
      <c r="Y741" s="304" t="n">
        <f aca="false">SUM(Y729:Y740)</f>
        <v>0</v>
      </c>
      <c r="Z741" s="304" t="n">
        <f aca="false">SUM(Z729:Z740)</f>
        <v>0</v>
      </c>
      <c r="AA741" s="304" t="n">
        <f aca="false">SUM(AA729:AA740)</f>
        <v>0</v>
      </c>
      <c r="AB741" s="304" t="n">
        <f aca="false">SUM(AB729:AB740)</f>
        <v>0</v>
      </c>
      <c r="AC741" s="304" t="n">
        <f aca="false">SUM(AC729:AC740)</f>
        <v>0</v>
      </c>
      <c r="AD741" s="304" t="n">
        <f aca="false">SUM(AD729:AD740)</f>
        <v>0</v>
      </c>
      <c r="AE741" s="304" t="n">
        <f aca="false">SUM(AE729:AE740)</f>
        <v>0</v>
      </c>
      <c r="AF741" s="304" t="n">
        <f aca="false">SUM(AF729:AF740)</f>
        <v>0</v>
      </c>
      <c r="AG741" s="304" t="n">
        <f aca="false">SUM(AG729:AG740)</f>
        <v>0</v>
      </c>
      <c r="AH741" s="304" t="n">
        <f aca="false">SUM(AH729:AH740)</f>
        <v>0</v>
      </c>
      <c r="AI741" s="304" t="n">
        <f aca="false">SUM(AI729:AI740)</f>
        <v>0</v>
      </c>
      <c r="AJ741" s="304" t="n">
        <f aca="false">SUM(AJ729:AJ740)</f>
        <v>0</v>
      </c>
      <c r="AK741" s="335" t="n">
        <f aca="false">SUM(AK729:AK740)</f>
        <v>0</v>
      </c>
      <c r="AL741" s="336" t="n">
        <f aca="false">SUM(AL729:AL740)</f>
        <v>0</v>
      </c>
      <c r="AM741" s="305" t="n">
        <f aca="false">SUM(AM729:AM740)</f>
        <v>0</v>
      </c>
      <c r="AN741" s="283"/>
      <c r="AO741" s="304" t="n">
        <f aca="false">SUM(AO729:AO740)</f>
        <v>0</v>
      </c>
      <c r="AP741" s="304" t="n">
        <f aca="false">SUM(AP729:AP740)</f>
        <v>0</v>
      </c>
      <c r="AQ741" s="304" t="n">
        <f aca="false">SUM(AQ729:AQ740)</f>
        <v>0</v>
      </c>
      <c r="AR741" s="304" t="n">
        <f aca="false">SUM(AR729:AR740)</f>
        <v>0</v>
      </c>
      <c r="AS741" s="304" t="n">
        <f aca="false">SUM(AS729:AS740)</f>
        <v>0</v>
      </c>
      <c r="AT741" s="304" t="n">
        <f aca="false">SUM(AT729:AT740)</f>
        <v>0</v>
      </c>
      <c r="AU741" s="304" t="n">
        <f aca="false">SUM(AU729:AU740)</f>
        <v>0</v>
      </c>
      <c r="AV741" s="304" t="n">
        <f aca="false">SUM(AV729:AV740)</f>
        <v>0</v>
      </c>
      <c r="AW741" s="304" t="n">
        <f aca="false">SUM(AW729:AW740)</f>
        <v>0</v>
      </c>
      <c r="AX741" s="304" t="n">
        <f aca="false">SUM(AX729:AX740)</f>
        <v>0</v>
      </c>
      <c r="AY741" s="304" t="n">
        <f aca="false">SUM(AY729:AY740)</f>
        <v>0</v>
      </c>
      <c r="AZ741" s="304" t="n">
        <f aca="false">SUM(AZ729:AZ740)</f>
        <v>0</v>
      </c>
      <c r="BA741" s="336" t="n">
        <f aca="false">SUM(BA729:BA740)</f>
        <v>0</v>
      </c>
      <c r="BB741" s="336" t="n">
        <f aca="false">SUM(BB729:BB740)</f>
        <v>0</v>
      </c>
      <c r="BC741" s="305" t="n">
        <f aca="false">SUM(BC729:BC740)</f>
        <v>0</v>
      </c>
      <c r="BD741" s="303"/>
      <c r="BE741" s="337"/>
    </row>
    <row r="742" customFormat="false" ht="15" hidden="false" customHeight="true" outlineLevel="0" collapsed="false">
      <c r="B742" s="296"/>
      <c r="D742" s="297"/>
      <c r="E742" s="300"/>
      <c r="F742" s="300"/>
      <c r="G742" s="300"/>
      <c r="H742" s="241"/>
      <c r="I742" s="302"/>
      <c r="J742" s="302"/>
      <c r="K742" s="241"/>
      <c r="L742" s="259"/>
      <c r="M742" s="259"/>
      <c r="N742" s="259"/>
      <c r="O742" s="259"/>
      <c r="P742" s="259"/>
      <c r="Q742" s="259"/>
      <c r="R742" s="259"/>
      <c r="S742" s="259"/>
      <c r="T742" s="259"/>
      <c r="U742" s="259"/>
      <c r="V742" s="259"/>
      <c r="W742" s="259"/>
      <c r="X742" s="303"/>
      <c r="Y742" s="259"/>
      <c r="Z742" s="303"/>
      <c r="AA742" s="303"/>
      <c r="AB742" s="303"/>
      <c r="AC742" s="303"/>
      <c r="AD742" s="303"/>
      <c r="AE742" s="303"/>
      <c r="AF742" s="303"/>
      <c r="AG742" s="303"/>
      <c r="AH742" s="303"/>
      <c r="AI742" s="303"/>
      <c r="AJ742" s="303"/>
      <c r="AK742" s="303"/>
      <c r="AL742" s="303"/>
      <c r="AM742" s="303"/>
      <c r="AN742" s="303"/>
      <c r="AO742" s="259"/>
      <c r="AP742" s="303"/>
      <c r="AQ742" s="303"/>
      <c r="AR742" s="303"/>
      <c r="AS742" s="303"/>
      <c r="AT742" s="303"/>
      <c r="AU742" s="303"/>
      <c r="AV742" s="303"/>
      <c r="AW742" s="303"/>
      <c r="AX742" s="303"/>
      <c r="AY742" s="303"/>
      <c r="AZ742" s="303"/>
      <c r="BA742" s="303"/>
      <c r="BB742" s="303"/>
      <c r="BC742" s="303"/>
      <c r="BD742" s="268"/>
      <c r="BE742" s="303"/>
    </row>
    <row r="743" customFormat="false" ht="15" hidden="false" customHeight="true" outlineLevel="0" collapsed="false">
      <c r="A743" s="198" t="n">
        <f aca="false">A727+1</f>
        <v>47</v>
      </c>
      <c r="B743" s="266" t="s">
        <v>253</v>
      </c>
      <c r="C743" s="266" t="s">
        <v>253</v>
      </c>
      <c r="D743" s="266"/>
      <c r="E743" s="241"/>
      <c r="F743" s="241"/>
      <c r="G743" s="241"/>
      <c r="H743" s="241"/>
      <c r="I743" s="241"/>
      <c r="J743" s="241"/>
      <c r="K743" s="277"/>
      <c r="L743" s="241"/>
      <c r="M743" s="241"/>
      <c r="N743" s="241"/>
      <c r="O743" s="241"/>
      <c r="P743" s="241"/>
      <c r="Q743" s="241"/>
      <c r="R743" s="241"/>
      <c r="S743" s="241"/>
      <c r="T743" s="241"/>
      <c r="U743" s="241"/>
      <c r="V743" s="241"/>
      <c r="W743" s="241"/>
      <c r="X743" s="259"/>
      <c r="Y743" s="268"/>
      <c r="Z743" s="268"/>
      <c r="AA743" s="268"/>
      <c r="AB743" s="268"/>
      <c r="AC743" s="268"/>
      <c r="AD743" s="268"/>
      <c r="AE743" s="268"/>
      <c r="AF743" s="268"/>
      <c r="AG743" s="268"/>
      <c r="AH743" s="268"/>
      <c r="AI743" s="268"/>
      <c r="AJ743" s="268"/>
      <c r="AK743" s="268"/>
      <c r="AL743" s="268"/>
      <c r="AM743" s="268"/>
      <c r="AN743" s="259"/>
      <c r="AO743" s="268"/>
      <c r="AP743" s="268"/>
      <c r="AQ743" s="268"/>
      <c r="AR743" s="268"/>
      <c r="AS743" s="268"/>
      <c r="AT743" s="268"/>
      <c r="AU743" s="268"/>
      <c r="AV743" s="268"/>
      <c r="AW743" s="268"/>
      <c r="AX743" s="268"/>
      <c r="AY743" s="268"/>
      <c r="AZ743" s="268"/>
      <c r="BA743" s="268"/>
      <c r="BB743" s="268"/>
      <c r="BC743" s="268"/>
      <c r="BD743" s="287"/>
      <c r="BE743" s="268"/>
    </row>
    <row r="744" customFormat="false" ht="7.5" hidden="false" customHeight="true" outlineLevel="0" collapsed="false">
      <c r="A744" s="198"/>
      <c r="B744" s="266"/>
      <c r="C744" s="266"/>
      <c r="D744" s="266"/>
      <c r="E744" s="241"/>
      <c r="F744" s="241"/>
      <c r="G744" s="241"/>
      <c r="H744" s="204"/>
      <c r="I744" s="269"/>
      <c r="J744" s="269"/>
      <c r="K744" s="277"/>
      <c r="L744" s="269"/>
      <c r="M744" s="269"/>
      <c r="N744" s="269"/>
      <c r="O744" s="269"/>
      <c r="P744" s="269"/>
      <c r="Q744" s="269"/>
      <c r="R744" s="269"/>
      <c r="S744" s="269"/>
      <c r="T744" s="269"/>
      <c r="U744" s="269"/>
      <c r="V744" s="269"/>
      <c r="W744" s="269"/>
      <c r="X744" s="259"/>
      <c r="Y744" s="271"/>
      <c r="Z744" s="271"/>
      <c r="AA744" s="271"/>
      <c r="AB744" s="271"/>
      <c r="AC744" s="271"/>
      <c r="AD744" s="271"/>
      <c r="AE744" s="271"/>
      <c r="AF744" s="271"/>
      <c r="AG744" s="271"/>
      <c r="AH744" s="271"/>
      <c r="AI744" s="271"/>
      <c r="AJ744" s="272"/>
      <c r="AK744" s="273"/>
      <c r="AL744" s="273"/>
      <c r="AM744" s="273"/>
      <c r="AN744" s="259"/>
      <c r="AO744" s="271"/>
      <c r="AP744" s="271"/>
      <c r="AQ744" s="271"/>
      <c r="AR744" s="271"/>
      <c r="AS744" s="271"/>
      <c r="AT744" s="271"/>
      <c r="AU744" s="271"/>
      <c r="AV744" s="271"/>
      <c r="AW744" s="271"/>
      <c r="AX744" s="271"/>
      <c r="AY744" s="271"/>
      <c r="AZ744" s="272"/>
      <c r="BA744" s="273"/>
      <c r="BB744" s="273"/>
      <c r="BC744" s="273"/>
      <c r="BD744" s="287"/>
      <c r="BE744" s="274"/>
    </row>
    <row r="745" customFormat="false" ht="15" hidden="false" customHeight="true" outlineLevel="0" collapsed="false">
      <c r="B745" s="333"/>
      <c r="C745" s="334"/>
      <c r="D745" s="333" t="n">
        <f aca="false">D729</f>
        <v>45292</v>
      </c>
      <c r="E745" s="277" t="n">
        <v>0</v>
      </c>
      <c r="F745" s="277" t="n">
        <v>0</v>
      </c>
      <c r="G745" s="277" t="n">
        <f aca="false">SUM(E745:F745)</f>
        <v>0</v>
      </c>
      <c r="H745" s="204"/>
      <c r="I745" s="279" t="n">
        <v>1</v>
      </c>
      <c r="J745" s="280" t="n">
        <f aca="false">1-I745</f>
        <v>0</v>
      </c>
      <c r="K745" s="277"/>
      <c r="L745" s="282"/>
      <c r="M745" s="282"/>
      <c r="N745" s="282"/>
      <c r="O745" s="282"/>
      <c r="P745" s="282"/>
      <c r="Q745" s="282"/>
      <c r="R745" s="282"/>
      <c r="S745" s="282"/>
      <c r="T745" s="282"/>
      <c r="U745" s="282"/>
      <c r="V745" s="282"/>
      <c r="W745" s="282"/>
      <c r="X745" s="268"/>
      <c r="Y745" s="284" t="n">
        <f aca="false">IFERROR(L745*$G745*I$9, "")</f>
        <v>0</v>
      </c>
      <c r="Z745" s="284" t="n">
        <f aca="false">IFERROR(M745*$G745*$I745, "")</f>
        <v>0</v>
      </c>
      <c r="AA745" s="284" t="n">
        <f aca="false">IFERROR(N745*$G745*$I745, "")</f>
        <v>0</v>
      </c>
      <c r="AB745" s="284" t="n">
        <f aca="false">IFERROR(O745*$G745*$I745, "")</f>
        <v>0</v>
      </c>
      <c r="AC745" s="284" t="n">
        <f aca="false">IFERROR(P745*$G745*$I745, "")</f>
        <v>0</v>
      </c>
      <c r="AD745" s="284" t="n">
        <f aca="false">IFERROR(Q745*$G745*$I745, "")</f>
        <v>0</v>
      </c>
      <c r="AE745" s="284" t="n">
        <f aca="false">IFERROR(R745*$G745*$I745, "")</f>
        <v>0</v>
      </c>
      <c r="AF745" s="284" t="n">
        <f aca="false">IFERROR(S745*$G745*$I745, "")</f>
        <v>0</v>
      </c>
      <c r="AG745" s="284" t="n">
        <f aca="false">IFERROR(T745*$G745*$I745, "")</f>
        <v>0</v>
      </c>
      <c r="AH745" s="284" t="n">
        <f aca="false">IFERROR(U745*$G745*$I745, "")</f>
        <v>0</v>
      </c>
      <c r="AI745" s="284" t="n">
        <f aca="false">IFERROR(V745*$G745*$I745, "")</f>
        <v>0</v>
      </c>
      <c r="AJ745" s="284" t="n">
        <f aca="false">IFERROR(W745*$G745*$I745, "")</f>
        <v>0</v>
      </c>
      <c r="AK745" s="286" t="n">
        <f aca="false">IFERROR(SUMIF($Y$4:$AJ$4, "RDEC", Y745:AJ745), "")</f>
        <v>0</v>
      </c>
      <c r="AL745" s="286" t="n">
        <f aca="false">IFERROR(SUMIF($Y$4:$AJ$4, "SME", Y745:AJ745), "")</f>
        <v>0</v>
      </c>
      <c r="AM745" s="286" t="n">
        <f aca="false">IFERROR(SUMIF($Y$4:$AJ$4, "De Minimis", Y745:AJ745), "")</f>
        <v>0</v>
      </c>
      <c r="AN745" s="268"/>
      <c r="AO745" s="284" t="n">
        <f aca="false">IFERROR($G745*$J745*L745, "")</f>
        <v>0</v>
      </c>
      <c r="AP745" s="284" t="n">
        <f aca="false">IFERROR($G745*$J745*M745, "")</f>
        <v>0</v>
      </c>
      <c r="AQ745" s="284" t="n">
        <f aca="false">IFERROR($G745*$J745*N745, "")</f>
        <v>0</v>
      </c>
      <c r="AR745" s="284" t="n">
        <f aca="false">IFERROR($G745*$J745*O745, "")</f>
        <v>0</v>
      </c>
      <c r="AS745" s="284" t="n">
        <f aca="false">IFERROR($G745*$J745*P745, "")</f>
        <v>0</v>
      </c>
      <c r="AT745" s="284" t="n">
        <f aca="false">IFERROR($G745*$J745*Q745, "")</f>
        <v>0</v>
      </c>
      <c r="AU745" s="284" t="n">
        <f aca="false">IFERROR($G745*$J745*R745, "")</f>
        <v>0</v>
      </c>
      <c r="AV745" s="284" t="n">
        <f aca="false">IFERROR($G745*$J745*S745, "")</f>
        <v>0</v>
      </c>
      <c r="AW745" s="284" t="n">
        <f aca="false">IFERROR($G745*$J745*T745, "")</f>
        <v>0</v>
      </c>
      <c r="AX745" s="284" t="n">
        <f aca="false">IFERROR($G745*$J745*U745, "")</f>
        <v>0</v>
      </c>
      <c r="AY745" s="284" t="n">
        <f aca="false">IFERROR($G745*$J745*V745, "")</f>
        <v>0</v>
      </c>
      <c r="AZ745" s="284" t="n">
        <f aca="false">IFERROR($G745*$J745*W745, "")</f>
        <v>0</v>
      </c>
      <c r="BA745" s="286" t="n">
        <f aca="false">IFERROR(SUMIF($AO$4:$AZ$4, "RDEC", AO745:AZ745), "")</f>
        <v>0</v>
      </c>
      <c r="BB745" s="286" t="n">
        <f aca="false">IFERROR(SUMIF($AO$4:$AZ$4, "SME", AO745:AZ745), "")</f>
        <v>0</v>
      </c>
      <c r="BC745" s="286" t="n">
        <f aca="false">IFERROR(SUMIF($AO$4:$AZ$4, "De Minimis", AO745:AZ745), "")</f>
        <v>0</v>
      </c>
      <c r="BD745" s="287"/>
      <c r="BE745" s="288" t="str">
        <f aca="false">IF((SUM(L745:W745)&gt;1),"ERROR","")</f>
        <v/>
      </c>
    </row>
    <row r="746" customFormat="false" ht="15" hidden="false" customHeight="true" outlineLevel="0" collapsed="false">
      <c r="B746" s="333"/>
      <c r="C746" s="334"/>
      <c r="D746" s="333" t="n">
        <f aca="false">D730</f>
        <v>45323</v>
      </c>
      <c r="E746" s="277" t="n">
        <v>0</v>
      </c>
      <c r="F746" s="277" t="n">
        <v>0</v>
      </c>
      <c r="G746" s="277" t="n">
        <f aca="false">SUM(E746:F746)</f>
        <v>0</v>
      </c>
      <c r="H746" s="204"/>
      <c r="I746" s="279" t="n">
        <v>1</v>
      </c>
      <c r="J746" s="280" t="n">
        <f aca="false">1-I746</f>
        <v>0</v>
      </c>
      <c r="K746" s="277"/>
      <c r="L746" s="282"/>
      <c r="M746" s="282"/>
      <c r="N746" s="282"/>
      <c r="O746" s="282"/>
      <c r="P746" s="282"/>
      <c r="Q746" s="282"/>
      <c r="R746" s="282"/>
      <c r="S746" s="282"/>
      <c r="T746" s="282"/>
      <c r="U746" s="282"/>
      <c r="V746" s="282"/>
      <c r="W746" s="282"/>
      <c r="X746" s="283"/>
      <c r="Y746" s="284" t="n">
        <f aca="false">IFERROR(L746*$G746*I$9, "")</f>
        <v>0</v>
      </c>
      <c r="Z746" s="284" t="n">
        <f aca="false">IFERROR(M746*$G746*$I746, "")</f>
        <v>0</v>
      </c>
      <c r="AA746" s="284" t="n">
        <f aca="false">IFERROR(N746*$G746*$I746, "")</f>
        <v>0</v>
      </c>
      <c r="AB746" s="284" t="n">
        <f aca="false">IFERROR(O746*$G746*$I746, "")</f>
        <v>0</v>
      </c>
      <c r="AC746" s="284" t="n">
        <f aca="false">IFERROR(P746*$G746*$I746, "")</f>
        <v>0</v>
      </c>
      <c r="AD746" s="284" t="n">
        <f aca="false">IFERROR(Q746*$G746*$I746, "")</f>
        <v>0</v>
      </c>
      <c r="AE746" s="284" t="n">
        <f aca="false">IFERROR(R746*$G746*$I746, "")</f>
        <v>0</v>
      </c>
      <c r="AF746" s="284" t="n">
        <f aca="false">IFERROR(S746*$G746*$I746, "")</f>
        <v>0</v>
      </c>
      <c r="AG746" s="284" t="n">
        <f aca="false">IFERROR(T746*$G746*$I746, "")</f>
        <v>0</v>
      </c>
      <c r="AH746" s="284" t="n">
        <f aca="false">IFERROR(U746*$G746*$I746, "")</f>
        <v>0</v>
      </c>
      <c r="AI746" s="284" t="n">
        <f aca="false">IFERROR(V746*$G746*$I746, "")</f>
        <v>0</v>
      </c>
      <c r="AJ746" s="284" t="n">
        <f aca="false">IFERROR(W746*$G746*$I746, "")</f>
        <v>0</v>
      </c>
      <c r="AK746" s="286" t="n">
        <f aca="false">IFERROR(SUMIF($Y$4:$AJ$4, "RDEC", Y746:AJ746), "")</f>
        <v>0</v>
      </c>
      <c r="AL746" s="286" t="n">
        <f aca="false">IFERROR(SUMIF($Y$4:$AJ$4, "SME", Y746:AJ746), "")</f>
        <v>0</v>
      </c>
      <c r="AM746" s="286" t="n">
        <f aca="false">IFERROR(SUMIF($Y$4:$AJ$4, "De Minimis", Y746:AJ746), "")</f>
        <v>0</v>
      </c>
      <c r="AN746" s="283"/>
      <c r="AO746" s="284" t="n">
        <f aca="false">IFERROR($G746*$J746*L746, "")</f>
        <v>0</v>
      </c>
      <c r="AP746" s="284" t="n">
        <f aca="false">IFERROR($G746*$J746*M746, "")</f>
        <v>0</v>
      </c>
      <c r="AQ746" s="284" t="n">
        <f aca="false">IFERROR($G746*$J746*N746, "")</f>
        <v>0</v>
      </c>
      <c r="AR746" s="284" t="n">
        <f aca="false">IFERROR($G746*$J746*O746, "")</f>
        <v>0</v>
      </c>
      <c r="AS746" s="284" t="n">
        <f aca="false">IFERROR($G746*$J746*P746, "")</f>
        <v>0</v>
      </c>
      <c r="AT746" s="284" t="n">
        <f aca="false">IFERROR($G746*$J746*Q746, "")</f>
        <v>0</v>
      </c>
      <c r="AU746" s="284" t="n">
        <f aca="false">IFERROR($G746*$J746*R746, "")</f>
        <v>0</v>
      </c>
      <c r="AV746" s="284" t="n">
        <f aca="false">IFERROR($G746*$J746*S746, "")</f>
        <v>0</v>
      </c>
      <c r="AW746" s="284" t="n">
        <f aca="false">IFERROR($G746*$J746*T746, "")</f>
        <v>0</v>
      </c>
      <c r="AX746" s="284" t="n">
        <f aca="false">IFERROR($G746*$J746*U746, "")</f>
        <v>0</v>
      </c>
      <c r="AY746" s="284" t="n">
        <f aca="false">IFERROR($G746*$J746*V746, "")</f>
        <v>0</v>
      </c>
      <c r="AZ746" s="284" t="n">
        <f aca="false">IFERROR($G746*$J746*W746, "")</f>
        <v>0</v>
      </c>
      <c r="BA746" s="286" t="n">
        <f aca="false">IFERROR(SUMIF($AO$4:$AZ$4, "RDEC", AO746:AZ746), "")</f>
        <v>0</v>
      </c>
      <c r="BB746" s="286" t="n">
        <f aca="false">IFERROR(SUMIF($AO$4:$AZ$4, "SME", AO746:AZ746), "")</f>
        <v>0</v>
      </c>
      <c r="BC746" s="286" t="n">
        <f aca="false">IFERROR(SUMIF($Y$4:$AJ$4, "De Minimis", AO746:AZ746), "")</f>
        <v>0</v>
      </c>
      <c r="BD746" s="287"/>
      <c r="BE746" s="288" t="str">
        <f aca="false">IF((SUM(L746:W746)&gt;1),"ERROR","")</f>
        <v/>
      </c>
    </row>
    <row r="747" customFormat="false" ht="15" hidden="false" customHeight="true" outlineLevel="0" collapsed="false">
      <c r="B747" s="333"/>
      <c r="C747" s="334"/>
      <c r="D747" s="333" t="n">
        <f aca="false">D731</f>
        <v>45352</v>
      </c>
      <c r="E747" s="277" t="n">
        <v>0</v>
      </c>
      <c r="F747" s="277" t="n">
        <v>0</v>
      </c>
      <c r="G747" s="277" t="n">
        <f aca="false">SUM(E747:F747)</f>
        <v>0</v>
      </c>
      <c r="H747" s="204"/>
      <c r="I747" s="279" t="n">
        <v>1</v>
      </c>
      <c r="J747" s="280" t="n">
        <f aca="false">1-I747</f>
        <v>0</v>
      </c>
      <c r="K747" s="277"/>
      <c r="L747" s="282"/>
      <c r="M747" s="282"/>
      <c r="N747" s="282"/>
      <c r="O747" s="282"/>
      <c r="P747" s="282"/>
      <c r="Q747" s="282"/>
      <c r="R747" s="282"/>
      <c r="S747" s="282"/>
      <c r="T747" s="282"/>
      <c r="U747" s="282"/>
      <c r="V747" s="282"/>
      <c r="W747" s="282"/>
      <c r="X747" s="283"/>
      <c r="Y747" s="284" t="n">
        <f aca="false">IFERROR(L747*$G747*I$9, "")</f>
        <v>0</v>
      </c>
      <c r="Z747" s="284" t="n">
        <f aca="false">IFERROR(M747*$G747*$I747, "")</f>
        <v>0</v>
      </c>
      <c r="AA747" s="284" t="n">
        <f aca="false">IFERROR(N747*$G747*$I747, "")</f>
        <v>0</v>
      </c>
      <c r="AB747" s="284" t="n">
        <f aca="false">IFERROR(O747*$G747*$I747, "")</f>
        <v>0</v>
      </c>
      <c r="AC747" s="284" t="n">
        <f aca="false">IFERROR(P747*$G747*$I747, "")</f>
        <v>0</v>
      </c>
      <c r="AD747" s="284" t="n">
        <f aca="false">IFERROR(Q747*$G747*$I747, "")</f>
        <v>0</v>
      </c>
      <c r="AE747" s="284" t="n">
        <f aca="false">IFERROR(R747*$G747*$I747, "")</f>
        <v>0</v>
      </c>
      <c r="AF747" s="284" t="n">
        <f aca="false">IFERROR(S747*$G747*$I747, "")</f>
        <v>0</v>
      </c>
      <c r="AG747" s="284" t="n">
        <f aca="false">IFERROR(T747*$G747*$I747, "")</f>
        <v>0</v>
      </c>
      <c r="AH747" s="284" t="n">
        <f aca="false">IFERROR(U747*$G747*$I747, "")</f>
        <v>0</v>
      </c>
      <c r="AI747" s="284" t="n">
        <f aca="false">IFERROR(V747*$G747*$I747, "")</f>
        <v>0</v>
      </c>
      <c r="AJ747" s="284" t="n">
        <f aca="false">IFERROR(W747*$G747*$I747, "")</f>
        <v>0</v>
      </c>
      <c r="AK747" s="286" t="n">
        <f aca="false">IFERROR(SUMIF($Y$4:$AJ$4, "RDEC", Y747:AJ747), "")</f>
        <v>0</v>
      </c>
      <c r="AL747" s="286" t="n">
        <f aca="false">IFERROR(SUMIF($Y$4:$AJ$4, "SME", Y747:AJ747), "")</f>
        <v>0</v>
      </c>
      <c r="AM747" s="286" t="n">
        <f aca="false">IFERROR(SUMIF($Y$4:$AJ$4, "De Minimis", Y747:AJ747), "")</f>
        <v>0</v>
      </c>
      <c r="AN747" s="283"/>
      <c r="AO747" s="284" t="n">
        <f aca="false">IFERROR($G747*$J747*L747, "")</f>
        <v>0</v>
      </c>
      <c r="AP747" s="284" t="n">
        <f aca="false">IFERROR($G747*$J747*M747, "")</f>
        <v>0</v>
      </c>
      <c r="AQ747" s="284" t="n">
        <f aca="false">IFERROR($G747*$J747*N747, "")</f>
        <v>0</v>
      </c>
      <c r="AR747" s="284" t="n">
        <f aca="false">IFERROR($G747*$J747*O747, "")</f>
        <v>0</v>
      </c>
      <c r="AS747" s="284" t="n">
        <f aca="false">IFERROR($G747*$J747*P747, "")</f>
        <v>0</v>
      </c>
      <c r="AT747" s="284" t="n">
        <f aca="false">IFERROR($G747*$J747*Q747, "")</f>
        <v>0</v>
      </c>
      <c r="AU747" s="284" t="n">
        <f aca="false">IFERROR($G747*$J747*R747, "")</f>
        <v>0</v>
      </c>
      <c r="AV747" s="284" t="n">
        <f aca="false">IFERROR($G747*$J747*S747, "")</f>
        <v>0</v>
      </c>
      <c r="AW747" s="284" t="n">
        <f aca="false">IFERROR($G747*$J747*T747, "")</f>
        <v>0</v>
      </c>
      <c r="AX747" s="284" t="n">
        <f aca="false">IFERROR($G747*$J747*U747, "")</f>
        <v>0</v>
      </c>
      <c r="AY747" s="284" t="n">
        <f aca="false">IFERROR($G747*$J747*V747, "")</f>
        <v>0</v>
      </c>
      <c r="AZ747" s="284" t="n">
        <f aca="false">IFERROR($G747*$J747*W747, "")</f>
        <v>0</v>
      </c>
      <c r="BA747" s="286" t="n">
        <f aca="false">IFERROR(SUMIF($AO$4:$AZ$4, "RDEC", AO747:AZ747), "")</f>
        <v>0</v>
      </c>
      <c r="BB747" s="286" t="n">
        <f aca="false">IFERROR(SUMIF($AO$4:$AZ$4, "SME", AO747:AZ747), "")</f>
        <v>0</v>
      </c>
      <c r="BC747" s="286" t="n">
        <f aca="false">IFERROR(SUMIF($Y$4:$AJ$4, "De Minimis", AO747:AZ747), "")</f>
        <v>0</v>
      </c>
      <c r="BD747" s="287"/>
      <c r="BE747" s="288" t="str">
        <f aca="false">IF((SUM(L747:W747)&gt;1),"ERROR","")</f>
        <v/>
      </c>
    </row>
    <row r="748" customFormat="false" ht="15" hidden="false" customHeight="true" outlineLevel="0" collapsed="false">
      <c r="B748" s="333"/>
      <c r="C748" s="334"/>
      <c r="D748" s="333" t="n">
        <f aca="false">D732</f>
        <v>45383</v>
      </c>
      <c r="E748" s="277" t="n">
        <v>0</v>
      </c>
      <c r="F748" s="277" t="n">
        <v>0</v>
      </c>
      <c r="G748" s="277" t="n">
        <f aca="false">SUM(E748:F748)</f>
        <v>0</v>
      </c>
      <c r="H748" s="204"/>
      <c r="I748" s="279" t="n">
        <v>1</v>
      </c>
      <c r="J748" s="280" t="n">
        <f aca="false">1-I748</f>
        <v>0</v>
      </c>
      <c r="K748" s="277"/>
      <c r="L748" s="282"/>
      <c r="M748" s="282"/>
      <c r="N748" s="282"/>
      <c r="O748" s="282"/>
      <c r="P748" s="282"/>
      <c r="Q748" s="282"/>
      <c r="R748" s="282"/>
      <c r="S748" s="282"/>
      <c r="T748" s="282"/>
      <c r="U748" s="282"/>
      <c r="V748" s="282"/>
      <c r="W748" s="282"/>
      <c r="X748" s="283"/>
      <c r="Y748" s="284" t="n">
        <f aca="false">IFERROR(L748*$G748*I$9, "")</f>
        <v>0</v>
      </c>
      <c r="Z748" s="284" t="n">
        <f aca="false">IFERROR(M748*$G748*$I748, "")</f>
        <v>0</v>
      </c>
      <c r="AA748" s="284" t="n">
        <f aca="false">IFERROR(N748*$G748*$I748, "")</f>
        <v>0</v>
      </c>
      <c r="AB748" s="284" t="n">
        <f aca="false">IFERROR(O748*$G748*$I748, "")</f>
        <v>0</v>
      </c>
      <c r="AC748" s="284" t="n">
        <f aca="false">IFERROR(P748*$G748*$I748, "")</f>
        <v>0</v>
      </c>
      <c r="AD748" s="284" t="n">
        <f aca="false">IFERROR(Q748*$G748*$I748, "")</f>
        <v>0</v>
      </c>
      <c r="AE748" s="284" t="n">
        <f aca="false">IFERROR(R748*$G748*$I748, "")</f>
        <v>0</v>
      </c>
      <c r="AF748" s="284" t="n">
        <f aca="false">IFERROR(S748*$G748*$I748, "")</f>
        <v>0</v>
      </c>
      <c r="AG748" s="284" t="n">
        <f aca="false">IFERROR(T748*$G748*$I748, "")</f>
        <v>0</v>
      </c>
      <c r="AH748" s="284" t="n">
        <f aca="false">IFERROR(U748*$G748*$I748, "")</f>
        <v>0</v>
      </c>
      <c r="AI748" s="284" t="n">
        <f aca="false">IFERROR(V748*$G748*$I748, "")</f>
        <v>0</v>
      </c>
      <c r="AJ748" s="284" t="n">
        <f aca="false">IFERROR(W748*$G748*$I748, "")</f>
        <v>0</v>
      </c>
      <c r="AK748" s="286" t="n">
        <f aca="false">IFERROR(SUMIF($Y$4:$AJ$4, "RDEC", Y748:AJ748), "")</f>
        <v>0</v>
      </c>
      <c r="AL748" s="286" t="n">
        <f aca="false">IFERROR(SUMIF($Y$4:$AJ$4, "SME", Y748:AJ748), "")</f>
        <v>0</v>
      </c>
      <c r="AM748" s="286" t="n">
        <f aca="false">IFERROR(SUMIF($Y$4:$AJ$4, "De Minimis", Y748:AJ748), "")</f>
        <v>0</v>
      </c>
      <c r="AN748" s="283"/>
      <c r="AO748" s="284" t="n">
        <f aca="false">IFERROR($G748*$J748*L748, "")</f>
        <v>0</v>
      </c>
      <c r="AP748" s="284" t="n">
        <f aca="false">IFERROR($G748*$J748*M748, "")</f>
        <v>0</v>
      </c>
      <c r="AQ748" s="284" t="n">
        <f aca="false">IFERROR($G748*$J748*N748, "")</f>
        <v>0</v>
      </c>
      <c r="AR748" s="284" t="n">
        <f aca="false">IFERROR($G748*$J748*O748, "")</f>
        <v>0</v>
      </c>
      <c r="AS748" s="284" t="n">
        <f aca="false">IFERROR($G748*$J748*P748, "")</f>
        <v>0</v>
      </c>
      <c r="AT748" s="284" t="n">
        <f aca="false">IFERROR($G748*$J748*Q748, "")</f>
        <v>0</v>
      </c>
      <c r="AU748" s="284" t="n">
        <f aca="false">IFERROR($G748*$J748*R748, "")</f>
        <v>0</v>
      </c>
      <c r="AV748" s="284" t="n">
        <f aca="false">IFERROR($G748*$J748*S748, "")</f>
        <v>0</v>
      </c>
      <c r="AW748" s="284" t="n">
        <f aca="false">IFERROR($G748*$J748*T748, "")</f>
        <v>0</v>
      </c>
      <c r="AX748" s="284" t="n">
        <f aca="false">IFERROR($G748*$J748*U748, "")</f>
        <v>0</v>
      </c>
      <c r="AY748" s="284" t="n">
        <f aca="false">IFERROR($G748*$J748*V748, "")</f>
        <v>0</v>
      </c>
      <c r="AZ748" s="284" t="n">
        <f aca="false">IFERROR($G748*$J748*W748, "")</f>
        <v>0</v>
      </c>
      <c r="BA748" s="286" t="n">
        <f aca="false">IFERROR(SUMIF($AO$4:$AZ$4, "RDEC", AO748:AZ748), "")</f>
        <v>0</v>
      </c>
      <c r="BB748" s="286" t="n">
        <f aca="false">IFERROR(SUMIF($AO$4:$AZ$4, "SME", AO748:AZ748), "")</f>
        <v>0</v>
      </c>
      <c r="BC748" s="286" t="n">
        <f aca="false">IFERROR(SUMIF($Y$4:$AJ$4, "De Minimis", AO748:AZ748), "")</f>
        <v>0</v>
      </c>
      <c r="BD748" s="287"/>
      <c r="BE748" s="288" t="str">
        <f aca="false">IF((SUM(L748:W748)&gt;1),"ERROR","")</f>
        <v/>
      </c>
    </row>
    <row r="749" customFormat="false" ht="15" hidden="false" customHeight="true" outlineLevel="0" collapsed="false">
      <c r="B749" s="333"/>
      <c r="C749" s="334"/>
      <c r="D749" s="333" t="n">
        <f aca="false">D733</f>
        <v>45413</v>
      </c>
      <c r="E749" s="277" t="n">
        <v>0</v>
      </c>
      <c r="F749" s="277" t="n">
        <v>0</v>
      </c>
      <c r="G749" s="277" t="n">
        <f aca="false">SUM(E749:F749)</f>
        <v>0</v>
      </c>
      <c r="H749" s="204"/>
      <c r="I749" s="279" t="n">
        <v>1</v>
      </c>
      <c r="J749" s="280" t="n">
        <f aca="false">1-I749</f>
        <v>0</v>
      </c>
      <c r="K749" s="277"/>
      <c r="L749" s="282"/>
      <c r="M749" s="282"/>
      <c r="N749" s="282"/>
      <c r="O749" s="282"/>
      <c r="P749" s="282"/>
      <c r="Q749" s="282"/>
      <c r="R749" s="282"/>
      <c r="S749" s="282"/>
      <c r="T749" s="282"/>
      <c r="U749" s="282"/>
      <c r="V749" s="282"/>
      <c r="W749" s="282"/>
      <c r="X749" s="283"/>
      <c r="Y749" s="284" t="n">
        <f aca="false">IFERROR(L749*$G749*I$9, "")</f>
        <v>0</v>
      </c>
      <c r="Z749" s="284" t="n">
        <f aca="false">IFERROR(M749*$G749*$I749, "")</f>
        <v>0</v>
      </c>
      <c r="AA749" s="284" t="n">
        <f aca="false">IFERROR(N749*$G749*$I749, "")</f>
        <v>0</v>
      </c>
      <c r="AB749" s="284" t="n">
        <f aca="false">IFERROR(O749*$G749*$I749, "")</f>
        <v>0</v>
      </c>
      <c r="AC749" s="284" t="n">
        <f aca="false">IFERROR(P749*$G749*$I749, "")</f>
        <v>0</v>
      </c>
      <c r="AD749" s="284" t="n">
        <f aca="false">IFERROR(Q749*$G749*$I749, "")</f>
        <v>0</v>
      </c>
      <c r="AE749" s="284" t="n">
        <f aca="false">IFERROR(R749*$G749*$I749, "")</f>
        <v>0</v>
      </c>
      <c r="AF749" s="284" t="n">
        <f aca="false">IFERROR(S749*$G749*$I749, "")</f>
        <v>0</v>
      </c>
      <c r="AG749" s="284" t="n">
        <f aca="false">IFERROR(T749*$G749*$I749, "")</f>
        <v>0</v>
      </c>
      <c r="AH749" s="284" t="n">
        <f aca="false">IFERROR(U749*$G749*$I749, "")</f>
        <v>0</v>
      </c>
      <c r="AI749" s="284" t="n">
        <f aca="false">IFERROR(V749*$G749*$I749, "")</f>
        <v>0</v>
      </c>
      <c r="AJ749" s="284" t="n">
        <f aca="false">IFERROR(W749*$G749*$I749, "")</f>
        <v>0</v>
      </c>
      <c r="AK749" s="286" t="n">
        <f aca="false">IFERROR(SUMIF($Y$4:$AJ$4, "RDEC", Y749:AJ749), "")</f>
        <v>0</v>
      </c>
      <c r="AL749" s="286" t="n">
        <f aca="false">IFERROR(SUMIF($Y$4:$AJ$4, "SME", Y749:AJ749), "")</f>
        <v>0</v>
      </c>
      <c r="AM749" s="286" t="n">
        <f aca="false">IFERROR(SUMIF($Y$4:$AJ$4, "De Minimis", Y749:AJ749), "")</f>
        <v>0</v>
      </c>
      <c r="AN749" s="283"/>
      <c r="AO749" s="284" t="n">
        <f aca="false">IFERROR($G749*$J749*L749, "")</f>
        <v>0</v>
      </c>
      <c r="AP749" s="284" t="n">
        <f aca="false">IFERROR($G749*$J749*M749, "")</f>
        <v>0</v>
      </c>
      <c r="AQ749" s="284" t="n">
        <f aca="false">IFERROR($G749*$J749*N749, "")</f>
        <v>0</v>
      </c>
      <c r="AR749" s="284" t="n">
        <f aca="false">IFERROR($G749*$J749*O749, "")</f>
        <v>0</v>
      </c>
      <c r="AS749" s="284" t="n">
        <f aca="false">IFERROR($G749*$J749*P749, "")</f>
        <v>0</v>
      </c>
      <c r="AT749" s="284" t="n">
        <f aca="false">IFERROR($G749*$J749*Q749, "")</f>
        <v>0</v>
      </c>
      <c r="AU749" s="284" t="n">
        <f aca="false">IFERROR($G749*$J749*R749, "")</f>
        <v>0</v>
      </c>
      <c r="AV749" s="284" t="n">
        <f aca="false">IFERROR($G749*$J749*S749, "")</f>
        <v>0</v>
      </c>
      <c r="AW749" s="284" t="n">
        <f aca="false">IFERROR($G749*$J749*T749, "")</f>
        <v>0</v>
      </c>
      <c r="AX749" s="284" t="n">
        <f aca="false">IFERROR($G749*$J749*U749, "")</f>
        <v>0</v>
      </c>
      <c r="AY749" s="284" t="n">
        <f aca="false">IFERROR($G749*$J749*V749, "")</f>
        <v>0</v>
      </c>
      <c r="AZ749" s="284" t="n">
        <f aca="false">IFERROR($G749*$J749*W749, "")</f>
        <v>0</v>
      </c>
      <c r="BA749" s="286" t="n">
        <f aca="false">IFERROR(SUMIF($AO$4:$AZ$4, "RDEC", AO749:AZ749), "")</f>
        <v>0</v>
      </c>
      <c r="BB749" s="286" t="n">
        <f aca="false">IFERROR(SUMIF($AO$4:$AZ$4, "SME", AO749:AZ749), "")</f>
        <v>0</v>
      </c>
      <c r="BC749" s="286" t="n">
        <f aca="false">IFERROR(SUMIF($Y$4:$AJ$4, "De Minimis", AO749:AZ749), "")</f>
        <v>0</v>
      </c>
      <c r="BD749" s="287"/>
      <c r="BE749" s="288" t="str">
        <f aca="false">IF((SUM(L749:W749)&gt;1),"ERROR","")</f>
        <v/>
      </c>
    </row>
    <row r="750" customFormat="false" ht="15" hidden="false" customHeight="true" outlineLevel="0" collapsed="false">
      <c r="B750" s="333"/>
      <c r="C750" s="334"/>
      <c r="D750" s="333" t="n">
        <f aca="false">D734</f>
        <v>45444</v>
      </c>
      <c r="E750" s="277" t="n">
        <v>0</v>
      </c>
      <c r="F750" s="277" t="n">
        <v>0</v>
      </c>
      <c r="G750" s="277" t="n">
        <f aca="false">SUM(E750:F750)</f>
        <v>0</v>
      </c>
      <c r="H750" s="204"/>
      <c r="I750" s="279" t="n">
        <v>1</v>
      </c>
      <c r="J750" s="280" t="n">
        <f aca="false">1-I750</f>
        <v>0</v>
      </c>
      <c r="K750" s="277"/>
      <c r="L750" s="282"/>
      <c r="M750" s="282"/>
      <c r="N750" s="282"/>
      <c r="O750" s="282"/>
      <c r="P750" s="282"/>
      <c r="Q750" s="282"/>
      <c r="R750" s="282"/>
      <c r="S750" s="282"/>
      <c r="T750" s="282"/>
      <c r="U750" s="282"/>
      <c r="V750" s="282"/>
      <c r="W750" s="282"/>
      <c r="X750" s="283"/>
      <c r="Y750" s="284" t="n">
        <f aca="false">IFERROR(L750*$G750*I$9, "")</f>
        <v>0</v>
      </c>
      <c r="Z750" s="284" t="n">
        <f aca="false">IFERROR(M750*$G750*$I750, "")</f>
        <v>0</v>
      </c>
      <c r="AA750" s="284" t="n">
        <f aca="false">IFERROR(N750*$G750*$I750, "")</f>
        <v>0</v>
      </c>
      <c r="AB750" s="284" t="n">
        <f aca="false">IFERROR(O750*$G750*$I750, "")</f>
        <v>0</v>
      </c>
      <c r="AC750" s="284" t="n">
        <f aca="false">IFERROR(P750*$G750*$I750, "")</f>
        <v>0</v>
      </c>
      <c r="AD750" s="284" t="n">
        <f aca="false">IFERROR(Q750*$G750*$I750, "")</f>
        <v>0</v>
      </c>
      <c r="AE750" s="284" t="n">
        <f aca="false">IFERROR(R750*$G750*$I750, "")</f>
        <v>0</v>
      </c>
      <c r="AF750" s="284" t="n">
        <f aca="false">IFERROR(S750*$G750*$I750, "")</f>
        <v>0</v>
      </c>
      <c r="AG750" s="284" t="n">
        <f aca="false">IFERROR(T750*$G750*$I750, "")</f>
        <v>0</v>
      </c>
      <c r="AH750" s="284" t="n">
        <f aca="false">IFERROR(U750*$G750*$I750, "")</f>
        <v>0</v>
      </c>
      <c r="AI750" s="284" t="n">
        <f aca="false">IFERROR(V750*$G750*$I750, "")</f>
        <v>0</v>
      </c>
      <c r="AJ750" s="284" t="n">
        <f aca="false">IFERROR(W750*$G750*$I750, "")</f>
        <v>0</v>
      </c>
      <c r="AK750" s="286" t="n">
        <f aca="false">IFERROR(SUMIF($Y$4:$AJ$4, "RDEC", Y750:AJ750), "")</f>
        <v>0</v>
      </c>
      <c r="AL750" s="286" t="n">
        <f aca="false">IFERROR(SUMIF($Y$4:$AJ$4, "SME", Y750:AJ750), "")</f>
        <v>0</v>
      </c>
      <c r="AM750" s="286" t="n">
        <f aca="false">IFERROR(SUMIF($Y$4:$AJ$4, "De Minimis", Y750:AJ750), "")</f>
        <v>0</v>
      </c>
      <c r="AN750" s="283"/>
      <c r="AO750" s="284" t="n">
        <f aca="false">IFERROR($G750*$J750*L750, "")</f>
        <v>0</v>
      </c>
      <c r="AP750" s="284" t="n">
        <f aca="false">IFERROR($G750*$J750*M750, "")</f>
        <v>0</v>
      </c>
      <c r="AQ750" s="284" t="n">
        <f aca="false">IFERROR($G750*$J750*N750, "")</f>
        <v>0</v>
      </c>
      <c r="AR750" s="284" t="n">
        <f aca="false">IFERROR($G750*$J750*O750, "")</f>
        <v>0</v>
      </c>
      <c r="AS750" s="284" t="n">
        <f aca="false">IFERROR($G750*$J750*P750, "")</f>
        <v>0</v>
      </c>
      <c r="AT750" s="284" t="n">
        <f aca="false">IFERROR($G750*$J750*Q750, "")</f>
        <v>0</v>
      </c>
      <c r="AU750" s="284" t="n">
        <f aca="false">IFERROR($G750*$J750*R750, "")</f>
        <v>0</v>
      </c>
      <c r="AV750" s="284" t="n">
        <f aca="false">IFERROR($G750*$J750*S750, "")</f>
        <v>0</v>
      </c>
      <c r="AW750" s="284" t="n">
        <f aca="false">IFERROR($G750*$J750*T750, "")</f>
        <v>0</v>
      </c>
      <c r="AX750" s="284" t="n">
        <f aca="false">IFERROR($G750*$J750*U750, "")</f>
        <v>0</v>
      </c>
      <c r="AY750" s="284" t="n">
        <f aca="false">IFERROR($G750*$J750*V750, "")</f>
        <v>0</v>
      </c>
      <c r="AZ750" s="284" t="n">
        <f aca="false">IFERROR($G750*$J750*W750, "")</f>
        <v>0</v>
      </c>
      <c r="BA750" s="286" t="n">
        <f aca="false">IFERROR(SUMIF($AO$4:$AZ$4, "RDEC", AO750:AZ750), "")</f>
        <v>0</v>
      </c>
      <c r="BB750" s="286" t="n">
        <f aca="false">IFERROR(SUMIF($AO$4:$AZ$4, "SME", AO750:AZ750), "")</f>
        <v>0</v>
      </c>
      <c r="BC750" s="286" t="n">
        <f aca="false">IFERROR(SUMIF($Y$4:$AJ$4, "De Minimis", AO750:AZ750), "")</f>
        <v>0</v>
      </c>
      <c r="BD750" s="287"/>
      <c r="BE750" s="288" t="str">
        <f aca="false">IF((SUM(L750:W750)&gt;1),"ERROR","")</f>
        <v/>
      </c>
    </row>
    <row r="751" customFormat="false" ht="15" hidden="false" customHeight="true" outlineLevel="0" collapsed="false">
      <c r="B751" s="333"/>
      <c r="C751" s="334"/>
      <c r="D751" s="333" t="n">
        <f aca="false">D735</f>
        <v>45474</v>
      </c>
      <c r="E751" s="277" t="n">
        <v>0</v>
      </c>
      <c r="F751" s="277" t="n">
        <v>0</v>
      </c>
      <c r="G751" s="277" t="n">
        <f aca="false">SUM(E751:F751)</f>
        <v>0</v>
      </c>
      <c r="H751" s="204"/>
      <c r="I751" s="279" t="n">
        <v>1</v>
      </c>
      <c r="J751" s="280" t="n">
        <f aca="false">1-I751</f>
        <v>0</v>
      </c>
      <c r="K751" s="277"/>
      <c r="L751" s="282"/>
      <c r="M751" s="282"/>
      <c r="N751" s="282"/>
      <c r="O751" s="282"/>
      <c r="P751" s="282"/>
      <c r="Q751" s="282"/>
      <c r="R751" s="282"/>
      <c r="S751" s="282"/>
      <c r="T751" s="282"/>
      <c r="U751" s="282"/>
      <c r="V751" s="282"/>
      <c r="W751" s="282"/>
      <c r="X751" s="283"/>
      <c r="Y751" s="284" t="n">
        <f aca="false">IFERROR(L751*$G751*I$9, "")</f>
        <v>0</v>
      </c>
      <c r="Z751" s="284" t="n">
        <f aca="false">IFERROR(M751*$G751*$I751, "")</f>
        <v>0</v>
      </c>
      <c r="AA751" s="284" t="n">
        <f aca="false">IFERROR(N751*$G751*$I751, "")</f>
        <v>0</v>
      </c>
      <c r="AB751" s="284" t="n">
        <f aca="false">IFERROR(O751*$G751*$I751, "")</f>
        <v>0</v>
      </c>
      <c r="AC751" s="284" t="n">
        <f aca="false">IFERROR(P751*$G751*$I751, "")</f>
        <v>0</v>
      </c>
      <c r="AD751" s="284" t="n">
        <f aca="false">IFERROR(Q751*$G751*$I751, "")</f>
        <v>0</v>
      </c>
      <c r="AE751" s="284" t="n">
        <f aca="false">IFERROR(R751*$G751*$I751, "")</f>
        <v>0</v>
      </c>
      <c r="AF751" s="284" t="n">
        <f aca="false">IFERROR(S751*$G751*$I751, "")</f>
        <v>0</v>
      </c>
      <c r="AG751" s="284" t="n">
        <f aca="false">IFERROR(T751*$G751*$I751, "")</f>
        <v>0</v>
      </c>
      <c r="AH751" s="284" t="n">
        <f aca="false">IFERROR(U751*$G751*$I751, "")</f>
        <v>0</v>
      </c>
      <c r="AI751" s="284" t="n">
        <f aca="false">IFERROR(V751*$G751*$I751, "")</f>
        <v>0</v>
      </c>
      <c r="AJ751" s="284" t="n">
        <f aca="false">IFERROR(W751*$G751*$I751, "")</f>
        <v>0</v>
      </c>
      <c r="AK751" s="286" t="n">
        <f aca="false">IFERROR(SUMIF($Y$4:$AJ$4, "RDEC", Y751:AJ751), "")</f>
        <v>0</v>
      </c>
      <c r="AL751" s="286" t="n">
        <f aca="false">IFERROR(SUMIF($Y$4:$AJ$4, "SME", Y751:AJ751), "")</f>
        <v>0</v>
      </c>
      <c r="AM751" s="286" t="n">
        <f aca="false">IFERROR(SUMIF($Y$4:$AJ$4, "De Minimis", Y751:AJ751), "")</f>
        <v>0</v>
      </c>
      <c r="AN751" s="283"/>
      <c r="AO751" s="284" t="n">
        <f aca="false">IFERROR($G751*$J751*L751, "")</f>
        <v>0</v>
      </c>
      <c r="AP751" s="284" t="n">
        <f aca="false">IFERROR($G751*$J751*M751, "")</f>
        <v>0</v>
      </c>
      <c r="AQ751" s="284" t="n">
        <f aca="false">IFERROR($G751*$J751*N751, "")</f>
        <v>0</v>
      </c>
      <c r="AR751" s="284" t="n">
        <f aca="false">IFERROR($G751*$J751*O751, "")</f>
        <v>0</v>
      </c>
      <c r="AS751" s="284" t="n">
        <f aca="false">IFERROR($G751*$J751*P751, "")</f>
        <v>0</v>
      </c>
      <c r="AT751" s="284" t="n">
        <f aca="false">IFERROR($G751*$J751*Q751, "")</f>
        <v>0</v>
      </c>
      <c r="AU751" s="284" t="n">
        <f aca="false">IFERROR($G751*$J751*R751, "")</f>
        <v>0</v>
      </c>
      <c r="AV751" s="284" t="n">
        <f aca="false">IFERROR($G751*$J751*S751, "")</f>
        <v>0</v>
      </c>
      <c r="AW751" s="284" t="n">
        <f aca="false">IFERROR($G751*$J751*T751, "")</f>
        <v>0</v>
      </c>
      <c r="AX751" s="284" t="n">
        <f aca="false">IFERROR($G751*$J751*U751, "")</f>
        <v>0</v>
      </c>
      <c r="AY751" s="284" t="n">
        <f aca="false">IFERROR($G751*$J751*V751, "")</f>
        <v>0</v>
      </c>
      <c r="AZ751" s="284" t="n">
        <f aca="false">IFERROR($G751*$J751*W751, "")</f>
        <v>0</v>
      </c>
      <c r="BA751" s="286" t="n">
        <f aca="false">IFERROR(SUMIF($AO$4:$AZ$4, "RDEC", AO751:AZ751), "")</f>
        <v>0</v>
      </c>
      <c r="BB751" s="286" t="n">
        <f aca="false">IFERROR(SUMIF($AO$4:$AZ$4, "SME", AO751:AZ751), "")</f>
        <v>0</v>
      </c>
      <c r="BC751" s="286" t="n">
        <f aca="false">IFERROR(SUMIF($Y$4:$AJ$4, "De Minimis", AO751:AZ751), "")</f>
        <v>0</v>
      </c>
      <c r="BD751" s="287"/>
      <c r="BE751" s="288" t="str">
        <f aca="false">IF((SUM(L751:W751)&gt;1),"ERROR","")</f>
        <v/>
      </c>
    </row>
    <row r="752" customFormat="false" ht="15" hidden="false" customHeight="true" outlineLevel="0" collapsed="false">
      <c r="B752" s="333"/>
      <c r="C752" s="334"/>
      <c r="D752" s="333" t="n">
        <f aca="false">D736</f>
        <v>45505</v>
      </c>
      <c r="E752" s="277" t="n">
        <v>0</v>
      </c>
      <c r="F752" s="277" t="n">
        <v>0</v>
      </c>
      <c r="G752" s="277" t="n">
        <f aca="false">SUM(E752:F752)</f>
        <v>0</v>
      </c>
      <c r="H752" s="204"/>
      <c r="I752" s="279" t="n">
        <v>1</v>
      </c>
      <c r="J752" s="280" t="n">
        <f aca="false">1-I752</f>
        <v>0</v>
      </c>
      <c r="K752" s="277"/>
      <c r="L752" s="282"/>
      <c r="M752" s="282"/>
      <c r="N752" s="282"/>
      <c r="O752" s="282"/>
      <c r="P752" s="282"/>
      <c r="Q752" s="282"/>
      <c r="R752" s="282"/>
      <c r="S752" s="282"/>
      <c r="T752" s="282"/>
      <c r="U752" s="282"/>
      <c r="V752" s="282"/>
      <c r="W752" s="282"/>
      <c r="X752" s="283"/>
      <c r="Y752" s="284" t="n">
        <f aca="false">IFERROR(L752*$G752*I$9, "")</f>
        <v>0</v>
      </c>
      <c r="Z752" s="284" t="n">
        <f aca="false">IFERROR(M752*$G752*$I752, "")</f>
        <v>0</v>
      </c>
      <c r="AA752" s="284" t="n">
        <f aca="false">IFERROR(N752*$G752*$I752, "")</f>
        <v>0</v>
      </c>
      <c r="AB752" s="284" t="n">
        <f aca="false">IFERROR(O752*$G752*$I752, "")</f>
        <v>0</v>
      </c>
      <c r="AC752" s="284" t="n">
        <f aca="false">IFERROR(P752*$G752*$I752, "")</f>
        <v>0</v>
      </c>
      <c r="AD752" s="284" t="n">
        <f aca="false">IFERROR(Q752*$G752*$I752, "")</f>
        <v>0</v>
      </c>
      <c r="AE752" s="284" t="n">
        <f aca="false">IFERROR(R752*$G752*$I752, "")</f>
        <v>0</v>
      </c>
      <c r="AF752" s="284" t="n">
        <f aca="false">IFERROR(S752*$G752*$I752, "")</f>
        <v>0</v>
      </c>
      <c r="AG752" s="284" t="n">
        <f aca="false">IFERROR(T752*$G752*$I752, "")</f>
        <v>0</v>
      </c>
      <c r="AH752" s="284" t="n">
        <f aca="false">IFERROR(U752*$G752*$I752, "")</f>
        <v>0</v>
      </c>
      <c r="AI752" s="284" t="n">
        <f aca="false">IFERROR(V752*$G752*$I752, "")</f>
        <v>0</v>
      </c>
      <c r="AJ752" s="284" t="n">
        <f aca="false">IFERROR(W752*$G752*$I752, "")</f>
        <v>0</v>
      </c>
      <c r="AK752" s="286" t="n">
        <f aca="false">IFERROR(SUMIF($Y$4:$AJ$4, "RDEC", Y752:AJ752), "")</f>
        <v>0</v>
      </c>
      <c r="AL752" s="286" t="n">
        <f aca="false">IFERROR(SUMIF($Y$4:$AJ$4, "SME", Y752:AJ752), "")</f>
        <v>0</v>
      </c>
      <c r="AM752" s="286" t="n">
        <f aca="false">IFERROR(SUMIF($Y$4:$AJ$4, "De Minimis", Y752:AJ752), "")</f>
        <v>0</v>
      </c>
      <c r="AN752" s="283"/>
      <c r="AO752" s="284" t="n">
        <f aca="false">IFERROR($G752*$J752*L752, "")</f>
        <v>0</v>
      </c>
      <c r="AP752" s="284" t="n">
        <f aca="false">IFERROR($G752*$J752*M752, "")</f>
        <v>0</v>
      </c>
      <c r="AQ752" s="284" t="n">
        <f aca="false">IFERROR($G752*$J752*N752, "")</f>
        <v>0</v>
      </c>
      <c r="AR752" s="284" t="n">
        <f aca="false">IFERROR($G752*$J752*O752, "")</f>
        <v>0</v>
      </c>
      <c r="AS752" s="284" t="n">
        <f aca="false">IFERROR($G752*$J752*P752, "")</f>
        <v>0</v>
      </c>
      <c r="AT752" s="284" t="n">
        <f aca="false">IFERROR($G752*$J752*Q752, "")</f>
        <v>0</v>
      </c>
      <c r="AU752" s="284" t="n">
        <f aca="false">IFERROR($G752*$J752*R752, "")</f>
        <v>0</v>
      </c>
      <c r="AV752" s="284" t="n">
        <f aca="false">IFERROR($G752*$J752*S752, "")</f>
        <v>0</v>
      </c>
      <c r="AW752" s="284" t="n">
        <f aca="false">IFERROR($G752*$J752*T752, "")</f>
        <v>0</v>
      </c>
      <c r="AX752" s="284" t="n">
        <f aca="false">IFERROR($G752*$J752*U752, "")</f>
        <v>0</v>
      </c>
      <c r="AY752" s="284" t="n">
        <f aca="false">IFERROR($G752*$J752*V752, "")</f>
        <v>0</v>
      </c>
      <c r="AZ752" s="284" t="n">
        <f aca="false">IFERROR($G752*$J752*W752, "")</f>
        <v>0</v>
      </c>
      <c r="BA752" s="286" t="n">
        <f aca="false">IFERROR(SUMIF($AO$4:$AZ$4, "RDEC", AO752:AZ752), "")</f>
        <v>0</v>
      </c>
      <c r="BB752" s="286" t="n">
        <f aca="false">IFERROR(SUMIF($AO$4:$AZ$4, "SME", AO752:AZ752), "")</f>
        <v>0</v>
      </c>
      <c r="BC752" s="286" t="n">
        <f aca="false">IFERROR(SUMIF($Y$4:$AJ$4, "De Minimis", AO752:AZ752), "")</f>
        <v>0</v>
      </c>
      <c r="BD752" s="287"/>
      <c r="BE752" s="288" t="str">
        <f aca="false">IF((SUM(L752:W752)&gt;1),"ERROR","")</f>
        <v/>
      </c>
    </row>
    <row r="753" customFormat="false" ht="15" hidden="false" customHeight="true" outlineLevel="0" collapsed="false">
      <c r="B753" s="333"/>
      <c r="C753" s="334"/>
      <c r="D753" s="333" t="n">
        <f aca="false">D737</f>
        <v>45536</v>
      </c>
      <c r="E753" s="277" t="n">
        <v>0</v>
      </c>
      <c r="F753" s="277" t="n">
        <v>0</v>
      </c>
      <c r="G753" s="277" t="n">
        <f aca="false">SUM(E753:F753)</f>
        <v>0</v>
      </c>
      <c r="H753" s="204"/>
      <c r="I753" s="279" t="n">
        <v>1</v>
      </c>
      <c r="J753" s="280" t="n">
        <f aca="false">1-I753</f>
        <v>0</v>
      </c>
      <c r="K753" s="277"/>
      <c r="L753" s="282"/>
      <c r="M753" s="282"/>
      <c r="N753" s="282"/>
      <c r="O753" s="282"/>
      <c r="P753" s="282"/>
      <c r="Q753" s="282"/>
      <c r="R753" s="282"/>
      <c r="S753" s="282"/>
      <c r="T753" s="282"/>
      <c r="U753" s="282"/>
      <c r="V753" s="282"/>
      <c r="W753" s="282"/>
      <c r="X753" s="283"/>
      <c r="Y753" s="284" t="n">
        <f aca="false">IFERROR(L753*$G753*I$9, "")</f>
        <v>0</v>
      </c>
      <c r="Z753" s="284" t="n">
        <f aca="false">IFERROR(M753*$G753*$I753, "")</f>
        <v>0</v>
      </c>
      <c r="AA753" s="284" t="n">
        <f aca="false">IFERROR(N753*$G753*$I753, "")</f>
        <v>0</v>
      </c>
      <c r="AB753" s="284" t="n">
        <f aca="false">IFERROR(O753*$G753*$I753, "")</f>
        <v>0</v>
      </c>
      <c r="AC753" s="284" t="n">
        <f aca="false">IFERROR(P753*$G753*$I753, "")</f>
        <v>0</v>
      </c>
      <c r="AD753" s="284" t="n">
        <f aca="false">IFERROR(Q753*$G753*$I753, "")</f>
        <v>0</v>
      </c>
      <c r="AE753" s="284" t="n">
        <f aca="false">IFERROR(R753*$G753*$I753, "")</f>
        <v>0</v>
      </c>
      <c r="AF753" s="284" t="n">
        <f aca="false">IFERROR(S753*$G753*$I753, "")</f>
        <v>0</v>
      </c>
      <c r="AG753" s="284" t="n">
        <f aca="false">IFERROR(T753*$G753*$I753, "")</f>
        <v>0</v>
      </c>
      <c r="AH753" s="284" t="n">
        <f aca="false">IFERROR(U753*$G753*$I753, "")</f>
        <v>0</v>
      </c>
      <c r="AI753" s="284" t="n">
        <f aca="false">IFERROR(V753*$G753*$I753, "")</f>
        <v>0</v>
      </c>
      <c r="AJ753" s="284" t="n">
        <f aca="false">IFERROR(W753*$G753*$I753, "")</f>
        <v>0</v>
      </c>
      <c r="AK753" s="286" t="n">
        <f aca="false">IFERROR(SUMIF($Y$4:$AJ$4, "RDEC", Y753:AJ753), "")</f>
        <v>0</v>
      </c>
      <c r="AL753" s="286" t="n">
        <f aca="false">IFERROR(SUMIF($Y$4:$AJ$4, "SME", Y753:AJ753), "")</f>
        <v>0</v>
      </c>
      <c r="AM753" s="286" t="n">
        <f aca="false">IFERROR(SUMIF($Y$4:$AJ$4, "De Minimis", Y753:AJ753), "")</f>
        <v>0</v>
      </c>
      <c r="AN753" s="283"/>
      <c r="AO753" s="284" t="n">
        <f aca="false">IFERROR($G753*$J753*L753, "")</f>
        <v>0</v>
      </c>
      <c r="AP753" s="284" t="n">
        <f aca="false">IFERROR($G753*$J753*M753, "")</f>
        <v>0</v>
      </c>
      <c r="AQ753" s="284" t="n">
        <f aca="false">IFERROR($G753*$J753*N753, "")</f>
        <v>0</v>
      </c>
      <c r="AR753" s="284" t="n">
        <f aca="false">IFERROR($G753*$J753*O753, "")</f>
        <v>0</v>
      </c>
      <c r="AS753" s="284" t="n">
        <f aca="false">IFERROR($G753*$J753*P753, "")</f>
        <v>0</v>
      </c>
      <c r="AT753" s="284" t="n">
        <f aca="false">IFERROR($G753*$J753*Q753, "")</f>
        <v>0</v>
      </c>
      <c r="AU753" s="284" t="n">
        <f aca="false">IFERROR($G753*$J753*R753, "")</f>
        <v>0</v>
      </c>
      <c r="AV753" s="284" t="n">
        <f aca="false">IFERROR($G753*$J753*S753, "")</f>
        <v>0</v>
      </c>
      <c r="AW753" s="284" t="n">
        <f aca="false">IFERROR($G753*$J753*T753, "")</f>
        <v>0</v>
      </c>
      <c r="AX753" s="284" t="n">
        <f aca="false">IFERROR($G753*$J753*U753, "")</f>
        <v>0</v>
      </c>
      <c r="AY753" s="284" t="n">
        <f aca="false">IFERROR($G753*$J753*V753, "")</f>
        <v>0</v>
      </c>
      <c r="AZ753" s="284" t="n">
        <f aca="false">IFERROR($G753*$J753*W753, "")</f>
        <v>0</v>
      </c>
      <c r="BA753" s="286" t="n">
        <f aca="false">IFERROR(SUMIF($AO$4:$AZ$4, "RDEC", AO753:AZ753), "")</f>
        <v>0</v>
      </c>
      <c r="BB753" s="286" t="n">
        <f aca="false">IFERROR(SUMIF($AO$4:$AZ$4, "SME", AO753:AZ753), "")</f>
        <v>0</v>
      </c>
      <c r="BC753" s="286" t="n">
        <f aca="false">IFERROR(SUMIF($Y$4:$AJ$4, "De Minimis", AO753:AZ753), "")</f>
        <v>0</v>
      </c>
      <c r="BD753" s="287"/>
      <c r="BE753" s="288" t="str">
        <f aca="false">IF((SUM(L753:W753)&gt;1),"ERROR","")</f>
        <v/>
      </c>
    </row>
    <row r="754" customFormat="false" ht="15" hidden="false" customHeight="true" outlineLevel="0" collapsed="false">
      <c r="B754" s="333"/>
      <c r="C754" s="334"/>
      <c r="D754" s="333" t="n">
        <f aca="false">D738</f>
        <v>45566</v>
      </c>
      <c r="E754" s="277" t="n">
        <v>0</v>
      </c>
      <c r="F754" s="277" t="n">
        <v>0</v>
      </c>
      <c r="G754" s="277" t="n">
        <f aca="false">SUM(E754:F754)</f>
        <v>0</v>
      </c>
      <c r="H754" s="204"/>
      <c r="I754" s="279" t="n">
        <v>1</v>
      </c>
      <c r="J754" s="280" t="n">
        <f aca="false">1-I754</f>
        <v>0</v>
      </c>
      <c r="K754" s="277"/>
      <c r="L754" s="282"/>
      <c r="M754" s="282"/>
      <c r="N754" s="282"/>
      <c r="O754" s="282"/>
      <c r="P754" s="282"/>
      <c r="Q754" s="282"/>
      <c r="R754" s="282"/>
      <c r="S754" s="282"/>
      <c r="T754" s="282"/>
      <c r="U754" s="282"/>
      <c r="V754" s="282"/>
      <c r="W754" s="282"/>
      <c r="X754" s="283"/>
      <c r="Y754" s="284" t="n">
        <f aca="false">IFERROR(L754*$G754*I$9, "")</f>
        <v>0</v>
      </c>
      <c r="Z754" s="284" t="n">
        <f aca="false">IFERROR(M754*$G754*$I754, "")</f>
        <v>0</v>
      </c>
      <c r="AA754" s="284" t="n">
        <f aca="false">IFERROR(N754*$G754*$I754, "")</f>
        <v>0</v>
      </c>
      <c r="AB754" s="284" t="n">
        <f aca="false">IFERROR(O754*$G754*$I754, "")</f>
        <v>0</v>
      </c>
      <c r="AC754" s="284" t="n">
        <f aca="false">IFERROR(P754*$G754*$I754, "")</f>
        <v>0</v>
      </c>
      <c r="AD754" s="284" t="n">
        <f aca="false">IFERROR(Q754*$G754*$I754, "")</f>
        <v>0</v>
      </c>
      <c r="AE754" s="284" t="n">
        <f aca="false">IFERROR(R754*$G754*$I754, "")</f>
        <v>0</v>
      </c>
      <c r="AF754" s="284" t="n">
        <f aca="false">IFERROR(S754*$G754*$I754, "")</f>
        <v>0</v>
      </c>
      <c r="AG754" s="284" t="n">
        <f aca="false">IFERROR(T754*$G754*$I754, "")</f>
        <v>0</v>
      </c>
      <c r="AH754" s="284" t="n">
        <f aca="false">IFERROR(U754*$G754*$I754, "")</f>
        <v>0</v>
      </c>
      <c r="AI754" s="284" t="n">
        <f aca="false">IFERROR(V754*$G754*$I754, "")</f>
        <v>0</v>
      </c>
      <c r="AJ754" s="284" t="n">
        <f aca="false">IFERROR(W754*$G754*$I754, "")</f>
        <v>0</v>
      </c>
      <c r="AK754" s="286" t="n">
        <f aca="false">IFERROR(SUMIF($Y$4:$AJ$4, "RDEC", Y754:AJ754), "")</f>
        <v>0</v>
      </c>
      <c r="AL754" s="286" t="n">
        <f aca="false">IFERROR(SUMIF($Y$4:$AJ$4, "SME", Y754:AJ754), "")</f>
        <v>0</v>
      </c>
      <c r="AM754" s="286" t="n">
        <f aca="false">IFERROR(SUMIF($Y$4:$AJ$4, "De Minimis", Y754:AJ754), "")</f>
        <v>0</v>
      </c>
      <c r="AN754" s="283"/>
      <c r="AO754" s="284" t="n">
        <f aca="false">IFERROR($G754*$J754*L754, "")</f>
        <v>0</v>
      </c>
      <c r="AP754" s="284" t="n">
        <f aca="false">IFERROR($G754*$J754*M754, "")</f>
        <v>0</v>
      </c>
      <c r="AQ754" s="284" t="n">
        <f aca="false">IFERROR($G754*$J754*N754, "")</f>
        <v>0</v>
      </c>
      <c r="AR754" s="284" t="n">
        <f aca="false">IFERROR($G754*$J754*O754, "")</f>
        <v>0</v>
      </c>
      <c r="AS754" s="284" t="n">
        <f aca="false">IFERROR($G754*$J754*P754, "")</f>
        <v>0</v>
      </c>
      <c r="AT754" s="284" t="n">
        <f aca="false">IFERROR($G754*$J754*Q754, "")</f>
        <v>0</v>
      </c>
      <c r="AU754" s="284" t="n">
        <f aca="false">IFERROR($G754*$J754*R754, "")</f>
        <v>0</v>
      </c>
      <c r="AV754" s="284" t="n">
        <f aca="false">IFERROR($G754*$J754*S754, "")</f>
        <v>0</v>
      </c>
      <c r="AW754" s="284" t="n">
        <f aca="false">IFERROR($G754*$J754*T754, "")</f>
        <v>0</v>
      </c>
      <c r="AX754" s="284" t="n">
        <f aca="false">IFERROR($G754*$J754*U754, "")</f>
        <v>0</v>
      </c>
      <c r="AY754" s="284" t="n">
        <f aca="false">IFERROR($G754*$J754*V754, "")</f>
        <v>0</v>
      </c>
      <c r="AZ754" s="284" t="n">
        <f aca="false">IFERROR($G754*$J754*W754, "")</f>
        <v>0</v>
      </c>
      <c r="BA754" s="286" t="n">
        <f aca="false">IFERROR(SUMIF($AO$4:$AZ$4, "RDEC", AO754:AZ754), "")</f>
        <v>0</v>
      </c>
      <c r="BB754" s="286" t="n">
        <f aca="false">IFERROR(SUMIF($AO$4:$AZ$4, "SME", AO754:AZ754), "")</f>
        <v>0</v>
      </c>
      <c r="BC754" s="286" t="n">
        <f aca="false">IFERROR(SUMIF($Y$4:$AJ$4, "De Minimis", AO754:AZ754), "")</f>
        <v>0</v>
      </c>
      <c r="BD754" s="287"/>
      <c r="BE754" s="288" t="str">
        <f aca="false">IF((SUM(L754:W754)&gt;1),"ERROR","")</f>
        <v/>
      </c>
    </row>
    <row r="755" customFormat="false" ht="15" hidden="false" customHeight="true" outlineLevel="0" collapsed="false">
      <c r="B755" s="333"/>
      <c r="C755" s="334"/>
      <c r="D755" s="333" t="n">
        <f aca="false">D739</f>
        <v>45597</v>
      </c>
      <c r="E755" s="277" t="n">
        <v>0</v>
      </c>
      <c r="F755" s="277" t="n">
        <v>0</v>
      </c>
      <c r="G755" s="277" t="n">
        <f aca="false">SUM(E755:F755)</f>
        <v>0</v>
      </c>
      <c r="H755" s="204"/>
      <c r="I755" s="279" t="n">
        <v>1</v>
      </c>
      <c r="J755" s="280" t="n">
        <f aca="false">1-I755</f>
        <v>0</v>
      </c>
      <c r="K755" s="277"/>
      <c r="L755" s="282"/>
      <c r="M755" s="282"/>
      <c r="N755" s="282"/>
      <c r="O755" s="282"/>
      <c r="P755" s="282"/>
      <c r="Q755" s="282"/>
      <c r="R755" s="282"/>
      <c r="S755" s="282"/>
      <c r="T755" s="282"/>
      <c r="U755" s="282"/>
      <c r="V755" s="282"/>
      <c r="W755" s="282"/>
      <c r="X755" s="283"/>
      <c r="Y755" s="284" t="n">
        <f aca="false">IFERROR(L755*$G755*I$9, "")</f>
        <v>0</v>
      </c>
      <c r="Z755" s="284" t="n">
        <f aca="false">IFERROR(M755*$G755*$I755, "")</f>
        <v>0</v>
      </c>
      <c r="AA755" s="284" t="n">
        <f aca="false">IFERROR(N755*$G755*$I755, "")</f>
        <v>0</v>
      </c>
      <c r="AB755" s="284" t="n">
        <f aca="false">IFERROR(O755*$G755*$I755, "")</f>
        <v>0</v>
      </c>
      <c r="AC755" s="284" t="n">
        <f aca="false">IFERROR(P755*$G755*$I755, "")</f>
        <v>0</v>
      </c>
      <c r="AD755" s="284" t="n">
        <f aca="false">IFERROR(Q755*$G755*$I755, "")</f>
        <v>0</v>
      </c>
      <c r="AE755" s="284" t="n">
        <f aca="false">IFERROR(R755*$G755*$I755, "")</f>
        <v>0</v>
      </c>
      <c r="AF755" s="284" t="n">
        <f aca="false">IFERROR(S755*$G755*$I755, "")</f>
        <v>0</v>
      </c>
      <c r="AG755" s="284" t="n">
        <f aca="false">IFERROR(T755*$G755*$I755, "")</f>
        <v>0</v>
      </c>
      <c r="AH755" s="284" t="n">
        <f aca="false">IFERROR(U755*$G755*$I755, "")</f>
        <v>0</v>
      </c>
      <c r="AI755" s="284" t="n">
        <f aca="false">IFERROR(V755*$G755*$I755, "")</f>
        <v>0</v>
      </c>
      <c r="AJ755" s="284" t="n">
        <f aca="false">IFERROR(W755*$G755*$I755, "")</f>
        <v>0</v>
      </c>
      <c r="AK755" s="286" t="n">
        <f aca="false">IFERROR(SUMIF($Y$4:$AJ$4, "RDEC", Y755:AJ755), "")</f>
        <v>0</v>
      </c>
      <c r="AL755" s="286" t="n">
        <f aca="false">IFERROR(SUMIF($Y$4:$AJ$4, "SME", Y755:AJ755), "")</f>
        <v>0</v>
      </c>
      <c r="AM755" s="286" t="n">
        <f aca="false">IFERROR(SUMIF($Y$4:$AJ$4, "De Minimis", Y755:AJ755), "")</f>
        <v>0</v>
      </c>
      <c r="AN755" s="283"/>
      <c r="AO755" s="284" t="n">
        <f aca="false">IFERROR($G755*$J755*L755, "")</f>
        <v>0</v>
      </c>
      <c r="AP755" s="284" t="n">
        <f aca="false">IFERROR($G755*$J755*M755, "")</f>
        <v>0</v>
      </c>
      <c r="AQ755" s="284" t="n">
        <f aca="false">IFERROR($G755*$J755*N755, "")</f>
        <v>0</v>
      </c>
      <c r="AR755" s="284" t="n">
        <f aca="false">IFERROR($G755*$J755*O755, "")</f>
        <v>0</v>
      </c>
      <c r="AS755" s="284" t="n">
        <f aca="false">IFERROR($G755*$J755*P755, "")</f>
        <v>0</v>
      </c>
      <c r="AT755" s="284" t="n">
        <f aca="false">IFERROR($G755*$J755*Q755, "")</f>
        <v>0</v>
      </c>
      <c r="AU755" s="284" t="n">
        <f aca="false">IFERROR($G755*$J755*R755, "")</f>
        <v>0</v>
      </c>
      <c r="AV755" s="284" t="n">
        <f aca="false">IFERROR($G755*$J755*S755, "")</f>
        <v>0</v>
      </c>
      <c r="AW755" s="284" t="n">
        <f aca="false">IFERROR($G755*$J755*T755, "")</f>
        <v>0</v>
      </c>
      <c r="AX755" s="284" t="n">
        <f aca="false">IFERROR($G755*$J755*U755, "")</f>
        <v>0</v>
      </c>
      <c r="AY755" s="284" t="n">
        <f aca="false">IFERROR($G755*$J755*V755, "")</f>
        <v>0</v>
      </c>
      <c r="AZ755" s="284" t="n">
        <f aca="false">IFERROR($G755*$J755*W755, "")</f>
        <v>0</v>
      </c>
      <c r="BA755" s="286" t="n">
        <f aca="false">IFERROR(SUMIF($AO$4:$AZ$4, "RDEC", AO755:AZ755), "")</f>
        <v>0</v>
      </c>
      <c r="BB755" s="286" t="n">
        <f aca="false">IFERROR(SUMIF($AO$4:$AZ$4, "SME", AO755:AZ755), "")</f>
        <v>0</v>
      </c>
      <c r="BC755" s="286" t="n">
        <f aca="false">IFERROR(SUMIF($Y$4:$AJ$4, "De Minimis", AO755:AZ755), "")</f>
        <v>0</v>
      </c>
      <c r="BD755" s="287"/>
      <c r="BE755" s="288" t="str">
        <f aca="false">IF((SUM(L755:W755)&gt;1),"ERROR","")</f>
        <v/>
      </c>
    </row>
    <row r="756" customFormat="false" ht="15" hidden="false" customHeight="true" outlineLevel="0" collapsed="false">
      <c r="B756" s="333"/>
      <c r="C756" s="334"/>
      <c r="D756" s="333" t="n">
        <f aca="false">D740</f>
        <v>45627</v>
      </c>
      <c r="E756" s="277" t="n">
        <v>0</v>
      </c>
      <c r="F756" s="277" t="n">
        <v>0</v>
      </c>
      <c r="G756" s="277" t="n">
        <f aca="false">SUM(E756:F756)</f>
        <v>0</v>
      </c>
      <c r="H756" s="300"/>
      <c r="I756" s="289" t="n">
        <v>1</v>
      </c>
      <c r="J756" s="290" t="n">
        <f aca="false">1-I756</f>
        <v>0</v>
      </c>
      <c r="K756" s="300"/>
      <c r="L756" s="291"/>
      <c r="M756" s="291"/>
      <c r="N756" s="291"/>
      <c r="O756" s="291"/>
      <c r="P756" s="291"/>
      <c r="Q756" s="291"/>
      <c r="R756" s="291"/>
      <c r="S756" s="291"/>
      <c r="T756" s="291"/>
      <c r="U756" s="291"/>
      <c r="V756" s="291"/>
      <c r="W756" s="291"/>
      <c r="X756" s="283"/>
      <c r="Y756" s="284" t="n">
        <f aca="false">IFERROR(L756*$G756*I$9, "")</f>
        <v>0</v>
      </c>
      <c r="Z756" s="284" t="n">
        <f aca="false">IFERROR(M756*$G756*$I756, "")</f>
        <v>0</v>
      </c>
      <c r="AA756" s="284" t="n">
        <f aca="false">IFERROR(N756*$G756*$I756, "")</f>
        <v>0</v>
      </c>
      <c r="AB756" s="284" t="n">
        <f aca="false">IFERROR(O756*$G756*$I756, "")</f>
        <v>0</v>
      </c>
      <c r="AC756" s="284" t="n">
        <f aca="false">IFERROR(P756*$G756*$I756, "")</f>
        <v>0</v>
      </c>
      <c r="AD756" s="284" t="n">
        <f aca="false">IFERROR(Q756*$G756*$I756, "")</f>
        <v>0</v>
      </c>
      <c r="AE756" s="284" t="n">
        <f aca="false">IFERROR(R756*$G756*$I756, "")</f>
        <v>0</v>
      </c>
      <c r="AF756" s="284" t="n">
        <f aca="false">IFERROR(S756*$G756*$I756, "")</f>
        <v>0</v>
      </c>
      <c r="AG756" s="284" t="n">
        <f aca="false">IFERROR(T756*$G756*$I756, "")</f>
        <v>0</v>
      </c>
      <c r="AH756" s="284" t="n">
        <f aca="false">IFERROR(U756*$G756*$I756, "")</f>
        <v>0</v>
      </c>
      <c r="AI756" s="284" t="n">
        <f aca="false">IFERROR(V756*$G756*$I756, "")</f>
        <v>0</v>
      </c>
      <c r="AJ756" s="284" t="n">
        <f aca="false">IFERROR(W756*$G756*$I756, "")</f>
        <v>0</v>
      </c>
      <c r="AK756" s="294" t="n">
        <f aca="false">IFERROR(SUMIF($Y$4:$AJ$4, "RDEC", Y756:AJ756), "")</f>
        <v>0</v>
      </c>
      <c r="AL756" s="294" t="n">
        <f aca="false">IFERROR(SUMIF($Y$4:$AJ$4, "SME", Y756:AJ756), "")</f>
        <v>0</v>
      </c>
      <c r="AM756" s="294" t="n">
        <f aca="false">IFERROR(SUMIF($Y$4:$AJ$4, "De Minimis", Y756:AJ756), "")</f>
        <v>0</v>
      </c>
      <c r="AN756" s="283"/>
      <c r="AO756" s="284" t="n">
        <f aca="false">IFERROR($G756*$J756*L756, "")</f>
        <v>0</v>
      </c>
      <c r="AP756" s="284" t="n">
        <f aca="false">IFERROR($G756*$J756*M756, "")</f>
        <v>0</v>
      </c>
      <c r="AQ756" s="284" t="n">
        <f aca="false">IFERROR($G756*$J756*N756, "")</f>
        <v>0</v>
      </c>
      <c r="AR756" s="284" t="n">
        <f aca="false">IFERROR($G756*$J756*O756, "")</f>
        <v>0</v>
      </c>
      <c r="AS756" s="284" t="n">
        <f aca="false">IFERROR($G756*$J756*P756, "")</f>
        <v>0</v>
      </c>
      <c r="AT756" s="284" t="n">
        <f aca="false">IFERROR($G756*$J756*Q756, "")</f>
        <v>0</v>
      </c>
      <c r="AU756" s="284" t="n">
        <f aca="false">IFERROR($G756*$J756*R756, "")</f>
        <v>0</v>
      </c>
      <c r="AV756" s="284" t="n">
        <f aca="false">IFERROR($G756*$J756*S756, "")</f>
        <v>0</v>
      </c>
      <c r="AW756" s="284" t="n">
        <f aca="false">IFERROR($G756*$J756*T756, "")</f>
        <v>0</v>
      </c>
      <c r="AX756" s="284" t="n">
        <f aca="false">IFERROR($G756*$J756*U756, "")</f>
        <v>0</v>
      </c>
      <c r="AY756" s="284" t="n">
        <f aca="false">IFERROR($G756*$J756*V756, "")</f>
        <v>0</v>
      </c>
      <c r="AZ756" s="284" t="n">
        <f aca="false">IFERROR($G756*$J756*W756, "")</f>
        <v>0</v>
      </c>
      <c r="BA756" s="286" t="n">
        <f aca="false">IFERROR(SUMIF($AO$4:$AZ$4, "RDEC", AO756:AZ756), "")</f>
        <v>0</v>
      </c>
      <c r="BB756" s="286" t="n">
        <f aca="false">IFERROR(SUMIF($AO$4:$AZ$4, "SME", AO756:AZ756), "")</f>
        <v>0</v>
      </c>
      <c r="BC756" s="294" t="n">
        <f aca="false">IFERROR(SUMIF($Y$4:$AJ$4, "De Minimis", AO756:AZ756), "")</f>
        <v>0</v>
      </c>
      <c r="BD756" s="303"/>
      <c r="BE756" s="295" t="str">
        <f aca="false">IF((SUM(L756:W756)&gt;1),"ERROR","")</f>
        <v/>
      </c>
    </row>
    <row r="757" customFormat="false" ht="15" hidden="false" customHeight="true" outlineLevel="0" collapsed="false">
      <c r="B757" s="296"/>
      <c r="D757" s="297" t="s">
        <v>82</v>
      </c>
      <c r="E757" s="299" t="n">
        <f aca="false">SUM(E745:E756)</f>
        <v>0</v>
      </c>
      <c r="F757" s="299" t="n">
        <f aca="false">SUM(F745:F756)</f>
        <v>0</v>
      </c>
      <c r="G757" s="299" t="n">
        <f aca="false">SUM(G745:G756)</f>
        <v>0</v>
      </c>
      <c r="H757" s="300"/>
      <c r="I757" s="301" t="n">
        <f aca="false">AVERAGE(I745:I756)</f>
        <v>1</v>
      </c>
      <c r="J757" s="301" t="n">
        <f aca="false">AVERAGE(J745:J756)</f>
        <v>0</v>
      </c>
      <c r="K757" s="300"/>
      <c r="L757" s="290" t="n">
        <f aca="false">IF(SUM(L745:L756)&gt;0,(Y757/G757),0)</f>
        <v>0</v>
      </c>
      <c r="M757" s="301" t="n">
        <f aca="false">IF(SUM(M745:M756)&gt;0,(Z757/G757),0)</f>
        <v>0</v>
      </c>
      <c r="N757" s="301" t="n">
        <f aca="false">IF(SUM(N745:N756)&gt;0,(AA757/G757),0)</f>
        <v>0</v>
      </c>
      <c r="O757" s="301" t="n">
        <f aca="false">IF(SUM(O745:O756)&gt;0,(AB757/G757),0)</f>
        <v>0</v>
      </c>
      <c r="P757" s="301" t="n">
        <f aca="false">IF(SUM(P745:P756)&gt;0,(AC757/G757),0)</f>
        <v>0</v>
      </c>
      <c r="Q757" s="301" t="n">
        <f aca="false">IF(SUM(Q745:Q756)&gt;0,(AD757/G757),0)</f>
        <v>0</v>
      </c>
      <c r="R757" s="301" t="n">
        <f aca="false">IF(SUM(R745:R756)&gt;0,(AE757/G757),0)</f>
        <v>0</v>
      </c>
      <c r="S757" s="301" t="n">
        <f aca="false">IF(SUM(S745:S756)&gt;0,(AF757/G757),0)</f>
        <v>0</v>
      </c>
      <c r="T757" s="301" t="n">
        <f aca="false">IF(SUM(T745:T756)&gt;0,(AG757/G757),0)</f>
        <v>0</v>
      </c>
      <c r="U757" s="301" t="n">
        <f aca="false">IF(SUM(U745:U756)&gt;0,(AJ757/G757),0)</f>
        <v>0</v>
      </c>
      <c r="V757" s="301" t="n">
        <f aca="false">IF(SUM(V745:V756)&gt;0,(AI757/G757),0)</f>
        <v>0</v>
      </c>
      <c r="W757" s="301" t="n">
        <f aca="false">IF(SUM(W745:W756)&gt;0,(AJ757/G757),0)</f>
        <v>0</v>
      </c>
      <c r="X757" s="283"/>
      <c r="Y757" s="304" t="n">
        <f aca="false">SUM(Y745:Y756)</f>
        <v>0</v>
      </c>
      <c r="Z757" s="304" t="n">
        <f aca="false">SUM(Z745:Z756)</f>
        <v>0</v>
      </c>
      <c r="AA757" s="304" t="n">
        <f aca="false">SUM(AA745:AA756)</f>
        <v>0</v>
      </c>
      <c r="AB757" s="304" t="n">
        <f aca="false">SUM(AB745:AB756)</f>
        <v>0</v>
      </c>
      <c r="AC757" s="304" t="n">
        <f aca="false">SUM(AC745:AC756)</f>
        <v>0</v>
      </c>
      <c r="AD757" s="304" t="n">
        <f aca="false">SUM(AD745:AD756)</f>
        <v>0</v>
      </c>
      <c r="AE757" s="304" t="n">
        <f aca="false">SUM(AE745:AE756)</f>
        <v>0</v>
      </c>
      <c r="AF757" s="304" t="n">
        <f aca="false">SUM(AF745:AF756)</f>
        <v>0</v>
      </c>
      <c r="AG757" s="304" t="n">
        <f aca="false">SUM(AG745:AG756)</f>
        <v>0</v>
      </c>
      <c r="AH757" s="304" t="n">
        <f aca="false">SUM(AH745:AH756)</f>
        <v>0</v>
      </c>
      <c r="AI757" s="304" t="n">
        <f aca="false">SUM(AI745:AI756)</f>
        <v>0</v>
      </c>
      <c r="AJ757" s="304" t="n">
        <f aca="false">SUM(AJ745:AJ756)</f>
        <v>0</v>
      </c>
      <c r="AK757" s="335" t="n">
        <f aca="false">SUM(AK745:AK756)</f>
        <v>0</v>
      </c>
      <c r="AL757" s="336" t="n">
        <f aca="false">SUM(AL745:AL756)</f>
        <v>0</v>
      </c>
      <c r="AM757" s="305" t="n">
        <f aca="false">SUM(AM745:AM756)</f>
        <v>0</v>
      </c>
      <c r="AN757" s="283"/>
      <c r="AO757" s="304" t="n">
        <f aca="false">SUM(AO745:AO756)</f>
        <v>0</v>
      </c>
      <c r="AP757" s="304" t="n">
        <f aca="false">SUM(AP745:AP756)</f>
        <v>0</v>
      </c>
      <c r="AQ757" s="304" t="n">
        <f aca="false">SUM(AQ745:AQ756)</f>
        <v>0</v>
      </c>
      <c r="AR757" s="304" t="n">
        <f aca="false">SUM(AR745:AR756)</f>
        <v>0</v>
      </c>
      <c r="AS757" s="304" t="n">
        <f aca="false">SUM(AS745:AS756)</f>
        <v>0</v>
      </c>
      <c r="AT757" s="304" t="n">
        <f aca="false">SUM(AT745:AT756)</f>
        <v>0</v>
      </c>
      <c r="AU757" s="304" t="n">
        <f aca="false">SUM(AU745:AU756)</f>
        <v>0</v>
      </c>
      <c r="AV757" s="304" t="n">
        <f aca="false">SUM(AV745:AV756)</f>
        <v>0</v>
      </c>
      <c r="AW757" s="304" t="n">
        <f aca="false">SUM(AW745:AW756)</f>
        <v>0</v>
      </c>
      <c r="AX757" s="304" t="n">
        <f aca="false">SUM(AX745:AX756)</f>
        <v>0</v>
      </c>
      <c r="AY757" s="304" t="n">
        <f aca="false">SUM(AY745:AY756)</f>
        <v>0</v>
      </c>
      <c r="AZ757" s="304" t="n">
        <f aca="false">SUM(AZ745:AZ756)</f>
        <v>0</v>
      </c>
      <c r="BA757" s="336" t="n">
        <f aca="false">SUM(BA745:BA756)</f>
        <v>0</v>
      </c>
      <c r="BB757" s="336" t="n">
        <f aca="false">SUM(BB745:BB756)</f>
        <v>0</v>
      </c>
      <c r="BC757" s="305" t="n">
        <f aca="false">SUM(BC745:BC756)</f>
        <v>0</v>
      </c>
      <c r="BD757" s="303"/>
      <c r="BE757" s="337"/>
    </row>
    <row r="758" customFormat="false" ht="15" hidden="false" customHeight="true" outlineLevel="0" collapsed="false">
      <c r="B758" s="296"/>
      <c r="D758" s="297"/>
      <c r="E758" s="300"/>
      <c r="F758" s="300"/>
      <c r="G758" s="300"/>
      <c r="H758" s="241"/>
      <c r="I758" s="302"/>
      <c r="J758" s="302"/>
      <c r="K758" s="241"/>
      <c r="L758" s="259"/>
      <c r="M758" s="259"/>
      <c r="N758" s="259"/>
      <c r="O758" s="259"/>
      <c r="P758" s="259"/>
      <c r="Q758" s="259"/>
      <c r="R758" s="259"/>
      <c r="S758" s="259"/>
      <c r="T758" s="259"/>
      <c r="U758" s="259"/>
      <c r="V758" s="259"/>
      <c r="W758" s="259"/>
      <c r="X758" s="303"/>
      <c r="Y758" s="259"/>
      <c r="Z758" s="303"/>
      <c r="AA758" s="303"/>
      <c r="AB758" s="303"/>
      <c r="AC758" s="303"/>
      <c r="AD758" s="303"/>
      <c r="AE758" s="303"/>
      <c r="AF758" s="303"/>
      <c r="AG758" s="303"/>
      <c r="AH758" s="303"/>
      <c r="AI758" s="303"/>
      <c r="AJ758" s="303"/>
      <c r="AK758" s="303"/>
      <c r="AL758" s="303"/>
      <c r="AM758" s="303"/>
      <c r="AN758" s="303"/>
      <c r="AO758" s="259"/>
      <c r="AP758" s="303"/>
      <c r="AQ758" s="303"/>
      <c r="AR758" s="303"/>
      <c r="AS758" s="303"/>
      <c r="AT758" s="303"/>
      <c r="AU758" s="303"/>
      <c r="AV758" s="303"/>
      <c r="AW758" s="303"/>
      <c r="AX758" s="303"/>
      <c r="AY758" s="303"/>
      <c r="AZ758" s="303"/>
      <c r="BA758" s="303"/>
      <c r="BB758" s="303"/>
      <c r="BC758" s="303"/>
      <c r="BD758" s="268"/>
      <c r="BE758" s="303"/>
    </row>
    <row r="759" customFormat="false" ht="15" hidden="false" customHeight="true" outlineLevel="0" collapsed="false">
      <c r="A759" s="198" t="n">
        <f aca="false">A743+1</f>
        <v>48</v>
      </c>
      <c r="B759" s="266" t="s">
        <v>253</v>
      </c>
      <c r="C759" s="266" t="s">
        <v>253</v>
      </c>
      <c r="D759" s="266"/>
      <c r="E759" s="241"/>
      <c r="F759" s="241"/>
      <c r="G759" s="241"/>
      <c r="H759" s="241"/>
      <c r="I759" s="241"/>
      <c r="J759" s="241"/>
      <c r="K759" s="277"/>
      <c r="L759" s="241"/>
      <c r="M759" s="241"/>
      <c r="N759" s="241"/>
      <c r="O759" s="241"/>
      <c r="P759" s="241"/>
      <c r="Q759" s="241"/>
      <c r="R759" s="241"/>
      <c r="S759" s="241"/>
      <c r="T759" s="241"/>
      <c r="U759" s="241"/>
      <c r="V759" s="241"/>
      <c r="W759" s="241"/>
      <c r="X759" s="259"/>
      <c r="Y759" s="268"/>
      <c r="Z759" s="268"/>
      <c r="AA759" s="268"/>
      <c r="AB759" s="268"/>
      <c r="AC759" s="268"/>
      <c r="AD759" s="268"/>
      <c r="AE759" s="268"/>
      <c r="AF759" s="268"/>
      <c r="AG759" s="268"/>
      <c r="AH759" s="268"/>
      <c r="AI759" s="268"/>
      <c r="AJ759" s="268"/>
      <c r="AK759" s="268"/>
      <c r="AL759" s="268"/>
      <c r="AM759" s="268"/>
      <c r="AN759" s="259"/>
      <c r="AO759" s="268"/>
      <c r="AP759" s="268"/>
      <c r="AQ759" s="268"/>
      <c r="AR759" s="268"/>
      <c r="AS759" s="268"/>
      <c r="AT759" s="268"/>
      <c r="AU759" s="268"/>
      <c r="AV759" s="268"/>
      <c r="AW759" s="268"/>
      <c r="AX759" s="268"/>
      <c r="AY759" s="268"/>
      <c r="AZ759" s="268"/>
      <c r="BA759" s="268"/>
      <c r="BB759" s="268"/>
      <c r="BC759" s="268"/>
      <c r="BD759" s="287"/>
      <c r="BE759" s="268"/>
    </row>
    <row r="760" customFormat="false" ht="7.5" hidden="false" customHeight="true" outlineLevel="0" collapsed="false">
      <c r="A760" s="198"/>
      <c r="B760" s="266"/>
      <c r="C760" s="266"/>
      <c r="D760" s="266"/>
      <c r="E760" s="241"/>
      <c r="F760" s="241"/>
      <c r="G760" s="241"/>
      <c r="H760" s="204"/>
      <c r="I760" s="269"/>
      <c r="J760" s="269"/>
      <c r="K760" s="277"/>
      <c r="L760" s="269"/>
      <c r="M760" s="269"/>
      <c r="N760" s="269"/>
      <c r="O760" s="269"/>
      <c r="P760" s="269"/>
      <c r="Q760" s="269"/>
      <c r="R760" s="269"/>
      <c r="S760" s="269"/>
      <c r="T760" s="269"/>
      <c r="U760" s="269"/>
      <c r="V760" s="269"/>
      <c r="W760" s="269"/>
      <c r="X760" s="259"/>
      <c r="Y760" s="271"/>
      <c r="Z760" s="271"/>
      <c r="AA760" s="271"/>
      <c r="AB760" s="271"/>
      <c r="AC760" s="271"/>
      <c r="AD760" s="271"/>
      <c r="AE760" s="271"/>
      <c r="AF760" s="271"/>
      <c r="AG760" s="271"/>
      <c r="AH760" s="271"/>
      <c r="AI760" s="271"/>
      <c r="AJ760" s="272"/>
      <c r="AK760" s="273"/>
      <c r="AL760" s="273"/>
      <c r="AM760" s="273"/>
      <c r="AN760" s="259"/>
      <c r="AO760" s="271"/>
      <c r="AP760" s="271"/>
      <c r="AQ760" s="271"/>
      <c r="AR760" s="271"/>
      <c r="AS760" s="271"/>
      <c r="AT760" s="271"/>
      <c r="AU760" s="271"/>
      <c r="AV760" s="271"/>
      <c r="AW760" s="271"/>
      <c r="AX760" s="271"/>
      <c r="AY760" s="271"/>
      <c r="AZ760" s="272"/>
      <c r="BA760" s="273"/>
      <c r="BB760" s="273"/>
      <c r="BC760" s="273"/>
      <c r="BD760" s="287"/>
      <c r="BE760" s="274"/>
    </row>
    <row r="761" customFormat="false" ht="15" hidden="false" customHeight="true" outlineLevel="0" collapsed="false">
      <c r="B761" s="333"/>
      <c r="C761" s="334"/>
      <c r="D761" s="333" t="n">
        <f aca="false">D745</f>
        <v>45292</v>
      </c>
      <c r="E761" s="277" t="n">
        <v>0</v>
      </c>
      <c r="F761" s="277" t="n">
        <v>0</v>
      </c>
      <c r="G761" s="277" t="n">
        <f aca="false">SUM(E761:F761)</f>
        <v>0</v>
      </c>
      <c r="H761" s="204"/>
      <c r="I761" s="279" t="n">
        <v>1</v>
      </c>
      <c r="J761" s="280" t="n">
        <f aca="false">1-I761</f>
        <v>0</v>
      </c>
      <c r="K761" s="277"/>
      <c r="L761" s="282"/>
      <c r="M761" s="282"/>
      <c r="N761" s="282"/>
      <c r="O761" s="282"/>
      <c r="P761" s="282"/>
      <c r="Q761" s="282"/>
      <c r="R761" s="282"/>
      <c r="S761" s="282"/>
      <c r="T761" s="282"/>
      <c r="U761" s="282"/>
      <c r="V761" s="282"/>
      <c r="W761" s="282"/>
      <c r="X761" s="268"/>
      <c r="Y761" s="284" t="n">
        <f aca="false">IFERROR(L761*$G761*I$9, "")</f>
        <v>0</v>
      </c>
      <c r="Z761" s="284" t="n">
        <f aca="false">IFERROR(M761*$G761*$I761, "")</f>
        <v>0</v>
      </c>
      <c r="AA761" s="284" t="n">
        <f aca="false">IFERROR(N761*$G761*$I761, "")</f>
        <v>0</v>
      </c>
      <c r="AB761" s="284" t="n">
        <f aca="false">IFERROR(O761*$G761*$I761, "")</f>
        <v>0</v>
      </c>
      <c r="AC761" s="284" t="n">
        <f aca="false">IFERROR(P761*$G761*$I761, "")</f>
        <v>0</v>
      </c>
      <c r="AD761" s="284" t="n">
        <f aca="false">IFERROR(Q761*$G761*$I761, "")</f>
        <v>0</v>
      </c>
      <c r="AE761" s="284" t="n">
        <f aca="false">IFERROR(R761*$G761*$I761, "")</f>
        <v>0</v>
      </c>
      <c r="AF761" s="284" t="n">
        <f aca="false">IFERROR(S761*$G761*$I761, "")</f>
        <v>0</v>
      </c>
      <c r="AG761" s="284" t="n">
        <f aca="false">IFERROR(T761*$G761*$I761, "")</f>
        <v>0</v>
      </c>
      <c r="AH761" s="284" t="n">
        <f aca="false">IFERROR(U761*$G761*$I761, "")</f>
        <v>0</v>
      </c>
      <c r="AI761" s="284" t="n">
        <f aca="false">IFERROR(V761*$G761*$I761, "")</f>
        <v>0</v>
      </c>
      <c r="AJ761" s="284" t="n">
        <f aca="false">IFERROR(W761*$G761*$I761, "")</f>
        <v>0</v>
      </c>
      <c r="AK761" s="286" t="n">
        <f aca="false">IFERROR(SUMIF($Y$4:$AJ$4, "RDEC", Y761:AJ761), "")</f>
        <v>0</v>
      </c>
      <c r="AL761" s="286" t="n">
        <f aca="false">IFERROR(SUMIF($Y$4:$AJ$4, "SME", Y761:AJ761), "")</f>
        <v>0</v>
      </c>
      <c r="AM761" s="286" t="n">
        <f aca="false">IFERROR(SUMIF($Y$4:$AJ$4, "De Minimis", Y761:AJ761), "")</f>
        <v>0</v>
      </c>
      <c r="AN761" s="268"/>
      <c r="AO761" s="284" t="n">
        <f aca="false">IFERROR($G761*$J761*L761, "")</f>
        <v>0</v>
      </c>
      <c r="AP761" s="284" t="n">
        <f aca="false">IFERROR($G761*$J761*M761, "")</f>
        <v>0</v>
      </c>
      <c r="AQ761" s="284" t="n">
        <f aca="false">IFERROR($G761*$J761*N761, "")</f>
        <v>0</v>
      </c>
      <c r="AR761" s="284" t="n">
        <f aca="false">IFERROR($G761*$J761*O761, "")</f>
        <v>0</v>
      </c>
      <c r="AS761" s="284" t="n">
        <f aca="false">IFERROR($G761*$J761*P761, "")</f>
        <v>0</v>
      </c>
      <c r="AT761" s="284" t="n">
        <f aca="false">IFERROR($G761*$J761*Q761, "")</f>
        <v>0</v>
      </c>
      <c r="AU761" s="284" t="n">
        <f aca="false">IFERROR($G761*$J761*R761, "")</f>
        <v>0</v>
      </c>
      <c r="AV761" s="284" t="n">
        <f aca="false">IFERROR($G761*$J761*S761, "")</f>
        <v>0</v>
      </c>
      <c r="AW761" s="284" t="n">
        <f aca="false">IFERROR($G761*$J761*T761, "")</f>
        <v>0</v>
      </c>
      <c r="AX761" s="284" t="n">
        <f aca="false">IFERROR($G761*$J761*U761, "")</f>
        <v>0</v>
      </c>
      <c r="AY761" s="284" t="n">
        <f aca="false">IFERROR($G761*$J761*V761, "")</f>
        <v>0</v>
      </c>
      <c r="AZ761" s="284" t="n">
        <f aca="false">IFERROR($G761*$J761*W761, "")</f>
        <v>0</v>
      </c>
      <c r="BA761" s="286" t="n">
        <f aca="false">IFERROR(SUMIF($AO$4:$AZ$4, "RDEC", AO761:AZ761), "")</f>
        <v>0</v>
      </c>
      <c r="BB761" s="286" t="n">
        <f aca="false">IFERROR(SUMIF($AO$4:$AZ$4, "SME", AO761:AZ761), "")</f>
        <v>0</v>
      </c>
      <c r="BC761" s="286" t="n">
        <f aca="false">IFERROR(SUMIF($AO$4:$AZ$4, "De Minimis", AO761:AZ761), "")</f>
        <v>0</v>
      </c>
      <c r="BD761" s="287"/>
      <c r="BE761" s="288" t="str">
        <f aca="false">IF((SUM(L761:W761)&gt;1),"ERROR","")</f>
        <v/>
      </c>
    </row>
    <row r="762" customFormat="false" ht="15" hidden="false" customHeight="true" outlineLevel="0" collapsed="false">
      <c r="B762" s="333"/>
      <c r="C762" s="334"/>
      <c r="D762" s="333" t="n">
        <f aca="false">D746</f>
        <v>45323</v>
      </c>
      <c r="E762" s="277" t="n">
        <v>0</v>
      </c>
      <c r="F762" s="277" t="n">
        <v>0</v>
      </c>
      <c r="G762" s="277" t="n">
        <f aca="false">SUM(E762:F762)</f>
        <v>0</v>
      </c>
      <c r="H762" s="204"/>
      <c r="I762" s="279" t="n">
        <v>1</v>
      </c>
      <c r="J762" s="280" t="n">
        <f aca="false">1-I762</f>
        <v>0</v>
      </c>
      <c r="K762" s="277"/>
      <c r="L762" s="282"/>
      <c r="M762" s="282"/>
      <c r="N762" s="282"/>
      <c r="O762" s="282"/>
      <c r="P762" s="282"/>
      <c r="Q762" s="282"/>
      <c r="R762" s="282"/>
      <c r="S762" s="282"/>
      <c r="T762" s="282"/>
      <c r="U762" s="282"/>
      <c r="V762" s="282"/>
      <c r="W762" s="282"/>
      <c r="X762" s="283"/>
      <c r="Y762" s="284" t="n">
        <f aca="false">IFERROR(L762*$G762*I$9, "")</f>
        <v>0</v>
      </c>
      <c r="Z762" s="284" t="n">
        <f aca="false">IFERROR(M762*$G762*$I762, "")</f>
        <v>0</v>
      </c>
      <c r="AA762" s="284" t="n">
        <f aca="false">IFERROR(N762*$G762*$I762, "")</f>
        <v>0</v>
      </c>
      <c r="AB762" s="284" t="n">
        <f aca="false">IFERROR(O762*$G762*$I762, "")</f>
        <v>0</v>
      </c>
      <c r="AC762" s="284" t="n">
        <f aca="false">IFERROR(P762*$G762*$I762, "")</f>
        <v>0</v>
      </c>
      <c r="AD762" s="284" t="n">
        <f aca="false">IFERROR(Q762*$G762*$I762, "")</f>
        <v>0</v>
      </c>
      <c r="AE762" s="284" t="n">
        <f aca="false">IFERROR(R762*$G762*$I762, "")</f>
        <v>0</v>
      </c>
      <c r="AF762" s="284" t="n">
        <f aca="false">IFERROR(S762*$G762*$I762, "")</f>
        <v>0</v>
      </c>
      <c r="AG762" s="284" t="n">
        <f aca="false">IFERROR(T762*$G762*$I762, "")</f>
        <v>0</v>
      </c>
      <c r="AH762" s="284" t="n">
        <f aca="false">IFERROR(U762*$G762*$I762, "")</f>
        <v>0</v>
      </c>
      <c r="AI762" s="284" t="n">
        <f aca="false">IFERROR(V762*$G762*$I762, "")</f>
        <v>0</v>
      </c>
      <c r="AJ762" s="284" t="n">
        <f aca="false">IFERROR(W762*$G762*$I762, "")</f>
        <v>0</v>
      </c>
      <c r="AK762" s="286" t="n">
        <f aca="false">IFERROR(SUMIF($Y$4:$AJ$4, "RDEC", Y762:AJ762), "")</f>
        <v>0</v>
      </c>
      <c r="AL762" s="286" t="n">
        <f aca="false">IFERROR(SUMIF($Y$4:$AJ$4, "SME", Y762:AJ762), "")</f>
        <v>0</v>
      </c>
      <c r="AM762" s="286" t="n">
        <f aca="false">IFERROR(SUMIF($Y$4:$AJ$4, "De Minimis", Y762:AJ762), "")</f>
        <v>0</v>
      </c>
      <c r="AN762" s="283"/>
      <c r="AO762" s="284" t="n">
        <f aca="false">IFERROR($G762*$J762*L762, "")</f>
        <v>0</v>
      </c>
      <c r="AP762" s="284" t="n">
        <f aca="false">IFERROR($G762*$J762*M762, "")</f>
        <v>0</v>
      </c>
      <c r="AQ762" s="284" t="n">
        <f aca="false">IFERROR($G762*$J762*N762, "")</f>
        <v>0</v>
      </c>
      <c r="AR762" s="284" t="n">
        <f aca="false">IFERROR($G762*$J762*O762, "")</f>
        <v>0</v>
      </c>
      <c r="AS762" s="284" t="n">
        <f aca="false">IFERROR($G762*$J762*P762, "")</f>
        <v>0</v>
      </c>
      <c r="AT762" s="284" t="n">
        <f aca="false">IFERROR($G762*$J762*Q762, "")</f>
        <v>0</v>
      </c>
      <c r="AU762" s="284" t="n">
        <f aca="false">IFERROR($G762*$J762*R762, "")</f>
        <v>0</v>
      </c>
      <c r="AV762" s="284" t="n">
        <f aca="false">IFERROR($G762*$J762*S762, "")</f>
        <v>0</v>
      </c>
      <c r="AW762" s="284" t="n">
        <f aca="false">IFERROR($G762*$J762*T762, "")</f>
        <v>0</v>
      </c>
      <c r="AX762" s="284" t="n">
        <f aca="false">IFERROR($G762*$J762*U762, "")</f>
        <v>0</v>
      </c>
      <c r="AY762" s="284" t="n">
        <f aca="false">IFERROR($G762*$J762*V762, "")</f>
        <v>0</v>
      </c>
      <c r="AZ762" s="284" t="n">
        <f aca="false">IFERROR($G762*$J762*W762, "")</f>
        <v>0</v>
      </c>
      <c r="BA762" s="286" t="n">
        <f aca="false">IFERROR(SUMIF($AO$4:$AZ$4, "RDEC", AO762:AZ762), "")</f>
        <v>0</v>
      </c>
      <c r="BB762" s="286" t="n">
        <f aca="false">IFERROR(SUMIF($AO$4:$AZ$4, "SME", AO762:AZ762), "")</f>
        <v>0</v>
      </c>
      <c r="BC762" s="286" t="n">
        <f aca="false">IFERROR(SUMIF($Y$4:$AJ$4, "De Minimis", AO762:AZ762), "")</f>
        <v>0</v>
      </c>
      <c r="BD762" s="287"/>
      <c r="BE762" s="288" t="str">
        <f aca="false">IF((SUM(L762:W762)&gt;1),"ERROR","")</f>
        <v/>
      </c>
    </row>
    <row r="763" customFormat="false" ht="15" hidden="false" customHeight="true" outlineLevel="0" collapsed="false">
      <c r="B763" s="333"/>
      <c r="C763" s="334"/>
      <c r="D763" s="333" t="n">
        <f aca="false">D747</f>
        <v>45352</v>
      </c>
      <c r="E763" s="277" t="n">
        <v>0</v>
      </c>
      <c r="F763" s="277" t="n">
        <v>0</v>
      </c>
      <c r="G763" s="277" t="n">
        <f aca="false">SUM(E763:F763)</f>
        <v>0</v>
      </c>
      <c r="H763" s="204"/>
      <c r="I763" s="279" t="n">
        <v>1</v>
      </c>
      <c r="J763" s="280" t="n">
        <f aca="false">1-I763</f>
        <v>0</v>
      </c>
      <c r="K763" s="277"/>
      <c r="L763" s="282"/>
      <c r="M763" s="282"/>
      <c r="N763" s="282"/>
      <c r="O763" s="282"/>
      <c r="P763" s="282"/>
      <c r="Q763" s="282"/>
      <c r="R763" s="282"/>
      <c r="S763" s="282"/>
      <c r="T763" s="282"/>
      <c r="U763" s="282"/>
      <c r="V763" s="282"/>
      <c r="W763" s="282"/>
      <c r="X763" s="283"/>
      <c r="Y763" s="284" t="n">
        <f aca="false">IFERROR(L763*$G763*I$9, "")</f>
        <v>0</v>
      </c>
      <c r="Z763" s="284" t="n">
        <f aca="false">IFERROR(M763*$G763*$I763, "")</f>
        <v>0</v>
      </c>
      <c r="AA763" s="284" t="n">
        <f aca="false">IFERROR(N763*$G763*$I763, "")</f>
        <v>0</v>
      </c>
      <c r="AB763" s="284" t="n">
        <f aca="false">IFERROR(O763*$G763*$I763, "")</f>
        <v>0</v>
      </c>
      <c r="AC763" s="284" t="n">
        <f aca="false">IFERROR(P763*$G763*$I763, "")</f>
        <v>0</v>
      </c>
      <c r="AD763" s="284" t="n">
        <f aca="false">IFERROR(Q763*$G763*$I763, "")</f>
        <v>0</v>
      </c>
      <c r="AE763" s="284" t="n">
        <f aca="false">IFERROR(R763*$G763*$I763, "")</f>
        <v>0</v>
      </c>
      <c r="AF763" s="284" t="n">
        <f aca="false">IFERROR(S763*$G763*$I763, "")</f>
        <v>0</v>
      </c>
      <c r="AG763" s="284" t="n">
        <f aca="false">IFERROR(T763*$G763*$I763, "")</f>
        <v>0</v>
      </c>
      <c r="AH763" s="284" t="n">
        <f aca="false">IFERROR(U763*$G763*$I763, "")</f>
        <v>0</v>
      </c>
      <c r="AI763" s="284" t="n">
        <f aca="false">IFERROR(V763*$G763*$I763, "")</f>
        <v>0</v>
      </c>
      <c r="AJ763" s="284" t="n">
        <f aca="false">IFERROR(W763*$G763*$I763, "")</f>
        <v>0</v>
      </c>
      <c r="AK763" s="286" t="n">
        <f aca="false">IFERROR(SUMIF($Y$4:$AJ$4, "RDEC", Y763:AJ763), "")</f>
        <v>0</v>
      </c>
      <c r="AL763" s="286" t="n">
        <f aca="false">IFERROR(SUMIF($Y$4:$AJ$4, "SME", Y763:AJ763), "")</f>
        <v>0</v>
      </c>
      <c r="AM763" s="286" t="n">
        <f aca="false">IFERROR(SUMIF($Y$4:$AJ$4, "De Minimis", Y763:AJ763), "")</f>
        <v>0</v>
      </c>
      <c r="AN763" s="283"/>
      <c r="AO763" s="284" t="n">
        <f aca="false">IFERROR($G763*$J763*L763, "")</f>
        <v>0</v>
      </c>
      <c r="AP763" s="284" t="n">
        <f aca="false">IFERROR($G763*$J763*M763, "")</f>
        <v>0</v>
      </c>
      <c r="AQ763" s="284" t="n">
        <f aca="false">IFERROR($G763*$J763*N763, "")</f>
        <v>0</v>
      </c>
      <c r="AR763" s="284" t="n">
        <f aca="false">IFERROR($G763*$J763*O763, "")</f>
        <v>0</v>
      </c>
      <c r="AS763" s="284" t="n">
        <f aca="false">IFERROR($G763*$J763*P763, "")</f>
        <v>0</v>
      </c>
      <c r="AT763" s="284" t="n">
        <f aca="false">IFERROR($G763*$J763*Q763, "")</f>
        <v>0</v>
      </c>
      <c r="AU763" s="284" t="n">
        <f aca="false">IFERROR($G763*$J763*R763, "")</f>
        <v>0</v>
      </c>
      <c r="AV763" s="284" t="n">
        <f aca="false">IFERROR($G763*$J763*S763, "")</f>
        <v>0</v>
      </c>
      <c r="AW763" s="284" t="n">
        <f aca="false">IFERROR($G763*$J763*T763, "")</f>
        <v>0</v>
      </c>
      <c r="AX763" s="284" t="n">
        <f aca="false">IFERROR($G763*$J763*U763, "")</f>
        <v>0</v>
      </c>
      <c r="AY763" s="284" t="n">
        <f aca="false">IFERROR($G763*$J763*V763, "")</f>
        <v>0</v>
      </c>
      <c r="AZ763" s="284" t="n">
        <f aca="false">IFERROR($G763*$J763*W763, "")</f>
        <v>0</v>
      </c>
      <c r="BA763" s="286" t="n">
        <f aca="false">IFERROR(SUMIF($AO$4:$AZ$4, "RDEC", AO763:AZ763), "")</f>
        <v>0</v>
      </c>
      <c r="BB763" s="286" t="n">
        <f aca="false">IFERROR(SUMIF($AO$4:$AZ$4, "SME", AO763:AZ763), "")</f>
        <v>0</v>
      </c>
      <c r="BC763" s="286" t="n">
        <f aca="false">IFERROR(SUMIF($Y$4:$AJ$4, "De Minimis", AO763:AZ763), "")</f>
        <v>0</v>
      </c>
      <c r="BD763" s="287"/>
      <c r="BE763" s="288" t="str">
        <f aca="false">IF((SUM(L763:W763)&gt;1),"ERROR","")</f>
        <v/>
      </c>
    </row>
    <row r="764" customFormat="false" ht="15" hidden="false" customHeight="true" outlineLevel="0" collapsed="false">
      <c r="B764" s="333"/>
      <c r="C764" s="334"/>
      <c r="D764" s="333" t="n">
        <f aca="false">D748</f>
        <v>45383</v>
      </c>
      <c r="E764" s="277" t="n">
        <v>0</v>
      </c>
      <c r="F764" s="277" t="n">
        <v>0</v>
      </c>
      <c r="G764" s="277" t="n">
        <f aca="false">SUM(E764:F764)</f>
        <v>0</v>
      </c>
      <c r="H764" s="204"/>
      <c r="I764" s="279" t="n">
        <v>1</v>
      </c>
      <c r="J764" s="280" t="n">
        <f aca="false">1-I764</f>
        <v>0</v>
      </c>
      <c r="K764" s="277"/>
      <c r="L764" s="282"/>
      <c r="M764" s="282"/>
      <c r="N764" s="282"/>
      <c r="O764" s="282"/>
      <c r="P764" s="282"/>
      <c r="Q764" s="282"/>
      <c r="R764" s="282"/>
      <c r="S764" s="282"/>
      <c r="T764" s="282"/>
      <c r="U764" s="282"/>
      <c r="V764" s="282"/>
      <c r="W764" s="282"/>
      <c r="X764" s="283"/>
      <c r="Y764" s="284" t="n">
        <f aca="false">IFERROR(L764*$G764*I$9, "")</f>
        <v>0</v>
      </c>
      <c r="Z764" s="284" t="n">
        <f aca="false">IFERROR(M764*$G764*$I764, "")</f>
        <v>0</v>
      </c>
      <c r="AA764" s="284" t="n">
        <f aca="false">IFERROR(N764*$G764*$I764, "")</f>
        <v>0</v>
      </c>
      <c r="AB764" s="284" t="n">
        <f aca="false">IFERROR(O764*$G764*$I764, "")</f>
        <v>0</v>
      </c>
      <c r="AC764" s="284" t="n">
        <f aca="false">IFERROR(P764*$G764*$I764, "")</f>
        <v>0</v>
      </c>
      <c r="AD764" s="284" t="n">
        <f aca="false">IFERROR(Q764*$G764*$I764, "")</f>
        <v>0</v>
      </c>
      <c r="AE764" s="284" t="n">
        <f aca="false">IFERROR(R764*$G764*$I764, "")</f>
        <v>0</v>
      </c>
      <c r="AF764" s="284" t="n">
        <f aca="false">IFERROR(S764*$G764*$I764, "")</f>
        <v>0</v>
      </c>
      <c r="AG764" s="284" t="n">
        <f aca="false">IFERROR(T764*$G764*$I764, "")</f>
        <v>0</v>
      </c>
      <c r="AH764" s="284" t="n">
        <f aca="false">IFERROR(U764*$G764*$I764, "")</f>
        <v>0</v>
      </c>
      <c r="AI764" s="284" t="n">
        <f aca="false">IFERROR(V764*$G764*$I764, "")</f>
        <v>0</v>
      </c>
      <c r="AJ764" s="284" t="n">
        <f aca="false">IFERROR(W764*$G764*$I764, "")</f>
        <v>0</v>
      </c>
      <c r="AK764" s="286" t="n">
        <f aca="false">IFERROR(SUMIF($Y$4:$AJ$4, "RDEC", Y764:AJ764), "")</f>
        <v>0</v>
      </c>
      <c r="AL764" s="286" t="n">
        <f aca="false">IFERROR(SUMIF($Y$4:$AJ$4, "SME", Y764:AJ764), "")</f>
        <v>0</v>
      </c>
      <c r="AM764" s="286" t="n">
        <f aca="false">IFERROR(SUMIF($Y$4:$AJ$4, "De Minimis", Y764:AJ764), "")</f>
        <v>0</v>
      </c>
      <c r="AN764" s="283"/>
      <c r="AO764" s="284" t="n">
        <f aca="false">IFERROR($G764*$J764*L764, "")</f>
        <v>0</v>
      </c>
      <c r="AP764" s="284" t="n">
        <f aca="false">IFERROR($G764*$J764*M764, "")</f>
        <v>0</v>
      </c>
      <c r="AQ764" s="284" t="n">
        <f aca="false">IFERROR($G764*$J764*N764, "")</f>
        <v>0</v>
      </c>
      <c r="AR764" s="284" t="n">
        <f aca="false">IFERROR($G764*$J764*O764, "")</f>
        <v>0</v>
      </c>
      <c r="AS764" s="284" t="n">
        <f aca="false">IFERROR($G764*$J764*P764, "")</f>
        <v>0</v>
      </c>
      <c r="AT764" s="284" t="n">
        <f aca="false">IFERROR($G764*$J764*Q764, "")</f>
        <v>0</v>
      </c>
      <c r="AU764" s="284" t="n">
        <f aca="false">IFERROR($G764*$J764*R764, "")</f>
        <v>0</v>
      </c>
      <c r="AV764" s="284" t="n">
        <f aca="false">IFERROR($G764*$J764*S764, "")</f>
        <v>0</v>
      </c>
      <c r="AW764" s="284" t="n">
        <f aca="false">IFERROR($G764*$J764*T764, "")</f>
        <v>0</v>
      </c>
      <c r="AX764" s="284" t="n">
        <f aca="false">IFERROR($G764*$J764*U764, "")</f>
        <v>0</v>
      </c>
      <c r="AY764" s="284" t="n">
        <f aca="false">IFERROR($G764*$J764*V764, "")</f>
        <v>0</v>
      </c>
      <c r="AZ764" s="284" t="n">
        <f aca="false">IFERROR($G764*$J764*W764, "")</f>
        <v>0</v>
      </c>
      <c r="BA764" s="286" t="n">
        <f aca="false">IFERROR(SUMIF($AO$4:$AZ$4, "RDEC", AO764:AZ764), "")</f>
        <v>0</v>
      </c>
      <c r="BB764" s="286" t="n">
        <f aca="false">IFERROR(SUMIF($AO$4:$AZ$4, "SME", AO764:AZ764), "")</f>
        <v>0</v>
      </c>
      <c r="BC764" s="286" t="n">
        <f aca="false">IFERROR(SUMIF($Y$4:$AJ$4, "De Minimis", AO764:AZ764), "")</f>
        <v>0</v>
      </c>
      <c r="BD764" s="287"/>
      <c r="BE764" s="288" t="str">
        <f aca="false">IF((SUM(L764:W764)&gt;1),"ERROR","")</f>
        <v/>
      </c>
    </row>
    <row r="765" customFormat="false" ht="15" hidden="false" customHeight="true" outlineLevel="0" collapsed="false">
      <c r="B765" s="333"/>
      <c r="C765" s="334"/>
      <c r="D765" s="333" t="n">
        <f aca="false">D749</f>
        <v>45413</v>
      </c>
      <c r="E765" s="277" t="n">
        <v>0</v>
      </c>
      <c r="F765" s="277" t="n">
        <v>0</v>
      </c>
      <c r="G765" s="277" t="n">
        <f aca="false">SUM(E765:F765)</f>
        <v>0</v>
      </c>
      <c r="H765" s="204"/>
      <c r="I765" s="279" t="n">
        <v>1</v>
      </c>
      <c r="J765" s="280" t="n">
        <f aca="false">1-I765</f>
        <v>0</v>
      </c>
      <c r="K765" s="277"/>
      <c r="L765" s="282"/>
      <c r="M765" s="282"/>
      <c r="N765" s="282"/>
      <c r="O765" s="282"/>
      <c r="P765" s="282"/>
      <c r="Q765" s="282"/>
      <c r="R765" s="282"/>
      <c r="S765" s="282"/>
      <c r="T765" s="282"/>
      <c r="U765" s="282"/>
      <c r="V765" s="282"/>
      <c r="W765" s="282"/>
      <c r="X765" s="283"/>
      <c r="Y765" s="284" t="n">
        <f aca="false">IFERROR(L765*$G765*I$9, "")</f>
        <v>0</v>
      </c>
      <c r="Z765" s="284" t="n">
        <f aca="false">IFERROR(M765*$G765*$I765, "")</f>
        <v>0</v>
      </c>
      <c r="AA765" s="284" t="n">
        <f aca="false">IFERROR(N765*$G765*$I765, "")</f>
        <v>0</v>
      </c>
      <c r="AB765" s="284" t="n">
        <f aca="false">IFERROR(O765*$G765*$I765, "")</f>
        <v>0</v>
      </c>
      <c r="AC765" s="284" t="n">
        <f aca="false">IFERROR(P765*$G765*$I765, "")</f>
        <v>0</v>
      </c>
      <c r="AD765" s="284" t="n">
        <f aca="false">IFERROR(Q765*$G765*$I765, "")</f>
        <v>0</v>
      </c>
      <c r="AE765" s="284" t="n">
        <f aca="false">IFERROR(R765*$G765*$I765, "")</f>
        <v>0</v>
      </c>
      <c r="AF765" s="284" t="n">
        <f aca="false">IFERROR(S765*$G765*$I765, "")</f>
        <v>0</v>
      </c>
      <c r="AG765" s="284" t="n">
        <f aca="false">IFERROR(T765*$G765*$I765, "")</f>
        <v>0</v>
      </c>
      <c r="AH765" s="284" t="n">
        <f aca="false">IFERROR(U765*$G765*$I765, "")</f>
        <v>0</v>
      </c>
      <c r="AI765" s="284" t="n">
        <f aca="false">IFERROR(V765*$G765*$I765, "")</f>
        <v>0</v>
      </c>
      <c r="AJ765" s="284" t="n">
        <f aca="false">IFERROR(W765*$G765*$I765, "")</f>
        <v>0</v>
      </c>
      <c r="AK765" s="286" t="n">
        <f aca="false">IFERROR(SUMIF($Y$4:$AJ$4, "RDEC", Y765:AJ765), "")</f>
        <v>0</v>
      </c>
      <c r="AL765" s="286" t="n">
        <f aca="false">IFERROR(SUMIF($Y$4:$AJ$4, "SME", Y765:AJ765), "")</f>
        <v>0</v>
      </c>
      <c r="AM765" s="286" t="n">
        <f aca="false">IFERROR(SUMIF($Y$4:$AJ$4, "De Minimis", Y765:AJ765), "")</f>
        <v>0</v>
      </c>
      <c r="AN765" s="283"/>
      <c r="AO765" s="284" t="n">
        <f aca="false">IFERROR($G765*$J765*L765, "")</f>
        <v>0</v>
      </c>
      <c r="AP765" s="284" t="n">
        <f aca="false">IFERROR($G765*$J765*M765, "")</f>
        <v>0</v>
      </c>
      <c r="AQ765" s="284" t="n">
        <f aca="false">IFERROR($G765*$J765*N765, "")</f>
        <v>0</v>
      </c>
      <c r="AR765" s="284" t="n">
        <f aca="false">IFERROR($G765*$J765*O765, "")</f>
        <v>0</v>
      </c>
      <c r="AS765" s="284" t="n">
        <f aca="false">IFERROR($G765*$J765*P765, "")</f>
        <v>0</v>
      </c>
      <c r="AT765" s="284" t="n">
        <f aca="false">IFERROR($G765*$J765*Q765, "")</f>
        <v>0</v>
      </c>
      <c r="AU765" s="284" t="n">
        <f aca="false">IFERROR($G765*$J765*R765, "")</f>
        <v>0</v>
      </c>
      <c r="AV765" s="284" t="n">
        <f aca="false">IFERROR($G765*$J765*S765, "")</f>
        <v>0</v>
      </c>
      <c r="AW765" s="284" t="n">
        <f aca="false">IFERROR($G765*$J765*T765, "")</f>
        <v>0</v>
      </c>
      <c r="AX765" s="284" t="n">
        <f aca="false">IFERROR($G765*$J765*U765, "")</f>
        <v>0</v>
      </c>
      <c r="AY765" s="284" t="n">
        <f aca="false">IFERROR($G765*$J765*V765, "")</f>
        <v>0</v>
      </c>
      <c r="AZ765" s="284" t="n">
        <f aca="false">IFERROR($G765*$J765*W765, "")</f>
        <v>0</v>
      </c>
      <c r="BA765" s="286" t="n">
        <f aca="false">IFERROR(SUMIF($AO$4:$AZ$4, "RDEC", AO765:AZ765), "")</f>
        <v>0</v>
      </c>
      <c r="BB765" s="286" t="n">
        <f aca="false">IFERROR(SUMIF($AO$4:$AZ$4, "SME", AO765:AZ765), "")</f>
        <v>0</v>
      </c>
      <c r="BC765" s="286" t="n">
        <f aca="false">IFERROR(SUMIF($Y$4:$AJ$4, "De Minimis", AO765:AZ765), "")</f>
        <v>0</v>
      </c>
      <c r="BD765" s="287"/>
      <c r="BE765" s="288" t="str">
        <f aca="false">IF((SUM(L765:W765)&gt;1),"ERROR","")</f>
        <v/>
      </c>
    </row>
    <row r="766" customFormat="false" ht="15" hidden="false" customHeight="true" outlineLevel="0" collapsed="false">
      <c r="B766" s="333"/>
      <c r="C766" s="334"/>
      <c r="D766" s="333" t="n">
        <f aca="false">D750</f>
        <v>45444</v>
      </c>
      <c r="E766" s="277" t="n">
        <v>0</v>
      </c>
      <c r="F766" s="277" t="n">
        <v>0</v>
      </c>
      <c r="G766" s="277" t="n">
        <f aca="false">SUM(E766:F766)</f>
        <v>0</v>
      </c>
      <c r="H766" s="204"/>
      <c r="I766" s="279" t="n">
        <v>1</v>
      </c>
      <c r="J766" s="280" t="n">
        <f aca="false">1-I766</f>
        <v>0</v>
      </c>
      <c r="K766" s="277"/>
      <c r="L766" s="282"/>
      <c r="M766" s="282"/>
      <c r="N766" s="282"/>
      <c r="O766" s="282"/>
      <c r="P766" s="282"/>
      <c r="Q766" s="282"/>
      <c r="R766" s="282"/>
      <c r="S766" s="282"/>
      <c r="T766" s="282"/>
      <c r="U766" s="282"/>
      <c r="V766" s="282"/>
      <c r="W766" s="282"/>
      <c r="X766" s="283"/>
      <c r="Y766" s="284" t="n">
        <f aca="false">IFERROR(L766*$G766*I$9, "")</f>
        <v>0</v>
      </c>
      <c r="Z766" s="284" t="n">
        <f aca="false">IFERROR(M766*$G766*$I766, "")</f>
        <v>0</v>
      </c>
      <c r="AA766" s="284" t="n">
        <f aca="false">IFERROR(N766*$G766*$I766, "")</f>
        <v>0</v>
      </c>
      <c r="AB766" s="284" t="n">
        <f aca="false">IFERROR(O766*$G766*$I766, "")</f>
        <v>0</v>
      </c>
      <c r="AC766" s="284" t="n">
        <f aca="false">IFERROR(P766*$G766*$I766, "")</f>
        <v>0</v>
      </c>
      <c r="AD766" s="284" t="n">
        <f aca="false">IFERROR(Q766*$G766*$I766, "")</f>
        <v>0</v>
      </c>
      <c r="AE766" s="284" t="n">
        <f aca="false">IFERROR(R766*$G766*$I766, "")</f>
        <v>0</v>
      </c>
      <c r="AF766" s="284" t="n">
        <f aca="false">IFERROR(S766*$G766*$I766, "")</f>
        <v>0</v>
      </c>
      <c r="AG766" s="284" t="n">
        <f aca="false">IFERROR(T766*$G766*$I766, "")</f>
        <v>0</v>
      </c>
      <c r="AH766" s="284" t="n">
        <f aca="false">IFERROR(U766*$G766*$I766, "")</f>
        <v>0</v>
      </c>
      <c r="AI766" s="284" t="n">
        <f aca="false">IFERROR(V766*$G766*$I766, "")</f>
        <v>0</v>
      </c>
      <c r="AJ766" s="284" t="n">
        <f aca="false">IFERROR(W766*$G766*$I766, "")</f>
        <v>0</v>
      </c>
      <c r="AK766" s="286" t="n">
        <f aca="false">IFERROR(SUMIF($Y$4:$AJ$4, "RDEC", Y766:AJ766), "")</f>
        <v>0</v>
      </c>
      <c r="AL766" s="286" t="n">
        <f aca="false">IFERROR(SUMIF($Y$4:$AJ$4, "SME", Y766:AJ766), "")</f>
        <v>0</v>
      </c>
      <c r="AM766" s="286" t="n">
        <f aca="false">IFERROR(SUMIF($Y$4:$AJ$4, "De Minimis", Y766:AJ766), "")</f>
        <v>0</v>
      </c>
      <c r="AN766" s="283"/>
      <c r="AO766" s="284" t="n">
        <f aca="false">IFERROR($G766*$J766*L766, "")</f>
        <v>0</v>
      </c>
      <c r="AP766" s="284" t="n">
        <f aca="false">IFERROR($G766*$J766*M766, "")</f>
        <v>0</v>
      </c>
      <c r="AQ766" s="284" t="n">
        <f aca="false">IFERROR($G766*$J766*N766, "")</f>
        <v>0</v>
      </c>
      <c r="AR766" s="284" t="n">
        <f aca="false">IFERROR($G766*$J766*O766, "")</f>
        <v>0</v>
      </c>
      <c r="AS766" s="284" t="n">
        <f aca="false">IFERROR($G766*$J766*P766, "")</f>
        <v>0</v>
      </c>
      <c r="AT766" s="284" t="n">
        <f aca="false">IFERROR($G766*$J766*Q766, "")</f>
        <v>0</v>
      </c>
      <c r="AU766" s="284" t="n">
        <f aca="false">IFERROR($G766*$J766*R766, "")</f>
        <v>0</v>
      </c>
      <c r="AV766" s="284" t="n">
        <f aca="false">IFERROR($G766*$J766*S766, "")</f>
        <v>0</v>
      </c>
      <c r="AW766" s="284" t="n">
        <f aca="false">IFERROR($G766*$J766*T766, "")</f>
        <v>0</v>
      </c>
      <c r="AX766" s="284" t="n">
        <f aca="false">IFERROR($G766*$J766*U766, "")</f>
        <v>0</v>
      </c>
      <c r="AY766" s="284" t="n">
        <f aca="false">IFERROR($G766*$J766*V766, "")</f>
        <v>0</v>
      </c>
      <c r="AZ766" s="284" t="n">
        <f aca="false">IFERROR($G766*$J766*W766, "")</f>
        <v>0</v>
      </c>
      <c r="BA766" s="286" t="n">
        <f aca="false">IFERROR(SUMIF($AO$4:$AZ$4, "RDEC", AO766:AZ766), "")</f>
        <v>0</v>
      </c>
      <c r="BB766" s="286" t="n">
        <f aca="false">IFERROR(SUMIF($AO$4:$AZ$4, "SME", AO766:AZ766), "")</f>
        <v>0</v>
      </c>
      <c r="BC766" s="286" t="n">
        <f aca="false">IFERROR(SUMIF($Y$4:$AJ$4, "De Minimis", AO766:AZ766), "")</f>
        <v>0</v>
      </c>
      <c r="BD766" s="287"/>
      <c r="BE766" s="288" t="str">
        <f aca="false">IF((SUM(L766:W766)&gt;1),"ERROR","")</f>
        <v/>
      </c>
    </row>
    <row r="767" customFormat="false" ht="15" hidden="false" customHeight="true" outlineLevel="0" collapsed="false">
      <c r="B767" s="333"/>
      <c r="C767" s="334"/>
      <c r="D767" s="333" t="n">
        <f aca="false">D751</f>
        <v>45474</v>
      </c>
      <c r="E767" s="277" t="n">
        <v>0</v>
      </c>
      <c r="F767" s="277" t="n">
        <v>0</v>
      </c>
      <c r="G767" s="277" t="n">
        <f aca="false">SUM(E767:F767)</f>
        <v>0</v>
      </c>
      <c r="H767" s="204"/>
      <c r="I767" s="279" t="n">
        <v>1</v>
      </c>
      <c r="J767" s="280" t="n">
        <f aca="false">1-I767</f>
        <v>0</v>
      </c>
      <c r="K767" s="277"/>
      <c r="L767" s="282"/>
      <c r="M767" s="282"/>
      <c r="N767" s="282"/>
      <c r="O767" s="282"/>
      <c r="P767" s="282"/>
      <c r="Q767" s="282"/>
      <c r="R767" s="282"/>
      <c r="S767" s="282"/>
      <c r="T767" s="282"/>
      <c r="U767" s="282"/>
      <c r="V767" s="282"/>
      <c r="W767" s="282"/>
      <c r="X767" s="283"/>
      <c r="Y767" s="284" t="n">
        <f aca="false">IFERROR(L767*$G767*I$9, "")</f>
        <v>0</v>
      </c>
      <c r="Z767" s="284" t="n">
        <f aca="false">IFERROR(M767*$G767*$I767, "")</f>
        <v>0</v>
      </c>
      <c r="AA767" s="284" t="n">
        <f aca="false">IFERROR(N767*$G767*$I767, "")</f>
        <v>0</v>
      </c>
      <c r="AB767" s="284" t="n">
        <f aca="false">IFERROR(O767*$G767*$I767, "")</f>
        <v>0</v>
      </c>
      <c r="AC767" s="284" t="n">
        <f aca="false">IFERROR(P767*$G767*$I767, "")</f>
        <v>0</v>
      </c>
      <c r="AD767" s="284" t="n">
        <f aca="false">IFERROR(Q767*$G767*$I767, "")</f>
        <v>0</v>
      </c>
      <c r="AE767" s="284" t="n">
        <f aca="false">IFERROR(R767*$G767*$I767, "")</f>
        <v>0</v>
      </c>
      <c r="AF767" s="284" t="n">
        <f aca="false">IFERROR(S767*$G767*$I767, "")</f>
        <v>0</v>
      </c>
      <c r="AG767" s="284" t="n">
        <f aca="false">IFERROR(T767*$G767*$I767, "")</f>
        <v>0</v>
      </c>
      <c r="AH767" s="284" t="n">
        <f aca="false">IFERROR(U767*$G767*$I767, "")</f>
        <v>0</v>
      </c>
      <c r="AI767" s="284" t="n">
        <f aca="false">IFERROR(V767*$G767*$I767, "")</f>
        <v>0</v>
      </c>
      <c r="AJ767" s="284" t="n">
        <f aca="false">IFERROR(W767*$G767*$I767, "")</f>
        <v>0</v>
      </c>
      <c r="AK767" s="286" t="n">
        <f aca="false">IFERROR(SUMIF($Y$4:$AJ$4, "RDEC", Y767:AJ767), "")</f>
        <v>0</v>
      </c>
      <c r="AL767" s="286" t="n">
        <f aca="false">IFERROR(SUMIF($Y$4:$AJ$4, "SME", Y767:AJ767), "")</f>
        <v>0</v>
      </c>
      <c r="AM767" s="286" t="n">
        <f aca="false">IFERROR(SUMIF($Y$4:$AJ$4, "De Minimis", Y767:AJ767), "")</f>
        <v>0</v>
      </c>
      <c r="AN767" s="283"/>
      <c r="AO767" s="284" t="n">
        <f aca="false">IFERROR($G767*$J767*L767, "")</f>
        <v>0</v>
      </c>
      <c r="AP767" s="284" t="n">
        <f aca="false">IFERROR($G767*$J767*M767, "")</f>
        <v>0</v>
      </c>
      <c r="AQ767" s="284" t="n">
        <f aca="false">IFERROR($G767*$J767*N767, "")</f>
        <v>0</v>
      </c>
      <c r="AR767" s="284" t="n">
        <f aca="false">IFERROR($G767*$J767*O767, "")</f>
        <v>0</v>
      </c>
      <c r="AS767" s="284" t="n">
        <f aca="false">IFERROR($G767*$J767*P767, "")</f>
        <v>0</v>
      </c>
      <c r="AT767" s="284" t="n">
        <f aca="false">IFERROR($G767*$J767*Q767, "")</f>
        <v>0</v>
      </c>
      <c r="AU767" s="284" t="n">
        <f aca="false">IFERROR($G767*$J767*R767, "")</f>
        <v>0</v>
      </c>
      <c r="AV767" s="284" t="n">
        <f aca="false">IFERROR($G767*$J767*S767, "")</f>
        <v>0</v>
      </c>
      <c r="AW767" s="284" t="n">
        <f aca="false">IFERROR($G767*$J767*T767, "")</f>
        <v>0</v>
      </c>
      <c r="AX767" s="284" t="n">
        <f aca="false">IFERROR($G767*$J767*U767, "")</f>
        <v>0</v>
      </c>
      <c r="AY767" s="284" t="n">
        <f aca="false">IFERROR($G767*$J767*V767, "")</f>
        <v>0</v>
      </c>
      <c r="AZ767" s="284" t="n">
        <f aca="false">IFERROR($G767*$J767*W767, "")</f>
        <v>0</v>
      </c>
      <c r="BA767" s="286" t="n">
        <f aca="false">IFERROR(SUMIF($AO$4:$AZ$4, "RDEC", AO767:AZ767), "")</f>
        <v>0</v>
      </c>
      <c r="BB767" s="286" t="n">
        <f aca="false">IFERROR(SUMIF($AO$4:$AZ$4, "SME", AO767:AZ767), "")</f>
        <v>0</v>
      </c>
      <c r="BC767" s="286" t="n">
        <f aca="false">IFERROR(SUMIF($Y$4:$AJ$4, "De Minimis", AO767:AZ767), "")</f>
        <v>0</v>
      </c>
      <c r="BD767" s="287"/>
      <c r="BE767" s="288" t="str">
        <f aca="false">IF((SUM(L767:W767)&gt;1),"ERROR","")</f>
        <v/>
      </c>
    </row>
    <row r="768" customFormat="false" ht="15" hidden="false" customHeight="true" outlineLevel="0" collapsed="false">
      <c r="B768" s="333"/>
      <c r="C768" s="334"/>
      <c r="D768" s="333" t="n">
        <f aca="false">D752</f>
        <v>45505</v>
      </c>
      <c r="E768" s="277" t="n">
        <v>0</v>
      </c>
      <c r="F768" s="277" t="n">
        <v>0</v>
      </c>
      <c r="G768" s="277" t="n">
        <f aca="false">SUM(E768:F768)</f>
        <v>0</v>
      </c>
      <c r="H768" s="204"/>
      <c r="I768" s="279" t="n">
        <v>1</v>
      </c>
      <c r="J768" s="280" t="n">
        <f aca="false">1-I768</f>
        <v>0</v>
      </c>
      <c r="K768" s="277"/>
      <c r="L768" s="282"/>
      <c r="M768" s="282"/>
      <c r="N768" s="282"/>
      <c r="O768" s="282"/>
      <c r="P768" s="282"/>
      <c r="Q768" s="282"/>
      <c r="R768" s="282"/>
      <c r="S768" s="282"/>
      <c r="T768" s="282"/>
      <c r="U768" s="282"/>
      <c r="V768" s="282"/>
      <c r="W768" s="282"/>
      <c r="X768" s="283"/>
      <c r="Y768" s="284" t="n">
        <f aca="false">IFERROR(L768*$G768*I$9, "")</f>
        <v>0</v>
      </c>
      <c r="Z768" s="284" t="n">
        <f aca="false">IFERROR(M768*$G768*$I768, "")</f>
        <v>0</v>
      </c>
      <c r="AA768" s="284" t="n">
        <f aca="false">IFERROR(N768*$G768*$I768, "")</f>
        <v>0</v>
      </c>
      <c r="AB768" s="284" t="n">
        <f aca="false">IFERROR(O768*$G768*$I768, "")</f>
        <v>0</v>
      </c>
      <c r="AC768" s="284" t="n">
        <f aca="false">IFERROR(P768*$G768*$I768, "")</f>
        <v>0</v>
      </c>
      <c r="AD768" s="284" t="n">
        <f aca="false">IFERROR(Q768*$G768*$I768, "")</f>
        <v>0</v>
      </c>
      <c r="AE768" s="284" t="n">
        <f aca="false">IFERROR(R768*$G768*$I768, "")</f>
        <v>0</v>
      </c>
      <c r="AF768" s="284" t="n">
        <f aca="false">IFERROR(S768*$G768*$I768, "")</f>
        <v>0</v>
      </c>
      <c r="AG768" s="284" t="n">
        <f aca="false">IFERROR(T768*$G768*$I768, "")</f>
        <v>0</v>
      </c>
      <c r="AH768" s="284" t="n">
        <f aca="false">IFERROR(U768*$G768*$I768, "")</f>
        <v>0</v>
      </c>
      <c r="AI768" s="284" t="n">
        <f aca="false">IFERROR(V768*$G768*$I768, "")</f>
        <v>0</v>
      </c>
      <c r="AJ768" s="284" t="n">
        <f aca="false">IFERROR(W768*$G768*$I768, "")</f>
        <v>0</v>
      </c>
      <c r="AK768" s="286" t="n">
        <f aca="false">IFERROR(SUMIF($Y$4:$AJ$4, "RDEC", Y768:AJ768), "")</f>
        <v>0</v>
      </c>
      <c r="AL768" s="286" t="n">
        <f aca="false">IFERROR(SUMIF($Y$4:$AJ$4, "SME", Y768:AJ768), "")</f>
        <v>0</v>
      </c>
      <c r="AM768" s="286" t="n">
        <f aca="false">IFERROR(SUMIF($Y$4:$AJ$4, "De Minimis", Y768:AJ768), "")</f>
        <v>0</v>
      </c>
      <c r="AN768" s="283"/>
      <c r="AO768" s="284" t="n">
        <f aca="false">IFERROR($G768*$J768*L768, "")</f>
        <v>0</v>
      </c>
      <c r="AP768" s="284" t="n">
        <f aca="false">IFERROR($G768*$J768*M768, "")</f>
        <v>0</v>
      </c>
      <c r="AQ768" s="284" t="n">
        <f aca="false">IFERROR($G768*$J768*N768, "")</f>
        <v>0</v>
      </c>
      <c r="AR768" s="284" t="n">
        <f aca="false">IFERROR($G768*$J768*O768, "")</f>
        <v>0</v>
      </c>
      <c r="AS768" s="284" t="n">
        <f aca="false">IFERROR($G768*$J768*P768, "")</f>
        <v>0</v>
      </c>
      <c r="AT768" s="284" t="n">
        <f aca="false">IFERROR($G768*$J768*Q768, "")</f>
        <v>0</v>
      </c>
      <c r="AU768" s="284" t="n">
        <f aca="false">IFERROR($G768*$J768*R768, "")</f>
        <v>0</v>
      </c>
      <c r="AV768" s="284" t="n">
        <f aca="false">IFERROR($G768*$J768*S768, "")</f>
        <v>0</v>
      </c>
      <c r="AW768" s="284" t="n">
        <f aca="false">IFERROR($G768*$J768*T768, "")</f>
        <v>0</v>
      </c>
      <c r="AX768" s="284" t="n">
        <f aca="false">IFERROR($G768*$J768*U768, "")</f>
        <v>0</v>
      </c>
      <c r="AY768" s="284" t="n">
        <f aca="false">IFERROR($G768*$J768*V768, "")</f>
        <v>0</v>
      </c>
      <c r="AZ768" s="284" t="n">
        <f aca="false">IFERROR($G768*$J768*W768, "")</f>
        <v>0</v>
      </c>
      <c r="BA768" s="286" t="n">
        <f aca="false">IFERROR(SUMIF($AO$4:$AZ$4, "RDEC", AO768:AZ768), "")</f>
        <v>0</v>
      </c>
      <c r="BB768" s="286" t="n">
        <f aca="false">IFERROR(SUMIF($AO$4:$AZ$4, "SME", AO768:AZ768), "")</f>
        <v>0</v>
      </c>
      <c r="BC768" s="286" t="n">
        <f aca="false">IFERROR(SUMIF($Y$4:$AJ$4, "De Minimis", AO768:AZ768), "")</f>
        <v>0</v>
      </c>
      <c r="BD768" s="287"/>
      <c r="BE768" s="288" t="str">
        <f aca="false">IF((SUM(L768:W768)&gt;1),"ERROR","")</f>
        <v/>
      </c>
    </row>
    <row r="769" customFormat="false" ht="15" hidden="false" customHeight="true" outlineLevel="0" collapsed="false">
      <c r="B769" s="333"/>
      <c r="C769" s="334"/>
      <c r="D769" s="333" t="n">
        <f aca="false">D753</f>
        <v>45536</v>
      </c>
      <c r="E769" s="277" t="n">
        <v>0</v>
      </c>
      <c r="F769" s="277" t="n">
        <v>0</v>
      </c>
      <c r="G769" s="277" t="n">
        <f aca="false">SUM(E769:F769)</f>
        <v>0</v>
      </c>
      <c r="H769" s="204"/>
      <c r="I769" s="279" t="n">
        <v>1</v>
      </c>
      <c r="J769" s="280" t="n">
        <f aca="false">1-I769</f>
        <v>0</v>
      </c>
      <c r="K769" s="277"/>
      <c r="L769" s="282"/>
      <c r="M769" s="282"/>
      <c r="N769" s="282"/>
      <c r="O769" s="282"/>
      <c r="P769" s="282"/>
      <c r="Q769" s="282"/>
      <c r="R769" s="282"/>
      <c r="S769" s="282"/>
      <c r="T769" s="282"/>
      <c r="U769" s="282"/>
      <c r="V769" s="282"/>
      <c r="W769" s="282"/>
      <c r="X769" s="283"/>
      <c r="Y769" s="284" t="n">
        <f aca="false">IFERROR(L769*$G769*I$9, "")</f>
        <v>0</v>
      </c>
      <c r="Z769" s="284" t="n">
        <f aca="false">IFERROR(M769*$G769*$I769, "")</f>
        <v>0</v>
      </c>
      <c r="AA769" s="284" t="n">
        <f aca="false">IFERROR(N769*$G769*$I769, "")</f>
        <v>0</v>
      </c>
      <c r="AB769" s="284" t="n">
        <f aca="false">IFERROR(O769*$G769*$I769, "")</f>
        <v>0</v>
      </c>
      <c r="AC769" s="284" t="n">
        <f aca="false">IFERROR(P769*$G769*$I769, "")</f>
        <v>0</v>
      </c>
      <c r="AD769" s="284" t="n">
        <f aca="false">IFERROR(Q769*$G769*$I769, "")</f>
        <v>0</v>
      </c>
      <c r="AE769" s="284" t="n">
        <f aca="false">IFERROR(R769*$G769*$I769, "")</f>
        <v>0</v>
      </c>
      <c r="AF769" s="284" t="n">
        <f aca="false">IFERROR(S769*$G769*$I769, "")</f>
        <v>0</v>
      </c>
      <c r="AG769" s="284" t="n">
        <f aca="false">IFERROR(T769*$G769*$I769, "")</f>
        <v>0</v>
      </c>
      <c r="AH769" s="284" t="n">
        <f aca="false">IFERROR(U769*$G769*$I769, "")</f>
        <v>0</v>
      </c>
      <c r="AI769" s="284" t="n">
        <f aca="false">IFERROR(V769*$G769*$I769, "")</f>
        <v>0</v>
      </c>
      <c r="AJ769" s="284" t="n">
        <f aca="false">IFERROR(W769*$G769*$I769, "")</f>
        <v>0</v>
      </c>
      <c r="AK769" s="286" t="n">
        <f aca="false">IFERROR(SUMIF($Y$4:$AJ$4, "RDEC", Y769:AJ769), "")</f>
        <v>0</v>
      </c>
      <c r="AL769" s="286" t="n">
        <f aca="false">IFERROR(SUMIF($Y$4:$AJ$4, "SME", Y769:AJ769), "")</f>
        <v>0</v>
      </c>
      <c r="AM769" s="286" t="n">
        <f aca="false">IFERROR(SUMIF($Y$4:$AJ$4, "De Minimis", Y769:AJ769), "")</f>
        <v>0</v>
      </c>
      <c r="AN769" s="283"/>
      <c r="AO769" s="284" t="n">
        <f aca="false">IFERROR($G769*$J769*L769, "")</f>
        <v>0</v>
      </c>
      <c r="AP769" s="284" t="n">
        <f aca="false">IFERROR($G769*$J769*M769, "")</f>
        <v>0</v>
      </c>
      <c r="AQ769" s="284" t="n">
        <f aca="false">IFERROR($G769*$J769*N769, "")</f>
        <v>0</v>
      </c>
      <c r="AR769" s="284" t="n">
        <f aca="false">IFERROR($G769*$J769*O769, "")</f>
        <v>0</v>
      </c>
      <c r="AS769" s="284" t="n">
        <f aca="false">IFERROR($G769*$J769*P769, "")</f>
        <v>0</v>
      </c>
      <c r="AT769" s="284" t="n">
        <f aca="false">IFERROR($G769*$J769*Q769, "")</f>
        <v>0</v>
      </c>
      <c r="AU769" s="284" t="n">
        <f aca="false">IFERROR($G769*$J769*R769, "")</f>
        <v>0</v>
      </c>
      <c r="AV769" s="284" t="n">
        <f aca="false">IFERROR($G769*$J769*S769, "")</f>
        <v>0</v>
      </c>
      <c r="AW769" s="284" t="n">
        <f aca="false">IFERROR($G769*$J769*T769, "")</f>
        <v>0</v>
      </c>
      <c r="AX769" s="284" t="n">
        <f aca="false">IFERROR($G769*$J769*U769, "")</f>
        <v>0</v>
      </c>
      <c r="AY769" s="284" t="n">
        <f aca="false">IFERROR($G769*$J769*V769, "")</f>
        <v>0</v>
      </c>
      <c r="AZ769" s="284" t="n">
        <f aca="false">IFERROR($G769*$J769*W769, "")</f>
        <v>0</v>
      </c>
      <c r="BA769" s="286" t="n">
        <f aca="false">IFERROR(SUMIF($AO$4:$AZ$4, "RDEC", AO769:AZ769), "")</f>
        <v>0</v>
      </c>
      <c r="BB769" s="286" t="n">
        <f aca="false">IFERROR(SUMIF($AO$4:$AZ$4, "SME", AO769:AZ769), "")</f>
        <v>0</v>
      </c>
      <c r="BC769" s="286" t="n">
        <f aca="false">IFERROR(SUMIF($Y$4:$AJ$4, "De Minimis", AO769:AZ769), "")</f>
        <v>0</v>
      </c>
      <c r="BD769" s="287"/>
      <c r="BE769" s="288" t="str">
        <f aca="false">IF((SUM(L769:W769)&gt;1),"ERROR","")</f>
        <v/>
      </c>
    </row>
    <row r="770" customFormat="false" ht="15" hidden="false" customHeight="true" outlineLevel="0" collapsed="false">
      <c r="B770" s="333"/>
      <c r="C770" s="334"/>
      <c r="D770" s="333" t="n">
        <f aca="false">D754</f>
        <v>45566</v>
      </c>
      <c r="E770" s="277" t="n">
        <v>0</v>
      </c>
      <c r="F770" s="277" t="n">
        <v>0</v>
      </c>
      <c r="G770" s="277" t="n">
        <f aca="false">SUM(E770:F770)</f>
        <v>0</v>
      </c>
      <c r="H770" s="204"/>
      <c r="I770" s="279" t="n">
        <v>1</v>
      </c>
      <c r="J770" s="280" t="n">
        <f aca="false">1-I770</f>
        <v>0</v>
      </c>
      <c r="K770" s="277"/>
      <c r="L770" s="282"/>
      <c r="M770" s="282"/>
      <c r="N770" s="282"/>
      <c r="O770" s="282"/>
      <c r="P770" s="282"/>
      <c r="Q770" s="282"/>
      <c r="R770" s="282"/>
      <c r="S770" s="282"/>
      <c r="T770" s="282"/>
      <c r="U770" s="282"/>
      <c r="V770" s="282"/>
      <c r="W770" s="282"/>
      <c r="X770" s="283"/>
      <c r="Y770" s="284" t="n">
        <f aca="false">IFERROR(L770*$G770*I$9, "")</f>
        <v>0</v>
      </c>
      <c r="Z770" s="284" t="n">
        <f aca="false">IFERROR(M770*$G770*$I770, "")</f>
        <v>0</v>
      </c>
      <c r="AA770" s="284" t="n">
        <f aca="false">IFERROR(N770*$G770*$I770, "")</f>
        <v>0</v>
      </c>
      <c r="AB770" s="284" t="n">
        <f aca="false">IFERROR(O770*$G770*$I770, "")</f>
        <v>0</v>
      </c>
      <c r="AC770" s="284" t="n">
        <f aca="false">IFERROR(P770*$G770*$I770, "")</f>
        <v>0</v>
      </c>
      <c r="AD770" s="284" t="n">
        <f aca="false">IFERROR(Q770*$G770*$I770, "")</f>
        <v>0</v>
      </c>
      <c r="AE770" s="284" t="n">
        <f aca="false">IFERROR(R770*$G770*$I770, "")</f>
        <v>0</v>
      </c>
      <c r="AF770" s="284" t="n">
        <f aca="false">IFERROR(S770*$G770*$I770, "")</f>
        <v>0</v>
      </c>
      <c r="AG770" s="284" t="n">
        <f aca="false">IFERROR(T770*$G770*$I770, "")</f>
        <v>0</v>
      </c>
      <c r="AH770" s="284" t="n">
        <f aca="false">IFERROR(U770*$G770*$I770, "")</f>
        <v>0</v>
      </c>
      <c r="AI770" s="284" t="n">
        <f aca="false">IFERROR(V770*$G770*$I770, "")</f>
        <v>0</v>
      </c>
      <c r="AJ770" s="284" t="n">
        <f aca="false">IFERROR(W770*$G770*$I770, "")</f>
        <v>0</v>
      </c>
      <c r="AK770" s="286" t="n">
        <f aca="false">IFERROR(SUMIF($Y$4:$AJ$4, "RDEC", Y770:AJ770), "")</f>
        <v>0</v>
      </c>
      <c r="AL770" s="286" t="n">
        <f aca="false">IFERROR(SUMIF($Y$4:$AJ$4, "SME", Y770:AJ770), "")</f>
        <v>0</v>
      </c>
      <c r="AM770" s="286" t="n">
        <f aca="false">IFERROR(SUMIF($Y$4:$AJ$4, "De Minimis", Y770:AJ770), "")</f>
        <v>0</v>
      </c>
      <c r="AN770" s="283"/>
      <c r="AO770" s="284" t="n">
        <f aca="false">IFERROR($G770*$J770*L770, "")</f>
        <v>0</v>
      </c>
      <c r="AP770" s="284" t="n">
        <f aca="false">IFERROR($G770*$J770*M770, "")</f>
        <v>0</v>
      </c>
      <c r="AQ770" s="284" t="n">
        <f aca="false">IFERROR($G770*$J770*N770, "")</f>
        <v>0</v>
      </c>
      <c r="AR770" s="284" t="n">
        <f aca="false">IFERROR($G770*$J770*O770, "")</f>
        <v>0</v>
      </c>
      <c r="AS770" s="284" t="n">
        <f aca="false">IFERROR($G770*$J770*P770, "")</f>
        <v>0</v>
      </c>
      <c r="AT770" s="284" t="n">
        <f aca="false">IFERROR($G770*$J770*Q770, "")</f>
        <v>0</v>
      </c>
      <c r="AU770" s="284" t="n">
        <f aca="false">IFERROR($G770*$J770*R770, "")</f>
        <v>0</v>
      </c>
      <c r="AV770" s="284" t="n">
        <f aca="false">IFERROR($G770*$J770*S770, "")</f>
        <v>0</v>
      </c>
      <c r="AW770" s="284" t="n">
        <f aca="false">IFERROR($G770*$J770*T770, "")</f>
        <v>0</v>
      </c>
      <c r="AX770" s="284" t="n">
        <f aca="false">IFERROR($G770*$J770*U770, "")</f>
        <v>0</v>
      </c>
      <c r="AY770" s="284" t="n">
        <f aca="false">IFERROR($G770*$J770*V770, "")</f>
        <v>0</v>
      </c>
      <c r="AZ770" s="284" t="n">
        <f aca="false">IFERROR($G770*$J770*W770, "")</f>
        <v>0</v>
      </c>
      <c r="BA770" s="286" t="n">
        <f aca="false">IFERROR(SUMIF($AO$4:$AZ$4, "RDEC", AO770:AZ770), "")</f>
        <v>0</v>
      </c>
      <c r="BB770" s="286" t="n">
        <f aca="false">IFERROR(SUMIF($AO$4:$AZ$4, "SME", AO770:AZ770), "")</f>
        <v>0</v>
      </c>
      <c r="BC770" s="286" t="n">
        <f aca="false">IFERROR(SUMIF($Y$4:$AJ$4, "De Minimis", AO770:AZ770), "")</f>
        <v>0</v>
      </c>
      <c r="BD770" s="287"/>
      <c r="BE770" s="288" t="str">
        <f aca="false">IF((SUM(L770:W770)&gt;1),"ERROR","")</f>
        <v/>
      </c>
    </row>
    <row r="771" customFormat="false" ht="15" hidden="false" customHeight="true" outlineLevel="0" collapsed="false">
      <c r="B771" s="333"/>
      <c r="C771" s="334"/>
      <c r="D771" s="333" t="n">
        <f aca="false">D755</f>
        <v>45597</v>
      </c>
      <c r="E771" s="277" t="n">
        <v>0</v>
      </c>
      <c r="F771" s="277" t="n">
        <v>0</v>
      </c>
      <c r="G771" s="277" t="n">
        <f aca="false">SUM(E771:F771)</f>
        <v>0</v>
      </c>
      <c r="H771" s="204"/>
      <c r="I771" s="279" t="n">
        <v>1</v>
      </c>
      <c r="J771" s="280" t="n">
        <f aca="false">1-I771</f>
        <v>0</v>
      </c>
      <c r="K771" s="277"/>
      <c r="L771" s="282"/>
      <c r="M771" s="282"/>
      <c r="N771" s="282"/>
      <c r="O771" s="282"/>
      <c r="P771" s="282"/>
      <c r="Q771" s="282"/>
      <c r="R771" s="282"/>
      <c r="S771" s="282"/>
      <c r="T771" s="282"/>
      <c r="U771" s="282"/>
      <c r="V771" s="282"/>
      <c r="W771" s="282"/>
      <c r="X771" s="283"/>
      <c r="Y771" s="284" t="n">
        <f aca="false">IFERROR(L771*$G771*I$9, "")</f>
        <v>0</v>
      </c>
      <c r="Z771" s="284" t="n">
        <f aca="false">IFERROR(M771*$G771*$I771, "")</f>
        <v>0</v>
      </c>
      <c r="AA771" s="284" t="n">
        <f aca="false">IFERROR(N771*$G771*$I771, "")</f>
        <v>0</v>
      </c>
      <c r="AB771" s="284" t="n">
        <f aca="false">IFERROR(O771*$G771*$I771, "")</f>
        <v>0</v>
      </c>
      <c r="AC771" s="284" t="n">
        <f aca="false">IFERROR(P771*$G771*$I771, "")</f>
        <v>0</v>
      </c>
      <c r="AD771" s="284" t="n">
        <f aca="false">IFERROR(Q771*$G771*$I771, "")</f>
        <v>0</v>
      </c>
      <c r="AE771" s="284" t="n">
        <f aca="false">IFERROR(R771*$G771*$I771, "")</f>
        <v>0</v>
      </c>
      <c r="AF771" s="284" t="n">
        <f aca="false">IFERROR(S771*$G771*$I771, "")</f>
        <v>0</v>
      </c>
      <c r="AG771" s="284" t="n">
        <f aca="false">IFERROR(T771*$G771*$I771, "")</f>
        <v>0</v>
      </c>
      <c r="AH771" s="284" t="n">
        <f aca="false">IFERROR(U771*$G771*$I771, "")</f>
        <v>0</v>
      </c>
      <c r="AI771" s="284" t="n">
        <f aca="false">IFERROR(V771*$G771*$I771, "")</f>
        <v>0</v>
      </c>
      <c r="AJ771" s="284" t="n">
        <f aca="false">IFERROR(W771*$G771*$I771, "")</f>
        <v>0</v>
      </c>
      <c r="AK771" s="286" t="n">
        <f aca="false">IFERROR(SUMIF($Y$4:$AJ$4, "RDEC", Y771:AJ771), "")</f>
        <v>0</v>
      </c>
      <c r="AL771" s="286" t="n">
        <f aca="false">IFERROR(SUMIF($Y$4:$AJ$4, "SME", Y771:AJ771), "")</f>
        <v>0</v>
      </c>
      <c r="AM771" s="286" t="n">
        <f aca="false">IFERROR(SUMIF($Y$4:$AJ$4, "De Minimis", Y771:AJ771), "")</f>
        <v>0</v>
      </c>
      <c r="AN771" s="283"/>
      <c r="AO771" s="284" t="n">
        <f aca="false">IFERROR($G771*$J771*L771, "")</f>
        <v>0</v>
      </c>
      <c r="AP771" s="284" t="n">
        <f aca="false">IFERROR($G771*$J771*M771, "")</f>
        <v>0</v>
      </c>
      <c r="AQ771" s="284" t="n">
        <f aca="false">IFERROR($G771*$J771*N771, "")</f>
        <v>0</v>
      </c>
      <c r="AR771" s="284" t="n">
        <f aca="false">IFERROR($G771*$J771*O771, "")</f>
        <v>0</v>
      </c>
      <c r="AS771" s="284" t="n">
        <f aca="false">IFERROR($G771*$J771*P771, "")</f>
        <v>0</v>
      </c>
      <c r="AT771" s="284" t="n">
        <f aca="false">IFERROR($G771*$J771*Q771, "")</f>
        <v>0</v>
      </c>
      <c r="AU771" s="284" t="n">
        <f aca="false">IFERROR($G771*$J771*R771, "")</f>
        <v>0</v>
      </c>
      <c r="AV771" s="284" t="n">
        <f aca="false">IFERROR($G771*$J771*S771, "")</f>
        <v>0</v>
      </c>
      <c r="AW771" s="284" t="n">
        <f aca="false">IFERROR($G771*$J771*T771, "")</f>
        <v>0</v>
      </c>
      <c r="AX771" s="284" t="n">
        <f aca="false">IFERROR($G771*$J771*U771, "")</f>
        <v>0</v>
      </c>
      <c r="AY771" s="284" t="n">
        <f aca="false">IFERROR($G771*$J771*V771, "")</f>
        <v>0</v>
      </c>
      <c r="AZ771" s="284" t="n">
        <f aca="false">IFERROR($G771*$J771*W771, "")</f>
        <v>0</v>
      </c>
      <c r="BA771" s="286" t="n">
        <f aca="false">IFERROR(SUMIF($AO$4:$AZ$4, "RDEC", AO771:AZ771), "")</f>
        <v>0</v>
      </c>
      <c r="BB771" s="286" t="n">
        <f aca="false">IFERROR(SUMIF($AO$4:$AZ$4, "SME", AO771:AZ771), "")</f>
        <v>0</v>
      </c>
      <c r="BC771" s="286" t="n">
        <f aca="false">IFERROR(SUMIF($Y$4:$AJ$4, "De Minimis", AO771:AZ771), "")</f>
        <v>0</v>
      </c>
      <c r="BD771" s="287"/>
      <c r="BE771" s="288" t="str">
        <f aca="false">IF((SUM(L771:W771)&gt;1),"ERROR","")</f>
        <v/>
      </c>
    </row>
    <row r="772" customFormat="false" ht="15" hidden="false" customHeight="true" outlineLevel="0" collapsed="false">
      <c r="B772" s="333"/>
      <c r="C772" s="334"/>
      <c r="D772" s="333" t="n">
        <f aca="false">D756</f>
        <v>45627</v>
      </c>
      <c r="E772" s="277" t="n">
        <v>0</v>
      </c>
      <c r="F772" s="277" t="n">
        <v>0</v>
      </c>
      <c r="G772" s="277" t="n">
        <f aca="false">SUM(E772:F772)</f>
        <v>0</v>
      </c>
      <c r="H772" s="300"/>
      <c r="I772" s="289" t="n">
        <v>1</v>
      </c>
      <c r="J772" s="290" t="n">
        <f aca="false">1-I772</f>
        <v>0</v>
      </c>
      <c r="K772" s="300"/>
      <c r="L772" s="291"/>
      <c r="M772" s="291"/>
      <c r="N772" s="291"/>
      <c r="O772" s="291"/>
      <c r="P772" s="291"/>
      <c r="Q772" s="291"/>
      <c r="R772" s="291"/>
      <c r="S772" s="291"/>
      <c r="T772" s="291"/>
      <c r="U772" s="291"/>
      <c r="V772" s="291"/>
      <c r="W772" s="291"/>
      <c r="X772" s="283"/>
      <c r="Y772" s="284" t="n">
        <f aca="false">IFERROR(L772*$G772*I$9, "")</f>
        <v>0</v>
      </c>
      <c r="Z772" s="284" t="n">
        <f aca="false">IFERROR(M772*$G772*$I772, "")</f>
        <v>0</v>
      </c>
      <c r="AA772" s="284" t="n">
        <f aca="false">IFERROR(N772*$G772*$I772, "")</f>
        <v>0</v>
      </c>
      <c r="AB772" s="284" t="n">
        <f aca="false">IFERROR(O772*$G772*$I772, "")</f>
        <v>0</v>
      </c>
      <c r="AC772" s="284" t="n">
        <f aca="false">IFERROR(P772*$G772*$I772, "")</f>
        <v>0</v>
      </c>
      <c r="AD772" s="284" t="n">
        <f aca="false">IFERROR(Q772*$G772*$I772, "")</f>
        <v>0</v>
      </c>
      <c r="AE772" s="284" t="n">
        <f aca="false">IFERROR(R772*$G772*$I772, "")</f>
        <v>0</v>
      </c>
      <c r="AF772" s="284" t="n">
        <f aca="false">IFERROR(S772*$G772*$I772, "")</f>
        <v>0</v>
      </c>
      <c r="AG772" s="284" t="n">
        <f aca="false">IFERROR(T772*$G772*$I772, "")</f>
        <v>0</v>
      </c>
      <c r="AH772" s="284" t="n">
        <f aca="false">IFERROR(U772*$G772*$I772, "")</f>
        <v>0</v>
      </c>
      <c r="AI772" s="284" t="n">
        <f aca="false">IFERROR(V772*$G772*$I772, "")</f>
        <v>0</v>
      </c>
      <c r="AJ772" s="284" t="n">
        <f aca="false">IFERROR(W772*$G772*$I772, "")</f>
        <v>0</v>
      </c>
      <c r="AK772" s="294" t="n">
        <f aca="false">IFERROR(SUMIF($Y$4:$AJ$4, "RDEC", Y772:AJ772), "")</f>
        <v>0</v>
      </c>
      <c r="AL772" s="294" t="n">
        <f aca="false">IFERROR(SUMIF($Y$4:$AJ$4, "SME", Y772:AJ772), "")</f>
        <v>0</v>
      </c>
      <c r="AM772" s="294" t="n">
        <f aca="false">IFERROR(SUMIF($Y$4:$AJ$4, "De Minimis", Y772:AJ772), "")</f>
        <v>0</v>
      </c>
      <c r="AN772" s="283"/>
      <c r="AO772" s="284" t="n">
        <f aca="false">IFERROR($G772*$J772*L772, "")</f>
        <v>0</v>
      </c>
      <c r="AP772" s="284" t="n">
        <f aca="false">IFERROR($G772*$J772*M772, "")</f>
        <v>0</v>
      </c>
      <c r="AQ772" s="284" t="n">
        <f aca="false">IFERROR($G772*$J772*N772, "")</f>
        <v>0</v>
      </c>
      <c r="AR772" s="284" t="n">
        <f aca="false">IFERROR($G772*$J772*O772, "")</f>
        <v>0</v>
      </c>
      <c r="AS772" s="284" t="n">
        <f aca="false">IFERROR($G772*$J772*P772, "")</f>
        <v>0</v>
      </c>
      <c r="AT772" s="284" t="n">
        <f aca="false">IFERROR($G772*$J772*Q772, "")</f>
        <v>0</v>
      </c>
      <c r="AU772" s="284" t="n">
        <f aca="false">IFERROR($G772*$J772*R772, "")</f>
        <v>0</v>
      </c>
      <c r="AV772" s="284" t="n">
        <f aca="false">IFERROR($G772*$J772*S772, "")</f>
        <v>0</v>
      </c>
      <c r="AW772" s="284" t="n">
        <f aca="false">IFERROR($G772*$J772*T772, "")</f>
        <v>0</v>
      </c>
      <c r="AX772" s="284" t="n">
        <f aca="false">IFERROR($G772*$J772*U772, "")</f>
        <v>0</v>
      </c>
      <c r="AY772" s="284" t="n">
        <f aca="false">IFERROR($G772*$J772*V772, "")</f>
        <v>0</v>
      </c>
      <c r="AZ772" s="284" t="n">
        <f aca="false">IFERROR($G772*$J772*W772, "")</f>
        <v>0</v>
      </c>
      <c r="BA772" s="286" t="n">
        <f aca="false">IFERROR(SUMIF($AO$4:$AZ$4, "RDEC", AO772:AZ772), "")</f>
        <v>0</v>
      </c>
      <c r="BB772" s="286" t="n">
        <f aca="false">IFERROR(SUMIF($AO$4:$AZ$4, "SME", AO772:AZ772), "")</f>
        <v>0</v>
      </c>
      <c r="BC772" s="294" t="n">
        <f aca="false">IFERROR(SUMIF($Y$4:$AJ$4, "De Minimis", AO772:AZ772), "")</f>
        <v>0</v>
      </c>
      <c r="BD772" s="303"/>
      <c r="BE772" s="295" t="str">
        <f aca="false">IF((SUM(L772:W772)&gt;1),"ERROR","")</f>
        <v/>
      </c>
    </row>
    <row r="773" customFormat="false" ht="15" hidden="false" customHeight="true" outlineLevel="0" collapsed="false">
      <c r="B773" s="296"/>
      <c r="D773" s="297" t="s">
        <v>82</v>
      </c>
      <c r="E773" s="299" t="n">
        <f aca="false">SUM(E761:E772)</f>
        <v>0</v>
      </c>
      <c r="F773" s="299" t="n">
        <f aca="false">SUM(F761:F772)</f>
        <v>0</v>
      </c>
      <c r="G773" s="299" t="n">
        <f aca="false">SUM(G761:G772)</f>
        <v>0</v>
      </c>
      <c r="H773" s="300"/>
      <c r="I773" s="301" t="n">
        <f aca="false">AVERAGE(I761:I772)</f>
        <v>1</v>
      </c>
      <c r="J773" s="301" t="n">
        <f aca="false">AVERAGE(J761:J772)</f>
        <v>0</v>
      </c>
      <c r="K773" s="300"/>
      <c r="L773" s="290" t="n">
        <f aca="false">IF(SUM(L761:L772)&gt;0,(Y773/G773),0)</f>
        <v>0</v>
      </c>
      <c r="M773" s="301" t="n">
        <f aca="false">IF(SUM(M761:M772)&gt;0,(Z773/G773),0)</f>
        <v>0</v>
      </c>
      <c r="N773" s="301" t="n">
        <f aca="false">IF(SUM(N761:N772)&gt;0,(AA773/G773),0)</f>
        <v>0</v>
      </c>
      <c r="O773" s="301" t="n">
        <f aca="false">IF(SUM(O761:O772)&gt;0,(AB773/G773),0)</f>
        <v>0</v>
      </c>
      <c r="P773" s="301" t="n">
        <f aca="false">IF(SUM(P761:P772)&gt;0,(AC773/G773),0)</f>
        <v>0</v>
      </c>
      <c r="Q773" s="301" t="n">
        <f aca="false">IF(SUM(Q761:Q772)&gt;0,(AD773/G773),0)</f>
        <v>0</v>
      </c>
      <c r="R773" s="301" t="n">
        <f aca="false">IF(SUM(R761:R772)&gt;0,(AE773/G773),0)</f>
        <v>0</v>
      </c>
      <c r="S773" s="301" t="n">
        <f aca="false">IF(SUM(S761:S772)&gt;0,(AF773/G773),0)</f>
        <v>0</v>
      </c>
      <c r="T773" s="301" t="n">
        <f aca="false">IF(SUM(T761:T772)&gt;0,(AG773/G773),0)</f>
        <v>0</v>
      </c>
      <c r="U773" s="301" t="n">
        <f aca="false">IF(SUM(U761:U772)&gt;0,(AJ773/G773),0)</f>
        <v>0</v>
      </c>
      <c r="V773" s="301" t="n">
        <f aca="false">IF(SUM(V761:V772)&gt;0,(AI773/G773),0)</f>
        <v>0</v>
      </c>
      <c r="W773" s="301" t="n">
        <f aca="false">IF(SUM(W761:W772)&gt;0,(AJ773/G773),0)</f>
        <v>0</v>
      </c>
      <c r="X773" s="283"/>
      <c r="Y773" s="304" t="n">
        <f aca="false">SUM(Y761:Y772)</f>
        <v>0</v>
      </c>
      <c r="Z773" s="304" t="n">
        <f aca="false">SUM(Z761:Z772)</f>
        <v>0</v>
      </c>
      <c r="AA773" s="304" t="n">
        <f aca="false">SUM(AA761:AA772)</f>
        <v>0</v>
      </c>
      <c r="AB773" s="304" t="n">
        <f aca="false">SUM(AB761:AB772)</f>
        <v>0</v>
      </c>
      <c r="AC773" s="304" t="n">
        <f aca="false">SUM(AC761:AC772)</f>
        <v>0</v>
      </c>
      <c r="AD773" s="304" t="n">
        <f aca="false">SUM(AD761:AD772)</f>
        <v>0</v>
      </c>
      <c r="AE773" s="304" t="n">
        <f aca="false">SUM(AE761:AE772)</f>
        <v>0</v>
      </c>
      <c r="AF773" s="304" t="n">
        <f aca="false">SUM(AF761:AF772)</f>
        <v>0</v>
      </c>
      <c r="AG773" s="304" t="n">
        <f aca="false">SUM(AG761:AG772)</f>
        <v>0</v>
      </c>
      <c r="AH773" s="304" t="n">
        <f aca="false">SUM(AH761:AH772)</f>
        <v>0</v>
      </c>
      <c r="AI773" s="304" t="n">
        <f aca="false">SUM(AI761:AI772)</f>
        <v>0</v>
      </c>
      <c r="AJ773" s="304" t="n">
        <f aca="false">SUM(AJ761:AJ772)</f>
        <v>0</v>
      </c>
      <c r="AK773" s="335" t="n">
        <f aca="false">SUM(AK761:AK772)</f>
        <v>0</v>
      </c>
      <c r="AL773" s="336" t="n">
        <f aca="false">SUM(AL761:AL772)</f>
        <v>0</v>
      </c>
      <c r="AM773" s="305" t="n">
        <f aca="false">SUM(AM761:AM772)</f>
        <v>0</v>
      </c>
      <c r="AN773" s="283"/>
      <c r="AO773" s="304" t="n">
        <f aca="false">SUM(AO761:AO772)</f>
        <v>0</v>
      </c>
      <c r="AP773" s="304" t="n">
        <f aca="false">SUM(AP761:AP772)</f>
        <v>0</v>
      </c>
      <c r="AQ773" s="304" t="n">
        <f aca="false">SUM(AQ761:AQ772)</f>
        <v>0</v>
      </c>
      <c r="AR773" s="304" t="n">
        <f aca="false">SUM(AR761:AR772)</f>
        <v>0</v>
      </c>
      <c r="AS773" s="304" t="n">
        <f aca="false">SUM(AS761:AS772)</f>
        <v>0</v>
      </c>
      <c r="AT773" s="304" t="n">
        <f aca="false">SUM(AT761:AT772)</f>
        <v>0</v>
      </c>
      <c r="AU773" s="304" t="n">
        <f aca="false">SUM(AU761:AU772)</f>
        <v>0</v>
      </c>
      <c r="AV773" s="304" t="n">
        <f aca="false">SUM(AV761:AV772)</f>
        <v>0</v>
      </c>
      <c r="AW773" s="304" t="n">
        <f aca="false">SUM(AW761:AW772)</f>
        <v>0</v>
      </c>
      <c r="AX773" s="304" t="n">
        <f aca="false">SUM(AX761:AX772)</f>
        <v>0</v>
      </c>
      <c r="AY773" s="304" t="n">
        <f aca="false">SUM(AY761:AY772)</f>
        <v>0</v>
      </c>
      <c r="AZ773" s="304" t="n">
        <f aca="false">SUM(AZ761:AZ772)</f>
        <v>0</v>
      </c>
      <c r="BA773" s="336" t="n">
        <f aca="false">SUM(BA761:BA772)</f>
        <v>0</v>
      </c>
      <c r="BB773" s="336" t="n">
        <f aca="false">SUM(BB761:BB772)</f>
        <v>0</v>
      </c>
      <c r="BC773" s="305" t="n">
        <f aca="false">SUM(BC761:BC772)</f>
        <v>0</v>
      </c>
      <c r="BD773" s="303"/>
      <c r="BE773" s="337"/>
    </row>
    <row r="774" customFormat="false" ht="15" hidden="false" customHeight="true" outlineLevel="0" collapsed="false">
      <c r="B774" s="296"/>
      <c r="D774" s="297"/>
      <c r="E774" s="300"/>
      <c r="F774" s="300"/>
      <c r="G774" s="300"/>
      <c r="H774" s="241"/>
      <c r="I774" s="302"/>
      <c r="J774" s="302"/>
      <c r="K774" s="241"/>
      <c r="L774" s="259"/>
      <c r="M774" s="259"/>
      <c r="N774" s="259"/>
      <c r="O774" s="259"/>
      <c r="P774" s="259"/>
      <c r="Q774" s="259"/>
      <c r="R774" s="259"/>
      <c r="S774" s="259"/>
      <c r="T774" s="259"/>
      <c r="U774" s="259"/>
      <c r="V774" s="259"/>
      <c r="W774" s="259"/>
      <c r="X774" s="303"/>
      <c r="Y774" s="259"/>
      <c r="Z774" s="303"/>
      <c r="AA774" s="303"/>
      <c r="AB774" s="303"/>
      <c r="AC774" s="303"/>
      <c r="AD774" s="303"/>
      <c r="AE774" s="303"/>
      <c r="AF774" s="303"/>
      <c r="AG774" s="303"/>
      <c r="AH774" s="303"/>
      <c r="AI774" s="303"/>
      <c r="AJ774" s="303"/>
      <c r="AK774" s="303"/>
      <c r="AL774" s="303"/>
      <c r="AM774" s="303"/>
      <c r="AN774" s="303"/>
      <c r="AO774" s="259"/>
      <c r="AP774" s="303"/>
      <c r="AQ774" s="303"/>
      <c r="AR774" s="303"/>
      <c r="AS774" s="303"/>
      <c r="AT774" s="303"/>
      <c r="AU774" s="303"/>
      <c r="AV774" s="303"/>
      <c r="AW774" s="303"/>
      <c r="AX774" s="303"/>
      <c r="AY774" s="303"/>
      <c r="AZ774" s="303"/>
      <c r="BA774" s="303"/>
      <c r="BB774" s="303"/>
      <c r="BC774" s="303"/>
      <c r="BD774" s="268"/>
      <c r="BE774" s="303"/>
    </row>
    <row r="775" customFormat="false" ht="15" hidden="false" customHeight="true" outlineLevel="0" collapsed="false">
      <c r="A775" s="198" t="n">
        <f aca="false">A759+1</f>
        <v>49</v>
      </c>
      <c r="B775" s="266" t="s">
        <v>253</v>
      </c>
      <c r="C775" s="266" t="s">
        <v>253</v>
      </c>
      <c r="D775" s="266"/>
      <c r="E775" s="241"/>
      <c r="F775" s="241"/>
      <c r="G775" s="241"/>
      <c r="H775" s="241"/>
      <c r="I775" s="241"/>
      <c r="J775" s="241"/>
      <c r="K775" s="277"/>
      <c r="L775" s="241"/>
      <c r="M775" s="241"/>
      <c r="N775" s="241"/>
      <c r="O775" s="241"/>
      <c r="P775" s="241"/>
      <c r="Q775" s="241"/>
      <c r="R775" s="241"/>
      <c r="S775" s="241"/>
      <c r="T775" s="241"/>
      <c r="U775" s="241"/>
      <c r="V775" s="241"/>
      <c r="W775" s="241"/>
      <c r="X775" s="259"/>
      <c r="Y775" s="268"/>
      <c r="Z775" s="268"/>
      <c r="AA775" s="268"/>
      <c r="AB775" s="268"/>
      <c r="AC775" s="268"/>
      <c r="AD775" s="268"/>
      <c r="AE775" s="268"/>
      <c r="AF775" s="268"/>
      <c r="AG775" s="268"/>
      <c r="AH775" s="268"/>
      <c r="AI775" s="268"/>
      <c r="AJ775" s="268"/>
      <c r="AK775" s="268"/>
      <c r="AL775" s="268"/>
      <c r="AM775" s="268"/>
      <c r="AN775" s="259"/>
      <c r="AO775" s="268"/>
      <c r="AP775" s="268"/>
      <c r="AQ775" s="268"/>
      <c r="AR775" s="268"/>
      <c r="AS775" s="268"/>
      <c r="AT775" s="268"/>
      <c r="AU775" s="268"/>
      <c r="AV775" s="268"/>
      <c r="AW775" s="268"/>
      <c r="AX775" s="268"/>
      <c r="AY775" s="268"/>
      <c r="AZ775" s="268"/>
      <c r="BA775" s="268"/>
      <c r="BB775" s="268"/>
      <c r="BC775" s="268"/>
      <c r="BD775" s="287"/>
      <c r="BE775" s="268"/>
    </row>
    <row r="776" customFormat="false" ht="7.5" hidden="false" customHeight="true" outlineLevel="0" collapsed="false">
      <c r="A776" s="198"/>
      <c r="B776" s="266"/>
      <c r="C776" s="266"/>
      <c r="D776" s="266"/>
      <c r="E776" s="241"/>
      <c r="F776" s="241"/>
      <c r="G776" s="241"/>
      <c r="H776" s="204"/>
      <c r="I776" s="269"/>
      <c r="J776" s="269"/>
      <c r="K776" s="277"/>
      <c r="L776" s="269"/>
      <c r="M776" s="269"/>
      <c r="N776" s="269"/>
      <c r="O776" s="269"/>
      <c r="P776" s="269"/>
      <c r="Q776" s="269"/>
      <c r="R776" s="269"/>
      <c r="S776" s="269"/>
      <c r="T776" s="269"/>
      <c r="U776" s="269"/>
      <c r="V776" s="269"/>
      <c r="W776" s="269"/>
      <c r="X776" s="259"/>
      <c r="Y776" s="271"/>
      <c r="Z776" s="271"/>
      <c r="AA776" s="271"/>
      <c r="AB776" s="271"/>
      <c r="AC776" s="271"/>
      <c r="AD776" s="271"/>
      <c r="AE776" s="271"/>
      <c r="AF776" s="271"/>
      <c r="AG776" s="271"/>
      <c r="AH776" s="271"/>
      <c r="AI776" s="271"/>
      <c r="AJ776" s="272"/>
      <c r="AK776" s="273"/>
      <c r="AL776" s="273"/>
      <c r="AM776" s="273"/>
      <c r="AN776" s="259"/>
      <c r="AO776" s="271"/>
      <c r="AP776" s="271"/>
      <c r="AQ776" s="271"/>
      <c r="AR776" s="271"/>
      <c r="AS776" s="271"/>
      <c r="AT776" s="271"/>
      <c r="AU776" s="271"/>
      <c r="AV776" s="271"/>
      <c r="AW776" s="271"/>
      <c r="AX776" s="271"/>
      <c r="AY776" s="271"/>
      <c r="AZ776" s="272"/>
      <c r="BA776" s="273"/>
      <c r="BB776" s="273"/>
      <c r="BC776" s="273"/>
      <c r="BD776" s="287"/>
      <c r="BE776" s="274"/>
    </row>
    <row r="777" customFormat="false" ht="15" hidden="false" customHeight="true" outlineLevel="0" collapsed="false">
      <c r="B777" s="333"/>
      <c r="C777" s="334"/>
      <c r="D777" s="333" t="n">
        <f aca="false">D761</f>
        <v>45292</v>
      </c>
      <c r="E777" s="277" t="n">
        <v>0</v>
      </c>
      <c r="F777" s="277" t="n">
        <v>0</v>
      </c>
      <c r="G777" s="277" t="n">
        <f aca="false">SUM(E777:F777)</f>
        <v>0</v>
      </c>
      <c r="H777" s="204"/>
      <c r="I777" s="279" t="n">
        <v>1</v>
      </c>
      <c r="J777" s="280" t="n">
        <f aca="false">1-I777</f>
        <v>0</v>
      </c>
      <c r="K777" s="277"/>
      <c r="L777" s="282"/>
      <c r="M777" s="282"/>
      <c r="N777" s="282"/>
      <c r="O777" s="282"/>
      <c r="P777" s="282"/>
      <c r="Q777" s="282"/>
      <c r="R777" s="282"/>
      <c r="S777" s="282"/>
      <c r="T777" s="282"/>
      <c r="U777" s="282"/>
      <c r="V777" s="282"/>
      <c r="W777" s="282"/>
      <c r="X777" s="268"/>
      <c r="Y777" s="284" t="n">
        <f aca="false">IFERROR(L777*$G777*I$9, "")</f>
        <v>0</v>
      </c>
      <c r="Z777" s="284" t="n">
        <f aca="false">IFERROR(M777*$G777*$I777, "")</f>
        <v>0</v>
      </c>
      <c r="AA777" s="284" t="n">
        <f aca="false">IFERROR(N777*$G777*$I777, "")</f>
        <v>0</v>
      </c>
      <c r="AB777" s="284" t="n">
        <f aca="false">IFERROR(O777*$G777*$I777, "")</f>
        <v>0</v>
      </c>
      <c r="AC777" s="284" t="n">
        <f aca="false">IFERROR(P777*$G777*$I777, "")</f>
        <v>0</v>
      </c>
      <c r="AD777" s="284" t="n">
        <f aca="false">IFERROR(Q777*$G777*$I777, "")</f>
        <v>0</v>
      </c>
      <c r="AE777" s="284" t="n">
        <f aca="false">IFERROR(R777*$G777*$I777, "")</f>
        <v>0</v>
      </c>
      <c r="AF777" s="284" t="n">
        <f aca="false">IFERROR(S777*$G777*$I777, "")</f>
        <v>0</v>
      </c>
      <c r="AG777" s="284" t="n">
        <f aca="false">IFERROR(T777*$G777*$I777, "")</f>
        <v>0</v>
      </c>
      <c r="AH777" s="284" t="n">
        <f aca="false">IFERROR(U777*$G777*$I777, "")</f>
        <v>0</v>
      </c>
      <c r="AI777" s="284" t="n">
        <f aca="false">IFERROR(V777*$G777*$I777, "")</f>
        <v>0</v>
      </c>
      <c r="AJ777" s="284" t="n">
        <f aca="false">IFERROR(W777*$G777*$I777, "")</f>
        <v>0</v>
      </c>
      <c r="AK777" s="286" t="n">
        <f aca="false">IFERROR(SUMIF($Y$4:$AJ$4, "RDEC", Y777:AJ777), "")</f>
        <v>0</v>
      </c>
      <c r="AL777" s="286" t="n">
        <f aca="false">IFERROR(SUMIF($Y$4:$AJ$4, "SME", Y777:AJ777), "")</f>
        <v>0</v>
      </c>
      <c r="AM777" s="286" t="n">
        <f aca="false">IFERROR(SUMIF($Y$4:$AJ$4, "De Minimis", Y777:AJ777), "")</f>
        <v>0</v>
      </c>
      <c r="AN777" s="268"/>
      <c r="AO777" s="284" t="n">
        <f aca="false">IFERROR($G777*$J777*L777, "")</f>
        <v>0</v>
      </c>
      <c r="AP777" s="284" t="n">
        <f aca="false">IFERROR($G777*$J777*M777, "")</f>
        <v>0</v>
      </c>
      <c r="AQ777" s="284" t="n">
        <f aca="false">IFERROR($G777*$J777*N777, "")</f>
        <v>0</v>
      </c>
      <c r="AR777" s="284" t="n">
        <f aca="false">IFERROR($G777*$J777*O777, "")</f>
        <v>0</v>
      </c>
      <c r="AS777" s="284" t="n">
        <f aca="false">IFERROR($G777*$J777*P777, "")</f>
        <v>0</v>
      </c>
      <c r="AT777" s="284" t="n">
        <f aca="false">IFERROR($G777*$J777*Q777, "")</f>
        <v>0</v>
      </c>
      <c r="AU777" s="284" t="n">
        <f aca="false">IFERROR($G777*$J777*R777, "")</f>
        <v>0</v>
      </c>
      <c r="AV777" s="284" t="n">
        <f aca="false">IFERROR($G777*$J777*S777, "")</f>
        <v>0</v>
      </c>
      <c r="AW777" s="284" t="n">
        <f aca="false">IFERROR($G777*$J777*T777, "")</f>
        <v>0</v>
      </c>
      <c r="AX777" s="284" t="n">
        <f aca="false">IFERROR($G777*$J777*U777, "")</f>
        <v>0</v>
      </c>
      <c r="AY777" s="284" t="n">
        <f aca="false">IFERROR($G777*$J777*V777, "")</f>
        <v>0</v>
      </c>
      <c r="AZ777" s="284" t="n">
        <f aca="false">IFERROR($G777*$J777*W777, "")</f>
        <v>0</v>
      </c>
      <c r="BA777" s="286" t="n">
        <f aca="false">IFERROR(SUMIF($AO$4:$AZ$4, "RDEC", AO777:AZ777), "")</f>
        <v>0</v>
      </c>
      <c r="BB777" s="286" t="n">
        <f aca="false">IFERROR(SUMIF($AO$4:$AZ$4, "SME", AO777:AZ777), "")</f>
        <v>0</v>
      </c>
      <c r="BC777" s="286" t="n">
        <f aca="false">IFERROR(SUMIF($AO$4:$AZ$4, "De Minimis", AO777:AZ777), "")</f>
        <v>0</v>
      </c>
      <c r="BD777" s="287"/>
      <c r="BE777" s="288" t="str">
        <f aca="false">IF((SUM(L777:W777)&gt;1),"ERROR","")</f>
        <v/>
      </c>
    </row>
    <row r="778" customFormat="false" ht="15" hidden="false" customHeight="true" outlineLevel="0" collapsed="false">
      <c r="B778" s="333"/>
      <c r="C778" s="334"/>
      <c r="D778" s="333" t="n">
        <f aca="false">D762</f>
        <v>45323</v>
      </c>
      <c r="E778" s="277" t="n">
        <v>0</v>
      </c>
      <c r="F778" s="277" t="n">
        <v>0</v>
      </c>
      <c r="G778" s="277" t="n">
        <f aca="false">SUM(E778:F778)</f>
        <v>0</v>
      </c>
      <c r="H778" s="204"/>
      <c r="I778" s="279" t="n">
        <v>1</v>
      </c>
      <c r="J778" s="280" t="n">
        <f aca="false">1-I778</f>
        <v>0</v>
      </c>
      <c r="K778" s="277"/>
      <c r="L778" s="282"/>
      <c r="M778" s="282"/>
      <c r="N778" s="282"/>
      <c r="O778" s="282"/>
      <c r="P778" s="282"/>
      <c r="Q778" s="282"/>
      <c r="R778" s="282"/>
      <c r="S778" s="282"/>
      <c r="T778" s="282"/>
      <c r="U778" s="282"/>
      <c r="V778" s="282"/>
      <c r="W778" s="282"/>
      <c r="X778" s="283"/>
      <c r="Y778" s="284" t="n">
        <f aca="false">IFERROR(L778*$G778*I$9, "")</f>
        <v>0</v>
      </c>
      <c r="Z778" s="284" t="n">
        <f aca="false">IFERROR(M778*$G778*$I778, "")</f>
        <v>0</v>
      </c>
      <c r="AA778" s="284" t="n">
        <f aca="false">IFERROR(N778*$G778*$I778, "")</f>
        <v>0</v>
      </c>
      <c r="AB778" s="284" t="n">
        <f aca="false">IFERROR(O778*$G778*$I778, "")</f>
        <v>0</v>
      </c>
      <c r="AC778" s="284" t="n">
        <f aca="false">IFERROR(P778*$G778*$I778, "")</f>
        <v>0</v>
      </c>
      <c r="AD778" s="284" t="n">
        <f aca="false">IFERROR(Q778*$G778*$I778, "")</f>
        <v>0</v>
      </c>
      <c r="AE778" s="284" t="n">
        <f aca="false">IFERROR(R778*$G778*$I778, "")</f>
        <v>0</v>
      </c>
      <c r="AF778" s="284" t="n">
        <f aca="false">IFERROR(S778*$G778*$I778, "")</f>
        <v>0</v>
      </c>
      <c r="AG778" s="284" t="n">
        <f aca="false">IFERROR(T778*$G778*$I778, "")</f>
        <v>0</v>
      </c>
      <c r="AH778" s="284" t="n">
        <f aca="false">IFERROR(U778*$G778*$I778, "")</f>
        <v>0</v>
      </c>
      <c r="AI778" s="284" t="n">
        <f aca="false">IFERROR(V778*$G778*$I778, "")</f>
        <v>0</v>
      </c>
      <c r="AJ778" s="284" t="n">
        <f aca="false">IFERROR(W778*$G778*$I778, "")</f>
        <v>0</v>
      </c>
      <c r="AK778" s="286" t="n">
        <f aca="false">IFERROR(SUMIF($Y$4:$AJ$4, "RDEC", Y778:AJ778), "")</f>
        <v>0</v>
      </c>
      <c r="AL778" s="286" t="n">
        <f aca="false">IFERROR(SUMIF($Y$4:$AJ$4, "SME", Y778:AJ778), "")</f>
        <v>0</v>
      </c>
      <c r="AM778" s="286" t="n">
        <f aca="false">IFERROR(SUMIF($Y$4:$AJ$4, "De Minimis", Y778:AJ778), "")</f>
        <v>0</v>
      </c>
      <c r="AN778" s="283"/>
      <c r="AO778" s="284" t="n">
        <f aca="false">IFERROR($G778*$J778*L778, "")</f>
        <v>0</v>
      </c>
      <c r="AP778" s="284" t="n">
        <f aca="false">IFERROR($G778*$J778*M778, "")</f>
        <v>0</v>
      </c>
      <c r="AQ778" s="284" t="n">
        <f aca="false">IFERROR($G778*$J778*N778, "")</f>
        <v>0</v>
      </c>
      <c r="AR778" s="284" t="n">
        <f aca="false">IFERROR($G778*$J778*O778, "")</f>
        <v>0</v>
      </c>
      <c r="AS778" s="284" t="n">
        <f aca="false">IFERROR($G778*$J778*P778, "")</f>
        <v>0</v>
      </c>
      <c r="AT778" s="284" t="n">
        <f aca="false">IFERROR($G778*$J778*Q778, "")</f>
        <v>0</v>
      </c>
      <c r="AU778" s="284" t="n">
        <f aca="false">IFERROR($G778*$J778*R778, "")</f>
        <v>0</v>
      </c>
      <c r="AV778" s="284" t="n">
        <f aca="false">IFERROR($G778*$J778*S778, "")</f>
        <v>0</v>
      </c>
      <c r="AW778" s="284" t="n">
        <f aca="false">IFERROR($G778*$J778*T778, "")</f>
        <v>0</v>
      </c>
      <c r="AX778" s="284" t="n">
        <f aca="false">IFERROR($G778*$J778*U778, "")</f>
        <v>0</v>
      </c>
      <c r="AY778" s="284" t="n">
        <f aca="false">IFERROR($G778*$J778*V778, "")</f>
        <v>0</v>
      </c>
      <c r="AZ778" s="284" t="n">
        <f aca="false">IFERROR($G778*$J778*W778, "")</f>
        <v>0</v>
      </c>
      <c r="BA778" s="286" t="n">
        <f aca="false">IFERROR(SUMIF($AO$4:$AZ$4, "RDEC", AO778:AZ778), "")</f>
        <v>0</v>
      </c>
      <c r="BB778" s="286" t="n">
        <f aca="false">IFERROR(SUMIF($AO$4:$AZ$4, "SME", AO778:AZ778), "")</f>
        <v>0</v>
      </c>
      <c r="BC778" s="286" t="n">
        <f aca="false">IFERROR(SUMIF($Y$4:$AJ$4, "De Minimis", AO778:AZ778), "")</f>
        <v>0</v>
      </c>
      <c r="BD778" s="287"/>
      <c r="BE778" s="288" t="str">
        <f aca="false">IF((SUM(L778:W778)&gt;1),"ERROR","")</f>
        <v/>
      </c>
    </row>
    <row r="779" customFormat="false" ht="15" hidden="false" customHeight="true" outlineLevel="0" collapsed="false">
      <c r="B779" s="333"/>
      <c r="C779" s="334"/>
      <c r="D779" s="333" t="n">
        <f aca="false">D763</f>
        <v>45352</v>
      </c>
      <c r="E779" s="277" t="n">
        <v>0</v>
      </c>
      <c r="F779" s="277" t="n">
        <v>0</v>
      </c>
      <c r="G779" s="277" t="n">
        <f aca="false">SUM(E779:F779)</f>
        <v>0</v>
      </c>
      <c r="H779" s="204"/>
      <c r="I779" s="279" t="n">
        <v>1</v>
      </c>
      <c r="J779" s="280" t="n">
        <f aca="false">1-I779</f>
        <v>0</v>
      </c>
      <c r="K779" s="277"/>
      <c r="L779" s="282"/>
      <c r="M779" s="282"/>
      <c r="N779" s="282"/>
      <c r="O779" s="282"/>
      <c r="P779" s="282"/>
      <c r="Q779" s="282"/>
      <c r="R779" s="282"/>
      <c r="S779" s="282"/>
      <c r="T779" s="282"/>
      <c r="U779" s="282"/>
      <c r="V779" s="282"/>
      <c r="W779" s="282"/>
      <c r="X779" s="283"/>
      <c r="Y779" s="284" t="n">
        <f aca="false">IFERROR(L779*$G779*I$9, "")</f>
        <v>0</v>
      </c>
      <c r="Z779" s="284" t="n">
        <f aca="false">IFERROR(M779*$G779*$I779, "")</f>
        <v>0</v>
      </c>
      <c r="AA779" s="284" t="n">
        <f aca="false">IFERROR(N779*$G779*$I779, "")</f>
        <v>0</v>
      </c>
      <c r="AB779" s="284" t="n">
        <f aca="false">IFERROR(O779*$G779*$I779, "")</f>
        <v>0</v>
      </c>
      <c r="AC779" s="284" t="n">
        <f aca="false">IFERROR(P779*$G779*$I779, "")</f>
        <v>0</v>
      </c>
      <c r="AD779" s="284" t="n">
        <f aca="false">IFERROR(Q779*$G779*$I779, "")</f>
        <v>0</v>
      </c>
      <c r="AE779" s="284" t="n">
        <f aca="false">IFERROR(R779*$G779*$I779, "")</f>
        <v>0</v>
      </c>
      <c r="AF779" s="284" t="n">
        <f aca="false">IFERROR(S779*$G779*$I779, "")</f>
        <v>0</v>
      </c>
      <c r="AG779" s="284" t="n">
        <f aca="false">IFERROR(T779*$G779*$I779, "")</f>
        <v>0</v>
      </c>
      <c r="AH779" s="284" t="n">
        <f aca="false">IFERROR(U779*$G779*$I779, "")</f>
        <v>0</v>
      </c>
      <c r="AI779" s="284" t="n">
        <f aca="false">IFERROR(V779*$G779*$I779, "")</f>
        <v>0</v>
      </c>
      <c r="AJ779" s="284" t="n">
        <f aca="false">IFERROR(W779*$G779*$I779, "")</f>
        <v>0</v>
      </c>
      <c r="AK779" s="286" t="n">
        <f aca="false">IFERROR(SUMIF($Y$4:$AJ$4, "RDEC", Y779:AJ779), "")</f>
        <v>0</v>
      </c>
      <c r="AL779" s="286" t="n">
        <f aca="false">IFERROR(SUMIF($Y$4:$AJ$4, "SME", Y779:AJ779), "")</f>
        <v>0</v>
      </c>
      <c r="AM779" s="286" t="n">
        <f aca="false">IFERROR(SUMIF($Y$4:$AJ$4, "De Minimis", Y779:AJ779), "")</f>
        <v>0</v>
      </c>
      <c r="AN779" s="283"/>
      <c r="AO779" s="284" t="n">
        <f aca="false">IFERROR($G779*$J779*L779, "")</f>
        <v>0</v>
      </c>
      <c r="AP779" s="284" t="n">
        <f aca="false">IFERROR($G779*$J779*M779, "")</f>
        <v>0</v>
      </c>
      <c r="AQ779" s="284" t="n">
        <f aca="false">IFERROR($G779*$J779*N779, "")</f>
        <v>0</v>
      </c>
      <c r="AR779" s="284" t="n">
        <f aca="false">IFERROR($G779*$J779*O779, "")</f>
        <v>0</v>
      </c>
      <c r="AS779" s="284" t="n">
        <f aca="false">IFERROR($G779*$J779*P779, "")</f>
        <v>0</v>
      </c>
      <c r="AT779" s="284" t="n">
        <f aca="false">IFERROR($G779*$J779*Q779, "")</f>
        <v>0</v>
      </c>
      <c r="AU779" s="284" t="n">
        <f aca="false">IFERROR($G779*$J779*R779, "")</f>
        <v>0</v>
      </c>
      <c r="AV779" s="284" t="n">
        <f aca="false">IFERROR($G779*$J779*S779, "")</f>
        <v>0</v>
      </c>
      <c r="AW779" s="284" t="n">
        <f aca="false">IFERROR($G779*$J779*T779, "")</f>
        <v>0</v>
      </c>
      <c r="AX779" s="284" t="n">
        <f aca="false">IFERROR($G779*$J779*U779, "")</f>
        <v>0</v>
      </c>
      <c r="AY779" s="284" t="n">
        <f aca="false">IFERROR($G779*$J779*V779, "")</f>
        <v>0</v>
      </c>
      <c r="AZ779" s="284" t="n">
        <f aca="false">IFERROR($G779*$J779*W779, "")</f>
        <v>0</v>
      </c>
      <c r="BA779" s="286" t="n">
        <f aca="false">IFERROR(SUMIF($AO$4:$AZ$4, "RDEC", AO779:AZ779), "")</f>
        <v>0</v>
      </c>
      <c r="BB779" s="286" t="n">
        <f aca="false">IFERROR(SUMIF($AO$4:$AZ$4, "SME", AO779:AZ779), "")</f>
        <v>0</v>
      </c>
      <c r="BC779" s="286" t="n">
        <f aca="false">IFERROR(SUMIF($Y$4:$AJ$4, "De Minimis", AO779:AZ779), "")</f>
        <v>0</v>
      </c>
      <c r="BD779" s="287"/>
      <c r="BE779" s="288" t="str">
        <f aca="false">IF((SUM(L779:W779)&gt;1),"ERROR","")</f>
        <v/>
      </c>
    </row>
    <row r="780" customFormat="false" ht="15" hidden="false" customHeight="true" outlineLevel="0" collapsed="false">
      <c r="B780" s="333"/>
      <c r="C780" s="334"/>
      <c r="D780" s="333" t="n">
        <f aca="false">D764</f>
        <v>45383</v>
      </c>
      <c r="E780" s="277" t="n">
        <v>0</v>
      </c>
      <c r="F780" s="277" t="n">
        <v>0</v>
      </c>
      <c r="G780" s="277" t="n">
        <f aca="false">SUM(E780:F780)</f>
        <v>0</v>
      </c>
      <c r="H780" s="204"/>
      <c r="I780" s="279" t="n">
        <v>1</v>
      </c>
      <c r="J780" s="280" t="n">
        <f aca="false">1-I780</f>
        <v>0</v>
      </c>
      <c r="K780" s="277"/>
      <c r="L780" s="282"/>
      <c r="M780" s="282"/>
      <c r="N780" s="282"/>
      <c r="O780" s="282"/>
      <c r="P780" s="282"/>
      <c r="Q780" s="282"/>
      <c r="R780" s="282"/>
      <c r="S780" s="282"/>
      <c r="T780" s="282"/>
      <c r="U780" s="282"/>
      <c r="V780" s="282"/>
      <c r="W780" s="282"/>
      <c r="X780" s="283"/>
      <c r="Y780" s="284" t="n">
        <f aca="false">IFERROR(L780*$G780*I$9, "")</f>
        <v>0</v>
      </c>
      <c r="Z780" s="284" t="n">
        <f aca="false">IFERROR(M780*$G780*$I780, "")</f>
        <v>0</v>
      </c>
      <c r="AA780" s="284" t="n">
        <f aca="false">IFERROR(N780*$G780*$I780, "")</f>
        <v>0</v>
      </c>
      <c r="AB780" s="284" t="n">
        <f aca="false">IFERROR(O780*$G780*$I780, "")</f>
        <v>0</v>
      </c>
      <c r="AC780" s="284" t="n">
        <f aca="false">IFERROR(P780*$G780*$I780, "")</f>
        <v>0</v>
      </c>
      <c r="AD780" s="284" t="n">
        <f aca="false">IFERROR(Q780*$G780*$I780, "")</f>
        <v>0</v>
      </c>
      <c r="AE780" s="284" t="n">
        <f aca="false">IFERROR(R780*$G780*$I780, "")</f>
        <v>0</v>
      </c>
      <c r="AF780" s="284" t="n">
        <f aca="false">IFERROR(S780*$G780*$I780, "")</f>
        <v>0</v>
      </c>
      <c r="AG780" s="284" t="n">
        <f aca="false">IFERROR(T780*$G780*$I780, "")</f>
        <v>0</v>
      </c>
      <c r="AH780" s="284" t="n">
        <f aca="false">IFERROR(U780*$G780*$I780, "")</f>
        <v>0</v>
      </c>
      <c r="AI780" s="284" t="n">
        <f aca="false">IFERROR(V780*$G780*$I780, "")</f>
        <v>0</v>
      </c>
      <c r="AJ780" s="284" t="n">
        <f aca="false">IFERROR(W780*$G780*$I780, "")</f>
        <v>0</v>
      </c>
      <c r="AK780" s="286" t="n">
        <f aca="false">IFERROR(SUMIF($Y$4:$AJ$4, "RDEC", Y780:AJ780), "")</f>
        <v>0</v>
      </c>
      <c r="AL780" s="286" t="n">
        <f aca="false">IFERROR(SUMIF($Y$4:$AJ$4, "SME", Y780:AJ780), "")</f>
        <v>0</v>
      </c>
      <c r="AM780" s="286" t="n">
        <f aca="false">IFERROR(SUMIF($Y$4:$AJ$4, "De Minimis", Y780:AJ780), "")</f>
        <v>0</v>
      </c>
      <c r="AN780" s="283"/>
      <c r="AO780" s="284" t="n">
        <f aca="false">IFERROR($G780*$J780*L780, "")</f>
        <v>0</v>
      </c>
      <c r="AP780" s="284" t="n">
        <f aca="false">IFERROR($G780*$J780*M780, "")</f>
        <v>0</v>
      </c>
      <c r="AQ780" s="284" t="n">
        <f aca="false">IFERROR($G780*$J780*N780, "")</f>
        <v>0</v>
      </c>
      <c r="AR780" s="284" t="n">
        <f aca="false">IFERROR($G780*$J780*O780, "")</f>
        <v>0</v>
      </c>
      <c r="AS780" s="284" t="n">
        <f aca="false">IFERROR($G780*$J780*P780, "")</f>
        <v>0</v>
      </c>
      <c r="AT780" s="284" t="n">
        <f aca="false">IFERROR($G780*$J780*Q780, "")</f>
        <v>0</v>
      </c>
      <c r="AU780" s="284" t="n">
        <f aca="false">IFERROR($G780*$J780*R780, "")</f>
        <v>0</v>
      </c>
      <c r="AV780" s="284" t="n">
        <f aca="false">IFERROR($G780*$J780*S780, "")</f>
        <v>0</v>
      </c>
      <c r="AW780" s="284" t="n">
        <f aca="false">IFERROR($G780*$J780*T780, "")</f>
        <v>0</v>
      </c>
      <c r="AX780" s="284" t="n">
        <f aca="false">IFERROR($G780*$J780*U780, "")</f>
        <v>0</v>
      </c>
      <c r="AY780" s="284" t="n">
        <f aca="false">IFERROR($G780*$J780*V780, "")</f>
        <v>0</v>
      </c>
      <c r="AZ780" s="284" t="n">
        <f aca="false">IFERROR($G780*$J780*W780, "")</f>
        <v>0</v>
      </c>
      <c r="BA780" s="286" t="n">
        <f aca="false">IFERROR(SUMIF($AO$4:$AZ$4, "RDEC", AO780:AZ780), "")</f>
        <v>0</v>
      </c>
      <c r="BB780" s="286" t="n">
        <f aca="false">IFERROR(SUMIF($AO$4:$AZ$4, "SME", AO780:AZ780), "")</f>
        <v>0</v>
      </c>
      <c r="BC780" s="286" t="n">
        <f aca="false">IFERROR(SUMIF($Y$4:$AJ$4, "De Minimis", AO780:AZ780), "")</f>
        <v>0</v>
      </c>
      <c r="BD780" s="287"/>
      <c r="BE780" s="288" t="str">
        <f aca="false">IF((SUM(L780:W780)&gt;1),"ERROR","")</f>
        <v/>
      </c>
    </row>
    <row r="781" customFormat="false" ht="15" hidden="false" customHeight="true" outlineLevel="0" collapsed="false">
      <c r="B781" s="333"/>
      <c r="C781" s="334"/>
      <c r="D781" s="333" t="n">
        <f aca="false">D765</f>
        <v>45413</v>
      </c>
      <c r="E781" s="277" t="n">
        <v>0</v>
      </c>
      <c r="F781" s="277" t="n">
        <v>0</v>
      </c>
      <c r="G781" s="277" t="n">
        <f aca="false">SUM(E781:F781)</f>
        <v>0</v>
      </c>
      <c r="H781" s="204"/>
      <c r="I781" s="279" t="n">
        <v>1</v>
      </c>
      <c r="J781" s="280" t="n">
        <f aca="false">1-I781</f>
        <v>0</v>
      </c>
      <c r="K781" s="277"/>
      <c r="L781" s="282"/>
      <c r="M781" s="282"/>
      <c r="N781" s="282"/>
      <c r="O781" s="282"/>
      <c r="P781" s="282"/>
      <c r="Q781" s="282"/>
      <c r="R781" s="282"/>
      <c r="S781" s="282"/>
      <c r="T781" s="282"/>
      <c r="U781" s="282"/>
      <c r="V781" s="282"/>
      <c r="W781" s="282"/>
      <c r="X781" s="283"/>
      <c r="Y781" s="284" t="n">
        <f aca="false">IFERROR(L781*$G781*I$9, "")</f>
        <v>0</v>
      </c>
      <c r="Z781" s="284" t="n">
        <f aca="false">IFERROR(M781*$G781*$I781, "")</f>
        <v>0</v>
      </c>
      <c r="AA781" s="284" t="n">
        <f aca="false">IFERROR(N781*$G781*$I781, "")</f>
        <v>0</v>
      </c>
      <c r="AB781" s="284" t="n">
        <f aca="false">IFERROR(O781*$G781*$I781, "")</f>
        <v>0</v>
      </c>
      <c r="AC781" s="284" t="n">
        <f aca="false">IFERROR(P781*$G781*$I781, "")</f>
        <v>0</v>
      </c>
      <c r="AD781" s="284" t="n">
        <f aca="false">IFERROR(Q781*$G781*$I781, "")</f>
        <v>0</v>
      </c>
      <c r="AE781" s="284" t="n">
        <f aca="false">IFERROR(R781*$G781*$I781, "")</f>
        <v>0</v>
      </c>
      <c r="AF781" s="284" t="n">
        <f aca="false">IFERROR(S781*$G781*$I781, "")</f>
        <v>0</v>
      </c>
      <c r="AG781" s="284" t="n">
        <f aca="false">IFERROR(T781*$G781*$I781, "")</f>
        <v>0</v>
      </c>
      <c r="AH781" s="284" t="n">
        <f aca="false">IFERROR(U781*$G781*$I781, "")</f>
        <v>0</v>
      </c>
      <c r="AI781" s="284" t="n">
        <f aca="false">IFERROR(V781*$G781*$I781, "")</f>
        <v>0</v>
      </c>
      <c r="AJ781" s="284" t="n">
        <f aca="false">IFERROR(W781*$G781*$I781, "")</f>
        <v>0</v>
      </c>
      <c r="AK781" s="286" t="n">
        <f aca="false">IFERROR(SUMIF($Y$4:$AJ$4, "RDEC", Y781:AJ781), "")</f>
        <v>0</v>
      </c>
      <c r="AL781" s="286" t="n">
        <f aca="false">IFERROR(SUMIF($Y$4:$AJ$4, "SME", Y781:AJ781), "")</f>
        <v>0</v>
      </c>
      <c r="AM781" s="286" t="n">
        <f aca="false">IFERROR(SUMIF($Y$4:$AJ$4, "De Minimis", Y781:AJ781), "")</f>
        <v>0</v>
      </c>
      <c r="AN781" s="283"/>
      <c r="AO781" s="284" t="n">
        <f aca="false">IFERROR($G781*$J781*L781, "")</f>
        <v>0</v>
      </c>
      <c r="AP781" s="284" t="n">
        <f aca="false">IFERROR($G781*$J781*M781, "")</f>
        <v>0</v>
      </c>
      <c r="AQ781" s="284" t="n">
        <f aca="false">IFERROR($G781*$J781*N781, "")</f>
        <v>0</v>
      </c>
      <c r="AR781" s="284" t="n">
        <f aca="false">IFERROR($G781*$J781*O781, "")</f>
        <v>0</v>
      </c>
      <c r="AS781" s="284" t="n">
        <f aca="false">IFERROR($G781*$J781*P781, "")</f>
        <v>0</v>
      </c>
      <c r="AT781" s="284" t="n">
        <f aca="false">IFERROR($G781*$J781*Q781, "")</f>
        <v>0</v>
      </c>
      <c r="AU781" s="284" t="n">
        <f aca="false">IFERROR($G781*$J781*R781, "")</f>
        <v>0</v>
      </c>
      <c r="AV781" s="284" t="n">
        <f aca="false">IFERROR($G781*$J781*S781, "")</f>
        <v>0</v>
      </c>
      <c r="AW781" s="284" t="n">
        <f aca="false">IFERROR($G781*$J781*T781, "")</f>
        <v>0</v>
      </c>
      <c r="AX781" s="284" t="n">
        <f aca="false">IFERROR($G781*$J781*U781, "")</f>
        <v>0</v>
      </c>
      <c r="AY781" s="284" t="n">
        <f aca="false">IFERROR($G781*$J781*V781, "")</f>
        <v>0</v>
      </c>
      <c r="AZ781" s="284" t="n">
        <f aca="false">IFERROR($G781*$J781*W781, "")</f>
        <v>0</v>
      </c>
      <c r="BA781" s="286" t="n">
        <f aca="false">IFERROR(SUMIF($AO$4:$AZ$4, "RDEC", AO781:AZ781), "")</f>
        <v>0</v>
      </c>
      <c r="BB781" s="286" t="n">
        <f aca="false">IFERROR(SUMIF($AO$4:$AZ$4, "SME", AO781:AZ781), "")</f>
        <v>0</v>
      </c>
      <c r="BC781" s="286" t="n">
        <f aca="false">IFERROR(SUMIF($Y$4:$AJ$4, "De Minimis", AO781:AZ781), "")</f>
        <v>0</v>
      </c>
      <c r="BD781" s="287"/>
      <c r="BE781" s="288" t="str">
        <f aca="false">IF((SUM(L781:W781)&gt;1),"ERROR","")</f>
        <v/>
      </c>
    </row>
    <row r="782" customFormat="false" ht="15" hidden="false" customHeight="true" outlineLevel="0" collapsed="false">
      <c r="B782" s="333"/>
      <c r="C782" s="334"/>
      <c r="D782" s="333" t="n">
        <f aca="false">D766</f>
        <v>45444</v>
      </c>
      <c r="E782" s="277" t="n">
        <v>0</v>
      </c>
      <c r="F782" s="277" t="n">
        <v>0</v>
      </c>
      <c r="G782" s="277" t="n">
        <f aca="false">SUM(E782:F782)</f>
        <v>0</v>
      </c>
      <c r="H782" s="204"/>
      <c r="I782" s="279" t="n">
        <v>1</v>
      </c>
      <c r="J782" s="280" t="n">
        <f aca="false">1-I782</f>
        <v>0</v>
      </c>
      <c r="K782" s="277"/>
      <c r="L782" s="282"/>
      <c r="M782" s="282"/>
      <c r="N782" s="282"/>
      <c r="O782" s="282"/>
      <c r="P782" s="282"/>
      <c r="Q782" s="282"/>
      <c r="R782" s="282"/>
      <c r="S782" s="282"/>
      <c r="T782" s="282"/>
      <c r="U782" s="282"/>
      <c r="V782" s="282"/>
      <c r="W782" s="282"/>
      <c r="X782" s="283"/>
      <c r="Y782" s="284" t="n">
        <f aca="false">IFERROR(L782*$G782*I$9, "")</f>
        <v>0</v>
      </c>
      <c r="Z782" s="284" t="n">
        <f aca="false">IFERROR(M782*$G782*$I782, "")</f>
        <v>0</v>
      </c>
      <c r="AA782" s="284" t="n">
        <f aca="false">IFERROR(N782*$G782*$I782, "")</f>
        <v>0</v>
      </c>
      <c r="AB782" s="284" t="n">
        <f aca="false">IFERROR(O782*$G782*$I782, "")</f>
        <v>0</v>
      </c>
      <c r="AC782" s="284" t="n">
        <f aca="false">IFERROR(P782*$G782*$I782, "")</f>
        <v>0</v>
      </c>
      <c r="AD782" s="284" t="n">
        <f aca="false">IFERROR(Q782*$G782*$I782, "")</f>
        <v>0</v>
      </c>
      <c r="AE782" s="284" t="n">
        <f aca="false">IFERROR(R782*$G782*$I782, "")</f>
        <v>0</v>
      </c>
      <c r="AF782" s="284" t="n">
        <f aca="false">IFERROR(S782*$G782*$I782, "")</f>
        <v>0</v>
      </c>
      <c r="AG782" s="284" t="n">
        <f aca="false">IFERROR(T782*$G782*$I782, "")</f>
        <v>0</v>
      </c>
      <c r="AH782" s="284" t="n">
        <f aca="false">IFERROR(U782*$G782*$I782, "")</f>
        <v>0</v>
      </c>
      <c r="AI782" s="284" t="n">
        <f aca="false">IFERROR(V782*$G782*$I782, "")</f>
        <v>0</v>
      </c>
      <c r="AJ782" s="284" t="n">
        <f aca="false">IFERROR(W782*$G782*$I782, "")</f>
        <v>0</v>
      </c>
      <c r="AK782" s="286" t="n">
        <f aca="false">IFERROR(SUMIF($Y$4:$AJ$4, "RDEC", Y782:AJ782), "")</f>
        <v>0</v>
      </c>
      <c r="AL782" s="286" t="n">
        <f aca="false">IFERROR(SUMIF($Y$4:$AJ$4, "SME", Y782:AJ782), "")</f>
        <v>0</v>
      </c>
      <c r="AM782" s="286" t="n">
        <f aca="false">IFERROR(SUMIF($Y$4:$AJ$4, "De Minimis", Y782:AJ782), "")</f>
        <v>0</v>
      </c>
      <c r="AN782" s="283"/>
      <c r="AO782" s="284" t="n">
        <f aca="false">IFERROR($G782*$J782*L782, "")</f>
        <v>0</v>
      </c>
      <c r="AP782" s="284" t="n">
        <f aca="false">IFERROR($G782*$J782*M782, "")</f>
        <v>0</v>
      </c>
      <c r="AQ782" s="284" t="n">
        <f aca="false">IFERROR($G782*$J782*N782, "")</f>
        <v>0</v>
      </c>
      <c r="AR782" s="284" t="n">
        <f aca="false">IFERROR($G782*$J782*O782, "")</f>
        <v>0</v>
      </c>
      <c r="AS782" s="284" t="n">
        <f aca="false">IFERROR($G782*$J782*P782, "")</f>
        <v>0</v>
      </c>
      <c r="AT782" s="284" t="n">
        <f aca="false">IFERROR($G782*$J782*Q782, "")</f>
        <v>0</v>
      </c>
      <c r="AU782" s="284" t="n">
        <f aca="false">IFERROR($G782*$J782*R782, "")</f>
        <v>0</v>
      </c>
      <c r="AV782" s="284" t="n">
        <f aca="false">IFERROR($G782*$J782*S782, "")</f>
        <v>0</v>
      </c>
      <c r="AW782" s="284" t="n">
        <f aca="false">IFERROR($G782*$J782*T782, "")</f>
        <v>0</v>
      </c>
      <c r="AX782" s="284" t="n">
        <f aca="false">IFERROR($G782*$J782*U782, "")</f>
        <v>0</v>
      </c>
      <c r="AY782" s="284" t="n">
        <f aca="false">IFERROR($G782*$J782*V782, "")</f>
        <v>0</v>
      </c>
      <c r="AZ782" s="284" t="n">
        <f aca="false">IFERROR($G782*$J782*W782, "")</f>
        <v>0</v>
      </c>
      <c r="BA782" s="286" t="n">
        <f aca="false">IFERROR(SUMIF($AO$4:$AZ$4, "RDEC", AO782:AZ782), "")</f>
        <v>0</v>
      </c>
      <c r="BB782" s="286" t="n">
        <f aca="false">IFERROR(SUMIF($AO$4:$AZ$4, "SME", AO782:AZ782), "")</f>
        <v>0</v>
      </c>
      <c r="BC782" s="286" t="n">
        <f aca="false">IFERROR(SUMIF($Y$4:$AJ$4, "De Minimis", AO782:AZ782), "")</f>
        <v>0</v>
      </c>
      <c r="BD782" s="287"/>
      <c r="BE782" s="288" t="str">
        <f aca="false">IF((SUM(L782:W782)&gt;1),"ERROR","")</f>
        <v/>
      </c>
    </row>
    <row r="783" customFormat="false" ht="15" hidden="false" customHeight="true" outlineLevel="0" collapsed="false">
      <c r="B783" s="333"/>
      <c r="C783" s="334"/>
      <c r="D783" s="333" t="n">
        <f aca="false">D767</f>
        <v>45474</v>
      </c>
      <c r="E783" s="277" t="n">
        <v>0</v>
      </c>
      <c r="F783" s="277" t="n">
        <v>0</v>
      </c>
      <c r="G783" s="277" t="n">
        <f aca="false">SUM(E783:F783)</f>
        <v>0</v>
      </c>
      <c r="H783" s="204"/>
      <c r="I783" s="279" t="n">
        <v>1</v>
      </c>
      <c r="J783" s="280" t="n">
        <f aca="false">1-I783</f>
        <v>0</v>
      </c>
      <c r="K783" s="277"/>
      <c r="L783" s="282"/>
      <c r="M783" s="282"/>
      <c r="N783" s="282"/>
      <c r="O783" s="282"/>
      <c r="P783" s="282"/>
      <c r="Q783" s="282"/>
      <c r="R783" s="282"/>
      <c r="S783" s="282"/>
      <c r="T783" s="282"/>
      <c r="U783" s="282"/>
      <c r="V783" s="282"/>
      <c r="W783" s="282"/>
      <c r="X783" s="283"/>
      <c r="Y783" s="284" t="n">
        <f aca="false">IFERROR(L783*$G783*I$9, "")</f>
        <v>0</v>
      </c>
      <c r="Z783" s="284" t="n">
        <f aca="false">IFERROR(M783*$G783*$I783, "")</f>
        <v>0</v>
      </c>
      <c r="AA783" s="284" t="n">
        <f aca="false">IFERROR(N783*$G783*$I783, "")</f>
        <v>0</v>
      </c>
      <c r="AB783" s="284" t="n">
        <f aca="false">IFERROR(O783*$G783*$I783, "")</f>
        <v>0</v>
      </c>
      <c r="AC783" s="284" t="n">
        <f aca="false">IFERROR(P783*$G783*$I783, "")</f>
        <v>0</v>
      </c>
      <c r="AD783" s="284" t="n">
        <f aca="false">IFERROR(Q783*$G783*$I783, "")</f>
        <v>0</v>
      </c>
      <c r="AE783" s="284" t="n">
        <f aca="false">IFERROR(R783*$G783*$I783, "")</f>
        <v>0</v>
      </c>
      <c r="AF783" s="284" t="n">
        <f aca="false">IFERROR(S783*$G783*$I783, "")</f>
        <v>0</v>
      </c>
      <c r="AG783" s="284" t="n">
        <f aca="false">IFERROR(T783*$G783*$I783, "")</f>
        <v>0</v>
      </c>
      <c r="AH783" s="284" t="n">
        <f aca="false">IFERROR(U783*$G783*$I783, "")</f>
        <v>0</v>
      </c>
      <c r="AI783" s="284" t="n">
        <f aca="false">IFERROR(V783*$G783*$I783, "")</f>
        <v>0</v>
      </c>
      <c r="AJ783" s="284" t="n">
        <f aca="false">IFERROR(W783*$G783*$I783, "")</f>
        <v>0</v>
      </c>
      <c r="AK783" s="286" t="n">
        <f aca="false">IFERROR(SUMIF($Y$4:$AJ$4, "RDEC", Y783:AJ783), "")</f>
        <v>0</v>
      </c>
      <c r="AL783" s="286" t="n">
        <f aca="false">IFERROR(SUMIF($Y$4:$AJ$4, "SME", Y783:AJ783), "")</f>
        <v>0</v>
      </c>
      <c r="AM783" s="286" t="n">
        <f aca="false">IFERROR(SUMIF($Y$4:$AJ$4, "De Minimis", Y783:AJ783), "")</f>
        <v>0</v>
      </c>
      <c r="AN783" s="283"/>
      <c r="AO783" s="284" t="n">
        <f aca="false">IFERROR($G783*$J783*L783, "")</f>
        <v>0</v>
      </c>
      <c r="AP783" s="284" t="n">
        <f aca="false">IFERROR($G783*$J783*M783, "")</f>
        <v>0</v>
      </c>
      <c r="AQ783" s="284" t="n">
        <f aca="false">IFERROR($G783*$J783*N783, "")</f>
        <v>0</v>
      </c>
      <c r="AR783" s="284" t="n">
        <f aca="false">IFERROR($G783*$J783*O783, "")</f>
        <v>0</v>
      </c>
      <c r="AS783" s="284" t="n">
        <f aca="false">IFERROR($G783*$J783*P783, "")</f>
        <v>0</v>
      </c>
      <c r="AT783" s="284" t="n">
        <f aca="false">IFERROR($G783*$J783*Q783, "")</f>
        <v>0</v>
      </c>
      <c r="AU783" s="284" t="n">
        <f aca="false">IFERROR($G783*$J783*R783, "")</f>
        <v>0</v>
      </c>
      <c r="AV783" s="284" t="n">
        <f aca="false">IFERROR($G783*$J783*S783, "")</f>
        <v>0</v>
      </c>
      <c r="AW783" s="284" t="n">
        <f aca="false">IFERROR($G783*$J783*T783, "")</f>
        <v>0</v>
      </c>
      <c r="AX783" s="284" t="n">
        <f aca="false">IFERROR($G783*$J783*U783, "")</f>
        <v>0</v>
      </c>
      <c r="AY783" s="284" t="n">
        <f aca="false">IFERROR($G783*$J783*V783, "")</f>
        <v>0</v>
      </c>
      <c r="AZ783" s="284" t="n">
        <f aca="false">IFERROR($G783*$J783*W783, "")</f>
        <v>0</v>
      </c>
      <c r="BA783" s="286" t="n">
        <f aca="false">IFERROR(SUMIF($AO$4:$AZ$4, "RDEC", AO783:AZ783), "")</f>
        <v>0</v>
      </c>
      <c r="BB783" s="286" t="n">
        <f aca="false">IFERROR(SUMIF($AO$4:$AZ$4, "SME", AO783:AZ783), "")</f>
        <v>0</v>
      </c>
      <c r="BC783" s="286" t="n">
        <f aca="false">IFERROR(SUMIF($Y$4:$AJ$4, "De Minimis", AO783:AZ783), "")</f>
        <v>0</v>
      </c>
      <c r="BD783" s="287"/>
      <c r="BE783" s="288" t="str">
        <f aca="false">IF((SUM(L783:W783)&gt;1),"ERROR","")</f>
        <v/>
      </c>
    </row>
    <row r="784" customFormat="false" ht="15" hidden="false" customHeight="true" outlineLevel="0" collapsed="false">
      <c r="B784" s="333"/>
      <c r="C784" s="334"/>
      <c r="D784" s="333" t="n">
        <f aca="false">D768</f>
        <v>45505</v>
      </c>
      <c r="E784" s="277" t="n">
        <v>0</v>
      </c>
      <c r="F784" s="277" t="n">
        <v>0</v>
      </c>
      <c r="G784" s="277" t="n">
        <f aca="false">SUM(E784:F784)</f>
        <v>0</v>
      </c>
      <c r="H784" s="204"/>
      <c r="I784" s="279" t="n">
        <v>1</v>
      </c>
      <c r="J784" s="280" t="n">
        <f aca="false">1-I784</f>
        <v>0</v>
      </c>
      <c r="K784" s="277"/>
      <c r="L784" s="282"/>
      <c r="M784" s="282"/>
      <c r="N784" s="282"/>
      <c r="O784" s="282"/>
      <c r="P784" s="282"/>
      <c r="Q784" s="282"/>
      <c r="R784" s="282"/>
      <c r="S784" s="282"/>
      <c r="T784" s="282"/>
      <c r="U784" s="282"/>
      <c r="V784" s="282"/>
      <c r="W784" s="282"/>
      <c r="X784" s="283"/>
      <c r="Y784" s="284" t="n">
        <f aca="false">IFERROR(L784*$G784*I$9, "")</f>
        <v>0</v>
      </c>
      <c r="Z784" s="284" t="n">
        <f aca="false">IFERROR(M784*$G784*$I784, "")</f>
        <v>0</v>
      </c>
      <c r="AA784" s="284" t="n">
        <f aca="false">IFERROR(N784*$G784*$I784, "")</f>
        <v>0</v>
      </c>
      <c r="AB784" s="284" t="n">
        <f aca="false">IFERROR(O784*$G784*$I784, "")</f>
        <v>0</v>
      </c>
      <c r="AC784" s="284" t="n">
        <f aca="false">IFERROR(P784*$G784*$I784, "")</f>
        <v>0</v>
      </c>
      <c r="AD784" s="284" t="n">
        <f aca="false">IFERROR(Q784*$G784*$I784, "")</f>
        <v>0</v>
      </c>
      <c r="AE784" s="284" t="n">
        <f aca="false">IFERROR(R784*$G784*$I784, "")</f>
        <v>0</v>
      </c>
      <c r="AF784" s="284" t="n">
        <f aca="false">IFERROR(S784*$G784*$I784, "")</f>
        <v>0</v>
      </c>
      <c r="AG784" s="284" t="n">
        <f aca="false">IFERROR(T784*$G784*$I784, "")</f>
        <v>0</v>
      </c>
      <c r="AH784" s="284" t="n">
        <f aca="false">IFERROR(U784*$G784*$I784, "")</f>
        <v>0</v>
      </c>
      <c r="AI784" s="284" t="n">
        <f aca="false">IFERROR(V784*$G784*$I784, "")</f>
        <v>0</v>
      </c>
      <c r="AJ784" s="284" t="n">
        <f aca="false">IFERROR(W784*$G784*$I784, "")</f>
        <v>0</v>
      </c>
      <c r="AK784" s="286" t="n">
        <f aca="false">IFERROR(SUMIF($Y$4:$AJ$4, "RDEC", Y784:AJ784), "")</f>
        <v>0</v>
      </c>
      <c r="AL784" s="286" t="n">
        <f aca="false">IFERROR(SUMIF($Y$4:$AJ$4, "SME", Y784:AJ784), "")</f>
        <v>0</v>
      </c>
      <c r="AM784" s="286" t="n">
        <f aca="false">IFERROR(SUMIF($Y$4:$AJ$4, "De Minimis", Y784:AJ784), "")</f>
        <v>0</v>
      </c>
      <c r="AN784" s="283"/>
      <c r="AO784" s="284" t="n">
        <f aca="false">IFERROR($G784*$J784*L784, "")</f>
        <v>0</v>
      </c>
      <c r="AP784" s="284" t="n">
        <f aca="false">IFERROR($G784*$J784*M784, "")</f>
        <v>0</v>
      </c>
      <c r="AQ784" s="284" t="n">
        <f aca="false">IFERROR($G784*$J784*N784, "")</f>
        <v>0</v>
      </c>
      <c r="AR784" s="284" t="n">
        <f aca="false">IFERROR($G784*$J784*O784, "")</f>
        <v>0</v>
      </c>
      <c r="AS784" s="284" t="n">
        <f aca="false">IFERROR($G784*$J784*P784, "")</f>
        <v>0</v>
      </c>
      <c r="AT784" s="284" t="n">
        <f aca="false">IFERROR($G784*$J784*Q784, "")</f>
        <v>0</v>
      </c>
      <c r="AU784" s="284" t="n">
        <f aca="false">IFERROR($G784*$J784*R784, "")</f>
        <v>0</v>
      </c>
      <c r="AV784" s="284" t="n">
        <f aca="false">IFERROR($G784*$J784*S784, "")</f>
        <v>0</v>
      </c>
      <c r="AW784" s="284" t="n">
        <f aca="false">IFERROR($G784*$J784*T784, "")</f>
        <v>0</v>
      </c>
      <c r="AX784" s="284" t="n">
        <f aca="false">IFERROR($G784*$J784*U784, "")</f>
        <v>0</v>
      </c>
      <c r="AY784" s="284" t="n">
        <f aca="false">IFERROR($G784*$J784*V784, "")</f>
        <v>0</v>
      </c>
      <c r="AZ784" s="284" t="n">
        <f aca="false">IFERROR($G784*$J784*W784, "")</f>
        <v>0</v>
      </c>
      <c r="BA784" s="286" t="n">
        <f aca="false">IFERROR(SUMIF($AO$4:$AZ$4, "RDEC", AO784:AZ784), "")</f>
        <v>0</v>
      </c>
      <c r="BB784" s="286" t="n">
        <f aca="false">IFERROR(SUMIF($AO$4:$AZ$4, "SME", AO784:AZ784), "")</f>
        <v>0</v>
      </c>
      <c r="BC784" s="286" t="n">
        <f aca="false">IFERROR(SUMIF($Y$4:$AJ$4, "De Minimis", AO784:AZ784), "")</f>
        <v>0</v>
      </c>
      <c r="BD784" s="287"/>
      <c r="BE784" s="288" t="str">
        <f aca="false">IF((SUM(L784:W784)&gt;1),"ERROR","")</f>
        <v/>
      </c>
    </row>
    <row r="785" customFormat="false" ht="15" hidden="false" customHeight="true" outlineLevel="0" collapsed="false">
      <c r="B785" s="333"/>
      <c r="C785" s="334"/>
      <c r="D785" s="333" t="n">
        <f aca="false">D769</f>
        <v>45536</v>
      </c>
      <c r="E785" s="277" t="n">
        <v>0</v>
      </c>
      <c r="F785" s="277" t="n">
        <v>0</v>
      </c>
      <c r="G785" s="277" t="n">
        <f aca="false">SUM(E785:F785)</f>
        <v>0</v>
      </c>
      <c r="H785" s="204"/>
      <c r="I785" s="279" t="n">
        <v>1</v>
      </c>
      <c r="J785" s="280" t="n">
        <f aca="false">1-I785</f>
        <v>0</v>
      </c>
      <c r="K785" s="277"/>
      <c r="L785" s="282"/>
      <c r="M785" s="282"/>
      <c r="N785" s="282"/>
      <c r="O785" s="282"/>
      <c r="P785" s="282"/>
      <c r="Q785" s="282"/>
      <c r="R785" s="282"/>
      <c r="S785" s="282"/>
      <c r="T785" s="282"/>
      <c r="U785" s="282"/>
      <c r="V785" s="282"/>
      <c r="W785" s="282"/>
      <c r="X785" s="283"/>
      <c r="Y785" s="284" t="n">
        <f aca="false">IFERROR(L785*$G785*I$9, "")</f>
        <v>0</v>
      </c>
      <c r="Z785" s="284" t="n">
        <f aca="false">IFERROR(M785*$G785*$I785, "")</f>
        <v>0</v>
      </c>
      <c r="AA785" s="284" t="n">
        <f aca="false">IFERROR(N785*$G785*$I785, "")</f>
        <v>0</v>
      </c>
      <c r="AB785" s="284" t="n">
        <f aca="false">IFERROR(O785*$G785*$I785, "")</f>
        <v>0</v>
      </c>
      <c r="AC785" s="284" t="n">
        <f aca="false">IFERROR(P785*$G785*$I785, "")</f>
        <v>0</v>
      </c>
      <c r="AD785" s="284" t="n">
        <f aca="false">IFERROR(Q785*$G785*$I785, "")</f>
        <v>0</v>
      </c>
      <c r="AE785" s="284" t="n">
        <f aca="false">IFERROR(R785*$G785*$I785, "")</f>
        <v>0</v>
      </c>
      <c r="AF785" s="284" t="n">
        <f aca="false">IFERROR(S785*$G785*$I785, "")</f>
        <v>0</v>
      </c>
      <c r="AG785" s="284" t="n">
        <f aca="false">IFERROR(T785*$G785*$I785, "")</f>
        <v>0</v>
      </c>
      <c r="AH785" s="284" t="n">
        <f aca="false">IFERROR(U785*$G785*$I785, "")</f>
        <v>0</v>
      </c>
      <c r="AI785" s="284" t="n">
        <f aca="false">IFERROR(V785*$G785*$I785, "")</f>
        <v>0</v>
      </c>
      <c r="AJ785" s="284" t="n">
        <f aca="false">IFERROR(W785*$G785*$I785, "")</f>
        <v>0</v>
      </c>
      <c r="AK785" s="286" t="n">
        <f aca="false">IFERROR(SUMIF($Y$4:$AJ$4, "RDEC", Y785:AJ785), "")</f>
        <v>0</v>
      </c>
      <c r="AL785" s="286" t="n">
        <f aca="false">IFERROR(SUMIF($Y$4:$AJ$4, "SME", Y785:AJ785), "")</f>
        <v>0</v>
      </c>
      <c r="AM785" s="286" t="n">
        <f aca="false">IFERROR(SUMIF($Y$4:$AJ$4, "De Minimis", Y785:AJ785), "")</f>
        <v>0</v>
      </c>
      <c r="AN785" s="283"/>
      <c r="AO785" s="284" t="n">
        <f aca="false">IFERROR($G785*$J785*L785, "")</f>
        <v>0</v>
      </c>
      <c r="AP785" s="284" t="n">
        <f aca="false">IFERROR($G785*$J785*M785, "")</f>
        <v>0</v>
      </c>
      <c r="AQ785" s="284" t="n">
        <f aca="false">IFERROR($G785*$J785*N785, "")</f>
        <v>0</v>
      </c>
      <c r="AR785" s="284" t="n">
        <f aca="false">IFERROR($G785*$J785*O785, "")</f>
        <v>0</v>
      </c>
      <c r="AS785" s="284" t="n">
        <f aca="false">IFERROR($G785*$J785*P785, "")</f>
        <v>0</v>
      </c>
      <c r="AT785" s="284" t="n">
        <f aca="false">IFERROR($G785*$J785*Q785, "")</f>
        <v>0</v>
      </c>
      <c r="AU785" s="284" t="n">
        <f aca="false">IFERROR($G785*$J785*R785, "")</f>
        <v>0</v>
      </c>
      <c r="AV785" s="284" t="n">
        <f aca="false">IFERROR($G785*$J785*S785, "")</f>
        <v>0</v>
      </c>
      <c r="AW785" s="284" t="n">
        <f aca="false">IFERROR($G785*$J785*T785, "")</f>
        <v>0</v>
      </c>
      <c r="AX785" s="284" t="n">
        <f aca="false">IFERROR($G785*$J785*U785, "")</f>
        <v>0</v>
      </c>
      <c r="AY785" s="284" t="n">
        <f aca="false">IFERROR($G785*$J785*V785, "")</f>
        <v>0</v>
      </c>
      <c r="AZ785" s="284" t="n">
        <f aca="false">IFERROR($G785*$J785*W785, "")</f>
        <v>0</v>
      </c>
      <c r="BA785" s="286" t="n">
        <f aca="false">IFERROR(SUMIF($AO$4:$AZ$4, "RDEC", AO785:AZ785), "")</f>
        <v>0</v>
      </c>
      <c r="BB785" s="286" t="n">
        <f aca="false">IFERROR(SUMIF($AO$4:$AZ$4, "SME", AO785:AZ785), "")</f>
        <v>0</v>
      </c>
      <c r="BC785" s="286" t="n">
        <f aca="false">IFERROR(SUMIF($Y$4:$AJ$4, "De Minimis", AO785:AZ785), "")</f>
        <v>0</v>
      </c>
      <c r="BD785" s="287"/>
      <c r="BE785" s="288" t="str">
        <f aca="false">IF((SUM(L785:W785)&gt;1),"ERROR","")</f>
        <v/>
      </c>
    </row>
    <row r="786" customFormat="false" ht="15" hidden="false" customHeight="true" outlineLevel="0" collapsed="false">
      <c r="B786" s="333"/>
      <c r="C786" s="334"/>
      <c r="D786" s="333" t="n">
        <f aca="false">D770</f>
        <v>45566</v>
      </c>
      <c r="E786" s="277" t="n">
        <v>0</v>
      </c>
      <c r="F786" s="277" t="n">
        <v>0</v>
      </c>
      <c r="G786" s="277" t="n">
        <f aca="false">SUM(E786:F786)</f>
        <v>0</v>
      </c>
      <c r="H786" s="204"/>
      <c r="I786" s="279" t="n">
        <v>1</v>
      </c>
      <c r="J786" s="280" t="n">
        <f aca="false">1-I786</f>
        <v>0</v>
      </c>
      <c r="K786" s="277"/>
      <c r="L786" s="282"/>
      <c r="M786" s="282"/>
      <c r="N786" s="282"/>
      <c r="O786" s="282"/>
      <c r="P786" s="282"/>
      <c r="Q786" s="282"/>
      <c r="R786" s="282"/>
      <c r="S786" s="282"/>
      <c r="T786" s="282"/>
      <c r="U786" s="282"/>
      <c r="V786" s="282"/>
      <c r="W786" s="282"/>
      <c r="X786" s="283"/>
      <c r="Y786" s="284" t="n">
        <f aca="false">IFERROR(L786*$G786*I$9, "")</f>
        <v>0</v>
      </c>
      <c r="Z786" s="284" t="n">
        <f aca="false">IFERROR(M786*$G786*$I786, "")</f>
        <v>0</v>
      </c>
      <c r="AA786" s="284" t="n">
        <f aca="false">IFERROR(N786*$G786*$I786, "")</f>
        <v>0</v>
      </c>
      <c r="AB786" s="284" t="n">
        <f aca="false">IFERROR(O786*$G786*$I786, "")</f>
        <v>0</v>
      </c>
      <c r="AC786" s="284" t="n">
        <f aca="false">IFERROR(P786*$G786*$I786, "")</f>
        <v>0</v>
      </c>
      <c r="AD786" s="284" t="n">
        <f aca="false">IFERROR(Q786*$G786*$I786, "")</f>
        <v>0</v>
      </c>
      <c r="AE786" s="284" t="n">
        <f aca="false">IFERROR(R786*$G786*$I786, "")</f>
        <v>0</v>
      </c>
      <c r="AF786" s="284" t="n">
        <f aca="false">IFERROR(S786*$G786*$I786, "")</f>
        <v>0</v>
      </c>
      <c r="AG786" s="284" t="n">
        <f aca="false">IFERROR(T786*$G786*$I786, "")</f>
        <v>0</v>
      </c>
      <c r="AH786" s="284" t="n">
        <f aca="false">IFERROR(U786*$G786*$I786, "")</f>
        <v>0</v>
      </c>
      <c r="AI786" s="284" t="n">
        <f aca="false">IFERROR(V786*$G786*$I786, "")</f>
        <v>0</v>
      </c>
      <c r="AJ786" s="284" t="n">
        <f aca="false">IFERROR(W786*$G786*$I786, "")</f>
        <v>0</v>
      </c>
      <c r="AK786" s="286" t="n">
        <f aca="false">IFERROR(SUMIF($Y$4:$AJ$4, "RDEC", Y786:AJ786), "")</f>
        <v>0</v>
      </c>
      <c r="AL786" s="286" t="n">
        <f aca="false">IFERROR(SUMIF($Y$4:$AJ$4, "SME", Y786:AJ786), "")</f>
        <v>0</v>
      </c>
      <c r="AM786" s="286" t="n">
        <f aca="false">IFERROR(SUMIF($Y$4:$AJ$4, "De Minimis", Y786:AJ786), "")</f>
        <v>0</v>
      </c>
      <c r="AN786" s="283"/>
      <c r="AO786" s="284" t="n">
        <f aca="false">IFERROR($G786*$J786*L786, "")</f>
        <v>0</v>
      </c>
      <c r="AP786" s="284" t="n">
        <f aca="false">IFERROR($G786*$J786*M786, "")</f>
        <v>0</v>
      </c>
      <c r="AQ786" s="284" t="n">
        <f aca="false">IFERROR($G786*$J786*N786, "")</f>
        <v>0</v>
      </c>
      <c r="AR786" s="284" t="n">
        <f aca="false">IFERROR($G786*$J786*O786, "")</f>
        <v>0</v>
      </c>
      <c r="AS786" s="284" t="n">
        <f aca="false">IFERROR($G786*$J786*P786, "")</f>
        <v>0</v>
      </c>
      <c r="AT786" s="284" t="n">
        <f aca="false">IFERROR($G786*$J786*Q786, "")</f>
        <v>0</v>
      </c>
      <c r="AU786" s="284" t="n">
        <f aca="false">IFERROR($G786*$J786*R786, "")</f>
        <v>0</v>
      </c>
      <c r="AV786" s="284" t="n">
        <f aca="false">IFERROR($G786*$J786*S786, "")</f>
        <v>0</v>
      </c>
      <c r="AW786" s="284" t="n">
        <f aca="false">IFERROR($G786*$J786*T786, "")</f>
        <v>0</v>
      </c>
      <c r="AX786" s="284" t="n">
        <f aca="false">IFERROR($G786*$J786*U786, "")</f>
        <v>0</v>
      </c>
      <c r="AY786" s="284" t="n">
        <f aca="false">IFERROR($G786*$J786*V786, "")</f>
        <v>0</v>
      </c>
      <c r="AZ786" s="284" t="n">
        <f aca="false">IFERROR($G786*$J786*W786, "")</f>
        <v>0</v>
      </c>
      <c r="BA786" s="286" t="n">
        <f aca="false">IFERROR(SUMIF($AO$4:$AZ$4, "RDEC", AO786:AZ786), "")</f>
        <v>0</v>
      </c>
      <c r="BB786" s="286" t="n">
        <f aca="false">IFERROR(SUMIF($AO$4:$AZ$4, "SME", AO786:AZ786), "")</f>
        <v>0</v>
      </c>
      <c r="BC786" s="286" t="n">
        <f aca="false">IFERROR(SUMIF($Y$4:$AJ$4, "De Minimis", AO786:AZ786), "")</f>
        <v>0</v>
      </c>
      <c r="BD786" s="287"/>
      <c r="BE786" s="288" t="str">
        <f aca="false">IF((SUM(L786:W786)&gt;1),"ERROR","")</f>
        <v/>
      </c>
    </row>
    <row r="787" customFormat="false" ht="15" hidden="false" customHeight="true" outlineLevel="0" collapsed="false">
      <c r="B787" s="333"/>
      <c r="C787" s="334"/>
      <c r="D787" s="333" t="n">
        <f aca="false">D771</f>
        <v>45597</v>
      </c>
      <c r="E787" s="277" t="n">
        <v>0</v>
      </c>
      <c r="F787" s="277" t="n">
        <v>0</v>
      </c>
      <c r="G787" s="277" t="n">
        <f aca="false">SUM(E787:F787)</f>
        <v>0</v>
      </c>
      <c r="H787" s="204"/>
      <c r="I787" s="279" t="n">
        <v>1</v>
      </c>
      <c r="J787" s="280" t="n">
        <f aca="false">1-I787</f>
        <v>0</v>
      </c>
      <c r="K787" s="277"/>
      <c r="L787" s="282"/>
      <c r="M787" s="282"/>
      <c r="N787" s="282"/>
      <c r="O787" s="282"/>
      <c r="P787" s="282"/>
      <c r="Q787" s="282"/>
      <c r="R787" s="282"/>
      <c r="S787" s="282"/>
      <c r="T787" s="282"/>
      <c r="U787" s="282"/>
      <c r="V787" s="282"/>
      <c r="W787" s="282"/>
      <c r="X787" s="283"/>
      <c r="Y787" s="284" t="n">
        <f aca="false">IFERROR(L787*$G787*I$9, "")</f>
        <v>0</v>
      </c>
      <c r="Z787" s="284" t="n">
        <f aca="false">IFERROR(M787*$G787*$I787, "")</f>
        <v>0</v>
      </c>
      <c r="AA787" s="284" t="n">
        <f aca="false">IFERROR(N787*$G787*$I787, "")</f>
        <v>0</v>
      </c>
      <c r="AB787" s="284" t="n">
        <f aca="false">IFERROR(O787*$G787*$I787, "")</f>
        <v>0</v>
      </c>
      <c r="AC787" s="284" t="n">
        <f aca="false">IFERROR(P787*$G787*$I787, "")</f>
        <v>0</v>
      </c>
      <c r="AD787" s="284" t="n">
        <f aca="false">IFERROR(Q787*$G787*$I787, "")</f>
        <v>0</v>
      </c>
      <c r="AE787" s="284" t="n">
        <f aca="false">IFERROR(R787*$G787*$I787, "")</f>
        <v>0</v>
      </c>
      <c r="AF787" s="284" t="n">
        <f aca="false">IFERROR(S787*$G787*$I787, "")</f>
        <v>0</v>
      </c>
      <c r="AG787" s="284" t="n">
        <f aca="false">IFERROR(T787*$G787*$I787, "")</f>
        <v>0</v>
      </c>
      <c r="AH787" s="284" t="n">
        <f aca="false">IFERROR(U787*$G787*$I787, "")</f>
        <v>0</v>
      </c>
      <c r="AI787" s="284" t="n">
        <f aca="false">IFERROR(V787*$G787*$I787, "")</f>
        <v>0</v>
      </c>
      <c r="AJ787" s="284" t="n">
        <f aca="false">IFERROR(W787*$G787*$I787, "")</f>
        <v>0</v>
      </c>
      <c r="AK787" s="286" t="n">
        <f aca="false">IFERROR(SUMIF($Y$4:$AJ$4, "RDEC", Y787:AJ787), "")</f>
        <v>0</v>
      </c>
      <c r="AL787" s="286" t="n">
        <f aca="false">IFERROR(SUMIF($Y$4:$AJ$4, "SME", Y787:AJ787), "")</f>
        <v>0</v>
      </c>
      <c r="AM787" s="286" t="n">
        <f aca="false">IFERROR(SUMIF($Y$4:$AJ$4, "De Minimis", Y787:AJ787), "")</f>
        <v>0</v>
      </c>
      <c r="AN787" s="283"/>
      <c r="AO787" s="284" t="n">
        <f aca="false">IFERROR($G787*$J787*L787, "")</f>
        <v>0</v>
      </c>
      <c r="AP787" s="284" t="n">
        <f aca="false">IFERROR($G787*$J787*M787, "")</f>
        <v>0</v>
      </c>
      <c r="AQ787" s="284" t="n">
        <f aca="false">IFERROR($G787*$J787*N787, "")</f>
        <v>0</v>
      </c>
      <c r="AR787" s="284" t="n">
        <f aca="false">IFERROR($G787*$J787*O787, "")</f>
        <v>0</v>
      </c>
      <c r="AS787" s="284" t="n">
        <f aca="false">IFERROR($G787*$J787*P787, "")</f>
        <v>0</v>
      </c>
      <c r="AT787" s="284" t="n">
        <f aca="false">IFERROR($G787*$J787*Q787, "")</f>
        <v>0</v>
      </c>
      <c r="AU787" s="284" t="n">
        <f aca="false">IFERROR($G787*$J787*R787, "")</f>
        <v>0</v>
      </c>
      <c r="AV787" s="284" t="n">
        <f aca="false">IFERROR($G787*$J787*S787, "")</f>
        <v>0</v>
      </c>
      <c r="AW787" s="284" t="n">
        <f aca="false">IFERROR($G787*$J787*T787, "")</f>
        <v>0</v>
      </c>
      <c r="AX787" s="284" t="n">
        <f aca="false">IFERROR($G787*$J787*U787, "")</f>
        <v>0</v>
      </c>
      <c r="AY787" s="284" t="n">
        <f aca="false">IFERROR($G787*$J787*V787, "")</f>
        <v>0</v>
      </c>
      <c r="AZ787" s="284" t="n">
        <f aca="false">IFERROR($G787*$J787*W787, "")</f>
        <v>0</v>
      </c>
      <c r="BA787" s="286" t="n">
        <f aca="false">IFERROR(SUMIF($AO$4:$AZ$4, "RDEC", AO787:AZ787), "")</f>
        <v>0</v>
      </c>
      <c r="BB787" s="286" t="n">
        <f aca="false">IFERROR(SUMIF($AO$4:$AZ$4, "SME", AO787:AZ787), "")</f>
        <v>0</v>
      </c>
      <c r="BC787" s="286" t="n">
        <f aca="false">IFERROR(SUMIF($Y$4:$AJ$4, "De Minimis", AO787:AZ787), "")</f>
        <v>0</v>
      </c>
      <c r="BD787" s="287"/>
      <c r="BE787" s="288" t="str">
        <f aca="false">IF((SUM(L787:W787)&gt;1),"ERROR","")</f>
        <v/>
      </c>
    </row>
    <row r="788" customFormat="false" ht="15" hidden="false" customHeight="true" outlineLevel="0" collapsed="false">
      <c r="B788" s="333"/>
      <c r="C788" s="334"/>
      <c r="D788" s="333" t="n">
        <f aca="false">D772</f>
        <v>45627</v>
      </c>
      <c r="E788" s="277" t="n">
        <v>0</v>
      </c>
      <c r="F788" s="277" t="n">
        <v>0</v>
      </c>
      <c r="G788" s="277" t="n">
        <f aca="false">SUM(E788:F788)</f>
        <v>0</v>
      </c>
      <c r="H788" s="300"/>
      <c r="I788" s="289" t="n">
        <v>1</v>
      </c>
      <c r="J788" s="290" t="n">
        <f aca="false">1-I788</f>
        <v>0</v>
      </c>
      <c r="K788" s="300"/>
      <c r="L788" s="291"/>
      <c r="M788" s="291"/>
      <c r="N788" s="291"/>
      <c r="O788" s="291"/>
      <c r="P788" s="291"/>
      <c r="Q788" s="291"/>
      <c r="R788" s="291"/>
      <c r="S788" s="291"/>
      <c r="T788" s="291"/>
      <c r="U788" s="291"/>
      <c r="V788" s="291"/>
      <c r="W788" s="291"/>
      <c r="X788" s="283"/>
      <c r="Y788" s="284" t="n">
        <f aca="false">IFERROR(L788*$G788*I$9, "")</f>
        <v>0</v>
      </c>
      <c r="Z788" s="284" t="n">
        <f aca="false">IFERROR(M788*$G788*$I788, "")</f>
        <v>0</v>
      </c>
      <c r="AA788" s="284" t="n">
        <f aca="false">IFERROR(N788*$G788*$I788, "")</f>
        <v>0</v>
      </c>
      <c r="AB788" s="284" t="n">
        <f aca="false">IFERROR(O788*$G788*$I788, "")</f>
        <v>0</v>
      </c>
      <c r="AC788" s="284" t="n">
        <f aca="false">IFERROR(P788*$G788*$I788, "")</f>
        <v>0</v>
      </c>
      <c r="AD788" s="284" t="n">
        <f aca="false">IFERROR(Q788*$G788*$I788, "")</f>
        <v>0</v>
      </c>
      <c r="AE788" s="284" t="n">
        <f aca="false">IFERROR(R788*$G788*$I788, "")</f>
        <v>0</v>
      </c>
      <c r="AF788" s="284" t="n">
        <f aca="false">IFERROR(S788*$G788*$I788, "")</f>
        <v>0</v>
      </c>
      <c r="AG788" s="284" t="n">
        <f aca="false">IFERROR(T788*$G788*$I788, "")</f>
        <v>0</v>
      </c>
      <c r="AH788" s="284" t="n">
        <f aca="false">IFERROR(U788*$G788*$I788, "")</f>
        <v>0</v>
      </c>
      <c r="AI788" s="284" t="n">
        <f aca="false">IFERROR(V788*$G788*$I788, "")</f>
        <v>0</v>
      </c>
      <c r="AJ788" s="284" t="n">
        <f aca="false">IFERROR(W788*$G788*$I788, "")</f>
        <v>0</v>
      </c>
      <c r="AK788" s="294" t="n">
        <f aca="false">IFERROR(SUMIF($Y$4:$AJ$4, "RDEC", Y788:AJ788), "")</f>
        <v>0</v>
      </c>
      <c r="AL788" s="294" t="n">
        <f aca="false">IFERROR(SUMIF($Y$4:$AJ$4, "SME", Y788:AJ788), "")</f>
        <v>0</v>
      </c>
      <c r="AM788" s="294" t="n">
        <f aca="false">IFERROR(SUMIF($Y$4:$AJ$4, "De Minimis", Y788:AJ788), "")</f>
        <v>0</v>
      </c>
      <c r="AN788" s="283"/>
      <c r="AO788" s="284" t="n">
        <f aca="false">IFERROR($G788*$J788*L788, "")</f>
        <v>0</v>
      </c>
      <c r="AP788" s="284" t="n">
        <f aca="false">IFERROR($G788*$J788*M788, "")</f>
        <v>0</v>
      </c>
      <c r="AQ788" s="284" t="n">
        <f aca="false">IFERROR($G788*$J788*N788, "")</f>
        <v>0</v>
      </c>
      <c r="AR788" s="284" t="n">
        <f aca="false">IFERROR($G788*$J788*O788, "")</f>
        <v>0</v>
      </c>
      <c r="AS788" s="284" t="n">
        <f aca="false">IFERROR($G788*$J788*P788, "")</f>
        <v>0</v>
      </c>
      <c r="AT788" s="284" t="n">
        <f aca="false">IFERROR($G788*$J788*Q788, "")</f>
        <v>0</v>
      </c>
      <c r="AU788" s="284" t="n">
        <f aca="false">IFERROR($G788*$J788*R788, "")</f>
        <v>0</v>
      </c>
      <c r="AV788" s="284" t="n">
        <f aca="false">IFERROR($G788*$J788*S788, "")</f>
        <v>0</v>
      </c>
      <c r="AW788" s="284" t="n">
        <f aca="false">IFERROR($G788*$J788*T788, "")</f>
        <v>0</v>
      </c>
      <c r="AX788" s="284" t="n">
        <f aca="false">IFERROR($G788*$J788*U788, "")</f>
        <v>0</v>
      </c>
      <c r="AY788" s="284" t="n">
        <f aca="false">IFERROR($G788*$J788*V788, "")</f>
        <v>0</v>
      </c>
      <c r="AZ788" s="284" t="n">
        <f aca="false">IFERROR($G788*$J788*W788, "")</f>
        <v>0</v>
      </c>
      <c r="BA788" s="286" t="n">
        <f aca="false">IFERROR(SUMIF($AO$4:$AZ$4, "RDEC", AO788:AZ788), "")</f>
        <v>0</v>
      </c>
      <c r="BB788" s="286" t="n">
        <f aca="false">IFERROR(SUMIF($AO$4:$AZ$4, "SME", AO788:AZ788), "")</f>
        <v>0</v>
      </c>
      <c r="BC788" s="294" t="n">
        <f aca="false">IFERROR(SUMIF($Y$4:$AJ$4, "De Minimis", AO788:AZ788), "")</f>
        <v>0</v>
      </c>
      <c r="BD788" s="303"/>
      <c r="BE788" s="295" t="str">
        <f aca="false">IF((SUM(L788:W788)&gt;1),"ERROR","")</f>
        <v/>
      </c>
    </row>
    <row r="789" customFormat="false" ht="15" hidden="false" customHeight="true" outlineLevel="0" collapsed="false">
      <c r="B789" s="296"/>
      <c r="D789" s="297" t="s">
        <v>82</v>
      </c>
      <c r="E789" s="299" t="n">
        <f aca="false">SUM(E777:E788)</f>
        <v>0</v>
      </c>
      <c r="F789" s="299" t="n">
        <f aca="false">SUM(F777:F788)</f>
        <v>0</v>
      </c>
      <c r="G789" s="299" t="n">
        <f aca="false">SUM(G777:G788)</f>
        <v>0</v>
      </c>
      <c r="H789" s="300"/>
      <c r="I789" s="301" t="n">
        <f aca="false">AVERAGE(I777:I788)</f>
        <v>1</v>
      </c>
      <c r="J789" s="301" t="n">
        <f aca="false">AVERAGE(J777:J788)</f>
        <v>0</v>
      </c>
      <c r="K789" s="300"/>
      <c r="L789" s="290" t="n">
        <f aca="false">IF(SUM(L777:L788)&gt;0,(Y789/G789),0)</f>
        <v>0</v>
      </c>
      <c r="M789" s="301" t="n">
        <f aca="false">IF(SUM(M777:M788)&gt;0,(Z789/G789),0)</f>
        <v>0</v>
      </c>
      <c r="N789" s="301" t="n">
        <f aca="false">IF(SUM(N777:N788)&gt;0,(AA789/G789),0)</f>
        <v>0</v>
      </c>
      <c r="O789" s="301" t="n">
        <f aca="false">IF(SUM(O777:O788)&gt;0,(AB789/G789),0)</f>
        <v>0</v>
      </c>
      <c r="P789" s="301" t="n">
        <f aca="false">IF(SUM(P777:P788)&gt;0,(AC789/G789),0)</f>
        <v>0</v>
      </c>
      <c r="Q789" s="301" t="n">
        <f aca="false">IF(SUM(Q777:Q788)&gt;0,(AD789/G789),0)</f>
        <v>0</v>
      </c>
      <c r="R789" s="301" t="n">
        <f aca="false">IF(SUM(R777:R788)&gt;0,(AE789/G789),0)</f>
        <v>0</v>
      </c>
      <c r="S789" s="301" t="n">
        <f aca="false">IF(SUM(S777:S788)&gt;0,(AF789/G789),0)</f>
        <v>0</v>
      </c>
      <c r="T789" s="301" t="n">
        <f aca="false">IF(SUM(T777:T788)&gt;0,(AG789/G789),0)</f>
        <v>0</v>
      </c>
      <c r="U789" s="301" t="n">
        <f aca="false">IF(SUM(U777:U788)&gt;0,(AJ789/G789),0)</f>
        <v>0</v>
      </c>
      <c r="V789" s="301" t="n">
        <f aca="false">IF(SUM(V777:V788)&gt;0,(AI789/G789),0)</f>
        <v>0</v>
      </c>
      <c r="W789" s="301" t="n">
        <f aca="false">IF(SUM(W777:W788)&gt;0,(AJ789/G789),0)</f>
        <v>0</v>
      </c>
      <c r="X789" s="283"/>
      <c r="Y789" s="304" t="n">
        <f aca="false">SUM(Y777:Y788)</f>
        <v>0</v>
      </c>
      <c r="Z789" s="304" t="n">
        <f aca="false">SUM(Z777:Z788)</f>
        <v>0</v>
      </c>
      <c r="AA789" s="304" t="n">
        <f aca="false">SUM(AA777:AA788)</f>
        <v>0</v>
      </c>
      <c r="AB789" s="304" t="n">
        <f aca="false">SUM(AB777:AB788)</f>
        <v>0</v>
      </c>
      <c r="AC789" s="304" t="n">
        <f aca="false">SUM(AC777:AC788)</f>
        <v>0</v>
      </c>
      <c r="AD789" s="304" t="n">
        <f aca="false">SUM(AD777:AD788)</f>
        <v>0</v>
      </c>
      <c r="AE789" s="304" t="n">
        <f aca="false">SUM(AE777:AE788)</f>
        <v>0</v>
      </c>
      <c r="AF789" s="304" t="n">
        <f aca="false">SUM(AF777:AF788)</f>
        <v>0</v>
      </c>
      <c r="AG789" s="304" t="n">
        <f aca="false">SUM(AG777:AG788)</f>
        <v>0</v>
      </c>
      <c r="AH789" s="304" t="n">
        <f aca="false">SUM(AH777:AH788)</f>
        <v>0</v>
      </c>
      <c r="AI789" s="304" t="n">
        <f aca="false">SUM(AI777:AI788)</f>
        <v>0</v>
      </c>
      <c r="AJ789" s="304" t="n">
        <f aca="false">SUM(AJ777:AJ788)</f>
        <v>0</v>
      </c>
      <c r="AK789" s="335" t="n">
        <f aca="false">SUM(AK777:AK788)</f>
        <v>0</v>
      </c>
      <c r="AL789" s="336" t="n">
        <f aca="false">SUM(AL777:AL788)</f>
        <v>0</v>
      </c>
      <c r="AM789" s="305" t="n">
        <f aca="false">SUM(AM777:AM788)</f>
        <v>0</v>
      </c>
      <c r="AN789" s="283"/>
      <c r="AO789" s="304" t="n">
        <f aca="false">SUM(AO777:AO788)</f>
        <v>0</v>
      </c>
      <c r="AP789" s="304" t="n">
        <f aca="false">SUM(AP777:AP788)</f>
        <v>0</v>
      </c>
      <c r="AQ789" s="304" t="n">
        <f aca="false">SUM(AQ777:AQ788)</f>
        <v>0</v>
      </c>
      <c r="AR789" s="304" t="n">
        <f aca="false">SUM(AR777:AR788)</f>
        <v>0</v>
      </c>
      <c r="AS789" s="304" t="n">
        <f aca="false">SUM(AS777:AS788)</f>
        <v>0</v>
      </c>
      <c r="AT789" s="304" t="n">
        <f aca="false">SUM(AT777:AT788)</f>
        <v>0</v>
      </c>
      <c r="AU789" s="304" t="n">
        <f aca="false">SUM(AU777:AU788)</f>
        <v>0</v>
      </c>
      <c r="AV789" s="304" t="n">
        <f aca="false">SUM(AV777:AV788)</f>
        <v>0</v>
      </c>
      <c r="AW789" s="304" t="n">
        <f aca="false">SUM(AW777:AW788)</f>
        <v>0</v>
      </c>
      <c r="AX789" s="304" t="n">
        <f aca="false">SUM(AX777:AX788)</f>
        <v>0</v>
      </c>
      <c r="AY789" s="304" t="n">
        <f aca="false">SUM(AY777:AY788)</f>
        <v>0</v>
      </c>
      <c r="AZ789" s="304" t="n">
        <f aca="false">SUM(AZ777:AZ788)</f>
        <v>0</v>
      </c>
      <c r="BA789" s="336" t="n">
        <f aca="false">SUM(BA777:BA788)</f>
        <v>0</v>
      </c>
      <c r="BB789" s="336" t="n">
        <f aca="false">SUM(BB777:BB788)</f>
        <v>0</v>
      </c>
      <c r="BC789" s="305" t="n">
        <f aca="false">SUM(BC777:BC788)</f>
        <v>0</v>
      </c>
      <c r="BD789" s="303"/>
      <c r="BE789" s="337"/>
    </row>
    <row r="790" customFormat="false" ht="15" hidden="false" customHeight="true" outlineLevel="0" collapsed="false">
      <c r="B790" s="296"/>
      <c r="D790" s="297"/>
      <c r="E790" s="300"/>
      <c r="F790" s="300"/>
      <c r="G790" s="300"/>
      <c r="H790" s="241"/>
      <c r="I790" s="302"/>
      <c r="J790" s="302"/>
      <c r="K790" s="241"/>
      <c r="L790" s="259"/>
      <c r="M790" s="259"/>
      <c r="N790" s="259"/>
      <c r="O790" s="259"/>
      <c r="P790" s="259"/>
      <c r="Q790" s="259"/>
      <c r="R790" s="259"/>
      <c r="S790" s="259"/>
      <c r="T790" s="259"/>
      <c r="U790" s="259"/>
      <c r="V790" s="259"/>
      <c r="W790" s="259"/>
      <c r="X790" s="303"/>
      <c r="Y790" s="259"/>
      <c r="Z790" s="303"/>
      <c r="AA790" s="303"/>
      <c r="AB790" s="303"/>
      <c r="AC790" s="303"/>
      <c r="AD790" s="303"/>
      <c r="AE790" s="303"/>
      <c r="AF790" s="303"/>
      <c r="AG790" s="303"/>
      <c r="AH790" s="303"/>
      <c r="AI790" s="303"/>
      <c r="AJ790" s="303"/>
      <c r="AK790" s="303"/>
      <c r="AL790" s="303"/>
      <c r="AM790" s="303"/>
      <c r="AN790" s="303"/>
      <c r="AO790" s="259"/>
      <c r="AP790" s="303"/>
      <c r="AQ790" s="303"/>
      <c r="AR790" s="303"/>
      <c r="AS790" s="303"/>
      <c r="AT790" s="303"/>
      <c r="AU790" s="303"/>
      <c r="AV790" s="303"/>
      <c r="AW790" s="303"/>
      <c r="AX790" s="303"/>
      <c r="AY790" s="303"/>
      <c r="AZ790" s="303"/>
      <c r="BA790" s="303"/>
      <c r="BB790" s="303"/>
      <c r="BC790" s="303"/>
      <c r="BD790" s="268"/>
      <c r="BE790" s="303"/>
    </row>
    <row r="791" customFormat="false" ht="15" hidden="false" customHeight="true" outlineLevel="0" collapsed="false">
      <c r="A791" s="198" t="n">
        <f aca="false">A775+1</f>
        <v>50</v>
      </c>
      <c r="B791" s="266" t="s">
        <v>253</v>
      </c>
      <c r="C791" s="266" t="s">
        <v>253</v>
      </c>
      <c r="D791" s="266"/>
      <c r="E791" s="241"/>
      <c r="F791" s="241"/>
      <c r="G791" s="241"/>
      <c r="H791" s="241"/>
      <c r="I791" s="241"/>
      <c r="J791" s="241"/>
      <c r="K791" s="277"/>
      <c r="L791" s="241"/>
      <c r="M791" s="241"/>
      <c r="N791" s="241"/>
      <c r="O791" s="241"/>
      <c r="P791" s="241"/>
      <c r="Q791" s="241"/>
      <c r="R791" s="241"/>
      <c r="S791" s="241"/>
      <c r="T791" s="241"/>
      <c r="U791" s="241"/>
      <c r="V791" s="241"/>
      <c r="W791" s="241"/>
      <c r="X791" s="259"/>
      <c r="Y791" s="268"/>
      <c r="Z791" s="268"/>
      <c r="AA791" s="268"/>
      <c r="AB791" s="268"/>
      <c r="AC791" s="268"/>
      <c r="AD791" s="268"/>
      <c r="AE791" s="268"/>
      <c r="AF791" s="268"/>
      <c r="AG791" s="268"/>
      <c r="AH791" s="268"/>
      <c r="AI791" s="268"/>
      <c r="AJ791" s="268"/>
      <c r="AK791" s="268"/>
      <c r="AL791" s="268"/>
      <c r="AM791" s="268"/>
      <c r="AN791" s="259"/>
      <c r="AO791" s="268"/>
      <c r="AP791" s="268"/>
      <c r="AQ791" s="268"/>
      <c r="AR791" s="268"/>
      <c r="AS791" s="268"/>
      <c r="AT791" s="268"/>
      <c r="AU791" s="268"/>
      <c r="AV791" s="268"/>
      <c r="AW791" s="268"/>
      <c r="AX791" s="268"/>
      <c r="AY791" s="268"/>
      <c r="AZ791" s="268"/>
      <c r="BA791" s="268"/>
      <c r="BB791" s="268"/>
      <c r="BC791" s="268"/>
      <c r="BD791" s="287"/>
      <c r="BE791" s="268"/>
    </row>
    <row r="792" customFormat="false" ht="7.5" hidden="false" customHeight="true" outlineLevel="0" collapsed="false">
      <c r="A792" s="198"/>
      <c r="B792" s="266"/>
      <c r="C792" s="266"/>
      <c r="D792" s="266"/>
      <c r="E792" s="241"/>
      <c r="F792" s="241"/>
      <c r="G792" s="241"/>
      <c r="H792" s="204"/>
      <c r="I792" s="269"/>
      <c r="J792" s="269"/>
      <c r="K792" s="277"/>
      <c r="L792" s="269"/>
      <c r="M792" s="269"/>
      <c r="N792" s="269"/>
      <c r="O792" s="269"/>
      <c r="P792" s="269"/>
      <c r="Q792" s="269"/>
      <c r="R792" s="269"/>
      <c r="S792" s="269"/>
      <c r="T792" s="269"/>
      <c r="U792" s="269"/>
      <c r="V792" s="269"/>
      <c r="W792" s="269"/>
      <c r="X792" s="259"/>
      <c r="Y792" s="271"/>
      <c r="Z792" s="271"/>
      <c r="AA792" s="271"/>
      <c r="AB792" s="271"/>
      <c r="AC792" s="271"/>
      <c r="AD792" s="271"/>
      <c r="AE792" s="271"/>
      <c r="AF792" s="271"/>
      <c r="AG792" s="271"/>
      <c r="AH792" s="271"/>
      <c r="AI792" s="271"/>
      <c r="AJ792" s="272"/>
      <c r="AK792" s="273"/>
      <c r="AL792" s="273"/>
      <c r="AM792" s="273"/>
      <c r="AN792" s="259"/>
      <c r="AO792" s="271"/>
      <c r="AP792" s="271"/>
      <c r="AQ792" s="271"/>
      <c r="AR792" s="271"/>
      <c r="AS792" s="271"/>
      <c r="AT792" s="271"/>
      <c r="AU792" s="271"/>
      <c r="AV792" s="271"/>
      <c r="AW792" s="271"/>
      <c r="AX792" s="271"/>
      <c r="AY792" s="271"/>
      <c r="AZ792" s="272"/>
      <c r="BA792" s="273"/>
      <c r="BB792" s="273"/>
      <c r="BC792" s="273"/>
      <c r="BD792" s="287"/>
      <c r="BE792" s="274"/>
    </row>
    <row r="793" customFormat="false" ht="15" hidden="false" customHeight="true" outlineLevel="0" collapsed="false">
      <c r="B793" s="333"/>
      <c r="C793" s="334"/>
      <c r="D793" s="333" t="n">
        <f aca="false">D777</f>
        <v>45292</v>
      </c>
      <c r="E793" s="277" t="n">
        <v>0</v>
      </c>
      <c r="F793" s="277" t="n">
        <v>0</v>
      </c>
      <c r="G793" s="277" t="n">
        <f aca="false">SUM(E793:F793)</f>
        <v>0</v>
      </c>
      <c r="H793" s="204"/>
      <c r="I793" s="279" t="n">
        <v>1</v>
      </c>
      <c r="J793" s="280" t="n">
        <f aca="false">1-I793</f>
        <v>0</v>
      </c>
      <c r="K793" s="277"/>
      <c r="L793" s="282"/>
      <c r="M793" s="282"/>
      <c r="N793" s="282"/>
      <c r="O793" s="282"/>
      <c r="P793" s="282"/>
      <c r="Q793" s="282"/>
      <c r="R793" s="282"/>
      <c r="S793" s="282"/>
      <c r="T793" s="282"/>
      <c r="U793" s="282"/>
      <c r="V793" s="282"/>
      <c r="W793" s="282"/>
      <c r="X793" s="268"/>
      <c r="Y793" s="284" t="n">
        <f aca="false">IFERROR(L793*$G793*I$9, "")</f>
        <v>0</v>
      </c>
      <c r="Z793" s="284" t="n">
        <f aca="false">IFERROR(M793*$G793*$I793, "")</f>
        <v>0</v>
      </c>
      <c r="AA793" s="284" t="n">
        <f aca="false">IFERROR(N793*$G793*$I793, "")</f>
        <v>0</v>
      </c>
      <c r="AB793" s="284" t="n">
        <f aca="false">IFERROR(O793*$G793*$I793, "")</f>
        <v>0</v>
      </c>
      <c r="AC793" s="284" t="n">
        <f aca="false">IFERROR(P793*$G793*$I793, "")</f>
        <v>0</v>
      </c>
      <c r="AD793" s="284" t="n">
        <f aca="false">IFERROR(Q793*$G793*$I793, "")</f>
        <v>0</v>
      </c>
      <c r="AE793" s="284" t="n">
        <f aca="false">IFERROR(R793*$G793*$I793, "")</f>
        <v>0</v>
      </c>
      <c r="AF793" s="284" t="n">
        <f aca="false">IFERROR(S793*$G793*$I793, "")</f>
        <v>0</v>
      </c>
      <c r="AG793" s="284" t="n">
        <f aca="false">IFERROR(T793*$G793*$I793, "")</f>
        <v>0</v>
      </c>
      <c r="AH793" s="284" t="n">
        <f aca="false">IFERROR(U793*$G793*$I793, "")</f>
        <v>0</v>
      </c>
      <c r="AI793" s="284" t="n">
        <f aca="false">IFERROR(V793*$G793*$I793, "")</f>
        <v>0</v>
      </c>
      <c r="AJ793" s="284" t="n">
        <f aca="false">IFERROR(W793*$G793*$I793, "")</f>
        <v>0</v>
      </c>
      <c r="AK793" s="286" t="n">
        <f aca="false">IFERROR(SUMIF($Y$4:$AJ$4, "RDEC", Y793:AJ793), "")</f>
        <v>0</v>
      </c>
      <c r="AL793" s="286" t="n">
        <f aca="false">IFERROR(SUMIF($Y$4:$AJ$4, "SME", Y793:AJ793), "")</f>
        <v>0</v>
      </c>
      <c r="AM793" s="286" t="n">
        <f aca="false">IFERROR(SUMIF($Y$4:$AJ$4, "De Minimis", Y793:AJ793), "")</f>
        <v>0</v>
      </c>
      <c r="AN793" s="268"/>
      <c r="AO793" s="284" t="n">
        <f aca="false">IFERROR($G793*$J793*L793, "")</f>
        <v>0</v>
      </c>
      <c r="AP793" s="284" t="n">
        <f aca="false">IFERROR($G793*$J793*M793, "")</f>
        <v>0</v>
      </c>
      <c r="AQ793" s="284" t="n">
        <f aca="false">IFERROR($G793*$J793*N793, "")</f>
        <v>0</v>
      </c>
      <c r="AR793" s="284" t="n">
        <f aca="false">IFERROR($G793*$J793*O793, "")</f>
        <v>0</v>
      </c>
      <c r="AS793" s="284" t="n">
        <f aca="false">IFERROR($G793*$J793*P793, "")</f>
        <v>0</v>
      </c>
      <c r="AT793" s="284" t="n">
        <f aca="false">IFERROR($G793*$J793*Q793, "")</f>
        <v>0</v>
      </c>
      <c r="AU793" s="284" t="n">
        <f aca="false">IFERROR($G793*$J793*R793, "")</f>
        <v>0</v>
      </c>
      <c r="AV793" s="284" t="n">
        <f aca="false">IFERROR($G793*$J793*S793, "")</f>
        <v>0</v>
      </c>
      <c r="AW793" s="284" t="n">
        <f aca="false">IFERROR($G793*$J793*T793, "")</f>
        <v>0</v>
      </c>
      <c r="AX793" s="284" t="n">
        <f aca="false">IFERROR($G793*$J793*U793, "")</f>
        <v>0</v>
      </c>
      <c r="AY793" s="284" t="n">
        <f aca="false">IFERROR($G793*$J793*V793, "")</f>
        <v>0</v>
      </c>
      <c r="AZ793" s="284" t="n">
        <f aca="false">IFERROR($G793*$J793*W793, "")</f>
        <v>0</v>
      </c>
      <c r="BA793" s="286" t="n">
        <f aca="false">IFERROR(SUMIF($AO$4:$AZ$4, "RDEC", AO793:AZ793), "")</f>
        <v>0</v>
      </c>
      <c r="BB793" s="286" t="n">
        <f aca="false">IFERROR(SUMIF($AO$4:$AZ$4, "SME", AO793:AZ793), "")</f>
        <v>0</v>
      </c>
      <c r="BC793" s="286" t="n">
        <f aca="false">IFERROR(SUMIF($AO$4:$AZ$4, "De Minimis", AO793:AZ793), "")</f>
        <v>0</v>
      </c>
      <c r="BD793" s="287"/>
      <c r="BE793" s="288" t="str">
        <f aca="false">IF((SUM(L793:W793)&gt;1),"ERROR","")</f>
        <v/>
      </c>
    </row>
    <row r="794" customFormat="false" ht="15" hidden="false" customHeight="true" outlineLevel="0" collapsed="false">
      <c r="B794" s="333"/>
      <c r="C794" s="334"/>
      <c r="D794" s="333" t="n">
        <f aca="false">D778</f>
        <v>45323</v>
      </c>
      <c r="E794" s="277" t="n">
        <v>0</v>
      </c>
      <c r="F794" s="277" t="n">
        <v>0</v>
      </c>
      <c r="G794" s="277" t="n">
        <f aca="false">SUM(E794:F794)</f>
        <v>0</v>
      </c>
      <c r="H794" s="204"/>
      <c r="I794" s="279" t="n">
        <v>1</v>
      </c>
      <c r="J794" s="280" t="n">
        <f aca="false">1-I794</f>
        <v>0</v>
      </c>
      <c r="K794" s="277"/>
      <c r="L794" s="282"/>
      <c r="M794" s="282"/>
      <c r="N794" s="282"/>
      <c r="O794" s="282"/>
      <c r="P794" s="282"/>
      <c r="Q794" s="282"/>
      <c r="R794" s="282"/>
      <c r="S794" s="282"/>
      <c r="T794" s="282"/>
      <c r="U794" s="282"/>
      <c r="V794" s="282"/>
      <c r="W794" s="282"/>
      <c r="X794" s="283"/>
      <c r="Y794" s="284" t="n">
        <f aca="false">IFERROR(L794*$G794*I$9, "")</f>
        <v>0</v>
      </c>
      <c r="Z794" s="284" t="n">
        <f aca="false">IFERROR(M794*$G794*$I794, "")</f>
        <v>0</v>
      </c>
      <c r="AA794" s="284" t="n">
        <f aca="false">IFERROR(N794*$G794*$I794, "")</f>
        <v>0</v>
      </c>
      <c r="AB794" s="284" t="n">
        <f aca="false">IFERROR(O794*$G794*$I794, "")</f>
        <v>0</v>
      </c>
      <c r="AC794" s="284" t="n">
        <f aca="false">IFERROR(P794*$G794*$I794, "")</f>
        <v>0</v>
      </c>
      <c r="AD794" s="284" t="n">
        <f aca="false">IFERROR(Q794*$G794*$I794, "")</f>
        <v>0</v>
      </c>
      <c r="AE794" s="284" t="n">
        <f aca="false">IFERROR(R794*$G794*$I794, "")</f>
        <v>0</v>
      </c>
      <c r="AF794" s="284" t="n">
        <f aca="false">IFERROR(S794*$G794*$I794, "")</f>
        <v>0</v>
      </c>
      <c r="AG794" s="284" t="n">
        <f aca="false">IFERROR(T794*$G794*$I794, "")</f>
        <v>0</v>
      </c>
      <c r="AH794" s="284" t="n">
        <f aca="false">IFERROR(U794*$G794*$I794, "")</f>
        <v>0</v>
      </c>
      <c r="AI794" s="284" t="n">
        <f aca="false">IFERROR(V794*$G794*$I794, "")</f>
        <v>0</v>
      </c>
      <c r="AJ794" s="284" t="n">
        <f aca="false">IFERROR(W794*$G794*$I794, "")</f>
        <v>0</v>
      </c>
      <c r="AK794" s="286" t="n">
        <f aca="false">IFERROR(SUMIF($Y$4:$AJ$4, "RDEC", Y794:AJ794), "")</f>
        <v>0</v>
      </c>
      <c r="AL794" s="286" t="n">
        <f aca="false">IFERROR(SUMIF($Y$4:$AJ$4, "SME", Y794:AJ794), "")</f>
        <v>0</v>
      </c>
      <c r="AM794" s="286" t="n">
        <f aca="false">IFERROR(SUMIF($Y$4:$AJ$4, "De Minimis", Y794:AJ794), "")</f>
        <v>0</v>
      </c>
      <c r="AN794" s="283"/>
      <c r="AO794" s="284" t="n">
        <f aca="false">IFERROR($G794*$J794*L794, "")</f>
        <v>0</v>
      </c>
      <c r="AP794" s="284" t="n">
        <f aca="false">IFERROR($G794*$J794*M794, "")</f>
        <v>0</v>
      </c>
      <c r="AQ794" s="284" t="n">
        <f aca="false">IFERROR($G794*$J794*N794, "")</f>
        <v>0</v>
      </c>
      <c r="AR794" s="284" t="n">
        <f aca="false">IFERROR($G794*$J794*O794, "")</f>
        <v>0</v>
      </c>
      <c r="AS794" s="284" t="n">
        <f aca="false">IFERROR($G794*$J794*P794, "")</f>
        <v>0</v>
      </c>
      <c r="AT794" s="284" t="n">
        <f aca="false">IFERROR($G794*$J794*Q794, "")</f>
        <v>0</v>
      </c>
      <c r="AU794" s="284" t="n">
        <f aca="false">IFERROR($G794*$J794*R794, "")</f>
        <v>0</v>
      </c>
      <c r="AV794" s="284" t="n">
        <f aca="false">IFERROR($G794*$J794*S794, "")</f>
        <v>0</v>
      </c>
      <c r="AW794" s="284" t="n">
        <f aca="false">IFERROR($G794*$J794*T794, "")</f>
        <v>0</v>
      </c>
      <c r="AX794" s="284" t="n">
        <f aca="false">IFERROR($G794*$J794*U794, "")</f>
        <v>0</v>
      </c>
      <c r="AY794" s="284" t="n">
        <f aca="false">IFERROR($G794*$J794*V794, "")</f>
        <v>0</v>
      </c>
      <c r="AZ794" s="284" t="n">
        <f aca="false">IFERROR($G794*$J794*W794, "")</f>
        <v>0</v>
      </c>
      <c r="BA794" s="286" t="n">
        <f aca="false">IFERROR(SUMIF($AO$4:$AZ$4, "RDEC", AO794:AZ794), "")</f>
        <v>0</v>
      </c>
      <c r="BB794" s="286" t="n">
        <f aca="false">IFERROR(SUMIF($AO$4:$AZ$4, "SME", AO794:AZ794), "")</f>
        <v>0</v>
      </c>
      <c r="BC794" s="286" t="n">
        <f aca="false">IFERROR(SUMIF($Y$4:$AJ$4, "De Minimis", AO794:AZ794), "")</f>
        <v>0</v>
      </c>
      <c r="BD794" s="287"/>
      <c r="BE794" s="288" t="str">
        <f aca="false">IF((SUM(L794:W794)&gt;1),"ERROR","")</f>
        <v/>
      </c>
    </row>
    <row r="795" customFormat="false" ht="15" hidden="false" customHeight="true" outlineLevel="0" collapsed="false">
      <c r="B795" s="333"/>
      <c r="C795" s="334"/>
      <c r="D795" s="333" t="n">
        <f aca="false">D779</f>
        <v>45352</v>
      </c>
      <c r="E795" s="277" t="n">
        <v>0</v>
      </c>
      <c r="F795" s="277" t="n">
        <v>0</v>
      </c>
      <c r="G795" s="277" t="n">
        <f aca="false">SUM(E795:F795)</f>
        <v>0</v>
      </c>
      <c r="H795" s="204"/>
      <c r="I795" s="279" t="n">
        <v>1</v>
      </c>
      <c r="J795" s="280" t="n">
        <f aca="false">1-I795</f>
        <v>0</v>
      </c>
      <c r="K795" s="277"/>
      <c r="L795" s="282"/>
      <c r="M795" s="282"/>
      <c r="N795" s="282"/>
      <c r="O795" s="282"/>
      <c r="P795" s="282"/>
      <c r="Q795" s="282"/>
      <c r="R795" s="282"/>
      <c r="S795" s="282"/>
      <c r="T795" s="282"/>
      <c r="U795" s="282"/>
      <c r="V795" s="282"/>
      <c r="W795" s="282"/>
      <c r="X795" s="283"/>
      <c r="Y795" s="284" t="n">
        <f aca="false">IFERROR(L795*$G795*I$9, "")</f>
        <v>0</v>
      </c>
      <c r="Z795" s="284" t="n">
        <f aca="false">IFERROR(M795*$G795*$I795, "")</f>
        <v>0</v>
      </c>
      <c r="AA795" s="284" t="n">
        <f aca="false">IFERROR(N795*$G795*$I795, "")</f>
        <v>0</v>
      </c>
      <c r="AB795" s="284" t="n">
        <f aca="false">IFERROR(O795*$G795*$I795, "")</f>
        <v>0</v>
      </c>
      <c r="AC795" s="284" t="n">
        <f aca="false">IFERROR(P795*$G795*$I795, "")</f>
        <v>0</v>
      </c>
      <c r="AD795" s="284" t="n">
        <f aca="false">IFERROR(Q795*$G795*$I795, "")</f>
        <v>0</v>
      </c>
      <c r="AE795" s="284" t="n">
        <f aca="false">IFERROR(R795*$G795*$I795, "")</f>
        <v>0</v>
      </c>
      <c r="AF795" s="284" t="n">
        <f aca="false">IFERROR(S795*$G795*$I795, "")</f>
        <v>0</v>
      </c>
      <c r="AG795" s="284" t="n">
        <f aca="false">IFERROR(T795*$G795*$I795, "")</f>
        <v>0</v>
      </c>
      <c r="AH795" s="284" t="n">
        <f aca="false">IFERROR(U795*$G795*$I795, "")</f>
        <v>0</v>
      </c>
      <c r="AI795" s="284" t="n">
        <f aca="false">IFERROR(V795*$G795*$I795, "")</f>
        <v>0</v>
      </c>
      <c r="AJ795" s="284" t="n">
        <f aca="false">IFERROR(W795*$G795*$I795, "")</f>
        <v>0</v>
      </c>
      <c r="AK795" s="286" t="n">
        <f aca="false">IFERROR(SUMIF($Y$4:$AJ$4, "RDEC", Y795:AJ795), "")</f>
        <v>0</v>
      </c>
      <c r="AL795" s="286" t="n">
        <f aca="false">IFERROR(SUMIF($Y$4:$AJ$4, "SME", Y795:AJ795), "")</f>
        <v>0</v>
      </c>
      <c r="AM795" s="286" t="n">
        <f aca="false">IFERROR(SUMIF($Y$4:$AJ$4, "De Minimis", Y795:AJ795), "")</f>
        <v>0</v>
      </c>
      <c r="AN795" s="283"/>
      <c r="AO795" s="284" t="n">
        <f aca="false">IFERROR($G795*$J795*L795, "")</f>
        <v>0</v>
      </c>
      <c r="AP795" s="284" t="n">
        <f aca="false">IFERROR($G795*$J795*M795, "")</f>
        <v>0</v>
      </c>
      <c r="AQ795" s="284" t="n">
        <f aca="false">IFERROR($G795*$J795*N795, "")</f>
        <v>0</v>
      </c>
      <c r="AR795" s="284" t="n">
        <f aca="false">IFERROR($G795*$J795*O795, "")</f>
        <v>0</v>
      </c>
      <c r="AS795" s="284" t="n">
        <f aca="false">IFERROR($G795*$J795*P795, "")</f>
        <v>0</v>
      </c>
      <c r="AT795" s="284" t="n">
        <f aca="false">IFERROR($G795*$J795*Q795, "")</f>
        <v>0</v>
      </c>
      <c r="AU795" s="284" t="n">
        <f aca="false">IFERROR($G795*$J795*R795, "")</f>
        <v>0</v>
      </c>
      <c r="AV795" s="284" t="n">
        <f aca="false">IFERROR($G795*$J795*S795, "")</f>
        <v>0</v>
      </c>
      <c r="AW795" s="284" t="n">
        <f aca="false">IFERROR($G795*$J795*T795, "")</f>
        <v>0</v>
      </c>
      <c r="AX795" s="284" t="n">
        <f aca="false">IFERROR($G795*$J795*U795, "")</f>
        <v>0</v>
      </c>
      <c r="AY795" s="284" t="n">
        <f aca="false">IFERROR($G795*$J795*V795, "")</f>
        <v>0</v>
      </c>
      <c r="AZ795" s="284" t="n">
        <f aca="false">IFERROR($G795*$J795*W795, "")</f>
        <v>0</v>
      </c>
      <c r="BA795" s="286" t="n">
        <f aca="false">IFERROR(SUMIF($AO$4:$AZ$4, "RDEC", AO795:AZ795), "")</f>
        <v>0</v>
      </c>
      <c r="BB795" s="286" t="n">
        <f aca="false">IFERROR(SUMIF($AO$4:$AZ$4, "SME", AO795:AZ795), "")</f>
        <v>0</v>
      </c>
      <c r="BC795" s="286" t="n">
        <f aca="false">IFERROR(SUMIF($Y$4:$AJ$4, "De Minimis", AO795:AZ795), "")</f>
        <v>0</v>
      </c>
      <c r="BD795" s="287"/>
      <c r="BE795" s="288" t="str">
        <f aca="false">IF((SUM(L795:W795)&gt;1),"ERROR","")</f>
        <v/>
      </c>
    </row>
    <row r="796" customFormat="false" ht="15" hidden="false" customHeight="true" outlineLevel="0" collapsed="false">
      <c r="B796" s="333"/>
      <c r="C796" s="334"/>
      <c r="D796" s="333" t="n">
        <f aca="false">D780</f>
        <v>45383</v>
      </c>
      <c r="E796" s="277" t="n">
        <v>0</v>
      </c>
      <c r="F796" s="277" t="n">
        <v>0</v>
      </c>
      <c r="G796" s="277" t="n">
        <f aca="false">SUM(E796:F796)</f>
        <v>0</v>
      </c>
      <c r="H796" s="204"/>
      <c r="I796" s="279" t="n">
        <v>1</v>
      </c>
      <c r="J796" s="280" t="n">
        <f aca="false">1-I796</f>
        <v>0</v>
      </c>
      <c r="K796" s="277"/>
      <c r="L796" s="282"/>
      <c r="M796" s="282"/>
      <c r="N796" s="282"/>
      <c r="O796" s="282"/>
      <c r="P796" s="282"/>
      <c r="Q796" s="282"/>
      <c r="R796" s="282"/>
      <c r="S796" s="282"/>
      <c r="T796" s="282"/>
      <c r="U796" s="282"/>
      <c r="V796" s="282"/>
      <c r="W796" s="282"/>
      <c r="X796" s="283"/>
      <c r="Y796" s="284" t="n">
        <f aca="false">IFERROR(L796*$G796*I$9, "")</f>
        <v>0</v>
      </c>
      <c r="Z796" s="284" t="n">
        <f aca="false">IFERROR(M796*$G796*$I796, "")</f>
        <v>0</v>
      </c>
      <c r="AA796" s="284" t="n">
        <f aca="false">IFERROR(N796*$G796*$I796, "")</f>
        <v>0</v>
      </c>
      <c r="AB796" s="284" t="n">
        <f aca="false">IFERROR(O796*$G796*$I796, "")</f>
        <v>0</v>
      </c>
      <c r="AC796" s="284" t="n">
        <f aca="false">IFERROR(P796*$G796*$I796, "")</f>
        <v>0</v>
      </c>
      <c r="AD796" s="284" t="n">
        <f aca="false">IFERROR(Q796*$G796*$I796, "")</f>
        <v>0</v>
      </c>
      <c r="AE796" s="284" t="n">
        <f aca="false">IFERROR(R796*$G796*$I796, "")</f>
        <v>0</v>
      </c>
      <c r="AF796" s="284" t="n">
        <f aca="false">IFERROR(S796*$G796*$I796, "")</f>
        <v>0</v>
      </c>
      <c r="AG796" s="284" t="n">
        <f aca="false">IFERROR(T796*$G796*$I796, "")</f>
        <v>0</v>
      </c>
      <c r="AH796" s="284" t="n">
        <f aca="false">IFERROR(U796*$G796*$I796, "")</f>
        <v>0</v>
      </c>
      <c r="AI796" s="284" t="n">
        <f aca="false">IFERROR(V796*$G796*$I796, "")</f>
        <v>0</v>
      </c>
      <c r="AJ796" s="284" t="n">
        <f aca="false">IFERROR(W796*$G796*$I796, "")</f>
        <v>0</v>
      </c>
      <c r="AK796" s="286" t="n">
        <f aca="false">IFERROR(SUMIF($Y$4:$AJ$4, "RDEC", Y796:AJ796), "")</f>
        <v>0</v>
      </c>
      <c r="AL796" s="286" t="n">
        <f aca="false">IFERROR(SUMIF($Y$4:$AJ$4, "SME", Y796:AJ796), "")</f>
        <v>0</v>
      </c>
      <c r="AM796" s="286" t="n">
        <f aca="false">IFERROR(SUMIF($Y$4:$AJ$4, "De Minimis", Y796:AJ796), "")</f>
        <v>0</v>
      </c>
      <c r="AN796" s="283"/>
      <c r="AO796" s="284" t="n">
        <f aca="false">IFERROR($G796*$J796*L796, "")</f>
        <v>0</v>
      </c>
      <c r="AP796" s="284" t="n">
        <f aca="false">IFERROR($G796*$J796*M796, "")</f>
        <v>0</v>
      </c>
      <c r="AQ796" s="284" t="n">
        <f aca="false">IFERROR($G796*$J796*N796, "")</f>
        <v>0</v>
      </c>
      <c r="AR796" s="284" t="n">
        <f aca="false">IFERROR($G796*$J796*O796, "")</f>
        <v>0</v>
      </c>
      <c r="AS796" s="284" t="n">
        <f aca="false">IFERROR($G796*$J796*P796, "")</f>
        <v>0</v>
      </c>
      <c r="AT796" s="284" t="n">
        <f aca="false">IFERROR($G796*$J796*Q796, "")</f>
        <v>0</v>
      </c>
      <c r="AU796" s="284" t="n">
        <f aca="false">IFERROR($G796*$J796*R796, "")</f>
        <v>0</v>
      </c>
      <c r="AV796" s="284" t="n">
        <f aca="false">IFERROR($G796*$J796*S796, "")</f>
        <v>0</v>
      </c>
      <c r="AW796" s="284" t="n">
        <f aca="false">IFERROR($G796*$J796*T796, "")</f>
        <v>0</v>
      </c>
      <c r="AX796" s="284" t="n">
        <f aca="false">IFERROR($G796*$J796*U796, "")</f>
        <v>0</v>
      </c>
      <c r="AY796" s="284" t="n">
        <f aca="false">IFERROR($G796*$J796*V796, "")</f>
        <v>0</v>
      </c>
      <c r="AZ796" s="284" t="n">
        <f aca="false">IFERROR($G796*$J796*W796, "")</f>
        <v>0</v>
      </c>
      <c r="BA796" s="286" t="n">
        <f aca="false">IFERROR(SUMIF($AO$4:$AZ$4, "RDEC", AO796:AZ796), "")</f>
        <v>0</v>
      </c>
      <c r="BB796" s="286" t="n">
        <f aca="false">IFERROR(SUMIF($AO$4:$AZ$4, "SME", AO796:AZ796), "")</f>
        <v>0</v>
      </c>
      <c r="BC796" s="286" t="n">
        <f aca="false">IFERROR(SUMIF($Y$4:$AJ$4, "De Minimis", AO796:AZ796), "")</f>
        <v>0</v>
      </c>
      <c r="BD796" s="287"/>
      <c r="BE796" s="288" t="str">
        <f aca="false">IF((SUM(L796:W796)&gt;1),"ERROR","")</f>
        <v/>
      </c>
    </row>
    <row r="797" customFormat="false" ht="15" hidden="false" customHeight="true" outlineLevel="0" collapsed="false">
      <c r="B797" s="333"/>
      <c r="C797" s="334"/>
      <c r="D797" s="333" t="n">
        <f aca="false">D781</f>
        <v>45413</v>
      </c>
      <c r="E797" s="277" t="n">
        <v>0</v>
      </c>
      <c r="F797" s="277" t="n">
        <v>0</v>
      </c>
      <c r="G797" s="277" t="n">
        <f aca="false">SUM(E797:F797)</f>
        <v>0</v>
      </c>
      <c r="H797" s="204"/>
      <c r="I797" s="279" t="n">
        <v>1</v>
      </c>
      <c r="J797" s="280" t="n">
        <f aca="false">1-I797</f>
        <v>0</v>
      </c>
      <c r="K797" s="277"/>
      <c r="L797" s="282"/>
      <c r="M797" s="282"/>
      <c r="N797" s="282"/>
      <c r="O797" s="282"/>
      <c r="P797" s="282"/>
      <c r="Q797" s="282"/>
      <c r="R797" s="282"/>
      <c r="S797" s="282"/>
      <c r="T797" s="282"/>
      <c r="U797" s="282"/>
      <c r="V797" s="282"/>
      <c r="W797" s="282"/>
      <c r="X797" s="283"/>
      <c r="Y797" s="284" t="n">
        <f aca="false">IFERROR(L797*$G797*I$9, "")</f>
        <v>0</v>
      </c>
      <c r="Z797" s="284" t="n">
        <f aca="false">IFERROR(M797*$G797*$I797, "")</f>
        <v>0</v>
      </c>
      <c r="AA797" s="284" t="n">
        <f aca="false">IFERROR(N797*$G797*$I797, "")</f>
        <v>0</v>
      </c>
      <c r="AB797" s="284" t="n">
        <f aca="false">IFERROR(O797*$G797*$I797, "")</f>
        <v>0</v>
      </c>
      <c r="AC797" s="284" t="n">
        <f aca="false">IFERROR(P797*$G797*$I797, "")</f>
        <v>0</v>
      </c>
      <c r="AD797" s="284" t="n">
        <f aca="false">IFERROR(Q797*$G797*$I797, "")</f>
        <v>0</v>
      </c>
      <c r="AE797" s="284" t="n">
        <f aca="false">IFERROR(R797*$G797*$I797, "")</f>
        <v>0</v>
      </c>
      <c r="AF797" s="284" t="n">
        <f aca="false">IFERROR(S797*$G797*$I797, "")</f>
        <v>0</v>
      </c>
      <c r="AG797" s="284" t="n">
        <f aca="false">IFERROR(T797*$G797*$I797, "")</f>
        <v>0</v>
      </c>
      <c r="AH797" s="284" t="n">
        <f aca="false">IFERROR(U797*$G797*$I797, "")</f>
        <v>0</v>
      </c>
      <c r="AI797" s="284" t="n">
        <f aca="false">IFERROR(V797*$G797*$I797, "")</f>
        <v>0</v>
      </c>
      <c r="AJ797" s="284" t="n">
        <f aca="false">IFERROR(W797*$G797*$I797, "")</f>
        <v>0</v>
      </c>
      <c r="AK797" s="286" t="n">
        <f aca="false">IFERROR(SUMIF($Y$4:$AJ$4, "RDEC", Y797:AJ797), "")</f>
        <v>0</v>
      </c>
      <c r="AL797" s="286" t="n">
        <f aca="false">IFERROR(SUMIF($Y$4:$AJ$4, "SME", Y797:AJ797), "")</f>
        <v>0</v>
      </c>
      <c r="AM797" s="286" t="n">
        <f aca="false">IFERROR(SUMIF($Y$4:$AJ$4, "De Minimis", Y797:AJ797), "")</f>
        <v>0</v>
      </c>
      <c r="AN797" s="283"/>
      <c r="AO797" s="284" t="n">
        <f aca="false">IFERROR($G797*$J797*L797, "")</f>
        <v>0</v>
      </c>
      <c r="AP797" s="284" t="n">
        <f aca="false">IFERROR($G797*$J797*M797, "")</f>
        <v>0</v>
      </c>
      <c r="AQ797" s="284" t="n">
        <f aca="false">IFERROR($G797*$J797*N797, "")</f>
        <v>0</v>
      </c>
      <c r="AR797" s="284" t="n">
        <f aca="false">IFERROR($G797*$J797*O797, "")</f>
        <v>0</v>
      </c>
      <c r="AS797" s="284" t="n">
        <f aca="false">IFERROR($G797*$J797*P797, "")</f>
        <v>0</v>
      </c>
      <c r="AT797" s="284" t="n">
        <f aca="false">IFERROR($G797*$J797*Q797, "")</f>
        <v>0</v>
      </c>
      <c r="AU797" s="284" t="n">
        <f aca="false">IFERROR($G797*$J797*R797, "")</f>
        <v>0</v>
      </c>
      <c r="AV797" s="284" t="n">
        <f aca="false">IFERROR($G797*$J797*S797, "")</f>
        <v>0</v>
      </c>
      <c r="AW797" s="284" t="n">
        <f aca="false">IFERROR($G797*$J797*T797, "")</f>
        <v>0</v>
      </c>
      <c r="AX797" s="284" t="n">
        <f aca="false">IFERROR($G797*$J797*U797, "")</f>
        <v>0</v>
      </c>
      <c r="AY797" s="284" t="n">
        <f aca="false">IFERROR($G797*$J797*V797, "")</f>
        <v>0</v>
      </c>
      <c r="AZ797" s="284" t="n">
        <f aca="false">IFERROR($G797*$J797*W797, "")</f>
        <v>0</v>
      </c>
      <c r="BA797" s="286" t="n">
        <f aca="false">IFERROR(SUMIF($AO$4:$AZ$4, "RDEC", AO797:AZ797), "")</f>
        <v>0</v>
      </c>
      <c r="BB797" s="286" t="n">
        <f aca="false">IFERROR(SUMIF($AO$4:$AZ$4, "SME", AO797:AZ797), "")</f>
        <v>0</v>
      </c>
      <c r="BC797" s="286" t="n">
        <f aca="false">IFERROR(SUMIF($Y$4:$AJ$4, "De Minimis", AO797:AZ797), "")</f>
        <v>0</v>
      </c>
      <c r="BD797" s="287"/>
      <c r="BE797" s="288" t="str">
        <f aca="false">IF((SUM(L797:W797)&gt;1),"ERROR","")</f>
        <v/>
      </c>
    </row>
    <row r="798" customFormat="false" ht="15" hidden="false" customHeight="true" outlineLevel="0" collapsed="false">
      <c r="B798" s="333"/>
      <c r="C798" s="334"/>
      <c r="D798" s="333" t="n">
        <f aca="false">D782</f>
        <v>45444</v>
      </c>
      <c r="E798" s="277" t="n">
        <v>0</v>
      </c>
      <c r="F798" s="277" t="n">
        <v>0</v>
      </c>
      <c r="G798" s="277" t="n">
        <f aca="false">SUM(E798:F798)</f>
        <v>0</v>
      </c>
      <c r="H798" s="204"/>
      <c r="I798" s="279" t="n">
        <v>1</v>
      </c>
      <c r="J798" s="280" t="n">
        <f aca="false">1-I798</f>
        <v>0</v>
      </c>
      <c r="K798" s="277"/>
      <c r="L798" s="282"/>
      <c r="M798" s="282"/>
      <c r="N798" s="282"/>
      <c r="O798" s="282"/>
      <c r="P798" s="282"/>
      <c r="Q798" s="282"/>
      <c r="R798" s="282"/>
      <c r="S798" s="282"/>
      <c r="T798" s="282"/>
      <c r="U798" s="282"/>
      <c r="V798" s="282"/>
      <c r="W798" s="282"/>
      <c r="X798" s="283"/>
      <c r="Y798" s="284" t="n">
        <f aca="false">IFERROR(L798*$G798*I$9, "")</f>
        <v>0</v>
      </c>
      <c r="Z798" s="284" t="n">
        <f aca="false">IFERROR(M798*$G798*$I798, "")</f>
        <v>0</v>
      </c>
      <c r="AA798" s="284" t="n">
        <f aca="false">IFERROR(N798*$G798*$I798, "")</f>
        <v>0</v>
      </c>
      <c r="AB798" s="284" t="n">
        <f aca="false">IFERROR(O798*$G798*$I798, "")</f>
        <v>0</v>
      </c>
      <c r="AC798" s="284" t="n">
        <f aca="false">IFERROR(P798*$G798*$I798, "")</f>
        <v>0</v>
      </c>
      <c r="AD798" s="284" t="n">
        <f aca="false">IFERROR(Q798*$G798*$I798, "")</f>
        <v>0</v>
      </c>
      <c r="AE798" s="284" t="n">
        <f aca="false">IFERROR(R798*$G798*$I798, "")</f>
        <v>0</v>
      </c>
      <c r="AF798" s="284" t="n">
        <f aca="false">IFERROR(S798*$G798*$I798, "")</f>
        <v>0</v>
      </c>
      <c r="AG798" s="284" t="n">
        <f aca="false">IFERROR(T798*$G798*$I798, "")</f>
        <v>0</v>
      </c>
      <c r="AH798" s="284" t="n">
        <f aca="false">IFERROR(U798*$G798*$I798, "")</f>
        <v>0</v>
      </c>
      <c r="AI798" s="284" t="n">
        <f aca="false">IFERROR(V798*$G798*$I798, "")</f>
        <v>0</v>
      </c>
      <c r="AJ798" s="284" t="n">
        <f aca="false">IFERROR(W798*$G798*$I798, "")</f>
        <v>0</v>
      </c>
      <c r="AK798" s="286" t="n">
        <f aca="false">IFERROR(SUMIF($Y$4:$AJ$4, "RDEC", Y798:AJ798), "")</f>
        <v>0</v>
      </c>
      <c r="AL798" s="286" t="n">
        <f aca="false">IFERROR(SUMIF($Y$4:$AJ$4, "SME", Y798:AJ798), "")</f>
        <v>0</v>
      </c>
      <c r="AM798" s="286" t="n">
        <f aca="false">IFERROR(SUMIF($Y$4:$AJ$4, "De Minimis", Y798:AJ798), "")</f>
        <v>0</v>
      </c>
      <c r="AN798" s="283"/>
      <c r="AO798" s="284" t="n">
        <f aca="false">IFERROR($G798*$J798*L798, "")</f>
        <v>0</v>
      </c>
      <c r="AP798" s="284" t="n">
        <f aca="false">IFERROR($G798*$J798*M798, "")</f>
        <v>0</v>
      </c>
      <c r="AQ798" s="284" t="n">
        <f aca="false">IFERROR($G798*$J798*N798, "")</f>
        <v>0</v>
      </c>
      <c r="AR798" s="284" t="n">
        <f aca="false">IFERROR($G798*$J798*O798, "")</f>
        <v>0</v>
      </c>
      <c r="AS798" s="284" t="n">
        <f aca="false">IFERROR($G798*$J798*P798, "")</f>
        <v>0</v>
      </c>
      <c r="AT798" s="284" t="n">
        <f aca="false">IFERROR($G798*$J798*Q798, "")</f>
        <v>0</v>
      </c>
      <c r="AU798" s="284" t="n">
        <f aca="false">IFERROR($G798*$J798*R798, "")</f>
        <v>0</v>
      </c>
      <c r="AV798" s="284" t="n">
        <f aca="false">IFERROR($G798*$J798*S798, "")</f>
        <v>0</v>
      </c>
      <c r="AW798" s="284" t="n">
        <f aca="false">IFERROR($G798*$J798*T798, "")</f>
        <v>0</v>
      </c>
      <c r="AX798" s="284" t="n">
        <f aca="false">IFERROR($G798*$J798*U798, "")</f>
        <v>0</v>
      </c>
      <c r="AY798" s="284" t="n">
        <f aca="false">IFERROR($G798*$J798*V798, "")</f>
        <v>0</v>
      </c>
      <c r="AZ798" s="284" t="n">
        <f aca="false">IFERROR($G798*$J798*W798, "")</f>
        <v>0</v>
      </c>
      <c r="BA798" s="286" t="n">
        <f aca="false">IFERROR(SUMIF($AO$4:$AZ$4, "RDEC", AO798:AZ798), "")</f>
        <v>0</v>
      </c>
      <c r="BB798" s="286" t="n">
        <f aca="false">IFERROR(SUMIF($AO$4:$AZ$4, "SME", AO798:AZ798), "")</f>
        <v>0</v>
      </c>
      <c r="BC798" s="286" t="n">
        <f aca="false">IFERROR(SUMIF($Y$4:$AJ$4, "De Minimis", AO798:AZ798), "")</f>
        <v>0</v>
      </c>
      <c r="BD798" s="287"/>
      <c r="BE798" s="288" t="str">
        <f aca="false">IF((SUM(L798:W798)&gt;1),"ERROR","")</f>
        <v/>
      </c>
    </row>
    <row r="799" customFormat="false" ht="15" hidden="false" customHeight="true" outlineLevel="0" collapsed="false">
      <c r="B799" s="333"/>
      <c r="C799" s="334"/>
      <c r="D799" s="333" t="n">
        <f aca="false">D783</f>
        <v>45474</v>
      </c>
      <c r="E799" s="277" t="n">
        <v>0</v>
      </c>
      <c r="F799" s="277" t="n">
        <v>0</v>
      </c>
      <c r="G799" s="277" t="n">
        <f aca="false">SUM(E799:F799)</f>
        <v>0</v>
      </c>
      <c r="H799" s="204"/>
      <c r="I799" s="279" t="n">
        <v>1</v>
      </c>
      <c r="J799" s="280" t="n">
        <f aca="false">1-I799</f>
        <v>0</v>
      </c>
      <c r="K799" s="277"/>
      <c r="L799" s="282"/>
      <c r="M799" s="282"/>
      <c r="N799" s="282"/>
      <c r="O799" s="282"/>
      <c r="P799" s="282"/>
      <c r="Q799" s="282"/>
      <c r="R799" s="282"/>
      <c r="S799" s="282"/>
      <c r="T799" s="282"/>
      <c r="U799" s="282"/>
      <c r="V799" s="282"/>
      <c r="W799" s="282"/>
      <c r="X799" s="283"/>
      <c r="Y799" s="284" t="n">
        <f aca="false">IFERROR(L799*$G799*I$9, "")</f>
        <v>0</v>
      </c>
      <c r="Z799" s="284" t="n">
        <f aca="false">IFERROR(M799*$G799*$I799, "")</f>
        <v>0</v>
      </c>
      <c r="AA799" s="284" t="n">
        <f aca="false">IFERROR(N799*$G799*$I799, "")</f>
        <v>0</v>
      </c>
      <c r="AB799" s="284" t="n">
        <f aca="false">IFERROR(O799*$G799*$I799, "")</f>
        <v>0</v>
      </c>
      <c r="AC799" s="284" t="n">
        <f aca="false">IFERROR(P799*$G799*$I799, "")</f>
        <v>0</v>
      </c>
      <c r="AD799" s="284" t="n">
        <f aca="false">IFERROR(Q799*$G799*$I799, "")</f>
        <v>0</v>
      </c>
      <c r="AE799" s="284" t="n">
        <f aca="false">IFERROR(R799*$G799*$I799, "")</f>
        <v>0</v>
      </c>
      <c r="AF799" s="284" t="n">
        <f aca="false">IFERROR(S799*$G799*$I799, "")</f>
        <v>0</v>
      </c>
      <c r="AG799" s="284" t="n">
        <f aca="false">IFERROR(T799*$G799*$I799, "")</f>
        <v>0</v>
      </c>
      <c r="AH799" s="284" t="n">
        <f aca="false">IFERROR(U799*$G799*$I799, "")</f>
        <v>0</v>
      </c>
      <c r="AI799" s="284" t="n">
        <f aca="false">IFERROR(V799*$G799*$I799, "")</f>
        <v>0</v>
      </c>
      <c r="AJ799" s="284" t="n">
        <f aca="false">IFERROR(W799*$G799*$I799, "")</f>
        <v>0</v>
      </c>
      <c r="AK799" s="286" t="n">
        <f aca="false">IFERROR(SUMIF($Y$4:$AJ$4, "RDEC", Y799:AJ799), "")</f>
        <v>0</v>
      </c>
      <c r="AL799" s="286" t="n">
        <f aca="false">IFERROR(SUMIF($Y$4:$AJ$4, "SME", Y799:AJ799), "")</f>
        <v>0</v>
      </c>
      <c r="AM799" s="286" t="n">
        <f aca="false">IFERROR(SUMIF($Y$4:$AJ$4, "De Minimis", Y799:AJ799), "")</f>
        <v>0</v>
      </c>
      <c r="AN799" s="283"/>
      <c r="AO799" s="284" t="n">
        <f aca="false">IFERROR($G799*$J799*L799, "")</f>
        <v>0</v>
      </c>
      <c r="AP799" s="284" t="n">
        <f aca="false">IFERROR($G799*$J799*M799, "")</f>
        <v>0</v>
      </c>
      <c r="AQ799" s="284" t="n">
        <f aca="false">IFERROR($G799*$J799*N799, "")</f>
        <v>0</v>
      </c>
      <c r="AR799" s="284" t="n">
        <f aca="false">IFERROR($G799*$J799*O799, "")</f>
        <v>0</v>
      </c>
      <c r="AS799" s="284" t="n">
        <f aca="false">IFERROR($G799*$J799*P799, "")</f>
        <v>0</v>
      </c>
      <c r="AT799" s="284" t="n">
        <f aca="false">IFERROR($G799*$J799*Q799, "")</f>
        <v>0</v>
      </c>
      <c r="AU799" s="284" t="n">
        <f aca="false">IFERROR($G799*$J799*R799, "")</f>
        <v>0</v>
      </c>
      <c r="AV799" s="284" t="n">
        <f aca="false">IFERROR($G799*$J799*S799, "")</f>
        <v>0</v>
      </c>
      <c r="AW799" s="284" t="n">
        <f aca="false">IFERROR($G799*$J799*T799, "")</f>
        <v>0</v>
      </c>
      <c r="AX799" s="284" t="n">
        <f aca="false">IFERROR($G799*$J799*U799, "")</f>
        <v>0</v>
      </c>
      <c r="AY799" s="284" t="n">
        <f aca="false">IFERROR($G799*$J799*V799, "")</f>
        <v>0</v>
      </c>
      <c r="AZ799" s="284" t="n">
        <f aca="false">IFERROR($G799*$J799*W799, "")</f>
        <v>0</v>
      </c>
      <c r="BA799" s="286" t="n">
        <f aca="false">IFERROR(SUMIF($AO$4:$AZ$4, "RDEC", AO799:AZ799), "")</f>
        <v>0</v>
      </c>
      <c r="BB799" s="286" t="n">
        <f aca="false">IFERROR(SUMIF($AO$4:$AZ$4, "SME", AO799:AZ799), "")</f>
        <v>0</v>
      </c>
      <c r="BC799" s="286" t="n">
        <f aca="false">IFERROR(SUMIF($Y$4:$AJ$4, "De Minimis", AO799:AZ799), "")</f>
        <v>0</v>
      </c>
      <c r="BD799" s="287"/>
      <c r="BE799" s="288" t="str">
        <f aca="false">IF((SUM(L799:W799)&gt;1),"ERROR","")</f>
        <v/>
      </c>
    </row>
    <row r="800" customFormat="false" ht="15" hidden="false" customHeight="true" outlineLevel="0" collapsed="false">
      <c r="B800" s="333"/>
      <c r="C800" s="334"/>
      <c r="D800" s="333" t="n">
        <f aca="false">D784</f>
        <v>45505</v>
      </c>
      <c r="E800" s="277" t="n">
        <v>0</v>
      </c>
      <c r="F800" s="277" t="n">
        <v>0</v>
      </c>
      <c r="G800" s="277" t="n">
        <f aca="false">SUM(E800:F800)</f>
        <v>0</v>
      </c>
      <c r="H800" s="204"/>
      <c r="I800" s="279" t="n">
        <v>1</v>
      </c>
      <c r="J800" s="280" t="n">
        <f aca="false">1-I800</f>
        <v>0</v>
      </c>
      <c r="K800" s="277"/>
      <c r="L800" s="282"/>
      <c r="M800" s="282"/>
      <c r="N800" s="282"/>
      <c r="O800" s="282"/>
      <c r="P800" s="282"/>
      <c r="Q800" s="282"/>
      <c r="R800" s="282"/>
      <c r="S800" s="282"/>
      <c r="T800" s="282"/>
      <c r="U800" s="282"/>
      <c r="V800" s="282"/>
      <c r="W800" s="282"/>
      <c r="X800" s="283"/>
      <c r="Y800" s="284" t="n">
        <f aca="false">IFERROR(L800*$G800*I$9, "")</f>
        <v>0</v>
      </c>
      <c r="Z800" s="284" t="n">
        <f aca="false">IFERROR(M800*$G800*$I800, "")</f>
        <v>0</v>
      </c>
      <c r="AA800" s="284" t="n">
        <f aca="false">IFERROR(N800*$G800*$I800, "")</f>
        <v>0</v>
      </c>
      <c r="AB800" s="284" t="n">
        <f aca="false">IFERROR(O800*$G800*$I800, "")</f>
        <v>0</v>
      </c>
      <c r="AC800" s="284" t="n">
        <f aca="false">IFERROR(P800*$G800*$I800, "")</f>
        <v>0</v>
      </c>
      <c r="AD800" s="284" t="n">
        <f aca="false">IFERROR(Q800*$G800*$I800, "")</f>
        <v>0</v>
      </c>
      <c r="AE800" s="284" t="n">
        <f aca="false">IFERROR(R800*$G800*$I800, "")</f>
        <v>0</v>
      </c>
      <c r="AF800" s="284" t="n">
        <f aca="false">IFERROR(S800*$G800*$I800, "")</f>
        <v>0</v>
      </c>
      <c r="AG800" s="284" t="n">
        <f aca="false">IFERROR(T800*$G800*$I800, "")</f>
        <v>0</v>
      </c>
      <c r="AH800" s="284" t="n">
        <f aca="false">IFERROR(U800*$G800*$I800, "")</f>
        <v>0</v>
      </c>
      <c r="AI800" s="284" t="n">
        <f aca="false">IFERROR(V800*$G800*$I800, "")</f>
        <v>0</v>
      </c>
      <c r="AJ800" s="284" t="n">
        <f aca="false">IFERROR(W800*$G800*$I800, "")</f>
        <v>0</v>
      </c>
      <c r="AK800" s="286" t="n">
        <f aca="false">IFERROR(SUMIF($Y$4:$AJ$4, "RDEC", Y800:AJ800), "")</f>
        <v>0</v>
      </c>
      <c r="AL800" s="286" t="n">
        <f aca="false">IFERROR(SUMIF($Y$4:$AJ$4, "SME", Y800:AJ800), "")</f>
        <v>0</v>
      </c>
      <c r="AM800" s="286" t="n">
        <f aca="false">IFERROR(SUMIF($Y$4:$AJ$4, "De Minimis", Y800:AJ800), "")</f>
        <v>0</v>
      </c>
      <c r="AN800" s="283"/>
      <c r="AO800" s="284" t="n">
        <f aca="false">IFERROR($G800*$J800*L800, "")</f>
        <v>0</v>
      </c>
      <c r="AP800" s="284" t="n">
        <f aca="false">IFERROR($G800*$J800*M800, "")</f>
        <v>0</v>
      </c>
      <c r="AQ800" s="284" t="n">
        <f aca="false">IFERROR($G800*$J800*N800, "")</f>
        <v>0</v>
      </c>
      <c r="AR800" s="284" t="n">
        <f aca="false">IFERROR($G800*$J800*O800, "")</f>
        <v>0</v>
      </c>
      <c r="AS800" s="284" t="n">
        <f aca="false">IFERROR($G800*$J800*P800, "")</f>
        <v>0</v>
      </c>
      <c r="AT800" s="284" t="n">
        <f aca="false">IFERROR($G800*$J800*Q800, "")</f>
        <v>0</v>
      </c>
      <c r="AU800" s="284" t="n">
        <f aca="false">IFERROR($G800*$J800*R800, "")</f>
        <v>0</v>
      </c>
      <c r="AV800" s="284" t="n">
        <f aca="false">IFERROR($G800*$J800*S800, "")</f>
        <v>0</v>
      </c>
      <c r="AW800" s="284" t="n">
        <f aca="false">IFERROR($G800*$J800*T800, "")</f>
        <v>0</v>
      </c>
      <c r="AX800" s="284" t="n">
        <f aca="false">IFERROR($G800*$J800*U800, "")</f>
        <v>0</v>
      </c>
      <c r="AY800" s="284" t="n">
        <f aca="false">IFERROR($G800*$J800*V800, "")</f>
        <v>0</v>
      </c>
      <c r="AZ800" s="284" t="n">
        <f aca="false">IFERROR($G800*$J800*W800, "")</f>
        <v>0</v>
      </c>
      <c r="BA800" s="286" t="n">
        <f aca="false">IFERROR(SUMIF($AO$4:$AZ$4, "RDEC", AO800:AZ800), "")</f>
        <v>0</v>
      </c>
      <c r="BB800" s="286" t="n">
        <f aca="false">IFERROR(SUMIF($AO$4:$AZ$4, "SME", AO800:AZ800), "")</f>
        <v>0</v>
      </c>
      <c r="BC800" s="286" t="n">
        <f aca="false">IFERROR(SUMIF($Y$4:$AJ$4, "De Minimis", AO800:AZ800), "")</f>
        <v>0</v>
      </c>
      <c r="BD800" s="287"/>
      <c r="BE800" s="288" t="str">
        <f aca="false">IF((SUM(L800:W800)&gt;1),"ERROR","")</f>
        <v/>
      </c>
    </row>
    <row r="801" customFormat="false" ht="15" hidden="false" customHeight="true" outlineLevel="0" collapsed="false">
      <c r="B801" s="333"/>
      <c r="C801" s="334"/>
      <c r="D801" s="333" t="n">
        <f aca="false">D785</f>
        <v>45536</v>
      </c>
      <c r="E801" s="277" t="n">
        <v>0</v>
      </c>
      <c r="F801" s="277" t="n">
        <v>0</v>
      </c>
      <c r="G801" s="277" t="n">
        <f aca="false">SUM(E801:F801)</f>
        <v>0</v>
      </c>
      <c r="H801" s="204"/>
      <c r="I801" s="279" t="n">
        <v>1</v>
      </c>
      <c r="J801" s="280" t="n">
        <f aca="false">1-I801</f>
        <v>0</v>
      </c>
      <c r="K801" s="277"/>
      <c r="L801" s="282"/>
      <c r="M801" s="282"/>
      <c r="N801" s="282"/>
      <c r="O801" s="282"/>
      <c r="P801" s="282"/>
      <c r="Q801" s="282"/>
      <c r="R801" s="282"/>
      <c r="S801" s="282"/>
      <c r="T801" s="282"/>
      <c r="U801" s="282"/>
      <c r="V801" s="282"/>
      <c r="W801" s="282"/>
      <c r="X801" s="283"/>
      <c r="Y801" s="284" t="n">
        <f aca="false">IFERROR(L801*$G801*I$9, "")</f>
        <v>0</v>
      </c>
      <c r="Z801" s="284" t="n">
        <f aca="false">IFERROR(M801*$G801*$I801, "")</f>
        <v>0</v>
      </c>
      <c r="AA801" s="284" t="n">
        <f aca="false">IFERROR(N801*$G801*$I801, "")</f>
        <v>0</v>
      </c>
      <c r="AB801" s="284" t="n">
        <f aca="false">IFERROR(O801*$G801*$I801, "")</f>
        <v>0</v>
      </c>
      <c r="AC801" s="284" t="n">
        <f aca="false">IFERROR(P801*$G801*$I801, "")</f>
        <v>0</v>
      </c>
      <c r="AD801" s="284" t="n">
        <f aca="false">IFERROR(Q801*$G801*$I801, "")</f>
        <v>0</v>
      </c>
      <c r="AE801" s="284" t="n">
        <f aca="false">IFERROR(R801*$G801*$I801, "")</f>
        <v>0</v>
      </c>
      <c r="AF801" s="284" t="n">
        <f aca="false">IFERROR(S801*$G801*$I801, "")</f>
        <v>0</v>
      </c>
      <c r="AG801" s="284" t="n">
        <f aca="false">IFERROR(T801*$G801*$I801, "")</f>
        <v>0</v>
      </c>
      <c r="AH801" s="284" t="n">
        <f aca="false">IFERROR(U801*$G801*$I801, "")</f>
        <v>0</v>
      </c>
      <c r="AI801" s="284" t="n">
        <f aca="false">IFERROR(V801*$G801*$I801, "")</f>
        <v>0</v>
      </c>
      <c r="AJ801" s="284" t="n">
        <f aca="false">IFERROR(W801*$G801*$I801, "")</f>
        <v>0</v>
      </c>
      <c r="AK801" s="286" t="n">
        <f aca="false">IFERROR(SUMIF($Y$4:$AJ$4, "RDEC", Y801:AJ801), "")</f>
        <v>0</v>
      </c>
      <c r="AL801" s="286" t="n">
        <f aca="false">IFERROR(SUMIF($Y$4:$AJ$4, "SME", Y801:AJ801), "")</f>
        <v>0</v>
      </c>
      <c r="AM801" s="286" t="n">
        <f aca="false">IFERROR(SUMIF($Y$4:$AJ$4, "De Minimis", Y801:AJ801), "")</f>
        <v>0</v>
      </c>
      <c r="AN801" s="283"/>
      <c r="AO801" s="284" t="n">
        <f aca="false">IFERROR($G801*$J801*L801, "")</f>
        <v>0</v>
      </c>
      <c r="AP801" s="284" t="n">
        <f aca="false">IFERROR($G801*$J801*M801, "")</f>
        <v>0</v>
      </c>
      <c r="AQ801" s="284" t="n">
        <f aca="false">IFERROR($G801*$J801*N801, "")</f>
        <v>0</v>
      </c>
      <c r="AR801" s="284" t="n">
        <f aca="false">IFERROR($G801*$J801*O801, "")</f>
        <v>0</v>
      </c>
      <c r="AS801" s="284" t="n">
        <f aca="false">IFERROR($G801*$J801*P801, "")</f>
        <v>0</v>
      </c>
      <c r="AT801" s="284" t="n">
        <f aca="false">IFERROR($G801*$J801*Q801, "")</f>
        <v>0</v>
      </c>
      <c r="AU801" s="284" t="n">
        <f aca="false">IFERROR($G801*$J801*R801, "")</f>
        <v>0</v>
      </c>
      <c r="AV801" s="284" t="n">
        <f aca="false">IFERROR($G801*$J801*S801, "")</f>
        <v>0</v>
      </c>
      <c r="AW801" s="284" t="n">
        <f aca="false">IFERROR($G801*$J801*T801, "")</f>
        <v>0</v>
      </c>
      <c r="AX801" s="284" t="n">
        <f aca="false">IFERROR($G801*$J801*U801, "")</f>
        <v>0</v>
      </c>
      <c r="AY801" s="284" t="n">
        <f aca="false">IFERROR($G801*$J801*V801, "")</f>
        <v>0</v>
      </c>
      <c r="AZ801" s="284" t="n">
        <f aca="false">IFERROR($G801*$J801*W801, "")</f>
        <v>0</v>
      </c>
      <c r="BA801" s="286" t="n">
        <f aca="false">IFERROR(SUMIF($AO$4:$AZ$4, "RDEC", AO801:AZ801), "")</f>
        <v>0</v>
      </c>
      <c r="BB801" s="286" t="n">
        <f aca="false">IFERROR(SUMIF($AO$4:$AZ$4, "SME", AO801:AZ801), "")</f>
        <v>0</v>
      </c>
      <c r="BC801" s="286" t="n">
        <f aca="false">IFERROR(SUMIF($Y$4:$AJ$4, "De Minimis", AO801:AZ801), "")</f>
        <v>0</v>
      </c>
      <c r="BD801" s="287"/>
      <c r="BE801" s="288" t="str">
        <f aca="false">IF((SUM(L801:W801)&gt;1),"ERROR","")</f>
        <v/>
      </c>
    </row>
    <row r="802" customFormat="false" ht="15" hidden="false" customHeight="true" outlineLevel="0" collapsed="false">
      <c r="B802" s="333"/>
      <c r="C802" s="334"/>
      <c r="D802" s="333" t="n">
        <f aca="false">D786</f>
        <v>45566</v>
      </c>
      <c r="E802" s="277" t="n">
        <v>0</v>
      </c>
      <c r="F802" s="277" t="n">
        <v>0</v>
      </c>
      <c r="G802" s="277" t="n">
        <f aca="false">SUM(E802:F802)</f>
        <v>0</v>
      </c>
      <c r="H802" s="204"/>
      <c r="I802" s="279" t="n">
        <v>1</v>
      </c>
      <c r="J802" s="280" t="n">
        <f aca="false">1-I802</f>
        <v>0</v>
      </c>
      <c r="K802" s="277"/>
      <c r="L802" s="282"/>
      <c r="M802" s="282"/>
      <c r="N802" s="282"/>
      <c r="O802" s="282"/>
      <c r="P802" s="282"/>
      <c r="Q802" s="282"/>
      <c r="R802" s="282"/>
      <c r="S802" s="282"/>
      <c r="T802" s="282"/>
      <c r="U802" s="282"/>
      <c r="V802" s="282"/>
      <c r="W802" s="282"/>
      <c r="X802" s="283"/>
      <c r="Y802" s="284" t="n">
        <f aca="false">IFERROR(L802*$G802*I$9, "")</f>
        <v>0</v>
      </c>
      <c r="Z802" s="284" t="n">
        <f aca="false">IFERROR(M802*$G802*$I802, "")</f>
        <v>0</v>
      </c>
      <c r="AA802" s="284" t="n">
        <f aca="false">IFERROR(N802*$G802*$I802, "")</f>
        <v>0</v>
      </c>
      <c r="AB802" s="284" t="n">
        <f aca="false">IFERROR(O802*$G802*$I802, "")</f>
        <v>0</v>
      </c>
      <c r="AC802" s="284" t="n">
        <f aca="false">IFERROR(P802*$G802*$I802, "")</f>
        <v>0</v>
      </c>
      <c r="AD802" s="284" t="n">
        <f aca="false">IFERROR(Q802*$G802*$I802, "")</f>
        <v>0</v>
      </c>
      <c r="AE802" s="284" t="n">
        <f aca="false">IFERROR(R802*$G802*$I802, "")</f>
        <v>0</v>
      </c>
      <c r="AF802" s="284" t="n">
        <f aca="false">IFERROR(S802*$G802*$I802, "")</f>
        <v>0</v>
      </c>
      <c r="AG802" s="284" t="n">
        <f aca="false">IFERROR(T802*$G802*$I802, "")</f>
        <v>0</v>
      </c>
      <c r="AH802" s="284" t="n">
        <f aca="false">IFERROR(U802*$G802*$I802, "")</f>
        <v>0</v>
      </c>
      <c r="AI802" s="284" t="n">
        <f aca="false">IFERROR(V802*$G802*$I802, "")</f>
        <v>0</v>
      </c>
      <c r="AJ802" s="284" t="n">
        <f aca="false">IFERROR(W802*$G802*$I802, "")</f>
        <v>0</v>
      </c>
      <c r="AK802" s="286" t="n">
        <f aca="false">IFERROR(SUMIF($Y$4:$AJ$4, "RDEC", Y802:AJ802), "")</f>
        <v>0</v>
      </c>
      <c r="AL802" s="286" t="n">
        <f aca="false">IFERROR(SUMIF($Y$4:$AJ$4, "SME", Y802:AJ802), "")</f>
        <v>0</v>
      </c>
      <c r="AM802" s="286" t="n">
        <f aca="false">IFERROR(SUMIF($Y$4:$AJ$4, "De Minimis", Y802:AJ802), "")</f>
        <v>0</v>
      </c>
      <c r="AN802" s="283"/>
      <c r="AO802" s="284" t="n">
        <f aca="false">IFERROR($G802*$J802*L802, "")</f>
        <v>0</v>
      </c>
      <c r="AP802" s="284" t="n">
        <f aca="false">IFERROR($G802*$J802*M802, "")</f>
        <v>0</v>
      </c>
      <c r="AQ802" s="284" t="n">
        <f aca="false">IFERROR($G802*$J802*N802, "")</f>
        <v>0</v>
      </c>
      <c r="AR802" s="284" t="n">
        <f aca="false">IFERROR($G802*$J802*O802, "")</f>
        <v>0</v>
      </c>
      <c r="AS802" s="284" t="n">
        <f aca="false">IFERROR($G802*$J802*P802, "")</f>
        <v>0</v>
      </c>
      <c r="AT802" s="284" t="n">
        <f aca="false">IFERROR($G802*$J802*Q802, "")</f>
        <v>0</v>
      </c>
      <c r="AU802" s="284" t="n">
        <f aca="false">IFERROR($G802*$J802*R802, "")</f>
        <v>0</v>
      </c>
      <c r="AV802" s="284" t="n">
        <f aca="false">IFERROR($G802*$J802*S802, "")</f>
        <v>0</v>
      </c>
      <c r="AW802" s="284" t="n">
        <f aca="false">IFERROR($G802*$J802*T802, "")</f>
        <v>0</v>
      </c>
      <c r="AX802" s="284" t="n">
        <f aca="false">IFERROR($G802*$J802*U802, "")</f>
        <v>0</v>
      </c>
      <c r="AY802" s="284" t="n">
        <f aca="false">IFERROR($G802*$J802*V802, "")</f>
        <v>0</v>
      </c>
      <c r="AZ802" s="284" t="n">
        <f aca="false">IFERROR($G802*$J802*W802, "")</f>
        <v>0</v>
      </c>
      <c r="BA802" s="286" t="n">
        <f aca="false">IFERROR(SUMIF($AO$4:$AZ$4, "RDEC", AO802:AZ802), "")</f>
        <v>0</v>
      </c>
      <c r="BB802" s="286" t="n">
        <f aca="false">IFERROR(SUMIF($AO$4:$AZ$4, "SME", AO802:AZ802), "")</f>
        <v>0</v>
      </c>
      <c r="BC802" s="286" t="n">
        <f aca="false">IFERROR(SUMIF($Y$4:$AJ$4, "De Minimis", AO802:AZ802), "")</f>
        <v>0</v>
      </c>
      <c r="BD802" s="287"/>
      <c r="BE802" s="288" t="str">
        <f aca="false">IF((SUM(L802:W802)&gt;1),"ERROR","")</f>
        <v/>
      </c>
    </row>
    <row r="803" customFormat="false" ht="15" hidden="false" customHeight="true" outlineLevel="0" collapsed="false">
      <c r="B803" s="333"/>
      <c r="C803" s="334"/>
      <c r="D803" s="333" t="n">
        <f aca="false">D787</f>
        <v>45597</v>
      </c>
      <c r="E803" s="277" t="n">
        <v>0</v>
      </c>
      <c r="F803" s="277" t="n">
        <v>0</v>
      </c>
      <c r="G803" s="277" t="n">
        <f aca="false">SUM(E803:F803)</f>
        <v>0</v>
      </c>
      <c r="H803" s="204"/>
      <c r="I803" s="279" t="n">
        <v>1</v>
      </c>
      <c r="J803" s="280" t="n">
        <f aca="false">1-I803</f>
        <v>0</v>
      </c>
      <c r="K803" s="277"/>
      <c r="L803" s="282"/>
      <c r="M803" s="282"/>
      <c r="N803" s="282"/>
      <c r="O803" s="282"/>
      <c r="P803" s="282"/>
      <c r="Q803" s="282"/>
      <c r="R803" s="282"/>
      <c r="S803" s="282"/>
      <c r="T803" s="282"/>
      <c r="U803" s="282"/>
      <c r="V803" s="282"/>
      <c r="W803" s="282"/>
      <c r="X803" s="283"/>
      <c r="Y803" s="284" t="n">
        <f aca="false">IFERROR(L803*$G803*I$9, "")</f>
        <v>0</v>
      </c>
      <c r="Z803" s="284" t="n">
        <f aca="false">IFERROR(M803*$G803*$I803, "")</f>
        <v>0</v>
      </c>
      <c r="AA803" s="284" t="n">
        <f aca="false">IFERROR(N803*$G803*$I803, "")</f>
        <v>0</v>
      </c>
      <c r="AB803" s="284" t="n">
        <f aca="false">IFERROR(O803*$G803*$I803, "")</f>
        <v>0</v>
      </c>
      <c r="AC803" s="284" t="n">
        <f aca="false">IFERROR(P803*$G803*$I803, "")</f>
        <v>0</v>
      </c>
      <c r="AD803" s="284" t="n">
        <f aca="false">IFERROR(Q803*$G803*$I803, "")</f>
        <v>0</v>
      </c>
      <c r="AE803" s="284" t="n">
        <f aca="false">IFERROR(R803*$G803*$I803, "")</f>
        <v>0</v>
      </c>
      <c r="AF803" s="284" t="n">
        <f aca="false">IFERROR(S803*$G803*$I803, "")</f>
        <v>0</v>
      </c>
      <c r="AG803" s="284" t="n">
        <f aca="false">IFERROR(T803*$G803*$I803, "")</f>
        <v>0</v>
      </c>
      <c r="AH803" s="284" t="n">
        <f aca="false">IFERROR(U803*$G803*$I803, "")</f>
        <v>0</v>
      </c>
      <c r="AI803" s="284" t="n">
        <f aca="false">IFERROR(V803*$G803*$I803, "")</f>
        <v>0</v>
      </c>
      <c r="AJ803" s="284" t="n">
        <f aca="false">IFERROR(W803*$G803*$I803, "")</f>
        <v>0</v>
      </c>
      <c r="AK803" s="286" t="n">
        <f aca="false">IFERROR(SUMIF($Y$4:$AJ$4, "RDEC", Y803:AJ803), "")</f>
        <v>0</v>
      </c>
      <c r="AL803" s="286" t="n">
        <f aca="false">IFERROR(SUMIF($Y$4:$AJ$4, "SME", Y803:AJ803), "")</f>
        <v>0</v>
      </c>
      <c r="AM803" s="286" t="n">
        <f aca="false">IFERROR(SUMIF($Y$4:$AJ$4, "De Minimis", Y803:AJ803), "")</f>
        <v>0</v>
      </c>
      <c r="AN803" s="283"/>
      <c r="AO803" s="284" t="n">
        <f aca="false">IFERROR($G803*$J803*L803, "")</f>
        <v>0</v>
      </c>
      <c r="AP803" s="284" t="n">
        <f aca="false">IFERROR($G803*$J803*M803, "")</f>
        <v>0</v>
      </c>
      <c r="AQ803" s="284" t="n">
        <f aca="false">IFERROR($G803*$J803*N803, "")</f>
        <v>0</v>
      </c>
      <c r="AR803" s="284" t="n">
        <f aca="false">IFERROR($G803*$J803*O803, "")</f>
        <v>0</v>
      </c>
      <c r="AS803" s="284" t="n">
        <f aca="false">IFERROR($G803*$J803*P803, "")</f>
        <v>0</v>
      </c>
      <c r="AT803" s="284" t="n">
        <f aca="false">IFERROR($G803*$J803*Q803, "")</f>
        <v>0</v>
      </c>
      <c r="AU803" s="284" t="n">
        <f aca="false">IFERROR($G803*$J803*R803, "")</f>
        <v>0</v>
      </c>
      <c r="AV803" s="284" t="n">
        <f aca="false">IFERROR($G803*$J803*S803, "")</f>
        <v>0</v>
      </c>
      <c r="AW803" s="284" t="n">
        <f aca="false">IFERROR($G803*$J803*T803, "")</f>
        <v>0</v>
      </c>
      <c r="AX803" s="284" t="n">
        <f aca="false">IFERROR($G803*$J803*U803, "")</f>
        <v>0</v>
      </c>
      <c r="AY803" s="284" t="n">
        <f aca="false">IFERROR($G803*$J803*V803, "")</f>
        <v>0</v>
      </c>
      <c r="AZ803" s="284" t="n">
        <f aca="false">IFERROR($G803*$J803*W803, "")</f>
        <v>0</v>
      </c>
      <c r="BA803" s="286" t="n">
        <f aca="false">IFERROR(SUMIF($AO$4:$AZ$4, "RDEC", AO803:AZ803), "")</f>
        <v>0</v>
      </c>
      <c r="BB803" s="286" t="n">
        <f aca="false">IFERROR(SUMIF($AO$4:$AZ$4, "SME", AO803:AZ803), "")</f>
        <v>0</v>
      </c>
      <c r="BC803" s="286" t="n">
        <f aca="false">IFERROR(SUMIF($Y$4:$AJ$4, "De Minimis", AO803:AZ803), "")</f>
        <v>0</v>
      </c>
      <c r="BD803" s="287"/>
      <c r="BE803" s="288" t="str">
        <f aca="false">IF((SUM(L803:W803)&gt;1),"ERROR","")</f>
        <v/>
      </c>
    </row>
    <row r="804" customFormat="false" ht="15" hidden="false" customHeight="true" outlineLevel="0" collapsed="false">
      <c r="B804" s="333"/>
      <c r="C804" s="334"/>
      <c r="D804" s="333" t="n">
        <f aca="false">D788</f>
        <v>45627</v>
      </c>
      <c r="E804" s="277" t="n">
        <v>0</v>
      </c>
      <c r="F804" s="277" t="n">
        <v>0</v>
      </c>
      <c r="G804" s="277" t="n">
        <f aca="false">SUM(E804:F804)</f>
        <v>0</v>
      </c>
      <c r="H804" s="300"/>
      <c r="I804" s="289" t="n">
        <v>1</v>
      </c>
      <c r="J804" s="290" t="n">
        <f aca="false">1-I804</f>
        <v>0</v>
      </c>
      <c r="K804" s="300"/>
      <c r="L804" s="291"/>
      <c r="M804" s="291"/>
      <c r="N804" s="291"/>
      <c r="O804" s="291"/>
      <c r="P804" s="291"/>
      <c r="Q804" s="291"/>
      <c r="R804" s="291"/>
      <c r="S804" s="291"/>
      <c r="T804" s="291"/>
      <c r="U804" s="291"/>
      <c r="V804" s="291"/>
      <c r="W804" s="291"/>
      <c r="X804" s="283"/>
      <c r="Y804" s="284" t="n">
        <f aca="false">IFERROR(L804*$G804*I$9, "")</f>
        <v>0</v>
      </c>
      <c r="Z804" s="284" t="n">
        <f aca="false">IFERROR(M804*$G804*$I804, "")</f>
        <v>0</v>
      </c>
      <c r="AA804" s="284" t="n">
        <f aca="false">IFERROR(N804*$G804*$I804, "")</f>
        <v>0</v>
      </c>
      <c r="AB804" s="284" t="n">
        <f aca="false">IFERROR(O804*$G804*$I804, "")</f>
        <v>0</v>
      </c>
      <c r="AC804" s="284" t="n">
        <f aca="false">IFERROR(P804*$G804*$I804, "")</f>
        <v>0</v>
      </c>
      <c r="AD804" s="284" t="n">
        <f aca="false">IFERROR(Q804*$G804*$I804, "")</f>
        <v>0</v>
      </c>
      <c r="AE804" s="284" t="n">
        <f aca="false">IFERROR(R804*$G804*$I804, "")</f>
        <v>0</v>
      </c>
      <c r="AF804" s="284" t="n">
        <f aca="false">IFERROR(S804*$G804*$I804, "")</f>
        <v>0</v>
      </c>
      <c r="AG804" s="284" t="n">
        <f aca="false">IFERROR(T804*$G804*$I804, "")</f>
        <v>0</v>
      </c>
      <c r="AH804" s="284" t="n">
        <f aca="false">IFERROR(U804*$G804*$I804, "")</f>
        <v>0</v>
      </c>
      <c r="AI804" s="284" t="n">
        <f aca="false">IFERROR(V804*$G804*$I804, "")</f>
        <v>0</v>
      </c>
      <c r="AJ804" s="284" t="n">
        <f aca="false">IFERROR(W804*$G804*$I804, "")</f>
        <v>0</v>
      </c>
      <c r="AK804" s="294" t="n">
        <f aca="false">IFERROR(SUMIF($Y$4:$AJ$4, "RDEC", Y804:AJ804), "")</f>
        <v>0</v>
      </c>
      <c r="AL804" s="294" t="n">
        <f aca="false">IFERROR(SUMIF($Y$4:$AJ$4, "SME", Y804:AJ804), "")</f>
        <v>0</v>
      </c>
      <c r="AM804" s="294" t="n">
        <f aca="false">IFERROR(SUMIF($Y$4:$AJ$4, "De Minimis", Y804:AJ804), "")</f>
        <v>0</v>
      </c>
      <c r="AN804" s="283"/>
      <c r="AO804" s="284" t="n">
        <f aca="false">IFERROR($G804*$J804*L804, "")</f>
        <v>0</v>
      </c>
      <c r="AP804" s="284" t="n">
        <f aca="false">IFERROR($G804*$J804*M804, "")</f>
        <v>0</v>
      </c>
      <c r="AQ804" s="284" t="n">
        <f aca="false">IFERROR($G804*$J804*N804, "")</f>
        <v>0</v>
      </c>
      <c r="AR804" s="284" t="n">
        <f aca="false">IFERROR($G804*$J804*O804, "")</f>
        <v>0</v>
      </c>
      <c r="AS804" s="284" t="n">
        <f aca="false">IFERROR($G804*$J804*P804, "")</f>
        <v>0</v>
      </c>
      <c r="AT804" s="284" t="n">
        <f aca="false">IFERROR($G804*$J804*Q804, "")</f>
        <v>0</v>
      </c>
      <c r="AU804" s="284" t="n">
        <f aca="false">IFERROR($G804*$J804*R804, "")</f>
        <v>0</v>
      </c>
      <c r="AV804" s="284" t="n">
        <f aca="false">IFERROR($G804*$J804*S804, "")</f>
        <v>0</v>
      </c>
      <c r="AW804" s="284" t="n">
        <f aca="false">IFERROR($G804*$J804*T804, "")</f>
        <v>0</v>
      </c>
      <c r="AX804" s="284" t="n">
        <f aca="false">IFERROR($G804*$J804*U804, "")</f>
        <v>0</v>
      </c>
      <c r="AY804" s="284" t="n">
        <f aca="false">IFERROR($G804*$J804*V804, "")</f>
        <v>0</v>
      </c>
      <c r="AZ804" s="284" t="n">
        <f aca="false">IFERROR($G804*$J804*W804, "")</f>
        <v>0</v>
      </c>
      <c r="BA804" s="286" t="n">
        <f aca="false">IFERROR(SUMIF($AO$4:$AZ$4, "RDEC", AO804:AZ804), "")</f>
        <v>0</v>
      </c>
      <c r="BB804" s="286" t="n">
        <f aca="false">IFERROR(SUMIF($AO$4:$AZ$4, "SME", AO804:AZ804), "")</f>
        <v>0</v>
      </c>
      <c r="BC804" s="294" t="n">
        <f aca="false">IFERROR(SUMIF($Y$4:$AJ$4, "De Minimis", AO804:AZ804), "")</f>
        <v>0</v>
      </c>
      <c r="BD804" s="303"/>
      <c r="BE804" s="295" t="str">
        <f aca="false">IF((SUM(L804:W804)&gt;1),"ERROR","")</f>
        <v/>
      </c>
    </row>
    <row r="805" customFormat="false" ht="15" hidden="false" customHeight="true" outlineLevel="0" collapsed="false">
      <c r="B805" s="296"/>
      <c r="D805" s="297" t="s">
        <v>82</v>
      </c>
      <c r="E805" s="299" t="n">
        <f aca="false">SUM(E793:E804)</f>
        <v>0</v>
      </c>
      <c r="F805" s="299" t="n">
        <f aca="false">SUM(F793:F804)</f>
        <v>0</v>
      </c>
      <c r="G805" s="299" t="n">
        <f aca="false">SUM(G793:G804)</f>
        <v>0</v>
      </c>
      <c r="H805" s="300"/>
      <c r="I805" s="301" t="n">
        <f aca="false">AVERAGE(I793:I804)</f>
        <v>1</v>
      </c>
      <c r="J805" s="301" t="n">
        <f aca="false">AVERAGE(J793:J804)</f>
        <v>0</v>
      </c>
      <c r="K805" s="300"/>
      <c r="L805" s="290" t="n">
        <f aca="false">IF(SUM(L793:L804)&gt;0,(Y805/G805),0)</f>
        <v>0</v>
      </c>
      <c r="M805" s="301" t="n">
        <f aca="false">IF(SUM(M793:M804)&gt;0,(Z805/G805),0)</f>
        <v>0</v>
      </c>
      <c r="N805" s="301" t="n">
        <f aca="false">IF(SUM(N793:N804)&gt;0,(AA805/G805),0)</f>
        <v>0</v>
      </c>
      <c r="O805" s="301" t="n">
        <f aca="false">IF(SUM(O793:O804)&gt;0,(AB805/G805),0)</f>
        <v>0</v>
      </c>
      <c r="P805" s="301" t="n">
        <f aca="false">IF(SUM(P793:P804)&gt;0,(AC805/G805),0)</f>
        <v>0</v>
      </c>
      <c r="Q805" s="301" t="n">
        <f aca="false">IF(SUM(Q793:Q804)&gt;0,(AD805/G805),0)</f>
        <v>0</v>
      </c>
      <c r="R805" s="301" t="n">
        <f aca="false">IF(SUM(R793:R804)&gt;0,(AE805/G805),0)</f>
        <v>0</v>
      </c>
      <c r="S805" s="301" t="n">
        <f aca="false">IF(SUM(S793:S804)&gt;0,(AF805/G805),0)</f>
        <v>0</v>
      </c>
      <c r="T805" s="301" t="n">
        <f aca="false">IF(SUM(T793:T804)&gt;0,(AG805/G805),0)</f>
        <v>0</v>
      </c>
      <c r="U805" s="301" t="n">
        <f aca="false">IF(SUM(U793:U804)&gt;0,(AJ805/G805),0)</f>
        <v>0</v>
      </c>
      <c r="V805" s="301" t="n">
        <f aca="false">IF(SUM(V793:V804)&gt;0,(AI805/G805),0)</f>
        <v>0</v>
      </c>
      <c r="W805" s="301" t="n">
        <f aca="false">IF(SUM(W793:W804)&gt;0,(AJ805/G805),0)</f>
        <v>0</v>
      </c>
      <c r="X805" s="283"/>
      <c r="Y805" s="304" t="n">
        <f aca="false">SUM(Y793:Y804)</f>
        <v>0</v>
      </c>
      <c r="Z805" s="304" t="n">
        <f aca="false">SUM(Z793:Z804)</f>
        <v>0</v>
      </c>
      <c r="AA805" s="304" t="n">
        <f aca="false">SUM(AA793:AA804)</f>
        <v>0</v>
      </c>
      <c r="AB805" s="304" t="n">
        <f aca="false">SUM(AB793:AB804)</f>
        <v>0</v>
      </c>
      <c r="AC805" s="304" t="n">
        <f aca="false">SUM(AC793:AC804)</f>
        <v>0</v>
      </c>
      <c r="AD805" s="304" t="n">
        <f aca="false">SUM(AD793:AD804)</f>
        <v>0</v>
      </c>
      <c r="AE805" s="304" t="n">
        <f aca="false">SUM(AE793:AE804)</f>
        <v>0</v>
      </c>
      <c r="AF805" s="304" t="n">
        <f aca="false">SUM(AF793:AF804)</f>
        <v>0</v>
      </c>
      <c r="AG805" s="304" t="n">
        <f aca="false">SUM(AG793:AG804)</f>
        <v>0</v>
      </c>
      <c r="AH805" s="304" t="n">
        <f aca="false">SUM(AH793:AH804)</f>
        <v>0</v>
      </c>
      <c r="AI805" s="304" t="n">
        <f aca="false">SUM(AI793:AI804)</f>
        <v>0</v>
      </c>
      <c r="AJ805" s="304" t="n">
        <f aca="false">SUM(AJ793:AJ804)</f>
        <v>0</v>
      </c>
      <c r="AK805" s="335" t="n">
        <f aca="false">SUM(AK793:AK804)</f>
        <v>0</v>
      </c>
      <c r="AL805" s="336" t="n">
        <f aca="false">SUM(AL793:AL804)</f>
        <v>0</v>
      </c>
      <c r="AM805" s="305" t="n">
        <f aca="false">SUM(AM793:AM804)</f>
        <v>0</v>
      </c>
      <c r="AN805" s="283"/>
      <c r="AO805" s="304" t="n">
        <f aca="false">SUM(AO793:AO804)</f>
        <v>0</v>
      </c>
      <c r="AP805" s="304" t="n">
        <f aca="false">SUM(AP793:AP804)</f>
        <v>0</v>
      </c>
      <c r="AQ805" s="304" t="n">
        <f aca="false">SUM(AQ793:AQ804)</f>
        <v>0</v>
      </c>
      <c r="AR805" s="304" t="n">
        <f aca="false">SUM(AR793:AR804)</f>
        <v>0</v>
      </c>
      <c r="AS805" s="304" t="n">
        <f aca="false">SUM(AS793:AS804)</f>
        <v>0</v>
      </c>
      <c r="AT805" s="304" t="n">
        <f aca="false">SUM(AT793:AT804)</f>
        <v>0</v>
      </c>
      <c r="AU805" s="304" t="n">
        <f aca="false">SUM(AU793:AU804)</f>
        <v>0</v>
      </c>
      <c r="AV805" s="304" t="n">
        <f aca="false">SUM(AV793:AV804)</f>
        <v>0</v>
      </c>
      <c r="AW805" s="304" t="n">
        <f aca="false">SUM(AW793:AW804)</f>
        <v>0</v>
      </c>
      <c r="AX805" s="304" t="n">
        <f aca="false">SUM(AX793:AX804)</f>
        <v>0</v>
      </c>
      <c r="AY805" s="304" t="n">
        <f aca="false">SUM(AY793:AY804)</f>
        <v>0</v>
      </c>
      <c r="AZ805" s="304" t="n">
        <f aca="false">SUM(AZ793:AZ804)</f>
        <v>0</v>
      </c>
      <c r="BA805" s="336" t="n">
        <f aca="false">SUM(BA793:BA804)</f>
        <v>0</v>
      </c>
      <c r="BB805" s="336" t="n">
        <f aca="false">SUM(BB793:BB804)</f>
        <v>0</v>
      </c>
      <c r="BC805" s="305" t="n">
        <f aca="false">SUM(BC793:BC804)</f>
        <v>0</v>
      </c>
      <c r="BD805" s="303"/>
      <c r="BE805" s="337"/>
    </row>
    <row r="806" customFormat="false" ht="15" hidden="false" customHeight="true" outlineLevel="0" collapsed="false">
      <c r="B806" s="296"/>
      <c r="D806" s="297"/>
      <c r="E806" s="300"/>
      <c r="F806" s="300"/>
      <c r="G806" s="300"/>
      <c r="H806" s="241"/>
      <c r="I806" s="302"/>
      <c r="J806" s="302"/>
      <c r="K806" s="241"/>
      <c r="L806" s="259"/>
      <c r="M806" s="259"/>
      <c r="N806" s="259"/>
      <c r="O806" s="259"/>
      <c r="P806" s="259"/>
      <c r="Q806" s="259"/>
      <c r="R806" s="259"/>
      <c r="S806" s="259"/>
      <c r="T806" s="259"/>
      <c r="U806" s="259"/>
      <c r="V806" s="259"/>
      <c r="W806" s="259"/>
      <c r="X806" s="303"/>
      <c r="Y806" s="259"/>
      <c r="Z806" s="303"/>
      <c r="AA806" s="303"/>
      <c r="AB806" s="303"/>
      <c r="AC806" s="303"/>
      <c r="AD806" s="303"/>
      <c r="AE806" s="303"/>
      <c r="AF806" s="303"/>
      <c r="AG806" s="303"/>
      <c r="AH806" s="303"/>
      <c r="AI806" s="303"/>
      <c r="AJ806" s="303"/>
      <c r="AK806" s="303"/>
      <c r="AL806" s="303"/>
      <c r="AM806" s="303"/>
      <c r="AN806" s="303"/>
      <c r="AO806" s="259"/>
      <c r="AP806" s="303"/>
      <c r="AQ806" s="303"/>
      <c r="AR806" s="303"/>
      <c r="AS806" s="303"/>
      <c r="AT806" s="303"/>
      <c r="AU806" s="303"/>
      <c r="AV806" s="303"/>
      <c r="AW806" s="303"/>
      <c r="AX806" s="303"/>
      <c r="AY806" s="303"/>
      <c r="AZ806" s="303"/>
      <c r="BA806" s="303"/>
      <c r="BB806" s="303"/>
      <c r="BC806" s="303"/>
      <c r="BD806" s="268"/>
      <c r="BE806" s="303"/>
    </row>
    <row r="807" customFormat="false" ht="15" hidden="false" customHeight="true" outlineLevel="0" collapsed="false">
      <c r="A807" s="198" t="n">
        <f aca="false">A791+1</f>
        <v>51</v>
      </c>
      <c r="B807" s="266" t="s">
        <v>253</v>
      </c>
      <c r="C807" s="266" t="s">
        <v>253</v>
      </c>
      <c r="D807" s="266"/>
      <c r="E807" s="241"/>
      <c r="F807" s="241"/>
      <c r="G807" s="241"/>
      <c r="H807" s="241"/>
      <c r="I807" s="241"/>
      <c r="J807" s="241"/>
      <c r="K807" s="277"/>
      <c r="L807" s="241"/>
      <c r="M807" s="241"/>
      <c r="N807" s="241"/>
      <c r="O807" s="241"/>
      <c r="P807" s="241"/>
      <c r="Q807" s="241"/>
      <c r="R807" s="241"/>
      <c r="S807" s="241"/>
      <c r="T807" s="241"/>
      <c r="U807" s="241"/>
      <c r="V807" s="241"/>
      <c r="W807" s="241"/>
      <c r="X807" s="259"/>
      <c r="Y807" s="268"/>
      <c r="Z807" s="268"/>
      <c r="AA807" s="268"/>
      <c r="AB807" s="268"/>
      <c r="AC807" s="268"/>
      <c r="AD807" s="268"/>
      <c r="AE807" s="268"/>
      <c r="AF807" s="268"/>
      <c r="AG807" s="268"/>
      <c r="AH807" s="268"/>
      <c r="AI807" s="268"/>
      <c r="AJ807" s="268"/>
      <c r="AK807" s="268"/>
      <c r="AL807" s="268"/>
      <c r="AM807" s="268"/>
      <c r="AN807" s="259"/>
      <c r="AO807" s="268"/>
      <c r="AP807" s="268"/>
      <c r="AQ807" s="268"/>
      <c r="AR807" s="268"/>
      <c r="AS807" s="268"/>
      <c r="AT807" s="268"/>
      <c r="AU807" s="268"/>
      <c r="AV807" s="268"/>
      <c r="AW807" s="268"/>
      <c r="AX807" s="268"/>
      <c r="AY807" s="268"/>
      <c r="AZ807" s="268"/>
      <c r="BA807" s="268"/>
      <c r="BB807" s="268"/>
      <c r="BC807" s="268"/>
      <c r="BD807" s="287"/>
      <c r="BE807" s="268"/>
    </row>
    <row r="808" customFormat="false" ht="7.5" hidden="false" customHeight="true" outlineLevel="0" collapsed="false">
      <c r="A808" s="198"/>
      <c r="B808" s="266"/>
      <c r="C808" s="266"/>
      <c r="D808" s="266"/>
      <c r="E808" s="241"/>
      <c r="F808" s="241"/>
      <c r="G808" s="241"/>
      <c r="H808" s="204"/>
      <c r="I808" s="269"/>
      <c r="J808" s="269"/>
      <c r="K808" s="277"/>
      <c r="L808" s="269"/>
      <c r="M808" s="269"/>
      <c r="N808" s="269"/>
      <c r="O808" s="269"/>
      <c r="P808" s="269"/>
      <c r="Q808" s="269"/>
      <c r="R808" s="269"/>
      <c r="S808" s="269"/>
      <c r="T808" s="269"/>
      <c r="U808" s="269"/>
      <c r="V808" s="269"/>
      <c r="W808" s="269"/>
      <c r="X808" s="259"/>
      <c r="Y808" s="271"/>
      <c r="Z808" s="271"/>
      <c r="AA808" s="271"/>
      <c r="AB808" s="271"/>
      <c r="AC808" s="271"/>
      <c r="AD808" s="271"/>
      <c r="AE808" s="271"/>
      <c r="AF808" s="271"/>
      <c r="AG808" s="271"/>
      <c r="AH808" s="271"/>
      <c r="AI808" s="271"/>
      <c r="AJ808" s="272"/>
      <c r="AK808" s="273"/>
      <c r="AL808" s="273"/>
      <c r="AM808" s="273"/>
      <c r="AN808" s="259"/>
      <c r="AO808" s="271"/>
      <c r="AP808" s="271"/>
      <c r="AQ808" s="271"/>
      <c r="AR808" s="271"/>
      <c r="AS808" s="271"/>
      <c r="AT808" s="271"/>
      <c r="AU808" s="271"/>
      <c r="AV808" s="271"/>
      <c r="AW808" s="271"/>
      <c r="AX808" s="271"/>
      <c r="AY808" s="271"/>
      <c r="AZ808" s="272"/>
      <c r="BA808" s="273"/>
      <c r="BB808" s="273"/>
      <c r="BC808" s="273"/>
      <c r="BD808" s="287"/>
      <c r="BE808" s="274"/>
    </row>
    <row r="809" customFormat="false" ht="15" hidden="false" customHeight="true" outlineLevel="0" collapsed="false">
      <c r="B809" s="333"/>
      <c r="C809" s="334"/>
      <c r="D809" s="333" t="n">
        <f aca="false">D793</f>
        <v>45292</v>
      </c>
      <c r="E809" s="277" t="n">
        <v>0</v>
      </c>
      <c r="F809" s="277" t="n">
        <v>0</v>
      </c>
      <c r="G809" s="277" t="n">
        <f aca="false">SUM(E809:F809)</f>
        <v>0</v>
      </c>
      <c r="H809" s="204"/>
      <c r="I809" s="279" t="n">
        <v>1</v>
      </c>
      <c r="J809" s="280" t="n">
        <f aca="false">1-I809</f>
        <v>0</v>
      </c>
      <c r="K809" s="277"/>
      <c r="L809" s="282"/>
      <c r="M809" s="282"/>
      <c r="N809" s="282"/>
      <c r="O809" s="282"/>
      <c r="P809" s="282"/>
      <c r="Q809" s="282"/>
      <c r="R809" s="282"/>
      <c r="S809" s="282"/>
      <c r="T809" s="282"/>
      <c r="U809" s="282"/>
      <c r="V809" s="282"/>
      <c r="W809" s="282"/>
      <c r="X809" s="268"/>
      <c r="Y809" s="284" t="n">
        <f aca="false">IFERROR(L809*$G809*I$9, "")</f>
        <v>0</v>
      </c>
      <c r="Z809" s="284" t="n">
        <f aca="false">IFERROR(M809*$G809*$I809, "")</f>
        <v>0</v>
      </c>
      <c r="AA809" s="284" t="n">
        <f aca="false">IFERROR(N809*$G809*$I809, "")</f>
        <v>0</v>
      </c>
      <c r="AB809" s="284" t="n">
        <f aca="false">IFERROR(O809*$G809*$I809, "")</f>
        <v>0</v>
      </c>
      <c r="AC809" s="284" t="n">
        <f aca="false">IFERROR(P809*$G809*$I809, "")</f>
        <v>0</v>
      </c>
      <c r="AD809" s="284" t="n">
        <f aca="false">IFERROR(Q809*$G809*$I809, "")</f>
        <v>0</v>
      </c>
      <c r="AE809" s="284" t="n">
        <f aca="false">IFERROR(R809*$G809*$I809, "")</f>
        <v>0</v>
      </c>
      <c r="AF809" s="284" t="n">
        <f aca="false">IFERROR(S809*$G809*$I809, "")</f>
        <v>0</v>
      </c>
      <c r="AG809" s="284" t="n">
        <f aca="false">IFERROR(T809*$G809*$I809, "")</f>
        <v>0</v>
      </c>
      <c r="AH809" s="284" t="n">
        <f aca="false">IFERROR(U809*$G809*$I809, "")</f>
        <v>0</v>
      </c>
      <c r="AI809" s="284" t="n">
        <f aca="false">IFERROR(V809*$G809*$I809, "")</f>
        <v>0</v>
      </c>
      <c r="AJ809" s="284" t="n">
        <f aca="false">IFERROR(W809*$G809*$I809, "")</f>
        <v>0</v>
      </c>
      <c r="AK809" s="286" t="n">
        <f aca="false">IFERROR(SUMIF($Y$4:$AJ$4, "RDEC", Y809:AJ809), "")</f>
        <v>0</v>
      </c>
      <c r="AL809" s="286" t="n">
        <f aca="false">IFERROR(SUMIF($Y$4:$AJ$4, "SME", Y809:AJ809), "")</f>
        <v>0</v>
      </c>
      <c r="AM809" s="286" t="n">
        <f aca="false">IFERROR(SUMIF($Y$4:$AJ$4, "De Minimis", Y809:AJ809), "")</f>
        <v>0</v>
      </c>
      <c r="AN809" s="268"/>
      <c r="AO809" s="284" t="n">
        <f aca="false">IFERROR($G809*$J809*L809, "")</f>
        <v>0</v>
      </c>
      <c r="AP809" s="284" t="n">
        <f aca="false">IFERROR($G809*$J809*M809, "")</f>
        <v>0</v>
      </c>
      <c r="AQ809" s="284" t="n">
        <f aca="false">IFERROR($G809*$J809*N809, "")</f>
        <v>0</v>
      </c>
      <c r="AR809" s="284" t="n">
        <f aca="false">IFERROR($G809*$J809*O809, "")</f>
        <v>0</v>
      </c>
      <c r="AS809" s="284" t="n">
        <f aca="false">IFERROR($G809*$J809*P809, "")</f>
        <v>0</v>
      </c>
      <c r="AT809" s="284" t="n">
        <f aca="false">IFERROR($G809*$J809*Q809, "")</f>
        <v>0</v>
      </c>
      <c r="AU809" s="284" t="n">
        <f aca="false">IFERROR($G809*$J809*R809, "")</f>
        <v>0</v>
      </c>
      <c r="AV809" s="284" t="n">
        <f aca="false">IFERROR($G809*$J809*S809, "")</f>
        <v>0</v>
      </c>
      <c r="AW809" s="284" t="n">
        <f aca="false">IFERROR($G809*$J809*T809, "")</f>
        <v>0</v>
      </c>
      <c r="AX809" s="284" t="n">
        <f aca="false">IFERROR($G809*$J809*U809, "")</f>
        <v>0</v>
      </c>
      <c r="AY809" s="284" t="n">
        <f aca="false">IFERROR($G809*$J809*V809, "")</f>
        <v>0</v>
      </c>
      <c r="AZ809" s="284" t="n">
        <f aca="false">IFERROR($G809*$J809*W809, "")</f>
        <v>0</v>
      </c>
      <c r="BA809" s="286" t="n">
        <f aca="false">IFERROR(SUMIF($AO$4:$AZ$4, "RDEC", AO809:AZ809), "")</f>
        <v>0</v>
      </c>
      <c r="BB809" s="286" t="n">
        <f aca="false">IFERROR(SUMIF($AO$4:$AZ$4, "SME", AO809:AZ809), "")</f>
        <v>0</v>
      </c>
      <c r="BC809" s="286" t="n">
        <f aca="false">IFERROR(SUMIF($AO$4:$AZ$4, "De Minimis", AO809:AZ809), "")</f>
        <v>0</v>
      </c>
      <c r="BD809" s="287"/>
      <c r="BE809" s="288" t="str">
        <f aca="false">IF((SUM(L809:W809)&gt;1),"ERROR","")</f>
        <v/>
      </c>
    </row>
    <row r="810" customFormat="false" ht="15" hidden="false" customHeight="true" outlineLevel="0" collapsed="false">
      <c r="B810" s="333"/>
      <c r="C810" s="334"/>
      <c r="D810" s="333" t="n">
        <f aca="false">D794</f>
        <v>45323</v>
      </c>
      <c r="E810" s="277" t="n">
        <v>0</v>
      </c>
      <c r="F810" s="277" t="n">
        <v>0</v>
      </c>
      <c r="G810" s="277" t="n">
        <f aca="false">SUM(E810:F810)</f>
        <v>0</v>
      </c>
      <c r="H810" s="204"/>
      <c r="I810" s="279" t="n">
        <v>1</v>
      </c>
      <c r="J810" s="280" t="n">
        <f aca="false">1-I810</f>
        <v>0</v>
      </c>
      <c r="K810" s="277"/>
      <c r="L810" s="282"/>
      <c r="M810" s="282"/>
      <c r="N810" s="282"/>
      <c r="O810" s="282"/>
      <c r="P810" s="282"/>
      <c r="Q810" s="282"/>
      <c r="R810" s="282"/>
      <c r="S810" s="282"/>
      <c r="T810" s="282"/>
      <c r="U810" s="282"/>
      <c r="V810" s="282"/>
      <c r="W810" s="282"/>
      <c r="X810" s="283"/>
      <c r="Y810" s="284" t="n">
        <f aca="false">IFERROR(L810*$G810*I$9, "")</f>
        <v>0</v>
      </c>
      <c r="Z810" s="284" t="n">
        <f aca="false">IFERROR(M810*$G810*$I810, "")</f>
        <v>0</v>
      </c>
      <c r="AA810" s="284" t="n">
        <f aca="false">IFERROR(N810*$G810*$I810, "")</f>
        <v>0</v>
      </c>
      <c r="AB810" s="284" t="n">
        <f aca="false">IFERROR(O810*$G810*$I810, "")</f>
        <v>0</v>
      </c>
      <c r="AC810" s="284" t="n">
        <f aca="false">IFERROR(P810*$G810*$I810, "")</f>
        <v>0</v>
      </c>
      <c r="AD810" s="284" t="n">
        <f aca="false">IFERROR(Q810*$G810*$I810, "")</f>
        <v>0</v>
      </c>
      <c r="AE810" s="284" t="n">
        <f aca="false">IFERROR(R810*$G810*$I810, "")</f>
        <v>0</v>
      </c>
      <c r="AF810" s="284" t="n">
        <f aca="false">IFERROR(S810*$G810*$I810, "")</f>
        <v>0</v>
      </c>
      <c r="AG810" s="284" t="n">
        <f aca="false">IFERROR(T810*$G810*$I810, "")</f>
        <v>0</v>
      </c>
      <c r="AH810" s="284" t="n">
        <f aca="false">IFERROR(U810*$G810*$I810, "")</f>
        <v>0</v>
      </c>
      <c r="AI810" s="284" t="n">
        <f aca="false">IFERROR(V810*$G810*$I810, "")</f>
        <v>0</v>
      </c>
      <c r="AJ810" s="284" t="n">
        <f aca="false">IFERROR(W810*$G810*$I810, "")</f>
        <v>0</v>
      </c>
      <c r="AK810" s="286" t="n">
        <f aca="false">IFERROR(SUMIF($Y$4:$AJ$4, "RDEC", Y810:AJ810), "")</f>
        <v>0</v>
      </c>
      <c r="AL810" s="286" t="n">
        <f aca="false">IFERROR(SUMIF($Y$4:$AJ$4, "SME", Y810:AJ810), "")</f>
        <v>0</v>
      </c>
      <c r="AM810" s="286" t="n">
        <f aca="false">IFERROR(SUMIF($Y$4:$AJ$4, "De Minimis", Y810:AJ810), "")</f>
        <v>0</v>
      </c>
      <c r="AN810" s="283"/>
      <c r="AO810" s="284" t="n">
        <f aca="false">IFERROR($G810*$J810*L810, "")</f>
        <v>0</v>
      </c>
      <c r="AP810" s="284" t="n">
        <f aca="false">IFERROR($G810*$J810*M810, "")</f>
        <v>0</v>
      </c>
      <c r="AQ810" s="284" t="n">
        <f aca="false">IFERROR($G810*$J810*N810, "")</f>
        <v>0</v>
      </c>
      <c r="AR810" s="284" t="n">
        <f aca="false">IFERROR($G810*$J810*O810, "")</f>
        <v>0</v>
      </c>
      <c r="AS810" s="284" t="n">
        <f aca="false">IFERROR($G810*$J810*P810, "")</f>
        <v>0</v>
      </c>
      <c r="AT810" s="284" t="n">
        <f aca="false">IFERROR($G810*$J810*Q810, "")</f>
        <v>0</v>
      </c>
      <c r="AU810" s="284" t="n">
        <f aca="false">IFERROR($G810*$J810*R810, "")</f>
        <v>0</v>
      </c>
      <c r="AV810" s="284" t="n">
        <f aca="false">IFERROR($G810*$J810*S810, "")</f>
        <v>0</v>
      </c>
      <c r="AW810" s="284" t="n">
        <f aca="false">IFERROR($G810*$J810*T810, "")</f>
        <v>0</v>
      </c>
      <c r="AX810" s="284" t="n">
        <f aca="false">IFERROR($G810*$J810*U810, "")</f>
        <v>0</v>
      </c>
      <c r="AY810" s="284" t="n">
        <f aca="false">IFERROR($G810*$J810*V810, "")</f>
        <v>0</v>
      </c>
      <c r="AZ810" s="284" t="n">
        <f aca="false">IFERROR($G810*$J810*W810, "")</f>
        <v>0</v>
      </c>
      <c r="BA810" s="286" t="n">
        <f aca="false">IFERROR(SUMIF($AO$4:$AZ$4, "RDEC", AO810:AZ810), "")</f>
        <v>0</v>
      </c>
      <c r="BB810" s="286" t="n">
        <f aca="false">IFERROR(SUMIF($AO$4:$AZ$4, "SME", AO810:AZ810), "")</f>
        <v>0</v>
      </c>
      <c r="BC810" s="286" t="n">
        <f aca="false">IFERROR(SUMIF($Y$4:$AJ$4, "De Minimis", AO810:AZ810), "")</f>
        <v>0</v>
      </c>
      <c r="BD810" s="287"/>
      <c r="BE810" s="288" t="str">
        <f aca="false">IF((SUM(L810:W810)&gt;1),"ERROR","")</f>
        <v/>
      </c>
    </row>
    <row r="811" customFormat="false" ht="15" hidden="false" customHeight="true" outlineLevel="0" collapsed="false">
      <c r="B811" s="333"/>
      <c r="C811" s="334"/>
      <c r="D811" s="333" t="n">
        <f aca="false">D795</f>
        <v>45352</v>
      </c>
      <c r="E811" s="277" t="n">
        <v>0</v>
      </c>
      <c r="F811" s="277" t="n">
        <v>0</v>
      </c>
      <c r="G811" s="277" t="n">
        <f aca="false">SUM(E811:F811)</f>
        <v>0</v>
      </c>
      <c r="H811" s="204"/>
      <c r="I811" s="279" t="n">
        <v>1</v>
      </c>
      <c r="J811" s="280" t="n">
        <f aca="false">1-I811</f>
        <v>0</v>
      </c>
      <c r="K811" s="277"/>
      <c r="L811" s="282"/>
      <c r="M811" s="282"/>
      <c r="N811" s="282"/>
      <c r="O811" s="282"/>
      <c r="P811" s="282"/>
      <c r="Q811" s="282"/>
      <c r="R811" s="282"/>
      <c r="S811" s="282"/>
      <c r="T811" s="282"/>
      <c r="U811" s="282"/>
      <c r="V811" s="282"/>
      <c r="W811" s="282"/>
      <c r="X811" s="283"/>
      <c r="Y811" s="284" t="n">
        <f aca="false">IFERROR(L811*$G811*I$9, "")</f>
        <v>0</v>
      </c>
      <c r="Z811" s="284" t="n">
        <f aca="false">IFERROR(M811*$G811*$I811, "")</f>
        <v>0</v>
      </c>
      <c r="AA811" s="284" t="n">
        <f aca="false">IFERROR(N811*$G811*$I811, "")</f>
        <v>0</v>
      </c>
      <c r="AB811" s="284" t="n">
        <f aca="false">IFERROR(O811*$G811*$I811, "")</f>
        <v>0</v>
      </c>
      <c r="AC811" s="284" t="n">
        <f aca="false">IFERROR(P811*$G811*$I811, "")</f>
        <v>0</v>
      </c>
      <c r="AD811" s="284" t="n">
        <f aca="false">IFERROR(Q811*$G811*$I811, "")</f>
        <v>0</v>
      </c>
      <c r="AE811" s="284" t="n">
        <f aca="false">IFERROR(R811*$G811*$I811, "")</f>
        <v>0</v>
      </c>
      <c r="AF811" s="284" t="n">
        <f aca="false">IFERROR(S811*$G811*$I811, "")</f>
        <v>0</v>
      </c>
      <c r="AG811" s="284" t="n">
        <f aca="false">IFERROR(T811*$G811*$I811, "")</f>
        <v>0</v>
      </c>
      <c r="AH811" s="284" t="n">
        <f aca="false">IFERROR(U811*$G811*$I811, "")</f>
        <v>0</v>
      </c>
      <c r="AI811" s="284" t="n">
        <f aca="false">IFERROR(V811*$G811*$I811, "")</f>
        <v>0</v>
      </c>
      <c r="AJ811" s="284" t="n">
        <f aca="false">IFERROR(W811*$G811*$I811, "")</f>
        <v>0</v>
      </c>
      <c r="AK811" s="286" t="n">
        <f aca="false">IFERROR(SUMIF($Y$4:$AJ$4, "RDEC", Y811:AJ811), "")</f>
        <v>0</v>
      </c>
      <c r="AL811" s="286" t="n">
        <f aca="false">IFERROR(SUMIF($Y$4:$AJ$4, "SME", Y811:AJ811), "")</f>
        <v>0</v>
      </c>
      <c r="AM811" s="286" t="n">
        <f aca="false">IFERROR(SUMIF($Y$4:$AJ$4, "De Minimis", Y811:AJ811), "")</f>
        <v>0</v>
      </c>
      <c r="AN811" s="283"/>
      <c r="AO811" s="284" t="n">
        <f aca="false">IFERROR($G811*$J811*L811, "")</f>
        <v>0</v>
      </c>
      <c r="AP811" s="284" t="n">
        <f aca="false">IFERROR($G811*$J811*M811, "")</f>
        <v>0</v>
      </c>
      <c r="AQ811" s="284" t="n">
        <f aca="false">IFERROR($G811*$J811*N811, "")</f>
        <v>0</v>
      </c>
      <c r="AR811" s="284" t="n">
        <f aca="false">IFERROR($G811*$J811*O811, "")</f>
        <v>0</v>
      </c>
      <c r="AS811" s="284" t="n">
        <f aca="false">IFERROR($G811*$J811*P811, "")</f>
        <v>0</v>
      </c>
      <c r="AT811" s="284" t="n">
        <f aca="false">IFERROR($G811*$J811*Q811, "")</f>
        <v>0</v>
      </c>
      <c r="AU811" s="284" t="n">
        <f aca="false">IFERROR($G811*$J811*R811, "")</f>
        <v>0</v>
      </c>
      <c r="AV811" s="284" t="n">
        <f aca="false">IFERROR($G811*$J811*S811, "")</f>
        <v>0</v>
      </c>
      <c r="AW811" s="284" t="n">
        <f aca="false">IFERROR($G811*$J811*T811, "")</f>
        <v>0</v>
      </c>
      <c r="AX811" s="284" t="n">
        <f aca="false">IFERROR($G811*$J811*U811, "")</f>
        <v>0</v>
      </c>
      <c r="AY811" s="284" t="n">
        <f aca="false">IFERROR($G811*$J811*V811, "")</f>
        <v>0</v>
      </c>
      <c r="AZ811" s="284" t="n">
        <f aca="false">IFERROR($G811*$J811*W811, "")</f>
        <v>0</v>
      </c>
      <c r="BA811" s="286" t="n">
        <f aca="false">IFERROR(SUMIF($AO$4:$AZ$4, "RDEC", AO811:AZ811), "")</f>
        <v>0</v>
      </c>
      <c r="BB811" s="286" t="n">
        <f aca="false">IFERROR(SUMIF($AO$4:$AZ$4, "SME", AO811:AZ811), "")</f>
        <v>0</v>
      </c>
      <c r="BC811" s="286" t="n">
        <f aca="false">IFERROR(SUMIF($Y$4:$AJ$4, "De Minimis", AO811:AZ811), "")</f>
        <v>0</v>
      </c>
      <c r="BD811" s="287"/>
      <c r="BE811" s="288" t="str">
        <f aca="false">IF((SUM(L811:W811)&gt;1),"ERROR","")</f>
        <v/>
      </c>
    </row>
    <row r="812" customFormat="false" ht="15" hidden="false" customHeight="true" outlineLevel="0" collapsed="false">
      <c r="B812" s="333"/>
      <c r="C812" s="334"/>
      <c r="D812" s="333" t="n">
        <f aca="false">D796</f>
        <v>45383</v>
      </c>
      <c r="E812" s="277" t="n">
        <v>0</v>
      </c>
      <c r="F812" s="277" t="n">
        <v>0</v>
      </c>
      <c r="G812" s="277" t="n">
        <f aca="false">SUM(E812:F812)</f>
        <v>0</v>
      </c>
      <c r="H812" s="204"/>
      <c r="I812" s="279" t="n">
        <v>1</v>
      </c>
      <c r="J812" s="280" t="n">
        <f aca="false">1-I812</f>
        <v>0</v>
      </c>
      <c r="K812" s="277"/>
      <c r="L812" s="282"/>
      <c r="M812" s="282"/>
      <c r="N812" s="282"/>
      <c r="O812" s="282"/>
      <c r="P812" s="282"/>
      <c r="Q812" s="282"/>
      <c r="R812" s="282"/>
      <c r="S812" s="282"/>
      <c r="T812" s="282"/>
      <c r="U812" s="282"/>
      <c r="V812" s="282"/>
      <c r="W812" s="282"/>
      <c r="X812" s="283"/>
      <c r="Y812" s="284" t="n">
        <f aca="false">IFERROR(L812*$G812*I$9, "")</f>
        <v>0</v>
      </c>
      <c r="Z812" s="284" t="n">
        <f aca="false">IFERROR(M812*$G812*$I812, "")</f>
        <v>0</v>
      </c>
      <c r="AA812" s="284" t="n">
        <f aca="false">IFERROR(N812*$G812*$I812, "")</f>
        <v>0</v>
      </c>
      <c r="AB812" s="284" t="n">
        <f aca="false">IFERROR(O812*$G812*$I812, "")</f>
        <v>0</v>
      </c>
      <c r="AC812" s="284" t="n">
        <f aca="false">IFERROR(P812*$G812*$I812, "")</f>
        <v>0</v>
      </c>
      <c r="AD812" s="284" t="n">
        <f aca="false">IFERROR(Q812*$G812*$I812, "")</f>
        <v>0</v>
      </c>
      <c r="AE812" s="284" t="n">
        <f aca="false">IFERROR(R812*$G812*$I812, "")</f>
        <v>0</v>
      </c>
      <c r="AF812" s="284" t="n">
        <f aca="false">IFERROR(S812*$G812*$I812, "")</f>
        <v>0</v>
      </c>
      <c r="AG812" s="284" t="n">
        <f aca="false">IFERROR(T812*$G812*$I812, "")</f>
        <v>0</v>
      </c>
      <c r="AH812" s="284" t="n">
        <f aca="false">IFERROR(U812*$G812*$I812, "")</f>
        <v>0</v>
      </c>
      <c r="AI812" s="284" t="n">
        <f aca="false">IFERROR(V812*$G812*$I812, "")</f>
        <v>0</v>
      </c>
      <c r="AJ812" s="284" t="n">
        <f aca="false">IFERROR(W812*$G812*$I812, "")</f>
        <v>0</v>
      </c>
      <c r="AK812" s="286" t="n">
        <f aca="false">IFERROR(SUMIF($Y$4:$AJ$4, "RDEC", Y812:AJ812), "")</f>
        <v>0</v>
      </c>
      <c r="AL812" s="286" t="n">
        <f aca="false">IFERROR(SUMIF($Y$4:$AJ$4, "SME", Y812:AJ812), "")</f>
        <v>0</v>
      </c>
      <c r="AM812" s="286" t="n">
        <f aca="false">IFERROR(SUMIF($Y$4:$AJ$4, "De Minimis", Y812:AJ812), "")</f>
        <v>0</v>
      </c>
      <c r="AN812" s="283"/>
      <c r="AO812" s="284" t="n">
        <f aca="false">IFERROR($G812*$J812*L812, "")</f>
        <v>0</v>
      </c>
      <c r="AP812" s="284" t="n">
        <f aca="false">IFERROR($G812*$J812*M812, "")</f>
        <v>0</v>
      </c>
      <c r="AQ812" s="284" t="n">
        <f aca="false">IFERROR($G812*$J812*N812, "")</f>
        <v>0</v>
      </c>
      <c r="AR812" s="284" t="n">
        <f aca="false">IFERROR($G812*$J812*O812, "")</f>
        <v>0</v>
      </c>
      <c r="AS812" s="284" t="n">
        <f aca="false">IFERROR($G812*$J812*P812, "")</f>
        <v>0</v>
      </c>
      <c r="AT812" s="284" t="n">
        <f aca="false">IFERROR($G812*$J812*Q812, "")</f>
        <v>0</v>
      </c>
      <c r="AU812" s="284" t="n">
        <f aca="false">IFERROR($G812*$J812*R812, "")</f>
        <v>0</v>
      </c>
      <c r="AV812" s="284" t="n">
        <f aca="false">IFERROR($G812*$J812*S812, "")</f>
        <v>0</v>
      </c>
      <c r="AW812" s="284" t="n">
        <f aca="false">IFERROR($G812*$J812*T812, "")</f>
        <v>0</v>
      </c>
      <c r="AX812" s="284" t="n">
        <f aca="false">IFERROR($G812*$J812*U812, "")</f>
        <v>0</v>
      </c>
      <c r="AY812" s="284" t="n">
        <f aca="false">IFERROR($G812*$J812*V812, "")</f>
        <v>0</v>
      </c>
      <c r="AZ812" s="284" t="n">
        <f aca="false">IFERROR($G812*$J812*W812, "")</f>
        <v>0</v>
      </c>
      <c r="BA812" s="286" t="n">
        <f aca="false">IFERROR(SUMIF($AO$4:$AZ$4, "RDEC", AO812:AZ812), "")</f>
        <v>0</v>
      </c>
      <c r="BB812" s="286" t="n">
        <f aca="false">IFERROR(SUMIF($AO$4:$AZ$4, "SME", AO812:AZ812), "")</f>
        <v>0</v>
      </c>
      <c r="BC812" s="286" t="n">
        <f aca="false">IFERROR(SUMIF($Y$4:$AJ$4, "De Minimis", AO812:AZ812), "")</f>
        <v>0</v>
      </c>
      <c r="BD812" s="287"/>
      <c r="BE812" s="288" t="str">
        <f aca="false">IF((SUM(L812:W812)&gt;1),"ERROR","")</f>
        <v/>
      </c>
    </row>
    <row r="813" customFormat="false" ht="15" hidden="false" customHeight="true" outlineLevel="0" collapsed="false">
      <c r="B813" s="333"/>
      <c r="C813" s="334"/>
      <c r="D813" s="333" t="n">
        <f aca="false">D797</f>
        <v>45413</v>
      </c>
      <c r="E813" s="277" t="n">
        <v>0</v>
      </c>
      <c r="F813" s="277" t="n">
        <v>0</v>
      </c>
      <c r="G813" s="277" t="n">
        <f aca="false">SUM(E813:F813)</f>
        <v>0</v>
      </c>
      <c r="H813" s="204"/>
      <c r="I813" s="279" t="n">
        <v>1</v>
      </c>
      <c r="J813" s="280" t="n">
        <f aca="false">1-I813</f>
        <v>0</v>
      </c>
      <c r="K813" s="277"/>
      <c r="L813" s="282"/>
      <c r="M813" s="282"/>
      <c r="N813" s="282"/>
      <c r="O813" s="282"/>
      <c r="P813" s="282"/>
      <c r="Q813" s="282"/>
      <c r="R813" s="282"/>
      <c r="S813" s="282"/>
      <c r="T813" s="282"/>
      <c r="U813" s="282"/>
      <c r="V813" s="282"/>
      <c r="W813" s="282"/>
      <c r="X813" s="283"/>
      <c r="Y813" s="284" t="n">
        <f aca="false">IFERROR(L813*$G813*I$9, "")</f>
        <v>0</v>
      </c>
      <c r="Z813" s="284" t="n">
        <f aca="false">IFERROR(M813*$G813*$I813, "")</f>
        <v>0</v>
      </c>
      <c r="AA813" s="284" t="n">
        <f aca="false">IFERROR(N813*$G813*$I813, "")</f>
        <v>0</v>
      </c>
      <c r="AB813" s="284" t="n">
        <f aca="false">IFERROR(O813*$G813*$I813, "")</f>
        <v>0</v>
      </c>
      <c r="AC813" s="284" t="n">
        <f aca="false">IFERROR(P813*$G813*$I813, "")</f>
        <v>0</v>
      </c>
      <c r="AD813" s="284" t="n">
        <f aca="false">IFERROR(Q813*$G813*$I813, "")</f>
        <v>0</v>
      </c>
      <c r="AE813" s="284" t="n">
        <f aca="false">IFERROR(R813*$G813*$I813, "")</f>
        <v>0</v>
      </c>
      <c r="AF813" s="284" t="n">
        <f aca="false">IFERROR(S813*$G813*$I813, "")</f>
        <v>0</v>
      </c>
      <c r="AG813" s="284" t="n">
        <f aca="false">IFERROR(T813*$G813*$I813, "")</f>
        <v>0</v>
      </c>
      <c r="AH813" s="284" t="n">
        <f aca="false">IFERROR(U813*$G813*$I813, "")</f>
        <v>0</v>
      </c>
      <c r="AI813" s="284" t="n">
        <f aca="false">IFERROR(V813*$G813*$I813, "")</f>
        <v>0</v>
      </c>
      <c r="AJ813" s="284" t="n">
        <f aca="false">IFERROR(W813*$G813*$I813, "")</f>
        <v>0</v>
      </c>
      <c r="AK813" s="286" t="n">
        <f aca="false">IFERROR(SUMIF($Y$4:$AJ$4, "RDEC", Y813:AJ813), "")</f>
        <v>0</v>
      </c>
      <c r="AL813" s="286" t="n">
        <f aca="false">IFERROR(SUMIF($Y$4:$AJ$4, "SME", Y813:AJ813), "")</f>
        <v>0</v>
      </c>
      <c r="AM813" s="286" t="n">
        <f aca="false">IFERROR(SUMIF($Y$4:$AJ$4, "De Minimis", Y813:AJ813), "")</f>
        <v>0</v>
      </c>
      <c r="AN813" s="283"/>
      <c r="AO813" s="284" t="n">
        <f aca="false">IFERROR($G813*$J813*L813, "")</f>
        <v>0</v>
      </c>
      <c r="AP813" s="284" t="n">
        <f aca="false">IFERROR($G813*$J813*M813, "")</f>
        <v>0</v>
      </c>
      <c r="AQ813" s="284" t="n">
        <f aca="false">IFERROR($G813*$J813*N813, "")</f>
        <v>0</v>
      </c>
      <c r="AR813" s="284" t="n">
        <f aca="false">IFERROR($G813*$J813*O813, "")</f>
        <v>0</v>
      </c>
      <c r="AS813" s="284" t="n">
        <f aca="false">IFERROR($G813*$J813*P813, "")</f>
        <v>0</v>
      </c>
      <c r="AT813" s="284" t="n">
        <f aca="false">IFERROR($G813*$J813*Q813, "")</f>
        <v>0</v>
      </c>
      <c r="AU813" s="284" t="n">
        <f aca="false">IFERROR($G813*$J813*R813, "")</f>
        <v>0</v>
      </c>
      <c r="AV813" s="284" t="n">
        <f aca="false">IFERROR($G813*$J813*S813, "")</f>
        <v>0</v>
      </c>
      <c r="AW813" s="284" t="n">
        <f aca="false">IFERROR($G813*$J813*T813, "")</f>
        <v>0</v>
      </c>
      <c r="AX813" s="284" t="n">
        <f aca="false">IFERROR($G813*$J813*U813, "")</f>
        <v>0</v>
      </c>
      <c r="AY813" s="284" t="n">
        <f aca="false">IFERROR($G813*$J813*V813, "")</f>
        <v>0</v>
      </c>
      <c r="AZ813" s="284" t="n">
        <f aca="false">IFERROR($G813*$J813*W813, "")</f>
        <v>0</v>
      </c>
      <c r="BA813" s="286" t="n">
        <f aca="false">IFERROR(SUMIF($AO$4:$AZ$4, "RDEC", AO813:AZ813), "")</f>
        <v>0</v>
      </c>
      <c r="BB813" s="286" t="n">
        <f aca="false">IFERROR(SUMIF($AO$4:$AZ$4, "SME", AO813:AZ813), "")</f>
        <v>0</v>
      </c>
      <c r="BC813" s="286" t="n">
        <f aca="false">IFERROR(SUMIF($Y$4:$AJ$4, "De Minimis", AO813:AZ813), "")</f>
        <v>0</v>
      </c>
      <c r="BD813" s="287"/>
      <c r="BE813" s="288" t="str">
        <f aca="false">IF((SUM(L813:W813)&gt;1),"ERROR","")</f>
        <v/>
      </c>
    </row>
    <row r="814" customFormat="false" ht="15" hidden="false" customHeight="true" outlineLevel="0" collapsed="false">
      <c r="B814" s="333"/>
      <c r="C814" s="334"/>
      <c r="D814" s="333" t="n">
        <f aca="false">D798</f>
        <v>45444</v>
      </c>
      <c r="E814" s="277" t="n">
        <v>0</v>
      </c>
      <c r="F814" s="277" t="n">
        <v>0</v>
      </c>
      <c r="G814" s="277" t="n">
        <f aca="false">SUM(E814:F814)</f>
        <v>0</v>
      </c>
      <c r="H814" s="204"/>
      <c r="I814" s="279" t="n">
        <v>1</v>
      </c>
      <c r="J814" s="280" t="n">
        <f aca="false">1-I814</f>
        <v>0</v>
      </c>
      <c r="K814" s="277"/>
      <c r="L814" s="282"/>
      <c r="M814" s="282"/>
      <c r="N814" s="282"/>
      <c r="O814" s="282"/>
      <c r="P814" s="282"/>
      <c r="Q814" s="282"/>
      <c r="R814" s="282"/>
      <c r="S814" s="282"/>
      <c r="T814" s="282"/>
      <c r="U814" s="282"/>
      <c r="V814" s="282"/>
      <c r="W814" s="282"/>
      <c r="X814" s="283"/>
      <c r="Y814" s="284" t="n">
        <f aca="false">IFERROR(L814*$G814*I$9, "")</f>
        <v>0</v>
      </c>
      <c r="Z814" s="284" t="n">
        <f aca="false">IFERROR(M814*$G814*$I814, "")</f>
        <v>0</v>
      </c>
      <c r="AA814" s="284" t="n">
        <f aca="false">IFERROR(N814*$G814*$I814, "")</f>
        <v>0</v>
      </c>
      <c r="AB814" s="284" t="n">
        <f aca="false">IFERROR(O814*$G814*$I814, "")</f>
        <v>0</v>
      </c>
      <c r="AC814" s="284" t="n">
        <f aca="false">IFERROR(P814*$G814*$I814, "")</f>
        <v>0</v>
      </c>
      <c r="AD814" s="284" t="n">
        <f aca="false">IFERROR(Q814*$G814*$I814, "")</f>
        <v>0</v>
      </c>
      <c r="AE814" s="284" t="n">
        <f aca="false">IFERROR(R814*$G814*$I814, "")</f>
        <v>0</v>
      </c>
      <c r="AF814" s="284" t="n">
        <f aca="false">IFERROR(S814*$G814*$I814, "")</f>
        <v>0</v>
      </c>
      <c r="AG814" s="284" t="n">
        <f aca="false">IFERROR(T814*$G814*$I814, "")</f>
        <v>0</v>
      </c>
      <c r="AH814" s="284" t="n">
        <f aca="false">IFERROR(U814*$G814*$I814, "")</f>
        <v>0</v>
      </c>
      <c r="AI814" s="284" t="n">
        <f aca="false">IFERROR(V814*$G814*$I814, "")</f>
        <v>0</v>
      </c>
      <c r="AJ814" s="284" t="n">
        <f aca="false">IFERROR(W814*$G814*$I814, "")</f>
        <v>0</v>
      </c>
      <c r="AK814" s="286" t="n">
        <f aca="false">IFERROR(SUMIF($Y$4:$AJ$4, "RDEC", Y814:AJ814), "")</f>
        <v>0</v>
      </c>
      <c r="AL814" s="286" t="n">
        <f aca="false">IFERROR(SUMIF($Y$4:$AJ$4, "SME", Y814:AJ814), "")</f>
        <v>0</v>
      </c>
      <c r="AM814" s="286" t="n">
        <f aca="false">IFERROR(SUMIF($Y$4:$AJ$4, "De Minimis", Y814:AJ814), "")</f>
        <v>0</v>
      </c>
      <c r="AN814" s="283"/>
      <c r="AO814" s="284" t="n">
        <f aca="false">IFERROR($G814*$J814*L814, "")</f>
        <v>0</v>
      </c>
      <c r="AP814" s="284" t="n">
        <f aca="false">IFERROR($G814*$J814*M814, "")</f>
        <v>0</v>
      </c>
      <c r="AQ814" s="284" t="n">
        <f aca="false">IFERROR($G814*$J814*N814, "")</f>
        <v>0</v>
      </c>
      <c r="AR814" s="284" t="n">
        <f aca="false">IFERROR($G814*$J814*O814, "")</f>
        <v>0</v>
      </c>
      <c r="AS814" s="284" t="n">
        <f aca="false">IFERROR($G814*$J814*P814, "")</f>
        <v>0</v>
      </c>
      <c r="AT814" s="284" t="n">
        <f aca="false">IFERROR($G814*$J814*Q814, "")</f>
        <v>0</v>
      </c>
      <c r="AU814" s="284" t="n">
        <f aca="false">IFERROR($G814*$J814*R814, "")</f>
        <v>0</v>
      </c>
      <c r="AV814" s="284" t="n">
        <f aca="false">IFERROR($G814*$J814*S814, "")</f>
        <v>0</v>
      </c>
      <c r="AW814" s="284" t="n">
        <f aca="false">IFERROR($G814*$J814*T814, "")</f>
        <v>0</v>
      </c>
      <c r="AX814" s="284" t="n">
        <f aca="false">IFERROR($G814*$J814*U814, "")</f>
        <v>0</v>
      </c>
      <c r="AY814" s="284" t="n">
        <f aca="false">IFERROR($G814*$J814*V814, "")</f>
        <v>0</v>
      </c>
      <c r="AZ814" s="284" t="n">
        <f aca="false">IFERROR($G814*$J814*W814, "")</f>
        <v>0</v>
      </c>
      <c r="BA814" s="286" t="n">
        <f aca="false">IFERROR(SUMIF($AO$4:$AZ$4, "RDEC", AO814:AZ814), "")</f>
        <v>0</v>
      </c>
      <c r="BB814" s="286" t="n">
        <f aca="false">IFERROR(SUMIF($AO$4:$AZ$4, "SME", AO814:AZ814), "")</f>
        <v>0</v>
      </c>
      <c r="BC814" s="286" t="n">
        <f aca="false">IFERROR(SUMIF($Y$4:$AJ$4, "De Minimis", AO814:AZ814), "")</f>
        <v>0</v>
      </c>
      <c r="BD814" s="287"/>
      <c r="BE814" s="288" t="str">
        <f aca="false">IF((SUM(L814:W814)&gt;1),"ERROR","")</f>
        <v/>
      </c>
    </row>
    <row r="815" customFormat="false" ht="15" hidden="false" customHeight="true" outlineLevel="0" collapsed="false">
      <c r="B815" s="333"/>
      <c r="C815" s="334"/>
      <c r="D815" s="333" t="n">
        <f aca="false">D799</f>
        <v>45474</v>
      </c>
      <c r="E815" s="277" t="n">
        <v>0</v>
      </c>
      <c r="F815" s="277" t="n">
        <v>0</v>
      </c>
      <c r="G815" s="277" t="n">
        <f aca="false">SUM(E815:F815)</f>
        <v>0</v>
      </c>
      <c r="H815" s="204"/>
      <c r="I815" s="279" t="n">
        <v>1</v>
      </c>
      <c r="J815" s="280" t="n">
        <f aca="false">1-I815</f>
        <v>0</v>
      </c>
      <c r="K815" s="277"/>
      <c r="L815" s="282"/>
      <c r="M815" s="282"/>
      <c r="N815" s="282"/>
      <c r="O815" s="282"/>
      <c r="P815" s="282"/>
      <c r="Q815" s="282"/>
      <c r="R815" s="282"/>
      <c r="S815" s="282"/>
      <c r="T815" s="282"/>
      <c r="U815" s="282"/>
      <c r="V815" s="282"/>
      <c r="W815" s="282"/>
      <c r="X815" s="283"/>
      <c r="Y815" s="284" t="n">
        <f aca="false">IFERROR(L815*$G815*I$9, "")</f>
        <v>0</v>
      </c>
      <c r="Z815" s="284" t="n">
        <f aca="false">IFERROR(M815*$G815*$I815, "")</f>
        <v>0</v>
      </c>
      <c r="AA815" s="284" t="n">
        <f aca="false">IFERROR(N815*$G815*$I815, "")</f>
        <v>0</v>
      </c>
      <c r="AB815" s="284" t="n">
        <f aca="false">IFERROR(O815*$G815*$I815, "")</f>
        <v>0</v>
      </c>
      <c r="AC815" s="284" t="n">
        <f aca="false">IFERROR(P815*$G815*$I815, "")</f>
        <v>0</v>
      </c>
      <c r="AD815" s="284" t="n">
        <f aca="false">IFERROR(Q815*$G815*$I815, "")</f>
        <v>0</v>
      </c>
      <c r="AE815" s="284" t="n">
        <f aca="false">IFERROR(R815*$G815*$I815, "")</f>
        <v>0</v>
      </c>
      <c r="AF815" s="284" t="n">
        <f aca="false">IFERROR(S815*$G815*$I815, "")</f>
        <v>0</v>
      </c>
      <c r="AG815" s="284" t="n">
        <f aca="false">IFERROR(T815*$G815*$I815, "")</f>
        <v>0</v>
      </c>
      <c r="AH815" s="284" t="n">
        <f aca="false">IFERROR(U815*$G815*$I815, "")</f>
        <v>0</v>
      </c>
      <c r="AI815" s="284" t="n">
        <f aca="false">IFERROR(V815*$G815*$I815, "")</f>
        <v>0</v>
      </c>
      <c r="AJ815" s="284" t="n">
        <f aca="false">IFERROR(W815*$G815*$I815, "")</f>
        <v>0</v>
      </c>
      <c r="AK815" s="286" t="n">
        <f aca="false">IFERROR(SUMIF($Y$4:$AJ$4, "RDEC", Y815:AJ815), "")</f>
        <v>0</v>
      </c>
      <c r="AL815" s="286" t="n">
        <f aca="false">IFERROR(SUMIF($Y$4:$AJ$4, "SME", Y815:AJ815), "")</f>
        <v>0</v>
      </c>
      <c r="AM815" s="286" t="n">
        <f aca="false">IFERROR(SUMIF($Y$4:$AJ$4, "De Minimis", Y815:AJ815), "")</f>
        <v>0</v>
      </c>
      <c r="AN815" s="283"/>
      <c r="AO815" s="284" t="n">
        <f aca="false">IFERROR($G815*$J815*L815, "")</f>
        <v>0</v>
      </c>
      <c r="AP815" s="284" t="n">
        <f aca="false">IFERROR($G815*$J815*M815, "")</f>
        <v>0</v>
      </c>
      <c r="AQ815" s="284" t="n">
        <f aca="false">IFERROR($G815*$J815*N815, "")</f>
        <v>0</v>
      </c>
      <c r="AR815" s="284" t="n">
        <f aca="false">IFERROR($G815*$J815*O815, "")</f>
        <v>0</v>
      </c>
      <c r="AS815" s="284" t="n">
        <f aca="false">IFERROR($G815*$J815*P815, "")</f>
        <v>0</v>
      </c>
      <c r="AT815" s="284" t="n">
        <f aca="false">IFERROR($G815*$J815*Q815, "")</f>
        <v>0</v>
      </c>
      <c r="AU815" s="284" t="n">
        <f aca="false">IFERROR($G815*$J815*R815, "")</f>
        <v>0</v>
      </c>
      <c r="AV815" s="284" t="n">
        <f aca="false">IFERROR($G815*$J815*S815, "")</f>
        <v>0</v>
      </c>
      <c r="AW815" s="284" t="n">
        <f aca="false">IFERROR($G815*$J815*T815, "")</f>
        <v>0</v>
      </c>
      <c r="AX815" s="284" t="n">
        <f aca="false">IFERROR($G815*$J815*U815, "")</f>
        <v>0</v>
      </c>
      <c r="AY815" s="284" t="n">
        <f aca="false">IFERROR($G815*$J815*V815, "")</f>
        <v>0</v>
      </c>
      <c r="AZ815" s="284" t="n">
        <f aca="false">IFERROR($G815*$J815*W815, "")</f>
        <v>0</v>
      </c>
      <c r="BA815" s="286" t="n">
        <f aca="false">IFERROR(SUMIF($AO$4:$AZ$4, "RDEC", AO815:AZ815), "")</f>
        <v>0</v>
      </c>
      <c r="BB815" s="286" t="n">
        <f aca="false">IFERROR(SUMIF($AO$4:$AZ$4, "SME", AO815:AZ815), "")</f>
        <v>0</v>
      </c>
      <c r="BC815" s="286" t="n">
        <f aca="false">IFERROR(SUMIF($Y$4:$AJ$4, "De Minimis", AO815:AZ815), "")</f>
        <v>0</v>
      </c>
      <c r="BD815" s="287"/>
      <c r="BE815" s="288" t="str">
        <f aca="false">IF((SUM(L815:W815)&gt;1),"ERROR","")</f>
        <v/>
      </c>
    </row>
    <row r="816" customFormat="false" ht="15" hidden="false" customHeight="true" outlineLevel="0" collapsed="false">
      <c r="B816" s="333"/>
      <c r="C816" s="334"/>
      <c r="D816" s="333" t="n">
        <f aca="false">D800</f>
        <v>45505</v>
      </c>
      <c r="E816" s="277" t="n">
        <v>0</v>
      </c>
      <c r="F816" s="277" t="n">
        <v>0</v>
      </c>
      <c r="G816" s="277" t="n">
        <f aca="false">SUM(E816:F816)</f>
        <v>0</v>
      </c>
      <c r="H816" s="204"/>
      <c r="I816" s="279" t="n">
        <v>1</v>
      </c>
      <c r="J816" s="280" t="n">
        <f aca="false">1-I816</f>
        <v>0</v>
      </c>
      <c r="K816" s="277"/>
      <c r="L816" s="282"/>
      <c r="M816" s="282"/>
      <c r="N816" s="282"/>
      <c r="O816" s="282"/>
      <c r="P816" s="282"/>
      <c r="Q816" s="282"/>
      <c r="R816" s="282"/>
      <c r="S816" s="282"/>
      <c r="T816" s="282"/>
      <c r="U816" s="282"/>
      <c r="V816" s="282"/>
      <c r="W816" s="282"/>
      <c r="X816" s="283"/>
      <c r="Y816" s="284" t="n">
        <f aca="false">IFERROR(L816*$G816*I$9, "")</f>
        <v>0</v>
      </c>
      <c r="Z816" s="284" t="n">
        <f aca="false">IFERROR(M816*$G816*$I816, "")</f>
        <v>0</v>
      </c>
      <c r="AA816" s="284" t="n">
        <f aca="false">IFERROR(N816*$G816*$I816, "")</f>
        <v>0</v>
      </c>
      <c r="AB816" s="284" t="n">
        <f aca="false">IFERROR(O816*$G816*$I816, "")</f>
        <v>0</v>
      </c>
      <c r="AC816" s="284" t="n">
        <f aca="false">IFERROR(P816*$G816*$I816, "")</f>
        <v>0</v>
      </c>
      <c r="AD816" s="284" t="n">
        <f aca="false">IFERROR(Q816*$G816*$I816, "")</f>
        <v>0</v>
      </c>
      <c r="AE816" s="284" t="n">
        <f aca="false">IFERROR(R816*$G816*$I816, "")</f>
        <v>0</v>
      </c>
      <c r="AF816" s="284" t="n">
        <f aca="false">IFERROR(S816*$G816*$I816, "")</f>
        <v>0</v>
      </c>
      <c r="AG816" s="284" t="n">
        <f aca="false">IFERROR(T816*$G816*$I816, "")</f>
        <v>0</v>
      </c>
      <c r="AH816" s="284" t="n">
        <f aca="false">IFERROR(U816*$G816*$I816, "")</f>
        <v>0</v>
      </c>
      <c r="AI816" s="284" t="n">
        <f aca="false">IFERROR(V816*$G816*$I816, "")</f>
        <v>0</v>
      </c>
      <c r="AJ816" s="284" t="n">
        <f aca="false">IFERROR(W816*$G816*$I816, "")</f>
        <v>0</v>
      </c>
      <c r="AK816" s="286" t="n">
        <f aca="false">IFERROR(SUMIF($Y$4:$AJ$4, "RDEC", Y816:AJ816), "")</f>
        <v>0</v>
      </c>
      <c r="AL816" s="286" t="n">
        <f aca="false">IFERROR(SUMIF($Y$4:$AJ$4, "SME", Y816:AJ816), "")</f>
        <v>0</v>
      </c>
      <c r="AM816" s="286" t="n">
        <f aca="false">IFERROR(SUMIF($Y$4:$AJ$4, "De Minimis", Y816:AJ816), "")</f>
        <v>0</v>
      </c>
      <c r="AN816" s="283"/>
      <c r="AO816" s="284" t="n">
        <f aca="false">IFERROR($G816*$J816*L816, "")</f>
        <v>0</v>
      </c>
      <c r="AP816" s="284" t="n">
        <f aca="false">IFERROR($G816*$J816*M816, "")</f>
        <v>0</v>
      </c>
      <c r="AQ816" s="284" t="n">
        <f aca="false">IFERROR($G816*$J816*N816, "")</f>
        <v>0</v>
      </c>
      <c r="AR816" s="284" t="n">
        <f aca="false">IFERROR($G816*$J816*O816, "")</f>
        <v>0</v>
      </c>
      <c r="AS816" s="284" t="n">
        <f aca="false">IFERROR($G816*$J816*P816, "")</f>
        <v>0</v>
      </c>
      <c r="AT816" s="284" t="n">
        <f aca="false">IFERROR($G816*$J816*Q816, "")</f>
        <v>0</v>
      </c>
      <c r="AU816" s="284" t="n">
        <f aca="false">IFERROR($G816*$J816*R816, "")</f>
        <v>0</v>
      </c>
      <c r="AV816" s="284" t="n">
        <f aca="false">IFERROR($G816*$J816*S816, "")</f>
        <v>0</v>
      </c>
      <c r="AW816" s="284" t="n">
        <f aca="false">IFERROR($G816*$J816*T816, "")</f>
        <v>0</v>
      </c>
      <c r="AX816" s="284" t="n">
        <f aca="false">IFERROR($G816*$J816*U816, "")</f>
        <v>0</v>
      </c>
      <c r="AY816" s="284" t="n">
        <f aca="false">IFERROR($G816*$J816*V816, "")</f>
        <v>0</v>
      </c>
      <c r="AZ816" s="284" t="n">
        <f aca="false">IFERROR($G816*$J816*W816, "")</f>
        <v>0</v>
      </c>
      <c r="BA816" s="286" t="n">
        <f aca="false">IFERROR(SUMIF($AO$4:$AZ$4, "RDEC", AO816:AZ816), "")</f>
        <v>0</v>
      </c>
      <c r="BB816" s="286" t="n">
        <f aca="false">IFERROR(SUMIF($AO$4:$AZ$4, "SME", AO816:AZ816), "")</f>
        <v>0</v>
      </c>
      <c r="BC816" s="286" t="n">
        <f aca="false">IFERROR(SUMIF($Y$4:$AJ$4, "De Minimis", AO816:AZ816), "")</f>
        <v>0</v>
      </c>
      <c r="BD816" s="287"/>
      <c r="BE816" s="288" t="str">
        <f aca="false">IF((SUM(L816:W816)&gt;1),"ERROR","")</f>
        <v/>
      </c>
    </row>
    <row r="817" customFormat="false" ht="15" hidden="false" customHeight="true" outlineLevel="0" collapsed="false">
      <c r="B817" s="333"/>
      <c r="C817" s="334"/>
      <c r="D817" s="333" t="n">
        <f aca="false">D801</f>
        <v>45536</v>
      </c>
      <c r="E817" s="277" t="n">
        <v>0</v>
      </c>
      <c r="F817" s="277" t="n">
        <v>0</v>
      </c>
      <c r="G817" s="277" t="n">
        <f aca="false">SUM(E817:F817)</f>
        <v>0</v>
      </c>
      <c r="H817" s="204"/>
      <c r="I817" s="279" t="n">
        <v>1</v>
      </c>
      <c r="J817" s="280" t="n">
        <f aca="false">1-I817</f>
        <v>0</v>
      </c>
      <c r="K817" s="277"/>
      <c r="L817" s="282"/>
      <c r="M817" s="282"/>
      <c r="N817" s="282"/>
      <c r="O817" s="282"/>
      <c r="P817" s="282"/>
      <c r="Q817" s="282"/>
      <c r="R817" s="282"/>
      <c r="S817" s="282"/>
      <c r="T817" s="282"/>
      <c r="U817" s="282"/>
      <c r="V817" s="282"/>
      <c r="W817" s="282"/>
      <c r="X817" s="283"/>
      <c r="Y817" s="284" t="n">
        <f aca="false">IFERROR(L817*$G817*I$9, "")</f>
        <v>0</v>
      </c>
      <c r="Z817" s="284" t="n">
        <f aca="false">IFERROR(M817*$G817*$I817, "")</f>
        <v>0</v>
      </c>
      <c r="AA817" s="284" t="n">
        <f aca="false">IFERROR(N817*$G817*$I817, "")</f>
        <v>0</v>
      </c>
      <c r="AB817" s="284" t="n">
        <f aca="false">IFERROR(O817*$G817*$I817, "")</f>
        <v>0</v>
      </c>
      <c r="AC817" s="284" t="n">
        <f aca="false">IFERROR(P817*$G817*$I817, "")</f>
        <v>0</v>
      </c>
      <c r="AD817" s="284" t="n">
        <f aca="false">IFERROR(Q817*$G817*$I817, "")</f>
        <v>0</v>
      </c>
      <c r="AE817" s="284" t="n">
        <f aca="false">IFERROR(R817*$G817*$I817, "")</f>
        <v>0</v>
      </c>
      <c r="AF817" s="284" t="n">
        <f aca="false">IFERROR(S817*$G817*$I817, "")</f>
        <v>0</v>
      </c>
      <c r="AG817" s="284" t="n">
        <f aca="false">IFERROR(T817*$G817*$I817, "")</f>
        <v>0</v>
      </c>
      <c r="AH817" s="284" t="n">
        <f aca="false">IFERROR(U817*$G817*$I817, "")</f>
        <v>0</v>
      </c>
      <c r="AI817" s="284" t="n">
        <f aca="false">IFERROR(V817*$G817*$I817, "")</f>
        <v>0</v>
      </c>
      <c r="AJ817" s="284" t="n">
        <f aca="false">IFERROR(W817*$G817*$I817, "")</f>
        <v>0</v>
      </c>
      <c r="AK817" s="286" t="n">
        <f aca="false">IFERROR(SUMIF($Y$4:$AJ$4, "RDEC", Y817:AJ817), "")</f>
        <v>0</v>
      </c>
      <c r="AL817" s="286" t="n">
        <f aca="false">IFERROR(SUMIF($Y$4:$AJ$4, "SME", Y817:AJ817), "")</f>
        <v>0</v>
      </c>
      <c r="AM817" s="286" t="n">
        <f aca="false">IFERROR(SUMIF($Y$4:$AJ$4, "De Minimis", Y817:AJ817), "")</f>
        <v>0</v>
      </c>
      <c r="AN817" s="283"/>
      <c r="AO817" s="284" t="n">
        <f aca="false">IFERROR($G817*$J817*L817, "")</f>
        <v>0</v>
      </c>
      <c r="AP817" s="284" t="n">
        <f aca="false">IFERROR($G817*$J817*M817, "")</f>
        <v>0</v>
      </c>
      <c r="AQ817" s="284" t="n">
        <f aca="false">IFERROR($G817*$J817*N817, "")</f>
        <v>0</v>
      </c>
      <c r="AR817" s="284" t="n">
        <f aca="false">IFERROR($G817*$J817*O817, "")</f>
        <v>0</v>
      </c>
      <c r="AS817" s="284" t="n">
        <f aca="false">IFERROR($G817*$J817*P817, "")</f>
        <v>0</v>
      </c>
      <c r="AT817" s="284" t="n">
        <f aca="false">IFERROR($G817*$J817*Q817, "")</f>
        <v>0</v>
      </c>
      <c r="AU817" s="284" t="n">
        <f aca="false">IFERROR($G817*$J817*R817, "")</f>
        <v>0</v>
      </c>
      <c r="AV817" s="284" t="n">
        <f aca="false">IFERROR($G817*$J817*S817, "")</f>
        <v>0</v>
      </c>
      <c r="AW817" s="284" t="n">
        <f aca="false">IFERROR($G817*$J817*T817, "")</f>
        <v>0</v>
      </c>
      <c r="AX817" s="284" t="n">
        <f aca="false">IFERROR($G817*$J817*U817, "")</f>
        <v>0</v>
      </c>
      <c r="AY817" s="284" t="n">
        <f aca="false">IFERROR($G817*$J817*V817, "")</f>
        <v>0</v>
      </c>
      <c r="AZ817" s="284" t="n">
        <f aca="false">IFERROR($G817*$J817*W817, "")</f>
        <v>0</v>
      </c>
      <c r="BA817" s="286" t="n">
        <f aca="false">IFERROR(SUMIF($AO$4:$AZ$4, "RDEC", AO817:AZ817), "")</f>
        <v>0</v>
      </c>
      <c r="BB817" s="286" t="n">
        <f aca="false">IFERROR(SUMIF($AO$4:$AZ$4, "SME", AO817:AZ817), "")</f>
        <v>0</v>
      </c>
      <c r="BC817" s="286" t="n">
        <f aca="false">IFERROR(SUMIF($Y$4:$AJ$4, "De Minimis", AO817:AZ817), "")</f>
        <v>0</v>
      </c>
      <c r="BD817" s="287"/>
      <c r="BE817" s="288" t="str">
        <f aca="false">IF((SUM(L817:W817)&gt;1),"ERROR","")</f>
        <v/>
      </c>
    </row>
    <row r="818" customFormat="false" ht="15" hidden="false" customHeight="true" outlineLevel="0" collapsed="false">
      <c r="B818" s="333"/>
      <c r="C818" s="334"/>
      <c r="D818" s="333" t="n">
        <f aca="false">D802</f>
        <v>45566</v>
      </c>
      <c r="E818" s="277" t="n">
        <v>0</v>
      </c>
      <c r="F818" s="277" t="n">
        <v>0</v>
      </c>
      <c r="G818" s="277" t="n">
        <f aca="false">SUM(E818:F818)</f>
        <v>0</v>
      </c>
      <c r="H818" s="204"/>
      <c r="I818" s="279" t="n">
        <v>1</v>
      </c>
      <c r="J818" s="280" t="n">
        <f aca="false">1-I818</f>
        <v>0</v>
      </c>
      <c r="K818" s="277"/>
      <c r="L818" s="282"/>
      <c r="M818" s="282"/>
      <c r="N818" s="282"/>
      <c r="O818" s="282"/>
      <c r="P818" s="282"/>
      <c r="Q818" s="282"/>
      <c r="R818" s="282"/>
      <c r="S818" s="282"/>
      <c r="T818" s="282"/>
      <c r="U818" s="282"/>
      <c r="V818" s="282"/>
      <c r="W818" s="282"/>
      <c r="X818" s="283"/>
      <c r="Y818" s="284" t="n">
        <f aca="false">IFERROR(L818*$G818*I$9, "")</f>
        <v>0</v>
      </c>
      <c r="Z818" s="284" t="n">
        <f aca="false">IFERROR(M818*$G818*$I818, "")</f>
        <v>0</v>
      </c>
      <c r="AA818" s="284" t="n">
        <f aca="false">IFERROR(N818*$G818*$I818, "")</f>
        <v>0</v>
      </c>
      <c r="AB818" s="284" t="n">
        <f aca="false">IFERROR(O818*$G818*$I818, "")</f>
        <v>0</v>
      </c>
      <c r="AC818" s="284" t="n">
        <f aca="false">IFERROR(P818*$G818*$I818, "")</f>
        <v>0</v>
      </c>
      <c r="AD818" s="284" t="n">
        <f aca="false">IFERROR(Q818*$G818*$I818, "")</f>
        <v>0</v>
      </c>
      <c r="AE818" s="284" t="n">
        <f aca="false">IFERROR(R818*$G818*$I818, "")</f>
        <v>0</v>
      </c>
      <c r="AF818" s="284" t="n">
        <f aca="false">IFERROR(S818*$G818*$I818, "")</f>
        <v>0</v>
      </c>
      <c r="AG818" s="284" t="n">
        <f aca="false">IFERROR(T818*$G818*$I818, "")</f>
        <v>0</v>
      </c>
      <c r="AH818" s="284" t="n">
        <f aca="false">IFERROR(U818*$G818*$I818, "")</f>
        <v>0</v>
      </c>
      <c r="AI818" s="284" t="n">
        <f aca="false">IFERROR(V818*$G818*$I818, "")</f>
        <v>0</v>
      </c>
      <c r="AJ818" s="284" t="n">
        <f aca="false">IFERROR(W818*$G818*$I818, "")</f>
        <v>0</v>
      </c>
      <c r="AK818" s="286" t="n">
        <f aca="false">IFERROR(SUMIF($Y$4:$AJ$4, "RDEC", Y818:AJ818), "")</f>
        <v>0</v>
      </c>
      <c r="AL818" s="286" t="n">
        <f aca="false">IFERROR(SUMIF($Y$4:$AJ$4, "SME", Y818:AJ818), "")</f>
        <v>0</v>
      </c>
      <c r="AM818" s="286" t="n">
        <f aca="false">IFERROR(SUMIF($Y$4:$AJ$4, "De Minimis", Y818:AJ818), "")</f>
        <v>0</v>
      </c>
      <c r="AN818" s="283"/>
      <c r="AO818" s="284" t="n">
        <f aca="false">IFERROR($G818*$J818*L818, "")</f>
        <v>0</v>
      </c>
      <c r="AP818" s="284" t="n">
        <f aca="false">IFERROR($G818*$J818*M818, "")</f>
        <v>0</v>
      </c>
      <c r="AQ818" s="284" t="n">
        <f aca="false">IFERROR($G818*$J818*N818, "")</f>
        <v>0</v>
      </c>
      <c r="AR818" s="284" t="n">
        <f aca="false">IFERROR($G818*$J818*O818, "")</f>
        <v>0</v>
      </c>
      <c r="AS818" s="284" t="n">
        <f aca="false">IFERROR($G818*$J818*P818, "")</f>
        <v>0</v>
      </c>
      <c r="AT818" s="284" t="n">
        <f aca="false">IFERROR($G818*$J818*Q818, "")</f>
        <v>0</v>
      </c>
      <c r="AU818" s="284" t="n">
        <f aca="false">IFERROR($G818*$J818*R818, "")</f>
        <v>0</v>
      </c>
      <c r="AV818" s="284" t="n">
        <f aca="false">IFERROR($G818*$J818*S818, "")</f>
        <v>0</v>
      </c>
      <c r="AW818" s="284" t="n">
        <f aca="false">IFERROR($G818*$J818*T818, "")</f>
        <v>0</v>
      </c>
      <c r="AX818" s="284" t="n">
        <f aca="false">IFERROR($G818*$J818*U818, "")</f>
        <v>0</v>
      </c>
      <c r="AY818" s="284" t="n">
        <f aca="false">IFERROR($G818*$J818*V818, "")</f>
        <v>0</v>
      </c>
      <c r="AZ818" s="284" t="n">
        <f aca="false">IFERROR($G818*$J818*W818, "")</f>
        <v>0</v>
      </c>
      <c r="BA818" s="286" t="n">
        <f aca="false">IFERROR(SUMIF($AO$4:$AZ$4, "RDEC", AO818:AZ818), "")</f>
        <v>0</v>
      </c>
      <c r="BB818" s="286" t="n">
        <f aca="false">IFERROR(SUMIF($AO$4:$AZ$4, "SME", AO818:AZ818), "")</f>
        <v>0</v>
      </c>
      <c r="BC818" s="286" t="n">
        <f aca="false">IFERROR(SUMIF($Y$4:$AJ$4, "De Minimis", AO818:AZ818), "")</f>
        <v>0</v>
      </c>
      <c r="BD818" s="287"/>
      <c r="BE818" s="288" t="str">
        <f aca="false">IF((SUM(L818:W818)&gt;1),"ERROR","")</f>
        <v/>
      </c>
    </row>
    <row r="819" customFormat="false" ht="15" hidden="false" customHeight="true" outlineLevel="0" collapsed="false">
      <c r="B819" s="333"/>
      <c r="C819" s="334"/>
      <c r="D819" s="333" t="n">
        <f aca="false">D803</f>
        <v>45597</v>
      </c>
      <c r="E819" s="277" t="n">
        <v>0</v>
      </c>
      <c r="F819" s="277" t="n">
        <v>0</v>
      </c>
      <c r="G819" s="277" t="n">
        <f aca="false">SUM(E819:F819)</f>
        <v>0</v>
      </c>
      <c r="H819" s="204"/>
      <c r="I819" s="279" t="n">
        <v>1</v>
      </c>
      <c r="J819" s="280" t="n">
        <f aca="false">1-I819</f>
        <v>0</v>
      </c>
      <c r="K819" s="277"/>
      <c r="L819" s="282"/>
      <c r="M819" s="282"/>
      <c r="N819" s="282"/>
      <c r="O819" s="282"/>
      <c r="P819" s="282"/>
      <c r="Q819" s="282"/>
      <c r="R819" s="282"/>
      <c r="S819" s="282"/>
      <c r="T819" s="282"/>
      <c r="U819" s="282"/>
      <c r="V819" s="282"/>
      <c r="W819" s="282"/>
      <c r="X819" s="283"/>
      <c r="Y819" s="284" t="n">
        <f aca="false">IFERROR(L819*$G819*I$9, "")</f>
        <v>0</v>
      </c>
      <c r="Z819" s="284" t="n">
        <f aca="false">IFERROR(M819*$G819*$I819, "")</f>
        <v>0</v>
      </c>
      <c r="AA819" s="284" t="n">
        <f aca="false">IFERROR(N819*$G819*$I819, "")</f>
        <v>0</v>
      </c>
      <c r="AB819" s="284" t="n">
        <f aca="false">IFERROR(O819*$G819*$I819, "")</f>
        <v>0</v>
      </c>
      <c r="AC819" s="284" t="n">
        <f aca="false">IFERROR(P819*$G819*$I819, "")</f>
        <v>0</v>
      </c>
      <c r="AD819" s="284" t="n">
        <f aca="false">IFERROR(Q819*$G819*$I819, "")</f>
        <v>0</v>
      </c>
      <c r="AE819" s="284" t="n">
        <f aca="false">IFERROR(R819*$G819*$I819, "")</f>
        <v>0</v>
      </c>
      <c r="AF819" s="284" t="n">
        <f aca="false">IFERROR(S819*$G819*$I819, "")</f>
        <v>0</v>
      </c>
      <c r="AG819" s="284" t="n">
        <f aca="false">IFERROR(T819*$G819*$I819, "")</f>
        <v>0</v>
      </c>
      <c r="AH819" s="284" t="n">
        <f aca="false">IFERROR(U819*$G819*$I819, "")</f>
        <v>0</v>
      </c>
      <c r="AI819" s="284" t="n">
        <f aca="false">IFERROR(V819*$G819*$I819, "")</f>
        <v>0</v>
      </c>
      <c r="AJ819" s="284" t="n">
        <f aca="false">IFERROR(W819*$G819*$I819, "")</f>
        <v>0</v>
      </c>
      <c r="AK819" s="286" t="n">
        <f aca="false">IFERROR(SUMIF($Y$4:$AJ$4, "RDEC", Y819:AJ819), "")</f>
        <v>0</v>
      </c>
      <c r="AL819" s="286" t="n">
        <f aca="false">IFERROR(SUMIF($Y$4:$AJ$4, "SME", Y819:AJ819), "")</f>
        <v>0</v>
      </c>
      <c r="AM819" s="286" t="n">
        <f aca="false">IFERROR(SUMIF($Y$4:$AJ$4, "De Minimis", Y819:AJ819), "")</f>
        <v>0</v>
      </c>
      <c r="AN819" s="283"/>
      <c r="AO819" s="284" t="n">
        <f aca="false">IFERROR($G819*$J819*L819, "")</f>
        <v>0</v>
      </c>
      <c r="AP819" s="284" t="n">
        <f aca="false">IFERROR($G819*$J819*M819, "")</f>
        <v>0</v>
      </c>
      <c r="AQ819" s="284" t="n">
        <f aca="false">IFERROR($G819*$J819*N819, "")</f>
        <v>0</v>
      </c>
      <c r="AR819" s="284" t="n">
        <f aca="false">IFERROR($G819*$J819*O819, "")</f>
        <v>0</v>
      </c>
      <c r="AS819" s="284" t="n">
        <f aca="false">IFERROR($G819*$J819*P819, "")</f>
        <v>0</v>
      </c>
      <c r="AT819" s="284" t="n">
        <f aca="false">IFERROR($G819*$J819*Q819, "")</f>
        <v>0</v>
      </c>
      <c r="AU819" s="284" t="n">
        <f aca="false">IFERROR($G819*$J819*R819, "")</f>
        <v>0</v>
      </c>
      <c r="AV819" s="284" t="n">
        <f aca="false">IFERROR($G819*$J819*S819, "")</f>
        <v>0</v>
      </c>
      <c r="AW819" s="284" t="n">
        <f aca="false">IFERROR($G819*$J819*T819, "")</f>
        <v>0</v>
      </c>
      <c r="AX819" s="284" t="n">
        <f aca="false">IFERROR($G819*$J819*U819, "")</f>
        <v>0</v>
      </c>
      <c r="AY819" s="284" t="n">
        <f aca="false">IFERROR($G819*$J819*V819, "")</f>
        <v>0</v>
      </c>
      <c r="AZ819" s="284" t="n">
        <f aca="false">IFERROR($G819*$J819*W819, "")</f>
        <v>0</v>
      </c>
      <c r="BA819" s="286" t="n">
        <f aca="false">IFERROR(SUMIF($AO$4:$AZ$4, "RDEC", AO819:AZ819), "")</f>
        <v>0</v>
      </c>
      <c r="BB819" s="286" t="n">
        <f aca="false">IFERROR(SUMIF($AO$4:$AZ$4, "SME", AO819:AZ819), "")</f>
        <v>0</v>
      </c>
      <c r="BC819" s="286" t="n">
        <f aca="false">IFERROR(SUMIF($Y$4:$AJ$4, "De Minimis", AO819:AZ819), "")</f>
        <v>0</v>
      </c>
      <c r="BD819" s="287"/>
      <c r="BE819" s="288" t="str">
        <f aca="false">IF((SUM(L819:W819)&gt;1),"ERROR","")</f>
        <v/>
      </c>
    </row>
    <row r="820" customFormat="false" ht="15" hidden="false" customHeight="true" outlineLevel="0" collapsed="false">
      <c r="B820" s="333"/>
      <c r="C820" s="334"/>
      <c r="D820" s="333" t="n">
        <f aca="false">D804</f>
        <v>45627</v>
      </c>
      <c r="E820" s="277" t="n">
        <v>0</v>
      </c>
      <c r="F820" s="277" t="n">
        <v>0</v>
      </c>
      <c r="G820" s="277" t="n">
        <f aca="false">SUM(E820:F820)</f>
        <v>0</v>
      </c>
      <c r="H820" s="300"/>
      <c r="I820" s="289" t="n">
        <v>1</v>
      </c>
      <c r="J820" s="290" t="n">
        <f aca="false">1-I820</f>
        <v>0</v>
      </c>
      <c r="K820" s="300"/>
      <c r="L820" s="291"/>
      <c r="M820" s="291"/>
      <c r="N820" s="291"/>
      <c r="O820" s="291"/>
      <c r="P820" s="291"/>
      <c r="Q820" s="291"/>
      <c r="R820" s="291"/>
      <c r="S820" s="291"/>
      <c r="T820" s="291"/>
      <c r="U820" s="291"/>
      <c r="V820" s="291"/>
      <c r="W820" s="291"/>
      <c r="X820" s="283"/>
      <c r="Y820" s="284" t="n">
        <f aca="false">IFERROR(L820*$G820*I$9, "")</f>
        <v>0</v>
      </c>
      <c r="Z820" s="284" t="n">
        <f aca="false">IFERROR(M820*$G820*$I820, "")</f>
        <v>0</v>
      </c>
      <c r="AA820" s="284" t="n">
        <f aca="false">IFERROR(N820*$G820*$I820, "")</f>
        <v>0</v>
      </c>
      <c r="AB820" s="284" t="n">
        <f aca="false">IFERROR(O820*$G820*$I820, "")</f>
        <v>0</v>
      </c>
      <c r="AC820" s="284" t="n">
        <f aca="false">IFERROR(P820*$G820*$I820, "")</f>
        <v>0</v>
      </c>
      <c r="AD820" s="284" t="n">
        <f aca="false">IFERROR(Q820*$G820*$I820, "")</f>
        <v>0</v>
      </c>
      <c r="AE820" s="284" t="n">
        <f aca="false">IFERROR(R820*$G820*$I820, "")</f>
        <v>0</v>
      </c>
      <c r="AF820" s="284" t="n">
        <f aca="false">IFERROR(S820*$G820*$I820, "")</f>
        <v>0</v>
      </c>
      <c r="AG820" s="284" t="n">
        <f aca="false">IFERROR(T820*$G820*$I820, "")</f>
        <v>0</v>
      </c>
      <c r="AH820" s="284" t="n">
        <f aca="false">IFERROR(U820*$G820*$I820, "")</f>
        <v>0</v>
      </c>
      <c r="AI820" s="284" t="n">
        <f aca="false">IFERROR(V820*$G820*$I820, "")</f>
        <v>0</v>
      </c>
      <c r="AJ820" s="284" t="n">
        <f aca="false">IFERROR(W820*$G820*$I820, "")</f>
        <v>0</v>
      </c>
      <c r="AK820" s="294" t="n">
        <f aca="false">IFERROR(SUMIF($Y$4:$AJ$4, "RDEC", Y820:AJ820), "")</f>
        <v>0</v>
      </c>
      <c r="AL820" s="294" t="n">
        <f aca="false">IFERROR(SUMIF($Y$4:$AJ$4, "SME", Y820:AJ820), "")</f>
        <v>0</v>
      </c>
      <c r="AM820" s="294" t="n">
        <f aca="false">IFERROR(SUMIF($Y$4:$AJ$4, "De Minimis", Y820:AJ820), "")</f>
        <v>0</v>
      </c>
      <c r="AN820" s="283"/>
      <c r="AO820" s="284" t="n">
        <f aca="false">IFERROR($G820*$J820*L820, "")</f>
        <v>0</v>
      </c>
      <c r="AP820" s="284" t="n">
        <f aca="false">IFERROR($G820*$J820*M820, "")</f>
        <v>0</v>
      </c>
      <c r="AQ820" s="284" t="n">
        <f aca="false">IFERROR($G820*$J820*N820, "")</f>
        <v>0</v>
      </c>
      <c r="AR820" s="284" t="n">
        <f aca="false">IFERROR($G820*$J820*O820, "")</f>
        <v>0</v>
      </c>
      <c r="AS820" s="284" t="n">
        <f aca="false">IFERROR($G820*$J820*P820, "")</f>
        <v>0</v>
      </c>
      <c r="AT820" s="284" t="n">
        <f aca="false">IFERROR($G820*$J820*Q820, "")</f>
        <v>0</v>
      </c>
      <c r="AU820" s="284" t="n">
        <f aca="false">IFERROR($G820*$J820*R820, "")</f>
        <v>0</v>
      </c>
      <c r="AV820" s="284" t="n">
        <f aca="false">IFERROR($G820*$J820*S820, "")</f>
        <v>0</v>
      </c>
      <c r="AW820" s="284" t="n">
        <f aca="false">IFERROR($G820*$J820*T820, "")</f>
        <v>0</v>
      </c>
      <c r="AX820" s="284" t="n">
        <f aca="false">IFERROR($G820*$J820*U820, "")</f>
        <v>0</v>
      </c>
      <c r="AY820" s="284" t="n">
        <f aca="false">IFERROR($G820*$J820*V820, "")</f>
        <v>0</v>
      </c>
      <c r="AZ820" s="284" t="n">
        <f aca="false">IFERROR($G820*$J820*W820, "")</f>
        <v>0</v>
      </c>
      <c r="BA820" s="286" t="n">
        <f aca="false">IFERROR(SUMIF($AO$4:$AZ$4, "RDEC", AO820:AZ820), "")</f>
        <v>0</v>
      </c>
      <c r="BB820" s="286" t="n">
        <f aca="false">IFERROR(SUMIF($AO$4:$AZ$4, "SME", AO820:AZ820), "")</f>
        <v>0</v>
      </c>
      <c r="BC820" s="294" t="n">
        <f aca="false">IFERROR(SUMIF($Y$4:$AJ$4, "De Minimis", AO820:AZ820), "")</f>
        <v>0</v>
      </c>
      <c r="BD820" s="303"/>
      <c r="BE820" s="295" t="str">
        <f aca="false">IF((SUM(L820:W820)&gt;1),"ERROR","")</f>
        <v/>
      </c>
    </row>
    <row r="821" customFormat="false" ht="15" hidden="false" customHeight="true" outlineLevel="0" collapsed="false">
      <c r="B821" s="296"/>
      <c r="D821" s="297" t="s">
        <v>82</v>
      </c>
      <c r="E821" s="299" t="n">
        <f aca="false">SUM(E809:E820)</f>
        <v>0</v>
      </c>
      <c r="F821" s="299" t="n">
        <f aca="false">SUM(F809:F820)</f>
        <v>0</v>
      </c>
      <c r="G821" s="299" t="n">
        <f aca="false">SUM(G809:G820)</f>
        <v>0</v>
      </c>
      <c r="H821" s="300"/>
      <c r="I821" s="301" t="n">
        <f aca="false">AVERAGE(I809:I820)</f>
        <v>1</v>
      </c>
      <c r="J821" s="301" t="n">
        <f aca="false">AVERAGE(J809:J820)</f>
        <v>0</v>
      </c>
      <c r="K821" s="300"/>
      <c r="L821" s="290" t="n">
        <f aca="false">IF(SUM(L809:L820)&gt;0,(Y821/G821),0)</f>
        <v>0</v>
      </c>
      <c r="M821" s="301" t="n">
        <f aca="false">IF(SUM(M809:M820)&gt;0,(Z821/G821),0)</f>
        <v>0</v>
      </c>
      <c r="N821" s="301" t="n">
        <f aca="false">IF(SUM(N809:N820)&gt;0,(AA821/G821),0)</f>
        <v>0</v>
      </c>
      <c r="O821" s="301" t="n">
        <f aca="false">IF(SUM(O809:O820)&gt;0,(AB821/G821),0)</f>
        <v>0</v>
      </c>
      <c r="P821" s="301" t="n">
        <f aca="false">IF(SUM(P809:P820)&gt;0,(AC821/G821),0)</f>
        <v>0</v>
      </c>
      <c r="Q821" s="301" t="n">
        <f aca="false">IF(SUM(Q809:Q820)&gt;0,(AD821/G821),0)</f>
        <v>0</v>
      </c>
      <c r="R821" s="301" t="n">
        <f aca="false">IF(SUM(R809:R820)&gt;0,(AE821/G821),0)</f>
        <v>0</v>
      </c>
      <c r="S821" s="301" t="n">
        <f aca="false">IF(SUM(S809:S820)&gt;0,(AF821/G821),0)</f>
        <v>0</v>
      </c>
      <c r="T821" s="301" t="n">
        <f aca="false">IF(SUM(T809:T820)&gt;0,(AG821/G821),0)</f>
        <v>0</v>
      </c>
      <c r="U821" s="301" t="n">
        <f aca="false">IF(SUM(U809:U820)&gt;0,(AJ821/G821),0)</f>
        <v>0</v>
      </c>
      <c r="V821" s="301" t="n">
        <f aca="false">IF(SUM(V809:V820)&gt;0,(AI821/G821),0)</f>
        <v>0</v>
      </c>
      <c r="W821" s="301" t="n">
        <f aca="false">IF(SUM(W809:W820)&gt;0,(AJ821/G821),0)</f>
        <v>0</v>
      </c>
      <c r="X821" s="283"/>
      <c r="Y821" s="304" t="n">
        <f aca="false">SUM(Y809:Y820)</f>
        <v>0</v>
      </c>
      <c r="Z821" s="304" t="n">
        <f aca="false">SUM(Z809:Z820)</f>
        <v>0</v>
      </c>
      <c r="AA821" s="304" t="n">
        <f aca="false">SUM(AA809:AA820)</f>
        <v>0</v>
      </c>
      <c r="AB821" s="304" t="n">
        <f aca="false">SUM(AB809:AB820)</f>
        <v>0</v>
      </c>
      <c r="AC821" s="304" t="n">
        <f aca="false">SUM(AC809:AC820)</f>
        <v>0</v>
      </c>
      <c r="AD821" s="304" t="n">
        <f aca="false">SUM(AD809:AD820)</f>
        <v>0</v>
      </c>
      <c r="AE821" s="304" t="n">
        <f aca="false">SUM(AE809:AE820)</f>
        <v>0</v>
      </c>
      <c r="AF821" s="304" t="n">
        <f aca="false">SUM(AF809:AF820)</f>
        <v>0</v>
      </c>
      <c r="AG821" s="304" t="n">
        <f aca="false">SUM(AG809:AG820)</f>
        <v>0</v>
      </c>
      <c r="AH821" s="304" t="n">
        <f aca="false">SUM(AH809:AH820)</f>
        <v>0</v>
      </c>
      <c r="AI821" s="304" t="n">
        <f aca="false">SUM(AI809:AI820)</f>
        <v>0</v>
      </c>
      <c r="AJ821" s="304" t="n">
        <f aca="false">SUM(AJ809:AJ820)</f>
        <v>0</v>
      </c>
      <c r="AK821" s="335" t="n">
        <f aca="false">SUM(AK809:AK820)</f>
        <v>0</v>
      </c>
      <c r="AL821" s="336" t="n">
        <f aca="false">SUM(AL809:AL820)</f>
        <v>0</v>
      </c>
      <c r="AM821" s="305" t="n">
        <f aca="false">SUM(AM809:AM820)</f>
        <v>0</v>
      </c>
      <c r="AN821" s="283"/>
      <c r="AO821" s="304" t="n">
        <f aca="false">SUM(AO809:AO820)</f>
        <v>0</v>
      </c>
      <c r="AP821" s="304" t="n">
        <f aca="false">SUM(AP809:AP820)</f>
        <v>0</v>
      </c>
      <c r="AQ821" s="304" t="n">
        <f aca="false">SUM(AQ809:AQ820)</f>
        <v>0</v>
      </c>
      <c r="AR821" s="304" t="n">
        <f aca="false">SUM(AR809:AR820)</f>
        <v>0</v>
      </c>
      <c r="AS821" s="304" t="n">
        <f aca="false">SUM(AS809:AS820)</f>
        <v>0</v>
      </c>
      <c r="AT821" s="304" t="n">
        <f aca="false">SUM(AT809:AT820)</f>
        <v>0</v>
      </c>
      <c r="AU821" s="304" t="n">
        <f aca="false">SUM(AU809:AU820)</f>
        <v>0</v>
      </c>
      <c r="AV821" s="304" t="n">
        <f aca="false">SUM(AV809:AV820)</f>
        <v>0</v>
      </c>
      <c r="AW821" s="304" t="n">
        <f aca="false">SUM(AW809:AW820)</f>
        <v>0</v>
      </c>
      <c r="AX821" s="304" t="n">
        <f aca="false">SUM(AX809:AX820)</f>
        <v>0</v>
      </c>
      <c r="AY821" s="304" t="n">
        <f aca="false">SUM(AY809:AY820)</f>
        <v>0</v>
      </c>
      <c r="AZ821" s="304" t="n">
        <f aca="false">SUM(AZ809:AZ820)</f>
        <v>0</v>
      </c>
      <c r="BA821" s="336" t="n">
        <f aca="false">SUM(BA809:BA820)</f>
        <v>0</v>
      </c>
      <c r="BB821" s="336" t="n">
        <f aca="false">SUM(BB809:BB820)</f>
        <v>0</v>
      </c>
      <c r="BC821" s="305" t="n">
        <f aca="false">SUM(BC809:BC820)</f>
        <v>0</v>
      </c>
      <c r="BD821" s="303"/>
      <c r="BE821" s="337"/>
    </row>
    <row r="822" customFormat="false" ht="15" hidden="false" customHeight="true" outlineLevel="0" collapsed="false">
      <c r="B822" s="296"/>
      <c r="D822" s="297"/>
      <c r="E822" s="300"/>
      <c r="F822" s="300"/>
      <c r="G822" s="300"/>
      <c r="H822" s="241"/>
      <c r="I822" s="302"/>
      <c r="J822" s="302"/>
      <c r="K822" s="241"/>
      <c r="L822" s="259"/>
      <c r="M822" s="259"/>
      <c r="N822" s="259"/>
      <c r="O822" s="259"/>
      <c r="P822" s="259"/>
      <c r="Q822" s="259"/>
      <c r="R822" s="259"/>
      <c r="S822" s="259"/>
      <c r="T822" s="259"/>
      <c r="U822" s="259"/>
      <c r="V822" s="259"/>
      <c r="W822" s="259"/>
      <c r="X822" s="303"/>
      <c r="Y822" s="259"/>
      <c r="Z822" s="303"/>
      <c r="AA822" s="303"/>
      <c r="AB822" s="303"/>
      <c r="AC822" s="303"/>
      <c r="AD822" s="303"/>
      <c r="AE822" s="303"/>
      <c r="AF822" s="303"/>
      <c r="AG822" s="303"/>
      <c r="AH822" s="303"/>
      <c r="AI822" s="303"/>
      <c r="AJ822" s="303"/>
      <c r="AK822" s="303"/>
      <c r="AL822" s="303"/>
      <c r="AM822" s="303"/>
      <c r="AN822" s="303"/>
      <c r="AO822" s="259"/>
      <c r="AP822" s="303"/>
      <c r="AQ822" s="303"/>
      <c r="AR822" s="303"/>
      <c r="AS822" s="303"/>
      <c r="AT822" s="303"/>
      <c r="AU822" s="303"/>
      <c r="AV822" s="303"/>
      <c r="AW822" s="303"/>
      <c r="AX822" s="303"/>
      <c r="AY822" s="303"/>
      <c r="AZ822" s="303"/>
      <c r="BA822" s="303"/>
      <c r="BB822" s="303"/>
      <c r="BC822" s="303"/>
      <c r="BD822" s="268"/>
      <c r="BE822" s="303"/>
    </row>
    <row r="823" customFormat="false" ht="15" hidden="false" customHeight="true" outlineLevel="0" collapsed="false">
      <c r="A823" s="198" t="n">
        <f aca="false">A807+1</f>
        <v>52</v>
      </c>
      <c r="B823" s="266" t="s">
        <v>253</v>
      </c>
      <c r="C823" s="266" t="s">
        <v>253</v>
      </c>
      <c r="D823" s="266"/>
      <c r="E823" s="241"/>
      <c r="F823" s="241"/>
      <c r="G823" s="241"/>
      <c r="H823" s="241"/>
      <c r="I823" s="241"/>
      <c r="J823" s="241"/>
      <c r="K823" s="277"/>
      <c r="L823" s="241"/>
      <c r="M823" s="241"/>
      <c r="N823" s="241"/>
      <c r="O823" s="241"/>
      <c r="P823" s="241"/>
      <c r="Q823" s="241"/>
      <c r="R823" s="241"/>
      <c r="S823" s="241"/>
      <c r="T823" s="241"/>
      <c r="U823" s="241"/>
      <c r="V823" s="241"/>
      <c r="W823" s="241"/>
      <c r="X823" s="259"/>
      <c r="Y823" s="268"/>
      <c r="Z823" s="268"/>
      <c r="AA823" s="268"/>
      <c r="AB823" s="268"/>
      <c r="AC823" s="268"/>
      <c r="AD823" s="268"/>
      <c r="AE823" s="268"/>
      <c r="AF823" s="268"/>
      <c r="AG823" s="268"/>
      <c r="AH823" s="268"/>
      <c r="AI823" s="268"/>
      <c r="AJ823" s="268"/>
      <c r="AK823" s="268"/>
      <c r="AL823" s="268"/>
      <c r="AM823" s="268"/>
      <c r="AN823" s="259"/>
      <c r="AO823" s="268"/>
      <c r="AP823" s="268"/>
      <c r="AQ823" s="268"/>
      <c r="AR823" s="268"/>
      <c r="AS823" s="268"/>
      <c r="AT823" s="268"/>
      <c r="AU823" s="268"/>
      <c r="AV823" s="268"/>
      <c r="AW823" s="268"/>
      <c r="AX823" s="268"/>
      <c r="AY823" s="268"/>
      <c r="AZ823" s="268"/>
      <c r="BA823" s="268"/>
      <c r="BB823" s="268"/>
      <c r="BC823" s="268"/>
      <c r="BD823" s="287"/>
      <c r="BE823" s="268"/>
    </row>
    <row r="824" customFormat="false" ht="7.5" hidden="false" customHeight="true" outlineLevel="0" collapsed="false">
      <c r="A824" s="198"/>
      <c r="B824" s="266"/>
      <c r="C824" s="266"/>
      <c r="D824" s="266"/>
      <c r="E824" s="241"/>
      <c r="F824" s="241"/>
      <c r="G824" s="241"/>
      <c r="H824" s="204"/>
      <c r="I824" s="269"/>
      <c r="J824" s="269"/>
      <c r="K824" s="277"/>
      <c r="L824" s="269"/>
      <c r="M824" s="269"/>
      <c r="N824" s="269"/>
      <c r="O824" s="269"/>
      <c r="P824" s="269"/>
      <c r="Q824" s="269"/>
      <c r="R824" s="269"/>
      <c r="S824" s="269"/>
      <c r="T824" s="269"/>
      <c r="U824" s="269"/>
      <c r="V824" s="269"/>
      <c r="W824" s="269"/>
      <c r="X824" s="259"/>
      <c r="Y824" s="271"/>
      <c r="Z824" s="271"/>
      <c r="AA824" s="271"/>
      <c r="AB824" s="271"/>
      <c r="AC824" s="271"/>
      <c r="AD824" s="271"/>
      <c r="AE824" s="271"/>
      <c r="AF824" s="271"/>
      <c r="AG824" s="271"/>
      <c r="AH824" s="271"/>
      <c r="AI824" s="271"/>
      <c r="AJ824" s="272"/>
      <c r="AK824" s="273"/>
      <c r="AL824" s="273"/>
      <c r="AM824" s="273"/>
      <c r="AN824" s="259"/>
      <c r="AO824" s="271"/>
      <c r="AP824" s="271"/>
      <c r="AQ824" s="271"/>
      <c r="AR824" s="271"/>
      <c r="AS824" s="271"/>
      <c r="AT824" s="271"/>
      <c r="AU824" s="271"/>
      <c r="AV824" s="271"/>
      <c r="AW824" s="271"/>
      <c r="AX824" s="271"/>
      <c r="AY824" s="271"/>
      <c r="AZ824" s="272"/>
      <c r="BA824" s="273"/>
      <c r="BB824" s="273"/>
      <c r="BC824" s="273"/>
      <c r="BD824" s="287"/>
      <c r="BE824" s="274"/>
    </row>
    <row r="825" customFormat="false" ht="15" hidden="false" customHeight="true" outlineLevel="0" collapsed="false">
      <c r="B825" s="333"/>
      <c r="C825" s="334"/>
      <c r="D825" s="333" t="n">
        <f aca="false">D809</f>
        <v>45292</v>
      </c>
      <c r="E825" s="277" t="n">
        <v>0</v>
      </c>
      <c r="F825" s="277" t="n">
        <v>0</v>
      </c>
      <c r="G825" s="277" t="n">
        <f aca="false">SUM(E825:F825)</f>
        <v>0</v>
      </c>
      <c r="H825" s="204"/>
      <c r="I825" s="279" t="n">
        <v>1</v>
      </c>
      <c r="J825" s="280" t="n">
        <f aca="false">1-I825</f>
        <v>0</v>
      </c>
      <c r="K825" s="277"/>
      <c r="L825" s="282"/>
      <c r="M825" s="282"/>
      <c r="N825" s="282"/>
      <c r="O825" s="282"/>
      <c r="P825" s="282"/>
      <c r="Q825" s="282"/>
      <c r="R825" s="282"/>
      <c r="S825" s="282"/>
      <c r="T825" s="282"/>
      <c r="U825" s="282"/>
      <c r="V825" s="282"/>
      <c r="W825" s="282"/>
      <c r="X825" s="268"/>
      <c r="Y825" s="284" t="n">
        <f aca="false">IFERROR(L825*$G825*I$9, "")</f>
        <v>0</v>
      </c>
      <c r="Z825" s="284" t="n">
        <f aca="false">IFERROR(M825*$G825*$I825, "")</f>
        <v>0</v>
      </c>
      <c r="AA825" s="284" t="n">
        <f aca="false">IFERROR(N825*$G825*$I825, "")</f>
        <v>0</v>
      </c>
      <c r="AB825" s="284" t="n">
        <f aca="false">IFERROR(O825*$G825*$I825, "")</f>
        <v>0</v>
      </c>
      <c r="AC825" s="284" t="n">
        <f aca="false">IFERROR(P825*$G825*$I825, "")</f>
        <v>0</v>
      </c>
      <c r="AD825" s="284" t="n">
        <f aca="false">IFERROR(Q825*$G825*$I825, "")</f>
        <v>0</v>
      </c>
      <c r="AE825" s="284" t="n">
        <f aca="false">IFERROR(R825*$G825*$I825, "")</f>
        <v>0</v>
      </c>
      <c r="AF825" s="284" t="n">
        <f aca="false">IFERROR(S825*$G825*$I825, "")</f>
        <v>0</v>
      </c>
      <c r="AG825" s="284" t="n">
        <f aca="false">IFERROR(T825*$G825*$I825, "")</f>
        <v>0</v>
      </c>
      <c r="AH825" s="284" t="n">
        <f aca="false">IFERROR(U825*$G825*$I825, "")</f>
        <v>0</v>
      </c>
      <c r="AI825" s="284" t="n">
        <f aca="false">IFERROR(V825*$G825*$I825, "")</f>
        <v>0</v>
      </c>
      <c r="AJ825" s="284" t="n">
        <f aca="false">IFERROR(W825*$G825*$I825, "")</f>
        <v>0</v>
      </c>
      <c r="AK825" s="286" t="n">
        <f aca="false">IFERROR(SUMIF($Y$4:$AJ$4, "RDEC", Y825:AJ825), "")</f>
        <v>0</v>
      </c>
      <c r="AL825" s="286" t="n">
        <f aca="false">IFERROR(SUMIF($Y$4:$AJ$4, "SME", Y825:AJ825), "")</f>
        <v>0</v>
      </c>
      <c r="AM825" s="286" t="n">
        <f aca="false">IFERROR(SUMIF($Y$4:$AJ$4, "De Minimis", Y825:AJ825), "")</f>
        <v>0</v>
      </c>
      <c r="AN825" s="268"/>
      <c r="AO825" s="284" t="n">
        <f aca="false">IFERROR($G825*$J825*L825, "")</f>
        <v>0</v>
      </c>
      <c r="AP825" s="284" t="n">
        <f aca="false">IFERROR($G825*$J825*M825, "")</f>
        <v>0</v>
      </c>
      <c r="AQ825" s="284" t="n">
        <f aca="false">IFERROR($G825*$J825*N825, "")</f>
        <v>0</v>
      </c>
      <c r="AR825" s="284" t="n">
        <f aca="false">IFERROR($G825*$J825*O825, "")</f>
        <v>0</v>
      </c>
      <c r="AS825" s="284" t="n">
        <f aca="false">IFERROR($G825*$J825*P825, "")</f>
        <v>0</v>
      </c>
      <c r="AT825" s="284" t="n">
        <f aca="false">IFERROR($G825*$J825*Q825, "")</f>
        <v>0</v>
      </c>
      <c r="AU825" s="284" t="n">
        <f aca="false">IFERROR($G825*$J825*R825, "")</f>
        <v>0</v>
      </c>
      <c r="AV825" s="284" t="n">
        <f aca="false">IFERROR($G825*$J825*S825, "")</f>
        <v>0</v>
      </c>
      <c r="AW825" s="284" t="n">
        <f aca="false">IFERROR($G825*$J825*T825, "")</f>
        <v>0</v>
      </c>
      <c r="AX825" s="284" t="n">
        <f aca="false">IFERROR($G825*$J825*U825, "")</f>
        <v>0</v>
      </c>
      <c r="AY825" s="284" t="n">
        <f aca="false">IFERROR($G825*$J825*V825, "")</f>
        <v>0</v>
      </c>
      <c r="AZ825" s="284" t="n">
        <f aca="false">IFERROR($G825*$J825*W825, "")</f>
        <v>0</v>
      </c>
      <c r="BA825" s="286" t="n">
        <f aca="false">IFERROR(SUMIF($AO$4:$AZ$4, "RDEC", AO825:AZ825), "")</f>
        <v>0</v>
      </c>
      <c r="BB825" s="286" t="n">
        <f aca="false">IFERROR(SUMIF($AO$4:$AZ$4, "SME", AO825:AZ825), "")</f>
        <v>0</v>
      </c>
      <c r="BC825" s="286" t="n">
        <f aca="false">IFERROR(SUMIF($AO$4:$AZ$4, "De Minimis", AO825:AZ825), "")</f>
        <v>0</v>
      </c>
      <c r="BD825" s="287"/>
      <c r="BE825" s="288" t="str">
        <f aca="false">IF((SUM(L825:W825)&gt;1),"ERROR","")</f>
        <v/>
      </c>
    </row>
    <row r="826" customFormat="false" ht="15" hidden="false" customHeight="true" outlineLevel="0" collapsed="false">
      <c r="B826" s="333"/>
      <c r="C826" s="334"/>
      <c r="D826" s="333" t="n">
        <f aca="false">D810</f>
        <v>45323</v>
      </c>
      <c r="E826" s="277" t="n">
        <v>0</v>
      </c>
      <c r="F826" s="277" t="n">
        <v>0</v>
      </c>
      <c r="G826" s="277" t="n">
        <f aca="false">SUM(E826:F826)</f>
        <v>0</v>
      </c>
      <c r="H826" s="204"/>
      <c r="I826" s="279" t="n">
        <v>1</v>
      </c>
      <c r="J826" s="280" t="n">
        <f aca="false">1-I826</f>
        <v>0</v>
      </c>
      <c r="K826" s="277"/>
      <c r="L826" s="282"/>
      <c r="M826" s="282"/>
      <c r="N826" s="282"/>
      <c r="O826" s="282"/>
      <c r="P826" s="282"/>
      <c r="Q826" s="282"/>
      <c r="R826" s="282"/>
      <c r="S826" s="282"/>
      <c r="T826" s="282"/>
      <c r="U826" s="282"/>
      <c r="V826" s="282"/>
      <c r="W826" s="282"/>
      <c r="X826" s="283"/>
      <c r="Y826" s="284" t="n">
        <f aca="false">IFERROR(L826*$G826*I$9, "")</f>
        <v>0</v>
      </c>
      <c r="Z826" s="284" t="n">
        <f aca="false">IFERROR(M826*$G826*$I826, "")</f>
        <v>0</v>
      </c>
      <c r="AA826" s="284" t="n">
        <f aca="false">IFERROR(N826*$G826*$I826, "")</f>
        <v>0</v>
      </c>
      <c r="AB826" s="284" t="n">
        <f aca="false">IFERROR(O826*$G826*$I826, "")</f>
        <v>0</v>
      </c>
      <c r="AC826" s="284" t="n">
        <f aca="false">IFERROR(P826*$G826*$I826, "")</f>
        <v>0</v>
      </c>
      <c r="AD826" s="284" t="n">
        <f aca="false">IFERROR(Q826*$G826*$I826, "")</f>
        <v>0</v>
      </c>
      <c r="AE826" s="284" t="n">
        <f aca="false">IFERROR(R826*$G826*$I826, "")</f>
        <v>0</v>
      </c>
      <c r="AF826" s="284" t="n">
        <f aca="false">IFERROR(S826*$G826*$I826, "")</f>
        <v>0</v>
      </c>
      <c r="AG826" s="284" t="n">
        <f aca="false">IFERROR(T826*$G826*$I826, "")</f>
        <v>0</v>
      </c>
      <c r="AH826" s="284" t="n">
        <f aca="false">IFERROR(U826*$G826*$I826, "")</f>
        <v>0</v>
      </c>
      <c r="AI826" s="284" t="n">
        <f aca="false">IFERROR(V826*$G826*$I826, "")</f>
        <v>0</v>
      </c>
      <c r="AJ826" s="284" t="n">
        <f aca="false">IFERROR(W826*$G826*$I826, "")</f>
        <v>0</v>
      </c>
      <c r="AK826" s="286" t="n">
        <f aca="false">IFERROR(SUMIF($Y$4:$AJ$4, "RDEC", Y826:AJ826), "")</f>
        <v>0</v>
      </c>
      <c r="AL826" s="286" t="n">
        <f aca="false">IFERROR(SUMIF($Y$4:$AJ$4, "SME", Y826:AJ826), "")</f>
        <v>0</v>
      </c>
      <c r="AM826" s="286" t="n">
        <f aca="false">IFERROR(SUMIF($Y$4:$AJ$4, "De Minimis", Y826:AJ826), "")</f>
        <v>0</v>
      </c>
      <c r="AN826" s="283"/>
      <c r="AO826" s="284" t="n">
        <f aca="false">IFERROR($G826*$J826*L826, "")</f>
        <v>0</v>
      </c>
      <c r="AP826" s="284" t="n">
        <f aca="false">IFERROR($G826*$J826*M826, "")</f>
        <v>0</v>
      </c>
      <c r="AQ826" s="284" t="n">
        <f aca="false">IFERROR($G826*$J826*N826, "")</f>
        <v>0</v>
      </c>
      <c r="AR826" s="284" t="n">
        <f aca="false">IFERROR($G826*$J826*O826, "")</f>
        <v>0</v>
      </c>
      <c r="AS826" s="284" t="n">
        <f aca="false">IFERROR($G826*$J826*P826, "")</f>
        <v>0</v>
      </c>
      <c r="AT826" s="284" t="n">
        <f aca="false">IFERROR($G826*$J826*Q826, "")</f>
        <v>0</v>
      </c>
      <c r="AU826" s="284" t="n">
        <f aca="false">IFERROR($G826*$J826*R826, "")</f>
        <v>0</v>
      </c>
      <c r="AV826" s="284" t="n">
        <f aca="false">IFERROR($G826*$J826*S826, "")</f>
        <v>0</v>
      </c>
      <c r="AW826" s="284" t="n">
        <f aca="false">IFERROR($G826*$J826*T826, "")</f>
        <v>0</v>
      </c>
      <c r="AX826" s="284" t="n">
        <f aca="false">IFERROR($G826*$J826*U826, "")</f>
        <v>0</v>
      </c>
      <c r="AY826" s="284" t="n">
        <f aca="false">IFERROR($G826*$J826*V826, "")</f>
        <v>0</v>
      </c>
      <c r="AZ826" s="284" t="n">
        <f aca="false">IFERROR($G826*$J826*W826, "")</f>
        <v>0</v>
      </c>
      <c r="BA826" s="286" t="n">
        <f aca="false">IFERROR(SUMIF($AO$4:$AZ$4, "RDEC", AO826:AZ826), "")</f>
        <v>0</v>
      </c>
      <c r="BB826" s="286" t="n">
        <f aca="false">IFERROR(SUMIF($AO$4:$AZ$4, "SME", AO826:AZ826), "")</f>
        <v>0</v>
      </c>
      <c r="BC826" s="286" t="n">
        <f aca="false">IFERROR(SUMIF($Y$4:$AJ$4, "De Minimis", AO826:AZ826), "")</f>
        <v>0</v>
      </c>
      <c r="BD826" s="287"/>
      <c r="BE826" s="288" t="str">
        <f aca="false">IF((SUM(L826:W826)&gt;1),"ERROR","")</f>
        <v/>
      </c>
    </row>
    <row r="827" customFormat="false" ht="15" hidden="false" customHeight="true" outlineLevel="0" collapsed="false">
      <c r="B827" s="333"/>
      <c r="C827" s="334"/>
      <c r="D827" s="333" t="n">
        <f aca="false">D811</f>
        <v>45352</v>
      </c>
      <c r="E827" s="277" t="n">
        <v>0</v>
      </c>
      <c r="F827" s="277" t="n">
        <v>0</v>
      </c>
      <c r="G827" s="277" t="n">
        <f aca="false">SUM(E827:F827)</f>
        <v>0</v>
      </c>
      <c r="H827" s="204"/>
      <c r="I827" s="279" t="n">
        <v>1</v>
      </c>
      <c r="J827" s="280" t="n">
        <f aca="false">1-I827</f>
        <v>0</v>
      </c>
      <c r="K827" s="277"/>
      <c r="L827" s="282"/>
      <c r="M827" s="282"/>
      <c r="N827" s="282"/>
      <c r="O827" s="282"/>
      <c r="P827" s="282"/>
      <c r="Q827" s="282"/>
      <c r="R827" s="282"/>
      <c r="S827" s="282"/>
      <c r="T827" s="282"/>
      <c r="U827" s="282"/>
      <c r="V827" s="282"/>
      <c r="W827" s="282"/>
      <c r="X827" s="283"/>
      <c r="Y827" s="284" t="n">
        <f aca="false">IFERROR(L827*$G827*I$9, "")</f>
        <v>0</v>
      </c>
      <c r="Z827" s="284" t="n">
        <f aca="false">IFERROR(M827*$G827*$I827, "")</f>
        <v>0</v>
      </c>
      <c r="AA827" s="284" t="n">
        <f aca="false">IFERROR(N827*$G827*$I827, "")</f>
        <v>0</v>
      </c>
      <c r="AB827" s="284" t="n">
        <f aca="false">IFERROR(O827*$G827*$I827, "")</f>
        <v>0</v>
      </c>
      <c r="AC827" s="284" t="n">
        <f aca="false">IFERROR(P827*$G827*$I827, "")</f>
        <v>0</v>
      </c>
      <c r="AD827" s="284" t="n">
        <f aca="false">IFERROR(Q827*$G827*$I827, "")</f>
        <v>0</v>
      </c>
      <c r="AE827" s="284" t="n">
        <f aca="false">IFERROR(R827*$G827*$I827, "")</f>
        <v>0</v>
      </c>
      <c r="AF827" s="284" t="n">
        <f aca="false">IFERROR(S827*$G827*$I827, "")</f>
        <v>0</v>
      </c>
      <c r="AG827" s="284" t="n">
        <f aca="false">IFERROR(T827*$G827*$I827, "")</f>
        <v>0</v>
      </c>
      <c r="AH827" s="284" t="n">
        <f aca="false">IFERROR(U827*$G827*$I827, "")</f>
        <v>0</v>
      </c>
      <c r="AI827" s="284" t="n">
        <f aca="false">IFERROR(V827*$G827*$I827, "")</f>
        <v>0</v>
      </c>
      <c r="AJ827" s="284" t="n">
        <f aca="false">IFERROR(W827*$G827*$I827, "")</f>
        <v>0</v>
      </c>
      <c r="AK827" s="286" t="n">
        <f aca="false">IFERROR(SUMIF($Y$4:$AJ$4, "RDEC", Y827:AJ827), "")</f>
        <v>0</v>
      </c>
      <c r="AL827" s="286" t="n">
        <f aca="false">IFERROR(SUMIF($Y$4:$AJ$4, "SME", Y827:AJ827), "")</f>
        <v>0</v>
      </c>
      <c r="AM827" s="286" t="n">
        <f aca="false">IFERROR(SUMIF($Y$4:$AJ$4, "De Minimis", Y827:AJ827), "")</f>
        <v>0</v>
      </c>
      <c r="AN827" s="283"/>
      <c r="AO827" s="284" t="n">
        <f aca="false">IFERROR($G827*$J827*L827, "")</f>
        <v>0</v>
      </c>
      <c r="AP827" s="284" t="n">
        <f aca="false">IFERROR($G827*$J827*M827, "")</f>
        <v>0</v>
      </c>
      <c r="AQ827" s="284" t="n">
        <f aca="false">IFERROR($G827*$J827*N827, "")</f>
        <v>0</v>
      </c>
      <c r="AR827" s="284" t="n">
        <f aca="false">IFERROR($G827*$J827*O827, "")</f>
        <v>0</v>
      </c>
      <c r="AS827" s="284" t="n">
        <f aca="false">IFERROR($G827*$J827*P827, "")</f>
        <v>0</v>
      </c>
      <c r="AT827" s="284" t="n">
        <f aca="false">IFERROR($G827*$J827*Q827, "")</f>
        <v>0</v>
      </c>
      <c r="AU827" s="284" t="n">
        <f aca="false">IFERROR($G827*$J827*R827, "")</f>
        <v>0</v>
      </c>
      <c r="AV827" s="284" t="n">
        <f aca="false">IFERROR($G827*$J827*S827, "")</f>
        <v>0</v>
      </c>
      <c r="AW827" s="284" t="n">
        <f aca="false">IFERROR($G827*$J827*T827, "")</f>
        <v>0</v>
      </c>
      <c r="AX827" s="284" t="n">
        <f aca="false">IFERROR($G827*$J827*U827, "")</f>
        <v>0</v>
      </c>
      <c r="AY827" s="284" t="n">
        <f aca="false">IFERROR($G827*$J827*V827, "")</f>
        <v>0</v>
      </c>
      <c r="AZ827" s="284" t="n">
        <f aca="false">IFERROR($G827*$J827*W827, "")</f>
        <v>0</v>
      </c>
      <c r="BA827" s="286" t="n">
        <f aca="false">IFERROR(SUMIF($AO$4:$AZ$4, "RDEC", AO827:AZ827), "")</f>
        <v>0</v>
      </c>
      <c r="BB827" s="286" t="n">
        <f aca="false">IFERROR(SUMIF($AO$4:$AZ$4, "SME", AO827:AZ827), "")</f>
        <v>0</v>
      </c>
      <c r="BC827" s="286" t="n">
        <f aca="false">IFERROR(SUMIF($Y$4:$AJ$4, "De Minimis", AO827:AZ827), "")</f>
        <v>0</v>
      </c>
      <c r="BD827" s="287"/>
      <c r="BE827" s="288" t="str">
        <f aca="false">IF((SUM(L827:W827)&gt;1),"ERROR","")</f>
        <v/>
      </c>
    </row>
    <row r="828" customFormat="false" ht="15" hidden="false" customHeight="true" outlineLevel="0" collapsed="false">
      <c r="B828" s="333"/>
      <c r="C828" s="334"/>
      <c r="D828" s="333" t="n">
        <f aca="false">D812</f>
        <v>45383</v>
      </c>
      <c r="E828" s="277" t="n">
        <v>0</v>
      </c>
      <c r="F828" s="277" t="n">
        <v>0</v>
      </c>
      <c r="G828" s="277" t="n">
        <f aca="false">SUM(E828:F828)</f>
        <v>0</v>
      </c>
      <c r="H828" s="204"/>
      <c r="I828" s="279" t="n">
        <v>1</v>
      </c>
      <c r="J828" s="280" t="n">
        <f aca="false">1-I828</f>
        <v>0</v>
      </c>
      <c r="K828" s="277"/>
      <c r="L828" s="282"/>
      <c r="M828" s="282"/>
      <c r="N828" s="282"/>
      <c r="O828" s="282"/>
      <c r="P828" s="282"/>
      <c r="Q828" s="282"/>
      <c r="R828" s="282"/>
      <c r="S828" s="282"/>
      <c r="T828" s="282"/>
      <c r="U828" s="282"/>
      <c r="V828" s="282"/>
      <c r="W828" s="282"/>
      <c r="X828" s="283"/>
      <c r="Y828" s="284" t="n">
        <f aca="false">IFERROR(L828*$G828*I$9, "")</f>
        <v>0</v>
      </c>
      <c r="Z828" s="284" t="n">
        <f aca="false">IFERROR(M828*$G828*$I828, "")</f>
        <v>0</v>
      </c>
      <c r="AA828" s="284" t="n">
        <f aca="false">IFERROR(N828*$G828*$I828, "")</f>
        <v>0</v>
      </c>
      <c r="AB828" s="284" t="n">
        <f aca="false">IFERROR(O828*$G828*$I828, "")</f>
        <v>0</v>
      </c>
      <c r="AC828" s="284" t="n">
        <f aca="false">IFERROR(P828*$G828*$I828, "")</f>
        <v>0</v>
      </c>
      <c r="AD828" s="284" t="n">
        <f aca="false">IFERROR(Q828*$G828*$I828, "")</f>
        <v>0</v>
      </c>
      <c r="AE828" s="284" t="n">
        <f aca="false">IFERROR(R828*$G828*$I828, "")</f>
        <v>0</v>
      </c>
      <c r="AF828" s="284" t="n">
        <f aca="false">IFERROR(S828*$G828*$I828, "")</f>
        <v>0</v>
      </c>
      <c r="AG828" s="284" t="n">
        <f aca="false">IFERROR(T828*$G828*$I828, "")</f>
        <v>0</v>
      </c>
      <c r="AH828" s="284" t="n">
        <f aca="false">IFERROR(U828*$G828*$I828, "")</f>
        <v>0</v>
      </c>
      <c r="AI828" s="284" t="n">
        <f aca="false">IFERROR(V828*$G828*$I828, "")</f>
        <v>0</v>
      </c>
      <c r="AJ828" s="284" t="n">
        <f aca="false">IFERROR(W828*$G828*$I828, "")</f>
        <v>0</v>
      </c>
      <c r="AK828" s="286" t="n">
        <f aca="false">IFERROR(SUMIF($Y$4:$AJ$4, "RDEC", Y828:AJ828), "")</f>
        <v>0</v>
      </c>
      <c r="AL828" s="286" t="n">
        <f aca="false">IFERROR(SUMIF($Y$4:$AJ$4, "SME", Y828:AJ828), "")</f>
        <v>0</v>
      </c>
      <c r="AM828" s="286" t="n">
        <f aca="false">IFERROR(SUMIF($Y$4:$AJ$4, "De Minimis", Y828:AJ828), "")</f>
        <v>0</v>
      </c>
      <c r="AN828" s="283"/>
      <c r="AO828" s="284" t="n">
        <f aca="false">IFERROR($G828*$J828*L828, "")</f>
        <v>0</v>
      </c>
      <c r="AP828" s="284" t="n">
        <f aca="false">IFERROR($G828*$J828*M828, "")</f>
        <v>0</v>
      </c>
      <c r="AQ828" s="284" t="n">
        <f aca="false">IFERROR($G828*$J828*N828, "")</f>
        <v>0</v>
      </c>
      <c r="AR828" s="284" t="n">
        <f aca="false">IFERROR($G828*$J828*O828, "")</f>
        <v>0</v>
      </c>
      <c r="AS828" s="284" t="n">
        <f aca="false">IFERROR($G828*$J828*P828, "")</f>
        <v>0</v>
      </c>
      <c r="AT828" s="284" t="n">
        <f aca="false">IFERROR($G828*$J828*Q828, "")</f>
        <v>0</v>
      </c>
      <c r="AU828" s="284" t="n">
        <f aca="false">IFERROR($G828*$J828*R828, "")</f>
        <v>0</v>
      </c>
      <c r="AV828" s="284" t="n">
        <f aca="false">IFERROR($G828*$J828*S828, "")</f>
        <v>0</v>
      </c>
      <c r="AW828" s="284" t="n">
        <f aca="false">IFERROR($G828*$J828*T828, "")</f>
        <v>0</v>
      </c>
      <c r="AX828" s="284" t="n">
        <f aca="false">IFERROR($G828*$J828*U828, "")</f>
        <v>0</v>
      </c>
      <c r="AY828" s="284" t="n">
        <f aca="false">IFERROR($G828*$J828*V828, "")</f>
        <v>0</v>
      </c>
      <c r="AZ828" s="284" t="n">
        <f aca="false">IFERROR($G828*$J828*W828, "")</f>
        <v>0</v>
      </c>
      <c r="BA828" s="286" t="n">
        <f aca="false">IFERROR(SUMIF($AO$4:$AZ$4, "RDEC", AO828:AZ828), "")</f>
        <v>0</v>
      </c>
      <c r="BB828" s="286" t="n">
        <f aca="false">IFERROR(SUMIF($AO$4:$AZ$4, "SME", AO828:AZ828), "")</f>
        <v>0</v>
      </c>
      <c r="BC828" s="286" t="n">
        <f aca="false">IFERROR(SUMIF($Y$4:$AJ$4, "De Minimis", AO828:AZ828), "")</f>
        <v>0</v>
      </c>
      <c r="BD828" s="287"/>
      <c r="BE828" s="288" t="str">
        <f aca="false">IF((SUM(L828:W828)&gt;1),"ERROR","")</f>
        <v/>
      </c>
    </row>
    <row r="829" customFormat="false" ht="15" hidden="false" customHeight="true" outlineLevel="0" collapsed="false">
      <c r="B829" s="333"/>
      <c r="C829" s="334"/>
      <c r="D829" s="333" t="n">
        <f aca="false">D813</f>
        <v>45413</v>
      </c>
      <c r="E829" s="277" t="n">
        <v>0</v>
      </c>
      <c r="F829" s="277" t="n">
        <v>0</v>
      </c>
      <c r="G829" s="277" t="n">
        <f aca="false">SUM(E829:F829)</f>
        <v>0</v>
      </c>
      <c r="H829" s="204"/>
      <c r="I829" s="279" t="n">
        <v>1</v>
      </c>
      <c r="J829" s="280" t="n">
        <f aca="false">1-I829</f>
        <v>0</v>
      </c>
      <c r="K829" s="277"/>
      <c r="L829" s="282"/>
      <c r="M829" s="282"/>
      <c r="N829" s="282"/>
      <c r="O829" s="282"/>
      <c r="P829" s="282"/>
      <c r="Q829" s="282"/>
      <c r="R829" s="282"/>
      <c r="S829" s="282"/>
      <c r="T829" s="282"/>
      <c r="U829" s="282"/>
      <c r="V829" s="282"/>
      <c r="W829" s="282"/>
      <c r="X829" s="283"/>
      <c r="Y829" s="284" t="n">
        <f aca="false">IFERROR(L829*$G829*I$9, "")</f>
        <v>0</v>
      </c>
      <c r="Z829" s="284" t="n">
        <f aca="false">IFERROR(M829*$G829*$I829, "")</f>
        <v>0</v>
      </c>
      <c r="AA829" s="284" t="n">
        <f aca="false">IFERROR(N829*$G829*$I829, "")</f>
        <v>0</v>
      </c>
      <c r="AB829" s="284" t="n">
        <f aca="false">IFERROR(O829*$G829*$I829, "")</f>
        <v>0</v>
      </c>
      <c r="AC829" s="284" t="n">
        <f aca="false">IFERROR(P829*$G829*$I829, "")</f>
        <v>0</v>
      </c>
      <c r="AD829" s="284" t="n">
        <f aca="false">IFERROR(Q829*$G829*$I829, "")</f>
        <v>0</v>
      </c>
      <c r="AE829" s="284" t="n">
        <f aca="false">IFERROR(R829*$G829*$I829, "")</f>
        <v>0</v>
      </c>
      <c r="AF829" s="284" t="n">
        <f aca="false">IFERROR(S829*$G829*$I829, "")</f>
        <v>0</v>
      </c>
      <c r="AG829" s="284" t="n">
        <f aca="false">IFERROR(T829*$G829*$I829, "")</f>
        <v>0</v>
      </c>
      <c r="AH829" s="284" t="n">
        <f aca="false">IFERROR(U829*$G829*$I829, "")</f>
        <v>0</v>
      </c>
      <c r="AI829" s="284" t="n">
        <f aca="false">IFERROR(V829*$G829*$I829, "")</f>
        <v>0</v>
      </c>
      <c r="AJ829" s="284" t="n">
        <f aca="false">IFERROR(W829*$G829*$I829, "")</f>
        <v>0</v>
      </c>
      <c r="AK829" s="286" t="n">
        <f aca="false">IFERROR(SUMIF($Y$4:$AJ$4, "RDEC", Y829:AJ829), "")</f>
        <v>0</v>
      </c>
      <c r="AL829" s="286" t="n">
        <f aca="false">IFERROR(SUMIF($Y$4:$AJ$4, "SME", Y829:AJ829), "")</f>
        <v>0</v>
      </c>
      <c r="AM829" s="286" t="n">
        <f aca="false">IFERROR(SUMIF($Y$4:$AJ$4, "De Minimis", Y829:AJ829), "")</f>
        <v>0</v>
      </c>
      <c r="AN829" s="283"/>
      <c r="AO829" s="284" t="n">
        <f aca="false">IFERROR($G829*$J829*L829, "")</f>
        <v>0</v>
      </c>
      <c r="AP829" s="284" t="n">
        <f aca="false">IFERROR($G829*$J829*M829, "")</f>
        <v>0</v>
      </c>
      <c r="AQ829" s="284" t="n">
        <f aca="false">IFERROR($G829*$J829*N829, "")</f>
        <v>0</v>
      </c>
      <c r="AR829" s="284" t="n">
        <f aca="false">IFERROR($G829*$J829*O829, "")</f>
        <v>0</v>
      </c>
      <c r="AS829" s="284" t="n">
        <f aca="false">IFERROR($G829*$J829*P829, "")</f>
        <v>0</v>
      </c>
      <c r="AT829" s="284" t="n">
        <f aca="false">IFERROR($G829*$J829*Q829, "")</f>
        <v>0</v>
      </c>
      <c r="AU829" s="284" t="n">
        <f aca="false">IFERROR($G829*$J829*R829, "")</f>
        <v>0</v>
      </c>
      <c r="AV829" s="284" t="n">
        <f aca="false">IFERROR($G829*$J829*S829, "")</f>
        <v>0</v>
      </c>
      <c r="AW829" s="284" t="n">
        <f aca="false">IFERROR($G829*$J829*T829, "")</f>
        <v>0</v>
      </c>
      <c r="AX829" s="284" t="n">
        <f aca="false">IFERROR($G829*$J829*U829, "")</f>
        <v>0</v>
      </c>
      <c r="AY829" s="284" t="n">
        <f aca="false">IFERROR($G829*$J829*V829, "")</f>
        <v>0</v>
      </c>
      <c r="AZ829" s="284" t="n">
        <f aca="false">IFERROR($G829*$J829*W829, "")</f>
        <v>0</v>
      </c>
      <c r="BA829" s="286" t="n">
        <f aca="false">IFERROR(SUMIF($AO$4:$AZ$4, "RDEC", AO829:AZ829), "")</f>
        <v>0</v>
      </c>
      <c r="BB829" s="286" t="n">
        <f aca="false">IFERROR(SUMIF($AO$4:$AZ$4, "SME", AO829:AZ829), "")</f>
        <v>0</v>
      </c>
      <c r="BC829" s="286" t="n">
        <f aca="false">IFERROR(SUMIF($Y$4:$AJ$4, "De Minimis", AO829:AZ829), "")</f>
        <v>0</v>
      </c>
      <c r="BD829" s="287"/>
      <c r="BE829" s="288" t="str">
        <f aca="false">IF((SUM(L829:W829)&gt;1),"ERROR","")</f>
        <v/>
      </c>
    </row>
    <row r="830" customFormat="false" ht="15" hidden="false" customHeight="true" outlineLevel="0" collapsed="false">
      <c r="B830" s="333"/>
      <c r="C830" s="334"/>
      <c r="D830" s="333" t="n">
        <f aca="false">D814</f>
        <v>45444</v>
      </c>
      <c r="E830" s="277" t="n">
        <v>0</v>
      </c>
      <c r="F830" s="277" t="n">
        <v>0</v>
      </c>
      <c r="G830" s="277" t="n">
        <f aca="false">SUM(E830:F830)</f>
        <v>0</v>
      </c>
      <c r="H830" s="204"/>
      <c r="I830" s="279" t="n">
        <v>1</v>
      </c>
      <c r="J830" s="280" t="n">
        <f aca="false">1-I830</f>
        <v>0</v>
      </c>
      <c r="K830" s="277"/>
      <c r="L830" s="282"/>
      <c r="M830" s="282"/>
      <c r="N830" s="282"/>
      <c r="O830" s="282"/>
      <c r="P830" s="282"/>
      <c r="Q830" s="282"/>
      <c r="R830" s="282"/>
      <c r="S830" s="282"/>
      <c r="T830" s="282"/>
      <c r="U830" s="282"/>
      <c r="V830" s="282"/>
      <c r="W830" s="282"/>
      <c r="X830" s="283"/>
      <c r="Y830" s="284" t="n">
        <f aca="false">IFERROR(L830*$G830*I$9, "")</f>
        <v>0</v>
      </c>
      <c r="Z830" s="284" t="n">
        <f aca="false">IFERROR(M830*$G830*$I830, "")</f>
        <v>0</v>
      </c>
      <c r="AA830" s="284" t="n">
        <f aca="false">IFERROR(N830*$G830*$I830, "")</f>
        <v>0</v>
      </c>
      <c r="AB830" s="284" t="n">
        <f aca="false">IFERROR(O830*$G830*$I830, "")</f>
        <v>0</v>
      </c>
      <c r="AC830" s="284" t="n">
        <f aca="false">IFERROR(P830*$G830*$I830, "")</f>
        <v>0</v>
      </c>
      <c r="AD830" s="284" t="n">
        <f aca="false">IFERROR(Q830*$G830*$I830, "")</f>
        <v>0</v>
      </c>
      <c r="AE830" s="284" t="n">
        <f aca="false">IFERROR(R830*$G830*$I830, "")</f>
        <v>0</v>
      </c>
      <c r="AF830" s="284" t="n">
        <f aca="false">IFERROR(S830*$G830*$I830, "")</f>
        <v>0</v>
      </c>
      <c r="AG830" s="284" t="n">
        <f aca="false">IFERROR(T830*$G830*$I830, "")</f>
        <v>0</v>
      </c>
      <c r="AH830" s="284" t="n">
        <f aca="false">IFERROR(U830*$G830*$I830, "")</f>
        <v>0</v>
      </c>
      <c r="AI830" s="284" t="n">
        <f aca="false">IFERROR(V830*$G830*$I830, "")</f>
        <v>0</v>
      </c>
      <c r="AJ830" s="284" t="n">
        <f aca="false">IFERROR(W830*$G830*$I830, "")</f>
        <v>0</v>
      </c>
      <c r="AK830" s="286" t="n">
        <f aca="false">IFERROR(SUMIF($Y$4:$AJ$4, "RDEC", Y830:AJ830), "")</f>
        <v>0</v>
      </c>
      <c r="AL830" s="286" t="n">
        <f aca="false">IFERROR(SUMIF($Y$4:$AJ$4, "SME", Y830:AJ830), "")</f>
        <v>0</v>
      </c>
      <c r="AM830" s="286" t="n">
        <f aca="false">IFERROR(SUMIF($Y$4:$AJ$4, "De Minimis", Y830:AJ830), "")</f>
        <v>0</v>
      </c>
      <c r="AN830" s="283"/>
      <c r="AO830" s="284" t="n">
        <f aca="false">IFERROR($G830*$J830*L830, "")</f>
        <v>0</v>
      </c>
      <c r="AP830" s="284" t="n">
        <f aca="false">IFERROR($G830*$J830*M830, "")</f>
        <v>0</v>
      </c>
      <c r="AQ830" s="284" t="n">
        <f aca="false">IFERROR($G830*$J830*N830, "")</f>
        <v>0</v>
      </c>
      <c r="AR830" s="284" t="n">
        <f aca="false">IFERROR($G830*$J830*O830, "")</f>
        <v>0</v>
      </c>
      <c r="AS830" s="284" t="n">
        <f aca="false">IFERROR($G830*$J830*P830, "")</f>
        <v>0</v>
      </c>
      <c r="AT830" s="284" t="n">
        <f aca="false">IFERROR($G830*$J830*Q830, "")</f>
        <v>0</v>
      </c>
      <c r="AU830" s="284" t="n">
        <f aca="false">IFERROR($G830*$J830*R830, "")</f>
        <v>0</v>
      </c>
      <c r="AV830" s="284" t="n">
        <f aca="false">IFERROR($G830*$J830*S830, "")</f>
        <v>0</v>
      </c>
      <c r="AW830" s="284" t="n">
        <f aca="false">IFERROR($G830*$J830*T830, "")</f>
        <v>0</v>
      </c>
      <c r="AX830" s="284" t="n">
        <f aca="false">IFERROR($G830*$J830*U830, "")</f>
        <v>0</v>
      </c>
      <c r="AY830" s="284" t="n">
        <f aca="false">IFERROR($G830*$J830*V830, "")</f>
        <v>0</v>
      </c>
      <c r="AZ830" s="284" t="n">
        <f aca="false">IFERROR($G830*$J830*W830, "")</f>
        <v>0</v>
      </c>
      <c r="BA830" s="286" t="n">
        <f aca="false">IFERROR(SUMIF($AO$4:$AZ$4, "RDEC", AO830:AZ830), "")</f>
        <v>0</v>
      </c>
      <c r="BB830" s="286" t="n">
        <f aca="false">IFERROR(SUMIF($AO$4:$AZ$4, "SME", AO830:AZ830), "")</f>
        <v>0</v>
      </c>
      <c r="BC830" s="286" t="n">
        <f aca="false">IFERROR(SUMIF($Y$4:$AJ$4, "De Minimis", AO830:AZ830), "")</f>
        <v>0</v>
      </c>
      <c r="BD830" s="287"/>
      <c r="BE830" s="288" t="str">
        <f aca="false">IF((SUM(L830:W830)&gt;1),"ERROR","")</f>
        <v/>
      </c>
    </row>
    <row r="831" customFormat="false" ht="15" hidden="false" customHeight="true" outlineLevel="0" collapsed="false">
      <c r="B831" s="333"/>
      <c r="C831" s="334"/>
      <c r="D831" s="333" t="n">
        <f aca="false">D815</f>
        <v>45474</v>
      </c>
      <c r="E831" s="277" t="n">
        <v>0</v>
      </c>
      <c r="F831" s="277" t="n">
        <v>0</v>
      </c>
      <c r="G831" s="277" t="n">
        <f aca="false">SUM(E831:F831)</f>
        <v>0</v>
      </c>
      <c r="H831" s="204"/>
      <c r="I831" s="279" t="n">
        <v>1</v>
      </c>
      <c r="J831" s="280" t="n">
        <f aca="false">1-I831</f>
        <v>0</v>
      </c>
      <c r="K831" s="277"/>
      <c r="L831" s="282"/>
      <c r="M831" s="282"/>
      <c r="N831" s="282"/>
      <c r="O831" s="282"/>
      <c r="P831" s="282"/>
      <c r="Q831" s="282"/>
      <c r="R831" s="282"/>
      <c r="S831" s="282"/>
      <c r="T831" s="282"/>
      <c r="U831" s="282"/>
      <c r="V831" s="282"/>
      <c r="W831" s="282"/>
      <c r="X831" s="283"/>
      <c r="Y831" s="284" t="n">
        <f aca="false">IFERROR(L831*$G831*I$9, "")</f>
        <v>0</v>
      </c>
      <c r="Z831" s="284" t="n">
        <f aca="false">IFERROR(M831*$G831*$I831, "")</f>
        <v>0</v>
      </c>
      <c r="AA831" s="284" t="n">
        <f aca="false">IFERROR(N831*$G831*$I831, "")</f>
        <v>0</v>
      </c>
      <c r="AB831" s="284" t="n">
        <f aca="false">IFERROR(O831*$G831*$I831, "")</f>
        <v>0</v>
      </c>
      <c r="AC831" s="284" t="n">
        <f aca="false">IFERROR(P831*$G831*$I831, "")</f>
        <v>0</v>
      </c>
      <c r="AD831" s="284" t="n">
        <f aca="false">IFERROR(Q831*$G831*$I831, "")</f>
        <v>0</v>
      </c>
      <c r="AE831" s="284" t="n">
        <f aca="false">IFERROR(R831*$G831*$I831, "")</f>
        <v>0</v>
      </c>
      <c r="AF831" s="284" t="n">
        <f aca="false">IFERROR(S831*$G831*$I831, "")</f>
        <v>0</v>
      </c>
      <c r="AG831" s="284" t="n">
        <f aca="false">IFERROR(T831*$G831*$I831, "")</f>
        <v>0</v>
      </c>
      <c r="AH831" s="284" t="n">
        <f aca="false">IFERROR(U831*$G831*$I831, "")</f>
        <v>0</v>
      </c>
      <c r="AI831" s="284" t="n">
        <f aca="false">IFERROR(V831*$G831*$I831, "")</f>
        <v>0</v>
      </c>
      <c r="AJ831" s="284" t="n">
        <f aca="false">IFERROR(W831*$G831*$I831, "")</f>
        <v>0</v>
      </c>
      <c r="AK831" s="286" t="n">
        <f aca="false">IFERROR(SUMIF($Y$4:$AJ$4, "RDEC", Y831:AJ831), "")</f>
        <v>0</v>
      </c>
      <c r="AL831" s="286" t="n">
        <f aca="false">IFERROR(SUMIF($Y$4:$AJ$4, "SME", Y831:AJ831), "")</f>
        <v>0</v>
      </c>
      <c r="AM831" s="286" t="n">
        <f aca="false">IFERROR(SUMIF($Y$4:$AJ$4, "De Minimis", Y831:AJ831), "")</f>
        <v>0</v>
      </c>
      <c r="AN831" s="283"/>
      <c r="AO831" s="284" t="n">
        <f aca="false">IFERROR($G831*$J831*L831, "")</f>
        <v>0</v>
      </c>
      <c r="AP831" s="284" t="n">
        <f aca="false">IFERROR($G831*$J831*M831, "")</f>
        <v>0</v>
      </c>
      <c r="AQ831" s="284" t="n">
        <f aca="false">IFERROR($G831*$J831*N831, "")</f>
        <v>0</v>
      </c>
      <c r="AR831" s="284" t="n">
        <f aca="false">IFERROR($G831*$J831*O831, "")</f>
        <v>0</v>
      </c>
      <c r="AS831" s="284" t="n">
        <f aca="false">IFERROR($G831*$J831*P831, "")</f>
        <v>0</v>
      </c>
      <c r="AT831" s="284" t="n">
        <f aca="false">IFERROR($G831*$J831*Q831, "")</f>
        <v>0</v>
      </c>
      <c r="AU831" s="284" t="n">
        <f aca="false">IFERROR($G831*$J831*R831, "")</f>
        <v>0</v>
      </c>
      <c r="AV831" s="284" t="n">
        <f aca="false">IFERROR($G831*$J831*S831, "")</f>
        <v>0</v>
      </c>
      <c r="AW831" s="284" t="n">
        <f aca="false">IFERROR($G831*$J831*T831, "")</f>
        <v>0</v>
      </c>
      <c r="AX831" s="284" t="n">
        <f aca="false">IFERROR($G831*$J831*U831, "")</f>
        <v>0</v>
      </c>
      <c r="AY831" s="284" t="n">
        <f aca="false">IFERROR($G831*$J831*V831, "")</f>
        <v>0</v>
      </c>
      <c r="AZ831" s="284" t="n">
        <f aca="false">IFERROR($G831*$J831*W831, "")</f>
        <v>0</v>
      </c>
      <c r="BA831" s="286" t="n">
        <f aca="false">IFERROR(SUMIF($AO$4:$AZ$4, "RDEC", AO831:AZ831), "")</f>
        <v>0</v>
      </c>
      <c r="BB831" s="286" t="n">
        <f aca="false">IFERROR(SUMIF($AO$4:$AZ$4, "SME", AO831:AZ831), "")</f>
        <v>0</v>
      </c>
      <c r="BC831" s="286" t="n">
        <f aca="false">IFERROR(SUMIF($Y$4:$AJ$4, "De Minimis", AO831:AZ831), "")</f>
        <v>0</v>
      </c>
      <c r="BD831" s="287"/>
      <c r="BE831" s="288" t="str">
        <f aca="false">IF((SUM(L831:W831)&gt;1),"ERROR","")</f>
        <v/>
      </c>
    </row>
    <row r="832" customFormat="false" ht="15" hidden="false" customHeight="true" outlineLevel="0" collapsed="false">
      <c r="B832" s="333"/>
      <c r="C832" s="334"/>
      <c r="D832" s="333" t="n">
        <f aca="false">D816</f>
        <v>45505</v>
      </c>
      <c r="E832" s="277" t="n">
        <v>0</v>
      </c>
      <c r="F832" s="277" t="n">
        <v>0</v>
      </c>
      <c r="G832" s="277" t="n">
        <f aca="false">SUM(E832:F832)</f>
        <v>0</v>
      </c>
      <c r="H832" s="204"/>
      <c r="I832" s="279" t="n">
        <v>1</v>
      </c>
      <c r="J832" s="280" t="n">
        <f aca="false">1-I832</f>
        <v>0</v>
      </c>
      <c r="K832" s="277"/>
      <c r="L832" s="282"/>
      <c r="M832" s="282"/>
      <c r="N832" s="282"/>
      <c r="O832" s="282"/>
      <c r="P832" s="282"/>
      <c r="Q832" s="282"/>
      <c r="R832" s="282"/>
      <c r="S832" s="282"/>
      <c r="T832" s="282"/>
      <c r="U832" s="282"/>
      <c r="V832" s="282"/>
      <c r="W832" s="282"/>
      <c r="X832" s="283"/>
      <c r="Y832" s="284" t="n">
        <f aca="false">IFERROR(L832*$G832*I$9, "")</f>
        <v>0</v>
      </c>
      <c r="Z832" s="284" t="n">
        <f aca="false">IFERROR(M832*$G832*$I832, "")</f>
        <v>0</v>
      </c>
      <c r="AA832" s="284" t="n">
        <f aca="false">IFERROR(N832*$G832*$I832, "")</f>
        <v>0</v>
      </c>
      <c r="AB832" s="284" t="n">
        <f aca="false">IFERROR(O832*$G832*$I832, "")</f>
        <v>0</v>
      </c>
      <c r="AC832" s="284" t="n">
        <f aca="false">IFERROR(P832*$G832*$I832, "")</f>
        <v>0</v>
      </c>
      <c r="AD832" s="284" t="n">
        <f aca="false">IFERROR(Q832*$G832*$I832, "")</f>
        <v>0</v>
      </c>
      <c r="AE832" s="284" t="n">
        <f aca="false">IFERROR(R832*$G832*$I832, "")</f>
        <v>0</v>
      </c>
      <c r="AF832" s="284" t="n">
        <f aca="false">IFERROR(S832*$G832*$I832, "")</f>
        <v>0</v>
      </c>
      <c r="AG832" s="284" t="n">
        <f aca="false">IFERROR(T832*$G832*$I832, "")</f>
        <v>0</v>
      </c>
      <c r="AH832" s="284" t="n">
        <f aca="false">IFERROR(U832*$G832*$I832, "")</f>
        <v>0</v>
      </c>
      <c r="AI832" s="284" t="n">
        <f aca="false">IFERROR(V832*$G832*$I832, "")</f>
        <v>0</v>
      </c>
      <c r="AJ832" s="284" t="n">
        <f aca="false">IFERROR(W832*$G832*$I832, "")</f>
        <v>0</v>
      </c>
      <c r="AK832" s="286" t="n">
        <f aca="false">IFERROR(SUMIF($Y$4:$AJ$4, "RDEC", Y832:AJ832), "")</f>
        <v>0</v>
      </c>
      <c r="AL832" s="286" t="n">
        <f aca="false">IFERROR(SUMIF($Y$4:$AJ$4, "SME", Y832:AJ832), "")</f>
        <v>0</v>
      </c>
      <c r="AM832" s="286" t="n">
        <f aca="false">IFERROR(SUMIF($Y$4:$AJ$4, "De Minimis", Y832:AJ832), "")</f>
        <v>0</v>
      </c>
      <c r="AN832" s="283"/>
      <c r="AO832" s="284" t="n">
        <f aca="false">IFERROR($G832*$J832*L832, "")</f>
        <v>0</v>
      </c>
      <c r="AP832" s="284" t="n">
        <f aca="false">IFERROR($G832*$J832*M832, "")</f>
        <v>0</v>
      </c>
      <c r="AQ832" s="284" t="n">
        <f aca="false">IFERROR($G832*$J832*N832, "")</f>
        <v>0</v>
      </c>
      <c r="AR832" s="284" t="n">
        <f aca="false">IFERROR($G832*$J832*O832, "")</f>
        <v>0</v>
      </c>
      <c r="AS832" s="284" t="n">
        <f aca="false">IFERROR($G832*$J832*P832, "")</f>
        <v>0</v>
      </c>
      <c r="AT832" s="284" t="n">
        <f aca="false">IFERROR($G832*$J832*Q832, "")</f>
        <v>0</v>
      </c>
      <c r="AU832" s="284" t="n">
        <f aca="false">IFERROR($G832*$J832*R832, "")</f>
        <v>0</v>
      </c>
      <c r="AV832" s="284" t="n">
        <f aca="false">IFERROR($G832*$J832*S832, "")</f>
        <v>0</v>
      </c>
      <c r="AW832" s="284" t="n">
        <f aca="false">IFERROR($G832*$J832*T832, "")</f>
        <v>0</v>
      </c>
      <c r="AX832" s="284" t="n">
        <f aca="false">IFERROR($G832*$J832*U832, "")</f>
        <v>0</v>
      </c>
      <c r="AY832" s="284" t="n">
        <f aca="false">IFERROR($G832*$J832*V832, "")</f>
        <v>0</v>
      </c>
      <c r="AZ832" s="284" t="n">
        <f aca="false">IFERROR($G832*$J832*W832, "")</f>
        <v>0</v>
      </c>
      <c r="BA832" s="286" t="n">
        <f aca="false">IFERROR(SUMIF($AO$4:$AZ$4, "RDEC", AO832:AZ832), "")</f>
        <v>0</v>
      </c>
      <c r="BB832" s="286" t="n">
        <f aca="false">IFERROR(SUMIF($AO$4:$AZ$4, "SME", AO832:AZ832), "")</f>
        <v>0</v>
      </c>
      <c r="BC832" s="286" t="n">
        <f aca="false">IFERROR(SUMIF($Y$4:$AJ$4, "De Minimis", AO832:AZ832), "")</f>
        <v>0</v>
      </c>
      <c r="BD832" s="287"/>
      <c r="BE832" s="288" t="str">
        <f aca="false">IF((SUM(L832:W832)&gt;1),"ERROR","")</f>
        <v/>
      </c>
    </row>
    <row r="833" customFormat="false" ht="15" hidden="false" customHeight="true" outlineLevel="0" collapsed="false">
      <c r="B833" s="333"/>
      <c r="C833" s="334"/>
      <c r="D833" s="333" t="n">
        <f aca="false">D817</f>
        <v>45536</v>
      </c>
      <c r="E833" s="277" t="n">
        <v>0</v>
      </c>
      <c r="F833" s="277" t="n">
        <v>0</v>
      </c>
      <c r="G833" s="277" t="n">
        <f aca="false">SUM(E833:F833)</f>
        <v>0</v>
      </c>
      <c r="H833" s="204"/>
      <c r="I833" s="279" t="n">
        <v>1</v>
      </c>
      <c r="J833" s="280" t="n">
        <f aca="false">1-I833</f>
        <v>0</v>
      </c>
      <c r="K833" s="277"/>
      <c r="L833" s="282"/>
      <c r="M833" s="282"/>
      <c r="N833" s="282"/>
      <c r="O833" s="282"/>
      <c r="P833" s="282"/>
      <c r="Q833" s="282"/>
      <c r="R833" s="282"/>
      <c r="S833" s="282"/>
      <c r="T833" s="282"/>
      <c r="U833" s="282"/>
      <c r="V833" s="282"/>
      <c r="W833" s="282"/>
      <c r="X833" s="283"/>
      <c r="Y833" s="284" t="n">
        <f aca="false">IFERROR(L833*$G833*I$9, "")</f>
        <v>0</v>
      </c>
      <c r="Z833" s="284" t="n">
        <f aca="false">IFERROR(M833*$G833*$I833, "")</f>
        <v>0</v>
      </c>
      <c r="AA833" s="284" t="n">
        <f aca="false">IFERROR(N833*$G833*$I833, "")</f>
        <v>0</v>
      </c>
      <c r="AB833" s="284" t="n">
        <f aca="false">IFERROR(O833*$G833*$I833, "")</f>
        <v>0</v>
      </c>
      <c r="AC833" s="284" t="n">
        <f aca="false">IFERROR(P833*$G833*$I833, "")</f>
        <v>0</v>
      </c>
      <c r="AD833" s="284" t="n">
        <f aca="false">IFERROR(Q833*$G833*$I833, "")</f>
        <v>0</v>
      </c>
      <c r="AE833" s="284" t="n">
        <f aca="false">IFERROR(R833*$G833*$I833, "")</f>
        <v>0</v>
      </c>
      <c r="AF833" s="284" t="n">
        <f aca="false">IFERROR(S833*$G833*$I833, "")</f>
        <v>0</v>
      </c>
      <c r="AG833" s="284" t="n">
        <f aca="false">IFERROR(T833*$G833*$I833, "")</f>
        <v>0</v>
      </c>
      <c r="AH833" s="284" t="n">
        <f aca="false">IFERROR(U833*$G833*$I833, "")</f>
        <v>0</v>
      </c>
      <c r="AI833" s="284" t="n">
        <f aca="false">IFERROR(V833*$G833*$I833, "")</f>
        <v>0</v>
      </c>
      <c r="AJ833" s="284" t="n">
        <f aca="false">IFERROR(W833*$G833*$I833, "")</f>
        <v>0</v>
      </c>
      <c r="AK833" s="286" t="n">
        <f aca="false">IFERROR(SUMIF($Y$4:$AJ$4, "RDEC", Y833:AJ833), "")</f>
        <v>0</v>
      </c>
      <c r="AL833" s="286" t="n">
        <f aca="false">IFERROR(SUMIF($Y$4:$AJ$4, "SME", Y833:AJ833), "")</f>
        <v>0</v>
      </c>
      <c r="AM833" s="286" t="n">
        <f aca="false">IFERROR(SUMIF($Y$4:$AJ$4, "De Minimis", Y833:AJ833), "")</f>
        <v>0</v>
      </c>
      <c r="AN833" s="283"/>
      <c r="AO833" s="284" t="n">
        <f aca="false">IFERROR($G833*$J833*L833, "")</f>
        <v>0</v>
      </c>
      <c r="AP833" s="284" t="n">
        <f aca="false">IFERROR($G833*$J833*M833, "")</f>
        <v>0</v>
      </c>
      <c r="AQ833" s="284" t="n">
        <f aca="false">IFERROR($G833*$J833*N833, "")</f>
        <v>0</v>
      </c>
      <c r="AR833" s="284" t="n">
        <f aca="false">IFERROR($G833*$J833*O833, "")</f>
        <v>0</v>
      </c>
      <c r="AS833" s="284" t="n">
        <f aca="false">IFERROR($G833*$J833*P833, "")</f>
        <v>0</v>
      </c>
      <c r="AT833" s="284" t="n">
        <f aca="false">IFERROR($G833*$J833*Q833, "")</f>
        <v>0</v>
      </c>
      <c r="AU833" s="284" t="n">
        <f aca="false">IFERROR($G833*$J833*R833, "")</f>
        <v>0</v>
      </c>
      <c r="AV833" s="284" t="n">
        <f aca="false">IFERROR($G833*$J833*S833, "")</f>
        <v>0</v>
      </c>
      <c r="AW833" s="284" t="n">
        <f aca="false">IFERROR($G833*$J833*T833, "")</f>
        <v>0</v>
      </c>
      <c r="AX833" s="284" t="n">
        <f aca="false">IFERROR($G833*$J833*U833, "")</f>
        <v>0</v>
      </c>
      <c r="AY833" s="284" t="n">
        <f aca="false">IFERROR($G833*$J833*V833, "")</f>
        <v>0</v>
      </c>
      <c r="AZ833" s="284" t="n">
        <f aca="false">IFERROR($G833*$J833*W833, "")</f>
        <v>0</v>
      </c>
      <c r="BA833" s="286" t="n">
        <f aca="false">IFERROR(SUMIF($AO$4:$AZ$4, "RDEC", AO833:AZ833), "")</f>
        <v>0</v>
      </c>
      <c r="BB833" s="286" t="n">
        <f aca="false">IFERROR(SUMIF($AO$4:$AZ$4, "SME", AO833:AZ833), "")</f>
        <v>0</v>
      </c>
      <c r="BC833" s="286" t="n">
        <f aca="false">IFERROR(SUMIF($Y$4:$AJ$4, "De Minimis", AO833:AZ833), "")</f>
        <v>0</v>
      </c>
      <c r="BD833" s="287"/>
      <c r="BE833" s="288" t="str">
        <f aca="false">IF((SUM(L833:W833)&gt;1),"ERROR","")</f>
        <v/>
      </c>
    </row>
    <row r="834" customFormat="false" ht="15" hidden="false" customHeight="true" outlineLevel="0" collapsed="false">
      <c r="B834" s="333"/>
      <c r="C834" s="334"/>
      <c r="D834" s="333" t="n">
        <f aca="false">D818</f>
        <v>45566</v>
      </c>
      <c r="E834" s="277" t="n">
        <v>0</v>
      </c>
      <c r="F834" s="277" t="n">
        <v>0</v>
      </c>
      <c r="G834" s="277" t="n">
        <f aca="false">SUM(E834:F834)</f>
        <v>0</v>
      </c>
      <c r="H834" s="204"/>
      <c r="I834" s="279" t="n">
        <v>1</v>
      </c>
      <c r="J834" s="280" t="n">
        <f aca="false">1-I834</f>
        <v>0</v>
      </c>
      <c r="K834" s="277"/>
      <c r="L834" s="282"/>
      <c r="M834" s="282"/>
      <c r="N834" s="282"/>
      <c r="O834" s="282"/>
      <c r="P834" s="282"/>
      <c r="Q834" s="282"/>
      <c r="R834" s="282"/>
      <c r="S834" s="282"/>
      <c r="T834" s="282"/>
      <c r="U834" s="282"/>
      <c r="V834" s="282"/>
      <c r="W834" s="282"/>
      <c r="X834" s="283"/>
      <c r="Y834" s="284" t="n">
        <f aca="false">IFERROR(L834*$G834*I$9, "")</f>
        <v>0</v>
      </c>
      <c r="Z834" s="284" t="n">
        <f aca="false">IFERROR(M834*$G834*$I834, "")</f>
        <v>0</v>
      </c>
      <c r="AA834" s="284" t="n">
        <f aca="false">IFERROR(N834*$G834*$I834, "")</f>
        <v>0</v>
      </c>
      <c r="AB834" s="284" t="n">
        <f aca="false">IFERROR(O834*$G834*$I834, "")</f>
        <v>0</v>
      </c>
      <c r="AC834" s="284" t="n">
        <f aca="false">IFERROR(P834*$G834*$I834, "")</f>
        <v>0</v>
      </c>
      <c r="AD834" s="284" t="n">
        <f aca="false">IFERROR(Q834*$G834*$I834, "")</f>
        <v>0</v>
      </c>
      <c r="AE834" s="284" t="n">
        <f aca="false">IFERROR(R834*$G834*$I834, "")</f>
        <v>0</v>
      </c>
      <c r="AF834" s="284" t="n">
        <f aca="false">IFERROR(S834*$G834*$I834, "")</f>
        <v>0</v>
      </c>
      <c r="AG834" s="284" t="n">
        <f aca="false">IFERROR(T834*$G834*$I834, "")</f>
        <v>0</v>
      </c>
      <c r="AH834" s="284" t="n">
        <f aca="false">IFERROR(U834*$G834*$I834, "")</f>
        <v>0</v>
      </c>
      <c r="AI834" s="284" t="n">
        <f aca="false">IFERROR(V834*$G834*$I834, "")</f>
        <v>0</v>
      </c>
      <c r="AJ834" s="284" t="n">
        <f aca="false">IFERROR(W834*$G834*$I834, "")</f>
        <v>0</v>
      </c>
      <c r="AK834" s="286" t="n">
        <f aca="false">IFERROR(SUMIF($Y$4:$AJ$4, "RDEC", Y834:AJ834), "")</f>
        <v>0</v>
      </c>
      <c r="AL834" s="286" t="n">
        <f aca="false">IFERROR(SUMIF($Y$4:$AJ$4, "SME", Y834:AJ834), "")</f>
        <v>0</v>
      </c>
      <c r="AM834" s="286" t="n">
        <f aca="false">IFERROR(SUMIF($Y$4:$AJ$4, "De Minimis", Y834:AJ834), "")</f>
        <v>0</v>
      </c>
      <c r="AN834" s="283"/>
      <c r="AO834" s="284" t="n">
        <f aca="false">IFERROR($G834*$J834*L834, "")</f>
        <v>0</v>
      </c>
      <c r="AP834" s="284" t="n">
        <f aca="false">IFERROR($G834*$J834*M834, "")</f>
        <v>0</v>
      </c>
      <c r="AQ834" s="284" t="n">
        <f aca="false">IFERROR($G834*$J834*N834, "")</f>
        <v>0</v>
      </c>
      <c r="AR834" s="284" t="n">
        <f aca="false">IFERROR($G834*$J834*O834, "")</f>
        <v>0</v>
      </c>
      <c r="AS834" s="284" t="n">
        <f aca="false">IFERROR($G834*$J834*P834, "")</f>
        <v>0</v>
      </c>
      <c r="AT834" s="284" t="n">
        <f aca="false">IFERROR($G834*$J834*Q834, "")</f>
        <v>0</v>
      </c>
      <c r="AU834" s="284" t="n">
        <f aca="false">IFERROR($G834*$J834*R834, "")</f>
        <v>0</v>
      </c>
      <c r="AV834" s="284" t="n">
        <f aca="false">IFERROR($G834*$J834*S834, "")</f>
        <v>0</v>
      </c>
      <c r="AW834" s="284" t="n">
        <f aca="false">IFERROR($G834*$J834*T834, "")</f>
        <v>0</v>
      </c>
      <c r="AX834" s="284" t="n">
        <f aca="false">IFERROR($G834*$J834*U834, "")</f>
        <v>0</v>
      </c>
      <c r="AY834" s="284" t="n">
        <f aca="false">IFERROR($G834*$J834*V834, "")</f>
        <v>0</v>
      </c>
      <c r="AZ834" s="284" t="n">
        <f aca="false">IFERROR($G834*$J834*W834, "")</f>
        <v>0</v>
      </c>
      <c r="BA834" s="286" t="n">
        <f aca="false">IFERROR(SUMIF($AO$4:$AZ$4, "RDEC", AO834:AZ834), "")</f>
        <v>0</v>
      </c>
      <c r="BB834" s="286" t="n">
        <f aca="false">IFERROR(SUMIF($AO$4:$AZ$4, "SME", AO834:AZ834), "")</f>
        <v>0</v>
      </c>
      <c r="BC834" s="286" t="n">
        <f aca="false">IFERROR(SUMIF($Y$4:$AJ$4, "De Minimis", AO834:AZ834), "")</f>
        <v>0</v>
      </c>
      <c r="BD834" s="287"/>
      <c r="BE834" s="288" t="str">
        <f aca="false">IF((SUM(L834:W834)&gt;1),"ERROR","")</f>
        <v/>
      </c>
    </row>
    <row r="835" customFormat="false" ht="15" hidden="false" customHeight="true" outlineLevel="0" collapsed="false">
      <c r="B835" s="333"/>
      <c r="C835" s="334"/>
      <c r="D835" s="333" t="n">
        <f aca="false">D819</f>
        <v>45597</v>
      </c>
      <c r="E835" s="277" t="n">
        <v>0</v>
      </c>
      <c r="F835" s="277" t="n">
        <v>0</v>
      </c>
      <c r="G835" s="277" t="n">
        <f aca="false">SUM(E835:F835)</f>
        <v>0</v>
      </c>
      <c r="H835" s="204"/>
      <c r="I835" s="279" t="n">
        <v>1</v>
      </c>
      <c r="J835" s="280" t="n">
        <f aca="false">1-I835</f>
        <v>0</v>
      </c>
      <c r="K835" s="277"/>
      <c r="L835" s="282"/>
      <c r="M835" s="282"/>
      <c r="N835" s="282"/>
      <c r="O835" s="282"/>
      <c r="P835" s="282"/>
      <c r="Q835" s="282"/>
      <c r="R835" s="282"/>
      <c r="S835" s="282"/>
      <c r="T835" s="282"/>
      <c r="U835" s="282"/>
      <c r="V835" s="282"/>
      <c r="W835" s="282"/>
      <c r="X835" s="283"/>
      <c r="Y835" s="284" t="n">
        <f aca="false">IFERROR(L835*$G835*I$9, "")</f>
        <v>0</v>
      </c>
      <c r="Z835" s="284" t="n">
        <f aca="false">IFERROR(M835*$G835*$I835, "")</f>
        <v>0</v>
      </c>
      <c r="AA835" s="284" t="n">
        <f aca="false">IFERROR(N835*$G835*$I835, "")</f>
        <v>0</v>
      </c>
      <c r="AB835" s="284" t="n">
        <f aca="false">IFERROR(O835*$G835*$I835, "")</f>
        <v>0</v>
      </c>
      <c r="AC835" s="284" t="n">
        <f aca="false">IFERROR(P835*$G835*$I835, "")</f>
        <v>0</v>
      </c>
      <c r="AD835" s="284" t="n">
        <f aca="false">IFERROR(Q835*$G835*$I835, "")</f>
        <v>0</v>
      </c>
      <c r="AE835" s="284" t="n">
        <f aca="false">IFERROR(R835*$G835*$I835, "")</f>
        <v>0</v>
      </c>
      <c r="AF835" s="284" t="n">
        <f aca="false">IFERROR(S835*$G835*$I835, "")</f>
        <v>0</v>
      </c>
      <c r="AG835" s="284" t="n">
        <f aca="false">IFERROR(T835*$G835*$I835, "")</f>
        <v>0</v>
      </c>
      <c r="AH835" s="284" t="n">
        <f aca="false">IFERROR(U835*$G835*$I835, "")</f>
        <v>0</v>
      </c>
      <c r="AI835" s="284" t="n">
        <f aca="false">IFERROR(V835*$G835*$I835, "")</f>
        <v>0</v>
      </c>
      <c r="AJ835" s="284" t="n">
        <f aca="false">IFERROR(W835*$G835*$I835, "")</f>
        <v>0</v>
      </c>
      <c r="AK835" s="286" t="n">
        <f aca="false">IFERROR(SUMIF($Y$4:$AJ$4, "RDEC", Y835:AJ835), "")</f>
        <v>0</v>
      </c>
      <c r="AL835" s="286" t="n">
        <f aca="false">IFERROR(SUMIF($Y$4:$AJ$4, "SME", Y835:AJ835), "")</f>
        <v>0</v>
      </c>
      <c r="AM835" s="286" t="n">
        <f aca="false">IFERROR(SUMIF($Y$4:$AJ$4, "De Minimis", Y835:AJ835), "")</f>
        <v>0</v>
      </c>
      <c r="AN835" s="283"/>
      <c r="AO835" s="284" t="n">
        <f aca="false">IFERROR($G835*$J835*L835, "")</f>
        <v>0</v>
      </c>
      <c r="AP835" s="284" t="n">
        <f aca="false">IFERROR($G835*$J835*M835, "")</f>
        <v>0</v>
      </c>
      <c r="AQ835" s="284" t="n">
        <f aca="false">IFERROR($G835*$J835*N835, "")</f>
        <v>0</v>
      </c>
      <c r="AR835" s="284" t="n">
        <f aca="false">IFERROR($G835*$J835*O835, "")</f>
        <v>0</v>
      </c>
      <c r="AS835" s="284" t="n">
        <f aca="false">IFERROR($G835*$J835*P835, "")</f>
        <v>0</v>
      </c>
      <c r="AT835" s="284" t="n">
        <f aca="false">IFERROR($G835*$J835*Q835, "")</f>
        <v>0</v>
      </c>
      <c r="AU835" s="284" t="n">
        <f aca="false">IFERROR($G835*$J835*R835, "")</f>
        <v>0</v>
      </c>
      <c r="AV835" s="284" t="n">
        <f aca="false">IFERROR($G835*$J835*S835, "")</f>
        <v>0</v>
      </c>
      <c r="AW835" s="284" t="n">
        <f aca="false">IFERROR($G835*$J835*T835, "")</f>
        <v>0</v>
      </c>
      <c r="AX835" s="284" t="n">
        <f aca="false">IFERROR($G835*$J835*U835, "")</f>
        <v>0</v>
      </c>
      <c r="AY835" s="284" t="n">
        <f aca="false">IFERROR($G835*$J835*V835, "")</f>
        <v>0</v>
      </c>
      <c r="AZ835" s="284" t="n">
        <f aca="false">IFERROR($G835*$J835*W835, "")</f>
        <v>0</v>
      </c>
      <c r="BA835" s="286" t="n">
        <f aca="false">IFERROR(SUMIF($AO$4:$AZ$4, "RDEC", AO835:AZ835), "")</f>
        <v>0</v>
      </c>
      <c r="BB835" s="286" t="n">
        <f aca="false">IFERROR(SUMIF($AO$4:$AZ$4, "SME", AO835:AZ835), "")</f>
        <v>0</v>
      </c>
      <c r="BC835" s="286" t="n">
        <f aca="false">IFERROR(SUMIF($Y$4:$AJ$4, "De Minimis", AO835:AZ835), "")</f>
        <v>0</v>
      </c>
      <c r="BD835" s="287"/>
      <c r="BE835" s="288" t="str">
        <f aca="false">IF((SUM(L835:W835)&gt;1),"ERROR","")</f>
        <v/>
      </c>
    </row>
    <row r="836" customFormat="false" ht="15" hidden="false" customHeight="true" outlineLevel="0" collapsed="false">
      <c r="B836" s="333"/>
      <c r="C836" s="334"/>
      <c r="D836" s="333" t="n">
        <f aca="false">D820</f>
        <v>45627</v>
      </c>
      <c r="E836" s="277" t="n">
        <v>0</v>
      </c>
      <c r="F836" s="277" t="n">
        <v>0</v>
      </c>
      <c r="G836" s="277" t="n">
        <f aca="false">SUM(E836:F836)</f>
        <v>0</v>
      </c>
      <c r="H836" s="300"/>
      <c r="I836" s="289" t="n">
        <v>1</v>
      </c>
      <c r="J836" s="290" t="n">
        <f aca="false">1-I836</f>
        <v>0</v>
      </c>
      <c r="K836" s="300"/>
      <c r="L836" s="291"/>
      <c r="M836" s="291"/>
      <c r="N836" s="291"/>
      <c r="O836" s="291"/>
      <c r="P836" s="291"/>
      <c r="Q836" s="291"/>
      <c r="R836" s="291"/>
      <c r="S836" s="291"/>
      <c r="T836" s="291"/>
      <c r="U836" s="291"/>
      <c r="V836" s="291"/>
      <c r="W836" s="291"/>
      <c r="X836" s="283"/>
      <c r="Y836" s="284" t="n">
        <f aca="false">IFERROR(L836*$G836*I$9, "")</f>
        <v>0</v>
      </c>
      <c r="Z836" s="284" t="n">
        <f aca="false">IFERROR(M836*$G836*$I836, "")</f>
        <v>0</v>
      </c>
      <c r="AA836" s="284" t="n">
        <f aca="false">IFERROR(N836*$G836*$I836, "")</f>
        <v>0</v>
      </c>
      <c r="AB836" s="284" t="n">
        <f aca="false">IFERROR(O836*$G836*$I836, "")</f>
        <v>0</v>
      </c>
      <c r="AC836" s="284" t="n">
        <f aca="false">IFERROR(P836*$G836*$I836, "")</f>
        <v>0</v>
      </c>
      <c r="AD836" s="284" t="n">
        <f aca="false">IFERROR(Q836*$G836*$I836, "")</f>
        <v>0</v>
      </c>
      <c r="AE836" s="284" t="n">
        <f aca="false">IFERROR(R836*$G836*$I836, "")</f>
        <v>0</v>
      </c>
      <c r="AF836" s="284" t="n">
        <f aca="false">IFERROR(S836*$G836*$I836, "")</f>
        <v>0</v>
      </c>
      <c r="AG836" s="284" t="n">
        <f aca="false">IFERROR(T836*$G836*$I836, "")</f>
        <v>0</v>
      </c>
      <c r="AH836" s="284" t="n">
        <f aca="false">IFERROR(U836*$G836*$I836, "")</f>
        <v>0</v>
      </c>
      <c r="AI836" s="284" t="n">
        <f aca="false">IFERROR(V836*$G836*$I836, "")</f>
        <v>0</v>
      </c>
      <c r="AJ836" s="284" t="n">
        <f aca="false">IFERROR(W836*$G836*$I836, "")</f>
        <v>0</v>
      </c>
      <c r="AK836" s="294" t="n">
        <f aca="false">IFERROR(SUMIF($Y$4:$AJ$4, "RDEC", Y836:AJ836), "")</f>
        <v>0</v>
      </c>
      <c r="AL836" s="294" t="n">
        <f aca="false">IFERROR(SUMIF($Y$4:$AJ$4, "SME", Y836:AJ836), "")</f>
        <v>0</v>
      </c>
      <c r="AM836" s="294" t="n">
        <f aca="false">IFERROR(SUMIF($Y$4:$AJ$4, "De Minimis", Y836:AJ836), "")</f>
        <v>0</v>
      </c>
      <c r="AN836" s="283"/>
      <c r="AO836" s="284" t="n">
        <f aca="false">IFERROR($G836*$J836*L836, "")</f>
        <v>0</v>
      </c>
      <c r="AP836" s="284" t="n">
        <f aca="false">IFERROR($G836*$J836*M836, "")</f>
        <v>0</v>
      </c>
      <c r="AQ836" s="284" t="n">
        <f aca="false">IFERROR($G836*$J836*N836, "")</f>
        <v>0</v>
      </c>
      <c r="AR836" s="284" t="n">
        <f aca="false">IFERROR($G836*$J836*O836, "")</f>
        <v>0</v>
      </c>
      <c r="AS836" s="284" t="n">
        <f aca="false">IFERROR($G836*$J836*P836, "")</f>
        <v>0</v>
      </c>
      <c r="AT836" s="284" t="n">
        <f aca="false">IFERROR($G836*$J836*Q836, "")</f>
        <v>0</v>
      </c>
      <c r="AU836" s="284" t="n">
        <f aca="false">IFERROR($G836*$J836*R836, "")</f>
        <v>0</v>
      </c>
      <c r="AV836" s="284" t="n">
        <f aca="false">IFERROR($G836*$J836*S836, "")</f>
        <v>0</v>
      </c>
      <c r="AW836" s="284" t="n">
        <f aca="false">IFERROR($G836*$J836*T836, "")</f>
        <v>0</v>
      </c>
      <c r="AX836" s="284" t="n">
        <f aca="false">IFERROR($G836*$J836*U836, "")</f>
        <v>0</v>
      </c>
      <c r="AY836" s="284" t="n">
        <f aca="false">IFERROR($G836*$J836*V836, "")</f>
        <v>0</v>
      </c>
      <c r="AZ836" s="284" t="n">
        <f aca="false">IFERROR($G836*$J836*W836, "")</f>
        <v>0</v>
      </c>
      <c r="BA836" s="286" t="n">
        <f aca="false">IFERROR(SUMIF($AO$4:$AZ$4, "RDEC", AO836:AZ836), "")</f>
        <v>0</v>
      </c>
      <c r="BB836" s="286" t="n">
        <f aca="false">IFERROR(SUMIF($AO$4:$AZ$4, "SME", AO836:AZ836), "")</f>
        <v>0</v>
      </c>
      <c r="BC836" s="294" t="n">
        <f aca="false">IFERROR(SUMIF($Y$4:$AJ$4, "De Minimis", AO836:AZ836), "")</f>
        <v>0</v>
      </c>
      <c r="BD836" s="303"/>
      <c r="BE836" s="295" t="str">
        <f aca="false">IF((SUM(L836:W836)&gt;1),"ERROR","")</f>
        <v/>
      </c>
    </row>
    <row r="837" customFormat="false" ht="15" hidden="false" customHeight="true" outlineLevel="0" collapsed="false">
      <c r="B837" s="296"/>
      <c r="D837" s="297" t="s">
        <v>82</v>
      </c>
      <c r="E837" s="299" t="n">
        <f aca="false">SUM(E825:E836)</f>
        <v>0</v>
      </c>
      <c r="F837" s="299" t="n">
        <f aca="false">SUM(F825:F836)</f>
        <v>0</v>
      </c>
      <c r="G837" s="299" t="n">
        <f aca="false">SUM(G825:G836)</f>
        <v>0</v>
      </c>
      <c r="H837" s="300"/>
      <c r="I837" s="301" t="n">
        <f aca="false">AVERAGE(I825:I836)</f>
        <v>1</v>
      </c>
      <c r="J837" s="301" t="n">
        <f aca="false">AVERAGE(J825:J836)</f>
        <v>0</v>
      </c>
      <c r="K837" s="300"/>
      <c r="L837" s="290" t="n">
        <f aca="false">IF(SUM(L825:L836)&gt;0,(Y837/G837),0)</f>
        <v>0</v>
      </c>
      <c r="M837" s="301" t="n">
        <f aca="false">IF(SUM(M825:M836)&gt;0,(Z837/G837),0)</f>
        <v>0</v>
      </c>
      <c r="N837" s="301" t="n">
        <f aca="false">IF(SUM(N825:N836)&gt;0,(AA837/G837),0)</f>
        <v>0</v>
      </c>
      <c r="O837" s="301" t="n">
        <f aca="false">IF(SUM(O825:O836)&gt;0,(AB837/G837),0)</f>
        <v>0</v>
      </c>
      <c r="P837" s="301" t="n">
        <f aca="false">IF(SUM(P825:P836)&gt;0,(AC837/G837),0)</f>
        <v>0</v>
      </c>
      <c r="Q837" s="301" t="n">
        <f aca="false">IF(SUM(Q825:Q836)&gt;0,(AD837/G837),0)</f>
        <v>0</v>
      </c>
      <c r="R837" s="301" t="n">
        <f aca="false">IF(SUM(R825:R836)&gt;0,(AE837/G837),0)</f>
        <v>0</v>
      </c>
      <c r="S837" s="301" t="n">
        <f aca="false">IF(SUM(S825:S836)&gt;0,(AF837/G837),0)</f>
        <v>0</v>
      </c>
      <c r="T837" s="301" t="n">
        <f aca="false">IF(SUM(T825:T836)&gt;0,(AG837/G837),0)</f>
        <v>0</v>
      </c>
      <c r="U837" s="301" t="n">
        <f aca="false">IF(SUM(U825:U836)&gt;0,(AJ837/G837),0)</f>
        <v>0</v>
      </c>
      <c r="V837" s="301" t="n">
        <f aca="false">IF(SUM(V825:V836)&gt;0,(AI837/G837),0)</f>
        <v>0</v>
      </c>
      <c r="W837" s="301" t="n">
        <f aca="false">IF(SUM(W825:W836)&gt;0,(AJ837/G837),0)</f>
        <v>0</v>
      </c>
      <c r="X837" s="283"/>
      <c r="Y837" s="304" t="n">
        <f aca="false">SUM(Y825:Y836)</f>
        <v>0</v>
      </c>
      <c r="Z837" s="304" t="n">
        <f aca="false">SUM(Z825:Z836)</f>
        <v>0</v>
      </c>
      <c r="AA837" s="304" t="n">
        <f aca="false">SUM(AA825:AA836)</f>
        <v>0</v>
      </c>
      <c r="AB837" s="304" t="n">
        <f aca="false">SUM(AB825:AB836)</f>
        <v>0</v>
      </c>
      <c r="AC837" s="304" t="n">
        <f aca="false">SUM(AC825:AC836)</f>
        <v>0</v>
      </c>
      <c r="AD837" s="304" t="n">
        <f aca="false">SUM(AD825:AD836)</f>
        <v>0</v>
      </c>
      <c r="AE837" s="304" t="n">
        <f aca="false">SUM(AE825:AE836)</f>
        <v>0</v>
      </c>
      <c r="AF837" s="304" t="n">
        <f aca="false">SUM(AF825:AF836)</f>
        <v>0</v>
      </c>
      <c r="AG837" s="304" t="n">
        <f aca="false">SUM(AG825:AG836)</f>
        <v>0</v>
      </c>
      <c r="AH837" s="304" t="n">
        <f aca="false">SUM(AH825:AH836)</f>
        <v>0</v>
      </c>
      <c r="AI837" s="304" t="n">
        <f aca="false">SUM(AI825:AI836)</f>
        <v>0</v>
      </c>
      <c r="AJ837" s="304" t="n">
        <f aca="false">SUM(AJ825:AJ836)</f>
        <v>0</v>
      </c>
      <c r="AK837" s="335" t="n">
        <f aca="false">SUM(AK825:AK836)</f>
        <v>0</v>
      </c>
      <c r="AL837" s="336" t="n">
        <f aca="false">SUM(AL825:AL836)</f>
        <v>0</v>
      </c>
      <c r="AM837" s="305" t="n">
        <f aca="false">SUM(AM825:AM836)</f>
        <v>0</v>
      </c>
      <c r="AN837" s="283"/>
      <c r="AO837" s="304" t="n">
        <f aca="false">SUM(AO825:AO836)</f>
        <v>0</v>
      </c>
      <c r="AP837" s="304" t="n">
        <f aca="false">SUM(AP825:AP836)</f>
        <v>0</v>
      </c>
      <c r="AQ837" s="304" t="n">
        <f aca="false">SUM(AQ825:AQ836)</f>
        <v>0</v>
      </c>
      <c r="AR837" s="304" t="n">
        <f aca="false">SUM(AR825:AR836)</f>
        <v>0</v>
      </c>
      <c r="AS837" s="304" t="n">
        <f aca="false">SUM(AS825:AS836)</f>
        <v>0</v>
      </c>
      <c r="AT837" s="304" t="n">
        <f aca="false">SUM(AT825:AT836)</f>
        <v>0</v>
      </c>
      <c r="AU837" s="304" t="n">
        <f aca="false">SUM(AU825:AU836)</f>
        <v>0</v>
      </c>
      <c r="AV837" s="304" t="n">
        <f aca="false">SUM(AV825:AV836)</f>
        <v>0</v>
      </c>
      <c r="AW837" s="304" t="n">
        <f aca="false">SUM(AW825:AW836)</f>
        <v>0</v>
      </c>
      <c r="AX837" s="304" t="n">
        <f aca="false">SUM(AX825:AX836)</f>
        <v>0</v>
      </c>
      <c r="AY837" s="304" t="n">
        <f aca="false">SUM(AY825:AY836)</f>
        <v>0</v>
      </c>
      <c r="AZ837" s="304" t="n">
        <f aca="false">SUM(AZ825:AZ836)</f>
        <v>0</v>
      </c>
      <c r="BA837" s="336" t="n">
        <f aca="false">SUM(BA825:BA836)</f>
        <v>0</v>
      </c>
      <c r="BB837" s="336" t="n">
        <f aca="false">SUM(BB825:BB836)</f>
        <v>0</v>
      </c>
      <c r="BC837" s="305" t="n">
        <f aca="false">SUM(BC825:BC836)</f>
        <v>0</v>
      </c>
      <c r="BD837" s="303"/>
      <c r="BE837" s="337"/>
    </row>
    <row r="838" customFormat="false" ht="15" hidden="false" customHeight="true" outlineLevel="0" collapsed="false">
      <c r="B838" s="296"/>
      <c r="D838" s="297"/>
      <c r="E838" s="300"/>
      <c r="F838" s="300"/>
      <c r="G838" s="300"/>
      <c r="H838" s="241"/>
      <c r="I838" s="302"/>
      <c r="J838" s="302"/>
      <c r="K838" s="241"/>
      <c r="L838" s="259"/>
      <c r="M838" s="259"/>
      <c r="N838" s="259"/>
      <c r="O838" s="259"/>
      <c r="P838" s="259"/>
      <c r="Q838" s="259"/>
      <c r="R838" s="259"/>
      <c r="S838" s="259"/>
      <c r="T838" s="259"/>
      <c r="U838" s="259"/>
      <c r="V838" s="259"/>
      <c r="W838" s="259"/>
      <c r="X838" s="303"/>
      <c r="Y838" s="259"/>
      <c r="Z838" s="303"/>
      <c r="AA838" s="303"/>
      <c r="AB838" s="303"/>
      <c r="AC838" s="303"/>
      <c r="AD838" s="303"/>
      <c r="AE838" s="303"/>
      <c r="AF838" s="303"/>
      <c r="AG838" s="303"/>
      <c r="AH838" s="303"/>
      <c r="AI838" s="303"/>
      <c r="AJ838" s="303"/>
      <c r="AK838" s="303"/>
      <c r="AL838" s="303"/>
      <c r="AM838" s="303"/>
      <c r="AN838" s="303"/>
      <c r="AO838" s="259"/>
      <c r="AP838" s="303"/>
      <c r="AQ838" s="303"/>
      <c r="AR838" s="303"/>
      <c r="AS838" s="303"/>
      <c r="AT838" s="303"/>
      <c r="AU838" s="303"/>
      <c r="AV838" s="303"/>
      <c r="AW838" s="303"/>
      <c r="AX838" s="303"/>
      <c r="AY838" s="303"/>
      <c r="AZ838" s="303"/>
      <c r="BA838" s="303"/>
      <c r="BB838" s="303"/>
      <c r="BC838" s="303"/>
      <c r="BD838" s="268"/>
      <c r="BE838" s="303"/>
    </row>
    <row r="839" customFormat="false" ht="15" hidden="false" customHeight="true" outlineLevel="0" collapsed="false">
      <c r="A839" s="198" t="n">
        <f aca="false">A823+1</f>
        <v>53</v>
      </c>
      <c r="B839" s="266" t="s">
        <v>253</v>
      </c>
      <c r="C839" s="266" t="s">
        <v>253</v>
      </c>
      <c r="D839" s="266"/>
      <c r="E839" s="241"/>
      <c r="F839" s="241"/>
      <c r="G839" s="241"/>
      <c r="H839" s="241"/>
      <c r="I839" s="241"/>
      <c r="J839" s="241"/>
      <c r="K839" s="277"/>
      <c r="L839" s="241"/>
      <c r="M839" s="241"/>
      <c r="N839" s="241"/>
      <c r="O839" s="241"/>
      <c r="P839" s="241"/>
      <c r="Q839" s="241"/>
      <c r="R839" s="241"/>
      <c r="S839" s="241"/>
      <c r="T839" s="241"/>
      <c r="U839" s="241"/>
      <c r="V839" s="241"/>
      <c r="W839" s="241"/>
      <c r="X839" s="259"/>
      <c r="Y839" s="268"/>
      <c r="Z839" s="268"/>
      <c r="AA839" s="268"/>
      <c r="AB839" s="268"/>
      <c r="AC839" s="268"/>
      <c r="AD839" s="268"/>
      <c r="AE839" s="268"/>
      <c r="AF839" s="268"/>
      <c r="AG839" s="268"/>
      <c r="AH839" s="268"/>
      <c r="AI839" s="268"/>
      <c r="AJ839" s="268"/>
      <c r="AK839" s="268"/>
      <c r="AL839" s="268"/>
      <c r="AM839" s="268"/>
      <c r="AN839" s="259"/>
      <c r="AO839" s="268"/>
      <c r="AP839" s="268"/>
      <c r="AQ839" s="268"/>
      <c r="AR839" s="268"/>
      <c r="AS839" s="268"/>
      <c r="AT839" s="268"/>
      <c r="AU839" s="268"/>
      <c r="AV839" s="268"/>
      <c r="AW839" s="268"/>
      <c r="AX839" s="268"/>
      <c r="AY839" s="268"/>
      <c r="AZ839" s="268"/>
      <c r="BA839" s="268"/>
      <c r="BB839" s="268"/>
      <c r="BC839" s="268"/>
      <c r="BD839" s="287"/>
      <c r="BE839" s="268"/>
    </row>
    <row r="840" customFormat="false" ht="7.5" hidden="false" customHeight="true" outlineLevel="0" collapsed="false">
      <c r="A840" s="198"/>
      <c r="B840" s="266"/>
      <c r="C840" s="266"/>
      <c r="D840" s="266"/>
      <c r="E840" s="241"/>
      <c r="F840" s="241"/>
      <c r="G840" s="241"/>
      <c r="H840" s="204"/>
      <c r="I840" s="269"/>
      <c r="J840" s="269"/>
      <c r="K840" s="277"/>
      <c r="L840" s="269"/>
      <c r="M840" s="269"/>
      <c r="N840" s="269"/>
      <c r="O840" s="269"/>
      <c r="P840" s="269"/>
      <c r="Q840" s="269"/>
      <c r="R840" s="269"/>
      <c r="S840" s="269"/>
      <c r="T840" s="269"/>
      <c r="U840" s="269"/>
      <c r="V840" s="269"/>
      <c r="W840" s="269"/>
      <c r="X840" s="259"/>
      <c r="Y840" s="271"/>
      <c r="Z840" s="271"/>
      <c r="AA840" s="271"/>
      <c r="AB840" s="271"/>
      <c r="AC840" s="271"/>
      <c r="AD840" s="271"/>
      <c r="AE840" s="271"/>
      <c r="AF840" s="271"/>
      <c r="AG840" s="271"/>
      <c r="AH840" s="271"/>
      <c r="AI840" s="271"/>
      <c r="AJ840" s="272"/>
      <c r="AK840" s="273"/>
      <c r="AL840" s="273"/>
      <c r="AM840" s="273"/>
      <c r="AN840" s="259"/>
      <c r="AO840" s="271"/>
      <c r="AP840" s="271"/>
      <c r="AQ840" s="271"/>
      <c r="AR840" s="271"/>
      <c r="AS840" s="271"/>
      <c r="AT840" s="271"/>
      <c r="AU840" s="271"/>
      <c r="AV840" s="271"/>
      <c r="AW840" s="271"/>
      <c r="AX840" s="271"/>
      <c r="AY840" s="271"/>
      <c r="AZ840" s="272"/>
      <c r="BA840" s="273"/>
      <c r="BB840" s="273"/>
      <c r="BC840" s="273"/>
      <c r="BD840" s="287"/>
      <c r="BE840" s="274"/>
    </row>
    <row r="841" customFormat="false" ht="15" hidden="false" customHeight="true" outlineLevel="0" collapsed="false">
      <c r="B841" s="333"/>
      <c r="C841" s="334"/>
      <c r="D841" s="333" t="n">
        <f aca="false">D825</f>
        <v>45292</v>
      </c>
      <c r="E841" s="277" t="n">
        <v>0</v>
      </c>
      <c r="F841" s="277" t="n">
        <v>0</v>
      </c>
      <c r="G841" s="277" t="n">
        <f aca="false">SUM(E841:F841)</f>
        <v>0</v>
      </c>
      <c r="H841" s="204"/>
      <c r="I841" s="279" t="n">
        <v>1</v>
      </c>
      <c r="J841" s="280" t="n">
        <f aca="false">1-I841</f>
        <v>0</v>
      </c>
      <c r="K841" s="277"/>
      <c r="L841" s="282"/>
      <c r="M841" s="282"/>
      <c r="N841" s="282"/>
      <c r="O841" s="282"/>
      <c r="P841" s="282"/>
      <c r="Q841" s="282"/>
      <c r="R841" s="282"/>
      <c r="S841" s="282"/>
      <c r="T841" s="282"/>
      <c r="U841" s="282"/>
      <c r="V841" s="282"/>
      <c r="W841" s="282"/>
      <c r="X841" s="268"/>
      <c r="Y841" s="284" t="n">
        <f aca="false">IFERROR(L841*$G841*I$9, "")</f>
        <v>0</v>
      </c>
      <c r="Z841" s="284" t="n">
        <f aca="false">IFERROR(M841*$G841*$I841, "")</f>
        <v>0</v>
      </c>
      <c r="AA841" s="284" t="n">
        <f aca="false">IFERROR(N841*$G841*$I841, "")</f>
        <v>0</v>
      </c>
      <c r="AB841" s="284" t="n">
        <f aca="false">IFERROR(O841*$G841*$I841, "")</f>
        <v>0</v>
      </c>
      <c r="AC841" s="284" t="n">
        <f aca="false">IFERROR(P841*$G841*$I841, "")</f>
        <v>0</v>
      </c>
      <c r="AD841" s="284" t="n">
        <f aca="false">IFERROR(Q841*$G841*$I841, "")</f>
        <v>0</v>
      </c>
      <c r="AE841" s="284" t="n">
        <f aca="false">IFERROR(R841*$G841*$I841, "")</f>
        <v>0</v>
      </c>
      <c r="AF841" s="284" t="n">
        <f aca="false">IFERROR(S841*$G841*$I841, "")</f>
        <v>0</v>
      </c>
      <c r="AG841" s="284" t="n">
        <f aca="false">IFERROR(T841*$G841*$I841, "")</f>
        <v>0</v>
      </c>
      <c r="AH841" s="284" t="n">
        <f aca="false">IFERROR(U841*$G841*$I841, "")</f>
        <v>0</v>
      </c>
      <c r="AI841" s="284" t="n">
        <f aca="false">IFERROR(V841*$G841*$I841, "")</f>
        <v>0</v>
      </c>
      <c r="AJ841" s="284" t="n">
        <f aca="false">IFERROR(W841*$G841*$I841, "")</f>
        <v>0</v>
      </c>
      <c r="AK841" s="286" t="n">
        <f aca="false">IFERROR(SUMIF($Y$4:$AJ$4, "RDEC", Y841:AJ841), "")</f>
        <v>0</v>
      </c>
      <c r="AL841" s="286" t="n">
        <f aca="false">IFERROR(SUMIF($Y$4:$AJ$4, "SME", Y841:AJ841), "")</f>
        <v>0</v>
      </c>
      <c r="AM841" s="286" t="n">
        <f aca="false">IFERROR(SUMIF($Y$4:$AJ$4, "De Minimis", Y841:AJ841), "")</f>
        <v>0</v>
      </c>
      <c r="AN841" s="268"/>
      <c r="AO841" s="284" t="n">
        <f aca="false">IFERROR($G841*$J841*L841, "")</f>
        <v>0</v>
      </c>
      <c r="AP841" s="284" t="n">
        <f aca="false">IFERROR($G841*$J841*M841, "")</f>
        <v>0</v>
      </c>
      <c r="AQ841" s="284" t="n">
        <f aca="false">IFERROR($G841*$J841*N841, "")</f>
        <v>0</v>
      </c>
      <c r="AR841" s="284" t="n">
        <f aca="false">IFERROR($G841*$J841*O841, "")</f>
        <v>0</v>
      </c>
      <c r="AS841" s="284" t="n">
        <f aca="false">IFERROR($G841*$J841*P841, "")</f>
        <v>0</v>
      </c>
      <c r="AT841" s="284" t="n">
        <f aca="false">IFERROR($G841*$J841*Q841, "")</f>
        <v>0</v>
      </c>
      <c r="AU841" s="284" t="n">
        <f aca="false">IFERROR($G841*$J841*R841, "")</f>
        <v>0</v>
      </c>
      <c r="AV841" s="284" t="n">
        <f aca="false">IFERROR($G841*$J841*S841, "")</f>
        <v>0</v>
      </c>
      <c r="AW841" s="284" t="n">
        <f aca="false">IFERROR($G841*$J841*T841, "")</f>
        <v>0</v>
      </c>
      <c r="AX841" s="284" t="n">
        <f aca="false">IFERROR($G841*$J841*U841, "")</f>
        <v>0</v>
      </c>
      <c r="AY841" s="284" t="n">
        <f aca="false">IFERROR($G841*$J841*V841, "")</f>
        <v>0</v>
      </c>
      <c r="AZ841" s="284" t="n">
        <f aca="false">IFERROR($G841*$J841*W841, "")</f>
        <v>0</v>
      </c>
      <c r="BA841" s="286" t="n">
        <f aca="false">IFERROR(SUMIF($AO$4:$AZ$4, "RDEC", AO841:AZ841), "")</f>
        <v>0</v>
      </c>
      <c r="BB841" s="286" t="n">
        <f aca="false">IFERROR(SUMIF($AO$4:$AZ$4, "SME", AO841:AZ841), "")</f>
        <v>0</v>
      </c>
      <c r="BC841" s="286" t="n">
        <f aca="false">IFERROR(SUMIF($AO$4:$AZ$4, "De Minimis", AO841:AZ841), "")</f>
        <v>0</v>
      </c>
      <c r="BD841" s="287"/>
      <c r="BE841" s="288" t="str">
        <f aca="false">IF((SUM(L841:W841)&gt;1),"ERROR","")</f>
        <v/>
      </c>
    </row>
    <row r="842" customFormat="false" ht="15" hidden="false" customHeight="true" outlineLevel="0" collapsed="false">
      <c r="B842" s="333"/>
      <c r="C842" s="334"/>
      <c r="D842" s="333" t="n">
        <f aca="false">D826</f>
        <v>45323</v>
      </c>
      <c r="E842" s="277" t="n">
        <v>0</v>
      </c>
      <c r="F842" s="277" t="n">
        <v>0</v>
      </c>
      <c r="G842" s="277" t="n">
        <f aca="false">SUM(E842:F842)</f>
        <v>0</v>
      </c>
      <c r="H842" s="204"/>
      <c r="I842" s="279" t="n">
        <v>1</v>
      </c>
      <c r="J842" s="280" t="n">
        <f aca="false">1-I842</f>
        <v>0</v>
      </c>
      <c r="K842" s="277"/>
      <c r="L842" s="282"/>
      <c r="M842" s="282"/>
      <c r="N842" s="282"/>
      <c r="O842" s="282"/>
      <c r="P842" s="282"/>
      <c r="Q842" s="282"/>
      <c r="R842" s="282"/>
      <c r="S842" s="282"/>
      <c r="T842" s="282"/>
      <c r="U842" s="282"/>
      <c r="V842" s="282"/>
      <c r="W842" s="282"/>
      <c r="X842" s="283"/>
      <c r="Y842" s="284" t="n">
        <f aca="false">IFERROR(L842*$G842*I$9, "")</f>
        <v>0</v>
      </c>
      <c r="Z842" s="284" t="n">
        <f aca="false">IFERROR(M842*$G842*$I842, "")</f>
        <v>0</v>
      </c>
      <c r="AA842" s="284" t="n">
        <f aca="false">IFERROR(N842*$G842*$I842, "")</f>
        <v>0</v>
      </c>
      <c r="AB842" s="284" t="n">
        <f aca="false">IFERROR(O842*$G842*$I842, "")</f>
        <v>0</v>
      </c>
      <c r="AC842" s="284" t="n">
        <f aca="false">IFERROR(P842*$G842*$I842, "")</f>
        <v>0</v>
      </c>
      <c r="AD842" s="284" t="n">
        <f aca="false">IFERROR(Q842*$G842*$I842, "")</f>
        <v>0</v>
      </c>
      <c r="AE842" s="284" t="n">
        <f aca="false">IFERROR(R842*$G842*$I842, "")</f>
        <v>0</v>
      </c>
      <c r="AF842" s="284" t="n">
        <f aca="false">IFERROR(S842*$G842*$I842, "")</f>
        <v>0</v>
      </c>
      <c r="AG842" s="284" t="n">
        <f aca="false">IFERROR(T842*$G842*$I842, "")</f>
        <v>0</v>
      </c>
      <c r="AH842" s="284" t="n">
        <f aca="false">IFERROR(U842*$G842*$I842, "")</f>
        <v>0</v>
      </c>
      <c r="AI842" s="284" t="n">
        <f aca="false">IFERROR(V842*$G842*$I842, "")</f>
        <v>0</v>
      </c>
      <c r="AJ842" s="284" t="n">
        <f aca="false">IFERROR(W842*$G842*$I842, "")</f>
        <v>0</v>
      </c>
      <c r="AK842" s="286" t="n">
        <f aca="false">IFERROR(SUMIF($Y$4:$AJ$4, "RDEC", Y842:AJ842), "")</f>
        <v>0</v>
      </c>
      <c r="AL842" s="286" t="n">
        <f aca="false">IFERROR(SUMIF($Y$4:$AJ$4, "SME", Y842:AJ842), "")</f>
        <v>0</v>
      </c>
      <c r="AM842" s="286" t="n">
        <f aca="false">IFERROR(SUMIF($Y$4:$AJ$4, "De Minimis", Y842:AJ842), "")</f>
        <v>0</v>
      </c>
      <c r="AN842" s="283"/>
      <c r="AO842" s="284" t="n">
        <f aca="false">IFERROR($G842*$J842*L842, "")</f>
        <v>0</v>
      </c>
      <c r="AP842" s="284" t="n">
        <f aca="false">IFERROR($G842*$J842*M842, "")</f>
        <v>0</v>
      </c>
      <c r="AQ842" s="284" t="n">
        <f aca="false">IFERROR($G842*$J842*N842, "")</f>
        <v>0</v>
      </c>
      <c r="AR842" s="284" t="n">
        <f aca="false">IFERROR($G842*$J842*O842, "")</f>
        <v>0</v>
      </c>
      <c r="AS842" s="284" t="n">
        <f aca="false">IFERROR($G842*$J842*P842, "")</f>
        <v>0</v>
      </c>
      <c r="AT842" s="284" t="n">
        <f aca="false">IFERROR($G842*$J842*Q842, "")</f>
        <v>0</v>
      </c>
      <c r="AU842" s="284" t="n">
        <f aca="false">IFERROR($G842*$J842*R842, "")</f>
        <v>0</v>
      </c>
      <c r="AV842" s="284" t="n">
        <f aca="false">IFERROR($G842*$J842*S842, "")</f>
        <v>0</v>
      </c>
      <c r="AW842" s="284" t="n">
        <f aca="false">IFERROR($G842*$J842*T842, "")</f>
        <v>0</v>
      </c>
      <c r="AX842" s="284" t="n">
        <f aca="false">IFERROR($G842*$J842*U842, "")</f>
        <v>0</v>
      </c>
      <c r="AY842" s="284" t="n">
        <f aca="false">IFERROR($G842*$J842*V842, "")</f>
        <v>0</v>
      </c>
      <c r="AZ842" s="284" t="n">
        <f aca="false">IFERROR($G842*$J842*W842, "")</f>
        <v>0</v>
      </c>
      <c r="BA842" s="286" t="n">
        <f aca="false">IFERROR(SUMIF($AO$4:$AZ$4, "RDEC", AO842:AZ842), "")</f>
        <v>0</v>
      </c>
      <c r="BB842" s="286" t="n">
        <f aca="false">IFERROR(SUMIF($AO$4:$AZ$4, "SME", AO842:AZ842), "")</f>
        <v>0</v>
      </c>
      <c r="BC842" s="286" t="n">
        <f aca="false">IFERROR(SUMIF($Y$4:$AJ$4, "De Minimis", AO842:AZ842), "")</f>
        <v>0</v>
      </c>
      <c r="BD842" s="287"/>
      <c r="BE842" s="288" t="str">
        <f aca="false">IF((SUM(L842:W842)&gt;1),"ERROR","")</f>
        <v/>
      </c>
    </row>
    <row r="843" customFormat="false" ht="15" hidden="false" customHeight="true" outlineLevel="0" collapsed="false">
      <c r="B843" s="333"/>
      <c r="C843" s="334"/>
      <c r="D843" s="333" t="n">
        <f aca="false">D827</f>
        <v>45352</v>
      </c>
      <c r="E843" s="277" t="n">
        <v>0</v>
      </c>
      <c r="F843" s="277" t="n">
        <v>0</v>
      </c>
      <c r="G843" s="277" t="n">
        <f aca="false">SUM(E843:F843)</f>
        <v>0</v>
      </c>
      <c r="H843" s="204"/>
      <c r="I843" s="279" t="n">
        <v>1</v>
      </c>
      <c r="J843" s="280" t="n">
        <f aca="false">1-I843</f>
        <v>0</v>
      </c>
      <c r="K843" s="277"/>
      <c r="L843" s="282"/>
      <c r="M843" s="282"/>
      <c r="N843" s="282"/>
      <c r="O843" s="282"/>
      <c r="P843" s="282"/>
      <c r="Q843" s="282"/>
      <c r="R843" s="282"/>
      <c r="S843" s="282"/>
      <c r="T843" s="282"/>
      <c r="U843" s="282"/>
      <c r="V843" s="282"/>
      <c r="W843" s="282"/>
      <c r="X843" s="283"/>
      <c r="Y843" s="284" t="n">
        <f aca="false">IFERROR(L843*$G843*I$9, "")</f>
        <v>0</v>
      </c>
      <c r="Z843" s="284" t="n">
        <f aca="false">IFERROR(M843*$G843*$I843, "")</f>
        <v>0</v>
      </c>
      <c r="AA843" s="284" t="n">
        <f aca="false">IFERROR(N843*$G843*$I843, "")</f>
        <v>0</v>
      </c>
      <c r="AB843" s="284" t="n">
        <f aca="false">IFERROR(O843*$G843*$I843, "")</f>
        <v>0</v>
      </c>
      <c r="AC843" s="284" t="n">
        <f aca="false">IFERROR(P843*$G843*$I843, "")</f>
        <v>0</v>
      </c>
      <c r="AD843" s="284" t="n">
        <f aca="false">IFERROR(Q843*$G843*$I843, "")</f>
        <v>0</v>
      </c>
      <c r="AE843" s="284" t="n">
        <f aca="false">IFERROR(R843*$G843*$I843, "")</f>
        <v>0</v>
      </c>
      <c r="AF843" s="284" t="n">
        <f aca="false">IFERROR(S843*$G843*$I843, "")</f>
        <v>0</v>
      </c>
      <c r="AG843" s="284" t="n">
        <f aca="false">IFERROR(T843*$G843*$I843, "")</f>
        <v>0</v>
      </c>
      <c r="AH843" s="284" t="n">
        <f aca="false">IFERROR(U843*$G843*$I843, "")</f>
        <v>0</v>
      </c>
      <c r="AI843" s="284" t="n">
        <f aca="false">IFERROR(V843*$G843*$I843, "")</f>
        <v>0</v>
      </c>
      <c r="AJ843" s="284" t="n">
        <f aca="false">IFERROR(W843*$G843*$I843, "")</f>
        <v>0</v>
      </c>
      <c r="AK843" s="286" t="n">
        <f aca="false">IFERROR(SUMIF($Y$4:$AJ$4, "RDEC", Y843:AJ843), "")</f>
        <v>0</v>
      </c>
      <c r="AL843" s="286" t="n">
        <f aca="false">IFERROR(SUMIF($Y$4:$AJ$4, "SME", Y843:AJ843), "")</f>
        <v>0</v>
      </c>
      <c r="AM843" s="286" t="n">
        <f aca="false">IFERROR(SUMIF($Y$4:$AJ$4, "De Minimis", Y843:AJ843), "")</f>
        <v>0</v>
      </c>
      <c r="AN843" s="283"/>
      <c r="AO843" s="284" t="n">
        <f aca="false">IFERROR($G843*$J843*L843, "")</f>
        <v>0</v>
      </c>
      <c r="AP843" s="284" t="n">
        <f aca="false">IFERROR($G843*$J843*M843, "")</f>
        <v>0</v>
      </c>
      <c r="AQ843" s="284" t="n">
        <f aca="false">IFERROR($G843*$J843*N843, "")</f>
        <v>0</v>
      </c>
      <c r="AR843" s="284" t="n">
        <f aca="false">IFERROR($G843*$J843*O843, "")</f>
        <v>0</v>
      </c>
      <c r="AS843" s="284" t="n">
        <f aca="false">IFERROR($G843*$J843*P843, "")</f>
        <v>0</v>
      </c>
      <c r="AT843" s="284" t="n">
        <f aca="false">IFERROR($G843*$J843*Q843, "")</f>
        <v>0</v>
      </c>
      <c r="AU843" s="284" t="n">
        <f aca="false">IFERROR($G843*$J843*R843, "")</f>
        <v>0</v>
      </c>
      <c r="AV843" s="284" t="n">
        <f aca="false">IFERROR($G843*$J843*S843, "")</f>
        <v>0</v>
      </c>
      <c r="AW843" s="284" t="n">
        <f aca="false">IFERROR($G843*$J843*T843, "")</f>
        <v>0</v>
      </c>
      <c r="AX843" s="284" t="n">
        <f aca="false">IFERROR($G843*$J843*U843, "")</f>
        <v>0</v>
      </c>
      <c r="AY843" s="284" t="n">
        <f aca="false">IFERROR($G843*$J843*V843, "")</f>
        <v>0</v>
      </c>
      <c r="AZ843" s="284" t="n">
        <f aca="false">IFERROR($G843*$J843*W843, "")</f>
        <v>0</v>
      </c>
      <c r="BA843" s="286" t="n">
        <f aca="false">IFERROR(SUMIF($AO$4:$AZ$4, "RDEC", AO843:AZ843), "")</f>
        <v>0</v>
      </c>
      <c r="BB843" s="286" t="n">
        <f aca="false">IFERROR(SUMIF($AO$4:$AZ$4, "SME", AO843:AZ843), "")</f>
        <v>0</v>
      </c>
      <c r="BC843" s="286" t="n">
        <f aca="false">IFERROR(SUMIF($Y$4:$AJ$4, "De Minimis", AO843:AZ843), "")</f>
        <v>0</v>
      </c>
      <c r="BD843" s="287"/>
      <c r="BE843" s="288" t="str">
        <f aca="false">IF((SUM(L843:W843)&gt;1),"ERROR","")</f>
        <v/>
      </c>
    </row>
    <row r="844" customFormat="false" ht="15" hidden="false" customHeight="true" outlineLevel="0" collapsed="false">
      <c r="B844" s="333"/>
      <c r="C844" s="334"/>
      <c r="D844" s="333" t="n">
        <f aca="false">D828</f>
        <v>45383</v>
      </c>
      <c r="E844" s="277" t="n">
        <v>0</v>
      </c>
      <c r="F844" s="277" t="n">
        <v>0</v>
      </c>
      <c r="G844" s="277" t="n">
        <f aca="false">SUM(E844:F844)</f>
        <v>0</v>
      </c>
      <c r="H844" s="204"/>
      <c r="I844" s="279" t="n">
        <v>1</v>
      </c>
      <c r="J844" s="280" t="n">
        <f aca="false">1-I844</f>
        <v>0</v>
      </c>
      <c r="K844" s="277"/>
      <c r="L844" s="282"/>
      <c r="M844" s="282"/>
      <c r="N844" s="282"/>
      <c r="O844" s="282"/>
      <c r="P844" s="282"/>
      <c r="Q844" s="282"/>
      <c r="R844" s="282"/>
      <c r="S844" s="282"/>
      <c r="T844" s="282"/>
      <c r="U844" s="282"/>
      <c r="V844" s="282"/>
      <c r="W844" s="282"/>
      <c r="X844" s="283"/>
      <c r="Y844" s="284" t="n">
        <f aca="false">IFERROR(L844*$G844*I$9, "")</f>
        <v>0</v>
      </c>
      <c r="Z844" s="284" t="n">
        <f aca="false">IFERROR(M844*$G844*$I844, "")</f>
        <v>0</v>
      </c>
      <c r="AA844" s="284" t="n">
        <f aca="false">IFERROR(N844*$G844*$I844, "")</f>
        <v>0</v>
      </c>
      <c r="AB844" s="284" t="n">
        <f aca="false">IFERROR(O844*$G844*$I844, "")</f>
        <v>0</v>
      </c>
      <c r="AC844" s="284" t="n">
        <f aca="false">IFERROR(P844*$G844*$I844, "")</f>
        <v>0</v>
      </c>
      <c r="AD844" s="284" t="n">
        <f aca="false">IFERROR(Q844*$G844*$I844, "")</f>
        <v>0</v>
      </c>
      <c r="AE844" s="284" t="n">
        <f aca="false">IFERROR(R844*$G844*$I844, "")</f>
        <v>0</v>
      </c>
      <c r="AF844" s="284" t="n">
        <f aca="false">IFERROR(S844*$G844*$I844, "")</f>
        <v>0</v>
      </c>
      <c r="AG844" s="284" t="n">
        <f aca="false">IFERROR(T844*$G844*$I844, "")</f>
        <v>0</v>
      </c>
      <c r="AH844" s="284" t="n">
        <f aca="false">IFERROR(U844*$G844*$I844, "")</f>
        <v>0</v>
      </c>
      <c r="AI844" s="284" t="n">
        <f aca="false">IFERROR(V844*$G844*$I844, "")</f>
        <v>0</v>
      </c>
      <c r="AJ844" s="284" t="n">
        <f aca="false">IFERROR(W844*$G844*$I844, "")</f>
        <v>0</v>
      </c>
      <c r="AK844" s="286" t="n">
        <f aca="false">IFERROR(SUMIF($Y$4:$AJ$4, "RDEC", Y844:AJ844), "")</f>
        <v>0</v>
      </c>
      <c r="AL844" s="286" t="n">
        <f aca="false">IFERROR(SUMIF($Y$4:$AJ$4, "SME", Y844:AJ844), "")</f>
        <v>0</v>
      </c>
      <c r="AM844" s="286" t="n">
        <f aca="false">IFERROR(SUMIF($Y$4:$AJ$4, "De Minimis", Y844:AJ844), "")</f>
        <v>0</v>
      </c>
      <c r="AN844" s="283"/>
      <c r="AO844" s="284" t="n">
        <f aca="false">IFERROR($G844*$J844*L844, "")</f>
        <v>0</v>
      </c>
      <c r="AP844" s="284" t="n">
        <f aca="false">IFERROR($G844*$J844*M844, "")</f>
        <v>0</v>
      </c>
      <c r="AQ844" s="284" t="n">
        <f aca="false">IFERROR($G844*$J844*N844, "")</f>
        <v>0</v>
      </c>
      <c r="AR844" s="284" t="n">
        <f aca="false">IFERROR($G844*$J844*O844, "")</f>
        <v>0</v>
      </c>
      <c r="AS844" s="284" t="n">
        <f aca="false">IFERROR($G844*$J844*P844, "")</f>
        <v>0</v>
      </c>
      <c r="AT844" s="284" t="n">
        <f aca="false">IFERROR($G844*$J844*Q844, "")</f>
        <v>0</v>
      </c>
      <c r="AU844" s="284" t="n">
        <f aca="false">IFERROR($G844*$J844*R844, "")</f>
        <v>0</v>
      </c>
      <c r="AV844" s="284" t="n">
        <f aca="false">IFERROR($G844*$J844*S844, "")</f>
        <v>0</v>
      </c>
      <c r="AW844" s="284" t="n">
        <f aca="false">IFERROR($G844*$J844*T844, "")</f>
        <v>0</v>
      </c>
      <c r="AX844" s="284" t="n">
        <f aca="false">IFERROR($G844*$J844*U844, "")</f>
        <v>0</v>
      </c>
      <c r="AY844" s="284" t="n">
        <f aca="false">IFERROR($G844*$J844*V844, "")</f>
        <v>0</v>
      </c>
      <c r="AZ844" s="284" t="n">
        <f aca="false">IFERROR($G844*$J844*W844, "")</f>
        <v>0</v>
      </c>
      <c r="BA844" s="286" t="n">
        <f aca="false">IFERROR(SUMIF($AO$4:$AZ$4, "RDEC", AO844:AZ844), "")</f>
        <v>0</v>
      </c>
      <c r="BB844" s="286" t="n">
        <f aca="false">IFERROR(SUMIF($AO$4:$AZ$4, "SME", AO844:AZ844), "")</f>
        <v>0</v>
      </c>
      <c r="BC844" s="286" t="n">
        <f aca="false">IFERROR(SUMIF($Y$4:$AJ$4, "De Minimis", AO844:AZ844), "")</f>
        <v>0</v>
      </c>
      <c r="BD844" s="287"/>
      <c r="BE844" s="288" t="str">
        <f aca="false">IF((SUM(L844:W844)&gt;1),"ERROR","")</f>
        <v/>
      </c>
    </row>
    <row r="845" customFormat="false" ht="15" hidden="false" customHeight="true" outlineLevel="0" collapsed="false">
      <c r="B845" s="333"/>
      <c r="C845" s="334"/>
      <c r="D845" s="333" t="n">
        <f aca="false">D829</f>
        <v>45413</v>
      </c>
      <c r="E845" s="277" t="n">
        <v>0</v>
      </c>
      <c r="F845" s="277" t="n">
        <v>0</v>
      </c>
      <c r="G845" s="277" t="n">
        <f aca="false">SUM(E845:F845)</f>
        <v>0</v>
      </c>
      <c r="H845" s="204"/>
      <c r="I845" s="279" t="n">
        <v>1</v>
      </c>
      <c r="J845" s="280" t="n">
        <f aca="false">1-I845</f>
        <v>0</v>
      </c>
      <c r="K845" s="277"/>
      <c r="L845" s="282"/>
      <c r="M845" s="282"/>
      <c r="N845" s="282"/>
      <c r="O845" s="282"/>
      <c r="P845" s="282"/>
      <c r="Q845" s="282"/>
      <c r="R845" s="282"/>
      <c r="S845" s="282"/>
      <c r="T845" s="282"/>
      <c r="U845" s="282"/>
      <c r="V845" s="282"/>
      <c r="W845" s="282"/>
      <c r="X845" s="283"/>
      <c r="Y845" s="284" t="n">
        <f aca="false">IFERROR(L845*$G845*I$9, "")</f>
        <v>0</v>
      </c>
      <c r="Z845" s="284" t="n">
        <f aca="false">IFERROR(M845*$G845*$I845, "")</f>
        <v>0</v>
      </c>
      <c r="AA845" s="284" t="n">
        <f aca="false">IFERROR(N845*$G845*$I845, "")</f>
        <v>0</v>
      </c>
      <c r="AB845" s="284" t="n">
        <f aca="false">IFERROR(O845*$G845*$I845, "")</f>
        <v>0</v>
      </c>
      <c r="AC845" s="284" t="n">
        <f aca="false">IFERROR(P845*$G845*$I845, "")</f>
        <v>0</v>
      </c>
      <c r="AD845" s="284" t="n">
        <f aca="false">IFERROR(Q845*$G845*$I845, "")</f>
        <v>0</v>
      </c>
      <c r="AE845" s="284" t="n">
        <f aca="false">IFERROR(R845*$G845*$I845, "")</f>
        <v>0</v>
      </c>
      <c r="AF845" s="284" t="n">
        <f aca="false">IFERROR(S845*$G845*$I845, "")</f>
        <v>0</v>
      </c>
      <c r="AG845" s="284" t="n">
        <f aca="false">IFERROR(T845*$G845*$I845, "")</f>
        <v>0</v>
      </c>
      <c r="AH845" s="284" t="n">
        <f aca="false">IFERROR(U845*$G845*$I845, "")</f>
        <v>0</v>
      </c>
      <c r="AI845" s="284" t="n">
        <f aca="false">IFERROR(V845*$G845*$I845, "")</f>
        <v>0</v>
      </c>
      <c r="AJ845" s="284" t="n">
        <f aca="false">IFERROR(W845*$G845*$I845, "")</f>
        <v>0</v>
      </c>
      <c r="AK845" s="286" t="n">
        <f aca="false">IFERROR(SUMIF($Y$4:$AJ$4, "RDEC", Y845:AJ845), "")</f>
        <v>0</v>
      </c>
      <c r="AL845" s="286" t="n">
        <f aca="false">IFERROR(SUMIF($Y$4:$AJ$4, "SME", Y845:AJ845), "")</f>
        <v>0</v>
      </c>
      <c r="AM845" s="286" t="n">
        <f aca="false">IFERROR(SUMIF($Y$4:$AJ$4, "De Minimis", Y845:AJ845), "")</f>
        <v>0</v>
      </c>
      <c r="AN845" s="283"/>
      <c r="AO845" s="284" t="n">
        <f aca="false">IFERROR($G845*$J845*L845, "")</f>
        <v>0</v>
      </c>
      <c r="AP845" s="284" t="n">
        <f aca="false">IFERROR($G845*$J845*M845, "")</f>
        <v>0</v>
      </c>
      <c r="AQ845" s="284" t="n">
        <f aca="false">IFERROR($G845*$J845*N845, "")</f>
        <v>0</v>
      </c>
      <c r="AR845" s="284" t="n">
        <f aca="false">IFERROR($G845*$J845*O845, "")</f>
        <v>0</v>
      </c>
      <c r="AS845" s="284" t="n">
        <f aca="false">IFERROR($G845*$J845*P845, "")</f>
        <v>0</v>
      </c>
      <c r="AT845" s="284" t="n">
        <f aca="false">IFERROR($G845*$J845*Q845, "")</f>
        <v>0</v>
      </c>
      <c r="AU845" s="284" t="n">
        <f aca="false">IFERROR($G845*$J845*R845, "")</f>
        <v>0</v>
      </c>
      <c r="AV845" s="284" t="n">
        <f aca="false">IFERROR($G845*$J845*S845, "")</f>
        <v>0</v>
      </c>
      <c r="AW845" s="284" t="n">
        <f aca="false">IFERROR($G845*$J845*T845, "")</f>
        <v>0</v>
      </c>
      <c r="AX845" s="284" t="n">
        <f aca="false">IFERROR($G845*$J845*U845, "")</f>
        <v>0</v>
      </c>
      <c r="AY845" s="284" t="n">
        <f aca="false">IFERROR($G845*$J845*V845, "")</f>
        <v>0</v>
      </c>
      <c r="AZ845" s="284" t="n">
        <f aca="false">IFERROR($G845*$J845*W845, "")</f>
        <v>0</v>
      </c>
      <c r="BA845" s="286" t="n">
        <f aca="false">IFERROR(SUMIF($AO$4:$AZ$4, "RDEC", AO845:AZ845), "")</f>
        <v>0</v>
      </c>
      <c r="BB845" s="286" t="n">
        <f aca="false">IFERROR(SUMIF($AO$4:$AZ$4, "SME", AO845:AZ845), "")</f>
        <v>0</v>
      </c>
      <c r="BC845" s="286" t="n">
        <f aca="false">IFERROR(SUMIF($Y$4:$AJ$4, "De Minimis", AO845:AZ845), "")</f>
        <v>0</v>
      </c>
      <c r="BD845" s="287"/>
      <c r="BE845" s="288" t="str">
        <f aca="false">IF((SUM(L845:W845)&gt;1),"ERROR","")</f>
        <v/>
      </c>
    </row>
    <row r="846" customFormat="false" ht="15" hidden="false" customHeight="true" outlineLevel="0" collapsed="false">
      <c r="B846" s="333"/>
      <c r="C846" s="334"/>
      <c r="D846" s="333" t="n">
        <f aca="false">D830</f>
        <v>45444</v>
      </c>
      <c r="E846" s="277" t="n">
        <v>0</v>
      </c>
      <c r="F846" s="277" t="n">
        <v>0</v>
      </c>
      <c r="G846" s="277" t="n">
        <f aca="false">SUM(E846:F846)</f>
        <v>0</v>
      </c>
      <c r="H846" s="204"/>
      <c r="I846" s="279" t="n">
        <v>1</v>
      </c>
      <c r="J846" s="280" t="n">
        <f aca="false">1-I846</f>
        <v>0</v>
      </c>
      <c r="K846" s="277"/>
      <c r="L846" s="282"/>
      <c r="M846" s="282"/>
      <c r="N846" s="282"/>
      <c r="O846" s="282"/>
      <c r="P846" s="282"/>
      <c r="Q846" s="282"/>
      <c r="R846" s="282"/>
      <c r="S846" s="282"/>
      <c r="T846" s="282"/>
      <c r="U846" s="282"/>
      <c r="V846" s="282"/>
      <c r="W846" s="282"/>
      <c r="X846" s="283"/>
      <c r="Y846" s="284" t="n">
        <f aca="false">IFERROR(L846*$G846*I$9, "")</f>
        <v>0</v>
      </c>
      <c r="Z846" s="284" t="n">
        <f aca="false">IFERROR(M846*$G846*$I846, "")</f>
        <v>0</v>
      </c>
      <c r="AA846" s="284" t="n">
        <f aca="false">IFERROR(N846*$G846*$I846, "")</f>
        <v>0</v>
      </c>
      <c r="AB846" s="284" t="n">
        <f aca="false">IFERROR(O846*$G846*$I846, "")</f>
        <v>0</v>
      </c>
      <c r="AC846" s="284" t="n">
        <f aca="false">IFERROR(P846*$G846*$I846, "")</f>
        <v>0</v>
      </c>
      <c r="AD846" s="284" t="n">
        <f aca="false">IFERROR(Q846*$G846*$I846, "")</f>
        <v>0</v>
      </c>
      <c r="AE846" s="284" t="n">
        <f aca="false">IFERROR(R846*$G846*$I846, "")</f>
        <v>0</v>
      </c>
      <c r="AF846" s="284" t="n">
        <f aca="false">IFERROR(S846*$G846*$I846, "")</f>
        <v>0</v>
      </c>
      <c r="AG846" s="284" t="n">
        <f aca="false">IFERROR(T846*$G846*$I846, "")</f>
        <v>0</v>
      </c>
      <c r="AH846" s="284" t="n">
        <f aca="false">IFERROR(U846*$G846*$I846, "")</f>
        <v>0</v>
      </c>
      <c r="AI846" s="284" t="n">
        <f aca="false">IFERROR(V846*$G846*$I846, "")</f>
        <v>0</v>
      </c>
      <c r="AJ846" s="284" t="n">
        <f aca="false">IFERROR(W846*$G846*$I846, "")</f>
        <v>0</v>
      </c>
      <c r="AK846" s="286" t="n">
        <f aca="false">IFERROR(SUMIF($Y$4:$AJ$4, "RDEC", Y846:AJ846), "")</f>
        <v>0</v>
      </c>
      <c r="AL846" s="286" t="n">
        <f aca="false">IFERROR(SUMIF($Y$4:$AJ$4, "SME", Y846:AJ846), "")</f>
        <v>0</v>
      </c>
      <c r="AM846" s="286" t="n">
        <f aca="false">IFERROR(SUMIF($Y$4:$AJ$4, "De Minimis", Y846:AJ846), "")</f>
        <v>0</v>
      </c>
      <c r="AN846" s="283"/>
      <c r="AO846" s="284" t="n">
        <f aca="false">IFERROR($G846*$J846*L846, "")</f>
        <v>0</v>
      </c>
      <c r="AP846" s="284" t="n">
        <f aca="false">IFERROR($G846*$J846*M846, "")</f>
        <v>0</v>
      </c>
      <c r="AQ846" s="284" t="n">
        <f aca="false">IFERROR($G846*$J846*N846, "")</f>
        <v>0</v>
      </c>
      <c r="AR846" s="284" t="n">
        <f aca="false">IFERROR($G846*$J846*O846, "")</f>
        <v>0</v>
      </c>
      <c r="AS846" s="284" t="n">
        <f aca="false">IFERROR($G846*$J846*P846, "")</f>
        <v>0</v>
      </c>
      <c r="AT846" s="284" t="n">
        <f aca="false">IFERROR($G846*$J846*Q846, "")</f>
        <v>0</v>
      </c>
      <c r="AU846" s="284" t="n">
        <f aca="false">IFERROR($G846*$J846*R846, "")</f>
        <v>0</v>
      </c>
      <c r="AV846" s="284" t="n">
        <f aca="false">IFERROR($G846*$J846*S846, "")</f>
        <v>0</v>
      </c>
      <c r="AW846" s="284" t="n">
        <f aca="false">IFERROR($G846*$J846*T846, "")</f>
        <v>0</v>
      </c>
      <c r="AX846" s="284" t="n">
        <f aca="false">IFERROR($G846*$J846*U846, "")</f>
        <v>0</v>
      </c>
      <c r="AY846" s="284" t="n">
        <f aca="false">IFERROR($G846*$J846*V846, "")</f>
        <v>0</v>
      </c>
      <c r="AZ846" s="284" t="n">
        <f aca="false">IFERROR($G846*$J846*W846, "")</f>
        <v>0</v>
      </c>
      <c r="BA846" s="286" t="n">
        <f aca="false">IFERROR(SUMIF($AO$4:$AZ$4, "RDEC", AO846:AZ846), "")</f>
        <v>0</v>
      </c>
      <c r="BB846" s="286" t="n">
        <f aca="false">IFERROR(SUMIF($AO$4:$AZ$4, "SME", AO846:AZ846), "")</f>
        <v>0</v>
      </c>
      <c r="BC846" s="286" t="n">
        <f aca="false">IFERROR(SUMIF($Y$4:$AJ$4, "De Minimis", AO846:AZ846), "")</f>
        <v>0</v>
      </c>
      <c r="BD846" s="287"/>
      <c r="BE846" s="288" t="str">
        <f aca="false">IF((SUM(L846:W846)&gt;1),"ERROR","")</f>
        <v/>
      </c>
    </row>
    <row r="847" customFormat="false" ht="15" hidden="false" customHeight="true" outlineLevel="0" collapsed="false">
      <c r="B847" s="333"/>
      <c r="C847" s="334"/>
      <c r="D847" s="333" t="n">
        <f aca="false">D831</f>
        <v>45474</v>
      </c>
      <c r="E847" s="277" t="n">
        <v>0</v>
      </c>
      <c r="F847" s="277" t="n">
        <v>0</v>
      </c>
      <c r="G847" s="277" t="n">
        <f aca="false">SUM(E847:F847)</f>
        <v>0</v>
      </c>
      <c r="H847" s="204"/>
      <c r="I847" s="279" t="n">
        <v>1</v>
      </c>
      <c r="J847" s="280" t="n">
        <f aca="false">1-I847</f>
        <v>0</v>
      </c>
      <c r="K847" s="277"/>
      <c r="L847" s="282"/>
      <c r="M847" s="282"/>
      <c r="N847" s="282"/>
      <c r="O847" s="282"/>
      <c r="P847" s="282"/>
      <c r="Q847" s="282"/>
      <c r="R847" s="282"/>
      <c r="S847" s="282"/>
      <c r="T847" s="282"/>
      <c r="U847" s="282"/>
      <c r="V847" s="282"/>
      <c r="W847" s="282"/>
      <c r="X847" s="283"/>
      <c r="Y847" s="284" t="n">
        <f aca="false">IFERROR(L847*$G847*I$9, "")</f>
        <v>0</v>
      </c>
      <c r="Z847" s="284" t="n">
        <f aca="false">IFERROR(M847*$G847*$I847, "")</f>
        <v>0</v>
      </c>
      <c r="AA847" s="284" t="n">
        <f aca="false">IFERROR(N847*$G847*$I847, "")</f>
        <v>0</v>
      </c>
      <c r="AB847" s="284" t="n">
        <f aca="false">IFERROR(O847*$G847*$I847, "")</f>
        <v>0</v>
      </c>
      <c r="AC847" s="284" t="n">
        <f aca="false">IFERROR(P847*$G847*$I847, "")</f>
        <v>0</v>
      </c>
      <c r="AD847" s="284" t="n">
        <f aca="false">IFERROR(Q847*$G847*$I847, "")</f>
        <v>0</v>
      </c>
      <c r="AE847" s="284" t="n">
        <f aca="false">IFERROR(R847*$G847*$I847, "")</f>
        <v>0</v>
      </c>
      <c r="AF847" s="284" t="n">
        <f aca="false">IFERROR(S847*$G847*$I847, "")</f>
        <v>0</v>
      </c>
      <c r="AG847" s="284" t="n">
        <f aca="false">IFERROR(T847*$G847*$I847, "")</f>
        <v>0</v>
      </c>
      <c r="AH847" s="284" t="n">
        <f aca="false">IFERROR(U847*$G847*$I847, "")</f>
        <v>0</v>
      </c>
      <c r="AI847" s="284" t="n">
        <f aca="false">IFERROR(V847*$G847*$I847, "")</f>
        <v>0</v>
      </c>
      <c r="AJ847" s="284" t="n">
        <f aca="false">IFERROR(W847*$G847*$I847, "")</f>
        <v>0</v>
      </c>
      <c r="AK847" s="286" t="n">
        <f aca="false">IFERROR(SUMIF($Y$4:$AJ$4, "RDEC", Y847:AJ847), "")</f>
        <v>0</v>
      </c>
      <c r="AL847" s="286" t="n">
        <f aca="false">IFERROR(SUMIF($Y$4:$AJ$4, "SME", Y847:AJ847), "")</f>
        <v>0</v>
      </c>
      <c r="AM847" s="286" t="n">
        <f aca="false">IFERROR(SUMIF($Y$4:$AJ$4, "De Minimis", Y847:AJ847), "")</f>
        <v>0</v>
      </c>
      <c r="AN847" s="283"/>
      <c r="AO847" s="284" t="n">
        <f aca="false">IFERROR($G847*$J847*L847, "")</f>
        <v>0</v>
      </c>
      <c r="AP847" s="284" t="n">
        <f aca="false">IFERROR($G847*$J847*M847, "")</f>
        <v>0</v>
      </c>
      <c r="AQ847" s="284" t="n">
        <f aca="false">IFERROR($G847*$J847*N847, "")</f>
        <v>0</v>
      </c>
      <c r="AR847" s="284" t="n">
        <f aca="false">IFERROR($G847*$J847*O847, "")</f>
        <v>0</v>
      </c>
      <c r="AS847" s="284" t="n">
        <f aca="false">IFERROR($G847*$J847*P847, "")</f>
        <v>0</v>
      </c>
      <c r="AT847" s="284" t="n">
        <f aca="false">IFERROR($G847*$J847*Q847, "")</f>
        <v>0</v>
      </c>
      <c r="AU847" s="284" t="n">
        <f aca="false">IFERROR($G847*$J847*R847, "")</f>
        <v>0</v>
      </c>
      <c r="AV847" s="284" t="n">
        <f aca="false">IFERROR($G847*$J847*S847, "")</f>
        <v>0</v>
      </c>
      <c r="AW847" s="284" t="n">
        <f aca="false">IFERROR($G847*$J847*T847, "")</f>
        <v>0</v>
      </c>
      <c r="AX847" s="284" t="n">
        <f aca="false">IFERROR($G847*$J847*U847, "")</f>
        <v>0</v>
      </c>
      <c r="AY847" s="284" t="n">
        <f aca="false">IFERROR($G847*$J847*V847, "")</f>
        <v>0</v>
      </c>
      <c r="AZ847" s="284" t="n">
        <f aca="false">IFERROR($G847*$J847*W847, "")</f>
        <v>0</v>
      </c>
      <c r="BA847" s="286" t="n">
        <f aca="false">IFERROR(SUMIF($AO$4:$AZ$4, "RDEC", AO847:AZ847), "")</f>
        <v>0</v>
      </c>
      <c r="BB847" s="286" t="n">
        <f aca="false">IFERROR(SUMIF($AO$4:$AZ$4, "SME", AO847:AZ847), "")</f>
        <v>0</v>
      </c>
      <c r="BC847" s="286" t="n">
        <f aca="false">IFERROR(SUMIF($Y$4:$AJ$4, "De Minimis", AO847:AZ847), "")</f>
        <v>0</v>
      </c>
      <c r="BD847" s="287"/>
      <c r="BE847" s="288" t="str">
        <f aca="false">IF((SUM(L847:W847)&gt;1),"ERROR","")</f>
        <v/>
      </c>
    </row>
    <row r="848" customFormat="false" ht="15" hidden="false" customHeight="true" outlineLevel="0" collapsed="false">
      <c r="B848" s="333"/>
      <c r="C848" s="334"/>
      <c r="D848" s="333" t="n">
        <f aca="false">D832</f>
        <v>45505</v>
      </c>
      <c r="E848" s="277" t="n">
        <v>0</v>
      </c>
      <c r="F848" s="277" t="n">
        <v>0</v>
      </c>
      <c r="G848" s="277" t="n">
        <f aca="false">SUM(E848:F848)</f>
        <v>0</v>
      </c>
      <c r="H848" s="204"/>
      <c r="I848" s="279" t="n">
        <v>1</v>
      </c>
      <c r="J848" s="280" t="n">
        <f aca="false">1-I848</f>
        <v>0</v>
      </c>
      <c r="K848" s="277"/>
      <c r="L848" s="282"/>
      <c r="M848" s="282"/>
      <c r="N848" s="282"/>
      <c r="O848" s="282"/>
      <c r="P848" s="282"/>
      <c r="Q848" s="282"/>
      <c r="R848" s="282"/>
      <c r="S848" s="282"/>
      <c r="T848" s="282"/>
      <c r="U848" s="282"/>
      <c r="V848" s="282"/>
      <c r="W848" s="282"/>
      <c r="X848" s="283"/>
      <c r="Y848" s="284" t="n">
        <f aca="false">IFERROR(L848*$G848*I$9, "")</f>
        <v>0</v>
      </c>
      <c r="Z848" s="284" t="n">
        <f aca="false">IFERROR(M848*$G848*$I848, "")</f>
        <v>0</v>
      </c>
      <c r="AA848" s="284" t="n">
        <f aca="false">IFERROR(N848*$G848*$I848, "")</f>
        <v>0</v>
      </c>
      <c r="AB848" s="284" t="n">
        <f aca="false">IFERROR(O848*$G848*$I848, "")</f>
        <v>0</v>
      </c>
      <c r="AC848" s="284" t="n">
        <f aca="false">IFERROR(P848*$G848*$I848, "")</f>
        <v>0</v>
      </c>
      <c r="AD848" s="284" t="n">
        <f aca="false">IFERROR(Q848*$G848*$I848, "")</f>
        <v>0</v>
      </c>
      <c r="AE848" s="284" t="n">
        <f aca="false">IFERROR(R848*$G848*$I848, "")</f>
        <v>0</v>
      </c>
      <c r="AF848" s="284" t="n">
        <f aca="false">IFERROR(S848*$G848*$I848, "")</f>
        <v>0</v>
      </c>
      <c r="AG848" s="284" t="n">
        <f aca="false">IFERROR(T848*$G848*$I848, "")</f>
        <v>0</v>
      </c>
      <c r="AH848" s="284" t="n">
        <f aca="false">IFERROR(U848*$G848*$I848, "")</f>
        <v>0</v>
      </c>
      <c r="AI848" s="284" t="n">
        <f aca="false">IFERROR(V848*$G848*$I848, "")</f>
        <v>0</v>
      </c>
      <c r="AJ848" s="284" t="n">
        <f aca="false">IFERROR(W848*$G848*$I848, "")</f>
        <v>0</v>
      </c>
      <c r="AK848" s="286" t="n">
        <f aca="false">IFERROR(SUMIF($Y$4:$AJ$4, "RDEC", Y848:AJ848), "")</f>
        <v>0</v>
      </c>
      <c r="AL848" s="286" t="n">
        <f aca="false">IFERROR(SUMIF($Y$4:$AJ$4, "SME", Y848:AJ848), "")</f>
        <v>0</v>
      </c>
      <c r="AM848" s="286" t="n">
        <f aca="false">IFERROR(SUMIF($Y$4:$AJ$4, "De Minimis", Y848:AJ848), "")</f>
        <v>0</v>
      </c>
      <c r="AN848" s="283"/>
      <c r="AO848" s="284" t="n">
        <f aca="false">IFERROR($G848*$J848*L848, "")</f>
        <v>0</v>
      </c>
      <c r="AP848" s="284" t="n">
        <f aca="false">IFERROR($G848*$J848*M848, "")</f>
        <v>0</v>
      </c>
      <c r="AQ848" s="284" t="n">
        <f aca="false">IFERROR($G848*$J848*N848, "")</f>
        <v>0</v>
      </c>
      <c r="AR848" s="284" t="n">
        <f aca="false">IFERROR($G848*$J848*O848, "")</f>
        <v>0</v>
      </c>
      <c r="AS848" s="284" t="n">
        <f aca="false">IFERROR($G848*$J848*P848, "")</f>
        <v>0</v>
      </c>
      <c r="AT848" s="284" t="n">
        <f aca="false">IFERROR($G848*$J848*Q848, "")</f>
        <v>0</v>
      </c>
      <c r="AU848" s="284" t="n">
        <f aca="false">IFERROR($G848*$J848*R848, "")</f>
        <v>0</v>
      </c>
      <c r="AV848" s="284" t="n">
        <f aca="false">IFERROR($G848*$J848*S848, "")</f>
        <v>0</v>
      </c>
      <c r="AW848" s="284" t="n">
        <f aca="false">IFERROR($G848*$J848*T848, "")</f>
        <v>0</v>
      </c>
      <c r="AX848" s="284" t="n">
        <f aca="false">IFERROR($G848*$J848*U848, "")</f>
        <v>0</v>
      </c>
      <c r="AY848" s="284" t="n">
        <f aca="false">IFERROR($G848*$J848*V848, "")</f>
        <v>0</v>
      </c>
      <c r="AZ848" s="284" t="n">
        <f aca="false">IFERROR($G848*$J848*W848, "")</f>
        <v>0</v>
      </c>
      <c r="BA848" s="286" t="n">
        <f aca="false">IFERROR(SUMIF($AO$4:$AZ$4, "RDEC", AO848:AZ848), "")</f>
        <v>0</v>
      </c>
      <c r="BB848" s="286" t="n">
        <f aca="false">IFERROR(SUMIF($AO$4:$AZ$4, "SME", AO848:AZ848), "")</f>
        <v>0</v>
      </c>
      <c r="BC848" s="286" t="n">
        <f aca="false">IFERROR(SUMIF($Y$4:$AJ$4, "De Minimis", AO848:AZ848), "")</f>
        <v>0</v>
      </c>
      <c r="BD848" s="287"/>
      <c r="BE848" s="288" t="str">
        <f aca="false">IF((SUM(L848:W848)&gt;1),"ERROR","")</f>
        <v/>
      </c>
    </row>
    <row r="849" customFormat="false" ht="15" hidden="false" customHeight="true" outlineLevel="0" collapsed="false">
      <c r="B849" s="333"/>
      <c r="C849" s="334"/>
      <c r="D849" s="333" t="n">
        <f aca="false">D833</f>
        <v>45536</v>
      </c>
      <c r="E849" s="277" t="n">
        <v>0</v>
      </c>
      <c r="F849" s="277" t="n">
        <v>0</v>
      </c>
      <c r="G849" s="277" t="n">
        <f aca="false">SUM(E849:F849)</f>
        <v>0</v>
      </c>
      <c r="H849" s="204"/>
      <c r="I849" s="279" t="n">
        <v>1</v>
      </c>
      <c r="J849" s="280" t="n">
        <f aca="false">1-I849</f>
        <v>0</v>
      </c>
      <c r="K849" s="277"/>
      <c r="L849" s="282"/>
      <c r="M849" s="282"/>
      <c r="N849" s="282"/>
      <c r="O849" s="282"/>
      <c r="P849" s="282"/>
      <c r="Q849" s="282"/>
      <c r="R849" s="282"/>
      <c r="S849" s="282"/>
      <c r="T849" s="282"/>
      <c r="U849" s="282"/>
      <c r="V849" s="282"/>
      <c r="W849" s="282"/>
      <c r="X849" s="283"/>
      <c r="Y849" s="284" t="n">
        <f aca="false">IFERROR(L849*$G849*I$9, "")</f>
        <v>0</v>
      </c>
      <c r="Z849" s="284" t="n">
        <f aca="false">IFERROR(M849*$G849*$I849, "")</f>
        <v>0</v>
      </c>
      <c r="AA849" s="284" t="n">
        <f aca="false">IFERROR(N849*$G849*$I849, "")</f>
        <v>0</v>
      </c>
      <c r="AB849" s="284" t="n">
        <f aca="false">IFERROR(O849*$G849*$I849, "")</f>
        <v>0</v>
      </c>
      <c r="AC849" s="284" t="n">
        <f aca="false">IFERROR(P849*$G849*$I849, "")</f>
        <v>0</v>
      </c>
      <c r="AD849" s="284" t="n">
        <f aca="false">IFERROR(Q849*$G849*$I849, "")</f>
        <v>0</v>
      </c>
      <c r="AE849" s="284" t="n">
        <f aca="false">IFERROR(R849*$G849*$I849, "")</f>
        <v>0</v>
      </c>
      <c r="AF849" s="284" t="n">
        <f aca="false">IFERROR(S849*$G849*$I849, "")</f>
        <v>0</v>
      </c>
      <c r="AG849" s="284" t="n">
        <f aca="false">IFERROR(T849*$G849*$I849, "")</f>
        <v>0</v>
      </c>
      <c r="AH849" s="284" t="n">
        <f aca="false">IFERROR(U849*$G849*$I849, "")</f>
        <v>0</v>
      </c>
      <c r="AI849" s="284" t="n">
        <f aca="false">IFERROR(V849*$G849*$I849, "")</f>
        <v>0</v>
      </c>
      <c r="AJ849" s="284" t="n">
        <f aca="false">IFERROR(W849*$G849*$I849, "")</f>
        <v>0</v>
      </c>
      <c r="AK849" s="286" t="n">
        <f aca="false">IFERROR(SUMIF($Y$4:$AJ$4, "RDEC", Y849:AJ849), "")</f>
        <v>0</v>
      </c>
      <c r="AL849" s="286" t="n">
        <f aca="false">IFERROR(SUMIF($Y$4:$AJ$4, "SME", Y849:AJ849), "")</f>
        <v>0</v>
      </c>
      <c r="AM849" s="286" t="n">
        <f aca="false">IFERROR(SUMIF($Y$4:$AJ$4, "De Minimis", Y849:AJ849), "")</f>
        <v>0</v>
      </c>
      <c r="AN849" s="283"/>
      <c r="AO849" s="284" t="n">
        <f aca="false">IFERROR($G849*$J849*L849, "")</f>
        <v>0</v>
      </c>
      <c r="AP849" s="284" t="n">
        <f aca="false">IFERROR($G849*$J849*M849, "")</f>
        <v>0</v>
      </c>
      <c r="AQ849" s="284" t="n">
        <f aca="false">IFERROR($G849*$J849*N849, "")</f>
        <v>0</v>
      </c>
      <c r="AR849" s="284" t="n">
        <f aca="false">IFERROR($G849*$J849*O849, "")</f>
        <v>0</v>
      </c>
      <c r="AS849" s="284" t="n">
        <f aca="false">IFERROR($G849*$J849*P849, "")</f>
        <v>0</v>
      </c>
      <c r="AT849" s="284" t="n">
        <f aca="false">IFERROR($G849*$J849*Q849, "")</f>
        <v>0</v>
      </c>
      <c r="AU849" s="284" t="n">
        <f aca="false">IFERROR($G849*$J849*R849, "")</f>
        <v>0</v>
      </c>
      <c r="AV849" s="284" t="n">
        <f aca="false">IFERROR($G849*$J849*S849, "")</f>
        <v>0</v>
      </c>
      <c r="AW849" s="284" t="n">
        <f aca="false">IFERROR($G849*$J849*T849, "")</f>
        <v>0</v>
      </c>
      <c r="AX849" s="284" t="n">
        <f aca="false">IFERROR($G849*$J849*U849, "")</f>
        <v>0</v>
      </c>
      <c r="AY849" s="284" t="n">
        <f aca="false">IFERROR($G849*$J849*V849, "")</f>
        <v>0</v>
      </c>
      <c r="AZ849" s="284" t="n">
        <f aca="false">IFERROR($G849*$J849*W849, "")</f>
        <v>0</v>
      </c>
      <c r="BA849" s="286" t="n">
        <f aca="false">IFERROR(SUMIF($AO$4:$AZ$4, "RDEC", AO849:AZ849), "")</f>
        <v>0</v>
      </c>
      <c r="BB849" s="286" t="n">
        <f aca="false">IFERROR(SUMIF($AO$4:$AZ$4, "SME", AO849:AZ849), "")</f>
        <v>0</v>
      </c>
      <c r="BC849" s="286" t="n">
        <f aca="false">IFERROR(SUMIF($Y$4:$AJ$4, "De Minimis", AO849:AZ849), "")</f>
        <v>0</v>
      </c>
      <c r="BD849" s="287"/>
      <c r="BE849" s="288" t="str">
        <f aca="false">IF((SUM(L849:W849)&gt;1),"ERROR","")</f>
        <v/>
      </c>
    </row>
    <row r="850" customFormat="false" ht="15" hidden="false" customHeight="true" outlineLevel="0" collapsed="false">
      <c r="B850" s="333"/>
      <c r="C850" s="334"/>
      <c r="D850" s="333" t="n">
        <f aca="false">D834</f>
        <v>45566</v>
      </c>
      <c r="E850" s="277" t="n">
        <v>0</v>
      </c>
      <c r="F850" s="277" t="n">
        <v>0</v>
      </c>
      <c r="G850" s="277" t="n">
        <f aca="false">SUM(E850:F850)</f>
        <v>0</v>
      </c>
      <c r="H850" s="204"/>
      <c r="I850" s="279" t="n">
        <v>1</v>
      </c>
      <c r="J850" s="280" t="n">
        <f aca="false">1-I850</f>
        <v>0</v>
      </c>
      <c r="K850" s="277"/>
      <c r="L850" s="282"/>
      <c r="M850" s="282"/>
      <c r="N850" s="282"/>
      <c r="O850" s="282"/>
      <c r="P850" s="282"/>
      <c r="Q850" s="282"/>
      <c r="R850" s="282"/>
      <c r="S850" s="282"/>
      <c r="T850" s="282"/>
      <c r="U850" s="282"/>
      <c r="V850" s="282"/>
      <c r="W850" s="282"/>
      <c r="X850" s="283"/>
      <c r="Y850" s="284" t="n">
        <f aca="false">IFERROR(L850*$G850*I$9, "")</f>
        <v>0</v>
      </c>
      <c r="Z850" s="284" t="n">
        <f aca="false">IFERROR(M850*$G850*$I850, "")</f>
        <v>0</v>
      </c>
      <c r="AA850" s="284" t="n">
        <f aca="false">IFERROR(N850*$G850*$I850, "")</f>
        <v>0</v>
      </c>
      <c r="AB850" s="284" t="n">
        <f aca="false">IFERROR(O850*$G850*$I850, "")</f>
        <v>0</v>
      </c>
      <c r="AC850" s="284" t="n">
        <f aca="false">IFERROR(P850*$G850*$I850, "")</f>
        <v>0</v>
      </c>
      <c r="AD850" s="284" t="n">
        <f aca="false">IFERROR(Q850*$G850*$I850, "")</f>
        <v>0</v>
      </c>
      <c r="AE850" s="284" t="n">
        <f aca="false">IFERROR(R850*$G850*$I850, "")</f>
        <v>0</v>
      </c>
      <c r="AF850" s="284" t="n">
        <f aca="false">IFERROR(S850*$G850*$I850, "")</f>
        <v>0</v>
      </c>
      <c r="AG850" s="284" t="n">
        <f aca="false">IFERROR(T850*$G850*$I850, "")</f>
        <v>0</v>
      </c>
      <c r="AH850" s="284" t="n">
        <f aca="false">IFERROR(U850*$G850*$I850, "")</f>
        <v>0</v>
      </c>
      <c r="AI850" s="284" t="n">
        <f aca="false">IFERROR(V850*$G850*$I850, "")</f>
        <v>0</v>
      </c>
      <c r="AJ850" s="284" t="n">
        <f aca="false">IFERROR(W850*$G850*$I850, "")</f>
        <v>0</v>
      </c>
      <c r="AK850" s="286" t="n">
        <f aca="false">IFERROR(SUMIF($Y$4:$AJ$4, "RDEC", Y850:AJ850), "")</f>
        <v>0</v>
      </c>
      <c r="AL850" s="286" t="n">
        <f aca="false">IFERROR(SUMIF($Y$4:$AJ$4, "SME", Y850:AJ850), "")</f>
        <v>0</v>
      </c>
      <c r="AM850" s="286" t="n">
        <f aca="false">IFERROR(SUMIF($Y$4:$AJ$4, "De Minimis", Y850:AJ850), "")</f>
        <v>0</v>
      </c>
      <c r="AN850" s="283"/>
      <c r="AO850" s="284" t="n">
        <f aca="false">IFERROR($G850*$J850*L850, "")</f>
        <v>0</v>
      </c>
      <c r="AP850" s="284" t="n">
        <f aca="false">IFERROR($G850*$J850*M850, "")</f>
        <v>0</v>
      </c>
      <c r="AQ850" s="284" t="n">
        <f aca="false">IFERROR($G850*$J850*N850, "")</f>
        <v>0</v>
      </c>
      <c r="AR850" s="284" t="n">
        <f aca="false">IFERROR($G850*$J850*O850, "")</f>
        <v>0</v>
      </c>
      <c r="AS850" s="284" t="n">
        <f aca="false">IFERROR($G850*$J850*P850, "")</f>
        <v>0</v>
      </c>
      <c r="AT850" s="284" t="n">
        <f aca="false">IFERROR($G850*$J850*Q850, "")</f>
        <v>0</v>
      </c>
      <c r="AU850" s="284" t="n">
        <f aca="false">IFERROR($G850*$J850*R850, "")</f>
        <v>0</v>
      </c>
      <c r="AV850" s="284" t="n">
        <f aca="false">IFERROR($G850*$J850*S850, "")</f>
        <v>0</v>
      </c>
      <c r="AW850" s="284" t="n">
        <f aca="false">IFERROR($G850*$J850*T850, "")</f>
        <v>0</v>
      </c>
      <c r="AX850" s="284" t="n">
        <f aca="false">IFERROR($G850*$J850*U850, "")</f>
        <v>0</v>
      </c>
      <c r="AY850" s="284" t="n">
        <f aca="false">IFERROR($G850*$J850*V850, "")</f>
        <v>0</v>
      </c>
      <c r="AZ850" s="284" t="n">
        <f aca="false">IFERROR($G850*$J850*W850, "")</f>
        <v>0</v>
      </c>
      <c r="BA850" s="286" t="n">
        <f aca="false">IFERROR(SUMIF($AO$4:$AZ$4, "RDEC", AO850:AZ850), "")</f>
        <v>0</v>
      </c>
      <c r="BB850" s="286" t="n">
        <f aca="false">IFERROR(SUMIF($AO$4:$AZ$4, "SME", AO850:AZ850), "")</f>
        <v>0</v>
      </c>
      <c r="BC850" s="286" t="n">
        <f aca="false">IFERROR(SUMIF($Y$4:$AJ$4, "De Minimis", AO850:AZ850), "")</f>
        <v>0</v>
      </c>
      <c r="BD850" s="287"/>
      <c r="BE850" s="288" t="str">
        <f aca="false">IF((SUM(L850:W850)&gt;1),"ERROR","")</f>
        <v/>
      </c>
    </row>
    <row r="851" customFormat="false" ht="15" hidden="false" customHeight="true" outlineLevel="0" collapsed="false">
      <c r="B851" s="333"/>
      <c r="C851" s="334"/>
      <c r="D851" s="333" t="n">
        <f aca="false">D835</f>
        <v>45597</v>
      </c>
      <c r="E851" s="277" t="n">
        <v>0</v>
      </c>
      <c r="F851" s="277" t="n">
        <v>0</v>
      </c>
      <c r="G851" s="277" t="n">
        <f aca="false">SUM(E851:F851)</f>
        <v>0</v>
      </c>
      <c r="H851" s="204"/>
      <c r="I851" s="279" t="n">
        <v>1</v>
      </c>
      <c r="J851" s="280" t="n">
        <f aca="false">1-I851</f>
        <v>0</v>
      </c>
      <c r="K851" s="277"/>
      <c r="L851" s="282"/>
      <c r="M851" s="282"/>
      <c r="N851" s="282"/>
      <c r="O851" s="282"/>
      <c r="P851" s="282"/>
      <c r="Q851" s="282"/>
      <c r="R851" s="282"/>
      <c r="S851" s="282"/>
      <c r="T851" s="282"/>
      <c r="U851" s="282"/>
      <c r="V851" s="282"/>
      <c r="W851" s="282"/>
      <c r="X851" s="283"/>
      <c r="Y851" s="284" t="n">
        <f aca="false">IFERROR(L851*$G851*I$9, "")</f>
        <v>0</v>
      </c>
      <c r="Z851" s="284" t="n">
        <f aca="false">IFERROR(M851*$G851*$I851, "")</f>
        <v>0</v>
      </c>
      <c r="AA851" s="284" t="n">
        <f aca="false">IFERROR(N851*$G851*$I851, "")</f>
        <v>0</v>
      </c>
      <c r="AB851" s="284" t="n">
        <f aca="false">IFERROR(O851*$G851*$I851, "")</f>
        <v>0</v>
      </c>
      <c r="AC851" s="284" t="n">
        <f aca="false">IFERROR(P851*$G851*$I851, "")</f>
        <v>0</v>
      </c>
      <c r="AD851" s="284" t="n">
        <f aca="false">IFERROR(Q851*$G851*$I851, "")</f>
        <v>0</v>
      </c>
      <c r="AE851" s="284" t="n">
        <f aca="false">IFERROR(R851*$G851*$I851, "")</f>
        <v>0</v>
      </c>
      <c r="AF851" s="284" t="n">
        <f aca="false">IFERROR(S851*$G851*$I851, "")</f>
        <v>0</v>
      </c>
      <c r="AG851" s="284" t="n">
        <f aca="false">IFERROR(T851*$G851*$I851, "")</f>
        <v>0</v>
      </c>
      <c r="AH851" s="284" t="n">
        <f aca="false">IFERROR(U851*$G851*$I851, "")</f>
        <v>0</v>
      </c>
      <c r="AI851" s="284" t="n">
        <f aca="false">IFERROR(V851*$G851*$I851, "")</f>
        <v>0</v>
      </c>
      <c r="AJ851" s="284" t="n">
        <f aca="false">IFERROR(W851*$G851*$I851, "")</f>
        <v>0</v>
      </c>
      <c r="AK851" s="286" t="n">
        <f aca="false">IFERROR(SUMIF($Y$4:$AJ$4, "RDEC", Y851:AJ851), "")</f>
        <v>0</v>
      </c>
      <c r="AL851" s="286" t="n">
        <f aca="false">IFERROR(SUMIF($Y$4:$AJ$4, "SME", Y851:AJ851), "")</f>
        <v>0</v>
      </c>
      <c r="AM851" s="286" t="n">
        <f aca="false">IFERROR(SUMIF($Y$4:$AJ$4, "De Minimis", Y851:AJ851), "")</f>
        <v>0</v>
      </c>
      <c r="AN851" s="283"/>
      <c r="AO851" s="284" t="n">
        <f aca="false">IFERROR($G851*$J851*L851, "")</f>
        <v>0</v>
      </c>
      <c r="AP851" s="284" t="n">
        <f aca="false">IFERROR($G851*$J851*M851, "")</f>
        <v>0</v>
      </c>
      <c r="AQ851" s="284" t="n">
        <f aca="false">IFERROR($G851*$J851*N851, "")</f>
        <v>0</v>
      </c>
      <c r="AR851" s="284" t="n">
        <f aca="false">IFERROR($G851*$J851*O851, "")</f>
        <v>0</v>
      </c>
      <c r="AS851" s="284" t="n">
        <f aca="false">IFERROR($G851*$J851*P851, "")</f>
        <v>0</v>
      </c>
      <c r="AT851" s="284" t="n">
        <f aca="false">IFERROR($G851*$J851*Q851, "")</f>
        <v>0</v>
      </c>
      <c r="AU851" s="284" t="n">
        <f aca="false">IFERROR($G851*$J851*R851, "")</f>
        <v>0</v>
      </c>
      <c r="AV851" s="284" t="n">
        <f aca="false">IFERROR($G851*$J851*S851, "")</f>
        <v>0</v>
      </c>
      <c r="AW851" s="284" t="n">
        <f aca="false">IFERROR($G851*$J851*T851, "")</f>
        <v>0</v>
      </c>
      <c r="AX851" s="284" t="n">
        <f aca="false">IFERROR($G851*$J851*U851, "")</f>
        <v>0</v>
      </c>
      <c r="AY851" s="284" t="n">
        <f aca="false">IFERROR($G851*$J851*V851, "")</f>
        <v>0</v>
      </c>
      <c r="AZ851" s="284" t="n">
        <f aca="false">IFERROR($G851*$J851*W851, "")</f>
        <v>0</v>
      </c>
      <c r="BA851" s="286" t="n">
        <f aca="false">IFERROR(SUMIF($AO$4:$AZ$4, "RDEC", AO851:AZ851), "")</f>
        <v>0</v>
      </c>
      <c r="BB851" s="286" t="n">
        <f aca="false">IFERROR(SUMIF($AO$4:$AZ$4, "SME", AO851:AZ851), "")</f>
        <v>0</v>
      </c>
      <c r="BC851" s="286" t="n">
        <f aca="false">IFERROR(SUMIF($Y$4:$AJ$4, "De Minimis", AO851:AZ851), "")</f>
        <v>0</v>
      </c>
      <c r="BD851" s="287"/>
      <c r="BE851" s="288" t="str">
        <f aca="false">IF((SUM(L851:W851)&gt;1),"ERROR","")</f>
        <v/>
      </c>
    </row>
    <row r="852" customFormat="false" ht="15" hidden="false" customHeight="true" outlineLevel="0" collapsed="false">
      <c r="B852" s="333"/>
      <c r="C852" s="334"/>
      <c r="D852" s="333" t="n">
        <f aca="false">D836</f>
        <v>45627</v>
      </c>
      <c r="E852" s="277" t="n">
        <v>0</v>
      </c>
      <c r="F852" s="277" t="n">
        <v>0</v>
      </c>
      <c r="G852" s="277" t="n">
        <f aca="false">SUM(E852:F852)</f>
        <v>0</v>
      </c>
      <c r="H852" s="300"/>
      <c r="I852" s="289" t="n">
        <v>1</v>
      </c>
      <c r="J852" s="290" t="n">
        <f aca="false">1-I852</f>
        <v>0</v>
      </c>
      <c r="K852" s="300"/>
      <c r="L852" s="291"/>
      <c r="M852" s="291"/>
      <c r="N852" s="291"/>
      <c r="O852" s="291"/>
      <c r="P852" s="291"/>
      <c r="Q852" s="291"/>
      <c r="R852" s="291"/>
      <c r="S852" s="291"/>
      <c r="T852" s="291"/>
      <c r="U852" s="291"/>
      <c r="V852" s="291"/>
      <c r="W852" s="291"/>
      <c r="X852" s="283"/>
      <c r="Y852" s="284" t="n">
        <f aca="false">IFERROR(L852*$G852*I$9, "")</f>
        <v>0</v>
      </c>
      <c r="Z852" s="284" t="n">
        <f aca="false">IFERROR(M852*$G852*$I852, "")</f>
        <v>0</v>
      </c>
      <c r="AA852" s="284" t="n">
        <f aca="false">IFERROR(N852*$G852*$I852, "")</f>
        <v>0</v>
      </c>
      <c r="AB852" s="284" t="n">
        <f aca="false">IFERROR(O852*$G852*$I852, "")</f>
        <v>0</v>
      </c>
      <c r="AC852" s="284" t="n">
        <f aca="false">IFERROR(P852*$G852*$I852, "")</f>
        <v>0</v>
      </c>
      <c r="AD852" s="284" t="n">
        <f aca="false">IFERROR(Q852*$G852*$I852, "")</f>
        <v>0</v>
      </c>
      <c r="AE852" s="284" t="n">
        <f aca="false">IFERROR(R852*$G852*$I852, "")</f>
        <v>0</v>
      </c>
      <c r="AF852" s="284" t="n">
        <f aca="false">IFERROR(S852*$G852*$I852, "")</f>
        <v>0</v>
      </c>
      <c r="AG852" s="284" t="n">
        <f aca="false">IFERROR(T852*$G852*$I852, "")</f>
        <v>0</v>
      </c>
      <c r="AH852" s="284" t="n">
        <f aca="false">IFERROR(U852*$G852*$I852, "")</f>
        <v>0</v>
      </c>
      <c r="AI852" s="284" t="n">
        <f aca="false">IFERROR(V852*$G852*$I852, "")</f>
        <v>0</v>
      </c>
      <c r="AJ852" s="284" t="n">
        <f aca="false">IFERROR(W852*$G852*$I852, "")</f>
        <v>0</v>
      </c>
      <c r="AK852" s="294" t="n">
        <f aca="false">IFERROR(SUMIF($Y$4:$AJ$4, "RDEC", Y852:AJ852), "")</f>
        <v>0</v>
      </c>
      <c r="AL852" s="294" t="n">
        <f aca="false">IFERROR(SUMIF($Y$4:$AJ$4, "SME", Y852:AJ852), "")</f>
        <v>0</v>
      </c>
      <c r="AM852" s="294" t="n">
        <f aca="false">IFERROR(SUMIF($Y$4:$AJ$4, "De Minimis", Y852:AJ852), "")</f>
        <v>0</v>
      </c>
      <c r="AN852" s="283"/>
      <c r="AO852" s="284" t="n">
        <f aca="false">IFERROR($G852*$J852*L852, "")</f>
        <v>0</v>
      </c>
      <c r="AP852" s="284" t="n">
        <f aca="false">IFERROR($G852*$J852*M852, "")</f>
        <v>0</v>
      </c>
      <c r="AQ852" s="284" t="n">
        <f aca="false">IFERROR($G852*$J852*N852, "")</f>
        <v>0</v>
      </c>
      <c r="AR852" s="284" t="n">
        <f aca="false">IFERROR($G852*$J852*O852, "")</f>
        <v>0</v>
      </c>
      <c r="AS852" s="284" t="n">
        <f aca="false">IFERROR($G852*$J852*P852, "")</f>
        <v>0</v>
      </c>
      <c r="AT852" s="284" t="n">
        <f aca="false">IFERROR($G852*$J852*Q852, "")</f>
        <v>0</v>
      </c>
      <c r="AU852" s="284" t="n">
        <f aca="false">IFERROR($G852*$J852*R852, "")</f>
        <v>0</v>
      </c>
      <c r="AV852" s="284" t="n">
        <f aca="false">IFERROR($G852*$J852*S852, "")</f>
        <v>0</v>
      </c>
      <c r="AW852" s="284" t="n">
        <f aca="false">IFERROR($G852*$J852*T852, "")</f>
        <v>0</v>
      </c>
      <c r="AX852" s="284" t="n">
        <f aca="false">IFERROR($G852*$J852*U852, "")</f>
        <v>0</v>
      </c>
      <c r="AY852" s="284" t="n">
        <f aca="false">IFERROR($G852*$J852*V852, "")</f>
        <v>0</v>
      </c>
      <c r="AZ852" s="284" t="n">
        <f aca="false">IFERROR($G852*$J852*W852, "")</f>
        <v>0</v>
      </c>
      <c r="BA852" s="286" t="n">
        <f aca="false">IFERROR(SUMIF($AO$4:$AZ$4, "RDEC", AO852:AZ852), "")</f>
        <v>0</v>
      </c>
      <c r="BB852" s="286" t="n">
        <f aca="false">IFERROR(SUMIF($AO$4:$AZ$4, "SME", AO852:AZ852), "")</f>
        <v>0</v>
      </c>
      <c r="BC852" s="294" t="n">
        <f aca="false">IFERROR(SUMIF($Y$4:$AJ$4, "De Minimis", AO852:AZ852), "")</f>
        <v>0</v>
      </c>
      <c r="BD852" s="303"/>
      <c r="BE852" s="295" t="str">
        <f aca="false">IF((SUM(L852:W852)&gt;1),"ERROR","")</f>
        <v/>
      </c>
    </row>
    <row r="853" customFormat="false" ht="15" hidden="false" customHeight="true" outlineLevel="0" collapsed="false">
      <c r="B853" s="296"/>
      <c r="D853" s="297" t="s">
        <v>82</v>
      </c>
      <c r="E853" s="299" t="n">
        <f aca="false">SUM(E841:E852)</f>
        <v>0</v>
      </c>
      <c r="F853" s="299" t="n">
        <f aca="false">SUM(F841:F852)</f>
        <v>0</v>
      </c>
      <c r="G853" s="299" t="n">
        <f aca="false">SUM(G841:G852)</f>
        <v>0</v>
      </c>
      <c r="H853" s="300"/>
      <c r="I853" s="301" t="n">
        <f aca="false">AVERAGE(I841:I852)</f>
        <v>1</v>
      </c>
      <c r="J853" s="301" t="n">
        <f aca="false">AVERAGE(J841:J852)</f>
        <v>0</v>
      </c>
      <c r="K853" s="300"/>
      <c r="L853" s="290" t="n">
        <f aca="false">IF(SUM(L841:L852)&gt;0,(Y853/G853),0)</f>
        <v>0</v>
      </c>
      <c r="M853" s="301" t="n">
        <f aca="false">IF(SUM(M841:M852)&gt;0,(Z853/G853),0)</f>
        <v>0</v>
      </c>
      <c r="N853" s="301" t="n">
        <f aca="false">IF(SUM(N841:N852)&gt;0,(AA853/G853),0)</f>
        <v>0</v>
      </c>
      <c r="O853" s="301" t="n">
        <f aca="false">IF(SUM(O841:O852)&gt;0,(AB853/G853),0)</f>
        <v>0</v>
      </c>
      <c r="P853" s="301" t="n">
        <f aca="false">IF(SUM(P841:P852)&gt;0,(AC853/G853),0)</f>
        <v>0</v>
      </c>
      <c r="Q853" s="301" t="n">
        <f aca="false">IF(SUM(Q841:Q852)&gt;0,(AD853/G853),0)</f>
        <v>0</v>
      </c>
      <c r="R853" s="301" t="n">
        <f aca="false">IF(SUM(R841:R852)&gt;0,(AE853/G853),0)</f>
        <v>0</v>
      </c>
      <c r="S853" s="301" t="n">
        <f aca="false">IF(SUM(S841:S852)&gt;0,(AF853/G853),0)</f>
        <v>0</v>
      </c>
      <c r="T853" s="301" t="n">
        <f aca="false">IF(SUM(T841:T852)&gt;0,(AG853/G853),0)</f>
        <v>0</v>
      </c>
      <c r="U853" s="301" t="n">
        <f aca="false">IF(SUM(U841:U852)&gt;0,(AJ853/G853),0)</f>
        <v>0</v>
      </c>
      <c r="V853" s="301" t="n">
        <f aca="false">IF(SUM(V841:V852)&gt;0,(AI853/G853),0)</f>
        <v>0</v>
      </c>
      <c r="W853" s="301" t="n">
        <f aca="false">IF(SUM(W841:W852)&gt;0,(AJ853/G853),0)</f>
        <v>0</v>
      </c>
      <c r="X853" s="283"/>
      <c r="Y853" s="304" t="n">
        <f aca="false">SUM(Y841:Y852)</f>
        <v>0</v>
      </c>
      <c r="Z853" s="304" t="n">
        <f aca="false">SUM(Z841:Z852)</f>
        <v>0</v>
      </c>
      <c r="AA853" s="304" t="n">
        <f aca="false">SUM(AA841:AA852)</f>
        <v>0</v>
      </c>
      <c r="AB853" s="304" t="n">
        <f aca="false">SUM(AB841:AB852)</f>
        <v>0</v>
      </c>
      <c r="AC853" s="304" t="n">
        <f aca="false">SUM(AC841:AC852)</f>
        <v>0</v>
      </c>
      <c r="AD853" s="304" t="n">
        <f aca="false">SUM(AD841:AD852)</f>
        <v>0</v>
      </c>
      <c r="AE853" s="304" t="n">
        <f aca="false">SUM(AE841:AE852)</f>
        <v>0</v>
      </c>
      <c r="AF853" s="304" t="n">
        <f aca="false">SUM(AF841:AF852)</f>
        <v>0</v>
      </c>
      <c r="AG853" s="304" t="n">
        <f aca="false">SUM(AG841:AG852)</f>
        <v>0</v>
      </c>
      <c r="AH853" s="304" t="n">
        <f aca="false">SUM(AH841:AH852)</f>
        <v>0</v>
      </c>
      <c r="AI853" s="304" t="n">
        <f aca="false">SUM(AI841:AI852)</f>
        <v>0</v>
      </c>
      <c r="AJ853" s="304" t="n">
        <f aca="false">SUM(AJ841:AJ852)</f>
        <v>0</v>
      </c>
      <c r="AK853" s="335" t="n">
        <f aca="false">SUM(AK841:AK852)</f>
        <v>0</v>
      </c>
      <c r="AL853" s="336" t="n">
        <f aca="false">SUM(AL841:AL852)</f>
        <v>0</v>
      </c>
      <c r="AM853" s="305" t="n">
        <f aca="false">SUM(AM841:AM852)</f>
        <v>0</v>
      </c>
      <c r="AN853" s="283"/>
      <c r="AO853" s="304" t="n">
        <f aca="false">SUM(AO841:AO852)</f>
        <v>0</v>
      </c>
      <c r="AP853" s="304" t="n">
        <f aca="false">SUM(AP841:AP852)</f>
        <v>0</v>
      </c>
      <c r="AQ853" s="304" t="n">
        <f aca="false">SUM(AQ841:AQ852)</f>
        <v>0</v>
      </c>
      <c r="AR853" s="304" t="n">
        <f aca="false">SUM(AR841:AR852)</f>
        <v>0</v>
      </c>
      <c r="AS853" s="304" t="n">
        <f aca="false">SUM(AS841:AS852)</f>
        <v>0</v>
      </c>
      <c r="AT853" s="304" t="n">
        <f aca="false">SUM(AT841:AT852)</f>
        <v>0</v>
      </c>
      <c r="AU853" s="304" t="n">
        <f aca="false">SUM(AU841:AU852)</f>
        <v>0</v>
      </c>
      <c r="AV853" s="304" t="n">
        <f aca="false">SUM(AV841:AV852)</f>
        <v>0</v>
      </c>
      <c r="AW853" s="304" t="n">
        <f aca="false">SUM(AW841:AW852)</f>
        <v>0</v>
      </c>
      <c r="AX853" s="304" t="n">
        <f aca="false">SUM(AX841:AX852)</f>
        <v>0</v>
      </c>
      <c r="AY853" s="304" t="n">
        <f aca="false">SUM(AY841:AY852)</f>
        <v>0</v>
      </c>
      <c r="AZ853" s="304" t="n">
        <f aca="false">SUM(AZ841:AZ852)</f>
        <v>0</v>
      </c>
      <c r="BA853" s="336" t="n">
        <f aca="false">SUM(BA841:BA852)</f>
        <v>0</v>
      </c>
      <c r="BB853" s="336" t="n">
        <f aca="false">SUM(BB841:BB852)</f>
        <v>0</v>
      </c>
      <c r="BC853" s="305" t="n">
        <f aca="false">SUM(BC841:BC852)</f>
        <v>0</v>
      </c>
      <c r="BD853" s="303"/>
      <c r="BE853" s="337"/>
    </row>
    <row r="854" customFormat="false" ht="15" hidden="false" customHeight="true" outlineLevel="0" collapsed="false">
      <c r="B854" s="296"/>
      <c r="D854" s="297"/>
      <c r="E854" s="300"/>
      <c r="F854" s="300"/>
      <c r="G854" s="300"/>
      <c r="H854" s="241"/>
      <c r="I854" s="302"/>
      <c r="J854" s="302"/>
      <c r="K854" s="241"/>
      <c r="L854" s="259"/>
      <c r="M854" s="259"/>
      <c r="N854" s="259"/>
      <c r="O854" s="259"/>
      <c r="P854" s="259"/>
      <c r="Q854" s="259"/>
      <c r="R854" s="259"/>
      <c r="S854" s="259"/>
      <c r="T854" s="259"/>
      <c r="U854" s="259"/>
      <c r="V854" s="259"/>
      <c r="W854" s="259"/>
      <c r="X854" s="303"/>
      <c r="Y854" s="259"/>
      <c r="Z854" s="303"/>
      <c r="AA854" s="303"/>
      <c r="AB854" s="303"/>
      <c r="AC854" s="303"/>
      <c r="AD854" s="303"/>
      <c r="AE854" s="303"/>
      <c r="AF854" s="303"/>
      <c r="AG854" s="303"/>
      <c r="AH854" s="303"/>
      <c r="AI854" s="303"/>
      <c r="AJ854" s="303"/>
      <c r="AK854" s="303"/>
      <c r="AL854" s="303"/>
      <c r="AM854" s="303"/>
      <c r="AN854" s="303"/>
      <c r="AO854" s="259"/>
      <c r="AP854" s="303"/>
      <c r="AQ854" s="303"/>
      <c r="AR854" s="303"/>
      <c r="AS854" s="303"/>
      <c r="AT854" s="303"/>
      <c r="AU854" s="303"/>
      <c r="AV854" s="303"/>
      <c r="AW854" s="303"/>
      <c r="AX854" s="303"/>
      <c r="AY854" s="303"/>
      <c r="AZ854" s="303"/>
      <c r="BA854" s="303"/>
      <c r="BB854" s="303"/>
      <c r="BC854" s="303"/>
      <c r="BD854" s="268"/>
      <c r="BE854" s="303"/>
    </row>
    <row r="855" customFormat="false" ht="15" hidden="false" customHeight="true" outlineLevel="0" collapsed="false">
      <c r="A855" s="198" t="n">
        <f aca="false">A839+1</f>
        <v>54</v>
      </c>
      <c r="B855" s="266" t="s">
        <v>253</v>
      </c>
      <c r="C855" s="266" t="s">
        <v>253</v>
      </c>
      <c r="D855" s="266"/>
      <c r="E855" s="241"/>
      <c r="F855" s="241"/>
      <c r="G855" s="241"/>
      <c r="H855" s="241"/>
      <c r="I855" s="241"/>
      <c r="J855" s="241"/>
      <c r="K855" s="277"/>
      <c r="L855" s="241"/>
      <c r="M855" s="241"/>
      <c r="N855" s="241"/>
      <c r="O855" s="241"/>
      <c r="P855" s="241"/>
      <c r="Q855" s="241"/>
      <c r="R855" s="241"/>
      <c r="S855" s="241"/>
      <c r="T855" s="241"/>
      <c r="U855" s="241"/>
      <c r="V855" s="241"/>
      <c r="W855" s="241"/>
      <c r="X855" s="259"/>
      <c r="Y855" s="268"/>
      <c r="Z855" s="268"/>
      <c r="AA855" s="268"/>
      <c r="AB855" s="268"/>
      <c r="AC855" s="268"/>
      <c r="AD855" s="268"/>
      <c r="AE855" s="268"/>
      <c r="AF855" s="268"/>
      <c r="AG855" s="268"/>
      <c r="AH855" s="268"/>
      <c r="AI855" s="268"/>
      <c r="AJ855" s="268"/>
      <c r="AK855" s="268"/>
      <c r="AL855" s="268"/>
      <c r="AM855" s="268"/>
      <c r="AN855" s="259"/>
      <c r="AO855" s="268"/>
      <c r="AP855" s="268"/>
      <c r="AQ855" s="268"/>
      <c r="AR855" s="268"/>
      <c r="AS855" s="268"/>
      <c r="AT855" s="268"/>
      <c r="AU855" s="268"/>
      <c r="AV855" s="268"/>
      <c r="AW855" s="268"/>
      <c r="AX855" s="268"/>
      <c r="AY855" s="268"/>
      <c r="AZ855" s="268"/>
      <c r="BA855" s="268"/>
      <c r="BB855" s="268"/>
      <c r="BC855" s="268"/>
      <c r="BD855" s="287"/>
      <c r="BE855" s="268"/>
    </row>
    <row r="856" customFormat="false" ht="7.5" hidden="false" customHeight="true" outlineLevel="0" collapsed="false">
      <c r="A856" s="198"/>
      <c r="B856" s="266"/>
      <c r="C856" s="266"/>
      <c r="D856" s="266"/>
      <c r="E856" s="241"/>
      <c r="F856" s="241"/>
      <c r="G856" s="241"/>
      <c r="H856" s="204"/>
      <c r="I856" s="269"/>
      <c r="J856" s="269"/>
      <c r="K856" s="277"/>
      <c r="L856" s="269"/>
      <c r="M856" s="269"/>
      <c r="N856" s="269"/>
      <c r="O856" s="269"/>
      <c r="P856" s="269"/>
      <c r="Q856" s="269"/>
      <c r="R856" s="269"/>
      <c r="S856" s="269"/>
      <c r="T856" s="269"/>
      <c r="U856" s="269"/>
      <c r="V856" s="269"/>
      <c r="W856" s="269"/>
      <c r="X856" s="259"/>
      <c r="Y856" s="271"/>
      <c r="Z856" s="271"/>
      <c r="AA856" s="271"/>
      <c r="AB856" s="271"/>
      <c r="AC856" s="271"/>
      <c r="AD856" s="271"/>
      <c r="AE856" s="271"/>
      <c r="AF856" s="271"/>
      <c r="AG856" s="271"/>
      <c r="AH856" s="271"/>
      <c r="AI856" s="271"/>
      <c r="AJ856" s="272"/>
      <c r="AK856" s="273"/>
      <c r="AL856" s="273"/>
      <c r="AM856" s="273"/>
      <c r="AN856" s="259"/>
      <c r="AO856" s="271"/>
      <c r="AP856" s="271"/>
      <c r="AQ856" s="271"/>
      <c r="AR856" s="271"/>
      <c r="AS856" s="271"/>
      <c r="AT856" s="271"/>
      <c r="AU856" s="271"/>
      <c r="AV856" s="271"/>
      <c r="AW856" s="271"/>
      <c r="AX856" s="271"/>
      <c r="AY856" s="271"/>
      <c r="AZ856" s="272"/>
      <c r="BA856" s="273"/>
      <c r="BB856" s="273"/>
      <c r="BC856" s="273"/>
      <c r="BD856" s="287"/>
      <c r="BE856" s="274"/>
    </row>
    <row r="857" customFormat="false" ht="15" hidden="false" customHeight="true" outlineLevel="0" collapsed="false">
      <c r="B857" s="333"/>
      <c r="C857" s="334"/>
      <c r="D857" s="333" t="n">
        <f aca="false">D841</f>
        <v>45292</v>
      </c>
      <c r="E857" s="277" t="n">
        <v>0</v>
      </c>
      <c r="F857" s="277" t="n">
        <v>0</v>
      </c>
      <c r="G857" s="277" t="n">
        <f aca="false">SUM(E857:F857)</f>
        <v>0</v>
      </c>
      <c r="H857" s="204"/>
      <c r="I857" s="279" t="n">
        <v>1</v>
      </c>
      <c r="J857" s="280" t="n">
        <f aca="false">1-I857</f>
        <v>0</v>
      </c>
      <c r="K857" s="277"/>
      <c r="L857" s="282"/>
      <c r="M857" s="282"/>
      <c r="N857" s="282"/>
      <c r="O857" s="282"/>
      <c r="P857" s="282"/>
      <c r="Q857" s="282"/>
      <c r="R857" s="282"/>
      <c r="S857" s="282"/>
      <c r="T857" s="282"/>
      <c r="U857" s="282"/>
      <c r="V857" s="282"/>
      <c r="W857" s="282"/>
      <c r="X857" s="268"/>
      <c r="Y857" s="284" t="n">
        <f aca="false">IFERROR(L857*$G857*I$9, "")</f>
        <v>0</v>
      </c>
      <c r="Z857" s="284" t="n">
        <f aca="false">IFERROR(M857*$G857*$I857, "")</f>
        <v>0</v>
      </c>
      <c r="AA857" s="284" t="n">
        <f aca="false">IFERROR(N857*$G857*$I857, "")</f>
        <v>0</v>
      </c>
      <c r="AB857" s="284" t="n">
        <f aca="false">IFERROR(O857*$G857*$I857, "")</f>
        <v>0</v>
      </c>
      <c r="AC857" s="284" t="n">
        <f aca="false">IFERROR(P857*$G857*$I857, "")</f>
        <v>0</v>
      </c>
      <c r="AD857" s="284" t="n">
        <f aca="false">IFERROR(Q857*$G857*$I857, "")</f>
        <v>0</v>
      </c>
      <c r="AE857" s="284" t="n">
        <f aca="false">IFERROR(R857*$G857*$I857, "")</f>
        <v>0</v>
      </c>
      <c r="AF857" s="284" t="n">
        <f aca="false">IFERROR(S857*$G857*$I857, "")</f>
        <v>0</v>
      </c>
      <c r="AG857" s="284" t="n">
        <f aca="false">IFERROR(T857*$G857*$I857, "")</f>
        <v>0</v>
      </c>
      <c r="AH857" s="284" t="n">
        <f aca="false">IFERROR(U857*$G857*$I857, "")</f>
        <v>0</v>
      </c>
      <c r="AI857" s="284" t="n">
        <f aca="false">IFERROR(V857*$G857*$I857, "")</f>
        <v>0</v>
      </c>
      <c r="AJ857" s="284" t="n">
        <f aca="false">IFERROR(W857*$G857*$I857, "")</f>
        <v>0</v>
      </c>
      <c r="AK857" s="286" t="n">
        <f aca="false">IFERROR(SUMIF($Y$4:$AJ$4, "RDEC", Y857:AJ857), "")</f>
        <v>0</v>
      </c>
      <c r="AL857" s="286" t="n">
        <f aca="false">IFERROR(SUMIF($Y$4:$AJ$4, "SME", Y857:AJ857), "")</f>
        <v>0</v>
      </c>
      <c r="AM857" s="286" t="n">
        <f aca="false">IFERROR(SUMIF($Y$4:$AJ$4, "De Minimis", Y857:AJ857), "")</f>
        <v>0</v>
      </c>
      <c r="AN857" s="268"/>
      <c r="AO857" s="284" t="n">
        <f aca="false">IFERROR($G857*$J857*L857, "")</f>
        <v>0</v>
      </c>
      <c r="AP857" s="284" t="n">
        <f aca="false">IFERROR($G857*$J857*M857, "")</f>
        <v>0</v>
      </c>
      <c r="AQ857" s="284" t="n">
        <f aca="false">IFERROR($G857*$J857*N857, "")</f>
        <v>0</v>
      </c>
      <c r="AR857" s="284" t="n">
        <f aca="false">IFERROR($G857*$J857*O857, "")</f>
        <v>0</v>
      </c>
      <c r="AS857" s="284" t="n">
        <f aca="false">IFERROR($G857*$J857*P857, "")</f>
        <v>0</v>
      </c>
      <c r="AT857" s="284" t="n">
        <f aca="false">IFERROR($G857*$J857*Q857, "")</f>
        <v>0</v>
      </c>
      <c r="AU857" s="284" t="n">
        <f aca="false">IFERROR($G857*$J857*R857, "")</f>
        <v>0</v>
      </c>
      <c r="AV857" s="284" t="n">
        <f aca="false">IFERROR($G857*$J857*S857, "")</f>
        <v>0</v>
      </c>
      <c r="AW857" s="284" t="n">
        <f aca="false">IFERROR($G857*$J857*T857, "")</f>
        <v>0</v>
      </c>
      <c r="AX857" s="284" t="n">
        <f aca="false">IFERROR($G857*$J857*U857, "")</f>
        <v>0</v>
      </c>
      <c r="AY857" s="284" t="n">
        <f aca="false">IFERROR($G857*$J857*V857, "")</f>
        <v>0</v>
      </c>
      <c r="AZ857" s="284" t="n">
        <f aca="false">IFERROR($G857*$J857*W857, "")</f>
        <v>0</v>
      </c>
      <c r="BA857" s="286" t="n">
        <f aca="false">IFERROR(SUMIF($AO$4:$AZ$4, "RDEC", AO857:AZ857), "")</f>
        <v>0</v>
      </c>
      <c r="BB857" s="286" t="n">
        <f aca="false">IFERROR(SUMIF($AO$4:$AZ$4, "SME", AO857:AZ857), "")</f>
        <v>0</v>
      </c>
      <c r="BC857" s="286" t="n">
        <f aca="false">IFERROR(SUMIF($AO$4:$AZ$4, "De Minimis", AO857:AZ857), "")</f>
        <v>0</v>
      </c>
      <c r="BD857" s="287"/>
      <c r="BE857" s="288" t="str">
        <f aca="false">IF((SUM(L857:W857)&gt;1),"ERROR","")</f>
        <v/>
      </c>
    </row>
    <row r="858" customFormat="false" ht="15" hidden="false" customHeight="true" outlineLevel="0" collapsed="false">
      <c r="B858" s="333"/>
      <c r="C858" s="334"/>
      <c r="D858" s="333" t="n">
        <f aca="false">D842</f>
        <v>45323</v>
      </c>
      <c r="E858" s="277" t="n">
        <v>0</v>
      </c>
      <c r="F858" s="277" t="n">
        <v>0</v>
      </c>
      <c r="G858" s="277" t="n">
        <f aca="false">SUM(E858:F858)</f>
        <v>0</v>
      </c>
      <c r="H858" s="204"/>
      <c r="I858" s="279" t="n">
        <v>1</v>
      </c>
      <c r="J858" s="280" t="n">
        <f aca="false">1-I858</f>
        <v>0</v>
      </c>
      <c r="K858" s="277"/>
      <c r="L858" s="282"/>
      <c r="M858" s="282"/>
      <c r="N858" s="282"/>
      <c r="O858" s="282"/>
      <c r="P858" s="282"/>
      <c r="Q858" s="282"/>
      <c r="R858" s="282"/>
      <c r="S858" s="282"/>
      <c r="T858" s="282"/>
      <c r="U858" s="282"/>
      <c r="V858" s="282"/>
      <c r="W858" s="282"/>
      <c r="X858" s="283"/>
      <c r="Y858" s="284" t="n">
        <f aca="false">IFERROR(L858*$G858*I$9, "")</f>
        <v>0</v>
      </c>
      <c r="Z858" s="284" t="n">
        <f aca="false">IFERROR(M858*$G858*$I858, "")</f>
        <v>0</v>
      </c>
      <c r="AA858" s="284" t="n">
        <f aca="false">IFERROR(N858*$G858*$I858, "")</f>
        <v>0</v>
      </c>
      <c r="AB858" s="284" t="n">
        <f aca="false">IFERROR(O858*$G858*$I858, "")</f>
        <v>0</v>
      </c>
      <c r="AC858" s="284" t="n">
        <f aca="false">IFERROR(P858*$G858*$I858, "")</f>
        <v>0</v>
      </c>
      <c r="AD858" s="284" t="n">
        <f aca="false">IFERROR(Q858*$G858*$I858, "")</f>
        <v>0</v>
      </c>
      <c r="AE858" s="284" t="n">
        <f aca="false">IFERROR(R858*$G858*$I858, "")</f>
        <v>0</v>
      </c>
      <c r="AF858" s="284" t="n">
        <f aca="false">IFERROR(S858*$G858*$I858, "")</f>
        <v>0</v>
      </c>
      <c r="AG858" s="284" t="n">
        <f aca="false">IFERROR(T858*$G858*$I858, "")</f>
        <v>0</v>
      </c>
      <c r="AH858" s="284" t="n">
        <f aca="false">IFERROR(U858*$G858*$I858, "")</f>
        <v>0</v>
      </c>
      <c r="AI858" s="284" t="n">
        <f aca="false">IFERROR(V858*$G858*$I858, "")</f>
        <v>0</v>
      </c>
      <c r="AJ858" s="284" t="n">
        <f aca="false">IFERROR(W858*$G858*$I858, "")</f>
        <v>0</v>
      </c>
      <c r="AK858" s="286" t="n">
        <f aca="false">IFERROR(SUMIF($Y$4:$AJ$4, "RDEC", Y858:AJ858), "")</f>
        <v>0</v>
      </c>
      <c r="AL858" s="286" t="n">
        <f aca="false">IFERROR(SUMIF($Y$4:$AJ$4, "SME", Y858:AJ858), "")</f>
        <v>0</v>
      </c>
      <c r="AM858" s="286" t="n">
        <f aca="false">IFERROR(SUMIF($Y$4:$AJ$4, "De Minimis", Y858:AJ858), "")</f>
        <v>0</v>
      </c>
      <c r="AN858" s="283"/>
      <c r="AO858" s="284" t="n">
        <f aca="false">IFERROR($G858*$J858*L858, "")</f>
        <v>0</v>
      </c>
      <c r="AP858" s="284" t="n">
        <f aca="false">IFERROR($G858*$J858*M858, "")</f>
        <v>0</v>
      </c>
      <c r="AQ858" s="284" t="n">
        <f aca="false">IFERROR($G858*$J858*N858, "")</f>
        <v>0</v>
      </c>
      <c r="AR858" s="284" t="n">
        <f aca="false">IFERROR($G858*$J858*O858, "")</f>
        <v>0</v>
      </c>
      <c r="AS858" s="284" t="n">
        <f aca="false">IFERROR($G858*$J858*P858, "")</f>
        <v>0</v>
      </c>
      <c r="AT858" s="284" t="n">
        <f aca="false">IFERROR($G858*$J858*Q858, "")</f>
        <v>0</v>
      </c>
      <c r="AU858" s="284" t="n">
        <f aca="false">IFERROR($G858*$J858*R858, "")</f>
        <v>0</v>
      </c>
      <c r="AV858" s="284" t="n">
        <f aca="false">IFERROR($G858*$J858*S858, "")</f>
        <v>0</v>
      </c>
      <c r="AW858" s="284" t="n">
        <f aca="false">IFERROR($G858*$J858*T858, "")</f>
        <v>0</v>
      </c>
      <c r="AX858" s="284" t="n">
        <f aca="false">IFERROR($G858*$J858*U858, "")</f>
        <v>0</v>
      </c>
      <c r="AY858" s="284" t="n">
        <f aca="false">IFERROR($G858*$J858*V858, "")</f>
        <v>0</v>
      </c>
      <c r="AZ858" s="284" t="n">
        <f aca="false">IFERROR($G858*$J858*W858, "")</f>
        <v>0</v>
      </c>
      <c r="BA858" s="286" t="n">
        <f aca="false">IFERROR(SUMIF($AO$4:$AZ$4, "RDEC", AO858:AZ858), "")</f>
        <v>0</v>
      </c>
      <c r="BB858" s="286" t="n">
        <f aca="false">IFERROR(SUMIF($AO$4:$AZ$4, "SME", AO858:AZ858), "")</f>
        <v>0</v>
      </c>
      <c r="BC858" s="286" t="n">
        <f aca="false">IFERROR(SUMIF($Y$4:$AJ$4, "De Minimis", AO858:AZ858), "")</f>
        <v>0</v>
      </c>
      <c r="BD858" s="287"/>
      <c r="BE858" s="288" t="str">
        <f aca="false">IF((SUM(L858:W858)&gt;1),"ERROR","")</f>
        <v/>
      </c>
    </row>
    <row r="859" customFormat="false" ht="15" hidden="false" customHeight="true" outlineLevel="0" collapsed="false">
      <c r="B859" s="333"/>
      <c r="C859" s="334"/>
      <c r="D859" s="333" t="n">
        <f aca="false">D843</f>
        <v>45352</v>
      </c>
      <c r="E859" s="277" t="n">
        <v>0</v>
      </c>
      <c r="F859" s="277" t="n">
        <v>0</v>
      </c>
      <c r="G859" s="277" t="n">
        <f aca="false">SUM(E859:F859)</f>
        <v>0</v>
      </c>
      <c r="H859" s="204"/>
      <c r="I859" s="279" t="n">
        <v>1</v>
      </c>
      <c r="J859" s="280" t="n">
        <f aca="false">1-I859</f>
        <v>0</v>
      </c>
      <c r="K859" s="277"/>
      <c r="L859" s="282"/>
      <c r="M859" s="282"/>
      <c r="N859" s="282"/>
      <c r="O859" s="282"/>
      <c r="P859" s="282"/>
      <c r="Q859" s="282"/>
      <c r="R859" s="282"/>
      <c r="S859" s="282"/>
      <c r="T859" s="282"/>
      <c r="U859" s="282"/>
      <c r="V859" s="282"/>
      <c r="W859" s="282"/>
      <c r="X859" s="283"/>
      <c r="Y859" s="284" t="n">
        <f aca="false">IFERROR(L859*$G859*I$9, "")</f>
        <v>0</v>
      </c>
      <c r="Z859" s="284" t="n">
        <f aca="false">IFERROR(M859*$G859*$I859, "")</f>
        <v>0</v>
      </c>
      <c r="AA859" s="284" t="n">
        <f aca="false">IFERROR(N859*$G859*$I859, "")</f>
        <v>0</v>
      </c>
      <c r="AB859" s="284" t="n">
        <f aca="false">IFERROR(O859*$G859*$I859, "")</f>
        <v>0</v>
      </c>
      <c r="AC859" s="284" t="n">
        <f aca="false">IFERROR(P859*$G859*$I859, "")</f>
        <v>0</v>
      </c>
      <c r="AD859" s="284" t="n">
        <f aca="false">IFERROR(Q859*$G859*$I859, "")</f>
        <v>0</v>
      </c>
      <c r="AE859" s="284" t="n">
        <f aca="false">IFERROR(R859*$G859*$I859, "")</f>
        <v>0</v>
      </c>
      <c r="AF859" s="284" t="n">
        <f aca="false">IFERROR(S859*$G859*$I859, "")</f>
        <v>0</v>
      </c>
      <c r="AG859" s="284" t="n">
        <f aca="false">IFERROR(T859*$G859*$I859, "")</f>
        <v>0</v>
      </c>
      <c r="AH859" s="284" t="n">
        <f aca="false">IFERROR(U859*$G859*$I859, "")</f>
        <v>0</v>
      </c>
      <c r="AI859" s="284" t="n">
        <f aca="false">IFERROR(V859*$G859*$I859, "")</f>
        <v>0</v>
      </c>
      <c r="AJ859" s="284" t="n">
        <f aca="false">IFERROR(W859*$G859*$I859, "")</f>
        <v>0</v>
      </c>
      <c r="AK859" s="286" t="n">
        <f aca="false">IFERROR(SUMIF($Y$4:$AJ$4, "RDEC", Y859:AJ859), "")</f>
        <v>0</v>
      </c>
      <c r="AL859" s="286" t="n">
        <f aca="false">IFERROR(SUMIF($Y$4:$AJ$4, "SME", Y859:AJ859), "")</f>
        <v>0</v>
      </c>
      <c r="AM859" s="286" t="n">
        <f aca="false">IFERROR(SUMIF($Y$4:$AJ$4, "De Minimis", Y859:AJ859), "")</f>
        <v>0</v>
      </c>
      <c r="AN859" s="283"/>
      <c r="AO859" s="284" t="n">
        <f aca="false">IFERROR($G859*$J859*L859, "")</f>
        <v>0</v>
      </c>
      <c r="AP859" s="284" t="n">
        <f aca="false">IFERROR($G859*$J859*M859, "")</f>
        <v>0</v>
      </c>
      <c r="AQ859" s="284" t="n">
        <f aca="false">IFERROR($G859*$J859*N859, "")</f>
        <v>0</v>
      </c>
      <c r="AR859" s="284" t="n">
        <f aca="false">IFERROR($G859*$J859*O859, "")</f>
        <v>0</v>
      </c>
      <c r="AS859" s="284" t="n">
        <f aca="false">IFERROR($G859*$J859*P859, "")</f>
        <v>0</v>
      </c>
      <c r="AT859" s="284" t="n">
        <f aca="false">IFERROR($G859*$J859*Q859, "")</f>
        <v>0</v>
      </c>
      <c r="AU859" s="284" t="n">
        <f aca="false">IFERROR($G859*$J859*R859, "")</f>
        <v>0</v>
      </c>
      <c r="AV859" s="284" t="n">
        <f aca="false">IFERROR($G859*$J859*S859, "")</f>
        <v>0</v>
      </c>
      <c r="AW859" s="284" t="n">
        <f aca="false">IFERROR($G859*$J859*T859, "")</f>
        <v>0</v>
      </c>
      <c r="AX859" s="284" t="n">
        <f aca="false">IFERROR($G859*$J859*U859, "")</f>
        <v>0</v>
      </c>
      <c r="AY859" s="284" t="n">
        <f aca="false">IFERROR($G859*$J859*V859, "")</f>
        <v>0</v>
      </c>
      <c r="AZ859" s="284" t="n">
        <f aca="false">IFERROR($G859*$J859*W859, "")</f>
        <v>0</v>
      </c>
      <c r="BA859" s="286" t="n">
        <f aca="false">IFERROR(SUMIF($AO$4:$AZ$4, "RDEC", AO859:AZ859), "")</f>
        <v>0</v>
      </c>
      <c r="BB859" s="286" t="n">
        <f aca="false">IFERROR(SUMIF($AO$4:$AZ$4, "SME", AO859:AZ859), "")</f>
        <v>0</v>
      </c>
      <c r="BC859" s="286" t="n">
        <f aca="false">IFERROR(SUMIF($Y$4:$AJ$4, "De Minimis", AO859:AZ859), "")</f>
        <v>0</v>
      </c>
      <c r="BD859" s="287"/>
      <c r="BE859" s="288" t="str">
        <f aca="false">IF((SUM(L859:W859)&gt;1),"ERROR","")</f>
        <v/>
      </c>
    </row>
    <row r="860" customFormat="false" ht="15" hidden="false" customHeight="true" outlineLevel="0" collapsed="false">
      <c r="B860" s="333"/>
      <c r="C860" s="334"/>
      <c r="D860" s="333" t="n">
        <f aca="false">D844</f>
        <v>45383</v>
      </c>
      <c r="E860" s="277" t="n">
        <v>0</v>
      </c>
      <c r="F860" s="277" t="n">
        <v>0</v>
      </c>
      <c r="G860" s="277" t="n">
        <f aca="false">SUM(E860:F860)</f>
        <v>0</v>
      </c>
      <c r="H860" s="204"/>
      <c r="I860" s="279" t="n">
        <v>1</v>
      </c>
      <c r="J860" s="280" t="n">
        <f aca="false">1-I860</f>
        <v>0</v>
      </c>
      <c r="K860" s="277"/>
      <c r="L860" s="282"/>
      <c r="M860" s="282"/>
      <c r="N860" s="282"/>
      <c r="O860" s="282"/>
      <c r="P860" s="282"/>
      <c r="Q860" s="282"/>
      <c r="R860" s="282"/>
      <c r="S860" s="282"/>
      <c r="T860" s="282"/>
      <c r="U860" s="282"/>
      <c r="V860" s="282"/>
      <c r="W860" s="282"/>
      <c r="X860" s="283"/>
      <c r="Y860" s="284" t="n">
        <f aca="false">IFERROR(L860*$G860*I$9, "")</f>
        <v>0</v>
      </c>
      <c r="Z860" s="284" t="n">
        <f aca="false">IFERROR(M860*$G860*$I860, "")</f>
        <v>0</v>
      </c>
      <c r="AA860" s="284" t="n">
        <f aca="false">IFERROR(N860*$G860*$I860, "")</f>
        <v>0</v>
      </c>
      <c r="AB860" s="284" t="n">
        <f aca="false">IFERROR(O860*$G860*$I860, "")</f>
        <v>0</v>
      </c>
      <c r="AC860" s="284" t="n">
        <f aca="false">IFERROR(P860*$G860*$I860, "")</f>
        <v>0</v>
      </c>
      <c r="AD860" s="284" t="n">
        <f aca="false">IFERROR(Q860*$G860*$I860, "")</f>
        <v>0</v>
      </c>
      <c r="AE860" s="284" t="n">
        <f aca="false">IFERROR(R860*$G860*$I860, "")</f>
        <v>0</v>
      </c>
      <c r="AF860" s="284" t="n">
        <f aca="false">IFERROR(S860*$G860*$I860, "")</f>
        <v>0</v>
      </c>
      <c r="AG860" s="284" t="n">
        <f aca="false">IFERROR(T860*$G860*$I860, "")</f>
        <v>0</v>
      </c>
      <c r="AH860" s="284" t="n">
        <f aca="false">IFERROR(U860*$G860*$I860, "")</f>
        <v>0</v>
      </c>
      <c r="AI860" s="284" t="n">
        <f aca="false">IFERROR(V860*$G860*$I860, "")</f>
        <v>0</v>
      </c>
      <c r="AJ860" s="284" t="n">
        <f aca="false">IFERROR(W860*$G860*$I860, "")</f>
        <v>0</v>
      </c>
      <c r="AK860" s="286" t="n">
        <f aca="false">IFERROR(SUMIF($Y$4:$AJ$4, "RDEC", Y860:AJ860), "")</f>
        <v>0</v>
      </c>
      <c r="AL860" s="286" t="n">
        <f aca="false">IFERROR(SUMIF($Y$4:$AJ$4, "SME", Y860:AJ860), "")</f>
        <v>0</v>
      </c>
      <c r="AM860" s="286" t="n">
        <f aca="false">IFERROR(SUMIF($Y$4:$AJ$4, "De Minimis", Y860:AJ860), "")</f>
        <v>0</v>
      </c>
      <c r="AN860" s="283"/>
      <c r="AO860" s="284" t="n">
        <f aca="false">IFERROR($G860*$J860*L860, "")</f>
        <v>0</v>
      </c>
      <c r="AP860" s="284" t="n">
        <f aca="false">IFERROR($G860*$J860*M860, "")</f>
        <v>0</v>
      </c>
      <c r="AQ860" s="284" t="n">
        <f aca="false">IFERROR($G860*$J860*N860, "")</f>
        <v>0</v>
      </c>
      <c r="AR860" s="284" t="n">
        <f aca="false">IFERROR($G860*$J860*O860, "")</f>
        <v>0</v>
      </c>
      <c r="AS860" s="284" t="n">
        <f aca="false">IFERROR($G860*$J860*P860, "")</f>
        <v>0</v>
      </c>
      <c r="AT860" s="284" t="n">
        <f aca="false">IFERROR($G860*$J860*Q860, "")</f>
        <v>0</v>
      </c>
      <c r="AU860" s="284" t="n">
        <f aca="false">IFERROR($G860*$J860*R860, "")</f>
        <v>0</v>
      </c>
      <c r="AV860" s="284" t="n">
        <f aca="false">IFERROR($G860*$J860*S860, "")</f>
        <v>0</v>
      </c>
      <c r="AW860" s="284" t="n">
        <f aca="false">IFERROR($G860*$J860*T860, "")</f>
        <v>0</v>
      </c>
      <c r="AX860" s="284" t="n">
        <f aca="false">IFERROR($G860*$J860*U860, "")</f>
        <v>0</v>
      </c>
      <c r="AY860" s="284" t="n">
        <f aca="false">IFERROR($G860*$J860*V860, "")</f>
        <v>0</v>
      </c>
      <c r="AZ860" s="284" t="n">
        <f aca="false">IFERROR($G860*$J860*W860, "")</f>
        <v>0</v>
      </c>
      <c r="BA860" s="286" t="n">
        <f aca="false">IFERROR(SUMIF($AO$4:$AZ$4, "RDEC", AO860:AZ860), "")</f>
        <v>0</v>
      </c>
      <c r="BB860" s="286" t="n">
        <f aca="false">IFERROR(SUMIF($AO$4:$AZ$4, "SME", AO860:AZ860), "")</f>
        <v>0</v>
      </c>
      <c r="BC860" s="286" t="n">
        <f aca="false">IFERROR(SUMIF($Y$4:$AJ$4, "De Minimis", AO860:AZ860), "")</f>
        <v>0</v>
      </c>
      <c r="BD860" s="287"/>
      <c r="BE860" s="288" t="str">
        <f aca="false">IF((SUM(L860:W860)&gt;1),"ERROR","")</f>
        <v/>
      </c>
    </row>
    <row r="861" customFormat="false" ht="15" hidden="false" customHeight="true" outlineLevel="0" collapsed="false">
      <c r="B861" s="333"/>
      <c r="C861" s="334"/>
      <c r="D861" s="333" t="n">
        <f aca="false">D845</f>
        <v>45413</v>
      </c>
      <c r="E861" s="277" t="n">
        <v>0</v>
      </c>
      <c r="F861" s="277" t="n">
        <v>0</v>
      </c>
      <c r="G861" s="277" t="n">
        <f aca="false">SUM(E861:F861)</f>
        <v>0</v>
      </c>
      <c r="H861" s="204"/>
      <c r="I861" s="279" t="n">
        <v>1</v>
      </c>
      <c r="J861" s="280" t="n">
        <f aca="false">1-I861</f>
        <v>0</v>
      </c>
      <c r="K861" s="277"/>
      <c r="L861" s="282"/>
      <c r="M861" s="282"/>
      <c r="N861" s="282"/>
      <c r="O861" s="282"/>
      <c r="P861" s="282"/>
      <c r="Q861" s="282"/>
      <c r="R861" s="282"/>
      <c r="S861" s="282"/>
      <c r="T861" s="282"/>
      <c r="U861" s="282"/>
      <c r="V861" s="282"/>
      <c r="W861" s="282"/>
      <c r="X861" s="283"/>
      <c r="Y861" s="284" t="n">
        <f aca="false">IFERROR(L861*$G861*I$9, "")</f>
        <v>0</v>
      </c>
      <c r="Z861" s="284" t="n">
        <f aca="false">IFERROR(M861*$G861*$I861, "")</f>
        <v>0</v>
      </c>
      <c r="AA861" s="284" t="n">
        <f aca="false">IFERROR(N861*$G861*$I861, "")</f>
        <v>0</v>
      </c>
      <c r="AB861" s="284" t="n">
        <f aca="false">IFERROR(O861*$G861*$I861, "")</f>
        <v>0</v>
      </c>
      <c r="AC861" s="284" t="n">
        <f aca="false">IFERROR(P861*$G861*$I861, "")</f>
        <v>0</v>
      </c>
      <c r="AD861" s="284" t="n">
        <f aca="false">IFERROR(Q861*$G861*$I861, "")</f>
        <v>0</v>
      </c>
      <c r="AE861" s="284" t="n">
        <f aca="false">IFERROR(R861*$G861*$I861, "")</f>
        <v>0</v>
      </c>
      <c r="AF861" s="284" t="n">
        <f aca="false">IFERROR(S861*$G861*$I861, "")</f>
        <v>0</v>
      </c>
      <c r="AG861" s="284" t="n">
        <f aca="false">IFERROR(T861*$G861*$I861, "")</f>
        <v>0</v>
      </c>
      <c r="AH861" s="284" t="n">
        <f aca="false">IFERROR(U861*$G861*$I861, "")</f>
        <v>0</v>
      </c>
      <c r="AI861" s="284" t="n">
        <f aca="false">IFERROR(V861*$G861*$I861, "")</f>
        <v>0</v>
      </c>
      <c r="AJ861" s="284" t="n">
        <f aca="false">IFERROR(W861*$G861*$I861, "")</f>
        <v>0</v>
      </c>
      <c r="AK861" s="286" t="n">
        <f aca="false">IFERROR(SUMIF($Y$4:$AJ$4, "RDEC", Y861:AJ861), "")</f>
        <v>0</v>
      </c>
      <c r="AL861" s="286" t="n">
        <f aca="false">IFERROR(SUMIF($Y$4:$AJ$4, "SME", Y861:AJ861), "")</f>
        <v>0</v>
      </c>
      <c r="AM861" s="286" t="n">
        <f aca="false">IFERROR(SUMIF($Y$4:$AJ$4, "De Minimis", Y861:AJ861), "")</f>
        <v>0</v>
      </c>
      <c r="AN861" s="283"/>
      <c r="AO861" s="284" t="n">
        <f aca="false">IFERROR($G861*$J861*L861, "")</f>
        <v>0</v>
      </c>
      <c r="AP861" s="284" t="n">
        <f aca="false">IFERROR($G861*$J861*M861, "")</f>
        <v>0</v>
      </c>
      <c r="AQ861" s="284" t="n">
        <f aca="false">IFERROR($G861*$J861*N861, "")</f>
        <v>0</v>
      </c>
      <c r="AR861" s="284" t="n">
        <f aca="false">IFERROR($G861*$J861*O861, "")</f>
        <v>0</v>
      </c>
      <c r="AS861" s="284" t="n">
        <f aca="false">IFERROR($G861*$J861*P861, "")</f>
        <v>0</v>
      </c>
      <c r="AT861" s="284" t="n">
        <f aca="false">IFERROR($G861*$J861*Q861, "")</f>
        <v>0</v>
      </c>
      <c r="AU861" s="284" t="n">
        <f aca="false">IFERROR($G861*$J861*R861, "")</f>
        <v>0</v>
      </c>
      <c r="AV861" s="284" t="n">
        <f aca="false">IFERROR($G861*$J861*S861, "")</f>
        <v>0</v>
      </c>
      <c r="AW861" s="284" t="n">
        <f aca="false">IFERROR($G861*$J861*T861, "")</f>
        <v>0</v>
      </c>
      <c r="AX861" s="284" t="n">
        <f aca="false">IFERROR($G861*$J861*U861, "")</f>
        <v>0</v>
      </c>
      <c r="AY861" s="284" t="n">
        <f aca="false">IFERROR($G861*$J861*V861, "")</f>
        <v>0</v>
      </c>
      <c r="AZ861" s="284" t="n">
        <f aca="false">IFERROR($G861*$J861*W861, "")</f>
        <v>0</v>
      </c>
      <c r="BA861" s="286" t="n">
        <f aca="false">IFERROR(SUMIF($AO$4:$AZ$4, "RDEC", AO861:AZ861), "")</f>
        <v>0</v>
      </c>
      <c r="BB861" s="286" t="n">
        <f aca="false">IFERROR(SUMIF($AO$4:$AZ$4, "SME", AO861:AZ861), "")</f>
        <v>0</v>
      </c>
      <c r="BC861" s="286" t="n">
        <f aca="false">IFERROR(SUMIF($Y$4:$AJ$4, "De Minimis", AO861:AZ861), "")</f>
        <v>0</v>
      </c>
      <c r="BD861" s="287"/>
      <c r="BE861" s="288" t="str">
        <f aca="false">IF((SUM(L861:W861)&gt;1),"ERROR","")</f>
        <v/>
      </c>
    </row>
    <row r="862" customFormat="false" ht="15" hidden="false" customHeight="true" outlineLevel="0" collapsed="false">
      <c r="B862" s="333"/>
      <c r="C862" s="334"/>
      <c r="D862" s="333" t="n">
        <f aca="false">D846</f>
        <v>45444</v>
      </c>
      <c r="E862" s="277" t="n">
        <v>0</v>
      </c>
      <c r="F862" s="277" t="n">
        <v>0</v>
      </c>
      <c r="G862" s="277" t="n">
        <f aca="false">SUM(E862:F862)</f>
        <v>0</v>
      </c>
      <c r="H862" s="204"/>
      <c r="I862" s="279" t="n">
        <v>1</v>
      </c>
      <c r="J862" s="280" t="n">
        <f aca="false">1-I862</f>
        <v>0</v>
      </c>
      <c r="K862" s="277"/>
      <c r="L862" s="282"/>
      <c r="M862" s="282"/>
      <c r="N862" s="282"/>
      <c r="O862" s="282"/>
      <c r="P862" s="282"/>
      <c r="Q862" s="282"/>
      <c r="R862" s="282"/>
      <c r="S862" s="282"/>
      <c r="T862" s="282"/>
      <c r="U862" s="282"/>
      <c r="V862" s="282"/>
      <c r="W862" s="282"/>
      <c r="X862" s="283"/>
      <c r="Y862" s="284" t="n">
        <f aca="false">IFERROR(L862*$G862*I$9, "")</f>
        <v>0</v>
      </c>
      <c r="Z862" s="284" t="n">
        <f aca="false">IFERROR(M862*$G862*$I862, "")</f>
        <v>0</v>
      </c>
      <c r="AA862" s="284" t="n">
        <f aca="false">IFERROR(N862*$G862*$I862, "")</f>
        <v>0</v>
      </c>
      <c r="AB862" s="284" t="n">
        <f aca="false">IFERROR(O862*$G862*$I862, "")</f>
        <v>0</v>
      </c>
      <c r="AC862" s="284" t="n">
        <f aca="false">IFERROR(P862*$G862*$I862, "")</f>
        <v>0</v>
      </c>
      <c r="AD862" s="284" t="n">
        <f aca="false">IFERROR(Q862*$G862*$I862, "")</f>
        <v>0</v>
      </c>
      <c r="AE862" s="284" t="n">
        <f aca="false">IFERROR(R862*$G862*$I862, "")</f>
        <v>0</v>
      </c>
      <c r="AF862" s="284" t="n">
        <f aca="false">IFERROR(S862*$G862*$I862, "")</f>
        <v>0</v>
      </c>
      <c r="AG862" s="284" t="n">
        <f aca="false">IFERROR(T862*$G862*$I862, "")</f>
        <v>0</v>
      </c>
      <c r="AH862" s="284" t="n">
        <f aca="false">IFERROR(U862*$G862*$I862, "")</f>
        <v>0</v>
      </c>
      <c r="AI862" s="284" t="n">
        <f aca="false">IFERROR(V862*$G862*$I862, "")</f>
        <v>0</v>
      </c>
      <c r="AJ862" s="284" t="n">
        <f aca="false">IFERROR(W862*$G862*$I862, "")</f>
        <v>0</v>
      </c>
      <c r="AK862" s="286" t="n">
        <f aca="false">IFERROR(SUMIF($Y$4:$AJ$4, "RDEC", Y862:AJ862), "")</f>
        <v>0</v>
      </c>
      <c r="AL862" s="286" t="n">
        <f aca="false">IFERROR(SUMIF($Y$4:$AJ$4, "SME", Y862:AJ862), "")</f>
        <v>0</v>
      </c>
      <c r="AM862" s="286" t="n">
        <f aca="false">IFERROR(SUMIF($Y$4:$AJ$4, "De Minimis", Y862:AJ862), "")</f>
        <v>0</v>
      </c>
      <c r="AN862" s="283"/>
      <c r="AO862" s="284" t="n">
        <f aca="false">IFERROR($G862*$J862*L862, "")</f>
        <v>0</v>
      </c>
      <c r="AP862" s="284" t="n">
        <f aca="false">IFERROR($G862*$J862*M862, "")</f>
        <v>0</v>
      </c>
      <c r="AQ862" s="284" t="n">
        <f aca="false">IFERROR($G862*$J862*N862, "")</f>
        <v>0</v>
      </c>
      <c r="AR862" s="284" t="n">
        <f aca="false">IFERROR($G862*$J862*O862, "")</f>
        <v>0</v>
      </c>
      <c r="AS862" s="284" t="n">
        <f aca="false">IFERROR($G862*$J862*P862, "")</f>
        <v>0</v>
      </c>
      <c r="AT862" s="284" t="n">
        <f aca="false">IFERROR($G862*$J862*Q862, "")</f>
        <v>0</v>
      </c>
      <c r="AU862" s="284" t="n">
        <f aca="false">IFERROR($G862*$J862*R862, "")</f>
        <v>0</v>
      </c>
      <c r="AV862" s="284" t="n">
        <f aca="false">IFERROR($G862*$J862*S862, "")</f>
        <v>0</v>
      </c>
      <c r="AW862" s="284" t="n">
        <f aca="false">IFERROR($G862*$J862*T862, "")</f>
        <v>0</v>
      </c>
      <c r="AX862" s="284" t="n">
        <f aca="false">IFERROR($G862*$J862*U862, "")</f>
        <v>0</v>
      </c>
      <c r="AY862" s="284" t="n">
        <f aca="false">IFERROR($G862*$J862*V862, "")</f>
        <v>0</v>
      </c>
      <c r="AZ862" s="284" t="n">
        <f aca="false">IFERROR($G862*$J862*W862, "")</f>
        <v>0</v>
      </c>
      <c r="BA862" s="286" t="n">
        <f aca="false">IFERROR(SUMIF($AO$4:$AZ$4, "RDEC", AO862:AZ862), "")</f>
        <v>0</v>
      </c>
      <c r="BB862" s="286" t="n">
        <f aca="false">IFERROR(SUMIF($AO$4:$AZ$4, "SME", AO862:AZ862), "")</f>
        <v>0</v>
      </c>
      <c r="BC862" s="286" t="n">
        <f aca="false">IFERROR(SUMIF($Y$4:$AJ$4, "De Minimis", AO862:AZ862), "")</f>
        <v>0</v>
      </c>
      <c r="BD862" s="287"/>
      <c r="BE862" s="288" t="str">
        <f aca="false">IF((SUM(L862:W862)&gt;1),"ERROR","")</f>
        <v/>
      </c>
    </row>
    <row r="863" customFormat="false" ht="15" hidden="false" customHeight="true" outlineLevel="0" collapsed="false">
      <c r="B863" s="333"/>
      <c r="C863" s="334"/>
      <c r="D863" s="333" t="n">
        <f aca="false">D847</f>
        <v>45474</v>
      </c>
      <c r="E863" s="277" t="n">
        <v>0</v>
      </c>
      <c r="F863" s="277" t="n">
        <v>0</v>
      </c>
      <c r="G863" s="277" t="n">
        <f aca="false">SUM(E863:F863)</f>
        <v>0</v>
      </c>
      <c r="H863" s="204"/>
      <c r="I863" s="279" t="n">
        <v>1</v>
      </c>
      <c r="J863" s="280" t="n">
        <f aca="false">1-I863</f>
        <v>0</v>
      </c>
      <c r="K863" s="277"/>
      <c r="L863" s="282"/>
      <c r="M863" s="282"/>
      <c r="N863" s="282"/>
      <c r="O863" s="282"/>
      <c r="P863" s="282"/>
      <c r="Q863" s="282"/>
      <c r="R863" s="282"/>
      <c r="S863" s="282"/>
      <c r="T863" s="282"/>
      <c r="U863" s="282"/>
      <c r="V863" s="282"/>
      <c r="W863" s="282"/>
      <c r="X863" s="283"/>
      <c r="Y863" s="284" t="n">
        <f aca="false">IFERROR(L863*$G863*I$9, "")</f>
        <v>0</v>
      </c>
      <c r="Z863" s="284" t="n">
        <f aca="false">IFERROR(M863*$G863*$I863, "")</f>
        <v>0</v>
      </c>
      <c r="AA863" s="284" t="n">
        <f aca="false">IFERROR(N863*$G863*$I863, "")</f>
        <v>0</v>
      </c>
      <c r="AB863" s="284" t="n">
        <f aca="false">IFERROR(O863*$G863*$I863, "")</f>
        <v>0</v>
      </c>
      <c r="AC863" s="284" t="n">
        <f aca="false">IFERROR(P863*$G863*$I863, "")</f>
        <v>0</v>
      </c>
      <c r="AD863" s="284" t="n">
        <f aca="false">IFERROR(Q863*$G863*$I863, "")</f>
        <v>0</v>
      </c>
      <c r="AE863" s="284" t="n">
        <f aca="false">IFERROR(R863*$G863*$I863, "")</f>
        <v>0</v>
      </c>
      <c r="AF863" s="284" t="n">
        <f aca="false">IFERROR(S863*$G863*$I863, "")</f>
        <v>0</v>
      </c>
      <c r="AG863" s="284" t="n">
        <f aca="false">IFERROR(T863*$G863*$I863, "")</f>
        <v>0</v>
      </c>
      <c r="AH863" s="284" t="n">
        <f aca="false">IFERROR(U863*$G863*$I863, "")</f>
        <v>0</v>
      </c>
      <c r="AI863" s="284" t="n">
        <f aca="false">IFERROR(V863*$G863*$I863, "")</f>
        <v>0</v>
      </c>
      <c r="AJ863" s="284" t="n">
        <f aca="false">IFERROR(W863*$G863*$I863, "")</f>
        <v>0</v>
      </c>
      <c r="AK863" s="286" t="n">
        <f aca="false">IFERROR(SUMIF($Y$4:$AJ$4, "RDEC", Y863:AJ863), "")</f>
        <v>0</v>
      </c>
      <c r="AL863" s="286" t="n">
        <f aca="false">IFERROR(SUMIF($Y$4:$AJ$4, "SME", Y863:AJ863), "")</f>
        <v>0</v>
      </c>
      <c r="AM863" s="286" t="n">
        <f aca="false">IFERROR(SUMIF($Y$4:$AJ$4, "De Minimis", Y863:AJ863), "")</f>
        <v>0</v>
      </c>
      <c r="AN863" s="283"/>
      <c r="AO863" s="284" t="n">
        <f aca="false">IFERROR($G863*$J863*L863, "")</f>
        <v>0</v>
      </c>
      <c r="AP863" s="284" t="n">
        <f aca="false">IFERROR($G863*$J863*M863, "")</f>
        <v>0</v>
      </c>
      <c r="AQ863" s="284" t="n">
        <f aca="false">IFERROR($G863*$J863*N863, "")</f>
        <v>0</v>
      </c>
      <c r="AR863" s="284" t="n">
        <f aca="false">IFERROR($G863*$J863*O863, "")</f>
        <v>0</v>
      </c>
      <c r="AS863" s="284" t="n">
        <f aca="false">IFERROR($G863*$J863*P863, "")</f>
        <v>0</v>
      </c>
      <c r="AT863" s="284" t="n">
        <f aca="false">IFERROR($G863*$J863*Q863, "")</f>
        <v>0</v>
      </c>
      <c r="AU863" s="284" t="n">
        <f aca="false">IFERROR($G863*$J863*R863, "")</f>
        <v>0</v>
      </c>
      <c r="AV863" s="284" t="n">
        <f aca="false">IFERROR($G863*$J863*S863, "")</f>
        <v>0</v>
      </c>
      <c r="AW863" s="284" t="n">
        <f aca="false">IFERROR($G863*$J863*T863, "")</f>
        <v>0</v>
      </c>
      <c r="AX863" s="284" t="n">
        <f aca="false">IFERROR($G863*$J863*U863, "")</f>
        <v>0</v>
      </c>
      <c r="AY863" s="284" t="n">
        <f aca="false">IFERROR($G863*$J863*V863, "")</f>
        <v>0</v>
      </c>
      <c r="AZ863" s="284" t="n">
        <f aca="false">IFERROR($G863*$J863*W863, "")</f>
        <v>0</v>
      </c>
      <c r="BA863" s="286" t="n">
        <f aca="false">IFERROR(SUMIF($AO$4:$AZ$4, "RDEC", AO863:AZ863), "")</f>
        <v>0</v>
      </c>
      <c r="BB863" s="286" t="n">
        <f aca="false">IFERROR(SUMIF($AO$4:$AZ$4, "SME", AO863:AZ863), "")</f>
        <v>0</v>
      </c>
      <c r="BC863" s="286" t="n">
        <f aca="false">IFERROR(SUMIF($Y$4:$AJ$4, "De Minimis", AO863:AZ863), "")</f>
        <v>0</v>
      </c>
      <c r="BD863" s="287"/>
      <c r="BE863" s="288" t="str">
        <f aca="false">IF((SUM(L863:W863)&gt;1),"ERROR","")</f>
        <v/>
      </c>
    </row>
    <row r="864" customFormat="false" ht="15" hidden="false" customHeight="true" outlineLevel="0" collapsed="false">
      <c r="B864" s="333"/>
      <c r="C864" s="334"/>
      <c r="D864" s="333" t="n">
        <f aca="false">D848</f>
        <v>45505</v>
      </c>
      <c r="E864" s="277" t="n">
        <v>0</v>
      </c>
      <c r="F864" s="277" t="n">
        <v>0</v>
      </c>
      <c r="G864" s="277" t="n">
        <f aca="false">SUM(E864:F864)</f>
        <v>0</v>
      </c>
      <c r="H864" s="204"/>
      <c r="I864" s="279" t="n">
        <v>1</v>
      </c>
      <c r="J864" s="280" t="n">
        <f aca="false">1-I864</f>
        <v>0</v>
      </c>
      <c r="K864" s="277"/>
      <c r="L864" s="282"/>
      <c r="M864" s="282"/>
      <c r="N864" s="282"/>
      <c r="O864" s="282"/>
      <c r="P864" s="282"/>
      <c r="Q864" s="282"/>
      <c r="R864" s="282"/>
      <c r="S864" s="282"/>
      <c r="T864" s="282"/>
      <c r="U864" s="282"/>
      <c r="V864" s="282"/>
      <c r="W864" s="282"/>
      <c r="X864" s="283"/>
      <c r="Y864" s="284" t="n">
        <f aca="false">IFERROR(L864*$G864*I$9, "")</f>
        <v>0</v>
      </c>
      <c r="Z864" s="284" t="n">
        <f aca="false">IFERROR(M864*$G864*$I864, "")</f>
        <v>0</v>
      </c>
      <c r="AA864" s="284" t="n">
        <f aca="false">IFERROR(N864*$G864*$I864, "")</f>
        <v>0</v>
      </c>
      <c r="AB864" s="284" t="n">
        <f aca="false">IFERROR(O864*$G864*$I864, "")</f>
        <v>0</v>
      </c>
      <c r="AC864" s="284" t="n">
        <f aca="false">IFERROR(P864*$G864*$I864, "")</f>
        <v>0</v>
      </c>
      <c r="AD864" s="284" t="n">
        <f aca="false">IFERROR(Q864*$G864*$I864, "")</f>
        <v>0</v>
      </c>
      <c r="AE864" s="284" t="n">
        <f aca="false">IFERROR(R864*$G864*$I864, "")</f>
        <v>0</v>
      </c>
      <c r="AF864" s="284" t="n">
        <f aca="false">IFERROR(S864*$G864*$I864, "")</f>
        <v>0</v>
      </c>
      <c r="AG864" s="284" t="n">
        <f aca="false">IFERROR(T864*$G864*$I864, "")</f>
        <v>0</v>
      </c>
      <c r="AH864" s="284" t="n">
        <f aca="false">IFERROR(U864*$G864*$I864, "")</f>
        <v>0</v>
      </c>
      <c r="AI864" s="284" t="n">
        <f aca="false">IFERROR(V864*$G864*$I864, "")</f>
        <v>0</v>
      </c>
      <c r="AJ864" s="284" t="n">
        <f aca="false">IFERROR(W864*$G864*$I864, "")</f>
        <v>0</v>
      </c>
      <c r="AK864" s="286" t="n">
        <f aca="false">IFERROR(SUMIF($Y$4:$AJ$4, "RDEC", Y864:AJ864), "")</f>
        <v>0</v>
      </c>
      <c r="AL864" s="286" t="n">
        <f aca="false">IFERROR(SUMIF($Y$4:$AJ$4, "SME", Y864:AJ864), "")</f>
        <v>0</v>
      </c>
      <c r="AM864" s="286" t="n">
        <f aca="false">IFERROR(SUMIF($Y$4:$AJ$4, "De Minimis", Y864:AJ864), "")</f>
        <v>0</v>
      </c>
      <c r="AN864" s="283"/>
      <c r="AO864" s="284" t="n">
        <f aca="false">IFERROR($G864*$J864*L864, "")</f>
        <v>0</v>
      </c>
      <c r="AP864" s="284" t="n">
        <f aca="false">IFERROR($G864*$J864*M864, "")</f>
        <v>0</v>
      </c>
      <c r="AQ864" s="284" t="n">
        <f aca="false">IFERROR($G864*$J864*N864, "")</f>
        <v>0</v>
      </c>
      <c r="AR864" s="284" t="n">
        <f aca="false">IFERROR($G864*$J864*O864, "")</f>
        <v>0</v>
      </c>
      <c r="AS864" s="284" t="n">
        <f aca="false">IFERROR($G864*$J864*P864, "")</f>
        <v>0</v>
      </c>
      <c r="AT864" s="284" t="n">
        <f aca="false">IFERROR($G864*$J864*Q864, "")</f>
        <v>0</v>
      </c>
      <c r="AU864" s="284" t="n">
        <f aca="false">IFERROR($G864*$J864*R864, "")</f>
        <v>0</v>
      </c>
      <c r="AV864" s="284" t="n">
        <f aca="false">IFERROR($G864*$J864*S864, "")</f>
        <v>0</v>
      </c>
      <c r="AW864" s="284" t="n">
        <f aca="false">IFERROR($G864*$J864*T864, "")</f>
        <v>0</v>
      </c>
      <c r="AX864" s="284" t="n">
        <f aca="false">IFERROR($G864*$J864*U864, "")</f>
        <v>0</v>
      </c>
      <c r="AY864" s="284" t="n">
        <f aca="false">IFERROR($G864*$J864*V864, "")</f>
        <v>0</v>
      </c>
      <c r="AZ864" s="284" t="n">
        <f aca="false">IFERROR($G864*$J864*W864, "")</f>
        <v>0</v>
      </c>
      <c r="BA864" s="286" t="n">
        <f aca="false">IFERROR(SUMIF($AO$4:$AZ$4, "RDEC", AO864:AZ864), "")</f>
        <v>0</v>
      </c>
      <c r="BB864" s="286" t="n">
        <f aca="false">IFERROR(SUMIF($AO$4:$AZ$4, "SME", AO864:AZ864), "")</f>
        <v>0</v>
      </c>
      <c r="BC864" s="286" t="n">
        <f aca="false">IFERROR(SUMIF($Y$4:$AJ$4, "De Minimis", AO864:AZ864), "")</f>
        <v>0</v>
      </c>
      <c r="BD864" s="287"/>
      <c r="BE864" s="288" t="str">
        <f aca="false">IF((SUM(L864:W864)&gt;1),"ERROR","")</f>
        <v/>
      </c>
    </row>
    <row r="865" customFormat="false" ht="15" hidden="false" customHeight="true" outlineLevel="0" collapsed="false">
      <c r="B865" s="333"/>
      <c r="C865" s="334"/>
      <c r="D865" s="333" t="n">
        <f aca="false">D849</f>
        <v>45536</v>
      </c>
      <c r="E865" s="277" t="n">
        <v>0</v>
      </c>
      <c r="F865" s="277" t="n">
        <v>0</v>
      </c>
      <c r="G865" s="277" t="n">
        <f aca="false">SUM(E865:F865)</f>
        <v>0</v>
      </c>
      <c r="H865" s="204"/>
      <c r="I865" s="279" t="n">
        <v>1</v>
      </c>
      <c r="J865" s="280" t="n">
        <f aca="false">1-I865</f>
        <v>0</v>
      </c>
      <c r="K865" s="277"/>
      <c r="L865" s="282"/>
      <c r="M865" s="282"/>
      <c r="N865" s="282"/>
      <c r="O865" s="282"/>
      <c r="P865" s="282"/>
      <c r="Q865" s="282"/>
      <c r="R865" s="282"/>
      <c r="S865" s="282"/>
      <c r="T865" s="282"/>
      <c r="U865" s="282"/>
      <c r="V865" s="282"/>
      <c r="W865" s="282"/>
      <c r="X865" s="283"/>
      <c r="Y865" s="284" t="n">
        <f aca="false">IFERROR(L865*$G865*I$9, "")</f>
        <v>0</v>
      </c>
      <c r="Z865" s="284" t="n">
        <f aca="false">IFERROR(M865*$G865*$I865, "")</f>
        <v>0</v>
      </c>
      <c r="AA865" s="284" t="n">
        <f aca="false">IFERROR(N865*$G865*$I865, "")</f>
        <v>0</v>
      </c>
      <c r="AB865" s="284" t="n">
        <f aca="false">IFERROR(O865*$G865*$I865, "")</f>
        <v>0</v>
      </c>
      <c r="AC865" s="284" t="n">
        <f aca="false">IFERROR(P865*$G865*$I865, "")</f>
        <v>0</v>
      </c>
      <c r="AD865" s="284" t="n">
        <f aca="false">IFERROR(Q865*$G865*$I865, "")</f>
        <v>0</v>
      </c>
      <c r="AE865" s="284" t="n">
        <f aca="false">IFERROR(R865*$G865*$I865, "")</f>
        <v>0</v>
      </c>
      <c r="AF865" s="284" t="n">
        <f aca="false">IFERROR(S865*$G865*$I865, "")</f>
        <v>0</v>
      </c>
      <c r="AG865" s="284" t="n">
        <f aca="false">IFERROR(T865*$G865*$I865, "")</f>
        <v>0</v>
      </c>
      <c r="AH865" s="284" t="n">
        <f aca="false">IFERROR(U865*$G865*$I865, "")</f>
        <v>0</v>
      </c>
      <c r="AI865" s="284" t="n">
        <f aca="false">IFERROR(V865*$G865*$I865, "")</f>
        <v>0</v>
      </c>
      <c r="AJ865" s="284" t="n">
        <f aca="false">IFERROR(W865*$G865*$I865, "")</f>
        <v>0</v>
      </c>
      <c r="AK865" s="286" t="n">
        <f aca="false">IFERROR(SUMIF($Y$4:$AJ$4, "RDEC", Y865:AJ865), "")</f>
        <v>0</v>
      </c>
      <c r="AL865" s="286" t="n">
        <f aca="false">IFERROR(SUMIF($Y$4:$AJ$4, "SME", Y865:AJ865), "")</f>
        <v>0</v>
      </c>
      <c r="AM865" s="286" t="n">
        <f aca="false">IFERROR(SUMIF($Y$4:$AJ$4, "De Minimis", Y865:AJ865), "")</f>
        <v>0</v>
      </c>
      <c r="AN865" s="283"/>
      <c r="AO865" s="284" t="n">
        <f aca="false">IFERROR($G865*$J865*L865, "")</f>
        <v>0</v>
      </c>
      <c r="AP865" s="284" t="n">
        <f aca="false">IFERROR($G865*$J865*M865, "")</f>
        <v>0</v>
      </c>
      <c r="AQ865" s="284" t="n">
        <f aca="false">IFERROR($G865*$J865*N865, "")</f>
        <v>0</v>
      </c>
      <c r="AR865" s="284" t="n">
        <f aca="false">IFERROR($G865*$J865*O865, "")</f>
        <v>0</v>
      </c>
      <c r="AS865" s="284" t="n">
        <f aca="false">IFERROR($G865*$J865*P865, "")</f>
        <v>0</v>
      </c>
      <c r="AT865" s="284" t="n">
        <f aca="false">IFERROR($G865*$J865*Q865, "")</f>
        <v>0</v>
      </c>
      <c r="AU865" s="284" t="n">
        <f aca="false">IFERROR($G865*$J865*R865, "")</f>
        <v>0</v>
      </c>
      <c r="AV865" s="284" t="n">
        <f aca="false">IFERROR($G865*$J865*S865, "")</f>
        <v>0</v>
      </c>
      <c r="AW865" s="284" t="n">
        <f aca="false">IFERROR($G865*$J865*T865, "")</f>
        <v>0</v>
      </c>
      <c r="AX865" s="284" t="n">
        <f aca="false">IFERROR($G865*$J865*U865, "")</f>
        <v>0</v>
      </c>
      <c r="AY865" s="284" t="n">
        <f aca="false">IFERROR($G865*$J865*V865, "")</f>
        <v>0</v>
      </c>
      <c r="AZ865" s="284" t="n">
        <f aca="false">IFERROR($G865*$J865*W865, "")</f>
        <v>0</v>
      </c>
      <c r="BA865" s="286" t="n">
        <f aca="false">IFERROR(SUMIF($AO$4:$AZ$4, "RDEC", AO865:AZ865), "")</f>
        <v>0</v>
      </c>
      <c r="BB865" s="286" t="n">
        <f aca="false">IFERROR(SUMIF($AO$4:$AZ$4, "SME", AO865:AZ865), "")</f>
        <v>0</v>
      </c>
      <c r="BC865" s="286" t="n">
        <f aca="false">IFERROR(SUMIF($Y$4:$AJ$4, "De Minimis", AO865:AZ865), "")</f>
        <v>0</v>
      </c>
      <c r="BD865" s="287"/>
      <c r="BE865" s="288" t="str">
        <f aca="false">IF((SUM(L865:W865)&gt;1),"ERROR","")</f>
        <v/>
      </c>
    </row>
    <row r="866" customFormat="false" ht="15" hidden="false" customHeight="true" outlineLevel="0" collapsed="false">
      <c r="B866" s="333"/>
      <c r="C866" s="334"/>
      <c r="D866" s="333" t="n">
        <f aca="false">D850</f>
        <v>45566</v>
      </c>
      <c r="E866" s="277" t="n">
        <v>0</v>
      </c>
      <c r="F866" s="277" t="n">
        <v>0</v>
      </c>
      <c r="G866" s="277" t="n">
        <f aca="false">SUM(E866:F866)</f>
        <v>0</v>
      </c>
      <c r="H866" s="204"/>
      <c r="I866" s="279" t="n">
        <v>1</v>
      </c>
      <c r="J866" s="280" t="n">
        <f aca="false">1-I866</f>
        <v>0</v>
      </c>
      <c r="K866" s="277"/>
      <c r="L866" s="282"/>
      <c r="M866" s="282"/>
      <c r="N866" s="282"/>
      <c r="O866" s="282"/>
      <c r="P866" s="282"/>
      <c r="Q866" s="282"/>
      <c r="R866" s="282"/>
      <c r="S866" s="282"/>
      <c r="T866" s="282"/>
      <c r="U866" s="282"/>
      <c r="V866" s="282"/>
      <c r="W866" s="282"/>
      <c r="X866" s="283"/>
      <c r="Y866" s="284" t="n">
        <f aca="false">IFERROR(L866*$G866*I$9, "")</f>
        <v>0</v>
      </c>
      <c r="Z866" s="284" t="n">
        <f aca="false">IFERROR(M866*$G866*$I866, "")</f>
        <v>0</v>
      </c>
      <c r="AA866" s="284" t="n">
        <f aca="false">IFERROR(N866*$G866*$I866, "")</f>
        <v>0</v>
      </c>
      <c r="AB866" s="284" t="n">
        <f aca="false">IFERROR(O866*$G866*$I866, "")</f>
        <v>0</v>
      </c>
      <c r="AC866" s="284" t="n">
        <f aca="false">IFERROR(P866*$G866*$I866, "")</f>
        <v>0</v>
      </c>
      <c r="AD866" s="284" t="n">
        <f aca="false">IFERROR(Q866*$G866*$I866, "")</f>
        <v>0</v>
      </c>
      <c r="AE866" s="284" t="n">
        <f aca="false">IFERROR(R866*$G866*$I866, "")</f>
        <v>0</v>
      </c>
      <c r="AF866" s="284" t="n">
        <f aca="false">IFERROR(S866*$G866*$I866, "")</f>
        <v>0</v>
      </c>
      <c r="AG866" s="284" t="n">
        <f aca="false">IFERROR(T866*$G866*$I866, "")</f>
        <v>0</v>
      </c>
      <c r="AH866" s="284" t="n">
        <f aca="false">IFERROR(U866*$G866*$I866, "")</f>
        <v>0</v>
      </c>
      <c r="AI866" s="284" t="n">
        <f aca="false">IFERROR(V866*$G866*$I866, "")</f>
        <v>0</v>
      </c>
      <c r="AJ866" s="284" t="n">
        <f aca="false">IFERROR(W866*$G866*$I866, "")</f>
        <v>0</v>
      </c>
      <c r="AK866" s="286" t="n">
        <f aca="false">IFERROR(SUMIF($Y$4:$AJ$4, "RDEC", Y866:AJ866), "")</f>
        <v>0</v>
      </c>
      <c r="AL866" s="286" t="n">
        <f aca="false">IFERROR(SUMIF($Y$4:$AJ$4, "SME", Y866:AJ866), "")</f>
        <v>0</v>
      </c>
      <c r="AM866" s="286" t="n">
        <f aca="false">IFERROR(SUMIF($Y$4:$AJ$4, "De Minimis", Y866:AJ866), "")</f>
        <v>0</v>
      </c>
      <c r="AN866" s="283"/>
      <c r="AO866" s="284" t="n">
        <f aca="false">IFERROR($G866*$J866*L866, "")</f>
        <v>0</v>
      </c>
      <c r="AP866" s="284" t="n">
        <f aca="false">IFERROR($G866*$J866*M866, "")</f>
        <v>0</v>
      </c>
      <c r="AQ866" s="284" t="n">
        <f aca="false">IFERROR($G866*$J866*N866, "")</f>
        <v>0</v>
      </c>
      <c r="AR866" s="284" t="n">
        <f aca="false">IFERROR($G866*$J866*O866, "")</f>
        <v>0</v>
      </c>
      <c r="AS866" s="284" t="n">
        <f aca="false">IFERROR($G866*$J866*P866, "")</f>
        <v>0</v>
      </c>
      <c r="AT866" s="284" t="n">
        <f aca="false">IFERROR($G866*$J866*Q866, "")</f>
        <v>0</v>
      </c>
      <c r="AU866" s="284" t="n">
        <f aca="false">IFERROR($G866*$J866*R866, "")</f>
        <v>0</v>
      </c>
      <c r="AV866" s="284" t="n">
        <f aca="false">IFERROR($G866*$J866*S866, "")</f>
        <v>0</v>
      </c>
      <c r="AW866" s="284" t="n">
        <f aca="false">IFERROR($G866*$J866*T866, "")</f>
        <v>0</v>
      </c>
      <c r="AX866" s="284" t="n">
        <f aca="false">IFERROR($G866*$J866*U866, "")</f>
        <v>0</v>
      </c>
      <c r="AY866" s="284" t="n">
        <f aca="false">IFERROR($G866*$J866*V866, "")</f>
        <v>0</v>
      </c>
      <c r="AZ866" s="284" t="n">
        <f aca="false">IFERROR($G866*$J866*W866, "")</f>
        <v>0</v>
      </c>
      <c r="BA866" s="286" t="n">
        <f aca="false">IFERROR(SUMIF($AO$4:$AZ$4, "RDEC", AO866:AZ866), "")</f>
        <v>0</v>
      </c>
      <c r="BB866" s="286" t="n">
        <f aca="false">IFERROR(SUMIF($AO$4:$AZ$4, "SME", AO866:AZ866), "")</f>
        <v>0</v>
      </c>
      <c r="BC866" s="286" t="n">
        <f aca="false">IFERROR(SUMIF($Y$4:$AJ$4, "De Minimis", AO866:AZ866), "")</f>
        <v>0</v>
      </c>
      <c r="BD866" s="287"/>
      <c r="BE866" s="288" t="str">
        <f aca="false">IF((SUM(L866:W866)&gt;1),"ERROR","")</f>
        <v/>
      </c>
    </row>
    <row r="867" customFormat="false" ht="15" hidden="false" customHeight="true" outlineLevel="0" collapsed="false">
      <c r="B867" s="333"/>
      <c r="C867" s="334"/>
      <c r="D867" s="333" t="n">
        <f aca="false">D851</f>
        <v>45597</v>
      </c>
      <c r="E867" s="277" t="n">
        <v>0</v>
      </c>
      <c r="F867" s="277" t="n">
        <v>0</v>
      </c>
      <c r="G867" s="277" t="n">
        <f aca="false">SUM(E867:F867)</f>
        <v>0</v>
      </c>
      <c r="H867" s="204"/>
      <c r="I867" s="279" t="n">
        <v>1</v>
      </c>
      <c r="J867" s="280" t="n">
        <f aca="false">1-I867</f>
        <v>0</v>
      </c>
      <c r="K867" s="277"/>
      <c r="L867" s="282"/>
      <c r="M867" s="282"/>
      <c r="N867" s="282"/>
      <c r="O867" s="282"/>
      <c r="P867" s="282"/>
      <c r="Q867" s="282"/>
      <c r="R867" s="282"/>
      <c r="S867" s="282"/>
      <c r="T867" s="282"/>
      <c r="U867" s="282"/>
      <c r="V867" s="282"/>
      <c r="W867" s="282"/>
      <c r="X867" s="283"/>
      <c r="Y867" s="284" t="n">
        <f aca="false">IFERROR(L867*$G867*I$9, "")</f>
        <v>0</v>
      </c>
      <c r="Z867" s="284" t="n">
        <f aca="false">IFERROR(M867*$G867*$I867, "")</f>
        <v>0</v>
      </c>
      <c r="AA867" s="284" t="n">
        <f aca="false">IFERROR(N867*$G867*$I867, "")</f>
        <v>0</v>
      </c>
      <c r="AB867" s="284" t="n">
        <f aca="false">IFERROR(O867*$G867*$I867, "")</f>
        <v>0</v>
      </c>
      <c r="AC867" s="284" t="n">
        <f aca="false">IFERROR(P867*$G867*$I867, "")</f>
        <v>0</v>
      </c>
      <c r="AD867" s="284" t="n">
        <f aca="false">IFERROR(Q867*$G867*$I867, "")</f>
        <v>0</v>
      </c>
      <c r="AE867" s="284" t="n">
        <f aca="false">IFERROR(R867*$G867*$I867, "")</f>
        <v>0</v>
      </c>
      <c r="AF867" s="284" t="n">
        <f aca="false">IFERROR(S867*$G867*$I867, "")</f>
        <v>0</v>
      </c>
      <c r="AG867" s="284" t="n">
        <f aca="false">IFERROR(T867*$G867*$I867, "")</f>
        <v>0</v>
      </c>
      <c r="AH867" s="284" t="n">
        <f aca="false">IFERROR(U867*$G867*$I867, "")</f>
        <v>0</v>
      </c>
      <c r="AI867" s="284" t="n">
        <f aca="false">IFERROR(V867*$G867*$I867, "")</f>
        <v>0</v>
      </c>
      <c r="AJ867" s="284" t="n">
        <f aca="false">IFERROR(W867*$G867*$I867, "")</f>
        <v>0</v>
      </c>
      <c r="AK867" s="286" t="n">
        <f aca="false">IFERROR(SUMIF($Y$4:$AJ$4, "RDEC", Y867:AJ867), "")</f>
        <v>0</v>
      </c>
      <c r="AL867" s="286" t="n">
        <f aca="false">IFERROR(SUMIF($Y$4:$AJ$4, "SME", Y867:AJ867), "")</f>
        <v>0</v>
      </c>
      <c r="AM867" s="286" t="n">
        <f aca="false">IFERROR(SUMIF($Y$4:$AJ$4, "De Minimis", Y867:AJ867), "")</f>
        <v>0</v>
      </c>
      <c r="AN867" s="283"/>
      <c r="AO867" s="284" t="n">
        <f aca="false">IFERROR($G867*$J867*L867, "")</f>
        <v>0</v>
      </c>
      <c r="AP867" s="284" t="n">
        <f aca="false">IFERROR($G867*$J867*M867, "")</f>
        <v>0</v>
      </c>
      <c r="AQ867" s="284" t="n">
        <f aca="false">IFERROR($G867*$J867*N867, "")</f>
        <v>0</v>
      </c>
      <c r="AR867" s="284" t="n">
        <f aca="false">IFERROR($G867*$J867*O867, "")</f>
        <v>0</v>
      </c>
      <c r="AS867" s="284" t="n">
        <f aca="false">IFERROR($G867*$J867*P867, "")</f>
        <v>0</v>
      </c>
      <c r="AT867" s="284" t="n">
        <f aca="false">IFERROR($G867*$J867*Q867, "")</f>
        <v>0</v>
      </c>
      <c r="AU867" s="284" t="n">
        <f aca="false">IFERROR($G867*$J867*R867, "")</f>
        <v>0</v>
      </c>
      <c r="AV867" s="284" t="n">
        <f aca="false">IFERROR($G867*$J867*S867, "")</f>
        <v>0</v>
      </c>
      <c r="AW867" s="284" t="n">
        <f aca="false">IFERROR($G867*$J867*T867, "")</f>
        <v>0</v>
      </c>
      <c r="AX867" s="284" t="n">
        <f aca="false">IFERROR($G867*$J867*U867, "")</f>
        <v>0</v>
      </c>
      <c r="AY867" s="284" t="n">
        <f aca="false">IFERROR($G867*$J867*V867, "")</f>
        <v>0</v>
      </c>
      <c r="AZ867" s="284" t="n">
        <f aca="false">IFERROR($G867*$J867*W867, "")</f>
        <v>0</v>
      </c>
      <c r="BA867" s="286" t="n">
        <f aca="false">IFERROR(SUMIF($AO$4:$AZ$4, "RDEC", AO867:AZ867), "")</f>
        <v>0</v>
      </c>
      <c r="BB867" s="286" t="n">
        <f aca="false">IFERROR(SUMIF($AO$4:$AZ$4, "SME", AO867:AZ867), "")</f>
        <v>0</v>
      </c>
      <c r="BC867" s="286" t="n">
        <f aca="false">IFERROR(SUMIF($Y$4:$AJ$4, "De Minimis", AO867:AZ867), "")</f>
        <v>0</v>
      </c>
      <c r="BD867" s="287"/>
      <c r="BE867" s="288" t="str">
        <f aca="false">IF((SUM(L867:W867)&gt;1),"ERROR","")</f>
        <v/>
      </c>
    </row>
    <row r="868" customFormat="false" ht="15" hidden="false" customHeight="true" outlineLevel="0" collapsed="false">
      <c r="B868" s="333"/>
      <c r="C868" s="334"/>
      <c r="D868" s="333" t="n">
        <f aca="false">D852</f>
        <v>45627</v>
      </c>
      <c r="E868" s="277" t="n">
        <v>0</v>
      </c>
      <c r="F868" s="277" t="n">
        <v>0</v>
      </c>
      <c r="G868" s="277" t="n">
        <f aca="false">SUM(E868:F868)</f>
        <v>0</v>
      </c>
      <c r="H868" s="300"/>
      <c r="I868" s="289" t="n">
        <v>1</v>
      </c>
      <c r="J868" s="290" t="n">
        <f aca="false">1-I868</f>
        <v>0</v>
      </c>
      <c r="K868" s="300"/>
      <c r="L868" s="291"/>
      <c r="M868" s="291"/>
      <c r="N868" s="291"/>
      <c r="O868" s="291"/>
      <c r="P868" s="291"/>
      <c r="Q868" s="291"/>
      <c r="R868" s="291"/>
      <c r="S868" s="291"/>
      <c r="T868" s="291"/>
      <c r="U868" s="291"/>
      <c r="V868" s="291"/>
      <c r="W868" s="291"/>
      <c r="X868" s="283"/>
      <c r="Y868" s="284" t="n">
        <f aca="false">IFERROR(L868*$G868*I$9, "")</f>
        <v>0</v>
      </c>
      <c r="Z868" s="284" t="n">
        <f aca="false">IFERROR(M868*$G868*$I868, "")</f>
        <v>0</v>
      </c>
      <c r="AA868" s="284" t="n">
        <f aca="false">IFERROR(N868*$G868*$I868, "")</f>
        <v>0</v>
      </c>
      <c r="AB868" s="284" t="n">
        <f aca="false">IFERROR(O868*$G868*$I868, "")</f>
        <v>0</v>
      </c>
      <c r="AC868" s="284" t="n">
        <f aca="false">IFERROR(P868*$G868*$I868, "")</f>
        <v>0</v>
      </c>
      <c r="AD868" s="284" t="n">
        <f aca="false">IFERROR(Q868*$G868*$I868, "")</f>
        <v>0</v>
      </c>
      <c r="AE868" s="284" t="n">
        <f aca="false">IFERROR(R868*$G868*$I868, "")</f>
        <v>0</v>
      </c>
      <c r="AF868" s="284" t="n">
        <f aca="false">IFERROR(S868*$G868*$I868, "")</f>
        <v>0</v>
      </c>
      <c r="AG868" s="284" t="n">
        <f aca="false">IFERROR(T868*$G868*$I868, "")</f>
        <v>0</v>
      </c>
      <c r="AH868" s="284" t="n">
        <f aca="false">IFERROR(U868*$G868*$I868, "")</f>
        <v>0</v>
      </c>
      <c r="AI868" s="284" t="n">
        <f aca="false">IFERROR(V868*$G868*$I868, "")</f>
        <v>0</v>
      </c>
      <c r="AJ868" s="284" t="n">
        <f aca="false">IFERROR(W868*$G868*$I868, "")</f>
        <v>0</v>
      </c>
      <c r="AK868" s="294" t="n">
        <f aca="false">IFERROR(SUMIF($Y$4:$AJ$4, "RDEC", Y868:AJ868), "")</f>
        <v>0</v>
      </c>
      <c r="AL868" s="294" t="n">
        <f aca="false">IFERROR(SUMIF($Y$4:$AJ$4, "SME", Y868:AJ868), "")</f>
        <v>0</v>
      </c>
      <c r="AM868" s="294" t="n">
        <f aca="false">IFERROR(SUMIF($Y$4:$AJ$4, "De Minimis", Y868:AJ868), "")</f>
        <v>0</v>
      </c>
      <c r="AN868" s="283"/>
      <c r="AO868" s="284" t="n">
        <f aca="false">IFERROR($G868*$J868*L868, "")</f>
        <v>0</v>
      </c>
      <c r="AP868" s="284" t="n">
        <f aca="false">IFERROR($G868*$J868*M868, "")</f>
        <v>0</v>
      </c>
      <c r="AQ868" s="284" t="n">
        <f aca="false">IFERROR($G868*$J868*N868, "")</f>
        <v>0</v>
      </c>
      <c r="AR868" s="284" t="n">
        <f aca="false">IFERROR($G868*$J868*O868, "")</f>
        <v>0</v>
      </c>
      <c r="AS868" s="284" t="n">
        <f aca="false">IFERROR($G868*$J868*P868, "")</f>
        <v>0</v>
      </c>
      <c r="AT868" s="284" t="n">
        <f aca="false">IFERROR($G868*$J868*Q868, "")</f>
        <v>0</v>
      </c>
      <c r="AU868" s="284" t="n">
        <f aca="false">IFERROR($G868*$J868*R868, "")</f>
        <v>0</v>
      </c>
      <c r="AV868" s="284" t="n">
        <f aca="false">IFERROR($G868*$J868*S868, "")</f>
        <v>0</v>
      </c>
      <c r="AW868" s="284" t="n">
        <f aca="false">IFERROR($G868*$J868*T868, "")</f>
        <v>0</v>
      </c>
      <c r="AX868" s="284" t="n">
        <f aca="false">IFERROR($G868*$J868*U868, "")</f>
        <v>0</v>
      </c>
      <c r="AY868" s="284" t="n">
        <f aca="false">IFERROR($G868*$J868*V868, "")</f>
        <v>0</v>
      </c>
      <c r="AZ868" s="284" t="n">
        <f aca="false">IFERROR($G868*$J868*W868, "")</f>
        <v>0</v>
      </c>
      <c r="BA868" s="286" t="n">
        <f aca="false">IFERROR(SUMIF($AO$4:$AZ$4, "RDEC", AO868:AZ868), "")</f>
        <v>0</v>
      </c>
      <c r="BB868" s="286" t="n">
        <f aca="false">IFERROR(SUMIF($AO$4:$AZ$4, "SME", AO868:AZ868), "")</f>
        <v>0</v>
      </c>
      <c r="BC868" s="294" t="n">
        <f aca="false">IFERROR(SUMIF($Y$4:$AJ$4, "De Minimis", AO868:AZ868), "")</f>
        <v>0</v>
      </c>
      <c r="BD868" s="303"/>
      <c r="BE868" s="295" t="str">
        <f aca="false">IF((SUM(L868:W868)&gt;1),"ERROR","")</f>
        <v/>
      </c>
    </row>
    <row r="869" customFormat="false" ht="15" hidden="false" customHeight="true" outlineLevel="0" collapsed="false">
      <c r="B869" s="296"/>
      <c r="D869" s="297" t="s">
        <v>82</v>
      </c>
      <c r="E869" s="299" t="n">
        <f aca="false">SUM(E857:E868)</f>
        <v>0</v>
      </c>
      <c r="F869" s="299" t="n">
        <f aca="false">SUM(F857:F868)</f>
        <v>0</v>
      </c>
      <c r="G869" s="299" t="n">
        <f aca="false">SUM(G857:G868)</f>
        <v>0</v>
      </c>
      <c r="H869" s="300"/>
      <c r="I869" s="301" t="n">
        <f aca="false">AVERAGE(I857:I868)</f>
        <v>1</v>
      </c>
      <c r="J869" s="301" t="n">
        <f aca="false">AVERAGE(J857:J868)</f>
        <v>0</v>
      </c>
      <c r="K869" s="300"/>
      <c r="L869" s="290" t="n">
        <f aca="false">IF(SUM(L857:L868)&gt;0,(Y869/G869),0)</f>
        <v>0</v>
      </c>
      <c r="M869" s="301" t="n">
        <f aca="false">IF(SUM(M857:M868)&gt;0,(Z869/G869),0)</f>
        <v>0</v>
      </c>
      <c r="N869" s="301" t="n">
        <f aca="false">IF(SUM(N857:N868)&gt;0,(AA869/G869),0)</f>
        <v>0</v>
      </c>
      <c r="O869" s="301" t="n">
        <f aca="false">IF(SUM(O857:O868)&gt;0,(AB869/G869),0)</f>
        <v>0</v>
      </c>
      <c r="P869" s="301" t="n">
        <f aca="false">IF(SUM(P857:P868)&gt;0,(AC869/G869),0)</f>
        <v>0</v>
      </c>
      <c r="Q869" s="301" t="n">
        <f aca="false">IF(SUM(Q857:Q868)&gt;0,(AD869/G869),0)</f>
        <v>0</v>
      </c>
      <c r="R869" s="301" t="n">
        <f aca="false">IF(SUM(R857:R868)&gt;0,(AE869/G869),0)</f>
        <v>0</v>
      </c>
      <c r="S869" s="301" t="n">
        <f aca="false">IF(SUM(S857:S868)&gt;0,(AF869/G869),0)</f>
        <v>0</v>
      </c>
      <c r="T869" s="301" t="n">
        <f aca="false">IF(SUM(T857:T868)&gt;0,(AG869/G869),0)</f>
        <v>0</v>
      </c>
      <c r="U869" s="301" t="n">
        <f aca="false">IF(SUM(U857:U868)&gt;0,(AJ869/G869),0)</f>
        <v>0</v>
      </c>
      <c r="V869" s="301" t="n">
        <f aca="false">IF(SUM(V857:V868)&gt;0,(AI869/G869),0)</f>
        <v>0</v>
      </c>
      <c r="W869" s="301" t="n">
        <f aca="false">IF(SUM(W857:W868)&gt;0,(AJ869/G869),0)</f>
        <v>0</v>
      </c>
      <c r="X869" s="283"/>
      <c r="Y869" s="304" t="n">
        <f aca="false">SUM(Y857:Y868)</f>
        <v>0</v>
      </c>
      <c r="Z869" s="304" t="n">
        <f aca="false">SUM(Z857:Z868)</f>
        <v>0</v>
      </c>
      <c r="AA869" s="304" t="n">
        <f aca="false">SUM(AA857:AA868)</f>
        <v>0</v>
      </c>
      <c r="AB869" s="304" t="n">
        <f aca="false">SUM(AB857:AB868)</f>
        <v>0</v>
      </c>
      <c r="AC869" s="304" t="n">
        <f aca="false">SUM(AC857:AC868)</f>
        <v>0</v>
      </c>
      <c r="AD869" s="304" t="n">
        <f aca="false">SUM(AD857:AD868)</f>
        <v>0</v>
      </c>
      <c r="AE869" s="304" t="n">
        <f aca="false">SUM(AE857:AE868)</f>
        <v>0</v>
      </c>
      <c r="AF869" s="304" t="n">
        <f aca="false">SUM(AF857:AF868)</f>
        <v>0</v>
      </c>
      <c r="AG869" s="304" t="n">
        <f aca="false">SUM(AG857:AG868)</f>
        <v>0</v>
      </c>
      <c r="AH869" s="304" t="n">
        <f aca="false">SUM(AH857:AH868)</f>
        <v>0</v>
      </c>
      <c r="AI869" s="304" t="n">
        <f aca="false">SUM(AI857:AI868)</f>
        <v>0</v>
      </c>
      <c r="AJ869" s="304" t="n">
        <f aca="false">SUM(AJ857:AJ868)</f>
        <v>0</v>
      </c>
      <c r="AK869" s="335" t="n">
        <f aca="false">SUM(AK857:AK868)</f>
        <v>0</v>
      </c>
      <c r="AL869" s="336" t="n">
        <f aca="false">SUM(AL857:AL868)</f>
        <v>0</v>
      </c>
      <c r="AM869" s="305" t="n">
        <f aca="false">SUM(AM857:AM868)</f>
        <v>0</v>
      </c>
      <c r="AN869" s="283"/>
      <c r="AO869" s="304" t="n">
        <f aca="false">SUM(AO857:AO868)</f>
        <v>0</v>
      </c>
      <c r="AP869" s="304" t="n">
        <f aca="false">SUM(AP857:AP868)</f>
        <v>0</v>
      </c>
      <c r="AQ869" s="304" t="n">
        <f aca="false">SUM(AQ857:AQ868)</f>
        <v>0</v>
      </c>
      <c r="AR869" s="304" t="n">
        <f aca="false">SUM(AR857:AR868)</f>
        <v>0</v>
      </c>
      <c r="AS869" s="304" t="n">
        <f aca="false">SUM(AS857:AS868)</f>
        <v>0</v>
      </c>
      <c r="AT869" s="304" t="n">
        <f aca="false">SUM(AT857:AT868)</f>
        <v>0</v>
      </c>
      <c r="AU869" s="304" t="n">
        <f aca="false">SUM(AU857:AU868)</f>
        <v>0</v>
      </c>
      <c r="AV869" s="304" t="n">
        <f aca="false">SUM(AV857:AV868)</f>
        <v>0</v>
      </c>
      <c r="AW869" s="304" t="n">
        <f aca="false">SUM(AW857:AW868)</f>
        <v>0</v>
      </c>
      <c r="AX869" s="304" t="n">
        <f aca="false">SUM(AX857:AX868)</f>
        <v>0</v>
      </c>
      <c r="AY869" s="304" t="n">
        <f aca="false">SUM(AY857:AY868)</f>
        <v>0</v>
      </c>
      <c r="AZ869" s="304" t="n">
        <f aca="false">SUM(AZ857:AZ868)</f>
        <v>0</v>
      </c>
      <c r="BA869" s="336" t="n">
        <f aca="false">SUM(BA857:BA868)</f>
        <v>0</v>
      </c>
      <c r="BB869" s="336" t="n">
        <f aca="false">SUM(BB857:BB868)</f>
        <v>0</v>
      </c>
      <c r="BC869" s="305" t="n">
        <f aca="false">SUM(BC857:BC868)</f>
        <v>0</v>
      </c>
      <c r="BD869" s="303"/>
      <c r="BE869" s="337"/>
    </row>
    <row r="870" customFormat="false" ht="15" hidden="false" customHeight="true" outlineLevel="0" collapsed="false">
      <c r="B870" s="296"/>
      <c r="D870" s="297"/>
      <c r="E870" s="300"/>
      <c r="F870" s="300"/>
      <c r="G870" s="300"/>
      <c r="H870" s="241"/>
      <c r="I870" s="302"/>
      <c r="J870" s="302"/>
      <c r="K870" s="241"/>
      <c r="L870" s="259"/>
      <c r="M870" s="259"/>
      <c r="N870" s="259"/>
      <c r="O870" s="259"/>
      <c r="P870" s="259"/>
      <c r="Q870" s="259"/>
      <c r="R870" s="259"/>
      <c r="S870" s="259"/>
      <c r="T870" s="259"/>
      <c r="U870" s="259"/>
      <c r="V870" s="259"/>
      <c r="W870" s="259"/>
      <c r="X870" s="303"/>
      <c r="Y870" s="259"/>
      <c r="Z870" s="303"/>
      <c r="AA870" s="303"/>
      <c r="AB870" s="303"/>
      <c r="AC870" s="303"/>
      <c r="AD870" s="303"/>
      <c r="AE870" s="303"/>
      <c r="AF870" s="303"/>
      <c r="AG870" s="303"/>
      <c r="AH870" s="303"/>
      <c r="AI870" s="303"/>
      <c r="AJ870" s="303"/>
      <c r="AK870" s="303"/>
      <c r="AL870" s="303"/>
      <c r="AM870" s="303"/>
      <c r="AN870" s="303"/>
      <c r="AO870" s="259"/>
      <c r="AP870" s="303"/>
      <c r="AQ870" s="303"/>
      <c r="AR870" s="303"/>
      <c r="AS870" s="303"/>
      <c r="AT870" s="303"/>
      <c r="AU870" s="303"/>
      <c r="AV870" s="303"/>
      <c r="AW870" s="303"/>
      <c r="AX870" s="303"/>
      <c r="AY870" s="303"/>
      <c r="AZ870" s="303"/>
      <c r="BA870" s="303"/>
      <c r="BB870" s="303"/>
      <c r="BC870" s="303"/>
      <c r="BD870" s="268"/>
      <c r="BE870" s="303"/>
    </row>
    <row r="871" customFormat="false" ht="15" hidden="false" customHeight="true" outlineLevel="0" collapsed="false">
      <c r="A871" s="198" t="n">
        <f aca="false">A855+1</f>
        <v>55</v>
      </c>
      <c r="B871" s="266" t="s">
        <v>253</v>
      </c>
      <c r="C871" s="266" t="s">
        <v>253</v>
      </c>
      <c r="D871" s="266"/>
      <c r="E871" s="241"/>
      <c r="F871" s="241"/>
      <c r="G871" s="241"/>
      <c r="H871" s="241"/>
      <c r="I871" s="241"/>
      <c r="J871" s="241"/>
      <c r="K871" s="277"/>
      <c r="L871" s="241"/>
      <c r="M871" s="241"/>
      <c r="N871" s="241"/>
      <c r="O871" s="241"/>
      <c r="P871" s="241"/>
      <c r="Q871" s="241"/>
      <c r="R871" s="241"/>
      <c r="S871" s="241"/>
      <c r="T871" s="241"/>
      <c r="U871" s="241"/>
      <c r="V871" s="241"/>
      <c r="W871" s="241"/>
      <c r="X871" s="259"/>
      <c r="Y871" s="268"/>
      <c r="Z871" s="268"/>
      <c r="AA871" s="268"/>
      <c r="AB871" s="268"/>
      <c r="AC871" s="268"/>
      <c r="AD871" s="268"/>
      <c r="AE871" s="268"/>
      <c r="AF871" s="268"/>
      <c r="AG871" s="268"/>
      <c r="AH871" s="268"/>
      <c r="AI871" s="268"/>
      <c r="AJ871" s="268"/>
      <c r="AK871" s="268"/>
      <c r="AL871" s="268"/>
      <c r="AM871" s="268"/>
      <c r="AN871" s="259"/>
      <c r="AO871" s="268"/>
      <c r="AP871" s="268"/>
      <c r="AQ871" s="268"/>
      <c r="AR871" s="268"/>
      <c r="AS871" s="268"/>
      <c r="AT871" s="268"/>
      <c r="AU871" s="268"/>
      <c r="AV871" s="268"/>
      <c r="AW871" s="268"/>
      <c r="AX871" s="268"/>
      <c r="AY871" s="268"/>
      <c r="AZ871" s="268"/>
      <c r="BA871" s="268"/>
      <c r="BB871" s="268"/>
      <c r="BC871" s="268"/>
      <c r="BD871" s="287"/>
      <c r="BE871" s="268"/>
    </row>
    <row r="872" customFormat="false" ht="7.5" hidden="false" customHeight="true" outlineLevel="0" collapsed="false">
      <c r="A872" s="198"/>
      <c r="B872" s="266"/>
      <c r="C872" s="266"/>
      <c r="D872" s="266"/>
      <c r="E872" s="241"/>
      <c r="F872" s="241"/>
      <c r="G872" s="241"/>
      <c r="H872" s="204"/>
      <c r="I872" s="269"/>
      <c r="J872" s="269"/>
      <c r="K872" s="277"/>
      <c r="L872" s="269"/>
      <c r="M872" s="269"/>
      <c r="N872" s="269"/>
      <c r="O872" s="269"/>
      <c r="P872" s="269"/>
      <c r="Q872" s="269"/>
      <c r="R872" s="269"/>
      <c r="S872" s="269"/>
      <c r="T872" s="269"/>
      <c r="U872" s="269"/>
      <c r="V872" s="269"/>
      <c r="W872" s="269"/>
      <c r="X872" s="259"/>
      <c r="Y872" s="271"/>
      <c r="Z872" s="271"/>
      <c r="AA872" s="271"/>
      <c r="AB872" s="271"/>
      <c r="AC872" s="271"/>
      <c r="AD872" s="271"/>
      <c r="AE872" s="271"/>
      <c r="AF872" s="271"/>
      <c r="AG872" s="271"/>
      <c r="AH872" s="271"/>
      <c r="AI872" s="271"/>
      <c r="AJ872" s="272"/>
      <c r="AK872" s="273"/>
      <c r="AL872" s="273"/>
      <c r="AM872" s="273"/>
      <c r="AN872" s="259"/>
      <c r="AO872" s="271"/>
      <c r="AP872" s="271"/>
      <c r="AQ872" s="271"/>
      <c r="AR872" s="271"/>
      <c r="AS872" s="271"/>
      <c r="AT872" s="271"/>
      <c r="AU872" s="271"/>
      <c r="AV872" s="271"/>
      <c r="AW872" s="271"/>
      <c r="AX872" s="271"/>
      <c r="AY872" s="271"/>
      <c r="AZ872" s="272"/>
      <c r="BA872" s="273"/>
      <c r="BB872" s="273"/>
      <c r="BC872" s="273"/>
      <c r="BD872" s="287"/>
      <c r="BE872" s="274"/>
    </row>
    <row r="873" customFormat="false" ht="15" hidden="false" customHeight="true" outlineLevel="0" collapsed="false">
      <c r="B873" s="333"/>
      <c r="C873" s="334"/>
      <c r="D873" s="333" t="n">
        <f aca="false">D857</f>
        <v>45292</v>
      </c>
      <c r="E873" s="277" t="n">
        <v>0</v>
      </c>
      <c r="F873" s="277" t="n">
        <v>0</v>
      </c>
      <c r="G873" s="277" t="n">
        <f aca="false">SUM(E873:F873)</f>
        <v>0</v>
      </c>
      <c r="H873" s="204"/>
      <c r="I873" s="279" t="n">
        <v>1</v>
      </c>
      <c r="J873" s="280" t="n">
        <f aca="false">1-I873</f>
        <v>0</v>
      </c>
      <c r="K873" s="277"/>
      <c r="L873" s="282"/>
      <c r="M873" s="282"/>
      <c r="N873" s="282"/>
      <c r="O873" s="282"/>
      <c r="P873" s="282"/>
      <c r="Q873" s="282"/>
      <c r="R873" s="282"/>
      <c r="S873" s="282"/>
      <c r="T873" s="282"/>
      <c r="U873" s="282"/>
      <c r="V873" s="282"/>
      <c r="W873" s="282"/>
      <c r="X873" s="268"/>
      <c r="Y873" s="284" t="n">
        <f aca="false">IFERROR(L873*$G873*I$9, "")</f>
        <v>0</v>
      </c>
      <c r="Z873" s="284" t="n">
        <f aca="false">IFERROR(M873*$G873*$I873, "")</f>
        <v>0</v>
      </c>
      <c r="AA873" s="284" t="n">
        <f aca="false">IFERROR(N873*$G873*$I873, "")</f>
        <v>0</v>
      </c>
      <c r="AB873" s="284" t="n">
        <f aca="false">IFERROR(O873*$G873*$I873, "")</f>
        <v>0</v>
      </c>
      <c r="AC873" s="284" t="n">
        <f aca="false">IFERROR(P873*$G873*$I873, "")</f>
        <v>0</v>
      </c>
      <c r="AD873" s="284" t="n">
        <f aca="false">IFERROR(Q873*$G873*$I873, "")</f>
        <v>0</v>
      </c>
      <c r="AE873" s="284" t="n">
        <f aca="false">IFERROR(R873*$G873*$I873, "")</f>
        <v>0</v>
      </c>
      <c r="AF873" s="284" t="n">
        <f aca="false">IFERROR(S873*$G873*$I873, "")</f>
        <v>0</v>
      </c>
      <c r="AG873" s="284" t="n">
        <f aca="false">IFERROR(T873*$G873*$I873, "")</f>
        <v>0</v>
      </c>
      <c r="AH873" s="284" t="n">
        <f aca="false">IFERROR(U873*$G873*$I873, "")</f>
        <v>0</v>
      </c>
      <c r="AI873" s="284" t="n">
        <f aca="false">IFERROR(V873*$G873*$I873, "")</f>
        <v>0</v>
      </c>
      <c r="AJ873" s="284" t="n">
        <f aca="false">IFERROR(W873*$G873*$I873, "")</f>
        <v>0</v>
      </c>
      <c r="AK873" s="286" t="n">
        <f aca="false">IFERROR(SUMIF($Y$4:$AJ$4, "RDEC", Y873:AJ873), "")</f>
        <v>0</v>
      </c>
      <c r="AL873" s="286" t="n">
        <f aca="false">IFERROR(SUMIF($Y$4:$AJ$4, "SME", Y873:AJ873), "")</f>
        <v>0</v>
      </c>
      <c r="AM873" s="286" t="n">
        <f aca="false">IFERROR(SUMIF($Y$4:$AJ$4, "De Minimis", Y873:AJ873), "")</f>
        <v>0</v>
      </c>
      <c r="AN873" s="268"/>
      <c r="AO873" s="284" t="n">
        <f aca="false">IFERROR($G873*$J873*L873, "")</f>
        <v>0</v>
      </c>
      <c r="AP873" s="284" t="n">
        <f aca="false">IFERROR($G873*$J873*M873, "")</f>
        <v>0</v>
      </c>
      <c r="AQ873" s="284" t="n">
        <f aca="false">IFERROR($G873*$J873*N873, "")</f>
        <v>0</v>
      </c>
      <c r="AR873" s="284" t="n">
        <f aca="false">IFERROR($G873*$J873*O873, "")</f>
        <v>0</v>
      </c>
      <c r="AS873" s="284" t="n">
        <f aca="false">IFERROR($G873*$J873*P873, "")</f>
        <v>0</v>
      </c>
      <c r="AT873" s="284" t="n">
        <f aca="false">IFERROR($G873*$J873*Q873, "")</f>
        <v>0</v>
      </c>
      <c r="AU873" s="284" t="n">
        <f aca="false">IFERROR($G873*$J873*R873, "")</f>
        <v>0</v>
      </c>
      <c r="AV873" s="284" t="n">
        <f aca="false">IFERROR($G873*$J873*S873, "")</f>
        <v>0</v>
      </c>
      <c r="AW873" s="284" t="n">
        <f aca="false">IFERROR($G873*$J873*T873, "")</f>
        <v>0</v>
      </c>
      <c r="AX873" s="284" t="n">
        <f aca="false">IFERROR($G873*$J873*U873, "")</f>
        <v>0</v>
      </c>
      <c r="AY873" s="284" t="n">
        <f aca="false">IFERROR($G873*$J873*V873, "")</f>
        <v>0</v>
      </c>
      <c r="AZ873" s="284" t="n">
        <f aca="false">IFERROR($G873*$J873*W873, "")</f>
        <v>0</v>
      </c>
      <c r="BA873" s="286" t="n">
        <f aca="false">IFERROR(SUMIF($AO$4:$AZ$4, "RDEC", AO873:AZ873), "")</f>
        <v>0</v>
      </c>
      <c r="BB873" s="286" t="n">
        <f aca="false">IFERROR(SUMIF($AO$4:$AZ$4, "SME", AO873:AZ873), "")</f>
        <v>0</v>
      </c>
      <c r="BC873" s="286" t="n">
        <f aca="false">IFERROR(SUMIF($AO$4:$AZ$4, "De Minimis", AO873:AZ873), "")</f>
        <v>0</v>
      </c>
      <c r="BD873" s="287"/>
      <c r="BE873" s="288" t="str">
        <f aca="false">IF((SUM(L873:W873)&gt;1),"ERROR","")</f>
        <v/>
      </c>
    </row>
    <row r="874" customFormat="false" ht="15" hidden="false" customHeight="true" outlineLevel="0" collapsed="false">
      <c r="B874" s="333"/>
      <c r="C874" s="334"/>
      <c r="D874" s="333" t="n">
        <f aca="false">D858</f>
        <v>45323</v>
      </c>
      <c r="E874" s="277" t="n">
        <v>0</v>
      </c>
      <c r="F874" s="277" t="n">
        <v>0</v>
      </c>
      <c r="G874" s="277" t="n">
        <f aca="false">SUM(E874:F874)</f>
        <v>0</v>
      </c>
      <c r="H874" s="204"/>
      <c r="I874" s="279" t="n">
        <v>1</v>
      </c>
      <c r="J874" s="280" t="n">
        <f aca="false">1-I874</f>
        <v>0</v>
      </c>
      <c r="K874" s="277"/>
      <c r="L874" s="282"/>
      <c r="M874" s="282"/>
      <c r="N874" s="282"/>
      <c r="O874" s="282"/>
      <c r="P874" s="282"/>
      <c r="Q874" s="282"/>
      <c r="R874" s="282"/>
      <c r="S874" s="282"/>
      <c r="T874" s="282"/>
      <c r="U874" s="282"/>
      <c r="V874" s="282"/>
      <c r="W874" s="282"/>
      <c r="X874" s="283"/>
      <c r="Y874" s="284" t="n">
        <f aca="false">IFERROR(L874*$G874*I$9, "")</f>
        <v>0</v>
      </c>
      <c r="Z874" s="284" t="n">
        <f aca="false">IFERROR(M874*$G874*$I874, "")</f>
        <v>0</v>
      </c>
      <c r="AA874" s="284" t="n">
        <f aca="false">IFERROR(N874*$G874*$I874, "")</f>
        <v>0</v>
      </c>
      <c r="AB874" s="284" t="n">
        <f aca="false">IFERROR(O874*$G874*$I874, "")</f>
        <v>0</v>
      </c>
      <c r="AC874" s="284" t="n">
        <f aca="false">IFERROR(P874*$G874*$I874, "")</f>
        <v>0</v>
      </c>
      <c r="AD874" s="284" t="n">
        <f aca="false">IFERROR(Q874*$G874*$I874, "")</f>
        <v>0</v>
      </c>
      <c r="AE874" s="284" t="n">
        <f aca="false">IFERROR(R874*$G874*$I874, "")</f>
        <v>0</v>
      </c>
      <c r="AF874" s="284" t="n">
        <f aca="false">IFERROR(S874*$G874*$I874, "")</f>
        <v>0</v>
      </c>
      <c r="AG874" s="284" t="n">
        <f aca="false">IFERROR(T874*$G874*$I874, "")</f>
        <v>0</v>
      </c>
      <c r="AH874" s="284" t="n">
        <f aca="false">IFERROR(U874*$G874*$I874, "")</f>
        <v>0</v>
      </c>
      <c r="AI874" s="284" t="n">
        <f aca="false">IFERROR(V874*$G874*$I874, "")</f>
        <v>0</v>
      </c>
      <c r="AJ874" s="284" t="n">
        <f aca="false">IFERROR(W874*$G874*$I874, "")</f>
        <v>0</v>
      </c>
      <c r="AK874" s="286" t="n">
        <f aca="false">IFERROR(SUMIF($Y$4:$AJ$4, "RDEC", Y874:AJ874), "")</f>
        <v>0</v>
      </c>
      <c r="AL874" s="286" t="n">
        <f aca="false">IFERROR(SUMIF($Y$4:$AJ$4, "SME", Y874:AJ874), "")</f>
        <v>0</v>
      </c>
      <c r="AM874" s="286" t="n">
        <f aca="false">IFERROR(SUMIF($Y$4:$AJ$4, "De Minimis", Y874:AJ874), "")</f>
        <v>0</v>
      </c>
      <c r="AN874" s="283"/>
      <c r="AO874" s="284" t="n">
        <f aca="false">IFERROR($G874*$J874*L874, "")</f>
        <v>0</v>
      </c>
      <c r="AP874" s="284" t="n">
        <f aca="false">IFERROR($G874*$J874*M874, "")</f>
        <v>0</v>
      </c>
      <c r="AQ874" s="284" t="n">
        <f aca="false">IFERROR($G874*$J874*N874, "")</f>
        <v>0</v>
      </c>
      <c r="AR874" s="284" t="n">
        <f aca="false">IFERROR($G874*$J874*O874, "")</f>
        <v>0</v>
      </c>
      <c r="AS874" s="284" t="n">
        <f aca="false">IFERROR($G874*$J874*P874, "")</f>
        <v>0</v>
      </c>
      <c r="AT874" s="284" t="n">
        <f aca="false">IFERROR($G874*$J874*Q874, "")</f>
        <v>0</v>
      </c>
      <c r="AU874" s="284" t="n">
        <f aca="false">IFERROR($G874*$J874*R874, "")</f>
        <v>0</v>
      </c>
      <c r="AV874" s="284" t="n">
        <f aca="false">IFERROR($G874*$J874*S874, "")</f>
        <v>0</v>
      </c>
      <c r="AW874" s="284" t="n">
        <f aca="false">IFERROR($G874*$J874*T874, "")</f>
        <v>0</v>
      </c>
      <c r="AX874" s="284" t="n">
        <f aca="false">IFERROR($G874*$J874*U874, "")</f>
        <v>0</v>
      </c>
      <c r="AY874" s="284" t="n">
        <f aca="false">IFERROR($G874*$J874*V874, "")</f>
        <v>0</v>
      </c>
      <c r="AZ874" s="284" t="n">
        <f aca="false">IFERROR($G874*$J874*W874, "")</f>
        <v>0</v>
      </c>
      <c r="BA874" s="286" t="n">
        <f aca="false">IFERROR(SUMIF($AO$4:$AZ$4, "RDEC", AO874:AZ874), "")</f>
        <v>0</v>
      </c>
      <c r="BB874" s="286" t="n">
        <f aca="false">IFERROR(SUMIF($AO$4:$AZ$4, "SME", AO874:AZ874), "")</f>
        <v>0</v>
      </c>
      <c r="BC874" s="286" t="n">
        <f aca="false">IFERROR(SUMIF($Y$4:$AJ$4, "De Minimis", AO874:AZ874), "")</f>
        <v>0</v>
      </c>
      <c r="BD874" s="287"/>
      <c r="BE874" s="288" t="str">
        <f aca="false">IF((SUM(L874:W874)&gt;1),"ERROR","")</f>
        <v/>
      </c>
    </row>
    <row r="875" customFormat="false" ht="15" hidden="false" customHeight="true" outlineLevel="0" collapsed="false">
      <c r="B875" s="333"/>
      <c r="C875" s="334"/>
      <c r="D875" s="333" t="n">
        <f aca="false">D859</f>
        <v>45352</v>
      </c>
      <c r="E875" s="277" t="n">
        <v>0</v>
      </c>
      <c r="F875" s="277" t="n">
        <v>0</v>
      </c>
      <c r="G875" s="277" t="n">
        <f aca="false">SUM(E875:F875)</f>
        <v>0</v>
      </c>
      <c r="H875" s="204"/>
      <c r="I875" s="279" t="n">
        <v>1</v>
      </c>
      <c r="J875" s="280" t="n">
        <f aca="false">1-I875</f>
        <v>0</v>
      </c>
      <c r="K875" s="277"/>
      <c r="L875" s="282"/>
      <c r="M875" s="282"/>
      <c r="N875" s="282"/>
      <c r="O875" s="282"/>
      <c r="P875" s="282"/>
      <c r="Q875" s="282"/>
      <c r="R875" s="282"/>
      <c r="S875" s="282"/>
      <c r="T875" s="282"/>
      <c r="U875" s="282"/>
      <c r="V875" s="282"/>
      <c r="W875" s="282"/>
      <c r="X875" s="283"/>
      <c r="Y875" s="284" t="n">
        <f aca="false">IFERROR(L875*$G875*I$9, "")</f>
        <v>0</v>
      </c>
      <c r="Z875" s="284" t="n">
        <f aca="false">IFERROR(M875*$G875*$I875, "")</f>
        <v>0</v>
      </c>
      <c r="AA875" s="284" t="n">
        <f aca="false">IFERROR(N875*$G875*$I875, "")</f>
        <v>0</v>
      </c>
      <c r="AB875" s="284" t="n">
        <f aca="false">IFERROR(O875*$G875*$I875, "")</f>
        <v>0</v>
      </c>
      <c r="AC875" s="284" t="n">
        <f aca="false">IFERROR(P875*$G875*$I875, "")</f>
        <v>0</v>
      </c>
      <c r="AD875" s="284" t="n">
        <f aca="false">IFERROR(Q875*$G875*$I875, "")</f>
        <v>0</v>
      </c>
      <c r="AE875" s="284" t="n">
        <f aca="false">IFERROR(R875*$G875*$I875, "")</f>
        <v>0</v>
      </c>
      <c r="AF875" s="284" t="n">
        <f aca="false">IFERROR(S875*$G875*$I875, "")</f>
        <v>0</v>
      </c>
      <c r="AG875" s="284" t="n">
        <f aca="false">IFERROR(T875*$G875*$I875, "")</f>
        <v>0</v>
      </c>
      <c r="AH875" s="284" t="n">
        <f aca="false">IFERROR(U875*$G875*$I875, "")</f>
        <v>0</v>
      </c>
      <c r="AI875" s="284" t="n">
        <f aca="false">IFERROR(V875*$G875*$I875, "")</f>
        <v>0</v>
      </c>
      <c r="AJ875" s="284" t="n">
        <f aca="false">IFERROR(W875*$G875*$I875, "")</f>
        <v>0</v>
      </c>
      <c r="AK875" s="286" t="n">
        <f aca="false">IFERROR(SUMIF($Y$4:$AJ$4, "RDEC", Y875:AJ875), "")</f>
        <v>0</v>
      </c>
      <c r="AL875" s="286" t="n">
        <f aca="false">IFERROR(SUMIF($Y$4:$AJ$4, "SME", Y875:AJ875), "")</f>
        <v>0</v>
      </c>
      <c r="AM875" s="286" t="n">
        <f aca="false">IFERROR(SUMIF($Y$4:$AJ$4, "De Minimis", Y875:AJ875), "")</f>
        <v>0</v>
      </c>
      <c r="AN875" s="283"/>
      <c r="AO875" s="284" t="n">
        <f aca="false">IFERROR($G875*$J875*L875, "")</f>
        <v>0</v>
      </c>
      <c r="AP875" s="284" t="n">
        <f aca="false">IFERROR($G875*$J875*M875, "")</f>
        <v>0</v>
      </c>
      <c r="AQ875" s="284" t="n">
        <f aca="false">IFERROR($G875*$J875*N875, "")</f>
        <v>0</v>
      </c>
      <c r="AR875" s="284" t="n">
        <f aca="false">IFERROR($G875*$J875*O875, "")</f>
        <v>0</v>
      </c>
      <c r="AS875" s="284" t="n">
        <f aca="false">IFERROR($G875*$J875*P875, "")</f>
        <v>0</v>
      </c>
      <c r="AT875" s="284" t="n">
        <f aca="false">IFERROR($G875*$J875*Q875, "")</f>
        <v>0</v>
      </c>
      <c r="AU875" s="284" t="n">
        <f aca="false">IFERROR($G875*$J875*R875, "")</f>
        <v>0</v>
      </c>
      <c r="AV875" s="284" t="n">
        <f aca="false">IFERROR($G875*$J875*S875, "")</f>
        <v>0</v>
      </c>
      <c r="AW875" s="284" t="n">
        <f aca="false">IFERROR($G875*$J875*T875, "")</f>
        <v>0</v>
      </c>
      <c r="AX875" s="284" t="n">
        <f aca="false">IFERROR($G875*$J875*U875, "")</f>
        <v>0</v>
      </c>
      <c r="AY875" s="284" t="n">
        <f aca="false">IFERROR($G875*$J875*V875, "")</f>
        <v>0</v>
      </c>
      <c r="AZ875" s="284" t="n">
        <f aca="false">IFERROR($G875*$J875*W875, "")</f>
        <v>0</v>
      </c>
      <c r="BA875" s="286" t="n">
        <f aca="false">IFERROR(SUMIF($AO$4:$AZ$4, "RDEC", AO875:AZ875), "")</f>
        <v>0</v>
      </c>
      <c r="BB875" s="286" t="n">
        <f aca="false">IFERROR(SUMIF($AO$4:$AZ$4, "SME", AO875:AZ875), "")</f>
        <v>0</v>
      </c>
      <c r="BC875" s="286" t="n">
        <f aca="false">IFERROR(SUMIF($Y$4:$AJ$4, "De Minimis", AO875:AZ875), "")</f>
        <v>0</v>
      </c>
      <c r="BD875" s="287"/>
      <c r="BE875" s="288" t="str">
        <f aca="false">IF((SUM(L875:W875)&gt;1),"ERROR","")</f>
        <v/>
      </c>
    </row>
    <row r="876" customFormat="false" ht="15" hidden="false" customHeight="true" outlineLevel="0" collapsed="false">
      <c r="B876" s="333"/>
      <c r="C876" s="334"/>
      <c r="D876" s="333" t="n">
        <f aca="false">D860</f>
        <v>45383</v>
      </c>
      <c r="E876" s="277" t="n">
        <v>0</v>
      </c>
      <c r="F876" s="277" t="n">
        <v>0</v>
      </c>
      <c r="G876" s="277" t="n">
        <f aca="false">SUM(E876:F876)</f>
        <v>0</v>
      </c>
      <c r="H876" s="204"/>
      <c r="I876" s="279" t="n">
        <v>1</v>
      </c>
      <c r="J876" s="280" t="n">
        <f aca="false">1-I876</f>
        <v>0</v>
      </c>
      <c r="K876" s="277"/>
      <c r="L876" s="282"/>
      <c r="M876" s="282"/>
      <c r="N876" s="282"/>
      <c r="O876" s="282"/>
      <c r="P876" s="282"/>
      <c r="Q876" s="282"/>
      <c r="R876" s="282"/>
      <c r="S876" s="282"/>
      <c r="T876" s="282"/>
      <c r="U876" s="282"/>
      <c r="V876" s="282"/>
      <c r="W876" s="282"/>
      <c r="X876" s="283"/>
      <c r="Y876" s="284" t="n">
        <f aca="false">IFERROR(L876*$G876*I$9, "")</f>
        <v>0</v>
      </c>
      <c r="Z876" s="284" t="n">
        <f aca="false">IFERROR(M876*$G876*$I876, "")</f>
        <v>0</v>
      </c>
      <c r="AA876" s="284" t="n">
        <f aca="false">IFERROR(N876*$G876*$I876, "")</f>
        <v>0</v>
      </c>
      <c r="AB876" s="284" t="n">
        <f aca="false">IFERROR(O876*$G876*$I876, "")</f>
        <v>0</v>
      </c>
      <c r="AC876" s="284" t="n">
        <f aca="false">IFERROR(P876*$G876*$I876, "")</f>
        <v>0</v>
      </c>
      <c r="AD876" s="284" t="n">
        <f aca="false">IFERROR(Q876*$G876*$I876, "")</f>
        <v>0</v>
      </c>
      <c r="AE876" s="284" t="n">
        <f aca="false">IFERROR(R876*$G876*$I876, "")</f>
        <v>0</v>
      </c>
      <c r="AF876" s="284" t="n">
        <f aca="false">IFERROR(S876*$G876*$I876, "")</f>
        <v>0</v>
      </c>
      <c r="AG876" s="284" t="n">
        <f aca="false">IFERROR(T876*$G876*$I876, "")</f>
        <v>0</v>
      </c>
      <c r="AH876" s="284" t="n">
        <f aca="false">IFERROR(U876*$G876*$I876, "")</f>
        <v>0</v>
      </c>
      <c r="AI876" s="284" t="n">
        <f aca="false">IFERROR(V876*$G876*$I876, "")</f>
        <v>0</v>
      </c>
      <c r="AJ876" s="284" t="n">
        <f aca="false">IFERROR(W876*$G876*$I876, "")</f>
        <v>0</v>
      </c>
      <c r="AK876" s="286" t="n">
        <f aca="false">IFERROR(SUMIF($Y$4:$AJ$4, "RDEC", Y876:AJ876), "")</f>
        <v>0</v>
      </c>
      <c r="AL876" s="286" t="n">
        <f aca="false">IFERROR(SUMIF($Y$4:$AJ$4, "SME", Y876:AJ876), "")</f>
        <v>0</v>
      </c>
      <c r="AM876" s="286" t="n">
        <f aca="false">IFERROR(SUMIF($Y$4:$AJ$4, "De Minimis", Y876:AJ876), "")</f>
        <v>0</v>
      </c>
      <c r="AN876" s="283"/>
      <c r="AO876" s="284" t="n">
        <f aca="false">IFERROR($G876*$J876*L876, "")</f>
        <v>0</v>
      </c>
      <c r="AP876" s="284" t="n">
        <f aca="false">IFERROR($G876*$J876*M876, "")</f>
        <v>0</v>
      </c>
      <c r="AQ876" s="284" t="n">
        <f aca="false">IFERROR($G876*$J876*N876, "")</f>
        <v>0</v>
      </c>
      <c r="AR876" s="284" t="n">
        <f aca="false">IFERROR($G876*$J876*O876, "")</f>
        <v>0</v>
      </c>
      <c r="AS876" s="284" t="n">
        <f aca="false">IFERROR($G876*$J876*P876, "")</f>
        <v>0</v>
      </c>
      <c r="AT876" s="284" t="n">
        <f aca="false">IFERROR($G876*$J876*Q876, "")</f>
        <v>0</v>
      </c>
      <c r="AU876" s="284" t="n">
        <f aca="false">IFERROR($G876*$J876*R876, "")</f>
        <v>0</v>
      </c>
      <c r="AV876" s="284" t="n">
        <f aca="false">IFERROR($G876*$J876*S876, "")</f>
        <v>0</v>
      </c>
      <c r="AW876" s="284" t="n">
        <f aca="false">IFERROR($G876*$J876*T876, "")</f>
        <v>0</v>
      </c>
      <c r="AX876" s="284" t="n">
        <f aca="false">IFERROR($G876*$J876*U876, "")</f>
        <v>0</v>
      </c>
      <c r="AY876" s="284" t="n">
        <f aca="false">IFERROR($G876*$J876*V876, "")</f>
        <v>0</v>
      </c>
      <c r="AZ876" s="284" t="n">
        <f aca="false">IFERROR($G876*$J876*W876, "")</f>
        <v>0</v>
      </c>
      <c r="BA876" s="286" t="n">
        <f aca="false">IFERROR(SUMIF($AO$4:$AZ$4, "RDEC", AO876:AZ876), "")</f>
        <v>0</v>
      </c>
      <c r="BB876" s="286" t="n">
        <f aca="false">IFERROR(SUMIF($AO$4:$AZ$4, "SME", AO876:AZ876), "")</f>
        <v>0</v>
      </c>
      <c r="BC876" s="286" t="n">
        <f aca="false">IFERROR(SUMIF($Y$4:$AJ$4, "De Minimis", AO876:AZ876), "")</f>
        <v>0</v>
      </c>
      <c r="BD876" s="287"/>
      <c r="BE876" s="288" t="str">
        <f aca="false">IF((SUM(L876:W876)&gt;1),"ERROR","")</f>
        <v/>
      </c>
    </row>
    <row r="877" customFormat="false" ht="15" hidden="false" customHeight="true" outlineLevel="0" collapsed="false">
      <c r="B877" s="333"/>
      <c r="C877" s="334"/>
      <c r="D877" s="333" t="n">
        <f aca="false">D861</f>
        <v>45413</v>
      </c>
      <c r="E877" s="277" t="n">
        <v>0</v>
      </c>
      <c r="F877" s="277" t="n">
        <v>0</v>
      </c>
      <c r="G877" s="277" t="n">
        <f aca="false">SUM(E877:F877)</f>
        <v>0</v>
      </c>
      <c r="H877" s="204"/>
      <c r="I877" s="279" t="n">
        <v>1</v>
      </c>
      <c r="J877" s="280" t="n">
        <f aca="false">1-I877</f>
        <v>0</v>
      </c>
      <c r="K877" s="277"/>
      <c r="L877" s="282"/>
      <c r="M877" s="282"/>
      <c r="N877" s="282"/>
      <c r="O877" s="282"/>
      <c r="P877" s="282"/>
      <c r="Q877" s="282"/>
      <c r="R877" s="282"/>
      <c r="S877" s="282"/>
      <c r="T877" s="282"/>
      <c r="U877" s="282"/>
      <c r="V877" s="282"/>
      <c r="W877" s="282"/>
      <c r="X877" s="283"/>
      <c r="Y877" s="284" t="n">
        <f aca="false">IFERROR(L877*$G877*I$9, "")</f>
        <v>0</v>
      </c>
      <c r="Z877" s="284" t="n">
        <f aca="false">IFERROR(M877*$G877*$I877, "")</f>
        <v>0</v>
      </c>
      <c r="AA877" s="284" t="n">
        <f aca="false">IFERROR(N877*$G877*$I877, "")</f>
        <v>0</v>
      </c>
      <c r="AB877" s="284" t="n">
        <f aca="false">IFERROR(O877*$G877*$I877, "")</f>
        <v>0</v>
      </c>
      <c r="AC877" s="284" t="n">
        <f aca="false">IFERROR(P877*$G877*$I877, "")</f>
        <v>0</v>
      </c>
      <c r="AD877" s="284" t="n">
        <f aca="false">IFERROR(Q877*$G877*$I877, "")</f>
        <v>0</v>
      </c>
      <c r="AE877" s="284" t="n">
        <f aca="false">IFERROR(R877*$G877*$I877, "")</f>
        <v>0</v>
      </c>
      <c r="AF877" s="284" t="n">
        <f aca="false">IFERROR(S877*$G877*$I877, "")</f>
        <v>0</v>
      </c>
      <c r="AG877" s="284" t="n">
        <f aca="false">IFERROR(T877*$G877*$I877, "")</f>
        <v>0</v>
      </c>
      <c r="AH877" s="284" t="n">
        <f aca="false">IFERROR(U877*$G877*$I877, "")</f>
        <v>0</v>
      </c>
      <c r="AI877" s="284" t="n">
        <f aca="false">IFERROR(V877*$G877*$I877, "")</f>
        <v>0</v>
      </c>
      <c r="AJ877" s="284" t="n">
        <f aca="false">IFERROR(W877*$G877*$I877, "")</f>
        <v>0</v>
      </c>
      <c r="AK877" s="286" t="n">
        <f aca="false">IFERROR(SUMIF($Y$4:$AJ$4, "RDEC", Y877:AJ877), "")</f>
        <v>0</v>
      </c>
      <c r="AL877" s="286" t="n">
        <f aca="false">IFERROR(SUMIF($Y$4:$AJ$4, "SME", Y877:AJ877), "")</f>
        <v>0</v>
      </c>
      <c r="AM877" s="286" t="n">
        <f aca="false">IFERROR(SUMIF($Y$4:$AJ$4, "De Minimis", Y877:AJ877), "")</f>
        <v>0</v>
      </c>
      <c r="AN877" s="283"/>
      <c r="AO877" s="284" t="n">
        <f aca="false">IFERROR($G877*$J877*L877, "")</f>
        <v>0</v>
      </c>
      <c r="AP877" s="284" t="n">
        <f aca="false">IFERROR($G877*$J877*M877, "")</f>
        <v>0</v>
      </c>
      <c r="AQ877" s="284" t="n">
        <f aca="false">IFERROR($G877*$J877*N877, "")</f>
        <v>0</v>
      </c>
      <c r="AR877" s="284" t="n">
        <f aca="false">IFERROR($G877*$J877*O877, "")</f>
        <v>0</v>
      </c>
      <c r="AS877" s="284" t="n">
        <f aca="false">IFERROR($G877*$J877*P877, "")</f>
        <v>0</v>
      </c>
      <c r="AT877" s="284" t="n">
        <f aca="false">IFERROR($G877*$J877*Q877, "")</f>
        <v>0</v>
      </c>
      <c r="AU877" s="284" t="n">
        <f aca="false">IFERROR($G877*$J877*R877, "")</f>
        <v>0</v>
      </c>
      <c r="AV877" s="284" t="n">
        <f aca="false">IFERROR($G877*$J877*S877, "")</f>
        <v>0</v>
      </c>
      <c r="AW877" s="284" t="n">
        <f aca="false">IFERROR($G877*$J877*T877, "")</f>
        <v>0</v>
      </c>
      <c r="AX877" s="284" t="n">
        <f aca="false">IFERROR($G877*$J877*U877, "")</f>
        <v>0</v>
      </c>
      <c r="AY877" s="284" t="n">
        <f aca="false">IFERROR($G877*$J877*V877, "")</f>
        <v>0</v>
      </c>
      <c r="AZ877" s="284" t="n">
        <f aca="false">IFERROR($G877*$J877*W877, "")</f>
        <v>0</v>
      </c>
      <c r="BA877" s="286" t="n">
        <f aca="false">IFERROR(SUMIF($AO$4:$AZ$4, "RDEC", AO877:AZ877), "")</f>
        <v>0</v>
      </c>
      <c r="BB877" s="286" t="n">
        <f aca="false">IFERROR(SUMIF($AO$4:$AZ$4, "SME", AO877:AZ877), "")</f>
        <v>0</v>
      </c>
      <c r="BC877" s="286" t="n">
        <f aca="false">IFERROR(SUMIF($Y$4:$AJ$4, "De Minimis", AO877:AZ877), "")</f>
        <v>0</v>
      </c>
      <c r="BD877" s="287"/>
      <c r="BE877" s="288" t="str">
        <f aca="false">IF((SUM(L877:W877)&gt;1),"ERROR","")</f>
        <v/>
      </c>
    </row>
    <row r="878" customFormat="false" ht="15" hidden="false" customHeight="true" outlineLevel="0" collapsed="false">
      <c r="B878" s="333"/>
      <c r="C878" s="334"/>
      <c r="D878" s="333" t="n">
        <f aca="false">D862</f>
        <v>45444</v>
      </c>
      <c r="E878" s="277" t="n">
        <v>0</v>
      </c>
      <c r="F878" s="277" t="n">
        <v>0</v>
      </c>
      <c r="G878" s="277" t="n">
        <f aca="false">SUM(E878:F878)</f>
        <v>0</v>
      </c>
      <c r="H878" s="204"/>
      <c r="I878" s="279" t="n">
        <v>1</v>
      </c>
      <c r="J878" s="280" t="n">
        <f aca="false">1-I878</f>
        <v>0</v>
      </c>
      <c r="K878" s="277"/>
      <c r="L878" s="282"/>
      <c r="M878" s="282"/>
      <c r="N878" s="282"/>
      <c r="O878" s="282"/>
      <c r="P878" s="282"/>
      <c r="Q878" s="282"/>
      <c r="R878" s="282"/>
      <c r="S878" s="282"/>
      <c r="T878" s="282"/>
      <c r="U878" s="282"/>
      <c r="V878" s="282"/>
      <c r="W878" s="282"/>
      <c r="X878" s="283"/>
      <c r="Y878" s="284" t="n">
        <f aca="false">IFERROR(L878*$G878*I$9, "")</f>
        <v>0</v>
      </c>
      <c r="Z878" s="284" t="n">
        <f aca="false">IFERROR(M878*$G878*$I878, "")</f>
        <v>0</v>
      </c>
      <c r="AA878" s="284" t="n">
        <f aca="false">IFERROR(N878*$G878*$I878, "")</f>
        <v>0</v>
      </c>
      <c r="AB878" s="284" t="n">
        <f aca="false">IFERROR(O878*$G878*$I878, "")</f>
        <v>0</v>
      </c>
      <c r="AC878" s="284" t="n">
        <f aca="false">IFERROR(P878*$G878*$I878, "")</f>
        <v>0</v>
      </c>
      <c r="AD878" s="284" t="n">
        <f aca="false">IFERROR(Q878*$G878*$I878, "")</f>
        <v>0</v>
      </c>
      <c r="AE878" s="284" t="n">
        <f aca="false">IFERROR(R878*$G878*$I878, "")</f>
        <v>0</v>
      </c>
      <c r="AF878" s="284" t="n">
        <f aca="false">IFERROR(S878*$G878*$I878, "")</f>
        <v>0</v>
      </c>
      <c r="AG878" s="284" t="n">
        <f aca="false">IFERROR(T878*$G878*$I878, "")</f>
        <v>0</v>
      </c>
      <c r="AH878" s="284" t="n">
        <f aca="false">IFERROR(U878*$G878*$I878, "")</f>
        <v>0</v>
      </c>
      <c r="AI878" s="284" t="n">
        <f aca="false">IFERROR(V878*$G878*$I878, "")</f>
        <v>0</v>
      </c>
      <c r="AJ878" s="284" t="n">
        <f aca="false">IFERROR(W878*$G878*$I878, "")</f>
        <v>0</v>
      </c>
      <c r="AK878" s="286" t="n">
        <f aca="false">IFERROR(SUMIF($Y$4:$AJ$4, "RDEC", Y878:AJ878), "")</f>
        <v>0</v>
      </c>
      <c r="AL878" s="286" t="n">
        <f aca="false">IFERROR(SUMIF($Y$4:$AJ$4, "SME", Y878:AJ878), "")</f>
        <v>0</v>
      </c>
      <c r="AM878" s="286" t="n">
        <f aca="false">IFERROR(SUMIF($Y$4:$AJ$4, "De Minimis", Y878:AJ878), "")</f>
        <v>0</v>
      </c>
      <c r="AN878" s="283"/>
      <c r="AO878" s="284" t="n">
        <f aca="false">IFERROR($G878*$J878*L878, "")</f>
        <v>0</v>
      </c>
      <c r="AP878" s="284" t="n">
        <f aca="false">IFERROR($G878*$J878*M878, "")</f>
        <v>0</v>
      </c>
      <c r="AQ878" s="284" t="n">
        <f aca="false">IFERROR($G878*$J878*N878, "")</f>
        <v>0</v>
      </c>
      <c r="AR878" s="284" t="n">
        <f aca="false">IFERROR($G878*$J878*O878, "")</f>
        <v>0</v>
      </c>
      <c r="AS878" s="284" t="n">
        <f aca="false">IFERROR($G878*$J878*P878, "")</f>
        <v>0</v>
      </c>
      <c r="AT878" s="284" t="n">
        <f aca="false">IFERROR($G878*$J878*Q878, "")</f>
        <v>0</v>
      </c>
      <c r="AU878" s="284" t="n">
        <f aca="false">IFERROR($G878*$J878*R878, "")</f>
        <v>0</v>
      </c>
      <c r="AV878" s="284" t="n">
        <f aca="false">IFERROR($G878*$J878*S878, "")</f>
        <v>0</v>
      </c>
      <c r="AW878" s="284" t="n">
        <f aca="false">IFERROR($G878*$J878*T878, "")</f>
        <v>0</v>
      </c>
      <c r="AX878" s="284" t="n">
        <f aca="false">IFERROR($G878*$J878*U878, "")</f>
        <v>0</v>
      </c>
      <c r="AY878" s="284" t="n">
        <f aca="false">IFERROR($G878*$J878*V878, "")</f>
        <v>0</v>
      </c>
      <c r="AZ878" s="284" t="n">
        <f aca="false">IFERROR($G878*$J878*W878, "")</f>
        <v>0</v>
      </c>
      <c r="BA878" s="286" t="n">
        <f aca="false">IFERROR(SUMIF($AO$4:$AZ$4, "RDEC", AO878:AZ878), "")</f>
        <v>0</v>
      </c>
      <c r="BB878" s="286" t="n">
        <f aca="false">IFERROR(SUMIF($AO$4:$AZ$4, "SME", AO878:AZ878), "")</f>
        <v>0</v>
      </c>
      <c r="BC878" s="286" t="n">
        <f aca="false">IFERROR(SUMIF($Y$4:$AJ$4, "De Minimis", AO878:AZ878), "")</f>
        <v>0</v>
      </c>
      <c r="BD878" s="287"/>
      <c r="BE878" s="288" t="str">
        <f aca="false">IF((SUM(L878:W878)&gt;1),"ERROR","")</f>
        <v/>
      </c>
    </row>
    <row r="879" customFormat="false" ht="15" hidden="false" customHeight="true" outlineLevel="0" collapsed="false">
      <c r="B879" s="333"/>
      <c r="C879" s="334"/>
      <c r="D879" s="333" t="n">
        <f aca="false">D863</f>
        <v>45474</v>
      </c>
      <c r="E879" s="277" t="n">
        <v>0</v>
      </c>
      <c r="F879" s="277" t="n">
        <v>0</v>
      </c>
      <c r="G879" s="277" t="n">
        <f aca="false">SUM(E879:F879)</f>
        <v>0</v>
      </c>
      <c r="H879" s="204"/>
      <c r="I879" s="279" t="n">
        <v>1</v>
      </c>
      <c r="J879" s="280" t="n">
        <f aca="false">1-I879</f>
        <v>0</v>
      </c>
      <c r="K879" s="277"/>
      <c r="L879" s="282"/>
      <c r="M879" s="282"/>
      <c r="N879" s="282"/>
      <c r="O879" s="282"/>
      <c r="P879" s="282"/>
      <c r="Q879" s="282"/>
      <c r="R879" s="282"/>
      <c r="S879" s="282"/>
      <c r="T879" s="282"/>
      <c r="U879" s="282"/>
      <c r="V879" s="282"/>
      <c r="W879" s="282"/>
      <c r="X879" s="283"/>
      <c r="Y879" s="284" t="n">
        <f aca="false">IFERROR(L879*$G879*I$9, "")</f>
        <v>0</v>
      </c>
      <c r="Z879" s="284" t="n">
        <f aca="false">IFERROR(M879*$G879*$I879, "")</f>
        <v>0</v>
      </c>
      <c r="AA879" s="284" t="n">
        <f aca="false">IFERROR(N879*$G879*$I879, "")</f>
        <v>0</v>
      </c>
      <c r="AB879" s="284" t="n">
        <f aca="false">IFERROR(O879*$G879*$I879, "")</f>
        <v>0</v>
      </c>
      <c r="AC879" s="284" t="n">
        <f aca="false">IFERROR(P879*$G879*$I879, "")</f>
        <v>0</v>
      </c>
      <c r="AD879" s="284" t="n">
        <f aca="false">IFERROR(Q879*$G879*$I879, "")</f>
        <v>0</v>
      </c>
      <c r="AE879" s="284" t="n">
        <f aca="false">IFERROR(R879*$G879*$I879, "")</f>
        <v>0</v>
      </c>
      <c r="AF879" s="284" t="n">
        <f aca="false">IFERROR(S879*$G879*$I879, "")</f>
        <v>0</v>
      </c>
      <c r="AG879" s="284" t="n">
        <f aca="false">IFERROR(T879*$G879*$I879, "")</f>
        <v>0</v>
      </c>
      <c r="AH879" s="284" t="n">
        <f aca="false">IFERROR(U879*$G879*$I879, "")</f>
        <v>0</v>
      </c>
      <c r="AI879" s="284" t="n">
        <f aca="false">IFERROR(V879*$G879*$I879, "")</f>
        <v>0</v>
      </c>
      <c r="AJ879" s="284" t="n">
        <f aca="false">IFERROR(W879*$G879*$I879, "")</f>
        <v>0</v>
      </c>
      <c r="AK879" s="286" t="n">
        <f aca="false">IFERROR(SUMIF($Y$4:$AJ$4, "RDEC", Y879:AJ879), "")</f>
        <v>0</v>
      </c>
      <c r="AL879" s="286" t="n">
        <f aca="false">IFERROR(SUMIF($Y$4:$AJ$4, "SME", Y879:AJ879), "")</f>
        <v>0</v>
      </c>
      <c r="AM879" s="286" t="n">
        <f aca="false">IFERROR(SUMIF($Y$4:$AJ$4, "De Minimis", Y879:AJ879), "")</f>
        <v>0</v>
      </c>
      <c r="AN879" s="283"/>
      <c r="AO879" s="284" t="n">
        <f aca="false">IFERROR($G879*$J879*L879, "")</f>
        <v>0</v>
      </c>
      <c r="AP879" s="284" t="n">
        <f aca="false">IFERROR($G879*$J879*M879, "")</f>
        <v>0</v>
      </c>
      <c r="AQ879" s="284" t="n">
        <f aca="false">IFERROR($G879*$J879*N879, "")</f>
        <v>0</v>
      </c>
      <c r="AR879" s="284" t="n">
        <f aca="false">IFERROR($G879*$J879*O879, "")</f>
        <v>0</v>
      </c>
      <c r="AS879" s="284" t="n">
        <f aca="false">IFERROR($G879*$J879*P879, "")</f>
        <v>0</v>
      </c>
      <c r="AT879" s="284" t="n">
        <f aca="false">IFERROR($G879*$J879*Q879, "")</f>
        <v>0</v>
      </c>
      <c r="AU879" s="284" t="n">
        <f aca="false">IFERROR($G879*$J879*R879, "")</f>
        <v>0</v>
      </c>
      <c r="AV879" s="284" t="n">
        <f aca="false">IFERROR($G879*$J879*S879, "")</f>
        <v>0</v>
      </c>
      <c r="AW879" s="284" t="n">
        <f aca="false">IFERROR($G879*$J879*T879, "")</f>
        <v>0</v>
      </c>
      <c r="AX879" s="284" t="n">
        <f aca="false">IFERROR($G879*$J879*U879, "")</f>
        <v>0</v>
      </c>
      <c r="AY879" s="284" t="n">
        <f aca="false">IFERROR($G879*$J879*V879, "")</f>
        <v>0</v>
      </c>
      <c r="AZ879" s="284" t="n">
        <f aca="false">IFERROR($G879*$J879*W879, "")</f>
        <v>0</v>
      </c>
      <c r="BA879" s="286" t="n">
        <f aca="false">IFERROR(SUMIF($AO$4:$AZ$4, "RDEC", AO879:AZ879), "")</f>
        <v>0</v>
      </c>
      <c r="BB879" s="286" t="n">
        <f aca="false">IFERROR(SUMIF($AO$4:$AZ$4, "SME", AO879:AZ879), "")</f>
        <v>0</v>
      </c>
      <c r="BC879" s="286" t="n">
        <f aca="false">IFERROR(SUMIF($Y$4:$AJ$4, "De Minimis", AO879:AZ879), "")</f>
        <v>0</v>
      </c>
      <c r="BD879" s="287"/>
      <c r="BE879" s="288" t="str">
        <f aca="false">IF((SUM(L879:W879)&gt;1),"ERROR","")</f>
        <v/>
      </c>
    </row>
    <row r="880" customFormat="false" ht="15" hidden="false" customHeight="true" outlineLevel="0" collapsed="false">
      <c r="B880" s="333"/>
      <c r="C880" s="334"/>
      <c r="D880" s="333" t="n">
        <f aca="false">D864</f>
        <v>45505</v>
      </c>
      <c r="E880" s="277" t="n">
        <v>0</v>
      </c>
      <c r="F880" s="277" t="n">
        <v>0</v>
      </c>
      <c r="G880" s="277" t="n">
        <f aca="false">SUM(E880:F880)</f>
        <v>0</v>
      </c>
      <c r="H880" s="204"/>
      <c r="I880" s="279" t="n">
        <v>1</v>
      </c>
      <c r="J880" s="280" t="n">
        <f aca="false">1-I880</f>
        <v>0</v>
      </c>
      <c r="K880" s="277"/>
      <c r="L880" s="282"/>
      <c r="M880" s="282"/>
      <c r="N880" s="282"/>
      <c r="O880" s="282"/>
      <c r="P880" s="282"/>
      <c r="Q880" s="282"/>
      <c r="R880" s="282"/>
      <c r="S880" s="282"/>
      <c r="T880" s="282"/>
      <c r="U880" s="282"/>
      <c r="V880" s="282"/>
      <c r="W880" s="282"/>
      <c r="X880" s="283"/>
      <c r="Y880" s="284" t="n">
        <f aca="false">IFERROR(L880*$G880*I$9, "")</f>
        <v>0</v>
      </c>
      <c r="Z880" s="284" t="n">
        <f aca="false">IFERROR(M880*$G880*$I880, "")</f>
        <v>0</v>
      </c>
      <c r="AA880" s="284" t="n">
        <f aca="false">IFERROR(N880*$G880*$I880, "")</f>
        <v>0</v>
      </c>
      <c r="AB880" s="284" t="n">
        <f aca="false">IFERROR(O880*$G880*$I880, "")</f>
        <v>0</v>
      </c>
      <c r="AC880" s="284" t="n">
        <f aca="false">IFERROR(P880*$G880*$I880, "")</f>
        <v>0</v>
      </c>
      <c r="AD880" s="284" t="n">
        <f aca="false">IFERROR(Q880*$G880*$I880, "")</f>
        <v>0</v>
      </c>
      <c r="AE880" s="284" t="n">
        <f aca="false">IFERROR(R880*$G880*$I880, "")</f>
        <v>0</v>
      </c>
      <c r="AF880" s="284" t="n">
        <f aca="false">IFERROR(S880*$G880*$I880, "")</f>
        <v>0</v>
      </c>
      <c r="AG880" s="284" t="n">
        <f aca="false">IFERROR(T880*$G880*$I880, "")</f>
        <v>0</v>
      </c>
      <c r="AH880" s="284" t="n">
        <f aca="false">IFERROR(U880*$G880*$I880, "")</f>
        <v>0</v>
      </c>
      <c r="AI880" s="284" t="n">
        <f aca="false">IFERROR(V880*$G880*$I880, "")</f>
        <v>0</v>
      </c>
      <c r="AJ880" s="284" t="n">
        <f aca="false">IFERROR(W880*$G880*$I880, "")</f>
        <v>0</v>
      </c>
      <c r="AK880" s="286" t="n">
        <f aca="false">IFERROR(SUMIF($Y$4:$AJ$4, "RDEC", Y880:AJ880), "")</f>
        <v>0</v>
      </c>
      <c r="AL880" s="286" t="n">
        <f aca="false">IFERROR(SUMIF($Y$4:$AJ$4, "SME", Y880:AJ880), "")</f>
        <v>0</v>
      </c>
      <c r="AM880" s="286" t="n">
        <f aca="false">IFERROR(SUMIF($Y$4:$AJ$4, "De Minimis", Y880:AJ880), "")</f>
        <v>0</v>
      </c>
      <c r="AN880" s="283"/>
      <c r="AO880" s="284" t="n">
        <f aca="false">IFERROR($G880*$J880*L880, "")</f>
        <v>0</v>
      </c>
      <c r="AP880" s="284" t="n">
        <f aca="false">IFERROR($G880*$J880*M880, "")</f>
        <v>0</v>
      </c>
      <c r="AQ880" s="284" t="n">
        <f aca="false">IFERROR($G880*$J880*N880, "")</f>
        <v>0</v>
      </c>
      <c r="AR880" s="284" t="n">
        <f aca="false">IFERROR($G880*$J880*O880, "")</f>
        <v>0</v>
      </c>
      <c r="AS880" s="284" t="n">
        <f aca="false">IFERROR($G880*$J880*P880, "")</f>
        <v>0</v>
      </c>
      <c r="AT880" s="284" t="n">
        <f aca="false">IFERROR($G880*$J880*Q880, "")</f>
        <v>0</v>
      </c>
      <c r="AU880" s="284" t="n">
        <f aca="false">IFERROR($G880*$J880*R880, "")</f>
        <v>0</v>
      </c>
      <c r="AV880" s="284" t="n">
        <f aca="false">IFERROR($G880*$J880*S880, "")</f>
        <v>0</v>
      </c>
      <c r="AW880" s="284" t="n">
        <f aca="false">IFERROR($G880*$J880*T880, "")</f>
        <v>0</v>
      </c>
      <c r="AX880" s="284" t="n">
        <f aca="false">IFERROR($G880*$J880*U880, "")</f>
        <v>0</v>
      </c>
      <c r="AY880" s="284" t="n">
        <f aca="false">IFERROR($G880*$J880*V880, "")</f>
        <v>0</v>
      </c>
      <c r="AZ880" s="284" t="n">
        <f aca="false">IFERROR($G880*$J880*W880, "")</f>
        <v>0</v>
      </c>
      <c r="BA880" s="286" t="n">
        <f aca="false">IFERROR(SUMIF($AO$4:$AZ$4, "RDEC", AO880:AZ880), "")</f>
        <v>0</v>
      </c>
      <c r="BB880" s="286" t="n">
        <f aca="false">IFERROR(SUMIF($AO$4:$AZ$4, "SME", AO880:AZ880), "")</f>
        <v>0</v>
      </c>
      <c r="BC880" s="286" t="n">
        <f aca="false">IFERROR(SUMIF($Y$4:$AJ$4, "De Minimis", AO880:AZ880), "")</f>
        <v>0</v>
      </c>
      <c r="BD880" s="287"/>
      <c r="BE880" s="288" t="str">
        <f aca="false">IF((SUM(L880:W880)&gt;1),"ERROR","")</f>
        <v/>
      </c>
    </row>
    <row r="881" customFormat="false" ht="15" hidden="false" customHeight="true" outlineLevel="0" collapsed="false">
      <c r="B881" s="333"/>
      <c r="C881" s="334"/>
      <c r="D881" s="333" t="n">
        <f aca="false">D865</f>
        <v>45536</v>
      </c>
      <c r="E881" s="277" t="n">
        <v>0</v>
      </c>
      <c r="F881" s="277" t="n">
        <v>0</v>
      </c>
      <c r="G881" s="277" t="n">
        <f aca="false">SUM(E881:F881)</f>
        <v>0</v>
      </c>
      <c r="H881" s="204"/>
      <c r="I881" s="279" t="n">
        <v>1</v>
      </c>
      <c r="J881" s="280" t="n">
        <f aca="false">1-I881</f>
        <v>0</v>
      </c>
      <c r="K881" s="277"/>
      <c r="L881" s="282"/>
      <c r="M881" s="282"/>
      <c r="N881" s="282"/>
      <c r="O881" s="282"/>
      <c r="P881" s="282"/>
      <c r="Q881" s="282"/>
      <c r="R881" s="282"/>
      <c r="S881" s="282"/>
      <c r="T881" s="282"/>
      <c r="U881" s="282"/>
      <c r="V881" s="282"/>
      <c r="W881" s="282"/>
      <c r="X881" s="283"/>
      <c r="Y881" s="284" t="n">
        <f aca="false">IFERROR(L881*$G881*I$9, "")</f>
        <v>0</v>
      </c>
      <c r="Z881" s="284" t="n">
        <f aca="false">IFERROR(M881*$G881*$I881, "")</f>
        <v>0</v>
      </c>
      <c r="AA881" s="284" t="n">
        <f aca="false">IFERROR(N881*$G881*$I881, "")</f>
        <v>0</v>
      </c>
      <c r="AB881" s="284" t="n">
        <f aca="false">IFERROR(O881*$G881*$I881, "")</f>
        <v>0</v>
      </c>
      <c r="AC881" s="284" t="n">
        <f aca="false">IFERROR(P881*$G881*$I881, "")</f>
        <v>0</v>
      </c>
      <c r="AD881" s="284" t="n">
        <f aca="false">IFERROR(Q881*$G881*$I881, "")</f>
        <v>0</v>
      </c>
      <c r="AE881" s="284" t="n">
        <f aca="false">IFERROR(R881*$G881*$I881, "")</f>
        <v>0</v>
      </c>
      <c r="AF881" s="284" t="n">
        <f aca="false">IFERROR(S881*$G881*$I881, "")</f>
        <v>0</v>
      </c>
      <c r="AG881" s="284" t="n">
        <f aca="false">IFERROR(T881*$G881*$I881, "")</f>
        <v>0</v>
      </c>
      <c r="AH881" s="284" t="n">
        <f aca="false">IFERROR(U881*$G881*$I881, "")</f>
        <v>0</v>
      </c>
      <c r="AI881" s="284" t="n">
        <f aca="false">IFERROR(V881*$G881*$I881, "")</f>
        <v>0</v>
      </c>
      <c r="AJ881" s="284" t="n">
        <f aca="false">IFERROR(W881*$G881*$I881, "")</f>
        <v>0</v>
      </c>
      <c r="AK881" s="286" t="n">
        <f aca="false">IFERROR(SUMIF($Y$4:$AJ$4, "RDEC", Y881:AJ881), "")</f>
        <v>0</v>
      </c>
      <c r="AL881" s="286" t="n">
        <f aca="false">IFERROR(SUMIF($Y$4:$AJ$4, "SME", Y881:AJ881), "")</f>
        <v>0</v>
      </c>
      <c r="AM881" s="286" t="n">
        <f aca="false">IFERROR(SUMIF($Y$4:$AJ$4, "De Minimis", Y881:AJ881), "")</f>
        <v>0</v>
      </c>
      <c r="AN881" s="283"/>
      <c r="AO881" s="284" t="n">
        <f aca="false">IFERROR($G881*$J881*L881, "")</f>
        <v>0</v>
      </c>
      <c r="AP881" s="284" t="n">
        <f aca="false">IFERROR($G881*$J881*M881, "")</f>
        <v>0</v>
      </c>
      <c r="AQ881" s="284" t="n">
        <f aca="false">IFERROR($G881*$J881*N881, "")</f>
        <v>0</v>
      </c>
      <c r="AR881" s="284" t="n">
        <f aca="false">IFERROR($G881*$J881*O881, "")</f>
        <v>0</v>
      </c>
      <c r="AS881" s="284" t="n">
        <f aca="false">IFERROR($G881*$J881*P881, "")</f>
        <v>0</v>
      </c>
      <c r="AT881" s="284" t="n">
        <f aca="false">IFERROR($G881*$J881*Q881, "")</f>
        <v>0</v>
      </c>
      <c r="AU881" s="284" t="n">
        <f aca="false">IFERROR($G881*$J881*R881, "")</f>
        <v>0</v>
      </c>
      <c r="AV881" s="284" t="n">
        <f aca="false">IFERROR($G881*$J881*S881, "")</f>
        <v>0</v>
      </c>
      <c r="AW881" s="284" t="n">
        <f aca="false">IFERROR($G881*$J881*T881, "")</f>
        <v>0</v>
      </c>
      <c r="AX881" s="284" t="n">
        <f aca="false">IFERROR($G881*$J881*U881, "")</f>
        <v>0</v>
      </c>
      <c r="AY881" s="284" t="n">
        <f aca="false">IFERROR($G881*$J881*V881, "")</f>
        <v>0</v>
      </c>
      <c r="AZ881" s="284" t="n">
        <f aca="false">IFERROR($G881*$J881*W881, "")</f>
        <v>0</v>
      </c>
      <c r="BA881" s="286" t="n">
        <f aca="false">IFERROR(SUMIF($AO$4:$AZ$4, "RDEC", AO881:AZ881), "")</f>
        <v>0</v>
      </c>
      <c r="BB881" s="286" t="n">
        <f aca="false">IFERROR(SUMIF($AO$4:$AZ$4, "SME", AO881:AZ881), "")</f>
        <v>0</v>
      </c>
      <c r="BC881" s="286" t="n">
        <f aca="false">IFERROR(SUMIF($Y$4:$AJ$4, "De Minimis", AO881:AZ881), "")</f>
        <v>0</v>
      </c>
      <c r="BD881" s="287"/>
      <c r="BE881" s="288" t="str">
        <f aca="false">IF((SUM(L881:W881)&gt;1),"ERROR","")</f>
        <v/>
      </c>
    </row>
    <row r="882" customFormat="false" ht="15" hidden="false" customHeight="true" outlineLevel="0" collapsed="false">
      <c r="B882" s="333"/>
      <c r="C882" s="334"/>
      <c r="D882" s="333" t="n">
        <f aca="false">D866</f>
        <v>45566</v>
      </c>
      <c r="E882" s="277" t="n">
        <v>0</v>
      </c>
      <c r="F882" s="277" t="n">
        <v>0</v>
      </c>
      <c r="G882" s="277" t="n">
        <f aca="false">SUM(E882:F882)</f>
        <v>0</v>
      </c>
      <c r="H882" s="204"/>
      <c r="I882" s="279" t="n">
        <v>1</v>
      </c>
      <c r="J882" s="280" t="n">
        <f aca="false">1-I882</f>
        <v>0</v>
      </c>
      <c r="K882" s="277"/>
      <c r="L882" s="282"/>
      <c r="M882" s="282"/>
      <c r="N882" s="282"/>
      <c r="O882" s="282"/>
      <c r="P882" s="282"/>
      <c r="Q882" s="282"/>
      <c r="R882" s="282"/>
      <c r="S882" s="282"/>
      <c r="T882" s="282"/>
      <c r="U882" s="282"/>
      <c r="V882" s="282"/>
      <c r="W882" s="282"/>
      <c r="X882" s="283"/>
      <c r="Y882" s="284" t="n">
        <f aca="false">IFERROR(L882*$G882*I$9, "")</f>
        <v>0</v>
      </c>
      <c r="Z882" s="284" t="n">
        <f aca="false">IFERROR(M882*$G882*$I882, "")</f>
        <v>0</v>
      </c>
      <c r="AA882" s="284" t="n">
        <f aca="false">IFERROR(N882*$G882*$I882, "")</f>
        <v>0</v>
      </c>
      <c r="AB882" s="284" t="n">
        <f aca="false">IFERROR(O882*$G882*$I882, "")</f>
        <v>0</v>
      </c>
      <c r="AC882" s="284" t="n">
        <f aca="false">IFERROR(P882*$G882*$I882, "")</f>
        <v>0</v>
      </c>
      <c r="AD882" s="284" t="n">
        <f aca="false">IFERROR(Q882*$G882*$I882, "")</f>
        <v>0</v>
      </c>
      <c r="AE882" s="284" t="n">
        <f aca="false">IFERROR(R882*$G882*$I882, "")</f>
        <v>0</v>
      </c>
      <c r="AF882" s="284" t="n">
        <f aca="false">IFERROR(S882*$G882*$I882, "")</f>
        <v>0</v>
      </c>
      <c r="AG882" s="284" t="n">
        <f aca="false">IFERROR(T882*$G882*$I882, "")</f>
        <v>0</v>
      </c>
      <c r="AH882" s="284" t="n">
        <f aca="false">IFERROR(U882*$G882*$I882, "")</f>
        <v>0</v>
      </c>
      <c r="AI882" s="284" t="n">
        <f aca="false">IFERROR(V882*$G882*$I882, "")</f>
        <v>0</v>
      </c>
      <c r="AJ882" s="284" t="n">
        <f aca="false">IFERROR(W882*$G882*$I882, "")</f>
        <v>0</v>
      </c>
      <c r="AK882" s="286" t="n">
        <f aca="false">IFERROR(SUMIF($Y$4:$AJ$4, "RDEC", Y882:AJ882), "")</f>
        <v>0</v>
      </c>
      <c r="AL882" s="286" t="n">
        <f aca="false">IFERROR(SUMIF($Y$4:$AJ$4, "SME", Y882:AJ882), "")</f>
        <v>0</v>
      </c>
      <c r="AM882" s="286" t="n">
        <f aca="false">IFERROR(SUMIF($Y$4:$AJ$4, "De Minimis", Y882:AJ882), "")</f>
        <v>0</v>
      </c>
      <c r="AN882" s="283"/>
      <c r="AO882" s="284" t="n">
        <f aca="false">IFERROR($G882*$J882*L882, "")</f>
        <v>0</v>
      </c>
      <c r="AP882" s="284" t="n">
        <f aca="false">IFERROR($G882*$J882*M882, "")</f>
        <v>0</v>
      </c>
      <c r="AQ882" s="284" t="n">
        <f aca="false">IFERROR($G882*$J882*N882, "")</f>
        <v>0</v>
      </c>
      <c r="AR882" s="284" t="n">
        <f aca="false">IFERROR($G882*$J882*O882, "")</f>
        <v>0</v>
      </c>
      <c r="AS882" s="284" t="n">
        <f aca="false">IFERROR($G882*$J882*P882, "")</f>
        <v>0</v>
      </c>
      <c r="AT882" s="284" t="n">
        <f aca="false">IFERROR($G882*$J882*Q882, "")</f>
        <v>0</v>
      </c>
      <c r="AU882" s="284" t="n">
        <f aca="false">IFERROR($G882*$J882*R882, "")</f>
        <v>0</v>
      </c>
      <c r="AV882" s="284" t="n">
        <f aca="false">IFERROR($G882*$J882*S882, "")</f>
        <v>0</v>
      </c>
      <c r="AW882" s="284" t="n">
        <f aca="false">IFERROR($G882*$J882*T882, "")</f>
        <v>0</v>
      </c>
      <c r="AX882" s="284" t="n">
        <f aca="false">IFERROR($G882*$J882*U882, "")</f>
        <v>0</v>
      </c>
      <c r="AY882" s="284" t="n">
        <f aca="false">IFERROR($G882*$J882*V882, "")</f>
        <v>0</v>
      </c>
      <c r="AZ882" s="284" t="n">
        <f aca="false">IFERROR($G882*$J882*W882, "")</f>
        <v>0</v>
      </c>
      <c r="BA882" s="286" t="n">
        <f aca="false">IFERROR(SUMIF($AO$4:$AZ$4, "RDEC", AO882:AZ882), "")</f>
        <v>0</v>
      </c>
      <c r="BB882" s="286" t="n">
        <f aca="false">IFERROR(SUMIF($AO$4:$AZ$4, "SME", AO882:AZ882), "")</f>
        <v>0</v>
      </c>
      <c r="BC882" s="286" t="n">
        <f aca="false">IFERROR(SUMIF($Y$4:$AJ$4, "De Minimis", AO882:AZ882), "")</f>
        <v>0</v>
      </c>
      <c r="BD882" s="287"/>
      <c r="BE882" s="288" t="str">
        <f aca="false">IF((SUM(L882:W882)&gt;1),"ERROR","")</f>
        <v/>
      </c>
    </row>
    <row r="883" customFormat="false" ht="15" hidden="false" customHeight="true" outlineLevel="0" collapsed="false">
      <c r="B883" s="333"/>
      <c r="C883" s="334"/>
      <c r="D883" s="333" t="n">
        <f aca="false">D867</f>
        <v>45597</v>
      </c>
      <c r="E883" s="277" t="n">
        <v>0</v>
      </c>
      <c r="F883" s="277" t="n">
        <v>0</v>
      </c>
      <c r="G883" s="277" t="n">
        <f aca="false">SUM(E883:F883)</f>
        <v>0</v>
      </c>
      <c r="H883" s="204"/>
      <c r="I883" s="279" t="n">
        <v>1</v>
      </c>
      <c r="J883" s="280" t="n">
        <f aca="false">1-I883</f>
        <v>0</v>
      </c>
      <c r="K883" s="277"/>
      <c r="L883" s="282"/>
      <c r="M883" s="282"/>
      <c r="N883" s="282"/>
      <c r="O883" s="282"/>
      <c r="P883" s="282"/>
      <c r="Q883" s="282"/>
      <c r="R883" s="282"/>
      <c r="S883" s="282"/>
      <c r="T883" s="282"/>
      <c r="U883" s="282"/>
      <c r="V883" s="282"/>
      <c r="W883" s="282"/>
      <c r="X883" s="283"/>
      <c r="Y883" s="284" t="n">
        <f aca="false">IFERROR(L883*$G883*I$9, "")</f>
        <v>0</v>
      </c>
      <c r="Z883" s="284" t="n">
        <f aca="false">IFERROR(M883*$G883*$I883, "")</f>
        <v>0</v>
      </c>
      <c r="AA883" s="284" t="n">
        <f aca="false">IFERROR(N883*$G883*$I883, "")</f>
        <v>0</v>
      </c>
      <c r="AB883" s="284" t="n">
        <f aca="false">IFERROR(O883*$G883*$I883, "")</f>
        <v>0</v>
      </c>
      <c r="AC883" s="284" t="n">
        <f aca="false">IFERROR(P883*$G883*$I883, "")</f>
        <v>0</v>
      </c>
      <c r="AD883" s="284" t="n">
        <f aca="false">IFERROR(Q883*$G883*$I883, "")</f>
        <v>0</v>
      </c>
      <c r="AE883" s="284" t="n">
        <f aca="false">IFERROR(R883*$G883*$I883, "")</f>
        <v>0</v>
      </c>
      <c r="AF883" s="284" t="n">
        <f aca="false">IFERROR(S883*$G883*$I883, "")</f>
        <v>0</v>
      </c>
      <c r="AG883" s="284" t="n">
        <f aca="false">IFERROR(T883*$G883*$I883, "")</f>
        <v>0</v>
      </c>
      <c r="AH883" s="284" t="n">
        <f aca="false">IFERROR(U883*$G883*$I883, "")</f>
        <v>0</v>
      </c>
      <c r="AI883" s="284" t="n">
        <f aca="false">IFERROR(V883*$G883*$I883, "")</f>
        <v>0</v>
      </c>
      <c r="AJ883" s="284" t="n">
        <f aca="false">IFERROR(W883*$G883*$I883, "")</f>
        <v>0</v>
      </c>
      <c r="AK883" s="286" t="n">
        <f aca="false">IFERROR(SUMIF($Y$4:$AJ$4, "RDEC", Y883:AJ883), "")</f>
        <v>0</v>
      </c>
      <c r="AL883" s="286" t="n">
        <f aca="false">IFERROR(SUMIF($Y$4:$AJ$4, "SME", Y883:AJ883), "")</f>
        <v>0</v>
      </c>
      <c r="AM883" s="286" t="n">
        <f aca="false">IFERROR(SUMIF($Y$4:$AJ$4, "De Minimis", Y883:AJ883), "")</f>
        <v>0</v>
      </c>
      <c r="AN883" s="283"/>
      <c r="AO883" s="284" t="n">
        <f aca="false">IFERROR($G883*$J883*L883, "")</f>
        <v>0</v>
      </c>
      <c r="AP883" s="284" t="n">
        <f aca="false">IFERROR($G883*$J883*M883, "")</f>
        <v>0</v>
      </c>
      <c r="AQ883" s="284" t="n">
        <f aca="false">IFERROR($G883*$J883*N883, "")</f>
        <v>0</v>
      </c>
      <c r="AR883" s="284" t="n">
        <f aca="false">IFERROR($G883*$J883*O883, "")</f>
        <v>0</v>
      </c>
      <c r="AS883" s="284" t="n">
        <f aca="false">IFERROR($G883*$J883*P883, "")</f>
        <v>0</v>
      </c>
      <c r="AT883" s="284" t="n">
        <f aca="false">IFERROR($G883*$J883*Q883, "")</f>
        <v>0</v>
      </c>
      <c r="AU883" s="284" t="n">
        <f aca="false">IFERROR($G883*$J883*R883, "")</f>
        <v>0</v>
      </c>
      <c r="AV883" s="284" t="n">
        <f aca="false">IFERROR($G883*$J883*S883, "")</f>
        <v>0</v>
      </c>
      <c r="AW883" s="284" t="n">
        <f aca="false">IFERROR($G883*$J883*T883, "")</f>
        <v>0</v>
      </c>
      <c r="AX883" s="284" t="n">
        <f aca="false">IFERROR($G883*$J883*U883, "")</f>
        <v>0</v>
      </c>
      <c r="AY883" s="284" t="n">
        <f aca="false">IFERROR($G883*$J883*V883, "")</f>
        <v>0</v>
      </c>
      <c r="AZ883" s="284" t="n">
        <f aca="false">IFERROR($G883*$J883*W883, "")</f>
        <v>0</v>
      </c>
      <c r="BA883" s="286" t="n">
        <f aca="false">IFERROR(SUMIF($AO$4:$AZ$4, "RDEC", AO883:AZ883), "")</f>
        <v>0</v>
      </c>
      <c r="BB883" s="286" t="n">
        <f aca="false">IFERROR(SUMIF($AO$4:$AZ$4, "SME", AO883:AZ883), "")</f>
        <v>0</v>
      </c>
      <c r="BC883" s="286" t="n">
        <f aca="false">IFERROR(SUMIF($Y$4:$AJ$4, "De Minimis", AO883:AZ883), "")</f>
        <v>0</v>
      </c>
      <c r="BD883" s="287"/>
      <c r="BE883" s="288" t="str">
        <f aca="false">IF((SUM(L883:W883)&gt;1),"ERROR","")</f>
        <v/>
      </c>
    </row>
    <row r="884" customFormat="false" ht="15" hidden="false" customHeight="true" outlineLevel="0" collapsed="false">
      <c r="B884" s="333"/>
      <c r="C884" s="334"/>
      <c r="D884" s="333" t="n">
        <f aca="false">D868</f>
        <v>45627</v>
      </c>
      <c r="E884" s="277" t="n">
        <v>0</v>
      </c>
      <c r="F884" s="277" t="n">
        <v>0</v>
      </c>
      <c r="G884" s="277" t="n">
        <f aca="false">SUM(E884:F884)</f>
        <v>0</v>
      </c>
      <c r="H884" s="300"/>
      <c r="I884" s="289" t="n">
        <v>1</v>
      </c>
      <c r="J884" s="290" t="n">
        <f aca="false">1-I884</f>
        <v>0</v>
      </c>
      <c r="K884" s="300"/>
      <c r="L884" s="291"/>
      <c r="M884" s="291"/>
      <c r="N884" s="291"/>
      <c r="O884" s="291"/>
      <c r="P884" s="291"/>
      <c r="Q884" s="291"/>
      <c r="R884" s="291"/>
      <c r="S884" s="291"/>
      <c r="T884" s="291"/>
      <c r="U884" s="291"/>
      <c r="V884" s="291"/>
      <c r="W884" s="291"/>
      <c r="X884" s="283"/>
      <c r="Y884" s="284" t="n">
        <f aca="false">IFERROR(L884*$G884*I$9, "")</f>
        <v>0</v>
      </c>
      <c r="Z884" s="284" t="n">
        <f aca="false">IFERROR(M884*$G884*$I884, "")</f>
        <v>0</v>
      </c>
      <c r="AA884" s="284" t="n">
        <f aca="false">IFERROR(N884*$G884*$I884, "")</f>
        <v>0</v>
      </c>
      <c r="AB884" s="284" t="n">
        <f aca="false">IFERROR(O884*$G884*$I884, "")</f>
        <v>0</v>
      </c>
      <c r="AC884" s="284" t="n">
        <f aca="false">IFERROR(P884*$G884*$I884, "")</f>
        <v>0</v>
      </c>
      <c r="AD884" s="284" t="n">
        <f aca="false">IFERROR(Q884*$G884*$I884, "")</f>
        <v>0</v>
      </c>
      <c r="AE884" s="284" t="n">
        <f aca="false">IFERROR(R884*$G884*$I884, "")</f>
        <v>0</v>
      </c>
      <c r="AF884" s="284" t="n">
        <f aca="false">IFERROR(S884*$G884*$I884, "")</f>
        <v>0</v>
      </c>
      <c r="AG884" s="284" t="n">
        <f aca="false">IFERROR(T884*$G884*$I884, "")</f>
        <v>0</v>
      </c>
      <c r="AH884" s="284" t="n">
        <f aca="false">IFERROR(U884*$G884*$I884, "")</f>
        <v>0</v>
      </c>
      <c r="AI884" s="284" t="n">
        <f aca="false">IFERROR(V884*$G884*$I884, "")</f>
        <v>0</v>
      </c>
      <c r="AJ884" s="284" t="n">
        <f aca="false">IFERROR(W884*$G884*$I884, "")</f>
        <v>0</v>
      </c>
      <c r="AK884" s="294" t="n">
        <f aca="false">IFERROR(SUMIF($Y$4:$AJ$4, "RDEC", Y884:AJ884), "")</f>
        <v>0</v>
      </c>
      <c r="AL884" s="294" t="n">
        <f aca="false">IFERROR(SUMIF($Y$4:$AJ$4, "SME", Y884:AJ884), "")</f>
        <v>0</v>
      </c>
      <c r="AM884" s="294" t="n">
        <f aca="false">IFERROR(SUMIF($Y$4:$AJ$4, "De Minimis", Y884:AJ884), "")</f>
        <v>0</v>
      </c>
      <c r="AN884" s="283"/>
      <c r="AO884" s="284" t="n">
        <f aca="false">IFERROR($G884*$J884*L884, "")</f>
        <v>0</v>
      </c>
      <c r="AP884" s="284" t="n">
        <f aca="false">IFERROR($G884*$J884*M884, "")</f>
        <v>0</v>
      </c>
      <c r="AQ884" s="284" t="n">
        <f aca="false">IFERROR($G884*$J884*N884, "")</f>
        <v>0</v>
      </c>
      <c r="AR884" s="284" t="n">
        <f aca="false">IFERROR($G884*$J884*O884, "")</f>
        <v>0</v>
      </c>
      <c r="AS884" s="284" t="n">
        <f aca="false">IFERROR($G884*$J884*P884, "")</f>
        <v>0</v>
      </c>
      <c r="AT884" s="284" t="n">
        <f aca="false">IFERROR($G884*$J884*Q884, "")</f>
        <v>0</v>
      </c>
      <c r="AU884" s="284" t="n">
        <f aca="false">IFERROR($G884*$J884*R884, "")</f>
        <v>0</v>
      </c>
      <c r="AV884" s="284" t="n">
        <f aca="false">IFERROR($G884*$J884*S884, "")</f>
        <v>0</v>
      </c>
      <c r="AW884" s="284" t="n">
        <f aca="false">IFERROR($G884*$J884*T884, "")</f>
        <v>0</v>
      </c>
      <c r="AX884" s="284" t="n">
        <f aca="false">IFERROR($G884*$J884*U884, "")</f>
        <v>0</v>
      </c>
      <c r="AY884" s="284" t="n">
        <f aca="false">IFERROR($G884*$J884*V884, "")</f>
        <v>0</v>
      </c>
      <c r="AZ884" s="284" t="n">
        <f aca="false">IFERROR($G884*$J884*W884, "")</f>
        <v>0</v>
      </c>
      <c r="BA884" s="286" t="n">
        <f aca="false">IFERROR(SUMIF($AO$4:$AZ$4, "RDEC", AO884:AZ884), "")</f>
        <v>0</v>
      </c>
      <c r="BB884" s="286" t="n">
        <f aca="false">IFERROR(SUMIF($AO$4:$AZ$4, "SME", AO884:AZ884), "")</f>
        <v>0</v>
      </c>
      <c r="BC884" s="294" t="n">
        <f aca="false">IFERROR(SUMIF($Y$4:$AJ$4, "De Minimis", AO884:AZ884), "")</f>
        <v>0</v>
      </c>
      <c r="BD884" s="303"/>
      <c r="BE884" s="295" t="str">
        <f aca="false">IF((SUM(L884:W884)&gt;1),"ERROR","")</f>
        <v/>
      </c>
    </row>
    <row r="885" customFormat="false" ht="15" hidden="false" customHeight="true" outlineLevel="0" collapsed="false">
      <c r="B885" s="296"/>
      <c r="D885" s="297" t="s">
        <v>82</v>
      </c>
      <c r="E885" s="299" t="n">
        <f aca="false">SUM(E873:E884)</f>
        <v>0</v>
      </c>
      <c r="F885" s="299" t="n">
        <f aca="false">SUM(F873:F884)</f>
        <v>0</v>
      </c>
      <c r="G885" s="299" t="n">
        <f aca="false">SUM(G873:G884)</f>
        <v>0</v>
      </c>
      <c r="H885" s="300"/>
      <c r="I885" s="301" t="n">
        <f aca="false">AVERAGE(I873:I884)</f>
        <v>1</v>
      </c>
      <c r="J885" s="301" t="n">
        <f aca="false">AVERAGE(J873:J884)</f>
        <v>0</v>
      </c>
      <c r="K885" s="300"/>
      <c r="L885" s="290" t="n">
        <f aca="false">IF(SUM(L873:L884)&gt;0,(Y885/G885),0)</f>
        <v>0</v>
      </c>
      <c r="M885" s="301" t="n">
        <f aca="false">IF(SUM(M873:M884)&gt;0,(Z885/G885),0)</f>
        <v>0</v>
      </c>
      <c r="N885" s="301" t="n">
        <f aca="false">IF(SUM(N873:N884)&gt;0,(AA885/G885),0)</f>
        <v>0</v>
      </c>
      <c r="O885" s="301" t="n">
        <f aca="false">IF(SUM(O873:O884)&gt;0,(AB885/G885),0)</f>
        <v>0</v>
      </c>
      <c r="P885" s="301" t="n">
        <f aca="false">IF(SUM(P873:P884)&gt;0,(AC885/G885),0)</f>
        <v>0</v>
      </c>
      <c r="Q885" s="301" t="n">
        <f aca="false">IF(SUM(Q873:Q884)&gt;0,(AD885/G885),0)</f>
        <v>0</v>
      </c>
      <c r="R885" s="301" t="n">
        <f aca="false">IF(SUM(R873:R884)&gt;0,(AE885/G885),0)</f>
        <v>0</v>
      </c>
      <c r="S885" s="301" t="n">
        <f aca="false">IF(SUM(S873:S884)&gt;0,(AF885/G885),0)</f>
        <v>0</v>
      </c>
      <c r="T885" s="301" t="n">
        <f aca="false">IF(SUM(T873:T884)&gt;0,(AG885/G885),0)</f>
        <v>0</v>
      </c>
      <c r="U885" s="301" t="n">
        <f aca="false">IF(SUM(U873:U884)&gt;0,(AJ885/G885),0)</f>
        <v>0</v>
      </c>
      <c r="V885" s="301" t="n">
        <f aca="false">IF(SUM(V873:V884)&gt;0,(AI885/G885),0)</f>
        <v>0</v>
      </c>
      <c r="W885" s="301" t="n">
        <f aca="false">IF(SUM(W873:W884)&gt;0,(AJ885/G885),0)</f>
        <v>0</v>
      </c>
      <c r="X885" s="283"/>
      <c r="Y885" s="304" t="n">
        <f aca="false">SUM(Y873:Y884)</f>
        <v>0</v>
      </c>
      <c r="Z885" s="304" t="n">
        <f aca="false">SUM(Z873:Z884)</f>
        <v>0</v>
      </c>
      <c r="AA885" s="304" t="n">
        <f aca="false">SUM(AA873:AA884)</f>
        <v>0</v>
      </c>
      <c r="AB885" s="304" t="n">
        <f aca="false">SUM(AB873:AB884)</f>
        <v>0</v>
      </c>
      <c r="AC885" s="304" t="n">
        <f aca="false">SUM(AC873:AC884)</f>
        <v>0</v>
      </c>
      <c r="AD885" s="304" t="n">
        <f aca="false">SUM(AD873:AD884)</f>
        <v>0</v>
      </c>
      <c r="AE885" s="304" t="n">
        <f aca="false">SUM(AE873:AE884)</f>
        <v>0</v>
      </c>
      <c r="AF885" s="304" t="n">
        <f aca="false">SUM(AF873:AF884)</f>
        <v>0</v>
      </c>
      <c r="AG885" s="304" t="n">
        <f aca="false">SUM(AG873:AG884)</f>
        <v>0</v>
      </c>
      <c r="AH885" s="304" t="n">
        <f aca="false">SUM(AH873:AH884)</f>
        <v>0</v>
      </c>
      <c r="AI885" s="304" t="n">
        <f aca="false">SUM(AI873:AI884)</f>
        <v>0</v>
      </c>
      <c r="AJ885" s="304" t="n">
        <f aca="false">SUM(AJ873:AJ884)</f>
        <v>0</v>
      </c>
      <c r="AK885" s="335" t="n">
        <f aca="false">SUM(AK873:AK884)</f>
        <v>0</v>
      </c>
      <c r="AL885" s="336" t="n">
        <f aca="false">SUM(AL873:AL884)</f>
        <v>0</v>
      </c>
      <c r="AM885" s="305" t="n">
        <f aca="false">SUM(AM873:AM884)</f>
        <v>0</v>
      </c>
      <c r="AN885" s="283"/>
      <c r="AO885" s="304" t="n">
        <f aca="false">SUM(AO873:AO884)</f>
        <v>0</v>
      </c>
      <c r="AP885" s="304" t="n">
        <f aca="false">SUM(AP873:AP884)</f>
        <v>0</v>
      </c>
      <c r="AQ885" s="304" t="n">
        <f aca="false">SUM(AQ873:AQ884)</f>
        <v>0</v>
      </c>
      <c r="AR885" s="304" t="n">
        <f aca="false">SUM(AR873:AR884)</f>
        <v>0</v>
      </c>
      <c r="AS885" s="304" t="n">
        <f aca="false">SUM(AS873:AS884)</f>
        <v>0</v>
      </c>
      <c r="AT885" s="304" t="n">
        <f aca="false">SUM(AT873:AT884)</f>
        <v>0</v>
      </c>
      <c r="AU885" s="304" t="n">
        <f aca="false">SUM(AU873:AU884)</f>
        <v>0</v>
      </c>
      <c r="AV885" s="304" t="n">
        <f aca="false">SUM(AV873:AV884)</f>
        <v>0</v>
      </c>
      <c r="AW885" s="304" t="n">
        <f aca="false">SUM(AW873:AW884)</f>
        <v>0</v>
      </c>
      <c r="AX885" s="304" t="n">
        <f aca="false">SUM(AX873:AX884)</f>
        <v>0</v>
      </c>
      <c r="AY885" s="304" t="n">
        <f aca="false">SUM(AY873:AY884)</f>
        <v>0</v>
      </c>
      <c r="AZ885" s="304" t="n">
        <f aca="false">SUM(AZ873:AZ884)</f>
        <v>0</v>
      </c>
      <c r="BA885" s="336" t="n">
        <f aca="false">SUM(BA873:BA884)</f>
        <v>0</v>
      </c>
      <c r="BB885" s="336" t="n">
        <f aca="false">SUM(BB873:BB884)</f>
        <v>0</v>
      </c>
      <c r="BC885" s="305" t="n">
        <f aca="false">SUM(BC873:BC884)</f>
        <v>0</v>
      </c>
      <c r="BD885" s="303"/>
      <c r="BE885" s="337"/>
    </row>
    <row r="886" customFormat="false" ht="15" hidden="false" customHeight="true" outlineLevel="0" collapsed="false">
      <c r="B886" s="296"/>
      <c r="D886" s="297"/>
      <c r="E886" s="300"/>
      <c r="F886" s="300"/>
      <c r="G886" s="300"/>
      <c r="H886" s="241"/>
      <c r="I886" s="302"/>
      <c r="J886" s="302"/>
      <c r="K886" s="241"/>
      <c r="L886" s="259"/>
      <c r="M886" s="259"/>
      <c r="N886" s="259"/>
      <c r="O886" s="259"/>
      <c r="P886" s="259"/>
      <c r="Q886" s="259"/>
      <c r="R886" s="259"/>
      <c r="S886" s="259"/>
      <c r="T886" s="259"/>
      <c r="U886" s="259"/>
      <c r="V886" s="259"/>
      <c r="W886" s="259"/>
      <c r="X886" s="303"/>
      <c r="Y886" s="259"/>
      <c r="Z886" s="303"/>
      <c r="AA886" s="303"/>
      <c r="AB886" s="303"/>
      <c r="AC886" s="303"/>
      <c r="AD886" s="303"/>
      <c r="AE886" s="303"/>
      <c r="AF886" s="303"/>
      <c r="AG886" s="303"/>
      <c r="AH886" s="303"/>
      <c r="AI886" s="303"/>
      <c r="AJ886" s="303"/>
      <c r="AK886" s="303"/>
      <c r="AL886" s="303"/>
      <c r="AM886" s="303"/>
      <c r="AN886" s="303"/>
      <c r="AO886" s="259"/>
      <c r="AP886" s="303"/>
      <c r="AQ886" s="303"/>
      <c r="AR886" s="303"/>
      <c r="AS886" s="303"/>
      <c r="AT886" s="303"/>
      <c r="AU886" s="303"/>
      <c r="AV886" s="303"/>
      <c r="AW886" s="303"/>
      <c r="AX886" s="303"/>
      <c r="AY886" s="303"/>
      <c r="AZ886" s="303"/>
      <c r="BA886" s="303"/>
      <c r="BB886" s="303"/>
      <c r="BC886" s="303"/>
      <c r="BD886" s="268"/>
      <c r="BE886" s="303"/>
    </row>
    <row r="887" customFormat="false" ht="15" hidden="false" customHeight="true" outlineLevel="0" collapsed="false">
      <c r="A887" s="198" t="n">
        <f aca="false">A871+1</f>
        <v>56</v>
      </c>
      <c r="B887" s="266" t="s">
        <v>253</v>
      </c>
      <c r="C887" s="266" t="s">
        <v>253</v>
      </c>
      <c r="D887" s="266"/>
      <c r="E887" s="241"/>
      <c r="F887" s="241"/>
      <c r="G887" s="241"/>
      <c r="H887" s="241"/>
      <c r="I887" s="241"/>
      <c r="J887" s="241"/>
      <c r="K887" s="277"/>
      <c r="L887" s="241"/>
      <c r="M887" s="241"/>
      <c r="N887" s="241"/>
      <c r="O887" s="241"/>
      <c r="P887" s="241"/>
      <c r="Q887" s="241"/>
      <c r="R887" s="241"/>
      <c r="S887" s="241"/>
      <c r="T887" s="241"/>
      <c r="U887" s="241"/>
      <c r="V887" s="241"/>
      <c r="W887" s="241"/>
      <c r="X887" s="259"/>
      <c r="Y887" s="268"/>
      <c r="Z887" s="268"/>
      <c r="AA887" s="268"/>
      <c r="AB887" s="268"/>
      <c r="AC887" s="268"/>
      <c r="AD887" s="268"/>
      <c r="AE887" s="268"/>
      <c r="AF887" s="268"/>
      <c r="AG887" s="268"/>
      <c r="AH887" s="268"/>
      <c r="AI887" s="268"/>
      <c r="AJ887" s="268"/>
      <c r="AK887" s="268"/>
      <c r="AL887" s="268"/>
      <c r="AM887" s="268"/>
      <c r="AN887" s="259"/>
      <c r="AO887" s="268"/>
      <c r="AP887" s="268"/>
      <c r="AQ887" s="268"/>
      <c r="AR887" s="268"/>
      <c r="AS887" s="268"/>
      <c r="AT887" s="268"/>
      <c r="AU887" s="268"/>
      <c r="AV887" s="268"/>
      <c r="AW887" s="268"/>
      <c r="AX887" s="268"/>
      <c r="AY887" s="268"/>
      <c r="AZ887" s="268"/>
      <c r="BA887" s="268"/>
      <c r="BB887" s="268"/>
      <c r="BC887" s="268"/>
      <c r="BD887" s="287"/>
      <c r="BE887" s="268"/>
    </row>
    <row r="888" customFormat="false" ht="7.5" hidden="false" customHeight="true" outlineLevel="0" collapsed="false">
      <c r="A888" s="198"/>
      <c r="B888" s="266"/>
      <c r="C888" s="266"/>
      <c r="D888" s="266"/>
      <c r="E888" s="241"/>
      <c r="F888" s="241"/>
      <c r="G888" s="241"/>
      <c r="H888" s="204"/>
      <c r="I888" s="269"/>
      <c r="J888" s="269"/>
      <c r="K888" s="277"/>
      <c r="L888" s="269"/>
      <c r="M888" s="269"/>
      <c r="N888" s="269"/>
      <c r="O888" s="269"/>
      <c r="P888" s="269"/>
      <c r="Q888" s="269"/>
      <c r="R888" s="269"/>
      <c r="S888" s="269"/>
      <c r="T888" s="269"/>
      <c r="U888" s="269"/>
      <c r="V888" s="269"/>
      <c r="W888" s="269"/>
      <c r="X888" s="259"/>
      <c r="Y888" s="271"/>
      <c r="Z888" s="271"/>
      <c r="AA888" s="271"/>
      <c r="AB888" s="271"/>
      <c r="AC888" s="271"/>
      <c r="AD888" s="271"/>
      <c r="AE888" s="271"/>
      <c r="AF888" s="271"/>
      <c r="AG888" s="271"/>
      <c r="AH888" s="271"/>
      <c r="AI888" s="271"/>
      <c r="AJ888" s="272"/>
      <c r="AK888" s="273"/>
      <c r="AL888" s="273"/>
      <c r="AM888" s="273"/>
      <c r="AN888" s="259"/>
      <c r="AO888" s="271"/>
      <c r="AP888" s="271"/>
      <c r="AQ888" s="271"/>
      <c r="AR888" s="271"/>
      <c r="AS888" s="271"/>
      <c r="AT888" s="271"/>
      <c r="AU888" s="271"/>
      <c r="AV888" s="271"/>
      <c r="AW888" s="271"/>
      <c r="AX888" s="271"/>
      <c r="AY888" s="271"/>
      <c r="AZ888" s="272"/>
      <c r="BA888" s="273"/>
      <c r="BB888" s="273"/>
      <c r="BC888" s="273"/>
      <c r="BD888" s="287"/>
      <c r="BE888" s="274"/>
    </row>
    <row r="889" customFormat="false" ht="15" hidden="false" customHeight="true" outlineLevel="0" collapsed="false">
      <c r="B889" s="333"/>
      <c r="C889" s="334"/>
      <c r="D889" s="333" t="n">
        <f aca="false">D873</f>
        <v>45292</v>
      </c>
      <c r="E889" s="277" t="n">
        <v>0</v>
      </c>
      <c r="F889" s="277" t="n">
        <v>0</v>
      </c>
      <c r="G889" s="277" t="n">
        <f aca="false">SUM(E889:F889)</f>
        <v>0</v>
      </c>
      <c r="H889" s="204"/>
      <c r="I889" s="279" t="n">
        <v>1</v>
      </c>
      <c r="J889" s="280" t="n">
        <f aca="false">1-I889</f>
        <v>0</v>
      </c>
      <c r="K889" s="277"/>
      <c r="L889" s="282"/>
      <c r="M889" s="282"/>
      <c r="N889" s="282"/>
      <c r="O889" s="282"/>
      <c r="P889" s="282"/>
      <c r="Q889" s="282"/>
      <c r="R889" s="282"/>
      <c r="S889" s="282"/>
      <c r="T889" s="282"/>
      <c r="U889" s="282"/>
      <c r="V889" s="282"/>
      <c r="W889" s="282"/>
      <c r="X889" s="268"/>
      <c r="Y889" s="284" t="n">
        <f aca="false">IFERROR(L889*$G889*I$9, "")</f>
        <v>0</v>
      </c>
      <c r="Z889" s="284" t="n">
        <f aca="false">IFERROR(M889*$G889*$I889, "")</f>
        <v>0</v>
      </c>
      <c r="AA889" s="284" t="n">
        <f aca="false">IFERROR(N889*$G889*$I889, "")</f>
        <v>0</v>
      </c>
      <c r="AB889" s="284" t="n">
        <f aca="false">IFERROR(O889*$G889*$I889, "")</f>
        <v>0</v>
      </c>
      <c r="AC889" s="284" t="n">
        <f aca="false">IFERROR(P889*$G889*$I889, "")</f>
        <v>0</v>
      </c>
      <c r="AD889" s="284" t="n">
        <f aca="false">IFERROR(Q889*$G889*$I889, "")</f>
        <v>0</v>
      </c>
      <c r="AE889" s="284" t="n">
        <f aca="false">IFERROR(R889*$G889*$I889, "")</f>
        <v>0</v>
      </c>
      <c r="AF889" s="284" t="n">
        <f aca="false">IFERROR(S889*$G889*$I889, "")</f>
        <v>0</v>
      </c>
      <c r="AG889" s="284" t="n">
        <f aca="false">IFERROR(T889*$G889*$I889, "")</f>
        <v>0</v>
      </c>
      <c r="AH889" s="284" t="n">
        <f aca="false">IFERROR(U889*$G889*$I889, "")</f>
        <v>0</v>
      </c>
      <c r="AI889" s="284" t="n">
        <f aca="false">IFERROR(V889*$G889*$I889, "")</f>
        <v>0</v>
      </c>
      <c r="AJ889" s="284" t="n">
        <f aca="false">IFERROR(W889*$G889*$I889, "")</f>
        <v>0</v>
      </c>
      <c r="AK889" s="286" t="n">
        <f aca="false">IFERROR(SUMIF($Y$4:$AJ$4, "RDEC", Y889:AJ889), "")</f>
        <v>0</v>
      </c>
      <c r="AL889" s="286" t="n">
        <f aca="false">IFERROR(SUMIF($Y$4:$AJ$4, "SME", Y889:AJ889), "")</f>
        <v>0</v>
      </c>
      <c r="AM889" s="286" t="n">
        <f aca="false">IFERROR(SUMIF($Y$4:$AJ$4, "De Minimis", Y889:AJ889), "")</f>
        <v>0</v>
      </c>
      <c r="AN889" s="268"/>
      <c r="AO889" s="284" t="n">
        <f aca="false">IFERROR($G889*$J889*L889, "")</f>
        <v>0</v>
      </c>
      <c r="AP889" s="284" t="n">
        <f aca="false">IFERROR($G889*$J889*M889, "")</f>
        <v>0</v>
      </c>
      <c r="AQ889" s="284" t="n">
        <f aca="false">IFERROR($G889*$J889*N889, "")</f>
        <v>0</v>
      </c>
      <c r="AR889" s="284" t="n">
        <f aca="false">IFERROR($G889*$J889*O889, "")</f>
        <v>0</v>
      </c>
      <c r="AS889" s="284" t="n">
        <f aca="false">IFERROR($G889*$J889*P889, "")</f>
        <v>0</v>
      </c>
      <c r="AT889" s="284" t="n">
        <f aca="false">IFERROR($G889*$J889*Q889, "")</f>
        <v>0</v>
      </c>
      <c r="AU889" s="284" t="n">
        <f aca="false">IFERROR($G889*$J889*R889, "")</f>
        <v>0</v>
      </c>
      <c r="AV889" s="284" t="n">
        <f aca="false">IFERROR($G889*$J889*S889, "")</f>
        <v>0</v>
      </c>
      <c r="AW889" s="284" t="n">
        <f aca="false">IFERROR($G889*$J889*T889, "")</f>
        <v>0</v>
      </c>
      <c r="AX889" s="284" t="n">
        <f aca="false">IFERROR($G889*$J889*U889, "")</f>
        <v>0</v>
      </c>
      <c r="AY889" s="284" t="n">
        <f aca="false">IFERROR($G889*$J889*V889, "")</f>
        <v>0</v>
      </c>
      <c r="AZ889" s="284" t="n">
        <f aca="false">IFERROR($G889*$J889*W889, "")</f>
        <v>0</v>
      </c>
      <c r="BA889" s="286" t="n">
        <f aca="false">IFERROR(SUMIF($AO$4:$AZ$4, "RDEC", AO889:AZ889), "")</f>
        <v>0</v>
      </c>
      <c r="BB889" s="286" t="n">
        <f aca="false">IFERROR(SUMIF($AO$4:$AZ$4, "SME", AO889:AZ889), "")</f>
        <v>0</v>
      </c>
      <c r="BC889" s="286" t="n">
        <f aca="false">IFERROR(SUMIF($AO$4:$AZ$4, "De Minimis", AO889:AZ889), "")</f>
        <v>0</v>
      </c>
      <c r="BD889" s="287"/>
      <c r="BE889" s="288" t="str">
        <f aca="false">IF((SUM(L889:W889)&gt;1),"ERROR","")</f>
        <v/>
      </c>
    </row>
    <row r="890" customFormat="false" ht="15" hidden="false" customHeight="true" outlineLevel="0" collapsed="false">
      <c r="B890" s="333"/>
      <c r="C890" s="334"/>
      <c r="D890" s="333" t="n">
        <f aca="false">D874</f>
        <v>45323</v>
      </c>
      <c r="E890" s="277" t="n">
        <v>0</v>
      </c>
      <c r="F890" s="277" t="n">
        <v>0</v>
      </c>
      <c r="G890" s="277" t="n">
        <f aca="false">SUM(E890:F890)</f>
        <v>0</v>
      </c>
      <c r="H890" s="204"/>
      <c r="I890" s="279" t="n">
        <v>1</v>
      </c>
      <c r="J890" s="280" t="n">
        <f aca="false">1-I890</f>
        <v>0</v>
      </c>
      <c r="K890" s="277"/>
      <c r="L890" s="282"/>
      <c r="M890" s="282"/>
      <c r="N890" s="282"/>
      <c r="O890" s="282"/>
      <c r="P890" s="282"/>
      <c r="Q890" s="282"/>
      <c r="R890" s="282"/>
      <c r="S890" s="282"/>
      <c r="T890" s="282"/>
      <c r="U890" s="282"/>
      <c r="V890" s="282"/>
      <c r="W890" s="282"/>
      <c r="X890" s="283"/>
      <c r="Y890" s="284" t="n">
        <f aca="false">IFERROR(L890*$G890*I$9, "")</f>
        <v>0</v>
      </c>
      <c r="Z890" s="284" t="n">
        <f aca="false">IFERROR(M890*$G890*$I890, "")</f>
        <v>0</v>
      </c>
      <c r="AA890" s="284" t="n">
        <f aca="false">IFERROR(N890*$G890*$I890, "")</f>
        <v>0</v>
      </c>
      <c r="AB890" s="284" t="n">
        <f aca="false">IFERROR(O890*$G890*$I890, "")</f>
        <v>0</v>
      </c>
      <c r="AC890" s="284" t="n">
        <f aca="false">IFERROR(P890*$G890*$I890, "")</f>
        <v>0</v>
      </c>
      <c r="AD890" s="284" t="n">
        <f aca="false">IFERROR(Q890*$G890*$I890, "")</f>
        <v>0</v>
      </c>
      <c r="AE890" s="284" t="n">
        <f aca="false">IFERROR(R890*$G890*$I890, "")</f>
        <v>0</v>
      </c>
      <c r="AF890" s="284" t="n">
        <f aca="false">IFERROR(S890*$G890*$I890, "")</f>
        <v>0</v>
      </c>
      <c r="AG890" s="284" t="n">
        <f aca="false">IFERROR(T890*$G890*$I890, "")</f>
        <v>0</v>
      </c>
      <c r="AH890" s="284" t="n">
        <f aca="false">IFERROR(U890*$G890*$I890, "")</f>
        <v>0</v>
      </c>
      <c r="AI890" s="284" t="n">
        <f aca="false">IFERROR(V890*$G890*$I890, "")</f>
        <v>0</v>
      </c>
      <c r="AJ890" s="284" t="n">
        <f aca="false">IFERROR(W890*$G890*$I890, "")</f>
        <v>0</v>
      </c>
      <c r="AK890" s="286" t="n">
        <f aca="false">IFERROR(SUMIF($Y$4:$AJ$4, "RDEC", Y890:AJ890), "")</f>
        <v>0</v>
      </c>
      <c r="AL890" s="286" t="n">
        <f aca="false">IFERROR(SUMIF($Y$4:$AJ$4, "SME", Y890:AJ890), "")</f>
        <v>0</v>
      </c>
      <c r="AM890" s="286" t="n">
        <f aca="false">IFERROR(SUMIF($Y$4:$AJ$4, "De Minimis", Y890:AJ890), "")</f>
        <v>0</v>
      </c>
      <c r="AN890" s="283"/>
      <c r="AO890" s="284" t="n">
        <f aca="false">IFERROR($G890*$J890*L890, "")</f>
        <v>0</v>
      </c>
      <c r="AP890" s="284" t="n">
        <f aca="false">IFERROR($G890*$J890*M890, "")</f>
        <v>0</v>
      </c>
      <c r="AQ890" s="284" t="n">
        <f aca="false">IFERROR($G890*$J890*N890, "")</f>
        <v>0</v>
      </c>
      <c r="AR890" s="284" t="n">
        <f aca="false">IFERROR($G890*$J890*O890, "")</f>
        <v>0</v>
      </c>
      <c r="AS890" s="284" t="n">
        <f aca="false">IFERROR($G890*$J890*P890, "")</f>
        <v>0</v>
      </c>
      <c r="AT890" s="284" t="n">
        <f aca="false">IFERROR($G890*$J890*Q890, "")</f>
        <v>0</v>
      </c>
      <c r="AU890" s="284" t="n">
        <f aca="false">IFERROR($G890*$J890*R890, "")</f>
        <v>0</v>
      </c>
      <c r="AV890" s="284" t="n">
        <f aca="false">IFERROR($G890*$J890*S890, "")</f>
        <v>0</v>
      </c>
      <c r="AW890" s="284" t="n">
        <f aca="false">IFERROR($G890*$J890*T890, "")</f>
        <v>0</v>
      </c>
      <c r="AX890" s="284" t="n">
        <f aca="false">IFERROR($G890*$J890*U890, "")</f>
        <v>0</v>
      </c>
      <c r="AY890" s="284" t="n">
        <f aca="false">IFERROR($G890*$J890*V890, "")</f>
        <v>0</v>
      </c>
      <c r="AZ890" s="284" t="n">
        <f aca="false">IFERROR($G890*$J890*W890, "")</f>
        <v>0</v>
      </c>
      <c r="BA890" s="286" t="n">
        <f aca="false">IFERROR(SUMIF($AO$4:$AZ$4, "RDEC", AO890:AZ890), "")</f>
        <v>0</v>
      </c>
      <c r="BB890" s="286" t="n">
        <f aca="false">IFERROR(SUMIF($AO$4:$AZ$4, "SME", AO890:AZ890), "")</f>
        <v>0</v>
      </c>
      <c r="BC890" s="286" t="n">
        <f aca="false">IFERROR(SUMIF($Y$4:$AJ$4, "De Minimis", AO890:AZ890), "")</f>
        <v>0</v>
      </c>
      <c r="BD890" s="287"/>
      <c r="BE890" s="288" t="str">
        <f aca="false">IF((SUM(L890:W890)&gt;1),"ERROR","")</f>
        <v/>
      </c>
    </row>
    <row r="891" customFormat="false" ht="15" hidden="false" customHeight="true" outlineLevel="0" collapsed="false">
      <c r="B891" s="333"/>
      <c r="C891" s="334"/>
      <c r="D891" s="333" t="n">
        <f aca="false">D875</f>
        <v>45352</v>
      </c>
      <c r="E891" s="277" t="n">
        <v>0</v>
      </c>
      <c r="F891" s="277" t="n">
        <v>0</v>
      </c>
      <c r="G891" s="277" t="n">
        <f aca="false">SUM(E891:F891)</f>
        <v>0</v>
      </c>
      <c r="H891" s="204"/>
      <c r="I891" s="279" t="n">
        <v>1</v>
      </c>
      <c r="J891" s="280" t="n">
        <f aca="false">1-I891</f>
        <v>0</v>
      </c>
      <c r="K891" s="277"/>
      <c r="L891" s="282"/>
      <c r="M891" s="282"/>
      <c r="N891" s="282"/>
      <c r="O891" s="282"/>
      <c r="P891" s="282"/>
      <c r="Q891" s="282"/>
      <c r="R891" s="282"/>
      <c r="S891" s="282"/>
      <c r="T891" s="282"/>
      <c r="U891" s="282"/>
      <c r="V891" s="282"/>
      <c r="W891" s="282"/>
      <c r="X891" s="283"/>
      <c r="Y891" s="284" t="n">
        <f aca="false">IFERROR(L891*$G891*I$9, "")</f>
        <v>0</v>
      </c>
      <c r="Z891" s="284" t="n">
        <f aca="false">IFERROR(M891*$G891*$I891, "")</f>
        <v>0</v>
      </c>
      <c r="AA891" s="284" t="n">
        <f aca="false">IFERROR(N891*$G891*$I891, "")</f>
        <v>0</v>
      </c>
      <c r="AB891" s="284" t="n">
        <f aca="false">IFERROR(O891*$G891*$I891, "")</f>
        <v>0</v>
      </c>
      <c r="AC891" s="284" t="n">
        <f aca="false">IFERROR(P891*$G891*$I891, "")</f>
        <v>0</v>
      </c>
      <c r="AD891" s="284" t="n">
        <f aca="false">IFERROR(Q891*$G891*$I891, "")</f>
        <v>0</v>
      </c>
      <c r="AE891" s="284" t="n">
        <f aca="false">IFERROR(R891*$G891*$I891, "")</f>
        <v>0</v>
      </c>
      <c r="AF891" s="284" t="n">
        <f aca="false">IFERROR(S891*$G891*$I891, "")</f>
        <v>0</v>
      </c>
      <c r="AG891" s="284" t="n">
        <f aca="false">IFERROR(T891*$G891*$I891, "")</f>
        <v>0</v>
      </c>
      <c r="AH891" s="284" t="n">
        <f aca="false">IFERROR(U891*$G891*$I891, "")</f>
        <v>0</v>
      </c>
      <c r="AI891" s="284" t="n">
        <f aca="false">IFERROR(V891*$G891*$I891, "")</f>
        <v>0</v>
      </c>
      <c r="AJ891" s="284" t="n">
        <f aca="false">IFERROR(W891*$G891*$I891, "")</f>
        <v>0</v>
      </c>
      <c r="AK891" s="286" t="n">
        <f aca="false">IFERROR(SUMIF($Y$4:$AJ$4, "RDEC", Y891:AJ891), "")</f>
        <v>0</v>
      </c>
      <c r="AL891" s="286" t="n">
        <f aca="false">IFERROR(SUMIF($Y$4:$AJ$4, "SME", Y891:AJ891), "")</f>
        <v>0</v>
      </c>
      <c r="AM891" s="286" t="n">
        <f aca="false">IFERROR(SUMIF($Y$4:$AJ$4, "De Minimis", Y891:AJ891), "")</f>
        <v>0</v>
      </c>
      <c r="AN891" s="283"/>
      <c r="AO891" s="284" t="n">
        <f aca="false">IFERROR($G891*$J891*L891, "")</f>
        <v>0</v>
      </c>
      <c r="AP891" s="284" t="n">
        <f aca="false">IFERROR($G891*$J891*M891, "")</f>
        <v>0</v>
      </c>
      <c r="AQ891" s="284" t="n">
        <f aca="false">IFERROR($G891*$J891*N891, "")</f>
        <v>0</v>
      </c>
      <c r="AR891" s="284" t="n">
        <f aca="false">IFERROR($G891*$J891*O891, "")</f>
        <v>0</v>
      </c>
      <c r="AS891" s="284" t="n">
        <f aca="false">IFERROR($G891*$J891*P891, "")</f>
        <v>0</v>
      </c>
      <c r="AT891" s="284" t="n">
        <f aca="false">IFERROR($G891*$J891*Q891, "")</f>
        <v>0</v>
      </c>
      <c r="AU891" s="284" t="n">
        <f aca="false">IFERROR($G891*$J891*R891, "")</f>
        <v>0</v>
      </c>
      <c r="AV891" s="284" t="n">
        <f aca="false">IFERROR($G891*$J891*S891, "")</f>
        <v>0</v>
      </c>
      <c r="AW891" s="284" t="n">
        <f aca="false">IFERROR($G891*$J891*T891, "")</f>
        <v>0</v>
      </c>
      <c r="AX891" s="284" t="n">
        <f aca="false">IFERROR($G891*$J891*U891, "")</f>
        <v>0</v>
      </c>
      <c r="AY891" s="284" t="n">
        <f aca="false">IFERROR($G891*$J891*V891, "")</f>
        <v>0</v>
      </c>
      <c r="AZ891" s="284" t="n">
        <f aca="false">IFERROR($G891*$J891*W891, "")</f>
        <v>0</v>
      </c>
      <c r="BA891" s="286" t="n">
        <f aca="false">IFERROR(SUMIF($AO$4:$AZ$4, "RDEC", AO891:AZ891), "")</f>
        <v>0</v>
      </c>
      <c r="BB891" s="286" t="n">
        <f aca="false">IFERROR(SUMIF($AO$4:$AZ$4, "SME", AO891:AZ891), "")</f>
        <v>0</v>
      </c>
      <c r="BC891" s="286" t="n">
        <f aca="false">IFERROR(SUMIF($Y$4:$AJ$4, "De Minimis", AO891:AZ891), "")</f>
        <v>0</v>
      </c>
      <c r="BD891" s="287"/>
      <c r="BE891" s="288" t="str">
        <f aca="false">IF((SUM(L891:W891)&gt;1),"ERROR","")</f>
        <v/>
      </c>
    </row>
    <row r="892" customFormat="false" ht="15" hidden="false" customHeight="true" outlineLevel="0" collapsed="false">
      <c r="B892" s="333"/>
      <c r="C892" s="334"/>
      <c r="D892" s="333" t="n">
        <f aca="false">D876</f>
        <v>45383</v>
      </c>
      <c r="E892" s="277" t="n">
        <v>0</v>
      </c>
      <c r="F892" s="277" t="n">
        <v>0</v>
      </c>
      <c r="G892" s="277" t="n">
        <f aca="false">SUM(E892:F892)</f>
        <v>0</v>
      </c>
      <c r="H892" s="204"/>
      <c r="I892" s="279" t="n">
        <v>1</v>
      </c>
      <c r="J892" s="280" t="n">
        <f aca="false">1-I892</f>
        <v>0</v>
      </c>
      <c r="K892" s="277"/>
      <c r="L892" s="282"/>
      <c r="M892" s="282"/>
      <c r="N892" s="282"/>
      <c r="O892" s="282"/>
      <c r="P892" s="282"/>
      <c r="Q892" s="282"/>
      <c r="R892" s="282"/>
      <c r="S892" s="282"/>
      <c r="T892" s="282"/>
      <c r="U892" s="282"/>
      <c r="V892" s="282"/>
      <c r="W892" s="282"/>
      <c r="X892" s="283"/>
      <c r="Y892" s="284" t="n">
        <f aca="false">IFERROR(L892*$G892*I$9, "")</f>
        <v>0</v>
      </c>
      <c r="Z892" s="284" t="n">
        <f aca="false">IFERROR(M892*$G892*$I892, "")</f>
        <v>0</v>
      </c>
      <c r="AA892" s="284" t="n">
        <f aca="false">IFERROR(N892*$G892*$I892, "")</f>
        <v>0</v>
      </c>
      <c r="AB892" s="284" t="n">
        <f aca="false">IFERROR(O892*$G892*$I892, "")</f>
        <v>0</v>
      </c>
      <c r="AC892" s="284" t="n">
        <f aca="false">IFERROR(P892*$G892*$I892, "")</f>
        <v>0</v>
      </c>
      <c r="AD892" s="284" t="n">
        <f aca="false">IFERROR(Q892*$G892*$I892, "")</f>
        <v>0</v>
      </c>
      <c r="AE892" s="284" t="n">
        <f aca="false">IFERROR(R892*$G892*$I892, "")</f>
        <v>0</v>
      </c>
      <c r="AF892" s="284" t="n">
        <f aca="false">IFERROR(S892*$G892*$I892, "")</f>
        <v>0</v>
      </c>
      <c r="AG892" s="284" t="n">
        <f aca="false">IFERROR(T892*$G892*$I892, "")</f>
        <v>0</v>
      </c>
      <c r="AH892" s="284" t="n">
        <f aca="false">IFERROR(U892*$G892*$I892, "")</f>
        <v>0</v>
      </c>
      <c r="AI892" s="284" t="n">
        <f aca="false">IFERROR(V892*$G892*$I892, "")</f>
        <v>0</v>
      </c>
      <c r="AJ892" s="284" t="n">
        <f aca="false">IFERROR(W892*$G892*$I892, "")</f>
        <v>0</v>
      </c>
      <c r="AK892" s="286" t="n">
        <f aca="false">IFERROR(SUMIF($Y$4:$AJ$4, "RDEC", Y892:AJ892), "")</f>
        <v>0</v>
      </c>
      <c r="AL892" s="286" t="n">
        <f aca="false">IFERROR(SUMIF($Y$4:$AJ$4, "SME", Y892:AJ892), "")</f>
        <v>0</v>
      </c>
      <c r="AM892" s="286" t="n">
        <f aca="false">IFERROR(SUMIF($Y$4:$AJ$4, "De Minimis", Y892:AJ892), "")</f>
        <v>0</v>
      </c>
      <c r="AN892" s="283"/>
      <c r="AO892" s="284" t="n">
        <f aca="false">IFERROR($G892*$J892*L892, "")</f>
        <v>0</v>
      </c>
      <c r="AP892" s="284" t="n">
        <f aca="false">IFERROR($G892*$J892*M892, "")</f>
        <v>0</v>
      </c>
      <c r="AQ892" s="284" t="n">
        <f aca="false">IFERROR($G892*$J892*N892, "")</f>
        <v>0</v>
      </c>
      <c r="AR892" s="284" t="n">
        <f aca="false">IFERROR($G892*$J892*O892, "")</f>
        <v>0</v>
      </c>
      <c r="AS892" s="284" t="n">
        <f aca="false">IFERROR($G892*$J892*P892, "")</f>
        <v>0</v>
      </c>
      <c r="AT892" s="284" t="n">
        <f aca="false">IFERROR($G892*$J892*Q892, "")</f>
        <v>0</v>
      </c>
      <c r="AU892" s="284" t="n">
        <f aca="false">IFERROR($G892*$J892*R892, "")</f>
        <v>0</v>
      </c>
      <c r="AV892" s="284" t="n">
        <f aca="false">IFERROR($G892*$J892*S892, "")</f>
        <v>0</v>
      </c>
      <c r="AW892" s="284" t="n">
        <f aca="false">IFERROR($G892*$J892*T892, "")</f>
        <v>0</v>
      </c>
      <c r="AX892" s="284" t="n">
        <f aca="false">IFERROR($G892*$J892*U892, "")</f>
        <v>0</v>
      </c>
      <c r="AY892" s="284" t="n">
        <f aca="false">IFERROR($G892*$J892*V892, "")</f>
        <v>0</v>
      </c>
      <c r="AZ892" s="284" t="n">
        <f aca="false">IFERROR($G892*$J892*W892, "")</f>
        <v>0</v>
      </c>
      <c r="BA892" s="286" t="n">
        <f aca="false">IFERROR(SUMIF($AO$4:$AZ$4, "RDEC", AO892:AZ892), "")</f>
        <v>0</v>
      </c>
      <c r="BB892" s="286" t="n">
        <f aca="false">IFERROR(SUMIF($AO$4:$AZ$4, "SME", AO892:AZ892), "")</f>
        <v>0</v>
      </c>
      <c r="BC892" s="286" t="n">
        <f aca="false">IFERROR(SUMIF($Y$4:$AJ$4, "De Minimis", AO892:AZ892), "")</f>
        <v>0</v>
      </c>
      <c r="BD892" s="287"/>
      <c r="BE892" s="288" t="str">
        <f aca="false">IF((SUM(L892:W892)&gt;1),"ERROR","")</f>
        <v/>
      </c>
    </row>
    <row r="893" customFormat="false" ht="15" hidden="false" customHeight="true" outlineLevel="0" collapsed="false">
      <c r="B893" s="333"/>
      <c r="C893" s="334"/>
      <c r="D893" s="333" t="n">
        <f aca="false">D877</f>
        <v>45413</v>
      </c>
      <c r="E893" s="277" t="n">
        <v>0</v>
      </c>
      <c r="F893" s="277" t="n">
        <v>0</v>
      </c>
      <c r="G893" s="277" t="n">
        <f aca="false">SUM(E893:F893)</f>
        <v>0</v>
      </c>
      <c r="H893" s="204"/>
      <c r="I893" s="279" t="n">
        <v>1</v>
      </c>
      <c r="J893" s="280" t="n">
        <f aca="false">1-I893</f>
        <v>0</v>
      </c>
      <c r="K893" s="277"/>
      <c r="L893" s="282"/>
      <c r="M893" s="282"/>
      <c r="N893" s="282"/>
      <c r="O893" s="282"/>
      <c r="P893" s="282"/>
      <c r="Q893" s="282"/>
      <c r="R893" s="282"/>
      <c r="S893" s="282"/>
      <c r="T893" s="282"/>
      <c r="U893" s="282"/>
      <c r="V893" s="282"/>
      <c r="W893" s="282"/>
      <c r="X893" s="283"/>
      <c r="Y893" s="284" t="n">
        <f aca="false">IFERROR(L893*$G893*I$9, "")</f>
        <v>0</v>
      </c>
      <c r="Z893" s="284" t="n">
        <f aca="false">IFERROR(M893*$G893*$I893, "")</f>
        <v>0</v>
      </c>
      <c r="AA893" s="284" t="n">
        <f aca="false">IFERROR(N893*$G893*$I893, "")</f>
        <v>0</v>
      </c>
      <c r="AB893" s="284" t="n">
        <f aca="false">IFERROR(O893*$G893*$I893, "")</f>
        <v>0</v>
      </c>
      <c r="AC893" s="284" t="n">
        <f aca="false">IFERROR(P893*$G893*$I893, "")</f>
        <v>0</v>
      </c>
      <c r="AD893" s="284" t="n">
        <f aca="false">IFERROR(Q893*$G893*$I893, "")</f>
        <v>0</v>
      </c>
      <c r="AE893" s="284" t="n">
        <f aca="false">IFERROR(R893*$G893*$I893, "")</f>
        <v>0</v>
      </c>
      <c r="AF893" s="284" t="n">
        <f aca="false">IFERROR(S893*$G893*$I893, "")</f>
        <v>0</v>
      </c>
      <c r="AG893" s="284" t="n">
        <f aca="false">IFERROR(T893*$G893*$I893, "")</f>
        <v>0</v>
      </c>
      <c r="AH893" s="284" t="n">
        <f aca="false">IFERROR(U893*$G893*$I893, "")</f>
        <v>0</v>
      </c>
      <c r="AI893" s="284" t="n">
        <f aca="false">IFERROR(V893*$G893*$I893, "")</f>
        <v>0</v>
      </c>
      <c r="AJ893" s="284" t="n">
        <f aca="false">IFERROR(W893*$G893*$I893, "")</f>
        <v>0</v>
      </c>
      <c r="AK893" s="286" t="n">
        <f aca="false">IFERROR(SUMIF($Y$4:$AJ$4, "RDEC", Y893:AJ893), "")</f>
        <v>0</v>
      </c>
      <c r="AL893" s="286" t="n">
        <f aca="false">IFERROR(SUMIF($Y$4:$AJ$4, "SME", Y893:AJ893), "")</f>
        <v>0</v>
      </c>
      <c r="AM893" s="286" t="n">
        <f aca="false">IFERROR(SUMIF($Y$4:$AJ$4, "De Minimis", Y893:AJ893), "")</f>
        <v>0</v>
      </c>
      <c r="AN893" s="283"/>
      <c r="AO893" s="284" t="n">
        <f aca="false">IFERROR($G893*$J893*L893, "")</f>
        <v>0</v>
      </c>
      <c r="AP893" s="284" t="n">
        <f aca="false">IFERROR($G893*$J893*M893, "")</f>
        <v>0</v>
      </c>
      <c r="AQ893" s="284" t="n">
        <f aca="false">IFERROR($G893*$J893*N893, "")</f>
        <v>0</v>
      </c>
      <c r="AR893" s="284" t="n">
        <f aca="false">IFERROR($G893*$J893*O893, "")</f>
        <v>0</v>
      </c>
      <c r="AS893" s="284" t="n">
        <f aca="false">IFERROR($G893*$J893*P893, "")</f>
        <v>0</v>
      </c>
      <c r="AT893" s="284" t="n">
        <f aca="false">IFERROR($G893*$J893*Q893, "")</f>
        <v>0</v>
      </c>
      <c r="AU893" s="284" t="n">
        <f aca="false">IFERROR($G893*$J893*R893, "")</f>
        <v>0</v>
      </c>
      <c r="AV893" s="284" t="n">
        <f aca="false">IFERROR($G893*$J893*S893, "")</f>
        <v>0</v>
      </c>
      <c r="AW893" s="284" t="n">
        <f aca="false">IFERROR($G893*$J893*T893, "")</f>
        <v>0</v>
      </c>
      <c r="AX893" s="284" t="n">
        <f aca="false">IFERROR($G893*$J893*U893, "")</f>
        <v>0</v>
      </c>
      <c r="AY893" s="284" t="n">
        <f aca="false">IFERROR($G893*$J893*V893, "")</f>
        <v>0</v>
      </c>
      <c r="AZ893" s="284" t="n">
        <f aca="false">IFERROR($G893*$J893*W893, "")</f>
        <v>0</v>
      </c>
      <c r="BA893" s="286" t="n">
        <f aca="false">IFERROR(SUMIF($AO$4:$AZ$4, "RDEC", AO893:AZ893), "")</f>
        <v>0</v>
      </c>
      <c r="BB893" s="286" t="n">
        <f aca="false">IFERROR(SUMIF($AO$4:$AZ$4, "SME", AO893:AZ893), "")</f>
        <v>0</v>
      </c>
      <c r="BC893" s="286" t="n">
        <f aca="false">IFERROR(SUMIF($Y$4:$AJ$4, "De Minimis", AO893:AZ893), "")</f>
        <v>0</v>
      </c>
      <c r="BD893" s="287"/>
      <c r="BE893" s="288" t="str">
        <f aca="false">IF((SUM(L893:W893)&gt;1),"ERROR","")</f>
        <v/>
      </c>
    </row>
    <row r="894" customFormat="false" ht="15" hidden="false" customHeight="true" outlineLevel="0" collapsed="false">
      <c r="B894" s="333"/>
      <c r="C894" s="334"/>
      <c r="D894" s="333" t="n">
        <f aca="false">D878</f>
        <v>45444</v>
      </c>
      <c r="E894" s="277" t="n">
        <v>0</v>
      </c>
      <c r="F894" s="277" t="n">
        <v>0</v>
      </c>
      <c r="G894" s="277" t="n">
        <f aca="false">SUM(E894:F894)</f>
        <v>0</v>
      </c>
      <c r="H894" s="204"/>
      <c r="I894" s="279" t="n">
        <v>1</v>
      </c>
      <c r="J894" s="280" t="n">
        <f aca="false">1-I894</f>
        <v>0</v>
      </c>
      <c r="K894" s="277"/>
      <c r="L894" s="282"/>
      <c r="M894" s="282"/>
      <c r="N894" s="282"/>
      <c r="O894" s="282"/>
      <c r="P894" s="282"/>
      <c r="Q894" s="282"/>
      <c r="R894" s="282"/>
      <c r="S894" s="282"/>
      <c r="T894" s="282"/>
      <c r="U894" s="282"/>
      <c r="V894" s="282"/>
      <c r="W894" s="282"/>
      <c r="X894" s="283"/>
      <c r="Y894" s="284" t="n">
        <f aca="false">IFERROR(L894*$G894*I$9, "")</f>
        <v>0</v>
      </c>
      <c r="Z894" s="284" t="n">
        <f aca="false">IFERROR(M894*$G894*$I894, "")</f>
        <v>0</v>
      </c>
      <c r="AA894" s="284" t="n">
        <f aca="false">IFERROR(N894*$G894*$I894, "")</f>
        <v>0</v>
      </c>
      <c r="AB894" s="284" t="n">
        <f aca="false">IFERROR(O894*$G894*$I894, "")</f>
        <v>0</v>
      </c>
      <c r="AC894" s="284" t="n">
        <f aca="false">IFERROR(P894*$G894*$I894, "")</f>
        <v>0</v>
      </c>
      <c r="AD894" s="284" t="n">
        <f aca="false">IFERROR(Q894*$G894*$I894, "")</f>
        <v>0</v>
      </c>
      <c r="AE894" s="284" t="n">
        <f aca="false">IFERROR(R894*$G894*$I894, "")</f>
        <v>0</v>
      </c>
      <c r="AF894" s="284" t="n">
        <f aca="false">IFERROR(S894*$G894*$I894, "")</f>
        <v>0</v>
      </c>
      <c r="AG894" s="284" t="n">
        <f aca="false">IFERROR(T894*$G894*$I894, "")</f>
        <v>0</v>
      </c>
      <c r="AH894" s="284" t="n">
        <f aca="false">IFERROR(U894*$G894*$I894, "")</f>
        <v>0</v>
      </c>
      <c r="AI894" s="284" t="n">
        <f aca="false">IFERROR(V894*$G894*$I894, "")</f>
        <v>0</v>
      </c>
      <c r="AJ894" s="284" t="n">
        <f aca="false">IFERROR(W894*$G894*$I894, "")</f>
        <v>0</v>
      </c>
      <c r="AK894" s="286" t="n">
        <f aca="false">IFERROR(SUMIF($Y$4:$AJ$4, "RDEC", Y894:AJ894), "")</f>
        <v>0</v>
      </c>
      <c r="AL894" s="286" t="n">
        <f aca="false">IFERROR(SUMIF($Y$4:$AJ$4, "SME", Y894:AJ894), "")</f>
        <v>0</v>
      </c>
      <c r="AM894" s="286" t="n">
        <f aca="false">IFERROR(SUMIF($Y$4:$AJ$4, "De Minimis", Y894:AJ894), "")</f>
        <v>0</v>
      </c>
      <c r="AN894" s="283"/>
      <c r="AO894" s="284" t="n">
        <f aca="false">IFERROR($G894*$J894*L894, "")</f>
        <v>0</v>
      </c>
      <c r="AP894" s="284" t="n">
        <f aca="false">IFERROR($G894*$J894*M894, "")</f>
        <v>0</v>
      </c>
      <c r="AQ894" s="284" t="n">
        <f aca="false">IFERROR($G894*$J894*N894, "")</f>
        <v>0</v>
      </c>
      <c r="AR894" s="284" t="n">
        <f aca="false">IFERROR($G894*$J894*O894, "")</f>
        <v>0</v>
      </c>
      <c r="AS894" s="284" t="n">
        <f aca="false">IFERROR($G894*$J894*P894, "")</f>
        <v>0</v>
      </c>
      <c r="AT894" s="284" t="n">
        <f aca="false">IFERROR($G894*$J894*Q894, "")</f>
        <v>0</v>
      </c>
      <c r="AU894" s="284" t="n">
        <f aca="false">IFERROR($G894*$J894*R894, "")</f>
        <v>0</v>
      </c>
      <c r="AV894" s="284" t="n">
        <f aca="false">IFERROR($G894*$J894*S894, "")</f>
        <v>0</v>
      </c>
      <c r="AW894" s="284" t="n">
        <f aca="false">IFERROR($G894*$J894*T894, "")</f>
        <v>0</v>
      </c>
      <c r="AX894" s="284" t="n">
        <f aca="false">IFERROR($G894*$J894*U894, "")</f>
        <v>0</v>
      </c>
      <c r="AY894" s="284" t="n">
        <f aca="false">IFERROR($G894*$J894*V894, "")</f>
        <v>0</v>
      </c>
      <c r="AZ894" s="284" t="n">
        <f aca="false">IFERROR($G894*$J894*W894, "")</f>
        <v>0</v>
      </c>
      <c r="BA894" s="286" t="n">
        <f aca="false">IFERROR(SUMIF($AO$4:$AZ$4, "RDEC", AO894:AZ894), "")</f>
        <v>0</v>
      </c>
      <c r="BB894" s="286" t="n">
        <f aca="false">IFERROR(SUMIF($AO$4:$AZ$4, "SME", AO894:AZ894), "")</f>
        <v>0</v>
      </c>
      <c r="BC894" s="286" t="n">
        <f aca="false">IFERROR(SUMIF($Y$4:$AJ$4, "De Minimis", AO894:AZ894), "")</f>
        <v>0</v>
      </c>
      <c r="BD894" s="287"/>
      <c r="BE894" s="288" t="str">
        <f aca="false">IF((SUM(L894:W894)&gt;1),"ERROR","")</f>
        <v/>
      </c>
    </row>
    <row r="895" customFormat="false" ht="15" hidden="false" customHeight="true" outlineLevel="0" collapsed="false">
      <c r="B895" s="333"/>
      <c r="C895" s="334"/>
      <c r="D895" s="333" t="n">
        <f aca="false">D879</f>
        <v>45474</v>
      </c>
      <c r="E895" s="277" t="n">
        <v>0</v>
      </c>
      <c r="F895" s="277" t="n">
        <v>0</v>
      </c>
      <c r="G895" s="277" t="n">
        <f aca="false">SUM(E895:F895)</f>
        <v>0</v>
      </c>
      <c r="H895" s="204"/>
      <c r="I895" s="279" t="n">
        <v>1</v>
      </c>
      <c r="J895" s="280" t="n">
        <f aca="false">1-I895</f>
        <v>0</v>
      </c>
      <c r="K895" s="277"/>
      <c r="L895" s="282"/>
      <c r="M895" s="282"/>
      <c r="N895" s="282"/>
      <c r="O895" s="282"/>
      <c r="P895" s="282"/>
      <c r="Q895" s="282"/>
      <c r="R895" s="282"/>
      <c r="S895" s="282"/>
      <c r="T895" s="282"/>
      <c r="U895" s="282"/>
      <c r="V895" s="282"/>
      <c r="W895" s="282"/>
      <c r="X895" s="283"/>
      <c r="Y895" s="284" t="n">
        <f aca="false">IFERROR(L895*$G895*I$9, "")</f>
        <v>0</v>
      </c>
      <c r="Z895" s="284" t="n">
        <f aca="false">IFERROR(M895*$G895*$I895, "")</f>
        <v>0</v>
      </c>
      <c r="AA895" s="284" t="n">
        <f aca="false">IFERROR(N895*$G895*$I895, "")</f>
        <v>0</v>
      </c>
      <c r="AB895" s="284" t="n">
        <f aca="false">IFERROR(O895*$G895*$I895, "")</f>
        <v>0</v>
      </c>
      <c r="AC895" s="284" t="n">
        <f aca="false">IFERROR(P895*$G895*$I895, "")</f>
        <v>0</v>
      </c>
      <c r="AD895" s="284" t="n">
        <f aca="false">IFERROR(Q895*$G895*$I895, "")</f>
        <v>0</v>
      </c>
      <c r="AE895" s="284" t="n">
        <f aca="false">IFERROR(R895*$G895*$I895, "")</f>
        <v>0</v>
      </c>
      <c r="AF895" s="284" t="n">
        <f aca="false">IFERROR(S895*$G895*$I895, "")</f>
        <v>0</v>
      </c>
      <c r="AG895" s="284" t="n">
        <f aca="false">IFERROR(T895*$G895*$I895, "")</f>
        <v>0</v>
      </c>
      <c r="AH895" s="284" t="n">
        <f aca="false">IFERROR(U895*$G895*$I895, "")</f>
        <v>0</v>
      </c>
      <c r="AI895" s="284" t="n">
        <f aca="false">IFERROR(V895*$G895*$I895, "")</f>
        <v>0</v>
      </c>
      <c r="AJ895" s="284" t="n">
        <f aca="false">IFERROR(W895*$G895*$I895, "")</f>
        <v>0</v>
      </c>
      <c r="AK895" s="286" t="n">
        <f aca="false">IFERROR(SUMIF($Y$4:$AJ$4, "RDEC", Y895:AJ895), "")</f>
        <v>0</v>
      </c>
      <c r="AL895" s="286" t="n">
        <f aca="false">IFERROR(SUMIF($Y$4:$AJ$4, "SME", Y895:AJ895), "")</f>
        <v>0</v>
      </c>
      <c r="AM895" s="286" t="n">
        <f aca="false">IFERROR(SUMIF($Y$4:$AJ$4, "De Minimis", Y895:AJ895), "")</f>
        <v>0</v>
      </c>
      <c r="AN895" s="283"/>
      <c r="AO895" s="284" t="n">
        <f aca="false">IFERROR($G895*$J895*L895, "")</f>
        <v>0</v>
      </c>
      <c r="AP895" s="284" t="n">
        <f aca="false">IFERROR($G895*$J895*M895, "")</f>
        <v>0</v>
      </c>
      <c r="AQ895" s="284" t="n">
        <f aca="false">IFERROR($G895*$J895*N895, "")</f>
        <v>0</v>
      </c>
      <c r="AR895" s="284" t="n">
        <f aca="false">IFERROR($G895*$J895*O895, "")</f>
        <v>0</v>
      </c>
      <c r="AS895" s="284" t="n">
        <f aca="false">IFERROR($G895*$J895*P895, "")</f>
        <v>0</v>
      </c>
      <c r="AT895" s="284" t="n">
        <f aca="false">IFERROR($G895*$J895*Q895, "")</f>
        <v>0</v>
      </c>
      <c r="AU895" s="284" t="n">
        <f aca="false">IFERROR($G895*$J895*R895, "")</f>
        <v>0</v>
      </c>
      <c r="AV895" s="284" t="n">
        <f aca="false">IFERROR($G895*$J895*S895, "")</f>
        <v>0</v>
      </c>
      <c r="AW895" s="284" t="n">
        <f aca="false">IFERROR($G895*$J895*T895, "")</f>
        <v>0</v>
      </c>
      <c r="AX895" s="284" t="n">
        <f aca="false">IFERROR($G895*$J895*U895, "")</f>
        <v>0</v>
      </c>
      <c r="AY895" s="284" t="n">
        <f aca="false">IFERROR($G895*$J895*V895, "")</f>
        <v>0</v>
      </c>
      <c r="AZ895" s="284" t="n">
        <f aca="false">IFERROR($G895*$J895*W895, "")</f>
        <v>0</v>
      </c>
      <c r="BA895" s="286" t="n">
        <f aca="false">IFERROR(SUMIF($AO$4:$AZ$4, "RDEC", AO895:AZ895), "")</f>
        <v>0</v>
      </c>
      <c r="BB895" s="286" t="n">
        <f aca="false">IFERROR(SUMIF($AO$4:$AZ$4, "SME", AO895:AZ895), "")</f>
        <v>0</v>
      </c>
      <c r="BC895" s="286" t="n">
        <f aca="false">IFERROR(SUMIF($Y$4:$AJ$4, "De Minimis", AO895:AZ895), "")</f>
        <v>0</v>
      </c>
      <c r="BD895" s="287"/>
      <c r="BE895" s="288" t="str">
        <f aca="false">IF((SUM(L895:W895)&gt;1),"ERROR","")</f>
        <v/>
      </c>
    </row>
    <row r="896" customFormat="false" ht="15" hidden="false" customHeight="true" outlineLevel="0" collapsed="false">
      <c r="B896" s="333"/>
      <c r="C896" s="334"/>
      <c r="D896" s="333" t="n">
        <f aca="false">D880</f>
        <v>45505</v>
      </c>
      <c r="E896" s="277" t="n">
        <v>0</v>
      </c>
      <c r="F896" s="277" t="n">
        <v>0</v>
      </c>
      <c r="G896" s="277" t="n">
        <f aca="false">SUM(E896:F896)</f>
        <v>0</v>
      </c>
      <c r="H896" s="204"/>
      <c r="I896" s="279" t="n">
        <v>1</v>
      </c>
      <c r="J896" s="280" t="n">
        <f aca="false">1-I896</f>
        <v>0</v>
      </c>
      <c r="K896" s="277"/>
      <c r="L896" s="282"/>
      <c r="M896" s="282"/>
      <c r="N896" s="282"/>
      <c r="O896" s="282"/>
      <c r="P896" s="282"/>
      <c r="Q896" s="282"/>
      <c r="R896" s="282"/>
      <c r="S896" s="282"/>
      <c r="T896" s="282"/>
      <c r="U896" s="282"/>
      <c r="V896" s="282"/>
      <c r="W896" s="282"/>
      <c r="X896" s="283"/>
      <c r="Y896" s="284" t="n">
        <f aca="false">IFERROR(L896*$G896*I$9, "")</f>
        <v>0</v>
      </c>
      <c r="Z896" s="284" t="n">
        <f aca="false">IFERROR(M896*$G896*$I896, "")</f>
        <v>0</v>
      </c>
      <c r="AA896" s="284" t="n">
        <f aca="false">IFERROR(N896*$G896*$I896, "")</f>
        <v>0</v>
      </c>
      <c r="AB896" s="284" t="n">
        <f aca="false">IFERROR(O896*$G896*$I896, "")</f>
        <v>0</v>
      </c>
      <c r="AC896" s="284" t="n">
        <f aca="false">IFERROR(P896*$G896*$I896, "")</f>
        <v>0</v>
      </c>
      <c r="AD896" s="284" t="n">
        <f aca="false">IFERROR(Q896*$G896*$I896, "")</f>
        <v>0</v>
      </c>
      <c r="AE896" s="284" t="n">
        <f aca="false">IFERROR(R896*$G896*$I896, "")</f>
        <v>0</v>
      </c>
      <c r="AF896" s="284" t="n">
        <f aca="false">IFERROR(S896*$G896*$I896, "")</f>
        <v>0</v>
      </c>
      <c r="AG896" s="284" t="n">
        <f aca="false">IFERROR(T896*$G896*$I896, "")</f>
        <v>0</v>
      </c>
      <c r="AH896" s="284" t="n">
        <f aca="false">IFERROR(U896*$G896*$I896, "")</f>
        <v>0</v>
      </c>
      <c r="AI896" s="284" t="n">
        <f aca="false">IFERROR(V896*$G896*$I896, "")</f>
        <v>0</v>
      </c>
      <c r="AJ896" s="284" t="n">
        <f aca="false">IFERROR(W896*$G896*$I896, "")</f>
        <v>0</v>
      </c>
      <c r="AK896" s="286" t="n">
        <f aca="false">IFERROR(SUMIF($Y$4:$AJ$4, "RDEC", Y896:AJ896), "")</f>
        <v>0</v>
      </c>
      <c r="AL896" s="286" t="n">
        <f aca="false">IFERROR(SUMIF($Y$4:$AJ$4, "SME", Y896:AJ896), "")</f>
        <v>0</v>
      </c>
      <c r="AM896" s="286" t="n">
        <f aca="false">IFERROR(SUMIF($Y$4:$AJ$4, "De Minimis", Y896:AJ896), "")</f>
        <v>0</v>
      </c>
      <c r="AN896" s="283"/>
      <c r="AO896" s="284" t="n">
        <f aca="false">IFERROR($G896*$J896*L896, "")</f>
        <v>0</v>
      </c>
      <c r="AP896" s="284" t="n">
        <f aca="false">IFERROR($G896*$J896*M896, "")</f>
        <v>0</v>
      </c>
      <c r="AQ896" s="284" t="n">
        <f aca="false">IFERROR($G896*$J896*N896, "")</f>
        <v>0</v>
      </c>
      <c r="AR896" s="284" t="n">
        <f aca="false">IFERROR($G896*$J896*O896, "")</f>
        <v>0</v>
      </c>
      <c r="AS896" s="284" t="n">
        <f aca="false">IFERROR($G896*$J896*P896, "")</f>
        <v>0</v>
      </c>
      <c r="AT896" s="284" t="n">
        <f aca="false">IFERROR($G896*$J896*Q896, "")</f>
        <v>0</v>
      </c>
      <c r="AU896" s="284" t="n">
        <f aca="false">IFERROR($G896*$J896*R896, "")</f>
        <v>0</v>
      </c>
      <c r="AV896" s="284" t="n">
        <f aca="false">IFERROR($G896*$J896*S896, "")</f>
        <v>0</v>
      </c>
      <c r="AW896" s="284" t="n">
        <f aca="false">IFERROR($G896*$J896*T896, "")</f>
        <v>0</v>
      </c>
      <c r="AX896" s="284" t="n">
        <f aca="false">IFERROR($G896*$J896*U896, "")</f>
        <v>0</v>
      </c>
      <c r="AY896" s="284" t="n">
        <f aca="false">IFERROR($G896*$J896*V896, "")</f>
        <v>0</v>
      </c>
      <c r="AZ896" s="284" t="n">
        <f aca="false">IFERROR($G896*$J896*W896, "")</f>
        <v>0</v>
      </c>
      <c r="BA896" s="286" t="n">
        <f aca="false">IFERROR(SUMIF($AO$4:$AZ$4, "RDEC", AO896:AZ896), "")</f>
        <v>0</v>
      </c>
      <c r="BB896" s="286" t="n">
        <f aca="false">IFERROR(SUMIF($AO$4:$AZ$4, "SME", AO896:AZ896), "")</f>
        <v>0</v>
      </c>
      <c r="BC896" s="286" t="n">
        <f aca="false">IFERROR(SUMIF($Y$4:$AJ$4, "De Minimis", AO896:AZ896), "")</f>
        <v>0</v>
      </c>
      <c r="BD896" s="287"/>
      <c r="BE896" s="288" t="str">
        <f aca="false">IF((SUM(L896:W896)&gt;1),"ERROR","")</f>
        <v/>
      </c>
    </row>
    <row r="897" customFormat="false" ht="15" hidden="false" customHeight="true" outlineLevel="0" collapsed="false">
      <c r="B897" s="333"/>
      <c r="C897" s="334"/>
      <c r="D897" s="333" t="n">
        <f aca="false">D881</f>
        <v>45536</v>
      </c>
      <c r="E897" s="277" t="n">
        <v>0</v>
      </c>
      <c r="F897" s="277" t="n">
        <v>0</v>
      </c>
      <c r="G897" s="277" t="n">
        <f aca="false">SUM(E897:F897)</f>
        <v>0</v>
      </c>
      <c r="H897" s="204"/>
      <c r="I897" s="279" t="n">
        <v>1</v>
      </c>
      <c r="J897" s="280" t="n">
        <f aca="false">1-I897</f>
        <v>0</v>
      </c>
      <c r="K897" s="277"/>
      <c r="L897" s="282"/>
      <c r="M897" s="282"/>
      <c r="N897" s="282"/>
      <c r="O897" s="282"/>
      <c r="P897" s="282"/>
      <c r="Q897" s="282"/>
      <c r="R897" s="282"/>
      <c r="S897" s="282"/>
      <c r="T897" s="282"/>
      <c r="U897" s="282"/>
      <c r="V897" s="282"/>
      <c r="W897" s="282"/>
      <c r="X897" s="283"/>
      <c r="Y897" s="284" t="n">
        <f aca="false">IFERROR(L897*$G897*I$9, "")</f>
        <v>0</v>
      </c>
      <c r="Z897" s="284" t="n">
        <f aca="false">IFERROR(M897*$G897*$I897, "")</f>
        <v>0</v>
      </c>
      <c r="AA897" s="284" t="n">
        <f aca="false">IFERROR(N897*$G897*$I897, "")</f>
        <v>0</v>
      </c>
      <c r="AB897" s="284" t="n">
        <f aca="false">IFERROR(O897*$G897*$I897, "")</f>
        <v>0</v>
      </c>
      <c r="AC897" s="284" t="n">
        <f aca="false">IFERROR(P897*$G897*$I897, "")</f>
        <v>0</v>
      </c>
      <c r="AD897" s="284" t="n">
        <f aca="false">IFERROR(Q897*$G897*$I897, "")</f>
        <v>0</v>
      </c>
      <c r="AE897" s="284" t="n">
        <f aca="false">IFERROR(R897*$G897*$I897, "")</f>
        <v>0</v>
      </c>
      <c r="AF897" s="284" t="n">
        <f aca="false">IFERROR(S897*$G897*$I897, "")</f>
        <v>0</v>
      </c>
      <c r="AG897" s="284" t="n">
        <f aca="false">IFERROR(T897*$G897*$I897, "")</f>
        <v>0</v>
      </c>
      <c r="AH897" s="284" t="n">
        <f aca="false">IFERROR(U897*$G897*$I897, "")</f>
        <v>0</v>
      </c>
      <c r="AI897" s="284" t="n">
        <f aca="false">IFERROR(V897*$G897*$I897, "")</f>
        <v>0</v>
      </c>
      <c r="AJ897" s="284" t="n">
        <f aca="false">IFERROR(W897*$G897*$I897, "")</f>
        <v>0</v>
      </c>
      <c r="AK897" s="286" t="n">
        <f aca="false">IFERROR(SUMIF($Y$4:$AJ$4, "RDEC", Y897:AJ897), "")</f>
        <v>0</v>
      </c>
      <c r="AL897" s="286" t="n">
        <f aca="false">IFERROR(SUMIF($Y$4:$AJ$4, "SME", Y897:AJ897), "")</f>
        <v>0</v>
      </c>
      <c r="AM897" s="286" t="n">
        <f aca="false">IFERROR(SUMIF($Y$4:$AJ$4, "De Minimis", Y897:AJ897), "")</f>
        <v>0</v>
      </c>
      <c r="AN897" s="283"/>
      <c r="AO897" s="284" t="n">
        <f aca="false">IFERROR($G897*$J897*L897, "")</f>
        <v>0</v>
      </c>
      <c r="AP897" s="284" t="n">
        <f aca="false">IFERROR($G897*$J897*M897, "")</f>
        <v>0</v>
      </c>
      <c r="AQ897" s="284" t="n">
        <f aca="false">IFERROR($G897*$J897*N897, "")</f>
        <v>0</v>
      </c>
      <c r="AR897" s="284" t="n">
        <f aca="false">IFERROR($G897*$J897*O897, "")</f>
        <v>0</v>
      </c>
      <c r="AS897" s="284" t="n">
        <f aca="false">IFERROR($G897*$J897*P897, "")</f>
        <v>0</v>
      </c>
      <c r="AT897" s="284" t="n">
        <f aca="false">IFERROR($G897*$J897*Q897, "")</f>
        <v>0</v>
      </c>
      <c r="AU897" s="284" t="n">
        <f aca="false">IFERROR($G897*$J897*R897, "")</f>
        <v>0</v>
      </c>
      <c r="AV897" s="284" t="n">
        <f aca="false">IFERROR($G897*$J897*S897, "")</f>
        <v>0</v>
      </c>
      <c r="AW897" s="284" t="n">
        <f aca="false">IFERROR($G897*$J897*T897, "")</f>
        <v>0</v>
      </c>
      <c r="AX897" s="284" t="n">
        <f aca="false">IFERROR($G897*$J897*U897, "")</f>
        <v>0</v>
      </c>
      <c r="AY897" s="284" t="n">
        <f aca="false">IFERROR($G897*$J897*V897, "")</f>
        <v>0</v>
      </c>
      <c r="AZ897" s="284" t="n">
        <f aca="false">IFERROR($G897*$J897*W897, "")</f>
        <v>0</v>
      </c>
      <c r="BA897" s="286" t="n">
        <f aca="false">IFERROR(SUMIF($AO$4:$AZ$4, "RDEC", AO897:AZ897), "")</f>
        <v>0</v>
      </c>
      <c r="BB897" s="286" t="n">
        <f aca="false">IFERROR(SUMIF($AO$4:$AZ$4, "SME", AO897:AZ897), "")</f>
        <v>0</v>
      </c>
      <c r="BC897" s="286" t="n">
        <f aca="false">IFERROR(SUMIF($Y$4:$AJ$4, "De Minimis", AO897:AZ897), "")</f>
        <v>0</v>
      </c>
      <c r="BD897" s="287"/>
      <c r="BE897" s="288" t="str">
        <f aca="false">IF((SUM(L897:W897)&gt;1),"ERROR","")</f>
        <v/>
      </c>
    </row>
    <row r="898" customFormat="false" ht="15" hidden="false" customHeight="true" outlineLevel="0" collapsed="false">
      <c r="B898" s="333"/>
      <c r="C898" s="334"/>
      <c r="D898" s="333" t="n">
        <f aca="false">D882</f>
        <v>45566</v>
      </c>
      <c r="E898" s="277" t="n">
        <v>0</v>
      </c>
      <c r="F898" s="277" t="n">
        <v>0</v>
      </c>
      <c r="G898" s="277" t="n">
        <f aca="false">SUM(E898:F898)</f>
        <v>0</v>
      </c>
      <c r="H898" s="204"/>
      <c r="I898" s="279" t="n">
        <v>1</v>
      </c>
      <c r="J898" s="280" t="n">
        <f aca="false">1-I898</f>
        <v>0</v>
      </c>
      <c r="K898" s="277"/>
      <c r="L898" s="282"/>
      <c r="M898" s="282"/>
      <c r="N898" s="282"/>
      <c r="O898" s="282"/>
      <c r="P898" s="282"/>
      <c r="Q898" s="282"/>
      <c r="R898" s="282"/>
      <c r="S898" s="282"/>
      <c r="T898" s="282"/>
      <c r="U898" s="282"/>
      <c r="V898" s="282"/>
      <c r="W898" s="282"/>
      <c r="X898" s="283"/>
      <c r="Y898" s="284" t="n">
        <f aca="false">IFERROR(L898*$G898*I$9, "")</f>
        <v>0</v>
      </c>
      <c r="Z898" s="284" t="n">
        <f aca="false">IFERROR(M898*$G898*$I898, "")</f>
        <v>0</v>
      </c>
      <c r="AA898" s="284" t="n">
        <f aca="false">IFERROR(N898*$G898*$I898, "")</f>
        <v>0</v>
      </c>
      <c r="AB898" s="284" t="n">
        <f aca="false">IFERROR(O898*$G898*$I898, "")</f>
        <v>0</v>
      </c>
      <c r="AC898" s="284" t="n">
        <f aca="false">IFERROR(P898*$G898*$I898, "")</f>
        <v>0</v>
      </c>
      <c r="AD898" s="284" t="n">
        <f aca="false">IFERROR(Q898*$G898*$I898, "")</f>
        <v>0</v>
      </c>
      <c r="AE898" s="284" t="n">
        <f aca="false">IFERROR(R898*$G898*$I898, "")</f>
        <v>0</v>
      </c>
      <c r="AF898" s="284" t="n">
        <f aca="false">IFERROR(S898*$G898*$I898, "")</f>
        <v>0</v>
      </c>
      <c r="AG898" s="284" t="n">
        <f aca="false">IFERROR(T898*$G898*$I898, "")</f>
        <v>0</v>
      </c>
      <c r="AH898" s="284" t="n">
        <f aca="false">IFERROR(U898*$G898*$I898, "")</f>
        <v>0</v>
      </c>
      <c r="AI898" s="284" t="n">
        <f aca="false">IFERROR(V898*$G898*$I898, "")</f>
        <v>0</v>
      </c>
      <c r="AJ898" s="284" t="n">
        <f aca="false">IFERROR(W898*$G898*$I898, "")</f>
        <v>0</v>
      </c>
      <c r="AK898" s="286" t="n">
        <f aca="false">IFERROR(SUMIF($Y$4:$AJ$4, "RDEC", Y898:AJ898), "")</f>
        <v>0</v>
      </c>
      <c r="AL898" s="286" t="n">
        <f aca="false">IFERROR(SUMIF($Y$4:$AJ$4, "SME", Y898:AJ898), "")</f>
        <v>0</v>
      </c>
      <c r="AM898" s="286" t="n">
        <f aca="false">IFERROR(SUMIF($Y$4:$AJ$4, "De Minimis", Y898:AJ898), "")</f>
        <v>0</v>
      </c>
      <c r="AN898" s="283"/>
      <c r="AO898" s="284" t="n">
        <f aca="false">IFERROR($G898*$J898*L898, "")</f>
        <v>0</v>
      </c>
      <c r="AP898" s="284" t="n">
        <f aca="false">IFERROR($G898*$J898*M898, "")</f>
        <v>0</v>
      </c>
      <c r="AQ898" s="284" t="n">
        <f aca="false">IFERROR($G898*$J898*N898, "")</f>
        <v>0</v>
      </c>
      <c r="AR898" s="284" t="n">
        <f aca="false">IFERROR($G898*$J898*O898, "")</f>
        <v>0</v>
      </c>
      <c r="AS898" s="284" t="n">
        <f aca="false">IFERROR($G898*$J898*P898, "")</f>
        <v>0</v>
      </c>
      <c r="AT898" s="284" t="n">
        <f aca="false">IFERROR($G898*$J898*Q898, "")</f>
        <v>0</v>
      </c>
      <c r="AU898" s="284" t="n">
        <f aca="false">IFERROR($G898*$J898*R898, "")</f>
        <v>0</v>
      </c>
      <c r="AV898" s="284" t="n">
        <f aca="false">IFERROR($G898*$J898*S898, "")</f>
        <v>0</v>
      </c>
      <c r="AW898" s="284" t="n">
        <f aca="false">IFERROR($G898*$J898*T898, "")</f>
        <v>0</v>
      </c>
      <c r="AX898" s="284" t="n">
        <f aca="false">IFERROR($G898*$J898*U898, "")</f>
        <v>0</v>
      </c>
      <c r="AY898" s="284" t="n">
        <f aca="false">IFERROR($G898*$J898*V898, "")</f>
        <v>0</v>
      </c>
      <c r="AZ898" s="284" t="n">
        <f aca="false">IFERROR($G898*$J898*W898, "")</f>
        <v>0</v>
      </c>
      <c r="BA898" s="286" t="n">
        <f aca="false">IFERROR(SUMIF($AO$4:$AZ$4, "RDEC", AO898:AZ898), "")</f>
        <v>0</v>
      </c>
      <c r="BB898" s="286" t="n">
        <f aca="false">IFERROR(SUMIF($AO$4:$AZ$4, "SME", AO898:AZ898), "")</f>
        <v>0</v>
      </c>
      <c r="BC898" s="286" t="n">
        <f aca="false">IFERROR(SUMIF($Y$4:$AJ$4, "De Minimis", AO898:AZ898), "")</f>
        <v>0</v>
      </c>
      <c r="BD898" s="287"/>
      <c r="BE898" s="288" t="str">
        <f aca="false">IF((SUM(L898:W898)&gt;1),"ERROR","")</f>
        <v/>
      </c>
    </row>
    <row r="899" customFormat="false" ht="15" hidden="false" customHeight="true" outlineLevel="0" collapsed="false">
      <c r="B899" s="333"/>
      <c r="C899" s="334"/>
      <c r="D899" s="333" t="n">
        <f aca="false">D883</f>
        <v>45597</v>
      </c>
      <c r="E899" s="277" t="n">
        <v>0</v>
      </c>
      <c r="F899" s="277" t="n">
        <v>0</v>
      </c>
      <c r="G899" s="277" t="n">
        <f aca="false">SUM(E899:F899)</f>
        <v>0</v>
      </c>
      <c r="H899" s="204"/>
      <c r="I899" s="279" t="n">
        <v>1</v>
      </c>
      <c r="J899" s="280" t="n">
        <f aca="false">1-I899</f>
        <v>0</v>
      </c>
      <c r="K899" s="277"/>
      <c r="L899" s="282"/>
      <c r="M899" s="282"/>
      <c r="N899" s="282"/>
      <c r="O899" s="282"/>
      <c r="P899" s="282"/>
      <c r="Q899" s="282"/>
      <c r="R899" s="282"/>
      <c r="S899" s="282"/>
      <c r="T899" s="282"/>
      <c r="U899" s="282"/>
      <c r="V899" s="282"/>
      <c r="W899" s="282"/>
      <c r="X899" s="283"/>
      <c r="Y899" s="284" t="n">
        <f aca="false">IFERROR(L899*$G899*I$9, "")</f>
        <v>0</v>
      </c>
      <c r="Z899" s="284" t="n">
        <f aca="false">IFERROR(M899*$G899*$I899, "")</f>
        <v>0</v>
      </c>
      <c r="AA899" s="284" t="n">
        <f aca="false">IFERROR(N899*$G899*$I899, "")</f>
        <v>0</v>
      </c>
      <c r="AB899" s="284" t="n">
        <f aca="false">IFERROR(O899*$G899*$I899, "")</f>
        <v>0</v>
      </c>
      <c r="AC899" s="284" t="n">
        <f aca="false">IFERROR(P899*$G899*$I899, "")</f>
        <v>0</v>
      </c>
      <c r="AD899" s="284" t="n">
        <f aca="false">IFERROR(Q899*$G899*$I899, "")</f>
        <v>0</v>
      </c>
      <c r="AE899" s="284" t="n">
        <f aca="false">IFERROR(R899*$G899*$I899, "")</f>
        <v>0</v>
      </c>
      <c r="AF899" s="284" t="n">
        <f aca="false">IFERROR(S899*$G899*$I899, "")</f>
        <v>0</v>
      </c>
      <c r="AG899" s="284" t="n">
        <f aca="false">IFERROR(T899*$G899*$I899, "")</f>
        <v>0</v>
      </c>
      <c r="AH899" s="284" t="n">
        <f aca="false">IFERROR(U899*$G899*$I899, "")</f>
        <v>0</v>
      </c>
      <c r="AI899" s="284" t="n">
        <f aca="false">IFERROR(V899*$G899*$I899, "")</f>
        <v>0</v>
      </c>
      <c r="AJ899" s="284" t="n">
        <f aca="false">IFERROR(W899*$G899*$I899, "")</f>
        <v>0</v>
      </c>
      <c r="AK899" s="286" t="n">
        <f aca="false">IFERROR(SUMIF($Y$4:$AJ$4, "RDEC", Y899:AJ899), "")</f>
        <v>0</v>
      </c>
      <c r="AL899" s="286" t="n">
        <f aca="false">IFERROR(SUMIF($Y$4:$AJ$4, "SME", Y899:AJ899), "")</f>
        <v>0</v>
      </c>
      <c r="AM899" s="286" t="n">
        <f aca="false">IFERROR(SUMIF($Y$4:$AJ$4, "De Minimis", Y899:AJ899), "")</f>
        <v>0</v>
      </c>
      <c r="AN899" s="283"/>
      <c r="AO899" s="284" t="n">
        <f aca="false">IFERROR($G899*$J899*L899, "")</f>
        <v>0</v>
      </c>
      <c r="AP899" s="284" t="n">
        <f aca="false">IFERROR($G899*$J899*M899, "")</f>
        <v>0</v>
      </c>
      <c r="AQ899" s="284" t="n">
        <f aca="false">IFERROR($G899*$J899*N899, "")</f>
        <v>0</v>
      </c>
      <c r="AR899" s="284" t="n">
        <f aca="false">IFERROR($G899*$J899*O899, "")</f>
        <v>0</v>
      </c>
      <c r="AS899" s="284" t="n">
        <f aca="false">IFERROR($G899*$J899*P899, "")</f>
        <v>0</v>
      </c>
      <c r="AT899" s="284" t="n">
        <f aca="false">IFERROR($G899*$J899*Q899, "")</f>
        <v>0</v>
      </c>
      <c r="AU899" s="284" t="n">
        <f aca="false">IFERROR($G899*$J899*R899, "")</f>
        <v>0</v>
      </c>
      <c r="AV899" s="284" t="n">
        <f aca="false">IFERROR($G899*$J899*S899, "")</f>
        <v>0</v>
      </c>
      <c r="AW899" s="284" t="n">
        <f aca="false">IFERROR($G899*$J899*T899, "")</f>
        <v>0</v>
      </c>
      <c r="AX899" s="284" t="n">
        <f aca="false">IFERROR($G899*$J899*U899, "")</f>
        <v>0</v>
      </c>
      <c r="AY899" s="284" t="n">
        <f aca="false">IFERROR($G899*$J899*V899, "")</f>
        <v>0</v>
      </c>
      <c r="AZ899" s="284" t="n">
        <f aca="false">IFERROR($G899*$J899*W899, "")</f>
        <v>0</v>
      </c>
      <c r="BA899" s="286" t="n">
        <f aca="false">IFERROR(SUMIF($AO$4:$AZ$4, "RDEC", AO899:AZ899), "")</f>
        <v>0</v>
      </c>
      <c r="BB899" s="286" t="n">
        <f aca="false">IFERROR(SUMIF($AO$4:$AZ$4, "SME", AO899:AZ899), "")</f>
        <v>0</v>
      </c>
      <c r="BC899" s="286" t="n">
        <f aca="false">IFERROR(SUMIF($Y$4:$AJ$4, "De Minimis", AO899:AZ899), "")</f>
        <v>0</v>
      </c>
      <c r="BD899" s="287"/>
      <c r="BE899" s="288" t="str">
        <f aca="false">IF((SUM(L899:W899)&gt;1),"ERROR","")</f>
        <v/>
      </c>
    </row>
    <row r="900" customFormat="false" ht="15" hidden="false" customHeight="true" outlineLevel="0" collapsed="false">
      <c r="B900" s="333"/>
      <c r="C900" s="334"/>
      <c r="D900" s="333" t="n">
        <f aca="false">D884</f>
        <v>45627</v>
      </c>
      <c r="E900" s="277" t="n">
        <v>0</v>
      </c>
      <c r="F900" s="277" t="n">
        <v>0</v>
      </c>
      <c r="G900" s="277" t="n">
        <f aca="false">SUM(E900:F900)</f>
        <v>0</v>
      </c>
      <c r="H900" s="300"/>
      <c r="I900" s="289" t="n">
        <v>1</v>
      </c>
      <c r="J900" s="290" t="n">
        <f aca="false">1-I900</f>
        <v>0</v>
      </c>
      <c r="K900" s="300"/>
      <c r="L900" s="291"/>
      <c r="M900" s="291"/>
      <c r="N900" s="291"/>
      <c r="O900" s="291"/>
      <c r="P900" s="291"/>
      <c r="Q900" s="291"/>
      <c r="R900" s="291"/>
      <c r="S900" s="291"/>
      <c r="T900" s="291"/>
      <c r="U900" s="291"/>
      <c r="V900" s="291"/>
      <c r="W900" s="291"/>
      <c r="X900" s="283"/>
      <c r="Y900" s="284" t="n">
        <f aca="false">IFERROR(L900*$G900*I$9, "")</f>
        <v>0</v>
      </c>
      <c r="Z900" s="284" t="n">
        <f aca="false">IFERROR(M900*$G900*$I900, "")</f>
        <v>0</v>
      </c>
      <c r="AA900" s="284" t="n">
        <f aca="false">IFERROR(N900*$G900*$I900, "")</f>
        <v>0</v>
      </c>
      <c r="AB900" s="284" t="n">
        <f aca="false">IFERROR(O900*$G900*$I900, "")</f>
        <v>0</v>
      </c>
      <c r="AC900" s="284" t="n">
        <f aca="false">IFERROR(P900*$G900*$I900, "")</f>
        <v>0</v>
      </c>
      <c r="AD900" s="284" t="n">
        <f aca="false">IFERROR(Q900*$G900*$I900, "")</f>
        <v>0</v>
      </c>
      <c r="AE900" s="284" t="n">
        <f aca="false">IFERROR(R900*$G900*$I900, "")</f>
        <v>0</v>
      </c>
      <c r="AF900" s="284" t="n">
        <f aca="false">IFERROR(S900*$G900*$I900, "")</f>
        <v>0</v>
      </c>
      <c r="AG900" s="284" t="n">
        <f aca="false">IFERROR(T900*$G900*$I900, "")</f>
        <v>0</v>
      </c>
      <c r="AH900" s="284" t="n">
        <f aca="false">IFERROR(U900*$G900*$I900, "")</f>
        <v>0</v>
      </c>
      <c r="AI900" s="284" t="n">
        <f aca="false">IFERROR(V900*$G900*$I900, "")</f>
        <v>0</v>
      </c>
      <c r="AJ900" s="284" t="n">
        <f aca="false">IFERROR(W900*$G900*$I900, "")</f>
        <v>0</v>
      </c>
      <c r="AK900" s="294" t="n">
        <f aca="false">IFERROR(SUMIF($Y$4:$AJ$4, "RDEC", Y900:AJ900), "")</f>
        <v>0</v>
      </c>
      <c r="AL900" s="294" t="n">
        <f aca="false">IFERROR(SUMIF($Y$4:$AJ$4, "SME", Y900:AJ900), "")</f>
        <v>0</v>
      </c>
      <c r="AM900" s="294" t="n">
        <f aca="false">IFERROR(SUMIF($Y$4:$AJ$4, "De Minimis", Y900:AJ900), "")</f>
        <v>0</v>
      </c>
      <c r="AN900" s="283"/>
      <c r="AO900" s="284" t="n">
        <f aca="false">IFERROR($G900*$J900*L900, "")</f>
        <v>0</v>
      </c>
      <c r="AP900" s="284" t="n">
        <f aca="false">IFERROR($G900*$J900*M900, "")</f>
        <v>0</v>
      </c>
      <c r="AQ900" s="284" t="n">
        <f aca="false">IFERROR($G900*$J900*N900, "")</f>
        <v>0</v>
      </c>
      <c r="AR900" s="284" t="n">
        <f aca="false">IFERROR($G900*$J900*O900, "")</f>
        <v>0</v>
      </c>
      <c r="AS900" s="284" t="n">
        <f aca="false">IFERROR($G900*$J900*P900, "")</f>
        <v>0</v>
      </c>
      <c r="AT900" s="284" t="n">
        <f aca="false">IFERROR($G900*$J900*Q900, "")</f>
        <v>0</v>
      </c>
      <c r="AU900" s="284" t="n">
        <f aca="false">IFERROR($G900*$J900*R900, "")</f>
        <v>0</v>
      </c>
      <c r="AV900" s="284" t="n">
        <f aca="false">IFERROR($G900*$J900*S900, "")</f>
        <v>0</v>
      </c>
      <c r="AW900" s="284" t="n">
        <f aca="false">IFERROR($G900*$J900*T900, "")</f>
        <v>0</v>
      </c>
      <c r="AX900" s="284" t="n">
        <f aca="false">IFERROR($G900*$J900*U900, "")</f>
        <v>0</v>
      </c>
      <c r="AY900" s="284" t="n">
        <f aca="false">IFERROR($G900*$J900*V900, "")</f>
        <v>0</v>
      </c>
      <c r="AZ900" s="284" t="n">
        <f aca="false">IFERROR($G900*$J900*W900, "")</f>
        <v>0</v>
      </c>
      <c r="BA900" s="286" t="n">
        <f aca="false">IFERROR(SUMIF($AO$4:$AZ$4, "RDEC", AO900:AZ900), "")</f>
        <v>0</v>
      </c>
      <c r="BB900" s="286" t="n">
        <f aca="false">IFERROR(SUMIF($AO$4:$AZ$4, "SME", AO900:AZ900), "")</f>
        <v>0</v>
      </c>
      <c r="BC900" s="294" t="n">
        <f aca="false">IFERROR(SUMIF($Y$4:$AJ$4, "De Minimis", AO900:AZ900), "")</f>
        <v>0</v>
      </c>
      <c r="BD900" s="303"/>
      <c r="BE900" s="295" t="str">
        <f aca="false">IF((SUM(L900:W900)&gt;1),"ERROR","")</f>
        <v/>
      </c>
    </row>
    <row r="901" customFormat="false" ht="15" hidden="false" customHeight="true" outlineLevel="0" collapsed="false">
      <c r="B901" s="296"/>
      <c r="D901" s="297" t="s">
        <v>82</v>
      </c>
      <c r="E901" s="299" t="n">
        <f aca="false">SUM(E889:E900)</f>
        <v>0</v>
      </c>
      <c r="F901" s="299" t="n">
        <f aca="false">SUM(F889:F900)</f>
        <v>0</v>
      </c>
      <c r="G901" s="299" t="n">
        <f aca="false">SUM(G889:G900)</f>
        <v>0</v>
      </c>
      <c r="H901" s="300"/>
      <c r="I901" s="301" t="n">
        <f aca="false">AVERAGE(I889:I900)</f>
        <v>1</v>
      </c>
      <c r="J901" s="301" t="n">
        <f aca="false">AVERAGE(J889:J900)</f>
        <v>0</v>
      </c>
      <c r="K901" s="300"/>
      <c r="L901" s="290" t="n">
        <f aca="false">IF(SUM(L889:L900)&gt;0,(Y901/G901),0)</f>
        <v>0</v>
      </c>
      <c r="M901" s="301" t="n">
        <f aca="false">IF(SUM(M889:M900)&gt;0,(Z901/G901),0)</f>
        <v>0</v>
      </c>
      <c r="N901" s="301" t="n">
        <f aca="false">IF(SUM(N889:N900)&gt;0,(AA901/G901),0)</f>
        <v>0</v>
      </c>
      <c r="O901" s="301" t="n">
        <f aca="false">IF(SUM(O889:O900)&gt;0,(AB901/G901),0)</f>
        <v>0</v>
      </c>
      <c r="P901" s="301" t="n">
        <f aca="false">IF(SUM(P889:P900)&gt;0,(AC901/G901),0)</f>
        <v>0</v>
      </c>
      <c r="Q901" s="301" t="n">
        <f aca="false">IF(SUM(Q889:Q900)&gt;0,(AD901/G901),0)</f>
        <v>0</v>
      </c>
      <c r="R901" s="301" t="n">
        <f aca="false">IF(SUM(R889:R900)&gt;0,(AE901/G901),0)</f>
        <v>0</v>
      </c>
      <c r="S901" s="301" t="n">
        <f aca="false">IF(SUM(S889:S900)&gt;0,(AF901/G901),0)</f>
        <v>0</v>
      </c>
      <c r="T901" s="301" t="n">
        <f aca="false">IF(SUM(T889:T900)&gt;0,(AG901/G901),0)</f>
        <v>0</v>
      </c>
      <c r="U901" s="301" t="n">
        <f aca="false">IF(SUM(U889:U900)&gt;0,(AJ901/G901),0)</f>
        <v>0</v>
      </c>
      <c r="V901" s="301" t="n">
        <f aca="false">IF(SUM(V889:V900)&gt;0,(AI901/G901),0)</f>
        <v>0</v>
      </c>
      <c r="W901" s="301" t="n">
        <f aca="false">IF(SUM(W889:W900)&gt;0,(AJ901/G901),0)</f>
        <v>0</v>
      </c>
      <c r="X901" s="283"/>
      <c r="Y901" s="304" t="n">
        <f aca="false">SUM(Y889:Y900)</f>
        <v>0</v>
      </c>
      <c r="Z901" s="304" t="n">
        <f aca="false">SUM(Z889:Z900)</f>
        <v>0</v>
      </c>
      <c r="AA901" s="304" t="n">
        <f aca="false">SUM(AA889:AA900)</f>
        <v>0</v>
      </c>
      <c r="AB901" s="304" t="n">
        <f aca="false">SUM(AB889:AB900)</f>
        <v>0</v>
      </c>
      <c r="AC901" s="304" t="n">
        <f aca="false">SUM(AC889:AC900)</f>
        <v>0</v>
      </c>
      <c r="AD901" s="304" t="n">
        <f aca="false">SUM(AD889:AD900)</f>
        <v>0</v>
      </c>
      <c r="AE901" s="304" t="n">
        <f aca="false">SUM(AE889:AE900)</f>
        <v>0</v>
      </c>
      <c r="AF901" s="304" t="n">
        <f aca="false">SUM(AF889:AF900)</f>
        <v>0</v>
      </c>
      <c r="AG901" s="304" t="n">
        <f aca="false">SUM(AG889:AG900)</f>
        <v>0</v>
      </c>
      <c r="AH901" s="304" t="n">
        <f aca="false">SUM(AH889:AH900)</f>
        <v>0</v>
      </c>
      <c r="AI901" s="304" t="n">
        <f aca="false">SUM(AI889:AI900)</f>
        <v>0</v>
      </c>
      <c r="AJ901" s="304" t="n">
        <f aca="false">SUM(AJ889:AJ900)</f>
        <v>0</v>
      </c>
      <c r="AK901" s="335" t="n">
        <f aca="false">SUM(AK889:AK900)</f>
        <v>0</v>
      </c>
      <c r="AL901" s="336" t="n">
        <f aca="false">SUM(AL889:AL900)</f>
        <v>0</v>
      </c>
      <c r="AM901" s="305" t="n">
        <f aca="false">SUM(AM889:AM900)</f>
        <v>0</v>
      </c>
      <c r="AN901" s="283"/>
      <c r="AO901" s="304" t="n">
        <f aca="false">SUM(AO889:AO900)</f>
        <v>0</v>
      </c>
      <c r="AP901" s="304" t="n">
        <f aca="false">SUM(AP889:AP900)</f>
        <v>0</v>
      </c>
      <c r="AQ901" s="304" t="n">
        <f aca="false">SUM(AQ889:AQ900)</f>
        <v>0</v>
      </c>
      <c r="AR901" s="304" t="n">
        <f aca="false">SUM(AR889:AR900)</f>
        <v>0</v>
      </c>
      <c r="AS901" s="304" t="n">
        <f aca="false">SUM(AS889:AS900)</f>
        <v>0</v>
      </c>
      <c r="AT901" s="304" t="n">
        <f aca="false">SUM(AT889:AT900)</f>
        <v>0</v>
      </c>
      <c r="AU901" s="304" t="n">
        <f aca="false">SUM(AU889:AU900)</f>
        <v>0</v>
      </c>
      <c r="AV901" s="304" t="n">
        <f aca="false">SUM(AV889:AV900)</f>
        <v>0</v>
      </c>
      <c r="AW901" s="304" t="n">
        <f aca="false">SUM(AW889:AW900)</f>
        <v>0</v>
      </c>
      <c r="AX901" s="304" t="n">
        <f aca="false">SUM(AX889:AX900)</f>
        <v>0</v>
      </c>
      <c r="AY901" s="304" t="n">
        <f aca="false">SUM(AY889:AY900)</f>
        <v>0</v>
      </c>
      <c r="AZ901" s="304" t="n">
        <f aca="false">SUM(AZ889:AZ900)</f>
        <v>0</v>
      </c>
      <c r="BA901" s="336" t="n">
        <f aca="false">SUM(BA889:BA900)</f>
        <v>0</v>
      </c>
      <c r="BB901" s="336" t="n">
        <f aca="false">SUM(BB889:BB900)</f>
        <v>0</v>
      </c>
      <c r="BC901" s="305" t="n">
        <f aca="false">SUM(BC889:BC900)</f>
        <v>0</v>
      </c>
      <c r="BD901" s="303"/>
      <c r="BE901" s="337"/>
    </row>
    <row r="902" customFormat="false" ht="15" hidden="false" customHeight="true" outlineLevel="0" collapsed="false">
      <c r="B902" s="296"/>
      <c r="D902" s="297"/>
      <c r="E902" s="300"/>
      <c r="F902" s="300"/>
      <c r="G902" s="300"/>
      <c r="H902" s="241"/>
      <c r="I902" s="302"/>
      <c r="J902" s="302"/>
      <c r="K902" s="241"/>
      <c r="L902" s="259"/>
      <c r="M902" s="259"/>
      <c r="N902" s="259"/>
      <c r="O902" s="259"/>
      <c r="P902" s="259"/>
      <c r="Q902" s="259"/>
      <c r="R902" s="259"/>
      <c r="S902" s="259"/>
      <c r="T902" s="259"/>
      <c r="U902" s="259"/>
      <c r="V902" s="259"/>
      <c r="W902" s="259"/>
      <c r="X902" s="303"/>
      <c r="Y902" s="259"/>
      <c r="Z902" s="303"/>
      <c r="AA902" s="303"/>
      <c r="AB902" s="303"/>
      <c r="AC902" s="303"/>
      <c r="AD902" s="303"/>
      <c r="AE902" s="303"/>
      <c r="AF902" s="303"/>
      <c r="AG902" s="303"/>
      <c r="AH902" s="303"/>
      <c r="AI902" s="303"/>
      <c r="AJ902" s="303"/>
      <c r="AK902" s="303"/>
      <c r="AL902" s="303"/>
      <c r="AM902" s="303"/>
      <c r="AN902" s="303"/>
      <c r="AO902" s="259"/>
      <c r="AP902" s="303"/>
      <c r="AQ902" s="303"/>
      <c r="AR902" s="303"/>
      <c r="AS902" s="303"/>
      <c r="AT902" s="303"/>
      <c r="AU902" s="303"/>
      <c r="AV902" s="303"/>
      <c r="AW902" s="303"/>
      <c r="AX902" s="303"/>
      <c r="AY902" s="303"/>
      <c r="AZ902" s="303"/>
      <c r="BA902" s="303"/>
      <c r="BB902" s="303"/>
      <c r="BC902" s="303"/>
      <c r="BD902" s="268"/>
      <c r="BE902" s="303"/>
    </row>
    <row r="903" customFormat="false" ht="15" hidden="false" customHeight="true" outlineLevel="0" collapsed="false">
      <c r="B903" s="266"/>
      <c r="C903" s="266"/>
      <c r="D903" s="297"/>
      <c r="E903" s="241"/>
      <c r="F903" s="241"/>
      <c r="G903" s="241"/>
      <c r="H903" s="300"/>
      <c r="I903" s="241"/>
      <c r="J903" s="241"/>
      <c r="K903" s="300"/>
      <c r="L903" s="241"/>
      <c r="M903" s="241"/>
      <c r="N903" s="241"/>
      <c r="O903" s="241"/>
      <c r="P903" s="241"/>
      <c r="Q903" s="241"/>
      <c r="R903" s="241"/>
      <c r="S903" s="241"/>
      <c r="T903" s="241"/>
      <c r="U903" s="241"/>
      <c r="V903" s="241"/>
      <c r="W903" s="241"/>
      <c r="X903" s="303"/>
      <c r="Y903" s="268"/>
      <c r="Z903" s="268"/>
      <c r="AA903" s="268"/>
      <c r="AB903" s="268"/>
      <c r="AC903" s="268"/>
      <c r="AD903" s="268"/>
      <c r="AE903" s="268"/>
      <c r="AF903" s="268"/>
      <c r="AG903" s="268"/>
      <c r="AH903" s="268"/>
      <c r="AI903" s="268"/>
      <c r="AJ903" s="268"/>
      <c r="AK903" s="268"/>
      <c r="AL903" s="268"/>
      <c r="AM903" s="268"/>
      <c r="AN903" s="303"/>
      <c r="AO903" s="268"/>
      <c r="AP903" s="268"/>
      <c r="AQ903" s="268"/>
      <c r="AR903" s="268"/>
      <c r="AS903" s="268"/>
      <c r="AT903" s="268"/>
      <c r="AU903" s="268"/>
      <c r="AV903" s="268"/>
      <c r="AW903" s="268"/>
      <c r="AX903" s="268"/>
      <c r="AY903" s="268"/>
      <c r="AZ903" s="268"/>
      <c r="BA903" s="268"/>
      <c r="BB903" s="268"/>
      <c r="BC903" s="268"/>
      <c r="BD903" s="303"/>
      <c r="BE903" s="268"/>
    </row>
    <row r="904" s="17" customFormat="true" ht="15" hidden="false" customHeight="true" outlineLevel="0" collapsed="false">
      <c r="B904" s="333"/>
      <c r="C904" s="334"/>
      <c r="D904" s="297"/>
      <c r="E904" s="300"/>
      <c r="F904" s="300"/>
      <c r="G904" s="300"/>
      <c r="H904" s="310"/>
      <c r="I904" s="281"/>
      <c r="J904" s="281"/>
      <c r="K904" s="300"/>
      <c r="L904" s="300"/>
      <c r="M904" s="300"/>
      <c r="N904" s="300"/>
      <c r="O904" s="300"/>
      <c r="P904" s="300"/>
      <c r="Q904" s="300"/>
      <c r="R904" s="300"/>
      <c r="S904" s="300"/>
      <c r="T904" s="300"/>
      <c r="U904" s="300"/>
      <c r="V904" s="300"/>
      <c r="W904" s="300"/>
      <c r="X904" s="303"/>
      <c r="Y904" s="303"/>
      <c r="Z904" s="303"/>
      <c r="AA904" s="303"/>
      <c r="AB904" s="303"/>
      <c r="AC904" s="303"/>
      <c r="AD904" s="303"/>
      <c r="AE904" s="303"/>
      <c r="AF904" s="303"/>
      <c r="AG904" s="303"/>
      <c r="AH904" s="303"/>
      <c r="AI904" s="303"/>
      <c r="AJ904" s="303"/>
      <c r="AK904" s="303"/>
      <c r="AL904" s="303"/>
      <c r="AM904" s="303"/>
      <c r="AN904" s="303"/>
      <c r="AO904" s="303"/>
      <c r="AP904" s="303"/>
      <c r="AQ904" s="303"/>
      <c r="AR904" s="303"/>
      <c r="AS904" s="303"/>
      <c r="AT904" s="303"/>
      <c r="AU904" s="303"/>
      <c r="AV904" s="303"/>
      <c r="AW904" s="303"/>
      <c r="AX904" s="303"/>
      <c r="AY904" s="303"/>
      <c r="AZ904" s="303"/>
      <c r="BA904" s="303"/>
      <c r="BB904" s="303"/>
      <c r="BC904" s="303"/>
      <c r="BD904" s="313"/>
    </row>
    <row r="905" customFormat="false" ht="15" hidden="false" customHeight="true" outlineLevel="0" collapsed="false">
      <c r="B905" s="333"/>
      <c r="C905" s="334"/>
      <c r="D905" s="40" t="s">
        <v>254</v>
      </c>
      <c r="E905" s="229" t="n">
        <f aca="false">SUMIF($D7:$D904,"Total",E7:E904)</f>
        <v>0</v>
      </c>
      <c r="F905" s="229" t="n">
        <f aca="false">SUMIF($D7:$D904,"Total",F7:F904)</f>
        <v>0</v>
      </c>
      <c r="G905" s="229" t="n">
        <f aca="false">SUMIF($D7:$D904,"Total",G7:G904)</f>
        <v>0</v>
      </c>
      <c r="H905" s="310"/>
      <c r="I905" s="311"/>
      <c r="J905" s="311"/>
      <c r="K905" s="300"/>
      <c r="L905" s="315" t="n">
        <f aca="false">IF($G$905&gt;0,(Y905/$G$905),0)</f>
        <v>0</v>
      </c>
      <c r="M905" s="315" t="n">
        <f aca="false">IF($G$905&gt;0,(Z905/$G$905),0)</f>
        <v>0</v>
      </c>
      <c r="N905" s="315" t="n">
        <f aca="false">IF($G$905&gt;0,(AA905/$G$905),0)</f>
        <v>0</v>
      </c>
      <c r="O905" s="315" t="n">
        <f aca="false">IF($G$905&gt;0,(AB905/$G$905),0)</f>
        <v>0</v>
      </c>
      <c r="P905" s="315" t="n">
        <f aca="false">IF($G$905&gt;0,(AC905/$G$905),0)</f>
        <v>0</v>
      </c>
      <c r="Q905" s="315" t="n">
        <f aca="false">IF($G$905&gt;0,(AD905/$G$905),0)</f>
        <v>0</v>
      </c>
      <c r="R905" s="315" t="n">
        <f aca="false">IF($G$905&gt;0,(AE905/$G$905),0)</f>
        <v>0</v>
      </c>
      <c r="S905" s="315" t="n">
        <f aca="false">IF($G$905&gt;0,(AF905/$G$905),0)</f>
        <v>0</v>
      </c>
      <c r="T905" s="315" t="n">
        <f aca="false">IF($G$905&gt;0,(AG905/$G$905),0)</f>
        <v>0</v>
      </c>
      <c r="U905" s="315" t="n">
        <f aca="false">IF($G$905&gt;0,(AH905/$G$905),0)</f>
        <v>0</v>
      </c>
      <c r="V905" s="315" t="n">
        <f aca="false">IF($G$905&gt;0,(AI905/$G$905),0)</f>
        <v>0</v>
      </c>
      <c r="W905" s="315" t="n">
        <f aca="false">IF($G$905&gt;0,(AJ905/$G$905),0)</f>
        <v>0</v>
      </c>
      <c r="X905" s="303"/>
      <c r="Y905" s="338" t="n">
        <f aca="false">SUMIF($D7:$D901,"Total",Y7:Y904)</f>
        <v>0</v>
      </c>
      <c r="Z905" s="338" t="n">
        <f aca="false">SUMIF($D7:$D901,"Total",Z7:Z904)</f>
        <v>0</v>
      </c>
      <c r="AA905" s="338" t="n">
        <f aca="false">SUMIF($D7:$D901,"Total",AA7:AA904)</f>
        <v>0</v>
      </c>
      <c r="AB905" s="338" t="n">
        <f aca="false">SUMIF($D7:$D901,"Total",AB7:AB904)</f>
        <v>0</v>
      </c>
      <c r="AC905" s="338" t="n">
        <f aca="false">SUMIF($D7:$D901,"Total",AC7:AC904)</f>
        <v>0</v>
      </c>
      <c r="AD905" s="338" t="n">
        <f aca="false">SUMIF($D7:$D901,"Total",AD7:AD904)</f>
        <v>0</v>
      </c>
      <c r="AE905" s="338" t="n">
        <f aca="false">SUMIF($D7:$D901,"Total",AE7:AE904)</f>
        <v>0</v>
      </c>
      <c r="AF905" s="338" t="n">
        <f aca="false">SUMIF($D7:$D901,"Total",AF7:AF904)</f>
        <v>0</v>
      </c>
      <c r="AG905" s="338" t="n">
        <f aca="false">SUMIF($D7:$D901,"Total",AG7:AG904)</f>
        <v>0</v>
      </c>
      <c r="AH905" s="338" t="n">
        <f aca="false">SUMIF($D7:$D901,"Total",AH7:AH904)</f>
        <v>0</v>
      </c>
      <c r="AI905" s="338" t="n">
        <f aca="false">SUMIF($D7:$D901,"Total",AI7:AI904)</f>
        <v>0</v>
      </c>
      <c r="AJ905" s="338" t="n">
        <f aca="false">SUMIF($D7:$D901,"Total",AJ7:AJ904)</f>
        <v>0</v>
      </c>
      <c r="AK905" s="339" t="n">
        <f aca="false">SUMIF($D7:$D901,"Total",AK7:AK904)</f>
        <v>0</v>
      </c>
      <c r="AL905" s="339" t="n">
        <f aca="false">SUMIF($D7:$D901,"Total",AL7:AL904)</f>
        <v>0</v>
      </c>
      <c r="AM905" s="339" t="n">
        <f aca="false">SUMIF($D7:$D901,"Total",AM7:AM904)</f>
        <v>0</v>
      </c>
      <c r="AN905" s="303"/>
      <c r="AO905" s="338" t="n">
        <f aca="false">SUMIF($D7:$D901,"Total",AO7:AO904)</f>
        <v>0</v>
      </c>
      <c r="AP905" s="338" t="n">
        <f aca="false">SUMIF($D7:$D901,"Total",AP7:AP904)</f>
        <v>0</v>
      </c>
      <c r="AQ905" s="338" t="n">
        <f aca="false">SUMIF($D7:$D901,"Total",AQ7:AQ904)</f>
        <v>0</v>
      </c>
      <c r="AR905" s="338" t="n">
        <f aca="false">SUMIF($D7:$D901,"Total",AR7:AR904)</f>
        <v>0</v>
      </c>
      <c r="AS905" s="338" t="n">
        <f aca="false">SUMIF($D7:$D901,"Total",AS7:AS904)</f>
        <v>0</v>
      </c>
      <c r="AT905" s="338" t="n">
        <f aca="false">SUMIF($D7:$D901,"Total",AT7:AT904)</f>
        <v>0</v>
      </c>
      <c r="AU905" s="338" t="n">
        <f aca="false">SUMIF($D7:$D901,"Total",AU7:AU904)</f>
        <v>0</v>
      </c>
      <c r="AV905" s="338" t="n">
        <f aca="false">SUMIF($D7:$D901,"Total",AV7:AV904)</f>
        <v>0</v>
      </c>
      <c r="AW905" s="338" t="n">
        <f aca="false">SUMIF($D7:$D901,"Total",AW7:AW904)</f>
        <v>0</v>
      </c>
      <c r="AX905" s="338" t="n">
        <f aca="false">SUMIF($D7:$D901,"Total",AX7:AX904)</f>
        <v>0</v>
      </c>
      <c r="AY905" s="338" t="n">
        <f aca="false">SUMIF($D7:$D901,"Total",AY7:AY904)</f>
        <v>0</v>
      </c>
      <c r="AZ905" s="338" t="n">
        <f aca="false">SUMIF($D7:$D901,"Total",AZ7:AZ904)</f>
        <v>0</v>
      </c>
      <c r="BA905" s="339" t="n">
        <f aca="false">SUMIF($D7:$D901,"Total",BA7:BA904)</f>
        <v>0</v>
      </c>
      <c r="BB905" s="339" t="n">
        <f aca="false">SUMIF($D7:$D901,"Total",BB7:BB904)</f>
        <v>0</v>
      </c>
      <c r="BC905" s="339" t="n">
        <f aca="false">SUMIF($D7:$D901,"Total",BC7:BC904)</f>
        <v>0</v>
      </c>
      <c r="BD905" s="313"/>
      <c r="BE905" s="313"/>
    </row>
    <row r="906" customFormat="false" ht="15" hidden="false" customHeight="true" outlineLevel="0" collapsed="false">
      <c r="B906" s="333"/>
      <c r="C906" s="334"/>
      <c r="H906" s="310"/>
      <c r="I906" s="311"/>
      <c r="J906" s="311"/>
      <c r="K906" s="300"/>
      <c r="X906" s="316"/>
      <c r="AN906" s="316"/>
      <c r="BD906" s="313"/>
      <c r="BE906" s="313"/>
    </row>
    <row r="907" customFormat="false" ht="15" hidden="false" customHeight="true" outlineLevel="0" collapsed="false">
      <c r="B907" s="333"/>
      <c r="C907" s="334"/>
      <c r="H907" s="310"/>
      <c r="I907" s="311"/>
      <c r="J907" s="311"/>
      <c r="K907" s="300"/>
      <c r="L907" s="327"/>
      <c r="M907" s="327"/>
      <c r="N907" s="327"/>
      <c r="O907" s="327"/>
      <c r="P907" s="327"/>
      <c r="Q907" s="327"/>
      <c r="R907" s="327"/>
      <c r="S907" s="327"/>
      <c r="T907" s="327"/>
      <c r="U907" s="327"/>
      <c r="V907" s="327"/>
      <c r="W907" s="327"/>
      <c r="Y907" s="328"/>
      <c r="Z907" s="328"/>
      <c r="AA907" s="328"/>
      <c r="AB907" s="328"/>
      <c r="AC907" s="328"/>
      <c r="AD907" s="328"/>
      <c r="AE907" s="328"/>
      <c r="AF907" s="328"/>
      <c r="AG907" s="328"/>
      <c r="AH907" s="328"/>
      <c r="AI907" s="328"/>
      <c r="AJ907" s="328"/>
      <c r="AK907" s="328"/>
      <c r="AL907" s="328"/>
      <c r="AM907" s="328"/>
      <c r="AO907" s="328"/>
      <c r="AP907" s="328"/>
      <c r="AQ907" s="328"/>
      <c r="AR907" s="328"/>
      <c r="AS907" s="328"/>
      <c r="AT907" s="328"/>
      <c r="AU907" s="328"/>
      <c r="AV907" s="328"/>
      <c r="AW907" s="328"/>
      <c r="AX907" s="328"/>
      <c r="AY907" s="328"/>
      <c r="AZ907" s="328"/>
      <c r="BA907" s="328"/>
      <c r="BB907" s="328"/>
      <c r="BC907" s="328"/>
      <c r="BD907" s="313"/>
      <c r="BE907" s="313"/>
    </row>
    <row r="908" customFormat="false" ht="15" hidden="false" customHeight="true" outlineLevel="0" collapsed="false">
      <c r="B908" s="333"/>
      <c r="C908" s="334"/>
      <c r="H908" s="310"/>
      <c r="I908" s="311"/>
      <c r="J908" s="311"/>
      <c r="K908" s="300"/>
      <c r="X908" s="328"/>
      <c r="AN908" s="328"/>
      <c r="BD908" s="313"/>
      <c r="BE908" s="313"/>
    </row>
    <row r="909" customFormat="false" ht="15" hidden="false" customHeight="true" outlineLevel="0" collapsed="false">
      <c r="B909" s="333"/>
      <c r="C909" s="334"/>
      <c r="H909" s="310"/>
      <c r="I909" s="311"/>
      <c r="J909" s="311"/>
      <c r="K909" s="300"/>
      <c r="L909" s="319"/>
      <c r="M909" s="319"/>
      <c r="N909" s="319"/>
      <c r="O909" s="319"/>
      <c r="P909" s="319"/>
      <c r="Q909" s="319"/>
      <c r="R909" s="319"/>
      <c r="S909" s="319"/>
      <c r="T909" s="319"/>
      <c r="U909" s="319"/>
      <c r="V909" s="319"/>
      <c r="W909" s="319"/>
      <c r="Y909" s="316"/>
      <c r="Z909" s="316"/>
      <c r="AA909" s="316"/>
      <c r="AB909" s="316"/>
      <c r="AC909" s="316"/>
      <c r="AD909" s="316"/>
      <c r="AE909" s="316"/>
      <c r="AF909" s="316"/>
      <c r="AG909" s="316"/>
      <c r="AH909" s="316"/>
      <c r="AI909" s="316"/>
      <c r="AJ909" s="316"/>
      <c r="AK909" s="316"/>
      <c r="AL909" s="316"/>
      <c r="AM909" s="316"/>
      <c r="AO909" s="316"/>
      <c r="AP909" s="316"/>
      <c r="AQ909" s="316"/>
      <c r="AR909" s="316"/>
      <c r="AS909" s="316"/>
      <c r="AT909" s="316"/>
      <c r="AU909" s="316"/>
      <c r="AV909" s="316"/>
      <c r="AW909" s="316"/>
      <c r="AX909" s="316"/>
      <c r="AY909" s="316"/>
      <c r="AZ909" s="316"/>
      <c r="BA909" s="316"/>
      <c r="BB909" s="316"/>
      <c r="BC909" s="316"/>
      <c r="BD909" s="313"/>
      <c r="BE909" s="313"/>
    </row>
    <row r="910" customFormat="false" ht="15" hidden="false" customHeight="true" outlineLevel="0" collapsed="false">
      <c r="B910" s="333"/>
      <c r="C910" s="334"/>
      <c r="H910" s="310"/>
      <c r="I910" s="311"/>
      <c r="J910" s="311"/>
      <c r="X910" s="316"/>
      <c r="AN910" s="316"/>
      <c r="BD910" s="313"/>
      <c r="BE910" s="313"/>
    </row>
    <row r="911" customFormat="false" ht="15" hidden="false" customHeight="true" outlineLevel="0" collapsed="false">
      <c r="H911" s="310"/>
      <c r="I911" s="311"/>
      <c r="J911" s="311"/>
      <c r="BD911" s="313"/>
      <c r="BE911" s="313"/>
    </row>
    <row r="912" customFormat="false" ht="15" hidden="false" customHeight="true" outlineLevel="0" collapsed="false">
      <c r="H912" s="310"/>
      <c r="I912" s="311"/>
      <c r="J912" s="311"/>
      <c r="BD912" s="313"/>
      <c r="BE912" s="313"/>
    </row>
    <row r="913" customFormat="false" ht="15" hidden="false" customHeight="true" outlineLevel="0" collapsed="false">
      <c r="H913" s="310"/>
      <c r="I913" s="311"/>
      <c r="J913" s="311"/>
      <c r="BD913" s="313"/>
      <c r="BE913" s="313"/>
    </row>
    <row r="914" customFormat="false" ht="15" hidden="false" customHeight="true" outlineLevel="0" collapsed="false">
      <c r="H914" s="310"/>
      <c r="I914" s="311"/>
      <c r="J914" s="311"/>
      <c r="BD914" s="313"/>
      <c r="BE914" s="313"/>
    </row>
    <row r="915" customFormat="false" ht="15" hidden="false" customHeight="true" outlineLevel="0" collapsed="false">
      <c r="H915" s="310"/>
      <c r="I915" s="311"/>
      <c r="J915" s="311"/>
      <c r="BD915" s="313"/>
      <c r="BE915" s="313"/>
    </row>
    <row r="916" customFormat="false" ht="15" hidden="false" customHeight="true" outlineLevel="0" collapsed="false">
      <c r="H916" s="204"/>
      <c r="I916" s="311"/>
      <c r="J916" s="311"/>
      <c r="BD916" s="319"/>
      <c r="BE916" s="313"/>
    </row>
    <row r="917" customFormat="false" ht="15" hidden="false" customHeight="true" outlineLevel="0" collapsed="false">
      <c r="H917" s="204"/>
      <c r="I917" s="314" t="n">
        <f aca="false">AVERAGE(I9:I901)</f>
        <v>1</v>
      </c>
      <c r="J917" s="314" t="n">
        <f aca="false">AVERAGE(J9:J901)</f>
        <v>0</v>
      </c>
      <c r="BD917" s="319"/>
      <c r="BE917" s="313"/>
    </row>
    <row r="918" customFormat="false" ht="15" hidden="false" customHeight="true" outlineLevel="0" collapsed="false">
      <c r="I918" s="200"/>
      <c r="J918" s="200"/>
      <c r="BE918" s="313"/>
    </row>
    <row r="919" customFormat="false" ht="15" hidden="false" customHeight="true" outlineLevel="0" collapsed="false">
      <c r="H919" s="327"/>
      <c r="I919" s="321"/>
      <c r="J919" s="321"/>
      <c r="BD919" s="328"/>
      <c r="BE919" s="313"/>
    </row>
    <row r="920" customFormat="false" ht="15" hidden="false" customHeight="true" outlineLevel="0" collapsed="false">
      <c r="BE920" s="313"/>
    </row>
    <row r="921" customFormat="false" ht="15" hidden="false" customHeight="true" outlineLevel="0" collapsed="false">
      <c r="H921" s="319"/>
      <c r="I921" s="319"/>
      <c r="J921" s="319"/>
      <c r="BD921" s="316"/>
      <c r="BE921" s="313"/>
    </row>
    <row r="922" customFormat="false" ht="15" hidden="false" customHeight="true" outlineLevel="0" collapsed="false">
      <c r="BE922" s="313"/>
    </row>
    <row r="923" customFormat="false" ht="15" hidden="false" customHeight="true" outlineLevel="0" collapsed="false">
      <c r="BE923" s="313"/>
    </row>
    <row r="924" customFormat="false" ht="15" hidden="false" customHeight="true" outlineLevel="0" collapsed="false">
      <c r="BE924" s="313"/>
    </row>
    <row r="925" customFormat="false" ht="15" hidden="false" customHeight="true" outlineLevel="0" collapsed="false">
      <c r="BE925" s="313"/>
    </row>
    <row r="926" customFormat="false" ht="15" hidden="false" customHeight="true" outlineLevel="0" collapsed="false">
      <c r="BE926" s="313"/>
    </row>
    <row r="927" customFormat="false" ht="15" hidden="false" customHeight="true" outlineLevel="0" collapsed="false">
      <c r="BE927" s="313"/>
    </row>
    <row r="928" customFormat="false" ht="15" hidden="false" customHeight="true" outlineLevel="0" collapsed="false">
      <c r="BE928" s="313"/>
    </row>
    <row r="929" customFormat="false" ht="15" hidden="false" customHeight="true" outlineLevel="0" collapsed="false">
      <c r="BE929" s="313"/>
    </row>
    <row r="930" customFormat="false" ht="15" hidden="false" customHeight="true" outlineLevel="0" collapsed="false">
      <c r="BE930" s="313"/>
    </row>
    <row r="931" customFormat="false" ht="15" hidden="false" customHeight="true" outlineLevel="0" collapsed="false">
      <c r="BE931" s="313"/>
    </row>
    <row r="932" customFormat="false" ht="15" hidden="false" customHeight="true" outlineLevel="0" collapsed="false">
      <c r="BE932" s="313"/>
    </row>
    <row r="933" customFormat="false" ht="15" hidden="false" customHeight="true" outlineLevel="0" collapsed="false">
      <c r="BE933" s="313"/>
    </row>
  </sheetData>
  <mergeCells count="7">
    <mergeCell ref="A1:C1"/>
    <mergeCell ref="I2:J2"/>
    <mergeCell ref="L2:W2"/>
    <mergeCell ref="Y2:AM2"/>
    <mergeCell ref="AO2:BC2"/>
    <mergeCell ref="I3:I4"/>
    <mergeCell ref="J3:J4"/>
  </mergeCells>
  <conditionalFormatting sqref="H903:H917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1">
      <formula>1</formula>
    </cfRule>
  </conditionalFormatting>
  <conditionalFormatting sqref="I904:J917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1">
      <formula>1</formula>
    </cfRule>
  </conditionalFormatting>
  <conditionalFormatting sqref="BE9:BE20 BE25:BE36 BE41:BE52 BE57:BE68 BE73:BE84 BE89:BE100 BE105:BE116 BE121:BE132 BE137:BE148 BE153:BE164 BE169:BE180 BE185:BE196 BE201:BE212 BE217:BE228 BE233:BE244 BE249:BE260 BE265:BE276 BE281:BE292 BE297:BE308 BE313:BE324 BE329:BE340 BE345:BE356 BE361:BE372 BE377:BE388 BE393:BE404 BE409:BE420 BE425:BE436 BE441:BE452 BE457:BE468 BE473:BE484 BE489:BE500 BE505:BE516 BE521:BE532 BE537:BE548 BE553:BE564 BE569:BE580 BE585:BE596 BE601:BE612 BE617:BE628 BE633:BE644 BE649:BE660 BE665:BE676 BE681:BE692 BE697:BE708 BE713:BE724 BE729:BE740 BE745:BE756 BE761:BE772 BE777:BE788 BE793:BE804 BE809:BE820 BE825:BE836 BE841:BE852 BE857:BE868 BE873:BE884 BE889:BE900">
    <cfRule type="cellIs" priority="6" operator="equal" aboveAverage="0" equalAverage="0" bottom="0" percent="0" rank="0" text="" dxfId="0">
      <formula>"ERROR"</formula>
    </cfRule>
    <cfRule type="cellIs" priority="7" operator="equal" aboveAverage="0" equalAverage="0" bottom="0" percent="0" rank="0" text="" dxfId="0">
      <formula>"error"</formula>
    </cfRule>
  </conditionalFormatting>
  <conditionalFormatting sqref="H8:H21 H24:H37 H40:H53 H56:H69 H72:H85 H88:H101 H104:H117 H120:H133 H136:H149 H152:H165 H168:H181 H184:H197 H200:H213 H216:H229 H232:H245 H248:H261 H264:H277 H280:H293 H296:H309 H312:H325 H328:H341 H344:H357 H360:H373 H376:H389 H392:H405 H408:H421 H424:H437 H440:H453 H456:H469 H472:H485 H488:H501 H504:H517 H520:H533 H536:H549 H552:H565 H568:H581 H584:H597 H600:H613 H616:H629 H632:H645 H648:H661 H664:H677 H680:H693 H696:H709 H712:H725 H728:H741 H744:H757 H760:H773 H776:H789 H792:H805 H808:H821 H824:H837 H840:H853 H856:H869 H872:H885 H888:H901 I9:J22 I25:J38 I41:J54 I57:J70 I73:J86 I89:J102 I105:J118 I121:J134 I137:J150 I153:J166 I169:J182 I185:J198 I201:J214 I217:J230 I233:J246 I249:J262 I265:J278 I281:J294 I297:J310 I313:J326 I329:J342 I345:J358 I361:J374 I377:J390 I393:J406 I409:J422 I425:J438 I441:J454 I457:J470 I473:J486 I489:J502 I505:J518 I521:J534 I537:J550 I553:J566 I569:J582 I585:J598 I601:J614 I617:J630 I633:J646 I649:J662 I665:J678 I681:J694 I697:J710 I713:J726 I729:J742 I745:J758 I761:J774 I777:J790 I793:J806 I809:J822 I825:J838 I841:J854 I857:J870 I873:J886 I889:J902 L9:W22 L25:W38 L41:W54 L57:W70 L73:W86 L89:W102 L105:W118 L121:W134 L137:W150 L153:W166 L169:W182 L185:W198 L201:W214 L217:W230 L233:W246 L249:W262 L265:W278 L281:W294 L297:W310 L313:W326 L329:W342 L345:W358 L361:W374 L377:W390 L393:W406 L409:W422 L425:W438 L441:W454 L457:W470 L473:W486 L489:W502 L505:W518 L521:W534 L537:W550 L553:W566 L569:W582 L585:W598 L601:W614 L617:W630 L633:W646 L649:W662 L665:W678 L681:W694 L697:W710 L713:W726 L729:W742 L745:W758 L761:W774 L777:W790 L793:W806 L809:W822 L825:W838 L841:W854 L857:W870 L873:W886 L889:W903">
    <cfRule type="cellIs" priority="8" operator="lessThan" aboveAverage="0" equalAverage="0" bottom="0" percent="0" rank="0" text="" dxfId="1">
      <formula>0</formula>
    </cfRule>
    <cfRule type="cellIs" priority="9" operator="greater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340" width="13.44"/>
    <col collapsed="false" customWidth="true" hidden="false" outlineLevel="0" max="2" min="2" style="17" width="8.34"/>
    <col collapsed="false" customWidth="true" hidden="false" outlineLevel="0" max="3" min="3" style="17" width="55"/>
    <col collapsed="false" customWidth="true" hidden="false" outlineLevel="0" max="4" min="4" style="341" width="14.33"/>
    <col collapsed="false" customWidth="true" hidden="false" outlineLevel="0" max="5" min="5" style="200" width="14.33"/>
    <col collapsed="false" customWidth="true" hidden="false" outlineLevel="0" max="7" min="6" style="17" width="19.33"/>
    <col collapsed="false" customWidth="true" hidden="false" outlineLevel="0" max="8" min="8" style="17" width="4.67"/>
    <col collapsed="false" customWidth="true" hidden="false" outlineLevel="0" max="20" min="9" style="146" width="13"/>
    <col collapsed="false" customWidth="true" hidden="false" outlineLevel="0" max="21" min="21" style="146" width="4.67"/>
    <col collapsed="false" customWidth="true" hidden="false" outlineLevel="0" max="36" min="22" style="146" width="13"/>
    <col collapsed="false" customWidth="true" hidden="false" outlineLevel="0" max="37" min="37" style="146" width="4.67"/>
    <col collapsed="false" customWidth="true" hidden="false" outlineLevel="0" max="38" min="38" style="146" width="13"/>
    <col collapsed="false" customWidth="false" hidden="false" outlineLevel="0" max="16384" min="39" style="17" width="8.88"/>
  </cols>
  <sheetData>
    <row r="1" s="22" customFormat="true" ht="15" hidden="false" customHeight="true" outlineLevel="0" collapsed="false">
      <c r="A1" s="238" t="s">
        <v>262</v>
      </c>
      <c r="B1" s="238"/>
      <c r="C1" s="238"/>
      <c r="D1" s="342"/>
      <c r="E1" s="343"/>
      <c r="F1" s="342"/>
      <c r="G1" s="342"/>
      <c r="H1" s="240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147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147"/>
      <c r="AI1" s="147"/>
      <c r="AJ1" s="147"/>
      <c r="AK1" s="240"/>
      <c r="AL1" s="239"/>
    </row>
    <row r="2" customFormat="false" ht="15" hidden="false" customHeight="true" outlineLevel="0" collapsed="false">
      <c r="I2" s="244" t="s">
        <v>212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AK2" s="246"/>
      <c r="AL2" s="246"/>
    </row>
    <row r="3" s="256" customFormat="true" ht="45" hidden="false" customHeight="true" outlineLevel="0" collapsed="false">
      <c r="A3" s="345" t="s">
        <v>263</v>
      </c>
      <c r="B3" s="345" t="s">
        <v>264</v>
      </c>
      <c r="C3" s="345" t="s">
        <v>265</v>
      </c>
      <c r="D3" s="345" t="s">
        <v>266</v>
      </c>
      <c r="E3" s="345" t="s">
        <v>267</v>
      </c>
      <c r="F3" s="345" t="s">
        <v>268</v>
      </c>
      <c r="G3" s="345" t="s">
        <v>269</v>
      </c>
      <c r="H3" s="346"/>
      <c r="I3" s="251" t="str">
        <f aca="false">IF(Summary!$B$15&gt;0,Summary!$B$15,"")</f>
        <v>Automated Document Intelligence Platform</v>
      </c>
      <c r="J3" s="251" t="str">
        <f aca="false">IF(Summary!$B$16&gt;0,Summary!$B$16,"")</f>
        <v>Real-Time Anomaly Detection Engine</v>
      </c>
      <c r="K3" s="251" t="str">
        <f aca="false">IF(Summary!$B$17&gt;0,Summary!$B$17,"")</f>
        <v>Natural Language Query Interface</v>
      </c>
      <c r="L3" s="251" t="str">
        <f aca="false">IF(Summary!$B$18&gt;0,Summary!$B$18,"")</f>
        <v>Predictive Maintenance ML Pipeline</v>
      </c>
      <c r="M3" s="251" t="str">
        <f aca="false">IF(Summary!$B$19&gt;0,Summary!$B$19,"")</f>
        <v>Privacy-Preserving Data Linkage</v>
      </c>
      <c r="N3" s="251" t="str">
        <f aca="false">IF(Summary!$B$20&gt;0,Summary!$B$20,"")</f>
        <v/>
      </c>
      <c r="O3" s="251" t="str">
        <f aca="false">IF(Summary!$B$21&gt;0,Summary!$B$21,"")</f>
        <v/>
      </c>
      <c r="P3" s="251" t="str">
        <f aca="false">IF(Summary!$B$22&gt;0,Summary!$B$22,"")</f>
        <v/>
      </c>
      <c r="Q3" s="251" t="str">
        <f aca="false">IF(Summary!$B$23&gt;0,Summary!$B$23,"")</f>
        <v/>
      </c>
      <c r="R3" s="251" t="str">
        <f aca="false">IF(Summary!$B$24&gt;0,Summary!$B$24,"")</f>
        <v/>
      </c>
      <c r="S3" s="251" t="str">
        <f aca="false">IF(Summary!$B$25&gt;0,Summary!$B$25,"")</f>
        <v/>
      </c>
      <c r="T3" s="251" t="str">
        <f aca="false">IF(Summary!$B$26&gt;0,Summary!$B$26,"")</f>
        <v/>
      </c>
      <c r="U3" s="252"/>
      <c r="V3" s="251" t="str">
        <f aca="false">IF(Summary!$B$15&gt;0,Summary!$B$15,"")</f>
        <v>Automated Document Intelligence Platform</v>
      </c>
      <c r="W3" s="251" t="str">
        <f aca="false">IF(Summary!$B$16&gt;0,Summary!$B$16,"")</f>
        <v>Real-Time Anomaly Detection Engine</v>
      </c>
      <c r="X3" s="251" t="str">
        <f aca="false">IF(Summary!$B$17&gt;0,Summary!$B$17,"")</f>
        <v>Natural Language Query Interface</v>
      </c>
      <c r="Y3" s="251" t="str">
        <f aca="false">IF(Summary!$B$18&gt;0,Summary!$B$18,"")</f>
        <v>Predictive Maintenance ML Pipeline</v>
      </c>
      <c r="Z3" s="251" t="str">
        <f aca="false">IF(Summary!$B$19&gt;0,Summary!$B$19,"")</f>
        <v>Privacy-Preserving Data Linkage</v>
      </c>
      <c r="AA3" s="251" t="str">
        <f aca="false">IF(Summary!$B$20&gt;0,Summary!$B$20,"")</f>
        <v/>
      </c>
      <c r="AB3" s="251" t="str">
        <f aca="false">IF(Summary!$B$21&gt;0,Summary!$B$21,"")</f>
        <v/>
      </c>
      <c r="AC3" s="251" t="str">
        <f aca="false">IF(Summary!$B$22&gt;0,Summary!$B$22,"")</f>
        <v/>
      </c>
      <c r="AD3" s="251" t="str">
        <f aca="false">IF(Summary!$B$23&gt;0,Summary!$B$23,"")</f>
        <v/>
      </c>
      <c r="AE3" s="251" t="str">
        <f aca="false">IF(Summary!$B$24&gt;0,Summary!$B$24,"")</f>
        <v/>
      </c>
      <c r="AF3" s="251" t="str">
        <f aca="false">IF(Summary!$B$25&gt;0,Summary!$B$25,"")</f>
        <v/>
      </c>
      <c r="AG3" s="251" t="str">
        <f aca="false">IF(Summary!$B$26&gt;0,Summary!$B$26,"")</f>
        <v/>
      </c>
      <c r="AH3" s="251" t="s">
        <v>72</v>
      </c>
      <c r="AI3" s="251" t="s">
        <v>69</v>
      </c>
      <c r="AJ3" s="251" t="s">
        <v>74</v>
      </c>
      <c r="AK3" s="249"/>
      <c r="AL3" s="251" t="s">
        <v>104</v>
      </c>
    </row>
    <row r="4" s="347" customFormat="true" ht="15" hidden="false" customHeight="true" outlineLevel="0" collapsed="false">
      <c r="A4" s="345"/>
      <c r="B4" s="345"/>
      <c r="C4" s="345"/>
      <c r="D4" s="345"/>
      <c r="E4" s="345"/>
      <c r="F4" s="345"/>
      <c r="G4" s="345"/>
      <c r="H4" s="346"/>
      <c r="I4" s="331" t="str">
        <f aca="false">IF(ISBLANK(Summary!$C$15),"", IF(Summary!$C$15="No", "SME", IF(AND(Summary!$C$15="Yes", Summary!$D$15="Yes"), "De Minimis", "RDEC")))</f>
        <v>SME</v>
      </c>
      <c r="J4" s="331" t="str">
        <f aca="false">IF(ISBLANK(Summary!$C$16),"", IF(Summary!$C$16="No", "SME", IF(AND(Summary!$C$16="Yes", Summary!$D$16="Yes"), "De Minimis", "RDEC")))</f>
        <v>SME</v>
      </c>
      <c r="K4" s="331" t="str">
        <f aca="false">IF(ISBLANK(Summary!$C$17),"", IF(Summary!$C$17="No", "SME", IF(AND(Summary!$C$17="Yes", Summary!$D$17="Yes"), "De Minimis", "RDEC")))</f>
        <v>SME</v>
      </c>
      <c r="L4" s="331" t="str">
        <f aca="false">IF(ISBLANK(Summary!$C$18),"", IF(Summary!$C$18="No", "SME", IF(AND(Summary!$C$18="Yes", Summary!$D$18="Yes"), "De Minimis", "RDEC")))</f>
        <v>RDEC</v>
      </c>
      <c r="M4" s="331" t="str">
        <f aca="false">IF(ISBLANK(Summary!$C$19),"", IF(Summary!$C$19="No", "SME", IF(AND(Summary!$C$19="Yes", Summary!$D$19="Yes"), "De Minimis", "RDEC")))</f>
        <v>SME</v>
      </c>
      <c r="N4" s="331" t="str">
        <f aca="false">IF(ISBLANK(Summary!$C$20),"", IF(Summary!$C$20="No", "SME", IF(AND(Summary!$C$20="Yes", Summary!$D$20="Yes"), "De Minimis", "RDEC")))</f>
        <v/>
      </c>
      <c r="O4" s="331" t="str">
        <f aca="false">IF(ISBLANK(Summary!$C$21),"", IF(Summary!$C$21="No", "SME", IF(AND(Summary!$C$21="Yes", Summary!$D$21="Yes"), "De Minimis", "RDEC")))</f>
        <v/>
      </c>
      <c r="P4" s="331" t="str">
        <f aca="false">IF(ISBLANK(Summary!$C$22),"", IF(Summary!$C$22="No", "SME", IF(AND(Summary!$C$22="Yes", Summary!$D$22="Yes"), "De Minimis", "RDEC")))</f>
        <v/>
      </c>
      <c r="Q4" s="331" t="str">
        <f aca="false">IF(ISBLANK(Summary!$C$23),"", IF(Summary!$C$23="No", "SME", IF(AND(Summary!$C$23="Yes", Summary!$D$23="Yes"), "De Minimis", "RDEC")))</f>
        <v/>
      </c>
      <c r="R4" s="331" t="str">
        <f aca="false">IF(ISBLANK(Summary!$C$24),"", IF(Summary!$C$24="No", "SME", IF(AND(Summary!$C$24="Yes", Summary!$D$24="Yes"), "De Minimis", "RDEC")))</f>
        <v/>
      </c>
      <c r="S4" s="331" t="str">
        <f aca="false">IF(ISBLANK(Summary!$C$25),"", IF(Summary!$C$25="No", "SME", IF(AND(Summary!$C$25="Yes", Summary!$D$25="Yes"), "De Minimis", "RDEC")))</f>
        <v/>
      </c>
      <c r="T4" s="331" t="str">
        <f aca="false">IF(ISBLANK(Summary!$C$26),"", IF(Summary!$C$26="No", "SME", IF(AND(Summary!$C$26="Yes", Summary!$D$26="Yes"), "De Minimis", "RDEC")))</f>
        <v/>
      </c>
      <c r="U4" s="252"/>
      <c r="V4" s="331" t="str">
        <f aca="false">IF(ISBLANK(Summary!$C$15),"", IF(Summary!$C$15="No", "SME", IF(AND(Summary!$C$15="Yes", Summary!$D$15="Yes"), "De Minimis", "RDEC")))</f>
        <v>SME</v>
      </c>
      <c r="W4" s="331" t="str">
        <f aca="false">IF(ISBLANK(Summary!$C$16),"", IF(Summary!$C$16="No", "SME", IF(AND(Summary!$C$16="Yes", Summary!$D$16="Yes"), "De Minimis", "RDEC")))</f>
        <v>SME</v>
      </c>
      <c r="X4" s="331" t="str">
        <f aca="false">IF(ISBLANK(Summary!$C$17),"", IF(Summary!$C$17="No", "SME", IF(AND(Summary!$C$17="Yes", Summary!$D$17="Yes"), "De Minimis", "RDEC")))</f>
        <v>SME</v>
      </c>
      <c r="Y4" s="331" t="str">
        <f aca="false">IF(ISBLANK(Summary!$C$18),"", IF(Summary!$C$18="No", "SME", IF(AND(Summary!$C$18="Yes", Summary!$D$18="Yes"), "De Minimis", "RDEC")))</f>
        <v>RDEC</v>
      </c>
      <c r="Z4" s="331" t="str">
        <f aca="false">IF(ISBLANK(Summary!$C$19),"", IF(Summary!$C$19="No", "SME", IF(AND(Summary!$C$19="Yes", Summary!$D$19="Yes"), "De Minimis", "RDEC")))</f>
        <v>SME</v>
      </c>
      <c r="AA4" s="331" t="str">
        <f aca="false">IF(ISBLANK(Summary!$C$20),"", IF(Summary!$C$20="No", "SME", IF(AND(Summary!$C$20="Yes", Summary!$D$20="Yes"), "De Minimis", "RDEC")))</f>
        <v/>
      </c>
      <c r="AB4" s="331" t="str">
        <f aca="false">IF(ISBLANK(Summary!$C$21),"", IF(Summary!$C$21="No", "SME", IF(AND(Summary!$C$21="Yes", Summary!$D$21="Yes"), "De Minimis", "RDEC")))</f>
        <v/>
      </c>
      <c r="AC4" s="331" t="str">
        <f aca="false">IF(ISBLANK(Summary!$C$22),"", IF(Summary!$C$22="No", "SME", IF(AND(Summary!$C$22="Yes", Summary!$D$22="Yes"), "De Minimis", "RDEC")))</f>
        <v/>
      </c>
      <c r="AD4" s="331" t="str">
        <f aca="false">IF(ISBLANK(Summary!$C$23),"", IF(Summary!$C$23="No", "SME", IF(AND(Summary!$C$23="Yes", Summary!$D$23="Yes"), "De Minimis", "RDEC")))</f>
        <v/>
      </c>
      <c r="AE4" s="331" t="str">
        <f aca="false">IF(ISBLANK(Summary!$C$24),"", IF(Summary!$C$24="No", "SME", IF(AND(Summary!$C$24="Yes", Summary!$D$24="Yes"), "De Minimis", "RDEC")))</f>
        <v/>
      </c>
      <c r="AF4" s="331" t="str">
        <f aca="false">IF(ISBLANK(Summary!$C$25),"", IF(Summary!$C$25="No", "SME", IF(AND(Summary!$C$25="Yes", Summary!$D$25="Yes"), "De Minimis", "RDEC")))</f>
        <v/>
      </c>
      <c r="AG4" s="331" t="str">
        <f aca="false">IF(ISBLANK(Summary!$C$26),"", IF(Summary!$C$26="No", "SME", IF(AND(Summary!$C$26="Yes", Summary!$D$26="Yes"), "De Minimis", "RDEC")))</f>
        <v/>
      </c>
      <c r="AH4" s="258"/>
      <c r="AI4" s="258"/>
      <c r="AJ4" s="258"/>
      <c r="AK4" s="252"/>
      <c r="AL4" s="258"/>
    </row>
    <row r="5" s="241" customFormat="true" ht="15" hidden="false" customHeight="true" outlineLevel="0" collapsed="false">
      <c r="A5" s="345"/>
      <c r="B5" s="345"/>
      <c r="C5" s="345"/>
      <c r="D5" s="345"/>
      <c r="E5" s="345"/>
      <c r="F5" s="345"/>
      <c r="G5" s="345"/>
      <c r="I5" s="348" t="s">
        <v>229</v>
      </c>
      <c r="J5" s="348" t="s">
        <v>229</v>
      </c>
      <c r="K5" s="348" t="s">
        <v>229</v>
      </c>
      <c r="L5" s="348" t="s">
        <v>229</v>
      </c>
      <c r="M5" s="348" t="s">
        <v>229</v>
      </c>
      <c r="N5" s="348" t="s">
        <v>229</v>
      </c>
      <c r="O5" s="348" t="s">
        <v>229</v>
      </c>
      <c r="P5" s="348" t="s">
        <v>229</v>
      </c>
      <c r="Q5" s="348" t="s">
        <v>229</v>
      </c>
      <c r="R5" s="348" t="s">
        <v>229</v>
      </c>
      <c r="S5" s="348" t="s">
        <v>229</v>
      </c>
      <c r="T5" s="348" t="s">
        <v>229</v>
      </c>
      <c r="U5" s="259"/>
      <c r="V5" s="263" t="s">
        <v>230</v>
      </c>
      <c r="W5" s="263" t="s">
        <v>230</v>
      </c>
      <c r="X5" s="263" t="s">
        <v>230</v>
      </c>
      <c r="Y5" s="263" t="s">
        <v>230</v>
      </c>
      <c r="Z5" s="263" t="s">
        <v>230</v>
      </c>
      <c r="AA5" s="263" t="s">
        <v>230</v>
      </c>
      <c r="AB5" s="263" t="s">
        <v>230</v>
      </c>
      <c r="AC5" s="263" t="s">
        <v>230</v>
      </c>
      <c r="AD5" s="263" t="s">
        <v>230</v>
      </c>
      <c r="AE5" s="263" t="s">
        <v>230</v>
      </c>
      <c r="AF5" s="263" t="s">
        <v>230</v>
      </c>
      <c r="AG5" s="263" t="s">
        <v>230</v>
      </c>
      <c r="AH5" s="264" t="s">
        <v>230</v>
      </c>
      <c r="AI5" s="264" t="s">
        <v>230</v>
      </c>
      <c r="AJ5" s="264" t="s">
        <v>230</v>
      </c>
      <c r="AK5" s="259"/>
      <c r="AL5" s="265" t="s">
        <v>231</v>
      </c>
    </row>
    <row r="6" customFormat="false" ht="15" hidden="false" customHeight="true" outlineLevel="0" collapsed="false"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349"/>
      <c r="W6" s="349"/>
      <c r="X6" s="349"/>
      <c r="Y6" s="349"/>
      <c r="Z6" s="349"/>
      <c r="AA6" s="349"/>
      <c r="AB6" s="349"/>
      <c r="AC6" s="349"/>
      <c r="AD6" s="349"/>
      <c r="AE6" s="349"/>
      <c r="AF6" s="349"/>
      <c r="AG6" s="349"/>
      <c r="AH6" s="349"/>
      <c r="AI6" s="349"/>
      <c r="AJ6" s="349"/>
      <c r="AK6" s="268"/>
      <c r="AL6" s="268"/>
    </row>
    <row r="7" customFormat="false" ht="7.5" hidden="false" customHeight="true" outlineLevel="0" collapsed="false">
      <c r="H7" s="350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283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3"/>
      <c r="AI7" s="353"/>
      <c r="AJ7" s="353"/>
      <c r="AK7" s="287"/>
      <c r="AL7" s="354"/>
    </row>
    <row r="8" customFormat="false" ht="15" hidden="false" customHeight="true" outlineLevel="0" collapsed="false">
      <c r="A8" s="355" t="n">
        <v>45306</v>
      </c>
      <c r="B8" s="17" t="s">
        <v>270</v>
      </c>
      <c r="C8" s="17" t="s">
        <v>271</v>
      </c>
      <c r="D8" s="341" t="s">
        <v>272</v>
      </c>
      <c r="E8" s="200" t="n">
        <v>2850</v>
      </c>
      <c r="F8" s="17" t="n">
        <v>7600</v>
      </c>
      <c r="H8" s="350"/>
      <c r="I8" s="282" t="n">
        <v>0.4</v>
      </c>
      <c r="J8" s="282" t="n">
        <v>0.35</v>
      </c>
      <c r="K8" s="282" t="n">
        <v>0.15</v>
      </c>
      <c r="L8" s="282"/>
      <c r="M8" s="282" t="n">
        <v>0.1</v>
      </c>
      <c r="N8" s="282"/>
      <c r="O8" s="282"/>
      <c r="P8" s="282"/>
      <c r="Q8" s="282"/>
      <c r="R8" s="282"/>
      <c r="S8" s="282"/>
      <c r="T8" s="282"/>
      <c r="U8" s="283"/>
      <c r="V8" s="284" t="n">
        <f aca="false">IFERROR(I8*$E8, "")</f>
        <v>1140</v>
      </c>
      <c r="W8" s="284" t="n">
        <f aca="false">IFERROR(J8*$E8, "")</f>
        <v>997.5</v>
      </c>
      <c r="X8" s="284" t="n">
        <f aca="false">IFERROR(K8*$E8, "")</f>
        <v>427.5</v>
      </c>
      <c r="Y8" s="284" t="n">
        <f aca="false">IFERROR(L8*$E8, "")</f>
        <v>0</v>
      </c>
      <c r="Z8" s="284" t="n">
        <f aca="false">IFERROR(M8*$E8, "")</f>
        <v>285</v>
      </c>
      <c r="AA8" s="284" t="n">
        <f aca="false">IFERROR(N8*$E8, "")</f>
        <v>0</v>
      </c>
      <c r="AB8" s="284" t="n">
        <f aca="false">IFERROR(O8*$E8, "")</f>
        <v>0</v>
      </c>
      <c r="AC8" s="284" t="n">
        <f aca="false">IFERROR(P8*$E8, "")</f>
        <v>0</v>
      </c>
      <c r="AD8" s="284" t="n">
        <f aca="false">IFERROR(Q8*$E8, "")</f>
        <v>0</v>
      </c>
      <c r="AE8" s="284" t="n">
        <f aca="false">IFERROR(R8*$E8, "")</f>
        <v>0</v>
      </c>
      <c r="AF8" s="284" t="n">
        <f aca="false">IFERROR(S8*$E8, "")</f>
        <v>0</v>
      </c>
      <c r="AG8" s="284" t="n">
        <f aca="false">IFERROR(T8*$E8, "")</f>
        <v>0</v>
      </c>
      <c r="AH8" s="286" t="n">
        <f aca="false">IFERROR(SUMIF($V$4:$AG$4, "RDEC", V8:AG8), "")</f>
        <v>0</v>
      </c>
      <c r="AI8" s="286" t="n">
        <f aca="false">IFERROR(SUMIF($V$4:$AG$4, "SME", V8:AG8), "")</f>
        <v>2850</v>
      </c>
      <c r="AJ8" s="286" t="n">
        <f aca="false">IFERROR(SUMIF($V$4:$AG$4, "De Minimis", V8:AG8), "")</f>
        <v>0</v>
      </c>
      <c r="AK8" s="287"/>
      <c r="AL8" s="288" t="str">
        <f aca="false">IF((SUM(I8:T8)&gt;1),"ERROR","")</f>
        <v/>
      </c>
    </row>
    <row r="9" customFormat="false" ht="15" hidden="false" customHeight="true" outlineLevel="0" collapsed="false">
      <c r="A9" s="355" t="n">
        <v>45330</v>
      </c>
      <c r="B9" s="17" t="s">
        <v>270</v>
      </c>
      <c r="C9" s="17" t="s">
        <v>273</v>
      </c>
      <c r="D9" s="341" t="s">
        <v>274</v>
      </c>
      <c r="E9" s="200" t="n">
        <v>12500</v>
      </c>
      <c r="F9" s="17" t="n">
        <v>7601</v>
      </c>
      <c r="H9" s="350"/>
      <c r="I9" s="282"/>
      <c r="J9" s="282" t="n">
        <v>0.6</v>
      </c>
      <c r="K9" s="282"/>
      <c r="L9" s="282" t="n">
        <v>0.4</v>
      </c>
      <c r="M9" s="282"/>
      <c r="N9" s="282"/>
      <c r="O9" s="282"/>
      <c r="P9" s="282"/>
      <c r="Q9" s="282"/>
      <c r="R9" s="282"/>
      <c r="S9" s="282"/>
      <c r="T9" s="282"/>
      <c r="U9" s="283"/>
      <c r="V9" s="284" t="n">
        <f aca="false">IFERROR(I9*$E9, "")</f>
        <v>0</v>
      </c>
      <c r="W9" s="284" t="n">
        <f aca="false">IFERROR(J9*$E9, "")</f>
        <v>7500</v>
      </c>
      <c r="X9" s="284" t="n">
        <f aca="false">IFERROR(K9*$E9, "")</f>
        <v>0</v>
      </c>
      <c r="Y9" s="284" t="n">
        <f aca="false">IFERROR(L9*$E9, "")</f>
        <v>5000</v>
      </c>
      <c r="Z9" s="284" t="n">
        <f aca="false">IFERROR(M9*$E9, "")</f>
        <v>0</v>
      </c>
      <c r="AA9" s="284" t="n">
        <f aca="false">IFERROR(N9*$E9, "")</f>
        <v>0</v>
      </c>
      <c r="AB9" s="284" t="n">
        <f aca="false">IFERROR(O9*$E9, "")</f>
        <v>0</v>
      </c>
      <c r="AC9" s="284" t="n">
        <f aca="false">IFERROR(P9*$E9, "")</f>
        <v>0</v>
      </c>
      <c r="AD9" s="284" t="n">
        <f aca="false">IFERROR(Q9*$E9, "")</f>
        <v>0</v>
      </c>
      <c r="AE9" s="284" t="n">
        <f aca="false">IFERROR(R9*$E9, "")</f>
        <v>0</v>
      </c>
      <c r="AF9" s="284" t="n">
        <f aca="false">IFERROR(S9*$E9, "")</f>
        <v>0</v>
      </c>
      <c r="AG9" s="284" t="n">
        <f aca="false">IFERROR(T9*$E9, "")</f>
        <v>0</v>
      </c>
      <c r="AH9" s="286" t="n">
        <f aca="false">IFERROR(SUMIF($V$4:$AG$4, "RDEC", V9:AG9), "")</f>
        <v>5000</v>
      </c>
      <c r="AI9" s="286" t="n">
        <f aca="false">IFERROR(SUMIF($V$4:$AG$4, "SME", V9:AG9), "")</f>
        <v>7500</v>
      </c>
      <c r="AJ9" s="286" t="n">
        <f aca="false">IFERROR(SUMIF($V$4:$AG$4, "De Minimis", V9:AG9), "")</f>
        <v>0</v>
      </c>
      <c r="AK9" s="287"/>
      <c r="AL9" s="288" t="str">
        <f aca="false">IF((SUM(I9:T9)&gt;1),"ERROR","")</f>
        <v/>
      </c>
    </row>
    <row r="10" customFormat="false" ht="15" hidden="false" customHeight="true" outlineLevel="0" collapsed="false">
      <c r="A10" s="355" t="n">
        <v>45344</v>
      </c>
      <c r="B10" s="17" t="s">
        <v>270</v>
      </c>
      <c r="C10" s="17" t="s">
        <v>275</v>
      </c>
      <c r="D10" s="341" t="s">
        <v>276</v>
      </c>
      <c r="E10" s="200" t="n">
        <v>5400</v>
      </c>
      <c r="F10" s="17" t="n">
        <v>7602</v>
      </c>
      <c r="H10" s="350"/>
      <c r="I10" s="282" t="n">
        <v>0.33</v>
      </c>
      <c r="J10" s="282" t="n">
        <v>0.33</v>
      </c>
      <c r="K10" s="282" t="n">
        <v>0.34</v>
      </c>
      <c r="L10" s="282"/>
      <c r="M10" s="282"/>
      <c r="N10" s="282"/>
      <c r="O10" s="282"/>
      <c r="P10" s="282"/>
      <c r="Q10" s="282"/>
      <c r="R10" s="282"/>
      <c r="S10" s="282"/>
      <c r="T10" s="282"/>
      <c r="U10" s="283"/>
      <c r="V10" s="284" t="n">
        <f aca="false">IFERROR(I10*$E10, "")</f>
        <v>1782</v>
      </c>
      <c r="W10" s="284" t="n">
        <f aca="false">IFERROR(J10*$E10, "")</f>
        <v>1782</v>
      </c>
      <c r="X10" s="284" t="n">
        <f aca="false">IFERROR(K10*$E10, "")</f>
        <v>1836</v>
      </c>
      <c r="Y10" s="284" t="n">
        <f aca="false">IFERROR(L10*$E10, "")</f>
        <v>0</v>
      </c>
      <c r="Z10" s="284" t="n">
        <f aca="false">IFERROR(M10*$E10, "")</f>
        <v>0</v>
      </c>
      <c r="AA10" s="284" t="n">
        <f aca="false">IFERROR(N10*$E10, "")</f>
        <v>0</v>
      </c>
      <c r="AB10" s="284" t="n">
        <f aca="false">IFERROR(O10*$E10, "")</f>
        <v>0</v>
      </c>
      <c r="AC10" s="284" t="n">
        <f aca="false">IFERROR(P10*$E10, "")</f>
        <v>0</v>
      </c>
      <c r="AD10" s="284" t="n">
        <f aca="false">IFERROR(Q10*$E10, "")</f>
        <v>0</v>
      </c>
      <c r="AE10" s="284" t="n">
        <f aca="false">IFERROR(R10*$E10, "")</f>
        <v>0</v>
      </c>
      <c r="AF10" s="284" t="n">
        <f aca="false">IFERROR(S10*$E10, "")</f>
        <v>0</v>
      </c>
      <c r="AG10" s="284" t="n">
        <f aca="false">IFERROR(T10*$E10, "")</f>
        <v>0</v>
      </c>
      <c r="AH10" s="286" t="n">
        <f aca="false">IFERROR(SUMIF($V$4:$AG$4, "RDEC", V10:AG10), "")</f>
        <v>0</v>
      </c>
      <c r="AI10" s="286" t="n">
        <f aca="false">IFERROR(SUMIF($V$4:$AG$4, "SME", V10:AG10), "")</f>
        <v>5400</v>
      </c>
      <c r="AJ10" s="286" t="n">
        <f aca="false">IFERROR(SUMIF($V$4:$AG$4, "De Minimis", V10:AG10), "")</f>
        <v>0</v>
      </c>
      <c r="AK10" s="287"/>
      <c r="AL10" s="288" t="str">
        <f aca="false">IF((SUM(I10:T10)&gt;1),"ERROR","")</f>
        <v/>
      </c>
    </row>
    <row r="11" customFormat="false" ht="15" hidden="false" customHeight="true" outlineLevel="0" collapsed="false">
      <c r="A11" s="355" t="n">
        <v>45361</v>
      </c>
      <c r="B11" s="17" t="s">
        <v>270</v>
      </c>
      <c r="C11" s="17" t="s">
        <v>277</v>
      </c>
      <c r="D11" s="341" t="s">
        <v>278</v>
      </c>
      <c r="E11" s="200" t="n">
        <v>3200</v>
      </c>
      <c r="F11" s="17" t="n">
        <v>7603</v>
      </c>
      <c r="H11" s="350"/>
      <c r="I11" s="282"/>
      <c r="J11" s="282"/>
      <c r="K11" s="282"/>
      <c r="L11" s="282" t="n">
        <v>0.8</v>
      </c>
      <c r="M11" s="282" t="n">
        <v>0.2</v>
      </c>
      <c r="N11" s="282"/>
      <c r="O11" s="282"/>
      <c r="P11" s="282"/>
      <c r="Q11" s="282"/>
      <c r="R11" s="282"/>
      <c r="S11" s="282"/>
      <c r="T11" s="282"/>
      <c r="U11" s="283"/>
      <c r="V11" s="284" t="n">
        <f aca="false">IFERROR(I11*$E11, "")</f>
        <v>0</v>
      </c>
      <c r="W11" s="284" t="n">
        <f aca="false">IFERROR(J11*$E11, "")</f>
        <v>0</v>
      </c>
      <c r="X11" s="284" t="n">
        <f aca="false">IFERROR(K11*$E11, "")</f>
        <v>0</v>
      </c>
      <c r="Y11" s="284" t="n">
        <f aca="false">IFERROR(L11*$E11, "")</f>
        <v>2560</v>
      </c>
      <c r="Z11" s="284" t="n">
        <f aca="false">IFERROR(M11*$E11, "")</f>
        <v>640</v>
      </c>
      <c r="AA11" s="284" t="n">
        <f aca="false">IFERROR(N11*$E11, "")</f>
        <v>0</v>
      </c>
      <c r="AB11" s="284" t="n">
        <f aca="false">IFERROR(O11*$E11, "")</f>
        <v>0</v>
      </c>
      <c r="AC11" s="284" t="n">
        <f aca="false">IFERROR(P11*$E11, "")</f>
        <v>0</v>
      </c>
      <c r="AD11" s="284" t="n">
        <f aca="false">IFERROR(Q11*$E11, "")</f>
        <v>0</v>
      </c>
      <c r="AE11" s="284" t="n">
        <f aca="false">IFERROR(R11*$E11, "")</f>
        <v>0</v>
      </c>
      <c r="AF11" s="284" t="n">
        <f aca="false">IFERROR(S11*$E11, "")</f>
        <v>0</v>
      </c>
      <c r="AG11" s="284" t="n">
        <f aca="false">IFERROR(T11*$E11, "")</f>
        <v>0</v>
      </c>
      <c r="AH11" s="286" t="n">
        <f aca="false">IFERROR(SUMIF($V$4:$AG$4, "RDEC", V11:AG11), "")</f>
        <v>2560</v>
      </c>
      <c r="AI11" s="286" t="n">
        <f aca="false">IFERROR(SUMIF($V$4:$AG$4, "SME", V11:AG11), "")</f>
        <v>640</v>
      </c>
      <c r="AJ11" s="286" t="n">
        <f aca="false">IFERROR(SUMIF($V$4:$AG$4, "De Minimis", V11:AG11), "")</f>
        <v>0</v>
      </c>
      <c r="AK11" s="287"/>
      <c r="AL11" s="288" t="str">
        <f aca="false">IF((SUM(I11:T11)&gt;1),"ERROR","")</f>
        <v/>
      </c>
    </row>
    <row r="12" customFormat="false" ht="15" hidden="false" customHeight="true" outlineLevel="0" collapsed="false">
      <c r="A12" s="355" t="n">
        <v>45387</v>
      </c>
      <c r="B12" s="17" t="s">
        <v>270</v>
      </c>
      <c r="C12" s="17" t="s">
        <v>279</v>
      </c>
      <c r="D12" s="341" t="s">
        <v>280</v>
      </c>
      <c r="E12" s="200" t="n">
        <v>3100</v>
      </c>
      <c r="F12" s="17" t="n">
        <v>7600</v>
      </c>
      <c r="H12" s="350"/>
      <c r="I12" s="282" t="n">
        <v>0.35</v>
      </c>
      <c r="J12" s="282" t="n">
        <v>0.3</v>
      </c>
      <c r="K12" s="282" t="n">
        <v>0.2</v>
      </c>
      <c r="L12" s="282"/>
      <c r="M12" s="282" t="n">
        <v>0.15</v>
      </c>
      <c r="N12" s="282"/>
      <c r="O12" s="282"/>
      <c r="P12" s="282"/>
      <c r="Q12" s="282"/>
      <c r="R12" s="282"/>
      <c r="S12" s="282"/>
      <c r="T12" s="282"/>
      <c r="U12" s="283"/>
      <c r="V12" s="284" t="n">
        <f aca="false">IFERROR(I12*$E12, "")</f>
        <v>1085</v>
      </c>
      <c r="W12" s="284" t="n">
        <f aca="false">IFERROR(J12*$E12, "")</f>
        <v>930</v>
      </c>
      <c r="X12" s="284" t="n">
        <f aca="false">IFERROR(K12*$E12, "")</f>
        <v>620</v>
      </c>
      <c r="Y12" s="284" t="n">
        <f aca="false">IFERROR(L12*$E12, "")</f>
        <v>0</v>
      </c>
      <c r="Z12" s="284" t="n">
        <f aca="false">IFERROR(M12*$E12, "")</f>
        <v>465</v>
      </c>
      <c r="AA12" s="284" t="n">
        <f aca="false">IFERROR(N12*$E12, "")</f>
        <v>0</v>
      </c>
      <c r="AB12" s="284" t="n">
        <f aca="false">IFERROR(O12*$E12, "")</f>
        <v>0</v>
      </c>
      <c r="AC12" s="284" t="n">
        <f aca="false">IFERROR(P12*$E12, "")</f>
        <v>0</v>
      </c>
      <c r="AD12" s="284" t="n">
        <f aca="false">IFERROR(Q12*$E12, "")</f>
        <v>0</v>
      </c>
      <c r="AE12" s="284" t="n">
        <f aca="false">IFERROR(R12*$E12, "")</f>
        <v>0</v>
      </c>
      <c r="AF12" s="284" t="n">
        <f aca="false">IFERROR(S12*$E12, "")</f>
        <v>0</v>
      </c>
      <c r="AG12" s="284" t="n">
        <f aca="false">IFERROR(T12*$E12, "")</f>
        <v>0</v>
      </c>
      <c r="AH12" s="286" t="n">
        <f aca="false">IFERROR(SUMIF($V$4:$AG$4, "RDEC", V12:AG12), "")</f>
        <v>0</v>
      </c>
      <c r="AI12" s="286" t="n">
        <f aca="false">IFERROR(SUMIF($V$4:$AG$4, "SME", V12:AG12), "")</f>
        <v>3100</v>
      </c>
      <c r="AJ12" s="286" t="n">
        <f aca="false">IFERROR(SUMIF($V$4:$AG$4, "De Minimis", V12:AG12), "")</f>
        <v>0</v>
      </c>
      <c r="AK12" s="287"/>
      <c r="AL12" s="288" t="str">
        <f aca="false">IF((SUM(I12:T12)&gt;1),"ERROR","")</f>
        <v/>
      </c>
    </row>
    <row r="13" customFormat="false" ht="15" hidden="false" customHeight="true" outlineLevel="0" collapsed="false">
      <c r="A13" s="355" t="n">
        <v>45430</v>
      </c>
      <c r="B13" s="17" t="s">
        <v>270</v>
      </c>
      <c r="C13" s="17" t="s">
        <v>281</v>
      </c>
      <c r="D13" s="341" t="s">
        <v>282</v>
      </c>
      <c r="E13" s="200" t="n">
        <v>4800</v>
      </c>
      <c r="F13" s="17" t="n">
        <v>7604</v>
      </c>
      <c r="H13" s="350"/>
      <c r="I13" s="282"/>
      <c r="J13" s="282"/>
      <c r="K13" s="282"/>
      <c r="L13" s="282" t="n">
        <v>1</v>
      </c>
      <c r="M13" s="282"/>
      <c r="N13" s="282"/>
      <c r="O13" s="282"/>
      <c r="P13" s="282"/>
      <c r="Q13" s="282"/>
      <c r="R13" s="282"/>
      <c r="S13" s="282"/>
      <c r="T13" s="282"/>
      <c r="U13" s="283"/>
      <c r="V13" s="284" t="n">
        <f aca="false">IFERROR(I13*$E13, "")</f>
        <v>0</v>
      </c>
      <c r="W13" s="284" t="n">
        <f aca="false">IFERROR(J13*$E13, "")</f>
        <v>0</v>
      </c>
      <c r="X13" s="284" t="n">
        <f aca="false">IFERROR(K13*$E13, "")</f>
        <v>0</v>
      </c>
      <c r="Y13" s="284" t="n">
        <f aca="false">IFERROR(L13*$E13, "")</f>
        <v>4800</v>
      </c>
      <c r="Z13" s="284" t="n">
        <f aca="false">IFERROR(M13*$E13, "")</f>
        <v>0</v>
      </c>
      <c r="AA13" s="284" t="n">
        <f aca="false">IFERROR(N13*$E13, "")</f>
        <v>0</v>
      </c>
      <c r="AB13" s="284" t="n">
        <f aca="false">IFERROR(O13*$E13, "")</f>
        <v>0</v>
      </c>
      <c r="AC13" s="284" t="n">
        <f aca="false">IFERROR(P13*$E13, "")</f>
        <v>0</v>
      </c>
      <c r="AD13" s="284" t="n">
        <f aca="false">IFERROR(Q13*$E13, "")</f>
        <v>0</v>
      </c>
      <c r="AE13" s="284" t="n">
        <f aca="false">IFERROR(R13*$E13, "")</f>
        <v>0</v>
      </c>
      <c r="AF13" s="284" t="n">
        <f aca="false">IFERROR(S13*$E13, "")</f>
        <v>0</v>
      </c>
      <c r="AG13" s="284" t="n">
        <f aca="false">IFERROR(T13*$E13, "")</f>
        <v>0</v>
      </c>
      <c r="AH13" s="286" t="n">
        <f aca="false">IFERROR(SUMIF($V$4:$AG$4, "RDEC", V13:AG13), "")</f>
        <v>4800</v>
      </c>
      <c r="AI13" s="286" t="n">
        <f aca="false">IFERROR(SUMIF($V$4:$AG$4, "SME", V13:AG13), "")</f>
        <v>0</v>
      </c>
      <c r="AJ13" s="286" t="n">
        <f aca="false">IFERROR(SUMIF($V$4:$AG$4, "De Minimis", V13:AG13), "")</f>
        <v>0</v>
      </c>
      <c r="AK13" s="287"/>
      <c r="AL13" s="288" t="str">
        <f aca="false">IF((SUM(I13:T13)&gt;1),"ERROR","")</f>
        <v/>
      </c>
    </row>
    <row r="14" customFormat="false" ht="15" hidden="false" customHeight="true" outlineLevel="0" collapsed="false">
      <c r="A14" s="355" t="n">
        <v>45455</v>
      </c>
      <c r="B14" s="17" t="s">
        <v>270</v>
      </c>
      <c r="C14" s="17" t="s">
        <v>283</v>
      </c>
      <c r="D14" s="341" t="s">
        <v>284</v>
      </c>
      <c r="E14" s="200" t="n">
        <v>2200</v>
      </c>
      <c r="F14" s="17" t="n">
        <v>7605</v>
      </c>
      <c r="H14" s="350"/>
      <c r="I14" s="282" t="n">
        <v>0.2</v>
      </c>
      <c r="J14" s="282"/>
      <c r="K14" s="282"/>
      <c r="L14" s="282"/>
      <c r="M14" s="282" t="n">
        <v>0.8</v>
      </c>
      <c r="N14" s="282"/>
      <c r="O14" s="282"/>
      <c r="P14" s="282"/>
      <c r="Q14" s="282"/>
      <c r="R14" s="282"/>
      <c r="S14" s="282"/>
      <c r="T14" s="282"/>
      <c r="U14" s="283"/>
      <c r="V14" s="284" t="n">
        <f aca="false">IFERROR(I14*$E14, "")</f>
        <v>440</v>
      </c>
      <c r="W14" s="284" t="n">
        <f aca="false">IFERROR(J14*$E14, "")</f>
        <v>0</v>
      </c>
      <c r="X14" s="284" t="n">
        <f aca="false">IFERROR(K14*$E14, "")</f>
        <v>0</v>
      </c>
      <c r="Y14" s="284" t="n">
        <f aca="false">IFERROR(L14*$E14, "")</f>
        <v>0</v>
      </c>
      <c r="Z14" s="284" t="n">
        <f aca="false">IFERROR(M14*$E14, "")</f>
        <v>1760</v>
      </c>
      <c r="AA14" s="284" t="n">
        <f aca="false">IFERROR(N14*$E14, "")</f>
        <v>0</v>
      </c>
      <c r="AB14" s="284" t="n">
        <f aca="false">IFERROR(O14*$E14, "")</f>
        <v>0</v>
      </c>
      <c r="AC14" s="284" t="n">
        <f aca="false">IFERROR(P14*$E14, "")</f>
        <v>0</v>
      </c>
      <c r="AD14" s="284" t="n">
        <f aca="false">IFERROR(Q14*$E14, "")</f>
        <v>0</v>
      </c>
      <c r="AE14" s="284" t="n">
        <f aca="false">IFERROR(R14*$E14, "")</f>
        <v>0</v>
      </c>
      <c r="AF14" s="284" t="n">
        <f aca="false">IFERROR(S14*$E14, "")</f>
        <v>0</v>
      </c>
      <c r="AG14" s="284" t="n">
        <f aca="false">IFERROR(T14*$E14, "")</f>
        <v>0</v>
      </c>
      <c r="AH14" s="286" t="n">
        <f aca="false">IFERROR(SUMIF($V$4:$AG$4, "RDEC", V14:AG14), "")</f>
        <v>0</v>
      </c>
      <c r="AI14" s="286" t="n">
        <f aca="false">IFERROR(SUMIF($V$4:$AG$4, "SME", V14:AG14), "")</f>
        <v>2200</v>
      </c>
      <c r="AJ14" s="286" t="n">
        <f aca="false">IFERROR(SUMIF($V$4:$AG$4, "De Minimis", V14:AG14), "")</f>
        <v>0</v>
      </c>
      <c r="AK14" s="287"/>
      <c r="AL14" s="288" t="str">
        <f aca="false">IF((SUM(I14:T14)&gt;1),"ERROR","")</f>
        <v/>
      </c>
    </row>
    <row r="15" customFormat="false" ht="15" hidden="false" customHeight="true" outlineLevel="0" collapsed="false">
      <c r="A15" s="355" t="n">
        <v>45476</v>
      </c>
      <c r="B15" s="17" t="s">
        <v>270</v>
      </c>
      <c r="C15" s="17" t="s">
        <v>285</v>
      </c>
      <c r="D15" s="341" t="s">
        <v>286</v>
      </c>
      <c r="E15" s="200" t="n">
        <v>3400</v>
      </c>
      <c r="F15" s="17" t="n">
        <v>7600</v>
      </c>
      <c r="H15" s="350"/>
      <c r="I15" s="282" t="n">
        <v>0.3</v>
      </c>
      <c r="J15" s="282" t="n">
        <v>0.25</v>
      </c>
      <c r="K15" s="282" t="n">
        <v>0.2</v>
      </c>
      <c r="L15" s="282" t="n">
        <v>0.15</v>
      </c>
      <c r="M15" s="282" t="n">
        <v>0.1</v>
      </c>
      <c r="N15" s="282"/>
      <c r="O15" s="282"/>
      <c r="P15" s="282"/>
      <c r="Q15" s="282"/>
      <c r="R15" s="282"/>
      <c r="S15" s="282"/>
      <c r="T15" s="282"/>
      <c r="U15" s="283"/>
      <c r="V15" s="284" t="n">
        <f aca="false">IFERROR(I15*$E15, "")</f>
        <v>1020</v>
      </c>
      <c r="W15" s="284" t="n">
        <f aca="false">IFERROR(J15*$E15, "")</f>
        <v>850</v>
      </c>
      <c r="X15" s="284" t="n">
        <f aca="false">IFERROR(K15*$E15, "")</f>
        <v>680</v>
      </c>
      <c r="Y15" s="284" t="n">
        <f aca="false">IFERROR(L15*$E15, "")</f>
        <v>510</v>
      </c>
      <c r="Z15" s="284" t="n">
        <f aca="false">IFERROR(M15*$E15, "")</f>
        <v>340</v>
      </c>
      <c r="AA15" s="284" t="n">
        <f aca="false">IFERROR(N15*$E15, "")</f>
        <v>0</v>
      </c>
      <c r="AB15" s="284" t="n">
        <f aca="false">IFERROR(O15*$E15, "")</f>
        <v>0</v>
      </c>
      <c r="AC15" s="284" t="n">
        <f aca="false">IFERROR(P15*$E15, "")</f>
        <v>0</v>
      </c>
      <c r="AD15" s="284" t="n">
        <f aca="false">IFERROR(Q15*$E15, "")</f>
        <v>0</v>
      </c>
      <c r="AE15" s="284" t="n">
        <f aca="false">IFERROR(R15*$E15, "")</f>
        <v>0</v>
      </c>
      <c r="AF15" s="284" t="n">
        <f aca="false">IFERROR(S15*$E15, "")</f>
        <v>0</v>
      </c>
      <c r="AG15" s="284" t="n">
        <f aca="false">IFERROR(T15*$E15, "")</f>
        <v>0</v>
      </c>
      <c r="AH15" s="286" t="n">
        <f aca="false">IFERROR(SUMIF($V$4:$AG$4, "RDEC", V15:AG15), "")</f>
        <v>510</v>
      </c>
      <c r="AI15" s="286" t="n">
        <f aca="false">IFERROR(SUMIF($V$4:$AG$4, "SME", V15:AG15), "")</f>
        <v>2890</v>
      </c>
      <c r="AJ15" s="286" t="n">
        <f aca="false">IFERROR(SUMIF($V$4:$AG$4, "De Minimis", V15:AG15), "")</f>
        <v>0</v>
      </c>
      <c r="AK15" s="287"/>
      <c r="AL15" s="288" t="str">
        <f aca="false">IF((SUM(I15:T15)&gt;1),"ERROR","")</f>
        <v/>
      </c>
    </row>
    <row r="16" customFormat="false" ht="15" hidden="false" customHeight="true" outlineLevel="0" collapsed="false">
      <c r="A16" s="355" t="n">
        <v>45524</v>
      </c>
      <c r="B16" s="17" t="s">
        <v>270</v>
      </c>
      <c r="C16" s="17" t="s">
        <v>287</v>
      </c>
      <c r="D16" s="341" t="s">
        <v>288</v>
      </c>
      <c r="E16" s="200" t="n">
        <v>1800</v>
      </c>
      <c r="F16" s="17" t="n">
        <v>7606</v>
      </c>
      <c r="H16" s="350"/>
      <c r="I16" s="282" t="n">
        <v>0.5</v>
      </c>
      <c r="J16" s="282" t="n">
        <v>0.5</v>
      </c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3"/>
      <c r="V16" s="284" t="n">
        <f aca="false">IFERROR(I16*$E16, "")</f>
        <v>900</v>
      </c>
      <c r="W16" s="284" t="n">
        <f aca="false">IFERROR(J16*$E16, "")</f>
        <v>900</v>
      </c>
      <c r="X16" s="284" t="n">
        <f aca="false">IFERROR(K16*$E16, "")</f>
        <v>0</v>
      </c>
      <c r="Y16" s="284" t="n">
        <f aca="false">IFERROR(L16*$E16, "")</f>
        <v>0</v>
      </c>
      <c r="Z16" s="284" t="n">
        <f aca="false">IFERROR(M16*$E16, "")</f>
        <v>0</v>
      </c>
      <c r="AA16" s="284" t="n">
        <f aca="false">IFERROR(N16*$E16, "")</f>
        <v>0</v>
      </c>
      <c r="AB16" s="284" t="n">
        <f aca="false">IFERROR(O16*$E16, "")</f>
        <v>0</v>
      </c>
      <c r="AC16" s="284" t="n">
        <f aca="false">IFERROR(P16*$E16, "")</f>
        <v>0</v>
      </c>
      <c r="AD16" s="284" t="n">
        <f aca="false">IFERROR(Q16*$E16, "")</f>
        <v>0</v>
      </c>
      <c r="AE16" s="284" t="n">
        <f aca="false">IFERROR(R16*$E16, "")</f>
        <v>0</v>
      </c>
      <c r="AF16" s="284" t="n">
        <f aca="false">IFERROR(S16*$E16, "")</f>
        <v>0</v>
      </c>
      <c r="AG16" s="284" t="n">
        <f aca="false">IFERROR(T16*$E16, "")</f>
        <v>0</v>
      </c>
      <c r="AH16" s="286" t="n">
        <f aca="false">IFERROR(SUMIF($V$4:$AG$4, "RDEC", V16:AG16), "")</f>
        <v>0</v>
      </c>
      <c r="AI16" s="286" t="n">
        <f aca="false">IFERROR(SUMIF($V$4:$AG$4, "SME", V16:AG16), "")</f>
        <v>1800</v>
      </c>
      <c r="AJ16" s="286" t="n">
        <f aca="false">IFERROR(SUMIF($V$4:$AG$4, "De Minimis", V16:AG16), "")</f>
        <v>0</v>
      </c>
      <c r="AK16" s="287"/>
      <c r="AL16" s="288" t="str">
        <f aca="false">IF((SUM(I16:T16)&gt;1),"ERROR","")</f>
        <v/>
      </c>
    </row>
    <row r="17" customFormat="false" ht="15" hidden="false" customHeight="true" outlineLevel="0" collapsed="false">
      <c r="A17" s="355" t="n">
        <v>45549</v>
      </c>
      <c r="B17" s="17" t="s">
        <v>270</v>
      </c>
      <c r="C17" s="17" t="s">
        <v>289</v>
      </c>
      <c r="D17" s="341" t="s">
        <v>290</v>
      </c>
      <c r="E17" s="200" t="n">
        <v>3600</v>
      </c>
      <c r="F17" s="17" t="n">
        <v>7607</v>
      </c>
      <c r="H17" s="350"/>
      <c r="I17" s="282"/>
      <c r="J17" s="282" t="n">
        <v>0.4</v>
      </c>
      <c r="K17" s="282"/>
      <c r="L17" s="282" t="n">
        <v>0.3</v>
      </c>
      <c r="M17" s="282" t="n">
        <v>0.3</v>
      </c>
      <c r="N17" s="282"/>
      <c r="O17" s="282"/>
      <c r="P17" s="282"/>
      <c r="Q17" s="282"/>
      <c r="R17" s="282"/>
      <c r="S17" s="282"/>
      <c r="T17" s="282"/>
      <c r="U17" s="283"/>
      <c r="V17" s="284" t="n">
        <f aca="false">IFERROR(I17*$E17, "")</f>
        <v>0</v>
      </c>
      <c r="W17" s="284" t="n">
        <f aca="false">IFERROR(J17*$E17, "")</f>
        <v>1440</v>
      </c>
      <c r="X17" s="284" t="n">
        <f aca="false">IFERROR(K17*$E17, "")</f>
        <v>0</v>
      </c>
      <c r="Y17" s="284" t="n">
        <f aca="false">IFERROR(L17*$E17, "")</f>
        <v>1080</v>
      </c>
      <c r="Z17" s="284" t="n">
        <f aca="false">IFERROR(M17*$E17, "")</f>
        <v>1080</v>
      </c>
      <c r="AA17" s="284" t="n">
        <f aca="false">IFERROR(N17*$E17, "")</f>
        <v>0</v>
      </c>
      <c r="AB17" s="284" t="n">
        <f aca="false">IFERROR(O17*$E17, "")</f>
        <v>0</v>
      </c>
      <c r="AC17" s="284" t="n">
        <f aca="false">IFERROR(P17*$E17, "")</f>
        <v>0</v>
      </c>
      <c r="AD17" s="284" t="n">
        <f aca="false">IFERROR(Q17*$E17, "")</f>
        <v>0</v>
      </c>
      <c r="AE17" s="284" t="n">
        <f aca="false">IFERROR(R17*$E17, "")</f>
        <v>0</v>
      </c>
      <c r="AF17" s="284" t="n">
        <f aca="false">IFERROR(S17*$E17, "")</f>
        <v>0</v>
      </c>
      <c r="AG17" s="284" t="n">
        <f aca="false">IFERROR(T17*$E17, "")</f>
        <v>0</v>
      </c>
      <c r="AH17" s="286" t="n">
        <f aca="false">IFERROR(SUMIF($V$4:$AG$4, "RDEC", V17:AG17), "")</f>
        <v>1080</v>
      </c>
      <c r="AI17" s="286" t="n">
        <f aca="false">IFERROR(SUMIF($V$4:$AG$4, "SME", V17:AG17), "")</f>
        <v>2520</v>
      </c>
      <c r="AJ17" s="286" t="n">
        <f aca="false">IFERROR(SUMIF($V$4:$AG$4, "De Minimis", V17:AG17), "")</f>
        <v>0</v>
      </c>
      <c r="AK17" s="287"/>
      <c r="AL17" s="288" t="str">
        <f aca="false">IF((SUM(I17:T17)&gt;1),"ERROR","")</f>
        <v/>
      </c>
    </row>
    <row r="18" customFormat="false" ht="15" hidden="false" customHeight="true" outlineLevel="0" collapsed="false">
      <c r="A18" s="355" t="n">
        <v>45572</v>
      </c>
      <c r="B18" s="17" t="s">
        <v>270</v>
      </c>
      <c r="C18" s="17" t="s">
        <v>291</v>
      </c>
      <c r="D18" s="341" t="s">
        <v>292</v>
      </c>
      <c r="E18" s="200" t="n">
        <v>3800</v>
      </c>
      <c r="F18" s="17" t="n">
        <v>7600</v>
      </c>
      <c r="H18" s="350"/>
      <c r="I18" s="282" t="n">
        <v>0.25</v>
      </c>
      <c r="J18" s="282" t="n">
        <v>0.25</v>
      </c>
      <c r="K18" s="282" t="n">
        <v>0.25</v>
      </c>
      <c r="L18" s="282"/>
      <c r="M18" s="282" t="n">
        <v>0.25</v>
      </c>
      <c r="N18" s="282"/>
      <c r="O18" s="282"/>
      <c r="P18" s="282"/>
      <c r="Q18" s="282"/>
      <c r="R18" s="282"/>
      <c r="S18" s="282"/>
      <c r="T18" s="282"/>
      <c r="U18" s="283"/>
      <c r="V18" s="284" t="n">
        <f aca="false">IFERROR(I18*$E18, "")</f>
        <v>950</v>
      </c>
      <c r="W18" s="284" t="n">
        <f aca="false">IFERROR(J18*$E18, "")</f>
        <v>950</v>
      </c>
      <c r="X18" s="284" t="n">
        <f aca="false">IFERROR(K18*$E18, "")</f>
        <v>950</v>
      </c>
      <c r="Y18" s="284" t="n">
        <f aca="false">IFERROR(L18*$E18, "")</f>
        <v>0</v>
      </c>
      <c r="Z18" s="284" t="n">
        <f aca="false">IFERROR(M18*$E18, "")</f>
        <v>950</v>
      </c>
      <c r="AA18" s="284" t="n">
        <f aca="false">IFERROR(N18*$E18, "")</f>
        <v>0</v>
      </c>
      <c r="AB18" s="284" t="n">
        <f aca="false">IFERROR(O18*$E18, "")</f>
        <v>0</v>
      </c>
      <c r="AC18" s="284" t="n">
        <f aca="false">IFERROR(P18*$E18, "")</f>
        <v>0</v>
      </c>
      <c r="AD18" s="284" t="n">
        <f aca="false">IFERROR(Q18*$E18, "")</f>
        <v>0</v>
      </c>
      <c r="AE18" s="284" t="n">
        <f aca="false">IFERROR(R18*$E18, "")</f>
        <v>0</v>
      </c>
      <c r="AF18" s="284" t="n">
        <f aca="false">IFERROR(S18*$E18, "")</f>
        <v>0</v>
      </c>
      <c r="AG18" s="284" t="n">
        <f aca="false">IFERROR(T18*$E18, "")</f>
        <v>0</v>
      </c>
      <c r="AH18" s="286" t="n">
        <f aca="false">IFERROR(SUMIF($V$4:$AG$4, "RDEC", V18:AG18), "")</f>
        <v>0</v>
      </c>
      <c r="AI18" s="286" t="n">
        <f aca="false">IFERROR(SUMIF($V$4:$AG$4, "SME", V18:AG18), "")</f>
        <v>3800</v>
      </c>
      <c r="AJ18" s="286" t="n">
        <f aca="false">IFERROR(SUMIF($V$4:$AG$4, "De Minimis", V18:AG18), "")</f>
        <v>0</v>
      </c>
      <c r="AK18" s="287"/>
      <c r="AL18" s="288" t="str">
        <f aca="false">IF((SUM(I18:T18)&gt;1),"ERROR","")</f>
        <v/>
      </c>
    </row>
    <row r="19" customFormat="false" ht="15" hidden="false" customHeight="true" outlineLevel="0" collapsed="false">
      <c r="A19" s="355" t="n">
        <v>45618</v>
      </c>
      <c r="B19" s="17" t="s">
        <v>270</v>
      </c>
      <c r="C19" s="17" t="s">
        <v>293</v>
      </c>
      <c r="D19" s="341" t="s">
        <v>294</v>
      </c>
      <c r="E19" s="200" t="n">
        <v>2100</v>
      </c>
      <c r="F19" s="17" t="n">
        <v>7608</v>
      </c>
      <c r="H19" s="350"/>
      <c r="I19" s="282"/>
      <c r="J19" s="282" t="n">
        <v>0.3</v>
      </c>
      <c r="K19" s="282"/>
      <c r="L19" s="282" t="n">
        <v>0.7</v>
      </c>
      <c r="M19" s="282"/>
      <c r="N19" s="282"/>
      <c r="O19" s="282"/>
      <c r="P19" s="282"/>
      <c r="Q19" s="282"/>
      <c r="R19" s="282"/>
      <c r="S19" s="282"/>
      <c r="T19" s="282"/>
      <c r="U19" s="283"/>
      <c r="V19" s="284" t="n">
        <f aca="false">IFERROR(I19*$E19, "")</f>
        <v>0</v>
      </c>
      <c r="W19" s="284" t="n">
        <f aca="false">IFERROR(J19*$E19, "")</f>
        <v>630</v>
      </c>
      <c r="X19" s="284" t="n">
        <f aca="false">IFERROR(K19*$E19, "")</f>
        <v>0</v>
      </c>
      <c r="Y19" s="284" t="n">
        <f aca="false">IFERROR(L19*$E19, "")</f>
        <v>1470</v>
      </c>
      <c r="Z19" s="284" t="n">
        <f aca="false">IFERROR(M19*$E19, "")</f>
        <v>0</v>
      </c>
      <c r="AA19" s="284" t="n">
        <f aca="false">IFERROR(N19*$E19, "")</f>
        <v>0</v>
      </c>
      <c r="AB19" s="284" t="n">
        <f aca="false">IFERROR(O19*$E19, "")</f>
        <v>0</v>
      </c>
      <c r="AC19" s="284" t="n">
        <f aca="false">IFERROR(P19*$E19, "")</f>
        <v>0</v>
      </c>
      <c r="AD19" s="284" t="n">
        <f aca="false">IFERROR(Q19*$E19, "")</f>
        <v>0</v>
      </c>
      <c r="AE19" s="284" t="n">
        <f aca="false">IFERROR(R19*$E19, "")</f>
        <v>0</v>
      </c>
      <c r="AF19" s="284" t="n">
        <f aca="false">IFERROR(S19*$E19, "")</f>
        <v>0</v>
      </c>
      <c r="AG19" s="284" t="n">
        <f aca="false">IFERROR(T19*$E19, "")</f>
        <v>0</v>
      </c>
      <c r="AH19" s="286" t="n">
        <f aca="false">IFERROR(SUMIF($V$4:$AG$4, "RDEC", V19:AG19), "")</f>
        <v>1470</v>
      </c>
      <c r="AI19" s="286" t="n">
        <f aca="false">IFERROR(SUMIF($V$4:$AG$4, "SME", V19:AG19), "")</f>
        <v>630</v>
      </c>
      <c r="AJ19" s="286" t="n">
        <f aca="false">IFERROR(SUMIF($V$4:$AG$4, "De Minimis", V19:AG19), "")</f>
        <v>0</v>
      </c>
      <c r="AK19" s="303"/>
      <c r="AL19" s="288" t="str">
        <f aca="false">IF((SUM(I19:T19)&gt;1),"ERROR","")</f>
        <v/>
      </c>
    </row>
    <row r="20" customFormat="false" ht="15" hidden="false" customHeight="true" outlineLevel="0" collapsed="false">
      <c r="A20" s="355" t="n">
        <v>45631</v>
      </c>
      <c r="B20" s="17" t="s">
        <v>270</v>
      </c>
      <c r="C20" s="17" t="s">
        <v>295</v>
      </c>
      <c r="D20" s="341" t="s">
        <v>296</v>
      </c>
      <c r="E20" s="200" t="n">
        <v>6500</v>
      </c>
      <c r="F20" s="17" t="n">
        <v>7609</v>
      </c>
      <c r="H20" s="350"/>
      <c r="I20" s="282" t="n">
        <v>0.3</v>
      </c>
      <c r="J20" s="282" t="n">
        <v>0.4</v>
      </c>
      <c r="K20" s="282"/>
      <c r="L20" s="282"/>
      <c r="M20" s="282" t="n">
        <v>0.3</v>
      </c>
      <c r="N20" s="282"/>
      <c r="O20" s="282"/>
      <c r="P20" s="282"/>
      <c r="Q20" s="282"/>
      <c r="R20" s="282"/>
      <c r="S20" s="282"/>
      <c r="T20" s="282"/>
      <c r="U20" s="283"/>
      <c r="V20" s="284" t="n">
        <f aca="false">IFERROR(I20*$E20, "")</f>
        <v>1950</v>
      </c>
      <c r="W20" s="284" t="n">
        <f aca="false">IFERROR(J20*$E20, "")</f>
        <v>2600</v>
      </c>
      <c r="X20" s="284" t="n">
        <f aca="false">IFERROR(K20*$E20, "")</f>
        <v>0</v>
      </c>
      <c r="Y20" s="284" t="n">
        <f aca="false">IFERROR(L20*$E20, "")</f>
        <v>0</v>
      </c>
      <c r="Z20" s="284" t="n">
        <f aca="false">IFERROR(M20*$E20, "")</f>
        <v>1950</v>
      </c>
      <c r="AA20" s="284" t="n">
        <f aca="false">IFERROR(N20*$E20, "")</f>
        <v>0</v>
      </c>
      <c r="AB20" s="284" t="n">
        <f aca="false">IFERROR(O20*$E20, "")</f>
        <v>0</v>
      </c>
      <c r="AC20" s="284" t="n">
        <f aca="false">IFERROR(P20*$E20, "")</f>
        <v>0</v>
      </c>
      <c r="AD20" s="284" t="n">
        <f aca="false">IFERROR(Q20*$E20, "")</f>
        <v>0</v>
      </c>
      <c r="AE20" s="284" t="n">
        <f aca="false">IFERROR(R20*$E20, "")</f>
        <v>0</v>
      </c>
      <c r="AF20" s="284" t="n">
        <f aca="false">IFERROR(S20*$E20, "")</f>
        <v>0</v>
      </c>
      <c r="AG20" s="284" t="n">
        <f aca="false">IFERROR(T20*$E20, "")</f>
        <v>0</v>
      </c>
      <c r="AH20" s="286" t="n">
        <f aca="false">IFERROR(SUMIF($V$4:$AG$4, "RDEC", V20:AG20), "")</f>
        <v>0</v>
      </c>
      <c r="AI20" s="286" t="n">
        <f aca="false">IFERROR(SUMIF($V$4:$AG$4, "SME", V20:AG20), "")</f>
        <v>6500</v>
      </c>
      <c r="AJ20" s="286" t="n">
        <f aca="false">IFERROR(SUMIF($V$4:$AG$4, "De Minimis", V20:AG20), "")</f>
        <v>0</v>
      </c>
      <c r="AK20" s="303"/>
      <c r="AL20" s="288" t="str">
        <f aca="false">IF((SUM(I20:T20)&gt;1),"ERROR","")</f>
        <v/>
      </c>
    </row>
    <row r="21" customFormat="false" ht="15" hidden="false" customHeight="true" outlineLevel="0" collapsed="false">
      <c r="H21" s="350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3"/>
      <c r="V21" s="284" t="n">
        <f aca="false">IFERROR(I21*$E21, "")</f>
        <v>0</v>
      </c>
      <c r="W21" s="284" t="n">
        <f aca="false">IFERROR(J21*$E21, "")</f>
        <v>0</v>
      </c>
      <c r="X21" s="284" t="n">
        <f aca="false">IFERROR(K21*$E21, "")</f>
        <v>0</v>
      </c>
      <c r="Y21" s="284" t="n">
        <f aca="false">IFERROR(L21*$E21, "")</f>
        <v>0</v>
      </c>
      <c r="Z21" s="284" t="n">
        <f aca="false">IFERROR(M21*$E21, "")</f>
        <v>0</v>
      </c>
      <c r="AA21" s="284" t="n">
        <f aca="false">IFERROR(N21*$E21, "")</f>
        <v>0</v>
      </c>
      <c r="AB21" s="284" t="n">
        <f aca="false">IFERROR(O21*$E21, "")</f>
        <v>0</v>
      </c>
      <c r="AC21" s="284" t="n">
        <f aca="false">IFERROR(P21*$E21, "")</f>
        <v>0</v>
      </c>
      <c r="AD21" s="284" t="n">
        <f aca="false">IFERROR(Q21*$E21, "")</f>
        <v>0</v>
      </c>
      <c r="AE21" s="284" t="n">
        <f aca="false">IFERROR(R21*$E21, "")</f>
        <v>0</v>
      </c>
      <c r="AF21" s="284" t="n">
        <f aca="false">IFERROR(S21*$E21, "")</f>
        <v>0</v>
      </c>
      <c r="AG21" s="284" t="n">
        <f aca="false">IFERROR(T21*$E21, "")</f>
        <v>0</v>
      </c>
      <c r="AH21" s="286" t="n">
        <f aca="false">IFERROR(SUMIF($V$4:$AG$4, "RDEC", V21:AG21), "")</f>
        <v>0</v>
      </c>
      <c r="AI21" s="286" t="n">
        <f aca="false">IFERROR(SUMIF($V$4:$AG$4, "SME", V21:AG21), "")</f>
        <v>0</v>
      </c>
      <c r="AJ21" s="286" t="n">
        <f aca="false">IFERROR(SUMIF($V$4:$AG$4, "De Minimis", V21:AG21), "")</f>
        <v>0</v>
      </c>
      <c r="AK21" s="268"/>
      <c r="AL21" s="288" t="str">
        <f aca="false">IF((SUM(I21:T21)&gt;1),"ERROR","")</f>
        <v/>
      </c>
    </row>
    <row r="22" customFormat="false" ht="15" hidden="false" customHeight="true" outlineLevel="0" collapsed="false">
      <c r="H22" s="350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3"/>
      <c r="V22" s="284" t="n">
        <f aca="false">IFERROR(I22*$E22, "")</f>
        <v>0</v>
      </c>
      <c r="W22" s="284" t="n">
        <f aca="false">IFERROR(J22*$E22, "")</f>
        <v>0</v>
      </c>
      <c r="X22" s="284" t="n">
        <f aca="false">IFERROR(K22*$E22, "")</f>
        <v>0</v>
      </c>
      <c r="Y22" s="284" t="n">
        <f aca="false">IFERROR(L22*$E22, "")</f>
        <v>0</v>
      </c>
      <c r="Z22" s="284" t="n">
        <f aca="false">IFERROR(M22*$E22, "")</f>
        <v>0</v>
      </c>
      <c r="AA22" s="284" t="n">
        <f aca="false">IFERROR(N22*$E22, "")</f>
        <v>0</v>
      </c>
      <c r="AB22" s="284" t="n">
        <f aca="false">IFERROR(O22*$E22, "")</f>
        <v>0</v>
      </c>
      <c r="AC22" s="284" t="n">
        <f aca="false">IFERROR(P22*$E22, "")</f>
        <v>0</v>
      </c>
      <c r="AD22" s="284" t="n">
        <f aca="false">IFERROR(Q22*$E22, "")</f>
        <v>0</v>
      </c>
      <c r="AE22" s="284" t="n">
        <f aca="false">IFERROR(R22*$E22, "")</f>
        <v>0</v>
      </c>
      <c r="AF22" s="284" t="n">
        <f aca="false">IFERROR(S22*$E22, "")</f>
        <v>0</v>
      </c>
      <c r="AG22" s="284" t="n">
        <f aca="false">IFERROR(T22*$E22, "")</f>
        <v>0</v>
      </c>
      <c r="AH22" s="286" t="n">
        <f aca="false">IFERROR(SUMIF($V$4:$AG$4, "RDEC", V22:AG22), "")</f>
        <v>0</v>
      </c>
      <c r="AI22" s="286" t="n">
        <f aca="false">IFERROR(SUMIF($V$4:$AG$4, "SME", V22:AG22), "")</f>
        <v>0</v>
      </c>
      <c r="AJ22" s="286" t="n">
        <f aca="false">IFERROR(SUMIF($V$4:$AG$4, "De Minimis", V22:AG22), "")</f>
        <v>0</v>
      </c>
      <c r="AK22" s="287"/>
      <c r="AL22" s="288" t="str">
        <f aca="false">IF((SUM(I22:T22)&gt;1),"ERROR","")</f>
        <v/>
      </c>
    </row>
    <row r="23" customFormat="false" ht="15" hidden="false" customHeight="true" outlineLevel="0" collapsed="false">
      <c r="H23" s="350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3"/>
      <c r="V23" s="284" t="n">
        <f aca="false">IFERROR(I23*$E23, "")</f>
        <v>0</v>
      </c>
      <c r="W23" s="284" t="n">
        <f aca="false">IFERROR(J23*$E23, "")</f>
        <v>0</v>
      </c>
      <c r="X23" s="284" t="n">
        <f aca="false">IFERROR(K23*$E23, "")</f>
        <v>0</v>
      </c>
      <c r="Y23" s="284" t="n">
        <f aca="false">IFERROR(L23*$E23, "")</f>
        <v>0</v>
      </c>
      <c r="Z23" s="284" t="n">
        <f aca="false">IFERROR(M23*$E23, "")</f>
        <v>0</v>
      </c>
      <c r="AA23" s="284" t="n">
        <f aca="false">IFERROR(N23*$E23, "")</f>
        <v>0</v>
      </c>
      <c r="AB23" s="284" t="n">
        <f aca="false">IFERROR(O23*$E23, "")</f>
        <v>0</v>
      </c>
      <c r="AC23" s="284" t="n">
        <f aca="false">IFERROR(P23*$E23, "")</f>
        <v>0</v>
      </c>
      <c r="AD23" s="284" t="n">
        <f aca="false">IFERROR(Q23*$E23, "")</f>
        <v>0</v>
      </c>
      <c r="AE23" s="284" t="n">
        <f aca="false">IFERROR(R23*$E23, "")</f>
        <v>0</v>
      </c>
      <c r="AF23" s="284" t="n">
        <f aca="false">IFERROR(S23*$E23, "")</f>
        <v>0</v>
      </c>
      <c r="AG23" s="284" t="n">
        <f aca="false">IFERROR(T23*$E23, "")</f>
        <v>0</v>
      </c>
      <c r="AH23" s="286" t="n">
        <f aca="false">IFERROR(SUMIF($V$4:$AG$4, "RDEC", V23:AG23), "")</f>
        <v>0</v>
      </c>
      <c r="AI23" s="286" t="n">
        <f aca="false">IFERROR(SUMIF($V$4:$AG$4, "SME", V23:AG23), "")</f>
        <v>0</v>
      </c>
      <c r="AJ23" s="286" t="n">
        <f aca="false">IFERROR(SUMIF($V$4:$AG$4, "De Minimis", V23:AG23), "")</f>
        <v>0</v>
      </c>
      <c r="AK23" s="287"/>
      <c r="AL23" s="288" t="str">
        <f aca="false">IF((SUM(I23:T23)&gt;1),"ERROR","")</f>
        <v/>
      </c>
    </row>
    <row r="24" customFormat="false" ht="15" hidden="false" customHeight="true" outlineLevel="0" collapsed="false">
      <c r="H24" s="350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3"/>
      <c r="V24" s="284" t="n">
        <f aca="false">IFERROR(I24*$E24, "")</f>
        <v>0</v>
      </c>
      <c r="W24" s="284" t="n">
        <f aca="false">IFERROR(J24*$E24, "")</f>
        <v>0</v>
      </c>
      <c r="X24" s="284" t="n">
        <f aca="false">IFERROR(K24*$E24, "")</f>
        <v>0</v>
      </c>
      <c r="Y24" s="284" t="n">
        <f aca="false">IFERROR(L24*$E24, "")</f>
        <v>0</v>
      </c>
      <c r="Z24" s="284" t="n">
        <f aca="false">IFERROR(M24*$E24, "")</f>
        <v>0</v>
      </c>
      <c r="AA24" s="284" t="n">
        <f aca="false">IFERROR(N24*$E24, "")</f>
        <v>0</v>
      </c>
      <c r="AB24" s="284" t="n">
        <f aca="false">IFERROR(O24*$E24, "")</f>
        <v>0</v>
      </c>
      <c r="AC24" s="284" t="n">
        <f aca="false">IFERROR(P24*$E24, "")</f>
        <v>0</v>
      </c>
      <c r="AD24" s="284" t="n">
        <f aca="false">IFERROR(Q24*$E24, "")</f>
        <v>0</v>
      </c>
      <c r="AE24" s="284" t="n">
        <f aca="false">IFERROR(R24*$E24, "")</f>
        <v>0</v>
      </c>
      <c r="AF24" s="284" t="n">
        <f aca="false">IFERROR(S24*$E24, "")</f>
        <v>0</v>
      </c>
      <c r="AG24" s="284" t="n">
        <f aca="false">IFERROR(T24*$E24, "")</f>
        <v>0</v>
      </c>
      <c r="AH24" s="286" t="n">
        <f aca="false">IFERROR(SUMIF($V$4:$AG$4, "RDEC", V24:AG24), "")</f>
        <v>0</v>
      </c>
      <c r="AI24" s="286" t="n">
        <f aca="false">IFERROR(SUMIF($V$4:$AG$4, "SME", V24:AG24), "")</f>
        <v>0</v>
      </c>
      <c r="AJ24" s="286" t="n">
        <f aca="false">IFERROR(SUMIF($V$4:$AG$4, "De Minimis", V24:AG24), "")</f>
        <v>0</v>
      </c>
      <c r="AK24" s="287"/>
      <c r="AL24" s="288" t="str">
        <f aca="false">IF((SUM(I24:T24)&gt;1),"ERROR","")</f>
        <v/>
      </c>
    </row>
    <row r="25" customFormat="false" ht="15" hidden="false" customHeight="true" outlineLevel="0" collapsed="false">
      <c r="H25" s="350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3"/>
      <c r="V25" s="284" t="n">
        <f aca="false">IFERROR(I25*$E25, "")</f>
        <v>0</v>
      </c>
      <c r="W25" s="284" t="n">
        <f aca="false">IFERROR(J25*$E25, "")</f>
        <v>0</v>
      </c>
      <c r="X25" s="284" t="n">
        <f aca="false">IFERROR(K25*$E25, "")</f>
        <v>0</v>
      </c>
      <c r="Y25" s="284" t="n">
        <f aca="false">IFERROR(L25*$E25, "")</f>
        <v>0</v>
      </c>
      <c r="Z25" s="284" t="n">
        <f aca="false">IFERROR(M25*$E25, "")</f>
        <v>0</v>
      </c>
      <c r="AA25" s="284" t="n">
        <f aca="false">IFERROR(N25*$E25, "")</f>
        <v>0</v>
      </c>
      <c r="AB25" s="284" t="n">
        <f aca="false">IFERROR(O25*$E25, "")</f>
        <v>0</v>
      </c>
      <c r="AC25" s="284" t="n">
        <f aca="false">IFERROR(P25*$E25, "")</f>
        <v>0</v>
      </c>
      <c r="AD25" s="284" t="n">
        <f aca="false">IFERROR(Q25*$E25, "")</f>
        <v>0</v>
      </c>
      <c r="AE25" s="284" t="n">
        <f aca="false">IFERROR(R25*$E25, "")</f>
        <v>0</v>
      </c>
      <c r="AF25" s="284" t="n">
        <f aca="false">IFERROR(S25*$E25, "")</f>
        <v>0</v>
      </c>
      <c r="AG25" s="284" t="n">
        <f aca="false">IFERROR(T25*$E25, "")</f>
        <v>0</v>
      </c>
      <c r="AH25" s="286" t="n">
        <f aca="false">IFERROR(SUMIF($V$4:$AG$4, "RDEC", V25:AG25), "")</f>
        <v>0</v>
      </c>
      <c r="AI25" s="286" t="n">
        <f aca="false">IFERROR(SUMIF($V$4:$AG$4, "SME", V25:AG25), "")</f>
        <v>0</v>
      </c>
      <c r="AJ25" s="286" t="n">
        <f aca="false">IFERROR(SUMIF($V$4:$AG$4, "De Minimis", V25:AG25), "")</f>
        <v>0</v>
      </c>
      <c r="AK25" s="287"/>
      <c r="AL25" s="288" t="str">
        <f aca="false">IF((SUM(I25:T25)&gt;1),"ERROR","")</f>
        <v/>
      </c>
    </row>
    <row r="26" customFormat="false" ht="15" hidden="false" customHeight="true" outlineLevel="0" collapsed="false">
      <c r="H26" s="350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3"/>
      <c r="V26" s="284" t="n">
        <f aca="false">IFERROR(I26*$E26, "")</f>
        <v>0</v>
      </c>
      <c r="W26" s="284" t="n">
        <f aca="false">IFERROR(J26*$E26, "")</f>
        <v>0</v>
      </c>
      <c r="X26" s="284" t="n">
        <f aca="false">IFERROR(K26*$E26, "")</f>
        <v>0</v>
      </c>
      <c r="Y26" s="284" t="n">
        <f aca="false">IFERROR(L26*$E26, "")</f>
        <v>0</v>
      </c>
      <c r="Z26" s="284" t="n">
        <f aca="false">IFERROR(M26*$E26, "")</f>
        <v>0</v>
      </c>
      <c r="AA26" s="284" t="n">
        <f aca="false">IFERROR(N26*$E26, "")</f>
        <v>0</v>
      </c>
      <c r="AB26" s="284" t="n">
        <f aca="false">IFERROR(O26*$E26, "")</f>
        <v>0</v>
      </c>
      <c r="AC26" s="284" t="n">
        <f aca="false">IFERROR(P26*$E26, "")</f>
        <v>0</v>
      </c>
      <c r="AD26" s="284" t="n">
        <f aca="false">IFERROR(Q26*$E26, "")</f>
        <v>0</v>
      </c>
      <c r="AE26" s="284" t="n">
        <f aca="false">IFERROR(R26*$E26, "")</f>
        <v>0</v>
      </c>
      <c r="AF26" s="284" t="n">
        <f aca="false">IFERROR(S26*$E26, "")</f>
        <v>0</v>
      </c>
      <c r="AG26" s="284" t="n">
        <f aca="false">IFERROR(T26*$E26, "")</f>
        <v>0</v>
      </c>
      <c r="AH26" s="286" t="n">
        <f aca="false">IFERROR(SUMIF($V$4:$AG$4, "RDEC", V26:AG26), "")</f>
        <v>0</v>
      </c>
      <c r="AI26" s="286" t="n">
        <f aca="false">IFERROR(SUMIF($V$4:$AG$4, "SME", V26:AG26), "")</f>
        <v>0</v>
      </c>
      <c r="AJ26" s="286" t="n">
        <f aca="false">IFERROR(SUMIF($V$4:$AG$4, "De Minimis", V26:AG26), "")</f>
        <v>0</v>
      </c>
      <c r="AK26" s="287"/>
      <c r="AL26" s="288" t="str">
        <f aca="false">IF((SUM(I26:T26)&gt;1),"ERROR","")</f>
        <v/>
      </c>
    </row>
    <row r="27" customFormat="false" ht="15" hidden="false" customHeight="true" outlineLevel="0" collapsed="false">
      <c r="H27" s="350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3"/>
      <c r="V27" s="284" t="n">
        <f aca="false">IFERROR(I27*$E27, "")</f>
        <v>0</v>
      </c>
      <c r="W27" s="284" t="n">
        <f aca="false">IFERROR(J27*$E27, "")</f>
        <v>0</v>
      </c>
      <c r="X27" s="284" t="n">
        <f aca="false">IFERROR(K27*$E27, "")</f>
        <v>0</v>
      </c>
      <c r="Y27" s="284" t="n">
        <f aca="false">IFERROR(L27*$E27, "")</f>
        <v>0</v>
      </c>
      <c r="Z27" s="284" t="n">
        <f aca="false">IFERROR(M27*$E27, "")</f>
        <v>0</v>
      </c>
      <c r="AA27" s="284" t="n">
        <f aca="false">IFERROR(N27*$E27, "")</f>
        <v>0</v>
      </c>
      <c r="AB27" s="284" t="n">
        <f aca="false">IFERROR(O27*$E27, "")</f>
        <v>0</v>
      </c>
      <c r="AC27" s="284" t="n">
        <f aca="false">IFERROR(P27*$E27, "")</f>
        <v>0</v>
      </c>
      <c r="AD27" s="284" t="n">
        <f aca="false">IFERROR(Q27*$E27, "")</f>
        <v>0</v>
      </c>
      <c r="AE27" s="284" t="n">
        <f aca="false">IFERROR(R27*$E27, "")</f>
        <v>0</v>
      </c>
      <c r="AF27" s="284" t="n">
        <f aca="false">IFERROR(S27*$E27, "")</f>
        <v>0</v>
      </c>
      <c r="AG27" s="284" t="n">
        <f aca="false">IFERROR(T27*$E27, "")</f>
        <v>0</v>
      </c>
      <c r="AH27" s="286" t="n">
        <f aca="false">IFERROR(SUMIF($V$4:$AG$4, "RDEC", V27:AG27), "")</f>
        <v>0</v>
      </c>
      <c r="AI27" s="286" t="n">
        <f aca="false">IFERROR(SUMIF($V$4:$AG$4, "SME", V27:AG27), "")</f>
        <v>0</v>
      </c>
      <c r="AJ27" s="286" t="n">
        <f aca="false">IFERROR(SUMIF($V$4:$AG$4, "De Minimis", V27:AG27), "")</f>
        <v>0</v>
      </c>
      <c r="AK27" s="287"/>
      <c r="AL27" s="288" t="str">
        <f aca="false">IF((SUM(I27:T27)&gt;1),"ERROR","")</f>
        <v/>
      </c>
    </row>
    <row r="28" customFormat="false" ht="15" hidden="false" customHeight="true" outlineLevel="0" collapsed="false">
      <c r="H28" s="350"/>
      <c r="I28" s="282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3"/>
      <c r="V28" s="284" t="n">
        <f aca="false">IFERROR(I28*$E28, "")</f>
        <v>0</v>
      </c>
      <c r="W28" s="284" t="n">
        <f aca="false">IFERROR(J28*$E28, "")</f>
        <v>0</v>
      </c>
      <c r="X28" s="284" t="n">
        <f aca="false">IFERROR(K28*$E28, "")</f>
        <v>0</v>
      </c>
      <c r="Y28" s="284" t="n">
        <f aca="false">IFERROR(L28*$E28, "")</f>
        <v>0</v>
      </c>
      <c r="Z28" s="284" t="n">
        <f aca="false">IFERROR(M28*$E28, "")</f>
        <v>0</v>
      </c>
      <c r="AA28" s="284" t="n">
        <f aca="false">IFERROR(N28*$E28, "")</f>
        <v>0</v>
      </c>
      <c r="AB28" s="284" t="n">
        <f aca="false">IFERROR(O28*$E28, "")</f>
        <v>0</v>
      </c>
      <c r="AC28" s="284" t="n">
        <f aca="false">IFERROR(P28*$E28, "")</f>
        <v>0</v>
      </c>
      <c r="AD28" s="284" t="n">
        <f aca="false">IFERROR(Q28*$E28, "")</f>
        <v>0</v>
      </c>
      <c r="AE28" s="284" t="n">
        <f aca="false">IFERROR(R28*$E28, "")</f>
        <v>0</v>
      </c>
      <c r="AF28" s="284" t="n">
        <f aca="false">IFERROR(S28*$E28, "")</f>
        <v>0</v>
      </c>
      <c r="AG28" s="284" t="n">
        <f aca="false">IFERROR(T28*$E28, "")</f>
        <v>0</v>
      </c>
      <c r="AH28" s="286" t="n">
        <f aca="false">IFERROR(SUMIF($V$4:$AG$4, "RDEC", V28:AG28), "")</f>
        <v>0</v>
      </c>
      <c r="AI28" s="286" t="n">
        <f aca="false">IFERROR(SUMIF($V$4:$AG$4, "SME", V28:AG28), "")</f>
        <v>0</v>
      </c>
      <c r="AJ28" s="286" t="n">
        <f aca="false">IFERROR(SUMIF($V$4:$AG$4, "De Minimis", V28:AG28), "")</f>
        <v>0</v>
      </c>
      <c r="AK28" s="287"/>
      <c r="AL28" s="288" t="str">
        <f aca="false">IF((SUM(I28:T28)&gt;1),"ERROR","")</f>
        <v/>
      </c>
    </row>
    <row r="29" customFormat="false" ht="15" hidden="false" customHeight="true" outlineLevel="0" collapsed="false">
      <c r="H29" s="350"/>
      <c r="I29" s="282"/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3"/>
      <c r="V29" s="284" t="n">
        <f aca="false">IFERROR(I29*$E29, "")</f>
        <v>0</v>
      </c>
      <c r="W29" s="284" t="n">
        <f aca="false">IFERROR(J29*$E29, "")</f>
        <v>0</v>
      </c>
      <c r="X29" s="284" t="n">
        <f aca="false">IFERROR(K29*$E29, "")</f>
        <v>0</v>
      </c>
      <c r="Y29" s="284" t="n">
        <f aca="false">IFERROR(L29*$E29, "")</f>
        <v>0</v>
      </c>
      <c r="Z29" s="284" t="n">
        <f aca="false">IFERROR(M29*$E29, "")</f>
        <v>0</v>
      </c>
      <c r="AA29" s="284" t="n">
        <f aca="false">IFERROR(N29*$E29, "")</f>
        <v>0</v>
      </c>
      <c r="AB29" s="284" t="n">
        <f aca="false">IFERROR(O29*$E29, "")</f>
        <v>0</v>
      </c>
      <c r="AC29" s="284" t="n">
        <f aca="false">IFERROR(P29*$E29, "")</f>
        <v>0</v>
      </c>
      <c r="AD29" s="284" t="n">
        <f aca="false">IFERROR(Q29*$E29, "")</f>
        <v>0</v>
      </c>
      <c r="AE29" s="284" t="n">
        <f aca="false">IFERROR(R29*$E29, "")</f>
        <v>0</v>
      </c>
      <c r="AF29" s="284" t="n">
        <f aca="false">IFERROR(S29*$E29, "")</f>
        <v>0</v>
      </c>
      <c r="AG29" s="284" t="n">
        <f aca="false">IFERROR(T29*$E29, "")</f>
        <v>0</v>
      </c>
      <c r="AH29" s="286" t="n">
        <f aca="false">IFERROR(SUMIF($V$4:$AG$4, "RDEC", V29:AG29), "")</f>
        <v>0</v>
      </c>
      <c r="AI29" s="286" t="n">
        <f aca="false">IFERROR(SUMIF($V$4:$AG$4, "SME", V29:AG29), "")</f>
        <v>0</v>
      </c>
      <c r="AJ29" s="286" t="n">
        <f aca="false">IFERROR(SUMIF($V$4:$AG$4, "De Minimis", V29:AG29), "")</f>
        <v>0</v>
      </c>
      <c r="AK29" s="287"/>
      <c r="AL29" s="288" t="str">
        <f aca="false">IF((SUM(I29:T29)&gt;1),"ERROR","")</f>
        <v/>
      </c>
    </row>
    <row r="30" customFormat="false" ht="15" hidden="false" customHeight="true" outlineLevel="0" collapsed="false">
      <c r="H30" s="350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3"/>
      <c r="V30" s="284" t="n">
        <f aca="false">IFERROR(I30*$E30, "")</f>
        <v>0</v>
      </c>
      <c r="W30" s="284" t="n">
        <f aca="false">IFERROR(J30*$E30, "")</f>
        <v>0</v>
      </c>
      <c r="X30" s="284" t="n">
        <f aca="false">IFERROR(K30*$E30, "")</f>
        <v>0</v>
      </c>
      <c r="Y30" s="284" t="n">
        <f aca="false">IFERROR(L30*$E30, "")</f>
        <v>0</v>
      </c>
      <c r="Z30" s="284" t="n">
        <f aca="false">IFERROR(M30*$E30, "")</f>
        <v>0</v>
      </c>
      <c r="AA30" s="284" t="n">
        <f aca="false">IFERROR(N30*$E30, "")</f>
        <v>0</v>
      </c>
      <c r="AB30" s="284" t="n">
        <f aca="false">IFERROR(O30*$E30, "")</f>
        <v>0</v>
      </c>
      <c r="AC30" s="284" t="n">
        <f aca="false">IFERROR(P30*$E30, "")</f>
        <v>0</v>
      </c>
      <c r="AD30" s="284" t="n">
        <f aca="false">IFERROR(Q30*$E30, "")</f>
        <v>0</v>
      </c>
      <c r="AE30" s="284" t="n">
        <f aca="false">IFERROR(R30*$E30, "")</f>
        <v>0</v>
      </c>
      <c r="AF30" s="284" t="n">
        <f aca="false">IFERROR(S30*$E30, "")</f>
        <v>0</v>
      </c>
      <c r="AG30" s="284" t="n">
        <f aca="false">IFERROR(T30*$E30, "")</f>
        <v>0</v>
      </c>
      <c r="AH30" s="286" t="n">
        <f aca="false">IFERROR(SUMIF($V$4:$AG$4, "RDEC", V30:AG30), "")</f>
        <v>0</v>
      </c>
      <c r="AI30" s="286" t="n">
        <f aca="false">IFERROR(SUMIF($V$4:$AG$4, "SME", V30:AG30), "")</f>
        <v>0</v>
      </c>
      <c r="AJ30" s="286" t="n">
        <f aca="false">IFERROR(SUMIF($V$4:$AG$4, "De Minimis", V30:AG30), "")</f>
        <v>0</v>
      </c>
      <c r="AK30" s="287"/>
      <c r="AL30" s="288" t="str">
        <f aca="false">IF((SUM(I30:T30)&gt;1),"ERROR","")</f>
        <v/>
      </c>
    </row>
    <row r="31" customFormat="false" ht="15" hidden="false" customHeight="true" outlineLevel="0" collapsed="false">
      <c r="H31" s="350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3"/>
      <c r="V31" s="284" t="n">
        <f aca="false">IFERROR(I31*$E31, "")</f>
        <v>0</v>
      </c>
      <c r="W31" s="284" t="n">
        <f aca="false">IFERROR(J31*$E31, "")</f>
        <v>0</v>
      </c>
      <c r="X31" s="284" t="n">
        <f aca="false">IFERROR(K31*$E31, "")</f>
        <v>0</v>
      </c>
      <c r="Y31" s="284" t="n">
        <f aca="false">IFERROR(L31*$E31, "")</f>
        <v>0</v>
      </c>
      <c r="Z31" s="284" t="n">
        <f aca="false">IFERROR(M31*$E31, "")</f>
        <v>0</v>
      </c>
      <c r="AA31" s="284" t="n">
        <f aca="false">IFERROR(N31*$E31, "")</f>
        <v>0</v>
      </c>
      <c r="AB31" s="284" t="n">
        <f aca="false">IFERROR(O31*$E31, "")</f>
        <v>0</v>
      </c>
      <c r="AC31" s="284" t="n">
        <f aca="false">IFERROR(P31*$E31, "")</f>
        <v>0</v>
      </c>
      <c r="AD31" s="284" t="n">
        <f aca="false">IFERROR(Q31*$E31, "")</f>
        <v>0</v>
      </c>
      <c r="AE31" s="284" t="n">
        <f aca="false">IFERROR(R31*$E31, "")</f>
        <v>0</v>
      </c>
      <c r="AF31" s="284" t="n">
        <f aca="false">IFERROR(S31*$E31, "")</f>
        <v>0</v>
      </c>
      <c r="AG31" s="284" t="n">
        <f aca="false">IFERROR(T31*$E31, "")</f>
        <v>0</v>
      </c>
      <c r="AH31" s="286" t="n">
        <f aca="false">IFERROR(SUMIF($V$4:$AG$4, "RDEC", V31:AG31), "")</f>
        <v>0</v>
      </c>
      <c r="AI31" s="286" t="n">
        <f aca="false">IFERROR(SUMIF($V$4:$AG$4, "SME", V31:AG31), "")</f>
        <v>0</v>
      </c>
      <c r="AJ31" s="286" t="n">
        <f aca="false">IFERROR(SUMIF($V$4:$AG$4, "De Minimis", V31:AG31), "")</f>
        <v>0</v>
      </c>
      <c r="AK31" s="287"/>
      <c r="AL31" s="288" t="str">
        <f aca="false">IF((SUM(I31:T31)&gt;1),"ERROR","")</f>
        <v/>
      </c>
    </row>
    <row r="32" customFormat="false" ht="15" hidden="false" customHeight="true" outlineLevel="0" collapsed="false">
      <c r="H32" s="350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3"/>
      <c r="V32" s="284" t="n">
        <f aca="false">IFERROR(I32*$E32, "")</f>
        <v>0</v>
      </c>
      <c r="W32" s="284" t="n">
        <f aca="false">IFERROR(J32*$E32, "")</f>
        <v>0</v>
      </c>
      <c r="X32" s="284" t="n">
        <f aca="false">IFERROR(K32*$E32, "")</f>
        <v>0</v>
      </c>
      <c r="Y32" s="284" t="n">
        <f aca="false">IFERROR(L32*$E32, "")</f>
        <v>0</v>
      </c>
      <c r="Z32" s="284" t="n">
        <f aca="false">IFERROR(M32*$E32, "")</f>
        <v>0</v>
      </c>
      <c r="AA32" s="284" t="n">
        <f aca="false">IFERROR(N32*$E32, "")</f>
        <v>0</v>
      </c>
      <c r="AB32" s="284" t="n">
        <f aca="false">IFERROR(O32*$E32, "")</f>
        <v>0</v>
      </c>
      <c r="AC32" s="284" t="n">
        <f aca="false">IFERROR(P32*$E32, "")</f>
        <v>0</v>
      </c>
      <c r="AD32" s="284" t="n">
        <f aca="false">IFERROR(Q32*$E32, "")</f>
        <v>0</v>
      </c>
      <c r="AE32" s="284" t="n">
        <f aca="false">IFERROR(R32*$E32, "")</f>
        <v>0</v>
      </c>
      <c r="AF32" s="284" t="n">
        <f aca="false">IFERROR(S32*$E32, "")</f>
        <v>0</v>
      </c>
      <c r="AG32" s="284" t="n">
        <f aca="false">IFERROR(T32*$E32, "")</f>
        <v>0</v>
      </c>
      <c r="AH32" s="286" t="n">
        <f aca="false">IFERROR(SUMIF($V$4:$AG$4, "RDEC", V32:AG32), "")</f>
        <v>0</v>
      </c>
      <c r="AI32" s="286" t="n">
        <f aca="false">IFERROR(SUMIF($V$4:$AG$4, "SME", V32:AG32), "")</f>
        <v>0</v>
      </c>
      <c r="AJ32" s="286" t="n">
        <f aca="false">IFERROR(SUMIF($V$4:$AG$4, "De Minimis", V32:AG32), "")</f>
        <v>0</v>
      </c>
      <c r="AK32" s="287"/>
      <c r="AL32" s="288" t="str">
        <f aca="false">IF((SUM(I32:T32)&gt;1),"ERROR","")</f>
        <v/>
      </c>
    </row>
    <row r="33" customFormat="false" ht="15" hidden="false" customHeight="true" outlineLevel="0" collapsed="false">
      <c r="H33" s="350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3"/>
      <c r="V33" s="284" t="n">
        <f aca="false">IFERROR(I33*$E33, "")</f>
        <v>0</v>
      </c>
      <c r="W33" s="284" t="n">
        <f aca="false">IFERROR(J33*$E33, "")</f>
        <v>0</v>
      </c>
      <c r="X33" s="284" t="n">
        <f aca="false">IFERROR(K33*$E33, "")</f>
        <v>0</v>
      </c>
      <c r="Y33" s="284" t="n">
        <f aca="false">IFERROR(L33*$E33, "")</f>
        <v>0</v>
      </c>
      <c r="Z33" s="284" t="n">
        <f aca="false">IFERROR(M33*$E33, "")</f>
        <v>0</v>
      </c>
      <c r="AA33" s="284" t="n">
        <f aca="false">IFERROR(N33*$E33, "")</f>
        <v>0</v>
      </c>
      <c r="AB33" s="284" t="n">
        <f aca="false">IFERROR(O33*$E33, "")</f>
        <v>0</v>
      </c>
      <c r="AC33" s="284" t="n">
        <f aca="false">IFERROR(P33*$E33, "")</f>
        <v>0</v>
      </c>
      <c r="AD33" s="284" t="n">
        <f aca="false">IFERROR(Q33*$E33, "")</f>
        <v>0</v>
      </c>
      <c r="AE33" s="284" t="n">
        <f aca="false">IFERROR(R33*$E33, "")</f>
        <v>0</v>
      </c>
      <c r="AF33" s="284" t="n">
        <f aca="false">IFERROR(S33*$E33, "")</f>
        <v>0</v>
      </c>
      <c r="AG33" s="284" t="n">
        <f aca="false">IFERROR(T33*$E33, "")</f>
        <v>0</v>
      </c>
      <c r="AH33" s="286" t="n">
        <f aca="false">IFERROR(SUMIF($V$4:$AG$4, "RDEC", V33:AG33), "")</f>
        <v>0</v>
      </c>
      <c r="AI33" s="286" t="n">
        <f aca="false">IFERROR(SUMIF($V$4:$AG$4, "SME", V33:AG33), "")</f>
        <v>0</v>
      </c>
      <c r="AJ33" s="286" t="n">
        <f aca="false">IFERROR(SUMIF($V$4:$AG$4, "De Minimis", V33:AG33), "")</f>
        <v>0</v>
      </c>
      <c r="AK33" s="287"/>
      <c r="AL33" s="288" t="str">
        <f aca="false">IF((SUM(I33:T33)&gt;1),"ERROR","")</f>
        <v/>
      </c>
    </row>
    <row r="34" customFormat="false" ht="15" hidden="false" customHeight="true" outlineLevel="0" collapsed="false">
      <c r="H34" s="350"/>
      <c r="I34" s="282"/>
      <c r="J34" s="282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3"/>
      <c r="V34" s="284" t="n">
        <f aca="false">IFERROR(I34*$E34, "")</f>
        <v>0</v>
      </c>
      <c r="W34" s="284" t="n">
        <f aca="false">IFERROR(J34*$E34, "")</f>
        <v>0</v>
      </c>
      <c r="X34" s="284" t="n">
        <f aca="false">IFERROR(K34*$E34, "")</f>
        <v>0</v>
      </c>
      <c r="Y34" s="284" t="n">
        <f aca="false">IFERROR(L34*$E34, "")</f>
        <v>0</v>
      </c>
      <c r="Z34" s="284" t="n">
        <f aca="false">IFERROR(M34*$E34, "")</f>
        <v>0</v>
      </c>
      <c r="AA34" s="284" t="n">
        <f aca="false">IFERROR(N34*$E34, "")</f>
        <v>0</v>
      </c>
      <c r="AB34" s="284" t="n">
        <f aca="false">IFERROR(O34*$E34, "")</f>
        <v>0</v>
      </c>
      <c r="AC34" s="284" t="n">
        <f aca="false">IFERROR(P34*$E34, "")</f>
        <v>0</v>
      </c>
      <c r="AD34" s="284" t="n">
        <f aca="false">IFERROR(Q34*$E34, "")</f>
        <v>0</v>
      </c>
      <c r="AE34" s="284" t="n">
        <f aca="false">IFERROR(R34*$E34, "")</f>
        <v>0</v>
      </c>
      <c r="AF34" s="284" t="n">
        <f aca="false">IFERROR(S34*$E34, "")</f>
        <v>0</v>
      </c>
      <c r="AG34" s="284" t="n">
        <f aca="false">IFERROR(T34*$E34, "")</f>
        <v>0</v>
      </c>
      <c r="AH34" s="286" t="n">
        <f aca="false">IFERROR(SUMIF($V$4:$AG$4, "RDEC", V34:AG34), "")</f>
        <v>0</v>
      </c>
      <c r="AI34" s="286" t="n">
        <f aca="false">IFERROR(SUMIF($V$4:$AG$4, "SME", V34:AG34), "")</f>
        <v>0</v>
      </c>
      <c r="AJ34" s="286" t="n">
        <f aca="false">IFERROR(SUMIF($V$4:$AG$4, "De Minimis", V34:AG34), "")</f>
        <v>0</v>
      </c>
      <c r="AK34" s="303"/>
      <c r="AL34" s="288" t="str">
        <f aca="false">IF((SUM(I34:T34)&gt;1),"ERROR","")</f>
        <v/>
      </c>
    </row>
    <row r="35" customFormat="false" ht="15" hidden="false" customHeight="true" outlineLevel="0" collapsed="false">
      <c r="H35" s="350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3"/>
      <c r="V35" s="284" t="n">
        <f aca="false">IFERROR(I35*$E35, "")</f>
        <v>0</v>
      </c>
      <c r="W35" s="284" t="n">
        <f aca="false">IFERROR(J35*$E35, "")</f>
        <v>0</v>
      </c>
      <c r="X35" s="284" t="n">
        <f aca="false">IFERROR(K35*$E35, "")</f>
        <v>0</v>
      </c>
      <c r="Y35" s="284" t="n">
        <f aca="false">IFERROR(L35*$E35, "")</f>
        <v>0</v>
      </c>
      <c r="Z35" s="284" t="n">
        <f aca="false">IFERROR(M35*$E35, "")</f>
        <v>0</v>
      </c>
      <c r="AA35" s="284" t="n">
        <f aca="false">IFERROR(N35*$E35, "")</f>
        <v>0</v>
      </c>
      <c r="AB35" s="284" t="n">
        <f aca="false">IFERROR(O35*$E35, "")</f>
        <v>0</v>
      </c>
      <c r="AC35" s="284" t="n">
        <f aca="false">IFERROR(P35*$E35, "")</f>
        <v>0</v>
      </c>
      <c r="AD35" s="284" t="n">
        <f aca="false">IFERROR(Q35*$E35, "")</f>
        <v>0</v>
      </c>
      <c r="AE35" s="284" t="n">
        <f aca="false">IFERROR(R35*$E35, "")</f>
        <v>0</v>
      </c>
      <c r="AF35" s="284" t="n">
        <f aca="false">IFERROR(S35*$E35, "")</f>
        <v>0</v>
      </c>
      <c r="AG35" s="284" t="n">
        <f aca="false">IFERROR(T35*$E35, "")</f>
        <v>0</v>
      </c>
      <c r="AH35" s="286" t="n">
        <f aca="false">IFERROR(SUMIF($V$4:$AG$4, "RDEC", V35:AG35), "")</f>
        <v>0</v>
      </c>
      <c r="AI35" s="286" t="n">
        <f aca="false">IFERROR(SUMIF($V$4:$AG$4, "SME", V35:AG35), "")</f>
        <v>0</v>
      </c>
      <c r="AJ35" s="286" t="n">
        <f aca="false">IFERROR(SUMIF($V$4:$AG$4, "De Minimis", V35:AG35), "")</f>
        <v>0</v>
      </c>
      <c r="AK35" s="303"/>
      <c r="AL35" s="288" t="str">
        <f aca="false">IF((SUM(I35:T35)&gt;1),"ERROR","")</f>
        <v/>
      </c>
    </row>
    <row r="36" customFormat="false" ht="15" hidden="false" customHeight="true" outlineLevel="0" collapsed="false">
      <c r="H36" s="350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3"/>
      <c r="V36" s="284" t="n">
        <f aca="false">IFERROR(I36*$E36, "")</f>
        <v>0</v>
      </c>
      <c r="W36" s="284" t="n">
        <f aca="false">IFERROR(J36*$E36, "")</f>
        <v>0</v>
      </c>
      <c r="X36" s="284" t="n">
        <f aca="false">IFERROR(K36*$E36, "")</f>
        <v>0</v>
      </c>
      <c r="Y36" s="284" t="n">
        <f aca="false">IFERROR(L36*$E36, "")</f>
        <v>0</v>
      </c>
      <c r="Z36" s="284" t="n">
        <f aca="false">IFERROR(M36*$E36, "")</f>
        <v>0</v>
      </c>
      <c r="AA36" s="284" t="n">
        <f aca="false">IFERROR(N36*$E36, "")</f>
        <v>0</v>
      </c>
      <c r="AB36" s="284" t="n">
        <f aca="false">IFERROR(O36*$E36, "")</f>
        <v>0</v>
      </c>
      <c r="AC36" s="284" t="n">
        <f aca="false">IFERROR(P36*$E36, "")</f>
        <v>0</v>
      </c>
      <c r="AD36" s="284" t="n">
        <f aca="false">IFERROR(Q36*$E36, "")</f>
        <v>0</v>
      </c>
      <c r="AE36" s="284" t="n">
        <f aca="false">IFERROR(R36*$E36, "")</f>
        <v>0</v>
      </c>
      <c r="AF36" s="284" t="n">
        <f aca="false">IFERROR(S36*$E36, "")</f>
        <v>0</v>
      </c>
      <c r="AG36" s="284" t="n">
        <f aca="false">IFERROR(T36*$E36, "")</f>
        <v>0</v>
      </c>
      <c r="AH36" s="286" t="n">
        <f aca="false">IFERROR(SUMIF($V$4:$AG$4, "RDEC", V36:AG36), "")</f>
        <v>0</v>
      </c>
      <c r="AI36" s="286" t="n">
        <f aca="false">IFERROR(SUMIF($V$4:$AG$4, "SME", V36:AG36), "")</f>
        <v>0</v>
      </c>
      <c r="AJ36" s="286" t="n">
        <f aca="false">IFERROR(SUMIF($V$4:$AG$4, "De Minimis", V36:AG36), "")</f>
        <v>0</v>
      </c>
      <c r="AK36" s="268"/>
      <c r="AL36" s="288" t="str">
        <f aca="false">IF((SUM(I36:T36)&gt;1),"ERROR","")</f>
        <v/>
      </c>
    </row>
    <row r="37" customFormat="false" ht="15" hidden="false" customHeight="true" outlineLevel="0" collapsed="false">
      <c r="H37" s="350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3"/>
      <c r="V37" s="284" t="n">
        <f aca="false">IFERROR(I37*$E37, "")</f>
        <v>0</v>
      </c>
      <c r="W37" s="284" t="n">
        <f aca="false">IFERROR(J37*$E37, "")</f>
        <v>0</v>
      </c>
      <c r="X37" s="284" t="n">
        <f aca="false">IFERROR(K37*$E37, "")</f>
        <v>0</v>
      </c>
      <c r="Y37" s="284" t="n">
        <f aca="false">IFERROR(L37*$E37, "")</f>
        <v>0</v>
      </c>
      <c r="Z37" s="284" t="n">
        <f aca="false">IFERROR(M37*$E37, "")</f>
        <v>0</v>
      </c>
      <c r="AA37" s="284" t="n">
        <f aca="false">IFERROR(N37*$E37, "")</f>
        <v>0</v>
      </c>
      <c r="AB37" s="284" t="n">
        <f aca="false">IFERROR(O37*$E37, "")</f>
        <v>0</v>
      </c>
      <c r="AC37" s="284" t="n">
        <f aca="false">IFERROR(P37*$E37, "")</f>
        <v>0</v>
      </c>
      <c r="AD37" s="284" t="n">
        <f aca="false">IFERROR(Q37*$E37, "")</f>
        <v>0</v>
      </c>
      <c r="AE37" s="284" t="n">
        <f aca="false">IFERROR(R37*$E37, "")</f>
        <v>0</v>
      </c>
      <c r="AF37" s="284" t="n">
        <f aca="false">IFERROR(S37*$E37, "")</f>
        <v>0</v>
      </c>
      <c r="AG37" s="284" t="n">
        <f aca="false">IFERROR(T37*$E37, "")</f>
        <v>0</v>
      </c>
      <c r="AH37" s="286" t="n">
        <f aca="false">IFERROR(SUMIF($V$4:$AG$4, "RDEC", V37:AG37), "")</f>
        <v>0</v>
      </c>
      <c r="AI37" s="286" t="n">
        <f aca="false">IFERROR(SUMIF($V$4:$AG$4, "SME", V37:AG37), "")</f>
        <v>0</v>
      </c>
      <c r="AJ37" s="286" t="n">
        <f aca="false">IFERROR(SUMIF($V$4:$AG$4, "De Minimis", V37:AG37), "")</f>
        <v>0</v>
      </c>
      <c r="AK37" s="287"/>
      <c r="AL37" s="288" t="str">
        <f aca="false">IF((SUM(I37:T37)&gt;1),"ERROR","")</f>
        <v/>
      </c>
    </row>
    <row r="38" customFormat="false" ht="15" hidden="false" customHeight="true" outlineLevel="0" collapsed="false">
      <c r="H38" s="350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3"/>
      <c r="V38" s="284" t="n">
        <f aca="false">IFERROR(I38*$E38, "")</f>
        <v>0</v>
      </c>
      <c r="W38" s="284" t="n">
        <f aca="false">IFERROR(J38*$E38, "")</f>
        <v>0</v>
      </c>
      <c r="X38" s="284" t="n">
        <f aca="false">IFERROR(K38*$E38, "")</f>
        <v>0</v>
      </c>
      <c r="Y38" s="284" t="n">
        <f aca="false">IFERROR(L38*$E38, "")</f>
        <v>0</v>
      </c>
      <c r="Z38" s="284" t="n">
        <f aca="false">IFERROR(M38*$E38, "")</f>
        <v>0</v>
      </c>
      <c r="AA38" s="284" t="n">
        <f aca="false">IFERROR(N38*$E38, "")</f>
        <v>0</v>
      </c>
      <c r="AB38" s="284" t="n">
        <f aca="false">IFERROR(O38*$E38, "")</f>
        <v>0</v>
      </c>
      <c r="AC38" s="284" t="n">
        <f aca="false">IFERROR(P38*$E38, "")</f>
        <v>0</v>
      </c>
      <c r="AD38" s="284" t="n">
        <f aca="false">IFERROR(Q38*$E38, "")</f>
        <v>0</v>
      </c>
      <c r="AE38" s="284" t="n">
        <f aca="false">IFERROR(R38*$E38, "")</f>
        <v>0</v>
      </c>
      <c r="AF38" s="284" t="n">
        <f aca="false">IFERROR(S38*$E38, "")</f>
        <v>0</v>
      </c>
      <c r="AG38" s="284" t="n">
        <f aca="false">IFERROR(T38*$E38, "")</f>
        <v>0</v>
      </c>
      <c r="AH38" s="286" t="n">
        <f aca="false">IFERROR(SUMIF($V$4:$AG$4, "RDEC", V38:AG38), "")</f>
        <v>0</v>
      </c>
      <c r="AI38" s="286" t="n">
        <f aca="false">IFERROR(SUMIF($V$4:$AG$4, "SME", V38:AG38), "")</f>
        <v>0</v>
      </c>
      <c r="AJ38" s="286" t="n">
        <f aca="false">IFERROR(SUMIF($V$4:$AG$4, "De Minimis", V38:AG38), "")</f>
        <v>0</v>
      </c>
      <c r="AK38" s="287"/>
      <c r="AL38" s="288" t="str">
        <f aca="false">IF((SUM(I38:T38)&gt;1),"ERROR","")</f>
        <v/>
      </c>
    </row>
    <row r="39" customFormat="false" ht="15" hidden="false" customHeight="true" outlineLevel="0" collapsed="false">
      <c r="H39" s="350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3"/>
      <c r="V39" s="284" t="n">
        <f aca="false">IFERROR(I39*$E39, "")</f>
        <v>0</v>
      </c>
      <c r="W39" s="284" t="n">
        <f aca="false">IFERROR(J39*$E39, "")</f>
        <v>0</v>
      </c>
      <c r="X39" s="284" t="n">
        <f aca="false">IFERROR(K39*$E39, "")</f>
        <v>0</v>
      </c>
      <c r="Y39" s="284" t="n">
        <f aca="false">IFERROR(L39*$E39, "")</f>
        <v>0</v>
      </c>
      <c r="Z39" s="284" t="n">
        <f aca="false">IFERROR(M39*$E39, "")</f>
        <v>0</v>
      </c>
      <c r="AA39" s="284" t="n">
        <f aca="false">IFERROR(N39*$E39, "")</f>
        <v>0</v>
      </c>
      <c r="AB39" s="284" t="n">
        <f aca="false">IFERROR(O39*$E39, "")</f>
        <v>0</v>
      </c>
      <c r="AC39" s="284" t="n">
        <f aca="false">IFERROR(P39*$E39, "")</f>
        <v>0</v>
      </c>
      <c r="AD39" s="284" t="n">
        <f aca="false">IFERROR(Q39*$E39, "")</f>
        <v>0</v>
      </c>
      <c r="AE39" s="284" t="n">
        <f aca="false">IFERROR(R39*$E39, "")</f>
        <v>0</v>
      </c>
      <c r="AF39" s="284" t="n">
        <f aca="false">IFERROR(S39*$E39, "")</f>
        <v>0</v>
      </c>
      <c r="AG39" s="284" t="n">
        <f aca="false">IFERROR(T39*$E39, "")</f>
        <v>0</v>
      </c>
      <c r="AH39" s="286" t="n">
        <f aca="false">IFERROR(SUMIF($V$4:$AG$4, "RDEC", V39:AG39), "")</f>
        <v>0</v>
      </c>
      <c r="AI39" s="286" t="n">
        <f aca="false">IFERROR(SUMIF($V$4:$AG$4, "SME", V39:AG39), "")</f>
        <v>0</v>
      </c>
      <c r="AJ39" s="286" t="n">
        <f aca="false">IFERROR(SUMIF($V$4:$AG$4, "De Minimis", V39:AG39), "")</f>
        <v>0</v>
      </c>
      <c r="AK39" s="287"/>
      <c r="AL39" s="288" t="str">
        <f aca="false">IF((SUM(I39:T39)&gt;1),"ERROR","")</f>
        <v/>
      </c>
    </row>
    <row r="40" customFormat="false" ht="15" hidden="false" customHeight="true" outlineLevel="0" collapsed="false">
      <c r="H40" s="350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3"/>
      <c r="V40" s="284" t="n">
        <f aca="false">IFERROR(I40*$E40, "")</f>
        <v>0</v>
      </c>
      <c r="W40" s="284" t="n">
        <f aca="false">IFERROR(J40*$E40, "")</f>
        <v>0</v>
      </c>
      <c r="X40" s="284" t="n">
        <f aca="false">IFERROR(K40*$E40, "")</f>
        <v>0</v>
      </c>
      <c r="Y40" s="284" t="n">
        <f aca="false">IFERROR(L40*$E40, "")</f>
        <v>0</v>
      </c>
      <c r="Z40" s="284" t="n">
        <f aca="false">IFERROR(M40*$E40, "")</f>
        <v>0</v>
      </c>
      <c r="AA40" s="284" t="n">
        <f aca="false">IFERROR(N40*$E40, "")</f>
        <v>0</v>
      </c>
      <c r="AB40" s="284" t="n">
        <f aca="false">IFERROR(O40*$E40, "")</f>
        <v>0</v>
      </c>
      <c r="AC40" s="284" t="n">
        <f aca="false">IFERROR(P40*$E40, "")</f>
        <v>0</v>
      </c>
      <c r="AD40" s="284" t="n">
        <f aca="false">IFERROR(Q40*$E40, "")</f>
        <v>0</v>
      </c>
      <c r="AE40" s="284" t="n">
        <f aca="false">IFERROR(R40*$E40, "")</f>
        <v>0</v>
      </c>
      <c r="AF40" s="284" t="n">
        <f aca="false">IFERROR(S40*$E40, "")</f>
        <v>0</v>
      </c>
      <c r="AG40" s="284" t="n">
        <f aca="false">IFERROR(T40*$E40, "")</f>
        <v>0</v>
      </c>
      <c r="AH40" s="286" t="n">
        <f aca="false">IFERROR(SUMIF($V$4:$AG$4, "RDEC", V40:AG40), "")</f>
        <v>0</v>
      </c>
      <c r="AI40" s="286" t="n">
        <f aca="false">IFERROR(SUMIF($V$4:$AG$4, "SME", V40:AG40), "")</f>
        <v>0</v>
      </c>
      <c r="AJ40" s="286" t="n">
        <f aca="false">IFERROR(SUMIF($V$4:$AG$4, "De Minimis", V40:AG40), "")</f>
        <v>0</v>
      </c>
      <c r="AK40" s="287"/>
      <c r="AL40" s="288" t="str">
        <f aca="false">IF((SUM(I40:T40)&gt;1),"ERROR","")</f>
        <v/>
      </c>
    </row>
    <row r="41" customFormat="false" ht="15" hidden="false" customHeight="true" outlineLevel="0" collapsed="false">
      <c r="H41" s="350"/>
      <c r="I41" s="282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3"/>
      <c r="V41" s="284" t="n">
        <f aca="false">IFERROR(I41*$E41, "")</f>
        <v>0</v>
      </c>
      <c r="W41" s="284" t="n">
        <f aca="false">IFERROR(J41*$E41, "")</f>
        <v>0</v>
      </c>
      <c r="X41" s="284" t="n">
        <f aca="false">IFERROR(K41*$E41, "")</f>
        <v>0</v>
      </c>
      <c r="Y41" s="284" t="n">
        <f aca="false">IFERROR(L41*$E41, "")</f>
        <v>0</v>
      </c>
      <c r="Z41" s="284" t="n">
        <f aca="false">IFERROR(M41*$E41, "")</f>
        <v>0</v>
      </c>
      <c r="AA41" s="284" t="n">
        <f aca="false">IFERROR(N41*$E41, "")</f>
        <v>0</v>
      </c>
      <c r="AB41" s="284" t="n">
        <f aca="false">IFERROR(O41*$E41, "")</f>
        <v>0</v>
      </c>
      <c r="AC41" s="284" t="n">
        <f aca="false">IFERROR(P41*$E41, "")</f>
        <v>0</v>
      </c>
      <c r="AD41" s="284" t="n">
        <f aca="false">IFERROR(Q41*$E41, "")</f>
        <v>0</v>
      </c>
      <c r="AE41" s="284" t="n">
        <f aca="false">IFERROR(R41*$E41, "")</f>
        <v>0</v>
      </c>
      <c r="AF41" s="284" t="n">
        <f aca="false">IFERROR(S41*$E41, "")</f>
        <v>0</v>
      </c>
      <c r="AG41" s="284" t="n">
        <f aca="false">IFERROR(T41*$E41, "")</f>
        <v>0</v>
      </c>
      <c r="AH41" s="286" t="n">
        <f aca="false">IFERROR(SUMIF($V$4:$AG$4, "RDEC", V41:AG41), "")</f>
        <v>0</v>
      </c>
      <c r="AI41" s="286" t="n">
        <f aca="false">IFERROR(SUMIF($V$4:$AG$4, "SME", V41:AG41), "")</f>
        <v>0</v>
      </c>
      <c r="AJ41" s="286" t="n">
        <f aca="false">IFERROR(SUMIF($V$4:$AG$4, "De Minimis", V41:AG41), "")</f>
        <v>0</v>
      </c>
      <c r="AK41" s="287"/>
      <c r="AL41" s="288" t="str">
        <f aca="false">IF((SUM(I41:T41)&gt;1),"ERROR","")</f>
        <v/>
      </c>
    </row>
    <row r="42" customFormat="false" ht="15" hidden="false" customHeight="true" outlineLevel="0" collapsed="false">
      <c r="H42" s="350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3"/>
      <c r="V42" s="284" t="n">
        <f aca="false">IFERROR(I42*$E42, "")</f>
        <v>0</v>
      </c>
      <c r="W42" s="284" t="n">
        <f aca="false">IFERROR(J42*$E42, "")</f>
        <v>0</v>
      </c>
      <c r="X42" s="284" t="n">
        <f aca="false">IFERROR(K42*$E42, "")</f>
        <v>0</v>
      </c>
      <c r="Y42" s="284" t="n">
        <f aca="false">IFERROR(L42*$E42, "")</f>
        <v>0</v>
      </c>
      <c r="Z42" s="284" t="n">
        <f aca="false">IFERROR(M42*$E42, "")</f>
        <v>0</v>
      </c>
      <c r="AA42" s="284" t="n">
        <f aca="false">IFERROR(N42*$E42, "")</f>
        <v>0</v>
      </c>
      <c r="AB42" s="284" t="n">
        <f aca="false">IFERROR(O42*$E42, "")</f>
        <v>0</v>
      </c>
      <c r="AC42" s="284" t="n">
        <f aca="false">IFERROR(P42*$E42, "")</f>
        <v>0</v>
      </c>
      <c r="AD42" s="284" t="n">
        <f aca="false">IFERROR(Q42*$E42, "")</f>
        <v>0</v>
      </c>
      <c r="AE42" s="284" t="n">
        <f aca="false">IFERROR(R42*$E42, "")</f>
        <v>0</v>
      </c>
      <c r="AF42" s="284" t="n">
        <f aca="false">IFERROR(S42*$E42, "")</f>
        <v>0</v>
      </c>
      <c r="AG42" s="284" t="n">
        <f aca="false">IFERROR(T42*$E42, "")</f>
        <v>0</v>
      </c>
      <c r="AH42" s="286" t="n">
        <f aca="false">IFERROR(SUMIF($V$4:$AG$4, "RDEC", V42:AG42), "")</f>
        <v>0</v>
      </c>
      <c r="AI42" s="286" t="n">
        <f aca="false">IFERROR(SUMIF($V$4:$AG$4, "SME", V42:AG42), "")</f>
        <v>0</v>
      </c>
      <c r="AJ42" s="286" t="n">
        <f aca="false">IFERROR(SUMIF($V$4:$AG$4, "De Minimis", V42:AG42), "")</f>
        <v>0</v>
      </c>
      <c r="AK42" s="287"/>
      <c r="AL42" s="288" t="str">
        <f aca="false">IF((SUM(I42:T42)&gt;1),"ERROR","")</f>
        <v/>
      </c>
    </row>
    <row r="43" customFormat="false" ht="15" hidden="false" customHeight="true" outlineLevel="0" collapsed="false">
      <c r="H43" s="350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3"/>
      <c r="V43" s="284" t="n">
        <f aca="false">IFERROR(I43*$E43, "")</f>
        <v>0</v>
      </c>
      <c r="W43" s="284" t="n">
        <f aca="false">IFERROR(J43*$E43, "")</f>
        <v>0</v>
      </c>
      <c r="X43" s="284" t="n">
        <f aca="false">IFERROR(K43*$E43, "")</f>
        <v>0</v>
      </c>
      <c r="Y43" s="284" t="n">
        <f aca="false">IFERROR(L43*$E43, "")</f>
        <v>0</v>
      </c>
      <c r="Z43" s="284" t="n">
        <f aca="false">IFERROR(M43*$E43, "")</f>
        <v>0</v>
      </c>
      <c r="AA43" s="284" t="n">
        <f aca="false">IFERROR(N43*$E43, "")</f>
        <v>0</v>
      </c>
      <c r="AB43" s="284" t="n">
        <f aca="false">IFERROR(O43*$E43, "")</f>
        <v>0</v>
      </c>
      <c r="AC43" s="284" t="n">
        <f aca="false">IFERROR(P43*$E43, "")</f>
        <v>0</v>
      </c>
      <c r="AD43" s="284" t="n">
        <f aca="false">IFERROR(Q43*$E43, "")</f>
        <v>0</v>
      </c>
      <c r="AE43" s="284" t="n">
        <f aca="false">IFERROR(R43*$E43, "")</f>
        <v>0</v>
      </c>
      <c r="AF43" s="284" t="n">
        <f aca="false">IFERROR(S43*$E43, "")</f>
        <v>0</v>
      </c>
      <c r="AG43" s="284" t="n">
        <f aca="false">IFERROR(T43*$E43, "")</f>
        <v>0</v>
      </c>
      <c r="AH43" s="286" t="n">
        <f aca="false">IFERROR(SUMIF($V$4:$AG$4, "RDEC", V43:AG43), "")</f>
        <v>0</v>
      </c>
      <c r="AI43" s="286" t="n">
        <f aca="false">IFERROR(SUMIF($V$4:$AG$4, "SME", V43:AG43), "")</f>
        <v>0</v>
      </c>
      <c r="AJ43" s="286" t="n">
        <f aca="false">IFERROR(SUMIF($V$4:$AG$4, "De Minimis", V43:AG43), "")</f>
        <v>0</v>
      </c>
      <c r="AK43" s="287"/>
      <c r="AL43" s="288" t="str">
        <f aca="false">IF((SUM(I43:T43)&gt;1),"ERROR","")</f>
        <v/>
      </c>
    </row>
    <row r="44" customFormat="false" ht="15" hidden="false" customHeight="true" outlineLevel="0" collapsed="false">
      <c r="H44" s="350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3"/>
      <c r="V44" s="284" t="n">
        <f aca="false">IFERROR(I44*$E44, "")</f>
        <v>0</v>
      </c>
      <c r="W44" s="284" t="n">
        <f aca="false">IFERROR(J44*$E44, "")</f>
        <v>0</v>
      </c>
      <c r="X44" s="284" t="n">
        <f aca="false">IFERROR(K44*$E44, "")</f>
        <v>0</v>
      </c>
      <c r="Y44" s="284" t="n">
        <f aca="false">IFERROR(L44*$E44, "")</f>
        <v>0</v>
      </c>
      <c r="Z44" s="284" t="n">
        <f aca="false">IFERROR(M44*$E44, "")</f>
        <v>0</v>
      </c>
      <c r="AA44" s="284" t="n">
        <f aca="false">IFERROR(N44*$E44, "")</f>
        <v>0</v>
      </c>
      <c r="AB44" s="284" t="n">
        <f aca="false">IFERROR(O44*$E44, "")</f>
        <v>0</v>
      </c>
      <c r="AC44" s="284" t="n">
        <f aca="false">IFERROR(P44*$E44, "")</f>
        <v>0</v>
      </c>
      <c r="AD44" s="284" t="n">
        <f aca="false">IFERROR(Q44*$E44, "")</f>
        <v>0</v>
      </c>
      <c r="AE44" s="284" t="n">
        <f aca="false">IFERROR(R44*$E44, "")</f>
        <v>0</v>
      </c>
      <c r="AF44" s="284" t="n">
        <f aca="false">IFERROR(S44*$E44, "")</f>
        <v>0</v>
      </c>
      <c r="AG44" s="284" t="n">
        <f aca="false">IFERROR(T44*$E44, "")</f>
        <v>0</v>
      </c>
      <c r="AH44" s="286" t="n">
        <f aca="false">IFERROR(SUMIF($V$4:$AG$4, "RDEC", V44:AG44), "")</f>
        <v>0</v>
      </c>
      <c r="AI44" s="286" t="n">
        <f aca="false">IFERROR(SUMIF($V$4:$AG$4, "SME", V44:AG44), "")</f>
        <v>0</v>
      </c>
      <c r="AJ44" s="286" t="n">
        <f aca="false">IFERROR(SUMIF($V$4:$AG$4, "De Minimis", V44:AG44), "")</f>
        <v>0</v>
      </c>
      <c r="AK44" s="287"/>
      <c r="AL44" s="288" t="str">
        <f aca="false">IF((SUM(I44:T44)&gt;1),"ERROR","")</f>
        <v/>
      </c>
    </row>
    <row r="45" customFormat="false" ht="15" hidden="false" customHeight="true" outlineLevel="0" collapsed="false">
      <c r="H45" s="350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3"/>
      <c r="V45" s="284" t="n">
        <f aca="false">IFERROR(I45*$E45, "")</f>
        <v>0</v>
      </c>
      <c r="W45" s="284" t="n">
        <f aca="false">IFERROR(J45*$E45, "")</f>
        <v>0</v>
      </c>
      <c r="X45" s="284" t="n">
        <f aca="false">IFERROR(K45*$E45, "")</f>
        <v>0</v>
      </c>
      <c r="Y45" s="284" t="n">
        <f aca="false">IFERROR(L45*$E45, "")</f>
        <v>0</v>
      </c>
      <c r="Z45" s="284" t="n">
        <f aca="false">IFERROR(M45*$E45, "")</f>
        <v>0</v>
      </c>
      <c r="AA45" s="284" t="n">
        <f aca="false">IFERROR(N45*$E45, "")</f>
        <v>0</v>
      </c>
      <c r="AB45" s="284" t="n">
        <f aca="false">IFERROR(O45*$E45, "")</f>
        <v>0</v>
      </c>
      <c r="AC45" s="284" t="n">
        <f aca="false">IFERROR(P45*$E45, "")</f>
        <v>0</v>
      </c>
      <c r="AD45" s="284" t="n">
        <f aca="false">IFERROR(Q45*$E45, "")</f>
        <v>0</v>
      </c>
      <c r="AE45" s="284" t="n">
        <f aca="false">IFERROR(R45*$E45, "")</f>
        <v>0</v>
      </c>
      <c r="AF45" s="284" t="n">
        <f aca="false">IFERROR(S45*$E45, "")</f>
        <v>0</v>
      </c>
      <c r="AG45" s="284" t="n">
        <f aca="false">IFERROR(T45*$E45, "")</f>
        <v>0</v>
      </c>
      <c r="AH45" s="286" t="n">
        <f aca="false">IFERROR(SUMIF($V$4:$AG$4, "RDEC", V45:AG45), "")</f>
        <v>0</v>
      </c>
      <c r="AI45" s="286" t="n">
        <f aca="false">IFERROR(SUMIF($V$4:$AG$4, "SME", V45:AG45), "")</f>
        <v>0</v>
      </c>
      <c r="AJ45" s="286" t="n">
        <f aca="false">IFERROR(SUMIF($V$4:$AG$4, "De Minimis", V45:AG45), "")</f>
        <v>0</v>
      </c>
      <c r="AK45" s="287"/>
      <c r="AL45" s="288" t="str">
        <f aca="false">IF((SUM(I45:T45)&gt;1),"ERROR","")</f>
        <v/>
      </c>
    </row>
    <row r="46" customFormat="false" ht="15" hidden="false" customHeight="true" outlineLevel="0" collapsed="false">
      <c r="H46" s="350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3"/>
      <c r="V46" s="284" t="n">
        <f aca="false">IFERROR(I46*$E46, "")</f>
        <v>0</v>
      </c>
      <c r="W46" s="284" t="n">
        <f aca="false">IFERROR(J46*$E46, "")</f>
        <v>0</v>
      </c>
      <c r="X46" s="284" t="n">
        <f aca="false">IFERROR(K46*$E46, "")</f>
        <v>0</v>
      </c>
      <c r="Y46" s="284" t="n">
        <f aca="false">IFERROR(L46*$E46, "")</f>
        <v>0</v>
      </c>
      <c r="Z46" s="284" t="n">
        <f aca="false">IFERROR(M46*$E46, "")</f>
        <v>0</v>
      </c>
      <c r="AA46" s="284" t="n">
        <f aca="false">IFERROR(N46*$E46, "")</f>
        <v>0</v>
      </c>
      <c r="AB46" s="284" t="n">
        <f aca="false">IFERROR(O46*$E46, "")</f>
        <v>0</v>
      </c>
      <c r="AC46" s="284" t="n">
        <f aca="false">IFERROR(P46*$E46, "")</f>
        <v>0</v>
      </c>
      <c r="AD46" s="284" t="n">
        <f aca="false">IFERROR(Q46*$E46, "")</f>
        <v>0</v>
      </c>
      <c r="AE46" s="284" t="n">
        <f aca="false">IFERROR(R46*$E46, "")</f>
        <v>0</v>
      </c>
      <c r="AF46" s="284" t="n">
        <f aca="false">IFERROR(S46*$E46, "")</f>
        <v>0</v>
      </c>
      <c r="AG46" s="284" t="n">
        <f aca="false">IFERROR(T46*$E46, "")</f>
        <v>0</v>
      </c>
      <c r="AH46" s="286" t="n">
        <f aca="false">IFERROR(SUMIF($V$4:$AG$4, "RDEC", V46:AG46), "")</f>
        <v>0</v>
      </c>
      <c r="AI46" s="286" t="n">
        <f aca="false">IFERROR(SUMIF($V$4:$AG$4, "SME", V46:AG46), "")</f>
        <v>0</v>
      </c>
      <c r="AJ46" s="286" t="n">
        <f aca="false">IFERROR(SUMIF($V$4:$AG$4, "De Minimis", V46:AG46), "")</f>
        <v>0</v>
      </c>
      <c r="AK46" s="287"/>
      <c r="AL46" s="288" t="str">
        <f aca="false">IF((SUM(I46:T46)&gt;1),"ERROR","")</f>
        <v/>
      </c>
    </row>
    <row r="47" customFormat="false" ht="15" hidden="false" customHeight="true" outlineLevel="0" collapsed="false">
      <c r="H47" s="350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3"/>
      <c r="V47" s="284" t="n">
        <f aca="false">IFERROR(I47*$E47, "")</f>
        <v>0</v>
      </c>
      <c r="W47" s="284" t="n">
        <f aca="false">IFERROR(J47*$E47, "")</f>
        <v>0</v>
      </c>
      <c r="X47" s="284" t="n">
        <f aca="false">IFERROR(K47*$E47, "")</f>
        <v>0</v>
      </c>
      <c r="Y47" s="284" t="n">
        <f aca="false">IFERROR(L47*$E47, "")</f>
        <v>0</v>
      </c>
      <c r="Z47" s="284" t="n">
        <f aca="false">IFERROR(M47*$E47, "")</f>
        <v>0</v>
      </c>
      <c r="AA47" s="284" t="n">
        <f aca="false">IFERROR(N47*$E47, "")</f>
        <v>0</v>
      </c>
      <c r="AB47" s="284" t="n">
        <f aca="false">IFERROR(O47*$E47, "")</f>
        <v>0</v>
      </c>
      <c r="AC47" s="284" t="n">
        <f aca="false">IFERROR(P47*$E47, "")</f>
        <v>0</v>
      </c>
      <c r="AD47" s="284" t="n">
        <f aca="false">IFERROR(Q47*$E47, "")</f>
        <v>0</v>
      </c>
      <c r="AE47" s="284" t="n">
        <f aca="false">IFERROR(R47*$E47, "")</f>
        <v>0</v>
      </c>
      <c r="AF47" s="284" t="n">
        <f aca="false">IFERROR(S47*$E47, "")</f>
        <v>0</v>
      </c>
      <c r="AG47" s="284" t="n">
        <f aca="false">IFERROR(T47*$E47, "")</f>
        <v>0</v>
      </c>
      <c r="AH47" s="286" t="n">
        <f aca="false">IFERROR(SUMIF($V$4:$AG$4, "RDEC", V47:AG47), "")</f>
        <v>0</v>
      </c>
      <c r="AI47" s="286" t="n">
        <f aca="false">IFERROR(SUMIF($V$4:$AG$4, "SME", V47:AG47), "")</f>
        <v>0</v>
      </c>
      <c r="AJ47" s="286" t="n">
        <f aca="false">IFERROR(SUMIF($V$4:$AG$4, "De Minimis", V47:AG47), "")</f>
        <v>0</v>
      </c>
      <c r="AK47" s="287"/>
      <c r="AL47" s="288" t="str">
        <f aca="false">IF((SUM(I47:T47)&gt;1),"ERROR","")</f>
        <v/>
      </c>
    </row>
    <row r="48" customFormat="false" ht="15" hidden="false" customHeight="true" outlineLevel="0" collapsed="false">
      <c r="H48" s="350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3"/>
      <c r="V48" s="284" t="n">
        <f aca="false">IFERROR(I48*$E48, "")</f>
        <v>0</v>
      </c>
      <c r="W48" s="284" t="n">
        <f aca="false">IFERROR(J48*$E48, "")</f>
        <v>0</v>
      </c>
      <c r="X48" s="284" t="n">
        <f aca="false">IFERROR(K48*$E48, "")</f>
        <v>0</v>
      </c>
      <c r="Y48" s="284" t="n">
        <f aca="false">IFERROR(L48*$E48, "")</f>
        <v>0</v>
      </c>
      <c r="Z48" s="284" t="n">
        <f aca="false">IFERROR(M48*$E48, "")</f>
        <v>0</v>
      </c>
      <c r="AA48" s="284" t="n">
        <f aca="false">IFERROR(N48*$E48, "")</f>
        <v>0</v>
      </c>
      <c r="AB48" s="284" t="n">
        <f aca="false">IFERROR(O48*$E48, "")</f>
        <v>0</v>
      </c>
      <c r="AC48" s="284" t="n">
        <f aca="false">IFERROR(P48*$E48, "")</f>
        <v>0</v>
      </c>
      <c r="AD48" s="284" t="n">
        <f aca="false">IFERROR(Q48*$E48, "")</f>
        <v>0</v>
      </c>
      <c r="AE48" s="284" t="n">
        <f aca="false">IFERROR(R48*$E48, "")</f>
        <v>0</v>
      </c>
      <c r="AF48" s="284" t="n">
        <f aca="false">IFERROR(S48*$E48, "")</f>
        <v>0</v>
      </c>
      <c r="AG48" s="284" t="n">
        <f aca="false">IFERROR(T48*$E48, "")</f>
        <v>0</v>
      </c>
      <c r="AH48" s="286" t="n">
        <f aca="false">IFERROR(SUMIF($V$4:$AG$4, "RDEC", V48:AG48), "")</f>
        <v>0</v>
      </c>
      <c r="AI48" s="286" t="n">
        <f aca="false">IFERROR(SUMIF($V$4:$AG$4, "SME", V48:AG48), "")</f>
        <v>0</v>
      </c>
      <c r="AJ48" s="286" t="n">
        <f aca="false">IFERROR(SUMIF($V$4:$AG$4, "De Minimis", V48:AG48), "")</f>
        <v>0</v>
      </c>
      <c r="AK48" s="287"/>
      <c r="AL48" s="288" t="str">
        <f aca="false">IF((SUM(I48:T48)&gt;1),"ERROR","")</f>
        <v/>
      </c>
    </row>
    <row r="49" customFormat="false" ht="15" hidden="false" customHeight="true" outlineLevel="0" collapsed="false">
      <c r="H49" s="350"/>
      <c r="I49" s="282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3"/>
      <c r="V49" s="284" t="n">
        <f aca="false">IFERROR(I49*$E49, "")</f>
        <v>0</v>
      </c>
      <c r="W49" s="284" t="n">
        <f aca="false">IFERROR(J49*$E49, "")</f>
        <v>0</v>
      </c>
      <c r="X49" s="284" t="n">
        <f aca="false">IFERROR(K49*$E49, "")</f>
        <v>0</v>
      </c>
      <c r="Y49" s="284" t="n">
        <f aca="false">IFERROR(L49*$E49, "")</f>
        <v>0</v>
      </c>
      <c r="Z49" s="284" t="n">
        <f aca="false">IFERROR(M49*$E49, "")</f>
        <v>0</v>
      </c>
      <c r="AA49" s="284" t="n">
        <f aca="false">IFERROR(N49*$E49, "")</f>
        <v>0</v>
      </c>
      <c r="AB49" s="284" t="n">
        <f aca="false">IFERROR(O49*$E49, "")</f>
        <v>0</v>
      </c>
      <c r="AC49" s="284" t="n">
        <f aca="false">IFERROR(P49*$E49, "")</f>
        <v>0</v>
      </c>
      <c r="AD49" s="284" t="n">
        <f aca="false">IFERROR(Q49*$E49, "")</f>
        <v>0</v>
      </c>
      <c r="AE49" s="284" t="n">
        <f aca="false">IFERROR(R49*$E49, "")</f>
        <v>0</v>
      </c>
      <c r="AF49" s="284" t="n">
        <f aca="false">IFERROR(S49*$E49, "")</f>
        <v>0</v>
      </c>
      <c r="AG49" s="284" t="n">
        <f aca="false">IFERROR(T49*$E49, "")</f>
        <v>0</v>
      </c>
      <c r="AH49" s="286" t="n">
        <f aca="false">IFERROR(SUMIF($V$4:$AG$4, "RDEC", V49:AG49), "")</f>
        <v>0</v>
      </c>
      <c r="AI49" s="286" t="n">
        <f aca="false">IFERROR(SUMIF($V$4:$AG$4, "SME", V49:AG49), "")</f>
        <v>0</v>
      </c>
      <c r="AJ49" s="286" t="n">
        <f aca="false">IFERROR(SUMIF($V$4:$AG$4, "De Minimis", V49:AG49), "")</f>
        <v>0</v>
      </c>
      <c r="AK49" s="303"/>
      <c r="AL49" s="288" t="str">
        <f aca="false">IF((SUM(I49:T49)&gt;1),"ERROR","")</f>
        <v/>
      </c>
    </row>
    <row r="50" customFormat="false" ht="15" hidden="false" customHeight="true" outlineLevel="0" collapsed="false">
      <c r="H50" s="350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3"/>
      <c r="V50" s="284" t="n">
        <f aca="false">IFERROR(I50*$E50, "")</f>
        <v>0</v>
      </c>
      <c r="W50" s="284" t="n">
        <f aca="false">IFERROR(J50*$E50, "")</f>
        <v>0</v>
      </c>
      <c r="X50" s="284" t="n">
        <f aca="false">IFERROR(K50*$E50, "")</f>
        <v>0</v>
      </c>
      <c r="Y50" s="284" t="n">
        <f aca="false">IFERROR(L50*$E50, "")</f>
        <v>0</v>
      </c>
      <c r="Z50" s="284" t="n">
        <f aca="false">IFERROR(M50*$E50, "")</f>
        <v>0</v>
      </c>
      <c r="AA50" s="284" t="n">
        <f aca="false">IFERROR(N50*$E50, "")</f>
        <v>0</v>
      </c>
      <c r="AB50" s="284" t="n">
        <f aca="false">IFERROR(O50*$E50, "")</f>
        <v>0</v>
      </c>
      <c r="AC50" s="284" t="n">
        <f aca="false">IFERROR(P50*$E50, "")</f>
        <v>0</v>
      </c>
      <c r="AD50" s="284" t="n">
        <f aca="false">IFERROR(Q50*$E50, "")</f>
        <v>0</v>
      </c>
      <c r="AE50" s="284" t="n">
        <f aca="false">IFERROR(R50*$E50, "")</f>
        <v>0</v>
      </c>
      <c r="AF50" s="284" t="n">
        <f aca="false">IFERROR(S50*$E50, "")</f>
        <v>0</v>
      </c>
      <c r="AG50" s="284" t="n">
        <f aca="false">IFERROR(T50*$E50, "")</f>
        <v>0</v>
      </c>
      <c r="AH50" s="286" t="n">
        <f aca="false">IFERROR(SUMIF($V$4:$AG$4, "RDEC", V50:AG50), "")</f>
        <v>0</v>
      </c>
      <c r="AI50" s="286" t="n">
        <f aca="false">IFERROR(SUMIF($V$4:$AG$4, "SME", V50:AG50), "")</f>
        <v>0</v>
      </c>
      <c r="AJ50" s="286" t="n">
        <f aca="false">IFERROR(SUMIF($V$4:$AG$4, "De Minimis", V50:AG50), "")</f>
        <v>0</v>
      </c>
      <c r="AL50" s="288" t="str">
        <f aca="false">IF((SUM(I50:T50)&gt;1),"ERROR","")</f>
        <v/>
      </c>
    </row>
    <row r="51" customFormat="false" ht="15" hidden="false" customHeight="true" outlineLevel="0" collapsed="false">
      <c r="H51" s="350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3"/>
      <c r="V51" s="284" t="n">
        <f aca="false">IFERROR(I51*$E51, "")</f>
        <v>0</v>
      </c>
      <c r="W51" s="284" t="n">
        <f aca="false">IFERROR(J51*$E51, "")</f>
        <v>0</v>
      </c>
      <c r="X51" s="284" t="n">
        <f aca="false">IFERROR(K51*$E51, "")</f>
        <v>0</v>
      </c>
      <c r="Y51" s="284" t="n">
        <f aca="false">IFERROR(L51*$E51, "")</f>
        <v>0</v>
      </c>
      <c r="Z51" s="284" t="n">
        <f aca="false">IFERROR(M51*$E51, "")</f>
        <v>0</v>
      </c>
      <c r="AA51" s="284" t="n">
        <f aca="false">IFERROR(N51*$E51, "")</f>
        <v>0</v>
      </c>
      <c r="AB51" s="284" t="n">
        <f aca="false">IFERROR(O51*$E51, "")</f>
        <v>0</v>
      </c>
      <c r="AC51" s="284" t="n">
        <f aca="false">IFERROR(P51*$E51, "")</f>
        <v>0</v>
      </c>
      <c r="AD51" s="284" t="n">
        <f aca="false">IFERROR(Q51*$E51, "")</f>
        <v>0</v>
      </c>
      <c r="AE51" s="284" t="n">
        <f aca="false">IFERROR(R51*$E51, "")</f>
        <v>0</v>
      </c>
      <c r="AF51" s="284" t="n">
        <f aca="false">IFERROR(S51*$E51, "")</f>
        <v>0</v>
      </c>
      <c r="AG51" s="284" t="n">
        <f aca="false">IFERROR(T51*$E51, "")</f>
        <v>0</v>
      </c>
      <c r="AH51" s="286" t="n">
        <f aca="false">IFERROR(SUMIF($V$4:$AG$4, "RDEC", V51:AG51), "")</f>
        <v>0</v>
      </c>
      <c r="AI51" s="286" t="n">
        <f aca="false">IFERROR(SUMIF($V$4:$AG$4, "SME", V51:AG51), "")</f>
        <v>0</v>
      </c>
      <c r="AJ51" s="286" t="n">
        <f aca="false">IFERROR(SUMIF($V$4:$AG$4, "De Minimis", V51:AG51), "")</f>
        <v>0</v>
      </c>
      <c r="AK51" s="268"/>
      <c r="AL51" s="288" t="str">
        <f aca="false">IF((SUM(I51:T51)&gt;1),"ERROR","")</f>
        <v/>
      </c>
    </row>
    <row r="52" customFormat="false" ht="15" hidden="false" customHeight="true" outlineLevel="0" collapsed="false">
      <c r="H52" s="350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3"/>
      <c r="V52" s="284" t="n">
        <f aca="false">IFERROR(I52*$E52, "")</f>
        <v>0</v>
      </c>
      <c r="W52" s="284" t="n">
        <f aca="false">IFERROR(J52*$E52, "")</f>
        <v>0</v>
      </c>
      <c r="X52" s="284" t="n">
        <f aca="false">IFERROR(K52*$E52, "")</f>
        <v>0</v>
      </c>
      <c r="Y52" s="284" t="n">
        <f aca="false">IFERROR(L52*$E52, "")</f>
        <v>0</v>
      </c>
      <c r="Z52" s="284" t="n">
        <f aca="false">IFERROR(M52*$E52, "")</f>
        <v>0</v>
      </c>
      <c r="AA52" s="284" t="n">
        <f aca="false">IFERROR(N52*$E52, "")</f>
        <v>0</v>
      </c>
      <c r="AB52" s="284" t="n">
        <f aca="false">IFERROR(O52*$E52, "")</f>
        <v>0</v>
      </c>
      <c r="AC52" s="284" t="n">
        <f aca="false">IFERROR(P52*$E52, "")</f>
        <v>0</v>
      </c>
      <c r="AD52" s="284" t="n">
        <f aca="false">IFERROR(Q52*$E52, "")</f>
        <v>0</v>
      </c>
      <c r="AE52" s="284" t="n">
        <f aca="false">IFERROR(R52*$E52, "")</f>
        <v>0</v>
      </c>
      <c r="AF52" s="284" t="n">
        <f aca="false">IFERROR(S52*$E52, "")</f>
        <v>0</v>
      </c>
      <c r="AG52" s="284" t="n">
        <f aca="false">IFERROR(T52*$E52, "")</f>
        <v>0</v>
      </c>
      <c r="AH52" s="286" t="n">
        <f aca="false">IFERROR(SUMIF($V$4:$AG$4, "RDEC", V52:AG52), "")</f>
        <v>0</v>
      </c>
      <c r="AI52" s="286" t="n">
        <f aca="false">IFERROR(SUMIF($V$4:$AG$4, "SME", V52:AG52), "")</f>
        <v>0</v>
      </c>
      <c r="AJ52" s="286" t="n">
        <f aca="false">IFERROR(SUMIF($V$4:$AG$4, "De Minimis", V52:AG52), "")</f>
        <v>0</v>
      </c>
      <c r="AK52" s="287"/>
      <c r="AL52" s="288" t="str">
        <f aca="false">IF((SUM(I52:T52)&gt;1),"ERROR","")</f>
        <v/>
      </c>
    </row>
    <row r="53" customFormat="false" ht="15" hidden="false" customHeight="true" outlineLevel="0" collapsed="false">
      <c r="H53" s="350"/>
      <c r="I53" s="282"/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3"/>
      <c r="V53" s="284" t="n">
        <f aca="false">IFERROR(I53*$E53, "")</f>
        <v>0</v>
      </c>
      <c r="W53" s="284" t="n">
        <f aca="false">IFERROR(J53*$E53, "")</f>
        <v>0</v>
      </c>
      <c r="X53" s="284" t="n">
        <f aca="false">IFERROR(K53*$E53, "")</f>
        <v>0</v>
      </c>
      <c r="Y53" s="284" t="n">
        <f aca="false">IFERROR(L53*$E53, "")</f>
        <v>0</v>
      </c>
      <c r="Z53" s="284" t="n">
        <f aca="false">IFERROR(M53*$E53, "")</f>
        <v>0</v>
      </c>
      <c r="AA53" s="284" t="n">
        <f aca="false">IFERROR(N53*$E53, "")</f>
        <v>0</v>
      </c>
      <c r="AB53" s="284" t="n">
        <f aca="false">IFERROR(O53*$E53, "")</f>
        <v>0</v>
      </c>
      <c r="AC53" s="284" t="n">
        <f aca="false">IFERROR(P53*$E53, "")</f>
        <v>0</v>
      </c>
      <c r="AD53" s="284" t="n">
        <f aca="false">IFERROR(Q53*$E53, "")</f>
        <v>0</v>
      </c>
      <c r="AE53" s="284" t="n">
        <f aca="false">IFERROR(R53*$E53, "")</f>
        <v>0</v>
      </c>
      <c r="AF53" s="284" t="n">
        <f aca="false">IFERROR(S53*$E53, "")</f>
        <v>0</v>
      </c>
      <c r="AG53" s="284" t="n">
        <f aca="false">IFERROR(T53*$E53, "")</f>
        <v>0</v>
      </c>
      <c r="AH53" s="286" t="n">
        <f aca="false">IFERROR(SUMIF($V$4:$AG$4, "RDEC", V53:AG53), "")</f>
        <v>0</v>
      </c>
      <c r="AI53" s="286" t="n">
        <f aca="false">IFERROR(SUMIF($V$4:$AG$4, "SME", V53:AG53), "")</f>
        <v>0</v>
      </c>
      <c r="AJ53" s="286" t="n">
        <f aca="false">IFERROR(SUMIF($V$4:$AG$4, "De Minimis", V53:AG53), "")</f>
        <v>0</v>
      </c>
      <c r="AK53" s="287"/>
      <c r="AL53" s="288" t="str">
        <f aca="false">IF((SUM(I53:T53)&gt;1),"ERROR","")</f>
        <v/>
      </c>
    </row>
    <row r="54" customFormat="false" ht="15" hidden="false" customHeight="true" outlineLevel="0" collapsed="false">
      <c r="H54" s="350"/>
      <c r="I54" s="282"/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3"/>
      <c r="V54" s="284" t="n">
        <f aca="false">IFERROR(I54*$E54, "")</f>
        <v>0</v>
      </c>
      <c r="W54" s="284" t="n">
        <f aca="false">IFERROR(J54*$E54, "")</f>
        <v>0</v>
      </c>
      <c r="X54" s="284" t="n">
        <f aca="false">IFERROR(K54*$E54, "")</f>
        <v>0</v>
      </c>
      <c r="Y54" s="284" t="n">
        <f aca="false">IFERROR(L54*$E54, "")</f>
        <v>0</v>
      </c>
      <c r="Z54" s="284" t="n">
        <f aca="false">IFERROR(M54*$E54, "")</f>
        <v>0</v>
      </c>
      <c r="AA54" s="284" t="n">
        <f aca="false">IFERROR(N54*$E54, "")</f>
        <v>0</v>
      </c>
      <c r="AB54" s="284" t="n">
        <f aca="false">IFERROR(O54*$E54, "")</f>
        <v>0</v>
      </c>
      <c r="AC54" s="284" t="n">
        <f aca="false">IFERROR(P54*$E54, "")</f>
        <v>0</v>
      </c>
      <c r="AD54" s="284" t="n">
        <f aca="false">IFERROR(Q54*$E54, "")</f>
        <v>0</v>
      </c>
      <c r="AE54" s="284" t="n">
        <f aca="false">IFERROR(R54*$E54, "")</f>
        <v>0</v>
      </c>
      <c r="AF54" s="284" t="n">
        <f aca="false">IFERROR(S54*$E54, "")</f>
        <v>0</v>
      </c>
      <c r="AG54" s="284" t="n">
        <f aca="false">IFERROR(T54*$E54, "")</f>
        <v>0</v>
      </c>
      <c r="AH54" s="286" t="n">
        <f aca="false">IFERROR(SUMIF($V$4:$AG$4, "RDEC", V54:AG54), "")</f>
        <v>0</v>
      </c>
      <c r="AI54" s="286" t="n">
        <f aca="false">IFERROR(SUMIF($V$4:$AG$4, "SME", V54:AG54), "")</f>
        <v>0</v>
      </c>
      <c r="AJ54" s="286" t="n">
        <f aca="false">IFERROR(SUMIF($V$4:$AG$4, "De Minimis", V54:AG54), "")</f>
        <v>0</v>
      </c>
      <c r="AK54" s="287"/>
      <c r="AL54" s="288" t="str">
        <f aca="false">IF((SUM(I54:T54)&gt;1),"ERROR","")</f>
        <v/>
      </c>
    </row>
    <row r="55" customFormat="false" ht="15" hidden="false" customHeight="true" outlineLevel="0" collapsed="false">
      <c r="H55" s="350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3"/>
      <c r="V55" s="284" t="n">
        <f aca="false">IFERROR(I55*$E55, "")</f>
        <v>0</v>
      </c>
      <c r="W55" s="284" t="n">
        <f aca="false">IFERROR(J55*$E55, "")</f>
        <v>0</v>
      </c>
      <c r="X55" s="284" t="n">
        <f aca="false">IFERROR(K55*$E55, "")</f>
        <v>0</v>
      </c>
      <c r="Y55" s="284" t="n">
        <f aca="false">IFERROR(L55*$E55, "")</f>
        <v>0</v>
      </c>
      <c r="Z55" s="284" t="n">
        <f aca="false">IFERROR(M55*$E55, "")</f>
        <v>0</v>
      </c>
      <c r="AA55" s="284" t="n">
        <f aca="false">IFERROR(N55*$E55, "")</f>
        <v>0</v>
      </c>
      <c r="AB55" s="284" t="n">
        <f aca="false">IFERROR(O55*$E55, "")</f>
        <v>0</v>
      </c>
      <c r="AC55" s="284" t="n">
        <f aca="false">IFERROR(P55*$E55, "")</f>
        <v>0</v>
      </c>
      <c r="AD55" s="284" t="n">
        <f aca="false">IFERROR(Q55*$E55, "")</f>
        <v>0</v>
      </c>
      <c r="AE55" s="284" t="n">
        <f aca="false">IFERROR(R55*$E55, "")</f>
        <v>0</v>
      </c>
      <c r="AF55" s="284" t="n">
        <f aca="false">IFERROR(S55*$E55, "")</f>
        <v>0</v>
      </c>
      <c r="AG55" s="284" t="n">
        <f aca="false">IFERROR(T55*$E55, "")</f>
        <v>0</v>
      </c>
      <c r="AH55" s="286" t="n">
        <f aca="false">IFERROR(SUMIF($V$4:$AG$4, "RDEC", V55:AG55), "")</f>
        <v>0</v>
      </c>
      <c r="AI55" s="286" t="n">
        <f aca="false">IFERROR(SUMIF($V$4:$AG$4, "SME", V55:AG55), "")</f>
        <v>0</v>
      </c>
      <c r="AJ55" s="286" t="n">
        <f aca="false">IFERROR(SUMIF($V$4:$AG$4, "De Minimis", V55:AG55), "")</f>
        <v>0</v>
      </c>
      <c r="AK55" s="287"/>
      <c r="AL55" s="288" t="str">
        <f aca="false">IF((SUM(I55:T55)&gt;1),"ERROR","")</f>
        <v/>
      </c>
    </row>
    <row r="56" customFormat="false" ht="15" hidden="false" customHeight="true" outlineLevel="0" collapsed="false">
      <c r="H56" s="350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3"/>
      <c r="V56" s="284" t="n">
        <f aca="false">IFERROR(I56*$E56, "")</f>
        <v>0</v>
      </c>
      <c r="W56" s="284" t="n">
        <f aca="false">IFERROR(J56*$E56, "")</f>
        <v>0</v>
      </c>
      <c r="X56" s="284" t="n">
        <f aca="false">IFERROR(K56*$E56, "")</f>
        <v>0</v>
      </c>
      <c r="Y56" s="284" t="n">
        <f aca="false">IFERROR(L56*$E56, "")</f>
        <v>0</v>
      </c>
      <c r="Z56" s="284" t="n">
        <f aca="false">IFERROR(M56*$E56, "")</f>
        <v>0</v>
      </c>
      <c r="AA56" s="284" t="n">
        <f aca="false">IFERROR(N56*$E56, "")</f>
        <v>0</v>
      </c>
      <c r="AB56" s="284" t="n">
        <f aca="false">IFERROR(O56*$E56, "")</f>
        <v>0</v>
      </c>
      <c r="AC56" s="284" t="n">
        <f aca="false">IFERROR(P56*$E56, "")</f>
        <v>0</v>
      </c>
      <c r="AD56" s="284" t="n">
        <f aca="false">IFERROR(Q56*$E56, "")</f>
        <v>0</v>
      </c>
      <c r="AE56" s="284" t="n">
        <f aca="false">IFERROR(R56*$E56, "")</f>
        <v>0</v>
      </c>
      <c r="AF56" s="284" t="n">
        <f aca="false">IFERROR(S56*$E56, "")</f>
        <v>0</v>
      </c>
      <c r="AG56" s="284" t="n">
        <f aca="false">IFERROR(T56*$E56, "")</f>
        <v>0</v>
      </c>
      <c r="AH56" s="286" t="n">
        <f aca="false">IFERROR(SUMIF($V$4:$AG$4, "RDEC", V56:AG56), "")</f>
        <v>0</v>
      </c>
      <c r="AI56" s="286" t="n">
        <f aca="false">IFERROR(SUMIF($V$4:$AG$4, "SME", V56:AG56), "")</f>
        <v>0</v>
      </c>
      <c r="AJ56" s="286" t="n">
        <f aca="false">IFERROR(SUMIF($V$4:$AG$4, "De Minimis", V56:AG56), "")</f>
        <v>0</v>
      </c>
      <c r="AK56" s="287"/>
      <c r="AL56" s="288" t="str">
        <f aca="false">IF((SUM(I56:T56)&gt;1),"ERROR","")</f>
        <v/>
      </c>
    </row>
    <row r="57" customFormat="false" ht="15" hidden="false" customHeight="true" outlineLevel="0" collapsed="false">
      <c r="H57" s="350"/>
      <c r="I57" s="282"/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3"/>
      <c r="V57" s="284" t="n">
        <f aca="false">IFERROR(I57*$E57, "")</f>
        <v>0</v>
      </c>
      <c r="W57" s="284" t="n">
        <f aca="false">IFERROR(J57*$E57, "")</f>
        <v>0</v>
      </c>
      <c r="X57" s="284" t="n">
        <f aca="false">IFERROR(K57*$E57, "")</f>
        <v>0</v>
      </c>
      <c r="Y57" s="284" t="n">
        <f aca="false">IFERROR(L57*$E57, "")</f>
        <v>0</v>
      </c>
      <c r="Z57" s="284" t="n">
        <f aca="false">IFERROR(M57*$E57, "")</f>
        <v>0</v>
      </c>
      <c r="AA57" s="284" t="n">
        <f aca="false">IFERROR(N57*$E57, "")</f>
        <v>0</v>
      </c>
      <c r="AB57" s="284" t="n">
        <f aca="false">IFERROR(O57*$E57, "")</f>
        <v>0</v>
      </c>
      <c r="AC57" s="284" t="n">
        <f aca="false">IFERROR(P57*$E57, "")</f>
        <v>0</v>
      </c>
      <c r="AD57" s="284" t="n">
        <f aca="false">IFERROR(Q57*$E57, "")</f>
        <v>0</v>
      </c>
      <c r="AE57" s="284" t="n">
        <f aca="false">IFERROR(R57*$E57, "")</f>
        <v>0</v>
      </c>
      <c r="AF57" s="284" t="n">
        <f aca="false">IFERROR(S57*$E57, "")</f>
        <v>0</v>
      </c>
      <c r="AG57" s="284" t="n">
        <f aca="false">IFERROR(T57*$E57, "")</f>
        <v>0</v>
      </c>
      <c r="AH57" s="286" t="n">
        <f aca="false">IFERROR(SUMIF($V$4:$AG$4, "RDEC", V57:AG57), "")</f>
        <v>0</v>
      </c>
      <c r="AI57" s="286" t="n">
        <f aca="false">IFERROR(SUMIF($V$4:$AG$4, "SME", V57:AG57), "")</f>
        <v>0</v>
      </c>
      <c r="AJ57" s="286" t="n">
        <f aca="false">IFERROR(SUMIF($V$4:$AG$4, "De Minimis", V57:AG57), "")</f>
        <v>0</v>
      </c>
      <c r="AK57" s="287"/>
      <c r="AL57" s="288" t="str">
        <f aca="false">IF((SUM(I57:T57)&gt;1),"ERROR","")</f>
        <v/>
      </c>
    </row>
    <row r="58" customFormat="false" ht="15" hidden="false" customHeight="true" outlineLevel="0" collapsed="false">
      <c r="H58" s="350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3"/>
      <c r="V58" s="284" t="n">
        <f aca="false">IFERROR(I58*$E58, "")</f>
        <v>0</v>
      </c>
      <c r="W58" s="284" t="n">
        <f aca="false">IFERROR(J58*$E58, "")</f>
        <v>0</v>
      </c>
      <c r="X58" s="284" t="n">
        <f aca="false">IFERROR(K58*$E58, "")</f>
        <v>0</v>
      </c>
      <c r="Y58" s="284" t="n">
        <f aca="false">IFERROR(L58*$E58, "")</f>
        <v>0</v>
      </c>
      <c r="Z58" s="284" t="n">
        <f aca="false">IFERROR(M58*$E58, "")</f>
        <v>0</v>
      </c>
      <c r="AA58" s="284" t="n">
        <f aca="false">IFERROR(N58*$E58, "")</f>
        <v>0</v>
      </c>
      <c r="AB58" s="284" t="n">
        <f aca="false">IFERROR(O58*$E58, "")</f>
        <v>0</v>
      </c>
      <c r="AC58" s="284" t="n">
        <f aca="false">IFERROR(P58*$E58, "")</f>
        <v>0</v>
      </c>
      <c r="AD58" s="284" t="n">
        <f aca="false">IFERROR(Q58*$E58, "")</f>
        <v>0</v>
      </c>
      <c r="AE58" s="284" t="n">
        <f aca="false">IFERROR(R58*$E58, "")</f>
        <v>0</v>
      </c>
      <c r="AF58" s="284" t="n">
        <f aca="false">IFERROR(S58*$E58, "")</f>
        <v>0</v>
      </c>
      <c r="AG58" s="284" t="n">
        <f aca="false">IFERROR(T58*$E58, "")</f>
        <v>0</v>
      </c>
      <c r="AH58" s="286" t="n">
        <f aca="false">IFERROR(SUMIF($V$4:$AG$4, "RDEC", V58:AG58), "")</f>
        <v>0</v>
      </c>
      <c r="AI58" s="286" t="n">
        <f aca="false">IFERROR(SUMIF($V$4:$AG$4, "SME", V58:AG58), "")</f>
        <v>0</v>
      </c>
      <c r="AJ58" s="286" t="n">
        <f aca="false">IFERROR(SUMIF($V$4:$AG$4, "De Minimis", V58:AG58), "")</f>
        <v>0</v>
      </c>
      <c r="AK58" s="287"/>
      <c r="AL58" s="288" t="str">
        <f aca="false">IF((SUM(I58:T58)&gt;1),"ERROR","")</f>
        <v/>
      </c>
    </row>
    <row r="59" customFormat="false" ht="15" hidden="false" customHeight="true" outlineLevel="0" collapsed="false">
      <c r="H59" s="350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3"/>
      <c r="V59" s="284" t="n">
        <f aca="false">IFERROR(I59*$E59, "")</f>
        <v>0</v>
      </c>
      <c r="W59" s="284" t="n">
        <f aca="false">IFERROR(J59*$E59, "")</f>
        <v>0</v>
      </c>
      <c r="X59" s="284" t="n">
        <f aca="false">IFERROR(K59*$E59, "")</f>
        <v>0</v>
      </c>
      <c r="Y59" s="284" t="n">
        <f aca="false">IFERROR(L59*$E59, "")</f>
        <v>0</v>
      </c>
      <c r="Z59" s="284" t="n">
        <f aca="false">IFERROR(M59*$E59, "")</f>
        <v>0</v>
      </c>
      <c r="AA59" s="284" t="n">
        <f aca="false">IFERROR(N59*$E59, "")</f>
        <v>0</v>
      </c>
      <c r="AB59" s="284" t="n">
        <f aca="false">IFERROR(O59*$E59, "")</f>
        <v>0</v>
      </c>
      <c r="AC59" s="284" t="n">
        <f aca="false">IFERROR(P59*$E59, "")</f>
        <v>0</v>
      </c>
      <c r="AD59" s="284" t="n">
        <f aca="false">IFERROR(Q59*$E59, "")</f>
        <v>0</v>
      </c>
      <c r="AE59" s="284" t="n">
        <f aca="false">IFERROR(R59*$E59, "")</f>
        <v>0</v>
      </c>
      <c r="AF59" s="284" t="n">
        <f aca="false">IFERROR(S59*$E59, "")</f>
        <v>0</v>
      </c>
      <c r="AG59" s="284" t="n">
        <f aca="false">IFERROR(T59*$E59, "")</f>
        <v>0</v>
      </c>
      <c r="AH59" s="286" t="n">
        <f aca="false">IFERROR(SUMIF($V$4:$AG$4, "RDEC", V59:AG59), "")</f>
        <v>0</v>
      </c>
      <c r="AI59" s="286" t="n">
        <f aca="false">IFERROR(SUMIF($V$4:$AG$4, "SME", V59:AG59), "")</f>
        <v>0</v>
      </c>
      <c r="AJ59" s="286" t="n">
        <f aca="false">IFERROR(SUMIF($V$4:$AG$4, "De Minimis", V59:AG59), "")</f>
        <v>0</v>
      </c>
      <c r="AK59" s="287"/>
      <c r="AL59" s="288" t="str">
        <f aca="false">IF((SUM(I59:T59)&gt;1),"ERROR","")</f>
        <v/>
      </c>
    </row>
    <row r="60" customFormat="false" ht="15" hidden="false" customHeight="true" outlineLevel="0" collapsed="false">
      <c r="H60" s="350"/>
      <c r="I60" s="282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3"/>
      <c r="V60" s="284" t="n">
        <f aca="false">IFERROR(I60*$E60, "")</f>
        <v>0</v>
      </c>
      <c r="W60" s="284" t="n">
        <f aca="false">IFERROR(J60*$E60, "")</f>
        <v>0</v>
      </c>
      <c r="X60" s="284" t="n">
        <f aca="false">IFERROR(K60*$E60, "")</f>
        <v>0</v>
      </c>
      <c r="Y60" s="284" t="n">
        <f aca="false">IFERROR(L60*$E60, "")</f>
        <v>0</v>
      </c>
      <c r="Z60" s="284" t="n">
        <f aca="false">IFERROR(M60*$E60, "")</f>
        <v>0</v>
      </c>
      <c r="AA60" s="284" t="n">
        <f aca="false">IFERROR(N60*$E60, "")</f>
        <v>0</v>
      </c>
      <c r="AB60" s="284" t="n">
        <f aca="false">IFERROR(O60*$E60, "")</f>
        <v>0</v>
      </c>
      <c r="AC60" s="284" t="n">
        <f aca="false">IFERROR(P60*$E60, "")</f>
        <v>0</v>
      </c>
      <c r="AD60" s="284" t="n">
        <f aca="false">IFERROR(Q60*$E60, "")</f>
        <v>0</v>
      </c>
      <c r="AE60" s="284" t="n">
        <f aca="false">IFERROR(R60*$E60, "")</f>
        <v>0</v>
      </c>
      <c r="AF60" s="284" t="n">
        <f aca="false">IFERROR(S60*$E60, "")</f>
        <v>0</v>
      </c>
      <c r="AG60" s="284" t="n">
        <f aca="false">IFERROR(T60*$E60, "")</f>
        <v>0</v>
      </c>
      <c r="AH60" s="286" t="n">
        <f aca="false">IFERROR(SUMIF($V$4:$AG$4, "RDEC", V60:AG60), "")</f>
        <v>0</v>
      </c>
      <c r="AI60" s="286" t="n">
        <f aca="false">IFERROR(SUMIF($V$4:$AG$4, "SME", V60:AG60), "")</f>
        <v>0</v>
      </c>
      <c r="AJ60" s="286" t="n">
        <f aca="false">IFERROR(SUMIF($V$4:$AG$4, "De Minimis", V60:AG60), "")</f>
        <v>0</v>
      </c>
      <c r="AK60" s="287"/>
      <c r="AL60" s="288" t="str">
        <f aca="false">IF((SUM(I60:T60)&gt;1),"ERROR","")</f>
        <v/>
      </c>
    </row>
    <row r="61" customFormat="false" ht="15" hidden="false" customHeight="true" outlineLevel="0" collapsed="false">
      <c r="H61" s="350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3"/>
      <c r="V61" s="284" t="n">
        <f aca="false">IFERROR(I61*$E61, "")</f>
        <v>0</v>
      </c>
      <c r="W61" s="284" t="n">
        <f aca="false">IFERROR(J61*$E61, "")</f>
        <v>0</v>
      </c>
      <c r="X61" s="284" t="n">
        <f aca="false">IFERROR(K61*$E61, "")</f>
        <v>0</v>
      </c>
      <c r="Y61" s="284" t="n">
        <f aca="false">IFERROR(L61*$E61, "")</f>
        <v>0</v>
      </c>
      <c r="Z61" s="284" t="n">
        <f aca="false">IFERROR(M61*$E61, "")</f>
        <v>0</v>
      </c>
      <c r="AA61" s="284" t="n">
        <f aca="false">IFERROR(N61*$E61, "")</f>
        <v>0</v>
      </c>
      <c r="AB61" s="284" t="n">
        <f aca="false">IFERROR(O61*$E61, "")</f>
        <v>0</v>
      </c>
      <c r="AC61" s="284" t="n">
        <f aca="false">IFERROR(P61*$E61, "")</f>
        <v>0</v>
      </c>
      <c r="AD61" s="284" t="n">
        <f aca="false">IFERROR(Q61*$E61, "")</f>
        <v>0</v>
      </c>
      <c r="AE61" s="284" t="n">
        <f aca="false">IFERROR(R61*$E61, "")</f>
        <v>0</v>
      </c>
      <c r="AF61" s="284" t="n">
        <f aca="false">IFERROR(S61*$E61, "")</f>
        <v>0</v>
      </c>
      <c r="AG61" s="284" t="n">
        <f aca="false">IFERROR(T61*$E61, "")</f>
        <v>0</v>
      </c>
      <c r="AH61" s="286" t="n">
        <f aca="false">IFERROR(SUMIF($V$4:$AG$4, "RDEC", V61:AG61), "")</f>
        <v>0</v>
      </c>
      <c r="AI61" s="286" t="n">
        <f aca="false">IFERROR(SUMIF($V$4:$AG$4, "SME", V61:AG61), "")</f>
        <v>0</v>
      </c>
      <c r="AJ61" s="286" t="n">
        <f aca="false">IFERROR(SUMIF($V$4:$AG$4, "De Minimis", V61:AG61), "")</f>
        <v>0</v>
      </c>
      <c r="AK61" s="287"/>
      <c r="AL61" s="288" t="str">
        <f aca="false">IF((SUM(I61:T61)&gt;1),"ERROR","")</f>
        <v/>
      </c>
    </row>
    <row r="62" customFormat="false" ht="15" hidden="false" customHeight="true" outlineLevel="0" collapsed="false">
      <c r="H62" s="350"/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3"/>
      <c r="V62" s="284" t="n">
        <f aca="false">IFERROR(I62*$E62, "")</f>
        <v>0</v>
      </c>
      <c r="W62" s="284" t="n">
        <f aca="false">IFERROR(J62*$E62, "")</f>
        <v>0</v>
      </c>
      <c r="X62" s="284" t="n">
        <f aca="false">IFERROR(K62*$E62, "")</f>
        <v>0</v>
      </c>
      <c r="Y62" s="284" t="n">
        <f aca="false">IFERROR(L62*$E62, "")</f>
        <v>0</v>
      </c>
      <c r="Z62" s="284" t="n">
        <f aca="false">IFERROR(M62*$E62, "")</f>
        <v>0</v>
      </c>
      <c r="AA62" s="284" t="n">
        <f aca="false">IFERROR(N62*$E62, "")</f>
        <v>0</v>
      </c>
      <c r="AB62" s="284" t="n">
        <f aca="false">IFERROR(O62*$E62, "")</f>
        <v>0</v>
      </c>
      <c r="AC62" s="284" t="n">
        <f aca="false">IFERROR(P62*$E62, "")</f>
        <v>0</v>
      </c>
      <c r="AD62" s="284" t="n">
        <f aca="false">IFERROR(Q62*$E62, "")</f>
        <v>0</v>
      </c>
      <c r="AE62" s="284" t="n">
        <f aca="false">IFERROR(R62*$E62, "")</f>
        <v>0</v>
      </c>
      <c r="AF62" s="284" t="n">
        <f aca="false">IFERROR(S62*$E62, "")</f>
        <v>0</v>
      </c>
      <c r="AG62" s="284" t="n">
        <f aca="false">IFERROR(T62*$E62, "")</f>
        <v>0</v>
      </c>
      <c r="AH62" s="286" t="n">
        <f aca="false">IFERROR(SUMIF($V$4:$AG$4, "RDEC", V62:AG62), "")</f>
        <v>0</v>
      </c>
      <c r="AI62" s="286" t="n">
        <f aca="false">IFERROR(SUMIF($V$4:$AG$4, "SME", V62:AG62), "")</f>
        <v>0</v>
      </c>
      <c r="AJ62" s="286" t="n">
        <f aca="false">IFERROR(SUMIF($V$4:$AG$4, "De Minimis", V62:AG62), "")</f>
        <v>0</v>
      </c>
      <c r="AK62" s="287"/>
      <c r="AL62" s="288" t="str">
        <f aca="false">IF((SUM(I62:T62)&gt;1),"ERROR","")</f>
        <v/>
      </c>
    </row>
    <row r="63" customFormat="false" ht="15" hidden="false" customHeight="true" outlineLevel="0" collapsed="false">
      <c r="H63" s="350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3"/>
      <c r="V63" s="284" t="n">
        <f aca="false">IFERROR(I63*$E63, "")</f>
        <v>0</v>
      </c>
      <c r="W63" s="284" t="n">
        <f aca="false">IFERROR(J63*$E63, "")</f>
        <v>0</v>
      </c>
      <c r="X63" s="284" t="n">
        <f aca="false">IFERROR(K63*$E63, "")</f>
        <v>0</v>
      </c>
      <c r="Y63" s="284" t="n">
        <f aca="false">IFERROR(L63*$E63, "")</f>
        <v>0</v>
      </c>
      <c r="Z63" s="284" t="n">
        <f aca="false">IFERROR(M63*$E63, "")</f>
        <v>0</v>
      </c>
      <c r="AA63" s="284" t="n">
        <f aca="false">IFERROR(N63*$E63, "")</f>
        <v>0</v>
      </c>
      <c r="AB63" s="284" t="n">
        <f aca="false">IFERROR(O63*$E63, "")</f>
        <v>0</v>
      </c>
      <c r="AC63" s="284" t="n">
        <f aca="false">IFERROR(P63*$E63, "")</f>
        <v>0</v>
      </c>
      <c r="AD63" s="284" t="n">
        <f aca="false">IFERROR(Q63*$E63, "")</f>
        <v>0</v>
      </c>
      <c r="AE63" s="284" t="n">
        <f aca="false">IFERROR(R63*$E63, "")</f>
        <v>0</v>
      </c>
      <c r="AF63" s="284" t="n">
        <f aca="false">IFERROR(S63*$E63, "")</f>
        <v>0</v>
      </c>
      <c r="AG63" s="284" t="n">
        <f aca="false">IFERROR(T63*$E63, "")</f>
        <v>0</v>
      </c>
      <c r="AH63" s="286" t="n">
        <f aca="false">IFERROR(SUMIF($V$4:$AG$4, "RDEC", V63:AG63), "")</f>
        <v>0</v>
      </c>
      <c r="AI63" s="286" t="n">
        <f aca="false">IFERROR(SUMIF($V$4:$AG$4, "SME", V63:AG63), "")</f>
        <v>0</v>
      </c>
      <c r="AJ63" s="286" t="n">
        <f aca="false">IFERROR(SUMIF($V$4:$AG$4, "De Minimis", V63:AG63), "")</f>
        <v>0</v>
      </c>
      <c r="AK63" s="287"/>
      <c r="AL63" s="288" t="str">
        <f aca="false">IF((SUM(I63:T63)&gt;1),"ERROR","")</f>
        <v/>
      </c>
    </row>
    <row r="64" customFormat="false" ht="15" hidden="false" customHeight="true" outlineLevel="0" collapsed="false">
      <c r="H64" s="350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3"/>
      <c r="V64" s="284" t="n">
        <f aca="false">IFERROR(I64*$E64, "")</f>
        <v>0</v>
      </c>
      <c r="W64" s="284" t="n">
        <f aca="false">IFERROR(J64*$E64, "")</f>
        <v>0</v>
      </c>
      <c r="X64" s="284" t="n">
        <f aca="false">IFERROR(K64*$E64, "")</f>
        <v>0</v>
      </c>
      <c r="Y64" s="284" t="n">
        <f aca="false">IFERROR(L64*$E64, "")</f>
        <v>0</v>
      </c>
      <c r="Z64" s="284" t="n">
        <f aca="false">IFERROR(M64*$E64, "")</f>
        <v>0</v>
      </c>
      <c r="AA64" s="284" t="n">
        <f aca="false">IFERROR(N64*$E64, "")</f>
        <v>0</v>
      </c>
      <c r="AB64" s="284" t="n">
        <f aca="false">IFERROR(O64*$E64, "")</f>
        <v>0</v>
      </c>
      <c r="AC64" s="284" t="n">
        <f aca="false">IFERROR(P64*$E64, "")</f>
        <v>0</v>
      </c>
      <c r="AD64" s="284" t="n">
        <f aca="false">IFERROR(Q64*$E64, "")</f>
        <v>0</v>
      </c>
      <c r="AE64" s="284" t="n">
        <f aca="false">IFERROR(R64*$E64, "")</f>
        <v>0</v>
      </c>
      <c r="AF64" s="284" t="n">
        <f aca="false">IFERROR(S64*$E64, "")</f>
        <v>0</v>
      </c>
      <c r="AG64" s="284" t="n">
        <f aca="false">IFERROR(T64*$E64, "")</f>
        <v>0</v>
      </c>
      <c r="AH64" s="286" t="n">
        <f aca="false">IFERROR(SUMIF($V$4:$AG$4, "RDEC", V64:AG64), "")</f>
        <v>0</v>
      </c>
      <c r="AI64" s="286" t="n">
        <f aca="false">IFERROR(SUMIF($V$4:$AG$4, "SME", V64:AG64), "")</f>
        <v>0</v>
      </c>
      <c r="AJ64" s="286" t="n">
        <f aca="false">IFERROR(SUMIF($V$4:$AG$4, "De Minimis", V64:AG64), "")</f>
        <v>0</v>
      </c>
      <c r="AK64" s="303"/>
      <c r="AL64" s="288" t="str">
        <f aca="false">IF((SUM(I64:T64)&gt;1),"ERROR","")</f>
        <v/>
      </c>
    </row>
    <row r="65" customFormat="false" ht="15" hidden="false" customHeight="true" outlineLevel="0" collapsed="false">
      <c r="H65" s="350"/>
      <c r="I65" s="282"/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3"/>
      <c r="V65" s="284" t="n">
        <f aca="false">IFERROR(I65*$E65, "")</f>
        <v>0</v>
      </c>
      <c r="W65" s="284" t="n">
        <f aca="false">IFERROR(J65*$E65, "")</f>
        <v>0</v>
      </c>
      <c r="X65" s="284" t="n">
        <f aca="false">IFERROR(K65*$E65, "")</f>
        <v>0</v>
      </c>
      <c r="Y65" s="284" t="n">
        <f aca="false">IFERROR(L65*$E65, "")</f>
        <v>0</v>
      </c>
      <c r="Z65" s="284" t="n">
        <f aca="false">IFERROR(M65*$E65, "")</f>
        <v>0</v>
      </c>
      <c r="AA65" s="284" t="n">
        <f aca="false">IFERROR(N65*$E65, "")</f>
        <v>0</v>
      </c>
      <c r="AB65" s="284" t="n">
        <f aca="false">IFERROR(O65*$E65, "")</f>
        <v>0</v>
      </c>
      <c r="AC65" s="284" t="n">
        <f aca="false">IFERROR(P65*$E65, "")</f>
        <v>0</v>
      </c>
      <c r="AD65" s="284" t="n">
        <f aca="false">IFERROR(Q65*$E65, "")</f>
        <v>0</v>
      </c>
      <c r="AE65" s="284" t="n">
        <f aca="false">IFERROR(R65*$E65, "")</f>
        <v>0</v>
      </c>
      <c r="AF65" s="284" t="n">
        <f aca="false">IFERROR(S65*$E65, "")</f>
        <v>0</v>
      </c>
      <c r="AG65" s="284" t="n">
        <f aca="false">IFERROR(T65*$E65, "")</f>
        <v>0</v>
      </c>
      <c r="AH65" s="286" t="n">
        <f aca="false">IFERROR(SUMIF($V$4:$AG$4, "RDEC", V65:AG65), "")</f>
        <v>0</v>
      </c>
      <c r="AI65" s="286" t="n">
        <f aca="false">IFERROR(SUMIF($V$4:$AG$4, "SME", V65:AG65), "")</f>
        <v>0</v>
      </c>
      <c r="AJ65" s="286" t="n">
        <f aca="false">IFERROR(SUMIF($V$4:$AG$4, "De Minimis", V65:AG65), "")</f>
        <v>0</v>
      </c>
      <c r="AL65" s="288" t="str">
        <f aca="false">IF((SUM(I65:T65)&gt;1),"ERROR","")</f>
        <v/>
      </c>
    </row>
    <row r="66" customFormat="false" ht="15" hidden="false" customHeight="true" outlineLevel="0" collapsed="false">
      <c r="H66" s="350"/>
      <c r="I66" s="282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3"/>
      <c r="V66" s="284" t="n">
        <f aca="false">IFERROR(I66*$E66, "")</f>
        <v>0</v>
      </c>
      <c r="W66" s="284" t="n">
        <f aca="false">IFERROR(J66*$E66, "")</f>
        <v>0</v>
      </c>
      <c r="X66" s="284" t="n">
        <f aca="false">IFERROR(K66*$E66, "")</f>
        <v>0</v>
      </c>
      <c r="Y66" s="284" t="n">
        <f aca="false">IFERROR(L66*$E66, "")</f>
        <v>0</v>
      </c>
      <c r="Z66" s="284" t="n">
        <f aca="false">IFERROR(M66*$E66, "")</f>
        <v>0</v>
      </c>
      <c r="AA66" s="284" t="n">
        <f aca="false">IFERROR(N66*$E66, "")</f>
        <v>0</v>
      </c>
      <c r="AB66" s="284" t="n">
        <f aca="false">IFERROR(O66*$E66, "")</f>
        <v>0</v>
      </c>
      <c r="AC66" s="284" t="n">
        <f aca="false">IFERROR(P66*$E66, "")</f>
        <v>0</v>
      </c>
      <c r="AD66" s="284" t="n">
        <f aca="false">IFERROR(Q66*$E66, "")</f>
        <v>0</v>
      </c>
      <c r="AE66" s="284" t="n">
        <f aca="false">IFERROR(R66*$E66, "")</f>
        <v>0</v>
      </c>
      <c r="AF66" s="284" t="n">
        <f aca="false">IFERROR(S66*$E66, "")</f>
        <v>0</v>
      </c>
      <c r="AG66" s="284" t="n">
        <f aca="false">IFERROR(T66*$E66, "")</f>
        <v>0</v>
      </c>
      <c r="AH66" s="286" t="n">
        <f aca="false">IFERROR(SUMIF($V$4:$AG$4, "RDEC", V66:AG66), "")</f>
        <v>0</v>
      </c>
      <c r="AI66" s="286" t="n">
        <f aca="false">IFERROR(SUMIF($V$4:$AG$4, "SME", V66:AG66), "")</f>
        <v>0</v>
      </c>
      <c r="AJ66" s="286" t="n">
        <f aca="false">IFERROR(SUMIF($V$4:$AG$4, "De Minimis", V66:AG66), "")</f>
        <v>0</v>
      </c>
      <c r="AK66" s="268"/>
      <c r="AL66" s="288" t="str">
        <f aca="false">IF((SUM(I66:T66)&gt;1),"ERROR","")</f>
        <v/>
      </c>
    </row>
    <row r="67" customFormat="false" ht="15" hidden="false" customHeight="true" outlineLevel="0" collapsed="false">
      <c r="H67" s="350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3"/>
      <c r="V67" s="284" t="n">
        <f aca="false">IFERROR(I67*$E67, "")</f>
        <v>0</v>
      </c>
      <c r="W67" s="284" t="n">
        <f aca="false">IFERROR(J67*$E67, "")</f>
        <v>0</v>
      </c>
      <c r="X67" s="284" t="n">
        <f aca="false">IFERROR(K67*$E67, "")</f>
        <v>0</v>
      </c>
      <c r="Y67" s="284" t="n">
        <f aca="false">IFERROR(L67*$E67, "")</f>
        <v>0</v>
      </c>
      <c r="Z67" s="284" t="n">
        <f aca="false">IFERROR(M67*$E67, "")</f>
        <v>0</v>
      </c>
      <c r="AA67" s="284" t="n">
        <f aca="false">IFERROR(N67*$E67, "")</f>
        <v>0</v>
      </c>
      <c r="AB67" s="284" t="n">
        <f aca="false">IFERROR(O67*$E67, "")</f>
        <v>0</v>
      </c>
      <c r="AC67" s="284" t="n">
        <f aca="false">IFERROR(P67*$E67, "")</f>
        <v>0</v>
      </c>
      <c r="AD67" s="284" t="n">
        <f aca="false">IFERROR(Q67*$E67, "")</f>
        <v>0</v>
      </c>
      <c r="AE67" s="284" t="n">
        <f aca="false">IFERROR(R67*$E67, "")</f>
        <v>0</v>
      </c>
      <c r="AF67" s="284" t="n">
        <f aca="false">IFERROR(S67*$E67, "")</f>
        <v>0</v>
      </c>
      <c r="AG67" s="284" t="n">
        <f aca="false">IFERROR(T67*$E67, "")</f>
        <v>0</v>
      </c>
      <c r="AH67" s="286" t="n">
        <f aca="false">IFERROR(SUMIF($V$4:$AG$4, "RDEC", V67:AG67), "")</f>
        <v>0</v>
      </c>
      <c r="AI67" s="286" t="n">
        <f aca="false">IFERROR(SUMIF($V$4:$AG$4, "SME", V67:AG67), "")</f>
        <v>0</v>
      </c>
      <c r="AJ67" s="286" t="n">
        <f aca="false">IFERROR(SUMIF($V$4:$AG$4, "De Minimis", V67:AG67), "")</f>
        <v>0</v>
      </c>
      <c r="AK67" s="287"/>
      <c r="AL67" s="288" t="str">
        <f aca="false">IF((SUM(I67:T67)&gt;1),"ERROR","")</f>
        <v/>
      </c>
    </row>
    <row r="68" customFormat="false" ht="15" hidden="false" customHeight="true" outlineLevel="0" collapsed="false">
      <c r="H68" s="350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3"/>
      <c r="V68" s="284" t="n">
        <f aca="false">IFERROR(I68*$E68, "")</f>
        <v>0</v>
      </c>
      <c r="W68" s="284" t="n">
        <f aca="false">IFERROR(J68*$E68, "")</f>
        <v>0</v>
      </c>
      <c r="X68" s="284" t="n">
        <f aca="false">IFERROR(K68*$E68, "")</f>
        <v>0</v>
      </c>
      <c r="Y68" s="284" t="n">
        <f aca="false">IFERROR(L68*$E68, "")</f>
        <v>0</v>
      </c>
      <c r="Z68" s="284" t="n">
        <f aca="false">IFERROR(M68*$E68, "")</f>
        <v>0</v>
      </c>
      <c r="AA68" s="284" t="n">
        <f aca="false">IFERROR(N68*$E68, "")</f>
        <v>0</v>
      </c>
      <c r="AB68" s="284" t="n">
        <f aca="false">IFERROR(O68*$E68, "")</f>
        <v>0</v>
      </c>
      <c r="AC68" s="284" t="n">
        <f aca="false">IFERROR(P68*$E68, "")</f>
        <v>0</v>
      </c>
      <c r="AD68" s="284" t="n">
        <f aca="false">IFERROR(Q68*$E68, "")</f>
        <v>0</v>
      </c>
      <c r="AE68" s="284" t="n">
        <f aca="false">IFERROR(R68*$E68, "")</f>
        <v>0</v>
      </c>
      <c r="AF68" s="284" t="n">
        <f aca="false">IFERROR(S68*$E68, "")</f>
        <v>0</v>
      </c>
      <c r="AG68" s="284" t="n">
        <f aca="false">IFERROR(T68*$E68, "")</f>
        <v>0</v>
      </c>
      <c r="AH68" s="286" t="n">
        <f aca="false">IFERROR(SUMIF($V$4:$AG$4, "RDEC", V68:AG68), "")</f>
        <v>0</v>
      </c>
      <c r="AI68" s="286" t="n">
        <f aca="false">IFERROR(SUMIF($V$4:$AG$4, "SME", V68:AG68), "")</f>
        <v>0</v>
      </c>
      <c r="AJ68" s="286" t="n">
        <f aca="false">IFERROR(SUMIF($V$4:$AG$4, "De Minimis", V68:AG68), "")</f>
        <v>0</v>
      </c>
      <c r="AK68" s="287"/>
      <c r="AL68" s="288" t="str">
        <f aca="false">IF((SUM(I68:T68)&gt;1),"ERROR","")</f>
        <v/>
      </c>
    </row>
    <row r="69" customFormat="false" ht="15" hidden="false" customHeight="true" outlineLevel="0" collapsed="false">
      <c r="H69" s="350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3"/>
      <c r="V69" s="284" t="n">
        <f aca="false">IFERROR(I69*$E69, "")</f>
        <v>0</v>
      </c>
      <c r="W69" s="284" t="n">
        <f aca="false">IFERROR(J69*$E69, "")</f>
        <v>0</v>
      </c>
      <c r="X69" s="284" t="n">
        <f aca="false">IFERROR(K69*$E69, "")</f>
        <v>0</v>
      </c>
      <c r="Y69" s="284" t="n">
        <f aca="false">IFERROR(L69*$E69, "")</f>
        <v>0</v>
      </c>
      <c r="Z69" s="284" t="n">
        <f aca="false">IFERROR(M69*$E69, "")</f>
        <v>0</v>
      </c>
      <c r="AA69" s="284" t="n">
        <f aca="false">IFERROR(N69*$E69, "")</f>
        <v>0</v>
      </c>
      <c r="AB69" s="284" t="n">
        <f aca="false">IFERROR(O69*$E69, "")</f>
        <v>0</v>
      </c>
      <c r="AC69" s="284" t="n">
        <f aca="false">IFERROR(P69*$E69, "")</f>
        <v>0</v>
      </c>
      <c r="AD69" s="284" t="n">
        <f aca="false">IFERROR(Q69*$E69, "")</f>
        <v>0</v>
      </c>
      <c r="AE69" s="284" t="n">
        <f aca="false">IFERROR(R69*$E69, "")</f>
        <v>0</v>
      </c>
      <c r="AF69" s="284" t="n">
        <f aca="false">IFERROR(S69*$E69, "")</f>
        <v>0</v>
      </c>
      <c r="AG69" s="284" t="n">
        <f aca="false">IFERROR(T69*$E69, "")</f>
        <v>0</v>
      </c>
      <c r="AH69" s="286" t="n">
        <f aca="false">IFERROR(SUMIF($V$4:$AG$4, "RDEC", V69:AG69), "")</f>
        <v>0</v>
      </c>
      <c r="AI69" s="286" t="n">
        <f aca="false">IFERROR(SUMIF($V$4:$AG$4, "SME", V69:AG69), "")</f>
        <v>0</v>
      </c>
      <c r="AJ69" s="286" t="n">
        <f aca="false">IFERROR(SUMIF($V$4:$AG$4, "De Minimis", V69:AG69), "")</f>
        <v>0</v>
      </c>
      <c r="AK69" s="287"/>
      <c r="AL69" s="288" t="str">
        <f aca="false">IF((SUM(I69:T69)&gt;1),"ERROR","")</f>
        <v/>
      </c>
    </row>
    <row r="70" customFormat="false" ht="15" hidden="false" customHeight="true" outlineLevel="0" collapsed="false">
      <c r="H70" s="350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3"/>
      <c r="V70" s="284" t="n">
        <f aca="false">IFERROR(I70*$E70, "")</f>
        <v>0</v>
      </c>
      <c r="W70" s="284" t="n">
        <f aca="false">IFERROR(J70*$E70, "")</f>
        <v>0</v>
      </c>
      <c r="X70" s="284" t="n">
        <f aca="false">IFERROR(K70*$E70, "")</f>
        <v>0</v>
      </c>
      <c r="Y70" s="284" t="n">
        <f aca="false">IFERROR(L70*$E70, "")</f>
        <v>0</v>
      </c>
      <c r="Z70" s="284" t="n">
        <f aca="false">IFERROR(M70*$E70, "")</f>
        <v>0</v>
      </c>
      <c r="AA70" s="284" t="n">
        <f aca="false">IFERROR(N70*$E70, "")</f>
        <v>0</v>
      </c>
      <c r="AB70" s="284" t="n">
        <f aca="false">IFERROR(O70*$E70, "")</f>
        <v>0</v>
      </c>
      <c r="AC70" s="284" t="n">
        <f aca="false">IFERROR(P70*$E70, "")</f>
        <v>0</v>
      </c>
      <c r="AD70" s="284" t="n">
        <f aca="false">IFERROR(Q70*$E70, "")</f>
        <v>0</v>
      </c>
      <c r="AE70" s="284" t="n">
        <f aca="false">IFERROR(R70*$E70, "")</f>
        <v>0</v>
      </c>
      <c r="AF70" s="284" t="n">
        <f aca="false">IFERROR(S70*$E70, "")</f>
        <v>0</v>
      </c>
      <c r="AG70" s="284" t="n">
        <f aca="false">IFERROR(T70*$E70, "")</f>
        <v>0</v>
      </c>
      <c r="AH70" s="286" t="n">
        <f aca="false">IFERROR(SUMIF($V$4:$AG$4, "RDEC", V70:AG70), "")</f>
        <v>0</v>
      </c>
      <c r="AI70" s="286" t="n">
        <f aca="false">IFERROR(SUMIF($V$4:$AG$4, "SME", V70:AG70), "")</f>
        <v>0</v>
      </c>
      <c r="AJ70" s="286" t="n">
        <f aca="false">IFERROR(SUMIF($V$4:$AG$4, "De Minimis", V70:AG70), "")</f>
        <v>0</v>
      </c>
      <c r="AK70" s="287"/>
      <c r="AL70" s="288" t="str">
        <f aca="false">IF((SUM(I70:T70)&gt;1),"ERROR","")</f>
        <v/>
      </c>
    </row>
    <row r="71" customFormat="false" ht="15" hidden="false" customHeight="true" outlineLevel="0" collapsed="false">
      <c r="H71" s="350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3"/>
      <c r="V71" s="284" t="n">
        <f aca="false">IFERROR(I71*$E71, "")</f>
        <v>0</v>
      </c>
      <c r="W71" s="284" t="n">
        <f aca="false">IFERROR(J71*$E71, "")</f>
        <v>0</v>
      </c>
      <c r="X71" s="284" t="n">
        <f aca="false">IFERROR(K71*$E71, "")</f>
        <v>0</v>
      </c>
      <c r="Y71" s="284" t="n">
        <f aca="false">IFERROR(L71*$E71, "")</f>
        <v>0</v>
      </c>
      <c r="Z71" s="284" t="n">
        <f aca="false">IFERROR(M71*$E71, "")</f>
        <v>0</v>
      </c>
      <c r="AA71" s="284" t="n">
        <f aca="false">IFERROR(N71*$E71, "")</f>
        <v>0</v>
      </c>
      <c r="AB71" s="284" t="n">
        <f aca="false">IFERROR(O71*$E71, "")</f>
        <v>0</v>
      </c>
      <c r="AC71" s="284" t="n">
        <f aca="false">IFERROR(P71*$E71, "")</f>
        <v>0</v>
      </c>
      <c r="AD71" s="284" t="n">
        <f aca="false">IFERROR(Q71*$E71, "")</f>
        <v>0</v>
      </c>
      <c r="AE71" s="284" t="n">
        <f aca="false">IFERROR(R71*$E71, "")</f>
        <v>0</v>
      </c>
      <c r="AF71" s="284" t="n">
        <f aca="false">IFERROR(S71*$E71, "")</f>
        <v>0</v>
      </c>
      <c r="AG71" s="284" t="n">
        <f aca="false">IFERROR(T71*$E71, "")</f>
        <v>0</v>
      </c>
      <c r="AH71" s="286" t="n">
        <f aca="false">IFERROR(SUMIF($V$4:$AG$4, "RDEC", V71:AG71), "")</f>
        <v>0</v>
      </c>
      <c r="AI71" s="286" t="n">
        <f aca="false">IFERROR(SUMIF($V$4:$AG$4, "SME", V71:AG71), "")</f>
        <v>0</v>
      </c>
      <c r="AJ71" s="286" t="n">
        <f aca="false">IFERROR(SUMIF($V$4:$AG$4, "De Minimis", V71:AG71), "")</f>
        <v>0</v>
      </c>
      <c r="AK71" s="287"/>
      <c r="AL71" s="288" t="str">
        <f aca="false">IF((SUM(I71:T71)&gt;1),"ERROR","")</f>
        <v/>
      </c>
    </row>
    <row r="72" customFormat="false" ht="15" hidden="false" customHeight="true" outlineLevel="0" collapsed="false">
      <c r="H72" s="350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3"/>
      <c r="V72" s="284" t="n">
        <f aca="false">IFERROR(I72*$E72, "")</f>
        <v>0</v>
      </c>
      <c r="W72" s="284" t="n">
        <f aca="false">IFERROR(J72*$E72, "")</f>
        <v>0</v>
      </c>
      <c r="X72" s="284" t="n">
        <f aca="false">IFERROR(K72*$E72, "")</f>
        <v>0</v>
      </c>
      <c r="Y72" s="284" t="n">
        <f aca="false">IFERROR(L72*$E72, "")</f>
        <v>0</v>
      </c>
      <c r="Z72" s="284" t="n">
        <f aca="false">IFERROR(M72*$E72, "")</f>
        <v>0</v>
      </c>
      <c r="AA72" s="284" t="n">
        <f aca="false">IFERROR(N72*$E72, "")</f>
        <v>0</v>
      </c>
      <c r="AB72" s="284" t="n">
        <f aca="false">IFERROR(O72*$E72, "")</f>
        <v>0</v>
      </c>
      <c r="AC72" s="284" t="n">
        <f aca="false">IFERROR(P72*$E72, "")</f>
        <v>0</v>
      </c>
      <c r="AD72" s="284" t="n">
        <f aca="false">IFERROR(Q72*$E72, "")</f>
        <v>0</v>
      </c>
      <c r="AE72" s="284" t="n">
        <f aca="false">IFERROR(R72*$E72, "")</f>
        <v>0</v>
      </c>
      <c r="AF72" s="284" t="n">
        <f aca="false">IFERROR(S72*$E72, "")</f>
        <v>0</v>
      </c>
      <c r="AG72" s="284" t="n">
        <f aca="false">IFERROR(T72*$E72, "")</f>
        <v>0</v>
      </c>
      <c r="AH72" s="286" t="n">
        <f aca="false">IFERROR(SUMIF($V$4:$AG$4, "RDEC", V72:AG72), "")</f>
        <v>0</v>
      </c>
      <c r="AI72" s="286" t="n">
        <f aca="false">IFERROR(SUMIF($V$4:$AG$4, "SME", V72:AG72), "")</f>
        <v>0</v>
      </c>
      <c r="AJ72" s="286" t="n">
        <f aca="false">IFERROR(SUMIF($V$4:$AG$4, "De Minimis", V72:AG72), "")</f>
        <v>0</v>
      </c>
      <c r="AK72" s="287"/>
      <c r="AL72" s="288" t="str">
        <f aca="false">IF((SUM(I72:T72)&gt;1),"ERROR","")</f>
        <v/>
      </c>
    </row>
    <row r="73" customFormat="false" ht="15" hidden="false" customHeight="true" outlineLevel="0" collapsed="false">
      <c r="H73" s="350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3"/>
      <c r="V73" s="284" t="n">
        <f aca="false">IFERROR(I73*$E73, "")</f>
        <v>0</v>
      </c>
      <c r="W73" s="284" t="n">
        <f aca="false">IFERROR(J73*$E73, "")</f>
        <v>0</v>
      </c>
      <c r="X73" s="284" t="n">
        <f aca="false">IFERROR(K73*$E73, "")</f>
        <v>0</v>
      </c>
      <c r="Y73" s="284" t="n">
        <f aca="false">IFERROR(L73*$E73, "")</f>
        <v>0</v>
      </c>
      <c r="Z73" s="284" t="n">
        <f aca="false">IFERROR(M73*$E73, "")</f>
        <v>0</v>
      </c>
      <c r="AA73" s="284" t="n">
        <f aca="false">IFERROR(N73*$E73, "")</f>
        <v>0</v>
      </c>
      <c r="AB73" s="284" t="n">
        <f aca="false">IFERROR(O73*$E73, "")</f>
        <v>0</v>
      </c>
      <c r="AC73" s="284" t="n">
        <f aca="false">IFERROR(P73*$E73, "")</f>
        <v>0</v>
      </c>
      <c r="AD73" s="284" t="n">
        <f aca="false">IFERROR(Q73*$E73, "")</f>
        <v>0</v>
      </c>
      <c r="AE73" s="284" t="n">
        <f aca="false">IFERROR(R73*$E73, "")</f>
        <v>0</v>
      </c>
      <c r="AF73" s="284" t="n">
        <f aca="false">IFERROR(S73*$E73, "")</f>
        <v>0</v>
      </c>
      <c r="AG73" s="284" t="n">
        <f aca="false">IFERROR(T73*$E73, "")</f>
        <v>0</v>
      </c>
      <c r="AH73" s="286" t="n">
        <f aca="false">IFERROR(SUMIF($V$4:$AG$4, "RDEC", V73:AG73), "")</f>
        <v>0</v>
      </c>
      <c r="AI73" s="286" t="n">
        <f aca="false">IFERROR(SUMIF($V$4:$AG$4, "SME", V73:AG73), "")</f>
        <v>0</v>
      </c>
      <c r="AJ73" s="286" t="n">
        <f aca="false">IFERROR(SUMIF($V$4:$AG$4, "De Minimis", V73:AG73), "")</f>
        <v>0</v>
      </c>
      <c r="AK73" s="287"/>
      <c r="AL73" s="288" t="str">
        <f aca="false">IF((SUM(I73:T73)&gt;1),"ERROR","")</f>
        <v/>
      </c>
    </row>
    <row r="74" customFormat="false" ht="15" hidden="false" customHeight="true" outlineLevel="0" collapsed="false">
      <c r="H74" s="350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3"/>
      <c r="V74" s="284" t="n">
        <f aca="false">IFERROR(I74*$E74, "")</f>
        <v>0</v>
      </c>
      <c r="W74" s="284" t="n">
        <f aca="false">IFERROR(J74*$E74, "")</f>
        <v>0</v>
      </c>
      <c r="X74" s="284" t="n">
        <f aca="false">IFERROR(K74*$E74, "")</f>
        <v>0</v>
      </c>
      <c r="Y74" s="284" t="n">
        <f aca="false">IFERROR(L74*$E74, "")</f>
        <v>0</v>
      </c>
      <c r="Z74" s="284" t="n">
        <f aca="false">IFERROR(M74*$E74, "")</f>
        <v>0</v>
      </c>
      <c r="AA74" s="284" t="n">
        <f aca="false">IFERROR(N74*$E74, "")</f>
        <v>0</v>
      </c>
      <c r="AB74" s="284" t="n">
        <f aca="false">IFERROR(O74*$E74, "")</f>
        <v>0</v>
      </c>
      <c r="AC74" s="284" t="n">
        <f aca="false">IFERROR(P74*$E74, "")</f>
        <v>0</v>
      </c>
      <c r="AD74" s="284" t="n">
        <f aca="false">IFERROR(Q74*$E74, "")</f>
        <v>0</v>
      </c>
      <c r="AE74" s="284" t="n">
        <f aca="false">IFERROR(R74*$E74, "")</f>
        <v>0</v>
      </c>
      <c r="AF74" s="284" t="n">
        <f aca="false">IFERROR(S74*$E74, "")</f>
        <v>0</v>
      </c>
      <c r="AG74" s="284" t="n">
        <f aca="false">IFERROR(T74*$E74, "")</f>
        <v>0</v>
      </c>
      <c r="AH74" s="286" t="n">
        <f aca="false">IFERROR(SUMIF($V$4:$AG$4, "RDEC", V74:AG74), "")</f>
        <v>0</v>
      </c>
      <c r="AI74" s="286" t="n">
        <f aca="false">IFERROR(SUMIF($V$4:$AG$4, "SME", V74:AG74), "")</f>
        <v>0</v>
      </c>
      <c r="AJ74" s="286" t="n">
        <f aca="false">IFERROR(SUMIF($V$4:$AG$4, "De Minimis", V74:AG74), "")</f>
        <v>0</v>
      </c>
      <c r="AK74" s="287"/>
      <c r="AL74" s="288" t="str">
        <f aca="false">IF((SUM(I74:T74)&gt;1),"ERROR","")</f>
        <v/>
      </c>
    </row>
    <row r="75" customFormat="false" ht="15" hidden="false" customHeight="true" outlineLevel="0" collapsed="false">
      <c r="H75" s="350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3"/>
      <c r="V75" s="284" t="n">
        <f aca="false">IFERROR(I75*$E75, "")</f>
        <v>0</v>
      </c>
      <c r="W75" s="284" t="n">
        <f aca="false">IFERROR(J75*$E75, "")</f>
        <v>0</v>
      </c>
      <c r="X75" s="284" t="n">
        <f aca="false">IFERROR(K75*$E75, "")</f>
        <v>0</v>
      </c>
      <c r="Y75" s="284" t="n">
        <f aca="false">IFERROR(L75*$E75, "")</f>
        <v>0</v>
      </c>
      <c r="Z75" s="284" t="n">
        <f aca="false">IFERROR(M75*$E75, "")</f>
        <v>0</v>
      </c>
      <c r="AA75" s="284" t="n">
        <f aca="false">IFERROR(N75*$E75, "")</f>
        <v>0</v>
      </c>
      <c r="AB75" s="284" t="n">
        <f aca="false">IFERROR(O75*$E75, "")</f>
        <v>0</v>
      </c>
      <c r="AC75" s="284" t="n">
        <f aca="false">IFERROR(P75*$E75, "")</f>
        <v>0</v>
      </c>
      <c r="AD75" s="284" t="n">
        <f aca="false">IFERROR(Q75*$E75, "")</f>
        <v>0</v>
      </c>
      <c r="AE75" s="284" t="n">
        <f aca="false">IFERROR(R75*$E75, "")</f>
        <v>0</v>
      </c>
      <c r="AF75" s="284" t="n">
        <f aca="false">IFERROR(S75*$E75, "")</f>
        <v>0</v>
      </c>
      <c r="AG75" s="284" t="n">
        <f aca="false">IFERROR(T75*$E75, "")</f>
        <v>0</v>
      </c>
      <c r="AH75" s="286" t="n">
        <f aca="false">IFERROR(SUMIF($V$4:$AG$4, "RDEC", V75:AG75), "")</f>
        <v>0</v>
      </c>
      <c r="AI75" s="286" t="n">
        <f aca="false">IFERROR(SUMIF($V$4:$AG$4, "SME", V75:AG75), "")</f>
        <v>0</v>
      </c>
      <c r="AJ75" s="286" t="n">
        <f aca="false">IFERROR(SUMIF($V$4:$AG$4, "De Minimis", V75:AG75), "")</f>
        <v>0</v>
      </c>
      <c r="AK75" s="287"/>
      <c r="AL75" s="288" t="str">
        <f aca="false">IF((SUM(I75:T75)&gt;1),"ERROR","")</f>
        <v/>
      </c>
    </row>
    <row r="76" customFormat="false" ht="15" hidden="false" customHeight="true" outlineLevel="0" collapsed="false">
      <c r="H76" s="350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3"/>
      <c r="V76" s="284" t="n">
        <f aca="false">IFERROR(I76*$E76, "")</f>
        <v>0</v>
      </c>
      <c r="W76" s="284" t="n">
        <f aca="false">IFERROR(J76*$E76, "")</f>
        <v>0</v>
      </c>
      <c r="X76" s="284" t="n">
        <f aca="false">IFERROR(K76*$E76, "")</f>
        <v>0</v>
      </c>
      <c r="Y76" s="284" t="n">
        <f aca="false">IFERROR(L76*$E76, "")</f>
        <v>0</v>
      </c>
      <c r="Z76" s="284" t="n">
        <f aca="false">IFERROR(M76*$E76, "")</f>
        <v>0</v>
      </c>
      <c r="AA76" s="284" t="n">
        <f aca="false">IFERROR(N76*$E76, "")</f>
        <v>0</v>
      </c>
      <c r="AB76" s="284" t="n">
        <f aca="false">IFERROR(O76*$E76, "")</f>
        <v>0</v>
      </c>
      <c r="AC76" s="284" t="n">
        <f aca="false">IFERROR(P76*$E76, "")</f>
        <v>0</v>
      </c>
      <c r="AD76" s="284" t="n">
        <f aca="false">IFERROR(Q76*$E76, "")</f>
        <v>0</v>
      </c>
      <c r="AE76" s="284" t="n">
        <f aca="false">IFERROR(R76*$E76, "")</f>
        <v>0</v>
      </c>
      <c r="AF76" s="284" t="n">
        <f aca="false">IFERROR(S76*$E76, "")</f>
        <v>0</v>
      </c>
      <c r="AG76" s="284" t="n">
        <f aca="false">IFERROR(T76*$E76, "")</f>
        <v>0</v>
      </c>
      <c r="AH76" s="286" t="n">
        <f aca="false">IFERROR(SUMIF($V$4:$AG$4, "RDEC", V76:AG76), "")</f>
        <v>0</v>
      </c>
      <c r="AI76" s="286" t="n">
        <f aca="false">IFERROR(SUMIF($V$4:$AG$4, "SME", V76:AG76), "")</f>
        <v>0</v>
      </c>
      <c r="AJ76" s="286" t="n">
        <f aca="false">IFERROR(SUMIF($V$4:$AG$4, "De Minimis", V76:AG76), "")</f>
        <v>0</v>
      </c>
      <c r="AK76" s="287"/>
      <c r="AL76" s="288" t="str">
        <f aca="false">IF((SUM(I76:T76)&gt;1),"ERROR","")</f>
        <v/>
      </c>
    </row>
    <row r="77" customFormat="false" ht="15" hidden="false" customHeight="true" outlineLevel="0" collapsed="false">
      <c r="H77" s="350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3"/>
      <c r="V77" s="284" t="n">
        <f aca="false">IFERROR(I77*$E77, "")</f>
        <v>0</v>
      </c>
      <c r="W77" s="284" t="n">
        <f aca="false">IFERROR(J77*$E77, "")</f>
        <v>0</v>
      </c>
      <c r="X77" s="284" t="n">
        <f aca="false">IFERROR(K77*$E77, "")</f>
        <v>0</v>
      </c>
      <c r="Y77" s="284" t="n">
        <f aca="false">IFERROR(L77*$E77, "")</f>
        <v>0</v>
      </c>
      <c r="Z77" s="284" t="n">
        <f aca="false">IFERROR(M77*$E77, "")</f>
        <v>0</v>
      </c>
      <c r="AA77" s="284" t="n">
        <f aca="false">IFERROR(N77*$E77, "")</f>
        <v>0</v>
      </c>
      <c r="AB77" s="284" t="n">
        <f aca="false">IFERROR(O77*$E77, "")</f>
        <v>0</v>
      </c>
      <c r="AC77" s="284" t="n">
        <f aca="false">IFERROR(P77*$E77, "")</f>
        <v>0</v>
      </c>
      <c r="AD77" s="284" t="n">
        <f aca="false">IFERROR(Q77*$E77, "")</f>
        <v>0</v>
      </c>
      <c r="AE77" s="284" t="n">
        <f aca="false">IFERROR(R77*$E77, "")</f>
        <v>0</v>
      </c>
      <c r="AF77" s="284" t="n">
        <f aca="false">IFERROR(S77*$E77, "")</f>
        <v>0</v>
      </c>
      <c r="AG77" s="284" t="n">
        <f aca="false">IFERROR(T77*$E77, "")</f>
        <v>0</v>
      </c>
      <c r="AH77" s="286" t="n">
        <f aca="false">IFERROR(SUMIF($V$4:$AG$4, "RDEC", V77:AG77), "")</f>
        <v>0</v>
      </c>
      <c r="AI77" s="286" t="n">
        <f aca="false">IFERROR(SUMIF($V$4:$AG$4, "SME", V77:AG77), "")</f>
        <v>0</v>
      </c>
      <c r="AJ77" s="286" t="n">
        <f aca="false">IFERROR(SUMIF($V$4:$AG$4, "De Minimis", V77:AG77), "")</f>
        <v>0</v>
      </c>
      <c r="AK77" s="287"/>
      <c r="AL77" s="288" t="str">
        <f aca="false">IF((SUM(I77:T77)&gt;1),"ERROR","")</f>
        <v/>
      </c>
    </row>
    <row r="78" customFormat="false" ht="15" hidden="false" customHeight="true" outlineLevel="0" collapsed="false">
      <c r="H78" s="350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3"/>
      <c r="V78" s="284" t="n">
        <f aca="false">IFERROR(I78*$E78, "")</f>
        <v>0</v>
      </c>
      <c r="W78" s="284" t="n">
        <f aca="false">IFERROR(J78*$E78, "")</f>
        <v>0</v>
      </c>
      <c r="X78" s="284" t="n">
        <f aca="false">IFERROR(K78*$E78, "")</f>
        <v>0</v>
      </c>
      <c r="Y78" s="284" t="n">
        <f aca="false">IFERROR(L78*$E78, "")</f>
        <v>0</v>
      </c>
      <c r="Z78" s="284" t="n">
        <f aca="false">IFERROR(M78*$E78, "")</f>
        <v>0</v>
      </c>
      <c r="AA78" s="284" t="n">
        <f aca="false">IFERROR(N78*$E78, "")</f>
        <v>0</v>
      </c>
      <c r="AB78" s="284" t="n">
        <f aca="false">IFERROR(O78*$E78, "")</f>
        <v>0</v>
      </c>
      <c r="AC78" s="284" t="n">
        <f aca="false">IFERROR(P78*$E78, "")</f>
        <v>0</v>
      </c>
      <c r="AD78" s="284" t="n">
        <f aca="false">IFERROR(Q78*$E78, "")</f>
        <v>0</v>
      </c>
      <c r="AE78" s="284" t="n">
        <f aca="false">IFERROR(R78*$E78, "")</f>
        <v>0</v>
      </c>
      <c r="AF78" s="284" t="n">
        <f aca="false">IFERROR(S78*$E78, "")</f>
        <v>0</v>
      </c>
      <c r="AG78" s="284" t="n">
        <f aca="false">IFERROR(T78*$E78, "")</f>
        <v>0</v>
      </c>
      <c r="AH78" s="286" t="n">
        <f aca="false">IFERROR(SUMIF($V$4:$AG$4, "RDEC", V78:AG78), "")</f>
        <v>0</v>
      </c>
      <c r="AI78" s="286" t="n">
        <f aca="false">IFERROR(SUMIF($V$4:$AG$4, "SME", V78:AG78), "")</f>
        <v>0</v>
      </c>
      <c r="AJ78" s="286" t="n">
        <f aca="false">IFERROR(SUMIF($V$4:$AG$4, "De Minimis", V78:AG78), "")</f>
        <v>0</v>
      </c>
      <c r="AK78" s="287"/>
      <c r="AL78" s="288" t="str">
        <f aca="false">IF((SUM(I78:T78)&gt;1),"ERROR","")</f>
        <v/>
      </c>
    </row>
    <row r="79" customFormat="false" ht="15" hidden="false" customHeight="true" outlineLevel="0" collapsed="false">
      <c r="H79" s="350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3"/>
      <c r="V79" s="284" t="n">
        <f aca="false">IFERROR(I79*$E79, "")</f>
        <v>0</v>
      </c>
      <c r="W79" s="284" t="n">
        <f aca="false">IFERROR(J79*$E79, "")</f>
        <v>0</v>
      </c>
      <c r="X79" s="284" t="n">
        <f aca="false">IFERROR(K79*$E79, "")</f>
        <v>0</v>
      </c>
      <c r="Y79" s="284" t="n">
        <f aca="false">IFERROR(L79*$E79, "")</f>
        <v>0</v>
      </c>
      <c r="Z79" s="284" t="n">
        <f aca="false">IFERROR(M79*$E79, "")</f>
        <v>0</v>
      </c>
      <c r="AA79" s="284" t="n">
        <f aca="false">IFERROR(N79*$E79, "")</f>
        <v>0</v>
      </c>
      <c r="AB79" s="284" t="n">
        <f aca="false">IFERROR(O79*$E79, "")</f>
        <v>0</v>
      </c>
      <c r="AC79" s="284" t="n">
        <f aca="false">IFERROR(P79*$E79, "")</f>
        <v>0</v>
      </c>
      <c r="AD79" s="284" t="n">
        <f aca="false">IFERROR(Q79*$E79, "")</f>
        <v>0</v>
      </c>
      <c r="AE79" s="284" t="n">
        <f aca="false">IFERROR(R79*$E79, "")</f>
        <v>0</v>
      </c>
      <c r="AF79" s="284" t="n">
        <f aca="false">IFERROR(S79*$E79, "")</f>
        <v>0</v>
      </c>
      <c r="AG79" s="284" t="n">
        <f aca="false">IFERROR(T79*$E79, "")</f>
        <v>0</v>
      </c>
      <c r="AH79" s="286" t="n">
        <f aca="false">IFERROR(SUMIF($V$4:$AG$4, "RDEC", V79:AG79), "")</f>
        <v>0</v>
      </c>
      <c r="AI79" s="286" t="n">
        <f aca="false">IFERROR(SUMIF($V$4:$AG$4, "SME", V79:AG79), "")</f>
        <v>0</v>
      </c>
      <c r="AJ79" s="286" t="n">
        <f aca="false">IFERROR(SUMIF($V$4:$AG$4, "De Minimis", V79:AG79), "")</f>
        <v>0</v>
      </c>
      <c r="AK79" s="303"/>
      <c r="AL79" s="288" t="str">
        <f aca="false">IF((SUM(I79:T79)&gt;1),"ERROR","")</f>
        <v/>
      </c>
    </row>
    <row r="80" customFormat="false" ht="15" hidden="false" customHeight="true" outlineLevel="0" collapsed="false">
      <c r="H80" s="350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3"/>
      <c r="V80" s="284" t="n">
        <f aca="false">IFERROR(I80*$E80, "")</f>
        <v>0</v>
      </c>
      <c r="W80" s="284" t="n">
        <f aca="false">IFERROR(J80*$E80, "")</f>
        <v>0</v>
      </c>
      <c r="X80" s="284" t="n">
        <f aca="false">IFERROR(K80*$E80, "")</f>
        <v>0</v>
      </c>
      <c r="Y80" s="284" t="n">
        <f aca="false">IFERROR(L80*$E80, "")</f>
        <v>0</v>
      </c>
      <c r="Z80" s="284" t="n">
        <f aca="false">IFERROR(M80*$E80, "")</f>
        <v>0</v>
      </c>
      <c r="AA80" s="284" t="n">
        <f aca="false">IFERROR(N80*$E80, "")</f>
        <v>0</v>
      </c>
      <c r="AB80" s="284" t="n">
        <f aca="false">IFERROR(O80*$E80, "")</f>
        <v>0</v>
      </c>
      <c r="AC80" s="284" t="n">
        <f aca="false">IFERROR(P80*$E80, "")</f>
        <v>0</v>
      </c>
      <c r="AD80" s="284" t="n">
        <f aca="false">IFERROR(Q80*$E80, "")</f>
        <v>0</v>
      </c>
      <c r="AE80" s="284" t="n">
        <f aca="false">IFERROR(R80*$E80, "")</f>
        <v>0</v>
      </c>
      <c r="AF80" s="284" t="n">
        <f aca="false">IFERROR(S80*$E80, "")</f>
        <v>0</v>
      </c>
      <c r="AG80" s="284" t="n">
        <f aca="false">IFERROR(T80*$E80, "")</f>
        <v>0</v>
      </c>
      <c r="AH80" s="286" t="n">
        <f aca="false">IFERROR(SUMIF($V$4:$AG$4, "RDEC", V80:AG80), "")</f>
        <v>0</v>
      </c>
      <c r="AI80" s="286" t="n">
        <f aca="false">IFERROR(SUMIF($V$4:$AG$4, "SME", V80:AG80), "")</f>
        <v>0</v>
      </c>
      <c r="AJ80" s="286" t="n">
        <f aca="false">IFERROR(SUMIF($V$4:$AG$4, "De Minimis", V80:AG80), "")</f>
        <v>0</v>
      </c>
      <c r="AL80" s="288" t="str">
        <f aca="false">IF((SUM(I80:T80)&gt;1),"ERROR","")</f>
        <v/>
      </c>
    </row>
    <row r="81" customFormat="false" ht="15" hidden="false" customHeight="true" outlineLevel="0" collapsed="false">
      <c r="H81" s="350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3"/>
      <c r="V81" s="284" t="n">
        <f aca="false">IFERROR(I81*$E81, "")</f>
        <v>0</v>
      </c>
      <c r="W81" s="284" t="n">
        <f aca="false">IFERROR(J81*$E81, "")</f>
        <v>0</v>
      </c>
      <c r="X81" s="284" t="n">
        <f aca="false">IFERROR(K81*$E81, "")</f>
        <v>0</v>
      </c>
      <c r="Y81" s="284" t="n">
        <f aca="false">IFERROR(L81*$E81, "")</f>
        <v>0</v>
      </c>
      <c r="Z81" s="284" t="n">
        <f aca="false">IFERROR(M81*$E81, "")</f>
        <v>0</v>
      </c>
      <c r="AA81" s="284" t="n">
        <f aca="false">IFERROR(N81*$E81, "")</f>
        <v>0</v>
      </c>
      <c r="AB81" s="284" t="n">
        <f aca="false">IFERROR(O81*$E81, "")</f>
        <v>0</v>
      </c>
      <c r="AC81" s="284" t="n">
        <f aca="false">IFERROR(P81*$E81, "")</f>
        <v>0</v>
      </c>
      <c r="AD81" s="284" t="n">
        <f aca="false">IFERROR(Q81*$E81, "")</f>
        <v>0</v>
      </c>
      <c r="AE81" s="284" t="n">
        <f aca="false">IFERROR(R81*$E81, "")</f>
        <v>0</v>
      </c>
      <c r="AF81" s="284" t="n">
        <f aca="false">IFERROR(S81*$E81, "")</f>
        <v>0</v>
      </c>
      <c r="AG81" s="284" t="n">
        <f aca="false">IFERROR(T81*$E81, "")</f>
        <v>0</v>
      </c>
      <c r="AH81" s="286" t="n">
        <f aca="false">IFERROR(SUMIF($V$4:$AG$4, "RDEC", V81:AG81), "")</f>
        <v>0</v>
      </c>
      <c r="AI81" s="286" t="n">
        <f aca="false">IFERROR(SUMIF($V$4:$AG$4, "SME", V81:AG81), "")</f>
        <v>0</v>
      </c>
      <c r="AJ81" s="286" t="n">
        <f aca="false">IFERROR(SUMIF($V$4:$AG$4, "De Minimis", V81:AG81), "")</f>
        <v>0</v>
      </c>
      <c r="AK81" s="268"/>
      <c r="AL81" s="288" t="str">
        <f aca="false">IF((SUM(I81:T81)&gt;1),"ERROR","")</f>
        <v/>
      </c>
    </row>
    <row r="82" customFormat="false" ht="15" hidden="false" customHeight="true" outlineLevel="0" collapsed="false">
      <c r="H82" s="350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3"/>
      <c r="V82" s="284" t="n">
        <f aca="false">IFERROR(I82*$E82, "")</f>
        <v>0</v>
      </c>
      <c r="W82" s="284" t="n">
        <f aca="false">IFERROR(J82*$E82, "")</f>
        <v>0</v>
      </c>
      <c r="X82" s="284" t="n">
        <f aca="false">IFERROR(K82*$E82, "")</f>
        <v>0</v>
      </c>
      <c r="Y82" s="284" t="n">
        <f aca="false">IFERROR(L82*$E82, "")</f>
        <v>0</v>
      </c>
      <c r="Z82" s="284" t="n">
        <f aca="false">IFERROR(M82*$E82, "")</f>
        <v>0</v>
      </c>
      <c r="AA82" s="284" t="n">
        <f aca="false">IFERROR(N82*$E82, "")</f>
        <v>0</v>
      </c>
      <c r="AB82" s="284" t="n">
        <f aca="false">IFERROR(O82*$E82, "")</f>
        <v>0</v>
      </c>
      <c r="AC82" s="284" t="n">
        <f aca="false">IFERROR(P82*$E82, "")</f>
        <v>0</v>
      </c>
      <c r="AD82" s="284" t="n">
        <f aca="false">IFERROR(Q82*$E82, "")</f>
        <v>0</v>
      </c>
      <c r="AE82" s="284" t="n">
        <f aca="false">IFERROR(R82*$E82, "")</f>
        <v>0</v>
      </c>
      <c r="AF82" s="284" t="n">
        <f aca="false">IFERROR(S82*$E82, "")</f>
        <v>0</v>
      </c>
      <c r="AG82" s="284" t="n">
        <f aca="false">IFERROR(T82*$E82, "")</f>
        <v>0</v>
      </c>
      <c r="AH82" s="286" t="n">
        <f aca="false">IFERROR(SUMIF($V$4:$AG$4, "RDEC", V82:AG82), "")</f>
        <v>0</v>
      </c>
      <c r="AI82" s="286" t="n">
        <f aca="false">IFERROR(SUMIF($V$4:$AG$4, "SME", V82:AG82), "")</f>
        <v>0</v>
      </c>
      <c r="AJ82" s="286" t="n">
        <f aca="false">IFERROR(SUMIF($V$4:$AG$4, "De Minimis", V82:AG82), "")</f>
        <v>0</v>
      </c>
      <c r="AK82" s="287"/>
      <c r="AL82" s="288" t="str">
        <f aca="false">IF((SUM(I82:T82)&gt;1),"ERROR","")</f>
        <v/>
      </c>
    </row>
    <row r="83" customFormat="false" ht="15" hidden="false" customHeight="true" outlineLevel="0" collapsed="false">
      <c r="H83" s="350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3"/>
      <c r="V83" s="284" t="n">
        <f aca="false">IFERROR(I83*$E83, "")</f>
        <v>0</v>
      </c>
      <c r="W83" s="284" t="n">
        <f aca="false">IFERROR(J83*$E83, "")</f>
        <v>0</v>
      </c>
      <c r="X83" s="284" t="n">
        <f aca="false">IFERROR(K83*$E83, "")</f>
        <v>0</v>
      </c>
      <c r="Y83" s="284" t="n">
        <f aca="false">IFERROR(L83*$E83, "")</f>
        <v>0</v>
      </c>
      <c r="Z83" s="284" t="n">
        <f aca="false">IFERROR(M83*$E83, "")</f>
        <v>0</v>
      </c>
      <c r="AA83" s="284" t="n">
        <f aca="false">IFERROR(N83*$E83, "")</f>
        <v>0</v>
      </c>
      <c r="AB83" s="284" t="n">
        <f aca="false">IFERROR(O83*$E83, "")</f>
        <v>0</v>
      </c>
      <c r="AC83" s="284" t="n">
        <f aca="false">IFERROR(P83*$E83, "")</f>
        <v>0</v>
      </c>
      <c r="AD83" s="284" t="n">
        <f aca="false">IFERROR(Q83*$E83, "")</f>
        <v>0</v>
      </c>
      <c r="AE83" s="284" t="n">
        <f aca="false">IFERROR(R83*$E83, "")</f>
        <v>0</v>
      </c>
      <c r="AF83" s="284" t="n">
        <f aca="false">IFERROR(S83*$E83, "")</f>
        <v>0</v>
      </c>
      <c r="AG83" s="284" t="n">
        <f aca="false">IFERROR(T83*$E83, "")</f>
        <v>0</v>
      </c>
      <c r="AH83" s="286" t="n">
        <f aca="false">IFERROR(SUMIF($V$4:$AG$4, "RDEC", V83:AG83), "")</f>
        <v>0</v>
      </c>
      <c r="AI83" s="286" t="n">
        <f aca="false">IFERROR(SUMIF($V$4:$AG$4, "SME", V83:AG83), "")</f>
        <v>0</v>
      </c>
      <c r="AJ83" s="286" t="n">
        <f aca="false">IFERROR(SUMIF($V$4:$AG$4, "De Minimis", V83:AG83), "")</f>
        <v>0</v>
      </c>
      <c r="AK83" s="287"/>
      <c r="AL83" s="288" t="str">
        <f aca="false">IF((SUM(I83:T83)&gt;1),"ERROR","")</f>
        <v/>
      </c>
    </row>
    <row r="84" customFormat="false" ht="15" hidden="false" customHeight="true" outlineLevel="0" collapsed="false">
      <c r="H84" s="350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3"/>
      <c r="V84" s="284" t="n">
        <f aca="false">IFERROR(I84*$E84, "")</f>
        <v>0</v>
      </c>
      <c r="W84" s="284" t="n">
        <f aca="false">IFERROR(J84*$E84, "")</f>
        <v>0</v>
      </c>
      <c r="X84" s="284" t="n">
        <f aca="false">IFERROR(K84*$E84, "")</f>
        <v>0</v>
      </c>
      <c r="Y84" s="284" t="n">
        <f aca="false">IFERROR(L84*$E84, "")</f>
        <v>0</v>
      </c>
      <c r="Z84" s="284" t="n">
        <f aca="false">IFERROR(M84*$E84, "")</f>
        <v>0</v>
      </c>
      <c r="AA84" s="284" t="n">
        <f aca="false">IFERROR(N84*$E84, "")</f>
        <v>0</v>
      </c>
      <c r="AB84" s="284" t="n">
        <f aca="false">IFERROR(O84*$E84, "")</f>
        <v>0</v>
      </c>
      <c r="AC84" s="284" t="n">
        <f aca="false">IFERROR(P84*$E84, "")</f>
        <v>0</v>
      </c>
      <c r="AD84" s="284" t="n">
        <f aca="false">IFERROR(Q84*$E84, "")</f>
        <v>0</v>
      </c>
      <c r="AE84" s="284" t="n">
        <f aca="false">IFERROR(R84*$E84, "")</f>
        <v>0</v>
      </c>
      <c r="AF84" s="284" t="n">
        <f aca="false">IFERROR(S84*$E84, "")</f>
        <v>0</v>
      </c>
      <c r="AG84" s="284" t="n">
        <f aca="false">IFERROR(T84*$E84, "")</f>
        <v>0</v>
      </c>
      <c r="AH84" s="286" t="n">
        <f aca="false">IFERROR(SUMIF($V$4:$AG$4, "RDEC", V84:AG84), "")</f>
        <v>0</v>
      </c>
      <c r="AI84" s="286" t="n">
        <f aca="false">IFERROR(SUMIF($V$4:$AG$4, "SME", V84:AG84), "")</f>
        <v>0</v>
      </c>
      <c r="AJ84" s="286" t="n">
        <f aca="false">IFERROR(SUMIF($V$4:$AG$4, "De Minimis", V84:AG84), "")</f>
        <v>0</v>
      </c>
      <c r="AK84" s="287"/>
      <c r="AL84" s="288" t="str">
        <f aca="false">IF((SUM(I84:T84)&gt;1),"ERROR","")</f>
        <v/>
      </c>
    </row>
    <row r="85" customFormat="false" ht="15" hidden="false" customHeight="true" outlineLevel="0" collapsed="false">
      <c r="H85" s="350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3"/>
      <c r="V85" s="284" t="n">
        <f aca="false">IFERROR(I85*$E85, "")</f>
        <v>0</v>
      </c>
      <c r="W85" s="284" t="n">
        <f aca="false">IFERROR(J85*$E85, "")</f>
        <v>0</v>
      </c>
      <c r="X85" s="284" t="n">
        <f aca="false">IFERROR(K85*$E85, "")</f>
        <v>0</v>
      </c>
      <c r="Y85" s="284" t="n">
        <f aca="false">IFERROR(L85*$E85, "")</f>
        <v>0</v>
      </c>
      <c r="Z85" s="284" t="n">
        <f aca="false">IFERROR(M85*$E85, "")</f>
        <v>0</v>
      </c>
      <c r="AA85" s="284" t="n">
        <f aca="false">IFERROR(N85*$E85, "")</f>
        <v>0</v>
      </c>
      <c r="AB85" s="284" t="n">
        <f aca="false">IFERROR(O85*$E85, "")</f>
        <v>0</v>
      </c>
      <c r="AC85" s="284" t="n">
        <f aca="false">IFERROR(P85*$E85, "")</f>
        <v>0</v>
      </c>
      <c r="AD85" s="284" t="n">
        <f aca="false">IFERROR(Q85*$E85, "")</f>
        <v>0</v>
      </c>
      <c r="AE85" s="284" t="n">
        <f aca="false">IFERROR(R85*$E85, "")</f>
        <v>0</v>
      </c>
      <c r="AF85" s="284" t="n">
        <f aca="false">IFERROR(S85*$E85, "")</f>
        <v>0</v>
      </c>
      <c r="AG85" s="284" t="n">
        <f aca="false">IFERROR(T85*$E85, "")</f>
        <v>0</v>
      </c>
      <c r="AH85" s="286" t="n">
        <f aca="false">IFERROR(SUMIF($V$4:$AG$4, "RDEC", V85:AG85), "")</f>
        <v>0</v>
      </c>
      <c r="AI85" s="286" t="n">
        <f aca="false">IFERROR(SUMIF($V$4:$AG$4, "SME", V85:AG85), "")</f>
        <v>0</v>
      </c>
      <c r="AJ85" s="286" t="n">
        <f aca="false">IFERROR(SUMIF($V$4:$AG$4, "De Minimis", V85:AG85), "")</f>
        <v>0</v>
      </c>
      <c r="AK85" s="287"/>
      <c r="AL85" s="288" t="str">
        <f aca="false">IF((SUM(I85:T85)&gt;1),"ERROR","")</f>
        <v/>
      </c>
    </row>
    <row r="86" customFormat="false" ht="15" hidden="false" customHeight="true" outlineLevel="0" collapsed="false">
      <c r="H86" s="350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3"/>
      <c r="V86" s="284" t="n">
        <f aca="false">IFERROR(I86*$E86, "")</f>
        <v>0</v>
      </c>
      <c r="W86" s="284" t="n">
        <f aca="false">IFERROR(J86*$E86, "")</f>
        <v>0</v>
      </c>
      <c r="X86" s="284" t="n">
        <f aca="false">IFERROR(K86*$E86, "")</f>
        <v>0</v>
      </c>
      <c r="Y86" s="284" t="n">
        <f aca="false">IFERROR(L86*$E86, "")</f>
        <v>0</v>
      </c>
      <c r="Z86" s="284" t="n">
        <f aca="false">IFERROR(M86*$E86, "")</f>
        <v>0</v>
      </c>
      <c r="AA86" s="284" t="n">
        <f aca="false">IFERROR(N86*$E86, "")</f>
        <v>0</v>
      </c>
      <c r="AB86" s="284" t="n">
        <f aca="false">IFERROR(O86*$E86, "")</f>
        <v>0</v>
      </c>
      <c r="AC86" s="284" t="n">
        <f aca="false">IFERROR(P86*$E86, "")</f>
        <v>0</v>
      </c>
      <c r="AD86" s="284" t="n">
        <f aca="false">IFERROR(Q86*$E86, "")</f>
        <v>0</v>
      </c>
      <c r="AE86" s="284" t="n">
        <f aca="false">IFERROR(R86*$E86, "")</f>
        <v>0</v>
      </c>
      <c r="AF86" s="284" t="n">
        <f aca="false">IFERROR(S86*$E86, "")</f>
        <v>0</v>
      </c>
      <c r="AG86" s="284" t="n">
        <f aca="false">IFERROR(T86*$E86, "")</f>
        <v>0</v>
      </c>
      <c r="AH86" s="286" t="n">
        <f aca="false">IFERROR(SUMIF($V$4:$AG$4, "RDEC", V86:AG86), "")</f>
        <v>0</v>
      </c>
      <c r="AI86" s="286" t="n">
        <f aca="false">IFERROR(SUMIF($V$4:$AG$4, "SME", V86:AG86), "")</f>
        <v>0</v>
      </c>
      <c r="AJ86" s="286" t="n">
        <f aca="false">IFERROR(SUMIF($V$4:$AG$4, "De Minimis", V86:AG86), "")</f>
        <v>0</v>
      </c>
      <c r="AK86" s="287"/>
      <c r="AL86" s="288" t="str">
        <f aca="false">IF((SUM(I86:T86)&gt;1),"ERROR","")</f>
        <v/>
      </c>
    </row>
    <row r="87" customFormat="false" ht="15" hidden="false" customHeight="true" outlineLevel="0" collapsed="false">
      <c r="H87" s="350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3"/>
      <c r="V87" s="284" t="n">
        <f aca="false">IFERROR(I87*$E87, "")</f>
        <v>0</v>
      </c>
      <c r="W87" s="284" t="n">
        <f aca="false">IFERROR(J87*$E87, "")</f>
        <v>0</v>
      </c>
      <c r="X87" s="284" t="n">
        <f aca="false">IFERROR(K87*$E87, "")</f>
        <v>0</v>
      </c>
      <c r="Y87" s="284" t="n">
        <f aca="false">IFERROR(L87*$E87, "")</f>
        <v>0</v>
      </c>
      <c r="Z87" s="284" t="n">
        <f aca="false">IFERROR(M87*$E87, "")</f>
        <v>0</v>
      </c>
      <c r="AA87" s="284" t="n">
        <f aca="false">IFERROR(N87*$E87, "")</f>
        <v>0</v>
      </c>
      <c r="AB87" s="284" t="n">
        <f aca="false">IFERROR(O87*$E87, "")</f>
        <v>0</v>
      </c>
      <c r="AC87" s="284" t="n">
        <f aca="false">IFERROR(P87*$E87, "")</f>
        <v>0</v>
      </c>
      <c r="AD87" s="284" t="n">
        <f aca="false">IFERROR(Q87*$E87, "")</f>
        <v>0</v>
      </c>
      <c r="AE87" s="284" t="n">
        <f aca="false">IFERROR(R87*$E87, "")</f>
        <v>0</v>
      </c>
      <c r="AF87" s="284" t="n">
        <f aca="false">IFERROR(S87*$E87, "")</f>
        <v>0</v>
      </c>
      <c r="AG87" s="284" t="n">
        <f aca="false">IFERROR(T87*$E87, "")</f>
        <v>0</v>
      </c>
      <c r="AH87" s="286" t="n">
        <f aca="false">IFERROR(SUMIF($V$4:$AG$4, "RDEC", V87:AG87), "")</f>
        <v>0</v>
      </c>
      <c r="AI87" s="286" t="n">
        <f aca="false">IFERROR(SUMIF($V$4:$AG$4, "SME", V87:AG87), "")</f>
        <v>0</v>
      </c>
      <c r="AJ87" s="286" t="n">
        <f aca="false">IFERROR(SUMIF($V$4:$AG$4, "De Minimis", V87:AG87), "")</f>
        <v>0</v>
      </c>
      <c r="AK87" s="287"/>
      <c r="AL87" s="288" t="str">
        <f aca="false">IF((SUM(I87:T87)&gt;1),"ERROR","")</f>
        <v/>
      </c>
    </row>
    <row r="88" customFormat="false" ht="15" hidden="false" customHeight="true" outlineLevel="0" collapsed="false">
      <c r="H88" s="350"/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3"/>
      <c r="V88" s="284" t="n">
        <f aca="false">IFERROR(I88*$E88, "")</f>
        <v>0</v>
      </c>
      <c r="W88" s="284" t="n">
        <f aca="false">IFERROR(J88*$E88, "")</f>
        <v>0</v>
      </c>
      <c r="X88" s="284" t="n">
        <f aca="false">IFERROR(K88*$E88, "")</f>
        <v>0</v>
      </c>
      <c r="Y88" s="284" t="n">
        <f aca="false">IFERROR(L88*$E88, "")</f>
        <v>0</v>
      </c>
      <c r="Z88" s="284" t="n">
        <f aca="false">IFERROR(M88*$E88, "")</f>
        <v>0</v>
      </c>
      <c r="AA88" s="284" t="n">
        <f aca="false">IFERROR(N88*$E88, "")</f>
        <v>0</v>
      </c>
      <c r="AB88" s="284" t="n">
        <f aca="false">IFERROR(O88*$E88, "")</f>
        <v>0</v>
      </c>
      <c r="AC88" s="284" t="n">
        <f aca="false">IFERROR(P88*$E88, "")</f>
        <v>0</v>
      </c>
      <c r="AD88" s="284" t="n">
        <f aca="false">IFERROR(Q88*$E88, "")</f>
        <v>0</v>
      </c>
      <c r="AE88" s="284" t="n">
        <f aca="false">IFERROR(R88*$E88, "")</f>
        <v>0</v>
      </c>
      <c r="AF88" s="284" t="n">
        <f aca="false">IFERROR(S88*$E88, "")</f>
        <v>0</v>
      </c>
      <c r="AG88" s="284" t="n">
        <f aca="false">IFERROR(T88*$E88, "")</f>
        <v>0</v>
      </c>
      <c r="AH88" s="286" t="n">
        <f aca="false">IFERROR(SUMIF($V$4:$AG$4, "RDEC", V88:AG88), "")</f>
        <v>0</v>
      </c>
      <c r="AI88" s="286" t="n">
        <f aca="false">IFERROR(SUMIF($V$4:$AG$4, "SME", V88:AG88), "")</f>
        <v>0</v>
      </c>
      <c r="AJ88" s="286" t="n">
        <f aca="false">IFERROR(SUMIF($V$4:$AG$4, "De Minimis", V88:AG88), "")</f>
        <v>0</v>
      </c>
      <c r="AK88" s="287"/>
      <c r="AL88" s="288" t="str">
        <f aca="false">IF((SUM(I88:T88)&gt;1),"ERROR","")</f>
        <v/>
      </c>
    </row>
    <row r="89" customFormat="false" ht="15" hidden="false" customHeight="true" outlineLevel="0" collapsed="false">
      <c r="H89" s="350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3"/>
      <c r="V89" s="284" t="n">
        <f aca="false">IFERROR(I89*$E89, "")</f>
        <v>0</v>
      </c>
      <c r="W89" s="284" t="n">
        <f aca="false">IFERROR(J89*$E89, "")</f>
        <v>0</v>
      </c>
      <c r="X89" s="284" t="n">
        <f aca="false">IFERROR(K89*$E89, "")</f>
        <v>0</v>
      </c>
      <c r="Y89" s="284" t="n">
        <f aca="false">IFERROR(L89*$E89, "")</f>
        <v>0</v>
      </c>
      <c r="Z89" s="284" t="n">
        <f aca="false">IFERROR(M89*$E89, "")</f>
        <v>0</v>
      </c>
      <c r="AA89" s="284" t="n">
        <f aca="false">IFERROR(N89*$E89, "")</f>
        <v>0</v>
      </c>
      <c r="AB89" s="284" t="n">
        <f aca="false">IFERROR(O89*$E89, "")</f>
        <v>0</v>
      </c>
      <c r="AC89" s="284" t="n">
        <f aca="false">IFERROR(P89*$E89, "")</f>
        <v>0</v>
      </c>
      <c r="AD89" s="284" t="n">
        <f aca="false">IFERROR(Q89*$E89, "")</f>
        <v>0</v>
      </c>
      <c r="AE89" s="284" t="n">
        <f aca="false">IFERROR(R89*$E89, "")</f>
        <v>0</v>
      </c>
      <c r="AF89" s="284" t="n">
        <f aca="false">IFERROR(S89*$E89, "")</f>
        <v>0</v>
      </c>
      <c r="AG89" s="284" t="n">
        <f aca="false">IFERROR(T89*$E89, "")</f>
        <v>0</v>
      </c>
      <c r="AH89" s="286" t="n">
        <f aca="false">IFERROR(SUMIF($V$4:$AG$4, "RDEC", V89:AG89), "")</f>
        <v>0</v>
      </c>
      <c r="AI89" s="286" t="n">
        <f aca="false">IFERROR(SUMIF($V$4:$AG$4, "SME", V89:AG89), "")</f>
        <v>0</v>
      </c>
      <c r="AJ89" s="286" t="n">
        <f aca="false">IFERROR(SUMIF($V$4:$AG$4, "De Minimis", V89:AG89), "")</f>
        <v>0</v>
      </c>
      <c r="AK89" s="287"/>
      <c r="AL89" s="288" t="str">
        <f aca="false">IF((SUM(I89:T89)&gt;1),"ERROR","")</f>
        <v/>
      </c>
    </row>
    <row r="90" customFormat="false" ht="15" hidden="false" customHeight="true" outlineLevel="0" collapsed="false">
      <c r="H90" s="350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3"/>
      <c r="V90" s="284" t="n">
        <f aca="false">IFERROR(I90*$E90, "")</f>
        <v>0</v>
      </c>
      <c r="W90" s="284" t="n">
        <f aca="false">IFERROR(J90*$E90, "")</f>
        <v>0</v>
      </c>
      <c r="X90" s="284" t="n">
        <f aca="false">IFERROR(K90*$E90, "")</f>
        <v>0</v>
      </c>
      <c r="Y90" s="284" t="n">
        <f aca="false">IFERROR(L90*$E90, "")</f>
        <v>0</v>
      </c>
      <c r="Z90" s="284" t="n">
        <f aca="false">IFERROR(M90*$E90, "")</f>
        <v>0</v>
      </c>
      <c r="AA90" s="284" t="n">
        <f aca="false">IFERROR(N90*$E90, "")</f>
        <v>0</v>
      </c>
      <c r="AB90" s="284" t="n">
        <f aca="false">IFERROR(O90*$E90, "")</f>
        <v>0</v>
      </c>
      <c r="AC90" s="284" t="n">
        <f aca="false">IFERROR(P90*$E90, "")</f>
        <v>0</v>
      </c>
      <c r="AD90" s="284" t="n">
        <f aca="false">IFERROR(Q90*$E90, "")</f>
        <v>0</v>
      </c>
      <c r="AE90" s="284" t="n">
        <f aca="false">IFERROR(R90*$E90, "")</f>
        <v>0</v>
      </c>
      <c r="AF90" s="284" t="n">
        <f aca="false">IFERROR(S90*$E90, "")</f>
        <v>0</v>
      </c>
      <c r="AG90" s="284" t="n">
        <f aca="false">IFERROR(T90*$E90, "")</f>
        <v>0</v>
      </c>
      <c r="AH90" s="286" t="n">
        <f aca="false">IFERROR(SUMIF($V$4:$AG$4, "RDEC", V90:AG90), "")</f>
        <v>0</v>
      </c>
      <c r="AI90" s="286" t="n">
        <f aca="false">IFERROR(SUMIF($V$4:$AG$4, "SME", V90:AG90), "")</f>
        <v>0</v>
      </c>
      <c r="AJ90" s="286" t="n">
        <f aca="false">IFERROR(SUMIF($V$4:$AG$4, "De Minimis", V90:AG90), "")</f>
        <v>0</v>
      </c>
      <c r="AK90" s="287"/>
      <c r="AL90" s="288" t="str">
        <f aca="false">IF((SUM(I90:T90)&gt;1),"ERROR","")</f>
        <v/>
      </c>
    </row>
    <row r="91" customFormat="false" ht="15" hidden="false" customHeight="true" outlineLevel="0" collapsed="false">
      <c r="H91" s="350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3"/>
      <c r="V91" s="284" t="n">
        <f aca="false">IFERROR(I91*$E91, "")</f>
        <v>0</v>
      </c>
      <c r="W91" s="284" t="n">
        <f aca="false">IFERROR(J91*$E91, "")</f>
        <v>0</v>
      </c>
      <c r="X91" s="284" t="n">
        <f aca="false">IFERROR(K91*$E91, "")</f>
        <v>0</v>
      </c>
      <c r="Y91" s="284" t="n">
        <f aca="false">IFERROR(L91*$E91, "")</f>
        <v>0</v>
      </c>
      <c r="Z91" s="284" t="n">
        <f aca="false">IFERROR(M91*$E91, "")</f>
        <v>0</v>
      </c>
      <c r="AA91" s="284" t="n">
        <f aca="false">IFERROR(N91*$E91, "")</f>
        <v>0</v>
      </c>
      <c r="AB91" s="284" t="n">
        <f aca="false">IFERROR(O91*$E91, "")</f>
        <v>0</v>
      </c>
      <c r="AC91" s="284" t="n">
        <f aca="false">IFERROR(P91*$E91, "")</f>
        <v>0</v>
      </c>
      <c r="AD91" s="284" t="n">
        <f aca="false">IFERROR(Q91*$E91, "")</f>
        <v>0</v>
      </c>
      <c r="AE91" s="284" t="n">
        <f aca="false">IFERROR(R91*$E91, "")</f>
        <v>0</v>
      </c>
      <c r="AF91" s="284" t="n">
        <f aca="false">IFERROR(S91*$E91, "")</f>
        <v>0</v>
      </c>
      <c r="AG91" s="284" t="n">
        <f aca="false">IFERROR(T91*$E91, "")</f>
        <v>0</v>
      </c>
      <c r="AH91" s="286" t="n">
        <f aca="false">IFERROR(SUMIF($V$4:$AG$4, "RDEC", V91:AG91), "")</f>
        <v>0</v>
      </c>
      <c r="AI91" s="286" t="n">
        <f aca="false">IFERROR(SUMIF($V$4:$AG$4, "SME", V91:AG91), "")</f>
        <v>0</v>
      </c>
      <c r="AJ91" s="286" t="n">
        <f aca="false">IFERROR(SUMIF($V$4:$AG$4, "De Minimis", V91:AG91), "")</f>
        <v>0</v>
      </c>
      <c r="AK91" s="287"/>
      <c r="AL91" s="288" t="str">
        <f aca="false">IF((SUM(I91:T91)&gt;1),"ERROR","")</f>
        <v/>
      </c>
    </row>
    <row r="92" customFormat="false" ht="15" hidden="false" customHeight="true" outlineLevel="0" collapsed="false">
      <c r="H92" s="350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3"/>
      <c r="V92" s="284" t="n">
        <f aca="false">IFERROR(I92*$E92, "")</f>
        <v>0</v>
      </c>
      <c r="W92" s="284" t="n">
        <f aca="false">IFERROR(J92*$E92, "")</f>
        <v>0</v>
      </c>
      <c r="X92" s="284" t="n">
        <f aca="false">IFERROR(K92*$E92, "")</f>
        <v>0</v>
      </c>
      <c r="Y92" s="284" t="n">
        <f aca="false">IFERROR(L92*$E92, "")</f>
        <v>0</v>
      </c>
      <c r="Z92" s="284" t="n">
        <f aca="false">IFERROR(M92*$E92, "")</f>
        <v>0</v>
      </c>
      <c r="AA92" s="284" t="n">
        <f aca="false">IFERROR(N92*$E92, "")</f>
        <v>0</v>
      </c>
      <c r="AB92" s="284" t="n">
        <f aca="false">IFERROR(O92*$E92, "")</f>
        <v>0</v>
      </c>
      <c r="AC92" s="284" t="n">
        <f aca="false">IFERROR(P92*$E92, "")</f>
        <v>0</v>
      </c>
      <c r="AD92" s="284" t="n">
        <f aca="false">IFERROR(Q92*$E92, "")</f>
        <v>0</v>
      </c>
      <c r="AE92" s="284" t="n">
        <f aca="false">IFERROR(R92*$E92, "")</f>
        <v>0</v>
      </c>
      <c r="AF92" s="284" t="n">
        <f aca="false">IFERROR(S92*$E92, "")</f>
        <v>0</v>
      </c>
      <c r="AG92" s="284" t="n">
        <f aca="false">IFERROR(T92*$E92, "")</f>
        <v>0</v>
      </c>
      <c r="AH92" s="286" t="n">
        <f aca="false">IFERROR(SUMIF($V$4:$AG$4, "RDEC", V92:AG92), "")</f>
        <v>0</v>
      </c>
      <c r="AI92" s="286" t="n">
        <f aca="false">IFERROR(SUMIF($V$4:$AG$4, "SME", V92:AG92), "")</f>
        <v>0</v>
      </c>
      <c r="AJ92" s="286" t="n">
        <f aca="false">IFERROR(SUMIF($V$4:$AG$4, "De Minimis", V92:AG92), "")</f>
        <v>0</v>
      </c>
      <c r="AK92" s="287"/>
      <c r="AL92" s="288" t="str">
        <f aca="false">IF((SUM(I92:T92)&gt;1),"ERROR","")</f>
        <v/>
      </c>
    </row>
    <row r="93" customFormat="false" ht="15" hidden="false" customHeight="true" outlineLevel="0" collapsed="false">
      <c r="H93" s="350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3"/>
      <c r="V93" s="284" t="n">
        <f aca="false">IFERROR(I93*$E93, "")</f>
        <v>0</v>
      </c>
      <c r="W93" s="284" t="n">
        <f aca="false">IFERROR(J93*$E93, "")</f>
        <v>0</v>
      </c>
      <c r="X93" s="284" t="n">
        <f aca="false">IFERROR(K93*$E93, "")</f>
        <v>0</v>
      </c>
      <c r="Y93" s="284" t="n">
        <f aca="false">IFERROR(L93*$E93, "")</f>
        <v>0</v>
      </c>
      <c r="Z93" s="284" t="n">
        <f aca="false">IFERROR(M93*$E93, "")</f>
        <v>0</v>
      </c>
      <c r="AA93" s="284" t="n">
        <f aca="false">IFERROR(N93*$E93, "")</f>
        <v>0</v>
      </c>
      <c r="AB93" s="284" t="n">
        <f aca="false">IFERROR(O93*$E93, "")</f>
        <v>0</v>
      </c>
      <c r="AC93" s="284" t="n">
        <f aca="false">IFERROR(P93*$E93, "")</f>
        <v>0</v>
      </c>
      <c r="AD93" s="284" t="n">
        <f aca="false">IFERROR(Q93*$E93, "")</f>
        <v>0</v>
      </c>
      <c r="AE93" s="284" t="n">
        <f aca="false">IFERROR(R93*$E93, "")</f>
        <v>0</v>
      </c>
      <c r="AF93" s="284" t="n">
        <f aca="false">IFERROR(S93*$E93, "")</f>
        <v>0</v>
      </c>
      <c r="AG93" s="284" t="n">
        <f aca="false">IFERROR(T93*$E93, "")</f>
        <v>0</v>
      </c>
      <c r="AH93" s="286" t="n">
        <f aca="false">IFERROR(SUMIF($V$4:$AG$4, "RDEC", V93:AG93), "")</f>
        <v>0</v>
      </c>
      <c r="AI93" s="286" t="n">
        <f aca="false">IFERROR(SUMIF($V$4:$AG$4, "SME", V93:AG93), "")</f>
        <v>0</v>
      </c>
      <c r="AJ93" s="286" t="n">
        <f aca="false">IFERROR(SUMIF($V$4:$AG$4, "De Minimis", V93:AG93), "")</f>
        <v>0</v>
      </c>
      <c r="AK93" s="287"/>
      <c r="AL93" s="288" t="str">
        <f aca="false">IF((SUM(I93:T93)&gt;1),"ERROR","")</f>
        <v/>
      </c>
    </row>
    <row r="94" customFormat="false" ht="15" hidden="false" customHeight="true" outlineLevel="0" collapsed="false">
      <c r="H94" s="350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3"/>
      <c r="V94" s="284" t="n">
        <f aca="false">IFERROR(I94*$E94, "")</f>
        <v>0</v>
      </c>
      <c r="W94" s="284" t="n">
        <f aca="false">IFERROR(J94*$E94, "")</f>
        <v>0</v>
      </c>
      <c r="X94" s="284" t="n">
        <f aca="false">IFERROR(K94*$E94, "")</f>
        <v>0</v>
      </c>
      <c r="Y94" s="284" t="n">
        <f aca="false">IFERROR(L94*$E94, "")</f>
        <v>0</v>
      </c>
      <c r="Z94" s="284" t="n">
        <f aca="false">IFERROR(M94*$E94, "")</f>
        <v>0</v>
      </c>
      <c r="AA94" s="284" t="n">
        <f aca="false">IFERROR(N94*$E94, "")</f>
        <v>0</v>
      </c>
      <c r="AB94" s="284" t="n">
        <f aca="false">IFERROR(O94*$E94, "")</f>
        <v>0</v>
      </c>
      <c r="AC94" s="284" t="n">
        <f aca="false">IFERROR(P94*$E94, "")</f>
        <v>0</v>
      </c>
      <c r="AD94" s="284" t="n">
        <f aca="false">IFERROR(Q94*$E94, "")</f>
        <v>0</v>
      </c>
      <c r="AE94" s="284" t="n">
        <f aca="false">IFERROR(R94*$E94, "")</f>
        <v>0</v>
      </c>
      <c r="AF94" s="284" t="n">
        <f aca="false">IFERROR(S94*$E94, "")</f>
        <v>0</v>
      </c>
      <c r="AG94" s="284" t="n">
        <f aca="false">IFERROR(T94*$E94, "")</f>
        <v>0</v>
      </c>
      <c r="AH94" s="286" t="n">
        <f aca="false">IFERROR(SUMIF($V$4:$AG$4, "RDEC", V94:AG94), "")</f>
        <v>0</v>
      </c>
      <c r="AI94" s="286" t="n">
        <f aca="false">IFERROR(SUMIF($V$4:$AG$4, "SME", V94:AG94), "")</f>
        <v>0</v>
      </c>
      <c r="AJ94" s="286" t="n">
        <f aca="false">IFERROR(SUMIF($V$4:$AG$4, "De Minimis", V94:AG94), "")</f>
        <v>0</v>
      </c>
      <c r="AK94" s="303"/>
      <c r="AL94" s="288" t="str">
        <f aca="false">IF((SUM(I94:T94)&gt;1),"ERROR","")</f>
        <v/>
      </c>
    </row>
    <row r="95" customFormat="false" ht="15" hidden="false" customHeight="true" outlineLevel="0" collapsed="false">
      <c r="H95" s="350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3"/>
      <c r="V95" s="284" t="n">
        <f aca="false">IFERROR(I95*$E95, "")</f>
        <v>0</v>
      </c>
      <c r="W95" s="284" t="n">
        <f aca="false">IFERROR(J95*$E95, "")</f>
        <v>0</v>
      </c>
      <c r="X95" s="284" t="n">
        <f aca="false">IFERROR(K95*$E95, "")</f>
        <v>0</v>
      </c>
      <c r="Y95" s="284" t="n">
        <f aca="false">IFERROR(L95*$E95, "")</f>
        <v>0</v>
      </c>
      <c r="Z95" s="284" t="n">
        <f aca="false">IFERROR(M95*$E95, "")</f>
        <v>0</v>
      </c>
      <c r="AA95" s="284" t="n">
        <f aca="false">IFERROR(N95*$E95, "")</f>
        <v>0</v>
      </c>
      <c r="AB95" s="284" t="n">
        <f aca="false">IFERROR(O95*$E95, "")</f>
        <v>0</v>
      </c>
      <c r="AC95" s="284" t="n">
        <f aca="false">IFERROR(P95*$E95, "")</f>
        <v>0</v>
      </c>
      <c r="AD95" s="284" t="n">
        <f aca="false">IFERROR(Q95*$E95, "")</f>
        <v>0</v>
      </c>
      <c r="AE95" s="284" t="n">
        <f aca="false">IFERROR(R95*$E95, "")</f>
        <v>0</v>
      </c>
      <c r="AF95" s="284" t="n">
        <f aca="false">IFERROR(S95*$E95, "")</f>
        <v>0</v>
      </c>
      <c r="AG95" s="284" t="n">
        <f aca="false">IFERROR(T95*$E95, "")</f>
        <v>0</v>
      </c>
      <c r="AH95" s="286" t="n">
        <f aca="false">IFERROR(SUMIF($V$4:$AG$4, "RDEC", V95:AG95), "")</f>
        <v>0</v>
      </c>
      <c r="AI95" s="286" t="n">
        <f aca="false">IFERROR(SUMIF($V$4:$AG$4, "SME", V95:AG95), "")</f>
        <v>0</v>
      </c>
      <c r="AJ95" s="286" t="n">
        <f aca="false">IFERROR(SUMIF($V$4:$AG$4, "De Minimis", V95:AG95), "")</f>
        <v>0</v>
      </c>
      <c r="AL95" s="288" t="str">
        <f aca="false">IF((SUM(I95:T95)&gt;1),"ERROR","")</f>
        <v/>
      </c>
    </row>
    <row r="96" customFormat="false" ht="15" hidden="false" customHeight="true" outlineLevel="0" collapsed="false">
      <c r="H96" s="350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3"/>
      <c r="V96" s="284" t="n">
        <f aca="false">IFERROR(I96*$E96, "")</f>
        <v>0</v>
      </c>
      <c r="W96" s="284" t="n">
        <f aca="false">IFERROR(J96*$E96, "")</f>
        <v>0</v>
      </c>
      <c r="X96" s="284" t="n">
        <f aca="false">IFERROR(K96*$E96, "")</f>
        <v>0</v>
      </c>
      <c r="Y96" s="284" t="n">
        <f aca="false">IFERROR(L96*$E96, "")</f>
        <v>0</v>
      </c>
      <c r="Z96" s="284" t="n">
        <f aca="false">IFERROR(M96*$E96, "")</f>
        <v>0</v>
      </c>
      <c r="AA96" s="284" t="n">
        <f aca="false">IFERROR(N96*$E96, "")</f>
        <v>0</v>
      </c>
      <c r="AB96" s="284" t="n">
        <f aca="false">IFERROR(O96*$E96, "")</f>
        <v>0</v>
      </c>
      <c r="AC96" s="284" t="n">
        <f aca="false">IFERROR(P96*$E96, "")</f>
        <v>0</v>
      </c>
      <c r="AD96" s="284" t="n">
        <f aca="false">IFERROR(Q96*$E96, "")</f>
        <v>0</v>
      </c>
      <c r="AE96" s="284" t="n">
        <f aca="false">IFERROR(R96*$E96, "")</f>
        <v>0</v>
      </c>
      <c r="AF96" s="284" t="n">
        <f aca="false">IFERROR(S96*$E96, "")</f>
        <v>0</v>
      </c>
      <c r="AG96" s="284" t="n">
        <f aca="false">IFERROR(T96*$E96, "")</f>
        <v>0</v>
      </c>
      <c r="AH96" s="286" t="n">
        <f aca="false">IFERROR(SUMIF($V$4:$AG$4, "RDEC", V96:AG96), "")</f>
        <v>0</v>
      </c>
      <c r="AI96" s="286" t="n">
        <f aca="false">IFERROR(SUMIF($V$4:$AG$4, "SME", V96:AG96), "")</f>
        <v>0</v>
      </c>
      <c r="AJ96" s="286" t="n">
        <f aca="false">IFERROR(SUMIF($V$4:$AG$4, "De Minimis", V96:AG96), "")</f>
        <v>0</v>
      </c>
      <c r="AK96" s="268"/>
      <c r="AL96" s="288" t="str">
        <f aca="false">IF((SUM(I96:T96)&gt;1),"ERROR","")</f>
        <v/>
      </c>
    </row>
    <row r="97" customFormat="false" ht="15" hidden="false" customHeight="true" outlineLevel="0" collapsed="false">
      <c r="H97" s="350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3"/>
      <c r="V97" s="284" t="n">
        <f aca="false">IFERROR(I97*$E97, "")</f>
        <v>0</v>
      </c>
      <c r="W97" s="284" t="n">
        <f aca="false">IFERROR(J97*$E97, "")</f>
        <v>0</v>
      </c>
      <c r="X97" s="284" t="n">
        <f aca="false">IFERROR(K97*$E97, "")</f>
        <v>0</v>
      </c>
      <c r="Y97" s="284" t="n">
        <f aca="false">IFERROR(L97*$E97, "")</f>
        <v>0</v>
      </c>
      <c r="Z97" s="284" t="n">
        <f aca="false">IFERROR(M97*$E97, "")</f>
        <v>0</v>
      </c>
      <c r="AA97" s="284" t="n">
        <f aca="false">IFERROR(N97*$E97, "")</f>
        <v>0</v>
      </c>
      <c r="AB97" s="284" t="n">
        <f aca="false">IFERROR(O97*$E97, "")</f>
        <v>0</v>
      </c>
      <c r="AC97" s="284" t="n">
        <f aca="false">IFERROR(P97*$E97, "")</f>
        <v>0</v>
      </c>
      <c r="AD97" s="284" t="n">
        <f aca="false">IFERROR(Q97*$E97, "")</f>
        <v>0</v>
      </c>
      <c r="AE97" s="284" t="n">
        <f aca="false">IFERROR(R97*$E97, "")</f>
        <v>0</v>
      </c>
      <c r="AF97" s="284" t="n">
        <f aca="false">IFERROR(S97*$E97, "")</f>
        <v>0</v>
      </c>
      <c r="AG97" s="284" t="n">
        <f aca="false">IFERROR(T97*$E97, "")</f>
        <v>0</v>
      </c>
      <c r="AH97" s="286" t="n">
        <f aca="false">IFERROR(SUMIF($V$4:$AG$4, "RDEC", V97:AG97), "")</f>
        <v>0</v>
      </c>
      <c r="AI97" s="286" t="n">
        <f aca="false">IFERROR(SUMIF($V$4:$AG$4, "SME", V97:AG97), "")</f>
        <v>0</v>
      </c>
      <c r="AJ97" s="286" t="n">
        <f aca="false">IFERROR(SUMIF($V$4:$AG$4, "De Minimis", V97:AG97), "")</f>
        <v>0</v>
      </c>
      <c r="AK97" s="287"/>
      <c r="AL97" s="288" t="str">
        <f aca="false">IF((SUM(I97:T97)&gt;1),"ERROR","")</f>
        <v/>
      </c>
    </row>
    <row r="98" customFormat="false" ht="15" hidden="false" customHeight="true" outlineLevel="0" collapsed="false">
      <c r="H98" s="350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3"/>
      <c r="V98" s="284" t="n">
        <f aca="false">IFERROR(I98*$E98, "")</f>
        <v>0</v>
      </c>
      <c r="W98" s="284" t="n">
        <f aca="false">IFERROR(J98*$E98, "")</f>
        <v>0</v>
      </c>
      <c r="X98" s="284" t="n">
        <f aca="false">IFERROR(K98*$E98, "")</f>
        <v>0</v>
      </c>
      <c r="Y98" s="284" t="n">
        <f aca="false">IFERROR(L98*$E98, "")</f>
        <v>0</v>
      </c>
      <c r="Z98" s="284" t="n">
        <f aca="false">IFERROR(M98*$E98, "")</f>
        <v>0</v>
      </c>
      <c r="AA98" s="284" t="n">
        <f aca="false">IFERROR(N98*$E98, "")</f>
        <v>0</v>
      </c>
      <c r="AB98" s="284" t="n">
        <f aca="false">IFERROR(O98*$E98, "")</f>
        <v>0</v>
      </c>
      <c r="AC98" s="284" t="n">
        <f aca="false">IFERROR(P98*$E98, "")</f>
        <v>0</v>
      </c>
      <c r="AD98" s="284" t="n">
        <f aca="false">IFERROR(Q98*$E98, "")</f>
        <v>0</v>
      </c>
      <c r="AE98" s="284" t="n">
        <f aca="false">IFERROR(R98*$E98, "")</f>
        <v>0</v>
      </c>
      <c r="AF98" s="284" t="n">
        <f aca="false">IFERROR(S98*$E98, "")</f>
        <v>0</v>
      </c>
      <c r="AG98" s="284" t="n">
        <f aca="false">IFERROR(T98*$E98, "")</f>
        <v>0</v>
      </c>
      <c r="AH98" s="286" t="n">
        <f aca="false">IFERROR(SUMIF($V$4:$AG$4, "RDEC", V98:AG98), "")</f>
        <v>0</v>
      </c>
      <c r="AI98" s="286" t="n">
        <f aca="false">IFERROR(SUMIF($V$4:$AG$4, "SME", V98:AG98), "")</f>
        <v>0</v>
      </c>
      <c r="AJ98" s="286" t="n">
        <f aca="false">IFERROR(SUMIF($V$4:$AG$4, "De Minimis", V98:AG98), "")</f>
        <v>0</v>
      </c>
      <c r="AK98" s="287"/>
      <c r="AL98" s="288" t="str">
        <f aca="false">IF((SUM(I98:T98)&gt;1),"ERROR","")</f>
        <v/>
      </c>
    </row>
    <row r="99" customFormat="false" ht="15" hidden="false" customHeight="true" outlineLevel="0" collapsed="false">
      <c r="H99" s="350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3"/>
      <c r="V99" s="284" t="n">
        <f aca="false">IFERROR(I99*$E99, "")</f>
        <v>0</v>
      </c>
      <c r="W99" s="284" t="n">
        <f aca="false">IFERROR(J99*$E99, "")</f>
        <v>0</v>
      </c>
      <c r="X99" s="284" t="n">
        <f aca="false">IFERROR(K99*$E99, "")</f>
        <v>0</v>
      </c>
      <c r="Y99" s="284" t="n">
        <f aca="false">IFERROR(L99*$E99, "")</f>
        <v>0</v>
      </c>
      <c r="Z99" s="284" t="n">
        <f aca="false">IFERROR(M99*$E99, "")</f>
        <v>0</v>
      </c>
      <c r="AA99" s="284" t="n">
        <f aca="false">IFERROR(N99*$E99, "")</f>
        <v>0</v>
      </c>
      <c r="AB99" s="284" t="n">
        <f aca="false">IFERROR(O99*$E99, "")</f>
        <v>0</v>
      </c>
      <c r="AC99" s="284" t="n">
        <f aca="false">IFERROR(P99*$E99, "")</f>
        <v>0</v>
      </c>
      <c r="AD99" s="284" t="n">
        <f aca="false">IFERROR(Q99*$E99, "")</f>
        <v>0</v>
      </c>
      <c r="AE99" s="284" t="n">
        <f aca="false">IFERROR(R99*$E99, "")</f>
        <v>0</v>
      </c>
      <c r="AF99" s="284" t="n">
        <f aca="false">IFERROR(S99*$E99, "")</f>
        <v>0</v>
      </c>
      <c r="AG99" s="284" t="n">
        <f aca="false">IFERROR(T99*$E99, "")</f>
        <v>0</v>
      </c>
      <c r="AH99" s="286" t="n">
        <f aca="false">IFERROR(SUMIF($V$4:$AG$4, "RDEC", V99:AG99), "")</f>
        <v>0</v>
      </c>
      <c r="AI99" s="286" t="n">
        <f aca="false">IFERROR(SUMIF($V$4:$AG$4, "SME", V99:AG99), "")</f>
        <v>0</v>
      </c>
      <c r="AJ99" s="286" t="n">
        <f aca="false">IFERROR(SUMIF($V$4:$AG$4, "De Minimis", V99:AG99), "")</f>
        <v>0</v>
      </c>
      <c r="AK99" s="287"/>
      <c r="AL99" s="288" t="str">
        <f aca="false">IF((SUM(I99:T99)&gt;1),"ERROR","")</f>
        <v/>
      </c>
    </row>
    <row r="100" customFormat="false" ht="15" hidden="false" customHeight="true" outlineLevel="0" collapsed="false">
      <c r="H100" s="350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3"/>
      <c r="V100" s="284" t="n">
        <f aca="false">IFERROR(I100*$E100, "")</f>
        <v>0</v>
      </c>
      <c r="W100" s="284" t="n">
        <f aca="false">IFERROR(J100*$E100, "")</f>
        <v>0</v>
      </c>
      <c r="X100" s="284" t="n">
        <f aca="false">IFERROR(K100*$E100, "")</f>
        <v>0</v>
      </c>
      <c r="Y100" s="284" t="n">
        <f aca="false">IFERROR(L100*$E100, "")</f>
        <v>0</v>
      </c>
      <c r="Z100" s="284" t="n">
        <f aca="false">IFERROR(M100*$E100, "")</f>
        <v>0</v>
      </c>
      <c r="AA100" s="284" t="n">
        <f aca="false">IFERROR(N100*$E100, "")</f>
        <v>0</v>
      </c>
      <c r="AB100" s="284" t="n">
        <f aca="false">IFERROR(O100*$E100, "")</f>
        <v>0</v>
      </c>
      <c r="AC100" s="284" t="n">
        <f aca="false">IFERROR(P100*$E100, "")</f>
        <v>0</v>
      </c>
      <c r="AD100" s="284" t="n">
        <f aca="false">IFERROR(Q100*$E100, "")</f>
        <v>0</v>
      </c>
      <c r="AE100" s="284" t="n">
        <f aca="false">IFERROR(R100*$E100, "")</f>
        <v>0</v>
      </c>
      <c r="AF100" s="284" t="n">
        <f aca="false">IFERROR(S100*$E100, "")</f>
        <v>0</v>
      </c>
      <c r="AG100" s="284" t="n">
        <f aca="false">IFERROR(T100*$E100, "")</f>
        <v>0</v>
      </c>
      <c r="AH100" s="286" t="n">
        <f aca="false">IFERROR(SUMIF($V$4:$AG$4, "RDEC", V100:AG100), "")</f>
        <v>0</v>
      </c>
      <c r="AI100" s="286" t="n">
        <f aca="false">IFERROR(SUMIF($V$4:$AG$4, "SME", V100:AG100), "")</f>
        <v>0</v>
      </c>
      <c r="AJ100" s="286" t="n">
        <f aca="false">IFERROR(SUMIF($V$4:$AG$4, "De Minimis", V100:AG100), "")</f>
        <v>0</v>
      </c>
      <c r="AK100" s="287"/>
      <c r="AL100" s="288" t="str">
        <f aca="false">IF((SUM(I100:T100)&gt;1),"ERROR","")</f>
        <v/>
      </c>
    </row>
    <row r="101" customFormat="false" ht="15" hidden="false" customHeight="true" outlineLevel="0" collapsed="false">
      <c r="H101" s="350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3"/>
      <c r="V101" s="284" t="n">
        <f aca="false">IFERROR(I101*$E101, "")</f>
        <v>0</v>
      </c>
      <c r="W101" s="284" t="n">
        <f aca="false">IFERROR(J101*$E101, "")</f>
        <v>0</v>
      </c>
      <c r="X101" s="284" t="n">
        <f aca="false">IFERROR(K101*$E101, "")</f>
        <v>0</v>
      </c>
      <c r="Y101" s="284" t="n">
        <f aca="false">IFERROR(L101*$E101, "")</f>
        <v>0</v>
      </c>
      <c r="Z101" s="284" t="n">
        <f aca="false">IFERROR(M101*$E101, "")</f>
        <v>0</v>
      </c>
      <c r="AA101" s="284" t="n">
        <f aca="false">IFERROR(N101*$E101, "")</f>
        <v>0</v>
      </c>
      <c r="AB101" s="284" t="n">
        <f aca="false">IFERROR(O101*$E101, "")</f>
        <v>0</v>
      </c>
      <c r="AC101" s="284" t="n">
        <f aca="false">IFERROR(P101*$E101, "")</f>
        <v>0</v>
      </c>
      <c r="AD101" s="284" t="n">
        <f aca="false">IFERROR(Q101*$E101, "")</f>
        <v>0</v>
      </c>
      <c r="AE101" s="284" t="n">
        <f aca="false">IFERROR(R101*$E101, "")</f>
        <v>0</v>
      </c>
      <c r="AF101" s="284" t="n">
        <f aca="false">IFERROR(S101*$E101, "")</f>
        <v>0</v>
      </c>
      <c r="AG101" s="284" t="n">
        <f aca="false">IFERROR(T101*$E101, "")</f>
        <v>0</v>
      </c>
      <c r="AH101" s="286" t="n">
        <f aca="false">IFERROR(SUMIF($V$4:$AG$4, "RDEC", V101:AG101), "")</f>
        <v>0</v>
      </c>
      <c r="AI101" s="286" t="n">
        <f aca="false">IFERROR(SUMIF($V$4:$AG$4, "SME", V101:AG101), "")</f>
        <v>0</v>
      </c>
      <c r="AJ101" s="286" t="n">
        <f aca="false">IFERROR(SUMIF($V$4:$AG$4, "De Minimis", V101:AG101), "")</f>
        <v>0</v>
      </c>
      <c r="AK101" s="287"/>
      <c r="AL101" s="288" t="str">
        <f aca="false">IF((SUM(I101:T101)&gt;1),"ERROR","")</f>
        <v/>
      </c>
    </row>
    <row r="102" customFormat="false" ht="15" hidden="false" customHeight="true" outlineLevel="0" collapsed="false">
      <c r="H102" s="350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3"/>
      <c r="V102" s="284" t="n">
        <f aca="false">IFERROR(I102*$E102, "")</f>
        <v>0</v>
      </c>
      <c r="W102" s="284" t="n">
        <f aca="false">IFERROR(J102*$E102, "")</f>
        <v>0</v>
      </c>
      <c r="X102" s="284" t="n">
        <f aca="false">IFERROR(K102*$E102, "")</f>
        <v>0</v>
      </c>
      <c r="Y102" s="284" t="n">
        <f aca="false">IFERROR(L102*$E102, "")</f>
        <v>0</v>
      </c>
      <c r="Z102" s="284" t="n">
        <f aca="false">IFERROR(M102*$E102, "")</f>
        <v>0</v>
      </c>
      <c r="AA102" s="284" t="n">
        <f aca="false">IFERROR(N102*$E102, "")</f>
        <v>0</v>
      </c>
      <c r="AB102" s="284" t="n">
        <f aca="false">IFERROR(O102*$E102, "")</f>
        <v>0</v>
      </c>
      <c r="AC102" s="284" t="n">
        <f aca="false">IFERROR(P102*$E102, "")</f>
        <v>0</v>
      </c>
      <c r="AD102" s="284" t="n">
        <f aca="false">IFERROR(Q102*$E102, "")</f>
        <v>0</v>
      </c>
      <c r="AE102" s="284" t="n">
        <f aca="false">IFERROR(R102*$E102, "")</f>
        <v>0</v>
      </c>
      <c r="AF102" s="284" t="n">
        <f aca="false">IFERROR(S102*$E102, "")</f>
        <v>0</v>
      </c>
      <c r="AG102" s="284" t="n">
        <f aca="false">IFERROR(T102*$E102, "")</f>
        <v>0</v>
      </c>
      <c r="AH102" s="286" t="n">
        <f aca="false">IFERROR(SUMIF($V$4:$AG$4, "RDEC", V102:AG102), "")</f>
        <v>0</v>
      </c>
      <c r="AI102" s="286" t="n">
        <f aca="false">IFERROR(SUMIF($V$4:$AG$4, "SME", V102:AG102), "")</f>
        <v>0</v>
      </c>
      <c r="AJ102" s="286" t="n">
        <f aca="false">IFERROR(SUMIF($V$4:$AG$4, "De Minimis", V102:AG102), "")</f>
        <v>0</v>
      </c>
      <c r="AK102" s="287"/>
      <c r="AL102" s="288" t="str">
        <f aca="false">IF((SUM(I102:T102)&gt;1),"ERROR","")</f>
        <v/>
      </c>
    </row>
    <row r="103" customFormat="false" ht="15" hidden="false" customHeight="true" outlineLevel="0" collapsed="false">
      <c r="H103" s="350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3"/>
      <c r="V103" s="284" t="n">
        <f aca="false">IFERROR(I103*$E103, "")</f>
        <v>0</v>
      </c>
      <c r="W103" s="284" t="n">
        <f aca="false">IFERROR(J103*$E103, "")</f>
        <v>0</v>
      </c>
      <c r="X103" s="284" t="n">
        <f aca="false">IFERROR(K103*$E103, "")</f>
        <v>0</v>
      </c>
      <c r="Y103" s="284" t="n">
        <f aca="false">IFERROR(L103*$E103, "")</f>
        <v>0</v>
      </c>
      <c r="Z103" s="284" t="n">
        <f aca="false">IFERROR(M103*$E103, "")</f>
        <v>0</v>
      </c>
      <c r="AA103" s="284" t="n">
        <f aca="false">IFERROR(N103*$E103, "")</f>
        <v>0</v>
      </c>
      <c r="AB103" s="284" t="n">
        <f aca="false">IFERROR(O103*$E103, "")</f>
        <v>0</v>
      </c>
      <c r="AC103" s="284" t="n">
        <f aca="false">IFERROR(P103*$E103, "")</f>
        <v>0</v>
      </c>
      <c r="AD103" s="284" t="n">
        <f aca="false">IFERROR(Q103*$E103, "")</f>
        <v>0</v>
      </c>
      <c r="AE103" s="284" t="n">
        <f aca="false">IFERROR(R103*$E103, "")</f>
        <v>0</v>
      </c>
      <c r="AF103" s="284" t="n">
        <f aca="false">IFERROR(S103*$E103, "")</f>
        <v>0</v>
      </c>
      <c r="AG103" s="284" t="n">
        <f aca="false">IFERROR(T103*$E103, "")</f>
        <v>0</v>
      </c>
      <c r="AH103" s="286" t="n">
        <f aca="false">IFERROR(SUMIF($V$4:$AG$4, "RDEC", V103:AG103), "")</f>
        <v>0</v>
      </c>
      <c r="AI103" s="286" t="n">
        <f aca="false">IFERROR(SUMIF($V$4:$AG$4, "SME", V103:AG103), "")</f>
        <v>0</v>
      </c>
      <c r="AJ103" s="286" t="n">
        <f aca="false">IFERROR(SUMIF($V$4:$AG$4, "De Minimis", V103:AG103), "")</f>
        <v>0</v>
      </c>
      <c r="AK103" s="287"/>
      <c r="AL103" s="288" t="str">
        <f aca="false">IF((SUM(I103:T103)&gt;1),"ERROR","")</f>
        <v/>
      </c>
    </row>
    <row r="104" customFormat="false" ht="15" hidden="false" customHeight="true" outlineLevel="0" collapsed="false">
      <c r="H104" s="350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3"/>
      <c r="V104" s="284" t="n">
        <f aca="false">IFERROR(I104*$E104, "")</f>
        <v>0</v>
      </c>
      <c r="W104" s="284" t="n">
        <f aca="false">IFERROR(J104*$E104, "")</f>
        <v>0</v>
      </c>
      <c r="X104" s="284" t="n">
        <f aca="false">IFERROR(K104*$E104, "")</f>
        <v>0</v>
      </c>
      <c r="Y104" s="284" t="n">
        <f aca="false">IFERROR(L104*$E104, "")</f>
        <v>0</v>
      </c>
      <c r="Z104" s="284" t="n">
        <f aca="false">IFERROR(M104*$E104, "")</f>
        <v>0</v>
      </c>
      <c r="AA104" s="284" t="n">
        <f aca="false">IFERROR(N104*$E104, "")</f>
        <v>0</v>
      </c>
      <c r="AB104" s="284" t="n">
        <f aca="false">IFERROR(O104*$E104, "")</f>
        <v>0</v>
      </c>
      <c r="AC104" s="284" t="n">
        <f aca="false">IFERROR(P104*$E104, "")</f>
        <v>0</v>
      </c>
      <c r="AD104" s="284" t="n">
        <f aca="false">IFERROR(Q104*$E104, "")</f>
        <v>0</v>
      </c>
      <c r="AE104" s="284" t="n">
        <f aca="false">IFERROR(R104*$E104, "")</f>
        <v>0</v>
      </c>
      <c r="AF104" s="284" t="n">
        <f aca="false">IFERROR(S104*$E104, "")</f>
        <v>0</v>
      </c>
      <c r="AG104" s="284" t="n">
        <f aca="false">IFERROR(T104*$E104, "")</f>
        <v>0</v>
      </c>
      <c r="AH104" s="286" t="n">
        <f aca="false">IFERROR(SUMIF($V$4:$AG$4, "RDEC", V104:AG104), "")</f>
        <v>0</v>
      </c>
      <c r="AI104" s="286" t="n">
        <f aca="false">IFERROR(SUMIF($V$4:$AG$4, "SME", V104:AG104), "")</f>
        <v>0</v>
      </c>
      <c r="AJ104" s="286" t="n">
        <f aca="false">IFERROR(SUMIF($V$4:$AG$4, "De Minimis", V104:AG104), "")</f>
        <v>0</v>
      </c>
      <c r="AK104" s="287"/>
      <c r="AL104" s="288" t="str">
        <f aca="false">IF((SUM(I104:T104)&gt;1),"ERROR","")</f>
        <v/>
      </c>
    </row>
    <row r="105" customFormat="false" ht="15" hidden="false" customHeight="true" outlineLevel="0" collapsed="false">
      <c r="H105" s="350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3"/>
      <c r="V105" s="284" t="n">
        <f aca="false">IFERROR(I105*$E105, "")</f>
        <v>0</v>
      </c>
      <c r="W105" s="284" t="n">
        <f aca="false">IFERROR(J105*$E105, "")</f>
        <v>0</v>
      </c>
      <c r="X105" s="284" t="n">
        <f aca="false">IFERROR(K105*$E105, "")</f>
        <v>0</v>
      </c>
      <c r="Y105" s="284" t="n">
        <f aca="false">IFERROR(L105*$E105, "")</f>
        <v>0</v>
      </c>
      <c r="Z105" s="284" t="n">
        <f aca="false">IFERROR(M105*$E105, "")</f>
        <v>0</v>
      </c>
      <c r="AA105" s="284" t="n">
        <f aca="false">IFERROR(N105*$E105, "")</f>
        <v>0</v>
      </c>
      <c r="AB105" s="284" t="n">
        <f aca="false">IFERROR(O105*$E105, "")</f>
        <v>0</v>
      </c>
      <c r="AC105" s="284" t="n">
        <f aca="false">IFERROR(P105*$E105, "")</f>
        <v>0</v>
      </c>
      <c r="AD105" s="284" t="n">
        <f aca="false">IFERROR(Q105*$E105, "")</f>
        <v>0</v>
      </c>
      <c r="AE105" s="284" t="n">
        <f aca="false">IFERROR(R105*$E105, "")</f>
        <v>0</v>
      </c>
      <c r="AF105" s="284" t="n">
        <f aca="false">IFERROR(S105*$E105, "")</f>
        <v>0</v>
      </c>
      <c r="AG105" s="284" t="n">
        <f aca="false">IFERROR(T105*$E105, "")</f>
        <v>0</v>
      </c>
      <c r="AH105" s="286" t="n">
        <f aca="false">IFERROR(SUMIF($V$4:$AG$4, "RDEC", V105:AG105), "")</f>
        <v>0</v>
      </c>
      <c r="AI105" s="286" t="n">
        <f aca="false">IFERROR(SUMIF($V$4:$AG$4, "SME", V105:AG105), "")</f>
        <v>0</v>
      </c>
      <c r="AJ105" s="286" t="n">
        <f aca="false">IFERROR(SUMIF($V$4:$AG$4, "De Minimis", V105:AG105), "")</f>
        <v>0</v>
      </c>
      <c r="AK105" s="287"/>
      <c r="AL105" s="288" t="str">
        <f aca="false">IF((SUM(I105:T105)&gt;1),"ERROR","")</f>
        <v/>
      </c>
    </row>
    <row r="106" customFormat="false" ht="15" hidden="false" customHeight="true" outlineLevel="0" collapsed="false">
      <c r="H106" s="350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3"/>
      <c r="V106" s="284" t="n">
        <f aca="false">IFERROR(I106*$E106, "")</f>
        <v>0</v>
      </c>
      <c r="W106" s="284" t="n">
        <f aca="false">IFERROR(J106*$E106, "")</f>
        <v>0</v>
      </c>
      <c r="X106" s="284" t="n">
        <f aca="false">IFERROR(K106*$E106, "")</f>
        <v>0</v>
      </c>
      <c r="Y106" s="284" t="n">
        <f aca="false">IFERROR(L106*$E106, "")</f>
        <v>0</v>
      </c>
      <c r="Z106" s="284" t="n">
        <f aca="false">IFERROR(M106*$E106, "")</f>
        <v>0</v>
      </c>
      <c r="AA106" s="284" t="n">
        <f aca="false">IFERROR(N106*$E106, "")</f>
        <v>0</v>
      </c>
      <c r="AB106" s="284" t="n">
        <f aca="false">IFERROR(O106*$E106, "")</f>
        <v>0</v>
      </c>
      <c r="AC106" s="284" t="n">
        <f aca="false">IFERROR(P106*$E106, "")</f>
        <v>0</v>
      </c>
      <c r="AD106" s="284" t="n">
        <f aca="false">IFERROR(Q106*$E106, "")</f>
        <v>0</v>
      </c>
      <c r="AE106" s="284" t="n">
        <f aca="false">IFERROR(R106*$E106, "")</f>
        <v>0</v>
      </c>
      <c r="AF106" s="284" t="n">
        <f aca="false">IFERROR(S106*$E106, "")</f>
        <v>0</v>
      </c>
      <c r="AG106" s="284" t="n">
        <f aca="false">IFERROR(T106*$E106, "")</f>
        <v>0</v>
      </c>
      <c r="AH106" s="286" t="n">
        <f aca="false">IFERROR(SUMIF($V$4:$AG$4, "RDEC", V106:AG106), "")</f>
        <v>0</v>
      </c>
      <c r="AI106" s="286" t="n">
        <f aca="false">IFERROR(SUMIF($V$4:$AG$4, "SME", V106:AG106), "")</f>
        <v>0</v>
      </c>
      <c r="AJ106" s="286" t="n">
        <f aca="false">IFERROR(SUMIF($V$4:$AG$4, "De Minimis", V106:AG106), "")</f>
        <v>0</v>
      </c>
      <c r="AK106" s="287"/>
      <c r="AL106" s="288" t="str">
        <f aca="false">IF((SUM(I106:T106)&gt;1),"ERROR","")</f>
        <v/>
      </c>
    </row>
    <row r="107" customFormat="false" ht="15" hidden="false" customHeight="true" outlineLevel="0" collapsed="false">
      <c r="H107" s="350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3"/>
      <c r="V107" s="284" t="n">
        <f aca="false">IFERROR(I107*$E107, "")</f>
        <v>0</v>
      </c>
      <c r="W107" s="284" t="n">
        <f aca="false">IFERROR(J107*$E107, "")</f>
        <v>0</v>
      </c>
      <c r="X107" s="284" t="n">
        <f aca="false">IFERROR(K107*$E107, "")</f>
        <v>0</v>
      </c>
      <c r="Y107" s="284" t="n">
        <f aca="false">IFERROR(L107*$E107, "")</f>
        <v>0</v>
      </c>
      <c r="Z107" s="284" t="n">
        <f aca="false">IFERROR(M107*$E107, "")</f>
        <v>0</v>
      </c>
      <c r="AA107" s="284" t="n">
        <f aca="false">IFERROR(N107*$E107, "")</f>
        <v>0</v>
      </c>
      <c r="AB107" s="284" t="n">
        <f aca="false">IFERROR(O107*$E107, "")</f>
        <v>0</v>
      </c>
      <c r="AC107" s="284" t="n">
        <f aca="false">IFERROR(P107*$E107, "")</f>
        <v>0</v>
      </c>
      <c r="AD107" s="284" t="n">
        <f aca="false">IFERROR(Q107*$E107, "")</f>
        <v>0</v>
      </c>
      <c r="AE107" s="284" t="n">
        <f aca="false">IFERROR(R107*$E107, "")</f>
        <v>0</v>
      </c>
      <c r="AF107" s="284" t="n">
        <f aca="false">IFERROR(S107*$E107, "")</f>
        <v>0</v>
      </c>
      <c r="AG107" s="284" t="n">
        <f aca="false">IFERROR(T107*$E107, "")</f>
        <v>0</v>
      </c>
      <c r="AH107" s="286" t="n">
        <f aca="false">IFERROR(SUMIF($V$4:$AG$4, "RDEC", V107:AG107), "")</f>
        <v>0</v>
      </c>
      <c r="AI107" s="286" t="n">
        <f aca="false">IFERROR(SUMIF($V$4:$AG$4, "SME", V107:AG107), "")</f>
        <v>0</v>
      </c>
      <c r="AJ107" s="286" t="n">
        <f aca="false">IFERROR(SUMIF($V$4:$AG$4, "De Minimis", V107:AG107), "")</f>
        <v>0</v>
      </c>
      <c r="AK107" s="287"/>
      <c r="AL107" s="288" t="str">
        <f aca="false">IF((SUM(I107:T107)&gt;1),"ERROR","")</f>
        <v/>
      </c>
    </row>
    <row r="108" customFormat="false" ht="15" hidden="false" customHeight="true" outlineLevel="0" collapsed="false">
      <c r="H108" s="350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3"/>
      <c r="V108" s="284" t="n">
        <f aca="false">IFERROR(I108*$E108, "")</f>
        <v>0</v>
      </c>
      <c r="W108" s="284" t="n">
        <f aca="false">IFERROR(J108*$E108, "")</f>
        <v>0</v>
      </c>
      <c r="X108" s="284" t="n">
        <f aca="false">IFERROR(K108*$E108, "")</f>
        <v>0</v>
      </c>
      <c r="Y108" s="284" t="n">
        <f aca="false">IFERROR(L108*$E108, "")</f>
        <v>0</v>
      </c>
      <c r="Z108" s="284" t="n">
        <f aca="false">IFERROR(M108*$E108, "")</f>
        <v>0</v>
      </c>
      <c r="AA108" s="284" t="n">
        <f aca="false">IFERROR(N108*$E108, "")</f>
        <v>0</v>
      </c>
      <c r="AB108" s="284" t="n">
        <f aca="false">IFERROR(O108*$E108, "")</f>
        <v>0</v>
      </c>
      <c r="AC108" s="284" t="n">
        <f aca="false">IFERROR(P108*$E108, "")</f>
        <v>0</v>
      </c>
      <c r="AD108" s="284" t="n">
        <f aca="false">IFERROR(Q108*$E108, "")</f>
        <v>0</v>
      </c>
      <c r="AE108" s="284" t="n">
        <f aca="false">IFERROR(R108*$E108, "")</f>
        <v>0</v>
      </c>
      <c r="AF108" s="284" t="n">
        <f aca="false">IFERROR(S108*$E108, "")</f>
        <v>0</v>
      </c>
      <c r="AG108" s="284" t="n">
        <f aca="false">IFERROR(T108*$E108, "")</f>
        <v>0</v>
      </c>
      <c r="AH108" s="286" t="n">
        <f aca="false">IFERROR(SUMIF($V$4:$AG$4, "RDEC", V108:AG108), "")</f>
        <v>0</v>
      </c>
      <c r="AI108" s="286" t="n">
        <f aca="false">IFERROR(SUMIF($V$4:$AG$4, "SME", V108:AG108), "")</f>
        <v>0</v>
      </c>
      <c r="AJ108" s="286" t="n">
        <f aca="false">IFERROR(SUMIF($V$4:$AG$4, "De Minimis", V108:AG108), "")</f>
        <v>0</v>
      </c>
      <c r="AK108" s="287"/>
      <c r="AL108" s="288" t="str">
        <f aca="false">IF((SUM(I108:T108)&gt;1),"ERROR","")</f>
        <v/>
      </c>
    </row>
    <row r="109" customFormat="false" ht="15" hidden="false" customHeight="true" outlineLevel="0" collapsed="false">
      <c r="H109" s="350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3"/>
      <c r="V109" s="284" t="n">
        <f aca="false">IFERROR(I109*$E109, "")</f>
        <v>0</v>
      </c>
      <c r="W109" s="284" t="n">
        <f aca="false">IFERROR(J109*$E109, "")</f>
        <v>0</v>
      </c>
      <c r="X109" s="284" t="n">
        <f aca="false">IFERROR(K109*$E109, "")</f>
        <v>0</v>
      </c>
      <c r="Y109" s="284" t="n">
        <f aca="false">IFERROR(L109*$E109, "")</f>
        <v>0</v>
      </c>
      <c r="Z109" s="284" t="n">
        <f aca="false">IFERROR(M109*$E109, "")</f>
        <v>0</v>
      </c>
      <c r="AA109" s="284" t="n">
        <f aca="false">IFERROR(N109*$E109, "")</f>
        <v>0</v>
      </c>
      <c r="AB109" s="284" t="n">
        <f aca="false">IFERROR(O109*$E109, "")</f>
        <v>0</v>
      </c>
      <c r="AC109" s="284" t="n">
        <f aca="false">IFERROR(P109*$E109, "")</f>
        <v>0</v>
      </c>
      <c r="AD109" s="284" t="n">
        <f aca="false">IFERROR(Q109*$E109, "")</f>
        <v>0</v>
      </c>
      <c r="AE109" s="284" t="n">
        <f aca="false">IFERROR(R109*$E109, "")</f>
        <v>0</v>
      </c>
      <c r="AF109" s="284" t="n">
        <f aca="false">IFERROR(S109*$E109, "")</f>
        <v>0</v>
      </c>
      <c r="AG109" s="284" t="n">
        <f aca="false">IFERROR(T109*$E109, "")</f>
        <v>0</v>
      </c>
      <c r="AH109" s="286" t="n">
        <f aca="false">IFERROR(SUMIF($V$4:$AG$4, "RDEC", V109:AG109), "")</f>
        <v>0</v>
      </c>
      <c r="AI109" s="286" t="n">
        <f aca="false">IFERROR(SUMIF($V$4:$AG$4, "SME", V109:AG109), "")</f>
        <v>0</v>
      </c>
      <c r="AJ109" s="286" t="n">
        <f aca="false">IFERROR(SUMIF($V$4:$AG$4, "De Minimis", V109:AG109), "")</f>
        <v>0</v>
      </c>
      <c r="AK109" s="303"/>
      <c r="AL109" s="288" t="str">
        <f aca="false">IF((SUM(I109:T109)&gt;1),"ERROR","")</f>
        <v/>
      </c>
    </row>
    <row r="110" customFormat="false" ht="15" hidden="false" customHeight="true" outlineLevel="0" collapsed="false">
      <c r="H110" s="350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3"/>
      <c r="V110" s="284" t="n">
        <f aca="false">IFERROR(I110*$E110, "")</f>
        <v>0</v>
      </c>
      <c r="W110" s="284" t="n">
        <f aca="false">IFERROR(J110*$E110, "")</f>
        <v>0</v>
      </c>
      <c r="X110" s="284" t="n">
        <f aca="false">IFERROR(K110*$E110, "")</f>
        <v>0</v>
      </c>
      <c r="Y110" s="284" t="n">
        <f aca="false">IFERROR(L110*$E110, "")</f>
        <v>0</v>
      </c>
      <c r="Z110" s="284" t="n">
        <f aca="false">IFERROR(M110*$E110, "")</f>
        <v>0</v>
      </c>
      <c r="AA110" s="284" t="n">
        <f aca="false">IFERROR(N110*$E110, "")</f>
        <v>0</v>
      </c>
      <c r="AB110" s="284" t="n">
        <f aca="false">IFERROR(O110*$E110, "")</f>
        <v>0</v>
      </c>
      <c r="AC110" s="284" t="n">
        <f aca="false">IFERROR(P110*$E110, "")</f>
        <v>0</v>
      </c>
      <c r="AD110" s="284" t="n">
        <f aca="false">IFERROR(Q110*$E110, "")</f>
        <v>0</v>
      </c>
      <c r="AE110" s="284" t="n">
        <f aca="false">IFERROR(R110*$E110, "")</f>
        <v>0</v>
      </c>
      <c r="AF110" s="284" t="n">
        <f aca="false">IFERROR(S110*$E110, "")</f>
        <v>0</v>
      </c>
      <c r="AG110" s="284" t="n">
        <f aca="false">IFERROR(T110*$E110, "")</f>
        <v>0</v>
      </c>
      <c r="AH110" s="286" t="n">
        <f aca="false">IFERROR(SUMIF($V$4:$AG$4, "RDEC", V110:AG110), "")</f>
        <v>0</v>
      </c>
      <c r="AI110" s="286" t="n">
        <f aca="false">IFERROR(SUMIF($V$4:$AG$4, "SME", V110:AG110), "")</f>
        <v>0</v>
      </c>
      <c r="AJ110" s="286" t="n">
        <f aca="false">IFERROR(SUMIF($V$4:$AG$4, "De Minimis", V110:AG110), "")</f>
        <v>0</v>
      </c>
      <c r="AL110" s="288" t="str">
        <f aca="false">IF((SUM(I110:T110)&gt;1),"ERROR","")</f>
        <v/>
      </c>
    </row>
    <row r="111" customFormat="false" ht="15" hidden="false" customHeight="true" outlineLevel="0" collapsed="false">
      <c r="H111" s="350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3"/>
      <c r="V111" s="284" t="n">
        <f aca="false">IFERROR(I111*$E111, "")</f>
        <v>0</v>
      </c>
      <c r="W111" s="284" t="n">
        <f aca="false">IFERROR(J111*$E111, "")</f>
        <v>0</v>
      </c>
      <c r="X111" s="284" t="n">
        <f aca="false">IFERROR(K111*$E111, "")</f>
        <v>0</v>
      </c>
      <c r="Y111" s="284" t="n">
        <f aca="false">IFERROR(L111*$E111, "")</f>
        <v>0</v>
      </c>
      <c r="Z111" s="284" t="n">
        <f aca="false">IFERROR(M111*$E111, "")</f>
        <v>0</v>
      </c>
      <c r="AA111" s="284" t="n">
        <f aca="false">IFERROR(N111*$E111, "")</f>
        <v>0</v>
      </c>
      <c r="AB111" s="284" t="n">
        <f aca="false">IFERROR(O111*$E111, "")</f>
        <v>0</v>
      </c>
      <c r="AC111" s="284" t="n">
        <f aca="false">IFERROR(P111*$E111, "")</f>
        <v>0</v>
      </c>
      <c r="AD111" s="284" t="n">
        <f aca="false">IFERROR(Q111*$E111, "")</f>
        <v>0</v>
      </c>
      <c r="AE111" s="284" t="n">
        <f aca="false">IFERROR(R111*$E111, "")</f>
        <v>0</v>
      </c>
      <c r="AF111" s="284" t="n">
        <f aca="false">IFERROR(S111*$E111, "")</f>
        <v>0</v>
      </c>
      <c r="AG111" s="284" t="n">
        <f aca="false">IFERROR(T111*$E111, "")</f>
        <v>0</v>
      </c>
      <c r="AH111" s="286" t="n">
        <f aca="false">IFERROR(SUMIF($V$4:$AG$4, "RDEC", V111:AG111), "")</f>
        <v>0</v>
      </c>
      <c r="AI111" s="286" t="n">
        <f aca="false">IFERROR(SUMIF($V$4:$AG$4, "SME", V111:AG111), "")</f>
        <v>0</v>
      </c>
      <c r="AJ111" s="286" t="n">
        <f aca="false">IFERROR(SUMIF($V$4:$AG$4, "De Minimis", V111:AG111), "")</f>
        <v>0</v>
      </c>
      <c r="AK111" s="268"/>
      <c r="AL111" s="288" t="str">
        <f aca="false">IF((SUM(I111:T111)&gt;1),"ERROR","")</f>
        <v/>
      </c>
    </row>
    <row r="112" customFormat="false" ht="15" hidden="false" customHeight="true" outlineLevel="0" collapsed="false">
      <c r="H112" s="350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3"/>
      <c r="V112" s="284" t="n">
        <f aca="false">IFERROR(I112*$E112, "")</f>
        <v>0</v>
      </c>
      <c r="W112" s="284" t="n">
        <f aca="false">IFERROR(J112*$E112, "")</f>
        <v>0</v>
      </c>
      <c r="X112" s="284" t="n">
        <f aca="false">IFERROR(K112*$E112, "")</f>
        <v>0</v>
      </c>
      <c r="Y112" s="284" t="n">
        <f aca="false">IFERROR(L112*$E112, "")</f>
        <v>0</v>
      </c>
      <c r="Z112" s="284" t="n">
        <f aca="false">IFERROR(M112*$E112, "")</f>
        <v>0</v>
      </c>
      <c r="AA112" s="284" t="n">
        <f aca="false">IFERROR(N112*$E112, "")</f>
        <v>0</v>
      </c>
      <c r="AB112" s="284" t="n">
        <f aca="false">IFERROR(O112*$E112, "")</f>
        <v>0</v>
      </c>
      <c r="AC112" s="284" t="n">
        <f aca="false">IFERROR(P112*$E112, "")</f>
        <v>0</v>
      </c>
      <c r="AD112" s="284" t="n">
        <f aca="false">IFERROR(Q112*$E112, "")</f>
        <v>0</v>
      </c>
      <c r="AE112" s="284" t="n">
        <f aca="false">IFERROR(R112*$E112, "")</f>
        <v>0</v>
      </c>
      <c r="AF112" s="284" t="n">
        <f aca="false">IFERROR(S112*$E112, "")</f>
        <v>0</v>
      </c>
      <c r="AG112" s="284" t="n">
        <f aca="false">IFERROR(T112*$E112, "")</f>
        <v>0</v>
      </c>
      <c r="AH112" s="286" t="n">
        <f aca="false">IFERROR(SUMIF($V$4:$AG$4, "RDEC", V112:AG112), "")</f>
        <v>0</v>
      </c>
      <c r="AI112" s="286" t="n">
        <f aca="false">IFERROR(SUMIF($V$4:$AG$4, "SME", V112:AG112), "")</f>
        <v>0</v>
      </c>
      <c r="AJ112" s="286" t="n">
        <f aca="false">IFERROR(SUMIF($V$4:$AG$4, "De Minimis", V112:AG112), "")</f>
        <v>0</v>
      </c>
      <c r="AK112" s="287"/>
      <c r="AL112" s="288" t="str">
        <f aca="false">IF((SUM(I112:T112)&gt;1),"ERROR","")</f>
        <v/>
      </c>
    </row>
    <row r="113" customFormat="false" ht="15" hidden="false" customHeight="true" outlineLevel="0" collapsed="false">
      <c r="H113" s="350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3"/>
      <c r="V113" s="284" t="n">
        <f aca="false">IFERROR(I113*$E113, "")</f>
        <v>0</v>
      </c>
      <c r="W113" s="284" t="n">
        <f aca="false">IFERROR(J113*$E113, "")</f>
        <v>0</v>
      </c>
      <c r="X113" s="284" t="n">
        <f aca="false">IFERROR(K113*$E113, "")</f>
        <v>0</v>
      </c>
      <c r="Y113" s="284" t="n">
        <f aca="false">IFERROR(L113*$E113, "")</f>
        <v>0</v>
      </c>
      <c r="Z113" s="284" t="n">
        <f aca="false">IFERROR(M113*$E113, "")</f>
        <v>0</v>
      </c>
      <c r="AA113" s="284" t="n">
        <f aca="false">IFERROR(N113*$E113, "")</f>
        <v>0</v>
      </c>
      <c r="AB113" s="284" t="n">
        <f aca="false">IFERROR(O113*$E113, "")</f>
        <v>0</v>
      </c>
      <c r="AC113" s="284" t="n">
        <f aca="false">IFERROR(P113*$E113, "")</f>
        <v>0</v>
      </c>
      <c r="AD113" s="284" t="n">
        <f aca="false">IFERROR(Q113*$E113, "")</f>
        <v>0</v>
      </c>
      <c r="AE113" s="284" t="n">
        <f aca="false">IFERROR(R113*$E113, "")</f>
        <v>0</v>
      </c>
      <c r="AF113" s="284" t="n">
        <f aca="false">IFERROR(S113*$E113, "")</f>
        <v>0</v>
      </c>
      <c r="AG113" s="284" t="n">
        <f aca="false">IFERROR(T113*$E113, "")</f>
        <v>0</v>
      </c>
      <c r="AH113" s="286" t="n">
        <f aca="false">IFERROR(SUMIF($V$4:$AG$4, "RDEC", V113:AG113), "")</f>
        <v>0</v>
      </c>
      <c r="AI113" s="286" t="n">
        <f aca="false">IFERROR(SUMIF($V$4:$AG$4, "SME", V113:AG113), "")</f>
        <v>0</v>
      </c>
      <c r="AJ113" s="286" t="n">
        <f aca="false">IFERROR(SUMIF($V$4:$AG$4, "De Minimis", V113:AG113), "")</f>
        <v>0</v>
      </c>
      <c r="AK113" s="287"/>
      <c r="AL113" s="288" t="str">
        <f aca="false">IF((SUM(I113:T113)&gt;1),"ERROR","")</f>
        <v/>
      </c>
    </row>
    <row r="114" customFormat="false" ht="15" hidden="false" customHeight="true" outlineLevel="0" collapsed="false">
      <c r="H114" s="350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3"/>
      <c r="V114" s="284" t="n">
        <f aca="false">IFERROR(I114*$E114, "")</f>
        <v>0</v>
      </c>
      <c r="W114" s="284" t="n">
        <f aca="false">IFERROR(J114*$E114, "")</f>
        <v>0</v>
      </c>
      <c r="X114" s="284" t="n">
        <f aca="false">IFERROR(K114*$E114, "")</f>
        <v>0</v>
      </c>
      <c r="Y114" s="284" t="n">
        <f aca="false">IFERROR(L114*$E114, "")</f>
        <v>0</v>
      </c>
      <c r="Z114" s="284" t="n">
        <f aca="false">IFERROR(M114*$E114, "")</f>
        <v>0</v>
      </c>
      <c r="AA114" s="284" t="n">
        <f aca="false">IFERROR(N114*$E114, "")</f>
        <v>0</v>
      </c>
      <c r="AB114" s="284" t="n">
        <f aca="false">IFERROR(O114*$E114, "")</f>
        <v>0</v>
      </c>
      <c r="AC114" s="284" t="n">
        <f aca="false">IFERROR(P114*$E114, "")</f>
        <v>0</v>
      </c>
      <c r="AD114" s="284" t="n">
        <f aca="false">IFERROR(Q114*$E114, "")</f>
        <v>0</v>
      </c>
      <c r="AE114" s="284" t="n">
        <f aca="false">IFERROR(R114*$E114, "")</f>
        <v>0</v>
      </c>
      <c r="AF114" s="284" t="n">
        <f aca="false">IFERROR(S114*$E114, "")</f>
        <v>0</v>
      </c>
      <c r="AG114" s="284" t="n">
        <f aca="false">IFERROR(T114*$E114, "")</f>
        <v>0</v>
      </c>
      <c r="AH114" s="286" t="n">
        <f aca="false">IFERROR(SUMIF($V$4:$AG$4, "RDEC", V114:AG114), "")</f>
        <v>0</v>
      </c>
      <c r="AI114" s="286" t="n">
        <f aca="false">IFERROR(SUMIF($V$4:$AG$4, "SME", V114:AG114), "")</f>
        <v>0</v>
      </c>
      <c r="AJ114" s="286" t="n">
        <f aca="false">IFERROR(SUMIF($V$4:$AG$4, "De Minimis", V114:AG114), "")</f>
        <v>0</v>
      </c>
      <c r="AK114" s="287"/>
      <c r="AL114" s="288" t="str">
        <f aca="false">IF((SUM(I114:T114)&gt;1),"ERROR","")</f>
        <v/>
      </c>
    </row>
    <row r="115" customFormat="false" ht="15" hidden="false" customHeight="true" outlineLevel="0" collapsed="false">
      <c r="H115" s="350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3"/>
      <c r="V115" s="284" t="n">
        <f aca="false">IFERROR(I115*$E115, "")</f>
        <v>0</v>
      </c>
      <c r="W115" s="284" t="n">
        <f aca="false">IFERROR(J115*$E115, "")</f>
        <v>0</v>
      </c>
      <c r="X115" s="284" t="n">
        <f aca="false">IFERROR(K115*$E115, "")</f>
        <v>0</v>
      </c>
      <c r="Y115" s="284" t="n">
        <f aca="false">IFERROR(L115*$E115, "")</f>
        <v>0</v>
      </c>
      <c r="Z115" s="284" t="n">
        <f aca="false">IFERROR(M115*$E115, "")</f>
        <v>0</v>
      </c>
      <c r="AA115" s="284" t="n">
        <f aca="false">IFERROR(N115*$E115, "")</f>
        <v>0</v>
      </c>
      <c r="AB115" s="284" t="n">
        <f aca="false">IFERROR(O115*$E115, "")</f>
        <v>0</v>
      </c>
      <c r="AC115" s="284" t="n">
        <f aca="false">IFERROR(P115*$E115, "")</f>
        <v>0</v>
      </c>
      <c r="AD115" s="284" t="n">
        <f aca="false">IFERROR(Q115*$E115, "")</f>
        <v>0</v>
      </c>
      <c r="AE115" s="284" t="n">
        <f aca="false">IFERROR(R115*$E115, "")</f>
        <v>0</v>
      </c>
      <c r="AF115" s="284" t="n">
        <f aca="false">IFERROR(S115*$E115, "")</f>
        <v>0</v>
      </c>
      <c r="AG115" s="284" t="n">
        <f aca="false">IFERROR(T115*$E115, "")</f>
        <v>0</v>
      </c>
      <c r="AH115" s="286" t="n">
        <f aca="false">IFERROR(SUMIF($V$4:$AG$4, "RDEC", V115:AG115), "")</f>
        <v>0</v>
      </c>
      <c r="AI115" s="286" t="n">
        <f aca="false">IFERROR(SUMIF($V$4:$AG$4, "SME", V115:AG115), "")</f>
        <v>0</v>
      </c>
      <c r="AJ115" s="286" t="n">
        <f aca="false">IFERROR(SUMIF($V$4:$AG$4, "De Minimis", V115:AG115), "")</f>
        <v>0</v>
      </c>
      <c r="AK115" s="287"/>
      <c r="AL115" s="288" t="str">
        <f aca="false">IF((SUM(I115:T115)&gt;1),"ERROR","")</f>
        <v/>
      </c>
    </row>
    <row r="116" customFormat="false" ht="15" hidden="false" customHeight="true" outlineLevel="0" collapsed="false">
      <c r="H116" s="350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3"/>
      <c r="V116" s="284" t="n">
        <f aca="false">IFERROR(I116*$E116, "")</f>
        <v>0</v>
      </c>
      <c r="W116" s="284" t="n">
        <f aca="false">IFERROR(J116*$E116, "")</f>
        <v>0</v>
      </c>
      <c r="X116" s="284" t="n">
        <f aca="false">IFERROR(K116*$E116, "")</f>
        <v>0</v>
      </c>
      <c r="Y116" s="284" t="n">
        <f aca="false">IFERROR(L116*$E116, "")</f>
        <v>0</v>
      </c>
      <c r="Z116" s="284" t="n">
        <f aca="false">IFERROR(M116*$E116, "")</f>
        <v>0</v>
      </c>
      <c r="AA116" s="284" t="n">
        <f aca="false">IFERROR(N116*$E116, "")</f>
        <v>0</v>
      </c>
      <c r="AB116" s="284" t="n">
        <f aca="false">IFERROR(O116*$E116, "")</f>
        <v>0</v>
      </c>
      <c r="AC116" s="284" t="n">
        <f aca="false">IFERROR(P116*$E116, "")</f>
        <v>0</v>
      </c>
      <c r="AD116" s="284" t="n">
        <f aca="false">IFERROR(Q116*$E116, "")</f>
        <v>0</v>
      </c>
      <c r="AE116" s="284" t="n">
        <f aca="false">IFERROR(R116*$E116, "")</f>
        <v>0</v>
      </c>
      <c r="AF116" s="284" t="n">
        <f aca="false">IFERROR(S116*$E116, "")</f>
        <v>0</v>
      </c>
      <c r="AG116" s="284" t="n">
        <f aca="false">IFERROR(T116*$E116, "")</f>
        <v>0</v>
      </c>
      <c r="AH116" s="286" t="n">
        <f aca="false">IFERROR(SUMIF($V$4:$AG$4, "RDEC", V116:AG116), "")</f>
        <v>0</v>
      </c>
      <c r="AI116" s="286" t="n">
        <f aca="false">IFERROR(SUMIF($V$4:$AG$4, "SME", V116:AG116), "")</f>
        <v>0</v>
      </c>
      <c r="AJ116" s="286" t="n">
        <f aca="false">IFERROR(SUMIF($V$4:$AG$4, "De Minimis", V116:AG116), "")</f>
        <v>0</v>
      </c>
      <c r="AK116" s="287"/>
      <c r="AL116" s="288" t="str">
        <f aca="false">IF((SUM(I116:T116)&gt;1),"ERROR","")</f>
        <v/>
      </c>
    </row>
    <row r="117" customFormat="false" ht="15" hidden="false" customHeight="true" outlineLevel="0" collapsed="false">
      <c r="H117" s="350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3"/>
      <c r="V117" s="284" t="n">
        <f aca="false">IFERROR(I117*$E117, "")</f>
        <v>0</v>
      </c>
      <c r="W117" s="284" t="n">
        <f aca="false">IFERROR(J117*$E117, "")</f>
        <v>0</v>
      </c>
      <c r="X117" s="284" t="n">
        <f aca="false">IFERROR(K117*$E117, "")</f>
        <v>0</v>
      </c>
      <c r="Y117" s="284" t="n">
        <f aca="false">IFERROR(L117*$E117, "")</f>
        <v>0</v>
      </c>
      <c r="Z117" s="284" t="n">
        <f aca="false">IFERROR(M117*$E117, "")</f>
        <v>0</v>
      </c>
      <c r="AA117" s="284" t="n">
        <f aca="false">IFERROR(N117*$E117, "")</f>
        <v>0</v>
      </c>
      <c r="AB117" s="284" t="n">
        <f aca="false">IFERROR(O117*$E117, "")</f>
        <v>0</v>
      </c>
      <c r="AC117" s="284" t="n">
        <f aca="false">IFERROR(P117*$E117, "")</f>
        <v>0</v>
      </c>
      <c r="AD117" s="284" t="n">
        <f aca="false">IFERROR(Q117*$E117, "")</f>
        <v>0</v>
      </c>
      <c r="AE117" s="284" t="n">
        <f aca="false">IFERROR(R117*$E117, "")</f>
        <v>0</v>
      </c>
      <c r="AF117" s="284" t="n">
        <f aca="false">IFERROR(S117*$E117, "")</f>
        <v>0</v>
      </c>
      <c r="AG117" s="284" t="n">
        <f aca="false">IFERROR(T117*$E117, "")</f>
        <v>0</v>
      </c>
      <c r="AH117" s="286" t="n">
        <f aca="false">IFERROR(SUMIF($V$4:$AG$4, "RDEC", V117:AG117), "")</f>
        <v>0</v>
      </c>
      <c r="AI117" s="286" t="n">
        <f aca="false">IFERROR(SUMIF($V$4:$AG$4, "SME", V117:AG117), "")</f>
        <v>0</v>
      </c>
      <c r="AJ117" s="286" t="n">
        <f aca="false">IFERROR(SUMIF($V$4:$AG$4, "De Minimis", V117:AG117), "")</f>
        <v>0</v>
      </c>
      <c r="AK117" s="287"/>
      <c r="AL117" s="288" t="str">
        <f aca="false">IF((SUM(I117:T117)&gt;1),"ERROR","")</f>
        <v/>
      </c>
    </row>
    <row r="118" customFormat="false" ht="15" hidden="false" customHeight="true" outlineLevel="0" collapsed="false">
      <c r="H118" s="350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3"/>
      <c r="V118" s="284" t="n">
        <f aca="false">IFERROR(I118*$E118, "")</f>
        <v>0</v>
      </c>
      <c r="W118" s="284" t="n">
        <f aca="false">IFERROR(J118*$E118, "")</f>
        <v>0</v>
      </c>
      <c r="X118" s="284" t="n">
        <f aca="false">IFERROR(K118*$E118, "")</f>
        <v>0</v>
      </c>
      <c r="Y118" s="284" t="n">
        <f aca="false">IFERROR(L118*$E118, "")</f>
        <v>0</v>
      </c>
      <c r="Z118" s="284" t="n">
        <f aca="false">IFERROR(M118*$E118, "")</f>
        <v>0</v>
      </c>
      <c r="AA118" s="284" t="n">
        <f aca="false">IFERROR(N118*$E118, "")</f>
        <v>0</v>
      </c>
      <c r="AB118" s="284" t="n">
        <f aca="false">IFERROR(O118*$E118, "")</f>
        <v>0</v>
      </c>
      <c r="AC118" s="284" t="n">
        <f aca="false">IFERROR(P118*$E118, "")</f>
        <v>0</v>
      </c>
      <c r="AD118" s="284" t="n">
        <f aca="false">IFERROR(Q118*$E118, "")</f>
        <v>0</v>
      </c>
      <c r="AE118" s="284" t="n">
        <f aca="false">IFERROR(R118*$E118, "")</f>
        <v>0</v>
      </c>
      <c r="AF118" s="284" t="n">
        <f aca="false">IFERROR(S118*$E118, "")</f>
        <v>0</v>
      </c>
      <c r="AG118" s="284" t="n">
        <f aca="false">IFERROR(T118*$E118, "")</f>
        <v>0</v>
      </c>
      <c r="AH118" s="286" t="n">
        <f aca="false">IFERROR(SUMIF($V$4:$AG$4, "RDEC", V118:AG118), "")</f>
        <v>0</v>
      </c>
      <c r="AI118" s="286" t="n">
        <f aca="false">IFERROR(SUMIF($V$4:$AG$4, "SME", V118:AG118), "")</f>
        <v>0</v>
      </c>
      <c r="AJ118" s="286" t="n">
        <f aca="false">IFERROR(SUMIF($V$4:$AG$4, "De Minimis", V118:AG118), "")</f>
        <v>0</v>
      </c>
      <c r="AK118" s="287"/>
      <c r="AL118" s="288" t="str">
        <f aca="false">IF((SUM(I118:T118)&gt;1),"ERROR","")</f>
        <v/>
      </c>
    </row>
    <row r="119" customFormat="false" ht="15" hidden="false" customHeight="true" outlineLevel="0" collapsed="false">
      <c r="H119" s="350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3"/>
      <c r="V119" s="284" t="n">
        <f aca="false">IFERROR(I119*$E119, "")</f>
        <v>0</v>
      </c>
      <c r="W119" s="284" t="n">
        <f aca="false">IFERROR(J119*$E119, "")</f>
        <v>0</v>
      </c>
      <c r="X119" s="284" t="n">
        <f aca="false">IFERROR(K119*$E119, "")</f>
        <v>0</v>
      </c>
      <c r="Y119" s="284" t="n">
        <f aca="false">IFERROR(L119*$E119, "")</f>
        <v>0</v>
      </c>
      <c r="Z119" s="284" t="n">
        <f aca="false">IFERROR(M119*$E119, "")</f>
        <v>0</v>
      </c>
      <c r="AA119" s="284" t="n">
        <f aca="false">IFERROR(N119*$E119, "")</f>
        <v>0</v>
      </c>
      <c r="AB119" s="284" t="n">
        <f aca="false">IFERROR(O119*$E119, "")</f>
        <v>0</v>
      </c>
      <c r="AC119" s="284" t="n">
        <f aca="false">IFERROR(P119*$E119, "")</f>
        <v>0</v>
      </c>
      <c r="AD119" s="284" t="n">
        <f aca="false">IFERROR(Q119*$E119, "")</f>
        <v>0</v>
      </c>
      <c r="AE119" s="284" t="n">
        <f aca="false">IFERROR(R119*$E119, "")</f>
        <v>0</v>
      </c>
      <c r="AF119" s="284" t="n">
        <f aca="false">IFERROR(S119*$E119, "")</f>
        <v>0</v>
      </c>
      <c r="AG119" s="284" t="n">
        <f aca="false">IFERROR(T119*$E119, "")</f>
        <v>0</v>
      </c>
      <c r="AH119" s="286" t="n">
        <f aca="false">IFERROR(SUMIF($V$4:$AG$4, "RDEC", V119:AG119), "")</f>
        <v>0</v>
      </c>
      <c r="AI119" s="286" t="n">
        <f aca="false">IFERROR(SUMIF($V$4:$AG$4, "SME", V119:AG119), "")</f>
        <v>0</v>
      </c>
      <c r="AJ119" s="286" t="n">
        <f aca="false">IFERROR(SUMIF($V$4:$AG$4, "De Minimis", V119:AG119), "")</f>
        <v>0</v>
      </c>
      <c r="AK119" s="287"/>
      <c r="AL119" s="288" t="str">
        <f aca="false">IF((SUM(I119:T119)&gt;1),"ERROR","")</f>
        <v/>
      </c>
    </row>
    <row r="120" customFormat="false" ht="15" hidden="false" customHeight="true" outlineLevel="0" collapsed="false">
      <c r="H120" s="350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3"/>
      <c r="V120" s="284" t="n">
        <f aca="false">IFERROR(I120*$E120, "")</f>
        <v>0</v>
      </c>
      <c r="W120" s="284" t="n">
        <f aca="false">IFERROR(J120*$E120, "")</f>
        <v>0</v>
      </c>
      <c r="X120" s="284" t="n">
        <f aca="false">IFERROR(K120*$E120, "")</f>
        <v>0</v>
      </c>
      <c r="Y120" s="284" t="n">
        <f aca="false">IFERROR(L120*$E120, "")</f>
        <v>0</v>
      </c>
      <c r="Z120" s="284" t="n">
        <f aca="false">IFERROR(M120*$E120, "")</f>
        <v>0</v>
      </c>
      <c r="AA120" s="284" t="n">
        <f aca="false">IFERROR(N120*$E120, "")</f>
        <v>0</v>
      </c>
      <c r="AB120" s="284" t="n">
        <f aca="false">IFERROR(O120*$E120, "")</f>
        <v>0</v>
      </c>
      <c r="AC120" s="284" t="n">
        <f aca="false">IFERROR(P120*$E120, "")</f>
        <v>0</v>
      </c>
      <c r="AD120" s="284" t="n">
        <f aca="false">IFERROR(Q120*$E120, "")</f>
        <v>0</v>
      </c>
      <c r="AE120" s="284" t="n">
        <f aca="false">IFERROR(R120*$E120, "")</f>
        <v>0</v>
      </c>
      <c r="AF120" s="284" t="n">
        <f aca="false">IFERROR(S120*$E120, "")</f>
        <v>0</v>
      </c>
      <c r="AG120" s="284" t="n">
        <f aca="false">IFERROR(T120*$E120, "")</f>
        <v>0</v>
      </c>
      <c r="AH120" s="286" t="n">
        <f aca="false">IFERROR(SUMIF($V$4:$AG$4, "RDEC", V120:AG120), "")</f>
        <v>0</v>
      </c>
      <c r="AI120" s="286" t="n">
        <f aca="false">IFERROR(SUMIF($V$4:$AG$4, "SME", V120:AG120), "")</f>
        <v>0</v>
      </c>
      <c r="AJ120" s="286" t="n">
        <f aca="false">IFERROR(SUMIF($V$4:$AG$4, "De Minimis", V120:AG120), "")</f>
        <v>0</v>
      </c>
      <c r="AK120" s="287"/>
      <c r="AL120" s="288" t="str">
        <f aca="false">IF((SUM(I120:T120)&gt;1),"ERROR","")</f>
        <v/>
      </c>
    </row>
    <row r="121" customFormat="false" ht="15" hidden="false" customHeight="true" outlineLevel="0" collapsed="false">
      <c r="H121" s="350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3"/>
      <c r="V121" s="284" t="n">
        <f aca="false">IFERROR(I121*$E121, "")</f>
        <v>0</v>
      </c>
      <c r="W121" s="284" t="n">
        <f aca="false">IFERROR(J121*$E121, "")</f>
        <v>0</v>
      </c>
      <c r="X121" s="284" t="n">
        <f aca="false">IFERROR(K121*$E121, "")</f>
        <v>0</v>
      </c>
      <c r="Y121" s="284" t="n">
        <f aca="false">IFERROR(L121*$E121, "")</f>
        <v>0</v>
      </c>
      <c r="Z121" s="284" t="n">
        <f aca="false">IFERROR(M121*$E121, "")</f>
        <v>0</v>
      </c>
      <c r="AA121" s="284" t="n">
        <f aca="false">IFERROR(N121*$E121, "")</f>
        <v>0</v>
      </c>
      <c r="AB121" s="284" t="n">
        <f aca="false">IFERROR(O121*$E121, "")</f>
        <v>0</v>
      </c>
      <c r="AC121" s="284" t="n">
        <f aca="false">IFERROR(P121*$E121, "")</f>
        <v>0</v>
      </c>
      <c r="AD121" s="284" t="n">
        <f aca="false">IFERROR(Q121*$E121, "")</f>
        <v>0</v>
      </c>
      <c r="AE121" s="284" t="n">
        <f aca="false">IFERROR(R121*$E121, "")</f>
        <v>0</v>
      </c>
      <c r="AF121" s="284" t="n">
        <f aca="false">IFERROR(S121*$E121, "")</f>
        <v>0</v>
      </c>
      <c r="AG121" s="284" t="n">
        <f aca="false">IFERROR(T121*$E121, "")</f>
        <v>0</v>
      </c>
      <c r="AH121" s="286" t="n">
        <f aca="false">IFERROR(SUMIF($V$4:$AG$4, "RDEC", V121:AG121), "")</f>
        <v>0</v>
      </c>
      <c r="AI121" s="286" t="n">
        <f aca="false">IFERROR(SUMIF($V$4:$AG$4, "SME", V121:AG121), "")</f>
        <v>0</v>
      </c>
      <c r="AJ121" s="286" t="n">
        <f aca="false">IFERROR(SUMIF($V$4:$AG$4, "De Minimis", V121:AG121), "")</f>
        <v>0</v>
      </c>
      <c r="AK121" s="287"/>
      <c r="AL121" s="288" t="str">
        <f aca="false">IF((SUM(I121:T121)&gt;1),"ERROR","")</f>
        <v/>
      </c>
    </row>
    <row r="122" customFormat="false" ht="15" hidden="false" customHeight="true" outlineLevel="0" collapsed="false">
      <c r="H122" s="350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3"/>
      <c r="V122" s="284" t="n">
        <f aca="false">IFERROR(I122*$E122, "")</f>
        <v>0</v>
      </c>
      <c r="W122" s="284" t="n">
        <f aca="false">IFERROR(J122*$E122, "")</f>
        <v>0</v>
      </c>
      <c r="X122" s="284" t="n">
        <f aca="false">IFERROR(K122*$E122, "")</f>
        <v>0</v>
      </c>
      <c r="Y122" s="284" t="n">
        <f aca="false">IFERROR(L122*$E122, "")</f>
        <v>0</v>
      </c>
      <c r="Z122" s="284" t="n">
        <f aca="false">IFERROR(M122*$E122, "")</f>
        <v>0</v>
      </c>
      <c r="AA122" s="284" t="n">
        <f aca="false">IFERROR(N122*$E122, "")</f>
        <v>0</v>
      </c>
      <c r="AB122" s="284" t="n">
        <f aca="false">IFERROR(O122*$E122, "")</f>
        <v>0</v>
      </c>
      <c r="AC122" s="284" t="n">
        <f aca="false">IFERROR(P122*$E122, "")</f>
        <v>0</v>
      </c>
      <c r="AD122" s="284" t="n">
        <f aca="false">IFERROR(Q122*$E122, "")</f>
        <v>0</v>
      </c>
      <c r="AE122" s="284" t="n">
        <f aca="false">IFERROR(R122*$E122, "")</f>
        <v>0</v>
      </c>
      <c r="AF122" s="284" t="n">
        <f aca="false">IFERROR(S122*$E122, "")</f>
        <v>0</v>
      </c>
      <c r="AG122" s="284" t="n">
        <f aca="false">IFERROR(T122*$E122, "")</f>
        <v>0</v>
      </c>
      <c r="AH122" s="286" t="n">
        <f aca="false">IFERROR(SUMIF($V$4:$AG$4, "RDEC", V122:AG122), "")</f>
        <v>0</v>
      </c>
      <c r="AI122" s="286" t="n">
        <f aca="false">IFERROR(SUMIF($V$4:$AG$4, "SME", V122:AG122), "")</f>
        <v>0</v>
      </c>
      <c r="AJ122" s="286" t="n">
        <f aca="false">IFERROR(SUMIF($V$4:$AG$4, "De Minimis", V122:AG122), "")</f>
        <v>0</v>
      </c>
      <c r="AK122" s="287"/>
      <c r="AL122" s="288" t="str">
        <f aca="false">IF((SUM(I122:T122)&gt;1),"ERROR","")</f>
        <v/>
      </c>
    </row>
    <row r="123" customFormat="false" ht="15" hidden="false" customHeight="true" outlineLevel="0" collapsed="false">
      <c r="H123" s="350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3"/>
      <c r="V123" s="284" t="n">
        <f aca="false">IFERROR(I123*$E123, "")</f>
        <v>0</v>
      </c>
      <c r="W123" s="284" t="n">
        <f aca="false">IFERROR(J123*$E123, "")</f>
        <v>0</v>
      </c>
      <c r="X123" s="284" t="n">
        <f aca="false">IFERROR(K123*$E123, "")</f>
        <v>0</v>
      </c>
      <c r="Y123" s="284" t="n">
        <f aca="false">IFERROR(L123*$E123, "")</f>
        <v>0</v>
      </c>
      <c r="Z123" s="284" t="n">
        <f aca="false">IFERROR(M123*$E123, "")</f>
        <v>0</v>
      </c>
      <c r="AA123" s="284" t="n">
        <f aca="false">IFERROR(N123*$E123, "")</f>
        <v>0</v>
      </c>
      <c r="AB123" s="284" t="n">
        <f aca="false">IFERROR(O123*$E123, "")</f>
        <v>0</v>
      </c>
      <c r="AC123" s="284" t="n">
        <f aca="false">IFERROR(P123*$E123, "")</f>
        <v>0</v>
      </c>
      <c r="AD123" s="284" t="n">
        <f aca="false">IFERROR(Q123*$E123, "")</f>
        <v>0</v>
      </c>
      <c r="AE123" s="284" t="n">
        <f aca="false">IFERROR(R123*$E123, "")</f>
        <v>0</v>
      </c>
      <c r="AF123" s="284" t="n">
        <f aca="false">IFERROR(S123*$E123, "")</f>
        <v>0</v>
      </c>
      <c r="AG123" s="284" t="n">
        <f aca="false">IFERROR(T123*$E123, "")</f>
        <v>0</v>
      </c>
      <c r="AH123" s="286" t="n">
        <f aca="false">IFERROR(SUMIF($V$4:$AG$4, "RDEC", V123:AG123), "")</f>
        <v>0</v>
      </c>
      <c r="AI123" s="286" t="n">
        <f aca="false">IFERROR(SUMIF($V$4:$AG$4, "SME", V123:AG123), "")</f>
        <v>0</v>
      </c>
      <c r="AJ123" s="286" t="n">
        <f aca="false">IFERROR(SUMIF($V$4:$AG$4, "De Minimis", V123:AG123), "")</f>
        <v>0</v>
      </c>
      <c r="AK123" s="287"/>
      <c r="AL123" s="288" t="str">
        <f aca="false">IF((SUM(I123:T123)&gt;1),"ERROR","")</f>
        <v/>
      </c>
    </row>
    <row r="124" customFormat="false" ht="15" hidden="false" customHeight="true" outlineLevel="0" collapsed="false">
      <c r="H124" s="350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3"/>
      <c r="V124" s="284" t="n">
        <f aca="false">IFERROR(I124*$E124, "")</f>
        <v>0</v>
      </c>
      <c r="W124" s="284" t="n">
        <f aca="false">IFERROR(J124*$E124, "")</f>
        <v>0</v>
      </c>
      <c r="X124" s="284" t="n">
        <f aca="false">IFERROR(K124*$E124, "")</f>
        <v>0</v>
      </c>
      <c r="Y124" s="284" t="n">
        <f aca="false">IFERROR(L124*$E124, "")</f>
        <v>0</v>
      </c>
      <c r="Z124" s="284" t="n">
        <f aca="false">IFERROR(M124*$E124, "")</f>
        <v>0</v>
      </c>
      <c r="AA124" s="284" t="n">
        <f aca="false">IFERROR(N124*$E124, "")</f>
        <v>0</v>
      </c>
      <c r="AB124" s="284" t="n">
        <f aca="false">IFERROR(O124*$E124, "")</f>
        <v>0</v>
      </c>
      <c r="AC124" s="284" t="n">
        <f aca="false">IFERROR(P124*$E124, "")</f>
        <v>0</v>
      </c>
      <c r="AD124" s="284" t="n">
        <f aca="false">IFERROR(Q124*$E124, "")</f>
        <v>0</v>
      </c>
      <c r="AE124" s="284" t="n">
        <f aca="false">IFERROR(R124*$E124, "")</f>
        <v>0</v>
      </c>
      <c r="AF124" s="284" t="n">
        <f aca="false">IFERROR(S124*$E124, "")</f>
        <v>0</v>
      </c>
      <c r="AG124" s="284" t="n">
        <f aca="false">IFERROR(T124*$E124, "")</f>
        <v>0</v>
      </c>
      <c r="AH124" s="286" t="n">
        <f aca="false">IFERROR(SUMIF($V$4:$AG$4, "RDEC", V124:AG124), "")</f>
        <v>0</v>
      </c>
      <c r="AI124" s="286" t="n">
        <f aca="false">IFERROR(SUMIF($V$4:$AG$4, "SME", V124:AG124), "")</f>
        <v>0</v>
      </c>
      <c r="AJ124" s="286" t="n">
        <f aca="false">IFERROR(SUMIF($V$4:$AG$4, "De Minimis", V124:AG124), "")</f>
        <v>0</v>
      </c>
      <c r="AK124" s="303"/>
      <c r="AL124" s="288" t="str">
        <f aca="false">IF((SUM(I124:T124)&gt;1),"ERROR","")</f>
        <v/>
      </c>
    </row>
    <row r="125" customFormat="false" ht="15" hidden="false" customHeight="true" outlineLevel="0" collapsed="false">
      <c r="H125" s="350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3"/>
      <c r="V125" s="284" t="n">
        <f aca="false">IFERROR(I125*$E125, "")</f>
        <v>0</v>
      </c>
      <c r="W125" s="284" t="n">
        <f aca="false">IFERROR(J125*$E125, "")</f>
        <v>0</v>
      </c>
      <c r="X125" s="284" t="n">
        <f aca="false">IFERROR(K125*$E125, "")</f>
        <v>0</v>
      </c>
      <c r="Y125" s="284" t="n">
        <f aca="false">IFERROR(L125*$E125, "")</f>
        <v>0</v>
      </c>
      <c r="Z125" s="284" t="n">
        <f aca="false">IFERROR(M125*$E125, "")</f>
        <v>0</v>
      </c>
      <c r="AA125" s="284" t="n">
        <f aca="false">IFERROR(N125*$E125, "")</f>
        <v>0</v>
      </c>
      <c r="AB125" s="284" t="n">
        <f aca="false">IFERROR(O125*$E125, "")</f>
        <v>0</v>
      </c>
      <c r="AC125" s="284" t="n">
        <f aca="false">IFERROR(P125*$E125, "")</f>
        <v>0</v>
      </c>
      <c r="AD125" s="284" t="n">
        <f aca="false">IFERROR(Q125*$E125, "")</f>
        <v>0</v>
      </c>
      <c r="AE125" s="284" t="n">
        <f aca="false">IFERROR(R125*$E125, "")</f>
        <v>0</v>
      </c>
      <c r="AF125" s="284" t="n">
        <f aca="false">IFERROR(S125*$E125, "")</f>
        <v>0</v>
      </c>
      <c r="AG125" s="284" t="n">
        <f aca="false">IFERROR(T125*$E125, "")</f>
        <v>0</v>
      </c>
      <c r="AH125" s="286" t="n">
        <f aca="false">IFERROR(SUMIF($V$4:$AG$4, "RDEC", V125:AG125), "")</f>
        <v>0</v>
      </c>
      <c r="AI125" s="286" t="n">
        <f aca="false">IFERROR(SUMIF($V$4:$AG$4, "SME", V125:AG125), "")</f>
        <v>0</v>
      </c>
      <c r="AJ125" s="286" t="n">
        <f aca="false">IFERROR(SUMIF($V$4:$AG$4, "De Minimis", V125:AG125), "")</f>
        <v>0</v>
      </c>
      <c r="AL125" s="288" t="str">
        <f aca="false">IF((SUM(I125:T125)&gt;1),"ERROR","")</f>
        <v/>
      </c>
    </row>
    <row r="126" customFormat="false" ht="15" hidden="false" customHeight="true" outlineLevel="0" collapsed="false">
      <c r="H126" s="350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3"/>
      <c r="V126" s="284" t="n">
        <f aca="false">IFERROR(I126*$E126, "")</f>
        <v>0</v>
      </c>
      <c r="W126" s="284" t="n">
        <f aca="false">IFERROR(J126*$E126, "")</f>
        <v>0</v>
      </c>
      <c r="X126" s="284" t="n">
        <f aca="false">IFERROR(K126*$E126, "")</f>
        <v>0</v>
      </c>
      <c r="Y126" s="284" t="n">
        <f aca="false">IFERROR(L126*$E126, "")</f>
        <v>0</v>
      </c>
      <c r="Z126" s="284" t="n">
        <f aca="false">IFERROR(M126*$E126, "")</f>
        <v>0</v>
      </c>
      <c r="AA126" s="284" t="n">
        <f aca="false">IFERROR(N126*$E126, "")</f>
        <v>0</v>
      </c>
      <c r="AB126" s="284" t="n">
        <f aca="false">IFERROR(O126*$E126, "")</f>
        <v>0</v>
      </c>
      <c r="AC126" s="284" t="n">
        <f aca="false">IFERROR(P126*$E126, "")</f>
        <v>0</v>
      </c>
      <c r="AD126" s="284" t="n">
        <f aca="false">IFERROR(Q126*$E126, "")</f>
        <v>0</v>
      </c>
      <c r="AE126" s="284" t="n">
        <f aca="false">IFERROR(R126*$E126, "")</f>
        <v>0</v>
      </c>
      <c r="AF126" s="284" t="n">
        <f aca="false">IFERROR(S126*$E126, "")</f>
        <v>0</v>
      </c>
      <c r="AG126" s="284" t="n">
        <f aca="false">IFERROR(T126*$E126, "")</f>
        <v>0</v>
      </c>
      <c r="AH126" s="286" t="n">
        <f aca="false">IFERROR(SUMIF($V$4:$AG$4, "RDEC", V126:AG126), "")</f>
        <v>0</v>
      </c>
      <c r="AI126" s="286" t="n">
        <f aca="false">IFERROR(SUMIF($V$4:$AG$4, "SME", V126:AG126), "")</f>
        <v>0</v>
      </c>
      <c r="AJ126" s="286" t="n">
        <f aca="false">IFERROR(SUMIF($V$4:$AG$4, "De Minimis", V126:AG126), "")</f>
        <v>0</v>
      </c>
      <c r="AK126" s="268"/>
      <c r="AL126" s="288" t="str">
        <f aca="false">IF((SUM(I126:T126)&gt;1),"ERROR","")</f>
        <v/>
      </c>
    </row>
    <row r="127" customFormat="false" ht="15" hidden="false" customHeight="true" outlineLevel="0" collapsed="false">
      <c r="H127" s="350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3"/>
      <c r="V127" s="284" t="n">
        <f aca="false">IFERROR(I127*$E127, "")</f>
        <v>0</v>
      </c>
      <c r="W127" s="284" t="n">
        <f aca="false">IFERROR(J127*$E127, "")</f>
        <v>0</v>
      </c>
      <c r="X127" s="284" t="n">
        <f aca="false">IFERROR(K127*$E127, "")</f>
        <v>0</v>
      </c>
      <c r="Y127" s="284" t="n">
        <f aca="false">IFERROR(L127*$E127, "")</f>
        <v>0</v>
      </c>
      <c r="Z127" s="284" t="n">
        <f aca="false">IFERROR(M127*$E127, "")</f>
        <v>0</v>
      </c>
      <c r="AA127" s="284" t="n">
        <f aca="false">IFERROR(N127*$E127, "")</f>
        <v>0</v>
      </c>
      <c r="AB127" s="284" t="n">
        <f aca="false">IFERROR(O127*$E127, "")</f>
        <v>0</v>
      </c>
      <c r="AC127" s="284" t="n">
        <f aca="false">IFERROR(P127*$E127, "")</f>
        <v>0</v>
      </c>
      <c r="AD127" s="284" t="n">
        <f aca="false">IFERROR(Q127*$E127, "")</f>
        <v>0</v>
      </c>
      <c r="AE127" s="284" t="n">
        <f aca="false">IFERROR(R127*$E127, "")</f>
        <v>0</v>
      </c>
      <c r="AF127" s="284" t="n">
        <f aca="false">IFERROR(S127*$E127, "")</f>
        <v>0</v>
      </c>
      <c r="AG127" s="284" t="n">
        <f aca="false">IFERROR(T127*$E127, "")</f>
        <v>0</v>
      </c>
      <c r="AH127" s="286" t="n">
        <f aca="false">IFERROR(SUMIF($V$4:$AG$4, "RDEC", V127:AG127), "")</f>
        <v>0</v>
      </c>
      <c r="AI127" s="286" t="n">
        <f aca="false">IFERROR(SUMIF($V$4:$AG$4, "SME", V127:AG127), "")</f>
        <v>0</v>
      </c>
      <c r="AJ127" s="286" t="n">
        <f aca="false">IFERROR(SUMIF($V$4:$AG$4, "De Minimis", V127:AG127), "")</f>
        <v>0</v>
      </c>
      <c r="AK127" s="287"/>
      <c r="AL127" s="288" t="str">
        <f aca="false">IF((SUM(I127:T127)&gt;1),"ERROR","")</f>
        <v/>
      </c>
    </row>
    <row r="128" customFormat="false" ht="15" hidden="false" customHeight="true" outlineLevel="0" collapsed="false">
      <c r="H128" s="350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3"/>
      <c r="V128" s="284" t="n">
        <f aca="false">IFERROR(I128*$E128, "")</f>
        <v>0</v>
      </c>
      <c r="W128" s="284" t="n">
        <f aca="false">IFERROR(J128*$E128, "")</f>
        <v>0</v>
      </c>
      <c r="X128" s="284" t="n">
        <f aca="false">IFERROR(K128*$E128, "")</f>
        <v>0</v>
      </c>
      <c r="Y128" s="284" t="n">
        <f aca="false">IFERROR(L128*$E128, "")</f>
        <v>0</v>
      </c>
      <c r="Z128" s="284" t="n">
        <f aca="false">IFERROR(M128*$E128, "")</f>
        <v>0</v>
      </c>
      <c r="AA128" s="284" t="n">
        <f aca="false">IFERROR(N128*$E128, "")</f>
        <v>0</v>
      </c>
      <c r="AB128" s="284" t="n">
        <f aca="false">IFERROR(O128*$E128, "")</f>
        <v>0</v>
      </c>
      <c r="AC128" s="284" t="n">
        <f aca="false">IFERROR(P128*$E128, "")</f>
        <v>0</v>
      </c>
      <c r="AD128" s="284" t="n">
        <f aca="false">IFERROR(Q128*$E128, "")</f>
        <v>0</v>
      </c>
      <c r="AE128" s="284" t="n">
        <f aca="false">IFERROR(R128*$E128, "")</f>
        <v>0</v>
      </c>
      <c r="AF128" s="284" t="n">
        <f aca="false">IFERROR(S128*$E128, "")</f>
        <v>0</v>
      </c>
      <c r="AG128" s="284" t="n">
        <f aca="false">IFERROR(T128*$E128, "")</f>
        <v>0</v>
      </c>
      <c r="AH128" s="286" t="n">
        <f aca="false">IFERROR(SUMIF($V$4:$AG$4, "RDEC", V128:AG128), "")</f>
        <v>0</v>
      </c>
      <c r="AI128" s="286" t="n">
        <f aca="false">IFERROR(SUMIF($V$4:$AG$4, "SME", V128:AG128), "")</f>
        <v>0</v>
      </c>
      <c r="AJ128" s="286" t="n">
        <f aca="false">IFERROR(SUMIF($V$4:$AG$4, "De Minimis", V128:AG128), "")</f>
        <v>0</v>
      </c>
      <c r="AK128" s="287"/>
      <c r="AL128" s="288" t="str">
        <f aca="false">IF((SUM(I128:T128)&gt;1),"ERROR","")</f>
        <v/>
      </c>
    </row>
    <row r="129" customFormat="false" ht="15" hidden="false" customHeight="true" outlineLevel="0" collapsed="false">
      <c r="H129" s="350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3"/>
      <c r="V129" s="284" t="n">
        <f aca="false">IFERROR(I129*$E129, "")</f>
        <v>0</v>
      </c>
      <c r="W129" s="284" t="n">
        <f aca="false">IFERROR(J129*$E129, "")</f>
        <v>0</v>
      </c>
      <c r="X129" s="284" t="n">
        <f aca="false">IFERROR(K129*$E129, "")</f>
        <v>0</v>
      </c>
      <c r="Y129" s="284" t="n">
        <f aca="false">IFERROR(L129*$E129, "")</f>
        <v>0</v>
      </c>
      <c r="Z129" s="284" t="n">
        <f aca="false">IFERROR(M129*$E129, "")</f>
        <v>0</v>
      </c>
      <c r="AA129" s="284" t="n">
        <f aca="false">IFERROR(N129*$E129, "")</f>
        <v>0</v>
      </c>
      <c r="AB129" s="284" t="n">
        <f aca="false">IFERROR(O129*$E129, "")</f>
        <v>0</v>
      </c>
      <c r="AC129" s="284" t="n">
        <f aca="false">IFERROR(P129*$E129, "")</f>
        <v>0</v>
      </c>
      <c r="AD129" s="284" t="n">
        <f aca="false">IFERROR(Q129*$E129, "")</f>
        <v>0</v>
      </c>
      <c r="AE129" s="284" t="n">
        <f aca="false">IFERROR(R129*$E129, "")</f>
        <v>0</v>
      </c>
      <c r="AF129" s="284" t="n">
        <f aca="false">IFERROR(S129*$E129, "")</f>
        <v>0</v>
      </c>
      <c r="AG129" s="284" t="n">
        <f aca="false">IFERROR(T129*$E129, "")</f>
        <v>0</v>
      </c>
      <c r="AH129" s="286" t="n">
        <f aca="false">IFERROR(SUMIF($V$4:$AG$4, "RDEC", V129:AG129), "")</f>
        <v>0</v>
      </c>
      <c r="AI129" s="286" t="n">
        <f aca="false">IFERROR(SUMIF($V$4:$AG$4, "SME", V129:AG129), "")</f>
        <v>0</v>
      </c>
      <c r="AJ129" s="286" t="n">
        <f aca="false">IFERROR(SUMIF($V$4:$AG$4, "De Minimis", V129:AG129), "")</f>
        <v>0</v>
      </c>
      <c r="AK129" s="287"/>
      <c r="AL129" s="288" t="str">
        <f aca="false">IF((SUM(I129:T129)&gt;1),"ERROR","")</f>
        <v/>
      </c>
    </row>
    <row r="130" customFormat="false" ht="15" hidden="false" customHeight="true" outlineLevel="0" collapsed="false">
      <c r="H130" s="350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3"/>
      <c r="V130" s="284" t="n">
        <f aca="false">IFERROR(I130*$E130, "")</f>
        <v>0</v>
      </c>
      <c r="W130" s="284" t="n">
        <f aca="false">IFERROR(J130*$E130, "")</f>
        <v>0</v>
      </c>
      <c r="X130" s="284" t="n">
        <f aca="false">IFERROR(K130*$E130, "")</f>
        <v>0</v>
      </c>
      <c r="Y130" s="284" t="n">
        <f aca="false">IFERROR(L130*$E130, "")</f>
        <v>0</v>
      </c>
      <c r="Z130" s="284" t="n">
        <f aca="false">IFERROR(M130*$E130, "")</f>
        <v>0</v>
      </c>
      <c r="AA130" s="284" t="n">
        <f aca="false">IFERROR(N130*$E130, "")</f>
        <v>0</v>
      </c>
      <c r="AB130" s="284" t="n">
        <f aca="false">IFERROR(O130*$E130, "")</f>
        <v>0</v>
      </c>
      <c r="AC130" s="284" t="n">
        <f aca="false">IFERROR(P130*$E130, "")</f>
        <v>0</v>
      </c>
      <c r="AD130" s="284" t="n">
        <f aca="false">IFERROR(Q130*$E130, "")</f>
        <v>0</v>
      </c>
      <c r="AE130" s="284" t="n">
        <f aca="false">IFERROR(R130*$E130, "")</f>
        <v>0</v>
      </c>
      <c r="AF130" s="284" t="n">
        <f aca="false">IFERROR(S130*$E130, "")</f>
        <v>0</v>
      </c>
      <c r="AG130" s="284" t="n">
        <f aca="false">IFERROR(T130*$E130, "")</f>
        <v>0</v>
      </c>
      <c r="AH130" s="286" t="n">
        <f aca="false">IFERROR(SUMIF($V$4:$AG$4, "RDEC", V130:AG130), "")</f>
        <v>0</v>
      </c>
      <c r="AI130" s="286" t="n">
        <f aca="false">IFERROR(SUMIF($V$4:$AG$4, "SME", V130:AG130), "")</f>
        <v>0</v>
      </c>
      <c r="AJ130" s="286" t="n">
        <f aca="false">IFERROR(SUMIF($V$4:$AG$4, "De Minimis", V130:AG130), "")</f>
        <v>0</v>
      </c>
      <c r="AK130" s="287"/>
      <c r="AL130" s="288" t="str">
        <f aca="false">IF((SUM(I130:T130)&gt;1),"ERROR","")</f>
        <v/>
      </c>
    </row>
    <row r="131" customFormat="false" ht="15" hidden="false" customHeight="true" outlineLevel="0" collapsed="false">
      <c r="H131" s="350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3"/>
      <c r="V131" s="284" t="n">
        <f aca="false">IFERROR(I131*$E131, "")</f>
        <v>0</v>
      </c>
      <c r="W131" s="284" t="n">
        <f aca="false">IFERROR(J131*$E131, "")</f>
        <v>0</v>
      </c>
      <c r="X131" s="284" t="n">
        <f aca="false">IFERROR(K131*$E131, "")</f>
        <v>0</v>
      </c>
      <c r="Y131" s="284" t="n">
        <f aca="false">IFERROR(L131*$E131, "")</f>
        <v>0</v>
      </c>
      <c r="Z131" s="284" t="n">
        <f aca="false">IFERROR(M131*$E131, "")</f>
        <v>0</v>
      </c>
      <c r="AA131" s="284" t="n">
        <f aca="false">IFERROR(N131*$E131, "")</f>
        <v>0</v>
      </c>
      <c r="AB131" s="284" t="n">
        <f aca="false">IFERROR(O131*$E131, "")</f>
        <v>0</v>
      </c>
      <c r="AC131" s="284" t="n">
        <f aca="false">IFERROR(P131*$E131, "")</f>
        <v>0</v>
      </c>
      <c r="AD131" s="284" t="n">
        <f aca="false">IFERROR(Q131*$E131, "")</f>
        <v>0</v>
      </c>
      <c r="AE131" s="284" t="n">
        <f aca="false">IFERROR(R131*$E131, "")</f>
        <v>0</v>
      </c>
      <c r="AF131" s="284" t="n">
        <f aca="false">IFERROR(S131*$E131, "")</f>
        <v>0</v>
      </c>
      <c r="AG131" s="284" t="n">
        <f aca="false">IFERROR(T131*$E131, "")</f>
        <v>0</v>
      </c>
      <c r="AH131" s="286" t="n">
        <f aca="false">IFERROR(SUMIF($V$4:$AG$4, "RDEC", V131:AG131), "")</f>
        <v>0</v>
      </c>
      <c r="AI131" s="286" t="n">
        <f aca="false">IFERROR(SUMIF($V$4:$AG$4, "SME", V131:AG131), "")</f>
        <v>0</v>
      </c>
      <c r="AJ131" s="286" t="n">
        <f aca="false">IFERROR(SUMIF($V$4:$AG$4, "De Minimis", V131:AG131), "")</f>
        <v>0</v>
      </c>
      <c r="AK131" s="287"/>
      <c r="AL131" s="288" t="str">
        <f aca="false">IF((SUM(I131:T131)&gt;1),"ERROR","")</f>
        <v/>
      </c>
    </row>
    <row r="132" customFormat="false" ht="15" hidden="false" customHeight="true" outlineLevel="0" collapsed="false">
      <c r="H132" s="350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3"/>
      <c r="V132" s="284" t="n">
        <f aca="false">IFERROR(I132*$E132, "")</f>
        <v>0</v>
      </c>
      <c r="W132" s="284" t="n">
        <f aca="false">IFERROR(J132*$E132, "")</f>
        <v>0</v>
      </c>
      <c r="X132" s="284" t="n">
        <f aca="false">IFERROR(K132*$E132, "")</f>
        <v>0</v>
      </c>
      <c r="Y132" s="284" t="n">
        <f aca="false">IFERROR(L132*$E132, "")</f>
        <v>0</v>
      </c>
      <c r="Z132" s="284" t="n">
        <f aca="false">IFERROR(M132*$E132, "")</f>
        <v>0</v>
      </c>
      <c r="AA132" s="284" t="n">
        <f aca="false">IFERROR(N132*$E132, "")</f>
        <v>0</v>
      </c>
      <c r="AB132" s="284" t="n">
        <f aca="false">IFERROR(O132*$E132, "")</f>
        <v>0</v>
      </c>
      <c r="AC132" s="284" t="n">
        <f aca="false">IFERROR(P132*$E132, "")</f>
        <v>0</v>
      </c>
      <c r="AD132" s="284" t="n">
        <f aca="false">IFERROR(Q132*$E132, "")</f>
        <v>0</v>
      </c>
      <c r="AE132" s="284" t="n">
        <f aca="false">IFERROR(R132*$E132, "")</f>
        <v>0</v>
      </c>
      <c r="AF132" s="284" t="n">
        <f aca="false">IFERROR(S132*$E132, "")</f>
        <v>0</v>
      </c>
      <c r="AG132" s="284" t="n">
        <f aca="false">IFERROR(T132*$E132, "")</f>
        <v>0</v>
      </c>
      <c r="AH132" s="286" t="n">
        <f aca="false">IFERROR(SUMIF($V$4:$AG$4, "RDEC", V132:AG132), "")</f>
        <v>0</v>
      </c>
      <c r="AI132" s="286" t="n">
        <f aca="false">IFERROR(SUMIF($V$4:$AG$4, "SME", V132:AG132), "")</f>
        <v>0</v>
      </c>
      <c r="AJ132" s="286" t="n">
        <f aca="false">IFERROR(SUMIF($V$4:$AG$4, "De Minimis", V132:AG132), "")</f>
        <v>0</v>
      </c>
      <c r="AK132" s="287"/>
      <c r="AL132" s="288" t="str">
        <f aca="false">IF((SUM(I132:T132)&gt;1),"ERROR","")</f>
        <v/>
      </c>
    </row>
    <row r="133" customFormat="false" ht="15" hidden="false" customHeight="true" outlineLevel="0" collapsed="false">
      <c r="H133" s="350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3"/>
      <c r="V133" s="284" t="n">
        <f aca="false">IFERROR(I133*$E133, "")</f>
        <v>0</v>
      </c>
      <c r="W133" s="284" t="n">
        <f aca="false">IFERROR(J133*$E133, "")</f>
        <v>0</v>
      </c>
      <c r="X133" s="284" t="n">
        <f aca="false">IFERROR(K133*$E133, "")</f>
        <v>0</v>
      </c>
      <c r="Y133" s="284" t="n">
        <f aca="false">IFERROR(L133*$E133, "")</f>
        <v>0</v>
      </c>
      <c r="Z133" s="284" t="n">
        <f aca="false">IFERROR(M133*$E133, "")</f>
        <v>0</v>
      </c>
      <c r="AA133" s="284" t="n">
        <f aca="false">IFERROR(N133*$E133, "")</f>
        <v>0</v>
      </c>
      <c r="AB133" s="284" t="n">
        <f aca="false">IFERROR(O133*$E133, "")</f>
        <v>0</v>
      </c>
      <c r="AC133" s="284" t="n">
        <f aca="false">IFERROR(P133*$E133, "")</f>
        <v>0</v>
      </c>
      <c r="AD133" s="284" t="n">
        <f aca="false">IFERROR(Q133*$E133, "")</f>
        <v>0</v>
      </c>
      <c r="AE133" s="284" t="n">
        <f aca="false">IFERROR(R133*$E133, "")</f>
        <v>0</v>
      </c>
      <c r="AF133" s="284" t="n">
        <f aca="false">IFERROR(S133*$E133, "")</f>
        <v>0</v>
      </c>
      <c r="AG133" s="284" t="n">
        <f aca="false">IFERROR(T133*$E133, "")</f>
        <v>0</v>
      </c>
      <c r="AH133" s="286" t="n">
        <f aca="false">IFERROR(SUMIF($V$4:$AG$4, "RDEC", V133:AG133), "")</f>
        <v>0</v>
      </c>
      <c r="AI133" s="286" t="n">
        <f aca="false">IFERROR(SUMIF($V$4:$AG$4, "SME", V133:AG133), "")</f>
        <v>0</v>
      </c>
      <c r="AJ133" s="286" t="n">
        <f aca="false">IFERROR(SUMIF($V$4:$AG$4, "De Minimis", V133:AG133), "")</f>
        <v>0</v>
      </c>
      <c r="AK133" s="287"/>
      <c r="AL133" s="288" t="str">
        <f aca="false">IF((SUM(I133:T133)&gt;1),"ERROR","")</f>
        <v/>
      </c>
    </row>
    <row r="134" customFormat="false" ht="15" hidden="false" customHeight="true" outlineLevel="0" collapsed="false">
      <c r="H134" s="350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3"/>
      <c r="V134" s="284" t="n">
        <f aca="false">IFERROR(I134*$E134, "")</f>
        <v>0</v>
      </c>
      <c r="W134" s="284" t="n">
        <f aca="false">IFERROR(J134*$E134, "")</f>
        <v>0</v>
      </c>
      <c r="X134" s="284" t="n">
        <f aca="false">IFERROR(K134*$E134, "")</f>
        <v>0</v>
      </c>
      <c r="Y134" s="284" t="n">
        <f aca="false">IFERROR(L134*$E134, "")</f>
        <v>0</v>
      </c>
      <c r="Z134" s="284" t="n">
        <f aca="false">IFERROR(M134*$E134, "")</f>
        <v>0</v>
      </c>
      <c r="AA134" s="284" t="n">
        <f aca="false">IFERROR(N134*$E134, "")</f>
        <v>0</v>
      </c>
      <c r="AB134" s="284" t="n">
        <f aca="false">IFERROR(O134*$E134, "")</f>
        <v>0</v>
      </c>
      <c r="AC134" s="284" t="n">
        <f aca="false">IFERROR(P134*$E134, "")</f>
        <v>0</v>
      </c>
      <c r="AD134" s="284" t="n">
        <f aca="false">IFERROR(Q134*$E134, "")</f>
        <v>0</v>
      </c>
      <c r="AE134" s="284" t="n">
        <f aca="false">IFERROR(R134*$E134, "")</f>
        <v>0</v>
      </c>
      <c r="AF134" s="284" t="n">
        <f aca="false">IFERROR(S134*$E134, "")</f>
        <v>0</v>
      </c>
      <c r="AG134" s="284" t="n">
        <f aca="false">IFERROR(T134*$E134, "")</f>
        <v>0</v>
      </c>
      <c r="AH134" s="286" t="n">
        <f aca="false">IFERROR(SUMIF($V$4:$AG$4, "RDEC", V134:AG134), "")</f>
        <v>0</v>
      </c>
      <c r="AI134" s="286" t="n">
        <f aca="false">IFERROR(SUMIF($V$4:$AG$4, "SME", V134:AG134), "")</f>
        <v>0</v>
      </c>
      <c r="AJ134" s="286" t="n">
        <f aca="false">IFERROR(SUMIF($V$4:$AG$4, "De Minimis", V134:AG134), "")</f>
        <v>0</v>
      </c>
      <c r="AK134" s="287"/>
      <c r="AL134" s="288" t="str">
        <f aca="false">IF((SUM(I134:T134)&gt;1),"ERROR","")</f>
        <v/>
      </c>
    </row>
    <row r="135" customFormat="false" ht="15" hidden="false" customHeight="true" outlineLevel="0" collapsed="false">
      <c r="H135" s="350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3"/>
      <c r="V135" s="284" t="n">
        <f aca="false">IFERROR(I135*$E135, "")</f>
        <v>0</v>
      </c>
      <c r="W135" s="284" t="n">
        <f aca="false">IFERROR(J135*$E135, "")</f>
        <v>0</v>
      </c>
      <c r="X135" s="284" t="n">
        <f aca="false">IFERROR(K135*$E135, "")</f>
        <v>0</v>
      </c>
      <c r="Y135" s="284" t="n">
        <f aca="false">IFERROR(L135*$E135, "")</f>
        <v>0</v>
      </c>
      <c r="Z135" s="284" t="n">
        <f aca="false">IFERROR(M135*$E135, "")</f>
        <v>0</v>
      </c>
      <c r="AA135" s="284" t="n">
        <f aca="false">IFERROR(N135*$E135, "")</f>
        <v>0</v>
      </c>
      <c r="AB135" s="284" t="n">
        <f aca="false">IFERROR(O135*$E135, "")</f>
        <v>0</v>
      </c>
      <c r="AC135" s="284" t="n">
        <f aca="false">IFERROR(P135*$E135, "")</f>
        <v>0</v>
      </c>
      <c r="AD135" s="284" t="n">
        <f aca="false">IFERROR(Q135*$E135, "")</f>
        <v>0</v>
      </c>
      <c r="AE135" s="284" t="n">
        <f aca="false">IFERROR(R135*$E135, "")</f>
        <v>0</v>
      </c>
      <c r="AF135" s="284" t="n">
        <f aca="false">IFERROR(S135*$E135, "")</f>
        <v>0</v>
      </c>
      <c r="AG135" s="284" t="n">
        <f aca="false">IFERROR(T135*$E135, "")</f>
        <v>0</v>
      </c>
      <c r="AH135" s="286" t="n">
        <f aca="false">IFERROR(SUMIF($V$4:$AG$4, "RDEC", V135:AG135), "")</f>
        <v>0</v>
      </c>
      <c r="AI135" s="286" t="n">
        <f aca="false">IFERROR(SUMIF($V$4:$AG$4, "SME", V135:AG135), "")</f>
        <v>0</v>
      </c>
      <c r="AJ135" s="286" t="n">
        <f aca="false">IFERROR(SUMIF($V$4:$AG$4, "De Minimis", V135:AG135), "")</f>
        <v>0</v>
      </c>
      <c r="AK135" s="287"/>
      <c r="AL135" s="288" t="str">
        <f aca="false">IF((SUM(I135:T135)&gt;1),"ERROR","")</f>
        <v/>
      </c>
    </row>
    <row r="136" customFormat="false" ht="15" hidden="false" customHeight="true" outlineLevel="0" collapsed="false">
      <c r="H136" s="350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3"/>
      <c r="V136" s="284" t="n">
        <f aca="false">IFERROR(I136*$E136, "")</f>
        <v>0</v>
      </c>
      <c r="W136" s="284" t="n">
        <f aca="false">IFERROR(J136*$E136, "")</f>
        <v>0</v>
      </c>
      <c r="X136" s="284" t="n">
        <f aca="false">IFERROR(K136*$E136, "")</f>
        <v>0</v>
      </c>
      <c r="Y136" s="284" t="n">
        <f aca="false">IFERROR(L136*$E136, "")</f>
        <v>0</v>
      </c>
      <c r="Z136" s="284" t="n">
        <f aca="false">IFERROR(M136*$E136, "")</f>
        <v>0</v>
      </c>
      <c r="AA136" s="284" t="n">
        <f aca="false">IFERROR(N136*$E136, "")</f>
        <v>0</v>
      </c>
      <c r="AB136" s="284" t="n">
        <f aca="false">IFERROR(O136*$E136, "")</f>
        <v>0</v>
      </c>
      <c r="AC136" s="284" t="n">
        <f aca="false">IFERROR(P136*$E136, "")</f>
        <v>0</v>
      </c>
      <c r="AD136" s="284" t="n">
        <f aca="false">IFERROR(Q136*$E136, "")</f>
        <v>0</v>
      </c>
      <c r="AE136" s="284" t="n">
        <f aca="false">IFERROR(R136*$E136, "")</f>
        <v>0</v>
      </c>
      <c r="AF136" s="284" t="n">
        <f aca="false">IFERROR(S136*$E136, "")</f>
        <v>0</v>
      </c>
      <c r="AG136" s="284" t="n">
        <f aca="false">IFERROR(T136*$E136, "")</f>
        <v>0</v>
      </c>
      <c r="AH136" s="286" t="n">
        <f aca="false">IFERROR(SUMIF($V$4:$AG$4, "RDEC", V136:AG136), "")</f>
        <v>0</v>
      </c>
      <c r="AI136" s="286" t="n">
        <f aca="false">IFERROR(SUMIF($V$4:$AG$4, "SME", V136:AG136), "")</f>
        <v>0</v>
      </c>
      <c r="AJ136" s="286" t="n">
        <f aca="false">IFERROR(SUMIF($V$4:$AG$4, "De Minimis", V136:AG136), "")</f>
        <v>0</v>
      </c>
      <c r="AK136" s="287"/>
      <c r="AL136" s="288" t="str">
        <f aca="false">IF((SUM(I136:T136)&gt;1),"ERROR","")</f>
        <v/>
      </c>
    </row>
    <row r="137" customFormat="false" ht="15" hidden="false" customHeight="true" outlineLevel="0" collapsed="false">
      <c r="H137" s="350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3"/>
      <c r="V137" s="284" t="n">
        <f aca="false">IFERROR(I137*$E137, "")</f>
        <v>0</v>
      </c>
      <c r="W137" s="284" t="n">
        <f aca="false">IFERROR(J137*$E137, "")</f>
        <v>0</v>
      </c>
      <c r="X137" s="284" t="n">
        <f aca="false">IFERROR(K137*$E137, "")</f>
        <v>0</v>
      </c>
      <c r="Y137" s="284" t="n">
        <f aca="false">IFERROR(L137*$E137, "")</f>
        <v>0</v>
      </c>
      <c r="Z137" s="284" t="n">
        <f aca="false">IFERROR(M137*$E137, "")</f>
        <v>0</v>
      </c>
      <c r="AA137" s="284" t="n">
        <f aca="false">IFERROR(N137*$E137, "")</f>
        <v>0</v>
      </c>
      <c r="AB137" s="284" t="n">
        <f aca="false">IFERROR(O137*$E137, "")</f>
        <v>0</v>
      </c>
      <c r="AC137" s="284" t="n">
        <f aca="false">IFERROR(P137*$E137, "")</f>
        <v>0</v>
      </c>
      <c r="AD137" s="284" t="n">
        <f aca="false">IFERROR(Q137*$E137, "")</f>
        <v>0</v>
      </c>
      <c r="AE137" s="284" t="n">
        <f aca="false">IFERROR(R137*$E137, "")</f>
        <v>0</v>
      </c>
      <c r="AF137" s="284" t="n">
        <f aca="false">IFERROR(S137*$E137, "")</f>
        <v>0</v>
      </c>
      <c r="AG137" s="284" t="n">
        <f aca="false">IFERROR(T137*$E137, "")</f>
        <v>0</v>
      </c>
      <c r="AH137" s="286" t="n">
        <f aca="false">IFERROR(SUMIF($V$4:$AG$4, "RDEC", V137:AG137), "")</f>
        <v>0</v>
      </c>
      <c r="AI137" s="286" t="n">
        <f aca="false">IFERROR(SUMIF($V$4:$AG$4, "SME", V137:AG137), "")</f>
        <v>0</v>
      </c>
      <c r="AJ137" s="286" t="n">
        <f aca="false">IFERROR(SUMIF($V$4:$AG$4, "De Minimis", V137:AG137), "")</f>
        <v>0</v>
      </c>
      <c r="AK137" s="287"/>
      <c r="AL137" s="288" t="str">
        <f aca="false">IF((SUM(I137:T137)&gt;1),"ERROR","")</f>
        <v/>
      </c>
    </row>
    <row r="138" customFormat="false" ht="15" hidden="false" customHeight="true" outlineLevel="0" collapsed="false">
      <c r="H138" s="350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3"/>
      <c r="V138" s="284" t="n">
        <f aca="false">IFERROR(I138*$E138, "")</f>
        <v>0</v>
      </c>
      <c r="W138" s="284" t="n">
        <f aca="false">IFERROR(J138*$E138, "")</f>
        <v>0</v>
      </c>
      <c r="X138" s="284" t="n">
        <f aca="false">IFERROR(K138*$E138, "")</f>
        <v>0</v>
      </c>
      <c r="Y138" s="284" t="n">
        <f aca="false">IFERROR(L138*$E138, "")</f>
        <v>0</v>
      </c>
      <c r="Z138" s="284" t="n">
        <f aca="false">IFERROR(M138*$E138, "")</f>
        <v>0</v>
      </c>
      <c r="AA138" s="284" t="n">
        <f aca="false">IFERROR(N138*$E138, "")</f>
        <v>0</v>
      </c>
      <c r="AB138" s="284" t="n">
        <f aca="false">IFERROR(O138*$E138, "")</f>
        <v>0</v>
      </c>
      <c r="AC138" s="284" t="n">
        <f aca="false">IFERROR(P138*$E138, "")</f>
        <v>0</v>
      </c>
      <c r="AD138" s="284" t="n">
        <f aca="false">IFERROR(Q138*$E138, "")</f>
        <v>0</v>
      </c>
      <c r="AE138" s="284" t="n">
        <f aca="false">IFERROR(R138*$E138, "")</f>
        <v>0</v>
      </c>
      <c r="AF138" s="284" t="n">
        <f aca="false">IFERROR(S138*$E138, "")</f>
        <v>0</v>
      </c>
      <c r="AG138" s="284" t="n">
        <f aca="false">IFERROR(T138*$E138, "")</f>
        <v>0</v>
      </c>
      <c r="AH138" s="286" t="n">
        <f aca="false">IFERROR(SUMIF($V$4:$AG$4, "RDEC", V138:AG138), "")</f>
        <v>0</v>
      </c>
      <c r="AI138" s="286" t="n">
        <f aca="false">IFERROR(SUMIF($V$4:$AG$4, "SME", V138:AG138), "")</f>
        <v>0</v>
      </c>
      <c r="AJ138" s="286" t="n">
        <f aca="false">IFERROR(SUMIF($V$4:$AG$4, "De Minimis", V138:AG138), "")</f>
        <v>0</v>
      </c>
      <c r="AK138" s="287"/>
      <c r="AL138" s="288" t="str">
        <f aca="false">IF((SUM(I138:T138)&gt;1),"ERROR","")</f>
        <v/>
      </c>
    </row>
    <row r="139" customFormat="false" ht="15" hidden="false" customHeight="true" outlineLevel="0" collapsed="false">
      <c r="H139" s="350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3"/>
      <c r="V139" s="284" t="n">
        <f aca="false">IFERROR(I139*$E139, "")</f>
        <v>0</v>
      </c>
      <c r="W139" s="284" t="n">
        <f aca="false">IFERROR(J139*$E139, "")</f>
        <v>0</v>
      </c>
      <c r="X139" s="284" t="n">
        <f aca="false">IFERROR(K139*$E139, "")</f>
        <v>0</v>
      </c>
      <c r="Y139" s="284" t="n">
        <f aca="false">IFERROR(L139*$E139, "")</f>
        <v>0</v>
      </c>
      <c r="Z139" s="284" t="n">
        <f aca="false">IFERROR(M139*$E139, "")</f>
        <v>0</v>
      </c>
      <c r="AA139" s="284" t="n">
        <f aca="false">IFERROR(N139*$E139, "")</f>
        <v>0</v>
      </c>
      <c r="AB139" s="284" t="n">
        <f aca="false">IFERROR(O139*$E139, "")</f>
        <v>0</v>
      </c>
      <c r="AC139" s="284" t="n">
        <f aca="false">IFERROR(P139*$E139, "")</f>
        <v>0</v>
      </c>
      <c r="AD139" s="284" t="n">
        <f aca="false">IFERROR(Q139*$E139, "")</f>
        <v>0</v>
      </c>
      <c r="AE139" s="284" t="n">
        <f aca="false">IFERROR(R139*$E139, "")</f>
        <v>0</v>
      </c>
      <c r="AF139" s="284" t="n">
        <f aca="false">IFERROR(S139*$E139, "")</f>
        <v>0</v>
      </c>
      <c r="AG139" s="284" t="n">
        <f aca="false">IFERROR(T139*$E139, "")</f>
        <v>0</v>
      </c>
      <c r="AH139" s="286" t="n">
        <f aca="false">IFERROR(SUMIF($V$4:$AG$4, "RDEC", V139:AG139), "")</f>
        <v>0</v>
      </c>
      <c r="AI139" s="286" t="n">
        <f aca="false">IFERROR(SUMIF($V$4:$AG$4, "SME", V139:AG139), "")</f>
        <v>0</v>
      </c>
      <c r="AJ139" s="286" t="n">
        <f aca="false">IFERROR(SUMIF($V$4:$AG$4, "De Minimis", V139:AG139), "")</f>
        <v>0</v>
      </c>
      <c r="AK139" s="303"/>
      <c r="AL139" s="288" t="str">
        <f aca="false">IF((SUM(I139:T139)&gt;1),"ERROR","")</f>
        <v/>
      </c>
    </row>
    <row r="140" customFormat="false" ht="15" hidden="false" customHeight="true" outlineLevel="0" collapsed="false">
      <c r="H140" s="350"/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3"/>
      <c r="V140" s="284" t="n">
        <f aca="false">IFERROR(I140*$E140, "")</f>
        <v>0</v>
      </c>
      <c r="W140" s="284" t="n">
        <f aca="false">IFERROR(J140*$E140, "")</f>
        <v>0</v>
      </c>
      <c r="X140" s="284" t="n">
        <f aca="false">IFERROR(K140*$E140, "")</f>
        <v>0</v>
      </c>
      <c r="Y140" s="284" t="n">
        <f aca="false">IFERROR(L140*$E140, "")</f>
        <v>0</v>
      </c>
      <c r="Z140" s="284" t="n">
        <f aca="false">IFERROR(M140*$E140, "")</f>
        <v>0</v>
      </c>
      <c r="AA140" s="284" t="n">
        <f aca="false">IFERROR(N140*$E140, "")</f>
        <v>0</v>
      </c>
      <c r="AB140" s="284" t="n">
        <f aca="false">IFERROR(O140*$E140, "")</f>
        <v>0</v>
      </c>
      <c r="AC140" s="284" t="n">
        <f aca="false">IFERROR(P140*$E140, "")</f>
        <v>0</v>
      </c>
      <c r="AD140" s="284" t="n">
        <f aca="false">IFERROR(Q140*$E140, "")</f>
        <v>0</v>
      </c>
      <c r="AE140" s="284" t="n">
        <f aca="false">IFERROR(R140*$E140, "")</f>
        <v>0</v>
      </c>
      <c r="AF140" s="284" t="n">
        <f aca="false">IFERROR(S140*$E140, "")</f>
        <v>0</v>
      </c>
      <c r="AG140" s="284" t="n">
        <f aca="false">IFERROR(T140*$E140, "")</f>
        <v>0</v>
      </c>
      <c r="AH140" s="286" t="n">
        <f aca="false">IFERROR(SUMIF($V$4:$AG$4, "RDEC", V140:AG140), "")</f>
        <v>0</v>
      </c>
      <c r="AI140" s="286" t="n">
        <f aca="false">IFERROR(SUMIF($V$4:$AG$4, "SME", V140:AG140), "")</f>
        <v>0</v>
      </c>
      <c r="AJ140" s="286" t="n">
        <f aca="false">IFERROR(SUMIF($V$4:$AG$4, "De Minimis", V140:AG140), "")</f>
        <v>0</v>
      </c>
      <c r="AL140" s="288" t="str">
        <f aca="false">IF((SUM(I140:T140)&gt;1),"ERROR","")</f>
        <v/>
      </c>
    </row>
    <row r="141" customFormat="false" ht="15" hidden="false" customHeight="true" outlineLevel="0" collapsed="false">
      <c r="H141" s="350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3"/>
      <c r="V141" s="284" t="n">
        <f aca="false">IFERROR(I141*$E141, "")</f>
        <v>0</v>
      </c>
      <c r="W141" s="284" t="n">
        <f aca="false">IFERROR(J141*$E141, "")</f>
        <v>0</v>
      </c>
      <c r="X141" s="284" t="n">
        <f aca="false">IFERROR(K141*$E141, "")</f>
        <v>0</v>
      </c>
      <c r="Y141" s="284" t="n">
        <f aca="false">IFERROR(L141*$E141, "")</f>
        <v>0</v>
      </c>
      <c r="Z141" s="284" t="n">
        <f aca="false">IFERROR(M141*$E141, "")</f>
        <v>0</v>
      </c>
      <c r="AA141" s="284" t="n">
        <f aca="false">IFERROR(N141*$E141, "")</f>
        <v>0</v>
      </c>
      <c r="AB141" s="284" t="n">
        <f aca="false">IFERROR(O141*$E141, "")</f>
        <v>0</v>
      </c>
      <c r="AC141" s="284" t="n">
        <f aca="false">IFERROR(P141*$E141, "")</f>
        <v>0</v>
      </c>
      <c r="AD141" s="284" t="n">
        <f aca="false">IFERROR(Q141*$E141, "")</f>
        <v>0</v>
      </c>
      <c r="AE141" s="284" t="n">
        <f aca="false">IFERROR(R141*$E141, "")</f>
        <v>0</v>
      </c>
      <c r="AF141" s="284" t="n">
        <f aca="false">IFERROR(S141*$E141, "")</f>
        <v>0</v>
      </c>
      <c r="AG141" s="284" t="n">
        <f aca="false">IFERROR(T141*$E141, "")</f>
        <v>0</v>
      </c>
      <c r="AH141" s="286" t="n">
        <f aca="false">IFERROR(SUMIF($V$4:$AG$4, "RDEC", V141:AG141), "")</f>
        <v>0</v>
      </c>
      <c r="AI141" s="286" t="n">
        <f aca="false">IFERROR(SUMIF($V$4:$AG$4, "SME", V141:AG141), "")</f>
        <v>0</v>
      </c>
      <c r="AJ141" s="286" t="n">
        <f aca="false">IFERROR(SUMIF($V$4:$AG$4, "De Minimis", V141:AG141), "")</f>
        <v>0</v>
      </c>
      <c r="AK141" s="268"/>
      <c r="AL141" s="288" t="str">
        <f aca="false">IF((SUM(I141:T141)&gt;1),"ERROR","")</f>
        <v/>
      </c>
    </row>
    <row r="142" customFormat="false" ht="15" hidden="false" customHeight="true" outlineLevel="0" collapsed="false">
      <c r="H142" s="350"/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3"/>
      <c r="V142" s="284" t="n">
        <f aca="false">IFERROR(I142*$E142, "")</f>
        <v>0</v>
      </c>
      <c r="W142" s="284" t="n">
        <f aca="false">IFERROR(J142*$E142, "")</f>
        <v>0</v>
      </c>
      <c r="X142" s="284" t="n">
        <f aca="false">IFERROR(K142*$E142, "")</f>
        <v>0</v>
      </c>
      <c r="Y142" s="284" t="n">
        <f aca="false">IFERROR(L142*$E142, "")</f>
        <v>0</v>
      </c>
      <c r="Z142" s="284" t="n">
        <f aca="false">IFERROR(M142*$E142, "")</f>
        <v>0</v>
      </c>
      <c r="AA142" s="284" t="n">
        <f aca="false">IFERROR(N142*$E142, "")</f>
        <v>0</v>
      </c>
      <c r="AB142" s="284" t="n">
        <f aca="false">IFERROR(O142*$E142, "")</f>
        <v>0</v>
      </c>
      <c r="AC142" s="284" t="n">
        <f aca="false">IFERROR(P142*$E142, "")</f>
        <v>0</v>
      </c>
      <c r="AD142" s="284" t="n">
        <f aca="false">IFERROR(Q142*$E142, "")</f>
        <v>0</v>
      </c>
      <c r="AE142" s="284" t="n">
        <f aca="false">IFERROR(R142*$E142, "")</f>
        <v>0</v>
      </c>
      <c r="AF142" s="284" t="n">
        <f aca="false">IFERROR(S142*$E142, "")</f>
        <v>0</v>
      </c>
      <c r="AG142" s="284" t="n">
        <f aca="false">IFERROR(T142*$E142, "")</f>
        <v>0</v>
      </c>
      <c r="AH142" s="286" t="n">
        <f aca="false">IFERROR(SUMIF($V$4:$AG$4, "RDEC", V142:AG142), "")</f>
        <v>0</v>
      </c>
      <c r="AI142" s="286" t="n">
        <f aca="false">IFERROR(SUMIF($V$4:$AG$4, "SME", V142:AG142), "")</f>
        <v>0</v>
      </c>
      <c r="AJ142" s="286" t="n">
        <f aca="false">IFERROR(SUMIF($V$4:$AG$4, "De Minimis", V142:AG142), "")</f>
        <v>0</v>
      </c>
      <c r="AK142" s="287"/>
      <c r="AL142" s="288" t="str">
        <f aca="false">IF((SUM(I142:T142)&gt;1),"ERROR","")</f>
        <v/>
      </c>
    </row>
    <row r="143" customFormat="false" ht="15" hidden="false" customHeight="true" outlineLevel="0" collapsed="false">
      <c r="H143" s="350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3"/>
      <c r="V143" s="284" t="n">
        <f aca="false">IFERROR(I143*$E143, "")</f>
        <v>0</v>
      </c>
      <c r="W143" s="284" t="n">
        <f aca="false">IFERROR(J143*$E143, "")</f>
        <v>0</v>
      </c>
      <c r="X143" s="284" t="n">
        <f aca="false">IFERROR(K143*$E143, "")</f>
        <v>0</v>
      </c>
      <c r="Y143" s="284" t="n">
        <f aca="false">IFERROR(L143*$E143, "")</f>
        <v>0</v>
      </c>
      <c r="Z143" s="284" t="n">
        <f aca="false">IFERROR(M143*$E143, "")</f>
        <v>0</v>
      </c>
      <c r="AA143" s="284" t="n">
        <f aca="false">IFERROR(N143*$E143, "")</f>
        <v>0</v>
      </c>
      <c r="AB143" s="284" t="n">
        <f aca="false">IFERROR(O143*$E143, "")</f>
        <v>0</v>
      </c>
      <c r="AC143" s="284" t="n">
        <f aca="false">IFERROR(P143*$E143, "")</f>
        <v>0</v>
      </c>
      <c r="AD143" s="284" t="n">
        <f aca="false">IFERROR(Q143*$E143, "")</f>
        <v>0</v>
      </c>
      <c r="AE143" s="284" t="n">
        <f aca="false">IFERROR(R143*$E143, "")</f>
        <v>0</v>
      </c>
      <c r="AF143" s="284" t="n">
        <f aca="false">IFERROR(S143*$E143, "")</f>
        <v>0</v>
      </c>
      <c r="AG143" s="284" t="n">
        <f aca="false">IFERROR(T143*$E143, "")</f>
        <v>0</v>
      </c>
      <c r="AH143" s="286" t="n">
        <f aca="false">IFERROR(SUMIF($V$4:$AG$4, "RDEC", V143:AG143), "")</f>
        <v>0</v>
      </c>
      <c r="AI143" s="286" t="n">
        <f aca="false">IFERROR(SUMIF($V$4:$AG$4, "SME", V143:AG143), "")</f>
        <v>0</v>
      </c>
      <c r="AJ143" s="286" t="n">
        <f aca="false">IFERROR(SUMIF($V$4:$AG$4, "De Minimis", V143:AG143), "")</f>
        <v>0</v>
      </c>
      <c r="AK143" s="287"/>
      <c r="AL143" s="288" t="str">
        <f aca="false">IF((SUM(I143:T143)&gt;1),"ERROR","")</f>
        <v/>
      </c>
    </row>
    <row r="144" customFormat="false" ht="15" hidden="false" customHeight="true" outlineLevel="0" collapsed="false">
      <c r="H144" s="350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3"/>
      <c r="V144" s="284" t="n">
        <f aca="false">IFERROR(I144*$E144, "")</f>
        <v>0</v>
      </c>
      <c r="W144" s="284" t="n">
        <f aca="false">IFERROR(J144*$E144, "")</f>
        <v>0</v>
      </c>
      <c r="X144" s="284" t="n">
        <f aca="false">IFERROR(K144*$E144, "")</f>
        <v>0</v>
      </c>
      <c r="Y144" s="284" t="n">
        <f aca="false">IFERROR(L144*$E144, "")</f>
        <v>0</v>
      </c>
      <c r="Z144" s="284" t="n">
        <f aca="false">IFERROR(M144*$E144, "")</f>
        <v>0</v>
      </c>
      <c r="AA144" s="284" t="n">
        <f aca="false">IFERROR(N144*$E144, "")</f>
        <v>0</v>
      </c>
      <c r="AB144" s="284" t="n">
        <f aca="false">IFERROR(O144*$E144, "")</f>
        <v>0</v>
      </c>
      <c r="AC144" s="284" t="n">
        <f aca="false">IFERROR(P144*$E144, "")</f>
        <v>0</v>
      </c>
      <c r="AD144" s="284" t="n">
        <f aca="false">IFERROR(Q144*$E144, "")</f>
        <v>0</v>
      </c>
      <c r="AE144" s="284" t="n">
        <f aca="false">IFERROR(R144*$E144, "")</f>
        <v>0</v>
      </c>
      <c r="AF144" s="284" t="n">
        <f aca="false">IFERROR(S144*$E144, "")</f>
        <v>0</v>
      </c>
      <c r="AG144" s="284" t="n">
        <f aca="false">IFERROR(T144*$E144, "")</f>
        <v>0</v>
      </c>
      <c r="AH144" s="286" t="n">
        <f aca="false">IFERROR(SUMIF($V$4:$AG$4, "RDEC", V144:AG144), "")</f>
        <v>0</v>
      </c>
      <c r="AI144" s="286" t="n">
        <f aca="false">IFERROR(SUMIF($V$4:$AG$4, "SME", V144:AG144), "")</f>
        <v>0</v>
      </c>
      <c r="AJ144" s="286" t="n">
        <f aca="false">IFERROR(SUMIF($V$4:$AG$4, "De Minimis", V144:AG144), "")</f>
        <v>0</v>
      </c>
      <c r="AK144" s="287"/>
      <c r="AL144" s="288" t="str">
        <f aca="false">IF((SUM(I144:T144)&gt;1),"ERROR","")</f>
        <v/>
      </c>
    </row>
    <row r="145" customFormat="false" ht="15" hidden="false" customHeight="true" outlineLevel="0" collapsed="false">
      <c r="H145" s="350"/>
      <c r="I145" s="282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3"/>
      <c r="V145" s="284" t="n">
        <f aca="false">IFERROR(I145*$E145, "")</f>
        <v>0</v>
      </c>
      <c r="W145" s="284" t="n">
        <f aca="false">IFERROR(J145*$E145, "")</f>
        <v>0</v>
      </c>
      <c r="X145" s="284" t="n">
        <f aca="false">IFERROR(K145*$E145, "")</f>
        <v>0</v>
      </c>
      <c r="Y145" s="284" t="n">
        <f aca="false">IFERROR(L145*$E145, "")</f>
        <v>0</v>
      </c>
      <c r="Z145" s="284" t="n">
        <f aca="false">IFERROR(M145*$E145, "")</f>
        <v>0</v>
      </c>
      <c r="AA145" s="284" t="n">
        <f aca="false">IFERROR(N145*$E145, "")</f>
        <v>0</v>
      </c>
      <c r="AB145" s="284" t="n">
        <f aca="false">IFERROR(O145*$E145, "")</f>
        <v>0</v>
      </c>
      <c r="AC145" s="284" t="n">
        <f aca="false">IFERROR(P145*$E145, "")</f>
        <v>0</v>
      </c>
      <c r="AD145" s="284" t="n">
        <f aca="false">IFERROR(Q145*$E145, "")</f>
        <v>0</v>
      </c>
      <c r="AE145" s="284" t="n">
        <f aca="false">IFERROR(R145*$E145, "")</f>
        <v>0</v>
      </c>
      <c r="AF145" s="284" t="n">
        <f aca="false">IFERROR(S145*$E145, "")</f>
        <v>0</v>
      </c>
      <c r="AG145" s="284" t="n">
        <f aca="false">IFERROR(T145*$E145, "")</f>
        <v>0</v>
      </c>
      <c r="AH145" s="286" t="n">
        <f aca="false">IFERROR(SUMIF($V$4:$AG$4, "RDEC", V145:AG145), "")</f>
        <v>0</v>
      </c>
      <c r="AI145" s="286" t="n">
        <f aca="false">IFERROR(SUMIF($V$4:$AG$4, "SME", V145:AG145), "")</f>
        <v>0</v>
      </c>
      <c r="AJ145" s="286" t="n">
        <f aca="false">IFERROR(SUMIF($V$4:$AG$4, "De Minimis", V145:AG145), "")</f>
        <v>0</v>
      </c>
      <c r="AK145" s="287"/>
      <c r="AL145" s="288" t="str">
        <f aca="false">IF((SUM(I145:T145)&gt;1),"ERROR","")</f>
        <v/>
      </c>
    </row>
    <row r="146" customFormat="false" ht="15" hidden="false" customHeight="true" outlineLevel="0" collapsed="false">
      <c r="H146" s="350"/>
      <c r="I146" s="282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3"/>
      <c r="V146" s="284" t="n">
        <f aca="false">IFERROR(I146*$E146, "")</f>
        <v>0</v>
      </c>
      <c r="W146" s="284" t="n">
        <f aca="false">IFERROR(J146*$E146, "")</f>
        <v>0</v>
      </c>
      <c r="X146" s="284" t="n">
        <f aca="false">IFERROR(K146*$E146, "")</f>
        <v>0</v>
      </c>
      <c r="Y146" s="284" t="n">
        <f aca="false">IFERROR(L146*$E146, "")</f>
        <v>0</v>
      </c>
      <c r="Z146" s="284" t="n">
        <f aca="false">IFERROR(M146*$E146, "")</f>
        <v>0</v>
      </c>
      <c r="AA146" s="284" t="n">
        <f aca="false">IFERROR(N146*$E146, "")</f>
        <v>0</v>
      </c>
      <c r="AB146" s="284" t="n">
        <f aca="false">IFERROR(O146*$E146, "")</f>
        <v>0</v>
      </c>
      <c r="AC146" s="284" t="n">
        <f aca="false">IFERROR(P146*$E146, "")</f>
        <v>0</v>
      </c>
      <c r="AD146" s="284" t="n">
        <f aca="false">IFERROR(Q146*$E146, "")</f>
        <v>0</v>
      </c>
      <c r="AE146" s="284" t="n">
        <f aca="false">IFERROR(R146*$E146, "")</f>
        <v>0</v>
      </c>
      <c r="AF146" s="284" t="n">
        <f aca="false">IFERROR(S146*$E146, "")</f>
        <v>0</v>
      </c>
      <c r="AG146" s="284" t="n">
        <f aca="false">IFERROR(T146*$E146, "")</f>
        <v>0</v>
      </c>
      <c r="AH146" s="286" t="n">
        <f aca="false">IFERROR(SUMIF($V$4:$AG$4, "RDEC", V146:AG146), "")</f>
        <v>0</v>
      </c>
      <c r="AI146" s="286" t="n">
        <f aca="false">IFERROR(SUMIF($V$4:$AG$4, "SME", V146:AG146), "")</f>
        <v>0</v>
      </c>
      <c r="AJ146" s="286" t="n">
        <f aca="false">IFERROR(SUMIF($V$4:$AG$4, "De Minimis", V146:AG146), "")</f>
        <v>0</v>
      </c>
      <c r="AK146" s="287"/>
      <c r="AL146" s="288" t="str">
        <f aca="false">IF((SUM(I146:T146)&gt;1),"ERROR","")</f>
        <v/>
      </c>
    </row>
    <row r="147" customFormat="false" ht="15" hidden="false" customHeight="true" outlineLevel="0" collapsed="false">
      <c r="H147" s="350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3"/>
      <c r="V147" s="284" t="n">
        <f aca="false">IFERROR(I147*$E147, "")</f>
        <v>0</v>
      </c>
      <c r="W147" s="284" t="n">
        <f aca="false">IFERROR(J147*$E147, "")</f>
        <v>0</v>
      </c>
      <c r="X147" s="284" t="n">
        <f aca="false">IFERROR(K147*$E147, "")</f>
        <v>0</v>
      </c>
      <c r="Y147" s="284" t="n">
        <f aca="false">IFERROR(L147*$E147, "")</f>
        <v>0</v>
      </c>
      <c r="Z147" s="284" t="n">
        <f aca="false">IFERROR(M147*$E147, "")</f>
        <v>0</v>
      </c>
      <c r="AA147" s="284" t="n">
        <f aca="false">IFERROR(N147*$E147, "")</f>
        <v>0</v>
      </c>
      <c r="AB147" s="284" t="n">
        <f aca="false">IFERROR(O147*$E147, "")</f>
        <v>0</v>
      </c>
      <c r="AC147" s="284" t="n">
        <f aca="false">IFERROR(P147*$E147, "")</f>
        <v>0</v>
      </c>
      <c r="AD147" s="284" t="n">
        <f aca="false">IFERROR(Q147*$E147, "")</f>
        <v>0</v>
      </c>
      <c r="AE147" s="284" t="n">
        <f aca="false">IFERROR(R147*$E147, "")</f>
        <v>0</v>
      </c>
      <c r="AF147" s="284" t="n">
        <f aca="false">IFERROR(S147*$E147, "")</f>
        <v>0</v>
      </c>
      <c r="AG147" s="284" t="n">
        <f aca="false">IFERROR(T147*$E147, "")</f>
        <v>0</v>
      </c>
      <c r="AH147" s="286" t="n">
        <f aca="false">IFERROR(SUMIF($V$4:$AG$4, "RDEC", V147:AG147), "")</f>
        <v>0</v>
      </c>
      <c r="AI147" s="286" t="n">
        <f aca="false">IFERROR(SUMIF($V$4:$AG$4, "SME", V147:AG147), "")</f>
        <v>0</v>
      </c>
      <c r="AJ147" s="286" t="n">
        <f aca="false">IFERROR(SUMIF($V$4:$AG$4, "De Minimis", V147:AG147), "")</f>
        <v>0</v>
      </c>
      <c r="AK147" s="287"/>
      <c r="AL147" s="288" t="str">
        <f aca="false">IF((SUM(I147:T147)&gt;1),"ERROR","")</f>
        <v/>
      </c>
    </row>
    <row r="148" customFormat="false" ht="15" hidden="false" customHeight="true" outlineLevel="0" collapsed="false">
      <c r="H148" s="350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3"/>
      <c r="V148" s="284" t="n">
        <f aca="false">IFERROR(I148*$E148, "")</f>
        <v>0</v>
      </c>
      <c r="W148" s="284" t="n">
        <f aca="false">IFERROR(J148*$E148, "")</f>
        <v>0</v>
      </c>
      <c r="X148" s="284" t="n">
        <f aca="false">IFERROR(K148*$E148, "")</f>
        <v>0</v>
      </c>
      <c r="Y148" s="284" t="n">
        <f aca="false">IFERROR(L148*$E148, "")</f>
        <v>0</v>
      </c>
      <c r="Z148" s="284" t="n">
        <f aca="false">IFERROR(M148*$E148, "")</f>
        <v>0</v>
      </c>
      <c r="AA148" s="284" t="n">
        <f aca="false">IFERROR(N148*$E148, "")</f>
        <v>0</v>
      </c>
      <c r="AB148" s="284" t="n">
        <f aca="false">IFERROR(O148*$E148, "")</f>
        <v>0</v>
      </c>
      <c r="AC148" s="284" t="n">
        <f aca="false">IFERROR(P148*$E148, "")</f>
        <v>0</v>
      </c>
      <c r="AD148" s="284" t="n">
        <f aca="false">IFERROR(Q148*$E148, "")</f>
        <v>0</v>
      </c>
      <c r="AE148" s="284" t="n">
        <f aca="false">IFERROR(R148*$E148, "")</f>
        <v>0</v>
      </c>
      <c r="AF148" s="284" t="n">
        <f aca="false">IFERROR(S148*$E148, "")</f>
        <v>0</v>
      </c>
      <c r="AG148" s="284" t="n">
        <f aca="false">IFERROR(T148*$E148, "")</f>
        <v>0</v>
      </c>
      <c r="AH148" s="286" t="n">
        <f aca="false">IFERROR(SUMIF($V$4:$AG$4, "RDEC", V148:AG148), "")</f>
        <v>0</v>
      </c>
      <c r="AI148" s="286" t="n">
        <f aca="false">IFERROR(SUMIF($V$4:$AG$4, "SME", V148:AG148), "")</f>
        <v>0</v>
      </c>
      <c r="AJ148" s="286" t="n">
        <f aca="false">IFERROR(SUMIF($V$4:$AG$4, "De Minimis", V148:AG148), "")</f>
        <v>0</v>
      </c>
      <c r="AK148" s="287"/>
      <c r="AL148" s="288" t="str">
        <f aca="false">IF((SUM(I148:T148)&gt;1),"ERROR","")</f>
        <v/>
      </c>
    </row>
    <row r="149" customFormat="false" ht="15" hidden="false" customHeight="true" outlineLevel="0" collapsed="false">
      <c r="H149" s="350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3"/>
      <c r="V149" s="284" t="n">
        <f aca="false">IFERROR(I149*$E149, "")</f>
        <v>0</v>
      </c>
      <c r="W149" s="284" t="n">
        <f aca="false">IFERROR(J149*$E149, "")</f>
        <v>0</v>
      </c>
      <c r="X149" s="284" t="n">
        <f aca="false">IFERROR(K149*$E149, "")</f>
        <v>0</v>
      </c>
      <c r="Y149" s="284" t="n">
        <f aca="false">IFERROR(L149*$E149, "")</f>
        <v>0</v>
      </c>
      <c r="Z149" s="284" t="n">
        <f aca="false">IFERROR(M149*$E149, "")</f>
        <v>0</v>
      </c>
      <c r="AA149" s="284" t="n">
        <f aca="false">IFERROR(N149*$E149, "")</f>
        <v>0</v>
      </c>
      <c r="AB149" s="284" t="n">
        <f aca="false">IFERROR(O149*$E149, "")</f>
        <v>0</v>
      </c>
      <c r="AC149" s="284" t="n">
        <f aca="false">IFERROR(P149*$E149, "")</f>
        <v>0</v>
      </c>
      <c r="AD149" s="284" t="n">
        <f aca="false">IFERROR(Q149*$E149, "")</f>
        <v>0</v>
      </c>
      <c r="AE149" s="284" t="n">
        <f aca="false">IFERROR(R149*$E149, "")</f>
        <v>0</v>
      </c>
      <c r="AF149" s="284" t="n">
        <f aca="false">IFERROR(S149*$E149, "")</f>
        <v>0</v>
      </c>
      <c r="AG149" s="284" t="n">
        <f aca="false">IFERROR(T149*$E149, "")</f>
        <v>0</v>
      </c>
      <c r="AH149" s="286" t="n">
        <f aca="false">IFERROR(SUMIF($V$4:$AG$4, "RDEC", V149:AG149), "")</f>
        <v>0</v>
      </c>
      <c r="AI149" s="286" t="n">
        <f aca="false">IFERROR(SUMIF($V$4:$AG$4, "SME", V149:AG149), "")</f>
        <v>0</v>
      </c>
      <c r="AJ149" s="286" t="n">
        <f aca="false">IFERROR(SUMIF($V$4:$AG$4, "De Minimis", V149:AG149), "")</f>
        <v>0</v>
      </c>
      <c r="AK149" s="287"/>
      <c r="AL149" s="288" t="str">
        <f aca="false">IF((SUM(I149:T149)&gt;1),"ERROR","")</f>
        <v/>
      </c>
    </row>
    <row r="150" customFormat="false" ht="15" hidden="false" customHeight="true" outlineLevel="0" collapsed="false">
      <c r="H150" s="350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3"/>
      <c r="V150" s="284" t="n">
        <f aca="false">IFERROR(I150*$E150, "")</f>
        <v>0</v>
      </c>
      <c r="W150" s="284" t="n">
        <f aca="false">IFERROR(J150*$E150, "")</f>
        <v>0</v>
      </c>
      <c r="X150" s="284" t="n">
        <f aca="false">IFERROR(K150*$E150, "")</f>
        <v>0</v>
      </c>
      <c r="Y150" s="284" t="n">
        <f aca="false">IFERROR(L150*$E150, "")</f>
        <v>0</v>
      </c>
      <c r="Z150" s="284" t="n">
        <f aca="false">IFERROR(M150*$E150, "")</f>
        <v>0</v>
      </c>
      <c r="AA150" s="284" t="n">
        <f aca="false">IFERROR(N150*$E150, "")</f>
        <v>0</v>
      </c>
      <c r="AB150" s="284" t="n">
        <f aca="false">IFERROR(O150*$E150, "")</f>
        <v>0</v>
      </c>
      <c r="AC150" s="284" t="n">
        <f aca="false">IFERROR(P150*$E150, "")</f>
        <v>0</v>
      </c>
      <c r="AD150" s="284" t="n">
        <f aca="false">IFERROR(Q150*$E150, "")</f>
        <v>0</v>
      </c>
      <c r="AE150" s="284" t="n">
        <f aca="false">IFERROR(R150*$E150, "")</f>
        <v>0</v>
      </c>
      <c r="AF150" s="284" t="n">
        <f aca="false">IFERROR(S150*$E150, "")</f>
        <v>0</v>
      </c>
      <c r="AG150" s="284" t="n">
        <f aca="false">IFERROR(T150*$E150, "")</f>
        <v>0</v>
      </c>
      <c r="AH150" s="286" t="n">
        <f aca="false">IFERROR(SUMIF($V$4:$AG$4, "RDEC", V150:AG150), "")</f>
        <v>0</v>
      </c>
      <c r="AI150" s="286" t="n">
        <f aca="false">IFERROR(SUMIF($V$4:$AG$4, "SME", V150:AG150), "")</f>
        <v>0</v>
      </c>
      <c r="AJ150" s="286" t="n">
        <f aca="false">IFERROR(SUMIF($V$4:$AG$4, "De Minimis", V150:AG150), "")</f>
        <v>0</v>
      </c>
      <c r="AK150" s="287"/>
      <c r="AL150" s="288" t="str">
        <f aca="false">IF((SUM(I150:T150)&gt;1),"ERROR","")</f>
        <v/>
      </c>
    </row>
    <row r="151" customFormat="false" ht="15" hidden="false" customHeight="true" outlineLevel="0" collapsed="false">
      <c r="H151" s="350"/>
      <c r="I151" s="282"/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3"/>
      <c r="V151" s="284" t="n">
        <f aca="false">IFERROR(I151*$E151, "")</f>
        <v>0</v>
      </c>
      <c r="W151" s="284" t="n">
        <f aca="false">IFERROR(J151*$E151, "")</f>
        <v>0</v>
      </c>
      <c r="X151" s="284" t="n">
        <f aca="false">IFERROR(K151*$E151, "")</f>
        <v>0</v>
      </c>
      <c r="Y151" s="284" t="n">
        <f aca="false">IFERROR(L151*$E151, "")</f>
        <v>0</v>
      </c>
      <c r="Z151" s="284" t="n">
        <f aca="false">IFERROR(M151*$E151, "")</f>
        <v>0</v>
      </c>
      <c r="AA151" s="284" t="n">
        <f aca="false">IFERROR(N151*$E151, "")</f>
        <v>0</v>
      </c>
      <c r="AB151" s="284" t="n">
        <f aca="false">IFERROR(O151*$E151, "")</f>
        <v>0</v>
      </c>
      <c r="AC151" s="284" t="n">
        <f aca="false">IFERROR(P151*$E151, "")</f>
        <v>0</v>
      </c>
      <c r="AD151" s="284" t="n">
        <f aca="false">IFERROR(Q151*$E151, "")</f>
        <v>0</v>
      </c>
      <c r="AE151" s="284" t="n">
        <f aca="false">IFERROR(R151*$E151, "")</f>
        <v>0</v>
      </c>
      <c r="AF151" s="284" t="n">
        <f aca="false">IFERROR(S151*$E151, "")</f>
        <v>0</v>
      </c>
      <c r="AG151" s="284" t="n">
        <f aca="false">IFERROR(T151*$E151, "")</f>
        <v>0</v>
      </c>
      <c r="AH151" s="286" t="n">
        <f aca="false">IFERROR(SUMIF($V$4:$AG$4, "RDEC", V151:AG151), "")</f>
        <v>0</v>
      </c>
      <c r="AI151" s="286" t="n">
        <f aca="false">IFERROR(SUMIF($V$4:$AG$4, "SME", V151:AG151), "")</f>
        <v>0</v>
      </c>
      <c r="AJ151" s="286" t="n">
        <f aca="false">IFERROR(SUMIF($V$4:$AG$4, "De Minimis", V151:AG151), "")</f>
        <v>0</v>
      </c>
      <c r="AK151" s="287"/>
      <c r="AL151" s="288" t="str">
        <f aca="false">IF((SUM(I151:T151)&gt;1),"ERROR","")</f>
        <v/>
      </c>
    </row>
    <row r="152" customFormat="false" ht="15" hidden="false" customHeight="true" outlineLevel="0" collapsed="false">
      <c r="H152" s="350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3"/>
      <c r="V152" s="284" t="n">
        <f aca="false">IFERROR(I152*$E152, "")</f>
        <v>0</v>
      </c>
      <c r="W152" s="284" t="n">
        <f aca="false">IFERROR(J152*$E152, "")</f>
        <v>0</v>
      </c>
      <c r="X152" s="284" t="n">
        <f aca="false">IFERROR(K152*$E152, "")</f>
        <v>0</v>
      </c>
      <c r="Y152" s="284" t="n">
        <f aca="false">IFERROR(L152*$E152, "")</f>
        <v>0</v>
      </c>
      <c r="Z152" s="284" t="n">
        <f aca="false">IFERROR(M152*$E152, "")</f>
        <v>0</v>
      </c>
      <c r="AA152" s="284" t="n">
        <f aca="false">IFERROR(N152*$E152, "")</f>
        <v>0</v>
      </c>
      <c r="AB152" s="284" t="n">
        <f aca="false">IFERROR(O152*$E152, "")</f>
        <v>0</v>
      </c>
      <c r="AC152" s="284" t="n">
        <f aca="false">IFERROR(P152*$E152, "")</f>
        <v>0</v>
      </c>
      <c r="AD152" s="284" t="n">
        <f aca="false">IFERROR(Q152*$E152, "")</f>
        <v>0</v>
      </c>
      <c r="AE152" s="284" t="n">
        <f aca="false">IFERROR(R152*$E152, "")</f>
        <v>0</v>
      </c>
      <c r="AF152" s="284" t="n">
        <f aca="false">IFERROR(S152*$E152, "")</f>
        <v>0</v>
      </c>
      <c r="AG152" s="284" t="n">
        <f aca="false">IFERROR(T152*$E152, "")</f>
        <v>0</v>
      </c>
      <c r="AH152" s="286" t="n">
        <f aca="false">IFERROR(SUMIF($V$4:$AG$4, "RDEC", V152:AG152), "")</f>
        <v>0</v>
      </c>
      <c r="AI152" s="286" t="n">
        <f aca="false">IFERROR(SUMIF($V$4:$AG$4, "SME", V152:AG152), "")</f>
        <v>0</v>
      </c>
      <c r="AJ152" s="286" t="n">
        <f aca="false">IFERROR(SUMIF($V$4:$AG$4, "De Minimis", V152:AG152), "")</f>
        <v>0</v>
      </c>
      <c r="AK152" s="287"/>
      <c r="AL152" s="288" t="str">
        <f aca="false">IF((SUM(I152:T152)&gt;1),"ERROR","")</f>
        <v/>
      </c>
    </row>
    <row r="153" customFormat="false" ht="15" hidden="false" customHeight="true" outlineLevel="0" collapsed="false">
      <c r="H153" s="350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3"/>
      <c r="V153" s="284" t="n">
        <f aca="false">IFERROR(I153*$E153, "")</f>
        <v>0</v>
      </c>
      <c r="W153" s="284" t="n">
        <f aca="false">IFERROR(J153*$E153, "")</f>
        <v>0</v>
      </c>
      <c r="X153" s="284" t="n">
        <f aca="false">IFERROR(K153*$E153, "")</f>
        <v>0</v>
      </c>
      <c r="Y153" s="284" t="n">
        <f aca="false">IFERROR(L153*$E153, "")</f>
        <v>0</v>
      </c>
      <c r="Z153" s="284" t="n">
        <f aca="false">IFERROR(M153*$E153, "")</f>
        <v>0</v>
      </c>
      <c r="AA153" s="284" t="n">
        <f aca="false">IFERROR(N153*$E153, "")</f>
        <v>0</v>
      </c>
      <c r="AB153" s="284" t="n">
        <f aca="false">IFERROR(O153*$E153, "")</f>
        <v>0</v>
      </c>
      <c r="AC153" s="284" t="n">
        <f aca="false">IFERROR(P153*$E153, "")</f>
        <v>0</v>
      </c>
      <c r="AD153" s="284" t="n">
        <f aca="false">IFERROR(Q153*$E153, "")</f>
        <v>0</v>
      </c>
      <c r="AE153" s="284" t="n">
        <f aca="false">IFERROR(R153*$E153, "")</f>
        <v>0</v>
      </c>
      <c r="AF153" s="284" t="n">
        <f aca="false">IFERROR(S153*$E153, "")</f>
        <v>0</v>
      </c>
      <c r="AG153" s="284" t="n">
        <f aca="false">IFERROR(T153*$E153, "")</f>
        <v>0</v>
      </c>
      <c r="AH153" s="286" t="n">
        <f aca="false">IFERROR(SUMIF($V$4:$AG$4, "RDEC", V153:AG153), "")</f>
        <v>0</v>
      </c>
      <c r="AI153" s="286" t="n">
        <f aca="false">IFERROR(SUMIF($V$4:$AG$4, "SME", V153:AG153), "")</f>
        <v>0</v>
      </c>
      <c r="AJ153" s="286" t="n">
        <f aca="false">IFERROR(SUMIF($V$4:$AG$4, "De Minimis", V153:AG153), "")</f>
        <v>0</v>
      </c>
      <c r="AK153" s="287"/>
      <c r="AL153" s="288" t="str">
        <f aca="false">IF((SUM(I153:T153)&gt;1),"ERROR","")</f>
        <v/>
      </c>
    </row>
    <row r="154" customFormat="false" ht="15" hidden="false" customHeight="true" outlineLevel="0" collapsed="false">
      <c r="H154" s="350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3"/>
      <c r="V154" s="284" t="n">
        <f aca="false">IFERROR(I154*$E154, "")</f>
        <v>0</v>
      </c>
      <c r="W154" s="284" t="n">
        <f aca="false">IFERROR(J154*$E154, "")</f>
        <v>0</v>
      </c>
      <c r="X154" s="284" t="n">
        <f aca="false">IFERROR(K154*$E154, "")</f>
        <v>0</v>
      </c>
      <c r="Y154" s="284" t="n">
        <f aca="false">IFERROR(L154*$E154, "")</f>
        <v>0</v>
      </c>
      <c r="Z154" s="284" t="n">
        <f aca="false">IFERROR(M154*$E154, "")</f>
        <v>0</v>
      </c>
      <c r="AA154" s="284" t="n">
        <f aca="false">IFERROR(N154*$E154, "")</f>
        <v>0</v>
      </c>
      <c r="AB154" s="284" t="n">
        <f aca="false">IFERROR(O154*$E154, "")</f>
        <v>0</v>
      </c>
      <c r="AC154" s="284" t="n">
        <f aca="false">IFERROR(P154*$E154, "")</f>
        <v>0</v>
      </c>
      <c r="AD154" s="284" t="n">
        <f aca="false">IFERROR(Q154*$E154, "")</f>
        <v>0</v>
      </c>
      <c r="AE154" s="284" t="n">
        <f aca="false">IFERROR(R154*$E154, "")</f>
        <v>0</v>
      </c>
      <c r="AF154" s="284" t="n">
        <f aca="false">IFERROR(S154*$E154, "")</f>
        <v>0</v>
      </c>
      <c r="AG154" s="284" t="n">
        <f aca="false">IFERROR(T154*$E154, "")</f>
        <v>0</v>
      </c>
      <c r="AH154" s="286" t="n">
        <f aca="false">IFERROR(SUMIF($V$4:$AG$4, "RDEC", V154:AG154), "")</f>
        <v>0</v>
      </c>
      <c r="AI154" s="286" t="n">
        <f aca="false">IFERROR(SUMIF($V$4:$AG$4, "SME", V154:AG154), "")</f>
        <v>0</v>
      </c>
      <c r="AJ154" s="286" t="n">
        <f aca="false">IFERROR(SUMIF($V$4:$AG$4, "De Minimis", V154:AG154), "")</f>
        <v>0</v>
      </c>
      <c r="AK154" s="303"/>
      <c r="AL154" s="288" t="str">
        <f aca="false">IF((SUM(I154:T154)&gt;1),"ERROR","")</f>
        <v/>
      </c>
    </row>
    <row r="155" customFormat="false" ht="15" hidden="false" customHeight="true" outlineLevel="0" collapsed="false">
      <c r="H155" s="350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3"/>
      <c r="V155" s="284" t="n">
        <f aca="false">IFERROR(I155*$E155, "")</f>
        <v>0</v>
      </c>
      <c r="W155" s="284" t="n">
        <f aca="false">IFERROR(J155*$E155, "")</f>
        <v>0</v>
      </c>
      <c r="X155" s="284" t="n">
        <f aca="false">IFERROR(K155*$E155, "")</f>
        <v>0</v>
      </c>
      <c r="Y155" s="284" t="n">
        <f aca="false">IFERROR(L155*$E155, "")</f>
        <v>0</v>
      </c>
      <c r="Z155" s="284" t="n">
        <f aca="false">IFERROR(M155*$E155, "")</f>
        <v>0</v>
      </c>
      <c r="AA155" s="284" t="n">
        <f aca="false">IFERROR(N155*$E155, "")</f>
        <v>0</v>
      </c>
      <c r="AB155" s="284" t="n">
        <f aca="false">IFERROR(O155*$E155, "")</f>
        <v>0</v>
      </c>
      <c r="AC155" s="284" t="n">
        <f aca="false">IFERROR(P155*$E155, "")</f>
        <v>0</v>
      </c>
      <c r="AD155" s="284" t="n">
        <f aca="false">IFERROR(Q155*$E155, "")</f>
        <v>0</v>
      </c>
      <c r="AE155" s="284" t="n">
        <f aca="false">IFERROR(R155*$E155, "")</f>
        <v>0</v>
      </c>
      <c r="AF155" s="284" t="n">
        <f aca="false">IFERROR(S155*$E155, "")</f>
        <v>0</v>
      </c>
      <c r="AG155" s="284" t="n">
        <f aca="false">IFERROR(T155*$E155, "")</f>
        <v>0</v>
      </c>
      <c r="AH155" s="286" t="n">
        <f aca="false">IFERROR(SUMIF($V$4:$AG$4, "RDEC", V155:AG155), "")</f>
        <v>0</v>
      </c>
      <c r="AI155" s="286" t="n">
        <f aca="false">IFERROR(SUMIF($V$4:$AG$4, "SME", V155:AG155), "")</f>
        <v>0</v>
      </c>
      <c r="AJ155" s="286" t="n">
        <f aca="false">IFERROR(SUMIF($V$4:$AG$4, "De Minimis", V155:AG155), "")</f>
        <v>0</v>
      </c>
      <c r="AL155" s="288" t="str">
        <f aca="false">IF((SUM(I155:T155)&gt;1),"ERROR","")</f>
        <v/>
      </c>
    </row>
    <row r="156" customFormat="false" ht="15" hidden="false" customHeight="true" outlineLevel="0" collapsed="false">
      <c r="H156" s="350"/>
      <c r="I156" s="282"/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3"/>
      <c r="V156" s="284" t="n">
        <f aca="false">IFERROR(I156*$E156, "")</f>
        <v>0</v>
      </c>
      <c r="W156" s="284" t="n">
        <f aca="false">IFERROR(J156*$E156, "")</f>
        <v>0</v>
      </c>
      <c r="X156" s="284" t="n">
        <f aca="false">IFERROR(K156*$E156, "")</f>
        <v>0</v>
      </c>
      <c r="Y156" s="284" t="n">
        <f aca="false">IFERROR(L156*$E156, "")</f>
        <v>0</v>
      </c>
      <c r="Z156" s="284" t="n">
        <f aca="false">IFERROR(M156*$E156, "")</f>
        <v>0</v>
      </c>
      <c r="AA156" s="284" t="n">
        <f aca="false">IFERROR(N156*$E156, "")</f>
        <v>0</v>
      </c>
      <c r="AB156" s="284" t="n">
        <f aca="false">IFERROR(O156*$E156, "")</f>
        <v>0</v>
      </c>
      <c r="AC156" s="284" t="n">
        <f aca="false">IFERROR(P156*$E156, "")</f>
        <v>0</v>
      </c>
      <c r="AD156" s="284" t="n">
        <f aca="false">IFERROR(Q156*$E156, "")</f>
        <v>0</v>
      </c>
      <c r="AE156" s="284" t="n">
        <f aca="false">IFERROR(R156*$E156, "")</f>
        <v>0</v>
      </c>
      <c r="AF156" s="284" t="n">
        <f aca="false">IFERROR(S156*$E156, "")</f>
        <v>0</v>
      </c>
      <c r="AG156" s="284" t="n">
        <f aca="false">IFERROR(T156*$E156, "")</f>
        <v>0</v>
      </c>
      <c r="AH156" s="286" t="n">
        <f aca="false">IFERROR(SUMIF($V$4:$AG$4, "RDEC", V156:AG156), "")</f>
        <v>0</v>
      </c>
      <c r="AI156" s="286" t="n">
        <f aca="false">IFERROR(SUMIF($V$4:$AG$4, "SME", V156:AG156), "")</f>
        <v>0</v>
      </c>
      <c r="AJ156" s="286" t="n">
        <f aca="false">IFERROR(SUMIF($V$4:$AG$4, "De Minimis", V156:AG156), "")</f>
        <v>0</v>
      </c>
      <c r="AK156" s="268"/>
      <c r="AL156" s="288" t="str">
        <f aca="false">IF((SUM(I156:T156)&gt;1),"ERROR","")</f>
        <v/>
      </c>
    </row>
    <row r="157" customFormat="false" ht="15" hidden="false" customHeight="true" outlineLevel="0" collapsed="false">
      <c r="H157" s="350"/>
      <c r="I157" s="282"/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3"/>
      <c r="V157" s="284" t="n">
        <f aca="false">IFERROR(I157*$E157, "")</f>
        <v>0</v>
      </c>
      <c r="W157" s="284" t="n">
        <f aca="false">IFERROR(J157*$E157, "")</f>
        <v>0</v>
      </c>
      <c r="X157" s="284" t="n">
        <f aca="false">IFERROR(K157*$E157, "")</f>
        <v>0</v>
      </c>
      <c r="Y157" s="284" t="n">
        <f aca="false">IFERROR(L157*$E157, "")</f>
        <v>0</v>
      </c>
      <c r="Z157" s="284" t="n">
        <f aca="false">IFERROR(M157*$E157, "")</f>
        <v>0</v>
      </c>
      <c r="AA157" s="284" t="n">
        <f aca="false">IFERROR(N157*$E157, "")</f>
        <v>0</v>
      </c>
      <c r="AB157" s="284" t="n">
        <f aca="false">IFERROR(O157*$E157, "")</f>
        <v>0</v>
      </c>
      <c r="AC157" s="284" t="n">
        <f aca="false">IFERROR(P157*$E157, "")</f>
        <v>0</v>
      </c>
      <c r="AD157" s="284" t="n">
        <f aca="false">IFERROR(Q157*$E157, "")</f>
        <v>0</v>
      </c>
      <c r="AE157" s="284" t="n">
        <f aca="false">IFERROR(R157*$E157, "")</f>
        <v>0</v>
      </c>
      <c r="AF157" s="284" t="n">
        <f aca="false">IFERROR(S157*$E157, "")</f>
        <v>0</v>
      </c>
      <c r="AG157" s="284" t="n">
        <f aca="false">IFERROR(T157*$E157, "")</f>
        <v>0</v>
      </c>
      <c r="AH157" s="286" t="n">
        <f aca="false">IFERROR(SUMIF($V$4:$AG$4, "RDEC", V157:AG157), "")</f>
        <v>0</v>
      </c>
      <c r="AI157" s="286" t="n">
        <f aca="false">IFERROR(SUMIF($V$4:$AG$4, "SME", V157:AG157), "")</f>
        <v>0</v>
      </c>
      <c r="AJ157" s="286" t="n">
        <f aca="false">IFERROR(SUMIF($V$4:$AG$4, "De Minimis", V157:AG157), "")</f>
        <v>0</v>
      </c>
      <c r="AK157" s="287"/>
      <c r="AL157" s="288" t="str">
        <f aca="false">IF((SUM(I157:T157)&gt;1),"ERROR","")</f>
        <v/>
      </c>
    </row>
    <row r="158" customFormat="false" ht="15" hidden="false" customHeight="true" outlineLevel="0" collapsed="false">
      <c r="H158" s="350"/>
      <c r="I158" s="282"/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3"/>
      <c r="V158" s="284" t="n">
        <f aca="false">IFERROR(I158*$E158, "")</f>
        <v>0</v>
      </c>
      <c r="W158" s="284" t="n">
        <f aca="false">IFERROR(J158*$E158, "")</f>
        <v>0</v>
      </c>
      <c r="X158" s="284" t="n">
        <f aca="false">IFERROR(K158*$E158, "")</f>
        <v>0</v>
      </c>
      <c r="Y158" s="284" t="n">
        <f aca="false">IFERROR(L158*$E158, "")</f>
        <v>0</v>
      </c>
      <c r="Z158" s="284" t="n">
        <f aca="false">IFERROR(M158*$E158, "")</f>
        <v>0</v>
      </c>
      <c r="AA158" s="284" t="n">
        <f aca="false">IFERROR(N158*$E158, "")</f>
        <v>0</v>
      </c>
      <c r="AB158" s="284" t="n">
        <f aca="false">IFERROR(O158*$E158, "")</f>
        <v>0</v>
      </c>
      <c r="AC158" s="284" t="n">
        <f aca="false">IFERROR(P158*$E158, "")</f>
        <v>0</v>
      </c>
      <c r="AD158" s="284" t="n">
        <f aca="false">IFERROR(Q158*$E158, "")</f>
        <v>0</v>
      </c>
      <c r="AE158" s="284" t="n">
        <f aca="false">IFERROR(R158*$E158, "")</f>
        <v>0</v>
      </c>
      <c r="AF158" s="284" t="n">
        <f aca="false">IFERROR(S158*$E158, "")</f>
        <v>0</v>
      </c>
      <c r="AG158" s="284" t="n">
        <f aca="false">IFERROR(T158*$E158, "")</f>
        <v>0</v>
      </c>
      <c r="AH158" s="286" t="n">
        <f aca="false">IFERROR(SUMIF($V$4:$AG$4, "RDEC", V158:AG158), "")</f>
        <v>0</v>
      </c>
      <c r="AI158" s="286" t="n">
        <f aca="false">IFERROR(SUMIF($V$4:$AG$4, "SME", V158:AG158), "")</f>
        <v>0</v>
      </c>
      <c r="AJ158" s="286" t="n">
        <f aca="false">IFERROR(SUMIF($V$4:$AG$4, "De Minimis", V158:AG158), "")</f>
        <v>0</v>
      </c>
      <c r="AK158" s="287"/>
      <c r="AL158" s="288" t="str">
        <f aca="false">IF((SUM(I158:T158)&gt;1),"ERROR","")</f>
        <v/>
      </c>
    </row>
    <row r="159" customFormat="false" ht="15" hidden="false" customHeight="true" outlineLevel="0" collapsed="false">
      <c r="H159" s="350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3"/>
      <c r="V159" s="284" t="n">
        <f aca="false">IFERROR(I159*$E159, "")</f>
        <v>0</v>
      </c>
      <c r="W159" s="284" t="n">
        <f aca="false">IFERROR(J159*$E159, "")</f>
        <v>0</v>
      </c>
      <c r="X159" s="284" t="n">
        <f aca="false">IFERROR(K159*$E159, "")</f>
        <v>0</v>
      </c>
      <c r="Y159" s="284" t="n">
        <f aca="false">IFERROR(L159*$E159, "")</f>
        <v>0</v>
      </c>
      <c r="Z159" s="284" t="n">
        <f aca="false">IFERROR(M159*$E159, "")</f>
        <v>0</v>
      </c>
      <c r="AA159" s="284" t="n">
        <f aca="false">IFERROR(N159*$E159, "")</f>
        <v>0</v>
      </c>
      <c r="AB159" s="284" t="n">
        <f aca="false">IFERROR(O159*$E159, "")</f>
        <v>0</v>
      </c>
      <c r="AC159" s="284" t="n">
        <f aca="false">IFERROR(P159*$E159, "")</f>
        <v>0</v>
      </c>
      <c r="AD159" s="284" t="n">
        <f aca="false">IFERROR(Q159*$E159, "")</f>
        <v>0</v>
      </c>
      <c r="AE159" s="284" t="n">
        <f aca="false">IFERROR(R159*$E159, "")</f>
        <v>0</v>
      </c>
      <c r="AF159" s="284" t="n">
        <f aca="false">IFERROR(S159*$E159, "")</f>
        <v>0</v>
      </c>
      <c r="AG159" s="284" t="n">
        <f aca="false">IFERROR(T159*$E159, "")</f>
        <v>0</v>
      </c>
      <c r="AH159" s="286" t="n">
        <f aca="false">IFERROR(SUMIF($V$4:$AG$4, "RDEC", V159:AG159), "")</f>
        <v>0</v>
      </c>
      <c r="AI159" s="286" t="n">
        <f aca="false">IFERROR(SUMIF($V$4:$AG$4, "SME", V159:AG159), "")</f>
        <v>0</v>
      </c>
      <c r="AJ159" s="286" t="n">
        <f aca="false">IFERROR(SUMIF($V$4:$AG$4, "De Minimis", V159:AG159), "")</f>
        <v>0</v>
      </c>
      <c r="AK159" s="287"/>
      <c r="AL159" s="288" t="str">
        <f aca="false">IF((SUM(I159:T159)&gt;1),"ERROR","")</f>
        <v/>
      </c>
    </row>
    <row r="160" customFormat="false" ht="15" hidden="false" customHeight="true" outlineLevel="0" collapsed="false">
      <c r="H160" s="350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3"/>
      <c r="V160" s="284" t="n">
        <f aca="false">IFERROR(I160*$E160, "")</f>
        <v>0</v>
      </c>
      <c r="W160" s="284" t="n">
        <f aca="false">IFERROR(J160*$E160, "")</f>
        <v>0</v>
      </c>
      <c r="X160" s="284" t="n">
        <f aca="false">IFERROR(K160*$E160, "")</f>
        <v>0</v>
      </c>
      <c r="Y160" s="284" t="n">
        <f aca="false">IFERROR(L160*$E160, "")</f>
        <v>0</v>
      </c>
      <c r="Z160" s="284" t="n">
        <f aca="false">IFERROR(M160*$E160, "")</f>
        <v>0</v>
      </c>
      <c r="AA160" s="284" t="n">
        <f aca="false">IFERROR(N160*$E160, "")</f>
        <v>0</v>
      </c>
      <c r="AB160" s="284" t="n">
        <f aca="false">IFERROR(O160*$E160, "")</f>
        <v>0</v>
      </c>
      <c r="AC160" s="284" t="n">
        <f aca="false">IFERROR(P160*$E160, "")</f>
        <v>0</v>
      </c>
      <c r="AD160" s="284" t="n">
        <f aca="false">IFERROR(Q160*$E160, "")</f>
        <v>0</v>
      </c>
      <c r="AE160" s="284" t="n">
        <f aca="false">IFERROR(R160*$E160, "")</f>
        <v>0</v>
      </c>
      <c r="AF160" s="284" t="n">
        <f aca="false">IFERROR(S160*$E160, "")</f>
        <v>0</v>
      </c>
      <c r="AG160" s="284" t="n">
        <f aca="false">IFERROR(T160*$E160, "")</f>
        <v>0</v>
      </c>
      <c r="AH160" s="286" t="n">
        <f aca="false">IFERROR(SUMIF($V$4:$AG$4, "RDEC", V160:AG160), "")</f>
        <v>0</v>
      </c>
      <c r="AI160" s="286" t="n">
        <f aca="false">IFERROR(SUMIF($V$4:$AG$4, "SME", V160:AG160), "")</f>
        <v>0</v>
      </c>
      <c r="AJ160" s="286" t="n">
        <f aca="false">IFERROR(SUMIF($V$4:$AG$4, "De Minimis", V160:AG160), "")</f>
        <v>0</v>
      </c>
      <c r="AK160" s="287"/>
      <c r="AL160" s="288" t="str">
        <f aca="false">IF((SUM(I160:T160)&gt;1),"ERROR","")</f>
        <v/>
      </c>
    </row>
    <row r="161" customFormat="false" ht="15" hidden="false" customHeight="true" outlineLevel="0" collapsed="false">
      <c r="H161" s="350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3"/>
      <c r="V161" s="284" t="n">
        <f aca="false">IFERROR(I161*$E161, "")</f>
        <v>0</v>
      </c>
      <c r="W161" s="284" t="n">
        <f aca="false">IFERROR(J161*$E161, "")</f>
        <v>0</v>
      </c>
      <c r="X161" s="284" t="n">
        <f aca="false">IFERROR(K161*$E161, "")</f>
        <v>0</v>
      </c>
      <c r="Y161" s="284" t="n">
        <f aca="false">IFERROR(L161*$E161, "")</f>
        <v>0</v>
      </c>
      <c r="Z161" s="284" t="n">
        <f aca="false">IFERROR(M161*$E161, "")</f>
        <v>0</v>
      </c>
      <c r="AA161" s="284" t="n">
        <f aca="false">IFERROR(N161*$E161, "")</f>
        <v>0</v>
      </c>
      <c r="AB161" s="284" t="n">
        <f aca="false">IFERROR(O161*$E161, "")</f>
        <v>0</v>
      </c>
      <c r="AC161" s="284" t="n">
        <f aca="false">IFERROR(P161*$E161, "")</f>
        <v>0</v>
      </c>
      <c r="AD161" s="284" t="n">
        <f aca="false">IFERROR(Q161*$E161, "")</f>
        <v>0</v>
      </c>
      <c r="AE161" s="284" t="n">
        <f aca="false">IFERROR(R161*$E161, "")</f>
        <v>0</v>
      </c>
      <c r="AF161" s="284" t="n">
        <f aca="false">IFERROR(S161*$E161, "")</f>
        <v>0</v>
      </c>
      <c r="AG161" s="284" t="n">
        <f aca="false">IFERROR(T161*$E161, "")</f>
        <v>0</v>
      </c>
      <c r="AH161" s="286" t="n">
        <f aca="false">IFERROR(SUMIF($V$4:$AG$4, "RDEC", V161:AG161), "")</f>
        <v>0</v>
      </c>
      <c r="AI161" s="286" t="n">
        <f aca="false">IFERROR(SUMIF($V$4:$AG$4, "SME", V161:AG161), "")</f>
        <v>0</v>
      </c>
      <c r="AJ161" s="286" t="n">
        <f aca="false">IFERROR(SUMIF($V$4:$AG$4, "De Minimis", V161:AG161), "")</f>
        <v>0</v>
      </c>
      <c r="AK161" s="287"/>
      <c r="AL161" s="288" t="str">
        <f aca="false">IF((SUM(I161:T161)&gt;1),"ERROR","")</f>
        <v/>
      </c>
    </row>
    <row r="162" customFormat="false" ht="15" hidden="false" customHeight="true" outlineLevel="0" collapsed="false">
      <c r="H162" s="350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3"/>
      <c r="V162" s="284" t="n">
        <f aca="false">IFERROR(I162*$E162, "")</f>
        <v>0</v>
      </c>
      <c r="W162" s="284" t="n">
        <f aca="false">IFERROR(J162*$E162, "")</f>
        <v>0</v>
      </c>
      <c r="X162" s="284" t="n">
        <f aca="false">IFERROR(K162*$E162, "")</f>
        <v>0</v>
      </c>
      <c r="Y162" s="284" t="n">
        <f aca="false">IFERROR(L162*$E162, "")</f>
        <v>0</v>
      </c>
      <c r="Z162" s="284" t="n">
        <f aca="false">IFERROR(M162*$E162, "")</f>
        <v>0</v>
      </c>
      <c r="AA162" s="284" t="n">
        <f aca="false">IFERROR(N162*$E162, "")</f>
        <v>0</v>
      </c>
      <c r="AB162" s="284" t="n">
        <f aca="false">IFERROR(O162*$E162, "")</f>
        <v>0</v>
      </c>
      <c r="AC162" s="284" t="n">
        <f aca="false">IFERROR(P162*$E162, "")</f>
        <v>0</v>
      </c>
      <c r="AD162" s="284" t="n">
        <f aca="false">IFERROR(Q162*$E162, "")</f>
        <v>0</v>
      </c>
      <c r="AE162" s="284" t="n">
        <f aca="false">IFERROR(R162*$E162, "")</f>
        <v>0</v>
      </c>
      <c r="AF162" s="284" t="n">
        <f aca="false">IFERROR(S162*$E162, "")</f>
        <v>0</v>
      </c>
      <c r="AG162" s="284" t="n">
        <f aca="false">IFERROR(T162*$E162, "")</f>
        <v>0</v>
      </c>
      <c r="AH162" s="286" t="n">
        <f aca="false">IFERROR(SUMIF($V$4:$AG$4, "RDEC", V162:AG162), "")</f>
        <v>0</v>
      </c>
      <c r="AI162" s="286" t="n">
        <f aca="false">IFERROR(SUMIF($V$4:$AG$4, "SME", V162:AG162), "")</f>
        <v>0</v>
      </c>
      <c r="AJ162" s="286" t="n">
        <f aca="false">IFERROR(SUMIF($V$4:$AG$4, "De Minimis", V162:AG162), "")</f>
        <v>0</v>
      </c>
      <c r="AK162" s="287"/>
      <c r="AL162" s="288" t="str">
        <f aca="false">IF((SUM(I162:T162)&gt;1),"ERROR","")</f>
        <v/>
      </c>
    </row>
    <row r="163" customFormat="false" ht="15" hidden="false" customHeight="true" outlineLevel="0" collapsed="false">
      <c r="H163" s="350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3"/>
      <c r="V163" s="284" t="n">
        <f aca="false">IFERROR(I163*$E163, "")</f>
        <v>0</v>
      </c>
      <c r="W163" s="284" t="n">
        <f aca="false">IFERROR(J163*$E163, "")</f>
        <v>0</v>
      </c>
      <c r="X163" s="284" t="n">
        <f aca="false">IFERROR(K163*$E163, "")</f>
        <v>0</v>
      </c>
      <c r="Y163" s="284" t="n">
        <f aca="false">IFERROR(L163*$E163, "")</f>
        <v>0</v>
      </c>
      <c r="Z163" s="284" t="n">
        <f aca="false">IFERROR(M163*$E163, "")</f>
        <v>0</v>
      </c>
      <c r="AA163" s="284" t="n">
        <f aca="false">IFERROR(N163*$E163, "")</f>
        <v>0</v>
      </c>
      <c r="AB163" s="284" t="n">
        <f aca="false">IFERROR(O163*$E163, "")</f>
        <v>0</v>
      </c>
      <c r="AC163" s="284" t="n">
        <f aca="false">IFERROR(P163*$E163, "")</f>
        <v>0</v>
      </c>
      <c r="AD163" s="284" t="n">
        <f aca="false">IFERROR(Q163*$E163, "")</f>
        <v>0</v>
      </c>
      <c r="AE163" s="284" t="n">
        <f aca="false">IFERROR(R163*$E163, "")</f>
        <v>0</v>
      </c>
      <c r="AF163" s="284" t="n">
        <f aca="false">IFERROR(S163*$E163, "")</f>
        <v>0</v>
      </c>
      <c r="AG163" s="284" t="n">
        <f aca="false">IFERROR(T163*$E163, "")</f>
        <v>0</v>
      </c>
      <c r="AH163" s="286" t="n">
        <f aca="false">IFERROR(SUMIF($V$4:$AG$4, "RDEC", V163:AG163), "")</f>
        <v>0</v>
      </c>
      <c r="AI163" s="286" t="n">
        <f aca="false">IFERROR(SUMIF($V$4:$AG$4, "SME", V163:AG163), "")</f>
        <v>0</v>
      </c>
      <c r="AJ163" s="286" t="n">
        <f aca="false">IFERROR(SUMIF($V$4:$AG$4, "De Minimis", V163:AG163), "")</f>
        <v>0</v>
      </c>
      <c r="AK163" s="287"/>
      <c r="AL163" s="288" t="str">
        <f aca="false">IF((SUM(I163:T163)&gt;1),"ERROR","")</f>
        <v/>
      </c>
    </row>
    <row r="164" customFormat="false" ht="15" hidden="false" customHeight="true" outlineLevel="0" collapsed="false">
      <c r="H164" s="350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3"/>
      <c r="V164" s="284" t="n">
        <f aca="false">IFERROR(I164*$E164, "")</f>
        <v>0</v>
      </c>
      <c r="W164" s="284" t="n">
        <f aca="false">IFERROR(J164*$E164, "")</f>
        <v>0</v>
      </c>
      <c r="X164" s="284" t="n">
        <f aca="false">IFERROR(K164*$E164, "")</f>
        <v>0</v>
      </c>
      <c r="Y164" s="284" t="n">
        <f aca="false">IFERROR(L164*$E164, "")</f>
        <v>0</v>
      </c>
      <c r="Z164" s="284" t="n">
        <f aca="false">IFERROR(M164*$E164, "")</f>
        <v>0</v>
      </c>
      <c r="AA164" s="284" t="n">
        <f aca="false">IFERROR(N164*$E164, "")</f>
        <v>0</v>
      </c>
      <c r="AB164" s="284" t="n">
        <f aca="false">IFERROR(O164*$E164, "")</f>
        <v>0</v>
      </c>
      <c r="AC164" s="284" t="n">
        <f aca="false">IFERROR(P164*$E164, "")</f>
        <v>0</v>
      </c>
      <c r="AD164" s="284" t="n">
        <f aca="false">IFERROR(Q164*$E164, "")</f>
        <v>0</v>
      </c>
      <c r="AE164" s="284" t="n">
        <f aca="false">IFERROR(R164*$E164, "")</f>
        <v>0</v>
      </c>
      <c r="AF164" s="284" t="n">
        <f aca="false">IFERROR(S164*$E164, "")</f>
        <v>0</v>
      </c>
      <c r="AG164" s="284" t="n">
        <f aca="false">IFERROR(T164*$E164, "")</f>
        <v>0</v>
      </c>
      <c r="AH164" s="286" t="n">
        <f aca="false">IFERROR(SUMIF($V$4:$AG$4, "RDEC", V164:AG164), "")</f>
        <v>0</v>
      </c>
      <c r="AI164" s="286" t="n">
        <f aca="false">IFERROR(SUMIF($V$4:$AG$4, "SME", V164:AG164), "")</f>
        <v>0</v>
      </c>
      <c r="AJ164" s="286" t="n">
        <f aca="false">IFERROR(SUMIF($V$4:$AG$4, "De Minimis", V164:AG164), "")</f>
        <v>0</v>
      </c>
      <c r="AK164" s="287"/>
      <c r="AL164" s="288" t="str">
        <f aca="false">IF((SUM(I164:T164)&gt;1),"ERROR","")</f>
        <v/>
      </c>
    </row>
    <row r="165" customFormat="false" ht="15" hidden="false" customHeight="true" outlineLevel="0" collapsed="false">
      <c r="H165" s="350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3"/>
      <c r="V165" s="284" t="n">
        <f aca="false">IFERROR(I165*$E165, "")</f>
        <v>0</v>
      </c>
      <c r="W165" s="284" t="n">
        <f aca="false">IFERROR(J165*$E165, "")</f>
        <v>0</v>
      </c>
      <c r="X165" s="284" t="n">
        <f aca="false">IFERROR(K165*$E165, "")</f>
        <v>0</v>
      </c>
      <c r="Y165" s="284" t="n">
        <f aca="false">IFERROR(L165*$E165, "")</f>
        <v>0</v>
      </c>
      <c r="Z165" s="284" t="n">
        <f aca="false">IFERROR(M165*$E165, "")</f>
        <v>0</v>
      </c>
      <c r="AA165" s="284" t="n">
        <f aca="false">IFERROR(N165*$E165, "")</f>
        <v>0</v>
      </c>
      <c r="AB165" s="284" t="n">
        <f aca="false">IFERROR(O165*$E165, "")</f>
        <v>0</v>
      </c>
      <c r="AC165" s="284" t="n">
        <f aca="false">IFERROR(P165*$E165, "")</f>
        <v>0</v>
      </c>
      <c r="AD165" s="284" t="n">
        <f aca="false">IFERROR(Q165*$E165, "")</f>
        <v>0</v>
      </c>
      <c r="AE165" s="284" t="n">
        <f aca="false">IFERROR(R165*$E165, "")</f>
        <v>0</v>
      </c>
      <c r="AF165" s="284" t="n">
        <f aca="false">IFERROR(S165*$E165, "")</f>
        <v>0</v>
      </c>
      <c r="AG165" s="284" t="n">
        <f aca="false">IFERROR(T165*$E165, "")</f>
        <v>0</v>
      </c>
      <c r="AH165" s="286" t="n">
        <f aca="false">IFERROR(SUMIF($V$4:$AG$4, "RDEC", V165:AG165), "")</f>
        <v>0</v>
      </c>
      <c r="AI165" s="286" t="n">
        <f aca="false">IFERROR(SUMIF($V$4:$AG$4, "SME", V165:AG165), "")</f>
        <v>0</v>
      </c>
      <c r="AJ165" s="286" t="n">
        <f aca="false">IFERROR(SUMIF($V$4:$AG$4, "De Minimis", V165:AG165), "")</f>
        <v>0</v>
      </c>
      <c r="AK165" s="287"/>
      <c r="AL165" s="288" t="str">
        <f aca="false">IF((SUM(I165:T165)&gt;1),"ERROR","")</f>
        <v/>
      </c>
    </row>
    <row r="166" customFormat="false" ht="15" hidden="false" customHeight="true" outlineLevel="0" collapsed="false">
      <c r="H166" s="350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3"/>
      <c r="V166" s="284" t="n">
        <f aca="false">IFERROR(I166*$E166, "")</f>
        <v>0</v>
      </c>
      <c r="W166" s="284" t="n">
        <f aca="false">IFERROR(J166*$E166, "")</f>
        <v>0</v>
      </c>
      <c r="X166" s="284" t="n">
        <f aca="false">IFERROR(K166*$E166, "")</f>
        <v>0</v>
      </c>
      <c r="Y166" s="284" t="n">
        <f aca="false">IFERROR(L166*$E166, "")</f>
        <v>0</v>
      </c>
      <c r="Z166" s="284" t="n">
        <f aca="false">IFERROR(M166*$E166, "")</f>
        <v>0</v>
      </c>
      <c r="AA166" s="284" t="n">
        <f aca="false">IFERROR(N166*$E166, "")</f>
        <v>0</v>
      </c>
      <c r="AB166" s="284" t="n">
        <f aca="false">IFERROR(O166*$E166, "")</f>
        <v>0</v>
      </c>
      <c r="AC166" s="284" t="n">
        <f aca="false">IFERROR(P166*$E166, "")</f>
        <v>0</v>
      </c>
      <c r="AD166" s="284" t="n">
        <f aca="false">IFERROR(Q166*$E166, "")</f>
        <v>0</v>
      </c>
      <c r="AE166" s="284" t="n">
        <f aca="false">IFERROR(R166*$E166, "")</f>
        <v>0</v>
      </c>
      <c r="AF166" s="284" t="n">
        <f aca="false">IFERROR(S166*$E166, "")</f>
        <v>0</v>
      </c>
      <c r="AG166" s="284" t="n">
        <f aca="false">IFERROR(T166*$E166, "")</f>
        <v>0</v>
      </c>
      <c r="AH166" s="286" t="n">
        <f aca="false">IFERROR(SUMIF($V$4:$AG$4, "RDEC", V166:AG166), "")</f>
        <v>0</v>
      </c>
      <c r="AI166" s="286" t="n">
        <f aca="false">IFERROR(SUMIF($V$4:$AG$4, "SME", V166:AG166), "")</f>
        <v>0</v>
      </c>
      <c r="AJ166" s="286" t="n">
        <f aca="false">IFERROR(SUMIF($V$4:$AG$4, "De Minimis", V166:AG166), "")</f>
        <v>0</v>
      </c>
      <c r="AK166" s="287"/>
      <c r="AL166" s="288" t="str">
        <f aca="false">IF((SUM(I166:T166)&gt;1),"ERROR","")</f>
        <v/>
      </c>
    </row>
    <row r="167" customFormat="false" ht="15" hidden="false" customHeight="true" outlineLevel="0" collapsed="false">
      <c r="H167" s="350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3"/>
      <c r="V167" s="284" t="n">
        <f aca="false">IFERROR(I167*$E167, "")</f>
        <v>0</v>
      </c>
      <c r="W167" s="284" t="n">
        <f aca="false">IFERROR(J167*$E167, "")</f>
        <v>0</v>
      </c>
      <c r="X167" s="284" t="n">
        <f aca="false">IFERROR(K167*$E167, "")</f>
        <v>0</v>
      </c>
      <c r="Y167" s="284" t="n">
        <f aca="false">IFERROR(L167*$E167, "")</f>
        <v>0</v>
      </c>
      <c r="Z167" s="284" t="n">
        <f aca="false">IFERROR(M167*$E167, "")</f>
        <v>0</v>
      </c>
      <c r="AA167" s="284" t="n">
        <f aca="false">IFERROR(N167*$E167, "")</f>
        <v>0</v>
      </c>
      <c r="AB167" s="284" t="n">
        <f aca="false">IFERROR(O167*$E167, "")</f>
        <v>0</v>
      </c>
      <c r="AC167" s="284" t="n">
        <f aca="false">IFERROR(P167*$E167, "")</f>
        <v>0</v>
      </c>
      <c r="AD167" s="284" t="n">
        <f aca="false">IFERROR(Q167*$E167, "")</f>
        <v>0</v>
      </c>
      <c r="AE167" s="284" t="n">
        <f aca="false">IFERROR(R167*$E167, "")</f>
        <v>0</v>
      </c>
      <c r="AF167" s="284" t="n">
        <f aca="false">IFERROR(S167*$E167, "")</f>
        <v>0</v>
      </c>
      <c r="AG167" s="284" t="n">
        <f aca="false">IFERROR(T167*$E167, "")</f>
        <v>0</v>
      </c>
      <c r="AH167" s="286" t="n">
        <f aca="false">IFERROR(SUMIF($V$4:$AG$4, "RDEC", V167:AG167), "")</f>
        <v>0</v>
      </c>
      <c r="AI167" s="286" t="n">
        <f aca="false">IFERROR(SUMIF($V$4:$AG$4, "SME", V167:AG167), "")</f>
        <v>0</v>
      </c>
      <c r="AJ167" s="286" t="n">
        <f aca="false">IFERROR(SUMIF($V$4:$AG$4, "De Minimis", V167:AG167), "")</f>
        <v>0</v>
      </c>
      <c r="AK167" s="287"/>
      <c r="AL167" s="288" t="str">
        <f aca="false">IF((SUM(I167:T167)&gt;1),"ERROR","")</f>
        <v/>
      </c>
    </row>
    <row r="168" customFormat="false" ht="15" hidden="false" customHeight="true" outlineLevel="0" collapsed="false">
      <c r="H168" s="350"/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3"/>
      <c r="V168" s="284" t="n">
        <f aca="false">IFERROR(I168*$E168, "")</f>
        <v>0</v>
      </c>
      <c r="W168" s="284" t="n">
        <f aca="false">IFERROR(J168*$E168, "")</f>
        <v>0</v>
      </c>
      <c r="X168" s="284" t="n">
        <f aca="false">IFERROR(K168*$E168, "")</f>
        <v>0</v>
      </c>
      <c r="Y168" s="284" t="n">
        <f aca="false">IFERROR(L168*$E168, "")</f>
        <v>0</v>
      </c>
      <c r="Z168" s="284" t="n">
        <f aca="false">IFERROR(M168*$E168, "")</f>
        <v>0</v>
      </c>
      <c r="AA168" s="284" t="n">
        <f aca="false">IFERROR(N168*$E168, "")</f>
        <v>0</v>
      </c>
      <c r="AB168" s="284" t="n">
        <f aca="false">IFERROR(O168*$E168, "")</f>
        <v>0</v>
      </c>
      <c r="AC168" s="284" t="n">
        <f aca="false">IFERROR(P168*$E168, "")</f>
        <v>0</v>
      </c>
      <c r="AD168" s="284" t="n">
        <f aca="false">IFERROR(Q168*$E168, "")</f>
        <v>0</v>
      </c>
      <c r="AE168" s="284" t="n">
        <f aca="false">IFERROR(R168*$E168, "")</f>
        <v>0</v>
      </c>
      <c r="AF168" s="284" t="n">
        <f aca="false">IFERROR(S168*$E168, "")</f>
        <v>0</v>
      </c>
      <c r="AG168" s="284" t="n">
        <f aca="false">IFERROR(T168*$E168, "")</f>
        <v>0</v>
      </c>
      <c r="AH168" s="286" t="n">
        <f aca="false">IFERROR(SUMIF($V$4:$AG$4, "RDEC", V168:AG168), "")</f>
        <v>0</v>
      </c>
      <c r="AI168" s="286" t="n">
        <f aca="false">IFERROR(SUMIF($V$4:$AG$4, "SME", V168:AG168), "")</f>
        <v>0</v>
      </c>
      <c r="AJ168" s="286" t="n">
        <f aca="false">IFERROR(SUMIF($V$4:$AG$4, "De Minimis", V168:AG168), "")</f>
        <v>0</v>
      </c>
      <c r="AK168" s="287"/>
      <c r="AL168" s="288" t="str">
        <f aca="false">IF((SUM(I168:T168)&gt;1),"ERROR","")</f>
        <v/>
      </c>
    </row>
    <row r="169" customFormat="false" ht="15" hidden="false" customHeight="true" outlineLevel="0" collapsed="false">
      <c r="H169" s="350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3"/>
      <c r="V169" s="284" t="n">
        <f aca="false">IFERROR(I169*$E169, "")</f>
        <v>0</v>
      </c>
      <c r="W169" s="284" t="n">
        <f aca="false">IFERROR(J169*$E169, "")</f>
        <v>0</v>
      </c>
      <c r="X169" s="284" t="n">
        <f aca="false">IFERROR(K169*$E169, "")</f>
        <v>0</v>
      </c>
      <c r="Y169" s="284" t="n">
        <f aca="false">IFERROR(L169*$E169, "")</f>
        <v>0</v>
      </c>
      <c r="Z169" s="284" t="n">
        <f aca="false">IFERROR(M169*$E169, "")</f>
        <v>0</v>
      </c>
      <c r="AA169" s="284" t="n">
        <f aca="false">IFERROR(N169*$E169, "")</f>
        <v>0</v>
      </c>
      <c r="AB169" s="284" t="n">
        <f aca="false">IFERROR(O169*$E169, "")</f>
        <v>0</v>
      </c>
      <c r="AC169" s="284" t="n">
        <f aca="false">IFERROR(P169*$E169, "")</f>
        <v>0</v>
      </c>
      <c r="AD169" s="284" t="n">
        <f aca="false">IFERROR(Q169*$E169, "")</f>
        <v>0</v>
      </c>
      <c r="AE169" s="284" t="n">
        <f aca="false">IFERROR(R169*$E169, "")</f>
        <v>0</v>
      </c>
      <c r="AF169" s="284" t="n">
        <f aca="false">IFERROR(S169*$E169, "")</f>
        <v>0</v>
      </c>
      <c r="AG169" s="284" t="n">
        <f aca="false">IFERROR(T169*$E169, "")</f>
        <v>0</v>
      </c>
      <c r="AH169" s="286" t="n">
        <f aca="false">IFERROR(SUMIF($V$4:$AG$4, "RDEC", V169:AG169), "")</f>
        <v>0</v>
      </c>
      <c r="AI169" s="286" t="n">
        <f aca="false">IFERROR(SUMIF($V$4:$AG$4, "SME", V169:AG169), "")</f>
        <v>0</v>
      </c>
      <c r="AJ169" s="286" t="n">
        <f aca="false">IFERROR(SUMIF($V$4:$AG$4, "De Minimis", V169:AG169), "")</f>
        <v>0</v>
      </c>
      <c r="AK169" s="303"/>
      <c r="AL169" s="288" t="str">
        <f aca="false">IF((SUM(I169:T169)&gt;1),"ERROR","")</f>
        <v/>
      </c>
    </row>
    <row r="170" customFormat="false" ht="15" hidden="false" customHeight="true" outlineLevel="0" collapsed="false">
      <c r="H170" s="350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3"/>
      <c r="V170" s="284" t="n">
        <f aca="false">IFERROR(I170*$E170, "")</f>
        <v>0</v>
      </c>
      <c r="W170" s="284" t="n">
        <f aca="false">IFERROR(J170*$E170, "")</f>
        <v>0</v>
      </c>
      <c r="X170" s="284" t="n">
        <f aca="false">IFERROR(K170*$E170, "")</f>
        <v>0</v>
      </c>
      <c r="Y170" s="284" t="n">
        <f aca="false">IFERROR(L170*$E170, "")</f>
        <v>0</v>
      </c>
      <c r="Z170" s="284" t="n">
        <f aca="false">IFERROR(M170*$E170, "")</f>
        <v>0</v>
      </c>
      <c r="AA170" s="284" t="n">
        <f aca="false">IFERROR(N170*$E170, "")</f>
        <v>0</v>
      </c>
      <c r="AB170" s="284" t="n">
        <f aca="false">IFERROR(O170*$E170, "")</f>
        <v>0</v>
      </c>
      <c r="AC170" s="284" t="n">
        <f aca="false">IFERROR(P170*$E170, "")</f>
        <v>0</v>
      </c>
      <c r="AD170" s="284" t="n">
        <f aca="false">IFERROR(Q170*$E170, "")</f>
        <v>0</v>
      </c>
      <c r="AE170" s="284" t="n">
        <f aca="false">IFERROR(R170*$E170, "")</f>
        <v>0</v>
      </c>
      <c r="AF170" s="284" t="n">
        <f aca="false">IFERROR(S170*$E170, "")</f>
        <v>0</v>
      </c>
      <c r="AG170" s="284" t="n">
        <f aca="false">IFERROR(T170*$E170, "")</f>
        <v>0</v>
      </c>
      <c r="AH170" s="286" t="n">
        <f aca="false">IFERROR(SUMIF($V$4:$AG$4, "RDEC", V170:AG170), "")</f>
        <v>0</v>
      </c>
      <c r="AI170" s="286" t="n">
        <f aca="false">IFERROR(SUMIF($V$4:$AG$4, "SME", V170:AG170), "")</f>
        <v>0</v>
      </c>
      <c r="AJ170" s="286" t="n">
        <f aca="false">IFERROR(SUMIF($V$4:$AG$4, "De Minimis", V170:AG170), "")</f>
        <v>0</v>
      </c>
      <c r="AL170" s="288" t="str">
        <f aca="false">IF((SUM(I170:T170)&gt;1),"ERROR","")</f>
        <v/>
      </c>
    </row>
    <row r="171" customFormat="false" ht="15" hidden="false" customHeight="true" outlineLevel="0" collapsed="false">
      <c r="H171" s="350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3"/>
      <c r="V171" s="284" t="n">
        <f aca="false">IFERROR(I171*$E171, "")</f>
        <v>0</v>
      </c>
      <c r="W171" s="284" t="n">
        <f aca="false">IFERROR(J171*$E171, "")</f>
        <v>0</v>
      </c>
      <c r="X171" s="284" t="n">
        <f aca="false">IFERROR(K171*$E171, "")</f>
        <v>0</v>
      </c>
      <c r="Y171" s="284" t="n">
        <f aca="false">IFERROR(L171*$E171, "")</f>
        <v>0</v>
      </c>
      <c r="Z171" s="284" t="n">
        <f aca="false">IFERROR(M171*$E171, "")</f>
        <v>0</v>
      </c>
      <c r="AA171" s="284" t="n">
        <f aca="false">IFERROR(N171*$E171, "")</f>
        <v>0</v>
      </c>
      <c r="AB171" s="284" t="n">
        <f aca="false">IFERROR(O171*$E171, "")</f>
        <v>0</v>
      </c>
      <c r="AC171" s="284" t="n">
        <f aca="false">IFERROR(P171*$E171, "")</f>
        <v>0</v>
      </c>
      <c r="AD171" s="284" t="n">
        <f aca="false">IFERROR(Q171*$E171, "")</f>
        <v>0</v>
      </c>
      <c r="AE171" s="284" t="n">
        <f aca="false">IFERROR(R171*$E171, "")</f>
        <v>0</v>
      </c>
      <c r="AF171" s="284" t="n">
        <f aca="false">IFERROR(S171*$E171, "")</f>
        <v>0</v>
      </c>
      <c r="AG171" s="284" t="n">
        <f aca="false">IFERROR(T171*$E171, "")</f>
        <v>0</v>
      </c>
      <c r="AH171" s="286" t="n">
        <f aca="false">IFERROR(SUMIF($V$4:$AG$4, "RDEC", V171:AG171), "")</f>
        <v>0</v>
      </c>
      <c r="AI171" s="286" t="n">
        <f aca="false">IFERROR(SUMIF($V$4:$AG$4, "SME", V171:AG171), "")</f>
        <v>0</v>
      </c>
      <c r="AJ171" s="286" t="n">
        <f aca="false">IFERROR(SUMIF($V$4:$AG$4, "De Minimis", V171:AG171), "")</f>
        <v>0</v>
      </c>
      <c r="AK171" s="268"/>
      <c r="AL171" s="288" t="str">
        <f aca="false">IF((SUM(I171:T171)&gt;1),"ERROR","")</f>
        <v/>
      </c>
    </row>
    <row r="172" customFormat="false" ht="15" hidden="false" customHeight="true" outlineLevel="0" collapsed="false">
      <c r="H172" s="350"/>
      <c r="I172" s="282"/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3"/>
      <c r="V172" s="284" t="n">
        <f aca="false">IFERROR(I172*$E172, "")</f>
        <v>0</v>
      </c>
      <c r="W172" s="284" t="n">
        <f aca="false">IFERROR(J172*$E172, "")</f>
        <v>0</v>
      </c>
      <c r="X172" s="284" t="n">
        <f aca="false">IFERROR(K172*$E172, "")</f>
        <v>0</v>
      </c>
      <c r="Y172" s="284" t="n">
        <f aca="false">IFERROR(L172*$E172, "")</f>
        <v>0</v>
      </c>
      <c r="Z172" s="284" t="n">
        <f aca="false">IFERROR(M172*$E172, "")</f>
        <v>0</v>
      </c>
      <c r="AA172" s="284" t="n">
        <f aca="false">IFERROR(N172*$E172, "")</f>
        <v>0</v>
      </c>
      <c r="AB172" s="284" t="n">
        <f aca="false">IFERROR(O172*$E172, "")</f>
        <v>0</v>
      </c>
      <c r="AC172" s="284" t="n">
        <f aca="false">IFERROR(P172*$E172, "")</f>
        <v>0</v>
      </c>
      <c r="AD172" s="284" t="n">
        <f aca="false">IFERROR(Q172*$E172, "")</f>
        <v>0</v>
      </c>
      <c r="AE172" s="284" t="n">
        <f aca="false">IFERROR(R172*$E172, "")</f>
        <v>0</v>
      </c>
      <c r="AF172" s="284" t="n">
        <f aca="false">IFERROR(S172*$E172, "")</f>
        <v>0</v>
      </c>
      <c r="AG172" s="284" t="n">
        <f aca="false">IFERROR(T172*$E172, "")</f>
        <v>0</v>
      </c>
      <c r="AH172" s="286" t="n">
        <f aca="false">IFERROR(SUMIF($V$4:$AG$4, "RDEC", V172:AG172), "")</f>
        <v>0</v>
      </c>
      <c r="AI172" s="286" t="n">
        <f aca="false">IFERROR(SUMIF($V$4:$AG$4, "SME", V172:AG172), "")</f>
        <v>0</v>
      </c>
      <c r="AJ172" s="286" t="n">
        <f aca="false">IFERROR(SUMIF($V$4:$AG$4, "De Minimis", V172:AG172), "")</f>
        <v>0</v>
      </c>
      <c r="AK172" s="287"/>
      <c r="AL172" s="288" t="str">
        <f aca="false">IF((SUM(I172:T172)&gt;1),"ERROR","")</f>
        <v/>
      </c>
    </row>
    <row r="173" customFormat="false" ht="15" hidden="false" customHeight="true" outlineLevel="0" collapsed="false">
      <c r="H173" s="350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3"/>
      <c r="V173" s="284" t="n">
        <f aca="false">IFERROR(I173*$E173, "")</f>
        <v>0</v>
      </c>
      <c r="W173" s="284" t="n">
        <f aca="false">IFERROR(J173*$E173, "")</f>
        <v>0</v>
      </c>
      <c r="X173" s="284" t="n">
        <f aca="false">IFERROR(K173*$E173, "")</f>
        <v>0</v>
      </c>
      <c r="Y173" s="284" t="n">
        <f aca="false">IFERROR(L173*$E173, "")</f>
        <v>0</v>
      </c>
      <c r="Z173" s="284" t="n">
        <f aca="false">IFERROR(M173*$E173, "")</f>
        <v>0</v>
      </c>
      <c r="AA173" s="284" t="n">
        <f aca="false">IFERROR(N173*$E173, "")</f>
        <v>0</v>
      </c>
      <c r="AB173" s="284" t="n">
        <f aca="false">IFERROR(O173*$E173, "")</f>
        <v>0</v>
      </c>
      <c r="AC173" s="284" t="n">
        <f aca="false">IFERROR(P173*$E173, "")</f>
        <v>0</v>
      </c>
      <c r="AD173" s="284" t="n">
        <f aca="false">IFERROR(Q173*$E173, "")</f>
        <v>0</v>
      </c>
      <c r="AE173" s="284" t="n">
        <f aca="false">IFERROR(R173*$E173, "")</f>
        <v>0</v>
      </c>
      <c r="AF173" s="284" t="n">
        <f aca="false">IFERROR(S173*$E173, "")</f>
        <v>0</v>
      </c>
      <c r="AG173" s="284" t="n">
        <f aca="false">IFERROR(T173*$E173, "")</f>
        <v>0</v>
      </c>
      <c r="AH173" s="286" t="n">
        <f aca="false">IFERROR(SUMIF($V$4:$AG$4, "RDEC", V173:AG173), "")</f>
        <v>0</v>
      </c>
      <c r="AI173" s="286" t="n">
        <f aca="false">IFERROR(SUMIF($V$4:$AG$4, "SME", V173:AG173), "")</f>
        <v>0</v>
      </c>
      <c r="AJ173" s="286" t="n">
        <f aca="false">IFERROR(SUMIF($V$4:$AG$4, "De Minimis", V173:AG173), "")</f>
        <v>0</v>
      </c>
      <c r="AK173" s="287"/>
      <c r="AL173" s="288" t="str">
        <f aca="false">IF((SUM(I173:T173)&gt;1),"ERROR","")</f>
        <v/>
      </c>
    </row>
    <row r="174" customFormat="false" ht="15" hidden="false" customHeight="true" outlineLevel="0" collapsed="false">
      <c r="H174" s="350"/>
      <c r="I174" s="282"/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3"/>
      <c r="V174" s="284" t="n">
        <f aca="false">IFERROR(I174*$E174, "")</f>
        <v>0</v>
      </c>
      <c r="W174" s="284" t="n">
        <f aca="false">IFERROR(J174*$E174, "")</f>
        <v>0</v>
      </c>
      <c r="X174" s="284" t="n">
        <f aca="false">IFERROR(K174*$E174, "")</f>
        <v>0</v>
      </c>
      <c r="Y174" s="284" t="n">
        <f aca="false">IFERROR(L174*$E174, "")</f>
        <v>0</v>
      </c>
      <c r="Z174" s="284" t="n">
        <f aca="false">IFERROR(M174*$E174, "")</f>
        <v>0</v>
      </c>
      <c r="AA174" s="284" t="n">
        <f aca="false">IFERROR(N174*$E174, "")</f>
        <v>0</v>
      </c>
      <c r="AB174" s="284" t="n">
        <f aca="false">IFERROR(O174*$E174, "")</f>
        <v>0</v>
      </c>
      <c r="AC174" s="284" t="n">
        <f aca="false">IFERROR(P174*$E174, "")</f>
        <v>0</v>
      </c>
      <c r="AD174" s="284" t="n">
        <f aca="false">IFERROR(Q174*$E174, "")</f>
        <v>0</v>
      </c>
      <c r="AE174" s="284" t="n">
        <f aca="false">IFERROR(R174*$E174, "")</f>
        <v>0</v>
      </c>
      <c r="AF174" s="284" t="n">
        <f aca="false">IFERROR(S174*$E174, "")</f>
        <v>0</v>
      </c>
      <c r="AG174" s="284" t="n">
        <f aca="false">IFERROR(T174*$E174, "")</f>
        <v>0</v>
      </c>
      <c r="AH174" s="286" t="n">
        <f aca="false">IFERROR(SUMIF($V$4:$AG$4, "RDEC", V174:AG174), "")</f>
        <v>0</v>
      </c>
      <c r="AI174" s="286" t="n">
        <f aca="false">IFERROR(SUMIF($V$4:$AG$4, "SME", V174:AG174), "")</f>
        <v>0</v>
      </c>
      <c r="AJ174" s="286" t="n">
        <f aca="false">IFERROR(SUMIF($V$4:$AG$4, "De Minimis", V174:AG174), "")</f>
        <v>0</v>
      </c>
      <c r="AK174" s="287"/>
      <c r="AL174" s="288" t="str">
        <f aca="false">IF((SUM(I174:T174)&gt;1),"ERROR","")</f>
        <v/>
      </c>
    </row>
    <row r="175" customFormat="false" ht="15" hidden="false" customHeight="true" outlineLevel="0" collapsed="false">
      <c r="H175" s="350"/>
      <c r="I175" s="282"/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3"/>
      <c r="V175" s="284" t="n">
        <f aca="false">IFERROR(I175*$E175, "")</f>
        <v>0</v>
      </c>
      <c r="W175" s="284" t="n">
        <f aca="false">IFERROR(J175*$E175, "")</f>
        <v>0</v>
      </c>
      <c r="X175" s="284" t="n">
        <f aca="false">IFERROR(K175*$E175, "")</f>
        <v>0</v>
      </c>
      <c r="Y175" s="284" t="n">
        <f aca="false">IFERROR(L175*$E175, "")</f>
        <v>0</v>
      </c>
      <c r="Z175" s="284" t="n">
        <f aca="false">IFERROR(M175*$E175, "")</f>
        <v>0</v>
      </c>
      <c r="AA175" s="284" t="n">
        <f aca="false">IFERROR(N175*$E175, "")</f>
        <v>0</v>
      </c>
      <c r="AB175" s="284" t="n">
        <f aca="false">IFERROR(O175*$E175, "")</f>
        <v>0</v>
      </c>
      <c r="AC175" s="284" t="n">
        <f aca="false">IFERROR(P175*$E175, "")</f>
        <v>0</v>
      </c>
      <c r="AD175" s="284" t="n">
        <f aca="false">IFERROR(Q175*$E175, "")</f>
        <v>0</v>
      </c>
      <c r="AE175" s="284" t="n">
        <f aca="false">IFERROR(R175*$E175, "")</f>
        <v>0</v>
      </c>
      <c r="AF175" s="284" t="n">
        <f aca="false">IFERROR(S175*$E175, "")</f>
        <v>0</v>
      </c>
      <c r="AG175" s="284" t="n">
        <f aca="false">IFERROR(T175*$E175, "")</f>
        <v>0</v>
      </c>
      <c r="AH175" s="286" t="n">
        <f aca="false">IFERROR(SUMIF($V$4:$AG$4, "RDEC", V175:AG175), "")</f>
        <v>0</v>
      </c>
      <c r="AI175" s="286" t="n">
        <f aca="false">IFERROR(SUMIF($V$4:$AG$4, "SME", V175:AG175), "")</f>
        <v>0</v>
      </c>
      <c r="AJ175" s="286" t="n">
        <f aca="false">IFERROR(SUMIF($V$4:$AG$4, "De Minimis", V175:AG175), "")</f>
        <v>0</v>
      </c>
      <c r="AK175" s="287"/>
      <c r="AL175" s="288" t="str">
        <f aca="false">IF((SUM(I175:T175)&gt;1),"ERROR","")</f>
        <v/>
      </c>
    </row>
    <row r="176" customFormat="false" ht="15" hidden="false" customHeight="true" outlineLevel="0" collapsed="false">
      <c r="H176" s="350"/>
      <c r="I176" s="282"/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3"/>
      <c r="V176" s="284" t="n">
        <f aca="false">IFERROR(I176*$E176, "")</f>
        <v>0</v>
      </c>
      <c r="W176" s="284" t="n">
        <f aca="false">IFERROR(J176*$E176, "")</f>
        <v>0</v>
      </c>
      <c r="X176" s="284" t="n">
        <f aca="false">IFERROR(K176*$E176, "")</f>
        <v>0</v>
      </c>
      <c r="Y176" s="284" t="n">
        <f aca="false">IFERROR(L176*$E176, "")</f>
        <v>0</v>
      </c>
      <c r="Z176" s="284" t="n">
        <f aca="false">IFERROR(M176*$E176, "")</f>
        <v>0</v>
      </c>
      <c r="AA176" s="284" t="n">
        <f aca="false">IFERROR(N176*$E176, "")</f>
        <v>0</v>
      </c>
      <c r="AB176" s="284" t="n">
        <f aca="false">IFERROR(O176*$E176, "")</f>
        <v>0</v>
      </c>
      <c r="AC176" s="284" t="n">
        <f aca="false">IFERROR(P176*$E176, "")</f>
        <v>0</v>
      </c>
      <c r="AD176" s="284" t="n">
        <f aca="false">IFERROR(Q176*$E176, "")</f>
        <v>0</v>
      </c>
      <c r="AE176" s="284" t="n">
        <f aca="false">IFERROR(R176*$E176, "")</f>
        <v>0</v>
      </c>
      <c r="AF176" s="284" t="n">
        <f aca="false">IFERROR(S176*$E176, "")</f>
        <v>0</v>
      </c>
      <c r="AG176" s="284" t="n">
        <f aca="false">IFERROR(T176*$E176, "")</f>
        <v>0</v>
      </c>
      <c r="AH176" s="286" t="n">
        <f aca="false">IFERROR(SUMIF($V$4:$AG$4, "RDEC", V176:AG176), "")</f>
        <v>0</v>
      </c>
      <c r="AI176" s="286" t="n">
        <f aca="false">IFERROR(SUMIF($V$4:$AG$4, "SME", V176:AG176), "")</f>
        <v>0</v>
      </c>
      <c r="AJ176" s="286" t="n">
        <f aca="false">IFERROR(SUMIF($V$4:$AG$4, "De Minimis", V176:AG176), "")</f>
        <v>0</v>
      </c>
      <c r="AK176" s="287"/>
      <c r="AL176" s="288" t="str">
        <f aca="false">IF((SUM(I176:T176)&gt;1),"ERROR","")</f>
        <v/>
      </c>
    </row>
    <row r="177" customFormat="false" ht="15" hidden="false" customHeight="true" outlineLevel="0" collapsed="false">
      <c r="H177" s="350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3"/>
      <c r="V177" s="284" t="n">
        <f aca="false">IFERROR(I177*$E177, "")</f>
        <v>0</v>
      </c>
      <c r="W177" s="284" t="n">
        <f aca="false">IFERROR(J177*$E177, "")</f>
        <v>0</v>
      </c>
      <c r="X177" s="284" t="n">
        <f aca="false">IFERROR(K177*$E177, "")</f>
        <v>0</v>
      </c>
      <c r="Y177" s="284" t="n">
        <f aca="false">IFERROR(L177*$E177, "")</f>
        <v>0</v>
      </c>
      <c r="Z177" s="284" t="n">
        <f aca="false">IFERROR(M177*$E177, "")</f>
        <v>0</v>
      </c>
      <c r="AA177" s="284" t="n">
        <f aca="false">IFERROR(N177*$E177, "")</f>
        <v>0</v>
      </c>
      <c r="AB177" s="284" t="n">
        <f aca="false">IFERROR(O177*$E177, "")</f>
        <v>0</v>
      </c>
      <c r="AC177" s="284" t="n">
        <f aca="false">IFERROR(P177*$E177, "")</f>
        <v>0</v>
      </c>
      <c r="AD177" s="284" t="n">
        <f aca="false">IFERROR(Q177*$E177, "")</f>
        <v>0</v>
      </c>
      <c r="AE177" s="284" t="n">
        <f aca="false">IFERROR(R177*$E177, "")</f>
        <v>0</v>
      </c>
      <c r="AF177" s="284" t="n">
        <f aca="false">IFERROR(S177*$E177, "")</f>
        <v>0</v>
      </c>
      <c r="AG177" s="284" t="n">
        <f aca="false">IFERROR(T177*$E177, "")</f>
        <v>0</v>
      </c>
      <c r="AH177" s="286" t="n">
        <f aca="false">IFERROR(SUMIF($V$4:$AG$4, "RDEC", V177:AG177), "")</f>
        <v>0</v>
      </c>
      <c r="AI177" s="286" t="n">
        <f aca="false">IFERROR(SUMIF($V$4:$AG$4, "SME", V177:AG177), "")</f>
        <v>0</v>
      </c>
      <c r="AJ177" s="286" t="n">
        <f aca="false">IFERROR(SUMIF($V$4:$AG$4, "De Minimis", V177:AG177), "")</f>
        <v>0</v>
      </c>
      <c r="AK177" s="287"/>
      <c r="AL177" s="288" t="str">
        <f aca="false">IF((SUM(I177:T177)&gt;1),"ERROR","")</f>
        <v/>
      </c>
    </row>
    <row r="178" customFormat="false" ht="15" hidden="false" customHeight="true" outlineLevel="0" collapsed="false">
      <c r="H178" s="350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3"/>
      <c r="V178" s="284" t="n">
        <f aca="false">IFERROR(I178*$E178, "")</f>
        <v>0</v>
      </c>
      <c r="W178" s="284" t="n">
        <f aca="false">IFERROR(J178*$E178, "")</f>
        <v>0</v>
      </c>
      <c r="X178" s="284" t="n">
        <f aca="false">IFERROR(K178*$E178, "")</f>
        <v>0</v>
      </c>
      <c r="Y178" s="284" t="n">
        <f aca="false">IFERROR(L178*$E178, "")</f>
        <v>0</v>
      </c>
      <c r="Z178" s="284" t="n">
        <f aca="false">IFERROR(M178*$E178, "")</f>
        <v>0</v>
      </c>
      <c r="AA178" s="284" t="n">
        <f aca="false">IFERROR(N178*$E178, "")</f>
        <v>0</v>
      </c>
      <c r="AB178" s="284" t="n">
        <f aca="false">IFERROR(O178*$E178, "")</f>
        <v>0</v>
      </c>
      <c r="AC178" s="284" t="n">
        <f aca="false">IFERROR(P178*$E178, "")</f>
        <v>0</v>
      </c>
      <c r="AD178" s="284" t="n">
        <f aca="false">IFERROR(Q178*$E178, "")</f>
        <v>0</v>
      </c>
      <c r="AE178" s="284" t="n">
        <f aca="false">IFERROR(R178*$E178, "")</f>
        <v>0</v>
      </c>
      <c r="AF178" s="284" t="n">
        <f aca="false">IFERROR(S178*$E178, "")</f>
        <v>0</v>
      </c>
      <c r="AG178" s="284" t="n">
        <f aca="false">IFERROR(T178*$E178, "")</f>
        <v>0</v>
      </c>
      <c r="AH178" s="286" t="n">
        <f aca="false">IFERROR(SUMIF($V$4:$AG$4, "RDEC", V178:AG178), "")</f>
        <v>0</v>
      </c>
      <c r="AI178" s="286" t="n">
        <f aca="false">IFERROR(SUMIF($V$4:$AG$4, "SME", V178:AG178), "")</f>
        <v>0</v>
      </c>
      <c r="AJ178" s="286" t="n">
        <f aca="false">IFERROR(SUMIF($V$4:$AG$4, "De Minimis", V178:AG178), "")</f>
        <v>0</v>
      </c>
      <c r="AK178" s="287"/>
      <c r="AL178" s="288" t="str">
        <f aca="false">IF((SUM(I178:T178)&gt;1),"ERROR","")</f>
        <v/>
      </c>
    </row>
    <row r="179" customFormat="false" ht="15" hidden="false" customHeight="true" outlineLevel="0" collapsed="false">
      <c r="H179" s="350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3"/>
      <c r="V179" s="284" t="n">
        <f aca="false">IFERROR(I179*$E179, "")</f>
        <v>0</v>
      </c>
      <c r="W179" s="284" t="n">
        <f aca="false">IFERROR(J179*$E179, "")</f>
        <v>0</v>
      </c>
      <c r="X179" s="284" t="n">
        <f aca="false">IFERROR(K179*$E179, "")</f>
        <v>0</v>
      </c>
      <c r="Y179" s="284" t="n">
        <f aca="false">IFERROR(L179*$E179, "")</f>
        <v>0</v>
      </c>
      <c r="Z179" s="284" t="n">
        <f aca="false">IFERROR(M179*$E179, "")</f>
        <v>0</v>
      </c>
      <c r="AA179" s="284" t="n">
        <f aca="false">IFERROR(N179*$E179, "")</f>
        <v>0</v>
      </c>
      <c r="AB179" s="284" t="n">
        <f aca="false">IFERROR(O179*$E179, "")</f>
        <v>0</v>
      </c>
      <c r="AC179" s="284" t="n">
        <f aca="false">IFERROR(P179*$E179, "")</f>
        <v>0</v>
      </c>
      <c r="AD179" s="284" t="n">
        <f aca="false">IFERROR(Q179*$E179, "")</f>
        <v>0</v>
      </c>
      <c r="AE179" s="284" t="n">
        <f aca="false">IFERROR(R179*$E179, "")</f>
        <v>0</v>
      </c>
      <c r="AF179" s="284" t="n">
        <f aca="false">IFERROR(S179*$E179, "")</f>
        <v>0</v>
      </c>
      <c r="AG179" s="284" t="n">
        <f aca="false">IFERROR(T179*$E179, "")</f>
        <v>0</v>
      </c>
      <c r="AH179" s="286" t="n">
        <f aca="false">IFERROR(SUMIF($V$4:$AG$4, "RDEC", V179:AG179), "")</f>
        <v>0</v>
      </c>
      <c r="AI179" s="286" t="n">
        <f aca="false">IFERROR(SUMIF($V$4:$AG$4, "SME", V179:AG179), "")</f>
        <v>0</v>
      </c>
      <c r="AJ179" s="286" t="n">
        <f aca="false">IFERROR(SUMIF($V$4:$AG$4, "De Minimis", V179:AG179), "")</f>
        <v>0</v>
      </c>
      <c r="AK179" s="287"/>
      <c r="AL179" s="288" t="str">
        <f aca="false">IF((SUM(I179:T179)&gt;1),"ERROR","")</f>
        <v/>
      </c>
    </row>
    <row r="180" customFormat="false" ht="15" hidden="false" customHeight="true" outlineLevel="0" collapsed="false">
      <c r="H180" s="350"/>
      <c r="I180" s="282"/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3"/>
      <c r="V180" s="284" t="n">
        <f aca="false">IFERROR(I180*$E180, "")</f>
        <v>0</v>
      </c>
      <c r="W180" s="284" t="n">
        <f aca="false">IFERROR(J180*$E180, "")</f>
        <v>0</v>
      </c>
      <c r="X180" s="284" t="n">
        <f aca="false">IFERROR(K180*$E180, "")</f>
        <v>0</v>
      </c>
      <c r="Y180" s="284" t="n">
        <f aca="false">IFERROR(L180*$E180, "")</f>
        <v>0</v>
      </c>
      <c r="Z180" s="284" t="n">
        <f aca="false">IFERROR(M180*$E180, "")</f>
        <v>0</v>
      </c>
      <c r="AA180" s="284" t="n">
        <f aca="false">IFERROR(N180*$E180, "")</f>
        <v>0</v>
      </c>
      <c r="AB180" s="284" t="n">
        <f aca="false">IFERROR(O180*$E180, "")</f>
        <v>0</v>
      </c>
      <c r="AC180" s="284" t="n">
        <f aca="false">IFERROR(P180*$E180, "")</f>
        <v>0</v>
      </c>
      <c r="AD180" s="284" t="n">
        <f aca="false">IFERROR(Q180*$E180, "")</f>
        <v>0</v>
      </c>
      <c r="AE180" s="284" t="n">
        <f aca="false">IFERROR(R180*$E180, "")</f>
        <v>0</v>
      </c>
      <c r="AF180" s="284" t="n">
        <f aca="false">IFERROR(S180*$E180, "")</f>
        <v>0</v>
      </c>
      <c r="AG180" s="284" t="n">
        <f aca="false">IFERROR(T180*$E180, "")</f>
        <v>0</v>
      </c>
      <c r="AH180" s="286" t="n">
        <f aca="false">IFERROR(SUMIF($V$4:$AG$4, "RDEC", V180:AG180), "")</f>
        <v>0</v>
      </c>
      <c r="AI180" s="286" t="n">
        <f aca="false">IFERROR(SUMIF($V$4:$AG$4, "SME", V180:AG180), "")</f>
        <v>0</v>
      </c>
      <c r="AJ180" s="286" t="n">
        <f aca="false">IFERROR(SUMIF($V$4:$AG$4, "De Minimis", V180:AG180), "")</f>
        <v>0</v>
      </c>
      <c r="AK180" s="287"/>
      <c r="AL180" s="288" t="str">
        <f aca="false">IF((SUM(I180:T180)&gt;1),"ERROR","")</f>
        <v/>
      </c>
    </row>
    <row r="181" customFormat="false" ht="15" hidden="false" customHeight="true" outlineLevel="0" collapsed="false">
      <c r="H181" s="350"/>
      <c r="I181" s="282"/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3"/>
      <c r="V181" s="284" t="n">
        <f aca="false">IFERROR(I181*$E181, "")</f>
        <v>0</v>
      </c>
      <c r="W181" s="284" t="n">
        <f aca="false">IFERROR(J181*$E181, "")</f>
        <v>0</v>
      </c>
      <c r="X181" s="284" t="n">
        <f aca="false">IFERROR(K181*$E181, "")</f>
        <v>0</v>
      </c>
      <c r="Y181" s="284" t="n">
        <f aca="false">IFERROR(L181*$E181, "")</f>
        <v>0</v>
      </c>
      <c r="Z181" s="284" t="n">
        <f aca="false">IFERROR(M181*$E181, "")</f>
        <v>0</v>
      </c>
      <c r="AA181" s="284" t="n">
        <f aca="false">IFERROR(N181*$E181, "")</f>
        <v>0</v>
      </c>
      <c r="AB181" s="284" t="n">
        <f aca="false">IFERROR(O181*$E181, "")</f>
        <v>0</v>
      </c>
      <c r="AC181" s="284" t="n">
        <f aca="false">IFERROR(P181*$E181, "")</f>
        <v>0</v>
      </c>
      <c r="AD181" s="284" t="n">
        <f aca="false">IFERROR(Q181*$E181, "")</f>
        <v>0</v>
      </c>
      <c r="AE181" s="284" t="n">
        <f aca="false">IFERROR(R181*$E181, "")</f>
        <v>0</v>
      </c>
      <c r="AF181" s="284" t="n">
        <f aca="false">IFERROR(S181*$E181, "")</f>
        <v>0</v>
      </c>
      <c r="AG181" s="284" t="n">
        <f aca="false">IFERROR(T181*$E181, "")</f>
        <v>0</v>
      </c>
      <c r="AH181" s="286" t="n">
        <f aca="false">IFERROR(SUMIF($V$4:$AG$4, "RDEC", V181:AG181), "")</f>
        <v>0</v>
      </c>
      <c r="AI181" s="286" t="n">
        <f aca="false">IFERROR(SUMIF($V$4:$AG$4, "SME", V181:AG181), "")</f>
        <v>0</v>
      </c>
      <c r="AJ181" s="286" t="n">
        <f aca="false">IFERROR(SUMIF($V$4:$AG$4, "De Minimis", V181:AG181), "")</f>
        <v>0</v>
      </c>
      <c r="AK181" s="287"/>
      <c r="AL181" s="288" t="str">
        <f aca="false">IF((SUM(I181:T181)&gt;1),"ERROR","")</f>
        <v/>
      </c>
    </row>
    <row r="182" customFormat="false" ht="15" hidden="false" customHeight="true" outlineLevel="0" collapsed="false">
      <c r="H182" s="350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3"/>
      <c r="V182" s="284" t="n">
        <f aca="false">IFERROR(I182*$E182, "")</f>
        <v>0</v>
      </c>
      <c r="W182" s="284" t="n">
        <f aca="false">IFERROR(J182*$E182, "")</f>
        <v>0</v>
      </c>
      <c r="X182" s="284" t="n">
        <f aca="false">IFERROR(K182*$E182, "")</f>
        <v>0</v>
      </c>
      <c r="Y182" s="284" t="n">
        <f aca="false">IFERROR(L182*$E182, "")</f>
        <v>0</v>
      </c>
      <c r="Z182" s="284" t="n">
        <f aca="false">IFERROR(M182*$E182, "")</f>
        <v>0</v>
      </c>
      <c r="AA182" s="284" t="n">
        <f aca="false">IFERROR(N182*$E182, "")</f>
        <v>0</v>
      </c>
      <c r="AB182" s="284" t="n">
        <f aca="false">IFERROR(O182*$E182, "")</f>
        <v>0</v>
      </c>
      <c r="AC182" s="284" t="n">
        <f aca="false">IFERROR(P182*$E182, "")</f>
        <v>0</v>
      </c>
      <c r="AD182" s="284" t="n">
        <f aca="false">IFERROR(Q182*$E182, "")</f>
        <v>0</v>
      </c>
      <c r="AE182" s="284" t="n">
        <f aca="false">IFERROR(R182*$E182, "")</f>
        <v>0</v>
      </c>
      <c r="AF182" s="284" t="n">
        <f aca="false">IFERROR(S182*$E182, "")</f>
        <v>0</v>
      </c>
      <c r="AG182" s="284" t="n">
        <f aca="false">IFERROR(T182*$E182, "")</f>
        <v>0</v>
      </c>
      <c r="AH182" s="286" t="n">
        <f aca="false">IFERROR(SUMIF($V$4:$AG$4, "RDEC", V182:AG182), "")</f>
        <v>0</v>
      </c>
      <c r="AI182" s="286" t="n">
        <f aca="false">IFERROR(SUMIF($V$4:$AG$4, "SME", V182:AG182), "")</f>
        <v>0</v>
      </c>
      <c r="AJ182" s="286" t="n">
        <f aca="false">IFERROR(SUMIF($V$4:$AG$4, "De Minimis", V182:AG182), "")</f>
        <v>0</v>
      </c>
      <c r="AK182" s="287"/>
      <c r="AL182" s="288" t="str">
        <f aca="false">IF((SUM(I182:T182)&gt;1),"ERROR","")</f>
        <v/>
      </c>
    </row>
    <row r="183" customFormat="false" ht="15" hidden="false" customHeight="true" outlineLevel="0" collapsed="false">
      <c r="H183" s="350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3"/>
      <c r="V183" s="284" t="n">
        <f aca="false">IFERROR(I183*$E183, "")</f>
        <v>0</v>
      </c>
      <c r="W183" s="284" t="n">
        <f aca="false">IFERROR(J183*$E183, "")</f>
        <v>0</v>
      </c>
      <c r="X183" s="284" t="n">
        <f aca="false">IFERROR(K183*$E183, "")</f>
        <v>0</v>
      </c>
      <c r="Y183" s="284" t="n">
        <f aca="false">IFERROR(L183*$E183, "")</f>
        <v>0</v>
      </c>
      <c r="Z183" s="284" t="n">
        <f aca="false">IFERROR(M183*$E183, "")</f>
        <v>0</v>
      </c>
      <c r="AA183" s="284" t="n">
        <f aca="false">IFERROR(N183*$E183, "")</f>
        <v>0</v>
      </c>
      <c r="AB183" s="284" t="n">
        <f aca="false">IFERROR(O183*$E183, "")</f>
        <v>0</v>
      </c>
      <c r="AC183" s="284" t="n">
        <f aca="false">IFERROR(P183*$E183, "")</f>
        <v>0</v>
      </c>
      <c r="AD183" s="284" t="n">
        <f aca="false">IFERROR(Q183*$E183, "")</f>
        <v>0</v>
      </c>
      <c r="AE183" s="284" t="n">
        <f aca="false">IFERROR(R183*$E183, "")</f>
        <v>0</v>
      </c>
      <c r="AF183" s="284" t="n">
        <f aca="false">IFERROR(S183*$E183, "")</f>
        <v>0</v>
      </c>
      <c r="AG183" s="284" t="n">
        <f aca="false">IFERROR(T183*$E183, "")</f>
        <v>0</v>
      </c>
      <c r="AH183" s="286" t="n">
        <f aca="false">IFERROR(SUMIF($V$4:$AG$4, "RDEC", V183:AG183), "")</f>
        <v>0</v>
      </c>
      <c r="AI183" s="286" t="n">
        <f aca="false">IFERROR(SUMIF($V$4:$AG$4, "SME", V183:AG183), "")</f>
        <v>0</v>
      </c>
      <c r="AJ183" s="286" t="n">
        <f aca="false">IFERROR(SUMIF($V$4:$AG$4, "De Minimis", V183:AG183), "")</f>
        <v>0</v>
      </c>
      <c r="AK183" s="287"/>
      <c r="AL183" s="288" t="str">
        <f aca="false">IF((SUM(I183:T183)&gt;1),"ERROR","")</f>
        <v/>
      </c>
    </row>
    <row r="184" customFormat="false" ht="15" hidden="false" customHeight="true" outlineLevel="0" collapsed="false">
      <c r="H184" s="350"/>
      <c r="I184" s="282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3"/>
      <c r="V184" s="284" t="n">
        <f aca="false">IFERROR(I184*$E184, "")</f>
        <v>0</v>
      </c>
      <c r="W184" s="284" t="n">
        <f aca="false">IFERROR(J184*$E184, "")</f>
        <v>0</v>
      </c>
      <c r="X184" s="284" t="n">
        <f aca="false">IFERROR(K184*$E184, "")</f>
        <v>0</v>
      </c>
      <c r="Y184" s="284" t="n">
        <f aca="false">IFERROR(L184*$E184, "")</f>
        <v>0</v>
      </c>
      <c r="Z184" s="284" t="n">
        <f aca="false">IFERROR(M184*$E184, "")</f>
        <v>0</v>
      </c>
      <c r="AA184" s="284" t="n">
        <f aca="false">IFERROR(N184*$E184, "")</f>
        <v>0</v>
      </c>
      <c r="AB184" s="284" t="n">
        <f aca="false">IFERROR(O184*$E184, "")</f>
        <v>0</v>
      </c>
      <c r="AC184" s="284" t="n">
        <f aca="false">IFERROR(P184*$E184, "")</f>
        <v>0</v>
      </c>
      <c r="AD184" s="284" t="n">
        <f aca="false">IFERROR(Q184*$E184, "")</f>
        <v>0</v>
      </c>
      <c r="AE184" s="284" t="n">
        <f aca="false">IFERROR(R184*$E184, "")</f>
        <v>0</v>
      </c>
      <c r="AF184" s="284" t="n">
        <f aca="false">IFERROR(S184*$E184, "")</f>
        <v>0</v>
      </c>
      <c r="AG184" s="284" t="n">
        <f aca="false">IFERROR(T184*$E184, "")</f>
        <v>0</v>
      </c>
      <c r="AH184" s="286" t="n">
        <f aca="false">IFERROR(SUMIF($V$4:$AG$4, "RDEC", V184:AG184), "")</f>
        <v>0</v>
      </c>
      <c r="AI184" s="286" t="n">
        <f aca="false">IFERROR(SUMIF($V$4:$AG$4, "SME", V184:AG184), "")</f>
        <v>0</v>
      </c>
      <c r="AJ184" s="286" t="n">
        <f aca="false">IFERROR(SUMIF($V$4:$AG$4, "De Minimis", V184:AG184), "")</f>
        <v>0</v>
      </c>
      <c r="AK184" s="303"/>
      <c r="AL184" s="288" t="str">
        <f aca="false">IF((SUM(I184:T184)&gt;1),"ERROR","")</f>
        <v/>
      </c>
    </row>
    <row r="185" customFormat="false" ht="15" hidden="false" customHeight="true" outlineLevel="0" collapsed="false">
      <c r="H185" s="350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3"/>
      <c r="V185" s="284" t="n">
        <f aca="false">IFERROR(I185*$E185, "")</f>
        <v>0</v>
      </c>
      <c r="W185" s="284" t="n">
        <f aca="false">IFERROR(J185*$E185, "")</f>
        <v>0</v>
      </c>
      <c r="X185" s="284" t="n">
        <f aca="false">IFERROR(K185*$E185, "")</f>
        <v>0</v>
      </c>
      <c r="Y185" s="284" t="n">
        <f aca="false">IFERROR(L185*$E185, "")</f>
        <v>0</v>
      </c>
      <c r="Z185" s="284" t="n">
        <f aca="false">IFERROR(M185*$E185, "")</f>
        <v>0</v>
      </c>
      <c r="AA185" s="284" t="n">
        <f aca="false">IFERROR(N185*$E185, "")</f>
        <v>0</v>
      </c>
      <c r="AB185" s="284" t="n">
        <f aca="false">IFERROR(O185*$E185, "")</f>
        <v>0</v>
      </c>
      <c r="AC185" s="284" t="n">
        <f aca="false">IFERROR(P185*$E185, "")</f>
        <v>0</v>
      </c>
      <c r="AD185" s="284" t="n">
        <f aca="false">IFERROR(Q185*$E185, "")</f>
        <v>0</v>
      </c>
      <c r="AE185" s="284" t="n">
        <f aca="false">IFERROR(R185*$E185, "")</f>
        <v>0</v>
      </c>
      <c r="AF185" s="284" t="n">
        <f aca="false">IFERROR(S185*$E185, "")</f>
        <v>0</v>
      </c>
      <c r="AG185" s="284" t="n">
        <f aca="false">IFERROR(T185*$E185, "")</f>
        <v>0</v>
      </c>
      <c r="AH185" s="286" t="n">
        <f aca="false">IFERROR(SUMIF($V$4:$AG$4, "RDEC", V185:AG185), "")</f>
        <v>0</v>
      </c>
      <c r="AI185" s="286" t="n">
        <f aca="false">IFERROR(SUMIF($V$4:$AG$4, "SME", V185:AG185), "")</f>
        <v>0</v>
      </c>
      <c r="AJ185" s="286" t="n">
        <f aca="false">IFERROR(SUMIF($V$4:$AG$4, "De Minimis", V185:AG185), "")</f>
        <v>0</v>
      </c>
      <c r="AL185" s="288" t="str">
        <f aca="false">IF((SUM(I185:T185)&gt;1),"ERROR","")</f>
        <v/>
      </c>
    </row>
    <row r="186" customFormat="false" ht="15" hidden="false" customHeight="true" outlineLevel="0" collapsed="false">
      <c r="H186" s="350"/>
      <c r="I186" s="282"/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3"/>
      <c r="V186" s="284" t="n">
        <f aca="false">IFERROR(I186*$E186, "")</f>
        <v>0</v>
      </c>
      <c r="W186" s="284" t="n">
        <f aca="false">IFERROR(J186*$E186, "")</f>
        <v>0</v>
      </c>
      <c r="X186" s="284" t="n">
        <f aca="false">IFERROR(K186*$E186, "")</f>
        <v>0</v>
      </c>
      <c r="Y186" s="284" t="n">
        <f aca="false">IFERROR(L186*$E186, "")</f>
        <v>0</v>
      </c>
      <c r="Z186" s="284" t="n">
        <f aca="false">IFERROR(M186*$E186, "")</f>
        <v>0</v>
      </c>
      <c r="AA186" s="284" t="n">
        <f aca="false">IFERROR(N186*$E186, "")</f>
        <v>0</v>
      </c>
      <c r="AB186" s="284" t="n">
        <f aca="false">IFERROR(O186*$E186, "")</f>
        <v>0</v>
      </c>
      <c r="AC186" s="284" t="n">
        <f aca="false">IFERROR(P186*$E186, "")</f>
        <v>0</v>
      </c>
      <c r="AD186" s="284" t="n">
        <f aca="false">IFERROR(Q186*$E186, "")</f>
        <v>0</v>
      </c>
      <c r="AE186" s="284" t="n">
        <f aca="false">IFERROR(R186*$E186, "")</f>
        <v>0</v>
      </c>
      <c r="AF186" s="284" t="n">
        <f aca="false">IFERROR(S186*$E186, "")</f>
        <v>0</v>
      </c>
      <c r="AG186" s="284" t="n">
        <f aca="false">IFERROR(T186*$E186, "")</f>
        <v>0</v>
      </c>
      <c r="AH186" s="286" t="n">
        <f aca="false">IFERROR(SUMIF($V$4:$AG$4, "RDEC", V186:AG186), "")</f>
        <v>0</v>
      </c>
      <c r="AI186" s="286" t="n">
        <f aca="false">IFERROR(SUMIF($V$4:$AG$4, "SME", V186:AG186), "")</f>
        <v>0</v>
      </c>
      <c r="AJ186" s="286" t="n">
        <f aca="false">IFERROR(SUMIF($V$4:$AG$4, "De Minimis", V186:AG186), "")</f>
        <v>0</v>
      </c>
      <c r="AK186" s="268"/>
      <c r="AL186" s="288" t="str">
        <f aca="false">IF((SUM(I186:T186)&gt;1),"ERROR","")</f>
        <v/>
      </c>
    </row>
    <row r="187" customFormat="false" ht="15" hidden="false" customHeight="true" outlineLevel="0" collapsed="false">
      <c r="H187" s="350"/>
      <c r="I187" s="282"/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3"/>
      <c r="V187" s="284" t="n">
        <f aca="false">IFERROR(I187*$E187, "")</f>
        <v>0</v>
      </c>
      <c r="W187" s="284" t="n">
        <f aca="false">IFERROR(J187*$E187, "")</f>
        <v>0</v>
      </c>
      <c r="X187" s="284" t="n">
        <f aca="false">IFERROR(K187*$E187, "")</f>
        <v>0</v>
      </c>
      <c r="Y187" s="284" t="n">
        <f aca="false">IFERROR(L187*$E187, "")</f>
        <v>0</v>
      </c>
      <c r="Z187" s="284" t="n">
        <f aca="false">IFERROR(M187*$E187, "")</f>
        <v>0</v>
      </c>
      <c r="AA187" s="284" t="n">
        <f aca="false">IFERROR(N187*$E187, "")</f>
        <v>0</v>
      </c>
      <c r="AB187" s="284" t="n">
        <f aca="false">IFERROR(O187*$E187, "")</f>
        <v>0</v>
      </c>
      <c r="AC187" s="284" t="n">
        <f aca="false">IFERROR(P187*$E187, "")</f>
        <v>0</v>
      </c>
      <c r="AD187" s="284" t="n">
        <f aca="false">IFERROR(Q187*$E187, "")</f>
        <v>0</v>
      </c>
      <c r="AE187" s="284" t="n">
        <f aca="false">IFERROR(R187*$E187, "")</f>
        <v>0</v>
      </c>
      <c r="AF187" s="284" t="n">
        <f aca="false">IFERROR(S187*$E187, "")</f>
        <v>0</v>
      </c>
      <c r="AG187" s="284" t="n">
        <f aca="false">IFERROR(T187*$E187, "")</f>
        <v>0</v>
      </c>
      <c r="AH187" s="286" t="n">
        <f aca="false">IFERROR(SUMIF($V$4:$AG$4, "RDEC", V187:AG187), "")</f>
        <v>0</v>
      </c>
      <c r="AI187" s="286" t="n">
        <f aca="false">IFERROR(SUMIF($V$4:$AG$4, "SME", V187:AG187), "")</f>
        <v>0</v>
      </c>
      <c r="AJ187" s="286" t="n">
        <f aca="false">IFERROR(SUMIF($V$4:$AG$4, "De Minimis", V187:AG187), "")</f>
        <v>0</v>
      </c>
      <c r="AK187" s="287"/>
      <c r="AL187" s="288" t="str">
        <f aca="false">IF((SUM(I187:T187)&gt;1),"ERROR","")</f>
        <v/>
      </c>
    </row>
    <row r="188" customFormat="false" ht="15" hidden="false" customHeight="true" outlineLevel="0" collapsed="false">
      <c r="H188" s="350"/>
      <c r="I188" s="282"/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3"/>
      <c r="V188" s="284" t="n">
        <f aca="false">IFERROR(I188*$E188, "")</f>
        <v>0</v>
      </c>
      <c r="W188" s="284" t="n">
        <f aca="false">IFERROR(J188*$E188, "")</f>
        <v>0</v>
      </c>
      <c r="X188" s="284" t="n">
        <f aca="false">IFERROR(K188*$E188, "")</f>
        <v>0</v>
      </c>
      <c r="Y188" s="284" t="n">
        <f aca="false">IFERROR(L188*$E188, "")</f>
        <v>0</v>
      </c>
      <c r="Z188" s="284" t="n">
        <f aca="false">IFERROR(M188*$E188, "")</f>
        <v>0</v>
      </c>
      <c r="AA188" s="284" t="n">
        <f aca="false">IFERROR(N188*$E188, "")</f>
        <v>0</v>
      </c>
      <c r="AB188" s="284" t="n">
        <f aca="false">IFERROR(O188*$E188, "")</f>
        <v>0</v>
      </c>
      <c r="AC188" s="284" t="n">
        <f aca="false">IFERROR(P188*$E188, "")</f>
        <v>0</v>
      </c>
      <c r="AD188" s="284" t="n">
        <f aca="false">IFERROR(Q188*$E188, "")</f>
        <v>0</v>
      </c>
      <c r="AE188" s="284" t="n">
        <f aca="false">IFERROR(R188*$E188, "")</f>
        <v>0</v>
      </c>
      <c r="AF188" s="284" t="n">
        <f aca="false">IFERROR(S188*$E188, "")</f>
        <v>0</v>
      </c>
      <c r="AG188" s="284" t="n">
        <f aca="false">IFERROR(T188*$E188, "")</f>
        <v>0</v>
      </c>
      <c r="AH188" s="286" t="n">
        <f aca="false">IFERROR(SUMIF($V$4:$AG$4, "RDEC", V188:AG188), "")</f>
        <v>0</v>
      </c>
      <c r="AI188" s="286" t="n">
        <f aca="false">IFERROR(SUMIF($V$4:$AG$4, "SME", V188:AG188), "")</f>
        <v>0</v>
      </c>
      <c r="AJ188" s="286" t="n">
        <f aca="false">IFERROR(SUMIF($V$4:$AG$4, "De Minimis", V188:AG188), "")</f>
        <v>0</v>
      </c>
      <c r="AK188" s="287"/>
      <c r="AL188" s="288" t="str">
        <f aca="false">IF((SUM(I188:T188)&gt;1),"ERROR","")</f>
        <v/>
      </c>
    </row>
    <row r="189" customFormat="false" ht="15" hidden="false" customHeight="true" outlineLevel="0" collapsed="false">
      <c r="H189" s="350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3"/>
      <c r="V189" s="284" t="n">
        <f aca="false">IFERROR(I189*$E189, "")</f>
        <v>0</v>
      </c>
      <c r="W189" s="284" t="n">
        <f aca="false">IFERROR(J189*$E189, "")</f>
        <v>0</v>
      </c>
      <c r="X189" s="284" t="n">
        <f aca="false">IFERROR(K189*$E189, "")</f>
        <v>0</v>
      </c>
      <c r="Y189" s="284" t="n">
        <f aca="false">IFERROR(L189*$E189, "")</f>
        <v>0</v>
      </c>
      <c r="Z189" s="284" t="n">
        <f aca="false">IFERROR(M189*$E189, "")</f>
        <v>0</v>
      </c>
      <c r="AA189" s="284" t="n">
        <f aca="false">IFERROR(N189*$E189, "")</f>
        <v>0</v>
      </c>
      <c r="AB189" s="284" t="n">
        <f aca="false">IFERROR(O189*$E189, "")</f>
        <v>0</v>
      </c>
      <c r="AC189" s="284" t="n">
        <f aca="false">IFERROR(P189*$E189, "")</f>
        <v>0</v>
      </c>
      <c r="AD189" s="284" t="n">
        <f aca="false">IFERROR(Q189*$E189, "")</f>
        <v>0</v>
      </c>
      <c r="AE189" s="284" t="n">
        <f aca="false">IFERROR(R189*$E189, "")</f>
        <v>0</v>
      </c>
      <c r="AF189" s="284" t="n">
        <f aca="false">IFERROR(S189*$E189, "")</f>
        <v>0</v>
      </c>
      <c r="AG189" s="284" t="n">
        <f aca="false">IFERROR(T189*$E189, "")</f>
        <v>0</v>
      </c>
      <c r="AH189" s="286" t="n">
        <f aca="false">IFERROR(SUMIF($V$4:$AG$4, "RDEC", V189:AG189), "")</f>
        <v>0</v>
      </c>
      <c r="AI189" s="286" t="n">
        <f aca="false">IFERROR(SUMIF($V$4:$AG$4, "SME", V189:AG189), "")</f>
        <v>0</v>
      </c>
      <c r="AJ189" s="286" t="n">
        <f aca="false">IFERROR(SUMIF($V$4:$AG$4, "De Minimis", V189:AG189), "")</f>
        <v>0</v>
      </c>
      <c r="AK189" s="287"/>
      <c r="AL189" s="288" t="str">
        <f aca="false">IF((SUM(I189:T189)&gt;1),"ERROR","")</f>
        <v/>
      </c>
    </row>
    <row r="190" customFormat="false" ht="15" hidden="false" customHeight="true" outlineLevel="0" collapsed="false">
      <c r="H190" s="350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3"/>
      <c r="V190" s="284" t="n">
        <f aca="false">IFERROR(I190*$E190, "")</f>
        <v>0</v>
      </c>
      <c r="W190" s="284" t="n">
        <f aca="false">IFERROR(J190*$E190, "")</f>
        <v>0</v>
      </c>
      <c r="X190" s="284" t="n">
        <f aca="false">IFERROR(K190*$E190, "")</f>
        <v>0</v>
      </c>
      <c r="Y190" s="284" t="n">
        <f aca="false">IFERROR(L190*$E190, "")</f>
        <v>0</v>
      </c>
      <c r="Z190" s="284" t="n">
        <f aca="false">IFERROR(M190*$E190, "")</f>
        <v>0</v>
      </c>
      <c r="AA190" s="284" t="n">
        <f aca="false">IFERROR(N190*$E190, "")</f>
        <v>0</v>
      </c>
      <c r="AB190" s="284" t="n">
        <f aca="false">IFERROR(O190*$E190, "")</f>
        <v>0</v>
      </c>
      <c r="AC190" s="284" t="n">
        <f aca="false">IFERROR(P190*$E190, "")</f>
        <v>0</v>
      </c>
      <c r="AD190" s="284" t="n">
        <f aca="false">IFERROR(Q190*$E190, "")</f>
        <v>0</v>
      </c>
      <c r="AE190" s="284" t="n">
        <f aca="false">IFERROR(R190*$E190, "")</f>
        <v>0</v>
      </c>
      <c r="AF190" s="284" t="n">
        <f aca="false">IFERROR(S190*$E190, "")</f>
        <v>0</v>
      </c>
      <c r="AG190" s="284" t="n">
        <f aca="false">IFERROR(T190*$E190, "")</f>
        <v>0</v>
      </c>
      <c r="AH190" s="286" t="n">
        <f aca="false">IFERROR(SUMIF($V$4:$AG$4, "RDEC", V190:AG190), "")</f>
        <v>0</v>
      </c>
      <c r="AI190" s="286" t="n">
        <f aca="false">IFERROR(SUMIF($V$4:$AG$4, "SME", V190:AG190), "")</f>
        <v>0</v>
      </c>
      <c r="AJ190" s="286" t="n">
        <f aca="false">IFERROR(SUMIF($V$4:$AG$4, "De Minimis", V190:AG190), "")</f>
        <v>0</v>
      </c>
      <c r="AK190" s="287"/>
      <c r="AL190" s="288" t="str">
        <f aca="false">IF((SUM(I190:T190)&gt;1),"ERROR","")</f>
        <v/>
      </c>
    </row>
    <row r="191" customFormat="false" ht="15" hidden="false" customHeight="true" outlineLevel="0" collapsed="false">
      <c r="H191" s="350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3"/>
      <c r="V191" s="284" t="n">
        <f aca="false">IFERROR(I191*$E191, "")</f>
        <v>0</v>
      </c>
      <c r="W191" s="284" t="n">
        <f aca="false">IFERROR(J191*$E191, "")</f>
        <v>0</v>
      </c>
      <c r="X191" s="284" t="n">
        <f aca="false">IFERROR(K191*$E191, "")</f>
        <v>0</v>
      </c>
      <c r="Y191" s="284" t="n">
        <f aca="false">IFERROR(L191*$E191, "")</f>
        <v>0</v>
      </c>
      <c r="Z191" s="284" t="n">
        <f aca="false">IFERROR(M191*$E191, "")</f>
        <v>0</v>
      </c>
      <c r="AA191" s="284" t="n">
        <f aca="false">IFERROR(N191*$E191, "")</f>
        <v>0</v>
      </c>
      <c r="AB191" s="284" t="n">
        <f aca="false">IFERROR(O191*$E191, "")</f>
        <v>0</v>
      </c>
      <c r="AC191" s="284" t="n">
        <f aca="false">IFERROR(P191*$E191, "")</f>
        <v>0</v>
      </c>
      <c r="AD191" s="284" t="n">
        <f aca="false">IFERROR(Q191*$E191, "")</f>
        <v>0</v>
      </c>
      <c r="AE191" s="284" t="n">
        <f aca="false">IFERROR(R191*$E191, "")</f>
        <v>0</v>
      </c>
      <c r="AF191" s="284" t="n">
        <f aca="false">IFERROR(S191*$E191, "")</f>
        <v>0</v>
      </c>
      <c r="AG191" s="284" t="n">
        <f aca="false">IFERROR(T191*$E191, "")</f>
        <v>0</v>
      </c>
      <c r="AH191" s="286" t="n">
        <f aca="false">IFERROR(SUMIF($V$4:$AG$4, "RDEC", V191:AG191), "")</f>
        <v>0</v>
      </c>
      <c r="AI191" s="286" t="n">
        <f aca="false">IFERROR(SUMIF($V$4:$AG$4, "SME", V191:AG191), "")</f>
        <v>0</v>
      </c>
      <c r="AJ191" s="286" t="n">
        <f aca="false">IFERROR(SUMIF($V$4:$AG$4, "De Minimis", V191:AG191), "")</f>
        <v>0</v>
      </c>
      <c r="AK191" s="287"/>
      <c r="AL191" s="288" t="str">
        <f aca="false">IF((SUM(I191:T191)&gt;1),"ERROR","")</f>
        <v/>
      </c>
    </row>
    <row r="192" customFormat="false" ht="15" hidden="false" customHeight="true" outlineLevel="0" collapsed="false">
      <c r="H192" s="350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3"/>
      <c r="V192" s="284" t="n">
        <f aca="false">IFERROR(I192*$E192, "")</f>
        <v>0</v>
      </c>
      <c r="W192" s="284" t="n">
        <f aca="false">IFERROR(J192*$E192, "")</f>
        <v>0</v>
      </c>
      <c r="X192" s="284" t="n">
        <f aca="false">IFERROR(K192*$E192, "")</f>
        <v>0</v>
      </c>
      <c r="Y192" s="284" t="n">
        <f aca="false">IFERROR(L192*$E192, "")</f>
        <v>0</v>
      </c>
      <c r="Z192" s="284" t="n">
        <f aca="false">IFERROR(M192*$E192, "")</f>
        <v>0</v>
      </c>
      <c r="AA192" s="284" t="n">
        <f aca="false">IFERROR(N192*$E192, "")</f>
        <v>0</v>
      </c>
      <c r="AB192" s="284" t="n">
        <f aca="false">IFERROR(O192*$E192, "")</f>
        <v>0</v>
      </c>
      <c r="AC192" s="284" t="n">
        <f aca="false">IFERROR(P192*$E192, "")</f>
        <v>0</v>
      </c>
      <c r="AD192" s="284" t="n">
        <f aca="false">IFERROR(Q192*$E192, "")</f>
        <v>0</v>
      </c>
      <c r="AE192" s="284" t="n">
        <f aca="false">IFERROR(R192*$E192, "")</f>
        <v>0</v>
      </c>
      <c r="AF192" s="284" t="n">
        <f aca="false">IFERROR(S192*$E192, "")</f>
        <v>0</v>
      </c>
      <c r="AG192" s="284" t="n">
        <f aca="false">IFERROR(T192*$E192, "")</f>
        <v>0</v>
      </c>
      <c r="AH192" s="286" t="n">
        <f aca="false">IFERROR(SUMIF($V$4:$AG$4, "RDEC", V192:AG192), "")</f>
        <v>0</v>
      </c>
      <c r="AI192" s="286" t="n">
        <f aca="false">IFERROR(SUMIF($V$4:$AG$4, "SME", V192:AG192), "")</f>
        <v>0</v>
      </c>
      <c r="AJ192" s="286" t="n">
        <f aca="false">IFERROR(SUMIF($V$4:$AG$4, "De Minimis", V192:AG192), "")</f>
        <v>0</v>
      </c>
      <c r="AK192" s="287"/>
      <c r="AL192" s="288" t="str">
        <f aca="false">IF((SUM(I192:T192)&gt;1),"ERROR","")</f>
        <v/>
      </c>
    </row>
    <row r="193" customFormat="false" ht="15" hidden="false" customHeight="true" outlineLevel="0" collapsed="false">
      <c r="H193" s="350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3"/>
      <c r="V193" s="284" t="n">
        <f aca="false">IFERROR(I193*$E193, "")</f>
        <v>0</v>
      </c>
      <c r="W193" s="284" t="n">
        <f aca="false">IFERROR(J193*$E193, "")</f>
        <v>0</v>
      </c>
      <c r="X193" s="284" t="n">
        <f aca="false">IFERROR(K193*$E193, "")</f>
        <v>0</v>
      </c>
      <c r="Y193" s="284" t="n">
        <f aca="false">IFERROR(L193*$E193, "")</f>
        <v>0</v>
      </c>
      <c r="Z193" s="284" t="n">
        <f aca="false">IFERROR(M193*$E193, "")</f>
        <v>0</v>
      </c>
      <c r="AA193" s="284" t="n">
        <f aca="false">IFERROR(N193*$E193, "")</f>
        <v>0</v>
      </c>
      <c r="AB193" s="284" t="n">
        <f aca="false">IFERROR(O193*$E193, "")</f>
        <v>0</v>
      </c>
      <c r="AC193" s="284" t="n">
        <f aca="false">IFERROR(P193*$E193, "")</f>
        <v>0</v>
      </c>
      <c r="AD193" s="284" t="n">
        <f aca="false">IFERROR(Q193*$E193, "")</f>
        <v>0</v>
      </c>
      <c r="AE193" s="284" t="n">
        <f aca="false">IFERROR(R193*$E193, "")</f>
        <v>0</v>
      </c>
      <c r="AF193" s="284" t="n">
        <f aca="false">IFERROR(S193*$E193, "")</f>
        <v>0</v>
      </c>
      <c r="AG193" s="284" t="n">
        <f aca="false">IFERROR(T193*$E193, "")</f>
        <v>0</v>
      </c>
      <c r="AH193" s="286" t="n">
        <f aca="false">IFERROR(SUMIF($V$4:$AG$4, "RDEC", V193:AG193), "")</f>
        <v>0</v>
      </c>
      <c r="AI193" s="286" t="n">
        <f aca="false">IFERROR(SUMIF($V$4:$AG$4, "SME", V193:AG193), "")</f>
        <v>0</v>
      </c>
      <c r="AJ193" s="286" t="n">
        <f aca="false">IFERROR(SUMIF($V$4:$AG$4, "De Minimis", V193:AG193), "")</f>
        <v>0</v>
      </c>
      <c r="AK193" s="287"/>
      <c r="AL193" s="288" t="str">
        <f aca="false">IF((SUM(I193:T193)&gt;1),"ERROR","")</f>
        <v/>
      </c>
    </row>
    <row r="194" customFormat="false" ht="15" hidden="false" customHeight="true" outlineLevel="0" collapsed="false">
      <c r="H194" s="350"/>
      <c r="I194" s="282"/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3"/>
      <c r="V194" s="284" t="n">
        <f aca="false">IFERROR(I194*$E194, "")</f>
        <v>0</v>
      </c>
      <c r="W194" s="284" t="n">
        <f aca="false">IFERROR(J194*$E194, "")</f>
        <v>0</v>
      </c>
      <c r="X194" s="284" t="n">
        <f aca="false">IFERROR(K194*$E194, "")</f>
        <v>0</v>
      </c>
      <c r="Y194" s="284" t="n">
        <f aca="false">IFERROR(L194*$E194, "")</f>
        <v>0</v>
      </c>
      <c r="Z194" s="284" t="n">
        <f aca="false">IFERROR(M194*$E194, "")</f>
        <v>0</v>
      </c>
      <c r="AA194" s="284" t="n">
        <f aca="false">IFERROR(N194*$E194, "")</f>
        <v>0</v>
      </c>
      <c r="AB194" s="284" t="n">
        <f aca="false">IFERROR(O194*$E194, "")</f>
        <v>0</v>
      </c>
      <c r="AC194" s="284" t="n">
        <f aca="false">IFERROR(P194*$E194, "")</f>
        <v>0</v>
      </c>
      <c r="AD194" s="284" t="n">
        <f aca="false">IFERROR(Q194*$E194, "")</f>
        <v>0</v>
      </c>
      <c r="AE194" s="284" t="n">
        <f aca="false">IFERROR(R194*$E194, "")</f>
        <v>0</v>
      </c>
      <c r="AF194" s="284" t="n">
        <f aca="false">IFERROR(S194*$E194, "")</f>
        <v>0</v>
      </c>
      <c r="AG194" s="284" t="n">
        <f aca="false">IFERROR(T194*$E194, "")</f>
        <v>0</v>
      </c>
      <c r="AH194" s="286" t="n">
        <f aca="false">IFERROR(SUMIF($V$4:$AG$4, "RDEC", V194:AG194), "")</f>
        <v>0</v>
      </c>
      <c r="AI194" s="286" t="n">
        <f aca="false">IFERROR(SUMIF($V$4:$AG$4, "SME", V194:AG194), "")</f>
        <v>0</v>
      </c>
      <c r="AJ194" s="286" t="n">
        <f aca="false">IFERROR(SUMIF($V$4:$AG$4, "De Minimis", V194:AG194), "")</f>
        <v>0</v>
      </c>
      <c r="AK194" s="287"/>
      <c r="AL194" s="288" t="str">
        <f aca="false">IF((SUM(I194:T194)&gt;1),"ERROR","")</f>
        <v/>
      </c>
    </row>
    <row r="195" customFormat="false" ht="15" hidden="false" customHeight="true" outlineLevel="0" collapsed="false">
      <c r="H195" s="350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3"/>
      <c r="V195" s="284" t="n">
        <f aca="false">IFERROR(I195*$E195, "")</f>
        <v>0</v>
      </c>
      <c r="W195" s="284" t="n">
        <f aca="false">IFERROR(J195*$E195, "")</f>
        <v>0</v>
      </c>
      <c r="X195" s="284" t="n">
        <f aca="false">IFERROR(K195*$E195, "")</f>
        <v>0</v>
      </c>
      <c r="Y195" s="284" t="n">
        <f aca="false">IFERROR(L195*$E195, "")</f>
        <v>0</v>
      </c>
      <c r="Z195" s="284" t="n">
        <f aca="false">IFERROR(M195*$E195, "")</f>
        <v>0</v>
      </c>
      <c r="AA195" s="284" t="n">
        <f aca="false">IFERROR(N195*$E195, "")</f>
        <v>0</v>
      </c>
      <c r="AB195" s="284" t="n">
        <f aca="false">IFERROR(O195*$E195, "")</f>
        <v>0</v>
      </c>
      <c r="AC195" s="284" t="n">
        <f aca="false">IFERROR(P195*$E195, "")</f>
        <v>0</v>
      </c>
      <c r="AD195" s="284" t="n">
        <f aca="false">IFERROR(Q195*$E195, "")</f>
        <v>0</v>
      </c>
      <c r="AE195" s="284" t="n">
        <f aca="false">IFERROR(R195*$E195, "")</f>
        <v>0</v>
      </c>
      <c r="AF195" s="284" t="n">
        <f aca="false">IFERROR(S195*$E195, "")</f>
        <v>0</v>
      </c>
      <c r="AG195" s="284" t="n">
        <f aca="false">IFERROR(T195*$E195, "")</f>
        <v>0</v>
      </c>
      <c r="AH195" s="286" t="n">
        <f aca="false">IFERROR(SUMIF($V$4:$AG$4, "RDEC", V195:AG195), "")</f>
        <v>0</v>
      </c>
      <c r="AI195" s="286" t="n">
        <f aca="false">IFERROR(SUMIF($V$4:$AG$4, "SME", V195:AG195), "")</f>
        <v>0</v>
      </c>
      <c r="AJ195" s="286" t="n">
        <f aca="false">IFERROR(SUMIF($V$4:$AG$4, "De Minimis", V195:AG195), "")</f>
        <v>0</v>
      </c>
      <c r="AK195" s="287"/>
      <c r="AL195" s="288" t="str">
        <f aca="false">IF((SUM(I195:T195)&gt;1),"ERROR","")</f>
        <v/>
      </c>
    </row>
    <row r="196" customFormat="false" ht="15" hidden="false" customHeight="true" outlineLevel="0" collapsed="false">
      <c r="H196" s="350"/>
      <c r="I196" s="282"/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3"/>
      <c r="V196" s="284" t="n">
        <f aca="false">IFERROR(I196*$E196, "")</f>
        <v>0</v>
      </c>
      <c r="W196" s="284" t="n">
        <f aca="false">IFERROR(J196*$E196, "")</f>
        <v>0</v>
      </c>
      <c r="X196" s="284" t="n">
        <f aca="false">IFERROR(K196*$E196, "")</f>
        <v>0</v>
      </c>
      <c r="Y196" s="284" t="n">
        <f aca="false">IFERROR(L196*$E196, "")</f>
        <v>0</v>
      </c>
      <c r="Z196" s="284" t="n">
        <f aca="false">IFERROR(M196*$E196, "")</f>
        <v>0</v>
      </c>
      <c r="AA196" s="284" t="n">
        <f aca="false">IFERROR(N196*$E196, "")</f>
        <v>0</v>
      </c>
      <c r="AB196" s="284" t="n">
        <f aca="false">IFERROR(O196*$E196, "")</f>
        <v>0</v>
      </c>
      <c r="AC196" s="284" t="n">
        <f aca="false">IFERROR(P196*$E196, "")</f>
        <v>0</v>
      </c>
      <c r="AD196" s="284" t="n">
        <f aca="false">IFERROR(Q196*$E196, "")</f>
        <v>0</v>
      </c>
      <c r="AE196" s="284" t="n">
        <f aca="false">IFERROR(R196*$E196, "")</f>
        <v>0</v>
      </c>
      <c r="AF196" s="284" t="n">
        <f aca="false">IFERROR(S196*$E196, "")</f>
        <v>0</v>
      </c>
      <c r="AG196" s="284" t="n">
        <f aca="false">IFERROR(T196*$E196, "")</f>
        <v>0</v>
      </c>
      <c r="AH196" s="286" t="n">
        <f aca="false">IFERROR(SUMIF($V$4:$AG$4, "RDEC", V196:AG196), "")</f>
        <v>0</v>
      </c>
      <c r="AI196" s="286" t="n">
        <f aca="false">IFERROR(SUMIF($V$4:$AG$4, "SME", V196:AG196), "")</f>
        <v>0</v>
      </c>
      <c r="AJ196" s="286" t="n">
        <f aca="false">IFERROR(SUMIF($V$4:$AG$4, "De Minimis", V196:AG196), "")</f>
        <v>0</v>
      </c>
      <c r="AK196" s="287"/>
      <c r="AL196" s="288" t="str">
        <f aca="false">IF((SUM(I196:T196)&gt;1),"ERROR","")</f>
        <v/>
      </c>
    </row>
    <row r="197" customFormat="false" ht="15" hidden="false" customHeight="true" outlineLevel="0" collapsed="false">
      <c r="H197" s="350"/>
      <c r="I197" s="282"/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3"/>
      <c r="V197" s="284" t="n">
        <f aca="false">IFERROR(I197*$E197, "")</f>
        <v>0</v>
      </c>
      <c r="W197" s="284" t="n">
        <f aca="false">IFERROR(J197*$E197, "")</f>
        <v>0</v>
      </c>
      <c r="X197" s="284" t="n">
        <f aca="false">IFERROR(K197*$E197, "")</f>
        <v>0</v>
      </c>
      <c r="Y197" s="284" t="n">
        <f aca="false">IFERROR(L197*$E197, "")</f>
        <v>0</v>
      </c>
      <c r="Z197" s="284" t="n">
        <f aca="false">IFERROR(M197*$E197, "")</f>
        <v>0</v>
      </c>
      <c r="AA197" s="284" t="n">
        <f aca="false">IFERROR(N197*$E197, "")</f>
        <v>0</v>
      </c>
      <c r="AB197" s="284" t="n">
        <f aca="false">IFERROR(O197*$E197, "")</f>
        <v>0</v>
      </c>
      <c r="AC197" s="284" t="n">
        <f aca="false">IFERROR(P197*$E197, "")</f>
        <v>0</v>
      </c>
      <c r="AD197" s="284" t="n">
        <f aca="false">IFERROR(Q197*$E197, "")</f>
        <v>0</v>
      </c>
      <c r="AE197" s="284" t="n">
        <f aca="false">IFERROR(R197*$E197, "")</f>
        <v>0</v>
      </c>
      <c r="AF197" s="284" t="n">
        <f aca="false">IFERROR(S197*$E197, "")</f>
        <v>0</v>
      </c>
      <c r="AG197" s="284" t="n">
        <f aca="false">IFERROR(T197*$E197, "")</f>
        <v>0</v>
      </c>
      <c r="AH197" s="286" t="n">
        <f aca="false">IFERROR(SUMIF($V$4:$AG$4, "RDEC", V197:AG197), "")</f>
        <v>0</v>
      </c>
      <c r="AI197" s="286" t="n">
        <f aca="false">IFERROR(SUMIF($V$4:$AG$4, "SME", V197:AG197), "")</f>
        <v>0</v>
      </c>
      <c r="AJ197" s="286" t="n">
        <f aca="false">IFERROR(SUMIF($V$4:$AG$4, "De Minimis", V197:AG197), "")</f>
        <v>0</v>
      </c>
      <c r="AK197" s="287"/>
      <c r="AL197" s="288" t="str">
        <f aca="false">IF((SUM(I197:T197)&gt;1),"ERROR","")</f>
        <v/>
      </c>
    </row>
    <row r="198" customFormat="false" ht="15" hidden="false" customHeight="true" outlineLevel="0" collapsed="false">
      <c r="H198" s="350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3"/>
      <c r="V198" s="284" t="n">
        <f aca="false">IFERROR(I198*$E198, "")</f>
        <v>0</v>
      </c>
      <c r="W198" s="284" t="n">
        <f aca="false">IFERROR(J198*$E198, "")</f>
        <v>0</v>
      </c>
      <c r="X198" s="284" t="n">
        <f aca="false">IFERROR(K198*$E198, "")</f>
        <v>0</v>
      </c>
      <c r="Y198" s="284" t="n">
        <f aca="false">IFERROR(L198*$E198, "")</f>
        <v>0</v>
      </c>
      <c r="Z198" s="284" t="n">
        <f aca="false">IFERROR(M198*$E198, "")</f>
        <v>0</v>
      </c>
      <c r="AA198" s="284" t="n">
        <f aca="false">IFERROR(N198*$E198, "")</f>
        <v>0</v>
      </c>
      <c r="AB198" s="284" t="n">
        <f aca="false">IFERROR(O198*$E198, "")</f>
        <v>0</v>
      </c>
      <c r="AC198" s="284" t="n">
        <f aca="false">IFERROR(P198*$E198, "")</f>
        <v>0</v>
      </c>
      <c r="AD198" s="284" t="n">
        <f aca="false">IFERROR(Q198*$E198, "")</f>
        <v>0</v>
      </c>
      <c r="AE198" s="284" t="n">
        <f aca="false">IFERROR(R198*$E198, "")</f>
        <v>0</v>
      </c>
      <c r="AF198" s="284" t="n">
        <f aca="false">IFERROR(S198*$E198, "")</f>
        <v>0</v>
      </c>
      <c r="AG198" s="284" t="n">
        <f aca="false">IFERROR(T198*$E198, "")</f>
        <v>0</v>
      </c>
      <c r="AH198" s="286" t="n">
        <f aca="false">IFERROR(SUMIF($V$4:$AG$4, "RDEC", V198:AG198), "")</f>
        <v>0</v>
      </c>
      <c r="AI198" s="286" t="n">
        <f aca="false">IFERROR(SUMIF($V$4:$AG$4, "SME", V198:AG198), "")</f>
        <v>0</v>
      </c>
      <c r="AJ198" s="286" t="n">
        <f aca="false">IFERROR(SUMIF($V$4:$AG$4, "De Minimis", V198:AG198), "")</f>
        <v>0</v>
      </c>
      <c r="AK198" s="287"/>
      <c r="AL198" s="288" t="str">
        <f aca="false">IF((SUM(I198:T198)&gt;1),"ERROR","")</f>
        <v/>
      </c>
    </row>
    <row r="199" customFormat="false" ht="15" hidden="false" customHeight="true" outlineLevel="0" collapsed="false">
      <c r="H199" s="350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3"/>
      <c r="V199" s="284" t="n">
        <f aca="false">IFERROR(I199*$E199, "")</f>
        <v>0</v>
      </c>
      <c r="W199" s="284" t="n">
        <f aca="false">IFERROR(J199*$E199, "")</f>
        <v>0</v>
      </c>
      <c r="X199" s="284" t="n">
        <f aca="false">IFERROR(K199*$E199, "")</f>
        <v>0</v>
      </c>
      <c r="Y199" s="284" t="n">
        <f aca="false">IFERROR(L199*$E199, "")</f>
        <v>0</v>
      </c>
      <c r="Z199" s="284" t="n">
        <f aca="false">IFERROR(M199*$E199, "")</f>
        <v>0</v>
      </c>
      <c r="AA199" s="284" t="n">
        <f aca="false">IFERROR(N199*$E199, "")</f>
        <v>0</v>
      </c>
      <c r="AB199" s="284" t="n">
        <f aca="false">IFERROR(O199*$E199, "")</f>
        <v>0</v>
      </c>
      <c r="AC199" s="284" t="n">
        <f aca="false">IFERROR(P199*$E199, "")</f>
        <v>0</v>
      </c>
      <c r="AD199" s="284" t="n">
        <f aca="false">IFERROR(Q199*$E199, "")</f>
        <v>0</v>
      </c>
      <c r="AE199" s="284" t="n">
        <f aca="false">IFERROR(R199*$E199, "")</f>
        <v>0</v>
      </c>
      <c r="AF199" s="284" t="n">
        <f aca="false">IFERROR(S199*$E199, "")</f>
        <v>0</v>
      </c>
      <c r="AG199" s="284" t="n">
        <f aca="false">IFERROR(T199*$E199, "")</f>
        <v>0</v>
      </c>
      <c r="AH199" s="286" t="n">
        <f aca="false">IFERROR(SUMIF($V$4:$AG$4, "RDEC", V199:AG199), "")</f>
        <v>0</v>
      </c>
      <c r="AI199" s="286" t="n">
        <f aca="false">IFERROR(SUMIF($V$4:$AG$4, "SME", V199:AG199), "")</f>
        <v>0</v>
      </c>
      <c r="AJ199" s="286" t="n">
        <f aca="false">IFERROR(SUMIF($V$4:$AG$4, "De Minimis", V199:AG199), "")</f>
        <v>0</v>
      </c>
      <c r="AK199" s="303"/>
      <c r="AL199" s="288" t="str">
        <f aca="false">IF((SUM(I199:T199)&gt;1),"ERROR","")</f>
        <v/>
      </c>
    </row>
    <row r="200" customFormat="false" ht="15" hidden="false" customHeight="true" outlineLevel="0" collapsed="false">
      <c r="H200" s="350"/>
      <c r="I200" s="282"/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3"/>
      <c r="V200" s="284" t="n">
        <f aca="false">IFERROR(I200*$E200, "")</f>
        <v>0</v>
      </c>
      <c r="W200" s="284" t="n">
        <f aca="false">IFERROR(J200*$E200, "")</f>
        <v>0</v>
      </c>
      <c r="X200" s="284" t="n">
        <f aca="false">IFERROR(K200*$E200, "")</f>
        <v>0</v>
      </c>
      <c r="Y200" s="284" t="n">
        <f aca="false">IFERROR(L200*$E200, "")</f>
        <v>0</v>
      </c>
      <c r="Z200" s="284" t="n">
        <f aca="false">IFERROR(M200*$E200, "")</f>
        <v>0</v>
      </c>
      <c r="AA200" s="284" t="n">
        <f aca="false">IFERROR(N200*$E200, "")</f>
        <v>0</v>
      </c>
      <c r="AB200" s="284" t="n">
        <f aca="false">IFERROR(O200*$E200, "")</f>
        <v>0</v>
      </c>
      <c r="AC200" s="284" t="n">
        <f aca="false">IFERROR(P200*$E200, "")</f>
        <v>0</v>
      </c>
      <c r="AD200" s="284" t="n">
        <f aca="false">IFERROR(Q200*$E200, "")</f>
        <v>0</v>
      </c>
      <c r="AE200" s="284" t="n">
        <f aca="false">IFERROR(R200*$E200, "")</f>
        <v>0</v>
      </c>
      <c r="AF200" s="284" t="n">
        <f aca="false">IFERROR(S200*$E200, "")</f>
        <v>0</v>
      </c>
      <c r="AG200" s="284" t="n">
        <f aca="false">IFERROR(T200*$E200, "")</f>
        <v>0</v>
      </c>
      <c r="AH200" s="286" t="n">
        <f aca="false">IFERROR(SUMIF($V$4:$AG$4, "RDEC", V200:AG200), "")</f>
        <v>0</v>
      </c>
      <c r="AI200" s="286" t="n">
        <f aca="false">IFERROR(SUMIF($V$4:$AG$4, "SME", V200:AG200), "")</f>
        <v>0</v>
      </c>
      <c r="AJ200" s="286" t="n">
        <f aca="false">IFERROR(SUMIF($V$4:$AG$4, "De Minimis", V200:AG200), "")</f>
        <v>0</v>
      </c>
      <c r="AL200" s="288" t="str">
        <f aca="false">IF((SUM(I200:T200)&gt;1),"ERROR","")</f>
        <v/>
      </c>
    </row>
    <row r="201" customFormat="false" ht="15" hidden="false" customHeight="true" outlineLevel="0" collapsed="false">
      <c r="H201" s="350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3"/>
      <c r="V201" s="284" t="n">
        <f aca="false">IFERROR(I201*$E201, "")</f>
        <v>0</v>
      </c>
      <c r="W201" s="284" t="n">
        <f aca="false">IFERROR(J201*$E201, "")</f>
        <v>0</v>
      </c>
      <c r="X201" s="284" t="n">
        <f aca="false">IFERROR(K201*$E201, "")</f>
        <v>0</v>
      </c>
      <c r="Y201" s="284" t="n">
        <f aca="false">IFERROR(L201*$E201, "")</f>
        <v>0</v>
      </c>
      <c r="Z201" s="284" t="n">
        <f aca="false">IFERROR(M201*$E201, "")</f>
        <v>0</v>
      </c>
      <c r="AA201" s="284" t="n">
        <f aca="false">IFERROR(N201*$E201, "")</f>
        <v>0</v>
      </c>
      <c r="AB201" s="284" t="n">
        <f aca="false">IFERROR(O201*$E201, "")</f>
        <v>0</v>
      </c>
      <c r="AC201" s="284" t="n">
        <f aca="false">IFERROR(P201*$E201, "")</f>
        <v>0</v>
      </c>
      <c r="AD201" s="284" t="n">
        <f aca="false">IFERROR(Q201*$E201, "")</f>
        <v>0</v>
      </c>
      <c r="AE201" s="284" t="n">
        <f aca="false">IFERROR(R201*$E201, "")</f>
        <v>0</v>
      </c>
      <c r="AF201" s="284" t="n">
        <f aca="false">IFERROR(S201*$E201, "")</f>
        <v>0</v>
      </c>
      <c r="AG201" s="284" t="n">
        <f aca="false">IFERROR(T201*$E201, "")</f>
        <v>0</v>
      </c>
      <c r="AH201" s="286" t="n">
        <f aca="false">IFERROR(SUMIF($V$4:$AG$4, "RDEC", V201:AG201), "")</f>
        <v>0</v>
      </c>
      <c r="AI201" s="286" t="n">
        <f aca="false">IFERROR(SUMIF($V$4:$AG$4, "SME", V201:AG201), "")</f>
        <v>0</v>
      </c>
      <c r="AJ201" s="286" t="n">
        <f aca="false">IFERROR(SUMIF($V$4:$AG$4, "De Minimis", V201:AG201), "")</f>
        <v>0</v>
      </c>
      <c r="AK201" s="268"/>
      <c r="AL201" s="288" t="str">
        <f aca="false">IF((SUM(I201:T201)&gt;1),"ERROR","")</f>
        <v/>
      </c>
    </row>
    <row r="202" customFormat="false" ht="15" hidden="false" customHeight="true" outlineLevel="0" collapsed="false">
      <c r="H202" s="350"/>
      <c r="I202" s="282"/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3"/>
      <c r="V202" s="284" t="n">
        <f aca="false">IFERROR(I202*$E202, "")</f>
        <v>0</v>
      </c>
      <c r="W202" s="284" t="n">
        <f aca="false">IFERROR(J202*$E202, "")</f>
        <v>0</v>
      </c>
      <c r="X202" s="284" t="n">
        <f aca="false">IFERROR(K202*$E202, "")</f>
        <v>0</v>
      </c>
      <c r="Y202" s="284" t="n">
        <f aca="false">IFERROR(L202*$E202, "")</f>
        <v>0</v>
      </c>
      <c r="Z202" s="284" t="n">
        <f aca="false">IFERROR(M202*$E202, "")</f>
        <v>0</v>
      </c>
      <c r="AA202" s="284" t="n">
        <f aca="false">IFERROR(N202*$E202, "")</f>
        <v>0</v>
      </c>
      <c r="AB202" s="284" t="n">
        <f aca="false">IFERROR(O202*$E202, "")</f>
        <v>0</v>
      </c>
      <c r="AC202" s="284" t="n">
        <f aca="false">IFERROR(P202*$E202, "")</f>
        <v>0</v>
      </c>
      <c r="AD202" s="284" t="n">
        <f aca="false">IFERROR(Q202*$E202, "")</f>
        <v>0</v>
      </c>
      <c r="AE202" s="284" t="n">
        <f aca="false">IFERROR(R202*$E202, "")</f>
        <v>0</v>
      </c>
      <c r="AF202" s="284" t="n">
        <f aca="false">IFERROR(S202*$E202, "")</f>
        <v>0</v>
      </c>
      <c r="AG202" s="284" t="n">
        <f aca="false">IFERROR(T202*$E202, "")</f>
        <v>0</v>
      </c>
      <c r="AH202" s="286" t="n">
        <f aca="false">IFERROR(SUMIF($V$4:$AG$4, "RDEC", V202:AG202), "")</f>
        <v>0</v>
      </c>
      <c r="AI202" s="286" t="n">
        <f aca="false">IFERROR(SUMIF($V$4:$AG$4, "SME", V202:AG202), "")</f>
        <v>0</v>
      </c>
      <c r="AJ202" s="286" t="n">
        <f aca="false">IFERROR(SUMIF($V$4:$AG$4, "De Minimis", V202:AG202), "")</f>
        <v>0</v>
      </c>
      <c r="AK202" s="287"/>
      <c r="AL202" s="288" t="str">
        <f aca="false">IF((SUM(I202:T202)&gt;1),"ERROR","")</f>
        <v/>
      </c>
    </row>
    <row r="203" customFormat="false" ht="15" hidden="false" customHeight="true" outlineLevel="0" collapsed="false">
      <c r="H203" s="350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3"/>
      <c r="V203" s="284" t="n">
        <f aca="false">IFERROR(I203*$E203, "")</f>
        <v>0</v>
      </c>
      <c r="W203" s="284" t="n">
        <f aca="false">IFERROR(J203*$E203, "")</f>
        <v>0</v>
      </c>
      <c r="X203" s="284" t="n">
        <f aca="false">IFERROR(K203*$E203, "")</f>
        <v>0</v>
      </c>
      <c r="Y203" s="284" t="n">
        <f aca="false">IFERROR(L203*$E203, "")</f>
        <v>0</v>
      </c>
      <c r="Z203" s="284" t="n">
        <f aca="false">IFERROR(M203*$E203, "")</f>
        <v>0</v>
      </c>
      <c r="AA203" s="284" t="n">
        <f aca="false">IFERROR(N203*$E203, "")</f>
        <v>0</v>
      </c>
      <c r="AB203" s="284" t="n">
        <f aca="false">IFERROR(O203*$E203, "")</f>
        <v>0</v>
      </c>
      <c r="AC203" s="284" t="n">
        <f aca="false">IFERROR(P203*$E203, "")</f>
        <v>0</v>
      </c>
      <c r="AD203" s="284" t="n">
        <f aca="false">IFERROR(Q203*$E203, "")</f>
        <v>0</v>
      </c>
      <c r="AE203" s="284" t="n">
        <f aca="false">IFERROR(R203*$E203, "")</f>
        <v>0</v>
      </c>
      <c r="AF203" s="284" t="n">
        <f aca="false">IFERROR(S203*$E203, "")</f>
        <v>0</v>
      </c>
      <c r="AG203" s="284" t="n">
        <f aca="false">IFERROR(T203*$E203, "")</f>
        <v>0</v>
      </c>
      <c r="AH203" s="286" t="n">
        <f aca="false">IFERROR(SUMIF($V$4:$AG$4, "RDEC", V203:AG203), "")</f>
        <v>0</v>
      </c>
      <c r="AI203" s="286" t="n">
        <f aca="false">IFERROR(SUMIF($V$4:$AG$4, "SME", V203:AG203), "")</f>
        <v>0</v>
      </c>
      <c r="AJ203" s="286" t="n">
        <f aca="false">IFERROR(SUMIF($V$4:$AG$4, "De Minimis", V203:AG203), "")</f>
        <v>0</v>
      </c>
      <c r="AK203" s="287"/>
      <c r="AL203" s="288" t="str">
        <f aca="false">IF((SUM(I203:T203)&gt;1),"ERROR","")</f>
        <v/>
      </c>
    </row>
    <row r="204" customFormat="false" ht="15" hidden="false" customHeight="true" outlineLevel="0" collapsed="false">
      <c r="H204" s="350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3"/>
      <c r="V204" s="284" t="n">
        <f aca="false">IFERROR(I204*$E204, "")</f>
        <v>0</v>
      </c>
      <c r="W204" s="284" t="n">
        <f aca="false">IFERROR(J204*$E204, "")</f>
        <v>0</v>
      </c>
      <c r="X204" s="284" t="n">
        <f aca="false">IFERROR(K204*$E204, "")</f>
        <v>0</v>
      </c>
      <c r="Y204" s="284" t="n">
        <f aca="false">IFERROR(L204*$E204, "")</f>
        <v>0</v>
      </c>
      <c r="Z204" s="284" t="n">
        <f aca="false">IFERROR(M204*$E204, "")</f>
        <v>0</v>
      </c>
      <c r="AA204" s="284" t="n">
        <f aca="false">IFERROR(N204*$E204, "")</f>
        <v>0</v>
      </c>
      <c r="AB204" s="284" t="n">
        <f aca="false">IFERROR(O204*$E204, "")</f>
        <v>0</v>
      </c>
      <c r="AC204" s="284" t="n">
        <f aca="false">IFERROR(P204*$E204, "")</f>
        <v>0</v>
      </c>
      <c r="AD204" s="284" t="n">
        <f aca="false">IFERROR(Q204*$E204, "")</f>
        <v>0</v>
      </c>
      <c r="AE204" s="284" t="n">
        <f aca="false">IFERROR(R204*$E204, "")</f>
        <v>0</v>
      </c>
      <c r="AF204" s="284" t="n">
        <f aca="false">IFERROR(S204*$E204, "")</f>
        <v>0</v>
      </c>
      <c r="AG204" s="284" t="n">
        <f aca="false">IFERROR(T204*$E204, "")</f>
        <v>0</v>
      </c>
      <c r="AH204" s="286" t="n">
        <f aca="false">IFERROR(SUMIF($V$4:$AG$4, "RDEC", V204:AG204), "")</f>
        <v>0</v>
      </c>
      <c r="AI204" s="286" t="n">
        <f aca="false">IFERROR(SUMIF($V$4:$AG$4, "SME", V204:AG204), "")</f>
        <v>0</v>
      </c>
      <c r="AJ204" s="286" t="n">
        <f aca="false">IFERROR(SUMIF($V$4:$AG$4, "De Minimis", V204:AG204), "")</f>
        <v>0</v>
      </c>
      <c r="AK204" s="287"/>
      <c r="AL204" s="288" t="str">
        <f aca="false">IF((SUM(I204:T204)&gt;1),"ERROR","")</f>
        <v/>
      </c>
    </row>
    <row r="205" customFormat="false" ht="15" hidden="false" customHeight="true" outlineLevel="0" collapsed="false">
      <c r="H205" s="350"/>
      <c r="I205" s="282"/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3"/>
      <c r="V205" s="284" t="n">
        <f aca="false">IFERROR(I205*$E205, "")</f>
        <v>0</v>
      </c>
      <c r="W205" s="284" t="n">
        <f aca="false">IFERROR(J205*$E205, "")</f>
        <v>0</v>
      </c>
      <c r="X205" s="284" t="n">
        <f aca="false">IFERROR(K205*$E205, "")</f>
        <v>0</v>
      </c>
      <c r="Y205" s="284" t="n">
        <f aca="false">IFERROR(L205*$E205, "")</f>
        <v>0</v>
      </c>
      <c r="Z205" s="284" t="n">
        <f aca="false">IFERROR(M205*$E205, "")</f>
        <v>0</v>
      </c>
      <c r="AA205" s="284" t="n">
        <f aca="false">IFERROR(N205*$E205, "")</f>
        <v>0</v>
      </c>
      <c r="AB205" s="284" t="n">
        <f aca="false">IFERROR(O205*$E205, "")</f>
        <v>0</v>
      </c>
      <c r="AC205" s="284" t="n">
        <f aca="false">IFERROR(P205*$E205, "")</f>
        <v>0</v>
      </c>
      <c r="AD205" s="284" t="n">
        <f aca="false">IFERROR(Q205*$E205, "")</f>
        <v>0</v>
      </c>
      <c r="AE205" s="284" t="n">
        <f aca="false">IFERROR(R205*$E205, "")</f>
        <v>0</v>
      </c>
      <c r="AF205" s="284" t="n">
        <f aca="false">IFERROR(S205*$E205, "")</f>
        <v>0</v>
      </c>
      <c r="AG205" s="284" t="n">
        <f aca="false">IFERROR(T205*$E205, "")</f>
        <v>0</v>
      </c>
      <c r="AH205" s="286" t="n">
        <f aca="false">IFERROR(SUMIF($V$4:$AG$4, "RDEC", V205:AG205), "")</f>
        <v>0</v>
      </c>
      <c r="AI205" s="286" t="n">
        <f aca="false">IFERROR(SUMIF($V$4:$AG$4, "SME", V205:AG205), "")</f>
        <v>0</v>
      </c>
      <c r="AJ205" s="286" t="n">
        <f aca="false">IFERROR(SUMIF($V$4:$AG$4, "De Minimis", V205:AG205), "")</f>
        <v>0</v>
      </c>
      <c r="AK205" s="287"/>
      <c r="AL205" s="288" t="str">
        <f aca="false">IF((SUM(I205:T205)&gt;1),"ERROR","")</f>
        <v/>
      </c>
    </row>
    <row r="206" customFormat="false" ht="15" hidden="false" customHeight="true" outlineLevel="0" collapsed="false">
      <c r="H206" s="350"/>
      <c r="I206" s="282"/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3"/>
      <c r="V206" s="284" t="n">
        <f aca="false">IFERROR(I206*$E206, "")</f>
        <v>0</v>
      </c>
      <c r="W206" s="284" t="n">
        <f aca="false">IFERROR(J206*$E206, "")</f>
        <v>0</v>
      </c>
      <c r="X206" s="284" t="n">
        <f aca="false">IFERROR(K206*$E206, "")</f>
        <v>0</v>
      </c>
      <c r="Y206" s="284" t="n">
        <f aca="false">IFERROR(L206*$E206, "")</f>
        <v>0</v>
      </c>
      <c r="Z206" s="284" t="n">
        <f aca="false">IFERROR(M206*$E206, "")</f>
        <v>0</v>
      </c>
      <c r="AA206" s="284" t="n">
        <f aca="false">IFERROR(N206*$E206, "")</f>
        <v>0</v>
      </c>
      <c r="AB206" s="284" t="n">
        <f aca="false">IFERROR(O206*$E206, "")</f>
        <v>0</v>
      </c>
      <c r="AC206" s="284" t="n">
        <f aca="false">IFERROR(P206*$E206, "")</f>
        <v>0</v>
      </c>
      <c r="AD206" s="284" t="n">
        <f aca="false">IFERROR(Q206*$E206, "")</f>
        <v>0</v>
      </c>
      <c r="AE206" s="284" t="n">
        <f aca="false">IFERROR(R206*$E206, "")</f>
        <v>0</v>
      </c>
      <c r="AF206" s="284" t="n">
        <f aca="false">IFERROR(S206*$E206, "")</f>
        <v>0</v>
      </c>
      <c r="AG206" s="284" t="n">
        <f aca="false">IFERROR(T206*$E206, "")</f>
        <v>0</v>
      </c>
      <c r="AH206" s="286" t="n">
        <f aca="false">IFERROR(SUMIF($V$4:$AG$4, "RDEC", V206:AG206), "")</f>
        <v>0</v>
      </c>
      <c r="AI206" s="286" t="n">
        <f aca="false">IFERROR(SUMIF($V$4:$AG$4, "SME", V206:AG206), "")</f>
        <v>0</v>
      </c>
      <c r="AJ206" s="286" t="n">
        <f aca="false">IFERROR(SUMIF($V$4:$AG$4, "De Minimis", V206:AG206), "")</f>
        <v>0</v>
      </c>
      <c r="AK206" s="287"/>
      <c r="AL206" s="288" t="str">
        <f aca="false">IF((SUM(I206:T206)&gt;1),"ERROR","")</f>
        <v/>
      </c>
    </row>
    <row r="207" customFormat="false" ht="15" hidden="false" customHeight="true" outlineLevel="0" collapsed="false">
      <c r="H207" s="350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3"/>
      <c r="V207" s="284" t="n">
        <f aca="false">IFERROR(I207*$E207, "")</f>
        <v>0</v>
      </c>
      <c r="W207" s="284" t="n">
        <f aca="false">IFERROR(J207*$E207, "")</f>
        <v>0</v>
      </c>
      <c r="X207" s="284" t="n">
        <f aca="false">IFERROR(K207*$E207, "")</f>
        <v>0</v>
      </c>
      <c r="Y207" s="284" t="n">
        <f aca="false">IFERROR(L207*$E207, "")</f>
        <v>0</v>
      </c>
      <c r="Z207" s="284" t="n">
        <f aca="false">IFERROR(M207*$E207, "")</f>
        <v>0</v>
      </c>
      <c r="AA207" s="284" t="n">
        <f aca="false">IFERROR(N207*$E207, "")</f>
        <v>0</v>
      </c>
      <c r="AB207" s="284" t="n">
        <f aca="false">IFERROR(O207*$E207, "")</f>
        <v>0</v>
      </c>
      <c r="AC207" s="284" t="n">
        <f aca="false">IFERROR(P207*$E207, "")</f>
        <v>0</v>
      </c>
      <c r="AD207" s="284" t="n">
        <f aca="false">IFERROR(Q207*$E207, "")</f>
        <v>0</v>
      </c>
      <c r="AE207" s="284" t="n">
        <f aca="false">IFERROR(R207*$E207, "")</f>
        <v>0</v>
      </c>
      <c r="AF207" s="284" t="n">
        <f aca="false">IFERROR(S207*$E207, "")</f>
        <v>0</v>
      </c>
      <c r="AG207" s="284" t="n">
        <f aca="false">IFERROR(T207*$E207, "")</f>
        <v>0</v>
      </c>
      <c r="AH207" s="286" t="n">
        <f aca="false">IFERROR(SUMIF($V$4:$AG$4, "RDEC", V207:AG207), "")</f>
        <v>0</v>
      </c>
      <c r="AI207" s="286" t="n">
        <f aca="false">IFERROR(SUMIF($V$4:$AG$4, "SME", V207:AG207), "")</f>
        <v>0</v>
      </c>
      <c r="AJ207" s="286" t="n">
        <f aca="false">IFERROR(SUMIF($V$4:$AG$4, "De Minimis", V207:AG207), "")</f>
        <v>0</v>
      </c>
      <c r="AK207" s="287"/>
      <c r="AL207" s="288" t="str">
        <f aca="false">IF((SUM(I207:T207)&gt;1),"ERROR","")</f>
        <v/>
      </c>
    </row>
    <row r="208" customFormat="false" ht="15" hidden="false" customHeight="true" outlineLevel="0" collapsed="false">
      <c r="H208" s="350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3"/>
      <c r="V208" s="284" t="n">
        <f aca="false">IFERROR(I208*$E208, "")</f>
        <v>0</v>
      </c>
      <c r="W208" s="284" t="n">
        <f aca="false">IFERROR(J208*$E208, "")</f>
        <v>0</v>
      </c>
      <c r="X208" s="284" t="n">
        <f aca="false">IFERROR(K208*$E208, "")</f>
        <v>0</v>
      </c>
      <c r="Y208" s="284" t="n">
        <f aca="false">IFERROR(L208*$E208, "")</f>
        <v>0</v>
      </c>
      <c r="Z208" s="284" t="n">
        <f aca="false">IFERROR(M208*$E208, "")</f>
        <v>0</v>
      </c>
      <c r="AA208" s="284" t="n">
        <f aca="false">IFERROR(N208*$E208, "")</f>
        <v>0</v>
      </c>
      <c r="AB208" s="284" t="n">
        <f aca="false">IFERROR(O208*$E208, "")</f>
        <v>0</v>
      </c>
      <c r="AC208" s="284" t="n">
        <f aca="false">IFERROR(P208*$E208, "")</f>
        <v>0</v>
      </c>
      <c r="AD208" s="284" t="n">
        <f aca="false">IFERROR(Q208*$E208, "")</f>
        <v>0</v>
      </c>
      <c r="AE208" s="284" t="n">
        <f aca="false">IFERROR(R208*$E208, "")</f>
        <v>0</v>
      </c>
      <c r="AF208" s="284" t="n">
        <f aca="false">IFERROR(S208*$E208, "")</f>
        <v>0</v>
      </c>
      <c r="AG208" s="284" t="n">
        <f aca="false">IFERROR(T208*$E208, "")</f>
        <v>0</v>
      </c>
      <c r="AH208" s="286" t="n">
        <f aca="false">IFERROR(SUMIF($V$4:$AG$4, "RDEC", V208:AG208), "")</f>
        <v>0</v>
      </c>
      <c r="AI208" s="286" t="n">
        <f aca="false">IFERROR(SUMIF($V$4:$AG$4, "SME", V208:AG208), "")</f>
        <v>0</v>
      </c>
      <c r="AJ208" s="286" t="n">
        <f aca="false">IFERROR(SUMIF($V$4:$AG$4, "De Minimis", V208:AG208), "")</f>
        <v>0</v>
      </c>
      <c r="AK208" s="287"/>
      <c r="AL208" s="288" t="str">
        <f aca="false">IF((SUM(I208:T208)&gt;1),"ERROR","")</f>
        <v/>
      </c>
    </row>
    <row r="209" customFormat="false" ht="15" hidden="false" customHeight="true" outlineLevel="0" collapsed="false">
      <c r="H209" s="350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3"/>
      <c r="V209" s="284" t="n">
        <f aca="false">IFERROR(I209*$E209, "")</f>
        <v>0</v>
      </c>
      <c r="W209" s="284" t="n">
        <f aca="false">IFERROR(J209*$E209, "")</f>
        <v>0</v>
      </c>
      <c r="X209" s="284" t="n">
        <f aca="false">IFERROR(K209*$E209, "")</f>
        <v>0</v>
      </c>
      <c r="Y209" s="284" t="n">
        <f aca="false">IFERROR(L209*$E209, "")</f>
        <v>0</v>
      </c>
      <c r="Z209" s="284" t="n">
        <f aca="false">IFERROR(M209*$E209, "")</f>
        <v>0</v>
      </c>
      <c r="AA209" s="284" t="n">
        <f aca="false">IFERROR(N209*$E209, "")</f>
        <v>0</v>
      </c>
      <c r="AB209" s="284" t="n">
        <f aca="false">IFERROR(O209*$E209, "")</f>
        <v>0</v>
      </c>
      <c r="AC209" s="284" t="n">
        <f aca="false">IFERROR(P209*$E209, "")</f>
        <v>0</v>
      </c>
      <c r="AD209" s="284" t="n">
        <f aca="false">IFERROR(Q209*$E209, "")</f>
        <v>0</v>
      </c>
      <c r="AE209" s="284" t="n">
        <f aca="false">IFERROR(R209*$E209, "")</f>
        <v>0</v>
      </c>
      <c r="AF209" s="284" t="n">
        <f aca="false">IFERROR(S209*$E209, "")</f>
        <v>0</v>
      </c>
      <c r="AG209" s="284" t="n">
        <f aca="false">IFERROR(T209*$E209, "")</f>
        <v>0</v>
      </c>
      <c r="AH209" s="286" t="n">
        <f aca="false">IFERROR(SUMIF($V$4:$AG$4, "RDEC", V209:AG209), "")</f>
        <v>0</v>
      </c>
      <c r="AI209" s="286" t="n">
        <f aca="false">IFERROR(SUMIF($V$4:$AG$4, "SME", V209:AG209), "")</f>
        <v>0</v>
      </c>
      <c r="AJ209" s="286" t="n">
        <f aca="false">IFERROR(SUMIF($V$4:$AG$4, "De Minimis", V209:AG209), "")</f>
        <v>0</v>
      </c>
      <c r="AK209" s="287"/>
      <c r="AL209" s="288" t="str">
        <f aca="false">IF((SUM(I209:T209)&gt;1),"ERROR","")</f>
        <v/>
      </c>
    </row>
    <row r="210" customFormat="false" ht="15" hidden="false" customHeight="true" outlineLevel="0" collapsed="false">
      <c r="H210" s="350"/>
      <c r="I210" s="282"/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3"/>
      <c r="V210" s="284" t="n">
        <f aca="false">IFERROR(I210*$E210, "")</f>
        <v>0</v>
      </c>
      <c r="W210" s="284" t="n">
        <f aca="false">IFERROR(J210*$E210, "")</f>
        <v>0</v>
      </c>
      <c r="X210" s="284" t="n">
        <f aca="false">IFERROR(K210*$E210, "")</f>
        <v>0</v>
      </c>
      <c r="Y210" s="284" t="n">
        <f aca="false">IFERROR(L210*$E210, "")</f>
        <v>0</v>
      </c>
      <c r="Z210" s="284" t="n">
        <f aca="false">IFERROR(M210*$E210, "")</f>
        <v>0</v>
      </c>
      <c r="AA210" s="284" t="n">
        <f aca="false">IFERROR(N210*$E210, "")</f>
        <v>0</v>
      </c>
      <c r="AB210" s="284" t="n">
        <f aca="false">IFERROR(O210*$E210, "")</f>
        <v>0</v>
      </c>
      <c r="AC210" s="284" t="n">
        <f aca="false">IFERROR(P210*$E210, "")</f>
        <v>0</v>
      </c>
      <c r="AD210" s="284" t="n">
        <f aca="false">IFERROR(Q210*$E210, "")</f>
        <v>0</v>
      </c>
      <c r="AE210" s="284" t="n">
        <f aca="false">IFERROR(R210*$E210, "")</f>
        <v>0</v>
      </c>
      <c r="AF210" s="284" t="n">
        <f aca="false">IFERROR(S210*$E210, "")</f>
        <v>0</v>
      </c>
      <c r="AG210" s="284" t="n">
        <f aca="false">IFERROR(T210*$E210, "")</f>
        <v>0</v>
      </c>
      <c r="AH210" s="286" t="n">
        <f aca="false">IFERROR(SUMIF($V$4:$AG$4, "RDEC", V210:AG210), "")</f>
        <v>0</v>
      </c>
      <c r="AI210" s="286" t="n">
        <f aca="false">IFERROR(SUMIF($V$4:$AG$4, "SME", V210:AG210), "")</f>
        <v>0</v>
      </c>
      <c r="AJ210" s="286" t="n">
        <f aca="false">IFERROR(SUMIF($V$4:$AG$4, "De Minimis", V210:AG210), "")</f>
        <v>0</v>
      </c>
      <c r="AK210" s="287"/>
      <c r="AL210" s="288" t="str">
        <f aca="false">IF((SUM(I210:T210)&gt;1),"ERROR","")</f>
        <v/>
      </c>
    </row>
    <row r="211" customFormat="false" ht="15" hidden="false" customHeight="true" outlineLevel="0" collapsed="false">
      <c r="H211" s="350"/>
      <c r="I211" s="291"/>
      <c r="J211" s="291"/>
      <c r="K211" s="291"/>
      <c r="L211" s="291"/>
      <c r="M211" s="291"/>
      <c r="N211" s="291"/>
      <c r="O211" s="291"/>
      <c r="P211" s="291"/>
      <c r="Q211" s="291"/>
      <c r="R211" s="291"/>
      <c r="S211" s="291"/>
      <c r="T211" s="291"/>
      <c r="U211" s="283"/>
      <c r="V211" s="292"/>
      <c r="W211" s="292"/>
      <c r="X211" s="292"/>
      <c r="Y211" s="292"/>
      <c r="Z211" s="292"/>
      <c r="AA211" s="292"/>
      <c r="AB211" s="292"/>
      <c r="AC211" s="292"/>
      <c r="AD211" s="292"/>
      <c r="AE211" s="292"/>
      <c r="AF211" s="292"/>
      <c r="AG211" s="292"/>
      <c r="AH211" s="294"/>
      <c r="AI211" s="294"/>
      <c r="AJ211" s="294"/>
      <c r="AK211" s="287"/>
      <c r="AL211" s="356"/>
    </row>
    <row r="212" customFormat="false" ht="15" hidden="false" customHeight="true" outlineLevel="0" collapsed="false">
      <c r="H212" s="350"/>
      <c r="I212" s="323"/>
      <c r="J212" s="323"/>
      <c r="K212" s="323"/>
      <c r="L212" s="323"/>
      <c r="M212" s="323"/>
      <c r="N212" s="323"/>
      <c r="O212" s="323"/>
      <c r="P212" s="323"/>
      <c r="Q212" s="323"/>
      <c r="R212" s="323"/>
      <c r="S212" s="323"/>
      <c r="T212" s="323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87"/>
      <c r="AL212" s="17"/>
    </row>
    <row r="213" customFormat="false" ht="15" hidden="false" customHeight="true" outlineLevel="0" collapsed="false">
      <c r="C213" s="17" t="s">
        <v>297</v>
      </c>
      <c r="E213" s="200" t="n">
        <v>0</v>
      </c>
      <c r="H213" s="350"/>
      <c r="I213" s="357" t="n">
        <f aca="false">+Staff!O916</f>
        <v>0</v>
      </c>
      <c r="J213" s="357" t="n">
        <f aca="false">+Staff!P916</f>
        <v>0</v>
      </c>
      <c r="K213" s="357" t="n">
        <f aca="false">+Staff!Q916</f>
        <v>0</v>
      </c>
      <c r="L213" s="357" t="n">
        <f aca="false">+Staff!R916</f>
        <v>0</v>
      </c>
      <c r="M213" s="357" t="n">
        <f aca="false">+Staff!S916</f>
        <v>0</v>
      </c>
      <c r="N213" s="357" t="n">
        <f aca="false">+Staff!T916</f>
        <v>0</v>
      </c>
      <c r="O213" s="357" t="n">
        <f aca="false">+Staff!U916</f>
        <v>0</v>
      </c>
      <c r="P213" s="357" t="n">
        <f aca="false">+Staff!V916</f>
        <v>0</v>
      </c>
      <c r="Q213" s="357" t="n">
        <f aca="false">+Staff!W916</f>
        <v>0</v>
      </c>
      <c r="R213" s="357" t="n">
        <f aca="false">+Staff!X916</f>
        <v>0</v>
      </c>
      <c r="S213" s="357" t="n">
        <f aca="false">+Staff!Y916</f>
        <v>0</v>
      </c>
      <c r="T213" s="357" t="n">
        <f aca="false">+Staff!Z916</f>
        <v>0</v>
      </c>
      <c r="U213" s="283"/>
      <c r="V213" s="304" t="n">
        <f aca="false">IFERROR(I213*$E213, "")</f>
        <v>0</v>
      </c>
      <c r="W213" s="304" t="n">
        <f aca="false">IFERROR(J213*$E213, "")</f>
        <v>0</v>
      </c>
      <c r="X213" s="304" t="n">
        <f aca="false">IFERROR(K213*$E213, "")</f>
        <v>0</v>
      </c>
      <c r="Y213" s="304" t="n">
        <f aca="false">IFERROR(L213*$E213, "")</f>
        <v>0</v>
      </c>
      <c r="Z213" s="304" t="n">
        <f aca="false">IFERROR(M213*$E213, "")</f>
        <v>0</v>
      </c>
      <c r="AA213" s="304" t="n">
        <f aca="false">IFERROR(N213*$E213, "")</f>
        <v>0</v>
      </c>
      <c r="AB213" s="304" t="n">
        <f aca="false">IFERROR(O213*$E213, "")</f>
        <v>0</v>
      </c>
      <c r="AC213" s="304" t="n">
        <f aca="false">IFERROR(P213*$E213, "")</f>
        <v>0</v>
      </c>
      <c r="AD213" s="304" t="n">
        <f aca="false">IFERROR(Q213*$E213, "")</f>
        <v>0</v>
      </c>
      <c r="AE213" s="304" t="n">
        <f aca="false">IFERROR(R213*$E213, "")</f>
        <v>0</v>
      </c>
      <c r="AF213" s="304" t="n">
        <f aca="false">IFERROR(S213*$E213, "")</f>
        <v>0</v>
      </c>
      <c r="AG213" s="304" t="n">
        <f aca="false">IFERROR(T213*$E213, "")</f>
        <v>0</v>
      </c>
      <c r="AH213" s="305" t="n">
        <f aca="false">IFERROR(SUMIF($V$4:$AG$4, "RDEC", V213:AG213), "")</f>
        <v>0</v>
      </c>
      <c r="AI213" s="305" t="n">
        <f aca="false">IFERROR(SUMIF($V$4:$AG$4, "SME", V213:AG213), "")</f>
        <v>0</v>
      </c>
      <c r="AJ213" s="305" t="n">
        <f aca="false">IFERROR(SUMIF($V$4:$AG$4, "De Minimis", V213:AG213), "")</f>
        <v>0</v>
      </c>
      <c r="AK213" s="287"/>
      <c r="AL213" s="17"/>
    </row>
    <row r="214" customFormat="false" ht="15" hidden="false" customHeight="true" outlineLevel="0" collapsed="false">
      <c r="H214" s="350"/>
      <c r="I214" s="323"/>
      <c r="J214" s="323"/>
      <c r="K214" s="323"/>
      <c r="L214" s="323"/>
      <c r="M214" s="323"/>
      <c r="N214" s="323"/>
      <c r="O214" s="323"/>
      <c r="P214" s="323"/>
      <c r="Q214" s="323"/>
      <c r="R214" s="323"/>
      <c r="S214" s="323"/>
      <c r="T214" s="323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303"/>
      <c r="AL214" s="17"/>
    </row>
    <row r="215" customFormat="false" ht="15" hidden="false" customHeight="true" outlineLevel="0" collapsed="false">
      <c r="A215" s="358" t="s">
        <v>82</v>
      </c>
      <c r="B215" s="40"/>
      <c r="C215" s="40"/>
      <c r="D215" s="198"/>
      <c r="E215" s="223" t="n">
        <f aca="false">SUM(E6:E213)</f>
        <v>55250</v>
      </c>
      <c r="G215" s="40"/>
      <c r="H215" s="359"/>
      <c r="I215" s="360" t="n">
        <f aca="false">IFERROR(V215/$E$215,0)</f>
        <v>0.16772850678733</v>
      </c>
      <c r="J215" s="360" t="n">
        <f aca="false">IFERROR(W215/$E$215,0)</f>
        <v>0.336280542986425</v>
      </c>
      <c r="K215" s="360" t="n">
        <f aca="false">IFERROR(X215/$E$215,0)</f>
        <v>0.0816923076923077</v>
      </c>
      <c r="L215" s="360" t="n">
        <f aca="false">IFERROR(Y215/$E$215,0)</f>
        <v>0.279095022624434</v>
      </c>
      <c r="M215" s="360" t="n">
        <f aca="false">IFERROR(Z215/$E$215,0)</f>
        <v>0.135203619909502</v>
      </c>
      <c r="N215" s="360" t="n">
        <f aca="false">IFERROR(AA215/$E$215,0)</f>
        <v>0</v>
      </c>
      <c r="O215" s="360" t="n">
        <f aca="false">IFERROR(AB215/$E$215,0)</f>
        <v>0</v>
      </c>
      <c r="P215" s="360" t="n">
        <f aca="false">IFERROR(AC215/$E$215,0)</f>
        <v>0</v>
      </c>
      <c r="Q215" s="360" t="n">
        <f aca="false">IFERROR(AD215/$E$215,0)</f>
        <v>0</v>
      </c>
      <c r="R215" s="360" t="n">
        <f aca="false">IFERROR(AE215/$E$215,0)</f>
        <v>0</v>
      </c>
      <c r="S215" s="360" t="n">
        <f aca="false">IFERROR(AF215/$E$215,0)</f>
        <v>0</v>
      </c>
      <c r="T215" s="360" t="n">
        <f aca="false">IFERROR(AG215/$E$215,0)</f>
        <v>0</v>
      </c>
      <c r="V215" s="361" t="n">
        <f aca="false">SUM(V7:V214)</f>
        <v>9267</v>
      </c>
      <c r="W215" s="361" t="n">
        <f aca="false">SUM(W7:W214)</f>
        <v>18579.5</v>
      </c>
      <c r="X215" s="361" t="n">
        <f aca="false">SUM(X7:X214)</f>
        <v>4513.5</v>
      </c>
      <c r="Y215" s="361" t="n">
        <f aca="false">SUM(Y7:Y214)</f>
        <v>15420</v>
      </c>
      <c r="Z215" s="361" t="n">
        <f aca="false">SUM(Z7:Z214)</f>
        <v>7470</v>
      </c>
      <c r="AA215" s="361" t="n">
        <f aca="false">SUM(AA7:AA214)</f>
        <v>0</v>
      </c>
      <c r="AB215" s="361" t="n">
        <f aca="false">SUM(AB7:AB214)</f>
        <v>0</v>
      </c>
      <c r="AC215" s="361" t="n">
        <f aca="false">SUM(AC7:AC214)</f>
        <v>0</v>
      </c>
      <c r="AD215" s="361" t="n">
        <f aca="false">SUM(AD7:AD214)</f>
        <v>0</v>
      </c>
      <c r="AE215" s="361" t="n">
        <f aca="false">SUM(AE7:AE214)</f>
        <v>0</v>
      </c>
      <c r="AF215" s="361" t="n">
        <f aca="false">SUM(AF7:AF214)</f>
        <v>0</v>
      </c>
      <c r="AG215" s="361" t="n">
        <f aca="false">SUM(AG7:AG214)</f>
        <v>0</v>
      </c>
      <c r="AH215" s="362" t="n">
        <f aca="false">SUM(AH7:AH213)</f>
        <v>15420</v>
      </c>
      <c r="AI215" s="362" t="n">
        <f aca="false">SUM(AI7:AI213)</f>
        <v>39830</v>
      </c>
      <c r="AJ215" s="362" t="n">
        <f aca="false">SUM(AJ7:AJ213)</f>
        <v>0</v>
      </c>
      <c r="AL215" s="17"/>
    </row>
    <row r="216" customFormat="false" ht="15" hidden="false" customHeight="true" outlineLevel="0" collapsed="false">
      <c r="I216" s="323"/>
      <c r="J216" s="323"/>
      <c r="K216" s="323"/>
      <c r="L216" s="323"/>
      <c r="M216" s="323"/>
      <c r="N216" s="323"/>
      <c r="O216" s="323"/>
      <c r="P216" s="323"/>
      <c r="Q216" s="323"/>
      <c r="R216" s="323"/>
      <c r="S216" s="323"/>
      <c r="T216" s="323"/>
      <c r="AK216" s="268"/>
      <c r="AL216" s="17"/>
    </row>
    <row r="217" customFormat="false" ht="15" hidden="false" customHeight="true" outlineLevel="0" collapsed="false">
      <c r="I217" s="323"/>
      <c r="J217" s="323"/>
      <c r="K217" s="323"/>
      <c r="L217" s="323"/>
      <c r="M217" s="323"/>
      <c r="N217" s="323"/>
      <c r="O217" s="323"/>
      <c r="P217" s="323"/>
      <c r="Q217" s="323"/>
      <c r="R217" s="323"/>
      <c r="S217" s="323"/>
      <c r="T217" s="323"/>
      <c r="AK217" s="287"/>
      <c r="AL217" s="17"/>
    </row>
    <row r="218" customFormat="false" ht="15" hidden="false" customHeight="true" outlineLevel="0" collapsed="false">
      <c r="I218" s="323"/>
      <c r="J218" s="323"/>
      <c r="K218" s="323"/>
      <c r="L218" s="323"/>
      <c r="M218" s="323"/>
      <c r="N218" s="323"/>
      <c r="O218" s="323"/>
      <c r="P218" s="323"/>
      <c r="Q218" s="323"/>
      <c r="R218" s="323"/>
      <c r="S218" s="323"/>
      <c r="T218" s="323"/>
      <c r="AK218" s="287"/>
      <c r="AL218" s="17"/>
    </row>
    <row r="219" customFormat="false" ht="15" hidden="false" customHeight="true" outlineLevel="0" collapsed="false">
      <c r="I219" s="323"/>
      <c r="J219" s="323"/>
      <c r="K219" s="323"/>
      <c r="L219" s="323"/>
      <c r="M219" s="323"/>
      <c r="N219" s="323"/>
      <c r="O219" s="323"/>
      <c r="P219" s="323"/>
      <c r="Q219" s="323"/>
      <c r="R219" s="323"/>
      <c r="S219" s="323"/>
      <c r="T219" s="323"/>
      <c r="AK219" s="287"/>
      <c r="AL219" s="17"/>
    </row>
    <row r="220" customFormat="false" ht="15" hidden="false" customHeight="true" outlineLevel="0" collapsed="false">
      <c r="I220" s="323"/>
      <c r="J220" s="323"/>
      <c r="K220" s="323"/>
      <c r="L220" s="323"/>
      <c r="M220" s="323"/>
      <c r="N220" s="323"/>
      <c r="O220" s="323"/>
      <c r="P220" s="323"/>
      <c r="Q220" s="323"/>
      <c r="R220" s="323"/>
      <c r="S220" s="323"/>
      <c r="T220" s="323"/>
      <c r="AK220" s="287"/>
      <c r="AL220" s="17"/>
    </row>
    <row r="221" customFormat="false" ht="15" hidden="false" customHeight="true" outlineLevel="0" collapsed="false">
      <c r="I221" s="323"/>
      <c r="J221" s="323"/>
      <c r="K221" s="323"/>
      <c r="L221" s="323"/>
      <c r="M221" s="323"/>
      <c r="N221" s="323"/>
      <c r="O221" s="323"/>
      <c r="P221" s="323"/>
      <c r="Q221" s="323"/>
      <c r="R221" s="323"/>
      <c r="S221" s="323"/>
      <c r="T221" s="323"/>
      <c r="AK221" s="287"/>
      <c r="AL221" s="17"/>
    </row>
    <row r="222" customFormat="false" ht="15" hidden="false" customHeight="true" outlineLevel="0" collapsed="false">
      <c r="I222" s="323"/>
      <c r="J222" s="323"/>
      <c r="K222" s="323"/>
      <c r="L222" s="323"/>
      <c r="M222" s="323"/>
      <c r="N222" s="323"/>
      <c r="O222" s="323"/>
      <c r="P222" s="323"/>
      <c r="Q222" s="323"/>
      <c r="R222" s="323"/>
      <c r="S222" s="323"/>
      <c r="T222" s="323"/>
      <c r="AK222" s="287"/>
      <c r="AL222" s="17"/>
    </row>
    <row r="223" customFormat="false" ht="15" hidden="false" customHeight="true" outlineLevel="0" collapsed="false">
      <c r="I223" s="323"/>
      <c r="J223" s="323"/>
      <c r="K223" s="323"/>
      <c r="L223" s="323"/>
      <c r="M223" s="323"/>
      <c r="N223" s="323"/>
      <c r="O223" s="323"/>
      <c r="P223" s="323"/>
      <c r="Q223" s="323"/>
      <c r="R223" s="323"/>
      <c r="S223" s="323"/>
      <c r="T223" s="323"/>
      <c r="AK223" s="287"/>
      <c r="AL223" s="17"/>
    </row>
    <row r="224" customFormat="false" ht="15" hidden="false" customHeight="true" outlineLevel="0" collapsed="false">
      <c r="I224" s="323"/>
      <c r="J224" s="323"/>
      <c r="K224" s="323"/>
      <c r="L224" s="323"/>
      <c r="M224" s="323"/>
      <c r="N224" s="323"/>
      <c r="O224" s="323"/>
      <c r="P224" s="323"/>
      <c r="Q224" s="323"/>
      <c r="R224" s="323"/>
      <c r="S224" s="323"/>
      <c r="T224" s="323"/>
      <c r="AK224" s="287"/>
      <c r="AL224" s="17"/>
    </row>
    <row r="225" customFormat="false" ht="15" hidden="false" customHeight="true" outlineLevel="0" collapsed="false">
      <c r="I225" s="323"/>
      <c r="J225" s="323"/>
      <c r="K225" s="323"/>
      <c r="L225" s="323"/>
      <c r="M225" s="323"/>
      <c r="N225" s="323"/>
      <c r="O225" s="323"/>
      <c r="P225" s="323"/>
      <c r="Q225" s="323"/>
      <c r="R225" s="323"/>
      <c r="S225" s="323"/>
      <c r="T225" s="323"/>
      <c r="AK225" s="287"/>
      <c r="AL225" s="17"/>
    </row>
    <row r="226" customFormat="false" ht="15" hidden="false" customHeight="true" outlineLevel="0" collapsed="false">
      <c r="I226" s="323"/>
      <c r="J226" s="323"/>
      <c r="K226" s="323"/>
      <c r="L226" s="323"/>
      <c r="M226" s="323"/>
      <c r="N226" s="323"/>
      <c r="O226" s="323"/>
      <c r="P226" s="323"/>
      <c r="Q226" s="323"/>
      <c r="R226" s="323"/>
      <c r="S226" s="323"/>
      <c r="T226" s="323"/>
      <c r="AK226" s="287"/>
      <c r="AL226" s="17"/>
    </row>
    <row r="227" customFormat="false" ht="15" hidden="false" customHeight="true" outlineLevel="0" collapsed="false">
      <c r="I227" s="323"/>
      <c r="J227" s="323"/>
      <c r="K227" s="323"/>
      <c r="L227" s="323"/>
      <c r="M227" s="323"/>
      <c r="N227" s="323"/>
      <c r="O227" s="323"/>
      <c r="P227" s="323"/>
      <c r="Q227" s="323"/>
      <c r="R227" s="323"/>
      <c r="S227" s="323"/>
      <c r="T227" s="323"/>
      <c r="AK227" s="287"/>
      <c r="AL227" s="17"/>
    </row>
    <row r="228" customFormat="false" ht="15" hidden="false" customHeight="true" outlineLevel="0" collapsed="false">
      <c r="I228" s="323"/>
      <c r="J228" s="323"/>
      <c r="K228" s="323"/>
      <c r="L228" s="323"/>
      <c r="M228" s="323"/>
      <c r="N228" s="323"/>
      <c r="O228" s="323"/>
      <c r="P228" s="323"/>
      <c r="Q228" s="323"/>
      <c r="R228" s="323"/>
      <c r="S228" s="323"/>
      <c r="T228" s="323"/>
      <c r="AK228" s="287"/>
      <c r="AL228" s="17"/>
    </row>
    <row r="229" customFormat="false" ht="15" hidden="false" customHeight="true" outlineLevel="0" collapsed="false">
      <c r="I229" s="323"/>
      <c r="J229" s="323"/>
      <c r="K229" s="323"/>
      <c r="L229" s="323"/>
      <c r="M229" s="323"/>
      <c r="N229" s="323"/>
      <c r="O229" s="323"/>
      <c r="P229" s="323"/>
      <c r="Q229" s="323"/>
      <c r="R229" s="323"/>
      <c r="S229" s="323"/>
      <c r="T229" s="323"/>
      <c r="AK229" s="303"/>
      <c r="AL229" s="17"/>
    </row>
    <row r="230" customFormat="false" ht="15" hidden="false" customHeight="true" outlineLevel="0" collapsed="false">
      <c r="I230" s="323"/>
      <c r="J230" s="323"/>
      <c r="K230" s="323"/>
      <c r="L230" s="323"/>
      <c r="M230" s="323"/>
      <c r="N230" s="323"/>
      <c r="O230" s="323"/>
      <c r="P230" s="323"/>
      <c r="Q230" s="323"/>
      <c r="R230" s="323"/>
      <c r="S230" s="323"/>
      <c r="T230" s="323"/>
      <c r="AL230" s="17"/>
    </row>
    <row r="231" customFormat="false" ht="15" hidden="false" customHeight="true" outlineLevel="0" collapsed="false">
      <c r="I231" s="323"/>
      <c r="J231" s="323"/>
      <c r="K231" s="323"/>
      <c r="L231" s="323"/>
      <c r="M231" s="323"/>
      <c r="N231" s="323"/>
      <c r="O231" s="323"/>
      <c r="P231" s="323"/>
      <c r="Q231" s="323"/>
      <c r="R231" s="323"/>
      <c r="S231" s="323"/>
      <c r="T231" s="323"/>
      <c r="AK231" s="268"/>
      <c r="AL231" s="17"/>
    </row>
    <row r="232" customFormat="false" ht="15" hidden="false" customHeight="true" outlineLevel="0" collapsed="false">
      <c r="I232" s="323"/>
      <c r="J232" s="323"/>
      <c r="K232" s="323"/>
      <c r="L232" s="323"/>
      <c r="M232" s="323"/>
      <c r="N232" s="323"/>
      <c r="O232" s="323"/>
      <c r="P232" s="323"/>
      <c r="Q232" s="323"/>
      <c r="R232" s="323"/>
      <c r="S232" s="323"/>
      <c r="T232" s="323"/>
      <c r="AK232" s="287"/>
      <c r="AL232" s="17"/>
    </row>
    <row r="233" customFormat="false" ht="15" hidden="false" customHeight="true" outlineLevel="0" collapsed="false">
      <c r="I233" s="323"/>
      <c r="J233" s="323"/>
      <c r="K233" s="323"/>
      <c r="L233" s="323"/>
      <c r="M233" s="323"/>
      <c r="N233" s="323"/>
      <c r="O233" s="323"/>
      <c r="P233" s="323"/>
      <c r="Q233" s="323"/>
      <c r="R233" s="323"/>
      <c r="S233" s="323"/>
      <c r="T233" s="323"/>
      <c r="AK233" s="287"/>
      <c r="AL233" s="17"/>
    </row>
    <row r="234" customFormat="false" ht="15" hidden="false" customHeight="true" outlineLevel="0" collapsed="false">
      <c r="I234" s="323"/>
      <c r="J234" s="323"/>
      <c r="K234" s="323"/>
      <c r="L234" s="323"/>
      <c r="M234" s="323"/>
      <c r="N234" s="323"/>
      <c r="O234" s="323"/>
      <c r="P234" s="323"/>
      <c r="Q234" s="323"/>
      <c r="R234" s="323"/>
      <c r="S234" s="323"/>
      <c r="T234" s="323"/>
      <c r="AK234" s="287"/>
      <c r="AL234" s="17"/>
    </row>
    <row r="235" customFormat="false" ht="15" hidden="false" customHeight="true" outlineLevel="0" collapsed="false">
      <c r="I235" s="323"/>
      <c r="J235" s="323"/>
      <c r="K235" s="323"/>
      <c r="L235" s="323"/>
      <c r="M235" s="323"/>
      <c r="N235" s="323"/>
      <c r="O235" s="323"/>
      <c r="P235" s="323"/>
      <c r="Q235" s="323"/>
      <c r="R235" s="323"/>
      <c r="S235" s="323"/>
      <c r="T235" s="323"/>
      <c r="AK235" s="287"/>
      <c r="AL235" s="17"/>
    </row>
    <row r="236" customFormat="false" ht="15" hidden="false" customHeight="true" outlineLevel="0" collapsed="false">
      <c r="I236" s="323"/>
      <c r="J236" s="323"/>
      <c r="K236" s="323"/>
      <c r="L236" s="323"/>
      <c r="M236" s="323"/>
      <c r="N236" s="323"/>
      <c r="O236" s="323"/>
      <c r="P236" s="323"/>
      <c r="Q236" s="323"/>
      <c r="R236" s="323"/>
      <c r="S236" s="323"/>
      <c r="T236" s="323"/>
      <c r="AK236" s="287"/>
      <c r="AL236" s="17"/>
    </row>
    <row r="237" customFormat="false" ht="15" hidden="false" customHeight="true" outlineLevel="0" collapsed="false">
      <c r="I237" s="323"/>
      <c r="J237" s="323"/>
      <c r="K237" s="323"/>
      <c r="L237" s="323"/>
      <c r="M237" s="323"/>
      <c r="N237" s="323"/>
      <c r="O237" s="323"/>
      <c r="P237" s="323"/>
      <c r="Q237" s="323"/>
      <c r="R237" s="323"/>
      <c r="S237" s="323"/>
      <c r="T237" s="323"/>
      <c r="AK237" s="287"/>
      <c r="AL237" s="17"/>
    </row>
    <row r="238" customFormat="false" ht="15" hidden="false" customHeight="true" outlineLevel="0" collapsed="false">
      <c r="I238" s="323"/>
      <c r="J238" s="323"/>
      <c r="K238" s="323"/>
      <c r="L238" s="323"/>
      <c r="M238" s="323"/>
      <c r="N238" s="323"/>
      <c r="O238" s="323"/>
      <c r="P238" s="323"/>
      <c r="Q238" s="323"/>
      <c r="R238" s="323"/>
      <c r="S238" s="323"/>
      <c r="T238" s="323"/>
      <c r="AK238" s="287"/>
      <c r="AL238" s="17"/>
    </row>
    <row r="239" customFormat="false" ht="15" hidden="false" customHeight="true" outlineLevel="0" collapsed="false">
      <c r="I239" s="323"/>
      <c r="J239" s="323"/>
      <c r="K239" s="323"/>
      <c r="L239" s="323"/>
      <c r="M239" s="323"/>
      <c r="N239" s="323"/>
      <c r="O239" s="323"/>
      <c r="P239" s="323"/>
      <c r="Q239" s="323"/>
      <c r="R239" s="323"/>
      <c r="S239" s="323"/>
      <c r="T239" s="323"/>
      <c r="AK239" s="287"/>
      <c r="AL239" s="17"/>
    </row>
    <row r="240" customFormat="false" ht="15" hidden="false" customHeight="true" outlineLevel="0" collapsed="false">
      <c r="I240" s="323"/>
      <c r="J240" s="323"/>
      <c r="K240" s="323"/>
      <c r="L240" s="323"/>
      <c r="M240" s="323"/>
      <c r="N240" s="323"/>
      <c r="O240" s="323"/>
      <c r="P240" s="323"/>
      <c r="Q240" s="323"/>
      <c r="R240" s="323"/>
      <c r="S240" s="323"/>
      <c r="T240" s="323"/>
      <c r="AK240" s="287"/>
      <c r="AL240" s="17"/>
    </row>
    <row r="241" customFormat="false" ht="15" hidden="false" customHeight="true" outlineLevel="0" collapsed="false">
      <c r="I241" s="323"/>
      <c r="J241" s="323"/>
      <c r="K241" s="323"/>
      <c r="L241" s="323"/>
      <c r="M241" s="323"/>
      <c r="N241" s="323"/>
      <c r="O241" s="323"/>
      <c r="P241" s="323"/>
      <c r="Q241" s="323"/>
      <c r="R241" s="323"/>
      <c r="S241" s="323"/>
      <c r="T241" s="323"/>
      <c r="AK241" s="287"/>
      <c r="AL241" s="17"/>
    </row>
    <row r="242" customFormat="false" ht="15" hidden="false" customHeight="true" outlineLevel="0" collapsed="false">
      <c r="I242" s="323"/>
      <c r="J242" s="323"/>
      <c r="K242" s="323"/>
      <c r="L242" s="323"/>
      <c r="M242" s="323"/>
      <c r="N242" s="323"/>
      <c r="O242" s="323"/>
      <c r="P242" s="323"/>
      <c r="Q242" s="323"/>
      <c r="R242" s="323"/>
      <c r="S242" s="323"/>
      <c r="T242" s="323"/>
      <c r="AK242" s="287"/>
      <c r="AL242" s="17"/>
    </row>
    <row r="243" customFormat="false" ht="15" hidden="false" customHeight="true" outlineLevel="0" collapsed="false">
      <c r="I243" s="323"/>
      <c r="J243" s="323"/>
      <c r="K243" s="323"/>
      <c r="L243" s="323"/>
      <c r="M243" s="323"/>
      <c r="N243" s="323"/>
      <c r="O243" s="323"/>
      <c r="P243" s="323"/>
      <c r="Q243" s="323"/>
      <c r="R243" s="323"/>
      <c r="S243" s="323"/>
      <c r="T243" s="323"/>
      <c r="AK243" s="287"/>
      <c r="AL243" s="17"/>
    </row>
    <row r="244" customFormat="false" ht="15" hidden="false" customHeight="true" outlineLevel="0" collapsed="false">
      <c r="I244" s="323"/>
      <c r="J244" s="323"/>
      <c r="K244" s="323"/>
      <c r="L244" s="323"/>
      <c r="M244" s="323"/>
      <c r="N244" s="323"/>
      <c r="O244" s="323"/>
      <c r="P244" s="323"/>
      <c r="Q244" s="323"/>
      <c r="R244" s="323"/>
      <c r="S244" s="323"/>
      <c r="T244" s="323"/>
      <c r="AK244" s="303"/>
      <c r="AL244" s="17"/>
    </row>
    <row r="245" customFormat="false" ht="15" hidden="false" customHeight="true" outlineLevel="0" collapsed="false">
      <c r="I245" s="323"/>
      <c r="J245" s="323"/>
      <c r="K245" s="323"/>
      <c r="L245" s="323"/>
      <c r="M245" s="323"/>
      <c r="N245" s="323"/>
      <c r="O245" s="323"/>
      <c r="P245" s="323"/>
      <c r="Q245" s="323"/>
      <c r="R245" s="323"/>
      <c r="S245" s="323"/>
      <c r="T245" s="323"/>
      <c r="AL245" s="17"/>
    </row>
    <row r="246" customFormat="false" ht="15" hidden="false" customHeight="true" outlineLevel="0" collapsed="false">
      <c r="I246" s="323"/>
      <c r="J246" s="323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AK246" s="268"/>
      <c r="AL246" s="17"/>
    </row>
    <row r="247" customFormat="false" ht="15" hidden="false" customHeight="true" outlineLevel="0" collapsed="false">
      <c r="I247" s="323"/>
      <c r="J247" s="323"/>
      <c r="K247" s="323"/>
      <c r="L247" s="323"/>
      <c r="M247" s="323"/>
      <c r="N247" s="323"/>
      <c r="O247" s="323"/>
      <c r="P247" s="323"/>
      <c r="Q247" s="323"/>
      <c r="R247" s="323"/>
      <c r="S247" s="323"/>
      <c r="T247" s="323"/>
      <c r="AK247" s="287"/>
      <c r="AL247" s="17"/>
    </row>
    <row r="248" customFormat="false" ht="15" hidden="false" customHeight="true" outlineLevel="0" collapsed="false">
      <c r="I248" s="323"/>
      <c r="J248" s="323"/>
      <c r="K248" s="323"/>
      <c r="L248" s="323"/>
      <c r="M248" s="323"/>
      <c r="N248" s="323"/>
      <c r="O248" s="323"/>
      <c r="P248" s="323"/>
      <c r="Q248" s="323"/>
      <c r="R248" s="323"/>
      <c r="S248" s="323"/>
      <c r="T248" s="323"/>
      <c r="AK248" s="287"/>
      <c r="AL248" s="17"/>
    </row>
    <row r="249" customFormat="false" ht="15" hidden="false" customHeight="true" outlineLevel="0" collapsed="false">
      <c r="I249" s="323"/>
      <c r="J249" s="323"/>
      <c r="K249" s="323"/>
      <c r="L249" s="323"/>
      <c r="M249" s="323"/>
      <c r="N249" s="323"/>
      <c r="O249" s="323"/>
      <c r="P249" s="323"/>
      <c r="Q249" s="323"/>
      <c r="R249" s="323"/>
      <c r="S249" s="323"/>
      <c r="T249" s="323"/>
      <c r="AK249" s="287"/>
      <c r="AL249" s="17"/>
    </row>
    <row r="250" customFormat="false" ht="15" hidden="false" customHeight="true" outlineLevel="0" collapsed="false">
      <c r="I250" s="323"/>
      <c r="J250" s="323"/>
      <c r="K250" s="323"/>
      <c r="L250" s="323"/>
      <c r="M250" s="323"/>
      <c r="N250" s="323"/>
      <c r="O250" s="323"/>
      <c r="P250" s="323"/>
      <c r="Q250" s="323"/>
      <c r="R250" s="323"/>
      <c r="S250" s="323"/>
      <c r="T250" s="323"/>
      <c r="AK250" s="287"/>
      <c r="AL250" s="17"/>
    </row>
    <row r="251" customFormat="false" ht="15" hidden="false" customHeight="true" outlineLevel="0" collapsed="false">
      <c r="I251" s="323"/>
      <c r="J251" s="323"/>
      <c r="K251" s="323"/>
      <c r="L251" s="323"/>
      <c r="M251" s="323"/>
      <c r="N251" s="323"/>
      <c r="O251" s="323"/>
      <c r="P251" s="323"/>
      <c r="Q251" s="323"/>
      <c r="R251" s="323"/>
      <c r="S251" s="323"/>
      <c r="T251" s="323"/>
      <c r="AK251" s="287"/>
      <c r="AL251" s="17"/>
    </row>
    <row r="252" customFormat="false" ht="15" hidden="false" customHeight="true" outlineLevel="0" collapsed="false">
      <c r="I252" s="323"/>
      <c r="J252" s="323"/>
      <c r="K252" s="323"/>
      <c r="L252" s="323"/>
      <c r="M252" s="323"/>
      <c r="N252" s="323"/>
      <c r="O252" s="323"/>
      <c r="P252" s="323"/>
      <c r="Q252" s="323"/>
      <c r="R252" s="323"/>
      <c r="S252" s="323"/>
      <c r="T252" s="323"/>
      <c r="AK252" s="287"/>
      <c r="AL252" s="17"/>
    </row>
    <row r="253" customFormat="false" ht="15" hidden="false" customHeight="true" outlineLevel="0" collapsed="false">
      <c r="I253" s="323"/>
      <c r="J253" s="323"/>
      <c r="K253" s="323"/>
      <c r="L253" s="323"/>
      <c r="M253" s="323"/>
      <c r="N253" s="323"/>
      <c r="O253" s="323"/>
      <c r="P253" s="323"/>
      <c r="Q253" s="323"/>
      <c r="R253" s="323"/>
      <c r="S253" s="323"/>
      <c r="T253" s="323"/>
      <c r="AK253" s="287"/>
      <c r="AL253" s="17"/>
    </row>
    <row r="254" customFormat="false" ht="15" hidden="false" customHeight="true" outlineLevel="0" collapsed="false">
      <c r="I254" s="323"/>
      <c r="J254" s="323"/>
      <c r="K254" s="323"/>
      <c r="L254" s="323"/>
      <c r="M254" s="323"/>
      <c r="N254" s="323"/>
      <c r="O254" s="323"/>
      <c r="P254" s="323"/>
      <c r="Q254" s="323"/>
      <c r="R254" s="323"/>
      <c r="S254" s="323"/>
      <c r="T254" s="323"/>
      <c r="AK254" s="287"/>
      <c r="AL254" s="17"/>
    </row>
    <row r="255" customFormat="false" ht="15" hidden="false" customHeight="true" outlineLevel="0" collapsed="false">
      <c r="I255" s="323"/>
      <c r="J255" s="323"/>
      <c r="K255" s="323"/>
      <c r="L255" s="323"/>
      <c r="M255" s="323"/>
      <c r="N255" s="323"/>
      <c r="O255" s="323"/>
      <c r="P255" s="323"/>
      <c r="Q255" s="323"/>
      <c r="R255" s="323"/>
      <c r="S255" s="323"/>
      <c r="T255" s="323"/>
      <c r="AK255" s="287"/>
      <c r="AL255" s="17"/>
    </row>
    <row r="256" customFormat="false" ht="15" hidden="false" customHeight="true" outlineLevel="0" collapsed="false">
      <c r="I256" s="323"/>
      <c r="J256" s="323"/>
      <c r="K256" s="323"/>
      <c r="L256" s="323"/>
      <c r="M256" s="323"/>
      <c r="N256" s="323"/>
      <c r="O256" s="323"/>
      <c r="P256" s="323"/>
      <c r="Q256" s="323"/>
      <c r="R256" s="323"/>
      <c r="S256" s="323"/>
      <c r="T256" s="323"/>
      <c r="AK256" s="287"/>
      <c r="AL256" s="17"/>
    </row>
    <row r="257" customFormat="false" ht="15" hidden="false" customHeight="true" outlineLevel="0" collapsed="false">
      <c r="I257" s="323"/>
      <c r="J257" s="323"/>
      <c r="K257" s="323"/>
      <c r="L257" s="323"/>
      <c r="M257" s="323"/>
      <c r="N257" s="323"/>
      <c r="O257" s="323"/>
      <c r="P257" s="323"/>
      <c r="Q257" s="323"/>
      <c r="R257" s="323"/>
      <c r="S257" s="323"/>
      <c r="T257" s="323"/>
      <c r="AK257" s="287"/>
      <c r="AL257" s="17"/>
    </row>
    <row r="258" customFormat="false" ht="15" hidden="false" customHeight="true" outlineLevel="0" collapsed="false">
      <c r="I258" s="323"/>
      <c r="J258" s="323"/>
      <c r="K258" s="323"/>
      <c r="L258" s="323"/>
      <c r="M258" s="323"/>
      <c r="N258" s="323"/>
      <c r="O258" s="323"/>
      <c r="P258" s="323"/>
      <c r="Q258" s="323"/>
      <c r="R258" s="323"/>
      <c r="S258" s="323"/>
      <c r="T258" s="323"/>
      <c r="AK258" s="287"/>
      <c r="AL258" s="17"/>
    </row>
    <row r="259" customFormat="false" ht="15" hidden="false" customHeight="true" outlineLevel="0" collapsed="false">
      <c r="I259" s="323"/>
      <c r="J259" s="323"/>
      <c r="K259" s="323"/>
      <c r="L259" s="323"/>
      <c r="M259" s="323"/>
      <c r="N259" s="323"/>
      <c r="O259" s="323"/>
      <c r="P259" s="323"/>
      <c r="Q259" s="323"/>
      <c r="R259" s="323"/>
      <c r="S259" s="323"/>
      <c r="T259" s="323"/>
      <c r="AK259" s="303"/>
      <c r="AL259" s="17"/>
    </row>
    <row r="260" customFormat="false" ht="15" hidden="false" customHeight="true" outlineLevel="0" collapsed="false">
      <c r="I260" s="323"/>
      <c r="J260" s="323"/>
      <c r="K260" s="323"/>
      <c r="L260" s="323"/>
      <c r="M260" s="323"/>
      <c r="N260" s="323"/>
      <c r="O260" s="323"/>
      <c r="P260" s="323"/>
      <c r="Q260" s="323"/>
      <c r="R260" s="323"/>
      <c r="S260" s="323"/>
      <c r="T260" s="323"/>
      <c r="AL260" s="17"/>
    </row>
    <row r="261" customFormat="false" ht="15" hidden="false" customHeight="true" outlineLevel="0" collapsed="false">
      <c r="I261" s="323"/>
      <c r="J261" s="323"/>
      <c r="K261" s="323"/>
      <c r="L261" s="323"/>
      <c r="M261" s="323"/>
      <c r="N261" s="323"/>
      <c r="O261" s="323"/>
      <c r="P261" s="323"/>
      <c r="Q261" s="323"/>
      <c r="R261" s="323"/>
      <c r="S261" s="323"/>
      <c r="T261" s="323"/>
      <c r="AK261" s="268"/>
      <c r="AL261" s="17"/>
    </row>
    <row r="262" customFormat="false" ht="15" hidden="false" customHeight="true" outlineLevel="0" collapsed="false">
      <c r="I262" s="323"/>
      <c r="J262" s="323"/>
      <c r="K262" s="323"/>
      <c r="L262" s="323"/>
      <c r="M262" s="323"/>
      <c r="N262" s="323"/>
      <c r="O262" s="323"/>
      <c r="P262" s="323"/>
      <c r="Q262" s="323"/>
      <c r="R262" s="323"/>
      <c r="S262" s="323"/>
      <c r="T262" s="323"/>
      <c r="AK262" s="287"/>
      <c r="AL262" s="17"/>
    </row>
    <row r="263" customFormat="false" ht="15" hidden="false" customHeight="true" outlineLevel="0" collapsed="false">
      <c r="I263" s="323"/>
      <c r="J263" s="323"/>
      <c r="K263" s="323"/>
      <c r="L263" s="323"/>
      <c r="M263" s="323"/>
      <c r="N263" s="323"/>
      <c r="O263" s="323"/>
      <c r="P263" s="323"/>
      <c r="Q263" s="323"/>
      <c r="R263" s="323"/>
      <c r="S263" s="323"/>
      <c r="T263" s="323"/>
      <c r="AK263" s="287"/>
      <c r="AL263" s="17"/>
    </row>
    <row r="264" customFormat="false" ht="15" hidden="false" customHeight="true" outlineLevel="0" collapsed="false">
      <c r="I264" s="323"/>
      <c r="J264" s="323"/>
      <c r="K264" s="323"/>
      <c r="L264" s="323"/>
      <c r="M264" s="323"/>
      <c r="N264" s="323"/>
      <c r="O264" s="323"/>
      <c r="P264" s="323"/>
      <c r="Q264" s="323"/>
      <c r="R264" s="323"/>
      <c r="S264" s="323"/>
      <c r="T264" s="323"/>
      <c r="AK264" s="287"/>
      <c r="AL264" s="17"/>
    </row>
    <row r="265" customFormat="false" ht="15" hidden="false" customHeight="true" outlineLevel="0" collapsed="false">
      <c r="I265" s="323"/>
      <c r="J265" s="323"/>
      <c r="K265" s="323"/>
      <c r="L265" s="323"/>
      <c r="M265" s="323"/>
      <c r="N265" s="323"/>
      <c r="O265" s="323"/>
      <c r="P265" s="323"/>
      <c r="Q265" s="323"/>
      <c r="R265" s="323"/>
      <c r="S265" s="323"/>
      <c r="T265" s="323"/>
      <c r="AK265" s="287"/>
      <c r="AL265" s="17"/>
    </row>
    <row r="266" customFormat="false" ht="15" hidden="false" customHeight="true" outlineLevel="0" collapsed="false">
      <c r="I266" s="323"/>
      <c r="J266" s="323"/>
      <c r="K266" s="323"/>
      <c r="L266" s="323"/>
      <c r="M266" s="323"/>
      <c r="N266" s="323"/>
      <c r="O266" s="323"/>
      <c r="P266" s="323"/>
      <c r="Q266" s="323"/>
      <c r="R266" s="323"/>
      <c r="S266" s="323"/>
      <c r="T266" s="323"/>
      <c r="AK266" s="287"/>
      <c r="AL266" s="17"/>
    </row>
    <row r="267" customFormat="false" ht="15" hidden="false" customHeight="true" outlineLevel="0" collapsed="false">
      <c r="I267" s="323"/>
      <c r="J267" s="323"/>
      <c r="K267" s="323"/>
      <c r="L267" s="323"/>
      <c r="M267" s="323"/>
      <c r="N267" s="323"/>
      <c r="O267" s="323"/>
      <c r="P267" s="323"/>
      <c r="Q267" s="323"/>
      <c r="R267" s="323"/>
      <c r="S267" s="323"/>
      <c r="T267" s="323"/>
      <c r="AK267" s="287"/>
      <c r="AL267" s="17"/>
    </row>
    <row r="268" customFormat="false" ht="15" hidden="false" customHeight="true" outlineLevel="0" collapsed="false">
      <c r="I268" s="323"/>
      <c r="J268" s="323"/>
      <c r="K268" s="323"/>
      <c r="L268" s="323"/>
      <c r="M268" s="323"/>
      <c r="N268" s="323"/>
      <c r="O268" s="323"/>
      <c r="P268" s="323"/>
      <c r="Q268" s="323"/>
      <c r="R268" s="323"/>
      <c r="S268" s="323"/>
      <c r="T268" s="323"/>
      <c r="AK268" s="287"/>
      <c r="AL268" s="17"/>
    </row>
    <row r="269" customFormat="false" ht="15" hidden="false" customHeight="true" outlineLevel="0" collapsed="false">
      <c r="I269" s="323"/>
      <c r="J269" s="323"/>
      <c r="K269" s="323"/>
      <c r="L269" s="323"/>
      <c r="M269" s="323"/>
      <c r="N269" s="323"/>
      <c r="O269" s="323"/>
      <c r="P269" s="323"/>
      <c r="Q269" s="323"/>
      <c r="R269" s="323"/>
      <c r="S269" s="323"/>
      <c r="T269" s="323"/>
      <c r="AK269" s="287"/>
      <c r="AL269" s="17"/>
    </row>
    <row r="270" customFormat="false" ht="15" hidden="false" customHeight="true" outlineLevel="0" collapsed="false">
      <c r="I270" s="323"/>
      <c r="J270" s="323"/>
      <c r="K270" s="323"/>
      <c r="L270" s="323"/>
      <c r="M270" s="323"/>
      <c r="N270" s="323"/>
      <c r="O270" s="323"/>
      <c r="P270" s="323"/>
      <c r="Q270" s="323"/>
      <c r="R270" s="323"/>
      <c r="S270" s="323"/>
      <c r="T270" s="323"/>
      <c r="AK270" s="287"/>
      <c r="AL270" s="17"/>
    </row>
    <row r="271" customFormat="false" ht="15" hidden="false" customHeight="true" outlineLevel="0" collapsed="false">
      <c r="I271" s="323"/>
      <c r="J271" s="323"/>
      <c r="K271" s="323"/>
      <c r="L271" s="323"/>
      <c r="M271" s="323"/>
      <c r="N271" s="323"/>
      <c r="O271" s="323"/>
      <c r="P271" s="323"/>
      <c r="Q271" s="323"/>
      <c r="R271" s="323"/>
      <c r="S271" s="323"/>
      <c r="T271" s="323"/>
      <c r="AK271" s="287"/>
      <c r="AL271" s="17"/>
    </row>
    <row r="272" customFormat="false" ht="15" hidden="false" customHeight="true" outlineLevel="0" collapsed="false">
      <c r="I272" s="323"/>
      <c r="J272" s="323"/>
      <c r="K272" s="323"/>
      <c r="L272" s="323"/>
      <c r="M272" s="323"/>
      <c r="N272" s="323"/>
      <c r="O272" s="323"/>
      <c r="P272" s="323"/>
      <c r="Q272" s="323"/>
      <c r="R272" s="323"/>
      <c r="S272" s="323"/>
      <c r="T272" s="323"/>
      <c r="AK272" s="287"/>
      <c r="AL272" s="17"/>
    </row>
    <row r="273" customFormat="false" ht="15" hidden="false" customHeight="true" outlineLevel="0" collapsed="false">
      <c r="I273" s="323"/>
      <c r="J273" s="323"/>
      <c r="K273" s="323"/>
      <c r="L273" s="323"/>
      <c r="M273" s="323"/>
      <c r="N273" s="323"/>
      <c r="O273" s="323"/>
      <c r="P273" s="323"/>
      <c r="Q273" s="323"/>
      <c r="R273" s="323"/>
      <c r="S273" s="323"/>
      <c r="T273" s="323"/>
      <c r="AK273" s="287"/>
      <c r="AL273" s="17"/>
    </row>
    <row r="274" customFormat="false" ht="15" hidden="false" customHeight="true" outlineLevel="0" collapsed="false">
      <c r="I274" s="323"/>
      <c r="J274" s="323"/>
      <c r="K274" s="323"/>
      <c r="L274" s="323"/>
      <c r="M274" s="323"/>
      <c r="N274" s="323"/>
      <c r="O274" s="323"/>
      <c r="P274" s="323"/>
      <c r="Q274" s="323"/>
      <c r="R274" s="323"/>
      <c r="S274" s="323"/>
      <c r="T274" s="323"/>
      <c r="AK274" s="303"/>
      <c r="AL274" s="17"/>
    </row>
    <row r="275" customFormat="false" ht="15" hidden="false" customHeight="true" outlineLevel="0" collapsed="false">
      <c r="I275" s="323"/>
      <c r="J275" s="323"/>
      <c r="K275" s="323"/>
      <c r="L275" s="323"/>
      <c r="M275" s="323"/>
      <c r="N275" s="323"/>
      <c r="O275" s="323"/>
      <c r="P275" s="323"/>
      <c r="Q275" s="323"/>
      <c r="R275" s="323"/>
      <c r="S275" s="323"/>
      <c r="T275" s="323"/>
      <c r="AL275" s="17"/>
    </row>
    <row r="276" customFormat="false" ht="15" hidden="false" customHeight="true" outlineLevel="0" collapsed="false">
      <c r="I276" s="323"/>
      <c r="J276" s="323"/>
      <c r="K276" s="323"/>
      <c r="L276" s="323"/>
      <c r="M276" s="323"/>
      <c r="N276" s="323"/>
      <c r="O276" s="323"/>
      <c r="P276" s="323"/>
      <c r="Q276" s="323"/>
      <c r="R276" s="323"/>
      <c r="S276" s="323"/>
      <c r="T276" s="323"/>
      <c r="AK276" s="268"/>
      <c r="AL276" s="17"/>
    </row>
    <row r="277" customFormat="false" ht="15" hidden="false" customHeight="true" outlineLevel="0" collapsed="false">
      <c r="I277" s="323"/>
      <c r="J277" s="323"/>
      <c r="K277" s="323"/>
      <c r="L277" s="323"/>
      <c r="M277" s="323"/>
      <c r="N277" s="323"/>
      <c r="O277" s="323"/>
      <c r="P277" s="323"/>
      <c r="Q277" s="323"/>
      <c r="R277" s="323"/>
      <c r="S277" s="323"/>
      <c r="T277" s="323"/>
      <c r="AK277" s="287"/>
      <c r="AL277" s="17"/>
    </row>
    <row r="278" customFormat="false" ht="15" hidden="false" customHeight="true" outlineLevel="0" collapsed="false">
      <c r="I278" s="323"/>
      <c r="J278" s="323"/>
      <c r="K278" s="323"/>
      <c r="L278" s="323"/>
      <c r="M278" s="323"/>
      <c r="N278" s="323"/>
      <c r="O278" s="323"/>
      <c r="P278" s="323"/>
      <c r="Q278" s="323"/>
      <c r="R278" s="323"/>
      <c r="S278" s="323"/>
      <c r="T278" s="323"/>
      <c r="AK278" s="287"/>
      <c r="AL278" s="17"/>
    </row>
    <row r="279" customFormat="false" ht="15" hidden="false" customHeight="true" outlineLevel="0" collapsed="false">
      <c r="I279" s="323"/>
      <c r="J279" s="323"/>
      <c r="K279" s="323"/>
      <c r="L279" s="323"/>
      <c r="M279" s="323"/>
      <c r="N279" s="323"/>
      <c r="O279" s="323"/>
      <c r="P279" s="323"/>
      <c r="Q279" s="323"/>
      <c r="R279" s="323"/>
      <c r="S279" s="323"/>
      <c r="T279" s="323"/>
      <c r="AK279" s="287"/>
      <c r="AL279" s="17"/>
    </row>
    <row r="280" customFormat="false" ht="15" hidden="false" customHeight="true" outlineLevel="0" collapsed="false">
      <c r="AK280" s="287"/>
      <c r="AL280" s="17"/>
    </row>
    <row r="281" customFormat="false" ht="15" hidden="false" customHeight="true" outlineLevel="0" collapsed="false">
      <c r="AK281" s="287"/>
      <c r="AL281" s="17"/>
    </row>
    <row r="282" customFormat="false" ht="15" hidden="false" customHeight="true" outlineLevel="0" collapsed="false">
      <c r="AK282" s="287"/>
      <c r="AL282" s="17"/>
    </row>
    <row r="283" customFormat="false" ht="15" hidden="false" customHeight="true" outlineLevel="0" collapsed="false">
      <c r="AK283" s="287"/>
      <c r="AL283" s="17"/>
    </row>
    <row r="284" customFormat="false" ht="15" hidden="false" customHeight="true" outlineLevel="0" collapsed="false">
      <c r="AK284" s="287"/>
      <c r="AL284" s="17"/>
    </row>
    <row r="285" customFormat="false" ht="15" hidden="false" customHeight="true" outlineLevel="0" collapsed="false">
      <c r="AK285" s="287"/>
      <c r="AL285" s="17"/>
    </row>
    <row r="286" customFormat="false" ht="15" hidden="false" customHeight="true" outlineLevel="0" collapsed="false">
      <c r="AK286" s="287"/>
      <c r="AL286" s="17"/>
    </row>
    <row r="287" customFormat="false" ht="15" hidden="false" customHeight="true" outlineLevel="0" collapsed="false">
      <c r="AK287" s="287"/>
      <c r="AL287" s="17"/>
    </row>
    <row r="288" customFormat="false" ht="15" hidden="false" customHeight="true" outlineLevel="0" collapsed="false">
      <c r="AK288" s="287"/>
      <c r="AL288" s="17"/>
    </row>
    <row r="289" customFormat="false" ht="15" hidden="false" customHeight="true" outlineLevel="0" collapsed="false">
      <c r="AK289" s="303"/>
      <c r="AL289" s="17"/>
    </row>
    <row r="290" customFormat="false" ht="15" hidden="false" customHeight="true" outlineLevel="0" collapsed="false">
      <c r="AL290" s="17"/>
    </row>
    <row r="291" customFormat="false" ht="15" hidden="false" customHeight="true" outlineLevel="0" collapsed="false">
      <c r="AK291" s="268"/>
      <c r="AL291" s="17"/>
    </row>
    <row r="292" customFormat="false" ht="15" hidden="false" customHeight="true" outlineLevel="0" collapsed="false">
      <c r="AK292" s="287"/>
      <c r="AL292" s="17"/>
    </row>
    <row r="293" customFormat="false" ht="15" hidden="false" customHeight="true" outlineLevel="0" collapsed="false">
      <c r="AK293" s="287"/>
      <c r="AL293" s="17"/>
    </row>
    <row r="294" customFormat="false" ht="15" hidden="false" customHeight="true" outlineLevel="0" collapsed="false">
      <c r="AK294" s="287"/>
      <c r="AL294" s="17"/>
    </row>
    <row r="295" customFormat="false" ht="15" hidden="false" customHeight="true" outlineLevel="0" collapsed="false">
      <c r="AK295" s="287"/>
      <c r="AL295" s="17"/>
    </row>
    <row r="296" customFormat="false" ht="15" hidden="false" customHeight="true" outlineLevel="0" collapsed="false">
      <c r="AK296" s="287"/>
      <c r="AL296" s="17"/>
    </row>
    <row r="297" customFormat="false" ht="15" hidden="false" customHeight="true" outlineLevel="0" collapsed="false">
      <c r="AK297" s="287"/>
      <c r="AL297" s="17"/>
    </row>
    <row r="298" customFormat="false" ht="15" hidden="false" customHeight="true" outlineLevel="0" collapsed="false">
      <c r="AK298" s="287"/>
      <c r="AL298" s="17"/>
    </row>
    <row r="299" customFormat="false" ht="15" hidden="false" customHeight="true" outlineLevel="0" collapsed="false">
      <c r="AK299" s="287"/>
      <c r="AL299" s="17"/>
    </row>
    <row r="300" customFormat="false" ht="15" hidden="false" customHeight="true" outlineLevel="0" collapsed="false">
      <c r="AK300" s="287"/>
      <c r="AL300" s="17"/>
    </row>
    <row r="301" customFormat="false" ht="15" hidden="false" customHeight="true" outlineLevel="0" collapsed="false">
      <c r="AK301" s="287"/>
      <c r="AL301" s="17"/>
    </row>
    <row r="302" customFormat="false" ht="15" hidden="false" customHeight="true" outlineLevel="0" collapsed="false">
      <c r="AK302" s="287"/>
      <c r="AL302" s="17"/>
    </row>
    <row r="303" customFormat="false" ht="15" hidden="false" customHeight="true" outlineLevel="0" collapsed="false">
      <c r="AK303" s="287"/>
      <c r="AL303" s="17"/>
    </row>
    <row r="304" customFormat="false" ht="15" hidden="false" customHeight="true" outlineLevel="0" collapsed="false">
      <c r="AK304" s="303"/>
      <c r="AL304" s="17"/>
    </row>
    <row r="305" customFormat="false" ht="15" hidden="false" customHeight="true" outlineLevel="0" collapsed="false">
      <c r="AL305" s="17"/>
    </row>
    <row r="306" customFormat="false" ht="15" hidden="false" customHeight="true" outlineLevel="0" collapsed="false">
      <c r="AK306" s="268"/>
      <c r="AL306" s="17"/>
    </row>
    <row r="307" customFormat="false" ht="15" hidden="false" customHeight="true" outlineLevel="0" collapsed="false">
      <c r="AK307" s="287"/>
      <c r="AL307" s="17"/>
    </row>
    <row r="308" customFormat="false" ht="15" hidden="false" customHeight="true" outlineLevel="0" collapsed="false">
      <c r="AK308" s="287"/>
      <c r="AL308" s="17"/>
    </row>
    <row r="309" customFormat="false" ht="15" hidden="false" customHeight="true" outlineLevel="0" collapsed="false">
      <c r="AK309" s="287"/>
      <c r="AL309" s="17"/>
    </row>
    <row r="310" customFormat="false" ht="15" hidden="false" customHeight="true" outlineLevel="0" collapsed="false">
      <c r="AK310" s="287"/>
      <c r="AL310" s="17"/>
    </row>
    <row r="311" customFormat="false" ht="15" hidden="false" customHeight="true" outlineLevel="0" collapsed="false">
      <c r="AK311" s="287"/>
      <c r="AL311" s="17"/>
    </row>
    <row r="312" customFormat="false" ht="15" hidden="false" customHeight="true" outlineLevel="0" collapsed="false">
      <c r="AK312" s="287"/>
      <c r="AL312" s="17"/>
    </row>
    <row r="313" customFormat="false" ht="15" hidden="false" customHeight="true" outlineLevel="0" collapsed="false">
      <c r="AK313" s="287"/>
      <c r="AL313" s="17"/>
    </row>
    <row r="314" customFormat="false" ht="15" hidden="false" customHeight="true" outlineLevel="0" collapsed="false">
      <c r="AK314" s="287"/>
      <c r="AL314" s="17"/>
    </row>
    <row r="315" customFormat="false" ht="15" hidden="false" customHeight="true" outlineLevel="0" collapsed="false">
      <c r="AK315" s="287"/>
      <c r="AL315" s="17"/>
    </row>
    <row r="316" customFormat="false" ht="15" hidden="false" customHeight="true" outlineLevel="0" collapsed="false">
      <c r="AK316" s="287"/>
      <c r="AL316" s="17"/>
    </row>
    <row r="317" customFormat="false" ht="15" hidden="false" customHeight="true" outlineLevel="0" collapsed="false">
      <c r="AK317" s="287"/>
      <c r="AL317" s="17"/>
    </row>
    <row r="318" customFormat="false" ht="15" hidden="false" customHeight="true" outlineLevel="0" collapsed="false">
      <c r="AK318" s="287"/>
      <c r="AL318" s="17"/>
    </row>
    <row r="319" customFormat="false" ht="15" hidden="false" customHeight="true" outlineLevel="0" collapsed="false">
      <c r="AK319" s="303"/>
      <c r="AL319" s="17"/>
    </row>
    <row r="320" customFormat="false" ht="15" hidden="false" customHeight="true" outlineLevel="0" collapsed="false">
      <c r="AL320" s="17"/>
    </row>
    <row r="321" customFormat="false" ht="15" hidden="false" customHeight="true" outlineLevel="0" collapsed="false">
      <c r="AK321" s="268"/>
      <c r="AL321" s="17"/>
    </row>
    <row r="322" customFormat="false" ht="15" hidden="false" customHeight="true" outlineLevel="0" collapsed="false">
      <c r="AK322" s="287"/>
      <c r="AL322" s="17"/>
    </row>
    <row r="323" customFormat="false" ht="15" hidden="false" customHeight="true" outlineLevel="0" collapsed="false">
      <c r="AK323" s="287"/>
      <c r="AL323" s="17"/>
    </row>
    <row r="324" customFormat="false" ht="15" hidden="false" customHeight="true" outlineLevel="0" collapsed="false">
      <c r="AK324" s="287"/>
      <c r="AL324" s="17"/>
    </row>
    <row r="325" customFormat="false" ht="15" hidden="false" customHeight="true" outlineLevel="0" collapsed="false">
      <c r="AK325" s="287"/>
      <c r="AL325" s="17"/>
    </row>
    <row r="326" customFormat="false" ht="15" hidden="false" customHeight="true" outlineLevel="0" collapsed="false">
      <c r="AK326" s="287"/>
      <c r="AL326" s="17"/>
    </row>
    <row r="327" customFormat="false" ht="15" hidden="false" customHeight="true" outlineLevel="0" collapsed="false">
      <c r="AK327" s="287"/>
      <c r="AL327" s="17"/>
    </row>
    <row r="328" customFormat="false" ht="15" hidden="false" customHeight="true" outlineLevel="0" collapsed="false">
      <c r="AK328" s="287"/>
      <c r="AL328" s="17"/>
    </row>
    <row r="329" customFormat="false" ht="15" hidden="false" customHeight="true" outlineLevel="0" collapsed="false">
      <c r="AK329" s="287"/>
      <c r="AL329" s="17"/>
    </row>
    <row r="330" customFormat="false" ht="15" hidden="false" customHeight="true" outlineLevel="0" collapsed="false">
      <c r="AK330" s="287"/>
      <c r="AL330" s="17"/>
    </row>
    <row r="331" customFormat="false" ht="15" hidden="false" customHeight="true" outlineLevel="0" collapsed="false">
      <c r="AK331" s="287"/>
      <c r="AL331" s="17"/>
    </row>
    <row r="332" customFormat="false" ht="15" hidden="false" customHeight="true" outlineLevel="0" collapsed="false">
      <c r="AK332" s="287"/>
      <c r="AL332" s="17"/>
    </row>
    <row r="333" customFormat="false" ht="15" hidden="false" customHeight="true" outlineLevel="0" collapsed="false">
      <c r="AK333" s="287"/>
      <c r="AL333" s="17"/>
    </row>
    <row r="334" customFormat="false" ht="15" hidden="false" customHeight="true" outlineLevel="0" collapsed="false">
      <c r="AK334" s="303"/>
      <c r="AL334" s="17"/>
    </row>
    <row r="335" customFormat="false" ht="15" hidden="false" customHeight="true" outlineLevel="0" collapsed="false">
      <c r="AL335" s="17"/>
    </row>
    <row r="336" customFormat="false" ht="15" hidden="false" customHeight="true" outlineLevel="0" collapsed="false">
      <c r="AK336" s="268"/>
      <c r="AL336" s="17"/>
    </row>
    <row r="337" customFormat="false" ht="15" hidden="false" customHeight="true" outlineLevel="0" collapsed="false">
      <c r="AK337" s="287"/>
      <c r="AL337" s="17"/>
    </row>
    <row r="338" customFormat="false" ht="15" hidden="false" customHeight="true" outlineLevel="0" collapsed="false">
      <c r="AK338" s="287"/>
      <c r="AL338" s="17"/>
    </row>
    <row r="339" customFormat="false" ht="15" hidden="false" customHeight="true" outlineLevel="0" collapsed="false">
      <c r="AK339" s="287"/>
      <c r="AL339" s="17"/>
    </row>
    <row r="340" customFormat="false" ht="15" hidden="false" customHeight="true" outlineLevel="0" collapsed="false">
      <c r="AK340" s="287"/>
      <c r="AL340" s="17"/>
    </row>
    <row r="341" customFormat="false" ht="15" hidden="false" customHeight="true" outlineLevel="0" collapsed="false">
      <c r="AK341" s="287"/>
      <c r="AL341" s="17"/>
    </row>
    <row r="342" customFormat="false" ht="15" hidden="false" customHeight="true" outlineLevel="0" collapsed="false">
      <c r="AK342" s="287"/>
      <c r="AL342" s="17"/>
    </row>
    <row r="343" customFormat="false" ht="15" hidden="false" customHeight="true" outlineLevel="0" collapsed="false">
      <c r="AK343" s="287"/>
      <c r="AL343" s="17"/>
    </row>
    <row r="344" customFormat="false" ht="15" hidden="false" customHeight="true" outlineLevel="0" collapsed="false">
      <c r="AK344" s="287"/>
      <c r="AL344" s="17"/>
    </row>
    <row r="345" customFormat="false" ht="15" hidden="false" customHeight="true" outlineLevel="0" collapsed="false">
      <c r="AK345" s="287"/>
      <c r="AL345" s="17"/>
    </row>
    <row r="346" customFormat="false" ht="15" hidden="false" customHeight="true" outlineLevel="0" collapsed="false">
      <c r="AK346" s="287"/>
      <c r="AL346" s="17"/>
    </row>
    <row r="347" customFormat="false" ht="15" hidden="false" customHeight="true" outlineLevel="0" collapsed="false">
      <c r="AK347" s="287"/>
      <c r="AL347" s="17"/>
    </row>
    <row r="348" customFormat="false" ht="15" hidden="false" customHeight="true" outlineLevel="0" collapsed="false">
      <c r="AK348" s="287"/>
      <c r="AL348" s="17"/>
    </row>
    <row r="349" customFormat="false" ht="15" hidden="false" customHeight="true" outlineLevel="0" collapsed="false">
      <c r="AK349" s="303"/>
      <c r="AL349" s="17"/>
    </row>
    <row r="350" customFormat="false" ht="15" hidden="false" customHeight="true" outlineLevel="0" collapsed="false">
      <c r="AL350" s="17"/>
    </row>
    <row r="351" customFormat="false" ht="15" hidden="false" customHeight="true" outlineLevel="0" collapsed="false">
      <c r="AK351" s="268"/>
      <c r="AL351" s="17"/>
    </row>
    <row r="352" customFormat="false" ht="15" hidden="false" customHeight="true" outlineLevel="0" collapsed="false">
      <c r="AK352" s="287"/>
      <c r="AL352" s="17"/>
    </row>
    <row r="353" customFormat="false" ht="15" hidden="false" customHeight="true" outlineLevel="0" collapsed="false">
      <c r="AK353" s="287"/>
      <c r="AL353" s="17"/>
    </row>
    <row r="354" customFormat="false" ht="15" hidden="false" customHeight="true" outlineLevel="0" collapsed="false">
      <c r="AK354" s="287"/>
      <c r="AL354" s="17"/>
    </row>
    <row r="355" customFormat="false" ht="15" hidden="false" customHeight="true" outlineLevel="0" collapsed="false">
      <c r="AK355" s="287"/>
      <c r="AL355" s="17"/>
    </row>
    <row r="356" customFormat="false" ht="15" hidden="false" customHeight="true" outlineLevel="0" collapsed="false">
      <c r="AK356" s="287"/>
      <c r="AL356" s="17"/>
    </row>
    <row r="357" customFormat="false" ht="15" hidden="false" customHeight="true" outlineLevel="0" collapsed="false">
      <c r="AK357" s="287"/>
      <c r="AL357" s="17"/>
    </row>
    <row r="358" customFormat="false" ht="15" hidden="false" customHeight="true" outlineLevel="0" collapsed="false">
      <c r="AK358" s="287"/>
      <c r="AL358" s="17"/>
    </row>
    <row r="359" customFormat="false" ht="15" hidden="false" customHeight="true" outlineLevel="0" collapsed="false">
      <c r="AK359" s="287"/>
      <c r="AL359" s="17"/>
    </row>
    <row r="360" customFormat="false" ht="15" hidden="false" customHeight="true" outlineLevel="0" collapsed="false">
      <c r="AK360" s="287"/>
      <c r="AL360" s="17"/>
    </row>
    <row r="361" customFormat="false" ht="15" hidden="false" customHeight="true" outlineLevel="0" collapsed="false">
      <c r="AK361" s="287"/>
      <c r="AL361" s="17"/>
    </row>
    <row r="362" customFormat="false" ht="15" hidden="false" customHeight="true" outlineLevel="0" collapsed="false">
      <c r="AK362" s="287"/>
      <c r="AL362" s="17"/>
    </row>
    <row r="363" customFormat="false" ht="15" hidden="false" customHeight="true" outlineLevel="0" collapsed="false">
      <c r="AK363" s="287"/>
      <c r="AL363" s="17"/>
    </row>
    <row r="364" customFormat="false" ht="15" hidden="false" customHeight="true" outlineLevel="0" collapsed="false">
      <c r="AK364" s="303"/>
      <c r="AL364" s="17"/>
    </row>
    <row r="365" customFormat="false" ht="15" hidden="false" customHeight="true" outlineLevel="0" collapsed="false">
      <c r="AL365" s="17"/>
    </row>
    <row r="366" customFormat="false" ht="15" hidden="false" customHeight="true" outlineLevel="0" collapsed="false">
      <c r="AK366" s="268"/>
      <c r="AL366" s="17"/>
    </row>
    <row r="367" customFormat="false" ht="15" hidden="false" customHeight="true" outlineLevel="0" collapsed="false">
      <c r="AK367" s="287"/>
      <c r="AL367" s="17"/>
    </row>
    <row r="368" customFormat="false" ht="15" hidden="false" customHeight="true" outlineLevel="0" collapsed="false">
      <c r="AK368" s="287"/>
      <c r="AL368" s="17"/>
    </row>
    <row r="369" customFormat="false" ht="15" hidden="false" customHeight="true" outlineLevel="0" collapsed="false">
      <c r="AK369" s="287"/>
      <c r="AL369" s="17"/>
    </row>
    <row r="370" customFormat="false" ht="15" hidden="false" customHeight="true" outlineLevel="0" collapsed="false">
      <c r="AK370" s="287"/>
      <c r="AL370" s="17"/>
    </row>
    <row r="371" customFormat="false" ht="15" hidden="false" customHeight="true" outlineLevel="0" collapsed="false">
      <c r="AK371" s="287"/>
      <c r="AL371" s="17"/>
    </row>
    <row r="372" customFormat="false" ht="15" hidden="false" customHeight="true" outlineLevel="0" collapsed="false">
      <c r="AK372" s="287"/>
      <c r="AL372" s="17"/>
    </row>
    <row r="373" customFormat="false" ht="15" hidden="false" customHeight="true" outlineLevel="0" collapsed="false">
      <c r="AK373" s="287"/>
      <c r="AL373" s="17"/>
    </row>
    <row r="374" customFormat="false" ht="15" hidden="false" customHeight="true" outlineLevel="0" collapsed="false">
      <c r="AK374" s="287"/>
      <c r="AL374" s="17"/>
    </row>
    <row r="375" customFormat="false" ht="15" hidden="false" customHeight="true" outlineLevel="0" collapsed="false">
      <c r="AK375" s="287"/>
      <c r="AL375" s="17"/>
    </row>
    <row r="376" customFormat="false" ht="15" hidden="false" customHeight="true" outlineLevel="0" collapsed="false">
      <c r="AK376" s="287"/>
      <c r="AL376" s="17"/>
    </row>
    <row r="377" customFormat="false" ht="15" hidden="false" customHeight="true" outlineLevel="0" collapsed="false">
      <c r="AK377" s="287"/>
      <c r="AL377" s="17"/>
    </row>
    <row r="378" customFormat="false" ht="15" hidden="false" customHeight="true" outlineLevel="0" collapsed="false">
      <c r="AK378" s="287"/>
      <c r="AL378" s="17"/>
    </row>
    <row r="379" customFormat="false" ht="15" hidden="false" customHeight="true" outlineLevel="0" collapsed="false">
      <c r="AK379" s="303"/>
      <c r="AL379" s="17"/>
    </row>
    <row r="380" customFormat="false" ht="15" hidden="false" customHeight="true" outlineLevel="0" collapsed="false">
      <c r="AL380" s="17"/>
    </row>
    <row r="381" customFormat="false" ht="15" hidden="false" customHeight="true" outlineLevel="0" collapsed="false">
      <c r="AK381" s="268"/>
      <c r="AL381" s="17"/>
    </row>
    <row r="382" customFormat="false" ht="15" hidden="false" customHeight="true" outlineLevel="0" collapsed="false">
      <c r="AK382" s="287"/>
      <c r="AL382" s="17"/>
    </row>
    <row r="383" customFormat="false" ht="15" hidden="false" customHeight="true" outlineLevel="0" collapsed="false">
      <c r="AK383" s="287"/>
      <c r="AL383" s="17"/>
    </row>
    <row r="384" customFormat="false" ht="15" hidden="false" customHeight="true" outlineLevel="0" collapsed="false">
      <c r="AK384" s="287"/>
      <c r="AL384" s="17"/>
    </row>
    <row r="385" customFormat="false" ht="15" hidden="false" customHeight="true" outlineLevel="0" collapsed="false">
      <c r="AK385" s="287"/>
      <c r="AL385" s="17"/>
    </row>
    <row r="386" customFormat="false" ht="15" hidden="false" customHeight="true" outlineLevel="0" collapsed="false">
      <c r="AK386" s="287"/>
      <c r="AL386" s="17"/>
    </row>
    <row r="387" customFormat="false" ht="15" hidden="false" customHeight="true" outlineLevel="0" collapsed="false">
      <c r="AK387" s="287"/>
      <c r="AL387" s="17"/>
    </row>
    <row r="388" customFormat="false" ht="15" hidden="false" customHeight="true" outlineLevel="0" collapsed="false">
      <c r="AK388" s="287"/>
      <c r="AL388" s="17"/>
    </row>
    <row r="389" customFormat="false" ht="15" hidden="false" customHeight="true" outlineLevel="0" collapsed="false">
      <c r="AK389" s="287"/>
      <c r="AL389" s="17"/>
    </row>
    <row r="390" customFormat="false" ht="15" hidden="false" customHeight="true" outlineLevel="0" collapsed="false">
      <c r="AK390" s="287"/>
      <c r="AL390" s="17"/>
    </row>
    <row r="391" customFormat="false" ht="15" hidden="false" customHeight="true" outlineLevel="0" collapsed="false">
      <c r="AK391" s="287"/>
      <c r="AL391" s="17"/>
    </row>
    <row r="392" customFormat="false" ht="15" hidden="false" customHeight="true" outlineLevel="0" collapsed="false">
      <c r="AK392" s="287"/>
      <c r="AL392" s="17"/>
    </row>
    <row r="393" customFormat="false" ht="15" hidden="false" customHeight="true" outlineLevel="0" collapsed="false">
      <c r="AK393" s="287"/>
      <c r="AL393" s="17"/>
    </row>
    <row r="394" customFormat="false" ht="15" hidden="false" customHeight="true" outlineLevel="0" collapsed="false">
      <c r="AK394" s="303"/>
      <c r="AL394" s="17"/>
    </row>
    <row r="395" customFormat="false" ht="15" hidden="false" customHeight="true" outlineLevel="0" collapsed="false">
      <c r="AL395" s="17"/>
    </row>
    <row r="396" customFormat="false" ht="15" hidden="false" customHeight="true" outlineLevel="0" collapsed="false">
      <c r="AK396" s="268"/>
      <c r="AL396" s="17"/>
    </row>
    <row r="397" customFormat="false" ht="15" hidden="false" customHeight="true" outlineLevel="0" collapsed="false">
      <c r="AK397" s="287"/>
      <c r="AL397" s="17"/>
    </row>
    <row r="398" customFormat="false" ht="15" hidden="false" customHeight="true" outlineLevel="0" collapsed="false">
      <c r="AK398" s="287"/>
      <c r="AL398" s="17"/>
    </row>
    <row r="399" customFormat="false" ht="15" hidden="false" customHeight="true" outlineLevel="0" collapsed="false">
      <c r="AK399" s="287"/>
      <c r="AL399" s="17"/>
    </row>
    <row r="400" customFormat="false" ht="15" hidden="false" customHeight="true" outlineLevel="0" collapsed="false">
      <c r="AK400" s="287"/>
      <c r="AL400" s="17"/>
    </row>
    <row r="401" customFormat="false" ht="15" hidden="false" customHeight="true" outlineLevel="0" collapsed="false">
      <c r="AK401" s="287"/>
      <c r="AL401" s="17"/>
    </row>
    <row r="402" customFormat="false" ht="15" hidden="false" customHeight="true" outlineLevel="0" collapsed="false">
      <c r="AK402" s="287"/>
      <c r="AL402" s="17"/>
    </row>
    <row r="403" customFormat="false" ht="15" hidden="false" customHeight="true" outlineLevel="0" collapsed="false">
      <c r="AK403" s="287"/>
      <c r="AL403" s="17"/>
    </row>
    <row r="404" customFormat="false" ht="15" hidden="false" customHeight="true" outlineLevel="0" collapsed="false">
      <c r="AK404" s="287"/>
      <c r="AL404" s="17"/>
    </row>
    <row r="405" customFormat="false" ht="15" hidden="false" customHeight="true" outlineLevel="0" collapsed="false">
      <c r="AK405" s="287"/>
      <c r="AL405" s="17"/>
    </row>
    <row r="406" customFormat="false" ht="15" hidden="false" customHeight="true" outlineLevel="0" collapsed="false">
      <c r="AK406" s="287"/>
      <c r="AL406" s="17"/>
    </row>
    <row r="407" customFormat="false" ht="15" hidden="false" customHeight="true" outlineLevel="0" collapsed="false">
      <c r="AK407" s="287"/>
      <c r="AL407" s="17"/>
    </row>
    <row r="408" customFormat="false" ht="15" hidden="false" customHeight="true" outlineLevel="0" collapsed="false">
      <c r="AK408" s="287"/>
      <c r="AL408" s="17"/>
    </row>
    <row r="409" customFormat="false" ht="15" hidden="false" customHeight="true" outlineLevel="0" collapsed="false">
      <c r="AK409" s="303"/>
      <c r="AL409" s="17"/>
    </row>
    <row r="410" customFormat="false" ht="15" hidden="false" customHeight="true" outlineLevel="0" collapsed="false">
      <c r="AL410" s="17"/>
    </row>
    <row r="411" customFormat="false" ht="15" hidden="false" customHeight="true" outlineLevel="0" collapsed="false">
      <c r="AK411" s="268"/>
      <c r="AL411" s="17"/>
    </row>
    <row r="412" customFormat="false" ht="15" hidden="false" customHeight="true" outlineLevel="0" collapsed="false">
      <c r="AK412" s="287"/>
      <c r="AL412" s="17"/>
    </row>
    <row r="413" customFormat="false" ht="15" hidden="false" customHeight="true" outlineLevel="0" collapsed="false">
      <c r="AK413" s="287"/>
      <c r="AL413" s="17"/>
    </row>
    <row r="414" customFormat="false" ht="15" hidden="false" customHeight="true" outlineLevel="0" collapsed="false">
      <c r="AK414" s="287"/>
      <c r="AL414" s="17"/>
    </row>
    <row r="415" customFormat="false" ht="15" hidden="false" customHeight="true" outlineLevel="0" collapsed="false">
      <c r="AK415" s="287"/>
      <c r="AL415" s="17"/>
    </row>
    <row r="416" customFormat="false" ht="15" hidden="false" customHeight="true" outlineLevel="0" collapsed="false">
      <c r="AK416" s="287"/>
      <c r="AL416" s="17"/>
    </row>
    <row r="417" customFormat="false" ht="15" hidden="false" customHeight="true" outlineLevel="0" collapsed="false">
      <c r="AK417" s="287"/>
      <c r="AL417" s="17"/>
    </row>
    <row r="418" customFormat="false" ht="15" hidden="false" customHeight="true" outlineLevel="0" collapsed="false">
      <c r="AK418" s="287"/>
      <c r="AL418" s="17"/>
    </row>
    <row r="419" customFormat="false" ht="15" hidden="false" customHeight="true" outlineLevel="0" collapsed="false">
      <c r="AK419" s="287"/>
      <c r="AL419" s="17"/>
    </row>
    <row r="420" customFormat="false" ht="15" hidden="false" customHeight="true" outlineLevel="0" collapsed="false">
      <c r="AK420" s="287"/>
      <c r="AL420" s="17"/>
    </row>
    <row r="421" customFormat="false" ht="15" hidden="false" customHeight="true" outlineLevel="0" collapsed="false">
      <c r="AK421" s="287"/>
      <c r="AL421" s="17"/>
    </row>
    <row r="422" customFormat="false" ht="15" hidden="false" customHeight="true" outlineLevel="0" collapsed="false">
      <c r="AK422" s="287"/>
      <c r="AL422" s="17"/>
    </row>
    <row r="423" customFormat="false" ht="15" hidden="false" customHeight="true" outlineLevel="0" collapsed="false">
      <c r="AK423" s="287"/>
      <c r="AL423" s="17"/>
    </row>
    <row r="424" customFormat="false" ht="15" hidden="false" customHeight="true" outlineLevel="0" collapsed="false">
      <c r="AK424" s="303"/>
      <c r="AL424" s="17"/>
    </row>
    <row r="425" customFormat="false" ht="15" hidden="false" customHeight="true" outlineLevel="0" collapsed="false">
      <c r="AL425" s="17"/>
    </row>
    <row r="426" customFormat="false" ht="15" hidden="false" customHeight="true" outlineLevel="0" collapsed="false">
      <c r="AK426" s="268"/>
      <c r="AL426" s="17"/>
    </row>
    <row r="427" customFormat="false" ht="15" hidden="false" customHeight="true" outlineLevel="0" collapsed="false">
      <c r="AK427" s="287"/>
      <c r="AL427" s="17"/>
    </row>
    <row r="428" customFormat="false" ht="15" hidden="false" customHeight="true" outlineLevel="0" collapsed="false">
      <c r="AK428" s="287"/>
      <c r="AL428" s="17"/>
    </row>
    <row r="429" customFormat="false" ht="15" hidden="false" customHeight="true" outlineLevel="0" collapsed="false">
      <c r="AK429" s="287"/>
      <c r="AL429" s="17"/>
    </row>
    <row r="430" customFormat="false" ht="15" hidden="false" customHeight="true" outlineLevel="0" collapsed="false">
      <c r="AK430" s="287"/>
      <c r="AL430" s="17"/>
    </row>
    <row r="431" customFormat="false" ht="15" hidden="false" customHeight="true" outlineLevel="0" collapsed="false">
      <c r="AK431" s="287"/>
      <c r="AL431" s="17"/>
    </row>
    <row r="432" customFormat="false" ht="15" hidden="false" customHeight="true" outlineLevel="0" collapsed="false">
      <c r="AK432" s="287"/>
      <c r="AL432" s="17"/>
    </row>
    <row r="433" customFormat="false" ht="15" hidden="false" customHeight="true" outlineLevel="0" collapsed="false">
      <c r="AK433" s="287"/>
      <c r="AL433" s="17"/>
    </row>
    <row r="434" customFormat="false" ht="15" hidden="false" customHeight="true" outlineLevel="0" collapsed="false">
      <c r="AK434" s="287"/>
      <c r="AL434" s="17"/>
    </row>
    <row r="435" customFormat="false" ht="15" hidden="false" customHeight="true" outlineLevel="0" collapsed="false">
      <c r="AK435" s="287"/>
      <c r="AL435" s="17"/>
    </row>
    <row r="436" customFormat="false" ht="15" hidden="false" customHeight="true" outlineLevel="0" collapsed="false">
      <c r="AK436" s="287"/>
      <c r="AL436" s="17"/>
    </row>
    <row r="437" customFormat="false" ht="15" hidden="false" customHeight="true" outlineLevel="0" collapsed="false">
      <c r="AK437" s="287"/>
      <c r="AL437" s="17"/>
    </row>
    <row r="438" customFormat="false" ht="15" hidden="false" customHeight="true" outlineLevel="0" collapsed="false">
      <c r="AK438" s="287"/>
      <c r="AL438" s="17"/>
    </row>
    <row r="439" customFormat="false" ht="15" hidden="false" customHeight="true" outlineLevel="0" collapsed="false">
      <c r="AK439" s="303"/>
      <c r="AL439" s="17"/>
    </row>
    <row r="440" customFormat="false" ht="15" hidden="false" customHeight="true" outlineLevel="0" collapsed="false">
      <c r="AL440" s="17"/>
    </row>
    <row r="441" customFormat="false" ht="15" hidden="false" customHeight="true" outlineLevel="0" collapsed="false">
      <c r="AK441" s="268"/>
      <c r="AL441" s="17"/>
    </row>
    <row r="442" customFormat="false" ht="15" hidden="false" customHeight="true" outlineLevel="0" collapsed="false">
      <c r="AK442" s="287"/>
      <c r="AL442" s="17"/>
    </row>
    <row r="443" customFormat="false" ht="15" hidden="false" customHeight="true" outlineLevel="0" collapsed="false">
      <c r="AK443" s="287"/>
      <c r="AL443" s="17"/>
    </row>
    <row r="444" customFormat="false" ht="15" hidden="false" customHeight="true" outlineLevel="0" collapsed="false">
      <c r="AK444" s="287"/>
      <c r="AL444" s="17"/>
    </row>
    <row r="445" customFormat="false" ht="15" hidden="false" customHeight="true" outlineLevel="0" collapsed="false">
      <c r="AK445" s="287"/>
      <c r="AL445" s="17"/>
    </row>
    <row r="446" customFormat="false" ht="15" hidden="false" customHeight="true" outlineLevel="0" collapsed="false">
      <c r="AK446" s="287"/>
      <c r="AL446" s="17"/>
    </row>
    <row r="447" customFormat="false" ht="15" hidden="false" customHeight="true" outlineLevel="0" collapsed="false">
      <c r="AK447" s="287"/>
      <c r="AL447" s="17"/>
    </row>
    <row r="448" customFormat="false" ht="15" hidden="false" customHeight="true" outlineLevel="0" collapsed="false">
      <c r="AK448" s="287"/>
      <c r="AL448" s="17"/>
    </row>
    <row r="449" customFormat="false" ht="15" hidden="false" customHeight="true" outlineLevel="0" collapsed="false">
      <c r="AK449" s="287"/>
      <c r="AL449" s="17"/>
    </row>
    <row r="450" customFormat="false" ht="15" hidden="false" customHeight="true" outlineLevel="0" collapsed="false">
      <c r="AK450" s="287"/>
      <c r="AL450" s="17"/>
    </row>
    <row r="451" customFormat="false" ht="15" hidden="false" customHeight="true" outlineLevel="0" collapsed="false">
      <c r="AK451" s="287"/>
      <c r="AL451" s="17"/>
    </row>
    <row r="452" customFormat="false" ht="15" hidden="false" customHeight="true" outlineLevel="0" collapsed="false">
      <c r="AK452" s="287"/>
      <c r="AL452" s="17"/>
    </row>
    <row r="453" customFormat="false" ht="15" hidden="false" customHeight="true" outlineLevel="0" collapsed="false">
      <c r="AK453" s="287"/>
      <c r="AL453" s="17"/>
    </row>
    <row r="454" customFormat="false" ht="15" hidden="false" customHeight="true" outlineLevel="0" collapsed="false">
      <c r="AK454" s="303"/>
      <c r="AL454" s="17"/>
    </row>
    <row r="455" customFormat="false" ht="15" hidden="false" customHeight="true" outlineLevel="0" collapsed="false">
      <c r="AL455" s="17"/>
    </row>
    <row r="456" customFormat="false" ht="15" hidden="false" customHeight="true" outlineLevel="0" collapsed="false">
      <c r="AK456" s="268"/>
      <c r="AL456" s="17"/>
    </row>
    <row r="457" customFormat="false" ht="15" hidden="false" customHeight="true" outlineLevel="0" collapsed="false">
      <c r="AK457" s="287"/>
      <c r="AL457" s="17"/>
    </row>
    <row r="458" customFormat="false" ht="15" hidden="false" customHeight="true" outlineLevel="0" collapsed="false">
      <c r="AK458" s="287"/>
      <c r="AL458" s="17"/>
    </row>
    <row r="459" customFormat="false" ht="15" hidden="false" customHeight="true" outlineLevel="0" collapsed="false">
      <c r="AK459" s="287"/>
      <c r="AL459" s="17"/>
    </row>
    <row r="460" customFormat="false" ht="15" hidden="false" customHeight="true" outlineLevel="0" collapsed="false">
      <c r="AK460" s="287"/>
      <c r="AL460" s="17"/>
    </row>
    <row r="461" customFormat="false" ht="15" hidden="false" customHeight="true" outlineLevel="0" collapsed="false">
      <c r="AK461" s="287"/>
      <c r="AL461" s="17"/>
    </row>
    <row r="462" customFormat="false" ht="15" hidden="false" customHeight="true" outlineLevel="0" collapsed="false">
      <c r="AK462" s="287"/>
      <c r="AL462" s="17"/>
    </row>
    <row r="463" customFormat="false" ht="15" hidden="false" customHeight="true" outlineLevel="0" collapsed="false">
      <c r="AK463" s="287"/>
      <c r="AL463" s="17"/>
    </row>
    <row r="464" customFormat="false" ht="15" hidden="false" customHeight="true" outlineLevel="0" collapsed="false">
      <c r="AK464" s="287"/>
      <c r="AL464" s="17"/>
    </row>
    <row r="465" customFormat="false" ht="15" hidden="false" customHeight="true" outlineLevel="0" collapsed="false">
      <c r="AK465" s="287"/>
      <c r="AL465" s="17"/>
    </row>
    <row r="466" customFormat="false" ht="15" hidden="false" customHeight="true" outlineLevel="0" collapsed="false">
      <c r="AK466" s="287"/>
      <c r="AL466" s="17"/>
    </row>
    <row r="467" customFormat="false" ht="15" hidden="false" customHeight="true" outlineLevel="0" collapsed="false">
      <c r="AK467" s="287"/>
      <c r="AL467" s="17"/>
    </row>
    <row r="468" customFormat="false" ht="15" hidden="false" customHeight="true" outlineLevel="0" collapsed="false">
      <c r="AK468" s="287"/>
      <c r="AL468" s="17"/>
    </row>
    <row r="469" customFormat="false" ht="15" hidden="false" customHeight="true" outlineLevel="0" collapsed="false">
      <c r="AK469" s="303"/>
      <c r="AL469" s="17"/>
    </row>
    <row r="470" customFormat="false" ht="15" hidden="false" customHeight="true" outlineLevel="0" collapsed="false">
      <c r="AK470" s="303"/>
      <c r="AL470" s="17"/>
    </row>
    <row r="471" customFormat="false" ht="15" hidden="false" customHeight="true" outlineLevel="0" collapsed="false">
      <c r="AK471" s="268"/>
      <c r="AL471" s="17"/>
    </row>
    <row r="472" customFormat="false" ht="15" hidden="false" customHeight="true" outlineLevel="0" collapsed="false">
      <c r="AK472" s="287"/>
      <c r="AL472" s="17"/>
    </row>
    <row r="473" customFormat="false" ht="15" hidden="false" customHeight="true" outlineLevel="0" collapsed="false">
      <c r="AK473" s="287"/>
      <c r="AL473" s="17"/>
    </row>
    <row r="474" customFormat="false" ht="15" hidden="false" customHeight="true" outlineLevel="0" collapsed="false">
      <c r="AK474" s="287"/>
      <c r="AL474" s="17"/>
    </row>
    <row r="475" customFormat="false" ht="15" hidden="false" customHeight="true" outlineLevel="0" collapsed="false">
      <c r="AK475" s="287"/>
      <c r="AL475" s="17"/>
    </row>
    <row r="476" customFormat="false" ht="15" hidden="false" customHeight="true" outlineLevel="0" collapsed="false">
      <c r="AK476" s="287"/>
      <c r="AL476" s="17"/>
    </row>
    <row r="477" customFormat="false" ht="15" hidden="false" customHeight="true" outlineLevel="0" collapsed="false">
      <c r="AK477" s="287"/>
      <c r="AL477" s="17"/>
    </row>
    <row r="478" customFormat="false" ht="15" hidden="false" customHeight="true" outlineLevel="0" collapsed="false">
      <c r="AK478" s="287"/>
      <c r="AL478" s="17"/>
    </row>
    <row r="479" customFormat="false" ht="15" hidden="false" customHeight="true" outlineLevel="0" collapsed="false">
      <c r="AK479" s="287"/>
      <c r="AL479" s="17"/>
    </row>
    <row r="480" customFormat="false" ht="15" hidden="false" customHeight="true" outlineLevel="0" collapsed="false">
      <c r="AK480" s="287"/>
      <c r="AL480" s="17"/>
    </row>
    <row r="481" customFormat="false" ht="15" hidden="false" customHeight="true" outlineLevel="0" collapsed="false">
      <c r="AK481" s="287"/>
      <c r="AL481" s="17"/>
    </row>
    <row r="482" customFormat="false" ht="15" hidden="false" customHeight="true" outlineLevel="0" collapsed="false">
      <c r="AK482" s="287"/>
      <c r="AL482" s="17"/>
    </row>
    <row r="483" customFormat="false" ht="15" hidden="false" customHeight="true" outlineLevel="0" collapsed="false">
      <c r="AK483" s="287"/>
      <c r="AL483" s="17"/>
    </row>
    <row r="484" customFormat="false" ht="15" hidden="false" customHeight="true" outlineLevel="0" collapsed="false">
      <c r="AK484" s="303"/>
      <c r="AL484" s="17"/>
    </row>
    <row r="485" customFormat="false" ht="15" hidden="false" customHeight="true" outlineLevel="0" collapsed="false">
      <c r="AK485" s="303"/>
      <c r="AL485" s="17"/>
    </row>
    <row r="486" customFormat="false" ht="15" hidden="false" customHeight="true" outlineLevel="0" collapsed="false">
      <c r="AK486" s="268"/>
      <c r="AL486" s="17"/>
    </row>
    <row r="487" customFormat="false" ht="15" hidden="false" customHeight="true" outlineLevel="0" collapsed="false">
      <c r="AK487" s="287"/>
      <c r="AL487" s="17"/>
    </row>
    <row r="488" customFormat="false" ht="15" hidden="false" customHeight="true" outlineLevel="0" collapsed="false">
      <c r="AK488" s="287"/>
      <c r="AL488" s="17"/>
    </row>
    <row r="489" customFormat="false" ht="15" hidden="false" customHeight="true" outlineLevel="0" collapsed="false">
      <c r="AK489" s="287"/>
      <c r="AL489" s="17"/>
    </row>
    <row r="490" customFormat="false" ht="15" hidden="false" customHeight="true" outlineLevel="0" collapsed="false">
      <c r="AK490" s="287"/>
      <c r="AL490" s="17"/>
    </row>
    <row r="491" customFormat="false" ht="15" hidden="false" customHeight="true" outlineLevel="0" collapsed="false">
      <c r="AK491" s="287"/>
      <c r="AL491" s="17"/>
    </row>
    <row r="492" customFormat="false" ht="15" hidden="false" customHeight="true" outlineLevel="0" collapsed="false">
      <c r="AK492" s="287"/>
      <c r="AL492" s="17"/>
    </row>
    <row r="493" customFormat="false" ht="15" hidden="false" customHeight="true" outlineLevel="0" collapsed="false">
      <c r="AK493" s="287"/>
      <c r="AL493" s="17"/>
    </row>
    <row r="494" customFormat="false" ht="15" hidden="false" customHeight="true" outlineLevel="0" collapsed="false">
      <c r="AK494" s="287"/>
      <c r="AL494" s="17"/>
    </row>
    <row r="495" customFormat="false" ht="15" hidden="false" customHeight="true" outlineLevel="0" collapsed="false">
      <c r="AK495" s="287"/>
      <c r="AL495" s="17"/>
    </row>
    <row r="496" customFormat="false" ht="15" hidden="false" customHeight="true" outlineLevel="0" collapsed="false">
      <c r="AK496" s="287"/>
      <c r="AL496" s="17"/>
    </row>
    <row r="497" customFormat="false" ht="15" hidden="false" customHeight="true" outlineLevel="0" collapsed="false">
      <c r="AK497" s="287"/>
      <c r="AL497" s="17"/>
    </row>
    <row r="498" customFormat="false" ht="15" hidden="false" customHeight="true" outlineLevel="0" collapsed="false">
      <c r="AK498" s="287"/>
      <c r="AL498" s="17"/>
    </row>
    <row r="499" customFormat="false" ht="15" hidden="false" customHeight="true" outlineLevel="0" collapsed="false">
      <c r="AK499" s="303"/>
      <c r="AL499" s="17"/>
    </row>
    <row r="500" customFormat="false" ht="15" hidden="false" customHeight="true" outlineLevel="0" collapsed="false">
      <c r="AK500" s="303"/>
      <c r="AL500" s="17"/>
    </row>
    <row r="501" customFormat="false" ht="15" hidden="false" customHeight="true" outlineLevel="0" collapsed="false">
      <c r="AK501" s="268"/>
      <c r="AL501" s="17"/>
    </row>
    <row r="502" customFormat="false" ht="15" hidden="false" customHeight="true" outlineLevel="0" collapsed="false">
      <c r="AK502" s="287"/>
      <c r="AL502" s="17"/>
    </row>
    <row r="503" customFormat="false" ht="15" hidden="false" customHeight="true" outlineLevel="0" collapsed="false">
      <c r="AK503" s="287"/>
      <c r="AL503" s="17"/>
    </row>
    <row r="504" customFormat="false" ht="15" hidden="false" customHeight="true" outlineLevel="0" collapsed="false">
      <c r="AK504" s="287"/>
      <c r="AL504" s="17"/>
    </row>
    <row r="505" customFormat="false" ht="15" hidden="false" customHeight="true" outlineLevel="0" collapsed="false">
      <c r="AK505" s="287"/>
      <c r="AL505" s="17"/>
    </row>
    <row r="506" customFormat="false" ht="15" hidden="false" customHeight="true" outlineLevel="0" collapsed="false">
      <c r="AK506" s="287"/>
      <c r="AL506" s="17"/>
    </row>
    <row r="507" customFormat="false" ht="15" hidden="false" customHeight="true" outlineLevel="0" collapsed="false">
      <c r="AK507" s="287"/>
      <c r="AL507" s="17"/>
    </row>
    <row r="508" customFormat="false" ht="15" hidden="false" customHeight="true" outlineLevel="0" collapsed="false">
      <c r="AK508" s="287"/>
      <c r="AL508" s="17"/>
    </row>
    <row r="509" customFormat="false" ht="15" hidden="false" customHeight="true" outlineLevel="0" collapsed="false">
      <c r="AK509" s="287"/>
      <c r="AL509" s="17"/>
    </row>
    <row r="510" customFormat="false" ht="15" hidden="false" customHeight="true" outlineLevel="0" collapsed="false">
      <c r="AK510" s="287"/>
      <c r="AL510" s="17"/>
    </row>
    <row r="511" customFormat="false" ht="15" hidden="false" customHeight="true" outlineLevel="0" collapsed="false">
      <c r="AK511" s="287"/>
      <c r="AL511" s="17"/>
    </row>
    <row r="512" customFormat="false" ht="15" hidden="false" customHeight="true" outlineLevel="0" collapsed="false">
      <c r="AK512" s="287"/>
      <c r="AL512" s="17"/>
    </row>
    <row r="513" customFormat="false" ht="15" hidden="false" customHeight="true" outlineLevel="0" collapsed="false">
      <c r="AK513" s="287"/>
      <c r="AL513" s="17"/>
    </row>
    <row r="514" customFormat="false" ht="15" hidden="false" customHeight="true" outlineLevel="0" collapsed="false">
      <c r="AK514" s="303"/>
      <c r="AL514" s="17"/>
    </row>
    <row r="515" customFormat="false" ht="15" hidden="false" customHeight="true" outlineLevel="0" collapsed="false">
      <c r="AK515" s="303"/>
      <c r="AL515" s="17"/>
    </row>
    <row r="516" customFormat="false" ht="15" hidden="false" customHeight="true" outlineLevel="0" collapsed="false">
      <c r="AK516" s="268"/>
      <c r="AL516" s="17"/>
    </row>
    <row r="517" customFormat="false" ht="15" hidden="false" customHeight="true" outlineLevel="0" collapsed="false">
      <c r="AK517" s="287"/>
      <c r="AL517" s="17"/>
    </row>
    <row r="518" customFormat="false" ht="15" hidden="false" customHeight="true" outlineLevel="0" collapsed="false">
      <c r="AK518" s="287"/>
      <c r="AL518" s="17"/>
    </row>
    <row r="519" customFormat="false" ht="15" hidden="false" customHeight="true" outlineLevel="0" collapsed="false">
      <c r="AK519" s="287"/>
      <c r="AL519" s="17"/>
    </row>
    <row r="520" customFormat="false" ht="15" hidden="false" customHeight="true" outlineLevel="0" collapsed="false">
      <c r="AK520" s="287"/>
      <c r="AL520" s="17"/>
    </row>
    <row r="521" customFormat="false" ht="15" hidden="false" customHeight="true" outlineLevel="0" collapsed="false">
      <c r="AK521" s="287"/>
      <c r="AL521" s="17"/>
    </row>
    <row r="522" customFormat="false" ht="15" hidden="false" customHeight="true" outlineLevel="0" collapsed="false">
      <c r="AK522" s="287"/>
      <c r="AL522" s="17"/>
    </row>
    <row r="523" customFormat="false" ht="15" hidden="false" customHeight="true" outlineLevel="0" collapsed="false">
      <c r="AK523" s="287"/>
      <c r="AL523" s="17"/>
    </row>
    <row r="524" customFormat="false" ht="15" hidden="false" customHeight="true" outlineLevel="0" collapsed="false">
      <c r="AK524" s="287"/>
      <c r="AL524" s="17"/>
    </row>
    <row r="525" customFormat="false" ht="15" hidden="false" customHeight="true" outlineLevel="0" collapsed="false">
      <c r="AK525" s="287"/>
      <c r="AL525" s="17"/>
    </row>
    <row r="526" customFormat="false" ht="15" hidden="false" customHeight="true" outlineLevel="0" collapsed="false">
      <c r="AK526" s="287"/>
      <c r="AL526" s="17"/>
    </row>
    <row r="527" customFormat="false" ht="15" hidden="false" customHeight="true" outlineLevel="0" collapsed="false">
      <c r="AK527" s="287"/>
      <c r="AL527" s="17"/>
    </row>
    <row r="528" customFormat="false" ht="15" hidden="false" customHeight="true" outlineLevel="0" collapsed="false">
      <c r="AK528" s="287"/>
      <c r="AL528" s="17"/>
    </row>
    <row r="529" customFormat="false" ht="15" hidden="false" customHeight="true" outlineLevel="0" collapsed="false">
      <c r="AK529" s="303"/>
      <c r="AL529" s="17"/>
    </row>
    <row r="530" customFormat="false" ht="15" hidden="false" customHeight="true" outlineLevel="0" collapsed="false">
      <c r="AK530" s="303"/>
      <c r="AL530" s="17"/>
    </row>
    <row r="531" customFormat="false" ht="15" hidden="false" customHeight="true" outlineLevel="0" collapsed="false">
      <c r="AK531" s="268"/>
      <c r="AL531" s="17"/>
    </row>
    <row r="532" customFormat="false" ht="15" hidden="false" customHeight="true" outlineLevel="0" collapsed="false">
      <c r="AK532" s="287"/>
      <c r="AL532" s="17"/>
    </row>
    <row r="533" customFormat="false" ht="15" hidden="false" customHeight="true" outlineLevel="0" collapsed="false">
      <c r="AK533" s="287"/>
      <c r="AL533" s="17"/>
    </row>
    <row r="534" customFormat="false" ht="15" hidden="false" customHeight="true" outlineLevel="0" collapsed="false">
      <c r="AK534" s="287"/>
      <c r="AL534" s="17"/>
    </row>
    <row r="535" customFormat="false" ht="15" hidden="false" customHeight="true" outlineLevel="0" collapsed="false">
      <c r="AK535" s="287"/>
      <c r="AL535" s="17"/>
    </row>
    <row r="536" customFormat="false" ht="15" hidden="false" customHeight="true" outlineLevel="0" collapsed="false">
      <c r="AK536" s="287"/>
      <c r="AL536" s="17"/>
    </row>
    <row r="537" customFormat="false" ht="15" hidden="false" customHeight="true" outlineLevel="0" collapsed="false">
      <c r="AK537" s="287"/>
      <c r="AL537" s="17"/>
    </row>
    <row r="538" customFormat="false" ht="15" hidden="false" customHeight="true" outlineLevel="0" collapsed="false">
      <c r="AK538" s="287"/>
      <c r="AL538" s="17"/>
    </row>
    <row r="539" customFormat="false" ht="15" hidden="false" customHeight="true" outlineLevel="0" collapsed="false">
      <c r="AK539" s="287"/>
      <c r="AL539" s="17"/>
    </row>
    <row r="540" customFormat="false" ht="15" hidden="false" customHeight="true" outlineLevel="0" collapsed="false">
      <c r="AK540" s="287"/>
      <c r="AL540" s="17"/>
    </row>
    <row r="541" customFormat="false" ht="15" hidden="false" customHeight="true" outlineLevel="0" collapsed="false">
      <c r="AK541" s="287"/>
      <c r="AL541" s="17"/>
    </row>
    <row r="542" customFormat="false" ht="15" hidden="false" customHeight="true" outlineLevel="0" collapsed="false">
      <c r="AK542" s="287"/>
      <c r="AL542" s="17"/>
    </row>
    <row r="543" customFormat="false" ht="15" hidden="false" customHeight="true" outlineLevel="0" collapsed="false">
      <c r="AK543" s="287"/>
      <c r="AL543" s="17"/>
    </row>
    <row r="544" customFormat="false" ht="15" hidden="false" customHeight="true" outlineLevel="0" collapsed="false">
      <c r="AK544" s="303"/>
      <c r="AL544" s="17"/>
    </row>
    <row r="545" customFormat="false" ht="15" hidden="false" customHeight="true" outlineLevel="0" collapsed="false">
      <c r="AK545" s="303"/>
      <c r="AL545" s="17"/>
    </row>
    <row r="546" customFormat="false" ht="15" hidden="false" customHeight="true" outlineLevel="0" collapsed="false">
      <c r="AK546" s="268"/>
      <c r="AL546" s="17"/>
    </row>
    <row r="547" customFormat="false" ht="15" hidden="false" customHeight="true" outlineLevel="0" collapsed="false">
      <c r="AK547" s="287"/>
      <c r="AL547" s="17"/>
    </row>
    <row r="548" customFormat="false" ht="15" hidden="false" customHeight="true" outlineLevel="0" collapsed="false">
      <c r="AK548" s="287"/>
      <c r="AL548" s="17"/>
    </row>
    <row r="549" customFormat="false" ht="15" hidden="false" customHeight="true" outlineLevel="0" collapsed="false">
      <c r="AK549" s="287"/>
      <c r="AL549" s="17"/>
    </row>
    <row r="550" customFormat="false" ht="15" hidden="false" customHeight="true" outlineLevel="0" collapsed="false">
      <c r="AK550" s="287"/>
      <c r="AL550" s="17"/>
    </row>
    <row r="551" customFormat="false" ht="15" hidden="false" customHeight="true" outlineLevel="0" collapsed="false">
      <c r="AK551" s="287"/>
      <c r="AL551" s="17"/>
    </row>
    <row r="552" customFormat="false" ht="15" hidden="false" customHeight="true" outlineLevel="0" collapsed="false">
      <c r="AK552" s="287"/>
      <c r="AL552" s="17"/>
    </row>
    <row r="553" customFormat="false" ht="15" hidden="false" customHeight="true" outlineLevel="0" collapsed="false">
      <c r="AK553" s="287"/>
      <c r="AL553" s="17"/>
    </row>
    <row r="554" customFormat="false" ht="15" hidden="false" customHeight="true" outlineLevel="0" collapsed="false">
      <c r="AK554" s="287"/>
      <c r="AL554" s="17"/>
    </row>
    <row r="555" customFormat="false" ht="15" hidden="false" customHeight="true" outlineLevel="0" collapsed="false">
      <c r="AK555" s="287"/>
      <c r="AL555" s="17"/>
    </row>
    <row r="556" customFormat="false" ht="15" hidden="false" customHeight="true" outlineLevel="0" collapsed="false">
      <c r="AK556" s="287"/>
      <c r="AL556" s="17"/>
    </row>
    <row r="557" customFormat="false" ht="15" hidden="false" customHeight="true" outlineLevel="0" collapsed="false">
      <c r="AK557" s="287"/>
      <c r="AL557" s="17"/>
    </row>
    <row r="558" customFormat="false" ht="15" hidden="false" customHeight="true" outlineLevel="0" collapsed="false">
      <c r="AK558" s="287"/>
      <c r="AL558" s="17"/>
    </row>
    <row r="559" customFormat="false" ht="15" hidden="false" customHeight="true" outlineLevel="0" collapsed="false">
      <c r="AK559" s="303"/>
      <c r="AL559" s="17"/>
    </row>
    <row r="560" customFormat="false" ht="15" hidden="false" customHeight="true" outlineLevel="0" collapsed="false">
      <c r="AK560" s="303"/>
      <c r="AL560" s="17"/>
    </row>
    <row r="561" customFormat="false" ht="15" hidden="false" customHeight="true" outlineLevel="0" collapsed="false">
      <c r="AK561" s="268"/>
      <c r="AL561" s="17"/>
    </row>
    <row r="562" customFormat="false" ht="15" hidden="false" customHeight="true" outlineLevel="0" collapsed="false">
      <c r="AK562" s="287"/>
      <c r="AL562" s="17"/>
    </row>
    <row r="563" customFormat="false" ht="15" hidden="false" customHeight="true" outlineLevel="0" collapsed="false">
      <c r="AK563" s="287"/>
      <c r="AL563" s="17"/>
    </row>
    <row r="564" customFormat="false" ht="15" hidden="false" customHeight="true" outlineLevel="0" collapsed="false">
      <c r="AK564" s="287"/>
      <c r="AL564" s="17"/>
    </row>
    <row r="565" customFormat="false" ht="15" hidden="false" customHeight="true" outlineLevel="0" collapsed="false">
      <c r="AK565" s="287"/>
      <c r="AL565" s="17"/>
    </row>
    <row r="566" customFormat="false" ht="15" hidden="false" customHeight="true" outlineLevel="0" collapsed="false">
      <c r="AK566" s="287"/>
      <c r="AL566" s="17"/>
    </row>
    <row r="567" customFormat="false" ht="15" hidden="false" customHeight="true" outlineLevel="0" collapsed="false">
      <c r="AK567" s="287"/>
      <c r="AL567" s="17"/>
    </row>
    <row r="568" customFormat="false" ht="15" hidden="false" customHeight="true" outlineLevel="0" collapsed="false">
      <c r="AK568" s="287"/>
      <c r="AL568" s="17"/>
    </row>
    <row r="569" customFormat="false" ht="15" hidden="false" customHeight="true" outlineLevel="0" collapsed="false">
      <c r="AK569" s="287"/>
      <c r="AL569" s="17"/>
    </row>
    <row r="570" customFormat="false" ht="15" hidden="false" customHeight="true" outlineLevel="0" collapsed="false">
      <c r="AK570" s="287"/>
      <c r="AL570" s="17"/>
    </row>
    <row r="571" customFormat="false" ht="15" hidden="false" customHeight="true" outlineLevel="0" collapsed="false">
      <c r="AK571" s="287"/>
      <c r="AL571" s="17"/>
    </row>
    <row r="572" customFormat="false" ht="15" hidden="false" customHeight="true" outlineLevel="0" collapsed="false">
      <c r="AK572" s="287"/>
      <c r="AL572" s="17"/>
    </row>
    <row r="573" customFormat="false" ht="15" hidden="false" customHeight="true" outlineLevel="0" collapsed="false">
      <c r="AK573" s="287"/>
      <c r="AL573" s="17"/>
    </row>
    <row r="574" customFormat="false" ht="15" hidden="false" customHeight="true" outlineLevel="0" collapsed="false">
      <c r="AK574" s="303"/>
      <c r="AL574" s="17"/>
    </row>
    <row r="575" customFormat="false" ht="15" hidden="false" customHeight="true" outlineLevel="0" collapsed="false">
      <c r="AK575" s="303"/>
      <c r="AL575" s="17"/>
    </row>
    <row r="576" customFormat="false" ht="15" hidden="false" customHeight="true" outlineLevel="0" collapsed="false">
      <c r="AK576" s="268"/>
      <c r="AL576" s="17"/>
    </row>
    <row r="577" customFormat="false" ht="15" hidden="false" customHeight="true" outlineLevel="0" collapsed="false">
      <c r="AK577" s="287"/>
      <c r="AL577" s="17"/>
    </row>
    <row r="578" customFormat="false" ht="15" hidden="false" customHeight="true" outlineLevel="0" collapsed="false">
      <c r="AK578" s="287"/>
      <c r="AL578" s="17"/>
    </row>
    <row r="579" customFormat="false" ht="15" hidden="false" customHeight="true" outlineLevel="0" collapsed="false">
      <c r="AK579" s="287"/>
      <c r="AL579" s="17"/>
    </row>
    <row r="580" customFormat="false" ht="15" hidden="false" customHeight="true" outlineLevel="0" collapsed="false">
      <c r="AK580" s="287"/>
      <c r="AL580" s="17"/>
    </row>
    <row r="581" customFormat="false" ht="15" hidden="false" customHeight="true" outlineLevel="0" collapsed="false">
      <c r="AK581" s="287"/>
      <c r="AL581" s="17"/>
    </row>
    <row r="582" customFormat="false" ht="15" hidden="false" customHeight="true" outlineLevel="0" collapsed="false">
      <c r="AK582" s="287"/>
      <c r="AL582" s="17"/>
    </row>
    <row r="583" customFormat="false" ht="15" hidden="false" customHeight="true" outlineLevel="0" collapsed="false">
      <c r="AK583" s="287"/>
      <c r="AL583" s="17"/>
    </row>
    <row r="584" customFormat="false" ht="15" hidden="false" customHeight="true" outlineLevel="0" collapsed="false">
      <c r="AK584" s="287"/>
      <c r="AL584" s="17"/>
    </row>
    <row r="585" customFormat="false" ht="15" hidden="false" customHeight="true" outlineLevel="0" collapsed="false">
      <c r="AK585" s="287"/>
      <c r="AL585" s="17"/>
    </row>
    <row r="586" customFormat="false" ht="15" hidden="false" customHeight="true" outlineLevel="0" collapsed="false">
      <c r="AK586" s="287"/>
      <c r="AL586" s="17"/>
    </row>
    <row r="587" customFormat="false" ht="15" hidden="false" customHeight="true" outlineLevel="0" collapsed="false">
      <c r="AK587" s="287"/>
      <c r="AL587" s="17"/>
    </row>
    <row r="588" customFormat="false" ht="15" hidden="false" customHeight="true" outlineLevel="0" collapsed="false">
      <c r="AK588" s="287"/>
      <c r="AL588" s="17"/>
    </row>
    <row r="589" customFormat="false" ht="15" hidden="false" customHeight="true" outlineLevel="0" collapsed="false">
      <c r="AK589" s="303"/>
      <c r="AL589" s="17"/>
    </row>
    <row r="590" customFormat="false" ht="15" hidden="false" customHeight="true" outlineLevel="0" collapsed="false">
      <c r="AK590" s="303"/>
      <c r="AL590" s="17"/>
    </row>
    <row r="591" customFormat="false" ht="15" hidden="false" customHeight="true" outlineLevel="0" collapsed="false">
      <c r="AK591" s="268"/>
      <c r="AL591" s="17"/>
    </row>
    <row r="592" customFormat="false" ht="15" hidden="false" customHeight="true" outlineLevel="0" collapsed="false">
      <c r="AK592" s="287"/>
      <c r="AL592" s="17"/>
    </row>
    <row r="593" customFormat="false" ht="15" hidden="false" customHeight="true" outlineLevel="0" collapsed="false">
      <c r="AK593" s="287"/>
      <c r="AL593" s="17"/>
    </row>
    <row r="594" customFormat="false" ht="15" hidden="false" customHeight="true" outlineLevel="0" collapsed="false">
      <c r="AK594" s="287"/>
      <c r="AL594" s="17"/>
    </row>
    <row r="595" customFormat="false" ht="15" hidden="false" customHeight="true" outlineLevel="0" collapsed="false">
      <c r="AK595" s="287"/>
      <c r="AL595" s="17"/>
    </row>
    <row r="596" customFormat="false" ht="15" hidden="false" customHeight="true" outlineLevel="0" collapsed="false">
      <c r="AK596" s="287"/>
      <c r="AL596" s="17"/>
    </row>
    <row r="597" customFormat="false" ht="15" hidden="false" customHeight="true" outlineLevel="0" collapsed="false">
      <c r="AK597" s="287"/>
      <c r="AL597" s="17"/>
    </row>
    <row r="598" customFormat="false" ht="15" hidden="false" customHeight="true" outlineLevel="0" collapsed="false">
      <c r="AK598" s="287"/>
      <c r="AL598" s="17"/>
    </row>
    <row r="599" customFormat="false" ht="15" hidden="false" customHeight="true" outlineLevel="0" collapsed="false">
      <c r="AK599" s="287"/>
      <c r="AL599" s="17"/>
    </row>
    <row r="600" customFormat="false" ht="15" hidden="false" customHeight="true" outlineLevel="0" collapsed="false">
      <c r="AK600" s="287"/>
      <c r="AL600" s="17"/>
    </row>
    <row r="601" customFormat="false" ht="15" hidden="false" customHeight="true" outlineLevel="0" collapsed="false">
      <c r="AK601" s="287"/>
      <c r="AL601" s="17"/>
    </row>
    <row r="602" customFormat="false" ht="15" hidden="false" customHeight="true" outlineLevel="0" collapsed="false">
      <c r="AK602" s="287"/>
      <c r="AL602" s="17"/>
    </row>
    <row r="603" customFormat="false" ht="15" hidden="false" customHeight="true" outlineLevel="0" collapsed="false">
      <c r="AK603" s="287"/>
      <c r="AL603" s="17"/>
    </row>
    <row r="604" customFormat="false" ht="15" hidden="false" customHeight="true" outlineLevel="0" collapsed="false">
      <c r="AK604" s="303"/>
      <c r="AL604" s="17"/>
    </row>
    <row r="605" customFormat="false" ht="15" hidden="false" customHeight="true" outlineLevel="0" collapsed="false">
      <c r="AK605" s="303"/>
      <c r="AL605" s="17"/>
    </row>
    <row r="606" customFormat="false" ht="15" hidden="false" customHeight="true" outlineLevel="0" collapsed="false">
      <c r="AK606" s="268"/>
      <c r="AL606" s="17"/>
    </row>
    <row r="607" customFormat="false" ht="15" hidden="false" customHeight="true" outlineLevel="0" collapsed="false">
      <c r="AK607" s="287"/>
      <c r="AL607" s="17"/>
    </row>
    <row r="608" customFormat="false" ht="15" hidden="false" customHeight="true" outlineLevel="0" collapsed="false">
      <c r="AK608" s="287"/>
      <c r="AL608" s="17"/>
    </row>
    <row r="609" customFormat="false" ht="15" hidden="false" customHeight="true" outlineLevel="0" collapsed="false">
      <c r="AK609" s="287"/>
      <c r="AL609" s="17"/>
    </row>
    <row r="610" customFormat="false" ht="15" hidden="false" customHeight="true" outlineLevel="0" collapsed="false">
      <c r="AK610" s="287"/>
      <c r="AL610" s="17"/>
    </row>
    <row r="611" customFormat="false" ht="15" hidden="false" customHeight="true" outlineLevel="0" collapsed="false">
      <c r="AK611" s="287"/>
      <c r="AL611" s="17"/>
    </row>
    <row r="612" customFormat="false" ht="15" hidden="false" customHeight="true" outlineLevel="0" collapsed="false">
      <c r="AK612" s="287"/>
      <c r="AL612" s="17"/>
    </row>
    <row r="613" customFormat="false" ht="15" hidden="false" customHeight="true" outlineLevel="0" collapsed="false">
      <c r="AK613" s="287"/>
      <c r="AL613" s="17"/>
    </row>
    <row r="614" customFormat="false" ht="15" hidden="false" customHeight="true" outlineLevel="0" collapsed="false">
      <c r="AK614" s="287"/>
      <c r="AL614" s="17"/>
    </row>
    <row r="615" customFormat="false" ht="15" hidden="false" customHeight="true" outlineLevel="0" collapsed="false">
      <c r="AK615" s="287"/>
      <c r="AL615" s="17"/>
    </row>
    <row r="616" customFormat="false" ht="15" hidden="false" customHeight="true" outlineLevel="0" collapsed="false">
      <c r="AK616" s="287"/>
      <c r="AL616" s="17"/>
    </row>
    <row r="617" customFormat="false" ht="15" hidden="false" customHeight="true" outlineLevel="0" collapsed="false">
      <c r="AK617" s="287"/>
      <c r="AL617" s="17"/>
    </row>
    <row r="618" customFormat="false" ht="15" hidden="false" customHeight="true" outlineLevel="0" collapsed="false">
      <c r="AK618" s="287"/>
      <c r="AL618" s="17"/>
    </row>
    <row r="619" customFormat="false" ht="15" hidden="false" customHeight="true" outlineLevel="0" collapsed="false">
      <c r="AK619" s="303"/>
      <c r="AL619" s="17"/>
    </row>
    <row r="620" customFormat="false" ht="15" hidden="false" customHeight="true" outlineLevel="0" collapsed="false">
      <c r="AL620" s="17"/>
    </row>
    <row r="621" customFormat="false" ht="15" hidden="false" customHeight="true" outlineLevel="0" collapsed="false">
      <c r="AK621" s="268"/>
      <c r="AL621" s="17"/>
    </row>
    <row r="622" customFormat="false" ht="15" hidden="false" customHeight="true" outlineLevel="0" collapsed="false">
      <c r="AK622" s="287"/>
      <c r="AL622" s="17"/>
    </row>
    <row r="623" customFormat="false" ht="15" hidden="false" customHeight="true" outlineLevel="0" collapsed="false">
      <c r="AK623" s="287"/>
      <c r="AL623" s="17"/>
    </row>
    <row r="624" customFormat="false" ht="15" hidden="false" customHeight="true" outlineLevel="0" collapsed="false">
      <c r="AK624" s="287"/>
      <c r="AL624" s="17"/>
    </row>
    <row r="625" customFormat="false" ht="15" hidden="false" customHeight="true" outlineLevel="0" collapsed="false">
      <c r="AK625" s="287"/>
      <c r="AL625" s="17"/>
    </row>
    <row r="626" customFormat="false" ht="15" hidden="false" customHeight="true" outlineLevel="0" collapsed="false">
      <c r="AK626" s="287"/>
      <c r="AL626" s="17"/>
    </row>
    <row r="627" customFormat="false" ht="15" hidden="false" customHeight="true" outlineLevel="0" collapsed="false">
      <c r="AK627" s="287"/>
      <c r="AL627" s="17"/>
    </row>
    <row r="628" customFormat="false" ht="15" hidden="false" customHeight="true" outlineLevel="0" collapsed="false">
      <c r="AK628" s="287"/>
      <c r="AL628" s="17"/>
    </row>
    <row r="629" customFormat="false" ht="15" hidden="false" customHeight="true" outlineLevel="0" collapsed="false">
      <c r="AK629" s="287"/>
      <c r="AL629" s="17"/>
    </row>
    <row r="630" customFormat="false" ht="15" hidden="false" customHeight="true" outlineLevel="0" collapsed="false">
      <c r="AK630" s="287"/>
      <c r="AL630" s="17"/>
    </row>
    <row r="631" customFormat="false" ht="15" hidden="false" customHeight="true" outlineLevel="0" collapsed="false">
      <c r="AK631" s="287"/>
      <c r="AL631" s="17"/>
    </row>
    <row r="632" customFormat="false" ht="15" hidden="false" customHeight="true" outlineLevel="0" collapsed="false">
      <c r="AK632" s="287"/>
      <c r="AL632" s="17"/>
    </row>
    <row r="633" customFormat="false" ht="15" hidden="false" customHeight="true" outlineLevel="0" collapsed="false">
      <c r="AK633" s="287"/>
      <c r="AL633" s="17"/>
    </row>
    <row r="634" customFormat="false" ht="15" hidden="false" customHeight="true" outlineLevel="0" collapsed="false">
      <c r="AK634" s="303"/>
      <c r="AL634" s="17"/>
    </row>
    <row r="635" customFormat="false" ht="15" hidden="false" customHeight="true" outlineLevel="0" collapsed="false">
      <c r="AL635" s="17"/>
    </row>
    <row r="636" customFormat="false" ht="15" hidden="false" customHeight="true" outlineLevel="0" collapsed="false">
      <c r="AK636" s="268"/>
      <c r="AL636" s="17"/>
    </row>
    <row r="637" customFormat="false" ht="15" hidden="false" customHeight="true" outlineLevel="0" collapsed="false">
      <c r="AK637" s="287"/>
      <c r="AL637" s="17"/>
    </row>
    <row r="638" customFormat="false" ht="15" hidden="false" customHeight="true" outlineLevel="0" collapsed="false">
      <c r="AK638" s="287"/>
      <c r="AL638" s="17"/>
    </row>
    <row r="639" customFormat="false" ht="15" hidden="false" customHeight="true" outlineLevel="0" collapsed="false">
      <c r="AK639" s="287"/>
      <c r="AL639" s="17"/>
    </row>
    <row r="640" customFormat="false" ht="15" hidden="false" customHeight="true" outlineLevel="0" collapsed="false">
      <c r="AK640" s="287"/>
      <c r="AL640" s="17"/>
    </row>
    <row r="641" customFormat="false" ht="15" hidden="false" customHeight="true" outlineLevel="0" collapsed="false">
      <c r="AK641" s="287"/>
      <c r="AL641" s="17"/>
    </row>
    <row r="642" customFormat="false" ht="15" hidden="false" customHeight="true" outlineLevel="0" collapsed="false">
      <c r="AK642" s="287"/>
      <c r="AL642" s="17"/>
    </row>
    <row r="643" customFormat="false" ht="15" hidden="false" customHeight="true" outlineLevel="0" collapsed="false">
      <c r="AK643" s="287"/>
      <c r="AL643" s="17"/>
    </row>
    <row r="644" customFormat="false" ht="15" hidden="false" customHeight="true" outlineLevel="0" collapsed="false">
      <c r="AK644" s="287"/>
      <c r="AL644" s="17"/>
    </row>
    <row r="645" customFormat="false" ht="15" hidden="false" customHeight="true" outlineLevel="0" collapsed="false">
      <c r="AK645" s="287"/>
      <c r="AL645" s="17"/>
    </row>
    <row r="646" customFormat="false" ht="15" hidden="false" customHeight="true" outlineLevel="0" collapsed="false">
      <c r="AK646" s="287"/>
      <c r="AL646" s="17"/>
    </row>
    <row r="647" customFormat="false" ht="15" hidden="false" customHeight="true" outlineLevel="0" collapsed="false">
      <c r="AK647" s="287"/>
      <c r="AL647" s="17"/>
    </row>
    <row r="648" customFormat="false" ht="15" hidden="false" customHeight="true" outlineLevel="0" collapsed="false">
      <c r="AK648" s="287"/>
      <c r="AL648" s="17"/>
    </row>
    <row r="649" customFormat="false" ht="15" hidden="false" customHeight="true" outlineLevel="0" collapsed="false">
      <c r="AK649" s="303"/>
      <c r="AL649" s="17"/>
    </row>
    <row r="650" customFormat="false" ht="15" hidden="false" customHeight="true" outlineLevel="0" collapsed="false">
      <c r="AL650" s="17"/>
    </row>
    <row r="651" customFormat="false" ht="15" hidden="false" customHeight="true" outlineLevel="0" collapsed="false">
      <c r="AK651" s="268"/>
      <c r="AL651" s="17"/>
    </row>
    <row r="652" customFormat="false" ht="15" hidden="false" customHeight="true" outlineLevel="0" collapsed="false">
      <c r="AK652" s="287"/>
      <c r="AL652" s="17"/>
    </row>
    <row r="653" customFormat="false" ht="15" hidden="false" customHeight="true" outlineLevel="0" collapsed="false">
      <c r="AK653" s="287"/>
      <c r="AL653" s="17"/>
    </row>
    <row r="654" customFormat="false" ht="15" hidden="false" customHeight="true" outlineLevel="0" collapsed="false">
      <c r="AK654" s="287"/>
      <c r="AL654" s="17"/>
    </row>
    <row r="655" customFormat="false" ht="15" hidden="false" customHeight="true" outlineLevel="0" collapsed="false">
      <c r="AK655" s="287"/>
      <c r="AL655" s="17"/>
    </row>
    <row r="656" customFormat="false" ht="15" hidden="false" customHeight="true" outlineLevel="0" collapsed="false">
      <c r="AK656" s="287"/>
      <c r="AL656" s="17"/>
    </row>
    <row r="657" customFormat="false" ht="15" hidden="false" customHeight="true" outlineLevel="0" collapsed="false">
      <c r="AK657" s="287"/>
      <c r="AL657" s="17"/>
    </row>
    <row r="658" customFormat="false" ht="15" hidden="false" customHeight="true" outlineLevel="0" collapsed="false">
      <c r="AK658" s="287"/>
      <c r="AL658" s="17"/>
    </row>
    <row r="659" customFormat="false" ht="15" hidden="false" customHeight="true" outlineLevel="0" collapsed="false">
      <c r="AK659" s="287"/>
      <c r="AL659" s="17"/>
    </row>
    <row r="660" customFormat="false" ht="15" hidden="false" customHeight="true" outlineLevel="0" collapsed="false">
      <c r="AK660" s="287"/>
      <c r="AL660" s="17"/>
    </row>
    <row r="661" customFormat="false" ht="15" hidden="false" customHeight="true" outlineLevel="0" collapsed="false">
      <c r="AK661" s="287"/>
      <c r="AL661" s="17"/>
    </row>
    <row r="662" customFormat="false" ht="15" hidden="false" customHeight="true" outlineLevel="0" collapsed="false">
      <c r="AK662" s="287"/>
      <c r="AL662" s="17"/>
    </row>
    <row r="663" customFormat="false" ht="15" hidden="false" customHeight="true" outlineLevel="0" collapsed="false">
      <c r="AK663" s="287"/>
      <c r="AL663" s="17"/>
    </row>
    <row r="664" customFormat="false" ht="15" hidden="false" customHeight="true" outlineLevel="0" collapsed="false">
      <c r="AK664" s="303"/>
      <c r="AL664" s="17"/>
    </row>
    <row r="665" customFormat="false" ht="15" hidden="false" customHeight="true" outlineLevel="0" collapsed="false">
      <c r="AL665" s="17"/>
    </row>
    <row r="666" customFormat="false" ht="15" hidden="false" customHeight="true" outlineLevel="0" collapsed="false">
      <c r="AK666" s="268"/>
      <c r="AL666" s="17"/>
    </row>
    <row r="667" customFormat="false" ht="15" hidden="false" customHeight="true" outlineLevel="0" collapsed="false">
      <c r="AK667" s="287"/>
      <c r="AL667" s="17"/>
    </row>
    <row r="668" customFormat="false" ht="15" hidden="false" customHeight="true" outlineLevel="0" collapsed="false">
      <c r="AK668" s="287"/>
      <c r="AL668" s="17"/>
    </row>
    <row r="669" customFormat="false" ht="15" hidden="false" customHeight="true" outlineLevel="0" collapsed="false">
      <c r="AK669" s="287"/>
      <c r="AL669" s="17"/>
    </row>
    <row r="670" customFormat="false" ht="15" hidden="false" customHeight="true" outlineLevel="0" collapsed="false">
      <c r="AK670" s="287"/>
      <c r="AL670" s="17"/>
    </row>
    <row r="671" customFormat="false" ht="15" hidden="false" customHeight="true" outlineLevel="0" collapsed="false">
      <c r="AK671" s="287"/>
      <c r="AL671" s="17"/>
    </row>
    <row r="672" customFormat="false" ht="15" hidden="false" customHeight="true" outlineLevel="0" collapsed="false">
      <c r="AK672" s="287"/>
      <c r="AL672" s="17"/>
    </row>
    <row r="673" customFormat="false" ht="15" hidden="false" customHeight="true" outlineLevel="0" collapsed="false">
      <c r="AK673" s="287"/>
      <c r="AL673" s="17"/>
    </row>
    <row r="674" customFormat="false" ht="15" hidden="false" customHeight="true" outlineLevel="0" collapsed="false">
      <c r="AK674" s="287"/>
      <c r="AL674" s="17"/>
    </row>
    <row r="675" customFormat="false" ht="15" hidden="false" customHeight="true" outlineLevel="0" collapsed="false">
      <c r="AK675" s="287"/>
      <c r="AL675" s="17"/>
    </row>
    <row r="676" customFormat="false" ht="15" hidden="false" customHeight="true" outlineLevel="0" collapsed="false">
      <c r="AK676" s="287"/>
      <c r="AL676" s="17"/>
    </row>
    <row r="677" customFormat="false" ht="15" hidden="false" customHeight="true" outlineLevel="0" collapsed="false">
      <c r="AK677" s="287"/>
      <c r="AL677" s="17"/>
    </row>
    <row r="678" customFormat="false" ht="15" hidden="false" customHeight="true" outlineLevel="0" collapsed="false">
      <c r="AK678" s="287"/>
      <c r="AL678" s="17"/>
    </row>
    <row r="679" customFormat="false" ht="15" hidden="false" customHeight="true" outlineLevel="0" collapsed="false">
      <c r="AK679" s="303"/>
      <c r="AL679" s="17"/>
    </row>
    <row r="680" customFormat="false" ht="15" hidden="false" customHeight="true" outlineLevel="0" collapsed="false">
      <c r="AL680" s="17"/>
    </row>
    <row r="681" customFormat="false" ht="15" hidden="false" customHeight="true" outlineLevel="0" collapsed="false">
      <c r="AK681" s="268"/>
      <c r="AL681" s="17"/>
    </row>
    <row r="682" customFormat="false" ht="15" hidden="false" customHeight="true" outlineLevel="0" collapsed="false">
      <c r="AK682" s="287"/>
      <c r="AL682" s="17"/>
    </row>
    <row r="683" customFormat="false" ht="15" hidden="false" customHeight="true" outlineLevel="0" collapsed="false">
      <c r="AK683" s="287"/>
      <c r="AL683" s="17"/>
    </row>
    <row r="684" customFormat="false" ht="15" hidden="false" customHeight="true" outlineLevel="0" collapsed="false">
      <c r="AK684" s="287"/>
      <c r="AL684" s="17"/>
    </row>
    <row r="685" customFormat="false" ht="15" hidden="false" customHeight="true" outlineLevel="0" collapsed="false">
      <c r="AK685" s="287"/>
      <c r="AL685" s="17"/>
    </row>
    <row r="686" customFormat="false" ht="15" hidden="false" customHeight="true" outlineLevel="0" collapsed="false">
      <c r="AK686" s="287"/>
      <c r="AL686" s="17"/>
    </row>
    <row r="687" customFormat="false" ht="15" hidden="false" customHeight="true" outlineLevel="0" collapsed="false">
      <c r="AK687" s="287"/>
      <c r="AL687" s="17"/>
    </row>
    <row r="688" customFormat="false" ht="15" hidden="false" customHeight="true" outlineLevel="0" collapsed="false">
      <c r="AK688" s="287"/>
      <c r="AL688" s="17"/>
    </row>
    <row r="689" customFormat="false" ht="15" hidden="false" customHeight="true" outlineLevel="0" collapsed="false">
      <c r="AK689" s="287"/>
      <c r="AL689" s="17"/>
    </row>
    <row r="690" customFormat="false" ht="15" hidden="false" customHeight="true" outlineLevel="0" collapsed="false">
      <c r="AK690" s="287"/>
      <c r="AL690" s="17"/>
    </row>
    <row r="691" customFormat="false" ht="15" hidden="false" customHeight="true" outlineLevel="0" collapsed="false">
      <c r="AK691" s="287"/>
      <c r="AL691" s="17"/>
    </row>
    <row r="692" customFormat="false" ht="15" hidden="false" customHeight="true" outlineLevel="0" collapsed="false">
      <c r="AK692" s="287"/>
      <c r="AL692" s="17"/>
    </row>
    <row r="693" customFormat="false" ht="15" hidden="false" customHeight="true" outlineLevel="0" collapsed="false">
      <c r="AK693" s="287"/>
      <c r="AL693" s="17"/>
    </row>
    <row r="694" customFormat="false" ht="15" hidden="false" customHeight="true" outlineLevel="0" collapsed="false">
      <c r="AK694" s="303"/>
      <c r="AL694" s="17"/>
    </row>
    <row r="695" customFormat="false" ht="15" hidden="false" customHeight="true" outlineLevel="0" collapsed="false">
      <c r="AL695" s="17"/>
    </row>
    <row r="696" customFormat="false" ht="15" hidden="false" customHeight="true" outlineLevel="0" collapsed="false">
      <c r="AK696" s="268"/>
      <c r="AL696" s="17"/>
    </row>
    <row r="697" customFormat="false" ht="15" hidden="false" customHeight="true" outlineLevel="0" collapsed="false">
      <c r="AK697" s="287"/>
      <c r="AL697" s="17"/>
    </row>
    <row r="698" customFormat="false" ht="15" hidden="false" customHeight="true" outlineLevel="0" collapsed="false">
      <c r="AK698" s="287"/>
      <c r="AL698" s="17"/>
    </row>
    <row r="699" customFormat="false" ht="15" hidden="false" customHeight="true" outlineLevel="0" collapsed="false">
      <c r="AK699" s="287"/>
      <c r="AL699" s="17"/>
    </row>
    <row r="700" customFormat="false" ht="15" hidden="false" customHeight="true" outlineLevel="0" collapsed="false">
      <c r="AK700" s="287"/>
      <c r="AL700" s="17"/>
    </row>
    <row r="701" customFormat="false" ht="15" hidden="false" customHeight="true" outlineLevel="0" collapsed="false">
      <c r="AK701" s="287"/>
      <c r="AL701" s="17"/>
    </row>
    <row r="702" customFormat="false" ht="15" hidden="false" customHeight="true" outlineLevel="0" collapsed="false">
      <c r="AK702" s="287"/>
      <c r="AL702" s="17"/>
    </row>
    <row r="703" customFormat="false" ht="15" hidden="false" customHeight="true" outlineLevel="0" collapsed="false">
      <c r="AK703" s="287"/>
      <c r="AL703" s="17"/>
    </row>
    <row r="704" customFormat="false" ht="15" hidden="false" customHeight="true" outlineLevel="0" collapsed="false">
      <c r="AK704" s="287"/>
      <c r="AL704" s="17"/>
    </row>
    <row r="705" customFormat="false" ht="15" hidden="false" customHeight="true" outlineLevel="0" collapsed="false">
      <c r="AK705" s="287"/>
      <c r="AL705" s="17"/>
    </row>
    <row r="706" customFormat="false" ht="15" hidden="false" customHeight="true" outlineLevel="0" collapsed="false">
      <c r="AK706" s="287"/>
      <c r="AL706" s="17"/>
    </row>
    <row r="707" customFormat="false" ht="15" hidden="false" customHeight="true" outlineLevel="0" collapsed="false">
      <c r="AK707" s="287"/>
      <c r="AL707" s="17"/>
    </row>
    <row r="708" customFormat="false" ht="15" hidden="false" customHeight="true" outlineLevel="0" collapsed="false">
      <c r="AK708" s="287"/>
      <c r="AL708" s="17"/>
    </row>
    <row r="709" customFormat="false" ht="15" hidden="false" customHeight="true" outlineLevel="0" collapsed="false">
      <c r="AK709" s="303"/>
      <c r="AL709" s="17"/>
    </row>
    <row r="710" customFormat="false" ht="15" hidden="false" customHeight="true" outlineLevel="0" collapsed="false">
      <c r="AK710" s="303"/>
      <c r="AL710" s="17"/>
    </row>
    <row r="711" customFormat="false" ht="15" hidden="false" customHeight="true" outlineLevel="0" collapsed="false">
      <c r="AK711" s="268"/>
      <c r="AL711" s="17"/>
    </row>
    <row r="712" customFormat="false" ht="15" hidden="false" customHeight="true" outlineLevel="0" collapsed="false">
      <c r="AK712" s="287"/>
      <c r="AL712" s="17"/>
    </row>
    <row r="713" customFormat="false" ht="15" hidden="false" customHeight="true" outlineLevel="0" collapsed="false">
      <c r="AK713" s="287"/>
      <c r="AL713" s="17"/>
    </row>
    <row r="714" customFormat="false" ht="15" hidden="false" customHeight="true" outlineLevel="0" collapsed="false">
      <c r="AK714" s="287"/>
      <c r="AL714" s="17"/>
    </row>
    <row r="715" customFormat="false" ht="15" hidden="false" customHeight="true" outlineLevel="0" collapsed="false">
      <c r="AK715" s="287"/>
      <c r="AL715" s="17"/>
    </row>
    <row r="716" customFormat="false" ht="15" hidden="false" customHeight="true" outlineLevel="0" collapsed="false">
      <c r="AK716" s="287"/>
      <c r="AL716" s="17"/>
    </row>
    <row r="717" customFormat="false" ht="15" hidden="false" customHeight="true" outlineLevel="0" collapsed="false">
      <c r="AK717" s="287"/>
      <c r="AL717" s="17"/>
    </row>
    <row r="718" customFormat="false" ht="15" hidden="false" customHeight="true" outlineLevel="0" collapsed="false">
      <c r="AK718" s="287"/>
      <c r="AL718" s="17"/>
    </row>
    <row r="719" customFormat="false" ht="15" hidden="false" customHeight="true" outlineLevel="0" collapsed="false">
      <c r="AK719" s="287"/>
      <c r="AL719" s="17"/>
    </row>
    <row r="720" customFormat="false" ht="15" hidden="false" customHeight="true" outlineLevel="0" collapsed="false">
      <c r="AK720" s="287"/>
      <c r="AL720" s="17"/>
    </row>
    <row r="721" customFormat="false" ht="15" hidden="false" customHeight="true" outlineLevel="0" collapsed="false">
      <c r="AK721" s="287"/>
      <c r="AL721" s="17"/>
    </row>
    <row r="722" customFormat="false" ht="15" hidden="false" customHeight="true" outlineLevel="0" collapsed="false">
      <c r="AK722" s="287"/>
      <c r="AL722" s="17"/>
    </row>
    <row r="723" customFormat="false" ht="15" hidden="false" customHeight="true" outlineLevel="0" collapsed="false">
      <c r="AK723" s="287"/>
      <c r="AL723" s="17"/>
    </row>
    <row r="724" customFormat="false" ht="15" hidden="false" customHeight="true" outlineLevel="0" collapsed="false">
      <c r="AK724" s="303"/>
      <c r="AL724" s="17"/>
    </row>
    <row r="725" customFormat="false" ht="15" hidden="false" customHeight="true" outlineLevel="0" collapsed="false">
      <c r="AK725" s="303"/>
      <c r="AL725" s="17"/>
    </row>
    <row r="726" customFormat="false" ht="15" hidden="false" customHeight="true" outlineLevel="0" collapsed="false">
      <c r="AK726" s="268"/>
      <c r="AL726" s="17"/>
    </row>
    <row r="727" customFormat="false" ht="15" hidden="false" customHeight="true" outlineLevel="0" collapsed="false">
      <c r="AK727" s="287"/>
      <c r="AL727" s="17"/>
    </row>
    <row r="728" customFormat="false" ht="15" hidden="false" customHeight="true" outlineLevel="0" collapsed="false">
      <c r="AK728" s="287"/>
      <c r="AL728" s="17"/>
    </row>
    <row r="729" customFormat="false" ht="15" hidden="false" customHeight="true" outlineLevel="0" collapsed="false">
      <c r="AK729" s="287"/>
      <c r="AL729" s="17"/>
    </row>
    <row r="730" customFormat="false" ht="15" hidden="false" customHeight="true" outlineLevel="0" collapsed="false">
      <c r="AK730" s="287"/>
      <c r="AL730" s="17"/>
    </row>
    <row r="731" customFormat="false" ht="15" hidden="false" customHeight="true" outlineLevel="0" collapsed="false">
      <c r="AK731" s="287"/>
      <c r="AL731" s="17"/>
    </row>
    <row r="732" customFormat="false" ht="15" hidden="false" customHeight="true" outlineLevel="0" collapsed="false">
      <c r="AK732" s="287"/>
      <c r="AL732" s="17"/>
    </row>
    <row r="733" customFormat="false" ht="15" hidden="false" customHeight="true" outlineLevel="0" collapsed="false">
      <c r="AK733" s="287"/>
      <c r="AL733" s="17"/>
    </row>
    <row r="734" customFormat="false" ht="15" hidden="false" customHeight="true" outlineLevel="0" collapsed="false">
      <c r="AK734" s="287"/>
      <c r="AL734" s="17"/>
    </row>
    <row r="735" customFormat="false" ht="15" hidden="false" customHeight="true" outlineLevel="0" collapsed="false">
      <c r="AK735" s="287"/>
      <c r="AL735" s="17"/>
    </row>
    <row r="736" customFormat="false" ht="15" hidden="false" customHeight="true" outlineLevel="0" collapsed="false">
      <c r="AK736" s="287"/>
      <c r="AL736" s="17"/>
    </row>
    <row r="737" customFormat="false" ht="15" hidden="false" customHeight="true" outlineLevel="0" collapsed="false">
      <c r="AK737" s="287"/>
      <c r="AL737" s="17"/>
    </row>
    <row r="738" customFormat="false" ht="15" hidden="false" customHeight="true" outlineLevel="0" collapsed="false">
      <c r="AK738" s="287"/>
      <c r="AL738" s="17"/>
    </row>
    <row r="739" customFormat="false" ht="15" hidden="false" customHeight="true" outlineLevel="0" collapsed="false">
      <c r="AK739" s="303"/>
      <c r="AL739" s="17"/>
    </row>
    <row r="740" customFormat="false" ht="15" hidden="false" customHeight="true" outlineLevel="0" collapsed="false">
      <c r="AK740" s="303"/>
      <c r="AL740" s="17"/>
    </row>
    <row r="741" customFormat="false" ht="15" hidden="false" customHeight="true" outlineLevel="0" collapsed="false">
      <c r="AK741" s="268"/>
      <c r="AL741" s="17"/>
    </row>
    <row r="742" customFormat="false" ht="15" hidden="false" customHeight="true" outlineLevel="0" collapsed="false">
      <c r="AK742" s="287"/>
      <c r="AL742" s="17"/>
    </row>
    <row r="743" customFormat="false" ht="15" hidden="false" customHeight="true" outlineLevel="0" collapsed="false">
      <c r="AK743" s="287"/>
      <c r="AL743" s="17"/>
    </row>
    <row r="744" customFormat="false" ht="15" hidden="false" customHeight="true" outlineLevel="0" collapsed="false">
      <c r="AK744" s="287"/>
      <c r="AL744" s="17"/>
    </row>
    <row r="745" customFormat="false" ht="15" hidden="false" customHeight="true" outlineLevel="0" collapsed="false">
      <c r="AK745" s="287"/>
      <c r="AL745" s="17"/>
    </row>
    <row r="746" customFormat="false" ht="15" hidden="false" customHeight="true" outlineLevel="0" collapsed="false">
      <c r="AK746" s="287"/>
      <c r="AL746" s="17"/>
    </row>
    <row r="747" customFormat="false" ht="15" hidden="false" customHeight="true" outlineLevel="0" collapsed="false">
      <c r="AK747" s="287"/>
      <c r="AL747" s="17"/>
    </row>
    <row r="748" customFormat="false" ht="15" hidden="false" customHeight="true" outlineLevel="0" collapsed="false">
      <c r="AK748" s="287"/>
      <c r="AL748" s="17"/>
    </row>
    <row r="749" customFormat="false" ht="15" hidden="false" customHeight="true" outlineLevel="0" collapsed="false">
      <c r="AK749" s="287"/>
      <c r="AL749" s="17"/>
    </row>
    <row r="750" customFormat="false" ht="15" hidden="false" customHeight="true" outlineLevel="0" collapsed="false">
      <c r="AK750" s="287"/>
      <c r="AL750" s="17"/>
    </row>
    <row r="751" customFormat="false" ht="15" hidden="false" customHeight="true" outlineLevel="0" collapsed="false">
      <c r="AK751" s="287"/>
      <c r="AL751" s="17"/>
    </row>
    <row r="752" customFormat="false" ht="15" hidden="false" customHeight="true" outlineLevel="0" collapsed="false">
      <c r="AK752" s="287"/>
      <c r="AL752" s="17"/>
    </row>
    <row r="753" customFormat="false" ht="15" hidden="false" customHeight="true" outlineLevel="0" collapsed="false">
      <c r="AK753" s="287"/>
      <c r="AL753" s="17"/>
    </row>
    <row r="754" customFormat="false" ht="15" hidden="false" customHeight="true" outlineLevel="0" collapsed="false">
      <c r="AK754" s="303"/>
      <c r="AL754" s="17"/>
    </row>
    <row r="755" customFormat="false" ht="15" hidden="false" customHeight="true" outlineLevel="0" collapsed="false">
      <c r="AK755" s="303"/>
      <c r="AL755" s="17"/>
    </row>
    <row r="756" customFormat="false" ht="15" hidden="false" customHeight="true" outlineLevel="0" collapsed="false">
      <c r="AK756" s="268"/>
      <c r="AL756" s="17"/>
    </row>
    <row r="757" customFormat="false" ht="15" hidden="false" customHeight="true" outlineLevel="0" collapsed="false">
      <c r="AK757" s="287"/>
      <c r="AL757" s="17"/>
    </row>
    <row r="758" customFormat="false" ht="15" hidden="false" customHeight="true" outlineLevel="0" collapsed="false">
      <c r="AK758" s="287"/>
      <c r="AL758" s="17"/>
    </row>
    <row r="759" customFormat="false" ht="15" hidden="false" customHeight="true" outlineLevel="0" collapsed="false">
      <c r="AK759" s="287"/>
      <c r="AL759" s="17"/>
    </row>
    <row r="760" customFormat="false" ht="15" hidden="false" customHeight="true" outlineLevel="0" collapsed="false">
      <c r="AK760" s="287"/>
      <c r="AL760" s="17"/>
    </row>
    <row r="761" customFormat="false" ht="15" hidden="false" customHeight="true" outlineLevel="0" collapsed="false">
      <c r="AK761" s="287"/>
      <c r="AL761" s="17"/>
    </row>
    <row r="762" customFormat="false" ht="15" hidden="false" customHeight="true" outlineLevel="0" collapsed="false">
      <c r="AK762" s="287"/>
      <c r="AL762" s="17"/>
    </row>
    <row r="763" customFormat="false" ht="15" hidden="false" customHeight="true" outlineLevel="0" collapsed="false">
      <c r="AK763" s="287"/>
      <c r="AL763" s="17"/>
    </row>
    <row r="764" customFormat="false" ht="15" hidden="false" customHeight="true" outlineLevel="0" collapsed="false">
      <c r="AK764" s="287"/>
      <c r="AL764" s="17"/>
    </row>
    <row r="765" customFormat="false" ht="15" hidden="false" customHeight="true" outlineLevel="0" collapsed="false">
      <c r="AK765" s="287"/>
      <c r="AL765" s="17"/>
    </row>
    <row r="766" customFormat="false" ht="15" hidden="false" customHeight="true" outlineLevel="0" collapsed="false">
      <c r="AK766" s="287"/>
      <c r="AL766" s="17"/>
    </row>
    <row r="767" customFormat="false" ht="15" hidden="false" customHeight="true" outlineLevel="0" collapsed="false">
      <c r="AK767" s="287"/>
      <c r="AL767" s="17"/>
    </row>
    <row r="768" customFormat="false" ht="15" hidden="false" customHeight="true" outlineLevel="0" collapsed="false">
      <c r="AK768" s="287"/>
      <c r="AL768" s="17"/>
    </row>
    <row r="769" customFormat="false" ht="15" hidden="false" customHeight="true" outlineLevel="0" collapsed="false">
      <c r="AK769" s="303"/>
      <c r="AL769" s="17"/>
    </row>
    <row r="770" customFormat="false" ht="15" hidden="false" customHeight="true" outlineLevel="0" collapsed="false">
      <c r="AK770" s="303"/>
      <c r="AL770" s="17"/>
    </row>
    <row r="771" customFormat="false" ht="15" hidden="false" customHeight="true" outlineLevel="0" collapsed="false">
      <c r="AK771" s="268"/>
      <c r="AL771" s="17"/>
    </row>
    <row r="772" customFormat="false" ht="15" hidden="false" customHeight="true" outlineLevel="0" collapsed="false">
      <c r="AK772" s="287"/>
      <c r="AL772" s="17"/>
    </row>
    <row r="773" customFormat="false" ht="15" hidden="false" customHeight="true" outlineLevel="0" collapsed="false">
      <c r="AK773" s="287"/>
      <c r="AL773" s="17"/>
    </row>
    <row r="774" customFormat="false" ht="15" hidden="false" customHeight="true" outlineLevel="0" collapsed="false">
      <c r="AK774" s="287"/>
      <c r="AL774" s="17"/>
    </row>
    <row r="775" customFormat="false" ht="15" hidden="false" customHeight="true" outlineLevel="0" collapsed="false">
      <c r="AK775" s="287"/>
      <c r="AL775" s="17"/>
    </row>
    <row r="776" customFormat="false" ht="15" hidden="false" customHeight="true" outlineLevel="0" collapsed="false">
      <c r="AK776" s="287"/>
      <c r="AL776" s="17"/>
    </row>
    <row r="777" customFormat="false" ht="15" hidden="false" customHeight="true" outlineLevel="0" collapsed="false">
      <c r="AK777" s="287"/>
      <c r="AL777" s="17"/>
    </row>
    <row r="778" customFormat="false" ht="15" hidden="false" customHeight="true" outlineLevel="0" collapsed="false">
      <c r="AK778" s="287"/>
      <c r="AL778" s="17"/>
    </row>
    <row r="779" customFormat="false" ht="15" hidden="false" customHeight="true" outlineLevel="0" collapsed="false">
      <c r="AK779" s="287"/>
      <c r="AL779" s="17"/>
    </row>
    <row r="780" customFormat="false" ht="15" hidden="false" customHeight="true" outlineLevel="0" collapsed="false">
      <c r="AK780" s="287"/>
      <c r="AL780" s="17"/>
    </row>
    <row r="781" customFormat="false" ht="15" hidden="false" customHeight="true" outlineLevel="0" collapsed="false">
      <c r="AK781" s="287"/>
      <c r="AL781" s="17"/>
    </row>
    <row r="782" customFormat="false" ht="15" hidden="false" customHeight="true" outlineLevel="0" collapsed="false">
      <c r="AK782" s="287"/>
      <c r="AL782" s="17"/>
    </row>
    <row r="783" customFormat="false" ht="15" hidden="false" customHeight="true" outlineLevel="0" collapsed="false">
      <c r="AK783" s="287"/>
      <c r="AL783" s="17"/>
    </row>
    <row r="784" customFormat="false" ht="15" hidden="false" customHeight="true" outlineLevel="0" collapsed="false">
      <c r="AK784" s="303"/>
      <c r="AL784" s="17"/>
    </row>
    <row r="785" customFormat="false" ht="15" hidden="false" customHeight="true" outlineLevel="0" collapsed="false">
      <c r="AK785" s="303"/>
      <c r="AL785" s="17"/>
    </row>
    <row r="786" customFormat="false" ht="15" hidden="false" customHeight="true" outlineLevel="0" collapsed="false">
      <c r="AK786" s="268"/>
      <c r="AL786" s="17"/>
    </row>
    <row r="787" customFormat="false" ht="15" hidden="false" customHeight="true" outlineLevel="0" collapsed="false">
      <c r="AK787" s="287"/>
      <c r="AL787" s="17"/>
    </row>
    <row r="788" customFormat="false" ht="15" hidden="false" customHeight="true" outlineLevel="0" collapsed="false">
      <c r="AK788" s="287"/>
      <c r="AL788" s="17"/>
    </row>
    <row r="789" customFormat="false" ht="15" hidden="false" customHeight="true" outlineLevel="0" collapsed="false">
      <c r="AK789" s="287"/>
      <c r="AL789" s="17"/>
    </row>
    <row r="790" customFormat="false" ht="15" hidden="false" customHeight="true" outlineLevel="0" collapsed="false">
      <c r="AK790" s="287"/>
      <c r="AL790" s="17"/>
    </row>
    <row r="791" customFormat="false" ht="15" hidden="false" customHeight="true" outlineLevel="0" collapsed="false">
      <c r="AK791" s="287"/>
      <c r="AL791" s="17"/>
    </row>
    <row r="792" customFormat="false" ht="15" hidden="false" customHeight="true" outlineLevel="0" collapsed="false">
      <c r="AK792" s="287"/>
      <c r="AL792" s="17"/>
    </row>
    <row r="793" customFormat="false" ht="15" hidden="false" customHeight="true" outlineLevel="0" collapsed="false">
      <c r="AK793" s="287"/>
      <c r="AL793" s="17"/>
    </row>
    <row r="794" customFormat="false" ht="15" hidden="false" customHeight="true" outlineLevel="0" collapsed="false">
      <c r="AK794" s="287"/>
      <c r="AL794" s="17"/>
    </row>
    <row r="795" customFormat="false" ht="15" hidden="false" customHeight="true" outlineLevel="0" collapsed="false">
      <c r="AK795" s="287"/>
      <c r="AL795" s="17"/>
    </row>
    <row r="796" customFormat="false" ht="15" hidden="false" customHeight="true" outlineLevel="0" collapsed="false">
      <c r="AK796" s="287"/>
      <c r="AL796" s="17"/>
    </row>
    <row r="797" customFormat="false" ht="15" hidden="false" customHeight="true" outlineLevel="0" collapsed="false">
      <c r="AK797" s="287"/>
      <c r="AL797" s="17"/>
    </row>
    <row r="798" customFormat="false" ht="15" hidden="false" customHeight="true" outlineLevel="0" collapsed="false">
      <c r="AK798" s="287"/>
      <c r="AL798" s="17"/>
    </row>
    <row r="799" customFormat="false" ht="15" hidden="false" customHeight="true" outlineLevel="0" collapsed="false">
      <c r="AK799" s="303"/>
      <c r="AL799" s="17"/>
    </row>
    <row r="800" customFormat="false" ht="15" hidden="false" customHeight="true" outlineLevel="0" collapsed="false">
      <c r="AK800" s="303"/>
      <c r="AL800" s="17"/>
    </row>
    <row r="801" customFormat="false" ht="15" hidden="false" customHeight="true" outlineLevel="0" collapsed="false">
      <c r="AK801" s="268"/>
      <c r="AL801" s="17"/>
    </row>
    <row r="802" customFormat="false" ht="15" hidden="false" customHeight="true" outlineLevel="0" collapsed="false">
      <c r="AK802" s="287"/>
      <c r="AL802" s="17"/>
    </row>
    <row r="803" customFormat="false" ht="15" hidden="false" customHeight="true" outlineLevel="0" collapsed="false">
      <c r="AK803" s="287"/>
      <c r="AL803" s="17"/>
    </row>
    <row r="804" customFormat="false" ht="15" hidden="false" customHeight="true" outlineLevel="0" collapsed="false">
      <c r="AK804" s="287"/>
      <c r="AL804" s="17"/>
    </row>
    <row r="805" customFormat="false" ht="15" hidden="false" customHeight="true" outlineLevel="0" collapsed="false">
      <c r="AK805" s="287"/>
      <c r="AL805" s="17"/>
    </row>
    <row r="806" customFormat="false" ht="15" hidden="false" customHeight="true" outlineLevel="0" collapsed="false">
      <c r="AK806" s="287"/>
      <c r="AL806" s="17"/>
    </row>
    <row r="807" customFormat="false" ht="15" hidden="false" customHeight="true" outlineLevel="0" collapsed="false">
      <c r="AK807" s="287"/>
      <c r="AL807" s="17"/>
    </row>
    <row r="808" customFormat="false" ht="15" hidden="false" customHeight="true" outlineLevel="0" collapsed="false">
      <c r="AK808" s="287"/>
      <c r="AL808" s="17"/>
    </row>
    <row r="809" customFormat="false" ht="15" hidden="false" customHeight="true" outlineLevel="0" collapsed="false">
      <c r="AK809" s="287"/>
      <c r="AL809" s="17"/>
    </row>
    <row r="810" customFormat="false" ht="15" hidden="false" customHeight="true" outlineLevel="0" collapsed="false">
      <c r="AK810" s="287"/>
      <c r="AL810" s="17"/>
    </row>
    <row r="811" customFormat="false" ht="15" hidden="false" customHeight="true" outlineLevel="0" collapsed="false">
      <c r="AK811" s="287"/>
      <c r="AL811" s="17"/>
    </row>
    <row r="812" customFormat="false" ht="15" hidden="false" customHeight="true" outlineLevel="0" collapsed="false">
      <c r="AK812" s="287"/>
      <c r="AL812" s="17"/>
    </row>
    <row r="813" customFormat="false" ht="15" hidden="false" customHeight="true" outlineLevel="0" collapsed="false">
      <c r="AK813" s="287"/>
      <c r="AL813" s="17"/>
    </row>
    <row r="814" customFormat="false" ht="15" hidden="false" customHeight="true" outlineLevel="0" collapsed="false">
      <c r="AK814" s="303"/>
      <c r="AL814" s="17"/>
    </row>
    <row r="815" customFormat="false" ht="15" hidden="false" customHeight="true" outlineLevel="0" collapsed="false">
      <c r="AK815" s="303"/>
      <c r="AL815" s="17"/>
    </row>
    <row r="816" customFormat="false" ht="15" hidden="false" customHeight="true" outlineLevel="0" collapsed="false">
      <c r="AK816" s="268"/>
      <c r="AL816" s="17"/>
    </row>
    <row r="817" customFormat="false" ht="15" hidden="false" customHeight="true" outlineLevel="0" collapsed="false">
      <c r="AK817" s="287"/>
      <c r="AL817" s="17"/>
    </row>
    <row r="818" customFormat="false" ht="15" hidden="false" customHeight="true" outlineLevel="0" collapsed="false">
      <c r="AK818" s="287"/>
      <c r="AL818" s="17"/>
    </row>
    <row r="819" customFormat="false" ht="15" hidden="false" customHeight="true" outlineLevel="0" collapsed="false">
      <c r="AK819" s="287"/>
      <c r="AL819" s="17"/>
    </row>
    <row r="820" customFormat="false" ht="15" hidden="false" customHeight="true" outlineLevel="0" collapsed="false">
      <c r="AK820" s="287"/>
      <c r="AL820" s="17"/>
    </row>
    <row r="821" customFormat="false" ht="15" hidden="false" customHeight="true" outlineLevel="0" collapsed="false">
      <c r="AK821" s="287"/>
      <c r="AL821" s="17"/>
    </row>
    <row r="822" customFormat="false" ht="15" hidden="false" customHeight="true" outlineLevel="0" collapsed="false">
      <c r="AK822" s="287"/>
      <c r="AL822" s="17"/>
    </row>
    <row r="823" customFormat="false" ht="15" hidden="false" customHeight="true" outlineLevel="0" collapsed="false">
      <c r="AK823" s="287"/>
      <c r="AL823" s="17"/>
    </row>
    <row r="824" customFormat="false" ht="15" hidden="false" customHeight="true" outlineLevel="0" collapsed="false">
      <c r="AK824" s="287"/>
      <c r="AL824" s="17"/>
    </row>
    <row r="825" customFormat="false" ht="15" hidden="false" customHeight="true" outlineLevel="0" collapsed="false">
      <c r="AK825" s="287"/>
      <c r="AL825" s="17"/>
    </row>
    <row r="826" customFormat="false" ht="15" hidden="false" customHeight="true" outlineLevel="0" collapsed="false">
      <c r="AK826" s="287"/>
      <c r="AL826" s="17"/>
    </row>
    <row r="827" customFormat="false" ht="15" hidden="false" customHeight="true" outlineLevel="0" collapsed="false">
      <c r="AK827" s="287"/>
      <c r="AL827" s="17"/>
    </row>
    <row r="828" customFormat="false" ht="15" hidden="false" customHeight="true" outlineLevel="0" collapsed="false">
      <c r="AK828" s="287"/>
      <c r="AL828" s="17"/>
    </row>
    <row r="829" customFormat="false" ht="15" hidden="false" customHeight="true" outlineLevel="0" collapsed="false">
      <c r="AK829" s="303"/>
      <c r="AL829" s="17"/>
    </row>
    <row r="830" customFormat="false" ht="15" hidden="false" customHeight="true" outlineLevel="0" collapsed="false">
      <c r="AK830" s="303"/>
      <c r="AL830" s="17"/>
    </row>
    <row r="831" customFormat="false" ht="15" hidden="false" customHeight="true" outlineLevel="0" collapsed="false">
      <c r="AK831" s="268"/>
      <c r="AL831" s="17"/>
    </row>
    <row r="832" customFormat="false" ht="15" hidden="false" customHeight="true" outlineLevel="0" collapsed="false">
      <c r="AK832" s="287"/>
      <c r="AL832" s="17"/>
    </row>
    <row r="833" customFormat="false" ht="15" hidden="false" customHeight="true" outlineLevel="0" collapsed="false">
      <c r="AK833" s="287"/>
      <c r="AL833" s="17"/>
    </row>
    <row r="834" customFormat="false" ht="15" hidden="false" customHeight="true" outlineLevel="0" collapsed="false">
      <c r="AK834" s="287"/>
      <c r="AL834" s="17"/>
    </row>
    <row r="835" customFormat="false" ht="15" hidden="false" customHeight="true" outlineLevel="0" collapsed="false">
      <c r="AK835" s="287"/>
      <c r="AL835" s="17"/>
    </row>
    <row r="836" customFormat="false" ht="15" hidden="false" customHeight="true" outlineLevel="0" collapsed="false">
      <c r="AK836" s="287"/>
      <c r="AL836" s="17"/>
    </row>
    <row r="837" customFormat="false" ht="15" hidden="false" customHeight="true" outlineLevel="0" collapsed="false">
      <c r="AK837" s="287"/>
      <c r="AL837" s="17"/>
    </row>
    <row r="838" customFormat="false" ht="15" hidden="false" customHeight="true" outlineLevel="0" collapsed="false">
      <c r="AK838" s="287"/>
      <c r="AL838" s="17"/>
    </row>
    <row r="839" customFormat="false" ht="15" hidden="false" customHeight="true" outlineLevel="0" collapsed="false">
      <c r="AK839" s="287"/>
      <c r="AL839" s="17"/>
    </row>
    <row r="840" customFormat="false" ht="15" hidden="false" customHeight="true" outlineLevel="0" collapsed="false">
      <c r="AK840" s="287"/>
      <c r="AL840" s="17"/>
    </row>
    <row r="841" customFormat="false" ht="15" hidden="false" customHeight="true" outlineLevel="0" collapsed="false">
      <c r="AK841" s="287"/>
      <c r="AL841" s="17"/>
    </row>
    <row r="842" customFormat="false" ht="15" hidden="false" customHeight="true" outlineLevel="0" collapsed="false">
      <c r="AK842" s="287"/>
      <c r="AL842" s="17"/>
    </row>
    <row r="843" customFormat="false" ht="15" hidden="false" customHeight="true" outlineLevel="0" collapsed="false">
      <c r="AK843" s="287"/>
      <c r="AL843" s="17"/>
    </row>
    <row r="844" customFormat="false" ht="15" hidden="false" customHeight="true" outlineLevel="0" collapsed="false">
      <c r="AK844" s="303"/>
      <c r="AL844" s="17"/>
    </row>
    <row r="845" customFormat="false" ht="15" hidden="false" customHeight="true" outlineLevel="0" collapsed="false">
      <c r="AK845" s="303"/>
      <c r="AL845" s="17"/>
    </row>
    <row r="846" customFormat="false" ht="15" hidden="false" customHeight="true" outlineLevel="0" collapsed="false">
      <c r="AK846" s="303"/>
      <c r="AL846" s="17"/>
    </row>
    <row r="847" customFormat="false" ht="15" hidden="false" customHeight="true" outlineLevel="0" collapsed="false">
      <c r="AK847" s="303"/>
      <c r="AL847" s="17"/>
    </row>
    <row r="848" customFormat="false" ht="15" hidden="false" customHeight="true" outlineLevel="0" collapsed="false">
      <c r="AK848" s="313"/>
      <c r="AL848" s="17"/>
    </row>
    <row r="849" customFormat="false" ht="15" hidden="false" customHeight="true" outlineLevel="0" collapsed="false">
      <c r="AK849" s="313"/>
      <c r="AL849" s="17"/>
    </row>
    <row r="850" customFormat="false" ht="15" hidden="false" customHeight="true" outlineLevel="0" collapsed="false">
      <c r="AK850" s="313"/>
      <c r="AL850" s="17"/>
    </row>
    <row r="851" customFormat="false" ht="15" hidden="false" customHeight="true" outlineLevel="0" collapsed="false">
      <c r="AK851" s="313"/>
      <c r="AL851" s="17"/>
    </row>
    <row r="852" customFormat="false" ht="15" hidden="false" customHeight="true" outlineLevel="0" collapsed="false">
      <c r="AK852" s="313"/>
      <c r="AL852" s="17"/>
    </row>
    <row r="853" customFormat="false" ht="15" hidden="false" customHeight="true" outlineLevel="0" collapsed="false">
      <c r="AK853" s="313"/>
      <c r="AL853" s="17"/>
    </row>
    <row r="854" customFormat="false" ht="15" hidden="false" customHeight="true" outlineLevel="0" collapsed="false">
      <c r="AK854" s="313"/>
      <c r="AL854" s="17"/>
    </row>
    <row r="855" customFormat="false" ht="15" hidden="false" customHeight="true" outlineLevel="0" collapsed="false">
      <c r="AK855" s="313"/>
      <c r="AL855" s="17"/>
    </row>
    <row r="856" customFormat="false" ht="15" hidden="false" customHeight="true" outlineLevel="0" collapsed="false">
      <c r="AK856" s="313"/>
      <c r="AL856" s="17"/>
    </row>
    <row r="857" customFormat="false" ht="15" hidden="false" customHeight="true" outlineLevel="0" collapsed="false">
      <c r="AK857" s="313"/>
      <c r="AL857" s="17"/>
    </row>
    <row r="858" customFormat="false" ht="15" hidden="false" customHeight="true" outlineLevel="0" collapsed="false">
      <c r="AK858" s="313"/>
      <c r="AL858" s="17"/>
    </row>
    <row r="859" customFormat="false" ht="15" hidden="false" customHeight="true" outlineLevel="0" collapsed="false">
      <c r="AK859" s="313"/>
      <c r="AL859" s="17"/>
    </row>
    <row r="860" customFormat="false" ht="15" hidden="false" customHeight="true" outlineLevel="0" collapsed="false">
      <c r="AK860" s="319"/>
      <c r="AL860" s="17"/>
    </row>
    <row r="861" customFormat="false" ht="15" hidden="false" customHeight="true" outlineLevel="0" collapsed="false">
      <c r="AK861" s="319"/>
      <c r="AL861" s="17"/>
    </row>
    <row r="862" customFormat="false" ht="15" hidden="false" customHeight="true" outlineLevel="0" collapsed="false">
      <c r="AL862" s="17"/>
    </row>
    <row r="863" customFormat="false" ht="15" hidden="false" customHeight="true" outlineLevel="0" collapsed="false">
      <c r="AK863" s="328"/>
      <c r="AL863" s="17"/>
    </row>
    <row r="864" customFormat="false" ht="15" hidden="false" customHeight="true" outlineLevel="0" collapsed="false">
      <c r="AL864" s="17"/>
    </row>
    <row r="865" customFormat="false" ht="15" hidden="false" customHeight="true" outlineLevel="0" collapsed="false">
      <c r="AK865" s="316"/>
      <c r="AL865" s="17"/>
    </row>
    <row r="866" customFormat="false" ht="15" hidden="false" customHeight="true" outlineLevel="0" collapsed="false">
      <c r="AL866" s="17"/>
    </row>
    <row r="867" customFormat="false" ht="15" hidden="false" customHeight="true" outlineLevel="0" collapsed="false">
      <c r="AL867" s="17"/>
    </row>
    <row r="868" customFormat="false" ht="15" hidden="false" customHeight="true" outlineLevel="0" collapsed="false">
      <c r="AL868" s="17"/>
    </row>
    <row r="869" customFormat="false" ht="15" hidden="false" customHeight="true" outlineLevel="0" collapsed="false">
      <c r="AL869" s="17"/>
    </row>
    <row r="870" customFormat="false" ht="15" hidden="false" customHeight="true" outlineLevel="0" collapsed="false">
      <c r="AL870" s="17"/>
    </row>
    <row r="871" customFormat="false" ht="15" hidden="false" customHeight="true" outlineLevel="0" collapsed="false">
      <c r="AL871" s="17"/>
    </row>
    <row r="872" customFormat="false" ht="15" hidden="false" customHeight="true" outlineLevel="0" collapsed="false">
      <c r="AL872" s="17"/>
    </row>
    <row r="873" customFormat="false" ht="15" hidden="false" customHeight="true" outlineLevel="0" collapsed="false">
      <c r="AL873" s="17"/>
    </row>
    <row r="874" customFormat="false" ht="15" hidden="false" customHeight="true" outlineLevel="0" collapsed="false">
      <c r="AL874" s="313"/>
    </row>
    <row r="875" customFormat="false" ht="15" hidden="false" customHeight="true" outlineLevel="0" collapsed="false">
      <c r="AL875" s="313"/>
    </row>
    <row r="876" customFormat="false" ht="15" hidden="false" customHeight="true" outlineLevel="0" collapsed="false">
      <c r="AL876" s="313"/>
    </row>
    <row r="877" customFormat="false" ht="15" hidden="false" customHeight="true" outlineLevel="0" collapsed="false">
      <c r="AL877" s="313"/>
    </row>
  </sheetData>
  <mergeCells count="9">
    <mergeCell ref="A1:C1"/>
    <mergeCell ref="I2:T2"/>
    <mergeCell ref="A3:A5"/>
    <mergeCell ref="B3:B5"/>
    <mergeCell ref="C3:C5"/>
    <mergeCell ref="D3:D5"/>
    <mergeCell ref="E3:E5"/>
    <mergeCell ref="F3:F5"/>
    <mergeCell ref="G3:G5"/>
  </mergeCells>
  <conditionalFormatting sqref="AL1:AL1048576">
    <cfRule type="cellIs" priority="2" operator="equal" aboveAverage="0" equalAverage="0" bottom="0" percent="0" rank="0" text="" dxfId="0">
      <formula>"ERROR"</formula>
    </cfRule>
  </conditionalFormatting>
  <conditionalFormatting sqref="AL7:AL210">
    <cfRule type="cellIs" priority="3" operator="equal" aboveAverage="0" equalAverage="0" bottom="0" percent="0" rank="0" text="" dxfId="0">
      <formula>"error"</formula>
    </cfRule>
  </conditionalFormatting>
  <conditionalFormatting sqref="I7:T214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8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1"/>
  <cols>
    <col collapsed="false" customWidth="true" hidden="false" outlineLevel="0" max="1" min="1" style="18" width="13.44"/>
    <col collapsed="false" customWidth="true" hidden="false" outlineLevel="0" max="2" min="2" style="17" width="8.34"/>
    <col collapsed="false" customWidth="true" hidden="false" outlineLevel="0" max="3" min="3" style="17" width="55"/>
    <col collapsed="false" customWidth="true" hidden="false" outlineLevel="0" max="4" min="4" style="341" width="14.33"/>
    <col collapsed="false" customWidth="true" hidden="false" outlineLevel="0" max="5" min="5" style="200" width="14.33"/>
    <col collapsed="false" customWidth="true" hidden="false" outlineLevel="0" max="7" min="6" style="363" width="19.33"/>
    <col collapsed="false" customWidth="true" hidden="false" outlineLevel="0" max="8" min="8" style="17" width="4.67"/>
    <col collapsed="false" customWidth="true" hidden="false" outlineLevel="0" max="10" min="9" style="237" width="12.88"/>
    <col collapsed="false" customWidth="true" hidden="false" outlineLevel="0" max="11" min="11" style="17" width="4.67"/>
    <col collapsed="false" customWidth="true" hidden="false" outlineLevel="0" max="23" min="12" style="146" width="13"/>
    <col collapsed="false" customWidth="true" hidden="false" outlineLevel="0" max="24" min="24" style="17" width="4.67"/>
    <col collapsed="false" customWidth="true" hidden="false" outlineLevel="1" max="25" min="25" style="364" width="40.33"/>
    <col collapsed="false" customWidth="true" hidden="false" outlineLevel="1" max="26" min="26" style="364" width="11.11"/>
    <col collapsed="false" customWidth="true" hidden="false" outlineLevel="1" max="27" min="27" style="146" width="4.67"/>
    <col collapsed="false" customWidth="true" hidden="false" outlineLevel="0" max="43" min="28" style="146" width="13"/>
    <col collapsed="false" customWidth="true" hidden="false" outlineLevel="0" max="44" min="44" style="146" width="4.67"/>
    <col collapsed="false" customWidth="true" hidden="false" outlineLevel="0" max="59" min="45" style="146" width="13"/>
    <col collapsed="false" customWidth="true" hidden="false" outlineLevel="0" max="60" min="60" style="146" width="4.67"/>
    <col collapsed="false" customWidth="true" hidden="false" outlineLevel="0" max="61" min="61" style="146" width="13"/>
    <col collapsed="false" customWidth="false" hidden="false" outlineLevel="0" max="16384" min="62" style="17" width="8.88"/>
  </cols>
  <sheetData>
    <row r="1" s="22" customFormat="true" ht="15" hidden="false" customHeight="true" outlineLevel="0" collapsed="false">
      <c r="A1" s="238" t="s">
        <v>298</v>
      </c>
      <c r="B1" s="238"/>
      <c r="C1" s="238"/>
      <c r="D1" s="239"/>
      <c r="E1" s="343"/>
      <c r="F1" s="365"/>
      <c r="G1" s="365"/>
      <c r="H1" s="240"/>
      <c r="I1" s="366"/>
      <c r="J1" s="366"/>
      <c r="K1" s="240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240"/>
      <c r="Y1" s="367"/>
      <c r="Z1" s="367"/>
      <c r="AA1" s="147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147"/>
      <c r="AM1" s="147"/>
      <c r="AN1" s="147"/>
      <c r="AO1" s="147"/>
      <c r="AP1" s="147"/>
      <c r="AQ1" s="147"/>
      <c r="AR1" s="147"/>
      <c r="AS1" s="344"/>
      <c r="AT1" s="344"/>
      <c r="AU1" s="344"/>
      <c r="AV1" s="344"/>
      <c r="AW1" s="344"/>
      <c r="AX1" s="344"/>
      <c r="AY1" s="344"/>
      <c r="AZ1" s="344"/>
      <c r="BA1" s="344"/>
      <c r="BB1" s="344"/>
      <c r="BC1" s="147"/>
      <c r="BD1" s="147"/>
      <c r="BE1" s="147"/>
      <c r="BF1" s="147"/>
      <c r="BG1" s="368" t="s">
        <v>13</v>
      </c>
      <c r="BH1" s="240"/>
      <c r="BI1" s="239"/>
    </row>
    <row r="2" customFormat="false" ht="15" hidden="false" customHeight="true" outlineLevel="0" collapsed="false">
      <c r="I2" s="244" t="s">
        <v>212</v>
      </c>
      <c r="J2" s="244"/>
      <c r="L2" s="244" t="s">
        <v>212</v>
      </c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Y2" s="40"/>
      <c r="Z2" s="40"/>
      <c r="AB2" s="245" t="s">
        <v>299</v>
      </c>
      <c r="AC2" s="245"/>
      <c r="AD2" s="245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5"/>
      <c r="AP2" s="245"/>
      <c r="AQ2" s="245"/>
      <c r="AS2" s="245" t="s">
        <v>300</v>
      </c>
      <c r="AT2" s="245"/>
      <c r="AU2" s="245"/>
      <c r="AV2" s="245"/>
      <c r="AW2" s="245"/>
      <c r="AX2" s="245"/>
      <c r="AY2" s="245"/>
      <c r="AZ2" s="245"/>
      <c r="BA2" s="245"/>
      <c r="BB2" s="245"/>
      <c r="BC2" s="245"/>
      <c r="BD2" s="245"/>
      <c r="BE2" s="245"/>
      <c r="BF2" s="245"/>
      <c r="BG2" s="245"/>
      <c r="BH2" s="246"/>
      <c r="BI2" s="246"/>
    </row>
    <row r="3" s="372" customFormat="true" ht="45" hidden="false" customHeight="true" outlineLevel="0" collapsed="false">
      <c r="A3" s="345" t="s">
        <v>263</v>
      </c>
      <c r="B3" s="345" t="s">
        <v>264</v>
      </c>
      <c r="C3" s="345" t="s">
        <v>265</v>
      </c>
      <c r="D3" s="345" t="s">
        <v>266</v>
      </c>
      <c r="E3" s="345" t="s">
        <v>267</v>
      </c>
      <c r="F3" s="345" t="s">
        <v>301</v>
      </c>
      <c r="G3" s="345" t="s">
        <v>269</v>
      </c>
      <c r="H3" s="369"/>
      <c r="I3" s="370" t="s">
        <v>302</v>
      </c>
      <c r="J3" s="370" t="s">
        <v>303</v>
      </c>
      <c r="K3" s="369"/>
      <c r="L3" s="251" t="str">
        <f aca="false">IF(Summary!$B$15&gt;0,Summary!$B$15,"")</f>
        <v>Automated Document Intelligence Platform</v>
      </c>
      <c r="M3" s="251" t="str">
        <f aca="false">IF(Summary!$B$16&gt;0,Summary!$B$16,"")</f>
        <v>Real-Time Anomaly Detection Engine</v>
      </c>
      <c r="N3" s="251" t="str">
        <f aca="false">IF(Summary!$B$17&gt;0,Summary!$B$17,"")</f>
        <v>Natural Language Query Interface</v>
      </c>
      <c r="O3" s="251" t="str">
        <f aca="false">IF(Summary!$B$18&gt;0,Summary!$B$18,"")</f>
        <v>Predictive Maintenance ML Pipeline</v>
      </c>
      <c r="P3" s="251" t="str">
        <f aca="false">IF(Summary!$B$19&gt;0,Summary!$B$19,"")</f>
        <v>Privacy-Preserving Data Linkage</v>
      </c>
      <c r="Q3" s="251" t="str">
        <f aca="false">IF(Summary!$B$20&gt;0,Summary!$B$20,"")</f>
        <v/>
      </c>
      <c r="R3" s="251" t="str">
        <f aca="false">IF(Summary!$B$21&gt;0,Summary!$B$21,"")</f>
        <v/>
      </c>
      <c r="S3" s="251" t="str">
        <f aca="false">IF(Summary!$B$22&gt;0,Summary!$B$22,"")</f>
        <v/>
      </c>
      <c r="T3" s="251" t="str">
        <f aca="false">IF(Summary!$B$23&gt;0,Summary!$B$23,"")</f>
        <v/>
      </c>
      <c r="U3" s="251" t="str">
        <f aca="false">IF(Summary!$B$24&gt;0,Summary!$B$24,"")</f>
        <v/>
      </c>
      <c r="V3" s="251" t="str">
        <f aca="false">IF(Summary!$B$25&gt;0,Summary!$B$25,"")</f>
        <v/>
      </c>
      <c r="W3" s="251" t="str">
        <f aca="false">IF(Summary!$B$26&gt;0,Summary!$B$26,"")</f>
        <v/>
      </c>
      <c r="X3" s="369"/>
      <c r="Y3" s="369" t="s">
        <v>304</v>
      </c>
      <c r="Z3" s="371" t="s">
        <v>305</v>
      </c>
      <c r="AA3" s="252"/>
      <c r="AB3" s="251" t="str">
        <f aca="false">IF(Summary!$B$15&gt;0,Summary!$B$15,"")</f>
        <v>Automated Document Intelligence Platform</v>
      </c>
      <c r="AC3" s="251" t="str">
        <f aca="false">IF(Summary!$B$16&gt;0,Summary!$B$16,"")</f>
        <v>Real-Time Anomaly Detection Engine</v>
      </c>
      <c r="AD3" s="251" t="str">
        <f aca="false">IF(Summary!$B$17&gt;0,Summary!$B$17,"")</f>
        <v>Natural Language Query Interface</v>
      </c>
      <c r="AE3" s="251" t="str">
        <f aca="false">IF(Summary!$B$18&gt;0,Summary!$B$18,"")</f>
        <v>Predictive Maintenance ML Pipeline</v>
      </c>
      <c r="AF3" s="251" t="str">
        <f aca="false">IF(Summary!$B$19&gt;0,Summary!$B$19,"")</f>
        <v>Privacy-Preserving Data Linkage</v>
      </c>
      <c r="AG3" s="251" t="str">
        <f aca="false">IF(Summary!$B$20&gt;0,Summary!$B$20,"")</f>
        <v/>
      </c>
      <c r="AH3" s="251" t="str">
        <f aca="false">IF(Summary!$B$21&gt;0,Summary!$B$21,"")</f>
        <v/>
      </c>
      <c r="AI3" s="251" t="str">
        <f aca="false">IF(Summary!$B$22&gt;0,Summary!$B$22,"")</f>
        <v/>
      </c>
      <c r="AJ3" s="251" t="str">
        <f aca="false">IF(Summary!$B$23&gt;0,Summary!$B$23,"")</f>
        <v/>
      </c>
      <c r="AK3" s="251" t="str">
        <f aca="false">IF(Summary!$B$24&gt;0,Summary!$B$24,"")</f>
        <v/>
      </c>
      <c r="AL3" s="251" t="str">
        <f aca="false">IF(Summary!$B$25&gt;0,Summary!$B$25,"")</f>
        <v/>
      </c>
      <c r="AM3" s="251" t="str">
        <f aca="false">IF(Summary!$B$26&gt;0,Summary!$B$26,"")</f>
        <v/>
      </c>
      <c r="AN3" s="251" t="s">
        <v>72</v>
      </c>
      <c r="AO3" s="251" t="s">
        <v>69</v>
      </c>
      <c r="AP3" s="251" t="s">
        <v>69</v>
      </c>
      <c r="AQ3" s="251" t="s">
        <v>74</v>
      </c>
      <c r="AR3" s="252"/>
      <c r="AS3" s="251" t="str">
        <f aca="false">IF(Summary!$B$15&gt;0,Summary!$B$15,"")</f>
        <v>Automated Document Intelligence Platform</v>
      </c>
      <c r="AT3" s="251" t="str">
        <f aca="false">IF(Summary!$B$16&gt;0,Summary!$B$16,"")</f>
        <v>Real-Time Anomaly Detection Engine</v>
      </c>
      <c r="AU3" s="251" t="str">
        <f aca="false">IF(Summary!$B$17&gt;0,Summary!$B$17,"")</f>
        <v>Natural Language Query Interface</v>
      </c>
      <c r="AV3" s="251" t="str">
        <f aca="false">IF(Summary!$B$18&gt;0,Summary!$B$18,"")</f>
        <v>Predictive Maintenance ML Pipeline</v>
      </c>
      <c r="AW3" s="251" t="str">
        <f aca="false">IF(Summary!$B$19&gt;0,Summary!$B$19,"")</f>
        <v>Privacy-Preserving Data Linkage</v>
      </c>
      <c r="AX3" s="251" t="str">
        <f aca="false">IF(Summary!$B$20&gt;0,Summary!$B$20,"")</f>
        <v/>
      </c>
      <c r="AY3" s="251" t="str">
        <f aca="false">IF(Summary!$B$21&gt;0,Summary!$B$21,"")</f>
        <v/>
      </c>
      <c r="AZ3" s="251" t="str">
        <f aca="false">IF(Summary!$B$22&gt;0,Summary!$B$22,"")</f>
        <v/>
      </c>
      <c r="BA3" s="251" t="str">
        <f aca="false">IF(Summary!$B$23&gt;0,Summary!$B$23,"")</f>
        <v/>
      </c>
      <c r="BB3" s="251" t="str">
        <f aca="false">IF(Summary!$B$24&gt;0,Summary!$B$24,"")</f>
        <v/>
      </c>
      <c r="BC3" s="251" t="str">
        <f aca="false">IF(Summary!$B$25&gt;0,Summary!$B$25,"")</f>
        <v/>
      </c>
      <c r="BD3" s="251" t="str">
        <f aca="false">IF(Summary!$B$26&gt;0,Summary!$B$26,"")</f>
        <v/>
      </c>
      <c r="BE3" s="251" t="s">
        <v>72</v>
      </c>
      <c r="BF3" s="251" t="s">
        <v>69</v>
      </c>
      <c r="BG3" s="251" t="s">
        <v>74</v>
      </c>
      <c r="BH3" s="249"/>
      <c r="BI3" s="251" t="s">
        <v>104</v>
      </c>
    </row>
    <row r="4" s="372" customFormat="true" ht="15" hidden="false" customHeight="true" outlineLevel="0" collapsed="false">
      <c r="A4" s="345"/>
      <c r="B4" s="345"/>
      <c r="C4" s="345"/>
      <c r="D4" s="345"/>
      <c r="E4" s="345"/>
      <c r="F4" s="345"/>
      <c r="G4" s="345"/>
      <c r="H4" s="369"/>
      <c r="I4" s="370"/>
      <c r="J4" s="370"/>
      <c r="K4" s="369"/>
      <c r="L4" s="331" t="str">
        <f aca="false">IF(ISBLANK(Summary!$C$15),"", IF(Summary!$C$15="No", "SME", IF(AND(Summary!$C$15="Yes", Summary!$D$15="Yes"), "De Minimis", "RDEC")))</f>
        <v>SME</v>
      </c>
      <c r="M4" s="331" t="str">
        <f aca="false">IF(ISBLANK(Summary!$C$16),"", IF(Summary!$C$16="No", "SME", IF(AND(Summary!$C$16="Yes", Summary!$D$16="Yes"), "De Minimis", "RDEC")))</f>
        <v>SME</v>
      </c>
      <c r="N4" s="331" t="str">
        <f aca="false">IF(ISBLANK(Summary!$C$17),"", IF(Summary!$C$17="No", "SME", IF(AND(Summary!$C$17="Yes", Summary!$D$17="Yes"), "De Minimis", "RDEC")))</f>
        <v>SME</v>
      </c>
      <c r="O4" s="331" t="str">
        <f aca="false">IF(ISBLANK(Summary!$C$18),"", IF(Summary!$C$18="No", "SME", IF(AND(Summary!$C$18="Yes", Summary!$D$18="Yes"), "De Minimis", "RDEC")))</f>
        <v>RDEC</v>
      </c>
      <c r="P4" s="331" t="str">
        <f aca="false">IF(ISBLANK(Summary!$C$19),"", IF(Summary!$C$19="No", "SME", IF(AND(Summary!$C$19="Yes", Summary!$D$19="Yes"), "De Minimis", "RDEC")))</f>
        <v>SME</v>
      </c>
      <c r="Q4" s="331" t="str">
        <f aca="false">IF(ISBLANK(Summary!$C$20),"", IF(Summary!$C$20="No", "SME", IF(AND(Summary!$C$20="Yes", Summary!$D$20="Yes"), "De Minimis", "RDEC")))</f>
        <v/>
      </c>
      <c r="R4" s="331" t="str">
        <f aca="false">IF(ISBLANK(Summary!$C$21),"", IF(Summary!$C$21="No", "SME", IF(AND(Summary!$C$21="Yes", Summary!$D$21="Yes"), "De Minimis", "RDEC")))</f>
        <v/>
      </c>
      <c r="S4" s="331" t="str">
        <f aca="false">IF(ISBLANK(Summary!$C$22),"", IF(Summary!$C$22="No", "SME", IF(AND(Summary!$C$22="Yes", Summary!$D$22="Yes"), "De Minimis", "RDEC")))</f>
        <v/>
      </c>
      <c r="T4" s="331" t="str">
        <f aca="false">IF(ISBLANK(Summary!$C$23),"", IF(Summary!$C$23="No", "SME", IF(AND(Summary!$C$23="Yes", Summary!$D$23="Yes"), "De Minimis", "RDEC")))</f>
        <v/>
      </c>
      <c r="U4" s="331" t="str">
        <f aca="false">IF(ISBLANK(Summary!$C$24),"", IF(Summary!$C$24="No", "SME", IF(AND(Summary!$C$24="Yes", Summary!$D$24="Yes"), "De Minimis", "RDEC")))</f>
        <v/>
      </c>
      <c r="V4" s="331" t="str">
        <f aca="false">IF(ISBLANK(Summary!$C$25),"", IF(Summary!$C$25="No", "SME", IF(AND(Summary!$C$25="Yes", Summary!$D$25="Yes"), "De Minimis", "RDEC")))</f>
        <v/>
      </c>
      <c r="W4" s="331" t="str">
        <f aca="false">IF(ISBLANK(Summary!$C$26),"", IF(Summary!$C$26="No", "SME", IF(AND(Summary!$C$26="Yes", Summary!$D$26="Yes"), "De Minimis", "RDEC")))</f>
        <v/>
      </c>
      <c r="X4" s="369"/>
      <c r="Y4" s="369"/>
      <c r="Z4" s="369"/>
      <c r="AA4" s="252"/>
      <c r="AB4" s="331" t="str">
        <f aca="false">IF(ISBLANK(Summary!$C$15),"", IF(Summary!$C$15="No", "SME", IF(AND(Summary!$C$15="Yes", Summary!$D$15="Yes"), "De Minimis", "RDEC")))</f>
        <v>SME</v>
      </c>
      <c r="AC4" s="331" t="str">
        <f aca="false">IF(ISBLANK(Summary!$C$16),"", IF(Summary!$C$16="No", "SME", IF(AND(Summary!$C$16="Yes", Summary!$D$16="Yes"), "De Minimis", "RDEC")))</f>
        <v>SME</v>
      </c>
      <c r="AD4" s="331" t="str">
        <f aca="false">IF(ISBLANK(Summary!$C$17),"", IF(Summary!$C$17="No", "SME", IF(AND(Summary!$C$17="Yes", Summary!$D$17="Yes"), "De Minimis", "RDEC")))</f>
        <v>SME</v>
      </c>
      <c r="AE4" s="331" t="str">
        <f aca="false">IF(ISBLANK(Summary!$C$18),"", IF(Summary!$C$18="No", "SME", IF(AND(Summary!$C$18="Yes", Summary!$D$18="Yes"), "De Minimis", "RDEC")))</f>
        <v>RDEC</v>
      </c>
      <c r="AF4" s="331" t="str">
        <f aca="false">IF(ISBLANK(Summary!$C$19),"", IF(Summary!$C$19="No", "SME", IF(AND(Summary!$C$19="Yes", Summary!$D$19="Yes"), "De Minimis", "RDEC")))</f>
        <v>SME</v>
      </c>
      <c r="AG4" s="331" t="str">
        <f aca="false">IF(ISBLANK(Summary!$C$20),"", IF(Summary!$C$20="No", "SME", IF(AND(Summary!$C$20="Yes", Summary!$D$20="Yes"), "De Minimis", "RDEC")))</f>
        <v/>
      </c>
      <c r="AH4" s="331" t="str">
        <f aca="false">IF(ISBLANK(Summary!$C$21),"", IF(Summary!$C$21="No", "SME", IF(AND(Summary!$C$21="Yes", Summary!$D$21="Yes"), "De Minimis", "RDEC")))</f>
        <v/>
      </c>
      <c r="AI4" s="331" t="str">
        <f aca="false">IF(ISBLANK(Summary!$C$22),"", IF(Summary!$C$22="No", "SME", IF(AND(Summary!$C$22="Yes", Summary!$D$22="Yes"), "De Minimis", "RDEC")))</f>
        <v/>
      </c>
      <c r="AJ4" s="331" t="str">
        <f aca="false">IF(ISBLANK(Summary!$C$23),"", IF(Summary!$C$23="No", "SME", IF(AND(Summary!$C$23="Yes", Summary!$D$23="Yes"), "De Minimis", "RDEC")))</f>
        <v/>
      </c>
      <c r="AK4" s="331" t="str">
        <f aca="false">IF(ISBLANK(Summary!$C$24),"", IF(Summary!$C$24="No", "SME", IF(AND(Summary!$C$24="Yes", Summary!$D$24="Yes"), "De Minimis", "RDEC")))</f>
        <v/>
      </c>
      <c r="AL4" s="331" t="str">
        <f aca="false">IF(ISBLANK(Summary!$C$25),"", IF(Summary!$C$25="No", "SME", IF(AND(Summary!$C$25="Yes", Summary!$D$25="Yes"), "De Minimis", "RDEC")))</f>
        <v/>
      </c>
      <c r="AM4" s="331" t="str">
        <f aca="false">IF(ISBLANK(Summary!$C$26),"", IF(Summary!$C$26="No", "SME", IF(AND(Summary!$C$26="Yes", Summary!$D$26="Yes"), "De Minimis", "RDEC")))</f>
        <v/>
      </c>
      <c r="AN4" s="258"/>
      <c r="AO4" s="258" t="s">
        <v>306</v>
      </c>
      <c r="AP4" s="258" t="s">
        <v>307</v>
      </c>
      <c r="AQ4" s="258"/>
      <c r="AR4" s="252"/>
      <c r="AS4" s="331" t="str">
        <f aca="false">IF(ISBLANK(Summary!$C$15),"", IF(Summary!$C$15="No", "SME", IF(AND(Summary!$C$15="Yes", Summary!$D$15="Yes"), "De Minimis", "RDEC")))</f>
        <v>SME</v>
      </c>
      <c r="AT4" s="331" t="str">
        <f aca="false">IF(ISBLANK(Summary!$C$16),"", IF(Summary!$C$16="No", "SME", IF(AND(Summary!$C$16="Yes", Summary!$D$16="Yes"), "De Minimis", "RDEC")))</f>
        <v>SME</v>
      </c>
      <c r="AU4" s="331" t="str">
        <f aca="false">IF(ISBLANK(Summary!$C$17),"", IF(Summary!$C$17="No", "SME", IF(AND(Summary!$C$17="Yes", Summary!$D$17="Yes"), "De Minimis", "RDEC")))</f>
        <v>SME</v>
      </c>
      <c r="AV4" s="331" t="str">
        <f aca="false">IF(ISBLANK(Summary!$C$18),"", IF(Summary!$C$18="No", "SME", IF(AND(Summary!$C$18="Yes", Summary!$D$18="Yes"), "De Minimis", "RDEC")))</f>
        <v>RDEC</v>
      </c>
      <c r="AW4" s="331" t="str">
        <f aca="false">IF(ISBLANK(Summary!$C$19),"", IF(Summary!$C$19="No", "SME", IF(AND(Summary!$C$19="Yes", Summary!$D$19="Yes"), "De Minimis", "RDEC")))</f>
        <v>SME</v>
      </c>
      <c r="AX4" s="331" t="str">
        <f aca="false">IF(ISBLANK(Summary!$C$20),"", IF(Summary!$C$20="No", "SME", IF(AND(Summary!$C$20="Yes", Summary!$D$20="Yes"), "De Minimis", "RDEC")))</f>
        <v/>
      </c>
      <c r="AY4" s="331" t="str">
        <f aca="false">IF(ISBLANK(Summary!$C$21),"", IF(Summary!$C$21="No", "SME", IF(AND(Summary!$C$21="Yes", Summary!$D$21="Yes"), "De Minimis", "RDEC")))</f>
        <v/>
      </c>
      <c r="AZ4" s="331" t="str">
        <f aca="false">IF(ISBLANK(Summary!$C$22),"", IF(Summary!$C$22="No", "SME", IF(AND(Summary!$C$22="Yes", Summary!$D$22="Yes"), "De Minimis", "RDEC")))</f>
        <v/>
      </c>
      <c r="BA4" s="331" t="str">
        <f aca="false">IF(ISBLANK(Summary!$C$23),"", IF(Summary!$C$23="No", "SME", IF(AND(Summary!$C$23="Yes", Summary!$D$23="Yes"), "De Minimis", "RDEC")))</f>
        <v/>
      </c>
      <c r="BB4" s="331" t="str">
        <f aca="false">IF(ISBLANK(Summary!$C$24),"", IF(Summary!$C$24="No", "SME", IF(AND(Summary!$C$24="Yes", Summary!$D$24="Yes"), "De Minimis", "RDEC")))</f>
        <v/>
      </c>
      <c r="BC4" s="331" t="str">
        <f aca="false">IF(ISBLANK(Summary!$C$25),"", IF(Summary!$C$25="No", "SME", IF(AND(Summary!$C$25="Yes", Summary!$D$25="Yes"), "De Minimis", "RDEC")))</f>
        <v/>
      </c>
      <c r="BD4" s="331" t="str">
        <f aca="false">IF(ISBLANK(Summary!$C$26),"", IF(Summary!$C$26="No", "SME", IF(AND(Summary!$C$26="Yes", Summary!$D$26="Yes"), "De Minimis", "RDEC")))</f>
        <v/>
      </c>
      <c r="BE4" s="258"/>
      <c r="BF4" s="258"/>
      <c r="BG4" s="258"/>
      <c r="BH4" s="252"/>
      <c r="BI4" s="258"/>
    </row>
    <row r="5" s="241" customFormat="true" ht="15" hidden="false" customHeight="true" outlineLevel="0" collapsed="false">
      <c r="A5" s="345"/>
      <c r="B5" s="345"/>
      <c r="C5" s="345"/>
      <c r="D5" s="345"/>
      <c r="E5" s="345"/>
      <c r="F5" s="345"/>
      <c r="G5" s="345"/>
      <c r="H5" s="373"/>
      <c r="I5" s="370"/>
      <c r="J5" s="370"/>
      <c r="K5" s="373"/>
      <c r="L5" s="262" t="s">
        <v>229</v>
      </c>
      <c r="M5" s="262" t="s">
        <v>229</v>
      </c>
      <c r="N5" s="262" t="s">
        <v>229</v>
      </c>
      <c r="O5" s="262" t="s">
        <v>229</v>
      </c>
      <c r="P5" s="262" t="s">
        <v>229</v>
      </c>
      <c r="Q5" s="262" t="s">
        <v>229</v>
      </c>
      <c r="R5" s="262" t="s">
        <v>229</v>
      </c>
      <c r="S5" s="262" t="s">
        <v>229</v>
      </c>
      <c r="T5" s="262" t="s">
        <v>229</v>
      </c>
      <c r="U5" s="262" t="s">
        <v>229</v>
      </c>
      <c r="V5" s="262" t="s">
        <v>229</v>
      </c>
      <c r="W5" s="262" t="s">
        <v>229</v>
      </c>
      <c r="X5" s="373"/>
      <c r="Y5" s="374"/>
      <c r="Z5" s="374"/>
      <c r="AA5" s="259"/>
      <c r="AB5" s="375" t="s">
        <v>230</v>
      </c>
      <c r="AC5" s="375" t="s">
        <v>230</v>
      </c>
      <c r="AD5" s="375" t="s">
        <v>230</v>
      </c>
      <c r="AE5" s="375" t="s">
        <v>230</v>
      </c>
      <c r="AF5" s="375" t="s">
        <v>230</v>
      </c>
      <c r="AG5" s="375" t="s">
        <v>230</v>
      </c>
      <c r="AH5" s="375" t="s">
        <v>230</v>
      </c>
      <c r="AI5" s="375" t="s">
        <v>230</v>
      </c>
      <c r="AJ5" s="375" t="s">
        <v>230</v>
      </c>
      <c r="AK5" s="375" t="s">
        <v>230</v>
      </c>
      <c r="AL5" s="375" t="s">
        <v>230</v>
      </c>
      <c r="AM5" s="375" t="s">
        <v>230</v>
      </c>
      <c r="AN5" s="376" t="s">
        <v>230</v>
      </c>
      <c r="AO5" s="376" t="s">
        <v>230</v>
      </c>
      <c r="AP5" s="376" t="s">
        <v>230</v>
      </c>
      <c r="AQ5" s="376" t="s">
        <v>230</v>
      </c>
      <c r="AR5" s="259"/>
      <c r="AS5" s="375" t="s">
        <v>230</v>
      </c>
      <c r="AT5" s="375" t="s">
        <v>230</v>
      </c>
      <c r="AU5" s="375" t="s">
        <v>230</v>
      </c>
      <c r="AV5" s="375" t="s">
        <v>230</v>
      </c>
      <c r="AW5" s="375" t="s">
        <v>230</v>
      </c>
      <c r="AX5" s="375" t="s">
        <v>230</v>
      </c>
      <c r="AY5" s="375" t="s">
        <v>230</v>
      </c>
      <c r="AZ5" s="375" t="s">
        <v>230</v>
      </c>
      <c r="BA5" s="375" t="s">
        <v>230</v>
      </c>
      <c r="BB5" s="375" t="s">
        <v>230</v>
      </c>
      <c r="BC5" s="375" t="s">
        <v>230</v>
      </c>
      <c r="BD5" s="375" t="s">
        <v>230</v>
      </c>
      <c r="BE5" s="376" t="s">
        <v>230</v>
      </c>
      <c r="BF5" s="376" t="s">
        <v>230</v>
      </c>
      <c r="BG5" s="376" t="s">
        <v>230</v>
      </c>
      <c r="BH5" s="259"/>
      <c r="BI5" s="265" t="s">
        <v>231</v>
      </c>
    </row>
    <row r="6" customFormat="false" ht="15" hidden="false" customHeight="true" outlineLevel="0" collapsed="false">
      <c r="A6" s="377"/>
      <c r="B6" s="369"/>
      <c r="C6" s="369"/>
      <c r="D6" s="369"/>
      <c r="E6" s="369"/>
      <c r="F6" s="369"/>
      <c r="G6" s="369"/>
      <c r="H6" s="350"/>
      <c r="I6" s="378"/>
      <c r="J6" s="379"/>
      <c r="K6" s="350"/>
      <c r="L6" s="380"/>
      <c r="M6" s="380"/>
      <c r="N6" s="380"/>
      <c r="O6" s="380"/>
      <c r="P6" s="380"/>
      <c r="Q6" s="380"/>
      <c r="R6" s="380"/>
      <c r="S6" s="380"/>
      <c r="T6" s="380"/>
      <c r="U6" s="380"/>
      <c r="V6" s="380"/>
      <c r="W6" s="380"/>
      <c r="X6" s="350"/>
      <c r="Y6" s="381"/>
      <c r="Z6" s="381"/>
      <c r="AA6" s="283"/>
      <c r="AB6" s="380"/>
      <c r="AC6" s="380"/>
      <c r="AD6" s="380"/>
      <c r="AE6" s="380"/>
      <c r="AF6" s="380"/>
      <c r="AG6" s="380"/>
      <c r="AH6" s="380"/>
      <c r="AI6" s="380"/>
      <c r="AJ6" s="380"/>
      <c r="AK6" s="380"/>
      <c r="AL6" s="380"/>
      <c r="AM6" s="380"/>
      <c r="AN6" s="382"/>
      <c r="AO6" s="382"/>
      <c r="AP6" s="382"/>
      <c r="AQ6" s="382"/>
      <c r="AR6" s="283"/>
      <c r="AS6" s="380"/>
      <c r="AT6" s="380"/>
      <c r="AU6" s="380"/>
      <c r="AV6" s="380"/>
      <c r="AW6" s="380"/>
      <c r="AX6" s="380"/>
      <c r="AY6" s="380"/>
      <c r="AZ6" s="380"/>
      <c r="BA6" s="380"/>
      <c r="BB6" s="380"/>
      <c r="BC6" s="380"/>
      <c r="BD6" s="380"/>
      <c r="BE6" s="382"/>
      <c r="BF6" s="382"/>
      <c r="BG6" s="382"/>
      <c r="BH6" s="268"/>
      <c r="BI6" s="383"/>
    </row>
    <row r="7" customFormat="false" ht="7.5" hidden="false" customHeight="true" outlineLevel="0" collapsed="false">
      <c r="A7" s="340"/>
      <c r="B7" s="350"/>
      <c r="C7" s="350"/>
      <c r="H7" s="350"/>
      <c r="I7" s="279"/>
      <c r="J7" s="281"/>
      <c r="K7" s="32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350"/>
      <c r="Y7" s="381"/>
      <c r="Z7" s="384"/>
      <c r="AA7" s="283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6"/>
      <c r="AO7" s="286"/>
      <c r="AP7" s="286"/>
      <c r="AQ7" s="286"/>
      <c r="AR7" s="283"/>
      <c r="AS7" s="284"/>
      <c r="AT7" s="284"/>
      <c r="AU7" s="284"/>
      <c r="AV7" s="284"/>
      <c r="AW7" s="284"/>
      <c r="AX7" s="284"/>
      <c r="AY7" s="284"/>
      <c r="AZ7" s="284"/>
      <c r="BA7" s="284"/>
      <c r="BB7" s="284"/>
      <c r="BC7" s="284"/>
      <c r="BD7" s="284"/>
      <c r="BE7" s="286"/>
      <c r="BF7" s="286"/>
      <c r="BG7" s="286"/>
      <c r="BH7" s="287"/>
      <c r="BI7" s="288"/>
    </row>
    <row r="8" customFormat="false" ht="15" hidden="false" customHeight="true" outlineLevel="0" collapsed="false">
      <c r="A8" s="340" t="n">
        <v>45322</v>
      </c>
      <c r="B8" s="350" t="s">
        <v>308</v>
      </c>
      <c r="C8" s="350" t="s">
        <v>309</v>
      </c>
      <c r="D8" s="341" t="s">
        <v>310</v>
      </c>
      <c r="E8" s="200" t="n">
        <v>8500</v>
      </c>
      <c r="F8" s="363" t="n">
        <v>5100</v>
      </c>
      <c r="H8" s="350"/>
      <c r="I8" s="279" t="n">
        <v>1</v>
      </c>
      <c r="J8" s="281" t="n">
        <f aca="false">1-I8</f>
        <v>0</v>
      </c>
      <c r="K8" s="322"/>
      <c r="L8" s="282" t="n">
        <v>0.5</v>
      </c>
      <c r="M8" s="282" t="n">
        <v>0.5</v>
      </c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350"/>
      <c r="Y8" s="381" t="s">
        <v>311</v>
      </c>
      <c r="Z8" s="384" t="s">
        <v>71</v>
      </c>
      <c r="AA8" s="283"/>
      <c r="AB8" s="284" t="n">
        <f aca="false">IF(AND(AB$4="RDEC", $Y8="Limited Company"), "", L8*$E8*$I8)</f>
        <v>4250</v>
      </c>
      <c r="AC8" s="284" t="n">
        <f aca="false">IF(AND(AC$4="RDEC", $Y8="Limited Company"), "", M8*$E8*$I8)</f>
        <v>4250</v>
      </c>
      <c r="AD8" s="284" t="n">
        <f aca="false">IF(AND(AD$4="RDEC", $Y8="Limited Company"), "", N8*$E8*$I8)</f>
        <v>0</v>
      </c>
      <c r="AE8" s="284" t="str">
        <f aca="false">IF(AND(AE$4="RDEC", $Y8="Limited Company"), "", O8*$E8*$I8)</f>
        <v/>
      </c>
      <c r="AF8" s="284" t="n">
        <f aca="false">IF(AND(AF$4="RDEC", $Y8="Limited Company"), "", P8*$E8*$I8)</f>
        <v>0</v>
      </c>
      <c r="AG8" s="284" t="n">
        <f aca="false">IF(AND(AG$4="RDEC", $Y8="Limited Company"), "", Q8*$E8*$I8)</f>
        <v>0</v>
      </c>
      <c r="AH8" s="284" t="n">
        <f aca="false">IF(AND(AH$4="RDEC", $Y8="Limited Company"), "", R8*$E8*$I8)</f>
        <v>0</v>
      </c>
      <c r="AI8" s="284" t="n">
        <f aca="false">IF(AND(AI$4="RDEC", $Y8="Limited Company"), "", S8*$E8*$I8)</f>
        <v>0</v>
      </c>
      <c r="AJ8" s="284" t="n">
        <f aca="false">IF(AND(AJ$4="RDEC", $Y8="Limited Company"), "", T8*$E8*$I8)</f>
        <v>0</v>
      </c>
      <c r="AK8" s="284" t="n">
        <f aca="false">IF(AND(AK$4="RDEC", $Y8="Limited Company"), "", U8*$E8*$I8)</f>
        <v>0</v>
      </c>
      <c r="AL8" s="284" t="n">
        <f aca="false">IF(AND(AL$4="RDEC", $Y8="Limited Company"), "", V8*$E8*$I8)</f>
        <v>0</v>
      </c>
      <c r="AM8" s="284" t="n">
        <f aca="false">IF(AND(AM$4="RDEC", $Y8="Limited Company"), "", W8*$E8*$I8)</f>
        <v>0</v>
      </c>
      <c r="AN8" s="286" t="n">
        <f aca="false">IFERROR(SUMIF($AB$4:$AM$4, "RDEC", AB8:AM8), "")</f>
        <v>0</v>
      </c>
      <c r="AO8" s="286" t="str">
        <f aca="false">IFERROR((IF(Z8="Yes",SUMIF($AB$4:$AM$4,"SME",AB8:AM8),"")),"")</f>
        <v/>
      </c>
      <c r="AP8" s="286" t="n">
        <f aca="false">IFERROR((IF(Z8="No",SUMIF($AB$4:$AM$4,"SME",AB8:AM8),"")),"")</f>
        <v>8500</v>
      </c>
      <c r="AQ8" s="286" t="n">
        <f aca="false">IFERROR(SUMIF($AB$4:$AM$4, "De Minimis", AB8:AM8), "")</f>
        <v>0</v>
      </c>
      <c r="AR8" s="283"/>
      <c r="AS8" s="284" t="n">
        <f aca="false">IFERROR(L8*$E8*$J8, "")</f>
        <v>0</v>
      </c>
      <c r="AT8" s="284" t="n">
        <f aca="false">IFERROR(M8*$E8*$J8, "")</f>
        <v>0</v>
      </c>
      <c r="AU8" s="284" t="n">
        <f aca="false">IFERROR(N8*$E8*$J8, "")</f>
        <v>0</v>
      </c>
      <c r="AV8" s="284" t="n">
        <f aca="false">IFERROR(O8*$E8*$J8, "")</f>
        <v>0</v>
      </c>
      <c r="AW8" s="284" t="n">
        <f aca="false">IFERROR(P8*$E8*$J8, "")</f>
        <v>0</v>
      </c>
      <c r="AX8" s="284" t="n">
        <f aca="false">IFERROR(Q8*$E8*$J8, "")</f>
        <v>0</v>
      </c>
      <c r="AY8" s="284" t="n">
        <f aca="false">IFERROR(R8*$E8*$J8, "")</f>
        <v>0</v>
      </c>
      <c r="AZ8" s="284" t="n">
        <f aca="false">IFERROR(S8*$E8*$J8, "")</f>
        <v>0</v>
      </c>
      <c r="BA8" s="284" t="n">
        <f aca="false">IFERROR(T8*$E8*$J8, "")</f>
        <v>0</v>
      </c>
      <c r="BB8" s="284" t="n">
        <f aca="false">IFERROR(U8*$E8*$J8, "")</f>
        <v>0</v>
      </c>
      <c r="BC8" s="284" t="n">
        <f aca="false">IFERROR(V8*$E8*$J8, "")</f>
        <v>0</v>
      </c>
      <c r="BD8" s="284" t="n">
        <f aca="false">IFERROR(W8*$E8*$J8, "")</f>
        <v>0</v>
      </c>
      <c r="BE8" s="286" t="n">
        <f aca="false">IFERROR(SUMIF($AB$4:$AM$4, "RDEC", AS8:BD8), "")</f>
        <v>0</v>
      </c>
      <c r="BF8" s="286" t="n">
        <f aca="false">IFERROR(SUMIF($AB$4:$AM$4, "SME", AS8:BD8), "")</f>
        <v>0</v>
      </c>
      <c r="BG8" s="286" t="n">
        <f aca="false">IFERROR(SUMIF($AB$4:$AM$4, "De Minimis", AS8:BD8), "")</f>
        <v>0</v>
      </c>
      <c r="BH8" s="287"/>
      <c r="BI8" s="288" t="str">
        <f aca="false">IF((SUM(L8:W8)&gt;1),"ERROR","")</f>
        <v/>
      </c>
    </row>
    <row r="9" customFormat="false" ht="15" hidden="false" customHeight="true" outlineLevel="0" collapsed="false">
      <c r="A9" s="340" t="n">
        <v>45350</v>
      </c>
      <c r="B9" s="350" t="s">
        <v>308</v>
      </c>
      <c r="C9" s="350" t="s">
        <v>312</v>
      </c>
      <c r="D9" s="341" t="s">
        <v>313</v>
      </c>
      <c r="E9" s="200" t="n">
        <v>6200</v>
      </c>
      <c r="F9" s="363" t="n">
        <v>5100</v>
      </c>
      <c r="H9" s="350"/>
      <c r="I9" s="279" t="n">
        <v>0.8</v>
      </c>
      <c r="J9" s="281" t="n">
        <f aca="false">1-I9</f>
        <v>0.2</v>
      </c>
      <c r="K9" s="322"/>
      <c r="L9" s="282"/>
      <c r="M9" s="282" t="n">
        <v>0.6</v>
      </c>
      <c r="N9" s="282"/>
      <c r="O9" s="282" t="n">
        <v>0.4</v>
      </c>
      <c r="P9" s="282"/>
      <c r="Q9" s="282"/>
      <c r="R9" s="282"/>
      <c r="S9" s="282"/>
      <c r="T9" s="282"/>
      <c r="U9" s="282"/>
      <c r="V9" s="282"/>
      <c r="W9" s="282"/>
      <c r="X9" s="350"/>
      <c r="Y9" s="381" t="s">
        <v>311</v>
      </c>
      <c r="Z9" s="384" t="s">
        <v>71</v>
      </c>
      <c r="AA9" s="283"/>
      <c r="AB9" s="284" t="n">
        <f aca="false">IF(AND(AB$4="RDEC", $Y9="Limited Company"), "", L9*$E9*$I9)</f>
        <v>0</v>
      </c>
      <c r="AC9" s="284" t="n">
        <f aca="false">IF(AND(AC$4="RDEC", $Y9="Limited Company"), "", M9*$E9*$I9)</f>
        <v>2976</v>
      </c>
      <c r="AD9" s="284" t="n">
        <f aca="false">IF(AND(AD$4="RDEC", $Y9="Limited Company"), "", N9*$E9*$I9)</f>
        <v>0</v>
      </c>
      <c r="AE9" s="284" t="str">
        <f aca="false">IF(AND(AE$4="RDEC", $Y9="Limited Company"), "", O9*$E9*$I9)</f>
        <v/>
      </c>
      <c r="AF9" s="284" t="n">
        <f aca="false">IF(AND(AF$4="RDEC", $Y9="Limited Company"), "", P9*$E9*$I9)</f>
        <v>0</v>
      </c>
      <c r="AG9" s="284" t="n">
        <f aca="false">IF(AND(AG$4="RDEC", $Y9="Limited Company"), "", Q9*$E9*$I9)</f>
        <v>0</v>
      </c>
      <c r="AH9" s="284" t="n">
        <f aca="false">IF(AND(AH$4="RDEC", $Y9="Limited Company"), "", R9*$E9*$I9)</f>
        <v>0</v>
      </c>
      <c r="AI9" s="284" t="n">
        <f aca="false">IF(AND(AI$4="RDEC", $Y9="Limited Company"), "", S9*$E9*$I9)</f>
        <v>0</v>
      </c>
      <c r="AJ9" s="284" t="n">
        <f aca="false">IF(AND(AJ$4="RDEC", $Y9="Limited Company"), "", T9*$E9*$I9)</f>
        <v>0</v>
      </c>
      <c r="AK9" s="284" t="n">
        <f aca="false">IF(AND(AK$4="RDEC", $Y9="Limited Company"), "", U9*$E9*$I9)</f>
        <v>0</v>
      </c>
      <c r="AL9" s="284" t="n">
        <f aca="false">IF(AND(AL$4="RDEC", $Y9="Limited Company"), "", V9*$E9*$I9)</f>
        <v>0</v>
      </c>
      <c r="AM9" s="284" t="n">
        <f aca="false">IF(AND(AM$4="RDEC", $Y9="Limited Company"), "", W9*$E9*$I9)</f>
        <v>0</v>
      </c>
      <c r="AN9" s="286" t="n">
        <f aca="false">IFERROR(SUMIF($AB$4:$AM$4, "RDEC", AB9:AM9), "")</f>
        <v>0</v>
      </c>
      <c r="AO9" s="286" t="str">
        <f aca="false">IFERROR((IF(Z9="Yes",SUMIF($AB$4:$AM$4,"SME",AB9:AM9),"")),"")</f>
        <v/>
      </c>
      <c r="AP9" s="286" t="n">
        <f aca="false">IFERROR((IF(Z9="No",SUMIF($AB$4:$AM$4,"SME",AB9:AM9),"")),"")</f>
        <v>2976</v>
      </c>
      <c r="AQ9" s="286" t="n">
        <f aca="false">IFERROR(SUMIF($AB$4:$AM$4, "De Minimis", AB9:AM9), "")</f>
        <v>0</v>
      </c>
      <c r="AR9" s="283"/>
      <c r="AS9" s="284" t="n">
        <f aca="false">IFERROR(L9*$E9*$J9, "")</f>
        <v>0</v>
      </c>
      <c r="AT9" s="284" t="n">
        <f aca="false">IFERROR(M9*$E9*$J9, "")</f>
        <v>744</v>
      </c>
      <c r="AU9" s="284" t="n">
        <f aca="false">IFERROR(N9*$E9*$J9, "")</f>
        <v>0</v>
      </c>
      <c r="AV9" s="284" t="n">
        <f aca="false">IFERROR(O9*$E9*$J9, "")</f>
        <v>496</v>
      </c>
      <c r="AW9" s="284" t="n">
        <f aca="false">IFERROR(P9*$E9*$J9, "")</f>
        <v>0</v>
      </c>
      <c r="AX9" s="284" t="n">
        <f aca="false">IFERROR(Q9*$E9*$J9, "")</f>
        <v>0</v>
      </c>
      <c r="AY9" s="284" t="n">
        <f aca="false">IFERROR(R9*$E9*$J9, "")</f>
        <v>0</v>
      </c>
      <c r="AZ9" s="284" t="n">
        <f aca="false">IFERROR(S9*$E9*$J9, "")</f>
        <v>0</v>
      </c>
      <c r="BA9" s="284" t="n">
        <f aca="false">IFERROR(T9*$E9*$J9, "")</f>
        <v>0</v>
      </c>
      <c r="BB9" s="284" t="n">
        <f aca="false">IFERROR(U9*$E9*$J9, "")</f>
        <v>0</v>
      </c>
      <c r="BC9" s="284" t="n">
        <f aca="false">IFERROR(V9*$E9*$J9, "")</f>
        <v>0</v>
      </c>
      <c r="BD9" s="284" t="n">
        <f aca="false">IFERROR(W9*$E9*$J9, "")</f>
        <v>0</v>
      </c>
      <c r="BE9" s="286" t="n">
        <f aca="false">IFERROR(SUMIF($AB$4:$AM$4, "RDEC", AS9:BD9), "")</f>
        <v>496</v>
      </c>
      <c r="BF9" s="286" t="n">
        <f aca="false">IFERROR(SUMIF($AB$4:$AM$4, "SME", AS9:BD9), "")</f>
        <v>744</v>
      </c>
      <c r="BG9" s="286" t="n">
        <f aca="false">IFERROR(SUMIF($AB$4:$AM$4, "De Minimis", AS9:BD9), "")</f>
        <v>0</v>
      </c>
      <c r="BH9" s="287"/>
      <c r="BI9" s="288" t="str">
        <f aca="false">IF((SUM(L9:W9)&gt;1),"ERROR","")</f>
        <v/>
      </c>
      <c r="BS9" s="17" t="s">
        <v>314</v>
      </c>
    </row>
    <row r="10" customFormat="false" ht="15" hidden="false" customHeight="true" outlineLevel="0" collapsed="false">
      <c r="A10" s="340" t="n">
        <v>45382</v>
      </c>
      <c r="B10" s="350" t="s">
        <v>308</v>
      </c>
      <c r="C10" s="350" t="s">
        <v>315</v>
      </c>
      <c r="D10" s="341" t="s">
        <v>316</v>
      </c>
      <c r="E10" s="200" t="n">
        <v>12000</v>
      </c>
      <c r="F10" s="363" t="n">
        <v>5101</v>
      </c>
      <c r="H10" s="350"/>
      <c r="I10" s="279" t="n">
        <v>1</v>
      </c>
      <c r="J10" s="281" t="n">
        <f aca="false">1-I10</f>
        <v>0</v>
      </c>
      <c r="K10" s="322"/>
      <c r="L10" s="282"/>
      <c r="M10" s="282" t="n">
        <v>0.3</v>
      </c>
      <c r="N10" s="282"/>
      <c r="O10" s="282"/>
      <c r="P10" s="282" t="n">
        <v>0.7</v>
      </c>
      <c r="Q10" s="282"/>
      <c r="R10" s="282"/>
      <c r="S10" s="282"/>
      <c r="T10" s="282"/>
      <c r="U10" s="282"/>
      <c r="V10" s="282"/>
      <c r="W10" s="282"/>
      <c r="X10" s="350"/>
      <c r="Y10" s="381" t="s">
        <v>317</v>
      </c>
      <c r="Z10" s="384" t="s">
        <v>71</v>
      </c>
      <c r="AA10" s="283"/>
      <c r="AB10" s="284" t="n">
        <f aca="false">IF(AND(AB$4="RDEC", $Y10="Limited Company"), "", L10*$E10*$I10)</f>
        <v>0</v>
      </c>
      <c r="AC10" s="284" t="n">
        <f aca="false">IF(AND(AC$4="RDEC", $Y10="Limited Company"), "", M10*$E10*$I10)</f>
        <v>3600</v>
      </c>
      <c r="AD10" s="284" t="n">
        <f aca="false">IF(AND(AD$4="RDEC", $Y10="Limited Company"), "", N10*$E10*$I10)</f>
        <v>0</v>
      </c>
      <c r="AE10" s="284" t="n">
        <f aca="false">IF(AND(AE$4="RDEC", $Y10="Limited Company"), "", O10*$E10*$I10)</f>
        <v>0</v>
      </c>
      <c r="AF10" s="284" t="n">
        <f aca="false">IF(AND(AF$4="RDEC", $Y10="Limited Company"), "", P10*$E10*$I10)</f>
        <v>8400</v>
      </c>
      <c r="AG10" s="284" t="n">
        <f aca="false">IF(AND(AG$4="RDEC", $Y10="Limited Company"), "", Q10*$E10*$I10)</f>
        <v>0</v>
      </c>
      <c r="AH10" s="284" t="n">
        <f aca="false">IF(AND(AH$4="RDEC", $Y10="Limited Company"), "", R10*$E10*$I10)</f>
        <v>0</v>
      </c>
      <c r="AI10" s="284" t="n">
        <f aca="false">IF(AND(AI$4="RDEC", $Y10="Limited Company"), "", S10*$E10*$I10)</f>
        <v>0</v>
      </c>
      <c r="AJ10" s="284" t="n">
        <f aca="false">IF(AND(AJ$4="RDEC", $Y10="Limited Company"), "", T10*$E10*$I10)</f>
        <v>0</v>
      </c>
      <c r="AK10" s="284" t="n">
        <f aca="false">IF(AND(AK$4="RDEC", $Y10="Limited Company"), "", U10*$E10*$I10)</f>
        <v>0</v>
      </c>
      <c r="AL10" s="284" t="n">
        <f aca="false">IF(AND(AL$4="RDEC", $Y10="Limited Company"), "", V10*$E10*$I10)</f>
        <v>0</v>
      </c>
      <c r="AM10" s="284" t="n">
        <f aca="false">IF(AND(AM$4="RDEC", $Y10="Limited Company"), "", W10*$E10*$I10)</f>
        <v>0</v>
      </c>
      <c r="AN10" s="286" t="n">
        <f aca="false">IFERROR(SUMIF($AB$4:$AM$4, "RDEC", AB10:AM10), "")</f>
        <v>0</v>
      </c>
      <c r="AO10" s="286" t="str">
        <f aca="false">IFERROR((IF(Z10="Yes",SUMIF($AB$4:$AM$4,"SME",AB10:AM10),"")),"")</f>
        <v/>
      </c>
      <c r="AP10" s="286" t="n">
        <f aca="false">IFERROR((IF(Z10="No",SUMIF($AB$4:$AM$4,"SME",AB10:AM10),"")),"")</f>
        <v>12000</v>
      </c>
      <c r="AQ10" s="286" t="n">
        <f aca="false">IFERROR(SUMIF($AB$4:$AM$4, "De Minimis", AB10:AM10), "")</f>
        <v>0</v>
      </c>
      <c r="AR10" s="283"/>
      <c r="AS10" s="284" t="n">
        <f aca="false">IFERROR(L10*$E10*$J10, "")</f>
        <v>0</v>
      </c>
      <c r="AT10" s="284" t="n">
        <f aca="false">IFERROR(M10*$E10*$J10, "")</f>
        <v>0</v>
      </c>
      <c r="AU10" s="284" t="n">
        <f aca="false">IFERROR(N10*$E10*$J10, "")</f>
        <v>0</v>
      </c>
      <c r="AV10" s="284" t="n">
        <f aca="false">IFERROR(O10*$E10*$J10, "")</f>
        <v>0</v>
      </c>
      <c r="AW10" s="284" t="n">
        <f aca="false">IFERROR(P10*$E10*$J10, "")</f>
        <v>0</v>
      </c>
      <c r="AX10" s="284" t="n">
        <f aca="false">IFERROR(Q10*$E10*$J10, "")</f>
        <v>0</v>
      </c>
      <c r="AY10" s="284" t="n">
        <f aca="false">IFERROR(R10*$E10*$J10, "")</f>
        <v>0</v>
      </c>
      <c r="AZ10" s="284" t="n">
        <f aca="false">IFERROR(S10*$E10*$J10, "")</f>
        <v>0</v>
      </c>
      <c r="BA10" s="284" t="n">
        <f aca="false">IFERROR(T10*$E10*$J10, "")</f>
        <v>0</v>
      </c>
      <c r="BB10" s="284" t="n">
        <f aca="false">IFERROR(U10*$E10*$J10, "")</f>
        <v>0</v>
      </c>
      <c r="BC10" s="284" t="n">
        <f aca="false">IFERROR(V10*$E10*$J10, "")</f>
        <v>0</v>
      </c>
      <c r="BD10" s="284" t="n">
        <f aca="false">IFERROR(W10*$E10*$J10, "")</f>
        <v>0</v>
      </c>
      <c r="BE10" s="286" t="n">
        <f aca="false">IFERROR(SUMIF($AB$4:$AM$4, "RDEC", AS10:BD10), "")</f>
        <v>0</v>
      </c>
      <c r="BF10" s="286" t="n">
        <f aca="false">IFERROR(SUMIF($AB$4:$AM$4, "SME", AS10:BD10), "")</f>
        <v>0</v>
      </c>
      <c r="BG10" s="286" t="n">
        <f aca="false">IFERROR(SUMIF($AB$4:$AM$4, "De Minimis", AS10:BD10), "")</f>
        <v>0</v>
      </c>
      <c r="BH10" s="287"/>
      <c r="BI10" s="288" t="str">
        <f aca="false">IF((SUM(L10:W10)&gt;1),"ERROR","")</f>
        <v/>
      </c>
      <c r="BS10" s="17" t="s">
        <v>311</v>
      </c>
    </row>
    <row r="11" customFormat="false" ht="15" hidden="false" customHeight="true" outlineLevel="0" collapsed="false">
      <c r="A11" s="340" t="n">
        <v>45412</v>
      </c>
      <c r="B11" s="350" t="s">
        <v>308</v>
      </c>
      <c r="C11" s="350" t="s">
        <v>318</v>
      </c>
      <c r="D11" s="341" t="s">
        <v>319</v>
      </c>
      <c r="E11" s="200" t="n">
        <v>7800</v>
      </c>
      <c r="F11" s="363" t="n">
        <v>5100</v>
      </c>
      <c r="H11" s="350"/>
      <c r="I11" s="279" t="n">
        <v>1</v>
      </c>
      <c r="J11" s="281" t="n">
        <f aca="false">1-I11</f>
        <v>0</v>
      </c>
      <c r="K11" s="322"/>
      <c r="L11" s="282" t="n">
        <v>0.2</v>
      </c>
      <c r="M11" s="282"/>
      <c r="N11" s="282" t="n">
        <v>0.8</v>
      </c>
      <c r="O11" s="282"/>
      <c r="P11" s="282"/>
      <c r="Q11" s="282"/>
      <c r="R11" s="282"/>
      <c r="S11" s="282"/>
      <c r="T11" s="282"/>
      <c r="U11" s="282"/>
      <c r="V11" s="282"/>
      <c r="W11" s="282"/>
      <c r="X11" s="350"/>
      <c r="Y11" s="381" t="s">
        <v>311</v>
      </c>
      <c r="Z11" s="384" t="s">
        <v>71</v>
      </c>
      <c r="AA11" s="283"/>
      <c r="AB11" s="284" t="n">
        <f aca="false">IF(AND(AB$4="RDEC", $Y11="Limited Company"), "", L11*$E11*$I11)</f>
        <v>1560</v>
      </c>
      <c r="AC11" s="284" t="n">
        <f aca="false">IF(AND(AC$4="RDEC", $Y11="Limited Company"), "", M11*$E11*$I11)</f>
        <v>0</v>
      </c>
      <c r="AD11" s="284" t="n">
        <f aca="false">IF(AND(AD$4="RDEC", $Y11="Limited Company"), "", N11*$E11*$I11)</f>
        <v>6240</v>
      </c>
      <c r="AE11" s="284" t="str">
        <f aca="false">IF(AND(AE$4="RDEC", $Y11="Limited Company"), "", O11*$E11*$I11)</f>
        <v/>
      </c>
      <c r="AF11" s="284" t="n">
        <f aca="false">IF(AND(AF$4="RDEC", $Y11="Limited Company"), "", P11*$E11*$I11)</f>
        <v>0</v>
      </c>
      <c r="AG11" s="284" t="n">
        <f aca="false">IF(AND(AG$4="RDEC", $Y11="Limited Company"), "", Q11*$E11*$I11)</f>
        <v>0</v>
      </c>
      <c r="AH11" s="284" t="n">
        <f aca="false">IF(AND(AH$4="RDEC", $Y11="Limited Company"), "", R11*$E11*$I11)</f>
        <v>0</v>
      </c>
      <c r="AI11" s="284" t="n">
        <f aca="false">IF(AND(AI$4="RDEC", $Y11="Limited Company"), "", S11*$E11*$I11)</f>
        <v>0</v>
      </c>
      <c r="AJ11" s="284" t="n">
        <f aca="false">IF(AND(AJ$4="RDEC", $Y11="Limited Company"), "", T11*$E11*$I11)</f>
        <v>0</v>
      </c>
      <c r="AK11" s="284" t="n">
        <f aca="false">IF(AND(AK$4="RDEC", $Y11="Limited Company"), "", U11*$E11*$I11)</f>
        <v>0</v>
      </c>
      <c r="AL11" s="284" t="n">
        <f aca="false">IF(AND(AL$4="RDEC", $Y11="Limited Company"), "", V11*$E11*$I11)</f>
        <v>0</v>
      </c>
      <c r="AM11" s="284" t="n">
        <f aca="false">IF(AND(AM$4="RDEC", $Y11="Limited Company"), "", W11*$E11*$I11)</f>
        <v>0</v>
      </c>
      <c r="AN11" s="286" t="n">
        <f aca="false">IFERROR(SUMIF($AB$4:$AM$4, "RDEC", AB11:AM11), "")</f>
        <v>0</v>
      </c>
      <c r="AO11" s="286" t="str">
        <f aca="false">IFERROR((IF(Z11="Yes",SUMIF($AB$4:$AM$4,"SME",AB11:AM11),"")),"")</f>
        <v/>
      </c>
      <c r="AP11" s="286" t="n">
        <f aca="false">IFERROR((IF(Z11="No",SUMIF($AB$4:$AM$4,"SME",AB11:AM11),"")),"")</f>
        <v>7800</v>
      </c>
      <c r="AQ11" s="286" t="n">
        <f aca="false">IFERROR(SUMIF($AB$4:$AM$4, "De Minimis", AB11:AM11), "")</f>
        <v>0</v>
      </c>
      <c r="AR11" s="283"/>
      <c r="AS11" s="284" t="n">
        <f aca="false">IFERROR(L11*$E11*$J11, "")</f>
        <v>0</v>
      </c>
      <c r="AT11" s="284" t="n">
        <f aca="false">IFERROR(M11*$E11*$J11, "")</f>
        <v>0</v>
      </c>
      <c r="AU11" s="284" t="n">
        <f aca="false">IFERROR(N11*$E11*$J11, "")</f>
        <v>0</v>
      </c>
      <c r="AV11" s="284" t="n">
        <f aca="false">IFERROR(O11*$E11*$J11, "")</f>
        <v>0</v>
      </c>
      <c r="AW11" s="284" t="n">
        <f aca="false">IFERROR(P11*$E11*$J11, "")</f>
        <v>0</v>
      </c>
      <c r="AX11" s="284" t="n">
        <f aca="false">IFERROR(Q11*$E11*$J11, "")</f>
        <v>0</v>
      </c>
      <c r="AY11" s="284" t="n">
        <f aca="false">IFERROR(R11*$E11*$J11, "")</f>
        <v>0</v>
      </c>
      <c r="AZ11" s="284" t="n">
        <f aca="false">IFERROR(S11*$E11*$J11, "")</f>
        <v>0</v>
      </c>
      <c r="BA11" s="284" t="n">
        <f aca="false">IFERROR(T11*$E11*$J11, "")</f>
        <v>0</v>
      </c>
      <c r="BB11" s="284" t="n">
        <f aca="false">IFERROR(U11*$E11*$J11, "")</f>
        <v>0</v>
      </c>
      <c r="BC11" s="284" t="n">
        <f aca="false">IFERROR(V11*$E11*$J11, "")</f>
        <v>0</v>
      </c>
      <c r="BD11" s="284" t="n">
        <f aca="false">IFERROR(W11*$E11*$J11, "")</f>
        <v>0</v>
      </c>
      <c r="BE11" s="286" t="n">
        <f aca="false">IFERROR(SUMIF($AB$4:$AM$4, "RDEC", AS11:BD11), "")</f>
        <v>0</v>
      </c>
      <c r="BF11" s="286" t="n">
        <f aca="false">IFERROR(SUMIF($AB$4:$AM$4, "SME", AS11:BD11), "")</f>
        <v>0</v>
      </c>
      <c r="BG11" s="286" t="n">
        <f aca="false">IFERROR(SUMIF($AB$4:$AM$4, "De Minimis", AS11:BD11), "")</f>
        <v>0</v>
      </c>
      <c r="BH11" s="287"/>
      <c r="BI11" s="288" t="str">
        <f aca="false">IF((SUM(L11:W11)&gt;1),"ERROR","")</f>
        <v/>
      </c>
      <c r="BS11" s="17" t="s">
        <v>317</v>
      </c>
    </row>
    <row r="12" customFormat="false" ht="15" hidden="false" customHeight="true" outlineLevel="0" collapsed="false">
      <c r="A12" s="340" t="n">
        <v>45443</v>
      </c>
      <c r="B12" s="350" t="s">
        <v>308</v>
      </c>
      <c r="C12" s="350" t="s">
        <v>320</v>
      </c>
      <c r="D12" s="341" t="s">
        <v>321</v>
      </c>
      <c r="E12" s="200" t="n">
        <v>4500</v>
      </c>
      <c r="F12" s="363" t="n">
        <v>5102</v>
      </c>
      <c r="H12" s="350"/>
      <c r="I12" s="279" t="n">
        <v>1</v>
      </c>
      <c r="J12" s="281" t="n">
        <f aca="false">1-I12</f>
        <v>0</v>
      </c>
      <c r="K12" s="322"/>
      <c r="L12" s="282"/>
      <c r="M12" s="282"/>
      <c r="N12" s="282"/>
      <c r="O12" s="282"/>
      <c r="P12" s="282" t="n">
        <v>1</v>
      </c>
      <c r="Q12" s="282"/>
      <c r="R12" s="282"/>
      <c r="S12" s="282"/>
      <c r="T12" s="282"/>
      <c r="U12" s="282"/>
      <c r="V12" s="282"/>
      <c r="W12" s="282"/>
      <c r="X12" s="350"/>
      <c r="Y12" s="381" t="s">
        <v>311</v>
      </c>
      <c r="Z12" s="384" t="s">
        <v>71</v>
      </c>
      <c r="AA12" s="283"/>
      <c r="AB12" s="284" t="n">
        <f aca="false">IF(AND(AB$4="RDEC", $Y12="Limited Company"), "", L12*$E12*$I12)</f>
        <v>0</v>
      </c>
      <c r="AC12" s="284" t="n">
        <f aca="false">IF(AND(AC$4="RDEC", $Y12="Limited Company"), "", M12*$E12*$I12)</f>
        <v>0</v>
      </c>
      <c r="AD12" s="284" t="n">
        <f aca="false">IF(AND(AD$4="RDEC", $Y12="Limited Company"), "", N12*$E12*$I12)</f>
        <v>0</v>
      </c>
      <c r="AE12" s="284" t="str">
        <f aca="false">IF(AND(AE$4="RDEC", $Y12="Limited Company"), "", O12*$E12*$I12)</f>
        <v/>
      </c>
      <c r="AF12" s="284" t="n">
        <f aca="false">IF(AND(AF$4="RDEC", $Y12="Limited Company"), "", P12*$E12*$I12)</f>
        <v>4500</v>
      </c>
      <c r="AG12" s="284" t="n">
        <f aca="false">IF(AND(AG$4="RDEC", $Y12="Limited Company"), "", Q12*$E12*$I12)</f>
        <v>0</v>
      </c>
      <c r="AH12" s="284" t="n">
        <f aca="false">IF(AND(AH$4="RDEC", $Y12="Limited Company"), "", R12*$E12*$I12)</f>
        <v>0</v>
      </c>
      <c r="AI12" s="284" t="n">
        <f aca="false">IF(AND(AI$4="RDEC", $Y12="Limited Company"), "", S12*$E12*$I12)</f>
        <v>0</v>
      </c>
      <c r="AJ12" s="284" t="n">
        <f aca="false">IF(AND(AJ$4="RDEC", $Y12="Limited Company"), "", T12*$E12*$I12)</f>
        <v>0</v>
      </c>
      <c r="AK12" s="284" t="n">
        <f aca="false">IF(AND(AK$4="RDEC", $Y12="Limited Company"), "", U12*$E12*$I12)</f>
        <v>0</v>
      </c>
      <c r="AL12" s="284" t="n">
        <f aca="false">IF(AND(AL$4="RDEC", $Y12="Limited Company"), "", V12*$E12*$I12)</f>
        <v>0</v>
      </c>
      <c r="AM12" s="284" t="n">
        <f aca="false">IF(AND(AM$4="RDEC", $Y12="Limited Company"), "", W12*$E12*$I12)</f>
        <v>0</v>
      </c>
      <c r="AN12" s="286" t="n">
        <f aca="false">IFERROR(SUMIF($AB$4:$AM$4, "RDEC", AB12:AM12), "")</f>
        <v>0</v>
      </c>
      <c r="AO12" s="286" t="str">
        <f aca="false">IFERROR((IF(Z12="Yes",SUMIF($AB$4:$AM$4,"SME",AB12:AM12),"")),"")</f>
        <v/>
      </c>
      <c r="AP12" s="286" t="n">
        <f aca="false">IFERROR((IF(Z12="No",SUMIF($AB$4:$AM$4,"SME",AB12:AM12),"")),"")</f>
        <v>4500</v>
      </c>
      <c r="AQ12" s="286" t="n">
        <f aca="false">IFERROR(SUMIF($AB$4:$AM$4, "De Minimis", AB12:AM12), "")</f>
        <v>0</v>
      </c>
      <c r="AR12" s="283"/>
      <c r="AS12" s="284" t="n">
        <f aca="false">IFERROR(L12*$E12*$J12, "")</f>
        <v>0</v>
      </c>
      <c r="AT12" s="284" t="n">
        <f aca="false">IFERROR(M12*$E12*$J12, "")</f>
        <v>0</v>
      </c>
      <c r="AU12" s="284" t="n">
        <f aca="false">IFERROR(N12*$E12*$J12, "")</f>
        <v>0</v>
      </c>
      <c r="AV12" s="284" t="n">
        <f aca="false">IFERROR(O12*$E12*$J12, "")</f>
        <v>0</v>
      </c>
      <c r="AW12" s="284" t="n">
        <f aca="false">IFERROR(P12*$E12*$J12, "")</f>
        <v>0</v>
      </c>
      <c r="AX12" s="284" t="n">
        <f aca="false">IFERROR(Q12*$E12*$J12, "")</f>
        <v>0</v>
      </c>
      <c r="AY12" s="284" t="n">
        <f aca="false">IFERROR(R12*$E12*$J12, "")</f>
        <v>0</v>
      </c>
      <c r="AZ12" s="284" t="n">
        <f aca="false">IFERROR(S12*$E12*$J12, "")</f>
        <v>0</v>
      </c>
      <c r="BA12" s="284" t="n">
        <f aca="false">IFERROR(T12*$E12*$J12, "")</f>
        <v>0</v>
      </c>
      <c r="BB12" s="284" t="n">
        <f aca="false">IFERROR(U12*$E12*$J12, "")</f>
        <v>0</v>
      </c>
      <c r="BC12" s="284" t="n">
        <f aca="false">IFERROR(V12*$E12*$J12, "")</f>
        <v>0</v>
      </c>
      <c r="BD12" s="284" t="n">
        <f aca="false">IFERROR(W12*$E12*$J12, "")</f>
        <v>0</v>
      </c>
      <c r="BE12" s="286" t="n">
        <f aca="false">IFERROR(SUMIF($AB$4:$AM$4, "RDEC", AS12:BD12), "")</f>
        <v>0</v>
      </c>
      <c r="BF12" s="286" t="n">
        <f aca="false">IFERROR(SUMIF($AB$4:$AM$4, "SME", AS12:BD12), "")</f>
        <v>0</v>
      </c>
      <c r="BG12" s="286" t="n">
        <f aca="false">IFERROR(SUMIF($AB$4:$AM$4, "De Minimis", AS12:BD12), "")</f>
        <v>0</v>
      </c>
      <c r="BH12" s="287"/>
      <c r="BI12" s="288" t="str">
        <f aca="false">IF((SUM(L12:W12)&gt;1),"ERROR","")</f>
        <v/>
      </c>
    </row>
    <row r="13" customFormat="false" ht="15" hidden="false" customHeight="true" outlineLevel="0" collapsed="false">
      <c r="A13" s="340" t="n">
        <v>45473</v>
      </c>
      <c r="B13" s="350" t="s">
        <v>308</v>
      </c>
      <c r="C13" s="350" t="s">
        <v>322</v>
      </c>
      <c r="D13" s="341" t="s">
        <v>323</v>
      </c>
      <c r="E13" s="200" t="n">
        <v>9200</v>
      </c>
      <c r="F13" s="363" t="n">
        <v>5103</v>
      </c>
      <c r="H13" s="350"/>
      <c r="I13" s="279" t="n">
        <v>0.3</v>
      </c>
      <c r="J13" s="281" t="n">
        <f aca="false">1-I13</f>
        <v>0.7</v>
      </c>
      <c r="K13" s="322"/>
      <c r="L13" s="282"/>
      <c r="M13" s="282"/>
      <c r="N13" s="282"/>
      <c r="O13" s="282" t="n">
        <v>1</v>
      </c>
      <c r="P13" s="282"/>
      <c r="Q13" s="282"/>
      <c r="R13" s="282"/>
      <c r="S13" s="282"/>
      <c r="T13" s="282"/>
      <c r="U13" s="282"/>
      <c r="V13" s="282"/>
      <c r="W13" s="282"/>
      <c r="X13" s="350"/>
      <c r="Y13" s="381" t="s">
        <v>311</v>
      </c>
      <c r="Z13" s="384" t="s">
        <v>71</v>
      </c>
      <c r="AA13" s="283"/>
      <c r="AB13" s="284" t="n">
        <f aca="false">IF(AND(AB$4="RDEC", $Y13="Limited Company"), "", L13*$E13*$I13)</f>
        <v>0</v>
      </c>
      <c r="AC13" s="284" t="n">
        <f aca="false">IF(AND(AC$4="RDEC", $Y13="Limited Company"), "", M13*$E13*$I13)</f>
        <v>0</v>
      </c>
      <c r="AD13" s="284" t="n">
        <f aca="false">IF(AND(AD$4="RDEC", $Y13="Limited Company"), "", N13*$E13*$I13)</f>
        <v>0</v>
      </c>
      <c r="AE13" s="284" t="str">
        <f aca="false">IF(AND(AE$4="RDEC", $Y13="Limited Company"), "", O13*$E13*$I13)</f>
        <v/>
      </c>
      <c r="AF13" s="284" t="n">
        <f aca="false">IF(AND(AF$4="RDEC", $Y13="Limited Company"), "", P13*$E13*$I13)</f>
        <v>0</v>
      </c>
      <c r="AG13" s="284" t="n">
        <f aca="false">IF(AND(AG$4="RDEC", $Y13="Limited Company"), "", Q13*$E13*$I13)</f>
        <v>0</v>
      </c>
      <c r="AH13" s="284" t="n">
        <f aca="false">IF(AND(AH$4="RDEC", $Y13="Limited Company"), "", R13*$E13*$I13)</f>
        <v>0</v>
      </c>
      <c r="AI13" s="284" t="n">
        <f aca="false">IF(AND(AI$4="RDEC", $Y13="Limited Company"), "", S13*$E13*$I13)</f>
        <v>0</v>
      </c>
      <c r="AJ13" s="284" t="n">
        <f aca="false">IF(AND(AJ$4="RDEC", $Y13="Limited Company"), "", T13*$E13*$I13)</f>
        <v>0</v>
      </c>
      <c r="AK13" s="284" t="n">
        <f aca="false">IF(AND(AK$4="RDEC", $Y13="Limited Company"), "", U13*$E13*$I13)</f>
        <v>0</v>
      </c>
      <c r="AL13" s="284" t="n">
        <f aca="false">IF(AND(AL$4="RDEC", $Y13="Limited Company"), "", V13*$E13*$I13)</f>
        <v>0</v>
      </c>
      <c r="AM13" s="284" t="n">
        <f aca="false">IF(AND(AM$4="RDEC", $Y13="Limited Company"), "", W13*$E13*$I13)</f>
        <v>0</v>
      </c>
      <c r="AN13" s="286" t="n">
        <f aca="false">IFERROR(SUMIF($AB$4:$AM$4, "RDEC", AB13:AM13), "")</f>
        <v>0</v>
      </c>
      <c r="AO13" s="286" t="str">
        <f aca="false">IFERROR((IF(Z13="Yes",SUMIF($AB$4:$AM$4,"SME",AB13:AM13),"")),"")</f>
        <v/>
      </c>
      <c r="AP13" s="286" t="n">
        <f aca="false">IFERROR((IF(Z13="No",SUMIF($AB$4:$AM$4,"SME",AB13:AM13),"")),"")</f>
        <v>0</v>
      </c>
      <c r="AQ13" s="286" t="n">
        <f aca="false">IFERROR(SUMIF($AB$4:$AM$4, "De Minimis", AB13:AM13), "")</f>
        <v>0</v>
      </c>
      <c r="AR13" s="283"/>
      <c r="AS13" s="284" t="n">
        <f aca="false">IFERROR(L13*$E13*$J13, "")</f>
        <v>0</v>
      </c>
      <c r="AT13" s="284" t="n">
        <f aca="false">IFERROR(M13*$E13*$J13, "")</f>
        <v>0</v>
      </c>
      <c r="AU13" s="284" t="n">
        <f aca="false">IFERROR(N13*$E13*$J13, "")</f>
        <v>0</v>
      </c>
      <c r="AV13" s="284" t="n">
        <f aca="false">IFERROR(O13*$E13*$J13, "")</f>
        <v>6440</v>
      </c>
      <c r="AW13" s="284" t="n">
        <f aca="false">IFERROR(P13*$E13*$J13, "")</f>
        <v>0</v>
      </c>
      <c r="AX13" s="284" t="n">
        <f aca="false">IFERROR(Q13*$E13*$J13, "")</f>
        <v>0</v>
      </c>
      <c r="AY13" s="284" t="n">
        <f aca="false">IFERROR(R13*$E13*$J13, "")</f>
        <v>0</v>
      </c>
      <c r="AZ13" s="284" t="n">
        <f aca="false">IFERROR(S13*$E13*$J13, "")</f>
        <v>0</v>
      </c>
      <c r="BA13" s="284" t="n">
        <f aca="false">IFERROR(T13*$E13*$J13, "")</f>
        <v>0</v>
      </c>
      <c r="BB13" s="284" t="n">
        <f aca="false">IFERROR(U13*$E13*$J13, "")</f>
        <v>0</v>
      </c>
      <c r="BC13" s="284" t="n">
        <f aca="false">IFERROR(V13*$E13*$J13, "")</f>
        <v>0</v>
      </c>
      <c r="BD13" s="284" t="n">
        <f aca="false">IFERROR(W13*$E13*$J13, "")</f>
        <v>0</v>
      </c>
      <c r="BE13" s="286" t="n">
        <f aca="false">IFERROR(SUMIF($AB$4:$AM$4, "RDEC", AS13:BD13), "")</f>
        <v>6440</v>
      </c>
      <c r="BF13" s="286" t="n">
        <f aca="false">IFERROR(SUMIF($AB$4:$AM$4, "SME", AS13:BD13), "")</f>
        <v>0</v>
      </c>
      <c r="BG13" s="286" t="n">
        <f aca="false">IFERROR(SUMIF($AB$4:$AM$4, "De Minimis", AS13:BD13), "")</f>
        <v>0</v>
      </c>
      <c r="BH13" s="287"/>
      <c r="BI13" s="288" t="str">
        <f aca="false">IF((SUM(L13:W13)&gt;1),"ERROR","")</f>
        <v/>
      </c>
    </row>
    <row r="14" customFormat="false" ht="15" hidden="false" customHeight="true" outlineLevel="0" collapsed="false">
      <c r="A14" s="340" t="n">
        <v>45504</v>
      </c>
      <c r="B14" s="350" t="s">
        <v>308</v>
      </c>
      <c r="C14" s="350" t="s">
        <v>324</v>
      </c>
      <c r="D14" s="341" t="s">
        <v>325</v>
      </c>
      <c r="E14" s="200" t="n">
        <v>5600</v>
      </c>
      <c r="F14" s="363" t="n">
        <v>5104</v>
      </c>
      <c r="H14" s="350"/>
      <c r="I14" s="279" t="n">
        <v>1</v>
      </c>
      <c r="J14" s="281" t="n">
        <f aca="false">1-I14</f>
        <v>0</v>
      </c>
      <c r="K14" s="322"/>
      <c r="L14" s="282"/>
      <c r="M14" s="282" t="n">
        <v>0.4</v>
      </c>
      <c r="N14" s="282"/>
      <c r="O14" s="282" t="n">
        <v>0.3</v>
      </c>
      <c r="P14" s="282" t="n">
        <v>0.3</v>
      </c>
      <c r="Q14" s="282"/>
      <c r="R14" s="282"/>
      <c r="S14" s="282"/>
      <c r="T14" s="282"/>
      <c r="U14" s="282"/>
      <c r="V14" s="282"/>
      <c r="W14" s="282"/>
      <c r="X14" s="350"/>
      <c r="Y14" s="381" t="s">
        <v>314</v>
      </c>
      <c r="Z14" s="384" t="s">
        <v>71</v>
      </c>
      <c r="AA14" s="283"/>
      <c r="AB14" s="284" t="n">
        <f aca="false">IF(AND(AB$4="RDEC", $Y14="Limited Company"), "", L14*$E14*$I14)</f>
        <v>0</v>
      </c>
      <c r="AC14" s="284" t="n">
        <f aca="false">IF(AND(AC$4="RDEC", $Y14="Limited Company"), "", M14*$E14*$I14)</f>
        <v>2240</v>
      </c>
      <c r="AD14" s="284" t="n">
        <f aca="false">IF(AND(AD$4="RDEC", $Y14="Limited Company"), "", N14*$E14*$I14)</f>
        <v>0</v>
      </c>
      <c r="AE14" s="284" t="n">
        <f aca="false">IF(AND(AE$4="RDEC", $Y14="Limited Company"), "", O14*$E14*$I14)</f>
        <v>1680</v>
      </c>
      <c r="AF14" s="284" t="n">
        <f aca="false">IF(AND(AF$4="RDEC", $Y14="Limited Company"), "", P14*$E14*$I14)</f>
        <v>1680</v>
      </c>
      <c r="AG14" s="284" t="n">
        <f aca="false">IF(AND(AG$4="RDEC", $Y14="Limited Company"), "", Q14*$E14*$I14)</f>
        <v>0</v>
      </c>
      <c r="AH14" s="284" t="n">
        <f aca="false">IF(AND(AH$4="RDEC", $Y14="Limited Company"), "", R14*$E14*$I14)</f>
        <v>0</v>
      </c>
      <c r="AI14" s="284" t="n">
        <f aca="false">IF(AND(AI$4="RDEC", $Y14="Limited Company"), "", S14*$E14*$I14)</f>
        <v>0</v>
      </c>
      <c r="AJ14" s="284" t="n">
        <f aca="false">IF(AND(AJ$4="RDEC", $Y14="Limited Company"), "", T14*$E14*$I14)</f>
        <v>0</v>
      </c>
      <c r="AK14" s="284" t="n">
        <f aca="false">IF(AND(AK$4="RDEC", $Y14="Limited Company"), "", U14*$E14*$I14)</f>
        <v>0</v>
      </c>
      <c r="AL14" s="284" t="n">
        <f aca="false">IF(AND(AL$4="RDEC", $Y14="Limited Company"), "", V14*$E14*$I14)</f>
        <v>0</v>
      </c>
      <c r="AM14" s="284" t="n">
        <f aca="false">IF(AND(AM$4="RDEC", $Y14="Limited Company"), "", W14*$E14*$I14)</f>
        <v>0</v>
      </c>
      <c r="AN14" s="286" t="n">
        <f aca="false">IFERROR(SUMIF($AB$4:$AM$4, "RDEC", AB14:AM14), "")</f>
        <v>1680</v>
      </c>
      <c r="AO14" s="286" t="str">
        <f aca="false">IFERROR((IF(Z14="Yes",SUMIF($AB$4:$AM$4,"SME",AB14:AM14),"")),"")</f>
        <v/>
      </c>
      <c r="AP14" s="286" t="n">
        <f aca="false">IFERROR((IF(Z14="No",SUMIF($AB$4:$AM$4,"SME",AB14:AM14),"")),"")</f>
        <v>3920</v>
      </c>
      <c r="AQ14" s="286" t="n">
        <f aca="false">IFERROR(SUMIF($AB$4:$AM$4, "De Minimis", AB14:AM14), "")</f>
        <v>0</v>
      </c>
      <c r="AR14" s="283"/>
      <c r="AS14" s="284" t="n">
        <f aca="false">IFERROR(L14*$E14*$J14, "")</f>
        <v>0</v>
      </c>
      <c r="AT14" s="284" t="n">
        <f aca="false">IFERROR(M14*$E14*$J14, "")</f>
        <v>0</v>
      </c>
      <c r="AU14" s="284" t="n">
        <f aca="false">IFERROR(N14*$E14*$J14, "")</f>
        <v>0</v>
      </c>
      <c r="AV14" s="284" t="n">
        <f aca="false">IFERROR(O14*$E14*$J14, "")</f>
        <v>0</v>
      </c>
      <c r="AW14" s="284" t="n">
        <f aca="false">IFERROR(P14*$E14*$J14, "")</f>
        <v>0</v>
      </c>
      <c r="AX14" s="284" t="n">
        <f aca="false">IFERROR(Q14*$E14*$J14, "")</f>
        <v>0</v>
      </c>
      <c r="AY14" s="284" t="n">
        <f aca="false">IFERROR(R14*$E14*$J14, "")</f>
        <v>0</v>
      </c>
      <c r="AZ14" s="284" t="n">
        <f aca="false">IFERROR(S14*$E14*$J14, "")</f>
        <v>0</v>
      </c>
      <c r="BA14" s="284" t="n">
        <f aca="false">IFERROR(T14*$E14*$J14, "")</f>
        <v>0</v>
      </c>
      <c r="BB14" s="284" t="n">
        <f aca="false">IFERROR(U14*$E14*$J14, "")</f>
        <v>0</v>
      </c>
      <c r="BC14" s="284" t="n">
        <f aca="false">IFERROR(V14*$E14*$J14, "")</f>
        <v>0</v>
      </c>
      <c r="BD14" s="284" t="n">
        <f aca="false">IFERROR(W14*$E14*$J14, "")</f>
        <v>0</v>
      </c>
      <c r="BE14" s="286" t="n">
        <f aca="false">IFERROR(SUMIF($AB$4:$AM$4, "RDEC", AS14:BD14), "")</f>
        <v>0</v>
      </c>
      <c r="BF14" s="286" t="n">
        <f aca="false">IFERROR(SUMIF($AB$4:$AM$4, "SME", AS14:BD14), "")</f>
        <v>0</v>
      </c>
      <c r="BG14" s="286" t="n">
        <f aca="false">IFERROR(SUMIF($AB$4:$AM$4, "De Minimis", AS14:BD14), "")</f>
        <v>0</v>
      </c>
      <c r="BH14" s="287"/>
      <c r="BI14" s="288" t="str">
        <f aca="false">IF((SUM(L14:W14)&gt;1),"ERROR","")</f>
        <v/>
      </c>
    </row>
    <row r="15" customFormat="false" ht="15" hidden="false" customHeight="true" outlineLevel="0" collapsed="false">
      <c r="A15" s="340" t="n">
        <v>45535</v>
      </c>
      <c r="B15" s="350" t="s">
        <v>308</v>
      </c>
      <c r="C15" s="350" t="s">
        <v>326</v>
      </c>
      <c r="D15" s="341" t="s">
        <v>327</v>
      </c>
      <c r="E15" s="200" t="n">
        <v>5800</v>
      </c>
      <c r="F15" s="363" t="n">
        <v>5100</v>
      </c>
      <c r="H15" s="350"/>
      <c r="I15" s="279" t="n">
        <v>0.9</v>
      </c>
      <c r="J15" s="281" t="n">
        <f aca="false">1-I15</f>
        <v>0.1</v>
      </c>
      <c r="K15" s="322"/>
      <c r="L15" s="282" t="n">
        <v>0.4</v>
      </c>
      <c r="M15" s="282" t="n">
        <v>0.6</v>
      </c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350"/>
      <c r="Y15" s="381" t="s">
        <v>311</v>
      </c>
      <c r="Z15" s="384" t="s">
        <v>71</v>
      </c>
      <c r="AA15" s="283"/>
      <c r="AB15" s="284" t="n">
        <f aca="false">IF(AND(AB$4="RDEC", $Y15="Limited Company"), "", L15*$E15*$I15)</f>
        <v>2088</v>
      </c>
      <c r="AC15" s="284" t="n">
        <f aca="false">IF(AND(AC$4="RDEC", $Y15="Limited Company"), "", M15*$E15*$I15)</f>
        <v>3132</v>
      </c>
      <c r="AD15" s="284" t="n">
        <f aca="false">IF(AND(AD$4="RDEC", $Y15="Limited Company"), "", N15*$E15*$I15)</f>
        <v>0</v>
      </c>
      <c r="AE15" s="284" t="str">
        <f aca="false">IF(AND(AE$4="RDEC", $Y15="Limited Company"), "", O15*$E15*$I15)</f>
        <v/>
      </c>
      <c r="AF15" s="284" t="n">
        <f aca="false">IF(AND(AF$4="RDEC", $Y15="Limited Company"), "", P15*$E15*$I15)</f>
        <v>0</v>
      </c>
      <c r="AG15" s="284" t="n">
        <f aca="false">IF(AND(AG$4="RDEC", $Y15="Limited Company"), "", Q15*$E15*$I15)</f>
        <v>0</v>
      </c>
      <c r="AH15" s="284" t="n">
        <f aca="false">IF(AND(AH$4="RDEC", $Y15="Limited Company"), "", R15*$E15*$I15)</f>
        <v>0</v>
      </c>
      <c r="AI15" s="284" t="n">
        <f aca="false">IF(AND(AI$4="RDEC", $Y15="Limited Company"), "", S15*$E15*$I15)</f>
        <v>0</v>
      </c>
      <c r="AJ15" s="284" t="n">
        <f aca="false">IF(AND(AJ$4="RDEC", $Y15="Limited Company"), "", T15*$E15*$I15)</f>
        <v>0</v>
      </c>
      <c r="AK15" s="284" t="n">
        <f aca="false">IF(AND(AK$4="RDEC", $Y15="Limited Company"), "", U15*$E15*$I15)</f>
        <v>0</v>
      </c>
      <c r="AL15" s="284" t="n">
        <f aca="false">IF(AND(AL$4="RDEC", $Y15="Limited Company"), "", V15*$E15*$I15)</f>
        <v>0</v>
      </c>
      <c r="AM15" s="284" t="n">
        <f aca="false">IF(AND(AM$4="RDEC", $Y15="Limited Company"), "", W15*$E15*$I15)</f>
        <v>0</v>
      </c>
      <c r="AN15" s="286" t="n">
        <f aca="false">IFERROR(SUMIF($AB$4:$AM$4, "RDEC", AB15:AM15), "")</f>
        <v>0</v>
      </c>
      <c r="AO15" s="286" t="str">
        <f aca="false">IFERROR((IF(Z15="Yes",SUMIF($AB$4:$AM$4,"SME",AB15:AM15),"")),"")</f>
        <v/>
      </c>
      <c r="AP15" s="286" t="n">
        <f aca="false">IFERROR((IF(Z15="No",SUMIF($AB$4:$AM$4,"SME",AB15:AM15),"")),"")</f>
        <v>5220</v>
      </c>
      <c r="AQ15" s="286" t="n">
        <f aca="false">IFERROR(SUMIF($AB$4:$AM$4, "De Minimis", AB15:AM15), "")</f>
        <v>0</v>
      </c>
      <c r="AR15" s="283"/>
      <c r="AS15" s="284" t="n">
        <f aca="false">IFERROR(L15*$E15*$J15, "")</f>
        <v>232</v>
      </c>
      <c r="AT15" s="284" t="n">
        <f aca="false">IFERROR(M15*$E15*$J15, "")</f>
        <v>348</v>
      </c>
      <c r="AU15" s="284" t="n">
        <f aca="false">IFERROR(N15*$E15*$J15, "")</f>
        <v>0</v>
      </c>
      <c r="AV15" s="284" t="n">
        <f aca="false">IFERROR(O15*$E15*$J15, "")</f>
        <v>0</v>
      </c>
      <c r="AW15" s="284" t="n">
        <f aca="false">IFERROR(P15*$E15*$J15, "")</f>
        <v>0</v>
      </c>
      <c r="AX15" s="284" t="n">
        <f aca="false">IFERROR(Q15*$E15*$J15, "")</f>
        <v>0</v>
      </c>
      <c r="AY15" s="284" t="n">
        <f aca="false">IFERROR(R15*$E15*$J15, "")</f>
        <v>0</v>
      </c>
      <c r="AZ15" s="284" t="n">
        <f aca="false">IFERROR(S15*$E15*$J15, "")</f>
        <v>0</v>
      </c>
      <c r="BA15" s="284" t="n">
        <f aca="false">IFERROR(T15*$E15*$J15, "")</f>
        <v>0</v>
      </c>
      <c r="BB15" s="284" t="n">
        <f aca="false">IFERROR(U15*$E15*$J15, "")</f>
        <v>0</v>
      </c>
      <c r="BC15" s="284" t="n">
        <f aca="false">IFERROR(V15*$E15*$J15, "")</f>
        <v>0</v>
      </c>
      <c r="BD15" s="284" t="n">
        <f aca="false">IFERROR(W15*$E15*$J15, "")</f>
        <v>0</v>
      </c>
      <c r="BE15" s="286" t="n">
        <f aca="false">IFERROR(SUMIF($AB$4:$AM$4, "RDEC", AS15:BD15), "")</f>
        <v>0</v>
      </c>
      <c r="BF15" s="286" t="n">
        <f aca="false">IFERROR(SUMIF($AB$4:$AM$4, "SME", AS15:BD15), "")</f>
        <v>580</v>
      </c>
      <c r="BG15" s="286" t="n">
        <f aca="false">IFERROR(SUMIF($AB$4:$AM$4, "De Minimis", AS15:BD15), "")</f>
        <v>0</v>
      </c>
      <c r="BH15" s="287"/>
      <c r="BI15" s="288" t="str">
        <f aca="false">IF((SUM(L15:W15)&gt;1),"ERROR","")</f>
        <v/>
      </c>
      <c r="BS15" s="17" t="s">
        <v>77</v>
      </c>
    </row>
    <row r="16" customFormat="false" ht="15" hidden="false" customHeight="true" outlineLevel="0" collapsed="false">
      <c r="A16" s="340" t="n">
        <v>45565</v>
      </c>
      <c r="B16" s="350" t="s">
        <v>308</v>
      </c>
      <c r="C16" s="350" t="s">
        <v>328</v>
      </c>
      <c r="D16" s="341" t="s">
        <v>329</v>
      </c>
      <c r="E16" s="200" t="n">
        <v>10000</v>
      </c>
      <c r="F16" s="363" t="n">
        <v>5101</v>
      </c>
      <c r="H16" s="350"/>
      <c r="I16" s="279" t="n">
        <v>1</v>
      </c>
      <c r="J16" s="281" t="n">
        <f aca="false">1-I16</f>
        <v>0</v>
      </c>
      <c r="K16" s="322"/>
      <c r="L16" s="282"/>
      <c r="M16" s="282"/>
      <c r="N16" s="282"/>
      <c r="O16" s="282"/>
      <c r="P16" s="282" t="n">
        <v>1</v>
      </c>
      <c r="Q16" s="282"/>
      <c r="R16" s="282"/>
      <c r="S16" s="282"/>
      <c r="T16" s="282"/>
      <c r="U16" s="282"/>
      <c r="V16" s="282"/>
      <c r="W16" s="282"/>
      <c r="X16" s="350"/>
      <c r="Y16" s="381" t="s">
        <v>317</v>
      </c>
      <c r="Z16" s="384" t="s">
        <v>71</v>
      </c>
      <c r="AA16" s="283"/>
      <c r="AB16" s="284" t="n">
        <f aca="false">IF(AND(AB$4="RDEC", $Y16="Limited Company"), "", L16*$E16*$I16)</f>
        <v>0</v>
      </c>
      <c r="AC16" s="284" t="n">
        <f aca="false">IF(AND(AC$4="RDEC", $Y16="Limited Company"), "", M16*$E16*$I16)</f>
        <v>0</v>
      </c>
      <c r="AD16" s="284" t="n">
        <f aca="false">IF(AND(AD$4="RDEC", $Y16="Limited Company"), "", N16*$E16*$I16)</f>
        <v>0</v>
      </c>
      <c r="AE16" s="284" t="n">
        <f aca="false">IF(AND(AE$4="RDEC", $Y16="Limited Company"), "", O16*$E16*$I16)</f>
        <v>0</v>
      </c>
      <c r="AF16" s="284" t="n">
        <f aca="false">IF(AND(AF$4="RDEC", $Y16="Limited Company"), "", P16*$E16*$I16)</f>
        <v>10000</v>
      </c>
      <c r="AG16" s="284" t="n">
        <f aca="false">IF(AND(AG$4="RDEC", $Y16="Limited Company"), "", Q16*$E16*$I16)</f>
        <v>0</v>
      </c>
      <c r="AH16" s="284" t="n">
        <f aca="false">IF(AND(AH$4="RDEC", $Y16="Limited Company"), "", R16*$E16*$I16)</f>
        <v>0</v>
      </c>
      <c r="AI16" s="284" t="n">
        <f aca="false">IF(AND(AI$4="RDEC", $Y16="Limited Company"), "", S16*$E16*$I16)</f>
        <v>0</v>
      </c>
      <c r="AJ16" s="284" t="n">
        <f aca="false">IF(AND(AJ$4="RDEC", $Y16="Limited Company"), "", T16*$E16*$I16)</f>
        <v>0</v>
      </c>
      <c r="AK16" s="284" t="n">
        <f aca="false">IF(AND(AK$4="RDEC", $Y16="Limited Company"), "", U16*$E16*$I16)</f>
        <v>0</v>
      </c>
      <c r="AL16" s="284" t="n">
        <f aca="false">IF(AND(AL$4="RDEC", $Y16="Limited Company"), "", V16*$E16*$I16)</f>
        <v>0</v>
      </c>
      <c r="AM16" s="284" t="n">
        <f aca="false">IF(AND(AM$4="RDEC", $Y16="Limited Company"), "", W16*$E16*$I16)</f>
        <v>0</v>
      </c>
      <c r="AN16" s="286" t="n">
        <f aca="false">IFERROR(SUMIF($AB$4:$AM$4, "RDEC", AB16:AM16), "")</f>
        <v>0</v>
      </c>
      <c r="AO16" s="286" t="str">
        <f aca="false">IFERROR((IF(Z16="Yes",SUMIF($AB$4:$AM$4,"SME",AB16:AM16),"")),"")</f>
        <v/>
      </c>
      <c r="AP16" s="286" t="n">
        <f aca="false">IFERROR((IF(Z16="No",SUMIF($AB$4:$AM$4,"SME",AB16:AM16),"")),"")</f>
        <v>10000</v>
      </c>
      <c r="AQ16" s="286" t="n">
        <f aca="false">IFERROR(SUMIF($AB$4:$AM$4, "De Minimis", AB16:AM16), "")</f>
        <v>0</v>
      </c>
      <c r="AR16" s="283"/>
      <c r="AS16" s="284" t="n">
        <f aca="false">IFERROR(L16*$E16*$J16, "")</f>
        <v>0</v>
      </c>
      <c r="AT16" s="284" t="n">
        <f aca="false">IFERROR(M16*$E16*$J16, "")</f>
        <v>0</v>
      </c>
      <c r="AU16" s="284" t="n">
        <f aca="false">IFERROR(N16*$E16*$J16, "")</f>
        <v>0</v>
      </c>
      <c r="AV16" s="284" t="n">
        <f aca="false">IFERROR(O16*$E16*$J16, "")</f>
        <v>0</v>
      </c>
      <c r="AW16" s="284" t="n">
        <f aca="false">IFERROR(P16*$E16*$J16, "")</f>
        <v>0</v>
      </c>
      <c r="AX16" s="284" t="n">
        <f aca="false">IFERROR(Q16*$E16*$J16, "")</f>
        <v>0</v>
      </c>
      <c r="AY16" s="284" t="n">
        <f aca="false">IFERROR(R16*$E16*$J16, "")</f>
        <v>0</v>
      </c>
      <c r="AZ16" s="284" t="n">
        <f aca="false">IFERROR(S16*$E16*$J16, "")</f>
        <v>0</v>
      </c>
      <c r="BA16" s="284" t="n">
        <f aca="false">IFERROR(T16*$E16*$J16, "")</f>
        <v>0</v>
      </c>
      <c r="BB16" s="284" t="n">
        <f aca="false">IFERROR(U16*$E16*$J16, "")</f>
        <v>0</v>
      </c>
      <c r="BC16" s="284" t="n">
        <f aca="false">IFERROR(V16*$E16*$J16, "")</f>
        <v>0</v>
      </c>
      <c r="BD16" s="284" t="n">
        <f aca="false">IFERROR(W16*$E16*$J16, "")</f>
        <v>0</v>
      </c>
      <c r="BE16" s="286" t="n">
        <f aca="false">IFERROR(SUMIF($AB$4:$AM$4, "RDEC", AS16:BD16), "")</f>
        <v>0</v>
      </c>
      <c r="BF16" s="286" t="n">
        <f aca="false">IFERROR(SUMIF($AB$4:$AM$4, "SME", AS16:BD16), "")</f>
        <v>0</v>
      </c>
      <c r="BG16" s="286" t="n">
        <f aca="false">IFERROR(SUMIF($AB$4:$AM$4, "De Minimis", AS16:BD16), "")</f>
        <v>0</v>
      </c>
      <c r="BH16" s="287"/>
      <c r="BI16" s="288" t="str">
        <f aca="false">IF((SUM(L16:W16)&gt;1),"ERROR","")</f>
        <v/>
      </c>
      <c r="BS16" s="17" t="s">
        <v>71</v>
      </c>
    </row>
    <row r="17" customFormat="false" ht="15" hidden="false" customHeight="true" outlineLevel="0" collapsed="false">
      <c r="A17" s="340" t="n">
        <v>45596</v>
      </c>
      <c r="B17" s="350" t="s">
        <v>308</v>
      </c>
      <c r="C17" s="350" t="s">
        <v>330</v>
      </c>
      <c r="D17" s="341" t="s">
        <v>331</v>
      </c>
      <c r="E17" s="200" t="n">
        <v>7200</v>
      </c>
      <c r="F17" s="363" t="n">
        <v>5105</v>
      </c>
      <c r="H17" s="350"/>
      <c r="I17" s="279" t="n">
        <v>1</v>
      </c>
      <c r="J17" s="281" t="n">
        <f aca="false">1-I17</f>
        <v>0</v>
      </c>
      <c r="K17" s="322"/>
      <c r="L17" s="282" t="n">
        <v>0.35</v>
      </c>
      <c r="M17" s="282" t="n">
        <v>0.35</v>
      </c>
      <c r="N17" s="282" t="n">
        <v>0.3</v>
      </c>
      <c r="O17" s="282"/>
      <c r="P17" s="282"/>
      <c r="Q17" s="282"/>
      <c r="R17" s="282"/>
      <c r="S17" s="282"/>
      <c r="T17" s="282"/>
      <c r="U17" s="282"/>
      <c r="V17" s="282"/>
      <c r="W17" s="282"/>
      <c r="X17" s="350"/>
      <c r="Y17" s="381" t="s">
        <v>311</v>
      </c>
      <c r="Z17" s="384" t="s">
        <v>71</v>
      </c>
      <c r="AA17" s="283"/>
      <c r="AB17" s="284" t="n">
        <f aca="false">IF(AND(AB$4="RDEC", $Y17="Limited Company"), "", L17*$E17*$I17)</f>
        <v>2520</v>
      </c>
      <c r="AC17" s="284" t="n">
        <f aca="false">IF(AND(AC$4="RDEC", $Y17="Limited Company"), "", M17*$E17*$I17)</f>
        <v>2520</v>
      </c>
      <c r="AD17" s="284" t="n">
        <f aca="false">IF(AND(AD$4="RDEC", $Y17="Limited Company"), "", N17*$E17*$I17)</f>
        <v>2160</v>
      </c>
      <c r="AE17" s="284" t="str">
        <f aca="false">IF(AND(AE$4="RDEC", $Y17="Limited Company"), "", O17*$E17*$I17)</f>
        <v/>
      </c>
      <c r="AF17" s="284" t="n">
        <f aca="false">IF(AND(AF$4="RDEC", $Y17="Limited Company"), "", P17*$E17*$I17)</f>
        <v>0</v>
      </c>
      <c r="AG17" s="284" t="n">
        <f aca="false">IF(AND(AG$4="RDEC", $Y17="Limited Company"), "", Q17*$E17*$I17)</f>
        <v>0</v>
      </c>
      <c r="AH17" s="284" t="n">
        <f aca="false">IF(AND(AH$4="RDEC", $Y17="Limited Company"), "", R17*$E17*$I17)</f>
        <v>0</v>
      </c>
      <c r="AI17" s="284" t="n">
        <f aca="false">IF(AND(AI$4="RDEC", $Y17="Limited Company"), "", S17*$E17*$I17)</f>
        <v>0</v>
      </c>
      <c r="AJ17" s="284" t="n">
        <f aca="false">IF(AND(AJ$4="RDEC", $Y17="Limited Company"), "", T17*$E17*$I17)</f>
        <v>0</v>
      </c>
      <c r="AK17" s="284" t="n">
        <f aca="false">IF(AND(AK$4="RDEC", $Y17="Limited Company"), "", U17*$E17*$I17)</f>
        <v>0</v>
      </c>
      <c r="AL17" s="284" t="n">
        <f aca="false">IF(AND(AL$4="RDEC", $Y17="Limited Company"), "", V17*$E17*$I17)</f>
        <v>0</v>
      </c>
      <c r="AM17" s="284" t="n">
        <f aca="false">IF(AND(AM$4="RDEC", $Y17="Limited Company"), "", W17*$E17*$I17)</f>
        <v>0</v>
      </c>
      <c r="AN17" s="286" t="n">
        <f aca="false">IFERROR(SUMIF($AB$4:$AM$4, "RDEC", AB17:AM17), "")</f>
        <v>0</v>
      </c>
      <c r="AO17" s="286" t="str">
        <f aca="false">IFERROR((IF(Z17="Yes",SUMIF($AB$4:$AM$4,"SME",AB17:AM17),"")),"")</f>
        <v/>
      </c>
      <c r="AP17" s="286" t="n">
        <f aca="false">IFERROR((IF(Z17="No",SUMIF($AB$4:$AM$4,"SME",AB17:AM17),"")),"")</f>
        <v>7200</v>
      </c>
      <c r="AQ17" s="286" t="n">
        <f aca="false">IFERROR(SUMIF($AB$4:$AM$4, "De Minimis", AB17:AM17), "")</f>
        <v>0</v>
      </c>
      <c r="AR17" s="283"/>
      <c r="AS17" s="284" t="n">
        <f aca="false">IFERROR(L17*$E17*$J17, "")</f>
        <v>0</v>
      </c>
      <c r="AT17" s="284" t="n">
        <f aca="false">IFERROR(M17*$E17*$J17, "")</f>
        <v>0</v>
      </c>
      <c r="AU17" s="284" t="n">
        <f aca="false">IFERROR(N17*$E17*$J17, "")</f>
        <v>0</v>
      </c>
      <c r="AV17" s="284" t="n">
        <f aca="false">IFERROR(O17*$E17*$J17, "")</f>
        <v>0</v>
      </c>
      <c r="AW17" s="284" t="n">
        <f aca="false">IFERROR(P17*$E17*$J17, "")</f>
        <v>0</v>
      </c>
      <c r="AX17" s="284" t="n">
        <f aca="false">IFERROR(Q17*$E17*$J17, "")</f>
        <v>0</v>
      </c>
      <c r="AY17" s="284" t="n">
        <f aca="false">IFERROR(R17*$E17*$J17, "")</f>
        <v>0</v>
      </c>
      <c r="AZ17" s="284" t="n">
        <f aca="false">IFERROR(S17*$E17*$J17, "")</f>
        <v>0</v>
      </c>
      <c r="BA17" s="284" t="n">
        <f aca="false">IFERROR(T17*$E17*$J17, "")</f>
        <v>0</v>
      </c>
      <c r="BB17" s="284" t="n">
        <f aca="false">IFERROR(U17*$E17*$J17, "")</f>
        <v>0</v>
      </c>
      <c r="BC17" s="284" t="n">
        <f aca="false">IFERROR(V17*$E17*$J17, "")</f>
        <v>0</v>
      </c>
      <c r="BD17" s="284" t="n">
        <f aca="false">IFERROR(W17*$E17*$J17, "")</f>
        <v>0</v>
      </c>
      <c r="BE17" s="286" t="n">
        <f aca="false">IFERROR(SUMIF($AB$4:$AM$4, "RDEC", AS17:BD17), "")</f>
        <v>0</v>
      </c>
      <c r="BF17" s="286" t="n">
        <f aca="false">IFERROR(SUMIF($AB$4:$AM$4, "SME", AS17:BD17), "")</f>
        <v>0</v>
      </c>
      <c r="BG17" s="286" t="n">
        <f aca="false">IFERROR(SUMIF($AB$4:$AM$4, "De Minimis", AS17:BD17), "")</f>
        <v>0</v>
      </c>
      <c r="BH17" s="287"/>
      <c r="BI17" s="288" t="str">
        <f aca="false">IF((SUM(L17:W17)&gt;1),"ERROR","")</f>
        <v/>
      </c>
    </row>
    <row r="18" customFormat="false" ht="15" hidden="false" customHeight="true" outlineLevel="0" collapsed="false">
      <c r="A18" s="340" t="n">
        <v>45626</v>
      </c>
      <c r="B18" s="350" t="s">
        <v>308</v>
      </c>
      <c r="C18" s="350" t="s">
        <v>332</v>
      </c>
      <c r="D18" s="341" t="s">
        <v>333</v>
      </c>
      <c r="E18" s="200" t="n">
        <v>6500</v>
      </c>
      <c r="F18" s="363" t="n">
        <v>5100</v>
      </c>
      <c r="H18" s="350"/>
      <c r="I18" s="279" t="n">
        <v>1</v>
      </c>
      <c r="J18" s="281" t="n">
        <f aca="false">1-I18</f>
        <v>0</v>
      </c>
      <c r="K18" s="322"/>
      <c r="L18" s="282" t="n">
        <v>0.3</v>
      </c>
      <c r="M18" s="282"/>
      <c r="N18" s="282"/>
      <c r="O18" s="282" t="n">
        <v>0.7</v>
      </c>
      <c r="P18" s="282"/>
      <c r="Q18" s="282"/>
      <c r="R18" s="282"/>
      <c r="S18" s="282"/>
      <c r="T18" s="282"/>
      <c r="U18" s="282"/>
      <c r="V18" s="282"/>
      <c r="W18" s="282"/>
      <c r="X18" s="350"/>
      <c r="Y18" s="381" t="s">
        <v>311</v>
      </c>
      <c r="Z18" s="384" t="s">
        <v>71</v>
      </c>
      <c r="AA18" s="283"/>
      <c r="AB18" s="284" t="n">
        <f aca="false">IF(AND(AB$4="RDEC", $Y18="Limited Company"), "", L18*$E18*$I18)</f>
        <v>1950</v>
      </c>
      <c r="AC18" s="284" t="n">
        <f aca="false">IF(AND(AC$4="RDEC", $Y18="Limited Company"), "", M18*$E18*$I18)</f>
        <v>0</v>
      </c>
      <c r="AD18" s="284" t="n">
        <f aca="false">IF(AND(AD$4="RDEC", $Y18="Limited Company"), "", N18*$E18*$I18)</f>
        <v>0</v>
      </c>
      <c r="AE18" s="284" t="str">
        <f aca="false">IF(AND(AE$4="RDEC", $Y18="Limited Company"), "", O18*$E18*$I18)</f>
        <v/>
      </c>
      <c r="AF18" s="284" t="n">
        <f aca="false">IF(AND(AF$4="RDEC", $Y18="Limited Company"), "", P18*$E18*$I18)</f>
        <v>0</v>
      </c>
      <c r="AG18" s="284" t="n">
        <f aca="false">IF(AND(AG$4="RDEC", $Y18="Limited Company"), "", Q18*$E18*$I18)</f>
        <v>0</v>
      </c>
      <c r="AH18" s="284" t="n">
        <f aca="false">IF(AND(AH$4="RDEC", $Y18="Limited Company"), "", R18*$E18*$I18)</f>
        <v>0</v>
      </c>
      <c r="AI18" s="284" t="n">
        <f aca="false">IF(AND(AI$4="RDEC", $Y18="Limited Company"), "", S18*$E18*$I18)</f>
        <v>0</v>
      </c>
      <c r="AJ18" s="284" t="n">
        <f aca="false">IF(AND(AJ$4="RDEC", $Y18="Limited Company"), "", T18*$E18*$I18)</f>
        <v>0</v>
      </c>
      <c r="AK18" s="284" t="n">
        <f aca="false">IF(AND(AK$4="RDEC", $Y18="Limited Company"), "", U18*$E18*$I18)</f>
        <v>0</v>
      </c>
      <c r="AL18" s="284" t="n">
        <f aca="false">IF(AND(AL$4="RDEC", $Y18="Limited Company"), "", V18*$E18*$I18)</f>
        <v>0</v>
      </c>
      <c r="AM18" s="284" t="n">
        <f aca="false">IF(AND(AM$4="RDEC", $Y18="Limited Company"), "", W18*$E18*$I18)</f>
        <v>0</v>
      </c>
      <c r="AN18" s="286" t="n">
        <f aca="false">IFERROR(SUMIF($AB$4:$AM$4, "RDEC", AB18:AM18), "")</f>
        <v>0</v>
      </c>
      <c r="AO18" s="286" t="str">
        <f aca="false">IFERROR((IF(Z18="Yes",SUMIF($AB$4:$AM$4,"SME",AB18:AM18),"")),"")</f>
        <v/>
      </c>
      <c r="AP18" s="286" t="n">
        <f aca="false">IFERROR((IF(Z18="No",SUMIF($AB$4:$AM$4,"SME",AB18:AM18),"")),"")</f>
        <v>1950</v>
      </c>
      <c r="AQ18" s="286" t="n">
        <f aca="false">IFERROR(SUMIF($AB$4:$AM$4, "De Minimis", AB18:AM18), "")</f>
        <v>0</v>
      </c>
      <c r="AR18" s="283"/>
      <c r="AS18" s="284" t="n">
        <f aca="false">IFERROR(L18*$E18*$J18, "")</f>
        <v>0</v>
      </c>
      <c r="AT18" s="284" t="n">
        <f aca="false">IFERROR(M18*$E18*$J18, "")</f>
        <v>0</v>
      </c>
      <c r="AU18" s="284" t="n">
        <f aca="false">IFERROR(N18*$E18*$J18, "")</f>
        <v>0</v>
      </c>
      <c r="AV18" s="284" t="n">
        <f aca="false">IFERROR(O18*$E18*$J18, "")</f>
        <v>0</v>
      </c>
      <c r="AW18" s="284" t="n">
        <f aca="false">IFERROR(P18*$E18*$J18, "")</f>
        <v>0</v>
      </c>
      <c r="AX18" s="284" t="n">
        <f aca="false">IFERROR(Q18*$E18*$J18, "")</f>
        <v>0</v>
      </c>
      <c r="AY18" s="284" t="n">
        <f aca="false">IFERROR(R18*$E18*$J18, "")</f>
        <v>0</v>
      </c>
      <c r="AZ18" s="284" t="n">
        <f aca="false">IFERROR(S18*$E18*$J18, "")</f>
        <v>0</v>
      </c>
      <c r="BA18" s="284" t="n">
        <f aca="false">IFERROR(T18*$E18*$J18, "")</f>
        <v>0</v>
      </c>
      <c r="BB18" s="284" t="n">
        <f aca="false">IFERROR(U18*$E18*$J18, "")</f>
        <v>0</v>
      </c>
      <c r="BC18" s="284" t="n">
        <f aca="false">IFERROR(V18*$E18*$J18, "")</f>
        <v>0</v>
      </c>
      <c r="BD18" s="284" t="n">
        <f aca="false">IFERROR(W18*$E18*$J18, "")</f>
        <v>0</v>
      </c>
      <c r="BE18" s="286" t="n">
        <f aca="false">IFERROR(SUMIF($AB$4:$AM$4, "RDEC", AS18:BD18), "")</f>
        <v>0</v>
      </c>
      <c r="BF18" s="286" t="n">
        <f aca="false">IFERROR(SUMIF($AB$4:$AM$4, "SME", AS18:BD18), "")</f>
        <v>0</v>
      </c>
      <c r="BG18" s="286" t="n">
        <f aca="false">IFERROR(SUMIF($AB$4:$AM$4, "De Minimis", AS18:BD18), "")</f>
        <v>0</v>
      </c>
      <c r="BH18" s="287"/>
      <c r="BI18" s="288" t="str">
        <f aca="false">IF((SUM(L18:W18)&gt;1),"ERROR","")</f>
        <v/>
      </c>
    </row>
    <row r="19" customFormat="false" ht="15" hidden="false" customHeight="true" outlineLevel="0" collapsed="false">
      <c r="A19" s="340" t="n">
        <v>45657</v>
      </c>
      <c r="B19" s="350" t="s">
        <v>308</v>
      </c>
      <c r="C19" s="350" t="s">
        <v>334</v>
      </c>
      <c r="D19" s="341" t="s">
        <v>335</v>
      </c>
      <c r="E19" s="200" t="n">
        <v>4200</v>
      </c>
      <c r="F19" s="363" t="n">
        <v>5106</v>
      </c>
      <c r="H19" s="350"/>
      <c r="I19" s="279" t="n">
        <v>1</v>
      </c>
      <c r="J19" s="281" t="n">
        <f aca="false">1-I19</f>
        <v>0</v>
      </c>
      <c r="K19" s="322"/>
      <c r="L19" s="282" t="n">
        <v>0.5</v>
      </c>
      <c r="M19" s="282"/>
      <c r="N19" s="282" t="n">
        <v>0.5</v>
      </c>
      <c r="O19" s="282"/>
      <c r="P19" s="282"/>
      <c r="Q19" s="282"/>
      <c r="R19" s="282"/>
      <c r="S19" s="282"/>
      <c r="T19" s="282"/>
      <c r="U19" s="282"/>
      <c r="V19" s="282"/>
      <c r="W19" s="282"/>
      <c r="X19" s="350"/>
      <c r="Y19" s="381" t="s">
        <v>311</v>
      </c>
      <c r="Z19" s="384" t="s">
        <v>71</v>
      </c>
      <c r="AA19" s="283"/>
      <c r="AB19" s="284" t="n">
        <f aca="false">IF(AND(AB$4="RDEC", $Y19="Limited Company"), "", L19*$E19*$I19)</f>
        <v>2100</v>
      </c>
      <c r="AC19" s="284" t="n">
        <f aca="false">IF(AND(AC$4="RDEC", $Y19="Limited Company"), "", M19*$E19*$I19)</f>
        <v>0</v>
      </c>
      <c r="AD19" s="284" t="n">
        <f aca="false">IF(AND(AD$4="RDEC", $Y19="Limited Company"), "", N19*$E19*$I19)</f>
        <v>2100</v>
      </c>
      <c r="AE19" s="284" t="str">
        <f aca="false">IF(AND(AE$4="RDEC", $Y19="Limited Company"), "", O19*$E19*$I19)</f>
        <v/>
      </c>
      <c r="AF19" s="284" t="n">
        <f aca="false">IF(AND(AF$4="RDEC", $Y19="Limited Company"), "", P19*$E19*$I19)</f>
        <v>0</v>
      </c>
      <c r="AG19" s="284" t="n">
        <f aca="false">IF(AND(AG$4="RDEC", $Y19="Limited Company"), "", Q19*$E19*$I19)</f>
        <v>0</v>
      </c>
      <c r="AH19" s="284" t="n">
        <f aca="false">IF(AND(AH$4="RDEC", $Y19="Limited Company"), "", R19*$E19*$I19)</f>
        <v>0</v>
      </c>
      <c r="AI19" s="284" t="n">
        <f aca="false">IF(AND(AI$4="RDEC", $Y19="Limited Company"), "", S19*$E19*$I19)</f>
        <v>0</v>
      </c>
      <c r="AJ19" s="284" t="n">
        <f aca="false">IF(AND(AJ$4="RDEC", $Y19="Limited Company"), "", T19*$E19*$I19)</f>
        <v>0</v>
      </c>
      <c r="AK19" s="284" t="n">
        <f aca="false">IF(AND(AK$4="RDEC", $Y19="Limited Company"), "", U19*$E19*$I19)</f>
        <v>0</v>
      </c>
      <c r="AL19" s="284" t="n">
        <f aca="false">IF(AND(AL$4="RDEC", $Y19="Limited Company"), "", V19*$E19*$I19)</f>
        <v>0</v>
      </c>
      <c r="AM19" s="284" t="n">
        <f aca="false">IF(AND(AM$4="RDEC", $Y19="Limited Company"), "", W19*$E19*$I19)</f>
        <v>0</v>
      </c>
      <c r="AN19" s="286" t="n">
        <f aca="false">IFERROR(SUMIF($AB$4:$AM$4, "RDEC", AB19:AM19), "")</f>
        <v>0</v>
      </c>
      <c r="AO19" s="286" t="str">
        <f aca="false">IFERROR((IF(Z19="Yes",SUMIF($AB$4:$AM$4,"SME",AB19:AM19),"")),"")</f>
        <v/>
      </c>
      <c r="AP19" s="286" t="n">
        <f aca="false">IFERROR((IF(Z19="No",SUMIF($AB$4:$AM$4,"SME",AB19:AM19),"")),"")</f>
        <v>4200</v>
      </c>
      <c r="AQ19" s="286" t="n">
        <f aca="false">IFERROR(SUMIF($AB$4:$AM$4, "De Minimis", AB19:AM19), "")</f>
        <v>0</v>
      </c>
      <c r="AR19" s="283"/>
      <c r="AS19" s="284" t="n">
        <f aca="false">IFERROR(L19*$E19*$J19, "")</f>
        <v>0</v>
      </c>
      <c r="AT19" s="284" t="n">
        <f aca="false">IFERROR(M19*$E19*$J19, "")</f>
        <v>0</v>
      </c>
      <c r="AU19" s="284" t="n">
        <f aca="false">IFERROR(N19*$E19*$J19, "")</f>
        <v>0</v>
      </c>
      <c r="AV19" s="284" t="n">
        <f aca="false">IFERROR(O19*$E19*$J19, "")</f>
        <v>0</v>
      </c>
      <c r="AW19" s="284" t="n">
        <f aca="false">IFERROR(P19*$E19*$J19, "")</f>
        <v>0</v>
      </c>
      <c r="AX19" s="284" t="n">
        <f aca="false">IFERROR(Q19*$E19*$J19, "")</f>
        <v>0</v>
      </c>
      <c r="AY19" s="284" t="n">
        <f aca="false">IFERROR(R19*$E19*$J19, "")</f>
        <v>0</v>
      </c>
      <c r="AZ19" s="284" t="n">
        <f aca="false">IFERROR(S19*$E19*$J19, "")</f>
        <v>0</v>
      </c>
      <c r="BA19" s="284" t="n">
        <f aca="false">IFERROR(T19*$E19*$J19, "")</f>
        <v>0</v>
      </c>
      <c r="BB19" s="284" t="n">
        <f aca="false">IFERROR(U19*$E19*$J19, "")</f>
        <v>0</v>
      </c>
      <c r="BC19" s="284" t="n">
        <f aca="false">IFERROR(V19*$E19*$J19, "")</f>
        <v>0</v>
      </c>
      <c r="BD19" s="284" t="n">
        <f aca="false">IFERROR(W19*$E19*$J19, "")</f>
        <v>0</v>
      </c>
      <c r="BE19" s="286" t="n">
        <f aca="false">IFERROR(SUMIF($AB$4:$AM$4, "RDEC", AS19:BD19), "")</f>
        <v>0</v>
      </c>
      <c r="BF19" s="286" t="n">
        <f aca="false">IFERROR(SUMIF($AB$4:$AM$4, "SME", AS19:BD19), "")</f>
        <v>0</v>
      </c>
      <c r="BG19" s="286" t="n">
        <f aca="false">IFERROR(SUMIF($AB$4:$AM$4, "De Minimis", AS19:BD19), "")</f>
        <v>0</v>
      </c>
      <c r="BH19" s="303"/>
      <c r="BI19" s="288" t="str">
        <f aca="false">IF((SUM(L19:W19)&gt;1),"ERROR","")</f>
        <v/>
      </c>
    </row>
    <row r="20" customFormat="false" ht="15" hidden="false" customHeight="true" outlineLevel="0" collapsed="false">
      <c r="A20" s="340"/>
      <c r="B20" s="350"/>
      <c r="C20" s="350"/>
      <c r="H20" s="350"/>
      <c r="I20" s="279" t="n">
        <v>1</v>
      </c>
      <c r="J20" s="281" t="n">
        <f aca="false">1-I20</f>
        <v>0</v>
      </c>
      <c r="K20" s="32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350"/>
      <c r="Y20" s="381"/>
      <c r="Z20" s="384" t="s">
        <v>71</v>
      </c>
      <c r="AA20" s="283"/>
      <c r="AB20" s="284" t="n">
        <f aca="false">IF(AND(AB$4="RDEC", $Y20="Limited Company"), "", L20*$E20*$I20)</f>
        <v>0</v>
      </c>
      <c r="AC20" s="284" t="n">
        <f aca="false">IF(AND(AC$4="RDEC", $Y20="Limited Company"), "", M20*$E20*$I20)</f>
        <v>0</v>
      </c>
      <c r="AD20" s="284" t="n">
        <f aca="false">IF(AND(AD$4="RDEC", $Y20="Limited Company"), "", N20*$E20*$I20)</f>
        <v>0</v>
      </c>
      <c r="AE20" s="284" t="n">
        <f aca="false">IF(AND(AE$4="RDEC", $Y20="Limited Company"), "", O20*$E20*$I20)</f>
        <v>0</v>
      </c>
      <c r="AF20" s="284" t="n">
        <f aca="false">IF(AND(AF$4="RDEC", $Y20="Limited Company"), "", P20*$E20*$I20)</f>
        <v>0</v>
      </c>
      <c r="AG20" s="284" t="n">
        <f aca="false">IF(AND(AG$4="RDEC", $Y20="Limited Company"), "", Q20*$E20*$I20)</f>
        <v>0</v>
      </c>
      <c r="AH20" s="284" t="n">
        <f aca="false">IF(AND(AH$4="RDEC", $Y20="Limited Company"), "", R20*$E20*$I20)</f>
        <v>0</v>
      </c>
      <c r="AI20" s="284" t="n">
        <f aca="false">IF(AND(AI$4="RDEC", $Y20="Limited Company"), "", S20*$E20*$I20)</f>
        <v>0</v>
      </c>
      <c r="AJ20" s="284" t="n">
        <f aca="false">IF(AND(AJ$4="RDEC", $Y20="Limited Company"), "", T20*$E20*$I20)</f>
        <v>0</v>
      </c>
      <c r="AK20" s="284" t="n">
        <f aca="false">IF(AND(AK$4="RDEC", $Y20="Limited Company"), "", U20*$E20*$I20)</f>
        <v>0</v>
      </c>
      <c r="AL20" s="284" t="n">
        <f aca="false">IF(AND(AL$4="RDEC", $Y20="Limited Company"), "", V20*$E20*$I20)</f>
        <v>0</v>
      </c>
      <c r="AM20" s="284" t="n">
        <f aca="false">IF(AND(AM$4="RDEC", $Y20="Limited Company"), "", W20*$E20*$I20)</f>
        <v>0</v>
      </c>
      <c r="AN20" s="286" t="n">
        <f aca="false">IFERROR(SUMIF($AB$4:$AM$4, "RDEC", AB20:AM20), "")</f>
        <v>0</v>
      </c>
      <c r="AO20" s="286" t="str">
        <f aca="false">IFERROR((IF(Z20="Yes",SUMIF($AB$4:$AM$4,"SME",AB20:AM20),"")),"")</f>
        <v/>
      </c>
      <c r="AP20" s="286" t="n">
        <f aca="false">IFERROR((IF(Z20="No",SUMIF($AB$4:$AM$4,"SME",AB20:AM20),"")),"")</f>
        <v>0</v>
      </c>
      <c r="AQ20" s="286" t="n">
        <f aca="false">IFERROR(SUMIF($AB$4:$AM$4, "De Minimis", AB20:AM20), "")</f>
        <v>0</v>
      </c>
      <c r="AR20" s="283"/>
      <c r="AS20" s="284" t="n">
        <f aca="false">IFERROR(L20*$E20*$J20, "")</f>
        <v>0</v>
      </c>
      <c r="AT20" s="284" t="n">
        <f aca="false">IFERROR(M20*$E20*$J20, "")</f>
        <v>0</v>
      </c>
      <c r="AU20" s="284" t="n">
        <f aca="false">IFERROR(N20*$E20*$J20, "")</f>
        <v>0</v>
      </c>
      <c r="AV20" s="284" t="n">
        <f aca="false">IFERROR(O20*$E20*$J20, "")</f>
        <v>0</v>
      </c>
      <c r="AW20" s="284" t="n">
        <f aca="false">IFERROR(P20*$E20*$J20, "")</f>
        <v>0</v>
      </c>
      <c r="AX20" s="284" t="n">
        <f aca="false">IFERROR(Q20*$E20*$J20, "")</f>
        <v>0</v>
      </c>
      <c r="AY20" s="284" t="n">
        <f aca="false">IFERROR(R20*$E20*$J20, "")</f>
        <v>0</v>
      </c>
      <c r="AZ20" s="284" t="n">
        <f aca="false">IFERROR(S20*$E20*$J20, "")</f>
        <v>0</v>
      </c>
      <c r="BA20" s="284" t="n">
        <f aca="false">IFERROR(T20*$E20*$J20, "")</f>
        <v>0</v>
      </c>
      <c r="BB20" s="284" t="n">
        <f aca="false">IFERROR(U20*$E20*$J20, "")</f>
        <v>0</v>
      </c>
      <c r="BC20" s="284" t="n">
        <f aca="false">IFERROR(V20*$E20*$J20, "")</f>
        <v>0</v>
      </c>
      <c r="BD20" s="284" t="n">
        <f aca="false">IFERROR(W20*$E20*$J20, "")</f>
        <v>0</v>
      </c>
      <c r="BE20" s="286" t="n">
        <f aca="false">IFERROR(SUMIF($AB$4:$AM$4, "RDEC", AS20:BD20), "")</f>
        <v>0</v>
      </c>
      <c r="BF20" s="286" t="n">
        <f aca="false">IFERROR(SUMIF($AB$4:$AM$4, "SME", AS20:BD20), "")</f>
        <v>0</v>
      </c>
      <c r="BG20" s="286" t="n">
        <f aca="false">IFERROR(SUMIF($AB$4:$AM$4, "De Minimis", AS20:BD20), "")</f>
        <v>0</v>
      </c>
      <c r="BH20" s="303"/>
      <c r="BI20" s="288" t="str">
        <f aca="false">IF((SUM(L20:W20)&gt;1),"ERROR","")</f>
        <v/>
      </c>
    </row>
    <row r="21" customFormat="false" ht="15" hidden="false" customHeight="true" outlineLevel="0" collapsed="false">
      <c r="A21" s="340"/>
      <c r="B21" s="350"/>
      <c r="C21" s="350"/>
      <c r="H21" s="350"/>
      <c r="I21" s="279" t="n">
        <v>1</v>
      </c>
      <c r="J21" s="281" t="n">
        <f aca="false">1-I21</f>
        <v>0</v>
      </c>
      <c r="K21" s="32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350"/>
      <c r="Y21" s="381"/>
      <c r="Z21" s="384" t="s">
        <v>71</v>
      </c>
      <c r="AA21" s="283"/>
      <c r="AB21" s="284" t="n">
        <f aca="false">IF(AND(AB$4="RDEC", $Y21="Limited Company"), "", L21*$E21*$I21)</f>
        <v>0</v>
      </c>
      <c r="AC21" s="284" t="n">
        <f aca="false">IF(AND(AC$4="RDEC", $Y21="Limited Company"), "", M21*$E21*$I21)</f>
        <v>0</v>
      </c>
      <c r="AD21" s="284" t="n">
        <f aca="false">IF(AND(AD$4="RDEC", $Y21="Limited Company"), "", N21*$E21*$I21)</f>
        <v>0</v>
      </c>
      <c r="AE21" s="284" t="n">
        <f aca="false">IF(AND(AE$4="RDEC", $Y21="Limited Company"), "", O21*$E21*$I21)</f>
        <v>0</v>
      </c>
      <c r="AF21" s="284" t="n">
        <f aca="false">IF(AND(AF$4="RDEC", $Y21="Limited Company"), "", P21*$E21*$I21)</f>
        <v>0</v>
      </c>
      <c r="AG21" s="284" t="n">
        <f aca="false">IF(AND(AG$4="RDEC", $Y21="Limited Company"), "", Q21*$E21*$I21)</f>
        <v>0</v>
      </c>
      <c r="AH21" s="284" t="n">
        <f aca="false">IF(AND(AH$4="RDEC", $Y21="Limited Company"), "", R21*$E21*$I21)</f>
        <v>0</v>
      </c>
      <c r="AI21" s="284" t="n">
        <f aca="false">IF(AND(AI$4="RDEC", $Y21="Limited Company"), "", S21*$E21*$I21)</f>
        <v>0</v>
      </c>
      <c r="AJ21" s="284" t="n">
        <f aca="false">IF(AND(AJ$4="RDEC", $Y21="Limited Company"), "", T21*$E21*$I21)</f>
        <v>0</v>
      </c>
      <c r="AK21" s="284" t="n">
        <f aca="false">IF(AND(AK$4="RDEC", $Y21="Limited Company"), "", U21*$E21*$I21)</f>
        <v>0</v>
      </c>
      <c r="AL21" s="284" t="n">
        <f aca="false">IF(AND(AL$4="RDEC", $Y21="Limited Company"), "", V21*$E21*$I21)</f>
        <v>0</v>
      </c>
      <c r="AM21" s="284" t="n">
        <f aca="false">IF(AND(AM$4="RDEC", $Y21="Limited Company"), "", W21*$E21*$I21)</f>
        <v>0</v>
      </c>
      <c r="AN21" s="286" t="n">
        <f aca="false">IFERROR(SUMIF($AB$4:$AM$4, "RDEC", AB21:AM21), "")</f>
        <v>0</v>
      </c>
      <c r="AO21" s="286" t="str">
        <f aca="false">IFERROR((IF(Z21="Yes",SUMIF($AB$4:$AM$4,"SME",AB21:AM21),"")),"")</f>
        <v/>
      </c>
      <c r="AP21" s="286" t="n">
        <f aca="false">IFERROR((IF(Z21="No",SUMIF($AB$4:$AM$4,"SME",AB21:AM21),"")),"")</f>
        <v>0</v>
      </c>
      <c r="AQ21" s="286" t="n">
        <f aca="false">IFERROR(SUMIF($AB$4:$AM$4, "De Minimis", AB21:AM21), "")</f>
        <v>0</v>
      </c>
      <c r="AR21" s="283"/>
      <c r="AS21" s="284" t="n">
        <f aca="false">IFERROR(L21*$E21*$J21, "")</f>
        <v>0</v>
      </c>
      <c r="AT21" s="284" t="n">
        <f aca="false">IFERROR(M21*$E21*$J21, "")</f>
        <v>0</v>
      </c>
      <c r="AU21" s="284" t="n">
        <f aca="false">IFERROR(N21*$E21*$J21, "")</f>
        <v>0</v>
      </c>
      <c r="AV21" s="284" t="n">
        <f aca="false">IFERROR(O21*$E21*$J21, "")</f>
        <v>0</v>
      </c>
      <c r="AW21" s="284" t="n">
        <f aca="false">IFERROR(P21*$E21*$J21, "")</f>
        <v>0</v>
      </c>
      <c r="AX21" s="284" t="n">
        <f aca="false">IFERROR(Q21*$E21*$J21, "")</f>
        <v>0</v>
      </c>
      <c r="AY21" s="284" t="n">
        <f aca="false">IFERROR(R21*$E21*$J21, "")</f>
        <v>0</v>
      </c>
      <c r="AZ21" s="284" t="n">
        <f aca="false">IFERROR(S21*$E21*$J21, "")</f>
        <v>0</v>
      </c>
      <c r="BA21" s="284" t="n">
        <f aca="false">IFERROR(T21*$E21*$J21, "")</f>
        <v>0</v>
      </c>
      <c r="BB21" s="284" t="n">
        <f aca="false">IFERROR(U21*$E21*$J21, "")</f>
        <v>0</v>
      </c>
      <c r="BC21" s="284" t="n">
        <f aca="false">IFERROR(V21*$E21*$J21, "")</f>
        <v>0</v>
      </c>
      <c r="BD21" s="284" t="n">
        <f aca="false">IFERROR(W21*$E21*$J21, "")</f>
        <v>0</v>
      </c>
      <c r="BE21" s="286" t="n">
        <f aca="false">IFERROR(SUMIF($AB$4:$AM$4, "RDEC", AS21:BD21), "")</f>
        <v>0</v>
      </c>
      <c r="BF21" s="286" t="n">
        <f aca="false">IFERROR(SUMIF($AB$4:$AM$4, "SME", AS21:BD21), "")</f>
        <v>0</v>
      </c>
      <c r="BG21" s="286" t="n">
        <f aca="false">IFERROR(SUMIF($AB$4:$AM$4, "De Minimis", AS21:BD21), "")</f>
        <v>0</v>
      </c>
      <c r="BH21" s="268"/>
      <c r="BI21" s="288" t="str">
        <f aca="false">IF((SUM(L21:W21)&gt;1),"ERROR","")</f>
        <v/>
      </c>
    </row>
    <row r="22" customFormat="false" ht="15" hidden="false" customHeight="true" outlineLevel="0" collapsed="false">
      <c r="A22" s="340"/>
      <c r="B22" s="350"/>
      <c r="C22" s="350"/>
      <c r="H22" s="350"/>
      <c r="I22" s="279" t="n">
        <v>1</v>
      </c>
      <c r="J22" s="281" t="n">
        <f aca="false">1-I22</f>
        <v>0</v>
      </c>
      <c r="K22" s="32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350"/>
      <c r="Y22" s="381"/>
      <c r="Z22" s="384" t="s">
        <v>71</v>
      </c>
      <c r="AA22" s="283"/>
      <c r="AB22" s="284" t="n">
        <f aca="false">IF(AND(AB$4="RDEC", $Y22="Limited Company"), "", L22*$E22*$I22)</f>
        <v>0</v>
      </c>
      <c r="AC22" s="284" t="n">
        <f aca="false">IF(AND(AC$4="RDEC", $Y22="Limited Company"), "", M22*$E22*$I22)</f>
        <v>0</v>
      </c>
      <c r="AD22" s="284" t="n">
        <f aca="false">IF(AND(AD$4="RDEC", $Y22="Limited Company"), "", N22*$E22*$I22)</f>
        <v>0</v>
      </c>
      <c r="AE22" s="284" t="n">
        <f aca="false">IF(AND(AE$4="RDEC", $Y22="Limited Company"), "", O22*$E22*$I22)</f>
        <v>0</v>
      </c>
      <c r="AF22" s="284" t="n">
        <f aca="false">IF(AND(AF$4="RDEC", $Y22="Limited Company"), "", P22*$E22*$I22)</f>
        <v>0</v>
      </c>
      <c r="AG22" s="284" t="n">
        <f aca="false">IF(AND(AG$4="RDEC", $Y22="Limited Company"), "", Q22*$E22*$I22)</f>
        <v>0</v>
      </c>
      <c r="AH22" s="284" t="n">
        <f aca="false">IF(AND(AH$4="RDEC", $Y22="Limited Company"), "", R22*$E22*$I22)</f>
        <v>0</v>
      </c>
      <c r="AI22" s="284" t="n">
        <f aca="false">IF(AND(AI$4="RDEC", $Y22="Limited Company"), "", S22*$E22*$I22)</f>
        <v>0</v>
      </c>
      <c r="AJ22" s="284" t="n">
        <f aca="false">IF(AND(AJ$4="RDEC", $Y22="Limited Company"), "", T22*$E22*$I22)</f>
        <v>0</v>
      </c>
      <c r="AK22" s="284" t="n">
        <f aca="false">IF(AND(AK$4="RDEC", $Y22="Limited Company"), "", U22*$E22*$I22)</f>
        <v>0</v>
      </c>
      <c r="AL22" s="284" t="n">
        <f aca="false">IF(AND(AL$4="RDEC", $Y22="Limited Company"), "", V22*$E22*$I22)</f>
        <v>0</v>
      </c>
      <c r="AM22" s="284" t="n">
        <f aca="false">IF(AND(AM$4="RDEC", $Y22="Limited Company"), "", W22*$E22*$I22)</f>
        <v>0</v>
      </c>
      <c r="AN22" s="286" t="n">
        <f aca="false">IFERROR(SUMIF($AB$4:$AM$4, "RDEC", AB22:AM22), "")</f>
        <v>0</v>
      </c>
      <c r="AO22" s="286" t="str">
        <f aca="false">IFERROR((IF(Z22="Yes",SUMIF($AB$4:$AM$4,"SME",AB22:AM22),"")),"")</f>
        <v/>
      </c>
      <c r="AP22" s="286" t="n">
        <f aca="false">IFERROR((IF(Z22="No",SUMIF($AB$4:$AM$4,"SME",AB22:AM22),"")),"")</f>
        <v>0</v>
      </c>
      <c r="AQ22" s="286" t="n">
        <f aca="false">IFERROR(SUMIF($AB$4:$AM$4, "De Minimis", AB22:AM22), "")</f>
        <v>0</v>
      </c>
      <c r="AR22" s="283"/>
      <c r="AS22" s="284" t="n">
        <f aca="false">IFERROR(L22*$E22*$J22, "")</f>
        <v>0</v>
      </c>
      <c r="AT22" s="284" t="n">
        <f aca="false">IFERROR(M22*$E22*$J22, "")</f>
        <v>0</v>
      </c>
      <c r="AU22" s="284" t="n">
        <f aca="false">IFERROR(N22*$E22*$J22, "")</f>
        <v>0</v>
      </c>
      <c r="AV22" s="284" t="n">
        <f aca="false">IFERROR(O22*$E22*$J22, "")</f>
        <v>0</v>
      </c>
      <c r="AW22" s="284" t="n">
        <f aca="false">IFERROR(P22*$E22*$J22, "")</f>
        <v>0</v>
      </c>
      <c r="AX22" s="284" t="n">
        <f aca="false">IFERROR(Q22*$E22*$J22, "")</f>
        <v>0</v>
      </c>
      <c r="AY22" s="284" t="n">
        <f aca="false">IFERROR(R22*$E22*$J22, "")</f>
        <v>0</v>
      </c>
      <c r="AZ22" s="284" t="n">
        <f aca="false">IFERROR(S22*$E22*$J22, "")</f>
        <v>0</v>
      </c>
      <c r="BA22" s="284" t="n">
        <f aca="false">IFERROR(T22*$E22*$J22, "")</f>
        <v>0</v>
      </c>
      <c r="BB22" s="284" t="n">
        <f aca="false">IFERROR(U22*$E22*$J22, "")</f>
        <v>0</v>
      </c>
      <c r="BC22" s="284" t="n">
        <f aca="false">IFERROR(V22*$E22*$J22, "")</f>
        <v>0</v>
      </c>
      <c r="BD22" s="284" t="n">
        <f aca="false">IFERROR(W22*$E22*$J22, "")</f>
        <v>0</v>
      </c>
      <c r="BE22" s="286" t="n">
        <f aca="false">IFERROR(SUMIF($AB$4:$AM$4, "RDEC", AS22:BD22), "")</f>
        <v>0</v>
      </c>
      <c r="BF22" s="286" t="n">
        <f aca="false">IFERROR(SUMIF($AB$4:$AM$4, "SME", AS22:BD22), "")</f>
        <v>0</v>
      </c>
      <c r="BG22" s="286" t="n">
        <f aca="false">IFERROR(SUMIF($AB$4:$AM$4, "De Minimis", AS22:BD22), "")</f>
        <v>0</v>
      </c>
      <c r="BH22" s="287"/>
      <c r="BI22" s="288" t="str">
        <f aca="false">IF((SUM(L22:W22)&gt;1),"ERROR","")</f>
        <v/>
      </c>
    </row>
    <row r="23" customFormat="false" ht="15" hidden="false" customHeight="true" outlineLevel="0" collapsed="false">
      <c r="A23" s="340"/>
      <c r="B23" s="350"/>
      <c r="C23" s="350"/>
      <c r="H23" s="350"/>
      <c r="I23" s="279" t="n">
        <v>1</v>
      </c>
      <c r="J23" s="281" t="n">
        <f aca="false">1-I23</f>
        <v>0</v>
      </c>
      <c r="K23" s="32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350"/>
      <c r="Y23" s="381"/>
      <c r="Z23" s="384" t="s">
        <v>71</v>
      </c>
      <c r="AA23" s="283"/>
      <c r="AB23" s="284" t="n">
        <f aca="false">IF(AND(AB$4="RDEC", $Y23="Limited Company"), "", L23*$E23*$I23)</f>
        <v>0</v>
      </c>
      <c r="AC23" s="284" t="n">
        <f aca="false">IF(AND(AC$4="RDEC", $Y23="Limited Company"), "", M23*$E23*$I23)</f>
        <v>0</v>
      </c>
      <c r="AD23" s="284" t="n">
        <f aca="false">IF(AND(AD$4="RDEC", $Y23="Limited Company"), "", N23*$E23*$I23)</f>
        <v>0</v>
      </c>
      <c r="AE23" s="284" t="n">
        <f aca="false">IF(AND(AE$4="RDEC", $Y23="Limited Company"), "", O23*$E23*$I23)</f>
        <v>0</v>
      </c>
      <c r="AF23" s="284" t="n">
        <f aca="false">IF(AND(AF$4="RDEC", $Y23="Limited Company"), "", P23*$E23*$I23)</f>
        <v>0</v>
      </c>
      <c r="AG23" s="284" t="n">
        <f aca="false">IF(AND(AG$4="RDEC", $Y23="Limited Company"), "", Q23*$E23*$I23)</f>
        <v>0</v>
      </c>
      <c r="AH23" s="284" t="n">
        <f aca="false">IF(AND(AH$4="RDEC", $Y23="Limited Company"), "", R23*$E23*$I23)</f>
        <v>0</v>
      </c>
      <c r="AI23" s="284" t="n">
        <f aca="false">IF(AND(AI$4="RDEC", $Y23="Limited Company"), "", S23*$E23*$I23)</f>
        <v>0</v>
      </c>
      <c r="AJ23" s="284" t="n">
        <f aca="false">IF(AND(AJ$4="RDEC", $Y23="Limited Company"), "", T23*$E23*$I23)</f>
        <v>0</v>
      </c>
      <c r="AK23" s="284" t="n">
        <f aca="false">IF(AND(AK$4="RDEC", $Y23="Limited Company"), "", U23*$E23*$I23)</f>
        <v>0</v>
      </c>
      <c r="AL23" s="284" t="n">
        <f aca="false">IF(AND(AL$4="RDEC", $Y23="Limited Company"), "", V23*$E23*$I23)</f>
        <v>0</v>
      </c>
      <c r="AM23" s="284" t="n">
        <f aca="false">IF(AND(AM$4="RDEC", $Y23="Limited Company"), "", W23*$E23*$I23)</f>
        <v>0</v>
      </c>
      <c r="AN23" s="286" t="n">
        <f aca="false">IFERROR(SUMIF($AB$4:$AM$4, "RDEC", AB23:AM23), "")</f>
        <v>0</v>
      </c>
      <c r="AO23" s="286" t="str">
        <f aca="false">IFERROR((IF(Z23="Yes",SUMIF($AB$4:$AM$4,"SME",AB23:AM23),"")),"")</f>
        <v/>
      </c>
      <c r="AP23" s="286" t="n">
        <f aca="false">IFERROR((IF(Z23="No",SUMIF($AB$4:$AM$4,"SME",AB23:AM23),"")),"")</f>
        <v>0</v>
      </c>
      <c r="AQ23" s="286" t="n">
        <f aca="false">IFERROR(SUMIF($AB$4:$AM$4, "De Minimis", AB23:AM23), "")</f>
        <v>0</v>
      </c>
      <c r="AR23" s="283"/>
      <c r="AS23" s="284" t="n">
        <f aca="false">IFERROR(L23*$E23*$J23, "")</f>
        <v>0</v>
      </c>
      <c r="AT23" s="284" t="n">
        <f aca="false">IFERROR(M23*$E23*$J23, "")</f>
        <v>0</v>
      </c>
      <c r="AU23" s="284" t="n">
        <f aca="false">IFERROR(N23*$E23*$J23, "")</f>
        <v>0</v>
      </c>
      <c r="AV23" s="284" t="n">
        <f aca="false">IFERROR(O23*$E23*$J23, "")</f>
        <v>0</v>
      </c>
      <c r="AW23" s="284" t="n">
        <f aca="false">IFERROR(P23*$E23*$J23, "")</f>
        <v>0</v>
      </c>
      <c r="AX23" s="284" t="n">
        <f aca="false">IFERROR(Q23*$E23*$J23, "")</f>
        <v>0</v>
      </c>
      <c r="AY23" s="284" t="n">
        <f aca="false">IFERROR(R23*$E23*$J23, "")</f>
        <v>0</v>
      </c>
      <c r="AZ23" s="284" t="n">
        <f aca="false">IFERROR(S23*$E23*$J23, "")</f>
        <v>0</v>
      </c>
      <c r="BA23" s="284" t="n">
        <f aca="false">IFERROR(T23*$E23*$J23, "")</f>
        <v>0</v>
      </c>
      <c r="BB23" s="284" t="n">
        <f aca="false">IFERROR(U23*$E23*$J23, "")</f>
        <v>0</v>
      </c>
      <c r="BC23" s="284" t="n">
        <f aca="false">IFERROR(V23*$E23*$J23, "")</f>
        <v>0</v>
      </c>
      <c r="BD23" s="284" t="n">
        <f aca="false">IFERROR(W23*$E23*$J23, "")</f>
        <v>0</v>
      </c>
      <c r="BE23" s="286" t="n">
        <f aca="false">IFERROR(SUMIF($AB$4:$AM$4, "RDEC", AS23:BD23), "")</f>
        <v>0</v>
      </c>
      <c r="BF23" s="286" t="n">
        <f aca="false">IFERROR(SUMIF($AB$4:$AM$4, "SME", AS23:BD23), "")</f>
        <v>0</v>
      </c>
      <c r="BG23" s="286" t="n">
        <f aca="false">IFERROR(SUMIF($AB$4:$AM$4, "De Minimis", AS23:BD23), "")</f>
        <v>0</v>
      </c>
      <c r="BH23" s="287"/>
      <c r="BI23" s="288" t="str">
        <f aca="false">IF((SUM(L23:W23)&gt;1),"ERROR","")</f>
        <v/>
      </c>
    </row>
    <row r="24" customFormat="false" ht="15" hidden="false" customHeight="true" outlineLevel="0" collapsed="false">
      <c r="A24" s="340"/>
      <c r="B24" s="350"/>
      <c r="C24" s="350"/>
      <c r="H24" s="350"/>
      <c r="I24" s="279" t="n">
        <v>1</v>
      </c>
      <c r="J24" s="281" t="n">
        <f aca="false">1-I24</f>
        <v>0</v>
      </c>
      <c r="K24" s="32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350"/>
      <c r="Y24" s="381"/>
      <c r="Z24" s="384" t="s">
        <v>71</v>
      </c>
      <c r="AA24" s="283"/>
      <c r="AB24" s="284" t="n">
        <f aca="false">IF(AND(AB$4="RDEC", $Y24="Limited Company"), "", L24*$E24*$I24)</f>
        <v>0</v>
      </c>
      <c r="AC24" s="284" t="n">
        <f aca="false">IF(AND(AC$4="RDEC", $Y24="Limited Company"), "", M24*$E24*$I24)</f>
        <v>0</v>
      </c>
      <c r="AD24" s="284" t="n">
        <f aca="false">IF(AND(AD$4="RDEC", $Y24="Limited Company"), "", N24*$E24*$I24)</f>
        <v>0</v>
      </c>
      <c r="AE24" s="284" t="n">
        <f aca="false">IF(AND(AE$4="RDEC", $Y24="Limited Company"), "", O24*$E24*$I24)</f>
        <v>0</v>
      </c>
      <c r="AF24" s="284" t="n">
        <f aca="false">IF(AND(AF$4="RDEC", $Y24="Limited Company"), "", P24*$E24*$I24)</f>
        <v>0</v>
      </c>
      <c r="AG24" s="284" t="n">
        <f aca="false">IF(AND(AG$4="RDEC", $Y24="Limited Company"), "", Q24*$E24*$I24)</f>
        <v>0</v>
      </c>
      <c r="AH24" s="284" t="n">
        <f aca="false">IF(AND(AH$4="RDEC", $Y24="Limited Company"), "", R24*$E24*$I24)</f>
        <v>0</v>
      </c>
      <c r="AI24" s="284" t="n">
        <f aca="false">IF(AND(AI$4="RDEC", $Y24="Limited Company"), "", S24*$E24*$I24)</f>
        <v>0</v>
      </c>
      <c r="AJ24" s="284" t="n">
        <f aca="false">IF(AND(AJ$4="RDEC", $Y24="Limited Company"), "", T24*$E24*$I24)</f>
        <v>0</v>
      </c>
      <c r="AK24" s="284" t="n">
        <f aca="false">IF(AND(AK$4="RDEC", $Y24="Limited Company"), "", U24*$E24*$I24)</f>
        <v>0</v>
      </c>
      <c r="AL24" s="284" t="n">
        <f aca="false">IF(AND(AL$4="RDEC", $Y24="Limited Company"), "", V24*$E24*$I24)</f>
        <v>0</v>
      </c>
      <c r="AM24" s="284" t="n">
        <f aca="false">IF(AND(AM$4="RDEC", $Y24="Limited Company"), "", W24*$E24*$I24)</f>
        <v>0</v>
      </c>
      <c r="AN24" s="286" t="n">
        <f aca="false">IFERROR(SUMIF($AB$4:$AM$4, "RDEC", AB24:AM24), "")</f>
        <v>0</v>
      </c>
      <c r="AO24" s="286" t="str">
        <f aca="false">IFERROR((IF(Z24="Yes",SUMIF($AB$4:$AM$4,"SME",AB24:AM24),"")),"")</f>
        <v/>
      </c>
      <c r="AP24" s="286" t="n">
        <f aca="false">IFERROR((IF(Z24="No",SUMIF($AB$4:$AM$4,"SME",AB24:AM24),"")),"")</f>
        <v>0</v>
      </c>
      <c r="AQ24" s="286" t="n">
        <f aca="false">IFERROR(SUMIF($AB$4:$AM$4, "De Minimis", AB24:AM24), "")</f>
        <v>0</v>
      </c>
      <c r="AR24" s="283"/>
      <c r="AS24" s="284" t="n">
        <f aca="false">IFERROR(L24*$E24*$J24, "")</f>
        <v>0</v>
      </c>
      <c r="AT24" s="284" t="n">
        <f aca="false">IFERROR(M24*$E24*$J24, "")</f>
        <v>0</v>
      </c>
      <c r="AU24" s="284" t="n">
        <f aca="false">IFERROR(N24*$E24*$J24, "")</f>
        <v>0</v>
      </c>
      <c r="AV24" s="284" t="n">
        <f aca="false">IFERROR(O24*$E24*$J24, "")</f>
        <v>0</v>
      </c>
      <c r="AW24" s="284" t="n">
        <f aca="false">IFERROR(P24*$E24*$J24, "")</f>
        <v>0</v>
      </c>
      <c r="AX24" s="284" t="n">
        <f aca="false">IFERROR(Q24*$E24*$J24, "")</f>
        <v>0</v>
      </c>
      <c r="AY24" s="284" t="n">
        <f aca="false">IFERROR(R24*$E24*$J24, "")</f>
        <v>0</v>
      </c>
      <c r="AZ24" s="284" t="n">
        <f aca="false">IFERROR(S24*$E24*$J24, "")</f>
        <v>0</v>
      </c>
      <c r="BA24" s="284" t="n">
        <f aca="false">IFERROR(T24*$E24*$J24, "")</f>
        <v>0</v>
      </c>
      <c r="BB24" s="284" t="n">
        <f aca="false">IFERROR(U24*$E24*$J24, "")</f>
        <v>0</v>
      </c>
      <c r="BC24" s="284" t="n">
        <f aca="false">IFERROR(V24*$E24*$J24, "")</f>
        <v>0</v>
      </c>
      <c r="BD24" s="284" t="n">
        <f aca="false">IFERROR(W24*$E24*$J24, "")</f>
        <v>0</v>
      </c>
      <c r="BE24" s="286" t="n">
        <f aca="false">IFERROR(SUMIF($AB$4:$AM$4, "RDEC", AS24:BD24), "")</f>
        <v>0</v>
      </c>
      <c r="BF24" s="286" t="n">
        <f aca="false">IFERROR(SUMIF($AB$4:$AM$4, "SME", AS24:BD24), "")</f>
        <v>0</v>
      </c>
      <c r="BG24" s="286" t="n">
        <f aca="false">IFERROR(SUMIF($AB$4:$AM$4, "De Minimis", AS24:BD24), "")</f>
        <v>0</v>
      </c>
      <c r="BH24" s="287"/>
      <c r="BI24" s="288" t="str">
        <f aca="false">IF((SUM(L24:W24)&gt;1),"ERROR","")</f>
        <v/>
      </c>
    </row>
    <row r="25" customFormat="false" ht="15" hidden="false" customHeight="true" outlineLevel="0" collapsed="false">
      <c r="A25" s="340"/>
      <c r="B25" s="350"/>
      <c r="C25" s="350"/>
      <c r="H25" s="350"/>
      <c r="I25" s="279" t="n">
        <v>1</v>
      </c>
      <c r="J25" s="281" t="n">
        <f aca="false">1-I25</f>
        <v>0</v>
      </c>
      <c r="K25" s="32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350"/>
      <c r="Y25" s="381"/>
      <c r="Z25" s="384" t="s">
        <v>71</v>
      </c>
      <c r="AA25" s="283"/>
      <c r="AB25" s="284" t="n">
        <f aca="false">IF(AND(AB$4="RDEC", $Y25="Limited Company"), "", L25*$E25*$I25)</f>
        <v>0</v>
      </c>
      <c r="AC25" s="284" t="n">
        <f aca="false">IF(AND(AC$4="RDEC", $Y25="Limited Company"), "", M25*$E25*$I25)</f>
        <v>0</v>
      </c>
      <c r="AD25" s="284" t="n">
        <f aca="false">IF(AND(AD$4="RDEC", $Y25="Limited Company"), "", N25*$E25*$I25)</f>
        <v>0</v>
      </c>
      <c r="AE25" s="284" t="n">
        <f aca="false">IF(AND(AE$4="RDEC", $Y25="Limited Company"), "", O25*$E25*$I25)</f>
        <v>0</v>
      </c>
      <c r="AF25" s="284" t="n">
        <f aca="false">IF(AND(AF$4="RDEC", $Y25="Limited Company"), "", P25*$E25*$I25)</f>
        <v>0</v>
      </c>
      <c r="AG25" s="284" t="n">
        <f aca="false">IF(AND(AG$4="RDEC", $Y25="Limited Company"), "", Q25*$E25*$I25)</f>
        <v>0</v>
      </c>
      <c r="AH25" s="284" t="n">
        <f aca="false">IF(AND(AH$4="RDEC", $Y25="Limited Company"), "", R25*$E25*$I25)</f>
        <v>0</v>
      </c>
      <c r="AI25" s="284" t="n">
        <f aca="false">IF(AND(AI$4="RDEC", $Y25="Limited Company"), "", S25*$E25*$I25)</f>
        <v>0</v>
      </c>
      <c r="AJ25" s="284" t="n">
        <f aca="false">IF(AND(AJ$4="RDEC", $Y25="Limited Company"), "", T25*$E25*$I25)</f>
        <v>0</v>
      </c>
      <c r="AK25" s="284" t="n">
        <f aca="false">IF(AND(AK$4="RDEC", $Y25="Limited Company"), "", U25*$E25*$I25)</f>
        <v>0</v>
      </c>
      <c r="AL25" s="284" t="n">
        <f aca="false">IF(AND(AL$4="RDEC", $Y25="Limited Company"), "", V25*$E25*$I25)</f>
        <v>0</v>
      </c>
      <c r="AM25" s="284" t="n">
        <f aca="false">IF(AND(AM$4="RDEC", $Y25="Limited Company"), "", W25*$E25*$I25)</f>
        <v>0</v>
      </c>
      <c r="AN25" s="286" t="n">
        <f aca="false">IFERROR(SUMIF($AB$4:$AM$4, "RDEC", AB25:AM25), "")</f>
        <v>0</v>
      </c>
      <c r="AO25" s="286" t="str">
        <f aca="false">IFERROR((IF(Z25="Yes",SUMIF($AB$4:$AM$4,"SME",AB25:AM25),"")),"")</f>
        <v/>
      </c>
      <c r="AP25" s="286" t="n">
        <f aca="false">IFERROR((IF(Z25="No",SUMIF($AB$4:$AM$4,"SME",AB25:AM25),"")),"")</f>
        <v>0</v>
      </c>
      <c r="AQ25" s="286" t="n">
        <f aca="false">IFERROR(SUMIF($AB$4:$AM$4, "De Minimis", AB25:AM25), "")</f>
        <v>0</v>
      </c>
      <c r="AR25" s="283"/>
      <c r="AS25" s="284" t="n">
        <f aca="false">IFERROR(L25*$E25*$J25, "")</f>
        <v>0</v>
      </c>
      <c r="AT25" s="284" t="n">
        <f aca="false">IFERROR(M25*$E25*$J25, "")</f>
        <v>0</v>
      </c>
      <c r="AU25" s="284" t="n">
        <f aca="false">IFERROR(N25*$E25*$J25, "")</f>
        <v>0</v>
      </c>
      <c r="AV25" s="284" t="n">
        <f aca="false">IFERROR(O25*$E25*$J25, "")</f>
        <v>0</v>
      </c>
      <c r="AW25" s="284" t="n">
        <f aca="false">IFERROR(P25*$E25*$J25, "")</f>
        <v>0</v>
      </c>
      <c r="AX25" s="284" t="n">
        <f aca="false">IFERROR(Q25*$E25*$J25, "")</f>
        <v>0</v>
      </c>
      <c r="AY25" s="284" t="n">
        <f aca="false">IFERROR(R25*$E25*$J25, "")</f>
        <v>0</v>
      </c>
      <c r="AZ25" s="284" t="n">
        <f aca="false">IFERROR(S25*$E25*$J25, "")</f>
        <v>0</v>
      </c>
      <c r="BA25" s="284" t="n">
        <f aca="false">IFERROR(T25*$E25*$J25, "")</f>
        <v>0</v>
      </c>
      <c r="BB25" s="284" t="n">
        <f aca="false">IFERROR(U25*$E25*$J25, "")</f>
        <v>0</v>
      </c>
      <c r="BC25" s="284" t="n">
        <f aca="false">IFERROR(V25*$E25*$J25, "")</f>
        <v>0</v>
      </c>
      <c r="BD25" s="284" t="n">
        <f aca="false">IFERROR(W25*$E25*$J25, "")</f>
        <v>0</v>
      </c>
      <c r="BE25" s="286" t="n">
        <f aca="false">IFERROR(SUMIF($AB$4:$AM$4, "RDEC", AS25:BD25), "")</f>
        <v>0</v>
      </c>
      <c r="BF25" s="286" t="n">
        <f aca="false">IFERROR(SUMIF($AB$4:$AM$4, "SME", AS25:BD25), "")</f>
        <v>0</v>
      </c>
      <c r="BG25" s="286" t="n">
        <f aca="false">IFERROR(SUMIF($AB$4:$AM$4, "De Minimis", AS25:BD25), "")</f>
        <v>0</v>
      </c>
      <c r="BH25" s="287"/>
      <c r="BI25" s="288" t="str">
        <f aca="false">IF((SUM(L25:W25)&gt;1),"ERROR","")</f>
        <v/>
      </c>
    </row>
    <row r="26" customFormat="false" ht="15" hidden="false" customHeight="true" outlineLevel="0" collapsed="false">
      <c r="A26" s="340"/>
      <c r="B26" s="350"/>
      <c r="C26" s="350"/>
      <c r="H26" s="350"/>
      <c r="I26" s="279" t="n">
        <v>1</v>
      </c>
      <c r="J26" s="281" t="n">
        <f aca="false">1-I26</f>
        <v>0</v>
      </c>
      <c r="K26" s="32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350"/>
      <c r="Y26" s="381"/>
      <c r="Z26" s="384" t="s">
        <v>71</v>
      </c>
      <c r="AA26" s="283"/>
      <c r="AB26" s="284" t="n">
        <f aca="false">IF(AND(AB$4="RDEC", $Y26="Limited Company"), "", L26*$E26*$I26)</f>
        <v>0</v>
      </c>
      <c r="AC26" s="284" t="n">
        <f aca="false">IF(AND(AC$4="RDEC", $Y26="Limited Company"), "", M26*$E26*$I26)</f>
        <v>0</v>
      </c>
      <c r="AD26" s="284" t="n">
        <f aca="false">IF(AND(AD$4="RDEC", $Y26="Limited Company"), "", N26*$E26*$I26)</f>
        <v>0</v>
      </c>
      <c r="AE26" s="284" t="n">
        <f aca="false">IF(AND(AE$4="RDEC", $Y26="Limited Company"), "", O26*$E26*$I26)</f>
        <v>0</v>
      </c>
      <c r="AF26" s="284" t="n">
        <f aca="false">IF(AND(AF$4="RDEC", $Y26="Limited Company"), "", P26*$E26*$I26)</f>
        <v>0</v>
      </c>
      <c r="AG26" s="284" t="n">
        <f aca="false">IF(AND(AG$4="RDEC", $Y26="Limited Company"), "", Q26*$E26*$I26)</f>
        <v>0</v>
      </c>
      <c r="AH26" s="284" t="n">
        <f aca="false">IF(AND(AH$4="RDEC", $Y26="Limited Company"), "", R26*$E26*$I26)</f>
        <v>0</v>
      </c>
      <c r="AI26" s="284" t="n">
        <f aca="false">IF(AND(AI$4="RDEC", $Y26="Limited Company"), "", S26*$E26*$I26)</f>
        <v>0</v>
      </c>
      <c r="AJ26" s="284" t="n">
        <f aca="false">IF(AND(AJ$4="RDEC", $Y26="Limited Company"), "", T26*$E26*$I26)</f>
        <v>0</v>
      </c>
      <c r="AK26" s="284" t="n">
        <f aca="false">IF(AND(AK$4="RDEC", $Y26="Limited Company"), "", U26*$E26*$I26)</f>
        <v>0</v>
      </c>
      <c r="AL26" s="284" t="n">
        <f aca="false">IF(AND(AL$4="RDEC", $Y26="Limited Company"), "", V26*$E26*$I26)</f>
        <v>0</v>
      </c>
      <c r="AM26" s="284" t="n">
        <f aca="false">IF(AND(AM$4="RDEC", $Y26="Limited Company"), "", W26*$E26*$I26)</f>
        <v>0</v>
      </c>
      <c r="AN26" s="286" t="n">
        <f aca="false">IFERROR(SUMIF($AB$4:$AM$4, "RDEC", AB26:AM26), "")</f>
        <v>0</v>
      </c>
      <c r="AO26" s="286" t="str">
        <f aca="false">IFERROR((IF(Z26="Yes",SUMIF($AB$4:$AM$4,"SME",AB26:AM26),"")),"")</f>
        <v/>
      </c>
      <c r="AP26" s="286" t="n">
        <f aca="false">IFERROR((IF(Z26="No",SUMIF($AB$4:$AM$4,"SME",AB26:AM26),"")),"")</f>
        <v>0</v>
      </c>
      <c r="AQ26" s="286" t="n">
        <f aca="false">IFERROR(SUMIF($AB$4:$AM$4, "De Minimis", AB26:AM26), "")</f>
        <v>0</v>
      </c>
      <c r="AR26" s="283"/>
      <c r="AS26" s="284" t="n">
        <f aca="false">IFERROR(L26*$E26*$J26, "")</f>
        <v>0</v>
      </c>
      <c r="AT26" s="284" t="n">
        <f aca="false">IFERROR(M26*$E26*$J26, "")</f>
        <v>0</v>
      </c>
      <c r="AU26" s="284" t="n">
        <f aca="false">IFERROR(N26*$E26*$J26, "")</f>
        <v>0</v>
      </c>
      <c r="AV26" s="284" t="n">
        <f aca="false">IFERROR(O26*$E26*$J26, "")</f>
        <v>0</v>
      </c>
      <c r="AW26" s="284" t="n">
        <f aca="false">IFERROR(P26*$E26*$J26, "")</f>
        <v>0</v>
      </c>
      <c r="AX26" s="284" t="n">
        <f aca="false">IFERROR(Q26*$E26*$J26, "")</f>
        <v>0</v>
      </c>
      <c r="AY26" s="284" t="n">
        <f aca="false">IFERROR(R26*$E26*$J26, "")</f>
        <v>0</v>
      </c>
      <c r="AZ26" s="284" t="n">
        <f aca="false">IFERROR(S26*$E26*$J26, "")</f>
        <v>0</v>
      </c>
      <c r="BA26" s="284" t="n">
        <f aca="false">IFERROR(T26*$E26*$J26, "")</f>
        <v>0</v>
      </c>
      <c r="BB26" s="284" t="n">
        <f aca="false">IFERROR(U26*$E26*$J26, "")</f>
        <v>0</v>
      </c>
      <c r="BC26" s="284" t="n">
        <f aca="false">IFERROR(V26*$E26*$J26, "")</f>
        <v>0</v>
      </c>
      <c r="BD26" s="284" t="n">
        <f aca="false">IFERROR(W26*$E26*$J26, "")</f>
        <v>0</v>
      </c>
      <c r="BE26" s="286" t="n">
        <f aca="false">IFERROR(SUMIF($AB$4:$AM$4, "RDEC", AS26:BD26), "")</f>
        <v>0</v>
      </c>
      <c r="BF26" s="286" t="n">
        <f aca="false">IFERROR(SUMIF($AB$4:$AM$4, "SME", AS26:BD26), "")</f>
        <v>0</v>
      </c>
      <c r="BG26" s="286" t="n">
        <f aca="false">IFERROR(SUMIF($AB$4:$AM$4, "De Minimis", AS26:BD26), "")</f>
        <v>0</v>
      </c>
      <c r="BH26" s="287"/>
      <c r="BI26" s="288" t="str">
        <f aca="false">IF((SUM(L26:W26)&gt;1),"ERROR","")</f>
        <v/>
      </c>
    </row>
    <row r="27" customFormat="false" ht="15" hidden="false" customHeight="true" outlineLevel="0" collapsed="false">
      <c r="A27" s="340"/>
      <c r="B27" s="350"/>
      <c r="C27" s="350"/>
      <c r="H27" s="350"/>
      <c r="I27" s="279" t="n">
        <v>1</v>
      </c>
      <c r="J27" s="281" t="n">
        <f aca="false">1-I27</f>
        <v>0</v>
      </c>
      <c r="K27" s="32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350"/>
      <c r="Y27" s="381"/>
      <c r="Z27" s="384" t="s">
        <v>71</v>
      </c>
      <c r="AA27" s="283"/>
      <c r="AB27" s="284" t="n">
        <f aca="false">IF(AND(AB$4="RDEC", $Y27="Limited Company"), "", L27*$E27*$I27)</f>
        <v>0</v>
      </c>
      <c r="AC27" s="284" t="n">
        <f aca="false">IF(AND(AC$4="RDEC", $Y27="Limited Company"), "", M27*$E27*$I27)</f>
        <v>0</v>
      </c>
      <c r="AD27" s="284" t="n">
        <f aca="false">IF(AND(AD$4="RDEC", $Y27="Limited Company"), "", N27*$E27*$I27)</f>
        <v>0</v>
      </c>
      <c r="AE27" s="284" t="n">
        <f aca="false">IF(AND(AE$4="RDEC", $Y27="Limited Company"), "", O27*$E27*$I27)</f>
        <v>0</v>
      </c>
      <c r="AF27" s="284" t="n">
        <f aca="false">IF(AND(AF$4="RDEC", $Y27="Limited Company"), "", P27*$E27*$I27)</f>
        <v>0</v>
      </c>
      <c r="AG27" s="284" t="n">
        <f aca="false">IF(AND(AG$4="RDEC", $Y27="Limited Company"), "", Q27*$E27*$I27)</f>
        <v>0</v>
      </c>
      <c r="AH27" s="284" t="n">
        <f aca="false">IF(AND(AH$4="RDEC", $Y27="Limited Company"), "", R27*$E27*$I27)</f>
        <v>0</v>
      </c>
      <c r="AI27" s="284" t="n">
        <f aca="false">IF(AND(AI$4="RDEC", $Y27="Limited Company"), "", S27*$E27*$I27)</f>
        <v>0</v>
      </c>
      <c r="AJ27" s="284" t="n">
        <f aca="false">IF(AND(AJ$4="RDEC", $Y27="Limited Company"), "", T27*$E27*$I27)</f>
        <v>0</v>
      </c>
      <c r="AK27" s="284" t="n">
        <f aca="false">IF(AND(AK$4="RDEC", $Y27="Limited Company"), "", U27*$E27*$I27)</f>
        <v>0</v>
      </c>
      <c r="AL27" s="284" t="n">
        <f aca="false">IF(AND(AL$4="RDEC", $Y27="Limited Company"), "", V27*$E27*$I27)</f>
        <v>0</v>
      </c>
      <c r="AM27" s="284" t="n">
        <f aca="false">IF(AND(AM$4="RDEC", $Y27="Limited Company"), "", W27*$E27*$I27)</f>
        <v>0</v>
      </c>
      <c r="AN27" s="286" t="n">
        <f aca="false">IFERROR(SUMIF($AB$4:$AM$4, "RDEC", AB27:AM27), "")</f>
        <v>0</v>
      </c>
      <c r="AO27" s="286" t="str">
        <f aca="false">IFERROR((IF(Z27="Yes",SUMIF($AB$4:$AM$4,"SME",AB27:AM27),"")),"")</f>
        <v/>
      </c>
      <c r="AP27" s="286" t="n">
        <f aca="false">IFERROR((IF(Z27="No",SUMIF($AB$4:$AM$4,"SME",AB27:AM27),"")),"")</f>
        <v>0</v>
      </c>
      <c r="AQ27" s="286" t="n">
        <f aca="false">IFERROR(SUMIF($AB$4:$AM$4, "De Minimis", AB27:AM27), "")</f>
        <v>0</v>
      </c>
      <c r="AR27" s="283"/>
      <c r="AS27" s="284" t="n">
        <f aca="false">IFERROR(L27*$E27*$J27, "")</f>
        <v>0</v>
      </c>
      <c r="AT27" s="284" t="n">
        <f aca="false">IFERROR(M27*$E27*$J27, "")</f>
        <v>0</v>
      </c>
      <c r="AU27" s="284" t="n">
        <f aca="false">IFERROR(N27*$E27*$J27, "")</f>
        <v>0</v>
      </c>
      <c r="AV27" s="284" t="n">
        <f aca="false">IFERROR(O27*$E27*$J27, "")</f>
        <v>0</v>
      </c>
      <c r="AW27" s="284" t="n">
        <f aca="false">IFERROR(P27*$E27*$J27, "")</f>
        <v>0</v>
      </c>
      <c r="AX27" s="284" t="n">
        <f aca="false">IFERROR(Q27*$E27*$J27, "")</f>
        <v>0</v>
      </c>
      <c r="AY27" s="284" t="n">
        <f aca="false">IFERROR(R27*$E27*$J27, "")</f>
        <v>0</v>
      </c>
      <c r="AZ27" s="284" t="n">
        <f aca="false">IFERROR(S27*$E27*$J27, "")</f>
        <v>0</v>
      </c>
      <c r="BA27" s="284" t="n">
        <f aca="false">IFERROR(T27*$E27*$J27, "")</f>
        <v>0</v>
      </c>
      <c r="BB27" s="284" t="n">
        <f aca="false">IFERROR(U27*$E27*$J27, "")</f>
        <v>0</v>
      </c>
      <c r="BC27" s="284" t="n">
        <f aca="false">IFERROR(V27*$E27*$J27, "")</f>
        <v>0</v>
      </c>
      <c r="BD27" s="284" t="n">
        <f aca="false">IFERROR(W27*$E27*$J27, "")</f>
        <v>0</v>
      </c>
      <c r="BE27" s="286" t="n">
        <f aca="false">IFERROR(SUMIF($AB$4:$AM$4, "RDEC", AS27:BD27), "")</f>
        <v>0</v>
      </c>
      <c r="BF27" s="286" t="n">
        <f aca="false">IFERROR(SUMIF($AB$4:$AM$4, "SME", AS27:BD27), "")</f>
        <v>0</v>
      </c>
      <c r="BG27" s="286" t="n">
        <f aca="false">IFERROR(SUMIF($AB$4:$AM$4, "De Minimis", AS27:BD27), "")</f>
        <v>0</v>
      </c>
      <c r="BH27" s="287"/>
      <c r="BI27" s="288" t="str">
        <f aca="false">IF((SUM(L27:W27)&gt;1),"ERROR","")</f>
        <v/>
      </c>
    </row>
    <row r="28" customFormat="false" ht="15" hidden="false" customHeight="true" outlineLevel="0" collapsed="false">
      <c r="A28" s="340"/>
      <c r="B28" s="350"/>
      <c r="C28" s="350"/>
      <c r="H28" s="350"/>
      <c r="I28" s="279" t="n">
        <v>1</v>
      </c>
      <c r="J28" s="281" t="n">
        <f aca="false">1-I28</f>
        <v>0</v>
      </c>
      <c r="K28" s="32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350"/>
      <c r="Y28" s="381"/>
      <c r="Z28" s="384" t="s">
        <v>71</v>
      </c>
      <c r="AA28" s="283"/>
      <c r="AB28" s="284" t="n">
        <f aca="false">IF(AND(AB$4="RDEC", $Y28="Limited Company"), "", L28*$E28*$I28)</f>
        <v>0</v>
      </c>
      <c r="AC28" s="284" t="n">
        <f aca="false">IF(AND(AC$4="RDEC", $Y28="Limited Company"), "", M28*$E28*$I28)</f>
        <v>0</v>
      </c>
      <c r="AD28" s="284" t="n">
        <f aca="false">IF(AND(AD$4="RDEC", $Y28="Limited Company"), "", N28*$E28*$I28)</f>
        <v>0</v>
      </c>
      <c r="AE28" s="284" t="n">
        <f aca="false">IF(AND(AE$4="RDEC", $Y28="Limited Company"), "", O28*$E28*$I28)</f>
        <v>0</v>
      </c>
      <c r="AF28" s="284" t="n">
        <f aca="false">IF(AND(AF$4="RDEC", $Y28="Limited Company"), "", P28*$E28*$I28)</f>
        <v>0</v>
      </c>
      <c r="AG28" s="284" t="n">
        <f aca="false">IF(AND(AG$4="RDEC", $Y28="Limited Company"), "", Q28*$E28*$I28)</f>
        <v>0</v>
      </c>
      <c r="AH28" s="284" t="n">
        <f aca="false">IF(AND(AH$4="RDEC", $Y28="Limited Company"), "", R28*$E28*$I28)</f>
        <v>0</v>
      </c>
      <c r="AI28" s="284" t="n">
        <f aca="false">IF(AND(AI$4="RDEC", $Y28="Limited Company"), "", S28*$E28*$I28)</f>
        <v>0</v>
      </c>
      <c r="AJ28" s="284" t="n">
        <f aca="false">IF(AND(AJ$4="RDEC", $Y28="Limited Company"), "", T28*$E28*$I28)</f>
        <v>0</v>
      </c>
      <c r="AK28" s="284" t="n">
        <f aca="false">IF(AND(AK$4="RDEC", $Y28="Limited Company"), "", U28*$E28*$I28)</f>
        <v>0</v>
      </c>
      <c r="AL28" s="284" t="n">
        <f aca="false">IF(AND(AL$4="RDEC", $Y28="Limited Company"), "", V28*$E28*$I28)</f>
        <v>0</v>
      </c>
      <c r="AM28" s="284" t="n">
        <f aca="false">IF(AND(AM$4="RDEC", $Y28="Limited Company"), "", W28*$E28*$I28)</f>
        <v>0</v>
      </c>
      <c r="AN28" s="286" t="n">
        <f aca="false">IFERROR(SUMIF($AB$4:$AM$4, "RDEC", AB28:AM28), "")</f>
        <v>0</v>
      </c>
      <c r="AO28" s="286" t="str">
        <f aca="false">IFERROR((IF(Z28="Yes",SUMIF($AB$4:$AM$4,"SME",AB28:AM28),"")),"")</f>
        <v/>
      </c>
      <c r="AP28" s="286" t="n">
        <f aca="false">IFERROR((IF(Z28="No",SUMIF($AB$4:$AM$4,"SME",AB28:AM28),"")),"")</f>
        <v>0</v>
      </c>
      <c r="AQ28" s="286" t="n">
        <f aca="false">IFERROR(SUMIF($AB$4:$AM$4, "De Minimis", AB28:AM28), "")</f>
        <v>0</v>
      </c>
      <c r="AR28" s="283"/>
      <c r="AS28" s="284" t="n">
        <f aca="false">IFERROR(L28*$E28*$J28, "")</f>
        <v>0</v>
      </c>
      <c r="AT28" s="284" t="n">
        <f aca="false">IFERROR(M28*$E28*$J28, "")</f>
        <v>0</v>
      </c>
      <c r="AU28" s="284" t="n">
        <f aca="false">IFERROR(N28*$E28*$J28, "")</f>
        <v>0</v>
      </c>
      <c r="AV28" s="284" t="n">
        <f aca="false">IFERROR(O28*$E28*$J28, "")</f>
        <v>0</v>
      </c>
      <c r="AW28" s="284" t="n">
        <f aca="false">IFERROR(P28*$E28*$J28, "")</f>
        <v>0</v>
      </c>
      <c r="AX28" s="284" t="n">
        <f aca="false">IFERROR(Q28*$E28*$J28, "")</f>
        <v>0</v>
      </c>
      <c r="AY28" s="284" t="n">
        <f aca="false">IFERROR(R28*$E28*$J28, "")</f>
        <v>0</v>
      </c>
      <c r="AZ28" s="284" t="n">
        <f aca="false">IFERROR(S28*$E28*$J28, "")</f>
        <v>0</v>
      </c>
      <c r="BA28" s="284" t="n">
        <f aca="false">IFERROR(T28*$E28*$J28, "")</f>
        <v>0</v>
      </c>
      <c r="BB28" s="284" t="n">
        <f aca="false">IFERROR(U28*$E28*$J28, "")</f>
        <v>0</v>
      </c>
      <c r="BC28" s="284" t="n">
        <f aca="false">IFERROR(V28*$E28*$J28, "")</f>
        <v>0</v>
      </c>
      <c r="BD28" s="284" t="n">
        <f aca="false">IFERROR(W28*$E28*$J28, "")</f>
        <v>0</v>
      </c>
      <c r="BE28" s="286" t="n">
        <f aca="false">IFERROR(SUMIF($AB$4:$AM$4, "RDEC", AS28:BD28), "")</f>
        <v>0</v>
      </c>
      <c r="BF28" s="286" t="n">
        <f aca="false">IFERROR(SUMIF($AB$4:$AM$4, "SME", AS28:BD28), "")</f>
        <v>0</v>
      </c>
      <c r="BG28" s="286" t="n">
        <f aca="false">IFERROR(SUMIF($AB$4:$AM$4, "De Minimis", AS28:BD28), "")</f>
        <v>0</v>
      </c>
      <c r="BH28" s="287"/>
      <c r="BI28" s="288" t="str">
        <f aca="false">IF((SUM(L28:W28)&gt;1),"ERROR","")</f>
        <v/>
      </c>
    </row>
    <row r="29" customFormat="false" ht="15" hidden="false" customHeight="true" outlineLevel="0" collapsed="false">
      <c r="A29" s="340"/>
      <c r="B29" s="350"/>
      <c r="C29" s="350"/>
      <c r="H29" s="350"/>
      <c r="I29" s="279" t="n">
        <v>1</v>
      </c>
      <c r="J29" s="281" t="n">
        <f aca="false">1-I29</f>
        <v>0</v>
      </c>
      <c r="K29" s="32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350"/>
      <c r="Y29" s="381"/>
      <c r="Z29" s="384" t="s">
        <v>71</v>
      </c>
      <c r="AA29" s="283"/>
      <c r="AB29" s="284" t="n">
        <f aca="false">IF(AND(AB$4="RDEC", $Y29="Limited Company"), "", L29*$E29*$I29)</f>
        <v>0</v>
      </c>
      <c r="AC29" s="284" t="n">
        <f aca="false">IF(AND(AC$4="RDEC", $Y29="Limited Company"), "", M29*$E29*$I29)</f>
        <v>0</v>
      </c>
      <c r="AD29" s="284" t="n">
        <f aca="false">IF(AND(AD$4="RDEC", $Y29="Limited Company"), "", N29*$E29*$I29)</f>
        <v>0</v>
      </c>
      <c r="AE29" s="284" t="n">
        <f aca="false">IF(AND(AE$4="RDEC", $Y29="Limited Company"), "", O29*$E29*$I29)</f>
        <v>0</v>
      </c>
      <c r="AF29" s="284" t="n">
        <f aca="false">IF(AND(AF$4="RDEC", $Y29="Limited Company"), "", P29*$E29*$I29)</f>
        <v>0</v>
      </c>
      <c r="AG29" s="284" t="n">
        <f aca="false">IF(AND(AG$4="RDEC", $Y29="Limited Company"), "", Q29*$E29*$I29)</f>
        <v>0</v>
      </c>
      <c r="AH29" s="284" t="n">
        <f aca="false">IF(AND(AH$4="RDEC", $Y29="Limited Company"), "", R29*$E29*$I29)</f>
        <v>0</v>
      </c>
      <c r="AI29" s="284" t="n">
        <f aca="false">IF(AND(AI$4="RDEC", $Y29="Limited Company"), "", S29*$E29*$I29)</f>
        <v>0</v>
      </c>
      <c r="AJ29" s="284" t="n">
        <f aca="false">IF(AND(AJ$4="RDEC", $Y29="Limited Company"), "", T29*$E29*$I29)</f>
        <v>0</v>
      </c>
      <c r="AK29" s="284" t="n">
        <f aca="false">IF(AND(AK$4="RDEC", $Y29="Limited Company"), "", U29*$E29*$I29)</f>
        <v>0</v>
      </c>
      <c r="AL29" s="284" t="n">
        <f aca="false">IF(AND(AL$4="RDEC", $Y29="Limited Company"), "", V29*$E29*$I29)</f>
        <v>0</v>
      </c>
      <c r="AM29" s="284" t="n">
        <f aca="false">IF(AND(AM$4="RDEC", $Y29="Limited Company"), "", W29*$E29*$I29)</f>
        <v>0</v>
      </c>
      <c r="AN29" s="286" t="n">
        <f aca="false">IFERROR(SUMIF($AB$4:$AM$4, "RDEC", AB29:AM29), "")</f>
        <v>0</v>
      </c>
      <c r="AO29" s="286" t="str">
        <f aca="false">IFERROR((IF(Z29="Yes",SUMIF($AB$4:$AM$4,"SME",AB29:AM29),"")),"")</f>
        <v/>
      </c>
      <c r="AP29" s="286" t="n">
        <f aca="false">IFERROR((IF(Z29="No",SUMIF($AB$4:$AM$4,"SME",AB29:AM29),"")),"")</f>
        <v>0</v>
      </c>
      <c r="AQ29" s="286" t="n">
        <f aca="false">IFERROR(SUMIF($AB$4:$AM$4, "De Minimis", AB29:AM29), "")</f>
        <v>0</v>
      </c>
      <c r="AR29" s="283"/>
      <c r="AS29" s="284" t="n">
        <f aca="false">IFERROR(L29*$E29*$J29, "")</f>
        <v>0</v>
      </c>
      <c r="AT29" s="284" t="n">
        <f aca="false">IFERROR(M29*$E29*$J29, "")</f>
        <v>0</v>
      </c>
      <c r="AU29" s="284" t="n">
        <f aca="false">IFERROR(N29*$E29*$J29, "")</f>
        <v>0</v>
      </c>
      <c r="AV29" s="284" t="n">
        <f aca="false">IFERROR(O29*$E29*$J29, "")</f>
        <v>0</v>
      </c>
      <c r="AW29" s="284" t="n">
        <f aca="false">IFERROR(P29*$E29*$J29, "")</f>
        <v>0</v>
      </c>
      <c r="AX29" s="284" t="n">
        <f aca="false">IFERROR(Q29*$E29*$J29, "")</f>
        <v>0</v>
      </c>
      <c r="AY29" s="284" t="n">
        <f aca="false">IFERROR(R29*$E29*$J29, "")</f>
        <v>0</v>
      </c>
      <c r="AZ29" s="284" t="n">
        <f aca="false">IFERROR(S29*$E29*$J29, "")</f>
        <v>0</v>
      </c>
      <c r="BA29" s="284" t="n">
        <f aca="false">IFERROR(T29*$E29*$J29, "")</f>
        <v>0</v>
      </c>
      <c r="BB29" s="284" t="n">
        <f aca="false">IFERROR(U29*$E29*$J29, "")</f>
        <v>0</v>
      </c>
      <c r="BC29" s="284" t="n">
        <f aca="false">IFERROR(V29*$E29*$J29, "")</f>
        <v>0</v>
      </c>
      <c r="BD29" s="284" t="n">
        <f aca="false">IFERROR(W29*$E29*$J29, "")</f>
        <v>0</v>
      </c>
      <c r="BE29" s="286" t="n">
        <f aca="false">IFERROR(SUMIF($AB$4:$AM$4, "RDEC", AS29:BD29), "")</f>
        <v>0</v>
      </c>
      <c r="BF29" s="286" t="n">
        <f aca="false">IFERROR(SUMIF($AB$4:$AM$4, "SME", AS29:BD29), "")</f>
        <v>0</v>
      </c>
      <c r="BG29" s="286" t="n">
        <f aca="false">IFERROR(SUMIF($AB$4:$AM$4, "De Minimis", AS29:BD29), "")</f>
        <v>0</v>
      </c>
      <c r="BH29" s="287"/>
      <c r="BI29" s="288" t="str">
        <f aca="false">IF((SUM(L29:W29)&gt;1),"ERROR","")</f>
        <v/>
      </c>
    </row>
    <row r="30" customFormat="false" ht="15" hidden="false" customHeight="true" outlineLevel="0" collapsed="false">
      <c r="A30" s="340"/>
      <c r="B30" s="350"/>
      <c r="C30" s="350"/>
      <c r="H30" s="350"/>
      <c r="I30" s="279" t="n">
        <v>1</v>
      </c>
      <c r="J30" s="281" t="n">
        <f aca="false">1-I30</f>
        <v>0</v>
      </c>
      <c r="K30" s="32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350"/>
      <c r="Y30" s="381"/>
      <c r="Z30" s="384" t="s">
        <v>71</v>
      </c>
      <c r="AA30" s="283"/>
      <c r="AB30" s="284" t="n">
        <f aca="false">IF(AND(AB$4="RDEC", $Y30="Limited Company"), "", L30*$E30*$I30)</f>
        <v>0</v>
      </c>
      <c r="AC30" s="284" t="n">
        <f aca="false">IF(AND(AC$4="RDEC", $Y30="Limited Company"), "", M30*$E30*$I30)</f>
        <v>0</v>
      </c>
      <c r="AD30" s="284" t="n">
        <f aca="false">IF(AND(AD$4="RDEC", $Y30="Limited Company"), "", N30*$E30*$I30)</f>
        <v>0</v>
      </c>
      <c r="AE30" s="284" t="n">
        <f aca="false">IF(AND(AE$4="RDEC", $Y30="Limited Company"), "", O30*$E30*$I30)</f>
        <v>0</v>
      </c>
      <c r="AF30" s="284" t="n">
        <f aca="false">IF(AND(AF$4="RDEC", $Y30="Limited Company"), "", P30*$E30*$I30)</f>
        <v>0</v>
      </c>
      <c r="AG30" s="284" t="n">
        <f aca="false">IF(AND(AG$4="RDEC", $Y30="Limited Company"), "", Q30*$E30*$I30)</f>
        <v>0</v>
      </c>
      <c r="AH30" s="284" t="n">
        <f aca="false">IF(AND(AH$4="RDEC", $Y30="Limited Company"), "", R30*$E30*$I30)</f>
        <v>0</v>
      </c>
      <c r="AI30" s="284" t="n">
        <f aca="false">IF(AND(AI$4="RDEC", $Y30="Limited Company"), "", S30*$E30*$I30)</f>
        <v>0</v>
      </c>
      <c r="AJ30" s="284" t="n">
        <f aca="false">IF(AND(AJ$4="RDEC", $Y30="Limited Company"), "", T30*$E30*$I30)</f>
        <v>0</v>
      </c>
      <c r="AK30" s="284" t="n">
        <f aca="false">IF(AND(AK$4="RDEC", $Y30="Limited Company"), "", U30*$E30*$I30)</f>
        <v>0</v>
      </c>
      <c r="AL30" s="284" t="n">
        <f aca="false">IF(AND(AL$4="RDEC", $Y30="Limited Company"), "", V30*$E30*$I30)</f>
        <v>0</v>
      </c>
      <c r="AM30" s="284" t="n">
        <f aca="false">IF(AND(AM$4="RDEC", $Y30="Limited Company"), "", W30*$E30*$I30)</f>
        <v>0</v>
      </c>
      <c r="AN30" s="286" t="n">
        <f aca="false">IFERROR(SUMIF($AB$4:$AM$4, "RDEC", AB30:AM30), "")</f>
        <v>0</v>
      </c>
      <c r="AO30" s="286" t="str">
        <f aca="false">IFERROR((IF(Z30="Yes",SUMIF($AB$4:$AM$4,"SME",AB30:AM30),"")),"")</f>
        <v/>
      </c>
      <c r="AP30" s="286" t="n">
        <f aca="false">IFERROR((IF(Z30="No",SUMIF($AB$4:$AM$4,"SME",AB30:AM30),"")),"")</f>
        <v>0</v>
      </c>
      <c r="AQ30" s="286" t="n">
        <f aca="false">IFERROR(SUMIF($AB$4:$AM$4, "De Minimis", AB30:AM30), "")</f>
        <v>0</v>
      </c>
      <c r="AR30" s="283"/>
      <c r="AS30" s="284" t="n">
        <f aca="false">IFERROR(L30*$E30*$J30, "")</f>
        <v>0</v>
      </c>
      <c r="AT30" s="284" t="n">
        <f aca="false">IFERROR(M30*$E30*$J30, "")</f>
        <v>0</v>
      </c>
      <c r="AU30" s="284" t="n">
        <f aca="false">IFERROR(N30*$E30*$J30, "")</f>
        <v>0</v>
      </c>
      <c r="AV30" s="284" t="n">
        <f aca="false">IFERROR(O30*$E30*$J30, "")</f>
        <v>0</v>
      </c>
      <c r="AW30" s="284" t="n">
        <f aca="false">IFERROR(P30*$E30*$J30, "")</f>
        <v>0</v>
      </c>
      <c r="AX30" s="284" t="n">
        <f aca="false">IFERROR(Q30*$E30*$J30, "")</f>
        <v>0</v>
      </c>
      <c r="AY30" s="284" t="n">
        <f aca="false">IFERROR(R30*$E30*$J30, "")</f>
        <v>0</v>
      </c>
      <c r="AZ30" s="284" t="n">
        <f aca="false">IFERROR(S30*$E30*$J30, "")</f>
        <v>0</v>
      </c>
      <c r="BA30" s="284" t="n">
        <f aca="false">IFERROR(T30*$E30*$J30, "")</f>
        <v>0</v>
      </c>
      <c r="BB30" s="284" t="n">
        <f aca="false">IFERROR(U30*$E30*$J30, "")</f>
        <v>0</v>
      </c>
      <c r="BC30" s="284" t="n">
        <f aca="false">IFERROR(V30*$E30*$J30, "")</f>
        <v>0</v>
      </c>
      <c r="BD30" s="284" t="n">
        <f aca="false">IFERROR(W30*$E30*$J30, "")</f>
        <v>0</v>
      </c>
      <c r="BE30" s="286" t="n">
        <f aca="false">IFERROR(SUMIF($AB$4:$AM$4, "RDEC", AS30:BD30), "")</f>
        <v>0</v>
      </c>
      <c r="BF30" s="286" t="n">
        <f aca="false">IFERROR(SUMIF($AB$4:$AM$4, "SME", AS30:BD30), "")</f>
        <v>0</v>
      </c>
      <c r="BG30" s="286" t="n">
        <f aca="false">IFERROR(SUMIF($AB$4:$AM$4, "De Minimis", AS30:BD30), "")</f>
        <v>0</v>
      </c>
      <c r="BH30" s="287"/>
      <c r="BI30" s="288" t="str">
        <f aca="false">IF((SUM(L30:W30)&gt;1),"ERROR","")</f>
        <v/>
      </c>
    </row>
    <row r="31" customFormat="false" ht="15" hidden="false" customHeight="true" outlineLevel="0" collapsed="false">
      <c r="A31" s="340"/>
      <c r="B31" s="350"/>
      <c r="C31" s="350"/>
      <c r="H31" s="350"/>
      <c r="I31" s="279" t="n">
        <v>1</v>
      </c>
      <c r="J31" s="281" t="n">
        <f aca="false">1-I31</f>
        <v>0</v>
      </c>
      <c r="K31" s="32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350"/>
      <c r="Y31" s="381"/>
      <c r="Z31" s="384" t="s">
        <v>71</v>
      </c>
      <c r="AA31" s="283"/>
      <c r="AB31" s="284" t="n">
        <f aca="false">IF(AND(AB$4="RDEC", $Y31="Limited Company"), "", L31*$E31*$I31)</f>
        <v>0</v>
      </c>
      <c r="AC31" s="284" t="n">
        <f aca="false">IF(AND(AC$4="RDEC", $Y31="Limited Company"), "", M31*$E31*$I31)</f>
        <v>0</v>
      </c>
      <c r="AD31" s="284" t="n">
        <f aca="false">IF(AND(AD$4="RDEC", $Y31="Limited Company"), "", N31*$E31*$I31)</f>
        <v>0</v>
      </c>
      <c r="AE31" s="284" t="n">
        <f aca="false">IF(AND(AE$4="RDEC", $Y31="Limited Company"), "", O31*$E31*$I31)</f>
        <v>0</v>
      </c>
      <c r="AF31" s="284" t="n">
        <f aca="false">IF(AND(AF$4="RDEC", $Y31="Limited Company"), "", P31*$E31*$I31)</f>
        <v>0</v>
      </c>
      <c r="AG31" s="284" t="n">
        <f aca="false">IF(AND(AG$4="RDEC", $Y31="Limited Company"), "", Q31*$E31*$I31)</f>
        <v>0</v>
      </c>
      <c r="AH31" s="284" t="n">
        <f aca="false">IF(AND(AH$4="RDEC", $Y31="Limited Company"), "", R31*$E31*$I31)</f>
        <v>0</v>
      </c>
      <c r="AI31" s="284" t="n">
        <f aca="false">IF(AND(AI$4="RDEC", $Y31="Limited Company"), "", S31*$E31*$I31)</f>
        <v>0</v>
      </c>
      <c r="AJ31" s="284" t="n">
        <f aca="false">IF(AND(AJ$4="RDEC", $Y31="Limited Company"), "", T31*$E31*$I31)</f>
        <v>0</v>
      </c>
      <c r="AK31" s="284" t="n">
        <f aca="false">IF(AND(AK$4="RDEC", $Y31="Limited Company"), "", U31*$E31*$I31)</f>
        <v>0</v>
      </c>
      <c r="AL31" s="284" t="n">
        <f aca="false">IF(AND(AL$4="RDEC", $Y31="Limited Company"), "", V31*$E31*$I31)</f>
        <v>0</v>
      </c>
      <c r="AM31" s="284" t="n">
        <f aca="false">IF(AND(AM$4="RDEC", $Y31="Limited Company"), "", W31*$E31*$I31)</f>
        <v>0</v>
      </c>
      <c r="AN31" s="286" t="n">
        <f aca="false">IFERROR(SUMIF($AB$4:$AM$4, "RDEC", AB31:AM31), "")</f>
        <v>0</v>
      </c>
      <c r="AO31" s="286" t="str">
        <f aca="false">IFERROR((IF(Z31="Yes",SUMIF($AB$4:$AM$4,"SME",AB31:AM31),"")),"")</f>
        <v/>
      </c>
      <c r="AP31" s="286" t="n">
        <f aca="false">IFERROR((IF(Z31="No",SUMIF($AB$4:$AM$4,"SME",AB31:AM31),"")),"")</f>
        <v>0</v>
      </c>
      <c r="AQ31" s="286" t="n">
        <f aca="false">IFERROR(SUMIF($AB$4:$AM$4, "De Minimis", AB31:AM31), "")</f>
        <v>0</v>
      </c>
      <c r="AR31" s="283"/>
      <c r="AS31" s="284" t="n">
        <f aca="false">IFERROR(L31*$E31*$J31, "")</f>
        <v>0</v>
      </c>
      <c r="AT31" s="284" t="n">
        <f aca="false">IFERROR(M31*$E31*$J31, "")</f>
        <v>0</v>
      </c>
      <c r="AU31" s="284" t="n">
        <f aca="false">IFERROR(N31*$E31*$J31, "")</f>
        <v>0</v>
      </c>
      <c r="AV31" s="284" t="n">
        <f aca="false">IFERROR(O31*$E31*$J31, "")</f>
        <v>0</v>
      </c>
      <c r="AW31" s="284" t="n">
        <f aca="false">IFERROR(P31*$E31*$J31, "")</f>
        <v>0</v>
      </c>
      <c r="AX31" s="284" t="n">
        <f aca="false">IFERROR(Q31*$E31*$J31, "")</f>
        <v>0</v>
      </c>
      <c r="AY31" s="284" t="n">
        <f aca="false">IFERROR(R31*$E31*$J31, "")</f>
        <v>0</v>
      </c>
      <c r="AZ31" s="284" t="n">
        <f aca="false">IFERROR(S31*$E31*$J31, "")</f>
        <v>0</v>
      </c>
      <c r="BA31" s="284" t="n">
        <f aca="false">IFERROR(T31*$E31*$J31, "")</f>
        <v>0</v>
      </c>
      <c r="BB31" s="284" t="n">
        <f aca="false">IFERROR(U31*$E31*$J31, "")</f>
        <v>0</v>
      </c>
      <c r="BC31" s="284" t="n">
        <f aca="false">IFERROR(V31*$E31*$J31, "")</f>
        <v>0</v>
      </c>
      <c r="BD31" s="284" t="n">
        <f aca="false">IFERROR(W31*$E31*$J31, "")</f>
        <v>0</v>
      </c>
      <c r="BE31" s="286" t="n">
        <f aca="false">IFERROR(SUMIF($AB$4:$AM$4, "RDEC", AS31:BD31), "")</f>
        <v>0</v>
      </c>
      <c r="BF31" s="286" t="n">
        <f aca="false">IFERROR(SUMIF($AB$4:$AM$4, "SME", AS31:BD31), "")</f>
        <v>0</v>
      </c>
      <c r="BG31" s="286" t="n">
        <f aca="false">IFERROR(SUMIF($AB$4:$AM$4, "De Minimis", AS31:BD31), "")</f>
        <v>0</v>
      </c>
      <c r="BH31" s="287"/>
      <c r="BI31" s="288" t="str">
        <f aca="false">IF((SUM(L31:W31)&gt;1),"ERROR","")</f>
        <v/>
      </c>
    </row>
    <row r="32" customFormat="false" ht="15" hidden="false" customHeight="true" outlineLevel="0" collapsed="false">
      <c r="A32" s="340"/>
      <c r="B32" s="350"/>
      <c r="C32" s="350"/>
      <c r="H32" s="350"/>
      <c r="I32" s="279" t="n">
        <v>1</v>
      </c>
      <c r="J32" s="281" t="n">
        <f aca="false">1-I32</f>
        <v>0</v>
      </c>
      <c r="K32" s="32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350"/>
      <c r="Y32" s="381"/>
      <c r="Z32" s="384" t="s">
        <v>71</v>
      </c>
      <c r="AA32" s="283"/>
      <c r="AB32" s="284" t="n">
        <f aca="false">IF(AND(AB$4="RDEC", $Y32="Limited Company"), "", L32*$E32*$I32)</f>
        <v>0</v>
      </c>
      <c r="AC32" s="284" t="n">
        <f aca="false">IF(AND(AC$4="RDEC", $Y32="Limited Company"), "", M32*$E32*$I32)</f>
        <v>0</v>
      </c>
      <c r="AD32" s="284" t="n">
        <f aca="false">IF(AND(AD$4="RDEC", $Y32="Limited Company"), "", N32*$E32*$I32)</f>
        <v>0</v>
      </c>
      <c r="AE32" s="284" t="n">
        <f aca="false">IF(AND(AE$4="RDEC", $Y32="Limited Company"), "", O32*$E32*$I32)</f>
        <v>0</v>
      </c>
      <c r="AF32" s="284" t="n">
        <f aca="false">IF(AND(AF$4="RDEC", $Y32="Limited Company"), "", P32*$E32*$I32)</f>
        <v>0</v>
      </c>
      <c r="AG32" s="284" t="n">
        <f aca="false">IF(AND(AG$4="RDEC", $Y32="Limited Company"), "", Q32*$E32*$I32)</f>
        <v>0</v>
      </c>
      <c r="AH32" s="284" t="n">
        <f aca="false">IF(AND(AH$4="RDEC", $Y32="Limited Company"), "", R32*$E32*$I32)</f>
        <v>0</v>
      </c>
      <c r="AI32" s="284" t="n">
        <f aca="false">IF(AND(AI$4="RDEC", $Y32="Limited Company"), "", S32*$E32*$I32)</f>
        <v>0</v>
      </c>
      <c r="AJ32" s="284" t="n">
        <f aca="false">IF(AND(AJ$4="RDEC", $Y32="Limited Company"), "", T32*$E32*$I32)</f>
        <v>0</v>
      </c>
      <c r="AK32" s="284" t="n">
        <f aca="false">IF(AND(AK$4="RDEC", $Y32="Limited Company"), "", U32*$E32*$I32)</f>
        <v>0</v>
      </c>
      <c r="AL32" s="284" t="n">
        <f aca="false">IF(AND(AL$4="RDEC", $Y32="Limited Company"), "", V32*$E32*$I32)</f>
        <v>0</v>
      </c>
      <c r="AM32" s="284" t="n">
        <f aca="false">IF(AND(AM$4="RDEC", $Y32="Limited Company"), "", W32*$E32*$I32)</f>
        <v>0</v>
      </c>
      <c r="AN32" s="286" t="n">
        <f aca="false">IFERROR(SUMIF($AB$4:$AM$4, "RDEC", AB32:AM32), "")</f>
        <v>0</v>
      </c>
      <c r="AO32" s="286" t="str">
        <f aca="false">IFERROR((IF(Z32="Yes",SUMIF($AB$4:$AM$4,"SME",AB32:AM32),"")),"")</f>
        <v/>
      </c>
      <c r="AP32" s="286" t="n">
        <f aca="false">IFERROR((IF(Z32="No",SUMIF($AB$4:$AM$4,"SME",AB32:AM32),"")),"")</f>
        <v>0</v>
      </c>
      <c r="AQ32" s="286" t="n">
        <f aca="false">IFERROR(SUMIF($AB$4:$AM$4, "De Minimis", AB32:AM32), "")</f>
        <v>0</v>
      </c>
      <c r="AR32" s="283"/>
      <c r="AS32" s="284" t="n">
        <f aca="false">IFERROR(L32*$E32*$J32, "")</f>
        <v>0</v>
      </c>
      <c r="AT32" s="284" t="n">
        <f aca="false">IFERROR(M32*$E32*$J32, "")</f>
        <v>0</v>
      </c>
      <c r="AU32" s="284" t="n">
        <f aca="false">IFERROR(N32*$E32*$J32, "")</f>
        <v>0</v>
      </c>
      <c r="AV32" s="284" t="n">
        <f aca="false">IFERROR(O32*$E32*$J32, "")</f>
        <v>0</v>
      </c>
      <c r="AW32" s="284" t="n">
        <f aca="false">IFERROR(P32*$E32*$J32, "")</f>
        <v>0</v>
      </c>
      <c r="AX32" s="284" t="n">
        <f aca="false">IFERROR(Q32*$E32*$J32, "")</f>
        <v>0</v>
      </c>
      <c r="AY32" s="284" t="n">
        <f aca="false">IFERROR(R32*$E32*$J32, "")</f>
        <v>0</v>
      </c>
      <c r="AZ32" s="284" t="n">
        <f aca="false">IFERROR(S32*$E32*$J32, "")</f>
        <v>0</v>
      </c>
      <c r="BA32" s="284" t="n">
        <f aca="false">IFERROR(T32*$E32*$J32, "")</f>
        <v>0</v>
      </c>
      <c r="BB32" s="284" t="n">
        <f aca="false">IFERROR(U32*$E32*$J32, "")</f>
        <v>0</v>
      </c>
      <c r="BC32" s="284" t="n">
        <f aca="false">IFERROR(V32*$E32*$J32, "")</f>
        <v>0</v>
      </c>
      <c r="BD32" s="284" t="n">
        <f aca="false">IFERROR(W32*$E32*$J32, "")</f>
        <v>0</v>
      </c>
      <c r="BE32" s="286" t="n">
        <f aca="false">IFERROR(SUMIF($AB$4:$AM$4, "RDEC", AS32:BD32), "")</f>
        <v>0</v>
      </c>
      <c r="BF32" s="286" t="n">
        <f aca="false">IFERROR(SUMIF($AB$4:$AM$4, "SME", AS32:BD32), "")</f>
        <v>0</v>
      </c>
      <c r="BG32" s="286" t="n">
        <f aca="false">IFERROR(SUMIF($AB$4:$AM$4, "De Minimis", AS32:BD32), "")</f>
        <v>0</v>
      </c>
      <c r="BH32" s="287"/>
      <c r="BI32" s="288" t="str">
        <f aca="false">IF((SUM(L32:W32)&gt;1),"ERROR","")</f>
        <v/>
      </c>
    </row>
    <row r="33" customFormat="false" ht="15" hidden="false" customHeight="true" outlineLevel="0" collapsed="false">
      <c r="A33" s="340"/>
      <c r="B33" s="350"/>
      <c r="C33" s="350"/>
      <c r="H33" s="350"/>
      <c r="I33" s="279" t="n">
        <v>1</v>
      </c>
      <c r="J33" s="281" t="n">
        <f aca="false">1-I33</f>
        <v>0</v>
      </c>
      <c r="K33" s="32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350"/>
      <c r="Y33" s="381"/>
      <c r="Z33" s="384" t="s">
        <v>71</v>
      </c>
      <c r="AA33" s="283"/>
      <c r="AB33" s="284" t="n">
        <f aca="false">IF(AND(AB$4="RDEC", $Y33="Limited Company"), "", L33*$E33*$I33)</f>
        <v>0</v>
      </c>
      <c r="AC33" s="284" t="n">
        <f aca="false">IF(AND(AC$4="RDEC", $Y33="Limited Company"), "", M33*$E33*$I33)</f>
        <v>0</v>
      </c>
      <c r="AD33" s="284" t="n">
        <f aca="false">IF(AND(AD$4="RDEC", $Y33="Limited Company"), "", N33*$E33*$I33)</f>
        <v>0</v>
      </c>
      <c r="AE33" s="284" t="n">
        <f aca="false">IF(AND(AE$4="RDEC", $Y33="Limited Company"), "", O33*$E33*$I33)</f>
        <v>0</v>
      </c>
      <c r="AF33" s="284" t="n">
        <f aca="false">IF(AND(AF$4="RDEC", $Y33="Limited Company"), "", P33*$E33*$I33)</f>
        <v>0</v>
      </c>
      <c r="AG33" s="284" t="n">
        <f aca="false">IF(AND(AG$4="RDEC", $Y33="Limited Company"), "", Q33*$E33*$I33)</f>
        <v>0</v>
      </c>
      <c r="AH33" s="284" t="n">
        <f aca="false">IF(AND(AH$4="RDEC", $Y33="Limited Company"), "", R33*$E33*$I33)</f>
        <v>0</v>
      </c>
      <c r="AI33" s="284" t="n">
        <f aca="false">IF(AND(AI$4="RDEC", $Y33="Limited Company"), "", S33*$E33*$I33)</f>
        <v>0</v>
      </c>
      <c r="AJ33" s="284" t="n">
        <f aca="false">IF(AND(AJ$4="RDEC", $Y33="Limited Company"), "", T33*$E33*$I33)</f>
        <v>0</v>
      </c>
      <c r="AK33" s="284" t="n">
        <f aca="false">IF(AND(AK$4="RDEC", $Y33="Limited Company"), "", U33*$E33*$I33)</f>
        <v>0</v>
      </c>
      <c r="AL33" s="284" t="n">
        <f aca="false">IF(AND(AL$4="RDEC", $Y33="Limited Company"), "", V33*$E33*$I33)</f>
        <v>0</v>
      </c>
      <c r="AM33" s="284" t="n">
        <f aca="false">IF(AND(AM$4="RDEC", $Y33="Limited Company"), "", W33*$E33*$I33)</f>
        <v>0</v>
      </c>
      <c r="AN33" s="286" t="n">
        <f aca="false">IFERROR(SUMIF($AB$4:$AM$4, "RDEC", AB33:AM33), "")</f>
        <v>0</v>
      </c>
      <c r="AO33" s="286" t="str">
        <f aca="false">IFERROR((IF(Z33="Yes",SUMIF($AB$4:$AM$4,"SME",AB33:AM33),"")),"")</f>
        <v/>
      </c>
      <c r="AP33" s="286" t="n">
        <f aca="false">IFERROR((IF(Z33="No",SUMIF($AB$4:$AM$4,"SME",AB33:AM33),"")),"")</f>
        <v>0</v>
      </c>
      <c r="AQ33" s="286" t="n">
        <f aca="false">IFERROR(SUMIF($AB$4:$AM$4, "De Minimis", AB33:AM33), "")</f>
        <v>0</v>
      </c>
      <c r="AR33" s="283"/>
      <c r="AS33" s="284" t="n">
        <f aca="false">IFERROR(L33*$E33*$J33, "")</f>
        <v>0</v>
      </c>
      <c r="AT33" s="284" t="n">
        <f aca="false">IFERROR(M33*$E33*$J33, "")</f>
        <v>0</v>
      </c>
      <c r="AU33" s="284" t="n">
        <f aca="false">IFERROR(N33*$E33*$J33, "")</f>
        <v>0</v>
      </c>
      <c r="AV33" s="284" t="n">
        <f aca="false">IFERROR(O33*$E33*$J33, "")</f>
        <v>0</v>
      </c>
      <c r="AW33" s="284" t="n">
        <f aca="false">IFERROR(P33*$E33*$J33, "")</f>
        <v>0</v>
      </c>
      <c r="AX33" s="284" t="n">
        <f aca="false">IFERROR(Q33*$E33*$J33, "")</f>
        <v>0</v>
      </c>
      <c r="AY33" s="284" t="n">
        <f aca="false">IFERROR(R33*$E33*$J33, "")</f>
        <v>0</v>
      </c>
      <c r="AZ33" s="284" t="n">
        <f aca="false">IFERROR(S33*$E33*$J33, "")</f>
        <v>0</v>
      </c>
      <c r="BA33" s="284" t="n">
        <f aca="false">IFERROR(T33*$E33*$J33, "")</f>
        <v>0</v>
      </c>
      <c r="BB33" s="284" t="n">
        <f aca="false">IFERROR(U33*$E33*$J33, "")</f>
        <v>0</v>
      </c>
      <c r="BC33" s="284" t="n">
        <f aca="false">IFERROR(V33*$E33*$J33, "")</f>
        <v>0</v>
      </c>
      <c r="BD33" s="284" t="n">
        <f aca="false">IFERROR(W33*$E33*$J33, "")</f>
        <v>0</v>
      </c>
      <c r="BE33" s="286" t="n">
        <f aca="false">IFERROR(SUMIF($AB$4:$AM$4, "RDEC", AS33:BD33), "")</f>
        <v>0</v>
      </c>
      <c r="BF33" s="286" t="n">
        <f aca="false">IFERROR(SUMIF($AB$4:$AM$4, "SME", AS33:BD33), "")</f>
        <v>0</v>
      </c>
      <c r="BG33" s="286" t="n">
        <f aca="false">IFERROR(SUMIF($AB$4:$AM$4, "De Minimis", AS33:BD33), "")</f>
        <v>0</v>
      </c>
      <c r="BH33" s="287"/>
      <c r="BI33" s="288" t="str">
        <f aca="false">IF((SUM(L33:W33)&gt;1),"ERROR","")</f>
        <v/>
      </c>
    </row>
    <row r="34" customFormat="false" ht="15" hidden="false" customHeight="true" outlineLevel="0" collapsed="false">
      <c r="A34" s="340"/>
      <c r="B34" s="350"/>
      <c r="C34" s="350"/>
      <c r="H34" s="350"/>
      <c r="I34" s="279" t="n">
        <v>1</v>
      </c>
      <c r="J34" s="281" t="n">
        <f aca="false">1-I34</f>
        <v>0</v>
      </c>
      <c r="K34" s="32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350"/>
      <c r="Y34" s="381"/>
      <c r="Z34" s="384" t="s">
        <v>71</v>
      </c>
      <c r="AA34" s="283"/>
      <c r="AB34" s="284" t="n">
        <f aca="false">IF(AND(AB$4="RDEC", $Y34="Limited Company"), "", L34*$E34*$I34)</f>
        <v>0</v>
      </c>
      <c r="AC34" s="284" t="n">
        <f aca="false">IF(AND(AC$4="RDEC", $Y34="Limited Company"), "", M34*$E34*$I34)</f>
        <v>0</v>
      </c>
      <c r="AD34" s="284" t="n">
        <f aca="false">IF(AND(AD$4="RDEC", $Y34="Limited Company"), "", N34*$E34*$I34)</f>
        <v>0</v>
      </c>
      <c r="AE34" s="284" t="n">
        <f aca="false">IF(AND(AE$4="RDEC", $Y34="Limited Company"), "", O34*$E34*$I34)</f>
        <v>0</v>
      </c>
      <c r="AF34" s="284" t="n">
        <f aca="false">IF(AND(AF$4="RDEC", $Y34="Limited Company"), "", P34*$E34*$I34)</f>
        <v>0</v>
      </c>
      <c r="AG34" s="284" t="n">
        <f aca="false">IF(AND(AG$4="RDEC", $Y34="Limited Company"), "", Q34*$E34*$I34)</f>
        <v>0</v>
      </c>
      <c r="AH34" s="284" t="n">
        <f aca="false">IF(AND(AH$4="RDEC", $Y34="Limited Company"), "", R34*$E34*$I34)</f>
        <v>0</v>
      </c>
      <c r="AI34" s="284" t="n">
        <f aca="false">IF(AND(AI$4="RDEC", $Y34="Limited Company"), "", S34*$E34*$I34)</f>
        <v>0</v>
      </c>
      <c r="AJ34" s="284" t="n">
        <f aca="false">IF(AND(AJ$4="RDEC", $Y34="Limited Company"), "", T34*$E34*$I34)</f>
        <v>0</v>
      </c>
      <c r="AK34" s="284" t="n">
        <f aca="false">IF(AND(AK$4="RDEC", $Y34="Limited Company"), "", U34*$E34*$I34)</f>
        <v>0</v>
      </c>
      <c r="AL34" s="284" t="n">
        <f aca="false">IF(AND(AL$4="RDEC", $Y34="Limited Company"), "", V34*$E34*$I34)</f>
        <v>0</v>
      </c>
      <c r="AM34" s="284" t="n">
        <f aca="false">IF(AND(AM$4="RDEC", $Y34="Limited Company"), "", W34*$E34*$I34)</f>
        <v>0</v>
      </c>
      <c r="AN34" s="286" t="n">
        <f aca="false">IFERROR(SUMIF($AB$4:$AM$4, "RDEC", AB34:AM34), "")</f>
        <v>0</v>
      </c>
      <c r="AO34" s="286" t="str">
        <f aca="false">IFERROR((IF(Z34="Yes",SUMIF($AB$4:$AM$4,"SME",AB34:AM34),"")),"")</f>
        <v/>
      </c>
      <c r="AP34" s="286" t="n">
        <f aca="false">IFERROR((IF(Z34="No",SUMIF($AB$4:$AM$4,"SME",AB34:AM34),"")),"")</f>
        <v>0</v>
      </c>
      <c r="AQ34" s="286" t="n">
        <f aca="false">IFERROR(SUMIF($AB$4:$AM$4, "De Minimis", AB34:AM34), "")</f>
        <v>0</v>
      </c>
      <c r="AR34" s="283"/>
      <c r="AS34" s="284" t="n">
        <f aca="false">IFERROR(L34*$E34*$J34, "")</f>
        <v>0</v>
      </c>
      <c r="AT34" s="284" t="n">
        <f aca="false">IFERROR(M34*$E34*$J34, "")</f>
        <v>0</v>
      </c>
      <c r="AU34" s="284" t="n">
        <f aca="false">IFERROR(N34*$E34*$J34, "")</f>
        <v>0</v>
      </c>
      <c r="AV34" s="284" t="n">
        <f aca="false">IFERROR(O34*$E34*$J34, "")</f>
        <v>0</v>
      </c>
      <c r="AW34" s="284" t="n">
        <f aca="false">IFERROR(P34*$E34*$J34, "")</f>
        <v>0</v>
      </c>
      <c r="AX34" s="284" t="n">
        <f aca="false">IFERROR(Q34*$E34*$J34, "")</f>
        <v>0</v>
      </c>
      <c r="AY34" s="284" t="n">
        <f aca="false">IFERROR(R34*$E34*$J34, "")</f>
        <v>0</v>
      </c>
      <c r="AZ34" s="284" t="n">
        <f aca="false">IFERROR(S34*$E34*$J34, "")</f>
        <v>0</v>
      </c>
      <c r="BA34" s="284" t="n">
        <f aca="false">IFERROR(T34*$E34*$J34, "")</f>
        <v>0</v>
      </c>
      <c r="BB34" s="284" t="n">
        <f aca="false">IFERROR(U34*$E34*$J34, "")</f>
        <v>0</v>
      </c>
      <c r="BC34" s="284" t="n">
        <f aca="false">IFERROR(V34*$E34*$J34, "")</f>
        <v>0</v>
      </c>
      <c r="BD34" s="284" t="n">
        <f aca="false">IFERROR(W34*$E34*$J34, "")</f>
        <v>0</v>
      </c>
      <c r="BE34" s="286" t="n">
        <f aca="false">IFERROR(SUMIF($AB$4:$AM$4, "RDEC", AS34:BD34), "")</f>
        <v>0</v>
      </c>
      <c r="BF34" s="286" t="n">
        <f aca="false">IFERROR(SUMIF($AB$4:$AM$4, "SME", AS34:BD34), "")</f>
        <v>0</v>
      </c>
      <c r="BG34" s="286" t="n">
        <f aca="false">IFERROR(SUMIF($AB$4:$AM$4, "De Minimis", AS34:BD34), "")</f>
        <v>0</v>
      </c>
      <c r="BH34" s="303"/>
      <c r="BI34" s="288" t="str">
        <f aca="false">IF((SUM(L34:W34)&gt;1),"ERROR","")</f>
        <v/>
      </c>
    </row>
    <row r="35" customFormat="false" ht="15" hidden="false" customHeight="true" outlineLevel="0" collapsed="false">
      <c r="A35" s="340"/>
      <c r="B35" s="350"/>
      <c r="C35" s="350"/>
      <c r="H35" s="350"/>
      <c r="I35" s="279" t="n">
        <v>1</v>
      </c>
      <c r="J35" s="281" t="n">
        <f aca="false">1-I35</f>
        <v>0</v>
      </c>
      <c r="K35" s="32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350"/>
      <c r="Y35" s="381"/>
      <c r="Z35" s="384" t="s">
        <v>71</v>
      </c>
      <c r="AA35" s="283"/>
      <c r="AB35" s="284" t="n">
        <f aca="false">IF(AND(AB$4="RDEC", $Y35="Limited Company"), "", L35*$E35*$I35)</f>
        <v>0</v>
      </c>
      <c r="AC35" s="284" t="n">
        <f aca="false">IF(AND(AC$4="RDEC", $Y35="Limited Company"), "", M35*$E35*$I35)</f>
        <v>0</v>
      </c>
      <c r="AD35" s="284" t="n">
        <f aca="false">IF(AND(AD$4="RDEC", $Y35="Limited Company"), "", N35*$E35*$I35)</f>
        <v>0</v>
      </c>
      <c r="AE35" s="284" t="n">
        <f aca="false">IF(AND(AE$4="RDEC", $Y35="Limited Company"), "", O35*$E35*$I35)</f>
        <v>0</v>
      </c>
      <c r="AF35" s="284" t="n">
        <f aca="false">IF(AND(AF$4="RDEC", $Y35="Limited Company"), "", P35*$E35*$I35)</f>
        <v>0</v>
      </c>
      <c r="AG35" s="284" t="n">
        <f aca="false">IF(AND(AG$4="RDEC", $Y35="Limited Company"), "", Q35*$E35*$I35)</f>
        <v>0</v>
      </c>
      <c r="AH35" s="284" t="n">
        <f aca="false">IF(AND(AH$4="RDEC", $Y35="Limited Company"), "", R35*$E35*$I35)</f>
        <v>0</v>
      </c>
      <c r="AI35" s="284" t="n">
        <f aca="false">IF(AND(AI$4="RDEC", $Y35="Limited Company"), "", S35*$E35*$I35)</f>
        <v>0</v>
      </c>
      <c r="AJ35" s="284" t="n">
        <f aca="false">IF(AND(AJ$4="RDEC", $Y35="Limited Company"), "", T35*$E35*$I35)</f>
        <v>0</v>
      </c>
      <c r="AK35" s="284" t="n">
        <f aca="false">IF(AND(AK$4="RDEC", $Y35="Limited Company"), "", U35*$E35*$I35)</f>
        <v>0</v>
      </c>
      <c r="AL35" s="284" t="n">
        <f aca="false">IF(AND(AL$4="RDEC", $Y35="Limited Company"), "", V35*$E35*$I35)</f>
        <v>0</v>
      </c>
      <c r="AM35" s="284" t="n">
        <f aca="false">IF(AND(AM$4="RDEC", $Y35="Limited Company"), "", W35*$E35*$I35)</f>
        <v>0</v>
      </c>
      <c r="AN35" s="286" t="n">
        <f aca="false">IFERROR(SUMIF($AB$4:$AM$4, "RDEC", AB35:AM35), "")</f>
        <v>0</v>
      </c>
      <c r="AO35" s="286" t="str">
        <f aca="false">IFERROR((IF(Z35="Yes",SUMIF($AB$4:$AM$4,"SME",AB35:AM35),"")),"")</f>
        <v/>
      </c>
      <c r="AP35" s="286" t="n">
        <f aca="false">IFERROR((IF(Z35="No",SUMIF($AB$4:$AM$4,"SME",AB35:AM35),"")),"")</f>
        <v>0</v>
      </c>
      <c r="AQ35" s="286" t="n">
        <f aca="false">IFERROR(SUMIF($AB$4:$AM$4, "De Minimis", AB35:AM35), "")</f>
        <v>0</v>
      </c>
      <c r="AR35" s="283"/>
      <c r="AS35" s="284" t="n">
        <f aca="false">IFERROR(L35*$E35*$J35, "")</f>
        <v>0</v>
      </c>
      <c r="AT35" s="284" t="n">
        <f aca="false">IFERROR(M35*$E35*$J35, "")</f>
        <v>0</v>
      </c>
      <c r="AU35" s="284" t="n">
        <f aca="false">IFERROR(N35*$E35*$J35, "")</f>
        <v>0</v>
      </c>
      <c r="AV35" s="284" t="n">
        <f aca="false">IFERROR(O35*$E35*$J35, "")</f>
        <v>0</v>
      </c>
      <c r="AW35" s="284" t="n">
        <f aca="false">IFERROR(P35*$E35*$J35, "")</f>
        <v>0</v>
      </c>
      <c r="AX35" s="284" t="n">
        <f aca="false">IFERROR(Q35*$E35*$J35, "")</f>
        <v>0</v>
      </c>
      <c r="AY35" s="284" t="n">
        <f aca="false">IFERROR(R35*$E35*$J35, "")</f>
        <v>0</v>
      </c>
      <c r="AZ35" s="284" t="n">
        <f aca="false">IFERROR(S35*$E35*$J35, "")</f>
        <v>0</v>
      </c>
      <c r="BA35" s="284" t="n">
        <f aca="false">IFERROR(T35*$E35*$J35, "")</f>
        <v>0</v>
      </c>
      <c r="BB35" s="284" t="n">
        <f aca="false">IFERROR(U35*$E35*$J35, "")</f>
        <v>0</v>
      </c>
      <c r="BC35" s="284" t="n">
        <f aca="false">IFERROR(V35*$E35*$J35, "")</f>
        <v>0</v>
      </c>
      <c r="BD35" s="284" t="n">
        <f aca="false">IFERROR(W35*$E35*$J35, "")</f>
        <v>0</v>
      </c>
      <c r="BE35" s="286" t="n">
        <f aca="false">IFERROR(SUMIF($AB$4:$AM$4, "RDEC", AS35:BD35), "")</f>
        <v>0</v>
      </c>
      <c r="BF35" s="286" t="n">
        <f aca="false">IFERROR(SUMIF($AB$4:$AM$4, "SME", AS35:BD35), "")</f>
        <v>0</v>
      </c>
      <c r="BG35" s="286" t="n">
        <f aca="false">IFERROR(SUMIF($AB$4:$AM$4, "De Minimis", AS35:BD35), "")</f>
        <v>0</v>
      </c>
      <c r="BH35" s="303"/>
      <c r="BI35" s="288" t="str">
        <f aca="false">IF((SUM(L35:W35)&gt;1),"ERROR","")</f>
        <v/>
      </c>
    </row>
    <row r="36" customFormat="false" ht="15" hidden="false" customHeight="true" outlineLevel="0" collapsed="false">
      <c r="A36" s="340"/>
      <c r="B36" s="350"/>
      <c r="C36" s="350"/>
      <c r="H36" s="350"/>
      <c r="I36" s="279" t="n">
        <v>1</v>
      </c>
      <c r="J36" s="281" t="n">
        <f aca="false">1-I36</f>
        <v>0</v>
      </c>
      <c r="K36" s="322"/>
      <c r="L36" s="282"/>
      <c r="M36" s="282"/>
      <c r="N36" s="282"/>
      <c r="O36" s="282"/>
      <c r="P36" s="282"/>
      <c r="Q36" s="282"/>
      <c r="R36" s="282"/>
      <c r="S36" s="282"/>
      <c r="T36" s="282"/>
      <c r="U36" s="282"/>
      <c r="V36" s="282"/>
      <c r="W36" s="282"/>
      <c r="X36" s="350"/>
      <c r="Y36" s="381"/>
      <c r="Z36" s="384" t="s">
        <v>71</v>
      </c>
      <c r="AA36" s="283"/>
      <c r="AB36" s="284" t="n">
        <f aca="false">IF(AND(AB$4="RDEC", $Y36="Limited Company"), "", L36*$E36*$I36)</f>
        <v>0</v>
      </c>
      <c r="AC36" s="284" t="n">
        <f aca="false">IF(AND(AC$4="RDEC", $Y36="Limited Company"), "", M36*$E36*$I36)</f>
        <v>0</v>
      </c>
      <c r="AD36" s="284" t="n">
        <f aca="false">IF(AND(AD$4="RDEC", $Y36="Limited Company"), "", N36*$E36*$I36)</f>
        <v>0</v>
      </c>
      <c r="AE36" s="284" t="n">
        <f aca="false">IF(AND(AE$4="RDEC", $Y36="Limited Company"), "", O36*$E36*$I36)</f>
        <v>0</v>
      </c>
      <c r="AF36" s="284" t="n">
        <f aca="false">IF(AND(AF$4="RDEC", $Y36="Limited Company"), "", P36*$E36*$I36)</f>
        <v>0</v>
      </c>
      <c r="AG36" s="284" t="n">
        <f aca="false">IF(AND(AG$4="RDEC", $Y36="Limited Company"), "", Q36*$E36*$I36)</f>
        <v>0</v>
      </c>
      <c r="AH36" s="284" t="n">
        <f aca="false">IF(AND(AH$4="RDEC", $Y36="Limited Company"), "", R36*$E36*$I36)</f>
        <v>0</v>
      </c>
      <c r="AI36" s="284" t="n">
        <f aca="false">IF(AND(AI$4="RDEC", $Y36="Limited Company"), "", S36*$E36*$I36)</f>
        <v>0</v>
      </c>
      <c r="AJ36" s="284" t="n">
        <f aca="false">IF(AND(AJ$4="RDEC", $Y36="Limited Company"), "", T36*$E36*$I36)</f>
        <v>0</v>
      </c>
      <c r="AK36" s="284" t="n">
        <f aca="false">IF(AND(AK$4="RDEC", $Y36="Limited Company"), "", U36*$E36*$I36)</f>
        <v>0</v>
      </c>
      <c r="AL36" s="284" t="n">
        <f aca="false">IF(AND(AL$4="RDEC", $Y36="Limited Company"), "", V36*$E36*$I36)</f>
        <v>0</v>
      </c>
      <c r="AM36" s="284" t="n">
        <f aca="false">IF(AND(AM$4="RDEC", $Y36="Limited Company"), "", W36*$E36*$I36)</f>
        <v>0</v>
      </c>
      <c r="AN36" s="286" t="n">
        <f aca="false">IFERROR(SUMIF($AB$4:$AM$4, "RDEC", AB36:AM36), "")</f>
        <v>0</v>
      </c>
      <c r="AO36" s="286" t="str">
        <f aca="false">IFERROR((IF(Z36="Yes",SUMIF($AB$4:$AM$4,"SME",AB36:AM36),"")),"")</f>
        <v/>
      </c>
      <c r="AP36" s="286" t="n">
        <f aca="false">IFERROR((IF(Z36="No",SUMIF($AB$4:$AM$4,"SME",AB36:AM36),"")),"")</f>
        <v>0</v>
      </c>
      <c r="AQ36" s="286" t="n">
        <f aca="false">IFERROR(SUMIF($AB$4:$AM$4, "De Minimis", AB36:AM36), "")</f>
        <v>0</v>
      </c>
      <c r="AR36" s="283"/>
      <c r="AS36" s="284" t="n">
        <f aca="false">IFERROR(L36*$E36*$J36, "")</f>
        <v>0</v>
      </c>
      <c r="AT36" s="284" t="n">
        <f aca="false">IFERROR(M36*$E36*$J36, "")</f>
        <v>0</v>
      </c>
      <c r="AU36" s="284" t="n">
        <f aca="false">IFERROR(N36*$E36*$J36, "")</f>
        <v>0</v>
      </c>
      <c r="AV36" s="284" t="n">
        <f aca="false">IFERROR(O36*$E36*$J36, "")</f>
        <v>0</v>
      </c>
      <c r="AW36" s="284" t="n">
        <f aca="false">IFERROR(P36*$E36*$J36, "")</f>
        <v>0</v>
      </c>
      <c r="AX36" s="284" t="n">
        <f aca="false">IFERROR(Q36*$E36*$J36, "")</f>
        <v>0</v>
      </c>
      <c r="AY36" s="284" t="n">
        <f aca="false">IFERROR(R36*$E36*$J36, "")</f>
        <v>0</v>
      </c>
      <c r="AZ36" s="284" t="n">
        <f aca="false">IFERROR(S36*$E36*$J36, "")</f>
        <v>0</v>
      </c>
      <c r="BA36" s="284" t="n">
        <f aca="false">IFERROR(T36*$E36*$J36, "")</f>
        <v>0</v>
      </c>
      <c r="BB36" s="284" t="n">
        <f aca="false">IFERROR(U36*$E36*$J36, "")</f>
        <v>0</v>
      </c>
      <c r="BC36" s="284" t="n">
        <f aca="false">IFERROR(V36*$E36*$J36, "")</f>
        <v>0</v>
      </c>
      <c r="BD36" s="284" t="n">
        <f aca="false">IFERROR(W36*$E36*$J36, "")</f>
        <v>0</v>
      </c>
      <c r="BE36" s="286" t="n">
        <f aca="false">IFERROR(SUMIF($AB$4:$AM$4, "RDEC", AS36:BD36), "")</f>
        <v>0</v>
      </c>
      <c r="BF36" s="286" t="n">
        <f aca="false">IFERROR(SUMIF($AB$4:$AM$4, "SME", AS36:BD36), "")</f>
        <v>0</v>
      </c>
      <c r="BG36" s="286" t="n">
        <f aca="false">IFERROR(SUMIF($AB$4:$AM$4, "De Minimis", AS36:BD36), "")</f>
        <v>0</v>
      </c>
      <c r="BH36" s="268"/>
      <c r="BI36" s="288" t="str">
        <f aca="false">IF((SUM(L36:W36)&gt;1),"ERROR","")</f>
        <v/>
      </c>
    </row>
    <row r="37" customFormat="false" ht="15" hidden="false" customHeight="true" outlineLevel="0" collapsed="false">
      <c r="A37" s="340"/>
      <c r="B37" s="350"/>
      <c r="C37" s="350"/>
      <c r="H37" s="350"/>
      <c r="I37" s="279" t="n">
        <v>1</v>
      </c>
      <c r="J37" s="281" t="n">
        <f aca="false">1-I37</f>
        <v>0</v>
      </c>
      <c r="K37" s="32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350"/>
      <c r="Y37" s="381"/>
      <c r="Z37" s="384" t="s">
        <v>71</v>
      </c>
      <c r="AA37" s="283"/>
      <c r="AB37" s="284" t="n">
        <f aca="false">IF(AND(AB$4="RDEC", $Y37="Limited Company"), "", L37*$E37*$I37)</f>
        <v>0</v>
      </c>
      <c r="AC37" s="284" t="n">
        <f aca="false">IF(AND(AC$4="RDEC", $Y37="Limited Company"), "", M37*$E37*$I37)</f>
        <v>0</v>
      </c>
      <c r="AD37" s="284" t="n">
        <f aca="false">IF(AND(AD$4="RDEC", $Y37="Limited Company"), "", N37*$E37*$I37)</f>
        <v>0</v>
      </c>
      <c r="AE37" s="284" t="n">
        <f aca="false">IF(AND(AE$4="RDEC", $Y37="Limited Company"), "", O37*$E37*$I37)</f>
        <v>0</v>
      </c>
      <c r="AF37" s="284" t="n">
        <f aca="false">IF(AND(AF$4="RDEC", $Y37="Limited Company"), "", P37*$E37*$I37)</f>
        <v>0</v>
      </c>
      <c r="AG37" s="284" t="n">
        <f aca="false">IF(AND(AG$4="RDEC", $Y37="Limited Company"), "", Q37*$E37*$I37)</f>
        <v>0</v>
      </c>
      <c r="AH37" s="284" t="n">
        <f aca="false">IF(AND(AH$4="RDEC", $Y37="Limited Company"), "", R37*$E37*$I37)</f>
        <v>0</v>
      </c>
      <c r="AI37" s="284" t="n">
        <f aca="false">IF(AND(AI$4="RDEC", $Y37="Limited Company"), "", S37*$E37*$I37)</f>
        <v>0</v>
      </c>
      <c r="AJ37" s="284" t="n">
        <f aca="false">IF(AND(AJ$4="RDEC", $Y37="Limited Company"), "", T37*$E37*$I37)</f>
        <v>0</v>
      </c>
      <c r="AK37" s="284" t="n">
        <f aca="false">IF(AND(AK$4="RDEC", $Y37="Limited Company"), "", U37*$E37*$I37)</f>
        <v>0</v>
      </c>
      <c r="AL37" s="284" t="n">
        <f aca="false">IF(AND(AL$4="RDEC", $Y37="Limited Company"), "", V37*$E37*$I37)</f>
        <v>0</v>
      </c>
      <c r="AM37" s="284" t="n">
        <f aca="false">IF(AND(AM$4="RDEC", $Y37="Limited Company"), "", W37*$E37*$I37)</f>
        <v>0</v>
      </c>
      <c r="AN37" s="286" t="n">
        <f aca="false">IFERROR(SUMIF($AB$4:$AM$4, "RDEC", AB37:AM37), "")</f>
        <v>0</v>
      </c>
      <c r="AO37" s="286" t="str">
        <f aca="false">IFERROR((IF(Z37="Yes",SUMIF($AB$4:$AM$4,"SME",AB37:AM37),"")),"")</f>
        <v/>
      </c>
      <c r="AP37" s="286" t="n">
        <f aca="false">IFERROR((IF(Z37="No",SUMIF($AB$4:$AM$4,"SME",AB37:AM37),"")),"")</f>
        <v>0</v>
      </c>
      <c r="AQ37" s="286" t="n">
        <f aca="false">IFERROR(SUMIF($AB$4:$AM$4, "De Minimis", AB37:AM37), "")</f>
        <v>0</v>
      </c>
      <c r="AR37" s="283"/>
      <c r="AS37" s="284" t="n">
        <f aca="false">IFERROR(L37*$E37*$J37, "")</f>
        <v>0</v>
      </c>
      <c r="AT37" s="284" t="n">
        <f aca="false">IFERROR(M37*$E37*$J37, "")</f>
        <v>0</v>
      </c>
      <c r="AU37" s="284" t="n">
        <f aca="false">IFERROR(N37*$E37*$J37, "")</f>
        <v>0</v>
      </c>
      <c r="AV37" s="284" t="n">
        <f aca="false">IFERROR(O37*$E37*$J37, "")</f>
        <v>0</v>
      </c>
      <c r="AW37" s="284" t="n">
        <f aca="false">IFERROR(P37*$E37*$J37, "")</f>
        <v>0</v>
      </c>
      <c r="AX37" s="284" t="n">
        <f aca="false">IFERROR(Q37*$E37*$J37, "")</f>
        <v>0</v>
      </c>
      <c r="AY37" s="284" t="n">
        <f aca="false">IFERROR(R37*$E37*$J37, "")</f>
        <v>0</v>
      </c>
      <c r="AZ37" s="284" t="n">
        <f aca="false">IFERROR(S37*$E37*$J37, "")</f>
        <v>0</v>
      </c>
      <c r="BA37" s="284" t="n">
        <f aca="false">IFERROR(T37*$E37*$J37, "")</f>
        <v>0</v>
      </c>
      <c r="BB37" s="284" t="n">
        <f aca="false">IFERROR(U37*$E37*$J37, "")</f>
        <v>0</v>
      </c>
      <c r="BC37" s="284" t="n">
        <f aca="false">IFERROR(V37*$E37*$J37, "")</f>
        <v>0</v>
      </c>
      <c r="BD37" s="284" t="n">
        <f aca="false">IFERROR(W37*$E37*$J37, "")</f>
        <v>0</v>
      </c>
      <c r="BE37" s="286" t="n">
        <f aca="false">IFERROR(SUMIF($AB$4:$AM$4, "RDEC", AS37:BD37), "")</f>
        <v>0</v>
      </c>
      <c r="BF37" s="286" t="n">
        <f aca="false">IFERROR(SUMIF($AB$4:$AM$4, "SME", AS37:BD37), "")</f>
        <v>0</v>
      </c>
      <c r="BG37" s="286" t="n">
        <f aca="false">IFERROR(SUMIF($AB$4:$AM$4, "De Minimis", AS37:BD37), "")</f>
        <v>0</v>
      </c>
      <c r="BH37" s="287"/>
      <c r="BI37" s="288" t="str">
        <f aca="false">IF((SUM(L37:W37)&gt;1),"ERROR","")</f>
        <v/>
      </c>
    </row>
    <row r="38" customFormat="false" ht="15" hidden="false" customHeight="true" outlineLevel="0" collapsed="false">
      <c r="A38" s="340"/>
      <c r="B38" s="350"/>
      <c r="C38" s="350"/>
      <c r="H38" s="350"/>
      <c r="I38" s="279" t="n">
        <v>1</v>
      </c>
      <c r="J38" s="281" t="n">
        <f aca="false">1-I38</f>
        <v>0</v>
      </c>
      <c r="K38" s="32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350"/>
      <c r="Y38" s="381"/>
      <c r="Z38" s="384" t="s">
        <v>71</v>
      </c>
      <c r="AA38" s="283"/>
      <c r="AB38" s="284" t="n">
        <f aca="false">IF(AND(AB$4="RDEC", $Y38="Limited Company"), "", L38*$E38*$I38)</f>
        <v>0</v>
      </c>
      <c r="AC38" s="284" t="n">
        <f aca="false">IF(AND(AC$4="RDEC", $Y38="Limited Company"), "", M38*$E38*$I38)</f>
        <v>0</v>
      </c>
      <c r="AD38" s="284" t="n">
        <f aca="false">IF(AND(AD$4="RDEC", $Y38="Limited Company"), "", N38*$E38*$I38)</f>
        <v>0</v>
      </c>
      <c r="AE38" s="284" t="n">
        <f aca="false">IF(AND(AE$4="RDEC", $Y38="Limited Company"), "", O38*$E38*$I38)</f>
        <v>0</v>
      </c>
      <c r="AF38" s="284" t="n">
        <f aca="false">IF(AND(AF$4="RDEC", $Y38="Limited Company"), "", P38*$E38*$I38)</f>
        <v>0</v>
      </c>
      <c r="AG38" s="284" t="n">
        <f aca="false">IF(AND(AG$4="RDEC", $Y38="Limited Company"), "", Q38*$E38*$I38)</f>
        <v>0</v>
      </c>
      <c r="AH38" s="284" t="n">
        <f aca="false">IF(AND(AH$4="RDEC", $Y38="Limited Company"), "", R38*$E38*$I38)</f>
        <v>0</v>
      </c>
      <c r="AI38" s="284" t="n">
        <f aca="false">IF(AND(AI$4="RDEC", $Y38="Limited Company"), "", S38*$E38*$I38)</f>
        <v>0</v>
      </c>
      <c r="AJ38" s="284" t="n">
        <f aca="false">IF(AND(AJ$4="RDEC", $Y38="Limited Company"), "", T38*$E38*$I38)</f>
        <v>0</v>
      </c>
      <c r="AK38" s="284" t="n">
        <f aca="false">IF(AND(AK$4="RDEC", $Y38="Limited Company"), "", U38*$E38*$I38)</f>
        <v>0</v>
      </c>
      <c r="AL38" s="284" t="n">
        <f aca="false">IF(AND(AL$4="RDEC", $Y38="Limited Company"), "", V38*$E38*$I38)</f>
        <v>0</v>
      </c>
      <c r="AM38" s="284" t="n">
        <f aca="false">IF(AND(AM$4="RDEC", $Y38="Limited Company"), "", W38*$E38*$I38)</f>
        <v>0</v>
      </c>
      <c r="AN38" s="286" t="n">
        <f aca="false">IFERROR(SUMIF($AB$4:$AM$4, "RDEC", AB38:AM38), "")</f>
        <v>0</v>
      </c>
      <c r="AO38" s="286" t="str">
        <f aca="false">IFERROR((IF(Z38="Yes",SUMIF($AB$4:$AM$4,"SME",AB38:AM38),"")),"")</f>
        <v/>
      </c>
      <c r="AP38" s="286" t="n">
        <f aca="false">IFERROR((IF(Z38="No",SUMIF($AB$4:$AM$4,"SME",AB38:AM38),"")),"")</f>
        <v>0</v>
      </c>
      <c r="AQ38" s="286" t="n">
        <f aca="false">IFERROR(SUMIF($AB$4:$AM$4, "De Minimis", AB38:AM38), "")</f>
        <v>0</v>
      </c>
      <c r="AR38" s="283"/>
      <c r="AS38" s="284" t="n">
        <f aca="false">IFERROR(L38*$E38*$J38, "")</f>
        <v>0</v>
      </c>
      <c r="AT38" s="284" t="n">
        <f aca="false">IFERROR(M38*$E38*$J38, "")</f>
        <v>0</v>
      </c>
      <c r="AU38" s="284" t="n">
        <f aca="false">IFERROR(N38*$E38*$J38, "")</f>
        <v>0</v>
      </c>
      <c r="AV38" s="284" t="n">
        <f aca="false">IFERROR(O38*$E38*$J38, "")</f>
        <v>0</v>
      </c>
      <c r="AW38" s="284" t="n">
        <f aca="false">IFERROR(P38*$E38*$J38, "")</f>
        <v>0</v>
      </c>
      <c r="AX38" s="284" t="n">
        <f aca="false">IFERROR(Q38*$E38*$J38, "")</f>
        <v>0</v>
      </c>
      <c r="AY38" s="284" t="n">
        <f aca="false">IFERROR(R38*$E38*$J38, "")</f>
        <v>0</v>
      </c>
      <c r="AZ38" s="284" t="n">
        <f aca="false">IFERROR(S38*$E38*$J38, "")</f>
        <v>0</v>
      </c>
      <c r="BA38" s="284" t="n">
        <f aca="false">IFERROR(T38*$E38*$J38, "")</f>
        <v>0</v>
      </c>
      <c r="BB38" s="284" t="n">
        <f aca="false">IFERROR(U38*$E38*$J38, "")</f>
        <v>0</v>
      </c>
      <c r="BC38" s="284" t="n">
        <f aca="false">IFERROR(V38*$E38*$J38, "")</f>
        <v>0</v>
      </c>
      <c r="BD38" s="284" t="n">
        <f aca="false">IFERROR(W38*$E38*$J38, "")</f>
        <v>0</v>
      </c>
      <c r="BE38" s="286" t="n">
        <f aca="false">IFERROR(SUMIF($AB$4:$AM$4, "RDEC", AS38:BD38), "")</f>
        <v>0</v>
      </c>
      <c r="BF38" s="286" t="n">
        <f aca="false">IFERROR(SUMIF($AB$4:$AM$4, "SME", AS38:BD38), "")</f>
        <v>0</v>
      </c>
      <c r="BG38" s="286" t="n">
        <f aca="false">IFERROR(SUMIF($AB$4:$AM$4, "De Minimis", AS38:BD38), "")</f>
        <v>0</v>
      </c>
      <c r="BH38" s="287"/>
      <c r="BI38" s="288" t="str">
        <f aca="false">IF((SUM(L38:W38)&gt;1),"ERROR","")</f>
        <v/>
      </c>
    </row>
    <row r="39" customFormat="false" ht="15" hidden="false" customHeight="true" outlineLevel="0" collapsed="false">
      <c r="A39" s="340"/>
      <c r="B39" s="350"/>
      <c r="C39" s="350"/>
      <c r="H39" s="350"/>
      <c r="I39" s="279" t="n">
        <v>1</v>
      </c>
      <c r="J39" s="281" t="n">
        <f aca="false">1-I39</f>
        <v>0</v>
      </c>
      <c r="K39" s="32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350"/>
      <c r="Y39" s="381"/>
      <c r="Z39" s="384" t="s">
        <v>71</v>
      </c>
      <c r="AA39" s="283"/>
      <c r="AB39" s="284" t="n">
        <f aca="false">IF(AND(AB$4="RDEC", $Y39="Limited Company"), "", L39*$E39*$I39)</f>
        <v>0</v>
      </c>
      <c r="AC39" s="284" t="n">
        <f aca="false">IF(AND(AC$4="RDEC", $Y39="Limited Company"), "", M39*$E39*$I39)</f>
        <v>0</v>
      </c>
      <c r="AD39" s="284" t="n">
        <f aca="false">IF(AND(AD$4="RDEC", $Y39="Limited Company"), "", N39*$E39*$I39)</f>
        <v>0</v>
      </c>
      <c r="AE39" s="284" t="n">
        <f aca="false">IF(AND(AE$4="RDEC", $Y39="Limited Company"), "", O39*$E39*$I39)</f>
        <v>0</v>
      </c>
      <c r="AF39" s="284" t="n">
        <f aca="false">IF(AND(AF$4="RDEC", $Y39="Limited Company"), "", P39*$E39*$I39)</f>
        <v>0</v>
      </c>
      <c r="AG39" s="284" t="n">
        <f aca="false">IF(AND(AG$4="RDEC", $Y39="Limited Company"), "", Q39*$E39*$I39)</f>
        <v>0</v>
      </c>
      <c r="AH39" s="284" t="n">
        <f aca="false">IF(AND(AH$4="RDEC", $Y39="Limited Company"), "", R39*$E39*$I39)</f>
        <v>0</v>
      </c>
      <c r="AI39" s="284" t="n">
        <f aca="false">IF(AND(AI$4="RDEC", $Y39="Limited Company"), "", S39*$E39*$I39)</f>
        <v>0</v>
      </c>
      <c r="AJ39" s="284" t="n">
        <f aca="false">IF(AND(AJ$4="RDEC", $Y39="Limited Company"), "", T39*$E39*$I39)</f>
        <v>0</v>
      </c>
      <c r="AK39" s="284" t="n">
        <f aca="false">IF(AND(AK$4="RDEC", $Y39="Limited Company"), "", U39*$E39*$I39)</f>
        <v>0</v>
      </c>
      <c r="AL39" s="284" t="n">
        <f aca="false">IF(AND(AL$4="RDEC", $Y39="Limited Company"), "", V39*$E39*$I39)</f>
        <v>0</v>
      </c>
      <c r="AM39" s="284" t="n">
        <f aca="false">IF(AND(AM$4="RDEC", $Y39="Limited Company"), "", W39*$E39*$I39)</f>
        <v>0</v>
      </c>
      <c r="AN39" s="286" t="n">
        <f aca="false">IFERROR(SUMIF($AB$4:$AM$4, "RDEC", AB39:AM39), "")</f>
        <v>0</v>
      </c>
      <c r="AO39" s="286" t="str">
        <f aca="false">IFERROR((IF(Z39="Yes",SUMIF($AB$4:$AM$4,"SME",AB39:AM39),"")),"")</f>
        <v/>
      </c>
      <c r="AP39" s="286" t="n">
        <f aca="false">IFERROR((IF(Z39="No",SUMIF($AB$4:$AM$4,"SME",AB39:AM39),"")),"")</f>
        <v>0</v>
      </c>
      <c r="AQ39" s="286" t="n">
        <f aca="false">IFERROR(SUMIF($AB$4:$AM$4, "De Minimis", AB39:AM39), "")</f>
        <v>0</v>
      </c>
      <c r="AR39" s="283"/>
      <c r="AS39" s="284" t="n">
        <f aca="false">IFERROR(L39*$E39*$J39, "")</f>
        <v>0</v>
      </c>
      <c r="AT39" s="284" t="n">
        <f aca="false">IFERROR(M39*$E39*$J39, "")</f>
        <v>0</v>
      </c>
      <c r="AU39" s="284" t="n">
        <f aca="false">IFERROR(N39*$E39*$J39, "")</f>
        <v>0</v>
      </c>
      <c r="AV39" s="284" t="n">
        <f aca="false">IFERROR(O39*$E39*$J39, "")</f>
        <v>0</v>
      </c>
      <c r="AW39" s="284" t="n">
        <f aca="false">IFERROR(P39*$E39*$J39, "")</f>
        <v>0</v>
      </c>
      <c r="AX39" s="284" t="n">
        <f aca="false">IFERROR(Q39*$E39*$J39, "")</f>
        <v>0</v>
      </c>
      <c r="AY39" s="284" t="n">
        <f aca="false">IFERROR(R39*$E39*$J39, "")</f>
        <v>0</v>
      </c>
      <c r="AZ39" s="284" t="n">
        <f aca="false">IFERROR(S39*$E39*$J39, "")</f>
        <v>0</v>
      </c>
      <c r="BA39" s="284" t="n">
        <f aca="false">IFERROR(T39*$E39*$J39, "")</f>
        <v>0</v>
      </c>
      <c r="BB39" s="284" t="n">
        <f aca="false">IFERROR(U39*$E39*$J39, "")</f>
        <v>0</v>
      </c>
      <c r="BC39" s="284" t="n">
        <f aca="false">IFERROR(V39*$E39*$J39, "")</f>
        <v>0</v>
      </c>
      <c r="BD39" s="284" t="n">
        <f aca="false">IFERROR(W39*$E39*$J39, "")</f>
        <v>0</v>
      </c>
      <c r="BE39" s="286" t="n">
        <f aca="false">IFERROR(SUMIF($AB$4:$AM$4, "RDEC", AS39:BD39), "")</f>
        <v>0</v>
      </c>
      <c r="BF39" s="286" t="n">
        <f aca="false">IFERROR(SUMIF($AB$4:$AM$4, "SME", AS39:BD39), "")</f>
        <v>0</v>
      </c>
      <c r="BG39" s="286" t="n">
        <f aca="false">IFERROR(SUMIF($AB$4:$AM$4, "De Minimis", AS39:BD39), "")</f>
        <v>0</v>
      </c>
      <c r="BH39" s="287"/>
      <c r="BI39" s="288" t="str">
        <f aca="false">IF((SUM(L39:W39)&gt;1),"ERROR","")</f>
        <v/>
      </c>
    </row>
    <row r="40" customFormat="false" ht="15" hidden="false" customHeight="true" outlineLevel="0" collapsed="false">
      <c r="A40" s="340"/>
      <c r="B40" s="350"/>
      <c r="C40" s="350"/>
      <c r="H40" s="350"/>
      <c r="I40" s="279" t="n">
        <v>1</v>
      </c>
      <c r="J40" s="281" t="n">
        <f aca="false">1-I40</f>
        <v>0</v>
      </c>
      <c r="K40" s="32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350"/>
      <c r="Y40" s="381"/>
      <c r="Z40" s="384" t="s">
        <v>71</v>
      </c>
      <c r="AA40" s="283"/>
      <c r="AB40" s="284" t="n">
        <f aca="false">IF(AND(AB$4="RDEC", $Y40="Limited Company"), "", L40*$E40*$I40)</f>
        <v>0</v>
      </c>
      <c r="AC40" s="284" t="n">
        <f aca="false">IF(AND(AC$4="RDEC", $Y40="Limited Company"), "", M40*$E40*$I40)</f>
        <v>0</v>
      </c>
      <c r="AD40" s="284" t="n">
        <f aca="false">IF(AND(AD$4="RDEC", $Y40="Limited Company"), "", N40*$E40*$I40)</f>
        <v>0</v>
      </c>
      <c r="AE40" s="284" t="n">
        <f aca="false">IF(AND(AE$4="RDEC", $Y40="Limited Company"), "", O40*$E40*$I40)</f>
        <v>0</v>
      </c>
      <c r="AF40" s="284" t="n">
        <f aca="false">IF(AND(AF$4="RDEC", $Y40="Limited Company"), "", P40*$E40*$I40)</f>
        <v>0</v>
      </c>
      <c r="AG40" s="284" t="n">
        <f aca="false">IF(AND(AG$4="RDEC", $Y40="Limited Company"), "", Q40*$E40*$I40)</f>
        <v>0</v>
      </c>
      <c r="AH40" s="284" t="n">
        <f aca="false">IF(AND(AH$4="RDEC", $Y40="Limited Company"), "", R40*$E40*$I40)</f>
        <v>0</v>
      </c>
      <c r="AI40" s="284" t="n">
        <f aca="false">IF(AND(AI$4="RDEC", $Y40="Limited Company"), "", S40*$E40*$I40)</f>
        <v>0</v>
      </c>
      <c r="AJ40" s="284" t="n">
        <f aca="false">IF(AND(AJ$4="RDEC", $Y40="Limited Company"), "", T40*$E40*$I40)</f>
        <v>0</v>
      </c>
      <c r="AK40" s="284" t="n">
        <f aca="false">IF(AND(AK$4="RDEC", $Y40="Limited Company"), "", U40*$E40*$I40)</f>
        <v>0</v>
      </c>
      <c r="AL40" s="284" t="n">
        <f aca="false">IF(AND(AL$4="RDEC", $Y40="Limited Company"), "", V40*$E40*$I40)</f>
        <v>0</v>
      </c>
      <c r="AM40" s="284" t="n">
        <f aca="false">IF(AND(AM$4="RDEC", $Y40="Limited Company"), "", W40*$E40*$I40)</f>
        <v>0</v>
      </c>
      <c r="AN40" s="286" t="n">
        <f aca="false">IFERROR(SUMIF($AB$4:$AM$4, "RDEC", AB40:AM40), "")</f>
        <v>0</v>
      </c>
      <c r="AO40" s="286" t="str">
        <f aca="false">IFERROR((IF(Z40="Yes",SUMIF($AB$4:$AM$4,"SME",AB40:AM40),"")),"")</f>
        <v/>
      </c>
      <c r="AP40" s="286" t="n">
        <f aca="false">IFERROR((IF(Z40="No",SUMIF($AB$4:$AM$4,"SME",AB40:AM40),"")),"")</f>
        <v>0</v>
      </c>
      <c r="AQ40" s="286" t="n">
        <f aca="false">IFERROR(SUMIF($AB$4:$AM$4, "De Minimis", AB40:AM40), "")</f>
        <v>0</v>
      </c>
      <c r="AR40" s="283"/>
      <c r="AS40" s="284" t="n">
        <f aca="false">IFERROR(L40*$E40*$J40, "")</f>
        <v>0</v>
      </c>
      <c r="AT40" s="284" t="n">
        <f aca="false">IFERROR(M40*$E40*$J40, "")</f>
        <v>0</v>
      </c>
      <c r="AU40" s="284" t="n">
        <f aca="false">IFERROR(N40*$E40*$J40, "")</f>
        <v>0</v>
      </c>
      <c r="AV40" s="284" t="n">
        <f aca="false">IFERROR(O40*$E40*$J40, "")</f>
        <v>0</v>
      </c>
      <c r="AW40" s="284" t="n">
        <f aca="false">IFERROR(P40*$E40*$J40, "")</f>
        <v>0</v>
      </c>
      <c r="AX40" s="284" t="n">
        <f aca="false">IFERROR(Q40*$E40*$J40, "")</f>
        <v>0</v>
      </c>
      <c r="AY40" s="284" t="n">
        <f aca="false">IFERROR(R40*$E40*$J40, "")</f>
        <v>0</v>
      </c>
      <c r="AZ40" s="284" t="n">
        <f aca="false">IFERROR(S40*$E40*$J40, "")</f>
        <v>0</v>
      </c>
      <c r="BA40" s="284" t="n">
        <f aca="false">IFERROR(T40*$E40*$J40, "")</f>
        <v>0</v>
      </c>
      <c r="BB40" s="284" t="n">
        <f aca="false">IFERROR(U40*$E40*$J40, "")</f>
        <v>0</v>
      </c>
      <c r="BC40" s="284" t="n">
        <f aca="false">IFERROR(V40*$E40*$J40, "")</f>
        <v>0</v>
      </c>
      <c r="BD40" s="284" t="n">
        <f aca="false">IFERROR(W40*$E40*$J40, "")</f>
        <v>0</v>
      </c>
      <c r="BE40" s="286" t="n">
        <f aca="false">IFERROR(SUMIF($AB$4:$AM$4, "RDEC", AS40:BD40), "")</f>
        <v>0</v>
      </c>
      <c r="BF40" s="286" t="n">
        <f aca="false">IFERROR(SUMIF($AB$4:$AM$4, "SME", AS40:BD40), "")</f>
        <v>0</v>
      </c>
      <c r="BG40" s="286" t="n">
        <f aca="false">IFERROR(SUMIF($AB$4:$AM$4, "De Minimis", AS40:BD40), "")</f>
        <v>0</v>
      </c>
      <c r="BH40" s="287"/>
      <c r="BI40" s="288" t="str">
        <f aca="false">IF((SUM(L40:W40)&gt;1),"ERROR","")</f>
        <v/>
      </c>
    </row>
    <row r="41" customFormat="false" ht="15" hidden="false" customHeight="true" outlineLevel="0" collapsed="false">
      <c r="A41" s="340"/>
      <c r="B41" s="350"/>
      <c r="C41" s="350"/>
      <c r="H41" s="350"/>
      <c r="I41" s="279" t="n">
        <v>1</v>
      </c>
      <c r="J41" s="281" t="n">
        <f aca="false">1-I41</f>
        <v>0</v>
      </c>
      <c r="K41" s="322"/>
      <c r="L41" s="282"/>
      <c r="M41" s="282"/>
      <c r="N41" s="282"/>
      <c r="O41" s="282"/>
      <c r="P41" s="282"/>
      <c r="Q41" s="282"/>
      <c r="R41" s="282"/>
      <c r="S41" s="282"/>
      <c r="T41" s="282"/>
      <c r="U41" s="282"/>
      <c r="V41" s="282"/>
      <c r="W41" s="282"/>
      <c r="X41" s="350"/>
      <c r="Y41" s="381"/>
      <c r="Z41" s="384" t="s">
        <v>71</v>
      </c>
      <c r="AA41" s="283"/>
      <c r="AB41" s="284" t="n">
        <f aca="false">IF(AND(AB$4="RDEC", $Y41="Limited Company"), "", L41*$E41*$I41)</f>
        <v>0</v>
      </c>
      <c r="AC41" s="284" t="n">
        <f aca="false">IF(AND(AC$4="RDEC", $Y41="Limited Company"), "", M41*$E41*$I41)</f>
        <v>0</v>
      </c>
      <c r="AD41" s="284" t="n">
        <f aca="false">IF(AND(AD$4="RDEC", $Y41="Limited Company"), "", N41*$E41*$I41)</f>
        <v>0</v>
      </c>
      <c r="AE41" s="284" t="n">
        <f aca="false">IF(AND(AE$4="RDEC", $Y41="Limited Company"), "", O41*$E41*$I41)</f>
        <v>0</v>
      </c>
      <c r="AF41" s="284" t="n">
        <f aca="false">IF(AND(AF$4="RDEC", $Y41="Limited Company"), "", P41*$E41*$I41)</f>
        <v>0</v>
      </c>
      <c r="AG41" s="284" t="n">
        <f aca="false">IF(AND(AG$4="RDEC", $Y41="Limited Company"), "", Q41*$E41*$I41)</f>
        <v>0</v>
      </c>
      <c r="AH41" s="284" t="n">
        <f aca="false">IF(AND(AH$4="RDEC", $Y41="Limited Company"), "", R41*$E41*$I41)</f>
        <v>0</v>
      </c>
      <c r="AI41" s="284" t="n">
        <f aca="false">IF(AND(AI$4="RDEC", $Y41="Limited Company"), "", S41*$E41*$I41)</f>
        <v>0</v>
      </c>
      <c r="AJ41" s="284" t="n">
        <f aca="false">IF(AND(AJ$4="RDEC", $Y41="Limited Company"), "", T41*$E41*$I41)</f>
        <v>0</v>
      </c>
      <c r="AK41" s="284" t="n">
        <f aca="false">IF(AND(AK$4="RDEC", $Y41="Limited Company"), "", U41*$E41*$I41)</f>
        <v>0</v>
      </c>
      <c r="AL41" s="284" t="n">
        <f aca="false">IF(AND(AL$4="RDEC", $Y41="Limited Company"), "", V41*$E41*$I41)</f>
        <v>0</v>
      </c>
      <c r="AM41" s="284" t="n">
        <f aca="false">IF(AND(AM$4="RDEC", $Y41="Limited Company"), "", W41*$E41*$I41)</f>
        <v>0</v>
      </c>
      <c r="AN41" s="286" t="n">
        <f aca="false">IFERROR(SUMIF($AB$4:$AM$4, "RDEC", AB41:AM41), "")</f>
        <v>0</v>
      </c>
      <c r="AO41" s="286" t="str">
        <f aca="false">IFERROR((IF(Z41="Yes",SUMIF($AB$4:$AM$4,"SME",AB41:AM41),"")),"")</f>
        <v/>
      </c>
      <c r="AP41" s="286" t="n">
        <f aca="false">IFERROR((IF(Z41="No",SUMIF($AB$4:$AM$4,"SME",AB41:AM41),"")),"")</f>
        <v>0</v>
      </c>
      <c r="AQ41" s="286" t="n">
        <f aca="false">IFERROR(SUMIF($AB$4:$AM$4, "De Minimis", AB41:AM41), "")</f>
        <v>0</v>
      </c>
      <c r="AR41" s="283"/>
      <c r="AS41" s="284" t="n">
        <f aca="false">IFERROR(L41*$E41*$J41, "")</f>
        <v>0</v>
      </c>
      <c r="AT41" s="284" t="n">
        <f aca="false">IFERROR(M41*$E41*$J41, "")</f>
        <v>0</v>
      </c>
      <c r="AU41" s="284" t="n">
        <f aca="false">IFERROR(N41*$E41*$J41, "")</f>
        <v>0</v>
      </c>
      <c r="AV41" s="284" t="n">
        <f aca="false">IFERROR(O41*$E41*$J41, "")</f>
        <v>0</v>
      </c>
      <c r="AW41" s="284" t="n">
        <f aca="false">IFERROR(P41*$E41*$J41, "")</f>
        <v>0</v>
      </c>
      <c r="AX41" s="284" t="n">
        <f aca="false">IFERROR(Q41*$E41*$J41, "")</f>
        <v>0</v>
      </c>
      <c r="AY41" s="284" t="n">
        <f aca="false">IFERROR(R41*$E41*$J41, "")</f>
        <v>0</v>
      </c>
      <c r="AZ41" s="284" t="n">
        <f aca="false">IFERROR(S41*$E41*$J41, "")</f>
        <v>0</v>
      </c>
      <c r="BA41" s="284" t="n">
        <f aca="false">IFERROR(T41*$E41*$J41, "")</f>
        <v>0</v>
      </c>
      <c r="BB41" s="284" t="n">
        <f aca="false">IFERROR(U41*$E41*$J41, "")</f>
        <v>0</v>
      </c>
      <c r="BC41" s="284" t="n">
        <f aca="false">IFERROR(V41*$E41*$J41, "")</f>
        <v>0</v>
      </c>
      <c r="BD41" s="284" t="n">
        <f aca="false">IFERROR(W41*$E41*$J41, "")</f>
        <v>0</v>
      </c>
      <c r="BE41" s="286" t="n">
        <f aca="false">IFERROR(SUMIF($AB$4:$AM$4, "RDEC", AS41:BD41), "")</f>
        <v>0</v>
      </c>
      <c r="BF41" s="286" t="n">
        <f aca="false">IFERROR(SUMIF($AB$4:$AM$4, "SME", AS41:BD41), "")</f>
        <v>0</v>
      </c>
      <c r="BG41" s="286" t="n">
        <f aca="false">IFERROR(SUMIF($AB$4:$AM$4, "De Minimis", AS41:BD41), "")</f>
        <v>0</v>
      </c>
      <c r="BH41" s="287"/>
      <c r="BI41" s="288" t="str">
        <f aca="false">IF((SUM(L41:W41)&gt;1),"ERROR","")</f>
        <v/>
      </c>
    </row>
    <row r="42" customFormat="false" ht="15" hidden="false" customHeight="true" outlineLevel="0" collapsed="false">
      <c r="A42" s="340"/>
      <c r="B42" s="350"/>
      <c r="C42" s="350"/>
      <c r="H42" s="350"/>
      <c r="I42" s="279" t="n">
        <v>1</v>
      </c>
      <c r="J42" s="281" t="n">
        <f aca="false">1-I42</f>
        <v>0</v>
      </c>
      <c r="K42" s="32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350"/>
      <c r="Y42" s="381"/>
      <c r="Z42" s="384" t="s">
        <v>71</v>
      </c>
      <c r="AA42" s="283"/>
      <c r="AB42" s="284" t="n">
        <f aca="false">IF(AND(AB$4="RDEC", $Y42="Limited Company"), "", L42*$E42*$I42)</f>
        <v>0</v>
      </c>
      <c r="AC42" s="284" t="n">
        <f aca="false">IF(AND(AC$4="RDEC", $Y42="Limited Company"), "", M42*$E42*$I42)</f>
        <v>0</v>
      </c>
      <c r="AD42" s="284" t="n">
        <f aca="false">IF(AND(AD$4="RDEC", $Y42="Limited Company"), "", N42*$E42*$I42)</f>
        <v>0</v>
      </c>
      <c r="AE42" s="284" t="n">
        <f aca="false">IF(AND(AE$4="RDEC", $Y42="Limited Company"), "", O42*$E42*$I42)</f>
        <v>0</v>
      </c>
      <c r="AF42" s="284" t="n">
        <f aca="false">IF(AND(AF$4="RDEC", $Y42="Limited Company"), "", P42*$E42*$I42)</f>
        <v>0</v>
      </c>
      <c r="AG42" s="284" t="n">
        <f aca="false">IF(AND(AG$4="RDEC", $Y42="Limited Company"), "", Q42*$E42*$I42)</f>
        <v>0</v>
      </c>
      <c r="AH42" s="284" t="n">
        <f aca="false">IF(AND(AH$4="RDEC", $Y42="Limited Company"), "", R42*$E42*$I42)</f>
        <v>0</v>
      </c>
      <c r="AI42" s="284" t="n">
        <f aca="false">IF(AND(AI$4="RDEC", $Y42="Limited Company"), "", S42*$E42*$I42)</f>
        <v>0</v>
      </c>
      <c r="AJ42" s="284" t="n">
        <f aca="false">IF(AND(AJ$4="RDEC", $Y42="Limited Company"), "", T42*$E42*$I42)</f>
        <v>0</v>
      </c>
      <c r="AK42" s="284" t="n">
        <f aca="false">IF(AND(AK$4="RDEC", $Y42="Limited Company"), "", U42*$E42*$I42)</f>
        <v>0</v>
      </c>
      <c r="AL42" s="284" t="n">
        <f aca="false">IF(AND(AL$4="RDEC", $Y42="Limited Company"), "", V42*$E42*$I42)</f>
        <v>0</v>
      </c>
      <c r="AM42" s="284" t="n">
        <f aca="false">IF(AND(AM$4="RDEC", $Y42="Limited Company"), "", W42*$E42*$I42)</f>
        <v>0</v>
      </c>
      <c r="AN42" s="286" t="n">
        <f aca="false">IFERROR(SUMIF($AB$4:$AM$4, "RDEC", AB42:AM42), "")</f>
        <v>0</v>
      </c>
      <c r="AO42" s="286" t="str">
        <f aca="false">IFERROR((IF(Z42="Yes",SUMIF($AB$4:$AM$4,"SME",AB42:AM42),"")),"")</f>
        <v/>
      </c>
      <c r="AP42" s="286" t="n">
        <f aca="false">IFERROR((IF(Z42="No",SUMIF($AB$4:$AM$4,"SME",AB42:AM42),"")),"")</f>
        <v>0</v>
      </c>
      <c r="AQ42" s="286" t="n">
        <f aca="false">IFERROR(SUMIF($AB$4:$AM$4, "De Minimis", AB42:AM42), "")</f>
        <v>0</v>
      </c>
      <c r="AR42" s="283"/>
      <c r="AS42" s="284" t="n">
        <f aca="false">IFERROR(L42*$E42*$J42, "")</f>
        <v>0</v>
      </c>
      <c r="AT42" s="284" t="n">
        <f aca="false">IFERROR(M42*$E42*$J42, "")</f>
        <v>0</v>
      </c>
      <c r="AU42" s="284" t="n">
        <f aca="false">IFERROR(N42*$E42*$J42, "")</f>
        <v>0</v>
      </c>
      <c r="AV42" s="284" t="n">
        <f aca="false">IFERROR(O42*$E42*$J42, "")</f>
        <v>0</v>
      </c>
      <c r="AW42" s="284" t="n">
        <f aca="false">IFERROR(P42*$E42*$J42, "")</f>
        <v>0</v>
      </c>
      <c r="AX42" s="284" t="n">
        <f aca="false">IFERROR(Q42*$E42*$J42, "")</f>
        <v>0</v>
      </c>
      <c r="AY42" s="284" t="n">
        <f aca="false">IFERROR(R42*$E42*$J42, "")</f>
        <v>0</v>
      </c>
      <c r="AZ42" s="284" t="n">
        <f aca="false">IFERROR(S42*$E42*$J42, "")</f>
        <v>0</v>
      </c>
      <c r="BA42" s="284" t="n">
        <f aca="false">IFERROR(T42*$E42*$J42, "")</f>
        <v>0</v>
      </c>
      <c r="BB42" s="284" t="n">
        <f aca="false">IFERROR(U42*$E42*$J42, "")</f>
        <v>0</v>
      </c>
      <c r="BC42" s="284" t="n">
        <f aca="false">IFERROR(V42*$E42*$J42, "")</f>
        <v>0</v>
      </c>
      <c r="BD42" s="284" t="n">
        <f aca="false">IFERROR(W42*$E42*$J42, "")</f>
        <v>0</v>
      </c>
      <c r="BE42" s="286" t="n">
        <f aca="false">IFERROR(SUMIF($AB$4:$AM$4, "RDEC", AS42:BD42), "")</f>
        <v>0</v>
      </c>
      <c r="BF42" s="286" t="n">
        <f aca="false">IFERROR(SUMIF($AB$4:$AM$4, "SME", AS42:BD42), "")</f>
        <v>0</v>
      </c>
      <c r="BG42" s="286" t="n">
        <f aca="false">IFERROR(SUMIF($AB$4:$AM$4, "De Minimis", AS42:BD42), "")</f>
        <v>0</v>
      </c>
      <c r="BH42" s="287"/>
      <c r="BI42" s="288" t="str">
        <f aca="false">IF((SUM(L42:W42)&gt;1),"ERROR","")</f>
        <v/>
      </c>
    </row>
    <row r="43" customFormat="false" ht="15" hidden="false" customHeight="true" outlineLevel="0" collapsed="false">
      <c r="A43" s="340"/>
      <c r="B43" s="350"/>
      <c r="C43" s="350"/>
      <c r="H43" s="350"/>
      <c r="I43" s="279" t="n">
        <v>1</v>
      </c>
      <c r="J43" s="281" t="n">
        <f aca="false">1-I43</f>
        <v>0</v>
      </c>
      <c r="K43" s="32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350"/>
      <c r="Y43" s="381"/>
      <c r="Z43" s="384" t="s">
        <v>71</v>
      </c>
      <c r="AA43" s="283"/>
      <c r="AB43" s="284" t="n">
        <f aca="false">IF(AND(AB$4="RDEC", $Y43="Limited Company"), "", L43*$E43*$I43)</f>
        <v>0</v>
      </c>
      <c r="AC43" s="284" t="n">
        <f aca="false">IF(AND(AC$4="RDEC", $Y43="Limited Company"), "", M43*$E43*$I43)</f>
        <v>0</v>
      </c>
      <c r="AD43" s="284" t="n">
        <f aca="false">IF(AND(AD$4="RDEC", $Y43="Limited Company"), "", N43*$E43*$I43)</f>
        <v>0</v>
      </c>
      <c r="AE43" s="284" t="n">
        <f aca="false">IF(AND(AE$4="RDEC", $Y43="Limited Company"), "", O43*$E43*$I43)</f>
        <v>0</v>
      </c>
      <c r="AF43" s="284" t="n">
        <f aca="false">IF(AND(AF$4="RDEC", $Y43="Limited Company"), "", P43*$E43*$I43)</f>
        <v>0</v>
      </c>
      <c r="AG43" s="284" t="n">
        <f aca="false">IF(AND(AG$4="RDEC", $Y43="Limited Company"), "", Q43*$E43*$I43)</f>
        <v>0</v>
      </c>
      <c r="AH43" s="284" t="n">
        <f aca="false">IF(AND(AH$4="RDEC", $Y43="Limited Company"), "", R43*$E43*$I43)</f>
        <v>0</v>
      </c>
      <c r="AI43" s="284" t="n">
        <f aca="false">IF(AND(AI$4="RDEC", $Y43="Limited Company"), "", S43*$E43*$I43)</f>
        <v>0</v>
      </c>
      <c r="AJ43" s="284" t="n">
        <f aca="false">IF(AND(AJ$4="RDEC", $Y43="Limited Company"), "", T43*$E43*$I43)</f>
        <v>0</v>
      </c>
      <c r="AK43" s="284" t="n">
        <f aca="false">IF(AND(AK$4="RDEC", $Y43="Limited Company"), "", U43*$E43*$I43)</f>
        <v>0</v>
      </c>
      <c r="AL43" s="284" t="n">
        <f aca="false">IF(AND(AL$4="RDEC", $Y43="Limited Company"), "", V43*$E43*$I43)</f>
        <v>0</v>
      </c>
      <c r="AM43" s="284" t="n">
        <f aca="false">IF(AND(AM$4="RDEC", $Y43="Limited Company"), "", W43*$E43*$I43)</f>
        <v>0</v>
      </c>
      <c r="AN43" s="286" t="n">
        <f aca="false">IFERROR(SUMIF($AB$4:$AM$4, "RDEC", AB43:AM43), "")</f>
        <v>0</v>
      </c>
      <c r="AO43" s="286" t="str">
        <f aca="false">IFERROR((IF(Z43="Yes",SUMIF($AB$4:$AM$4,"SME",AB43:AM43),"")),"")</f>
        <v/>
      </c>
      <c r="AP43" s="286" t="n">
        <f aca="false">IFERROR((IF(Z43="No",SUMIF($AB$4:$AM$4,"SME",AB43:AM43),"")),"")</f>
        <v>0</v>
      </c>
      <c r="AQ43" s="286" t="n">
        <f aca="false">IFERROR(SUMIF($AB$4:$AM$4, "De Minimis", AB43:AM43), "")</f>
        <v>0</v>
      </c>
      <c r="AR43" s="283"/>
      <c r="AS43" s="284" t="n">
        <f aca="false">IFERROR(L43*$E43*$J43, "")</f>
        <v>0</v>
      </c>
      <c r="AT43" s="284" t="n">
        <f aca="false">IFERROR(M43*$E43*$J43, "")</f>
        <v>0</v>
      </c>
      <c r="AU43" s="284" t="n">
        <f aca="false">IFERROR(N43*$E43*$J43, "")</f>
        <v>0</v>
      </c>
      <c r="AV43" s="284" t="n">
        <f aca="false">IFERROR(O43*$E43*$J43, "")</f>
        <v>0</v>
      </c>
      <c r="AW43" s="284" t="n">
        <f aca="false">IFERROR(P43*$E43*$J43, "")</f>
        <v>0</v>
      </c>
      <c r="AX43" s="284" t="n">
        <f aca="false">IFERROR(Q43*$E43*$J43, "")</f>
        <v>0</v>
      </c>
      <c r="AY43" s="284" t="n">
        <f aca="false">IFERROR(R43*$E43*$J43, "")</f>
        <v>0</v>
      </c>
      <c r="AZ43" s="284" t="n">
        <f aca="false">IFERROR(S43*$E43*$J43, "")</f>
        <v>0</v>
      </c>
      <c r="BA43" s="284" t="n">
        <f aca="false">IFERROR(T43*$E43*$J43, "")</f>
        <v>0</v>
      </c>
      <c r="BB43" s="284" t="n">
        <f aca="false">IFERROR(U43*$E43*$J43, "")</f>
        <v>0</v>
      </c>
      <c r="BC43" s="284" t="n">
        <f aca="false">IFERROR(V43*$E43*$J43, "")</f>
        <v>0</v>
      </c>
      <c r="BD43" s="284" t="n">
        <f aca="false">IFERROR(W43*$E43*$J43, "")</f>
        <v>0</v>
      </c>
      <c r="BE43" s="286" t="n">
        <f aca="false">IFERROR(SUMIF($AB$4:$AM$4, "RDEC", AS43:BD43), "")</f>
        <v>0</v>
      </c>
      <c r="BF43" s="286" t="n">
        <f aca="false">IFERROR(SUMIF($AB$4:$AM$4, "SME", AS43:BD43), "")</f>
        <v>0</v>
      </c>
      <c r="BG43" s="286" t="n">
        <f aca="false">IFERROR(SUMIF($AB$4:$AM$4, "De Minimis", AS43:BD43), "")</f>
        <v>0</v>
      </c>
      <c r="BH43" s="287"/>
      <c r="BI43" s="288" t="str">
        <f aca="false">IF((SUM(L43:W43)&gt;1),"ERROR","")</f>
        <v/>
      </c>
    </row>
    <row r="44" customFormat="false" ht="15" hidden="false" customHeight="true" outlineLevel="0" collapsed="false">
      <c r="A44" s="340"/>
      <c r="B44" s="350"/>
      <c r="C44" s="350"/>
      <c r="H44" s="350"/>
      <c r="I44" s="279" t="n">
        <v>1</v>
      </c>
      <c r="J44" s="281" t="n">
        <f aca="false">1-I44</f>
        <v>0</v>
      </c>
      <c r="K44" s="32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350"/>
      <c r="Y44" s="381"/>
      <c r="Z44" s="384" t="s">
        <v>71</v>
      </c>
      <c r="AA44" s="283"/>
      <c r="AB44" s="284" t="n">
        <f aca="false">IF(AND(AB$4="RDEC", $Y44="Limited Company"), "", L44*$E44*$I44)</f>
        <v>0</v>
      </c>
      <c r="AC44" s="284" t="n">
        <f aca="false">IF(AND(AC$4="RDEC", $Y44="Limited Company"), "", M44*$E44*$I44)</f>
        <v>0</v>
      </c>
      <c r="AD44" s="284" t="n">
        <f aca="false">IF(AND(AD$4="RDEC", $Y44="Limited Company"), "", N44*$E44*$I44)</f>
        <v>0</v>
      </c>
      <c r="AE44" s="284" t="n">
        <f aca="false">IF(AND(AE$4="RDEC", $Y44="Limited Company"), "", O44*$E44*$I44)</f>
        <v>0</v>
      </c>
      <c r="AF44" s="284" t="n">
        <f aca="false">IF(AND(AF$4="RDEC", $Y44="Limited Company"), "", P44*$E44*$I44)</f>
        <v>0</v>
      </c>
      <c r="AG44" s="284" t="n">
        <f aca="false">IF(AND(AG$4="RDEC", $Y44="Limited Company"), "", Q44*$E44*$I44)</f>
        <v>0</v>
      </c>
      <c r="AH44" s="284" t="n">
        <f aca="false">IF(AND(AH$4="RDEC", $Y44="Limited Company"), "", R44*$E44*$I44)</f>
        <v>0</v>
      </c>
      <c r="AI44" s="284" t="n">
        <f aca="false">IF(AND(AI$4="RDEC", $Y44="Limited Company"), "", S44*$E44*$I44)</f>
        <v>0</v>
      </c>
      <c r="AJ44" s="284" t="n">
        <f aca="false">IF(AND(AJ$4="RDEC", $Y44="Limited Company"), "", T44*$E44*$I44)</f>
        <v>0</v>
      </c>
      <c r="AK44" s="284" t="n">
        <f aca="false">IF(AND(AK$4="RDEC", $Y44="Limited Company"), "", U44*$E44*$I44)</f>
        <v>0</v>
      </c>
      <c r="AL44" s="284" t="n">
        <f aca="false">IF(AND(AL$4="RDEC", $Y44="Limited Company"), "", V44*$E44*$I44)</f>
        <v>0</v>
      </c>
      <c r="AM44" s="284" t="n">
        <f aca="false">IF(AND(AM$4="RDEC", $Y44="Limited Company"), "", W44*$E44*$I44)</f>
        <v>0</v>
      </c>
      <c r="AN44" s="286" t="n">
        <f aca="false">IFERROR(SUMIF($AB$4:$AM$4, "RDEC", AB44:AM44), "")</f>
        <v>0</v>
      </c>
      <c r="AO44" s="286" t="str">
        <f aca="false">IFERROR((IF(Z44="Yes",SUMIF($AB$4:$AM$4,"SME",AB44:AM44),"")),"")</f>
        <v/>
      </c>
      <c r="AP44" s="286" t="n">
        <f aca="false">IFERROR((IF(Z44="No",SUMIF($AB$4:$AM$4,"SME",AB44:AM44),"")),"")</f>
        <v>0</v>
      </c>
      <c r="AQ44" s="286" t="n">
        <f aca="false">IFERROR(SUMIF($AB$4:$AM$4, "De Minimis", AB44:AM44), "")</f>
        <v>0</v>
      </c>
      <c r="AR44" s="283"/>
      <c r="AS44" s="284" t="n">
        <f aca="false">IFERROR(L44*$E44*$J44, "")</f>
        <v>0</v>
      </c>
      <c r="AT44" s="284" t="n">
        <f aca="false">IFERROR(M44*$E44*$J44, "")</f>
        <v>0</v>
      </c>
      <c r="AU44" s="284" t="n">
        <f aca="false">IFERROR(N44*$E44*$J44, "")</f>
        <v>0</v>
      </c>
      <c r="AV44" s="284" t="n">
        <f aca="false">IFERROR(O44*$E44*$J44, "")</f>
        <v>0</v>
      </c>
      <c r="AW44" s="284" t="n">
        <f aca="false">IFERROR(P44*$E44*$J44, "")</f>
        <v>0</v>
      </c>
      <c r="AX44" s="284" t="n">
        <f aca="false">IFERROR(Q44*$E44*$J44, "")</f>
        <v>0</v>
      </c>
      <c r="AY44" s="284" t="n">
        <f aca="false">IFERROR(R44*$E44*$J44, "")</f>
        <v>0</v>
      </c>
      <c r="AZ44" s="284" t="n">
        <f aca="false">IFERROR(S44*$E44*$J44, "")</f>
        <v>0</v>
      </c>
      <c r="BA44" s="284" t="n">
        <f aca="false">IFERROR(T44*$E44*$J44, "")</f>
        <v>0</v>
      </c>
      <c r="BB44" s="284" t="n">
        <f aca="false">IFERROR(U44*$E44*$J44, "")</f>
        <v>0</v>
      </c>
      <c r="BC44" s="284" t="n">
        <f aca="false">IFERROR(V44*$E44*$J44, "")</f>
        <v>0</v>
      </c>
      <c r="BD44" s="284" t="n">
        <f aca="false">IFERROR(W44*$E44*$J44, "")</f>
        <v>0</v>
      </c>
      <c r="BE44" s="286" t="n">
        <f aca="false">IFERROR(SUMIF($AB$4:$AM$4, "RDEC", AS44:BD44), "")</f>
        <v>0</v>
      </c>
      <c r="BF44" s="286" t="n">
        <f aca="false">IFERROR(SUMIF($AB$4:$AM$4, "SME", AS44:BD44), "")</f>
        <v>0</v>
      </c>
      <c r="BG44" s="286" t="n">
        <f aca="false">IFERROR(SUMIF($AB$4:$AM$4, "De Minimis", AS44:BD44), "")</f>
        <v>0</v>
      </c>
      <c r="BH44" s="287"/>
      <c r="BI44" s="288" t="str">
        <f aca="false">IF((SUM(L44:W44)&gt;1),"ERROR","")</f>
        <v/>
      </c>
    </row>
    <row r="45" customFormat="false" ht="15" hidden="false" customHeight="true" outlineLevel="0" collapsed="false">
      <c r="A45" s="340"/>
      <c r="B45" s="350"/>
      <c r="C45" s="350"/>
      <c r="H45" s="350"/>
      <c r="I45" s="279" t="n">
        <v>1</v>
      </c>
      <c r="J45" s="281" t="n">
        <f aca="false">1-I45</f>
        <v>0</v>
      </c>
      <c r="K45" s="322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350"/>
      <c r="Y45" s="381"/>
      <c r="Z45" s="384" t="s">
        <v>71</v>
      </c>
      <c r="AA45" s="283"/>
      <c r="AB45" s="284" t="n">
        <f aca="false">IF(AND(AB$4="RDEC", $Y45="Limited Company"), "", L45*$E45*$I45)</f>
        <v>0</v>
      </c>
      <c r="AC45" s="284" t="n">
        <f aca="false">IF(AND(AC$4="RDEC", $Y45="Limited Company"), "", M45*$E45*$I45)</f>
        <v>0</v>
      </c>
      <c r="AD45" s="284" t="n">
        <f aca="false">IF(AND(AD$4="RDEC", $Y45="Limited Company"), "", N45*$E45*$I45)</f>
        <v>0</v>
      </c>
      <c r="AE45" s="284" t="n">
        <f aca="false">IF(AND(AE$4="RDEC", $Y45="Limited Company"), "", O45*$E45*$I45)</f>
        <v>0</v>
      </c>
      <c r="AF45" s="284" t="n">
        <f aca="false">IF(AND(AF$4="RDEC", $Y45="Limited Company"), "", P45*$E45*$I45)</f>
        <v>0</v>
      </c>
      <c r="AG45" s="284" t="n">
        <f aca="false">IF(AND(AG$4="RDEC", $Y45="Limited Company"), "", Q45*$E45*$I45)</f>
        <v>0</v>
      </c>
      <c r="AH45" s="284" t="n">
        <f aca="false">IF(AND(AH$4="RDEC", $Y45="Limited Company"), "", R45*$E45*$I45)</f>
        <v>0</v>
      </c>
      <c r="AI45" s="284" t="n">
        <f aca="false">IF(AND(AI$4="RDEC", $Y45="Limited Company"), "", S45*$E45*$I45)</f>
        <v>0</v>
      </c>
      <c r="AJ45" s="284" t="n">
        <f aca="false">IF(AND(AJ$4="RDEC", $Y45="Limited Company"), "", T45*$E45*$I45)</f>
        <v>0</v>
      </c>
      <c r="AK45" s="284" t="n">
        <f aca="false">IF(AND(AK$4="RDEC", $Y45="Limited Company"), "", U45*$E45*$I45)</f>
        <v>0</v>
      </c>
      <c r="AL45" s="284" t="n">
        <f aca="false">IF(AND(AL$4="RDEC", $Y45="Limited Company"), "", V45*$E45*$I45)</f>
        <v>0</v>
      </c>
      <c r="AM45" s="284" t="n">
        <f aca="false">IF(AND(AM$4="RDEC", $Y45="Limited Company"), "", W45*$E45*$I45)</f>
        <v>0</v>
      </c>
      <c r="AN45" s="286" t="n">
        <f aca="false">IFERROR(SUMIF($AB$4:$AM$4, "RDEC", AB45:AM45), "")</f>
        <v>0</v>
      </c>
      <c r="AO45" s="286" t="str">
        <f aca="false">IFERROR((IF(Z45="Yes",SUMIF($AB$4:$AM$4,"SME",AB45:AM45),"")),"")</f>
        <v/>
      </c>
      <c r="AP45" s="286" t="n">
        <f aca="false">IFERROR((IF(Z45="No",SUMIF($AB$4:$AM$4,"SME",AB45:AM45),"")),"")</f>
        <v>0</v>
      </c>
      <c r="AQ45" s="286" t="n">
        <f aca="false">IFERROR(SUMIF($AB$4:$AM$4, "De Minimis", AB45:AM45), "")</f>
        <v>0</v>
      </c>
      <c r="AR45" s="283"/>
      <c r="AS45" s="284" t="n">
        <f aca="false">IFERROR(L45*$E45*$J45, "")</f>
        <v>0</v>
      </c>
      <c r="AT45" s="284" t="n">
        <f aca="false">IFERROR(M45*$E45*$J45, "")</f>
        <v>0</v>
      </c>
      <c r="AU45" s="284" t="n">
        <f aca="false">IFERROR(N45*$E45*$J45, "")</f>
        <v>0</v>
      </c>
      <c r="AV45" s="284" t="n">
        <f aca="false">IFERROR(O45*$E45*$J45, "")</f>
        <v>0</v>
      </c>
      <c r="AW45" s="284" t="n">
        <f aca="false">IFERROR(P45*$E45*$J45, "")</f>
        <v>0</v>
      </c>
      <c r="AX45" s="284" t="n">
        <f aca="false">IFERROR(Q45*$E45*$J45, "")</f>
        <v>0</v>
      </c>
      <c r="AY45" s="284" t="n">
        <f aca="false">IFERROR(R45*$E45*$J45, "")</f>
        <v>0</v>
      </c>
      <c r="AZ45" s="284" t="n">
        <f aca="false">IFERROR(S45*$E45*$J45, "")</f>
        <v>0</v>
      </c>
      <c r="BA45" s="284" t="n">
        <f aca="false">IFERROR(T45*$E45*$J45, "")</f>
        <v>0</v>
      </c>
      <c r="BB45" s="284" t="n">
        <f aca="false">IFERROR(U45*$E45*$J45, "")</f>
        <v>0</v>
      </c>
      <c r="BC45" s="284" t="n">
        <f aca="false">IFERROR(V45*$E45*$J45, "")</f>
        <v>0</v>
      </c>
      <c r="BD45" s="284" t="n">
        <f aca="false">IFERROR(W45*$E45*$J45, "")</f>
        <v>0</v>
      </c>
      <c r="BE45" s="286" t="n">
        <f aca="false">IFERROR(SUMIF($AB$4:$AM$4, "RDEC", AS45:BD45), "")</f>
        <v>0</v>
      </c>
      <c r="BF45" s="286" t="n">
        <f aca="false">IFERROR(SUMIF($AB$4:$AM$4, "SME", AS45:BD45), "")</f>
        <v>0</v>
      </c>
      <c r="BG45" s="286" t="n">
        <f aca="false">IFERROR(SUMIF($AB$4:$AM$4, "De Minimis", AS45:BD45), "")</f>
        <v>0</v>
      </c>
      <c r="BH45" s="287"/>
      <c r="BI45" s="288" t="str">
        <f aca="false">IF((SUM(L45:W45)&gt;1),"ERROR","")</f>
        <v/>
      </c>
    </row>
    <row r="46" customFormat="false" ht="15" hidden="false" customHeight="true" outlineLevel="0" collapsed="false">
      <c r="A46" s="340"/>
      <c r="B46" s="350"/>
      <c r="C46" s="350"/>
      <c r="H46" s="350"/>
      <c r="I46" s="279" t="n">
        <v>1</v>
      </c>
      <c r="J46" s="281" t="n">
        <f aca="false">1-I46</f>
        <v>0</v>
      </c>
      <c r="K46" s="32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2"/>
      <c r="X46" s="350"/>
      <c r="Y46" s="381"/>
      <c r="Z46" s="384" t="s">
        <v>71</v>
      </c>
      <c r="AA46" s="283"/>
      <c r="AB46" s="284" t="n">
        <f aca="false">IF(AND(AB$4="RDEC", $Y46="Limited Company"), "", L46*$E46*$I46)</f>
        <v>0</v>
      </c>
      <c r="AC46" s="284" t="n">
        <f aca="false">IF(AND(AC$4="RDEC", $Y46="Limited Company"), "", M46*$E46*$I46)</f>
        <v>0</v>
      </c>
      <c r="AD46" s="284" t="n">
        <f aca="false">IF(AND(AD$4="RDEC", $Y46="Limited Company"), "", N46*$E46*$I46)</f>
        <v>0</v>
      </c>
      <c r="AE46" s="284" t="n">
        <f aca="false">IF(AND(AE$4="RDEC", $Y46="Limited Company"), "", O46*$E46*$I46)</f>
        <v>0</v>
      </c>
      <c r="AF46" s="284" t="n">
        <f aca="false">IF(AND(AF$4="RDEC", $Y46="Limited Company"), "", P46*$E46*$I46)</f>
        <v>0</v>
      </c>
      <c r="AG46" s="284" t="n">
        <f aca="false">IF(AND(AG$4="RDEC", $Y46="Limited Company"), "", Q46*$E46*$I46)</f>
        <v>0</v>
      </c>
      <c r="AH46" s="284" t="n">
        <f aca="false">IF(AND(AH$4="RDEC", $Y46="Limited Company"), "", R46*$E46*$I46)</f>
        <v>0</v>
      </c>
      <c r="AI46" s="284" t="n">
        <f aca="false">IF(AND(AI$4="RDEC", $Y46="Limited Company"), "", S46*$E46*$I46)</f>
        <v>0</v>
      </c>
      <c r="AJ46" s="284" t="n">
        <f aca="false">IF(AND(AJ$4="RDEC", $Y46="Limited Company"), "", T46*$E46*$I46)</f>
        <v>0</v>
      </c>
      <c r="AK46" s="284" t="n">
        <f aca="false">IF(AND(AK$4="RDEC", $Y46="Limited Company"), "", U46*$E46*$I46)</f>
        <v>0</v>
      </c>
      <c r="AL46" s="284" t="n">
        <f aca="false">IF(AND(AL$4="RDEC", $Y46="Limited Company"), "", V46*$E46*$I46)</f>
        <v>0</v>
      </c>
      <c r="AM46" s="284" t="n">
        <f aca="false">IF(AND(AM$4="RDEC", $Y46="Limited Company"), "", W46*$E46*$I46)</f>
        <v>0</v>
      </c>
      <c r="AN46" s="286" t="n">
        <f aca="false">IFERROR(SUMIF($AB$4:$AM$4, "RDEC", AB46:AM46), "")</f>
        <v>0</v>
      </c>
      <c r="AO46" s="286" t="str">
        <f aca="false">IFERROR((IF(Z46="Yes",SUMIF($AB$4:$AM$4,"SME",AB46:AM46),"")),"")</f>
        <v/>
      </c>
      <c r="AP46" s="286" t="n">
        <f aca="false">IFERROR((IF(Z46="No",SUMIF($AB$4:$AM$4,"SME",AB46:AM46),"")),"")</f>
        <v>0</v>
      </c>
      <c r="AQ46" s="286" t="n">
        <f aca="false">IFERROR(SUMIF($AB$4:$AM$4, "De Minimis", AB46:AM46), "")</f>
        <v>0</v>
      </c>
      <c r="AR46" s="283"/>
      <c r="AS46" s="284" t="n">
        <f aca="false">IFERROR(L46*$E46*$J46, "")</f>
        <v>0</v>
      </c>
      <c r="AT46" s="284" t="n">
        <f aca="false">IFERROR(M46*$E46*$J46, "")</f>
        <v>0</v>
      </c>
      <c r="AU46" s="284" t="n">
        <f aca="false">IFERROR(N46*$E46*$J46, "")</f>
        <v>0</v>
      </c>
      <c r="AV46" s="284" t="n">
        <f aca="false">IFERROR(O46*$E46*$J46, "")</f>
        <v>0</v>
      </c>
      <c r="AW46" s="284" t="n">
        <f aca="false">IFERROR(P46*$E46*$J46, "")</f>
        <v>0</v>
      </c>
      <c r="AX46" s="284" t="n">
        <f aca="false">IFERROR(Q46*$E46*$J46, "")</f>
        <v>0</v>
      </c>
      <c r="AY46" s="284" t="n">
        <f aca="false">IFERROR(R46*$E46*$J46, "")</f>
        <v>0</v>
      </c>
      <c r="AZ46" s="284" t="n">
        <f aca="false">IFERROR(S46*$E46*$J46, "")</f>
        <v>0</v>
      </c>
      <c r="BA46" s="284" t="n">
        <f aca="false">IFERROR(T46*$E46*$J46, "")</f>
        <v>0</v>
      </c>
      <c r="BB46" s="284" t="n">
        <f aca="false">IFERROR(U46*$E46*$J46, "")</f>
        <v>0</v>
      </c>
      <c r="BC46" s="284" t="n">
        <f aca="false">IFERROR(V46*$E46*$J46, "")</f>
        <v>0</v>
      </c>
      <c r="BD46" s="284" t="n">
        <f aca="false">IFERROR(W46*$E46*$J46, "")</f>
        <v>0</v>
      </c>
      <c r="BE46" s="286" t="n">
        <f aca="false">IFERROR(SUMIF($AB$4:$AM$4, "RDEC", AS46:BD46), "")</f>
        <v>0</v>
      </c>
      <c r="BF46" s="286" t="n">
        <f aca="false">IFERROR(SUMIF($AB$4:$AM$4, "SME", AS46:BD46), "")</f>
        <v>0</v>
      </c>
      <c r="BG46" s="286" t="n">
        <f aca="false">IFERROR(SUMIF($AB$4:$AM$4, "De Minimis", AS46:BD46), "")</f>
        <v>0</v>
      </c>
      <c r="BH46" s="287"/>
      <c r="BI46" s="288" t="str">
        <f aca="false">IF((SUM(L46:W46)&gt;1),"ERROR","")</f>
        <v/>
      </c>
    </row>
    <row r="47" customFormat="false" ht="15" hidden="false" customHeight="true" outlineLevel="0" collapsed="false">
      <c r="A47" s="340"/>
      <c r="B47" s="350"/>
      <c r="C47" s="350"/>
      <c r="H47" s="350"/>
      <c r="I47" s="279" t="n">
        <v>1</v>
      </c>
      <c r="J47" s="281" t="n">
        <f aca="false">1-I47</f>
        <v>0</v>
      </c>
      <c r="K47" s="32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350"/>
      <c r="Y47" s="381"/>
      <c r="Z47" s="384" t="s">
        <v>71</v>
      </c>
      <c r="AA47" s="283"/>
      <c r="AB47" s="284" t="n">
        <f aca="false">IF(AND(AB$4="RDEC", $Y47="Limited Company"), "", L47*$E47*$I47)</f>
        <v>0</v>
      </c>
      <c r="AC47" s="284" t="n">
        <f aca="false">IF(AND(AC$4="RDEC", $Y47="Limited Company"), "", M47*$E47*$I47)</f>
        <v>0</v>
      </c>
      <c r="AD47" s="284" t="n">
        <f aca="false">IF(AND(AD$4="RDEC", $Y47="Limited Company"), "", N47*$E47*$I47)</f>
        <v>0</v>
      </c>
      <c r="AE47" s="284" t="n">
        <f aca="false">IF(AND(AE$4="RDEC", $Y47="Limited Company"), "", O47*$E47*$I47)</f>
        <v>0</v>
      </c>
      <c r="AF47" s="284" t="n">
        <f aca="false">IF(AND(AF$4="RDEC", $Y47="Limited Company"), "", P47*$E47*$I47)</f>
        <v>0</v>
      </c>
      <c r="AG47" s="284" t="n">
        <f aca="false">IF(AND(AG$4="RDEC", $Y47="Limited Company"), "", Q47*$E47*$I47)</f>
        <v>0</v>
      </c>
      <c r="AH47" s="284" t="n">
        <f aca="false">IF(AND(AH$4="RDEC", $Y47="Limited Company"), "", R47*$E47*$I47)</f>
        <v>0</v>
      </c>
      <c r="AI47" s="284" t="n">
        <f aca="false">IF(AND(AI$4="RDEC", $Y47="Limited Company"), "", S47*$E47*$I47)</f>
        <v>0</v>
      </c>
      <c r="AJ47" s="284" t="n">
        <f aca="false">IF(AND(AJ$4="RDEC", $Y47="Limited Company"), "", T47*$E47*$I47)</f>
        <v>0</v>
      </c>
      <c r="AK47" s="284" t="n">
        <f aca="false">IF(AND(AK$4="RDEC", $Y47="Limited Company"), "", U47*$E47*$I47)</f>
        <v>0</v>
      </c>
      <c r="AL47" s="284" t="n">
        <f aca="false">IF(AND(AL$4="RDEC", $Y47="Limited Company"), "", V47*$E47*$I47)</f>
        <v>0</v>
      </c>
      <c r="AM47" s="284" t="n">
        <f aca="false">IF(AND(AM$4="RDEC", $Y47="Limited Company"), "", W47*$E47*$I47)</f>
        <v>0</v>
      </c>
      <c r="AN47" s="286" t="n">
        <f aca="false">IFERROR(SUMIF($AB$4:$AM$4, "RDEC", AB47:AM47), "")</f>
        <v>0</v>
      </c>
      <c r="AO47" s="286" t="str">
        <f aca="false">IFERROR((IF(Z47="Yes",SUMIF($AB$4:$AM$4,"SME",AB47:AM47),"")),"")</f>
        <v/>
      </c>
      <c r="AP47" s="286" t="n">
        <f aca="false">IFERROR((IF(Z47="No",SUMIF($AB$4:$AM$4,"SME",AB47:AM47),"")),"")</f>
        <v>0</v>
      </c>
      <c r="AQ47" s="286" t="n">
        <f aca="false">IFERROR(SUMIF($AB$4:$AM$4, "De Minimis", AB47:AM47), "")</f>
        <v>0</v>
      </c>
      <c r="AR47" s="283"/>
      <c r="AS47" s="284" t="n">
        <f aca="false">IFERROR(L47*$E47*$J47, "")</f>
        <v>0</v>
      </c>
      <c r="AT47" s="284" t="n">
        <f aca="false">IFERROR(M47*$E47*$J47, "")</f>
        <v>0</v>
      </c>
      <c r="AU47" s="284" t="n">
        <f aca="false">IFERROR(N47*$E47*$J47, "")</f>
        <v>0</v>
      </c>
      <c r="AV47" s="284" t="n">
        <f aca="false">IFERROR(O47*$E47*$J47, "")</f>
        <v>0</v>
      </c>
      <c r="AW47" s="284" t="n">
        <f aca="false">IFERROR(P47*$E47*$J47, "")</f>
        <v>0</v>
      </c>
      <c r="AX47" s="284" t="n">
        <f aca="false">IFERROR(Q47*$E47*$J47, "")</f>
        <v>0</v>
      </c>
      <c r="AY47" s="284" t="n">
        <f aca="false">IFERROR(R47*$E47*$J47, "")</f>
        <v>0</v>
      </c>
      <c r="AZ47" s="284" t="n">
        <f aca="false">IFERROR(S47*$E47*$J47, "")</f>
        <v>0</v>
      </c>
      <c r="BA47" s="284" t="n">
        <f aca="false">IFERROR(T47*$E47*$J47, "")</f>
        <v>0</v>
      </c>
      <c r="BB47" s="284" t="n">
        <f aca="false">IFERROR(U47*$E47*$J47, "")</f>
        <v>0</v>
      </c>
      <c r="BC47" s="284" t="n">
        <f aca="false">IFERROR(V47*$E47*$J47, "")</f>
        <v>0</v>
      </c>
      <c r="BD47" s="284" t="n">
        <f aca="false">IFERROR(W47*$E47*$J47, "")</f>
        <v>0</v>
      </c>
      <c r="BE47" s="286" t="n">
        <f aca="false">IFERROR(SUMIF($AB$4:$AM$4, "RDEC", AS47:BD47), "")</f>
        <v>0</v>
      </c>
      <c r="BF47" s="286" t="n">
        <f aca="false">IFERROR(SUMIF($AB$4:$AM$4, "SME", AS47:BD47), "")</f>
        <v>0</v>
      </c>
      <c r="BG47" s="286" t="n">
        <f aca="false">IFERROR(SUMIF($AB$4:$AM$4, "De Minimis", AS47:BD47), "")</f>
        <v>0</v>
      </c>
      <c r="BH47" s="287"/>
      <c r="BI47" s="288" t="str">
        <f aca="false">IF((SUM(L47:W47)&gt;1),"ERROR","")</f>
        <v/>
      </c>
    </row>
    <row r="48" customFormat="false" ht="15" hidden="false" customHeight="true" outlineLevel="0" collapsed="false">
      <c r="A48" s="340"/>
      <c r="B48" s="350"/>
      <c r="C48" s="350"/>
      <c r="H48" s="350"/>
      <c r="I48" s="279" t="n">
        <v>1</v>
      </c>
      <c r="J48" s="281" t="n">
        <f aca="false">1-I48</f>
        <v>0</v>
      </c>
      <c r="K48" s="32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350"/>
      <c r="Y48" s="381"/>
      <c r="Z48" s="384" t="s">
        <v>71</v>
      </c>
      <c r="AA48" s="283"/>
      <c r="AB48" s="284" t="n">
        <f aca="false">IF(AND(AB$4="RDEC", $Y48="Limited Company"), "", L48*$E48*$I48)</f>
        <v>0</v>
      </c>
      <c r="AC48" s="284" t="n">
        <f aca="false">IF(AND(AC$4="RDEC", $Y48="Limited Company"), "", M48*$E48*$I48)</f>
        <v>0</v>
      </c>
      <c r="AD48" s="284" t="n">
        <f aca="false">IF(AND(AD$4="RDEC", $Y48="Limited Company"), "", N48*$E48*$I48)</f>
        <v>0</v>
      </c>
      <c r="AE48" s="284" t="n">
        <f aca="false">IF(AND(AE$4="RDEC", $Y48="Limited Company"), "", O48*$E48*$I48)</f>
        <v>0</v>
      </c>
      <c r="AF48" s="284" t="n">
        <f aca="false">IF(AND(AF$4="RDEC", $Y48="Limited Company"), "", P48*$E48*$I48)</f>
        <v>0</v>
      </c>
      <c r="AG48" s="284" t="n">
        <f aca="false">IF(AND(AG$4="RDEC", $Y48="Limited Company"), "", Q48*$E48*$I48)</f>
        <v>0</v>
      </c>
      <c r="AH48" s="284" t="n">
        <f aca="false">IF(AND(AH$4="RDEC", $Y48="Limited Company"), "", R48*$E48*$I48)</f>
        <v>0</v>
      </c>
      <c r="AI48" s="284" t="n">
        <f aca="false">IF(AND(AI$4="RDEC", $Y48="Limited Company"), "", S48*$E48*$I48)</f>
        <v>0</v>
      </c>
      <c r="AJ48" s="284" t="n">
        <f aca="false">IF(AND(AJ$4="RDEC", $Y48="Limited Company"), "", T48*$E48*$I48)</f>
        <v>0</v>
      </c>
      <c r="AK48" s="284" t="n">
        <f aca="false">IF(AND(AK$4="RDEC", $Y48="Limited Company"), "", U48*$E48*$I48)</f>
        <v>0</v>
      </c>
      <c r="AL48" s="284" t="n">
        <f aca="false">IF(AND(AL$4="RDEC", $Y48="Limited Company"), "", V48*$E48*$I48)</f>
        <v>0</v>
      </c>
      <c r="AM48" s="284" t="n">
        <f aca="false">IF(AND(AM$4="RDEC", $Y48="Limited Company"), "", W48*$E48*$I48)</f>
        <v>0</v>
      </c>
      <c r="AN48" s="286" t="n">
        <f aca="false">IFERROR(SUMIF($AB$4:$AM$4, "RDEC", AB48:AM48), "")</f>
        <v>0</v>
      </c>
      <c r="AO48" s="286" t="str">
        <f aca="false">IFERROR((IF(Z48="Yes",SUMIF($AB$4:$AM$4,"SME",AB48:AM48),"")),"")</f>
        <v/>
      </c>
      <c r="AP48" s="286" t="n">
        <f aca="false">IFERROR((IF(Z48="No",SUMIF($AB$4:$AM$4,"SME",AB48:AM48),"")),"")</f>
        <v>0</v>
      </c>
      <c r="AQ48" s="286" t="n">
        <f aca="false">IFERROR(SUMIF($AB$4:$AM$4, "De Minimis", AB48:AM48), "")</f>
        <v>0</v>
      </c>
      <c r="AR48" s="283"/>
      <c r="AS48" s="284" t="n">
        <f aca="false">IFERROR(L48*$E48*$J48, "")</f>
        <v>0</v>
      </c>
      <c r="AT48" s="284" t="n">
        <f aca="false">IFERROR(M48*$E48*$J48, "")</f>
        <v>0</v>
      </c>
      <c r="AU48" s="284" t="n">
        <f aca="false">IFERROR(N48*$E48*$J48, "")</f>
        <v>0</v>
      </c>
      <c r="AV48" s="284" t="n">
        <f aca="false">IFERROR(O48*$E48*$J48, "")</f>
        <v>0</v>
      </c>
      <c r="AW48" s="284" t="n">
        <f aca="false">IFERROR(P48*$E48*$J48, "")</f>
        <v>0</v>
      </c>
      <c r="AX48" s="284" t="n">
        <f aca="false">IFERROR(Q48*$E48*$J48, "")</f>
        <v>0</v>
      </c>
      <c r="AY48" s="284" t="n">
        <f aca="false">IFERROR(R48*$E48*$J48, "")</f>
        <v>0</v>
      </c>
      <c r="AZ48" s="284" t="n">
        <f aca="false">IFERROR(S48*$E48*$J48, "")</f>
        <v>0</v>
      </c>
      <c r="BA48" s="284" t="n">
        <f aca="false">IFERROR(T48*$E48*$J48, "")</f>
        <v>0</v>
      </c>
      <c r="BB48" s="284" t="n">
        <f aca="false">IFERROR(U48*$E48*$J48, "")</f>
        <v>0</v>
      </c>
      <c r="BC48" s="284" t="n">
        <f aca="false">IFERROR(V48*$E48*$J48, "")</f>
        <v>0</v>
      </c>
      <c r="BD48" s="284" t="n">
        <f aca="false">IFERROR(W48*$E48*$J48, "")</f>
        <v>0</v>
      </c>
      <c r="BE48" s="286" t="n">
        <f aca="false">IFERROR(SUMIF($AB$4:$AM$4, "RDEC", AS48:BD48), "")</f>
        <v>0</v>
      </c>
      <c r="BF48" s="286" t="n">
        <f aca="false">IFERROR(SUMIF($AB$4:$AM$4, "SME", AS48:BD48), "")</f>
        <v>0</v>
      </c>
      <c r="BG48" s="286" t="n">
        <f aca="false">IFERROR(SUMIF($AB$4:$AM$4, "De Minimis", AS48:BD48), "")</f>
        <v>0</v>
      </c>
      <c r="BH48" s="287"/>
      <c r="BI48" s="288" t="str">
        <f aca="false">IF((SUM(L48:W48)&gt;1),"ERROR","")</f>
        <v/>
      </c>
    </row>
    <row r="49" customFormat="false" ht="15" hidden="false" customHeight="true" outlineLevel="0" collapsed="false">
      <c r="A49" s="340"/>
      <c r="B49" s="350"/>
      <c r="C49" s="350"/>
      <c r="H49" s="350"/>
      <c r="I49" s="279" t="n">
        <v>1</v>
      </c>
      <c r="J49" s="281" t="n">
        <f aca="false">1-I49</f>
        <v>0</v>
      </c>
      <c r="K49" s="322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350"/>
      <c r="Y49" s="381"/>
      <c r="Z49" s="384" t="s">
        <v>71</v>
      </c>
      <c r="AA49" s="283"/>
      <c r="AB49" s="284" t="n">
        <f aca="false">IF(AND(AB$4="RDEC", $Y49="Limited Company"), "", L49*$E49*$I49)</f>
        <v>0</v>
      </c>
      <c r="AC49" s="284" t="n">
        <f aca="false">IF(AND(AC$4="RDEC", $Y49="Limited Company"), "", M49*$E49*$I49)</f>
        <v>0</v>
      </c>
      <c r="AD49" s="284" t="n">
        <f aca="false">IF(AND(AD$4="RDEC", $Y49="Limited Company"), "", N49*$E49*$I49)</f>
        <v>0</v>
      </c>
      <c r="AE49" s="284" t="n">
        <f aca="false">IF(AND(AE$4="RDEC", $Y49="Limited Company"), "", O49*$E49*$I49)</f>
        <v>0</v>
      </c>
      <c r="AF49" s="284" t="n">
        <f aca="false">IF(AND(AF$4="RDEC", $Y49="Limited Company"), "", P49*$E49*$I49)</f>
        <v>0</v>
      </c>
      <c r="AG49" s="284" t="n">
        <f aca="false">IF(AND(AG$4="RDEC", $Y49="Limited Company"), "", Q49*$E49*$I49)</f>
        <v>0</v>
      </c>
      <c r="AH49" s="284" t="n">
        <f aca="false">IF(AND(AH$4="RDEC", $Y49="Limited Company"), "", R49*$E49*$I49)</f>
        <v>0</v>
      </c>
      <c r="AI49" s="284" t="n">
        <f aca="false">IF(AND(AI$4="RDEC", $Y49="Limited Company"), "", S49*$E49*$I49)</f>
        <v>0</v>
      </c>
      <c r="AJ49" s="284" t="n">
        <f aca="false">IF(AND(AJ$4="RDEC", $Y49="Limited Company"), "", T49*$E49*$I49)</f>
        <v>0</v>
      </c>
      <c r="AK49" s="284" t="n">
        <f aca="false">IF(AND(AK$4="RDEC", $Y49="Limited Company"), "", U49*$E49*$I49)</f>
        <v>0</v>
      </c>
      <c r="AL49" s="284" t="n">
        <f aca="false">IF(AND(AL$4="RDEC", $Y49="Limited Company"), "", V49*$E49*$I49)</f>
        <v>0</v>
      </c>
      <c r="AM49" s="284" t="n">
        <f aca="false">IF(AND(AM$4="RDEC", $Y49="Limited Company"), "", W49*$E49*$I49)</f>
        <v>0</v>
      </c>
      <c r="AN49" s="286" t="n">
        <f aca="false">IFERROR(SUMIF($AB$4:$AM$4, "RDEC", AB49:AM49), "")</f>
        <v>0</v>
      </c>
      <c r="AO49" s="286" t="str">
        <f aca="false">IFERROR((IF(Z49="Yes",SUMIF($AB$4:$AM$4,"SME",AB49:AM49),"")),"")</f>
        <v/>
      </c>
      <c r="AP49" s="286" t="n">
        <f aca="false">IFERROR((IF(Z49="No",SUMIF($AB$4:$AM$4,"SME",AB49:AM49),"")),"")</f>
        <v>0</v>
      </c>
      <c r="AQ49" s="286" t="n">
        <f aca="false">IFERROR(SUMIF($AB$4:$AM$4, "De Minimis", AB49:AM49), "")</f>
        <v>0</v>
      </c>
      <c r="AR49" s="283"/>
      <c r="AS49" s="284" t="n">
        <f aca="false">IFERROR(L49*$E49*$J49, "")</f>
        <v>0</v>
      </c>
      <c r="AT49" s="284" t="n">
        <f aca="false">IFERROR(M49*$E49*$J49, "")</f>
        <v>0</v>
      </c>
      <c r="AU49" s="284" t="n">
        <f aca="false">IFERROR(N49*$E49*$J49, "")</f>
        <v>0</v>
      </c>
      <c r="AV49" s="284" t="n">
        <f aca="false">IFERROR(O49*$E49*$J49, "")</f>
        <v>0</v>
      </c>
      <c r="AW49" s="284" t="n">
        <f aca="false">IFERROR(P49*$E49*$J49, "")</f>
        <v>0</v>
      </c>
      <c r="AX49" s="284" t="n">
        <f aca="false">IFERROR(Q49*$E49*$J49, "")</f>
        <v>0</v>
      </c>
      <c r="AY49" s="284" t="n">
        <f aca="false">IFERROR(R49*$E49*$J49, "")</f>
        <v>0</v>
      </c>
      <c r="AZ49" s="284" t="n">
        <f aca="false">IFERROR(S49*$E49*$J49, "")</f>
        <v>0</v>
      </c>
      <c r="BA49" s="284" t="n">
        <f aca="false">IFERROR(T49*$E49*$J49, "")</f>
        <v>0</v>
      </c>
      <c r="BB49" s="284" t="n">
        <f aca="false">IFERROR(U49*$E49*$J49, "")</f>
        <v>0</v>
      </c>
      <c r="BC49" s="284" t="n">
        <f aca="false">IFERROR(V49*$E49*$J49, "")</f>
        <v>0</v>
      </c>
      <c r="BD49" s="284" t="n">
        <f aca="false">IFERROR(W49*$E49*$J49, "")</f>
        <v>0</v>
      </c>
      <c r="BE49" s="286" t="n">
        <f aca="false">IFERROR(SUMIF($AB$4:$AM$4, "RDEC", AS49:BD49), "")</f>
        <v>0</v>
      </c>
      <c r="BF49" s="286" t="n">
        <f aca="false">IFERROR(SUMIF($AB$4:$AM$4, "SME", AS49:BD49), "")</f>
        <v>0</v>
      </c>
      <c r="BG49" s="286" t="n">
        <f aca="false">IFERROR(SUMIF($AB$4:$AM$4, "De Minimis", AS49:BD49), "")</f>
        <v>0</v>
      </c>
      <c r="BH49" s="303"/>
      <c r="BI49" s="288" t="str">
        <f aca="false">IF((SUM(L49:W49)&gt;1),"ERROR","")</f>
        <v/>
      </c>
    </row>
    <row r="50" customFormat="false" ht="15" hidden="false" customHeight="true" outlineLevel="0" collapsed="false">
      <c r="A50" s="340"/>
      <c r="B50" s="350"/>
      <c r="C50" s="350"/>
      <c r="H50" s="350"/>
      <c r="I50" s="279" t="n">
        <v>1</v>
      </c>
      <c r="J50" s="281" t="n">
        <f aca="false">1-I50</f>
        <v>0</v>
      </c>
      <c r="K50" s="32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350"/>
      <c r="Y50" s="381"/>
      <c r="Z50" s="384" t="s">
        <v>71</v>
      </c>
      <c r="AA50" s="283"/>
      <c r="AB50" s="284" t="n">
        <f aca="false">IF(AND(AB$4="RDEC", $Y50="Limited Company"), "", L50*$E50*$I50)</f>
        <v>0</v>
      </c>
      <c r="AC50" s="284" t="n">
        <f aca="false">IF(AND(AC$4="RDEC", $Y50="Limited Company"), "", M50*$E50*$I50)</f>
        <v>0</v>
      </c>
      <c r="AD50" s="284" t="n">
        <f aca="false">IF(AND(AD$4="RDEC", $Y50="Limited Company"), "", N50*$E50*$I50)</f>
        <v>0</v>
      </c>
      <c r="AE50" s="284" t="n">
        <f aca="false">IF(AND(AE$4="RDEC", $Y50="Limited Company"), "", O50*$E50*$I50)</f>
        <v>0</v>
      </c>
      <c r="AF50" s="284" t="n">
        <f aca="false">IF(AND(AF$4="RDEC", $Y50="Limited Company"), "", P50*$E50*$I50)</f>
        <v>0</v>
      </c>
      <c r="AG50" s="284" t="n">
        <f aca="false">IF(AND(AG$4="RDEC", $Y50="Limited Company"), "", Q50*$E50*$I50)</f>
        <v>0</v>
      </c>
      <c r="AH50" s="284" t="n">
        <f aca="false">IF(AND(AH$4="RDEC", $Y50="Limited Company"), "", R50*$E50*$I50)</f>
        <v>0</v>
      </c>
      <c r="AI50" s="284" t="n">
        <f aca="false">IF(AND(AI$4="RDEC", $Y50="Limited Company"), "", S50*$E50*$I50)</f>
        <v>0</v>
      </c>
      <c r="AJ50" s="284" t="n">
        <f aca="false">IF(AND(AJ$4="RDEC", $Y50="Limited Company"), "", T50*$E50*$I50)</f>
        <v>0</v>
      </c>
      <c r="AK50" s="284" t="n">
        <f aca="false">IF(AND(AK$4="RDEC", $Y50="Limited Company"), "", U50*$E50*$I50)</f>
        <v>0</v>
      </c>
      <c r="AL50" s="284" t="n">
        <f aca="false">IF(AND(AL$4="RDEC", $Y50="Limited Company"), "", V50*$E50*$I50)</f>
        <v>0</v>
      </c>
      <c r="AM50" s="284" t="n">
        <f aca="false">IF(AND(AM$4="RDEC", $Y50="Limited Company"), "", W50*$E50*$I50)</f>
        <v>0</v>
      </c>
      <c r="AN50" s="286" t="n">
        <f aca="false">IFERROR(SUMIF($AB$4:$AM$4, "RDEC", AB50:AM50), "")</f>
        <v>0</v>
      </c>
      <c r="AO50" s="286" t="str">
        <f aca="false">IFERROR((IF(Z50="Yes",SUMIF($AB$4:$AM$4,"SME",AB50:AM50),"")),"")</f>
        <v/>
      </c>
      <c r="AP50" s="286" t="n">
        <f aca="false">IFERROR((IF(Z50="No",SUMIF($AB$4:$AM$4,"SME",AB50:AM50),"")),"")</f>
        <v>0</v>
      </c>
      <c r="AQ50" s="286" t="n">
        <f aca="false">IFERROR(SUMIF($AB$4:$AM$4, "De Minimis", AB50:AM50), "")</f>
        <v>0</v>
      </c>
      <c r="AR50" s="283"/>
      <c r="AS50" s="284" t="n">
        <f aca="false">IFERROR(L50*$E50*$J50, "")</f>
        <v>0</v>
      </c>
      <c r="AT50" s="284" t="n">
        <f aca="false">IFERROR(M50*$E50*$J50, "")</f>
        <v>0</v>
      </c>
      <c r="AU50" s="284" t="n">
        <f aca="false">IFERROR(N50*$E50*$J50, "")</f>
        <v>0</v>
      </c>
      <c r="AV50" s="284" t="n">
        <f aca="false">IFERROR(O50*$E50*$J50, "")</f>
        <v>0</v>
      </c>
      <c r="AW50" s="284" t="n">
        <f aca="false">IFERROR(P50*$E50*$J50, "")</f>
        <v>0</v>
      </c>
      <c r="AX50" s="284" t="n">
        <f aca="false">IFERROR(Q50*$E50*$J50, "")</f>
        <v>0</v>
      </c>
      <c r="AY50" s="284" t="n">
        <f aca="false">IFERROR(R50*$E50*$J50, "")</f>
        <v>0</v>
      </c>
      <c r="AZ50" s="284" t="n">
        <f aca="false">IFERROR(S50*$E50*$J50, "")</f>
        <v>0</v>
      </c>
      <c r="BA50" s="284" t="n">
        <f aca="false">IFERROR(T50*$E50*$J50, "")</f>
        <v>0</v>
      </c>
      <c r="BB50" s="284" t="n">
        <f aca="false">IFERROR(U50*$E50*$J50, "")</f>
        <v>0</v>
      </c>
      <c r="BC50" s="284" t="n">
        <f aca="false">IFERROR(V50*$E50*$J50, "")</f>
        <v>0</v>
      </c>
      <c r="BD50" s="284" t="n">
        <f aca="false">IFERROR(W50*$E50*$J50, "")</f>
        <v>0</v>
      </c>
      <c r="BE50" s="286" t="n">
        <f aca="false">IFERROR(SUMIF($AB$4:$AM$4, "RDEC", AS50:BD50), "")</f>
        <v>0</v>
      </c>
      <c r="BF50" s="286" t="n">
        <f aca="false">IFERROR(SUMIF($AB$4:$AM$4, "SME", AS50:BD50), "")</f>
        <v>0</v>
      </c>
      <c r="BG50" s="286" t="n">
        <f aca="false">IFERROR(SUMIF($AB$4:$AM$4, "De Minimis", AS50:BD50), "")</f>
        <v>0</v>
      </c>
      <c r="BI50" s="288" t="str">
        <f aca="false">IF((SUM(L50:W50)&gt;1),"ERROR","")</f>
        <v/>
      </c>
    </row>
    <row r="51" customFormat="false" ht="15" hidden="false" customHeight="true" outlineLevel="0" collapsed="false">
      <c r="A51" s="340"/>
      <c r="B51" s="350"/>
      <c r="C51" s="350"/>
      <c r="H51" s="350"/>
      <c r="I51" s="279" t="n">
        <v>1</v>
      </c>
      <c r="J51" s="281" t="n">
        <f aca="false">1-I51</f>
        <v>0</v>
      </c>
      <c r="K51" s="32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350"/>
      <c r="Y51" s="381"/>
      <c r="Z51" s="384" t="s">
        <v>71</v>
      </c>
      <c r="AA51" s="283"/>
      <c r="AB51" s="284" t="n">
        <f aca="false">IF(AND(AB$4="RDEC", $Y51="Limited Company"), "", L51*$E51*$I51)</f>
        <v>0</v>
      </c>
      <c r="AC51" s="284" t="n">
        <f aca="false">IF(AND(AC$4="RDEC", $Y51="Limited Company"), "", M51*$E51*$I51)</f>
        <v>0</v>
      </c>
      <c r="AD51" s="284" t="n">
        <f aca="false">IF(AND(AD$4="RDEC", $Y51="Limited Company"), "", N51*$E51*$I51)</f>
        <v>0</v>
      </c>
      <c r="AE51" s="284" t="n">
        <f aca="false">IF(AND(AE$4="RDEC", $Y51="Limited Company"), "", O51*$E51*$I51)</f>
        <v>0</v>
      </c>
      <c r="AF51" s="284" t="n">
        <f aca="false">IF(AND(AF$4="RDEC", $Y51="Limited Company"), "", P51*$E51*$I51)</f>
        <v>0</v>
      </c>
      <c r="AG51" s="284" t="n">
        <f aca="false">IF(AND(AG$4="RDEC", $Y51="Limited Company"), "", Q51*$E51*$I51)</f>
        <v>0</v>
      </c>
      <c r="AH51" s="284" t="n">
        <f aca="false">IF(AND(AH$4="RDEC", $Y51="Limited Company"), "", R51*$E51*$I51)</f>
        <v>0</v>
      </c>
      <c r="AI51" s="284" t="n">
        <f aca="false">IF(AND(AI$4="RDEC", $Y51="Limited Company"), "", S51*$E51*$I51)</f>
        <v>0</v>
      </c>
      <c r="AJ51" s="284" t="n">
        <f aca="false">IF(AND(AJ$4="RDEC", $Y51="Limited Company"), "", T51*$E51*$I51)</f>
        <v>0</v>
      </c>
      <c r="AK51" s="284" t="n">
        <f aca="false">IF(AND(AK$4="RDEC", $Y51="Limited Company"), "", U51*$E51*$I51)</f>
        <v>0</v>
      </c>
      <c r="AL51" s="284" t="n">
        <f aca="false">IF(AND(AL$4="RDEC", $Y51="Limited Company"), "", V51*$E51*$I51)</f>
        <v>0</v>
      </c>
      <c r="AM51" s="284" t="n">
        <f aca="false">IF(AND(AM$4="RDEC", $Y51="Limited Company"), "", W51*$E51*$I51)</f>
        <v>0</v>
      </c>
      <c r="AN51" s="286" t="n">
        <f aca="false">IFERROR(SUMIF($AB$4:$AM$4, "RDEC", AB51:AM51), "")</f>
        <v>0</v>
      </c>
      <c r="AO51" s="286" t="str">
        <f aca="false">IFERROR((IF(Z51="Yes",SUMIF($AB$4:$AM$4,"SME",AB51:AM51),"")),"")</f>
        <v/>
      </c>
      <c r="AP51" s="286" t="n">
        <f aca="false">IFERROR((IF(Z51="No",SUMIF($AB$4:$AM$4,"SME",AB51:AM51),"")),"")</f>
        <v>0</v>
      </c>
      <c r="AQ51" s="286" t="n">
        <f aca="false">IFERROR(SUMIF($AB$4:$AM$4, "De Minimis", AB51:AM51), "")</f>
        <v>0</v>
      </c>
      <c r="AR51" s="283"/>
      <c r="AS51" s="284" t="n">
        <f aca="false">IFERROR(L51*$E51*$J51, "")</f>
        <v>0</v>
      </c>
      <c r="AT51" s="284" t="n">
        <f aca="false">IFERROR(M51*$E51*$J51, "")</f>
        <v>0</v>
      </c>
      <c r="AU51" s="284" t="n">
        <f aca="false">IFERROR(N51*$E51*$J51, "")</f>
        <v>0</v>
      </c>
      <c r="AV51" s="284" t="n">
        <f aca="false">IFERROR(O51*$E51*$J51, "")</f>
        <v>0</v>
      </c>
      <c r="AW51" s="284" t="n">
        <f aca="false">IFERROR(P51*$E51*$J51, "")</f>
        <v>0</v>
      </c>
      <c r="AX51" s="284" t="n">
        <f aca="false">IFERROR(Q51*$E51*$J51, "")</f>
        <v>0</v>
      </c>
      <c r="AY51" s="284" t="n">
        <f aca="false">IFERROR(R51*$E51*$J51, "")</f>
        <v>0</v>
      </c>
      <c r="AZ51" s="284" t="n">
        <f aca="false">IFERROR(S51*$E51*$J51, "")</f>
        <v>0</v>
      </c>
      <c r="BA51" s="284" t="n">
        <f aca="false">IFERROR(T51*$E51*$J51, "")</f>
        <v>0</v>
      </c>
      <c r="BB51" s="284" t="n">
        <f aca="false">IFERROR(U51*$E51*$J51, "")</f>
        <v>0</v>
      </c>
      <c r="BC51" s="284" t="n">
        <f aca="false">IFERROR(V51*$E51*$J51, "")</f>
        <v>0</v>
      </c>
      <c r="BD51" s="284" t="n">
        <f aca="false">IFERROR(W51*$E51*$J51, "")</f>
        <v>0</v>
      </c>
      <c r="BE51" s="286" t="n">
        <f aca="false">IFERROR(SUMIF($AB$4:$AM$4, "RDEC", AS51:BD51), "")</f>
        <v>0</v>
      </c>
      <c r="BF51" s="286" t="n">
        <f aca="false">IFERROR(SUMIF($AB$4:$AM$4, "SME", AS51:BD51), "")</f>
        <v>0</v>
      </c>
      <c r="BG51" s="286" t="n">
        <f aca="false">IFERROR(SUMIF($AB$4:$AM$4, "De Minimis", AS51:BD51), "")</f>
        <v>0</v>
      </c>
      <c r="BH51" s="268"/>
      <c r="BI51" s="288" t="str">
        <f aca="false">IF((SUM(L51:W51)&gt;1),"ERROR","")</f>
        <v/>
      </c>
    </row>
    <row r="52" customFormat="false" ht="15" hidden="false" customHeight="true" outlineLevel="0" collapsed="false">
      <c r="A52" s="340"/>
      <c r="B52" s="350"/>
      <c r="C52" s="350"/>
      <c r="H52" s="350"/>
      <c r="I52" s="279" t="n">
        <v>1</v>
      </c>
      <c r="J52" s="281" t="n">
        <f aca="false">1-I52</f>
        <v>0</v>
      </c>
      <c r="K52" s="32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350"/>
      <c r="Y52" s="381"/>
      <c r="Z52" s="384" t="s">
        <v>71</v>
      </c>
      <c r="AA52" s="283"/>
      <c r="AB52" s="284" t="n">
        <f aca="false">IF(AND(AB$4="RDEC", $Y52="Limited Company"), "", L52*$E52*$I52)</f>
        <v>0</v>
      </c>
      <c r="AC52" s="284" t="n">
        <f aca="false">IF(AND(AC$4="RDEC", $Y52="Limited Company"), "", M52*$E52*$I52)</f>
        <v>0</v>
      </c>
      <c r="AD52" s="284" t="n">
        <f aca="false">IF(AND(AD$4="RDEC", $Y52="Limited Company"), "", N52*$E52*$I52)</f>
        <v>0</v>
      </c>
      <c r="AE52" s="284" t="n">
        <f aca="false">IF(AND(AE$4="RDEC", $Y52="Limited Company"), "", O52*$E52*$I52)</f>
        <v>0</v>
      </c>
      <c r="AF52" s="284" t="n">
        <f aca="false">IF(AND(AF$4="RDEC", $Y52="Limited Company"), "", P52*$E52*$I52)</f>
        <v>0</v>
      </c>
      <c r="AG52" s="284" t="n">
        <f aca="false">IF(AND(AG$4="RDEC", $Y52="Limited Company"), "", Q52*$E52*$I52)</f>
        <v>0</v>
      </c>
      <c r="AH52" s="284" t="n">
        <f aca="false">IF(AND(AH$4="RDEC", $Y52="Limited Company"), "", R52*$E52*$I52)</f>
        <v>0</v>
      </c>
      <c r="AI52" s="284" t="n">
        <f aca="false">IF(AND(AI$4="RDEC", $Y52="Limited Company"), "", S52*$E52*$I52)</f>
        <v>0</v>
      </c>
      <c r="AJ52" s="284" t="n">
        <f aca="false">IF(AND(AJ$4="RDEC", $Y52="Limited Company"), "", T52*$E52*$I52)</f>
        <v>0</v>
      </c>
      <c r="AK52" s="284" t="n">
        <f aca="false">IF(AND(AK$4="RDEC", $Y52="Limited Company"), "", U52*$E52*$I52)</f>
        <v>0</v>
      </c>
      <c r="AL52" s="284" t="n">
        <f aca="false">IF(AND(AL$4="RDEC", $Y52="Limited Company"), "", V52*$E52*$I52)</f>
        <v>0</v>
      </c>
      <c r="AM52" s="284" t="n">
        <f aca="false">IF(AND(AM$4="RDEC", $Y52="Limited Company"), "", W52*$E52*$I52)</f>
        <v>0</v>
      </c>
      <c r="AN52" s="286" t="n">
        <f aca="false">IFERROR(SUMIF($AB$4:$AM$4, "RDEC", AB52:AM52), "")</f>
        <v>0</v>
      </c>
      <c r="AO52" s="286" t="str">
        <f aca="false">IFERROR((IF(Z52="Yes",SUMIF($AB$4:$AM$4,"SME",AB52:AM52),"")),"")</f>
        <v/>
      </c>
      <c r="AP52" s="286" t="n">
        <f aca="false">IFERROR((IF(Z52="No",SUMIF($AB$4:$AM$4,"SME",AB52:AM52),"")),"")</f>
        <v>0</v>
      </c>
      <c r="AQ52" s="286" t="n">
        <f aca="false">IFERROR(SUMIF($AB$4:$AM$4, "De Minimis", AB52:AM52), "")</f>
        <v>0</v>
      </c>
      <c r="AR52" s="283"/>
      <c r="AS52" s="284" t="n">
        <f aca="false">IFERROR(L52*$E52*$J52, "")</f>
        <v>0</v>
      </c>
      <c r="AT52" s="284" t="n">
        <f aca="false">IFERROR(M52*$E52*$J52, "")</f>
        <v>0</v>
      </c>
      <c r="AU52" s="284" t="n">
        <f aca="false">IFERROR(N52*$E52*$J52, "")</f>
        <v>0</v>
      </c>
      <c r="AV52" s="284" t="n">
        <f aca="false">IFERROR(O52*$E52*$J52, "")</f>
        <v>0</v>
      </c>
      <c r="AW52" s="284" t="n">
        <f aca="false">IFERROR(P52*$E52*$J52, "")</f>
        <v>0</v>
      </c>
      <c r="AX52" s="284" t="n">
        <f aca="false">IFERROR(Q52*$E52*$J52, "")</f>
        <v>0</v>
      </c>
      <c r="AY52" s="284" t="n">
        <f aca="false">IFERROR(R52*$E52*$J52, "")</f>
        <v>0</v>
      </c>
      <c r="AZ52" s="284" t="n">
        <f aca="false">IFERROR(S52*$E52*$J52, "")</f>
        <v>0</v>
      </c>
      <c r="BA52" s="284" t="n">
        <f aca="false">IFERROR(T52*$E52*$J52, "")</f>
        <v>0</v>
      </c>
      <c r="BB52" s="284" t="n">
        <f aca="false">IFERROR(U52*$E52*$J52, "")</f>
        <v>0</v>
      </c>
      <c r="BC52" s="284" t="n">
        <f aca="false">IFERROR(V52*$E52*$J52, "")</f>
        <v>0</v>
      </c>
      <c r="BD52" s="284" t="n">
        <f aca="false">IFERROR(W52*$E52*$J52, "")</f>
        <v>0</v>
      </c>
      <c r="BE52" s="286" t="n">
        <f aca="false">IFERROR(SUMIF($AB$4:$AM$4, "RDEC", AS52:BD52), "")</f>
        <v>0</v>
      </c>
      <c r="BF52" s="286" t="n">
        <f aca="false">IFERROR(SUMIF($AB$4:$AM$4, "SME", AS52:BD52), "")</f>
        <v>0</v>
      </c>
      <c r="BG52" s="286" t="n">
        <f aca="false">IFERROR(SUMIF($AB$4:$AM$4, "De Minimis", AS52:BD52), "")</f>
        <v>0</v>
      </c>
      <c r="BH52" s="287"/>
      <c r="BI52" s="288" t="str">
        <f aca="false">IF((SUM(L52:W52)&gt;1),"ERROR","")</f>
        <v/>
      </c>
    </row>
    <row r="53" customFormat="false" ht="15" hidden="false" customHeight="true" outlineLevel="0" collapsed="false">
      <c r="A53" s="340"/>
      <c r="B53" s="350"/>
      <c r="C53" s="350"/>
      <c r="H53" s="350"/>
      <c r="I53" s="279" t="n">
        <v>1</v>
      </c>
      <c r="J53" s="281" t="n">
        <f aca="false">1-I53</f>
        <v>0</v>
      </c>
      <c r="K53" s="32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350"/>
      <c r="Y53" s="381"/>
      <c r="Z53" s="384" t="s">
        <v>71</v>
      </c>
      <c r="AA53" s="283"/>
      <c r="AB53" s="284" t="n">
        <f aca="false">IF(AND(AB$4="RDEC", $Y53="Limited Company"), "", L53*$E53*$I53)</f>
        <v>0</v>
      </c>
      <c r="AC53" s="284" t="n">
        <f aca="false">IF(AND(AC$4="RDEC", $Y53="Limited Company"), "", M53*$E53*$I53)</f>
        <v>0</v>
      </c>
      <c r="AD53" s="284" t="n">
        <f aca="false">IF(AND(AD$4="RDEC", $Y53="Limited Company"), "", N53*$E53*$I53)</f>
        <v>0</v>
      </c>
      <c r="AE53" s="284" t="n">
        <f aca="false">IF(AND(AE$4="RDEC", $Y53="Limited Company"), "", O53*$E53*$I53)</f>
        <v>0</v>
      </c>
      <c r="AF53" s="284" t="n">
        <f aca="false">IF(AND(AF$4="RDEC", $Y53="Limited Company"), "", P53*$E53*$I53)</f>
        <v>0</v>
      </c>
      <c r="AG53" s="284" t="n">
        <f aca="false">IF(AND(AG$4="RDEC", $Y53="Limited Company"), "", Q53*$E53*$I53)</f>
        <v>0</v>
      </c>
      <c r="AH53" s="284" t="n">
        <f aca="false">IF(AND(AH$4="RDEC", $Y53="Limited Company"), "", R53*$E53*$I53)</f>
        <v>0</v>
      </c>
      <c r="AI53" s="284" t="n">
        <f aca="false">IF(AND(AI$4="RDEC", $Y53="Limited Company"), "", S53*$E53*$I53)</f>
        <v>0</v>
      </c>
      <c r="AJ53" s="284" t="n">
        <f aca="false">IF(AND(AJ$4="RDEC", $Y53="Limited Company"), "", T53*$E53*$I53)</f>
        <v>0</v>
      </c>
      <c r="AK53" s="284" t="n">
        <f aca="false">IF(AND(AK$4="RDEC", $Y53="Limited Company"), "", U53*$E53*$I53)</f>
        <v>0</v>
      </c>
      <c r="AL53" s="284" t="n">
        <f aca="false">IF(AND(AL$4="RDEC", $Y53="Limited Company"), "", V53*$E53*$I53)</f>
        <v>0</v>
      </c>
      <c r="AM53" s="284" t="n">
        <f aca="false">IF(AND(AM$4="RDEC", $Y53="Limited Company"), "", W53*$E53*$I53)</f>
        <v>0</v>
      </c>
      <c r="AN53" s="286" t="n">
        <f aca="false">IFERROR(SUMIF($AB$4:$AM$4, "RDEC", AB53:AM53), "")</f>
        <v>0</v>
      </c>
      <c r="AO53" s="286" t="str">
        <f aca="false">IFERROR((IF(Z53="Yes",SUMIF($AB$4:$AM$4,"SME",AB53:AM53),"")),"")</f>
        <v/>
      </c>
      <c r="AP53" s="286" t="n">
        <f aca="false">IFERROR((IF(Z53="No",SUMIF($AB$4:$AM$4,"SME",AB53:AM53),"")),"")</f>
        <v>0</v>
      </c>
      <c r="AQ53" s="286" t="n">
        <f aca="false">IFERROR(SUMIF($AB$4:$AM$4, "De Minimis", AB53:AM53), "")</f>
        <v>0</v>
      </c>
      <c r="AR53" s="283"/>
      <c r="AS53" s="284" t="n">
        <f aca="false">IFERROR(L53*$E53*$J53, "")</f>
        <v>0</v>
      </c>
      <c r="AT53" s="284" t="n">
        <f aca="false">IFERROR(M53*$E53*$J53, "")</f>
        <v>0</v>
      </c>
      <c r="AU53" s="284" t="n">
        <f aca="false">IFERROR(N53*$E53*$J53, "")</f>
        <v>0</v>
      </c>
      <c r="AV53" s="284" t="n">
        <f aca="false">IFERROR(O53*$E53*$J53, "")</f>
        <v>0</v>
      </c>
      <c r="AW53" s="284" t="n">
        <f aca="false">IFERROR(P53*$E53*$J53, "")</f>
        <v>0</v>
      </c>
      <c r="AX53" s="284" t="n">
        <f aca="false">IFERROR(Q53*$E53*$J53, "")</f>
        <v>0</v>
      </c>
      <c r="AY53" s="284" t="n">
        <f aca="false">IFERROR(R53*$E53*$J53, "")</f>
        <v>0</v>
      </c>
      <c r="AZ53" s="284" t="n">
        <f aca="false">IFERROR(S53*$E53*$J53, "")</f>
        <v>0</v>
      </c>
      <c r="BA53" s="284" t="n">
        <f aca="false">IFERROR(T53*$E53*$J53, "")</f>
        <v>0</v>
      </c>
      <c r="BB53" s="284" t="n">
        <f aca="false">IFERROR(U53*$E53*$J53, "")</f>
        <v>0</v>
      </c>
      <c r="BC53" s="284" t="n">
        <f aca="false">IFERROR(V53*$E53*$J53, "")</f>
        <v>0</v>
      </c>
      <c r="BD53" s="284" t="n">
        <f aca="false">IFERROR(W53*$E53*$J53, "")</f>
        <v>0</v>
      </c>
      <c r="BE53" s="286" t="n">
        <f aca="false">IFERROR(SUMIF($AB$4:$AM$4, "RDEC", AS53:BD53), "")</f>
        <v>0</v>
      </c>
      <c r="BF53" s="286" t="n">
        <f aca="false">IFERROR(SUMIF($AB$4:$AM$4, "SME", AS53:BD53), "")</f>
        <v>0</v>
      </c>
      <c r="BG53" s="286" t="n">
        <f aca="false">IFERROR(SUMIF($AB$4:$AM$4, "De Minimis", AS53:BD53), "")</f>
        <v>0</v>
      </c>
      <c r="BH53" s="287"/>
      <c r="BI53" s="288" t="str">
        <f aca="false">IF((SUM(L53:W53)&gt;1),"ERROR","")</f>
        <v/>
      </c>
    </row>
    <row r="54" customFormat="false" ht="15" hidden="false" customHeight="true" outlineLevel="0" collapsed="false">
      <c r="A54" s="340"/>
      <c r="B54" s="350"/>
      <c r="C54" s="350"/>
      <c r="H54" s="350"/>
      <c r="I54" s="279" t="n">
        <v>1</v>
      </c>
      <c r="J54" s="281" t="n">
        <f aca="false">1-I54</f>
        <v>0</v>
      </c>
      <c r="K54" s="32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350"/>
      <c r="Y54" s="381"/>
      <c r="Z54" s="384" t="s">
        <v>71</v>
      </c>
      <c r="AA54" s="283"/>
      <c r="AB54" s="284" t="n">
        <f aca="false">IF(AND(AB$4="RDEC", $Y54="Limited Company"), "", L54*$E54*$I54)</f>
        <v>0</v>
      </c>
      <c r="AC54" s="284" t="n">
        <f aca="false">IF(AND(AC$4="RDEC", $Y54="Limited Company"), "", M54*$E54*$I54)</f>
        <v>0</v>
      </c>
      <c r="AD54" s="284" t="n">
        <f aca="false">IF(AND(AD$4="RDEC", $Y54="Limited Company"), "", N54*$E54*$I54)</f>
        <v>0</v>
      </c>
      <c r="AE54" s="284" t="n">
        <f aca="false">IF(AND(AE$4="RDEC", $Y54="Limited Company"), "", O54*$E54*$I54)</f>
        <v>0</v>
      </c>
      <c r="AF54" s="284" t="n">
        <f aca="false">IF(AND(AF$4="RDEC", $Y54="Limited Company"), "", P54*$E54*$I54)</f>
        <v>0</v>
      </c>
      <c r="AG54" s="284" t="n">
        <f aca="false">IF(AND(AG$4="RDEC", $Y54="Limited Company"), "", Q54*$E54*$I54)</f>
        <v>0</v>
      </c>
      <c r="AH54" s="284" t="n">
        <f aca="false">IF(AND(AH$4="RDEC", $Y54="Limited Company"), "", R54*$E54*$I54)</f>
        <v>0</v>
      </c>
      <c r="AI54" s="284" t="n">
        <f aca="false">IF(AND(AI$4="RDEC", $Y54="Limited Company"), "", S54*$E54*$I54)</f>
        <v>0</v>
      </c>
      <c r="AJ54" s="284" t="n">
        <f aca="false">IF(AND(AJ$4="RDEC", $Y54="Limited Company"), "", T54*$E54*$I54)</f>
        <v>0</v>
      </c>
      <c r="AK54" s="284" t="n">
        <f aca="false">IF(AND(AK$4="RDEC", $Y54="Limited Company"), "", U54*$E54*$I54)</f>
        <v>0</v>
      </c>
      <c r="AL54" s="284" t="n">
        <f aca="false">IF(AND(AL$4="RDEC", $Y54="Limited Company"), "", V54*$E54*$I54)</f>
        <v>0</v>
      </c>
      <c r="AM54" s="284" t="n">
        <f aca="false">IF(AND(AM$4="RDEC", $Y54="Limited Company"), "", W54*$E54*$I54)</f>
        <v>0</v>
      </c>
      <c r="AN54" s="286" t="n">
        <f aca="false">IFERROR(SUMIF($AB$4:$AM$4, "RDEC", AB54:AM54), "")</f>
        <v>0</v>
      </c>
      <c r="AO54" s="286" t="str">
        <f aca="false">IFERROR((IF(Z54="Yes",SUMIF($AB$4:$AM$4,"SME",AB54:AM54),"")),"")</f>
        <v/>
      </c>
      <c r="AP54" s="286" t="n">
        <f aca="false">IFERROR((IF(Z54="No",SUMIF($AB$4:$AM$4,"SME",AB54:AM54),"")),"")</f>
        <v>0</v>
      </c>
      <c r="AQ54" s="286" t="n">
        <f aca="false">IFERROR(SUMIF($AB$4:$AM$4, "De Minimis", AB54:AM54), "")</f>
        <v>0</v>
      </c>
      <c r="AR54" s="283"/>
      <c r="AS54" s="284" t="n">
        <f aca="false">IFERROR(L54*$E54*$J54, "")</f>
        <v>0</v>
      </c>
      <c r="AT54" s="284" t="n">
        <f aca="false">IFERROR(M54*$E54*$J54, "")</f>
        <v>0</v>
      </c>
      <c r="AU54" s="284" t="n">
        <f aca="false">IFERROR(N54*$E54*$J54, "")</f>
        <v>0</v>
      </c>
      <c r="AV54" s="284" t="n">
        <f aca="false">IFERROR(O54*$E54*$J54, "")</f>
        <v>0</v>
      </c>
      <c r="AW54" s="284" t="n">
        <f aca="false">IFERROR(P54*$E54*$J54, "")</f>
        <v>0</v>
      </c>
      <c r="AX54" s="284" t="n">
        <f aca="false">IFERROR(Q54*$E54*$J54, "")</f>
        <v>0</v>
      </c>
      <c r="AY54" s="284" t="n">
        <f aca="false">IFERROR(R54*$E54*$J54, "")</f>
        <v>0</v>
      </c>
      <c r="AZ54" s="284" t="n">
        <f aca="false">IFERROR(S54*$E54*$J54, "")</f>
        <v>0</v>
      </c>
      <c r="BA54" s="284" t="n">
        <f aca="false">IFERROR(T54*$E54*$J54, "")</f>
        <v>0</v>
      </c>
      <c r="BB54" s="284" t="n">
        <f aca="false">IFERROR(U54*$E54*$J54, "")</f>
        <v>0</v>
      </c>
      <c r="BC54" s="284" t="n">
        <f aca="false">IFERROR(V54*$E54*$J54, "")</f>
        <v>0</v>
      </c>
      <c r="BD54" s="284" t="n">
        <f aca="false">IFERROR(W54*$E54*$J54, "")</f>
        <v>0</v>
      </c>
      <c r="BE54" s="286" t="n">
        <f aca="false">IFERROR(SUMIF($AB$4:$AM$4, "RDEC", AS54:BD54), "")</f>
        <v>0</v>
      </c>
      <c r="BF54" s="286" t="n">
        <f aca="false">IFERROR(SUMIF($AB$4:$AM$4, "SME", AS54:BD54), "")</f>
        <v>0</v>
      </c>
      <c r="BG54" s="286" t="n">
        <f aca="false">IFERROR(SUMIF($AB$4:$AM$4, "De Minimis", AS54:BD54), "")</f>
        <v>0</v>
      </c>
      <c r="BH54" s="287"/>
      <c r="BI54" s="288" t="str">
        <f aca="false">IF((SUM(L54:W54)&gt;1),"ERROR","")</f>
        <v/>
      </c>
    </row>
    <row r="55" customFormat="false" ht="15" hidden="false" customHeight="true" outlineLevel="0" collapsed="false">
      <c r="A55" s="340"/>
      <c r="B55" s="350"/>
      <c r="C55" s="350"/>
      <c r="H55" s="350"/>
      <c r="I55" s="279" t="n">
        <v>1</v>
      </c>
      <c r="J55" s="281" t="n">
        <f aca="false">1-I55</f>
        <v>0</v>
      </c>
      <c r="K55" s="32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350"/>
      <c r="Y55" s="381"/>
      <c r="Z55" s="384" t="s">
        <v>71</v>
      </c>
      <c r="AA55" s="283"/>
      <c r="AB55" s="284" t="n">
        <f aca="false">IF(AND(AB$4="RDEC", $Y55="Limited Company"), "", L55*$E55*$I55)</f>
        <v>0</v>
      </c>
      <c r="AC55" s="284" t="n">
        <f aca="false">IF(AND(AC$4="RDEC", $Y55="Limited Company"), "", M55*$E55*$I55)</f>
        <v>0</v>
      </c>
      <c r="AD55" s="284" t="n">
        <f aca="false">IF(AND(AD$4="RDEC", $Y55="Limited Company"), "", N55*$E55*$I55)</f>
        <v>0</v>
      </c>
      <c r="AE55" s="284" t="n">
        <f aca="false">IF(AND(AE$4="RDEC", $Y55="Limited Company"), "", O55*$E55*$I55)</f>
        <v>0</v>
      </c>
      <c r="AF55" s="284" t="n">
        <f aca="false">IF(AND(AF$4="RDEC", $Y55="Limited Company"), "", P55*$E55*$I55)</f>
        <v>0</v>
      </c>
      <c r="AG55" s="284" t="n">
        <f aca="false">IF(AND(AG$4="RDEC", $Y55="Limited Company"), "", Q55*$E55*$I55)</f>
        <v>0</v>
      </c>
      <c r="AH55" s="284" t="n">
        <f aca="false">IF(AND(AH$4="RDEC", $Y55="Limited Company"), "", R55*$E55*$I55)</f>
        <v>0</v>
      </c>
      <c r="AI55" s="284" t="n">
        <f aca="false">IF(AND(AI$4="RDEC", $Y55="Limited Company"), "", S55*$E55*$I55)</f>
        <v>0</v>
      </c>
      <c r="AJ55" s="284" t="n">
        <f aca="false">IF(AND(AJ$4="RDEC", $Y55="Limited Company"), "", T55*$E55*$I55)</f>
        <v>0</v>
      </c>
      <c r="AK55" s="284" t="n">
        <f aca="false">IF(AND(AK$4="RDEC", $Y55="Limited Company"), "", U55*$E55*$I55)</f>
        <v>0</v>
      </c>
      <c r="AL55" s="284" t="n">
        <f aca="false">IF(AND(AL$4="RDEC", $Y55="Limited Company"), "", V55*$E55*$I55)</f>
        <v>0</v>
      </c>
      <c r="AM55" s="284" t="n">
        <f aca="false">IF(AND(AM$4="RDEC", $Y55="Limited Company"), "", W55*$E55*$I55)</f>
        <v>0</v>
      </c>
      <c r="AN55" s="286" t="n">
        <f aca="false">IFERROR(SUMIF($AB$4:$AM$4, "RDEC", AB55:AM55), "")</f>
        <v>0</v>
      </c>
      <c r="AO55" s="286" t="str">
        <f aca="false">IFERROR((IF(Z55="Yes",SUMIF($AB$4:$AM$4,"SME",AB55:AM55),"")),"")</f>
        <v/>
      </c>
      <c r="AP55" s="286" t="n">
        <f aca="false">IFERROR((IF(Z55="No",SUMIF($AB$4:$AM$4,"SME",AB55:AM55),"")),"")</f>
        <v>0</v>
      </c>
      <c r="AQ55" s="286" t="n">
        <f aca="false">IFERROR(SUMIF($AB$4:$AM$4, "De Minimis", AB55:AM55), "")</f>
        <v>0</v>
      </c>
      <c r="AR55" s="283"/>
      <c r="AS55" s="284" t="n">
        <f aca="false">IFERROR(L55*$E55*$J55, "")</f>
        <v>0</v>
      </c>
      <c r="AT55" s="284" t="n">
        <f aca="false">IFERROR(M55*$E55*$J55, "")</f>
        <v>0</v>
      </c>
      <c r="AU55" s="284" t="n">
        <f aca="false">IFERROR(N55*$E55*$J55, "")</f>
        <v>0</v>
      </c>
      <c r="AV55" s="284" t="n">
        <f aca="false">IFERROR(O55*$E55*$J55, "")</f>
        <v>0</v>
      </c>
      <c r="AW55" s="284" t="n">
        <f aca="false">IFERROR(P55*$E55*$J55, "")</f>
        <v>0</v>
      </c>
      <c r="AX55" s="284" t="n">
        <f aca="false">IFERROR(Q55*$E55*$J55, "")</f>
        <v>0</v>
      </c>
      <c r="AY55" s="284" t="n">
        <f aca="false">IFERROR(R55*$E55*$J55, "")</f>
        <v>0</v>
      </c>
      <c r="AZ55" s="284" t="n">
        <f aca="false">IFERROR(S55*$E55*$J55, "")</f>
        <v>0</v>
      </c>
      <c r="BA55" s="284" t="n">
        <f aca="false">IFERROR(T55*$E55*$J55, "")</f>
        <v>0</v>
      </c>
      <c r="BB55" s="284" t="n">
        <f aca="false">IFERROR(U55*$E55*$J55, "")</f>
        <v>0</v>
      </c>
      <c r="BC55" s="284" t="n">
        <f aca="false">IFERROR(V55*$E55*$J55, "")</f>
        <v>0</v>
      </c>
      <c r="BD55" s="284" t="n">
        <f aca="false">IFERROR(W55*$E55*$J55, "")</f>
        <v>0</v>
      </c>
      <c r="BE55" s="286" t="n">
        <f aca="false">IFERROR(SUMIF($AB$4:$AM$4, "RDEC", AS55:BD55), "")</f>
        <v>0</v>
      </c>
      <c r="BF55" s="286" t="n">
        <f aca="false">IFERROR(SUMIF($AB$4:$AM$4, "SME", AS55:BD55), "")</f>
        <v>0</v>
      </c>
      <c r="BG55" s="286" t="n">
        <f aca="false">IFERROR(SUMIF($AB$4:$AM$4, "De Minimis", AS55:BD55), "")</f>
        <v>0</v>
      </c>
      <c r="BH55" s="287"/>
      <c r="BI55" s="288" t="str">
        <f aca="false">IF((SUM(L55:W55)&gt;1),"ERROR","")</f>
        <v/>
      </c>
    </row>
    <row r="56" customFormat="false" ht="15" hidden="false" customHeight="true" outlineLevel="0" collapsed="false">
      <c r="A56" s="340"/>
      <c r="B56" s="350"/>
      <c r="C56" s="350"/>
      <c r="H56" s="350"/>
      <c r="I56" s="279" t="n">
        <v>1</v>
      </c>
      <c r="J56" s="281" t="n">
        <f aca="false">1-I56</f>
        <v>0</v>
      </c>
      <c r="K56" s="32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350"/>
      <c r="Y56" s="381"/>
      <c r="Z56" s="384" t="s">
        <v>71</v>
      </c>
      <c r="AA56" s="283"/>
      <c r="AB56" s="284" t="n">
        <f aca="false">IF(AND(AB$4="RDEC", $Y56="Limited Company"), "", L56*$E56*$I56)</f>
        <v>0</v>
      </c>
      <c r="AC56" s="284" t="n">
        <f aca="false">IF(AND(AC$4="RDEC", $Y56="Limited Company"), "", M56*$E56*$I56)</f>
        <v>0</v>
      </c>
      <c r="AD56" s="284" t="n">
        <f aca="false">IF(AND(AD$4="RDEC", $Y56="Limited Company"), "", N56*$E56*$I56)</f>
        <v>0</v>
      </c>
      <c r="AE56" s="284" t="n">
        <f aca="false">IF(AND(AE$4="RDEC", $Y56="Limited Company"), "", O56*$E56*$I56)</f>
        <v>0</v>
      </c>
      <c r="AF56" s="284" t="n">
        <f aca="false">IF(AND(AF$4="RDEC", $Y56="Limited Company"), "", P56*$E56*$I56)</f>
        <v>0</v>
      </c>
      <c r="AG56" s="284" t="n">
        <f aca="false">IF(AND(AG$4="RDEC", $Y56="Limited Company"), "", Q56*$E56*$I56)</f>
        <v>0</v>
      </c>
      <c r="AH56" s="284" t="n">
        <f aca="false">IF(AND(AH$4="RDEC", $Y56="Limited Company"), "", R56*$E56*$I56)</f>
        <v>0</v>
      </c>
      <c r="AI56" s="284" t="n">
        <f aca="false">IF(AND(AI$4="RDEC", $Y56="Limited Company"), "", S56*$E56*$I56)</f>
        <v>0</v>
      </c>
      <c r="AJ56" s="284" t="n">
        <f aca="false">IF(AND(AJ$4="RDEC", $Y56="Limited Company"), "", T56*$E56*$I56)</f>
        <v>0</v>
      </c>
      <c r="AK56" s="284" t="n">
        <f aca="false">IF(AND(AK$4="RDEC", $Y56="Limited Company"), "", U56*$E56*$I56)</f>
        <v>0</v>
      </c>
      <c r="AL56" s="284" t="n">
        <f aca="false">IF(AND(AL$4="RDEC", $Y56="Limited Company"), "", V56*$E56*$I56)</f>
        <v>0</v>
      </c>
      <c r="AM56" s="284" t="n">
        <f aca="false">IF(AND(AM$4="RDEC", $Y56="Limited Company"), "", W56*$E56*$I56)</f>
        <v>0</v>
      </c>
      <c r="AN56" s="286" t="n">
        <f aca="false">IFERROR(SUMIF($AB$4:$AM$4, "RDEC", AB56:AM56), "")</f>
        <v>0</v>
      </c>
      <c r="AO56" s="286" t="str">
        <f aca="false">IFERROR((IF(Z56="Yes",SUMIF($AB$4:$AM$4,"SME",AB56:AM56),"")),"")</f>
        <v/>
      </c>
      <c r="AP56" s="286" t="n">
        <f aca="false">IFERROR((IF(Z56="No",SUMIF($AB$4:$AM$4,"SME",AB56:AM56),"")),"")</f>
        <v>0</v>
      </c>
      <c r="AQ56" s="286" t="n">
        <f aca="false">IFERROR(SUMIF($AB$4:$AM$4, "De Minimis", AB56:AM56), "")</f>
        <v>0</v>
      </c>
      <c r="AR56" s="283"/>
      <c r="AS56" s="284" t="n">
        <f aca="false">IFERROR(L56*$E56*$J56, "")</f>
        <v>0</v>
      </c>
      <c r="AT56" s="284" t="n">
        <f aca="false">IFERROR(M56*$E56*$J56, "")</f>
        <v>0</v>
      </c>
      <c r="AU56" s="284" t="n">
        <f aca="false">IFERROR(N56*$E56*$J56, "")</f>
        <v>0</v>
      </c>
      <c r="AV56" s="284" t="n">
        <f aca="false">IFERROR(O56*$E56*$J56, "")</f>
        <v>0</v>
      </c>
      <c r="AW56" s="284" t="n">
        <f aca="false">IFERROR(P56*$E56*$J56, "")</f>
        <v>0</v>
      </c>
      <c r="AX56" s="284" t="n">
        <f aca="false">IFERROR(Q56*$E56*$J56, "")</f>
        <v>0</v>
      </c>
      <c r="AY56" s="284" t="n">
        <f aca="false">IFERROR(R56*$E56*$J56, "")</f>
        <v>0</v>
      </c>
      <c r="AZ56" s="284" t="n">
        <f aca="false">IFERROR(S56*$E56*$J56, "")</f>
        <v>0</v>
      </c>
      <c r="BA56" s="284" t="n">
        <f aca="false">IFERROR(T56*$E56*$J56, "")</f>
        <v>0</v>
      </c>
      <c r="BB56" s="284" t="n">
        <f aca="false">IFERROR(U56*$E56*$J56, "")</f>
        <v>0</v>
      </c>
      <c r="BC56" s="284" t="n">
        <f aca="false">IFERROR(V56*$E56*$J56, "")</f>
        <v>0</v>
      </c>
      <c r="BD56" s="284" t="n">
        <f aca="false">IFERROR(W56*$E56*$J56, "")</f>
        <v>0</v>
      </c>
      <c r="BE56" s="286" t="n">
        <f aca="false">IFERROR(SUMIF($AB$4:$AM$4, "RDEC", AS56:BD56), "")</f>
        <v>0</v>
      </c>
      <c r="BF56" s="286" t="n">
        <f aca="false">IFERROR(SUMIF($AB$4:$AM$4, "SME", AS56:BD56), "")</f>
        <v>0</v>
      </c>
      <c r="BG56" s="286" t="n">
        <f aca="false">IFERROR(SUMIF($AB$4:$AM$4, "De Minimis", AS56:BD56), "")</f>
        <v>0</v>
      </c>
      <c r="BH56" s="287"/>
      <c r="BI56" s="288" t="str">
        <f aca="false">IF((SUM(L56:W56)&gt;1),"ERROR","")</f>
        <v/>
      </c>
    </row>
    <row r="57" customFormat="false" ht="15" hidden="false" customHeight="true" outlineLevel="0" collapsed="false">
      <c r="A57" s="340"/>
      <c r="B57" s="350"/>
      <c r="C57" s="350"/>
      <c r="H57" s="350"/>
      <c r="I57" s="279" t="n">
        <v>1</v>
      </c>
      <c r="J57" s="281" t="n">
        <f aca="false">1-I57</f>
        <v>0</v>
      </c>
      <c r="K57" s="32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350"/>
      <c r="Y57" s="381"/>
      <c r="Z57" s="384" t="s">
        <v>71</v>
      </c>
      <c r="AA57" s="283"/>
      <c r="AB57" s="284" t="n">
        <f aca="false">IF(AND(AB$4="RDEC", $Y57="Limited Company"), "", L57*$E57*$I57)</f>
        <v>0</v>
      </c>
      <c r="AC57" s="284" t="n">
        <f aca="false">IF(AND(AC$4="RDEC", $Y57="Limited Company"), "", M57*$E57*$I57)</f>
        <v>0</v>
      </c>
      <c r="AD57" s="284" t="n">
        <f aca="false">IF(AND(AD$4="RDEC", $Y57="Limited Company"), "", N57*$E57*$I57)</f>
        <v>0</v>
      </c>
      <c r="AE57" s="284" t="n">
        <f aca="false">IF(AND(AE$4="RDEC", $Y57="Limited Company"), "", O57*$E57*$I57)</f>
        <v>0</v>
      </c>
      <c r="AF57" s="284" t="n">
        <f aca="false">IF(AND(AF$4="RDEC", $Y57="Limited Company"), "", P57*$E57*$I57)</f>
        <v>0</v>
      </c>
      <c r="AG57" s="284" t="n">
        <f aca="false">IF(AND(AG$4="RDEC", $Y57="Limited Company"), "", Q57*$E57*$I57)</f>
        <v>0</v>
      </c>
      <c r="AH57" s="284" t="n">
        <f aca="false">IF(AND(AH$4="RDEC", $Y57="Limited Company"), "", R57*$E57*$I57)</f>
        <v>0</v>
      </c>
      <c r="AI57" s="284" t="n">
        <f aca="false">IF(AND(AI$4="RDEC", $Y57="Limited Company"), "", S57*$E57*$I57)</f>
        <v>0</v>
      </c>
      <c r="AJ57" s="284" t="n">
        <f aca="false">IF(AND(AJ$4="RDEC", $Y57="Limited Company"), "", T57*$E57*$I57)</f>
        <v>0</v>
      </c>
      <c r="AK57" s="284" t="n">
        <f aca="false">IF(AND(AK$4="RDEC", $Y57="Limited Company"), "", U57*$E57*$I57)</f>
        <v>0</v>
      </c>
      <c r="AL57" s="284" t="n">
        <f aca="false">IF(AND(AL$4="RDEC", $Y57="Limited Company"), "", V57*$E57*$I57)</f>
        <v>0</v>
      </c>
      <c r="AM57" s="284" t="n">
        <f aca="false">IF(AND(AM$4="RDEC", $Y57="Limited Company"), "", W57*$E57*$I57)</f>
        <v>0</v>
      </c>
      <c r="AN57" s="286" t="n">
        <f aca="false">IFERROR(SUMIF($AB$4:$AM$4, "RDEC", AB57:AM57), "")</f>
        <v>0</v>
      </c>
      <c r="AO57" s="286" t="str">
        <f aca="false">IFERROR((IF(Z57="Yes",SUMIF($AB$4:$AM$4,"SME",AB57:AM57),"")),"")</f>
        <v/>
      </c>
      <c r="AP57" s="286" t="n">
        <f aca="false">IFERROR((IF(Z57="No",SUMIF($AB$4:$AM$4,"SME",AB57:AM57),"")),"")</f>
        <v>0</v>
      </c>
      <c r="AQ57" s="286" t="n">
        <f aca="false">IFERROR(SUMIF($AB$4:$AM$4, "De Minimis", AB57:AM57), "")</f>
        <v>0</v>
      </c>
      <c r="AR57" s="283"/>
      <c r="AS57" s="284" t="n">
        <f aca="false">IFERROR(L57*$E57*$J57, "")</f>
        <v>0</v>
      </c>
      <c r="AT57" s="284" t="n">
        <f aca="false">IFERROR(M57*$E57*$J57, "")</f>
        <v>0</v>
      </c>
      <c r="AU57" s="284" t="n">
        <f aca="false">IFERROR(N57*$E57*$J57, "")</f>
        <v>0</v>
      </c>
      <c r="AV57" s="284" t="n">
        <f aca="false">IFERROR(O57*$E57*$J57, "")</f>
        <v>0</v>
      </c>
      <c r="AW57" s="284" t="n">
        <f aca="false">IFERROR(P57*$E57*$J57, "")</f>
        <v>0</v>
      </c>
      <c r="AX57" s="284" t="n">
        <f aca="false">IFERROR(Q57*$E57*$J57, "")</f>
        <v>0</v>
      </c>
      <c r="AY57" s="284" t="n">
        <f aca="false">IFERROR(R57*$E57*$J57, "")</f>
        <v>0</v>
      </c>
      <c r="AZ57" s="284" t="n">
        <f aca="false">IFERROR(S57*$E57*$J57, "")</f>
        <v>0</v>
      </c>
      <c r="BA57" s="284" t="n">
        <f aca="false">IFERROR(T57*$E57*$J57, "")</f>
        <v>0</v>
      </c>
      <c r="BB57" s="284" t="n">
        <f aca="false">IFERROR(U57*$E57*$J57, "")</f>
        <v>0</v>
      </c>
      <c r="BC57" s="284" t="n">
        <f aca="false">IFERROR(V57*$E57*$J57, "")</f>
        <v>0</v>
      </c>
      <c r="BD57" s="284" t="n">
        <f aca="false">IFERROR(W57*$E57*$J57, "")</f>
        <v>0</v>
      </c>
      <c r="BE57" s="286" t="n">
        <f aca="false">IFERROR(SUMIF($AB$4:$AM$4, "RDEC", AS57:BD57), "")</f>
        <v>0</v>
      </c>
      <c r="BF57" s="286" t="n">
        <f aca="false">IFERROR(SUMIF($AB$4:$AM$4, "SME", AS57:BD57), "")</f>
        <v>0</v>
      </c>
      <c r="BG57" s="286" t="n">
        <f aca="false">IFERROR(SUMIF($AB$4:$AM$4, "De Minimis", AS57:BD57), "")</f>
        <v>0</v>
      </c>
      <c r="BH57" s="287"/>
      <c r="BI57" s="288" t="str">
        <f aca="false">IF((SUM(L57:W57)&gt;1),"ERROR","")</f>
        <v/>
      </c>
    </row>
    <row r="58" customFormat="false" ht="15" hidden="false" customHeight="true" outlineLevel="0" collapsed="false">
      <c r="A58" s="340"/>
      <c r="B58" s="350"/>
      <c r="C58" s="350"/>
      <c r="H58" s="350"/>
      <c r="I58" s="279" t="n">
        <v>1</v>
      </c>
      <c r="J58" s="281" t="n">
        <f aca="false">1-I58</f>
        <v>0</v>
      </c>
      <c r="K58" s="32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350"/>
      <c r="Y58" s="381"/>
      <c r="Z58" s="384" t="s">
        <v>71</v>
      </c>
      <c r="AA58" s="283"/>
      <c r="AB58" s="284" t="n">
        <f aca="false">IF(AND(AB$4="RDEC", $Y58="Limited Company"), "", L58*$E58*$I58)</f>
        <v>0</v>
      </c>
      <c r="AC58" s="284" t="n">
        <f aca="false">IF(AND(AC$4="RDEC", $Y58="Limited Company"), "", M58*$E58*$I58)</f>
        <v>0</v>
      </c>
      <c r="AD58" s="284" t="n">
        <f aca="false">IF(AND(AD$4="RDEC", $Y58="Limited Company"), "", N58*$E58*$I58)</f>
        <v>0</v>
      </c>
      <c r="AE58" s="284" t="n">
        <f aca="false">IF(AND(AE$4="RDEC", $Y58="Limited Company"), "", O58*$E58*$I58)</f>
        <v>0</v>
      </c>
      <c r="AF58" s="284" t="n">
        <f aca="false">IF(AND(AF$4="RDEC", $Y58="Limited Company"), "", P58*$E58*$I58)</f>
        <v>0</v>
      </c>
      <c r="AG58" s="284" t="n">
        <f aca="false">IF(AND(AG$4="RDEC", $Y58="Limited Company"), "", Q58*$E58*$I58)</f>
        <v>0</v>
      </c>
      <c r="AH58" s="284" t="n">
        <f aca="false">IF(AND(AH$4="RDEC", $Y58="Limited Company"), "", R58*$E58*$I58)</f>
        <v>0</v>
      </c>
      <c r="AI58" s="284" t="n">
        <f aca="false">IF(AND(AI$4="RDEC", $Y58="Limited Company"), "", S58*$E58*$I58)</f>
        <v>0</v>
      </c>
      <c r="AJ58" s="284" t="n">
        <f aca="false">IF(AND(AJ$4="RDEC", $Y58="Limited Company"), "", T58*$E58*$I58)</f>
        <v>0</v>
      </c>
      <c r="AK58" s="284" t="n">
        <f aca="false">IF(AND(AK$4="RDEC", $Y58="Limited Company"), "", U58*$E58*$I58)</f>
        <v>0</v>
      </c>
      <c r="AL58" s="284" t="n">
        <f aca="false">IF(AND(AL$4="RDEC", $Y58="Limited Company"), "", V58*$E58*$I58)</f>
        <v>0</v>
      </c>
      <c r="AM58" s="284" t="n">
        <f aca="false">IF(AND(AM$4="RDEC", $Y58="Limited Company"), "", W58*$E58*$I58)</f>
        <v>0</v>
      </c>
      <c r="AN58" s="286" t="n">
        <f aca="false">IFERROR(SUMIF($AB$4:$AM$4, "RDEC", AB58:AM58), "")</f>
        <v>0</v>
      </c>
      <c r="AO58" s="286" t="str">
        <f aca="false">IFERROR((IF(Z58="Yes",SUMIF($AB$4:$AM$4,"SME",AB58:AM58),"")),"")</f>
        <v/>
      </c>
      <c r="AP58" s="286" t="n">
        <f aca="false">IFERROR((IF(Z58="No",SUMIF($AB$4:$AM$4,"SME",AB58:AM58),"")),"")</f>
        <v>0</v>
      </c>
      <c r="AQ58" s="286" t="n">
        <f aca="false">IFERROR(SUMIF($AB$4:$AM$4, "De Minimis", AB58:AM58), "")</f>
        <v>0</v>
      </c>
      <c r="AR58" s="283"/>
      <c r="AS58" s="284" t="n">
        <f aca="false">IFERROR(L58*$E58*$J58, "")</f>
        <v>0</v>
      </c>
      <c r="AT58" s="284" t="n">
        <f aca="false">IFERROR(M58*$E58*$J58, "")</f>
        <v>0</v>
      </c>
      <c r="AU58" s="284" t="n">
        <f aca="false">IFERROR(N58*$E58*$J58, "")</f>
        <v>0</v>
      </c>
      <c r="AV58" s="284" t="n">
        <f aca="false">IFERROR(O58*$E58*$J58, "")</f>
        <v>0</v>
      </c>
      <c r="AW58" s="284" t="n">
        <f aca="false">IFERROR(P58*$E58*$J58, "")</f>
        <v>0</v>
      </c>
      <c r="AX58" s="284" t="n">
        <f aca="false">IFERROR(Q58*$E58*$J58, "")</f>
        <v>0</v>
      </c>
      <c r="AY58" s="284" t="n">
        <f aca="false">IFERROR(R58*$E58*$J58, "")</f>
        <v>0</v>
      </c>
      <c r="AZ58" s="284" t="n">
        <f aca="false">IFERROR(S58*$E58*$J58, "")</f>
        <v>0</v>
      </c>
      <c r="BA58" s="284" t="n">
        <f aca="false">IFERROR(T58*$E58*$J58, "")</f>
        <v>0</v>
      </c>
      <c r="BB58" s="284" t="n">
        <f aca="false">IFERROR(U58*$E58*$J58, "")</f>
        <v>0</v>
      </c>
      <c r="BC58" s="284" t="n">
        <f aca="false">IFERROR(V58*$E58*$J58, "")</f>
        <v>0</v>
      </c>
      <c r="BD58" s="284" t="n">
        <f aca="false">IFERROR(W58*$E58*$J58, "")</f>
        <v>0</v>
      </c>
      <c r="BE58" s="286" t="n">
        <f aca="false">IFERROR(SUMIF($AB$4:$AM$4, "RDEC", AS58:BD58), "")</f>
        <v>0</v>
      </c>
      <c r="BF58" s="286" t="n">
        <f aca="false">IFERROR(SUMIF($AB$4:$AM$4, "SME", AS58:BD58), "")</f>
        <v>0</v>
      </c>
      <c r="BG58" s="286" t="n">
        <f aca="false">IFERROR(SUMIF($AB$4:$AM$4, "De Minimis", AS58:BD58), "")</f>
        <v>0</v>
      </c>
      <c r="BH58" s="287"/>
      <c r="BI58" s="288" t="str">
        <f aca="false">IF((SUM(L58:W58)&gt;1),"ERROR","")</f>
        <v/>
      </c>
    </row>
    <row r="59" customFormat="false" ht="15" hidden="false" customHeight="true" outlineLevel="0" collapsed="false">
      <c r="A59" s="340"/>
      <c r="B59" s="350"/>
      <c r="C59" s="350"/>
      <c r="H59" s="350"/>
      <c r="I59" s="279" t="n">
        <v>1</v>
      </c>
      <c r="J59" s="281" t="n">
        <f aca="false">1-I59</f>
        <v>0</v>
      </c>
      <c r="K59" s="32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350"/>
      <c r="Y59" s="381"/>
      <c r="Z59" s="384" t="s">
        <v>71</v>
      </c>
      <c r="AA59" s="283"/>
      <c r="AB59" s="284" t="n">
        <f aca="false">IF(AND(AB$4="RDEC", $Y59="Limited Company"), "", L59*$E59*$I59)</f>
        <v>0</v>
      </c>
      <c r="AC59" s="284" t="n">
        <f aca="false">IF(AND(AC$4="RDEC", $Y59="Limited Company"), "", M59*$E59*$I59)</f>
        <v>0</v>
      </c>
      <c r="AD59" s="284" t="n">
        <f aca="false">IF(AND(AD$4="RDEC", $Y59="Limited Company"), "", N59*$E59*$I59)</f>
        <v>0</v>
      </c>
      <c r="AE59" s="284" t="n">
        <f aca="false">IF(AND(AE$4="RDEC", $Y59="Limited Company"), "", O59*$E59*$I59)</f>
        <v>0</v>
      </c>
      <c r="AF59" s="284" t="n">
        <f aca="false">IF(AND(AF$4="RDEC", $Y59="Limited Company"), "", P59*$E59*$I59)</f>
        <v>0</v>
      </c>
      <c r="AG59" s="284" t="n">
        <f aca="false">IF(AND(AG$4="RDEC", $Y59="Limited Company"), "", Q59*$E59*$I59)</f>
        <v>0</v>
      </c>
      <c r="AH59" s="284" t="n">
        <f aca="false">IF(AND(AH$4="RDEC", $Y59="Limited Company"), "", R59*$E59*$I59)</f>
        <v>0</v>
      </c>
      <c r="AI59" s="284" t="n">
        <f aca="false">IF(AND(AI$4="RDEC", $Y59="Limited Company"), "", S59*$E59*$I59)</f>
        <v>0</v>
      </c>
      <c r="AJ59" s="284" t="n">
        <f aca="false">IF(AND(AJ$4="RDEC", $Y59="Limited Company"), "", T59*$E59*$I59)</f>
        <v>0</v>
      </c>
      <c r="AK59" s="284" t="n">
        <f aca="false">IF(AND(AK$4="RDEC", $Y59="Limited Company"), "", U59*$E59*$I59)</f>
        <v>0</v>
      </c>
      <c r="AL59" s="284" t="n">
        <f aca="false">IF(AND(AL$4="RDEC", $Y59="Limited Company"), "", V59*$E59*$I59)</f>
        <v>0</v>
      </c>
      <c r="AM59" s="284" t="n">
        <f aca="false">IF(AND(AM$4="RDEC", $Y59="Limited Company"), "", W59*$E59*$I59)</f>
        <v>0</v>
      </c>
      <c r="AN59" s="286" t="n">
        <f aca="false">IFERROR(SUMIF($AB$4:$AM$4, "RDEC", AB59:AM59), "")</f>
        <v>0</v>
      </c>
      <c r="AO59" s="286" t="str">
        <f aca="false">IFERROR((IF(Z59="Yes",SUMIF($AB$4:$AM$4,"SME",AB59:AM59),"")),"")</f>
        <v/>
      </c>
      <c r="AP59" s="286" t="n">
        <f aca="false">IFERROR((IF(Z59="No",SUMIF($AB$4:$AM$4,"SME",AB59:AM59),"")),"")</f>
        <v>0</v>
      </c>
      <c r="AQ59" s="286" t="n">
        <f aca="false">IFERROR(SUMIF($AB$4:$AM$4, "De Minimis", AB59:AM59), "")</f>
        <v>0</v>
      </c>
      <c r="AR59" s="283"/>
      <c r="AS59" s="284" t="n">
        <f aca="false">IFERROR(L59*$E59*$J59, "")</f>
        <v>0</v>
      </c>
      <c r="AT59" s="284" t="n">
        <f aca="false">IFERROR(M59*$E59*$J59, "")</f>
        <v>0</v>
      </c>
      <c r="AU59" s="284" t="n">
        <f aca="false">IFERROR(N59*$E59*$J59, "")</f>
        <v>0</v>
      </c>
      <c r="AV59" s="284" t="n">
        <f aca="false">IFERROR(O59*$E59*$J59, "")</f>
        <v>0</v>
      </c>
      <c r="AW59" s="284" t="n">
        <f aca="false">IFERROR(P59*$E59*$J59, "")</f>
        <v>0</v>
      </c>
      <c r="AX59" s="284" t="n">
        <f aca="false">IFERROR(Q59*$E59*$J59, "")</f>
        <v>0</v>
      </c>
      <c r="AY59" s="284" t="n">
        <f aca="false">IFERROR(R59*$E59*$J59, "")</f>
        <v>0</v>
      </c>
      <c r="AZ59" s="284" t="n">
        <f aca="false">IFERROR(S59*$E59*$J59, "")</f>
        <v>0</v>
      </c>
      <c r="BA59" s="284" t="n">
        <f aca="false">IFERROR(T59*$E59*$J59, "")</f>
        <v>0</v>
      </c>
      <c r="BB59" s="284" t="n">
        <f aca="false">IFERROR(U59*$E59*$J59, "")</f>
        <v>0</v>
      </c>
      <c r="BC59" s="284" t="n">
        <f aca="false">IFERROR(V59*$E59*$J59, "")</f>
        <v>0</v>
      </c>
      <c r="BD59" s="284" t="n">
        <f aca="false">IFERROR(W59*$E59*$J59, "")</f>
        <v>0</v>
      </c>
      <c r="BE59" s="286" t="n">
        <f aca="false">IFERROR(SUMIF($AB$4:$AM$4, "RDEC", AS59:BD59), "")</f>
        <v>0</v>
      </c>
      <c r="BF59" s="286" t="n">
        <f aca="false">IFERROR(SUMIF($AB$4:$AM$4, "SME", AS59:BD59), "")</f>
        <v>0</v>
      </c>
      <c r="BG59" s="286" t="n">
        <f aca="false">IFERROR(SUMIF($AB$4:$AM$4, "De Minimis", AS59:BD59), "")</f>
        <v>0</v>
      </c>
      <c r="BH59" s="287"/>
      <c r="BI59" s="288" t="str">
        <f aca="false">IF((SUM(L59:W59)&gt;1),"ERROR","")</f>
        <v/>
      </c>
    </row>
    <row r="60" customFormat="false" ht="15" hidden="false" customHeight="true" outlineLevel="0" collapsed="false">
      <c r="A60" s="340"/>
      <c r="B60" s="350"/>
      <c r="C60" s="350"/>
      <c r="H60" s="350"/>
      <c r="I60" s="279" t="n">
        <v>1</v>
      </c>
      <c r="J60" s="281" t="n">
        <f aca="false">1-I60</f>
        <v>0</v>
      </c>
      <c r="K60" s="32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350"/>
      <c r="Y60" s="381"/>
      <c r="Z60" s="384" t="s">
        <v>71</v>
      </c>
      <c r="AA60" s="283"/>
      <c r="AB60" s="284" t="n">
        <f aca="false">IF(AND(AB$4="RDEC", $Y60="Limited Company"), "", L60*$E60*$I60)</f>
        <v>0</v>
      </c>
      <c r="AC60" s="284" t="n">
        <f aca="false">IF(AND(AC$4="RDEC", $Y60="Limited Company"), "", M60*$E60*$I60)</f>
        <v>0</v>
      </c>
      <c r="AD60" s="284" t="n">
        <f aca="false">IF(AND(AD$4="RDEC", $Y60="Limited Company"), "", N60*$E60*$I60)</f>
        <v>0</v>
      </c>
      <c r="AE60" s="284" t="n">
        <f aca="false">IF(AND(AE$4="RDEC", $Y60="Limited Company"), "", O60*$E60*$I60)</f>
        <v>0</v>
      </c>
      <c r="AF60" s="284" t="n">
        <f aca="false">IF(AND(AF$4="RDEC", $Y60="Limited Company"), "", P60*$E60*$I60)</f>
        <v>0</v>
      </c>
      <c r="AG60" s="284" t="n">
        <f aca="false">IF(AND(AG$4="RDEC", $Y60="Limited Company"), "", Q60*$E60*$I60)</f>
        <v>0</v>
      </c>
      <c r="AH60" s="284" t="n">
        <f aca="false">IF(AND(AH$4="RDEC", $Y60="Limited Company"), "", R60*$E60*$I60)</f>
        <v>0</v>
      </c>
      <c r="AI60" s="284" t="n">
        <f aca="false">IF(AND(AI$4="RDEC", $Y60="Limited Company"), "", S60*$E60*$I60)</f>
        <v>0</v>
      </c>
      <c r="AJ60" s="284" t="n">
        <f aca="false">IF(AND(AJ$4="RDEC", $Y60="Limited Company"), "", T60*$E60*$I60)</f>
        <v>0</v>
      </c>
      <c r="AK60" s="284" t="n">
        <f aca="false">IF(AND(AK$4="RDEC", $Y60="Limited Company"), "", U60*$E60*$I60)</f>
        <v>0</v>
      </c>
      <c r="AL60" s="284" t="n">
        <f aca="false">IF(AND(AL$4="RDEC", $Y60="Limited Company"), "", V60*$E60*$I60)</f>
        <v>0</v>
      </c>
      <c r="AM60" s="284" t="n">
        <f aca="false">IF(AND(AM$4="RDEC", $Y60="Limited Company"), "", W60*$E60*$I60)</f>
        <v>0</v>
      </c>
      <c r="AN60" s="286" t="n">
        <f aca="false">IFERROR(SUMIF($AB$4:$AM$4, "RDEC", AB60:AM60), "")</f>
        <v>0</v>
      </c>
      <c r="AO60" s="286" t="str">
        <f aca="false">IFERROR((IF(Z60="Yes",SUMIF($AB$4:$AM$4,"SME",AB60:AM60),"")),"")</f>
        <v/>
      </c>
      <c r="AP60" s="286" t="n">
        <f aca="false">IFERROR((IF(Z60="No",SUMIF($AB$4:$AM$4,"SME",AB60:AM60),"")),"")</f>
        <v>0</v>
      </c>
      <c r="AQ60" s="286" t="n">
        <f aca="false">IFERROR(SUMIF($AB$4:$AM$4, "De Minimis", AB60:AM60), "")</f>
        <v>0</v>
      </c>
      <c r="AR60" s="283"/>
      <c r="AS60" s="284" t="n">
        <f aca="false">IFERROR(L60*$E60*$J60, "")</f>
        <v>0</v>
      </c>
      <c r="AT60" s="284" t="n">
        <f aca="false">IFERROR(M60*$E60*$J60, "")</f>
        <v>0</v>
      </c>
      <c r="AU60" s="284" t="n">
        <f aca="false">IFERROR(N60*$E60*$J60, "")</f>
        <v>0</v>
      </c>
      <c r="AV60" s="284" t="n">
        <f aca="false">IFERROR(O60*$E60*$J60, "")</f>
        <v>0</v>
      </c>
      <c r="AW60" s="284" t="n">
        <f aca="false">IFERROR(P60*$E60*$J60, "")</f>
        <v>0</v>
      </c>
      <c r="AX60" s="284" t="n">
        <f aca="false">IFERROR(Q60*$E60*$J60, "")</f>
        <v>0</v>
      </c>
      <c r="AY60" s="284" t="n">
        <f aca="false">IFERROR(R60*$E60*$J60, "")</f>
        <v>0</v>
      </c>
      <c r="AZ60" s="284" t="n">
        <f aca="false">IFERROR(S60*$E60*$J60, "")</f>
        <v>0</v>
      </c>
      <c r="BA60" s="284" t="n">
        <f aca="false">IFERROR(T60*$E60*$J60, "")</f>
        <v>0</v>
      </c>
      <c r="BB60" s="284" t="n">
        <f aca="false">IFERROR(U60*$E60*$J60, "")</f>
        <v>0</v>
      </c>
      <c r="BC60" s="284" t="n">
        <f aca="false">IFERROR(V60*$E60*$J60, "")</f>
        <v>0</v>
      </c>
      <c r="BD60" s="284" t="n">
        <f aca="false">IFERROR(W60*$E60*$J60, "")</f>
        <v>0</v>
      </c>
      <c r="BE60" s="286" t="n">
        <f aca="false">IFERROR(SUMIF($AB$4:$AM$4, "RDEC", AS60:BD60), "")</f>
        <v>0</v>
      </c>
      <c r="BF60" s="286" t="n">
        <f aca="false">IFERROR(SUMIF($AB$4:$AM$4, "SME", AS60:BD60), "")</f>
        <v>0</v>
      </c>
      <c r="BG60" s="286" t="n">
        <f aca="false">IFERROR(SUMIF($AB$4:$AM$4, "De Minimis", AS60:BD60), "")</f>
        <v>0</v>
      </c>
      <c r="BH60" s="287"/>
      <c r="BI60" s="288" t="str">
        <f aca="false">IF((SUM(L60:W60)&gt;1),"ERROR","")</f>
        <v/>
      </c>
    </row>
    <row r="61" customFormat="false" ht="15" hidden="false" customHeight="true" outlineLevel="0" collapsed="false">
      <c r="A61" s="340"/>
      <c r="B61" s="350"/>
      <c r="C61" s="350"/>
      <c r="H61" s="350"/>
      <c r="I61" s="279" t="n">
        <v>1</v>
      </c>
      <c r="J61" s="281" t="n">
        <f aca="false">1-I61</f>
        <v>0</v>
      </c>
      <c r="K61" s="32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350"/>
      <c r="Y61" s="381"/>
      <c r="Z61" s="384" t="s">
        <v>71</v>
      </c>
      <c r="AA61" s="283"/>
      <c r="AB61" s="284" t="n">
        <f aca="false">IF(AND(AB$4="RDEC", $Y61="Limited Company"), "", L61*$E61*$I61)</f>
        <v>0</v>
      </c>
      <c r="AC61" s="284" t="n">
        <f aca="false">IF(AND(AC$4="RDEC", $Y61="Limited Company"), "", M61*$E61*$I61)</f>
        <v>0</v>
      </c>
      <c r="AD61" s="284" t="n">
        <f aca="false">IF(AND(AD$4="RDEC", $Y61="Limited Company"), "", N61*$E61*$I61)</f>
        <v>0</v>
      </c>
      <c r="AE61" s="284" t="n">
        <f aca="false">IF(AND(AE$4="RDEC", $Y61="Limited Company"), "", O61*$E61*$I61)</f>
        <v>0</v>
      </c>
      <c r="AF61" s="284" t="n">
        <f aca="false">IF(AND(AF$4="RDEC", $Y61="Limited Company"), "", P61*$E61*$I61)</f>
        <v>0</v>
      </c>
      <c r="AG61" s="284" t="n">
        <f aca="false">IF(AND(AG$4="RDEC", $Y61="Limited Company"), "", Q61*$E61*$I61)</f>
        <v>0</v>
      </c>
      <c r="AH61" s="284" t="n">
        <f aca="false">IF(AND(AH$4="RDEC", $Y61="Limited Company"), "", R61*$E61*$I61)</f>
        <v>0</v>
      </c>
      <c r="AI61" s="284" t="n">
        <f aca="false">IF(AND(AI$4="RDEC", $Y61="Limited Company"), "", S61*$E61*$I61)</f>
        <v>0</v>
      </c>
      <c r="AJ61" s="284" t="n">
        <f aca="false">IF(AND(AJ$4="RDEC", $Y61="Limited Company"), "", T61*$E61*$I61)</f>
        <v>0</v>
      </c>
      <c r="AK61" s="284" t="n">
        <f aca="false">IF(AND(AK$4="RDEC", $Y61="Limited Company"), "", U61*$E61*$I61)</f>
        <v>0</v>
      </c>
      <c r="AL61" s="284" t="n">
        <f aca="false">IF(AND(AL$4="RDEC", $Y61="Limited Company"), "", V61*$E61*$I61)</f>
        <v>0</v>
      </c>
      <c r="AM61" s="284" t="n">
        <f aca="false">IF(AND(AM$4="RDEC", $Y61="Limited Company"), "", W61*$E61*$I61)</f>
        <v>0</v>
      </c>
      <c r="AN61" s="286" t="n">
        <f aca="false">IFERROR(SUMIF($AB$4:$AM$4, "RDEC", AB61:AM61), "")</f>
        <v>0</v>
      </c>
      <c r="AO61" s="286" t="str">
        <f aca="false">IFERROR((IF(Z61="Yes",SUMIF($AB$4:$AM$4,"SME",AB61:AM61),"")),"")</f>
        <v/>
      </c>
      <c r="AP61" s="286" t="n">
        <f aca="false">IFERROR((IF(Z61="No",SUMIF($AB$4:$AM$4,"SME",AB61:AM61),"")),"")</f>
        <v>0</v>
      </c>
      <c r="AQ61" s="286" t="n">
        <f aca="false">IFERROR(SUMIF($AB$4:$AM$4, "De Minimis", AB61:AM61), "")</f>
        <v>0</v>
      </c>
      <c r="AR61" s="283"/>
      <c r="AS61" s="284" t="n">
        <f aca="false">IFERROR(L61*$E61*$J61, "")</f>
        <v>0</v>
      </c>
      <c r="AT61" s="284" t="n">
        <f aca="false">IFERROR(M61*$E61*$J61, "")</f>
        <v>0</v>
      </c>
      <c r="AU61" s="284" t="n">
        <f aca="false">IFERROR(N61*$E61*$J61, "")</f>
        <v>0</v>
      </c>
      <c r="AV61" s="284" t="n">
        <f aca="false">IFERROR(O61*$E61*$J61, "")</f>
        <v>0</v>
      </c>
      <c r="AW61" s="284" t="n">
        <f aca="false">IFERROR(P61*$E61*$J61, "")</f>
        <v>0</v>
      </c>
      <c r="AX61" s="284" t="n">
        <f aca="false">IFERROR(Q61*$E61*$J61, "")</f>
        <v>0</v>
      </c>
      <c r="AY61" s="284" t="n">
        <f aca="false">IFERROR(R61*$E61*$J61, "")</f>
        <v>0</v>
      </c>
      <c r="AZ61" s="284" t="n">
        <f aca="false">IFERROR(S61*$E61*$J61, "")</f>
        <v>0</v>
      </c>
      <c r="BA61" s="284" t="n">
        <f aca="false">IFERROR(T61*$E61*$J61, "")</f>
        <v>0</v>
      </c>
      <c r="BB61" s="284" t="n">
        <f aca="false">IFERROR(U61*$E61*$J61, "")</f>
        <v>0</v>
      </c>
      <c r="BC61" s="284" t="n">
        <f aca="false">IFERROR(V61*$E61*$J61, "")</f>
        <v>0</v>
      </c>
      <c r="BD61" s="284" t="n">
        <f aca="false">IFERROR(W61*$E61*$J61, "")</f>
        <v>0</v>
      </c>
      <c r="BE61" s="286" t="n">
        <f aca="false">IFERROR(SUMIF($AB$4:$AM$4, "RDEC", AS61:BD61), "")</f>
        <v>0</v>
      </c>
      <c r="BF61" s="286" t="n">
        <f aca="false">IFERROR(SUMIF($AB$4:$AM$4, "SME", AS61:BD61), "")</f>
        <v>0</v>
      </c>
      <c r="BG61" s="286" t="n">
        <f aca="false">IFERROR(SUMIF($AB$4:$AM$4, "De Minimis", AS61:BD61), "")</f>
        <v>0</v>
      </c>
      <c r="BH61" s="287"/>
      <c r="BI61" s="288" t="str">
        <f aca="false">IF((SUM(L61:W61)&gt;1),"ERROR","")</f>
        <v/>
      </c>
    </row>
    <row r="62" customFormat="false" ht="15" hidden="false" customHeight="true" outlineLevel="0" collapsed="false">
      <c r="A62" s="340"/>
      <c r="B62" s="350"/>
      <c r="C62" s="350"/>
      <c r="H62" s="350"/>
      <c r="I62" s="279" t="n">
        <v>1</v>
      </c>
      <c r="J62" s="281" t="n">
        <f aca="false">1-I62</f>
        <v>0</v>
      </c>
      <c r="K62" s="32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350"/>
      <c r="Y62" s="381"/>
      <c r="Z62" s="384" t="s">
        <v>71</v>
      </c>
      <c r="AA62" s="283"/>
      <c r="AB62" s="284" t="n">
        <f aca="false">IF(AND(AB$4="RDEC", $Y62="Limited Company"), "", L62*$E62*$I62)</f>
        <v>0</v>
      </c>
      <c r="AC62" s="284" t="n">
        <f aca="false">IF(AND(AC$4="RDEC", $Y62="Limited Company"), "", M62*$E62*$I62)</f>
        <v>0</v>
      </c>
      <c r="AD62" s="284" t="n">
        <f aca="false">IF(AND(AD$4="RDEC", $Y62="Limited Company"), "", N62*$E62*$I62)</f>
        <v>0</v>
      </c>
      <c r="AE62" s="284" t="n">
        <f aca="false">IF(AND(AE$4="RDEC", $Y62="Limited Company"), "", O62*$E62*$I62)</f>
        <v>0</v>
      </c>
      <c r="AF62" s="284" t="n">
        <f aca="false">IF(AND(AF$4="RDEC", $Y62="Limited Company"), "", P62*$E62*$I62)</f>
        <v>0</v>
      </c>
      <c r="AG62" s="284" t="n">
        <f aca="false">IF(AND(AG$4="RDEC", $Y62="Limited Company"), "", Q62*$E62*$I62)</f>
        <v>0</v>
      </c>
      <c r="AH62" s="284" t="n">
        <f aca="false">IF(AND(AH$4="RDEC", $Y62="Limited Company"), "", R62*$E62*$I62)</f>
        <v>0</v>
      </c>
      <c r="AI62" s="284" t="n">
        <f aca="false">IF(AND(AI$4="RDEC", $Y62="Limited Company"), "", S62*$E62*$I62)</f>
        <v>0</v>
      </c>
      <c r="AJ62" s="284" t="n">
        <f aca="false">IF(AND(AJ$4="RDEC", $Y62="Limited Company"), "", T62*$E62*$I62)</f>
        <v>0</v>
      </c>
      <c r="AK62" s="284" t="n">
        <f aca="false">IF(AND(AK$4="RDEC", $Y62="Limited Company"), "", U62*$E62*$I62)</f>
        <v>0</v>
      </c>
      <c r="AL62" s="284" t="n">
        <f aca="false">IF(AND(AL$4="RDEC", $Y62="Limited Company"), "", V62*$E62*$I62)</f>
        <v>0</v>
      </c>
      <c r="AM62" s="284" t="n">
        <f aca="false">IF(AND(AM$4="RDEC", $Y62="Limited Company"), "", W62*$E62*$I62)</f>
        <v>0</v>
      </c>
      <c r="AN62" s="286" t="n">
        <f aca="false">IFERROR(SUMIF($AB$4:$AM$4, "RDEC", AB62:AM62), "")</f>
        <v>0</v>
      </c>
      <c r="AO62" s="286" t="str">
        <f aca="false">IFERROR((IF(Z62="Yes",SUMIF($AB$4:$AM$4,"SME",AB62:AM62),"")),"")</f>
        <v/>
      </c>
      <c r="AP62" s="286" t="n">
        <f aca="false">IFERROR((IF(Z62="No",SUMIF($AB$4:$AM$4,"SME",AB62:AM62),"")),"")</f>
        <v>0</v>
      </c>
      <c r="AQ62" s="286" t="n">
        <f aca="false">IFERROR(SUMIF($AB$4:$AM$4, "De Minimis", AB62:AM62), "")</f>
        <v>0</v>
      </c>
      <c r="AR62" s="283"/>
      <c r="AS62" s="284" t="n">
        <f aca="false">IFERROR(L62*$E62*$J62, "")</f>
        <v>0</v>
      </c>
      <c r="AT62" s="284" t="n">
        <f aca="false">IFERROR(M62*$E62*$J62, "")</f>
        <v>0</v>
      </c>
      <c r="AU62" s="284" t="n">
        <f aca="false">IFERROR(N62*$E62*$J62, "")</f>
        <v>0</v>
      </c>
      <c r="AV62" s="284" t="n">
        <f aca="false">IFERROR(O62*$E62*$J62, "")</f>
        <v>0</v>
      </c>
      <c r="AW62" s="284" t="n">
        <f aca="false">IFERROR(P62*$E62*$J62, "")</f>
        <v>0</v>
      </c>
      <c r="AX62" s="284" t="n">
        <f aca="false">IFERROR(Q62*$E62*$J62, "")</f>
        <v>0</v>
      </c>
      <c r="AY62" s="284" t="n">
        <f aca="false">IFERROR(R62*$E62*$J62, "")</f>
        <v>0</v>
      </c>
      <c r="AZ62" s="284" t="n">
        <f aca="false">IFERROR(S62*$E62*$J62, "")</f>
        <v>0</v>
      </c>
      <c r="BA62" s="284" t="n">
        <f aca="false">IFERROR(T62*$E62*$J62, "")</f>
        <v>0</v>
      </c>
      <c r="BB62" s="284" t="n">
        <f aca="false">IFERROR(U62*$E62*$J62, "")</f>
        <v>0</v>
      </c>
      <c r="BC62" s="284" t="n">
        <f aca="false">IFERROR(V62*$E62*$J62, "")</f>
        <v>0</v>
      </c>
      <c r="BD62" s="284" t="n">
        <f aca="false">IFERROR(W62*$E62*$J62, "")</f>
        <v>0</v>
      </c>
      <c r="BE62" s="286" t="n">
        <f aca="false">IFERROR(SUMIF($AB$4:$AM$4, "RDEC", AS62:BD62), "")</f>
        <v>0</v>
      </c>
      <c r="BF62" s="286" t="n">
        <f aca="false">IFERROR(SUMIF($AB$4:$AM$4, "SME", AS62:BD62), "")</f>
        <v>0</v>
      </c>
      <c r="BG62" s="286" t="n">
        <f aca="false">IFERROR(SUMIF($AB$4:$AM$4, "De Minimis", AS62:BD62), "")</f>
        <v>0</v>
      </c>
      <c r="BH62" s="287"/>
      <c r="BI62" s="288" t="str">
        <f aca="false">IF((SUM(L62:W62)&gt;1),"ERROR","")</f>
        <v/>
      </c>
    </row>
    <row r="63" customFormat="false" ht="15" hidden="false" customHeight="true" outlineLevel="0" collapsed="false">
      <c r="A63" s="340"/>
      <c r="B63" s="350"/>
      <c r="C63" s="350"/>
      <c r="H63" s="350"/>
      <c r="I63" s="279" t="n">
        <v>1</v>
      </c>
      <c r="J63" s="281" t="n">
        <f aca="false">1-I63</f>
        <v>0</v>
      </c>
      <c r="K63" s="32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350"/>
      <c r="Y63" s="381"/>
      <c r="Z63" s="384" t="s">
        <v>71</v>
      </c>
      <c r="AA63" s="283"/>
      <c r="AB63" s="284" t="n">
        <f aca="false">IF(AND(AB$4="RDEC", $Y63="Limited Company"), "", L63*$E63*$I63)</f>
        <v>0</v>
      </c>
      <c r="AC63" s="284" t="n">
        <f aca="false">IF(AND(AC$4="RDEC", $Y63="Limited Company"), "", M63*$E63*$I63)</f>
        <v>0</v>
      </c>
      <c r="AD63" s="284" t="n">
        <f aca="false">IF(AND(AD$4="RDEC", $Y63="Limited Company"), "", N63*$E63*$I63)</f>
        <v>0</v>
      </c>
      <c r="AE63" s="284" t="n">
        <f aca="false">IF(AND(AE$4="RDEC", $Y63="Limited Company"), "", O63*$E63*$I63)</f>
        <v>0</v>
      </c>
      <c r="AF63" s="284" t="n">
        <f aca="false">IF(AND(AF$4="RDEC", $Y63="Limited Company"), "", P63*$E63*$I63)</f>
        <v>0</v>
      </c>
      <c r="AG63" s="284" t="n">
        <f aca="false">IF(AND(AG$4="RDEC", $Y63="Limited Company"), "", Q63*$E63*$I63)</f>
        <v>0</v>
      </c>
      <c r="AH63" s="284" t="n">
        <f aca="false">IF(AND(AH$4="RDEC", $Y63="Limited Company"), "", R63*$E63*$I63)</f>
        <v>0</v>
      </c>
      <c r="AI63" s="284" t="n">
        <f aca="false">IF(AND(AI$4="RDEC", $Y63="Limited Company"), "", S63*$E63*$I63)</f>
        <v>0</v>
      </c>
      <c r="AJ63" s="284" t="n">
        <f aca="false">IF(AND(AJ$4="RDEC", $Y63="Limited Company"), "", T63*$E63*$I63)</f>
        <v>0</v>
      </c>
      <c r="AK63" s="284" t="n">
        <f aca="false">IF(AND(AK$4="RDEC", $Y63="Limited Company"), "", U63*$E63*$I63)</f>
        <v>0</v>
      </c>
      <c r="AL63" s="284" t="n">
        <f aca="false">IF(AND(AL$4="RDEC", $Y63="Limited Company"), "", V63*$E63*$I63)</f>
        <v>0</v>
      </c>
      <c r="AM63" s="284" t="n">
        <f aca="false">IF(AND(AM$4="RDEC", $Y63="Limited Company"), "", W63*$E63*$I63)</f>
        <v>0</v>
      </c>
      <c r="AN63" s="286" t="n">
        <f aca="false">IFERROR(SUMIF($AB$4:$AM$4, "RDEC", AB63:AM63), "")</f>
        <v>0</v>
      </c>
      <c r="AO63" s="286" t="str">
        <f aca="false">IFERROR((IF(Z63="Yes",SUMIF($AB$4:$AM$4,"SME",AB63:AM63),"")),"")</f>
        <v/>
      </c>
      <c r="AP63" s="286" t="n">
        <f aca="false">IFERROR((IF(Z63="No",SUMIF($AB$4:$AM$4,"SME",AB63:AM63),"")),"")</f>
        <v>0</v>
      </c>
      <c r="AQ63" s="286" t="n">
        <f aca="false">IFERROR(SUMIF($AB$4:$AM$4, "De Minimis", AB63:AM63), "")</f>
        <v>0</v>
      </c>
      <c r="AR63" s="283"/>
      <c r="AS63" s="284" t="n">
        <f aca="false">IFERROR(L63*$E63*$J63, "")</f>
        <v>0</v>
      </c>
      <c r="AT63" s="284" t="n">
        <f aca="false">IFERROR(M63*$E63*$J63, "")</f>
        <v>0</v>
      </c>
      <c r="AU63" s="284" t="n">
        <f aca="false">IFERROR(N63*$E63*$J63, "")</f>
        <v>0</v>
      </c>
      <c r="AV63" s="284" t="n">
        <f aca="false">IFERROR(O63*$E63*$J63, "")</f>
        <v>0</v>
      </c>
      <c r="AW63" s="284" t="n">
        <f aca="false">IFERROR(P63*$E63*$J63, "")</f>
        <v>0</v>
      </c>
      <c r="AX63" s="284" t="n">
        <f aca="false">IFERROR(Q63*$E63*$J63, "")</f>
        <v>0</v>
      </c>
      <c r="AY63" s="284" t="n">
        <f aca="false">IFERROR(R63*$E63*$J63, "")</f>
        <v>0</v>
      </c>
      <c r="AZ63" s="284" t="n">
        <f aca="false">IFERROR(S63*$E63*$J63, "")</f>
        <v>0</v>
      </c>
      <c r="BA63" s="284" t="n">
        <f aca="false">IFERROR(T63*$E63*$J63, "")</f>
        <v>0</v>
      </c>
      <c r="BB63" s="284" t="n">
        <f aca="false">IFERROR(U63*$E63*$J63, "")</f>
        <v>0</v>
      </c>
      <c r="BC63" s="284" t="n">
        <f aca="false">IFERROR(V63*$E63*$J63, "")</f>
        <v>0</v>
      </c>
      <c r="BD63" s="284" t="n">
        <f aca="false">IFERROR(W63*$E63*$J63, "")</f>
        <v>0</v>
      </c>
      <c r="BE63" s="286" t="n">
        <f aca="false">IFERROR(SUMIF($AB$4:$AM$4, "RDEC", AS63:BD63), "")</f>
        <v>0</v>
      </c>
      <c r="BF63" s="286" t="n">
        <f aca="false">IFERROR(SUMIF($AB$4:$AM$4, "SME", AS63:BD63), "")</f>
        <v>0</v>
      </c>
      <c r="BG63" s="286" t="n">
        <f aca="false">IFERROR(SUMIF($AB$4:$AM$4, "De Minimis", AS63:BD63), "")</f>
        <v>0</v>
      </c>
      <c r="BH63" s="287"/>
      <c r="BI63" s="288" t="str">
        <f aca="false">IF((SUM(L63:W63)&gt;1),"ERROR","")</f>
        <v/>
      </c>
    </row>
    <row r="64" customFormat="false" ht="15" hidden="false" customHeight="true" outlineLevel="0" collapsed="false">
      <c r="A64" s="340"/>
      <c r="B64" s="350"/>
      <c r="C64" s="350"/>
      <c r="H64" s="350"/>
      <c r="I64" s="279" t="n">
        <v>1</v>
      </c>
      <c r="J64" s="281" t="n">
        <f aca="false">1-I64</f>
        <v>0</v>
      </c>
      <c r="K64" s="32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350"/>
      <c r="Y64" s="381"/>
      <c r="Z64" s="384" t="s">
        <v>71</v>
      </c>
      <c r="AA64" s="283"/>
      <c r="AB64" s="284" t="n">
        <f aca="false">IF(AND(AB$4="RDEC", $Y64="Limited Company"), "", L64*$E64*$I64)</f>
        <v>0</v>
      </c>
      <c r="AC64" s="284" t="n">
        <f aca="false">IF(AND(AC$4="RDEC", $Y64="Limited Company"), "", M64*$E64*$I64)</f>
        <v>0</v>
      </c>
      <c r="AD64" s="284" t="n">
        <f aca="false">IF(AND(AD$4="RDEC", $Y64="Limited Company"), "", N64*$E64*$I64)</f>
        <v>0</v>
      </c>
      <c r="AE64" s="284" t="n">
        <f aca="false">IF(AND(AE$4="RDEC", $Y64="Limited Company"), "", O64*$E64*$I64)</f>
        <v>0</v>
      </c>
      <c r="AF64" s="284" t="n">
        <f aca="false">IF(AND(AF$4="RDEC", $Y64="Limited Company"), "", P64*$E64*$I64)</f>
        <v>0</v>
      </c>
      <c r="AG64" s="284" t="n">
        <f aca="false">IF(AND(AG$4="RDEC", $Y64="Limited Company"), "", Q64*$E64*$I64)</f>
        <v>0</v>
      </c>
      <c r="AH64" s="284" t="n">
        <f aca="false">IF(AND(AH$4="RDEC", $Y64="Limited Company"), "", R64*$E64*$I64)</f>
        <v>0</v>
      </c>
      <c r="AI64" s="284" t="n">
        <f aca="false">IF(AND(AI$4="RDEC", $Y64="Limited Company"), "", S64*$E64*$I64)</f>
        <v>0</v>
      </c>
      <c r="AJ64" s="284" t="n">
        <f aca="false">IF(AND(AJ$4="RDEC", $Y64="Limited Company"), "", T64*$E64*$I64)</f>
        <v>0</v>
      </c>
      <c r="AK64" s="284" t="n">
        <f aca="false">IF(AND(AK$4="RDEC", $Y64="Limited Company"), "", U64*$E64*$I64)</f>
        <v>0</v>
      </c>
      <c r="AL64" s="284" t="n">
        <f aca="false">IF(AND(AL$4="RDEC", $Y64="Limited Company"), "", V64*$E64*$I64)</f>
        <v>0</v>
      </c>
      <c r="AM64" s="284" t="n">
        <f aca="false">IF(AND(AM$4="RDEC", $Y64="Limited Company"), "", W64*$E64*$I64)</f>
        <v>0</v>
      </c>
      <c r="AN64" s="286" t="n">
        <f aca="false">IFERROR(SUMIF($AB$4:$AM$4, "RDEC", AB64:AM64), "")</f>
        <v>0</v>
      </c>
      <c r="AO64" s="286" t="str">
        <f aca="false">IFERROR((IF(Z64="Yes",SUMIF($AB$4:$AM$4,"SME",AB64:AM64),"")),"")</f>
        <v/>
      </c>
      <c r="AP64" s="286" t="n">
        <f aca="false">IFERROR((IF(Z64="No",SUMIF($AB$4:$AM$4,"SME",AB64:AM64),"")),"")</f>
        <v>0</v>
      </c>
      <c r="AQ64" s="286" t="n">
        <f aca="false">IFERROR(SUMIF($AB$4:$AM$4, "De Minimis", AB64:AM64), "")</f>
        <v>0</v>
      </c>
      <c r="AR64" s="283"/>
      <c r="AS64" s="284" t="n">
        <f aca="false">IFERROR(L64*$E64*$J64, "")</f>
        <v>0</v>
      </c>
      <c r="AT64" s="284" t="n">
        <f aca="false">IFERROR(M64*$E64*$J64, "")</f>
        <v>0</v>
      </c>
      <c r="AU64" s="284" t="n">
        <f aca="false">IFERROR(N64*$E64*$J64, "")</f>
        <v>0</v>
      </c>
      <c r="AV64" s="284" t="n">
        <f aca="false">IFERROR(O64*$E64*$J64, "")</f>
        <v>0</v>
      </c>
      <c r="AW64" s="284" t="n">
        <f aca="false">IFERROR(P64*$E64*$J64, "")</f>
        <v>0</v>
      </c>
      <c r="AX64" s="284" t="n">
        <f aca="false">IFERROR(Q64*$E64*$J64, "")</f>
        <v>0</v>
      </c>
      <c r="AY64" s="284" t="n">
        <f aca="false">IFERROR(R64*$E64*$J64, "")</f>
        <v>0</v>
      </c>
      <c r="AZ64" s="284" t="n">
        <f aca="false">IFERROR(S64*$E64*$J64, "")</f>
        <v>0</v>
      </c>
      <c r="BA64" s="284" t="n">
        <f aca="false">IFERROR(T64*$E64*$J64, "")</f>
        <v>0</v>
      </c>
      <c r="BB64" s="284" t="n">
        <f aca="false">IFERROR(U64*$E64*$J64, "")</f>
        <v>0</v>
      </c>
      <c r="BC64" s="284" t="n">
        <f aca="false">IFERROR(V64*$E64*$J64, "")</f>
        <v>0</v>
      </c>
      <c r="BD64" s="284" t="n">
        <f aca="false">IFERROR(W64*$E64*$J64, "")</f>
        <v>0</v>
      </c>
      <c r="BE64" s="286" t="n">
        <f aca="false">IFERROR(SUMIF($AB$4:$AM$4, "RDEC", AS64:BD64), "")</f>
        <v>0</v>
      </c>
      <c r="BF64" s="286" t="n">
        <f aca="false">IFERROR(SUMIF($AB$4:$AM$4, "SME", AS64:BD64), "")</f>
        <v>0</v>
      </c>
      <c r="BG64" s="286" t="n">
        <f aca="false">IFERROR(SUMIF($AB$4:$AM$4, "De Minimis", AS64:BD64), "")</f>
        <v>0</v>
      </c>
      <c r="BH64" s="303"/>
      <c r="BI64" s="288" t="str">
        <f aca="false">IF((SUM(L64:W64)&gt;1),"ERROR","")</f>
        <v/>
      </c>
    </row>
    <row r="65" customFormat="false" ht="15" hidden="false" customHeight="true" outlineLevel="0" collapsed="false">
      <c r="A65" s="340"/>
      <c r="B65" s="350"/>
      <c r="C65" s="350"/>
      <c r="H65" s="350"/>
      <c r="I65" s="279" t="n">
        <v>1</v>
      </c>
      <c r="J65" s="281" t="n">
        <f aca="false">1-I65</f>
        <v>0</v>
      </c>
      <c r="K65" s="322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350"/>
      <c r="Y65" s="381"/>
      <c r="Z65" s="384" t="s">
        <v>71</v>
      </c>
      <c r="AA65" s="283"/>
      <c r="AB65" s="284" t="n">
        <f aca="false">IF(AND(AB$4="RDEC", $Y65="Limited Company"), "", L65*$E65*$I65)</f>
        <v>0</v>
      </c>
      <c r="AC65" s="284" t="n">
        <f aca="false">IF(AND(AC$4="RDEC", $Y65="Limited Company"), "", M65*$E65*$I65)</f>
        <v>0</v>
      </c>
      <c r="AD65" s="284" t="n">
        <f aca="false">IF(AND(AD$4="RDEC", $Y65="Limited Company"), "", N65*$E65*$I65)</f>
        <v>0</v>
      </c>
      <c r="AE65" s="284" t="n">
        <f aca="false">IF(AND(AE$4="RDEC", $Y65="Limited Company"), "", O65*$E65*$I65)</f>
        <v>0</v>
      </c>
      <c r="AF65" s="284" t="n">
        <f aca="false">IF(AND(AF$4="RDEC", $Y65="Limited Company"), "", P65*$E65*$I65)</f>
        <v>0</v>
      </c>
      <c r="AG65" s="284" t="n">
        <f aca="false">IF(AND(AG$4="RDEC", $Y65="Limited Company"), "", Q65*$E65*$I65)</f>
        <v>0</v>
      </c>
      <c r="AH65" s="284" t="n">
        <f aca="false">IF(AND(AH$4="RDEC", $Y65="Limited Company"), "", R65*$E65*$I65)</f>
        <v>0</v>
      </c>
      <c r="AI65" s="284" t="n">
        <f aca="false">IF(AND(AI$4="RDEC", $Y65="Limited Company"), "", S65*$E65*$I65)</f>
        <v>0</v>
      </c>
      <c r="AJ65" s="284" t="n">
        <f aca="false">IF(AND(AJ$4="RDEC", $Y65="Limited Company"), "", T65*$E65*$I65)</f>
        <v>0</v>
      </c>
      <c r="AK65" s="284" t="n">
        <f aca="false">IF(AND(AK$4="RDEC", $Y65="Limited Company"), "", U65*$E65*$I65)</f>
        <v>0</v>
      </c>
      <c r="AL65" s="284" t="n">
        <f aca="false">IF(AND(AL$4="RDEC", $Y65="Limited Company"), "", V65*$E65*$I65)</f>
        <v>0</v>
      </c>
      <c r="AM65" s="284" t="n">
        <f aca="false">IF(AND(AM$4="RDEC", $Y65="Limited Company"), "", W65*$E65*$I65)</f>
        <v>0</v>
      </c>
      <c r="AN65" s="286" t="n">
        <f aca="false">IFERROR(SUMIF($AB$4:$AM$4, "RDEC", AB65:AM65), "")</f>
        <v>0</v>
      </c>
      <c r="AO65" s="286" t="str">
        <f aca="false">IFERROR((IF(Z65="Yes",SUMIF($AB$4:$AM$4,"SME",AB65:AM65),"")),"")</f>
        <v/>
      </c>
      <c r="AP65" s="286" t="n">
        <f aca="false">IFERROR((IF(Z65="No",SUMIF($AB$4:$AM$4,"SME",AB65:AM65),"")),"")</f>
        <v>0</v>
      </c>
      <c r="AQ65" s="286" t="n">
        <f aca="false">IFERROR(SUMIF($AB$4:$AM$4, "De Minimis", AB65:AM65), "")</f>
        <v>0</v>
      </c>
      <c r="AR65" s="283"/>
      <c r="AS65" s="284" t="n">
        <f aca="false">IFERROR(L65*$E65*$J65, "")</f>
        <v>0</v>
      </c>
      <c r="AT65" s="284" t="n">
        <f aca="false">IFERROR(M65*$E65*$J65, "")</f>
        <v>0</v>
      </c>
      <c r="AU65" s="284" t="n">
        <f aca="false">IFERROR(N65*$E65*$J65, "")</f>
        <v>0</v>
      </c>
      <c r="AV65" s="284" t="n">
        <f aca="false">IFERROR(O65*$E65*$J65, "")</f>
        <v>0</v>
      </c>
      <c r="AW65" s="284" t="n">
        <f aca="false">IFERROR(P65*$E65*$J65, "")</f>
        <v>0</v>
      </c>
      <c r="AX65" s="284" t="n">
        <f aca="false">IFERROR(Q65*$E65*$J65, "")</f>
        <v>0</v>
      </c>
      <c r="AY65" s="284" t="n">
        <f aca="false">IFERROR(R65*$E65*$J65, "")</f>
        <v>0</v>
      </c>
      <c r="AZ65" s="284" t="n">
        <f aca="false">IFERROR(S65*$E65*$J65, "")</f>
        <v>0</v>
      </c>
      <c r="BA65" s="284" t="n">
        <f aca="false">IFERROR(T65*$E65*$J65, "")</f>
        <v>0</v>
      </c>
      <c r="BB65" s="284" t="n">
        <f aca="false">IFERROR(U65*$E65*$J65, "")</f>
        <v>0</v>
      </c>
      <c r="BC65" s="284" t="n">
        <f aca="false">IFERROR(V65*$E65*$J65, "")</f>
        <v>0</v>
      </c>
      <c r="BD65" s="284" t="n">
        <f aca="false">IFERROR(W65*$E65*$J65, "")</f>
        <v>0</v>
      </c>
      <c r="BE65" s="286" t="n">
        <f aca="false">IFERROR(SUMIF($AB$4:$AM$4, "RDEC", AS65:BD65), "")</f>
        <v>0</v>
      </c>
      <c r="BF65" s="286" t="n">
        <f aca="false">IFERROR(SUMIF($AB$4:$AM$4, "SME", AS65:BD65), "")</f>
        <v>0</v>
      </c>
      <c r="BG65" s="286" t="n">
        <f aca="false">IFERROR(SUMIF($AB$4:$AM$4, "De Minimis", AS65:BD65), "")</f>
        <v>0</v>
      </c>
      <c r="BI65" s="288" t="str">
        <f aca="false">IF((SUM(L65:W65)&gt;1),"ERROR","")</f>
        <v/>
      </c>
    </row>
    <row r="66" customFormat="false" ht="15" hidden="false" customHeight="true" outlineLevel="0" collapsed="false">
      <c r="A66" s="340"/>
      <c r="B66" s="350"/>
      <c r="C66" s="350"/>
      <c r="H66" s="350"/>
      <c r="I66" s="279" t="n">
        <v>1</v>
      </c>
      <c r="J66" s="281" t="n">
        <f aca="false">1-I66</f>
        <v>0</v>
      </c>
      <c r="K66" s="32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350"/>
      <c r="Y66" s="381"/>
      <c r="Z66" s="384" t="s">
        <v>71</v>
      </c>
      <c r="AA66" s="283"/>
      <c r="AB66" s="284" t="n">
        <f aca="false">IF(AND(AB$4="RDEC", $Y66="Limited Company"), "", L66*$E66*$I66)</f>
        <v>0</v>
      </c>
      <c r="AC66" s="284" t="n">
        <f aca="false">IF(AND(AC$4="RDEC", $Y66="Limited Company"), "", M66*$E66*$I66)</f>
        <v>0</v>
      </c>
      <c r="AD66" s="284" t="n">
        <f aca="false">IF(AND(AD$4="RDEC", $Y66="Limited Company"), "", N66*$E66*$I66)</f>
        <v>0</v>
      </c>
      <c r="AE66" s="284" t="n">
        <f aca="false">IF(AND(AE$4="RDEC", $Y66="Limited Company"), "", O66*$E66*$I66)</f>
        <v>0</v>
      </c>
      <c r="AF66" s="284" t="n">
        <f aca="false">IF(AND(AF$4="RDEC", $Y66="Limited Company"), "", P66*$E66*$I66)</f>
        <v>0</v>
      </c>
      <c r="AG66" s="284" t="n">
        <f aca="false">IF(AND(AG$4="RDEC", $Y66="Limited Company"), "", Q66*$E66*$I66)</f>
        <v>0</v>
      </c>
      <c r="AH66" s="284" t="n">
        <f aca="false">IF(AND(AH$4="RDEC", $Y66="Limited Company"), "", R66*$E66*$I66)</f>
        <v>0</v>
      </c>
      <c r="AI66" s="284" t="n">
        <f aca="false">IF(AND(AI$4="RDEC", $Y66="Limited Company"), "", S66*$E66*$I66)</f>
        <v>0</v>
      </c>
      <c r="AJ66" s="284" t="n">
        <f aca="false">IF(AND(AJ$4="RDEC", $Y66="Limited Company"), "", T66*$E66*$I66)</f>
        <v>0</v>
      </c>
      <c r="AK66" s="284" t="n">
        <f aca="false">IF(AND(AK$4="RDEC", $Y66="Limited Company"), "", U66*$E66*$I66)</f>
        <v>0</v>
      </c>
      <c r="AL66" s="284" t="n">
        <f aca="false">IF(AND(AL$4="RDEC", $Y66="Limited Company"), "", V66*$E66*$I66)</f>
        <v>0</v>
      </c>
      <c r="AM66" s="284" t="n">
        <f aca="false">IF(AND(AM$4="RDEC", $Y66="Limited Company"), "", W66*$E66*$I66)</f>
        <v>0</v>
      </c>
      <c r="AN66" s="286" t="n">
        <f aca="false">IFERROR(SUMIF($AB$4:$AM$4, "RDEC", AB66:AM66), "")</f>
        <v>0</v>
      </c>
      <c r="AO66" s="286" t="str">
        <f aca="false">IFERROR((IF(Z66="Yes",SUMIF($AB$4:$AM$4,"SME",AB66:AM66),"")),"")</f>
        <v/>
      </c>
      <c r="AP66" s="286" t="n">
        <f aca="false">IFERROR((IF(Z66="No",SUMIF($AB$4:$AM$4,"SME",AB66:AM66),"")),"")</f>
        <v>0</v>
      </c>
      <c r="AQ66" s="286" t="n">
        <f aca="false">IFERROR(SUMIF($AB$4:$AM$4, "De Minimis", AB66:AM66), "")</f>
        <v>0</v>
      </c>
      <c r="AR66" s="283"/>
      <c r="AS66" s="284" t="n">
        <f aca="false">IFERROR(L66*$E66*$J66, "")</f>
        <v>0</v>
      </c>
      <c r="AT66" s="284" t="n">
        <f aca="false">IFERROR(M66*$E66*$J66, "")</f>
        <v>0</v>
      </c>
      <c r="AU66" s="284" t="n">
        <f aca="false">IFERROR(N66*$E66*$J66, "")</f>
        <v>0</v>
      </c>
      <c r="AV66" s="284" t="n">
        <f aca="false">IFERROR(O66*$E66*$J66, "")</f>
        <v>0</v>
      </c>
      <c r="AW66" s="284" t="n">
        <f aca="false">IFERROR(P66*$E66*$J66, "")</f>
        <v>0</v>
      </c>
      <c r="AX66" s="284" t="n">
        <f aca="false">IFERROR(Q66*$E66*$J66, "")</f>
        <v>0</v>
      </c>
      <c r="AY66" s="284" t="n">
        <f aca="false">IFERROR(R66*$E66*$J66, "")</f>
        <v>0</v>
      </c>
      <c r="AZ66" s="284" t="n">
        <f aca="false">IFERROR(S66*$E66*$J66, "")</f>
        <v>0</v>
      </c>
      <c r="BA66" s="284" t="n">
        <f aca="false">IFERROR(T66*$E66*$J66, "")</f>
        <v>0</v>
      </c>
      <c r="BB66" s="284" t="n">
        <f aca="false">IFERROR(U66*$E66*$J66, "")</f>
        <v>0</v>
      </c>
      <c r="BC66" s="284" t="n">
        <f aca="false">IFERROR(V66*$E66*$J66, "")</f>
        <v>0</v>
      </c>
      <c r="BD66" s="284" t="n">
        <f aca="false">IFERROR(W66*$E66*$J66, "")</f>
        <v>0</v>
      </c>
      <c r="BE66" s="286" t="n">
        <f aca="false">IFERROR(SUMIF($AB$4:$AM$4, "RDEC", AS66:BD66), "")</f>
        <v>0</v>
      </c>
      <c r="BF66" s="286" t="n">
        <f aca="false">IFERROR(SUMIF($AB$4:$AM$4, "SME", AS66:BD66), "")</f>
        <v>0</v>
      </c>
      <c r="BG66" s="286" t="n">
        <f aca="false">IFERROR(SUMIF($AB$4:$AM$4, "De Minimis", AS66:BD66), "")</f>
        <v>0</v>
      </c>
      <c r="BH66" s="268"/>
      <c r="BI66" s="288" t="str">
        <f aca="false">IF((SUM(L66:W66)&gt;1),"ERROR","")</f>
        <v/>
      </c>
    </row>
    <row r="67" customFormat="false" ht="15" hidden="false" customHeight="true" outlineLevel="0" collapsed="false">
      <c r="A67" s="340"/>
      <c r="B67" s="350"/>
      <c r="C67" s="350"/>
      <c r="H67" s="350"/>
      <c r="I67" s="279" t="n">
        <v>1</v>
      </c>
      <c r="J67" s="281" t="n">
        <f aca="false">1-I67</f>
        <v>0</v>
      </c>
      <c r="K67" s="32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350"/>
      <c r="Y67" s="381"/>
      <c r="Z67" s="384" t="s">
        <v>71</v>
      </c>
      <c r="AA67" s="283"/>
      <c r="AB67" s="284" t="n">
        <f aca="false">IF(AND(AB$4="RDEC", $Y67="Limited Company"), "", L67*$E67*$I67)</f>
        <v>0</v>
      </c>
      <c r="AC67" s="284" t="n">
        <f aca="false">IF(AND(AC$4="RDEC", $Y67="Limited Company"), "", M67*$E67*$I67)</f>
        <v>0</v>
      </c>
      <c r="AD67" s="284" t="n">
        <f aca="false">IF(AND(AD$4="RDEC", $Y67="Limited Company"), "", N67*$E67*$I67)</f>
        <v>0</v>
      </c>
      <c r="AE67" s="284" t="n">
        <f aca="false">IF(AND(AE$4="RDEC", $Y67="Limited Company"), "", O67*$E67*$I67)</f>
        <v>0</v>
      </c>
      <c r="AF67" s="284" t="n">
        <f aca="false">IF(AND(AF$4="RDEC", $Y67="Limited Company"), "", P67*$E67*$I67)</f>
        <v>0</v>
      </c>
      <c r="AG67" s="284" t="n">
        <f aca="false">IF(AND(AG$4="RDEC", $Y67="Limited Company"), "", Q67*$E67*$I67)</f>
        <v>0</v>
      </c>
      <c r="AH67" s="284" t="n">
        <f aca="false">IF(AND(AH$4="RDEC", $Y67="Limited Company"), "", R67*$E67*$I67)</f>
        <v>0</v>
      </c>
      <c r="AI67" s="284" t="n">
        <f aca="false">IF(AND(AI$4="RDEC", $Y67="Limited Company"), "", S67*$E67*$I67)</f>
        <v>0</v>
      </c>
      <c r="AJ67" s="284" t="n">
        <f aca="false">IF(AND(AJ$4="RDEC", $Y67="Limited Company"), "", T67*$E67*$I67)</f>
        <v>0</v>
      </c>
      <c r="AK67" s="284" t="n">
        <f aca="false">IF(AND(AK$4="RDEC", $Y67="Limited Company"), "", U67*$E67*$I67)</f>
        <v>0</v>
      </c>
      <c r="AL67" s="284" t="n">
        <f aca="false">IF(AND(AL$4="RDEC", $Y67="Limited Company"), "", V67*$E67*$I67)</f>
        <v>0</v>
      </c>
      <c r="AM67" s="284" t="n">
        <f aca="false">IF(AND(AM$4="RDEC", $Y67="Limited Company"), "", W67*$E67*$I67)</f>
        <v>0</v>
      </c>
      <c r="AN67" s="286" t="n">
        <f aca="false">IFERROR(SUMIF($AB$4:$AM$4, "RDEC", AB67:AM67), "")</f>
        <v>0</v>
      </c>
      <c r="AO67" s="286" t="str">
        <f aca="false">IFERROR((IF(Z67="Yes",SUMIF($AB$4:$AM$4,"SME",AB67:AM67),"")),"")</f>
        <v/>
      </c>
      <c r="AP67" s="286" t="n">
        <f aca="false">IFERROR((IF(Z67="No",SUMIF($AB$4:$AM$4,"SME",AB67:AM67),"")),"")</f>
        <v>0</v>
      </c>
      <c r="AQ67" s="286" t="n">
        <f aca="false">IFERROR(SUMIF($AB$4:$AM$4, "De Minimis", AB67:AM67), "")</f>
        <v>0</v>
      </c>
      <c r="AR67" s="283"/>
      <c r="AS67" s="284" t="n">
        <f aca="false">IFERROR(L67*$E67*$J67, "")</f>
        <v>0</v>
      </c>
      <c r="AT67" s="284" t="n">
        <f aca="false">IFERROR(M67*$E67*$J67, "")</f>
        <v>0</v>
      </c>
      <c r="AU67" s="284" t="n">
        <f aca="false">IFERROR(N67*$E67*$J67, "")</f>
        <v>0</v>
      </c>
      <c r="AV67" s="284" t="n">
        <f aca="false">IFERROR(O67*$E67*$J67, "")</f>
        <v>0</v>
      </c>
      <c r="AW67" s="284" t="n">
        <f aca="false">IFERROR(P67*$E67*$J67, "")</f>
        <v>0</v>
      </c>
      <c r="AX67" s="284" t="n">
        <f aca="false">IFERROR(Q67*$E67*$J67, "")</f>
        <v>0</v>
      </c>
      <c r="AY67" s="284" t="n">
        <f aca="false">IFERROR(R67*$E67*$J67, "")</f>
        <v>0</v>
      </c>
      <c r="AZ67" s="284" t="n">
        <f aca="false">IFERROR(S67*$E67*$J67, "")</f>
        <v>0</v>
      </c>
      <c r="BA67" s="284" t="n">
        <f aca="false">IFERROR(T67*$E67*$J67, "")</f>
        <v>0</v>
      </c>
      <c r="BB67" s="284" t="n">
        <f aca="false">IFERROR(U67*$E67*$J67, "")</f>
        <v>0</v>
      </c>
      <c r="BC67" s="284" t="n">
        <f aca="false">IFERROR(V67*$E67*$J67, "")</f>
        <v>0</v>
      </c>
      <c r="BD67" s="284" t="n">
        <f aca="false">IFERROR(W67*$E67*$J67, "")</f>
        <v>0</v>
      </c>
      <c r="BE67" s="286" t="n">
        <f aca="false">IFERROR(SUMIF($AB$4:$AM$4, "RDEC", AS67:BD67), "")</f>
        <v>0</v>
      </c>
      <c r="BF67" s="286" t="n">
        <f aca="false">IFERROR(SUMIF($AB$4:$AM$4, "SME", AS67:BD67), "")</f>
        <v>0</v>
      </c>
      <c r="BG67" s="286" t="n">
        <f aca="false">IFERROR(SUMIF($AB$4:$AM$4, "De Minimis", AS67:BD67), "")</f>
        <v>0</v>
      </c>
      <c r="BH67" s="287"/>
      <c r="BI67" s="288" t="str">
        <f aca="false">IF((SUM(L67:W67)&gt;1),"ERROR","")</f>
        <v/>
      </c>
    </row>
    <row r="68" customFormat="false" ht="15" hidden="false" customHeight="true" outlineLevel="0" collapsed="false">
      <c r="A68" s="340"/>
      <c r="B68" s="350"/>
      <c r="C68" s="350"/>
      <c r="H68" s="350"/>
      <c r="I68" s="279" t="n">
        <v>1</v>
      </c>
      <c r="J68" s="281" t="n">
        <f aca="false">1-I68</f>
        <v>0</v>
      </c>
      <c r="K68" s="32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350"/>
      <c r="Y68" s="381"/>
      <c r="Z68" s="384" t="s">
        <v>71</v>
      </c>
      <c r="AA68" s="283"/>
      <c r="AB68" s="284" t="n">
        <f aca="false">IF(AND(AB$4="RDEC", $Y68="Limited Company"), "", L68*$E68*$I68)</f>
        <v>0</v>
      </c>
      <c r="AC68" s="284" t="n">
        <f aca="false">IF(AND(AC$4="RDEC", $Y68="Limited Company"), "", M68*$E68*$I68)</f>
        <v>0</v>
      </c>
      <c r="AD68" s="284" t="n">
        <f aca="false">IF(AND(AD$4="RDEC", $Y68="Limited Company"), "", N68*$E68*$I68)</f>
        <v>0</v>
      </c>
      <c r="AE68" s="284" t="n">
        <f aca="false">IF(AND(AE$4="RDEC", $Y68="Limited Company"), "", O68*$E68*$I68)</f>
        <v>0</v>
      </c>
      <c r="AF68" s="284" t="n">
        <f aca="false">IF(AND(AF$4="RDEC", $Y68="Limited Company"), "", P68*$E68*$I68)</f>
        <v>0</v>
      </c>
      <c r="AG68" s="284" t="n">
        <f aca="false">IF(AND(AG$4="RDEC", $Y68="Limited Company"), "", Q68*$E68*$I68)</f>
        <v>0</v>
      </c>
      <c r="AH68" s="284" t="n">
        <f aca="false">IF(AND(AH$4="RDEC", $Y68="Limited Company"), "", R68*$E68*$I68)</f>
        <v>0</v>
      </c>
      <c r="AI68" s="284" t="n">
        <f aca="false">IF(AND(AI$4="RDEC", $Y68="Limited Company"), "", S68*$E68*$I68)</f>
        <v>0</v>
      </c>
      <c r="AJ68" s="284" t="n">
        <f aca="false">IF(AND(AJ$4="RDEC", $Y68="Limited Company"), "", T68*$E68*$I68)</f>
        <v>0</v>
      </c>
      <c r="AK68" s="284" t="n">
        <f aca="false">IF(AND(AK$4="RDEC", $Y68="Limited Company"), "", U68*$E68*$I68)</f>
        <v>0</v>
      </c>
      <c r="AL68" s="284" t="n">
        <f aca="false">IF(AND(AL$4="RDEC", $Y68="Limited Company"), "", V68*$E68*$I68)</f>
        <v>0</v>
      </c>
      <c r="AM68" s="284" t="n">
        <f aca="false">IF(AND(AM$4="RDEC", $Y68="Limited Company"), "", W68*$E68*$I68)</f>
        <v>0</v>
      </c>
      <c r="AN68" s="286" t="n">
        <f aca="false">IFERROR(SUMIF($AB$4:$AM$4, "RDEC", AB68:AM68), "")</f>
        <v>0</v>
      </c>
      <c r="AO68" s="286" t="str">
        <f aca="false">IFERROR((IF(Z68="Yes",SUMIF($AB$4:$AM$4,"SME",AB68:AM68),"")),"")</f>
        <v/>
      </c>
      <c r="AP68" s="286" t="n">
        <f aca="false">IFERROR((IF(Z68="No",SUMIF($AB$4:$AM$4,"SME",AB68:AM68),"")),"")</f>
        <v>0</v>
      </c>
      <c r="AQ68" s="286" t="n">
        <f aca="false">IFERROR(SUMIF($AB$4:$AM$4, "De Minimis", AB68:AM68), "")</f>
        <v>0</v>
      </c>
      <c r="AR68" s="283"/>
      <c r="AS68" s="284" t="n">
        <f aca="false">IFERROR(L68*$E68*$J68, "")</f>
        <v>0</v>
      </c>
      <c r="AT68" s="284" t="n">
        <f aca="false">IFERROR(M68*$E68*$J68, "")</f>
        <v>0</v>
      </c>
      <c r="AU68" s="284" t="n">
        <f aca="false">IFERROR(N68*$E68*$J68, "")</f>
        <v>0</v>
      </c>
      <c r="AV68" s="284" t="n">
        <f aca="false">IFERROR(O68*$E68*$J68, "")</f>
        <v>0</v>
      </c>
      <c r="AW68" s="284" t="n">
        <f aca="false">IFERROR(P68*$E68*$J68, "")</f>
        <v>0</v>
      </c>
      <c r="AX68" s="284" t="n">
        <f aca="false">IFERROR(Q68*$E68*$J68, "")</f>
        <v>0</v>
      </c>
      <c r="AY68" s="284" t="n">
        <f aca="false">IFERROR(R68*$E68*$J68, "")</f>
        <v>0</v>
      </c>
      <c r="AZ68" s="284" t="n">
        <f aca="false">IFERROR(S68*$E68*$J68, "")</f>
        <v>0</v>
      </c>
      <c r="BA68" s="284" t="n">
        <f aca="false">IFERROR(T68*$E68*$J68, "")</f>
        <v>0</v>
      </c>
      <c r="BB68" s="284" t="n">
        <f aca="false">IFERROR(U68*$E68*$J68, "")</f>
        <v>0</v>
      </c>
      <c r="BC68" s="284" t="n">
        <f aca="false">IFERROR(V68*$E68*$J68, "")</f>
        <v>0</v>
      </c>
      <c r="BD68" s="284" t="n">
        <f aca="false">IFERROR(W68*$E68*$J68, "")</f>
        <v>0</v>
      </c>
      <c r="BE68" s="286" t="n">
        <f aca="false">IFERROR(SUMIF($AB$4:$AM$4, "RDEC", AS68:BD68), "")</f>
        <v>0</v>
      </c>
      <c r="BF68" s="286" t="n">
        <f aca="false">IFERROR(SUMIF($AB$4:$AM$4, "SME", AS68:BD68), "")</f>
        <v>0</v>
      </c>
      <c r="BG68" s="286" t="n">
        <f aca="false">IFERROR(SUMIF($AB$4:$AM$4, "De Minimis", AS68:BD68), "")</f>
        <v>0</v>
      </c>
      <c r="BH68" s="287"/>
      <c r="BI68" s="288" t="str">
        <f aca="false">IF((SUM(L68:W68)&gt;1),"ERROR","")</f>
        <v/>
      </c>
    </row>
    <row r="69" customFormat="false" ht="15" hidden="false" customHeight="true" outlineLevel="0" collapsed="false">
      <c r="A69" s="340"/>
      <c r="B69" s="350"/>
      <c r="C69" s="350"/>
      <c r="H69" s="350"/>
      <c r="I69" s="279" t="n">
        <v>1</v>
      </c>
      <c r="J69" s="281" t="n">
        <f aca="false">1-I69</f>
        <v>0</v>
      </c>
      <c r="K69" s="32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350"/>
      <c r="Y69" s="381"/>
      <c r="Z69" s="384" t="s">
        <v>71</v>
      </c>
      <c r="AA69" s="283"/>
      <c r="AB69" s="284" t="n">
        <f aca="false">IF(AND(AB$4="RDEC", $Y69="Limited Company"), "", L69*$E69*$I69)</f>
        <v>0</v>
      </c>
      <c r="AC69" s="284" t="n">
        <f aca="false">IF(AND(AC$4="RDEC", $Y69="Limited Company"), "", M69*$E69*$I69)</f>
        <v>0</v>
      </c>
      <c r="AD69" s="284" t="n">
        <f aca="false">IF(AND(AD$4="RDEC", $Y69="Limited Company"), "", N69*$E69*$I69)</f>
        <v>0</v>
      </c>
      <c r="AE69" s="284" t="n">
        <f aca="false">IF(AND(AE$4="RDEC", $Y69="Limited Company"), "", O69*$E69*$I69)</f>
        <v>0</v>
      </c>
      <c r="AF69" s="284" t="n">
        <f aca="false">IF(AND(AF$4="RDEC", $Y69="Limited Company"), "", P69*$E69*$I69)</f>
        <v>0</v>
      </c>
      <c r="AG69" s="284" t="n">
        <f aca="false">IF(AND(AG$4="RDEC", $Y69="Limited Company"), "", Q69*$E69*$I69)</f>
        <v>0</v>
      </c>
      <c r="AH69" s="284" t="n">
        <f aca="false">IF(AND(AH$4="RDEC", $Y69="Limited Company"), "", R69*$E69*$I69)</f>
        <v>0</v>
      </c>
      <c r="AI69" s="284" t="n">
        <f aca="false">IF(AND(AI$4="RDEC", $Y69="Limited Company"), "", S69*$E69*$I69)</f>
        <v>0</v>
      </c>
      <c r="AJ69" s="284" t="n">
        <f aca="false">IF(AND(AJ$4="RDEC", $Y69="Limited Company"), "", T69*$E69*$I69)</f>
        <v>0</v>
      </c>
      <c r="AK69" s="284" t="n">
        <f aca="false">IF(AND(AK$4="RDEC", $Y69="Limited Company"), "", U69*$E69*$I69)</f>
        <v>0</v>
      </c>
      <c r="AL69" s="284" t="n">
        <f aca="false">IF(AND(AL$4="RDEC", $Y69="Limited Company"), "", V69*$E69*$I69)</f>
        <v>0</v>
      </c>
      <c r="AM69" s="284" t="n">
        <f aca="false">IF(AND(AM$4="RDEC", $Y69="Limited Company"), "", W69*$E69*$I69)</f>
        <v>0</v>
      </c>
      <c r="AN69" s="286" t="n">
        <f aca="false">IFERROR(SUMIF($AB$4:$AM$4, "RDEC", AB69:AM69), "")</f>
        <v>0</v>
      </c>
      <c r="AO69" s="286" t="str">
        <f aca="false">IFERROR((IF(Z69="Yes",SUMIF($AB$4:$AM$4,"SME",AB69:AM69),"")),"")</f>
        <v/>
      </c>
      <c r="AP69" s="286" t="n">
        <f aca="false">IFERROR((IF(Z69="No",SUMIF($AB$4:$AM$4,"SME",AB69:AM69),"")),"")</f>
        <v>0</v>
      </c>
      <c r="AQ69" s="286" t="n">
        <f aca="false">IFERROR(SUMIF($AB$4:$AM$4, "De Minimis", AB69:AM69), "")</f>
        <v>0</v>
      </c>
      <c r="AR69" s="283"/>
      <c r="AS69" s="284" t="n">
        <f aca="false">IFERROR(L69*$E69*$J69, "")</f>
        <v>0</v>
      </c>
      <c r="AT69" s="284" t="n">
        <f aca="false">IFERROR(M69*$E69*$J69, "")</f>
        <v>0</v>
      </c>
      <c r="AU69" s="284" t="n">
        <f aca="false">IFERROR(N69*$E69*$J69, "")</f>
        <v>0</v>
      </c>
      <c r="AV69" s="284" t="n">
        <f aca="false">IFERROR(O69*$E69*$J69, "")</f>
        <v>0</v>
      </c>
      <c r="AW69" s="284" t="n">
        <f aca="false">IFERROR(P69*$E69*$J69, "")</f>
        <v>0</v>
      </c>
      <c r="AX69" s="284" t="n">
        <f aca="false">IFERROR(Q69*$E69*$J69, "")</f>
        <v>0</v>
      </c>
      <c r="AY69" s="284" t="n">
        <f aca="false">IFERROR(R69*$E69*$J69, "")</f>
        <v>0</v>
      </c>
      <c r="AZ69" s="284" t="n">
        <f aca="false">IFERROR(S69*$E69*$J69, "")</f>
        <v>0</v>
      </c>
      <c r="BA69" s="284" t="n">
        <f aca="false">IFERROR(T69*$E69*$J69, "")</f>
        <v>0</v>
      </c>
      <c r="BB69" s="284" t="n">
        <f aca="false">IFERROR(U69*$E69*$J69, "")</f>
        <v>0</v>
      </c>
      <c r="BC69" s="284" t="n">
        <f aca="false">IFERROR(V69*$E69*$J69, "")</f>
        <v>0</v>
      </c>
      <c r="BD69" s="284" t="n">
        <f aca="false">IFERROR(W69*$E69*$J69, "")</f>
        <v>0</v>
      </c>
      <c r="BE69" s="286" t="n">
        <f aca="false">IFERROR(SUMIF($AB$4:$AM$4, "RDEC", AS69:BD69), "")</f>
        <v>0</v>
      </c>
      <c r="BF69" s="286" t="n">
        <f aca="false">IFERROR(SUMIF($AB$4:$AM$4, "SME", AS69:BD69), "")</f>
        <v>0</v>
      </c>
      <c r="BG69" s="286" t="n">
        <f aca="false">IFERROR(SUMIF($AB$4:$AM$4, "De Minimis", AS69:BD69), "")</f>
        <v>0</v>
      </c>
      <c r="BH69" s="287"/>
      <c r="BI69" s="288" t="str">
        <f aca="false">IF((SUM(L69:W69)&gt;1),"ERROR","")</f>
        <v/>
      </c>
    </row>
    <row r="70" customFormat="false" ht="15" hidden="false" customHeight="true" outlineLevel="0" collapsed="false">
      <c r="A70" s="340"/>
      <c r="B70" s="350"/>
      <c r="C70" s="350"/>
      <c r="H70" s="350"/>
      <c r="I70" s="279" t="n">
        <v>1</v>
      </c>
      <c r="J70" s="281" t="n">
        <f aca="false">1-I70</f>
        <v>0</v>
      </c>
      <c r="K70" s="32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350"/>
      <c r="Y70" s="381"/>
      <c r="Z70" s="384" t="s">
        <v>71</v>
      </c>
      <c r="AA70" s="283"/>
      <c r="AB70" s="284" t="n">
        <f aca="false">IF(AND(AB$4="RDEC", $Y70="Limited Company"), "", L70*$E70*$I70)</f>
        <v>0</v>
      </c>
      <c r="AC70" s="284" t="n">
        <f aca="false">IF(AND(AC$4="RDEC", $Y70="Limited Company"), "", M70*$E70*$I70)</f>
        <v>0</v>
      </c>
      <c r="AD70" s="284" t="n">
        <f aca="false">IF(AND(AD$4="RDEC", $Y70="Limited Company"), "", N70*$E70*$I70)</f>
        <v>0</v>
      </c>
      <c r="AE70" s="284" t="n">
        <f aca="false">IF(AND(AE$4="RDEC", $Y70="Limited Company"), "", O70*$E70*$I70)</f>
        <v>0</v>
      </c>
      <c r="AF70" s="284" t="n">
        <f aca="false">IF(AND(AF$4="RDEC", $Y70="Limited Company"), "", P70*$E70*$I70)</f>
        <v>0</v>
      </c>
      <c r="AG70" s="284" t="n">
        <f aca="false">IF(AND(AG$4="RDEC", $Y70="Limited Company"), "", Q70*$E70*$I70)</f>
        <v>0</v>
      </c>
      <c r="AH70" s="284" t="n">
        <f aca="false">IF(AND(AH$4="RDEC", $Y70="Limited Company"), "", R70*$E70*$I70)</f>
        <v>0</v>
      </c>
      <c r="AI70" s="284" t="n">
        <f aca="false">IF(AND(AI$4="RDEC", $Y70="Limited Company"), "", S70*$E70*$I70)</f>
        <v>0</v>
      </c>
      <c r="AJ70" s="284" t="n">
        <f aca="false">IF(AND(AJ$4="RDEC", $Y70="Limited Company"), "", T70*$E70*$I70)</f>
        <v>0</v>
      </c>
      <c r="AK70" s="284" t="n">
        <f aca="false">IF(AND(AK$4="RDEC", $Y70="Limited Company"), "", U70*$E70*$I70)</f>
        <v>0</v>
      </c>
      <c r="AL70" s="284" t="n">
        <f aca="false">IF(AND(AL$4="RDEC", $Y70="Limited Company"), "", V70*$E70*$I70)</f>
        <v>0</v>
      </c>
      <c r="AM70" s="284" t="n">
        <f aca="false">IF(AND(AM$4="RDEC", $Y70="Limited Company"), "", W70*$E70*$I70)</f>
        <v>0</v>
      </c>
      <c r="AN70" s="286" t="n">
        <f aca="false">IFERROR(SUMIF($AB$4:$AM$4, "RDEC", AB70:AM70), "")</f>
        <v>0</v>
      </c>
      <c r="AO70" s="286" t="str">
        <f aca="false">IFERROR((IF(Z70="Yes",SUMIF($AB$4:$AM$4,"SME",AB70:AM70),"")),"")</f>
        <v/>
      </c>
      <c r="AP70" s="286" t="n">
        <f aca="false">IFERROR((IF(Z70="No",SUMIF($AB$4:$AM$4,"SME",AB70:AM70),"")),"")</f>
        <v>0</v>
      </c>
      <c r="AQ70" s="286" t="n">
        <f aca="false">IFERROR(SUMIF($AB$4:$AM$4, "De Minimis", AB70:AM70), "")</f>
        <v>0</v>
      </c>
      <c r="AR70" s="283"/>
      <c r="AS70" s="284" t="n">
        <f aca="false">IFERROR(L70*$E70*$J70, "")</f>
        <v>0</v>
      </c>
      <c r="AT70" s="284" t="n">
        <f aca="false">IFERROR(M70*$E70*$J70, "")</f>
        <v>0</v>
      </c>
      <c r="AU70" s="284" t="n">
        <f aca="false">IFERROR(N70*$E70*$J70, "")</f>
        <v>0</v>
      </c>
      <c r="AV70" s="284" t="n">
        <f aca="false">IFERROR(O70*$E70*$J70, "")</f>
        <v>0</v>
      </c>
      <c r="AW70" s="284" t="n">
        <f aca="false">IFERROR(P70*$E70*$J70, "")</f>
        <v>0</v>
      </c>
      <c r="AX70" s="284" t="n">
        <f aca="false">IFERROR(Q70*$E70*$J70, "")</f>
        <v>0</v>
      </c>
      <c r="AY70" s="284" t="n">
        <f aca="false">IFERROR(R70*$E70*$J70, "")</f>
        <v>0</v>
      </c>
      <c r="AZ70" s="284" t="n">
        <f aca="false">IFERROR(S70*$E70*$J70, "")</f>
        <v>0</v>
      </c>
      <c r="BA70" s="284" t="n">
        <f aca="false">IFERROR(T70*$E70*$J70, "")</f>
        <v>0</v>
      </c>
      <c r="BB70" s="284" t="n">
        <f aca="false">IFERROR(U70*$E70*$J70, "")</f>
        <v>0</v>
      </c>
      <c r="BC70" s="284" t="n">
        <f aca="false">IFERROR(V70*$E70*$J70, "")</f>
        <v>0</v>
      </c>
      <c r="BD70" s="284" t="n">
        <f aca="false">IFERROR(W70*$E70*$J70, "")</f>
        <v>0</v>
      </c>
      <c r="BE70" s="286" t="n">
        <f aca="false">IFERROR(SUMIF($AB$4:$AM$4, "RDEC", AS70:BD70), "")</f>
        <v>0</v>
      </c>
      <c r="BF70" s="286" t="n">
        <f aca="false">IFERROR(SUMIF($AB$4:$AM$4, "SME", AS70:BD70), "")</f>
        <v>0</v>
      </c>
      <c r="BG70" s="286" t="n">
        <f aca="false">IFERROR(SUMIF($AB$4:$AM$4, "De Minimis", AS70:BD70), "")</f>
        <v>0</v>
      </c>
      <c r="BH70" s="287"/>
      <c r="BI70" s="288" t="str">
        <f aca="false">IF((SUM(L70:W70)&gt;1),"ERROR","")</f>
        <v/>
      </c>
    </row>
    <row r="71" customFormat="false" ht="15" hidden="false" customHeight="true" outlineLevel="0" collapsed="false">
      <c r="A71" s="340"/>
      <c r="B71" s="350"/>
      <c r="C71" s="350"/>
      <c r="H71" s="350"/>
      <c r="I71" s="279" t="n">
        <v>1</v>
      </c>
      <c r="J71" s="281" t="n">
        <f aca="false">1-I71</f>
        <v>0</v>
      </c>
      <c r="K71" s="32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350"/>
      <c r="Y71" s="381"/>
      <c r="Z71" s="384" t="s">
        <v>71</v>
      </c>
      <c r="AA71" s="283"/>
      <c r="AB71" s="284" t="n">
        <f aca="false">IF(AND(AB$4="RDEC", $Y71="Limited Company"), "", L71*$E71*$I71)</f>
        <v>0</v>
      </c>
      <c r="AC71" s="284" t="n">
        <f aca="false">IF(AND(AC$4="RDEC", $Y71="Limited Company"), "", M71*$E71*$I71)</f>
        <v>0</v>
      </c>
      <c r="AD71" s="284" t="n">
        <f aca="false">IF(AND(AD$4="RDEC", $Y71="Limited Company"), "", N71*$E71*$I71)</f>
        <v>0</v>
      </c>
      <c r="AE71" s="284" t="n">
        <f aca="false">IF(AND(AE$4="RDEC", $Y71="Limited Company"), "", O71*$E71*$I71)</f>
        <v>0</v>
      </c>
      <c r="AF71" s="284" t="n">
        <f aca="false">IF(AND(AF$4="RDEC", $Y71="Limited Company"), "", P71*$E71*$I71)</f>
        <v>0</v>
      </c>
      <c r="AG71" s="284" t="n">
        <f aca="false">IF(AND(AG$4="RDEC", $Y71="Limited Company"), "", Q71*$E71*$I71)</f>
        <v>0</v>
      </c>
      <c r="AH71" s="284" t="n">
        <f aca="false">IF(AND(AH$4="RDEC", $Y71="Limited Company"), "", R71*$E71*$I71)</f>
        <v>0</v>
      </c>
      <c r="AI71" s="284" t="n">
        <f aca="false">IF(AND(AI$4="RDEC", $Y71="Limited Company"), "", S71*$E71*$I71)</f>
        <v>0</v>
      </c>
      <c r="AJ71" s="284" t="n">
        <f aca="false">IF(AND(AJ$4="RDEC", $Y71="Limited Company"), "", T71*$E71*$I71)</f>
        <v>0</v>
      </c>
      <c r="AK71" s="284" t="n">
        <f aca="false">IF(AND(AK$4="RDEC", $Y71="Limited Company"), "", U71*$E71*$I71)</f>
        <v>0</v>
      </c>
      <c r="AL71" s="284" t="n">
        <f aca="false">IF(AND(AL$4="RDEC", $Y71="Limited Company"), "", V71*$E71*$I71)</f>
        <v>0</v>
      </c>
      <c r="AM71" s="284" t="n">
        <f aca="false">IF(AND(AM$4="RDEC", $Y71="Limited Company"), "", W71*$E71*$I71)</f>
        <v>0</v>
      </c>
      <c r="AN71" s="286" t="n">
        <f aca="false">IFERROR(SUMIF($AB$4:$AM$4, "RDEC", AB71:AM71), "")</f>
        <v>0</v>
      </c>
      <c r="AO71" s="286" t="str">
        <f aca="false">IFERROR((IF(Z71="Yes",SUMIF($AB$4:$AM$4,"SME",AB71:AM71),"")),"")</f>
        <v/>
      </c>
      <c r="AP71" s="286" t="n">
        <f aca="false">IFERROR((IF(Z71="No",SUMIF($AB$4:$AM$4,"SME",AB71:AM71),"")),"")</f>
        <v>0</v>
      </c>
      <c r="AQ71" s="286" t="n">
        <f aca="false">IFERROR(SUMIF($AB$4:$AM$4, "De Minimis", AB71:AM71), "")</f>
        <v>0</v>
      </c>
      <c r="AR71" s="283"/>
      <c r="AS71" s="284" t="n">
        <f aca="false">IFERROR(L71*$E71*$J71, "")</f>
        <v>0</v>
      </c>
      <c r="AT71" s="284" t="n">
        <f aca="false">IFERROR(M71*$E71*$J71, "")</f>
        <v>0</v>
      </c>
      <c r="AU71" s="284" t="n">
        <f aca="false">IFERROR(N71*$E71*$J71, "")</f>
        <v>0</v>
      </c>
      <c r="AV71" s="284" t="n">
        <f aca="false">IFERROR(O71*$E71*$J71, "")</f>
        <v>0</v>
      </c>
      <c r="AW71" s="284" t="n">
        <f aca="false">IFERROR(P71*$E71*$J71, "")</f>
        <v>0</v>
      </c>
      <c r="AX71" s="284" t="n">
        <f aca="false">IFERROR(Q71*$E71*$J71, "")</f>
        <v>0</v>
      </c>
      <c r="AY71" s="284" t="n">
        <f aca="false">IFERROR(R71*$E71*$J71, "")</f>
        <v>0</v>
      </c>
      <c r="AZ71" s="284" t="n">
        <f aca="false">IFERROR(S71*$E71*$J71, "")</f>
        <v>0</v>
      </c>
      <c r="BA71" s="284" t="n">
        <f aca="false">IFERROR(T71*$E71*$J71, "")</f>
        <v>0</v>
      </c>
      <c r="BB71" s="284" t="n">
        <f aca="false">IFERROR(U71*$E71*$J71, "")</f>
        <v>0</v>
      </c>
      <c r="BC71" s="284" t="n">
        <f aca="false">IFERROR(V71*$E71*$J71, "")</f>
        <v>0</v>
      </c>
      <c r="BD71" s="284" t="n">
        <f aca="false">IFERROR(W71*$E71*$J71, "")</f>
        <v>0</v>
      </c>
      <c r="BE71" s="286" t="n">
        <f aca="false">IFERROR(SUMIF($AB$4:$AM$4, "RDEC", AS71:BD71), "")</f>
        <v>0</v>
      </c>
      <c r="BF71" s="286" t="n">
        <f aca="false">IFERROR(SUMIF($AB$4:$AM$4, "SME", AS71:BD71), "")</f>
        <v>0</v>
      </c>
      <c r="BG71" s="286" t="n">
        <f aca="false">IFERROR(SUMIF($AB$4:$AM$4, "De Minimis", AS71:BD71), "")</f>
        <v>0</v>
      </c>
      <c r="BH71" s="287"/>
      <c r="BI71" s="288" t="str">
        <f aca="false">IF((SUM(L71:W71)&gt;1),"ERROR","")</f>
        <v/>
      </c>
    </row>
    <row r="72" customFormat="false" ht="15" hidden="false" customHeight="true" outlineLevel="0" collapsed="false">
      <c r="A72" s="340"/>
      <c r="B72" s="350"/>
      <c r="C72" s="350"/>
      <c r="H72" s="350"/>
      <c r="I72" s="279" t="n">
        <v>1</v>
      </c>
      <c r="J72" s="281" t="n">
        <f aca="false">1-I72</f>
        <v>0</v>
      </c>
      <c r="K72" s="32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350"/>
      <c r="Y72" s="381"/>
      <c r="Z72" s="384" t="s">
        <v>71</v>
      </c>
      <c r="AA72" s="283"/>
      <c r="AB72" s="284" t="n">
        <f aca="false">IF(AND(AB$4="RDEC", $Y72="Limited Company"), "", L72*$E72*$I72)</f>
        <v>0</v>
      </c>
      <c r="AC72" s="284" t="n">
        <f aca="false">IF(AND(AC$4="RDEC", $Y72="Limited Company"), "", M72*$E72*$I72)</f>
        <v>0</v>
      </c>
      <c r="AD72" s="284" t="n">
        <f aca="false">IF(AND(AD$4="RDEC", $Y72="Limited Company"), "", N72*$E72*$I72)</f>
        <v>0</v>
      </c>
      <c r="AE72" s="284" t="n">
        <f aca="false">IF(AND(AE$4="RDEC", $Y72="Limited Company"), "", O72*$E72*$I72)</f>
        <v>0</v>
      </c>
      <c r="AF72" s="284" t="n">
        <f aca="false">IF(AND(AF$4="RDEC", $Y72="Limited Company"), "", P72*$E72*$I72)</f>
        <v>0</v>
      </c>
      <c r="AG72" s="284" t="n">
        <f aca="false">IF(AND(AG$4="RDEC", $Y72="Limited Company"), "", Q72*$E72*$I72)</f>
        <v>0</v>
      </c>
      <c r="AH72" s="284" t="n">
        <f aca="false">IF(AND(AH$4="RDEC", $Y72="Limited Company"), "", R72*$E72*$I72)</f>
        <v>0</v>
      </c>
      <c r="AI72" s="284" t="n">
        <f aca="false">IF(AND(AI$4="RDEC", $Y72="Limited Company"), "", S72*$E72*$I72)</f>
        <v>0</v>
      </c>
      <c r="AJ72" s="284" t="n">
        <f aca="false">IF(AND(AJ$4="RDEC", $Y72="Limited Company"), "", T72*$E72*$I72)</f>
        <v>0</v>
      </c>
      <c r="AK72" s="284" t="n">
        <f aca="false">IF(AND(AK$4="RDEC", $Y72="Limited Company"), "", U72*$E72*$I72)</f>
        <v>0</v>
      </c>
      <c r="AL72" s="284" t="n">
        <f aca="false">IF(AND(AL$4="RDEC", $Y72="Limited Company"), "", V72*$E72*$I72)</f>
        <v>0</v>
      </c>
      <c r="AM72" s="284" t="n">
        <f aca="false">IF(AND(AM$4="RDEC", $Y72="Limited Company"), "", W72*$E72*$I72)</f>
        <v>0</v>
      </c>
      <c r="AN72" s="286" t="n">
        <f aca="false">IFERROR(SUMIF($AB$4:$AM$4, "RDEC", AB72:AM72), "")</f>
        <v>0</v>
      </c>
      <c r="AO72" s="286" t="str">
        <f aca="false">IFERROR((IF(Z72="Yes",SUMIF($AB$4:$AM$4,"SME",AB72:AM72),"")),"")</f>
        <v/>
      </c>
      <c r="AP72" s="286" t="n">
        <f aca="false">IFERROR((IF(Z72="No",SUMIF($AB$4:$AM$4,"SME",AB72:AM72),"")),"")</f>
        <v>0</v>
      </c>
      <c r="AQ72" s="286" t="n">
        <f aca="false">IFERROR(SUMIF($AB$4:$AM$4, "De Minimis", AB72:AM72), "")</f>
        <v>0</v>
      </c>
      <c r="AR72" s="283"/>
      <c r="AS72" s="284" t="n">
        <f aca="false">IFERROR(L72*$E72*$J72, "")</f>
        <v>0</v>
      </c>
      <c r="AT72" s="284" t="n">
        <f aca="false">IFERROR(M72*$E72*$J72, "")</f>
        <v>0</v>
      </c>
      <c r="AU72" s="284" t="n">
        <f aca="false">IFERROR(N72*$E72*$J72, "")</f>
        <v>0</v>
      </c>
      <c r="AV72" s="284" t="n">
        <f aca="false">IFERROR(O72*$E72*$J72, "")</f>
        <v>0</v>
      </c>
      <c r="AW72" s="284" t="n">
        <f aca="false">IFERROR(P72*$E72*$J72, "")</f>
        <v>0</v>
      </c>
      <c r="AX72" s="284" t="n">
        <f aca="false">IFERROR(Q72*$E72*$J72, "")</f>
        <v>0</v>
      </c>
      <c r="AY72" s="284" t="n">
        <f aca="false">IFERROR(R72*$E72*$J72, "")</f>
        <v>0</v>
      </c>
      <c r="AZ72" s="284" t="n">
        <f aca="false">IFERROR(S72*$E72*$J72, "")</f>
        <v>0</v>
      </c>
      <c r="BA72" s="284" t="n">
        <f aca="false">IFERROR(T72*$E72*$J72, "")</f>
        <v>0</v>
      </c>
      <c r="BB72" s="284" t="n">
        <f aca="false">IFERROR(U72*$E72*$J72, "")</f>
        <v>0</v>
      </c>
      <c r="BC72" s="284" t="n">
        <f aca="false">IFERROR(V72*$E72*$J72, "")</f>
        <v>0</v>
      </c>
      <c r="BD72" s="284" t="n">
        <f aca="false">IFERROR(W72*$E72*$J72, "")</f>
        <v>0</v>
      </c>
      <c r="BE72" s="286" t="n">
        <f aca="false">IFERROR(SUMIF($AB$4:$AM$4, "RDEC", AS72:BD72), "")</f>
        <v>0</v>
      </c>
      <c r="BF72" s="286" t="n">
        <f aca="false">IFERROR(SUMIF($AB$4:$AM$4, "SME", AS72:BD72), "")</f>
        <v>0</v>
      </c>
      <c r="BG72" s="286" t="n">
        <f aca="false">IFERROR(SUMIF($AB$4:$AM$4, "De Minimis", AS72:BD72), "")</f>
        <v>0</v>
      </c>
      <c r="BH72" s="287"/>
      <c r="BI72" s="288" t="str">
        <f aca="false">IF((SUM(L72:W72)&gt;1),"ERROR","")</f>
        <v/>
      </c>
    </row>
    <row r="73" customFormat="false" ht="15" hidden="false" customHeight="true" outlineLevel="0" collapsed="false">
      <c r="A73" s="340"/>
      <c r="B73" s="350"/>
      <c r="C73" s="350"/>
      <c r="H73" s="350"/>
      <c r="I73" s="279" t="n">
        <v>1</v>
      </c>
      <c r="J73" s="281" t="n">
        <f aca="false">1-I73</f>
        <v>0</v>
      </c>
      <c r="K73" s="32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350"/>
      <c r="Y73" s="381"/>
      <c r="Z73" s="384" t="s">
        <v>71</v>
      </c>
      <c r="AA73" s="283"/>
      <c r="AB73" s="284" t="n">
        <f aca="false">IF(AND(AB$4="RDEC", $Y73="Limited Company"), "", L73*$E73*$I73)</f>
        <v>0</v>
      </c>
      <c r="AC73" s="284" t="n">
        <f aca="false">IF(AND(AC$4="RDEC", $Y73="Limited Company"), "", M73*$E73*$I73)</f>
        <v>0</v>
      </c>
      <c r="AD73" s="284" t="n">
        <f aca="false">IF(AND(AD$4="RDEC", $Y73="Limited Company"), "", N73*$E73*$I73)</f>
        <v>0</v>
      </c>
      <c r="AE73" s="284" t="n">
        <f aca="false">IF(AND(AE$4="RDEC", $Y73="Limited Company"), "", O73*$E73*$I73)</f>
        <v>0</v>
      </c>
      <c r="AF73" s="284" t="n">
        <f aca="false">IF(AND(AF$4="RDEC", $Y73="Limited Company"), "", P73*$E73*$I73)</f>
        <v>0</v>
      </c>
      <c r="AG73" s="284" t="n">
        <f aca="false">IF(AND(AG$4="RDEC", $Y73="Limited Company"), "", Q73*$E73*$I73)</f>
        <v>0</v>
      </c>
      <c r="AH73" s="284" t="n">
        <f aca="false">IF(AND(AH$4="RDEC", $Y73="Limited Company"), "", R73*$E73*$I73)</f>
        <v>0</v>
      </c>
      <c r="AI73" s="284" t="n">
        <f aca="false">IF(AND(AI$4="RDEC", $Y73="Limited Company"), "", S73*$E73*$I73)</f>
        <v>0</v>
      </c>
      <c r="AJ73" s="284" t="n">
        <f aca="false">IF(AND(AJ$4="RDEC", $Y73="Limited Company"), "", T73*$E73*$I73)</f>
        <v>0</v>
      </c>
      <c r="AK73" s="284" t="n">
        <f aca="false">IF(AND(AK$4="RDEC", $Y73="Limited Company"), "", U73*$E73*$I73)</f>
        <v>0</v>
      </c>
      <c r="AL73" s="284" t="n">
        <f aca="false">IF(AND(AL$4="RDEC", $Y73="Limited Company"), "", V73*$E73*$I73)</f>
        <v>0</v>
      </c>
      <c r="AM73" s="284" t="n">
        <f aca="false">IF(AND(AM$4="RDEC", $Y73="Limited Company"), "", W73*$E73*$I73)</f>
        <v>0</v>
      </c>
      <c r="AN73" s="286" t="n">
        <f aca="false">IFERROR(SUMIF($AB$4:$AM$4, "RDEC", AB73:AM73), "")</f>
        <v>0</v>
      </c>
      <c r="AO73" s="286" t="str">
        <f aca="false">IFERROR((IF(Z73="Yes",SUMIF($AB$4:$AM$4,"SME",AB73:AM73),"")),"")</f>
        <v/>
      </c>
      <c r="AP73" s="286" t="n">
        <f aca="false">IFERROR((IF(Z73="No",SUMIF($AB$4:$AM$4,"SME",AB73:AM73),"")),"")</f>
        <v>0</v>
      </c>
      <c r="AQ73" s="286" t="n">
        <f aca="false">IFERROR(SUMIF($AB$4:$AM$4, "De Minimis", AB73:AM73), "")</f>
        <v>0</v>
      </c>
      <c r="AR73" s="283"/>
      <c r="AS73" s="284" t="n">
        <f aca="false">IFERROR(L73*$E73*$J73, "")</f>
        <v>0</v>
      </c>
      <c r="AT73" s="284" t="n">
        <f aca="false">IFERROR(M73*$E73*$J73, "")</f>
        <v>0</v>
      </c>
      <c r="AU73" s="284" t="n">
        <f aca="false">IFERROR(N73*$E73*$J73, "")</f>
        <v>0</v>
      </c>
      <c r="AV73" s="284" t="n">
        <f aca="false">IFERROR(O73*$E73*$J73, "")</f>
        <v>0</v>
      </c>
      <c r="AW73" s="284" t="n">
        <f aca="false">IFERROR(P73*$E73*$J73, "")</f>
        <v>0</v>
      </c>
      <c r="AX73" s="284" t="n">
        <f aca="false">IFERROR(Q73*$E73*$J73, "")</f>
        <v>0</v>
      </c>
      <c r="AY73" s="284" t="n">
        <f aca="false">IFERROR(R73*$E73*$J73, "")</f>
        <v>0</v>
      </c>
      <c r="AZ73" s="284" t="n">
        <f aca="false">IFERROR(S73*$E73*$J73, "")</f>
        <v>0</v>
      </c>
      <c r="BA73" s="284" t="n">
        <f aca="false">IFERROR(T73*$E73*$J73, "")</f>
        <v>0</v>
      </c>
      <c r="BB73" s="284" t="n">
        <f aca="false">IFERROR(U73*$E73*$J73, "")</f>
        <v>0</v>
      </c>
      <c r="BC73" s="284" t="n">
        <f aca="false">IFERROR(V73*$E73*$J73, "")</f>
        <v>0</v>
      </c>
      <c r="BD73" s="284" t="n">
        <f aca="false">IFERROR(W73*$E73*$J73, "")</f>
        <v>0</v>
      </c>
      <c r="BE73" s="286" t="n">
        <f aca="false">IFERROR(SUMIF($AB$4:$AM$4, "RDEC", AS73:BD73), "")</f>
        <v>0</v>
      </c>
      <c r="BF73" s="286" t="n">
        <f aca="false">IFERROR(SUMIF($AB$4:$AM$4, "SME", AS73:BD73), "")</f>
        <v>0</v>
      </c>
      <c r="BG73" s="286" t="n">
        <f aca="false">IFERROR(SUMIF($AB$4:$AM$4, "De Minimis", AS73:BD73), "")</f>
        <v>0</v>
      </c>
      <c r="BH73" s="287"/>
      <c r="BI73" s="288" t="str">
        <f aca="false">IF((SUM(L73:W73)&gt;1),"ERROR","")</f>
        <v/>
      </c>
    </row>
    <row r="74" customFormat="false" ht="15" hidden="false" customHeight="true" outlineLevel="0" collapsed="false">
      <c r="A74" s="340"/>
      <c r="B74" s="350"/>
      <c r="C74" s="350"/>
      <c r="H74" s="350"/>
      <c r="I74" s="279" t="n">
        <v>1</v>
      </c>
      <c r="J74" s="281" t="n">
        <f aca="false">1-I74</f>
        <v>0</v>
      </c>
      <c r="K74" s="32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350"/>
      <c r="Y74" s="381"/>
      <c r="Z74" s="384" t="s">
        <v>71</v>
      </c>
      <c r="AA74" s="283"/>
      <c r="AB74" s="284" t="n">
        <f aca="false">IF(AND(AB$4="RDEC", $Y74="Limited Company"), "", L74*$E74*$I74)</f>
        <v>0</v>
      </c>
      <c r="AC74" s="284" t="n">
        <f aca="false">IF(AND(AC$4="RDEC", $Y74="Limited Company"), "", M74*$E74*$I74)</f>
        <v>0</v>
      </c>
      <c r="AD74" s="284" t="n">
        <f aca="false">IF(AND(AD$4="RDEC", $Y74="Limited Company"), "", N74*$E74*$I74)</f>
        <v>0</v>
      </c>
      <c r="AE74" s="284" t="n">
        <f aca="false">IF(AND(AE$4="RDEC", $Y74="Limited Company"), "", O74*$E74*$I74)</f>
        <v>0</v>
      </c>
      <c r="AF74" s="284" t="n">
        <f aca="false">IF(AND(AF$4="RDEC", $Y74="Limited Company"), "", P74*$E74*$I74)</f>
        <v>0</v>
      </c>
      <c r="AG74" s="284" t="n">
        <f aca="false">IF(AND(AG$4="RDEC", $Y74="Limited Company"), "", Q74*$E74*$I74)</f>
        <v>0</v>
      </c>
      <c r="AH74" s="284" t="n">
        <f aca="false">IF(AND(AH$4="RDEC", $Y74="Limited Company"), "", R74*$E74*$I74)</f>
        <v>0</v>
      </c>
      <c r="AI74" s="284" t="n">
        <f aca="false">IF(AND(AI$4="RDEC", $Y74="Limited Company"), "", S74*$E74*$I74)</f>
        <v>0</v>
      </c>
      <c r="AJ74" s="284" t="n">
        <f aca="false">IF(AND(AJ$4="RDEC", $Y74="Limited Company"), "", T74*$E74*$I74)</f>
        <v>0</v>
      </c>
      <c r="AK74" s="284" t="n">
        <f aca="false">IF(AND(AK$4="RDEC", $Y74="Limited Company"), "", U74*$E74*$I74)</f>
        <v>0</v>
      </c>
      <c r="AL74" s="284" t="n">
        <f aca="false">IF(AND(AL$4="RDEC", $Y74="Limited Company"), "", V74*$E74*$I74)</f>
        <v>0</v>
      </c>
      <c r="AM74" s="284" t="n">
        <f aca="false">IF(AND(AM$4="RDEC", $Y74="Limited Company"), "", W74*$E74*$I74)</f>
        <v>0</v>
      </c>
      <c r="AN74" s="286" t="n">
        <f aca="false">IFERROR(SUMIF($AB$4:$AM$4, "RDEC", AB74:AM74), "")</f>
        <v>0</v>
      </c>
      <c r="AO74" s="286" t="str">
        <f aca="false">IFERROR((IF(Z74="Yes",SUMIF($AB$4:$AM$4,"SME",AB74:AM74),"")),"")</f>
        <v/>
      </c>
      <c r="AP74" s="286" t="n">
        <f aca="false">IFERROR((IF(Z74="No",SUMIF($AB$4:$AM$4,"SME",AB74:AM74),"")),"")</f>
        <v>0</v>
      </c>
      <c r="AQ74" s="286" t="n">
        <f aca="false">IFERROR(SUMIF($AB$4:$AM$4, "De Minimis", AB74:AM74), "")</f>
        <v>0</v>
      </c>
      <c r="AR74" s="283"/>
      <c r="AS74" s="284" t="n">
        <f aca="false">IFERROR(L74*$E74*$J74, "")</f>
        <v>0</v>
      </c>
      <c r="AT74" s="284" t="n">
        <f aca="false">IFERROR(M74*$E74*$J74, "")</f>
        <v>0</v>
      </c>
      <c r="AU74" s="284" t="n">
        <f aca="false">IFERROR(N74*$E74*$J74, "")</f>
        <v>0</v>
      </c>
      <c r="AV74" s="284" t="n">
        <f aca="false">IFERROR(O74*$E74*$J74, "")</f>
        <v>0</v>
      </c>
      <c r="AW74" s="284" t="n">
        <f aca="false">IFERROR(P74*$E74*$J74, "")</f>
        <v>0</v>
      </c>
      <c r="AX74" s="284" t="n">
        <f aca="false">IFERROR(Q74*$E74*$J74, "")</f>
        <v>0</v>
      </c>
      <c r="AY74" s="284" t="n">
        <f aca="false">IFERROR(R74*$E74*$J74, "")</f>
        <v>0</v>
      </c>
      <c r="AZ74" s="284" t="n">
        <f aca="false">IFERROR(S74*$E74*$J74, "")</f>
        <v>0</v>
      </c>
      <c r="BA74" s="284" t="n">
        <f aca="false">IFERROR(T74*$E74*$J74, "")</f>
        <v>0</v>
      </c>
      <c r="BB74" s="284" t="n">
        <f aca="false">IFERROR(U74*$E74*$J74, "")</f>
        <v>0</v>
      </c>
      <c r="BC74" s="284" t="n">
        <f aca="false">IFERROR(V74*$E74*$J74, "")</f>
        <v>0</v>
      </c>
      <c r="BD74" s="284" t="n">
        <f aca="false">IFERROR(W74*$E74*$J74, "")</f>
        <v>0</v>
      </c>
      <c r="BE74" s="286" t="n">
        <f aca="false">IFERROR(SUMIF($AB$4:$AM$4, "RDEC", AS74:BD74), "")</f>
        <v>0</v>
      </c>
      <c r="BF74" s="286" t="n">
        <f aca="false">IFERROR(SUMIF($AB$4:$AM$4, "SME", AS74:BD74), "")</f>
        <v>0</v>
      </c>
      <c r="BG74" s="286" t="n">
        <f aca="false">IFERROR(SUMIF($AB$4:$AM$4, "De Minimis", AS74:BD74), "")</f>
        <v>0</v>
      </c>
      <c r="BH74" s="287"/>
      <c r="BI74" s="288" t="str">
        <f aca="false">IF((SUM(L74:W74)&gt;1),"ERROR","")</f>
        <v/>
      </c>
    </row>
    <row r="75" customFormat="false" ht="15" hidden="false" customHeight="true" outlineLevel="0" collapsed="false">
      <c r="A75" s="340"/>
      <c r="B75" s="350"/>
      <c r="C75" s="350"/>
      <c r="H75" s="350"/>
      <c r="I75" s="279" t="n">
        <v>1</v>
      </c>
      <c r="J75" s="281" t="n">
        <f aca="false">1-I75</f>
        <v>0</v>
      </c>
      <c r="K75" s="32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350"/>
      <c r="Y75" s="381"/>
      <c r="Z75" s="384" t="s">
        <v>71</v>
      </c>
      <c r="AA75" s="283"/>
      <c r="AB75" s="284" t="n">
        <f aca="false">IF(AND(AB$4="RDEC", $Y75="Limited Company"), "", L75*$E75*$I75)</f>
        <v>0</v>
      </c>
      <c r="AC75" s="284" t="n">
        <f aca="false">IF(AND(AC$4="RDEC", $Y75="Limited Company"), "", M75*$E75*$I75)</f>
        <v>0</v>
      </c>
      <c r="AD75" s="284" t="n">
        <f aca="false">IF(AND(AD$4="RDEC", $Y75="Limited Company"), "", N75*$E75*$I75)</f>
        <v>0</v>
      </c>
      <c r="AE75" s="284" t="n">
        <f aca="false">IF(AND(AE$4="RDEC", $Y75="Limited Company"), "", O75*$E75*$I75)</f>
        <v>0</v>
      </c>
      <c r="AF75" s="284" t="n">
        <f aca="false">IF(AND(AF$4="RDEC", $Y75="Limited Company"), "", P75*$E75*$I75)</f>
        <v>0</v>
      </c>
      <c r="AG75" s="284" t="n">
        <f aca="false">IF(AND(AG$4="RDEC", $Y75="Limited Company"), "", Q75*$E75*$I75)</f>
        <v>0</v>
      </c>
      <c r="AH75" s="284" t="n">
        <f aca="false">IF(AND(AH$4="RDEC", $Y75="Limited Company"), "", R75*$E75*$I75)</f>
        <v>0</v>
      </c>
      <c r="AI75" s="284" t="n">
        <f aca="false">IF(AND(AI$4="RDEC", $Y75="Limited Company"), "", S75*$E75*$I75)</f>
        <v>0</v>
      </c>
      <c r="AJ75" s="284" t="n">
        <f aca="false">IF(AND(AJ$4="RDEC", $Y75="Limited Company"), "", T75*$E75*$I75)</f>
        <v>0</v>
      </c>
      <c r="AK75" s="284" t="n">
        <f aca="false">IF(AND(AK$4="RDEC", $Y75="Limited Company"), "", U75*$E75*$I75)</f>
        <v>0</v>
      </c>
      <c r="AL75" s="284" t="n">
        <f aca="false">IF(AND(AL$4="RDEC", $Y75="Limited Company"), "", V75*$E75*$I75)</f>
        <v>0</v>
      </c>
      <c r="AM75" s="284" t="n">
        <f aca="false">IF(AND(AM$4="RDEC", $Y75="Limited Company"), "", W75*$E75*$I75)</f>
        <v>0</v>
      </c>
      <c r="AN75" s="286" t="n">
        <f aca="false">IFERROR(SUMIF($AB$4:$AM$4, "RDEC", AB75:AM75), "")</f>
        <v>0</v>
      </c>
      <c r="AO75" s="286" t="str">
        <f aca="false">IFERROR((IF(Z75="Yes",SUMIF($AB$4:$AM$4,"SME",AB75:AM75),"")),"")</f>
        <v/>
      </c>
      <c r="AP75" s="286" t="n">
        <f aca="false">IFERROR((IF(Z75="No",SUMIF($AB$4:$AM$4,"SME",AB75:AM75),"")),"")</f>
        <v>0</v>
      </c>
      <c r="AQ75" s="286" t="n">
        <f aca="false">IFERROR(SUMIF($AB$4:$AM$4, "De Minimis", AB75:AM75), "")</f>
        <v>0</v>
      </c>
      <c r="AR75" s="283"/>
      <c r="AS75" s="284" t="n">
        <f aca="false">IFERROR(L75*$E75*$J75, "")</f>
        <v>0</v>
      </c>
      <c r="AT75" s="284" t="n">
        <f aca="false">IFERROR(M75*$E75*$J75, "")</f>
        <v>0</v>
      </c>
      <c r="AU75" s="284" t="n">
        <f aca="false">IFERROR(N75*$E75*$J75, "")</f>
        <v>0</v>
      </c>
      <c r="AV75" s="284" t="n">
        <f aca="false">IFERROR(O75*$E75*$J75, "")</f>
        <v>0</v>
      </c>
      <c r="AW75" s="284" t="n">
        <f aca="false">IFERROR(P75*$E75*$J75, "")</f>
        <v>0</v>
      </c>
      <c r="AX75" s="284" t="n">
        <f aca="false">IFERROR(Q75*$E75*$J75, "")</f>
        <v>0</v>
      </c>
      <c r="AY75" s="284" t="n">
        <f aca="false">IFERROR(R75*$E75*$J75, "")</f>
        <v>0</v>
      </c>
      <c r="AZ75" s="284" t="n">
        <f aca="false">IFERROR(S75*$E75*$J75, "")</f>
        <v>0</v>
      </c>
      <c r="BA75" s="284" t="n">
        <f aca="false">IFERROR(T75*$E75*$J75, "")</f>
        <v>0</v>
      </c>
      <c r="BB75" s="284" t="n">
        <f aca="false">IFERROR(U75*$E75*$J75, "")</f>
        <v>0</v>
      </c>
      <c r="BC75" s="284" t="n">
        <f aca="false">IFERROR(V75*$E75*$J75, "")</f>
        <v>0</v>
      </c>
      <c r="BD75" s="284" t="n">
        <f aca="false">IFERROR(W75*$E75*$J75, "")</f>
        <v>0</v>
      </c>
      <c r="BE75" s="286" t="n">
        <f aca="false">IFERROR(SUMIF($AB$4:$AM$4, "RDEC", AS75:BD75), "")</f>
        <v>0</v>
      </c>
      <c r="BF75" s="286" t="n">
        <f aca="false">IFERROR(SUMIF($AB$4:$AM$4, "SME", AS75:BD75), "")</f>
        <v>0</v>
      </c>
      <c r="BG75" s="286" t="n">
        <f aca="false">IFERROR(SUMIF($AB$4:$AM$4, "De Minimis", AS75:BD75), "")</f>
        <v>0</v>
      </c>
      <c r="BH75" s="287"/>
      <c r="BI75" s="288" t="str">
        <f aca="false">IF((SUM(L75:W75)&gt;1),"ERROR","")</f>
        <v/>
      </c>
    </row>
    <row r="76" customFormat="false" ht="15" hidden="false" customHeight="true" outlineLevel="0" collapsed="false">
      <c r="A76" s="340"/>
      <c r="B76" s="350"/>
      <c r="C76" s="350"/>
      <c r="H76" s="350"/>
      <c r="I76" s="279" t="n">
        <v>1</v>
      </c>
      <c r="J76" s="281" t="n">
        <f aca="false">1-I76</f>
        <v>0</v>
      </c>
      <c r="K76" s="32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350"/>
      <c r="Y76" s="381"/>
      <c r="Z76" s="384" t="s">
        <v>71</v>
      </c>
      <c r="AA76" s="283"/>
      <c r="AB76" s="284" t="n">
        <f aca="false">IF(AND(AB$4="RDEC", $Y76="Limited Company"), "", L76*$E76*$I76)</f>
        <v>0</v>
      </c>
      <c r="AC76" s="284" t="n">
        <f aca="false">IF(AND(AC$4="RDEC", $Y76="Limited Company"), "", M76*$E76*$I76)</f>
        <v>0</v>
      </c>
      <c r="AD76" s="284" t="n">
        <f aca="false">IF(AND(AD$4="RDEC", $Y76="Limited Company"), "", N76*$E76*$I76)</f>
        <v>0</v>
      </c>
      <c r="AE76" s="284" t="n">
        <f aca="false">IF(AND(AE$4="RDEC", $Y76="Limited Company"), "", O76*$E76*$I76)</f>
        <v>0</v>
      </c>
      <c r="AF76" s="284" t="n">
        <f aca="false">IF(AND(AF$4="RDEC", $Y76="Limited Company"), "", P76*$E76*$I76)</f>
        <v>0</v>
      </c>
      <c r="AG76" s="284" t="n">
        <f aca="false">IF(AND(AG$4="RDEC", $Y76="Limited Company"), "", Q76*$E76*$I76)</f>
        <v>0</v>
      </c>
      <c r="AH76" s="284" t="n">
        <f aca="false">IF(AND(AH$4="RDEC", $Y76="Limited Company"), "", R76*$E76*$I76)</f>
        <v>0</v>
      </c>
      <c r="AI76" s="284" t="n">
        <f aca="false">IF(AND(AI$4="RDEC", $Y76="Limited Company"), "", S76*$E76*$I76)</f>
        <v>0</v>
      </c>
      <c r="AJ76" s="284" t="n">
        <f aca="false">IF(AND(AJ$4="RDEC", $Y76="Limited Company"), "", T76*$E76*$I76)</f>
        <v>0</v>
      </c>
      <c r="AK76" s="284" t="n">
        <f aca="false">IF(AND(AK$4="RDEC", $Y76="Limited Company"), "", U76*$E76*$I76)</f>
        <v>0</v>
      </c>
      <c r="AL76" s="284" t="n">
        <f aca="false">IF(AND(AL$4="RDEC", $Y76="Limited Company"), "", V76*$E76*$I76)</f>
        <v>0</v>
      </c>
      <c r="AM76" s="284" t="n">
        <f aca="false">IF(AND(AM$4="RDEC", $Y76="Limited Company"), "", W76*$E76*$I76)</f>
        <v>0</v>
      </c>
      <c r="AN76" s="286" t="n">
        <f aca="false">IFERROR(SUMIF($AB$4:$AM$4, "RDEC", AB76:AM76), "")</f>
        <v>0</v>
      </c>
      <c r="AO76" s="286" t="str">
        <f aca="false">IFERROR((IF(Z76="Yes",SUMIF($AB$4:$AM$4,"SME",AB76:AM76),"")),"")</f>
        <v/>
      </c>
      <c r="AP76" s="286" t="n">
        <f aca="false">IFERROR((IF(Z76="No",SUMIF($AB$4:$AM$4,"SME",AB76:AM76),"")),"")</f>
        <v>0</v>
      </c>
      <c r="AQ76" s="286" t="n">
        <f aca="false">IFERROR(SUMIF($AB$4:$AM$4, "De Minimis", AB76:AM76), "")</f>
        <v>0</v>
      </c>
      <c r="AR76" s="283"/>
      <c r="AS76" s="284" t="n">
        <f aca="false">IFERROR(L76*$E76*$J76, "")</f>
        <v>0</v>
      </c>
      <c r="AT76" s="284" t="n">
        <f aca="false">IFERROR(M76*$E76*$J76, "")</f>
        <v>0</v>
      </c>
      <c r="AU76" s="284" t="n">
        <f aca="false">IFERROR(N76*$E76*$J76, "")</f>
        <v>0</v>
      </c>
      <c r="AV76" s="284" t="n">
        <f aca="false">IFERROR(O76*$E76*$J76, "")</f>
        <v>0</v>
      </c>
      <c r="AW76" s="284" t="n">
        <f aca="false">IFERROR(P76*$E76*$J76, "")</f>
        <v>0</v>
      </c>
      <c r="AX76" s="284" t="n">
        <f aca="false">IFERROR(Q76*$E76*$J76, "")</f>
        <v>0</v>
      </c>
      <c r="AY76" s="284" t="n">
        <f aca="false">IFERROR(R76*$E76*$J76, "")</f>
        <v>0</v>
      </c>
      <c r="AZ76" s="284" t="n">
        <f aca="false">IFERROR(S76*$E76*$J76, "")</f>
        <v>0</v>
      </c>
      <c r="BA76" s="284" t="n">
        <f aca="false">IFERROR(T76*$E76*$J76, "")</f>
        <v>0</v>
      </c>
      <c r="BB76" s="284" t="n">
        <f aca="false">IFERROR(U76*$E76*$J76, "")</f>
        <v>0</v>
      </c>
      <c r="BC76" s="284" t="n">
        <f aca="false">IFERROR(V76*$E76*$J76, "")</f>
        <v>0</v>
      </c>
      <c r="BD76" s="284" t="n">
        <f aca="false">IFERROR(W76*$E76*$J76, "")</f>
        <v>0</v>
      </c>
      <c r="BE76" s="286" t="n">
        <f aca="false">IFERROR(SUMIF($AB$4:$AM$4, "RDEC", AS76:BD76), "")</f>
        <v>0</v>
      </c>
      <c r="BF76" s="286" t="n">
        <f aca="false">IFERROR(SUMIF($AB$4:$AM$4, "SME", AS76:BD76), "")</f>
        <v>0</v>
      </c>
      <c r="BG76" s="286" t="n">
        <f aca="false">IFERROR(SUMIF($AB$4:$AM$4, "De Minimis", AS76:BD76), "")</f>
        <v>0</v>
      </c>
      <c r="BH76" s="287"/>
      <c r="BI76" s="288" t="str">
        <f aca="false">IF((SUM(L76:W76)&gt;1),"ERROR","")</f>
        <v/>
      </c>
    </row>
    <row r="77" customFormat="false" ht="15" hidden="false" customHeight="true" outlineLevel="0" collapsed="false">
      <c r="A77" s="340"/>
      <c r="B77" s="350"/>
      <c r="C77" s="350"/>
      <c r="H77" s="350"/>
      <c r="I77" s="279" t="n">
        <v>1</v>
      </c>
      <c r="J77" s="281" t="n">
        <f aca="false">1-I77</f>
        <v>0</v>
      </c>
      <c r="K77" s="32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350"/>
      <c r="Y77" s="381"/>
      <c r="Z77" s="384" t="s">
        <v>71</v>
      </c>
      <c r="AA77" s="283"/>
      <c r="AB77" s="284" t="n">
        <f aca="false">IF(AND(AB$4="RDEC", $Y77="Limited Company"), "", L77*$E77*$I77)</f>
        <v>0</v>
      </c>
      <c r="AC77" s="284" t="n">
        <f aca="false">IF(AND(AC$4="RDEC", $Y77="Limited Company"), "", M77*$E77*$I77)</f>
        <v>0</v>
      </c>
      <c r="AD77" s="284" t="n">
        <f aca="false">IF(AND(AD$4="RDEC", $Y77="Limited Company"), "", N77*$E77*$I77)</f>
        <v>0</v>
      </c>
      <c r="AE77" s="284" t="n">
        <f aca="false">IF(AND(AE$4="RDEC", $Y77="Limited Company"), "", O77*$E77*$I77)</f>
        <v>0</v>
      </c>
      <c r="AF77" s="284" t="n">
        <f aca="false">IF(AND(AF$4="RDEC", $Y77="Limited Company"), "", P77*$E77*$I77)</f>
        <v>0</v>
      </c>
      <c r="AG77" s="284" t="n">
        <f aca="false">IF(AND(AG$4="RDEC", $Y77="Limited Company"), "", Q77*$E77*$I77)</f>
        <v>0</v>
      </c>
      <c r="AH77" s="284" t="n">
        <f aca="false">IF(AND(AH$4="RDEC", $Y77="Limited Company"), "", R77*$E77*$I77)</f>
        <v>0</v>
      </c>
      <c r="AI77" s="284" t="n">
        <f aca="false">IF(AND(AI$4="RDEC", $Y77="Limited Company"), "", S77*$E77*$I77)</f>
        <v>0</v>
      </c>
      <c r="AJ77" s="284" t="n">
        <f aca="false">IF(AND(AJ$4="RDEC", $Y77="Limited Company"), "", T77*$E77*$I77)</f>
        <v>0</v>
      </c>
      <c r="AK77" s="284" t="n">
        <f aca="false">IF(AND(AK$4="RDEC", $Y77="Limited Company"), "", U77*$E77*$I77)</f>
        <v>0</v>
      </c>
      <c r="AL77" s="284" t="n">
        <f aca="false">IF(AND(AL$4="RDEC", $Y77="Limited Company"), "", V77*$E77*$I77)</f>
        <v>0</v>
      </c>
      <c r="AM77" s="284" t="n">
        <f aca="false">IF(AND(AM$4="RDEC", $Y77="Limited Company"), "", W77*$E77*$I77)</f>
        <v>0</v>
      </c>
      <c r="AN77" s="286" t="n">
        <f aca="false">IFERROR(SUMIF($AB$4:$AM$4, "RDEC", AB77:AM77), "")</f>
        <v>0</v>
      </c>
      <c r="AO77" s="286" t="str">
        <f aca="false">IFERROR((IF(Z77="Yes",SUMIF($AB$4:$AM$4,"SME",AB77:AM77),"")),"")</f>
        <v/>
      </c>
      <c r="AP77" s="286" t="n">
        <f aca="false">IFERROR((IF(Z77="No",SUMIF($AB$4:$AM$4,"SME",AB77:AM77),"")),"")</f>
        <v>0</v>
      </c>
      <c r="AQ77" s="286" t="n">
        <f aca="false">IFERROR(SUMIF($AB$4:$AM$4, "De Minimis", AB77:AM77), "")</f>
        <v>0</v>
      </c>
      <c r="AR77" s="283"/>
      <c r="AS77" s="284" t="n">
        <f aca="false">IFERROR(L77*$E77*$J77, "")</f>
        <v>0</v>
      </c>
      <c r="AT77" s="284" t="n">
        <f aca="false">IFERROR(M77*$E77*$J77, "")</f>
        <v>0</v>
      </c>
      <c r="AU77" s="284" t="n">
        <f aca="false">IFERROR(N77*$E77*$J77, "")</f>
        <v>0</v>
      </c>
      <c r="AV77" s="284" t="n">
        <f aca="false">IFERROR(O77*$E77*$J77, "")</f>
        <v>0</v>
      </c>
      <c r="AW77" s="284" t="n">
        <f aca="false">IFERROR(P77*$E77*$J77, "")</f>
        <v>0</v>
      </c>
      <c r="AX77" s="284" t="n">
        <f aca="false">IFERROR(Q77*$E77*$J77, "")</f>
        <v>0</v>
      </c>
      <c r="AY77" s="284" t="n">
        <f aca="false">IFERROR(R77*$E77*$J77, "")</f>
        <v>0</v>
      </c>
      <c r="AZ77" s="284" t="n">
        <f aca="false">IFERROR(S77*$E77*$J77, "")</f>
        <v>0</v>
      </c>
      <c r="BA77" s="284" t="n">
        <f aca="false">IFERROR(T77*$E77*$J77, "")</f>
        <v>0</v>
      </c>
      <c r="BB77" s="284" t="n">
        <f aca="false">IFERROR(U77*$E77*$J77, "")</f>
        <v>0</v>
      </c>
      <c r="BC77" s="284" t="n">
        <f aca="false">IFERROR(V77*$E77*$J77, "")</f>
        <v>0</v>
      </c>
      <c r="BD77" s="284" t="n">
        <f aca="false">IFERROR(W77*$E77*$J77, "")</f>
        <v>0</v>
      </c>
      <c r="BE77" s="286" t="n">
        <f aca="false">IFERROR(SUMIF($AB$4:$AM$4, "RDEC", AS77:BD77), "")</f>
        <v>0</v>
      </c>
      <c r="BF77" s="286" t="n">
        <f aca="false">IFERROR(SUMIF($AB$4:$AM$4, "SME", AS77:BD77), "")</f>
        <v>0</v>
      </c>
      <c r="BG77" s="286" t="n">
        <f aca="false">IFERROR(SUMIF($AB$4:$AM$4, "De Minimis", AS77:BD77), "")</f>
        <v>0</v>
      </c>
      <c r="BH77" s="287"/>
      <c r="BI77" s="288" t="str">
        <f aca="false">IF((SUM(L77:W77)&gt;1),"ERROR","")</f>
        <v/>
      </c>
    </row>
    <row r="78" customFormat="false" ht="15" hidden="false" customHeight="true" outlineLevel="0" collapsed="false">
      <c r="A78" s="340"/>
      <c r="B78" s="350"/>
      <c r="C78" s="350"/>
      <c r="H78" s="350"/>
      <c r="I78" s="279" t="n">
        <v>1</v>
      </c>
      <c r="J78" s="281" t="n">
        <f aca="false">1-I78</f>
        <v>0</v>
      </c>
      <c r="K78" s="32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350"/>
      <c r="Y78" s="381"/>
      <c r="Z78" s="384" t="s">
        <v>71</v>
      </c>
      <c r="AA78" s="283"/>
      <c r="AB78" s="284" t="n">
        <f aca="false">IF(AND(AB$4="RDEC", $Y78="Limited Company"), "", L78*$E78*$I78)</f>
        <v>0</v>
      </c>
      <c r="AC78" s="284" t="n">
        <f aca="false">IF(AND(AC$4="RDEC", $Y78="Limited Company"), "", M78*$E78*$I78)</f>
        <v>0</v>
      </c>
      <c r="AD78" s="284" t="n">
        <f aca="false">IF(AND(AD$4="RDEC", $Y78="Limited Company"), "", N78*$E78*$I78)</f>
        <v>0</v>
      </c>
      <c r="AE78" s="284" t="n">
        <f aca="false">IF(AND(AE$4="RDEC", $Y78="Limited Company"), "", O78*$E78*$I78)</f>
        <v>0</v>
      </c>
      <c r="AF78" s="284" t="n">
        <f aca="false">IF(AND(AF$4="RDEC", $Y78="Limited Company"), "", P78*$E78*$I78)</f>
        <v>0</v>
      </c>
      <c r="AG78" s="284" t="n">
        <f aca="false">IF(AND(AG$4="RDEC", $Y78="Limited Company"), "", Q78*$E78*$I78)</f>
        <v>0</v>
      </c>
      <c r="AH78" s="284" t="n">
        <f aca="false">IF(AND(AH$4="RDEC", $Y78="Limited Company"), "", R78*$E78*$I78)</f>
        <v>0</v>
      </c>
      <c r="AI78" s="284" t="n">
        <f aca="false">IF(AND(AI$4="RDEC", $Y78="Limited Company"), "", S78*$E78*$I78)</f>
        <v>0</v>
      </c>
      <c r="AJ78" s="284" t="n">
        <f aca="false">IF(AND(AJ$4="RDEC", $Y78="Limited Company"), "", T78*$E78*$I78)</f>
        <v>0</v>
      </c>
      <c r="AK78" s="284" t="n">
        <f aca="false">IF(AND(AK$4="RDEC", $Y78="Limited Company"), "", U78*$E78*$I78)</f>
        <v>0</v>
      </c>
      <c r="AL78" s="284" t="n">
        <f aca="false">IF(AND(AL$4="RDEC", $Y78="Limited Company"), "", V78*$E78*$I78)</f>
        <v>0</v>
      </c>
      <c r="AM78" s="284" t="n">
        <f aca="false">IF(AND(AM$4="RDEC", $Y78="Limited Company"), "", W78*$E78*$I78)</f>
        <v>0</v>
      </c>
      <c r="AN78" s="286" t="n">
        <f aca="false">IFERROR(SUMIF($AB$4:$AM$4, "RDEC", AB78:AM78), "")</f>
        <v>0</v>
      </c>
      <c r="AO78" s="286" t="str">
        <f aca="false">IFERROR((IF(Z78="Yes",SUMIF($AB$4:$AM$4,"SME",AB78:AM78),"")),"")</f>
        <v/>
      </c>
      <c r="AP78" s="286" t="n">
        <f aca="false">IFERROR((IF(Z78="No",SUMIF($AB$4:$AM$4,"SME",AB78:AM78),"")),"")</f>
        <v>0</v>
      </c>
      <c r="AQ78" s="286" t="n">
        <f aca="false">IFERROR(SUMIF($AB$4:$AM$4, "De Minimis", AB78:AM78), "")</f>
        <v>0</v>
      </c>
      <c r="AR78" s="283"/>
      <c r="AS78" s="284" t="n">
        <f aca="false">IFERROR(L78*$E78*$J78, "")</f>
        <v>0</v>
      </c>
      <c r="AT78" s="284" t="n">
        <f aca="false">IFERROR(M78*$E78*$J78, "")</f>
        <v>0</v>
      </c>
      <c r="AU78" s="284" t="n">
        <f aca="false">IFERROR(N78*$E78*$J78, "")</f>
        <v>0</v>
      </c>
      <c r="AV78" s="284" t="n">
        <f aca="false">IFERROR(O78*$E78*$J78, "")</f>
        <v>0</v>
      </c>
      <c r="AW78" s="284" t="n">
        <f aca="false">IFERROR(P78*$E78*$J78, "")</f>
        <v>0</v>
      </c>
      <c r="AX78" s="284" t="n">
        <f aca="false">IFERROR(Q78*$E78*$J78, "")</f>
        <v>0</v>
      </c>
      <c r="AY78" s="284" t="n">
        <f aca="false">IFERROR(R78*$E78*$J78, "")</f>
        <v>0</v>
      </c>
      <c r="AZ78" s="284" t="n">
        <f aca="false">IFERROR(S78*$E78*$J78, "")</f>
        <v>0</v>
      </c>
      <c r="BA78" s="284" t="n">
        <f aca="false">IFERROR(T78*$E78*$J78, "")</f>
        <v>0</v>
      </c>
      <c r="BB78" s="284" t="n">
        <f aca="false">IFERROR(U78*$E78*$J78, "")</f>
        <v>0</v>
      </c>
      <c r="BC78" s="284" t="n">
        <f aca="false">IFERROR(V78*$E78*$J78, "")</f>
        <v>0</v>
      </c>
      <c r="BD78" s="284" t="n">
        <f aca="false">IFERROR(W78*$E78*$J78, "")</f>
        <v>0</v>
      </c>
      <c r="BE78" s="286" t="n">
        <f aca="false">IFERROR(SUMIF($AB$4:$AM$4, "RDEC", AS78:BD78), "")</f>
        <v>0</v>
      </c>
      <c r="BF78" s="286" t="n">
        <f aca="false">IFERROR(SUMIF($AB$4:$AM$4, "SME", AS78:BD78), "")</f>
        <v>0</v>
      </c>
      <c r="BG78" s="286" t="n">
        <f aca="false">IFERROR(SUMIF($AB$4:$AM$4, "De Minimis", AS78:BD78), "")</f>
        <v>0</v>
      </c>
      <c r="BH78" s="287"/>
      <c r="BI78" s="288" t="str">
        <f aca="false">IF((SUM(L78:W78)&gt;1),"ERROR","")</f>
        <v/>
      </c>
    </row>
    <row r="79" customFormat="false" ht="15" hidden="false" customHeight="true" outlineLevel="0" collapsed="false">
      <c r="A79" s="340"/>
      <c r="B79" s="350"/>
      <c r="C79" s="350"/>
      <c r="H79" s="350"/>
      <c r="I79" s="279" t="n">
        <v>1</v>
      </c>
      <c r="J79" s="281" t="n">
        <f aca="false">1-I79</f>
        <v>0</v>
      </c>
      <c r="K79" s="32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350"/>
      <c r="Y79" s="381"/>
      <c r="Z79" s="384" t="s">
        <v>71</v>
      </c>
      <c r="AA79" s="283"/>
      <c r="AB79" s="284" t="n">
        <f aca="false">IF(AND(AB$4="RDEC", $Y79="Limited Company"), "", L79*$E79*$I79)</f>
        <v>0</v>
      </c>
      <c r="AC79" s="284" t="n">
        <f aca="false">IF(AND(AC$4="RDEC", $Y79="Limited Company"), "", M79*$E79*$I79)</f>
        <v>0</v>
      </c>
      <c r="AD79" s="284" t="n">
        <f aca="false">IF(AND(AD$4="RDEC", $Y79="Limited Company"), "", N79*$E79*$I79)</f>
        <v>0</v>
      </c>
      <c r="AE79" s="284" t="n">
        <f aca="false">IF(AND(AE$4="RDEC", $Y79="Limited Company"), "", O79*$E79*$I79)</f>
        <v>0</v>
      </c>
      <c r="AF79" s="284" t="n">
        <f aca="false">IF(AND(AF$4="RDEC", $Y79="Limited Company"), "", P79*$E79*$I79)</f>
        <v>0</v>
      </c>
      <c r="AG79" s="284" t="n">
        <f aca="false">IF(AND(AG$4="RDEC", $Y79="Limited Company"), "", Q79*$E79*$I79)</f>
        <v>0</v>
      </c>
      <c r="AH79" s="284" t="n">
        <f aca="false">IF(AND(AH$4="RDEC", $Y79="Limited Company"), "", R79*$E79*$I79)</f>
        <v>0</v>
      </c>
      <c r="AI79" s="284" t="n">
        <f aca="false">IF(AND(AI$4="RDEC", $Y79="Limited Company"), "", S79*$E79*$I79)</f>
        <v>0</v>
      </c>
      <c r="AJ79" s="284" t="n">
        <f aca="false">IF(AND(AJ$4="RDEC", $Y79="Limited Company"), "", T79*$E79*$I79)</f>
        <v>0</v>
      </c>
      <c r="AK79" s="284" t="n">
        <f aca="false">IF(AND(AK$4="RDEC", $Y79="Limited Company"), "", U79*$E79*$I79)</f>
        <v>0</v>
      </c>
      <c r="AL79" s="284" t="n">
        <f aca="false">IF(AND(AL$4="RDEC", $Y79="Limited Company"), "", V79*$E79*$I79)</f>
        <v>0</v>
      </c>
      <c r="AM79" s="284" t="n">
        <f aca="false">IF(AND(AM$4="RDEC", $Y79="Limited Company"), "", W79*$E79*$I79)</f>
        <v>0</v>
      </c>
      <c r="AN79" s="286" t="n">
        <f aca="false">IFERROR(SUMIF($AB$4:$AM$4, "RDEC", AB79:AM79), "")</f>
        <v>0</v>
      </c>
      <c r="AO79" s="286" t="str">
        <f aca="false">IFERROR((IF(Z79="Yes",SUMIF($AB$4:$AM$4,"SME",AB79:AM79),"")),"")</f>
        <v/>
      </c>
      <c r="AP79" s="286" t="n">
        <f aca="false">IFERROR((IF(Z79="No",SUMIF($AB$4:$AM$4,"SME",AB79:AM79),"")),"")</f>
        <v>0</v>
      </c>
      <c r="AQ79" s="286" t="n">
        <f aca="false">IFERROR(SUMIF($AB$4:$AM$4, "De Minimis", AB79:AM79), "")</f>
        <v>0</v>
      </c>
      <c r="AR79" s="283"/>
      <c r="AS79" s="284" t="n">
        <f aca="false">IFERROR(L79*$E79*$J79, "")</f>
        <v>0</v>
      </c>
      <c r="AT79" s="284" t="n">
        <f aca="false">IFERROR(M79*$E79*$J79, "")</f>
        <v>0</v>
      </c>
      <c r="AU79" s="284" t="n">
        <f aca="false">IFERROR(N79*$E79*$J79, "")</f>
        <v>0</v>
      </c>
      <c r="AV79" s="284" t="n">
        <f aca="false">IFERROR(O79*$E79*$J79, "")</f>
        <v>0</v>
      </c>
      <c r="AW79" s="284" t="n">
        <f aca="false">IFERROR(P79*$E79*$J79, "")</f>
        <v>0</v>
      </c>
      <c r="AX79" s="284" t="n">
        <f aca="false">IFERROR(Q79*$E79*$J79, "")</f>
        <v>0</v>
      </c>
      <c r="AY79" s="284" t="n">
        <f aca="false">IFERROR(R79*$E79*$J79, "")</f>
        <v>0</v>
      </c>
      <c r="AZ79" s="284" t="n">
        <f aca="false">IFERROR(S79*$E79*$J79, "")</f>
        <v>0</v>
      </c>
      <c r="BA79" s="284" t="n">
        <f aca="false">IFERROR(T79*$E79*$J79, "")</f>
        <v>0</v>
      </c>
      <c r="BB79" s="284" t="n">
        <f aca="false">IFERROR(U79*$E79*$J79, "")</f>
        <v>0</v>
      </c>
      <c r="BC79" s="284" t="n">
        <f aca="false">IFERROR(V79*$E79*$J79, "")</f>
        <v>0</v>
      </c>
      <c r="BD79" s="284" t="n">
        <f aca="false">IFERROR(W79*$E79*$J79, "")</f>
        <v>0</v>
      </c>
      <c r="BE79" s="286" t="n">
        <f aca="false">IFERROR(SUMIF($AB$4:$AM$4, "RDEC", AS79:BD79), "")</f>
        <v>0</v>
      </c>
      <c r="BF79" s="286" t="n">
        <f aca="false">IFERROR(SUMIF($AB$4:$AM$4, "SME", AS79:BD79), "")</f>
        <v>0</v>
      </c>
      <c r="BG79" s="286" t="n">
        <f aca="false">IFERROR(SUMIF($AB$4:$AM$4, "De Minimis", AS79:BD79), "")</f>
        <v>0</v>
      </c>
      <c r="BH79" s="303"/>
      <c r="BI79" s="288" t="str">
        <f aca="false">IF((SUM(L79:W79)&gt;1),"ERROR","")</f>
        <v/>
      </c>
    </row>
    <row r="80" customFormat="false" ht="15" hidden="false" customHeight="true" outlineLevel="0" collapsed="false">
      <c r="A80" s="340"/>
      <c r="B80" s="350"/>
      <c r="C80" s="350"/>
      <c r="H80" s="350"/>
      <c r="I80" s="279" t="n">
        <v>1</v>
      </c>
      <c r="J80" s="281" t="n">
        <f aca="false">1-I80</f>
        <v>0</v>
      </c>
      <c r="K80" s="32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350"/>
      <c r="Y80" s="381"/>
      <c r="Z80" s="384" t="s">
        <v>71</v>
      </c>
      <c r="AA80" s="283"/>
      <c r="AB80" s="284" t="n">
        <f aca="false">IF(AND(AB$4="RDEC", $Y80="Limited Company"), "", L80*$E80*$I80)</f>
        <v>0</v>
      </c>
      <c r="AC80" s="284" t="n">
        <f aca="false">IF(AND(AC$4="RDEC", $Y80="Limited Company"), "", M80*$E80*$I80)</f>
        <v>0</v>
      </c>
      <c r="AD80" s="284" t="n">
        <f aca="false">IF(AND(AD$4="RDEC", $Y80="Limited Company"), "", N80*$E80*$I80)</f>
        <v>0</v>
      </c>
      <c r="AE80" s="284" t="n">
        <f aca="false">IF(AND(AE$4="RDEC", $Y80="Limited Company"), "", O80*$E80*$I80)</f>
        <v>0</v>
      </c>
      <c r="AF80" s="284" t="n">
        <f aca="false">IF(AND(AF$4="RDEC", $Y80="Limited Company"), "", P80*$E80*$I80)</f>
        <v>0</v>
      </c>
      <c r="AG80" s="284" t="n">
        <f aca="false">IF(AND(AG$4="RDEC", $Y80="Limited Company"), "", Q80*$E80*$I80)</f>
        <v>0</v>
      </c>
      <c r="AH80" s="284" t="n">
        <f aca="false">IF(AND(AH$4="RDEC", $Y80="Limited Company"), "", R80*$E80*$I80)</f>
        <v>0</v>
      </c>
      <c r="AI80" s="284" t="n">
        <f aca="false">IF(AND(AI$4="RDEC", $Y80="Limited Company"), "", S80*$E80*$I80)</f>
        <v>0</v>
      </c>
      <c r="AJ80" s="284" t="n">
        <f aca="false">IF(AND(AJ$4="RDEC", $Y80="Limited Company"), "", T80*$E80*$I80)</f>
        <v>0</v>
      </c>
      <c r="AK80" s="284" t="n">
        <f aca="false">IF(AND(AK$4="RDEC", $Y80="Limited Company"), "", U80*$E80*$I80)</f>
        <v>0</v>
      </c>
      <c r="AL80" s="284" t="n">
        <f aca="false">IF(AND(AL$4="RDEC", $Y80="Limited Company"), "", V80*$E80*$I80)</f>
        <v>0</v>
      </c>
      <c r="AM80" s="284" t="n">
        <f aca="false">IF(AND(AM$4="RDEC", $Y80="Limited Company"), "", W80*$E80*$I80)</f>
        <v>0</v>
      </c>
      <c r="AN80" s="286" t="n">
        <f aca="false">IFERROR(SUMIF($AB$4:$AM$4, "RDEC", AB80:AM80), "")</f>
        <v>0</v>
      </c>
      <c r="AO80" s="286" t="str">
        <f aca="false">IFERROR((IF(Z80="Yes",SUMIF($AB$4:$AM$4,"SME",AB80:AM80),"")),"")</f>
        <v/>
      </c>
      <c r="AP80" s="286" t="n">
        <f aca="false">IFERROR((IF(Z80="No",SUMIF($AB$4:$AM$4,"SME",AB80:AM80),"")),"")</f>
        <v>0</v>
      </c>
      <c r="AQ80" s="286" t="n">
        <f aca="false">IFERROR(SUMIF($AB$4:$AM$4, "De Minimis", AB80:AM80), "")</f>
        <v>0</v>
      </c>
      <c r="AR80" s="283"/>
      <c r="AS80" s="284" t="n">
        <f aca="false">IFERROR(L80*$E80*$J80, "")</f>
        <v>0</v>
      </c>
      <c r="AT80" s="284" t="n">
        <f aca="false">IFERROR(M80*$E80*$J80, "")</f>
        <v>0</v>
      </c>
      <c r="AU80" s="284" t="n">
        <f aca="false">IFERROR(N80*$E80*$J80, "")</f>
        <v>0</v>
      </c>
      <c r="AV80" s="284" t="n">
        <f aca="false">IFERROR(O80*$E80*$J80, "")</f>
        <v>0</v>
      </c>
      <c r="AW80" s="284" t="n">
        <f aca="false">IFERROR(P80*$E80*$J80, "")</f>
        <v>0</v>
      </c>
      <c r="AX80" s="284" t="n">
        <f aca="false">IFERROR(Q80*$E80*$J80, "")</f>
        <v>0</v>
      </c>
      <c r="AY80" s="284" t="n">
        <f aca="false">IFERROR(R80*$E80*$J80, "")</f>
        <v>0</v>
      </c>
      <c r="AZ80" s="284" t="n">
        <f aca="false">IFERROR(S80*$E80*$J80, "")</f>
        <v>0</v>
      </c>
      <c r="BA80" s="284" t="n">
        <f aca="false">IFERROR(T80*$E80*$J80, "")</f>
        <v>0</v>
      </c>
      <c r="BB80" s="284" t="n">
        <f aca="false">IFERROR(U80*$E80*$J80, "")</f>
        <v>0</v>
      </c>
      <c r="BC80" s="284" t="n">
        <f aca="false">IFERROR(V80*$E80*$J80, "")</f>
        <v>0</v>
      </c>
      <c r="BD80" s="284" t="n">
        <f aca="false">IFERROR(W80*$E80*$J80, "")</f>
        <v>0</v>
      </c>
      <c r="BE80" s="286" t="n">
        <f aca="false">IFERROR(SUMIF($AB$4:$AM$4, "RDEC", AS80:BD80), "")</f>
        <v>0</v>
      </c>
      <c r="BF80" s="286" t="n">
        <f aca="false">IFERROR(SUMIF($AB$4:$AM$4, "SME", AS80:BD80), "")</f>
        <v>0</v>
      </c>
      <c r="BG80" s="286" t="n">
        <f aca="false">IFERROR(SUMIF($AB$4:$AM$4, "De Minimis", AS80:BD80), "")</f>
        <v>0</v>
      </c>
      <c r="BI80" s="288" t="str">
        <f aca="false">IF((SUM(L80:W80)&gt;1),"ERROR","")</f>
        <v/>
      </c>
    </row>
    <row r="81" customFormat="false" ht="15" hidden="false" customHeight="true" outlineLevel="0" collapsed="false">
      <c r="A81" s="340"/>
      <c r="B81" s="350"/>
      <c r="C81" s="350"/>
      <c r="H81" s="350"/>
      <c r="I81" s="279" t="n">
        <v>1</v>
      </c>
      <c r="J81" s="281" t="n">
        <f aca="false">1-I81</f>
        <v>0</v>
      </c>
      <c r="K81" s="32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350"/>
      <c r="Y81" s="381"/>
      <c r="Z81" s="384" t="s">
        <v>71</v>
      </c>
      <c r="AA81" s="283"/>
      <c r="AB81" s="284" t="n">
        <f aca="false">IF(AND(AB$4="RDEC", $Y81="Limited Company"), "", L81*$E81*$I81)</f>
        <v>0</v>
      </c>
      <c r="AC81" s="284" t="n">
        <f aca="false">IF(AND(AC$4="RDEC", $Y81="Limited Company"), "", M81*$E81*$I81)</f>
        <v>0</v>
      </c>
      <c r="AD81" s="284" t="n">
        <f aca="false">IF(AND(AD$4="RDEC", $Y81="Limited Company"), "", N81*$E81*$I81)</f>
        <v>0</v>
      </c>
      <c r="AE81" s="284" t="n">
        <f aca="false">IF(AND(AE$4="RDEC", $Y81="Limited Company"), "", O81*$E81*$I81)</f>
        <v>0</v>
      </c>
      <c r="AF81" s="284" t="n">
        <f aca="false">IF(AND(AF$4="RDEC", $Y81="Limited Company"), "", P81*$E81*$I81)</f>
        <v>0</v>
      </c>
      <c r="AG81" s="284" t="n">
        <f aca="false">IF(AND(AG$4="RDEC", $Y81="Limited Company"), "", Q81*$E81*$I81)</f>
        <v>0</v>
      </c>
      <c r="AH81" s="284" t="n">
        <f aca="false">IF(AND(AH$4="RDEC", $Y81="Limited Company"), "", R81*$E81*$I81)</f>
        <v>0</v>
      </c>
      <c r="AI81" s="284" t="n">
        <f aca="false">IF(AND(AI$4="RDEC", $Y81="Limited Company"), "", S81*$E81*$I81)</f>
        <v>0</v>
      </c>
      <c r="AJ81" s="284" t="n">
        <f aca="false">IF(AND(AJ$4="RDEC", $Y81="Limited Company"), "", T81*$E81*$I81)</f>
        <v>0</v>
      </c>
      <c r="AK81" s="284" t="n">
        <f aca="false">IF(AND(AK$4="RDEC", $Y81="Limited Company"), "", U81*$E81*$I81)</f>
        <v>0</v>
      </c>
      <c r="AL81" s="284" t="n">
        <f aca="false">IF(AND(AL$4="RDEC", $Y81="Limited Company"), "", V81*$E81*$I81)</f>
        <v>0</v>
      </c>
      <c r="AM81" s="284" t="n">
        <f aca="false">IF(AND(AM$4="RDEC", $Y81="Limited Company"), "", W81*$E81*$I81)</f>
        <v>0</v>
      </c>
      <c r="AN81" s="286" t="n">
        <f aca="false">IFERROR(SUMIF($AB$4:$AM$4, "RDEC", AB81:AM81), "")</f>
        <v>0</v>
      </c>
      <c r="AO81" s="286" t="str">
        <f aca="false">IFERROR((IF(Z81="Yes",SUMIF($AB$4:$AM$4,"SME",AB81:AM81),"")),"")</f>
        <v/>
      </c>
      <c r="AP81" s="286" t="n">
        <f aca="false">IFERROR((IF(Z81="No",SUMIF($AB$4:$AM$4,"SME",AB81:AM81),"")),"")</f>
        <v>0</v>
      </c>
      <c r="AQ81" s="286" t="n">
        <f aca="false">IFERROR(SUMIF($AB$4:$AM$4, "De Minimis", AB81:AM81), "")</f>
        <v>0</v>
      </c>
      <c r="AR81" s="283"/>
      <c r="AS81" s="284" t="n">
        <f aca="false">IFERROR(L81*$E81*$J81, "")</f>
        <v>0</v>
      </c>
      <c r="AT81" s="284" t="n">
        <f aca="false">IFERROR(M81*$E81*$J81, "")</f>
        <v>0</v>
      </c>
      <c r="AU81" s="284" t="n">
        <f aca="false">IFERROR(N81*$E81*$J81, "")</f>
        <v>0</v>
      </c>
      <c r="AV81" s="284" t="n">
        <f aca="false">IFERROR(O81*$E81*$J81, "")</f>
        <v>0</v>
      </c>
      <c r="AW81" s="284" t="n">
        <f aca="false">IFERROR(P81*$E81*$J81, "")</f>
        <v>0</v>
      </c>
      <c r="AX81" s="284" t="n">
        <f aca="false">IFERROR(Q81*$E81*$J81, "")</f>
        <v>0</v>
      </c>
      <c r="AY81" s="284" t="n">
        <f aca="false">IFERROR(R81*$E81*$J81, "")</f>
        <v>0</v>
      </c>
      <c r="AZ81" s="284" t="n">
        <f aca="false">IFERROR(S81*$E81*$J81, "")</f>
        <v>0</v>
      </c>
      <c r="BA81" s="284" t="n">
        <f aca="false">IFERROR(T81*$E81*$J81, "")</f>
        <v>0</v>
      </c>
      <c r="BB81" s="284" t="n">
        <f aca="false">IFERROR(U81*$E81*$J81, "")</f>
        <v>0</v>
      </c>
      <c r="BC81" s="284" t="n">
        <f aca="false">IFERROR(V81*$E81*$J81, "")</f>
        <v>0</v>
      </c>
      <c r="BD81" s="284" t="n">
        <f aca="false">IFERROR(W81*$E81*$J81, "")</f>
        <v>0</v>
      </c>
      <c r="BE81" s="286" t="n">
        <f aca="false">IFERROR(SUMIF($AB$4:$AM$4, "RDEC", AS81:BD81), "")</f>
        <v>0</v>
      </c>
      <c r="BF81" s="286" t="n">
        <f aca="false">IFERROR(SUMIF($AB$4:$AM$4, "SME", AS81:BD81), "")</f>
        <v>0</v>
      </c>
      <c r="BG81" s="286" t="n">
        <f aca="false">IFERROR(SUMIF($AB$4:$AM$4, "De Minimis", AS81:BD81), "")</f>
        <v>0</v>
      </c>
      <c r="BH81" s="268"/>
      <c r="BI81" s="288" t="str">
        <f aca="false">IF((SUM(L81:W81)&gt;1),"ERROR","")</f>
        <v/>
      </c>
    </row>
    <row r="82" customFormat="false" ht="15" hidden="false" customHeight="true" outlineLevel="0" collapsed="false">
      <c r="A82" s="340"/>
      <c r="B82" s="350"/>
      <c r="C82" s="350"/>
      <c r="H82" s="350"/>
      <c r="I82" s="279" t="n">
        <v>1</v>
      </c>
      <c r="J82" s="281" t="n">
        <f aca="false">1-I82</f>
        <v>0</v>
      </c>
      <c r="K82" s="32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350"/>
      <c r="Y82" s="381"/>
      <c r="Z82" s="384" t="s">
        <v>71</v>
      </c>
      <c r="AA82" s="283"/>
      <c r="AB82" s="284" t="n">
        <f aca="false">IF(AND(AB$4="RDEC", $Y82="Limited Company"), "", L82*$E82*$I82)</f>
        <v>0</v>
      </c>
      <c r="AC82" s="284" t="n">
        <f aca="false">IF(AND(AC$4="RDEC", $Y82="Limited Company"), "", M82*$E82*$I82)</f>
        <v>0</v>
      </c>
      <c r="AD82" s="284" t="n">
        <f aca="false">IF(AND(AD$4="RDEC", $Y82="Limited Company"), "", N82*$E82*$I82)</f>
        <v>0</v>
      </c>
      <c r="AE82" s="284" t="n">
        <f aca="false">IF(AND(AE$4="RDEC", $Y82="Limited Company"), "", O82*$E82*$I82)</f>
        <v>0</v>
      </c>
      <c r="AF82" s="284" t="n">
        <f aca="false">IF(AND(AF$4="RDEC", $Y82="Limited Company"), "", P82*$E82*$I82)</f>
        <v>0</v>
      </c>
      <c r="AG82" s="284" t="n">
        <f aca="false">IF(AND(AG$4="RDEC", $Y82="Limited Company"), "", Q82*$E82*$I82)</f>
        <v>0</v>
      </c>
      <c r="AH82" s="284" t="n">
        <f aca="false">IF(AND(AH$4="RDEC", $Y82="Limited Company"), "", R82*$E82*$I82)</f>
        <v>0</v>
      </c>
      <c r="AI82" s="284" t="n">
        <f aca="false">IF(AND(AI$4="RDEC", $Y82="Limited Company"), "", S82*$E82*$I82)</f>
        <v>0</v>
      </c>
      <c r="AJ82" s="284" t="n">
        <f aca="false">IF(AND(AJ$4="RDEC", $Y82="Limited Company"), "", T82*$E82*$I82)</f>
        <v>0</v>
      </c>
      <c r="AK82" s="284" t="n">
        <f aca="false">IF(AND(AK$4="RDEC", $Y82="Limited Company"), "", U82*$E82*$I82)</f>
        <v>0</v>
      </c>
      <c r="AL82" s="284" t="n">
        <f aca="false">IF(AND(AL$4="RDEC", $Y82="Limited Company"), "", V82*$E82*$I82)</f>
        <v>0</v>
      </c>
      <c r="AM82" s="284" t="n">
        <f aca="false">IF(AND(AM$4="RDEC", $Y82="Limited Company"), "", W82*$E82*$I82)</f>
        <v>0</v>
      </c>
      <c r="AN82" s="286" t="n">
        <f aca="false">IFERROR(SUMIF($AB$4:$AM$4, "RDEC", AB82:AM82), "")</f>
        <v>0</v>
      </c>
      <c r="AO82" s="286" t="str">
        <f aca="false">IFERROR((IF(Z82="Yes",SUMIF($AB$4:$AM$4,"SME",AB82:AM82),"")),"")</f>
        <v/>
      </c>
      <c r="AP82" s="286" t="n">
        <f aca="false">IFERROR((IF(Z82="No",SUMIF($AB$4:$AM$4,"SME",AB82:AM82),"")),"")</f>
        <v>0</v>
      </c>
      <c r="AQ82" s="286" t="n">
        <f aca="false">IFERROR(SUMIF($AB$4:$AM$4, "De Minimis", AB82:AM82), "")</f>
        <v>0</v>
      </c>
      <c r="AR82" s="283"/>
      <c r="AS82" s="284" t="n">
        <f aca="false">IFERROR(L82*$E82*$J82, "")</f>
        <v>0</v>
      </c>
      <c r="AT82" s="284" t="n">
        <f aca="false">IFERROR(M82*$E82*$J82, "")</f>
        <v>0</v>
      </c>
      <c r="AU82" s="284" t="n">
        <f aca="false">IFERROR(N82*$E82*$J82, "")</f>
        <v>0</v>
      </c>
      <c r="AV82" s="284" t="n">
        <f aca="false">IFERROR(O82*$E82*$J82, "")</f>
        <v>0</v>
      </c>
      <c r="AW82" s="284" t="n">
        <f aca="false">IFERROR(P82*$E82*$J82, "")</f>
        <v>0</v>
      </c>
      <c r="AX82" s="284" t="n">
        <f aca="false">IFERROR(Q82*$E82*$J82, "")</f>
        <v>0</v>
      </c>
      <c r="AY82" s="284" t="n">
        <f aca="false">IFERROR(R82*$E82*$J82, "")</f>
        <v>0</v>
      </c>
      <c r="AZ82" s="284" t="n">
        <f aca="false">IFERROR(S82*$E82*$J82, "")</f>
        <v>0</v>
      </c>
      <c r="BA82" s="284" t="n">
        <f aca="false">IFERROR(T82*$E82*$J82, "")</f>
        <v>0</v>
      </c>
      <c r="BB82" s="284" t="n">
        <f aca="false">IFERROR(U82*$E82*$J82, "")</f>
        <v>0</v>
      </c>
      <c r="BC82" s="284" t="n">
        <f aca="false">IFERROR(V82*$E82*$J82, "")</f>
        <v>0</v>
      </c>
      <c r="BD82" s="284" t="n">
        <f aca="false">IFERROR(W82*$E82*$J82, "")</f>
        <v>0</v>
      </c>
      <c r="BE82" s="286" t="n">
        <f aca="false">IFERROR(SUMIF($AB$4:$AM$4, "RDEC", AS82:BD82), "")</f>
        <v>0</v>
      </c>
      <c r="BF82" s="286" t="n">
        <f aca="false">IFERROR(SUMIF($AB$4:$AM$4, "SME", AS82:BD82), "")</f>
        <v>0</v>
      </c>
      <c r="BG82" s="286" t="n">
        <f aca="false">IFERROR(SUMIF($AB$4:$AM$4, "De Minimis", AS82:BD82), "")</f>
        <v>0</v>
      </c>
      <c r="BH82" s="287"/>
      <c r="BI82" s="288" t="str">
        <f aca="false">IF((SUM(L82:W82)&gt;1),"ERROR","")</f>
        <v/>
      </c>
    </row>
    <row r="83" customFormat="false" ht="15" hidden="false" customHeight="true" outlineLevel="0" collapsed="false">
      <c r="A83" s="340"/>
      <c r="B83" s="350"/>
      <c r="C83" s="350"/>
      <c r="H83" s="350"/>
      <c r="I83" s="279" t="n">
        <v>1</v>
      </c>
      <c r="J83" s="281" t="n">
        <f aca="false">1-I83</f>
        <v>0</v>
      </c>
      <c r="K83" s="32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350"/>
      <c r="Y83" s="381"/>
      <c r="Z83" s="384" t="s">
        <v>71</v>
      </c>
      <c r="AA83" s="283"/>
      <c r="AB83" s="284" t="n">
        <f aca="false">IF(AND(AB$4="RDEC", $Y83="Limited Company"), "", L83*$E83*$I83)</f>
        <v>0</v>
      </c>
      <c r="AC83" s="284" t="n">
        <f aca="false">IF(AND(AC$4="RDEC", $Y83="Limited Company"), "", M83*$E83*$I83)</f>
        <v>0</v>
      </c>
      <c r="AD83" s="284" t="n">
        <f aca="false">IF(AND(AD$4="RDEC", $Y83="Limited Company"), "", N83*$E83*$I83)</f>
        <v>0</v>
      </c>
      <c r="AE83" s="284" t="n">
        <f aca="false">IF(AND(AE$4="RDEC", $Y83="Limited Company"), "", O83*$E83*$I83)</f>
        <v>0</v>
      </c>
      <c r="AF83" s="284" t="n">
        <f aca="false">IF(AND(AF$4="RDEC", $Y83="Limited Company"), "", P83*$E83*$I83)</f>
        <v>0</v>
      </c>
      <c r="AG83" s="284" t="n">
        <f aca="false">IF(AND(AG$4="RDEC", $Y83="Limited Company"), "", Q83*$E83*$I83)</f>
        <v>0</v>
      </c>
      <c r="AH83" s="284" t="n">
        <f aca="false">IF(AND(AH$4="RDEC", $Y83="Limited Company"), "", R83*$E83*$I83)</f>
        <v>0</v>
      </c>
      <c r="AI83" s="284" t="n">
        <f aca="false">IF(AND(AI$4="RDEC", $Y83="Limited Company"), "", S83*$E83*$I83)</f>
        <v>0</v>
      </c>
      <c r="AJ83" s="284" t="n">
        <f aca="false">IF(AND(AJ$4="RDEC", $Y83="Limited Company"), "", T83*$E83*$I83)</f>
        <v>0</v>
      </c>
      <c r="AK83" s="284" t="n">
        <f aca="false">IF(AND(AK$4="RDEC", $Y83="Limited Company"), "", U83*$E83*$I83)</f>
        <v>0</v>
      </c>
      <c r="AL83" s="284" t="n">
        <f aca="false">IF(AND(AL$4="RDEC", $Y83="Limited Company"), "", V83*$E83*$I83)</f>
        <v>0</v>
      </c>
      <c r="AM83" s="284" t="n">
        <f aca="false">IF(AND(AM$4="RDEC", $Y83="Limited Company"), "", W83*$E83*$I83)</f>
        <v>0</v>
      </c>
      <c r="AN83" s="286" t="n">
        <f aca="false">IFERROR(SUMIF($AB$4:$AM$4, "RDEC", AB83:AM83), "")</f>
        <v>0</v>
      </c>
      <c r="AO83" s="286" t="str">
        <f aca="false">IFERROR((IF(Z83="Yes",SUMIF($AB$4:$AM$4,"SME",AB83:AM83),"")),"")</f>
        <v/>
      </c>
      <c r="AP83" s="286" t="n">
        <f aca="false">IFERROR((IF(Z83="No",SUMIF($AB$4:$AM$4,"SME",AB83:AM83),"")),"")</f>
        <v>0</v>
      </c>
      <c r="AQ83" s="286" t="n">
        <f aca="false">IFERROR(SUMIF($AB$4:$AM$4, "De Minimis", AB83:AM83), "")</f>
        <v>0</v>
      </c>
      <c r="AR83" s="283"/>
      <c r="AS83" s="284" t="n">
        <f aca="false">IFERROR(L83*$E83*$J83, "")</f>
        <v>0</v>
      </c>
      <c r="AT83" s="284" t="n">
        <f aca="false">IFERROR(M83*$E83*$J83, "")</f>
        <v>0</v>
      </c>
      <c r="AU83" s="284" t="n">
        <f aca="false">IFERROR(N83*$E83*$J83, "")</f>
        <v>0</v>
      </c>
      <c r="AV83" s="284" t="n">
        <f aca="false">IFERROR(O83*$E83*$J83, "")</f>
        <v>0</v>
      </c>
      <c r="AW83" s="284" t="n">
        <f aca="false">IFERROR(P83*$E83*$J83, "")</f>
        <v>0</v>
      </c>
      <c r="AX83" s="284" t="n">
        <f aca="false">IFERROR(Q83*$E83*$J83, "")</f>
        <v>0</v>
      </c>
      <c r="AY83" s="284" t="n">
        <f aca="false">IFERROR(R83*$E83*$J83, "")</f>
        <v>0</v>
      </c>
      <c r="AZ83" s="284" t="n">
        <f aca="false">IFERROR(S83*$E83*$J83, "")</f>
        <v>0</v>
      </c>
      <c r="BA83" s="284" t="n">
        <f aca="false">IFERROR(T83*$E83*$J83, "")</f>
        <v>0</v>
      </c>
      <c r="BB83" s="284" t="n">
        <f aca="false">IFERROR(U83*$E83*$J83, "")</f>
        <v>0</v>
      </c>
      <c r="BC83" s="284" t="n">
        <f aca="false">IFERROR(V83*$E83*$J83, "")</f>
        <v>0</v>
      </c>
      <c r="BD83" s="284" t="n">
        <f aca="false">IFERROR(W83*$E83*$J83, "")</f>
        <v>0</v>
      </c>
      <c r="BE83" s="286" t="n">
        <f aca="false">IFERROR(SUMIF($AB$4:$AM$4, "RDEC", AS83:BD83), "")</f>
        <v>0</v>
      </c>
      <c r="BF83" s="286" t="n">
        <f aca="false">IFERROR(SUMIF($AB$4:$AM$4, "SME", AS83:BD83), "")</f>
        <v>0</v>
      </c>
      <c r="BG83" s="286" t="n">
        <f aca="false">IFERROR(SUMIF($AB$4:$AM$4, "De Minimis", AS83:BD83), "")</f>
        <v>0</v>
      </c>
      <c r="BH83" s="287"/>
      <c r="BI83" s="288" t="str">
        <f aca="false">IF((SUM(L83:W83)&gt;1),"ERROR","")</f>
        <v/>
      </c>
    </row>
    <row r="84" customFormat="false" ht="15" hidden="false" customHeight="true" outlineLevel="0" collapsed="false">
      <c r="A84" s="340"/>
      <c r="B84" s="350"/>
      <c r="C84" s="350"/>
      <c r="H84" s="350"/>
      <c r="I84" s="279" t="n">
        <v>1</v>
      </c>
      <c r="J84" s="281" t="n">
        <f aca="false">1-I84</f>
        <v>0</v>
      </c>
      <c r="K84" s="32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350"/>
      <c r="Y84" s="381"/>
      <c r="Z84" s="384" t="s">
        <v>71</v>
      </c>
      <c r="AA84" s="283"/>
      <c r="AB84" s="284" t="n">
        <f aca="false">IF(AND(AB$4="RDEC", $Y84="Limited Company"), "", L84*$E84*$I84)</f>
        <v>0</v>
      </c>
      <c r="AC84" s="284" t="n">
        <f aca="false">IF(AND(AC$4="RDEC", $Y84="Limited Company"), "", M84*$E84*$I84)</f>
        <v>0</v>
      </c>
      <c r="AD84" s="284" t="n">
        <f aca="false">IF(AND(AD$4="RDEC", $Y84="Limited Company"), "", N84*$E84*$I84)</f>
        <v>0</v>
      </c>
      <c r="AE84" s="284" t="n">
        <f aca="false">IF(AND(AE$4="RDEC", $Y84="Limited Company"), "", O84*$E84*$I84)</f>
        <v>0</v>
      </c>
      <c r="AF84" s="284" t="n">
        <f aca="false">IF(AND(AF$4="RDEC", $Y84="Limited Company"), "", P84*$E84*$I84)</f>
        <v>0</v>
      </c>
      <c r="AG84" s="284" t="n">
        <f aca="false">IF(AND(AG$4="RDEC", $Y84="Limited Company"), "", Q84*$E84*$I84)</f>
        <v>0</v>
      </c>
      <c r="AH84" s="284" t="n">
        <f aca="false">IF(AND(AH$4="RDEC", $Y84="Limited Company"), "", R84*$E84*$I84)</f>
        <v>0</v>
      </c>
      <c r="AI84" s="284" t="n">
        <f aca="false">IF(AND(AI$4="RDEC", $Y84="Limited Company"), "", S84*$E84*$I84)</f>
        <v>0</v>
      </c>
      <c r="AJ84" s="284" t="n">
        <f aca="false">IF(AND(AJ$4="RDEC", $Y84="Limited Company"), "", T84*$E84*$I84)</f>
        <v>0</v>
      </c>
      <c r="AK84" s="284" t="n">
        <f aca="false">IF(AND(AK$4="RDEC", $Y84="Limited Company"), "", U84*$E84*$I84)</f>
        <v>0</v>
      </c>
      <c r="AL84" s="284" t="n">
        <f aca="false">IF(AND(AL$4="RDEC", $Y84="Limited Company"), "", V84*$E84*$I84)</f>
        <v>0</v>
      </c>
      <c r="AM84" s="284" t="n">
        <f aca="false">IF(AND(AM$4="RDEC", $Y84="Limited Company"), "", W84*$E84*$I84)</f>
        <v>0</v>
      </c>
      <c r="AN84" s="286" t="n">
        <f aca="false">IFERROR(SUMIF($AB$4:$AM$4, "RDEC", AB84:AM84), "")</f>
        <v>0</v>
      </c>
      <c r="AO84" s="286" t="str">
        <f aca="false">IFERROR((IF(Z84="Yes",SUMIF($AB$4:$AM$4,"SME",AB84:AM84),"")),"")</f>
        <v/>
      </c>
      <c r="AP84" s="286" t="n">
        <f aca="false">IFERROR((IF(Z84="No",SUMIF($AB$4:$AM$4,"SME",AB84:AM84),"")),"")</f>
        <v>0</v>
      </c>
      <c r="AQ84" s="286" t="n">
        <f aca="false">IFERROR(SUMIF($AB$4:$AM$4, "De Minimis", AB84:AM84), "")</f>
        <v>0</v>
      </c>
      <c r="AR84" s="283"/>
      <c r="AS84" s="284" t="n">
        <f aca="false">IFERROR(L84*$E84*$J84, "")</f>
        <v>0</v>
      </c>
      <c r="AT84" s="284" t="n">
        <f aca="false">IFERROR(M84*$E84*$J84, "")</f>
        <v>0</v>
      </c>
      <c r="AU84" s="284" t="n">
        <f aca="false">IFERROR(N84*$E84*$J84, "")</f>
        <v>0</v>
      </c>
      <c r="AV84" s="284" t="n">
        <f aca="false">IFERROR(O84*$E84*$J84, "")</f>
        <v>0</v>
      </c>
      <c r="AW84" s="284" t="n">
        <f aca="false">IFERROR(P84*$E84*$J84, "")</f>
        <v>0</v>
      </c>
      <c r="AX84" s="284" t="n">
        <f aca="false">IFERROR(Q84*$E84*$J84, "")</f>
        <v>0</v>
      </c>
      <c r="AY84" s="284" t="n">
        <f aca="false">IFERROR(R84*$E84*$J84, "")</f>
        <v>0</v>
      </c>
      <c r="AZ84" s="284" t="n">
        <f aca="false">IFERROR(S84*$E84*$J84, "")</f>
        <v>0</v>
      </c>
      <c r="BA84" s="284" t="n">
        <f aca="false">IFERROR(T84*$E84*$J84, "")</f>
        <v>0</v>
      </c>
      <c r="BB84" s="284" t="n">
        <f aca="false">IFERROR(U84*$E84*$J84, "")</f>
        <v>0</v>
      </c>
      <c r="BC84" s="284" t="n">
        <f aca="false">IFERROR(V84*$E84*$J84, "")</f>
        <v>0</v>
      </c>
      <c r="BD84" s="284" t="n">
        <f aca="false">IFERROR(W84*$E84*$J84, "")</f>
        <v>0</v>
      </c>
      <c r="BE84" s="286" t="n">
        <f aca="false">IFERROR(SUMIF($AB$4:$AM$4, "RDEC", AS84:BD84), "")</f>
        <v>0</v>
      </c>
      <c r="BF84" s="286" t="n">
        <f aca="false">IFERROR(SUMIF($AB$4:$AM$4, "SME", AS84:BD84), "")</f>
        <v>0</v>
      </c>
      <c r="BG84" s="286" t="n">
        <f aca="false">IFERROR(SUMIF($AB$4:$AM$4, "De Minimis", AS84:BD84), "")</f>
        <v>0</v>
      </c>
      <c r="BH84" s="287"/>
      <c r="BI84" s="288" t="str">
        <f aca="false">IF((SUM(L84:W84)&gt;1),"ERROR","")</f>
        <v/>
      </c>
    </row>
    <row r="85" customFormat="false" ht="15" hidden="false" customHeight="true" outlineLevel="0" collapsed="false">
      <c r="A85" s="340"/>
      <c r="B85" s="350"/>
      <c r="C85" s="350"/>
      <c r="H85" s="350"/>
      <c r="I85" s="279" t="n">
        <v>1</v>
      </c>
      <c r="J85" s="281" t="n">
        <f aca="false">1-I85</f>
        <v>0</v>
      </c>
      <c r="K85" s="32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350"/>
      <c r="Y85" s="381"/>
      <c r="Z85" s="384" t="s">
        <v>71</v>
      </c>
      <c r="AA85" s="283"/>
      <c r="AB85" s="284" t="n">
        <f aca="false">IF(AND(AB$4="RDEC", $Y85="Limited Company"), "", L85*$E85*$I85)</f>
        <v>0</v>
      </c>
      <c r="AC85" s="284" t="n">
        <f aca="false">IF(AND(AC$4="RDEC", $Y85="Limited Company"), "", M85*$E85*$I85)</f>
        <v>0</v>
      </c>
      <c r="AD85" s="284" t="n">
        <f aca="false">IF(AND(AD$4="RDEC", $Y85="Limited Company"), "", N85*$E85*$I85)</f>
        <v>0</v>
      </c>
      <c r="AE85" s="284" t="n">
        <f aca="false">IF(AND(AE$4="RDEC", $Y85="Limited Company"), "", O85*$E85*$I85)</f>
        <v>0</v>
      </c>
      <c r="AF85" s="284" t="n">
        <f aca="false">IF(AND(AF$4="RDEC", $Y85="Limited Company"), "", P85*$E85*$I85)</f>
        <v>0</v>
      </c>
      <c r="AG85" s="284" t="n">
        <f aca="false">IF(AND(AG$4="RDEC", $Y85="Limited Company"), "", Q85*$E85*$I85)</f>
        <v>0</v>
      </c>
      <c r="AH85" s="284" t="n">
        <f aca="false">IF(AND(AH$4="RDEC", $Y85="Limited Company"), "", R85*$E85*$I85)</f>
        <v>0</v>
      </c>
      <c r="AI85" s="284" t="n">
        <f aca="false">IF(AND(AI$4="RDEC", $Y85="Limited Company"), "", S85*$E85*$I85)</f>
        <v>0</v>
      </c>
      <c r="AJ85" s="284" t="n">
        <f aca="false">IF(AND(AJ$4="RDEC", $Y85="Limited Company"), "", T85*$E85*$I85)</f>
        <v>0</v>
      </c>
      <c r="AK85" s="284" t="n">
        <f aca="false">IF(AND(AK$4="RDEC", $Y85="Limited Company"), "", U85*$E85*$I85)</f>
        <v>0</v>
      </c>
      <c r="AL85" s="284" t="n">
        <f aca="false">IF(AND(AL$4="RDEC", $Y85="Limited Company"), "", V85*$E85*$I85)</f>
        <v>0</v>
      </c>
      <c r="AM85" s="284" t="n">
        <f aca="false">IF(AND(AM$4="RDEC", $Y85="Limited Company"), "", W85*$E85*$I85)</f>
        <v>0</v>
      </c>
      <c r="AN85" s="286" t="n">
        <f aca="false">IFERROR(SUMIF($AB$4:$AM$4, "RDEC", AB85:AM85), "")</f>
        <v>0</v>
      </c>
      <c r="AO85" s="286" t="str">
        <f aca="false">IFERROR((IF(Z85="Yes",SUMIF($AB$4:$AM$4,"SME",AB85:AM85),"")),"")</f>
        <v/>
      </c>
      <c r="AP85" s="286" t="n">
        <f aca="false">IFERROR((IF(Z85="No",SUMIF($AB$4:$AM$4,"SME",AB85:AM85),"")),"")</f>
        <v>0</v>
      </c>
      <c r="AQ85" s="286" t="n">
        <f aca="false">IFERROR(SUMIF($AB$4:$AM$4, "De Minimis", AB85:AM85), "")</f>
        <v>0</v>
      </c>
      <c r="AR85" s="283"/>
      <c r="AS85" s="284" t="n">
        <f aca="false">IFERROR(L85*$E85*$J85, "")</f>
        <v>0</v>
      </c>
      <c r="AT85" s="284" t="n">
        <f aca="false">IFERROR(M85*$E85*$J85, "")</f>
        <v>0</v>
      </c>
      <c r="AU85" s="284" t="n">
        <f aca="false">IFERROR(N85*$E85*$J85, "")</f>
        <v>0</v>
      </c>
      <c r="AV85" s="284" t="n">
        <f aca="false">IFERROR(O85*$E85*$J85, "")</f>
        <v>0</v>
      </c>
      <c r="AW85" s="284" t="n">
        <f aca="false">IFERROR(P85*$E85*$J85, "")</f>
        <v>0</v>
      </c>
      <c r="AX85" s="284" t="n">
        <f aca="false">IFERROR(Q85*$E85*$J85, "")</f>
        <v>0</v>
      </c>
      <c r="AY85" s="284" t="n">
        <f aca="false">IFERROR(R85*$E85*$J85, "")</f>
        <v>0</v>
      </c>
      <c r="AZ85" s="284" t="n">
        <f aca="false">IFERROR(S85*$E85*$J85, "")</f>
        <v>0</v>
      </c>
      <c r="BA85" s="284" t="n">
        <f aca="false">IFERROR(T85*$E85*$J85, "")</f>
        <v>0</v>
      </c>
      <c r="BB85" s="284" t="n">
        <f aca="false">IFERROR(U85*$E85*$J85, "")</f>
        <v>0</v>
      </c>
      <c r="BC85" s="284" t="n">
        <f aca="false">IFERROR(V85*$E85*$J85, "")</f>
        <v>0</v>
      </c>
      <c r="BD85" s="284" t="n">
        <f aca="false">IFERROR(W85*$E85*$J85, "")</f>
        <v>0</v>
      </c>
      <c r="BE85" s="286" t="n">
        <f aca="false">IFERROR(SUMIF($AB$4:$AM$4, "RDEC", AS85:BD85), "")</f>
        <v>0</v>
      </c>
      <c r="BF85" s="286" t="n">
        <f aca="false">IFERROR(SUMIF($AB$4:$AM$4, "SME", AS85:BD85), "")</f>
        <v>0</v>
      </c>
      <c r="BG85" s="286" t="n">
        <f aca="false">IFERROR(SUMIF($AB$4:$AM$4, "De Minimis", AS85:BD85), "")</f>
        <v>0</v>
      </c>
      <c r="BH85" s="287"/>
      <c r="BI85" s="288" t="str">
        <f aca="false">IF((SUM(L85:W85)&gt;1),"ERROR","")</f>
        <v/>
      </c>
    </row>
    <row r="86" customFormat="false" ht="15" hidden="false" customHeight="true" outlineLevel="0" collapsed="false">
      <c r="A86" s="340"/>
      <c r="B86" s="350"/>
      <c r="C86" s="350"/>
      <c r="H86" s="350"/>
      <c r="I86" s="279" t="n">
        <v>1</v>
      </c>
      <c r="J86" s="281" t="n">
        <f aca="false">1-I86</f>
        <v>0</v>
      </c>
      <c r="K86" s="32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350"/>
      <c r="Y86" s="381"/>
      <c r="Z86" s="384" t="s">
        <v>71</v>
      </c>
      <c r="AA86" s="283"/>
      <c r="AB86" s="284" t="n">
        <f aca="false">IF(AND(AB$4="RDEC", $Y86="Limited Company"), "", L86*$E86*$I86)</f>
        <v>0</v>
      </c>
      <c r="AC86" s="284" t="n">
        <f aca="false">IF(AND(AC$4="RDEC", $Y86="Limited Company"), "", M86*$E86*$I86)</f>
        <v>0</v>
      </c>
      <c r="AD86" s="284" t="n">
        <f aca="false">IF(AND(AD$4="RDEC", $Y86="Limited Company"), "", N86*$E86*$I86)</f>
        <v>0</v>
      </c>
      <c r="AE86" s="284" t="n">
        <f aca="false">IF(AND(AE$4="RDEC", $Y86="Limited Company"), "", O86*$E86*$I86)</f>
        <v>0</v>
      </c>
      <c r="AF86" s="284" t="n">
        <f aca="false">IF(AND(AF$4="RDEC", $Y86="Limited Company"), "", P86*$E86*$I86)</f>
        <v>0</v>
      </c>
      <c r="AG86" s="284" t="n">
        <f aca="false">IF(AND(AG$4="RDEC", $Y86="Limited Company"), "", Q86*$E86*$I86)</f>
        <v>0</v>
      </c>
      <c r="AH86" s="284" t="n">
        <f aca="false">IF(AND(AH$4="RDEC", $Y86="Limited Company"), "", R86*$E86*$I86)</f>
        <v>0</v>
      </c>
      <c r="AI86" s="284" t="n">
        <f aca="false">IF(AND(AI$4="RDEC", $Y86="Limited Company"), "", S86*$E86*$I86)</f>
        <v>0</v>
      </c>
      <c r="AJ86" s="284" t="n">
        <f aca="false">IF(AND(AJ$4="RDEC", $Y86="Limited Company"), "", T86*$E86*$I86)</f>
        <v>0</v>
      </c>
      <c r="AK86" s="284" t="n">
        <f aca="false">IF(AND(AK$4="RDEC", $Y86="Limited Company"), "", U86*$E86*$I86)</f>
        <v>0</v>
      </c>
      <c r="AL86" s="284" t="n">
        <f aca="false">IF(AND(AL$4="RDEC", $Y86="Limited Company"), "", V86*$E86*$I86)</f>
        <v>0</v>
      </c>
      <c r="AM86" s="284" t="n">
        <f aca="false">IF(AND(AM$4="RDEC", $Y86="Limited Company"), "", W86*$E86*$I86)</f>
        <v>0</v>
      </c>
      <c r="AN86" s="286" t="n">
        <f aca="false">IFERROR(SUMIF($AB$4:$AM$4, "RDEC", AB86:AM86), "")</f>
        <v>0</v>
      </c>
      <c r="AO86" s="286" t="str">
        <f aca="false">IFERROR((IF(Z86="Yes",SUMIF($AB$4:$AM$4,"SME",AB86:AM86),"")),"")</f>
        <v/>
      </c>
      <c r="AP86" s="286" t="n">
        <f aca="false">IFERROR((IF(Z86="No",SUMIF($AB$4:$AM$4,"SME",AB86:AM86),"")),"")</f>
        <v>0</v>
      </c>
      <c r="AQ86" s="286" t="n">
        <f aca="false">IFERROR(SUMIF($AB$4:$AM$4, "De Minimis", AB86:AM86), "")</f>
        <v>0</v>
      </c>
      <c r="AR86" s="283"/>
      <c r="AS86" s="284" t="n">
        <f aca="false">IFERROR(L86*$E86*$J86, "")</f>
        <v>0</v>
      </c>
      <c r="AT86" s="284" t="n">
        <f aca="false">IFERROR(M86*$E86*$J86, "")</f>
        <v>0</v>
      </c>
      <c r="AU86" s="284" t="n">
        <f aca="false">IFERROR(N86*$E86*$J86, "")</f>
        <v>0</v>
      </c>
      <c r="AV86" s="284" t="n">
        <f aca="false">IFERROR(O86*$E86*$J86, "")</f>
        <v>0</v>
      </c>
      <c r="AW86" s="284" t="n">
        <f aca="false">IFERROR(P86*$E86*$J86, "")</f>
        <v>0</v>
      </c>
      <c r="AX86" s="284" t="n">
        <f aca="false">IFERROR(Q86*$E86*$J86, "")</f>
        <v>0</v>
      </c>
      <c r="AY86" s="284" t="n">
        <f aca="false">IFERROR(R86*$E86*$J86, "")</f>
        <v>0</v>
      </c>
      <c r="AZ86" s="284" t="n">
        <f aca="false">IFERROR(S86*$E86*$J86, "")</f>
        <v>0</v>
      </c>
      <c r="BA86" s="284" t="n">
        <f aca="false">IFERROR(T86*$E86*$J86, "")</f>
        <v>0</v>
      </c>
      <c r="BB86" s="284" t="n">
        <f aca="false">IFERROR(U86*$E86*$J86, "")</f>
        <v>0</v>
      </c>
      <c r="BC86" s="284" t="n">
        <f aca="false">IFERROR(V86*$E86*$J86, "")</f>
        <v>0</v>
      </c>
      <c r="BD86" s="284" t="n">
        <f aca="false">IFERROR(W86*$E86*$J86, "")</f>
        <v>0</v>
      </c>
      <c r="BE86" s="286" t="n">
        <f aca="false">IFERROR(SUMIF($AB$4:$AM$4, "RDEC", AS86:BD86), "")</f>
        <v>0</v>
      </c>
      <c r="BF86" s="286" t="n">
        <f aca="false">IFERROR(SUMIF($AB$4:$AM$4, "SME", AS86:BD86), "")</f>
        <v>0</v>
      </c>
      <c r="BG86" s="286" t="n">
        <f aca="false">IFERROR(SUMIF($AB$4:$AM$4, "De Minimis", AS86:BD86), "")</f>
        <v>0</v>
      </c>
      <c r="BH86" s="287"/>
      <c r="BI86" s="288" t="str">
        <f aca="false">IF((SUM(L86:W86)&gt;1),"ERROR","")</f>
        <v/>
      </c>
    </row>
    <row r="87" customFormat="false" ht="15" hidden="false" customHeight="true" outlineLevel="0" collapsed="false">
      <c r="A87" s="340"/>
      <c r="B87" s="350"/>
      <c r="C87" s="350"/>
      <c r="H87" s="350"/>
      <c r="I87" s="279" t="n">
        <v>1</v>
      </c>
      <c r="J87" s="281" t="n">
        <f aca="false">1-I87</f>
        <v>0</v>
      </c>
      <c r="K87" s="32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350"/>
      <c r="Y87" s="381"/>
      <c r="Z87" s="384" t="s">
        <v>71</v>
      </c>
      <c r="AA87" s="283"/>
      <c r="AB87" s="284" t="n">
        <f aca="false">IF(AND(AB$4="RDEC", $Y87="Limited Company"), "", L87*$E87*$I87)</f>
        <v>0</v>
      </c>
      <c r="AC87" s="284" t="n">
        <f aca="false">IF(AND(AC$4="RDEC", $Y87="Limited Company"), "", M87*$E87*$I87)</f>
        <v>0</v>
      </c>
      <c r="AD87" s="284" t="n">
        <f aca="false">IF(AND(AD$4="RDEC", $Y87="Limited Company"), "", N87*$E87*$I87)</f>
        <v>0</v>
      </c>
      <c r="AE87" s="284" t="n">
        <f aca="false">IF(AND(AE$4="RDEC", $Y87="Limited Company"), "", O87*$E87*$I87)</f>
        <v>0</v>
      </c>
      <c r="AF87" s="284" t="n">
        <f aca="false">IF(AND(AF$4="RDEC", $Y87="Limited Company"), "", P87*$E87*$I87)</f>
        <v>0</v>
      </c>
      <c r="AG87" s="284" t="n">
        <f aca="false">IF(AND(AG$4="RDEC", $Y87="Limited Company"), "", Q87*$E87*$I87)</f>
        <v>0</v>
      </c>
      <c r="AH87" s="284" t="n">
        <f aca="false">IF(AND(AH$4="RDEC", $Y87="Limited Company"), "", R87*$E87*$I87)</f>
        <v>0</v>
      </c>
      <c r="AI87" s="284" t="n">
        <f aca="false">IF(AND(AI$4="RDEC", $Y87="Limited Company"), "", S87*$E87*$I87)</f>
        <v>0</v>
      </c>
      <c r="AJ87" s="284" t="n">
        <f aca="false">IF(AND(AJ$4="RDEC", $Y87="Limited Company"), "", T87*$E87*$I87)</f>
        <v>0</v>
      </c>
      <c r="AK87" s="284" t="n">
        <f aca="false">IF(AND(AK$4="RDEC", $Y87="Limited Company"), "", U87*$E87*$I87)</f>
        <v>0</v>
      </c>
      <c r="AL87" s="284" t="n">
        <f aca="false">IF(AND(AL$4="RDEC", $Y87="Limited Company"), "", V87*$E87*$I87)</f>
        <v>0</v>
      </c>
      <c r="AM87" s="284" t="n">
        <f aca="false">IF(AND(AM$4="RDEC", $Y87="Limited Company"), "", W87*$E87*$I87)</f>
        <v>0</v>
      </c>
      <c r="AN87" s="286" t="n">
        <f aca="false">IFERROR(SUMIF($AB$4:$AM$4, "RDEC", AB87:AM87), "")</f>
        <v>0</v>
      </c>
      <c r="AO87" s="286" t="str">
        <f aca="false">IFERROR((IF(Z87="Yes",SUMIF($AB$4:$AM$4,"SME",AB87:AM87),"")),"")</f>
        <v/>
      </c>
      <c r="AP87" s="286" t="n">
        <f aca="false">IFERROR((IF(Z87="No",SUMIF($AB$4:$AM$4,"SME",AB87:AM87),"")),"")</f>
        <v>0</v>
      </c>
      <c r="AQ87" s="286" t="n">
        <f aca="false">IFERROR(SUMIF($AB$4:$AM$4, "De Minimis", AB87:AM87), "")</f>
        <v>0</v>
      </c>
      <c r="AR87" s="283"/>
      <c r="AS87" s="284" t="n">
        <f aca="false">IFERROR(L87*$E87*$J87, "")</f>
        <v>0</v>
      </c>
      <c r="AT87" s="284" t="n">
        <f aca="false">IFERROR(M87*$E87*$J87, "")</f>
        <v>0</v>
      </c>
      <c r="AU87" s="284" t="n">
        <f aca="false">IFERROR(N87*$E87*$J87, "")</f>
        <v>0</v>
      </c>
      <c r="AV87" s="284" t="n">
        <f aca="false">IFERROR(O87*$E87*$J87, "")</f>
        <v>0</v>
      </c>
      <c r="AW87" s="284" t="n">
        <f aca="false">IFERROR(P87*$E87*$J87, "")</f>
        <v>0</v>
      </c>
      <c r="AX87" s="284" t="n">
        <f aca="false">IFERROR(Q87*$E87*$J87, "")</f>
        <v>0</v>
      </c>
      <c r="AY87" s="284" t="n">
        <f aca="false">IFERROR(R87*$E87*$J87, "")</f>
        <v>0</v>
      </c>
      <c r="AZ87" s="284" t="n">
        <f aca="false">IFERROR(S87*$E87*$J87, "")</f>
        <v>0</v>
      </c>
      <c r="BA87" s="284" t="n">
        <f aca="false">IFERROR(T87*$E87*$J87, "")</f>
        <v>0</v>
      </c>
      <c r="BB87" s="284" t="n">
        <f aca="false">IFERROR(U87*$E87*$J87, "")</f>
        <v>0</v>
      </c>
      <c r="BC87" s="284" t="n">
        <f aca="false">IFERROR(V87*$E87*$J87, "")</f>
        <v>0</v>
      </c>
      <c r="BD87" s="284" t="n">
        <f aca="false">IFERROR(W87*$E87*$J87, "")</f>
        <v>0</v>
      </c>
      <c r="BE87" s="286" t="n">
        <f aca="false">IFERROR(SUMIF($AB$4:$AM$4, "RDEC", AS87:BD87), "")</f>
        <v>0</v>
      </c>
      <c r="BF87" s="286" t="n">
        <f aca="false">IFERROR(SUMIF($AB$4:$AM$4, "SME", AS87:BD87), "")</f>
        <v>0</v>
      </c>
      <c r="BG87" s="286" t="n">
        <f aca="false">IFERROR(SUMIF($AB$4:$AM$4, "De Minimis", AS87:BD87), "")</f>
        <v>0</v>
      </c>
      <c r="BH87" s="287"/>
      <c r="BI87" s="288" t="str">
        <f aca="false">IF((SUM(L87:W87)&gt;1),"ERROR","")</f>
        <v/>
      </c>
    </row>
    <row r="88" customFormat="false" ht="15" hidden="false" customHeight="true" outlineLevel="0" collapsed="false">
      <c r="A88" s="340"/>
      <c r="B88" s="350"/>
      <c r="C88" s="350"/>
      <c r="H88" s="350"/>
      <c r="I88" s="279" t="n">
        <v>1</v>
      </c>
      <c r="J88" s="281" t="n">
        <f aca="false">1-I88</f>
        <v>0</v>
      </c>
      <c r="K88" s="322"/>
      <c r="L88" s="282"/>
      <c r="M88" s="282"/>
      <c r="N88" s="282"/>
      <c r="O88" s="282"/>
      <c r="P88" s="282"/>
      <c r="Q88" s="282"/>
      <c r="R88" s="282"/>
      <c r="S88" s="282"/>
      <c r="T88" s="282"/>
      <c r="U88" s="282"/>
      <c r="V88" s="282"/>
      <c r="W88" s="282"/>
      <c r="X88" s="350"/>
      <c r="Y88" s="381"/>
      <c r="Z88" s="384" t="s">
        <v>71</v>
      </c>
      <c r="AA88" s="283"/>
      <c r="AB88" s="284" t="n">
        <f aca="false">IF(AND(AB$4="RDEC", $Y88="Limited Company"), "", L88*$E88*$I88)</f>
        <v>0</v>
      </c>
      <c r="AC88" s="284" t="n">
        <f aca="false">IF(AND(AC$4="RDEC", $Y88="Limited Company"), "", M88*$E88*$I88)</f>
        <v>0</v>
      </c>
      <c r="AD88" s="284" t="n">
        <f aca="false">IF(AND(AD$4="RDEC", $Y88="Limited Company"), "", N88*$E88*$I88)</f>
        <v>0</v>
      </c>
      <c r="AE88" s="284" t="n">
        <f aca="false">IF(AND(AE$4="RDEC", $Y88="Limited Company"), "", O88*$E88*$I88)</f>
        <v>0</v>
      </c>
      <c r="AF88" s="284" t="n">
        <f aca="false">IF(AND(AF$4="RDEC", $Y88="Limited Company"), "", P88*$E88*$I88)</f>
        <v>0</v>
      </c>
      <c r="AG88" s="284" t="n">
        <f aca="false">IF(AND(AG$4="RDEC", $Y88="Limited Company"), "", Q88*$E88*$I88)</f>
        <v>0</v>
      </c>
      <c r="AH88" s="284" t="n">
        <f aca="false">IF(AND(AH$4="RDEC", $Y88="Limited Company"), "", R88*$E88*$I88)</f>
        <v>0</v>
      </c>
      <c r="AI88" s="284" t="n">
        <f aca="false">IF(AND(AI$4="RDEC", $Y88="Limited Company"), "", S88*$E88*$I88)</f>
        <v>0</v>
      </c>
      <c r="AJ88" s="284" t="n">
        <f aca="false">IF(AND(AJ$4="RDEC", $Y88="Limited Company"), "", T88*$E88*$I88)</f>
        <v>0</v>
      </c>
      <c r="AK88" s="284" t="n">
        <f aca="false">IF(AND(AK$4="RDEC", $Y88="Limited Company"), "", U88*$E88*$I88)</f>
        <v>0</v>
      </c>
      <c r="AL88" s="284" t="n">
        <f aca="false">IF(AND(AL$4="RDEC", $Y88="Limited Company"), "", V88*$E88*$I88)</f>
        <v>0</v>
      </c>
      <c r="AM88" s="284" t="n">
        <f aca="false">IF(AND(AM$4="RDEC", $Y88="Limited Company"), "", W88*$E88*$I88)</f>
        <v>0</v>
      </c>
      <c r="AN88" s="286" t="n">
        <f aca="false">IFERROR(SUMIF($AB$4:$AM$4, "RDEC", AB88:AM88), "")</f>
        <v>0</v>
      </c>
      <c r="AO88" s="286" t="str">
        <f aca="false">IFERROR((IF(Z88="Yes",SUMIF($AB$4:$AM$4,"SME",AB88:AM88),"")),"")</f>
        <v/>
      </c>
      <c r="AP88" s="286" t="n">
        <f aca="false">IFERROR((IF(Z88="No",SUMIF($AB$4:$AM$4,"SME",AB88:AM88),"")),"")</f>
        <v>0</v>
      </c>
      <c r="AQ88" s="286" t="n">
        <f aca="false">IFERROR(SUMIF($AB$4:$AM$4, "De Minimis", AB88:AM88), "")</f>
        <v>0</v>
      </c>
      <c r="AR88" s="283"/>
      <c r="AS88" s="284" t="n">
        <f aca="false">IFERROR(L88*$E88*$J88, "")</f>
        <v>0</v>
      </c>
      <c r="AT88" s="284" t="n">
        <f aca="false">IFERROR(M88*$E88*$J88, "")</f>
        <v>0</v>
      </c>
      <c r="AU88" s="284" t="n">
        <f aca="false">IFERROR(N88*$E88*$J88, "")</f>
        <v>0</v>
      </c>
      <c r="AV88" s="284" t="n">
        <f aca="false">IFERROR(O88*$E88*$J88, "")</f>
        <v>0</v>
      </c>
      <c r="AW88" s="284" t="n">
        <f aca="false">IFERROR(P88*$E88*$J88, "")</f>
        <v>0</v>
      </c>
      <c r="AX88" s="284" t="n">
        <f aca="false">IFERROR(Q88*$E88*$J88, "")</f>
        <v>0</v>
      </c>
      <c r="AY88" s="284" t="n">
        <f aca="false">IFERROR(R88*$E88*$J88, "")</f>
        <v>0</v>
      </c>
      <c r="AZ88" s="284" t="n">
        <f aca="false">IFERROR(S88*$E88*$J88, "")</f>
        <v>0</v>
      </c>
      <c r="BA88" s="284" t="n">
        <f aca="false">IFERROR(T88*$E88*$J88, "")</f>
        <v>0</v>
      </c>
      <c r="BB88" s="284" t="n">
        <f aca="false">IFERROR(U88*$E88*$J88, "")</f>
        <v>0</v>
      </c>
      <c r="BC88" s="284" t="n">
        <f aca="false">IFERROR(V88*$E88*$J88, "")</f>
        <v>0</v>
      </c>
      <c r="BD88" s="284" t="n">
        <f aca="false">IFERROR(W88*$E88*$J88, "")</f>
        <v>0</v>
      </c>
      <c r="BE88" s="286" t="n">
        <f aca="false">IFERROR(SUMIF($AB$4:$AM$4, "RDEC", AS88:BD88), "")</f>
        <v>0</v>
      </c>
      <c r="BF88" s="286" t="n">
        <f aca="false">IFERROR(SUMIF($AB$4:$AM$4, "SME", AS88:BD88), "")</f>
        <v>0</v>
      </c>
      <c r="BG88" s="286" t="n">
        <f aca="false">IFERROR(SUMIF($AB$4:$AM$4, "De Minimis", AS88:BD88), "")</f>
        <v>0</v>
      </c>
      <c r="BH88" s="287"/>
      <c r="BI88" s="288" t="str">
        <f aca="false">IF((SUM(L88:W88)&gt;1),"ERROR","")</f>
        <v/>
      </c>
    </row>
    <row r="89" customFormat="false" ht="15" hidden="false" customHeight="true" outlineLevel="0" collapsed="false">
      <c r="A89" s="340"/>
      <c r="B89" s="350"/>
      <c r="C89" s="350"/>
      <c r="H89" s="350"/>
      <c r="I89" s="279" t="n">
        <v>1</v>
      </c>
      <c r="J89" s="281" t="n">
        <f aca="false">1-I89</f>
        <v>0</v>
      </c>
      <c r="K89" s="32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350"/>
      <c r="Y89" s="381"/>
      <c r="Z89" s="384" t="s">
        <v>71</v>
      </c>
      <c r="AA89" s="283"/>
      <c r="AB89" s="284" t="n">
        <f aca="false">IF(AND(AB$4="RDEC", $Y89="Limited Company"), "", L89*$E89*$I89)</f>
        <v>0</v>
      </c>
      <c r="AC89" s="284" t="n">
        <f aca="false">IF(AND(AC$4="RDEC", $Y89="Limited Company"), "", M89*$E89*$I89)</f>
        <v>0</v>
      </c>
      <c r="AD89" s="284" t="n">
        <f aca="false">IF(AND(AD$4="RDEC", $Y89="Limited Company"), "", N89*$E89*$I89)</f>
        <v>0</v>
      </c>
      <c r="AE89" s="284" t="n">
        <f aca="false">IF(AND(AE$4="RDEC", $Y89="Limited Company"), "", O89*$E89*$I89)</f>
        <v>0</v>
      </c>
      <c r="AF89" s="284" t="n">
        <f aca="false">IF(AND(AF$4="RDEC", $Y89="Limited Company"), "", P89*$E89*$I89)</f>
        <v>0</v>
      </c>
      <c r="AG89" s="284" t="n">
        <f aca="false">IF(AND(AG$4="RDEC", $Y89="Limited Company"), "", Q89*$E89*$I89)</f>
        <v>0</v>
      </c>
      <c r="AH89" s="284" t="n">
        <f aca="false">IF(AND(AH$4="RDEC", $Y89="Limited Company"), "", R89*$E89*$I89)</f>
        <v>0</v>
      </c>
      <c r="AI89" s="284" t="n">
        <f aca="false">IF(AND(AI$4="RDEC", $Y89="Limited Company"), "", S89*$E89*$I89)</f>
        <v>0</v>
      </c>
      <c r="AJ89" s="284" t="n">
        <f aca="false">IF(AND(AJ$4="RDEC", $Y89="Limited Company"), "", T89*$E89*$I89)</f>
        <v>0</v>
      </c>
      <c r="AK89" s="284" t="n">
        <f aca="false">IF(AND(AK$4="RDEC", $Y89="Limited Company"), "", U89*$E89*$I89)</f>
        <v>0</v>
      </c>
      <c r="AL89" s="284" t="n">
        <f aca="false">IF(AND(AL$4="RDEC", $Y89="Limited Company"), "", V89*$E89*$I89)</f>
        <v>0</v>
      </c>
      <c r="AM89" s="284" t="n">
        <f aca="false">IF(AND(AM$4="RDEC", $Y89="Limited Company"), "", W89*$E89*$I89)</f>
        <v>0</v>
      </c>
      <c r="AN89" s="286" t="n">
        <f aca="false">IFERROR(SUMIF($AB$4:$AM$4, "RDEC", AB89:AM89), "")</f>
        <v>0</v>
      </c>
      <c r="AO89" s="286" t="str">
        <f aca="false">IFERROR((IF(Z89="Yes",SUMIF($AB$4:$AM$4,"SME",AB89:AM89),"")),"")</f>
        <v/>
      </c>
      <c r="AP89" s="286" t="n">
        <f aca="false">IFERROR((IF(Z89="No",SUMIF($AB$4:$AM$4,"SME",AB89:AM89),"")),"")</f>
        <v>0</v>
      </c>
      <c r="AQ89" s="286" t="n">
        <f aca="false">IFERROR(SUMIF($AB$4:$AM$4, "De Minimis", AB89:AM89), "")</f>
        <v>0</v>
      </c>
      <c r="AR89" s="283"/>
      <c r="AS89" s="284" t="n">
        <f aca="false">IFERROR(L89*$E89*$J89, "")</f>
        <v>0</v>
      </c>
      <c r="AT89" s="284" t="n">
        <f aca="false">IFERROR(M89*$E89*$J89, "")</f>
        <v>0</v>
      </c>
      <c r="AU89" s="284" t="n">
        <f aca="false">IFERROR(N89*$E89*$J89, "")</f>
        <v>0</v>
      </c>
      <c r="AV89" s="284" t="n">
        <f aca="false">IFERROR(O89*$E89*$J89, "")</f>
        <v>0</v>
      </c>
      <c r="AW89" s="284" t="n">
        <f aca="false">IFERROR(P89*$E89*$J89, "")</f>
        <v>0</v>
      </c>
      <c r="AX89" s="284" t="n">
        <f aca="false">IFERROR(Q89*$E89*$J89, "")</f>
        <v>0</v>
      </c>
      <c r="AY89" s="284" t="n">
        <f aca="false">IFERROR(R89*$E89*$J89, "")</f>
        <v>0</v>
      </c>
      <c r="AZ89" s="284" t="n">
        <f aca="false">IFERROR(S89*$E89*$J89, "")</f>
        <v>0</v>
      </c>
      <c r="BA89" s="284" t="n">
        <f aca="false">IFERROR(T89*$E89*$J89, "")</f>
        <v>0</v>
      </c>
      <c r="BB89" s="284" t="n">
        <f aca="false">IFERROR(U89*$E89*$J89, "")</f>
        <v>0</v>
      </c>
      <c r="BC89" s="284" t="n">
        <f aca="false">IFERROR(V89*$E89*$J89, "")</f>
        <v>0</v>
      </c>
      <c r="BD89" s="284" t="n">
        <f aca="false">IFERROR(W89*$E89*$J89, "")</f>
        <v>0</v>
      </c>
      <c r="BE89" s="286" t="n">
        <f aca="false">IFERROR(SUMIF($AB$4:$AM$4, "RDEC", AS89:BD89), "")</f>
        <v>0</v>
      </c>
      <c r="BF89" s="286" t="n">
        <f aca="false">IFERROR(SUMIF($AB$4:$AM$4, "SME", AS89:BD89), "")</f>
        <v>0</v>
      </c>
      <c r="BG89" s="286" t="n">
        <f aca="false">IFERROR(SUMIF($AB$4:$AM$4, "De Minimis", AS89:BD89), "")</f>
        <v>0</v>
      </c>
      <c r="BH89" s="287"/>
      <c r="BI89" s="288" t="str">
        <f aca="false">IF((SUM(L89:W89)&gt;1),"ERROR","")</f>
        <v/>
      </c>
    </row>
    <row r="90" customFormat="false" ht="15" hidden="false" customHeight="true" outlineLevel="0" collapsed="false">
      <c r="A90" s="340"/>
      <c r="B90" s="350"/>
      <c r="C90" s="350"/>
      <c r="H90" s="350"/>
      <c r="I90" s="279" t="n">
        <v>1</v>
      </c>
      <c r="J90" s="281" t="n">
        <f aca="false">1-I90</f>
        <v>0</v>
      </c>
      <c r="K90" s="32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350"/>
      <c r="Y90" s="381"/>
      <c r="Z90" s="384" t="s">
        <v>71</v>
      </c>
      <c r="AA90" s="283"/>
      <c r="AB90" s="284" t="n">
        <f aca="false">IF(AND(AB$4="RDEC", $Y90="Limited Company"), "", L90*$E90*$I90)</f>
        <v>0</v>
      </c>
      <c r="AC90" s="284" t="n">
        <f aca="false">IF(AND(AC$4="RDEC", $Y90="Limited Company"), "", M90*$E90*$I90)</f>
        <v>0</v>
      </c>
      <c r="AD90" s="284" t="n">
        <f aca="false">IF(AND(AD$4="RDEC", $Y90="Limited Company"), "", N90*$E90*$I90)</f>
        <v>0</v>
      </c>
      <c r="AE90" s="284" t="n">
        <f aca="false">IF(AND(AE$4="RDEC", $Y90="Limited Company"), "", O90*$E90*$I90)</f>
        <v>0</v>
      </c>
      <c r="AF90" s="284" t="n">
        <f aca="false">IF(AND(AF$4="RDEC", $Y90="Limited Company"), "", P90*$E90*$I90)</f>
        <v>0</v>
      </c>
      <c r="AG90" s="284" t="n">
        <f aca="false">IF(AND(AG$4="RDEC", $Y90="Limited Company"), "", Q90*$E90*$I90)</f>
        <v>0</v>
      </c>
      <c r="AH90" s="284" t="n">
        <f aca="false">IF(AND(AH$4="RDEC", $Y90="Limited Company"), "", R90*$E90*$I90)</f>
        <v>0</v>
      </c>
      <c r="AI90" s="284" t="n">
        <f aca="false">IF(AND(AI$4="RDEC", $Y90="Limited Company"), "", S90*$E90*$I90)</f>
        <v>0</v>
      </c>
      <c r="AJ90" s="284" t="n">
        <f aca="false">IF(AND(AJ$4="RDEC", $Y90="Limited Company"), "", T90*$E90*$I90)</f>
        <v>0</v>
      </c>
      <c r="AK90" s="284" t="n">
        <f aca="false">IF(AND(AK$4="RDEC", $Y90="Limited Company"), "", U90*$E90*$I90)</f>
        <v>0</v>
      </c>
      <c r="AL90" s="284" t="n">
        <f aca="false">IF(AND(AL$4="RDEC", $Y90="Limited Company"), "", V90*$E90*$I90)</f>
        <v>0</v>
      </c>
      <c r="AM90" s="284" t="n">
        <f aca="false">IF(AND(AM$4="RDEC", $Y90="Limited Company"), "", W90*$E90*$I90)</f>
        <v>0</v>
      </c>
      <c r="AN90" s="286" t="n">
        <f aca="false">IFERROR(SUMIF($AB$4:$AM$4, "RDEC", AB90:AM90), "")</f>
        <v>0</v>
      </c>
      <c r="AO90" s="286" t="str">
        <f aca="false">IFERROR((IF(Z90="Yes",SUMIF($AB$4:$AM$4,"SME",AB90:AM90),"")),"")</f>
        <v/>
      </c>
      <c r="AP90" s="286" t="n">
        <f aca="false">IFERROR((IF(Z90="No",SUMIF($AB$4:$AM$4,"SME",AB90:AM90),"")),"")</f>
        <v>0</v>
      </c>
      <c r="AQ90" s="286" t="n">
        <f aca="false">IFERROR(SUMIF($AB$4:$AM$4, "De Minimis", AB90:AM90), "")</f>
        <v>0</v>
      </c>
      <c r="AR90" s="283"/>
      <c r="AS90" s="284" t="n">
        <f aca="false">IFERROR(L90*$E90*$J90, "")</f>
        <v>0</v>
      </c>
      <c r="AT90" s="284" t="n">
        <f aca="false">IFERROR(M90*$E90*$J90, "")</f>
        <v>0</v>
      </c>
      <c r="AU90" s="284" t="n">
        <f aca="false">IFERROR(N90*$E90*$J90, "")</f>
        <v>0</v>
      </c>
      <c r="AV90" s="284" t="n">
        <f aca="false">IFERROR(O90*$E90*$J90, "")</f>
        <v>0</v>
      </c>
      <c r="AW90" s="284" t="n">
        <f aca="false">IFERROR(P90*$E90*$J90, "")</f>
        <v>0</v>
      </c>
      <c r="AX90" s="284" t="n">
        <f aca="false">IFERROR(Q90*$E90*$J90, "")</f>
        <v>0</v>
      </c>
      <c r="AY90" s="284" t="n">
        <f aca="false">IFERROR(R90*$E90*$J90, "")</f>
        <v>0</v>
      </c>
      <c r="AZ90" s="284" t="n">
        <f aca="false">IFERROR(S90*$E90*$J90, "")</f>
        <v>0</v>
      </c>
      <c r="BA90" s="284" t="n">
        <f aca="false">IFERROR(T90*$E90*$J90, "")</f>
        <v>0</v>
      </c>
      <c r="BB90" s="284" t="n">
        <f aca="false">IFERROR(U90*$E90*$J90, "")</f>
        <v>0</v>
      </c>
      <c r="BC90" s="284" t="n">
        <f aca="false">IFERROR(V90*$E90*$J90, "")</f>
        <v>0</v>
      </c>
      <c r="BD90" s="284" t="n">
        <f aca="false">IFERROR(W90*$E90*$J90, "")</f>
        <v>0</v>
      </c>
      <c r="BE90" s="286" t="n">
        <f aca="false">IFERROR(SUMIF($AB$4:$AM$4, "RDEC", AS90:BD90), "")</f>
        <v>0</v>
      </c>
      <c r="BF90" s="286" t="n">
        <f aca="false">IFERROR(SUMIF($AB$4:$AM$4, "SME", AS90:BD90), "")</f>
        <v>0</v>
      </c>
      <c r="BG90" s="286" t="n">
        <f aca="false">IFERROR(SUMIF($AB$4:$AM$4, "De Minimis", AS90:BD90), "")</f>
        <v>0</v>
      </c>
      <c r="BH90" s="287"/>
      <c r="BI90" s="288" t="str">
        <f aca="false">IF((SUM(L90:W90)&gt;1),"ERROR","")</f>
        <v/>
      </c>
    </row>
    <row r="91" customFormat="false" ht="15" hidden="false" customHeight="true" outlineLevel="0" collapsed="false">
      <c r="A91" s="340"/>
      <c r="B91" s="350"/>
      <c r="C91" s="350"/>
      <c r="H91" s="350"/>
      <c r="I91" s="279" t="n">
        <v>1</v>
      </c>
      <c r="J91" s="281" t="n">
        <f aca="false">1-I91</f>
        <v>0</v>
      </c>
      <c r="K91" s="32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350"/>
      <c r="Y91" s="381"/>
      <c r="Z91" s="384" t="s">
        <v>71</v>
      </c>
      <c r="AA91" s="283"/>
      <c r="AB91" s="284" t="n">
        <f aca="false">IF(AND(AB$4="RDEC", $Y91="Limited Company"), "", L91*$E91*$I91)</f>
        <v>0</v>
      </c>
      <c r="AC91" s="284" t="n">
        <f aca="false">IF(AND(AC$4="RDEC", $Y91="Limited Company"), "", M91*$E91*$I91)</f>
        <v>0</v>
      </c>
      <c r="AD91" s="284" t="n">
        <f aca="false">IF(AND(AD$4="RDEC", $Y91="Limited Company"), "", N91*$E91*$I91)</f>
        <v>0</v>
      </c>
      <c r="AE91" s="284" t="n">
        <f aca="false">IF(AND(AE$4="RDEC", $Y91="Limited Company"), "", O91*$E91*$I91)</f>
        <v>0</v>
      </c>
      <c r="AF91" s="284" t="n">
        <f aca="false">IF(AND(AF$4="RDEC", $Y91="Limited Company"), "", P91*$E91*$I91)</f>
        <v>0</v>
      </c>
      <c r="AG91" s="284" t="n">
        <f aca="false">IF(AND(AG$4="RDEC", $Y91="Limited Company"), "", Q91*$E91*$I91)</f>
        <v>0</v>
      </c>
      <c r="AH91" s="284" t="n">
        <f aca="false">IF(AND(AH$4="RDEC", $Y91="Limited Company"), "", R91*$E91*$I91)</f>
        <v>0</v>
      </c>
      <c r="AI91" s="284" t="n">
        <f aca="false">IF(AND(AI$4="RDEC", $Y91="Limited Company"), "", S91*$E91*$I91)</f>
        <v>0</v>
      </c>
      <c r="AJ91" s="284" t="n">
        <f aca="false">IF(AND(AJ$4="RDEC", $Y91="Limited Company"), "", T91*$E91*$I91)</f>
        <v>0</v>
      </c>
      <c r="AK91" s="284" t="n">
        <f aca="false">IF(AND(AK$4="RDEC", $Y91="Limited Company"), "", U91*$E91*$I91)</f>
        <v>0</v>
      </c>
      <c r="AL91" s="284" t="n">
        <f aca="false">IF(AND(AL$4="RDEC", $Y91="Limited Company"), "", V91*$E91*$I91)</f>
        <v>0</v>
      </c>
      <c r="AM91" s="284" t="n">
        <f aca="false">IF(AND(AM$4="RDEC", $Y91="Limited Company"), "", W91*$E91*$I91)</f>
        <v>0</v>
      </c>
      <c r="AN91" s="286" t="n">
        <f aca="false">IFERROR(SUMIF($AB$4:$AM$4, "RDEC", AB91:AM91), "")</f>
        <v>0</v>
      </c>
      <c r="AO91" s="286" t="str">
        <f aca="false">IFERROR((IF(Z91="Yes",SUMIF($AB$4:$AM$4,"SME",AB91:AM91),"")),"")</f>
        <v/>
      </c>
      <c r="AP91" s="286" t="n">
        <f aca="false">IFERROR((IF(Z91="No",SUMIF($AB$4:$AM$4,"SME",AB91:AM91),"")),"")</f>
        <v>0</v>
      </c>
      <c r="AQ91" s="286" t="n">
        <f aca="false">IFERROR(SUMIF($AB$4:$AM$4, "De Minimis", AB91:AM91), "")</f>
        <v>0</v>
      </c>
      <c r="AR91" s="283"/>
      <c r="AS91" s="284" t="n">
        <f aca="false">IFERROR(L91*$E91*$J91, "")</f>
        <v>0</v>
      </c>
      <c r="AT91" s="284" t="n">
        <f aca="false">IFERROR(M91*$E91*$J91, "")</f>
        <v>0</v>
      </c>
      <c r="AU91" s="284" t="n">
        <f aca="false">IFERROR(N91*$E91*$J91, "")</f>
        <v>0</v>
      </c>
      <c r="AV91" s="284" t="n">
        <f aca="false">IFERROR(O91*$E91*$J91, "")</f>
        <v>0</v>
      </c>
      <c r="AW91" s="284" t="n">
        <f aca="false">IFERROR(P91*$E91*$J91, "")</f>
        <v>0</v>
      </c>
      <c r="AX91" s="284" t="n">
        <f aca="false">IFERROR(Q91*$E91*$J91, "")</f>
        <v>0</v>
      </c>
      <c r="AY91" s="284" t="n">
        <f aca="false">IFERROR(R91*$E91*$J91, "")</f>
        <v>0</v>
      </c>
      <c r="AZ91" s="284" t="n">
        <f aca="false">IFERROR(S91*$E91*$J91, "")</f>
        <v>0</v>
      </c>
      <c r="BA91" s="284" t="n">
        <f aca="false">IFERROR(T91*$E91*$J91, "")</f>
        <v>0</v>
      </c>
      <c r="BB91" s="284" t="n">
        <f aca="false">IFERROR(U91*$E91*$J91, "")</f>
        <v>0</v>
      </c>
      <c r="BC91" s="284" t="n">
        <f aca="false">IFERROR(V91*$E91*$J91, "")</f>
        <v>0</v>
      </c>
      <c r="BD91" s="284" t="n">
        <f aca="false">IFERROR(W91*$E91*$J91, "")</f>
        <v>0</v>
      </c>
      <c r="BE91" s="286" t="n">
        <f aca="false">IFERROR(SUMIF($AB$4:$AM$4, "RDEC", AS91:BD91), "")</f>
        <v>0</v>
      </c>
      <c r="BF91" s="286" t="n">
        <f aca="false">IFERROR(SUMIF($AB$4:$AM$4, "SME", AS91:BD91), "")</f>
        <v>0</v>
      </c>
      <c r="BG91" s="286" t="n">
        <f aca="false">IFERROR(SUMIF($AB$4:$AM$4, "De Minimis", AS91:BD91), "")</f>
        <v>0</v>
      </c>
      <c r="BH91" s="287"/>
      <c r="BI91" s="288" t="str">
        <f aca="false">IF((SUM(L91:W91)&gt;1),"ERROR","")</f>
        <v/>
      </c>
    </row>
    <row r="92" customFormat="false" ht="15" hidden="false" customHeight="true" outlineLevel="0" collapsed="false">
      <c r="A92" s="340"/>
      <c r="B92" s="350"/>
      <c r="C92" s="350"/>
      <c r="H92" s="350"/>
      <c r="I92" s="279" t="n">
        <v>1</v>
      </c>
      <c r="J92" s="281" t="n">
        <f aca="false">1-I92</f>
        <v>0</v>
      </c>
      <c r="K92" s="32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350"/>
      <c r="Y92" s="381"/>
      <c r="Z92" s="384" t="s">
        <v>71</v>
      </c>
      <c r="AA92" s="283"/>
      <c r="AB92" s="284" t="n">
        <f aca="false">IF(AND(AB$4="RDEC", $Y92="Limited Company"), "", L92*$E92*$I92)</f>
        <v>0</v>
      </c>
      <c r="AC92" s="284" t="n">
        <f aca="false">IF(AND(AC$4="RDEC", $Y92="Limited Company"), "", M92*$E92*$I92)</f>
        <v>0</v>
      </c>
      <c r="AD92" s="284" t="n">
        <f aca="false">IF(AND(AD$4="RDEC", $Y92="Limited Company"), "", N92*$E92*$I92)</f>
        <v>0</v>
      </c>
      <c r="AE92" s="284" t="n">
        <f aca="false">IF(AND(AE$4="RDEC", $Y92="Limited Company"), "", O92*$E92*$I92)</f>
        <v>0</v>
      </c>
      <c r="AF92" s="284" t="n">
        <f aca="false">IF(AND(AF$4="RDEC", $Y92="Limited Company"), "", P92*$E92*$I92)</f>
        <v>0</v>
      </c>
      <c r="AG92" s="284" t="n">
        <f aca="false">IF(AND(AG$4="RDEC", $Y92="Limited Company"), "", Q92*$E92*$I92)</f>
        <v>0</v>
      </c>
      <c r="AH92" s="284" t="n">
        <f aca="false">IF(AND(AH$4="RDEC", $Y92="Limited Company"), "", R92*$E92*$I92)</f>
        <v>0</v>
      </c>
      <c r="AI92" s="284" t="n">
        <f aca="false">IF(AND(AI$4="RDEC", $Y92="Limited Company"), "", S92*$E92*$I92)</f>
        <v>0</v>
      </c>
      <c r="AJ92" s="284" t="n">
        <f aca="false">IF(AND(AJ$4="RDEC", $Y92="Limited Company"), "", T92*$E92*$I92)</f>
        <v>0</v>
      </c>
      <c r="AK92" s="284" t="n">
        <f aca="false">IF(AND(AK$4="RDEC", $Y92="Limited Company"), "", U92*$E92*$I92)</f>
        <v>0</v>
      </c>
      <c r="AL92" s="284" t="n">
        <f aca="false">IF(AND(AL$4="RDEC", $Y92="Limited Company"), "", V92*$E92*$I92)</f>
        <v>0</v>
      </c>
      <c r="AM92" s="284" t="n">
        <f aca="false">IF(AND(AM$4="RDEC", $Y92="Limited Company"), "", W92*$E92*$I92)</f>
        <v>0</v>
      </c>
      <c r="AN92" s="286" t="n">
        <f aca="false">IFERROR(SUMIF($AB$4:$AM$4, "RDEC", AB92:AM92), "")</f>
        <v>0</v>
      </c>
      <c r="AO92" s="286" t="str">
        <f aca="false">IFERROR((IF(Z92="Yes",SUMIF($AB$4:$AM$4,"SME",AB92:AM92),"")),"")</f>
        <v/>
      </c>
      <c r="AP92" s="286" t="n">
        <f aca="false">IFERROR((IF(Z92="No",SUMIF($AB$4:$AM$4,"SME",AB92:AM92),"")),"")</f>
        <v>0</v>
      </c>
      <c r="AQ92" s="286" t="n">
        <f aca="false">IFERROR(SUMIF($AB$4:$AM$4, "De Minimis", AB92:AM92), "")</f>
        <v>0</v>
      </c>
      <c r="AR92" s="283"/>
      <c r="AS92" s="284" t="n">
        <f aca="false">IFERROR(L92*$E92*$J92, "")</f>
        <v>0</v>
      </c>
      <c r="AT92" s="284" t="n">
        <f aca="false">IFERROR(M92*$E92*$J92, "")</f>
        <v>0</v>
      </c>
      <c r="AU92" s="284" t="n">
        <f aca="false">IFERROR(N92*$E92*$J92, "")</f>
        <v>0</v>
      </c>
      <c r="AV92" s="284" t="n">
        <f aca="false">IFERROR(O92*$E92*$J92, "")</f>
        <v>0</v>
      </c>
      <c r="AW92" s="284" t="n">
        <f aca="false">IFERROR(P92*$E92*$J92, "")</f>
        <v>0</v>
      </c>
      <c r="AX92" s="284" t="n">
        <f aca="false">IFERROR(Q92*$E92*$J92, "")</f>
        <v>0</v>
      </c>
      <c r="AY92" s="284" t="n">
        <f aca="false">IFERROR(R92*$E92*$J92, "")</f>
        <v>0</v>
      </c>
      <c r="AZ92" s="284" t="n">
        <f aca="false">IFERROR(S92*$E92*$J92, "")</f>
        <v>0</v>
      </c>
      <c r="BA92" s="284" t="n">
        <f aca="false">IFERROR(T92*$E92*$J92, "")</f>
        <v>0</v>
      </c>
      <c r="BB92" s="284" t="n">
        <f aca="false">IFERROR(U92*$E92*$J92, "")</f>
        <v>0</v>
      </c>
      <c r="BC92" s="284" t="n">
        <f aca="false">IFERROR(V92*$E92*$J92, "")</f>
        <v>0</v>
      </c>
      <c r="BD92" s="284" t="n">
        <f aca="false">IFERROR(W92*$E92*$J92, "")</f>
        <v>0</v>
      </c>
      <c r="BE92" s="286" t="n">
        <f aca="false">IFERROR(SUMIF($AB$4:$AM$4, "RDEC", AS92:BD92), "")</f>
        <v>0</v>
      </c>
      <c r="BF92" s="286" t="n">
        <f aca="false">IFERROR(SUMIF($AB$4:$AM$4, "SME", AS92:BD92), "")</f>
        <v>0</v>
      </c>
      <c r="BG92" s="286" t="n">
        <f aca="false">IFERROR(SUMIF($AB$4:$AM$4, "De Minimis", AS92:BD92), "")</f>
        <v>0</v>
      </c>
      <c r="BH92" s="287"/>
      <c r="BI92" s="288" t="str">
        <f aca="false">IF((SUM(L92:W92)&gt;1),"ERROR","")</f>
        <v/>
      </c>
    </row>
    <row r="93" customFormat="false" ht="15" hidden="false" customHeight="true" outlineLevel="0" collapsed="false">
      <c r="A93" s="340"/>
      <c r="B93" s="350"/>
      <c r="C93" s="350"/>
      <c r="H93" s="350"/>
      <c r="I93" s="279" t="n">
        <v>1</v>
      </c>
      <c r="J93" s="281" t="n">
        <f aca="false">1-I93</f>
        <v>0</v>
      </c>
      <c r="K93" s="32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350"/>
      <c r="Y93" s="381"/>
      <c r="Z93" s="384" t="s">
        <v>71</v>
      </c>
      <c r="AA93" s="283"/>
      <c r="AB93" s="284" t="n">
        <f aca="false">IF(AND(AB$4="RDEC", $Y93="Limited Company"), "", L93*$E93*$I93)</f>
        <v>0</v>
      </c>
      <c r="AC93" s="284" t="n">
        <f aca="false">IF(AND(AC$4="RDEC", $Y93="Limited Company"), "", M93*$E93*$I93)</f>
        <v>0</v>
      </c>
      <c r="AD93" s="284" t="n">
        <f aca="false">IF(AND(AD$4="RDEC", $Y93="Limited Company"), "", N93*$E93*$I93)</f>
        <v>0</v>
      </c>
      <c r="AE93" s="284" t="n">
        <f aca="false">IF(AND(AE$4="RDEC", $Y93="Limited Company"), "", O93*$E93*$I93)</f>
        <v>0</v>
      </c>
      <c r="AF93" s="284" t="n">
        <f aca="false">IF(AND(AF$4="RDEC", $Y93="Limited Company"), "", P93*$E93*$I93)</f>
        <v>0</v>
      </c>
      <c r="AG93" s="284" t="n">
        <f aca="false">IF(AND(AG$4="RDEC", $Y93="Limited Company"), "", Q93*$E93*$I93)</f>
        <v>0</v>
      </c>
      <c r="AH93" s="284" t="n">
        <f aca="false">IF(AND(AH$4="RDEC", $Y93="Limited Company"), "", R93*$E93*$I93)</f>
        <v>0</v>
      </c>
      <c r="AI93" s="284" t="n">
        <f aca="false">IF(AND(AI$4="RDEC", $Y93="Limited Company"), "", S93*$E93*$I93)</f>
        <v>0</v>
      </c>
      <c r="AJ93" s="284" t="n">
        <f aca="false">IF(AND(AJ$4="RDEC", $Y93="Limited Company"), "", T93*$E93*$I93)</f>
        <v>0</v>
      </c>
      <c r="AK93" s="284" t="n">
        <f aca="false">IF(AND(AK$4="RDEC", $Y93="Limited Company"), "", U93*$E93*$I93)</f>
        <v>0</v>
      </c>
      <c r="AL93" s="284" t="n">
        <f aca="false">IF(AND(AL$4="RDEC", $Y93="Limited Company"), "", V93*$E93*$I93)</f>
        <v>0</v>
      </c>
      <c r="AM93" s="284" t="n">
        <f aca="false">IF(AND(AM$4="RDEC", $Y93="Limited Company"), "", W93*$E93*$I93)</f>
        <v>0</v>
      </c>
      <c r="AN93" s="286" t="n">
        <f aca="false">IFERROR(SUMIF($AB$4:$AM$4, "RDEC", AB93:AM93), "")</f>
        <v>0</v>
      </c>
      <c r="AO93" s="286" t="str">
        <f aca="false">IFERROR((IF(Z93="Yes",SUMIF($AB$4:$AM$4,"SME",AB93:AM93),"")),"")</f>
        <v/>
      </c>
      <c r="AP93" s="286" t="n">
        <f aca="false">IFERROR((IF(Z93="No",SUMIF($AB$4:$AM$4,"SME",AB93:AM93),"")),"")</f>
        <v>0</v>
      </c>
      <c r="AQ93" s="286" t="n">
        <f aca="false">IFERROR(SUMIF($AB$4:$AM$4, "De Minimis", AB93:AM93), "")</f>
        <v>0</v>
      </c>
      <c r="AR93" s="283"/>
      <c r="AS93" s="284" t="n">
        <f aca="false">IFERROR(L93*$E93*$J93, "")</f>
        <v>0</v>
      </c>
      <c r="AT93" s="284" t="n">
        <f aca="false">IFERROR(M93*$E93*$J93, "")</f>
        <v>0</v>
      </c>
      <c r="AU93" s="284" t="n">
        <f aca="false">IFERROR(N93*$E93*$J93, "")</f>
        <v>0</v>
      </c>
      <c r="AV93" s="284" t="n">
        <f aca="false">IFERROR(O93*$E93*$J93, "")</f>
        <v>0</v>
      </c>
      <c r="AW93" s="284" t="n">
        <f aca="false">IFERROR(P93*$E93*$J93, "")</f>
        <v>0</v>
      </c>
      <c r="AX93" s="284" t="n">
        <f aca="false">IFERROR(Q93*$E93*$J93, "")</f>
        <v>0</v>
      </c>
      <c r="AY93" s="284" t="n">
        <f aca="false">IFERROR(R93*$E93*$J93, "")</f>
        <v>0</v>
      </c>
      <c r="AZ93" s="284" t="n">
        <f aca="false">IFERROR(S93*$E93*$J93, "")</f>
        <v>0</v>
      </c>
      <c r="BA93" s="284" t="n">
        <f aca="false">IFERROR(T93*$E93*$J93, "")</f>
        <v>0</v>
      </c>
      <c r="BB93" s="284" t="n">
        <f aca="false">IFERROR(U93*$E93*$J93, "")</f>
        <v>0</v>
      </c>
      <c r="BC93" s="284" t="n">
        <f aca="false">IFERROR(V93*$E93*$J93, "")</f>
        <v>0</v>
      </c>
      <c r="BD93" s="284" t="n">
        <f aca="false">IFERROR(W93*$E93*$J93, "")</f>
        <v>0</v>
      </c>
      <c r="BE93" s="286" t="n">
        <f aca="false">IFERROR(SUMIF($AB$4:$AM$4, "RDEC", AS93:BD93), "")</f>
        <v>0</v>
      </c>
      <c r="BF93" s="286" t="n">
        <f aca="false">IFERROR(SUMIF($AB$4:$AM$4, "SME", AS93:BD93), "")</f>
        <v>0</v>
      </c>
      <c r="BG93" s="286" t="n">
        <f aca="false">IFERROR(SUMIF($AB$4:$AM$4, "De Minimis", AS93:BD93), "")</f>
        <v>0</v>
      </c>
      <c r="BH93" s="287"/>
      <c r="BI93" s="288" t="str">
        <f aca="false">IF((SUM(L93:W93)&gt;1),"ERROR","")</f>
        <v/>
      </c>
    </row>
    <row r="94" customFormat="false" ht="15" hidden="false" customHeight="true" outlineLevel="0" collapsed="false">
      <c r="A94" s="340"/>
      <c r="B94" s="350"/>
      <c r="C94" s="350"/>
      <c r="H94" s="350"/>
      <c r="I94" s="279" t="n">
        <v>1</v>
      </c>
      <c r="J94" s="281" t="n">
        <f aca="false">1-I94</f>
        <v>0</v>
      </c>
      <c r="K94" s="32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350"/>
      <c r="Y94" s="381"/>
      <c r="Z94" s="384" t="s">
        <v>71</v>
      </c>
      <c r="AA94" s="283"/>
      <c r="AB94" s="284" t="n">
        <f aca="false">IF(AND(AB$4="RDEC", $Y94="Limited Company"), "", L94*$E94*$I94)</f>
        <v>0</v>
      </c>
      <c r="AC94" s="284" t="n">
        <f aca="false">IF(AND(AC$4="RDEC", $Y94="Limited Company"), "", M94*$E94*$I94)</f>
        <v>0</v>
      </c>
      <c r="AD94" s="284" t="n">
        <f aca="false">IF(AND(AD$4="RDEC", $Y94="Limited Company"), "", N94*$E94*$I94)</f>
        <v>0</v>
      </c>
      <c r="AE94" s="284" t="n">
        <f aca="false">IF(AND(AE$4="RDEC", $Y94="Limited Company"), "", O94*$E94*$I94)</f>
        <v>0</v>
      </c>
      <c r="AF94" s="284" t="n">
        <f aca="false">IF(AND(AF$4="RDEC", $Y94="Limited Company"), "", P94*$E94*$I94)</f>
        <v>0</v>
      </c>
      <c r="AG94" s="284" t="n">
        <f aca="false">IF(AND(AG$4="RDEC", $Y94="Limited Company"), "", Q94*$E94*$I94)</f>
        <v>0</v>
      </c>
      <c r="AH94" s="284" t="n">
        <f aca="false">IF(AND(AH$4="RDEC", $Y94="Limited Company"), "", R94*$E94*$I94)</f>
        <v>0</v>
      </c>
      <c r="AI94" s="284" t="n">
        <f aca="false">IF(AND(AI$4="RDEC", $Y94="Limited Company"), "", S94*$E94*$I94)</f>
        <v>0</v>
      </c>
      <c r="AJ94" s="284" t="n">
        <f aca="false">IF(AND(AJ$4="RDEC", $Y94="Limited Company"), "", T94*$E94*$I94)</f>
        <v>0</v>
      </c>
      <c r="AK94" s="284" t="n">
        <f aca="false">IF(AND(AK$4="RDEC", $Y94="Limited Company"), "", U94*$E94*$I94)</f>
        <v>0</v>
      </c>
      <c r="AL94" s="284" t="n">
        <f aca="false">IF(AND(AL$4="RDEC", $Y94="Limited Company"), "", V94*$E94*$I94)</f>
        <v>0</v>
      </c>
      <c r="AM94" s="284" t="n">
        <f aca="false">IF(AND(AM$4="RDEC", $Y94="Limited Company"), "", W94*$E94*$I94)</f>
        <v>0</v>
      </c>
      <c r="AN94" s="286" t="n">
        <f aca="false">IFERROR(SUMIF($AB$4:$AM$4, "RDEC", AB94:AM94), "")</f>
        <v>0</v>
      </c>
      <c r="AO94" s="286" t="str">
        <f aca="false">IFERROR((IF(Z94="Yes",SUMIF($AB$4:$AM$4,"SME",AB94:AM94),"")),"")</f>
        <v/>
      </c>
      <c r="AP94" s="286" t="n">
        <f aca="false">IFERROR((IF(Z94="No",SUMIF($AB$4:$AM$4,"SME",AB94:AM94),"")),"")</f>
        <v>0</v>
      </c>
      <c r="AQ94" s="286" t="n">
        <f aca="false">IFERROR(SUMIF($AB$4:$AM$4, "De Minimis", AB94:AM94), "")</f>
        <v>0</v>
      </c>
      <c r="AR94" s="283"/>
      <c r="AS94" s="284" t="n">
        <f aca="false">IFERROR(L94*$E94*$J94, "")</f>
        <v>0</v>
      </c>
      <c r="AT94" s="284" t="n">
        <f aca="false">IFERROR(M94*$E94*$J94, "")</f>
        <v>0</v>
      </c>
      <c r="AU94" s="284" t="n">
        <f aca="false">IFERROR(N94*$E94*$J94, "")</f>
        <v>0</v>
      </c>
      <c r="AV94" s="284" t="n">
        <f aca="false">IFERROR(O94*$E94*$J94, "")</f>
        <v>0</v>
      </c>
      <c r="AW94" s="284" t="n">
        <f aca="false">IFERROR(P94*$E94*$J94, "")</f>
        <v>0</v>
      </c>
      <c r="AX94" s="284" t="n">
        <f aca="false">IFERROR(Q94*$E94*$J94, "")</f>
        <v>0</v>
      </c>
      <c r="AY94" s="284" t="n">
        <f aca="false">IFERROR(R94*$E94*$J94, "")</f>
        <v>0</v>
      </c>
      <c r="AZ94" s="284" t="n">
        <f aca="false">IFERROR(S94*$E94*$J94, "")</f>
        <v>0</v>
      </c>
      <c r="BA94" s="284" t="n">
        <f aca="false">IFERROR(T94*$E94*$J94, "")</f>
        <v>0</v>
      </c>
      <c r="BB94" s="284" t="n">
        <f aca="false">IFERROR(U94*$E94*$J94, "")</f>
        <v>0</v>
      </c>
      <c r="BC94" s="284" t="n">
        <f aca="false">IFERROR(V94*$E94*$J94, "")</f>
        <v>0</v>
      </c>
      <c r="BD94" s="284" t="n">
        <f aca="false">IFERROR(W94*$E94*$J94, "")</f>
        <v>0</v>
      </c>
      <c r="BE94" s="286" t="n">
        <f aca="false">IFERROR(SUMIF($AB$4:$AM$4, "RDEC", AS94:BD94), "")</f>
        <v>0</v>
      </c>
      <c r="BF94" s="286" t="n">
        <f aca="false">IFERROR(SUMIF($AB$4:$AM$4, "SME", AS94:BD94), "")</f>
        <v>0</v>
      </c>
      <c r="BG94" s="286" t="n">
        <f aca="false">IFERROR(SUMIF($AB$4:$AM$4, "De Minimis", AS94:BD94), "")</f>
        <v>0</v>
      </c>
      <c r="BH94" s="303"/>
      <c r="BI94" s="288" t="str">
        <f aca="false">IF((SUM(L94:W94)&gt;1),"ERROR","")</f>
        <v/>
      </c>
    </row>
    <row r="95" customFormat="false" ht="15" hidden="false" customHeight="true" outlineLevel="0" collapsed="false">
      <c r="A95" s="340"/>
      <c r="B95" s="350"/>
      <c r="C95" s="350"/>
      <c r="H95" s="350"/>
      <c r="I95" s="279" t="n">
        <v>1</v>
      </c>
      <c r="J95" s="281" t="n">
        <f aca="false">1-I95</f>
        <v>0</v>
      </c>
      <c r="K95" s="32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350"/>
      <c r="Y95" s="381"/>
      <c r="Z95" s="384" t="s">
        <v>71</v>
      </c>
      <c r="AA95" s="283"/>
      <c r="AB95" s="284" t="n">
        <f aca="false">IF(AND(AB$4="RDEC", $Y95="Limited Company"), "", L95*$E95*$I95)</f>
        <v>0</v>
      </c>
      <c r="AC95" s="284" t="n">
        <f aca="false">IF(AND(AC$4="RDEC", $Y95="Limited Company"), "", M95*$E95*$I95)</f>
        <v>0</v>
      </c>
      <c r="AD95" s="284" t="n">
        <f aca="false">IF(AND(AD$4="RDEC", $Y95="Limited Company"), "", N95*$E95*$I95)</f>
        <v>0</v>
      </c>
      <c r="AE95" s="284" t="n">
        <f aca="false">IF(AND(AE$4="RDEC", $Y95="Limited Company"), "", O95*$E95*$I95)</f>
        <v>0</v>
      </c>
      <c r="AF95" s="284" t="n">
        <f aca="false">IF(AND(AF$4="RDEC", $Y95="Limited Company"), "", P95*$E95*$I95)</f>
        <v>0</v>
      </c>
      <c r="AG95" s="284" t="n">
        <f aca="false">IF(AND(AG$4="RDEC", $Y95="Limited Company"), "", Q95*$E95*$I95)</f>
        <v>0</v>
      </c>
      <c r="AH95" s="284" t="n">
        <f aca="false">IF(AND(AH$4="RDEC", $Y95="Limited Company"), "", R95*$E95*$I95)</f>
        <v>0</v>
      </c>
      <c r="AI95" s="284" t="n">
        <f aca="false">IF(AND(AI$4="RDEC", $Y95="Limited Company"), "", S95*$E95*$I95)</f>
        <v>0</v>
      </c>
      <c r="AJ95" s="284" t="n">
        <f aca="false">IF(AND(AJ$4="RDEC", $Y95="Limited Company"), "", T95*$E95*$I95)</f>
        <v>0</v>
      </c>
      <c r="AK95" s="284" t="n">
        <f aca="false">IF(AND(AK$4="RDEC", $Y95="Limited Company"), "", U95*$E95*$I95)</f>
        <v>0</v>
      </c>
      <c r="AL95" s="284" t="n">
        <f aca="false">IF(AND(AL$4="RDEC", $Y95="Limited Company"), "", V95*$E95*$I95)</f>
        <v>0</v>
      </c>
      <c r="AM95" s="284" t="n">
        <f aca="false">IF(AND(AM$4="RDEC", $Y95="Limited Company"), "", W95*$E95*$I95)</f>
        <v>0</v>
      </c>
      <c r="AN95" s="286" t="n">
        <f aca="false">IFERROR(SUMIF($AB$4:$AM$4, "RDEC", AB95:AM95), "")</f>
        <v>0</v>
      </c>
      <c r="AO95" s="286" t="str">
        <f aca="false">IFERROR((IF(Z95="Yes",SUMIF($AB$4:$AM$4,"SME",AB95:AM95),"")),"")</f>
        <v/>
      </c>
      <c r="AP95" s="286" t="n">
        <f aca="false">IFERROR((IF(Z95="No",SUMIF($AB$4:$AM$4,"SME",AB95:AM95),"")),"")</f>
        <v>0</v>
      </c>
      <c r="AQ95" s="286" t="n">
        <f aca="false">IFERROR(SUMIF($AB$4:$AM$4, "De Minimis", AB95:AM95), "")</f>
        <v>0</v>
      </c>
      <c r="AR95" s="283"/>
      <c r="AS95" s="284" t="n">
        <f aca="false">IFERROR(L95*$E95*$J95, "")</f>
        <v>0</v>
      </c>
      <c r="AT95" s="284" t="n">
        <f aca="false">IFERROR(M95*$E95*$J95, "")</f>
        <v>0</v>
      </c>
      <c r="AU95" s="284" t="n">
        <f aca="false">IFERROR(N95*$E95*$J95, "")</f>
        <v>0</v>
      </c>
      <c r="AV95" s="284" t="n">
        <f aca="false">IFERROR(O95*$E95*$J95, "")</f>
        <v>0</v>
      </c>
      <c r="AW95" s="284" t="n">
        <f aca="false">IFERROR(P95*$E95*$J95, "")</f>
        <v>0</v>
      </c>
      <c r="AX95" s="284" t="n">
        <f aca="false">IFERROR(Q95*$E95*$J95, "")</f>
        <v>0</v>
      </c>
      <c r="AY95" s="284" t="n">
        <f aca="false">IFERROR(R95*$E95*$J95, "")</f>
        <v>0</v>
      </c>
      <c r="AZ95" s="284" t="n">
        <f aca="false">IFERROR(S95*$E95*$J95, "")</f>
        <v>0</v>
      </c>
      <c r="BA95" s="284" t="n">
        <f aca="false">IFERROR(T95*$E95*$J95, "")</f>
        <v>0</v>
      </c>
      <c r="BB95" s="284" t="n">
        <f aca="false">IFERROR(U95*$E95*$J95, "")</f>
        <v>0</v>
      </c>
      <c r="BC95" s="284" t="n">
        <f aca="false">IFERROR(V95*$E95*$J95, "")</f>
        <v>0</v>
      </c>
      <c r="BD95" s="284" t="n">
        <f aca="false">IFERROR(W95*$E95*$J95, "")</f>
        <v>0</v>
      </c>
      <c r="BE95" s="286" t="n">
        <f aca="false">IFERROR(SUMIF($AB$4:$AM$4, "RDEC", AS95:BD95), "")</f>
        <v>0</v>
      </c>
      <c r="BF95" s="286" t="n">
        <f aca="false">IFERROR(SUMIF($AB$4:$AM$4, "SME", AS95:BD95), "")</f>
        <v>0</v>
      </c>
      <c r="BG95" s="286" t="n">
        <f aca="false">IFERROR(SUMIF($AB$4:$AM$4, "De Minimis", AS95:BD95), "")</f>
        <v>0</v>
      </c>
      <c r="BI95" s="288" t="str">
        <f aca="false">IF((SUM(L95:W95)&gt;1),"ERROR","")</f>
        <v/>
      </c>
    </row>
    <row r="96" customFormat="false" ht="15" hidden="false" customHeight="true" outlineLevel="0" collapsed="false">
      <c r="A96" s="340"/>
      <c r="B96" s="350"/>
      <c r="C96" s="350"/>
      <c r="H96" s="350"/>
      <c r="I96" s="279" t="n">
        <v>1</v>
      </c>
      <c r="J96" s="281" t="n">
        <f aca="false">1-I96</f>
        <v>0</v>
      </c>
      <c r="K96" s="32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350"/>
      <c r="Y96" s="381"/>
      <c r="Z96" s="384" t="s">
        <v>71</v>
      </c>
      <c r="AA96" s="283"/>
      <c r="AB96" s="284" t="n">
        <f aca="false">IF(AND(AB$4="RDEC", $Y96="Limited Company"), "", L96*$E96*$I96)</f>
        <v>0</v>
      </c>
      <c r="AC96" s="284" t="n">
        <f aca="false">IF(AND(AC$4="RDEC", $Y96="Limited Company"), "", M96*$E96*$I96)</f>
        <v>0</v>
      </c>
      <c r="AD96" s="284" t="n">
        <f aca="false">IF(AND(AD$4="RDEC", $Y96="Limited Company"), "", N96*$E96*$I96)</f>
        <v>0</v>
      </c>
      <c r="AE96" s="284" t="n">
        <f aca="false">IF(AND(AE$4="RDEC", $Y96="Limited Company"), "", O96*$E96*$I96)</f>
        <v>0</v>
      </c>
      <c r="AF96" s="284" t="n">
        <f aca="false">IF(AND(AF$4="RDEC", $Y96="Limited Company"), "", P96*$E96*$I96)</f>
        <v>0</v>
      </c>
      <c r="AG96" s="284" t="n">
        <f aca="false">IF(AND(AG$4="RDEC", $Y96="Limited Company"), "", Q96*$E96*$I96)</f>
        <v>0</v>
      </c>
      <c r="AH96" s="284" t="n">
        <f aca="false">IF(AND(AH$4="RDEC", $Y96="Limited Company"), "", R96*$E96*$I96)</f>
        <v>0</v>
      </c>
      <c r="AI96" s="284" t="n">
        <f aca="false">IF(AND(AI$4="RDEC", $Y96="Limited Company"), "", S96*$E96*$I96)</f>
        <v>0</v>
      </c>
      <c r="AJ96" s="284" t="n">
        <f aca="false">IF(AND(AJ$4="RDEC", $Y96="Limited Company"), "", T96*$E96*$I96)</f>
        <v>0</v>
      </c>
      <c r="AK96" s="284" t="n">
        <f aca="false">IF(AND(AK$4="RDEC", $Y96="Limited Company"), "", U96*$E96*$I96)</f>
        <v>0</v>
      </c>
      <c r="AL96" s="284" t="n">
        <f aca="false">IF(AND(AL$4="RDEC", $Y96="Limited Company"), "", V96*$E96*$I96)</f>
        <v>0</v>
      </c>
      <c r="AM96" s="284" t="n">
        <f aca="false">IF(AND(AM$4="RDEC", $Y96="Limited Company"), "", W96*$E96*$I96)</f>
        <v>0</v>
      </c>
      <c r="AN96" s="286" t="n">
        <f aca="false">IFERROR(SUMIF($AB$4:$AM$4, "RDEC", AB96:AM96), "")</f>
        <v>0</v>
      </c>
      <c r="AO96" s="286" t="str">
        <f aca="false">IFERROR((IF(Z96="Yes",SUMIF($AB$4:$AM$4,"SME",AB96:AM96),"")),"")</f>
        <v/>
      </c>
      <c r="AP96" s="286" t="n">
        <f aca="false">IFERROR((IF(Z96="No",SUMIF($AB$4:$AM$4,"SME",AB96:AM96),"")),"")</f>
        <v>0</v>
      </c>
      <c r="AQ96" s="286" t="n">
        <f aca="false">IFERROR(SUMIF($AB$4:$AM$4, "De Minimis", AB96:AM96), "")</f>
        <v>0</v>
      </c>
      <c r="AR96" s="283"/>
      <c r="AS96" s="284" t="n">
        <f aca="false">IFERROR(L96*$E96*$J96, "")</f>
        <v>0</v>
      </c>
      <c r="AT96" s="284" t="n">
        <f aca="false">IFERROR(M96*$E96*$J96, "")</f>
        <v>0</v>
      </c>
      <c r="AU96" s="284" t="n">
        <f aca="false">IFERROR(N96*$E96*$J96, "")</f>
        <v>0</v>
      </c>
      <c r="AV96" s="284" t="n">
        <f aca="false">IFERROR(O96*$E96*$J96, "")</f>
        <v>0</v>
      </c>
      <c r="AW96" s="284" t="n">
        <f aca="false">IFERROR(P96*$E96*$J96, "")</f>
        <v>0</v>
      </c>
      <c r="AX96" s="284" t="n">
        <f aca="false">IFERROR(Q96*$E96*$J96, "")</f>
        <v>0</v>
      </c>
      <c r="AY96" s="284" t="n">
        <f aca="false">IFERROR(R96*$E96*$J96, "")</f>
        <v>0</v>
      </c>
      <c r="AZ96" s="284" t="n">
        <f aca="false">IFERROR(S96*$E96*$J96, "")</f>
        <v>0</v>
      </c>
      <c r="BA96" s="284" t="n">
        <f aca="false">IFERROR(T96*$E96*$J96, "")</f>
        <v>0</v>
      </c>
      <c r="BB96" s="284" t="n">
        <f aca="false">IFERROR(U96*$E96*$J96, "")</f>
        <v>0</v>
      </c>
      <c r="BC96" s="284" t="n">
        <f aca="false">IFERROR(V96*$E96*$J96, "")</f>
        <v>0</v>
      </c>
      <c r="BD96" s="284" t="n">
        <f aca="false">IFERROR(W96*$E96*$J96, "")</f>
        <v>0</v>
      </c>
      <c r="BE96" s="286" t="n">
        <f aca="false">IFERROR(SUMIF($AB$4:$AM$4, "RDEC", AS96:BD96), "")</f>
        <v>0</v>
      </c>
      <c r="BF96" s="286" t="n">
        <f aca="false">IFERROR(SUMIF($AB$4:$AM$4, "SME", AS96:BD96), "")</f>
        <v>0</v>
      </c>
      <c r="BG96" s="286" t="n">
        <f aca="false">IFERROR(SUMIF($AB$4:$AM$4, "De Minimis", AS96:BD96), "")</f>
        <v>0</v>
      </c>
      <c r="BH96" s="268"/>
      <c r="BI96" s="288" t="str">
        <f aca="false">IF((SUM(L96:W96)&gt;1),"ERROR","")</f>
        <v/>
      </c>
    </row>
    <row r="97" customFormat="false" ht="15" hidden="false" customHeight="true" outlineLevel="0" collapsed="false">
      <c r="A97" s="340"/>
      <c r="B97" s="350"/>
      <c r="C97" s="350"/>
      <c r="H97" s="350"/>
      <c r="I97" s="279" t="n">
        <v>1</v>
      </c>
      <c r="J97" s="281" t="n">
        <f aca="false">1-I97</f>
        <v>0</v>
      </c>
      <c r="K97" s="32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350"/>
      <c r="Y97" s="381"/>
      <c r="Z97" s="384" t="s">
        <v>71</v>
      </c>
      <c r="AA97" s="283"/>
      <c r="AB97" s="284" t="n">
        <f aca="false">IF(AND(AB$4="RDEC", $Y97="Limited Company"), "", L97*$E97*$I97)</f>
        <v>0</v>
      </c>
      <c r="AC97" s="284" t="n">
        <f aca="false">IF(AND(AC$4="RDEC", $Y97="Limited Company"), "", M97*$E97*$I97)</f>
        <v>0</v>
      </c>
      <c r="AD97" s="284" t="n">
        <f aca="false">IF(AND(AD$4="RDEC", $Y97="Limited Company"), "", N97*$E97*$I97)</f>
        <v>0</v>
      </c>
      <c r="AE97" s="284" t="n">
        <f aca="false">IF(AND(AE$4="RDEC", $Y97="Limited Company"), "", O97*$E97*$I97)</f>
        <v>0</v>
      </c>
      <c r="AF97" s="284" t="n">
        <f aca="false">IF(AND(AF$4="RDEC", $Y97="Limited Company"), "", P97*$E97*$I97)</f>
        <v>0</v>
      </c>
      <c r="AG97" s="284" t="n">
        <f aca="false">IF(AND(AG$4="RDEC", $Y97="Limited Company"), "", Q97*$E97*$I97)</f>
        <v>0</v>
      </c>
      <c r="AH97" s="284" t="n">
        <f aca="false">IF(AND(AH$4="RDEC", $Y97="Limited Company"), "", R97*$E97*$I97)</f>
        <v>0</v>
      </c>
      <c r="AI97" s="284" t="n">
        <f aca="false">IF(AND(AI$4="RDEC", $Y97="Limited Company"), "", S97*$E97*$I97)</f>
        <v>0</v>
      </c>
      <c r="AJ97" s="284" t="n">
        <f aca="false">IF(AND(AJ$4="RDEC", $Y97="Limited Company"), "", T97*$E97*$I97)</f>
        <v>0</v>
      </c>
      <c r="AK97" s="284" t="n">
        <f aca="false">IF(AND(AK$4="RDEC", $Y97="Limited Company"), "", U97*$E97*$I97)</f>
        <v>0</v>
      </c>
      <c r="AL97" s="284" t="n">
        <f aca="false">IF(AND(AL$4="RDEC", $Y97="Limited Company"), "", V97*$E97*$I97)</f>
        <v>0</v>
      </c>
      <c r="AM97" s="284" t="n">
        <f aca="false">IF(AND(AM$4="RDEC", $Y97="Limited Company"), "", W97*$E97*$I97)</f>
        <v>0</v>
      </c>
      <c r="AN97" s="286" t="n">
        <f aca="false">IFERROR(SUMIF($AB$4:$AM$4, "RDEC", AB97:AM97), "")</f>
        <v>0</v>
      </c>
      <c r="AO97" s="286" t="str">
        <f aca="false">IFERROR((IF(Z97="Yes",SUMIF($AB$4:$AM$4,"SME",AB97:AM97),"")),"")</f>
        <v/>
      </c>
      <c r="AP97" s="286" t="n">
        <f aca="false">IFERROR((IF(Z97="No",SUMIF($AB$4:$AM$4,"SME",AB97:AM97),"")),"")</f>
        <v>0</v>
      </c>
      <c r="AQ97" s="286" t="n">
        <f aca="false">IFERROR(SUMIF($AB$4:$AM$4, "De Minimis", AB97:AM97), "")</f>
        <v>0</v>
      </c>
      <c r="AR97" s="283"/>
      <c r="AS97" s="284" t="n">
        <f aca="false">IFERROR(L97*$E97*$J97, "")</f>
        <v>0</v>
      </c>
      <c r="AT97" s="284" t="n">
        <f aca="false">IFERROR(M97*$E97*$J97, "")</f>
        <v>0</v>
      </c>
      <c r="AU97" s="284" t="n">
        <f aca="false">IFERROR(N97*$E97*$J97, "")</f>
        <v>0</v>
      </c>
      <c r="AV97" s="284" t="n">
        <f aca="false">IFERROR(O97*$E97*$J97, "")</f>
        <v>0</v>
      </c>
      <c r="AW97" s="284" t="n">
        <f aca="false">IFERROR(P97*$E97*$J97, "")</f>
        <v>0</v>
      </c>
      <c r="AX97" s="284" t="n">
        <f aca="false">IFERROR(Q97*$E97*$J97, "")</f>
        <v>0</v>
      </c>
      <c r="AY97" s="284" t="n">
        <f aca="false">IFERROR(R97*$E97*$J97, "")</f>
        <v>0</v>
      </c>
      <c r="AZ97" s="284" t="n">
        <f aca="false">IFERROR(S97*$E97*$J97, "")</f>
        <v>0</v>
      </c>
      <c r="BA97" s="284" t="n">
        <f aca="false">IFERROR(T97*$E97*$J97, "")</f>
        <v>0</v>
      </c>
      <c r="BB97" s="284" t="n">
        <f aca="false">IFERROR(U97*$E97*$J97, "")</f>
        <v>0</v>
      </c>
      <c r="BC97" s="284" t="n">
        <f aca="false">IFERROR(V97*$E97*$J97, "")</f>
        <v>0</v>
      </c>
      <c r="BD97" s="284" t="n">
        <f aca="false">IFERROR(W97*$E97*$J97, "")</f>
        <v>0</v>
      </c>
      <c r="BE97" s="286" t="n">
        <f aca="false">IFERROR(SUMIF($AB$4:$AM$4, "RDEC", AS97:BD97), "")</f>
        <v>0</v>
      </c>
      <c r="BF97" s="286" t="n">
        <f aca="false">IFERROR(SUMIF($AB$4:$AM$4, "SME", AS97:BD97), "")</f>
        <v>0</v>
      </c>
      <c r="BG97" s="286" t="n">
        <f aca="false">IFERROR(SUMIF($AB$4:$AM$4, "De Minimis", AS97:BD97), "")</f>
        <v>0</v>
      </c>
      <c r="BH97" s="287"/>
      <c r="BI97" s="288" t="str">
        <f aca="false">IF((SUM(L97:W97)&gt;1),"ERROR","")</f>
        <v/>
      </c>
    </row>
    <row r="98" customFormat="false" ht="15" hidden="false" customHeight="true" outlineLevel="0" collapsed="false">
      <c r="A98" s="340"/>
      <c r="B98" s="350"/>
      <c r="C98" s="350"/>
      <c r="H98" s="350"/>
      <c r="I98" s="279" t="n">
        <v>1</v>
      </c>
      <c r="J98" s="281" t="n">
        <f aca="false">1-I98</f>
        <v>0</v>
      </c>
      <c r="K98" s="32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350"/>
      <c r="Y98" s="381"/>
      <c r="Z98" s="384" t="s">
        <v>71</v>
      </c>
      <c r="AA98" s="283"/>
      <c r="AB98" s="284" t="n">
        <f aca="false">IF(AND(AB$4="RDEC", $Y98="Limited Company"), "", L98*$E98*$I98)</f>
        <v>0</v>
      </c>
      <c r="AC98" s="284" t="n">
        <f aca="false">IF(AND(AC$4="RDEC", $Y98="Limited Company"), "", M98*$E98*$I98)</f>
        <v>0</v>
      </c>
      <c r="AD98" s="284" t="n">
        <f aca="false">IF(AND(AD$4="RDEC", $Y98="Limited Company"), "", N98*$E98*$I98)</f>
        <v>0</v>
      </c>
      <c r="AE98" s="284" t="n">
        <f aca="false">IF(AND(AE$4="RDEC", $Y98="Limited Company"), "", O98*$E98*$I98)</f>
        <v>0</v>
      </c>
      <c r="AF98" s="284" t="n">
        <f aca="false">IF(AND(AF$4="RDEC", $Y98="Limited Company"), "", P98*$E98*$I98)</f>
        <v>0</v>
      </c>
      <c r="AG98" s="284" t="n">
        <f aca="false">IF(AND(AG$4="RDEC", $Y98="Limited Company"), "", Q98*$E98*$I98)</f>
        <v>0</v>
      </c>
      <c r="AH98" s="284" t="n">
        <f aca="false">IF(AND(AH$4="RDEC", $Y98="Limited Company"), "", R98*$E98*$I98)</f>
        <v>0</v>
      </c>
      <c r="AI98" s="284" t="n">
        <f aca="false">IF(AND(AI$4="RDEC", $Y98="Limited Company"), "", S98*$E98*$I98)</f>
        <v>0</v>
      </c>
      <c r="AJ98" s="284" t="n">
        <f aca="false">IF(AND(AJ$4="RDEC", $Y98="Limited Company"), "", T98*$E98*$I98)</f>
        <v>0</v>
      </c>
      <c r="AK98" s="284" t="n">
        <f aca="false">IF(AND(AK$4="RDEC", $Y98="Limited Company"), "", U98*$E98*$I98)</f>
        <v>0</v>
      </c>
      <c r="AL98" s="284" t="n">
        <f aca="false">IF(AND(AL$4="RDEC", $Y98="Limited Company"), "", V98*$E98*$I98)</f>
        <v>0</v>
      </c>
      <c r="AM98" s="284" t="n">
        <f aca="false">IF(AND(AM$4="RDEC", $Y98="Limited Company"), "", W98*$E98*$I98)</f>
        <v>0</v>
      </c>
      <c r="AN98" s="286" t="n">
        <f aca="false">IFERROR(SUMIF($AB$4:$AM$4, "RDEC", AB98:AM98), "")</f>
        <v>0</v>
      </c>
      <c r="AO98" s="286" t="str">
        <f aca="false">IFERROR((IF(Z98="Yes",SUMIF($AB$4:$AM$4,"SME",AB98:AM98),"")),"")</f>
        <v/>
      </c>
      <c r="AP98" s="286" t="n">
        <f aca="false">IFERROR((IF(Z98="No",SUMIF($AB$4:$AM$4,"SME",AB98:AM98),"")),"")</f>
        <v>0</v>
      </c>
      <c r="AQ98" s="286" t="n">
        <f aca="false">IFERROR(SUMIF($AB$4:$AM$4, "De Minimis", AB98:AM98), "")</f>
        <v>0</v>
      </c>
      <c r="AR98" s="283"/>
      <c r="AS98" s="284" t="n">
        <f aca="false">IFERROR(L98*$E98*$J98, "")</f>
        <v>0</v>
      </c>
      <c r="AT98" s="284" t="n">
        <f aca="false">IFERROR(M98*$E98*$J98, "")</f>
        <v>0</v>
      </c>
      <c r="AU98" s="284" t="n">
        <f aca="false">IFERROR(N98*$E98*$J98, "")</f>
        <v>0</v>
      </c>
      <c r="AV98" s="284" t="n">
        <f aca="false">IFERROR(O98*$E98*$J98, "")</f>
        <v>0</v>
      </c>
      <c r="AW98" s="284" t="n">
        <f aca="false">IFERROR(P98*$E98*$J98, "")</f>
        <v>0</v>
      </c>
      <c r="AX98" s="284" t="n">
        <f aca="false">IFERROR(Q98*$E98*$J98, "")</f>
        <v>0</v>
      </c>
      <c r="AY98" s="284" t="n">
        <f aca="false">IFERROR(R98*$E98*$J98, "")</f>
        <v>0</v>
      </c>
      <c r="AZ98" s="284" t="n">
        <f aca="false">IFERROR(S98*$E98*$J98, "")</f>
        <v>0</v>
      </c>
      <c r="BA98" s="284" t="n">
        <f aca="false">IFERROR(T98*$E98*$J98, "")</f>
        <v>0</v>
      </c>
      <c r="BB98" s="284" t="n">
        <f aca="false">IFERROR(U98*$E98*$J98, "")</f>
        <v>0</v>
      </c>
      <c r="BC98" s="284" t="n">
        <f aca="false">IFERROR(V98*$E98*$J98, "")</f>
        <v>0</v>
      </c>
      <c r="BD98" s="284" t="n">
        <f aca="false">IFERROR(W98*$E98*$J98, "")</f>
        <v>0</v>
      </c>
      <c r="BE98" s="286" t="n">
        <f aca="false">IFERROR(SUMIF($AB$4:$AM$4, "RDEC", AS98:BD98), "")</f>
        <v>0</v>
      </c>
      <c r="BF98" s="286" t="n">
        <f aca="false">IFERROR(SUMIF($AB$4:$AM$4, "SME", AS98:BD98), "")</f>
        <v>0</v>
      </c>
      <c r="BG98" s="286" t="n">
        <f aca="false">IFERROR(SUMIF($AB$4:$AM$4, "De Minimis", AS98:BD98), "")</f>
        <v>0</v>
      </c>
      <c r="BH98" s="287"/>
      <c r="BI98" s="288" t="str">
        <f aca="false">IF((SUM(L98:W98)&gt;1),"ERROR","")</f>
        <v/>
      </c>
    </row>
    <row r="99" customFormat="false" ht="15" hidden="false" customHeight="true" outlineLevel="0" collapsed="false">
      <c r="A99" s="340"/>
      <c r="B99" s="350"/>
      <c r="C99" s="350"/>
      <c r="H99" s="350"/>
      <c r="I99" s="279" t="n">
        <v>1</v>
      </c>
      <c r="J99" s="281" t="n">
        <f aca="false">1-I99</f>
        <v>0</v>
      </c>
      <c r="K99" s="32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350"/>
      <c r="Y99" s="381"/>
      <c r="Z99" s="384" t="s">
        <v>71</v>
      </c>
      <c r="AA99" s="283"/>
      <c r="AB99" s="284" t="n">
        <f aca="false">IF(AND(AB$4="RDEC", $Y99="Limited Company"), "", L99*$E99*$I99)</f>
        <v>0</v>
      </c>
      <c r="AC99" s="284" t="n">
        <f aca="false">IF(AND(AC$4="RDEC", $Y99="Limited Company"), "", M99*$E99*$I99)</f>
        <v>0</v>
      </c>
      <c r="AD99" s="284" t="n">
        <f aca="false">IF(AND(AD$4="RDEC", $Y99="Limited Company"), "", N99*$E99*$I99)</f>
        <v>0</v>
      </c>
      <c r="AE99" s="284" t="n">
        <f aca="false">IF(AND(AE$4="RDEC", $Y99="Limited Company"), "", O99*$E99*$I99)</f>
        <v>0</v>
      </c>
      <c r="AF99" s="284" t="n">
        <f aca="false">IF(AND(AF$4="RDEC", $Y99="Limited Company"), "", P99*$E99*$I99)</f>
        <v>0</v>
      </c>
      <c r="AG99" s="284" t="n">
        <f aca="false">IF(AND(AG$4="RDEC", $Y99="Limited Company"), "", Q99*$E99*$I99)</f>
        <v>0</v>
      </c>
      <c r="AH99" s="284" t="n">
        <f aca="false">IF(AND(AH$4="RDEC", $Y99="Limited Company"), "", R99*$E99*$I99)</f>
        <v>0</v>
      </c>
      <c r="AI99" s="284" t="n">
        <f aca="false">IF(AND(AI$4="RDEC", $Y99="Limited Company"), "", S99*$E99*$I99)</f>
        <v>0</v>
      </c>
      <c r="AJ99" s="284" t="n">
        <f aca="false">IF(AND(AJ$4="RDEC", $Y99="Limited Company"), "", T99*$E99*$I99)</f>
        <v>0</v>
      </c>
      <c r="AK99" s="284" t="n">
        <f aca="false">IF(AND(AK$4="RDEC", $Y99="Limited Company"), "", U99*$E99*$I99)</f>
        <v>0</v>
      </c>
      <c r="AL99" s="284" t="n">
        <f aca="false">IF(AND(AL$4="RDEC", $Y99="Limited Company"), "", V99*$E99*$I99)</f>
        <v>0</v>
      </c>
      <c r="AM99" s="284" t="n">
        <f aca="false">IF(AND(AM$4="RDEC", $Y99="Limited Company"), "", W99*$E99*$I99)</f>
        <v>0</v>
      </c>
      <c r="AN99" s="286" t="n">
        <f aca="false">IFERROR(SUMIF($AB$4:$AM$4, "RDEC", AB99:AM99), "")</f>
        <v>0</v>
      </c>
      <c r="AO99" s="286" t="str">
        <f aca="false">IFERROR((IF(Z99="Yes",SUMIF($AB$4:$AM$4,"SME",AB99:AM99),"")),"")</f>
        <v/>
      </c>
      <c r="AP99" s="286" t="n">
        <f aca="false">IFERROR((IF(Z99="No",SUMIF($AB$4:$AM$4,"SME",AB99:AM99),"")),"")</f>
        <v>0</v>
      </c>
      <c r="AQ99" s="286" t="n">
        <f aca="false">IFERROR(SUMIF($AB$4:$AM$4, "De Minimis", AB99:AM99), "")</f>
        <v>0</v>
      </c>
      <c r="AR99" s="283"/>
      <c r="AS99" s="284" t="n">
        <f aca="false">IFERROR(L99*$E99*$J99, "")</f>
        <v>0</v>
      </c>
      <c r="AT99" s="284" t="n">
        <f aca="false">IFERROR(M99*$E99*$J99, "")</f>
        <v>0</v>
      </c>
      <c r="AU99" s="284" t="n">
        <f aca="false">IFERROR(N99*$E99*$J99, "")</f>
        <v>0</v>
      </c>
      <c r="AV99" s="284" t="n">
        <f aca="false">IFERROR(O99*$E99*$J99, "")</f>
        <v>0</v>
      </c>
      <c r="AW99" s="284" t="n">
        <f aca="false">IFERROR(P99*$E99*$J99, "")</f>
        <v>0</v>
      </c>
      <c r="AX99" s="284" t="n">
        <f aca="false">IFERROR(Q99*$E99*$J99, "")</f>
        <v>0</v>
      </c>
      <c r="AY99" s="284" t="n">
        <f aca="false">IFERROR(R99*$E99*$J99, "")</f>
        <v>0</v>
      </c>
      <c r="AZ99" s="284" t="n">
        <f aca="false">IFERROR(S99*$E99*$J99, "")</f>
        <v>0</v>
      </c>
      <c r="BA99" s="284" t="n">
        <f aca="false">IFERROR(T99*$E99*$J99, "")</f>
        <v>0</v>
      </c>
      <c r="BB99" s="284" t="n">
        <f aca="false">IFERROR(U99*$E99*$J99, "")</f>
        <v>0</v>
      </c>
      <c r="BC99" s="284" t="n">
        <f aca="false">IFERROR(V99*$E99*$J99, "")</f>
        <v>0</v>
      </c>
      <c r="BD99" s="284" t="n">
        <f aca="false">IFERROR(W99*$E99*$J99, "")</f>
        <v>0</v>
      </c>
      <c r="BE99" s="286" t="n">
        <f aca="false">IFERROR(SUMIF($AB$4:$AM$4, "RDEC", AS99:BD99), "")</f>
        <v>0</v>
      </c>
      <c r="BF99" s="286" t="n">
        <f aca="false">IFERROR(SUMIF($AB$4:$AM$4, "SME", AS99:BD99), "")</f>
        <v>0</v>
      </c>
      <c r="BG99" s="286" t="n">
        <f aca="false">IFERROR(SUMIF($AB$4:$AM$4, "De Minimis", AS99:BD99), "")</f>
        <v>0</v>
      </c>
      <c r="BH99" s="287"/>
      <c r="BI99" s="288" t="str">
        <f aca="false">IF((SUM(L99:W99)&gt;1),"ERROR","")</f>
        <v/>
      </c>
    </row>
    <row r="100" customFormat="false" ht="15" hidden="false" customHeight="true" outlineLevel="0" collapsed="false">
      <c r="A100" s="340"/>
      <c r="B100" s="350"/>
      <c r="C100" s="350"/>
      <c r="H100" s="350"/>
      <c r="I100" s="279" t="n">
        <v>1</v>
      </c>
      <c r="J100" s="281" t="n">
        <f aca="false">1-I100</f>
        <v>0</v>
      </c>
      <c r="K100" s="32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350"/>
      <c r="Y100" s="381"/>
      <c r="Z100" s="384" t="s">
        <v>71</v>
      </c>
      <c r="AA100" s="283"/>
      <c r="AB100" s="284" t="n">
        <f aca="false">IF(AND(AB$4="RDEC", $Y100="Limited Company"), "", L100*$E100*$I100)</f>
        <v>0</v>
      </c>
      <c r="AC100" s="284" t="n">
        <f aca="false">IF(AND(AC$4="RDEC", $Y100="Limited Company"), "", M100*$E100*$I100)</f>
        <v>0</v>
      </c>
      <c r="AD100" s="284" t="n">
        <f aca="false">IF(AND(AD$4="RDEC", $Y100="Limited Company"), "", N100*$E100*$I100)</f>
        <v>0</v>
      </c>
      <c r="AE100" s="284" t="n">
        <f aca="false">IF(AND(AE$4="RDEC", $Y100="Limited Company"), "", O100*$E100*$I100)</f>
        <v>0</v>
      </c>
      <c r="AF100" s="284" t="n">
        <f aca="false">IF(AND(AF$4="RDEC", $Y100="Limited Company"), "", P100*$E100*$I100)</f>
        <v>0</v>
      </c>
      <c r="AG100" s="284" t="n">
        <f aca="false">IF(AND(AG$4="RDEC", $Y100="Limited Company"), "", Q100*$E100*$I100)</f>
        <v>0</v>
      </c>
      <c r="AH100" s="284" t="n">
        <f aca="false">IF(AND(AH$4="RDEC", $Y100="Limited Company"), "", R100*$E100*$I100)</f>
        <v>0</v>
      </c>
      <c r="AI100" s="284" t="n">
        <f aca="false">IF(AND(AI$4="RDEC", $Y100="Limited Company"), "", S100*$E100*$I100)</f>
        <v>0</v>
      </c>
      <c r="AJ100" s="284" t="n">
        <f aca="false">IF(AND(AJ$4="RDEC", $Y100="Limited Company"), "", T100*$E100*$I100)</f>
        <v>0</v>
      </c>
      <c r="AK100" s="284" t="n">
        <f aca="false">IF(AND(AK$4="RDEC", $Y100="Limited Company"), "", U100*$E100*$I100)</f>
        <v>0</v>
      </c>
      <c r="AL100" s="284" t="n">
        <f aca="false">IF(AND(AL$4="RDEC", $Y100="Limited Company"), "", V100*$E100*$I100)</f>
        <v>0</v>
      </c>
      <c r="AM100" s="284" t="n">
        <f aca="false">IF(AND(AM$4="RDEC", $Y100="Limited Company"), "", W100*$E100*$I100)</f>
        <v>0</v>
      </c>
      <c r="AN100" s="286" t="n">
        <f aca="false">IFERROR(SUMIF($AB$4:$AM$4, "RDEC", AB100:AM100), "")</f>
        <v>0</v>
      </c>
      <c r="AO100" s="286" t="str">
        <f aca="false">IFERROR((IF(Z100="Yes",SUMIF($AB$4:$AM$4,"SME",AB100:AM100),"")),"")</f>
        <v/>
      </c>
      <c r="AP100" s="286" t="n">
        <f aca="false">IFERROR((IF(Z100="No",SUMIF($AB$4:$AM$4,"SME",AB100:AM100),"")),"")</f>
        <v>0</v>
      </c>
      <c r="AQ100" s="286" t="n">
        <f aca="false">IFERROR(SUMIF($AB$4:$AM$4, "De Minimis", AB100:AM100), "")</f>
        <v>0</v>
      </c>
      <c r="AR100" s="283"/>
      <c r="AS100" s="284" t="n">
        <f aca="false">IFERROR(L100*$E100*$J100, "")</f>
        <v>0</v>
      </c>
      <c r="AT100" s="284" t="n">
        <f aca="false">IFERROR(M100*$E100*$J100, "")</f>
        <v>0</v>
      </c>
      <c r="AU100" s="284" t="n">
        <f aca="false">IFERROR(N100*$E100*$J100, "")</f>
        <v>0</v>
      </c>
      <c r="AV100" s="284" t="n">
        <f aca="false">IFERROR(O100*$E100*$J100, "")</f>
        <v>0</v>
      </c>
      <c r="AW100" s="284" t="n">
        <f aca="false">IFERROR(P100*$E100*$J100, "")</f>
        <v>0</v>
      </c>
      <c r="AX100" s="284" t="n">
        <f aca="false">IFERROR(Q100*$E100*$J100, "")</f>
        <v>0</v>
      </c>
      <c r="AY100" s="284" t="n">
        <f aca="false">IFERROR(R100*$E100*$J100, "")</f>
        <v>0</v>
      </c>
      <c r="AZ100" s="284" t="n">
        <f aca="false">IFERROR(S100*$E100*$J100, "")</f>
        <v>0</v>
      </c>
      <c r="BA100" s="284" t="n">
        <f aca="false">IFERROR(T100*$E100*$J100, "")</f>
        <v>0</v>
      </c>
      <c r="BB100" s="284" t="n">
        <f aca="false">IFERROR(U100*$E100*$J100, "")</f>
        <v>0</v>
      </c>
      <c r="BC100" s="284" t="n">
        <f aca="false">IFERROR(V100*$E100*$J100, "")</f>
        <v>0</v>
      </c>
      <c r="BD100" s="284" t="n">
        <f aca="false">IFERROR(W100*$E100*$J100, "")</f>
        <v>0</v>
      </c>
      <c r="BE100" s="286" t="n">
        <f aca="false">IFERROR(SUMIF($AB$4:$AM$4, "RDEC", AS100:BD100), "")</f>
        <v>0</v>
      </c>
      <c r="BF100" s="286" t="n">
        <f aca="false">IFERROR(SUMIF($AB$4:$AM$4, "SME", AS100:BD100), "")</f>
        <v>0</v>
      </c>
      <c r="BG100" s="286" t="n">
        <f aca="false">IFERROR(SUMIF($AB$4:$AM$4, "De Minimis", AS100:BD100), "")</f>
        <v>0</v>
      </c>
      <c r="BH100" s="287"/>
      <c r="BI100" s="288" t="str">
        <f aca="false">IF((SUM(L100:W100)&gt;1),"ERROR","")</f>
        <v/>
      </c>
    </row>
    <row r="101" customFormat="false" ht="15" hidden="false" customHeight="true" outlineLevel="0" collapsed="false">
      <c r="A101" s="340"/>
      <c r="B101" s="350"/>
      <c r="C101" s="350"/>
      <c r="H101" s="350"/>
      <c r="I101" s="279" t="n">
        <v>1</v>
      </c>
      <c r="J101" s="281" t="n">
        <f aca="false">1-I101</f>
        <v>0</v>
      </c>
      <c r="K101" s="32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350"/>
      <c r="Y101" s="381"/>
      <c r="Z101" s="384" t="s">
        <v>71</v>
      </c>
      <c r="AA101" s="283"/>
      <c r="AB101" s="284" t="n">
        <f aca="false">IF(AND(AB$4="RDEC", $Y101="Limited Company"), "", L101*$E101*$I101)</f>
        <v>0</v>
      </c>
      <c r="AC101" s="284" t="n">
        <f aca="false">IF(AND(AC$4="RDEC", $Y101="Limited Company"), "", M101*$E101*$I101)</f>
        <v>0</v>
      </c>
      <c r="AD101" s="284" t="n">
        <f aca="false">IF(AND(AD$4="RDEC", $Y101="Limited Company"), "", N101*$E101*$I101)</f>
        <v>0</v>
      </c>
      <c r="AE101" s="284" t="n">
        <f aca="false">IF(AND(AE$4="RDEC", $Y101="Limited Company"), "", O101*$E101*$I101)</f>
        <v>0</v>
      </c>
      <c r="AF101" s="284" t="n">
        <f aca="false">IF(AND(AF$4="RDEC", $Y101="Limited Company"), "", P101*$E101*$I101)</f>
        <v>0</v>
      </c>
      <c r="AG101" s="284" t="n">
        <f aca="false">IF(AND(AG$4="RDEC", $Y101="Limited Company"), "", Q101*$E101*$I101)</f>
        <v>0</v>
      </c>
      <c r="AH101" s="284" t="n">
        <f aca="false">IF(AND(AH$4="RDEC", $Y101="Limited Company"), "", R101*$E101*$I101)</f>
        <v>0</v>
      </c>
      <c r="AI101" s="284" t="n">
        <f aca="false">IF(AND(AI$4="RDEC", $Y101="Limited Company"), "", S101*$E101*$I101)</f>
        <v>0</v>
      </c>
      <c r="AJ101" s="284" t="n">
        <f aca="false">IF(AND(AJ$4="RDEC", $Y101="Limited Company"), "", T101*$E101*$I101)</f>
        <v>0</v>
      </c>
      <c r="AK101" s="284" t="n">
        <f aca="false">IF(AND(AK$4="RDEC", $Y101="Limited Company"), "", U101*$E101*$I101)</f>
        <v>0</v>
      </c>
      <c r="AL101" s="284" t="n">
        <f aca="false">IF(AND(AL$4="RDEC", $Y101="Limited Company"), "", V101*$E101*$I101)</f>
        <v>0</v>
      </c>
      <c r="AM101" s="284" t="n">
        <f aca="false">IF(AND(AM$4="RDEC", $Y101="Limited Company"), "", W101*$E101*$I101)</f>
        <v>0</v>
      </c>
      <c r="AN101" s="286" t="n">
        <f aca="false">IFERROR(SUMIF($AB$4:$AM$4, "RDEC", AB101:AM101), "")</f>
        <v>0</v>
      </c>
      <c r="AO101" s="286" t="str">
        <f aca="false">IFERROR((IF(Z101="Yes",SUMIF($AB$4:$AM$4,"SME",AB101:AM101),"")),"")</f>
        <v/>
      </c>
      <c r="AP101" s="286" t="n">
        <f aca="false">IFERROR((IF(Z101="No",SUMIF($AB$4:$AM$4,"SME",AB101:AM101),"")),"")</f>
        <v>0</v>
      </c>
      <c r="AQ101" s="286" t="n">
        <f aca="false">IFERROR(SUMIF($AB$4:$AM$4, "De Minimis", AB101:AM101), "")</f>
        <v>0</v>
      </c>
      <c r="AR101" s="283"/>
      <c r="AS101" s="284" t="n">
        <f aca="false">IFERROR(L101*$E101*$J101, "")</f>
        <v>0</v>
      </c>
      <c r="AT101" s="284" t="n">
        <f aca="false">IFERROR(M101*$E101*$J101, "")</f>
        <v>0</v>
      </c>
      <c r="AU101" s="284" t="n">
        <f aca="false">IFERROR(N101*$E101*$J101, "")</f>
        <v>0</v>
      </c>
      <c r="AV101" s="284" t="n">
        <f aca="false">IFERROR(O101*$E101*$J101, "")</f>
        <v>0</v>
      </c>
      <c r="AW101" s="284" t="n">
        <f aca="false">IFERROR(P101*$E101*$J101, "")</f>
        <v>0</v>
      </c>
      <c r="AX101" s="284" t="n">
        <f aca="false">IFERROR(Q101*$E101*$J101, "")</f>
        <v>0</v>
      </c>
      <c r="AY101" s="284" t="n">
        <f aca="false">IFERROR(R101*$E101*$J101, "")</f>
        <v>0</v>
      </c>
      <c r="AZ101" s="284" t="n">
        <f aca="false">IFERROR(S101*$E101*$J101, "")</f>
        <v>0</v>
      </c>
      <c r="BA101" s="284" t="n">
        <f aca="false">IFERROR(T101*$E101*$J101, "")</f>
        <v>0</v>
      </c>
      <c r="BB101" s="284" t="n">
        <f aca="false">IFERROR(U101*$E101*$J101, "")</f>
        <v>0</v>
      </c>
      <c r="BC101" s="284" t="n">
        <f aca="false">IFERROR(V101*$E101*$J101, "")</f>
        <v>0</v>
      </c>
      <c r="BD101" s="284" t="n">
        <f aca="false">IFERROR(W101*$E101*$J101, "")</f>
        <v>0</v>
      </c>
      <c r="BE101" s="286" t="n">
        <f aca="false">IFERROR(SUMIF($AB$4:$AM$4, "RDEC", AS101:BD101), "")</f>
        <v>0</v>
      </c>
      <c r="BF101" s="286" t="n">
        <f aca="false">IFERROR(SUMIF($AB$4:$AM$4, "SME", AS101:BD101), "")</f>
        <v>0</v>
      </c>
      <c r="BG101" s="286" t="n">
        <f aca="false">IFERROR(SUMIF($AB$4:$AM$4, "De Minimis", AS101:BD101), "")</f>
        <v>0</v>
      </c>
      <c r="BH101" s="287"/>
      <c r="BI101" s="288" t="str">
        <f aca="false">IF((SUM(L101:W101)&gt;1),"ERROR","")</f>
        <v/>
      </c>
    </row>
    <row r="102" customFormat="false" ht="15" hidden="false" customHeight="true" outlineLevel="0" collapsed="false">
      <c r="A102" s="340"/>
      <c r="B102" s="350"/>
      <c r="C102" s="350"/>
      <c r="H102" s="350"/>
      <c r="I102" s="279" t="n">
        <v>1</v>
      </c>
      <c r="J102" s="281" t="n">
        <f aca="false">1-I102</f>
        <v>0</v>
      </c>
      <c r="K102" s="32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350"/>
      <c r="Y102" s="381"/>
      <c r="Z102" s="384" t="s">
        <v>71</v>
      </c>
      <c r="AA102" s="283"/>
      <c r="AB102" s="284" t="n">
        <f aca="false">IF(AND(AB$4="RDEC", $Y102="Limited Company"), "", L102*$E102*$I102)</f>
        <v>0</v>
      </c>
      <c r="AC102" s="284" t="n">
        <f aca="false">IF(AND(AC$4="RDEC", $Y102="Limited Company"), "", M102*$E102*$I102)</f>
        <v>0</v>
      </c>
      <c r="AD102" s="284" t="n">
        <f aca="false">IF(AND(AD$4="RDEC", $Y102="Limited Company"), "", N102*$E102*$I102)</f>
        <v>0</v>
      </c>
      <c r="AE102" s="284" t="n">
        <f aca="false">IF(AND(AE$4="RDEC", $Y102="Limited Company"), "", O102*$E102*$I102)</f>
        <v>0</v>
      </c>
      <c r="AF102" s="284" t="n">
        <f aca="false">IF(AND(AF$4="RDEC", $Y102="Limited Company"), "", P102*$E102*$I102)</f>
        <v>0</v>
      </c>
      <c r="AG102" s="284" t="n">
        <f aca="false">IF(AND(AG$4="RDEC", $Y102="Limited Company"), "", Q102*$E102*$I102)</f>
        <v>0</v>
      </c>
      <c r="AH102" s="284" t="n">
        <f aca="false">IF(AND(AH$4="RDEC", $Y102="Limited Company"), "", R102*$E102*$I102)</f>
        <v>0</v>
      </c>
      <c r="AI102" s="284" t="n">
        <f aca="false">IF(AND(AI$4="RDEC", $Y102="Limited Company"), "", S102*$E102*$I102)</f>
        <v>0</v>
      </c>
      <c r="AJ102" s="284" t="n">
        <f aca="false">IF(AND(AJ$4="RDEC", $Y102="Limited Company"), "", T102*$E102*$I102)</f>
        <v>0</v>
      </c>
      <c r="AK102" s="284" t="n">
        <f aca="false">IF(AND(AK$4="RDEC", $Y102="Limited Company"), "", U102*$E102*$I102)</f>
        <v>0</v>
      </c>
      <c r="AL102" s="284" t="n">
        <f aca="false">IF(AND(AL$4="RDEC", $Y102="Limited Company"), "", V102*$E102*$I102)</f>
        <v>0</v>
      </c>
      <c r="AM102" s="284" t="n">
        <f aca="false">IF(AND(AM$4="RDEC", $Y102="Limited Company"), "", W102*$E102*$I102)</f>
        <v>0</v>
      </c>
      <c r="AN102" s="286" t="n">
        <f aca="false">IFERROR(SUMIF($AB$4:$AM$4, "RDEC", AB102:AM102), "")</f>
        <v>0</v>
      </c>
      <c r="AO102" s="286" t="str">
        <f aca="false">IFERROR((IF(Z102="Yes",SUMIF($AB$4:$AM$4,"SME",AB102:AM102),"")),"")</f>
        <v/>
      </c>
      <c r="AP102" s="286" t="n">
        <f aca="false">IFERROR((IF(Z102="No",SUMIF($AB$4:$AM$4,"SME",AB102:AM102),"")),"")</f>
        <v>0</v>
      </c>
      <c r="AQ102" s="286" t="n">
        <f aca="false">IFERROR(SUMIF($AB$4:$AM$4, "De Minimis", AB102:AM102), "")</f>
        <v>0</v>
      </c>
      <c r="AR102" s="283"/>
      <c r="AS102" s="284" t="n">
        <f aca="false">IFERROR(L102*$E102*$J102, "")</f>
        <v>0</v>
      </c>
      <c r="AT102" s="284" t="n">
        <f aca="false">IFERROR(M102*$E102*$J102, "")</f>
        <v>0</v>
      </c>
      <c r="AU102" s="284" t="n">
        <f aca="false">IFERROR(N102*$E102*$J102, "")</f>
        <v>0</v>
      </c>
      <c r="AV102" s="284" t="n">
        <f aca="false">IFERROR(O102*$E102*$J102, "")</f>
        <v>0</v>
      </c>
      <c r="AW102" s="284" t="n">
        <f aca="false">IFERROR(P102*$E102*$J102, "")</f>
        <v>0</v>
      </c>
      <c r="AX102" s="284" t="n">
        <f aca="false">IFERROR(Q102*$E102*$J102, "")</f>
        <v>0</v>
      </c>
      <c r="AY102" s="284" t="n">
        <f aca="false">IFERROR(R102*$E102*$J102, "")</f>
        <v>0</v>
      </c>
      <c r="AZ102" s="284" t="n">
        <f aca="false">IFERROR(S102*$E102*$J102, "")</f>
        <v>0</v>
      </c>
      <c r="BA102" s="284" t="n">
        <f aca="false">IFERROR(T102*$E102*$J102, "")</f>
        <v>0</v>
      </c>
      <c r="BB102" s="284" t="n">
        <f aca="false">IFERROR(U102*$E102*$J102, "")</f>
        <v>0</v>
      </c>
      <c r="BC102" s="284" t="n">
        <f aca="false">IFERROR(V102*$E102*$J102, "")</f>
        <v>0</v>
      </c>
      <c r="BD102" s="284" t="n">
        <f aca="false">IFERROR(W102*$E102*$J102, "")</f>
        <v>0</v>
      </c>
      <c r="BE102" s="286" t="n">
        <f aca="false">IFERROR(SUMIF($AB$4:$AM$4, "RDEC", AS102:BD102), "")</f>
        <v>0</v>
      </c>
      <c r="BF102" s="286" t="n">
        <f aca="false">IFERROR(SUMIF($AB$4:$AM$4, "SME", AS102:BD102), "")</f>
        <v>0</v>
      </c>
      <c r="BG102" s="286" t="n">
        <f aca="false">IFERROR(SUMIF($AB$4:$AM$4, "De Minimis", AS102:BD102), "")</f>
        <v>0</v>
      </c>
      <c r="BH102" s="287"/>
      <c r="BI102" s="288" t="str">
        <f aca="false">IF((SUM(L102:W102)&gt;1),"ERROR","")</f>
        <v/>
      </c>
    </row>
    <row r="103" customFormat="false" ht="15" hidden="false" customHeight="true" outlineLevel="0" collapsed="false">
      <c r="A103" s="340"/>
      <c r="B103" s="350"/>
      <c r="C103" s="350"/>
      <c r="H103" s="350"/>
      <c r="I103" s="279" t="n">
        <v>1</v>
      </c>
      <c r="J103" s="281" t="n">
        <f aca="false">1-I103</f>
        <v>0</v>
      </c>
      <c r="K103" s="32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350"/>
      <c r="Y103" s="381"/>
      <c r="Z103" s="384" t="s">
        <v>71</v>
      </c>
      <c r="AA103" s="283"/>
      <c r="AB103" s="284" t="n">
        <f aca="false">IF(AND(AB$4="RDEC", $Y103="Limited Company"), "", L103*$E103*$I103)</f>
        <v>0</v>
      </c>
      <c r="AC103" s="284" t="n">
        <f aca="false">IF(AND(AC$4="RDEC", $Y103="Limited Company"), "", M103*$E103*$I103)</f>
        <v>0</v>
      </c>
      <c r="AD103" s="284" t="n">
        <f aca="false">IF(AND(AD$4="RDEC", $Y103="Limited Company"), "", N103*$E103*$I103)</f>
        <v>0</v>
      </c>
      <c r="AE103" s="284" t="n">
        <f aca="false">IF(AND(AE$4="RDEC", $Y103="Limited Company"), "", O103*$E103*$I103)</f>
        <v>0</v>
      </c>
      <c r="AF103" s="284" t="n">
        <f aca="false">IF(AND(AF$4="RDEC", $Y103="Limited Company"), "", P103*$E103*$I103)</f>
        <v>0</v>
      </c>
      <c r="AG103" s="284" t="n">
        <f aca="false">IF(AND(AG$4="RDEC", $Y103="Limited Company"), "", Q103*$E103*$I103)</f>
        <v>0</v>
      </c>
      <c r="AH103" s="284" t="n">
        <f aca="false">IF(AND(AH$4="RDEC", $Y103="Limited Company"), "", R103*$E103*$I103)</f>
        <v>0</v>
      </c>
      <c r="AI103" s="284" t="n">
        <f aca="false">IF(AND(AI$4="RDEC", $Y103="Limited Company"), "", S103*$E103*$I103)</f>
        <v>0</v>
      </c>
      <c r="AJ103" s="284" t="n">
        <f aca="false">IF(AND(AJ$4="RDEC", $Y103="Limited Company"), "", T103*$E103*$I103)</f>
        <v>0</v>
      </c>
      <c r="AK103" s="284" t="n">
        <f aca="false">IF(AND(AK$4="RDEC", $Y103="Limited Company"), "", U103*$E103*$I103)</f>
        <v>0</v>
      </c>
      <c r="AL103" s="284" t="n">
        <f aca="false">IF(AND(AL$4="RDEC", $Y103="Limited Company"), "", V103*$E103*$I103)</f>
        <v>0</v>
      </c>
      <c r="AM103" s="284" t="n">
        <f aca="false">IF(AND(AM$4="RDEC", $Y103="Limited Company"), "", W103*$E103*$I103)</f>
        <v>0</v>
      </c>
      <c r="AN103" s="286" t="n">
        <f aca="false">IFERROR(SUMIF($AB$4:$AM$4, "RDEC", AB103:AM103), "")</f>
        <v>0</v>
      </c>
      <c r="AO103" s="286" t="str">
        <f aca="false">IFERROR((IF(Z103="Yes",SUMIF($AB$4:$AM$4,"SME",AB103:AM103),"")),"")</f>
        <v/>
      </c>
      <c r="AP103" s="286" t="n">
        <f aca="false">IFERROR((IF(Z103="No",SUMIF($AB$4:$AM$4,"SME",AB103:AM103),"")),"")</f>
        <v>0</v>
      </c>
      <c r="AQ103" s="286" t="n">
        <f aca="false">IFERROR(SUMIF($AB$4:$AM$4, "De Minimis", AB103:AM103), "")</f>
        <v>0</v>
      </c>
      <c r="AR103" s="283"/>
      <c r="AS103" s="284" t="n">
        <f aca="false">IFERROR(L103*$E103*$J103, "")</f>
        <v>0</v>
      </c>
      <c r="AT103" s="284" t="n">
        <f aca="false">IFERROR(M103*$E103*$J103, "")</f>
        <v>0</v>
      </c>
      <c r="AU103" s="284" t="n">
        <f aca="false">IFERROR(N103*$E103*$J103, "")</f>
        <v>0</v>
      </c>
      <c r="AV103" s="284" t="n">
        <f aca="false">IFERROR(O103*$E103*$J103, "")</f>
        <v>0</v>
      </c>
      <c r="AW103" s="284" t="n">
        <f aca="false">IFERROR(P103*$E103*$J103, "")</f>
        <v>0</v>
      </c>
      <c r="AX103" s="284" t="n">
        <f aca="false">IFERROR(Q103*$E103*$J103, "")</f>
        <v>0</v>
      </c>
      <c r="AY103" s="284" t="n">
        <f aca="false">IFERROR(R103*$E103*$J103, "")</f>
        <v>0</v>
      </c>
      <c r="AZ103" s="284" t="n">
        <f aca="false">IFERROR(S103*$E103*$J103, "")</f>
        <v>0</v>
      </c>
      <c r="BA103" s="284" t="n">
        <f aca="false">IFERROR(T103*$E103*$J103, "")</f>
        <v>0</v>
      </c>
      <c r="BB103" s="284" t="n">
        <f aca="false">IFERROR(U103*$E103*$J103, "")</f>
        <v>0</v>
      </c>
      <c r="BC103" s="284" t="n">
        <f aca="false">IFERROR(V103*$E103*$J103, "")</f>
        <v>0</v>
      </c>
      <c r="BD103" s="284" t="n">
        <f aca="false">IFERROR(W103*$E103*$J103, "")</f>
        <v>0</v>
      </c>
      <c r="BE103" s="286" t="n">
        <f aca="false">IFERROR(SUMIF($AB$4:$AM$4, "RDEC", AS103:BD103), "")</f>
        <v>0</v>
      </c>
      <c r="BF103" s="286" t="n">
        <f aca="false">IFERROR(SUMIF($AB$4:$AM$4, "SME", AS103:BD103), "")</f>
        <v>0</v>
      </c>
      <c r="BG103" s="286" t="n">
        <f aca="false">IFERROR(SUMIF($AB$4:$AM$4, "De Minimis", AS103:BD103), "")</f>
        <v>0</v>
      </c>
      <c r="BH103" s="287"/>
      <c r="BI103" s="288" t="str">
        <f aca="false">IF((SUM(L103:W103)&gt;1),"ERROR","")</f>
        <v/>
      </c>
    </row>
    <row r="104" customFormat="false" ht="15" hidden="false" customHeight="true" outlineLevel="0" collapsed="false">
      <c r="A104" s="340"/>
      <c r="B104" s="350"/>
      <c r="C104" s="350"/>
      <c r="H104" s="350"/>
      <c r="I104" s="279" t="n">
        <v>1</v>
      </c>
      <c r="J104" s="281" t="n">
        <f aca="false">1-I104</f>
        <v>0</v>
      </c>
      <c r="K104" s="32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350"/>
      <c r="Y104" s="381"/>
      <c r="Z104" s="384" t="s">
        <v>71</v>
      </c>
      <c r="AA104" s="283"/>
      <c r="AB104" s="284" t="n">
        <f aca="false">IF(AND(AB$4="RDEC", $Y104="Limited Company"), "", L104*$E104*$I104)</f>
        <v>0</v>
      </c>
      <c r="AC104" s="284" t="n">
        <f aca="false">IF(AND(AC$4="RDEC", $Y104="Limited Company"), "", M104*$E104*$I104)</f>
        <v>0</v>
      </c>
      <c r="AD104" s="284" t="n">
        <f aca="false">IF(AND(AD$4="RDEC", $Y104="Limited Company"), "", N104*$E104*$I104)</f>
        <v>0</v>
      </c>
      <c r="AE104" s="284" t="n">
        <f aca="false">IF(AND(AE$4="RDEC", $Y104="Limited Company"), "", O104*$E104*$I104)</f>
        <v>0</v>
      </c>
      <c r="AF104" s="284" t="n">
        <f aca="false">IF(AND(AF$4="RDEC", $Y104="Limited Company"), "", P104*$E104*$I104)</f>
        <v>0</v>
      </c>
      <c r="AG104" s="284" t="n">
        <f aca="false">IF(AND(AG$4="RDEC", $Y104="Limited Company"), "", Q104*$E104*$I104)</f>
        <v>0</v>
      </c>
      <c r="AH104" s="284" t="n">
        <f aca="false">IF(AND(AH$4="RDEC", $Y104="Limited Company"), "", R104*$E104*$I104)</f>
        <v>0</v>
      </c>
      <c r="AI104" s="284" t="n">
        <f aca="false">IF(AND(AI$4="RDEC", $Y104="Limited Company"), "", S104*$E104*$I104)</f>
        <v>0</v>
      </c>
      <c r="AJ104" s="284" t="n">
        <f aca="false">IF(AND(AJ$4="RDEC", $Y104="Limited Company"), "", T104*$E104*$I104)</f>
        <v>0</v>
      </c>
      <c r="AK104" s="284" t="n">
        <f aca="false">IF(AND(AK$4="RDEC", $Y104="Limited Company"), "", U104*$E104*$I104)</f>
        <v>0</v>
      </c>
      <c r="AL104" s="284" t="n">
        <f aca="false">IF(AND(AL$4="RDEC", $Y104="Limited Company"), "", V104*$E104*$I104)</f>
        <v>0</v>
      </c>
      <c r="AM104" s="284" t="n">
        <f aca="false">IF(AND(AM$4="RDEC", $Y104="Limited Company"), "", W104*$E104*$I104)</f>
        <v>0</v>
      </c>
      <c r="AN104" s="286" t="n">
        <f aca="false">IFERROR(SUMIF($AB$4:$AM$4, "RDEC", AB104:AM104), "")</f>
        <v>0</v>
      </c>
      <c r="AO104" s="286" t="str">
        <f aca="false">IFERROR((IF(Z104="Yes",SUMIF($AB$4:$AM$4,"SME",AB104:AM104),"")),"")</f>
        <v/>
      </c>
      <c r="AP104" s="286" t="n">
        <f aca="false">IFERROR((IF(Z104="No",SUMIF($AB$4:$AM$4,"SME",AB104:AM104),"")),"")</f>
        <v>0</v>
      </c>
      <c r="AQ104" s="286" t="n">
        <f aca="false">IFERROR(SUMIF($AB$4:$AM$4, "De Minimis", AB104:AM104), "")</f>
        <v>0</v>
      </c>
      <c r="AR104" s="283"/>
      <c r="AS104" s="284" t="n">
        <f aca="false">IFERROR(L104*$E104*$J104, "")</f>
        <v>0</v>
      </c>
      <c r="AT104" s="284" t="n">
        <f aca="false">IFERROR(M104*$E104*$J104, "")</f>
        <v>0</v>
      </c>
      <c r="AU104" s="284" t="n">
        <f aca="false">IFERROR(N104*$E104*$J104, "")</f>
        <v>0</v>
      </c>
      <c r="AV104" s="284" t="n">
        <f aca="false">IFERROR(O104*$E104*$J104, "")</f>
        <v>0</v>
      </c>
      <c r="AW104" s="284" t="n">
        <f aca="false">IFERROR(P104*$E104*$J104, "")</f>
        <v>0</v>
      </c>
      <c r="AX104" s="284" t="n">
        <f aca="false">IFERROR(Q104*$E104*$J104, "")</f>
        <v>0</v>
      </c>
      <c r="AY104" s="284" t="n">
        <f aca="false">IFERROR(R104*$E104*$J104, "")</f>
        <v>0</v>
      </c>
      <c r="AZ104" s="284" t="n">
        <f aca="false">IFERROR(S104*$E104*$J104, "")</f>
        <v>0</v>
      </c>
      <c r="BA104" s="284" t="n">
        <f aca="false">IFERROR(T104*$E104*$J104, "")</f>
        <v>0</v>
      </c>
      <c r="BB104" s="284" t="n">
        <f aca="false">IFERROR(U104*$E104*$J104, "")</f>
        <v>0</v>
      </c>
      <c r="BC104" s="284" t="n">
        <f aca="false">IFERROR(V104*$E104*$J104, "")</f>
        <v>0</v>
      </c>
      <c r="BD104" s="284" t="n">
        <f aca="false">IFERROR(W104*$E104*$J104, "")</f>
        <v>0</v>
      </c>
      <c r="BE104" s="286" t="n">
        <f aca="false">IFERROR(SUMIF($AB$4:$AM$4, "RDEC", AS104:BD104), "")</f>
        <v>0</v>
      </c>
      <c r="BF104" s="286" t="n">
        <f aca="false">IFERROR(SUMIF($AB$4:$AM$4, "SME", AS104:BD104), "")</f>
        <v>0</v>
      </c>
      <c r="BG104" s="286" t="n">
        <f aca="false">IFERROR(SUMIF($AB$4:$AM$4, "De Minimis", AS104:BD104), "")</f>
        <v>0</v>
      </c>
      <c r="BH104" s="287"/>
      <c r="BI104" s="288" t="str">
        <f aca="false">IF((SUM(L104:W104)&gt;1),"ERROR","")</f>
        <v/>
      </c>
    </row>
    <row r="105" customFormat="false" ht="15" hidden="false" customHeight="true" outlineLevel="0" collapsed="false">
      <c r="A105" s="340"/>
      <c r="B105" s="350"/>
      <c r="C105" s="350"/>
      <c r="H105" s="350"/>
      <c r="I105" s="279" t="n">
        <v>1</v>
      </c>
      <c r="J105" s="281" t="n">
        <f aca="false">1-I105</f>
        <v>0</v>
      </c>
      <c r="K105" s="32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350"/>
      <c r="Y105" s="381"/>
      <c r="Z105" s="384" t="s">
        <v>71</v>
      </c>
      <c r="AA105" s="283"/>
      <c r="AB105" s="284" t="n">
        <f aca="false">IF(AND(AB$4="RDEC", $Y105="Limited Company"), "", L105*$E105*$I105)</f>
        <v>0</v>
      </c>
      <c r="AC105" s="284" t="n">
        <f aca="false">IF(AND(AC$4="RDEC", $Y105="Limited Company"), "", M105*$E105*$I105)</f>
        <v>0</v>
      </c>
      <c r="AD105" s="284" t="n">
        <f aca="false">IF(AND(AD$4="RDEC", $Y105="Limited Company"), "", N105*$E105*$I105)</f>
        <v>0</v>
      </c>
      <c r="AE105" s="284" t="n">
        <f aca="false">IF(AND(AE$4="RDEC", $Y105="Limited Company"), "", O105*$E105*$I105)</f>
        <v>0</v>
      </c>
      <c r="AF105" s="284" t="n">
        <f aca="false">IF(AND(AF$4="RDEC", $Y105="Limited Company"), "", P105*$E105*$I105)</f>
        <v>0</v>
      </c>
      <c r="AG105" s="284" t="n">
        <f aca="false">IF(AND(AG$4="RDEC", $Y105="Limited Company"), "", Q105*$E105*$I105)</f>
        <v>0</v>
      </c>
      <c r="AH105" s="284" t="n">
        <f aca="false">IF(AND(AH$4="RDEC", $Y105="Limited Company"), "", R105*$E105*$I105)</f>
        <v>0</v>
      </c>
      <c r="AI105" s="284" t="n">
        <f aca="false">IF(AND(AI$4="RDEC", $Y105="Limited Company"), "", S105*$E105*$I105)</f>
        <v>0</v>
      </c>
      <c r="AJ105" s="284" t="n">
        <f aca="false">IF(AND(AJ$4="RDEC", $Y105="Limited Company"), "", T105*$E105*$I105)</f>
        <v>0</v>
      </c>
      <c r="AK105" s="284" t="n">
        <f aca="false">IF(AND(AK$4="RDEC", $Y105="Limited Company"), "", U105*$E105*$I105)</f>
        <v>0</v>
      </c>
      <c r="AL105" s="284" t="n">
        <f aca="false">IF(AND(AL$4="RDEC", $Y105="Limited Company"), "", V105*$E105*$I105)</f>
        <v>0</v>
      </c>
      <c r="AM105" s="284" t="n">
        <f aca="false">IF(AND(AM$4="RDEC", $Y105="Limited Company"), "", W105*$E105*$I105)</f>
        <v>0</v>
      </c>
      <c r="AN105" s="286" t="n">
        <f aca="false">IFERROR(SUMIF($AB$4:$AM$4, "RDEC", AB105:AM105), "")</f>
        <v>0</v>
      </c>
      <c r="AO105" s="286" t="str">
        <f aca="false">IFERROR((IF(Z105="Yes",SUMIF($AB$4:$AM$4,"SME",AB105:AM105),"")),"")</f>
        <v/>
      </c>
      <c r="AP105" s="286" t="n">
        <f aca="false">IFERROR((IF(Z105="No",SUMIF($AB$4:$AM$4,"SME",AB105:AM105),"")),"")</f>
        <v>0</v>
      </c>
      <c r="AQ105" s="286" t="n">
        <f aca="false">IFERROR(SUMIF($AB$4:$AM$4, "De Minimis", AB105:AM105), "")</f>
        <v>0</v>
      </c>
      <c r="AR105" s="283"/>
      <c r="AS105" s="284" t="n">
        <f aca="false">IFERROR(L105*$E105*$J105, "")</f>
        <v>0</v>
      </c>
      <c r="AT105" s="284" t="n">
        <f aca="false">IFERROR(M105*$E105*$J105, "")</f>
        <v>0</v>
      </c>
      <c r="AU105" s="284" t="n">
        <f aca="false">IFERROR(N105*$E105*$J105, "")</f>
        <v>0</v>
      </c>
      <c r="AV105" s="284" t="n">
        <f aca="false">IFERROR(O105*$E105*$J105, "")</f>
        <v>0</v>
      </c>
      <c r="AW105" s="284" t="n">
        <f aca="false">IFERROR(P105*$E105*$J105, "")</f>
        <v>0</v>
      </c>
      <c r="AX105" s="284" t="n">
        <f aca="false">IFERROR(Q105*$E105*$J105, "")</f>
        <v>0</v>
      </c>
      <c r="AY105" s="284" t="n">
        <f aca="false">IFERROR(R105*$E105*$J105, "")</f>
        <v>0</v>
      </c>
      <c r="AZ105" s="284" t="n">
        <f aca="false">IFERROR(S105*$E105*$J105, "")</f>
        <v>0</v>
      </c>
      <c r="BA105" s="284" t="n">
        <f aca="false">IFERROR(T105*$E105*$J105, "")</f>
        <v>0</v>
      </c>
      <c r="BB105" s="284" t="n">
        <f aca="false">IFERROR(U105*$E105*$J105, "")</f>
        <v>0</v>
      </c>
      <c r="BC105" s="284" t="n">
        <f aca="false">IFERROR(V105*$E105*$J105, "")</f>
        <v>0</v>
      </c>
      <c r="BD105" s="284" t="n">
        <f aca="false">IFERROR(W105*$E105*$J105, "")</f>
        <v>0</v>
      </c>
      <c r="BE105" s="286" t="n">
        <f aca="false">IFERROR(SUMIF($AB$4:$AM$4, "RDEC", AS105:BD105), "")</f>
        <v>0</v>
      </c>
      <c r="BF105" s="286" t="n">
        <f aca="false">IFERROR(SUMIF($AB$4:$AM$4, "SME", AS105:BD105), "")</f>
        <v>0</v>
      </c>
      <c r="BG105" s="286" t="n">
        <f aca="false">IFERROR(SUMIF($AB$4:$AM$4, "De Minimis", AS105:BD105), "")</f>
        <v>0</v>
      </c>
      <c r="BH105" s="287"/>
      <c r="BI105" s="288" t="str">
        <f aca="false">IF((SUM(L105:W105)&gt;1),"ERROR","")</f>
        <v/>
      </c>
    </row>
    <row r="106" customFormat="false" ht="15" hidden="false" customHeight="true" outlineLevel="0" collapsed="false">
      <c r="A106" s="340"/>
      <c r="B106" s="350"/>
      <c r="C106" s="350"/>
      <c r="H106" s="350"/>
      <c r="I106" s="279" t="n">
        <v>1</v>
      </c>
      <c r="J106" s="281" t="n">
        <f aca="false">1-I106</f>
        <v>0</v>
      </c>
      <c r="K106" s="32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350"/>
      <c r="Y106" s="381"/>
      <c r="Z106" s="384" t="s">
        <v>71</v>
      </c>
      <c r="AA106" s="283"/>
      <c r="AB106" s="284" t="n">
        <f aca="false">IF(AND(AB$4="RDEC", $Y106="Limited Company"), "", L106*$E106*$I106)</f>
        <v>0</v>
      </c>
      <c r="AC106" s="284" t="n">
        <f aca="false">IF(AND(AC$4="RDEC", $Y106="Limited Company"), "", M106*$E106*$I106)</f>
        <v>0</v>
      </c>
      <c r="AD106" s="284" t="n">
        <f aca="false">IF(AND(AD$4="RDEC", $Y106="Limited Company"), "", N106*$E106*$I106)</f>
        <v>0</v>
      </c>
      <c r="AE106" s="284" t="n">
        <f aca="false">IF(AND(AE$4="RDEC", $Y106="Limited Company"), "", O106*$E106*$I106)</f>
        <v>0</v>
      </c>
      <c r="AF106" s="284" t="n">
        <f aca="false">IF(AND(AF$4="RDEC", $Y106="Limited Company"), "", P106*$E106*$I106)</f>
        <v>0</v>
      </c>
      <c r="AG106" s="284" t="n">
        <f aca="false">IF(AND(AG$4="RDEC", $Y106="Limited Company"), "", Q106*$E106*$I106)</f>
        <v>0</v>
      </c>
      <c r="AH106" s="284" t="n">
        <f aca="false">IF(AND(AH$4="RDEC", $Y106="Limited Company"), "", R106*$E106*$I106)</f>
        <v>0</v>
      </c>
      <c r="AI106" s="284" t="n">
        <f aca="false">IF(AND(AI$4="RDEC", $Y106="Limited Company"), "", S106*$E106*$I106)</f>
        <v>0</v>
      </c>
      <c r="AJ106" s="284" t="n">
        <f aca="false">IF(AND(AJ$4="RDEC", $Y106="Limited Company"), "", T106*$E106*$I106)</f>
        <v>0</v>
      </c>
      <c r="AK106" s="284" t="n">
        <f aca="false">IF(AND(AK$4="RDEC", $Y106="Limited Company"), "", U106*$E106*$I106)</f>
        <v>0</v>
      </c>
      <c r="AL106" s="284" t="n">
        <f aca="false">IF(AND(AL$4="RDEC", $Y106="Limited Company"), "", V106*$E106*$I106)</f>
        <v>0</v>
      </c>
      <c r="AM106" s="284" t="n">
        <f aca="false">IF(AND(AM$4="RDEC", $Y106="Limited Company"), "", W106*$E106*$I106)</f>
        <v>0</v>
      </c>
      <c r="AN106" s="286" t="n">
        <f aca="false">IFERROR(SUMIF($AB$4:$AM$4, "RDEC", AB106:AM106), "")</f>
        <v>0</v>
      </c>
      <c r="AO106" s="286" t="str">
        <f aca="false">IFERROR((IF(Z106="Yes",SUMIF($AB$4:$AM$4,"SME",AB106:AM106),"")),"")</f>
        <v/>
      </c>
      <c r="AP106" s="286" t="n">
        <f aca="false">IFERROR((IF(Z106="No",SUMIF($AB$4:$AM$4,"SME",AB106:AM106),"")),"")</f>
        <v>0</v>
      </c>
      <c r="AQ106" s="286" t="n">
        <f aca="false">IFERROR(SUMIF($AB$4:$AM$4, "De Minimis", AB106:AM106), "")</f>
        <v>0</v>
      </c>
      <c r="AR106" s="283"/>
      <c r="AS106" s="284" t="n">
        <f aca="false">IFERROR(L106*$E106*$J106, "")</f>
        <v>0</v>
      </c>
      <c r="AT106" s="284" t="n">
        <f aca="false">IFERROR(M106*$E106*$J106, "")</f>
        <v>0</v>
      </c>
      <c r="AU106" s="284" t="n">
        <f aca="false">IFERROR(N106*$E106*$J106, "")</f>
        <v>0</v>
      </c>
      <c r="AV106" s="284" t="n">
        <f aca="false">IFERROR(O106*$E106*$J106, "")</f>
        <v>0</v>
      </c>
      <c r="AW106" s="284" t="n">
        <f aca="false">IFERROR(P106*$E106*$J106, "")</f>
        <v>0</v>
      </c>
      <c r="AX106" s="284" t="n">
        <f aca="false">IFERROR(Q106*$E106*$J106, "")</f>
        <v>0</v>
      </c>
      <c r="AY106" s="284" t="n">
        <f aca="false">IFERROR(R106*$E106*$J106, "")</f>
        <v>0</v>
      </c>
      <c r="AZ106" s="284" t="n">
        <f aca="false">IFERROR(S106*$E106*$J106, "")</f>
        <v>0</v>
      </c>
      <c r="BA106" s="284" t="n">
        <f aca="false">IFERROR(T106*$E106*$J106, "")</f>
        <v>0</v>
      </c>
      <c r="BB106" s="284" t="n">
        <f aca="false">IFERROR(U106*$E106*$J106, "")</f>
        <v>0</v>
      </c>
      <c r="BC106" s="284" t="n">
        <f aca="false">IFERROR(V106*$E106*$J106, "")</f>
        <v>0</v>
      </c>
      <c r="BD106" s="284" t="n">
        <f aca="false">IFERROR(W106*$E106*$J106, "")</f>
        <v>0</v>
      </c>
      <c r="BE106" s="286" t="n">
        <f aca="false">IFERROR(SUMIF($AB$4:$AM$4, "RDEC", AS106:BD106), "")</f>
        <v>0</v>
      </c>
      <c r="BF106" s="286" t="n">
        <f aca="false">IFERROR(SUMIF($AB$4:$AM$4, "SME", AS106:BD106), "")</f>
        <v>0</v>
      </c>
      <c r="BG106" s="286" t="n">
        <f aca="false">IFERROR(SUMIF($AB$4:$AM$4, "De Minimis", AS106:BD106), "")</f>
        <v>0</v>
      </c>
      <c r="BH106" s="287"/>
      <c r="BI106" s="288" t="str">
        <f aca="false">IF((SUM(L106:W106)&gt;1),"ERROR","")</f>
        <v/>
      </c>
    </row>
    <row r="107" customFormat="false" ht="15" hidden="false" customHeight="true" outlineLevel="0" collapsed="false">
      <c r="A107" s="340"/>
      <c r="B107" s="350"/>
      <c r="C107" s="350"/>
      <c r="H107" s="350"/>
      <c r="I107" s="279" t="n">
        <v>1</v>
      </c>
      <c r="J107" s="281" t="n">
        <f aca="false">1-I107</f>
        <v>0</v>
      </c>
      <c r="K107" s="32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350"/>
      <c r="Y107" s="381"/>
      <c r="Z107" s="384" t="s">
        <v>71</v>
      </c>
      <c r="AA107" s="283"/>
      <c r="AB107" s="284" t="n">
        <f aca="false">IF(AND(AB$4="RDEC", $Y107="Limited Company"), "", L107*$E107*$I107)</f>
        <v>0</v>
      </c>
      <c r="AC107" s="284" t="n">
        <f aca="false">IF(AND(AC$4="RDEC", $Y107="Limited Company"), "", M107*$E107*$I107)</f>
        <v>0</v>
      </c>
      <c r="AD107" s="284" t="n">
        <f aca="false">IF(AND(AD$4="RDEC", $Y107="Limited Company"), "", N107*$E107*$I107)</f>
        <v>0</v>
      </c>
      <c r="AE107" s="284" t="n">
        <f aca="false">IF(AND(AE$4="RDEC", $Y107="Limited Company"), "", O107*$E107*$I107)</f>
        <v>0</v>
      </c>
      <c r="AF107" s="284" t="n">
        <f aca="false">IF(AND(AF$4="RDEC", $Y107="Limited Company"), "", P107*$E107*$I107)</f>
        <v>0</v>
      </c>
      <c r="AG107" s="284" t="n">
        <f aca="false">IF(AND(AG$4="RDEC", $Y107="Limited Company"), "", Q107*$E107*$I107)</f>
        <v>0</v>
      </c>
      <c r="AH107" s="284" t="n">
        <f aca="false">IF(AND(AH$4="RDEC", $Y107="Limited Company"), "", R107*$E107*$I107)</f>
        <v>0</v>
      </c>
      <c r="AI107" s="284" t="n">
        <f aca="false">IF(AND(AI$4="RDEC", $Y107="Limited Company"), "", S107*$E107*$I107)</f>
        <v>0</v>
      </c>
      <c r="AJ107" s="284" t="n">
        <f aca="false">IF(AND(AJ$4="RDEC", $Y107="Limited Company"), "", T107*$E107*$I107)</f>
        <v>0</v>
      </c>
      <c r="AK107" s="284" t="n">
        <f aca="false">IF(AND(AK$4="RDEC", $Y107="Limited Company"), "", U107*$E107*$I107)</f>
        <v>0</v>
      </c>
      <c r="AL107" s="284" t="n">
        <f aca="false">IF(AND(AL$4="RDEC", $Y107="Limited Company"), "", V107*$E107*$I107)</f>
        <v>0</v>
      </c>
      <c r="AM107" s="284" t="n">
        <f aca="false">IF(AND(AM$4="RDEC", $Y107="Limited Company"), "", W107*$E107*$I107)</f>
        <v>0</v>
      </c>
      <c r="AN107" s="286" t="n">
        <f aca="false">IFERROR(SUMIF($AB$4:$AM$4, "RDEC", AB107:AM107), "")</f>
        <v>0</v>
      </c>
      <c r="AO107" s="286" t="str">
        <f aca="false">IFERROR((IF(Z107="Yes",SUMIF($AB$4:$AM$4,"SME",AB107:AM107),"")),"")</f>
        <v/>
      </c>
      <c r="AP107" s="286" t="n">
        <f aca="false">IFERROR((IF(Z107="No",SUMIF($AB$4:$AM$4,"SME",AB107:AM107),"")),"")</f>
        <v>0</v>
      </c>
      <c r="AQ107" s="286" t="n">
        <f aca="false">IFERROR(SUMIF($AB$4:$AM$4, "De Minimis", AB107:AM107), "")</f>
        <v>0</v>
      </c>
      <c r="AR107" s="283"/>
      <c r="AS107" s="284" t="n">
        <f aca="false">IFERROR(L107*$E107*$J107, "")</f>
        <v>0</v>
      </c>
      <c r="AT107" s="284" t="n">
        <f aca="false">IFERROR(M107*$E107*$J107, "")</f>
        <v>0</v>
      </c>
      <c r="AU107" s="284" t="n">
        <f aca="false">IFERROR(N107*$E107*$J107, "")</f>
        <v>0</v>
      </c>
      <c r="AV107" s="284" t="n">
        <f aca="false">IFERROR(O107*$E107*$J107, "")</f>
        <v>0</v>
      </c>
      <c r="AW107" s="284" t="n">
        <f aca="false">IFERROR(P107*$E107*$J107, "")</f>
        <v>0</v>
      </c>
      <c r="AX107" s="284" t="n">
        <f aca="false">IFERROR(Q107*$E107*$J107, "")</f>
        <v>0</v>
      </c>
      <c r="AY107" s="284" t="n">
        <f aca="false">IFERROR(R107*$E107*$J107, "")</f>
        <v>0</v>
      </c>
      <c r="AZ107" s="284" t="n">
        <f aca="false">IFERROR(S107*$E107*$J107, "")</f>
        <v>0</v>
      </c>
      <c r="BA107" s="284" t="n">
        <f aca="false">IFERROR(T107*$E107*$J107, "")</f>
        <v>0</v>
      </c>
      <c r="BB107" s="284" t="n">
        <f aca="false">IFERROR(U107*$E107*$J107, "")</f>
        <v>0</v>
      </c>
      <c r="BC107" s="284" t="n">
        <f aca="false">IFERROR(V107*$E107*$J107, "")</f>
        <v>0</v>
      </c>
      <c r="BD107" s="284" t="n">
        <f aca="false">IFERROR(W107*$E107*$J107, "")</f>
        <v>0</v>
      </c>
      <c r="BE107" s="286" t="n">
        <f aca="false">IFERROR(SUMIF($AB$4:$AM$4, "RDEC", AS107:BD107), "")</f>
        <v>0</v>
      </c>
      <c r="BF107" s="286" t="n">
        <f aca="false">IFERROR(SUMIF($AB$4:$AM$4, "SME", AS107:BD107), "")</f>
        <v>0</v>
      </c>
      <c r="BG107" s="286" t="n">
        <f aca="false">IFERROR(SUMIF($AB$4:$AM$4, "De Minimis", AS107:BD107), "")</f>
        <v>0</v>
      </c>
      <c r="BH107" s="287"/>
      <c r="BI107" s="288" t="str">
        <f aca="false">IF((SUM(L107:W107)&gt;1),"ERROR","")</f>
        <v/>
      </c>
    </row>
    <row r="108" customFormat="false" ht="15" hidden="false" customHeight="true" outlineLevel="0" collapsed="false">
      <c r="A108" s="340"/>
      <c r="B108" s="350"/>
      <c r="C108" s="350"/>
      <c r="H108" s="350"/>
      <c r="I108" s="279" t="n">
        <v>1</v>
      </c>
      <c r="J108" s="281" t="n">
        <f aca="false">1-I108</f>
        <v>0</v>
      </c>
      <c r="K108" s="32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350"/>
      <c r="Y108" s="381"/>
      <c r="Z108" s="384" t="s">
        <v>71</v>
      </c>
      <c r="AA108" s="283"/>
      <c r="AB108" s="284" t="n">
        <f aca="false">IF(AND(AB$4="RDEC", $Y108="Limited Company"), "", L108*$E108*$I108)</f>
        <v>0</v>
      </c>
      <c r="AC108" s="284" t="n">
        <f aca="false">IF(AND(AC$4="RDEC", $Y108="Limited Company"), "", M108*$E108*$I108)</f>
        <v>0</v>
      </c>
      <c r="AD108" s="284" t="n">
        <f aca="false">IF(AND(AD$4="RDEC", $Y108="Limited Company"), "", N108*$E108*$I108)</f>
        <v>0</v>
      </c>
      <c r="AE108" s="284" t="n">
        <f aca="false">IF(AND(AE$4="RDEC", $Y108="Limited Company"), "", O108*$E108*$I108)</f>
        <v>0</v>
      </c>
      <c r="AF108" s="284" t="n">
        <f aca="false">IF(AND(AF$4="RDEC", $Y108="Limited Company"), "", P108*$E108*$I108)</f>
        <v>0</v>
      </c>
      <c r="AG108" s="284" t="n">
        <f aca="false">IF(AND(AG$4="RDEC", $Y108="Limited Company"), "", Q108*$E108*$I108)</f>
        <v>0</v>
      </c>
      <c r="AH108" s="284" t="n">
        <f aca="false">IF(AND(AH$4="RDEC", $Y108="Limited Company"), "", R108*$E108*$I108)</f>
        <v>0</v>
      </c>
      <c r="AI108" s="284" t="n">
        <f aca="false">IF(AND(AI$4="RDEC", $Y108="Limited Company"), "", S108*$E108*$I108)</f>
        <v>0</v>
      </c>
      <c r="AJ108" s="284" t="n">
        <f aca="false">IF(AND(AJ$4="RDEC", $Y108="Limited Company"), "", T108*$E108*$I108)</f>
        <v>0</v>
      </c>
      <c r="AK108" s="284" t="n">
        <f aca="false">IF(AND(AK$4="RDEC", $Y108="Limited Company"), "", U108*$E108*$I108)</f>
        <v>0</v>
      </c>
      <c r="AL108" s="284" t="n">
        <f aca="false">IF(AND(AL$4="RDEC", $Y108="Limited Company"), "", V108*$E108*$I108)</f>
        <v>0</v>
      </c>
      <c r="AM108" s="284" t="n">
        <f aca="false">IF(AND(AM$4="RDEC", $Y108="Limited Company"), "", W108*$E108*$I108)</f>
        <v>0</v>
      </c>
      <c r="AN108" s="286" t="n">
        <f aca="false">IFERROR(SUMIF($AB$4:$AM$4, "RDEC", AB108:AM108), "")</f>
        <v>0</v>
      </c>
      <c r="AO108" s="286" t="str">
        <f aca="false">IFERROR((IF(Z108="Yes",SUMIF($AB$4:$AM$4,"SME",AB108:AM108),"")),"")</f>
        <v/>
      </c>
      <c r="AP108" s="286" t="n">
        <f aca="false">IFERROR((IF(Z108="No",SUMIF($AB$4:$AM$4,"SME",AB108:AM108),"")),"")</f>
        <v>0</v>
      </c>
      <c r="AQ108" s="286" t="n">
        <f aca="false">IFERROR(SUMIF($AB$4:$AM$4, "De Minimis", AB108:AM108), "")</f>
        <v>0</v>
      </c>
      <c r="AR108" s="283"/>
      <c r="AS108" s="284" t="n">
        <f aca="false">IFERROR(L108*$E108*$J108, "")</f>
        <v>0</v>
      </c>
      <c r="AT108" s="284" t="n">
        <f aca="false">IFERROR(M108*$E108*$J108, "")</f>
        <v>0</v>
      </c>
      <c r="AU108" s="284" t="n">
        <f aca="false">IFERROR(N108*$E108*$J108, "")</f>
        <v>0</v>
      </c>
      <c r="AV108" s="284" t="n">
        <f aca="false">IFERROR(O108*$E108*$J108, "")</f>
        <v>0</v>
      </c>
      <c r="AW108" s="284" t="n">
        <f aca="false">IFERROR(P108*$E108*$J108, "")</f>
        <v>0</v>
      </c>
      <c r="AX108" s="284" t="n">
        <f aca="false">IFERROR(Q108*$E108*$J108, "")</f>
        <v>0</v>
      </c>
      <c r="AY108" s="284" t="n">
        <f aca="false">IFERROR(R108*$E108*$J108, "")</f>
        <v>0</v>
      </c>
      <c r="AZ108" s="284" t="n">
        <f aca="false">IFERROR(S108*$E108*$J108, "")</f>
        <v>0</v>
      </c>
      <c r="BA108" s="284" t="n">
        <f aca="false">IFERROR(T108*$E108*$J108, "")</f>
        <v>0</v>
      </c>
      <c r="BB108" s="284" t="n">
        <f aca="false">IFERROR(U108*$E108*$J108, "")</f>
        <v>0</v>
      </c>
      <c r="BC108" s="284" t="n">
        <f aca="false">IFERROR(V108*$E108*$J108, "")</f>
        <v>0</v>
      </c>
      <c r="BD108" s="284" t="n">
        <f aca="false">IFERROR(W108*$E108*$J108, "")</f>
        <v>0</v>
      </c>
      <c r="BE108" s="286" t="n">
        <f aca="false">IFERROR(SUMIF($AB$4:$AM$4, "RDEC", AS108:BD108), "")</f>
        <v>0</v>
      </c>
      <c r="BF108" s="286" t="n">
        <f aca="false">IFERROR(SUMIF($AB$4:$AM$4, "SME", AS108:BD108), "")</f>
        <v>0</v>
      </c>
      <c r="BG108" s="286" t="n">
        <f aca="false">IFERROR(SUMIF($AB$4:$AM$4, "De Minimis", AS108:BD108), "")</f>
        <v>0</v>
      </c>
      <c r="BH108" s="287"/>
      <c r="BI108" s="288" t="str">
        <f aca="false">IF((SUM(L108:W108)&gt;1),"ERROR","")</f>
        <v/>
      </c>
    </row>
    <row r="109" customFormat="false" ht="15" hidden="false" customHeight="true" outlineLevel="0" collapsed="false">
      <c r="A109" s="340"/>
      <c r="B109" s="350"/>
      <c r="C109" s="350"/>
      <c r="H109" s="350"/>
      <c r="I109" s="279" t="n">
        <v>1</v>
      </c>
      <c r="J109" s="281" t="n">
        <f aca="false">1-I109</f>
        <v>0</v>
      </c>
      <c r="K109" s="32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350"/>
      <c r="Y109" s="381"/>
      <c r="Z109" s="384" t="s">
        <v>71</v>
      </c>
      <c r="AA109" s="283"/>
      <c r="AB109" s="284" t="n">
        <f aca="false">IF(AND(AB$4="RDEC", $Y109="Limited Company"), "", L109*$E109*$I109)</f>
        <v>0</v>
      </c>
      <c r="AC109" s="284" t="n">
        <f aca="false">IF(AND(AC$4="RDEC", $Y109="Limited Company"), "", M109*$E109*$I109)</f>
        <v>0</v>
      </c>
      <c r="AD109" s="284" t="n">
        <f aca="false">IF(AND(AD$4="RDEC", $Y109="Limited Company"), "", N109*$E109*$I109)</f>
        <v>0</v>
      </c>
      <c r="AE109" s="284" t="n">
        <f aca="false">IF(AND(AE$4="RDEC", $Y109="Limited Company"), "", O109*$E109*$I109)</f>
        <v>0</v>
      </c>
      <c r="AF109" s="284" t="n">
        <f aca="false">IF(AND(AF$4="RDEC", $Y109="Limited Company"), "", P109*$E109*$I109)</f>
        <v>0</v>
      </c>
      <c r="AG109" s="284" t="n">
        <f aca="false">IF(AND(AG$4="RDEC", $Y109="Limited Company"), "", Q109*$E109*$I109)</f>
        <v>0</v>
      </c>
      <c r="AH109" s="284" t="n">
        <f aca="false">IF(AND(AH$4="RDEC", $Y109="Limited Company"), "", R109*$E109*$I109)</f>
        <v>0</v>
      </c>
      <c r="AI109" s="284" t="n">
        <f aca="false">IF(AND(AI$4="RDEC", $Y109="Limited Company"), "", S109*$E109*$I109)</f>
        <v>0</v>
      </c>
      <c r="AJ109" s="284" t="n">
        <f aca="false">IF(AND(AJ$4="RDEC", $Y109="Limited Company"), "", T109*$E109*$I109)</f>
        <v>0</v>
      </c>
      <c r="AK109" s="284" t="n">
        <f aca="false">IF(AND(AK$4="RDEC", $Y109="Limited Company"), "", U109*$E109*$I109)</f>
        <v>0</v>
      </c>
      <c r="AL109" s="284" t="n">
        <f aca="false">IF(AND(AL$4="RDEC", $Y109="Limited Company"), "", V109*$E109*$I109)</f>
        <v>0</v>
      </c>
      <c r="AM109" s="284" t="n">
        <f aca="false">IF(AND(AM$4="RDEC", $Y109="Limited Company"), "", W109*$E109*$I109)</f>
        <v>0</v>
      </c>
      <c r="AN109" s="286" t="n">
        <f aca="false">IFERROR(SUMIF($AB$4:$AM$4, "RDEC", AB109:AM109), "")</f>
        <v>0</v>
      </c>
      <c r="AO109" s="286" t="str">
        <f aca="false">IFERROR((IF(Z109="Yes",SUMIF($AB$4:$AM$4,"SME",AB109:AM109),"")),"")</f>
        <v/>
      </c>
      <c r="AP109" s="286" t="n">
        <f aca="false">IFERROR((IF(Z109="No",SUMIF($AB$4:$AM$4,"SME",AB109:AM109),"")),"")</f>
        <v>0</v>
      </c>
      <c r="AQ109" s="286" t="n">
        <f aca="false">IFERROR(SUMIF($AB$4:$AM$4, "De Minimis", AB109:AM109), "")</f>
        <v>0</v>
      </c>
      <c r="AR109" s="283"/>
      <c r="AS109" s="284" t="n">
        <f aca="false">IFERROR(L109*$E109*$J109, "")</f>
        <v>0</v>
      </c>
      <c r="AT109" s="284" t="n">
        <f aca="false">IFERROR(M109*$E109*$J109, "")</f>
        <v>0</v>
      </c>
      <c r="AU109" s="284" t="n">
        <f aca="false">IFERROR(N109*$E109*$J109, "")</f>
        <v>0</v>
      </c>
      <c r="AV109" s="284" t="n">
        <f aca="false">IFERROR(O109*$E109*$J109, "")</f>
        <v>0</v>
      </c>
      <c r="AW109" s="284" t="n">
        <f aca="false">IFERROR(P109*$E109*$J109, "")</f>
        <v>0</v>
      </c>
      <c r="AX109" s="284" t="n">
        <f aca="false">IFERROR(Q109*$E109*$J109, "")</f>
        <v>0</v>
      </c>
      <c r="AY109" s="284" t="n">
        <f aca="false">IFERROR(R109*$E109*$J109, "")</f>
        <v>0</v>
      </c>
      <c r="AZ109" s="284" t="n">
        <f aca="false">IFERROR(S109*$E109*$J109, "")</f>
        <v>0</v>
      </c>
      <c r="BA109" s="284" t="n">
        <f aca="false">IFERROR(T109*$E109*$J109, "")</f>
        <v>0</v>
      </c>
      <c r="BB109" s="284" t="n">
        <f aca="false">IFERROR(U109*$E109*$J109, "")</f>
        <v>0</v>
      </c>
      <c r="BC109" s="284" t="n">
        <f aca="false">IFERROR(V109*$E109*$J109, "")</f>
        <v>0</v>
      </c>
      <c r="BD109" s="284" t="n">
        <f aca="false">IFERROR(W109*$E109*$J109, "")</f>
        <v>0</v>
      </c>
      <c r="BE109" s="286" t="n">
        <f aca="false">IFERROR(SUMIF($AB$4:$AM$4, "RDEC", AS109:BD109), "")</f>
        <v>0</v>
      </c>
      <c r="BF109" s="286" t="n">
        <f aca="false">IFERROR(SUMIF($AB$4:$AM$4, "SME", AS109:BD109), "")</f>
        <v>0</v>
      </c>
      <c r="BG109" s="286" t="n">
        <f aca="false">IFERROR(SUMIF($AB$4:$AM$4, "De Minimis", AS109:BD109), "")</f>
        <v>0</v>
      </c>
      <c r="BH109" s="303"/>
      <c r="BI109" s="288" t="str">
        <f aca="false">IF((SUM(L109:W109)&gt;1),"ERROR","")</f>
        <v/>
      </c>
    </row>
    <row r="110" customFormat="false" ht="15" hidden="false" customHeight="true" outlineLevel="0" collapsed="false">
      <c r="A110" s="340"/>
      <c r="B110" s="350"/>
      <c r="C110" s="350"/>
      <c r="H110" s="350"/>
      <c r="I110" s="279" t="n">
        <v>1</v>
      </c>
      <c r="J110" s="281" t="n">
        <f aca="false">1-I110</f>
        <v>0</v>
      </c>
      <c r="K110" s="32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350"/>
      <c r="Y110" s="381"/>
      <c r="Z110" s="384" t="s">
        <v>71</v>
      </c>
      <c r="AA110" s="283"/>
      <c r="AB110" s="284" t="n">
        <f aca="false">IF(AND(AB$4="RDEC", $Y110="Limited Company"), "", L110*$E110*$I110)</f>
        <v>0</v>
      </c>
      <c r="AC110" s="284" t="n">
        <f aca="false">IF(AND(AC$4="RDEC", $Y110="Limited Company"), "", M110*$E110*$I110)</f>
        <v>0</v>
      </c>
      <c r="AD110" s="284" t="n">
        <f aca="false">IF(AND(AD$4="RDEC", $Y110="Limited Company"), "", N110*$E110*$I110)</f>
        <v>0</v>
      </c>
      <c r="AE110" s="284" t="n">
        <f aca="false">IF(AND(AE$4="RDEC", $Y110="Limited Company"), "", O110*$E110*$I110)</f>
        <v>0</v>
      </c>
      <c r="AF110" s="284" t="n">
        <f aca="false">IF(AND(AF$4="RDEC", $Y110="Limited Company"), "", P110*$E110*$I110)</f>
        <v>0</v>
      </c>
      <c r="AG110" s="284" t="n">
        <f aca="false">IF(AND(AG$4="RDEC", $Y110="Limited Company"), "", Q110*$E110*$I110)</f>
        <v>0</v>
      </c>
      <c r="AH110" s="284" t="n">
        <f aca="false">IF(AND(AH$4="RDEC", $Y110="Limited Company"), "", R110*$E110*$I110)</f>
        <v>0</v>
      </c>
      <c r="AI110" s="284" t="n">
        <f aca="false">IF(AND(AI$4="RDEC", $Y110="Limited Company"), "", S110*$E110*$I110)</f>
        <v>0</v>
      </c>
      <c r="AJ110" s="284" t="n">
        <f aca="false">IF(AND(AJ$4="RDEC", $Y110="Limited Company"), "", T110*$E110*$I110)</f>
        <v>0</v>
      </c>
      <c r="AK110" s="284" t="n">
        <f aca="false">IF(AND(AK$4="RDEC", $Y110="Limited Company"), "", U110*$E110*$I110)</f>
        <v>0</v>
      </c>
      <c r="AL110" s="284" t="n">
        <f aca="false">IF(AND(AL$4="RDEC", $Y110="Limited Company"), "", V110*$E110*$I110)</f>
        <v>0</v>
      </c>
      <c r="AM110" s="284" t="n">
        <f aca="false">IF(AND(AM$4="RDEC", $Y110="Limited Company"), "", W110*$E110*$I110)</f>
        <v>0</v>
      </c>
      <c r="AN110" s="286" t="n">
        <f aca="false">IFERROR(SUMIF($AB$4:$AM$4, "RDEC", AB110:AM110), "")</f>
        <v>0</v>
      </c>
      <c r="AO110" s="286" t="str">
        <f aca="false">IFERROR((IF(Z110="Yes",SUMIF($AB$4:$AM$4,"SME",AB110:AM110),"")),"")</f>
        <v/>
      </c>
      <c r="AP110" s="286" t="n">
        <f aca="false">IFERROR((IF(Z110="No",SUMIF($AB$4:$AM$4,"SME",AB110:AM110),"")),"")</f>
        <v>0</v>
      </c>
      <c r="AQ110" s="286" t="n">
        <f aca="false">IFERROR(SUMIF($AB$4:$AM$4, "De Minimis", AB110:AM110), "")</f>
        <v>0</v>
      </c>
      <c r="AR110" s="283"/>
      <c r="AS110" s="284" t="n">
        <f aca="false">IFERROR(L110*$E110*$J110, "")</f>
        <v>0</v>
      </c>
      <c r="AT110" s="284" t="n">
        <f aca="false">IFERROR(M110*$E110*$J110, "")</f>
        <v>0</v>
      </c>
      <c r="AU110" s="284" t="n">
        <f aca="false">IFERROR(N110*$E110*$J110, "")</f>
        <v>0</v>
      </c>
      <c r="AV110" s="284" t="n">
        <f aca="false">IFERROR(O110*$E110*$J110, "")</f>
        <v>0</v>
      </c>
      <c r="AW110" s="284" t="n">
        <f aca="false">IFERROR(P110*$E110*$J110, "")</f>
        <v>0</v>
      </c>
      <c r="AX110" s="284" t="n">
        <f aca="false">IFERROR(Q110*$E110*$J110, "")</f>
        <v>0</v>
      </c>
      <c r="AY110" s="284" t="n">
        <f aca="false">IFERROR(R110*$E110*$J110, "")</f>
        <v>0</v>
      </c>
      <c r="AZ110" s="284" t="n">
        <f aca="false">IFERROR(S110*$E110*$J110, "")</f>
        <v>0</v>
      </c>
      <c r="BA110" s="284" t="n">
        <f aca="false">IFERROR(T110*$E110*$J110, "")</f>
        <v>0</v>
      </c>
      <c r="BB110" s="284" t="n">
        <f aca="false">IFERROR(U110*$E110*$J110, "")</f>
        <v>0</v>
      </c>
      <c r="BC110" s="284" t="n">
        <f aca="false">IFERROR(V110*$E110*$J110, "")</f>
        <v>0</v>
      </c>
      <c r="BD110" s="284" t="n">
        <f aca="false">IFERROR(W110*$E110*$J110, "")</f>
        <v>0</v>
      </c>
      <c r="BE110" s="286" t="n">
        <f aca="false">IFERROR(SUMIF($AB$4:$AM$4, "RDEC", AS110:BD110), "")</f>
        <v>0</v>
      </c>
      <c r="BF110" s="286" t="n">
        <f aca="false">IFERROR(SUMIF($AB$4:$AM$4, "SME", AS110:BD110), "")</f>
        <v>0</v>
      </c>
      <c r="BG110" s="286" t="n">
        <f aca="false">IFERROR(SUMIF($AB$4:$AM$4, "De Minimis", AS110:BD110), "")</f>
        <v>0</v>
      </c>
      <c r="BI110" s="288" t="str">
        <f aca="false">IF((SUM(L110:W110)&gt;1),"ERROR","")</f>
        <v/>
      </c>
    </row>
    <row r="111" customFormat="false" ht="15" hidden="false" customHeight="true" outlineLevel="0" collapsed="false">
      <c r="A111" s="340"/>
      <c r="B111" s="350"/>
      <c r="C111" s="350"/>
      <c r="H111" s="350"/>
      <c r="I111" s="279" t="n">
        <v>1</v>
      </c>
      <c r="J111" s="281" t="n">
        <f aca="false">1-I111</f>
        <v>0</v>
      </c>
      <c r="K111" s="32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350"/>
      <c r="Y111" s="381"/>
      <c r="Z111" s="384" t="s">
        <v>71</v>
      </c>
      <c r="AA111" s="283"/>
      <c r="AB111" s="284" t="n">
        <f aca="false">IF(AND(AB$4="RDEC", $Y111="Limited Company"), "", L111*$E111*$I111)</f>
        <v>0</v>
      </c>
      <c r="AC111" s="284" t="n">
        <f aca="false">IF(AND(AC$4="RDEC", $Y111="Limited Company"), "", M111*$E111*$I111)</f>
        <v>0</v>
      </c>
      <c r="AD111" s="284" t="n">
        <f aca="false">IF(AND(AD$4="RDEC", $Y111="Limited Company"), "", N111*$E111*$I111)</f>
        <v>0</v>
      </c>
      <c r="AE111" s="284" t="n">
        <f aca="false">IF(AND(AE$4="RDEC", $Y111="Limited Company"), "", O111*$E111*$I111)</f>
        <v>0</v>
      </c>
      <c r="AF111" s="284" t="n">
        <f aca="false">IF(AND(AF$4="RDEC", $Y111="Limited Company"), "", P111*$E111*$I111)</f>
        <v>0</v>
      </c>
      <c r="AG111" s="284" t="n">
        <f aca="false">IF(AND(AG$4="RDEC", $Y111="Limited Company"), "", Q111*$E111*$I111)</f>
        <v>0</v>
      </c>
      <c r="AH111" s="284" t="n">
        <f aca="false">IF(AND(AH$4="RDEC", $Y111="Limited Company"), "", R111*$E111*$I111)</f>
        <v>0</v>
      </c>
      <c r="AI111" s="284" t="n">
        <f aca="false">IF(AND(AI$4="RDEC", $Y111="Limited Company"), "", S111*$E111*$I111)</f>
        <v>0</v>
      </c>
      <c r="AJ111" s="284" t="n">
        <f aca="false">IF(AND(AJ$4="RDEC", $Y111="Limited Company"), "", T111*$E111*$I111)</f>
        <v>0</v>
      </c>
      <c r="AK111" s="284" t="n">
        <f aca="false">IF(AND(AK$4="RDEC", $Y111="Limited Company"), "", U111*$E111*$I111)</f>
        <v>0</v>
      </c>
      <c r="AL111" s="284" t="n">
        <f aca="false">IF(AND(AL$4="RDEC", $Y111="Limited Company"), "", V111*$E111*$I111)</f>
        <v>0</v>
      </c>
      <c r="AM111" s="284" t="n">
        <f aca="false">IF(AND(AM$4="RDEC", $Y111="Limited Company"), "", W111*$E111*$I111)</f>
        <v>0</v>
      </c>
      <c r="AN111" s="286" t="n">
        <f aca="false">IFERROR(SUMIF($AB$4:$AM$4, "RDEC", AB111:AM111), "")</f>
        <v>0</v>
      </c>
      <c r="AO111" s="286" t="str">
        <f aca="false">IFERROR((IF(Z111="Yes",SUMIF($AB$4:$AM$4,"SME",AB111:AM111),"")),"")</f>
        <v/>
      </c>
      <c r="AP111" s="286" t="n">
        <f aca="false">IFERROR((IF(Z111="No",SUMIF($AB$4:$AM$4,"SME",AB111:AM111),"")),"")</f>
        <v>0</v>
      </c>
      <c r="AQ111" s="286" t="n">
        <f aca="false">IFERROR(SUMIF($AB$4:$AM$4, "De Minimis", AB111:AM111), "")</f>
        <v>0</v>
      </c>
      <c r="AR111" s="283"/>
      <c r="AS111" s="284" t="n">
        <f aca="false">IFERROR(L111*$E111*$J111, "")</f>
        <v>0</v>
      </c>
      <c r="AT111" s="284" t="n">
        <f aca="false">IFERROR(M111*$E111*$J111, "")</f>
        <v>0</v>
      </c>
      <c r="AU111" s="284" t="n">
        <f aca="false">IFERROR(N111*$E111*$J111, "")</f>
        <v>0</v>
      </c>
      <c r="AV111" s="284" t="n">
        <f aca="false">IFERROR(O111*$E111*$J111, "")</f>
        <v>0</v>
      </c>
      <c r="AW111" s="284" t="n">
        <f aca="false">IFERROR(P111*$E111*$J111, "")</f>
        <v>0</v>
      </c>
      <c r="AX111" s="284" t="n">
        <f aca="false">IFERROR(Q111*$E111*$J111, "")</f>
        <v>0</v>
      </c>
      <c r="AY111" s="284" t="n">
        <f aca="false">IFERROR(R111*$E111*$J111, "")</f>
        <v>0</v>
      </c>
      <c r="AZ111" s="284" t="n">
        <f aca="false">IFERROR(S111*$E111*$J111, "")</f>
        <v>0</v>
      </c>
      <c r="BA111" s="284" t="n">
        <f aca="false">IFERROR(T111*$E111*$J111, "")</f>
        <v>0</v>
      </c>
      <c r="BB111" s="284" t="n">
        <f aca="false">IFERROR(U111*$E111*$J111, "")</f>
        <v>0</v>
      </c>
      <c r="BC111" s="284" t="n">
        <f aca="false">IFERROR(V111*$E111*$J111, "")</f>
        <v>0</v>
      </c>
      <c r="BD111" s="284" t="n">
        <f aca="false">IFERROR(W111*$E111*$J111, "")</f>
        <v>0</v>
      </c>
      <c r="BE111" s="286" t="n">
        <f aca="false">IFERROR(SUMIF($AB$4:$AM$4, "RDEC", AS111:BD111), "")</f>
        <v>0</v>
      </c>
      <c r="BF111" s="286" t="n">
        <f aca="false">IFERROR(SUMIF($AB$4:$AM$4, "SME", AS111:BD111), "")</f>
        <v>0</v>
      </c>
      <c r="BG111" s="286" t="n">
        <f aca="false">IFERROR(SUMIF($AB$4:$AM$4, "De Minimis", AS111:BD111), "")</f>
        <v>0</v>
      </c>
      <c r="BH111" s="268"/>
      <c r="BI111" s="288" t="str">
        <f aca="false">IF((SUM(L111:W111)&gt;1),"ERROR","")</f>
        <v/>
      </c>
    </row>
    <row r="112" customFormat="false" ht="15" hidden="false" customHeight="true" outlineLevel="0" collapsed="false">
      <c r="A112" s="340"/>
      <c r="B112" s="350"/>
      <c r="C112" s="350"/>
      <c r="H112" s="350"/>
      <c r="I112" s="279" t="n">
        <v>1</v>
      </c>
      <c r="J112" s="281" t="n">
        <f aca="false">1-I112</f>
        <v>0</v>
      </c>
      <c r="K112" s="32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350"/>
      <c r="Y112" s="381"/>
      <c r="Z112" s="384" t="s">
        <v>71</v>
      </c>
      <c r="AA112" s="283"/>
      <c r="AB112" s="284" t="n">
        <f aca="false">IF(AND(AB$4="RDEC", $Y112="Limited Company"), "", L112*$E112*$I112)</f>
        <v>0</v>
      </c>
      <c r="AC112" s="284" t="n">
        <f aca="false">IF(AND(AC$4="RDEC", $Y112="Limited Company"), "", M112*$E112*$I112)</f>
        <v>0</v>
      </c>
      <c r="AD112" s="284" t="n">
        <f aca="false">IF(AND(AD$4="RDEC", $Y112="Limited Company"), "", N112*$E112*$I112)</f>
        <v>0</v>
      </c>
      <c r="AE112" s="284" t="n">
        <f aca="false">IF(AND(AE$4="RDEC", $Y112="Limited Company"), "", O112*$E112*$I112)</f>
        <v>0</v>
      </c>
      <c r="AF112" s="284" t="n">
        <f aca="false">IF(AND(AF$4="RDEC", $Y112="Limited Company"), "", P112*$E112*$I112)</f>
        <v>0</v>
      </c>
      <c r="AG112" s="284" t="n">
        <f aca="false">IF(AND(AG$4="RDEC", $Y112="Limited Company"), "", Q112*$E112*$I112)</f>
        <v>0</v>
      </c>
      <c r="AH112" s="284" t="n">
        <f aca="false">IF(AND(AH$4="RDEC", $Y112="Limited Company"), "", R112*$E112*$I112)</f>
        <v>0</v>
      </c>
      <c r="AI112" s="284" t="n">
        <f aca="false">IF(AND(AI$4="RDEC", $Y112="Limited Company"), "", S112*$E112*$I112)</f>
        <v>0</v>
      </c>
      <c r="AJ112" s="284" t="n">
        <f aca="false">IF(AND(AJ$4="RDEC", $Y112="Limited Company"), "", T112*$E112*$I112)</f>
        <v>0</v>
      </c>
      <c r="AK112" s="284" t="n">
        <f aca="false">IF(AND(AK$4="RDEC", $Y112="Limited Company"), "", U112*$E112*$I112)</f>
        <v>0</v>
      </c>
      <c r="AL112" s="284" t="n">
        <f aca="false">IF(AND(AL$4="RDEC", $Y112="Limited Company"), "", V112*$E112*$I112)</f>
        <v>0</v>
      </c>
      <c r="AM112" s="284" t="n">
        <f aca="false">IF(AND(AM$4="RDEC", $Y112="Limited Company"), "", W112*$E112*$I112)</f>
        <v>0</v>
      </c>
      <c r="AN112" s="286" t="n">
        <f aca="false">IFERROR(SUMIF($AB$4:$AM$4, "RDEC", AB112:AM112), "")</f>
        <v>0</v>
      </c>
      <c r="AO112" s="286" t="str">
        <f aca="false">IFERROR((IF(Z112="Yes",SUMIF($AB$4:$AM$4,"SME",AB112:AM112),"")),"")</f>
        <v/>
      </c>
      <c r="AP112" s="286" t="n">
        <f aca="false">IFERROR((IF(Z112="No",SUMIF($AB$4:$AM$4,"SME",AB112:AM112),"")),"")</f>
        <v>0</v>
      </c>
      <c r="AQ112" s="286" t="n">
        <f aca="false">IFERROR(SUMIF($AB$4:$AM$4, "De Minimis", AB112:AM112), "")</f>
        <v>0</v>
      </c>
      <c r="AR112" s="283"/>
      <c r="AS112" s="284" t="n">
        <f aca="false">IFERROR(L112*$E112*$J112, "")</f>
        <v>0</v>
      </c>
      <c r="AT112" s="284" t="n">
        <f aca="false">IFERROR(M112*$E112*$J112, "")</f>
        <v>0</v>
      </c>
      <c r="AU112" s="284" t="n">
        <f aca="false">IFERROR(N112*$E112*$J112, "")</f>
        <v>0</v>
      </c>
      <c r="AV112" s="284" t="n">
        <f aca="false">IFERROR(O112*$E112*$J112, "")</f>
        <v>0</v>
      </c>
      <c r="AW112" s="284" t="n">
        <f aca="false">IFERROR(P112*$E112*$J112, "")</f>
        <v>0</v>
      </c>
      <c r="AX112" s="284" t="n">
        <f aca="false">IFERROR(Q112*$E112*$J112, "")</f>
        <v>0</v>
      </c>
      <c r="AY112" s="284" t="n">
        <f aca="false">IFERROR(R112*$E112*$J112, "")</f>
        <v>0</v>
      </c>
      <c r="AZ112" s="284" t="n">
        <f aca="false">IFERROR(S112*$E112*$J112, "")</f>
        <v>0</v>
      </c>
      <c r="BA112" s="284" t="n">
        <f aca="false">IFERROR(T112*$E112*$J112, "")</f>
        <v>0</v>
      </c>
      <c r="BB112" s="284" t="n">
        <f aca="false">IFERROR(U112*$E112*$J112, "")</f>
        <v>0</v>
      </c>
      <c r="BC112" s="284" t="n">
        <f aca="false">IFERROR(V112*$E112*$J112, "")</f>
        <v>0</v>
      </c>
      <c r="BD112" s="284" t="n">
        <f aca="false">IFERROR(W112*$E112*$J112, "")</f>
        <v>0</v>
      </c>
      <c r="BE112" s="286" t="n">
        <f aca="false">IFERROR(SUMIF($AB$4:$AM$4, "RDEC", AS112:BD112), "")</f>
        <v>0</v>
      </c>
      <c r="BF112" s="286" t="n">
        <f aca="false">IFERROR(SUMIF($AB$4:$AM$4, "SME", AS112:BD112), "")</f>
        <v>0</v>
      </c>
      <c r="BG112" s="286" t="n">
        <f aca="false">IFERROR(SUMIF($AB$4:$AM$4, "De Minimis", AS112:BD112), "")</f>
        <v>0</v>
      </c>
      <c r="BH112" s="287"/>
      <c r="BI112" s="288" t="str">
        <f aca="false">IF((SUM(L112:W112)&gt;1),"ERROR","")</f>
        <v/>
      </c>
    </row>
    <row r="113" customFormat="false" ht="15" hidden="false" customHeight="true" outlineLevel="0" collapsed="false">
      <c r="A113" s="340"/>
      <c r="B113" s="350"/>
      <c r="C113" s="350"/>
      <c r="H113" s="350"/>
      <c r="I113" s="279" t="n">
        <v>1</v>
      </c>
      <c r="J113" s="281" t="n">
        <f aca="false">1-I113</f>
        <v>0</v>
      </c>
      <c r="K113" s="32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350"/>
      <c r="Y113" s="381"/>
      <c r="Z113" s="384" t="s">
        <v>71</v>
      </c>
      <c r="AA113" s="283"/>
      <c r="AB113" s="284" t="n">
        <f aca="false">IF(AND(AB$4="RDEC", $Y113="Limited Company"), "", L113*$E113*$I113)</f>
        <v>0</v>
      </c>
      <c r="AC113" s="284" t="n">
        <f aca="false">IF(AND(AC$4="RDEC", $Y113="Limited Company"), "", M113*$E113*$I113)</f>
        <v>0</v>
      </c>
      <c r="AD113" s="284" t="n">
        <f aca="false">IF(AND(AD$4="RDEC", $Y113="Limited Company"), "", N113*$E113*$I113)</f>
        <v>0</v>
      </c>
      <c r="AE113" s="284" t="n">
        <f aca="false">IF(AND(AE$4="RDEC", $Y113="Limited Company"), "", O113*$E113*$I113)</f>
        <v>0</v>
      </c>
      <c r="AF113" s="284" t="n">
        <f aca="false">IF(AND(AF$4="RDEC", $Y113="Limited Company"), "", P113*$E113*$I113)</f>
        <v>0</v>
      </c>
      <c r="AG113" s="284" t="n">
        <f aca="false">IF(AND(AG$4="RDEC", $Y113="Limited Company"), "", Q113*$E113*$I113)</f>
        <v>0</v>
      </c>
      <c r="AH113" s="284" t="n">
        <f aca="false">IF(AND(AH$4="RDEC", $Y113="Limited Company"), "", R113*$E113*$I113)</f>
        <v>0</v>
      </c>
      <c r="AI113" s="284" t="n">
        <f aca="false">IF(AND(AI$4="RDEC", $Y113="Limited Company"), "", S113*$E113*$I113)</f>
        <v>0</v>
      </c>
      <c r="AJ113" s="284" t="n">
        <f aca="false">IF(AND(AJ$4="RDEC", $Y113="Limited Company"), "", T113*$E113*$I113)</f>
        <v>0</v>
      </c>
      <c r="AK113" s="284" t="n">
        <f aca="false">IF(AND(AK$4="RDEC", $Y113="Limited Company"), "", U113*$E113*$I113)</f>
        <v>0</v>
      </c>
      <c r="AL113" s="284" t="n">
        <f aca="false">IF(AND(AL$4="RDEC", $Y113="Limited Company"), "", V113*$E113*$I113)</f>
        <v>0</v>
      </c>
      <c r="AM113" s="284" t="n">
        <f aca="false">IF(AND(AM$4="RDEC", $Y113="Limited Company"), "", W113*$E113*$I113)</f>
        <v>0</v>
      </c>
      <c r="AN113" s="286" t="n">
        <f aca="false">IFERROR(SUMIF($AB$4:$AM$4, "RDEC", AB113:AM113), "")</f>
        <v>0</v>
      </c>
      <c r="AO113" s="286" t="str">
        <f aca="false">IFERROR((IF(Z113="Yes",SUMIF($AB$4:$AM$4,"SME",AB113:AM113),"")),"")</f>
        <v/>
      </c>
      <c r="AP113" s="286" t="n">
        <f aca="false">IFERROR((IF(Z113="No",SUMIF($AB$4:$AM$4,"SME",AB113:AM113),"")),"")</f>
        <v>0</v>
      </c>
      <c r="AQ113" s="286" t="n">
        <f aca="false">IFERROR(SUMIF($AB$4:$AM$4, "De Minimis", AB113:AM113), "")</f>
        <v>0</v>
      </c>
      <c r="AR113" s="283"/>
      <c r="AS113" s="284" t="n">
        <f aca="false">IFERROR(L113*$E113*$J113, "")</f>
        <v>0</v>
      </c>
      <c r="AT113" s="284" t="n">
        <f aca="false">IFERROR(M113*$E113*$J113, "")</f>
        <v>0</v>
      </c>
      <c r="AU113" s="284" t="n">
        <f aca="false">IFERROR(N113*$E113*$J113, "")</f>
        <v>0</v>
      </c>
      <c r="AV113" s="284" t="n">
        <f aca="false">IFERROR(O113*$E113*$J113, "")</f>
        <v>0</v>
      </c>
      <c r="AW113" s="284" t="n">
        <f aca="false">IFERROR(P113*$E113*$J113, "")</f>
        <v>0</v>
      </c>
      <c r="AX113" s="284" t="n">
        <f aca="false">IFERROR(Q113*$E113*$J113, "")</f>
        <v>0</v>
      </c>
      <c r="AY113" s="284" t="n">
        <f aca="false">IFERROR(R113*$E113*$J113, "")</f>
        <v>0</v>
      </c>
      <c r="AZ113" s="284" t="n">
        <f aca="false">IFERROR(S113*$E113*$J113, "")</f>
        <v>0</v>
      </c>
      <c r="BA113" s="284" t="n">
        <f aca="false">IFERROR(T113*$E113*$J113, "")</f>
        <v>0</v>
      </c>
      <c r="BB113" s="284" t="n">
        <f aca="false">IFERROR(U113*$E113*$J113, "")</f>
        <v>0</v>
      </c>
      <c r="BC113" s="284" t="n">
        <f aca="false">IFERROR(V113*$E113*$J113, "")</f>
        <v>0</v>
      </c>
      <c r="BD113" s="284" t="n">
        <f aca="false">IFERROR(W113*$E113*$J113, "")</f>
        <v>0</v>
      </c>
      <c r="BE113" s="286" t="n">
        <f aca="false">IFERROR(SUMIF($AB$4:$AM$4, "RDEC", AS113:BD113), "")</f>
        <v>0</v>
      </c>
      <c r="BF113" s="286" t="n">
        <f aca="false">IFERROR(SUMIF($AB$4:$AM$4, "SME", AS113:BD113), "")</f>
        <v>0</v>
      </c>
      <c r="BG113" s="286" t="n">
        <f aca="false">IFERROR(SUMIF($AB$4:$AM$4, "De Minimis", AS113:BD113), "")</f>
        <v>0</v>
      </c>
      <c r="BH113" s="287"/>
      <c r="BI113" s="288" t="str">
        <f aca="false">IF((SUM(L113:W113)&gt;1),"ERROR","")</f>
        <v/>
      </c>
    </row>
    <row r="114" customFormat="false" ht="15" hidden="false" customHeight="true" outlineLevel="0" collapsed="false">
      <c r="A114" s="340"/>
      <c r="B114" s="350"/>
      <c r="C114" s="350"/>
      <c r="H114" s="350"/>
      <c r="I114" s="279" t="n">
        <v>1</v>
      </c>
      <c r="J114" s="281" t="n">
        <f aca="false">1-I114</f>
        <v>0</v>
      </c>
      <c r="K114" s="32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350"/>
      <c r="Y114" s="381"/>
      <c r="Z114" s="384" t="s">
        <v>71</v>
      </c>
      <c r="AA114" s="283"/>
      <c r="AB114" s="284" t="n">
        <f aca="false">IF(AND(AB$4="RDEC", $Y114="Limited Company"), "", L114*$E114*$I114)</f>
        <v>0</v>
      </c>
      <c r="AC114" s="284" t="n">
        <f aca="false">IF(AND(AC$4="RDEC", $Y114="Limited Company"), "", M114*$E114*$I114)</f>
        <v>0</v>
      </c>
      <c r="AD114" s="284" t="n">
        <f aca="false">IF(AND(AD$4="RDEC", $Y114="Limited Company"), "", N114*$E114*$I114)</f>
        <v>0</v>
      </c>
      <c r="AE114" s="284" t="n">
        <f aca="false">IF(AND(AE$4="RDEC", $Y114="Limited Company"), "", O114*$E114*$I114)</f>
        <v>0</v>
      </c>
      <c r="AF114" s="284" t="n">
        <f aca="false">IF(AND(AF$4="RDEC", $Y114="Limited Company"), "", P114*$E114*$I114)</f>
        <v>0</v>
      </c>
      <c r="AG114" s="284" t="n">
        <f aca="false">IF(AND(AG$4="RDEC", $Y114="Limited Company"), "", Q114*$E114*$I114)</f>
        <v>0</v>
      </c>
      <c r="AH114" s="284" t="n">
        <f aca="false">IF(AND(AH$4="RDEC", $Y114="Limited Company"), "", R114*$E114*$I114)</f>
        <v>0</v>
      </c>
      <c r="AI114" s="284" t="n">
        <f aca="false">IF(AND(AI$4="RDEC", $Y114="Limited Company"), "", S114*$E114*$I114)</f>
        <v>0</v>
      </c>
      <c r="AJ114" s="284" t="n">
        <f aca="false">IF(AND(AJ$4="RDEC", $Y114="Limited Company"), "", T114*$E114*$I114)</f>
        <v>0</v>
      </c>
      <c r="AK114" s="284" t="n">
        <f aca="false">IF(AND(AK$4="RDEC", $Y114="Limited Company"), "", U114*$E114*$I114)</f>
        <v>0</v>
      </c>
      <c r="AL114" s="284" t="n">
        <f aca="false">IF(AND(AL$4="RDEC", $Y114="Limited Company"), "", V114*$E114*$I114)</f>
        <v>0</v>
      </c>
      <c r="AM114" s="284" t="n">
        <f aca="false">IF(AND(AM$4="RDEC", $Y114="Limited Company"), "", W114*$E114*$I114)</f>
        <v>0</v>
      </c>
      <c r="AN114" s="286" t="n">
        <f aca="false">IFERROR(SUMIF($AB$4:$AM$4, "RDEC", AB114:AM114), "")</f>
        <v>0</v>
      </c>
      <c r="AO114" s="286" t="str">
        <f aca="false">IFERROR((IF(Z114="Yes",SUMIF($AB$4:$AM$4,"SME",AB114:AM114),"")),"")</f>
        <v/>
      </c>
      <c r="AP114" s="286" t="n">
        <f aca="false">IFERROR((IF(Z114="No",SUMIF($AB$4:$AM$4,"SME",AB114:AM114),"")),"")</f>
        <v>0</v>
      </c>
      <c r="AQ114" s="286" t="n">
        <f aca="false">IFERROR(SUMIF($AB$4:$AM$4, "De Minimis", AB114:AM114), "")</f>
        <v>0</v>
      </c>
      <c r="AR114" s="283"/>
      <c r="AS114" s="284" t="n">
        <f aca="false">IFERROR(L114*$E114*$J114, "")</f>
        <v>0</v>
      </c>
      <c r="AT114" s="284" t="n">
        <f aca="false">IFERROR(M114*$E114*$J114, "")</f>
        <v>0</v>
      </c>
      <c r="AU114" s="284" t="n">
        <f aca="false">IFERROR(N114*$E114*$J114, "")</f>
        <v>0</v>
      </c>
      <c r="AV114" s="284" t="n">
        <f aca="false">IFERROR(O114*$E114*$J114, "")</f>
        <v>0</v>
      </c>
      <c r="AW114" s="284" t="n">
        <f aca="false">IFERROR(P114*$E114*$J114, "")</f>
        <v>0</v>
      </c>
      <c r="AX114" s="284" t="n">
        <f aca="false">IFERROR(Q114*$E114*$J114, "")</f>
        <v>0</v>
      </c>
      <c r="AY114" s="284" t="n">
        <f aca="false">IFERROR(R114*$E114*$J114, "")</f>
        <v>0</v>
      </c>
      <c r="AZ114" s="284" t="n">
        <f aca="false">IFERROR(S114*$E114*$J114, "")</f>
        <v>0</v>
      </c>
      <c r="BA114" s="284" t="n">
        <f aca="false">IFERROR(T114*$E114*$J114, "")</f>
        <v>0</v>
      </c>
      <c r="BB114" s="284" t="n">
        <f aca="false">IFERROR(U114*$E114*$J114, "")</f>
        <v>0</v>
      </c>
      <c r="BC114" s="284" t="n">
        <f aca="false">IFERROR(V114*$E114*$J114, "")</f>
        <v>0</v>
      </c>
      <c r="BD114" s="284" t="n">
        <f aca="false">IFERROR(W114*$E114*$J114, "")</f>
        <v>0</v>
      </c>
      <c r="BE114" s="286" t="n">
        <f aca="false">IFERROR(SUMIF($AB$4:$AM$4, "RDEC", AS114:BD114), "")</f>
        <v>0</v>
      </c>
      <c r="BF114" s="286" t="n">
        <f aca="false">IFERROR(SUMIF($AB$4:$AM$4, "SME", AS114:BD114), "")</f>
        <v>0</v>
      </c>
      <c r="BG114" s="286" t="n">
        <f aca="false">IFERROR(SUMIF($AB$4:$AM$4, "De Minimis", AS114:BD114), "")</f>
        <v>0</v>
      </c>
      <c r="BH114" s="287"/>
      <c r="BI114" s="288" t="str">
        <f aca="false">IF((SUM(L114:W114)&gt;1),"ERROR","")</f>
        <v/>
      </c>
    </row>
    <row r="115" customFormat="false" ht="15" hidden="false" customHeight="true" outlineLevel="0" collapsed="false">
      <c r="A115" s="340"/>
      <c r="B115" s="350"/>
      <c r="C115" s="350"/>
      <c r="H115" s="350"/>
      <c r="I115" s="279" t="n">
        <v>1</v>
      </c>
      <c r="J115" s="281" t="n">
        <f aca="false">1-I115</f>
        <v>0</v>
      </c>
      <c r="K115" s="32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350"/>
      <c r="Y115" s="381"/>
      <c r="Z115" s="384" t="s">
        <v>71</v>
      </c>
      <c r="AA115" s="283"/>
      <c r="AB115" s="284" t="n">
        <f aca="false">IF(AND(AB$4="RDEC", $Y115="Limited Company"), "", L115*$E115*$I115)</f>
        <v>0</v>
      </c>
      <c r="AC115" s="284" t="n">
        <f aca="false">IF(AND(AC$4="RDEC", $Y115="Limited Company"), "", M115*$E115*$I115)</f>
        <v>0</v>
      </c>
      <c r="AD115" s="284" t="n">
        <f aca="false">IF(AND(AD$4="RDEC", $Y115="Limited Company"), "", N115*$E115*$I115)</f>
        <v>0</v>
      </c>
      <c r="AE115" s="284" t="n">
        <f aca="false">IF(AND(AE$4="RDEC", $Y115="Limited Company"), "", O115*$E115*$I115)</f>
        <v>0</v>
      </c>
      <c r="AF115" s="284" t="n">
        <f aca="false">IF(AND(AF$4="RDEC", $Y115="Limited Company"), "", P115*$E115*$I115)</f>
        <v>0</v>
      </c>
      <c r="AG115" s="284" t="n">
        <f aca="false">IF(AND(AG$4="RDEC", $Y115="Limited Company"), "", Q115*$E115*$I115)</f>
        <v>0</v>
      </c>
      <c r="AH115" s="284" t="n">
        <f aca="false">IF(AND(AH$4="RDEC", $Y115="Limited Company"), "", R115*$E115*$I115)</f>
        <v>0</v>
      </c>
      <c r="AI115" s="284" t="n">
        <f aca="false">IF(AND(AI$4="RDEC", $Y115="Limited Company"), "", S115*$E115*$I115)</f>
        <v>0</v>
      </c>
      <c r="AJ115" s="284" t="n">
        <f aca="false">IF(AND(AJ$4="RDEC", $Y115="Limited Company"), "", T115*$E115*$I115)</f>
        <v>0</v>
      </c>
      <c r="AK115" s="284" t="n">
        <f aca="false">IF(AND(AK$4="RDEC", $Y115="Limited Company"), "", U115*$E115*$I115)</f>
        <v>0</v>
      </c>
      <c r="AL115" s="284" t="n">
        <f aca="false">IF(AND(AL$4="RDEC", $Y115="Limited Company"), "", V115*$E115*$I115)</f>
        <v>0</v>
      </c>
      <c r="AM115" s="284" t="n">
        <f aca="false">IF(AND(AM$4="RDEC", $Y115="Limited Company"), "", W115*$E115*$I115)</f>
        <v>0</v>
      </c>
      <c r="AN115" s="286" t="n">
        <f aca="false">IFERROR(SUMIF($AB$4:$AM$4, "RDEC", AB115:AM115), "")</f>
        <v>0</v>
      </c>
      <c r="AO115" s="286" t="str">
        <f aca="false">IFERROR((IF(Z115="Yes",SUMIF($AB$4:$AM$4,"SME",AB115:AM115),"")),"")</f>
        <v/>
      </c>
      <c r="AP115" s="286" t="n">
        <f aca="false">IFERROR((IF(Z115="No",SUMIF($AB$4:$AM$4,"SME",AB115:AM115),"")),"")</f>
        <v>0</v>
      </c>
      <c r="AQ115" s="286" t="n">
        <f aca="false">IFERROR(SUMIF($AB$4:$AM$4, "De Minimis", AB115:AM115), "")</f>
        <v>0</v>
      </c>
      <c r="AR115" s="283"/>
      <c r="AS115" s="284" t="n">
        <f aca="false">IFERROR(L115*$E115*$J115, "")</f>
        <v>0</v>
      </c>
      <c r="AT115" s="284" t="n">
        <f aca="false">IFERROR(M115*$E115*$J115, "")</f>
        <v>0</v>
      </c>
      <c r="AU115" s="284" t="n">
        <f aca="false">IFERROR(N115*$E115*$J115, "")</f>
        <v>0</v>
      </c>
      <c r="AV115" s="284" t="n">
        <f aca="false">IFERROR(O115*$E115*$J115, "")</f>
        <v>0</v>
      </c>
      <c r="AW115" s="284" t="n">
        <f aca="false">IFERROR(P115*$E115*$J115, "")</f>
        <v>0</v>
      </c>
      <c r="AX115" s="284" t="n">
        <f aca="false">IFERROR(Q115*$E115*$J115, "")</f>
        <v>0</v>
      </c>
      <c r="AY115" s="284" t="n">
        <f aca="false">IFERROR(R115*$E115*$J115, "")</f>
        <v>0</v>
      </c>
      <c r="AZ115" s="284" t="n">
        <f aca="false">IFERROR(S115*$E115*$J115, "")</f>
        <v>0</v>
      </c>
      <c r="BA115" s="284" t="n">
        <f aca="false">IFERROR(T115*$E115*$J115, "")</f>
        <v>0</v>
      </c>
      <c r="BB115" s="284" t="n">
        <f aca="false">IFERROR(U115*$E115*$J115, "")</f>
        <v>0</v>
      </c>
      <c r="BC115" s="284" t="n">
        <f aca="false">IFERROR(V115*$E115*$J115, "")</f>
        <v>0</v>
      </c>
      <c r="BD115" s="284" t="n">
        <f aca="false">IFERROR(W115*$E115*$J115, "")</f>
        <v>0</v>
      </c>
      <c r="BE115" s="286" t="n">
        <f aca="false">IFERROR(SUMIF($AB$4:$AM$4, "RDEC", AS115:BD115), "")</f>
        <v>0</v>
      </c>
      <c r="BF115" s="286" t="n">
        <f aca="false">IFERROR(SUMIF($AB$4:$AM$4, "SME", AS115:BD115), "")</f>
        <v>0</v>
      </c>
      <c r="BG115" s="286" t="n">
        <f aca="false">IFERROR(SUMIF($AB$4:$AM$4, "De Minimis", AS115:BD115), "")</f>
        <v>0</v>
      </c>
      <c r="BH115" s="287"/>
      <c r="BI115" s="288" t="str">
        <f aca="false">IF((SUM(L115:W115)&gt;1),"ERROR","")</f>
        <v/>
      </c>
    </row>
    <row r="116" customFormat="false" ht="15" hidden="false" customHeight="true" outlineLevel="0" collapsed="false">
      <c r="A116" s="340"/>
      <c r="B116" s="350"/>
      <c r="C116" s="350"/>
      <c r="H116" s="350"/>
      <c r="I116" s="279" t="n">
        <v>1</v>
      </c>
      <c r="J116" s="281" t="n">
        <f aca="false">1-I116</f>
        <v>0</v>
      </c>
      <c r="K116" s="32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350"/>
      <c r="Y116" s="381"/>
      <c r="Z116" s="384" t="s">
        <v>71</v>
      </c>
      <c r="AA116" s="283"/>
      <c r="AB116" s="284" t="n">
        <f aca="false">IF(AND(AB$4="RDEC", $Y116="Limited Company"), "", L116*$E116*$I116)</f>
        <v>0</v>
      </c>
      <c r="AC116" s="284" t="n">
        <f aca="false">IF(AND(AC$4="RDEC", $Y116="Limited Company"), "", M116*$E116*$I116)</f>
        <v>0</v>
      </c>
      <c r="AD116" s="284" t="n">
        <f aca="false">IF(AND(AD$4="RDEC", $Y116="Limited Company"), "", N116*$E116*$I116)</f>
        <v>0</v>
      </c>
      <c r="AE116" s="284" t="n">
        <f aca="false">IF(AND(AE$4="RDEC", $Y116="Limited Company"), "", O116*$E116*$I116)</f>
        <v>0</v>
      </c>
      <c r="AF116" s="284" t="n">
        <f aca="false">IF(AND(AF$4="RDEC", $Y116="Limited Company"), "", P116*$E116*$I116)</f>
        <v>0</v>
      </c>
      <c r="AG116" s="284" t="n">
        <f aca="false">IF(AND(AG$4="RDEC", $Y116="Limited Company"), "", Q116*$E116*$I116)</f>
        <v>0</v>
      </c>
      <c r="AH116" s="284" t="n">
        <f aca="false">IF(AND(AH$4="RDEC", $Y116="Limited Company"), "", R116*$E116*$I116)</f>
        <v>0</v>
      </c>
      <c r="AI116" s="284" t="n">
        <f aca="false">IF(AND(AI$4="RDEC", $Y116="Limited Company"), "", S116*$E116*$I116)</f>
        <v>0</v>
      </c>
      <c r="AJ116" s="284" t="n">
        <f aca="false">IF(AND(AJ$4="RDEC", $Y116="Limited Company"), "", T116*$E116*$I116)</f>
        <v>0</v>
      </c>
      <c r="AK116" s="284" t="n">
        <f aca="false">IF(AND(AK$4="RDEC", $Y116="Limited Company"), "", U116*$E116*$I116)</f>
        <v>0</v>
      </c>
      <c r="AL116" s="284" t="n">
        <f aca="false">IF(AND(AL$4="RDEC", $Y116="Limited Company"), "", V116*$E116*$I116)</f>
        <v>0</v>
      </c>
      <c r="AM116" s="284" t="n">
        <f aca="false">IF(AND(AM$4="RDEC", $Y116="Limited Company"), "", W116*$E116*$I116)</f>
        <v>0</v>
      </c>
      <c r="AN116" s="286" t="n">
        <f aca="false">IFERROR(SUMIF($AB$4:$AM$4, "RDEC", AB116:AM116), "")</f>
        <v>0</v>
      </c>
      <c r="AO116" s="286" t="str">
        <f aca="false">IFERROR((IF(Z116="Yes",SUMIF($AB$4:$AM$4,"SME",AB116:AM116),"")),"")</f>
        <v/>
      </c>
      <c r="AP116" s="286" t="n">
        <f aca="false">IFERROR((IF(Z116="No",SUMIF($AB$4:$AM$4,"SME",AB116:AM116),"")),"")</f>
        <v>0</v>
      </c>
      <c r="AQ116" s="286" t="n">
        <f aca="false">IFERROR(SUMIF($AB$4:$AM$4, "De Minimis", AB116:AM116), "")</f>
        <v>0</v>
      </c>
      <c r="AR116" s="283"/>
      <c r="AS116" s="284" t="n">
        <f aca="false">IFERROR(L116*$E116*$J116, "")</f>
        <v>0</v>
      </c>
      <c r="AT116" s="284" t="n">
        <f aca="false">IFERROR(M116*$E116*$J116, "")</f>
        <v>0</v>
      </c>
      <c r="AU116" s="284" t="n">
        <f aca="false">IFERROR(N116*$E116*$J116, "")</f>
        <v>0</v>
      </c>
      <c r="AV116" s="284" t="n">
        <f aca="false">IFERROR(O116*$E116*$J116, "")</f>
        <v>0</v>
      </c>
      <c r="AW116" s="284" t="n">
        <f aca="false">IFERROR(P116*$E116*$J116, "")</f>
        <v>0</v>
      </c>
      <c r="AX116" s="284" t="n">
        <f aca="false">IFERROR(Q116*$E116*$J116, "")</f>
        <v>0</v>
      </c>
      <c r="AY116" s="284" t="n">
        <f aca="false">IFERROR(R116*$E116*$J116, "")</f>
        <v>0</v>
      </c>
      <c r="AZ116" s="284" t="n">
        <f aca="false">IFERROR(S116*$E116*$J116, "")</f>
        <v>0</v>
      </c>
      <c r="BA116" s="284" t="n">
        <f aca="false">IFERROR(T116*$E116*$J116, "")</f>
        <v>0</v>
      </c>
      <c r="BB116" s="284" t="n">
        <f aca="false">IFERROR(U116*$E116*$J116, "")</f>
        <v>0</v>
      </c>
      <c r="BC116" s="284" t="n">
        <f aca="false">IFERROR(V116*$E116*$J116, "")</f>
        <v>0</v>
      </c>
      <c r="BD116" s="284" t="n">
        <f aca="false">IFERROR(W116*$E116*$J116, "")</f>
        <v>0</v>
      </c>
      <c r="BE116" s="286" t="n">
        <f aca="false">IFERROR(SUMIF($AB$4:$AM$4, "RDEC", AS116:BD116), "")</f>
        <v>0</v>
      </c>
      <c r="BF116" s="286" t="n">
        <f aca="false">IFERROR(SUMIF($AB$4:$AM$4, "SME", AS116:BD116), "")</f>
        <v>0</v>
      </c>
      <c r="BG116" s="286" t="n">
        <f aca="false">IFERROR(SUMIF($AB$4:$AM$4, "De Minimis", AS116:BD116), "")</f>
        <v>0</v>
      </c>
      <c r="BH116" s="287"/>
      <c r="BI116" s="288" t="str">
        <f aca="false">IF((SUM(L116:W116)&gt;1),"ERROR","")</f>
        <v/>
      </c>
    </row>
    <row r="117" customFormat="false" ht="15" hidden="false" customHeight="true" outlineLevel="0" collapsed="false">
      <c r="A117" s="340"/>
      <c r="B117" s="350"/>
      <c r="C117" s="350"/>
      <c r="H117" s="350"/>
      <c r="I117" s="279" t="n">
        <v>1</v>
      </c>
      <c r="J117" s="281" t="n">
        <f aca="false">1-I117</f>
        <v>0</v>
      </c>
      <c r="K117" s="32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350"/>
      <c r="Y117" s="381"/>
      <c r="Z117" s="384" t="s">
        <v>71</v>
      </c>
      <c r="AA117" s="283"/>
      <c r="AB117" s="284" t="n">
        <f aca="false">IF(AND(AB$4="RDEC", $Y117="Limited Company"), "", L117*$E117*$I117)</f>
        <v>0</v>
      </c>
      <c r="AC117" s="284" t="n">
        <f aca="false">IF(AND(AC$4="RDEC", $Y117="Limited Company"), "", M117*$E117*$I117)</f>
        <v>0</v>
      </c>
      <c r="AD117" s="284" t="n">
        <f aca="false">IF(AND(AD$4="RDEC", $Y117="Limited Company"), "", N117*$E117*$I117)</f>
        <v>0</v>
      </c>
      <c r="AE117" s="284" t="n">
        <f aca="false">IF(AND(AE$4="RDEC", $Y117="Limited Company"), "", O117*$E117*$I117)</f>
        <v>0</v>
      </c>
      <c r="AF117" s="284" t="n">
        <f aca="false">IF(AND(AF$4="RDEC", $Y117="Limited Company"), "", P117*$E117*$I117)</f>
        <v>0</v>
      </c>
      <c r="AG117" s="284" t="n">
        <f aca="false">IF(AND(AG$4="RDEC", $Y117="Limited Company"), "", Q117*$E117*$I117)</f>
        <v>0</v>
      </c>
      <c r="AH117" s="284" t="n">
        <f aca="false">IF(AND(AH$4="RDEC", $Y117="Limited Company"), "", R117*$E117*$I117)</f>
        <v>0</v>
      </c>
      <c r="AI117" s="284" t="n">
        <f aca="false">IF(AND(AI$4="RDEC", $Y117="Limited Company"), "", S117*$E117*$I117)</f>
        <v>0</v>
      </c>
      <c r="AJ117" s="284" t="n">
        <f aca="false">IF(AND(AJ$4="RDEC", $Y117="Limited Company"), "", T117*$E117*$I117)</f>
        <v>0</v>
      </c>
      <c r="AK117" s="284" t="n">
        <f aca="false">IF(AND(AK$4="RDEC", $Y117="Limited Company"), "", U117*$E117*$I117)</f>
        <v>0</v>
      </c>
      <c r="AL117" s="284" t="n">
        <f aca="false">IF(AND(AL$4="RDEC", $Y117="Limited Company"), "", V117*$E117*$I117)</f>
        <v>0</v>
      </c>
      <c r="AM117" s="284" t="n">
        <f aca="false">IF(AND(AM$4="RDEC", $Y117="Limited Company"), "", W117*$E117*$I117)</f>
        <v>0</v>
      </c>
      <c r="AN117" s="286" t="n">
        <f aca="false">IFERROR(SUMIF($AB$4:$AM$4, "RDEC", AB117:AM117), "")</f>
        <v>0</v>
      </c>
      <c r="AO117" s="286" t="str">
        <f aca="false">IFERROR((IF(Z117="Yes",SUMIF($AB$4:$AM$4,"SME",AB117:AM117),"")),"")</f>
        <v/>
      </c>
      <c r="AP117" s="286" t="n">
        <f aca="false">IFERROR((IF(Z117="No",SUMIF($AB$4:$AM$4,"SME",AB117:AM117),"")),"")</f>
        <v>0</v>
      </c>
      <c r="AQ117" s="286" t="n">
        <f aca="false">IFERROR(SUMIF($AB$4:$AM$4, "De Minimis", AB117:AM117), "")</f>
        <v>0</v>
      </c>
      <c r="AR117" s="283"/>
      <c r="AS117" s="284" t="n">
        <f aca="false">IFERROR(L117*$E117*$J117, "")</f>
        <v>0</v>
      </c>
      <c r="AT117" s="284" t="n">
        <f aca="false">IFERROR(M117*$E117*$J117, "")</f>
        <v>0</v>
      </c>
      <c r="AU117" s="284" t="n">
        <f aca="false">IFERROR(N117*$E117*$J117, "")</f>
        <v>0</v>
      </c>
      <c r="AV117" s="284" t="n">
        <f aca="false">IFERROR(O117*$E117*$J117, "")</f>
        <v>0</v>
      </c>
      <c r="AW117" s="284" t="n">
        <f aca="false">IFERROR(P117*$E117*$J117, "")</f>
        <v>0</v>
      </c>
      <c r="AX117" s="284" t="n">
        <f aca="false">IFERROR(Q117*$E117*$J117, "")</f>
        <v>0</v>
      </c>
      <c r="AY117" s="284" t="n">
        <f aca="false">IFERROR(R117*$E117*$J117, "")</f>
        <v>0</v>
      </c>
      <c r="AZ117" s="284" t="n">
        <f aca="false">IFERROR(S117*$E117*$J117, "")</f>
        <v>0</v>
      </c>
      <c r="BA117" s="284" t="n">
        <f aca="false">IFERROR(T117*$E117*$J117, "")</f>
        <v>0</v>
      </c>
      <c r="BB117" s="284" t="n">
        <f aca="false">IFERROR(U117*$E117*$J117, "")</f>
        <v>0</v>
      </c>
      <c r="BC117" s="284" t="n">
        <f aca="false">IFERROR(V117*$E117*$J117, "")</f>
        <v>0</v>
      </c>
      <c r="BD117" s="284" t="n">
        <f aca="false">IFERROR(W117*$E117*$J117, "")</f>
        <v>0</v>
      </c>
      <c r="BE117" s="286" t="n">
        <f aca="false">IFERROR(SUMIF($AB$4:$AM$4, "RDEC", AS117:BD117), "")</f>
        <v>0</v>
      </c>
      <c r="BF117" s="286" t="n">
        <f aca="false">IFERROR(SUMIF($AB$4:$AM$4, "SME", AS117:BD117), "")</f>
        <v>0</v>
      </c>
      <c r="BG117" s="286" t="n">
        <f aca="false">IFERROR(SUMIF($AB$4:$AM$4, "De Minimis", AS117:BD117), "")</f>
        <v>0</v>
      </c>
      <c r="BH117" s="287"/>
      <c r="BI117" s="288" t="str">
        <f aca="false">IF((SUM(L117:W117)&gt;1),"ERROR","")</f>
        <v/>
      </c>
    </row>
    <row r="118" customFormat="false" ht="15" hidden="false" customHeight="true" outlineLevel="0" collapsed="false">
      <c r="A118" s="340"/>
      <c r="B118" s="350"/>
      <c r="C118" s="350"/>
      <c r="H118" s="350"/>
      <c r="I118" s="279" t="n">
        <v>1</v>
      </c>
      <c r="J118" s="281" t="n">
        <f aca="false">1-I118</f>
        <v>0</v>
      </c>
      <c r="K118" s="32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350"/>
      <c r="Y118" s="381"/>
      <c r="Z118" s="384" t="s">
        <v>71</v>
      </c>
      <c r="AA118" s="283"/>
      <c r="AB118" s="284" t="n">
        <f aca="false">IF(AND(AB$4="RDEC", $Y118="Limited Company"), "", L118*$E118*$I118)</f>
        <v>0</v>
      </c>
      <c r="AC118" s="284" t="n">
        <f aca="false">IF(AND(AC$4="RDEC", $Y118="Limited Company"), "", M118*$E118*$I118)</f>
        <v>0</v>
      </c>
      <c r="AD118" s="284" t="n">
        <f aca="false">IF(AND(AD$4="RDEC", $Y118="Limited Company"), "", N118*$E118*$I118)</f>
        <v>0</v>
      </c>
      <c r="AE118" s="284" t="n">
        <f aca="false">IF(AND(AE$4="RDEC", $Y118="Limited Company"), "", O118*$E118*$I118)</f>
        <v>0</v>
      </c>
      <c r="AF118" s="284" t="n">
        <f aca="false">IF(AND(AF$4="RDEC", $Y118="Limited Company"), "", P118*$E118*$I118)</f>
        <v>0</v>
      </c>
      <c r="AG118" s="284" t="n">
        <f aca="false">IF(AND(AG$4="RDEC", $Y118="Limited Company"), "", Q118*$E118*$I118)</f>
        <v>0</v>
      </c>
      <c r="AH118" s="284" t="n">
        <f aca="false">IF(AND(AH$4="RDEC", $Y118="Limited Company"), "", R118*$E118*$I118)</f>
        <v>0</v>
      </c>
      <c r="AI118" s="284" t="n">
        <f aca="false">IF(AND(AI$4="RDEC", $Y118="Limited Company"), "", S118*$E118*$I118)</f>
        <v>0</v>
      </c>
      <c r="AJ118" s="284" t="n">
        <f aca="false">IF(AND(AJ$4="RDEC", $Y118="Limited Company"), "", T118*$E118*$I118)</f>
        <v>0</v>
      </c>
      <c r="AK118" s="284" t="n">
        <f aca="false">IF(AND(AK$4="RDEC", $Y118="Limited Company"), "", U118*$E118*$I118)</f>
        <v>0</v>
      </c>
      <c r="AL118" s="284" t="n">
        <f aca="false">IF(AND(AL$4="RDEC", $Y118="Limited Company"), "", V118*$E118*$I118)</f>
        <v>0</v>
      </c>
      <c r="AM118" s="284" t="n">
        <f aca="false">IF(AND(AM$4="RDEC", $Y118="Limited Company"), "", W118*$E118*$I118)</f>
        <v>0</v>
      </c>
      <c r="AN118" s="286" t="n">
        <f aca="false">IFERROR(SUMIF($AB$4:$AM$4, "RDEC", AB118:AM118), "")</f>
        <v>0</v>
      </c>
      <c r="AO118" s="286" t="str">
        <f aca="false">IFERROR((IF(Z118="Yes",SUMIF($AB$4:$AM$4,"SME",AB118:AM118),"")),"")</f>
        <v/>
      </c>
      <c r="AP118" s="286" t="n">
        <f aca="false">IFERROR((IF(Z118="No",SUMIF($AB$4:$AM$4,"SME",AB118:AM118),"")),"")</f>
        <v>0</v>
      </c>
      <c r="AQ118" s="286" t="n">
        <f aca="false">IFERROR(SUMIF($AB$4:$AM$4, "De Minimis", AB118:AM118), "")</f>
        <v>0</v>
      </c>
      <c r="AR118" s="283"/>
      <c r="AS118" s="284" t="n">
        <f aca="false">IFERROR(L118*$E118*$J118, "")</f>
        <v>0</v>
      </c>
      <c r="AT118" s="284" t="n">
        <f aca="false">IFERROR(M118*$E118*$J118, "")</f>
        <v>0</v>
      </c>
      <c r="AU118" s="284" t="n">
        <f aca="false">IFERROR(N118*$E118*$J118, "")</f>
        <v>0</v>
      </c>
      <c r="AV118" s="284" t="n">
        <f aca="false">IFERROR(O118*$E118*$J118, "")</f>
        <v>0</v>
      </c>
      <c r="AW118" s="284" t="n">
        <f aca="false">IFERROR(P118*$E118*$J118, "")</f>
        <v>0</v>
      </c>
      <c r="AX118" s="284" t="n">
        <f aca="false">IFERROR(Q118*$E118*$J118, "")</f>
        <v>0</v>
      </c>
      <c r="AY118" s="284" t="n">
        <f aca="false">IFERROR(R118*$E118*$J118, "")</f>
        <v>0</v>
      </c>
      <c r="AZ118" s="284" t="n">
        <f aca="false">IFERROR(S118*$E118*$J118, "")</f>
        <v>0</v>
      </c>
      <c r="BA118" s="284" t="n">
        <f aca="false">IFERROR(T118*$E118*$J118, "")</f>
        <v>0</v>
      </c>
      <c r="BB118" s="284" t="n">
        <f aca="false">IFERROR(U118*$E118*$J118, "")</f>
        <v>0</v>
      </c>
      <c r="BC118" s="284" t="n">
        <f aca="false">IFERROR(V118*$E118*$J118, "")</f>
        <v>0</v>
      </c>
      <c r="BD118" s="284" t="n">
        <f aca="false">IFERROR(W118*$E118*$J118, "")</f>
        <v>0</v>
      </c>
      <c r="BE118" s="286" t="n">
        <f aca="false">IFERROR(SUMIF($AB$4:$AM$4, "RDEC", AS118:BD118), "")</f>
        <v>0</v>
      </c>
      <c r="BF118" s="286" t="n">
        <f aca="false">IFERROR(SUMIF($AB$4:$AM$4, "SME", AS118:BD118), "")</f>
        <v>0</v>
      </c>
      <c r="BG118" s="286" t="n">
        <f aca="false">IFERROR(SUMIF($AB$4:$AM$4, "De Minimis", AS118:BD118), "")</f>
        <v>0</v>
      </c>
      <c r="BH118" s="287"/>
      <c r="BI118" s="288" t="str">
        <f aca="false">IF((SUM(L118:W118)&gt;1),"ERROR","")</f>
        <v/>
      </c>
    </row>
    <row r="119" customFormat="false" ht="15" hidden="false" customHeight="true" outlineLevel="0" collapsed="false">
      <c r="A119" s="340"/>
      <c r="B119" s="350"/>
      <c r="C119" s="350"/>
      <c r="H119" s="350"/>
      <c r="I119" s="279" t="n">
        <v>1</v>
      </c>
      <c r="J119" s="281" t="n">
        <f aca="false">1-I119</f>
        <v>0</v>
      </c>
      <c r="K119" s="32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350"/>
      <c r="Y119" s="381"/>
      <c r="Z119" s="384" t="s">
        <v>71</v>
      </c>
      <c r="AA119" s="283"/>
      <c r="AB119" s="284" t="n">
        <f aca="false">IF(AND(AB$4="RDEC", $Y119="Limited Company"), "", L119*$E119*$I119)</f>
        <v>0</v>
      </c>
      <c r="AC119" s="284" t="n">
        <f aca="false">IF(AND(AC$4="RDEC", $Y119="Limited Company"), "", M119*$E119*$I119)</f>
        <v>0</v>
      </c>
      <c r="AD119" s="284" t="n">
        <f aca="false">IF(AND(AD$4="RDEC", $Y119="Limited Company"), "", N119*$E119*$I119)</f>
        <v>0</v>
      </c>
      <c r="AE119" s="284" t="n">
        <f aca="false">IF(AND(AE$4="RDEC", $Y119="Limited Company"), "", O119*$E119*$I119)</f>
        <v>0</v>
      </c>
      <c r="AF119" s="284" t="n">
        <f aca="false">IF(AND(AF$4="RDEC", $Y119="Limited Company"), "", P119*$E119*$I119)</f>
        <v>0</v>
      </c>
      <c r="AG119" s="284" t="n">
        <f aca="false">IF(AND(AG$4="RDEC", $Y119="Limited Company"), "", Q119*$E119*$I119)</f>
        <v>0</v>
      </c>
      <c r="AH119" s="284" t="n">
        <f aca="false">IF(AND(AH$4="RDEC", $Y119="Limited Company"), "", R119*$E119*$I119)</f>
        <v>0</v>
      </c>
      <c r="AI119" s="284" t="n">
        <f aca="false">IF(AND(AI$4="RDEC", $Y119="Limited Company"), "", S119*$E119*$I119)</f>
        <v>0</v>
      </c>
      <c r="AJ119" s="284" t="n">
        <f aca="false">IF(AND(AJ$4="RDEC", $Y119="Limited Company"), "", T119*$E119*$I119)</f>
        <v>0</v>
      </c>
      <c r="AK119" s="284" t="n">
        <f aca="false">IF(AND(AK$4="RDEC", $Y119="Limited Company"), "", U119*$E119*$I119)</f>
        <v>0</v>
      </c>
      <c r="AL119" s="284" t="n">
        <f aca="false">IF(AND(AL$4="RDEC", $Y119="Limited Company"), "", V119*$E119*$I119)</f>
        <v>0</v>
      </c>
      <c r="AM119" s="284" t="n">
        <f aca="false">IF(AND(AM$4="RDEC", $Y119="Limited Company"), "", W119*$E119*$I119)</f>
        <v>0</v>
      </c>
      <c r="AN119" s="286" t="n">
        <f aca="false">IFERROR(SUMIF($AB$4:$AM$4, "RDEC", AB119:AM119), "")</f>
        <v>0</v>
      </c>
      <c r="AO119" s="286" t="str">
        <f aca="false">IFERROR((IF(Z119="Yes",SUMIF($AB$4:$AM$4,"SME",AB119:AM119),"")),"")</f>
        <v/>
      </c>
      <c r="AP119" s="286" t="n">
        <f aca="false">IFERROR((IF(Z119="No",SUMIF($AB$4:$AM$4,"SME",AB119:AM119),"")),"")</f>
        <v>0</v>
      </c>
      <c r="AQ119" s="286" t="n">
        <f aca="false">IFERROR(SUMIF($AB$4:$AM$4, "De Minimis", AB119:AM119), "")</f>
        <v>0</v>
      </c>
      <c r="AR119" s="283"/>
      <c r="AS119" s="284" t="n">
        <f aca="false">IFERROR(L119*$E119*$J119, "")</f>
        <v>0</v>
      </c>
      <c r="AT119" s="284" t="n">
        <f aca="false">IFERROR(M119*$E119*$J119, "")</f>
        <v>0</v>
      </c>
      <c r="AU119" s="284" t="n">
        <f aca="false">IFERROR(N119*$E119*$J119, "")</f>
        <v>0</v>
      </c>
      <c r="AV119" s="284" t="n">
        <f aca="false">IFERROR(O119*$E119*$J119, "")</f>
        <v>0</v>
      </c>
      <c r="AW119" s="284" t="n">
        <f aca="false">IFERROR(P119*$E119*$J119, "")</f>
        <v>0</v>
      </c>
      <c r="AX119" s="284" t="n">
        <f aca="false">IFERROR(Q119*$E119*$J119, "")</f>
        <v>0</v>
      </c>
      <c r="AY119" s="284" t="n">
        <f aca="false">IFERROR(R119*$E119*$J119, "")</f>
        <v>0</v>
      </c>
      <c r="AZ119" s="284" t="n">
        <f aca="false">IFERROR(S119*$E119*$J119, "")</f>
        <v>0</v>
      </c>
      <c r="BA119" s="284" t="n">
        <f aca="false">IFERROR(T119*$E119*$J119, "")</f>
        <v>0</v>
      </c>
      <c r="BB119" s="284" t="n">
        <f aca="false">IFERROR(U119*$E119*$J119, "")</f>
        <v>0</v>
      </c>
      <c r="BC119" s="284" t="n">
        <f aca="false">IFERROR(V119*$E119*$J119, "")</f>
        <v>0</v>
      </c>
      <c r="BD119" s="284" t="n">
        <f aca="false">IFERROR(W119*$E119*$J119, "")</f>
        <v>0</v>
      </c>
      <c r="BE119" s="286" t="n">
        <f aca="false">IFERROR(SUMIF($AB$4:$AM$4, "RDEC", AS119:BD119), "")</f>
        <v>0</v>
      </c>
      <c r="BF119" s="286" t="n">
        <f aca="false">IFERROR(SUMIF($AB$4:$AM$4, "SME", AS119:BD119), "")</f>
        <v>0</v>
      </c>
      <c r="BG119" s="286" t="n">
        <f aca="false">IFERROR(SUMIF($AB$4:$AM$4, "De Minimis", AS119:BD119), "")</f>
        <v>0</v>
      </c>
      <c r="BH119" s="287"/>
      <c r="BI119" s="288" t="str">
        <f aca="false">IF((SUM(L119:W119)&gt;1),"ERROR","")</f>
        <v/>
      </c>
    </row>
    <row r="120" customFormat="false" ht="15" hidden="false" customHeight="true" outlineLevel="0" collapsed="false">
      <c r="A120" s="340"/>
      <c r="B120" s="350"/>
      <c r="C120" s="350"/>
      <c r="H120" s="350"/>
      <c r="I120" s="279" t="n">
        <v>1</v>
      </c>
      <c r="J120" s="281" t="n">
        <f aca="false">1-I120</f>
        <v>0</v>
      </c>
      <c r="K120" s="32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350"/>
      <c r="Y120" s="381"/>
      <c r="Z120" s="384" t="s">
        <v>71</v>
      </c>
      <c r="AA120" s="283"/>
      <c r="AB120" s="284" t="n">
        <f aca="false">IF(AND(AB$4="RDEC", $Y120="Limited Company"), "", L120*$E120*$I120)</f>
        <v>0</v>
      </c>
      <c r="AC120" s="284" t="n">
        <f aca="false">IF(AND(AC$4="RDEC", $Y120="Limited Company"), "", M120*$E120*$I120)</f>
        <v>0</v>
      </c>
      <c r="AD120" s="284" t="n">
        <f aca="false">IF(AND(AD$4="RDEC", $Y120="Limited Company"), "", N120*$E120*$I120)</f>
        <v>0</v>
      </c>
      <c r="AE120" s="284" t="n">
        <f aca="false">IF(AND(AE$4="RDEC", $Y120="Limited Company"), "", O120*$E120*$I120)</f>
        <v>0</v>
      </c>
      <c r="AF120" s="284" t="n">
        <f aca="false">IF(AND(AF$4="RDEC", $Y120="Limited Company"), "", P120*$E120*$I120)</f>
        <v>0</v>
      </c>
      <c r="AG120" s="284" t="n">
        <f aca="false">IF(AND(AG$4="RDEC", $Y120="Limited Company"), "", Q120*$E120*$I120)</f>
        <v>0</v>
      </c>
      <c r="AH120" s="284" t="n">
        <f aca="false">IF(AND(AH$4="RDEC", $Y120="Limited Company"), "", R120*$E120*$I120)</f>
        <v>0</v>
      </c>
      <c r="AI120" s="284" t="n">
        <f aca="false">IF(AND(AI$4="RDEC", $Y120="Limited Company"), "", S120*$E120*$I120)</f>
        <v>0</v>
      </c>
      <c r="AJ120" s="284" t="n">
        <f aca="false">IF(AND(AJ$4="RDEC", $Y120="Limited Company"), "", T120*$E120*$I120)</f>
        <v>0</v>
      </c>
      <c r="AK120" s="284" t="n">
        <f aca="false">IF(AND(AK$4="RDEC", $Y120="Limited Company"), "", U120*$E120*$I120)</f>
        <v>0</v>
      </c>
      <c r="AL120" s="284" t="n">
        <f aca="false">IF(AND(AL$4="RDEC", $Y120="Limited Company"), "", V120*$E120*$I120)</f>
        <v>0</v>
      </c>
      <c r="AM120" s="284" t="n">
        <f aca="false">IF(AND(AM$4="RDEC", $Y120="Limited Company"), "", W120*$E120*$I120)</f>
        <v>0</v>
      </c>
      <c r="AN120" s="286" t="n">
        <f aca="false">IFERROR(SUMIF($AB$4:$AM$4, "RDEC", AB120:AM120), "")</f>
        <v>0</v>
      </c>
      <c r="AO120" s="286" t="str">
        <f aca="false">IFERROR((IF(Z120="Yes",SUMIF($AB$4:$AM$4,"SME",AB120:AM120),"")),"")</f>
        <v/>
      </c>
      <c r="AP120" s="286" t="n">
        <f aca="false">IFERROR((IF(Z120="No",SUMIF($AB$4:$AM$4,"SME",AB120:AM120),"")),"")</f>
        <v>0</v>
      </c>
      <c r="AQ120" s="286" t="n">
        <f aca="false">IFERROR(SUMIF($AB$4:$AM$4, "De Minimis", AB120:AM120), "")</f>
        <v>0</v>
      </c>
      <c r="AR120" s="283"/>
      <c r="AS120" s="284" t="n">
        <f aca="false">IFERROR(L120*$E120*$J120, "")</f>
        <v>0</v>
      </c>
      <c r="AT120" s="284" t="n">
        <f aca="false">IFERROR(M120*$E120*$J120, "")</f>
        <v>0</v>
      </c>
      <c r="AU120" s="284" t="n">
        <f aca="false">IFERROR(N120*$E120*$J120, "")</f>
        <v>0</v>
      </c>
      <c r="AV120" s="284" t="n">
        <f aca="false">IFERROR(O120*$E120*$J120, "")</f>
        <v>0</v>
      </c>
      <c r="AW120" s="284" t="n">
        <f aca="false">IFERROR(P120*$E120*$J120, "")</f>
        <v>0</v>
      </c>
      <c r="AX120" s="284" t="n">
        <f aca="false">IFERROR(Q120*$E120*$J120, "")</f>
        <v>0</v>
      </c>
      <c r="AY120" s="284" t="n">
        <f aca="false">IFERROR(R120*$E120*$J120, "")</f>
        <v>0</v>
      </c>
      <c r="AZ120" s="284" t="n">
        <f aca="false">IFERROR(S120*$E120*$J120, "")</f>
        <v>0</v>
      </c>
      <c r="BA120" s="284" t="n">
        <f aca="false">IFERROR(T120*$E120*$J120, "")</f>
        <v>0</v>
      </c>
      <c r="BB120" s="284" t="n">
        <f aca="false">IFERROR(U120*$E120*$J120, "")</f>
        <v>0</v>
      </c>
      <c r="BC120" s="284" t="n">
        <f aca="false">IFERROR(V120*$E120*$J120, "")</f>
        <v>0</v>
      </c>
      <c r="BD120" s="284" t="n">
        <f aca="false">IFERROR(W120*$E120*$J120, "")</f>
        <v>0</v>
      </c>
      <c r="BE120" s="286" t="n">
        <f aca="false">IFERROR(SUMIF($AB$4:$AM$4, "RDEC", AS120:BD120), "")</f>
        <v>0</v>
      </c>
      <c r="BF120" s="286" t="n">
        <f aca="false">IFERROR(SUMIF($AB$4:$AM$4, "SME", AS120:BD120), "")</f>
        <v>0</v>
      </c>
      <c r="BG120" s="286" t="n">
        <f aca="false">IFERROR(SUMIF($AB$4:$AM$4, "De Minimis", AS120:BD120), "")</f>
        <v>0</v>
      </c>
      <c r="BH120" s="287"/>
      <c r="BI120" s="288" t="str">
        <f aca="false">IF((SUM(L120:W120)&gt;1),"ERROR","")</f>
        <v/>
      </c>
    </row>
    <row r="121" customFormat="false" ht="15" hidden="false" customHeight="true" outlineLevel="0" collapsed="false">
      <c r="A121" s="340"/>
      <c r="B121" s="350"/>
      <c r="C121" s="350"/>
      <c r="H121" s="350"/>
      <c r="I121" s="279" t="n">
        <v>1</v>
      </c>
      <c r="J121" s="281" t="n">
        <f aca="false">1-I121</f>
        <v>0</v>
      </c>
      <c r="K121" s="32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350"/>
      <c r="Y121" s="381"/>
      <c r="Z121" s="384" t="s">
        <v>71</v>
      </c>
      <c r="AA121" s="283"/>
      <c r="AB121" s="284" t="n">
        <f aca="false">IF(AND(AB$4="RDEC", $Y121="Limited Company"), "", L121*$E121*$I121)</f>
        <v>0</v>
      </c>
      <c r="AC121" s="284" t="n">
        <f aca="false">IF(AND(AC$4="RDEC", $Y121="Limited Company"), "", M121*$E121*$I121)</f>
        <v>0</v>
      </c>
      <c r="AD121" s="284" t="n">
        <f aca="false">IF(AND(AD$4="RDEC", $Y121="Limited Company"), "", N121*$E121*$I121)</f>
        <v>0</v>
      </c>
      <c r="AE121" s="284" t="n">
        <f aca="false">IF(AND(AE$4="RDEC", $Y121="Limited Company"), "", O121*$E121*$I121)</f>
        <v>0</v>
      </c>
      <c r="AF121" s="284" t="n">
        <f aca="false">IF(AND(AF$4="RDEC", $Y121="Limited Company"), "", P121*$E121*$I121)</f>
        <v>0</v>
      </c>
      <c r="AG121" s="284" t="n">
        <f aca="false">IF(AND(AG$4="RDEC", $Y121="Limited Company"), "", Q121*$E121*$I121)</f>
        <v>0</v>
      </c>
      <c r="AH121" s="284" t="n">
        <f aca="false">IF(AND(AH$4="RDEC", $Y121="Limited Company"), "", R121*$E121*$I121)</f>
        <v>0</v>
      </c>
      <c r="AI121" s="284" t="n">
        <f aca="false">IF(AND(AI$4="RDEC", $Y121="Limited Company"), "", S121*$E121*$I121)</f>
        <v>0</v>
      </c>
      <c r="AJ121" s="284" t="n">
        <f aca="false">IF(AND(AJ$4="RDEC", $Y121="Limited Company"), "", T121*$E121*$I121)</f>
        <v>0</v>
      </c>
      <c r="AK121" s="284" t="n">
        <f aca="false">IF(AND(AK$4="RDEC", $Y121="Limited Company"), "", U121*$E121*$I121)</f>
        <v>0</v>
      </c>
      <c r="AL121" s="284" t="n">
        <f aca="false">IF(AND(AL$4="RDEC", $Y121="Limited Company"), "", V121*$E121*$I121)</f>
        <v>0</v>
      </c>
      <c r="AM121" s="284" t="n">
        <f aca="false">IF(AND(AM$4="RDEC", $Y121="Limited Company"), "", W121*$E121*$I121)</f>
        <v>0</v>
      </c>
      <c r="AN121" s="286" t="n">
        <f aca="false">IFERROR(SUMIF($AB$4:$AM$4, "RDEC", AB121:AM121), "")</f>
        <v>0</v>
      </c>
      <c r="AO121" s="286" t="str">
        <f aca="false">IFERROR((IF(Z121="Yes",SUMIF($AB$4:$AM$4,"SME",AB121:AM121),"")),"")</f>
        <v/>
      </c>
      <c r="AP121" s="286" t="n">
        <f aca="false">IFERROR((IF(Z121="No",SUMIF($AB$4:$AM$4,"SME",AB121:AM121),"")),"")</f>
        <v>0</v>
      </c>
      <c r="AQ121" s="286" t="n">
        <f aca="false">IFERROR(SUMIF($AB$4:$AM$4, "De Minimis", AB121:AM121), "")</f>
        <v>0</v>
      </c>
      <c r="AR121" s="283"/>
      <c r="AS121" s="284" t="n">
        <f aca="false">IFERROR(L121*$E121*$J121, "")</f>
        <v>0</v>
      </c>
      <c r="AT121" s="284" t="n">
        <f aca="false">IFERROR(M121*$E121*$J121, "")</f>
        <v>0</v>
      </c>
      <c r="AU121" s="284" t="n">
        <f aca="false">IFERROR(N121*$E121*$J121, "")</f>
        <v>0</v>
      </c>
      <c r="AV121" s="284" t="n">
        <f aca="false">IFERROR(O121*$E121*$J121, "")</f>
        <v>0</v>
      </c>
      <c r="AW121" s="284" t="n">
        <f aca="false">IFERROR(P121*$E121*$J121, "")</f>
        <v>0</v>
      </c>
      <c r="AX121" s="284" t="n">
        <f aca="false">IFERROR(Q121*$E121*$J121, "")</f>
        <v>0</v>
      </c>
      <c r="AY121" s="284" t="n">
        <f aca="false">IFERROR(R121*$E121*$J121, "")</f>
        <v>0</v>
      </c>
      <c r="AZ121" s="284" t="n">
        <f aca="false">IFERROR(S121*$E121*$J121, "")</f>
        <v>0</v>
      </c>
      <c r="BA121" s="284" t="n">
        <f aca="false">IFERROR(T121*$E121*$J121, "")</f>
        <v>0</v>
      </c>
      <c r="BB121" s="284" t="n">
        <f aca="false">IFERROR(U121*$E121*$J121, "")</f>
        <v>0</v>
      </c>
      <c r="BC121" s="284" t="n">
        <f aca="false">IFERROR(V121*$E121*$J121, "")</f>
        <v>0</v>
      </c>
      <c r="BD121" s="284" t="n">
        <f aca="false">IFERROR(W121*$E121*$J121, "")</f>
        <v>0</v>
      </c>
      <c r="BE121" s="286" t="n">
        <f aca="false">IFERROR(SUMIF($AB$4:$AM$4, "RDEC", AS121:BD121), "")</f>
        <v>0</v>
      </c>
      <c r="BF121" s="286" t="n">
        <f aca="false">IFERROR(SUMIF($AB$4:$AM$4, "SME", AS121:BD121), "")</f>
        <v>0</v>
      </c>
      <c r="BG121" s="286" t="n">
        <f aca="false">IFERROR(SUMIF($AB$4:$AM$4, "De Minimis", AS121:BD121), "")</f>
        <v>0</v>
      </c>
      <c r="BH121" s="287"/>
      <c r="BI121" s="288" t="str">
        <f aca="false">IF((SUM(L121:W121)&gt;1),"ERROR","")</f>
        <v/>
      </c>
    </row>
    <row r="122" customFormat="false" ht="15" hidden="false" customHeight="true" outlineLevel="0" collapsed="false">
      <c r="A122" s="340"/>
      <c r="B122" s="350"/>
      <c r="C122" s="350"/>
      <c r="H122" s="350"/>
      <c r="I122" s="279" t="n">
        <v>1</v>
      </c>
      <c r="J122" s="281" t="n">
        <f aca="false">1-I122</f>
        <v>0</v>
      </c>
      <c r="K122" s="32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350"/>
      <c r="Y122" s="381"/>
      <c r="Z122" s="384" t="s">
        <v>71</v>
      </c>
      <c r="AA122" s="283"/>
      <c r="AB122" s="284" t="n">
        <f aca="false">IF(AND(AB$4="RDEC", $Y122="Limited Company"), "", L122*$E122*$I122)</f>
        <v>0</v>
      </c>
      <c r="AC122" s="284" t="n">
        <f aca="false">IF(AND(AC$4="RDEC", $Y122="Limited Company"), "", M122*$E122*$I122)</f>
        <v>0</v>
      </c>
      <c r="AD122" s="284" t="n">
        <f aca="false">IF(AND(AD$4="RDEC", $Y122="Limited Company"), "", N122*$E122*$I122)</f>
        <v>0</v>
      </c>
      <c r="AE122" s="284" t="n">
        <f aca="false">IF(AND(AE$4="RDEC", $Y122="Limited Company"), "", O122*$E122*$I122)</f>
        <v>0</v>
      </c>
      <c r="AF122" s="284" t="n">
        <f aca="false">IF(AND(AF$4="RDEC", $Y122="Limited Company"), "", P122*$E122*$I122)</f>
        <v>0</v>
      </c>
      <c r="AG122" s="284" t="n">
        <f aca="false">IF(AND(AG$4="RDEC", $Y122="Limited Company"), "", Q122*$E122*$I122)</f>
        <v>0</v>
      </c>
      <c r="AH122" s="284" t="n">
        <f aca="false">IF(AND(AH$4="RDEC", $Y122="Limited Company"), "", R122*$E122*$I122)</f>
        <v>0</v>
      </c>
      <c r="AI122" s="284" t="n">
        <f aca="false">IF(AND(AI$4="RDEC", $Y122="Limited Company"), "", S122*$E122*$I122)</f>
        <v>0</v>
      </c>
      <c r="AJ122" s="284" t="n">
        <f aca="false">IF(AND(AJ$4="RDEC", $Y122="Limited Company"), "", T122*$E122*$I122)</f>
        <v>0</v>
      </c>
      <c r="AK122" s="284" t="n">
        <f aca="false">IF(AND(AK$4="RDEC", $Y122="Limited Company"), "", U122*$E122*$I122)</f>
        <v>0</v>
      </c>
      <c r="AL122" s="284" t="n">
        <f aca="false">IF(AND(AL$4="RDEC", $Y122="Limited Company"), "", V122*$E122*$I122)</f>
        <v>0</v>
      </c>
      <c r="AM122" s="284" t="n">
        <f aca="false">IF(AND(AM$4="RDEC", $Y122="Limited Company"), "", W122*$E122*$I122)</f>
        <v>0</v>
      </c>
      <c r="AN122" s="286" t="n">
        <f aca="false">IFERROR(SUMIF($AB$4:$AM$4, "RDEC", AB122:AM122), "")</f>
        <v>0</v>
      </c>
      <c r="AO122" s="286" t="str">
        <f aca="false">IFERROR((IF(Z122="Yes",SUMIF($AB$4:$AM$4,"SME",AB122:AM122),"")),"")</f>
        <v/>
      </c>
      <c r="AP122" s="286" t="n">
        <f aca="false">IFERROR((IF(Z122="No",SUMIF($AB$4:$AM$4,"SME",AB122:AM122),"")),"")</f>
        <v>0</v>
      </c>
      <c r="AQ122" s="286" t="n">
        <f aca="false">IFERROR(SUMIF($AB$4:$AM$4, "De Minimis", AB122:AM122), "")</f>
        <v>0</v>
      </c>
      <c r="AR122" s="283"/>
      <c r="AS122" s="284" t="n">
        <f aca="false">IFERROR(L122*$E122*$J122, "")</f>
        <v>0</v>
      </c>
      <c r="AT122" s="284" t="n">
        <f aca="false">IFERROR(M122*$E122*$J122, "")</f>
        <v>0</v>
      </c>
      <c r="AU122" s="284" t="n">
        <f aca="false">IFERROR(N122*$E122*$J122, "")</f>
        <v>0</v>
      </c>
      <c r="AV122" s="284" t="n">
        <f aca="false">IFERROR(O122*$E122*$J122, "")</f>
        <v>0</v>
      </c>
      <c r="AW122" s="284" t="n">
        <f aca="false">IFERROR(P122*$E122*$J122, "")</f>
        <v>0</v>
      </c>
      <c r="AX122" s="284" t="n">
        <f aca="false">IFERROR(Q122*$E122*$J122, "")</f>
        <v>0</v>
      </c>
      <c r="AY122" s="284" t="n">
        <f aca="false">IFERROR(R122*$E122*$J122, "")</f>
        <v>0</v>
      </c>
      <c r="AZ122" s="284" t="n">
        <f aca="false">IFERROR(S122*$E122*$J122, "")</f>
        <v>0</v>
      </c>
      <c r="BA122" s="284" t="n">
        <f aca="false">IFERROR(T122*$E122*$J122, "")</f>
        <v>0</v>
      </c>
      <c r="BB122" s="284" t="n">
        <f aca="false">IFERROR(U122*$E122*$J122, "")</f>
        <v>0</v>
      </c>
      <c r="BC122" s="284" t="n">
        <f aca="false">IFERROR(V122*$E122*$J122, "")</f>
        <v>0</v>
      </c>
      <c r="BD122" s="284" t="n">
        <f aca="false">IFERROR(W122*$E122*$J122, "")</f>
        <v>0</v>
      </c>
      <c r="BE122" s="286" t="n">
        <f aca="false">IFERROR(SUMIF($AB$4:$AM$4, "RDEC", AS122:BD122), "")</f>
        <v>0</v>
      </c>
      <c r="BF122" s="286" t="n">
        <f aca="false">IFERROR(SUMIF($AB$4:$AM$4, "SME", AS122:BD122), "")</f>
        <v>0</v>
      </c>
      <c r="BG122" s="286" t="n">
        <f aca="false">IFERROR(SUMIF($AB$4:$AM$4, "De Minimis", AS122:BD122), "")</f>
        <v>0</v>
      </c>
      <c r="BH122" s="287"/>
      <c r="BI122" s="288" t="str">
        <f aca="false">IF((SUM(L122:W122)&gt;1),"ERROR","")</f>
        <v/>
      </c>
    </row>
    <row r="123" customFormat="false" ht="15" hidden="false" customHeight="true" outlineLevel="0" collapsed="false">
      <c r="A123" s="340"/>
      <c r="B123" s="350"/>
      <c r="C123" s="350"/>
      <c r="H123" s="350"/>
      <c r="I123" s="279" t="n">
        <v>1</v>
      </c>
      <c r="J123" s="281" t="n">
        <f aca="false">1-I123</f>
        <v>0</v>
      </c>
      <c r="K123" s="32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350"/>
      <c r="Y123" s="381"/>
      <c r="Z123" s="384" t="s">
        <v>71</v>
      </c>
      <c r="AA123" s="283"/>
      <c r="AB123" s="284" t="n">
        <f aca="false">IF(AND(AB$4="RDEC", $Y123="Limited Company"), "", L123*$E123*$I123)</f>
        <v>0</v>
      </c>
      <c r="AC123" s="284" t="n">
        <f aca="false">IF(AND(AC$4="RDEC", $Y123="Limited Company"), "", M123*$E123*$I123)</f>
        <v>0</v>
      </c>
      <c r="AD123" s="284" t="n">
        <f aca="false">IF(AND(AD$4="RDEC", $Y123="Limited Company"), "", N123*$E123*$I123)</f>
        <v>0</v>
      </c>
      <c r="AE123" s="284" t="n">
        <f aca="false">IF(AND(AE$4="RDEC", $Y123="Limited Company"), "", O123*$E123*$I123)</f>
        <v>0</v>
      </c>
      <c r="AF123" s="284" t="n">
        <f aca="false">IF(AND(AF$4="RDEC", $Y123="Limited Company"), "", P123*$E123*$I123)</f>
        <v>0</v>
      </c>
      <c r="AG123" s="284" t="n">
        <f aca="false">IF(AND(AG$4="RDEC", $Y123="Limited Company"), "", Q123*$E123*$I123)</f>
        <v>0</v>
      </c>
      <c r="AH123" s="284" t="n">
        <f aca="false">IF(AND(AH$4="RDEC", $Y123="Limited Company"), "", R123*$E123*$I123)</f>
        <v>0</v>
      </c>
      <c r="AI123" s="284" t="n">
        <f aca="false">IF(AND(AI$4="RDEC", $Y123="Limited Company"), "", S123*$E123*$I123)</f>
        <v>0</v>
      </c>
      <c r="AJ123" s="284" t="n">
        <f aca="false">IF(AND(AJ$4="RDEC", $Y123="Limited Company"), "", T123*$E123*$I123)</f>
        <v>0</v>
      </c>
      <c r="AK123" s="284" t="n">
        <f aca="false">IF(AND(AK$4="RDEC", $Y123="Limited Company"), "", U123*$E123*$I123)</f>
        <v>0</v>
      </c>
      <c r="AL123" s="284" t="n">
        <f aca="false">IF(AND(AL$4="RDEC", $Y123="Limited Company"), "", V123*$E123*$I123)</f>
        <v>0</v>
      </c>
      <c r="AM123" s="284" t="n">
        <f aca="false">IF(AND(AM$4="RDEC", $Y123="Limited Company"), "", W123*$E123*$I123)</f>
        <v>0</v>
      </c>
      <c r="AN123" s="286" t="n">
        <f aca="false">IFERROR(SUMIF($AB$4:$AM$4, "RDEC", AB123:AM123), "")</f>
        <v>0</v>
      </c>
      <c r="AO123" s="286" t="str">
        <f aca="false">IFERROR((IF(Z123="Yes",SUMIF($AB$4:$AM$4,"SME",AB123:AM123),"")),"")</f>
        <v/>
      </c>
      <c r="AP123" s="286" t="n">
        <f aca="false">IFERROR((IF(Z123="No",SUMIF($AB$4:$AM$4,"SME",AB123:AM123),"")),"")</f>
        <v>0</v>
      </c>
      <c r="AQ123" s="286" t="n">
        <f aca="false">IFERROR(SUMIF($AB$4:$AM$4, "De Minimis", AB123:AM123), "")</f>
        <v>0</v>
      </c>
      <c r="AR123" s="283"/>
      <c r="AS123" s="284" t="n">
        <f aca="false">IFERROR(L123*$E123*$J123, "")</f>
        <v>0</v>
      </c>
      <c r="AT123" s="284" t="n">
        <f aca="false">IFERROR(M123*$E123*$J123, "")</f>
        <v>0</v>
      </c>
      <c r="AU123" s="284" t="n">
        <f aca="false">IFERROR(N123*$E123*$J123, "")</f>
        <v>0</v>
      </c>
      <c r="AV123" s="284" t="n">
        <f aca="false">IFERROR(O123*$E123*$J123, "")</f>
        <v>0</v>
      </c>
      <c r="AW123" s="284" t="n">
        <f aca="false">IFERROR(P123*$E123*$J123, "")</f>
        <v>0</v>
      </c>
      <c r="AX123" s="284" t="n">
        <f aca="false">IFERROR(Q123*$E123*$J123, "")</f>
        <v>0</v>
      </c>
      <c r="AY123" s="284" t="n">
        <f aca="false">IFERROR(R123*$E123*$J123, "")</f>
        <v>0</v>
      </c>
      <c r="AZ123" s="284" t="n">
        <f aca="false">IFERROR(S123*$E123*$J123, "")</f>
        <v>0</v>
      </c>
      <c r="BA123" s="284" t="n">
        <f aca="false">IFERROR(T123*$E123*$J123, "")</f>
        <v>0</v>
      </c>
      <c r="BB123" s="284" t="n">
        <f aca="false">IFERROR(U123*$E123*$J123, "")</f>
        <v>0</v>
      </c>
      <c r="BC123" s="284" t="n">
        <f aca="false">IFERROR(V123*$E123*$J123, "")</f>
        <v>0</v>
      </c>
      <c r="BD123" s="284" t="n">
        <f aca="false">IFERROR(W123*$E123*$J123, "")</f>
        <v>0</v>
      </c>
      <c r="BE123" s="286" t="n">
        <f aca="false">IFERROR(SUMIF($AB$4:$AM$4, "RDEC", AS123:BD123), "")</f>
        <v>0</v>
      </c>
      <c r="BF123" s="286" t="n">
        <f aca="false">IFERROR(SUMIF($AB$4:$AM$4, "SME", AS123:BD123), "")</f>
        <v>0</v>
      </c>
      <c r="BG123" s="286" t="n">
        <f aca="false">IFERROR(SUMIF($AB$4:$AM$4, "De Minimis", AS123:BD123), "")</f>
        <v>0</v>
      </c>
      <c r="BH123" s="287"/>
      <c r="BI123" s="288" t="str">
        <f aca="false">IF((SUM(L123:W123)&gt;1),"ERROR","")</f>
        <v/>
      </c>
    </row>
    <row r="124" customFormat="false" ht="15" hidden="false" customHeight="true" outlineLevel="0" collapsed="false">
      <c r="A124" s="340"/>
      <c r="B124" s="350"/>
      <c r="C124" s="350"/>
      <c r="H124" s="350"/>
      <c r="I124" s="279" t="n">
        <v>1</v>
      </c>
      <c r="J124" s="281" t="n">
        <f aca="false">1-I124</f>
        <v>0</v>
      </c>
      <c r="K124" s="32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350"/>
      <c r="Y124" s="381"/>
      <c r="Z124" s="384" t="s">
        <v>71</v>
      </c>
      <c r="AA124" s="283"/>
      <c r="AB124" s="284" t="n">
        <f aca="false">IF(AND(AB$4="RDEC", $Y124="Limited Company"), "", L124*$E124*$I124)</f>
        <v>0</v>
      </c>
      <c r="AC124" s="284" t="n">
        <f aca="false">IF(AND(AC$4="RDEC", $Y124="Limited Company"), "", M124*$E124*$I124)</f>
        <v>0</v>
      </c>
      <c r="AD124" s="284" t="n">
        <f aca="false">IF(AND(AD$4="RDEC", $Y124="Limited Company"), "", N124*$E124*$I124)</f>
        <v>0</v>
      </c>
      <c r="AE124" s="284" t="n">
        <f aca="false">IF(AND(AE$4="RDEC", $Y124="Limited Company"), "", O124*$E124*$I124)</f>
        <v>0</v>
      </c>
      <c r="AF124" s="284" t="n">
        <f aca="false">IF(AND(AF$4="RDEC", $Y124="Limited Company"), "", P124*$E124*$I124)</f>
        <v>0</v>
      </c>
      <c r="AG124" s="284" t="n">
        <f aca="false">IF(AND(AG$4="RDEC", $Y124="Limited Company"), "", Q124*$E124*$I124)</f>
        <v>0</v>
      </c>
      <c r="AH124" s="284" t="n">
        <f aca="false">IF(AND(AH$4="RDEC", $Y124="Limited Company"), "", R124*$E124*$I124)</f>
        <v>0</v>
      </c>
      <c r="AI124" s="284" t="n">
        <f aca="false">IF(AND(AI$4="RDEC", $Y124="Limited Company"), "", S124*$E124*$I124)</f>
        <v>0</v>
      </c>
      <c r="AJ124" s="284" t="n">
        <f aca="false">IF(AND(AJ$4="RDEC", $Y124="Limited Company"), "", T124*$E124*$I124)</f>
        <v>0</v>
      </c>
      <c r="AK124" s="284" t="n">
        <f aca="false">IF(AND(AK$4="RDEC", $Y124="Limited Company"), "", U124*$E124*$I124)</f>
        <v>0</v>
      </c>
      <c r="AL124" s="284" t="n">
        <f aca="false">IF(AND(AL$4="RDEC", $Y124="Limited Company"), "", V124*$E124*$I124)</f>
        <v>0</v>
      </c>
      <c r="AM124" s="284" t="n">
        <f aca="false">IF(AND(AM$4="RDEC", $Y124="Limited Company"), "", W124*$E124*$I124)</f>
        <v>0</v>
      </c>
      <c r="AN124" s="286" t="n">
        <f aca="false">IFERROR(SUMIF($AB$4:$AM$4, "RDEC", AB124:AM124), "")</f>
        <v>0</v>
      </c>
      <c r="AO124" s="286" t="str">
        <f aca="false">IFERROR((IF(Z124="Yes",SUMIF($AB$4:$AM$4,"SME",AB124:AM124),"")),"")</f>
        <v/>
      </c>
      <c r="AP124" s="286" t="n">
        <f aca="false">IFERROR((IF(Z124="No",SUMIF($AB$4:$AM$4,"SME",AB124:AM124),"")),"")</f>
        <v>0</v>
      </c>
      <c r="AQ124" s="286" t="n">
        <f aca="false">IFERROR(SUMIF($AB$4:$AM$4, "De Minimis", AB124:AM124), "")</f>
        <v>0</v>
      </c>
      <c r="AR124" s="283"/>
      <c r="AS124" s="284" t="n">
        <f aca="false">IFERROR(L124*$E124*$J124, "")</f>
        <v>0</v>
      </c>
      <c r="AT124" s="284" t="n">
        <f aca="false">IFERROR(M124*$E124*$J124, "")</f>
        <v>0</v>
      </c>
      <c r="AU124" s="284" t="n">
        <f aca="false">IFERROR(N124*$E124*$J124, "")</f>
        <v>0</v>
      </c>
      <c r="AV124" s="284" t="n">
        <f aca="false">IFERROR(O124*$E124*$J124, "")</f>
        <v>0</v>
      </c>
      <c r="AW124" s="284" t="n">
        <f aca="false">IFERROR(P124*$E124*$J124, "")</f>
        <v>0</v>
      </c>
      <c r="AX124" s="284" t="n">
        <f aca="false">IFERROR(Q124*$E124*$J124, "")</f>
        <v>0</v>
      </c>
      <c r="AY124" s="284" t="n">
        <f aca="false">IFERROR(R124*$E124*$J124, "")</f>
        <v>0</v>
      </c>
      <c r="AZ124" s="284" t="n">
        <f aca="false">IFERROR(S124*$E124*$J124, "")</f>
        <v>0</v>
      </c>
      <c r="BA124" s="284" t="n">
        <f aca="false">IFERROR(T124*$E124*$J124, "")</f>
        <v>0</v>
      </c>
      <c r="BB124" s="284" t="n">
        <f aca="false">IFERROR(U124*$E124*$J124, "")</f>
        <v>0</v>
      </c>
      <c r="BC124" s="284" t="n">
        <f aca="false">IFERROR(V124*$E124*$J124, "")</f>
        <v>0</v>
      </c>
      <c r="BD124" s="284" t="n">
        <f aca="false">IFERROR(W124*$E124*$J124, "")</f>
        <v>0</v>
      </c>
      <c r="BE124" s="286" t="n">
        <f aca="false">IFERROR(SUMIF($AB$4:$AM$4, "RDEC", AS124:BD124), "")</f>
        <v>0</v>
      </c>
      <c r="BF124" s="286" t="n">
        <f aca="false">IFERROR(SUMIF($AB$4:$AM$4, "SME", AS124:BD124), "")</f>
        <v>0</v>
      </c>
      <c r="BG124" s="286" t="n">
        <f aca="false">IFERROR(SUMIF($AB$4:$AM$4, "De Minimis", AS124:BD124), "")</f>
        <v>0</v>
      </c>
      <c r="BH124" s="303"/>
      <c r="BI124" s="288" t="str">
        <f aca="false">IF((SUM(L124:W124)&gt;1),"ERROR","")</f>
        <v/>
      </c>
    </row>
    <row r="125" customFormat="false" ht="15" hidden="false" customHeight="true" outlineLevel="0" collapsed="false">
      <c r="A125" s="340"/>
      <c r="B125" s="350"/>
      <c r="C125" s="350"/>
      <c r="H125" s="350"/>
      <c r="I125" s="279" t="n">
        <v>1</v>
      </c>
      <c r="J125" s="281" t="n">
        <f aca="false">1-I125</f>
        <v>0</v>
      </c>
      <c r="K125" s="32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350"/>
      <c r="Y125" s="381"/>
      <c r="Z125" s="384" t="s">
        <v>71</v>
      </c>
      <c r="AA125" s="283"/>
      <c r="AB125" s="284" t="n">
        <f aca="false">IF(AND(AB$4="RDEC", $Y125="Limited Company"), "", L125*$E125*$I125)</f>
        <v>0</v>
      </c>
      <c r="AC125" s="284" t="n">
        <f aca="false">IF(AND(AC$4="RDEC", $Y125="Limited Company"), "", M125*$E125*$I125)</f>
        <v>0</v>
      </c>
      <c r="AD125" s="284" t="n">
        <f aca="false">IF(AND(AD$4="RDEC", $Y125="Limited Company"), "", N125*$E125*$I125)</f>
        <v>0</v>
      </c>
      <c r="AE125" s="284" t="n">
        <f aca="false">IF(AND(AE$4="RDEC", $Y125="Limited Company"), "", O125*$E125*$I125)</f>
        <v>0</v>
      </c>
      <c r="AF125" s="284" t="n">
        <f aca="false">IF(AND(AF$4="RDEC", $Y125="Limited Company"), "", P125*$E125*$I125)</f>
        <v>0</v>
      </c>
      <c r="AG125" s="284" t="n">
        <f aca="false">IF(AND(AG$4="RDEC", $Y125="Limited Company"), "", Q125*$E125*$I125)</f>
        <v>0</v>
      </c>
      <c r="AH125" s="284" t="n">
        <f aca="false">IF(AND(AH$4="RDEC", $Y125="Limited Company"), "", R125*$E125*$I125)</f>
        <v>0</v>
      </c>
      <c r="AI125" s="284" t="n">
        <f aca="false">IF(AND(AI$4="RDEC", $Y125="Limited Company"), "", S125*$E125*$I125)</f>
        <v>0</v>
      </c>
      <c r="AJ125" s="284" t="n">
        <f aca="false">IF(AND(AJ$4="RDEC", $Y125="Limited Company"), "", T125*$E125*$I125)</f>
        <v>0</v>
      </c>
      <c r="AK125" s="284" t="n">
        <f aca="false">IF(AND(AK$4="RDEC", $Y125="Limited Company"), "", U125*$E125*$I125)</f>
        <v>0</v>
      </c>
      <c r="AL125" s="284" t="n">
        <f aca="false">IF(AND(AL$4="RDEC", $Y125="Limited Company"), "", V125*$E125*$I125)</f>
        <v>0</v>
      </c>
      <c r="AM125" s="284" t="n">
        <f aca="false">IF(AND(AM$4="RDEC", $Y125="Limited Company"), "", W125*$E125*$I125)</f>
        <v>0</v>
      </c>
      <c r="AN125" s="286" t="n">
        <f aca="false">IFERROR(SUMIF($AB$4:$AM$4, "RDEC", AB125:AM125), "")</f>
        <v>0</v>
      </c>
      <c r="AO125" s="286" t="str">
        <f aca="false">IFERROR((IF(Z125="Yes",SUMIF($AB$4:$AM$4,"SME",AB125:AM125),"")),"")</f>
        <v/>
      </c>
      <c r="AP125" s="286" t="n">
        <f aca="false">IFERROR((IF(Z125="No",SUMIF($AB$4:$AM$4,"SME",AB125:AM125),"")),"")</f>
        <v>0</v>
      </c>
      <c r="AQ125" s="286" t="n">
        <f aca="false">IFERROR(SUMIF($AB$4:$AM$4, "De Minimis", AB125:AM125), "")</f>
        <v>0</v>
      </c>
      <c r="AR125" s="283"/>
      <c r="AS125" s="284" t="n">
        <f aca="false">IFERROR(L125*$E125*$J125, "")</f>
        <v>0</v>
      </c>
      <c r="AT125" s="284" t="n">
        <f aca="false">IFERROR(M125*$E125*$J125, "")</f>
        <v>0</v>
      </c>
      <c r="AU125" s="284" t="n">
        <f aca="false">IFERROR(N125*$E125*$J125, "")</f>
        <v>0</v>
      </c>
      <c r="AV125" s="284" t="n">
        <f aca="false">IFERROR(O125*$E125*$J125, "")</f>
        <v>0</v>
      </c>
      <c r="AW125" s="284" t="n">
        <f aca="false">IFERROR(P125*$E125*$J125, "")</f>
        <v>0</v>
      </c>
      <c r="AX125" s="284" t="n">
        <f aca="false">IFERROR(Q125*$E125*$J125, "")</f>
        <v>0</v>
      </c>
      <c r="AY125" s="284" t="n">
        <f aca="false">IFERROR(R125*$E125*$J125, "")</f>
        <v>0</v>
      </c>
      <c r="AZ125" s="284" t="n">
        <f aca="false">IFERROR(S125*$E125*$J125, "")</f>
        <v>0</v>
      </c>
      <c r="BA125" s="284" t="n">
        <f aca="false">IFERROR(T125*$E125*$J125, "")</f>
        <v>0</v>
      </c>
      <c r="BB125" s="284" t="n">
        <f aca="false">IFERROR(U125*$E125*$J125, "")</f>
        <v>0</v>
      </c>
      <c r="BC125" s="284" t="n">
        <f aca="false">IFERROR(V125*$E125*$J125, "")</f>
        <v>0</v>
      </c>
      <c r="BD125" s="284" t="n">
        <f aca="false">IFERROR(W125*$E125*$J125, "")</f>
        <v>0</v>
      </c>
      <c r="BE125" s="286" t="n">
        <f aca="false">IFERROR(SUMIF($AB$4:$AM$4, "RDEC", AS125:BD125), "")</f>
        <v>0</v>
      </c>
      <c r="BF125" s="286" t="n">
        <f aca="false">IFERROR(SUMIF($AB$4:$AM$4, "SME", AS125:BD125), "")</f>
        <v>0</v>
      </c>
      <c r="BG125" s="286" t="n">
        <f aca="false">IFERROR(SUMIF($AB$4:$AM$4, "De Minimis", AS125:BD125), "")</f>
        <v>0</v>
      </c>
      <c r="BI125" s="288" t="str">
        <f aca="false">IF((SUM(L125:W125)&gt;1),"ERROR","")</f>
        <v/>
      </c>
    </row>
    <row r="126" customFormat="false" ht="15" hidden="false" customHeight="true" outlineLevel="0" collapsed="false">
      <c r="A126" s="340"/>
      <c r="B126" s="350"/>
      <c r="C126" s="350"/>
      <c r="H126" s="350"/>
      <c r="I126" s="279" t="n">
        <v>1</v>
      </c>
      <c r="J126" s="281" t="n">
        <f aca="false">1-I126</f>
        <v>0</v>
      </c>
      <c r="K126" s="32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350"/>
      <c r="Y126" s="381"/>
      <c r="Z126" s="384" t="s">
        <v>71</v>
      </c>
      <c r="AA126" s="283"/>
      <c r="AB126" s="284" t="n">
        <f aca="false">IF(AND(AB$4="RDEC", $Y126="Limited Company"), "", L126*$E126*$I126)</f>
        <v>0</v>
      </c>
      <c r="AC126" s="284" t="n">
        <f aca="false">IF(AND(AC$4="RDEC", $Y126="Limited Company"), "", M126*$E126*$I126)</f>
        <v>0</v>
      </c>
      <c r="AD126" s="284" t="n">
        <f aca="false">IF(AND(AD$4="RDEC", $Y126="Limited Company"), "", N126*$E126*$I126)</f>
        <v>0</v>
      </c>
      <c r="AE126" s="284" t="n">
        <f aca="false">IF(AND(AE$4="RDEC", $Y126="Limited Company"), "", O126*$E126*$I126)</f>
        <v>0</v>
      </c>
      <c r="AF126" s="284" t="n">
        <f aca="false">IF(AND(AF$4="RDEC", $Y126="Limited Company"), "", P126*$E126*$I126)</f>
        <v>0</v>
      </c>
      <c r="AG126" s="284" t="n">
        <f aca="false">IF(AND(AG$4="RDEC", $Y126="Limited Company"), "", Q126*$E126*$I126)</f>
        <v>0</v>
      </c>
      <c r="AH126" s="284" t="n">
        <f aca="false">IF(AND(AH$4="RDEC", $Y126="Limited Company"), "", R126*$E126*$I126)</f>
        <v>0</v>
      </c>
      <c r="AI126" s="284" t="n">
        <f aca="false">IF(AND(AI$4="RDEC", $Y126="Limited Company"), "", S126*$E126*$I126)</f>
        <v>0</v>
      </c>
      <c r="AJ126" s="284" t="n">
        <f aca="false">IF(AND(AJ$4="RDEC", $Y126="Limited Company"), "", T126*$E126*$I126)</f>
        <v>0</v>
      </c>
      <c r="AK126" s="284" t="n">
        <f aca="false">IF(AND(AK$4="RDEC", $Y126="Limited Company"), "", U126*$E126*$I126)</f>
        <v>0</v>
      </c>
      <c r="AL126" s="284" t="n">
        <f aca="false">IF(AND(AL$4="RDEC", $Y126="Limited Company"), "", V126*$E126*$I126)</f>
        <v>0</v>
      </c>
      <c r="AM126" s="284" t="n">
        <f aca="false">IF(AND(AM$4="RDEC", $Y126="Limited Company"), "", W126*$E126*$I126)</f>
        <v>0</v>
      </c>
      <c r="AN126" s="286" t="n">
        <f aca="false">IFERROR(SUMIF($AB$4:$AM$4, "RDEC", AB126:AM126), "")</f>
        <v>0</v>
      </c>
      <c r="AO126" s="286" t="str">
        <f aca="false">IFERROR((IF(Z126="Yes",SUMIF($AB$4:$AM$4,"SME",AB126:AM126),"")),"")</f>
        <v/>
      </c>
      <c r="AP126" s="286" t="n">
        <f aca="false">IFERROR((IF(Z126="No",SUMIF($AB$4:$AM$4,"SME",AB126:AM126),"")),"")</f>
        <v>0</v>
      </c>
      <c r="AQ126" s="286" t="n">
        <f aca="false">IFERROR(SUMIF($AB$4:$AM$4, "De Minimis", AB126:AM126), "")</f>
        <v>0</v>
      </c>
      <c r="AR126" s="283"/>
      <c r="AS126" s="284" t="n">
        <f aca="false">IFERROR(L126*$E126*$J126, "")</f>
        <v>0</v>
      </c>
      <c r="AT126" s="284" t="n">
        <f aca="false">IFERROR(M126*$E126*$J126, "")</f>
        <v>0</v>
      </c>
      <c r="AU126" s="284" t="n">
        <f aca="false">IFERROR(N126*$E126*$J126, "")</f>
        <v>0</v>
      </c>
      <c r="AV126" s="284" t="n">
        <f aca="false">IFERROR(O126*$E126*$J126, "")</f>
        <v>0</v>
      </c>
      <c r="AW126" s="284" t="n">
        <f aca="false">IFERROR(P126*$E126*$J126, "")</f>
        <v>0</v>
      </c>
      <c r="AX126" s="284" t="n">
        <f aca="false">IFERROR(Q126*$E126*$J126, "")</f>
        <v>0</v>
      </c>
      <c r="AY126" s="284" t="n">
        <f aca="false">IFERROR(R126*$E126*$J126, "")</f>
        <v>0</v>
      </c>
      <c r="AZ126" s="284" t="n">
        <f aca="false">IFERROR(S126*$E126*$J126, "")</f>
        <v>0</v>
      </c>
      <c r="BA126" s="284" t="n">
        <f aca="false">IFERROR(T126*$E126*$J126, "")</f>
        <v>0</v>
      </c>
      <c r="BB126" s="284" t="n">
        <f aca="false">IFERROR(U126*$E126*$J126, "")</f>
        <v>0</v>
      </c>
      <c r="BC126" s="284" t="n">
        <f aca="false">IFERROR(V126*$E126*$J126, "")</f>
        <v>0</v>
      </c>
      <c r="BD126" s="284" t="n">
        <f aca="false">IFERROR(W126*$E126*$J126, "")</f>
        <v>0</v>
      </c>
      <c r="BE126" s="286" t="n">
        <f aca="false">IFERROR(SUMIF($AB$4:$AM$4, "RDEC", AS126:BD126), "")</f>
        <v>0</v>
      </c>
      <c r="BF126" s="286" t="n">
        <f aca="false">IFERROR(SUMIF($AB$4:$AM$4, "SME", AS126:BD126), "")</f>
        <v>0</v>
      </c>
      <c r="BG126" s="286" t="n">
        <f aca="false">IFERROR(SUMIF($AB$4:$AM$4, "De Minimis", AS126:BD126), "")</f>
        <v>0</v>
      </c>
      <c r="BH126" s="268"/>
      <c r="BI126" s="288" t="str">
        <f aca="false">IF((SUM(L126:W126)&gt;1),"ERROR","")</f>
        <v/>
      </c>
    </row>
    <row r="127" customFormat="false" ht="15" hidden="false" customHeight="true" outlineLevel="0" collapsed="false">
      <c r="A127" s="340"/>
      <c r="B127" s="350"/>
      <c r="C127" s="350"/>
      <c r="H127" s="350"/>
      <c r="I127" s="279" t="n">
        <v>1</v>
      </c>
      <c r="J127" s="281" t="n">
        <f aca="false">1-I127</f>
        <v>0</v>
      </c>
      <c r="K127" s="32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350"/>
      <c r="Y127" s="381"/>
      <c r="Z127" s="384" t="s">
        <v>71</v>
      </c>
      <c r="AA127" s="283"/>
      <c r="AB127" s="284" t="n">
        <f aca="false">IF(AND(AB$4="RDEC", $Y127="Limited Company"), "", L127*$E127*$I127)</f>
        <v>0</v>
      </c>
      <c r="AC127" s="284" t="n">
        <f aca="false">IF(AND(AC$4="RDEC", $Y127="Limited Company"), "", M127*$E127*$I127)</f>
        <v>0</v>
      </c>
      <c r="AD127" s="284" t="n">
        <f aca="false">IF(AND(AD$4="RDEC", $Y127="Limited Company"), "", N127*$E127*$I127)</f>
        <v>0</v>
      </c>
      <c r="AE127" s="284" t="n">
        <f aca="false">IF(AND(AE$4="RDEC", $Y127="Limited Company"), "", O127*$E127*$I127)</f>
        <v>0</v>
      </c>
      <c r="AF127" s="284" t="n">
        <f aca="false">IF(AND(AF$4="RDEC", $Y127="Limited Company"), "", P127*$E127*$I127)</f>
        <v>0</v>
      </c>
      <c r="AG127" s="284" t="n">
        <f aca="false">IF(AND(AG$4="RDEC", $Y127="Limited Company"), "", Q127*$E127*$I127)</f>
        <v>0</v>
      </c>
      <c r="AH127" s="284" t="n">
        <f aca="false">IF(AND(AH$4="RDEC", $Y127="Limited Company"), "", R127*$E127*$I127)</f>
        <v>0</v>
      </c>
      <c r="AI127" s="284" t="n">
        <f aca="false">IF(AND(AI$4="RDEC", $Y127="Limited Company"), "", S127*$E127*$I127)</f>
        <v>0</v>
      </c>
      <c r="AJ127" s="284" t="n">
        <f aca="false">IF(AND(AJ$4="RDEC", $Y127="Limited Company"), "", T127*$E127*$I127)</f>
        <v>0</v>
      </c>
      <c r="AK127" s="284" t="n">
        <f aca="false">IF(AND(AK$4="RDEC", $Y127="Limited Company"), "", U127*$E127*$I127)</f>
        <v>0</v>
      </c>
      <c r="AL127" s="284" t="n">
        <f aca="false">IF(AND(AL$4="RDEC", $Y127="Limited Company"), "", V127*$E127*$I127)</f>
        <v>0</v>
      </c>
      <c r="AM127" s="284" t="n">
        <f aca="false">IF(AND(AM$4="RDEC", $Y127="Limited Company"), "", W127*$E127*$I127)</f>
        <v>0</v>
      </c>
      <c r="AN127" s="286" t="n">
        <f aca="false">IFERROR(SUMIF($AB$4:$AM$4, "RDEC", AB127:AM127), "")</f>
        <v>0</v>
      </c>
      <c r="AO127" s="286" t="str">
        <f aca="false">IFERROR((IF(Z127="Yes",SUMIF($AB$4:$AM$4,"SME",AB127:AM127),"")),"")</f>
        <v/>
      </c>
      <c r="AP127" s="286" t="n">
        <f aca="false">IFERROR((IF(Z127="No",SUMIF($AB$4:$AM$4,"SME",AB127:AM127),"")),"")</f>
        <v>0</v>
      </c>
      <c r="AQ127" s="286" t="n">
        <f aca="false">IFERROR(SUMIF($AB$4:$AM$4, "De Minimis", AB127:AM127), "")</f>
        <v>0</v>
      </c>
      <c r="AR127" s="283"/>
      <c r="AS127" s="284" t="n">
        <f aca="false">IFERROR(L127*$E127*$J127, "")</f>
        <v>0</v>
      </c>
      <c r="AT127" s="284" t="n">
        <f aca="false">IFERROR(M127*$E127*$J127, "")</f>
        <v>0</v>
      </c>
      <c r="AU127" s="284" t="n">
        <f aca="false">IFERROR(N127*$E127*$J127, "")</f>
        <v>0</v>
      </c>
      <c r="AV127" s="284" t="n">
        <f aca="false">IFERROR(O127*$E127*$J127, "")</f>
        <v>0</v>
      </c>
      <c r="AW127" s="284" t="n">
        <f aca="false">IFERROR(P127*$E127*$J127, "")</f>
        <v>0</v>
      </c>
      <c r="AX127" s="284" t="n">
        <f aca="false">IFERROR(Q127*$E127*$J127, "")</f>
        <v>0</v>
      </c>
      <c r="AY127" s="284" t="n">
        <f aca="false">IFERROR(R127*$E127*$J127, "")</f>
        <v>0</v>
      </c>
      <c r="AZ127" s="284" t="n">
        <f aca="false">IFERROR(S127*$E127*$J127, "")</f>
        <v>0</v>
      </c>
      <c r="BA127" s="284" t="n">
        <f aca="false">IFERROR(T127*$E127*$J127, "")</f>
        <v>0</v>
      </c>
      <c r="BB127" s="284" t="n">
        <f aca="false">IFERROR(U127*$E127*$J127, "")</f>
        <v>0</v>
      </c>
      <c r="BC127" s="284" t="n">
        <f aca="false">IFERROR(V127*$E127*$J127, "")</f>
        <v>0</v>
      </c>
      <c r="BD127" s="284" t="n">
        <f aca="false">IFERROR(W127*$E127*$J127, "")</f>
        <v>0</v>
      </c>
      <c r="BE127" s="286" t="n">
        <f aca="false">IFERROR(SUMIF($AB$4:$AM$4, "RDEC", AS127:BD127), "")</f>
        <v>0</v>
      </c>
      <c r="BF127" s="286" t="n">
        <f aca="false">IFERROR(SUMIF($AB$4:$AM$4, "SME", AS127:BD127), "")</f>
        <v>0</v>
      </c>
      <c r="BG127" s="286" t="n">
        <f aca="false">IFERROR(SUMIF($AB$4:$AM$4, "De Minimis", AS127:BD127), "")</f>
        <v>0</v>
      </c>
      <c r="BH127" s="287"/>
      <c r="BI127" s="288" t="str">
        <f aca="false">IF((SUM(L127:W127)&gt;1),"ERROR","")</f>
        <v/>
      </c>
    </row>
    <row r="128" customFormat="false" ht="15" hidden="false" customHeight="true" outlineLevel="0" collapsed="false">
      <c r="A128" s="340"/>
      <c r="B128" s="350"/>
      <c r="C128" s="350"/>
      <c r="H128" s="350"/>
      <c r="I128" s="279" t="n">
        <v>1</v>
      </c>
      <c r="J128" s="281" t="n">
        <f aca="false">1-I128</f>
        <v>0</v>
      </c>
      <c r="K128" s="32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350"/>
      <c r="Y128" s="381"/>
      <c r="Z128" s="384" t="s">
        <v>71</v>
      </c>
      <c r="AA128" s="283"/>
      <c r="AB128" s="284" t="n">
        <f aca="false">IF(AND(AB$4="RDEC", $Y128="Limited Company"), "", L128*$E128*$I128)</f>
        <v>0</v>
      </c>
      <c r="AC128" s="284" t="n">
        <f aca="false">IF(AND(AC$4="RDEC", $Y128="Limited Company"), "", M128*$E128*$I128)</f>
        <v>0</v>
      </c>
      <c r="AD128" s="284" t="n">
        <f aca="false">IF(AND(AD$4="RDEC", $Y128="Limited Company"), "", N128*$E128*$I128)</f>
        <v>0</v>
      </c>
      <c r="AE128" s="284" t="n">
        <f aca="false">IF(AND(AE$4="RDEC", $Y128="Limited Company"), "", O128*$E128*$I128)</f>
        <v>0</v>
      </c>
      <c r="AF128" s="284" t="n">
        <f aca="false">IF(AND(AF$4="RDEC", $Y128="Limited Company"), "", P128*$E128*$I128)</f>
        <v>0</v>
      </c>
      <c r="AG128" s="284" t="n">
        <f aca="false">IF(AND(AG$4="RDEC", $Y128="Limited Company"), "", Q128*$E128*$I128)</f>
        <v>0</v>
      </c>
      <c r="AH128" s="284" t="n">
        <f aca="false">IF(AND(AH$4="RDEC", $Y128="Limited Company"), "", R128*$E128*$I128)</f>
        <v>0</v>
      </c>
      <c r="AI128" s="284" t="n">
        <f aca="false">IF(AND(AI$4="RDEC", $Y128="Limited Company"), "", S128*$E128*$I128)</f>
        <v>0</v>
      </c>
      <c r="AJ128" s="284" t="n">
        <f aca="false">IF(AND(AJ$4="RDEC", $Y128="Limited Company"), "", T128*$E128*$I128)</f>
        <v>0</v>
      </c>
      <c r="AK128" s="284" t="n">
        <f aca="false">IF(AND(AK$4="RDEC", $Y128="Limited Company"), "", U128*$E128*$I128)</f>
        <v>0</v>
      </c>
      <c r="AL128" s="284" t="n">
        <f aca="false">IF(AND(AL$4="RDEC", $Y128="Limited Company"), "", V128*$E128*$I128)</f>
        <v>0</v>
      </c>
      <c r="AM128" s="284" t="n">
        <f aca="false">IF(AND(AM$4="RDEC", $Y128="Limited Company"), "", W128*$E128*$I128)</f>
        <v>0</v>
      </c>
      <c r="AN128" s="286" t="n">
        <f aca="false">IFERROR(SUMIF($AB$4:$AM$4, "RDEC", AB128:AM128), "")</f>
        <v>0</v>
      </c>
      <c r="AO128" s="286" t="str">
        <f aca="false">IFERROR((IF(Z128="Yes",SUMIF($AB$4:$AM$4,"SME",AB128:AM128),"")),"")</f>
        <v/>
      </c>
      <c r="AP128" s="286" t="n">
        <f aca="false">IFERROR((IF(Z128="No",SUMIF($AB$4:$AM$4,"SME",AB128:AM128),"")),"")</f>
        <v>0</v>
      </c>
      <c r="AQ128" s="286" t="n">
        <f aca="false">IFERROR(SUMIF($AB$4:$AM$4, "De Minimis", AB128:AM128), "")</f>
        <v>0</v>
      </c>
      <c r="AR128" s="283"/>
      <c r="AS128" s="284" t="n">
        <f aca="false">IFERROR(L128*$E128*$J128, "")</f>
        <v>0</v>
      </c>
      <c r="AT128" s="284" t="n">
        <f aca="false">IFERROR(M128*$E128*$J128, "")</f>
        <v>0</v>
      </c>
      <c r="AU128" s="284" t="n">
        <f aca="false">IFERROR(N128*$E128*$J128, "")</f>
        <v>0</v>
      </c>
      <c r="AV128" s="284" t="n">
        <f aca="false">IFERROR(O128*$E128*$J128, "")</f>
        <v>0</v>
      </c>
      <c r="AW128" s="284" t="n">
        <f aca="false">IFERROR(P128*$E128*$J128, "")</f>
        <v>0</v>
      </c>
      <c r="AX128" s="284" t="n">
        <f aca="false">IFERROR(Q128*$E128*$J128, "")</f>
        <v>0</v>
      </c>
      <c r="AY128" s="284" t="n">
        <f aca="false">IFERROR(R128*$E128*$J128, "")</f>
        <v>0</v>
      </c>
      <c r="AZ128" s="284" t="n">
        <f aca="false">IFERROR(S128*$E128*$J128, "")</f>
        <v>0</v>
      </c>
      <c r="BA128" s="284" t="n">
        <f aca="false">IFERROR(T128*$E128*$J128, "")</f>
        <v>0</v>
      </c>
      <c r="BB128" s="284" t="n">
        <f aca="false">IFERROR(U128*$E128*$J128, "")</f>
        <v>0</v>
      </c>
      <c r="BC128" s="284" t="n">
        <f aca="false">IFERROR(V128*$E128*$J128, "")</f>
        <v>0</v>
      </c>
      <c r="BD128" s="284" t="n">
        <f aca="false">IFERROR(W128*$E128*$J128, "")</f>
        <v>0</v>
      </c>
      <c r="BE128" s="286" t="n">
        <f aca="false">IFERROR(SUMIF($AB$4:$AM$4, "RDEC", AS128:BD128), "")</f>
        <v>0</v>
      </c>
      <c r="BF128" s="286" t="n">
        <f aca="false">IFERROR(SUMIF($AB$4:$AM$4, "SME", AS128:BD128), "")</f>
        <v>0</v>
      </c>
      <c r="BG128" s="286" t="n">
        <f aca="false">IFERROR(SUMIF($AB$4:$AM$4, "De Minimis", AS128:BD128), "")</f>
        <v>0</v>
      </c>
      <c r="BH128" s="287"/>
      <c r="BI128" s="288" t="str">
        <f aca="false">IF((SUM(L128:W128)&gt;1),"ERROR","")</f>
        <v/>
      </c>
    </row>
    <row r="129" customFormat="false" ht="15" hidden="false" customHeight="true" outlineLevel="0" collapsed="false">
      <c r="A129" s="340"/>
      <c r="B129" s="350"/>
      <c r="C129" s="350"/>
      <c r="H129" s="350"/>
      <c r="I129" s="279" t="n">
        <v>1</v>
      </c>
      <c r="J129" s="281" t="n">
        <f aca="false">1-I129</f>
        <v>0</v>
      </c>
      <c r="K129" s="32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350"/>
      <c r="Y129" s="381"/>
      <c r="Z129" s="384" t="s">
        <v>71</v>
      </c>
      <c r="AA129" s="283"/>
      <c r="AB129" s="284" t="n">
        <f aca="false">IF(AND(AB$4="RDEC", $Y129="Limited Company"), "", L129*$E129*$I129)</f>
        <v>0</v>
      </c>
      <c r="AC129" s="284" t="n">
        <f aca="false">IF(AND(AC$4="RDEC", $Y129="Limited Company"), "", M129*$E129*$I129)</f>
        <v>0</v>
      </c>
      <c r="AD129" s="284" t="n">
        <f aca="false">IF(AND(AD$4="RDEC", $Y129="Limited Company"), "", N129*$E129*$I129)</f>
        <v>0</v>
      </c>
      <c r="AE129" s="284" t="n">
        <f aca="false">IF(AND(AE$4="RDEC", $Y129="Limited Company"), "", O129*$E129*$I129)</f>
        <v>0</v>
      </c>
      <c r="AF129" s="284" t="n">
        <f aca="false">IF(AND(AF$4="RDEC", $Y129="Limited Company"), "", P129*$E129*$I129)</f>
        <v>0</v>
      </c>
      <c r="AG129" s="284" t="n">
        <f aca="false">IF(AND(AG$4="RDEC", $Y129="Limited Company"), "", Q129*$E129*$I129)</f>
        <v>0</v>
      </c>
      <c r="AH129" s="284" t="n">
        <f aca="false">IF(AND(AH$4="RDEC", $Y129="Limited Company"), "", R129*$E129*$I129)</f>
        <v>0</v>
      </c>
      <c r="AI129" s="284" t="n">
        <f aca="false">IF(AND(AI$4="RDEC", $Y129="Limited Company"), "", S129*$E129*$I129)</f>
        <v>0</v>
      </c>
      <c r="AJ129" s="284" t="n">
        <f aca="false">IF(AND(AJ$4="RDEC", $Y129="Limited Company"), "", T129*$E129*$I129)</f>
        <v>0</v>
      </c>
      <c r="AK129" s="284" t="n">
        <f aca="false">IF(AND(AK$4="RDEC", $Y129="Limited Company"), "", U129*$E129*$I129)</f>
        <v>0</v>
      </c>
      <c r="AL129" s="284" t="n">
        <f aca="false">IF(AND(AL$4="RDEC", $Y129="Limited Company"), "", V129*$E129*$I129)</f>
        <v>0</v>
      </c>
      <c r="AM129" s="284" t="n">
        <f aca="false">IF(AND(AM$4="RDEC", $Y129="Limited Company"), "", W129*$E129*$I129)</f>
        <v>0</v>
      </c>
      <c r="AN129" s="286" t="n">
        <f aca="false">IFERROR(SUMIF($AB$4:$AM$4, "RDEC", AB129:AM129), "")</f>
        <v>0</v>
      </c>
      <c r="AO129" s="286" t="str">
        <f aca="false">IFERROR((IF(Z129="Yes",SUMIF($AB$4:$AM$4,"SME",AB129:AM129),"")),"")</f>
        <v/>
      </c>
      <c r="AP129" s="286" t="n">
        <f aca="false">IFERROR((IF(Z129="No",SUMIF($AB$4:$AM$4,"SME",AB129:AM129),"")),"")</f>
        <v>0</v>
      </c>
      <c r="AQ129" s="286" t="n">
        <f aca="false">IFERROR(SUMIF($AB$4:$AM$4, "De Minimis", AB129:AM129), "")</f>
        <v>0</v>
      </c>
      <c r="AR129" s="283"/>
      <c r="AS129" s="284" t="n">
        <f aca="false">IFERROR(L129*$E129*$J129, "")</f>
        <v>0</v>
      </c>
      <c r="AT129" s="284" t="n">
        <f aca="false">IFERROR(M129*$E129*$J129, "")</f>
        <v>0</v>
      </c>
      <c r="AU129" s="284" t="n">
        <f aca="false">IFERROR(N129*$E129*$J129, "")</f>
        <v>0</v>
      </c>
      <c r="AV129" s="284" t="n">
        <f aca="false">IFERROR(O129*$E129*$J129, "")</f>
        <v>0</v>
      </c>
      <c r="AW129" s="284" t="n">
        <f aca="false">IFERROR(P129*$E129*$J129, "")</f>
        <v>0</v>
      </c>
      <c r="AX129" s="284" t="n">
        <f aca="false">IFERROR(Q129*$E129*$J129, "")</f>
        <v>0</v>
      </c>
      <c r="AY129" s="284" t="n">
        <f aca="false">IFERROR(R129*$E129*$J129, "")</f>
        <v>0</v>
      </c>
      <c r="AZ129" s="284" t="n">
        <f aca="false">IFERROR(S129*$E129*$J129, "")</f>
        <v>0</v>
      </c>
      <c r="BA129" s="284" t="n">
        <f aca="false">IFERROR(T129*$E129*$J129, "")</f>
        <v>0</v>
      </c>
      <c r="BB129" s="284" t="n">
        <f aca="false">IFERROR(U129*$E129*$J129, "")</f>
        <v>0</v>
      </c>
      <c r="BC129" s="284" t="n">
        <f aca="false">IFERROR(V129*$E129*$J129, "")</f>
        <v>0</v>
      </c>
      <c r="BD129" s="284" t="n">
        <f aca="false">IFERROR(W129*$E129*$J129, "")</f>
        <v>0</v>
      </c>
      <c r="BE129" s="286" t="n">
        <f aca="false">IFERROR(SUMIF($AB$4:$AM$4, "RDEC", AS129:BD129), "")</f>
        <v>0</v>
      </c>
      <c r="BF129" s="286" t="n">
        <f aca="false">IFERROR(SUMIF($AB$4:$AM$4, "SME", AS129:BD129), "")</f>
        <v>0</v>
      </c>
      <c r="BG129" s="286" t="n">
        <f aca="false">IFERROR(SUMIF($AB$4:$AM$4, "De Minimis", AS129:BD129), "")</f>
        <v>0</v>
      </c>
      <c r="BH129" s="287"/>
      <c r="BI129" s="288" t="str">
        <f aca="false">IF((SUM(L129:W129)&gt;1),"ERROR","")</f>
        <v/>
      </c>
    </row>
    <row r="130" customFormat="false" ht="15" hidden="false" customHeight="true" outlineLevel="0" collapsed="false">
      <c r="A130" s="340"/>
      <c r="B130" s="350"/>
      <c r="C130" s="350"/>
      <c r="H130" s="350"/>
      <c r="I130" s="279" t="n">
        <v>1</v>
      </c>
      <c r="J130" s="281" t="n">
        <f aca="false">1-I130</f>
        <v>0</v>
      </c>
      <c r="K130" s="32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350"/>
      <c r="Y130" s="381"/>
      <c r="Z130" s="384" t="s">
        <v>71</v>
      </c>
      <c r="AA130" s="283"/>
      <c r="AB130" s="284" t="n">
        <f aca="false">IF(AND(AB$4="RDEC", $Y130="Limited Company"), "", L130*$E130*$I130)</f>
        <v>0</v>
      </c>
      <c r="AC130" s="284" t="n">
        <f aca="false">IF(AND(AC$4="RDEC", $Y130="Limited Company"), "", M130*$E130*$I130)</f>
        <v>0</v>
      </c>
      <c r="AD130" s="284" t="n">
        <f aca="false">IF(AND(AD$4="RDEC", $Y130="Limited Company"), "", N130*$E130*$I130)</f>
        <v>0</v>
      </c>
      <c r="AE130" s="284" t="n">
        <f aca="false">IF(AND(AE$4="RDEC", $Y130="Limited Company"), "", O130*$E130*$I130)</f>
        <v>0</v>
      </c>
      <c r="AF130" s="284" t="n">
        <f aca="false">IF(AND(AF$4="RDEC", $Y130="Limited Company"), "", P130*$E130*$I130)</f>
        <v>0</v>
      </c>
      <c r="AG130" s="284" t="n">
        <f aca="false">IF(AND(AG$4="RDEC", $Y130="Limited Company"), "", Q130*$E130*$I130)</f>
        <v>0</v>
      </c>
      <c r="AH130" s="284" t="n">
        <f aca="false">IF(AND(AH$4="RDEC", $Y130="Limited Company"), "", R130*$E130*$I130)</f>
        <v>0</v>
      </c>
      <c r="AI130" s="284" t="n">
        <f aca="false">IF(AND(AI$4="RDEC", $Y130="Limited Company"), "", S130*$E130*$I130)</f>
        <v>0</v>
      </c>
      <c r="AJ130" s="284" t="n">
        <f aca="false">IF(AND(AJ$4="RDEC", $Y130="Limited Company"), "", T130*$E130*$I130)</f>
        <v>0</v>
      </c>
      <c r="AK130" s="284" t="n">
        <f aca="false">IF(AND(AK$4="RDEC", $Y130="Limited Company"), "", U130*$E130*$I130)</f>
        <v>0</v>
      </c>
      <c r="AL130" s="284" t="n">
        <f aca="false">IF(AND(AL$4="RDEC", $Y130="Limited Company"), "", V130*$E130*$I130)</f>
        <v>0</v>
      </c>
      <c r="AM130" s="284" t="n">
        <f aca="false">IF(AND(AM$4="RDEC", $Y130="Limited Company"), "", W130*$E130*$I130)</f>
        <v>0</v>
      </c>
      <c r="AN130" s="286" t="n">
        <f aca="false">IFERROR(SUMIF($AB$4:$AM$4, "RDEC", AB130:AM130), "")</f>
        <v>0</v>
      </c>
      <c r="AO130" s="286" t="str">
        <f aca="false">IFERROR((IF(Z130="Yes",SUMIF($AB$4:$AM$4,"SME",AB130:AM130),"")),"")</f>
        <v/>
      </c>
      <c r="AP130" s="286" t="n">
        <f aca="false">IFERROR((IF(Z130="No",SUMIF($AB$4:$AM$4,"SME",AB130:AM130),"")),"")</f>
        <v>0</v>
      </c>
      <c r="AQ130" s="286" t="n">
        <f aca="false">IFERROR(SUMIF($AB$4:$AM$4, "De Minimis", AB130:AM130), "")</f>
        <v>0</v>
      </c>
      <c r="AR130" s="283"/>
      <c r="AS130" s="284" t="n">
        <f aca="false">IFERROR(L130*$E130*$J130, "")</f>
        <v>0</v>
      </c>
      <c r="AT130" s="284" t="n">
        <f aca="false">IFERROR(M130*$E130*$J130, "")</f>
        <v>0</v>
      </c>
      <c r="AU130" s="284" t="n">
        <f aca="false">IFERROR(N130*$E130*$J130, "")</f>
        <v>0</v>
      </c>
      <c r="AV130" s="284" t="n">
        <f aca="false">IFERROR(O130*$E130*$J130, "")</f>
        <v>0</v>
      </c>
      <c r="AW130" s="284" t="n">
        <f aca="false">IFERROR(P130*$E130*$J130, "")</f>
        <v>0</v>
      </c>
      <c r="AX130" s="284" t="n">
        <f aca="false">IFERROR(Q130*$E130*$J130, "")</f>
        <v>0</v>
      </c>
      <c r="AY130" s="284" t="n">
        <f aca="false">IFERROR(R130*$E130*$J130, "")</f>
        <v>0</v>
      </c>
      <c r="AZ130" s="284" t="n">
        <f aca="false">IFERROR(S130*$E130*$J130, "")</f>
        <v>0</v>
      </c>
      <c r="BA130" s="284" t="n">
        <f aca="false">IFERROR(T130*$E130*$J130, "")</f>
        <v>0</v>
      </c>
      <c r="BB130" s="284" t="n">
        <f aca="false">IFERROR(U130*$E130*$J130, "")</f>
        <v>0</v>
      </c>
      <c r="BC130" s="284" t="n">
        <f aca="false">IFERROR(V130*$E130*$J130, "")</f>
        <v>0</v>
      </c>
      <c r="BD130" s="284" t="n">
        <f aca="false">IFERROR(W130*$E130*$J130, "")</f>
        <v>0</v>
      </c>
      <c r="BE130" s="286" t="n">
        <f aca="false">IFERROR(SUMIF($AB$4:$AM$4, "RDEC", AS130:BD130), "")</f>
        <v>0</v>
      </c>
      <c r="BF130" s="286" t="n">
        <f aca="false">IFERROR(SUMIF($AB$4:$AM$4, "SME", AS130:BD130), "")</f>
        <v>0</v>
      </c>
      <c r="BG130" s="286" t="n">
        <f aca="false">IFERROR(SUMIF($AB$4:$AM$4, "De Minimis", AS130:BD130), "")</f>
        <v>0</v>
      </c>
      <c r="BH130" s="287"/>
      <c r="BI130" s="288" t="str">
        <f aca="false">IF((SUM(L130:W130)&gt;1),"ERROR","")</f>
        <v/>
      </c>
    </row>
    <row r="131" customFormat="false" ht="15" hidden="false" customHeight="true" outlineLevel="0" collapsed="false">
      <c r="A131" s="340"/>
      <c r="B131" s="350"/>
      <c r="C131" s="350"/>
      <c r="H131" s="350"/>
      <c r="I131" s="279" t="n">
        <v>1</v>
      </c>
      <c r="J131" s="281" t="n">
        <f aca="false">1-I131</f>
        <v>0</v>
      </c>
      <c r="K131" s="32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350"/>
      <c r="Y131" s="381"/>
      <c r="Z131" s="384" t="s">
        <v>71</v>
      </c>
      <c r="AA131" s="283"/>
      <c r="AB131" s="284" t="n">
        <f aca="false">IF(AND(AB$4="RDEC", $Y131="Limited Company"), "", L131*$E131*$I131)</f>
        <v>0</v>
      </c>
      <c r="AC131" s="284" t="n">
        <f aca="false">IF(AND(AC$4="RDEC", $Y131="Limited Company"), "", M131*$E131*$I131)</f>
        <v>0</v>
      </c>
      <c r="AD131" s="284" t="n">
        <f aca="false">IF(AND(AD$4="RDEC", $Y131="Limited Company"), "", N131*$E131*$I131)</f>
        <v>0</v>
      </c>
      <c r="AE131" s="284" t="n">
        <f aca="false">IF(AND(AE$4="RDEC", $Y131="Limited Company"), "", O131*$E131*$I131)</f>
        <v>0</v>
      </c>
      <c r="AF131" s="284" t="n">
        <f aca="false">IF(AND(AF$4="RDEC", $Y131="Limited Company"), "", P131*$E131*$I131)</f>
        <v>0</v>
      </c>
      <c r="AG131" s="284" t="n">
        <f aca="false">IF(AND(AG$4="RDEC", $Y131="Limited Company"), "", Q131*$E131*$I131)</f>
        <v>0</v>
      </c>
      <c r="AH131" s="284" t="n">
        <f aca="false">IF(AND(AH$4="RDEC", $Y131="Limited Company"), "", R131*$E131*$I131)</f>
        <v>0</v>
      </c>
      <c r="AI131" s="284" t="n">
        <f aca="false">IF(AND(AI$4="RDEC", $Y131="Limited Company"), "", S131*$E131*$I131)</f>
        <v>0</v>
      </c>
      <c r="AJ131" s="284" t="n">
        <f aca="false">IF(AND(AJ$4="RDEC", $Y131="Limited Company"), "", T131*$E131*$I131)</f>
        <v>0</v>
      </c>
      <c r="AK131" s="284" t="n">
        <f aca="false">IF(AND(AK$4="RDEC", $Y131="Limited Company"), "", U131*$E131*$I131)</f>
        <v>0</v>
      </c>
      <c r="AL131" s="284" t="n">
        <f aca="false">IF(AND(AL$4="RDEC", $Y131="Limited Company"), "", V131*$E131*$I131)</f>
        <v>0</v>
      </c>
      <c r="AM131" s="284" t="n">
        <f aca="false">IF(AND(AM$4="RDEC", $Y131="Limited Company"), "", W131*$E131*$I131)</f>
        <v>0</v>
      </c>
      <c r="AN131" s="286" t="n">
        <f aca="false">IFERROR(SUMIF($AB$4:$AM$4, "RDEC", AB131:AM131), "")</f>
        <v>0</v>
      </c>
      <c r="AO131" s="286" t="str">
        <f aca="false">IFERROR((IF(Z131="Yes",SUMIF($AB$4:$AM$4,"SME",AB131:AM131),"")),"")</f>
        <v/>
      </c>
      <c r="AP131" s="286" t="n">
        <f aca="false">IFERROR((IF(Z131="No",SUMIF($AB$4:$AM$4,"SME",AB131:AM131),"")),"")</f>
        <v>0</v>
      </c>
      <c r="AQ131" s="286" t="n">
        <f aca="false">IFERROR(SUMIF($AB$4:$AM$4, "De Minimis", AB131:AM131), "")</f>
        <v>0</v>
      </c>
      <c r="AR131" s="283"/>
      <c r="AS131" s="284" t="n">
        <f aca="false">IFERROR(L131*$E131*$J131, "")</f>
        <v>0</v>
      </c>
      <c r="AT131" s="284" t="n">
        <f aca="false">IFERROR(M131*$E131*$J131, "")</f>
        <v>0</v>
      </c>
      <c r="AU131" s="284" t="n">
        <f aca="false">IFERROR(N131*$E131*$J131, "")</f>
        <v>0</v>
      </c>
      <c r="AV131" s="284" t="n">
        <f aca="false">IFERROR(O131*$E131*$J131, "")</f>
        <v>0</v>
      </c>
      <c r="AW131" s="284" t="n">
        <f aca="false">IFERROR(P131*$E131*$J131, "")</f>
        <v>0</v>
      </c>
      <c r="AX131" s="284" t="n">
        <f aca="false">IFERROR(Q131*$E131*$J131, "")</f>
        <v>0</v>
      </c>
      <c r="AY131" s="284" t="n">
        <f aca="false">IFERROR(R131*$E131*$J131, "")</f>
        <v>0</v>
      </c>
      <c r="AZ131" s="284" t="n">
        <f aca="false">IFERROR(S131*$E131*$J131, "")</f>
        <v>0</v>
      </c>
      <c r="BA131" s="284" t="n">
        <f aca="false">IFERROR(T131*$E131*$J131, "")</f>
        <v>0</v>
      </c>
      <c r="BB131" s="284" t="n">
        <f aca="false">IFERROR(U131*$E131*$J131, "")</f>
        <v>0</v>
      </c>
      <c r="BC131" s="284" t="n">
        <f aca="false">IFERROR(V131*$E131*$J131, "")</f>
        <v>0</v>
      </c>
      <c r="BD131" s="284" t="n">
        <f aca="false">IFERROR(W131*$E131*$J131, "")</f>
        <v>0</v>
      </c>
      <c r="BE131" s="286" t="n">
        <f aca="false">IFERROR(SUMIF($AB$4:$AM$4, "RDEC", AS131:BD131), "")</f>
        <v>0</v>
      </c>
      <c r="BF131" s="286" t="n">
        <f aca="false">IFERROR(SUMIF($AB$4:$AM$4, "SME", AS131:BD131), "")</f>
        <v>0</v>
      </c>
      <c r="BG131" s="286" t="n">
        <f aca="false">IFERROR(SUMIF($AB$4:$AM$4, "De Minimis", AS131:BD131), "")</f>
        <v>0</v>
      </c>
      <c r="BH131" s="287"/>
      <c r="BI131" s="288" t="str">
        <f aca="false">IF((SUM(L131:W131)&gt;1),"ERROR","")</f>
        <v/>
      </c>
    </row>
    <row r="132" customFormat="false" ht="15" hidden="false" customHeight="true" outlineLevel="0" collapsed="false">
      <c r="A132" s="340"/>
      <c r="B132" s="350"/>
      <c r="C132" s="350"/>
      <c r="H132" s="350"/>
      <c r="I132" s="279" t="n">
        <v>1</v>
      </c>
      <c r="J132" s="281" t="n">
        <f aca="false">1-I132</f>
        <v>0</v>
      </c>
      <c r="K132" s="32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350"/>
      <c r="Y132" s="381"/>
      <c r="Z132" s="384" t="s">
        <v>71</v>
      </c>
      <c r="AA132" s="283"/>
      <c r="AB132" s="284" t="n">
        <f aca="false">IF(AND(AB$4="RDEC", $Y132="Limited Company"), "", L132*$E132*$I132)</f>
        <v>0</v>
      </c>
      <c r="AC132" s="284" t="n">
        <f aca="false">IF(AND(AC$4="RDEC", $Y132="Limited Company"), "", M132*$E132*$I132)</f>
        <v>0</v>
      </c>
      <c r="AD132" s="284" t="n">
        <f aca="false">IF(AND(AD$4="RDEC", $Y132="Limited Company"), "", N132*$E132*$I132)</f>
        <v>0</v>
      </c>
      <c r="AE132" s="284" t="n">
        <f aca="false">IF(AND(AE$4="RDEC", $Y132="Limited Company"), "", O132*$E132*$I132)</f>
        <v>0</v>
      </c>
      <c r="AF132" s="284" t="n">
        <f aca="false">IF(AND(AF$4="RDEC", $Y132="Limited Company"), "", P132*$E132*$I132)</f>
        <v>0</v>
      </c>
      <c r="AG132" s="284" t="n">
        <f aca="false">IF(AND(AG$4="RDEC", $Y132="Limited Company"), "", Q132*$E132*$I132)</f>
        <v>0</v>
      </c>
      <c r="AH132" s="284" t="n">
        <f aca="false">IF(AND(AH$4="RDEC", $Y132="Limited Company"), "", R132*$E132*$I132)</f>
        <v>0</v>
      </c>
      <c r="AI132" s="284" t="n">
        <f aca="false">IF(AND(AI$4="RDEC", $Y132="Limited Company"), "", S132*$E132*$I132)</f>
        <v>0</v>
      </c>
      <c r="AJ132" s="284" t="n">
        <f aca="false">IF(AND(AJ$4="RDEC", $Y132="Limited Company"), "", T132*$E132*$I132)</f>
        <v>0</v>
      </c>
      <c r="AK132" s="284" t="n">
        <f aca="false">IF(AND(AK$4="RDEC", $Y132="Limited Company"), "", U132*$E132*$I132)</f>
        <v>0</v>
      </c>
      <c r="AL132" s="284" t="n">
        <f aca="false">IF(AND(AL$4="RDEC", $Y132="Limited Company"), "", V132*$E132*$I132)</f>
        <v>0</v>
      </c>
      <c r="AM132" s="284" t="n">
        <f aca="false">IF(AND(AM$4="RDEC", $Y132="Limited Company"), "", W132*$E132*$I132)</f>
        <v>0</v>
      </c>
      <c r="AN132" s="286" t="n">
        <f aca="false">IFERROR(SUMIF($AB$4:$AM$4, "RDEC", AB132:AM132), "")</f>
        <v>0</v>
      </c>
      <c r="AO132" s="286" t="str">
        <f aca="false">IFERROR((IF(Z132="Yes",SUMIF($AB$4:$AM$4,"SME",AB132:AM132),"")),"")</f>
        <v/>
      </c>
      <c r="AP132" s="286" t="n">
        <f aca="false">IFERROR((IF(Z132="No",SUMIF($AB$4:$AM$4,"SME",AB132:AM132),"")),"")</f>
        <v>0</v>
      </c>
      <c r="AQ132" s="286" t="n">
        <f aca="false">IFERROR(SUMIF($AB$4:$AM$4, "De Minimis", AB132:AM132), "")</f>
        <v>0</v>
      </c>
      <c r="AR132" s="283"/>
      <c r="AS132" s="284" t="n">
        <f aca="false">IFERROR(L132*$E132*$J132, "")</f>
        <v>0</v>
      </c>
      <c r="AT132" s="284" t="n">
        <f aca="false">IFERROR(M132*$E132*$J132, "")</f>
        <v>0</v>
      </c>
      <c r="AU132" s="284" t="n">
        <f aca="false">IFERROR(N132*$E132*$J132, "")</f>
        <v>0</v>
      </c>
      <c r="AV132" s="284" t="n">
        <f aca="false">IFERROR(O132*$E132*$J132, "")</f>
        <v>0</v>
      </c>
      <c r="AW132" s="284" t="n">
        <f aca="false">IFERROR(P132*$E132*$J132, "")</f>
        <v>0</v>
      </c>
      <c r="AX132" s="284" t="n">
        <f aca="false">IFERROR(Q132*$E132*$J132, "")</f>
        <v>0</v>
      </c>
      <c r="AY132" s="284" t="n">
        <f aca="false">IFERROR(R132*$E132*$J132, "")</f>
        <v>0</v>
      </c>
      <c r="AZ132" s="284" t="n">
        <f aca="false">IFERROR(S132*$E132*$J132, "")</f>
        <v>0</v>
      </c>
      <c r="BA132" s="284" t="n">
        <f aca="false">IFERROR(T132*$E132*$J132, "")</f>
        <v>0</v>
      </c>
      <c r="BB132" s="284" t="n">
        <f aca="false">IFERROR(U132*$E132*$J132, "")</f>
        <v>0</v>
      </c>
      <c r="BC132" s="284" t="n">
        <f aca="false">IFERROR(V132*$E132*$J132, "")</f>
        <v>0</v>
      </c>
      <c r="BD132" s="284" t="n">
        <f aca="false">IFERROR(W132*$E132*$J132, "")</f>
        <v>0</v>
      </c>
      <c r="BE132" s="286" t="n">
        <f aca="false">IFERROR(SUMIF($AB$4:$AM$4, "RDEC", AS132:BD132), "")</f>
        <v>0</v>
      </c>
      <c r="BF132" s="286" t="n">
        <f aca="false">IFERROR(SUMIF($AB$4:$AM$4, "SME", AS132:BD132), "")</f>
        <v>0</v>
      </c>
      <c r="BG132" s="286" t="n">
        <f aca="false">IFERROR(SUMIF($AB$4:$AM$4, "De Minimis", AS132:BD132), "")</f>
        <v>0</v>
      </c>
      <c r="BH132" s="287"/>
      <c r="BI132" s="288" t="str">
        <f aca="false">IF((SUM(L132:W132)&gt;1),"ERROR","")</f>
        <v/>
      </c>
    </row>
    <row r="133" customFormat="false" ht="15" hidden="false" customHeight="true" outlineLevel="0" collapsed="false">
      <c r="A133" s="340"/>
      <c r="B133" s="350"/>
      <c r="C133" s="350"/>
      <c r="H133" s="350"/>
      <c r="I133" s="279" t="n">
        <v>1</v>
      </c>
      <c r="J133" s="281" t="n">
        <f aca="false">1-I133</f>
        <v>0</v>
      </c>
      <c r="K133" s="32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350"/>
      <c r="Y133" s="381"/>
      <c r="Z133" s="384" t="s">
        <v>71</v>
      </c>
      <c r="AA133" s="283"/>
      <c r="AB133" s="284" t="n">
        <f aca="false">IF(AND(AB$4="RDEC", $Y133="Limited Company"), "", L133*$E133*$I133)</f>
        <v>0</v>
      </c>
      <c r="AC133" s="284" t="n">
        <f aca="false">IF(AND(AC$4="RDEC", $Y133="Limited Company"), "", M133*$E133*$I133)</f>
        <v>0</v>
      </c>
      <c r="AD133" s="284" t="n">
        <f aca="false">IF(AND(AD$4="RDEC", $Y133="Limited Company"), "", N133*$E133*$I133)</f>
        <v>0</v>
      </c>
      <c r="AE133" s="284" t="n">
        <f aca="false">IF(AND(AE$4="RDEC", $Y133="Limited Company"), "", O133*$E133*$I133)</f>
        <v>0</v>
      </c>
      <c r="AF133" s="284" t="n">
        <f aca="false">IF(AND(AF$4="RDEC", $Y133="Limited Company"), "", P133*$E133*$I133)</f>
        <v>0</v>
      </c>
      <c r="AG133" s="284" t="n">
        <f aca="false">IF(AND(AG$4="RDEC", $Y133="Limited Company"), "", Q133*$E133*$I133)</f>
        <v>0</v>
      </c>
      <c r="AH133" s="284" t="n">
        <f aca="false">IF(AND(AH$4="RDEC", $Y133="Limited Company"), "", R133*$E133*$I133)</f>
        <v>0</v>
      </c>
      <c r="AI133" s="284" t="n">
        <f aca="false">IF(AND(AI$4="RDEC", $Y133="Limited Company"), "", S133*$E133*$I133)</f>
        <v>0</v>
      </c>
      <c r="AJ133" s="284" t="n">
        <f aca="false">IF(AND(AJ$4="RDEC", $Y133="Limited Company"), "", T133*$E133*$I133)</f>
        <v>0</v>
      </c>
      <c r="AK133" s="284" t="n">
        <f aca="false">IF(AND(AK$4="RDEC", $Y133="Limited Company"), "", U133*$E133*$I133)</f>
        <v>0</v>
      </c>
      <c r="AL133" s="284" t="n">
        <f aca="false">IF(AND(AL$4="RDEC", $Y133="Limited Company"), "", V133*$E133*$I133)</f>
        <v>0</v>
      </c>
      <c r="AM133" s="284" t="n">
        <f aca="false">IF(AND(AM$4="RDEC", $Y133="Limited Company"), "", W133*$E133*$I133)</f>
        <v>0</v>
      </c>
      <c r="AN133" s="286" t="n">
        <f aca="false">IFERROR(SUMIF($AB$4:$AM$4, "RDEC", AB133:AM133), "")</f>
        <v>0</v>
      </c>
      <c r="AO133" s="286" t="str">
        <f aca="false">IFERROR((IF(Z133="Yes",SUMIF($AB$4:$AM$4,"SME",AB133:AM133),"")),"")</f>
        <v/>
      </c>
      <c r="AP133" s="286" t="n">
        <f aca="false">IFERROR((IF(Z133="No",SUMIF($AB$4:$AM$4,"SME",AB133:AM133),"")),"")</f>
        <v>0</v>
      </c>
      <c r="AQ133" s="286" t="n">
        <f aca="false">IFERROR(SUMIF($AB$4:$AM$4, "De Minimis", AB133:AM133), "")</f>
        <v>0</v>
      </c>
      <c r="AR133" s="283"/>
      <c r="AS133" s="284" t="n">
        <f aca="false">IFERROR(L133*$E133*$J133, "")</f>
        <v>0</v>
      </c>
      <c r="AT133" s="284" t="n">
        <f aca="false">IFERROR(M133*$E133*$J133, "")</f>
        <v>0</v>
      </c>
      <c r="AU133" s="284" t="n">
        <f aca="false">IFERROR(N133*$E133*$J133, "")</f>
        <v>0</v>
      </c>
      <c r="AV133" s="284" t="n">
        <f aca="false">IFERROR(O133*$E133*$J133, "")</f>
        <v>0</v>
      </c>
      <c r="AW133" s="284" t="n">
        <f aca="false">IFERROR(P133*$E133*$J133, "")</f>
        <v>0</v>
      </c>
      <c r="AX133" s="284" t="n">
        <f aca="false">IFERROR(Q133*$E133*$J133, "")</f>
        <v>0</v>
      </c>
      <c r="AY133" s="284" t="n">
        <f aca="false">IFERROR(R133*$E133*$J133, "")</f>
        <v>0</v>
      </c>
      <c r="AZ133" s="284" t="n">
        <f aca="false">IFERROR(S133*$E133*$J133, "")</f>
        <v>0</v>
      </c>
      <c r="BA133" s="284" t="n">
        <f aca="false">IFERROR(T133*$E133*$J133, "")</f>
        <v>0</v>
      </c>
      <c r="BB133" s="284" t="n">
        <f aca="false">IFERROR(U133*$E133*$J133, "")</f>
        <v>0</v>
      </c>
      <c r="BC133" s="284" t="n">
        <f aca="false">IFERROR(V133*$E133*$J133, "")</f>
        <v>0</v>
      </c>
      <c r="BD133" s="284" t="n">
        <f aca="false">IFERROR(W133*$E133*$J133, "")</f>
        <v>0</v>
      </c>
      <c r="BE133" s="286" t="n">
        <f aca="false">IFERROR(SUMIF($AB$4:$AM$4, "RDEC", AS133:BD133), "")</f>
        <v>0</v>
      </c>
      <c r="BF133" s="286" t="n">
        <f aca="false">IFERROR(SUMIF($AB$4:$AM$4, "SME", AS133:BD133), "")</f>
        <v>0</v>
      </c>
      <c r="BG133" s="286" t="n">
        <f aca="false">IFERROR(SUMIF($AB$4:$AM$4, "De Minimis", AS133:BD133), "")</f>
        <v>0</v>
      </c>
      <c r="BH133" s="287"/>
      <c r="BI133" s="288" t="str">
        <f aca="false">IF((SUM(L133:W133)&gt;1),"ERROR","")</f>
        <v/>
      </c>
    </row>
    <row r="134" customFormat="false" ht="15" hidden="false" customHeight="true" outlineLevel="0" collapsed="false">
      <c r="A134" s="340"/>
      <c r="B134" s="350"/>
      <c r="C134" s="350"/>
      <c r="H134" s="350"/>
      <c r="I134" s="279" t="n">
        <v>1</v>
      </c>
      <c r="J134" s="281" t="n">
        <f aca="false">1-I134</f>
        <v>0</v>
      </c>
      <c r="K134" s="32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350"/>
      <c r="Y134" s="381"/>
      <c r="Z134" s="384" t="s">
        <v>71</v>
      </c>
      <c r="AA134" s="283"/>
      <c r="AB134" s="284" t="n">
        <f aca="false">IF(AND(AB$4="RDEC", $Y134="Limited Company"), "", L134*$E134*$I134)</f>
        <v>0</v>
      </c>
      <c r="AC134" s="284" t="n">
        <f aca="false">IF(AND(AC$4="RDEC", $Y134="Limited Company"), "", M134*$E134*$I134)</f>
        <v>0</v>
      </c>
      <c r="AD134" s="284" t="n">
        <f aca="false">IF(AND(AD$4="RDEC", $Y134="Limited Company"), "", N134*$E134*$I134)</f>
        <v>0</v>
      </c>
      <c r="AE134" s="284" t="n">
        <f aca="false">IF(AND(AE$4="RDEC", $Y134="Limited Company"), "", O134*$E134*$I134)</f>
        <v>0</v>
      </c>
      <c r="AF134" s="284" t="n">
        <f aca="false">IF(AND(AF$4="RDEC", $Y134="Limited Company"), "", P134*$E134*$I134)</f>
        <v>0</v>
      </c>
      <c r="AG134" s="284" t="n">
        <f aca="false">IF(AND(AG$4="RDEC", $Y134="Limited Company"), "", Q134*$E134*$I134)</f>
        <v>0</v>
      </c>
      <c r="AH134" s="284" t="n">
        <f aca="false">IF(AND(AH$4="RDEC", $Y134="Limited Company"), "", R134*$E134*$I134)</f>
        <v>0</v>
      </c>
      <c r="AI134" s="284" t="n">
        <f aca="false">IF(AND(AI$4="RDEC", $Y134="Limited Company"), "", S134*$E134*$I134)</f>
        <v>0</v>
      </c>
      <c r="AJ134" s="284" t="n">
        <f aca="false">IF(AND(AJ$4="RDEC", $Y134="Limited Company"), "", T134*$E134*$I134)</f>
        <v>0</v>
      </c>
      <c r="AK134" s="284" t="n">
        <f aca="false">IF(AND(AK$4="RDEC", $Y134="Limited Company"), "", U134*$E134*$I134)</f>
        <v>0</v>
      </c>
      <c r="AL134" s="284" t="n">
        <f aca="false">IF(AND(AL$4="RDEC", $Y134="Limited Company"), "", V134*$E134*$I134)</f>
        <v>0</v>
      </c>
      <c r="AM134" s="284" t="n">
        <f aca="false">IF(AND(AM$4="RDEC", $Y134="Limited Company"), "", W134*$E134*$I134)</f>
        <v>0</v>
      </c>
      <c r="AN134" s="286" t="n">
        <f aca="false">IFERROR(SUMIF($AB$4:$AM$4, "RDEC", AB134:AM134), "")</f>
        <v>0</v>
      </c>
      <c r="AO134" s="286" t="str">
        <f aca="false">IFERROR((IF(Z134="Yes",SUMIF($AB$4:$AM$4,"SME",AB134:AM134),"")),"")</f>
        <v/>
      </c>
      <c r="AP134" s="286" t="n">
        <f aca="false">IFERROR((IF(Z134="No",SUMIF($AB$4:$AM$4,"SME",AB134:AM134),"")),"")</f>
        <v>0</v>
      </c>
      <c r="AQ134" s="286" t="n">
        <f aca="false">IFERROR(SUMIF($AB$4:$AM$4, "De Minimis", AB134:AM134), "")</f>
        <v>0</v>
      </c>
      <c r="AR134" s="283"/>
      <c r="AS134" s="284" t="n">
        <f aca="false">IFERROR(L134*$E134*$J134, "")</f>
        <v>0</v>
      </c>
      <c r="AT134" s="284" t="n">
        <f aca="false">IFERROR(M134*$E134*$J134, "")</f>
        <v>0</v>
      </c>
      <c r="AU134" s="284" t="n">
        <f aca="false">IFERROR(N134*$E134*$J134, "")</f>
        <v>0</v>
      </c>
      <c r="AV134" s="284" t="n">
        <f aca="false">IFERROR(O134*$E134*$J134, "")</f>
        <v>0</v>
      </c>
      <c r="AW134" s="284" t="n">
        <f aca="false">IFERROR(P134*$E134*$J134, "")</f>
        <v>0</v>
      </c>
      <c r="AX134" s="284" t="n">
        <f aca="false">IFERROR(Q134*$E134*$J134, "")</f>
        <v>0</v>
      </c>
      <c r="AY134" s="284" t="n">
        <f aca="false">IFERROR(R134*$E134*$J134, "")</f>
        <v>0</v>
      </c>
      <c r="AZ134" s="284" t="n">
        <f aca="false">IFERROR(S134*$E134*$J134, "")</f>
        <v>0</v>
      </c>
      <c r="BA134" s="284" t="n">
        <f aca="false">IFERROR(T134*$E134*$J134, "")</f>
        <v>0</v>
      </c>
      <c r="BB134" s="284" t="n">
        <f aca="false">IFERROR(U134*$E134*$J134, "")</f>
        <v>0</v>
      </c>
      <c r="BC134" s="284" t="n">
        <f aca="false">IFERROR(V134*$E134*$J134, "")</f>
        <v>0</v>
      </c>
      <c r="BD134" s="284" t="n">
        <f aca="false">IFERROR(W134*$E134*$J134, "")</f>
        <v>0</v>
      </c>
      <c r="BE134" s="286" t="n">
        <f aca="false">IFERROR(SUMIF($AB$4:$AM$4, "RDEC", AS134:BD134), "")</f>
        <v>0</v>
      </c>
      <c r="BF134" s="286" t="n">
        <f aca="false">IFERROR(SUMIF($AB$4:$AM$4, "SME", AS134:BD134), "")</f>
        <v>0</v>
      </c>
      <c r="BG134" s="286" t="n">
        <f aca="false">IFERROR(SUMIF($AB$4:$AM$4, "De Minimis", AS134:BD134), "")</f>
        <v>0</v>
      </c>
      <c r="BH134" s="287"/>
      <c r="BI134" s="288" t="str">
        <f aca="false">IF((SUM(L134:W134)&gt;1),"ERROR","")</f>
        <v/>
      </c>
    </row>
    <row r="135" customFormat="false" ht="15" hidden="false" customHeight="true" outlineLevel="0" collapsed="false">
      <c r="A135" s="340"/>
      <c r="B135" s="350"/>
      <c r="C135" s="350"/>
      <c r="H135" s="350"/>
      <c r="I135" s="279" t="n">
        <v>1</v>
      </c>
      <c r="J135" s="281" t="n">
        <f aca="false">1-I135</f>
        <v>0</v>
      </c>
      <c r="K135" s="32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350"/>
      <c r="Y135" s="381"/>
      <c r="Z135" s="384" t="s">
        <v>71</v>
      </c>
      <c r="AA135" s="283"/>
      <c r="AB135" s="284" t="n">
        <f aca="false">IF(AND(AB$4="RDEC", $Y135="Limited Company"), "", L135*$E135*$I135)</f>
        <v>0</v>
      </c>
      <c r="AC135" s="284" t="n">
        <f aca="false">IF(AND(AC$4="RDEC", $Y135="Limited Company"), "", M135*$E135*$I135)</f>
        <v>0</v>
      </c>
      <c r="AD135" s="284" t="n">
        <f aca="false">IF(AND(AD$4="RDEC", $Y135="Limited Company"), "", N135*$E135*$I135)</f>
        <v>0</v>
      </c>
      <c r="AE135" s="284" t="n">
        <f aca="false">IF(AND(AE$4="RDEC", $Y135="Limited Company"), "", O135*$E135*$I135)</f>
        <v>0</v>
      </c>
      <c r="AF135" s="284" t="n">
        <f aca="false">IF(AND(AF$4="RDEC", $Y135="Limited Company"), "", P135*$E135*$I135)</f>
        <v>0</v>
      </c>
      <c r="AG135" s="284" t="n">
        <f aca="false">IF(AND(AG$4="RDEC", $Y135="Limited Company"), "", Q135*$E135*$I135)</f>
        <v>0</v>
      </c>
      <c r="AH135" s="284" t="n">
        <f aca="false">IF(AND(AH$4="RDEC", $Y135="Limited Company"), "", R135*$E135*$I135)</f>
        <v>0</v>
      </c>
      <c r="AI135" s="284" t="n">
        <f aca="false">IF(AND(AI$4="RDEC", $Y135="Limited Company"), "", S135*$E135*$I135)</f>
        <v>0</v>
      </c>
      <c r="AJ135" s="284" t="n">
        <f aca="false">IF(AND(AJ$4="RDEC", $Y135="Limited Company"), "", T135*$E135*$I135)</f>
        <v>0</v>
      </c>
      <c r="AK135" s="284" t="n">
        <f aca="false">IF(AND(AK$4="RDEC", $Y135="Limited Company"), "", U135*$E135*$I135)</f>
        <v>0</v>
      </c>
      <c r="AL135" s="284" t="n">
        <f aca="false">IF(AND(AL$4="RDEC", $Y135="Limited Company"), "", V135*$E135*$I135)</f>
        <v>0</v>
      </c>
      <c r="AM135" s="284" t="n">
        <f aca="false">IF(AND(AM$4="RDEC", $Y135="Limited Company"), "", W135*$E135*$I135)</f>
        <v>0</v>
      </c>
      <c r="AN135" s="286" t="n">
        <f aca="false">IFERROR(SUMIF($AB$4:$AM$4, "RDEC", AB135:AM135), "")</f>
        <v>0</v>
      </c>
      <c r="AO135" s="286" t="str">
        <f aca="false">IFERROR((IF(Z135="Yes",SUMIF($AB$4:$AM$4,"SME",AB135:AM135),"")),"")</f>
        <v/>
      </c>
      <c r="AP135" s="286" t="n">
        <f aca="false">IFERROR((IF(Z135="No",SUMIF($AB$4:$AM$4,"SME",AB135:AM135),"")),"")</f>
        <v>0</v>
      </c>
      <c r="AQ135" s="286" t="n">
        <f aca="false">IFERROR(SUMIF($AB$4:$AM$4, "De Minimis", AB135:AM135), "")</f>
        <v>0</v>
      </c>
      <c r="AR135" s="283"/>
      <c r="AS135" s="284" t="n">
        <f aca="false">IFERROR(L135*$E135*$J135, "")</f>
        <v>0</v>
      </c>
      <c r="AT135" s="284" t="n">
        <f aca="false">IFERROR(M135*$E135*$J135, "")</f>
        <v>0</v>
      </c>
      <c r="AU135" s="284" t="n">
        <f aca="false">IFERROR(N135*$E135*$J135, "")</f>
        <v>0</v>
      </c>
      <c r="AV135" s="284" t="n">
        <f aca="false">IFERROR(O135*$E135*$J135, "")</f>
        <v>0</v>
      </c>
      <c r="AW135" s="284" t="n">
        <f aca="false">IFERROR(P135*$E135*$J135, "")</f>
        <v>0</v>
      </c>
      <c r="AX135" s="284" t="n">
        <f aca="false">IFERROR(Q135*$E135*$J135, "")</f>
        <v>0</v>
      </c>
      <c r="AY135" s="284" t="n">
        <f aca="false">IFERROR(R135*$E135*$J135, "")</f>
        <v>0</v>
      </c>
      <c r="AZ135" s="284" t="n">
        <f aca="false">IFERROR(S135*$E135*$J135, "")</f>
        <v>0</v>
      </c>
      <c r="BA135" s="284" t="n">
        <f aca="false">IFERROR(T135*$E135*$J135, "")</f>
        <v>0</v>
      </c>
      <c r="BB135" s="284" t="n">
        <f aca="false">IFERROR(U135*$E135*$J135, "")</f>
        <v>0</v>
      </c>
      <c r="BC135" s="284" t="n">
        <f aca="false">IFERROR(V135*$E135*$J135, "")</f>
        <v>0</v>
      </c>
      <c r="BD135" s="284" t="n">
        <f aca="false">IFERROR(W135*$E135*$J135, "")</f>
        <v>0</v>
      </c>
      <c r="BE135" s="286" t="n">
        <f aca="false">IFERROR(SUMIF($AB$4:$AM$4, "RDEC", AS135:BD135), "")</f>
        <v>0</v>
      </c>
      <c r="BF135" s="286" t="n">
        <f aca="false">IFERROR(SUMIF($AB$4:$AM$4, "SME", AS135:BD135), "")</f>
        <v>0</v>
      </c>
      <c r="BG135" s="286" t="n">
        <f aca="false">IFERROR(SUMIF($AB$4:$AM$4, "De Minimis", AS135:BD135), "")</f>
        <v>0</v>
      </c>
      <c r="BH135" s="287"/>
      <c r="BI135" s="288" t="str">
        <f aca="false">IF((SUM(L135:W135)&gt;1),"ERROR","")</f>
        <v/>
      </c>
    </row>
    <row r="136" customFormat="false" ht="15" hidden="false" customHeight="true" outlineLevel="0" collapsed="false">
      <c r="A136" s="340"/>
      <c r="B136" s="350"/>
      <c r="C136" s="350"/>
      <c r="H136" s="350"/>
      <c r="I136" s="279" t="n">
        <v>1</v>
      </c>
      <c r="J136" s="281" t="n">
        <f aca="false">1-I136</f>
        <v>0</v>
      </c>
      <c r="K136" s="32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350"/>
      <c r="Y136" s="381"/>
      <c r="Z136" s="384" t="s">
        <v>71</v>
      </c>
      <c r="AA136" s="283"/>
      <c r="AB136" s="284" t="n">
        <f aca="false">IF(AND(AB$4="RDEC", $Y136="Limited Company"), "", L136*$E136*$I136)</f>
        <v>0</v>
      </c>
      <c r="AC136" s="284" t="n">
        <f aca="false">IF(AND(AC$4="RDEC", $Y136="Limited Company"), "", M136*$E136*$I136)</f>
        <v>0</v>
      </c>
      <c r="AD136" s="284" t="n">
        <f aca="false">IF(AND(AD$4="RDEC", $Y136="Limited Company"), "", N136*$E136*$I136)</f>
        <v>0</v>
      </c>
      <c r="AE136" s="284" t="n">
        <f aca="false">IF(AND(AE$4="RDEC", $Y136="Limited Company"), "", O136*$E136*$I136)</f>
        <v>0</v>
      </c>
      <c r="AF136" s="284" t="n">
        <f aca="false">IF(AND(AF$4="RDEC", $Y136="Limited Company"), "", P136*$E136*$I136)</f>
        <v>0</v>
      </c>
      <c r="AG136" s="284" t="n">
        <f aca="false">IF(AND(AG$4="RDEC", $Y136="Limited Company"), "", Q136*$E136*$I136)</f>
        <v>0</v>
      </c>
      <c r="AH136" s="284" t="n">
        <f aca="false">IF(AND(AH$4="RDEC", $Y136="Limited Company"), "", R136*$E136*$I136)</f>
        <v>0</v>
      </c>
      <c r="AI136" s="284" t="n">
        <f aca="false">IF(AND(AI$4="RDEC", $Y136="Limited Company"), "", S136*$E136*$I136)</f>
        <v>0</v>
      </c>
      <c r="AJ136" s="284" t="n">
        <f aca="false">IF(AND(AJ$4="RDEC", $Y136="Limited Company"), "", T136*$E136*$I136)</f>
        <v>0</v>
      </c>
      <c r="AK136" s="284" t="n">
        <f aca="false">IF(AND(AK$4="RDEC", $Y136="Limited Company"), "", U136*$E136*$I136)</f>
        <v>0</v>
      </c>
      <c r="AL136" s="284" t="n">
        <f aca="false">IF(AND(AL$4="RDEC", $Y136="Limited Company"), "", V136*$E136*$I136)</f>
        <v>0</v>
      </c>
      <c r="AM136" s="284" t="n">
        <f aca="false">IF(AND(AM$4="RDEC", $Y136="Limited Company"), "", W136*$E136*$I136)</f>
        <v>0</v>
      </c>
      <c r="AN136" s="286" t="n">
        <f aca="false">IFERROR(SUMIF($AB$4:$AM$4, "RDEC", AB136:AM136), "")</f>
        <v>0</v>
      </c>
      <c r="AO136" s="286" t="str">
        <f aca="false">IFERROR((IF(Z136="Yes",SUMIF($AB$4:$AM$4,"SME",AB136:AM136),"")),"")</f>
        <v/>
      </c>
      <c r="AP136" s="286" t="n">
        <f aca="false">IFERROR((IF(Z136="No",SUMIF($AB$4:$AM$4,"SME",AB136:AM136),"")),"")</f>
        <v>0</v>
      </c>
      <c r="AQ136" s="286" t="n">
        <f aca="false">IFERROR(SUMIF($AB$4:$AM$4, "De Minimis", AB136:AM136), "")</f>
        <v>0</v>
      </c>
      <c r="AR136" s="283"/>
      <c r="AS136" s="284" t="n">
        <f aca="false">IFERROR(L136*$E136*$J136, "")</f>
        <v>0</v>
      </c>
      <c r="AT136" s="284" t="n">
        <f aca="false">IFERROR(M136*$E136*$J136, "")</f>
        <v>0</v>
      </c>
      <c r="AU136" s="284" t="n">
        <f aca="false">IFERROR(N136*$E136*$J136, "")</f>
        <v>0</v>
      </c>
      <c r="AV136" s="284" t="n">
        <f aca="false">IFERROR(O136*$E136*$J136, "")</f>
        <v>0</v>
      </c>
      <c r="AW136" s="284" t="n">
        <f aca="false">IFERROR(P136*$E136*$J136, "")</f>
        <v>0</v>
      </c>
      <c r="AX136" s="284" t="n">
        <f aca="false">IFERROR(Q136*$E136*$J136, "")</f>
        <v>0</v>
      </c>
      <c r="AY136" s="284" t="n">
        <f aca="false">IFERROR(R136*$E136*$J136, "")</f>
        <v>0</v>
      </c>
      <c r="AZ136" s="284" t="n">
        <f aca="false">IFERROR(S136*$E136*$J136, "")</f>
        <v>0</v>
      </c>
      <c r="BA136" s="284" t="n">
        <f aca="false">IFERROR(T136*$E136*$J136, "")</f>
        <v>0</v>
      </c>
      <c r="BB136" s="284" t="n">
        <f aca="false">IFERROR(U136*$E136*$J136, "")</f>
        <v>0</v>
      </c>
      <c r="BC136" s="284" t="n">
        <f aca="false">IFERROR(V136*$E136*$J136, "")</f>
        <v>0</v>
      </c>
      <c r="BD136" s="284" t="n">
        <f aca="false">IFERROR(W136*$E136*$J136, "")</f>
        <v>0</v>
      </c>
      <c r="BE136" s="286" t="n">
        <f aca="false">IFERROR(SUMIF($AB$4:$AM$4, "RDEC", AS136:BD136), "")</f>
        <v>0</v>
      </c>
      <c r="BF136" s="286" t="n">
        <f aca="false">IFERROR(SUMIF($AB$4:$AM$4, "SME", AS136:BD136), "")</f>
        <v>0</v>
      </c>
      <c r="BG136" s="286" t="n">
        <f aca="false">IFERROR(SUMIF($AB$4:$AM$4, "De Minimis", AS136:BD136), "")</f>
        <v>0</v>
      </c>
      <c r="BH136" s="287"/>
      <c r="BI136" s="288" t="str">
        <f aca="false">IF((SUM(L136:W136)&gt;1),"ERROR","")</f>
        <v/>
      </c>
    </row>
    <row r="137" customFormat="false" ht="15" hidden="false" customHeight="true" outlineLevel="0" collapsed="false">
      <c r="A137" s="340"/>
      <c r="B137" s="350"/>
      <c r="C137" s="350"/>
      <c r="H137" s="350"/>
      <c r="I137" s="279" t="n">
        <v>1</v>
      </c>
      <c r="J137" s="281" t="n">
        <f aca="false">1-I137</f>
        <v>0</v>
      </c>
      <c r="K137" s="32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350"/>
      <c r="Y137" s="381"/>
      <c r="Z137" s="384" t="s">
        <v>71</v>
      </c>
      <c r="AA137" s="283"/>
      <c r="AB137" s="284" t="n">
        <f aca="false">IF(AND(AB$4="RDEC", $Y137="Limited Company"), "", L137*$E137*$I137)</f>
        <v>0</v>
      </c>
      <c r="AC137" s="284" t="n">
        <f aca="false">IF(AND(AC$4="RDEC", $Y137="Limited Company"), "", M137*$E137*$I137)</f>
        <v>0</v>
      </c>
      <c r="AD137" s="284" t="n">
        <f aca="false">IF(AND(AD$4="RDEC", $Y137="Limited Company"), "", N137*$E137*$I137)</f>
        <v>0</v>
      </c>
      <c r="AE137" s="284" t="n">
        <f aca="false">IF(AND(AE$4="RDEC", $Y137="Limited Company"), "", O137*$E137*$I137)</f>
        <v>0</v>
      </c>
      <c r="AF137" s="284" t="n">
        <f aca="false">IF(AND(AF$4="RDEC", $Y137="Limited Company"), "", P137*$E137*$I137)</f>
        <v>0</v>
      </c>
      <c r="AG137" s="284" t="n">
        <f aca="false">IF(AND(AG$4="RDEC", $Y137="Limited Company"), "", Q137*$E137*$I137)</f>
        <v>0</v>
      </c>
      <c r="AH137" s="284" t="n">
        <f aca="false">IF(AND(AH$4="RDEC", $Y137="Limited Company"), "", R137*$E137*$I137)</f>
        <v>0</v>
      </c>
      <c r="AI137" s="284" t="n">
        <f aca="false">IF(AND(AI$4="RDEC", $Y137="Limited Company"), "", S137*$E137*$I137)</f>
        <v>0</v>
      </c>
      <c r="AJ137" s="284" t="n">
        <f aca="false">IF(AND(AJ$4="RDEC", $Y137="Limited Company"), "", T137*$E137*$I137)</f>
        <v>0</v>
      </c>
      <c r="AK137" s="284" t="n">
        <f aca="false">IF(AND(AK$4="RDEC", $Y137="Limited Company"), "", U137*$E137*$I137)</f>
        <v>0</v>
      </c>
      <c r="AL137" s="284" t="n">
        <f aca="false">IF(AND(AL$4="RDEC", $Y137="Limited Company"), "", V137*$E137*$I137)</f>
        <v>0</v>
      </c>
      <c r="AM137" s="284" t="n">
        <f aca="false">IF(AND(AM$4="RDEC", $Y137="Limited Company"), "", W137*$E137*$I137)</f>
        <v>0</v>
      </c>
      <c r="AN137" s="286" t="n">
        <f aca="false">IFERROR(SUMIF($AB$4:$AM$4, "RDEC", AB137:AM137), "")</f>
        <v>0</v>
      </c>
      <c r="AO137" s="286" t="str">
        <f aca="false">IFERROR((IF(Z137="Yes",SUMIF($AB$4:$AM$4,"SME",AB137:AM137),"")),"")</f>
        <v/>
      </c>
      <c r="AP137" s="286" t="n">
        <f aca="false">IFERROR((IF(Z137="No",SUMIF($AB$4:$AM$4,"SME",AB137:AM137),"")),"")</f>
        <v>0</v>
      </c>
      <c r="AQ137" s="286" t="n">
        <f aca="false">IFERROR(SUMIF($AB$4:$AM$4, "De Minimis", AB137:AM137), "")</f>
        <v>0</v>
      </c>
      <c r="AR137" s="283"/>
      <c r="AS137" s="284" t="n">
        <f aca="false">IFERROR(L137*$E137*$J137, "")</f>
        <v>0</v>
      </c>
      <c r="AT137" s="284" t="n">
        <f aca="false">IFERROR(M137*$E137*$J137, "")</f>
        <v>0</v>
      </c>
      <c r="AU137" s="284" t="n">
        <f aca="false">IFERROR(N137*$E137*$J137, "")</f>
        <v>0</v>
      </c>
      <c r="AV137" s="284" t="n">
        <f aca="false">IFERROR(O137*$E137*$J137, "")</f>
        <v>0</v>
      </c>
      <c r="AW137" s="284" t="n">
        <f aca="false">IFERROR(P137*$E137*$J137, "")</f>
        <v>0</v>
      </c>
      <c r="AX137" s="284" t="n">
        <f aca="false">IFERROR(Q137*$E137*$J137, "")</f>
        <v>0</v>
      </c>
      <c r="AY137" s="284" t="n">
        <f aca="false">IFERROR(R137*$E137*$J137, "")</f>
        <v>0</v>
      </c>
      <c r="AZ137" s="284" t="n">
        <f aca="false">IFERROR(S137*$E137*$J137, "")</f>
        <v>0</v>
      </c>
      <c r="BA137" s="284" t="n">
        <f aca="false">IFERROR(T137*$E137*$J137, "")</f>
        <v>0</v>
      </c>
      <c r="BB137" s="284" t="n">
        <f aca="false">IFERROR(U137*$E137*$J137, "")</f>
        <v>0</v>
      </c>
      <c r="BC137" s="284" t="n">
        <f aca="false">IFERROR(V137*$E137*$J137, "")</f>
        <v>0</v>
      </c>
      <c r="BD137" s="284" t="n">
        <f aca="false">IFERROR(W137*$E137*$J137, "")</f>
        <v>0</v>
      </c>
      <c r="BE137" s="286" t="n">
        <f aca="false">IFERROR(SUMIF($AB$4:$AM$4, "RDEC", AS137:BD137), "")</f>
        <v>0</v>
      </c>
      <c r="BF137" s="286" t="n">
        <f aca="false">IFERROR(SUMIF($AB$4:$AM$4, "SME", AS137:BD137), "")</f>
        <v>0</v>
      </c>
      <c r="BG137" s="286" t="n">
        <f aca="false">IFERROR(SUMIF($AB$4:$AM$4, "De Minimis", AS137:BD137), "")</f>
        <v>0</v>
      </c>
      <c r="BH137" s="287"/>
      <c r="BI137" s="288" t="str">
        <f aca="false">IF((SUM(L137:W137)&gt;1),"ERROR","")</f>
        <v/>
      </c>
    </row>
    <row r="138" customFormat="false" ht="15" hidden="false" customHeight="true" outlineLevel="0" collapsed="false">
      <c r="A138" s="340"/>
      <c r="B138" s="350"/>
      <c r="C138" s="350"/>
      <c r="H138" s="350"/>
      <c r="I138" s="279" t="n">
        <v>1</v>
      </c>
      <c r="J138" s="281" t="n">
        <f aca="false">1-I138</f>
        <v>0</v>
      </c>
      <c r="K138" s="32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350"/>
      <c r="Y138" s="381"/>
      <c r="Z138" s="384" t="s">
        <v>71</v>
      </c>
      <c r="AA138" s="283"/>
      <c r="AB138" s="284" t="n">
        <f aca="false">IF(AND(AB$4="RDEC", $Y138="Limited Company"), "", L138*$E138*$I138)</f>
        <v>0</v>
      </c>
      <c r="AC138" s="284" t="n">
        <f aca="false">IF(AND(AC$4="RDEC", $Y138="Limited Company"), "", M138*$E138*$I138)</f>
        <v>0</v>
      </c>
      <c r="AD138" s="284" t="n">
        <f aca="false">IF(AND(AD$4="RDEC", $Y138="Limited Company"), "", N138*$E138*$I138)</f>
        <v>0</v>
      </c>
      <c r="AE138" s="284" t="n">
        <f aca="false">IF(AND(AE$4="RDEC", $Y138="Limited Company"), "", O138*$E138*$I138)</f>
        <v>0</v>
      </c>
      <c r="AF138" s="284" t="n">
        <f aca="false">IF(AND(AF$4="RDEC", $Y138="Limited Company"), "", P138*$E138*$I138)</f>
        <v>0</v>
      </c>
      <c r="AG138" s="284" t="n">
        <f aca="false">IF(AND(AG$4="RDEC", $Y138="Limited Company"), "", Q138*$E138*$I138)</f>
        <v>0</v>
      </c>
      <c r="AH138" s="284" t="n">
        <f aca="false">IF(AND(AH$4="RDEC", $Y138="Limited Company"), "", R138*$E138*$I138)</f>
        <v>0</v>
      </c>
      <c r="AI138" s="284" t="n">
        <f aca="false">IF(AND(AI$4="RDEC", $Y138="Limited Company"), "", S138*$E138*$I138)</f>
        <v>0</v>
      </c>
      <c r="AJ138" s="284" t="n">
        <f aca="false">IF(AND(AJ$4="RDEC", $Y138="Limited Company"), "", T138*$E138*$I138)</f>
        <v>0</v>
      </c>
      <c r="AK138" s="284" t="n">
        <f aca="false">IF(AND(AK$4="RDEC", $Y138="Limited Company"), "", U138*$E138*$I138)</f>
        <v>0</v>
      </c>
      <c r="AL138" s="284" t="n">
        <f aca="false">IF(AND(AL$4="RDEC", $Y138="Limited Company"), "", V138*$E138*$I138)</f>
        <v>0</v>
      </c>
      <c r="AM138" s="284" t="n">
        <f aca="false">IF(AND(AM$4="RDEC", $Y138="Limited Company"), "", W138*$E138*$I138)</f>
        <v>0</v>
      </c>
      <c r="AN138" s="286" t="n">
        <f aca="false">IFERROR(SUMIF($AB$4:$AM$4, "RDEC", AB138:AM138), "")</f>
        <v>0</v>
      </c>
      <c r="AO138" s="286" t="str">
        <f aca="false">IFERROR((IF(Z138="Yes",SUMIF($AB$4:$AM$4,"SME",AB138:AM138),"")),"")</f>
        <v/>
      </c>
      <c r="AP138" s="286" t="n">
        <f aca="false">IFERROR((IF(Z138="No",SUMIF($AB$4:$AM$4,"SME",AB138:AM138),"")),"")</f>
        <v>0</v>
      </c>
      <c r="AQ138" s="286" t="n">
        <f aca="false">IFERROR(SUMIF($AB$4:$AM$4, "De Minimis", AB138:AM138), "")</f>
        <v>0</v>
      </c>
      <c r="AR138" s="283"/>
      <c r="AS138" s="284" t="n">
        <f aca="false">IFERROR(L138*$E138*$J138, "")</f>
        <v>0</v>
      </c>
      <c r="AT138" s="284" t="n">
        <f aca="false">IFERROR(M138*$E138*$J138, "")</f>
        <v>0</v>
      </c>
      <c r="AU138" s="284" t="n">
        <f aca="false">IFERROR(N138*$E138*$J138, "")</f>
        <v>0</v>
      </c>
      <c r="AV138" s="284" t="n">
        <f aca="false">IFERROR(O138*$E138*$J138, "")</f>
        <v>0</v>
      </c>
      <c r="AW138" s="284" t="n">
        <f aca="false">IFERROR(P138*$E138*$J138, "")</f>
        <v>0</v>
      </c>
      <c r="AX138" s="284" t="n">
        <f aca="false">IFERROR(Q138*$E138*$J138, "")</f>
        <v>0</v>
      </c>
      <c r="AY138" s="284" t="n">
        <f aca="false">IFERROR(R138*$E138*$J138, "")</f>
        <v>0</v>
      </c>
      <c r="AZ138" s="284" t="n">
        <f aca="false">IFERROR(S138*$E138*$J138, "")</f>
        <v>0</v>
      </c>
      <c r="BA138" s="284" t="n">
        <f aca="false">IFERROR(T138*$E138*$J138, "")</f>
        <v>0</v>
      </c>
      <c r="BB138" s="284" t="n">
        <f aca="false">IFERROR(U138*$E138*$J138, "")</f>
        <v>0</v>
      </c>
      <c r="BC138" s="284" t="n">
        <f aca="false">IFERROR(V138*$E138*$J138, "")</f>
        <v>0</v>
      </c>
      <c r="BD138" s="284" t="n">
        <f aca="false">IFERROR(W138*$E138*$J138, "")</f>
        <v>0</v>
      </c>
      <c r="BE138" s="286" t="n">
        <f aca="false">IFERROR(SUMIF($AB$4:$AM$4, "RDEC", AS138:BD138), "")</f>
        <v>0</v>
      </c>
      <c r="BF138" s="286" t="n">
        <f aca="false">IFERROR(SUMIF($AB$4:$AM$4, "SME", AS138:BD138), "")</f>
        <v>0</v>
      </c>
      <c r="BG138" s="286" t="n">
        <f aca="false">IFERROR(SUMIF($AB$4:$AM$4, "De Minimis", AS138:BD138), "")</f>
        <v>0</v>
      </c>
      <c r="BH138" s="287"/>
      <c r="BI138" s="288" t="str">
        <f aca="false">IF((SUM(L138:W138)&gt;1),"ERROR","")</f>
        <v/>
      </c>
    </row>
    <row r="139" customFormat="false" ht="15" hidden="false" customHeight="true" outlineLevel="0" collapsed="false">
      <c r="A139" s="340"/>
      <c r="B139" s="350"/>
      <c r="C139" s="350"/>
      <c r="H139" s="350"/>
      <c r="I139" s="279" t="n">
        <v>1</v>
      </c>
      <c r="J139" s="281" t="n">
        <f aca="false">1-I139</f>
        <v>0</v>
      </c>
      <c r="K139" s="32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350"/>
      <c r="Y139" s="381"/>
      <c r="Z139" s="384" t="s">
        <v>71</v>
      </c>
      <c r="AA139" s="283"/>
      <c r="AB139" s="284" t="n">
        <f aca="false">IF(AND(AB$4="RDEC", $Y139="Limited Company"), "", L139*$E139*$I139)</f>
        <v>0</v>
      </c>
      <c r="AC139" s="284" t="n">
        <f aca="false">IF(AND(AC$4="RDEC", $Y139="Limited Company"), "", M139*$E139*$I139)</f>
        <v>0</v>
      </c>
      <c r="AD139" s="284" t="n">
        <f aca="false">IF(AND(AD$4="RDEC", $Y139="Limited Company"), "", N139*$E139*$I139)</f>
        <v>0</v>
      </c>
      <c r="AE139" s="284" t="n">
        <f aca="false">IF(AND(AE$4="RDEC", $Y139="Limited Company"), "", O139*$E139*$I139)</f>
        <v>0</v>
      </c>
      <c r="AF139" s="284" t="n">
        <f aca="false">IF(AND(AF$4="RDEC", $Y139="Limited Company"), "", P139*$E139*$I139)</f>
        <v>0</v>
      </c>
      <c r="AG139" s="284" t="n">
        <f aca="false">IF(AND(AG$4="RDEC", $Y139="Limited Company"), "", Q139*$E139*$I139)</f>
        <v>0</v>
      </c>
      <c r="AH139" s="284" t="n">
        <f aca="false">IF(AND(AH$4="RDEC", $Y139="Limited Company"), "", R139*$E139*$I139)</f>
        <v>0</v>
      </c>
      <c r="AI139" s="284" t="n">
        <f aca="false">IF(AND(AI$4="RDEC", $Y139="Limited Company"), "", S139*$E139*$I139)</f>
        <v>0</v>
      </c>
      <c r="AJ139" s="284" t="n">
        <f aca="false">IF(AND(AJ$4="RDEC", $Y139="Limited Company"), "", T139*$E139*$I139)</f>
        <v>0</v>
      </c>
      <c r="AK139" s="284" t="n">
        <f aca="false">IF(AND(AK$4="RDEC", $Y139="Limited Company"), "", U139*$E139*$I139)</f>
        <v>0</v>
      </c>
      <c r="AL139" s="284" t="n">
        <f aca="false">IF(AND(AL$4="RDEC", $Y139="Limited Company"), "", V139*$E139*$I139)</f>
        <v>0</v>
      </c>
      <c r="AM139" s="284" t="n">
        <f aca="false">IF(AND(AM$4="RDEC", $Y139="Limited Company"), "", W139*$E139*$I139)</f>
        <v>0</v>
      </c>
      <c r="AN139" s="286" t="n">
        <f aca="false">IFERROR(SUMIF($AB$4:$AM$4, "RDEC", AB139:AM139), "")</f>
        <v>0</v>
      </c>
      <c r="AO139" s="286" t="str">
        <f aca="false">IFERROR((IF(Z139="Yes",SUMIF($AB$4:$AM$4,"SME",AB139:AM139),"")),"")</f>
        <v/>
      </c>
      <c r="AP139" s="286" t="n">
        <f aca="false">IFERROR((IF(Z139="No",SUMIF($AB$4:$AM$4,"SME",AB139:AM139),"")),"")</f>
        <v>0</v>
      </c>
      <c r="AQ139" s="286" t="n">
        <f aca="false">IFERROR(SUMIF($AB$4:$AM$4, "De Minimis", AB139:AM139), "")</f>
        <v>0</v>
      </c>
      <c r="AR139" s="283"/>
      <c r="AS139" s="284" t="n">
        <f aca="false">IFERROR(L139*$E139*$J139, "")</f>
        <v>0</v>
      </c>
      <c r="AT139" s="284" t="n">
        <f aca="false">IFERROR(M139*$E139*$J139, "")</f>
        <v>0</v>
      </c>
      <c r="AU139" s="284" t="n">
        <f aca="false">IFERROR(N139*$E139*$J139, "")</f>
        <v>0</v>
      </c>
      <c r="AV139" s="284" t="n">
        <f aca="false">IFERROR(O139*$E139*$J139, "")</f>
        <v>0</v>
      </c>
      <c r="AW139" s="284" t="n">
        <f aca="false">IFERROR(P139*$E139*$J139, "")</f>
        <v>0</v>
      </c>
      <c r="AX139" s="284" t="n">
        <f aca="false">IFERROR(Q139*$E139*$J139, "")</f>
        <v>0</v>
      </c>
      <c r="AY139" s="284" t="n">
        <f aca="false">IFERROR(R139*$E139*$J139, "")</f>
        <v>0</v>
      </c>
      <c r="AZ139" s="284" t="n">
        <f aca="false">IFERROR(S139*$E139*$J139, "")</f>
        <v>0</v>
      </c>
      <c r="BA139" s="284" t="n">
        <f aca="false">IFERROR(T139*$E139*$J139, "")</f>
        <v>0</v>
      </c>
      <c r="BB139" s="284" t="n">
        <f aca="false">IFERROR(U139*$E139*$J139, "")</f>
        <v>0</v>
      </c>
      <c r="BC139" s="284" t="n">
        <f aca="false">IFERROR(V139*$E139*$J139, "")</f>
        <v>0</v>
      </c>
      <c r="BD139" s="284" t="n">
        <f aca="false">IFERROR(W139*$E139*$J139, "")</f>
        <v>0</v>
      </c>
      <c r="BE139" s="286" t="n">
        <f aca="false">IFERROR(SUMIF($AB$4:$AM$4, "RDEC", AS139:BD139), "")</f>
        <v>0</v>
      </c>
      <c r="BF139" s="286" t="n">
        <f aca="false">IFERROR(SUMIF($AB$4:$AM$4, "SME", AS139:BD139), "")</f>
        <v>0</v>
      </c>
      <c r="BG139" s="286" t="n">
        <f aca="false">IFERROR(SUMIF($AB$4:$AM$4, "De Minimis", AS139:BD139), "")</f>
        <v>0</v>
      </c>
      <c r="BH139" s="303"/>
      <c r="BI139" s="288" t="str">
        <f aca="false">IF((SUM(L139:W139)&gt;1),"ERROR","")</f>
        <v/>
      </c>
    </row>
    <row r="140" customFormat="false" ht="15" hidden="false" customHeight="true" outlineLevel="0" collapsed="false">
      <c r="A140" s="340"/>
      <c r="B140" s="350"/>
      <c r="C140" s="350"/>
      <c r="H140" s="350"/>
      <c r="I140" s="279" t="n">
        <v>1</v>
      </c>
      <c r="J140" s="281" t="n">
        <f aca="false">1-I140</f>
        <v>0</v>
      </c>
      <c r="K140" s="32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350"/>
      <c r="Y140" s="381"/>
      <c r="Z140" s="384" t="s">
        <v>71</v>
      </c>
      <c r="AA140" s="283"/>
      <c r="AB140" s="284" t="n">
        <f aca="false">IF(AND(AB$4="RDEC", $Y140="Limited Company"), "", L140*$E140*$I140)</f>
        <v>0</v>
      </c>
      <c r="AC140" s="284" t="n">
        <f aca="false">IF(AND(AC$4="RDEC", $Y140="Limited Company"), "", M140*$E140*$I140)</f>
        <v>0</v>
      </c>
      <c r="AD140" s="284" t="n">
        <f aca="false">IF(AND(AD$4="RDEC", $Y140="Limited Company"), "", N140*$E140*$I140)</f>
        <v>0</v>
      </c>
      <c r="AE140" s="284" t="n">
        <f aca="false">IF(AND(AE$4="RDEC", $Y140="Limited Company"), "", O140*$E140*$I140)</f>
        <v>0</v>
      </c>
      <c r="AF140" s="284" t="n">
        <f aca="false">IF(AND(AF$4="RDEC", $Y140="Limited Company"), "", P140*$E140*$I140)</f>
        <v>0</v>
      </c>
      <c r="AG140" s="284" t="n">
        <f aca="false">IF(AND(AG$4="RDEC", $Y140="Limited Company"), "", Q140*$E140*$I140)</f>
        <v>0</v>
      </c>
      <c r="AH140" s="284" t="n">
        <f aca="false">IF(AND(AH$4="RDEC", $Y140="Limited Company"), "", R140*$E140*$I140)</f>
        <v>0</v>
      </c>
      <c r="AI140" s="284" t="n">
        <f aca="false">IF(AND(AI$4="RDEC", $Y140="Limited Company"), "", S140*$E140*$I140)</f>
        <v>0</v>
      </c>
      <c r="AJ140" s="284" t="n">
        <f aca="false">IF(AND(AJ$4="RDEC", $Y140="Limited Company"), "", T140*$E140*$I140)</f>
        <v>0</v>
      </c>
      <c r="AK140" s="284" t="n">
        <f aca="false">IF(AND(AK$4="RDEC", $Y140="Limited Company"), "", U140*$E140*$I140)</f>
        <v>0</v>
      </c>
      <c r="AL140" s="284" t="n">
        <f aca="false">IF(AND(AL$4="RDEC", $Y140="Limited Company"), "", V140*$E140*$I140)</f>
        <v>0</v>
      </c>
      <c r="AM140" s="284" t="n">
        <f aca="false">IF(AND(AM$4="RDEC", $Y140="Limited Company"), "", W140*$E140*$I140)</f>
        <v>0</v>
      </c>
      <c r="AN140" s="286" t="n">
        <f aca="false">IFERROR(SUMIF($AB$4:$AM$4, "RDEC", AB140:AM140), "")</f>
        <v>0</v>
      </c>
      <c r="AO140" s="286" t="str">
        <f aca="false">IFERROR((IF(Z140="Yes",SUMIF($AB$4:$AM$4,"SME",AB140:AM140),"")),"")</f>
        <v/>
      </c>
      <c r="AP140" s="286" t="n">
        <f aca="false">IFERROR((IF(Z140="No",SUMIF($AB$4:$AM$4,"SME",AB140:AM140),"")),"")</f>
        <v>0</v>
      </c>
      <c r="AQ140" s="286" t="n">
        <f aca="false">IFERROR(SUMIF($AB$4:$AM$4, "De Minimis", AB140:AM140), "")</f>
        <v>0</v>
      </c>
      <c r="AR140" s="283"/>
      <c r="AS140" s="284" t="n">
        <f aca="false">IFERROR(L140*$E140*$J140, "")</f>
        <v>0</v>
      </c>
      <c r="AT140" s="284" t="n">
        <f aca="false">IFERROR(M140*$E140*$J140, "")</f>
        <v>0</v>
      </c>
      <c r="AU140" s="284" t="n">
        <f aca="false">IFERROR(N140*$E140*$J140, "")</f>
        <v>0</v>
      </c>
      <c r="AV140" s="284" t="n">
        <f aca="false">IFERROR(O140*$E140*$J140, "")</f>
        <v>0</v>
      </c>
      <c r="AW140" s="284" t="n">
        <f aca="false">IFERROR(P140*$E140*$J140, "")</f>
        <v>0</v>
      </c>
      <c r="AX140" s="284" t="n">
        <f aca="false">IFERROR(Q140*$E140*$J140, "")</f>
        <v>0</v>
      </c>
      <c r="AY140" s="284" t="n">
        <f aca="false">IFERROR(R140*$E140*$J140, "")</f>
        <v>0</v>
      </c>
      <c r="AZ140" s="284" t="n">
        <f aca="false">IFERROR(S140*$E140*$J140, "")</f>
        <v>0</v>
      </c>
      <c r="BA140" s="284" t="n">
        <f aca="false">IFERROR(T140*$E140*$J140, "")</f>
        <v>0</v>
      </c>
      <c r="BB140" s="284" t="n">
        <f aca="false">IFERROR(U140*$E140*$J140, "")</f>
        <v>0</v>
      </c>
      <c r="BC140" s="284" t="n">
        <f aca="false">IFERROR(V140*$E140*$J140, "")</f>
        <v>0</v>
      </c>
      <c r="BD140" s="284" t="n">
        <f aca="false">IFERROR(W140*$E140*$J140, "")</f>
        <v>0</v>
      </c>
      <c r="BE140" s="286" t="n">
        <f aca="false">IFERROR(SUMIF($AB$4:$AM$4, "RDEC", AS140:BD140), "")</f>
        <v>0</v>
      </c>
      <c r="BF140" s="286" t="n">
        <f aca="false">IFERROR(SUMIF($AB$4:$AM$4, "SME", AS140:BD140), "")</f>
        <v>0</v>
      </c>
      <c r="BG140" s="286" t="n">
        <f aca="false">IFERROR(SUMIF($AB$4:$AM$4, "De Minimis", AS140:BD140), "")</f>
        <v>0</v>
      </c>
      <c r="BI140" s="288" t="str">
        <f aca="false">IF((SUM(L140:W140)&gt;1),"ERROR","")</f>
        <v/>
      </c>
    </row>
    <row r="141" customFormat="false" ht="15" hidden="false" customHeight="true" outlineLevel="0" collapsed="false">
      <c r="A141" s="340"/>
      <c r="B141" s="350"/>
      <c r="C141" s="350"/>
      <c r="H141" s="350"/>
      <c r="I141" s="279" t="n">
        <v>1</v>
      </c>
      <c r="J141" s="281" t="n">
        <f aca="false">1-I141</f>
        <v>0</v>
      </c>
      <c r="K141" s="32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350"/>
      <c r="Y141" s="381"/>
      <c r="Z141" s="384" t="s">
        <v>71</v>
      </c>
      <c r="AA141" s="283"/>
      <c r="AB141" s="284" t="n">
        <f aca="false">IF(AND(AB$4="RDEC", $Y141="Limited Company"), "", L141*$E141*$I141)</f>
        <v>0</v>
      </c>
      <c r="AC141" s="284" t="n">
        <f aca="false">IF(AND(AC$4="RDEC", $Y141="Limited Company"), "", M141*$E141*$I141)</f>
        <v>0</v>
      </c>
      <c r="AD141" s="284" t="n">
        <f aca="false">IF(AND(AD$4="RDEC", $Y141="Limited Company"), "", N141*$E141*$I141)</f>
        <v>0</v>
      </c>
      <c r="AE141" s="284" t="n">
        <f aca="false">IF(AND(AE$4="RDEC", $Y141="Limited Company"), "", O141*$E141*$I141)</f>
        <v>0</v>
      </c>
      <c r="AF141" s="284" t="n">
        <f aca="false">IF(AND(AF$4="RDEC", $Y141="Limited Company"), "", P141*$E141*$I141)</f>
        <v>0</v>
      </c>
      <c r="AG141" s="284" t="n">
        <f aca="false">IF(AND(AG$4="RDEC", $Y141="Limited Company"), "", Q141*$E141*$I141)</f>
        <v>0</v>
      </c>
      <c r="AH141" s="284" t="n">
        <f aca="false">IF(AND(AH$4="RDEC", $Y141="Limited Company"), "", R141*$E141*$I141)</f>
        <v>0</v>
      </c>
      <c r="AI141" s="284" t="n">
        <f aca="false">IF(AND(AI$4="RDEC", $Y141="Limited Company"), "", S141*$E141*$I141)</f>
        <v>0</v>
      </c>
      <c r="AJ141" s="284" t="n">
        <f aca="false">IF(AND(AJ$4="RDEC", $Y141="Limited Company"), "", T141*$E141*$I141)</f>
        <v>0</v>
      </c>
      <c r="AK141" s="284" t="n">
        <f aca="false">IF(AND(AK$4="RDEC", $Y141="Limited Company"), "", U141*$E141*$I141)</f>
        <v>0</v>
      </c>
      <c r="AL141" s="284" t="n">
        <f aca="false">IF(AND(AL$4="RDEC", $Y141="Limited Company"), "", V141*$E141*$I141)</f>
        <v>0</v>
      </c>
      <c r="AM141" s="284" t="n">
        <f aca="false">IF(AND(AM$4="RDEC", $Y141="Limited Company"), "", W141*$E141*$I141)</f>
        <v>0</v>
      </c>
      <c r="AN141" s="286" t="n">
        <f aca="false">IFERROR(SUMIF($AB$4:$AM$4, "RDEC", AB141:AM141), "")</f>
        <v>0</v>
      </c>
      <c r="AO141" s="286" t="str">
        <f aca="false">IFERROR((IF(Z141="Yes",SUMIF($AB$4:$AM$4,"SME",AB141:AM141),"")),"")</f>
        <v/>
      </c>
      <c r="AP141" s="286" t="n">
        <f aca="false">IFERROR((IF(Z141="No",SUMIF($AB$4:$AM$4,"SME",AB141:AM141),"")),"")</f>
        <v>0</v>
      </c>
      <c r="AQ141" s="286" t="n">
        <f aca="false">IFERROR(SUMIF($AB$4:$AM$4, "De Minimis", AB141:AM141), "")</f>
        <v>0</v>
      </c>
      <c r="AR141" s="283"/>
      <c r="AS141" s="284" t="n">
        <f aca="false">IFERROR(L141*$E141*$J141, "")</f>
        <v>0</v>
      </c>
      <c r="AT141" s="284" t="n">
        <f aca="false">IFERROR(M141*$E141*$J141, "")</f>
        <v>0</v>
      </c>
      <c r="AU141" s="284" t="n">
        <f aca="false">IFERROR(N141*$E141*$J141, "")</f>
        <v>0</v>
      </c>
      <c r="AV141" s="284" t="n">
        <f aca="false">IFERROR(O141*$E141*$J141, "")</f>
        <v>0</v>
      </c>
      <c r="AW141" s="284" t="n">
        <f aca="false">IFERROR(P141*$E141*$J141, "")</f>
        <v>0</v>
      </c>
      <c r="AX141" s="284" t="n">
        <f aca="false">IFERROR(Q141*$E141*$J141, "")</f>
        <v>0</v>
      </c>
      <c r="AY141" s="284" t="n">
        <f aca="false">IFERROR(R141*$E141*$J141, "")</f>
        <v>0</v>
      </c>
      <c r="AZ141" s="284" t="n">
        <f aca="false">IFERROR(S141*$E141*$J141, "")</f>
        <v>0</v>
      </c>
      <c r="BA141" s="284" t="n">
        <f aca="false">IFERROR(T141*$E141*$J141, "")</f>
        <v>0</v>
      </c>
      <c r="BB141" s="284" t="n">
        <f aca="false">IFERROR(U141*$E141*$J141, "")</f>
        <v>0</v>
      </c>
      <c r="BC141" s="284" t="n">
        <f aca="false">IFERROR(V141*$E141*$J141, "")</f>
        <v>0</v>
      </c>
      <c r="BD141" s="284" t="n">
        <f aca="false">IFERROR(W141*$E141*$J141, "")</f>
        <v>0</v>
      </c>
      <c r="BE141" s="286" t="n">
        <f aca="false">IFERROR(SUMIF($AB$4:$AM$4, "RDEC", AS141:BD141), "")</f>
        <v>0</v>
      </c>
      <c r="BF141" s="286" t="n">
        <f aca="false">IFERROR(SUMIF($AB$4:$AM$4, "SME", AS141:BD141), "")</f>
        <v>0</v>
      </c>
      <c r="BG141" s="286" t="n">
        <f aca="false">IFERROR(SUMIF($AB$4:$AM$4, "De Minimis", AS141:BD141), "")</f>
        <v>0</v>
      </c>
      <c r="BH141" s="268"/>
      <c r="BI141" s="288" t="str">
        <f aca="false">IF((SUM(L141:W141)&gt;1),"ERROR","")</f>
        <v/>
      </c>
    </row>
    <row r="142" customFormat="false" ht="15" hidden="false" customHeight="true" outlineLevel="0" collapsed="false">
      <c r="A142" s="340"/>
      <c r="B142" s="350"/>
      <c r="C142" s="350"/>
      <c r="H142" s="350"/>
      <c r="I142" s="279" t="n">
        <v>1</v>
      </c>
      <c r="J142" s="281" t="n">
        <f aca="false">1-I142</f>
        <v>0</v>
      </c>
      <c r="K142" s="32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350"/>
      <c r="Y142" s="381"/>
      <c r="Z142" s="384" t="s">
        <v>71</v>
      </c>
      <c r="AA142" s="283"/>
      <c r="AB142" s="284" t="n">
        <f aca="false">IF(AND(AB$4="RDEC", $Y142="Limited Company"), "", L142*$E142*$I142)</f>
        <v>0</v>
      </c>
      <c r="AC142" s="284" t="n">
        <f aca="false">IF(AND(AC$4="RDEC", $Y142="Limited Company"), "", M142*$E142*$I142)</f>
        <v>0</v>
      </c>
      <c r="AD142" s="284" t="n">
        <f aca="false">IF(AND(AD$4="RDEC", $Y142="Limited Company"), "", N142*$E142*$I142)</f>
        <v>0</v>
      </c>
      <c r="AE142" s="284" t="n">
        <f aca="false">IF(AND(AE$4="RDEC", $Y142="Limited Company"), "", O142*$E142*$I142)</f>
        <v>0</v>
      </c>
      <c r="AF142" s="284" t="n">
        <f aca="false">IF(AND(AF$4="RDEC", $Y142="Limited Company"), "", P142*$E142*$I142)</f>
        <v>0</v>
      </c>
      <c r="AG142" s="284" t="n">
        <f aca="false">IF(AND(AG$4="RDEC", $Y142="Limited Company"), "", Q142*$E142*$I142)</f>
        <v>0</v>
      </c>
      <c r="AH142" s="284" t="n">
        <f aca="false">IF(AND(AH$4="RDEC", $Y142="Limited Company"), "", R142*$E142*$I142)</f>
        <v>0</v>
      </c>
      <c r="AI142" s="284" t="n">
        <f aca="false">IF(AND(AI$4="RDEC", $Y142="Limited Company"), "", S142*$E142*$I142)</f>
        <v>0</v>
      </c>
      <c r="AJ142" s="284" t="n">
        <f aca="false">IF(AND(AJ$4="RDEC", $Y142="Limited Company"), "", T142*$E142*$I142)</f>
        <v>0</v>
      </c>
      <c r="AK142" s="284" t="n">
        <f aca="false">IF(AND(AK$4="RDEC", $Y142="Limited Company"), "", U142*$E142*$I142)</f>
        <v>0</v>
      </c>
      <c r="AL142" s="284" t="n">
        <f aca="false">IF(AND(AL$4="RDEC", $Y142="Limited Company"), "", V142*$E142*$I142)</f>
        <v>0</v>
      </c>
      <c r="AM142" s="284" t="n">
        <f aca="false">IF(AND(AM$4="RDEC", $Y142="Limited Company"), "", W142*$E142*$I142)</f>
        <v>0</v>
      </c>
      <c r="AN142" s="286" t="n">
        <f aca="false">IFERROR(SUMIF($AB$4:$AM$4, "RDEC", AB142:AM142), "")</f>
        <v>0</v>
      </c>
      <c r="AO142" s="286" t="str">
        <f aca="false">IFERROR((IF(Z142="Yes",SUMIF($AB$4:$AM$4,"SME",AB142:AM142),"")),"")</f>
        <v/>
      </c>
      <c r="AP142" s="286" t="n">
        <f aca="false">IFERROR((IF(Z142="No",SUMIF($AB$4:$AM$4,"SME",AB142:AM142),"")),"")</f>
        <v>0</v>
      </c>
      <c r="AQ142" s="286" t="n">
        <f aca="false">IFERROR(SUMIF($AB$4:$AM$4, "De Minimis", AB142:AM142), "")</f>
        <v>0</v>
      </c>
      <c r="AR142" s="283"/>
      <c r="AS142" s="284" t="n">
        <f aca="false">IFERROR(L142*$E142*$J142, "")</f>
        <v>0</v>
      </c>
      <c r="AT142" s="284" t="n">
        <f aca="false">IFERROR(M142*$E142*$J142, "")</f>
        <v>0</v>
      </c>
      <c r="AU142" s="284" t="n">
        <f aca="false">IFERROR(N142*$E142*$J142, "")</f>
        <v>0</v>
      </c>
      <c r="AV142" s="284" t="n">
        <f aca="false">IFERROR(O142*$E142*$J142, "")</f>
        <v>0</v>
      </c>
      <c r="AW142" s="284" t="n">
        <f aca="false">IFERROR(P142*$E142*$J142, "")</f>
        <v>0</v>
      </c>
      <c r="AX142" s="284" t="n">
        <f aca="false">IFERROR(Q142*$E142*$J142, "")</f>
        <v>0</v>
      </c>
      <c r="AY142" s="284" t="n">
        <f aca="false">IFERROR(R142*$E142*$J142, "")</f>
        <v>0</v>
      </c>
      <c r="AZ142" s="284" t="n">
        <f aca="false">IFERROR(S142*$E142*$J142, "")</f>
        <v>0</v>
      </c>
      <c r="BA142" s="284" t="n">
        <f aca="false">IFERROR(T142*$E142*$J142, "")</f>
        <v>0</v>
      </c>
      <c r="BB142" s="284" t="n">
        <f aca="false">IFERROR(U142*$E142*$J142, "")</f>
        <v>0</v>
      </c>
      <c r="BC142" s="284" t="n">
        <f aca="false">IFERROR(V142*$E142*$J142, "")</f>
        <v>0</v>
      </c>
      <c r="BD142" s="284" t="n">
        <f aca="false">IFERROR(W142*$E142*$J142, "")</f>
        <v>0</v>
      </c>
      <c r="BE142" s="286" t="n">
        <f aca="false">IFERROR(SUMIF($AB$4:$AM$4, "RDEC", AS142:BD142), "")</f>
        <v>0</v>
      </c>
      <c r="BF142" s="286" t="n">
        <f aca="false">IFERROR(SUMIF($AB$4:$AM$4, "SME", AS142:BD142), "")</f>
        <v>0</v>
      </c>
      <c r="BG142" s="286" t="n">
        <f aca="false">IFERROR(SUMIF($AB$4:$AM$4, "De Minimis", AS142:BD142), "")</f>
        <v>0</v>
      </c>
      <c r="BH142" s="287"/>
      <c r="BI142" s="288" t="str">
        <f aca="false">IF((SUM(L142:W142)&gt;1),"ERROR","")</f>
        <v/>
      </c>
    </row>
    <row r="143" customFormat="false" ht="15" hidden="false" customHeight="true" outlineLevel="0" collapsed="false">
      <c r="A143" s="340"/>
      <c r="B143" s="350"/>
      <c r="C143" s="350"/>
      <c r="H143" s="350"/>
      <c r="I143" s="279" t="n">
        <v>1</v>
      </c>
      <c r="J143" s="281" t="n">
        <f aca="false">1-I143</f>
        <v>0</v>
      </c>
      <c r="K143" s="32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350"/>
      <c r="Y143" s="381"/>
      <c r="Z143" s="384" t="s">
        <v>71</v>
      </c>
      <c r="AA143" s="283"/>
      <c r="AB143" s="284" t="n">
        <f aca="false">IF(AND(AB$4="RDEC", $Y143="Limited Company"), "", L143*$E143*$I143)</f>
        <v>0</v>
      </c>
      <c r="AC143" s="284" t="n">
        <f aca="false">IF(AND(AC$4="RDEC", $Y143="Limited Company"), "", M143*$E143*$I143)</f>
        <v>0</v>
      </c>
      <c r="AD143" s="284" t="n">
        <f aca="false">IF(AND(AD$4="RDEC", $Y143="Limited Company"), "", N143*$E143*$I143)</f>
        <v>0</v>
      </c>
      <c r="AE143" s="284" t="n">
        <f aca="false">IF(AND(AE$4="RDEC", $Y143="Limited Company"), "", O143*$E143*$I143)</f>
        <v>0</v>
      </c>
      <c r="AF143" s="284" t="n">
        <f aca="false">IF(AND(AF$4="RDEC", $Y143="Limited Company"), "", P143*$E143*$I143)</f>
        <v>0</v>
      </c>
      <c r="AG143" s="284" t="n">
        <f aca="false">IF(AND(AG$4="RDEC", $Y143="Limited Company"), "", Q143*$E143*$I143)</f>
        <v>0</v>
      </c>
      <c r="AH143" s="284" t="n">
        <f aca="false">IF(AND(AH$4="RDEC", $Y143="Limited Company"), "", R143*$E143*$I143)</f>
        <v>0</v>
      </c>
      <c r="AI143" s="284" t="n">
        <f aca="false">IF(AND(AI$4="RDEC", $Y143="Limited Company"), "", S143*$E143*$I143)</f>
        <v>0</v>
      </c>
      <c r="AJ143" s="284" t="n">
        <f aca="false">IF(AND(AJ$4="RDEC", $Y143="Limited Company"), "", T143*$E143*$I143)</f>
        <v>0</v>
      </c>
      <c r="AK143" s="284" t="n">
        <f aca="false">IF(AND(AK$4="RDEC", $Y143="Limited Company"), "", U143*$E143*$I143)</f>
        <v>0</v>
      </c>
      <c r="AL143" s="284" t="n">
        <f aca="false">IF(AND(AL$4="RDEC", $Y143="Limited Company"), "", V143*$E143*$I143)</f>
        <v>0</v>
      </c>
      <c r="AM143" s="284" t="n">
        <f aca="false">IF(AND(AM$4="RDEC", $Y143="Limited Company"), "", W143*$E143*$I143)</f>
        <v>0</v>
      </c>
      <c r="AN143" s="286" t="n">
        <f aca="false">IFERROR(SUMIF($AB$4:$AM$4, "RDEC", AB143:AM143), "")</f>
        <v>0</v>
      </c>
      <c r="AO143" s="286" t="str">
        <f aca="false">IFERROR((IF(Z143="Yes",SUMIF($AB$4:$AM$4,"SME",AB143:AM143),"")),"")</f>
        <v/>
      </c>
      <c r="AP143" s="286" t="n">
        <f aca="false">IFERROR((IF(Z143="No",SUMIF($AB$4:$AM$4,"SME",AB143:AM143),"")),"")</f>
        <v>0</v>
      </c>
      <c r="AQ143" s="286" t="n">
        <f aca="false">IFERROR(SUMIF($AB$4:$AM$4, "De Minimis", AB143:AM143), "")</f>
        <v>0</v>
      </c>
      <c r="AR143" s="283"/>
      <c r="AS143" s="284" t="n">
        <f aca="false">IFERROR(L143*$E143*$J143, "")</f>
        <v>0</v>
      </c>
      <c r="AT143" s="284" t="n">
        <f aca="false">IFERROR(M143*$E143*$J143, "")</f>
        <v>0</v>
      </c>
      <c r="AU143" s="284" t="n">
        <f aca="false">IFERROR(N143*$E143*$J143, "")</f>
        <v>0</v>
      </c>
      <c r="AV143" s="284" t="n">
        <f aca="false">IFERROR(O143*$E143*$J143, "")</f>
        <v>0</v>
      </c>
      <c r="AW143" s="284" t="n">
        <f aca="false">IFERROR(P143*$E143*$J143, "")</f>
        <v>0</v>
      </c>
      <c r="AX143" s="284" t="n">
        <f aca="false">IFERROR(Q143*$E143*$J143, "")</f>
        <v>0</v>
      </c>
      <c r="AY143" s="284" t="n">
        <f aca="false">IFERROR(R143*$E143*$J143, "")</f>
        <v>0</v>
      </c>
      <c r="AZ143" s="284" t="n">
        <f aca="false">IFERROR(S143*$E143*$J143, "")</f>
        <v>0</v>
      </c>
      <c r="BA143" s="284" t="n">
        <f aca="false">IFERROR(T143*$E143*$J143, "")</f>
        <v>0</v>
      </c>
      <c r="BB143" s="284" t="n">
        <f aca="false">IFERROR(U143*$E143*$J143, "")</f>
        <v>0</v>
      </c>
      <c r="BC143" s="284" t="n">
        <f aca="false">IFERROR(V143*$E143*$J143, "")</f>
        <v>0</v>
      </c>
      <c r="BD143" s="284" t="n">
        <f aca="false">IFERROR(W143*$E143*$J143, "")</f>
        <v>0</v>
      </c>
      <c r="BE143" s="286" t="n">
        <f aca="false">IFERROR(SUMIF($AB$4:$AM$4, "RDEC", AS143:BD143), "")</f>
        <v>0</v>
      </c>
      <c r="BF143" s="286" t="n">
        <f aca="false">IFERROR(SUMIF($AB$4:$AM$4, "SME", AS143:BD143), "")</f>
        <v>0</v>
      </c>
      <c r="BG143" s="286" t="n">
        <f aca="false">IFERROR(SUMIF($AB$4:$AM$4, "De Minimis", AS143:BD143), "")</f>
        <v>0</v>
      </c>
      <c r="BH143" s="287"/>
      <c r="BI143" s="288" t="str">
        <f aca="false">IF((SUM(L143:W143)&gt;1),"ERROR","")</f>
        <v/>
      </c>
    </row>
    <row r="144" customFormat="false" ht="15" hidden="false" customHeight="true" outlineLevel="0" collapsed="false">
      <c r="A144" s="340"/>
      <c r="B144" s="350"/>
      <c r="C144" s="350"/>
      <c r="H144" s="350"/>
      <c r="I144" s="279" t="n">
        <v>1</v>
      </c>
      <c r="J144" s="281" t="n">
        <f aca="false">1-I144</f>
        <v>0</v>
      </c>
      <c r="K144" s="32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350"/>
      <c r="Y144" s="381"/>
      <c r="Z144" s="384" t="s">
        <v>71</v>
      </c>
      <c r="AA144" s="283"/>
      <c r="AB144" s="284" t="n">
        <f aca="false">IF(AND(AB$4="RDEC", $Y144="Limited Company"), "", L144*$E144*$I144)</f>
        <v>0</v>
      </c>
      <c r="AC144" s="284" t="n">
        <f aca="false">IF(AND(AC$4="RDEC", $Y144="Limited Company"), "", M144*$E144*$I144)</f>
        <v>0</v>
      </c>
      <c r="AD144" s="284" t="n">
        <f aca="false">IF(AND(AD$4="RDEC", $Y144="Limited Company"), "", N144*$E144*$I144)</f>
        <v>0</v>
      </c>
      <c r="AE144" s="284" t="n">
        <f aca="false">IF(AND(AE$4="RDEC", $Y144="Limited Company"), "", O144*$E144*$I144)</f>
        <v>0</v>
      </c>
      <c r="AF144" s="284" t="n">
        <f aca="false">IF(AND(AF$4="RDEC", $Y144="Limited Company"), "", P144*$E144*$I144)</f>
        <v>0</v>
      </c>
      <c r="AG144" s="284" t="n">
        <f aca="false">IF(AND(AG$4="RDEC", $Y144="Limited Company"), "", Q144*$E144*$I144)</f>
        <v>0</v>
      </c>
      <c r="AH144" s="284" t="n">
        <f aca="false">IF(AND(AH$4="RDEC", $Y144="Limited Company"), "", R144*$E144*$I144)</f>
        <v>0</v>
      </c>
      <c r="AI144" s="284" t="n">
        <f aca="false">IF(AND(AI$4="RDEC", $Y144="Limited Company"), "", S144*$E144*$I144)</f>
        <v>0</v>
      </c>
      <c r="AJ144" s="284" t="n">
        <f aca="false">IF(AND(AJ$4="RDEC", $Y144="Limited Company"), "", T144*$E144*$I144)</f>
        <v>0</v>
      </c>
      <c r="AK144" s="284" t="n">
        <f aca="false">IF(AND(AK$4="RDEC", $Y144="Limited Company"), "", U144*$E144*$I144)</f>
        <v>0</v>
      </c>
      <c r="AL144" s="284" t="n">
        <f aca="false">IF(AND(AL$4="RDEC", $Y144="Limited Company"), "", V144*$E144*$I144)</f>
        <v>0</v>
      </c>
      <c r="AM144" s="284" t="n">
        <f aca="false">IF(AND(AM$4="RDEC", $Y144="Limited Company"), "", W144*$E144*$I144)</f>
        <v>0</v>
      </c>
      <c r="AN144" s="286" t="n">
        <f aca="false">IFERROR(SUMIF($AB$4:$AM$4, "RDEC", AB144:AM144), "")</f>
        <v>0</v>
      </c>
      <c r="AO144" s="286" t="str">
        <f aca="false">IFERROR((IF(Z144="Yes",SUMIF($AB$4:$AM$4,"SME",AB144:AM144),"")),"")</f>
        <v/>
      </c>
      <c r="AP144" s="286" t="n">
        <f aca="false">IFERROR((IF(Z144="No",SUMIF($AB$4:$AM$4,"SME",AB144:AM144),"")),"")</f>
        <v>0</v>
      </c>
      <c r="AQ144" s="286" t="n">
        <f aca="false">IFERROR(SUMIF($AB$4:$AM$4, "De Minimis", AB144:AM144), "")</f>
        <v>0</v>
      </c>
      <c r="AR144" s="283"/>
      <c r="AS144" s="284" t="n">
        <f aca="false">IFERROR(L144*$E144*$J144, "")</f>
        <v>0</v>
      </c>
      <c r="AT144" s="284" t="n">
        <f aca="false">IFERROR(M144*$E144*$J144, "")</f>
        <v>0</v>
      </c>
      <c r="AU144" s="284" t="n">
        <f aca="false">IFERROR(N144*$E144*$J144, "")</f>
        <v>0</v>
      </c>
      <c r="AV144" s="284" t="n">
        <f aca="false">IFERROR(O144*$E144*$J144, "")</f>
        <v>0</v>
      </c>
      <c r="AW144" s="284" t="n">
        <f aca="false">IFERROR(P144*$E144*$J144, "")</f>
        <v>0</v>
      </c>
      <c r="AX144" s="284" t="n">
        <f aca="false">IFERROR(Q144*$E144*$J144, "")</f>
        <v>0</v>
      </c>
      <c r="AY144" s="284" t="n">
        <f aca="false">IFERROR(R144*$E144*$J144, "")</f>
        <v>0</v>
      </c>
      <c r="AZ144" s="284" t="n">
        <f aca="false">IFERROR(S144*$E144*$J144, "")</f>
        <v>0</v>
      </c>
      <c r="BA144" s="284" t="n">
        <f aca="false">IFERROR(T144*$E144*$J144, "")</f>
        <v>0</v>
      </c>
      <c r="BB144" s="284" t="n">
        <f aca="false">IFERROR(U144*$E144*$J144, "")</f>
        <v>0</v>
      </c>
      <c r="BC144" s="284" t="n">
        <f aca="false">IFERROR(V144*$E144*$J144, "")</f>
        <v>0</v>
      </c>
      <c r="BD144" s="284" t="n">
        <f aca="false">IFERROR(W144*$E144*$J144, "")</f>
        <v>0</v>
      </c>
      <c r="BE144" s="286" t="n">
        <f aca="false">IFERROR(SUMIF($AB$4:$AM$4, "RDEC", AS144:BD144), "")</f>
        <v>0</v>
      </c>
      <c r="BF144" s="286" t="n">
        <f aca="false">IFERROR(SUMIF($AB$4:$AM$4, "SME", AS144:BD144), "")</f>
        <v>0</v>
      </c>
      <c r="BG144" s="286" t="n">
        <f aca="false">IFERROR(SUMIF($AB$4:$AM$4, "De Minimis", AS144:BD144), "")</f>
        <v>0</v>
      </c>
      <c r="BH144" s="287"/>
      <c r="BI144" s="288" t="str">
        <f aca="false">IF((SUM(L144:W144)&gt;1),"ERROR","")</f>
        <v/>
      </c>
    </row>
    <row r="145" customFormat="false" ht="15" hidden="false" customHeight="true" outlineLevel="0" collapsed="false">
      <c r="A145" s="340"/>
      <c r="B145" s="350"/>
      <c r="C145" s="350"/>
      <c r="H145" s="350"/>
      <c r="I145" s="279" t="n">
        <v>1</v>
      </c>
      <c r="J145" s="281" t="n">
        <f aca="false">1-I145</f>
        <v>0</v>
      </c>
      <c r="K145" s="32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350"/>
      <c r="Y145" s="381"/>
      <c r="Z145" s="384" t="s">
        <v>71</v>
      </c>
      <c r="AA145" s="283"/>
      <c r="AB145" s="284" t="n">
        <f aca="false">IF(AND(AB$4="RDEC", $Y145="Limited Company"), "", L145*$E145*$I145)</f>
        <v>0</v>
      </c>
      <c r="AC145" s="284" t="n">
        <f aca="false">IF(AND(AC$4="RDEC", $Y145="Limited Company"), "", M145*$E145*$I145)</f>
        <v>0</v>
      </c>
      <c r="AD145" s="284" t="n">
        <f aca="false">IF(AND(AD$4="RDEC", $Y145="Limited Company"), "", N145*$E145*$I145)</f>
        <v>0</v>
      </c>
      <c r="AE145" s="284" t="n">
        <f aca="false">IF(AND(AE$4="RDEC", $Y145="Limited Company"), "", O145*$E145*$I145)</f>
        <v>0</v>
      </c>
      <c r="AF145" s="284" t="n">
        <f aca="false">IF(AND(AF$4="RDEC", $Y145="Limited Company"), "", P145*$E145*$I145)</f>
        <v>0</v>
      </c>
      <c r="AG145" s="284" t="n">
        <f aca="false">IF(AND(AG$4="RDEC", $Y145="Limited Company"), "", Q145*$E145*$I145)</f>
        <v>0</v>
      </c>
      <c r="AH145" s="284" t="n">
        <f aca="false">IF(AND(AH$4="RDEC", $Y145="Limited Company"), "", R145*$E145*$I145)</f>
        <v>0</v>
      </c>
      <c r="AI145" s="284" t="n">
        <f aca="false">IF(AND(AI$4="RDEC", $Y145="Limited Company"), "", S145*$E145*$I145)</f>
        <v>0</v>
      </c>
      <c r="AJ145" s="284" t="n">
        <f aca="false">IF(AND(AJ$4="RDEC", $Y145="Limited Company"), "", T145*$E145*$I145)</f>
        <v>0</v>
      </c>
      <c r="AK145" s="284" t="n">
        <f aca="false">IF(AND(AK$4="RDEC", $Y145="Limited Company"), "", U145*$E145*$I145)</f>
        <v>0</v>
      </c>
      <c r="AL145" s="284" t="n">
        <f aca="false">IF(AND(AL$4="RDEC", $Y145="Limited Company"), "", V145*$E145*$I145)</f>
        <v>0</v>
      </c>
      <c r="AM145" s="284" t="n">
        <f aca="false">IF(AND(AM$4="RDEC", $Y145="Limited Company"), "", W145*$E145*$I145)</f>
        <v>0</v>
      </c>
      <c r="AN145" s="286" t="n">
        <f aca="false">IFERROR(SUMIF($AB$4:$AM$4, "RDEC", AB145:AM145), "")</f>
        <v>0</v>
      </c>
      <c r="AO145" s="286" t="str">
        <f aca="false">IFERROR((IF(Z145="Yes",SUMIF($AB$4:$AM$4,"SME",AB145:AM145),"")),"")</f>
        <v/>
      </c>
      <c r="AP145" s="286" t="n">
        <f aca="false">IFERROR((IF(Z145="No",SUMIF($AB$4:$AM$4,"SME",AB145:AM145),"")),"")</f>
        <v>0</v>
      </c>
      <c r="AQ145" s="286" t="n">
        <f aca="false">IFERROR(SUMIF($AB$4:$AM$4, "De Minimis", AB145:AM145), "")</f>
        <v>0</v>
      </c>
      <c r="AR145" s="283"/>
      <c r="AS145" s="284" t="n">
        <f aca="false">IFERROR(L145*$E145*$J145, "")</f>
        <v>0</v>
      </c>
      <c r="AT145" s="284" t="n">
        <f aca="false">IFERROR(M145*$E145*$J145, "")</f>
        <v>0</v>
      </c>
      <c r="AU145" s="284" t="n">
        <f aca="false">IFERROR(N145*$E145*$J145, "")</f>
        <v>0</v>
      </c>
      <c r="AV145" s="284" t="n">
        <f aca="false">IFERROR(O145*$E145*$J145, "")</f>
        <v>0</v>
      </c>
      <c r="AW145" s="284" t="n">
        <f aca="false">IFERROR(P145*$E145*$J145, "")</f>
        <v>0</v>
      </c>
      <c r="AX145" s="284" t="n">
        <f aca="false">IFERROR(Q145*$E145*$J145, "")</f>
        <v>0</v>
      </c>
      <c r="AY145" s="284" t="n">
        <f aca="false">IFERROR(R145*$E145*$J145, "")</f>
        <v>0</v>
      </c>
      <c r="AZ145" s="284" t="n">
        <f aca="false">IFERROR(S145*$E145*$J145, "")</f>
        <v>0</v>
      </c>
      <c r="BA145" s="284" t="n">
        <f aca="false">IFERROR(T145*$E145*$J145, "")</f>
        <v>0</v>
      </c>
      <c r="BB145" s="284" t="n">
        <f aca="false">IFERROR(U145*$E145*$J145, "")</f>
        <v>0</v>
      </c>
      <c r="BC145" s="284" t="n">
        <f aca="false">IFERROR(V145*$E145*$J145, "")</f>
        <v>0</v>
      </c>
      <c r="BD145" s="284" t="n">
        <f aca="false">IFERROR(W145*$E145*$J145, "")</f>
        <v>0</v>
      </c>
      <c r="BE145" s="286" t="n">
        <f aca="false">IFERROR(SUMIF($AB$4:$AM$4, "RDEC", AS145:BD145), "")</f>
        <v>0</v>
      </c>
      <c r="BF145" s="286" t="n">
        <f aca="false">IFERROR(SUMIF($AB$4:$AM$4, "SME", AS145:BD145), "")</f>
        <v>0</v>
      </c>
      <c r="BG145" s="286" t="n">
        <f aca="false">IFERROR(SUMIF($AB$4:$AM$4, "De Minimis", AS145:BD145), "")</f>
        <v>0</v>
      </c>
      <c r="BH145" s="287"/>
      <c r="BI145" s="288" t="str">
        <f aca="false">IF((SUM(L145:W145)&gt;1),"ERROR","")</f>
        <v/>
      </c>
    </row>
    <row r="146" customFormat="false" ht="15" hidden="false" customHeight="true" outlineLevel="0" collapsed="false">
      <c r="A146" s="340"/>
      <c r="B146" s="350"/>
      <c r="C146" s="350"/>
      <c r="H146" s="350"/>
      <c r="I146" s="279" t="n">
        <v>1</v>
      </c>
      <c r="J146" s="281" t="n">
        <f aca="false">1-I146</f>
        <v>0</v>
      </c>
      <c r="K146" s="32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350"/>
      <c r="Y146" s="381"/>
      <c r="Z146" s="384" t="s">
        <v>71</v>
      </c>
      <c r="AA146" s="283"/>
      <c r="AB146" s="284" t="n">
        <f aca="false">IF(AND(AB$4="RDEC", $Y146="Limited Company"), "", L146*$E146*$I146)</f>
        <v>0</v>
      </c>
      <c r="AC146" s="284" t="n">
        <f aca="false">IF(AND(AC$4="RDEC", $Y146="Limited Company"), "", M146*$E146*$I146)</f>
        <v>0</v>
      </c>
      <c r="AD146" s="284" t="n">
        <f aca="false">IF(AND(AD$4="RDEC", $Y146="Limited Company"), "", N146*$E146*$I146)</f>
        <v>0</v>
      </c>
      <c r="AE146" s="284" t="n">
        <f aca="false">IF(AND(AE$4="RDEC", $Y146="Limited Company"), "", O146*$E146*$I146)</f>
        <v>0</v>
      </c>
      <c r="AF146" s="284" t="n">
        <f aca="false">IF(AND(AF$4="RDEC", $Y146="Limited Company"), "", P146*$E146*$I146)</f>
        <v>0</v>
      </c>
      <c r="AG146" s="284" t="n">
        <f aca="false">IF(AND(AG$4="RDEC", $Y146="Limited Company"), "", Q146*$E146*$I146)</f>
        <v>0</v>
      </c>
      <c r="AH146" s="284" t="n">
        <f aca="false">IF(AND(AH$4="RDEC", $Y146="Limited Company"), "", R146*$E146*$I146)</f>
        <v>0</v>
      </c>
      <c r="AI146" s="284" t="n">
        <f aca="false">IF(AND(AI$4="RDEC", $Y146="Limited Company"), "", S146*$E146*$I146)</f>
        <v>0</v>
      </c>
      <c r="AJ146" s="284" t="n">
        <f aca="false">IF(AND(AJ$4="RDEC", $Y146="Limited Company"), "", T146*$E146*$I146)</f>
        <v>0</v>
      </c>
      <c r="AK146" s="284" t="n">
        <f aca="false">IF(AND(AK$4="RDEC", $Y146="Limited Company"), "", U146*$E146*$I146)</f>
        <v>0</v>
      </c>
      <c r="AL146" s="284" t="n">
        <f aca="false">IF(AND(AL$4="RDEC", $Y146="Limited Company"), "", V146*$E146*$I146)</f>
        <v>0</v>
      </c>
      <c r="AM146" s="284" t="n">
        <f aca="false">IF(AND(AM$4="RDEC", $Y146="Limited Company"), "", W146*$E146*$I146)</f>
        <v>0</v>
      </c>
      <c r="AN146" s="286" t="n">
        <f aca="false">IFERROR(SUMIF($AB$4:$AM$4, "RDEC", AB146:AM146), "")</f>
        <v>0</v>
      </c>
      <c r="AO146" s="286" t="str">
        <f aca="false">IFERROR((IF(Z146="Yes",SUMIF($AB$4:$AM$4,"SME",AB146:AM146),"")),"")</f>
        <v/>
      </c>
      <c r="AP146" s="286" t="n">
        <f aca="false">IFERROR((IF(Z146="No",SUMIF($AB$4:$AM$4,"SME",AB146:AM146),"")),"")</f>
        <v>0</v>
      </c>
      <c r="AQ146" s="286" t="n">
        <f aca="false">IFERROR(SUMIF($AB$4:$AM$4, "De Minimis", AB146:AM146), "")</f>
        <v>0</v>
      </c>
      <c r="AR146" s="283"/>
      <c r="AS146" s="284" t="n">
        <f aca="false">IFERROR(L146*$E146*$J146, "")</f>
        <v>0</v>
      </c>
      <c r="AT146" s="284" t="n">
        <f aca="false">IFERROR(M146*$E146*$J146, "")</f>
        <v>0</v>
      </c>
      <c r="AU146" s="284" t="n">
        <f aca="false">IFERROR(N146*$E146*$J146, "")</f>
        <v>0</v>
      </c>
      <c r="AV146" s="284" t="n">
        <f aca="false">IFERROR(O146*$E146*$J146, "")</f>
        <v>0</v>
      </c>
      <c r="AW146" s="284" t="n">
        <f aca="false">IFERROR(P146*$E146*$J146, "")</f>
        <v>0</v>
      </c>
      <c r="AX146" s="284" t="n">
        <f aca="false">IFERROR(Q146*$E146*$J146, "")</f>
        <v>0</v>
      </c>
      <c r="AY146" s="284" t="n">
        <f aca="false">IFERROR(R146*$E146*$J146, "")</f>
        <v>0</v>
      </c>
      <c r="AZ146" s="284" t="n">
        <f aca="false">IFERROR(S146*$E146*$J146, "")</f>
        <v>0</v>
      </c>
      <c r="BA146" s="284" t="n">
        <f aca="false">IFERROR(T146*$E146*$J146, "")</f>
        <v>0</v>
      </c>
      <c r="BB146" s="284" t="n">
        <f aca="false">IFERROR(U146*$E146*$J146, "")</f>
        <v>0</v>
      </c>
      <c r="BC146" s="284" t="n">
        <f aca="false">IFERROR(V146*$E146*$J146, "")</f>
        <v>0</v>
      </c>
      <c r="BD146" s="284" t="n">
        <f aca="false">IFERROR(W146*$E146*$J146, "")</f>
        <v>0</v>
      </c>
      <c r="BE146" s="286" t="n">
        <f aca="false">IFERROR(SUMIF($AB$4:$AM$4, "RDEC", AS146:BD146), "")</f>
        <v>0</v>
      </c>
      <c r="BF146" s="286" t="n">
        <f aca="false">IFERROR(SUMIF($AB$4:$AM$4, "SME", AS146:BD146), "")</f>
        <v>0</v>
      </c>
      <c r="BG146" s="286" t="n">
        <f aca="false">IFERROR(SUMIF($AB$4:$AM$4, "De Minimis", AS146:BD146), "")</f>
        <v>0</v>
      </c>
      <c r="BH146" s="287"/>
      <c r="BI146" s="288" t="str">
        <f aca="false">IF((SUM(L146:W146)&gt;1),"ERROR","")</f>
        <v/>
      </c>
    </row>
    <row r="147" customFormat="false" ht="15" hidden="false" customHeight="true" outlineLevel="0" collapsed="false">
      <c r="A147" s="340"/>
      <c r="B147" s="350"/>
      <c r="C147" s="350"/>
      <c r="H147" s="350"/>
      <c r="I147" s="279" t="n">
        <v>1</v>
      </c>
      <c r="J147" s="281" t="n">
        <f aca="false">1-I147</f>
        <v>0</v>
      </c>
      <c r="K147" s="32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350"/>
      <c r="Y147" s="381"/>
      <c r="Z147" s="384" t="s">
        <v>71</v>
      </c>
      <c r="AA147" s="283"/>
      <c r="AB147" s="284" t="n">
        <f aca="false">IF(AND(AB$4="RDEC", $Y147="Limited Company"), "", L147*$E147*$I147)</f>
        <v>0</v>
      </c>
      <c r="AC147" s="284" t="n">
        <f aca="false">IF(AND(AC$4="RDEC", $Y147="Limited Company"), "", M147*$E147*$I147)</f>
        <v>0</v>
      </c>
      <c r="AD147" s="284" t="n">
        <f aca="false">IF(AND(AD$4="RDEC", $Y147="Limited Company"), "", N147*$E147*$I147)</f>
        <v>0</v>
      </c>
      <c r="AE147" s="284" t="n">
        <f aca="false">IF(AND(AE$4="RDEC", $Y147="Limited Company"), "", O147*$E147*$I147)</f>
        <v>0</v>
      </c>
      <c r="AF147" s="284" t="n">
        <f aca="false">IF(AND(AF$4="RDEC", $Y147="Limited Company"), "", P147*$E147*$I147)</f>
        <v>0</v>
      </c>
      <c r="AG147" s="284" t="n">
        <f aca="false">IF(AND(AG$4="RDEC", $Y147="Limited Company"), "", Q147*$E147*$I147)</f>
        <v>0</v>
      </c>
      <c r="AH147" s="284" t="n">
        <f aca="false">IF(AND(AH$4="RDEC", $Y147="Limited Company"), "", R147*$E147*$I147)</f>
        <v>0</v>
      </c>
      <c r="AI147" s="284" t="n">
        <f aca="false">IF(AND(AI$4="RDEC", $Y147="Limited Company"), "", S147*$E147*$I147)</f>
        <v>0</v>
      </c>
      <c r="AJ147" s="284" t="n">
        <f aca="false">IF(AND(AJ$4="RDEC", $Y147="Limited Company"), "", T147*$E147*$I147)</f>
        <v>0</v>
      </c>
      <c r="AK147" s="284" t="n">
        <f aca="false">IF(AND(AK$4="RDEC", $Y147="Limited Company"), "", U147*$E147*$I147)</f>
        <v>0</v>
      </c>
      <c r="AL147" s="284" t="n">
        <f aca="false">IF(AND(AL$4="RDEC", $Y147="Limited Company"), "", V147*$E147*$I147)</f>
        <v>0</v>
      </c>
      <c r="AM147" s="284" t="n">
        <f aca="false">IF(AND(AM$4="RDEC", $Y147="Limited Company"), "", W147*$E147*$I147)</f>
        <v>0</v>
      </c>
      <c r="AN147" s="286" t="n">
        <f aca="false">IFERROR(SUMIF($AB$4:$AM$4, "RDEC", AB147:AM147), "")</f>
        <v>0</v>
      </c>
      <c r="AO147" s="286" t="str">
        <f aca="false">IFERROR((IF(Z147="Yes",SUMIF($AB$4:$AM$4,"SME",AB147:AM147),"")),"")</f>
        <v/>
      </c>
      <c r="AP147" s="286" t="n">
        <f aca="false">IFERROR((IF(Z147="No",SUMIF($AB$4:$AM$4,"SME",AB147:AM147),"")),"")</f>
        <v>0</v>
      </c>
      <c r="AQ147" s="286" t="n">
        <f aca="false">IFERROR(SUMIF($AB$4:$AM$4, "De Minimis", AB147:AM147), "")</f>
        <v>0</v>
      </c>
      <c r="AR147" s="283"/>
      <c r="AS147" s="284" t="n">
        <f aca="false">IFERROR(L147*$E147*$J147, "")</f>
        <v>0</v>
      </c>
      <c r="AT147" s="284" t="n">
        <f aca="false">IFERROR(M147*$E147*$J147, "")</f>
        <v>0</v>
      </c>
      <c r="AU147" s="284" t="n">
        <f aca="false">IFERROR(N147*$E147*$J147, "")</f>
        <v>0</v>
      </c>
      <c r="AV147" s="284" t="n">
        <f aca="false">IFERROR(O147*$E147*$J147, "")</f>
        <v>0</v>
      </c>
      <c r="AW147" s="284" t="n">
        <f aca="false">IFERROR(P147*$E147*$J147, "")</f>
        <v>0</v>
      </c>
      <c r="AX147" s="284" t="n">
        <f aca="false">IFERROR(Q147*$E147*$J147, "")</f>
        <v>0</v>
      </c>
      <c r="AY147" s="284" t="n">
        <f aca="false">IFERROR(R147*$E147*$J147, "")</f>
        <v>0</v>
      </c>
      <c r="AZ147" s="284" t="n">
        <f aca="false">IFERROR(S147*$E147*$J147, "")</f>
        <v>0</v>
      </c>
      <c r="BA147" s="284" t="n">
        <f aca="false">IFERROR(T147*$E147*$J147, "")</f>
        <v>0</v>
      </c>
      <c r="BB147" s="284" t="n">
        <f aca="false">IFERROR(U147*$E147*$J147, "")</f>
        <v>0</v>
      </c>
      <c r="BC147" s="284" t="n">
        <f aca="false">IFERROR(V147*$E147*$J147, "")</f>
        <v>0</v>
      </c>
      <c r="BD147" s="284" t="n">
        <f aca="false">IFERROR(W147*$E147*$J147, "")</f>
        <v>0</v>
      </c>
      <c r="BE147" s="286" t="n">
        <f aca="false">IFERROR(SUMIF($AB$4:$AM$4, "RDEC", AS147:BD147), "")</f>
        <v>0</v>
      </c>
      <c r="BF147" s="286" t="n">
        <f aca="false">IFERROR(SUMIF($AB$4:$AM$4, "SME", AS147:BD147), "")</f>
        <v>0</v>
      </c>
      <c r="BG147" s="286" t="n">
        <f aca="false">IFERROR(SUMIF($AB$4:$AM$4, "De Minimis", AS147:BD147), "")</f>
        <v>0</v>
      </c>
      <c r="BH147" s="287"/>
      <c r="BI147" s="288" t="str">
        <f aca="false">IF((SUM(L147:W147)&gt;1),"ERROR","")</f>
        <v/>
      </c>
    </row>
    <row r="148" customFormat="false" ht="15" hidden="false" customHeight="true" outlineLevel="0" collapsed="false">
      <c r="A148" s="340"/>
      <c r="B148" s="350"/>
      <c r="C148" s="350"/>
      <c r="H148" s="350"/>
      <c r="I148" s="279" t="n">
        <v>1</v>
      </c>
      <c r="J148" s="281" t="n">
        <f aca="false">1-I148</f>
        <v>0</v>
      </c>
      <c r="K148" s="32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350"/>
      <c r="Y148" s="381"/>
      <c r="Z148" s="384" t="s">
        <v>71</v>
      </c>
      <c r="AA148" s="283"/>
      <c r="AB148" s="284" t="n">
        <f aca="false">IF(AND(AB$4="RDEC", $Y148="Limited Company"), "", L148*$E148*$I148)</f>
        <v>0</v>
      </c>
      <c r="AC148" s="284" t="n">
        <f aca="false">IF(AND(AC$4="RDEC", $Y148="Limited Company"), "", M148*$E148*$I148)</f>
        <v>0</v>
      </c>
      <c r="AD148" s="284" t="n">
        <f aca="false">IF(AND(AD$4="RDEC", $Y148="Limited Company"), "", N148*$E148*$I148)</f>
        <v>0</v>
      </c>
      <c r="AE148" s="284" t="n">
        <f aca="false">IF(AND(AE$4="RDEC", $Y148="Limited Company"), "", O148*$E148*$I148)</f>
        <v>0</v>
      </c>
      <c r="AF148" s="284" t="n">
        <f aca="false">IF(AND(AF$4="RDEC", $Y148="Limited Company"), "", P148*$E148*$I148)</f>
        <v>0</v>
      </c>
      <c r="AG148" s="284" t="n">
        <f aca="false">IF(AND(AG$4="RDEC", $Y148="Limited Company"), "", Q148*$E148*$I148)</f>
        <v>0</v>
      </c>
      <c r="AH148" s="284" t="n">
        <f aca="false">IF(AND(AH$4="RDEC", $Y148="Limited Company"), "", R148*$E148*$I148)</f>
        <v>0</v>
      </c>
      <c r="AI148" s="284" t="n">
        <f aca="false">IF(AND(AI$4="RDEC", $Y148="Limited Company"), "", S148*$E148*$I148)</f>
        <v>0</v>
      </c>
      <c r="AJ148" s="284" t="n">
        <f aca="false">IF(AND(AJ$4="RDEC", $Y148="Limited Company"), "", T148*$E148*$I148)</f>
        <v>0</v>
      </c>
      <c r="AK148" s="284" t="n">
        <f aca="false">IF(AND(AK$4="RDEC", $Y148="Limited Company"), "", U148*$E148*$I148)</f>
        <v>0</v>
      </c>
      <c r="AL148" s="284" t="n">
        <f aca="false">IF(AND(AL$4="RDEC", $Y148="Limited Company"), "", V148*$E148*$I148)</f>
        <v>0</v>
      </c>
      <c r="AM148" s="284" t="n">
        <f aca="false">IF(AND(AM$4="RDEC", $Y148="Limited Company"), "", W148*$E148*$I148)</f>
        <v>0</v>
      </c>
      <c r="AN148" s="286" t="n">
        <f aca="false">IFERROR(SUMIF($AB$4:$AM$4, "RDEC", AB148:AM148), "")</f>
        <v>0</v>
      </c>
      <c r="AO148" s="286" t="str">
        <f aca="false">IFERROR((IF(Z148="Yes",SUMIF($AB$4:$AM$4,"SME",AB148:AM148),"")),"")</f>
        <v/>
      </c>
      <c r="AP148" s="286" t="n">
        <f aca="false">IFERROR((IF(Z148="No",SUMIF($AB$4:$AM$4,"SME",AB148:AM148),"")),"")</f>
        <v>0</v>
      </c>
      <c r="AQ148" s="286" t="n">
        <f aca="false">IFERROR(SUMIF($AB$4:$AM$4, "De Minimis", AB148:AM148), "")</f>
        <v>0</v>
      </c>
      <c r="AR148" s="283"/>
      <c r="AS148" s="284" t="n">
        <f aca="false">IFERROR(L148*$E148*$J148, "")</f>
        <v>0</v>
      </c>
      <c r="AT148" s="284" t="n">
        <f aca="false">IFERROR(M148*$E148*$J148, "")</f>
        <v>0</v>
      </c>
      <c r="AU148" s="284" t="n">
        <f aca="false">IFERROR(N148*$E148*$J148, "")</f>
        <v>0</v>
      </c>
      <c r="AV148" s="284" t="n">
        <f aca="false">IFERROR(O148*$E148*$J148, "")</f>
        <v>0</v>
      </c>
      <c r="AW148" s="284" t="n">
        <f aca="false">IFERROR(P148*$E148*$J148, "")</f>
        <v>0</v>
      </c>
      <c r="AX148" s="284" t="n">
        <f aca="false">IFERROR(Q148*$E148*$J148, "")</f>
        <v>0</v>
      </c>
      <c r="AY148" s="284" t="n">
        <f aca="false">IFERROR(R148*$E148*$J148, "")</f>
        <v>0</v>
      </c>
      <c r="AZ148" s="284" t="n">
        <f aca="false">IFERROR(S148*$E148*$J148, "")</f>
        <v>0</v>
      </c>
      <c r="BA148" s="284" t="n">
        <f aca="false">IFERROR(T148*$E148*$J148, "")</f>
        <v>0</v>
      </c>
      <c r="BB148" s="284" t="n">
        <f aca="false">IFERROR(U148*$E148*$J148, "")</f>
        <v>0</v>
      </c>
      <c r="BC148" s="284" t="n">
        <f aca="false">IFERROR(V148*$E148*$J148, "")</f>
        <v>0</v>
      </c>
      <c r="BD148" s="284" t="n">
        <f aca="false">IFERROR(W148*$E148*$J148, "")</f>
        <v>0</v>
      </c>
      <c r="BE148" s="286" t="n">
        <f aca="false">IFERROR(SUMIF($AB$4:$AM$4, "RDEC", AS148:BD148), "")</f>
        <v>0</v>
      </c>
      <c r="BF148" s="286" t="n">
        <f aca="false">IFERROR(SUMIF($AB$4:$AM$4, "SME", AS148:BD148), "")</f>
        <v>0</v>
      </c>
      <c r="BG148" s="286" t="n">
        <f aca="false">IFERROR(SUMIF($AB$4:$AM$4, "De Minimis", AS148:BD148), "")</f>
        <v>0</v>
      </c>
      <c r="BH148" s="287"/>
      <c r="BI148" s="288" t="str">
        <f aca="false">IF((SUM(L148:W148)&gt;1),"ERROR","")</f>
        <v/>
      </c>
    </row>
    <row r="149" customFormat="false" ht="15" hidden="false" customHeight="true" outlineLevel="0" collapsed="false">
      <c r="A149" s="340"/>
      <c r="B149" s="350"/>
      <c r="C149" s="350"/>
      <c r="H149" s="350"/>
      <c r="I149" s="279" t="n">
        <v>1</v>
      </c>
      <c r="J149" s="281" t="n">
        <f aca="false">1-I149</f>
        <v>0</v>
      </c>
      <c r="K149" s="32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350"/>
      <c r="Y149" s="381"/>
      <c r="Z149" s="384" t="s">
        <v>71</v>
      </c>
      <c r="AA149" s="283"/>
      <c r="AB149" s="284" t="n">
        <f aca="false">IF(AND(AB$4="RDEC", $Y149="Limited Company"), "", L149*$E149*$I149)</f>
        <v>0</v>
      </c>
      <c r="AC149" s="284" t="n">
        <f aca="false">IF(AND(AC$4="RDEC", $Y149="Limited Company"), "", M149*$E149*$I149)</f>
        <v>0</v>
      </c>
      <c r="AD149" s="284" t="n">
        <f aca="false">IF(AND(AD$4="RDEC", $Y149="Limited Company"), "", N149*$E149*$I149)</f>
        <v>0</v>
      </c>
      <c r="AE149" s="284" t="n">
        <f aca="false">IF(AND(AE$4="RDEC", $Y149="Limited Company"), "", O149*$E149*$I149)</f>
        <v>0</v>
      </c>
      <c r="AF149" s="284" t="n">
        <f aca="false">IF(AND(AF$4="RDEC", $Y149="Limited Company"), "", P149*$E149*$I149)</f>
        <v>0</v>
      </c>
      <c r="AG149" s="284" t="n">
        <f aca="false">IF(AND(AG$4="RDEC", $Y149="Limited Company"), "", Q149*$E149*$I149)</f>
        <v>0</v>
      </c>
      <c r="AH149" s="284" t="n">
        <f aca="false">IF(AND(AH$4="RDEC", $Y149="Limited Company"), "", R149*$E149*$I149)</f>
        <v>0</v>
      </c>
      <c r="AI149" s="284" t="n">
        <f aca="false">IF(AND(AI$4="RDEC", $Y149="Limited Company"), "", S149*$E149*$I149)</f>
        <v>0</v>
      </c>
      <c r="AJ149" s="284" t="n">
        <f aca="false">IF(AND(AJ$4="RDEC", $Y149="Limited Company"), "", T149*$E149*$I149)</f>
        <v>0</v>
      </c>
      <c r="AK149" s="284" t="n">
        <f aca="false">IF(AND(AK$4="RDEC", $Y149="Limited Company"), "", U149*$E149*$I149)</f>
        <v>0</v>
      </c>
      <c r="AL149" s="284" t="n">
        <f aca="false">IF(AND(AL$4="RDEC", $Y149="Limited Company"), "", V149*$E149*$I149)</f>
        <v>0</v>
      </c>
      <c r="AM149" s="284" t="n">
        <f aca="false">IF(AND(AM$4="RDEC", $Y149="Limited Company"), "", W149*$E149*$I149)</f>
        <v>0</v>
      </c>
      <c r="AN149" s="286" t="n">
        <f aca="false">IFERROR(SUMIF($AB$4:$AM$4, "RDEC", AB149:AM149), "")</f>
        <v>0</v>
      </c>
      <c r="AO149" s="286" t="str">
        <f aca="false">IFERROR((IF(Z149="Yes",SUMIF($AB$4:$AM$4,"SME",AB149:AM149),"")),"")</f>
        <v/>
      </c>
      <c r="AP149" s="286" t="n">
        <f aca="false">IFERROR((IF(Z149="No",SUMIF($AB$4:$AM$4,"SME",AB149:AM149),"")),"")</f>
        <v>0</v>
      </c>
      <c r="AQ149" s="286" t="n">
        <f aca="false">IFERROR(SUMIF($AB$4:$AM$4, "De Minimis", AB149:AM149), "")</f>
        <v>0</v>
      </c>
      <c r="AR149" s="283"/>
      <c r="AS149" s="284" t="n">
        <f aca="false">IFERROR(L149*$E149*$J149, "")</f>
        <v>0</v>
      </c>
      <c r="AT149" s="284" t="n">
        <f aca="false">IFERROR(M149*$E149*$J149, "")</f>
        <v>0</v>
      </c>
      <c r="AU149" s="284" t="n">
        <f aca="false">IFERROR(N149*$E149*$J149, "")</f>
        <v>0</v>
      </c>
      <c r="AV149" s="284" t="n">
        <f aca="false">IFERROR(O149*$E149*$J149, "")</f>
        <v>0</v>
      </c>
      <c r="AW149" s="284" t="n">
        <f aca="false">IFERROR(P149*$E149*$J149, "")</f>
        <v>0</v>
      </c>
      <c r="AX149" s="284" t="n">
        <f aca="false">IFERROR(Q149*$E149*$J149, "")</f>
        <v>0</v>
      </c>
      <c r="AY149" s="284" t="n">
        <f aca="false">IFERROR(R149*$E149*$J149, "")</f>
        <v>0</v>
      </c>
      <c r="AZ149" s="284" t="n">
        <f aca="false">IFERROR(S149*$E149*$J149, "")</f>
        <v>0</v>
      </c>
      <c r="BA149" s="284" t="n">
        <f aca="false">IFERROR(T149*$E149*$J149, "")</f>
        <v>0</v>
      </c>
      <c r="BB149" s="284" t="n">
        <f aca="false">IFERROR(U149*$E149*$J149, "")</f>
        <v>0</v>
      </c>
      <c r="BC149" s="284" t="n">
        <f aca="false">IFERROR(V149*$E149*$J149, "")</f>
        <v>0</v>
      </c>
      <c r="BD149" s="284" t="n">
        <f aca="false">IFERROR(W149*$E149*$J149, "")</f>
        <v>0</v>
      </c>
      <c r="BE149" s="286" t="n">
        <f aca="false">IFERROR(SUMIF($AB$4:$AM$4, "RDEC", AS149:BD149), "")</f>
        <v>0</v>
      </c>
      <c r="BF149" s="286" t="n">
        <f aca="false">IFERROR(SUMIF($AB$4:$AM$4, "SME", AS149:BD149), "")</f>
        <v>0</v>
      </c>
      <c r="BG149" s="286" t="n">
        <f aca="false">IFERROR(SUMIF($AB$4:$AM$4, "De Minimis", AS149:BD149), "")</f>
        <v>0</v>
      </c>
      <c r="BH149" s="287"/>
      <c r="BI149" s="288" t="str">
        <f aca="false">IF((SUM(L149:W149)&gt;1),"ERROR","")</f>
        <v/>
      </c>
    </row>
    <row r="150" customFormat="false" ht="15" hidden="false" customHeight="true" outlineLevel="0" collapsed="false">
      <c r="A150" s="340"/>
      <c r="B150" s="350"/>
      <c r="C150" s="350"/>
      <c r="H150" s="350"/>
      <c r="I150" s="279" t="n">
        <v>1</v>
      </c>
      <c r="J150" s="281" t="n">
        <f aca="false">1-I150</f>
        <v>0</v>
      </c>
      <c r="K150" s="32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350"/>
      <c r="Y150" s="381"/>
      <c r="Z150" s="384" t="s">
        <v>71</v>
      </c>
      <c r="AA150" s="283"/>
      <c r="AB150" s="284" t="n">
        <f aca="false">IF(AND(AB$4="RDEC", $Y150="Limited Company"), "", L150*$E150*$I150)</f>
        <v>0</v>
      </c>
      <c r="AC150" s="284" t="n">
        <f aca="false">IF(AND(AC$4="RDEC", $Y150="Limited Company"), "", M150*$E150*$I150)</f>
        <v>0</v>
      </c>
      <c r="AD150" s="284" t="n">
        <f aca="false">IF(AND(AD$4="RDEC", $Y150="Limited Company"), "", N150*$E150*$I150)</f>
        <v>0</v>
      </c>
      <c r="AE150" s="284" t="n">
        <f aca="false">IF(AND(AE$4="RDEC", $Y150="Limited Company"), "", O150*$E150*$I150)</f>
        <v>0</v>
      </c>
      <c r="AF150" s="284" t="n">
        <f aca="false">IF(AND(AF$4="RDEC", $Y150="Limited Company"), "", P150*$E150*$I150)</f>
        <v>0</v>
      </c>
      <c r="AG150" s="284" t="n">
        <f aca="false">IF(AND(AG$4="RDEC", $Y150="Limited Company"), "", Q150*$E150*$I150)</f>
        <v>0</v>
      </c>
      <c r="AH150" s="284" t="n">
        <f aca="false">IF(AND(AH$4="RDEC", $Y150="Limited Company"), "", R150*$E150*$I150)</f>
        <v>0</v>
      </c>
      <c r="AI150" s="284" t="n">
        <f aca="false">IF(AND(AI$4="RDEC", $Y150="Limited Company"), "", S150*$E150*$I150)</f>
        <v>0</v>
      </c>
      <c r="AJ150" s="284" t="n">
        <f aca="false">IF(AND(AJ$4="RDEC", $Y150="Limited Company"), "", T150*$E150*$I150)</f>
        <v>0</v>
      </c>
      <c r="AK150" s="284" t="n">
        <f aca="false">IF(AND(AK$4="RDEC", $Y150="Limited Company"), "", U150*$E150*$I150)</f>
        <v>0</v>
      </c>
      <c r="AL150" s="284" t="n">
        <f aca="false">IF(AND(AL$4="RDEC", $Y150="Limited Company"), "", V150*$E150*$I150)</f>
        <v>0</v>
      </c>
      <c r="AM150" s="284" t="n">
        <f aca="false">IF(AND(AM$4="RDEC", $Y150="Limited Company"), "", W150*$E150*$I150)</f>
        <v>0</v>
      </c>
      <c r="AN150" s="286" t="n">
        <f aca="false">IFERROR(SUMIF($AB$4:$AM$4, "RDEC", AB150:AM150), "")</f>
        <v>0</v>
      </c>
      <c r="AO150" s="286" t="str">
        <f aca="false">IFERROR((IF(Z150="Yes",SUMIF($AB$4:$AM$4,"SME",AB150:AM150),"")),"")</f>
        <v/>
      </c>
      <c r="AP150" s="286" t="n">
        <f aca="false">IFERROR((IF(Z150="No",SUMIF($AB$4:$AM$4,"SME",AB150:AM150),"")),"")</f>
        <v>0</v>
      </c>
      <c r="AQ150" s="286" t="n">
        <f aca="false">IFERROR(SUMIF($AB$4:$AM$4, "De Minimis", AB150:AM150), "")</f>
        <v>0</v>
      </c>
      <c r="AR150" s="283"/>
      <c r="AS150" s="284" t="n">
        <f aca="false">IFERROR(L150*$E150*$J150, "")</f>
        <v>0</v>
      </c>
      <c r="AT150" s="284" t="n">
        <f aca="false">IFERROR(M150*$E150*$J150, "")</f>
        <v>0</v>
      </c>
      <c r="AU150" s="284" t="n">
        <f aca="false">IFERROR(N150*$E150*$J150, "")</f>
        <v>0</v>
      </c>
      <c r="AV150" s="284" t="n">
        <f aca="false">IFERROR(O150*$E150*$J150, "")</f>
        <v>0</v>
      </c>
      <c r="AW150" s="284" t="n">
        <f aca="false">IFERROR(P150*$E150*$J150, "")</f>
        <v>0</v>
      </c>
      <c r="AX150" s="284" t="n">
        <f aca="false">IFERROR(Q150*$E150*$J150, "")</f>
        <v>0</v>
      </c>
      <c r="AY150" s="284" t="n">
        <f aca="false">IFERROR(R150*$E150*$J150, "")</f>
        <v>0</v>
      </c>
      <c r="AZ150" s="284" t="n">
        <f aca="false">IFERROR(S150*$E150*$J150, "")</f>
        <v>0</v>
      </c>
      <c r="BA150" s="284" t="n">
        <f aca="false">IFERROR(T150*$E150*$J150, "")</f>
        <v>0</v>
      </c>
      <c r="BB150" s="284" t="n">
        <f aca="false">IFERROR(U150*$E150*$J150, "")</f>
        <v>0</v>
      </c>
      <c r="BC150" s="284" t="n">
        <f aca="false">IFERROR(V150*$E150*$J150, "")</f>
        <v>0</v>
      </c>
      <c r="BD150" s="284" t="n">
        <f aca="false">IFERROR(W150*$E150*$J150, "")</f>
        <v>0</v>
      </c>
      <c r="BE150" s="286" t="n">
        <f aca="false">IFERROR(SUMIF($AB$4:$AM$4, "RDEC", AS150:BD150), "")</f>
        <v>0</v>
      </c>
      <c r="BF150" s="286" t="n">
        <f aca="false">IFERROR(SUMIF($AB$4:$AM$4, "SME", AS150:BD150), "")</f>
        <v>0</v>
      </c>
      <c r="BG150" s="286" t="n">
        <f aca="false">IFERROR(SUMIF($AB$4:$AM$4, "De Minimis", AS150:BD150), "")</f>
        <v>0</v>
      </c>
      <c r="BH150" s="287"/>
      <c r="BI150" s="288" t="str">
        <f aca="false">IF((SUM(L150:W150)&gt;1),"ERROR","")</f>
        <v/>
      </c>
    </row>
    <row r="151" customFormat="false" ht="15" hidden="false" customHeight="true" outlineLevel="0" collapsed="false">
      <c r="A151" s="340"/>
      <c r="B151" s="350"/>
      <c r="C151" s="350"/>
      <c r="H151" s="350"/>
      <c r="I151" s="279" t="n">
        <v>1</v>
      </c>
      <c r="J151" s="281" t="n">
        <f aca="false">1-I151</f>
        <v>0</v>
      </c>
      <c r="K151" s="32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350"/>
      <c r="Y151" s="381"/>
      <c r="Z151" s="384" t="s">
        <v>71</v>
      </c>
      <c r="AA151" s="283"/>
      <c r="AB151" s="284" t="n">
        <f aca="false">IF(AND(AB$4="RDEC", $Y151="Limited Company"), "", L151*$E151*$I151)</f>
        <v>0</v>
      </c>
      <c r="AC151" s="284" t="n">
        <f aca="false">IF(AND(AC$4="RDEC", $Y151="Limited Company"), "", M151*$E151*$I151)</f>
        <v>0</v>
      </c>
      <c r="AD151" s="284" t="n">
        <f aca="false">IF(AND(AD$4="RDEC", $Y151="Limited Company"), "", N151*$E151*$I151)</f>
        <v>0</v>
      </c>
      <c r="AE151" s="284" t="n">
        <f aca="false">IF(AND(AE$4="RDEC", $Y151="Limited Company"), "", O151*$E151*$I151)</f>
        <v>0</v>
      </c>
      <c r="AF151" s="284" t="n">
        <f aca="false">IF(AND(AF$4="RDEC", $Y151="Limited Company"), "", P151*$E151*$I151)</f>
        <v>0</v>
      </c>
      <c r="AG151" s="284" t="n">
        <f aca="false">IF(AND(AG$4="RDEC", $Y151="Limited Company"), "", Q151*$E151*$I151)</f>
        <v>0</v>
      </c>
      <c r="AH151" s="284" t="n">
        <f aca="false">IF(AND(AH$4="RDEC", $Y151="Limited Company"), "", R151*$E151*$I151)</f>
        <v>0</v>
      </c>
      <c r="AI151" s="284" t="n">
        <f aca="false">IF(AND(AI$4="RDEC", $Y151="Limited Company"), "", S151*$E151*$I151)</f>
        <v>0</v>
      </c>
      <c r="AJ151" s="284" t="n">
        <f aca="false">IF(AND(AJ$4="RDEC", $Y151="Limited Company"), "", T151*$E151*$I151)</f>
        <v>0</v>
      </c>
      <c r="AK151" s="284" t="n">
        <f aca="false">IF(AND(AK$4="RDEC", $Y151="Limited Company"), "", U151*$E151*$I151)</f>
        <v>0</v>
      </c>
      <c r="AL151" s="284" t="n">
        <f aca="false">IF(AND(AL$4="RDEC", $Y151="Limited Company"), "", V151*$E151*$I151)</f>
        <v>0</v>
      </c>
      <c r="AM151" s="284" t="n">
        <f aca="false">IF(AND(AM$4="RDEC", $Y151="Limited Company"), "", W151*$E151*$I151)</f>
        <v>0</v>
      </c>
      <c r="AN151" s="286" t="n">
        <f aca="false">IFERROR(SUMIF($AB$4:$AM$4, "RDEC", AB151:AM151), "")</f>
        <v>0</v>
      </c>
      <c r="AO151" s="286" t="str">
        <f aca="false">IFERROR((IF(Z151="Yes",SUMIF($AB$4:$AM$4,"SME",AB151:AM151),"")),"")</f>
        <v/>
      </c>
      <c r="AP151" s="286" t="n">
        <f aca="false">IFERROR((IF(Z151="No",SUMIF($AB$4:$AM$4,"SME",AB151:AM151),"")),"")</f>
        <v>0</v>
      </c>
      <c r="AQ151" s="286" t="n">
        <f aca="false">IFERROR(SUMIF($AB$4:$AM$4, "De Minimis", AB151:AM151), "")</f>
        <v>0</v>
      </c>
      <c r="AR151" s="283"/>
      <c r="AS151" s="284" t="n">
        <f aca="false">IFERROR(L151*$E151*$J151, "")</f>
        <v>0</v>
      </c>
      <c r="AT151" s="284" t="n">
        <f aca="false">IFERROR(M151*$E151*$J151, "")</f>
        <v>0</v>
      </c>
      <c r="AU151" s="284" t="n">
        <f aca="false">IFERROR(N151*$E151*$J151, "")</f>
        <v>0</v>
      </c>
      <c r="AV151" s="284" t="n">
        <f aca="false">IFERROR(O151*$E151*$J151, "")</f>
        <v>0</v>
      </c>
      <c r="AW151" s="284" t="n">
        <f aca="false">IFERROR(P151*$E151*$J151, "")</f>
        <v>0</v>
      </c>
      <c r="AX151" s="284" t="n">
        <f aca="false">IFERROR(Q151*$E151*$J151, "")</f>
        <v>0</v>
      </c>
      <c r="AY151" s="284" t="n">
        <f aca="false">IFERROR(R151*$E151*$J151, "")</f>
        <v>0</v>
      </c>
      <c r="AZ151" s="284" t="n">
        <f aca="false">IFERROR(S151*$E151*$J151, "")</f>
        <v>0</v>
      </c>
      <c r="BA151" s="284" t="n">
        <f aca="false">IFERROR(T151*$E151*$J151, "")</f>
        <v>0</v>
      </c>
      <c r="BB151" s="284" t="n">
        <f aca="false">IFERROR(U151*$E151*$J151, "")</f>
        <v>0</v>
      </c>
      <c r="BC151" s="284" t="n">
        <f aca="false">IFERROR(V151*$E151*$J151, "")</f>
        <v>0</v>
      </c>
      <c r="BD151" s="284" t="n">
        <f aca="false">IFERROR(W151*$E151*$J151, "")</f>
        <v>0</v>
      </c>
      <c r="BE151" s="286" t="n">
        <f aca="false">IFERROR(SUMIF($AB$4:$AM$4, "RDEC", AS151:BD151), "")</f>
        <v>0</v>
      </c>
      <c r="BF151" s="286" t="n">
        <f aca="false">IFERROR(SUMIF($AB$4:$AM$4, "SME", AS151:BD151), "")</f>
        <v>0</v>
      </c>
      <c r="BG151" s="286" t="n">
        <f aca="false">IFERROR(SUMIF($AB$4:$AM$4, "De Minimis", AS151:BD151), "")</f>
        <v>0</v>
      </c>
      <c r="BH151" s="287"/>
      <c r="BI151" s="288" t="str">
        <f aca="false">IF((SUM(L151:W151)&gt;1),"ERROR","")</f>
        <v/>
      </c>
    </row>
    <row r="152" customFormat="false" ht="15" hidden="false" customHeight="true" outlineLevel="0" collapsed="false">
      <c r="A152" s="340"/>
      <c r="B152" s="350"/>
      <c r="C152" s="350"/>
      <c r="H152" s="350"/>
      <c r="I152" s="279" t="n">
        <v>1</v>
      </c>
      <c r="J152" s="281" t="n">
        <f aca="false">1-I152</f>
        <v>0</v>
      </c>
      <c r="K152" s="32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2"/>
      <c r="V152" s="282"/>
      <c r="W152" s="282"/>
      <c r="X152" s="350"/>
      <c r="Y152" s="381"/>
      <c r="Z152" s="384" t="s">
        <v>71</v>
      </c>
      <c r="AA152" s="283"/>
      <c r="AB152" s="284" t="n">
        <f aca="false">IF(AND(AB$4="RDEC", $Y152="Limited Company"), "", L152*$E152*$I152)</f>
        <v>0</v>
      </c>
      <c r="AC152" s="284" t="n">
        <f aca="false">IF(AND(AC$4="RDEC", $Y152="Limited Company"), "", M152*$E152*$I152)</f>
        <v>0</v>
      </c>
      <c r="AD152" s="284" t="n">
        <f aca="false">IF(AND(AD$4="RDEC", $Y152="Limited Company"), "", N152*$E152*$I152)</f>
        <v>0</v>
      </c>
      <c r="AE152" s="284" t="n">
        <f aca="false">IF(AND(AE$4="RDEC", $Y152="Limited Company"), "", O152*$E152*$I152)</f>
        <v>0</v>
      </c>
      <c r="AF152" s="284" t="n">
        <f aca="false">IF(AND(AF$4="RDEC", $Y152="Limited Company"), "", P152*$E152*$I152)</f>
        <v>0</v>
      </c>
      <c r="AG152" s="284" t="n">
        <f aca="false">IF(AND(AG$4="RDEC", $Y152="Limited Company"), "", Q152*$E152*$I152)</f>
        <v>0</v>
      </c>
      <c r="AH152" s="284" t="n">
        <f aca="false">IF(AND(AH$4="RDEC", $Y152="Limited Company"), "", R152*$E152*$I152)</f>
        <v>0</v>
      </c>
      <c r="AI152" s="284" t="n">
        <f aca="false">IF(AND(AI$4="RDEC", $Y152="Limited Company"), "", S152*$E152*$I152)</f>
        <v>0</v>
      </c>
      <c r="AJ152" s="284" t="n">
        <f aca="false">IF(AND(AJ$4="RDEC", $Y152="Limited Company"), "", T152*$E152*$I152)</f>
        <v>0</v>
      </c>
      <c r="AK152" s="284" t="n">
        <f aca="false">IF(AND(AK$4="RDEC", $Y152="Limited Company"), "", U152*$E152*$I152)</f>
        <v>0</v>
      </c>
      <c r="AL152" s="284" t="n">
        <f aca="false">IF(AND(AL$4="RDEC", $Y152="Limited Company"), "", V152*$E152*$I152)</f>
        <v>0</v>
      </c>
      <c r="AM152" s="284" t="n">
        <f aca="false">IF(AND(AM$4="RDEC", $Y152="Limited Company"), "", W152*$E152*$I152)</f>
        <v>0</v>
      </c>
      <c r="AN152" s="286" t="n">
        <f aca="false">IFERROR(SUMIF($AB$4:$AM$4, "RDEC", AB152:AM152), "")</f>
        <v>0</v>
      </c>
      <c r="AO152" s="286" t="str">
        <f aca="false">IFERROR((IF(Z152="Yes",SUMIF($AB$4:$AM$4,"SME",AB152:AM152),"")),"")</f>
        <v/>
      </c>
      <c r="AP152" s="286" t="n">
        <f aca="false">IFERROR((IF(Z152="No",SUMIF($AB$4:$AM$4,"SME",AB152:AM152),"")),"")</f>
        <v>0</v>
      </c>
      <c r="AQ152" s="286" t="n">
        <f aca="false">IFERROR(SUMIF($AB$4:$AM$4, "De Minimis", AB152:AM152), "")</f>
        <v>0</v>
      </c>
      <c r="AR152" s="283"/>
      <c r="AS152" s="284" t="n">
        <f aca="false">IFERROR(L152*$E152*$J152, "")</f>
        <v>0</v>
      </c>
      <c r="AT152" s="284" t="n">
        <f aca="false">IFERROR(M152*$E152*$J152, "")</f>
        <v>0</v>
      </c>
      <c r="AU152" s="284" t="n">
        <f aca="false">IFERROR(N152*$E152*$J152, "")</f>
        <v>0</v>
      </c>
      <c r="AV152" s="284" t="n">
        <f aca="false">IFERROR(O152*$E152*$J152, "")</f>
        <v>0</v>
      </c>
      <c r="AW152" s="284" t="n">
        <f aca="false">IFERROR(P152*$E152*$J152, "")</f>
        <v>0</v>
      </c>
      <c r="AX152" s="284" t="n">
        <f aca="false">IFERROR(Q152*$E152*$J152, "")</f>
        <v>0</v>
      </c>
      <c r="AY152" s="284" t="n">
        <f aca="false">IFERROR(R152*$E152*$J152, "")</f>
        <v>0</v>
      </c>
      <c r="AZ152" s="284" t="n">
        <f aca="false">IFERROR(S152*$E152*$J152, "")</f>
        <v>0</v>
      </c>
      <c r="BA152" s="284" t="n">
        <f aca="false">IFERROR(T152*$E152*$J152, "")</f>
        <v>0</v>
      </c>
      <c r="BB152" s="284" t="n">
        <f aca="false">IFERROR(U152*$E152*$J152, "")</f>
        <v>0</v>
      </c>
      <c r="BC152" s="284" t="n">
        <f aca="false">IFERROR(V152*$E152*$J152, "")</f>
        <v>0</v>
      </c>
      <c r="BD152" s="284" t="n">
        <f aca="false">IFERROR(W152*$E152*$J152, "")</f>
        <v>0</v>
      </c>
      <c r="BE152" s="286" t="n">
        <f aca="false">IFERROR(SUMIF($AB$4:$AM$4, "RDEC", AS152:BD152), "")</f>
        <v>0</v>
      </c>
      <c r="BF152" s="286" t="n">
        <f aca="false">IFERROR(SUMIF($AB$4:$AM$4, "SME", AS152:BD152), "")</f>
        <v>0</v>
      </c>
      <c r="BG152" s="286" t="n">
        <f aca="false">IFERROR(SUMIF($AB$4:$AM$4, "De Minimis", AS152:BD152), "")</f>
        <v>0</v>
      </c>
      <c r="BH152" s="287"/>
      <c r="BI152" s="288" t="str">
        <f aca="false">IF((SUM(L152:W152)&gt;1),"ERROR","")</f>
        <v/>
      </c>
    </row>
    <row r="153" customFormat="false" ht="15" hidden="false" customHeight="true" outlineLevel="0" collapsed="false">
      <c r="A153" s="340"/>
      <c r="B153" s="350"/>
      <c r="C153" s="350"/>
      <c r="H153" s="350"/>
      <c r="I153" s="279" t="n">
        <v>1</v>
      </c>
      <c r="J153" s="281" t="n">
        <f aca="false">1-I153</f>
        <v>0</v>
      </c>
      <c r="K153" s="32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350"/>
      <c r="Y153" s="381"/>
      <c r="Z153" s="384" t="s">
        <v>71</v>
      </c>
      <c r="AA153" s="283"/>
      <c r="AB153" s="284" t="n">
        <f aca="false">IF(AND(AB$4="RDEC", $Y153="Limited Company"), "", L153*$E153*$I153)</f>
        <v>0</v>
      </c>
      <c r="AC153" s="284" t="n">
        <f aca="false">IF(AND(AC$4="RDEC", $Y153="Limited Company"), "", M153*$E153*$I153)</f>
        <v>0</v>
      </c>
      <c r="AD153" s="284" t="n">
        <f aca="false">IF(AND(AD$4="RDEC", $Y153="Limited Company"), "", N153*$E153*$I153)</f>
        <v>0</v>
      </c>
      <c r="AE153" s="284" t="n">
        <f aca="false">IF(AND(AE$4="RDEC", $Y153="Limited Company"), "", O153*$E153*$I153)</f>
        <v>0</v>
      </c>
      <c r="AF153" s="284" t="n">
        <f aca="false">IF(AND(AF$4="RDEC", $Y153="Limited Company"), "", P153*$E153*$I153)</f>
        <v>0</v>
      </c>
      <c r="AG153" s="284" t="n">
        <f aca="false">IF(AND(AG$4="RDEC", $Y153="Limited Company"), "", Q153*$E153*$I153)</f>
        <v>0</v>
      </c>
      <c r="AH153" s="284" t="n">
        <f aca="false">IF(AND(AH$4="RDEC", $Y153="Limited Company"), "", R153*$E153*$I153)</f>
        <v>0</v>
      </c>
      <c r="AI153" s="284" t="n">
        <f aca="false">IF(AND(AI$4="RDEC", $Y153="Limited Company"), "", S153*$E153*$I153)</f>
        <v>0</v>
      </c>
      <c r="AJ153" s="284" t="n">
        <f aca="false">IF(AND(AJ$4="RDEC", $Y153="Limited Company"), "", T153*$E153*$I153)</f>
        <v>0</v>
      </c>
      <c r="AK153" s="284" t="n">
        <f aca="false">IF(AND(AK$4="RDEC", $Y153="Limited Company"), "", U153*$E153*$I153)</f>
        <v>0</v>
      </c>
      <c r="AL153" s="284" t="n">
        <f aca="false">IF(AND(AL$4="RDEC", $Y153="Limited Company"), "", V153*$E153*$I153)</f>
        <v>0</v>
      </c>
      <c r="AM153" s="284" t="n">
        <f aca="false">IF(AND(AM$4="RDEC", $Y153="Limited Company"), "", W153*$E153*$I153)</f>
        <v>0</v>
      </c>
      <c r="AN153" s="286" t="n">
        <f aca="false">IFERROR(SUMIF($AB$4:$AM$4, "RDEC", AB153:AM153), "")</f>
        <v>0</v>
      </c>
      <c r="AO153" s="286" t="str">
        <f aca="false">IFERROR((IF(Z153="Yes",SUMIF($AB$4:$AM$4,"SME",AB153:AM153),"")),"")</f>
        <v/>
      </c>
      <c r="AP153" s="286" t="n">
        <f aca="false">IFERROR((IF(Z153="No",SUMIF($AB$4:$AM$4,"SME",AB153:AM153),"")),"")</f>
        <v>0</v>
      </c>
      <c r="AQ153" s="286" t="n">
        <f aca="false">IFERROR(SUMIF($AB$4:$AM$4, "De Minimis", AB153:AM153), "")</f>
        <v>0</v>
      </c>
      <c r="AR153" s="283"/>
      <c r="AS153" s="284" t="n">
        <f aca="false">IFERROR(L153*$E153*$J153, "")</f>
        <v>0</v>
      </c>
      <c r="AT153" s="284" t="n">
        <f aca="false">IFERROR(M153*$E153*$J153, "")</f>
        <v>0</v>
      </c>
      <c r="AU153" s="284" t="n">
        <f aca="false">IFERROR(N153*$E153*$J153, "")</f>
        <v>0</v>
      </c>
      <c r="AV153" s="284" t="n">
        <f aca="false">IFERROR(O153*$E153*$J153, "")</f>
        <v>0</v>
      </c>
      <c r="AW153" s="284" t="n">
        <f aca="false">IFERROR(P153*$E153*$J153, "")</f>
        <v>0</v>
      </c>
      <c r="AX153" s="284" t="n">
        <f aca="false">IFERROR(Q153*$E153*$J153, "")</f>
        <v>0</v>
      </c>
      <c r="AY153" s="284" t="n">
        <f aca="false">IFERROR(R153*$E153*$J153, "")</f>
        <v>0</v>
      </c>
      <c r="AZ153" s="284" t="n">
        <f aca="false">IFERROR(S153*$E153*$J153, "")</f>
        <v>0</v>
      </c>
      <c r="BA153" s="284" t="n">
        <f aca="false">IFERROR(T153*$E153*$J153, "")</f>
        <v>0</v>
      </c>
      <c r="BB153" s="284" t="n">
        <f aca="false">IFERROR(U153*$E153*$J153, "")</f>
        <v>0</v>
      </c>
      <c r="BC153" s="284" t="n">
        <f aca="false">IFERROR(V153*$E153*$J153, "")</f>
        <v>0</v>
      </c>
      <c r="BD153" s="284" t="n">
        <f aca="false">IFERROR(W153*$E153*$J153, "")</f>
        <v>0</v>
      </c>
      <c r="BE153" s="286" t="n">
        <f aca="false">IFERROR(SUMIF($AB$4:$AM$4, "RDEC", AS153:BD153), "")</f>
        <v>0</v>
      </c>
      <c r="BF153" s="286" t="n">
        <f aca="false">IFERROR(SUMIF($AB$4:$AM$4, "SME", AS153:BD153), "")</f>
        <v>0</v>
      </c>
      <c r="BG153" s="286" t="n">
        <f aca="false">IFERROR(SUMIF($AB$4:$AM$4, "De Minimis", AS153:BD153), "")</f>
        <v>0</v>
      </c>
      <c r="BH153" s="287"/>
      <c r="BI153" s="288" t="str">
        <f aca="false">IF((SUM(L153:W153)&gt;1),"ERROR","")</f>
        <v/>
      </c>
    </row>
    <row r="154" customFormat="false" ht="15" hidden="false" customHeight="true" outlineLevel="0" collapsed="false">
      <c r="A154" s="340"/>
      <c r="B154" s="350"/>
      <c r="C154" s="350"/>
      <c r="H154" s="350"/>
      <c r="I154" s="279" t="n">
        <v>1</v>
      </c>
      <c r="J154" s="281" t="n">
        <f aca="false">1-I154</f>
        <v>0</v>
      </c>
      <c r="K154" s="32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350"/>
      <c r="Y154" s="381"/>
      <c r="Z154" s="384" t="s">
        <v>71</v>
      </c>
      <c r="AA154" s="283"/>
      <c r="AB154" s="284" t="n">
        <f aca="false">IF(AND(AB$4="RDEC", $Y154="Limited Company"), "", L154*$E154*$I154)</f>
        <v>0</v>
      </c>
      <c r="AC154" s="284" t="n">
        <f aca="false">IF(AND(AC$4="RDEC", $Y154="Limited Company"), "", M154*$E154*$I154)</f>
        <v>0</v>
      </c>
      <c r="AD154" s="284" t="n">
        <f aca="false">IF(AND(AD$4="RDEC", $Y154="Limited Company"), "", N154*$E154*$I154)</f>
        <v>0</v>
      </c>
      <c r="AE154" s="284" t="n">
        <f aca="false">IF(AND(AE$4="RDEC", $Y154="Limited Company"), "", O154*$E154*$I154)</f>
        <v>0</v>
      </c>
      <c r="AF154" s="284" t="n">
        <f aca="false">IF(AND(AF$4="RDEC", $Y154="Limited Company"), "", P154*$E154*$I154)</f>
        <v>0</v>
      </c>
      <c r="AG154" s="284" t="n">
        <f aca="false">IF(AND(AG$4="RDEC", $Y154="Limited Company"), "", Q154*$E154*$I154)</f>
        <v>0</v>
      </c>
      <c r="AH154" s="284" t="n">
        <f aca="false">IF(AND(AH$4="RDEC", $Y154="Limited Company"), "", R154*$E154*$I154)</f>
        <v>0</v>
      </c>
      <c r="AI154" s="284" t="n">
        <f aca="false">IF(AND(AI$4="RDEC", $Y154="Limited Company"), "", S154*$E154*$I154)</f>
        <v>0</v>
      </c>
      <c r="AJ154" s="284" t="n">
        <f aca="false">IF(AND(AJ$4="RDEC", $Y154="Limited Company"), "", T154*$E154*$I154)</f>
        <v>0</v>
      </c>
      <c r="AK154" s="284" t="n">
        <f aca="false">IF(AND(AK$4="RDEC", $Y154="Limited Company"), "", U154*$E154*$I154)</f>
        <v>0</v>
      </c>
      <c r="AL154" s="284" t="n">
        <f aca="false">IF(AND(AL$4="RDEC", $Y154="Limited Company"), "", V154*$E154*$I154)</f>
        <v>0</v>
      </c>
      <c r="AM154" s="284" t="n">
        <f aca="false">IF(AND(AM$4="RDEC", $Y154="Limited Company"), "", W154*$E154*$I154)</f>
        <v>0</v>
      </c>
      <c r="AN154" s="286" t="n">
        <f aca="false">IFERROR(SUMIF($AB$4:$AM$4, "RDEC", AB154:AM154), "")</f>
        <v>0</v>
      </c>
      <c r="AO154" s="286" t="str">
        <f aca="false">IFERROR((IF(Z154="Yes",SUMIF($AB$4:$AM$4,"SME",AB154:AM154),"")),"")</f>
        <v/>
      </c>
      <c r="AP154" s="286" t="n">
        <f aca="false">IFERROR((IF(Z154="No",SUMIF($AB$4:$AM$4,"SME",AB154:AM154),"")),"")</f>
        <v>0</v>
      </c>
      <c r="AQ154" s="286" t="n">
        <f aca="false">IFERROR(SUMIF($AB$4:$AM$4, "De Minimis", AB154:AM154), "")</f>
        <v>0</v>
      </c>
      <c r="AR154" s="283"/>
      <c r="AS154" s="284" t="n">
        <f aca="false">IFERROR(L154*$E154*$J154, "")</f>
        <v>0</v>
      </c>
      <c r="AT154" s="284" t="n">
        <f aca="false">IFERROR(M154*$E154*$J154, "")</f>
        <v>0</v>
      </c>
      <c r="AU154" s="284" t="n">
        <f aca="false">IFERROR(N154*$E154*$J154, "")</f>
        <v>0</v>
      </c>
      <c r="AV154" s="284" t="n">
        <f aca="false">IFERROR(O154*$E154*$J154, "")</f>
        <v>0</v>
      </c>
      <c r="AW154" s="284" t="n">
        <f aca="false">IFERROR(P154*$E154*$J154, "")</f>
        <v>0</v>
      </c>
      <c r="AX154" s="284" t="n">
        <f aca="false">IFERROR(Q154*$E154*$J154, "")</f>
        <v>0</v>
      </c>
      <c r="AY154" s="284" t="n">
        <f aca="false">IFERROR(R154*$E154*$J154, "")</f>
        <v>0</v>
      </c>
      <c r="AZ154" s="284" t="n">
        <f aca="false">IFERROR(S154*$E154*$J154, "")</f>
        <v>0</v>
      </c>
      <c r="BA154" s="284" t="n">
        <f aca="false">IFERROR(T154*$E154*$J154, "")</f>
        <v>0</v>
      </c>
      <c r="BB154" s="284" t="n">
        <f aca="false">IFERROR(U154*$E154*$J154, "")</f>
        <v>0</v>
      </c>
      <c r="BC154" s="284" t="n">
        <f aca="false">IFERROR(V154*$E154*$J154, "")</f>
        <v>0</v>
      </c>
      <c r="BD154" s="284" t="n">
        <f aca="false">IFERROR(W154*$E154*$J154, "")</f>
        <v>0</v>
      </c>
      <c r="BE154" s="286" t="n">
        <f aca="false">IFERROR(SUMIF($AB$4:$AM$4, "RDEC", AS154:BD154), "")</f>
        <v>0</v>
      </c>
      <c r="BF154" s="286" t="n">
        <f aca="false">IFERROR(SUMIF($AB$4:$AM$4, "SME", AS154:BD154), "")</f>
        <v>0</v>
      </c>
      <c r="BG154" s="286" t="n">
        <f aca="false">IFERROR(SUMIF($AB$4:$AM$4, "De Minimis", AS154:BD154), "")</f>
        <v>0</v>
      </c>
      <c r="BH154" s="303"/>
      <c r="BI154" s="288" t="str">
        <f aca="false">IF((SUM(L154:W154)&gt;1),"ERROR","")</f>
        <v/>
      </c>
    </row>
    <row r="155" customFormat="false" ht="15" hidden="false" customHeight="true" outlineLevel="0" collapsed="false">
      <c r="A155" s="340"/>
      <c r="B155" s="350"/>
      <c r="C155" s="350"/>
      <c r="H155" s="350"/>
      <c r="I155" s="279" t="n">
        <v>1</v>
      </c>
      <c r="J155" s="281" t="n">
        <f aca="false">1-I155</f>
        <v>0</v>
      </c>
      <c r="K155" s="32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350"/>
      <c r="Y155" s="381"/>
      <c r="Z155" s="384" t="s">
        <v>71</v>
      </c>
      <c r="AA155" s="283"/>
      <c r="AB155" s="284" t="n">
        <f aca="false">IF(AND(AB$4="RDEC", $Y155="Limited Company"), "", L155*$E155*$I155)</f>
        <v>0</v>
      </c>
      <c r="AC155" s="284" t="n">
        <f aca="false">IF(AND(AC$4="RDEC", $Y155="Limited Company"), "", M155*$E155*$I155)</f>
        <v>0</v>
      </c>
      <c r="AD155" s="284" t="n">
        <f aca="false">IF(AND(AD$4="RDEC", $Y155="Limited Company"), "", N155*$E155*$I155)</f>
        <v>0</v>
      </c>
      <c r="AE155" s="284" t="n">
        <f aca="false">IF(AND(AE$4="RDEC", $Y155="Limited Company"), "", O155*$E155*$I155)</f>
        <v>0</v>
      </c>
      <c r="AF155" s="284" t="n">
        <f aca="false">IF(AND(AF$4="RDEC", $Y155="Limited Company"), "", P155*$E155*$I155)</f>
        <v>0</v>
      </c>
      <c r="AG155" s="284" t="n">
        <f aca="false">IF(AND(AG$4="RDEC", $Y155="Limited Company"), "", Q155*$E155*$I155)</f>
        <v>0</v>
      </c>
      <c r="AH155" s="284" t="n">
        <f aca="false">IF(AND(AH$4="RDEC", $Y155="Limited Company"), "", R155*$E155*$I155)</f>
        <v>0</v>
      </c>
      <c r="AI155" s="284" t="n">
        <f aca="false">IF(AND(AI$4="RDEC", $Y155="Limited Company"), "", S155*$E155*$I155)</f>
        <v>0</v>
      </c>
      <c r="AJ155" s="284" t="n">
        <f aca="false">IF(AND(AJ$4="RDEC", $Y155="Limited Company"), "", T155*$E155*$I155)</f>
        <v>0</v>
      </c>
      <c r="AK155" s="284" t="n">
        <f aca="false">IF(AND(AK$4="RDEC", $Y155="Limited Company"), "", U155*$E155*$I155)</f>
        <v>0</v>
      </c>
      <c r="AL155" s="284" t="n">
        <f aca="false">IF(AND(AL$4="RDEC", $Y155="Limited Company"), "", V155*$E155*$I155)</f>
        <v>0</v>
      </c>
      <c r="AM155" s="284" t="n">
        <f aca="false">IF(AND(AM$4="RDEC", $Y155="Limited Company"), "", W155*$E155*$I155)</f>
        <v>0</v>
      </c>
      <c r="AN155" s="286" t="n">
        <f aca="false">IFERROR(SUMIF($AB$4:$AM$4, "RDEC", AB155:AM155), "")</f>
        <v>0</v>
      </c>
      <c r="AO155" s="286" t="str">
        <f aca="false">IFERROR((IF(Z155="Yes",SUMIF($AB$4:$AM$4,"SME",AB155:AM155),"")),"")</f>
        <v/>
      </c>
      <c r="AP155" s="286" t="n">
        <f aca="false">IFERROR((IF(Z155="No",SUMIF($AB$4:$AM$4,"SME",AB155:AM155),"")),"")</f>
        <v>0</v>
      </c>
      <c r="AQ155" s="286" t="n">
        <f aca="false">IFERROR(SUMIF($AB$4:$AM$4, "De Minimis", AB155:AM155), "")</f>
        <v>0</v>
      </c>
      <c r="AR155" s="283"/>
      <c r="AS155" s="284" t="n">
        <f aca="false">IFERROR(L155*$E155*$J155, "")</f>
        <v>0</v>
      </c>
      <c r="AT155" s="284" t="n">
        <f aca="false">IFERROR(M155*$E155*$J155, "")</f>
        <v>0</v>
      </c>
      <c r="AU155" s="284" t="n">
        <f aca="false">IFERROR(N155*$E155*$J155, "")</f>
        <v>0</v>
      </c>
      <c r="AV155" s="284" t="n">
        <f aca="false">IFERROR(O155*$E155*$J155, "")</f>
        <v>0</v>
      </c>
      <c r="AW155" s="284" t="n">
        <f aca="false">IFERROR(P155*$E155*$J155, "")</f>
        <v>0</v>
      </c>
      <c r="AX155" s="284" t="n">
        <f aca="false">IFERROR(Q155*$E155*$J155, "")</f>
        <v>0</v>
      </c>
      <c r="AY155" s="284" t="n">
        <f aca="false">IFERROR(R155*$E155*$J155, "")</f>
        <v>0</v>
      </c>
      <c r="AZ155" s="284" t="n">
        <f aca="false">IFERROR(S155*$E155*$J155, "")</f>
        <v>0</v>
      </c>
      <c r="BA155" s="284" t="n">
        <f aca="false">IFERROR(T155*$E155*$J155, "")</f>
        <v>0</v>
      </c>
      <c r="BB155" s="284" t="n">
        <f aca="false">IFERROR(U155*$E155*$J155, "")</f>
        <v>0</v>
      </c>
      <c r="BC155" s="284" t="n">
        <f aca="false">IFERROR(V155*$E155*$J155, "")</f>
        <v>0</v>
      </c>
      <c r="BD155" s="284" t="n">
        <f aca="false">IFERROR(W155*$E155*$J155, "")</f>
        <v>0</v>
      </c>
      <c r="BE155" s="286" t="n">
        <f aca="false">IFERROR(SUMIF($AB$4:$AM$4, "RDEC", AS155:BD155), "")</f>
        <v>0</v>
      </c>
      <c r="BF155" s="286" t="n">
        <f aca="false">IFERROR(SUMIF($AB$4:$AM$4, "SME", AS155:BD155), "")</f>
        <v>0</v>
      </c>
      <c r="BG155" s="286" t="n">
        <f aca="false">IFERROR(SUMIF($AB$4:$AM$4, "De Minimis", AS155:BD155), "")</f>
        <v>0</v>
      </c>
      <c r="BI155" s="288" t="str">
        <f aca="false">IF((SUM(L155:W155)&gt;1),"ERROR","")</f>
        <v/>
      </c>
    </row>
    <row r="156" customFormat="false" ht="15" hidden="false" customHeight="true" outlineLevel="0" collapsed="false">
      <c r="A156" s="340"/>
      <c r="B156" s="350"/>
      <c r="C156" s="350"/>
      <c r="H156" s="350"/>
      <c r="I156" s="279" t="n">
        <v>1</v>
      </c>
      <c r="J156" s="281" t="n">
        <f aca="false">1-I156</f>
        <v>0</v>
      </c>
      <c r="K156" s="32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350"/>
      <c r="Y156" s="381"/>
      <c r="Z156" s="384" t="s">
        <v>71</v>
      </c>
      <c r="AA156" s="283"/>
      <c r="AB156" s="284" t="n">
        <f aca="false">IF(AND(AB$4="RDEC", $Y156="Limited Company"), "", L156*$E156*$I156)</f>
        <v>0</v>
      </c>
      <c r="AC156" s="284" t="n">
        <f aca="false">IF(AND(AC$4="RDEC", $Y156="Limited Company"), "", M156*$E156*$I156)</f>
        <v>0</v>
      </c>
      <c r="AD156" s="284" t="n">
        <f aca="false">IF(AND(AD$4="RDEC", $Y156="Limited Company"), "", N156*$E156*$I156)</f>
        <v>0</v>
      </c>
      <c r="AE156" s="284" t="n">
        <f aca="false">IF(AND(AE$4="RDEC", $Y156="Limited Company"), "", O156*$E156*$I156)</f>
        <v>0</v>
      </c>
      <c r="AF156" s="284" t="n">
        <f aca="false">IF(AND(AF$4="RDEC", $Y156="Limited Company"), "", P156*$E156*$I156)</f>
        <v>0</v>
      </c>
      <c r="AG156" s="284" t="n">
        <f aca="false">IF(AND(AG$4="RDEC", $Y156="Limited Company"), "", Q156*$E156*$I156)</f>
        <v>0</v>
      </c>
      <c r="AH156" s="284" t="n">
        <f aca="false">IF(AND(AH$4="RDEC", $Y156="Limited Company"), "", R156*$E156*$I156)</f>
        <v>0</v>
      </c>
      <c r="AI156" s="284" t="n">
        <f aca="false">IF(AND(AI$4="RDEC", $Y156="Limited Company"), "", S156*$E156*$I156)</f>
        <v>0</v>
      </c>
      <c r="AJ156" s="284" t="n">
        <f aca="false">IF(AND(AJ$4="RDEC", $Y156="Limited Company"), "", T156*$E156*$I156)</f>
        <v>0</v>
      </c>
      <c r="AK156" s="284" t="n">
        <f aca="false">IF(AND(AK$4="RDEC", $Y156="Limited Company"), "", U156*$E156*$I156)</f>
        <v>0</v>
      </c>
      <c r="AL156" s="284" t="n">
        <f aca="false">IF(AND(AL$4="RDEC", $Y156="Limited Company"), "", V156*$E156*$I156)</f>
        <v>0</v>
      </c>
      <c r="AM156" s="284" t="n">
        <f aca="false">IF(AND(AM$4="RDEC", $Y156="Limited Company"), "", W156*$E156*$I156)</f>
        <v>0</v>
      </c>
      <c r="AN156" s="286" t="n">
        <f aca="false">IFERROR(SUMIF($AB$4:$AM$4, "RDEC", AB156:AM156), "")</f>
        <v>0</v>
      </c>
      <c r="AO156" s="286" t="str">
        <f aca="false">IFERROR((IF(Z156="Yes",SUMIF($AB$4:$AM$4,"SME",AB156:AM156),"")),"")</f>
        <v/>
      </c>
      <c r="AP156" s="286" t="n">
        <f aca="false">IFERROR((IF(Z156="No",SUMIF($AB$4:$AM$4,"SME",AB156:AM156),"")),"")</f>
        <v>0</v>
      </c>
      <c r="AQ156" s="286" t="n">
        <f aca="false">IFERROR(SUMIF($AB$4:$AM$4, "De Minimis", AB156:AM156), "")</f>
        <v>0</v>
      </c>
      <c r="AR156" s="283"/>
      <c r="AS156" s="284" t="n">
        <f aca="false">IFERROR(L156*$E156*$J156, "")</f>
        <v>0</v>
      </c>
      <c r="AT156" s="284" t="n">
        <f aca="false">IFERROR(M156*$E156*$J156, "")</f>
        <v>0</v>
      </c>
      <c r="AU156" s="284" t="n">
        <f aca="false">IFERROR(N156*$E156*$J156, "")</f>
        <v>0</v>
      </c>
      <c r="AV156" s="284" t="n">
        <f aca="false">IFERROR(O156*$E156*$J156, "")</f>
        <v>0</v>
      </c>
      <c r="AW156" s="284" t="n">
        <f aca="false">IFERROR(P156*$E156*$J156, "")</f>
        <v>0</v>
      </c>
      <c r="AX156" s="284" t="n">
        <f aca="false">IFERROR(Q156*$E156*$J156, "")</f>
        <v>0</v>
      </c>
      <c r="AY156" s="284" t="n">
        <f aca="false">IFERROR(R156*$E156*$J156, "")</f>
        <v>0</v>
      </c>
      <c r="AZ156" s="284" t="n">
        <f aca="false">IFERROR(S156*$E156*$J156, "")</f>
        <v>0</v>
      </c>
      <c r="BA156" s="284" t="n">
        <f aca="false">IFERROR(T156*$E156*$J156, "")</f>
        <v>0</v>
      </c>
      <c r="BB156" s="284" t="n">
        <f aca="false">IFERROR(U156*$E156*$J156, "")</f>
        <v>0</v>
      </c>
      <c r="BC156" s="284" t="n">
        <f aca="false">IFERROR(V156*$E156*$J156, "")</f>
        <v>0</v>
      </c>
      <c r="BD156" s="284" t="n">
        <f aca="false">IFERROR(W156*$E156*$J156, "")</f>
        <v>0</v>
      </c>
      <c r="BE156" s="286" t="n">
        <f aca="false">IFERROR(SUMIF($AB$4:$AM$4, "RDEC", AS156:BD156), "")</f>
        <v>0</v>
      </c>
      <c r="BF156" s="286" t="n">
        <f aca="false">IFERROR(SUMIF($AB$4:$AM$4, "SME", AS156:BD156), "")</f>
        <v>0</v>
      </c>
      <c r="BG156" s="286" t="n">
        <f aca="false">IFERROR(SUMIF($AB$4:$AM$4, "De Minimis", AS156:BD156), "")</f>
        <v>0</v>
      </c>
      <c r="BH156" s="268"/>
      <c r="BI156" s="288" t="str">
        <f aca="false">IF((SUM(L156:W156)&gt;1),"ERROR","")</f>
        <v/>
      </c>
    </row>
    <row r="157" customFormat="false" ht="15" hidden="false" customHeight="true" outlineLevel="0" collapsed="false">
      <c r="A157" s="340"/>
      <c r="B157" s="350"/>
      <c r="C157" s="350"/>
      <c r="H157" s="350"/>
      <c r="I157" s="279" t="n">
        <v>1</v>
      </c>
      <c r="J157" s="281" t="n">
        <f aca="false">1-I157</f>
        <v>0</v>
      </c>
      <c r="K157" s="32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350"/>
      <c r="Y157" s="381"/>
      <c r="Z157" s="384" t="s">
        <v>71</v>
      </c>
      <c r="AA157" s="283"/>
      <c r="AB157" s="284" t="n">
        <f aca="false">IF(AND(AB$4="RDEC", $Y157="Limited Company"), "", L157*$E157*$I157)</f>
        <v>0</v>
      </c>
      <c r="AC157" s="284" t="n">
        <f aca="false">IF(AND(AC$4="RDEC", $Y157="Limited Company"), "", M157*$E157*$I157)</f>
        <v>0</v>
      </c>
      <c r="AD157" s="284" t="n">
        <f aca="false">IF(AND(AD$4="RDEC", $Y157="Limited Company"), "", N157*$E157*$I157)</f>
        <v>0</v>
      </c>
      <c r="AE157" s="284" t="n">
        <f aca="false">IF(AND(AE$4="RDEC", $Y157="Limited Company"), "", O157*$E157*$I157)</f>
        <v>0</v>
      </c>
      <c r="AF157" s="284" t="n">
        <f aca="false">IF(AND(AF$4="RDEC", $Y157="Limited Company"), "", P157*$E157*$I157)</f>
        <v>0</v>
      </c>
      <c r="AG157" s="284" t="n">
        <f aca="false">IF(AND(AG$4="RDEC", $Y157="Limited Company"), "", Q157*$E157*$I157)</f>
        <v>0</v>
      </c>
      <c r="AH157" s="284" t="n">
        <f aca="false">IF(AND(AH$4="RDEC", $Y157="Limited Company"), "", R157*$E157*$I157)</f>
        <v>0</v>
      </c>
      <c r="AI157" s="284" t="n">
        <f aca="false">IF(AND(AI$4="RDEC", $Y157="Limited Company"), "", S157*$E157*$I157)</f>
        <v>0</v>
      </c>
      <c r="AJ157" s="284" t="n">
        <f aca="false">IF(AND(AJ$4="RDEC", $Y157="Limited Company"), "", T157*$E157*$I157)</f>
        <v>0</v>
      </c>
      <c r="AK157" s="284" t="n">
        <f aca="false">IF(AND(AK$4="RDEC", $Y157="Limited Company"), "", U157*$E157*$I157)</f>
        <v>0</v>
      </c>
      <c r="AL157" s="284" t="n">
        <f aca="false">IF(AND(AL$4="RDEC", $Y157="Limited Company"), "", V157*$E157*$I157)</f>
        <v>0</v>
      </c>
      <c r="AM157" s="284" t="n">
        <f aca="false">IF(AND(AM$4="RDEC", $Y157="Limited Company"), "", W157*$E157*$I157)</f>
        <v>0</v>
      </c>
      <c r="AN157" s="286" t="n">
        <f aca="false">IFERROR(SUMIF($AB$4:$AM$4, "RDEC", AB157:AM157), "")</f>
        <v>0</v>
      </c>
      <c r="AO157" s="286" t="str">
        <f aca="false">IFERROR((IF(Z157="Yes",SUMIF($AB$4:$AM$4,"SME",AB157:AM157),"")),"")</f>
        <v/>
      </c>
      <c r="AP157" s="286" t="n">
        <f aca="false">IFERROR((IF(Z157="No",SUMIF($AB$4:$AM$4,"SME",AB157:AM157),"")),"")</f>
        <v>0</v>
      </c>
      <c r="AQ157" s="286" t="n">
        <f aca="false">IFERROR(SUMIF($AB$4:$AM$4, "De Minimis", AB157:AM157), "")</f>
        <v>0</v>
      </c>
      <c r="AR157" s="283"/>
      <c r="AS157" s="284" t="n">
        <f aca="false">IFERROR(L157*$E157*$J157, "")</f>
        <v>0</v>
      </c>
      <c r="AT157" s="284" t="n">
        <f aca="false">IFERROR(M157*$E157*$J157, "")</f>
        <v>0</v>
      </c>
      <c r="AU157" s="284" t="n">
        <f aca="false">IFERROR(N157*$E157*$J157, "")</f>
        <v>0</v>
      </c>
      <c r="AV157" s="284" t="n">
        <f aca="false">IFERROR(O157*$E157*$J157, "")</f>
        <v>0</v>
      </c>
      <c r="AW157" s="284" t="n">
        <f aca="false">IFERROR(P157*$E157*$J157, "")</f>
        <v>0</v>
      </c>
      <c r="AX157" s="284" t="n">
        <f aca="false">IFERROR(Q157*$E157*$J157, "")</f>
        <v>0</v>
      </c>
      <c r="AY157" s="284" t="n">
        <f aca="false">IFERROR(R157*$E157*$J157, "")</f>
        <v>0</v>
      </c>
      <c r="AZ157" s="284" t="n">
        <f aca="false">IFERROR(S157*$E157*$J157, "")</f>
        <v>0</v>
      </c>
      <c r="BA157" s="284" t="n">
        <f aca="false">IFERROR(T157*$E157*$J157, "")</f>
        <v>0</v>
      </c>
      <c r="BB157" s="284" t="n">
        <f aca="false">IFERROR(U157*$E157*$J157, "")</f>
        <v>0</v>
      </c>
      <c r="BC157" s="284" t="n">
        <f aca="false">IFERROR(V157*$E157*$J157, "")</f>
        <v>0</v>
      </c>
      <c r="BD157" s="284" t="n">
        <f aca="false">IFERROR(W157*$E157*$J157, "")</f>
        <v>0</v>
      </c>
      <c r="BE157" s="286" t="n">
        <f aca="false">IFERROR(SUMIF($AB$4:$AM$4, "RDEC", AS157:BD157), "")</f>
        <v>0</v>
      </c>
      <c r="BF157" s="286" t="n">
        <f aca="false">IFERROR(SUMIF($AB$4:$AM$4, "SME", AS157:BD157), "")</f>
        <v>0</v>
      </c>
      <c r="BG157" s="286" t="n">
        <f aca="false">IFERROR(SUMIF($AB$4:$AM$4, "De Minimis", AS157:BD157), "")</f>
        <v>0</v>
      </c>
      <c r="BH157" s="287"/>
      <c r="BI157" s="288" t="str">
        <f aca="false">IF((SUM(L157:W157)&gt;1),"ERROR","")</f>
        <v/>
      </c>
    </row>
    <row r="158" customFormat="false" ht="15" hidden="false" customHeight="true" outlineLevel="0" collapsed="false">
      <c r="A158" s="340"/>
      <c r="B158" s="350"/>
      <c r="C158" s="350"/>
      <c r="H158" s="350"/>
      <c r="I158" s="279" t="n">
        <v>1</v>
      </c>
      <c r="J158" s="281" t="n">
        <f aca="false">1-I158</f>
        <v>0</v>
      </c>
      <c r="K158" s="32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350"/>
      <c r="Y158" s="381"/>
      <c r="Z158" s="384" t="s">
        <v>71</v>
      </c>
      <c r="AA158" s="283"/>
      <c r="AB158" s="284" t="n">
        <f aca="false">IF(AND(AB$4="RDEC", $Y158="Limited Company"), "", L158*$E158*$I158)</f>
        <v>0</v>
      </c>
      <c r="AC158" s="284" t="n">
        <f aca="false">IF(AND(AC$4="RDEC", $Y158="Limited Company"), "", M158*$E158*$I158)</f>
        <v>0</v>
      </c>
      <c r="AD158" s="284" t="n">
        <f aca="false">IF(AND(AD$4="RDEC", $Y158="Limited Company"), "", N158*$E158*$I158)</f>
        <v>0</v>
      </c>
      <c r="AE158" s="284" t="n">
        <f aca="false">IF(AND(AE$4="RDEC", $Y158="Limited Company"), "", O158*$E158*$I158)</f>
        <v>0</v>
      </c>
      <c r="AF158" s="284" t="n">
        <f aca="false">IF(AND(AF$4="RDEC", $Y158="Limited Company"), "", P158*$E158*$I158)</f>
        <v>0</v>
      </c>
      <c r="AG158" s="284" t="n">
        <f aca="false">IF(AND(AG$4="RDEC", $Y158="Limited Company"), "", Q158*$E158*$I158)</f>
        <v>0</v>
      </c>
      <c r="AH158" s="284" t="n">
        <f aca="false">IF(AND(AH$4="RDEC", $Y158="Limited Company"), "", R158*$E158*$I158)</f>
        <v>0</v>
      </c>
      <c r="AI158" s="284" t="n">
        <f aca="false">IF(AND(AI$4="RDEC", $Y158="Limited Company"), "", S158*$E158*$I158)</f>
        <v>0</v>
      </c>
      <c r="AJ158" s="284" t="n">
        <f aca="false">IF(AND(AJ$4="RDEC", $Y158="Limited Company"), "", T158*$E158*$I158)</f>
        <v>0</v>
      </c>
      <c r="AK158" s="284" t="n">
        <f aca="false">IF(AND(AK$4="RDEC", $Y158="Limited Company"), "", U158*$E158*$I158)</f>
        <v>0</v>
      </c>
      <c r="AL158" s="284" t="n">
        <f aca="false">IF(AND(AL$4="RDEC", $Y158="Limited Company"), "", V158*$E158*$I158)</f>
        <v>0</v>
      </c>
      <c r="AM158" s="284" t="n">
        <f aca="false">IF(AND(AM$4="RDEC", $Y158="Limited Company"), "", W158*$E158*$I158)</f>
        <v>0</v>
      </c>
      <c r="AN158" s="286" t="n">
        <f aca="false">IFERROR(SUMIF($AB$4:$AM$4, "RDEC", AB158:AM158), "")</f>
        <v>0</v>
      </c>
      <c r="AO158" s="286" t="str">
        <f aca="false">IFERROR((IF(Z158="Yes",SUMIF($AB$4:$AM$4,"SME",AB158:AM158),"")),"")</f>
        <v/>
      </c>
      <c r="AP158" s="286" t="n">
        <f aca="false">IFERROR((IF(Z158="No",SUMIF($AB$4:$AM$4,"SME",AB158:AM158),"")),"")</f>
        <v>0</v>
      </c>
      <c r="AQ158" s="286" t="n">
        <f aca="false">IFERROR(SUMIF($AB$4:$AM$4, "De Minimis", AB158:AM158), "")</f>
        <v>0</v>
      </c>
      <c r="AR158" s="283"/>
      <c r="AS158" s="284" t="n">
        <f aca="false">IFERROR(L158*$E158*$J158, "")</f>
        <v>0</v>
      </c>
      <c r="AT158" s="284" t="n">
        <f aca="false">IFERROR(M158*$E158*$J158, "")</f>
        <v>0</v>
      </c>
      <c r="AU158" s="284" t="n">
        <f aca="false">IFERROR(N158*$E158*$J158, "")</f>
        <v>0</v>
      </c>
      <c r="AV158" s="284" t="n">
        <f aca="false">IFERROR(O158*$E158*$J158, "")</f>
        <v>0</v>
      </c>
      <c r="AW158" s="284" t="n">
        <f aca="false">IFERROR(P158*$E158*$J158, "")</f>
        <v>0</v>
      </c>
      <c r="AX158" s="284" t="n">
        <f aca="false">IFERROR(Q158*$E158*$J158, "")</f>
        <v>0</v>
      </c>
      <c r="AY158" s="284" t="n">
        <f aca="false">IFERROR(R158*$E158*$J158, "")</f>
        <v>0</v>
      </c>
      <c r="AZ158" s="284" t="n">
        <f aca="false">IFERROR(S158*$E158*$J158, "")</f>
        <v>0</v>
      </c>
      <c r="BA158" s="284" t="n">
        <f aca="false">IFERROR(T158*$E158*$J158, "")</f>
        <v>0</v>
      </c>
      <c r="BB158" s="284" t="n">
        <f aca="false">IFERROR(U158*$E158*$J158, "")</f>
        <v>0</v>
      </c>
      <c r="BC158" s="284" t="n">
        <f aca="false">IFERROR(V158*$E158*$J158, "")</f>
        <v>0</v>
      </c>
      <c r="BD158" s="284" t="n">
        <f aca="false">IFERROR(W158*$E158*$J158, "")</f>
        <v>0</v>
      </c>
      <c r="BE158" s="286" t="n">
        <f aca="false">IFERROR(SUMIF($AB$4:$AM$4, "RDEC", AS158:BD158), "")</f>
        <v>0</v>
      </c>
      <c r="BF158" s="286" t="n">
        <f aca="false">IFERROR(SUMIF($AB$4:$AM$4, "SME", AS158:BD158), "")</f>
        <v>0</v>
      </c>
      <c r="BG158" s="286" t="n">
        <f aca="false">IFERROR(SUMIF($AB$4:$AM$4, "De Minimis", AS158:BD158), "")</f>
        <v>0</v>
      </c>
      <c r="BH158" s="287"/>
      <c r="BI158" s="288" t="str">
        <f aca="false">IF((SUM(L158:W158)&gt;1),"ERROR","")</f>
        <v/>
      </c>
    </row>
    <row r="159" customFormat="false" ht="15" hidden="false" customHeight="true" outlineLevel="0" collapsed="false">
      <c r="A159" s="340"/>
      <c r="B159" s="350"/>
      <c r="C159" s="350"/>
      <c r="H159" s="350"/>
      <c r="I159" s="279" t="n">
        <v>1</v>
      </c>
      <c r="J159" s="281" t="n">
        <f aca="false">1-I159</f>
        <v>0</v>
      </c>
      <c r="K159" s="32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350"/>
      <c r="Y159" s="381"/>
      <c r="Z159" s="384" t="s">
        <v>71</v>
      </c>
      <c r="AA159" s="283"/>
      <c r="AB159" s="284" t="n">
        <f aca="false">IF(AND(AB$4="RDEC", $Y159="Limited Company"), "", L159*$E159*$I159)</f>
        <v>0</v>
      </c>
      <c r="AC159" s="284" t="n">
        <f aca="false">IF(AND(AC$4="RDEC", $Y159="Limited Company"), "", M159*$E159*$I159)</f>
        <v>0</v>
      </c>
      <c r="AD159" s="284" t="n">
        <f aca="false">IF(AND(AD$4="RDEC", $Y159="Limited Company"), "", N159*$E159*$I159)</f>
        <v>0</v>
      </c>
      <c r="AE159" s="284" t="n">
        <f aca="false">IF(AND(AE$4="RDEC", $Y159="Limited Company"), "", O159*$E159*$I159)</f>
        <v>0</v>
      </c>
      <c r="AF159" s="284" t="n">
        <f aca="false">IF(AND(AF$4="RDEC", $Y159="Limited Company"), "", P159*$E159*$I159)</f>
        <v>0</v>
      </c>
      <c r="AG159" s="284" t="n">
        <f aca="false">IF(AND(AG$4="RDEC", $Y159="Limited Company"), "", Q159*$E159*$I159)</f>
        <v>0</v>
      </c>
      <c r="AH159" s="284" t="n">
        <f aca="false">IF(AND(AH$4="RDEC", $Y159="Limited Company"), "", R159*$E159*$I159)</f>
        <v>0</v>
      </c>
      <c r="AI159" s="284" t="n">
        <f aca="false">IF(AND(AI$4="RDEC", $Y159="Limited Company"), "", S159*$E159*$I159)</f>
        <v>0</v>
      </c>
      <c r="AJ159" s="284" t="n">
        <f aca="false">IF(AND(AJ$4="RDEC", $Y159="Limited Company"), "", T159*$E159*$I159)</f>
        <v>0</v>
      </c>
      <c r="AK159" s="284" t="n">
        <f aca="false">IF(AND(AK$4="RDEC", $Y159="Limited Company"), "", U159*$E159*$I159)</f>
        <v>0</v>
      </c>
      <c r="AL159" s="284" t="n">
        <f aca="false">IF(AND(AL$4="RDEC", $Y159="Limited Company"), "", V159*$E159*$I159)</f>
        <v>0</v>
      </c>
      <c r="AM159" s="284" t="n">
        <f aca="false">IF(AND(AM$4="RDEC", $Y159="Limited Company"), "", W159*$E159*$I159)</f>
        <v>0</v>
      </c>
      <c r="AN159" s="286" t="n">
        <f aca="false">IFERROR(SUMIF($AB$4:$AM$4, "RDEC", AB159:AM159), "")</f>
        <v>0</v>
      </c>
      <c r="AO159" s="286" t="str">
        <f aca="false">IFERROR((IF(Z159="Yes",SUMIF($AB$4:$AM$4,"SME",AB159:AM159),"")),"")</f>
        <v/>
      </c>
      <c r="AP159" s="286" t="n">
        <f aca="false">IFERROR((IF(Z159="No",SUMIF($AB$4:$AM$4,"SME",AB159:AM159),"")),"")</f>
        <v>0</v>
      </c>
      <c r="AQ159" s="286" t="n">
        <f aca="false">IFERROR(SUMIF($AB$4:$AM$4, "De Minimis", AB159:AM159), "")</f>
        <v>0</v>
      </c>
      <c r="AR159" s="283"/>
      <c r="AS159" s="284" t="n">
        <f aca="false">IFERROR(L159*$E159*$J159, "")</f>
        <v>0</v>
      </c>
      <c r="AT159" s="284" t="n">
        <f aca="false">IFERROR(M159*$E159*$J159, "")</f>
        <v>0</v>
      </c>
      <c r="AU159" s="284" t="n">
        <f aca="false">IFERROR(N159*$E159*$J159, "")</f>
        <v>0</v>
      </c>
      <c r="AV159" s="284" t="n">
        <f aca="false">IFERROR(O159*$E159*$J159, "")</f>
        <v>0</v>
      </c>
      <c r="AW159" s="284" t="n">
        <f aca="false">IFERROR(P159*$E159*$J159, "")</f>
        <v>0</v>
      </c>
      <c r="AX159" s="284" t="n">
        <f aca="false">IFERROR(Q159*$E159*$J159, "")</f>
        <v>0</v>
      </c>
      <c r="AY159" s="284" t="n">
        <f aca="false">IFERROR(R159*$E159*$J159, "")</f>
        <v>0</v>
      </c>
      <c r="AZ159" s="284" t="n">
        <f aca="false">IFERROR(S159*$E159*$J159, "")</f>
        <v>0</v>
      </c>
      <c r="BA159" s="284" t="n">
        <f aca="false">IFERROR(T159*$E159*$J159, "")</f>
        <v>0</v>
      </c>
      <c r="BB159" s="284" t="n">
        <f aca="false">IFERROR(U159*$E159*$J159, "")</f>
        <v>0</v>
      </c>
      <c r="BC159" s="284" t="n">
        <f aca="false">IFERROR(V159*$E159*$J159, "")</f>
        <v>0</v>
      </c>
      <c r="BD159" s="284" t="n">
        <f aca="false">IFERROR(W159*$E159*$J159, "")</f>
        <v>0</v>
      </c>
      <c r="BE159" s="286" t="n">
        <f aca="false">IFERROR(SUMIF($AB$4:$AM$4, "RDEC", AS159:BD159), "")</f>
        <v>0</v>
      </c>
      <c r="BF159" s="286" t="n">
        <f aca="false">IFERROR(SUMIF($AB$4:$AM$4, "SME", AS159:BD159), "")</f>
        <v>0</v>
      </c>
      <c r="BG159" s="286" t="n">
        <f aca="false">IFERROR(SUMIF($AB$4:$AM$4, "De Minimis", AS159:BD159), "")</f>
        <v>0</v>
      </c>
      <c r="BH159" s="287"/>
      <c r="BI159" s="288" t="str">
        <f aca="false">IF((SUM(L159:W159)&gt;1),"ERROR","")</f>
        <v/>
      </c>
    </row>
    <row r="160" customFormat="false" ht="15" hidden="false" customHeight="true" outlineLevel="0" collapsed="false">
      <c r="A160" s="340"/>
      <c r="B160" s="350"/>
      <c r="C160" s="350"/>
      <c r="H160" s="350"/>
      <c r="I160" s="279" t="n">
        <v>1</v>
      </c>
      <c r="J160" s="281" t="n">
        <f aca="false">1-I160</f>
        <v>0</v>
      </c>
      <c r="K160" s="32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350"/>
      <c r="Y160" s="381"/>
      <c r="Z160" s="384" t="s">
        <v>71</v>
      </c>
      <c r="AA160" s="283"/>
      <c r="AB160" s="284" t="n">
        <f aca="false">IF(AND(AB$4="RDEC", $Y160="Limited Company"), "", L160*$E160*$I160)</f>
        <v>0</v>
      </c>
      <c r="AC160" s="284" t="n">
        <f aca="false">IF(AND(AC$4="RDEC", $Y160="Limited Company"), "", M160*$E160*$I160)</f>
        <v>0</v>
      </c>
      <c r="AD160" s="284" t="n">
        <f aca="false">IF(AND(AD$4="RDEC", $Y160="Limited Company"), "", N160*$E160*$I160)</f>
        <v>0</v>
      </c>
      <c r="AE160" s="284" t="n">
        <f aca="false">IF(AND(AE$4="RDEC", $Y160="Limited Company"), "", O160*$E160*$I160)</f>
        <v>0</v>
      </c>
      <c r="AF160" s="284" t="n">
        <f aca="false">IF(AND(AF$4="RDEC", $Y160="Limited Company"), "", P160*$E160*$I160)</f>
        <v>0</v>
      </c>
      <c r="AG160" s="284" t="n">
        <f aca="false">IF(AND(AG$4="RDEC", $Y160="Limited Company"), "", Q160*$E160*$I160)</f>
        <v>0</v>
      </c>
      <c r="AH160" s="284" t="n">
        <f aca="false">IF(AND(AH$4="RDEC", $Y160="Limited Company"), "", R160*$E160*$I160)</f>
        <v>0</v>
      </c>
      <c r="AI160" s="284" t="n">
        <f aca="false">IF(AND(AI$4="RDEC", $Y160="Limited Company"), "", S160*$E160*$I160)</f>
        <v>0</v>
      </c>
      <c r="AJ160" s="284" t="n">
        <f aca="false">IF(AND(AJ$4="RDEC", $Y160="Limited Company"), "", T160*$E160*$I160)</f>
        <v>0</v>
      </c>
      <c r="AK160" s="284" t="n">
        <f aca="false">IF(AND(AK$4="RDEC", $Y160="Limited Company"), "", U160*$E160*$I160)</f>
        <v>0</v>
      </c>
      <c r="AL160" s="284" t="n">
        <f aca="false">IF(AND(AL$4="RDEC", $Y160="Limited Company"), "", V160*$E160*$I160)</f>
        <v>0</v>
      </c>
      <c r="AM160" s="284" t="n">
        <f aca="false">IF(AND(AM$4="RDEC", $Y160="Limited Company"), "", W160*$E160*$I160)</f>
        <v>0</v>
      </c>
      <c r="AN160" s="286" t="n">
        <f aca="false">IFERROR(SUMIF($AB$4:$AM$4, "RDEC", AB160:AM160), "")</f>
        <v>0</v>
      </c>
      <c r="AO160" s="286" t="str">
        <f aca="false">IFERROR((IF(Z160="Yes",SUMIF($AB$4:$AM$4,"SME",AB160:AM160),"")),"")</f>
        <v/>
      </c>
      <c r="AP160" s="286" t="n">
        <f aca="false">IFERROR((IF(Z160="No",SUMIF($AB$4:$AM$4,"SME",AB160:AM160),"")),"")</f>
        <v>0</v>
      </c>
      <c r="AQ160" s="286" t="n">
        <f aca="false">IFERROR(SUMIF($AB$4:$AM$4, "De Minimis", AB160:AM160), "")</f>
        <v>0</v>
      </c>
      <c r="AR160" s="283"/>
      <c r="AS160" s="284" t="n">
        <f aca="false">IFERROR(L160*$E160*$J160, "")</f>
        <v>0</v>
      </c>
      <c r="AT160" s="284" t="n">
        <f aca="false">IFERROR(M160*$E160*$J160, "")</f>
        <v>0</v>
      </c>
      <c r="AU160" s="284" t="n">
        <f aca="false">IFERROR(N160*$E160*$J160, "")</f>
        <v>0</v>
      </c>
      <c r="AV160" s="284" t="n">
        <f aca="false">IFERROR(O160*$E160*$J160, "")</f>
        <v>0</v>
      </c>
      <c r="AW160" s="284" t="n">
        <f aca="false">IFERROR(P160*$E160*$J160, "")</f>
        <v>0</v>
      </c>
      <c r="AX160" s="284" t="n">
        <f aca="false">IFERROR(Q160*$E160*$J160, "")</f>
        <v>0</v>
      </c>
      <c r="AY160" s="284" t="n">
        <f aca="false">IFERROR(R160*$E160*$J160, "")</f>
        <v>0</v>
      </c>
      <c r="AZ160" s="284" t="n">
        <f aca="false">IFERROR(S160*$E160*$J160, "")</f>
        <v>0</v>
      </c>
      <c r="BA160" s="284" t="n">
        <f aca="false">IFERROR(T160*$E160*$J160, "")</f>
        <v>0</v>
      </c>
      <c r="BB160" s="284" t="n">
        <f aca="false">IFERROR(U160*$E160*$J160, "")</f>
        <v>0</v>
      </c>
      <c r="BC160" s="284" t="n">
        <f aca="false">IFERROR(V160*$E160*$J160, "")</f>
        <v>0</v>
      </c>
      <c r="BD160" s="284" t="n">
        <f aca="false">IFERROR(W160*$E160*$J160, "")</f>
        <v>0</v>
      </c>
      <c r="BE160" s="286" t="n">
        <f aca="false">IFERROR(SUMIF($AB$4:$AM$4, "RDEC", AS160:BD160), "")</f>
        <v>0</v>
      </c>
      <c r="BF160" s="286" t="n">
        <f aca="false">IFERROR(SUMIF($AB$4:$AM$4, "SME", AS160:BD160), "")</f>
        <v>0</v>
      </c>
      <c r="BG160" s="286" t="n">
        <f aca="false">IFERROR(SUMIF($AB$4:$AM$4, "De Minimis", AS160:BD160), "")</f>
        <v>0</v>
      </c>
      <c r="BH160" s="287"/>
      <c r="BI160" s="288" t="str">
        <f aca="false">IF((SUM(L160:W160)&gt;1),"ERROR","")</f>
        <v/>
      </c>
    </row>
    <row r="161" customFormat="false" ht="15" hidden="false" customHeight="true" outlineLevel="0" collapsed="false">
      <c r="A161" s="340"/>
      <c r="B161" s="350"/>
      <c r="C161" s="350"/>
      <c r="H161" s="350"/>
      <c r="I161" s="279" t="n">
        <v>1</v>
      </c>
      <c r="J161" s="281" t="n">
        <f aca="false">1-I161</f>
        <v>0</v>
      </c>
      <c r="K161" s="32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350"/>
      <c r="Y161" s="381"/>
      <c r="Z161" s="384" t="s">
        <v>71</v>
      </c>
      <c r="AA161" s="283"/>
      <c r="AB161" s="284" t="n">
        <f aca="false">IF(AND(AB$4="RDEC", $Y161="Limited Company"), "", L161*$E161*$I161)</f>
        <v>0</v>
      </c>
      <c r="AC161" s="284" t="n">
        <f aca="false">IF(AND(AC$4="RDEC", $Y161="Limited Company"), "", M161*$E161*$I161)</f>
        <v>0</v>
      </c>
      <c r="AD161" s="284" t="n">
        <f aca="false">IF(AND(AD$4="RDEC", $Y161="Limited Company"), "", N161*$E161*$I161)</f>
        <v>0</v>
      </c>
      <c r="AE161" s="284" t="n">
        <f aca="false">IF(AND(AE$4="RDEC", $Y161="Limited Company"), "", O161*$E161*$I161)</f>
        <v>0</v>
      </c>
      <c r="AF161" s="284" t="n">
        <f aca="false">IF(AND(AF$4="RDEC", $Y161="Limited Company"), "", P161*$E161*$I161)</f>
        <v>0</v>
      </c>
      <c r="AG161" s="284" t="n">
        <f aca="false">IF(AND(AG$4="RDEC", $Y161="Limited Company"), "", Q161*$E161*$I161)</f>
        <v>0</v>
      </c>
      <c r="AH161" s="284" t="n">
        <f aca="false">IF(AND(AH$4="RDEC", $Y161="Limited Company"), "", R161*$E161*$I161)</f>
        <v>0</v>
      </c>
      <c r="AI161" s="284" t="n">
        <f aca="false">IF(AND(AI$4="RDEC", $Y161="Limited Company"), "", S161*$E161*$I161)</f>
        <v>0</v>
      </c>
      <c r="AJ161" s="284" t="n">
        <f aca="false">IF(AND(AJ$4="RDEC", $Y161="Limited Company"), "", T161*$E161*$I161)</f>
        <v>0</v>
      </c>
      <c r="AK161" s="284" t="n">
        <f aca="false">IF(AND(AK$4="RDEC", $Y161="Limited Company"), "", U161*$E161*$I161)</f>
        <v>0</v>
      </c>
      <c r="AL161" s="284" t="n">
        <f aca="false">IF(AND(AL$4="RDEC", $Y161="Limited Company"), "", V161*$E161*$I161)</f>
        <v>0</v>
      </c>
      <c r="AM161" s="284" t="n">
        <f aca="false">IF(AND(AM$4="RDEC", $Y161="Limited Company"), "", W161*$E161*$I161)</f>
        <v>0</v>
      </c>
      <c r="AN161" s="286" t="n">
        <f aca="false">IFERROR(SUMIF($AB$4:$AM$4, "RDEC", AB161:AM161), "")</f>
        <v>0</v>
      </c>
      <c r="AO161" s="286" t="str">
        <f aca="false">IFERROR((IF(Z161="Yes",SUMIF($AB$4:$AM$4,"SME",AB161:AM161),"")),"")</f>
        <v/>
      </c>
      <c r="AP161" s="286" t="n">
        <f aca="false">IFERROR((IF(Z161="No",SUMIF($AB$4:$AM$4,"SME",AB161:AM161),"")),"")</f>
        <v>0</v>
      </c>
      <c r="AQ161" s="286" t="n">
        <f aca="false">IFERROR(SUMIF($AB$4:$AM$4, "De Minimis", AB161:AM161), "")</f>
        <v>0</v>
      </c>
      <c r="AR161" s="283"/>
      <c r="AS161" s="284" t="n">
        <f aca="false">IFERROR(L161*$E161*$J161, "")</f>
        <v>0</v>
      </c>
      <c r="AT161" s="284" t="n">
        <f aca="false">IFERROR(M161*$E161*$J161, "")</f>
        <v>0</v>
      </c>
      <c r="AU161" s="284" t="n">
        <f aca="false">IFERROR(N161*$E161*$J161, "")</f>
        <v>0</v>
      </c>
      <c r="AV161" s="284" t="n">
        <f aca="false">IFERROR(O161*$E161*$J161, "")</f>
        <v>0</v>
      </c>
      <c r="AW161" s="284" t="n">
        <f aca="false">IFERROR(P161*$E161*$J161, "")</f>
        <v>0</v>
      </c>
      <c r="AX161" s="284" t="n">
        <f aca="false">IFERROR(Q161*$E161*$J161, "")</f>
        <v>0</v>
      </c>
      <c r="AY161" s="284" t="n">
        <f aca="false">IFERROR(R161*$E161*$J161, "")</f>
        <v>0</v>
      </c>
      <c r="AZ161" s="284" t="n">
        <f aca="false">IFERROR(S161*$E161*$J161, "")</f>
        <v>0</v>
      </c>
      <c r="BA161" s="284" t="n">
        <f aca="false">IFERROR(T161*$E161*$J161, "")</f>
        <v>0</v>
      </c>
      <c r="BB161" s="284" t="n">
        <f aca="false">IFERROR(U161*$E161*$J161, "")</f>
        <v>0</v>
      </c>
      <c r="BC161" s="284" t="n">
        <f aca="false">IFERROR(V161*$E161*$J161, "")</f>
        <v>0</v>
      </c>
      <c r="BD161" s="284" t="n">
        <f aca="false">IFERROR(W161*$E161*$J161, "")</f>
        <v>0</v>
      </c>
      <c r="BE161" s="286" t="n">
        <f aca="false">IFERROR(SUMIF($AB$4:$AM$4, "RDEC", AS161:BD161), "")</f>
        <v>0</v>
      </c>
      <c r="BF161" s="286" t="n">
        <f aca="false">IFERROR(SUMIF($AB$4:$AM$4, "SME", AS161:BD161), "")</f>
        <v>0</v>
      </c>
      <c r="BG161" s="286" t="n">
        <f aca="false">IFERROR(SUMIF($AB$4:$AM$4, "De Minimis", AS161:BD161), "")</f>
        <v>0</v>
      </c>
      <c r="BH161" s="287"/>
      <c r="BI161" s="288" t="str">
        <f aca="false">IF((SUM(L161:W161)&gt;1),"ERROR","")</f>
        <v/>
      </c>
    </row>
    <row r="162" customFormat="false" ht="15" hidden="false" customHeight="true" outlineLevel="0" collapsed="false">
      <c r="A162" s="340"/>
      <c r="B162" s="350"/>
      <c r="C162" s="350"/>
      <c r="H162" s="350"/>
      <c r="I162" s="279" t="n">
        <v>1</v>
      </c>
      <c r="J162" s="281" t="n">
        <f aca="false">1-I162</f>
        <v>0</v>
      </c>
      <c r="K162" s="32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350"/>
      <c r="Y162" s="381"/>
      <c r="Z162" s="384" t="s">
        <v>71</v>
      </c>
      <c r="AA162" s="283"/>
      <c r="AB162" s="284" t="n">
        <f aca="false">IF(AND(AB$4="RDEC", $Y162="Limited Company"), "", L162*$E162*$I162)</f>
        <v>0</v>
      </c>
      <c r="AC162" s="284" t="n">
        <f aca="false">IF(AND(AC$4="RDEC", $Y162="Limited Company"), "", M162*$E162*$I162)</f>
        <v>0</v>
      </c>
      <c r="AD162" s="284" t="n">
        <f aca="false">IF(AND(AD$4="RDEC", $Y162="Limited Company"), "", N162*$E162*$I162)</f>
        <v>0</v>
      </c>
      <c r="AE162" s="284" t="n">
        <f aca="false">IF(AND(AE$4="RDEC", $Y162="Limited Company"), "", O162*$E162*$I162)</f>
        <v>0</v>
      </c>
      <c r="AF162" s="284" t="n">
        <f aca="false">IF(AND(AF$4="RDEC", $Y162="Limited Company"), "", P162*$E162*$I162)</f>
        <v>0</v>
      </c>
      <c r="AG162" s="284" t="n">
        <f aca="false">IF(AND(AG$4="RDEC", $Y162="Limited Company"), "", Q162*$E162*$I162)</f>
        <v>0</v>
      </c>
      <c r="AH162" s="284" t="n">
        <f aca="false">IF(AND(AH$4="RDEC", $Y162="Limited Company"), "", R162*$E162*$I162)</f>
        <v>0</v>
      </c>
      <c r="AI162" s="284" t="n">
        <f aca="false">IF(AND(AI$4="RDEC", $Y162="Limited Company"), "", S162*$E162*$I162)</f>
        <v>0</v>
      </c>
      <c r="AJ162" s="284" t="n">
        <f aca="false">IF(AND(AJ$4="RDEC", $Y162="Limited Company"), "", T162*$E162*$I162)</f>
        <v>0</v>
      </c>
      <c r="AK162" s="284" t="n">
        <f aca="false">IF(AND(AK$4="RDEC", $Y162="Limited Company"), "", U162*$E162*$I162)</f>
        <v>0</v>
      </c>
      <c r="AL162" s="284" t="n">
        <f aca="false">IF(AND(AL$4="RDEC", $Y162="Limited Company"), "", V162*$E162*$I162)</f>
        <v>0</v>
      </c>
      <c r="AM162" s="284" t="n">
        <f aca="false">IF(AND(AM$4="RDEC", $Y162="Limited Company"), "", W162*$E162*$I162)</f>
        <v>0</v>
      </c>
      <c r="AN162" s="286" t="n">
        <f aca="false">IFERROR(SUMIF($AB$4:$AM$4, "RDEC", AB162:AM162), "")</f>
        <v>0</v>
      </c>
      <c r="AO162" s="286" t="str">
        <f aca="false">IFERROR((IF(Z162="Yes",SUMIF($AB$4:$AM$4,"SME",AB162:AM162),"")),"")</f>
        <v/>
      </c>
      <c r="AP162" s="286" t="n">
        <f aca="false">IFERROR((IF(Z162="No",SUMIF($AB$4:$AM$4,"SME",AB162:AM162),"")),"")</f>
        <v>0</v>
      </c>
      <c r="AQ162" s="286" t="n">
        <f aca="false">IFERROR(SUMIF($AB$4:$AM$4, "De Minimis", AB162:AM162), "")</f>
        <v>0</v>
      </c>
      <c r="AR162" s="283"/>
      <c r="AS162" s="284" t="n">
        <f aca="false">IFERROR(L162*$E162*$J162, "")</f>
        <v>0</v>
      </c>
      <c r="AT162" s="284" t="n">
        <f aca="false">IFERROR(M162*$E162*$J162, "")</f>
        <v>0</v>
      </c>
      <c r="AU162" s="284" t="n">
        <f aca="false">IFERROR(N162*$E162*$J162, "")</f>
        <v>0</v>
      </c>
      <c r="AV162" s="284" t="n">
        <f aca="false">IFERROR(O162*$E162*$J162, "")</f>
        <v>0</v>
      </c>
      <c r="AW162" s="284" t="n">
        <f aca="false">IFERROR(P162*$E162*$J162, "")</f>
        <v>0</v>
      </c>
      <c r="AX162" s="284" t="n">
        <f aca="false">IFERROR(Q162*$E162*$J162, "")</f>
        <v>0</v>
      </c>
      <c r="AY162" s="284" t="n">
        <f aca="false">IFERROR(R162*$E162*$J162, "")</f>
        <v>0</v>
      </c>
      <c r="AZ162" s="284" t="n">
        <f aca="false">IFERROR(S162*$E162*$J162, "")</f>
        <v>0</v>
      </c>
      <c r="BA162" s="284" t="n">
        <f aca="false">IFERROR(T162*$E162*$J162, "")</f>
        <v>0</v>
      </c>
      <c r="BB162" s="284" t="n">
        <f aca="false">IFERROR(U162*$E162*$J162, "")</f>
        <v>0</v>
      </c>
      <c r="BC162" s="284" t="n">
        <f aca="false">IFERROR(V162*$E162*$J162, "")</f>
        <v>0</v>
      </c>
      <c r="BD162" s="284" t="n">
        <f aca="false">IFERROR(W162*$E162*$J162, "")</f>
        <v>0</v>
      </c>
      <c r="BE162" s="286" t="n">
        <f aca="false">IFERROR(SUMIF($AB$4:$AM$4, "RDEC", AS162:BD162), "")</f>
        <v>0</v>
      </c>
      <c r="BF162" s="286" t="n">
        <f aca="false">IFERROR(SUMIF($AB$4:$AM$4, "SME", AS162:BD162), "")</f>
        <v>0</v>
      </c>
      <c r="BG162" s="286" t="n">
        <f aca="false">IFERROR(SUMIF($AB$4:$AM$4, "De Minimis", AS162:BD162), "")</f>
        <v>0</v>
      </c>
      <c r="BH162" s="287"/>
      <c r="BI162" s="288" t="str">
        <f aca="false">IF((SUM(L162:W162)&gt;1),"ERROR","")</f>
        <v/>
      </c>
    </row>
    <row r="163" customFormat="false" ht="15" hidden="false" customHeight="true" outlineLevel="0" collapsed="false">
      <c r="A163" s="340"/>
      <c r="B163" s="350"/>
      <c r="C163" s="350"/>
      <c r="H163" s="350"/>
      <c r="I163" s="279" t="n">
        <v>1</v>
      </c>
      <c r="J163" s="281" t="n">
        <f aca="false">1-I163</f>
        <v>0</v>
      </c>
      <c r="K163" s="32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350"/>
      <c r="Y163" s="381"/>
      <c r="Z163" s="384" t="s">
        <v>71</v>
      </c>
      <c r="AA163" s="283"/>
      <c r="AB163" s="284" t="n">
        <f aca="false">IF(AND(AB$4="RDEC", $Y163="Limited Company"), "", L163*$E163*$I163)</f>
        <v>0</v>
      </c>
      <c r="AC163" s="284" t="n">
        <f aca="false">IF(AND(AC$4="RDEC", $Y163="Limited Company"), "", M163*$E163*$I163)</f>
        <v>0</v>
      </c>
      <c r="AD163" s="284" t="n">
        <f aca="false">IF(AND(AD$4="RDEC", $Y163="Limited Company"), "", N163*$E163*$I163)</f>
        <v>0</v>
      </c>
      <c r="AE163" s="284" t="n">
        <f aca="false">IF(AND(AE$4="RDEC", $Y163="Limited Company"), "", O163*$E163*$I163)</f>
        <v>0</v>
      </c>
      <c r="AF163" s="284" t="n">
        <f aca="false">IF(AND(AF$4="RDEC", $Y163="Limited Company"), "", P163*$E163*$I163)</f>
        <v>0</v>
      </c>
      <c r="AG163" s="284" t="n">
        <f aca="false">IF(AND(AG$4="RDEC", $Y163="Limited Company"), "", Q163*$E163*$I163)</f>
        <v>0</v>
      </c>
      <c r="AH163" s="284" t="n">
        <f aca="false">IF(AND(AH$4="RDEC", $Y163="Limited Company"), "", R163*$E163*$I163)</f>
        <v>0</v>
      </c>
      <c r="AI163" s="284" t="n">
        <f aca="false">IF(AND(AI$4="RDEC", $Y163="Limited Company"), "", S163*$E163*$I163)</f>
        <v>0</v>
      </c>
      <c r="AJ163" s="284" t="n">
        <f aca="false">IF(AND(AJ$4="RDEC", $Y163="Limited Company"), "", T163*$E163*$I163)</f>
        <v>0</v>
      </c>
      <c r="AK163" s="284" t="n">
        <f aca="false">IF(AND(AK$4="RDEC", $Y163="Limited Company"), "", U163*$E163*$I163)</f>
        <v>0</v>
      </c>
      <c r="AL163" s="284" t="n">
        <f aca="false">IF(AND(AL$4="RDEC", $Y163="Limited Company"), "", V163*$E163*$I163)</f>
        <v>0</v>
      </c>
      <c r="AM163" s="284" t="n">
        <f aca="false">IF(AND(AM$4="RDEC", $Y163="Limited Company"), "", W163*$E163*$I163)</f>
        <v>0</v>
      </c>
      <c r="AN163" s="286" t="n">
        <f aca="false">IFERROR(SUMIF($AB$4:$AM$4, "RDEC", AB163:AM163), "")</f>
        <v>0</v>
      </c>
      <c r="AO163" s="286" t="str">
        <f aca="false">IFERROR((IF(Z163="Yes",SUMIF($AB$4:$AM$4,"SME",AB163:AM163),"")),"")</f>
        <v/>
      </c>
      <c r="AP163" s="286" t="n">
        <f aca="false">IFERROR((IF(Z163="No",SUMIF($AB$4:$AM$4,"SME",AB163:AM163),"")),"")</f>
        <v>0</v>
      </c>
      <c r="AQ163" s="286" t="n">
        <f aca="false">IFERROR(SUMIF($AB$4:$AM$4, "De Minimis", AB163:AM163), "")</f>
        <v>0</v>
      </c>
      <c r="AR163" s="283"/>
      <c r="AS163" s="284" t="n">
        <f aca="false">IFERROR(L163*$E163*$J163, "")</f>
        <v>0</v>
      </c>
      <c r="AT163" s="284" t="n">
        <f aca="false">IFERROR(M163*$E163*$J163, "")</f>
        <v>0</v>
      </c>
      <c r="AU163" s="284" t="n">
        <f aca="false">IFERROR(N163*$E163*$J163, "")</f>
        <v>0</v>
      </c>
      <c r="AV163" s="284" t="n">
        <f aca="false">IFERROR(O163*$E163*$J163, "")</f>
        <v>0</v>
      </c>
      <c r="AW163" s="284" t="n">
        <f aca="false">IFERROR(P163*$E163*$J163, "")</f>
        <v>0</v>
      </c>
      <c r="AX163" s="284" t="n">
        <f aca="false">IFERROR(Q163*$E163*$J163, "")</f>
        <v>0</v>
      </c>
      <c r="AY163" s="284" t="n">
        <f aca="false">IFERROR(R163*$E163*$J163, "")</f>
        <v>0</v>
      </c>
      <c r="AZ163" s="284" t="n">
        <f aca="false">IFERROR(S163*$E163*$J163, "")</f>
        <v>0</v>
      </c>
      <c r="BA163" s="284" t="n">
        <f aca="false">IFERROR(T163*$E163*$J163, "")</f>
        <v>0</v>
      </c>
      <c r="BB163" s="284" t="n">
        <f aca="false">IFERROR(U163*$E163*$J163, "")</f>
        <v>0</v>
      </c>
      <c r="BC163" s="284" t="n">
        <f aca="false">IFERROR(V163*$E163*$J163, "")</f>
        <v>0</v>
      </c>
      <c r="BD163" s="284" t="n">
        <f aca="false">IFERROR(W163*$E163*$J163, "")</f>
        <v>0</v>
      </c>
      <c r="BE163" s="286" t="n">
        <f aca="false">IFERROR(SUMIF($AB$4:$AM$4, "RDEC", AS163:BD163), "")</f>
        <v>0</v>
      </c>
      <c r="BF163" s="286" t="n">
        <f aca="false">IFERROR(SUMIF($AB$4:$AM$4, "SME", AS163:BD163), "")</f>
        <v>0</v>
      </c>
      <c r="BG163" s="286" t="n">
        <f aca="false">IFERROR(SUMIF($AB$4:$AM$4, "De Minimis", AS163:BD163), "")</f>
        <v>0</v>
      </c>
      <c r="BH163" s="287"/>
      <c r="BI163" s="288" t="str">
        <f aca="false">IF((SUM(L163:W163)&gt;1),"ERROR","")</f>
        <v/>
      </c>
    </row>
    <row r="164" customFormat="false" ht="15" hidden="false" customHeight="true" outlineLevel="0" collapsed="false">
      <c r="A164" s="340"/>
      <c r="B164" s="350"/>
      <c r="C164" s="350"/>
      <c r="H164" s="350"/>
      <c r="I164" s="279" t="n">
        <v>1</v>
      </c>
      <c r="J164" s="281" t="n">
        <f aca="false">1-I164</f>
        <v>0</v>
      </c>
      <c r="K164" s="32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350"/>
      <c r="Y164" s="381"/>
      <c r="Z164" s="384" t="s">
        <v>71</v>
      </c>
      <c r="AA164" s="283"/>
      <c r="AB164" s="284" t="n">
        <f aca="false">IF(AND(AB$4="RDEC", $Y164="Limited Company"), "", L164*$E164*$I164)</f>
        <v>0</v>
      </c>
      <c r="AC164" s="284" t="n">
        <f aca="false">IF(AND(AC$4="RDEC", $Y164="Limited Company"), "", M164*$E164*$I164)</f>
        <v>0</v>
      </c>
      <c r="AD164" s="284" t="n">
        <f aca="false">IF(AND(AD$4="RDEC", $Y164="Limited Company"), "", N164*$E164*$I164)</f>
        <v>0</v>
      </c>
      <c r="AE164" s="284" t="n">
        <f aca="false">IF(AND(AE$4="RDEC", $Y164="Limited Company"), "", O164*$E164*$I164)</f>
        <v>0</v>
      </c>
      <c r="AF164" s="284" t="n">
        <f aca="false">IF(AND(AF$4="RDEC", $Y164="Limited Company"), "", P164*$E164*$I164)</f>
        <v>0</v>
      </c>
      <c r="AG164" s="284" t="n">
        <f aca="false">IF(AND(AG$4="RDEC", $Y164="Limited Company"), "", Q164*$E164*$I164)</f>
        <v>0</v>
      </c>
      <c r="AH164" s="284" t="n">
        <f aca="false">IF(AND(AH$4="RDEC", $Y164="Limited Company"), "", R164*$E164*$I164)</f>
        <v>0</v>
      </c>
      <c r="AI164" s="284" t="n">
        <f aca="false">IF(AND(AI$4="RDEC", $Y164="Limited Company"), "", S164*$E164*$I164)</f>
        <v>0</v>
      </c>
      <c r="AJ164" s="284" t="n">
        <f aca="false">IF(AND(AJ$4="RDEC", $Y164="Limited Company"), "", T164*$E164*$I164)</f>
        <v>0</v>
      </c>
      <c r="AK164" s="284" t="n">
        <f aca="false">IF(AND(AK$4="RDEC", $Y164="Limited Company"), "", U164*$E164*$I164)</f>
        <v>0</v>
      </c>
      <c r="AL164" s="284" t="n">
        <f aca="false">IF(AND(AL$4="RDEC", $Y164="Limited Company"), "", V164*$E164*$I164)</f>
        <v>0</v>
      </c>
      <c r="AM164" s="284" t="n">
        <f aca="false">IF(AND(AM$4="RDEC", $Y164="Limited Company"), "", W164*$E164*$I164)</f>
        <v>0</v>
      </c>
      <c r="AN164" s="286" t="n">
        <f aca="false">IFERROR(SUMIF($AB$4:$AM$4, "RDEC", AB164:AM164), "")</f>
        <v>0</v>
      </c>
      <c r="AO164" s="286" t="str">
        <f aca="false">IFERROR((IF(Z164="Yes",SUMIF($AB$4:$AM$4,"SME",AB164:AM164),"")),"")</f>
        <v/>
      </c>
      <c r="AP164" s="286" t="n">
        <f aca="false">IFERROR((IF(Z164="No",SUMIF($AB$4:$AM$4,"SME",AB164:AM164),"")),"")</f>
        <v>0</v>
      </c>
      <c r="AQ164" s="286" t="n">
        <f aca="false">IFERROR(SUMIF($AB$4:$AM$4, "De Minimis", AB164:AM164), "")</f>
        <v>0</v>
      </c>
      <c r="AR164" s="283"/>
      <c r="AS164" s="284" t="n">
        <f aca="false">IFERROR(L164*$E164*$J164, "")</f>
        <v>0</v>
      </c>
      <c r="AT164" s="284" t="n">
        <f aca="false">IFERROR(M164*$E164*$J164, "")</f>
        <v>0</v>
      </c>
      <c r="AU164" s="284" t="n">
        <f aca="false">IFERROR(N164*$E164*$J164, "")</f>
        <v>0</v>
      </c>
      <c r="AV164" s="284" t="n">
        <f aca="false">IFERROR(O164*$E164*$J164, "")</f>
        <v>0</v>
      </c>
      <c r="AW164" s="284" t="n">
        <f aca="false">IFERROR(P164*$E164*$J164, "")</f>
        <v>0</v>
      </c>
      <c r="AX164" s="284" t="n">
        <f aca="false">IFERROR(Q164*$E164*$J164, "")</f>
        <v>0</v>
      </c>
      <c r="AY164" s="284" t="n">
        <f aca="false">IFERROR(R164*$E164*$J164, "")</f>
        <v>0</v>
      </c>
      <c r="AZ164" s="284" t="n">
        <f aca="false">IFERROR(S164*$E164*$J164, "")</f>
        <v>0</v>
      </c>
      <c r="BA164" s="284" t="n">
        <f aca="false">IFERROR(T164*$E164*$J164, "")</f>
        <v>0</v>
      </c>
      <c r="BB164" s="284" t="n">
        <f aca="false">IFERROR(U164*$E164*$J164, "")</f>
        <v>0</v>
      </c>
      <c r="BC164" s="284" t="n">
        <f aca="false">IFERROR(V164*$E164*$J164, "")</f>
        <v>0</v>
      </c>
      <c r="BD164" s="284" t="n">
        <f aca="false">IFERROR(W164*$E164*$J164, "")</f>
        <v>0</v>
      </c>
      <c r="BE164" s="286" t="n">
        <f aca="false">IFERROR(SUMIF($AB$4:$AM$4, "RDEC", AS164:BD164), "")</f>
        <v>0</v>
      </c>
      <c r="BF164" s="286" t="n">
        <f aca="false">IFERROR(SUMIF($AB$4:$AM$4, "SME", AS164:BD164), "")</f>
        <v>0</v>
      </c>
      <c r="BG164" s="286" t="n">
        <f aca="false">IFERROR(SUMIF($AB$4:$AM$4, "De Minimis", AS164:BD164), "")</f>
        <v>0</v>
      </c>
      <c r="BH164" s="287"/>
      <c r="BI164" s="288" t="str">
        <f aca="false">IF((SUM(L164:W164)&gt;1),"ERROR","")</f>
        <v/>
      </c>
    </row>
    <row r="165" customFormat="false" ht="15" hidden="false" customHeight="true" outlineLevel="0" collapsed="false">
      <c r="A165" s="340"/>
      <c r="B165" s="350"/>
      <c r="C165" s="350"/>
      <c r="H165" s="350"/>
      <c r="I165" s="279" t="n">
        <v>1</v>
      </c>
      <c r="J165" s="281" t="n">
        <f aca="false">1-I165</f>
        <v>0</v>
      </c>
      <c r="K165" s="32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350"/>
      <c r="Y165" s="381"/>
      <c r="Z165" s="384" t="s">
        <v>71</v>
      </c>
      <c r="AA165" s="283"/>
      <c r="AB165" s="284" t="n">
        <f aca="false">IF(AND(AB$4="RDEC", $Y165="Limited Company"), "", L165*$E165*$I165)</f>
        <v>0</v>
      </c>
      <c r="AC165" s="284" t="n">
        <f aca="false">IF(AND(AC$4="RDEC", $Y165="Limited Company"), "", M165*$E165*$I165)</f>
        <v>0</v>
      </c>
      <c r="AD165" s="284" t="n">
        <f aca="false">IF(AND(AD$4="RDEC", $Y165="Limited Company"), "", N165*$E165*$I165)</f>
        <v>0</v>
      </c>
      <c r="AE165" s="284" t="n">
        <f aca="false">IF(AND(AE$4="RDEC", $Y165="Limited Company"), "", O165*$E165*$I165)</f>
        <v>0</v>
      </c>
      <c r="AF165" s="284" t="n">
        <f aca="false">IF(AND(AF$4="RDEC", $Y165="Limited Company"), "", P165*$E165*$I165)</f>
        <v>0</v>
      </c>
      <c r="AG165" s="284" t="n">
        <f aca="false">IF(AND(AG$4="RDEC", $Y165="Limited Company"), "", Q165*$E165*$I165)</f>
        <v>0</v>
      </c>
      <c r="AH165" s="284" t="n">
        <f aca="false">IF(AND(AH$4="RDEC", $Y165="Limited Company"), "", R165*$E165*$I165)</f>
        <v>0</v>
      </c>
      <c r="AI165" s="284" t="n">
        <f aca="false">IF(AND(AI$4="RDEC", $Y165="Limited Company"), "", S165*$E165*$I165)</f>
        <v>0</v>
      </c>
      <c r="AJ165" s="284" t="n">
        <f aca="false">IF(AND(AJ$4="RDEC", $Y165="Limited Company"), "", T165*$E165*$I165)</f>
        <v>0</v>
      </c>
      <c r="AK165" s="284" t="n">
        <f aca="false">IF(AND(AK$4="RDEC", $Y165="Limited Company"), "", U165*$E165*$I165)</f>
        <v>0</v>
      </c>
      <c r="AL165" s="284" t="n">
        <f aca="false">IF(AND(AL$4="RDEC", $Y165="Limited Company"), "", V165*$E165*$I165)</f>
        <v>0</v>
      </c>
      <c r="AM165" s="284" t="n">
        <f aca="false">IF(AND(AM$4="RDEC", $Y165="Limited Company"), "", W165*$E165*$I165)</f>
        <v>0</v>
      </c>
      <c r="AN165" s="286" t="n">
        <f aca="false">IFERROR(SUMIF($AB$4:$AM$4, "RDEC", AB165:AM165), "")</f>
        <v>0</v>
      </c>
      <c r="AO165" s="286" t="str">
        <f aca="false">IFERROR((IF(Z165="Yes",SUMIF($AB$4:$AM$4,"SME",AB165:AM165),"")),"")</f>
        <v/>
      </c>
      <c r="AP165" s="286" t="n">
        <f aca="false">IFERROR((IF(Z165="No",SUMIF($AB$4:$AM$4,"SME",AB165:AM165),"")),"")</f>
        <v>0</v>
      </c>
      <c r="AQ165" s="286" t="n">
        <f aca="false">IFERROR(SUMIF($AB$4:$AM$4, "De Minimis", AB165:AM165), "")</f>
        <v>0</v>
      </c>
      <c r="AR165" s="283"/>
      <c r="AS165" s="284" t="n">
        <f aca="false">IFERROR(L165*$E165*$J165, "")</f>
        <v>0</v>
      </c>
      <c r="AT165" s="284" t="n">
        <f aca="false">IFERROR(M165*$E165*$J165, "")</f>
        <v>0</v>
      </c>
      <c r="AU165" s="284" t="n">
        <f aca="false">IFERROR(N165*$E165*$J165, "")</f>
        <v>0</v>
      </c>
      <c r="AV165" s="284" t="n">
        <f aca="false">IFERROR(O165*$E165*$J165, "")</f>
        <v>0</v>
      </c>
      <c r="AW165" s="284" t="n">
        <f aca="false">IFERROR(P165*$E165*$J165, "")</f>
        <v>0</v>
      </c>
      <c r="AX165" s="284" t="n">
        <f aca="false">IFERROR(Q165*$E165*$J165, "")</f>
        <v>0</v>
      </c>
      <c r="AY165" s="284" t="n">
        <f aca="false">IFERROR(R165*$E165*$J165, "")</f>
        <v>0</v>
      </c>
      <c r="AZ165" s="284" t="n">
        <f aca="false">IFERROR(S165*$E165*$J165, "")</f>
        <v>0</v>
      </c>
      <c r="BA165" s="284" t="n">
        <f aca="false">IFERROR(T165*$E165*$J165, "")</f>
        <v>0</v>
      </c>
      <c r="BB165" s="284" t="n">
        <f aca="false">IFERROR(U165*$E165*$J165, "")</f>
        <v>0</v>
      </c>
      <c r="BC165" s="284" t="n">
        <f aca="false">IFERROR(V165*$E165*$J165, "")</f>
        <v>0</v>
      </c>
      <c r="BD165" s="284" t="n">
        <f aca="false">IFERROR(W165*$E165*$J165, "")</f>
        <v>0</v>
      </c>
      <c r="BE165" s="286" t="n">
        <f aca="false">IFERROR(SUMIF($AB$4:$AM$4, "RDEC", AS165:BD165), "")</f>
        <v>0</v>
      </c>
      <c r="BF165" s="286" t="n">
        <f aca="false">IFERROR(SUMIF($AB$4:$AM$4, "SME", AS165:BD165), "")</f>
        <v>0</v>
      </c>
      <c r="BG165" s="286" t="n">
        <f aca="false">IFERROR(SUMIF($AB$4:$AM$4, "De Minimis", AS165:BD165), "")</f>
        <v>0</v>
      </c>
      <c r="BH165" s="287"/>
      <c r="BI165" s="288" t="str">
        <f aca="false">IF((SUM(L165:W165)&gt;1),"ERROR","")</f>
        <v/>
      </c>
    </row>
    <row r="166" customFormat="false" ht="15" hidden="false" customHeight="true" outlineLevel="0" collapsed="false">
      <c r="A166" s="340"/>
      <c r="B166" s="350"/>
      <c r="C166" s="350"/>
      <c r="H166" s="350"/>
      <c r="I166" s="279" t="n">
        <v>1</v>
      </c>
      <c r="J166" s="281" t="n">
        <f aca="false">1-I166</f>
        <v>0</v>
      </c>
      <c r="K166" s="32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350"/>
      <c r="Y166" s="381"/>
      <c r="Z166" s="384" t="s">
        <v>71</v>
      </c>
      <c r="AA166" s="283"/>
      <c r="AB166" s="284" t="n">
        <f aca="false">IF(AND(AB$4="RDEC", $Y166="Limited Company"), "", L166*$E166*$I166)</f>
        <v>0</v>
      </c>
      <c r="AC166" s="284" t="n">
        <f aca="false">IF(AND(AC$4="RDEC", $Y166="Limited Company"), "", M166*$E166*$I166)</f>
        <v>0</v>
      </c>
      <c r="AD166" s="284" t="n">
        <f aca="false">IF(AND(AD$4="RDEC", $Y166="Limited Company"), "", N166*$E166*$I166)</f>
        <v>0</v>
      </c>
      <c r="AE166" s="284" t="n">
        <f aca="false">IF(AND(AE$4="RDEC", $Y166="Limited Company"), "", O166*$E166*$I166)</f>
        <v>0</v>
      </c>
      <c r="AF166" s="284" t="n">
        <f aca="false">IF(AND(AF$4="RDEC", $Y166="Limited Company"), "", P166*$E166*$I166)</f>
        <v>0</v>
      </c>
      <c r="AG166" s="284" t="n">
        <f aca="false">IF(AND(AG$4="RDEC", $Y166="Limited Company"), "", Q166*$E166*$I166)</f>
        <v>0</v>
      </c>
      <c r="AH166" s="284" t="n">
        <f aca="false">IF(AND(AH$4="RDEC", $Y166="Limited Company"), "", R166*$E166*$I166)</f>
        <v>0</v>
      </c>
      <c r="AI166" s="284" t="n">
        <f aca="false">IF(AND(AI$4="RDEC", $Y166="Limited Company"), "", S166*$E166*$I166)</f>
        <v>0</v>
      </c>
      <c r="AJ166" s="284" t="n">
        <f aca="false">IF(AND(AJ$4="RDEC", $Y166="Limited Company"), "", T166*$E166*$I166)</f>
        <v>0</v>
      </c>
      <c r="AK166" s="284" t="n">
        <f aca="false">IF(AND(AK$4="RDEC", $Y166="Limited Company"), "", U166*$E166*$I166)</f>
        <v>0</v>
      </c>
      <c r="AL166" s="284" t="n">
        <f aca="false">IF(AND(AL$4="RDEC", $Y166="Limited Company"), "", V166*$E166*$I166)</f>
        <v>0</v>
      </c>
      <c r="AM166" s="284" t="n">
        <f aca="false">IF(AND(AM$4="RDEC", $Y166="Limited Company"), "", W166*$E166*$I166)</f>
        <v>0</v>
      </c>
      <c r="AN166" s="286" t="n">
        <f aca="false">IFERROR(SUMIF($AB$4:$AM$4, "RDEC", AB166:AM166), "")</f>
        <v>0</v>
      </c>
      <c r="AO166" s="286" t="str">
        <f aca="false">IFERROR((IF(Z166="Yes",SUMIF($AB$4:$AM$4,"SME",AB166:AM166),"")),"")</f>
        <v/>
      </c>
      <c r="AP166" s="286" t="n">
        <f aca="false">IFERROR((IF(Z166="No",SUMIF($AB$4:$AM$4,"SME",AB166:AM166),"")),"")</f>
        <v>0</v>
      </c>
      <c r="AQ166" s="286" t="n">
        <f aca="false">IFERROR(SUMIF($AB$4:$AM$4, "De Minimis", AB166:AM166), "")</f>
        <v>0</v>
      </c>
      <c r="AR166" s="283"/>
      <c r="AS166" s="284" t="n">
        <f aca="false">IFERROR(L166*$E166*$J166, "")</f>
        <v>0</v>
      </c>
      <c r="AT166" s="284" t="n">
        <f aca="false">IFERROR(M166*$E166*$J166, "")</f>
        <v>0</v>
      </c>
      <c r="AU166" s="284" t="n">
        <f aca="false">IFERROR(N166*$E166*$J166, "")</f>
        <v>0</v>
      </c>
      <c r="AV166" s="284" t="n">
        <f aca="false">IFERROR(O166*$E166*$J166, "")</f>
        <v>0</v>
      </c>
      <c r="AW166" s="284" t="n">
        <f aca="false">IFERROR(P166*$E166*$J166, "")</f>
        <v>0</v>
      </c>
      <c r="AX166" s="284" t="n">
        <f aca="false">IFERROR(Q166*$E166*$J166, "")</f>
        <v>0</v>
      </c>
      <c r="AY166" s="284" t="n">
        <f aca="false">IFERROR(R166*$E166*$J166, "")</f>
        <v>0</v>
      </c>
      <c r="AZ166" s="284" t="n">
        <f aca="false">IFERROR(S166*$E166*$J166, "")</f>
        <v>0</v>
      </c>
      <c r="BA166" s="284" t="n">
        <f aca="false">IFERROR(T166*$E166*$J166, "")</f>
        <v>0</v>
      </c>
      <c r="BB166" s="284" t="n">
        <f aca="false">IFERROR(U166*$E166*$J166, "")</f>
        <v>0</v>
      </c>
      <c r="BC166" s="284" t="n">
        <f aca="false">IFERROR(V166*$E166*$J166, "")</f>
        <v>0</v>
      </c>
      <c r="BD166" s="284" t="n">
        <f aca="false">IFERROR(W166*$E166*$J166, "")</f>
        <v>0</v>
      </c>
      <c r="BE166" s="286" t="n">
        <f aca="false">IFERROR(SUMIF($AB$4:$AM$4, "RDEC", AS166:BD166), "")</f>
        <v>0</v>
      </c>
      <c r="BF166" s="286" t="n">
        <f aca="false">IFERROR(SUMIF($AB$4:$AM$4, "SME", AS166:BD166), "")</f>
        <v>0</v>
      </c>
      <c r="BG166" s="286" t="n">
        <f aca="false">IFERROR(SUMIF($AB$4:$AM$4, "De Minimis", AS166:BD166), "")</f>
        <v>0</v>
      </c>
      <c r="BH166" s="287"/>
      <c r="BI166" s="288" t="str">
        <f aca="false">IF((SUM(L166:W166)&gt;1),"ERROR","")</f>
        <v/>
      </c>
    </row>
    <row r="167" customFormat="false" ht="15" hidden="false" customHeight="true" outlineLevel="0" collapsed="false">
      <c r="A167" s="340"/>
      <c r="B167" s="350"/>
      <c r="C167" s="350"/>
      <c r="H167" s="350"/>
      <c r="I167" s="279" t="n">
        <v>1</v>
      </c>
      <c r="J167" s="281" t="n">
        <f aca="false">1-I167</f>
        <v>0</v>
      </c>
      <c r="K167" s="32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350"/>
      <c r="Y167" s="381"/>
      <c r="Z167" s="384" t="s">
        <v>71</v>
      </c>
      <c r="AA167" s="283"/>
      <c r="AB167" s="284" t="n">
        <f aca="false">IF(AND(AB$4="RDEC", $Y167="Limited Company"), "", L167*$E167*$I167)</f>
        <v>0</v>
      </c>
      <c r="AC167" s="284" t="n">
        <f aca="false">IF(AND(AC$4="RDEC", $Y167="Limited Company"), "", M167*$E167*$I167)</f>
        <v>0</v>
      </c>
      <c r="AD167" s="284" t="n">
        <f aca="false">IF(AND(AD$4="RDEC", $Y167="Limited Company"), "", N167*$E167*$I167)</f>
        <v>0</v>
      </c>
      <c r="AE167" s="284" t="n">
        <f aca="false">IF(AND(AE$4="RDEC", $Y167="Limited Company"), "", O167*$E167*$I167)</f>
        <v>0</v>
      </c>
      <c r="AF167" s="284" t="n">
        <f aca="false">IF(AND(AF$4="RDEC", $Y167="Limited Company"), "", P167*$E167*$I167)</f>
        <v>0</v>
      </c>
      <c r="AG167" s="284" t="n">
        <f aca="false">IF(AND(AG$4="RDEC", $Y167="Limited Company"), "", Q167*$E167*$I167)</f>
        <v>0</v>
      </c>
      <c r="AH167" s="284" t="n">
        <f aca="false">IF(AND(AH$4="RDEC", $Y167="Limited Company"), "", R167*$E167*$I167)</f>
        <v>0</v>
      </c>
      <c r="AI167" s="284" t="n">
        <f aca="false">IF(AND(AI$4="RDEC", $Y167="Limited Company"), "", S167*$E167*$I167)</f>
        <v>0</v>
      </c>
      <c r="AJ167" s="284" t="n">
        <f aca="false">IF(AND(AJ$4="RDEC", $Y167="Limited Company"), "", T167*$E167*$I167)</f>
        <v>0</v>
      </c>
      <c r="AK167" s="284" t="n">
        <f aca="false">IF(AND(AK$4="RDEC", $Y167="Limited Company"), "", U167*$E167*$I167)</f>
        <v>0</v>
      </c>
      <c r="AL167" s="284" t="n">
        <f aca="false">IF(AND(AL$4="RDEC", $Y167="Limited Company"), "", V167*$E167*$I167)</f>
        <v>0</v>
      </c>
      <c r="AM167" s="284" t="n">
        <f aca="false">IF(AND(AM$4="RDEC", $Y167="Limited Company"), "", W167*$E167*$I167)</f>
        <v>0</v>
      </c>
      <c r="AN167" s="286" t="n">
        <f aca="false">IFERROR(SUMIF($AB$4:$AM$4, "RDEC", AB167:AM167), "")</f>
        <v>0</v>
      </c>
      <c r="AO167" s="286" t="str">
        <f aca="false">IFERROR((IF(Z167="Yes",SUMIF($AB$4:$AM$4,"SME",AB167:AM167),"")),"")</f>
        <v/>
      </c>
      <c r="AP167" s="286" t="n">
        <f aca="false">IFERROR((IF(Z167="No",SUMIF($AB$4:$AM$4,"SME",AB167:AM167),"")),"")</f>
        <v>0</v>
      </c>
      <c r="AQ167" s="286" t="n">
        <f aca="false">IFERROR(SUMIF($AB$4:$AM$4, "De Minimis", AB167:AM167), "")</f>
        <v>0</v>
      </c>
      <c r="AR167" s="283"/>
      <c r="AS167" s="284" t="n">
        <f aca="false">IFERROR(L167*$E167*$J167, "")</f>
        <v>0</v>
      </c>
      <c r="AT167" s="284" t="n">
        <f aca="false">IFERROR(M167*$E167*$J167, "")</f>
        <v>0</v>
      </c>
      <c r="AU167" s="284" t="n">
        <f aca="false">IFERROR(N167*$E167*$J167, "")</f>
        <v>0</v>
      </c>
      <c r="AV167" s="284" t="n">
        <f aca="false">IFERROR(O167*$E167*$J167, "")</f>
        <v>0</v>
      </c>
      <c r="AW167" s="284" t="n">
        <f aca="false">IFERROR(P167*$E167*$J167, "")</f>
        <v>0</v>
      </c>
      <c r="AX167" s="284" t="n">
        <f aca="false">IFERROR(Q167*$E167*$J167, "")</f>
        <v>0</v>
      </c>
      <c r="AY167" s="284" t="n">
        <f aca="false">IFERROR(R167*$E167*$J167, "")</f>
        <v>0</v>
      </c>
      <c r="AZ167" s="284" t="n">
        <f aca="false">IFERROR(S167*$E167*$J167, "")</f>
        <v>0</v>
      </c>
      <c r="BA167" s="284" t="n">
        <f aca="false">IFERROR(T167*$E167*$J167, "")</f>
        <v>0</v>
      </c>
      <c r="BB167" s="284" t="n">
        <f aca="false">IFERROR(U167*$E167*$J167, "")</f>
        <v>0</v>
      </c>
      <c r="BC167" s="284" t="n">
        <f aca="false">IFERROR(V167*$E167*$J167, "")</f>
        <v>0</v>
      </c>
      <c r="BD167" s="284" t="n">
        <f aca="false">IFERROR(W167*$E167*$J167, "")</f>
        <v>0</v>
      </c>
      <c r="BE167" s="286" t="n">
        <f aca="false">IFERROR(SUMIF($AB$4:$AM$4, "RDEC", AS167:BD167), "")</f>
        <v>0</v>
      </c>
      <c r="BF167" s="286" t="n">
        <f aca="false">IFERROR(SUMIF($AB$4:$AM$4, "SME", AS167:BD167), "")</f>
        <v>0</v>
      </c>
      <c r="BG167" s="286" t="n">
        <f aca="false">IFERROR(SUMIF($AB$4:$AM$4, "De Minimis", AS167:BD167), "")</f>
        <v>0</v>
      </c>
      <c r="BH167" s="287"/>
      <c r="BI167" s="288" t="str">
        <f aca="false">IF((SUM(L167:W167)&gt;1),"ERROR","")</f>
        <v/>
      </c>
    </row>
    <row r="168" customFormat="false" ht="15" hidden="false" customHeight="true" outlineLevel="0" collapsed="false">
      <c r="A168" s="340"/>
      <c r="B168" s="350"/>
      <c r="C168" s="350"/>
      <c r="H168" s="350"/>
      <c r="I168" s="279" t="n">
        <v>1</v>
      </c>
      <c r="J168" s="281" t="n">
        <f aca="false">1-I168</f>
        <v>0</v>
      </c>
      <c r="K168" s="32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2"/>
      <c r="V168" s="282"/>
      <c r="W168" s="282"/>
      <c r="X168" s="350"/>
      <c r="Y168" s="381"/>
      <c r="Z168" s="384" t="s">
        <v>71</v>
      </c>
      <c r="AA168" s="283"/>
      <c r="AB168" s="284" t="n">
        <f aca="false">IF(AND(AB$4="RDEC", $Y168="Limited Company"), "", L168*$E168*$I168)</f>
        <v>0</v>
      </c>
      <c r="AC168" s="284" t="n">
        <f aca="false">IF(AND(AC$4="RDEC", $Y168="Limited Company"), "", M168*$E168*$I168)</f>
        <v>0</v>
      </c>
      <c r="AD168" s="284" t="n">
        <f aca="false">IF(AND(AD$4="RDEC", $Y168="Limited Company"), "", N168*$E168*$I168)</f>
        <v>0</v>
      </c>
      <c r="AE168" s="284" t="n">
        <f aca="false">IF(AND(AE$4="RDEC", $Y168="Limited Company"), "", O168*$E168*$I168)</f>
        <v>0</v>
      </c>
      <c r="AF168" s="284" t="n">
        <f aca="false">IF(AND(AF$4="RDEC", $Y168="Limited Company"), "", P168*$E168*$I168)</f>
        <v>0</v>
      </c>
      <c r="AG168" s="284" t="n">
        <f aca="false">IF(AND(AG$4="RDEC", $Y168="Limited Company"), "", Q168*$E168*$I168)</f>
        <v>0</v>
      </c>
      <c r="AH168" s="284" t="n">
        <f aca="false">IF(AND(AH$4="RDEC", $Y168="Limited Company"), "", R168*$E168*$I168)</f>
        <v>0</v>
      </c>
      <c r="AI168" s="284" t="n">
        <f aca="false">IF(AND(AI$4="RDEC", $Y168="Limited Company"), "", S168*$E168*$I168)</f>
        <v>0</v>
      </c>
      <c r="AJ168" s="284" t="n">
        <f aca="false">IF(AND(AJ$4="RDEC", $Y168="Limited Company"), "", T168*$E168*$I168)</f>
        <v>0</v>
      </c>
      <c r="AK168" s="284" t="n">
        <f aca="false">IF(AND(AK$4="RDEC", $Y168="Limited Company"), "", U168*$E168*$I168)</f>
        <v>0</v>
      </c>
      <c r="AL168" s="284" t="n">
        <f aca="false">IF(AND(AL$4="RDEC", $Y168="Limited Company"), "", V168*$E168*$I168)</f>
        <v>0</v>
      </c>
      <c r="AM168" s="284" t="n">
        <f aca="false">IF(AND(AM$4="RDEC", $Y168="Limited Company"), "", W168*$E168*$I168)</f>
        <v>0</v>
      </c>
      <c r="AN168" s="286" t="n">
        <f aca="false">IFERROR(SUMIF($AB$4:$AM$4, "RDEC", AB168:AM168), "")</f>
        <v>0</v>
      </c>
      <c r="AO168" s="286" t="str">
        <f aca="false">IFERROR((IF(Z168="Yes",SUMIF($AB$4:$AM$4,"SME",AB168:AM168),"")),"")</f>
        <v/>
      </c>
      <c r="AP168" s="286" t="n">
        <f aca="false">IFERROR((IF(Z168="No",SUMIF($AB$4:$AM$4,"SME",AB168:AM168),"")),"")</f>
        <v>0</v>
      </c>
      <c r="AQ168" s="286" t="n">
        <f aca="false">IFERROR(SUMIF($AB$4:$AM$4, "De Minimis", AB168:AM168), "")</f>
        <v>0</v>
      </c>
      <c r="AR168" s="283"/>
      <c r="AS168" s="284" t="n">
        <f aca="false">IFERROR(L168*$E168*$J168, "")</f>
        <v>0</v>
      </c>
      <c r="AT168" s="284" t="n">
        <f aca="false">IFERROR(M168*$E168*$J168, "")</f>
        <v>0</v>
      </c>
      <c r="AU168" s="284" t="n">
        <f aca="false">IFERROR(N168*$E168*$J168, "")</f>
        <v>0</v>
      </c>
      <c r="AV168" s="284" t="n">
        <f aca="false">IFERROR(O168*$E168*$J168, "")</f>
        <v>0</v>
      </c>
      <c r="AW168" s="284" t="n">
        <f aca="false">IFERROR(P168*$E168*$J168, "")</f>
        <v>0</v>
      </c>
      <c r="AX168" s="284" t="n">
        <f aca="false">IFERROR(Q168*$E168*$J168, "")</f>
        <v>0</v>
      </c>
      <c r="AY168" s="284" t="n">
        <f aca="false">IFERROR(R168*$E168*$J168, "")</f>
        <v>0</v>
      </c>
      <c r="AZ168" s="284" t="n">
        <f aca="false">IFERROR(S168*$E168*$J168, "")</f>
        <v>0</v>
      </c>
      <c r="BA168" s="284" t="n">
        <f aca="false">IFERROR(T168*$E168*$J168, "")</f>
        <v>0</v>
      </c>
      <c r="BB168" s="284" t="n">
        <f aca="false">IFERROR(U168*$E168*$J168, "")</f>
        <v>0</v>
      </c>
      <c r="BC168" s="284" t="n">
        <f aca="false">IFERROR(V168*$E168*$J168, "")</f>
        <v>0</v>
      </c>
      <c r="BD168" s="284" t="n">
        <f aca="false">IFERROR(W168*$E168*$J168, "")</f>
        <v>0</v>
      </c>
      <c r="BE168" s="286" t="n">
        <f aca="false">IFERROR(SUMIF($AB$4:$AM$4, "RDEC", AS168:BD168), "")</f>
        <v>0</v>
      </c>
      <c r="BF168" s="286" t="n">
        <f aca="false">IFERROR(SUMIF($AB$4:$AM$4, "SME", AS168:BD168), "")</f>
        <v>0</v>
      </c>
      <c r="BG168" s="286" t="n">
        <f aca="false">IFERROR(SUMIF($AB$4:$AM$4, "De Minimis", AS168:BD168), "")</f>
        <v>0</v>
      </c>
      <c r="BH168" s="287"/>
      <c r="BI168" s="288" t="str">
        <f aca="false">IF((SUM(L168:W168)&gt;1),"ERROR","")</f>
        <v/>
      </c>
    </row>
    <row r="169" customFormat="false" ht="15" hidden="false" customHeight="true" outlineLevel="0" collapsed="false">
      <c r="A169" s="340"/>
      <c r="B169" s="350"/>
      <c r="C169" s="350"/>
      <c r="H169" s="350"/>
      <c r="I169" s="279" t="n">
        <v>1</v>
      </c>
      <c r="J169" s="281" t="n">
        <f aca="false">1-I169</f>
        <v>0</v>
      </c>
      <c r="K169" s="32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350"/>
      <c r="Y169" s="381"/>
      <c r="Z169" s="384" t="s">
        <v>71</v>
      </c>
      <c r="AA169" s="283"/>
      <c r="AB169" s="284" t="n">
        <f aca="false">IF(AND(AB$4="RDEC", $Y169="Limited Company"), "", L169*$E169*$I169)</f>
        <v>0</v>
      </c>
      <c r="AC169" s="284" t="n">
        <f aca="false">IF(AND(AC$4="RDEC", $Y169="Limited Company"), "", M169*$E169*$I169)</f>
        <v>0</v>
      </c>
      <c r="AD169" s="284" t="n">
        <f aca="false">IF(AND(AD$4="RDEC", $Y169="Limited Company"), "", N169*$E169*$I169)</f>
        <v>0</v>
      </c>
      <c r="AE169" s="284" t="n">
        <f aca="false">IF(AND(AE$4="RDEC", $Y169="Limited Company"), "", O169*$E169*$I169)</f>
        <v>0</v>
      </c>
      <c r="AF169" s="284" t="n">
        <f aca="false">IF(AND(AF$4="RDEC", $Y169="Limited Company"), "", P169*$E169*$I169)</f>
        <v>0</v>
      </c>
      <c r="AG169" s="284" t="n">
        <f aca="false">IF(AND(AG$4="RDEC", $Y169="Limited Company"), "", Q169*$E169*$I169)</f>
        <v>0</v>
      </c>
      <c r="AH169" s="284" t="n">
        <f aca="false">IF(AND(AH$4="RDEC", $Y169="Limited Company"), "", R169*$E169*$I169)</f>
        <v>0</v>
      </c>
      <c r="AI169" s="284" t="n">
        <f aca="false">IF(AND(AI$4="RDEC", $Y169="Limited Company"), "", S169*$E169*$I169)</f>
        <v>0</v>
      </c>
      <c r="AJ169" s="284" t="n">
        <f aca="false">IF(AND(AJ$4="RDEC", $Y169="Limited Company"), "", T169*$E169*$I169)</f>
        <v>0</v>
      </c>
      <c r="AK169" s="284" t="n">
        <f aca="false">IF(AND(AK$4="RDEC", $Y169="Limited Company"), "", U169*$E169*$I169)</f>
        <v>0</v>
      </c>
      <c r="AL169" s="284" t="n">
        <f aca="false">IF(AND(AL$4="RDEC", $Y169="Limited Company"), "", V169*$E169*$I169)</f>
        <v>0</v>
      </c>
      <c r="AM169" s="284" t="n">
        <f aca="false">IF(AND(AM$4="RDEC", $Y169="Limited Company"), "", W169*$E169*$I169)</f>
        <v>0</v>
      </c>
      <c r="AN169" s="286" t="n">
        <f aca="false">IFERROR(SUMIF($AB$4:$AM$4, "RDEC", AB169:AM169), "")</f>
        <v>0</v>
      </c>
      <c r="AO169" s="286" t="str">
        <f aca="false">IFERROR((IF(Z169="Yes",SUMIF($AB$4:$AM$4,"SME",AB169:AM169),"")),"")</f>
        <v/>
      </c>
      <c r="AP169" s="286" t="n">
        <f aca="false">IFERROR((IF(Z169="No",SUMIF($AB$4:$AM$4,"SME",AB169:AM169),"")),"")</f>
        <v>0</v>
      </c>
      <c r="AQ169" s="286" t="n">
        <f aca="false">IFERROR(SUMIF($AB$4:$AM$4, "De Minimis", AB169:AM169), "")</f>
        <v>0</v>
      </c>
      <c r="AR169" s="283"/>
      <c r="AS169" s="284" t="n">
        <f aca="false">IFERROR(L169*$E169*$J169, "")</f>
        <v>0</v>
      </c>
      <c r="AT169" s="284" t="n">
        <f aca="false">IFERROR(M169*$E169*$J169, "")</f>
        <v>0</v>
      </c>
      <c r="AU169" s="284" t="n">
        <f aca="false">IFERROR(N169*$E169*$J169, "")</f>
        <v>0</v>
      </c>
      <c r="AV169" s="284" t="n">
        <f aca="false">IFERROR(O169*$E169*$J169, "")</f>
        <v>0</v>
      </c>
      <c r="AW169" s="284" t="n">
        <f aca="false">IFERROR(P169*$E169*$J169, "")</f>
        <v>0</v>
      </c>
      <c r="AX169" s="284" t="n">
        <f aca="false">IFERROR(Q169*$E169*$J169, "")</f>
        <v>0</v>
      </c>
      <c r="AY169" s="284" t="n">
        <f aca="false">IFERROR(R169*$E169*$J169, "")</f>
        <v>0</v>
      </c>
      <c r="AZ169" s="284" t="n">
        <f aca="false">IFERROR(S169*$E169*$J169, "")</f>
        <v>0</v>
      </c>
      <c r="BA169" s="284" t="n">
        <f aca="false">IFERROR(T169*$E169*$J169, "")</f>
        <v>0</v>
      </c>
      <c r="BB169" s="284" t="n">
        <f aca="false">IFERROR(U169*$E169*$J169, "")</f>
        <v>0</v>
      </c>
      <c r="BC169" s="284" t="n">
        <f aca="false">IFERROR(V169*$E169*$J169, "")</f>
        <v>0</v>
      </c>
      <c r="BD169" s="284" t="n">
        <f aca="false">IFERROR(W169*$E169*$J169, "")</f>
        <v>0</v>
      </c>
      <c r="BE169" s="286" t="n">
        <f aca="false">IFERROR(SUMIF($AB$4:$AM$4, "RDEC", AS169:BD169), "")</f>
        <v>0</v>
      </c>
      <c r="BF169" s="286" t="n">
        <f aca="false">IFERROR(SUMIF($AB$4:$AM$4, "SME", AS169:BD169), "")</f>
        <v>0</v>
      </c>
      <c r="BG169" s="286" t="n">
        <f aca="false">IFERROR(SUMIF($AB$4:$AM$4, "De Minimis", AS169:BD169), "")</f>
        <v>0</v>
      </c>
      <c r="BH169" s="303"/>
      <c r="BI169" s="288" t="str">
        <f aca="false">IF((SUM(L169:W169)&gt;1),"ERROR","")</f>
        <v/>
      </c>
    </row>
    <row r="170" customFormat="false" ht="15" hidden="false" customHeight="true" outlineLevel="0" collapsed="false">
      <c r="A170" s="340"/>
      <c r="B170" s="350"/>
      <c r="C170" s="350"/>
      <c r="H170" s="350"/>
      <c r="I170" s="279" t="n">
        <v>1</v>
      </c>
      <c r="J170" s="281" t="n">
        <f aca="false">1-I170</f>
        <v>0</v>
      </c>
      <c r="K170" s="32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350"/>
      <c r="Y170" s="381"/>
      <c r="Z170" s="384" t="s">
        <v>71</v>
      </c>
      <c r="AA170" s="283"/>
      <c r="AB170" s="284" t="n">
        <f aca="false">IF(AND(AB$4="RDEC", $Y170="Limited Company"), "", L170*$E170*$I170)</f>
        <v>0</v>
      </c>
      <c r="AC170" s="284" t="n">
        <f aca="false">IF(AND(AC$4="RDEC", $Y170="Limited Company"), "", M170*$E170*$I170)</f>
        <v>0</v>
      </c>
      <c r="AD170" s="284" t="n">
        <f aca="false">IF(AND(AD$4="RDEC", $Y170="Limited Company"), "", N170*$E170*$I170)</f>
        <v>0</v>
      </c>
      <c r="AE170" s="284" t="n">
        <f aca="false">IF(AND(AE$4="RDEC", $Y170="Limited Company"), "", O170*$E170*$I170)</f>
        <v>0</v>
      </c>
      <c r="AF170" s="284" t="n">
        <f aca="false">IF(AND(AF$4="RDEC", $Y170="Limited Company"), "", P170*$E170*$I170)</f>
        <v>0</v>
      </c>
      <c r="AG170" s="284" t="n">
        <f aca="false">IF(AND(AG$4="RDEC", $Y170="Limited Company"), "", Q170*$E170*$I170)</f>
        <v>0</v>
      </c>
      <c r="AH170" s="284" t="n">
        <f aca="false">IF(AND(AH$4="RDEC", $Y170="Limited Company"), "", R170*$E170*$I170)</f>
        <v>0</v>
      </c>
      <c r="AI170" s="284" t="n">
        <f aca="false">IF(AND(AI$4="RDEC", $Y170="Limited Company"), "", S170*$E170*$I170)</f>
        <v>0</v>
      </c>
      <c r="AJ170" s="284" t="n">
        <f aca="false">IF(AND(AJ$4="RDEC", $Y170="Limited Company"), "", T170*$E170*$I170)</f>
        <v>0</v>
      </c>
      <c r="AK170" s="284" t="n">
        <f aca="false">IF(AND(AK$4="RDEC", $Y170="Limited Company"), "", U170*$E170*$I170)</f>
        <v>0</v>
      </c>
      <c r="AL170" s="284" t="n">
        <f aca="false">IF(AND(AL$4="RDEC", $Y170="Limited Company"), "", V170*$E170*$I170)</f>
        <v>0</v>
      </c>
      <c r="AM170" s="284" t="n">
        <f aca="false">IF(AND(AM$4="RDEC", $Y170="Limited Company"), "", W170*$E170*$I170)</f>
        <v>0</v>
      </c>
      <c r="AN170" s="286" t="n">
        <f aca="false">IFERROR(SUMIF($AB$4:$AM$4, "RDEC", AB170:AM170), "")</f>
        <v>0</v>
      </c>
      <c r="AO170" s="286" t="str">
        <f aca="false">IFERROR((IF(Z170="Yes",SUMIF($AB$4:$AM$4,"SME",AB170:AM170),"")),"")</f>
        <v/>
      </c>
      <c r="AP170" s="286" t="n">
        <f aca="false">IFERROR((IF(Z170="No",SUMIF($AB$4:$AM$4,"SME",AB170:AM170),"")),"")</f>
        <v>0</v>
      </c>
      <c r="AQ170" s="286" t="n">
        <f aca="false">IFERROR(SUMIF($AB$4:$AM$4, "De Minimis", AB170:AM170), "")</f>
        <v>0</v>
      </c>
      <c r="AR170" s="283"/>
      <c r="AS170" s="284" t="n">
        <f aca="false">IFERROR(L170*$E170*$J170, "")</f>
        <v>0</v>
      </c>
      <c r="AT170" s="284" t="n">
        <f aca="false">IFERROR(M170*$E170*$J170, "")</f>
        <v>0</v>
      </c>
      <c r="AU170" s="284" t="n">
        <f aca="false">IFERROR(N170*$E170*$J170, "")</f>
        <v>0</v>
      </c>
      <c r="AV170" s="284" t="n">
        <f aca="false">IFERROR(O170*$E170*$J170, "")</f>
        <v>0</v>
      </c>
      <c r="AW170" s="284" t="n">
        <f aca="false">IFERROR(P170*$E170*$J170, "")</f>
        <v>0</v>
      </c>
      <c r="AX170" s="284" t="n">
        <f aca="false">IFERROR(Q170*$E170*$J170, "")</f>
        <v>0</v>
      </c>
      <c r="AY170" s="284" t="n">
        <f aca="false">IFERROR(R170*$E170*$J170, "")</f>
        <v>0</v>
      </c>
      <c r="AZ170" s="284" t="n">
        <f aca="false">IFERROR(S170*$E170*$J170, "")</f>
        <v>0</v>
      </c>
      <c r="BA170" s="284" t="n">
        <f aca="false">IFERROR(T170*$E170*$J170, "")</f>
        <v>0</v>
      </c>
      <c r="BB170" s="284" t="n">
        <f aca="false">IFERROR(U170*$E170*$J170, "")</f>
        <v>0</v>
      </c>
      <c r="BC170" s="284" t="n">
        <f aca="false">IFERROR(V170*$E170*$J170, "")</f>
        <v>0</v>
      </c>
      <c r="BD170" s="284" t="n">
        <f aca="false">IFERROR(W170*$E170*$J170, "")</f>
        <v>0</v>
      </c>
      <c r="BE170" s="286" t="n">
        <f aca="false">IFERROR(SUMIF($AB$4:$AM$4, "RDEC", AS170:BD170), "")</f>
        <v>0</v>
      </c>
      <c r="BF170" s="286" t="n">
        <f aca="false">IFERROR(SUMIF($AB$4:$AM$4, "SME", AS170:BD170), "")</f>
        <v>0</v>
      </c>
      <c r="BG170" s="286" t="n">
        <f aca="false">IFERROR(SUMIF($AB$4:$AM$4, "De Minimis", AS170:BD170), "")</f>
        <v>0</v>
      </c>
      <c r="BI170" s="288" t="str">
        <f aca="false">IF((SUM(L170:W170)&gt;1),"ERROR","")</f>
        <v/>
      </c>
    </row>
    <row r="171" customFormat="false" ht="15" hidden="false" customHeight="true" outlineLevel="0" collapsed="false">
      <c r="A171" s="340"/>
      <c r="B171" s="350"/>
      <c r="C171" s="350"/>
      <c r="H171" s="350"/>
      <c r="I171" s="279" t="n">
        <v>1</v>
      </c>
      <c r="J171" s="281" t="n">
        <f aca="false">1-I171</f>
        <v>0</v>
      </c>
      <c r="K171" s="32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350"/>
      <c r="Y171" s="381"/>
      <c r="Z171" s="384" t="s">
        <v>71</v>
      </c>
      <c r="AA171" s="283"/>
      <c r="AB171" s="284" t="n">
        <f aca="false">IF(AND(AB$4="RDEC", $Y171="Limited Company"), "", L171*$E171*$I171)</f>
        <v>0</v>
      </c>
      <c r="AC171" s="284" t="n">
        <f aca="false">IF(AND(AC$4="RDEC", $Y171="Limited Company"), "", M171*$E171*$I171)</f>
        <v>0</v>
      </c>
      <c r="AD171" s="284" t="n">
        <f aca="false">IF(AND(AD$4="RDEC", $Y171="Limited Company"), "", N171*$E171*$I171)</f>
        <v>0</v>
      </c>
      <c r="AE171" s="284" t="n">
        <f aca="false">IF(AND(AE$4="RDEC", $Y171="Limited Company"), "", O171*$E171*$I171)</f>
        <v>0</v>
      </c>
      <c r="AF171" s="284" t="n">
        <f aca="false">IF(AND(AF$4="RDEC", $Y171="Limited Company"), "", P171*$E171*$I171)</f>
        <v>0</v>
      </c>
      <c r="AG171" s="284" t="n">
        <f aca="false">IF(AND(AG$4="RDEC", $Y171="Limited Company"), "", Q171*$E171*$I171)</f>
        <v>0</v>
      </c>
      <c r="AH171" s="284" t="n">
        <f aca="false">IF(AND(AH$4="RDEC", $Y171="Limited Company"), "", R171*$E171*$I171)</f>
        <v>0</v>
      </c>
      <c r="AI171" s="284" t="n">
        <f aca="false">IF(AND(AI$4="RDEC", $Y171="Limited Company"), "", S171*$E171*$I171)</f>
        <v>0</v>
      </c>
      <c r="AJ171" s="284" t="n">
        <f aca="false">IF(AND(AJ$4="RDEC", $Y171="Limited Company"), "", T171*$E171*$I171)</f>
        <v>0</v>
      </c>
      <c r="AK171" s="284" t="n">
        <f aca="false">IF(AND(AK$4="RDEC", $Y171="Limited Company"), "", U171*$E171*$I171)</f>
        <v>0</v>
      </c>
      <c r="AL171" s="284" t="n">
        <f aca="false">IF(AND(AL$4="RDEC", $Y171="Limited Company"), "", V171*$E171*$I171)</f>
        <v>0</v>
      </c>
      <c r="AM171" s="284" t="n">
        <f aca="false">IF(AND(AM$4="RDEC", $Y171="Limited Company"), "", W171*$E171*$I171)</f>
        <v>0</v>
      </c>
      <c r="AN171" s="286" t="n">
        <f aca="false">IFERROR(SUMIF($AB$4:$AM$4, "RDEC", AB171:AM171), "")</f>
        <v>0</v>
      </c>
      <c r="AO171" s="286" t="str">
        <f aca="false">IFERROR((IF(Z171="Yes",SUMIF($AB$4:$AM$4,"SME",AB171:AM171),"")),"")</f>
        <v/>
      </c>
      <c r="AP171" s="286" t="n">
        <f aca="false">IFERROR((IF(Z171="No",SUMIF($AB$4:$AM$4,"SME",AB171:AM171),"")),"")</f>
        <v>0</v>
      </c>
      <c r="AQ171" s="286" t="n">
        <f aca="false">IFERROR(SUMIF($AB$4:$AM$4, "De Minimis", AB171:AM171), "")</f>
        <v>0</v>
      </c>
      <c r="AR171" s="283"/>
      <c r="AS171" s="284" t="n">
        <f aca="false">IFERROR(L171*$E171*$J171, "")</f>
        <v>0</v>
      </c>
      <c r="AT171" s="284" t="n">
        <f aca="false">IFERROR(M171*$E171*$J171, "")</f>
        <v>0</v>
      </c>
      <c r="AU171" s="284" t="n">
        <f aca="false">IFERROR(N171*$E171*$J171, "")</f>
        <v>0</v>
      </c>
      <c r="AV171" s="284" t="n">
        <f aca="false">IFERROR(O171*$E171*$J171, "")</f>
        <v>0</v>
      </c>
      <c r="AW171" s="284" t="n">
        <f aca="false">IFERROR(P171*$E171*$J171, "")</f>
        <v>0</v>
      </c>
      <c r="AX171" s="284" t="n">
        <f aca="false">IFERROR(Q171*$E171*$J171, "")</f>
        <v>0</v>
      </c>
      <c r="AY171" s="284" t="n">
        <f aca="false">IFERROR(R171*$E171*$J171, "")</f>
        <v>0</v>
      </c>
      <c r="AZ171" s="284" t="n">
        <f aca="false">IFERROR(S171*$E171*$J171, "")</f>
        <v>0</v>
      </c>
      <c r="BA171" s="284" t="n">
        <f aca="false">IFERROR(T171*$E171*$J171, "")</f>
        <v>0</v>
      </c>
      <c r="BB171" s="284" t="n">
        <f aca="false">IFERROR(U171*$E171*$J171, "")</f>
        <v>0</v>
      </c>
      <c r="BC171" s="284" t="n">
        <f aca="false">IFERROR(V171*$E171*$J171, "")</f>
        <v>0</v>
      </c>
      <c r="BD171" s="284" t="n">
        <f aca="false">IFERROR(W171*$E171*$J171, "")</f>
        <v>0</v>
      </c>
      <c r="BE171" s="286" t="n">
        <f aca="false">IFERROR(SUMIF($AB$4:$AM$4, "RDEC", AS171:BD171), "")</f>
        <v>0</v>
      </c>
      <c r="BF171" s="286" t="n">
        <f aca="false">IFERROR(SUMIF($AB$4:$AM$4, "SME", AS171:BD171), "")</f>
        <v>0</v>
      </c>
      <c r="BG171" s="286" t="n">
        <f aca="false">IFERROR(SUMIF($AB$4:$AM$4, "De Minimis", AS171:BD171), "")</f>
        <v>0</v>
      </c>
      <c r="BH171" s="268"/>
      <c r="BI171" s="288" t="str">
        <f aca="false">IF((SUM(L171:W171)&gt;1),"ERROR","")</f>
        <v/>
      </c>
    </row>
    <row r="172" customFormat="false" ht="15" hidden="false" customHeight="true" outlineLevel="0" collapsed="false">
      <c r="A172" s="340"/>
      <c r="B172" s="350"/>
      <c r="C172" s="350"/>
      <c r="H172" s="350"/>
      <c r="I172" s="279" t="n">
        <v>1</v>
      </c>
      <c r="J172" s="281" t="n">
        <f aca="false">1-I172</f>
        <v>0</v>
      </c>
      <c r="K172" s="32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350"/>
      <c r="Y172" s="381"/>
      <c r="Z172" s="384" t="s">
        <v>71</v>
      </c>
      <c r="AA172" s="283"/>
      <c r="AB172" s="284" t="n">
        <f aca="false">IF(AND(AB$4="RDEC", $Y172="Limited Company"), "", L172*$E172*$I172)</f>
        <v>0</v>
      </c>
      <c r="AC172" s="284" t="n">
        <f aca="false">IF(AND(AC$4="RDEC", $Y172="Limited Company"), "", M172*$E172*$I172)</f>
        <v>0</v>
      </c>
      <c r="AD172" s="284" t="n">
        <f aca="false">IF(AND(AD$4="RDEC", $Y172="Limited Company"), "", N172*$E172*$I172)</f>
        <v>0</v>
      </c>
      <c r="AE172" s="284" t="n">
        <f aca="false">IF(AND(AE$4="RDEC", $Y172="Limited Company"), "", O172*$E172*$I172)</f>
        <v>0</v>
      </c>
      <c r="AF172" s="284" t="n">
        <f aca="false">IF(AND(AF$4="RDEC", $Y172="Limited Company"), "", P172*$E172*$I172)</f>
        <v>0</v>
      </c>
      <c r="AG172" s="284" t="n">
        <f aca="false">IF(AND(AG$4="RDEC", $Y172="Limited Company"), "", Q172*$E172*$I172)</f>
        <v>0</v>
      </c>
      <c r="AH172" s="284" t="n">
        <f aca="false">IF(AND(AH$4="RDEC", $Y172="Limited Company"), "", R172*$E172*$I172)</f>
        <v>0</v>
      </c>
      <c r="AI172" s="284" t="n">
        <f aca="false">IF(AND(AI$4="RDEC", $Y172="Limited Company"), "", S172*$E172*$I172)</f>
        <v>0</v>
      </c>
      <c r="AJ172" s="284" t="n">
        <f aca="false">IF(AND(AJ$4="RDEC", $Y172="Limited Company"), "", T172*$E172*$I172)</f>
        <v>0</v>
      </c>
      <c r="AK172" s="284" t="n">
        <f aca="false">IF(AND(AK$4="RDEC", $Y172="Limited Company"), "", U172*$E172*$I172)</f>
        <v>0</v>
      </c>
      <c r="AL172" s="284" t="n">
        <f aca="false">IF(AND(AL$4="RDEC", $Y172="Limited Company"), "", V172*$E172*$I172)</f>
        <v>0</v>
      </c>
      <c r="AM172" s="284" t="n">
        <f aca="false">IF(AND(AM$4="RDEC", $Y172="Limited Company"), "", W172*$E172*$I172)</f>
        <v>0</v>
      </c>
      <c r="AN172" s="286" t="n">
        <f aca="false">IFERROR(SUMIF($AB$4:$AM$4, "RDEC", AB172:AM172), "")</f>
        <v>0</v>
      </c>
      <c r="AO172" s="286" t="str">
        <f aca="false">IFERROR((IF(Z172="Yes",SUMIF($AB$4:$AM$4,"SME",AB172:AM172),"")),"")</f>
        <v/>
      </c>
      <c r="AP172" s="286" t="n">
        <f aca="false">IFERROR((IF(Z172="No",SUMIF($AB$4:$AM$4,"SME",AB172:AM172),"")),"")</f>
        <v>0</v>
      </c>
      <c r="AQ172" s="286" t="n">
        <f aca="false">IFERROR(SUMIF($AB$4:$AM$4, "De Minimis", AB172:AM172), "")</f>
        <v>0</v>
      </c>
      <c r="AR172" s="283"/>
      <c r="AS172" s="284" t="n">
        <f aca="false">IFERROR(L172*$E172*$J172, "")</f>
        <v>0</v>
      </c>
      <c r="AT172" s="284" t="n">
        <f aca="false">IFERROR(M172*$E172*$J172, "")</f>
        <v>0</v>
      </c>
      <c r="AU172" s="284" t="n">
        <f aca="false">IFERROR(N172*$E172*$J172, "")</f>
        <v>0</v>
      </c>
      <c r="AV172" s="284" t="n">
        <f aca="false">IFERROR(O172*$E172*$J172, "")</f>
        <v>0</v>
      </c>
      <c r="AW172" s="284" t="n">
        <f aca="false">IFERROR(P172*$E172*$J172, "")</f>
        <v>0</v>
      </c>
      <c r="AX172" s="284" t="n">
        <f aca="false">IFERROR(Q172*$E172*$J172, "")</f>
        <v>0</v>
      </c>
      <c r="AY172" s="284" t="n">
        <f aca="false">IFERROR(R172*$E172*$J172, "")</f>
        <v>0</v>
      </c>
      <c r="AZ172" s="284" t="n">
        <f aca="false">IFERROR(S172*$E172*$J172, "")</f>
        <v>0</v>
      </c>
      <c r="BA172" s="284" t="n">
        <f aca="false">IFERROR(T172*$E172*$J172, "")</f>
        <v>0</v>
      </c>
      <c r="BB172" s="284" t="n">
        <f aca="false">IFERROR(U172*$E172*$J172, "")</f>
        <v>0</v>
      </c>
      <c r="BC172" s="284" t="n">
        <f aca="false">IFERROR(V172*$E172*$J172, "")</f>
        <v>0</v>
      </c>
      <c r="BD172" s="284" t="n">
        <f aca="false">IFERROR(W172*$E172*$J172, "")</f>
        <v>0</v>
      </c>
      <c r="BE172" s="286" t="n">
        <f aca="false">IFERROR(SUMIF($AB$4:$AM$4, "RDEC", AS172:BD172), "")</f>
        <v>0</v>
      </c>
      <c r="BF172" s="286" t="n">
        <f aca="false">IFERROR(SUMIF($AB$4:$AM$4, "SME", AS172:BD172), "")</f>
        <v>0</v>
      </c>
      <c r="BG172" s="286" t="n">
        <f aca="false">IFERROR(SUMIF($AB$4:$AM$4, "De Minimis", AS172:BD172), "")</f>
        <v>0</v>
      </c>
      <c r="BH172" s="287"/>
      <c r="BI172" s="288" t="str">
        <f aca="false">IF((SUM(L172:W172)&gt;1),"ERROR","")</f>
        <v/>
      </c>
    </row>
    <row r="173" customFormat="false" ht="15" hidden="false" customHeight="true" outlineLevel="0" collapsed="false">
      <c r="A173" s="340"/>
      <c r="B173" s="350"/>
      <c r="C173" s="350"/>
      <c r="H173" s="350"/>
      <c r="I173" s="279" t="n">
        <v>1</v>
      </c>
      <c r="J173" s="281" t="n">
        <f aca="false">1-I173</f>
        <v>0</v>
      </c>
      <c r="K173" s="32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350"/>
      <c r="Y173" s="381"/>
      <c r="Z173" s="384" t="s">
        <v>71</v>
      </c>
      <c r="AA173" s="283"/>
      <c r="AB173" s="284" t="n">
        <f aca="false">IF(AND(AB$4="RDEC", $Y173="Limited Company"), "", L173*$E173*$I173)</f>
        <v>0</v>
      </c>
      <c r="AC173" s="284" t="n">
        <f aca="false">IF(AND(AC$4="RDEC", $Y173="Limited Company"), "", M173*$E173*$I173)</f>
        <v>0</v>
      </c>
      <c r="AD173" s="284" t="n">
        <f aca="false">IF(AND(AD$4="RDEC", $Y173="Limited Company"), "", N173*$E173*$I173)</f>
        <v>0</v>
      </c>
      <c r="AE173" s="284" t="n">
        <f aca="false">IF(AND(AE$4="RDEC", $Y173="Limited Company"), "", O173*$E173*$I173)</f>
        <v>0</v>
      </c>
      <c r="AF173" s="284" t="n">
        <f aca="false">IF(AND(AF$4="RDEC", $Y173="Limited Company"), "", P173*$E173*$I173)</f>
        <v>0</v>
      </c>
      <c r="AG173" s="284" t="n">
        <f aca="false">IF(AND(AG$4="RDEC", $Y173="Limited Company"), "", Q173*$E173*$I173)</f>
        <v>0</v>
      </c>
      <c r="AH173" s="284" t="n">
        <f aca="false">IF(AND(AH$4="RDEC", $Y173="Limited Company"), "", R173*$E173*$I173)</f>
        <v>0</v>
      </c>
      <c r="AI173" s="284" t="n">
        <f aca="false">IF(AND(AI$4="RDEC", $Y173="Limited Company"), "", S173*$E173*$I173)</f>
        <v>0</v>
      </c>
      <c r="AJ173" s="284" t="n">
        <f aca="false">IF(AND(AJ$4="RDEC", $Y173="Limited Company"), "", T173*$E173*$I173)</f>
        <v>0</v>
      </c>
      <c r="AK173" s="284" t="n">
        <f aca="false">IF(AND(AK$4="RDEC", $Y173="Limited Company"), "", U173*$E173*$I173)</f>
        <v>0</v>
      </c>
      <c r="AL173" s="284" t="n">
        <f aca="false">IF(AND(AL$4="RDEC", $Y173="Limited Company"), "", V173*$E173*$I173)</f>
        <v>0</v>
      </c>
      <c r="AM173" s="284" t="n">
        <f aca="false">IF(AND(AM$4="RDEC", $Y173="Limited Company"), "", W173*$E173*$I173)</f>
        <v>0</v>
      </c>
      <c r="AN173" s="286" t="n">
        <f aca="false">IFERROR(SUMIF($AB$4:$AM$4, "RDEC", AB173:AM173), "")</f>
        <v>0</v>
      </c>
      <c r="AO173" s="286" t="str">
        <f aca="false">IFERROR((IF(Z173="Yes",SUMIF($AB$4:$AM$4,"SME",AB173:AM173),"")),"")</f>
        <v/>
      </c>
      <c r="AP173" s="286" t="n">
        <f aca="false">IFERROR((IF(Z173="No",SUMIF($AB$4:$AM$4,"SME",AB173:AM173),"")),"")</f>
        <v>0</v>
      </c>
      <c r="AQ173" s="286" t="n">
        <f aca="false">IFERROR(SUMIF($AB$4:$AM$4, "De Minimis", AB173:AM173), "")</f>
        <v>0</v>
      </c>
      <c r="AR173" s="283"/>
      <c r="AS173" s="284" t="n">
        <f aca="false">IFERROR(L173*$E173*$J173, "")</f>
        <v>0</v>
      </c>
      <c r="AT173" s="284" t="n">
        <f aca="false">IFERROR(M173*$E173*$J173, "")</f>
        <v>0</v>
      </c>
      <c r="AU173" s="284" t="n">
        <f aca="false">IFERROR(N173*$E173*$J173, "")</f>
        <v>0</v>
      </c>
      <c r="AV173" s="284" t="n">
        <f aca="false">IFERROR(O173*$E173*$J173, "")</f>
        <v>0</v>
      </c>
      <c r="AW173" s="284" t="n">
        <f aca="false">IFERROR(P173*$E173*$J173, "")</f>
        <v>0</v>
      </c>
      <c r="AX173" s="284" t="n">
        <f aca="false">IFERROR(Q173*$E173*$J173, "")</f>
        <v>0</v>
      </c>
      <c r="AY173" s="284" t="n">
        <f aca="false">IFERROR(R173*$E173*$J173, "")</f>
        <v>0</v>
      </c>
      <c r="AZ173" s="284" t="n">
        <f aca="false">IFERROR(S173*$E173*$J173, "")</f>
        <v>0</v>
      </c>
      <c r="BA173" s="284" t="n">
        <f aca="false">IFERROR(T173*$E173*$J173, "")</f>
        <v>0</v>
      </c>
      <c r="BB173" s="284" t="n">
        <f aca="false">IFERROR(U173*$E173*$J173, "")</f>
        <v>0</v>
      </c>
      <c r="BC173" s="284" t="n">
        <f aca="false">IFERROR(V173*$E173*$J173, "")</f>
        <v>0</v>
      </c>
      <c r="BD173" s="284" t="n">
        <f aca="false">IFERROR(W173*$E173*$J173, "")</f>
        <v>0</v>
      </c>
      <c r="BE173" s="286" t="n">
        <f aca="false">IFERROR(SUMIF($AB$4:$AM$4, "RDEC", AS173:BD173), "")</f>
        <v>0</v>
      </c>
      <c r="BF173" s="286" t="n">
        <f aca="false">IFERROR(SUMIF($AB$4:$AM$4, "SME", AS173:BD173), "")</f>
        <v>0</v>
      </c>
      <c r="BG173" s="286" t="n">
        <f aca="false">IFERROR(SUMIF($AB$4:$AM$4, "De Minimis", AS173:BD173), "")</f>
        <v>0</v>
      </c>
      <c r="BH173" s="287"/>
      <c r="BI173" s="288" t="str">
        <f aca="false">IF((SUM(L173:W173)&gt;1),"ERROR","")</f>
        <v/>
      </c>
    </row>
    <row r="174" customFormat="false" ht="15" hidden="false" customHeight="true" outlineLevel="0" collapsed="false">
      <c r="A174" s="340"/>
      <c r="B174" s="350"/>
      <c r="C174" s="350"/>
      <c r="H174" s="350"/>
      <c r="I174" s="279" t="n">
        <v>1</v>
      </c>
      <c r="J174" s="281" t="n">
        <f aca="false">1-I174</f>
        <v>0</v>
      </c>
      <c r="K174" s="32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350"/>
      <c r="Y174" s="381"/>
      <c r="Z174" s="384" t="s">
        <v>71</v>
      </c>
      <c r="AA174" s="283"/>
      <c r="AB174" s="284" t="n">
        <f aca="false">IF(AND(AB$4="RDEC", $Y174="Limited Company"), "", L174*$E174*$I174)</f>
        <v>0</v>
      </c>
      <c r="AC174" s="284" t="n">
        <f aca="false">IF(AND(AC$4="RDEC", $Y174="Limited Company"), "", M174*$E174*$I174)</f>
        <v>0</v>
      </c>
      <c r="AD174" s="284" t="n">
        <f aca="false">IF(AND(AD$4="RDEC", $Y174="Limited Company"), "", N174*$E174*$I174)</f>
        <v>0</v>
      </c>
      <c r="AE174" s="284" t="n">
        <f aca="false">IF(AND(AE$4="RDEC", $Y174="Limited Company"), "", O174*$E174*$I174)</f>
        <v>0</v>
      </c>
      <c r="AF174" s="284" t="n">
        <f aca="false">IF(AND(AF$4="RDEC", $Y174="Limited Company"), "", P174*$E174*$I174)</f>
        <v>0</v>
      </c>
      <c r="AG174" s="284" t="n">
        <f aca="false">IF(AND(AG$4="RDEC", $Y174="Limited Company"), "", Q174*$E174*$I174)</f>
        <v>0</v>
      </c>
      <c r="AH174" s="284" t="n">
        <f aca="false">IF(AND(AH$4="RDEC", $Y174="Limited Company"), "", R174*$E174*$I174)</f>
        <v>0</v>
      </c>
      <c r="AI174" s="284" t="n">
        <f aca="false">IF(AND(AI$4="RDEC", $Y174="Limited Company"), "", S174*$E174*$I174)</f>
        <v>0</v>
      </c>
      <c r="AJ174" s="284" t="n">
        <f aca="false">IF(AND(AJ$4="RDEC", $Y174="Limited Company"), "", T174*$E174*$I174)</f>
        <v>0</v>
      </c>
      <c r="AK174" s="284" t="n">
        <f aca="false">IF(AND(AK$4="RDEC", $Y174="Limited Company"), "", U174*$E174*$I174)</f>
        <v>0</v>
      </c>
      <c r="AL174" s="284" t="n">
        <f aca="false">IF(AND(AL$4="RDEC", $Y174="Limited Company"), "", V174*$E174*$I174)</f>
        <v>0</v>
      </c>
      <c r="AM174" s="284" t="n">
        <f aca="false">IF(AND(AM$4="RDEC", $Y174="Limited Company"), "", W174*$E174*$I174)</f>
        <v>0</v>
      </c>
      <c r="AN174" s="286" t="n">
        <f aca="false">IFERROR(SUMIF($AB$4:$AM$4, "RDEC", AB174:AM174), "")</f>
        <v>0</v>
      </c>
      <c r="AO174" s="286" t="str">
        <f aca="false">IFERROR((IF(Z174="Yes",SUMIF($AB$4:$AM$4,"SME",AB174:AM174),"")),"")</f>
        <v/>
      </c>
      <c r="AP174" s="286" t="n">
        <f aca="false">IFERROR((IF(Z174="No",SUMIF($AB$4:$AM$4,"SME",AB174:AM174),"")),"")</f>
        <v>0</v>
      </c>
      <c r="AQ174" s="286" t="n">
        <f aca="false">IFERROR(SUMIF($AB$4:$AM$4, "De Minimis", AB174:AM174), "")</f>
        <v>0</v>
      </c>
      <c r="AR174" s="283"/>
      <c r="AS174" s="284" t="n">
        <f aca="false">IFERROR(L174*$E174*$J174, "")</f>
        <v>0</v>
      </c>
      <c r="AT174" s="284" t="n">
        <f aca="false">IFERROR(M174*$E174*$J174, "")</f>
        <v>0</v>
      </c>
      <c r="AU174" s="284" t="n">
        <f aca="false">IFERROR(N174*$E174*$J174, "")</f>
        <v>0</v>
      </c>
      <c r="AV174" s="284" t="n">
        <f aca="false">IFERROR(O174*$E174*$J174, "")</f>
        <v>0</v>
      </c>
      <c r="AW174" s="284" t="n">
        <f aca="false">IFERROR(P174*$E174*$J174, "")</f>
        <v>0</v>
      </c>
      <c r="AX174" s="284" t="n">
        <f aca="false">IFERROR(Q174*$E174*$J174, "")</f>
        <v>0</v>
      </c>
      <c r="AY174" s="284" t="n">
        <f aca="false">IFERROR(R174*$E174*$J174, "")</f>
        <v>0</v>
      </c>
      <c r="AZ174" s="284" t="n">
        <f aca="false">IFERROR(S174*$E174*$J174, "")</f>
        <v>0</v>
      </c>
      <c r="BA174" s="284" t="n">
        <f aca="false">IFERROR(T174*$E174*$J174, "")</f>
        <v>0</v>
      </c>
      <c r="BB174" s="284" t="n">
        <f aca="false">IFERROR(U174*$E174*$J174, "")</f>
        <v>0</v>
      </c>
      <c r="BC174" s="284" t="n">
        <f aca="false">IFERROR(V174*$E174*$J174, "")</f>
        <v>0</v>
      </c>
      <c r="BD174" s="284" t="n">
        <f aca="false">IFERROR(W174*$E174*$J174, "")</f>
        <v>0</v>
      </c>
      <c r="BE174" s="286" t="n">
        <f aca="false">IFERROR(SUMIF($AB$4:$AM$4, "RDEC", AS174:BD174), "")</f>
        <v>0</v>
      </c>
      <c r="BF174" s="286" t="n">
        <f aca="false">IFERROR(SUMIF($AB$4:$AM$4, "SME", AS174:BD174), "")</f>
        <v>0</v>
      </c>
      <c r="BG174" s="286" t="n">
        <f aca="false">IFERROR(SUMIF($AB$4:$AM$4, "De Minimis", AS174:BD174), "")</f>
        <v>0</v>
      </c>
      <c r="BH174" s="287"/>
      <c r="BI174" s="288" t="str">
        <f aca="false">IF((SUM(L174:W174)&gt;1),"ERROR","")</f>
        <v/>
      </c>
    </row>
    <row r="175" customFormat="false" ht="15" hidden="false" customHeight="true" outlineLevel="0" collapsed="false">
      <c r="A175" s="340"/>
      <c r="B175" s="350"/>
      <c r="C175" s="350"/>
      <c r="H175" s="350"/>
      <c r="I175" s="279" t="n">
        <v>1</v>
      </c>
      <c r="J175" s="281" t="n">
        <f aca="false">1-I175</f>
        <v>0</v>
      </c>
      <c r="K175" s="32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350"/>
      <c r="Y175" s="381"/>
      <c r="Z175" s="384" t="s">
        <v>71</v>
      </c>
      <c r="AA175" s="283"/>
      <c r="AB175" s="284" t="n">
        <f aca="false">IF(AND(AB$4="RDEC", $Y175="Limited Company"), "", L175*$E175*$I175)</f>
        <v>0</v>
      </c>
      <c r="AC175" s="284" t="n">
        <f aca="false">IF(AND(AC$4="RDEC", $Y175="Limited Company"), "", M175*$E175*$I175)</f>
        <v>0</v>
      </c>
      <c r="AD175" s="284" t="n">
        <f aca="false">IF(AND(AD$4="RDEC", $Y175="Limited Company"), "", N175*$E175*$I175)</f>
        <v>0</v>
      </c>
      <c r="AE175" s="284" t="n">
        <f aca="false">IF(AND(AE$4="RDEC", $Y175="Limited Company"), "", O175*$E175*$I175)</f>
        <v>0</v>
      </c>
      <c r="AF175" s="284" t="n">
        <f aca="false">IF(AND(AF$4="RDEC", $Y175="Limited Company"), "", P175*$E175*$I175)</f>
        <v>0</v>
      </c>
      <c r="AG175" s="284" t="n">
        <f aca="false">IF(AND(AG$4="RDEC", $Y175="Limited Company"), "", Q175*$E175*$I175)</f>
        <v>0</v>
      </c>
      <c r="AH175" s="284" t="n">
        <f aca="false">IF(AND(AH$4="RDEC", $Y175="Limited Company"), "", R175*$E175*$I175)</f>
        <v>0</v>
      </c>
      <c r="AI175" s="284" t="n">
        <f aca="false">IF(AND(AI$4="RDEC", $Y175="Limited Company"), "", S175*$E175*$I175)</f>
        <v>0</v>
      </c>
      <c r="AJ175" s="284" t="n">
        <f aca="false">IF(AND(AJ$4="RDEC", $Y175="Limited Company"), "", T175*$E175*$I175)</f>
        <v>0</v>
      </c>
      <c r="AK175" s="284" t="n">
        <f aca="false">IF(AND(AK$4="RDEC", $Y175="Limited Company"), "", U175*$E175*$I175)</f>
        <v>0</v>
      </c>
      <c r="AL175" s="284" t="n">
        <f aca="false">IF(AND(AL$4="RDEC", $Y175="Limited Company"), "", V175*$E175*$I175)</f>
        <v>0</v>
      </c>
      <c r="AM175" s="284" t="n">
        <f aca="false">IF(AND(AM$4="RDEC", $Y175="Limited Company"), "", W175*$E175*$I175)</f>
        <v>0</v>
      </c>
      <c r="AN175" s="286" t="n">
        <f aca="false">IFERROR(SUMIF($AB$4:$AM$4, "RDEC", AB175:AM175), "")</f>
        <v>0</v>
      </c>
      <c r="AO175" s="286" t="str">
        <f aca="false">IFERROR((IF(Z175="Yes",SUMIF($AB$4:$AM$4,"SME",AB175:AM175),"")),"")</f>
        <v/>
      </c>
      <c r="AP175" s="286" t="n">
        <f aca="false">IFERROR((IF(Z175="No",SUMIF($AB$4:$AM$4,"SME",AB175:AM175),"")),"")</f>
        <v>0</v>
      </c>
      <c r="AQ175" s="286" t="n">
        <f aca="false">IFERROR(SUMIF($AB$4:$AM$4, "De Minimis", AB175:AM175), "")</f>
        <v>0</v>
      </c>
      <c r="AR175" s="283"/>
      <c r="AS175" s="284" t="n">
        <f aca="false">IFERROR(L175*$E175*$J175, "")</f>
        <v>0</v>
      </c>
      <c r="AT175" s="284" t="n">
        <f aca="false">IFERROR(M175*$E175*$J175, "")</f>
        <v>0</v>
      </c>
      <c r="AU175" s="284" t="n">
        <f aca="false">IFERROR(N175*$E175*$J175, "")</f>
        <v>0</v>
      </c>
      <c r="AV175" s="284" t="n">
        <f aca="false">IFERROR(O175*$E175*$J175, "")</f>
        <v>0</v>
      </c>
      <c r="AW175" s="284" t="n">
        <f aca="false">IFERROR(P175*$E175*$J175, "")</f>
        <v>0</v>
      </c>
      <c r="AX175" s="284" t="n">
        <f aca="false">IFERROR(Q175*$E175*$J175, "")</f>
        <v>0</v>
      </c>
      <c r="AY175" s="284" t="n">
        <f aca="false">IFERROR(R175*$E175*$J175, "")</f>
        <v>0</v>
      </c>
      <c r="AZ175" s="284" t="n">
        <f aca="false">IFERROR(S175*$E175*$J175, "")</f>
        <v>0</v>
      </c>
      <c r="BA175" s="284" t="n">
        <f aca="false">IFERROR(T175*$E175*$J175, "")</f>
        <v>0</v>
      </c>
      <c r="BB175" s="284" t="n">
        <f aca="false">IFERROR(U175*$E175*$J175, "")</f>
        <v>0</v>
      </c>
      <c r="BC175" s="284" t="n">
        <f aca="false">IFERROR(V175*$E175*$J175, "")</f>
        <v>0</v>
      </c>
      <c r="BD175" s="284" t="n">
        <f aca="false">IFERROR(W175*$E175*$J175, "")</f>
        <v>0</v>
      </c>
      <c r="BE175" s="286" t="n">
        <f aca="false">IFERROR(SUMIF($AB$4:$AM$4, "RDEC", AS175:BD175), "")</f>
        <v>0</v>
      </c>
      <c r="BF175" s="286" t="n">
        <f aca="false">IFERROR(SUMIF($AB$4:$AM$4, "SME", AS175:BD175), "")</f>
        <v>0</v>
      </c>
      <c r="BG175" s="286" t="n">
        <f aca="false">IFERROR(SUMIF($AB$4:$AM$4, "De Minimis", AS175:BD175), "")</f>
        <v>0</v>
      </c>
      <c r="BH175" s="287"/>
      <c r="BI175" s="288" t="str">
        <f aca="false">IF((SUM(L175:W175)&gt;1),"ERROR","")</f>
        <v/>
      </c>
    </row>
    <row r="176" customFormat="false" ht="15" hidden="false" customHeight="true" outlineLevel="0" collapsed="false">
      <c r="A176" s="340"/>
      <c r="B176" s="350"/>
      <c r="C176" s="350"/>
      <c r="H176" s="350"/>
      <c r="I176" s="279" t="n">
        <v>1</v>
      </c>
      <c r="J176" s="281" t="n">
        <f aca="false">1-I176</f>
        <v>0</v>
      </c>
      <c r="K176" s="32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350"/>
      <c r="Y176" s="381"/>
      <c r="Z176" s="384" t="s">
        <v>71</v>
      </c>
      <c r="AA176" s="283"/>
      <c r="AB176" s="284" t="n">
        <f aca="false">IF(AND(AB$4="RDEC", $Y176="Limited Company"), "", L176*$E176*$I176)</f>
        <v>0</v>
      </c>
      <c r="AC176" s="284" t="n">
        <f aca="false">IF(AND(AC$4="RDEC", $Y176="Limited Company"), "", M176*$E176*$I176)</f>
        <v>0</v>
      </c>
      <c r="AD176" s="284" t="n">
        <f aca="false">IF(AND(AD$4="RDEC", $Y176="Limited Company"), "", N176*$E176*$I176)</f>
        <v>0</v>
      </c>
      <c r="AE176" s="284" t="n">
        <f aca="false">IF(AND(AE$4="RDEC", $Y176="Limited Company"), "", O176*$E176*$I176)</f>
        <v>0</v>
      </c>
      <c r="AF176" s="284" t="n">
        <f aca="false">IF(AND(AF$4="RDEC", $Y176="Limited Company"), "", P176*$E176*$I176)</f>
        <v>0</v>
      </c>
      <c r="AG176" s="284" t="n">
        <f aca="false">IF(AND(AG$4="RDEC", $Y176="Limited Company"), "", Q176*$E176*$I176)</f>
        <v>0</v>
      </c>
      <c r="AH176" s="284" t="n">
        <f aca="false">IF(AND(AH$4="RDEC", $Y176="Limited Company"), "", R176*$E176*$I176)</f>
        <v>0</v>
      </c>
      <c r="AI176" s="284" t="n">
        <f aca="false">IF(AND(AI$4="RDEC", $Y176="Limited Company"), "", S176*$E176*$I176)</f>
        <v>0</v>
      </c>
      <c r="AJ176" s="284" t="n">
        <f aca="false">IF(AND(AJ$4="RDEC", $Y176="Limited Company"), "", T176*$E176*$I176)</f>
        <v>0</v>
      </c>
      <c r="AK176" s="284" t="n">
        <f aca="false">IF(AND(AK$4="RDEC", $Y176="Limited Company"), "", U176*$E176*$I176)</f>
        <v>0</v>
      </c>
      <c r="AL176" s="284" t="n">
        <f aca="false">IF(AND(AL$4="RDEC", $Y176="Limited Company"), "", V176*$E176*$I176)</f>
        <v>0</v>
      </c>
      <c r="AM176" s="284" t="n">
        <f aca="false">IF(AND(AM$4="RDEC", $Y176="Limited Company"), "", W176*$E176*$I176)</f>
        <v>0</v>
      </c>
      <c r="AN176" s="286" t="n">
        <f aca="false">IFERROR(SUMIF($AB$4:$AM$4, "RDEC", AB176:AM176), "")</f>
        <v>0</v>
      </c>
      <c r="AO176" s="286" t="str">
        <f aca="false">IFERROR((IF(Z176="Yes",SUMIF($AB$4:$AM$4,"SME",AB176:AM176),"")),"")</f>
        <v/>
      </c>
      <c r="AP176" s="286" t="n">
        <f aca="false">IFERROR((IF(Z176="No",SUMIF($AB$4:$AM$4,"SME",AB176:AM176),"")),"")</f>
        <v>0</v>
      </c>
      <c r="AQ176" s="286" t="n">
        <f aca="false">IFERROR(SUMIF($AB$4:$AM$4, "De Minimis", AB176:AM176), "")</f>
        <v>0</v>
      </c>
      <c r="AR176" s="283"/>
      <c r="AS176" s="284" t="n">
        <f aca="false">IFERROR(L176*$E176*$J176, "")</f>
        <v>0</v>
      </c>
      <c r="AT176" s="284" t="n">
        <f aca="false">IFERROR(M176*$E176*$J176, "")</f>
        <v>0</v>
      </c>
      <c r="AU176" s="284" t="n">
        <f aca="false">IFERROR(N176*$E176*$J176, "")</f>
        <v>0</v>
      </c>
      <c r="AV176" s="284" t="n">
        <f aca="false">IFERROR(O176*$E176*$J176, "")</f>
        <v>0</v>
      </c>
      <c r="AW176" s="284" t="n">
        <f aca="false">IFERROR(P176*$E176*$J176, "")</f>
        <v>0</v>
      </c>
      <c r="AX176" s="284" t="n">
        <f aca="false">IFERROR(Q176*$E176*$J176, "")</f>
        <v>0</v>
      </c>
      <c r="AY176" s="284" t="n">
        <f aca="false">IFERROR(R176*$E176*$J176, "")</f>
        <v>0</v>
      </c>
      <c r="AZ176" s="284" t="n">
        <f aca="false">IFERROR(S176*$E176*$J176, "")</f>
        <v>0</v>
      </c>
      <c r="BA176" s="284" t="n">
        <f aca="false">IFERROR(T176*$E176*$J176, "")</f>
        <v>0</v>
      </c>
      <c r="BB176" s="284" t="n">
        <f aca="false">IFERROR(U176*$E176*$J176, "")</f>
        <v>0</v>
      </c>
      <c r="BC176" s="284" t="n">
        <f aca="false">IFERROR(V176*$E176*$J176, "")</f>
        <v>0</v>
      </c>
      <c r="BD176" s="284" t="n">
        <f aca="false">IFERROR(W176*$E176*$J176, "")</f>
        <v>0</v>
      </c>
      <c r="BE176" s="286" t="n">
        <f aca="false">IFERROR(SUMIF($AB$4:$AM$4, "RDEC", AS176:BD176), "")</f>
        <v>0</v>
      </c>
      <c r="BF176" s="286" t="n">
        <f aca="false">IFERROR(SUMIF($AB$4:$AM$4, "SME", AS176:BD176), "")</f>
        <v>0</v>
      </c>
      <c r="BG176" s="286" t="n">
        <f aca="false">IFERROR(SUMIF($AB$4:$AM$4, "De Minimis", AS176:BD176), "")</f>
        <v>0</v>
      </c>
      <c r="BH176" s="287"/>
      <c r="BI176" s="288" t="str">
        <f aca="false">IF((SUM(L176:W176)&gt;1),"ERROR","")</f>
        <v/>
      </c>
    </row>
    <row r="177" customFormat="false" ht="15" hidden="false" customHeight="true" outlineLevel="0" collapsed="false">
      <c r="A177" s="340"/>
      <c r="B177" s="350"/>
      <c r="C177" s="350"/>
      <c r="H177" s="350"/>
      <c r="I177" s="279" t="n">
        <v>1</v>
      </c>
      <c r="J177" s="281" t="n">
        <f aca="false">1-I177</f>
        <v>0</v>
      </c>
      <c r="K177" s="32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350"/>
      <c r="Y177" s="381"/>
      <c r="Z177" s="384" t="s">
        <v>71</v>
      </c>
      <c r="AA177" s="283"/>
      <c r="AB177" s="284" t="n">
        <f aca="false">IF(AND(AB$4="RDEC", $Y177="Limited Company"), "", L177*$E177*$I177)</f>
        <v>0</v>
      </c>
      <c r="AC177" s="284" t="n">
        <f aca="false">IF(AND(AC$4="RDEC", $Y177="Limited Company"), "", M177*$E177*$I177)</f>
        <v>0</v>
      </c>
      <c r="AD177" s="284" t="n">
        <f aca="false">IF(AND(AD$4="RDEC", $Y177="Limited Company"), "", N177*$E177*$I177)</f>
        <v>0</v>
      </c>
      <c r="AE177" s="284" t="n">
        <f aca="false">IF(AND(AE$4="RDEC", $Y177="Limited Company"), "", O177*$E177*$I177)</f>
        <v>0</v>
      </c>
      <c r="AF177" s="284" t="n">
        <f aca="false">IF(AND(AF$4="RDEC", $Y177="Limited Company"), "", P177*$E177*$I177)</f>
        <v>0</v>
      </c>
      <c r="AG177" s="284" t="n">
        <f aca="false">IF(AND(AG$4="RDEC", $Y177="Limited Company"), "", Q177*$E177*$I177)</f>
        <v>0</v>
      </c>
      <c r="AH177" s="284" t="n">
        <f aca="false">IF(AND(AH$4="RDEC", $Y177="Limited Company"), "", R177*$E177*$I177)</f>
        <v>0</v>
      </c>
      <c r="AI177" s="284" t="n">
        <f aca="false">IF(AND(AI$4="RDEC", $Y177="Limited Company"), "", S177*$E177*$I177)</f>
        <v>0</v>
      </c>
      <c r="AJ177" s="284" t="n">
        <f aca="false">IF(AND(AJ$4="RDEC", $Y177="Limited Company"), "", T177*$E177*$I177)</f>
        <v>0</v>
      </c>
      <c r="AK177" s="284" t="n">
        <f aca="false">IF(AND(AK$4="RDEC", $Y177="Limited Company"), "", U177*$E177*$I177)</f>
        <v>0</v>
      </c>
      <c r="AL177" s="284" t="n">
        <f aca="false">IF(AND(AL$4="RDEC", $Y177="Limited Company"), "", V177*$E177*$I177)</f>
        <v>0</v>
      </c>
      <c r="AM177" s="284" t="n">
        <f aca="false">IF(AND(AM$4="RDEC", $Y177="Limited Company"), "", W177*$E177*$I177)</f>
        <v>0</v>
      </c>
      <c r="AN177" s="286" t="n">
        <f aca="false">IFERROR(SUMIF($AB$4:$AM$4, "RDEC", AB177:AM177), "")</f>
        <v>0</v>
      </c>
      <c r="AO177" s="286" t="str">
        <f aca="false">IFERROR((IF(Z177="Yes",SUMIF($AB$4:$AM$4,"SME",AB177:AM177),"")),"")</f>
        <v/>
      </c>
      <c r="AP177" s="286" t="n">
        <f aca="false">IFERROR((IF(Z177="No",SUMIF($AB$4:$AM$4,"SME",AB177:AM177),"")),"")</f>
        <v>0</v>
      </c>
      <c r="AQ177" s="286" t="n">
        <f aca="false">IFERROR(SUMIF($AB$4:$AM$4, "De Minimis", AB177:AM177), "")</f>
        <v>0</v>
      </c>
      <c r="AR177" s="283"/>
      <c r="AS177" s="284" t="n">
        <f aca="false">IFERROR(L177*$E177*$J177, "")</f>
        <v>0</v>
      </c>
      <c r="AT177" s="284" t="n">
        <f aca="false">IFERROR(M177*$E177*$J177, "")</f>
        <v>0</v>
      </c>
      <c r="AU177" s="284" t="n">
        <f aca="false">IFERROR(N177*$E177*$J177, "")</f>
        <v>0</v>
      </c>
      <c r="AV177" s="284" t="n">
        <f aca="false">IFERROR(O177*$E177*$J177, "")</f>
        <v>0</v>
      </c>
      <c r="AW177" s="284" t="n">
        <f aca="false">IFERROR(P177*$E177*$J177, "")</f>
        <v>0</v>
      </c>
      <c r="AX177" s="284" t="n">
        <f aca="false">IFERROR(Q177*$E177*$J177, "")</f>
        <v>0</v>
      </c>
      <c r="AY177" s="284" t="n">
        <f aca="false">IFERROR(R177*$E177*$J177, "")</f>
        <v>0</v>
      </c>
      <c r="AZ177" s="284" t="n">
        <f aca="false">IFERROR(S177*$E177*$J177, "")</f>
        <v>0</v>
      </c>
      <c r="BA177" s="284" t="n">
        <f aca="false">IFERROR(T177*$E177*$J177, "")</f>
        <v>0</v>
      </c>
      <c r="BB177" s="284" t="n">
        <f aca="false">IFERROR(U177*$E177*$J177, "")</f>
        <v>0</v>
      </c>
      <c r="BC177" s="284" t="n">
        <f aca="false">IFERROR(V177*$E177*$J177, "")</f>
        <v>0</v>
      </c>
      <c r="BD177" s="284" t="n">
        <f aca="false">IFERROR(W177*$E177*$J177, "")</f>
        <v>0</v>
      </c>
      <c r="BE177" s="286" t="n">
        <f aca="false">IFERROR(SUMIF($AB$4:$AM$4, "RDEC", AS177:BD177), "")</f>
        <v>0</v>
      </c>
      <c r="BF177" s="286" t="n">
        <f aca="false">IFERROR(SUMIF($AB$4:$AM$4, "SME", AS177:BD177), "")</f>
        <v>0</v>
      </c>
      <c r="BG177" s="286" t="n">
        <f aca="false">IFERROR(SUMIF($AB$4:$AM$4, "De Minimis", AS177:BD177), "")</f>
        <v>0</v>
      </c>
      <c r="BH177" s="287"/>
      <c r="BI177" s="288" t="str">
        <f aca="false">IF((SUM(L177:W177)&gt;1),"ERROR","")</f>
        <v/>
      </c>
    </row>
    <row r="178" customFormat="false" ht="15" hidden="false" customHeight="true" outlineLevel="0" collapsed="false">
      <c r="A178" s="340"/>
      <c r="B178" s="350"/>
      <c r="C178" s="350"/>
      <c r="H178" s="350"/>
      <c r="I178" s="279" t="n">
        <v>1</v>
      </c>
      <c r="J178" s="281" t="n">
        <f aca="false">1-I178</f>
        <v>0</v>
      </c>
      <c r="K178" s="32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350"/>
      <c r="Y178" s="381"/>
      <c r="Z178" s="384" t="s">
        <v>71</v>
      </c>
      <c r="AA178" s="283"/>
      <c r="AB178" s="284" t="n">
        <f aca="false">IF(AND(AB$4="RDEC", $Y178="Limited Company"), "", L178*$E178*$I178)</f>
        <v>0</v>
      </c>
      <c r="AC178" s="284" t="n">
        <f aca="false">IF(AND(AC$4="RDEC", $Y178="Limited Company"), "", M178*$E178*$I178)</f>
        <v>0</v>
      </c>
      <c r="AD178" s="284" t="n">
        <f aca="false">IF(AND(AD$4="RDEC", $Y178="Limited Company"), "", N178*$E178*$I178)</f>
        <v>0</v>
      </c>
      <c r="AE178" s="284" t="n">
        <f aca="false">IF(AND(AE$4="RDEC", $Y178="Limited Company"), "", O178*$E178*$I178)</f>
        <v>0</v>
      </c>
      <c r="AF178" s="284" t="n">
        <f aca="false">IF(AND(AF$4="RDEC", $Y178="Limited Company"), "", P178*$E178*$I178)</f>
        <v>0</v>
      </c>
      <c r="AG178" s="284" t="n">
        <f aca="false">IF(AND(AG$4="RDEC", $Y178="Limited Company"), "", Q178*$E178*$I178)</f>
        <v>0</v>
      </c>
      <c r="AH178" s="284" t="n">
        <f aca="false">IF(AND(AH$4="RDEC", $Y178="Limited Company"), "", R178*$E178*$I178)</f>
        <v>0</v>
      </c>
      <c r="AI178" s="284" t="n">
        <f aca="false">IF(AND(AI$4="RDEC", $Y178="Limited Company"), "", S178*$E178*$I178)</f>
        <v>0</v>
      </c>
      <c r="AJ178" s="284" t="n">
        <f aca="false">IF(AND(AJ$4="RDEC", $Y178="Limited Company"), "", T178*$E178*$I178)</f>
        <v>0</v>
      </c>
      <c r="AK178" s="284" t="n">
        <f aca="false">IF(AND(AK$4="RDEC", $Y178="Limited Company"), "", U178*$E178*$I178)</f>
        <v>0</v>
      </c>
      <c r="AL178" s="284" t="n">
        <f aca="false">IF(AND(AL$4="RDEC", $Y178="Limited Company"), "", V178*$E178*$I178)</f>
        <v>0</v>
      </c>
      <c r="AM178" s="284" t="n">
        <f aca="false">IF(AND(AM$4="RDEC", $Y178="Limited Company"), "", W178*$E178*$I178)</f>
        <v>0</v>
      </c>
      <c r="AN178" s="286" t="n">
        <f aca="false">IFERROR(SUMIF($AB$4:$AM$4, "RDEC", AB178:AM178), "")</f>
        <v>0</v>
      </c>
      <c r="AO178" s="286" t="str">
        <f aca="false">IFERROR((IF(Z178="Yes",SUMIF($AB$4:$AM$4,"SME",AB178:AM178),"")),"")</f>
        <v/>
      </c>
      <c r="AP178" s="286" t="n">
        <f aca="false">IFERROR((IF(Z178="No",SUMIF($AB$4:$AM$4,"SME",AB178:AM178),"")),"")</f>
        <v>0</v>
      </c>
      <c r="AQ178" s="286" t="n">
        <f aca="false">IFERROR(SUMIF($AB$4:$AM$4, "De Minimis", AB178:AM178), "")</f>
        <v>0</v>
      </c>
      <c r="AR178" s="283"/>
      <c r="AS178" s="284" t="n">
        <f aca="false">IFERROR(L178*$E178*$J178, "")</f>
        <v>0</v>
      </c>
      <c r="AT178" s="284" t="n">
        <f aca="false">IFERROR(M178*$E178*$J178, "")</f>
        <v>0</v>
      </c>
      <c r="AU178" s="284" t="n">
        <f aca="false">IFERROR(N178*$E178*$J178, "")</f>
        <v>0</v>
      </c>
      <c r="AV178" s="284" t="n">
        <f aca="false">IFERROR(O178*$E178*$J178, "")</f>
        <v>0</v>
      </c>
      <c r="AW178" s="284" t="n">
        <f aca="false">IFERROR(P178*$E178*$J178, "")</f>
        <v>0</v>
      </c>
      <c r="AX178" s="284" t="n">
        <f aca="false">IFERROR(Q178*$E178*$J178, "")</f>
        <v>0</v>
      </c>
      <c r="AY178" s="284" t="n">
        <f aca="false">IFERROR(R178*$E178*$J178, "")</f>
        <v>0</v>
      </c>
      <c r="AZ178" s="284" t="n">
        <f aca="false">IFERROR(S178*$E178*$J178, "")</f>
        <v>0</v>
      </c>
      <c r="BA178" s="284" t="n">
        <f aca="false">IFERROR(T178*$E178*$J178, "")</f>
        <v>0</v>
      </c>
      <c r="BB178" s="284" t="n">
        <f aca="false">IFERROR(U178*$E178*$J178, "")</f>
        <v>0</v>
      </c>
      <c r="BC178" s="284" t="n">
        <f aca="false">IFERROR(V178*$E178*$J178, "")</f>
        <v>0</v>
      </c>
      <c r="BD178" s="284" t="n">
        <f aca="false">IFERROR(W178*$E178*$J178, "")</f>
        <v>0</v>
      </c>
      <c r="BE178" s="286" t="n">
        <f aca="false">IFERROR(SUMIF($AB$4:$AM$4, "RDEC", AS178:BD178), "")</f>
        <v>0</v>
      </c>
      <c r="BF178" s="286" t="n">
        <f aca="false">IFERROR(SUMIF($AB$4:$AM$4, "SME", AS178:BD178), "")</f>
        <v>0</v>
      </c>
      <c r="BG178" s="286" t="n">
        <f aca="false">IFERROR(SUMIF($AB$4:$AM$4, "De Minimis", AS178:BD178), "")</f>
        <v>0</v>
      </c>
      <c r="BH178" s="287"/>
      <c r="BI178" s="288" t="str">
        <f aca="false">IF((SUM(L178:W178)&gt;1),"ERROR","")</f>
        <v/>
      </c>
    </row>
    <row r="179" customFormat="false" ht="15" hidden="false" customHeight="true" outlineLevel="0" collapsed="false">
      <c r="A179" s="340"/>
      <c r="B179" s="350"/>
      <c r="C179" s="350"/>
      <c r="H179" s="350"/>
      <c r="I179" s="279" t="n">
        <v>1</v>
      </c>
      <c r="J179" s="281" t="n">
        <f aca="false">1-I179</f>
        <v>0</v>
      </c>
      <c r="K179" s="32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350"/>
      <c r="Y179" s="381"/>
      <c r="Z179" s="384" t="s">
        <v>71</v>
      </c>
      <c r="AA179" s="283"/>
      <c r="AB179" s="284" t="n">
        <f aca="false">IF(AND(AB$4="RDEC", $Y179="Limited Company"), "", L179*$E179*$I179)</f>
        <v>0</v>
      </c>
      <c r="AC179" s="284" t="n">
        <f aca="false">IF(AND(AC$4="RDEC", $Y179="Limited Company"), "", M179*$E179*$I179)</f>
        <v>0</v>
      </c>
      <c r="AD179" s="284" t="n">
        <f aca="false">IF(AND(AD$4="RDEC", $Y179="Limited Company"), "", N179*$E179*$I179)</f>
        <v>0</v>
      </c>
      <c r="AE179" s="284" t="n">
        <f aca="false">IF(AND(AE$4="RDEC", $Y179="Limited Company"), "", O179*$E179*$I179)</f>
        <v>0</v>
      </c>
      <c r="AF179" s="284" t="n">
        <f aca="false">IF(AND(AF$4="RDEC", $Y179="Limited Company"), "", P179*$E179*$I179)</f>
        <v>0</v>
      </c>
      <c r="AG179" s="284" t="n">
        <f aca="false">IF(AND(AG$4="RDEC", $Y179="Limited Company"), "", Q179*$E179*$I179)</f>
        <v>0</v>
      </c>
      <c r="AH179" s="284" t="n">
        <f aca="false">IF(AND(AH$4="RDEC", $Y179="Limited Company"), "", R179*$E179*$I179)</f>
        <v>0</v>
      </c>
      <c r="AI179" s="284" t="n">
        <f aca="false">IF(AND(AI$4="RDEC", $Y179="Limited Company"), "", S179*$E179*$I179)</f>
        <v>0</v>
      </c>
      <c r="AJ179" s="284" t="n">
        <f aca="false">IF(AND(AJ$4="RDEC", $Y179="Limited Company"), "", T179*$E179*$I179)</f>
        <v>0</v>
      </c>
      <c r="AK179" s="284" t="n">
        <f aca="false">IF(AND(AK$4="RDEC", $Y179="Limited Company"), "", U179*$E179*$I179)</f>
        <v>0</v>
      </c>
      <c r="AL179" s="284" t="n">
        <f aca="false">IF(AND(AL$4="RDEC", $Y179="Limited Company"), "", V179*$E179*$I179)</f>
        <v>0</v>
      </c>
      <c r="AM179" s="284" t="n">
        <f aca="false">IF(AND(AM$4="RDEC", $Y179="Limited Company"), "", W179*$E179*$I179)</f>
        <v>0</v>
      </c>
      <c r="AN179" s="286" t="n">
        <f aca="false">IFERROR(SUMIF($AB$4:$AM$4, "RDEC", AB179:AM179), "")</f>
        <v>0</v>
      </c>
      <c r="AO179" s="286" t="str">
        <f aca="false">IFERROR((IF(Z179="Yes",SUMIF($AB$4:$AM$4,"SME",AB179:AM179),"")),"")</f>
        <v/>
      </c>
      <c r="AP179" s="286" t="n">
        <f aca="false">IFERROR((IF(Z179="No",SUMIF($AB$4:$AM$4,"SME",AB179:AM179),"")),"")</f>
        <v>0</v>
      </c>
      <c r="AQ179" s="286" t="n">
        <f aca="false">IFERROR(SUMIF($AB$4:$AM$4, "De Minimis", AB179:AM179), "")</f>
        <v>0</v>
      </c>
      <c r="AR179" s="283"/>
      <c r="AS179" s="284" t="n">
        <f aca="false">IFERROR(L179*$E179*$J179, "")</f>
        <v>0</v>
      </c>
      <c r="AT179" s="284" t="n">
        <f aca="false">IFERROR(M179*$E179*$J179, "")</f>
        <v>0</v>
      </c>
      <c r="AU179" s="284" t="n">
        <f aca="false">IFERROR(N179*$E179*$J179, "")</f>
        <v>0</v>
      </c>
      <c r="AV179" s="284" t="n">
        <f aca="false">IFERROR(O179*$E179*$J179, "")</f>
        <v>0</v>
      </c>
      <c r="AW179" s="284" t="n">
        <f aca="false">IFERROR(P179*$E179*$J179, "")</f>
        <v>0</v>
      </c>
      <c r="AX179" s="284" t="n">
        <f aca="false">IFERROR(Q179*$E179*$J179, "")</f>
        <v>0</v>
      </c>
      <c r="AY179" s="284" t="n">
        <f aca="false">IFERROR(R179*$E179*$J179, "")</f>
        <v>0</v>
      </c>
      <c r="AZ179" s="284" t="n">
        <f aca="false">IFERROR(S179*$E179*$J179, "")</f>
        <v>0</v>
      </c>
      <c r="BA179" s="284" t="n">
        <f aca="false">IFERROR(T179*$E179*$J179, "")</f>
        <v>0</v>
      </c>
      <c r="BB179" s="284" t="n">
        <f aca="false">IFERROR(U179*$E179*$J179, "")</f>
        <v>0</v>
      </c>
      <c r="BC179" s="284" t="n">
        <f aca="false">IFERROR(V179*$E179*$J179, "")</f>
        <v>0</v>
      </c>
      <c r="BD179" s="284" t="n">
        <f aca="false">IFERROR(W179*$E179*$J179, "")</f>
        <v>0</v>
      </c>
      <c r="BE179" s="286" t="n">
        <f aca="false">IFERROR(SUMIF($AB$4:$AM$4, "RDEC", AS179:BD179), "")</f>
        <v>0</v>
      </c>
      <c r="BF179" s="286" t="n">
        <f aca="false">IFERROR(SUMIF($AB$4:$AM$4, "SME", AS179:BD179), "")</f>
        <v>0</v>
      </c>
      <c r="BG179" s="286" t="n">
        <f aca="false">IFERROR(SUMIF($AB$4:$AM$4, "De Minimis", AS179:BD179), "")</f>
        <v>0</v>
      </c>
      <c r="BH179" s="287"/>
      <c r="BI179" s="288" t="str">
        <f aca="false">IF((SUM(L179:W179)&gt;1),"ERROR","")</f>
        <v/>
      </c>
    </row>
    <row r="180" customFormat="false" ht="15" hidden="false" customHeight="true" outlineLevel="0" collapsed="false">
      <c r="A180" s="340"/>
      <c r="B180" s="350"/>
      <c r="C180" s="350"/>
      <c r="H180" s="350"/>
      <c r="I180" s="279" t="n">
        <v>1</v>
      </c>
      <c r="J180" s="281" t="n">
        <f aca="false">1-I180</f>
        <v>0</v>
      </c>
      <c r="K180" s="32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2"/>
      <c r="V180" s="282"/>
      <c r="W180" s="282"/>
      <c r="X180" s="350"/>
      <c r="Y180" s="381"/>
      <c r="Z180" s="384" t="s">
        <v>71</v>
      </c>
      <c r="AA180" s="283"/>
      <c r="AB180" s="284" t="n">
        <f aca="false">IF(AND(AB$4="RDEC", $Y180="Limited Company"), "", L180*$E180*$I180)</f>
        <v>0</v>
      </c>
      <c r="AC180" s="284" t="n">
        <f aca="false">IF(AND(AC$4="RDEC", $Y180="Limited Company"), "", M180*$E180*$I180)</f>
        <v>0</v>
      </c>
      <c r="AD180" s="284" t="n">
        <f aca="false">IF(AND(AD$4="RDEC", $Y180="Limited Company"), "", N180*$E180*$I180)</f>
        <v>0</v>
      </c>
      <c r="AE180" s="284" t="n">
        <f aca="false">IF(AND(AE$4="RDEC", $Y180="Limited Company"), "", O180*$E180*$I180)</f>
        <v>0</v>
      </c>
      <c r="AF180" s="284" t="n">
        <f aca="false">IF(AND(AF$4="RDEC", $Y180="Limited Company"), "", P180*$E180*$I180)</f>
        <v>0</v>
      </c>
      <c r="AG180" s="284" t="n">
        <f aca="false">IF(AND(AG$4="RDEC", $Y180="Limited Company"), "", Q180*$E180*$I180)</f>
        <v>0</v>
      </c>
      <c r="AH180" s="284" t="n">
        <f aca="false">IF(AND(AH$4="RDEC", $Y180="Limited Company"), "", R180*$E180*$I180)</f>
        <v>0</v>
      </c>
      <c r="AI180" s="284" t="n">
        <f aca="false">IF(AND(AI$4="RDEC", $Y180="Limited Company"), "", S180*$E180*$I180)</f>
        <v>0</v>
      </c>
      <c r="AJ180" s="284" t="n">
        <f aca="false">IF(AND(AJ$4="RDEC", $Y180="Limited Company"), "", T180*$E180*$I180)</f>
        <v>0</v>
      </c>
      <c r="AK180" s="284" t="n">
        <f aca="false">IF(AND(AK$4="RDEC", $Y180="Limited Company"), "", U180*$E180*$I180)</f>
        <v>0</v>
      </c>
      <c r="AL180" s="284" t="n">
        <f aca="false">IF(AND(AL$4="RDEC", $Y180="Limited Company"), "", V180*$E180*$I180)</f>
        <v>0</v>
      </c>
      <c r="AM180" s="284" t="n">
        <f aca="false">IF(AND(AM$4="RDEC", $Y180="Limited Company"), "", W180*$E180*$I180)</f>
        <v>0</v>
      </c>
      <c r="AN180" s="286" t="n">
        <f aca="false">IFERROR(SUMIF($AB$4:$AM$4, "RDEC", AB180:AM180), "")</f>
        <v>0</v>
      </c>
      <c r="AO180" s="286" t="str">
        <f aca="false">IFERROR((IF(Z180="Yes",SUMIF($AB$4:$AM$4,"SME",AB180:AM180),"")),"")</f>
        <v/>
      </c>
      <c r="AP180" s="286" t="n">
        <f aca="false">IFERROR((IF(Z180="No",SUMIF($AB$4:$AM$4,"SME",AB180:AM180),"")),"")</f>
        <v>0</v>
      </c>
      <c r="AQ180" s="286" t="n">
        <f aca="false">IFERROR(SUMIF($AB$4:$AM$4, "De Minimis", AB180:AM180), "")</f>
        <v>0</v>
      </c>
      <c r="AR180" s="283"/>
      <c r="AS180" s="284" t="n">
        <f aca="false">IFERROR(L180*$E180*$J180, "")</f>
        <v>0</v>
      </c>
      <c r="AT180" s="284" t="n">
        <f aca="false">IFERROR(M180*$E180*$J180, "")</f>
        <v>0</v>
      </c>
      <c r="AU180" s="284" t="n">
        <f aca="false">IFERROR(N180*$E180*$J180, "")</f>
        <v>0</v>
      </c>
      <c r="AV180" s="284" t="n">
        <f aca="false">IFERROR(O180*$E180*$J180, "")</f>
        <v>0</v>
      </c>
      <c r="AW180" s="284" t="n">
        <f aca="false">IFERROR(P180*$E180*$J180, "")</f>
        <v>0</v>
      </c>
      <c r="AX180" s="284" t="n">
        <f aca="false">IFERROR(Q180*$E180*$J180, "")</f>
        <v>0</v>
      </c>
      <c r="AY180" s="284" t="n">
        <f aca="false">IFERROR(R180*$E180*$J180, "")</f>
        <v>0</v>
      </c>
      <c r="AZ180" s="284" t="n">
        <f aca="false">IFERROR(S180*$E180*$J180, "")</f>
        <v>0</v>
      </c>
      <c r="BA180" s="284" t="n">
        <f aca="false">IFERROR(T180*$E180*$J180, "")</f>
        <v>0</v>
      </c>
      <c r="BB180" s="284" t="n">
        <f aca="false">IFERROR(U180*$E180*$J180, "")</f>
        <v>0</v>
      </c>
      <c r="BC180" s="284" t="n">
        <f aca="false">IFERROR(V180*$E180*$J180, "")</f>
        <v>0</v>
      </c>
      <c r="BD180" s="284" t="n">
        <f aca="false">IFERROR(W180*$E180*$J180, "")</f>
        <v>0</v>
      </c>
      <c r="BE180" s="286" t="n">
        <f aca="false">IFERROR(SUMIF($AB$4:$AM$4, "RDEC", AS180:BD180), "")</f>
        <v>0</v>
      </c>
      <c r="BF180" s="286" t="n">
        <f aca="false">IFERROR(SUMIF($AB$4:$AM$4, "SME", AS180:BD180), "")</f>
        <v>0</v>
      </c>
      <c r="BG180" s="286" t="n">
        <f aca="false">IFERROR(SUMIF($AB$4:$AM$4, "De Minimis", AS180:BD180), "")</f>
        <v>0</v>
      </c>
      <c r="BH180" s="287"/>
      <c r="BI180" s="288" t="str">
        <f aca="false">IF((SUM(L180:W180)&gt;1),"ERROR","")</f>
        <v/>
      </c>
    </row>
    <row r="181" customFormat="false" ht="15" hidden="false" customHeight="true" outlineLevel="0" collapsed="false">
      <c r="A181" s="340"/>
      <c r="B181" s="350"/>
      <c r="C181" s="350"/>
      <c r="H181" s="350"/>
      <c r="I181" s="279" t="n">
        <v>1</v>
      </c>
      <c r="J181" s="281" t="n">
        <f aca="false">1-I181</f>
        <v>0</v>
      </c>
      <c r="K181" s="32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2"/>
      <c r="V181" s="282"/>
      <c r="W181" s="282"/>
      <c r="X181" s="350"/>
      <c r="Y181" s="381"/>
      <c r="Z181" s="384" t="s">
        <v>71</v>
      </c>
      <c r="AA181" s="283"/>
      <c r="AB181" s="284" t="n">
        <f aca="false">IF(AND(AB$4="RDEC", $Y181="Limited Company"), "", L181*$E181*$I181)</f>
        <v>0</v>
      </c>
      <c r="AC181" s="284" t="n">
        <f aca="false">IF(AND(AC$4="RDEC", $Y181="Limited Company"), "", M181*$E181*$I181)</f>
        <v>0</v>
      </c>
      <c r="AD181" s="284" t="n">
        <f aca="false">IF(AND(AD$4="RDEC", $Y181="Limited Company"), "", N181*$E181*$I181)</f>
        <v>0</v>
      </c>
      <c r="AE181" s="284" t="n">
        <f aca="false">IF(AND(AE$4="RDEC", $Y181="Limited Company"), "", O181*$E181*$I181)</f>
        <v>0</v>
      </c>
      <c r="AF181" s="284" t="n">
        <f aca="false">IF(AND(AF$4="RDEC", $Y181="Limited Company"), "", P181*$E181*$I181)</f>
        <v>0</v>
      </c>
      <c r="AG181" s="284" t="n">
        <f aca="false">IF(AND(AG$4="RDEC", $Y181="Limited Company"), "", Q181*$E181*$I181)</f>
        <v>0</v>
      </c>
      <c r="AH181" s="284" t="n">
        <f aca="false">IF(AND(AH$4="RDEC", $Y181="Limited Company"), "", R181*$E181*$I181)</f>
        <v>0</v>
      </c>
      <c r="AI181" s="284" t="n">
        <f aca="false">IF(AND(AI$4="RDEC", $Y181="Limited Company"), "", S181*$E181*$I181)</f>
        <v>0</v>
      </c>
      <c r="AJ181" s="284" t="n">
        <f aca="false">IF(AND(AJ$4="RDEC", $Y181="Limited Company"), "", T181*$E181*$I181)</f>
        <v>0</v>
      </c>
      <c r="AK181" s="284" t="n">
        <f aca="false">IF(AND(AK$4="RDEC", $Y181="Limited Company"), "", U181*$E181*$I181)</f>
        <v>0</v>
      </c>
      <c r="AL181" s="284" t="n">
        <f aca="false">IF(AND(AL$4="RDEC", $Y181="Limited Company"), "", V181*$E181*$I181)</f>
        <v>0</v>
      </c>
      <c r="AM181" s="284" t="n">
        <f aca="false">IF(AND(AM$4="RDEC", $Y181="Limited Company"), "", W181*$E181*$I181)</f>
        <v>0</v>
      </c>
      <c r="AN181" s="286" t="n">
        <f aca="false">IFERROR(SUMIF($AB$4:$AM$4, "RDEC", AB181:AM181), "")</f>
        <v>0</v>
      </c>
      <c r="AO181" s="286" t="str">
        <f aca="false">IFERROR((IF(Z181="Yes",SUMIF($AB$4:$AM$4,"SME",AB181:AM181),"")),"")</f>
        <v/>
      </c>
      <c r="AP181" s="286" t="n">
        <f aca="false">IFERROR((IF(Z181="No",SUMIF($AB$4:$AM$4,"SME",AB181:AM181),"")),"")</f>
        <v>0</v>
      </c>
      <c r="AQ181" s="286" t="n">
        <f aca="false">IFERROR(SUMIF($AB$4:$AM$4, "De Minimis", AB181:AM181), "")</f>
        <v>0</v>
      </c>
      <c r="AR181" s="283"/>
      <c r="AS181" s="284" t="n">
        <f aca="false">IFERROR(L181*$E181*$J181, "")</f>
        <v>0</v>
      </c>
      <c r="AT181" s="284" t="n">
        <f aca="false">IFERROR(M181*$E181*$J181, "")</f>
        <v>0</v>
      </c>
      <c r="AU181" s="284" t="n">
        <f aca="false">IFERROR(N181*$E181*$J181, "")</f>
        <v>0</v>
      </c>
      <c r="AV181" s="284" t="n">
        <f aca="false">IFERROR(O181*$E181*$J181, "")</f>
        <v>0</v>
      </c>
      <c r="AW181" s="284" t="n">
        <f aca="false">IFERROR(P181*$E181*$J181, "")</f>
        <v>0</v>
      </c>
      <c r="AX181" s="284" t="n">
        <f aca="false">IFERROR(Q181*$E181*$J181, "")</f>
        <v>0</v>
      </c>
      <c r="AY181" s="284" t="n">
        <f aca="false">IFERROR(R181*$E181*$J181, "")</f>
        <v>0</v>
      </c>
      <c r="AZ181" s="284" t="n">
        <f aca="false">IFERROR(S181*$E181*$J181, "")</f>
        <v>0</v>
      </c>
      <c r="BA181" s="284" t="n">
        <f aca="false">IFERROR(T181*$E181*$J181, "")</f>
        <v>0</v>
      </c>
      <c r="BB181" s="284" t="n">
        <f aca="false">IFERROR(U181*$E181*$J181, "")</f>
        <v>0</v>
      </c>
      <c r="BC181" s="284" t="n">
        <f aca="false">IFERROR(V181*$E181*$J181, "")</f>
        <v>0</v>
      </c>
      <c r="BD181" s="284" t="n">
        <f aca="false">IFERROR(W181*$E181*$J181, "")</f>
        <v>0</v>
      </c>
      <c r="BE181" s="286" t="n">
        <f aca="false">IFERROR(SUMIF($AB$4:$AM$4, "RDEC", AS181:BD181), "")</f>
        <v>0</v>
      </c>
      <c r="BF181" s="286" t="n">
        <f aca="false">IFERROR(SUMIF($AB$4:$AM$4, "SME", AS181:BD181), "")</f>
        <v>0</v>
      </c>
      <c r="BG181" s="286" t="n">
        <f aca="false">IFERROR(SUMIF($AB$4:$AM$4, "De Minimis", AS181:BD181), "")</f>
        <v>0</v>
      </c>
      <c r="BH181" s="287"/>
      <c r="BI181" s="288" t="str">
        <f aca="false">IF((SUM(L181:W181)&gt;1),"ERROR","")</f>
        <v/>
      </c>
    </row>
    <row r="182" customFormat="false" ht="15" hidden="false" customHeight="true" outlineLevel="0" collapsed="false">
      <c r="A182" s="340"/>
      <c r="B182" s="350"/>
      <c r="C182" s="350"/>
      <c r="H182" s="350"/>
      <c r="I182" s="279" t="n">
        <v>1</v>
      </c>
      <c r="J182" s="281" t="n">
        <f aca="false">1-I182</f>
        <v>0</v>
      </c>
      <c r="K182" s="32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W182" s="282"/>
      <c r="X182" s="350"/>
      <c r="Y182" s="381"/>
      <c r="Z182" s="384" t="s">
        <v>71</v>
      </c>
      <c r="AA182" s="283"/>
      <c r="AB182" s="284" t="n">
        <f aca="false">IF(AND(AB$4="RDEC", $Y182="Limited Company"), "", L182*$E182*$I182)</f>
        <v>0</v>
      </c>
      <c r="AC182" s="284" t="n">
        <f aca="false">IF(AND(AC$4="RDEC", $Y182="Limited Company"), "", M182*$E182*$I182)</f>
        <v>0</v>
      </c>
      <c r="AD182" s="284" t="n">
        <f aca="false">IF(AND(AD$4="RDEC", $Y182="Limited Company"), "", N182*$E182*$I182)</f>
        <v>0</v>
      </c>
      <c r="AE182" s="284" t="n">
        <f aca="false">IF(AND(AE$4="RDEC", $Y182="Limited Company"), "", O182*$E182*$I182)</f>
        <v>0</v>
      </c>
      <c r="AF182" s="284" t="n">
        <f aca="false">IF(AND(AF$4="RDEC", $Y182="Limited Company"), "", P182*$E182*$I182)</f>
        <v>0</v>
      </c>
      <c r="AG182" s="284" t="n">
        <f aca="false">IF(AND(AG$4="RDEC", $Y182="Limited Company"), "", Q182*$E182*$I182)</f>
        <v>0</v>
      </c>
      <c r="AH182" s="284" t="n">
        <f aca="false">IF(AND(AH$4="RDEC", $Y182="Limited Company"), "", R182*$E182*$I182)</f>
        <v>0</v>
      </c>
      <c r="AI182" s="284" t="n">
        <f aca="false">IF(AND(AI$4="RDEC", $Y182="Limited Company"), "", S182*$E182*$I182)</f>
        <v>0</v>
      </c>
      <c r="AJ182" s="284" t="n">
        <f aca="false">IF(AND(AJ$4="RDEC", $Y182="Limited Company"), "", T182*$E182*$I182)</f>
        <v>0</v>
      </c>
      <c r="AK182" s="284" t="n">
        <f aca="false">IF(AND(AK$4="RDEC", $Y182="Limited Company"), "", U182*$E182*$I182)</f>
        <v>0</v>
      </c>
      <c r="AL182" s="284" t="n">
        <f aca="false">IF(AND(AL$4="RDEC", $Y182="Limited Company"), "", V182*$E182*$I182)</f>
        <v>0</v>
      </c>
      <c r="AM182" s="284" t="n">
        <f aca="false">IF(AND(AM$4="RDEC", $Y182="Limited Company"), "", W182*$E182*$I182)</f>
        <v>0</v>
      </c>
      <c r="AN182" s="286" t="n">
        <f aca="false">IFERROR(SUMIF($AB$4:$AM$4, "RDEC", AB182:AM182), "")</f>
        <v>0</v>
      </c>
      <c r="AO182" s="286" t="str">
        <f aca="false">IFERROR((IF(Z182="Yes",SUMIF($AB$4:$AM$4,"SME",AB182:AM182),"")),"")</f>
        <v/>
      </c>
      <c r="AP182" s="286" t="n">
        <f aca="false">IFERROR((IF(Z182="No",SUMIF($AB$4:$AM$4,"SME",AB182:AM182),"")),"")</f>
        <v>0</v>
      </c>
      <c r="AQ182" s="286" t="n">
        <f aca="false">IFERROR(SUMIF($AB$4:$AM$4, "De Minimis", AB182:AM182), "")</f>
        <v>0</v>
      </c>
      <c r="AR182" s="283"/>
      <c r="AS182" s="284" t="n">
        <f aca="false">IFERROR(L182*$E182*$J182, "")</f>
        <v>0</v>
      </c>
      <c r="AT182" s="284" t="n">
        <f aca="false">IFERROR(M182*$E182*$J182, "")</f>
        <v>0</v>
      </c>
      <c r="AU182" s="284" t="n">
        <f aca="false">IFERROR(N182*$E182*$J182, "")</f>
        <v>0</v>
      </c>
      <c r="AV182" s="284" t="n">
        <f aca="false">IFERROR(O182*$E182*$J182, "")</f>
        <v>0</v>
      </c>
      <c r="AW182" s="284" t="n">
        <f aca="false">IFERROR(P182*$E182*$J182, "")</f>
        <v>0</v>
      </c>
      <c r="AX182" s="284" t="n">
        <f aca="false">IFERROR(Q182*$E182*$J182, "")</f>
        <v>0</v>
      </c>
      <c r="AY182" s="284" t="n">
        <f aca="false">IFERROR(R182*$E182*$J182, "")</f>
        <v>0</v>
      </c>
      <c r="AZ182" s="284" t="n">
        <f aca="false">IFERROR(S182*$E182*$J182, "")</f>
        <v>0</v>
      </c>
      <c r="BA182" s="284" t="n">
        <f aca="false">IFERROR(T182*$E182*$J182, "")</f>
        <v>0</v>
      </c>
      <c r="BB182" s="284" t="n">
        <f aca="false">IFERROR(U182*$E182*$J182, "")</f>
        <v>0</v>
      </c>
      <c r="BC182" s="284" t="n">
        <f aca="false">IFERROR(V182*$E182*$J182, "")</f>
        <v>0</v>
      </c>
      <c r="BD182" s="284" t="n">
        <f aca="false">IFERROR(W182*$E182*$J182, "")</f>
        <v>0</v>
      </c>
      <c r="BE182" s="286" t="n">
        <f aca="false">IFERROR(SUMIF($AB$4:$AM$4, "RDEC", AS182:BD182), "")</f>
        <v>0</v>
      </c>
      <c r="BF182" s="286" t="n">
        <f aca="false">IFERROR(SUMIF($AB$4:$AM$4, "SME", AS182:BD182), "")</f>
        <v>0</v>
      </c>
      <c r="BG182" s="286" t="n">
        <f aca="false">IFERROR(SUMIF($AB$4:$AM$4, "De Minimis", AS182:BD182), "")</f>
        <v>0</v>
      </c>
      <c r="BH182" s="287"/>
      <c r="BI182" s="288" t="str">
        <f aca="false">IF((SUM(L182:W182)&gt;1),"ERROR","")</f>
        <v/>
      </c>
    </row>
    <row r="183" customFormat="false" ht="15" hidden="false" customHeight="true" outlineLevel="0" collapsed="false">
      <c r="A183" s="340"/>
      <c r="B183" s="350"/>
      <c r="C183" s="350"/>
      <c r="H183" s="350"/>
      <c r="I183" s="279" t="n">
        <v>1</v>
      </c>
      <c r="J183" s="281" t="n">
        <f aca="false">1-I183</f>
        <v>0</v>
      </c>
      <c r="K183" s="32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350"/>
      <c r="Y183" s="381"/>
      <c r="Z183" s="384" t="s">
        <v>71</v>
      </c>
      <c r="AA183" s="283"/>
      <c r="AB183" s="284" t="n">
        <f aca="false">IF(AND(AB$4="RDEC", $Y183="Limited Company"), "", L183*$E183*$I183)</f>
        <v>0</v>
      </c>
      <c r="AC183" s="284" t="n">
        <f aca="false">IF(AND(AC$4="RDEC", $Y183="Limited Company"), "", M183*$E183*$I183)</f>
        <v>0</v>
      </c>
      <c r="AD183" s="284" t="n">
        <f aca="false">IF(AND(AD$4="RDEC", $Y183="Limited Company"), "", N183*$E183*$I183)</f>
        <v>0</v>
      </c>
      <c r="AE183" s="284" t="n">
        <f aca="false">IF(AND(AE$4="RDEC", $Y183="Limited Company"), "", O183*$E183*$I183)</f>
        <v>0</v>
      </c>
      <c r="AF183" s="284" t="n">
        <f aca="false">IF(AND(AF$4="RDEC", $Y183="Limited Company"), "", P183*$E183*$I183)</f>
        <v>0</v>
      </c>
      <c r="AG183" s="284" t="n">
        <f aca="false">IF(AND(AG$4="RDEC", $Y183="Limited Company"), "", Q183*$E183*$I183)</f>
        <v>0</v>
      </c>
      <c r="AH183" s="284" t="n">
        <f aca="false">IF(AND(AH$4="RDEC", $Y183="Limited Company"), "", R183*$E183*$I183)</f>
        <v>0</v>
      </c>
      <c r="AI183" s="284" t="n">
        <f aca="false">IF(AND(AI$4="RDEC", $Y183="Limited Company"), "", S183*$E183*$I183)</f>
        <v>0</v>
      </c>
      <c r="AJ183" s="284" t="n">
        <f aca="false">IF(AND(AJ$4="RDEC", $Y183="Limited Company"), "", T183*$E183*$I183)</f>
        <v>0</v>
      </c>
      <c r="AK183" s="284" t="n">
        <f aca="false">IF(AND(AK$4="RDEC", $Y183="Limited Company"), "", U183*$E183*$I183)</f>
        <v>0</v>
      </c>
      <c r="AL183" s="284" t="n">
        <f aca="false">IF(AND(AL$4="RDEC", $Y183="Limited Company"), "", V183*$E183*$I183)</f>
        <v>0</v>
      </c>
      <c r="AM183" s="284" t="n">
        <f aca="false">IF(AND(AM$4="RDEC", $Y183="Limited Company"), "", W183*$E183*$I183)</f>
        <v>0</v>
      </c>
      <c r="AN183" s="286" t="n">
        <f aca="false">IFERROR(SUMIF($AB$4:$AM$4, "RDEC", AB183:AM183), "")</f>
        <v>0</v>
      </c>
      <c r="AO183" s="286" t="str">
        <f aca="false">IFERROR((IF(Z183="Yes",SUMIF($AB$4:$AM$4,"SME",AB183:AM183),"")),"")</f>
        <v/>
      </c>
      <c r="AP183" s="286" t="n">
        <f aca="false">IFERROR((IF(Z183="No",SUMIF($AB$4:$AM$4,"SME",AB183:AM183),"")),"")</f>
        <v>0</v>
      </c>
      <c r="AQ183" s="286" t="n">
        <f aca="false">IFERROR(SUMIF($AB$4:$AM$4, "De Minimis", AB183:AM183), "")</f>
        <v>0</v>
      </c>
      <c r="AR183" s="283"/>
      <c r="AS183" s="284" t="n">
        <f aca="false">IFERROR(L183*$E183*$J183, "")</f>
        <v>0</v>
      </c>
      <c r="AT183" s="284" t="n">
        <f aca="false">IFERROR(M183*$E183*$J183, "")</f>
        <v>0</v>
      </c>
      <c r="AU183" s="284" t="n">
        <f aca="false">IFERROR(N183*$E183*$J183, "")</f>
        <v>0</v>
      </c>
      <c r="AV183" s="284" t="n">
        <f aca="false">IFERROR(O183*$E183*$J183, "")</f>
        <v>0</v>
      </c>
      <c r="AW183" s="284" t="n">
        <f aca="false">IFERROR(P183*$E183*$J183, "")</f>
        <v>0</v>
      </c>
      <c r="AX183" s="284" t="n">
        <f aca="false">IFERROR(Q183*$E183*$J183, "")</f>
        <v>0</v>
      </c>
      <c r="AY183" s="284" t="n">
        <f aca="false">IFERROR(R183*$E183*$J183, "")</f>
        <v>0</v>
      </c>
      <c r="AZ183" s="284" t="n">
        <f aca="false">IFERROR(S183*$E183*$J183, "")</f>
        <v>0</v>
      </c>
      <c r="BA183" s="284" t="n">
        <f aca="false">IFERROR(T183*$E183*$J183, "")</f>
        <v>0</v>
      </c>
      <c r="BB183" s="284" t="n">
        <f aca="false">IFERROR(U183*$E183*$J183, "")</f>
        <v>0</v>
      </c>
      <c r="BC183" s="284" t="n">
        <f aca="false">IFERROR(V183*$E183*$J183, "")</f>
        <v>0</v>
      </c>
      <c r="BD183" s="284" t="n">
        <f aca="false">IFERROR(W183*$E183*$J183, "")</f>
        <v>0</v>
      </c>
      <c r="BE183" s="286" t="n">
        <f aca="false">IFERROR(SUMIF($AB$4:$AM$4, "RDEC", AS183:BD183), "")</f>
        <v>0</v>
      </c>
      <c r="BF183" s="286" t="n">
        <f aca="false">IFERROR(SUMIF($AB$4:$AM$4, "SME", AS183:BD183), "")</f>
        <v>0</v>
      </c>
      <c r="BG183" s="286" t="n">
        <f aca="false">IFERROR(SUMIF($AB$4:$AM$4, "De Minimis", AS183:BD183), "")</f>
        <v>0</v>
      </c>
      <c r="BH183" s="287"/>
      <c r="BI183" s="288" t="str">
        <f aca="false">IF((SUM(L183:W183)&gt;1),"ERROR","")</f>
        <v/>
      </c>
    </row>
    <row r="184" customFormat="false" ht="15" hidden="false" customHeight="true" outlineLevel="0" collapsed="false">
      <c r="A184" s="340"/>
      <c r="B184" s="350"/>
      <c r="C184" s="350"/>
      <c r="H184" s="350"/>
      <c r="I184" s="279" t="n">
        <v>1</v>
      </c>
      <c r="J184" s="281" t="n">
        <f aca="false">1-I184</f>
        <v>0</v>
      </c>
      <c r="K184" s="32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2"/>
      <c r="V184" s="282"/>
      <c r="W184" s="282"/>
      <c r="X184" s="350"/>
      <c r="Y184" s="381"/>
      <c r="Z184" s="384" t="s">
        <v>71</v>
      </c>
      <c r="AA184" s="283"/>
      <c r="AB184" s="284" t="n">
        <f aca="false">IF(AND(AB$4="RDEC", $Y184="Limited Company"), "", L184*$E184*$I184)</f>
        <v>0</v>
      </c>
      <c r="AC184" s="284" t="n">
        <f aca="false">IF(AND(AC$4="RDEC", $Y184="Limited Company"), "", M184*$E184*$I184)</f>
        <v>0</v>
      </c>
      <c r="AD184" s="284" t="n">
        <f aca="false">IF(AND(AD$4="RDEC", $Y184="Limited Company"), "", N184*$E184*$I184)</f>
        <v>0</v>
      </c>
      <c r="AE184" s="284" t="n">
        <f aca="false">IF(AND(AE$4="RDEC", $Y184="Limited Company"), "", O184*$E184*$I184)</f>
        <v>0</v>
      </c>
      <c r="AF184" s="284" t="n">
        <f aca="false">IF(AND(AF$4="RDEC", $Y184="Limited Company"), "", P184*$E184*$I184)</f>
        <v>0</v>
      </c>
      <c r="AG184" s="284" t="n">
        <f aca="false">IF(AND(AG$4="RDEC", $Y184="Limited Company"), "", Q184*$E184*$I184)</f>
        <v>0</v>
      </c>
      <c r="AH184" s="284" t="n">
        <f aca="false">IF(AND(AH$4="RDEC", $Y184="Limited Company"), "", R184*$E184*$I184)</f>
        <v>0</v>
      </c>
      <c r="AI184" s="284" t="n">
        <f aca="false">IF(AND(AI$4="RDEC", $Y184="Limited Company"), "", S184*$E184*$I184)</f>
        <v>0</v>
      </c>
      <c r="AJ184" s="284" t="n">
        <f aca="false">IF(AND(AJ$4="RDEC", $Y184="Limited Company"), "", T184*$E184*$I184)</f>
        <v>0</v>
      </c>
      <c r="AK184" s="284" t="n">
        <f aca="false">IF(AND(AK$4="RDEC", $Y184="Limited Company"), "", U184*$E184*$I184)</f>
        <v>0</v>
      </c>
      <c r="AL184" s="284" t="n">
        <f aca="false">IF(AND(AL$4="RDEC", $Y184="Limited Company"), "", V184*$E184*$I184)</f>
        <v>0</v>
      </c>
      <c r="AM184" s="284" t="n">
        <f aca="false">IF(AND(AM$4="RDEC", $Y184="Limited Company"), "", W184*$E184*$I184)</f>
        <v>0</v>
      </c>
      <c r="AN184" s="286" t="n">
        <f aca="false">IFERROR(SUMIF($AB$4:$AM$4, "RDEC", AB184:AM184), "")</f>
        <v>0</v>
      </c>
      <c r="AO184" s="286" t="str">
        <f aca="false">IFERROR((IF(Z184="Yes",SUMIF($AB$4:$AM$4,"SME",AB184:AM184),"")),"")</f>
        <v/>
      </c>
      <c r="AP184" s="286" t="n">
        <f aca="false">IFERROR((IF(Z184="No",SUMIF($AB$4:$AM$4,"SME",AB184:AM184),"")),"")</f>
        <v>0</v>
      </c>
      <c r="AQ184" s="286" t="n">
        <f aca="false">IFERROR(SUMIF($AB$4:$AM$4, "De Minimis", AB184:AM184), "")</f>
        <v>0</v>
      </c>
      <c r="AR184" s="283"/>
      <c r="AS184" s="284" t="n">
        <f aca="false">IFERROR(L184*$E184*$J184, "")</f>
        <v>0</v>
      </c>
      <c r="AT184" s="284" t="n">
        <f aca="false">IFERROR(M184*$E184*$J184, "")</f>
        <v>0</v>
      </c>
      <c r="AU184" s="284" t="n">
        <f aca="false">IFERROR(N184*$E184*$J184, "")</f>
        <v>0</v>
      </c>
      <c r="AV184" s="284" t="n">
        <f aca="false">IFERROR(O184*$E184*$J184, "")</f>
        <v>0</v>
      </c>
      <c r="AW184" s="284" t="n">
        <f aca="false">IFERROR(P184*$E184*$J184, "")</f>
        <v>0</v>
      </c>
      <c r="AX184" s="284" t="n">
        <f aca="false">IFERROR(Q184*$E184*$J184, "")</f>
        <v>0</v>
      </c>
      <c r="AY184" s="284" t="n">
        <f aca="false">IFERROR(R184*$E184*$J184, "")</f>
        <v>0</v>
      </c>
      <c r="AZ184" s="284" t="n">
        <f aca="false">IFERROR(S184*$E184*$J184, "")</f>
        <v>0</v>
      </c>
      <c r="BA184" s="284" t="n">
        <f aca="false">IFERROR(T184*$E184*$J184, "")</f>
        <v>0</v>
      </c>
      <c r="BB184" s="284" t="n">
        <f aca="false">IFERROR(U184*$E184*$J184, "")</f>
        <v>0</v>
      </c>
      <c r="BC184" s="284" t="n">
        <f aca="false">IFERROR(V184*$E184*$J184, "")</f>
        <v>0</v>
      </c>
      <c r="BD184" s="284" t="n">
        <f aca="false">IFERROR(W184*$E184*$J184, "")</f>
        <v>0</v>
      </c>
      <c r="BE184" s="286" t="n">
        <f aca="false">IFERROR(SUMIF($AB$4:$AM$4, "RDEC", AS184:BD184), "")</f>
        <v>0</v>
      </c>
      <c r="BF184" s="286" t="n">
        <f aca="false">IFERROR(SUMIF($AB$4:$AM$4, "SME", AS184:BD184), "")</f>
        <v>0</v>
      </c>
      <c r="BG184" s="286" t="n">
        <f aca="false">IFERROR(SUMIF($AB$4:$AM$4, "De Minimis", AS184:BD184), "")</f>
        <v>0</v>
      </c>
      <c r="BH184" s="303"/>
      <c r="BI184" s="288" t="str">
        <f aca="false">IF((SUM(L184:W184)&gt;1),"ERROR","")</f>
        <v/>
      </c>
    </row>
    <row r="185" customFormat="false" ht="15" hidden="false" customHeight="true" outlineLevel="0" collapsed="false">
      <c r="A185" s="340"/>
      <c r="B185" s="350"/>
      <c r="C185" s="350"/>
      <c r="H185" s="350"/>
      <c r="I185" s="279" t="n">
        <v>1</v>
      </c>
      <c r="J185" s="281" t="n">
        <f aca="false">1-I185</f>
        <v>0</v>
      </c>
      <c r="K185" s="32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350"/>
      <c r="Y185" s="381"/>
      <c r="Z185" s="384" t="s">
        <v>71</v>
      </c>
      <c r="AA185" s="283"/>
      <c r="AB185" s="284" t="n">
        <f aca="false">IF(AND(AB$4="RDEC", $Y185="Limited Company"), "", L185*$E185*$I185)</f>
        <v>0</v>
      </c>
      <c r="AC185" s="284" t="n">
        <f aca="false">IF(AND(AC$4="RDEC", $Y185="Limited Company"), "", M185*$E185*$I185)</f>
        <v>0</v>
      </c>
      <c r="AD185" s="284" t="n">
        <f aca="false">IF(AND(AD$4="RDEC", $Y185="Limited Company"), "", N185*$E185*$I185)</f>
        <v>0</v>
      </c>
      <c r="AE185" s="284" t="n">
        <f aca="false">IF(AND(AE$4="RDEC", $Y185="Limited Company"), "", O185*$E185*$I185)</f>
        <v>0</v>
      </c>
      <c r="AF185" s="284" t="n">
        <f aca="false">IF(AND(AF$4="RDEC", $Y185="Limited Company"), "", P185*$E185*$I185)</f>
        <v>0</v>
      </c>
      <c r="AG185" s="284" t="n">
        <f aca="false">IF(AND(AG$4="RDEC", $Y185="Limited Company"), "", Q185*$E185*$I185)</f>
        <v>0</v>
      </c>
      <c r="AH185" s="284" t="n">
        <f aca="false">IF(AND(AH$4="RDEC", $Y185="Limited Company"), "", R185*$E185*$I185)</f>
        <v>0</v>
      </c>
      <c r="AI185" s="284" t="n">
        <f aca="false">IF(AND(AI$4="RDEC", $Y185="Limited Company"), "", S185*$E185*$I185)</f>
        <v>0</v>
      </c>
      <c r="AJ185" s="284" t="n">
        <f aca="false">IF(AND(AJ$4="RDEC", $Y185="Limited Company"), "", T185*$E185*$I185)</f>
        <v>0</v>
      </c>
      <c r="AK185" s="284" t="n">
        <f aca="false">IF(AND(AK$4="RDEC", $Y185="Limited Company"), "", U185*$E185*$I185)</f>
        <v>0</v>
      </c>
      <c r="AL185" s="284" t="n">
        <f aca="false">IF(AND(AL$4="RDEC", $Y185="Limited Company"), "", V185*$E185*$I185)</f>
        <v>0</v>
      </c>
      <c r="AM185" s="284" t="n">
        <f aca="false">IF(AND(AM$4="RDEC", $Y185="Limited Company"), "", W185*$E185*$I185)</f>
        <v>0</v>
      </c>
      <c r="AN185" s="286" t="n">
        <f aca="false">IFERROR(SUMIF($AB$4:$AM$4, "RDEC", AB185:AM185), "")</f>
        <v>0</v>
      </c>
      <c r="AO185" s="286" t="str">
        <f aca="false">IFERROR((IF(Z185="Yes",SUMIF($AB$4:$AM$4,"SME",AB185:AM185),"")),"")</f>
        <v/>
      </c>
      <c r="AP185" s="286" t="n">
        <f aca="false">IFERROR((IF(Z185="No",SUMIF($AB$4:$AM$4,"SME",AB185:AM185),"")),"")</f>
        <v>0</v>
      </c>
      <c r="AQ185" s="286" t="n">
        <f aca="false">IFERROR(SUMIF($AB$4:$AM$4, "De Minimis", AB185:AM185), "")</f>
        <v>0</v>
      </c>
      <c r="AR185" s="283"/>
      <c r="AS185" s="284" t="n">
        <f aca="false">IFERROR(L185*$E185*$J185, "")</f>
        <v>0</v>
      </c>
      <c r="AT185" s="284" t="n">
        <f aca="false">IFERROR(M185*$E185*$J185, "")</f>
        <v>0</v>
      </c>
      <c r="AU185" s="284" t="n">
        <f aca="false">IFERROR(N185*$E185*$J185, "")</f>
        <v>0</v>
      </c>
      <c r="AV185" s="284" t="n">
        <f aca="false">IFERROR(O185*$E185*$J185, "")</f>
        <v>0</v>
      </c>
      <c r="AW185" s="284" t="n">
        <f aca="false">IFERROR(P185*$E185*$J185, "")</f>
        <v>0</v>
      </c>
      <c r="AX185" s="284" t="n">
        <f aca="false">IFERROR(Q185*$E185*$J185, "")</f>
        <v>0</v>
      </c>
      <c r="AY185" s="284" t="n">
        <f aca="false">IFERROR(R185*$E185*$J185, "")</f>
        <v>0</v>
      </c>
      <c r="AZ185" s="284" t="n">
        <f aca="false">IFERROR(S185*$E185*$J185, "")</f>
        <v>0</v>
      </c>
      <c r="BA185" s="284" t="n">
        <f aca="false">IFERROR(T185*$E185*$J185, "")</f>
        <v>0</v>
      </c>
      <c r="BB185" s="284" t="n">
        <f aca="false">IFERROR(U185*$E185*$J185, "")</f>
        <v>0</v>
      </c>
      <c r="BC185" s="284" t="n">
        <f aca="false">IFERROR(V185*$E185*$J185, "")</f>
        <v>0</v>
      </c>
      <c r="BD185" s="284" t="n">
        <f aca="false">IFERROR(W185*$E185*$J185, "")</f>
        <v>0</v>
      </c>
      <c r="BE185" s="286" t="n">
        <f aca="false">IFERROR(SUMIF($AB$4:$AM$4, "RDEC", AS185:BD185), "")</f>
        <v>0</v>
      </c>
      <c r="BF185" s="286" t="n">
        <f aca="false">IFERROR(SUMIF($AB$4:$AM$4, "SME", AS185:BD185), "")</f>
        <v>0</v>
      </c>
      <c r="BG185" s="286" t="n">
        <f aca="false">IFERROR(SUMIF($AB$4:$AM$4, "De Minimis", AS185:BD185), "")</f>
        <v>0</v>
      </c>
      <c r="BI185" s="288" t="str">
        <f aca="false">IF((SUM(L185:W185)&gt;1),"ERROR","")</f>
        <v/>
      </c>
    </row>
    <row r="186" customFormat="false" ht="15" hidden="false" customHeight="true" outlineLevel="0" collapsed="false">
      <c r="A186" s="340"/>
      <c r="B186" s="350"/>
      <c r="C186" s="350"/>
      <c r="H186" s="350"/>
      <c r="I186" s="279" t="n">
        <v>1</v>
      </c>
      <c r="J186" s="281" t="n">
        <f aca="false">1-I186</f>
        <v>0</v>
      </c>
      <c r="K186" s="32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350"/>
      <c r="Y186" s="381"/>
      <c r="Z186" s="384" t="s">
        <v>71</v>
      </c>
      <c r="AA186" s="283"/>
      <c r="AB186" s="284" t="n">
        <f aca="false">IF(AND(AB$4="RDEC", $Y186="Limited Company"), "", L186*$E186*$I186)</f>
        <v>0</v>
      </c>
      <c r="AC186" s="284" t="n">
        <f aca="false">IF(AND(AC$4="RDEC", $Y186="Limited Company"), "", M186*$E186*$I186)</f>
        <v>0</v>
      </c>
      <c r="AD186" s="284" t="n">
        <f aca="false">IF(AND(AD$4="RDEC", $Y186="Limited Company"), "", N186*$E186*$I186)</f>
        <v>0</v>
      </c>
      <c r="AE186" s="284" t="n">
        <f aca="false">IF(AND(AE$4="RDEC", $Y186="Limited Company"), "", O186*$E186*$I186)</f>
        <v>0</v>
      </c>
      <c r="AF186" s="284" t="n">
        <f aca="false">IF(AND(AF$4="RDEC", $Y186="Limited Company"), "", P186*$E186*$I186)</f>
        <v>0</v>
      </c>
      <c r="AG186" s="284" t="n">
        <f aca="false">IF(AND(AG$4="RDEC", $Y186="Limited Company"), "", Q186*$E186*$I186)</f>
        <v>0</v>
      </c>
      <c r="AH186" s="284" t="n">
        <f aca="false">IF(AND(AH$4="RDEC", $Y186="Limited Company"), "", R186*$E186*$I186)</f>
        <v>0</v>
      </c>
      <c r="AI186" s="284" t="n">
        <f aca="false">IF(AND(AI$4="RDEC", $Y186="Limited Company"), "", S186*$E186*$I186)</f>
        <v>0</v>
      </c>
      <c r="AJ186" s="284" t="n">
        <f aca="false">IF(AND(AJ$4="RDEC", $Y186="Limited Company"), "", T186*$E186*$I186)</f>
        <v>0</v>
      </c>
      <c r="AK186" s="284" t="n">
        <f aca="false">IF(AND(AK$4="RDEC", $Y186="Limited Company"), "", U186*$E186*$I186)</f>
        <v>0</v>
      </c>
      <c r="AL186" s="284" t="n">
        <f aca="false">IF(AND(AL$4="RDEC", $Y186="Limited Company"), "", V186*$E186*$I186)</f>
        <v>0</v>
      </c>
      <c r="AM186" s="284" t="n">
        <f aca="false">IF(AND(AM$4="RDEC", $Y186="Limited Company"), "", W186*$E186*$I186)</f>
        <v>0</v>
      </c>
      <c r="AN186" s="286" t="n">
        <f aca="false">IFERROR(SUMIF($AB$4:$AM$4, "RDEC", AB186:AM186), "")</f>
        <v>0</v>
      </c>
      <c r="AO186" s="286" t="str">
        <f aca="false">IFERROR((IF(Z186="Yes",SUMIF($AB$4:$AM$4,"SME",AB186:AM186),"")),"")</f>
        <v/>
      </c>
      <c r="AP186" s="286" t="n">
        <f aca="false">IFERROR((IF(Z186="No",SUMIF($AB$4:$AM$4,"SME",AB186:AM186),"")),"")</f>
        <v>0</v>
      </c>
      <c r="AQ186" s="286" t="n">
        <f aca="false">IFERROR(SUMIF($AB$4:$AM$4, "De Minimis", AB186:AM186), "")</f>
        <v>0</v>
      </c>
      <c r="AR186" s="283"/>
      <c r="AS186" s="284" t="n">
        <f aca="false">IFERROR(L186*$E186*$J186, "")</f>
        <v>0</v>
      </c>
      <c r="AT186" s="284" t="n">
        <f aca="false">IFERROR(M186*$E186*$J186, "")</f>
        <v>0</v>
      </c>
      <c r="AU186" s="284" t="n">
        <f aca="false">IFERROR(N186*$E186*$J186, "")</f>
        <v>0</v>
      </c>
      <c r="AV186" s="284" t="n">
        <f aca="false">IFERROR(O186*$E186*$J186, "")</f>
        <v>0</v>
      </c>
      <c r="AW186" s="284" t="n">
        <f aca="false">IFERROR(P186*$E186*$J186, "")</f>
        <v>0</v>
      </c>
      <c r="AX186" s="284" t="n">
        <f aca="false">IFERROR(Q186*$E186*$J186, "")</f>
        <v>0</v>
      </c>
      <c r="AY186" s="284" t="n">
        <f aca="false">IFERROR(R186*$E186*$J186, "")</f>
        <v>0</v>
      </c>
      <c r="AZ186" s="284" t="n">
        <f aca="false">IFERROR(S186*$E186*$J186, "")</f>
        <v>0</v>
      </c>
      <c r="BA186" s="284" t="n">
        <f aca="false">IFERROR(T186*$E186*$J186, "")</f>
        <v>0</v>
      </c>
      <c r="BB186" s="284" t="n">
        <f aca="false">IFERROR(U186*$E186*$J186, "")</f>
        <v>0</v>
      </c>
      <c r="BC186" s="284" t="n">
        <f aca="false">IFERROR(V186*$E186*$J186, "")</f>
        <v>0</v>
      </c>
      <c r="BD186" s="284" t="n">
        <f aca="false">IFERROR(W186*$E186*$J186, "")</f>
        <v>0</v>
      </c>
      <c r="BE186" s="286" t="n">
        <f aca="false">IFERROR(SUMIF($AB$4:$AM$4, "RDEC", AS186:BD186), "")</f>
        <v>0</v>
      </c>
      <c r="BF186" s="286" t="n">
        <f aca="false">IFERROR(SUMIF($AB$4:$AM$4, "SME", AS186:BD186), "")</f>
        <v>0</v>
      </c>
      <c r="BG186" s="286" t="n">
        <f aca="false">IFERROR(SUMIF($AB$4:$AM$4, "De Minimis", AS186:BD186), "")</f>
        <v>0</v>
      </c>
      <c r="BH186" s="268"/>
      <c r="BI186" s="288" t="str">
        <f aca="false">IF((SUM(L186:W186)&gt;1),"ERROR","")</f>
        <v/>
      </c>
    </row>
    <row r="187" customFormat="false" ht="15" hidden="false" customHeight="true" outlineLevel="0" collapsed="false">
      <c r="A187" s="340"/>
      <c r="B187" s="350"/>
      <c r="C187" s="350"/>
      <c r="H187" s="350"/>
      <c r="I187" s="279" t="n">
        <v>1</v>
      </c>
      <c r="J187" s="281" t="n">
        <f aca="false">1-I187</f>
        <v>0</v>
      </c>
      <c r="K187" s="32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350"/>
      <c r="Y187" s="381"/>
      <c r="Z187" s="384" t="s">
        <v>71</v>
      </c>
      <c r="AA187" s="283"/>
      <c r="AB187" s="284" t="n">
        <f aca="false">IF(AND(AB$4="RDEC", $Y187="Limited Company"), "", L187*$E187*$I187)</f>
        <v>0</v>
      </c>
      <c r="AC187" s="284" t="n">
        <f aca="false">IF(AND(AC$4="RDEC", $Y187="Limited Company"), "", M187*$E187*$I187)</f>
        <v>0</v>
      </c>
      <c r="AD187" s="284" t="n">
        <f aca="false">IF(AND(AD$4="RDEC", $Y187="Limited Company"), "", N187*$E187*$I187)</f>
        <v>0</v>
      </c>
      <c r="AE187" s="284" t="n">
        <f aca="false">IF(AND(AE$4="RDEC", $Y187="Limited Company"), "", O187*$E187*$I187)</f>
        <v>0</v>
      </c>
      <c r="AF187" s="284" t="n">
        <f aca="false">IF(AND(AF$4="RDEC", $Y187="Limited Company"), "", P187*$E187*$I187)</f>
        <v>0</v>
      </c>
      <c r="AG187" s="284" t="n">
        <f aca="false">IF(AND(AG$4="RDEC", $Y187="Limited Company"), "", Q187*$E187*$I187)</f>
        <v>0</v>
      </c>
      <c r="AH187" s="284" t="n">
        <f aca="false">IF(AND(AH$4="RDEC", $Y187="Limited Company"), "", R187*$E187*$I187)</f>
        <v>0</v>
      </c>
      <c r="AI187" s="284" t="n">
        <f aca="false">IF(AND(AI$4="RDEC", $Y187="Limited Company"), "", S187*$E187*$I187)</f>
        <v>0</v>
      </c>
      <c r="AJ187" s="284" t="n">
        <f aca="false">IF(AND(AJ$4="RDEC", $Y187="Limited Company"), "", T187*$E187*$I187)</f>
        <v>0</v>
      </c>
      <c r="AK187" s="284" t="n">
        <f aca="false">IF(AND(AK$4="RDEC", $Y187="Limited Company"), "", U187*$E187*$I187)</f>
        <v>0</v>
      </c>
      <c r="AL187" s="284" t="n">
        <f aca="false">IF(AND(AL$4="RDEC", $Y187="Limited Company"), "", V187*$E187*$I187)</f>
        <v>0</v>
      </c>
      <c r="AM187" s="284" t="n">
        <f aca="false">IF(AND(AM$4="RDEC", $Y187="Limited Company"), "", W187*$E187*$I187)</f>
        <v>0</v>
      </c>
      <c r="AN187" s="286" t="n">
        <f aca="false">IFERROR(SUMIF($AB$4:$AM$4, "RDEC", AB187:AM187), "")</f>
        <v>0</v>
      </c>
      <c r="AO187" s="286" t="str">
        <f aca="false">IFERROR((IF(Z187="Yes",SUMIF($AB$4:$AM$4,"SME",AB187:AM187),"")),"")</f>
        <v/>
      </c>
      <c r="AP187" s="286" t="n">
        <f aca="false">IFERROR((IF(Z187="No",SUMIF($AB$4:$AM$4,"SME",AB187:AM187),"")),"")</f>
        <v>0</v>
      </c>
      <c r="AQ187" s="286" t="n">
        <f aca="false">IFERROR(SUMIF($AB$4:$AM$4, "De Minimis", AB187:AM187), "")</f>
        <v>0</v>
      </c>
      <c r="AR187" s="283"/>
      <c r="AS187" s="284" t="n">
        <f aca="false">IFERROR(L187*$E187*$J187, "")</f>
        <v>0</v>
      </c>
      <c r="AT187" s="284" t="n">
        <f aca="false">IFERROR(M187*$E187*$J187, "")</f>
        <v>0</v>
      </c>
      <c r="AU187" s="284" t="n">
        <f aca="false">IFERROR(N187*$E187*$J187, "")</f>
        <v>0</v>
      </c>
      <c r="AV187" s="284" t="n">
        <f aca="false">IFERROR(O187*$E187*$J187, "")</f>
        <v>0</v>
      </c>
      <c r="AW187" s="284" t="n">
        <f aca="false">IFERROR(P187*$E187*$J187, "")</f>
        <v>0</v>
      </c>
      <c r="AX187" s="284" t="n">
        <f aca="false">IFERROR(Q187*$E187*$J187, "")</f>
        <v>0</v>
      </c>
      <c r="AY187" s="284" t="n">
        <f aca="false">IFERROR(R187*$E187*$J187, "")</f>
        <v>0</v>
      </c>
      <c r="AZ187" s="284" t="n">
        <f aca="false">IFERROR(S187*$E187*$J187, "")</f>
        <v>0</v>
      </c>
      <c r="BA187" s="284" t="n">
        <f aca="false">IFERROR(T187*$E187*$J187, "")</f>
        <v>0</v>
      </c>
      <c r="BB187" s="284" t="n">
        <f aca="false">IFERROR(U187*$E187*$J187, "")</f>
        <v>0</v>
      </c>
      <c r="BC187" s="284" t="n">
        <f aca="false">IFERROR(V187*$E187*$J187, "")</f>
        <v>0</v>
      </c>
      <c r="BD187" s="284" t="n">
        <f aca="false">IFERROR(W187*$E187*$J187, "")</f>
        <v>0</v>
      </c>
      <c r="BE187" s="286" t="n">
        <f aca="false">IFERROR(SUMIF($AB$4:$AM$4, "RDEC", AS187:BD187), "")</f>
        <v>0</v>
      </c>
      <c r="BF187" s="286" t="n">
        <f aca="false">IFERROR(SUMIF($AB$4:$AM$4, "SME", AS187:BD187), "")</f>
        <v>0</v>
      </c>
      <c r="BG187" s="286" t="n">
        <f aca="false">IFERROR(SUMIF($AB$4:$AM$4, "De Minimis", AS187:BD187), "")</f>
        <v>0</v>
      </c>
      <c r="BH187" s="287"/>
      <c r="BI187" s="288" t="str">
        <f aca="false">IF((SUM(L187:W187)&gt;1),"ERROR","")</f>
        <v/>
      </c>
    </row>
    <row r="188" customFormat="false" ht="15" hidden="false" customHeight="true" outlineLevel="0" collapsed="false">
      <c r="A188" s="340"/>
      <c r="B188" s="350"/>
      <c r="C188" s="350"/>
      <c r="H188" s="350"/>
      <c r="I188" s="279" t="n">
        <v>1</v>
      </c>
      <c r="J188" s="281" t="n">
        <f aca="false">1-I188</f>
        <v>0</v>
      </c>
      <c r="K188" s="32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350"/>
      <c r="Y188" s="381"/>
      <c r="Z188" s="384" t="s">
        <v>71</v>
      </c>
      <c r="AA188" s="283"/>
      <c r="AB188" s="284" t="n">
        <f aca="false">IF(AND(AB$4="RDEC", $Y188="Limited Company"), "", L188*$E188*$I188)</f>
        <v>0</v>
      </c>
      <c r="AC188" s="284" t="n">
        <f aca="false">IF(AND(AC$4="RDEC", $Y188="Limited Company"), "", M188*$E188*$I188)</f>
        <v>0</v>
      </c>
      <c r="AD188" s="284" t="n">
        <f aca="false">IF(AND(AD$4="RDEC", $Y188="Limited Company"), "", N188*$E188*$I188)</f>
        <v>0</v>
      </c>
      <c r="AE188" s="284" t="n">
        <f aca="false">IF(AND(AE$4="RDEC", $Y188="Limited Company"), "", O188*$E188*$I188)</f>
        <v>0</v>
      </c>
      <c r="AF188" s="284" t="n">
        <f aca="false">IF(AND(AF$4="RDEC", $Y188="Limited Company"), "", P188*$E188*$I188)</f>
        <v>0</v>
      </c>
      <c r="AG188" s="284" t="n">
        <f aca="false">IF(AND(AG$4="RDEC", $Y188="Limited Company"), "", Q188*$E188*$I188)</f>
        <v>0</v>
      </c>
      <c r="AH188" s="284" t="n">
        <f aca="false">IF(AND(AH$4="RDEC", $Y188="Limited Company"), "", R188*$E188*$I188)</f>
        <v>0</v>
      </c>
      <c r="AI188" s="284" t="n">
        <f aca="false">IF(AND(AI$4="RDEC", $Y188="Limited Company"), "", S188*$E188*$I188)</f>
        <v>0</v>
      </c>
      <c r="AJ188" s="284" t="n">
        <f aca="false">IF(AND(AJ$4="RDEC", $Y188="Limited Company"), "", T188*$E188*$I188)</f>
        <v>0</v>
      </c>
      <c r="AK188" s="284" t="n">
        <f aca="false">IF(AND(AK$4="RDEC", $Y188="Limited Company"), "", U188*$E188*$I188)</f>
        <v>0</v>
      </c>
      <c r="AL188" s="284" t="n">
        <f aca="false">IF(AND(AL$4="RDEC", $Y188="Limited Company"), "", V188*$E188*$I188)</f>
        <v>0</v>
      </c>
      <c r="AM188" s="284" t="n">
        <f aca="false">IF(AND(AM$4="RDEC", $Y188="Limited Company"), "", W188*$E188*$I188)</f>
        <v>0</v>
      </c>
      <c r="AN188" s="286" t="n">
        <f aca="false">IFERROR(SUMIF($AB$4:$AM$4, "RDEC", AB188:AM188), "")</f>
        <v>0</v>
      </c>
      <c r="AO188" s="286" t="str">
        <f aca="false">IFERROR((IF(Z188="Yes",SUMIF($AB$4:$AM$4,"SME",AB188:AM188),"")),"")</f>
        <v/>
      </c>
      <c r="AP188" s="286" t="n">
        <f aca="false">IFERROR((IF(Z188="No",SUMIF($AB$4:$AM$4,"SME",AB188:AM188),"")),"")</f>
        <v>0</v>
      </c>
      <c r="AQ188" s="286" t="n">
        <f aca="false">IFERROR(SUMIF($AB$4:$AM$4, "De Minimis", AB188:AM188), "")</f>
        <v>0</v>
      </c>
      <c r="AR188" s="283"/>
      <c r="AS188" s="284" t="n">
        <f aca="false">IFERROR(L188*$E188*$J188, "")</f>
        <v>0</v>
      </c>
      <c r="AT188" s="284" t="n">
        <f aca="false">IFERROR(M188*$E188*$J188, "")</f>
        <v>0</v>
      </c>
      <c r="AU188" s="284" t="n">
        <f aca="false">IFERROR(N188*$E188*$J188, "")</f>
        <v>0</v>
      </c>
      <c r="AV188" s="284" t="n">
        <f aca="false">IFERROR(O188*$E188*$J188, "")</f>
        <v>0</v>
      </c>
      <c r="AW188" s="284" t="n">
        <f aca="false">IFERROR(P188*$E188*$J188, "")</f>
        <v>0</v>
      </c>
      <c r="AX188" s="284" t="n">
        <f aca="false">IFERROR(Q188*$E188*$J188, "")</f>
        <v>0</v>
      </c>
      <c r="AY188" s="284" t="n">
        <f aca="false">IFERROR(R188*$E188*$J188, "")</f>
        <v>0</v>
      </c>
      <c r="AZ188" s="284" t="n">
        <f aca="false">IFERROR(S188*$E188*$J188, "")</f>
        <v>0</v>
      </c>
      <c r="BA188" s="284" t="n">
        <f aca="false">IFERROR(T188*$E188*$J188, "")</f>
        <v>0</v>
      </c>
      <c r="BB188" s="284" t="n">
        <f aca="false">IFERROR(U188*$E188*$J188, "")</f>
        <v>0</v>
      </c>
      <c r="BC188" s="284" t="n">
        <f aca="false">IFERROR(V188*$E188*$J188, "")</f>
        <v>0</v>
      </c>
      <c r="BD188" s="284" t="n">
        <f aca="false">IFERROR(W188*$E188*$J188, "")</f>
        <v>0</v>
      </c>
      <c r="BE188" s="286" t="n">
        <f aca="false">IFERROR(SUMIF($AB$4:$AM$4, "RDEC", AS188:BD188), "")</f>
        <v>0</v>
      </c>
      <c r="BF188" s="286" t="n">
        <f aca="false">IFERROR(SUMIF($AB$4:$AM$4, "SME", AS188:BD188), "")</f>
        <v>0</v>
      </c>
      <c r="BG188" s="286" t="n">
        <f aca="false">IFERROR(SUMIF($AB$4:$AM$4, "De Minimis", AS188:BD188), "")</f>
        <v>0</v>
      </c>
      <c r="BH188" s="287"/>
      <c r="BI188" s="288" t="str">
        <f aca="false">IF((SUM(L188:W188)&gt;1),"ERROR","")</f>
        <v/>
      </c>
    </row>
    <row r="189" customFormat="false" ht="15" hidden="false" customHeight="true" outlineLevel="0" collapsed="false">
      <c r="A189" s="340"/>
      <c r="B189" s="350"/>
      <c r="C189" s="350"/>
      <c r="H189" s="350"/>
      <c r="I189" s="279" t="n">
        <v>1</v>
      </c>
      <c r="J189" s="281" t="n">
        <f aca="false">1-I189</f>
        <v>0</v>
      </c>
      <c r="K189" s="32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350"/>
      <c r="Y189" s="381"/>
      <c r="Z189" s="384" t="s">
        <v>71</v>
      </c>
      <c r="AA189" s="283"/>
      <c r="AB189" s="284" t="n">
        <f aca="false">IF(AND(AB$4="RDEC", $Y189="Limited Company"), "", L189*$E189*$I189)</f>
        <v>0</v>
      </c>
      <c r="AC189" s="284" t="n">
        <f aca="false">IF(AND(AC$4="RDEC", $Y189="Limited Company"), "", M189*$E189*$I189)</f>
        <v>0</v>
      </c>
      <c r="AD189" s="284" t="n">
        <f aca="false">IF(AND(AD$4="RDEC", $Y189="Limited Company"), "", N189*$E189*$I189)</f>
        <v>0</v>
      </c>
      <c r="AE189" s="284" t="n">
        <f aca="false">IF(AND(AE$4="RDEC", $Y189="Limited Company"), "", O189*$E189*$I189)</f>
        <v>0</v>
      </c>
      <c r="AF189" s="284" t="n">
        <f aca="false">IF(AND(AF$4="RDEC", $Y189="Limited Company"), "", P189*$E189*$I189)</f>
        <v>0</v>
      </c>
      <c r="AG189" s="284" t="n">
        <f aca="false">IF(AND(AG$4="RDEC", $Y189="Limited Company"), "", Q189*$E189*$I189)</f>
        <v>0</v>
      </c>
      <c r="AH189" s="284" t="n">
        <f aca="false">IF(AND(AH$4="RDEC", $Y189="Limited Company"), "", R189*$E189*$I189)</f>
        <v>0</v>
      </c>
      <c r="AI189" s="284" t="n">
        <f aca="false">IF(AND(AI$4="RDEC", $Y189="Limited Company"), "", S189*$E189*$I189)</f>
        <v>0</v>
      </c>
      <c r="AJ189" s="284" t="n">
        <f aca="false">IF(AND(AJ$4="RDEC", $Y189="Limited Company"), "", T189*$E189*$I189)</f>
        <v>0</v>
      </c>
      <c r="AK189" s="284" t="n">
        <f aca="false">IF(AND(AK$4="RDEC", $Y189="Limited Company"), "", U189*$E189*$I189)</f>
        <v>0</v>
      </c>
      <c r="AL189" s="284" t="n">
        <f aca="false">IF(AND(AL$4="RDEC", $Y189="Limited Company"), "", V189*$E189*$I189)</f>
        <v>0</v>
      </c>
      <c r="AM189" s="284" t="n">
        <f aca="false">IF(AND(AM$4="RDEC", $Y189="Limited Company"), "", W189*$E189*$I189)</f>
        <v>0</v>
      </c>
      <c r="AN189" s="286" t="n">
        <f aca="false">IFERROR(SUMIF($AB$4:$AM$4, "RDEC", AB189:AM189), "")</f>
        <v>0</v>
      </c>
      <c r="AO189" s="286" t="str">
        <f aca="false">IFERROR((IF(Z189="Yes",SUMIF($AB$4:$AM$4,"SME",AB189:AM189),"")),"")</f>
        <v/>
      </c>
      <c r="AP189" s="286" t="n">
        <f aca="false">IFERROR((IF(Z189="No",SUMIF($AB$4:$AM$4,"SME",AB189:AM189),"")),"")</f>
        <v>0</v>
      </c>
      <c r="AQ189" s="286" t="n">
        <f aca="false">IFERROR(SUMIF($AB$4:$AM$4, "De Minimis", AB189:AM189), "")</f>
        <v>0</v>
      </c>
      <c r="AR189" s="283"/>
      <c r="AS189" s="284" t="n">
        <f aca="false">IFERROR(L189*$E189*$J189, "")</f>
        <v>0</v>
      </c>
      <c r="AT189" s="284" t="n">
        <f aca="false">IFERROR(M189*$E189*$J189, "")</f>
        <v>0</v>
      </c>
      <c r="AU189" s="284" t="n">
        <f aca="false">IFERROR(N189*$E189*$J189, "")</f>
        <v>0</v>
      </c>
      <c r="AV189" s="284" t="n">
        <f aca="false">IFERROR(O189*$E189*$J189, "")</f>
        <v>0</v>
      </c>
      <c r="AW189" s="284" t="n">
        <f aca="false">IFERROR(P189*$E189*$J189, "")</f>
        <v>0</v>
      </c>
      <c r="AX189" s="284" t="n">
        <f aca="false">IFERROR(Q189*$E189*$J189, "")</f>
        <v>0</v>
      </c>
      <c r="AY189" s="284" t="n">
        <f aca="false">IFERROR(R189*$E189*$J189, "")</f>
        <v>0</v>
      </c>
      <c r="AZ189" s="284" t="n">
        <f aca="false">IFERROR(S189*$E189*$J189, "")</f>
        <v>0</v>
      </c>
      <c r="BA189" s="284" t="n">
        <f aca="false">IFERROR(T189*$E189*$J189, "")</f>
        <v>0</v>
      </c>
      <c r="BB189" s="284" t="n">
        <f aca="false">IFERROR(U189*$E189*$J189, "")</f>
        <v>0</v>
      </c>
      <c r="BC189" s="284" t="n">
        <f aca="false">IFERROR(V189*$E189*$J189, "")</f>
        <v>0</v>
      </c>
      <c r="BD189" s="284" t="n">
        <f aca="false">IFERROR(W189*$E189*$J189, "")</f>
        <v>0</v>
      </c>
      <c r="BE189" s="286" t="n">
        <f aca="false">IFERROR(SUMIF($AB$4:$AM$4, "RDEC", AS189:BD189), "")</f>
        <v>0</v>
      </c>
      <c r="BF189" s="286" t="n">
        <f aca="false">IFERROR(SUMIF($AB$4:$AM$4, "SME", AS189:BD189), "")</f>
        <v>0</v>
      </c>
      <c r="BG189" s="286" t="n">
        <f aca="false">IFERROR(SUMIF($AB$4:$AM$4, "De Minimis", AS189:BD189), "")</f>
        <v>0</v>
      </c>
      <c r="BH189" s="287"/>
      <c r="BI189" s="288" t="str">
        <f aca="false">IF((SUM(L189:W189)&gt;1),"ERROR","")</f>
        <v/>
      </c>
    </row>
    <row r="190" customFormat="false" ht="15" hidden="false" customHeight="true" outlineLevel="0" collapsed="false">
      <c r="A190" s="340"/>
      <c r="B190" s="350"/>
      <c r="C190" s="350"/>
      <c r="H190" s="350"/>
      <c r="I190" s="279" t="n">
        <v>1</v>
      </c>
      <c r="J190" s="281" t="n">
        <f aca="false">1-I190</f>
        <v>0</v>
      </c>
      <c r="K190" s="32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350"/>
      <c r="Y190" s="381"/>
      <c r="Z190" s="384" t="s">
        <v>71</v>
      </c>
      <c r="AA190" s="283"/>
      <c r="AB190" s="284" t="n">
        <f aca="false">IF(AND(AB$4="RDEC", $Y190="Limited Company"), "", L190*$E190*$I190)</f>
        <v>0</v>
      </c>
      <c r="AC190" s="284" t="n">
        <f aca="false">IF(AND(AC$4="RDEC", $Y190="Limited Company"), "", M190*$E190*$I190)</f>
        <v>0</v>
      </c>
      <c r="AD190" s="284" t="n">
        <f aca="false">IF(AND(AD$4="RDEC", $Y190="Limited Company"), "", N190*$E190*$I190)</f>
        <v>0</v>
      </c>
      <c r="AE190" s="284" t="n">
        <f aca="false">IF(AND(AE$4="RDEC", $Y190="Limited Company"), "", O190*$E190*$I190)</f>
        <v>0</v>
      </c>
      <c r="AF190" s="284" t="n">
        <f aca="false">IF(AND(AF$4="RDEC", $Y190="Limited Company"), "", P190*$E190*$I190)</f>
        <v>0</v>
      </c>
      <c r="AG190" s="284" t="n">
        <f aca="false">IF(AND(AG$4="RDEC", $Y190="Limited Company"), "", Q190*$E190*$I190)</f>
        <v>0</v>
      </c>
      <c r="AH190" s="284" t="n">
        <f aca="false">IF(AND(AH$4="RDEC", $Y190="Limited Company"), "", R190*$E190*$I190)</f>
        <v>0</v>
      </c>
      <c r="AI190" s="284" t="n">
        <f aca="false">IF(AND(AI$4="RDEC", $Y190="Limited Company"), "", S190*$E190*$I190)</f>
        <v>0</v>
      </c>
      <c r="AJ190" s="284" t="n">
        <f aca="false">IF(AND(AJ$4="RDEC", $Y190="Limited Company"), "", T190*$E190*$I190)</f>
        <v>0</v>
      </c>
      <c r="AK190" s="284" t="n">
        <f aca="false">IF(AND(AK$4="RDEC", $Y190="Limited Company"), "", U190*$E190*$I190)</f>
        <v>0</v>
      </c>
      <c r="AL190" s="284" t="n">
        <f aca="false">IF(AND(AL$4="RDEC", $Y190="Limited Company"), "", V190*$E190*$I190)</f>
        <v>0</v>
      </c>
      <c r="AM190" s="284" t="n">
        <f aca="false">IF(AND(AM$4="RDEC", $Y190="Limited Company"), "", W190*$E190*$I190)</f>
        <v>0</v>
      </c>
      <c r="AN190" s="286" t="n">
        <f aca="false">IFERROR(SUMIF($AB$4:$AM$4, "RDEC", AB190:AM190), "")</f>
        <v>0</v>
      </c>
      <c r="AO190" s="286" t="str">
        <f aca="false">IFERROR((IF(Z190="Yes",SUMIF($AB$4:$AM$4,"SME",AB190:AM190),"")),"")</f>
        <v/>
      </c>
      <c r="AP190" s="286" t="n">
        <f aca="false">IFERROR((IF(Z190="No",SUMIF($AB$4:$AM$4,"SME",AB190:AM190),"")),"")</f>
        <v>0</v>
      </c>
      <c r="AQ190" s="286" t="n">
        <f aca="false">IFERROR(SUMIF($AB$4:$AM$4, "De Minimis", AB190:AM190), "")</f>
        <v>0</v>
      </c>
      <c r="AR190" s="283"/>
      <c r="AS190" s="284" t="n">
        <f aca="false">IFERROR(L190*$E190*$J190, "")</f>
        <v>0</v>
      </c>
      <c r="AT190" s="284" t="n">
        <f aca="false">IFERROR(M190*$E190*$J190, "")</f>
        <v>0</v>
      </c>
      <c r="AU190" s="284" t="n">
        <f aca="false">IFERROR(N190*$E190*$J190, "")</f>
        <v>0</v>
      </c>
      <c r="AV190" s="284" t="n">
        <f aca="false">IFERROR(O190*$E190*$J190, "")</f>
        <v>0</v>
      </c>
      <c r="AW190" s="284" t="n">
        <f aca="false">IFERROR(P190*$E190*$J190, "")</f>
        <v>0</v>
      </c>
      <c r="AX190" s="284" t="n">
        <f aca="false">IFERROR(Q190*$E190*$J190, "")</f>
        <v>0</v>
      </c>
      <c r="AY190" s="284" t="n">
        <f aca="false">IFERROR(R190*$E190*$J190, "")</f>
        <v>0</v>
      </c>
      <c r="AZ190" s="284" t="n">
        <f aca="false">IFERROR(S190*$E190*$J190, "")</f>
        <v>0</v>
      </c>
      <c r="BA190" s="284" t="n">
        <f aca="false">IFERROR(T190*$E190*$J190, "")</f>
        <v>0</v>
      </c>
      <c r="BB190" s="284" t="n">
        <f aca="false">IFERROR(U190*$E190*$J190, "")</f>
        <v>0</v>
      </c>
      <c r="BC190" s="284" t="n">
        <f aca="false">IFERROR(V190*$E190*$J190, "")</f>
        <v>0</v>
      </c>
      <c r="BD190" s="284" t="n">
        <f aca="false">IFERROR(W190*$E190*$J190, "")</f>
        <v>0</v>
      </c>
      <c r="BE190" s="286" t="n">
        <f aca="false">IFERROR(SUMIF($AB$4:$AM$4, "RDEC", AS190:BD190), "")</f>
        <v>0</v>
      </c>
      <c r="BF190" s="286" t="n">
        <f aca="false">IFERROR(SUMIF($AB$4:$AM$4, "SME", AS190:BD190), "")</f>
        <v>0</v>
      </c>
      <c r="BG190" s="286" t="n">
        <f aca="false">IFERROR(SUMIF($AB$4:$AM$4, "De Minimis", AS190:BD190), "")</f>
        <v>0</v>
      </c>
      <c r="BH190" s="287"/>
      <c r="BI190" s="288" t="str">
        <f aca="false">IF((SUM(L190:W190)&gt;1),"ERROR","")</f>
        <v/>
      </c>
    </row>
    <row r="191" customFormat="false" ht="15" hidden="false" customHeight="true" outlineLevel="0" collapsed="false">
      <c r="A191" s="340"/>
      <c r="B191" s="350"/>
      <c r="C191" s="350"/>
      <c r="H191" s="350"/>
      <c r="I191" s="279" t="n">
        <v>1</v>
      </c>
      <c r="J191" s="281" t="n">
        <f aca="false">1-I191</f>
        <v>0</v>
      </c>
      <c r="K191" s="32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350"/>
      <c r="Y191" s="381"/>
      <c r="Z191" s="384" t="s">
        <v>71</v>
      </c>
      <c r="AA191" s="283"/>
      <c r="AB191" s="284" t="n">
        <f aca="false">IF(AND(AB$4="RDEC", $Y191="Limited Company"), "", L191*$E191*$I191)</f>
        <v>0</v>
      </c>
      <c r="AC191" s="284" t="n">
        <f aca="false">IF(AND(AC$4="RDEC", $Y191="Limited Company"), "", M191*$E191*$I191)</f>
        <v>0</v>
      </c>
      <c r="AD191" s="284" t="n">
        <f aca="false">IF(AND(AD$4="RDEC", $Y191="Limited Company"), "", N191*$E191*$I191)</f>
        <v>0</v>
      </c>
      <c r="AE191" s="284" t="n">
        <f aca="false">IF(AND(AE$4="RDEC", $Y191="Limited Company"), "", O191*$E191*$I191)</f>
        <v>0</v>
      </c>
      <c r="AF191" s="284" t="n">
        <f aca="false">IF(AND(AF$4="RDEC", $Y191="Limited Company"), "", P191*$E191*$I191)</f>
        <v>0</v>
      </c>
      <c r="AG191" s="284" t="n">
        <f aca="false">IF(AND(AG$4="RDEC", $Y191="Limited Company"), "", Q191*$E191*$I191)</f>
        <v>0</v>
      </c>
      <c r="AH191" s="284" t="n">
        <f aca="false">IF(AND(AH$4="RDEC", $Y191="Limited Company"), "", R191*$E191*$I191)</f>
        <v>0</v>
      </c>
      <c r="AI191" s="284" t="n">
        <f aca="false">IF(AND(AI$4="RDEC", $Y191="Limited Company"), "", S191*$E191*$I191)</f>
        <v>0</v>
      </c>
      <c r="AJ191" s="284" t="n">
        <f aca="false">IF(AND(AJ$4="RDEC", $Y191="Limited Company"), "", T191*$E191*$I191)</f>
        <v>0</v>
      </c>
      <c r="AK191" s="284" t="n">
        <f aca="false">IF(AND(AK$4="RDEC", $Y191="Limited Company"), "", U191*$E191*$I191)</f>
        <v>0</v>
      </c>
      <c r="AL191" s="284" t="n">
        <f aca="false">IF(AND(AL$4="RDEC", $Y191="Limited Company"), "", V191*$E191*$I191)</f>
        <v>0</v>
      </c>
      <c r="AM191" s="284" t="n">
        <f aca="false">IF(AND(AM$4="RDEC", $Y191="Limited Company"), "", W191*$E191*$I191)</f>
        <v>0</v>
      </c>
      <c r="AN191" s="286" t="n">
        <f aca="false">IFERROR(SUMIF($AB$4:$AM$4, "RDEC", AB191:AM191), "")</f>
        <v>0</v>
      </c>
      <c r="AO191" s="286" t="str">
        <f aca="false">IFERROR((IF(Z191="Yes",SUMIF($AB$4:$AM$4,"SME",AB191:AM191),"")),"")</f>
        <v/>
      </c>
      <c r="AP191" s="286" t="n">
        <f aca="false">IFERROR((IF(Z191="No",SUMIF($AB$4:$AM$4,"SME",AB191:AM191),"")),"")</f>
        <v>0</v>
      </c>
      <c r="AQ191" s="286" t="n">
        <f aca="false">IFERROR(SUMIF($AB$4:$AM$4, "De Minimis", AB191:AM191), "")</f>
        <v>0</v>
      </c>
      <c r="AR191" s="283"/>
      <c r="AS191" s="284" t="n">
        <f aca="false">IFERROR(L191*$E191*$J191, "")</f>
        <v>0</v>
      </c>
      <c r="AT191" s="284" t="n">
        <f aca="false">IFERROR(M191*$E191*$J191, "")</f>
        <v>0</v>
      </c>
      <c r="AU191" s="284" t="n">
        <f aca="false">IFERROR(N191*$E191*$J191, "")</f>
        <v>0</v>
      </c>
      <c r="AV191" s="284" t="n">
        <f aca="false">IFERROR(O191*$E191*$J191, "")</f>
        <v>0</v>
      </c>
      <c r="AW191" s="284" t="n">
        <f aca="false">IFERROR(P191*$E191*$J191, "")</f>
        <v>0</v>
      </c>
      <c r="AX191" s="284" t="n">
        <f aca="false">IFERROR(Q191*$E191*$J191, "")</f>
        <v>0</v>
      </c>
      <c r="AY191" s="284" t="n">
        <f aca="false">IFERROR(R191*$E191*$J191, "")</f>
        <v>0</v>
      </c>
      <c r="AZ191" s="284" t="n">
        <f aca="false">IFERROR(S191*$E191*$J191, "")</f>
        <v>0</v>
      </c>
      <c r="BA191" s="284" t="n">
        <f aca="false">IFERROR(T191*$E191*$J191, "")</f>
        <v>0</v>
      </c>
      <c r="BB191" s="284" t="n">
        <f aca="false">IFERROR(U191*$E191*$J191, "")</f>
        <v>0</v>
      </c>
      <c r="BC191" s="284" t="n">
        <f aca="false">IFERROR(V191*$E191*$J191, "")</f>
        <v>0</v>
      </c>
      <c r="BD191" s="284" t="n">
        <f aca="false">IFERROR(W191*$E191*$J191, "")</f>
        <v>0</v>
      </c>
      <c r="BE191" s="286" t="n">
        <f aca="false">IFERROR(SUMIF($AB$4:$AM$4, "RDEC", AS191:BD191), "")</f>
        <v>0</v>
      </c>
      <c r="BF191" s="286" t="n">
        <f aca="false">IFERROR(SUMIF($AB$4:$AM$4, "SME", AS191:BD191), "")</f>
        <v>0</v>
      </c>
      <c r="BG191" s="286" t="n">
        <f aca="false">IFERROR(SUMIF($AB$4:$AM$4, "De Minimis", AS191:BD191), "")</f>
        <v>0</v>
      </c>
      <c r="BH191" s="287"/>
      <c r="BI191" s="288" t="str">
        <f aca="false">IF((SUM(L191:W191)&gt;1),"ERROR","")</f>
        <v/>
      </c>
    </row>
    <row r="192" customFormat="false" ht="15" hidden="false" customHeight="true" outlineLevel="0" collapsed="false">
      <c r="A192" s="340"/>
      <c r="B192" s="350"/>
      <c r="C192" s="350"/>
      <c r="H192" s="350"/>
      <c r="I192" s="279" t="n">
        <v>1</v>
      </c>
      <c r="J192" s="281" t="n">
        <f aca="false">1-I192</f>
        <v>0</v>
      </c>
      <c r="K192" s="32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350"/>
      <c r="Y192" s="381"/>
      <c r="Z192" s="384" t="s">
        <v>71</v>
      </c>
      <c r="AA192" s="283"/>
      <c r="AB192" s="284" t="n">
        <f aca="false">IF(AND(AB$4="RDEC", $Y192="Limited Company"), "", L192*$E192*$I192)</f>
        <v>0</v>
      </c>
      <c r="AC192" s="284" t="n">
        <f aca="false">IF(AND(AC$4="RDEC", $Y192="Limited Company"), "", M192*$E192*$I192)</f>
        <v>0</v>
      </c>
      <c r="AD192" s="284" t="n">
        <f aca="false">IF(AND(AD$4="RDEC", $Y192="Limited Company"), "", N192*$E192*$I192)</f>
        <v>0</v>
      </c>
      <c r="AE192" s="284" t="n">
        <f aca="false">IF(AND(AE$4="RDEC", $Y192="Limited Company"), "", O192*$E192*$I192)</f>
        <v>0</v>
      </c>
      <c r="AF192" s="284" t="n">
        <f aca="false">IF(AND(AF$4="RDEC", $Y192="Limited Company"), "", P192*$E192*$I192)</f>
        <v>0</v>
      </c>
      <c r="AG192" s="284" t="n">
        <f aca="false">IF(AND(AG$4="RDEC", $Y192="Limited Company"), "", Q192*$E192*$I192)</f>
        <v>0</v>
      </c>
      <c r="AH192" s="284" t="n">
        <f aca="false">IF(AND(AH$4="RDEC", $Y192="Limited Company"), "", R192*$E192*$I192)</f>
        <v>0</v>
      </c>
      <c r="AI192" s="284" t="n">
        <f aca="false">IF(AND(AI$4="RDEC", $Y192="Limited Company"), "", S192*$E192*$I192)</f>
        <v>0</v>
      </c>
      <c r="AJ192" s="284" t="n">
        <f aca="false">IF(AND(AJ$4="RDEC", $Y192="Limited Company"), "", T192*$E192*$I192)</f>
        <v>0</v>
      </c>
      <c r="AK192" s="284" t="n">
        <f aca="false">IF(AND(AK$4="RDEC", $Y192="Limited Company"), "", U192*$E192*$I192)</f>
        <v>0</v>
      </c>
      <c r="AL192" s="284" t="n">
        <f aca="false">IF(AND(AL$4="RDEC", $Y192="Limited Company"), "", V192*$E192*$I192)</f>
        <v>0</v>
      </c>
      <c r="AM192" s="284" t="n">
        <f aca="false">IF(AND(AM$4="RDEC", $Y192="Limited Company"), "", W192*$E192*$I192)</f>
        <v>0</v>
      </c>
      <c r="AN192" s="286" t="n">
        <f aca="false">IFERROR(SUMIF($AB$4:$AM$4, "RDEC", AB192:AM192), "")</f>
        <v>0</v>
      </c>
      <c r="AO192" s="286" t="str">
        <f aca="false">IFERROR((IF(Z192="Yes",SUMIF($AB$4:$AM$4,"SME",AB192:AM192),"")),"")</f>
        <v/>
      </c>
      <c r="AP192" s="286" t="n">
        <f aca="false">IFERROR((IF(Z192="No",SUMIF($AB$4:$AM$4,"SME",AB192:AM192),"")),"")</f>
        <v>0</v>
      </c>
      <c r="AQ192" s="286" t="n">
        <f aca="false">IFERROR(SUMIF($AB$4:$AM$4, "De Minimis", AB192:AM192), "")</f>
        <v>0</v>
      </c>
      <c r="AR192" s="283"/>
      <c r="AS192" s="284" t="n">
        <f aca="false">IFERROR(L192*$E192*$J192, "")</f>
        <v>0</v>
      </c>
      <c r="AT192" s="284" t="n">
        <f aca="false">IFERROR(M192*$E192*$J192, "")</f>
        <v>0</v>
      </c>
      <c r="AU192" s="284" t="n">
        <f aca="false">IFERROR(N192*$E192*$J192, "")</f>
        <v>0</v>
      </c>
      <c r="AV192" s="284" t="n">
        <f aca="false">IFERROR(O192*$E192*$J192, "")</f>
        <v>0</v>
      </c>
      <c r="AW192" s="284" t="n">
        <f aca="false">IFERROR(P192*$E192*$J192, "")</f>
        <v>0</v>
      </c>
      <c r="AX192" s="284" t="n">
        <f aca="false">IFERROR(Q192*$E192*$J192, "")</f>
        <v>0</v>
      </c>
      <c r="AY192" s="284" t="n">
        <f aca="false">IFERROR(R192*$E192*$J192, "")</f>
        <v>0</v>
      </c>
      <c r="AZ192" s="284" t="n">
        <f aca="false">IFERROR(S192*$E192*$J192, "")</f>
        <v>0</v>
      </c>
      <c r="BA192" s="284" t="n">
        <f aca="false">IFERROR(T192*$E192*$J192, "")</f>
        <v>0</v>
      </c>
      <c r="BB192" s="284" t="n">
        <f aca="false">IFERROR(U192*$E192*$J192, "")</f>
        <v>0</v>
      </c>
      <c r="BC192" s="284" t="n">
        <f aca="false">IFERROR(V192*$E192*$J192, "")</f>
        <v>0</v>
      </c>
      <c r="BD192" s="284" t="n">
        <f aca="false">IFERROR(W192*$E192*$J192, "")</f>
        <v>0</v>
      </c>
      <c r="BE192" s="286" t="n">
        <f aca="false">IFERROR(SUMIF($AB$4:$AM$4, "RDEC", AS192:BD192), "")</f>
        <v>0</v>
      </c>
      <c r="BF192" s="286" t="n">
        <f aca="false">IFERROR(SUMIF($AB$4:$AM$4, "SME", AS192:BD192), "")</f>
        <v>0</v>
      </c>
      <c r="BG192" s="286" t="n">
        <f aca="false">IFERROR(SUMIF($AB$4:$AM$4, "De Minimis", AS192:BD192), "")</f>
        <v>0</v>
      </c>
      <c r="BH192" s="287"/>
      <c r="BI192" s="288" t="str">
        <f aca="false">IF((SUM(L192:W192)&gt;1),"ERROR","")</f>
        <v/>
      </c>
    </row>
    <row r="193" customFormat="false" ht="15" hidden="false" customHeight="true" outlineLevel="0" collapsed="false">
      <c r="A193" s="340"/>
      <c r="B193" s="350"/>
      <c r="C193" s="350"/>
      <c r="H193" s="350"/>
      <c r="I193" s="279" t="n">
        <v>1</v>
      </c>
      <c r="J193" s="281" t="n">
        <f aca="false">1-I193</f>
        <v>0</v>
      </c>
      <c r="K193" s="32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350"/>
      <c r="Y193" s="381"/>
      <c r="Z193" s="384" t="s">
        <v>71</v>
      </c>
      <c r="AA193" s="283"/>
      <c r="AB193" s="284" t="n">
        <f aca="false">IF(AND(AB$4="RDEC", $Y193="Limited Company"), "", L193*$E193*$I193)</f>
        <v>0</v>
      </c>
      <c r="AC193" s="284" t="n">
        <f aca="false">IF(AND(AC$4="RDEC", $Y193="Limited Company"), "", M193*$E193*$I193)</f>
        <v>0</v>
      </c>
      <c r="AD193" s="284" t="n">
        <f aca="false">IF(AND(AD$4="RDEC", $Y193="Limited Company"), "", N193*$E193*$I193)</f>
        <v>0</v>
      </c>
      <c r="AE193" s="284" t="n">
        <f aca="false">IF(AND(AE$4="RDEC", $Y193="Limited Company"), "", O193*$E193*$I193)</f>
        <v>0</v>
      </c>
      <c r="AF193" s="284" t="n">
        <f aca="false">IF(AND(AF$4="RDEC", $Y193="Limited Company"), "", P193*$E193*$I193)</f>
        <v>0</v>
      </c>
      <c r="AG193" s="284" t="n">
        <f aca="false">IF(AND(AG$4="RDEC", $Y193="Limited Company"), "", Q193*$E193*$I193)</f>
        <v>0</v>
      </c>
      <c r="AH193" s="284" t="n">
        <f aca="false">IF(AND(AH$4="RDEC", $Y193="Limited Company"), "", R193*$E193*$I193)</f>
        <v>0</v>
      </c>
      <c r="AI193" s="284" t="n">
        <f aca="false">IF(AND(AI$4="RDEC", $Y193="Limited Company"), "", S193*$E193*$I193)</f>
        <v>0</v>
      </c>
      <c r="AJ193" s="284" t="n">
        <f aca="false">IF(AND(AJ$4="RDEC", $Y193="Limited Company"), "", T193*$E193*$I193)</f>
        <v>0</v>
      </c>
      <c r="AK193" s="284" t="n">
        <f aca="false">IF(AND(AK$4="RDEC", $Y193="Limited Company"), "", U193*$E193*$I193)</f>
        <v>0</v>
      </c>
      <c r="AL193" s="284" t="n">
        <f aca="false">IF(AND(AL$4="RDEC", $Y193="Limited Company"), "", V193*$E193*$I193)</f>
        <v>0</v>
      </c>
      <c r="AM193" s="284" t="n">
        <f aca="false">IF(AND(AM$4="RDEC", $Y193="Limited Company"), "", W193*$E193*$I193)</f>
        <v>0</v>
      </c>
      <c r="AN193" s="286" t="n">
        <f aca="false">IFERROR(SUMIF($AB$4:$AM$4, "RDEC", AB193:AM193), "")</f>
        <v>0</v>
      </c>
      <c r="AO193" s="286" t="str">
        <f aca="false">IFERROR((IF(Z193="Yes",SUMIF($AB$4:$AM$4,"SME",AB193:AM193),"")),"")</f>
        <v/>
      </c>
      <c r="AP193" s="286" t="n">
        <f aca="false">IFERROR((IF(Z193="No",SUMIF($AB$4:$AM$4,"SME",AB193:AM193),"")),"")</f>
        <v>0</v>
      </c>
      <c r="AQ193" s="286" t="n">
        <f aca="false">IFERROR(SUMIF($AB$4:$AM$4, "De Minimis", AB193:AM193), "")</f>
        <v>0</v>
      </c>
      <c r="AR193" s="283"/>
      <c r="AS193" s="284" t="n">
        <f aca="false">IFERROR(L193*$E193*$J193, "")</f>
        <v>0</v>
      </c>
      <c r="AT193" s="284" t="n">
        <f aca="false">IFERROR(M193*$E193*$J193, "")</f>
        <v>0</v>
      </c>
      <c r="AU193" s="284" t="n">
        <f aca="false">IFERROR(N193*$E193*$J193, "")</f>
        <v>0</v>
      </c>
      <c r="AV193" s="284" t="n">
        <f aca="false">IFERROR(O193*$E193*$J193, "")</f>
        <v>0</v>
      </c>
      <c r="AW193" s="284" t="n">
        <f aca="false">IFERROR(P193*$E193*$J193, "")</f>
        <v>0</v>
      </c>
      <c r="AX193" s="284" t="n">
        <f aca="false">IFERROR(Q193*$E193*$J193, "")</f>
        <v>0</v>
      </c>
      <c r="AY193" s="284" t="n">
        <f aca="false">IFERROR(R193*$E193*$J193, "")</f>
        <v>0</v>
      </c>
      <c r="AZ193" s="284" t="n">
        <f aca="false">IFERROR(S193*$E193*$J193, "")</f>
        <v>0</v>
      </c>
      <c r="BA193" s="284" t="n">
        <f aca="false">IFERROR(T193*$E193*$J193, "")</f>
        <v>0</v>
      </c>
      <c r="BB193" s="284" t="n">
        <f aca="false">IFERROR(U193*$E193*$J193, "")</f>
        <v>0</v>
      </c>
      <c r="BC193" s="284" t="n">
        <f aca="false">IFERROR(V193*$E193*$J193, "")</f>
        <v>0</v>
      </c>
      <c r="BD193" s="284" t="n">
        <f aca="false">IFERROR(W193*$E193*$J193, "")</f>
        <v>0</v>
      </c>
      <c r="BE193" s="286" t="n">
        <f aca="false">IFERROR(SUMIF($AB$4:$AM$4, "RDEC", AS193:BD193), "")</f>
        <v>0</v>
      </c>
      <c r="BF193" s="286" t="n">
        <f aca="false">IFERROR(SUMIF($AB$4:$AM$4, "SME", AS193:BD193), "")</f>
        <v>0</v>
      </c>
      <c r="BG193" s="286" t="n">
        <f aca="false">IFERROR(SUMIF($AB$4:$AM$4, "De Minimis", AS193:BD193), "")</f>
        <v>0</v>
      </c>
      <c r="BH193" s="287"/>
      <c r="BI193" s="288" t="str">
        <f aca="false">IF((SUM(L193:W193)&gt;1),"ERROR","")</f>
        <v/>
      </c>
    </row>
    <row r="194" customFormat="false" ht="15" hidden="false" customHeight="true" outlineLevel="0" collapsed="false">
      <c r="A194" s="340"/>
      <c r="B194" s="350"/>
      <c r="C194" s="350"/>
      <c r="H194" s="350"/>
      <c r="I194" s="279" t="n">
        <v>1</v>
      </c>
      <c r="J194" s="281" t="n">
        <f aca="false">1-I194</f>
        <v>0</v>
      </c>
      <c r="K194" s="32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350"/>
      <c r="Y194" s="381"/>
      <c r="Z194" s="384" t="s">
        <v>71</v>
      </c>
      <c r="AA194" s="283"/>
      <c r="AB194" s="284" t="n">
        <f aca="false">IF(AND(AB$4="RDEC", $Y194="Limited Company"), "", L194*$E194*$I194)</f>
        <v>0</v>
      </c>
      <c r="AC194" s="284" t="n">
        <f aca="false">IF(AND(AC$4="RDEC", $Y194="Limited Company"), "", M194*$E194*$I194)</f>
        <v>0</v>
      </c>
      <c r="AD194" s="284" t="n">
        <f aca="false">IF(AND(AD$4="RDEC", $Y194="Limited Company"), "", N194*$E194*$I194)</f>
        <v>0</v>
      </c>
      <c r="AE194" s="284" t="n">
        <f aca="false">IF(AND(AE$4="RDEC", $Y194="Limited Company"), "", O194*$E194*$I194)</f>
        <v>0</v>
      </c>
      <c r="AF194" s="284" t="n">
        <f aca="false">IF(AND(AF$4="RDEC", $Y194="Limited Company"), "", P194*$E194*$I194)</f>
        <v>0</v>
      </c>
      <c r="AG194" s="284" t="n">
        <f aca="false">IF(AND(AG$4="RDEC", $Y194="Limited Company"), "", Q194*$E194*$I194)</f>
        <v>0</v>
      </c>
      <c r="AH194" s="284" t="n">
        <f aca="false">IF(AND(AH$4="RDEC", $Y194="Limited Company"), "", R194*$E194*$I194)</f>
        <v>0</v>
      </c>
      <c r="AI194" s="284" t="n">
        <f aca="false">IF(AND(AI$4="RDEC", $Y194="Limited Company"), "", S194*$E194*$I194)</f>
        <v>0</v>
      </c>
      <c r="AJ194" s="284" t="n">
        <f aca="false">IF(AND(AJ$4="RDEC", $Y194="Limited Company"), "", T194*$E194*$I194)</f>
        <v>0</v>
      </c>
      <c r="AK194" s="284" t="n">
        <f aca="false">IF(AND(AK$4="RDEC", $Y194="Limited Company"), "", U194*$E194*$I194)</f>
        <v>0</v>
      </c>
      <c r="AL194" s="284" t="n">
        <f aca="false">IF(AND(AL$4="RDEC", $Y194="Limited Company"), "", V194*$E194*$I194)</f>
        <v>0</v>
      </c>
      <c r="AM194" s="284" t="n">
        <f aca="false">IF(AND(AM$4="RDEC", $Y194="Limited Company"), "", W194*$E194*$I194)</f>
        <v>0</v>
      </c>
      <c r="AN194" s="286" t="n">
        <f aca="false">IFERROR(SUMIF($AB$4:$AM$4, "RDEC", AB194:AM194), "")</f>
        <v>0</v>
      </c>
      <c r="AO194" s="286" t="str">
        <f aca="false">IFERROR((IF(Z194="Yes",SUMIF($AB$4:$AM$4,"SME",AB194:AM194),"")),"")</f>
        <v/>
      </c>
      <c r="AP194" s="286" t="n">
        <f aca="false">IFERROR((IF(Z194="No",SUMIF($AB$4:$AM$4,"SME",AB194:AM194),"")),"")</f>
        <v>0</v>
      </c>
      <c r="AQ194" s="286" t="n">
        <f aca="false">IFERROR(SUMIF($AB$4:$AM$4, "De Minimis", AB194:AM194), "")</f>
        <v>0</v>
      </c>
      <c r="AR194" s="283"/>
      <c r="AS194" s="284" t="n">
        <f aca="false">IFERROR(L194*$E194*$J194, "")</f>
        <v>0</v>
      </c>
      <c r="AT194" s="284" t="n">
        <f aca="false">IFERROR(M194*$E194*$J194, "")</f>
        <v>0</v>
      </c>
      <c r="AU194" s="284" t="n">
        <f aca="false">IFERROR(N194*$E194*$J194, "")</f>
        <v>0</v>
      </c>
      <c r="AV194" s="284" t="n">
        <f aca="false">IFERROR(O194*$E194*$J194, "")</f>
        <v>0</v>
      </c>
      <c r="AW194" s="284" t="n">
        <f aca="false">IFERROR(P194*$E194*$J194, "")</f>
        <v>0</v>
      </c>
      <c r="AX194" s="284" t="n">
        <f aca="false">IFERROR(Q194*$E194*$J194, "")</f>
        <v>0</v>
      </c>
      <c r="AY194" s="284" t="n">
        <f aca="false">IFERROR(R194*$E194*$J194, "")</f>
        <v>0</v>
      </c>
      <c r="AZ194" s="284" t="n">
        <f aca="false">IFERROR(S194*$E194*$J194, "")</f>
        <v>0</v>
      </c>
      <c r="BA194" s="284" t="n">
        <f aca="false">IFERROR(T194*$E194*$J194, "")</f>
        <v>0</v>
      </c>
      <c r="BB194" s="284" t="n">
        <f aca="false">IFERROR(U194*$E194*$J194, "")</f>
        <v>0</v>
      </c>
      <c r="BC194" s="284" t="n">
        <f aca="false">IFERROR(V194*$E194*$J194, "")</f>
        <v>0</v>
      </c>
      <c r="BD194" s="284" t="n">
        <f aca="false">IFERROR(W194*$E194*$J194, "")</f>
        <v>0</v>
      </c>
      <c r="BE194" s="286" t="n">
        <f aca="false">IFERROR(SUMIF($AB$4:$AM$4, "RDEC", AS194:BD194), "")</f>
        <v>0</v>
      </c>
      <c r="BF194" s="286" t="n">
        <f aca="false">IFERROR(SUMIF($AB$4:$AM$4, "SME", AS194:BD194), "")</f>
        <v>0</v>
      </c>
      <c r="BG194" s="286" t="n">
        <f aca="false">IFERROR(SUMIF($AB$4:$AM$4, "De Minimis", AS194:BD194), "")</f>
        <v>0</v>
      </c>
      <c r="BH194" s="287"/>
      <c r="BI194" s="288" t="str">
        <f aca="false">IF((SUM(L194:W194)&gt;1),"ERROR","")</f>
        <v/>
      </c>
    </row>
    <row r="195" customFormat="false" ht="15" hidden="false" customHeight="true" outlineLevel="0" collapsed="false">
      <c r="A195" s="340"/>
      <c r="B195" s="350"/>
      <c r="C195" s="350"/>
      <c r="H195" s="350"/>
      <c r="I195" s="279" t="n">
        <v>1</v>
      </c>
      <c r="J195" s="281" t="n">
        <f aca="false">1-I195</f>
        <v>0</v>
      </c>
      <c r="K195" s="32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350"/>
      <c r="Y195" s="381"/>
      <c r="Z195" s="384" t="s">
        <v>71</v>
      </c>
      <c r="AA195" s="283"/>
      <c r="AB195" s="284" t="n">
        <f aca="false">IF(AND(AB$4="RDEC", $Y195="Limited Company"), "", L195*$E195*$I195)</f>
        <v>0</v>
      </c>
      <c r="AC195" s="284" t="n">
        <f aca="false">IF(AND(AC$4="RDEC", $Y195="Limited Company"), "", M195*$E195*$I195)</f>
        <v>0</v>
      </c>
      <c r="AD195" s="284" t="n">
        <f aca="false">IF(AND(AD$4="RDEC", $Y195="Limited Company"), "", N195*$E195*$I195)</f>
        <v>0</v>
      </c>
      <c r="AE195" s="284" t="n">
        <f aca="false">IF(AND(AE$4="RDEC", $Y195="Limited Company"), "", O195*$E195*$I195)</f>
        <v>0</v>
      </c>
      <c r="AF195" s="284" t="n">
        <f aca="false">IF(AND(AF$4="RDEC", $Y195="Limited Company"), "", P195*$E195*$I195)</f>
        <v>0</v>
      </c>
      <c r="AG195" s="284" t="n">
        <f aca="false">IF(AND(AG$4="RDEC", $Y195="Limited Company"), "", Q195*$E195*$I195)</f>
        <v>0</v>
      </c>
      <c r="AH195" s="284" t="n">
        <f aca="false">IF(AND(AH$4="RDEC", $Y195="Limited Company"), "", R195*$E195*$I195)</f>
        <v>0</v>
      </c>
      <c r="AI195" s="284" t="n">
        <f aca="false">IF(AND(AI$4="RDEC", $Y195="Limited Company"), "", S195*$E195*$I195)</f>
        <v>0</v>
      </c>
      <c r="AJ195" s="284" t="n">
        <f aca="false">IF(AND(AJ$4="RDEC", $Y195="Limited Company"), "", T195*$E195*$I195)</f>
        <v>0</v>
      </c>
      <c r="AK195" s="284" t="n">
        <f aca="false">IF(AND(AK$4="RDEC", $Y195="Limited Company"), "", U195*$E195*$I195)</f>
        <v>0</v>
      </c>
      <c r="AL195" s="284" t="n">
        <f aca="false">IF(AND(AL$4="RDEC", $Y195="Limited Company"), "", V195*$E195*$I195)</f>
        <v>0</v>
      </c>
      <c r="AM195" s="284" t="n">
        <f aca="false">IF(AND(AM$4="RDEC", $Y195="Limited Company"), "", W195*$E195*$I195)</f>
        <v>0</v>
      </c>
      <c r="AN195" s="286" t="n">
        <f aca="false">IFERROR(SUMIF($AB$4:$AM$4, "RDEC", AB195:AM195), "")</f>
        <v>0</v>
      </c>
      <c r="AO195" s="286" t="str">
        <f aca="false">IFERROR((IF(Z195="Yes",SUMIF($AB$4:$AM$4,"SME",AB195:AM195),"")),"")</f>
        <v/>
      </c>
      <c r="AP195" s="286" t="n">
        <f aca="false">IFERROR((IF(Z195="No",SUMIF($AB$4:$AM$4,"SME",AB195:AM195),"")),"")</f>
        <v>0</v>
      </c>
      <c r="AQ195" s="286" t="n">
        <f aca="false">IFERROR(SUMIF($AB$4:$AM$4, "De Minimis", AB195:AM195), "")</f>
        <v>0</v>
      </c>
      <c r="AR195" s="283"/>
      <c r="AS195" s="284" t="n">
        <f aca="false">IFERROR(L195*$E195*$J195, "")</f>
        <v>0</v>
      </c>
      <c r="AT195" s="284" t="n">
        <f aca="false">IFERROR(M195*$E195*$J195, "")</f>
        <v>0</v>
      </c>
      <c r="AU195" s="284" t="n">
        <f aca="false">IFERROR(N195*$E195*$J195, "")</f>
        <v>0</v>
      </c>
      <c r="AV195" s="284" t="n">
        <f aca="false">IFERROR(O195*$E195*$J195, "")</f>
        <v>0</v>
      </c>
      <c r="AW195" s="284" t="n">
        <f aca="false">IFERROR(P195*$E195*$J195, "")</f>
        <v>0</v>
      </c>
      <c r="AX195" s="284" t="n">
        <f aca="false">IFERROR(Q195*$E195*$J195, "")</f>
        <v>0</v>
      </c>
      <c r="AY195" s="284" t="n">
        <f aca="false">IFERROR(R195*$E195*$J195, "")</f>
        <v>0</v>
      </c>
      <c r="AZ195" s="284" t="n">
        <f aca="false">IFERROR(S195*$E195*$J195, "")</f>
        <v>0</v>
      </c>
      <c r="BA195" s="284" t="n">
        <f aca="false">IFERROR(T195*$E195*$J195, "")</f>
        <v>0</v>
      </c>
      <c r="BB195" s="284" t="n">
        <f aca="false">IFERROR(U195*$E195*$J195, "")</f>
        <v>0</v>
      </c>
      <c r="BC195" s="284" t="n">
        <f aca="false">IFERROR(V195*$E195*$J195, "")</f>
        <v>0</v>
      </c>
      <c r="BD195" s="284" t="n">
        <f aca="false">IFERROR(W195*$E195*$J195, "")</f>
        <v>0</v>
      </c>
      <c r="BE195" s="286" t="n">
        <f aca="false">IFERROR(SUMIF($AB$4:$AM$4, "RDEC", AS195:BD195), "")</f>
        <v>0</v>
      </c>
      <c r="BF195" s="286" t="n">
        <f aca="false">IFERROR(SUMIF($AB$4:$AM$4, "SME", AS195:BD195), "")</f>
        <v>0</v>
      </c>
      <c r="BG195" s="286" t="n">
        <f aca="false">IFERROR(SUMIF($AB$4:$AM$4, "De Minimis", AS195:BD195), "")</f>
        <v>0</v>
      </c>
      <c r="BH195" s="287"/>
      <c r="BI195" s="288" t="str">
        <f aca="false">IF((SUM(L195:W195)&gt;1),"ERROR","")</f>
        <v/>
      </c>
    </row>
    <row r="196" customFormat="false" ht="15" hidden="false" customHeight="true" outlineLevel="0" collapsed="false">
      <c r="A196" s="340"/>
      <c r="B196" s="350"/>
      <c r="C196" s="350"/>
      <c r="H196" s="350"/>
      <c r="I196" s="279" t="n">
        <v>1</v>
      </c>
      <c r="J196" s="281" t="n">
        <f aca="false">1-I196</f>
        <v>0</v>
      </c>
      <c r="K196" s="32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2"/>
      <c r="V196" s="282"/>
      <c r="W196" s="282"/>
      <c r="X196" s="350"/>
      <c r="Y196" s="381"/>
      <c r="Z196" s="384" t="s">
        <v>71</v>
      </c>
      <c r="AA196" s="283"/>
      <c r="AB196" s="284" t="n">
        <f aca="false">IF(AND(AB$4="RDEC", $Y196="Limited Company"), "", L196*$E196*$I196)</f>
        <v>0</v>
      </c>
      <c r="AC196" s="284" t="n">
        <f aca="false">IF(AND(AC$4="RDEC", $Y196="Limited Company"), "", M196*$E196*$I196)</f>
        <v>0</v>
      </c>
      <c r="AD196" s="284" t="n">
        <f aca="false">IF(AND(AD$4="RDEC", $Y196="Limited Company"), "", N196*$E196*$I196)</f>
        <v>0</v>
      </c>
      <c r="AE196" s="284" t="n">
        <f aca="false">IF(AND(AE$4="RDEC", $Y196="Limited Company"), "", O196*$E196*$I196)</f>
        <v>0</v>
      </c>
      <c r="AF196" s="284" t="n">
        <f aca="false">IF(AND(AF$4="RDEC", $Y196="Limited Company"), "", P196*$E196*$I196)</f>
        <v>0</v>
      </c>
      <c r="AG196" s="284" t="n">
        <f aca="false">IF(AND(AG$4="RDEC", $Y196="Limited Company"), "", Q196*$E196*$I196)</f>
        <v>0</v>
      </c>
      <c r="AH196" s="284" t="n">
        <f aca="false">IF(AND(AH$4="RDEC", $Y196="Limited Company"), "", R196*$E196*$I196)</f>
        <v>0</v>
      </c>
      <c r="AI196" s="284" t="n">
        <f aca="false">IF(AND(AI$4="RDEC", $Y196="Limited Company"), "", S196*$E196*$I196)</f>
        <v>0</v>
      </c>
      <c r="AJ196" s="284" t="n">
        <f aca="false">IF(AND(AJ$4="RDEC", $Y196="Limited Company"), "", T196*$E196*$I196)</f>
        <v>0</v>
      </c>
      <c r="AK196" s="284" t="n">
        <f aca="false">IF(AND(AK$4="RDEC", $Y196="Limited Company"), "", U196*$E196*$I196)</f>
        <v>0</v>
      </c>
      <c r="AL196" s="284" t="n">
        <f aca="false">IF(AND(AL$4="RDEC", $Y196="Limited Company"), "", V196*$E196*$I196)</f>
        <v>0</v>
      </c>
      <c r="AM196" s="284" t="n">
        <f aca="false">IF(AND(AM$4="RDEC", $Y196="Limited Company"), "", W196*$E196*$I196)</f>
        <v>0</v>
      </c>
      <c r="AN196" s="286" t="n">
        <f aca="false">IFERROR(SUMIF($AB$4:$AM$4, "RDEC", AB196:AM196), "")</f>
        <v>0</v>
      </c>
      <c r="AO196" s="286" t="str">
        <f aca="false">IFERROR((IF(Z196="Yes",SUMIF($AB$4:$AM$4,"SME",AB196:AM196),"")),"")</f>
        <v/>
      </c>
      <c r="AP196" s="286" t="n">
        <f aca="false">IFERROR((IF(Z196="No",SUMIF($AB$4:$AM$4,"SME",AB196:AM196),"")),"")</f>
        <v>0</v>
      </c>
      <c r="AQ196" s="286" t="n">
        <f aca="false">IFERROR(SUMIF($AB$4:$AM$4, "De Minimis", AB196:AM196), "")</f>
        <v>0</v>
      </c>
      <c r="AR196" s="283"/>
      <c r="AS196" s="284" t="n">
        <f aca="false">IFERROR(L196*$E196*$J196, "")</f>
        <v>0</v>
      </c>
      <c r="AT196" s="284" t="n">
        <f aca="false">IFERROR(M196*$E196*$J196, "")</f>
        <v>0</v>
      </c>
      <c r="AU196" s="284" t="n">
        <f aca="false">IFERROR(N196*$E196*$J196, "")</f>
        <v>0</v>
      </c>
      <c r="AV196" s="284" t="n">
        <f aca="false">IFERROR(O196*$E196*$J196, "")</f>
        <v>0</v>
      </c>
      <c r="AW196" s="284" t="n">
        <f aca="false">IFERROR(P196*$E196*$J196, "")</f>
        <v>0</v>
      </c>
      <c r="AX196" s="284" t="n">
        <f aca="false">IFERROR(Q196*$E196*$J196, "")</f>
        <v>0</v>
      </c>
      <c r="AY196" s="284" t="n">
        <f aca="false">IFERROR(R196*$E196*$J196, "")</f>
        <v>0</v>
      </c>
      <c r="AZ196" s="284" t="n">
        <f aca="false">IFERROR(S196*$E196*$J196, "")</f>
        <v>0</v>
      </c>
      <c r="BA196" s="284" t="n">
        <f aca="false">IFERROR(T196*$E196*$J196, "")</f>
        <v>0</v>
      </c>
      <c r="BB196" s="284" t="n">
        <f aca="false">IFERROR(U196*$E196*$J196, "")</f>
        <v>0</v>
      </c>
      <c r="BC196" s="284" t="n">
        <f aca="false">IFERROR(V196*$E196*$J196, "")</f>
        <v>0</v>
      </c>
      <c r="BD196" s="284" t="n">
        <f aca="false">IFERROR(W196*$E196*$J196, "")</f>
        <v>0</v>
      </c>
      <c r="BE196" s="286" t="n">
        <f aca="false">IFERROR(SUMIF($AB$4:$AM$4, "RDEC", AS196:BD196), "")</f>
        <v>0</v>
      </c>
      <c r="BF196" s="286" t="n">
        <f aca="false">IFERROR(SUMIF($AB$4:$AM$4, "SME", AS196:BD196), "")</f>
        <v>0</v>
      </c>
      <c r="BG196" s="286" t="n">
        <f aca="false">IFERROR(SUMIF($AB$4:$AM$4, "De Minimis", AS196:BD196), "")</f>
        <v>0</v>
      </c>
      <c r="BH196" s="287"/>
      <c r="BI196" s="288" t="str">
        <f aca="false">IF((SUM(L196:W196)&gt;1),"ERROR","")</f>
        <v/>
      </c>
    </row>
    <row r="197" customFormat="false" ht="15" hidden="false" customHeight="true" outlineLevel="0" collapsed="false">
      <c r="A197" s="340"/>
      <c r="B197" s="350"/>
      <c r="C197" s="350"/>
      <c r="H197" s="350"/>
      <c r="I197" s="279" t="n">
        <v>1</v>
      </c>
      <c r="J197" s="281" t="n">
        <f aca="false">1-I197</f>
        <v>0</v>
      </c>
      <c r="K197" s="32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2"/>
      <c r="V197" s="282"/>
      <c r="W197" s="282"/>
      <c r="X197" s="350"/>
      <c r="Y197" s="381"/>
      <c r="Z197" s="384" t="s">
        <v>71</v>
      </c>
      <c r="AA197" s="283"/>
      <c r="AB197" s="284" t="n">
        <f aca="false">IF(AND(AB$4="RDEC", $Y197="Limited Company"), "", L197*$E197*$I197)</f>
        <v>0</v>
      </c>
      <c r="AC197" s="284" t="n">
        <f aca="false">IF(AND(AC$4="RDEC", $Y197="Limited Company"), "", M197*$E197*$I197)</f>
        <v>0</v>
      </c>
      <c r="AD197" s="284" t="n">
        <f aca="false">IF(AND(AD$4="RDEC", $Y197="Limited Company"), "", N197*$E197*$I197)</f>
        <v>0</v>
      </c>
      <c r="AE197" s="284" t="n">
        <f aca="false">IF(AND(AE$4="RDEC", $Y197="Limited Company"), "", O197*$E197*$I197)</f>
        <v>0</v>
      </c>
      <c r="AF197" s="284" t="n">
        <f aca="false">IF(AND(AF$4="RDEC", $Y197="Limited Company"), "", P197*$E197*$I197)</f>
        <v>0</v>
      </c>
      <c r="AG197" s="284" t="n">
        <f aca="false">IF(AND(AG$4="RDEC", $Y197="Limited Company"), "", Q197*$E197*$I197)</f>
        <v>0</v>
      </c>
      <c r="AH197" s="284" t="n">
        <f aca="false">IF(AND(AH$4="RDEC", $Y197="Limited Company"), "", R197*$E197*$I197)</f>
        <v>0</v>
      </c>
      <c r="AI197" s="284" t="n">
        <f aca="false">IF(AND(AI$4="RDEC", $Y197="Limited Company"), "", S197*$E197*$I197)</f>
        <v>0</v>
      </c>
      <c r="AJ197" s="284" t="n">
        <f aca="false">IF(AND(AJ$4="RDEC", $Y197="Limited Company"), "", T197*$E197*$I197)</f>
        <v>0</v>
      </c>
      <c r="AK197" s="284" t="n">
        <f aca="false">IF(AND(AK$4="RDEC", $Y197="Limited Company"), "", U197*$E197*$I197)</f>
        <v>0</v>
      </c>
      <c r="AL197" s="284" t="n">
        <f aca="false">IF(AND(AL$4="RDEC", $Y197="Limited Company"), "", V197*$E197*$I197)</f>
        <v>0</v>
      </c>
      <c r="AM197" s="284" t="n">
        <f aca="false">IF(AND(AM$4="RDEC", $Y197="Limited Company"), "", W197*$E197*$I197)</f>
        <v>0</v>
      </c>
      <c r="AN197" s="286" t="n">
        <f aca="false">IFERROR(SUMIF($AB$4:$AM$4, "RDEC", AB197:AM197), "")</f>
        <v>0</v>
      </c>
      <c r="AO197" s="286" t="str">
        <f aca="false">IFERROR((IF(Z197="Yes",SUMIF($AB$4:$AM$4,"SME",AB197:AM197),"")),"")</f>
        <v/>
      </c>
      <c r="AP197" s="286" t="n">
        <f aca="false">IFERROR((IF(Z197="No",SUMIF($AB$4:$AM$4,"SME",AB197:AM197),"")),"")</f>
        <v>0</v>
      </c>
      <c r="AQ197" s="286" t="n">
        <f aca="false">IFERROR(SUMIF($AB$4:$AM$4, "De Minimis", AB197:AM197), "")</f>
        <v>0</v>
      </c>
      <c r="AR197" s="283"/>
      <c r="AS197" s="284" t="n">
        <f aca="false">IFERROR(L197*$E197*$J197, "")</f>
        <v>0</v>
      </c>
      <c r="AT197" s="284" t="n">
        <f aca="false">IFERROR(M197*$E197*$J197, "")</f>
        <v>0</v>
      </c>
      <c r="AU197" s="284" t="n">
        <f aca="false">IFERROR(N197*$E197*$J197, "")</f>
        <v>0</v>
      </c>
      <c r="AV197" s="284" t="n">
        <f aca="false">IFERROR(O197*$E197*$J197, "")</f>
        <v>0</v>
      </c>
      <c r="AW197" s="284" t="n">
        <f aca="false">IFERROR(P197*$E197*$J197, "")</f>
        <v>0</v>
      </c>
      <c r="AX197" s="284" t="n">
        <f aca="false">IFERROR(Q197*$E197*$J197, "")</f>
        <v>0</v>
      </c>
      <c r="AY197" s="284" t="n">
        <f aca="false">IFERROR(R197*$E197*$J197, "")</f>
        <v>0</v>
      </c>
      <c r="AZ197" s="284" t="n">
        <f aca="false">IFERROR(S197*$E197*$J197, "")</f>
        <v>0</v>
      </c>
      <c r="BA197" s="284" t="n">
        <f aca="false">IFERROR(T197*$E197*$J197, "")</f>
        <v>0</v>
      </c>
      <c r="BB197" s="284" t="n">
        <f aca="false">IFERROR(U197*$E197*$J197, "")</f>
        <v>0</v>
      </c>
      <c r="BC197" s="284" t="n">
        <f aca="false">IFERROR(V197*$E197*$J197, "")</f>
        <v>0</v>
      </c>
      <c r="BD197" s="284" t="n">
        <f aca="false">IFERROR(W197*$E197*$J197, "")</f>
        <v>0</v>
      </c>
      <c r="BE197" s="286" t="n">
        <f aca="false">IFERROR(SUMIF($AB$4:$AM$4, "RDEC", AS197:BD197), "")</f>
        <v>0</v>
      </c>
      <c r="BF197" s="286" t="n">
        <f aca="false">IFERROR(SUMIF($AB$4:$AM$4, "SME", AS197:BD197), "")</f>
        <v>0</v>
      </c>
      <c r="BG197" s="286" t="n">
        <f aca="false">IFERROR(SUMIF($AB$4:$AM$4, "De Minimis", AS197:BD197), "")</f>
        <v>0</v>
      </c>
      <c r="BH197" s="287"/>
      <c r="BI197" s="288" t="str">
        <f aca="false">IF((SUM(L197:W197)&gt;1),"ERROR","")</f>
        <v/>
      </c>
    </row>
    <row r="198" customFormat="false" ht="15" hidden="false" customHeight="true" outlineLevel="0" collapsed="false">
      <c r="A198" s="340"/>
      <c r="B198" s="350"/>
      <c r="C198" s="350"/>
      <c r="H198" s="350"/>
      <c r="I198" s="279" t="n">
        <v>1</v>
      </c>
      <c r="J198" s="281" t="n">
        <f aca="false">1-I198</f>
        <v>0</v>
      </c>
      <c r="K198" s="32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350"/>
      <c r="Y198" s="381"/>
      <c r="Z198" s="384" t="s">
        <v>71</v>
      </c>
      <c r="AA198" s="283"/>
      <c r="AB198" s="284" t="n">
        <f aca="false">IF(AND(AB$4="RDEC", $Y198="Limited Company"), "", L198*$E198*$I198)</f>
        <v>0</v>
      </c>
      <c r="AC198" s="284" t="n">
        <f aca="false">IF(AND(AC$4="RDEC", $Y198="Limited Company"), "", M198*$E198*$I198)</f>
        <v>0</v>
      </c>
      <c r="AD198" s="284" t="n">
        <f aca="false">IF(AND(AD$4="RDEC", $Y198="Limited Company"), "", N198*$E198*$I198)</f>
        <v>0</v>
      </c>
      <c r="AE198" s="284" t="n">
        <f aca="false">IF(AND(AE$4="RDEC", $Y198="Limited Company"), "", O198*$E198*$I198)</f>
        <v>0</v>
      </c>
      <c r="AF198" s="284" t="n">
        <f aca="false">IF(AND(AF$4="RDEC", $Y198="Limited Company"), "", P198*$E198*$I198)</f>
        <v>0</v>
      </c>
      <c r="AG198" s="284" t="n">
        <f aca="false">IF(AND(AG$4="RDEC", $Y198="Limited Company"), "", Q198*$E198*$I198)</f>
        <v>0</v>
      </c>
      <c r="AH198" s="284" t="n">
        <f aca="false">IF(AND(AH$4="RDEC", $Y198="Limited Company"), "", R198*$E198*$I198)</f>
        <v>0</v>
      </c>
      <c r="AI198" s="284" t="n">
        <f aca="false">IF(AND(AI$4="RDEC", $Y198="Limited Company"), "", S198*$E198*$I198)</f>
        <v>0</v>
      </c>
      <c r="AJ198" s="284" t="n">
        <f aca="false">IF(AND(AJ$4="RDEC", $Y198="Limited Company"), "", T198*$E198*$I198)</f>
        <v>0</v>
      </c>
      <c r="AK198" s="284" t="n">
        <f aca="false">IF(AND(AK$4="RDEC", $Y198="Limited Company"), "", U198*$E198*$I198)</f>
        <v>0</v>
      </c>
      <c r="AL198" s="284" t="n">
        <f aca="false">IF(AND(AL$4="RDEC", $Y198="Limited Company"), "", V198*$E198*$I198)</f>
        <v>0</v>
      </c>
      <c r="AM198" s="284" t="n">
        <f aca="false">IF(AND(AM$4="RDEC", $Y198="Limited Company"), "", W198*$E198*$I198)</f>
        <v>0</v>
      </c>
      <c r="AN198" s="286" t="n">
        <f aca="false">IFERROR(SUMIF($AB$4:$AM$4, "RDEC", AB198:AM198), "")</f>
        <v>0</v>
      </c>
      <c r="AO198" s="286" t="str">
        <f aca="false">IFERROR((IF(Z198="Yes",SUMIF($AB$4:$AM$4,"SME",AB198:AM198),"")),"")</f>
        <v/>
      </c>
      <c r="AP198" s="286" t="n">
        <f aca="false">IFERROR((IF(Z198="No",SUMIF($AB$4:$AM$4,"SME",AB198:AM198),"")),"")</f>
        <v>0</v>
      </c>
      <c r="AQ198" s="286" t="n">
        <f aca="false">IFERROR(SUMIF($AB$4:$AM$4, "De Minimis", AB198:AM198), "")</f>
        <v>0</v>
      </c>
      <c r="AR198" s="283"/>
      <c r="AS198" s="284" t="n">
        <f aca="false">IFERROR(L198*$E198*$J198, "")</f>
        <v>0</v>
      </c>
      <c r="AT198" s="284" t="n">
        <f aca="false">IFERROR(M198*$E198*$J198, "")</f>
        <v>0</v>
      </c>
      <c r="AU198" s="284" t="n">
        <f aca="false">IFERROR(N198*$E198*$J198, "")</f>
        <v>0</v>
      </c>
      <c r="AV198" s="284" t="n">
        <f aca="false">IFERROR(O198*$E198*$J198, "")</f>
        <v>0</v>
      </c>
      <c r="AW198" s="284" t="n">
        <f aca="false">IFERROR(P198*$E198*$J198, "")</f>
        <v>0</v>
      </c>
      <c r="AX198" s="284" t="n">
        <f aca="false">IFERROR(Q198*$E198*$J198, "")</f>
        <v>0</v>
      </c>
      <c r="AY198" s="284" t="n">
        <f aca="false">IFERROR(R198*$E198*$J198, "")</f>
        <v>0</v>
      </c>
      <c r="AZ198" s="284" t="n">
        <f aca="false">IFERROR(S198*$E198*$J198, "")</f>
        <v>0</v>
      </c>
      <c r="BA198" s="284" t="n">
        <f aca="false">IFERROR(T198*$E198*$J198, "")</f>
        <v>0</v>
      </c>
      <c r="BB198" s="284" t="n">
        <f aca="false">IFERROR(U198*$E198*$J198, "")</f>
        <v>0</v>
      </c>
      <c r="BC198" s="284" t="n">
        <f aca="false">IFERROR(V198*$E198*$J198, "")</f>
        <v>0</v>
      </c>
      <c r="BD198" s="284" t="n">
        <f aca="false">IFERROR(W198*$E198*$J198, "")</f>
        <v>0</v>
      </c>
      <c r="BE198" s="286" t="n">
        <f aca="false">IFERROR(SUMIF($AB$4:$AM$4, "RDEC", AS198:BD198), "")</f>
        <v>0</v>
      </c>
      <c r="BF198" s="286" t="n">
        <f aca="false">IFERROR(SUMIF($AB$4:$AM$4, "SME", AS198:BD198), "")</f>
        <v>0</v>
      </c>
      <c r="BG198" s="286" t="n">
        <f aca="false">IFERROR(SUMIF($AB$4:$AM$4, "De Minimis", AS198:BD198), "")</f>
        <v>0</v>
      </c>
      <c r="BH198" s="287"/>
      <c r="BI198" s="288" t="str">
        <f aca="false">IF((SUM(L198:W198)&gt;1),"ERROR","")</f>
        <v/>
      </c>
    </row>
    <row r="199" customFormat="false" ht="15" hidden="false" customHeight="true" outlineLevel="0" collapsed="false">
      <c r="A199" s="340"/>
      <c r="B199" s="350"/>
      <c r="C199" s="350"/>
      <c r="H199" s="350"/>
      <c r="I199" s="279" t="n">
        <v>1</v>
      </c>
      <c r="J199" s="281" t="n">
        <f aca="false">1-I199</f>
        <v>0</v>
      </c>
      <c r="K199" s="32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350"/>
      <c r="Y199" s="381"/>
      <c r="Z199" s="384" t="s">
        <v>71</v>
      </c>
      <c r="AA199" s="283"/>
      <c r="AB199" s="284" t="n">
        <f aca="false">IF(AND(AB$4="RDEC", $Y199="Limited Company"), "", L199*$E199*$I199)</f>
        <v>0</v>
      </c>
      <c r="AC199" s="284" t="n">
        <f aca="false">IF(AND(AC$4="RDEC", $Y199="Limited Company"), "", M199*$E199*$I199)</f>
        <v>0</v>
      </c>
      <c r="AD199" s="284" t="n">
        <f aca="false">IF(AND(AD$4="RDEC", $Y199="Limited Company"), "", N199*$E199*$I199)</f>
        <v>0</v>
      </c>
      <c r="AE199" s="284" t="n">
        <f aca="false">IF(AND(AE$4="RDEC", $Y199="Limited Company"), "", O199*$E199*$I199)</f>
        <v>0</v>
      </c>
      <c r="AF199" s="284" t="n">
        <f aca="false">IF(AND(AF$4="RDEC", $Y199="Limited Company"), "", P199*$E199*$I199)</f>
        <v>0</v>
      </c>
      <c r="AG199" s="284" t="n">
        <f aca="false">IF(AND(AG$4="RDEC", $Y199="Limited Company"), "", Q199*$E199*$I199)</f>
        <v>0</v>
      </c>
      <c r="AH199" s="284" t="n">
        <f aca="false">IF(AND(AH$4="RDEC", $Y199="Limited Company"), "", R199*$E199*$I199)</f>
        <v>0</v>
      </c>
      <c r="AI199" s="284" t="n">
        <f aca="false">IF(AND(AI$4="RDEC", $Y199="Limited Company"), "", S199*$E199*$I199)</f>
        <v>0</v>
      </c>
      <c r="AJ199" s="284" t="n">
        <f aca="false">IF(AND(AJ$4="RDEC", $Y199="Limited Company"), "", T199*$E199*$I199)</f>
        <v>0</v>
      </c>
      <c r="AK199" s="284" t="n">
        <f aca="false">IF(AND(AK$4="RDEC", $Y199="Limited Company"), "", U199*$E199*$I199)</f>
        <v>0</v>
      </c>
      <c r="AL199" s="284" t="n">
        <f aca="false">IF(AND(AL$4="RDEC", $Y199="Limited Company"), "", V199*$E199*$I199)</f>
        <v>0</v>
      </c>
      <c r="AM199" s="284" t="n">
        <f aca="false">IF(AND(AM$4="RDEC", $Y199="Limited Company"), "", W199*$E199*$I199)</f>
        <v>0</v>
      </c>
      <c r="AN199" s="286" t="n">
        <f aca="false">IFERROR(SUMIF($AB$4:$AM$4, "RDEC", AB199:AM199), "")</f>
        <v>0</v>
      </c>
      <c r="AO199" s="286" t="str">
        <f aca="false">IFERROR((IF(Z199="Yes",SUMIF($AB$4:$AM$4,"SME",AB199:AM199),"")),"")</f>
        <v/>
      </c>
      <c r="AP199" s="286" t="n">
        <f aca="false">IFERROR((IF(Z199="No",SUMIF($AB$4:$AM$4,"SME",AB199:AM199),"")),"")</f>
        <v>0</v>
      </c>
      <c r="AQ199" s="286" t="n">
        <f aca="false">IFERROR(SUMIF($AB$4:$AM$4, "De Minimis", AB199:AM199), "")</f>
        <v>0</v>
      </c>
      <c r="AR199" s="283"/>
      <c r="AS199" s="284" t="n">
        <f aca="false">IFERROR(L199*$E199*$J199, "")</f>
        <v>0</v>
      </c>
      <c r="AT199" s="284" t="n">
        <f aca="false">IFERROR(M199*$E199*$J199, "")</f>
        <v>0</v>
      </c>
      <c r="AU199" s="284" t="n">
        <f aca="false">IFERROR(N199*$E199*$J199, "")</f>
        <v>0</v>
      </c>
      <c r="AV199" s="284" t="n">
        <f aca="false">IFERROR(O199*$E199*$J199, "")</f>
        <v>0</v>
      </c>
      <c r="AW199" s="284" t="n">
        <f aca="false">IFERROR(P199*$E199*$J199, "")</f>
        <v>0</v>
      </c>
      <c r="AX199" s="284" t="n">
        <f aca="false">IFERROR(Q199*$E199*$J199, "")</f>
        <v>0</v>
      </c>
      <c r="AY199" s="284" t="n">
        <f aca="false">IFERROR(R199*$E199*$J199, "")</f>
        <v>0</v>
      </c>
      <c r="AZ199" s="284" t="n">
        <f aca="false">IFERROR(S199*$E199*$J199, "")</f>
        <v>0</v>
      </c>
      <c r="BA199" s="284" t="n">
        <f aca="false">IFERROR(T199*$E199*$J199, "")</f>
        <v>0</v>
      </c>
      <c r="BB199" s="284" t="n">
        <f aca="false">IFERROR(U199*$E199*$J199, "")</f>
        <v>0</v>
      </c>
      <c r="BC199" s="284" t="n">
        <f aca="false">IFERROR(V199*$E199*$J199, "")</f>
        <v>0</v>
      </c>
      <c r="BD199" s="284" t="n">
        <f aca="false">IFERROR(W199*$E199*$J199, "")</f>
        <v>0</v>
      </c>
      <c r="BE199" s="286" t="n">
        <f aca="false">IFERROR(SUMIF($AB$4:$AM$4, "RDEC", AS199:BD199), "")</f>
        <v>0</v>
      </c>
      <c r="BF199" s="286" t="n">
        <f aca="false">IFERROR(SUMIF($AB$4:$AM$4, "SME", AS199:BD199), "")</f>
        <v>0</v>
      </c>
      <c r="BG199" s="286" t="n">
        <f aca="false">IFERROR(SUMIF($AB$4:$AM$4, "De Minimis", AS199:BD199), "")</f>
        <v>0</v>
      </c>
      <c r="BH199" s="303"/>
      <c r="BI199" s="288" t="str">
        <f aca="false">IF((SUM(L199:W199)&gt;1),"ERROR","")</f>
        <v/>
      </c>
    </row>
    <row r="200" customFormat="false" ht="15" hidden="false" customHeight="true" outlineLevel="0" collapsed="false">
      <c r="A200" s="340"/>
      <c r="B200" s="350"/>
      <c r="C200" s="350"/>
      <c r="H200" s="350"/>
      <c r="I200" s="279" t="n">
        <v>1</v>
      </c>
      <c r="J200" s="281" t="n">
        <f aca="false">1-I200</f>
        <v>0</v>
      </c>
      <c r="K200" s="32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350"/>
      <c r="Y200" s="381"/>
      <c r="Z200" s="384" t="s">
        <v>71</v>
      </c>
      <c r="AA200" s="283"/>
      <c r="AB200" s="284" t="n">
        <f aca="false">IF(AND(AB$4="RDEC", $Y200="Limited Company"), "", L200*$E200*$I200)</f>
        <v>0</v>
      </c>
      <c r="AC200" s="284" t="n">
        <f aca="false">IF(AND(AC$4="RDEC", $Y200="Limited Company"), "", M200*$E200*$I200)</f>
        <v>0</v>
      </c>
      <c r="AD200" s="284" t="n">
        <f aca="false">IF(AND(AD$4="RDEC", $Y200="Limited Company"), "", N200*$E200*$I200)</f>
        <v>0</v>
      </c>
      <c r="AE200" s="284" t="n">
        <f aca="false">IF(AND(AE$4="RDEC", $Y200="Limited Company"), "", O200*$E200*$I200)</f>
        <v>0</v>
      </c>
      <c r="AF200" s="284" t="n">
        <f aca="false">IF(AND(AF$4="RDEC", $Y200="Limited Company"), "", P200*$E200*$I200)</f>
        <v>0</v>
      </c>
      <c r="AG200" s="284" t="n">
        <f aca="false">IF(AND(AG$4="RDEC", $Y200="Limited Company"), "", Q200*$E200*$I200)</f>
        <v>0</v>
      </c>
      <c r="AH200" s="284" t="n">
        <f aca="false">IF(AND(AH$4="RDEC", $Y200="Limited Company"), "", R200*$E200*$I200)</f>
        <v>0</v>
      </c>
      <c r="AI200" s="284" t="n">
        <f aca="false">IF(AND(AI$4="RDEC", $Y200="Limited Company"), "", S200*$E200*$I200)</f>
        <v>0</v>
      </c>
      <c r="AJ200" s="284" t="n">
        <f aca="false">IF(AND(AJ$4="RDEC", $Y200="Limited Company"), "", T200*$E200*$I200)</f>
        <v>0</v>
      </c>
      <c r="AK200" s="284" t="n">
        <f aca="false">IF(AND(AK$4="RDEC", $Y200="Limited Company"), "", U200*$E200*$I200)</f>
        <v>0</v>
      </c>
      <c r="AL200" s="284" t="n">
        <f aca="false">IF(AND(AL$4="RDEC", $Y200="Limited Company"), "", V200*$E200*$I200)</f>
        <v>0</v>
      </c>
      <c r="AM200" s="284" t="n">
        <f aca="false">IF(AND(AM$4="RDEC", $Y200="Limited Company"), "", W200*$E200*$I200)</f>
        <v>0</v>
      </c>
      <c r="AN200" s="286" t="n">
        <f aca="false">IFERROR(SUMIF($AB$4:$AM$4, "RDEC", AB200:AM200), "")</f>
        <v>0</v>
      </c>
      <c r="AO200" s="286" t="str">
        <f aca="false">IFERROR((IF(Z200="Yes",SUMIF($AB$4:$AM$4,"SME",AB200:AM200),"")),"")</f>
        <v/>
      </c>
      <c r="AP200" s="286" t="n">
        <f aca="false">IFERROR((IF(Z200="No",SUMIF($AB$4:$AM$4,"SME",AB200:AM200),"")),"")</f>
        <v>0</v>
      </c>
      <c r="AQ200" s="286" t="n">
        <f aca="false">IFERROR(SUMIF($AB$4:$AM$4, "De Minimis", AB200:AM200), "")</f>
        <v>0</v>
      </c>
      <c r="AR200" s="283"/>
      <c r="AS200" s="284" t="n">
        <f aca="false">IFERROR(L200*$E200*$J200, "")</f>
        <v>0</v>
      </c>
      <c r="AT200" s="284" t="n">
        <f aca="false">IFERROR(M200*$E200*$J200, "")</f>
        <v>0</v>
      </c>
      <c r="AU200" s="284" t="n">
        <f aca="false">IFERROR(N200*$E200*$J200, "")</f>
        <v>0</v>
      </c>
      <c r="AV200" s="284" t="n">
        <f aca="false">IFERROR(O200*$E200*$J200, "")</f>
        <v>0</v>
      </c>
      <c r="AW200" s="284" t="n">
        <f aca="false">IFERROR(P200*$E200*$J200, "")</f>
        <v>0</v>
      </c>
      <c r="AX200" s="284" t="n">
        <f aca="false">IFERROR(Q200*$E200*$J200, "")</f>
        <v>0</v>
      </c>
      <c r="AY200" s="284" t="n">
        <f aca="false">IFERROR(R200*$E200*$J200, "")</f>
        <v>0</v>
      </c>
      <c r="AZ200" s="284" t="n">
        <f aca="false">IFERROR(S200*$E200*$J200, "")</f>
        <v>0</v>
      </c>
      <c r="BA200" s="284" t="n">
        <f aca="false">IFERROR(T200*$E200*$J200, "")</f>
        <v>0</v>
      </c>
      <c r="BB200" s="284" t="n">
        <f aca="false">IFERROR(U200*$E200*$J200, "")</f>
        <v>0</v>
      </c>
      <c r="BC200" s="284" t="n">
        <f aca="false">IFERROR(V200*$E200*$J200, "")</f>
        <v>0</v>
      </c>
      <c r="BD200" s="284" t="n">
        <f aca="false">IFERROR(W200*$E200*$J200, "")</f>
        <v>0</v>
      </c>
      <c r="BE200" s="286" t="n">
        <f aca="false">IFERROR(SUMIF($AB$4:$AM$4, "RDEC", AS200:BD200), "")</f>
        <v>0</v>
      </c>
      <c r="BF200" s="286" t="n">
        <f aca="false">IFERROR(SUMIF($AB$4:$AM$4, "SME", AS200:BD200), "")</f>
        <v>0</v>
      </c>
      <c r="BG200" s="286" t="n">
        <f aca="false">IFERROR(SUMIF($AB$4:$AM$4, "De Minimis", AS200:BD200), "")</f>
        <v>0</v>
      </c>
      <c r="BI200" s="288" t="str">
        <f aca="false">IF((SUM(L200:W200)&gt;1),"ERROR","")</f>
        <v/>
      </c>
    </row>
    <row r="201" customFormat="false" ht="15" hidden="false" customHeight="true" outlineLevel="0" collapsed="false">
      <c r="A201" s="340"/>
      <c r="B201" s="350"/>
      <c r="C201" s="350"/>
      <c r="H201" s="350"/>
      <c r="I201" s="279" t="n">
        <v>1</v>
      </c>
      <c r="J201" s="281" t="n">
        <f aca="false">1-I201</f>
        <v>0</v>
      </c>
      <c r="K201" s="32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350"/>
      <c r="Y201" s="381"/>
      <c r="Z201" s="384" t="s">
        <v>71</v>
      </c>
      <c r="AA201" s="283"/>
      <c r="AB201" s="284" t="n">
        <f aca="false">IF(AND(AB$4="RDEC", $Y201="Limited Company"), "", L201*$E201*$I201)</f>
        <v>0</v>
      </c>
      <c r="AC201" s="284" t="n">
        <f aca="false">IF(AND(AC$4="RDEC", $Y201="Limited Company"), "", M201*$E201*$I201)</f>
        <v>0</v>
      </c>
      <c r="AD201" s="284" t="n">
        <f aca="false">IF(AND(AD$4="RDEC", $Y201="Limited Company"), "", N201*$E201*$I201)</f>
        <v>0</v>
      </c>
      <c r="AE201" s="284" t="n">
        <f aca="false">IF(AND(AE$4="RDEC", $Y201="Limited Company"), "", O201*$E201*$I201)</f>
        <v>0</v>
      </c>
      <c r="AF201" s="284" t="n">
        <f aca="false">IF(AND(AF$4="RDEC", $Y201="Limited Company"), "", P201*$E201*$I201)</f>
        <v>0</v>
      </c>
      <c r="AG201" s="284" t="n">
        <f aca="false">IF(AND(AG$4="RDEC", $Y201="Limited Company"), "", Q201*$E201*$I201)</f>
        <v>0</v>
      </c>
      <c r="AH201" s="284" t="n">
        <f aca="false">IF(AND(AH$4="RDEC", $Y201="Limited Company"), "", R201*$E201*$I201)</f>
        <v>0</v>
      </c>
      <c r="AI201" s="284" t="n">
        <f aca="false">IF(AND(AI$4="RDEC", $Y201="Limited Company"), "", S201*$E201*$I201)</f>
        <v>0</v>
      </c>
      <c r="AJ201" s="284" t="n">
        <f aca="false">IF(AND(AJ$4="RDEC", $Y201="Limited Company"), "", T201*$E201*$I201)</f>
        <v>0</v>
      </c>
      <c r="AK201" s="284" t="n">
        <f aca="false">IF(AND(AK$4="RDEC", $Y201="Limited Company"), "", U201*$E201*$I201)</f>
        <v>0</v>
      </c>
      <c r="AL201" s="284" t="n">
        <f aca="false">IF(AND(AL$4="RDEC", $Y201="Limited Company"), "", V201*$E201*$I201)</f>
        <v>0</v>
      </c>
      <c r="AM201" s="284" t="n">
        <f aca="false">IF(AND(AM$4="RDEC", $Y201="Limited Company"), "", W201*$E201*$I201)</f>
        <v>0</v>
      </c>
      <c r="AN201" s="286" t="n">
        <f aca="false">IFERROR(SUMIF($AB$4:$AM$4, "RDEC", AB201:AM201), "")</f>
        <v>0</v>
      </c>
      <c r="AO201" s="286" t="str">
        <f aca="false">IFERROR((IF(Z201="Yes",SUMIF($AB$4:$AM$4,"SME",AB201:AM201),"")),"")</f>
        <v/>
      </c>
      <c r="AP201" s="286" t="n">
        <f aca="false">IFERROR((IF(Z201="No",SUMIF($AB$4:$AM$4,"SME",AB201:AM201),"")),"")</f>
        <v>0</v>
      </c>
      <c r="AQ201" s="286" t="n">
        <f aca="false">IFERROR(SUMIF($AB$4:$AM$4, "De Minimis", AB201:AM201), "")</f>
        <v>0</v>
      </c>
      <c r="AR201" s="283"/>
      <c r="AS201" s="284" t="n">
        <f aca="false">IFERROR(L201*$E201*$J201, "")</f>
        <v>0</v>
      </c>
      <c r="AT201" s="284" t="n">
        <f aca="false">IFERROR(M201*$E201*$J201, "")</f>
        <v>0</v>
      </c>
      <c r="AU201" s="284" t="n">
        <f aca="false">IFERROR(N201*$E201*$J201, "")</f>
        <v>0</v>
      </c>
      <c r="AV201" s="284" t="n">
        <f aca="false">IFERROR(O201*$E201*$J201, "")</f>
        <v>0</v>
      </c>
      <c r="AW201" s="284" t="n">
        <f aca="false">IFERROR(P201*$E201*$J201, "")</f>
        <v>0</v>
      </c>
      <c r="AX201" s="284" t="n">
        <f aca="false">IFERROR(Q201*$E201*$J201, "")</f>
        <v>0</v>
      </c>
      <c r="AY201" s="284" t="n">
        <f aca="false">IFERROR(R201*$E201*$J201, "")</f>
        <v>0</v>
      </c>
      <c r="AZ201" s="284" t="n">
        <f aca="false">IFERROR(S201*$E201*$J201, "")</f>
        <v>0</v>
      </c>
      <c r="BA201" s="284" t="n">
        <f aca="false">IFERROR(T201*$E201*$J201, "")</f>
        <v>0</v>
      </c>
      <c r="BB201" s="284" t="n">
        <f aca="false">IFERROR(U201*$E201*$J201, "")</f>
        <v>0</v>
      </c>
      <c r="BC201" s="284" t="n">
        <f aca="false">IFERROR(V201*$E201*$J201, "")</f>
        <v>0</v>
      </c>
      <c r="BD201" s="284" t="n">
        <f aca="false">IFERROR(W201*$E201*$J201, "")</f>
        <v>0</v>
      </c>
      <c r="BE201" s="286" t="n">
        <f aca="false">IFERROR(SUMIF($AB$4:$AM$4, "RDEC", AS201:BD201), "")</f>
        <v>0</v>
      </c>
      <c r="BF201" s="286" t="n">
        <f aca="false">IFERROR(SUMIF($AB$4:$AM$4, "SME", AS201:BD201), "")</f>
        <v>0</v>
      </c>
      <c r="BG201" s="286" t="n">
        <f aca="false">IFERROR(SUMIF($AB$4:$AM$4, "De Minimis", AS201:BD201), "")</f>
        <v>0</v>
      </c>
      <c r="BH201" s="268"/>
      <c r="BI201" s="288" t="str">
        <f aca="false">IF((SUM(L201:W201)&gt;1),"ERROR","")</f>
        <v/>
      </c>
    </row>
    <row r="202" customFormat="false" ht="15" hidden="false" customHeight="true" outlineLevel="0" collapsed="false">
      <c r="A202" s="340"/>
      <c r="B202" s="350"/>
      <c r="C202" s="350"/>
      <c r="H202" s="350"/>
      <c r="I202" s="279" t="n">
        <v>1</v>
      </c>
      <c r="J202" s="281" t="n">
        <f aca="false">1-I202</f>
        <v>0</v>
      </c>
      <c r="K202" s="32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350"/>
      <c r="Y202" s="381"/>
      <c r="Z202" s="384" t="s">
        <v>71</v>
      </c>
      <c r="AA202" s="283"/>
      <c r="AB202" s="284" t="n">
        <f aca="false">IF(AND(AB$4="RDEC", $Y202="Limited Company"), "", L202*$E202*$I202)</f>
        <v>0</v>
      </c>
      <c r="AC202" s="284" t="n">
        <f aca="false">IF(AND(AC$4="RDEC", $Y202="Limited Company"), "", M202*$E202*$I202)</f>
        <v>0</v>
      </c>
      <c r="AD202" s="284" t="n">
        <f aca="false">IF(AND(AD$4="RDEC", $Y202="Limited Company"), "", N202*$E202*$I202)</f>
        <v>0</v>
      </c>
      <c r="AE202" s="284" t="n">
        <f aca="false">IF(AND(AE$4="RDEC", $Y202="Limited Company"), "", O202*$E202*$I202)</f>
        <v>0</v>
      </c>
      <c r="AF202" s="284" t="n">
        <f aca="false">IF(AND(AF$4="RDEC", $Y202="Limited Company"), "", P202*$E202*$I202)</f>
        <v>0</v>
      </c>
      <c r="AG202" s="284" t="n">
        <f aca="false">IF(AND(AG$4="RDEC", $Y202="Limited Company"), "", Q202*$E202*$I202)</f>
        <v>0</v>
      </c>
      <c r="AH202" s="284" t="n">
        <f aca="false">IF(AND(AH$4="RDEC", $Y202="Limited Company"), "", R202*$E202*$I202)</f>
        <v>0</v>
      </c>
      <c r="AI202" s="284" t="n">
        <f aca="false">IF(AND(AI$4="RDEC", $Y202="Limited Company"), "", S202*$E202*$I202)</f>
        <v>0</v>
      </c>
      <c r="AJ202" s="284" t="n">
        <f aca="false">IF(AND(AJ$4="RDEC", $Y202="Limited Company"), "", T202*$E202*$I202)</f>
        <v>0</v>
      </c>
      <c r="AK202" s="284" t="n">
        <f aca="false">IF(AND(AK$4="RDEC", $Y202="Limited Company"), "", U202*$E202*$I202)</f>
        <v>0</v>
      </c>
      <c r="AL202" s="284" t="n">
        <f aca="false">IF(AND(AL$4="RDEC", $Y202="Limited Company"), "", V202*$E202*$I202)</f>
        <v>0</v>
      </c>
      <c r="AM202" s="284" t="n">
        <f aca="false">IF(AND(AM$4="RDEC", $Y202="Limited Company"), "", W202*$E202*$I202)</f>
        <v>0</v>
      </c>
      <c r="AN202" s="286" t="n">
        <f aca="false">IFERROR(SUMIF($AB$4:$AM$4, "RDEC", AB202:AM202), "")</f>
        <v>0</v>
      </c>
      <c r="AO202" s="286" t="str">
        <f aca="false">IFERROR((IF(Z202="Yes",SUMIF($AB$4:$AM$4,"SME",AB202:AM202),"")),"")</f>
        <v/>
      </c>
      <c r="AP202" s="286" t="n">
        <f aca="false">IFERROR((IF(Z202="No",SUMIF($AB$4:$AM$4,"SME",AB202:AM202),"")),"")</f>
        <v>0</v>
      </c>
      <c r="AQ202" s="286" t="n">
        <f aca="false">IFERROR(SUMIF($AB$4:$AM$4, "De Minimis", AB202:AM202), "")</f>
        <v>0</v>
      </c>
      <c r="AR202" s="283"/>
      <c r="AS202" s="284" t="n">
        <f aca="false">IFERROR(L202*$E202*$J202, "")</f>
        <v>0</v>
      </c>
      <c r="AT202" s="284" t="n">
        <f aca="false">IFERROR(M202*$E202*$J202, "")</f>
        <v>0</v>
      </c>
      <c r="AU202" s="284" t="n">
        <f aca="false">IFERROR(N202*$E202*$J202, "")</f>
        <v>0</v>
      </c>
      <c r="AV202" s="284" t="n">
        <f aca="false">IFERROR(O202*$E202*$J202, "")</f>
        <v>0</v>
      </c>
      <c r="AW202" s="284" t="n">
        <f aca="false">IFERROR(P202*$E202*$J202, "")</f>
        <v>0</v>
      </c>
      <c r="AX202" s="284" t="n">
        <f aca="false">IFERROR(Q202*$E202*$J202, "")</f>
        <v>0</v>
      </c>
      <c r="AY202" s="284" t="n">
        <f aca="false">IFERROR(R202*$E202*$J202, "")</f>
        <v>0</v>
      </c>
      <c r="AZ202" s="284" t="n">
        <f aca="false">IFERROR(S202*$E202*$J202, "")</f>
        <v>0</v>
      </c>
      <c r="BA202" s="284" t="n">
        <f aca="false">IFERROR(T202*$E202*$J202, "")</f>
        <v>0</v>
      </c>
      <c r="BB202" s="284" t="n">
        <f aca="false">IFERROR(U202*$E202*$J202, "")</f>
        <v>0</v>
      </c>
      <c r="BC202" s="284" t="n">
        <f aca="false">IFERROR(V202*$E202*$J202, "")</f>
        <v>0</v>
      </c>
      <c r="BD202" s="284" t="n">
        <f aca="false">IFERROR(W202*$E202*$J202, "")</f>
        <v>0</v>
      </c>
      <c r="BE202" s="286" t="n">
        <f aca="false">IFERROR(SUMIF($AB$4:$AM$4, "RDEC", AS202:BD202), "")</f>
        <v>0</v>
      </c>
      <c r="BF202" s="286" t="n">
        <f aca="false">IFERROR(SUMIF($AB$4:$AM$4, "SME", AS202:BD202), "")</f>
        <v>0</v>
      </c>
      <c r="BG202" s="286" t="n">
        <f aca="false">IFERROR(SUMIF($AB$4:$AM$4, "De Minimis", AS202:BD202), "")</f>
        <v>0</v>
      </c>
      <c r="BH202" s="287"/>
      <c r="BI202" s="288" t="str">
        <f aca="false">IF((SUM(L202:W202)&gt;1),"ERROR","")</f>
        <v/>
      </c>
    </row>
    <row r="203" customFormat="false" ht="15" hidden="false" customHeight="true" outlineLevel="0" collapsed="false">
      <c r="A203" s="340"/>
      <c r="B203" s="350"/>
      <c r="C203" s="350"/>
      <c r="H203" s="350"/>
      <c r="I203" s="279" t="n">
        <v>1</v>
      </c>
      <c r="J203" s="281" t="n">
        <f aca="false">1-I203</f>
        <v>0</v>
      </c>
      <c r="K203" s="32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350"/>
      <c r="Y203" s="381"/>
      <c r="Z203" s="384" t="s">
        <v>71</v>
      </c>
      <c r="AA203" s="283"/>
      <c r="AB203" s="284" t="n">
        <f aca="false">IF(AND(AB$4="RDEC", $Y203="Limited Company"), "", L203*$E203*$I203)</f>
        <v>0</v>
      </c>
      <c r="AC203" s="284" t="n">
        <f aca="false">IF(AND(AC$4="RDEC", $Y203="Limited Company"), "", M203*$E203*$I203)</f>
        <v>0</v>
      </c>
      <c r="AD203" s="284" t="n">
        <f aca="false">IF(AND(AD$4="RDEC", $Y203="Limited Company"), "", N203*$E203*$I203)</f>
        <v>0</v>
      </c>
      <c r="AE203" s="284" t="n">
        <f aca="false">IF(AND(AE$4="RDEC", $Y203="Limited Company"), "", O203*$E203*$I203)</f>
        <v>0</v>
      </c>
      <c r="AF203" s="284" t="n">
        <f aca="false">IF(AND(AF$4="RDEC", $Y203="Limited Company"), "", P203*$E203*$I203)</f>
        <v>0</v>
      </c>
      <c r="AG203" s="284" t="n">
        <f aca="false">IF(AND(AG$4="RDEC", $Y203="Limited Company"), "", Q203*$E203*$I203)</f>
        <v>0</v>
      </c>
      <c r="AH203" s="284" t="n">
        <f aca="false">IF(AND(AH$4="RDEC", $Y203="Limited Company"), "", R203*$E203*$I203)</f>
        <v>0</v>
      </c>
      <c r="AI203" s="284" t="n">
        <f aca="false">IF(AND(AI$4="RDEC", $Y203="Limited Company"), "", S203*$E203*$I203)</f>
        <v>0</v>
      </c>
      <c r="AJ203" s="284" t="n">
        <f aca="false">IF(AND(AJ$4="RDEC", $Y203="Limited Company"), "", T203*$E203*$I203)</f>
        <v>0</v>
      </c>
      <c r="AK203" s="284" t="n">
        <f aca="false">IF(AND(AK$4="RDEC", $Y203="Limited Company"), "", U203*$E203*$I203)</f>
        <v>0</v>
      </c>
      <c r="AL203" s="284" t="n">
        <f aca="false">IF(AND(AL$4="RDEC", $Y203="Limited Company"), "", V203*$E203*$I203)</f>
        <v>0</v>
      </c>
      <c r="AM203" s="284" t="n">
        <f aca="false">IF(AND(AM$4="RDEC", $Y203="Limited Company"), "", W203*$E203*$I203)</f>
        <v>0</v>
      </c>
      <c r="AN203" s="286" t="n">
        <f aca="false">IFERROR(SUMIF($AB$4:$AM$4, "RDEC", AB203:AM203), "")</f>
        <v>0</v>
      </c>
      <c r="AO203" s="286" t="str">
        <f aca="false">IFERROR((IF(Z203="Yes",SUMIF($AB$4:$AM$4,"SME",AB203:AM203),"")),"")</f>
        <v/>
      </c>
      <c r="AP203" s="286" t="n">
        <f aca="false">IFERROR((IF(Z203="No",SUMIF($AB$4:$AM$4,"SME",AB203:AM203),"")),"")</f>
        <v>0</v>
      </c>
      <c r="AQ203" s="286" t="n">
        <f aca="false">IFERROR(SUMIF($AB$4:$AM$4, "De Minimis", AB203:AM203), "")</f>
        <v>0</v>
      </c>
      <c r="AR203" s="283"/>
      <c r="AS203" s="284" t="n">
        <f aca="false">IFERROR(L203*$E203*$J203, "")</f>
        <v>0</v>
      </c>
      <c r="AT203" s="284" t="n">
        <f aca="false">IFERROR(M203*$E203*$J203, "")</f>
        <v>0</v>
      </c>
      <c r="AU203" s="284" t="n">
        <f aca="false">IFERROR(N203*$E203*$J203, "")</f>
        <v>0</v>
      </c>
      <c r="AV203" s="284" t="n">
        <f aca="false">IFERROR(O203*$E203*$J203, "")</f>
        <v>0</v>
      </c>
      <c r="AW203" s="284" t="n">
        <f aca="false">IFERROR(P203*$E203*$J203, "")</f>
        <v>0</v>
      </c>
      <c r="AX203" s="284" t="n">
        <f aca="false">IFERROR(Q203*$E203*$J203, "")</f>
        <v>0</v>
      </c>
      <c r="AY203" s="284" t="n">
        <f aca="false">IFERROR(R203*$E203*$J203, "")</f>
        <v>0</v>
      </c>
      <c r="AZ203" s="284" t="n">
        <f aca="false">IFERROR(S203*$E203*$J203, "")</f>
        <v>0</v>
      </c>
      <c r="BA203" s="284" t="n">
        <f aca="false">IFERROR(T203*$E203*$J203, "")</f>
        <v>0</v>
      </c>
      <c r="BB203" s="284" t="n">
        <f aca="false">IFERROR(U203*$E203*$J203, "")</f>
        <v>0</v>
      </c>
      <c r="BC203" s="284" t="n">
        <f aca="false">IFERROR(V203*$E203*$J203, "")</f>
        <v>0</v>
      </c>
      <c r="BD203" s="284" t="n">
        <f aca="false">IFERROR(W203*$E203*$J203, "")</f>
        <v>0</v>
      </c>
      <c r="BE203" s="286" t="n">
        <f aca="false">IFERROR(SUMIF($AB$4:$AM$4, "RDEC", AS203:BD203), "")</f>
        <v>0</v>
      </c>
      <c r="BF203" s="286" t="n">
        <f aca="false">IFERROR(SUMIF($AB$4:$AM$4, "SME", AS203:BD203), "")</f>
        <v>0</v>
      </c>
      <c r="BG203" s="286" t="n">
        <f aca="false">IFERROR(SUMIF($AB$4:$AM$4, "De Minimis", AS203:BD203), "")</f>
        <v>0</v>
      </c>
      <c r="BH203" s="287"/>
      <c r="BI203" s="288" t="str">
        <f aca="false">IF((SUM(L203:W203)&gt;1),"ERROR","")</f>
        <v/>
      </c>
    </row>
    <row r="204" customFormat="false" ht="15" hidden="false" customHeight="true" outlineLevel="0" collapsed="false">
      <c r="A204" s="340"/>
      <c r="B204" s="350"/>
      <c r="C204" s="350"/>
      <c r="H204" s="350"/>
      <c r="I204" s="279" t="n">
        <v>1</v>
      </c>
      <c r="J204" s="281" t="n">
        <f aca="false">1-I204</f>
        <v>0</v>
      </c>
      <c r="K204" s="32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350"/>
      <c r="Y204" s="381"/>
      <c r="Z204" s="384" t="s">
        <v>71</v>
      </c>
      <c r="AA204" s="283"/>
      <c r="AB204" s="284" t="n">
        <f aca="false">IF(AND(AB$4="RDEC", $Y204="Limited Company"), "", L204*$E204*$I204)</f>
        <v>0</v>
      </c>
      <c r="AC204" s="284" t="n">
        <f aca="false">IF(AND(AC$4="RDEC", $Y204="Limited Company"), "", M204*$E204*$I204)</f>
        <v>0</v>
      </c>
      <c r="AD204" s="284" t="n">
        <f aca="false">IF(AND(AD$4="RDEC", $Y204="Limited Company"), "", N204*$E204*$I204)</f>
        <v>0</v>
      </c>
      <c r="AE204" s="284" t="n">
        <f aca="false">IF(AND(AE$4="RDEC", $Y204="Limited Company"), "", O204*$E204*$I204)</f>
        <v>0</v>
      </c>
      <c r="AF204" s="284" t="n">
        <f aca="false">IF(AND(AF$4="RDEC", $Y204="Limited Company"), "", P204*$E204*$I204)</f>
        <v>0</v>
      </c>
      <c r="AG204" s="284" t="n">
        <f aca="false">IF(AND(AG$4="RDEC", $Y204="Limited Company"), "", Q204*$E204*$I204)</f>
        <v>0</v>
      </c>
      <c r="AH204" s="284" t="n">
        <f aca="false">IF(AND(AH$4="RDEC", $Y204="Limited Company"), "", R204*$E204*$I204)</f>
        <v>0</v>
      </c>
      <c r="AI204" s="284" t="n">
        <f aca="false">IF(AND(AI$4="RDEC", $Y204="Limited Company"), "", S204*$E204*$I204)</f>
        <v>0</v>
      </c>
      <c r="AJ204" s="284" t="n">
        <f aca="false">IF(AND(AJ$4="RDEC", $Y204="Limited Company"), "", T204*$E204*$I204)</f>
        <v>0</v>
      </c>
      <c r="AK204" s="284" t="n">
        <f aca="false">IF(AND(AK$4="RDEC", $Y204="Limited Company"), "", U204*$E204*$I204)</f>
        <v>0</v>
      </c>
      <c r="AL204" s="284" t="n">
        <f aca="false">IF(AND(AL$4="RDEC", $Y204="Limited Company"), "", V204*$E204*$I204)</f>
        <v>0</v>
      </c>
      <c r="AM204" s="284" t="n">
        <f aca="false">IF(AND(AM$4="RDEC", $Y204="Limited Company"), "", W204*$E204*$I204)</f>
        <v>0</v>
      </c>
      <c r="AN204" s="286" t="n">
        <f aca="false">IFERROR(SUMIF($AB$4:$AM$4, "RDEC", AB204:AM204), "")</f>
        <v>0</v>
      </c>
      <c r="AO204" s="286" t="str">
        <f aca="false">IFERROR((IF(Z204="Yes",SUMIF($AB$4:$AM$4,"SME",AB204:AM204),"")),"")</f>
        <v/>
      </c>
      <c r="AP204" s="286" t="n">
        <f aca="false">IFERROR((IF(Z204="No",SUMIF($AB$4:$AM$4,"SME",AB204:AM204),"")),"")</f>
        <v>0</v>
      </c>
      <c r="AQ204" s="286" t="n">
        <f aca="false">IFERROR(SUMIF($AB$4:$AM$4, "De Minimis", AB204:AM204), "")</f>
        <v>0</v>
      </c>
      <c r="AR204" s="283"/>
      <c r="AS204" s="284" t="n">
        <f aca="false">IFERROR(L204*$E204*$J204, "")</f>
        <v>0</v>
      </c>
      <c r="AT204" s="284" t="n">
        <f aca="false">IFERROR(M204*$E204*$J204, "")</f>
        <v>0</v>
      </c>
      <c r="AU204" s="284" t="n">
        <f aca="false">IFERROR(N204*$E204*$J204, "")</f>
        <v>0</v>
      </c>
      <c r="AV204" s="284" t="n">
        <f aca="false">IFERROR(O204*$E204*$J204, "")</f>
        <v>0</v>
      </c>
      <c r="AW204" s="284" t="n">
        <f aca="false">IFERROR(P204*$E204*$J204, "")</f>
        <v>0</v>
      </c>
      <c r="AX204" s="284" t="n">
        <f aca="false">IFERROR(Q204*$E204*$J204, "")</f>
        <v>0</v>
      </c>
      <c r="AY204" s="284" t="n">
        <f aca="false">IFERROR(R204*$E204*$J204, "")</f>
        <v>0</v>
      </c>
      <c r="AZ204" s="284" t="n">
        <f aca="false">IFERROR(S204*$E204*$J204, "")</f>
        <v>0</v>
      </c>
      <c r="BA204" s="284" t="n">
        <f aca="false">IFERROR(T204*$E204*$J204, "")</f>
        <v>0</v>
      </c>
      <c r="BB204" s="284" t="n">
        <f aca="false">IFERROR(U204*$E204*$J204, "")</f>
        <v>0</v>
      </c>
      <c r="BC204" s="284" t="n">
        <f aca="false">IFERROR(V204*$E204*$J204, "")</f>
        <v>0</v>
      </c>
      <c r="BD204" s="284" t="n">
        <f aca="false">IFERROR(W204*$E204*$J204, "")</f>
        <v>0</v>
      </c>
      <c r="BE204" s="286" t="n">
        <f aca="false">IFERROR(SUMIF($AB$4:$AM$4, "RDEC", AS204:BD204), "")</f>
        <v>0</v>
      </c>
      <c r="BF204" s="286" t="n">
        <f aca="false">IFERROR(SUMIF($AB$4:$AM$4, "SME", AS204:BD204), "")</f>
        <v>0</v>
      </c>
      <c r="BG204" s="286" t="n">
        <f aca="false">IFERROR(SUMIF($AB$4:$AM$4, "De Minimis", AS204:BD204), "")</f>
        <v>0</v>
      </c>
      <c r="BH204" s="287"/>
      <c r="BI204" s="288" t="str">
        <f aca="false">IF((SUM(L204:W204)&gt;1),"ERROR","")</f>
        <v/>
      </c>
    </row>
    <row r="205" customFormat="false" ht="15" hidden="false" customHeight="true" outlineLevel="0" collapsed="false">
      <c r="A205" s="340"/>
      <c r="B205" s="350"/>
      <c r="C205" s="350"/>
      <c r="H205" s="350"/>
      <c r="I205" s="279" t="n">
        <v>1</v>
      </c>
      <c r="J205" s="281" t="n">
        <f aca="false">1-I205</f>
        <v>0</v>
      </c>
      <c r="K205" s="32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350"/>
      <c r="Y205" s="381"/>
      <c r="Z205" s="384" t="s">
        <v>71</v>
      </c>
      <c r="AA205" s="283"/>
      <c r="AB205" s="284" t="n">
        <f aca="false">IF(AND(AB$4="RDEC", $Y205="Limited Company"), "", L205*$E205*$I205)</f>
        <v>0</v>
      </c>
      <c r="AC205" s="284" t="n">
        <f aca="false">IF(AND(AC$4="RDEC", $Y205="Limited Company"), "", M205*$E205*$I205)</f>
        <v>0</v>
      </c>
      <c r="AD205" s="284" t="n">
        <f aca="false">IF(AND(AD$4="RDEC", $Y205="Limited Company"), "", N205*$E205*$I205)</f>
        <v>0</v>
      </c>
      <c r="AE205" s="284" t="n">
        <f aca="false">IF(AND(AE$4="RDEC", $Y205="Limited Company"), "", O205*$E205*$I205)</f>
        <v>0</v>
      </c>
      <c r="AF205" s="284" t="n">
        <f aca="false">IF(AND(AF$4="RDEC", $Y205="Limited Company"), "", P205*$E205*$I205)</f>
        <v>0</v>
      </c>
      <c r="AG205" s="284" t="n">
        <f aca="false">IF(AND(AG$4="RDEC", $Y205="Limited Company"), "", Q205*$E205*$I205)</f>
        <v>0</v>
      </c>
      <c r="AH205" s="284" t="n">
        <f aca="false">IF(AND(AH$4="RDEC", $Y205="Limited Company"), "", R205*$E205*$I205)</f>
        <v>0</v>
      </c>
      <c r="AI205" s="284" t="n">
        <f aca="false">IF(AND(AI$4="RDEC", $Y205="Limited Company"), "", S205*$E205*$I205)</f>
        <v>0</v>
      </c>
      <c r="AJ205" s="284" t="n">
        <f aca="false">IF(AND(AJ$4="RDEC", $Y205="Limited Company"), "", T205*$E205*$I205)</f>
        <v>0</v>
      </c>
      <c r="AK205" s="284" t="n">
        <f aca="false">IF(AND(AK$4="RDEC", $Y205="Limited Company"), "", U205*$E205*$I205)</f>
        <v>0</v>
      </c>
      <c r="AL205" s="284" t="n">
        <f aca="false">IF(AND(AL$4="RDEC", $Y205="Limited Company"), "", V205*$E205*$I205)</f>
        <v>0</v>
      </c>
      <c r="AM205" s="284" t="n">
        <f aca="false">IF(AND(AM$4="RDEC", $Y205="Limited Company"), "", W205*$E205*$I205)</f>
        <v>0</v>
      </c>
      <c r="AN205" s="286" t="n">
        <f aca="false">IFERROR(SUMIF($AB$4:$AM$4, "RDEC", AB205:AM205), "")</f>
        <v>0</v>
      </c>
      <c r="AO205" s="286" t="str">
        <f aca="false">IFERROR((IF(Z205="Yes",SUMIF($AB$4:$AM$4,"SME",AB205:AM205),"")),"")</f>
        <v/>
      </c>
      <c r="AP205" s="286" t="n">
        <f aca="false">IFERROR((IF(Z205="No",SUMIF($AB$4:$AM$4,"SME",AB205:AM205),"")),"")</f>
        <v>0</v>
      </c>
      <c r="AQ205" s="286" t="n">
        <f aca="false">IFERROR(SUMIF($AB$4:$AM$4, "De Minimis", AB205:AM205), "")</f>
        <v>0</v>
      </c>
      <c r="AR205" s="283"/>
      <c r="AS205" s="284" t="n">
        <f aca="false">IFERROR(L205*$E205*$J205, "")</f>
        <v>0</v>
      </c>
      <c r="AT205" s="284" t="n">
        <f aca="false">IFERROR(M205*$E205*$J205, "")</f>
        <v>0</v>
      </c>
      <c r="AU205" s="284" t="n">
        <f aca="false">IFERROR(N205*$E205*$J205, "")</f>
        <v>0</v>
      </c>
      <c r="AV205" s="284" t="n">
        <f aca="false">IFERROR(O205*$E205*$J205, "")</f>
        <v>0</v>
      </c>
      <c r="AW205" s="284" t="n">
        <f aca="false">IFERROR(P205*$E205*$J205, "")</f>
        <v>0</v>
      </c>
      <c r="AX205" s="284" t="n">
        <f aca="false">IFERROR(Q205*$E205*$J205, "")</f>
        <v>0</v>
      </c>
      <c r="AY205" s="284" t="n">
        <f aca="false">IFERROR(R205*$E205*$J205, "")</f>
        <v>0</v>
      </c>
      <c r="AZ205" s="284" t="n">
        <f aca="false">IFERROR(S205*$E205*$J205, "")</f>
        <v>0</v>
      </c>
      <c r="BA205" s="284" t="n">
        <f aca="false">IFERROR(T205*$E205*$J205, "")</f>
        <v>0</v>
      </c>
      <c r="BB205" s="284" t="n">
        <f aca="false">IFERROR(U205*$E205*$J205, "")</f>
        <v>0</v>
      </c>
      <c r="BC205" s="284" t="n">
        <f aca="false">IFERROR(V205*$E205*$J205, "")</f>
        <v>0</v>
      </c>
      <c r="BD205" s="284" t="n">
        <f aca="false">IFERROR(W205*$E205*$J205, "")</f>
        <v>0</v>
      </c>
      <c r="BE205" s="286" t="n">
        <f aca="false">IFERROR(SUMIF($AB$4:$AM$4, "RDEC", AS205:BD205), "")</f>
        <v>0</v>
      </c>
      <c r="BF205" s="286" t="n">
        <f aca="false">IFERROR(SUMIF($AB$4:$AM$4, "SME", AS205:BD205), "")</f>
        <v>0</v>
      </c>
      <c r="BG205" s="286" t="n">
        <f aca="false">IFERROR(SUMIF($AB$4:$AM$4, "De Minimis", AS205:BD205), "")</f>
        <v>0</v>
      </c>
      <c r="BH205" s="287"/>
      <c r="BI205" s="288" t="str">
        <f aca="false">IF((SUM(L205:W205)&gt;1),"ERROR","")</f>
        <v/>
      </c>
    </row>
    <row r="206" customFormat="false" ht="15" hidden="false" customHeight="true" outlineLevel="0" collapsed="false">
      <c r="A206" s="340"/>
      <c r="B206" s="350"/>
      <c r="C206" s="350"/>
      <c r="H206" s="350"/>
      <c r="I206" s="279" t="n">
        <v>1</v>
      </c>
      <c r="J206" s="281" t="n">
        <f aca="false">1-I206</f>
        <v>0</v>
      </c>
      <c r="K206" s="32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350"/>
      <c r="Y206" s="381"/>
      <c r="Z206" s="384" t="s">
        <v>71</v>
      </c>
      <c r="AA206" s="283"/>
      <c r="AB206" s="284" t="n">
        <f aca="false">IF(AND(AB$4="RDEC", $Y206="Limited Company"), "", L206*$E206*$I206)</f>
        <v>0</v>
      </c>
      <c r="AC206" s="284" t="n">
        <f aca="false">IF(AND(AC$4="RDEC", $Y206="Limited Company"), "", M206*$E206*$I206)</f>
        <v>0</v>
      </c>
      <c r="AD206" s="284" t="n">
        <f aca="false">IF(AND(AD$4="RDEC", $Y206="Limited Company"), "", N206*$E206*$I206)</f>
        <v>0</v>
      </c>
      <c r="AE206" s="284" t="n">
        <f aca="false">IF(AND(AE$4="RDEC", $Y206="Limited Company"), "", O206*$E206*$I206)</f>
        <v>0</v>
      </c>
      <c r="AF206" s="284" t="n">
        <f aca="false">IF(AND(AF$4="RDEC", $Y206="Limited Company"), "", P206*$E206*$I206)</f>
        <v>0</v>
      </c>
      <c r="AG206" s="284" t="n">
        <f aca="false">IF(AND(AG$4="RDEC", $Y206="Limited Company"), "", Q206*$E206*$I206)</f>
        <v>0</v>
      </c>
      <c r="AH206" s="284" t="n">
        <f aca="false">IF(AND(AH$4="RDEC", $Y206="Limited Company"), "", R206*$E206*$I206)</f>
        <v>0</v>
      </c>
      <c r="AI206" s="284" t="n">
        <f aca="false">IF(AND(AI$4="RDEC", $Y206="Limited Company"), "", S206*$E206*$I206)</f>
        <v>0</v>
      </c>
      <c r="AJ206" s="284" t="n">
        <f aca="false">IF(AND(AJ$4="RDEC", $Y206="Limited Company"), "", T206*$E206*$I206)</f>
        <v>0</v>
      </c>
      <c r="AK206" s="284" t="n">
        <f aca="false">IF(AND(AK$4="RDEC", $Y206="Limited Company"), "", U206*$E206*$I206)</f>
        <v>0</v>
      </c>
      <c r="AL206" s="284" t="n">
        <f aca="false">IF(AND(AL$4="RDEC", $Y206="Limited Company"), "", V206*$E206*$I206)</f>
        <v>0</v>
      </c>
      <c r="AM206" s="284" t="n">
        <f aca="false">IF(AND(AM$4="RDEC", $Y206="Limited Company"), "", W206*$E206*$I206)</f>
        <v>0</v>
      </c>
      <c r="AN206" s="286" t="n">
        <f aca="false">IFERROR(SUMIF($AB$4:$AM$4, "RDEC", AB206:AM206), "")</f>
        <v>0</v>
      </c>
      <c r="AO206" s="286" t="str">
        <f aca="false">IFERROR((IF(Z206="Yes",SUMIF($AB$4:$AM$4,"SME",AB206:AM206),"")),"")</f>
        <v/>
      </c>
      <c r="AP206" s="286" t="n">
        <f aca="false">IFERROR((IF(Z206="No",SUMIF($AB$4:$AM$4,"SME",AB206:AM206),"")),"")</f>
        <v>0</v>
      </c>
      <c r="AQ206" s="286" t="n">
        <f aca="false">IFERROR(SUMIF($AB$4:$AM$4, "De Minimis", AB206:AM206), "")</f>
        <v>0</v>
      </c>
      <c r="AR206" s="283"/>
      <c r="AS206" s="284" t="n">
        <f aca="false">IFERROR(L206*$E206*$J206, "")</f>
        <v>0</v>
      </c>
      <c r="AT206" s="284" t="n">
        <f aca="false">IFERROR(M206*$E206*$J206, "")</f>
        <v>0</v>
      </c>
      <c r="AU206" s="284" t="n">
        <f aca="false">IFERROR(N206*$E206*$J206, "")</f>
        <v>0</v>
      </c>
      <c r="AV206" s="284" t="n">
        <f aca="false">IFERROR(O206*$E206*$J206, "")</f>
        <v>0</v>
      </c>
      <c r="AW206" s="284" t="n">
        <f aca="false">IFERROR(P206*$E206*$J206, "")</f>
        <v>0</v>
      </c>
      <c r="AX206" s="284" t="n">
        <f aca="false">IFERROR(Q206*$E206*$J206, "")</f>
        <v>0</v>
      </c>
      <c r="AY206" s="284" t="n">
        <f aca="false">IFERROR(R206*$E206*$J206, "")</f>
        <v>0</v>
      </c>
      <c r="AZ206" s="284" t="n">
        <f aca="false">IFERROR(S206*$E206*$J206, "")</f>
        <v>0</v>
      </c>
      <c r="BA206" s="284" t="n">
        <f aca="false">IFERROR(T206*$E206*$J206, "")</f>
        <v>0</v>
      </c>
      <c r="BB206" s="284" t="n">
        <f aca="false">IFERROR(U206*$E206*$J206, "")</f>
        <v>0</v>
      </c>
      <c r="BC206" s="284" t="n">
        <f aca="false">IFERROR(V206*$E206*$J206, "")</f>
        <v>0</v>
      </c>
      <c r="BD206" s="284" t="n">
        <f aca="false">IFERROR(W206*$E206*$J206, "")</f>
        <v>0</v>
      </c>
      <c r="BE206" s="286" t="n">
        <f aca="false">IFERROR(SUMIF($AB$4:$AM$4, "RDEC", AS206:BD206), "")</f>
        <v>0</v>
      </c>
      <c r="BF206" s="286" t="n">
        <f aca="false">IFERROR(SUMIF($AB$4:$AM$4, "SME", AS206:BD206), "")</f>
        <v>0</v>
      </c>
      <c r="BG206" s="286" t="n">
        <f aca="false">IFERROR(SUMIF($AB$4:$AM$4, "De Minimis", AS206:BD206), "")</f>
        <v>0</v>
      </c>
      <c r="BH206" s="287"/>
      <c r="BI206" s="288" t="str">
        <f aca="false">IF((SUM(L206:W206)&gt;1),"ERROR","")</f>
        <v/>
      </c>
    </row>
    <row r="207" customFormat="false" ht="15" hidden="false" customHeight="true" outlineLevel="0" collapsed="false">
      <c r="A207" s="340"/>
      <c r="B207" s="350"/>
      <c r="C207" s="350"/>
      <c r="H207" s="350"/>
      <c r="I207" s="279" t="n">
        <v>1</v>
      </c>
      <c r="J207" s="281" t="n">
        <f aca="false">1-I207</f>
        <v>0</v>
      </c>
      <c r="K207" s="32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350"/>
      <c r="Y207" s="381"/>
      <c r="Z207" s="384" t="s">
        <v>71</v>
      </c>
      <c r="AA207" s="283"/>
      <c r="AB207" s="284" t="n">
        <f aca="false">IF(AND(AB$4="RDEC", $Y207="Limited Company"), "", L207*$E207*$I207)</f>
        <v>0</v>
      </c>
      <c r="AC207" s="284" t="n">
        <f aca="false">IF(AND(AC$4="RDEC", $Y207="Limited Company"), "", M207*$E207*$I207)</f>
        <v>0</v>
      </c>
      <c r="AD207" s="284" t="n">
        <f aca="false">IF(AND(AD$4="RDEC", $Y207="Limited Company"), "", N207*$E207*$I207)</f>
        <v>0</v>
      </c>
      <c r="AE207" s="284" t="n">
        <f aca="false">IF(AND(AE$4="RDEC", $Y207="Limited Company"), "", O207*$E207*$I207)</f>
        <v>0</v>
      </c>
      <c r="AF207" s="284" t="n">
        <f aca="false">IF(AND(AF$4="RDEC", $Y207="Limited Company"), "", P207*$E207*$I207)</f>
        <v>0</v>
      </c>
      <c r="AG207" s="284" t="n">
        <f aca="false">IF(AND(AG$4="RDEC", $Y207="Limited Company"), "", Q207*$E207*$I207)</f>
        <v>0</v>
      </c>
      <c r="AH207" s="284" t="n">
        <f aca="false">IF(AND(AH$4="RDEC", $Y207="Limited Company"), "", R207*$E207*$I207)</f>
        <v>0</v>
      </c>
      <c r="AI207" s="284" t="n">
        <f aca="false">IF(AND(AI$4="RDEC", $Y207="Limited Company"), "", S207*$E207*$I207)</f>
        <v>0</v>
      </c>
      <c r="AJ207" s="284" t="n">
        <f aca="false">IF(AND(AJ$4="RDEC", $Y207="Limited Company"), "", T207*$E207*$I207)</f>
        <v>0</v>
      </c>
      <c r="AK207" s="284" t="n">
        <f aca="false">IF(AND(AK$4="RDEC", $Y207="Limited Company"), "", U207*$E207*$I207)</f>
        <v>0</v>
      </c>
      <c r="AL207" s="284" t="n">
        <f aca="false">IF(AND(AL$4="RDEC", $Y207="Limited Company"), "", V207*$E207*$I207)</f>
        <v>0</v>
      </c>
      <c r="AM207" s="284" t="n">
        <f aca="false">IF(AND(AM$4="RDEC", $Y207="Limited Company"), "", W207*$E207*$I207)</f>
        <v>0</v>
      </c>
      <c r="AN207" s="286" t="n">
        <f aca="false">IFERROR(SUMIF($AB$4:$AM$4, "RDEC", AB207:AM207), "")</f>
        <v>0</v>
      </c>
      <c r="AO207" s="286" t="str">
        <f aca="false">IFERROR((IF(Z207="Yes",SUMIF($AB$4:$AM$4,"SME",AB207:AM207),"")),"")</f>
        <v/>
      </c>
      <c r="AP207" s="286" t="n">
        <f aca="false">IFERROR((IF(Z207="No",SUMIF($AB$4:$AM$4,"SME",AB207:AM207),"")),"")</f>
        <v>0</v>
      </c>
      <c r="AQ207" s="286" t="n">
        <f aca="false">IFERROR(SUMIF($AB$4:$AM$4, "De Minimis", AB207:AM207), "")</f>
        <v>0</v>
      </c>
      <c r="AR207" s="283"/>
      <c r="AS207" s="284" t="n">
        <f aca="false">IFERROR(L207*$E207*$J207, "")</f>
        <v>0</v>
      </c>
      <c r="AT207" s="284" t="n">
        <f aca="false">IFERROR(M207*$E207*$J207, "")</f>
        <v>0</v>
      </c>
      <c r="AU207" s="284" t="n">
        <f aca="false">IFERROR(N207*$E207*$J207, "")</f>
        <v>0</v>
      </c>
      <c r="AV207" s="284" t="n">
        <f aca="false">IFERROR(O207*$E207*$J207, "")</f>
        <v>0</v>
      </c>
      <c r="AW207" s="284" t="n">
        <f aca="false">IFERROR(P207*$E207*$J207, "")</f>
        <v>0</v>
      </c>
      <c r="AX207" s="284" t="n">
        <f aca="false">IFERROR(Q207*$E207*$J207, "")</f>
        <v>0</v>
      </c>
      <c r="AY207" s="284" t="n">
        <f aca="false">IFERROR(R207*$E207*$J207, "")</f>
        <v>0</v>
      </c>
      <c r="AZ207" s="284" t="n">
        <f aca="false">IFERROR(S207*$E207*$J207, "")</f>
        <v>0</v>
      </c>
      <c r="BA207" s="284" t="n">
        <f aca="false">IFERROR(T207*$E207*$J207, "")</f>
        <v>0</v>
      </c>
      <c r="BB207" s="284" t="n">
        <f aca="false">IFERROR(U207*$E207*$J207, "")</f>
        <v>0</v>
      </c>
      <c r="BC207" s="284" t="n">
        <f aca="false">IFERROR(V207*$E207*$J207, "")</f>
        <v>0</v>
      </c>
      <c r="BD207" s="284" t="n">
        <f aca="false">IFERROR(W207*$E207*$J207, "")</f>
        <v>0</v>
      </c>
      <c r="BE207" s="286" t="n">
        <f aca="false">IFERROR(SUMIF($AB$4:$AM$4, "RDEC", AS207:BD207), "")</f>
        <v>0</v>
      </c>
      <c r="BF207" s="286" t="n">
        <f aca="false">IFERROR(SUMIF($AB$4:$AM$4, "SME", AS207:BD207), "")</f>
        <v>0</v>
      </c>
      <c r="BG207" s="286" t="n">
        <f aca="false">IFERROR(SUMIF($AB$4:$AM$4, "De Minimis", AS207:BD207), "")</f>
        <v>0</v>
      </c>
      <c r="BH207" s="287"/>
      <c r="BI207" s="288" t="str">
        <f aca="false">IF((SUM(L207:W207)&gt;1),"ERROR","")</f>
        <v/>
      </c>
    </row>
    <row r="208" customFormat="false" ht="15" hidden="false" customHeight="true" outlineLevel="0" collapsed="false">
      <c r="A208" s="340"/>
      <c r="B208" s="350"/>
      <c r="C208" s="350"/>
      <c r="H208" s="350"/>
      <c r="I208" s="289"/>
      <c r="J208" s="281"/>
      <c r="K208" s="322"/>
      <c r="L208" s="291"/>
      <c r="M208" s="291"/>
      <c r="N208" s="291"/>
      <c r="O208" s="291"/>
      <c r="P208" s="291"/>
      <c r="Q208" s="291"/>
      <c r="R208" s="291"/>
      <c r="S208" s="291"/>
      <c r="T208" s="291"/>
      <c r="U208" s="291"/>
      <c r="V208" s="291"/>
      <c r="W208" s="291"/>
      <c r="X208" s="350"/>
      <c r="Y208" s="381"/>
      <c r="Z208" s="384"/>
      <c r="AA208" s="283"/>
      <c r="AB208" s="292"/>
      <c r="AC208" s="292"/>
      <c r="AD208" s="292"/>
      <c r="AE208" s="292"/>
      <c r="AF208" s="292"/>
      <c r="AG208" s="292"/>
      <c r="AH208" s="292"/>
      <c r="AI208" s="292"/>
      <c r="AJ208" s="292"/>
      <c r="AK208" s="292"/>
      <c r="AL208" s="292"/>
      <c r="AM208" s="292"/>
      <c r="AN208" s="385"/>
      <c r="AO208" s="385"/>
      <c r="AP208" s="385"/>
      <c r="AQ208" s="385"/>
      <c r="AR208" s="283"/>
      <c r="AS208" s="292"/>
      <c r="AT208" s="292"/>
      <c r="AU208" s="292"/>
      <c r="AV208" s="292"/>
      <c r="AW208" s="292"/>
      <c r="AX208" s="292"/>
      <c r="AY208" s="292"/>
      <c r="AZ208" s="292"/>
      <c r="BA208" s="292"/>
      <c r="BB208" s="292"/>
      <c r="BC208" s="292"/>
      <c r="BD208" s="292"/>
      <c r="BE208" s="385"/>
      <c r="BF208" s="385"/>
      <c r="BG208" s="385"/>
      <c r="BH208" s="287"/>
      <c r="BI208" s="356"/>
    </row>
    <row r="209" customFormat="false" ht="15" hidden="false" customHeight="true" outlineLevel="0" collapsed="false">
      <c r="A209" s="386"/>
      <c r="B209" s="350"/>
      <c r="C209" s="350"/>
      <c r="G209" s="387"/>
      <c r="H209" s="204"/>
      <c r="I209" s="388"/>
      <c r="J209" s="388"/>
      <c r="K209" s="281"/>
      <c r="L209" s="323"/>
      <c r="M209" s="323"/>
      <c r="N209" s="323"/>
      <c r="O209" s="323"/>
      <c r="P209" s="323"/>
      <c r="Q209" s="323"/>
      <c r="R209" s="323"/>
      <c r="S209" s="323"/>
      <c r="T209" s="323"/>
      <c r="U209" s="323"/>
      <c r="V209" s="323"/>
      <c r="W209" s="323"/>
      <c r="X209" s="204"/>
      <c r="Y209" s="381"/>
      <c r="Z209" s="381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87"/>
      <c r="AO209" s="287"/>
      <c r="AP209" s="287"/>
      <c r="AQ209" s="287"/>
      <c r="AS209" s="200"/>
      <c r="AT209" s="200"/>
      <c r="AU209" s="200"/>
      <c r="AV209" s="200"/>
      <c r="AW209" s="200"/>
      <c r="AX209" s="200"/>
      <c r="AY209" s="200"/>
      <c r="AZ209" s="200"/>
      <c r="BA209" s="200"/>
      <c r="BB209" s="200"/>
      <c r="BC209" s="200"/>
      <c r="BD209" s="200"/>
      <c r="BE209" s="287"/>
      <c r="BF209" s="287"/>
      <c r="BG209" s="287"/>
      <c r="BH209" s="287"/>
      <c r="BI209" s="17"/>
    </row>
    <row r="210" s="40" customFormat="true" ht="15" hidden="false" customHeight="true" outlineLevel="0" collapsed="false">
      <c r="A210" s="246" t="s">
        <v>82</v>
      </c>
      <c r="D210" s="198"/>
      <c r="E210" s="223" t="n">
        <f aca="false">SUM(E5:E209)</f>
        <v>87500</v>
      </c>
      <c r="F210" s="389"/>
      <c r="G210" s="389"/>
      <c r="H210" s="359"/>
      <c r="I210" s="390"/>
      <c r="J210" s="390"/>
      <c r="K210" s="391"/>
      <c r="L210" s="392" t="n">
        <f aca="false">IFERROR(AB209/$E$210,0)</f>
        <v>0</v>
      </c>
      <c r="M210" s="392" t="n">
        <f aca="false">IFERROR(AC209/$E$210,0)</f>
        <v>0</v>
      </c>
      <c r="N210" s="392" t="n">
        <f aca="false">IFERROR(AD209/$E$210,0)</f>
        <v>0</v>
      </c>
      <c r="O210" s="392" t="n">
        <f aca="false">IFERROR(AE209/$E$210,0)</f>
        <v>0</v>
      </c>
      <c r="P210" s="392" t="n">
        <f aca="false">IFERROR(AF209/$E$210,0)</f>
        <v>0</v>
      </c>
      <c r="Q210" s="392" t="n">
        <f aca="false">IFERROR(AG209/$E$210,0)</f>
        <v>0</v>
      </c>
      <c r="R210" s="392" t="n">
        <f aca="false">IFERROR(AH209/$E$210,0)</f>
        <v>0</v>
      </c>
      <c r="S210" s="392" t="n">
        <f aca="false">IFERROR(AI209/$E$210,0)</f>
        <v>0</v>
      </c>
      <c r="T210" s="392" t="n">
        <f aca="false">IFERROR(AJ209/$E$210,0)</f>
        <v>0</v>
      </c>
      <c r="U210" s="392" t="n">
        <f aca="false">IFERROR(AK209/$E$210,0)</f>
        <v>0</v>
      </c>
      <c r="V210" s="392" t="n">
        <f aca="false">IFERROR(AL209/$E$210,0)</f>
        <v>0</v>
      </c>
      <c r="W210" s="392" t="n">
        <f aca="false">IFERROR(AM209/$E$210,0)</f>
        <v>0</v>
      </c>
      <c r="Y210" s="393"/>
      <c r="Z210" s="393"/>
      <c r="AA210" s="190"/>
      <c r="AB210" s="361" t="n">
        <f aca="false">SUM(AB7:AB208)</f>
        <v>14468</v>
      </c>
      <c r="AC210" s="361" t="n">
        <f aca="false">SUM(AC7:AC208)</f>
        <v>18718</v>
      </c>
      <c r="AD210" s="361" t="n">
        <f aca="false">SUM(AD7:AD208)</f>
        <v>10500</v>
      </c>
      <c r="AE210" s="361" t="n">
        <f aca="false">SUM(AE7:AE208)</f>
        <v>1680</v>
      </c>
      <c r="AF210" s="361" t="n">
        <f aca="false">SUM(AF7:AF208)</f>
        <v>24580</v>
      </c>
      <c r="AG210" s="361" t="n">
        <f aca="false">SUM(AG7:AG208)</f>
        <v>0</v>
      </c>
      <c r="AH210" s="361" t="n">
        <f aca="false">SUM(AH7:AH208)</f>
        <v>0</v>
      </c>
      <c r="AI210" s="361" t="n">
        <f aca="false">SUM(AI7:AI208)</f>
        <v>0</v>
      </c>
      <c r="AJ210" s="361" t="n">
        <f aca="false">SUM(AJ7:AJ208)</f>
        <v>0</v>
      </c>
      <c r="AK210" s="361" t="n">
        <f aca="false">SUM(AK7:AK208)</f>
        <v>0</v>
      </c>
      <c r="AL210" s="361" t="n">
        <f aca="false">SUM(AL7:AL208)</f>
        <v>0</v>
      </c>
      <c r="AM210" s="361" t="n">
        <f aca="false">SUM(AM7:AM208)</f>
        <v>0</v>
      </c>
      <c r="AN210" s="362" t="n">
        <f aca="false">SUM(AN7:AN208)</f>
        <v>1680</v>
      </c>
      <c r="AO210" s="362" t="n">
        <f aca="false">SUM(AO7:AO208)</f>
        <v>0</v>
      </c>
      <c r="AP210" s="362" t="n">
        <f aca="false">SUM(AP7:AP208)</f>
        <v>68266</v>
      </c>
      <c r="AQ210" s="362" t="n">
        <f aca="false">SUM(AQ7:AQ208)</f>
        <v>0</v>
      </c>
      <c r="AR210" s="190"/>
      <c r="AS210" s="361" t="n">
        <f aca="false">SUM(AS7:AS208)</f>
        <v>232</v>
      </c>
      <c r="AT210" s="361" t="n">
        <f aca="false">SUM(AT7:AT208)</f>
        <v>1092</v>
      </c>
      <c r="AU210" s="361" t="n">
        <f aca="false">SUM(AU7:AU208)</f>
        <v>0</v>
      </c>
      <c r="AV210" s="361" t="n">
        <f aca="false">SUM(AV7:AV208)</f>
        <v>6936</v>
      </c>
      <c r="AW210" s="361" t="n">
        <f aca="false">SUM(AW7:AW208)</f>
        <v>0</v>
      </c>
      <c r="AX210" s="361" t="n">
        <f aca="false">SUM(AX7:AX208)</f>
        <v>0</v>
      </c>
      <c r="AY210" s="361" t="n">
        <f aca="false">SUM(AY7:AY208)</f>
        <v>0</v>
      </c>
      <c r="AZ210" s="361" t="n">
        <f aca="false">SUM(AZ7:AZ208)</f>
        <v>0</v>
      </c>
      <c r="BA210" s="361" t="n">
        <f aca="false">SUM(BA7:BA208)</f>
        <v>0</v>
      </c>
      <c r="BB210" s="361" t="n">
        <f aca="false">SUM(BB7:BB208)</f>
        <v>0</v>
      </c>
      <c r="BC210" s="361" t="n">
        <f aca="false">SUM(BC7:BC208)</f>
        <v>0</v>
      </c>
      <c r="BD210" s="361" t="n">
        <f aca="false">SUM(BD7:BD208)</f>
        <v>0</v>
      </c>
      <c r="BE210" s="362" t="n">
        <f aca="false">SUM(BE7:BE208)</f>
        <v>6936</v>
      </c>
      <c r="BF210" s="362" t="n">
        <f aca="false">SUM(BF7:BF208)</f>
        <v>1324</v>
      </c>
      <c r="BG210" s="362" t="n">
        <f aca="false">SUM(BG7:BG208)</f>
        <v>0</v>
      </c>
      <c r="BH210" s="394"/>
    </row>
    <row r="211" customFormat="false" ht="15" hidden="false" customHeight="true" outlineLevel="0" collapsed="false">
      <c r="I211" s="388"/>
      <c r="J211" s="388"/>
      <c r="K211" s="322"/>
      <c r="L211" s="323"/>
      <c r="M211" s="323"/>
      <c r="N211" s="323"/>
      <c r="O211" s="323"/>
      <c r="P211" s="323"/>
      <c r="Q211" s="323"/>
      <c r="R211" s="323"/>
      <c r="S211" s="323"/>
      <c r="T211" s="323"/>
      <c r="U211" s="323"/>
      <c r="V211" s="323"/>
      <c r="W211" s="323"/>
      <c r="BH211" s="287"/>
      <c r="BI211" s="17"/>
    </row>
    <row r="212" customFormat="false" ht="15" hidden="false" customHeight="true" outlineLevel="0" collapsed="false">
      <c r="BH212" s="287"/>
      <c r="BI212" s="17"/>
    </row>
    <row r="213" customFormat="false" ht="15" hidden="false" customHeight="true" outlineLevel="0" collapsed="false">
      <c r="BH213" s="287"/>
      <c r="BI213" s="17"/>
    </row>
    <row r="214" customFormat="false" ht="15" hidden="false" customHeight="true" outlineLevel="0" collapsed="false">
      <c r="BH214" s="303"/>
      <c r="BI214" s="17"/>
    </row>
    <row r="215" customFormat="false" ht="15" hidden="false" customHeight="true" outlineLevel="0" collapsed="false">
      <c r="BI215" s="17"/>
    </row>
    <row r="216" customFormat="false" ht="15" hidden="false" customHeight="true" outlineLevel="0" collapsed="false">
      <c r="BH216" s="268"/>
      <c r="BI216" s="17"/>
    </row>
    <row r="217" customFormat="false" ht="15" hidden="false" customHeight="true" outlineLevel="0" collapsed="false">
      <c r="BH217" s="287"/>
      <c r="BI217" s="17"/>
    </row>
    <row r="218" customFormat="false" ht="15" hidden="false" customHeight="true" outlineLevel="0" collapsed="false">
      <c r="BH218" s="287"/>
      <c r="BI218" s="17"/>
    </row>
    <row r="219" customFormat="false" ht="15" hidden="false" customHeight="true" outlineLevel="0" collapsed="false">
      <c r="BH219" s="287"/>
      <c r="BI219" s="17"/>
    </row>
    <row r="220" customFormat="false" ht="15" hidden="false" customHeight="true" outlineLevel="0" collapsed="false">
      <c r="BH220" s="287"/>
      <c r="BI220" s="17"/>
    </row>
    <row r="221" customFormat="false" ht="15" hidden="false" customHeight="true" outlineLevel="0" collapsed="false">
      <c r="BH221" s="287"/>
      <c r="BI221" s="17"/>
    </row>
    <row r="222" customFormat="false" ht="15" hidden="false" customHeight="true" outlineLevel="0" collapsed="false">
      <c r="BH222" s="287"/>
      <c r="BI222" s="17"/>
    </row>
    <row r="223" customFormat="false" ht="15" hidden="false" customHeight="true" outlineLevel="0" collapsed="false">
      <c r="BH223" s="287"/>
      <c r="BI223" s="17"/>
    </row>
    <row r="224" customFormat="false" ht="15" hidden="false" customHeight="true" outlineLevel="0" collapsed="false">
      <c r="BH224" s="287"/>
      <c r="BI224" s="17"/>
    </row>
    <row r="225" customFormat="false" ht="15" hidden="false" customHeight="true" outlineLevel="0" collapsed="false">
      <c r="BH225" s="287"/>
      <c r="BI225" s="17"/>
    </row>
    <row r="226" customFormat="false" ht="15" hidden="false" customHeight="true" outlineLevel="0" collapsed="false">
      <c r="BH226" s="287"/>
      <c r="BI226" s="17"/>
    </row>
    <row r="227" customFormat="false" ht="15" hidden="false" customHeight="true" outlineLevel="0" collapsed="false">
      <c r="BH227" s="287"/>
      <c r="BI227" s="17"/>
    </row>
    <row r="228" customFormat="false" ht="15" hidden="false" customHeight="true" outlineLevel="0" collapsed="false">
      <c r="BH228" s="287"/>
      <c r="BI228" s="17"/>
    </row>
    <row r="229" customFormat="false" ht="15" hidden="false" customHeight="true" outlineLevel="0" collapsed="false">
      <c r="BH229" s="303"/>
      <c r="BI229" s="17"/>
    </row>
    <row r="230" customFormat="false" ht="15" hidden="false" customHeight="true" outlineLevel="0" collapsed="false">
      <c r="BI230" s="17"/>
    </row>
    <row r="231" customFormat="false" ht="15" hidden="false" customHeight="true" outlineLevel="0" collapsed="false">
      <c r="BH231" s="268"/>
      <c r="BI231" s="17"/>
    </row>
    <row r="232" customFormat="false" ht="15" hidden="false" customHeight="true" outlineLevel="0" collapsed="false">
      <c r="BH232" s="287"/>
      <c r="BI232" s="17"/>
    </row>
    <row r="233" customFormat="false" ht="15" hidden="false" customHeight="true" outlineLevel="0" collapsed="false">
      <c r="BH233" s="287"/>
      <c r="BI233" s="17"/>
    </row>
    <row r="234" customFormat="false" ht="15" hidden="false" customHeight="true" outlineLevel="0" collapsed="false">
      <c r="BH234" s="287"/>
      <c r="BI234" s="17"/>
    </row>
    <row r="235" customFormat="false" ht="15" hidden="false" customHeight="true" outlineLevel="0" collapsed="false">
      <c r="BH235" s="287"/>
      <c r="BI235" s="17"/>
    </row>
    <row r="236" customFormat="false" ht="15" hidden="false" customHeight="true" outlineLevel="0" collapsed="false">
      <c r="BH236" s="287"/>
      <c r="BI236" s="17"/>
    </row>
    <row r="237" customFormat="false" ht="15" hidden="false" customHeight="true" outlineLevel="0" collapsed="false">
      <c r="BH237" s="287"/>
      <c r="BI237" s="17"/>
    </row>
    <row r="238" customFormat="false" ht="15" hidden="false" customHeight="true" outlineLevel="0" collapsed="false">
      <c r="BH238" s="287"/>
      <c r="BI238" s="17"/>
    </row>
    <row r="239" customFormat="false" ht="15" hidden="false" customHeight="true" outlineLevel="0" collapsed="false">
      <c r="BH239" s="287"/>
      <c r="BI239" s="17"/>
    </row>
    <row r="240" customFormat="false" ht="15" hidden="false" customHeight="true" outlineLevel="0" collapsed="false">
      <c r="BH240" s="287"/>
      <c r="BI240" s="17"/>
    </row>
    <row r="241" customFormat="false" ht="15" hidden="false" customHeight="true" outlineLevel="0" collapsed="false">
      <c r="BH241" s="287"/>
      <c r="BI241" s="17"/>
    </row>
    <row r="242" customFormat="false" ht="15" hidden="false" customHeight="true" outlineLevel="0" collapsed="false">
      <c r="BH242" s="287"/>
      <c r="BI242" s="17"/>
    </row>
    <row r="243" customFormat="false" ht="15" hidden="false" customHeight="true" outlineLevel="0" collapsed="false">
      <c r="BH243" s="287"/>
      <c r="BI243" s="17"/>
    </row>
    <row r="244" customFormat="false" ht="15" hidden="false" customHeight="true" outlineLevel="0" collapsed="false">
      <c r="BH244" s="303"/>
      <c r="BI244" s="17"/>
    </row>
    <row r="245" customFormat="false" ht="15" hidden="false" customHeight="true" outlineLevel="0" collapsed="false">
      <c r="BI245" s="17"/>
    </row>
    <row r="246" customFormat="false" ht="15" hidden="false" customHeight="true" outlineLevel="0" collapsed="false">
      <c r="BH246" s="268"/>
      <c r="BI246" s="17"/>
    </row>
    <row r="247" customFormat="false" ht="15" hidden="false" customHeight="true" outlineLevel="0" collapsed="false">
      <c r="BH247" s="287"/>
      <c r="BI247" s="17"/>
    </row>
    <row r="248" customFormat="false" ht="15" hidden="false" customHeight="true" outlineLevel="0" collapsed="false">
      <c r="BH248" s="287"/>
      <c r="BI248" s="17"/>
    </row>
    <row r="249" customFormat="false" ht="15" hidden="false" customHeight="true" outlineLevel="0" collapsed="false">
      <c r="BH249" s="287"/>
      <c r="BI249" s="17"/>
    </row>
    <row r="250" customFormat="false" ht="15" hidden="false" customHeight="true" outlineLevel="0" collapsed="false">
      <c r="BH250" s="287"/>
      <c r="BI250" s="17"/>
    </row>
    <row r="251" customFormat="false" ht="15" hidden="false" customHeight="true" outlineLevel="0" collapsed="false">
      <c r="BH251" s="287"/>
      <c r="BI251" s="17"/>
    </row>
    <row r="252" customFormat="false" ht="15" hidden="false" customHeight="true" outlineLevel="0" collapsed="false">
      <c r="BH252" s="287"/>
      <c r="BI252" s="17"/>
    </row>
    <row r="253" customFormat="false" ht="15" hidden="false" customHeight="true" outlineLevel="0" collapsed="false">
      <c r="BH253" s="287"/>
      <c r="BI253" s="17"/>
    </row>
    <row r="254" customFormat="false" ht="15" hidden="false" customHeight="true" outlineLevel="0" collapsed="false">
      <c r="BH254" s="287"/>
      <c r="BI254" s="17"/>
    </row>
    <row r="255" customFormat="false" ht="15" hidden="false" customHeight="true" outlineLevel="0" collapsed="false">
      <c r="BH255" s="287"/>
      <c r="BI255" s="17"/>
    </row>
    <row r="256" customFormat="false" ht="15" hidden="false" customHeight="true" outlineLevel="0" collapsed="false">
      <c r="BH256" s="287"/>
      <c r="BI256" s="17"/>
    </row>
    <row r="257" customFormat="false" ht="15" hidden="false" customHeight="true" outlineLevel="0" collapsed="false">
      <c r="BH257" s="287"/>
      <c r="BI257" s="17"/>
    </row>
    <row r="258" customFormat="false" ht="15" hidden="false" customHeight="true" outlineLevel="0" collapsed="false">
      <c r="BH258" s="287"/>
      <c r="BI258" s="17"/>
    </row>
    <row r="259" customFormat="false" ht="15" hidden="false" customHeight="true" outlineLevel="0" collapsed="false">
      <c r="BH259" s="303"/>
      <c r="BI259" s="17"/>
    </row>
    <row r="260" customFormat="false" ht="15" hidden="false" customHeight="true" outlineLevel="0" collapsed="false">
      <c r="BI260" s="17"/>
    </row>
    <row r="261" customFormat="false" ht="15" hidden="false" customHeight="true" outlineLevel="0" collapsed="false">
      <c r="BH261" s="268"/>
      <c r="BI261" s="17"/>
    </row>
    <row r="262" customFormat="false" ht="15" hidden="false" customHeight="true" outlineLevel="0" collapsed="false">
      <c r="BH262" s="287"/>
      <c r="BI262" s="17"/>
    </row>
    <row r="263" customFormat="false" ht="15" hidden="false" customHeight="true" outlineLevel="0" collapsed="false">
      <c r="BH263" s="287"/>
      <c r="BI263" s="17"/>
    </row>
    <row r="264" customFormat="false" ht="15" hidden="false" customHeight="true" outlineLevel="0" collapsed="false">
      <c r="BH264" s="287"/>
      <c r="BI264" s="17"/>
    </row>
    <row r="265" customFormat="false" ht="15" hidden="false" customHeight="true" outlineLevel="0" collapsed="false">
      <c r="BH265" s="287"/>
      <c r="BI265" s="17"/>
    </row>
    <row r="266" customFormat="false" ht="15" hidden="false" customHeight="true" outlineLevel="0" collapsed="false">
      <c r="BH266" s="287"/>
      <c r="BI266" s="17"/>
    </row>
    <row r="267" customFormat="false" ht="15" hidden="false" customHeight="true" outlineLevel="0" collapsed="false">
      <c r="BH267" s="287"/>
      <c r="BI267" s="17"/>
    </row>
    <row r="268" customFormat="false" ht="15" hidden="false" customHeight="true" outlineLevel="0" collapsed="false">
      <c r="BH268" s="287"/>
      <c r="BI268" s="17"/>
    </row>
    <row r="269" customFormat="false" ht="15" hidden="false" customHeight="true" outlineLevel="0" collapsed="false">
      <c r="BH269" s="287"/>
      <c r="BI269" s="17"/>
    </row>
    <row r="270" customFormat="false" ht="15" hidden="false" customHeight="true" outlineLevel="0" collapsed="false">
      <c r="BH270" s="287"/>
      <c r="BI270" s="17"/>
    </row>
    <row r="271" customFormat="false" ht="15" hidden="false" customHeight="true" outlineLevel="0" collapsed="false">
      <c r="BH271" s="287"/>
      <c r="BI271" s="17"/>
    </row>
    <row r="272" customFormat="false" ht="15" hidden="false" customHeight="true" outlineLevel="0" collapsed="false">
      <c r="BH272" s="287"/>
      <c r="BI272" s="17"/>
    </row>
    <row r="273" customFormat="false" ht="15" hidden="false" customHeight="true" outlineLevel="0" collapsed="false">
      <c r="BH273" s="287"/>
      <c r="BI273" s="17"/>
    </row>
    <row r="274" customFormat="false" ht="15" hidden="false" customHeight="true" outlineLevel="0" collapsed="false">
      <c r="BH274" s="303"/>
      <c r="BI274" s="17"/>
    </row>
    <row r="275" customFormat="false" ht="15" hidden="false" customHeight="true" outlineLevel="0" collapsed="false">
      <c r="BI275" s="17"/>
    </row>
    <row r="276" customFormat="false" ht="15" hidden="false" customHeight="true" outlineLevel="0" collapsed="false">
      <c r="BH276" s="268"/>
      <c r="BI276" s="17"/>
    </row>
    <row r="277" customFormat="false" ht="15" hidden="false" customHeight="true" outlineLevel="0" collapsed="false">
      <c r="BH277" s="287"/>
      <c r="BI277" s="17"/>
    </row>
    <row r="278" customFormat="false" ht="15" hidden="false" customHeight="true" outlineLevel="0" collapsed="false">
      <c r="BH278" s="287"/>
      <c r="BI278" s="17"/>
    </row>
    <row r="279" customFormat="false" ht="15" hidden="false" customHeight="true" outlineLevel="0" collapsed="false">
      <c r="BH279" s="287"/>
      <c r="BI279" s="17"/>
    </row>
    <row r="280" customFormat="false" ht="15" hidden="false" customHeight="true" outlineLevel="0" collapsed="false">
      <c r="BH280" s="287"/>
      <c r="BI280" s="17"/>
    </row>
    <row r="281" customFormat="false" ht="15" hidden="false" customHeight="true" outlineLevel="0" collapsed="false">
      <c r="BH281" s="287"/>
      <c r="BI281" s="17"/>
    </row>
    <row r="282" customFormat="false" ht="15" hidden="false" customHeight="true" outlineLevel="0" collapsed="false">
      <c r="BH282" s="287"/>
      <c r="BI282" s="17"/>
    </row>
    <row r="283" customFormat="false" ht="15" hidden="false" customHeight="true" outlineLevel="0" collapsed="false">
      <c r="BH283" s="287"/>
      <c r="BI283" s="17"/>
    </row>
    <row r="284" customFormat="false" ht="15" hidden="false" customHeight="true" outlineLevel="0" collapsed="false">
      <c r="BH284" s="287"/>
      <c r="BI284" s="17"/>
    </row>
    <row r="285" customFormat="false" ht="15" hidden="false" customHeight="true" outlineLevel="0" collapsed="false">
      <c r="BH285" s="287"/>
      <c r="BI285" s="17"/>
    </row>
    <row r="286" customFormat="false" ht="15" hidden="false" customHeight="true" outlineLevel="0" collapsed="false">
      <c r="BH286" s="287"/>
      <c r="BI286" s="17"/>
    </row>
    <row r="287" customFormat="false" ht="15" hidden="false" customHeight="true" outlineLevel="0" collapsed="false">
      <c r="BH287" s="287"/>
      <c r="BI287" s="17"/>
    </row>
    <row r="288" customFormat="false" ht="15" hidden="false" customHeight="true" outlineLevel="0" collapsed="false">
      <c r="BH288" s="287"/>
      <c r="BI288" s="17"/>
    </row>
    <row r="289" customFormat="false" ht="15" hidden="false" customHeight="true" outlineLevel="0" collapsed="false">
      <c r="BH289" s="303"/>
      <c r="BI289" s="17"/>
    </row>
    <row r="290" customFormat="false" ht="15" hidden="false" customHeight="true" outlineLevel="0" collapsed="false">
      <c r="BI290" s="17"/>
    </row>
    <row r="291" customFormat="false" ht="15" hidden="false" customHeight="true" outlineLevel="0" collapsed="false">
      <c r="BH291" s="268"/>
      <c r="BI291" s="17"/>
    </row>
    <row r="292" customFormat="false" ht="15" hidden="false" customHeight="true" outlineLevel="0" collapsed="false">
      <c r="BH292" s="287"/>
      <c r="BI292" s="17"/>
    </row>
    <row r="293" customFormat="false" ht="15" hidden="false" customHeight="true" outlineLevel="0" collapsed="false">
      <c r="BH293" s="287"/>
      <c r="BI293" s="17"/>
    </row>
    <row r="294" customFormat="false" ht="15" hidden="false" customHeight="true" outlineLevel="0" collapsed="false">
      <c r="BH294" s="287"/>
      <c r="BI294" s="17"/>
    </row>
    <row r="295" customFormat="false" ht="15" hidden="false" customHeight="true" outlineLevel="0" collapsed="false">
      <c r="BH295" s="287"/>
      <c r="BI295" s="17"/>
    </row>
    <row r="296" customFormat="false" ht="15" hidden="false" customHeight="true" outlineLevel="0" collapsed="false">
      <c r="BH296" s="287"/>
      <c r="BI296" s="17"/>
    </row>
    <row r="297" customFormat="false" ht="15" hidden="false" customHeight="true" outlineLevel="0" collapsed="false">
      <c r="BH297" s="287"/>
      <c r="BI297" s="17"/>
    </row>
    <row r="298" customFormat="false" ht="15" hidden="false" customHeight="true" outlineLevel="0" collapsed="false">
      <c r="BH298" s="287"/>
      <c r="BI298" s="17"/>
    </row>
    <row r="299" customFormat="false" ht="15" hidden="false" customHeight="true" outlineLevel="0" collapsed="false">
      <c r="BH299" s="287"/>
      <c r="BI299" s="17"/>
    </row>
    <row r="300" customFormat="false" ht="15" hidden="false" customHeight="true" outlineLevel="0" collapsed="false">
      <c r="BH300" s="287"/>
      <c r="BI300" s="17"/>
    </row>
    <row r="301" customFormat="false" ht="15" hidden="false" customHeight="true" outlineLevel="0" collapsed="false">
      <c r="BH301" s="287"/>
      <c r="BI301" s="17"/>
    </row>
    <row r="302" customFormat="false" ht="15" hidden="false" customHeight="true" outlineLevel="0" collapsed="false">
      <c r="BH302" s="287"/>
      <c r="BI302" s="17"/>
    </row>
    <row r="303" customFormat="false" ht="15" hidden="false" customHeight="true" outlineLevel="0" collapsed="false">
      <c r="BH303" s="287"/>
      <c r="BI303" s="17"/>
    </row>
    <row r="304" customFormat="false" ht="15" hidden="false" customHeight="true" outlineLevel="0" collapsed="false">
      <c r="BH304" s="303"/>
      <c r="BI304" s="17"/>
    </row>
    <row r="305" customFormat="false" ht="15" hidden="false" customHeight="true" outlineLevel="0" collapsed="false">
      <c r="BI305" s="17"/>
    </row>
    <row r="306" customFormat="false" ht="15" hidden="false" customHeight="true" outlineLevel="0" collapsed="false">
      <c r="BH306" s="268"/>
      <c r="BI306" s="17"/>
    </row>
    <row r="307" customFormat="false" ht="15" hidden="false" customHeight="true" outlineLevel="0" collapsed="false">
      <c r="BH307" s="287"/>
      <c r="BI307" s="17"/>
    </row>
    <row r="308" customFormat="false" ht="15" hidden="false" customHeight="true" outlineLevel="0" collapsed="false">
      <c r="BH308" s="287"/>
      <c r="BI308" s="17"/>
    </row>
    <row r="309" customFormat="false" ht="15" hidden="false" customHeight="true" outlineLevel="0" collapsed="false">
      <c r="BH309" s="287"/>
      <c r="BI309" s="17"/>
    </row>
    <row r="310" customFormat="false" ht="15" hidden="false" customHeight="true" outlineLevel="0" collapsed="false">
      <c r="BH310" s="287"/>
      <c r="BI310" s="17"/>
    </row>
    <row r="311" customFormat="false" ht="15" hidden="false" customHeight="true" outlineLevel="0" collapsed="false">
      <c r="BH311" s="287"/>
      <c r="BI311" s="17"/>
    </row>
    <row r="312" customFormat="false" ht="15" hidden="false" customHeight="true" outlineLevel="0" collapsed="false">
      <c r="BH312" s="287"/>
      <c r="BI312" s="17"/>
    </row>
    <row r="313" customFormat="false" ht="15" hidden="false" customHeight="true" outlineLevel="0" collapsed="false">
      <c r="BH313" s="287"/>
      <c r="BI313" s="17"/>
    </row>
    <row r="314" customFormat="false" ht="15" hidden="false" customHeight="true" outlineLevel="0" collapsed="false">
      <c r="BH314" s="287"/>
      <c r="BI314" s="17"/>
    </row>
    <row r="315" customFormat="false" ht="15" hidden="false" customHeight="true" outlineLevel="0" collapsed="false">
      <c r="BH315" s="287"/>
      <c r="BI315" s="17"/>
    </row>
    <row r="316" customFormat="false" ht="15" hidden="false" customHeight="true" outlineLevel="0" collapsed="false">
      <c r="BH316" s="287"/>
      <c r="BI316" s="17"/>
    </row>
    <row r="317" customFormat="false" ht="15" hidden="false" customHeight="true" outlineLevel="0" collapsed="false">
      <c r="BH317" s="287"/>
      <c r="BI317" s="17"/>
    </row>
    <row r="318" customFormat="false" ht="15" hidden="false" customHeight="true" outlineLevel="0" collapsed="false">
      <c r="BH318" s="287"/>
      <c r="BI318" s="17"/>
    </row>
    <row r="319" customFormat="false" ht="15" hidden="false" customHeight="true" outlineLevel="0" collapsed="false">
      <c r="BH319" s="303"/>
      <c r="BI319" s="17"/>
    </row>
    <row r="320" customFormat="false" ht="15" hidden="false" customHeight="true" outlineLevel="0" collapsed="false">
      <c r="BI320" s="17"/>
    </row>
    <row r="321" customFormat="false" ht="15" hidden="false" customHeight="true" outlineLevel="0" collapsed="false">
      <c r="BH321" s="268"/>
      <c r="BI321" s="17"/>
    </row>
    <row r="322" customFormat="false" ht="15" hidden="false" customHeight="true" outlineLevel="0" collapsed="false">
      <c r="BH322" s="287"/>
      <c r="BI322" s="17"/>
    </row>
    <row r="323" customFormat="false" ht="15" hidden="false" customHeight="true" outlineLevel="0" collapsed="false">
      <c r="BH323" s="287"/>
      <c r="BI323" s="17"/>
    </row>
    <row r="324" customFormat="false" ht="15" hidden="false" customHeight="true" outlineLevel="0" collapsed="false">
      <c r="BH324" s="287"/>
      <c r="BI324" s="17"/>
    </row>
    <row r="325" customFormat="false" ht="15" hidden="false" customHeight="true" outlineLevel="0" collapsed="false">
      <c r="BH325" s="287"/>
      <c r="BI325" s="17"/>
    </row>
    <row r="326" customFormat="false" ht="15" hidden="false" customHeight="true" outlineLevel="0" collapsed="false">
      <c r="BH326" s="287"/>
      <c r="BI326" s="17"/>
    </row>
    <row r="327" customFormat="false" ht="15" hidden="false" customHeight="true" outlineLevel="0" collapsed="false">
      <c r="BH327" s="287"/>
      <c r="BI327" s="17"/>
    </row>
    <row r="328" customFormat="false" ht="15" hidden="false" customHeight="true" outlineLevel="0" collapsed="false">
      <c r="BH328" s="287"/>
      <c r="BI328" s="17"/>
    </row>
    <row r="329" customFormat="false" ht="15" hidden="false" customHeight="true" outlineLevel="0" collapsed="false">
      <c r="BH329" s="287"/>
      <c r="BI329" s="17"/>
    </row>
    <row r="330" customFormat="false" ht="15" hidden="false" customHeight="true" outlineLevel="0" collapsed="false">
      <c r="BH330" s="287"/>
      <c r="BI330" s="17"/>
    </row>
    <row r="331" customFormat="false" ht="15" hidden="false" customHeight="true" outlineLevel="0" collapsed="false">
      <c r="BH331" s="287"/>
      <c r="BI331" s="17"/>
    </row>
    <row r="332" customFormat="false" ht="15" hidden="false" customHeight="true" outlineLevel="0" collapsed="false">
      <c r="BH332" s="287"/>
      <c r="BI332" s="17"/>
    </row>
    <row r="333" customFormat="false" ht="15" hidden="false" customHeight="true" outlineLevel="0" collapsed="false">
      <c r="BH333" s="287"/>
      <c r="BI333" s="17"/>
    </row>
    <row r="334" customFormat="false" ht="15" hidden="false" customHeight="true" outlineLevel="0" collapsed="false">
      <c r="BH334" s="303"/>
      <c r="BI334" s="17"/>
    </row>
    <row r="335" customFormat="false" ht="15" hidden="false" customHeight="true" outlineLevel="0" collapsed="false">
      <c r="BI335" s="17"/>
    </row>
    <row r="336" customFormat="false" ht="15" hidden="false" customHeight="true" outlineLevel="0" collapsed="false">
      <c r="BH336" s="268"/>
      <c r="BI336" s="17"/>
    </row>
    <row r="337" customFormat="false" ht="15" hidden="false" customHeight="true" outlineLevel="0" collapsed="false">
      <c r="BH337" s="287"/>
      <c r="BI337" s="17"/>
    </row>
    <row r="338" customFormat="false" ht="15" hidden="false" customHeight="true" outlineLevel="0" collapsed="false">
      <c r="BH338" s="287"/>
      <c r="BI338" s="17"/>
    </row>
    <row r="339" customFormat="false" ht="15" hidden="false" customHeight="true" outlineLevel="0" collapsed="false">
      <c r="BH339" s="287"/>
      <c r="BI339" s="17"/>
    </row>
    <row r="340" customFormat="false" ht="15" hidden="false" customHeight="true" outlineLevel="0" collapsed="false">
      <c r="BH340" s="287"/>
      <c r="BI340" s="17"/>
    </row>
    <row r="341" customFormat="false" ht="15" hidden="false" customHeight="true" outlineLevel="0" collapsed="false">
      <c r="BH341" s="287"/>
      <c r="BI341" s="17"/>
    </row>
    <row r="342" customFormat="false" ht="15" hidden="false" customHeight="true" outlineLevel="0" collapsed="false">
      <c r="BH342" s="287"/>
      <c r="BI342" s="17"/>
    </row>
    <row r="343" customFormat="false" ht="15" hidden="false" customHeight="true" outlineLevel="0" collapsed="false">
      <c r="BH343" s="287"/>
      <c r="BI343" s="17"/>
    </row>
    <row r="344" customFormat="false" ht="15" hidden="false" customHeight="true" outlineLevel="0" collapsed="false">
      <c r="BH344" s="287"/>
      <c r="BI344" s="17"/>
    </row>
    <row r="345" customFormat="false" ht="15" hidden="false" customHeight="true" outlineLevel="0" collapsed="false">
      <c r="BH345" s="287"/>
      <c r="BI345" s="17"/>
    </row>
    <row r="346" customFormat="false" ht="15" hidden="false" customHeight="true" outlineLevel="0" collapsed="false">
      <c r="BH346" s="287"/>
      <c r="BI346" s="17"/>
    </row>
    <row r="347" customFormat="false" ht="15" hidden="false" customHeight="true" outlineLevel="0" collapsed="false">
      <c r="BH347" s="287"/>
      <c r="BI347" s="17"/>
    </row>
    <row r="348" customFormat="false" ht="15" hidden="false" customHeight="true" outlineLevel="0" collapsed="false">
      <c r="BH348" s="287"/>
      <c r="BI348" s="17"/>
    </row>
    <row r="349" customFormat="false" ht="15" hidden="false" customHeight="true" outlineLevel="0" collapsed="false">
      <c r="BH349" s="303"/>
      <c r="BI349" s="17"/>
    </row>
    <row r="350" customFormat="false" ht="15" hidden="false" customHeight="true" outlineLevel="0" collapsed="false">
      <c r="BI350" s="17"/>
    </row>
    <row r="351" customFormat="false" ht="15" hidden="false" customHeight="true" outlineLevel="0" collapsed="false">
      <c r="BH351" s="268"/>
      <c r="BI351" s="17"/>
    </row>
    <row r="352" customFormat="false" ht="15" hidden="false" customHeight="true" outlineLevel="0" collapsed="false">
      <c r="BH352" s="287"/>
      <c r="BI352" s="17"/>
    </row>
    <row r="353" customFormat="false" ht="15" hidden="false" customHeight="true" outlineLevel="0" collapsed="false">
      <c r="BH353" s="287"/>
      <c r="BI353" s="17"/>
    </row>
    <row r="354" customFormat="false" ht="15" hidden="false" customHeight="true" outlineLevel="0" collapsed="false">
      <c r="BH354" s="287"/>
      <c r="BI354" s="17"/>
    </row>
    <row r="355" customFormat="false" ht="15" hidden="false" customHeight="true" outlineLevel="0" collapsed="false">
      <c r="BH355" s="287"/>
      <c r="BI355" s="17"/>
    </row>
    <row r="356" customFormat="false" ht="15" hidden="false" customHeight="true" outlineLevel="0" collapsed="false">
      <c r="BH356" s="287"/>
      <c r="BI356" s="17"/>
    </row>
    <row r="357" customFormat="false" ht="15" hidden="false" customHeight="true" outlineLevel="0" collapsed="false">
      <c r="BH357" s="287"/>
      <c r="BI357" s="17"/>
    </row>
    <row r="358" customFormat="false" ht="15" hidden="false" customHeight="true" outlineLevel="0" collapsed="false">
      <c r="BH358" s="287"/>
      <c r="BI358" s="17"/>
    </row>
    <row r="359" customFormat="false" ht="15" hidden="false" customHeight="true" outlineLevel="0" collapsed="false">
      <c r="BH359" s="287"/>
      <c r="BI359" s="17"/>
    </row>
    <row r="360" customFormat="false" ht="15" hidden="false" customHeight="true" outlineLevel="0" collapsed="false">
      <c r="BH360" s="287"/>
      <c r="BI360" s="17"/>
    </row>
    <row r="361" customFormat="false" ht="15" hidden="false" customHeight="true" outlineLevel="0" collapsed="false">
      <c r="BH361" s="287"/>
      <c r="BI361" s="17"/>
    </row>
    <row r="362" customFormat="false" ht="15" hidden="false" customHeight="true" outlineLevel="0" collapsed="false">
      <c r="BH362" s="287"/>
      <c r="BI362" s="17"/>
    </row>
    <row r="363" customFormat="false" ht="15" hidden="false" customHeight="true" outlineLevel="0" collapsed="false">
      <c r="BH363" s="287"/>
      <c r="BI363" s="17"/>
    </row>
    <row r="364" customFormat="false" ht="15" hidden="false" customHeight="true" outlineLevel="0" collapsed="false">
      <c r="BH364" s="303"/>
      <c r="BI364" s="17"/>
    </row>
    <row r="365" customFormat="false" ht="15" hidden="false" customHeight="true" outlineLevel="0" collapsed="false">
      <c r="BI365" s="17"/>
    </row>
    <row r="366" customFormat="false" ht="15" hidden="false" customHeight="true" outlineLevel="0" collapsed="false">
      <c r="BH366" s="268"/>
      <c r="BI366" s="17"/>
    </row>
    <row r="367" customFormat="false" ht="15" hidden="false" customHeight="true" outlineLevel="0" collapsed="false">
      <c r="BH367" s="287"/>
      <c r="BI367" s="17"/>
    </row>
    <row r="368" customFormat="false" ht="15" hidden="false" customHeight="true" outlineLevel="0" collapsed="false">
      <c r="BH368" s="287"/>
      <c r="BI368" s="17"/>
    </row>
    <row r="369" customFormat="false" ht="15" hidden="false" customHeight="true" outlineLevel="0" collapsed="false">
      <c r="BH369" s="287"/>
      <c r="BI369" s="17"/>
    </row>
    <row r="370" customFormat="false" ht="15" hidden="false" customHeight="true" outlineLevel="0" collapsed="false">
      <c r="BH370" s="287"/>
      <c r="BI370" s="17"/>
    </row>
    <row r="371" customFormat="false" ht="15" hidden="false" customHeight="true" outlineLevel="0" collapsed="false">
      <c r="BH371" s="287"/>
      <c r="BI371" s="17"/>
    </row>
    <row r="372" customFormat="false" ht="15" hidden="false" customHeight="true" outlineLevel="0" collapsed="false">
      <c r="BH372" s="287"/>
      <c r="BI372" s="17"/>
    </row>
    <row r="373" customFormat="false" ht="15" hidden="false" customHeight="true" outlineLevel="0" collapsed="false">
      <c r="BH373" s="287"/>
      <c r="BI373" s="17"/>
    </row>
    <row r="374" customFormat="false" ht="15" hidden="false" customHeight="true" outlineLevel="0" collapsed="false">
      <c r="BH374" s="287"/>
      <c r="BI374" s="17"/>
    </row>
    <row r="375" customFormat="false" ht="15" hidden="false" customHeight="true" outlineLevel="0" collapsed="false">
      <c r="BH375" s="287"/>
      <c r="BI375" s="17"/>
    </row>
    <row r="376" customFormat="false" ht="15" hidden="false" customHeight="true" outlineLevel="0" collapsed="false">
      <c r="BH376" s="287"/>
      <c r="BI376" s="17"/>
    </row>
    <row r="377" customFormat="false" ht="15" hidden="false" customHeight="true" outlineLevel="0" collapsed="false">
      <c r="BH377" s="287"/>
      <c r="BI377" s="17"/>
    </row>
    <row r="378" customFormat="false" ht="15" hidden="false" customHeight="true" outlineLevel="0" collapsed="false">
      <c r="BH378" s="287"/>
      <c r="BI378" s="17"/>
    </row>
    <row r="379" customFormat="false" ht="15" hidden="false" customHeight="true" outlineLevel="0" collapsed="false">
      <c r="BH379" s="303"/>
      <c r="BI379" s="17"/>
    </row>
    <row r="380" customFormat="false" ht="15" hidden="false" customHeight="true" outlineLevel="0" collapsed="false">
      <c r="BI380" s="17"/>
    </row>
    <row r="381" customFormat="false" ht="15" hidden="false" customHeight="true" outlineLevel="0" collapsed="false">
      <c r="BH381" s="268"/>
      <c r="BI381" s="17"/>
    </row>
    <row r="382" customFormat="false" ht="15" hidden="false" customHeight="true" outlineLevel="0" collapsed="false">
      <c r="BH382" s="287"/>
      <c r="BI382" s="17"/>
    </row>
    <row r="383" customFormat="false" ht="15" hidden="false" customHeight="true" outlineLevel="0" collapsed="false">
      <c r="BH383" s="287"/>
      <c r="BI383" s="17"/>
    </row>
    <row r="384" customFormat="false" ht="15" hidden="false" customHeight="true" outlineLevel="0" collapsed="false">
      <c r="BH384" s="287"/>
      <c r="BI384" s="17"/>
    </row>
    <row r="385" customFormat="false" ht="15" hidden="false" customHeight="true" outlineLevel="0" collapsed="false">
      <c r="BH385" s="287"/>
      <c r="BI385" s="17"/>
    </row>
    <row r="386" customFormat="false" ht="15" hidden="false" customHeight="true" outlineLevel="0" collapsed="false">
      <c r="BH386" s="287"/>
      <c r="BI386" s="17"/>
    </row>
    <row r="387" customFormat="false" ht="15" hidden="false" customHeight="true" outlineLevel="0" collapsed="false">
      <c r="BH387" s="287"/>
      <c r="BI387" s="17"/>
    </row>
    <row r="388" customFormat="false" ht="15" hidden="false" customHeight="true" outlineLevel="0" collapsed="false">
      <c r="BH388" s="287"/>
      <c r="BI388" s="17"/>
    </row>
    <row r="389" customFormat="false" ht="15" hidden="false" customHeight="true" outlineLevel="0" collapsed="false">
      <c r="BH389" s="287"/>
      <c r="BI389" s="17"/>
    </row>
    <row r="390" customFormat="false" ht="15" hidden="false" customHeight="true" outlineLevel="0" collapsed="false">
      <c r="BH390" s="287"/>
      <c r="BI390" s="17"/>
    </row>
    <row r="391" customFormat="false" ht="15" hidden="false" customHeight="true" outlineLevel="0" collapsed="false">
      <c r="BH391" s="287"/>
      <c r="BI391" s="17"/>
    </row>
    <row r="392" customFormat="false" ht="15" hidden="false" customHeight="true" outlineLevel="0" collapsed="false">
      <c r="BH392" s="287"/>
      <c r="BI392" s="17"/>
    </row>
    <row r="393" customFormat="false" ht="15" hidden="false" customHeight="true" outlineLevel="0" collapsed="false">
      <c r="BH393" s="287"/>
      <c r="BI393" s="17"/>
    </row>
    <row r="394" customFormat="false" ht="15" hidden="false" customHeight="true" outlineLevel="0" collapsed="false">
      <c r="BH394" s="303"/>
      <c r="BI394" s="17"/>
    </row>
    <row r="395" customFormat="false" ht="15" hidden="false" customHeight="true" outlineLevel="0" collapsed="false">
      <c r="BI395" s="17"/>
    </row>
    <row r="396" customFormat="false" ht="15" hidden="false" customHeight="true" outlineLevel="0" collapsed="false">
      <c r="BH396" s="268"/>
      <c r="BI396" s="17"/>
    </row>
    <row r="397" customFormat="false" ht="15" hidden="false" customHeight="true" outlineLevel="0" collapsed="false">
      <c r="BH397" s="287"/>
      <c r="BI397" s="17"/>
    </row>
    <row r="398" customFormat="false" ht="15" hidden="false" customHeight="true" outlineLevel="0" collapsed="false">
      <c r="BH398" s="287"/>
      <c r="BI398" s="17"/>
    </row>
    <row r="399" customFormat="false" ht="15" hidden="false" customHeight="true" outlineLevel="0" collapsed="false">
      <c r="BH399" s="287"/>
      <c r="BI399" s="17"/>
    </row>
    <row r="400" customFormat="false" ht="15" hidden="false" customHeight="true" outlineLevel="0" collapsed="false">
      <c r="BH400" s="287"/>
      <c r="BI400" s="17"/>
    </row>
    <row r="401" customFormat="false" ht="15" hidden="false" customHeight="true" outlineLevel="0" collapsed="false">
      <c r="BH401" s="287"/>
      <c r="BI401" s="17"/>
    </row>
    <row r="402" customFormat="false" ht="15" hidden="false" customHeight="true" outlineLevel="0" collapsed="false">
      <c r="BH402" s="287"/>
      <c r="BI402" s="17"/>
    </row>
    <row r="403" customFormat="false" ht="15" hidden="false" customHeight="true" outlineLevel="0" collapsed="false">
      <c r="BH403" s="287"/>
      <c r="BI403" s="17"/>
    </row>
    <row r="404" customFormat="false" ht="15" hidden="false" customHeight="true" outlineLevel="0" collapsed="false">
      <c r="BH404" s="287"/>
      <c r="BI404" s="17"/>
    </row>
    <row r="405" customFormat="false" ht="15" hidden="false" customHeight="true" outlineLevel="0" collapsed="false">
      <c r="BH405" s="287"/>
      <c r="BI405" s="17"/>
    </row>
    <row r="406" customFormat="false" ht="15" hidden="false" customHeight="true" outlineLevel="0" collapsed="false">
      <c r="BH406" s="287"/>
      <c r="BI406" s="17"/>
    </row>
    <row r="407" customFormat="false" ht="15" hidden="false" customHeight="true" outlineLevel="0" collapsed="false">
      <c r="BH407" s="287"/>
      <c r="BI407" s="17"/>
    </row>
    <row r="408" customFormat="false" ht="15" hidden="false" customHeight="true" outlineLevel="0" collapsed="false">
      <c r="BH408" s="287"/>
      <c r="BI408" s="17"/>
    </row>
    <row r="409" customFormat="false" ht="15" hidden="false" customHeight="true" outlineLevel="0" collapsed="false">
      <c r="BH409" s="303"/>
      <c r="BI409" s="17"/>
    </row>
    <row r="410" customFormat="false" ht="15" hidden="false" customHeight="true" outlineLevel="0" collapsed="false">
      <c r="BI410" s="17"/>
    </row>
    <row r="411" customFormat="false" ht="15" hidden="false" customHeight="true" outlineLevel="0" collapsed="false">
      <c r="BH411" s="268"/>
      <c r="BI411" s="17"/>
    </row>
    <row r="412" customFormat="false" ht="15" hidden="false" customHeight="true" outlineLevel="0" collapsed="false">
      <c r="BH412" s="287"/>
      <c r="BI412" s="17"/>
    </row>
    <row r="413" customFormat="false" ht="15" hidden="false" customHeight="true" outlineLevel="0" collapsed="false">
      <c r="BH413" s="287"/>
      <c r="BI413" s="17"/>
    </row>
    <row r="414" customFormat="false" ht="15" hidden="false" customHeight="true" outlineLevel="0" collapsed="false">
      <c r="BH414" s="287"/>
      <c r="BI414" s="17"/>
    </row>
    <row r="415" customFormat="false" ht="15" hidden="false" customHeight="true" outlineLevel="0" collapsed="false">
      <c r="BH415" s="287"/>
      <c r="BI415" s="17"/>
    </row>
    <row r="416" customFormat="false" ht="15" hidden="false" customHeight="true" outlineLevel="0" collapsed="false">
      <c r="BH416" s="287"/>
      <c r="BI416" s="17"/>
    </row>
    <row r="417" customFormat="false" ht="15" hidden="false" customHeight="true" outlineLevel="0" collapsed="false">
      <c r="BH417" s="287"/>
      <c r="BI417" s="17"/>
    </row>
    <row r="418" customFormat="false" ht="15" hidden="false" customHeight="true" outlineLevel="0" collapsed="false">
      <c r="BH418" s="287"/>
      <c r="BI418" s="17"/>
    </row>
    <row r="419" customFormat="false" ht="15" hidden="false" customHeight="true" outlineLevel="0" collapsed="false">
      <c r="BH419" s="287"/>
      <c r="BI419" s="17"/>
    </row>
    <row r="420" customFormat="false" ht="15" hidden="false" customHeight="true" outlineLevel="0" collapsed="false">
      <c r="BH420" s="287"/>
      <c r="BI420" s="17"/>
    </row>
    <row r="421" customFormat="false" ht="15" hidden="false" customHeight="true" outlineLevel="0" collapsed="false">
      <c r="BH421" s="287"/>
      <c r="BI421" s="17"/>
    </row>
    <row r="422" customFormat="false" ht="15" hidden="false" customHeight="true" outlineLevel="0" collapsed="false">
      <c r="BH422" s="287"/>
      <c r="BI422" s="17"/>
    </row>
    <row r="423" customFormat="false" ht="15" hidden="false" customHeight="true" outlineLevel="0" collapsed="false">
      <c r="BH423" s="287"/>
      <c r="BI423" s="17"/>
    </row>
    <row r="424" customFormat="false" ht="15" hidden="false" customHeight="true" outlineLevel="0" collapsed="false">
      <c r="BH424" s="303"/>
      <c r="BI424" s="17"/>
    </row>
    <row r="425" customFormat="false" ht="15" hidden="false" customHeight="true" outlineLevel="0" collapsed="false">
      <c r="BI425" s="17"/>
    </row>
    <row r="426" customFormat="false" ht="15" hidden="false" customHeight="true" outlineLevel="0" collapsed="false">
      <c r="BH426" s="268"/>
      <c r="BI426" s="17"/>
    </row>
    <row r="427" customFormat="false" ht="15" hidden="false" customHeight="true" outlineLevel="0" collapsed="false">
      <c r="BH427" s="287"/>
      <c r="BI427" s="17"/>
    </row>
    <row r="428" customFormat="false" ht="15" hidden="false" customHeight="true" outlineLevel="0" collapsed="false">
      <c r="BH428" s="287"/>
      <c r="BI428" s="17"/>
    </row>
    <row r="429" customFormat="false" ht="15" hidden="false" customHeight="true" outlineLevel="0" collapsed="false">
      <c r="BH429" s="287"/>
      <c r="BI429" s="17"/>
    </row>
    <row r="430" customFormat="false" ht="15" hidden="false" customHeight="true" outlineLevel="0" collapsed="false">
      <c r="BH430" s="287"/>
      <c r="BI430" s="17"/>
    </row>
    <row r="431" customFormat="false" ht="15" hidden="false" customHeight="true" outlineLevel="0" collapsed="false">
      <c r="BH431" s="287"/>
      <c r="BI431" s="17"/>
    </row>
    <row r="432" customFormat="false" ht="15" hidden="false" customHeight="true" outlineLevel="0" collapsed="false">
      <c r="BH432" s="287"/>
      <c r="BI432" s="17"/>
    </row>
    <row r="433" customFormat="false" ht="15" hidden="false" customHeight="true" outlineLevel="0" collapsed="false">
      <c r="BH433" s="287"/>
      <c r="BI433" s="17"/>
    </row>
    <row r="434" customFormat="false" ht="15" hidden="false" customHeight="true" outlineLevel="0" collapsed="false">
      <c r="BH434" s="287"/>
      <c r="BI434" s="17"/>
    </row>
    <row r="435" customFormat="false" ht="15" hidden="false" customHeight="true" outlineLevel="0" collapsed="false">
      <c r="BH435" s="287"/>
      <c r="BI435" s="17"/>
    </row>
    <row r="436" customFormat="false" ht="15" hidden="false" customHeight="true" outlineLevel="0" collapsed="false">
      <c r="BH436" s="287"/>
      <c r="BI436" s="17"/>
    </row>
    <row r="437" customFormat="false" ht="15" hidden="false" customHeight="true" outlineLevel="0" collapsed="false">
      <c r="BH437" s="287"/>
      <c r="BI437" s="17"/>
    </row>
    <row r="438" customFormat="false" ht="15" hidden="false" customHeight="true" outlineLevel="0" collapsed="false">
      <c r="BH438" s="287"/>
      <c r="BI438" s="17"/>
    </row>
    <row r="439" customFormat="false" ht="15" hidden="false" customHeight="true" outlineLevel="0" collapsed="false">
      <c r="BH439" s="303"/>
      <c r="BI439" s="17"/>
    </row>
    <row r="440" customFormat="false" ht="15" hidden="false" customHeight="true" outlineLevel="0" collapsed="false">
      <c r="BI440" s="17"/>
    </row>
    <row r="441" customFormat="false" ht="15" hidden="false" customHeight="true" outlineLevel="0" collapsed="false">
      <c r="BH441" s="268"/>
      <c r="BI441" s="17"/>
    </row>
    <row r="442" customFormat="false" ht="15" hidden="false" customHeight="true" outlineLevel="0" collapsed="false">
      <c r="BH442" s="287"/>
      <c r="BI442" s="17"/>
    </row>
    <row r="443" customFormat="false" ht="15" hidden="false" customHeight="true" outlineLevel="0" collapsed="false">
      <c r="BH443" s="287"/>
      <c r="BI443" s="17"/>
    </row>
    <row r="444" customFormat="false" ht="15" hidden="false" customHeight="true" outlineLevel="0" collapsed="false">
      <c r="BH444" s="287"/>
      <c r="BI444" s="17"/>
    </row>
    <row r="445" customFormat="false" ht="15" hidden="false" customHeight="true" outlineLevel="0" collapsed="false">
      <c r="BH445" s="287"/>
      <c r="BI445" s="17"/>
    </row>
    <row r="446" customFormat="false" ht="15" hidden="false" customHeight="true" outlineLevel="0" collapsed="false">
      <c r="BH446" s="287"/>
      <c r="BI446" s="17"/>
    </row>
    <row r="447" customFormat="false" ht="15" hidden="false" customHeight="true" outlineLevel="0" collapsed="false">
      <c r="BH447" s="287"/>
      <c r="BI447" s="17"/>
    </row>
    <row r="448" customFormat="false" ht="15" hidden="false" customHeight="true" outlineLevel="0" collapsed="false">
      <c r="BH448" s="287"/>
      <c r="BI448" s="17"/>
    </row>
    <row r="449" customFormat="false" ht="15" hidden="false" customHeight="true" outlineLevel="0" collapsed="false">
      <c r="BH449" s="287"/>
      <c r="BI449" s="17"/>
    </row>
    <row r="450" customFormat="false" ht="15" hidden="false" customHeight="true" outlineLevel="0" collapsed="false">
      <c r="BH450" s="287"/>
      <c r="BI450" s="17"/>
    </row>
    <row r="451" customFormat="false" ht="15" hidden="false" customHeight="true" outlineLevel="0" collapsed="false">
      <c r="BH451" s="287"/>
      <c r="BI451" s="17"/>
    </row>
    <row r="452" customFormat="false" ht="15" hidden="false" customHeight="true" outlineLevel="0" collapsed="false">
      <c r="BH452" s="287"/>
      <c r="BI452" s="17"/>
    </row>
    <row r="453" customFormat="false" ht="15" hidden="false" customHeight="true" outlineLevel="0" collapsed="false">
      <c r="BH453" s="287"/>
      <c r="BI453" s="17"/>
    </row>
    <row r="454" customFormat="false" ht="15" hidden="false" customHeight="true" outlineLevel="0" collapsed="false">
      <c r="BH454" s="303"/>
      <c r="BI454" s="17"/>
    </row>
    <row r="455" customFormat="false" ht="15" hidden="false" customHeight="true" outlineLevel="0" collapsed="false">
      <c r="BI455" s="17"/>
    </row>
    <row r="456" customFormat="false" ht="15" hidden="false" customHeight="true" outlineLevel="0" collapsed="false">
      <c r="BH456" s="268"/>
      <c r="BI456" s="17"/>
    </row>
    <row r="457" customFormat="false" ht="15" hidden="false" customHeight="true" outlineLevel="0" collapsed="false">
      <c r="BH457" s="287"/>
      <c r="BI457" s="17"/>
    </row>
    <row r="458" customFormat="false" ht="15" hidden="false" customHeight="true" outlineLevel="0" collapsed="false">
      <c r="BH458" s="287"/>
      <c r="BI458" s="17"/>
    </row>
    <row r="459" customFormat="false" ht="15" hidden="false" customHeight="true" outlineLevel="0" collapsed="false">
      <c r="BH459" s="287"/>
      <c r="BI459" s="17"/>
    </row>
    <row r="460" customFormat="false" ht="15" hidden="false" customHeight="true" outlineLevel="0" collapsed="false">
      <c r="BH460" s="287"/>
      <c r="BI460" s="17"/>
    </row>
    <row r="461" customFormat="false" ht="15" hidden="false" customHeight="true" outlineLevel="0" collapsed="false">
      <c r="BH461" s="287"/>
      <c r="BI461" s="17"/>
    </row>
    <row r="462" customFormat="false" ht="15" hidden="false" customHeight="true" outlineLevel="0" collapsed="false">
      <c r="BH462" s="287"/>
      <c r="BI462" s="17"/>
    </row>
    <row r="463" customFormat="false" ht="15" hidden="false" customHeight="true" outlineLevel="0" collapsed="false">
      <c r="BH463" s="287"/>
      <c r="BI463" s="17"/>
    </row>
    <row r="464" customFormat="false" ht="15" hidden="false" customHeight="true" outlineLevel="0" collapsed="false">
      <c r="BH464" s="287"/>
      <c r="BI464" s="17"/>
    </row>
    <row r="465" customFormat="false" ht="15" hidden="false" customHeight="true" outlineLevel="0" collapsed="false">
      <c r="BH465" s="287"/>
      <c r="BI465" s="17"/>
    </row>
    <row r="466" customFormat="false" ht="15" hidden="false" customHeight="true" outlineLevel="0" collapsed="false">
      <c r="BH466" s="287"/>
      <c r="BI466" s="17"/>
    </row>
    <row r="467" customFormat="false" ht="15" hidden="false" customHeight="true" outlineLevel="0" collapsed="false">
      <c r="BH467" s="287"/>
      <c r="BI467" s="17"/>
    </row>
    <row r="468" customFormat="false" ht="15" hidden="false" customHeight="true" outlineLevel="0" collapsed="false">
      <c r="BH468" s="287"/>
      <c r="BI468" s="17"/>
    </row>
    <row r="469" customFormat="false" ht="15" hidden="false" customHeight="true" outlineLevel="0" collapsed="false">
      <c r="BH469" s="303"/>
      <c r="BI469" s="17"/>
    </row>
    <row r="470" customFormat="false" ht="15" hidden="false" customHeight="true" outlineLevel="0" collapsed="false">
      <c r="BH470" s="303"/>
      <c r="BI470" s="17"/>
    </row>
    <row r="471" customFormat="false" ht="15" hidden="false" customHeight="true" outlineLevel="0" collapsed="false">
      <c r="BH471" s="268"/>
      <c r="BI471" s="17"/>
    </row>
    <row r="472" customFormat="false" ht="15" hidden="false" customHeight="true" outlineLevel="0" collapsed="false">
      <c r="BH472" s="287"/>
      <c r="BI472" s="17"/>
    </row>
    <row r="473" customFormat="false" ht="15" hidden="false" customHeight="true" outlineLevel="0" collapsed="false">
      <c r="BH473" s="287"/>
      <c r="BI473" s="17"/>
    </row>
    <row r="474" customFormat="false" ht="15" hidden="false" customHeight="true" outlineLevel="0" collapsed="false">
      <c r="BH474" s="287"/>
      <c r="BI474" s="17"/>
    </row>
    <row r="475" customFormat="false" ht="15" hidden="false" customHeight="true" outlineLevel="0" collapsed="false">
      <c r="BH475" s="287"/>
      <c r="BI475" s="17"/>
    </row>
    <row r="476" customFormat="false" ht="15" hidden="false" customHeight="true" outlineLevel="0" collapsed="false">
      <c r="BH476" s="287"/>
      <c r="BI476" s="17"/>
    </row>
    <row r="477" customFormat="false" ht="15" hidden="false" customHeight="true" outlineLevel="0" collapsed="false">
      <c r="BH477" s="287"/>
      <c r="BI477" s="17"/>
    </row>
    <row r="478" customFormat="false" ht="15" hidden="false" customHeight="true" outlineLevel="0" collapsed="false">
      <c r="BH478" s="287"/>
      <c r="BI478" s="17"/>
    </row>
    <row r="479" customFormat="false" ht="15" hidden="false" customHeight="true" outlineLevel="0" collapsed="false">
      <c r="BH479" s="287"/>
      <c r="BI479" s="17"/>
    </row>
    <row r="480" customFormat="false" ht="15" hidden="false" customHeight="true" outlineLevel="0" collapsed="false">
      <c r="BH480" s="287"/>
      <c r="BI480" s="17"/>
    </row>
    <row r="481" customFormat="false" ht="15" hidden="false" customHeight="true" outlineLevel="0" collapsed="false">
      <c r="BH481" s="287"/>
      <c r="BI481" s="17"/>
    </row>
    <row r="482" customFormat="false" ht="15" hidden="false" customHeight="true" outlineLevel="0" collapsed="false">
      <c r="BH482" s="287"/>
      <c r="BI482" s="17"/>
    </row>
    <row r="483" customFormat="false" ht="15" hidden="false" customHeight="true" outlineLevel="0" collapsed="false">
      <c r="BH483" s="287"/>
      <c r="BI483" s="17"/>
    </row>
    <row r="484" customFormat="false" ht="15" hidden="false" customHeight="true" outlineLevel="0" collapsed="false">
      <c r="BH484" s="303"/>
      <c r="BI484" s="17"/>
    </row>
    <row r="485" customFormat="false" ht="15" hidden="false" customHeight="true" outlineLevel="0" collapsed="false">
      <c r="BH485" s="303"/>
      <c r="BI485" s="17"/>
    </row>
    <row r="486" customFormat="false" ht="15" hidden="false" customHeight="true" outlineLevel="0" collapsed="false">
      <c r="BH486" s="268"/>
      <c r="BI486" s="17"/>
    </row>
    <row r="487" customFormat="false" ht="15" hidden="false" customHeight="true" outlineLevel="0" collapsed="false">
      <c r="BH487" s="287"/>
      <c r="BI487" s="17"/>
    </row>
    <row r="488" customFormat="false" ht="15" hidden="false" customHeight="true" outlineLevel="0" collapsed="false">
      <c r="BH488" s="287"/>
      <c r="BI488" s="17"/>
    </row>
    <row r="489" customFormat="false" ht="15" hidden="false" customHeight="true" outlineLevel="0" collapsed="false">
      <c r="BH489" s="287"/>
      <c r="BI489" s="17"/>
    </row>
    <row r="490" customFormat="false" ht="15" hidden="false" customHeight="true" outlineLevel="0" collapsed="false">
      <c r="BH490" s="287"/>
      <c r="BI490" s="17"/>
    </row>
    <row r="491" customFormat="false" ht="15" hidden="false" customHeight="true" outlineLevel="0" collapsed="false">
      <c r="BH491" s="287"/>
      <c r="BI491" s="17"/>
    </row>
    <row r="492" customFormat="false" ht="15" hidden="false" customHeight="true" outlineLevel="0" collapsed="false">
      <c r="BH492" s="287"/>
      <c r="BI492" s="17"/>
    </row>
    <row r="493" customFormat="false" ht="15" hidden="false" customHeight="true" outlineLevel="0" collapsed="false">
      <c r="BH493" s="287"/>
      <c r="BI493" s="17"/>
    </row>
    <row r="494" customFormat="false" ht="15" hidden="false" customHeight="true" outlineLevel="0" collapsed="false">
      <c r="BH494" s="287"/>
      <c r="BI494" s="17"/>
    </row>
    <row r="495" customFormat="false" ht="15" hidden="false" customHeight="true" outlineLevel="0" collapsed="false">
      <c r="BH495" s="287"/>
      <c r="BI495" s="17"/>
    </row>
    <row r="496" customFormat="false" ht="15" hidden="false" customHeight="true" outlineLevel="0" collapsed="false">
      <c r="BH496" s="287"/>
      <c r="BI496" s="17"/>
    </row>
    <row r="497" customFormat="false" ht="15" hidden="false" customHeight="true" outlineLevel="0" collapsed="false">
      <c r="BH497" s="287"/>
      <c r="BI497" s="17"/>
    </row>
    <row r="498" customFormat="false" ht="15" hidden="false" customHeight="true" outlineLevel="0" collapsed="false">
      <c r="BH498" s="287"/>
      <c r="BI498" s="17"/>
    </row>
    <row r="499" customFormat="false" ht="15" hidden="false" customHeight="true" outlineLevel="0" collapsed="false">
      <c r="BH499" s="303"/>
      <c r="BI499" s="17"/>
    </row>
    <row r="500" customFormat="false" ht="15" hidden="false" customHeight="true" outlineLevel="0" collapsed="false">
      <c r="BH500" s="303"/>
      <c r="BI500" s="17"/>
    </row>
    <row r="501" customFormat="false" ht="15" hidden="false" customHeight="true" outlineLevel="0" collapsed="false">
      <c r="BH501" s="268"/>
      <c r="BI501" s="17"/>
    </row>
    <row r="502" customFormat="false" ht="15" hidden="false" customHeight="true" outlineLevel="0" collapsed="false">
      <c r="BH502" s="287"/>
      <c r="BI502" s="17"/>
    </row>
    <row r="503" customFormat="false" ht="15" hidden="false" customHeight="true" outlineLevel="0" collapsed="false">
      <c r="BH503" s="287"/>
      <c r="BI503" s="17"/>
    </row>
    <row r="504" customFormat="false" ht="15" hidden="false" customHeight="true" outlineLevel="0" collapsed="false">
      <c r="BH504" s="287"/>
      <c r="BI504" s="17"/>
    </row>
    <row r="505" customFormat="false" ht="15" hidden="false" customHeight="true" outlineLevel="0" collapsed="false">
      <c r="BH505" s="287"/>
      <c r="BI505" s="17"/>
    </row>
    <row r="506" customFormat="false" ht="15" hidden="false" customHeight="true" outlineLevel="0" collapsed="false">
      <c r="BH506" s="287"/>
      <c r="BI506" s="17"/>
    </row>
    <row r="507" customFormat="false" ht="15" hidden="false" customHeight="true" outlineLevel="0" collapsed="false">
      <c r="BH507" s="287"/>
      <c r="BI507" s="17"/>
    </row>
    <row r="508" customFormat="false" ht="15" hidden="false" customHeight="true" outlineLevel="0" collapsed="false">
      <c r="BH508" s="287"/>
      <c r="BI508" s="17"/>
    </row>
    <row r="509" customFormat="false" ht="15" hidden="false" customHeight="true" outlineLevel="0" collapsed="false">
      <c r="BH509" s="287"/>
      <c r="BI509" s="17"/>
    </row>
    <row r="510" customFormat="false" ht="15" hidden="false" customHeight="true" outlineLevel="0" collapsed="false">
      <c r="BH510" s="287"/>
      <c r="BI510" s="17"/>
    </row>
    <row r="511" customFormat="false" ht="15" hidden="false" customHeight="true" outlineLevel="0" collapsed="false">
      <c r="BH511" s="287"/>
      <c r="BI511" s="17"/>
    </row>
    <row r="512" customFormat="false" ht="15" hidden="false" customHeight="true" outlineLevel="0" collapsed="false">
      <c r="BH512" s="287"/>
      <c r="BI512" s="17"/>
    </row>
    <row r="513" customFormat="false" ht="15" hidden="false" customHeight="true" outlineLevel="0" collapsed="false">
      <c r="BH513" s="287"/>
      <c r="BI513" s="17"/>
    </row>
    <row r="514" customFormat="false" ht="15" hidden="false" customHeight="true" outlineLevel="0" collapsed="false">
      <c r="BH514" s="303"/>
      <c r="BI514" s="17"/>
    </row>
    <row r="515" customFormat="false" ht="15" hidden="false" customHeight="true" outlineLevel="0" collapsed="false">
      <c r="BH515" s="303"/>
      <c r="BI515" s="17"/>
    </row>
    <row r="516" customFormat="false" ht="15" hidden="false" customHeight="true" outlineLevel="0" collapsed="false">
      <c r="BH516" s="268"/>
      <c r="BI516" s="17"/>
    </row>
    <row r="517" customFormat="false" ht="15" hidden="false" customHeight="true" outlineLevel="0" collapsed="false">
      <c r="BH517" s="287"/>
      <c r="BI517" s="17"/>
    </row>
    <row r="518" customFormat="false" ht="15" hidden="false" customHeight="true" outlineLevel="0" collapsed="false">
      <c r="BH518" s="287"/>
      <c r="BI518" s="17"/>
    </row>
    <row r="519" customFormat="false" ht="15" hidden="false" customHeight="true" outlineLevel="0" collapsed="false">
      <c r="BH519" s="287"/>
      <c r="BI519" s="17"/>
    </row>
    <row r="520" customFormat="false" ht="15" hidden="false" customHeight="true" outlineLevel="0" collapsed="false">
      <c r="BH520" s="287"/>
      <c r="BI520" s="17"/>
    </row>
    <row r="521" customFormat="false" ht="15" hidden="false" customHeight="true" outlineLevel="0" collapsed="false">
      <c r="BH521" s="287"/>
      <c r="BI521" s="17"/>
    </row>
    <row r="522" customFormat="false" ht="15" hidden="false" customHeight="true" outlineLevel="0" collapsed="false">
      <c r="BH522" s="287"/>
      <c r="BI522" s="17"/>
    </row>
    <row r="523" customFormat="false" ht="15" hidden="false" customHeight="true" outlineLevel="0" collapsed="false">
      <c r="BH523" s="287"/>
      <c r="BI523" s="17"/>
    </row>
    <row r="524" customFormat="false" ht="15" hidden="false" customHeight="true" outlineLevel="0" collapsed="false">
      <c r="BH524" s="287"/>
      <c r="BI524" s="17"/>
    </row>
    <row r="525" customFormat="false" ht="15" hidden="false" customHeight="true" outlineLevel="0" collapsed="false">
      <c r="BH525" s="287"/>
      <c r="BI525" s="17"/>
    </row>
    <row r="526" customFormat="false" ht="15" hidden="false" customHeight="true" outlineLevel="0" collapsed="false">
      <c r="BH526" s="287"/>
      <c r="BI526" s="17"/>
    </row>
    <row r="527" customFormat="false" ht="15" hidden="false" customHeight="true" outlineLevel="0" collapsed="false">
      <c r="BH527" s="287"/>
      <c r="BI527" s="17"/>
    </row>
    <row r="528" customFormat="false" ht="15" hidden="false" customHeight="true" outlineLevel="0" collapsed="false">
      <c r="BH528" s="287"/>
      <c r="BI528" s="17"/>
    </row>
    <row r="529" customFormat="false" ht="15" hidden="false" customHeight="true" outlineLevel="0" collapsed="false">
      <c r="BH529" s="303"/>
      <c r="BI529" s="17"/>
    </row>
    <row r="530" customFormat="false" ht="15" hidden="false" customHeight="true" outlineLevel="0" collapsed="false">
      <c r="BH530" s="303"/>
      <c r="BI530" s="17"/>
    </row>
    <row r="531" customFormat="false" ht="15" hidden="false" customHeight="true" outlineLevel="0" collapsed="false">
      <c r="BH531" s="268"/>
      <c r="BI531" s="17"/>
    </row>
    <row r="532" customFormat="false" ht="15" hidden="false" customHeight="true" outlineLevel="0" collapsed="false">
      <c r="BH532" s="287"/>
      <c r="BI532" s="17"/>
    </row>
    <row r="533" customFormat="false" ht="15" hidden="false" customHeight="true" outlineLevel="0" collapsed="false">
      <c r="BH533" s="287"/>
      <c r="BI533" s="17"/>
    </row>
    <row r="534" customFormat="false" ht="15" hidden="false" customHeight="true" outlineLevel="0" collapsed="false">
      <c r="BH534" s="287"/>
      <c r="BI534" s="17"/>
    </row>
    <row r="535" customFormat="false" ht="15" hidden="false" customHeight="true" outlineLevel="0" collapsed="false">
      <c r="BH535" s="287"/>
      <c r="BI535" s="17"/>
    </row>
    <row r="536" customFormat="false" ht="15" hidden="false" customHeight="true" outlineLevel="0" collapsed="false">
      <c r="BH536" s="287"/>
      <c r="BI536" s="17"/>
    </row>
    <row r="537" customFormat="false" ht="15" hidden="false" customHeight="true" outlineLevel="0" collapsed="false">
      <c r="BH537" s="287"/>
      <c r="BI537" s="17"/>
    </row>
    <row r="538" customFormat="false" ht="15" hidden="false" customHeight="true" outlineLevel="0" collapsed="false">
      <c r="BH538" s="287"/>
      <c r="BI538" s="17"/>
    </row>
    <row r="539" customFormat="false" ht="15" hidden="false" customHeight="true" outlineLevel="0" collapsed="false">
      <c r="BH539" s="287"/>
      <c r="BI539" s="17"/>
    </row>
    <row r="540" customFormat="false" ht="15" hidden="false" customHeight="true" outlineLevel="0" collapsed="false">
      <c r="BH540" s="287"/>
      <c r="BI540" s="17"/>
    </row>
    <row r="541" customFormat="false" ht="15" hidden="false" customHeight="true" outlineLevel="0" collapsed="false">
      <c r="BH541" s="287"/>
      <c r="BI541" s="17"/>
    </row>
    <row r="542" customFormat="false" ht="15" hidden="false" customHeight="true" outlineLevel="0" collapsed="false">
      <c r="BH542" s="287"/>
      <c r="BI542" s="17"/>
    </row>
    <row r="543" customFormat="false" ht="15" hidden="false" customHeight="true" outlineLevel="0" collapsed="false">
      <c r="BH543" s="287"/>
      <c r="BI543" s="17"/>
    </row>
    <row r="544" customFormat="false" ht="15" hidden="false" customHeight="true" outlineLevel="0" collapsed="false">
      <c r="BH544" s="303"/>
      <c r="BI544" s="17"/>
    </row>
    <row r="545" customFormat="false" ht="15" hidden="false" customHeight="true" outlineLevel="0" collapsed="false">
      <c r="BH545" s="303"/>
      <c r="BI545" s="17"/>
    </row>
    <row r="546" customFormat="false" ht="15" hidden="false" customHeight="true" outlineLevel="0" collapsed="false">
      <c r="BH546" s="268"/>
      <c r="BI546" s="17"/>
    </row>
    <row r="547" customFormat="false" ht="15" hidden="false" customHeight="true" outlineLevel="0" collapsed="false">
      <c r="BH547" s="287"/>
      <c r="BI547" s="17"/>
    </row>
    <row r="548" customFormat="false" ht="15" hidden="false" customHeight="true" outlineLevel="0" collapsed="false">
      <c r="BH548" s="287"/>
      <c r="BI548" s="17"/>
    </row>
    <row r="549" customFormat="false" ht="15" hidden="false" customHeight="true" outlineLevel="0" collapsed="false">
      <c r="BH549" s="287"/>
      <c r="BI549" s="17"/>
    </row>
    <row r="550" customFormat="false" ht="15" hidden="false" customHeight="true" outlineLevel="0" collapsed="false">
      <c r="BH550" s="287"/>
      <c r="BI550" s="17"/>
    </row>
    <row r="551" customFormat="false" ht="15" hidden="false" customHeight="true" outlineLevel="0" collapsed="false">
      <c r="BH551" s="287"/>
      <c r="BI551" s="17"/>
    </row>
    <row r="552" customFormat="false" ht="15" hidden="false" customHeight="true" outlineLevel="0" collapsed="false">
      <c r="BH552" s="287"/>
      <c r="BI552" s="17"/>
    </row>
    <row r="553" customFormat="false" ht="15" hidden="false" customHeight="true" outlineLevel="0" collapsed="false">
      <c r="BH553" s="287"/>
      <c r="BI553" s="17"/>
    </row>
    <row r="554" customFormat="false" ht="15" hidden="false" customHeight="true" outlineLevel="0" collapsed="false">
      <c r="BH554" s="287"/>
      <c r="BI554" s="17"/>
    </row>
    <row r="555" customFormat="false" ht="15" hidden="false" customHeight="true" outlineLevel="0" collapsed="false">
      <c r="BH555" s="287"/>
      <c r="BI555" s="17"/>
    </row>
    <row r="556" customFormat="false" ht="15" hidden="false" customHeight="true" outlineLevel="0" collapsed="false">
      <c r="BH556" s="287"/>
      <c r="BI556" s="17"/>
    </row>
    <row r="557" customFormat="false" ht="15" hidden="false" customHeight="true" outlineLevel="0" collapsed="false">
      <c r="BH557" s="287"/>
      <c r="BI557" s="17"/>
    </row>
    <row r="558" customFormat="false" ht="15" hidden="false" customHeight="true" outlineLevel="0" collapsed="false">
      <c r="BH558" s="287"/>
      <c r="BI558" s="17"/>
    </row>
    <row r="559" customFormat="false" ht="15" hidden="false" customHeight="true" outlineLevel="0" collapsed="false">
      <c r="BH559" s="303"/>
      <c r="BI559" s="17"/>
    </row>
    <row r="560" customFormat="false" ht="15" hidden="false" customHeight="true" outlineLevel="0" collapsed="false">
      <c r="BH560" s="303"/>
      <c r="BI560" s="17"/>
    </row>
    <row r="561" customFormat="false" ht="15" hidden="false" customHeight="true" outlineLevel="0" collapsed="false">
      <c r="BH561" s="268"/>
      <c r="BI561" s="17"/>
    </row>
    <row r="562" customFormat="false" ht="15" hidden="false" customHeight="true" outlineLevel="0" collapsed="false">
      <c r="BH562" s="287"/>
      <c r="BI562" s="17"/>
    </row>
    <row r="563" customFormat="false" ht="15" hidden="false" customHeight="true" outlineLevel="0" collapsed="false">
      <c r="BH563" s="287"/>
      <c r="BI563" s="17"/>
    </row>
    <row r="564" customFormat="false" ht="15" hidden="false" customHeight="true" outlineLevel="0" collapsed="false">
      <c r="BH564" s="287"/>
      <c r="BI564" s="17"/>
    </row>
    <row r="565" customFormat="false" ht="15" hidden="false" customHeight="true" outlineLevel="0" collapsed="false">
      <c r="BH565" s="287"/>
      <c r="BI565" s="17"/>
    </row>
    <row r="566" customFormat="false" ht="15" hidden="false" customHeight="true" outlineLevel="0" collapsed="false">
      <c r="BH566" s="287"/>
      <c r="BI566" s="17"/>
    </row>
    <row r="567" customFormat="false" ht="15" hidden="false" customHeight="true" outlineLevel="0" collapsed="false">
      <c r="BH567" s="287"/>
      <c r="BI567" s="17"/>
    </row>
    <row r="568" customFormat="false" ht="15" hidden="false" customHeight="true" outlineLevel="0" collapsed="false">
      <c r="BH568" s="287"/>
      <c r="BI568" s="17"/>
    </row>
    <row r="569" customFormat="false" ht="15" hidden="false" customHeight="true" outlineLevel="0" collapsed="false">
      <c r="BH569" s="287"/>
      <c r="BI569" s="17"/>
    </row>
    <row r="570" customFormat="false" ht="15" hidden="false" customHeight="true" outlineLevel="0" collapsed="false">
      <c r="BH570" s="287"/>
      <c r="BI570" s="17"/>
    </row>
    <row r="571" customFormat="false" ht="15" hidden="false" customHeight="true" outlineLevel="0" collapsed="false">
      <c r="BH571" s="287"/>
      <c r="BI571" s="17"/>
    </row>
    <row r="572" customFormat="false" ht="15" hidden="false" customHeight="true" outlineLevel="0" collapsed="false">
      <c r="BH572" s="287"/>
      <c r="BI572" s="17"/>
    </row>
    <row r="573" customFormat="false" ht="15" hidden="false" customHeight="true" outlineLevel="0" collapsed="false">
      <c r="BH573" s="287"/>
      <c r="BI573" s="17"/>
    </row>
    <row r="574" customFormat="false" ht="15" hidden="false" customHeight="true" outlineLevel="0" collapsed="false">
      <c r="BH574" s="303"/>
      <c r="BI574" s="17"/>
    </row>
    <row r="575" customFormat="false" ht="15" hidden="false" customHeight="true" outlineLevel="0" collapsed="false">
      <c r="BH575" s="303"/>
      <c r="BI575" s="17"/>
    </row>
    <row r="576" customFormat="false" ht="15" hidden="false" customHeight="true" outlineLevel="0" collapsed="false">
      <c r="BH576" s="268"/>
      <c r="BI576" s="17"/>
    </row>
    <row r="577" customFormat="false" ht="15" hidden="false" customHeight="true" outlineLevel="0" collapsed="false">
      <c r="BH577" s="287"/>
      <c r="BI577" s="17"/>
    </row>
    <row r="578" customFormat="false" ht="15" hidden="false" customHeight="true" outlineLevel="0" collapsed="false">
      <c r="BH578" s="287"/>
      <c r="BI578" s="17"/>
    </row>
    <row r="579" customFormat="false" ht="15" hidden="false" customHeight="true" outlineLevel="0" collapsed="false">
      <c r="BH579" s="287"/>
      <c r="BI579" s="17"/>
    </row>
    <row r="580" customFormat="false" ht="15" hidden="false" customHeight="true" outlineLevel="0" collapsed="false">
      <c r="BH580" s="287"/>
      <c r="BI580" s="17"/>
    </row>
    <row r="581" customFormat="false" ht="15" hidden="false" customHeight="true" outlineLevel="0" collapsed="false">
      <c r="BH581" s="287"/>
      <c r="BI581" s="17"/>
    </row>
    <row r="582" customFormat="false" ht="15" hidden="false" customHeight="true" outlineLevel="0" collapsed="false">
      <c r="BH582" s="287"/>
      <c r="BI582" s="17"/>
    </row>
    <row r="583" customFormat="false" ht="15" hidden="false" customHeight="true" outlineLevel="0" collapsed="false">
      <c r="BH583" s="287"/>
      <c r="BI583" s="17"/>
    </row>
    <row r="584" customFormat="false" ht="15" hidden="false" customHeight="true" outlineLevel="0" collapsed="false">
      <c r="BH584" s="287"/>
      <c r="BI584" s="17"/>
    </row>
    <row r="585" customFormat="false" ht="15" hidden="false" customHeight="true" outlineLevel="0" collapsed="false">
      <c r="BH585" s="287"/>
      <c r="BI585" s="17"/>
    </row>
    <row r="586" customFormat="false" ht="15" hidden="false" customHeight="true" outlineLevel="0" collapsed="false">
      <c r="BH586" s="287"/>
      <c r="BI586" s="17"/>
    </row>
    <row r="587" customFormat="false" ht="15" hidden="false" customHeight="true" outlineLevel="0" collapsed="false">
      <c r="BH587" s="287"/>
      <c r="BI587" s="17"/>
    </row>
    <row r="588" customFormat="false" ht="15" hidden="false" customHeight="true" outlineLevel="0" collapsed="false">
      <c r="BH588" s="287"/>
      <c r="BI588" s="17"/>
    </row>
    <row r="589" customFormat="false" ht="15" hidden="false" customHeight="true" outlineLevel="0" collapsed="false">
      <c r="BH589" s="303"/>
      <c r="BI589" s="17"/>
    </row>
    <row r="590" customFormat="false" ht="15" hidden="false" customHeight="true" outlineLevel="0" collapsed="false">
      <c r="BH590" s="303"/>
      <c r="BI590" s="17"/>
    </row>
    <row r="591" customFormat="false" ht="15" hidden="false" customHeight="true" outlineLevel="0" collapsed="false">
      <c r="BH591" s="268"/>
      <c r="BI591" s="17"/>
    </row>
    <row r="592" customFormat="false" ht="15" hidden="false" customHeight="true" outlineLevel="0" collapsed="false">
      <c r="BH592" s="287"/>
      <c r="BI592" s="17"/>
    </row>
    <row r="593" customFormat="false" ht="15" hidden="false" customHeight="true" outlineLevel="0" collapsed="false">
      <c r="BH593" s="287"/>
      <c r="BI593" s="17"/>
    </row>
    <row r="594" customFormat="false" ht="15" hidden="false" customHeight="true" outlineLevel="0" collapsed="false">
      <c r="BH594" s="287"/>
      <c r="BI594" s="17"/>
    </row>
    <row r="595" customFormat="false" ht="15" hidden="false" customHeight="true" outlineLevel="0" collapsed="false">
      <c r="BH595" s="287"/>
      <c r="BI595" s="17"/>
    </row>
    <row r="596" customFormat="false" ht="15" hidden="false" customHeight="true" outlineLevel="0" collapsed="false">
      <c r="BH596" s="287"/>
      <c r="BI596" s="17"/>
    </row>
    <row r="597" customFormat="false" ht="15" hidden="false" customHeight="true" outlineLevel="0" collapsed="false">
      <c r="BH597" s="287"/>
      <c r="BI597" s="17"/>
    </row>
    <row r="598" customFormat="false" ht="15" hidden="false" customHeight="true" outlineLevel="0" collapsed="false">
      <c r="BH598" s="287"/>
      <c r="BI598" s="17"/>
    </row>
    <row r="599" customFormat="false" ht="15" hidden="false" customHeight="true" outlineLevel="0" collapsed="false">
      <c r="BH599" s="287"/>
      <c r="BI599" s="17"/>
    </row>
    <row r="600" customFormat="false" ht="15" hidden="false" customHeight="true" outlineLevel="0" collapsed="false">
      <c r="BH600" s="287"/>
      <c r="BI600" s="17"/>
    </row>
    <row r="601" customFormat="false" ht="15" hidden="false" customHeight="true" outlineLevel="0" collapsed="false">
      <c r="BH601" s="287"/>
      <c r="BI601" s="17"/>
    </row>
    <row r="602" customFormat="false" ht="15" hidden="false" customHeight="true" outlineLevel="0" collapsed="false">
      <c r="BH602" s="287"/>
      <c r="BI602" s="17"/>
    </row>
    <row r="603" customFormat="false" ht="15" hidden="false" customHeight="true" outlineLevel="0" collapsed="false">
      <c r="BH603" s="287"/>
      <c r="BI603" s="17"/>
    </row>
    <row r="604" customFormat="false" ht="15" hidden="false" customHeight="true" outlineLevel="0" collapsed="false">
      <c r="BH604" s="303"/>
      <c r="BI604" s="17"/>
    </row>
    <row r="605" customFormat="false" ht="15" hidden="false" customHeight="true" outlineLevel="0" collapsed="false">
      <c r="BH605" s="303"/>
      <c r="BI605" s="17"/>
    </row>
    <row r="606" customFormat="false" ht="15" hidden="false" customHeight="true" outlineLevel="0" collapsed="false">
      <c r="BH606" s="268"/>
      <c r="BI606" s="17"/>
    </row>
    <row r="607" customFormat="false" ht="15" hidden="false" customHeight="true" outlineLevel="0" collapsed="false">
      <c r="BH607" s="287"/>
      <c r="BI607" s="17"/>
    </row>
    <row r="608" customFormat="false" ht="15" hidden="false" customHeight="true" outlineLevel="0" collapsed="false">
      <c r="BH608" s="287"/>
      <c r="BI608" s="17"/>
    </row>
    <row r="609" customFormat="false" ht="15" hidden="false" customHeight="true" outlineLevel="0" collapsed="false">
      <c r="BH609" s="287"/>
      <c r="BI609" s="17"/>
    </row>
    <row r="610" customFormat="false" ht="15" hidden="false" customHeight="true" outlineLevel="0" collapsed="false">
      <c r="BH610" s="287"/>
      <c r="BI610" s="17"/>
    </row>
    <row r="611" customFormat="false" ht="15" hidden="false" customHeight="true" outlineLevel="0" collapsed="false">
      <c r="BH611" s="287"/>
      <c r="BI611" s="17"/>
    </row>
    <row r="612" customFormat="false" ht="15" hidden="false" customHeight="true" outlineLevel="0" collapsed="false">
      <c r="BH612" s="287"/>
      <c r="BI612" s="17"/>
    </row>
    <row r="613" customFormat="false" ht="15" hidden="false" customHeight="true" outlineLevel="0" collapsed="false">
      <c r="BH613" s="287"/>
      <c r="BI613" s="17"/>
    </row>
    <row r="614" customFormat="false" ht="15" hidden="false" customHeight="true" outlineLevel="0" collapsed="false">
      <c r="BH614" s="287"/>
      <c r="BI614" s="17"/>
    </row>
    <row r="615" customFormat="false" ht="15" hidden="false" customHeight="true" outlineLevel="0" collapsed="false">
      <c r="BH615" s="287"/>
      <c r="BI615" s="17"/>
    </row>
    <row r="616" customFormat="false" ht="15" hidden="false" customHeight="true" outlineLevel="0" collapsed="false">
      <c r="BH616" s="287"/>
      <c r="BI616" s="17"/>
    </row>
    <row r="617" customFormat="false" ht="15" hidden="false" customHeight="true" outlineLevel="0" collapsed="false">
      <c r="BH617" s="287"/>
      <c r="BI617" s="17"/>
    </row>
    <row r="618" customFormat="false" ht="15" hidden="false" customHeight="true" outlineLevel="0" collapsed="false">
      <c r="BH618" s="287"/>
      <c r="BI618" s="17"/>
    </row>
    <row r="619" customFormat="false" ht="15" hidden="false" customHeight="true" outlineLevel="0" collapsed="false">
      <c r="BH619" s="303"/>
      <c r="BI619" s="17"/>
    </row>
    <row r="620" customFormat="false" ht="15" hidden="false" customHeight="true" outlineLevel="0" collapsed="false">
      <c r="BI620" s="17"/>
    </row>
    <row r="621" customFormat="false" ht="15" hidden="false" customHeight="true" outlineLevel="0" collapsed="false">
      <c r="BH621" s="268"/>
      <c r="BI621" s="17"/>
    </row>
    <row r="622" customFormat="false" ht="15" hidden="false" customHeight="true" outlineLevel="0" collapsed="false">
      <c r="BH622" s="287"/>
      <c r="BI622" s="17"/>
    </row>
    <row r="623" customFormat="false" ht="15" hidden="false" customHeight="true" outlineLevel="0" collapsed="false">
      <c r="BH623" s="287"/>
      <c r="BI623" s="17"/>
    </row>
    <row r="624" customFormat="false" ht="15" hidden="false" customHeight="true" outlineLevel="0" collapsed="false">
      <c r="BH624" s="287"/>
      <c r="BI624" s="17"/>
    </row>
    <row r="625" customFormat="false" ht="15" hidden="false" customHeight="true" outlineLevel="0" collapsed="false">
      <c r="BH625" s="287"/>
      <c r="BI625" s="17"/>
    </row>
    <row r="626" customFormat="false" ht="15" hidden="false" customHeight="true" outlineLevel="0" collapsed="false">
      <c r="BH626" s="287"/>
      <c r="BI626" s="17"/>
    </row>
    <row r="627" customFormat="false" ht="15" hidden="false" customHeight="true" outlineLevel="0" collapsed="false">
      <c r="BH627" s="287"/>
      <c r="BI627" s="17"/>
    </row>
    <row r="628" customFormat="false" ht="15" hidden="false" customHeight="true" outlineLevel="0" collapsed="false">
      <c r="BH628" s="287"/>
      <c r="BI628" s="17"/>
    </row>
    <row r="629" customFormat="false" ht="15" hidden="false" customHeight="true" outlineLevel="0" collapsed="false">
      <c r="BH629" s="287"/>
      <c r="BI629" s="17"/>
    </row>
    <row r="630" customFormat="false" ht="15" hidden="false" customHeight="true" outlineLevel="0" collapsed="false">
      <c r="BH630" s="287"/>
      <c r="BI630" s="17"/>
    </row>
    <row r="631" customFormat="false" ht="15" hidden="false" customHeight="true" outlineLevel="0" collapsed="false">
      <c r="BH631" s="287"/>
      <c r="BI631" s="17"/>
    </row>
    <row r="632" customFormat="false" ht="15" hidden="false" customHeight="true" outlineLevel="0" collapsed="false">
      <c r="BH632" s="287"/>
      <c r="BI632" s="17"/>
    </row>
    <row r="633" customFormat="false" ht="15" hidden="false" customHeight="true" outlineLevel="0" collapsed="false">
      <c r="BH633" s="287"/>
      <c r="BI633" s="17"/>
    </row>
    <row r="634" customFormat="false" ht="15" hidden="false" customHeight="true" outlineLevel="0" collapsed="false">
      <c r="BH634" s="303"/>
      <c r="BI634" s="17"/>
    </row>
    <row r="635" customFormat="false" ht="15" hidden="false" customHeight="true" outlineLevel="0" collapsed="false">
      <c r="BI635" s="17"/>
    </row>
    <row r="636" customFormat="false" ht="15" hidden="false" customHeight="true" outlineLevel="0" collapsed="false">
      <c r="BH636" s="268"/>
      <c r="BI636" s="17"/>
    </row>
    <row r="637" customFormat="false" ht="15" hidden="false" customHeight="true" outlineLevel="0" collapsed="false">
      <c r="BH637" s="287"/>
      <c r="BI637" s="17"/>
    </row>
    <row r="638" customFormat="false" ht="15" hidden="false" customHeight="true" outlineLevel="0" collapsed="false">
      <c r="BH638" s="287"/>
      <c r="BI638" s="17"/>
    </row>
    <row r="639" customFormat="false" ht="15" hidden="false" customHeight="true" outlineLevel="0" collapsed="false">
      <c r="BH639" s="287"/>
      <c r="BI639" s="17"/>
    </row>
    <row r="640" customFormat="false" ht="15" hidden="false" customHeight="true" outlineLevel="0" collapsed="false">
      <c r="BH640" s="287"/>
      <c r="BI640" s="17"/>
    </row>
    <row r="641" customFormat="false" ht="15" hidden="false" customHeight="true" outlineLevel="0" collapsed="false">
      <c r="BH641" s="287"/>
      <c r="BI641" s="17"/>
    </row>
    <row r="642" customFormat="false" ht="15" hidden="false" customHeight="true" outlineLevel="0" collapsed="false">
      <c r="BH642" s="287"/>
      <c r="BI642" s="17"/>
    </row>
    <row r="643" customFormat="false" ht="15" hidden="false" customHeight="true" outlineLevel="0" collapsed="false">
      <c r="BH643" s="287"/>
      <c r="BI643" s="17"/>
    </row>
    <row r="644" customFormat="false" ht="15" hidden="false" customHeight="true" outlineLevel="0" collapsed="false">
      <c r="BH644" s="287"/>
      <c r="BI644" s="17"/>
    </row>
    <row r="645" customFormat="false" ht="15" hidden="false" customHeight="true" outlineLevel="0" collapsed="false">
      <c r="BH645" s="287"/>
      <c r="BI645" s="17"/>
    </row>
    <row r="646" customFormat="false" ht="15" hidden="false" customHeight="true" outlineLevel="0" collapsed="false">
      <c r="BH646" s="287"/>
      <c r="BI646" s="17"/>
    </row>
    <row r="647" customFormat="false" ht="15" hidden="false" customHeight="true" outlineLevel="0" collapsed="false">
      <c r="BH647" s="287"/>
      <c r="BI647" s="17"/>
    </row>
    <row r="648" customFormat="false" ht="15" hidden="false" customHeight="true" outlineLevel="0" collapsed="false">
      <c r="BH648" s="287"/>
      <c r="BI648" s="17"/>
    </row>
    <row r="649" customFormat="false" ht="15" hidden="false" customHeight="true" outlineLevel="0" collapsed="false">
      <c r="BH649" s="303"/>
      <c r="BI649" s="17"/>
    </row>
    <row r="650" customFormat="false" ht="15" hidden="false" customHeight="true" outlineLevel="0" collapsed="false">
      <c r="BI650" s="17"/>
    </row>
    <row r="651" customFormat="false" ht="15" hidden="false" customHeight="true" outlineLevel="0" collapsed="false">
      <c r="BH651" s="268"/>
      <c r="BI651" s="17"/>
    </row>
    <row r="652" customFormat="false" ht="15" hidden="false" customHeight="true" outlineLevel="0" collapsed="false">
      <c r="BH652" s="287"/>
      <c r="BI652" s="17"/>
    </row>
    <row r="653" customFormat="false" ht="15" hidden="false" customHeight="true" outlineLevel="0" collapsed="false">
      <c r="BH653" s="287"/>
      <c r="BI653" s="17"/>
    </row>
    <row r="654" customFormat="false" ht="15" hidden="false" customHeight="true" outlineLevel="0" collapsed="false">
      <c r="BH654" s="287"/>
      <c r="BI654" s="17"/>
    </row>
    <row r="655" customFormat="false" ht="15" hidden="false" customHeight="true" outlineLevel="0" collapsed="false">
      <c r="BH655" s="287"/>
      <c r="BI655" s="17"/>
    </row>
    <row r="656" customFormat="false" ht="15" hidden="false" customHeight="true" outlineLevel="0" collapsed="false">
      <c r="BH656" s="287"/>
      <c r="BI656" s="17"/>
    </row>
    <row r="657" customFormat="false" ht="15" hidden="false" customHeight="true" outlineLevel="0" collapsed="false">
      <c r="BH657" s="287"/>
      <c r="BI657" s="17"/>
    </row>
    <row r="658" customFormat="false" ht="15" hidden="false" customHeight="true" outlineLevel="0" collapsed="false">
      <c r="BH658" s="287"/>
      <c r="BI658" s="17"/>
    </row>
    <row r="659" customFormat="false" ht="15" hidden="false" customHeight="true" outlineLevel="0" collapsed="false">
      <c r="BH659" s="287"/>
      <c r="BI659" s="17"/>
    </row>
    <row r="660" customFormat="false" ht="15" hidden="false" customHeight="true" outlineLevel="0" collapsed="false">
      <c r="BH660" s="287"/>
      <c r="BI660" s="17"/>
    </row>
    <row r="661" customFormat="false" ht="15" hidden="false" customHeight="true" outlineLevel="0" collapsed="false">
      <c r="BH661" s="287"/>
      <c r="BI661" s="17"/>
    </row>
    <row r="662" customFormat="false" ht="15" hidden="false" customHeight="true" outlineLevel="0" collapsed="false">
      <c r="BH662" s="287"/>
      <c r="BI662" s="17"/>
    </row>
    <row r="663" customFormat="false" ht="15" hidden="false" customHeight="true" outlineLevel="0" collapsed="false">
      <c r="BH663" s="287"/>
      <c r="BI663" s="17"/>
    </row>
    <row r="664" customFormat="false" ht="15" hidden="false" customHeight="true" outlineLevel="0" collapsed="false">
      <c r="BH664" s="303"/>
      <c r="BI664" s="17"/>
    </row>
    <row r="665" customFormat="false" ht="15" hidden="false" customHeight="true" outlineLevel="0" collapsed="false">
      <c r="BI665" s="17"/>
    </row>
    <row r="666" customFormat="false" ht="15" hidden="false" customHeight="true" outlineLevel="0" collapsed="false">
      <c r="BH666" s="268"/>
      <c r="BI666" s="17"/>
    </row>
    <row r="667" customFormat="false" ht="15" hidden="false" customHeight="true" outlineLevel="0" collapsed="false">
      <c r="BH667" s="287"/>
      <c r="BI667" s="17"/>
    </row>
    <row r="668" customFormat="false" ht="15" hidden="false" customHeight="true" outlineLevel="0" collapsed="false">
      <c r="BH668" s="287"/>
      <c r="BI668" s="17"/>
    </row>
    <row r="669" customFormat="false" ht="15" hidden="false" customHeight="true" outlineLevel="0" collapsed="false">
      <c r="BH669" s="287"/>
      <c r="BI669" s="17"/>
    </row>
    <row r="670" customFormat="false" ht="15" hidden="false" customHeight="true" outlineLevel="0" collapsed="false">
      <c r="BH670" s="287"/>
      <c r="BI670" s="17"/>
    </row>
    <row r="671" customFormat="false" ht="15" hidden="false" customHeight="true" outlineLevel="0" collapsed="false">
      <c r="BH671" s="287"/>
      <c r="BI671" s="17"/>
    </row>
    <row r="672" customFormat="false" ht="15" hidden="false" customHeight="true" outlineLevel="0" collapsed="false">
      <c r="BH672" s="287"/>
      <c r="BI672" s="17"/>
    </row>
    <row r="673" customFormat="false" ht="15" hidden="false" customHeight="true" outlineLevel="0" collapsed="false">
      <c r="BH673" s="287"/>
      <c r="BI673" s="17"/>
    </row>
    <row r="674" customFormat="false" ht="15" hidden="false" customHeight="true" outlineLevel="0" collapsed="false">
      <c r="BH674" s="287"/>
      <c r="BI674" s="17"/>
    </row>
    <row r="675" customFormat="false" ht="15" hidden="false" customHeight="true" outlineLevel="0" collapsed="false">
      <c r="BH675" s="287"/>
      <c r="BI675" s="17"/>
    </row>
    <row r="676" customFormat="false" ht="15" hidden="false" customHeight="true" outlineLevel="0" collapsed="false">
      <c r="BH676" s="287"/>
      <c r="BI676" s="17"/>
    </row>
    <row r="677" customFormat="false" ht="15" hidden="false" customHeight="true" outlineLevel="0" collapsed="false">
      <c r="BH677" s="287"/>
      <c r="BI677" s="17"/>
    </row>
    <row r="678" customFormat="false" ht="15" hidden="false" customHeight="true" outlineLevel="0" collapsed="false">
      <c r="BH678" s="287"/>
      <c r="BI678" s="17"/>
    </row>
    <row r="679" customFormat="false" ht="15" hidden="false" customHeight="true" outlineLevel="0" collapsed="false">
      <c r="BH679" s="303"/>
      <c r="BI679" s="17"/>
    </row>
    <row r="680" customFormat="false" ht="15" hidden="false" customHeight="true" outlineLevel="0" collapsed="false">
      <c r="BI680" s="17"/>
    </row>
    <row r="681" customFormat="false" ht="15" hidden="false" customHeight="true" outlineLevel="0" collapsed="false">
      <c r="BH681" s="268"/>
      <c r="BI681" s="17"/>
    </row>
    <row r="682" customFormat="false" ht="15" hidden="false" customHeight="true" outlineLevel="0" collapsed="false">
      <c r="BH682" s="287"/>
      <c r="BI682" s="17"/>
    </row>
    <row r="683" customFormat="false" ht="15" hidden="false" customHeight="true" outlineLevel="0" collapsed="false">
      <c r="BH683" s="287"/>
      <c r="BI683" s="17"/>
    </row>
    <row r="684" customFormat="false" ht="15" hidden="false" customHeight="true" outlineLevel="0" collapsed="false">
      <c r="BH684" s="287"/>
      <c r="BI684" s="17"/>
    </row>
    <row r="685" customFormat="false" ht="15" hidden="false" customHeight="true" outlineLevel="0" collapsed="false">
      <c r="BH685" s="287"/>
      <c r="BI685" s="17"/>
    </row>
    <row r="686" customFormat="false" ht="15" hidden="false" customHeight="true" outlineLevel="0" collapsed="false">
      <c r="BH686" s="287"/>
      <c r="BI686" s="17"/>
    </row>
    <row r="687" customFormat="false" ht="15" hidden="false" customHeight="true" outlineLevel="0" collapsed="false">
      <c r="BH687" s="287"/>
      <c r="BI687" s="17"/>
    </row>
    <row r="688" customFormat="false" ht="15" hidden="false" customHeight="true" outlineLevel="0" collapsed="false">
      <c r="BH688" s="287"/>
      <c r="BI688" s="17"/>
    </row>
    <row r="689" customFormat="false" ht="15" hidden="false" customHeight="true" outlineLevel="0" collapsed="false">
      <c r="BH689" s="287"/>
      <c r="BI689" s="17"/>
    </row>
    <row r="690" customFormat="false" ht="15" hidden="false" customHeight="true" outlineLevel="0" collapsed="false">
      <c r="BH690" s="287"/>
      <c r="BI690" s="17"/>
    </row>
    <row r="691" customFormat="false" ht="15" hidden="false" customHeight="true" outlineLevel="0" collapsed="false">
      <c r="BH691" s="287"/>
      <c r="BI691" s="17"/>
    </row>
    <row r="692" customFormat="false" ht="15" hidden="false" customHeight="true" outlineLevel="0" collapsed="false">
      <c r="BH692" s="287"/>
      <c r="BI692" s="17"/>
    </row>
    <row r="693" customFormat="false" ht="15" hidden="false" customHeight="true" outlineLevel="0" collapsed="false">
      <c r="BH693" s="287"/>
      <c r="BI693" s="17"/>
    </row>
    <row r="694" customFormat="false" ht="15" hidden="false" customHeight="true" outlineLevel="0" collapsed="false">
      <c r="BH694" s="303"/>
      <c r="BI694" s="17"/>
    </row>
    <row r="695" customFormat="false" ht="15" hidden="false" customHeight="true" outlineLevel="0" collapsed="false">
      <c r="BI695" s="17"/>
    </row>
    <row r="696" customFormat="false" ht="15" hidden="false" customHeight="true" outlineLevel="0" collapsed="false">
      <c r="BH696" s="268"/>
      <c r="BI696" s="17"/>
    </row>
    <row r="697" customFormat="false" ht="15" hidden="false" customHeight="true" outlineLevel="0" collapsed="false">
      <c r="BH697" s="287"/>
      <c r="BI697" s="17"/>
    </row>
    <row r="698" customFormat="false" ht="15" hidden="false" customHeight="true" outlineLevel="0" collapsed="false">
      <c r="BH698" s="287"/>
      <c r="BI698" s="17"/>
    </row>
    <row r="699" customFormat="false" ht="15" hidden="false" customHeight="true" outlineLevel="0" collapsed="false">
      <c r="BH699" s="287"/>
      <c r="BI699" s="17"/>
    </row>
    <row r="700" customFormat="false" ht="15" hidden="false" customHeight="true" outlineLevel="0" collapsed="false">
      <c r="BH700" s="287"/>
      <c r="BI700" s="17"/>
    </row>
    <row r="701" customFormat="false" ht="15" hidden="false" customHeight="true" outlineLevel="0" collapsed="false">
      <c r="BH701" s="287"/>
      <c r="BI701" s="17"/>
    </row>
    <row r="702" customFormat="false" ht="15" hidden="false" customHeight="true" outlineLevel="0" collapsed="false">
      <c r="BH702" s="287"/>
      <c r="BI702" s="17"/>
    </row>
    <row r="703" customFormat="false" ht="15" hidden="false" customHeight="true" outlineLevel="0" collapsed="false">
      <c r="BH703" s="287"/>
      <c r="BI703" s="17"/>
    </row>
    <row r="704" customFormat="false" ht="15" hidden="false" customHeight="true" outlineLevel="0" collapsed="false">
      <c r="BH704" s="287"/>
      <c r="BI704" s="17"/>
    </row>
    <row r="705" customFormat="false" ht="15" hidden="false" customHeight="true" outlineLevel="0" collapsed="false">
      <c r="BH705" s="287"/>
      <c r="BI705" s="17"/>
    </row>
    <row r="706" customFormat="false" ht="15" hidden="false" customHeight="true" outlineLevel="0" collapsed="false">
      <c r="BH706" s="287"/>
      <c r="BI706" s="17"/>
    </row>
    <row r="707" customFormat="false" ht="15" hidden="false" customHeight="true" outlineLevel="0" collapsed="false">
      <c r="BH707" s="287"/>
      <c r="BI707" s="17"/>
    </row>
    <row r="708" customFormat="false" ht="15" hidden="false" customHeight="true" outlineLevel="0" collapsed="false">
      <c r="BH708" s="287"/>
      <c r="BI708" s="17"/>
    </row>
    <row r="709" customFormat="false" ht="15" hidden="false" customHeight="true" outlineLevel="0" collapsed="false">
      <c r="BH709" s="303"/>
      <c r="BI709" s="17"/>
    </row>
    <row r="710" customFormat="false" ht="15" hidden="false" customHeight="true" outlineLevel="0" collapsed="false">
      <c r="BH710" s="303"/>
      <c r="BI710" s="17"/>
    </row>
    <row r="711" customFormat="false" ht="15" hidden="false" customHeight="true" outlineLevel="0" collapsed="false">
      <c r="BH711" s="268"/>
      <c r="BI711" s="17"/>
    </row>
    <row r="712" customFormat="false" ht="15" hidden="false" customHeight="true" outlineLevel="0" collapsed="false">
      <c r="BH712" s="287"/>
      <c r="BI712" s="17"/>
    </row>
    <row r="713" customFormat="false" ht="15" hidden="false" customHeight="true" outlineLevel="0" collapsed="false">
      <c r="BH713" s="287"/>
      <c r="BI713" s="17"/>
    </row>
    <row r="714" customFormat="false" ht="15" hidden="false" customHeight="true" outlineLevel="0" collapsed="false">
      <c r="BH714" s="287"/>
      <c r="BI714" s="17"/>
    </row>
    <row r="715" customFormat="false" ht="15" hidden="false" customHeight="true" outlineLevel="0" collapsed="false">
      <c r="BH715" s="287"/>
      <c r="BI715" s="17"/>
    </row>
    <row r="716" customFormat="false" ht="15" hidden="false" customHeight="true" outlineLevel="0" collapsed="false">
      <c r="BH716" s="287"/>
      <c r="BI716" s="17"/>
    </row>
    <row r="717" customFormat="false" ht="15" hidden="false" customHeight="true" outlineLevel="0" collapsed="false">
      <c r="BH717" s="287"/>
      <c r="BI717" s="17"/>
    </row>
    <row r="718" customFormat="false" ht="15" hidden="false" customHeight="true" outlineLevel="0" collapsed="false">
      <c r="BH718" s="287"/>
      <c r="BI718" s="17"/>
    </row>
    <row r="719" customFormat="false" ht="15" hidden="false" customHeight="true" outlineLevel="0" collapsed="false">
      <c r="BH719" s="287"/>
      <c r="BI719" s="17"/>
    </row>
    <row r="720" customFormat="false" ht="15" hidden="false" customHeight="true" outlineLevel="0" collapsed="false">
      <c r="BH720" s="287"/>
      <c r="BI720" s="17"/>
    </row>
    <row r="721" customFormat="false" ht="15" hidden="false" customHeight="true" outlineLevel="0" collapsed="false">
      <c r="BH721" s="287"/>
      <c r="BI721" s="17"/>
    </row>
    <row r="722" customFormat="false" ht="15" hidden="false" customHeight="true" outlineLevel="0" collapsed="false">
      <c r="BH722" s="287"/>
      <c r="BI722" s="17"/>
    </row>
    <row r="723" customFormat="false" ht="15" hidden="false" customHeight="true" outlineLevel="0" collapsed="false">
      <c r="BH723" s="287"/>
      <c r="BI723" s="17"/>
    </row>
    <row r="724" customFormat="false" ht="15" hidden="false" customHeight="true" outlineLevel="0" collapsed="false">
      <c r="BH724" s="303"/>
      <c r="BI724" s="17"/>
    </row>
    <row r="725" customFormat="false" ht="15" hidden="false" customHeight="true" outlineLevel="0" collapsed="false">
      <c r="BH725" s="303"/>
      <c r="BI725" s="17"/>
    </row>
    <row r="726" customFormat="false" ht="15" hidden="false" customHeight="true" outlineLevel="0" collapsed="false">
      <c r="BH726" s="268"/>
      <c r="BI726" s="17"/>
    </row>
    <row r="727" customFormat="false" ht="15" hidden="false" customHeight="true" outlineLevel="0" collapsed="false">
      <c r="BH727" s="287"/>
      <c r="BI727" s="17"/>
    </row>
    <row r="728" customFormat="false" ht="15" hidden="false" customHeight="true" outlineLevel="0" collapsed="false">
      <c r="BH728" s="287"/>
      <c r="BI728" s="17"/>
    </row>
    <row r="729" customFormat="false" ht="15" hidden="false" customHeight="true" outlineLevel="0" collapsed="false">
      <c r="BH729" s="287"/>
      <c r="BI729" s="17"/>
    </row>
    <row r="730" customFormat="false" ht="15" hidden="false" customHeight="true" outlineLevel="0" collapsed="false">
      <c r="BH730" s="287"/>
      <c r="BI730" s="17"/>
    </row>
    <row r="731" customFormat="false" ht="15" hidden="false" customHeight="true" outlineLevel="0" collapsed="false">
      <c r="BH731" s="287"/>
      <c r="BI731" s="17"/>
    </row>
    <row r="732" customFormat="false" ht="15" hidden="false" customHeight="true" outlineLevel="0" collapsed="false">
      <c r="BH732" s="287"/>
      <c r="BI732" s="17"/>
    </row>
    <row r="733" customFormat="false" ht="15" hidden="false" customHeight="true" outlineLevel="0" collapsed="false">
      <c r="BH733" s="287"/>
      <c r="BI733" s="17"/>
    </row>
    <row r="734" customFormat="false" ht="15" hidden="false" customHeight="true" outlineLevel="0" collapsed="false">
      <c r="BH734" s="287"/>
      <c r="BI734" s="17"/>
    </row>
    <row r="735" customFormat="false" ht="15" hidden="false" customHeight="true" outlineLevel="0" collapsed="false">
      <c r="BH735" s="287"/>
      <c r="BI735" s="17"/>
    </row>
    <row r="736" customFormat="false" ht="15" hidden="false" customHeight="true" outlineLevel="0" collapsed="false">
      <c r="BH736" s="287"/>
      <c r="BI736" s="17"/>
    </row>
    <row r="737" customFormat="false" ht="15" hidden="false" customHeight="true" outlineLevel="0" collapsed="false">
      <c r="BH737" s="287"/>
      <c r="BI737" s="17"/>
    </row>
    <row r="738" customFormat="false" ht="15" hidden="false" customHeight="true" outlineLevel="0" collapsed="false">
      <c r="BH738" s="287"/>
      <c r="BI738" s="17"/>
    </row>
    <row r="739" customFormat="false" ht="15" hidden="false" customHeight="true" outlineLevel="0" collapsed="false">
      <c r="BH739" s="303"/>
      <c r="BI739" s="17"/>
    </row>
    <row r="740" customFormat="false" ht="15" hidden="false" customHeight="true" outlineLevel="0" collapsed="false">
      <c r="BH740" s="303"/>
      <c r="BI740" s="17"/>
    </row>
    <row r="741" customFormat="false" ht="15" hidden="false" customHeight="true" outlineLevel="0" collapsed="false">
      <c r="BH741" s="268"/>
      <c r="BI741" s="17"/>
    </row>
    <row r="742" customFormat="false" ht="15" hidden="false" customHeight="true" outlineLevel="0" collapsed="false">
      <c r="BH742" s="287"/>
      <c r="BI742" s="17"/>
    </row>
    <row r="743" customFormat="false" ht="15" hidden="false" customHeight="true" outlineLevel="0" collapsed="false">
      <c r="BH743" s="287"/>
      <c r="BI743" s="17"/>
    </row>
    <row r="744" customFormat="false" ht="15" hidden="false" customHeight="true" outlineLevel="0" collapsed="false">
      <c r="BH744" s="287"/>
      <c r="BI744" s="17"/>
    </row>
    <row r="745" customFormat="false" ht="15" hidden="false" customHeight="true" outlineLevel="0" collapsed="false">
      <c r="BH745" s="287"/>
      <c r="BI745" s="17"/>
    </row>
    <row r="746" customFormat="false" ht="15" hidden="false" customHeight="true" outlineLevel="0" collapsed="false">
      <c r="BH746" s="287"/>
      <c r="BI746" s="17"/>
    </row>
    <row r="747" customFormat="false" ht="15" hidden="false" customHeight="true" outlineLevel="0" collapsed="false">
      <c r="BH747" s="287"/>
      <c r="BI747" s="17"/>
    </row>
    <row r="748" customFormat="false" ht="15" hidden="false" customHeight="true" outlineLevel="0" collapsed="false">
      <c r="BH748" s="287"/>
      <c r="BI748" s="17"/>
    </row>
    <row r="749" customFormat="false" ht="15" hidden="false" customHeight="true" outlineLevel="0" collapsed="false">
      <c r="BH749" s="287"/>
      <c r="BI749" s="17"/>
    </row>
    <row r="750" customFormat="false" ht="15" hidden="false" customHeight="true" outlineLevel="0" collapsed="false">
      <c r="BH750" s="287"/>
      <c r="BI750" s="17"/>
    </row>
    <row r="751" customFormat="false" ht="15" hidden="false" customHeight="true" outlineLevel="0" collapsed="false">
      <c r="BH751" s="287"/>
      <c r="BI751" s="17"/>
    </row>
    <row r="752" customFormat="false" ht="15" hidden="false" customHeight="true" outlineLevel="0" collapsed="false">
      <c r="BH752" s="287"/>
      <c r="BI752" s="17"/>
    </row>
    <row r="753" customFormat="false" ht="15" hidden="false" customHeight="true" outlineLevel="0" collapsed="false">
      <c r="BH753" s="287"/>
      <c r="BI753" s="17"/>
    </row>
    <row r="754" customFormat="false" ht="15" hidden="false" customHeight="true" outlineLevel="0" collapsed="false">
      <c r="BH754" s="303"/>
      <c r="BI754" s="17"/>
    </row>
    <row r="755" customFormat="false" ht="15" hidden="false" customHeight="true" outlineLevel="0" collapsed="false">
      <c r="BH755" s="303"/>
      <c r="BI755" s="17"/>
    </row>
    <row r="756" customFormat="false" ht="15" hidden="false" customHeight="true" outlineLevel="0" collapsed="false">
      <c r="BH756" s="268"/>
      <c r="BI756" s="17"/>
    </row>
    <row r="757" customFormat="false" ht="15" hidden="false" customHeight="true" outlineLevel="0" collapsed="false">
      <c r="BH757" s="287"/>
      <c r="BI757" s="17"/>
    </row>
    <row r="758" customFormat="false" ht="15" hidden="false" customHeight="true" outlineLevel="0" collapsed="false">
      <c r="BH758" s="287"/>
      <c r="BI758" s="17"/>
    </row>
    <row r="759" customFormat="false" ht="15" hidden="false" customHeight="true" outlineLevel="0" collapsed="false">
      <c r="BH759" s="287"/>
      <c r="BI759" s="17"/>
    </row>
    <row r="760" customFormat="false" ht="15" hidden="false" customHeight="true" outlineLevel="0" collapsed="false">
      <c r="BH760" s="287"/>
      <c r="BI760" s="17"/>
    </row>
    <row r="761" customFormat="false" ht="15" hidden="false" customHeight="true" outlineLevel="0" collapsed="false">
      <c r="BH761" s="287"/>
      <c r="BI761" s="17"/>
    </row>
    <row r="762" customFormat="false" ht="15" hidden="false" customHeight="true" outlineLevel="0" collapsed="false">
      <c r="BH762" s="287"/>
      <c r="BI762" s="17"/>
    </row>
    <row r="763" customFormat="false" ht="15" hidden="false" customHeight="true" outlineLevel="0" collapsed="false">
      <c r="BH763" s="287"/>
      <c r="BI763" s="17"/>
    </row>
    <row r="764" customFormat="false" ht="15" hidden="false" customHeight="true" outlineLevel="0" collapsed="false">
      <c r="BH764" s="287"/>
      <c r="BI764" s="17"/>
    </row>
    <row r="765" customFormat="false" ht="15" hidden="false" customHeight="true" outlineLevel="0" collapsed="false">
      <c r="BH765" s="287"/>
      <c r="BI765" s="17"/>
    </row>
    <row r="766" customFormat="false" ht="15" hidden="false" customHeight="true" outlineLevel="0" collapsed="false">
      <c r="BH766" s="287"/>
      <c r="BI766" s="17"/>
    </row>
    <row r="767" customFormat="false" ht="15" hidden="false" customHeight="true" outlineLevel="0" collapsed="false">
      <c r="BH767" s="287"/>
      <c r="BI767" s="17"/>
    </row>
    <row r="768" customFormat="false" ht="15" hidden="false" customHeight="true" outlineLevel="0" collapsed="false">
      <c r="BH768" s="287"/>
      <c r="BI768" s="17"/>
    </row>
    <row r="769" customFormat="false" ht="15" hidden="false" customHeight="true" outlineLevel="0" collapsed="false">
      <c r="BH769" s="303"/>
      <c r="BI769" s="17"/>
    </row>
    <row r="770" customFormat="false" ht="15" hidden="false" customHeight="true" outlineLevel="0" collapsed="false">
      <c r="BH770" s="303"/>
      <c r="BI770" s="17"/>
    </row>
    <row r="771" customFormat="false" ht="15" hidden="false" customHeight="true" outlineLevel="0" collapsed="false">
      <c r="BH771" s="268"/>
      <c r="BI771" s="17"/>
    </row>
    <row r="772" customFormat="false" ht="15" hidden="false" customHeight="true" outlineLevel="0" collapsed="false">
      <c r="BH772" s="287"/>
      <c r="BI772" s="17"/>
    </row>
    <row r="773" customFormat="false" ht="15" hidden="false" customHeight="true" outlineLevel="0" collapsed="false">
      <c r="BH773" s="287"/>
      <c r="BI773" s="17"/>
    </row>
    <row r="774" customFormat="false" ht="15" hidden="false" customHeight="true" outlineLevel="0" collapsed="false">
      <c r="BH774" s="287"/>
      <c r="BI774" s="17"/>
    </row>
    <row r="775" customFormat="false" ht="15" hidden="false" customHeight="true" outlineLevel="0" collapsed="false">
      <c r="BH775" s="287"/>
      <c r="BI775" s="17"/>
    </row>
    <row r="776" customFormat="false" ht="15" hidden="false" customHeight="true" outlineLevel="0" collapsed="false">
      <c r="BH776" s="287"/>
      <c r="BI776" s="17"/>
    </row>
    <row r="777" customFormat="false" ht="15" hidden="false" customHeight="true" outlineLevel="0" collapsed="false">
      <c r="BH777" s="287"/>
      <c r="BI777" s="17"/>
    </row>
    <row r="778" customFormat="false" ht="15" hidden="false" customHeight="true" outlineLevel="0" collapsed="false">
      <c r="BH778" s="287"/>
      <c r="BI778" s="17"/>
    </row>
    <row r="779" customFormat="false" ht="15" hidden="false" customHeight="true" outlineLevel="0" collapsed="false">
      <c r="BH779" s="287"/>
      <c r="BI779" s="17"/>
    </row>
    <row r="780" customFormat="false" ht="15" hidden="false" customHeight="true" outlineLevel="0" collapsed="false">
      <c r="BH780" s="287"/>
      <c r="BI780" s="17"/>
    </row>
    <row r="781" customFormat="false" ht="15" hidden="false" customHeight="true" outlineLevel="0" collapsed="false">
      <c r="BH781" s="287"/>
      <c r="BI781" s="17"/>
    </row>
    <row r="782" customFormat="false" ht="15" hidden="false" customHeight="true" outlineLevel="0" collapsed="false">
      <c r="BH782" s="287"/>
      <c r="BI782" s="17"/>
    </row>
    <row r="783" customFormat="false" ht="15" hidden="false" customHeight="true" outlineLevel="0" collapsed="false">
      <c r="BH783" s="287"/>
      <c r="BI783" s="17"/>
    </row>
    <row r="784" customFormat="false" ht="15" hidden="false" customHeight="true" outlineLevel="0" collapsed="false">
      <c r="BH784" s="303"/>
      <c r="BI784" s="17"/>
    </row>
    <row r="785" customFormat="false" ht="15" hidden="false" customHeight="true" outlineLevel="0" collapsed="false">
      <c r="BH785" s="303"/>
      <c r="BI785" s="17"/>
    </row>
    <row r="786" customFormat="false" ht="15" hidden="false" customHeight="true" outlineLevel="0" collapsed="false">
      <c r="BH786" s="268"/>
      <c r="BI786" s="17"/>
    </row>
    <row r="787" customFormat="false" ht="15" hidden="false" customHeight="true" outlineLevel="0" collapsed="false">
      <c r="BH787" s="287"/>
      <c r="BI787" s="17"/>
    </row>
    <row r="788" customFormat="false" ht="15" hidden="false" customHeight="true" outlineLevel="0" collapsed="false">
      <c r="BH788" s="287"/>
      <c r="BI788" s="17"/>
    </row>
    <row r="789" customFormat="false" ht="15" hidden="false" customHeight="true" outlineLevel="0" collapsed="false">
      <c r="BH789" s="287"/>
      <c r="BI789" s="17"/>
    </row>
    <row r="790" customFormat="false" ht="15" hidden="false" customHeight="true" outlineLevel="0" collapsed="false">
      <c r="BH790" s="287"/>
      <c r="BI790" s="17"/>
    </row>
    <row r="791" customFormat="false" ht="15" hidden="false" customHeight="true" outlineLevel="0" collapsed="false">
      <c r="BH791" s="287"/>
      <c r="BI791" s="17"/>
    </row>
    <row r="792" customFormat="false" ht="15" hidden="false" customHeight="true" outlineLevel="0" collapsed="false">
      <c r="BH792" s="287"/>
      <c r="BI792" s="17"/>
    </row>
    <row r="793" customFormat="false" ht="15" hidden="false" customHeight="true" outlineLevel="0" collapsed="false">
      <c r="BH793" s="287"/>
      <c r="BI793" s="17"/>
    </row>
    <row r="794" customFormat="false" ht="15" hidden="false" customHeight="true" outlineLevel="0" collapsed="false">
      <c r="BH794" s="287"/>
      <c r="BI794" s="17"/>
    </row>
    <row r="795" customFormat="false" ht="15" hidden="false" customHeight="true" outlineLevel="0" collapsed="false">
      <c r="BH795" s="287"/>
      <c r="BI795" s="17"/>
    </row>
    <row r="796" customFormat="false" ht="15" hidden="false" customHeight="true" outlineLevel="0" collapsed="false">
      <c r="BH796" s="287"/>
      <c r="BI796" s="17"/>
    </row>
    <row r="797" customFormat="false" ht="15" hidden="false" customHeight="true" outlineLevel="0" collapsed="false">
      <c r="BH797" s="287"/>
      <c r="BI797" s="17"/>
    </row>
    <row r="798" customFormat="false" ht="15" hidden="false" customHeight="true" outlineLevel="0" collapsed="false">
      <c r="BH798" s="287"/>
      <c r="BI798" s="17"/>
    </row>
    <row r="799" customFormat="false" ht="15" hidden="false" customHeight="true" outlineLevel="0" collapsed="false">
      <c r="BH799" s="303"/>
      <c r="BI799" s="17"/>
    </row>
    <row r="800" customFormat="false" ht="15" hidden="false" customHeight="true" outlineLevel="0" collapsed="false">
      <c r="BH800" s="303"/>
      <c r="BI800" s="17"/>
    </row>
    <row r="801" customFormat="false" ht="15" hidden="false" customHeight="true" outlineLevel="0" collapsed="false">
      <c r="BH801" s="268"/>
      <c r="BI801" s="17"/>
    </row>
    <row r="802" customFormat="false" ht="15" hidden="false" customHeight="true" outlineLevel="0" collapsed="false">
      <c r="BH802" s="287"/>
      <c r="BI802" s="17"/>
    </row>
    <row r="803" customFormat="false" ht="15" hidden="false" customHeight="true" outlineLevel="0" collapsed="false">
      <c r="BH803" s="287"/>
      <c r="BI803" s="17"/>
    </row>
    <row r="804" customFormat="false" ht="15" hidden="false" customHeight="true" outlineLevel="0" collapsed="false">
      <c r="BH804" s="287"/>
      <c r="BI804" s="17"/>
    </row>
    <row r="805" customFormat="false" ht="15" hidden="false" customHeight="true" outlineLevel="0" collapsed="false">
      <c r="BH805" s="287"/>
      <c r="BI805" s="17"/>
    </row>
    <row r="806" customFormat="false" ht="15" hidden="false" customHeight="true" outlineLevel="0" collapsed="false">
      <c r="BH806" s="287"/>
      <c r="BI806" s="17"/>
    </row>
    <row r="807" customFormat="false" ht="15" hidden="false" customHeight="true" outlineLevel="0" collapsed="false">
      <c r="BH807" s="287"/>
      <c r="BI807" s="17"/>
    </row>
    <row r="808" customFormat="false" ht="15" hidden="false" customHeight="true" outlineLevel="0" collapsed="false">
      <c r="BH808" s="287"/>
      <c r="BI808" s="17"/>
    </row>
    <row r="809" customFormat="false" ht="15" hidden="false" customHeight="true" outlineLevel="0" collapsed="false">
      <c r="BH809" s="287"/>
      <c r="BI809" s="17"/>
    </row>
    <row r="810" customFormat="false" ht="15" hidden="false" customHeight="true" outlineLevel="0" collapsed="false">
      <c r="BH810" s="287"/>
      <c r="BI810" s="17"/>
    </row>
    <row r="811" customFormat="false" ht="15" hidden="false" customHeight="true" outlineLevel="0" collapsed="false">
      <c r="BH811" s="287"/>
      <c r="BI811" s="17"/>
    </row>
    <row r="812" customFormat="false" ht="15" hidden="false" customHeight="true" outlineLevel="0" collapsed="false">
      <c r="BH812" s="287"/>
      <c r="BI812" s="17"/>
    </row>
    <row r="813" customFormat="false" ht="15" hidden="false" customHeight="true" outlineLevel="0" collapsed="false">
      <c r="BH813" s="287"/>
      <c r="BI813" s="17"/>
    </row>
    <row r="814" customFormat="false" ht="15" hidden="false" customHeight="true" outlineLevel="0" collapsed="false">
      <c r="BH814" s="303"/>
      <c r="BI814" s="17"/>
    </row>
    <row r="815" customFormat="false" ht="15" hidden="false" customHeight="true" outlineLevel="0" collapsed="false">
      <c r="BH815" s="303"/>
      <c r="BI815" s="17"/>
    </row>
    <row r="816" customFormat="false" ht="15" hidden="false" customHeight="true" outlineLevel="0" collapsed="false">
      <c r="BH816" s="268"/>
      <c r="BI816" s="17"/>
    </row>
    <row r="817" customFormat="false" ht="15" hidden="false" customHeight="true" outlineLevel="0" collapsed="false">
      <c r="BH817" s="287"/>
      <c r="BI817" s="17"/>
    </row>
    <row r="818" customFormat="false" ht="15" hidden="false" customHeight="true" outlineLevel="0" collapsed="false">
      <c r="BH818" s="287"/>
      <c r="BI818" s="17"/>
    </row>
    <row r="819" customFormat="false" ht="15" hidden="false" customHeight="true" outlineLevel="0" collapsed="false">
      <c r="BH819" s="287"/>
      <c r="BI819" s="17"/>
    </row>
    <row r="820" customFormat="false" ht="15" hidden="false" customHeight="true" outlineLevel="0" collapsed="false">
      <c r="BH820" s="287"/>
      <c r="BI820" s="17"/>
    </row>
    <row r="821" customFormat="false" ht="15" hidden="false" customHeight="true" outlineLevel="0" collapsed="false">
      <c r="BH821" s="287"/>
      <c r="BI821" s="17"/>
    </row>
    <row r="822" customFormat="false" ht="15" hidden="false" customHeight="true" outlineLevel="0" collapsed="false">
      <c r="BH822" s="287"/>
      <c r="BI822" s="17"/>
    </row>
    <row r="823" customFormat="false" ht="15" hidden="false" customHeight="true" outlineLevel="0" collapsed="false">
      <c r="BH823" s="287"/>
      <c r="BI823" s="17"/>
    </row>
    <row r="824" customFormat="false" ht="15" hidden="false" customHeight="true" outlineLevel="0" collapsed="false">
      <c r="BH824" s="287"/>
      <c r="BI824" s="17"/>
    </row>
    <row r="825" customFormat="false" ht="15" hidden="false" customHeight="true" outlineLevel="0" collapsed="false">
      <c r="BH825" s="287"/>
      <c r="BI825" s="17"/>
    </row>
    <row r="826" customFormat="false" ht="15" hidden="false" customHeight="true" outlineLevel="0" collapsed="false">
      <c r="BH826" s="287"/>
      <c r="BI826" s="17"/>
    </row>
    <row r="827" customFormat="false" ht="15" hidden="false" customHeight="true" outlineLevel="0" collapsed="false">
      <c r="BH827" s="287"/>
      <c r="BI827" s="17"/>
    </row>
    <row r="828" customFormat="false" ht="15" hidden="false" customHeight="true" outlineLevel="0" collapsed="false">
      <c r="BH828" s="287"/>
      <c r="BI828" s="17"/>
    </row>
    <row r="829" customFormat="false" ht="15" hidden="false" customHeight="true" outlineLevel="0" collapsed="false">
      <c r="BH829" s="303"/>
      <c r="BI829" s="17"/>
    </row>
    <row r="830" customFormat="false" ht="15" hidden="false" customHeight="true" outlineLevel="0" collapsed="false">
      <c r="BH830" s="303"/>
      <c r="BI830" s="17"/>
    </row>
    <row r="831" customFormat="false" ht="15" hidden="false" customHeight="true" outlineLevel="0" collapsed="false">
      <c r="BH831" s="268"/>
      <c r="BI831" s="17"/>
    </row>
    <row r="832" customFormat="false" ht="15" hidden="false" customHeight="true" outlineLevel="0" collapsed="false">
      <c r="BH832" s="287"/>
      <c r="BI832" s="17"/>
    </row>
    <row r="833" customFormat="false" ht="15" hidden="false" customHeight="true" outlineLevel="0" collapsed="false">
      <c r="BH833" s="287"/>
      <c r="BI833" s="17"/>
    </row>
    <row r="834" customFormat="false" ht="15" hidden="false" customHeight="true" outlineLevel="0" collapsed="false">
      <c r="BH834" s="287"/>
      <c r="BI834" s="17"/>
    </row>
    <row r="835" customFormat="false" ht="15" hidden="false" customHeight="true" outlineLevel="0" collapsed="false">
      <c r="BH835" s="287"/>
      <c r="BI835" s="17"/>
    </row>
    <row r="836" customFormat="false" ht="15" hidden="false" customHeight="true" outlineLevel="0" collapsed="false">
      <c r="BH836" s="287"/>
      <c r="BI836" s="17"/>
    </row>
    <row r="837" customFormat="false" ht="15" hidden="false" customHeight="true" outlineLevel="0" collapsed="false">
      <c r="BH837" s="287"/>
      <c r="BI837" s="17"/>
    </row>
    <row r="838" customFormat="false" ht="15" hidden="false" customHeight="true" outlineLevel="0" collapsed="false">
      <c r="BH838" s="287"/>
      <c r="BI838" s="17"/>
    </row>
    <row r="839" customFormat="false" ht="15" hidden="false" customHeight="true" outlineLevel="0" collapsed="false">
      <c r="BH839" s="287"/>
      <c r="BI839" s="17"/>
    </row>
    <row r="840" customFormat="false" ht="15" hidden="false" customHeight="true" outlineLevel="0" collapsed="false">
      <c r="BH840" s="287"/>
      <c r="BI840" s="17"/>
    </row>
    <row r="841" customFormat="false" ht="15" hidden="false" customHeight="true" outlineLevel="0" collapsed="false">
      <c r="BH841" s="287"/>
      <c r="BI841" s="17"/>
    </row>
    <row r="842" customFormat="false" ht="15" hidden="false" customHeight="true" outlineLevel="0" collapsed="false">
      <c r="BH842" s="287"/>
      <c r="BI842" s="17"/>
    </row>
    <row r="843" customFormat="false" ht="15" hidden="false" customHeight="true" outlineLevel="0" collapsed="false">
      <c r="BH843" s="287"/>
      <c r="BI843" s="17"/>
    </row>
    <row r="844" customFormat="false" ht="15" hidden="false" customHeight="true" outlineLevel="0" collapsed="false">
      <c r="BH844" s="303"/>
      <c r="BI844" s="17"/>
    </row>
    <row r="845" customFormat="false" ht="15" hidden="false" customHeight="true" outlineLevel="0" collapsed="false">
      <c r="BH845" s="303"/>
      <c r="BI845" s="17"/>
    </row>
    <row r="846" customFormat="false" ht="15" hidden="false" customHeight="true" outlineLevel="0" collapsed="false">
      <c r="BH846" s="303"/>
      <c r="BI846" s="17"/>
    </row>
    <row r="847" customFormat="false" ht="15" hidden="false" customHeight="true" outlineLevel="0" collapsed="false">
      <c r="BH847" s="303"/>
      <c r="BI847" s="17"/>
    </row>
    <row r="848" customFormat="false" ht="15" hidden="false" customHeight="true" outlineLevel="0" collapsed="false">
      <c r="BH848" s="313"/>
      <c r="BI848" s="17"/>
    </row>
    <row r="849" customFormat="false" ht="15" hidden="false" customHeight="true" outlineLevel="0" collapsed="false">
      <c r="BH849" s="313"/>
      <c r="BI849" s="17"/>
    </row>
    <row r="850" customFormat="false" ht="15" hidden="false" customHeight="true" outlineLevel="0" collapsed="false">
      <c r="BH850" s="313"/>
      <c r="BI850" s="17"/>
    </row>
    <row r="851" customFormat="false" ht="15" hidden="false" customHeight="true" outlineLevel="0" collapsed="false">
      <c r="BH851" s="313"/>
      <c r="BI851" s="17"/>
    </row>
    <row r="852" customFormat="false" ht="15" hidden="false" customHeight="true" outlineLevel="0" collapsed="false">
      <c r="BH852" s="313"/>
      <c r="BI852" s="17"/>
    </row>
    <row r="853" customFormat="false" ht="15" hidden="false" customHeight="true" outlineLevel="0" collapsed="false">
      <c r="BH853" s="313"/>
      <c r="BI853" s="17"/>
    </row>
    <row r="854" customFormat="false" ht="15" hidden="false" customHeight="true" outlineLevel="0" collapsed="false">
      <c r="BH854" s="313"/>
      <c r="BI854" s="17"/>
    </row>
    <row r="855" customFormat="false" ht="15" hidden="false" customHeight="true" outlineLevel="0" collapsed="false">
      <c r="BH855" s="313"/>
      <c r="BI855" s="17"/>
    </row>
    <row r="856" customFormat="false" ht="15" hidden="false" customHeight="true" outlineLevel="0" collapsed="false">
      <c r="BH856" s="313"/>
      <c r="BI856" s="17"/>
    </row>
    <row r="857" customFormat="false" ht="15" hidden="false" customHeight="true" outlineLevel="0" collapsed="false">
      <c r="BH857" s="313"/>
      <c r="BI857" s="17"/>
    </row>
    <row r="858" customFormat="false" ht="15" hidden="false" customHeight="true" outlineLevel="0" collapsed="false">
      <c r="BH858" s="313"/>
      <c r="BI858" s="17"/>
    </row>
    <row r="859" customFormat="false" ht="15" hidden="false" customHeight="true" outlineLevel="0" collapsed="false">
      <c r="BH859" s="313"/>
      <c r="BI859" s="17"/>
    </row>
    <row r="860" customFormat="false" ht="15" hidden="false" customHeight="true" outlineLevel="0" collapsed="false">
      <c r="BH860" s="319"/>
      <c r="BI860" s="17"/>
    </row>
    <row r="861" customFormat="false" ht="15" hidden="false" customHeight="true" outlineLevel="0" collapsed="false">
      <c r="BH861" s="319"/>
      <c r="BI861" s="17"/>
    </row>
    <row r="862" customFormat="false" ht="15" hidden="false" customHeight="true" outlineLevel="0" collapsed="false">
      <c r="BI862" s="17"/>
    </row>
    <row r="863" customFormat="false" ht="15" hidden="false" customHeight="true" outlineLevel="0" collapsed="false">
      <c r="BH863" s="328"/>
      <c r="BI863" s="17"/>
    </row>
    <row r="864" customFormat="false" ht="15" hidden="false" customHeight="true" outlineLevel="0" collapsed="false">
      <c r="BI864" s="17"/>
    </row>
    <row r="865" customFormat="false" ht="15" hidden="false" customHeight="true" outlineLevel="0" collapsed="false">
      <c r="BH865" s="316"/>
      <c r="BI865" s="17"/>
    </row>
    <row r="866" customFormat="false" ht="15" hidden="false" customHeight="true" outlineLevel="0" collapsed="false">
      <c r="BI866" s="17"/>
    </row>
    <row r="867" customFormat="false" ht="15" hidden="false" customHeight="true" outlineLevel="0" collapsed="false">
      <c r="BI867" s="17"/>
    </row>
    <row r="868" customFormat="false" ht="15" hidden="false" customHeight="true" outlineLevel="0" collapsed="false">
      <c r="BI868" s="17"/>
    </row>
    <row r="869" customFormat="false" ht="15" hidden="false" customHeight="true" outlineLevel="0" collapsed="false">
      <c r="BI869" s="17"/>
    </row>
    <row r="870" customFormat="false" ht="15" hidden="false" customHeight="true" outlineLevel="0" collapsed="false">
      <c r="BI870" s="17"/>
    </row>
    <row r="871" customFormat="false" ht="15" hidden="false" customHeight="true" outlineLevel="0" collapsed="false">
      <c r="BI871" s="313"/>
    </row>
    <row r="872" customFormat="false" ht="15" hidden="false" customHeight="true" outlineLevel="0" collapsed="false">
      <c r="BI872" s="313"/>
    </row>
    <row r="873" customFormat="false" ht="15" hidden="false" customHeight="true" outlineLevel="0" collapsed="false">
      <c r="BI873" s="313"/>
    </row>
    <row r="874" customFormat="false" ht="15" hidden="false" customHeight="true" outlineLevel="0" collapsed="false">
      <c r="BI874" s="313"/>
    </row>
  </sheetData>
  <mergeCells count="14">
    <mergeCell ref="A1:C1"/>
    <mergeCell ref="I2:J2"/>
    <mergeCell ref="L2:W2"/>
    <mergeCell ref="AB2:AQ2"/>
    <mergeCell ref="AS2:BG2"/>
    <mergeCell ref="A3:A5"/>
    <mergeCell ref="B3:B5"/>
    <mergeCell ref="C3:C5"/>
    <mergeCell ref="D3:D5"/>
    <mergeCell ref="E3:E5"/>
    <mergeCell ref="F3:F5"/>
    <mergeCell ref="G3:G5"/>
    <mergeCell ref="I3:I5"/>
    <mergeCell ref="J3:J5"/>
  </mergeCells>
  <conditionalFormatting sqref="L7:W210">
    <cfRule type="cellIs" priority="2" operator="lessThan" aboveAverage="0" equalAverage="0" bottom="0" percent="0" rank="0" text="" dxfId="1">
      <formula>0</formula>
    </cfRule>
  </conditionalFormatting>
  <conditionalFormatting sqref="L7:W209">
    <cfRule type="cellIs" priority="3" operator="greaterThan" aboveAverage="0" equalAverage="0" bottom="0" percent="0" rank="0" text="" dxfId="1">
      <formula>100%</formula>
    </cfRule>
  </conditionalFormatting>
  <conditionalFormatting sqref="BI1:BI1048576">
    <cfRule type="cellIs" priority="4" operator="equal" aboveAverage="0" equalAverage="0" bottom="0" percent="0" rank="0" text="" dxfId="0">
      <formula>"ERROR"</formula>
    </cfRule>
  </conditionalFormatting>
  <dataValidations count="2">
    <dataValidation allowBlank="true" errorStyle="stop" operator="between" showDropDown="false" showErrorMessage="true" showInputMessage="true" sqref="Y7:Y208" type="list">
      <formula1>$BS$9:$BS$11</formula1>
      <formula2>0</formula2>
    </dataValidation>
    <dataValidation allowBlank="true" errorStyle="stop" operator="between" showDropDown="false" showErrorMessage="true" showInputMessage="true" sqref="H7:H208 K7:K208 X7:X208 Z7:Z208" type="list">
      <formula1>$BS$15:$BS$16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18" width="13.44"/>
    <col collapsed="false" customWidth="true" hidden="false" outlineLevel="0" max="2" min="2" style="17" width="8.34"/>
    <col collapsed="false" customWidth="true" hidden="false" outlineLevel="0" max="3" min="3" style="17" width="55"/>
    <col collapsed="false" customWidth="true" hidden="false" outlineLevel="0" max="4" min="4" style="341" width="14.33"/>
    <col collapsed="false" customWidth="true" hidden="false" outlineLevel="0" max="5" min="5" style="200" width="14.33"/>
    <col collapsed="false" customWidth="true" hidden="false" outlineLevel="0" max="7" min="6" style="17" width="19.33"/>
    <col collapsed="false" customWidth="true" hidden="false" outlineLevel="0" max="8" min="8" style="17" width="4.67"/>
    <col collapsed="false" customWidth="true" hidden="false" outlineLevel="0" max="20" min="9" style="146" width="13"/>
    <col collapsed="false" customWidth="true" hidden="false" outlineLevel="0" max="21" min="21" style="146" width="4.67"/>
    <col collapsed="false" customWidth="true" hidden="false" outlineLevel="0" max="36" min="22" style="146" width="13"/>
    <col collapsed="false" customWidth="true" hidden="false" outlineLevel="0" max="37" min="37" style="146" width="4.67"/>
    <col collapsed="false" customWidth="true" hidden="false" outlineLevel="0" max="38" min="38" style="146" width="13"/>
    <col collapsed="false" customWidth="false" hidden="false" outlineLevel="0" max="16384" min="39" style="17" width="8.88"/>
  </cols>
  <sheetData>
    <row r="1" s="22" customFormat="true" ht="15" hidden="false" customHeight="true" outlineLevel="0" collapsed="false">
      <c r="A1" s="238" t="s">
        <v>336</v>
      </c>
      <c r="B1" s="238"/>
      <c r="C1" s="238"/>
      <c r="D1" s="342"/>
      <c r="E1" s="343"/>
      <c r="F1" s="342"/>
      <c r="G1" s="342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147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147"/>
      <c r="AI1" s="147"/>
      <c r="AJ1" s="147"/>
      <c r="AK1" s="240"/>
      <c r="AL1" s="239"/>
    </row>
    <row r="2" customFormat="false" ht="15" hidden="false" customHeight="true" outlineLevel="0" collapsed="false">
      <c r="I2" s="244" t="s">
        <v>212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AK2" s="246"/>
      <c r="AL2" s="246"/>
    </row>
    <row r="3" customFormat="false" ht="45" hidden="false" customHeight="true" outlineLevel="0" collapsed="false">
      <c r="A3" s="345" t="s">
        <v>263</v>
      </c>
      <c r="B3" s="345" t="s">
        <v>264</v>
      </c>
      <c r="C3" s="345" t="s">
        <v>265</v>
      </c>
      <c r="D3" s="345" t="s">
        <v>266</v>
      </c>
      <c r="E3" s="345" t="s">
        <v>267</v>
      </c>
      <c r="F3" s="345" t="s">
        <v>337</v>
      </c>
      <c r="G3" s="345" t="s">
        <v>269</v>
      </c>
      <c r="H3" s="395"/>
      <c r="I3" s="251" t="str">
        <f aca="false">IF(Summary!$B$15&gt;0,Summary!$B$15,"")</f>
        <v>Automated Document Intelligence Platform</v>
      </c>
      <c r="J3" s="251" t="str">
        <f aca="false">IF(Summary!$B$16&gt;0,Summary!$B$16,"")</f>
        <v>Real-Time Anomaly Detection Engine</v>
      </c>
      <c r="K3" s="251" t="str">
        <f aca="false">IF(Summary!$B$17&gt;0,Summary!$B$17,"")</f>
        <v>Natural Language Query Interface</v>
      </c>
      <c r="L3" s="251" t="str">
        <f aca="false">IF(Summary!$B$18&gt;0,Summary!$B$18,"")</f>
        <v>Predictive Maintenance ML Pipeline</v>
      </c>
      <c r="M3" s="251" t="str">
        <f aca="false">IF(Summary!$B$19&gt;0,Summary!$B$19,"")</f>
        <v>Privacy-Preserving Data Linkage</v>
      </c>
      <c r="N3" s="251" t="str">
        <f aca="false">IF(Summary!$B$20&gt;0,Summary!$B$20,"")</f>
        <v/>
      </c>
      <c r="O3" s="251" t="str">
        <f aca="false">IF(Summary!$B$21&gt;0,Summary!$B$21,"")</f>
        <v/>
      </c>
      <c r="P3" s="251" t="str">
        <f aca="false">IF(Summary!$B$22&gt;0,Summary!$B$22,"")</f>
        <v/>
      </c>
      <c r="Q3" s="251" t="str">
        <f aca="false">IF(Summary!$B$23&gt;0,Summary!$B$23,"")</f>
        <v/>
      </c>
      <c r="R3" s="251" t="str">
        <f aca="false">IF(Summary!$B$24&gt;0,Summary!$B$24,"")</f>
        <v/>
      </c>
      <c r="S3" s="251" t="str">
        <f aca="false">IF(Summary!$B$25&gt;0,Summary!$B$25,"")</f>
        <v/>
      </c>
      <c r="T3" s="251" t="str">
        <f aca="false">IF(Summary!$B$26&gt;0,Summary!$B$26,"")</f>
        <v/>
      </c>
      <c r="U3" s="252"/>
      <c r="V3" s="251" t="str">
        <f aca="false">IF(Summary!$B$15&gt;0,Summary!$B$15,"")</f>
        <v>Automated Document Intelligence Platform</v>
      </c>
      <c r="W3" s="251" t="str">
        <f aca="false">IF(Summary!$B$16&gt;0,Summary!$B$16,"")</f>
        <v>Real-Time Anomaly Detection Engine</v>
      </c>
      <c r="X3" s="251" t="str">
        <f aca="false">IF(Summary!$B$17&gt;0,Summary!$B$17,"")</f>
        <v>Natural Language Query Interface</v>
      </c>
      <c r="Y3" s="251" t="str">
        <f aca="false">IF(Summary!$B$18&gt;0,Summary!$B$18,"")</f>
        <v>Predictive Maintenance ML Pipeline</v>
      </c>
      <c r="Z3" s="251" t="str">
        <f aca="false">IF(Summary!$B$19&gt;0,Summary!$B$19,"")</f>
        <v>Privacy-Preserving Data Linkage</v>
      </c>
      <c r="AA3" s="251" t="str">
        <f aca="false">IF(Summary!$B$20&gt;0,Summary!$B$20,"")</f>
        <v/>
      </c>
      <c r="AB3" s="251" t="str">
        <f aca="false">IF(Summary!$B$21&gt;0,Summary!$B$21,"")</f>
        <v/>
      </c>
      <c r="AC3" s="251" t="str">
        <f aca="false">IF(Summary!$B$22&gt;0,Summary!$B$22,"")</f>
        <v/>
      </c>
      <c r="AD3" s="251" t="str">
        <f aca="false">IF(Summary!$B$23&gt;0,Summary!$B$23,"")</f>
        <v/>
      </c>
      <c r="AE3" s="251" t="str">
        <f aca="false">IF(Summary!$B$24&gt;0,Summary!$B$24,"")</f>
        <v/>
      </c>
      <c r="AF3" s="251" t="str">
        <f aca="false">IF(Summary!$B$25&gt;0,Summary!$B$25,"")</f>
        <v/>
      </c>
      <c r="AG3" s="251" t="str">
        <f aca="false">IF(Summary!$B$26&gt;0,Summary!$B$26,"")</f>
        <v/>
      </c>
      <c r="AH3" s="251" t="s">
        <v>72</v>
      </c>
      <c r="AI3" s="251" t="s">
        <v>69</v>
      </c>
      <c r="AJ3" s="251" t="s">
        <v>74</v>
      </c>
      <c r="AK3" s="249"/>
      <c r="AL3" s="251" t="s">
        <v>104</v>
      </c>
    </row>
    <row r="4" customFormat="false" ht="15" hidden="false" customHeight="true" outlineLevel="0" collapsed="false">
      <c r="A4" s="345"/>
      <c r="B4" s="345"/>
      <c r="C4" s="345"/>
      <c r="D4" s="345"/>
      <c r="E4" s="345"/>
      <c r="F4" s="345"/>
      <c r="G4" s="345"/>
      <c r="H4" s="359"/>
      <c r="I4" s="396" t="str">
        <f aca="false">IF(ISBLANK(Summary!$C$15),"", IF(Summary!$C$15="No", "SME", IF(AND(Summary!$C$15="Yes", Summary!$D$15="Yes"), "De Minimis", "RDEC")))</f>
        <v>SME</v>
      </c>
      <c r="J4" s="396" t="str">
        <f aca="false">IF(ISBLANK(Summary!$C$16),"", IF(Summary!$C$16="No", "SME", IF(AND(Summary!$C$16="Yes", Summary!$D$16="Yes"), "De Minimis", "RDEC")))</f>
        <v>SME</v>
      </c>
      <c r="K4" s="396" t="str">
        <f aca="false">IF(ISBLANK(Summary!$C$17),"", IF(Summary!$C$17="No", "SME", IF(AND(Summary!$C$17="Yes", Summary!$D$17="Yes"), "De Minimis", "RDEC")))</f>
        <v>SME</v>
      </c>
      <c r="L4" s="396" t="str">
        <f aca="false">IF(ISBLANK(Summary!$C$18),"", IF(Summary!$C$18="No", "SME", IF(AND(Summary!$C$18="Yes", Summary!$D$18="Yes"), "De Minimis", "RDEC")))</f>
        <v>RDEC</v>
      </c>
      <c r="M4" s="396" t="str">
        <f aca="false">IF(ISBLANK(Summary!$C$19),"", IF(Summary!$C$19="No", "SME", IF(AND(Summary!$C$19="Yes", Summary!$D$19="Yes"), "De Minimis", "RDEC")))</f>
        <v>SME</v>
      </c>
      <c r="N4" s="396" t="str">
        <f aca="false">IF(ISBLANK(Summary!$C$20),"", IF(Summary!$C$20="No", "SME", IF(AND(Summary!$C$20="Yes", Summary!$D$20="Yes"), "De Minimis", "RDEC")))</f>
        <v/>
      </c>
      <c r="O4" s="396" t="str">
        <f aca="false">IF(ISBLANK(Summary!$C$21),"", IF(Summary!$C$21="No", "SME", IF(AND(Summary!$C$21="Yes", Summary!$D$21="Yes"), "De Minimis", "RDEC")))</f>
        <v/>
      </c>
      <c r="P4" s="396" t="str">
        <f aca="false">IF(ISBLANK(Summary!$C$22),"", IF(Summary!$C$22="No", "SME", IF(AND(Summary!$C$22="Yes", Summary!$D$22="Yes"), "De Minimis", "RDEC")))</f>
        <v/>
      </c>
      <c r="Q4" s="396" t="str">
        <f aca="false">IF(ISBLANK(Summary!$C$23),"", IF(Summary!$C$23="No", "SME", IF(AND(Summary!$C$23="Yes", Summary!$D$23="Yes"), "De Minimis", "RDEC")))</f>
        <v/>
      </c>
      <c r="R4" s="396" t="str">
        <f aca="false">IF(ISBLANK(Summary!$C$24),"", IF(Summary!$C$24="No", "SME", IF(AND(Summary!$C$24="Yes", Summary!$D$24="Yes"), "De Minimis", "RDEC")))</f>
        <v/>
      </c>
      <c r="S4" s="396" t="str">
        <f aca="false">IF(ISBLANK(Summary!$C$25),"", IF(Summary!$C$25="No", "SME", IF(AND(Summary!$C$25="Yes", Summary!$D$25="Yes"), "De Minimis", "RDEC")))</f>
        <v/>
      </c>
      <c r="T4" s="396" t="str">
        <f aca="false">IF(ISBLANK(Summary!$C$26),"", IF(Summary!$C$26="No", "SME", IF(AND(Summary!$C$26="Yes", Summary!$D$26="Yes"), "De Minimis", "RDEC")))</f>
        <v/>
      </c>
      <c r="U4" s="332"/>
      <c r="V4" s="396" t="str">
        <f aca="false">IF(ISBLANK(Summary!$C$15),"", IF(Summary!$C$15="No", "SME", IF(AND(Summary!$C$15="Yes", Summary!$D$15="Yes"), "De Minimis", "RDEC")))</f>
        <v>SME</v>
      </c>
      <c r="W4" s="396" t="str">
        <f aca="false">IF(ISBLANK(Summary!$C$16),"", IF(Summary!$C$16="No", "SME", IF(AND(Summary!$C$16="Yes", Summary!$D$16="Yes"), "De Minimis", "RDEC")))</f>
        <v>SME</v>
      </c>
      <c r="X4" s="396" t="str">
        <f aca="false">IF(ISBLANK(Summary!$C$17),"", IF(Summary!$C$17="No", "SME", IF(AND(Summary!$C$17="Yes", Summary!$D$17="Yes"), "De Minimis", "RDEC")))</f>
        <v>SME</v>
      </c>
      <c r="Y4" s="396" t="str">
        <f aca="false">IF(ISBLANK(Summary!$C$18),"", IF(Summary!$C$18="No", "SME", IF(AND(Summary!$C$18="Yes", Summary!$D$18="Yes"), "De Minimis", "RDEC")))</f>
        <v>RDEC</v>
      </c>
      <c r="Z4" s="396" t="str">
        <f aca="false">IF(ISBLANK(Summary!$C$19),"", IF(Summary!$C$19="No", "SME", IF(AND(Summary!$C$19="Yes", Summary!$D$19="Yes"), "De Minimis", "RDEC")))</f>
        <v>SME</v>
      </c>
      <c r="AA4" s="396" t="str">
        <f aca="false">IF(ISBLANK(Summary!$C$20),"", IF(Summary!$C$20="No", "SME", IF(AND(Summary!$C$20="Yes", Summary!$D$20="Yes"), "De Minimis", "RDEC")))</f>
        <v/>
      </c>
      <c r="AB4" s="396" t="str">
        <f aca="false">IF(ISBLANK(Summary!$C$21),"", IF(Summary!$C$21="No", "SME", IF(AND(Summary!$C$21="Yes", Summary!$D$21="Yes"), "De Minimis", "RDEC")))</f>
        <v/>
      </c>
      <c r="AC4" s="396" t="str">
        <f aca="false">IF(ISBLANK(Summary!$C$22),"", IF(Summary!$C$22="No", "SME", IF(AND(Summary!$C$22="Yes", Summary!$D$22="Yes"), "De Minimis", "RDEC")))</f>
        <v/>
      </c>
      <c r="AD4" s="396" t="str">
        <f aca="false">IF(ISBLANK(Summary!$C$23),"", IF(Summary!$C$23="No", "SME", IF(AND(Summary!$C$23="Yes", Summary!$D$23="Yes"), "De Minimis", "RDEC")))</f>
        <v/>
      </c>
      <c r="AE4" s="396" t="str">
        <f aca="false">IF(ISBLANK(Summary!$C$24),"", IF(Summary!$C$24="No", "SME", IF(AND(Summary!$C$24="Yes", Summary!$D$24="Yes"), "De Minimis", "RDEC")))</f>
        <v/>
      </c>
      <c r="AF4" s="396" t="str">
        <f aca="false">IF(ISBLANK(Summary!$C$25),"", IF(Summary!$C$25="No", "SME", IF(AND(Summary!$C$25="Yes", Summary!$D$25="Yes"), "De Minimis", "RDEC")))</f>
        <v/>
      </c>
      <c r="AG4" s="396" t="str">
        <f aca="false">IF(ISBLANK(Summary!$C$26),"", IF(Summary!$C$26="No", "SME", IF(AND(Summary!$C$26="Yes", Summary!$D$26="Yes"), "De Minimis", "RDEC")))</f>
        <v/>
      </c>
      <c r="AH4" s="397"/>
      <c r="AI4" s="397"/>
      <c r="AJ4" s="397"/>
      <c r="AK4" s="252"/>
      <c r="AL4" s="258"/>
    </row>
    <row r="5" customFormat="false" ht="15" hidden="false" customHeight="true" outlineLevel="0" collapsed="false">
      <c r="A5" s="345"/>
      <c r="B5" s="345"/>
      <c r="C5" s="345"/>
      <c r="D5" s="345"/>
      <c r="E5" s="345"/>
      <c r="F5" s="345"/>
      <c r="G5" s="345"/>
      <c r="I5" s="398" t="s">
        <v>229</v>
      </c>
      <c r="J5" s="398" t="s">
        <v>229</v>
      </c>
      <c r="K5" s="398" t="s">
        <v>229</v>
      </c>
      <c r="L5" s="398" t="s">
        <v>229</v>
      </c>
      <c r="M5" s="398" t="s">
        <v>229</v>
      </c>
      <c r="N5" s="398" t="s">
        <v>229</v>
      </c>
      <c r="O5" s="398" t="s">
        <v>229</v>
      </c>
      <c r="P5" s="398" t="s">
        <v>229</v>
      </c>
      <c r="Q5" s="398" t="s">
        <v>229</v>
      </c>
      <c r="R5" s="398" t="s">
        <v>229</v>
      </c>
      <c r="S5" s="398" t="s">
        <v>229</v>
      </c>
      <c r="T5" s="398" t="s">
        <v>229</v>
      </c>
      <c r="U5" s="190"/>
      <c r="V5" s="399" t="s">
        <v>230</v>
      </c>
      <c r="W5" s="399" t="s">
        <v>230</v>
      </c>
      <c r="X5" s="399" t="s">
        <v>230</v>
      </c>
      <c r="Y5" s="399" t="s">
        <v>230</v>
      </c>
      <c r="Z5" s="399" t="s">
        <v>230</v>
      </c>
      <c r="AA5" s="399" t="s">
        <v>230</v>
      </c>
      <c r="AB5" s="399" t="s">
        <v>230</v>
      </c>
      <c r="AC5" s="399" t="s">
        <v>230</v>
      </c>
      <c r="AD5" s="399" t="s">
        <v>230</v>
      </c>
      <c r="AE5" s="399" t="s">
        <v>230</v>
      </c>
      <c r="AF5" s="399" t="s">
        <v>230</v>
      </c>
      <c r="AG5" s="399" t="s">
        <v>230</v>
      </c>
      <c r="AH5" s="400" t="s">
        <v>230</v>
      </c>
      <c r="AI5" s="400" t="s">
        <v>230</v>
      </c>
      <c r="AJ5" s="400" t="s">
        <v>230</v>
      </c>
      <c r="AK5" s="259"/>
      <c r="AL5" s="265" t="s">
        <v>231</v>
      </c>
    </row>
    <row r="6" customFormat="false" ht="15" hidden="false" customHeight="true" outlineLevel="0" collapsed="false"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68"/>
      <c r="AL6" s="268"/>
    </row>
    <row r="7" customFormat="false" ht="7.5" hidden="false" customHeight="true" outlineLevel="0" collapsed="false">
      <c r="A7" s="340"/>
      <c r="H7" s="350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283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3"/>
      <c r="AI7" s="353"/>
      <c r="AJ7" s="353"/>
      <c r="AK7" s="287"/>
      <c r="AL7" s="354"/>
    </row>
    <row r="8" customFormat="false" ht="15" hidden="false" customHeight="true" outlineLevel="0" collapsed="false">
      <c r="A8" s="340" t="n">
        <v>45313</v>
      </c>
      <c r="B8" s="17" t="s">
        <v>338</v>
      </c>
      <c r="C8" s="17" t="s">
        <v>339</v>
      </c>
      <c r="D8" s="341" t="s">
        <v>340</v>
      </c>
      <c r="E8" s="200" t="n">
        <v>145</v>
      </c>
      <c r="F8" s="17" t="n">
        <v>7800</v>
      </c>
      <c r="H8" s="350"/>
      <c r="I8" s="282" t="n">
        <v>0.5</v>
      </c>
      <c r="J8" s="282" t="n">
        <v>0.5</v>
      </c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3"/>
      <c r="V8" s="284" t="n">
        <f aca="false">IFERROR(I8*$E8, "")</f>
        <v>72.5</v>
      </c>
      <c r="W8" s="284" t="n">
        <f aca="false">IFERROR(J8*$E8, "")</f>
        <v>72.5</v>
      </c>
      <c r="X8" s="284" t="n">
        <f aca="false">IFERROR(K8*$E8, "")</f>
        <v>0</v>
      </c>
      <c r="Y8" s="284" t="n">
        <f aca="false">IFERROR(L8*$E8, "")</f>
        <v>0</v>
      </c>
      <c r="Z8" s="284" t="n">
        <f aca="false">IFERROR(M8*$E8, "")</f>
        <v>0</v>
      </c>
      <c r="AA8" s="284" t="n">
        <f aca="false">IFERROR(N8*$E8, "")</f>
        <v>0</v>
      </c>
      <c r="AB8" s="284" t="n">
        <f aca="false">IFERROR(O8*$E8, "")</f>
        <v>0</v>
      </c>
      <c r="AC8" s="284" t="n">
        <f aca="false">IFERROR(P8*$E8, "")</f>
        <v>0</v>
      </c>
      <c r="AD8" s="284" t="n">
        <f aca="false">IFERROR(Q8*$E8, "")</f>
        <v>0</v>
      </c>
      <c r="AE8" s="284" t="n">
        <f aca="false">IFERROR(R8*$E8, "")</f>
        <v>0</v>
      </c>
      <c r="AF8" s="284" t="n">
        <f aca="false">IFERROR(S8*$E8, "")</f>
        <v>0</v>
      </c>
      <c r="AG8" s="284" t="n">
        <f aca="false">IFERROR(T8*$E8, "")</f>
        <v>0</v>
      </c>
      <c r="AH8" s="286" t="n">
        <f aca="false">IFERROR(SUMIF($V$4:$AG$4, "RDEC", V8:AG8), "")</f>
        <v>0</v>
      </c>
      <c r="AI8" s="286" t="n">
        <f aca="false">IFERROR(SUMIF($V$4:$AG$4, "SME", V8:AG8), "")</f>
        <v>145</v>
      </c>
      <c r="AJ8" s="286" t="n">
        <f aca="false">IFERROR(SUMIF($V$4:$AG$4, "De Minimis", V8:AG8), "")</f>
        <v>0</v>
      </c>
      <c r="AK8" s="287"/>
      <c r="AL8" s="288" t="str">
        <f aca="false">IF((SUM(I8:T8)&gt;1),"ERROR","")</f>
        <v/>
      </c>
    </row>
    <row r="9" customFormat="false" ht="15" hidden="false" customHeight="true" outlineLevel="0" collapsed="false">
      <c r="A9" s="340" t="n">
        <v>45336</v>
      </c>
      <c r="B9" s="17" t="s">
        <v>338</v>
      </c>
      <c r="C9" s="17" t="s">
        <v>341</v>
      </c>
      <c r="D9" s="341" t="s">
        <v>342</v>
      </c>
      <c r="E9" s="200" t="n">
        <v>320</v>
      </c>
      <c r="F9" s="17" t="n">
        <v>7801</v>
      </c>
      <c r="H9" s="350"/>
      <c r="I9" s="282" t="n">
        <v>0.4</v>
      </c>
      <c r="J9" s="282" t="n">
        <v>0.6</v>
      </c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3"/>
      <c r="V9" s="284" t="n">
        <f aca="false">IFERROR(I9*$E9, "")</f>
        <v>128</v>
      </c>
      <c r="W9" s="284" t="n">
        <f aca="false">IFERROR(J9*$E9, "")</f>
        <v>192</v>
      </c>
      <c r="X9" s="284" t="n">
        <f aca="false">IFERROR(K9*$E9, "")</f>
        <v>0</v>
      </c>
      <c r="Y9" s="284" t="n">
        <f aca="false">IFERROR(L9*$E9, "")</f>
        <v>0</v>
      </c>
      <c r="Z9" s="284" t="n">
        <f aca="false">IFERROR(M9*$E9, "")</f>
        <v>0</v>
      </c>
      <c r="AA9" s="284" t="n">
        <f aca="false">IFERROR(N9*$E9, "")</f>
        <v>0</v>
      </c>
      <c r="AB9" s="284" t="n">
        <f aca="false">IFERROR(O9*$E9, "")</f>
        <v>0</v>
      </c>
      <c r="AC9" s="284" t="n">
        <f aca="false">IFERROR(P9*$E9, "")</f>
        <v>0</v>
      </c>
      <c r="AD9" s="284" t="n">
        <f aca="false">IFERROR(Q9*$E9, "")</f>
        <v>0</v>
      </c>
      <c r="AE9" s="284" t="n">
        <f aca="false">IFERROR(R9*$E9, "")</f>
        <v>0</v>
      </c>
      <c r="AF9" s="284" t="n">
        <f aca="false">IFERROR(S9*$E9, "")</f>
        <v>0</v>
      </c>
      <c r="AG9" s="284" t="n">
        <f aca="false">IFERROR(T9*$E9, "")</f>
        <v>0</v>
      </c>
      <c r="AH9" s="286" t="n">
        <f aca="false">IFERROR(SUMIF($V$4:$AG$4, "RDEC", V9:AG9), "")</f>
        <v>0</v>
      </c>
      <c r="AI9" s="286" t="n">
        <f aca="false">IFERROR(SUMIF($V$4:$AG$4, "SME", V9:AG9), "")</f>
        <v>320</v>
      </c>
      <c r="AJ9" s="286" t="n">
        <f aca="false">IFERROR(SUMIF($V$4:$AG$4, "De Minimis", V9:AG9), "")</f>
        <v>0</v>
      </c>
      <c r="AK9" s="287"/>
      <c r="AL9" s="288" t="str">
        <f aca="false">IF((SUM(I9:T9)&gt;1),"ERROR","")</f>
        <v/>
      </c>
    </row>
    <row r="10" customFormat="false" ht="15" hidden="false" customHeight="true" outlineLevel="0" collapsed="false">
      <c r="A10" s="340" t="n">
        <v>45356</v>
      </c>
      <c r="B10" s="17" t="s">
        <v>338</v>
      </c>
      <c r="C10" s="17" t="s">
        <v>343</v>
      </c>
      <c r="D10" s="341" t="s">
        <v>344</v>
      </c>
      <c r="E10" s="200" t="n">
        <v>185</v>
      </c>
      <c r="F10" s="17" t="n">
        <v>7802</v>
      </c>
      <c r="H10" s="350"/>
      <c r="I10" s="282"/>
      <c r="J10" s="282"/>
      <c r="K10" s="282"/>
      <c r="L10" s="282"/>
      <c r="M10" s="282" t="n">
        <v>1</v>
      </c>
      <c r="N10" s="282"/>
      <c r="O10" s="282"/>
      <c r="P10" s="282"/>
      <c r="Q10" s="282"/>
      <c r="R10" s="282"/>
      <c r="S10" s="282"/>
      <c r="T10" s="282"/>
      <c r="U10" s="283"/>
      <c r="V10" s="284" t="n">
        <f aca="false">IFERROR(I10*$E10, "")</f>
        <v>0</v>
      </c>
      <c r="W10" s="284" t="n">
        <f aca="false">IFERROR(J10*$E10, "")</f>
        <v>0</v>
      </c>
      <c r="X10" s="284" t="n">
        <f aca="false">IFERROR(K10*$E10, "")</f>
        <v>0</v>
      </c>
      <c r="Y10" s="284" t="n">
        <f aca="false">IFERROR(L10*$E10, "")</f>
        <v>0</v>
      </c>
      <c r="Z10" s="284" t="n">
        <f aca="false">IFERROR(M10*$E10, "")</f>
        <v>185</v>
      </c>
      <c r="AA10" s="284" t="n">
        <f aca="false">IFERROR(N10*$E10, "")</f>
        <v>0</v>
      </c>
      <c r="AB10" s="284" t="n">
        <f aca="false">IFERROR(O10*$E10, "")</f>
        <v>0</v>
      </c>
      <c r="AC10" s="284" t="n">
        <f aca="false">IFERROR(P10*$E10, "")</f>
        <v>0</v>
      </c>
      <c r="AD10" s="284" t="n">
        <f aca="false">IFERROR(Q10*$E10, "")</f>
        <v>0</v>
      </c>
      <c r="AE10" s="284" t="n">
        <f aca="false">IFERROR(R10*$E10, "")</f>
        <v>0</v>
      </c>
      <c r="AF10" s="284" t="n">
        <f aca="false">IFERROR(S10*$E10, "")</f>
        <v>0</v>
      </c>
      <c r="AG10" s="284" t="n">
        <f aca="false">IFERROR(T10*$E10, "")</f>
        <v>0</v>
      </c>
      <c r="AH10" s="286" t="n">
        <f aca="false">IFERROR(SUMIF($V$4:$AG$4, "RDEC", V10:AG10), "")</f>
        <v>0</v>
      </c>
      <c r="AI10" s="286" t="n">
        <f aca="false">IFERROR(SUMIF($V$4:$AG$4, "SME", V10:AG10), "")</f>
        <v>185</v>
      </c>
      <c r="AJ10" s="286" t="n">
        <f aca="false">IFERROR(SUMIF($V$4:$AG$4, "De Minimis", V10:AG10), "")</f>
        <v>0</v>
      </c>
      <c r="AK10" s="287"/>
      <c r="AL10" s="288" t="str">
        <f aca="false">IF((SUM(I10:T10)&gt;1),"ERROR","")</f>
        <v/>
      </c>
    </row>
    <row r="11" customFormat="false" ht="15" hidden="false" customHeight="true" outlineLevel="0" collapsed="false">
      <c r="A11" s="340" t="n">
        <v>45357</v>
      </c>
      <c r="B11" s="17" t="s">
        <v>338</v>
      </c>
      <c r="C11" s="17" t="s">
        <v>345</v>
      </c>
      <c r="D11" s="341" t="s">
        <v>346</v>
      </c>
      <c r="E11" s="200" t="n">
        <v>145</v>
      </c>
      <c r="F11" s="17" t="n">
        <v>7801</v>
      </c>
      <c r="H11" s="350"/>
      <c r="I11" s="282"/>
      <c r="J11" s="282"/>
      <c r="K11" s="282"/>
      <c r="L11" s="282"/>
      <c r="M11" s="282" t="n">
        <v>1</v>
      </c>
      <c r="N11" s="282"/>
      <c r="O11" s="282"/>
      <c r="P11" s="282"/>
      <c r="Q11" s="282"/>
      <c r="R11" s="282"/>
      <c r="S11" s="282"/>
      <c r="T11" s="282"/>
      <c r="U11" s="283"/>
      <c r="V11" s="284" t="n">
        <f aca="false">IFERROR(I11*$E11, "")</f>
        <v>0</v>
      </c>
      <c r="W11" s="284" t="n">
        <f aca="false">IFERROR(J11*$E11, "")</f>
        <v>0</v>
      </c>
      <c r="X11" s="284" t="n">
        <f aca="false">IFERROR(K11*$E11, "")</f>
        <v>0</v>
      </c>
      <c r="Y11" s="284" t="n">
        <f aca="false">IFERROR(L11*$E11, "")</f>
        <v>0</v>
      </c>
      <c r="Z11" s="284" t="n">
        <f aca="false">IFERROR(M11*$E11, "")</f>
        <v>145</v>
      </c>
      <c r="AA11" s="284" t="n">
        <f aca="false">IFERROR(N11*$E11, "")</f>
        <v>0</v>
      </c>
      <c r="AB11" s="284" t="n">
        <f aca="false">IFERROR(O11*$E11, "")</f>
        <v>0</v>
      </c>
      <c r="AC11" s="284" t="n">
        <f aca="false">IFERROR(P11*$E11, "")</f>
        <v>0</v>
      </c>
      <c r="AD11" s="284" t="n">
        <f aca="false">IFERROR(Q11*$E11, "")</f>
        <v>0</v>
      </c>
      <c r="AE11" s="284" t="n">
        <f aca="false">IFERROR(R11*$E11, "")</f>
        <v>0</v>
      </c>
      <c r="AF11" s="284" t="n">
        <f aca="false">IFERROR(S11*$E11, "")</f>
        <v>0</v>
      </c>
      <c r="AG11" s="284" t="n">
        <f aca="false">IFERROR(T11*$E11, "")</f>
        <v>0</v>
      </c>
      <c r="AH11" s="286" t="n">
        <f aca="false">IFERROR(SUMIF($V$4:$AG$4, "RDEC", V11:AG11), "")</f>
        <v>0</v>
      </c>
      <c r="AI11" s="286" t="n">
        <f aca="false">IFERROR(SUMIF($V$4:$AG$4, "SME", V11:AG11), "")</f>
        <v>145</v>
      </c>
      <c r="AJ11" s="286" t="n">
        <f aca="false">IFERROR(SUMIF($V$4:$AG$4, "De Minimis", V11:AG11), "")</f>
        <v>0</v>
      </c>
      <c r="AK11" s="287"/>
      <c r="AL11" s="288" t="str">
        <f aca="false">IF((SUM(I11:T11)&gt;1),"ERROR","")</f>
        <v/>
      </c>
    </row>
    <row r="12" customFormat="false" ht="15" hidden="false" customHeight="true" outlineLevel="0" collapsed="false">
      <c r="A12" s="340" t="n">
        <v>45400</v>
      </c>
      <c r="B12" s="17" t="s">
        <v>338</v>
      </c>
      <c r="C12" s="17" t="s">
        <v>347</v>
      </c>
      <c r="D12" s="341" t="s">
        <v>348</v>
      </c>
      <c r="E12" s="200" t="n">
        <v>68</v>
      </c>
      <c r="F12" s="17" t="n">
        <v>7800</v>
      </c>
      <c r="H12" s="350"/>
      <c r="I12" s="282"/>
      <c r="J12" s="282"/>
      <c r="K12" s="282"/>
      <c r="L12" s="282" t="n">
        <v>1</v>
      </c>
      <c r="M12" s="282"/>
      <c r="N12" s="282"/>
      <c r="O12" s="282"/>
      <c r="P12" s="282"/>
      <c r="Q12" s="282"/>
      <c r="R12" s="282"/>
      <c r="S12" s="282"/>
      <c r="T12" s="282"/>
      <c r="U12" s="283"/>
      <c r="V12" s="284" t="n">
        <f aca="false">IFERROR(I12*$E12, "")</f>
        <v>0</v>
      </c>
      <c r="W12" s="284" t="n">
        <f aca="false">IFERROR(J12*$E12, "")</f>
        <v>0</v>
      </c>
      <c r="X12" s="284" t="n">
        <f aca="false">IFERROR(K12*$E12, "")</f>
        <v>0</v>
      </c>
      <c r="Y12" s="284" t="n">
        <f aca="false">IFERROR(L12*$E12, "")</f>
        <v>68</v>
      </c>
      <c r="Z12" s="284" t="n">
        <f aca="false">IFERROR(M12*$E12, "")</f>
        <v>0</v>
      </c>
      <c r="AA12" s="284" t="n">
        <f aca="false">IFERROR(N12*$E12, "")</f>
        <v>0</v>
      </c>
      <c r="AB12" s="284" t="n">
        <f aca="false">IFERROR(O12*$E12, "")</f>
        <v>0</v>
      </c>
      <c r="AC12" s="284" t="n">
        <f aca="false">IFERROR(P12*$E12, "")</f>
        <v>0</v>
      </c>
      <c r="AD12" s="284" t="n">
        <f aca="false">IFERROR(Q12*$E12, "")</f>
        <v>0</v>
      </c>
      <c r="AE12" s="284" t="n">
        <f aca="false">IFERROR(R12*$E12, "")</f>
        <v>0</v>
      </c>
      <c r="AF12" s="284" t="n">
        <f aca="false">IFERROR(S12*$E12, "")</f>
        <v>0</v>
      </c>
      <c r="AG12" s="284" t="n">
        <f aca="false">IFERROR(T12*$E12, "")</f>
        <v>0</v>
      </c>
      <c r="AH12" s="286" t="n">
        <f aca="false">IFERROR(SUMIF($V$4:$AG$4, "RDEC", V12:AG12), "")</f>
        <v>68</v>
      </c>
      <c r="AI12" s="286" t="n">
        <f aca="false">IFERROR(SUMIF($V$4:$AG$4, "SME", V12:AG12), "")</f>
        <v>0</v>
      </c>
      <c r="AJ12" s="286" t="n">
        <f aca="false">IFERROR(SUMIF($V$4:$AG$4, "De Minimis", V12:AG12), "")</f>
        <v>0</v>
      </c>
      <c r="AK12" s="287"/>
      <c r="AL12" s="288" t="str">
        <f aca="false">IF((SUM(I12:T12)&gt;1),"ERROR","")</f>
        <v/>
      </c>
    </row>
    <row r="13" customFormat="false" ht="15" hidden="false" customHeight="true" outlineLevel="0" collapsed="false">
      <c r="A13" s="340" t="n">
        <v>45422</v>
      </c>
      <c r="B13" s="17" t="s">
        <v>338</v>
      </c>
      <c r="C13" s="17" t="s">
        <v>349</v>
      </c>
      <c r="D13" s="341" t="s">
        <v>350</v>
      </c>
      <c r="E13" s="200" t="n">
        <v>210</v>
      </c>
      <c r="F13" s="17" t="n">
        <v>7803</v>
      </c>
      <c r="H13" s="350"/>
      <c r="I13" s="282"/>
      <c r="J13" s="282" t="n">
        <v>0.3</v>
      </c>
      <c r="K13" s="282"/>
      <c r="L13" s="282" t="n">
        <v>0.7</v>
      </c>
      <c r="M13" s="282"/>
      <c r="N13" s="282"/>
      <c r="O13" s="282"/>
      <c r="P13" s="282"/>
      <c r="Q13" s="282"/>
      <c r="R13" s="282"/>
      <c r="S13" s="282"/>
      <c r="T13" s="282"/>
      <c r="U13" s="283"/>
      <c r="V13" s="284" t="n">
        <f aca="false">IFERROR(I13*$E13, "")</f>
        <v>0</v>
      </c>
      <c r="W13" s="284" t="n">
        <f aca="false">IFERROR(J13*$E13, "")</f>
        <v>63</v>
      </c>
      <c r="X13" s="284" t="n">
        <f aca="false">IFERROR(K13*$E13, "")</f>
        <v>0</v>
      </c>
      <c r="Y13" s="284" t="n">
        <f aca="false">IFERROR(L13*$E13, "")</f>
        <v>147</v>
      </c>
      <c r="Z13" s="284" t="n">
        <f aca="false">IFERROR(M13*$E13, "")</f>
        <v>0</v>
      </c>
      <c r="AA13" s="284" t="n">
        <f aca="false">IFERROR(N13*$E13, "")</f>
        <v>0</v>
      </c>
      <c r="AB13" s="284" t="n">
        <f aca="false">IFERROR(O13*$E13, "")</f>
        <v>0</v>
      </c>
      <c r="AC13" s="284" t="n">
        <f aca="false">IFERROR(P13*$E13, "")</f>
        <v>0</v>
      </c>
      <c r="AD13" s="284" t="n">
        <f aca="false">IFERROR(Q13*$E13, "")</f>
        <v>0</v>
      </c>
      <c r="AE13" s="284" t="n">
        <f aca="false">IFERROR(R13*$E13, "")</f>
        <v>0</v>
      </c>
      <c r="AF13" s="284" t="n">
        <f aca="false">IFERROR(S13*$E13, "")</f>
        <v>0</v>
      </c>
      <c r="AG13" s="284" t="n">
        <f aca="false">IFERROR(T13*$E13, "")</f>
        <v>0</v>
      </c>
      <c r="AH13" s="286" t="n">
        <f aca="false">IFERROR(SUMIF($V$4:$AG$4, "RDEC", V13:AG13), "")</f>
        <v>147</v>
      </c>
      <c r="AI13" s="286" t="n">
        <f aca="false">IFERROR(SUMIF($V$4:$AG$4, "SME", V13:AG13), "")</f>
        <v>63</v>
      </c>
      <c r="AJ13" s="286" t="n">
        <f aca="false">IFERROR(SUMIF($V$4:$AG$4, "De Minimis", V13:AG13), "")</f>
        <v>0</v>
      </c>
      <c r="AK13" s="287"/>
      <c r="AL13" s="288" t="str">
        <f aca="false">IF((SUM(I13:T13)&gt;1),"ERROR","")</f>
        <v/>
      </c>
    </row>
    <row r="14" customFormat="false" ht="15" hidden="false" customHeight="true" outlineLevel="0" collapsed="false">
      <c r="A14" s="340" t="n">
        <v>45468</v>
      </c>
      <c r="B14" s="17" t="s">
        <v>338</v>
      </c>
      <c r="C14" s="17" t="s">
        <v>351</v>
      </c>
      <c r="D14" s="341" t="s">
        <v>352</v>
      </c>
      <c r="E14" s="200" t="n">
        <v>450</v>
      </c>
      <c r="F14" s="17" t="n">
        <v>7804</v>
      </c>
      <c r="H14" s="350"/>
      <c r="I14" s="282" t="n">
        <v>0.3</v>
      </c>
      <c r="J14" s="282" t="n">
        <v>0.3</v>
      </c>
      <c r="K14" s="282" t="n">
        <v>0.2</v>
      </c>
      <c r="L14" s="282"/>
      <c r="M14" s="282" t="n">
        <v>0.2</v>
      </c>
      <c r="N14" s="282"/>
      <c r="O14" s="282"/>
      <c r="P14" s="282"/>
      <c r="Q14" s="282"/>
      <c r="R14" s="282"/>
      <c r="S14" s="282"/>
      <c r="T14" s="282"/>
      <c r="U14" s="283"/>
      <c r="V14" s="284" t="n">
        <f aca="false">IFERROR(I14*$E14, "")</f>
        <v>135</v>
      </c>
      <c r="W14" s="284" t="n">
        <f aca="false">IFERROR(J14*$E14, "")</f>
        <v>135</v>
      </c>
      <c r="X14" s="284" t="n">
        <f aca="false">IFERROR(K14*$E14, "")</f>
        <v>90</v>
      </c>
      <c r="Y14" s="284" t="n">
        <f aca="false">IFERROR(L14*$E14, "")</f>
        <v>0</v>
      </c>
      <c r="Z14" s="284" t="n">
        <f aca="false">IFERROR(M14*$E14, "")</f>
        <v>90</v>
      </c>
      <c r="AA14" s="284" t="n">
        <f aca="false">IFERROR(N14*$E14, "")</f>
        <v>0</v>
      </c>
      <c r="AB14" s="284" t="n">
        <f aca="false">IFERROR(O14*$E14, "")</f>
        <v>0</v>
      </c>
      <c r="AC14" s="284" t="n">
        <f aca="false">IFERROR(P14*$E14, "")</f>
        <v>0</v>
      </c>
      <c r="AD14" s="284" t="n">
        <f aca="false">IFERROR(Q14*$E14, "")</f>
        <v>0</v>
      </c>
      <c r="AE14" s="284" t="n">
        <f aca="false">IFERROR(R14*$E14, "")</f>
        <v>0</v>
      </c>
      <c r="AF14" s="284" t="n">
        <f aca="false">IFERROR(S14*$E14, "")</f>
        <v>0</v>
      </c>
      <c r="AG14" s="284" t="n">
        <f aca="false">IFERROR(T14*$E14, "")</f>
        <v>0</v>
      </c>
      <c r="AH14" s="286" t="n">
        <f aca="false">IFERROR(SUMIF($V$4:$AG$4, "RDEC", V14:AG14), "")</f>
        <v>0</v>
      </c>
      <c r="AI14" s="286" t="n">
        <f aca="false">IFERROR(SUMIF($V$4:$AG$4, "SME", V14:AG14), "")</f>
        <v>450</v>
      </c>
      <c r="AJ14" s="286" t="n">
        <f aca="false">IFERROR(SUMIF($V$4:$AG$4, "De Minimis", V14:AG14), "")</f>
        <v>0</v>
      </c>
      <c r="AK14" s="287"/>
      <c r="AL14" s="288" t="str">
        <f aca="false">IF((SUM(I14:T14)&gt;1),"ERROR","")</f>
        <v/>
      </c>
    </row>
    <row r="15" customFormat="false" ht="15" hidden="false" customHeight="true" outlineLevel="0" collapsed="false">
      <c r="A15" s="340" t="n">
        <v>45488</v>
      </c>
      <c r="B15" s="17" t="s">
        <v>338</v>
      </c>
      <c r="C15" s="17" t="s">
        <v>353</v>
      </c>
      <c r="D15" s="341" t="s">
        <v>354</v>
      </c>
      <c r="E15" s="200" t="n">
        <v>145</v>
      </c>
      <c r="F15" s="17" t="n">
        <v>7800</v>
      </c>
      <c r="H15" s="350"/>
      <c r="I15" s="282" t="n">
        <v>0.5</v>
      </c>
      <c r="J15" s="282"/>
      <c r="K15" s="282"/>
      <c r="L15" s="282"/>
      <c r="M15" s="282" t="n">
        <v>0.5</v>
      </c>
      <c r="N15" s="282"/>
      <c r="O15" s="282"/>
      <c r="P15" s="282"/>
      <c r="Q15" s="282"/>
      <c r="R15" s="282"/>
      <c r="S15" s="282"/>
      <c r="T15" s="282"/>
      <c r="U15" s="283"/>
      <c r="V15" s="284" t="n">
        <f aca="false">IFERROR(I15*$E15, "")</f>
        <v>72.5</v>
      </c>
      <c r="W15" s="284" t="n">
        <f aca="false">IFERROR(J15*$E15, "")</f>
        <v>0</v>
      </c>
      <c r="X15" s="284" t="n">
        <f aca="false">IFERROR(K15*$E15, "")</f>
        <v>0</v>
      </c>
      <c r="Y15" s="284" t="n">
        <f aca="false">IFERROR(L15*$E15, "")</f>
        <v>0</v>
      </c>
      <c r="Z15" s="284" t="n">
        <f aca="false">IFERROR(M15*$E15, "")</f>
        <v>72.5</v>
      </c>
      <c r="AA15" s="284" t="n">
        <f aca="false">IFERROR(N15*$E15, "")</f>
        <v>0</v>
      </c>
      <c r="AB15" s="284" t="n">
        <f aca="false">IFERROR(O15*$E15, "")</f>
        <v>0</v>
      </c>
      <c r="AC15" s="284" t="n">
        <f aca="false">IFERROR(P15*$E15, "")</f>
        <v>0</v>
      </c>
      <c r="AD15" s="284" t="n">
        <f aca="false">IFERROR(Q15*$E15, "")</f>
        <v>0</v>
      </c>
      <c r="AE15" s="284" t="n">
        <f aca="false">IFERROR(R15*$E15, "")</f>
        <v>0</v>
      </c>
      <c r="AF15" s="284" t="n">
        <f aca="false">IFERROR(S15*$E15, "")</f>
        <v>0</v>
      </c>
      <c r="AG15" s="284" t="n">
        <f aca="false">IFERROR(T15*$E15, "")</f>
        <v>0</v>
      </c>
      <c r="AH15" s="286" t="n">
        <f aca="false">IFERROR(SUMIF($V$4:$AG$4, "RDEC", V15:AG15), "")</f>
        <v>0</v>
      </c>
      <c r="AI15" s="286" t="n">
        <f aca="false">IFERROR(SUMIF($V$4:$AG$4, "SME", V15:AG15), "")</f>
        <v>145</v>
      </c>
      <c r="AJ15" s="286" t="n">
        <f aca="false">IFERROR(SUMIF($V$4:$AG$4, "De Minimis", V15:AG15), "")</f>
        <v>0</v>
      </c>
      <c r="AK15" s="287"/>
      <c r="AL15" s="288" t="str">
        <f aca="false">IF((SUM(I15:T15)&gt;1),"ERROR","")</f>
        <v/>
      </c>
    </row>
    <row r="16" customFormat="false" ht="15" hidden="false" customHeight="true" outlineLevel="0" collapsed="false">
      <c r="A16" s="340" t="n">
        <v>45526</v>
      </c>
      <c r="B16" s="17" t="s">
        <v>338</v>
      </c>
      <c r="C16" s="17" t="s">
        <v>355</v>
      </c>
      <c r="D16" s="341" t="s">
        <v>356</v>
      </c>
      <c r="E16" s="200" t="n">
        <v>180</v>
      </c>
      <c r="F16" s="17" t="n">
        <v>7803</v>
      </c>
      <c r="H16" s="350"/>
      <c r="I16" s="282" t="n">
        <v>0.4</v>
      </c>
      <c r="J16" s="282"/>
      <c r="K16" s="282" t="n">
        <v>0.3</v>
      </c>
      <c r="L16" s="282" t="n">
        <v>0.3</v>
      </c>
      <c r="M16" s="282"/>
      <c r="N16" s="282"/>
      <c r="O16" s="282"/>
      <c r="P16" s="282"/>
      <c r="Q16" s="282"/>
      <c r="R16" s="282"/>
      <c r="S16" s="282"/>
      <c r="T16" s="282"/>
      <c r="U16" s="283"/>
      <c r="V16" s="284" t="n">
        <f aca="false">IFERROR(I16*$E16, "")</f>
        <v>72</v>
      </c>
      <c r="W16" s="284" t="n">
        <f aca="false">IFERROR(J16*$E16, "")</f>
        <v>0</v>
      </c>
      <c r="X16" s="284" t="n">
        <f aca="false">IFERROR(K16*$E16, "")</f>
        <v>54</v>
      </c>
      <c r="Y16" s="284" t="n">
        <f aca="false">IFERROR(L16*$E16, "")</f>
        <v>54</v>
      </c>
      <c r="Z16" s="284" t="n">
        <f aca="false">IFERROR(M16*$E16, "")</f>
        <v>0</v>
      </c>
      <c r="AA16" s="284" t="n">
        <f aca="false">IFERROR(N16*$E16, "")</f>
        <v>0</v>
      </c>
      <c r="AB16" s="284" t="n">
        <f aca="false">IFERROR(O16*$E16, "")</f>
        <v>0</v>
      </c>
      <c r="AC16" s="284" t="n">
        <f aca="false">IFERROR(P16*$E16, "")</f>
        <v>0</v>
      </c>
      <c r="AD16" s="284" t="n">
        <f aca="false">IFERROR(Q16*$E16, "")</f>
        <v>0</v>
      </c>
      <c r="AE16" s="284" t="n">
        <f aca="false">IFERROR(R16*$E16, "")</f>
        <v>0</v>
      </c>
      <c r="AF16" s="284" t="n">
        <f aca="false">IFERROR(S16*$E16, "")</f>
        <v>0</v>
      </c>
      <c r="AG16" s="284" t="n">
        <f aca="false">IFERROR(T16*$E16, "")</f>
        <v>0</v>
      </c>
      <c r="AH16" s="286" t="n">
        <f aca="false">IFERROR(SUMIF($V$4:$AG$4, "RDEC", V16:AG16), "")</f>
        <v>54</v>
      </c>
      <c r="AI16" s="286" t="n">
        <f aca="false">IFERROR(SUMIF($V$4:$AG$4, "SME", V16:AG16), "")</f>
        <v>126</v>
      </c>
      <c r="AJ16" s="286" t="n">
        <f aca="false">IFERROR(SUMIF($V$4:$AG$4, "De Minimis", V16:AG16), "")</f>
        <v>0</v>
      </c>
      <c r="AK16" s="287"/>
      <c r="AL16" s="288" t="str">
        <f aca="false">IF((SUM(I16:T16)&gt;1),"ERROR","")</f>
        <v/>
      </c>
    </row>
    <row r="17" customFormat="false" ht="15" hidden="false" customHeight="true" outlineLevel="0" collapsed="false">
      <c r="A17" s="340" t="n">
        <v>45547</v>
      </c>
      <c r="B17" s="17" t="s">
        <v>338</v>
      </c>
      <c r="C17" s="17" t="s">
        <v>357</v>
      </c>
      <c r="D17" s="341" t="s">
        <v>358</v>
      </c>
      <c r="E17" s="200" t="n">
        <v>275</v>
      </c>
      <c r="F17" s="17" t="n">
        <v>7802</v>
      </c>
      <c r="H17" s="350"/>
      <c r="I17" s="282" t="n">
        <v>0.3</v>
      </c>
      <c r="J17" s="282"/>
      <c r="K17" s="282" t="n">
        <v>0.7</v>
      </c>
      <c r="L17" s="282"/>
      <c r="M17" s="282"/>
      <c r="N17" s="282"/>
      <c r="O17" s="282"/>
      <c r="P17" s="282"/>
      <c r="Q17" s="282"/>
      <c r="R17" s="282"/>
      <c r="S17" s="282"/>
      <c r="T17" s="282"/>
      <c r="U17" s="283"/>
      <c r="V17" s="284" t="n">
        <f aca="false">IFERROR(I17*$E17, "")</f>
        <v>82.5</v>
      </c>
      <c r="W17" s="284" t="n">
        <f aca="false">IFERROR(J17*$E17, "")</f>
        <v>0</v>
      </c>
      <c r="X17" s="284" t="n">
        <f aca="false">IFERROR(K17*$E17, "")</f>
        <v>192.5</v>
      </c>
      <c r="Y17" s="284" t="n">
        <f aca="false">IFERROR(L17*$E17, "")</f>
        <v>0</v>
      </c>
      <c r="Z17" s="284" t="n">
        <f aca="false">IFERROR(M17*$E17, "")</f>
        <v>0</v>
      </c>
      <c r="AA17" s="284" t="n">
        <f aca="false">IFERROR(N17*$E17, "")</f>
        <v>0</v>
      </c>
      <c r="AB17" s="284" t="n">
        <f aca="false">IFERROR(O17*$E17, "")</f>
        <v>0</v>
      </c>
      <c r="AC17" s="284" t="n">
        <f aca="false">IFERROR(P17*$E17, "")</f>
        <v>0</v>
      </c>
      <c r="AD17" s="284" t="n">
        <f aca="false">IFERROR(Q17*$E17, "")</f>
        <v>0</v>
      </c>
      <c r="AE17" s="284" t="n">
        <f aca="false">IFERROR(R17*$E17, "")</f>
        <v>0</v>
      </c>
      <c r="AF17" s="284" t="n">
        <f aca="false">IFERROR(S17*$E17, "")</f>
        <v>0</v>
      </c>
      <c r="AG17" s="284" t="n">
        <f aca="false">IFERROR(T17*$E17, "")</f>
        <v>0</v>
      </c>
      <c r="AH17" s="286" t="n">
        <f aca="false">IFERROR(SUMIF($V$4:$AG$4, "RDEC", V17:AG17), "")</f>
        <v>0</v>
      </c>
      <c r="AI17" s="286" t="n">
        <f aca="false">IFERROR(SUMIF($V$4:$AG$4, "SME", V17:AG17), "")</f>
        <v>275</v>
      </c>
      <c r="AJ17" s="286" t="n">
        <f aca="false">IFERROR(SUMIF($V$4:$AG$4, "De Minimis", V17:AG17), "")</f>
        <v>0</v>
      </c>
      <c r="AK17" s="287"/>
      <c r="AL17" s="288" t="str">
        <f aca="false">IF((SUM(I17:T17)&gt;1),"ERROR","")</f>
        <v/>
      </c>
    </row>
    <row r="18" customFormat="false" ht="15" hidden="false" customHeight="true" outlineLevel="0" collapsed="false">
      <c r="A18" s="340" t="n">
        <v>45573</v>
      </c>
      <c r="B18" s="17" t="s">
        <v>338</v>
      </c>
      <c r="C18" s="17" t="s">
        <v>359</v>
      </c>
      <c r="D18" s="341" t="s">
        <v>360</v>
      </c>
      <c r="E18" s="200" t="n">
        <v>380</v>
      </c>
      <c r="F18" s="17" t="n">
        <v>7801</v>
      </c>
      <c r="H18" s="350"/>
      <c r="I18" s="282" t="n">
        <v>0.3</v>
      </c>
      <c r="J18" s="282"/>
      <c r="K18" s="282" t="n">
        <v>0.7</v>
      </c>
      <c r="L18" s="282"/>
      <c r="M18" s="282"/>
      <c r="N18" s="282"/>
      <c r="O18" s="282"/>
      <c r="P18" s="282"/>
      <c r="Q18" s="282"/>
      <c r="R18" s="282"/>
      <c r="S18" s="282"/>
      <c r="T18" s="282"/>
      <c r="U18" s="283"/>
      <c r="V18" s="284" t="n">
        <f aca="false">IFERROR(I18*$E18, "")</f>
        <v>114</v>
      </c>
      <c r="W18" s="284" t="n">
        <f aca="false">IFERROR(J18*$E18, "")</f>
        <v>0</v>
      </c>
      <c r="X18" s="284" t="n">
        <f aca="false">IFERROR(K18*$E18, "")</f>
        <v>266</v>
      </c>
      <c r="Y18" s="284" t="n">
        <f aca="false">IFERROR(L18*$E18, "")</f>
        <v>0</v>
      </c>
      <c r="Z18" s="284" t="n">
        <f aca="false">IFERROR(M18*$E18, "")</f>
        <v>0</v>
      </c>
      <c r="AA18" s="284" t="n">
        <f aca="false">IFERROR(N18*$E18, "")</f>
        <v>0</v>
      </c>
      <c r="AB18" s="284" t="n">
        <f aca="false">IFERROR(O18*$E18, "")</f>
        <v>0</v>
      </c>
      <c r="AC18" s="284" t="n">
        <f aca="false">IFERROR(P18*$E18, "")</f>
        <v>0</v>
      </c>
      <c r="AD18" s="284" t="n">
        <f aca="false">IFERROR(Q18*$E18, "")</f>
        <v>0</v>
      </c>
      <c r="AE18" s="284" t="n">
        <f aca="false">IFERROR(R18*$E18, "")</f>
        <v>0</v>
      </c>
      <c r="AF18" s="284" t="n">
        <f aca="false">IFERROR(S18*$E18, "")</f>
        <v>0</v>
      </c>
      <c r="AG18" s="284" t="n">
        <f aca="false">IFERROR(T18*$E18, "")</f>
        <v>0</v>
      </c>
      <c r="AH18" s="286" t="n">
        <f aca="false">IFERROR(SUMIF($V$4:$AG$4, "RDEC", V18:AG18), "")</f>
        <v>0</v>
      </c>
      <c r="AI18" s="286" t="n">
        <f aca="false">IFERROR(SUMIF($V$4:$AG$4, "SME", V18:AG18), "")</f>
        <v>380</v>
      </c>
      <c r="AJ18" s="286" t="n">
        <f aca="false">IFERROR(SUMIF($V$4:$AG$4, "De Minimis", V18:AG18), "")</f>
        <v>0</v>
      </c>
      <c r="AK18" s="287"/>
      <c r="AL18" s="288" t="str">
        <f aca="false">IF((SUM(I18:T18)&gt;1),"ERROR","")</f>
        <v/>
      </c>
    </row>
    <row r="19" customFormat="false" ht="15" hidden="false" customHeight="true" outlineLevel="0" collapsed="false">
      <c r="A19" s="340" t="n">
        <v>45615</v>
      </c>
      <c r="B19" s="17" t="s">
        <v>338</v>
      </c>
      <c r="C19" s="17" t="s">
        <v>361</v>
      </c>
      <c r="D19" s="341" t="s">
        <v>362</v>
      </c>
      <c r="E19" s="200" t="n">
        <v>52</v>
      </c>
      <c r="F19" s="17" t="n">
        <v>7800</v>
      </c>
      <c r="H19" s="350"/>
      <c r="I19" s="282"/>
      <c r="J19" s="282"/>
      <c r="K19" s="282"/>
      <c r="L19" s="282"/>
      <c r="M19" s="282" t="n">
        <v>1</v>
      </c>
      <c r="N19" s="282"/>
      <c r="O19" s="282"/>
      <c r="P19" s="282"/>
      <c r="Q19" s="282"/>
      <c r="R19" s="282"/>
      <c r="S19" s="282"/>
      <c r="T19" s="282"/>
      <c r="U19" s="283"/>
      <c r="V19" s="284" t="n">
        <f aca="false">IFERROR(I19*$E19, "")</f>
        <v>0</v>
      </c>
      <c r="W19" s="284" t="n">
        <f aca="false">IFERROR(J19*$E19, "")</f>
        <v>0</v>
      </c>
      <c r="X19" s="284" t="n">
        <f aca="false">IFERROR(K19*$E19, "")</f>
        <v>0</v>
      </c>
      <c r="Y19" s="284" t="n">
        <f aca="false">IFERROR(L19*$E19, "")</f>
        <v>0</v>
      </c>
      <c r="Z19" s="284" t="n">
        <f aca="false">IFERROR(M19*$E19, "")</f>
        <v>52</v>
      </c>
      <c r="AA19" s="284" t="n">
        <f aca="false">IFERROR(N19*$E19, "")</f>
        <v>0</v>
      </c>
      <c r="AB19" s="284" t="n">
        <f aca="false">IFERROR(O19*$E19, "")</f>
        <v>0</v>
      </c>
      <c r="AC19" s="284" t="n">
        <f aca="false">IFERROR(P19*$E19, "")</f>
        <v>0</v>
      </c>
      <c r="AD19" s="284" t="n">
        <f aca="false">IFERROR(Q19*$E19, "")</f>
        <v>0</v>
      </c>
      <c r="AE19" s="284" t="n">
        <f aca="false">IFERROR(R19*$E19, "")</f>
        <v>0</v>
      </c>
      <c r="AF19" s="284" t="n">
        <f aca="false">IFERROR(S19*$E19, "")</f>
        <v>0</v>
      </c>
      <c r="AG19" s="284" t="n">
        <f aca="false">IFERROR(T19*$E19, "")</f>
        <v>0</v>
      </c>
      <c r="AH19" s="286" t="n">
        <f aca="false">IFERROR(SUMIF($V$4:$AG$4, "RDEC", V19:AG19), "")</f>
        <v>0</v>
      </c>
      <c r="AI19" s="286" t="n">
        <f aca="false">IFERROR(SUMIF($V$4:$AG$4, "SME", V19:AG19), "")</f>
        <v>52</v>
      </c>
      <c r="AJ19" s="286" t="n">
        <f aca="false">IFERROR(SUMIF($V$4:$AG$4, "De Minimis", V19:AG19), "")</f>
        <v>0</v>
      </c>
      <c r="AK19" s="303"/>
      <c r="AL19" s="288" t="str">
        <f aca="false">IF((SUM(I19:T19)&gt;1),"ERROR","")</f>
        <v/>
      </c>
    </row>
    <row r="20" customFormat="false" ht="15" hidden="false" customHeight="true" outlineLevel="0" collapsed="false">
      <c r="A20" s="340" t="n">
        <v>45629</v>
      </c>
      <c r="B20" s="17" t="s">
        <v>338</v>
      </c>
      <c r="C20" s="17" t="s">
        <v>363</v>
      </c>
      <c r="D20" s="341" t="s">
        <v>364</v>
      </c>
      <c r="E20" s="200" t="n">
        <v>420</v>
      </c>
      <c r="F20" s="17" t="n">
        <v>7805</v>
      </c>
      <c r="H20" s="350"/>
      <c r="I20" s="282" t="n">
        <v>0.2</v>
      </c>
      <c r="J20" s="282" t="n">
        <v>0.2</v>
      </c>
      <c r="K20" s="282" t="n">
        <v>0.2</v>
      </c>
      <c r="L20" s="282" t="n">
        <v>0.2</v>
      </c>
      <c r="M20" s="282" t="n">
        <v>0.2</v>
      </c>
      <c r="N20" s="282"/>
      <c r="O20" s="282"/>
      <c r="P20" s="282"/>
      <c r="Q20" s="282"/>
      <c r="R20" s="282"/>
      <c r="S20" s="282"/>
      <c r="T20" s="282"/>
      <c r="U20" s="283"/>
      <c r="V20" s="284" t="n">
        <f aca="false">IFERROR(I20*$E20, "")</f>
        <v>84</v>
      </c>
      <c r="W20" s="284" t="n">
        <f aca="false">IFERROR(J20*$E20, "")</f>
        <v>84</v>
      </c>
      <c r="X20" s="284" t="n">
        <f aca="false">IFERROR(K20*$E20, "")</f>
        <v>84</v>
      </c>
      <c r="Y20" s="284" t="n">
        <f aca="false">IFERROR(L20*$E20, "")</f>
        <v>84</v>
      </c>
      <c r="Z20" s="284" t="n">
        <f aca="false">IFERROR(M20*$E20, "")</f>
        <v>84</v>
      </c>
      <c r="AA20" s="284" t="n">
        <f aca="false">IFERROR(N20*$E20, "")</f>
        <v>0</v>
      </c>
      <c r="AB20" s="284" t="n">
        <f aca="false">IFERROR(O20*$E20, "")</f>
        <v>0</v>
      </c>
      <c r="AC20" s="284" t="n">
        <f aca="false">IFERROR(P20*$E20, "")</f>
        <v>0</v>
      </c>
      <c r="AD20" s="284" t="n">
        <f aca="false">IFERROR(Q20*$E20, "")</f>
        <v>0</v>
      </c>
      <c r="AE20" s="284" t="n">
        <f aca="false">IFERROR(R20*$E20, "")</f>
        <v>0</v>
      </c>
      <c r="AF20" s="284" t="n">
        <f aca="false">IFERROR(S20*$E20, "")</f>
        <v>0</v>
      </c>
      <c r="AG20" s="284" t="n">
        <f aca="false">IFERROR(T20*$E20, "")</f>
        <v>0</v>
      </c>
      <c r="AH20" s="286" t="n">
        <f aca="false">IFERROR(SUMIF($V$4:$AG$4, "RDEC", V20:AG20), "")</f>
        <v>84</v>
      </c>
      <c r="AI20" s="286" t="n">
        <f aca="false">IFERROR(SUMIF($V$4:$AG$4, "SME", V20:AG20), "")</f>
        <v>336</v>
      </c>
      <c r="AJ20" s="286" t="n">
        <f aca="false">IFERROR(SUMIF($V$4:$AG$4, "De Minimis", V20:AG20), "")</f>
        <v>0</v>
      </c>
      <c r="AK20" s="303"/>
      <c r="AL20" s="288" t="str">
        <f aca="false">IF((SUM(I20:T20)&gt;1),"ERROR","")</f>
        <v/>
      </c>
    </row>
    <row r="21" customFormat="false" ht="15" hidden="false" customHeight="true" outlineLevel="0" collapsed="false">
      <c r="A21" s="340"/>
      <c r="H21" s="350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3"/>
      <c r="V21" s="284" t="n">
        <f aca="false">IFERROR(I21*$E21, "")</f>
        <v>0</v>
      </c>
      <c r="W21" s="284" t="n">
        <f aca="false">IFERROR(J21*$E21, "")</f>
        <v>0</v>
      </c>
      <c r="X21" s="284" t="n">
        <f aca="false">IFERROR(K21*$E21, "")</f>
        <v>0</v>
      </c>
      <c r="Y21" s="284" t="n">
        <f aca="false">IFERROR(L21*$E21, "")</f>
        <v>0</v>
      </c>
      <c r="Z21" s="284" t="n">
        <f aca="false">IFERROR(M21*$E21, "")</f>
        <v>0</v>
      </c>
      <c r="AA21" s="284" t="n">
        <f aca="false">IFERROR(N21*$E21, "")</f>
        <v>0</v>
      </c>
      <c r="AB21" s="284" t="n">
        <f aca="false">IFERROR(O21*$E21, "")</f>
        <v>0</v>
      </c>
      <c r="AC21" s="284" t="n">
        <f aca="false">IFERROR(P21*$E21, "")</f>
        <v>0</v>
      </c>
      <c r="AD21" s="284" t="n">
        <f aca="false">IFERROR(Q21*$E21, "")</f>
        <v>0</v>
      </c>
      <c r="AE21" s="284" t="n">
        <f aca="false">IFERROR(R21*$E21, "")</f>
        <v>0</v>
      </c>
      <c r="AF21" s="284" t="n">
        <f aca="false">IFERROR(S21*$E21, "")</f>
        <v>0</v>
      </c>
      <c r="AG21" s="284" t="n">
        <f aca="false">IFERROR(T21*$E21, "")</f>
        <v>0</v>
      </c>
      <c r="AH21" s="286" t="n">
        <f aca="false">IFERROR(SUMIF($V$4:$AG$4, "RDEC", V21:AG21), "")</f>
        <v>0</v>
      </c>
      <c r="AI21" s="286" t="n">
        <f aca="false">IFERROR(SUMIF($V$4:$AG$4, "SME", V21:AG21), "")</f>
        <v>0</v>
      </c>
      <c r="AJ21" s="286" t="n">
        <f aca="false">IFERROR(SUMIF($V$4:$AG$4, "De Minimis", V21:AG21), "")</f>
        <v>0</v>
      </c>
      <c r="AK21" s="268"/>
      <c r="AL21" s="288" t="str">
        <f aca="false">IF((SUM(I21:T21)&gt;1),"ERROR","")</f>
        <v/>
      </c>
    </row>
    <row r="22" customFormat="false" ht="15" hidden="false" customHeight="true" outlineLevel="0" collapsed="false">
      <c r="A22" s="340"/>
      <c r="H22" s="350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3"/>
      <c r="V22" s="284" t="n">
        <f aca="false">IFERROR(I22*$E22, "")</f>
        <v>0</v>
      </c>
      <c r="W22" s="284" t="n">
        <f aca="false">IFERROR(J22*$E22, "")</f>
        <v>0</v>
      </c>
      <c r="X22" s="284" t="n">
        <f aca="false">IFERROR(K22*$E22, "")</f>
        <v>0</v>
      </c>
      <c r="Y22" s="284" t="n">
        <f aca="false">IFERROR(L22*$E22, "")</f>
        <v>0</v>
      </c>
      <c r="Z22" s="284" t="n">
        <f aca="false">IFERROR(M22*$E22, "")</f>
        <v>0</v>
      </c>
      <c r="AA22" s="284" t="n">
        <f aca="false">IFERROR(N22*$E22, "")</f>
        <v>0</v>
      </c>
      <c r="AB22" s="284" t="n">
        <f aca="false">IFERROR(O22*$E22, "")</f>
        <v>0</v>
      </c>
      <c r="AC22" s="284" t="n">
        <f aca="false">IFERROR(P22*$E22, "")</f>
        <v>0</v>
      </c>
      <c r="AD22" s="284" t="n">
        <f aca="false">IFERROR(Q22*$E22, "")</f>
        <v>0</v>
      </c>
      <c r="AE22" s="284" t="n">
        <f aca="false">IFERROR(R22*$E22, "")</f>
        <v>0</v>
      </c>
      <c r="AF22" s="284" t="n">
        <f aca="false">IFERROR(S22*$E22, "")</f>
        <v>0</v>
      </c>
      <c r="AG22" s="284" t="n">
        <f aca="false">IFERROR(T22*$E22, "")</f>
        <v>0</v>
      </c>
      <c r="AH22" s="286" t="n">
        <f aca="false">IFERROR(SUMIF($V$4:$AG$4, "RDEC", V22:AG22), "")</f>
        <v>0</v>
      </c>
      <c r="AI22" s="286" t="n">
        <f aca="false">IFERROR(SUMIF($V$4:$AG$4, "SME", V22:AG22), "")</f>
        <v>0</v>
      </c>
      <c r="AJ22" s="286" t="n">
        <f aca="false">IFERROR(SUMIF($V$4:$AG$4, "De Minimis", V22:AG22), "")</f>
        <v>0</v>
      </c>
      <c r="AK22" s="287"/>
      <c r="AL22" s="288" t="str">
        <f aca="false">IF((SUM(I22:T22)&gt;1),"ERROR","")</f>
        <v/>
      </c>
    </row>
    <row r="23" customFormat="false" ht="15" hidden="false" customHeight="true" outlineLevel="0" collapsed="false">
      <c r="A23" s="340"/>
      <c r="H23" s="350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3"/>
      <c r="V23" s="284" t="n">
        <f aca="false">IFERROR(I23*$E23, "")</f>
        <v>0</v>
      </c>
      <c r="W23" s="284" t="n">
        <f aca="false">IFERROR(J23*$E23, "")</f>
        <v>0</v>
      </c>
      <c r="X23" s="284" t="n">
        <f aca="false">IFERROR(K23*$E23, "")</f>
        <v>0</v>
      </c>
      <c r="Y23" s="284" t="n">
        <f aca="false">IFERROR(L23*$E23, "")</f>
        <v>0</v>
      </c>
      <c r="Z23" s="284" t="n">
        <f aca="false">IFERROR(M23*$E23, "")</f>
        <v>0</v>
      </c>
      <c r="AA23" s="284" t="n">
        <f aca="false">IFERROR(N23*$E23, "")</f>
        <v>0</v>
      </c>
      <c r="AB23" s="284" t="n">
        <f aca="false">IFERROR(O23*$E23, "")</f>
        <v>0</v>
      </c>
      <c r="AC23" s="284" t="n">
        <f aca="false">IFERROR(P23*$E23, "")</f>
        <v>0</v>
      </c>
      <c r="AD23" s="284" t="n">
        <f aca="false">IFERROR(Q23*$E23, "")</f>
        <v>0</v>
      </c>
      <c r="AE23" s="284" t="n">
        <f aca="false">IFERROR(R23*$E23, "")</f>
        <v>0</v>
      </c>
      <c r="AF23" s="284" t="n">
        <f aca="false">IFERROR(S23*$E23, "")</f>
        <v>0</v>
      </c>
      <c r="AG23" s="284" t="n">
        <f aca="false">IFERROR(T23*$E23, "")</f>
        <v>0</v>
      </c>
      <c r="AH23" s="286" t="n">
        <f aca="false">IFERROR(SUMIF($V$4:$AG$4, "RDEC", V23:AG23), "")</f>
        <v>0</v>
      </c>
      <c r="AI23" s="286" t="n">
        <f aca="false">IFERROR(SUMIF($V$4:$AG$4, "SME", V23:AG23), "")</f>
        <v>0</v>
      </c>
      <c r="AJ23" s="286" t="n">
        <f aca="false">IFERROR(SUMIF($V$4:$AG$4, "De Minimis", V23:AG23), "")</f>
        <v>0</v>
      </c>
      <c r="AK23" s="287"/>
      <c r="AL23" s="288" t="str">
        <f aca="false">IF((SUM(I23:T23)&gt;1),"ERROR","")</f>
        <v/>
      </c>
    </row>
    <row r="24" customFormat="false" ht="15" hidden="false" customHeight="true" outlineLevel="0" collapsed="false">
      <c r="A24" s="340"/>
      <c r="H24" s="350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3"/>
      <c r="V24" s="284" t="n">
        <f aca="false">IFERROR(I24*$E24, "")</f>
        <v>0</v>
      </c>
      <c r="W24" s="284" t="n">
        <f aca="false">IFERROR(J24*$E24, "")</f>
        <v>0</v>
      </c>
      <c r="X24" s="284" t="n">
        <f aca="false">IFERROR(K24*$E24, "")</f>
        <v>0</v>
      </c>
      <c r="Y24" s="284" t="n">
        <f aca="false">IFERROR(L24*$E24, "")</f>
        <v>0</v>
      </c>
      <c r="Z24" s="284" t="n">
        <f aca="false">IFERROR(M24*$E24, "")</f>
        <v>0</v>
      </c>
      <c r="AA24" s="284" t="n">
        <f aca="false">IFERROR(N24*$E24, "")</f>
        <v>0</v>
      </c>
      <c r="AB24" s="284" t="n">
        <f aca="false">IFERROR(O24*$E24, "")</f>
        <v>0</v>
      </c>
      <c r="AC24" s="284" t="n">
        <f aca="false">IFERROR(P24*$E24, "")</f>
        <v>0</v>
      </c>
      <c r="AD24" s="284" t="n">
        <f aca="false">IFERROR(Q24*$E24, "")</f>
        <v>0</v>
      </c>
      <c r="AE24" s="284" t="n">
        <f aca="false">IFERROR(R24*$E24, "")</f>
        <v>0</v>
      </c>
      <c r="AF24" s="284" t="n">
        <f aca="false">IFERROR(S24*$E24, "")</f>
        <v>0</v>
      </c>
      <c r="AG24" s="284" t="n">
        <f aca="false">IFERROR(T24*$E24, "")</f>
        <v>0</v>
      </c>
      <c r="AH24" s="286" t="n">
        <f aca="false">IFERROR(SUMIF($V$4:$AG$4, "RDEC", V24:AG24), "")</f>
        <v>0</v>
      </c>
      <c r="AI24" s="286" t="n">
        <f aca="false">IFERROR(SUMIF($V$4:$AG$4, "SME", V24:AG24), "")</f>
        <v>0</v>
      </c>
      <c r="AJ24" s="286" t="n">
        <f aca="false">IFERROR(SUMIF($V$4:$AG$4, "De Minimis", V24:AG24), "")</f>
        <v>0</v>
      </c>
      <c r="AK24" s="287"/>
      <c r="AL24" s="288" t="str">
        <f aca="false">IF((SUM(I24:T24)&gt;1),"ERROR","")</f>
        <v/>
      </c>
    </row>
    <row r="25" customFormat="false" ht="15" hidden="false" customHeight="true" outlineLevel="0" collapsed="false">
      <c r="A25" s="340"/>
      <c r="H25" s="350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3"/>
      <c r="V25" s="284" t="n">
        <f aca="false">IFERROR(I25*$E25, "")</f>
        <v>0</v>
      </c>
      <c r="W25" s="284" t="n">
        <f aca="false">IFERROR(J25*$E25, "")</f>
        <v>0</v>
      </c>
      <c r="X25" s="284" t="n">
        <f aca="false">IFERROR(K25*$E25, "")</f>
        <v>0</v>
      </c>
      <c r="Y25" s="284" t="n">
        <f aca="false">IFERROR(L25*$E25, "")</f>
        <v>0</v>
      </c>
      <c r="Z25" s="284" t="n">
        <f aca="false">IFERROR(M25*$E25, "")</f>
        <v>0</v>
      </c>
      <c r="AA25" s="284" t="n">
        <f aca="false">IFERROR(N25*$E25, "")</f>
        <v>0</v>
      </c>
      <c r="AB25" s="284" t="n">
        <f aca="false">IFERROR(O25*$E25, "")</f>
        <v>0</v>
      </c>
      <c r="AC25" s="284" t="n">
        <f aca="false">IFERROR(P25*$E25, "")</f>
        <v>0</v>
      </c>
      <c r="AD25" s="284" t="n">
        <f aca="false">IFERROR(Q25*$E25, "")</f>
        <v>0</v>
      </c>
      <c r="AE25" s="284" t="n">
        <f aca="false">IFERROR(R25*$E25, "")</f>
        <v>0</v>
      </c>
      <c r="AF25" s="284" t="n">
        <f aca="false">IFERROR(S25*$E25, "")</f>
        <v>0</v>
      </c>
      <c r="AG25" s="284" t="n">
        <f aca="false">IFERROR(T25*$E25, "")</f>
        <v>0</v>
      </c>
      <c r="AH25" s="286" t="n">
        <f aca="false">IFERROR(SUMIF($V$4:$AG$4, "RDEC", V25:AG25), "")</f>
        <v>0</v>
      </c>
      <c r="AI25" s="286" t="n">
        <f aca="false">IFERROR(SUMIF($V$4:$AG$4, "SME", V25:AG25), "")</f>
        <v>0</v>
      </c>
      <c r="AJ25" s="286" t="n">
        <f aca="false">IFERROR(SUMIF($V$4:$AG$4, "De Minimis", V25:AG25), "")</f>
        <v>0</v>
      </c>
      <c r="AK25" s="287"/>
      <c r="AL25" s="288" t="str">
        <f aca="false">IF((SUM(I25:T25)&gt;1),"ERROR","")</f>
        <v/>
      </c>
    </row>
    <row r="26" customFormat="false" ht="15" hidden="false" customHeight="true" outlineLevel="0" collapsed="false">
      <c r="A26" s="340"/>
      <c r="H26" s="350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3"/>
      <c r="V26" s="284" t="n">
        <f aca="false">IFERROR(I26*$E26, "")</f>
        <v>0</v>
      </c>
      <c r="W26" s="284" t="n">
        <f aca="false">IFERROR(J26*$E26, "")</f>
        <v>0</v>
      </c>
      <c r="X26" s="284" t="n">
        <f aca="false">IFERROR(K26*$E26, "")</f>
        <v>0</v>
      </c>
      <c r="Y26" s="284" t="n">
        <f aca="false">IFERROR(L26*$E26, "")</f>
        <v>0</v>
      </c>
      <c r="Z26" s="284" t="n">
        <f aca="false">IFERROR(M26*$E26, "")</f>
        <v>0</v>
      </c>
      <c r="AA26" s="284" t="n">
        <f aca="false">IFERROR(N26*$E26, "")</f>
        <v>0</v>
      </c>
      <c r="AB26" s="284" t="n">
        <f aca="false">IFERROR(O26*$E26, "")</f>
        <v>0</v>
      </c>
      <c r="AC26" s="284" t="n">
        <f aca="false">IFERROR(P26*$E26, "")</f>
        <v>0</v>
      </c>
      <c r="AD26" s="284" t="n">
        <f aca="false">IFERROR(Q26*$E26, "")</f>
        <v>0</v>
      </c>
      <c r="AE26" s="284" t="n">
        <f aca="false">IFERROR(R26*$E26, "")</f>
        <v>0</v>
      </c>
      <c r="AF26" s="284" t="n">
        <f aca="false">IFERROR(S26*$E26, "")</f>
        <v>0</v>
      </c>
      <c r="AG26" s="284" t="n">
        <f aca="false">IFERROR(T26*$E26, "")</f>
        <v>0</v>
      </c>
      <c r="AH26" s="286" t="n">
        <f aca="false">IFERROR(SUMIF($V$4:$AG$4, "RDEC", V26:AG26), "")</f>
        <v>0</v>
      </c>
      <c r="AI26" s="286" t="n">
        <f aca="false">IFERROR(SUMIF($V$4:$AG$4, "SME", V26:AG26), "")</f>
        <v>0</v>
      </c>
      <c r="AJ26" s="286" t="n">
        <f aca="false">IFERROR(SUMIF($V$4:$AG$4, "De Minimis", V26:AG26), "")</f>
        <v>0</v>
      </c>
      <c r="AK26" s="287"/>
      <c r="AL26" s="288" t="str">
        <f aca="false">IF((SUM(I26:T26)&gt;1),"ERROR","")</f>
        <v/>
      </c>
    </row>
    <row r="27" customFormat="false" ht="15" hidden="false" customHeight="true" outlineLevel="0" collapsed="false">
      <c r="A27" s="340"/>
      <c r="H27" s="350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3"/>
      <c r="V27" s="284" t="n">
        <f aca="false">IFERROR(I27*$E27, "")</f>
        <v>0</v>
      </c>
      <c r="W27" s="284" t="n">
        <f aca="false">IFERROR(J27*$E27, "")</f>
        <v>0</v>
      </c>
      <c r="X27" s="284" t="n">
        <f aca="false">IFERROR(K27*$E27, "")</f>
        <v>0</v>
      </c>
      <c r="Y27" s="284" t="n">
        <f aca="false">IFERROR(L27*$E27, "")</f>
        <v>0</v>
      </c>
      <c r="Z27" s="284" t="n">
        <f aca="false">IFERROR(M27*$E27, "")</f>
        <v>0</v>
      </c>
      <c r="AA27" s="284" t="n">
        <f aca="false">IFERROR(N27*$E27, "")</f>
        <v>0</v>
      </c>
      <c r="AB27" s="284" t="n">
        <f aca="false">IFERROR(O27*$E27, "")</f>
        <v>0</v>
      </c>
      <c r="AC27" s="284" t="n">
        <f aca="false">IFERROR(P27*$E27, "")</f>
        <v>0</v>
      </c>
      <c r="AD27" s="284" t="n">
        <f aca="false">IFERROR(Q27*$E27, "")</f>
        <v>0</v>
      </c>
      <c r="AE27" s="284" t="n">
        <f aca="false">IFERROR(R27*$E27, "")</f>
        <v>0</v>
      </c>
      <c r="AF27" s="284" t="n">
        <f aca="false">IFERROR(S27*$E27, "")</f>
        <v>0</v>
      </c>
      <c r="AG27" s="284" t="n">
        <f aca="false">IFERROR(T27*$E27, "")</f>
        <v>0</v>
      </c>
      <c r="AH27" s="286" t="n">
        <f aca="false">IFERROR(SUMIF($V$4:$AG$4, "RDEC", V27:AG27), "")</f>
        <v>0</v>
      </c>
      <c r="AI27" s="286" t="n">
        <f aca="false">IFERROR(SUMIF($V$4:$AG$4, "SME", V27:AG27), "")</f>
        <v>0</v>
      </c>
      <c r="AJ27" s="286" t="n">
        <f aca="false">IFERROR(SUMIF($V$4:$AG$4, "De Minimis", V27:AG27), "")</f>
        <v>0</v>
      </c>
      <c r="AK27" s="287"/>
      <c r="AL27" s="288" t="str">
        <f aca="false">IF((SUM(I27:T27)&gt;1),"ERROR","")</f>
        <v/>
      </c>
    </row>
    <row r="28" customFormat="false" ht="15" hidden="false" customHeight="true" outlineLevel="0" collapsed="false">
      <c r="A28" s="340"/>
      <c r="H28" s="350"/>
      <c r="I28" s="282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3"/>
      <c r="V28" s="284" t="n">
        <f aca="false">IFERROR(I28*$E28, "")</f>
        <v>0</v>
      </c>
      <c r="W28" s="284" t="n">
        <f aca="false">IFERROR(J28*$E28, "")</f>
        <v>0</v>
      </c>
      <c r="X28" s="284" t="n">
        <f aca="false">IFERROR(K28*$E28, "")</f>
        <v>0</v>
      </c>
      <c r="Y28" s="284" t="n">
        <f aca="false">IFERROR(L28*$E28, "")</f>
        <v>0</v>
      </c>
      <c r="Z28" s="284" t="n">
        <f aca="false">IFERROR(M28*$E28, "")</f>
        <v>0</v>
      </c>
      <c r="AA28" s="284" t="n">
        <f aca="false">IFERROR(N28*$E28, "")</f>
        <v>0</v>
      </c>
      <c r="AB28" s="284" t="n">
        <f aca="false">IFERROR(O28*$E28, "")</f>
        <v>0</v>
      </c>
      <c r="AC28" s="284" t="n">
        <f aca="false">IFERROR(P28*$E28, "")</f>
        <v>0</v>
      </c>
      <c r="AD28" s="284" t="n">
        <f aca="false">IFERROR(Q28*$E28, "")</f>
        <v>0</v>
      </c>
      <c r="AE28" s="284" t="n">
        <f aca="false">IFERROR(R28*$E28, "")</f>
        <v>0</v>
      </c>
      <c r="AF28" s="284" t="n">
        <f aca="false">IFERROR(S28*$E28, "")</f>
        <v>0</v>
      </c>
      <c r="AG28" s="284" t="n">
        <f aca="false">IFERROR(T28*$E28, "")</f>
        <v>0</v>
      </c>
      <c r="AH28" s="286" t="n">
        <f aca="false">IFERROR(SUMIF($V$4:$AG$4, "RDEC", V28:AG28), "")</f>
        <v>0</v>
      </c>
      <c r="AI28" s="286" t="n">
        <f aca="false">IFERROR(SUMIF($V$4:$AG$4, "SME", V28:AG28), "")</f>
        <v>0</v>
      </c>
      <c r="AJ28" s="286" t="n">
        <f aca="false">IFERROR(SUMIF($V$4:$AG$4, "De Minimis", V28:AG28), "")</f>
        <v>0</v>
      </c>
      <c r="AK28" s="287"/>
      <c r="AL28" s="288" t="str">
        <f aca="false">IF((SUM(I28:T28)&gt;1),"ERROR","")</f>
        <v/>
      </c>
    </row>
    <row r="29" customFormat="false" ht="15" hidden="false" customHeight="true" outlineLevel="0" collapsed="false">
      <c r="A29" s="340"/>
      <c r="H29" s="350"/>
      <c r="I29" s="282"/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3"/>
      <c r="V29" s="284" t="n">
        <f aca="false">IFERROR(I29*$E29, "")</f>
        <v>0</v>
      </c>
      <c r="W29" s="284" t="n">
        <f aca="false">IFERROR(J29*$E29, "")</f>
        <v>0</v>
      </c>
      <c r="X29" s="284" t="n">
        <f aca="false">IFERROR(K29*$E29, "")</f>
        <v>0</v>
      </c>
      <c r="Y29" s="284" t="n">
        <f aca="false">IFERROR(L29*$E29, "")</f>
        <v>0</v>
      </c>
      <c r="Z29" s="284" t="n">
        <f aca="false">IFERROR(M29*$E29, "")</f>
        <v>0</v>
      </c>
      <c r="AA29" s="284" t="n">
        <f aca="false">IFERROR(N29*$E29, "")</f>
        <v>0</v>
      </c>
      <c r="AB29" s="284" t="n">
        <f aca="false">IFERROR(O29*$E29, "")</f>
        <v>0</v>
      </c>
      <c r="AC29" s="284" t="n">
        <f aca="false">IFERROR(P29*$E29, "")</f>
        <v>0</v>
      </c>
      <c r="AD29" s="284" t="n">
        <f aca="false">IFERROR(Q29*$E29, "")</f>
        <v>0</v>
      </c>
      <c r="AE29" s="284" t="n">
        <f aca="false">IFERROR(R29*$E29, "")</f>
        <v>0</v>
      </c>
      <c r="AF29" s="284" t="n">
        <f aca="false">IFERROR(S29*$E29, "")</f>
        <v>0</v>
      </c>
      <c r="AG29" s="284" t="n">
        <f aca="false">IFERROR(T29*$E29, "")</f>
        <v>0</v>
      </c>
      <c r="AH29" s="286" t="n">
        <f aca="false">IFERROR(SUMIF($V$4:$AG$4, "RDEC", V29:AG29), "")</f>
        <v>0</v>
      </c>
      <c r="AI29" s="286" t="n">
        <f aca="false">IFERROR(SUMIF($V$4:$AG$4, "SME", V29:AG29), "")</f>
        <v>0</v>
      </c>
      <c r="AJ29" s="286" t="n">
        <f aca="false">IFERROR(SUMIF($V$4:$AG$4, "De Minimis", V29:AG29), "")</f>
        <v>0</v>
      </c>
      <c r="AK29" s="287"/>
      <c r="AL29" s="288" t="str">
        <f aca="false">IF((SUM(I29:T29)&gt;1),"ERROR","")</f>
        <v/>
      </c>
    </row>
    <row r="30" customFormat="false" ht="15" hidden="false" customHeight="true" outlineLevel="0" collapsed="false">
      <c r="A30" s="340"/>
      <c r="H30" s="350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3"/>
      <c r="V30" s="284" t="n">
        <f aca="false">IFERROR(I30*$E30, "")</f>
        <v>0</v>
      </c>
      <c r="W30" s="284" t="n">
        <f aca="false">IFERROR(J30*$E30, "")</f>
        <v>0</v>
      </c>
      <c r="X30" s="284" t="n">
        <f aca="false">IFERROR(K30*$E30, "")</f>
        <v>0</v>
      </c>
      <c r="Y30" s="284" t="n">
        <f aca="false">IFERROR(L30*$E30, "")</f>
        <v>0</v>
      </c>
      <c r="Z30" s="284" t="n">
        <f aca="false">IFERROR(M30*$E30, "")</f>
        <v>0</v>
      </c>
      <c r="AA30" s="284" t="n">
        <f aca="false">IFERROR(N30*$E30, "")</f>
        <v>0</v>
      </c>
      <c r="AB30" s="284" t="n">
        <f aca="false">IFERROR(O30*$E30, "")</f>
        <v>0</v>
      </c>
      <c r="AC30" s="284" t="n">
        <f aca="false">IFERROR(P30*$E30, "")</f>
        <v>0</v>
      </c>
      <c r="AD30" s="284" t="n">
        <f aca="false">IFERROR(Q30*$E30, "")</f>
        <v>0</v>
      </c>
      <c r="AE30" s="284" t="n">
        <f aca="false">IFERROR(R30*$E30, "")</f>
        <v>0</v>
      </c>
      <c r="AF30" s="284" t="n">
        <f aca="false">IFERROR(S30*$E30, "")</f>
        <v>0</v>
      </c>
      <c r="AG30" s="284" t="n">
        <f aca="false">IFERROR(T30*$E30, "")</f>
        <v>0</v>
      </c>
      <c r="AH30" s="286" t="n">
        <f aca="false">IFERROR(SUMIF($V$4:$AG$4, "RDEC", V30:AG30), "")</f>
        <v>0</v>
      </c>
      <c r="AI30" s="286" t="n">
        <f aca="false">IFERROR(SUMIF($V$4:$AG$4, "SME", V30:AG30), "")</f>
        <v>0</v>
      </c>
      <c r="AJ30" s="286" t="n">
        <f aca="false">IFERROR(SUMIF($V$4:$AG$4, "De Minimis", V30:AG30), "")</f>
        <v>0</v>
      </c>
      <c r="AK30" s="287"/>
      <c r="AL30" s="288" t="str">
        <f aca="false">IF((SUM(I30:T30)&gt;1),"ERROR","")</f>
        <v/>
      </c>
    </row>
    <row r="31" customFormat="false" ht="15" hidden="false" customHeight="true" outlineLevel="0" collapsed="false">
      <c r="A31" s="340"/>
      <c r="H31" s="350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3"/>
      <c r="V31" s="284" t="n">
        <f aca="false">IFERROR(I31*$E31, "")</f>
        <v>0</v>
      </c>
      <c r="W31" s="284" t="n">
        <f aca="false">IFERROR(J31*$E31, "")</f>
        <v>0</v>
      </c>
      <c r="X31" s="284" t="n">
        <f aca="false">IFERROR(K31*$E31, "")</f>
        <v>0</v>
      </c>
      <c r="Y31" s="284" t="n">
        <f aca="false">IFERROR(L31*$E31, "")</f>
        <v>0</v>
      </c>
      <c r="Z31" s="284" t="n">
        <f aca="false">IFERROR(M31*$E31, "")</f>
        <v>0</v>
      </c>
      <c r="AA31" s="284" t="n">
        <f aca="false">IFERROR(N31*$E31, "")</f>
        <v>0</v>
      </c>
      <c r="AB31" s="284" t="n">
        <f aca="false">IFERROR(O31*$E31, "")</f>
        <v>0</v>
      </c>
      <c r="AC31" s="284" t="n">
        <f aca="false">IFERROR(P31*$E31, "")</f>
        <v>0</v>
      </c>
      <c r="AD31" s="284" t="n">
        <f aca="false">IFERROR(Q31*$E31, "")</f>
        <v>0</v>
      </c>
      <c r="AE31" s="284" t="n">
        <f aca="false">IFERROR(R31*$E31, "")</f>
        <v>0</v>
      </c>
      <c r="AF31" s="284" t="n">
        <f aca="false">IFERROR(S31*$E31, "")</f>
        <v>0</v>
      </c>
      <c r="AG31" s="284" t="n">
        <f aca="false">IFERROR(T31*$E31, "")</f>
        <v>0</v>
      </c>
      <c r="AH31" s="286" t="n">
        <f aca="false">IFERROR(SUMIF($V$4:$AG$4, "RDEC", V31:AG31), "")</f>
        <v>0</v>
      </c>
      <c r="AI31" s="286" t="n">
        <f aca="false">IFERROR(SUMIF($V$4:$AG$4, "SME", V31:AG31), "")</f>
        <v>0</v>
      </c>
      <c r="AJ31" s="286" t="n">
        <f aca="false">IFERROR(SUMIF($V$4:$AG$4, "De Minimis", V31:AG31), "")</f>
        <v>0</v>
      </c>
      <c r="AK31" s="287"/>
      <c r="AL31" s="288" t="str">
        <f aca="false">IF((SUM(I31:T31)&gt;1),"ERROR","")</f>
        <v/>
      </c>
    </row>
    <row r="32" customFormat="false" ht="15" hidden="false" customHeight="true" outlineLevel="0" collapsed="false">
      <c r="A32" s="340"/>
      <c r="H32" s="350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3"/>
      <c r="V32" s="284" t="n">
        <f aca="false">IFERROR(I32*$E32, "")</f>
        <v>0</v>
      </c>
      <c r="W32" s="284" t="n">
        <f aca="false">IFERROR(J32*$E32, "")</f>
        <v>0</v>
      </c>
      <c r="X32" s="284" t="n">
        <f aca="false">IFERROR(K32*$E32, "")</f>
        <v>0</v>
      </c>
      <c r="Y32" s="284" t="n">
        <f aca="false">IFERROR(L32*$E32, "")</f>
        <v>0</v>
      </c>
      <c r="Z32" s="284" t="n">
        <f aca="false">IFERROR(M32*$E32, "")</f>
        <v>0</v>
      </c>
      <c r="AA32" s="284" t="n">
        <f aca="false">IFERROR(N32*$E32, "")</f>
        <v>0</v>
      </c>
      <c r="AB32" s="284" t="n">
        <f aca="false">IFERROR(O32*$E32, "")</f>
        <v>0</v>
      </c>
      <c r="AC32" s="284" t="n">
        <f aca="false">IFERROR(P32*$E32, "")</f>
        <v>0</v>
      </c>
      <c r="AD32" s="284" t="n">
        <f aca="false">IFERROR(Q32*$E32, "")</f>
        <v>0</v>
      </c>
      <c r="AE32" s="284" t="n">
        <f aca="false">IFERROR(R32*$E32, "")</f>
        <v>0</v>
      </c>
      <c r="AF32" s="284" t="n">
        <f aca="false">IFERROR(S32*$E32, "")</f>
        <v>0</v>
      </c>
      <c r="AG32" s="284" t="n">
        <f aca="false">IFERROR(T32*$E32, "")</f>
        <v>0</v>
      </c>
      <c r="AH32" s="286" t="n">
        <f aca="false">IFERROR(SUMIF($V$4:$AG$4, "RDEC", V32:AG32), "")</f>
        <v>0</v>
      </c>
      <c r="AI32" s="286" t="n">
        <f aca="false">IFERROR(SUMIF($V$4:$AG$4, "SME", V32:AG32), "")</f>
        <v>0</v>
      </c>
      <c r="AJ32" s="286" t="n">
        <f aca="false">IFERROR(SUMIF($V$4:$AG$4, "De Minimis", V32:AG32), "")</f>
        <v>0</v>
      </c>
      <c r="AK32" s="287"/>
      <c r="AL32" s="288" t="str">
        <f aca="false">IF((SUM(I32:T32)&gt;1),"ERROR","")</f>
        <v/>
      </c>
    </row>
    <row r="33" customFormat="false" ht="15" hidden="false" customHeight="true" outlineLevel="0" collapsed="false">
      <c r="A33" s="340"/>
      <c r="H33" s="350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3"/>
      <c r="V33" s="284" t="n">
        <f aca="false">IFERROR(I33*$E33, "")</f>
        <v>0</v>
      </c>
      <c r="W33" s="284" t="n">
        <f aca="false">IFERROR(J33*$E33, "")</f>
        <v>0</v>
      </c>
      <c r="X33" s="284" t="n">
        <f aca="false">IFERROR(K33*$E33, "")</f>
        <v>0</v>
      </c>
      <c r="Y33" s="284" t="n">
        <f aca="false">IFERROR(L33*$E33, "")</f>
        <v>0</v>
      </c>
      <c r="Z33" s="284" t="n">
        <f aca="false">IFERROR(M33*$E33, "")</f>
        <v>0</v>
      </c>
      <c r="AA33" s="284" t="n">
        <f aca="false">IFERROR(N33*$E33, "")</f>
        <v>0</v>
      </c>
      <c r="AB33" s="284" t="n">
        <f aca="false">IFERROR(O33*$E33, "")</f>
        <v>0</v>
      </c>
      <c r="AC33" s="284" t="n">
        <f aca="false">IFERROR(P33*$E33, "")</f>
        <v>0</v>
      </c>
      <c r="AD33" s="284" t="n">
        <f aca="false">IFERROR(Q33*$E33, "")</f>
        <v>0</v>
      </c>
      <c r="AE33" s="284" t="n">
        <f aca="false">IFERROR(R33*$E33, "")</f>
        <v>0</v>
      </c>
      <c r="AF33" s="284" t="n">
        <f aca="false">IFERROR(S33*$E33, "")</f>
        <v>0</v>
      </c>
      <c r="AG33" s="284" t="n">
        <f aca="false">IFERROR(T33*$E33, "")</f>
        <v>0</v>
      </c>
      <c r="AH33" s="286" t="n">
        <f aca="false">IFERROR(SUMIF($V$4:$AG$4, "RDEC", V33:AG33), "")</f>
        <v>0</v>
      </c>
      <c r="AI33" s="286" t="n">
        <f aca="false">IFERROR(SUMIF($V$4:$AG$4, "SME", V33:AG33), "")</f>
        <v>0</v>
      </c>
      <c r="AJ33" s="286" t="n">
        <f aca="false">IFERROR(SUMIF($V$4:$AG$4, "De Minimis", V33:AG33), "")</f>
        <v>0</v>
      </c>
      <c r="AK33" s="287"/>
      <c r="AL33" s="288" t="str">
        <f aca="false">IF((SUM(I33:T33)&gt;1),"ERROR","")</f>
        <v/>
      </c>
    </row>
    <row r="34" customFormat="false" ht="15" hidden="false" customHeight="true" outlineLevel="0" collapsed="false">
      <c r="A34" s="340"/>
      <c r="H34" s="350"/>
      <c r="I34" s="282"/>
      <c r="J34" s="282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3"/>
      <c r="V34" s="284" t="n">
        <f aca="false">IFERROR(I34*$E34, "")</f>
        <v>0</v>
      </c>
      <c r="W34" s="284" t="n">
        <f aca="false">IFERROR(J34*$E34, "")</f>
        <v>0</v>
      </c>
      <c r="X34" s="284" t="n">
        <f aca="false">IFERROR(K34*$E34, "")</f>
        <v>0</v>
      </c>
      <c r="Y34" s="284" t="n">
        <f aca="false">IFERROR(L34*$E34, "")</f>
        <v>0</v>
      </c>
      <c r="Z34" s="284" t="n">
        <f aca="false">IFERROR(M34*$E34, "")</f>
        <v>0</v>
      </c>
      <c r="AA34" s="284" t="n">
        <f aca="false">IFERROR(N34*$E34, "")</f>
        <v>0</v>
      </c>
      <c r="AB34" s="284" t="n">
        <f aca="false">IFERROR(O34*$E34, "")</f>
        <v>0</v>
      </c>
      <c r="AC34" s="284" t="n">
        <f aca="false">IFERROR(P34*$E34, "")</f>
        <v>0</v>
      </c>
      <c r="AD34" s="284" t="n">
        <f aca="false">IFERROR(Q34*$E34, "")</f>
        <v>0</v>
      </c>
      <c r="AE34" s="284" t="n">
        <f aca="false">IFERROR(R34*$E34, "")</f>
        <v>0</v>
      </c>
      <c r="AF34" s="284" t="n">
        <f aca="false">IFERROR(S34*$E34, "")</f>
        <v>0</v>
      </c>
      <c r="AG34" s="284" t="n">
        <f aca="false">IFERROR(T34*$E34, "")</f>
        <v>0</v>
      </c>
      <c r="AH34" s="286" t="n">
        <f aca="false">IFERROR(SUMIF($V$4:$AG$4, "RDEC", V34:AG34), "")</f>
        <v>0</v>
      </c>
      <c r="AI34" s="286" t="n">
        <f aca="false">IFERROR(SUMIF($V$4:$AG$4, "SME", V34:AG34), "")</f>
        <v>0</v>
      </c>
      <c r="AJ34" s="286" t="n">
        <f aca="false">IFERROR(SUMIF($V$4:$AG$4, "De Minimis", V34:AG34), "")</f>
        <v>0</v>
      </c>
      <c r="AK34" s="303"/>
      <c r="AL34" s="288" t="str">
        <f aca="false">IF((SUM(I34:T34)&gt;1),"ERROR","")</f>
        <v/>
      </c>
    </row>
    <row r="35" customFormat="false" ht="15" hidden="false" customHeight="true" outlineLevel="0" collapsed="false">
      <c r="A35" s="340"/>
      <c r="H35" s="350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3"/>
      <c r="V35" s="284" t="n">
        <f aca="false">IFERROR(I35*$E35, "")</f>
        <v>0</v>
      </c>
      <c r="W35" s="284" t="n">
        <f aca="false">IFERROR(J35*$E35, "")</f>
        <v>0</v>
      </c>
      <c r="X35" s="284" t="n">
        <f aca="false">IFERROR(K35*$E35, "")</f>
        <v>0</v>
      </c>
      <c r="Y35" s="284" t="n">
        <f aca="false">IFERROR(L35*$E35, "")</f>
        <v>0</v>
      </c>
      <c r="Z35" s="284" t="n">
        <f aca="false">IFERROR(M35*$E35, "")</f>
        <v>0</v>
      </c>
      <c r="AA35" s="284" t="n">
        <f aca="false">IFERROR(N35*$E35, "")</f>
        <v>0</v>
      </c>
      <c r="AB35" s="284" t="n">
        <f aca="false">IFERROR(O35*$E35, "")</f>
        <v>0</v>
      </c>
      <c r="AC35" s="284" t="n">
        <f aca="false">IFERROR(P35*$E35, "")</f>
        <v>0</v>
      </c>
      <c r="AD35" s="284" t="n">
        <f aca="false">IFERROR(Q35*$E35, "")</f>
        <v>0</v>
      </c>
      <c r="AE35" s="284" t="n">
        <f aca="false">IFERROR(R35*$E35, "")</f>
        <v>0</v>
      </c>
      <c r="AF35" s="284" t="n">
        <f aca="false">IFERROR(S35*$E35, "")</f>
        <v>0</v>
      </c>
      <c r="AG35" s="284" t="n">
        <f aca="false">IFERROR(T35*$E35, "")</f>
        <v>0</v>
      </c>
      <c r="AH35" s="286" t="n">
        <f aca="false">IFERROR(SUMIF($V$4:$AG$4, "RDEC", V35:AG35), "")</f>
        <v>0</v>
      </c>
      <c r="AI35" s="286" t="n">
        <f aca="false">IFERROR(SUMIF($V$4:$AG$4, "SME", V35:AG35), "")</f>
        <v>0</v>
      </c>
      <c r="AJ35" s="286" t="n">
        <f aca="false">IFERROR(SUMIF($V$4:$AG$4, "De Minimis", V35:AG35), "")</f>
        <v>0</v>
      </c>
      <c r="AK35" s="303"/>
      <c r="AL35" s="288" t="str">
        <f aca="false">IF((SUM(I35:T35)&gt;1),"ERROR","")</f>
        <v/>
      </c>
    </row>
    <row r="36" customFormat="false" ht="15" hidden="false" customHeight="true" outlineLevel="0" collapsed="false">
      <c r="A36" s="340"/>
      <c r="H36" s="350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3"/>
      <c r="V36" s="284" t="n">
        <f aca="false">IFERROR(I36*$E36, "")</f>
        <v>0</v>
      </c>
      <c r="W36" s="284" t="n">
        <f aca="false">IFERROR(J36*$E36, "")</f>
        <v>0</v>
      </c>
      <c r="X36" s="284" t="n">
        <f aca="false">IFERROR(K36*$E36, "")</f>
        <v>0</v>
      </c>
      <c r="Y36" s="284" t="n">
        <f aca="false">IFERROR(L36*$E36, "")</f>
        <v>0</v>
      </c>
      <c r="Z36" s="284" t="n">
        <f aca="false">IFERROR(M36*$E36, "")</f>
        <v>0</v>
      </c>
      <c r="AA36" s="284" t="n">
        <f aca="false">IFERROR(N36*$E36, "")</f>
        <v>0</v>
      </c>
      <c r="AB36" s="284" t="n">
        <f aca="false">IFERROR(O36*$E36, "")</f>
        <v>0</v>
      </c>
      <c r="AC36" s="284" t="n">
        <f aca="false">IFERROR(P36*$E36, "")</f>
        <v>0</v>
      </c>
      <c r="AD36" s="284" t="n">
        <f aca="false">IFERROR(Q36*$E36, "")</f>
        <v>0</v>
      </c>
      <c r="AE36" s="284" t="n">
        <f aca="false">IFERROR(R36*$E36, "")</f>
        <v>0</v>
      </c>
      <c r="AF36" s="284" t="n">
        <f aca="false">IFERROR(S36*$E36, "")</f>
        <v>0</v>
      </c>
      <c r="AG36" s="284" t="n">
        <f aca="false">IFERROR(T36*$E36, "")</f>
        <v>0</v>
      </c>
      <c r="AH36" s="286" t="n">
        <f aca="false">IFERROR(SUMIF($V$4:$AG$4, "RDEC", V36:AG36), "")</f>
        <v>0</v>
      </c>
      <c r="AI36" s="286" t="n">
        <f aca="false">IFERROR(SUMIF($V$4:$AG$4, "SME", V36:AG36), "")</f>
        <v>0</v>
      </c>
      <c r="AJ36" s="286" t="n">
        <f aca="false">IFERROR(SUMIF($V$4:$AG$4, "De Minimis", V36:AG36), "")</f>
        <v>0</v>
      </c>
      <c r="AK36" s="268"/>
      <c r="AL36" s="288" t="str">
        <f aca="false">IF((SUM(I36:T36)&gt;1),"ERROR","")</f>
        <v/>
      </c>
    </row>
    <row r="37" customFormat="false" ht="15" hidden="false" customHeight="true" outlineLevel="0" collapsed="false">
      <c r="A37" s="340"/>
      <c r="H37" s="350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3"/>
      <c r="V37" s="284" t="n">
        <f aca="false">IFERROR(I37*$E37, "")</f>
        <v>0</v>
      </c>
      <c r="W37" s="284" t="n">
        <f aca="false">IFERROR(J37*$E37, "")</f>
        <v>0</v>
      </c>
      <c r="X37" s="284" t="n">
        <f aca="false">IFERROR(K37*$E37, "")</f>
        <v>0</v>
      </c>
      <c r="Y37" s="284" t="n">
        <f aca="false">IFERROR(L37*$E37, "")</f>
        <v>0</v>
      </c>
      <c r="Z37" s="284" t="n">
        <f aca="false">IFERROR(M37*$E37, "")</f>
        <v>0</v>
      </c>
      <c r="AA37" s="284" t="n">
        <f aca="false">IFERROR(N37*$E37, "")</f>
        <v>0</v>
      </c>
      <c r="AB37" s="284" t="n">
        <f aca="false">IFERROR(O37*$E37, "")</f>
        <v>0</v>
      </c>
      <c r="AC37" s="284" t="n">
        <f aca="false">IFERROR(P37*$E37, "")</f>
        <v>0</v>
      </c>
      <c r="AD37" s="284" t="n">
        <f aca="false">IFERROR(Q37*$E37, "")</f>
        <v>0</v>
      </c>
      <c r="AE37" s="284" t="n">
        <f aca="false">IFERROR(R37*$E37, "")</f>
        <v>0</v>
      </c>
      <c r="AF37" s="284" t="n">
        <f aca="false">IFERROR(S37*$E37, "")</f>
        <v>0</v>
      </c>
      <c r="AG37" s="284" t="n">
        <f aca="false">IFERROR(T37*$E37, "")</f>
        <v>0</v>
      </c>
      <c r="AH37" s="286" t="n">
        <f aca="false">IFERROR(SUMIF($V$4:$AG$4, "RDEC", V37:AG37), "")</f>
        <v>0</v>
      </c>
      <c r="AI37" s="286" t="n">
        <f aca="false">IFERROR(SUMIF($V$4:$AG$4, "SME", V37:AG37), "")</f>
        <v>0</v>
      </c>
      <c r="AJ37" s="286" t="n">
        <f aca="false">IFERROR(SUMIF($V$4:$AG$4, "De Minimis", V37:AG37), "")</f>
        <v>0</v>
      </c>
      <c r="AK37" s="287"/>
      <c r="AL37" s="288" t="str">
        <f aca="false">IF((SUM(I37:T37)&gt;1),"ERROR","")</f>
        <v/>
      </c>
    </row>
    <row r="38" customFormat="false" ht="15" hidden="false" customHeight="true" outlineLevel="0" collapsed="false">
      <c r="A38" s="340"/>
      <c r="H38" s="350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3"/>
      <c r="V38" s="284" t="n">
        <f aca="false">IFERROR(I38*$E38, "")</f>
        <v>0</v>
      </c>
      <c r="W38" s="284" t="n">
        <f aca="false">IFERROR(J38*$E38, "")</f>
        <v>0</v>
      </c>
      <c r="X38" s="284" t="n">
        <f aca="false">IFERROR(K38*$E38, "")</f>
        <v>0</v>
      </c>
      <c r="Y38" s="284" t="n">
        <f aca="false">IFERROR(L38*$E38, "")</f>
        <v>0</v>
      </c>
      <c r="Z38" s="284" t="n">
        <f aca="false">IFERROR(M38*$E38, "")</f>
        <v>0</v>
      </c>
      <c r="AA38" s="284" t="n">
        <f aca="false">IFERROR(N38*$E38, "")</f>
        <v>0</v>
      </c>
      <c r="AB38" s="284" t="n">
        <f aca="false">IFERROR(O38*$E38, "")</f>
        <v>0</v>
      </c>
      <c r="AC38" s="284" t="n">
        <f aca="false">IFERROR(P38*$E38, "")</f>
        <v>0</v>
      </c>
      <c r="AD38" s="284" t="n">
        <f aca="false">IFERROR(Q38*$E38, "")</f>
        <v>0</v>
      </c>
      <c r="AE38" s="284" t="n">
        <f aca="false">IFERROR(R38*$E38, "")</f>
        <v>0</v>
      </c>
      <c r="AF38" s="284" t="n">
        <f aca="false">IFERROR(S38*$E38, "")</f>
        <v>0</v>
      </c>
      <c r="AG38" s="284" t="n">
        <f aca="false">IFERROR(T38*$E38, "")</f>
        <v>0</v>
      </c>
      <c r="AH38" s="286" t="n">
        <f aca="false">IFERROR(SUMIF($V$4:$AG$4, "RDEC", V38:AG38), "")</f>
        <v>0</v>
      </c>
      <c r="AI38" s="286" t="n">
        <f aca="false">IFERROR(SUMIF($V$4:$AG$4, "SME", V38:AG38), "")</f>
        <v>0</v>
      </c>
      <c r="AJ38" s="286" t="n">
        <f aca="false">IFERROR(SUMIF($V$4:$AG$4, "De Minimis", V38:AG38), "")</f>
        <v>0</v>
      </c>
      <c r="AK38" s="287"/>
      <c r="AL38" s="288" t="str">
        <f aca="false">IF((SUM(I38:T38)&gt;1),"ERROR","")</f>
        <v/>
      </c>
    </row>
    <row r="39" customFormat="false" ht="15" hidden="false" customHeight="true" outlineLevel="0" collapsed="false">
      <c r="A39" s="340"/>
      <c r="H39" s="350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3"/>
      <c r="V39" s="284" t="n">
        <f aca="false">IFERROR(I39*$E39, "")</f>
        <v>0</v>
      </c>
      <c r="W39" s="284" t="n">
        <f aca="false">IFERROR(J39*$E39, "")</f>
        <v>0</v>
      </c>
      <c r="X39" s="284" t="n">
        <f aca="false">IFERROR(K39*$E39, "")</f>
        <v>0</v>
      </c>
      <c r="Y39" s="284" t="n">
        <f aca="false">IFERROR(L39*$E39, "")</f>
        <v>0</v>
      </c>
      <c r="Z39" s="284" t="n">
        <f aca="false">IFERROR(M39*$E39, "")</f>
        <v>0</v>
      </c>
      <c r="AA39" s="284" t="n">
        <f aca="false">IFERROR(N39*$E39, "")</f>
        <v>0</v>
      </c>
      <c r="AB39" s="284" t="n">
        <f aca="false">IFERROR(O39*$E39, "")</f>
        <v>0</v>
      </c>
      <c r="AC39" s="284" t="n">
        <f aca="false">IFERROR(P39*$E39, "")</f>
        <v>0</v>
      </c>
      <c r="AD39" s="284" t="n">
        <f aca="false">IFERROR(Q39*$E39, "")</f>
        <v>0</v>
      </c>
      <c r="AE39" s="284" t="n">
        <f aca="false">IFERROR(R39*$E39, "")</f>
        <v>0</v>
      </c>
      <c r="AF39" s="284" t="n">
        <f aca="false">IFERROR(S39*$E39, "")</f>
        <v>0</v>
      </c>
      <c r="AG39" s="284" t="n">
        <f aca="false">IFERROR(T39*$E39, "")</f>
        <v>0</v>
      </c>
      <c r="AH39" s="286" t="n">
        <f aca="false">IFERROR(SUMIF($V$4:$AG$4, "RDEC", V39:AG39), "")</f>
        <v>0</v>
      </c>
      <c r="AI39" s="286" t="n">
        <f aca="false">IFERROR(SUMIF($V$4:$AG$4, "SME", V39:AG39), "")</f>
        <v>0</v>
      </c>
      <c r="AJ39" s="286" t="n">
        <f aca="false">IFERROR(SUMIF($V$4:$AG$4, "De Minimis", V39:AG39), "")</f>
        <v>0</v>
      </c>
      <c r="AK39" s="287"/>
      <c r="AL39" s="288" t="str">
        <f aca="false">IF((SUM(I39:T39)&gt;1),"ERROR","")</f>
        <v/>
      </c>
    </row>
    <row r="40" customFormat="false" ht="15" hidden="false" customHeight="true" outlineLevel="0" collapsed="false">
      <c r="A40" s="340"/>
      <c r="H40" s="350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3"/>
      <c r="V40" s="284" t="n">
        <f aca="false">IFERROR(I40*$E40, "")</f>
        <v>0</v>
      </c>
      <c r="W40" s="284" t="n">
        <f aca="false">IFERROR(J40*$E40, "")</f>
        <v>0</v>
      </c>
      <c r="X40" s="284" t="n">
        <f aca="false">IFERROR(K40*$E40, "")</f>
        <v>0</v>
      </c>
      <c r="Y40" s="284" t="n">
        <f aca="false">IFERROR(L40*$E40, "")</f>
        <v>0</v>
      </c>
      <c r="Z40" s="284" t="n">
        <f aca="false">IFERROR(M40*$E40, "")</f>
        <v>0</v>
      </c>
      <c r="AA40" s="284" t="n">
        <f aca="false">IFERROR(N40*$E40, "")</f>
        <v>0</v>
      </c>
      <c r="AB40" s="284" t="n">
        <f aca="false">IFERROR(O40*$E40, "")</f>
        <v>0</v>
      </c>
      <c r="AC40" s="284" t="n">
        <f aca="false">IFERROR(P40*$E40, "")</f>
        <v>0</v>
      </c>
      <c r="AD40" s="284" t="n">
        <f aca="false">IFERROR(Q40*$E40, "")</f>
        <v>0</v>
      </c>
      <c r="AE40" s="284" t="n">
        <f aca="false">IFERROR(R40*$E40, "")</f>
        <v>0</v>
      </c>
      <c r="AF40" s="284" t="n">
        <f aca="false">IFERROR(S40*$E40, "")</f>
        <v>0</v>
      </c>
      <c r="AG40" s="284" t="n">
        <f aca="false">IFERROR(T40*$E40, "")</f>
        <v>0</v>
      </c>
      <c r="AH40" s="286" t="n">
        <f aca="false">IFERROR(SUMIF($V$4:$AG$4, "RDEC", V40:AG40), "")</f>
        <v>0</v>
      </c>
      <c r="AI40" s="286" t="n">
        <f aca="false">IFERROR(SUMIF($V$4:$AG$4, "SME", V40:AG40), "")</f>
        <v>0</v>
      </c>
      <c r="AJ40" s="286" t="n">
        <f aca="false">IFERROR(SUMIF($V$4:$AG$4, "De Minimis", V40:AG40), "")</f>
        <v>0</v>
      </c>
      <c r="AK40" s="287"/>
      <c r="AL40" s="288" t="str">
        <f aca="false">IF((SUM(I40:T40)&gt;1),"ERROR","")</f>
        <v/>
      </c>
    </row>
    <row r="41" customFormat="false" ht="15" hidden="false" customHeight="true" outlineLevel="0" collapsed="false">
      <c r="A41" s="340"/>
      <c r="H41" s="350"/>
      <c r="I41" s="282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3"/>
      <c r="V41" s="284" t="n">
        <f aca="false">IFERROR(I41*$E41, "")</f>
        <v>0</v>
      </c>
      <c r="W41" s="284" t="n">
        <f aca="false">IFERROR(J41*$E41, "")</f>
        <v>0</v>
      </c>
      <c r="X41" s="284" t="n">
        <f aca="false">IFERROR(K41*$E41, "")</f>
        <v>0</v>
      </c>
      <c r="Y41" s="284" t="n">
        <f aca="false">IFERROR(L41*$E41, "")</f>
        <v>0</v>
      </c>
      <c r="Z41" s="284" t="n">
        <f aca="false">IFERROR(M41*$E41, "")</f>
        <v>0</v>
      </c>
      <c r="AA41" s="284" t="n">
        <f aca="false">IFERROR(N41*$E41, "")</f>
        <v>0</v>
      </c>
      <c r="AB41" s="284" t="n">
        <f aca="false">IFERROR(O41*$E41, "")</f>
        <v>0</v>
      </c>
      <c r="AC41" s="284" t="n">
        <f aca="false">IFERROR(P41*$E41, "")</f>
        <v>0</v>
      </c>
      <c r="AD41" s="284" t="n">
        <f aca="false">IFERROR(Q41*$E41, "")</f>
        <v>0</v>
      </c>
      <c r="AE41" s="284" t="n">
        <f aca="false">IFERROR(R41*$E41, "")</f>
        <v>0</v>
      </c>
      <c r="AF41" s="284" t="n">
        <f aca="false">IFERROR(S41*$E41, "")</f>
        <v>0</v>
      </c>
      <c r="AG41" s="284" t="n">
        <f aca="false">IFERROR(T41*$E41, "")</f>
        <v>0</v>
      </c>
      <c r="AH41" s="286" t="n">
        <f aca="false">IFERROR(SUMIF($V$4:$AG$4, "RDEC", V41:AG41), "")</f>
        <v>0</v>
      </c>
      <c r="AI41" s="286" t="n">
        <f aca="false">IFERROR(SUMIF($V$4:$AG$4, "SME", V41:AG41), "")</f>
        <v>0</v>
      </c>
      <c r="AJ41" s="286" t="n">
        <f aca="false">IFERROR(SUMIF($V$4:$AG$4, "De Minimis", V41:AG41), "")</f>
        <v>0</v>
      </c>
      <c r="AK41" s="287"/>
      <c r="AL41" s="288" t="str">
        <f aca="false">IF((SUM(I41:T41)&gt;1),"ERROR","")</f>
        <v/>
      </c>
    </row>
    <row r="42" customFormat="false" ht="15" hidden="false" customHeight="true" outlineLevel="0" collapsed="false">
      <c r="A42" s="340"/>
      <c r="H42" s="350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3"/>
      <c r="V42" s="284" t="n">
        <f aca="false">IFERROR(I42*$E42, "")</f>
        <v>0</v>
      </c>
      <c r="W42" s="284" t="n">
        <f aca="false">IFERROR(J42*$E42, "")</f>
        <v>0</v>
      </c>
      <c r="X42" s="284" t="n">
        <f aca="false">IFERROR(K42*$E42, "")</f>
        <v>0</v>
      </c>
      <c r="Y42" s="284" t="n">
        <f aca="false">IFERROR(L42*$E42, "")</f>
        <v>0</v>
      </c>
      <c r="Z42" s="284" t="n">
        <f aca="false">IFERROR(M42*$E42, "")</f>
        <v>0</v>
      </c>
      <c r="AA42" s="284" t="n">
        <f aca="false">IFERROR(N42*$E42, "")</f>
        <v>0</v>
      </c>
      <c r="AB42" s="284" t="n">
        <f aca="false">IFERROR(O42*$E42, "")</f>
        <v>0</v>
      </c>
      <c r="AC42" s="284" t="n">
        <f aca="false">IFERROR(P42*$E42, "")</f>
        <v>0</v>
      </c>
      <c r="AD42" s="284" t="n">
        <f aca="false">IFERROR(Q42*$E42, "")</f>
        <v>0</v>
      </c>
      <c r="AE42" s="284" t="n">
        <f aca="false">IFERROR(R42*$E42, "")</f>
        <v>0</v>
      </c>
      <c r="AF42" s="284" t="n">
        <f aca="false">IFERROR(S42*$E42, "")</f>
        <v>0</v>
      </c>
      <c r="AG42" s="284" t="n">
        <f aca="false">IFERROR(T42*$E42, "")</f>
        <v>0</v>
      </c>
      <c r="AH42" s="286" t="n">
        <f aca="false">IFERROR(SUMIF($V$4:$AG$4, "RDEC", V42:AG42), "")</f>
        <v>0</v>
      </c>
      <c r="AI42" s="286" t="n">
        <f aca="false">IFERROR(SUMIF($V$4:$AG$4, "SME", V42:AG42), "")</f>
        <v>0</v>
      </c>
      <c r="AJ42" s="286" t="n">
        <f aca="false">IFERROR(SUMIF($V$4:$AG$4, "De Minimis", V42:AG42), "")</f>
        <v>0</v>
      </c>
      <c r="AK42" s="287"/>
      <c r="AL42" s="288" t="str">
        <f aca="false">IF((SUM(I42:T42)&gt;1),"ERROR","")</f>
        <v/>
      </c>
    </row>
    <row r="43" customFormat="false" ht="15" hidden="false" customHeight="true" outlineLevel="0" collapsed="false">
      <c r="A43" s="340"/>
      <c r="H43" s="350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3"/>
      <c r="V43" s="284" t="n">
        <f aca="false">IFERROR(I43*$E43, "")</f>
        <v>0</v>
      </c>
      <c r="W43" s="284" t="n">
        <f aca="false">IFERROR(J43*$E43, "")</f>
        <v>0</v>
      </c>
      <c r="X43" s="284" t="n">
        <f aca="false">IFERROR(K43*$E43, "")</f>
        <v>0</v>
      </c>
      <c r="Y43" s="284" t="n">
        <f aca="false">IFERROR(L43*$E43, "")</f>
        <v>0</v>
      </c>
      <c r="Z43" s="284" t="n">
        <f aca="false">IFERROR(M43*$E43, "")</f>
        <v>0</v>
      </c>
      <c r="AA43" s="284" t="n">
        <f aca="false">IFERROR(N43*$E43, "")</f>
        <v>0</v>
      </c>
      <c r="AB43" s="284" t="n">
        <f aca="false">IFERROR(O43*$E43, "")</f>
        <v>0</v>
      </c>
      <c r="AC43" s="284" t="n">
        <f aca="false">IFERROR(P43*$E43, "")</f>
        <v>0</v>
      </c>
      <c r="AD43" s="284" t="n">
        <f aca="false">IFERROR(Q43*$E43, "")</f>
        <v>0</v>
      </c>
      <c r="AE43" s="284" t="n">
        <f aca="false">IFERROR(R43*$E43, "")</f>
        <v>0</v>
      </c>
      <c r="AF43" s="284" t="n">
        <f aca="false">IFERROR(S43*$E43, "")</f>
        <v>0</v>
      </c>
      <c r="AG43" s="284" t="n">
        <f aca="false">IFERROR(T43*$E43, "")</f>
        <v>0</v>
      </c>
      <c r="AH43" s="286" t="n">
        <f aca="false">IFERROR(SUMIF($V$4:$AG$4, "RDEC", V43:AG43), "")</f>
        <v>0</v>
      </c>
      <c r="AI43" s="286" t="n">
        <f aca="false">IFERROR(SUMIF($V$4:$AG$4, "SME", V43:AG43), "")</f>
        <v>0</v>
      </c>
      <c r="AJ43" s="286" t="n">
        <f aca="false">IFERROR(SUMIF($V$4:$AG$4, "De Minimis", V43:AG43), "")</f>
        <v>0</v>
      </c>
      <c r="AK43" s="287"/>
      <c r="AL43" s="288" t="str">
        <f aca="false">IF((SUM(I43:T43)&gt;1),"ERROR","")</f>
        <v/>
      </c>
    </row>
    <row r="44" customFormat="false" ht="15" hidden="false" customHeight="true" outlineLevel="0" collapsed="false">
      <c r="A44" s="340"/>
      <c r="H44" s="350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3"/>
      <c r="V44" s="284" t="n">
        <f aca="false">IFERROR(I44*$E44, "")</f>
        <v>0</v>
      </c>
      <c r="W44" s="284" t="n">
        <f aca="false">IFERROR(J44*$E44, "")</f>
        <v>0</v>
      </c>
      <c r="X44" s="284" t="n">
        <f aca="false">IFERROR(K44*$E44, "")</f>
        <v>0</v>
      </c>
      <c r="Y44" s="284" t="n">
        <f aca="false">IFERROR(L44*$E44, "")</f>
        <v>0</v>
      </c>
      <c r="Z44" s="284" t="n">
        <f aca="false">IFERROR(M44*$E44, "")</f>
        <v>0</v>
      </c>
      <c r="AA44" s="284" t="n">
        <f aca="false">IFERROR(N44*$E44, "")</f>
        <v>0</v>
      </c>
      <c r="AB44" s="284" t="n">
        <f aca="false">IFERROR(O44*$E44, "")</f>
        <v>0</v>
      </c>
      <c r="AC44" s="284" t="n">
        <f aca="false">IFERROR(P44*$E44, "")</f>
        <v>0</v>
      </c>
      <c r="AD44" s="284" t="n">
        <f aca="false">IFERROR(Q44*$E44, "")</f>
        <v>0</v>
      </c>
      <c r="AE44" s="284" t="n">
        <f aca="false">IFERROR(R44*$E44, "")</f>
        <v>0</v>
      </c>
      <c r="AF44" s="284" t="n">
        <f aca="false">IFERROR(S44*$E44, "")</f>
        <v>0</v>
      </c>
      <c r="AG44" s="284" t="n">
        <f aca="false">IFERROR(T44*$E44, "")</f>
        <v>0</v>
      </c>
      <c r="AH44" s="286" t="n">
        <f aca="false">IFERROR(SUMIF($V$4:$AG$4, "RDEC", V44:AG44), "")</f>
        <v>0</v>
      </c>
      <c r="AI44" s="286" t="n">
        <f aca="false">IFERROR(SUMIF($V$4:$AG$4, "SME", V44:AG44), "")</f>
        <v>0</v>
      </c>
      <c r="AJ44" s="286" t="n">
        <f aca="false">IFERROR(SUMIF($V$4:$AG$4, "De Minimis", V44:AG44), "")</f>
        <v>0</v>
      </c>
      <c r="AK44" s="287"/>
      <c r="AL44" s="288" t="str">
        <f aca="false">IF((SUM(I44:T44)&gt;1),"ERROR","")</f>
        <v/>
      </c>
    </row>
    <row r="45" customFormat="false" ht="15" hidden="false" customHeight="true" outlineLevel="0" collapsed="false">
      <c r="A45" s="340"/>
      <c r="H45" s="350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3"/>
      <c r="V45" s="284" t="n">
        <f aca="false">IFERROR(I45*$E45, "")</f>
        <v>0</v>
      </c>
      <c r="W45" s="284" t="n">
        <f aca="false">IFERROR(J45*$E45, "")</f>
        <v>0</v>
      </c>
      <c r="X45" s="284" t="n">
        <f aca="false">IFERROR(K45*$E45, "")</f>
        <v>0</v>
      </c>
      <c r="Y45" s="284" t="n">
        <f aca="false">IFERROR(L45*$E45, "")</f>
        <v>0</v>
      </c>
      <c r="Z45" s="284" t="n">
        <f aca="false">IFERROR(M45*$E45, "")</f>
        <v>0</v>
      </c>
      <c r="AA45" s="284" t="n">
        <f aca="false">IFERROR(N45*$E45, "")</f>
        <v>0</v>
      </c>
      <c r="AB45" s="284" t="n">
        <f aca="false">IFERROR(O45*$E45, "")</f>
        <v>0</v>
      </c>
      <c r="AC45" s="284" t="n">
        <f aca="false">IFERROR(P45*$E45, "")</f>
        <v>0</v>
      </c>
      <c r="AD45" s="284" t="n">
        <f aca="false">IFERROR(Q45*$E45, "")</f>
        <v>0</v>
      </c>
      <c r="AE45" s="284" t="n">
        <f aca="false">IFERROR(R45*$E45, "")</f>
        <v>0</v>
      </c>
      <c r="AF45" s="284" t="n">
        <f aca="false">IFERROR(S45*$E45, "")</f>
        <v>0</v>
      </c>
      <c r="AG45" s="284" t="n">
        <f aca="false">IFERROR(T45*$E45, "")</f>
        <v>0</v>
      </c>
      <c r="AH45" s="286" t="n">
        <f aca="false">IFERROR(SUMIF($V$4:$AG$4, "RDEC", V45:AG45), "")</f>
        <v>0</v>
      </c>
      <c r="AI45" s="286" t="n">
        <f aca="false">IFERROR(SUMIF($V$4:$AG$4, "SME", V45:AG45), "")</f>
        <v>0</v>
      </c>
      <c r="AJ45" s="286" t="n">
        <f aca="false">IFERROR(SUMIF($V$4:$AG$4, "De Minimis", V45:AG45), "")</f>
        <v>0</v>
      </c>
      <c r="AK45" s="287"/>
      <c r="AL45" s="288" t="str">
        <f aca="false">IF((SUM(I45:T45)&gt;1),"ERROR","")</f>
        <v/>
      </c>
    </row>
    <row r="46" customFormat="false" ht="15" hidden="false" customHeight="true" outlineLevel="0" collapsed="false">
      <c r="A46" s="340"/>
      <c r="H46" s="350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3"/>
      <c r="V46" s="284" t="n">
        <f aca="false">IFERROR(I46*$E46, "")</f>
        <v>0</v>
      </c>
      <c r="W46" s="284" t="n">
        <f aca="false">IFERROR(J46*$E46, "")</f>
        <v>0</v>
      </c>
      <c r="X46" s="284" t="n">
        <f aca="false">IFERROR(K46*$E46, "")</f>
        <v>0</v>
      </c>
      <c r="Y46" s="284" t="n">
        <f aca="false">IFERROR(L46*$E46, "")</f>
        <v>0</v>
      </c>
      <c r="Z46" s="284" t="n">
        <f aca="false">IFERROR(M46*$E46, "")</f>
        <v>0</v>
      </c>
      <c r="AA46" s="284" t="n">
        <f aca="false">IFERROR(N46*$E46, "")</f>
        <v>0</v>
      </c>
      <c r="AB46" s="284" t="n">
        <f aca="false">IFERROR(O46*$E46, "")</f>
        <v>0</v>
      </c>
      <c r="AC46" s="284" t="n">
        <f aca="false">IFERROR(P46*$E46, "")</f>
        <v>0</v>
      </c>
      <c r="AD46" s="284" t="n">
        <f aca="false">IFERROR(Q46*$E46, "")</f>
        <v>0</v>
      </c>
      <c r="AE46" s="284" t="n">
        <f aca="false">IFERROR(R46*$E46, "")</f>
        <v>0</v>
      </c>
      <c r="AF46" s="284" t="n">
        <f aca="false">IFERROR(S46*$E46, "")</f>
        <v>0</v>
      </c>
      <c r="AG46" s="284" t="n">
        <f aca="false">IFERROR(T46*$E46, "")</f>
        <v>0</v>
      </c>
      <c r="AH46" s="286" t="n">
        <f aca="false">IFERROR(SUMIF($V$4:$AG$4, "RDEC", V46:AG46), "")</f>
        <v>0</v>
      </c>
      <c r="AI46" s="286" t="n">
        <f aca="false">IFERROR(SUMIF($V$4:$AG$4, "SME", V46:AG46), "")</f>
        <v>0</v>
      </c>
      <c r="AJ46" s="286" t="n">
        <f aca="false">IFERROR(SUMIF($V$4:$AG$4, "De Minimis", V46:AG46), "")</f>
        <v>0</v>
      </c>
      <c r="AK46" s="287"/>
      <c r="AL46" s="288" t="str">
        <f aca="false">IF((SUM(I46:T46)&gt;1),"ERROR","")</f>
        <v/>
      </c>
    </row>
    <row r="47" customFormat="false" ht="15" hidden="false" customHeight="true" outlineLevel="0" collapsed="false">
      <c r="A47" s="340"/>
      <c r="H47" s="350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3"/>
      <c r="V47" s="284" t="n">
        <f aca="false">IFERROR(I47*$E47, "")</f>
        <v>0</v>
      </c>
      <c r="W47" s="284" t="n">
        <f aca="false">IFERROR(J47*$E47, "")</f>
        <v>0</v>
      </c>
      <c r="X47" s="284" t="n">
        <f aca="false">IFERROR(K47*$E47, "")</f>
        <v>0</v>
      </c>
      <c r="Y47" s="284" t="n">
        <f aca="false">IFERROR(L47*$E47, "")</f>
        <v>0</v>
      </c>
      <c r="Z47" s="284" t="n">
        <f aca="false">IFERROR(M47*$E47, "")</f>
        <v>0</v>
      </c>
      <c r="AA47" s="284" t="n">
        <f aca="false">IFERROR(N47*$E47, "")</f>
        <v>0</v>
      </c>
      <c r="AB47" s="284" t="n">
        <f aca="false">IFERROR(O47*$E47, "")</f>
        <v>0</v>
      </c>
      <c r="AC47" s="284" t="n">
        <f aca="false">IFERROR(P47*$E47, "")</f>
        <v>0</v>
      </c>
      <c r="AD47" s="284" t="n">
        <f aca="false">IFERROR(Q47*$E47, "")</f>
        <v>0</v>
      </c>
      <c r="AE47" s="284" t="n">
        <f aca="false">IFERROR(R47*$E47, "")</f>
        <v>0</v>
      </c>
      <c r="AF47" s="284" t="n">
        <f aca="false">IFERROR(S47*$E47, "")</f>
        <v>0</v>
      </c>
      <c r="AG47" s="284" t="n">
        <f aca="false">IFERROR(T47*$E47, "")</f>
        <v>0</v>
      </c>
      <c r="AH47" s="286" t="n">
        <f aca="false">IFERROR(SUMIF($V$4:$AG$4, "RDEC", V47:AG47), "")</f>
        <v>0</v>
      </c>
      <c r="AI47" s="286" t="n">
        <f aca="false">IFERROR(SUMIF($V$4:$AG$4, "SME", V47:AG47), "")</f>
        <v>0</v>
      </c>
      <c r="AJ47" s="286" t="n">
        <f aca="false">IFERROR(SUMIF($V$4:$AG$4, "De Minimis", V47:AG47), "")</f>
        <v>0</v>
      </c>
      <c r="AK47" s="287"/>
      <c r="AL47" s="288" t="str">
        <f aca="false">IF((SUM(I47:T47)&gt;1),"ERROR","")</f>
        <v/>
      </c>
    </row>
    <row r="48" customFormat="false" ht="15" hidden="false" customHeight="true" outlineLevel="0" collapsed="false">
      <c r="A48" s="340"/>
      <c r="H48" s="350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3"/>
      <c r="V48" s="284" t="n">
        <f aca="false">IFERROR(I48*$E48, "")</f>
        <v>0</v>
      </c>
      <c r="W48" s="284" t="n">
        <f aca="false">IFERROR(J48*$E48, "")</f>
        <v>0</v>
      </c>
      <c r="X48" s="284" t="n">
        <f aca="false">IFERROR(K48*$E48, "")</f>
        <v>0</v>
      </c>
      <c r="Y48" s="284" t="n">
        <f aca="false">IFERROR(L48*$E48, "")</f>
        <v>0</v>
      </c>
      <c r="Z48" s="284" t="n">
        <f aca="false">IFERROR(M48*$E48, "")</f>
        <v>0</v>
      </c>
      <c r="AA48" s="284" t="n">
        <f aca="false">IFERROR(N48*$E48, "")</f>
        <v>0</v>
      </c>
      <c r="AB48" s="284" t="n">
        <f aca="false">IFERROR(O48*$E48, "")</f>
        <v>0</v>
      </c>
      <c r="AC48" s="284" t="n">
        <f aca="false">IFERROR(P48*$E48, "")</f>
        <v>0</v>
      </c>
      <c r="AD48" s="284" t="n">
        <f aca="false">IFERROR(Q48*$E48, "")</f>
        <v>0</v>
      </c>
      <c r="AE48" s="284" t="n">
        <f aca="false">IFERROR(R48*$E48, "")</f>
        <v>0</v>
      </c>
      <c r="AF48" s="284" t="n">
        <f aca="false">IFERROR(S48*$E48, "")</f>
        <v>0</v>
      </c>
      <c r="AG48" s="284" t="n">
        <f aca="false">IFERROR(T48*$E48, "")</f>
        <v>0</v>
      </c>
      <c r="AH48" s="286" t="n">
        <f aca="false">IFERROR(SUMIF($V$4:$AG$4, "RDEC", V48:AG48), "")</f>
        <v>0</v>
      </c>
      <c r="AI48" s="286" t="n">
        <f aca="false">IFERROR(SUMIF($V$4:$AG$4, "SME", V48:AG48), "")</f>
        <v>0</v>
      </c>
      <c r="AJ48" s="286" t="n">
        <f aca="false">IFERROR(SUMIF($V$4:$AG$4, "De Minimis", V48:AG48), "")</f>
        <v>0</v>
      </c>
      <c r="AK48" s="287"/>
      <c r="AL48" s="288" t="str">
        <f aca="false">IF((SUM(I48:T48)&gt;1),"ERROR","")</f>
        <v/>
      </c>
    </row>
    <row r="49" customFormat="false" ht="15" hidden="false" customHeight="true" outlineLevel="0" collapsed="false">
      <c r="A49" s="340"/>
      <c r="H49" s="350"/>
      <c r="I49" s="282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3"/>
      <c r="V49" s="284" t="n">
        <f aca="false">IFERROR(I49*$E49, "")</f>
        <v>0</v>
      </c>
      <c r="W49" s="284" t="n">
        <f aca="false">IFERROR(J49*$E49, "")</f>
        <v>0</v>
      </c>
      <c r="X49" s="284" t="n">
        <f aca="false">IFERROR(K49*$E49, "")</f>
        <v>0</v>
      </c>
      <c r="Y49" s="284" t="n">
        <f aca="false">IFERROR(L49*$E49, "")</f>
        <v>0</v>
      </c>
      <c r="Z49" s="284" t="n">
        <f aca="false">IFERROR(M49*$E49, "")</f>
        <v>0</v>
      </c>
      <c r="AA49" s="284" t="n">
        <f aca="false">IFERROR(N49*$E49, "")</f>
        <v>0</v>
      </c>
      <c r="AB49" s="284" t="n">
        <f aca="false">IFERROR(O49*$E49, "")</f>
        <v>0</v>
      </c>
      <c r="AC49" s="284" t="n">
        <f aca="false">IFERROR(P49*$E49, "")</f>
        <v>0</v>
      </c>
      <c r="AD49" s="284" t="n">
        <f aca="false">IFERROR(Q49*$E49, "")</f>
        <v>0</v>
      </c>
      <c r="AE49" s="284" t="n">
        <f aca="false">IFERROR(R49*$E49, "")</f>
        <v>0</v>
      </c>
      <c r="AF49" s="284" t="n">
        <f aca="false">IFERROR(S49*$E49, "")</f>
        <v>0</v>
      </c>
      <c r="AG49" s="284" t="n">
        <f aca="false">IFERROR(T49*$E49, "")</f>
        <v>0</v>
      </c>
      <c r="AH49" s="286" t="n">
        <f aca="false">IFERROR(SUMIF($V$4:$AG$4, "RDEC", V49:AG49), "")</f>
        <v>0</v>
      </c>
      <c r="AI49" s="286" t="n">
        <f aca="false">IFERROR(SUMIF($V$4:$AG$4, "SME", V49:AG49), "")</f>
        <v>0</v>
      </c>
      <c r="AJ49" s="286" t="n">
        <f aca="false">IFERROR(SUMIF($V$4:$AG$4, "De Minimis", V49:AG49), "")</f>
        <v>0</v>
      </c>
      <c r="AK49" s="303"/>
      <c r="AL49" s="288" t="str">
        <f aca="false">IF((SUM(I49:T49)&gt;1),"ERROR","")</f>
        <v/>
      </c>
    </row>
    <row r="50" customFormat="false" ht="15" hidden="false" customHeight="true" outlineLevel="0" collapsed="false">
      <c r="A50" s="340"/>
      <c r="H50" s="350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3"/>
      <c r="V50" s="284" t="n">
        <f aca="false">IFERROR(I50*$E50, "")</f>
        <v>0</v>
      </c>
      <c r="W50" s="284" t="n">
        <f aca="false">IFERROR(J50*$E50, "")</f>
        <v>0</v>
      </c>
      <c r="X50" s="284" t="n">
        <f aca="false">IFERROR(K50*$E50, "")</f>
        <v>0</v>
      </c>
      <c r="Y50" s="284" t="n">
        <f aca="false">IFERROR(L50*$E50, "")</f>
        <v>0</v>
      </c>
      <c r="Z50" s="284" t="n">
        <f aca="false">IFERROR(M50*$E50, "")</f>
        <v>0</v>
      </c>
      <c r="AA50" s="284" t="n">
        <f aca="false">IFERROR(N50*$E50, "")</f>
        <v>0</v>
      </c>
      <c r="AB50" s="284" t="n">
        <f aca="false">IFERROR(O50*$E50, "")</f>
        <v>0</v>
      </c>
      <c r="AC50" s="284" t="n">
        <f aca="false">IFERROR(P50*$E50, "")</f>
        <v>0</v>
      </c>
      <c r="AD50" s="284" t="n">
        <f aca="false">IFERROR(Q50*$E50, "")</f>
        <v>0</v>
      </c>
      <c r="AE50" s="284" t="n">
        <f aca="false">IFERROR(R50*$E50, "")</f>
        <v>0</v>
      </c>
      <c r="AF50" s="284" t="n">
        <f aca="false">IFERROR(S50*$E50, "")</f>
        <v>0</v>
      </c>
      <c r="AG50" s="284" t="n">
        <f aca="false">IFERROR(T50*$E50, "")</f>
        <v>0</v>
      </c>
      <c r="AH50" s="286" t="n">
        <f aca="false">IFERROR(SUMIF($V$4:$AG$4, "RDEC", V50:AG50), "")</f>
        <v>0</v>
      </c>
      <c r="AI50" s="286" t="n">
        <f aca="false">IFERROR(SUMIF($V$4:$AG$4, "SME", V50:AG50), "")</f>
        <v>0</v>
      </c>
      <c r="AJ50" s="286" t="n">
        <f aca="false">IFERROR(SUMIF($V$4:$AG$4, "De Minimis", V50:AG50), "")</f>
        <v>0</v>
      </c>
      <c r="AL50" s="288" t="str">
        <f aca="false">IF((SUM(I50:T50)&gt;1),"ERROR","")</f>
        <v/>
      </c>
    </row>
    <row r="51" customFormat="false" ht="15" hidden="false" customHeight="true" outlineLevel="0" collapsed="false">
      <c r="A51" s="340"/>
      <c r="H51" s="350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3"/>
      <c r="V51" s="284" t="n">
        <f aca="false">IFERROR(I51*$E51, "")</f>
        <v>0</v>
      </c>
      <c r="W51" s="284" t="n">
        <f aca="false">IFERROR(J51*$E51, "")</f>
        <v>0</v>
      </c>
      <c r="X51" s="284" t="n">
        <f aca="false">IFERROR(K51*$E51, "")</f>
        <v>0</v>
      </c>
      <c r="Y51" s="284" t="n">
        <f aca="false">IFERROR(L51*$E51, "")</f>
        <v>0</v>
      </c>
      <c r="Z51" s="284" t="n">
        <f aca="false">IFERROR(M51*$E51, "")</f>
        <v>0</v>
      </c>
      <c r="AA51" s="284" t="n">
        <f aca="false">IFERROR(N51*$E51, "")</f>
        <v>0</v>
      </c>
      <c r="AB51" s="284" t="n">
        <f aca="false">IFERROR(O51*$E51, "")</f>
        <v>0</v>
      </c>
      <c r="AC51" s="284" t="n">
        <f aca="false">IFERROR(P51*$E51, "")</f>
        <v>0</v>
      </c>
      <c r="AD51" s="284" t="n">
        <f aca="false">IFERROR(Q51*$E51, "")</f>
        <v>0</v>
      </c>
      <c r="AE51" s="284" t="n">
        <f aca="false">IFERROR(R51*$E51, "")</f>
        <v>0</v>
      </c>
      <c r="AF51" s="284" t="n">
        <f aca="false">IFERROR(S51*$E51, "")</f>
        <v>0</v>
      </c>
      <c r="AG51" s="284" t="n">
        <f aca="false">IFERROR(T51*$E51, "")</f>
        <v>0</v>
      </c>
      <c r="AH51" s="286" t="n">
        <f aca="false">IFERROR(SUMIF($V$4:$AG$4, "RDEC", V51:AG51), "")</f>
        <v>0</v>
      </c>
      <c r="AI51" s="286" t="n">
        <f aca="false">IFERROR(SUMIF($V$4:$AG$4, "SME", V51:AG51), "")</f>
        <v>0</v>
      </c>
      <c r="AJ51" s="286" t="n">
        <f aca="false">IFERROR(SUMIF($V$4:$AG$4, "De Minimis", V51:AG51), "")</f>
        <v>0</v>
      </c>
      <c r="AK51" s="268"/>
      <c r="AL51" s="288" t="str">
        <f aca="false">IF((SUM(I51:T51)&gt;1),"ERROR","")</f>
        <v/>
      </c>
    </row>
    <row r="52" customFormat="false" ht="15" hidden="false" customHeight="true" outlineLevel="0" collapsed="false">
      <c r="A52" s="340"/>
      <c r="H52" s="350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3"/>
      <c r="V52" s="284" t="n">
        <f aca="false">IFERROR(I52*$E52, "")</f>
        <v>0</v>
      </c>
      <c r="W52" s="284" t="n">
        <f aca="false">IFERROR(J52*$E52, "")</f>
        <v>0</v>
      </c>
      <c r="X52" s="284" t="n">
        <f aca="false">IFERROR(K52*$E52, "")</f>
        <v>0</v>
      </c>
      <c r="Y52" s="284" t="n">
        <f aca="false">IFERROR(L52*$E52, "")</f>
        <v>0</v>
      </c>
      <c r="Z52" s="284" t="n">
        <f aca="false">IFERROR(M52*$E52, "")</f>
        <v>0</v>
      </c>
      <c r="AA52" s="284" t="n">
        <f aca="false">IFERROR(N52*$E52, "")</f>
        <v>0</v>
      </c>
      <c r="AB52" s="284" t="n">
        <f aca="false">IFERROR(O52*$E52, "")</f>
        <v>0</v>
      </c>
      <c r="AC52" s="284" t="n">
        <f aca="false">IFERROR(P52*$E52, "")</f>
        <v>0</v>
      </c>
      <c r="AD52" s="284" t="n">
        <f aca="false">IFERROR(Q52*$E52, "")</f>
        <v>0</v>
      </c>
      <c r="AE52" s="284" t="n">
        <f aca="false">IFERROR(R52*$E52, "")</f>
        <v>0</v>
      </c>
      <c r="AF52" s="284" t="n">
        <f aca="false">IFERROR(S52*$E52, "")</f>
        <v>0</v>
      </c>
      <c r="AG52" s="284" t="n">
        <f aca="false">IFERROR(T52*$E52, "")</f>
        <v>0</v>
      </c>
      <c r="AH52" s="286" t="n">
        <f aca="false">IFERROR(SUMIF($V$4:$AG$4, "RDEC", V52:AG52), "")</f>
        <v>0</v>
      </c>
      <c r="AI52" s="286" t="n">
        <f aca="false">IFERROR(SUMIF($V$4:$AG$4, "SME", V52:AG52), "")</f>
        <v>0</v>
      </c>
      <c r="AJ52" s="286" t="n">
        <f aca="false">IFERROR(SUMIF($V$4:$AG$4, "De Minimis", V52:AG52), "")</f>
        <v>0</v>
      </c>
      <c r="AK52" s="287"/>
      <c r="AL52" s="288" t="str">
        <f aca="false">IF((SUM(I52:T52)&gt;1),"ERROR","")</f>
        <v/>
      </c>
    </row>
    <row r="53" customFormat="false" ht="15" hidden="false" customHeight="true" outlineLevel="0" collapsed="false">
      <c r="A53" s="340"/>
      <c r="H53" s="350"/>
      <c r="I53" s="282"/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3"/>
      <c r="V53" s="284" t="n">
        <f aca="false">IFERROR(I53*$E53, "")</f>
        <v>0</v>
      </c>
      <c r="W53" s="284" t="n">
        <f aca="false">IFERROR(J53*$E53, "")</f>
        <v>0</v>
      </c>
      <c r="X53" s="284" t="n">
        <f aca="false">IFERROR(K53*$E53, "")</f>
        <v>0</v>
      </c>
      <c r="Y53" s="284" t="n">
        <f aca="false">IFERROR(L53*$E53, "")</f>
        <v>0</v>
      </c>
      <c r="Z53" s="284" t="n">
        <f aca="false">IFERROR(M53*$E53, "")</f>
        <v>0</v>
      </c>
      <c r="AA53" s="284" t="n">
        <f aca="false">IFERROR(N53*$E53, "")</f>
        <v>0</v>
      </c>
      <c r="AB53" s="284" t="n">
        <f aca="false">IFERROR(O53*$E53, "")</f>
        <v>0</v>
      </c>
      <c r="AC53" s="284" t="n">
        <f aca="false">IFERROR(P53*$E53, "")</f>
        <v>0</v>
      </c>
      <c r="AD53" s="284" t="n">
        <f aca="false">IFERROR(Q53*$E53, "")</f>
        <v>0</v>
      </c>
      <c r="AE53" s="284" t="n">
        <f aca="false">IFERROR(R53*$E53, "")</f>
        <v>0</v>
      </c>
      <c r="AF53" s="284" t="n">
        <f aca="false">IFERROR(S53*$E53, "")</f>
        <v>0</v>
      </c>
      <c r="AG53" s="284" t="n">
        <f aca="false">IFERROR(T53*$E53, "")</f>
        <v>0</v>
      </c>
      <c r="AH53" s="286" t="n">
        <f aca="false">IFERROR(SUMIF($V$4:$AG$4, "RDEC", V53:AG53), "")</f>
        <v>0</v>
      </c>
      <c r="AI53" s="286" t="n">
        <f aca="false">IFERROR(SUMIF($V$4:$AG$4, "SME", V53:AG53), "")</f>
        <v>0</v>
      </c>
      <c r="AJ53" s="286" t="n">
        <f aca="false">IFERROR(SUMIF($V$4:$AG$4, "De Minimis", V53:AG53), "")</f>
        <v>0</v>
      </c>
      <c r="AK53" s="287"/>
      <c r="AL53" s="288" t="str">
        <f aca="false">IF((SUM(I53:T53)&gt;1),"ERROR","")</f>
        <v/>
      </c>
    </row>
    <row r="54" customFormat="false" ht="15" hidden="false" customHeight="true" outlineLevel="0" collapsed="false">
      <c r="A54" s="340"/>
      <c r="H54" s="350"/>
      <c r="I54" s="282"/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3"/>
      <c r="V54" s="284" t="n">
        <f aca="false">IFERROR(I54*$E54, "")</f>
        <v>0</v>
      </c>
      <c r="W54" s="284" t="n">
        <f aca="false">IFERROR(J54*$E54, "")</f>
        <v>0</v>
      </c>
      <c r="X54" s="284" t="n">
        <f aca="false">IFERROR(K54*$E54, "")</f>
        <v>0</v>
      </c>
      <c r="Y54" s="284" t="n">
        <f aca="false">IFERROR(L54*$E54, "")</f>
        <v>0</v>
      </c>
      <c r="Z54" s="284" t="n">
        <f aca="false">IFERROR(M54*$E54, "")</f>
        <v>0</v>
      </c>
      <c r="AA54" s="284" t="n">
        <f aca="false">IFERROR(N54*$E54, "")</f>
        <v>0</v>
      </c>
      <c r="AB54" s="284" t="n">
        <f aca="false">IFERROR(O54*$E54, "")</f>
        <v>0</v>
      </c>
      <c r="AC54" s="284" t="n">
        <f aca="false">IFERROR(P54*$E54, "")</f>
        <v>0</v>
      </c>
      <c r="AD54" s="284" t="n">
        <f aca="false">IFERROR(Q54*$E54, "")</f>
        <v>0</v>
      </c>
      <c r="AE54" s="284" t="n">
        <f aca="false">IFERROR(R54*$E54, "")</f>
        <v>0</v>
      </c>
      <c r="AF54" s="284" t="n">
        <f aca="false">IFERROR(S54*$E54, "")</f>
        <v>0</v>
      </c>
      <c r="AG54" s="284" t="n">
        <f aca="false">IFERROR(T54*$E54, "")</f>
        <v>0</v>
      </c>
      <c r="AH54" s="286" t="n">
        <f aca="false">IFERROR(SUMIF($V$4:$AG$4, "RDEC", V54:AG54), "")</f>
        <v>0</v>
      </c>
      <c r="AI54" s="286" t="n">
        <f aca="false">IFERROR(SUMIF($V$4:$AG$4, "SME", V54:AG54), "")</f>
        <v>0</v>
      </c>
      <c r="AJ54" s="286" t="n">
        <f aca="false">IFERROR(SUMIF($V$4:$AG$4, "De Minimis", V54:AG54), "")</f>
        <v>0</v>
      </c>
      <c r="AK54" s="287"/>
      <c r="AL54" s="288" t="str">
        <f aca="false">IF((SUM(I54:T54)&gt;1),"ERROR","")</f>
        <v/>
      </c>
    </row>
    <row r="55" customFormat="false" ht="15" hidden="false" customHeight="true" outlineLevel="0" collapsed="false">
      <c r="A55" s="340"/>
      <c r="H55" s="350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3"/>
      <c r="V55" s="284" t="n">
        <f aca="false">IFERROR(I55*$E55, "")</f>
        <v>0</v>
      </c>
      <c r="W55" s="284" t="n">
        <f aca="false">IFERROR(J55*$E55, "")</f>
        <v>0</v>
      </c>
      <c r="X55" s="284" t="n">
        <f aca="false">IFERROR(K55*$E55, "")</f>
        <v>0</v>
      </c>
      <c r="Y55" s="284" t="n">
        <f aca="false">IFERROR(L55*$E55, "")</f>
        <v>0</v>
      </c>
      <c r="Z55" s="284" t="n">
        <f aca="false">IFERROR(M55*$E55, "")</f>
        <v>0</v>
      </c>
      <c r="AA55" s="284" t="n">
        <f aca="false">IFERROR(N55*$E55, "")</f>
        <v>0</v>
      </c>
      <c r="AB55" s="284" t="n">
        <f aca="false">IFERROR(O55*$E55, "")</f>
        <v>0</v>
      </c>
      <c r="AC55" s="284" t="n">
        <f aca="false">IFERROR(P55*$E55, "")</f>
        <v>0</v>
      </c>
      <c r="AD55" s="284" t="n">
        <f aca="false">IFERROR(Q55*$E55, "")</f>
        <v>0</v>
      </c>
      <c r="AE55" s="284" t="n">
        <f aca="false">IFERROR(R55*$E55, "")</f>
        <v>0</v>
      </c>
      <c r="AF55" s="284" t="n">
        <f aca="false">IFERROR(S55*$E55, "")</f>
        <v>0</v>
      </c>
      <c r="AG55" s="284" t="n">
        <f aca="false">IFERROR(T55*$E55, "")</f>
        <v>0</v>
      </c>
      <c r="AH55" s="286" t="n">
        <f aca="false">IFERROR(SUMIF($V$4:$AG$4, "RDEC", V55:AG55), "")</f>
        <v>0</v>
      </c>
      <c r="AI55" s="286" t="n">
        <f aca="false">IFERROR(SUMIF($V$4:$AG$4, "SME", V55:AG55), "")</f>
        <v>0</v>
      </c>
      <c r="AJ55" s="286" t="n">
        <f aca="false">IFERROR(SUMIF($V$4:$AG$4, "De Minimis", V55:AG55), "")</f>
        <v>0</v>
      </c>
      <c r="AK55" s="287"/>
      <c r="AL55" s="288" t="str">
        <f aca="false">IF((SUM(I55:T55)&gt;1),"ERROR","")</f>
        <v/>
      </c>
    </row>
    <row r="56" customFormat="false" ht="15" hidden="false" customHeight="true" outlineLevel="0" collapsed="false">
      <c r="A56" s="340"/>
      <c r="H56" s="350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3"/>
      <c r="V56" s="284" t="n">
        <f aca="false">IFERROR(I56*$E56, "")</f>
        <v>0</v>
      </c>
      <c r="W56" s="284" t="n">
        <f aca="false">IFERROR(J56*$E56, "")</f>
        <v>0</v>
      </c>
      <c r="X56" s="284" t="n">
        <f aca="false">IFERROR(K56*$E56, "")</f>
        <v>0</v>
      </c>
      <c r="Y56" s="284" t="n">
        <f aca="false">IFERROR(L56*$E56, "")</f>
        <v>0</v>
      </c>
      <c r="Z56" s="284" t="n">
        <f aca="false">IFERROR(M56*$E56, "")</f>
        <v>0</v>
      </c>
      <c r="AA56" s="284" t="n">
        <f aca="false">IFERROR(N56*$E56, "")</f>
        <v>0</v>
      </c>
      <c r="AB56" s="284" t="n">
        <f aca="false">IFERROR(O56*$E56, "")</f>
        <v>0</v>
      </c>
      <c r="AC56" s="284" t="n">
        <f aca="false">IFERROR(P56*$E56, "")</f>
        <v>0</v>
      </c>
      <c r="AD56" s="284" t="n">
        <f aca="false">IFERROR(Q56*$E56, "")</f>
        <v>0</v>
      </c>
      <c r="AE56" s="284" t="n">
        <f aca="false">IFERROR(R56*$E56, "")</f>
        <v>0</v>
      </c>
      <c r="AF56" s="284" t="n">
        <f aca="false">IFERROR(S56*$E56, "")</f>
        <v>0</v>
      </c>
      <c r="AG56" s="284" t="n">
        <f aca="false">IFERROR(T56*$E56, "")</f>
        <v>0</v>
      </c>
      <c r="AH56" s="286" t="n">
        <f aca="false">IFERROR(SUMIF($V$4:$AG$4, "RDEC", V56:AG56), "")</f>
        <v>0</v>
      </c>
      <c r="AI56" s="286" t="n">
        <f aca="false">IFERROR(SUMIF($V$4:$AG$4, "SME", V56:AG56), "")</f>
        <v>0</v>
      </c>
      <c r="AJ56" s="286" t="n">
        <f aca="false">IFERROR(SUMIF($V$4:$AG$4, "De Minimis", V56:AG56), "")</f>
        <v>0</v>
      </c>
      <c r="AK56" s="287"/>
      <c r="AL56" s="288" t="str">
        <f aca="false">IF((SUM(I56:T56)&gt;1),"ERROR","")</f>
        <v/>
      </c>
    </row>
    <row r="57" customFormat="false" ht="15" hidden="false" customHeight="true" outlineLevel="0" collapsed="false">
      <c r="A57" s="340"/>
      <c r="H57" s="350"/>
      <c r="I57" s="282"/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3"/>
      <c r="V57" s="284" t="n">
        <f aca="false">IFERROR(I57*$E57, "")</f>
        <v>0</v>
      </c>
      <c r="W57" s="284" t="n">
        <f aca="false">IFERROR(J57*$E57, "")</f>
        <v>0</v>
      </c>
      <c r="X57" s="284" t="n">
        <f aca="false">IFERROR(K57*$E57, "")</f>
        <v>0</v>
      </c>
      <c r="Y57" s="284" t="n">
        <f aca="false">IFERROR(L57*$E57, "")</f>
        <v>0</v>
      </c>
      <c r="Z57" s="284" t="n">
        <f aca="false">IFERROR(M57*$E57, "")</f>
        <v>0</v>
      </c>
      <c r="AA57" s="284" t="n">
        <f aca="false">IFERROR(N57*$E57, "")</f>
        <v>0</v>
      </c>
      <c r="AB57" s="284" t="n">
        <f aca="false">IFERROR(O57*$E57, "")</f>
        <v>0</v>
      </c>
      <c r="AC57" s="284" t="n">
        <f aca="false">IFERROR(P57*$E57, "")</f>
        <v>0</v>
      </c>
      <c r="AD57" s="284" t="n">
        <f aca="false">IFERROR(Q57*$E57, "")</f>
        <v>0</v>
      </c>
      <c r="AE57" s="284" t="n">
        <f aca="false">IFERROR(R57*$E57, "")</f>
        <v>0</v>
      </c>
      <c r="AF57" s="284" t="n">
        <f aca="false">IFERROR(S57*$E57, "")</f>
        <v>0</v>
      </c>
      <c r="AG57" s="284" t="n">
        <f aca="false">IFERROR(T57*$E57, "")</f>
        <v>0</v>
      </c>
      <c r="AH57" s="286" t="n">
        <f aca="false">IFERROR(SUMIF($V$4:$AG$4, "RDEC", V57:AG57), "")</f>
        <v>0</v>
      </c>
      <c r="AI57" s="286" t="n">
        <f aca="false">IFERROR(SUMIF($V$4:$AG$4, "SME", V57:AG57), "")</f>
        <v>0</v>
      </c>
      <c r="AJ57" s="286" t="n">
        <f aca="false">IFERROR(SUMIF($V$4:$AG$4, "De Minimis", V57:AG57), "")</f>
        <v>0</v>
      </c>
      <c r="AK57" s="287"/>
      <c r="AL57" s="288" t="str">
        <f aca="false">IF((SUM(I57:T57)&gt;1),"ERROR","")</f>
        <v/>
      </c>
    </row>
    <row r="58" customFormat="false" ht="15" hidden="false" customHeight="true" outlineLevel="0" collapsed="false">
      <c r="A58" s="340"/>
      <c r="H58" s="350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3"/>
      <c r="V58" s="284" t="n">
        <f aca="false">IFERROR(I58*$E58, "")</f>
        <v>0</v>
      </c>
      <c r="W58" s="284" t="n">
        <f aca="false">IFERROR(J58*$E58, "")</f>
        <v>0</v>
      </c>
      <c r="X58" s="284" t="n">
        <f aca="false">IFERROR(K58*$E58, "")</f>
        <v>0</v>
      </c>
      <c r="Y58" s="284" t="n">
        <f aca="false">IFERROR(L58*$E58, "")</f>
        <v>0</v>
      </c>
      <c r="Z58" s="284" t="n">
        <f aca="false">IFERROR(M58*$E58, "")</f>
        <v>0</v>
      </c>
      <c r="AA58" s="284" t="n">
        <f aca="false">IFERROR(N58*$E58, "")</f>
        <v>0</v>
      </c>
      <c r="AB58" s="284" t="n">
        <f aca="false">IFERROR(O58*$E58, "")</f>
        <v>0</v>
      </c>
      <c r="AC58" s="284" t="n">
        <f aca="false">IFERROR(P58*$E58, "")</f>
        <v>0</v>
      </c>
      <c r="AD58" s="284" t="n">
        <f aca="false">IFERROR(Q58*$E58, "")</f>
        <v>0</v>
      </c>
      <c r="AE58" s="284" t="n">
        <f aca="false">IFERROR(R58*$E58, "")</f>
        <v>0</v>
      </c>
      <c r="AF58" s="284" t="n">
        <f aca="false">IFERROR(S58*$E58, "")</f>
        <v>0</v>
      </c>
      <c r="AG58" s="284" t="n">
        <f aca="false">IFERROR(T58*$E58, "")</f>
        <v>0</v>
      </c>
      <c r="AH58" s="286" t="n">
        <f aca="false">IFERROR(SUMIF($V$4:$AG$4, "RDEC", V58:AG58), "")</f>
        <v>0</v>
      </c>
      <c r="AI58" s="286" t="n">
        <f aca="false">IFERROR(SUMIF($V$4:$AG$4, "SME", V58:AG58), "")</f>
        <v>0</v>
      </c>
      <c r="AJ58" s="286" t="n">
        <f aca="false">IFERROR(SUMIF($V$4:$AG$4, "De Minimis", V58:AG58), "")</f>
        <v>0</v>
      </c>
      <c r="AK58" s="287"/>
      <c r="AL58" s="288" t="str">
        <f aca="false">IF((SUM(I58:T58)&gt;1),"ERROR","")</f>
        <v/>
      </c>
    </row>
    <row r="59" customFormat="false" ht="15" hidden="false" customHeight="true" outlineLevel="0" collapsed="false">
      <c r="A59" s="340"/>
      <c r="H59" s="350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3"/>
      <c r="V59" s="284" t="n">
        <f aca="false">IFERROR(I59*$E59, "")</f>
        <v>0</v>
      </c>
      <c r="W59" s="284" t="n">
        <f aca="false">IFERROR(J59*$E59, "")</f>
        <v>0</v>
      </c>
      <c r="X59" s="284" t="n">
        <f aca="false">IFERROR(K59*$E59, "")</f>
        <v>0</v>
      </c>
      <c r="Y59" s="284" t="n">
        <f aca="false">IFERROR(L59*$E59, "")</f>
        <v>0</v>
      </c>
      <c r="Z59" s="284" t="n">
        <f aca="false">IFERROR(M59*$E59, "")</f>
        <v>0</v>
      </c>
      <c r="AA59" s="284" t="n">
        <f aca="false">IFERROR(N59*$E59, "")</f>
        <v>0</v>
      </c>
      <c r="AB59" s="284" t="n">
        <f aca="false">IFERROR(O59*$E59, "")</f>
        <v>0</v>
      </c>
      <c r="AC59" s="284" t="n">
        <f aca="false">IFERROR(P59*$E59, "")</f>
        <v>0</v>
      </c>
      <c r="AD59" s="284" t="n">
        <f aca="false">IFERROR(Q59*$E59, "")</f>
        <v>0</v>
      </c>
      <c r="AE59" s="284" t="n">
        <f aca="false">IFERROR(R59*$E59, "")</f>
        <v>0</v>
      </c>
      <c r="AF59" s="284" t="n">
        <f aca="false">IFERROR(S59*$E59, "")</f>
        <v>0</v>
      </c>
      <c r="AG59" s="284" t="n">
        <f aca="false">IFERROR(T59*$E59, "")</f>
        <v>0</v>
      </c>
      <c r="AH59" s="286" t="n">
        <f aca="false">IFERROR(SUMIF($V$4:$AG$4, "RDEC", V59:AG59), "")</f>
        <v>0</v>
      </c>
      <c r="AI59" s="286" t="n">
        <f aca="false">IFERROR(SUMIF($V$4:$AG$4, "SME", V59:AG59), "")</f>
        <v>0</v>
      </c>
      <c r="AJ59" s="286" t="n">
        <f aca="false">IFERROR(SUMIF($V$4:$AG$4, "De Minimis", V59:AG59), "")</f>
        <v>0</v>
      </c>
      <c r="AK59" s="287"/>
      <c r="AL59" s="288" t="str">
        <f aca="false">IF((SUM(I59:T59)&gt;1),"ERROR","")</f>
        <v/>
      </c>
    </row>
    <row r="60" customFormat="false" ht="15" hidden="false" customHeight="true" outlineLevel="0" collapsed="false">
      <c r="A60" s="340"/>
      <c r="H60" s="350"/>
      <c r="I60" s="282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3"/>
      <c r="V60" s="284" t="n">
        <f aca="false">IFERROR(I60*$E60, "")</f>
        <v>0</v>
      </c>
      <c r="W60" s="284" t="n">
        <f aca="false">IFERROR(J60*$E60, "")</f>
        <v>0</v>
      </c>
      <c r="X60" s="284" t="n">
        <f aca="false">IFERROR(K60*$E60, "")</f>
        <v>0</v>
      </c>
      <c r="Y60" s="284" t="n">
        <f aca="false">IFERROR(L60*$E60, "")</f>
        <v>0</v>
      </c>
      <c r="Z60" s="284" t="n">
        <f aca="false">IFERROR(M60*$E60, "")</f>
        <v>0</v>
      </c>
      <c r="AA60" s="284" t="n">
        <f aca="false">IFERROR(N60*$E60, "")</f>
        <v>0</v>
      </c>
      <c r="AB60" s="284" t="n">
        <f aca="false">IFERROR(O60*$E60, "")</f>
        <v>0</v>
      </c>
      <c r="AC60" s="284" t="n">
        <f aca="false">IFERROR(P60*$E60, "")</f>
        <v>0</v>
      </c>
      <c r="AD60" s="284" t="n">
        <f aca="false">IFERROR(Q60*$E60, "")</f>
        <v>0</v>
      </c>
      <c r="AE60" s="284" t="n">
        <f aca="false">IFERROR(R60*$E60, "")</f>
        <v>0</v>
      </c>
      <c r="AF60" s="284" t="n">
        <f aca="false">IFERROR(S60*$E60, "")</f>
        <v>0</v>
      </c>
      <c r="AG60" s="284" t="n">
        <f aca="false">IFERROR(T60*$E60, "")</f>
        <v>0</v>
      </c>
      <c r="AH60" s="286" t="n">
        <f aca="false">IFERROR(SUMIF($V$4:$AG$4, "RDEC", V60:AG60), "")</f>
        <v>0</v>
      </c>
      <c r="AI60" s="286" t="n">
        <f aca="false">IFERROR(SUMIF($V$4:$AG$4, "SME", V60:AG60), "")</f>
        <v>0</v>
      </c>
      <c r="AJ60" s="286" t="n">
        <f aca="false">IFERROR(SUMIF($V$4:$AG$4, "De Minimis", V60:AG60), "")</f>
        <v>0</v>
      </c>
      <c r="AK60" s="287"/>
      <c r="AL60" s="288" t="str">
        <f aca="false">IF((SUM(I60:T60)&gt;1),"ERROR","")</f>
        <v/>
      </c>
    </row>
    <row r="61" customFormat="false" ht="15" hidden="false" customHeight="true" outlineLevel="0" collapsed="false">
      <c r="A61" s="340"/>
      <c r="H61" s="350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3"/>
      <c r="V61" s="284" t="n">
        <f aca="false">IFERROR(I61*$E61, "")</f>
        <v>0</v>
      </c>
      <c r="W61" s="284" t="n">
        <f aca="false">IFERROR(J61*$E61, "")</f>
        <v>0</v>
      </c>
      <c r="X61" s="284" t="n">
        <f aca="false">IFERROR(K61*$E61, "")</f>
        <v>0</v>
      </c>
      <c r="Y61" s="284" t="n">
        <f aca="false">IFERROR(L61*$E61, "")</f>
        <v>0</v>
      </c>
      <c r="Z61" s="284" t="n">
        <f aca="false">IFERROR(M61*$E61, "")</f>
        <v>0</v>
      </c>
      <c r="AA61" s="284" t="n">
        <f aca="false">IFERROR(N61*$E61, "")</f>
        <v>0</v>
      </c>
      <c r="AB61" s="284" t="n">
        <f aca="false">IFERROR(O61*$E61, "")</f>
        <v>0</v>
      </c>
      <c r="AC61" s="284" t="n">
        <f aca="false">IFERROR(P61*$E61, "")</f>
        <v>0</v>
      </c>
      <c r="AD61" s="284" t="n">
        <f aca="false">IFERROR(Q61*$E61, "")</f>
        <v>0</v>
      </c>
      <c r="AE61" s="284" t="n">
        <f aca="false">IFERROR(R61*$E61, "")</f>
        <v>0</v>
      </c>
      <c r="AF61" s="284" t="n">
        <f aca="false">IFERROR(S61*$E61, "")</f>
        <v>0</v>
      </c>
      <c r="AG61" s="284" t="n">
        <f aca="false">IFERROR(T61*$E61, "")</f>
        <v>0</v>
      </c>
      <c r="AH61" s="286" t="n">
        <f aca="false">IFERROR(SUMIF($V$4:$AG$4, "RDEC", V61:AG61), "")</f>
        <v>0</v>
      </c>
      <c r="AI61" s="286" t="n">
        <f aca="false">IFERROR(SUMIF($V$4:$AG$4, "SME", V61:AG61), "")</f>
        <v>0</v>
      </c>
      <c r="AJ61" s="286" t="n">
        <f aca="false">IFERROR(SUMIF($V$4:$AG$4, "De Minimis", V61:AG61), "")</f>
        <v>0</v>
      </c>
      <c r="AK61" s="287"/>
      <c r="AL61" s="288" t="str">
        <f aca="false">IF((SUM(I61:T61)&gt;1),"ERROR","")</f>
        <v/>
      </c>
    </row>
    <row r="62" customFormat="false" ht="15" hidden="false" customHeight="true" outlineLevel="0" collapsed="false">
      <c r="A62" s="340"/>
      <c r="H62" s="350"/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3"/>
      <c r="V62" s="284" t="n">
        <f aca="false">IFERROR(I62*$E62, "")</f>
        <v>0</v>
      </c>
      <c r="W62" s="284" t="n">
        <f aca="false">IFERROR(J62*$E62, "")</f>
        <v>0</v>
      </c>
      <c r="X62" s="284" t="n">
        <f aca="false">IFERROR(K62*$E62, "")</f>
        <v>0</v>
      </c>
      <c r="Y62" s="284" t="n">
        <f aca="false">IFERROR(L62*$E62, "")</f>
        <v>0</v>
      </c>
      <c r="Z62" s="284" t="n">
        <f aca="false">IFERROR(M62*$E62, "")</f>
        <v>0</v>
      </c>
      <c r="AA62" s="284" t="n">
        <f aca="false">IFERROR(N62*$E62, "")</f>
        <v>0</v>
      </c>
      <c r="AB62" s="284" t="n">
        <f aca="false">IFERROR(O62*$E62, "")</f>
        <v>0</v>
      </c>
      <c r="AC62" s="284" t="n">
        <f aca="false">IFERROR(P62*$E62, "")</f>
        <v>0</v>
      </c>
      <c r="AD62" s="284" t="n">
        <f aca="false">IFERROR(Q62*$E62, "")</f>
        <v>0</v>
      </c>
      <c r="AE62" s="284" t="n">
        <f aca="false">IFERROR(R62*$E62, "")</f>
        <v>0</v>
      </c>
      <c r="AF62" s="284" t="n">
        <f aca="false">IFERROR(S62*$E62, "")</f>
        <v>0</v>
      </c>
      <c r="AG62" s="284" t="n">
        <f aca="false">IFERROR(T62*$E62, "")</f>
        <v>0</v>
      </c>
      <c r="AH62" s="286" t="n">
        <f aca="false">IFERROR(SUMIF($V$4:$AG$4, "RDEC", V62:AG62), "")</f>
        <v>0</v>
      </c>
      <c r="AI62" s="286" t="n">
        <f aca="false">IFERROR(SUMIF($V$4:$AG$4, "SME", V62:AG62), "")</f>
        <v>0</v>
      </c>
      <c r="AJ62" s="286" t="n">
        <f aca="false">IFERROR(SUMIF($V$4:$AG$4, "De Minimis", V62:AG62), "")</f>
        <v>0</v>
      </c>
      <c r="AK62" s="287"/>
      <c r="AL62" s="288" t="str">
        <f aca="false">IF((SUM(I62:T62)&gt;1),"ERROR","")</f>
        <v/>
      </c>
    </row>
    <row r="63" customFormat="false" ht="15" hidden="false" customHeight="true" outlineLevel="0" collapsed="false">
      <c r="A63" s="340"/>
      <c r="H63" s="350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3"/>
      <c r="V63" s="284" t="n">
        <f aca="false">IFERROR(I63*$E63, "")</f>
        <v>0</v>
      </c>
      <c r="W63" s="284" t="n">
        <f aca="false">IFERROR(J63*$E63, "")</f>
        <v>0</v>
      </c>
      <c r="X63" s="284" t="n">
        <f aca="false">IFERROR(K63*$E63, "")</f>
        <v>0</v>
      </c>
      <c r="Y63" s="284" t="n">
        <f aca="false">IFERROR(L63*$E63, "")</f>
        <v>0</v>
      </c>
      <c r="Z63" s="284" t="n">
        <f aca="false">IFERROR(M63*$E63, "")</f>
        <v>0</v>
      </c>
      <c r="AA63" s="284" t="n">
        <f aca="false">IFERROR(N63*$E63, "")</f>
        <v>0</v>
      </c>
      <c r="AB63" s="284" t="n">
        <f aca="false">IFERROR(O63*$E63, "")</f>
        <v>0</v>
      </c>
      <c r="AC63" s="284" t="n">
        <f aca="false">IFERROR(P63*$E63, "")</f>
        <v>0</v>
      </c>
      <c r="AD63" s="284" t="n">
        <f aca="false">IFERROR(Q63*$E63, "")</f>
        <v>0</v>
      </c>
      <c r="AE63" s="284" t="n">
        <f aca="false">IFERROR(R63*$E63, "")</f>
        <v>0</v>
      </c>
      <c r="AF63" s="284" t="n">
        <f aca="false">IFERROR(S63*$E63, "")</f>
        <v>0</v>
      </c>
      <c r="AG63" s="284" t="n">
        <f aca="false">IFERROR(T63*$E63, "")</f>
        <v>0</v>
      </c>
      <c r="AH63" s="286" t="n">
        <f aca="false">IFERROR(SUMIF($V$4:$AG$4, "RDEC", V63:AG63), "")</f>
        <v>0</v>
      </c>
      <c r="AI63" s="286" t="n">
        <f aca="false">IFERROR(SUMIF($V$4:$AG$4, "SME", V63:AG63), "")</f>
        <v>0</v>
      </c>
      <c r="AJ63" s="286" t="n">
        <f aca="false">IFERROR(SUMIF($V$4:$AG$4, "De Minimis", V63:AG63), "")</f>
        <v>0</v>
      </c>
      <c r="AK63" s="287"/>
      <c r="AL63" s="288" t="str">
        <f aca="false">IF((SUM(I63:T63)&gt;1),"ERROR","")</f>
        <v/>
      </c>
    </row>
    <row r="64" customFormat="false" ht="15" hidden="false" customHeight="true" outlineLevel="0" collapsed="false">
      <c r="A64" s="340"/>
      <c r="H64" s="350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3"/>
      <c r="V64" s="284" t="n">
        <f aca="false">IFERROR(I64*$E64, "")</f>
        <v>0</v>
      </c>
      <c r="W64" s="284" t="n">
        <f aca="false">IFERROR(J64*$E64, "")</f>
        <v>0</v>
      </c>
      <c r="X64" s="284" t="n">
        <f aca="false">IFERROR(K64*$E64, "")</f>
        <v>0</v>
      </c>
      <c r="Y64" s="284" t="n">
        <f aca="false">IFERROR(L64*$E64, "")</f>
        <v>0</v>
      </c>
      <c r="Z64" s="284" t="n">
        <f aca="false">IFERROR(M64*$E64, "")</f>
        <v>0</v>
      </c>
      <c r="AA64" s="284" t="n">
        <f aca="false">IFERROR(N64*$E64, "")</f>
        <v>0</v>
      </c>
      <c r="AB64" s="284" t="n">
        <f aca="false">IFERROR(O64*$E64, "")</f>
        <v>0</v>
      </c>
      <c r="AC64" s="284" t="n">
        <f aca="false">IFERROR(P64*$E64, "")</f>
        <v>0</v>
      </c>
      <c r="AD64" s="284" t="n">
        <f aca="false">IFERROR(Q64*$E64, "")</f>
        <v>0</v>
      </c>
      <c r="AE64" s="284" t="n">
        <f aca="false">IFERROR(R64*$E64, "")</f>
        <v>0</v>
      </c>
      <c r="AF64" s="284" t="n">
        <f aca="false">IFERROR(S64*$E64, "")</f>
        <v>0</v>
      </c>
      <c r="AG64" s="284" t="n">
        <f aca="false">IFERROR(T64*$E64, "")</f>
        <v>0</v>
      </c>
      <c r="AH64" s="286" t="n">
        <f aca="false">IFERROR(SUMIF($V$4:$AG$4, "RDEC", V64:AG64), "")</f>
        <v>0</v>
      </c>
      <c r="AI64" s="286" t="n">
        <f aca="false">IFERROR(SUMIF($V$4:$AG$4, "SME", V64:AG64), "")</f>
        <v>0</v>
      </c>
      <c r="AJ64" s="286" t="n">
        <f aca="false">IFERROR(SUMIF($V$4:$AG$4, "De Minimis", V64:AG64), "")</f>
        <v>0</v>
      </c>
      <c r="AK64" s="303"/>
      <c r="AL64" s="288" t="str">
        <f aca="false">IF((SUM(I64:T64)&gt;1),"ERROR","")</f>
        <v/>
      </c>
    </row>
    <row r="65" customFormat="false" ht="15" hidden="false" customHeight="true" outlineLevel="0" collapsed="false">
      <c r="A65" s="340"/>
      <c r="H65" s="350"/>
      <c r="I65" s="282"/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3"/>
      <c r="V65" s="284" t="n">
        <f aca="false">IFERROR(I65*$E65, "")</f>
        <v>0</v>
      </c>
      <c r="W65" s="284" t="n">
        <f aca="false">IFERROR(J65*$E65, "")</f>
        <v>0</v>
      </c>
      <c r="X65" s="284" t="n">
        <f aca="false">IFERROR(K65*$E65, "")</f>
        <v>0</v>
      </c>
      <c r="Y65" s="284" t="n">
        <f aca="false">IFERROR(L65*$E65, "")</f>
        <v>0</v>
      </c>
      <c r="Z65" s="284" t="n">
        <f aca="false">IFERROR(M65*$E65, "")</f>
        <v>0</v>
      </c>
      <c r="AA65" s="284" t="n">
        <f aca="false">IFERROR(N65*$E65, "")</f>
        <v>0</v>
      </c>
      <c r="AB65" s="284" t="n">
        <f aca="false">IFERROR(O65*$E65, "")</f>
        <v>0</v>
      </c>
      <c r="AC65" s="284" t="n">
        <f aca="false">IFERROR(P65*$E65, "")</f>
        <v>0</v>
      </c>
      <c r="AD65" s="284" t="n">
        <f aca="false">IFERROR(Q65*$E65, "")</f>
        <v>0</v>
      </c>
      <c r="AE65" s="284" t="n">
        <f aca="false">IFERROR(R65*$E65, "")</f>
        <v>0</v>
      </c>
      <c r="AF65" s="284" t="n">
        <f aca="false">IFERROR(S65*$E65, "")</f>
        <v>0</v>
      </c>
      <c r="AG65" s="284" t="n">
        <f aca="false">IFERROR(T65*$E65, "")</f>
        <v>0</v>
      </c>
      <c r="AH65" s="286" t="n">
        <f aca="false">IFERROR(SUMIF($V$4:$AG$4, "RDEC", V65:AG65), "")</f>
        <v>0</v>
      </c>
      <c r="AI65" s="286" t="n">
        <f aca="false">IFERROR(SUMIF($V$4:$AG$4, "SME", V65:AG65), "")</f>
        <v>0</v>
      </c>
      <c r="AJ65" s="286" t="n">
        <f aca="false">IFERROR(SUMIF($V$4:$AG$4, "De Minimis", V65:AG65), "")</f>
        <v>0</v>
      </c>
      <c r="AL65" s="288" t="str">
        <f aca="false">IF((SUM(I65:T65)&gt;1),"ERROR","")</f>
        <v/>
      </c>
    </row>
    <row r="66" customFormat="false" ht="15" hidden="false" customHeight="true" outlineLevel="0" collapsed="false">
      <c r="A66" s="340"/>
      <c r="H66" s="350"/>
      <c r="I66" s="282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3"/>
      <c r="V66" s="284" t="n">
        <f aca="false">IFERROR(I66*$E66, "")</f>
        <v>0</v>
      </c>
      <c r="W66" s="284" t="n">
        <f aca="false">IFERROR(J66*$E66, "")</f>
        <v>0</v>
      </c>
      <c r="X66" s="284" t="n">
        <f aca="false">IFERROR(K66*$E66, "")</f>
        <v>0</v>
      </c>
      <c r="Y66" s="284" t="n">
        <f aca="false">IFERROR(L66*$E66, "")</f>
        <v>0</v>
      </c>
      <c r="Z66" s="284" t="n">
        <f aca="false">IFERROR(M66*$E66, "")</f>
        <v>0</v>
      </c>
      <c r="AA66" s="284" t="n">
        <f aca="false">IFERROR(N66*$E66, "")</f>
        <v>0</v>
      </c>
      <c r="AB66" s="284" t="n">
        <f aca="false">IFERROR(O66*$E66, "")</f>
        <v>0</v>
      </c>
      <c r="AC66" s="284" t="n">
        <f aca="false">IFERROR(P66*$E66, "")</f>
        <v>0</v>
      </c>
      <c r="AD66" s="284" t="n">
        <f aca="false">IFERROR(Q66*$E66, "")</f>
        <v>0</v>
      </c>
      <c r="AE66" s="284" t="n">
        <f aca="false">IFERROR(R66*$E66, "")</f>
        <v>0</v>
      </c>
      <c r="AF66" s="284" t="n">
        <f aca="false">IFERROR(S66*$E66, "")</f>
        <v>0</v>
      </c>
      <c r="AG66" s="284" t="n">
        <f aca="false">IFERROR(T66*$E66, "")</f>
        <v>0</v>
      </c>
      <c r="AH66" s="286" t="n">
        <f aca="false">IFERROR(SUMIF($V$4:$AG$4, "RDEC", V66:AG66), "")</f>
        <v>0</v>
      </c>
      <c r="AI66" s="286" t="n">
        <f aca="false">IFERROR(SUMIF($V$4:$AG$4, "SME", V66:AG66), "")</f>
        <v>0</v>
      </c>
      <c r="AJ66" s="286" t="n">
        <f aca="false">IFERROR(SUMIF($V$4:$AG$4, "De Minimis", V66:AG66), "")</f>
        <v>0</v>
      </c>
      <c r="AK66" s="268"/>
      <c r="AL66" s="288" t="str">
        <f aca="false">IF((SUM(I66:T66)&gt;1),"ERROR","")</f>
        <v/>
      </c>
    </row>
    <row r="67" customFormat="false" ht="15" hidden="false" customHeight="true" outlineLevel="0" collapsed="false">
      <c r="A67" s="340"/>
      <c r="H67" s="350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3"/>
      <c r="V67" s="284" t="n">
        <f aca="false">IFERROR(I67*$E67, "")</f>
        <v>0</v>
      </c>
      <c r="W67" s="284" t="n">
        <f aca="false">IFERROR(J67*$E67, "")</f>
        <v>0</v>
      </c>
      <c r="X67" s="284" t="n">
        <f aca="false">IFERROR(K67*$E67, "")</f>
        <v>0</v>
      </c>
      <c r="Y67" s="284" t="n">
        <f aca="false">IFERROR(L67*$E67, "")</f>
        <v>0</v>
      </c>
      <c r="Z67" s="284" t="n">
        <f aca="false">IFERROR(M67*$E67, "")</f>
        <v>0</v>
      </c>
      <c r="AA67" s="284" t="n">
        <f aca="false">IFERROR(N67*$E67, "")</f>
        <v>0</v>
      </c>
      <c r="AB67" s="284" t="n">
        <f aca="false">IFERROR(O67*$E67, "")</f>
        <v>0</v>
      </c>
      <c r="AC67" s="284" t="n">
        <f aca="false">IFERROR(P67*$E67, "")</f>
        <v>0</v>
      </c>
      <c r="AD67" s="284" t="n">
        <f aca="false">IFERROR(Q67*$E67, "")</f>
        <v>0</v>
      </c>
      <c r="AE67" s="284" t="n">
        <f aca="false">IFERROR(R67*$E67, "")</f>
        <v>0</v>
      </c>
      <c r="AF67" s="284" t="n">
        <f aca="false">IFERROR(S67*$E67, "")</f>
        <v>0</v>
      </c>
      <c r="AG67" s="284" t="n">
        <f aca="false">IFERROR(T67*$E67, "")</f>
        <v>0</v>
      </c>
      <c r="AH67" s="286" t="n">
        <f aca="false">IFERROR(SUMIF($V$4:$AG$4, "RDEC", V67:AG67), "")</f>
        <v>0</v>
      </c>
      <c r="AI67" s="286" t="n">
        <f aca="false">IFERROR(SUMIF($V$4:$AG$4, "SME", V67:AG67), "")</f>
        <v>0</v>
      </c>
      <c r="AJ67" s="286" t="n">
        <f aca="false">IFERROR(SUMIF($V$4:$AG$4, "De Minimis", V67:AG67), "")</f>
        <v>0</v>
      </c>
      <c r="AK67" s="287"/>
      <c r="AL67" s="288" t="str">
        <f aca="false">IF((SUM(I67:T67)&gt;1),"ERROR","")</f>
        <v/>
      </c>
    </row>
    <row r="68" customFormat="false" ht="15" hidden="false" customHeight="true" outlineLevel="0" collapsed="false">
      <c r="A68" s="340"/>
      <c r="H68" s="350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3"/>
      <c r="V68" s="284" t="n">
        <f aca="false">IFERROR(I68*$E68, "")</f>
        <v>0</v>
      </c>
      <c r="W68" s="284" t="n">
        <f aca="false">IFERROR(J68*$E68, "")</f>
        <v>0</v>
      </c>
      <c r="X68" s="284" t="n">
        <f aca="false">IFERROR(K68*$E68, "")</f>
        <v>0</v>
      </c>
      <c r="Y68" s="284" t="n">
        <f aca="false">IFERROR(L68*$E68, "")</f>
        <v>0</v>
      </c>
      <c r="Z68" s="284" t="n">
        <f aca="false">IFERROR(M68*$E68, "")</f>
        <v>0</v>
      </c>
      <c r="AA68" s="284" t="n">
        <f aca="false">IFERROR(N68*$E68, "")</f>
        <v>0</v>
      </c>
      <c r="AB68" s="284" t="n">
        <f aca="false">IFERROR(O68*$E68, "")</f>
        <v>0</v>
      </c>
      <c r="AC68" s="284" t="n">
        <f aca="false">IFERROR(P68*$E68, "")</f>
        <v>0</v>
      </c>
      <c r="AD68" s="284" t="n">
        <f aca="false">IFERROR(Q68*$E68, "")</f>
        <v>0</v>
      </c>
      <c r="AE68" s="284" t="n">
        <f aca="false">IFERROR(R68*$E68, "")</f>
        <v>0</v>
      </c>
      <c r="AF68" s="284" t="n">
        <f aca="false">IFERROR(S68*$E68, "")</f>
        <v>0</v>
      </c>
      <c r="AG68" s="284" t="n">
        <f aca="false">IFERROR(T68*$E68, "")</f>
        <v>0</v>
      </c>
      <c r="AH68" s="286" t="n">
        <f aca="false">IFERROR(SUMIF($V$4:$AG$4, "RDEC", V68:AG68), "")</f>
        <v>0</v>
      </c>
      <c r="AI68" s="286" t="n">
        <f aca="false">IFERROR(SUMIF($V$4:$AG$4, "SME", V68:AG68), "")</f>
        <v>0</v>
      </c>
      <c r="AJ68" s="286" t="n">
        <f aca="false">IFERROR(SUMIF($V$4:$AG$4, "De Minimis", V68:AG68), "")</f>
        <v>0</v>
      </c>
      <c r="AK68" s="287"/>
      <c r="AL68" s="288" t="str">
        <f aca="false">IF((SUM(I68:T68)&gt;1),"ERROR","")</f>
        <v/>
      </c>
    </row>
    <row r="69" customFormat="false" ht="15" hidden="false" customHeight="true" outlineLevel="0" collapsed="false">
      <c r="A69" s="340"/>
      <c r="H69" s="350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3"/>
      <c r="V69" s="284" t="n">
        <f aca="false">IFERROR(I69*$E69, "")</f>
        <v>0</v>
      </c>
      <c r="W69" s="284" t="n">
        <f aca="false">IFERROR(J69*$E69, "")</f>
        <v>0</v>
      </c>
      <c r="X69" s="284" t="n">
        <f aca="false">IFERROR(K69*$E69, "")</f>
        <v>0</v>
      </c>
      <c r="Y69" s="284" t="n">
        <f aca="false">IFERROR(L69*$E69, "")</f>
        <v>0</v>
      </c>
      <c r="Z69" s="284" t="n">
        <f aca="false">IFERROR(M69*$E69, "")</f>
        <v>0</v>
      </c>
      <c r="AA69" s="284" t="n">
        <f aca="false">IFERROR(N69*$E69, "")</f>
        <v>0</v>
      </c>
      <c r="AB69" s="284" t="n">
        <f aca="false">IFERROR(O69*$E69, "")</f>
        <v>0</v>
      </c>
      <c r="AC69" s="284" t="n">
        <f aca="false">IFERROR(P69*$E69, "")</f>
        <v>0</v>
      </c>
      <c r="AD69" s="284" t="n">
        <f aca="false">IFERROR(Q69*$E69, "")</f>
        <v>0</v>
      </c>
      <c r="AE69" s="284" t="n">
        <f aca="false">IFERROR(R69*$E69, "")</f>
        <v>0</v>
      </c>
      <c r="AF69" s="284" t="n">
        <f aca="false">IFERROR(S69*$E69, "")</f>
        <v>0</v>
      </c>
      <c r="AG69" s="284" t="n">
        <f aca="false">IFERROR(T69*$E69, "")</f>
        <v>0</v>
      </c>
      <c r="AH69" s="286" t="n">
        <f aca="false">IFERROR(SUMIF($V$4:$AG$4, "RDEC", V69:AG69), "")</f>
        <v>0</v>
      </c>
      <c r="AI69" s="286" t="n">
        <f aca="false">IFERROR(SUMIF($V$4:$AG$4, "SME", V69:AG69), "")</f>
        <v>0</v>
      </c>
      <c r="AJ69" s="286" t="n">
        <f aca="false">IFERROR(SUMIF($V$4:$AG$4, "De Minimis", V69:AG69), "")</f>
        <v>0</v>
      </c>
      <c r="AK69" s="287"/>
      <c r="AL69" s="288" t="str">
        <f aca="false">IF((SUM(I69:T69)&gt;1),"ERROR","")</f>
        <v/>
      </c>
    </row>
    <row r="70" customFormat="false" ht="15" hidden="false" customHeight="true" outlineLevel="0" collapsed="false">
      <c r="A70" s="340"/>
      <c r="H70" s="350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3"/>
      <c r="V70" s="284" t="n">
        <f aca="false">IFERROR(I70*$E70, "")</f>
        <v>0</v>
      </c>
      <c r="W70" s="284" t="n">
        <f aca="false">IFERROR(J70*$E70, "")</f>
        <v>0</v>
      </c>
      <c r="X70" s="284" t="n">
        <f aca="false">IFERROR(K70*$E70, "")</f>
        <v>0</v>
      </c>
      <c r="Y70" s="284" t="n">
        <f aca="false">IFERROR(L70*$E70, "")</f>
        <v>0</v>
      </c>
      <c r="Z70" s="284" t="n">
        <f aca="false">IFERROR(M70*$E70, "")</f>
        <v>0</v>
      </c>
      <c r="AA70" s="284" t="n">
        <f aca="false">IFERROR(N70*$E70, "")</f>
        <v>0</v>
      </c>
      <c r="AB70" s="284" t="n">
        <f aca="false">IFERROR(O70*$E70, "")</f>
        <v>0</v>
      </c>
      <c r="AC70" s="284" t="n">
        <f aca="false">IFERROR(P70*$E70, "")</f>
        <v>0</v>
      </c>
      <c r="AD70" s="284" t="n">
        <f aca="false">IFERROR(Q70*$E70, "")</f>
        <v>0</v>
      </c>
      <c r="AE70" s="284" t="n">
        <f aca="false">IFERROR(R70*$E70, "")</f>
        <v>0</v>
      </c>
      <c r="AF70" s="284" t="n">
        <f aca="false">IFERROR(S70*$E70, "")</f>
        <v>0</v>
      </c>
      <c r="AG70" s="284" t="n">
        <f aca="false">IFERROR(T70*$E70, "")</f>
        <v>0</v>
      </c>
      <c r="AH70" s="286" t="n">
        <f aca="false">IFERROR(SUMIF($V$4:$AG$4, "RDEC", V70:AG70), "")</f>
        <v>0</v>
      </c>
      <c r="AI70" s="286" t="n">
        <f aca="false">IFERROR(SUMIF($V$4:$AG$4, "SME", V70:AG70), "")</f>
        <v>0</v>
      </c>
      <c r="AJ70" s="286" t="n">
        <f aca="false">IFERROR(SUMIF($V$4:$AG$4, "De Minimis", V70:AG70), "")</f>
        <v>0</v>
      </c>
      <c r="AK70" s="287"/>
      <c r="AL70" s="288" t="str">
        <f aca="false">IF((SUM(I70:T70)&gt;1),"ERROR","")</f>
        <v/>
      </c>
    </row>
    <row r="71" customFormat="false" ht="15" hidden="false" customHeight="true" outlineLevel="0" collapsed="false">
      <c r="A71" s="340"/>
      <c r="H71" s="350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3"/>
      <c r="V71" s="284" t="n">
        <f aca="false">IFERROR(I71*$E71, "")</f>
        <v>0</v>
      </c>
      <c r="W71" s="284" t="n">
        <f aca="false">IFERROR(J71*$E71, "")</f>
        <v>0</v>
      </c>
      <c r="X71" s="284" t="n">
        <f aca="false">IFERROR(K71*$E71, "")</f>
        <v>0</v>
      </c>
      <c r="Y71" s="284" t="n">
        <f aca="false">IFERROR(L71*$E71, "")</f>
        <v>0</v>
      </c>
      <c r="Z71" s="284" t="n">
        <f aca="false">IFERROR(M71*$E71, "")</f>
        <v>0</v>
      </c>
      <c r="AA71" s="284" t="n">
        <f aca="false">IFERROR(N71*$E71, "")</f>
        <v>0</v>
      </c>
      <c r="AB71" s="284" t="n">
        <f aca="false">IFERROR(O71*$E71, "")</f>
        <v>0</v>
      </c>
      <c r="AC71" s="284" t="n">
        <f aca="false">IFERROR(P71*$E71, "")</f>
        <v>0</v>
      </c>
      <c r="AD71" s="284" t="n">
        <f aca="false">IFERROR(Q71*$E71, "")</f>
        <v>0</v>
      </c>
      <c r="AE71" s="284" t="n">
        <f aca="false">IFERROR(R71*$E71, "")</f>
        <v>0</v>
      </c>
      <c r="AF71" s="284" t="n">
        <f aca="false">IFERROR(S71*$E71, "")</f>
        <v>0</v>
      </c>
      <c r="AG71" s="284" t="n">
        <f aca="false">IFERROR(T71*$E71, "")</f>
        <v>0</v>
      </c>
      <c r="AH71" s="286" t="n">
        <f aca="false">IFERROR(SUMIF($V$4:$AG$4, "RDEC", V71:AG71), "")</f>
        <v>0</v>
      </c>
      <c r="AI71" s="286" t="n">
        <f aca="false">IFERROR(SUMIF($V$4:$AG$4, "SME", V71:AG71), "")</f>
        <v>0</v>
      </c>
      <c r="AJ71" s="286" t="n">
        <f aca="false">IFERROR(SUMIF($V$4:$AG$4, "De Minimis", V71:AG71), "")</f>
        <v>0</v>
      </c>
      <c r="AK71" s="287"/>
      <c r="AL71" s="288" t="str">
        <f aca="false">IF((SUM(I71:T71)&gt;1),"ERROR","")</f>
        <v/>
      </c>
    </row>
    <row r="72" customFormat="false" ht="15" hidden="false" customHeight="true" outlineLevel="0" collapsed="false">
      <c r="A72" s="340"/>
      <c r="H72" s="350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3"/>
      <c r="V72" s="284" t="n">
        <f aca="false">IFERROR(I72*$E72, "")</f>
        <v>0</v>
      </c>
      <c r="W72" s="284" t="n">
        <f aca="false">IFERROR(J72*$E72, "")</f>
        <v>0</v>
      </c>
      <c r="X72" s="284" t="n">
        <f aca="false">IFERROR(K72*$E72, "")</f>
        <v>0</v>
      </c>
      <c r="Y72" s="284" t="n">
        <f aca="false">IFERROR(L72*$E72, "")</f>
        <v>0</v>
      </c>
      <c r="Z72" s="284" t="n">
        <f aca="false">IFERROR(M72*$E72, "")</f>
        <v>0</v>
      </c>
      <c r="AA72" s="284" t="n">
        <f aca="false">IFERROR(N72*$E72, "")</f>
        <v>0</v>
      </c>
      <c r="AB72" s="284" t="n">
        <f aca="false">IFERROR(O72*$E72, "")</f>
        <v>0</v>
      </c>
      <c r="AC72" s="284" t="n">
        <f aca="false">IFERROR(P72*$E72, "")</f>
        <v>0</v>
      </c>
      <c r="AD72" s="284" t="n">
        <f aca="false">IFERROR(Q72*$E72, "")</f>
        <v>0</v>
      </c>
      <c r="AE72" s="284" t="n">
        <f aca="false">IFERROR(R72*$E72, "")</f>
        <v>0</v>
      </c>
      <c r="AF72" s="284" t="n">
        <f aca="false">IFERROR(S72*$E72, "")</f>
        <v>0</v>
      </c>
      <c r="AG72" s="284" t="n">
        <f aca="false">IFERROR(T72*$E72, "")</f>
        <v>0</v>
      </c>
      <c r="AH72" s="286" t="n">
        <f aca="false">IFERROR(SUMIF($V$4:$AG$4, "RDEC", V72:AG72), "")</f>
        <v>0</v>
      </c>
      <c r="AI72" s="286" t="n">
        <f aca="false">IFERROR(SUMIF($V$4:$AG$4, "SME", V72:AG72), "")</f>
        <v>0</v>
      </c>
      <c r="AJ72" s="286" t="n">
        <f aca="false">IFERROR(SUMIF($V$4:$AG$4, "De Minimis", V72:AG72), "")</f>
        <v>0</v>
      </c>
      <c r="AK72" s="287"/>
      <c r="AL72" s="288" t="str">
        <f aca="false">IF((SUM(I72:T72)&gt;1),"ERROR","")</f>
        <v/>
      </c>
    </row>
    <row r="73" customFormat="false" ht="15" hidden="false" customHeight="true" outlineLevel="0" collapsed="false">
      <c r="A73" s="340"/>
      <c r="H73" s="350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3"/>
      <c r="V73" s="284" t="n">
        <f aca="false">IFERROR(I73*$E73, "")</f>
        <v>0</v>
      </c>
      <c r="W73" s="284" t="n">
        <f aca="false">IFERROR(J73*$E73, "")</f>
        <v>0</v>
      </c>
      <c r="X73" s="284" t="n">
        <f aca="false">IFERROR(K73*$E73, "")</f>
        <v>0</v>
      </c>
      <c r="Y73" s="284" t="n">
        <f aca="false">IFERROR(L73*$E73, "")</f>
        <v>0</v>
      </c>
      <c r="Z73" s="284" t="n">
        <f aca="false">IFERROR(M73*$E73, "")</f>
        <v>0</v>
      </c>
      <c r="AA73" s="284" t="n">
        <f aca="false">IFERROR(N73*$E73, "")</f>
        <v>0</v>
      </c>
      <c r="AB73" s="284" t="n">
        <f aca="false">IFERROR(O73*$E73, "")</f>
        <v>0</v>
      </c>
      <c r="AC73" s="284" t="n">
        <f aca="false">IFERROR(P73*$E73, "")</f>
        <v>0</v>
      </c>
      <c r="AD73" s="284" t="n">
        <f aca="false">IFERROR(Q73*$E73, "")</f>
        <v>0</v>
      </c>
      <c r="AE73" s="284" t="n">
        <f aca="false">IFERROR(R73*$E73, "")</f>
        <v>0</v>
      </c>
      <c r="AF73" s="284" t="n">
        <f aca="false">IFERROR(S73*$E73, "")</f>
        <v>0</v>
      </c>
      <c r="AG73" s="284" t="n">
        <f aca="false">IFERROR(T73*$E73, "")</f>
        <v>0</v>
      </c>
      <c r="AH73" s="286" t="n">
        <f aca="false">IFERROR(SUMIF($V$4:$AG$4, "RDEC", V73:AG73), "")</f>
        <v>0</v>
      </c>
      <c r="AI73" s="286" t="n">
        <f aca="false">IFERROR(SUMIF($V$4:$AG$4, "SME", V73:AG73), "")</f>
        <v>0</v>
      </c>
      <c r="AJ73" s="286" t="n">
        <f aca="false">IFERROR(SUMIF($V$4:$AG$4, "De Minimis", V73:AG73), "")</f>
        <v>0</v>
      </c>
      <c r="AK73" s="287"/>
      <c r="AL73" s="288" t="str">
        <f aca="false">IF((SUM(I73:T73)&gt;1),"ERROR","")</f>
        <v/>
      </c>
    </row>
    <row r="74" customFormat="false" ht="15" hidden="false" customHeight="true" outlineLevel="0" collapsed="false">
      <c r="A74" s="340"/>
      <c r="H74" s="350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3"/>
      <c r="V74" s="284" t="n">
        <f aca="false">IFERROR(I74*$E74, "")</f>
        <v>0</v>
      </c>
      <c r="W74" s="284" t="n">
        <f aca="false">IFERROR(J74*$E74, "")</f>
        <v>0</v>
      </c>
      <c r="X74" s="284" t="n">
        <f aca="false">IFERROR(K74*$E74, "")</f>
        <v>0</v>
      </c>
      <c r="Y74" s="284" t="n">
        <f aca="false">IFERROR(L74*$E74, "")</f>
        <v>0</v>
      </c>
      <c r="Z74" s="284" t="n">
        <f aca="false">IFERROR(M74*$E74, "")</f>
        <v>0</v>
      </c>
      <c r="AA74" s="284" t="n">
        <f aca="false">IFERROR(N74*$E74, "")</f>
        <v>0</v>
      </c>
      <c r="AB74" s="284" t="n">
        <f aca="false">IFERROR(O74*$E74, "")</f>
        <v>0</v>
      </c>
      <c r="AC74" s="284" t="n">
        <f aca="false">IFERROR(P74*$E74, "")</f>
        <v>0</v>
      </c>
      <c r="AD74" s="284" t="n">
        <f aca="false">IFERROR(Q74*$E74, "")</f>
        <v>0</v>
      </c>
      <c r="AE74" s="284" t="n">
        <f aca="false">IFERROR(R74*$E74, "")</f>
        <v>0</v>
      </c>
      <c r="AF74" s="284" t="n">
        <f aca="false">IFERROR(S74*$E74, "")</f>
        <v>0</v>
      </c>
      <c r="AG74" s="284" t="n">
        <f aca="false">IFERROR(T74*$E74, "")</f>
        <v>0</v>
      </c>
      <c r="AH74" s="286" t="n">
        <f aca="false">IFERROR(SUMIF($V$4:$AG$4, "RDEC", V74:AG74), "")</f>
        <v>0</v>
      </c>
      <c r="AI74" s="286" t="n">
        <f aca="false">IFERROR(SUMIF($V$4:$AG$4, "SME", V74:AG74), "")</f>
        <v>0</v>
      </c>
      <c r="AJ74" s="286" t="n">
        <f aca="false">IFERROR(SUMIF($V$4:$AG$4, "De Minimis", V74:AG74), "")</f>
        <v>0</v>
      </c>
      <c r="AK74" s="287"/>
      <c r="AL74" s="288" t="str">
        <f aca="false">IF((SUM(I74:T74)&gt;1),"ERROR","")</f>
        <v/>
      </c>
    </row>
    <row r="75" customFormat="false" ht="15" hidden="false" customHeight="true" outlineLevel="0" collapsed="false">
      <c r="A75" s="340"/>
      <c r="H75" s="350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3"/>
      <c r="V75" s="284" t="n">
        <f aca="false">IFERROR(I75*$E75, "")</f>
        <v>0</v>
      </c>
      <c r="W75" s="284" t="n">
        <f aca="false">IFERROR(J75*$E75, "")</f>
        <v>0</v>
      </c>
      <c r="X75" s="284" t="n">
        <f aca="false">IFERROR(K75*$E75, "")</f>
        <v>0</v>
      </c>
      <c r="Y75" s="284" t="n">
        <f aca="false">IFERROR(L75*$E75, "")</f>
        <v>0</v>
      </c>
      <c r="Z75" s="284" t="n">
        <f aca="false">IFERROR(M75*$E75, "")</f>
        <v>0</v>
      </c>
      <c r="AA75" s="284" t="n">
        <f aca="false">IFERROR(N75*$E75, "")</f>
        <v>0</v>
      </c>
      <c r="AB75" s="284" t="n">
        <f aca="false">IFERROR(O75*$E75, "")</f>
        <v>0</v>
      </c>
      <c r="AC75" s="284" t="n">
        <f aca="false">IFERROR(P75*$E75, "")</f>
        <v>0</v>
      </c>
      <c r="AD75" s="284" t="n">
        <f aca="false">IFERROR(Q75*$E75, "")</f>
        <v>0</v>
      </c>
      <c r="AE75" s="284" t="n">
        <f aca="false">IFERROR(R75*$E75, "")</f>
        <v>0</v>
      </c>
      <c r="AF75" s="284" t="n">
        <f aca="false">IFERROR(S75*$E75, "")</f>
        <v>0</v>
      </c>
      <c r="AG75" s="284" t="n">
        <f aca="false">IFERROR(T75*$E75, "")</f>
        <v>0</v>
      </c>
      <c r="AH75" s="286" t="n">
        <f aca="false">IFERROR(SUMIF($V$4:$AG$4, "RDEC", V75:AG75), "")</f>
        <v>0</v>
      </c>
      <c r="AI75" s="286" t="n">
        <f aca="false">IFERROR(SUMIF($V$4:$AG$4, "SME", V75:AG75), "")</f>
        <v>0</v>
      </c>
      <c r="AJ75" s="286" t="n">
        <f aca="false">IFERROR(SUMIF($V$4:$AG$4, "De Minimis", V75:AG75), "")</f>
        <v>0</v>
      </c>
      <c r="AK75" s="287"/>
      <c r="AL75" s="288" t="str">
        <f aca="false">IF((SUM(I75:T75)&gt;1),"ERROR","")</f>
        <v/>
      </c>
    </row>
    <row r="76" customFormat="false" ht="15" hidden="false" customHeight="true" outlineLevel="0" collapsed="false">
      <c r="A76" s="340"/>
      <c r="H76" s="350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3"/>
      <c r="V76" s="284" t="n">
        <f aca="false">IFERROR(I76*$E76, "")</f>
        <v>0</v>
      </c>
      <c r="W76" s="284" t="n">
        <f aca="false">IFERROR(J76*$E76, "")</f>
        <v>0</v>
      </c>
      <c r="X76" s="284" t="n">
        <f aca="false">IFERROR(K76*$E76, "")</f>
        <v>0</v>
      </c>
      <c r="Y76" s="284" t="n">
        <f aca="false">IFERROR(L76*$E76, "")</f>
        <v>0</v>
      </c>
      <c r="Z76" s="284" t="n">
        <f aca="false">IFERROR(M76*$E76, "")</f>
        <v>0</v>
      </c>
      <c r="AA76" s="284" t="n">
        <f aca="false">IFERROR(N76*$E76, "")</f>
        <v>0</v>
      </c>
      <c r="AB76" s="284" t="n">
        <f aca="false">IFERROR(O76*$E76, "")</f>
        <v>0</v>
      </c>
      <c r="AC76" s="284" t="n">
        <f aca="false">IFERROR(P76*$E76, "")</f>
        <v>0</v>
      </c>
      <c r="AD76" s="284" t="n">
        <f aca="false">IFERROR(Q76*$E76, "")</f>
        <v>0</v>
      </c>
      <c r="AE76" s="284" t="n">
        <f aca="false">IFERROR(R76*$E76, "")</f>
        <v>0</v>
      </c>
      <c r="AF76" s="284" t="n">
        <f aca="false">IFERROR(S76*$E76, "")</f>
        <v>0</v>
      </c>
      <c r="AG76" s="284" t="n">
        <f aca="false">IFERROR(T76*$E76, "")</f>
        <v>0</v>
      </c>
      <c r="AH76" s="286" t="n">
        <f aca="false">IFERROR(SUMIF($V$4:$AG$4, "RDEC", V76:AG76), "")</f>
        <v>0</v>
      </c>
      <c r="AI76" s="286" t="n">
        <f aca="false">IFERROR(SUMIF($V$4:$AG$4, "SME", V76:AG76), "")</f>
        <v>0</v>
      </c>
      <c r="AJ76" s="286" t="n">
        <f aca="false">IFERROR(SUMIF($V$4:$AG$4, "De Minimis", V76:AG76), "")</f>
        <v>0</v>
      </c>
      <c r="AK76" s="287"/>
      <c r="AL76" s="288" t="str">
        <f aca="false">IF((SUM(I76:T76)&gt;1),"ERROR","")</f>
        <v/>
      </c>
    </row>
    <row r="77" customFormat="false" ht="15" hidden="false" customHeight="true" outlineLevel="0" collapsed="false">
      <c r="A77" s="340"/>
      <c r="H77" s="350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3"/>
      <c r="V77" s="284" t="n">
        <f aca="false">IFERROR(I77*$E77, "")</f>
        <v>0</v>
      </c>
      <c r="W77" s="284" t="n">
        <f aca="false">IFERROR(J77*$E77, "")</f>
        <v>0</v>
      </c>
      <c r="X77" s="284" t="n">
        <f aca="false">IFERROR(K77*$E77, "")</f>
        <v>0</v>
      </c>
      <c r="Y77" s="284" t="n">
        <f aca="false">IFERROR(L77*$E77, "")</f>
        <v>0</v>
      </c>
      <c r="Z77" s="284" t="n">
        <f aca="false">IFERROR(M77*$E77, "")</f>
        <v>0</v>
      </c>
      <c r="AA77" s="284" t="n">
        <f aca="false">IFERROR(N77*$E77, "")</f>
        <v>0</v>
      </c>
      <c r="AB77" s="284" t="n">
        <f aca="false">IFERROR(O77*$E77, "")</f>
        <v>0</v>
      </c>
      <c r="AC77" s="284" t="n">
        <f aca="false">IFERROR(P77*$E77, "")</f>
        <v>0</v>
      </c>
      <c r="AD77" s="284" t="n">
        <f aca="false">IFERROR(Q77*$E77, "")</f>
        <v>0</v>
      </c>
      <c r="AE77" s="284" t="n">
        <f aca="false">IFERROR(R77*$E77, "")</f>
        <v>0</v>
      </c>
      <c r="AF77" s="284" t="n">
        <f aca="false">IFERROR(S77*$E77, "")</f>
        <v>0</v>
      </c>
      <c r="AG77" s="284" t="n">
        <f aca="false">IFERROR(T77*$E77, "")</f>
        <v>0</v>
      </c>
      <c r="AH77" s="286" t="n">
        <f aca="false">IFERROR(SUMIF($V$4:$AG$4, "RDEC", V77:AG77), "")</f>
        <v>0</v>
      </c>
      <c r="AI77" s="286" t="n">
        <f aca="false">IFERROR(SUMIF($V$4:$AG$4, "SME", V77:AG77), "")</f>
        <v>0</v>
      </c>
      <c r="AJ77" s="286" t="n">
        <f aca="false">IFERROR(SUMIF($V$4:$AG$4, "De Minimis", V77:AG77), "")</f>
        <v>0</v>
      </c>
      <c r="AK77" s="287"/>
      <c r="AL77" s="288" t="str">
        <f aca="false">IF((SUM(I77:T77)&gt;1),"ERROR","")</f>
        <v/>
      </c>
    </row>
    <row r="78" customFormat="false" ht="15" hidden="false" customHeight="true" outlineLevel="0" collapsed="false">
      <c r="A78" s="340"/>
      <c r="H78" s="350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3"/>
      <c r="V78" s="284" t="n">
        <f aca="false">IFERROR(I78*$E78, "")</f>
        <v>0</v>
      </c>
      <c r="W78" s="284" t="n">
        <f aca="false">IFERROR(J78*$E78, "")</f>
        <v>0</v>
      </c>
      <c r="X78" s="284" t="n">
        <f aca="false">IFERROR(K78*$E78, "")</f>
        <v>0</v>
      </c>
      <c r="Y78" s="284" t="n">
        <f aca="false">IFERROR(L78*$E78, "")</f>
        <v>0</v>
      </c>
      <c r="Z78" s="284" t="n">
        <f aca="false">IFERROR(M78*$E78, "")</f>
        <v>0</v>
      </c>
      <c r="AA78" s="284" t="n">
        <f aca="false">IFERROR(N78*$E78, "")</f>
        <v>0</v>
      </c>
      <c r="AB78" s="284" t="n">
        <f aca="false">IFERROR(O78*$E78, "")</f>
        <v>0</v>
      </c>
      <c r="AC78" s="284" t="n">
        <f aca="false">IFERROR(P78*$E78, "")</f>
        <v>0</v>
      </c>
      <c r="AD78" s="284" t="n">
        <f aca="false">IFERROR(Q78*$E78, "")</f>
        <v>0</v>
      </c>
      <c r="AE78" s="284" t="n">
        <f aca="false">IFERROR(R78*$E78, "")</f>
        <v>0</v>
      </c>
      <c r="AF78" s="284" t="n">
        <f aca="false">IFERROR(S78*$E78, "")</f>
        <v>0</v>
      </c>
      <c r="AG78" s="284" t="n">
        <f aca="false">IFERROR(T78*$E78, "")</f>
        <v>0</v>
      </c>
      <c r="AH78" s="286" t="n">
        <f aca="false">IFERROR(SUMIF($V$4:$AG$4, "RDEC", V78:AG78), "")</f>
        <v>0</v>
      </c>
      <c r="AI78" s="286" t="n">
        <f aca="false">IFERROR(SUMIF($V$4:$AG$4, "SME", V78:AG78), "")</f>
        <v>0</v>
      </c>
      <c r="AJ78" s="286" t="n">
        <f aca="false">IFERROR(SUMIF($V$4:$AG$4, "De Minimis", V78:AG78), "")</f>
        <v>0</v>
      </c>
      <c r="AK78" s="287"/>
      <c r="AL78" s="288" t="str">
        <f aca="false">IF((SUM(I78:T78)&gt;1),"ERROR","")</f>
        <v/>
      </c>
    </row>
    <row r="79" customFormat="false" ht="15" hidden="false" customHeight="true" outlineLevel="0" collapsed="false">
      <c r="A79" s="340"/>
      <c r="H79" s="350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3"/>
      <c r="V79" s="284" t="n">
        <f aca="false">IFERROR(I79*$E79, "")</f>
        <v>0</v>
      </c>
      <c r="W79" s="284" t="n">
        <f aca="false">IFERROR(J79*$E79, "")</f>
        <v>0</v>
      </c>
      <c r="X79" s="284" t="n">
        <f aca="false">IFERROR(K79*$E79, "")</f>
        <v>0</v>
      </c>
      <c r="Y79" s="284" t="n">
        <f aca="false">IFERROR(L79*$E79, "")</f>
        <v>0</v>
      </c>
      <c r="Z79" s="284" t="n">
        <f aca="false">IFERROR(M79*$E79, "")</f>
        <v>0</v>
      </c>
      <c r="AA79" s="284" t="n">
        <f aca="false">IFERROR(N79*$E79, "")</f>
        <v>0</v>
      </c>
      <c r="AB79" s="284" t="n">
        <f aca="false">IFERROR(O79*$E79, "")</f>
        <v>0</v>
      </c>
      <c r="AC79" s="284" t="n">
        <f aca="false">IFERROR(P79*$E79, "")</f>
        <v>0</v>
      </c>
      <c r="AD79" s="284" t="n">
        <f aca="false">IFERROR(Q79*$E79, "")</f>
        <v>0</v>
      </c>
      <c r="AE79" s="284" t="n">
        <f aca="false">IFERROR(R79*$E79, "")</f>
        <v>0</v>
      </c>
      <c r="AF79" s="284" t="n">
        <f aca="false">IFERROR(S79*$E79, "")</f>
        <v>0</v>
      </c>
      <c r="AG79" s="284" t="n">
        <f aca="false">IFERROR(T79*$E79, "")</f>
        <v>0</v>
      </c>
      <c r="AH79" s="286" t="n">
        <f aca="false">IFERROR(SUMIF($V$4:$AG$4, "RDEC", V79:AG79), "")</f>
        <v>0</v>
      </c>
      <c r="AI79" s="286" t="n">
        <f aca="false">IFERROR(SUMIF($V$4:$AG$4, "SME", V79:AG79), "")</f>
        <v>0</v>
      </c>
      <c r="AJ79" s="286" t="n">
        <f aca="false">IFERROR(SUMIF($V$4:$AG$4, "De Minimis", V79:AG79), "")</f>
        <v>0</v>
      </c>
      <c r="AK79" s="303"/>
      <c r="AL79" s="288" t="str">
        <f aca="false">IF((SUM(I79:T79)&gt;1),"ERROR","")</f>
        <v/>
      </c>
    </row>
    <row r="80" customFormat="false" ht="15" hidden="false" customHeight="true" outlineLevel="0" collapsed="false">
      <c r="A80" s="340"/>
      <c r="H80" s="350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3"/>
      <c r="V80" s="284" t="n">
        <f aca="false">IFERROR(I80*$E80, "")</f>
        <v>0</v>
      </c>
      <c r="W80" s="284" t="n">
        <f aca="false">IFERROR(J80*$E80, "")</f>
        <v>0</v>
      </c>
      <c r="X80" s="284" t="n">
        <f aca="false">IFERROR(K80*$E80, "")</f>
        <v>0</v>
      </c>
      <c r="Y80" s="284" t="n">
        <f aca="false">IFERROR(L80*$E80, "")</f>
        <v>0</v>
      </c>
      <c r="Z80" s="284" t="n">
        <f aca="false">IFERROR(M80*$E80, "")</f>
        <v>0</v>
      </c>
      <c r="AA80" s="284" t="n">
        <f aca="false">IFERROR(N80*$E80, "")</f>
        <v>0</v>
      </c>
      <c r="AB80" s="284" t="n">
        <f aca="false">IFERROR(O80*$E80, "")</f>
        <v>0</v>
      </c>
      <c r="AC80" s="284" t="n">
        <f aca="false">IFERROR(P80*$E80, "")</f>
        <v>0</v>
      </c>
      <c r="AD80" s="284" t="n">
        <f aca="false">IFERROR(Q80*$E80, "")</f>
        <v>0</v>
      </c>
      <c r="AE80" s="284" t="n">
        <f aca="false">IFERROR(R80*$E80, "")</f>
        <v>0</v>
      </c>
      <c r="AF80" s="284" t="n">
        <f aca="false">IFERROR(S80*$E80, "")</f>
        <v>0</v>
      </c>
      <c r="AG80" s="284" t="n">
        <f aca="false">IFERROR(T80*$E80, "")</f>
        <v>0</v>
      </c>
      <c r="AH80" s="286" t="n">
        <f aca="false">IFERROR(SUMIF($V$4:$AG$4, "RDEC", V80:AG80), "")</f>
        <v>0</v>
      </c>
      <c r="AI80" s="286" t="n">
        <f aca="false">IFERROR(SUMIF($V$4:$AG$4, "SME", V80:AG80), "")</f>
        <v>0</v>
      </c>
      <c r="AJ80" s="286" t="n">
        <f aca="false">IFERROR(SUMIF($V$4:$AG$4, "De Minimis", V80:AG80), "")</f>
        <v>0</v>
      </c>
      <c r="AL80" s="288" t="str">
        <f aca="false">IF((SUM(I80:T80)&gt;1),"ERROR","")</f>
        <v/>
      </c>
    </row>
    <row r="81" customFormat="false" ht="15" hidden="false" customHeight="true" outlineLevel="0" collapsed="false">
      <c r="A81" s="340"/>
      <c r="H81" s="350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3"/>
      <c r="V81" s="284" t="n">
        <f aca="false">IFERROR(I81*$E81, "")</f>
        <v>0</v>
      </c>
      <c r="W81" s="284" t="n">
        <f aca="false">IFERROR(J81*$E81, "")</f>
        <v>0</v>
      </c>
      <c r="X81" s="284" t="n">
        <f aca="false">IFERROR(K81*$E81, "")</f>
        <v>0</v>
      </c>
      <c r="Y81" s="284" t="n">
        <f aca="false">IFERROR(L81*$E81, "")</f>
        <v>0</v>
      </c>
      <c r="Z81" s="284" t="n">
        <f aca="false">IFERROR(M81*$E81, "")</f>
        <v>0</v>
      </c>
      <c r="AA81" s="284" t="n">
        <f aca="false">IFERROR(N81*$E81, "")</f>
        <v>0</v>
      </c>
      <c r="AB81" s="284" t="n">
        <f aca="false">IFERROR(O81*$E81, "")</f>
        <v>0</v>
      </c>
      <c r="AC81" s="284" t="n">
        <f aca="false">IFERROR(P81*$E81, "")</f>
        <v>0</v>
      </c>
      <c r="AD81" s="284" t="n">
        <f aca="false">IFERROR(Q81*$E81, "")</f>
        <v>0</v>
      </c>
      <c r="AE81" s="284" t="n">
        <f aca="false">IFERROR(R81*$E81, "")</f>
        <v>0</v>
      </c>
      <c r="AF81" s="284" t="n">
        <f aca="false">IFERROR(S81*$E81, "")</f>
        <v>0</v>
      </c>
      <c r="AG81" s="284" t="n">
        <f aca="false">IFERROR(T81*$E81, "")</f>
        <v>0</v>
      </c>
      <c r="AH81" s="286" t="n">
        <f aca="false">IFERROR(SUMIF($V$4:$AG$4, "RDEC", V81:AG81), "")</f>
        <v>0</v>
      </c>
      <c r="AI81" s="286" t="n">
        <f aca="false">IFERROR(SUMIF($V$4:$AG$4, "SME", V81:AG81), "")</f>
        <v>0</v>
      </c>
      <c r="AJ81" s="286" t="n">
        <f aca="false">IFERROR(SUMIF($V$4:$AG$4, "De Minimis", V81:AG81), "")</f>
        <v>0</v>
      </c>
      <c r="AK81" s="268"/>
      <c r="AL81" s="288" t="str">
        <f aca="false">IF((SUM(I81:T81)&gt;1),"ERROR","")</f>
        <v/>
      </c>
    </row>
    <row r="82" customFormat="false" ht="15" hidden="false" customHeight="true" outlineLevel="0" collapsed="false">
      <c r="A82" s="340"/>
      <c r="H82" s="350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3"/>
      <c r="V82" s="284" t="n">
        <f aca="false">IFERROR(I82*$E82, "")</f>
        <v>0</v>
      </c>
      <c r="W82" s="284" t="n">
        <f aca="false">IFERROR(J82*$E82, "")</f>
        <v>0</v>
      </c>
      <c r="X82" s="284" t="n">
        <f aca="false">IFERROR(K82*$E82, "")</f>
        <v>0</v>
      </c>
      <c r="Y82" s="284" t="n">
        <f aca="false">IFERROR(L82*$E82, "")</f>
        <v>0</v>
      </c>
      <c r="Z82" s="284" t="n">
        <f aca="false">IFERROR(M82*$E82, "")</f>
        <v>0</v>
      </c>
      <c r="AA82" s="284" t="n">
        <f aca="false">IFERROR(N82*$E82, "")</f>
        <v>0</v>
      </c>
      <c r="AB82" s="284" t="n">
        <f aca="false">IFERROR(O82*$E82, "")</f>
        <v>0</v>
      </c>
      <c r="AC82" s="284" t="n">
        <f aca="false">IFERROR(P82*$E82, "")</f>
        <v>0</v>
      </c>
      <c r="AD82" s="284" t="n">
        <f aca="false">IFERROR(Q82*$E82, "")</f>
        <v>0</v>
      </c>
      <c r="AE82" s="284" t="n">
        <f aca="false">IFERROR(R82*$E82, "")</f>
        <v>0</v>
      </c>
      <c r="AF82" s="284" t="n">
        <f aca="false">IFERROR(S82*$E82, "")</f>
        <v>0</v>
      </c>
      <c r="AG82" s="284" t="n">
        <f aca="false">IFERROR(T82*$E82, "")</f>
        <v>0</v>
      </c>
      <c r="AH82" s="286" t="n">
        <f aca="false">IFERROR(SUMIF($V$4:$AG$4, "RDEC", V82:AG82), "")</f>
        <v>0</v>
      </c>
      <c r="AI82" s="286" t="n">
        <f aca="false">IFERROR(SUMIF($V$4:$AG$4, "SME", V82:AG82), "")</f>
        <v>0</v>
      </c>
      <c r="AJ82" s="286" t="n">
        <f aca="false">IFERROR(SUMIF($V$4:$AG$4, "De Minimis", V82:AG82), "")</f>
        <v>0</v>
      </c>
      <c r="AK82" s="287"/>
      <c r="AL82" s="288" t="str">
        <f aca="false">IF((SUM(I82:T82)&gt;1),"ERROR","")</f>
        <v/>
      </c>
    </row>
    <row r="83" customFormat="false" ht="15" hidden="false" customHeight="true" outlineLevel="0" collapsed="false">
      <c r="A83" s="340"/>
      <c r="H83" s="350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3"/>
      <c r="V83" s="284" t="n">
        <f aca="false">IFERROR(I83*$E83, "")</f>
        <v>0</v>
      </c>
      <c r="W83" s="284" t="n">
        <f aca="false">IFERROR(J83*$E83, "")</f>
        <v>0</v>
      </c>
      <c r="X83" s="284" t="n">
        <f aca="false">IFERROR(K83*$E83, "")</f>
        <v>0</v>
      </c>
      <c r="Y83" s="284" t="n">
        <f aca="false">IFERROR(L83*$E83, "")</f>
        <v>0</v>
      </c>
      <c r="Z83" s="284" t="n">
        <f aca="false">IFERROR(M83*$E83, "")</f>
        <v>0</v>
      </c>
      <c r="AA83" s="284" t="n">
        <f aca="false">IFERROR(N83*$E83, "")</f>
        <v>0</v>
      </c>
      <c r="AB83" s="284" t="n">
        <f aca="false">IFERROR(O83*$E83, "")</f>
        <v>0</v>
      </c>
      <c r="AC83" s="284" t="n">
        <f aca="false">IFERROR(P83*$E83, "")</f>
        <v>0</v>
      </c>
      <c r="AD83" s="284" t="n">
        <f aca="false">IFERROR(Q83*$E83, "")</f>
        <v>0</v>
      </c>
      <c r="AE83" s="284" t="n">
        <f aca="false">IFERROR(R83*$E83, "")</f>
        <v>0</v>
      </c>
      <c r="AF83" s="284" t="n">
        <f aca="false">IFERROR(S83*$E83, "")</f>
        <v>0</v>
      </c>
      <c r="AG83" s="284" t="n">
        <f aca="false">IFERROR(T83*$E83, "")</f>
        <v>0</v>
      </c>
      <c r="AH83" s="286" t="n">
        <f aca="false">IFERROR(SUMIF($V$4:$AG$4, "RDEC", V83:AG83), "")</f>
        <v>0</v>
      </c>
      <c r="AI83" s="286" t="n">
        <f aca="false">IFERROR(SUMIF($V$4:$AG$4, "SME", V83:AG83), "")</f>
        <v>0</v>
      </c>
      <c r="AJ83" s="286" t="n">
        <f aca="false">IFERROR(SUMIF($V$4:$AG$4, "De Minimis", V83:AG83), "")</f>
        <v>0</v>
      </c>
      <c r="AK83" s="287"/>
      <c r="AL83" s="288" t="str">
        <f aca="false">IF((SUM(I83:T83)&gt;1),"ERROR","")</f>
        <v/>
      </c>
    </row>
    <row r="84" customFormat="false" ht="15" hidden="false" customHeight="true" outlineLevel="0" collapsed="false">
      <c r="A84" s="340"/>
      <c r="H84" s="350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3"/>
      <c r="V84" s="284" t="n">
        <f aca="false">IFERROR(I84*$E84, "")</f>
        <v>0</v>
      </c>
      <c r="W84" s="284" t="n">
        <f aca="false">IFERROR(J84*$E84, "")</f>
        <v>0</v>
      </c>
      <c r="X84" s="284" t="n">
        <f aca="false">IFERROR(K84*$E84, "")</f>
        <v>0</v>
      </c>
      <c r="Y84" s="284" t="n">
        <f aca="false">IFERROR(L84*$E84, "")</f>
        <v>0</v>
      </c>
      <c r="Z84" s="284" t="n">
        <f aca="false">IFERROR(M84*$E84, "")</f>
        <v>0</v>
      </c>
      <c r="AA84" s="284" t="n">
        <f aca="false">IFERROR(N84*$E84, "")</f>
        <v>0</v>
      </c>
      <c r="AB84" s="284" t="n">
        <f aca="false">IFERROR(O84*$E84, "")</f>
        <v>0</v>
      </c>
      <c r="AC84" s="284" t="n">
        <f aca="false">IFERROR(P84*$E84, "")</f>
        <v>0</v>
      </c>
      <c r="AD84" s="284" t="n">
        <f aca="false">IFERROR(Q84*$E84, "")</f>
        <v>0</v>
      </c>
      <c r="AE84" s="284" t="n">
        <f aca="false">IFERROR(R84*$E84, "")</f>
        <v>0</v>
      </c>
      <c r="AF84" s="284" t="n">
        <f aca="false">IFERROR(S84*$E84, "")</f>
        <v>0</v>
      </c>
      <c r="AG84" s="284" t="n">
        <f aca="false">IFERROR(T84*$E84, "")</f>
        <v>0</v>
      </c>
      <c r="AH84" s="286" t="n">
        <f aca="false">IFERROR(SUMIF($V$4:$AG$4, "RDEC", V84:AG84), "")</f>
        <v>0</v>
      </c>
      <c r="AI84" s="286" t="n">
        <f aca="false">IFERROR(SUMIF($V$4:$AG$4, "SME", V84:AG84), "")</f>
        <v>0</v>
      </c>
      <c r="AJ84" s="286" t="n">
        <f aca="false">IFERROR(SUMIF($V$4:$AG$4, "De Minimis", V84:AG84), "")</f>
        <v>0</v>
      </c>
      <c r="AK84" s="287"/>
      <c r="AL84" s="288" t="str">
        <f aca="false">IF((SUM(I84:T84)&gt;1),"ERROR","")</f>
        <v/>
      </c>
    </row>
    <row r="85" customFormat="false" ht="15" hidden="false" customHeight="true" outlineLevel="0" collapsed="false">
      <c r="A85" s="340"/>
      <c r="H85" s="350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3"/>
      <c r="V85" s="284" t="n">
        <f aca="false">IFERROR(I85*$E85, "")</f>
        <v>0</v>
      </c>
      <c r="W85" s="284" t="n">
        <f aca="false">IFERROR(J85*$E85, "")</f>
        <v>0</v>
      </c>
      <c r="X85" s="284" t="n">
        <f aca="false">IFERROR(K85*$E85, "")</f>
        <v>0</v>
      </c>
      <c r="Y85" s="284" t="n">
        <f aca="false">IFERROR(L85*$E85, "")</f>
        <v>0</v>
      </c>
      <c r="Z85" s="284" t="n">
        <f aca="false">IFERROR(M85*$E85, "")</f>
        <v>0</v>
      </c>
      <c r="AA85" s="284" t="n">
        <f aca="false">IFERROR(N85*$E85, "")</f>
        <v>0</v>
      </c>
      <c r="AB85" s="284" t="n">
        <f aca="false">IFERROR(O85*$E85, "")</f>
        <v>0</v>
      </c>
      <c r="AC85" s="284" t="n">
        <f aca="false">IFERROR(P85*$E85, "")</f>
        <v>0</v>
      </c>
      <c r="AD85" s="284" t="n">
        <f aca="false">IFERROR(Q85*$E85, "")</f>
        <v>0</v>
      </c>
      <c r="AE85" s="284" t="n">
        <f aca="false">IFERROR(R85*$E85, "")</f>
        <v>0</v>
      </c>
      <c r="AF85" s="284" t="n">
        <f aca="false">IFERROR(S85*$E85, "")</f>
        <v>0</v>
      </c>
      <c r="AG85" s="284" t="n">
        <f aca="false">IFERROR(T85*$E85, "")</f>
        <v>0</v>
      </c>
      <c r="AH85" s="286" t="n">
        <f aca="false">IFERROR(SUMIF($V$4:$AG$4, "RDEC", V85:AG85), "")</f>
        <v>0</v>
      </c>
      <c r="AI85" s="286" t="n">
        <f aca="false">IFERROR(SUMIF($V$4:$AG$4, "SME", V85:AG85), "")</f>
        <v>0</v>
      </c>
      <c r="AJ85" s="286" t="n">
        <f aca="false">IFERROR(SUMIF($V$4:$AG$4, "De Minimis", V85:AG85), "")</f>
        <v>0</v>
      </c>
      <c r="AK85" s="287"/>
      <c r="AL85" s="288" t="str">
        <f aca="false">IF((SUM(I85:T85)&gt;1),"ERROR","")</f>
        <v/>
      </c>
    </row>
    <row r="86" customFormat="false" ht="15" hidden="false" customHeight="true" outlineLevel="0" collapsed="false">
      <c r="A86" s="340"/>
      <c r="H86" s="350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3"/>
      <c r="V86" s="284" t="n">
        <f aca="false">IFERROR(I86*$E86, "")</f>
        <v>0</v>
      </c>
      <c r="W86" s="284" t="n">
        <f aca="false">IFERROR(J86*$E86, "")</f>
        <v>0</v>
      </c>
      <c r="X86" s="284" t="n">
        <f aca="false">IFERROR(K86*$E86, "")</f>
        <v>0</v>
      </c>
      <c r="Y86" s="284" t="n">
        <f aca="false">IFERROR(L86*$E86, "")</f>
        <v>0</v>
      </c>
      <c r="Z86" s="284" t="n">
        <f aca="false">IFERROR(M86*$E86, "")</f>
        <v>0</v>
      </c>
      <c r="AA86" s="284" t="n">
        <f aca="false">IFERROR(N86*$E86, "")</f>
        <v>0</v>
      </c>
      <c r="AB86" s="284" t="n">
        <f aca="false">IFERROR(O86*$E86, "")</f>
        <v>0</v>
      </c>
      <c r="AC86" s="284" t="n">
        <f aca="false">IFERROR(P86*$E86, "")</f>
        <v>0</v>
      </c>
      <c r="AD86" s="284" t="n">
        <f aca="false">IFERROR(Q86*$E86, "")</f>
        <v>0</v>
      </c>
      <c r="AE86" s="284" t="n">
        <f aca="false">IFERROR(R86*$E86, "")</f>
        <v>0</v>
      </c>
      <c r="AF86" s="284" t="n">
        <f aca="false">IFERROR(S86*$E86, "")</f>
        <v>0</v>
      </c>
      <c r="AG86" s="284" t="n">
        <f aca="false">IFERROR(T86*$E86, "")</f>
        <v>0</v>
      </c>
      <c r="AH86" s="286" t="n">
        <f aca="false">IFERROR(SUMIF($V$4:$AG$4, "RDEC", V86:AG86), "")</f>
        <v>0</v>
      </c>
      <c r="AI86" s="286" t="n">
        <f aca="false">IFERROR(SUMIF($V$4:$AG$4, "SME", V86:AG86), "")</f>
        <v>0</v>
      </c>
      <c r="AJ86" s="286" t="n">
        <f aca="false">IFERROR(SUMIF($V$4:$AG$4, "De Minimis", V86:AG86), "")</f>
        <v>0</v>
      </c>
      <c r="AK86" s="287"/>
      <c r="AL86" s="288" t="str">
        <f aca="false">IF((SUM(I86:T86)&gt;1),"ERROR","")</f>
        <v/>
      </c>
    </row>
    <row r="87" customFormat="false" ht="15" hidden="false" customHeight="true" outlineLevel="0" collapsed="false">
      <c r="A87" s="340"/>
      <c r="H87" s="350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3"/>
      <c r="V87" s="284" t="n">
        <f aca="false">IFERROR(I87*$E87, "")</f>
        <v>0</v>
      </c>
      <c r="W87" s="284" t="n">
        <f aca="false">IFERROR(J87*$E87, "")</f>
        <v>0</v>
      </c>
      <c r="X87" s="284" t="n">
        <f aca="false">IFERROR(K87*$E87, "")</f>
        <v>0</v>
      </c>
      <c r="Y87" s="284" t="n">
        <f aca="false">IFERROR(L87*$E87, "")</f>
        <v>0</v>
      </c>
      <c r="Z87" s="284" t="n">
        <f aca="false">IFERROR(M87*$E87, "")</f>
        <v>0</v>
      </c>
      <c r="AA87" s="284" t="n">
        <f aca="false">IFERROR(N87*$E87, "")</f>
        <v>0</v>
      </c>
      <c r="AB87" s="284" t="n">
        <f aca="false">IFERROR(O87*$E87, "")</f>
        <v>0</v>
      </c>
      <c r="AC87" s="284" t="n">
        <f aca="false">IFERROR(P87*$E87, "")</f>
        <v>0</v>
      </c>
      <c r="AD87" s="284" t="n">
        <f aca="false">IFERROR(Q87*$E87, "")</f>
        <v>0</v>
      </c>
      <c r="AE87" s="284" t="n">
        <f aca="false">IFERROR(R87*$E87, "")</f>
        <v>0</v>
      </c>
      <c r="AF87" s="284" t="n">
        <f aca="false">IFERROR(S87*$E87, "")</f>
        <v>0</v>
      </c>
      <c r="AG87" s="284" t="n">
        <f aca="false">IFERROR(T87*$E87, "")</f>
        <v>0</v>
      </c>
      <c r="AH87" s="286" t="n">
        <f aca="false">IFERROR(SUMIF($V$4:$AG$4, "RDEC", V87:AG87), "")</f>
        <v>0</v>
      </c>
      <c r="AI87" s="286" t="n">
        <f aca="false">IFERROR(SUMIF($V$4:$AG$4, "SME", V87:AG87), "")</f>
        <v>0</v>
      </c>
      <c r="AJ87" s="286" t="n">
        <f aca="false">IFERROR(SUMIF($V$4:$AG$4, "De Minimis", V87:AG87), "")</f>
        <v>0</v>
      </c>
      <c r="AK87" s="287"/>
      <c r="AL87" s="288" t="str">
        <f aca="false">IF((SUM(I87:T87)&gt;1),"ERROR","")</f>
        <v/>
      </c>
    </row>
    <row r="88" customFormat="false" ht="15" hidden="false" customHeight="true" outlineLevel="0" collapsed="false">
      <c r="A88" s="340"/>
      <c r="H88" s="350"/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3"/>
      <c r="V88" s="284" t="n">
        <f aca="false">IFERROR(I88*$E88, "")</f>
        <v>0</v>
      </c>
      <c r="W88" s="284" t="n">
        <f aca="false">IFERROR(J88*$E88, "")</f>
        <v>0</v>
      </c>
      <c r="X88" s="284" t="n">
        <f aca="false">IFERROR(K88*$E88, "")</f>
        <v>0</v>
      </c>
      <c r="Y88" s="284" t="n">
        <f aca="false">IFERROR(L88*$E88, "")</f>
        <v>0</v>
      </c>
      <c r="Z88" s="284" t="n">
        <f aca="false">IFERROR(M88*$E88, "")</f>
        <v>0</v>
      </c>
      <c r="AA88" s="284" t="n">
        <f aca="false">IFERROR(N88*$E88, "")</f>
        <v>0</v>
      </c>
      <c r="AB88" s="284" t="n">
        <f aca="false">IFERROR(O88*$E88, "")</f>
        <v>0</v>
      </c>
      <c r="AC88" s="284" t="n">
        <f aca="false">IFERROR(P88*$E88, "")</f>
        <v>0</v>
      </c>
      <c r="AD88" s="284" t="n">
        <f aca="false">IFERROR(Q88*$E88, "")</f>
        <v>0</v>
      </c>
      <c r="AE88" s="284" t="n">
        <f aca="false">IFERROR(R88*$E88, "")</f>
        <v>0</v>
      </c>
      <c r="AF88" s="284" t="n">
        <f aca="false">IFERROR(S88*$E88, "")</f>
        <v>0</v>
      </c>
      <c r="AG88" s="284" t="n">
        <f aca="false">IFERROR(T88*$E88, "")</f>
        <v>0</v>
      </c>
      <c r="AH88" s="286" t="n">
        <f aca="false">IFERROR(SUMIF($V$4:$AG$4, "RDEC", V88:AG88), "")</f>
        <v>0</v>
      </c>
      <c r="AI88" s="286" t="n">
        <f aca="false">IFERROR(SUMIF($V$4:$AG$4, "SME", V88:AG88), "")</f>
        <v>0</v>
      </c>
      <c r="AJ88" s="286" t="n">
        <f aca="false">IFERROR(SUMIF($V$4:$AG$4, "De Minimis", V88:AG88), "")</f>
        <v>0</v>
      </c>
      <c r="AK88" s="287"/>
      <c r="AL88" s="288" t="str">
        <f aca="false">IF((SUM(I88:T88)&gt;1),"ERROR","")</f>
        <v/>
      </c>
    </row>
    <row r="89" customFormat="false" ht="15" hidden="false" customHeight="true" outlineLevel="0" collapsed="false">
      <c r="A89" s="340"/>
      <c r="H89" s="350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3"/>
      <c r="V89" s="284" t="n">
        <f aca="false">IFERROR(I89*$E89, "")</f>
        <v>0</v>
      </c>
      <c r="W89" s="284" t="n">
        <f aca="false">IFERROR(J89*$E89, "")</f>
        <v>0</v>
      </c>
      <c r="X89" s="284" t="n">
        <f aca="false">IFERROR(K89*$E89, "")</f>
        <v>0</v>
      </c>
      <c r="Y89" s="284" t="n">
        <f aca="false">IFERROR(L89*$E89, "")</f>
        <v>0</v>
      </c>
      <c r="Z89" s="284" t="n">
        <f aca="false">IFERROR(M89*$E89, "")</f>
        <v>0</v>
      </c>
      <c r="AA89" s="284" t="n">
        <f aca="false">IFERROR(N89*$E89, "")</f>
        <v>0</v>
      </c>
      <c r="AB89" s="284" t="n">
        <f aca="false">IFERROR(O89*$E89, "")</f>
        <v>0</v>
      </c>
      <c r="AC89" s="284" t="n">
        <f aca="false">IFERROR(P89*$E89, "")</f>
        <v>0</v>
      </c>
      <c r="AD89" s="284" t="n">
        <f aca="false">IFERROR(Q89*$E89, "")</f>
        <v>0</v>
      </c>
      <c r="AE89" s="284" t="n">
        <f aca="false">IFERROR(R89*$E89, "")</f>
        <v>0</v>
      </c>
      <c r="AF89" s="284" t="n">
        <f aca="false">IFERROR(S89*$E89, "")</f>
        <v>0</v>
      </c>
      <c r="AG89" s="284" t="n">
        <f aca="false">IFERROR(T89*$E89, "")</f>
        <v>0</v>
      </c>
      <c r="AH89" s="286" t="n">
        <f aca="false">IFERROR(SUMIF($V$4:$AG$4, "RDEC", V89:AG89), "")</f>
        <v>0</v>
      </c>
      <c r="AI89" s="286" t="n">
        <f aca="false">IFERROR(SUMIF($V$4:$AG$4, "SME", V89:AG89), "")</f>
        <v>0</v>
      </c>
      <c r="AJ89" s="286" t="n">
        <f aca="false">IFERROR(SUMIF($V$4:$AG$4, "De Minimis", V89:AG89), "")</f>
        <v>0</v>
      </c>
      <c r="AK89" s="287"/>
      <c r="AL89" s="288" t="str">
        <f aca="false">IF((SUM(I89:T89)&gt;1),"ERROR","")</f>
        <v/>
      </c>
    </row>
    <row r="90" customFormat="false" ht="15" hidden="false" customHeight="true" outlineLevel="0" collapsed="false">
      <c r="A90" s="340"/>
      <c r="H90" s="350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3"/>
      <c r="V90" s="284" t="n">
        <f aca="false">IFERROR(I90*$E90, "")</f>
        <v>0</v>
      </c>
      <c r="W90" s="284" t="n">
        <f aca="false">IFERROR(J90*$E90, "")</f>
        <v>0</v>
      </c>
      <c r="X90" s="284" t="n">
        <f aca="false">IFERROR(K90*$E90, "")</f>
        <v>0</v>
      </c>
      <c r="Y90" s="284" t="n">
        <f aca="false">IFERROR(L90*$E90, "")</f>
        <v>0</v>
      </c>
      <c r="Z90" s="284" t="n">
        <f aca="false">IFERROR(M90*$E90, "")</f>
        <v>0</v>
      </c>
      <c r="AA90" s="284" t="n">
        <f aca="false">IFERROR(N90*$E90, "")</f>
        <v>0</v>
      </c>
      <c r="AB90" s="284" t="n">
        <f aca="false">IFERROR(O90*$E90, "")</f>
        <v>0</v>
      </c>
      <c r="AC90" s="284" t="n">
        <f aca="false">IFERROR(P90*$E90, "")</f>
        <v>0</v>
      </c>
      <c r="AD90" s="284" t="n">
        <f aca="false">IFERROR(Q90*$E90, "")</f>
        <v>0</v>
      </c>
      <c r="AE90" s="284" t="n">
        <f aca="false">IFERROR(R90*$E90, "")</f>
        <v>0</v>
      </c>
      <c r="AF90" s="284" t="n">
        <f aca="false">IFERROR(S90*$E90, "")</f>
        <v>0</v>
      </c>
      <c r="AG90" s="284" t="n">
        <f aca="false">IFERROR(T90*$E90, "")</f>
        <v>0</v>
      </c>
      <c r="AH90" s="286" t="n">
        <f aca="false">IFERROR(SUMIF($V$4:$AG$4, "RDEC", V90:AG90), "")</f>
        <v>0</v>
      </c>
      <c r="AI90" s="286" t="n">
        <f aca="false">IFERROR(SUMIF($V$4:$AG$4, "SME", V90:AG90), "")</f>
        <v>0</v>
      </c>
      <c r="AJ90" s="286" t="n">
        <f aca="false">IFERROR(SUMIF($V$4:$AG$4, "De Minimis", V90:AG90), "")</f>
        <v>0</v>
      </c>
      <c r="AK90" s="287"/>
      <c r="AL90" s="288" t="str">
        <f aca="false">IF((SUM(I90:T90)&gt;1),"ERROR","")</f>
        <v/>
      </c>
    </row>
    <row r="91" customFormat="false" ht="15" hidden="false" customHeight="true" outlineLevel="0" collapsed="false">
      <c r="A91" s="340"/>
      <c r="H91" s="350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3"/>
      <c r="V91" s="284" t="n">
        <f aca="false">IFERROR(I91*$E91, "")</f>
        <v>0</v>
      </c>
      <c r="W91" s="284" t="n">
        <f aca="false">IFERROR(J91*$E91, "")</f>
        <v>0</v>
      </c>
      <c r="X91" s="284" t="n">
        <f aca="false">IFERROR(K91*$E91, "")</f>
        <v>0</v>
      </c>
      <c r="Y91" s="284" t="n">
        <f aca="false">IFERROR(L91*$E91, "")</f>
        <v>0</v>
      </c>
      <c r="Z91" s="284" t="n">
        <f aca="false">IFERROR(M91*$E91, "")</f>
        <v>0</v>
      </c>
      <c r="AA91" s="284" t="n">
        <f aca="false">IFERROR(N91*$E91, "")</f>
        <v>0</v>
      </c>
      <c r="AB91" s="284" t="n">
        <f aca="false">IFERROR(O91*$E91, "")</f>
        <v>0</v>
      </c>
      <c r="AC91" s="284" t="n">
        <f aca="false">IFERROR(P91*$E91, "")</f>
        <v>0</v>
      </c>
      <c r="AD91" s="284" t="n">
        <f aca="false">IFERROR(Q91*$E91, "")</f>
        <v>0</v>
      </c>
      <c r="AE91" s="284" t="n">
        <f aca="false">IFERROR(R91*$E91, "")</f>
        <v>0</v>
      </c>
      <c r="AF91" s="284" t="n">
        <f aca="false">IFERROR(S91*$E91, "")</f>
        <v>0</v>
      </c>
      <c r="AG91" s="284" t="n">
        <f aca="false">IFERROR(T91*$E91, "")</f>
        <v>0</v>
      </c>
      <c r="AH91" s="286" t="n">
        <f aca="false">IFERROR(SUMIF($V$4:$AG$4, "RDEC", V91:AG91), "")</f>
        <v>0</v>
      </c>
      <c r="AI91" s="286" t="n">
        <f aca="false">IFERROR(SUMIF($V$4:$AG$4, "SME", V91:AG91), "")</f>
        <v>0</v>
      </c>
      <c r="AJ91" s="286" t="n">
        <f aca="false">IFERROR(SUMIF($V$4:$AG$4, "De Minimis", V91:AG91), "")</f>
        <v>0</v>
      </c>
      <c r="AK91" s="287"/>
      <c r="AL91" s="288" t="str">
        <f aca="false">IF((SUM(I91:T91)&gt;1),"ERROR","")</f>
        <v/>
      </c>
    </row>
    <row r="92" customFormat="false" ht="15" hidden="false" customHeight="true" outlineLevel="0" collapsed="false">
      <c r="A92" s="340"/>
      <c r="H92" s="350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3"/>
      <c r="V92" s="284" t="n">
        <f aca="false">IFERROR(I92*$E92, "")</f>
        <v>0</v>
      </c>
      <c r="W92" s="284" t="n">
        <f aca="false">IFERROR(J92*$E92, "")</f>
        <v>0</v>
      </c>
      <c r="X92" s="284" t="n">
        <f aca="false">IFERROR(K92*$E92, "")</f>
        <v>0</v>
      </c>
      <c r="Y92" s="284" t="n">
        <f aca="false">IFERROR(L92*$E92, "")</f>
        <v>0</v>
      </c>
      <c r="Z92" s="284" t="n">
        <f aca="false">IFERROR(M92*$E92, "")</f>
        <v>0</v>
      </c>
      <c r="AA92" s="284" t="n">
        <f aca="false">IFERROR(N92*$E92, "")</f>
        <v>0</v>
      </c>
      <c r="AB92" s="284" t="n">
        <f aca="false">IFERROR(O92*$E92, "")</f>
        <v>0</v>
      </c>
      <c r="AC92" s="284" t="n">
        <f aca="false">IFERROR(P92*$E92, "")</f>
        <v>0</v>
      </c>
      <c r="AD92" s="284" t="n">
        <f aca="false">IFERROR(Q92*$E92, "")</f>
        <v>0</v>
      </c>
      <c r="AE92" s="284" t="n">
        <f aca="false">IFERROR(R92*$E92, "")</f>
        <v>0</v>
      </c>
      <c r="AF92" s="284" t="n">
        <f aca="false">IFERROR(S92*$E92, "")</f>
        <v>0</v>
      </c>
      <c r="AG92" s="284" t="n">
        <f aca="false">IFERROR(T92*$E92, "")</f>
        <v>0</v>
      </c>
      <c r="AH92" s="286" t="n">
        <f aca="false">IFERROR(SUMIF($V$4:$AG$4, "RDEC", V92:AG92), "")</f>
        <v>0</v>
      </c>
      <c r="AI92" s="286" t="n">
        <f aca="false">IFERROR(SUMIF($V$4:$AG$4, "SME", V92:AG92), "")</f>
        <v>0</v>
      </c>
      <c r="AJ92" s="286" t="n">
        <f aca="false">IFERROR(SUMIF($V$4:$AG$4, "De Minimis", V92:AG92), "")</f>
        <v>0</v>
      </c>
      <c r="AK92" s="287"/>
      <c r="AL92" s="288" t="str">
        <f aca="false">IF((SUM(I92:T92)&gt;1),"ERROR","")</f>
        <v/>
      </c>
    </row>
    <row r="93" customFormat="false" ht="15" hidden="false" customHeight="true" outlineLevel="0" collapsed="false">
      <c r="A93" s="340"/>
      <c r="H93" s="350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3"/>
      <c r="V93" s="284" t="n">
        <f aca="false">IFERROR(I93*$E93, "")</f>
        <v>0</v>
      </c>
      <c r="W93" s="284" t="n">
        <f aca="false">IFERROR(J93*$E93, "")</f>
        <v>0</v>
      </c>
      <c r="X93" s="284" t="n">
        <f aca="false">IFERROR(K93*$E93, "")</f>
        <v>0</v>
      </c>
      <c r="Y93" s="284" t="n">
        <f aca="false">IFERROR(L93*$E93, "")</f>
        <v>0</v>
      </c>
      <c r="Z93" s="284" t="n">
        <f aca="false">IFERROR(M93*$E93, "")</f>
        <v>0</v>
      </c>
      <c r="AA93" s="284" t="n">
        <f aca="false">IFERROR(N93*$E93, "")</f>
        <v>0</v>
      </c>
      <c r="AB93" s="284" t="n">
        <f aca="false">IFERROR(O93*$E93, "")</f>
        <v>0</v>
      </c>
      <c r="AC93" s="284" t="n">
        <f aca="false">IFERROR(P93*$E93, "")</f>
        <v>0</v>
      </c>
      <c r="AD93" s="284" t="n">
        <f aca="false">IFERROR(Q93*$E93, "")</f>
        <v>0</v>
      </c>
      <c r="AE93" s="284" t="n">
        <f aca="false">IFERROR(R93*$E93, "")</f>
        <v>0</v>
      </c>
      <c r="AF93" s="284" t="n">
        <f aca="false">IFERROR(S93*$E93, "")</f>
        <v>0</v>
      </c>
      <c r="AG93" s="284" t="n">
        <f aca="false">IFERROR(T93*$E93, "")</f>
        <v>0</v>
      </c>
      <c r="AH93" s="286" t="n">
        <f aca="false">IFERROR(SUMIF($V$4:$AG$4, "RDEC", V93:AG93), "")</f>
        <v>0</v>
      </c>
      <c r="AI93" s="286" t="n">
        <f aca="false">IFERROR(SUMIF($V$4:$AG$4, "SME", V93:AG93), "")</f>
        <v>0</v>
      </c>
      <c r="AJ93" s="286" t="n">
        <f aca="false">IFERROR(SUMIF($V$4:$AG$4, "De Minimis", V93:AG93), "")</f>
        <v>0</v>
      </c>
      <c r="AK93" s="287"/>
      <c r="AL93" s="288" t="str">
        <f aca="false">IF((SUM(I93:T93)&gt;1),"ERROR","")</f>
        <v/>
      </c>
    </row>
    <row r="94" customFormat="false" ht="15" hidden="false" customHeight="true" outlineLevel="0" collapsed="false">
      <c r="A94" s="340"/>
      <c r="H94" s="350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3"/>
      <c r="V94" s="284" t="n">
        <f aca="false">IFERROR(I94*$E94, "")</f>
        <v>0</v>
      </c>
      <c r="W94" s="284" t="n">
        <f aca="false">IFERROR(J94*$E94, "")</f>
        <v>0</v>
      </c>
      <c r="X94" s="284" t="n">
        <f aca="false">IFERROR(K94*$E94, "")</f>
        <v>0</v>
      </c>
      <c r="Y94" s="284" t="n">
        <f aca="false">IFERROR(L94*$E94, "")</f>
        <v>0</v>
      </c>
      <c r="Z94" s="284" t="n">
        <f aca="false">IFERROR(M94*$E94, "")</f>
        <v>0</v>
      </c>
      <c r="AA94" s="284" t="n">
        <f aca="false">IFERROR(N94*$E94, "")</f>
        <v>0</v>
      </c>
      <c r="AB94" s="284" t="n">
        <f aca="false">IFERROR(O94*$E94, "")</f>
        <v>0</v>
      </c>
      <c r="AC94" s="284" t="n">
        <f aca="false">IFERROR(P94*$E94, "")</f>
        <v>0</v>
      </c>
      <c r="AD94" s="284" t="n">
        <f aca="false">IFERROR(Q94*$E94, "")</f>
        <v>0</v>
      </c>
      <c r="AE94" s="284" t="n">
        <f aca="false">IFERROR(R94*$E94, "")</f>
        <v>0</v>
      </c>
      <c r="AF94" s="284" t="n">
        <f aca="false">IFERROR(S94*$E94, "")</f>
        <v>0</v>
      </c>
      <c r="AG94" s="284" t="n">
        <f aca="false">IFERROR(T94*$E94, "")</f>
        <v>0</v>
      </c>
      <c r="AH94" s="286" t="n">
        <f aca="false">IFERROR(SUMIF($V$4:$AG$4, "RDEC", V94:AG94), "")</f>
        <v>0</v>
      </c>
      <c r="AI94" s="286" t="n">
        <f aca="false">IFERROR(SUMIF($V$4:$AG$4, "SME", V94:AG94), "")</f>
        <v>0</v>
      </c>
      <c r="AJ94" s="286" t="n">
        <f aca="false">IFERROR(SUMIF($V$4:$AG$4, "De Minimis", V94:AG94), "")</f>
        <v>0</v>
      </c>
      <c r="AK94" s="303"/>
      <c r="AL94" s="288" t="str">
        <f aca="false">IF((SUM(I94:T94)&gt;1),"ERROR","")</f>
        <v/>
      </c>
    </row>
    <row r="95" customFormat="false" ht="15" hidden="false" customHeight="true" outlineLevel="0" collapsed="false">
      <c r="A95" s="340"/>
      <c r="H95" s="350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3"/>
      <c r="V95" s="284" t="n">
        <f aca="false">IFERROR(I95*$E95, "")</f>
        <v>0</v>
      </c>
      <c r="W95" s="284" t="n">
        <f aca="false">IFERROR(J95*$E95, "")</f>
        <v>0</v>
      </c>
      <c r="X95" s="284" t="n">
        <f aca="false">IFERROR(K95*$E95, "")</f>
        <v>0</v>
      </c>
      <c r="Y95" s="284" t="n">
        <f aca="false">IFERROR(L95*$E95, "")</f>
        <v>0</v>
      </c>
      <c r="Z95" s="284" t="n">
        <f aca="false">IFERROR(M95*$E95, "")</f>
        <v>0</v>
      </c>
      <c r="AA95" s="284" t="n">
        <f aca="false">IFERROR(N95*$E95, "")</f>
        <v>0</v>
      </c>
      <c r="AB95" s="284" t="n">
        <f aca="false">IFERROR(O95*$E95, "")</f>
        <v>0</v>
      </c>
      <c r="AC95" s="284" t="n">
        <f aca="false">IFERROR(P95*$E95, "")</f>
        <v>0</v>
      </c>
      <c r="AD95" s="284" t="n">
        <f aca="false">IFERROR(Q95*$E95, "")</f>
        <v>0</v>
      </c>
      <c r="AE95" s="284" t="n">
        <f aca="false">IFERROR(R95*$E95, "")</f>
        <v>0</v>
      </c>
      <c r="AF95" s="284" t="n">
        <f aca="false">IFERROR(S95*$E95, "")</f>
        <v>0</v>
      </c>
      <c r="AG95" s="284" t="n">
        <f aca="false">IFERROR(T95*$E95, "")</f>
        <v>0</v>
      </c>
      <c r="AH95" s="286" t="n">
        <f aca="false">IFERROR(SUMIF($V$4:$AG$4, "RDEC", V95:AG95), "")</f>
        <v>0</v>
      </c>
      <c r="AI95" s="286" t="n">
        <f aca="false">IFERROR(SUMIF($V$4:$AG$4, "SME", V95:AG95), "")</f>
        <v>0</v>
      </c>
      <c r="AJ95" s="286" t="n">
        <f aca="false">IFERROR(SUMIF($V$4:$AG$4, "De Minimis", V95:AG95), "")</f>
        <v>0</v>
      </c>
      <c r="AL95" s="288" t="str">
        <f aca="false">IF((SUM(I95:T95)&gt;1),"ERROR","")</f>
        <v/>
      </c>
    </row>
    <row r="96" customFormat="false" ht="15" hidden="false" customHeight="true" outlineLevel="0" collapsed="false">
      <c r="A96" s="340"/>
      <c r="H96" s="350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3"/>
      <c r="V96" s="284" t="n">
        <f aca="false">IFERROR(I96*$E96, "")</f>
        <v>0</v>
      </c>
      <c r="W96" s="284" t="n">
        <f aca="false">IFERROR(J96*$E96, "")</f>
        <v>0</v>
      </c>
      <c r="X96" s="284" t="n">
        <f aca="false">IFERROR(K96*$E96, "")</f>
        <v>0</v>
      </c>
      <c r="Y96" s="284" t="n">
        <f aca="false">IFERROR(L96*$E96, "")</f>
        <v>0</v>
      </c>
      <c r="Z96" s="284" t="n">
        <f aca="false">IFERROR(M96*$E96, "")</f>
        <v>0</v>
      </c>
      <c r="AA96" s="284" t="n">
        <f aca="false">IFERROR(N96*$E96, "")</f>
        <v>0</v>
      </c>
      <c r="AB96" s="284" t="n">
        <f aca="false">IFERROR(O96*$E96, "")</f>
        <v>0</v>
      </c>
      <c r="AC96" s="284" t="n">
        <f aca="false">IFERROR(P96*$E96, "")</f>
        <v>0</v>
      </c>
      <c r="AD96" s="284" t="n">
        <f aca="false">IFERROR(Q96*$E96, "")</f>
        <v>0</v>
      </c>
      <c r="AE96" s="284" t="n">
        <f aca="false">IFERROR(R96*$E96, "")</f>
        <v>0</v>
      </c>
      <c r="AF96" s="284" t="n">
        <f aca="false">IFERROR(S96*$E96, "")</f>
        <v>0</v>
      </c>
      <c r="AG96" s="284" t="n">
        <f aca="false">IFERROR(T96*$E96, "")</f>
        <v>0</v>
      </c>
      <c r="AH96" s="286" t="n">
        <f aca="false">IFERROR(SUMIF($V$4:$AG$4, "RDEC", V96:AG96), "")</f>
        <v>0</v>
      </c>
      <c r="AI96" s="286" t="n">
        <f aca="false">IFERROR(SUMIF($V$4:$AG$4, "SME", V96:AG96), "")</f>
        <v>0</v>
      </c>
      <c r="AJ96" s="286" t="n">
        <f aca="false">IFERROR(SUMIF($V$4:$AG$4, "De Minimis", V96:AG96), "")</f>
        <v>0</v>
      </c>
      <c r="AK96" s="268"/>
      <c r="AL96" s="288" t="str">
        <f aca="false">IF((SUM(I96:T96)&gt;1),"ERROR","")</f>
        <v/>
      </c>
    </row>
    <row r="97" customFormat="false" ht="15" hidden="false" customHeight="true" outlineLevel="0" collapsed="false">
      <c r="A97" s="340"/>
      <c r="H97" s="350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3"/>
      <c r="V97" s="284" t="n">
        <f aca="false">IFERROR(I97*$E97, "")</f>
        <v>0</v>
      </c>
      <c r="W97" s="284" t="n">
        <f aca="false">IFERROR(J97*$E97, "")</f>
        <v>0</v>
      </c>
      <c r="X97" s="284" t="n">
        <f aca="false">IFERROR(K97*$E97, "")</f>
        <v>0</v>
      </c>
      <c r="Y97" s="284" t="n">
        <f aca="false">IFERROR(L97*$E97, "")</f>
        <v>0</v>
      </c>
      <c r="Z97" s="284" t="n">
        <f aca="false">IFERROR(M97*$E97, "")</f>
        <v>0</v>
      </c>
      <c r="AA97" s="284" t="n">
        <f aca="false">IFERROR(N97*$E97, "")</f>
        <v>0</v>
      </c>
      <c r="AB97" s="284" t="n">
        <f aca="false">IFERROR(O97*$E97, "")</f>
        <v>0</v>
      </c>
      <c r="AC97" s="284" t="n">
        <f aca="false">IFERROR(P97*$E97, "")</f>
        <v>0</v>
      </c>
      <c r="AD97" s="284" t="n">
        <f aca="false">IFERROR(Q97*$E97, "")</f>
        <v>0</v>
      </c>
      <c r="AE97" s="284" t="n">
        <f aca="false">IFERROR(R97*$E97, "")</f>
        <v>0</v>
      </c>
      <c r="AF97" s="284" t="n">
        <f aca="false">IFERROR(S97*$E97, "")</f>
        <v>0</v>
      </c>
      <c r="AG97" s="284" t="n">
        <f aca="false">IFERROR(T97*$E97, "")</f>
        <v>0</v>
      </c>
      <c r="AH97" s="286" t="n">
        <f aca="false">IFERROR(SUMIF($V$4:$AG$4, "RDEC", V97:AG97), "")</f>
        <v>0</v>
      </c>
      <c r="AI97" s="286" t="n">
        <f aca="false">IFERROR(SUMIF($V$4:$AG$4, "SME", V97:AG97), "")</f>
        <v>0</v>
      </c>
      <c r="AJ97" s="286" t="n">
        <f aca="false">IFERROR(SUMIF($V$4:$AG$4, "De Minimis", V97:AG97), "")</f>
        <v>0</v>
      </c>
      <c r="AK97" s="287"/>
      <c r="AL97" s="288" t="str">
        <f aca="false">IF((SUM(I97:T97)&gt;1),"ERROR","")</f>
        <v/>
      </c>
    </row>
    <row r="98" customFormat="false" ht="15" hidden="false" customHeight="true" outlineLevel="0" collapsed="false">
      <c r="A98" s="340"/>
      <c r="H98" s="350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3"/>
      <c r="V98" s="284" t="n">
        <f aca="false">IFERROR(I98*$E98, "")</f>
        <v>0</v>
      </c>
      <c r="W98" s="284" t="n">
        <f aca="false">IFERROR(J98*$E98, "")</f>
        <v>0</v>
      </c>
      <c r="X98" s="284" t="n">
        <f aca="false">IFERROR(K98*$E98, "")</f>
        <v>0</v>
      </c>
      <c r="Y98" s="284" t="n">
        <f aca="false">IFERROR(L98*$E98, "")</f>
        <v>0</v>
      </c>
      <c r="Z98" s="284" t="n">
        <f aca="false">IFERROR(M98*$E98, "")</f>
        <v>0</v>
      </c>
      <c r="AA98" s="284" t="n">
        <f aca="false">IFERROR(N98*$E98, "")</f>
        <v>0</v>
      </c>
      <c r="AB98" s="284" t="n">
        <f aca="false">IFERROR(O98*$E98, "")</f>
        <v>0</v>
      </c>
      <c r="AC98" s="284" t="n">
        <f aca="false">IFERROR(P98*$E98, "")</f>
        <v>0</v>
      </c>
      <c r="AD98" s="284" t="n">
        <f aca="false">IFERROR(Q98*$E98, "")</f>
        <v>0</v>
      </c>
      <c r="AE98" s="284" t="n">
        <f aca="false">IFERROR(R98*$E98, "")</f>
        <v>0</v>
      </c>
      <c r="AF98" s="284" t="n">
        <f aca="false">IFERROR(S98*$E98, "")</f>
        <v>0</v>
      </c>
      <c r="AG98" s="284" t="n">
        <f aca="false">IFERROR(T98*$E98, "")</f>
        <v>0</v>
      </c>
      <c r="AH98" s="286" t="n">
        <f aca="false">IFERROR(SUMIF($V$4:$AG$4, "RDEC", V98:AG98), "")</f>
        <v>0</v>
      </c>
      <c r="AI98" s="286" t="n">
        <f aca="false">IFERROR(SUMIF($V$4:$AG$4, "SME", V98:AG98), "")</f>
        <v>0</v>
      </c>
      <c r="AJ98" s="286" t="n">
        <f aca="false">IFERROR(SUMIF($V$4:$AG$4, "De Minimis", V98:AG98), "")</f>
        <v>0</v>
      </c>
      <c r="AK98" s="287"/>
      <c r="AL98" s="288" t="str">
        <f aca="false">IF((SUM(I98:T98)&gt;1),"ERROR","")</f>
        <v/>
      </c>
    </row>
    <row r="99" customFormat="false" ht="15" hidden="false" customHeight="true" outlineLevel="0" collapsed="false">
      <c r="A99" s="340"/>
      <c r="H99" s="350"/>
      <c r="I99" s="291"/>
      <c r="J99" s="291"/>
      <c r="K99" s="291"/>
      <c r="L99" s="291"/>
      <c r="M99" s="291"/>
      <c r="N99" s="291"/>
      <c r="O99" s="291"/>
      <c r="P99" s="291"/>
      <c r="Q99" s="291"/>
      <c r="R99" s="291"/>
      <c r="S99" s="291"/>
      <c r="T99" s="291"/>
      <c r="U99" s="283"/>
      <c r="V99" s="292"/>
      <c r="W99" s="292"/>
      <c r="X99" s="292"/>
      <c r="Y99" s="292"/>
      <c r="Z99" s="292"/>
      <c r="AA99" s="292"/>
      <c r="AB99" s="292"/>
      <c r="AC99" s="292"/>
      <c r="AD99" s="292"/>
      <c r="AE99" s="292"/>
      <c r="AF99" s="292"/>
      <c r="AG99" s="292"/>
      <c r="AH99" s="294"/>
      <c r="AI99" s="294"/>
      <c r="AJ99" s="294"/>
      <c r="AK99" s="287"/>
      <c r="AL99" s="288"/>
    </row>
    <row r="100" customFormat="false" ht="15" hidden="false" customHeight="true" outlineLevel="0" collapsed="false">
      <c r="I100" s="323"/>
      <c r="J100" s="323"/>
      <c r="K100" s="323"/>
      <c r="L100" s="323"/>
      <c r="M100" s="323"/>
      <c r="N100" s="323"/>
      <c r="O100" s="323"/>
      <c r="P100" s="323"/>
      <c r="Q100" s="323"/>
      <c r="R100" s="323"/>
      <c r="S100" s="323"/>
      <c r="T100" s="323"/>
      <c r="U100" s="283"/>
      <c r="V100" s="287"/>
      <c r="W100" s="287"/>
      <c r="X100" s="287"/>
      <c r="Y100" s="287"/>
      <c r="Z100" s="287"/>
      <c r="AA100" s="287"/>
      <c r="AB100" s="287"/>
      <c r="AC100" s="287"/>
      <c r="AD100" s="287"/>
      <c r="AE100" s="287"/>
      <c r="AF100" s="287"/>
      <c r="AG100" s="287"/>
      <c r="AH100" s="287"/>
      <c r="AI100" s="287"/>
      <c r="AJ100" s="287"/>
      <c r="AK100" s="287"/>
      <c r="AL100" s="17"/>
    </row>
    <row r="101" s="40" customFormat="true" ht="15" hidden="false" customHeight="true" outlineLevel="0" collapsed="false">
      <c r="A101" s="246" t="s">
        <v>82</v>
      </c>
      <c r="D101" s="198"/>
      <c r="E101" s="223" t="n">
        <f aca="false">SUM(E6:E99)</f>
        <v>2975</v>
      </c>
      <c r="I101" s="392" t="n">
        <f aca="false">IFERROR(V101/$E$101,0)</f>
        <v>0.25563025210084</v>
      </c>
      <c r="J101" s="392" t="n">
        <f aca="false">IFERROR(W101/$E$101,0)</f>
        <v>0.183697478991597</v>
      </c>
      <c r="K101" s="392" t="n">
        <f aca="false">IFERROR(X101/$E$101,0)</f>
        <v>0.230756302521008</v>
      </c>
      <c r="L101" s="392" t="n">
        <f aca="false">IFERROR(Y101/$E$101,0)</f>
        <v>0.118655462184874</v>
      </c>
      <c r="M101" s="392" t="n">
        <f aca="false">IFERROR(Z101/$E$101,0)</f>
        <v>0.211260504201681</v>
      </c>
      <c r="N101" s="392" t="n">
        <f aca="false">IFERROR(AA101/$E$101,0)</f>
        <v>0</v>
      </c>
      <c r="O101" s="392" t="n">
        <f aca="false">IFERROR(AB101/$E$101,0)</f>
        <v>0</v>
      </c>
      <c r="P101" s="392" t="n">
        <f aca="false">IFERROR(AC101/$E$101,0)</f>
        <v>0</v>
      </c>
      <c r="Q101" s="392" t="n">
        <f aca="false">IFERROR(AD101/$E$101,0)</f>
        <v>0</v>
      </c>
      <c r="R101" s="392" t="n">
        <f aca="false">IFERROR(AE101/$E$101,0)</f>
        <v>0</v>
      </c>
      <c r="S101" s="392" t="n">
        <f aca="false">IFERROR(AF101/$E$101,0)</f>
        <v>0</v>
      </c>
      <c r="T101" s="392" t="n">
        <f aca="false">IFERROR(AG101/$E$101,0)</f>
        <v>0</v>
      </c>
      <c r="U101" s="401"/>
      <c r="V101" s="361" t="n">
        <f aca="false">SUM(V7:V100)</f>
        <v>760.5</v>
      </c>
      <c r="W101" s="361" t="n">
        <f aca="false">SUM(W7:W100)</f>
        <v>546.5</v>
      </c>
      <c r="X101" s="361" t="n">
        <f aca="false">SUM(X7:X100)</f>
        <v>686.5</v>
      </c>
      <c r="Y101" s="361" t="n">
        <f aca="false">SUM(Y7:Y100)</f>
        <v>353</v>
      </c>
      <c r="Z101" s="361" t="n">
        <f aca="false">SUM(Z7:Z100)</f>
        <v>628.5</v>
      </c>
      <c r="AA101" s="361" t="n">
        <f aca="false">SUM(AA7:AA100)</f>
        <v>0</v>
      </c>
      <c r="AB101" s="361" t="n">
        <f aca="false">SUM(AB7:AB100)</f>
        <v>0</v>
      </c>
      <c r="AC101" s="361" t="n">
        <f aca="false">SUM(AC7:AC100)</f>
        <v>0</v>
      </c>
      <c r="AD101" s="361" t="n">
        <f aca="false">SUM(AD7:AD100)</f>
        <v>0</v>
      </c>
      <c r="AE101" s="361" t="n">
        <f aca="false">SUM(AE7:AE100)</f>
        <v>0</v>
      </c>
      <c r="AF101" s="361" t="n">
        <f aca="false">SUM(AF7:AF100)</f>
        <v>0</v>
      </c>
      <c r="AG101" s="361" t="n">
        <f aca="false">SUM(AG7:AG100)</f>
        <v>0</v>
      </c>
      <c r="AH101" s="362" t="n">
        <f aca="false">SUM(AH7:AH100)</f>
        <v>353</v>
      </c>
      <c r="AI101" s="362" t="n">
        <f aca="false">SUM(AI7:AI100)</f>
        <v>2622</v>
      </c>
      <c r="AJ101" s="362" t="n">
        <f aca="false">SUM(AJ7:AJ100)</f>
        <v>0</v>
      </c>
      <c r="AK101" s="394"/>
    </row>
    <row r="102" customFormat="false" ht="15" hidden="false" customHeight="true" outlineLevel="0" collapsed="false">
      <c r="I102" s="323"/>
      <c r="J102" s="323"/>
      <c r="K102" s="323"/>
      <c r="L102" s="323"/>
      <c r="M102" s="323"/>
      <c r="N102" s="323"/>
      <c r="O102" s="323"/>
      <c r="P102" s="323"/>
      <c r="Q102" s="323"/>
      <c r="R102" s="323"/>
      <c r="S102" s="323"/>
      <c r="T102" s="323"/>
      <c r="U102" s="283"/>
      <c r="AK102" s="287"/>
      <c r="AL102" s="17"/>
    </row>
    <row r="103" customFormat="false" ht="15" hidden="false" customHeight="true" outlineLevel="0" collapsed="false">
      <c r="U103" s="283"/>
      <c r="AK103" s="287"/>
      <c r="AL103" s="17"/>
    </row>
    <row r="104" customFormat="false" ht="15" hidden="false" customHeight="true" outlineLevel="0" collapsed="false">
      <c r="U104" s="283"/>
      <c r="AK104" s="287"/>
      <c r="AL104" s="17"/>
    </row>
    <row r="105" customFormat="false" ht="15" hidden="false" customHeight="true" outlineLevel="0" collapsed="false">
      <c r="U105" s="283"/>
      <c r="AK105" s="287"/>
      <c r="AL105" s="17"/>
    </row>
    <row r="106" customFormat="false" ht="15" hidden="false" customHeight="true" outlineLevel="0" collapsed="false">
      <c r="U106" s="283"/>
      <c r="AK106" s="287"/>
      <c r="AL106" s="17"/>
    </row>
    <row r="107" customFormat="false" ht="15" hidden="false" customHeight="true" outlineLevel="0" collapsed="false">
      <c r="U107" s="283"/>
      <c r="AK107" s="287"/>
      <c r="AL107" s="17"/>
    </row>
    <row r="108" customFormat="false" ht="15" hidden="false" customHeight="true" outlineLevel="0" collapsed="false">
      <c r="U108" s="283"/>
      <c r="AK108" s="287"/>
      <c r="AL108" s="17"/>
    </row>
    <row r="109" customFormat="false" ht="15" hidden="false" customHeight="true" outlineLevel="0" collapsed="false">
      <c r="U109" s="283"/>
      <c r="AK109" s="303"/>
      <c r="AL109" s="17"/>
    </row>
    <row r="110" customFormat="false" ht="15" hidden="false" customHeight="true" outlineLevel="0" collapsed="false">
      <c r="U110" s="283"/>
      <c r="AL110" s="17"/>
    </row>
    <row r="111" customFormat="false" ht="15" hidden="false" customHeight="true" outlineLevel="0" collapsed="false">
      <c r="U111" s="283"/>
      <c r="AK111" s="268"/>
      <c r="AL111" s="17"/>
    </row>
    <row r="112" customFormat="false" ht="15" hidden="false" customHeight="true" outlineLevel="0" collapsed="false">
      <c r="U112" s="283"/>
      <c r="AK112" s="287"/>
      <c r="AL112" s="17"/>
    </row>
    <row r="113" customFormat="false" ht="15" hidden="false" customHeight="true" outlineLevel="0" collapsed="false">
      <c r="U113" s="283"/>
      <c r="AK113" s="287"/>
      <c r="AL113" s="17"/>
    </row>
    <row r="114" customFormat="false" ht="15" hidden="false" customHeight="true" outlineLevel="0" collapsed="false">
      <c r="U114" s="283"/>
      <c r="AK114" s="287"/>
      <c r="AL114" s="17"/>
    </row>
    <row r="115" customFormat="false" ht="15" hidden="false" customHeight="true" outlineLevel="0" collapsed="false">
      <c r="U115" s="283"/>
      <c r="AK115" s="287"/>
      <c r="AL115" s="17"/>
    </row>
    <row r="116" customFormat="false" ht="15" hidden="false" customHeight="true" outlineLevel="0" collapsed="false">
      <c r="U116" s="283"/>
      <c r="AK116" s="287"/>
      <c r="AL116" s="17"/>
    </row>
    <row r="117" customFormat="false" ht="15" hidden="false" customHeight="true" outlineLevel="0" collapsed="false">
      <c r="U117" s="283"/>
      <c r="AK117" s="287"/>
      <c r="AL117" s="17"/>
    </row>
    <row r="118" customFormat="false" ht="15" hidden="false" customHeight="true" outlineLevel="0" collapsed="false">
      <c r="U118" s="283"/>
      <c r="AK118" s="287"/>
      <c r="AL118" s="17"/>
    </row>
    <row r="119" customFormat="false" ht="15" hidden="false" customHeight="true" outlineLevel="0" collapsed="false">
      <c r="U119" s="283"/>
      <c r="AK119" s="287"/>
      <c r="AL119" s="17"/>
    </row>
    <row r="120" customFormat="false" ht="15" hidden="false" customHeight="true" outlineLevel="0" collapsed="false">
      <c r="U120" s="283"/>
      <c r="AK120" s="287"/>
      <c r="AL120" s="17"/>
    </row>
    <row r="121" customFormat="false" ht="15" hidden="false" customHeight="true" outlineLevel="0" collapsed="false">
      <c r="U121" s="283"/>
      <c r="AK121" s="287"/>
      <c r="AL121" s="17"/>
    </row>
    <row r="122" customFormat="false" ht="15" hidden="false" customHeight="true" outlineLevel="0" collapsed="false">
      <c r="U122" s="283"/>
      <c r="AK122" s="287"/>
      <c r="AL122" s="17"/>
    </row>
    <row r="123" customFormat="false" ht="15" hidden="false" customHeight="true" outlineLevel="0" collapsed="false">
      <c r="U123" s="283"/>
      <c r="AK123" s="287"/>
      <c r="AL123" s="17"/>
    </row>
    <row r="124" customFormat="false" ht="15" hidden="false" customHeight="true" outlineLevel="0" collapsed="false">
      <c r="U124" s="283"/>
      <c r="AK124" s="303"/>
      <c r="AL124" s="17"/>
    </row>
    <row r="125" customFormat="false" ht="15" hidden="false" customHeight="true" outlineLevel="0" collapsed="false">
      <c r="U125" s="283"/>
      <c r="AL125" s="17"/>
    </row>
    <row r="126" customFormat="false" ht="15" hidden="false" customHeight="true" outlineLevel="0" collapsed="false">
      <c r="U126" s="283"/>
      <c r="AK126" s="268"/>
      <c r="AL126" s="17"/>
    </row>
    <row r="127" customFormat="false" ht="15" hidden="false" customHeight="true" outlineLevel="0" collapsed="false">
      <c r="U127" s="283"/>
      <c r="AK127" s="287"/>
      <c r="AL127" s="17"/>
    </row>
    <row r="128" customFormat="false" ht="15" hidden="false" customHeight="true" outlineLevel="0" collapsed="false">
      <c r="U128" s="283"/>
      <c r="AK128" s="287"/>
      <c r="AL128" s="17"/>
    </row>
    <row r="129" customFormat="false" ht="15" hidden="false" customHeight="true" outlineLevel="0" collapsed="false">
      <c r="U129" s="283"/>
      <c r="AK129" s="287"/>
      <c r="AL129" s="17"/>
    </row>
    <row r="130" customFormat="false" ht="15" hidden="false" customHeight="true" outlineLevel="0" collapsed="false">
      <c r="U130" s="283"/>
      <c r="AK130" s="287"/>
      <c r="AL130" s="17"/>
    </row>
    <row r="131" customFormat="false" ht="15" hidden="false" customHeight="true" outlineLevel="0" collapsed="false">
      <c r="U131" s="283"/>
      <c r="AK131" s="287"/>
      <c r="AL131" s="17"/>
    </row>
    <row r="132" customFormat="false" ht="15" hidden="false" customHeight="true" outlineLevel="0" collapsed="false">
      <c r="U132" s="283"/>
      <c r="AK132" s="287"/>
      <c r="AL132" s="17"/>
    </row>
    <row r="133" customFormat="false" ht="15" hidden="false" customHeight="true" outlineLevel="0" collapsed="false">
      <c r="U133" s="283"/>
      <c r="AK133" s="287"/>
      <c r="AL133" s="17"/>
    </row>
    <row r="134" customFormat="false" ht="15" hidden="false" customHeight="true" outlineLevel="0" collapsed="false">
      <c r="U134" s="283"/>
      <c r="AK134" s="287"/>
      <c r="AL134" s="17"/>
    </row>
    <row r="135" customFormat="false" ht="15" hidden="false" customHeight="true" outlineLevel="0" collapsed="false">
      <c r="U135" s="283"/>
      <c r="AK135" s="287"/>
      <c r="AL135" s="17"/>
    </row>
    <row r="136" customFormat="false" ht="15" hidden="false" customHeight="true" outlineLevel="0" collapsed="false">
      <c r="U136" s="283"/>
      <c r="AK136" s="287"/>
      <c r="AL136" s="17"/>
    </row>
    <row r="137" customFormat="false" ht="15" hidden="false" customHeight="true" outlineLevel="0" collapsed="false">
      <c r="U137" s="283"/>
      <c r="AK137" s="287"/>
      <c r="AL137" s="17"/>
    </row>
    <row r="138" customFormat="false" ht="15" hidden="false" customHeight="true" outlineLevel="0" collapsed="false">
      <c r="U138" s="283"/>
      <c r="AK138" s="287"/>
      <c r="AL138" s="17"/>
    </row>
    <row r="139" customFormat="false" ht="15" hidden="false" customHeight="true" outlineLevel="0" collapsed="false">
      <c r="U139" s="283"/>
      <c r="AK139" s="303"/>
      <c r="AL139" s="17"/>
    </row>
    <row r="140" customFormat="false" ht="15" hidden="false" customHeight="true" outlineLevel="0" collapsed="false">
      <c r="U140" s="283"/>
      <c r="AL140" s="17"/>
    </row>
    <row r="141" customFormat="false" ht="15" hidden="false" customHeight="true" outlineLevel="0" collapsed="false">
      <c r="U141" s="283"/>
      <c r="AK141" s="268"/>
      <c r="AL141" s="17"/>
    </row>
    <row r="142" customFormat="false" ht="15" hidden="false" customHeight="true" outlineLevel="0" collapsed="false">
      <c r="U142" s="283"/>
      <c r="AK142" s="287"/>
      <c r="AL142" s="17"/>
    </row>
    <row r="143" customFormat="false" ht="15" hidden="false" customHeight="true" outlineLevel="0" collapsed="false">
      <c r="U143" s="283"/>
      <c r="AK143" s="287"/>
      <c r="AL143" s="17"/>
    </row>
    <row r="144" customFormat="false" ht="15" hidden="false" customHeight="true" outlineLevel="0" collapsed="false">
      <c r="U144" s="283"/>
      <c r="AK144" s="287"/>
      <c r="AL144" s="17"/>
    </row>
    <row r="145" customFormat="false" ht="15" hidden="false" customHeight="true" outlineLevel="0" collapsed="false">
      <c r="U145" s="283"/>
      <c r="AK145" s="287"/>
      <c r="AL145" s="17"/>
    </row>
    <row r="146" customFormat="false" ht="15" hidden="false" customHeight="true" outlineLevel="0" collapsed="false">
      <c r="U146" s="283"/>
      <c r="AK146" s="287"/>
      <c r="AL146" s="17"/>
    </row>
    <row r="147" customFormat="false" ht="15" hidden="false" customHeight="true" outlineLevel="0" collapsed="false">
      <c r="U147" s="283"/>
      <c r="AK147" s="287"/>
      <c r="AL147" s="17"/>
    </row>
    <row r="148" customFormat="false" ht="15" hidden="false" customHeight="true" outlineLevel="0" collapsed="false">
      <c r="U148" s="283"/>
      <c r="AK148" s="287"/>
      <c r="AL148" s="17"/>
    </row>
    <row r="149" customFormat="false" ht="15" hidden="false" customHeight="true" outlineLevel="0" collapsed="false">
      <c r="U149" s="283"/>
      <c r="AK149" s="287"/>
      <c r="AL149" s="17"/>
    </row>
    <row r="150" customFormat="false" ht="15" hidden="false" customHeight="true" outlineLevel="0" collapsed="false">
      <c r="U150" s="283"/>
      <c r="AK150" s="287"/>
      <c r="AL150" s="17"/>
    </row>
    <row r="151" customFormat="false" ht="15" hidden="false" customHeight="true" outlineLevel="0" collapsed="false">
      <c r="U151" s="283"/>
      <c r="AK151" s="287"/>
      <c r="AL151" s="17"/>
    </row>
    <row r="152" customFormat="false" ht="15" hidden="false" customHeight="true" outlineLevel="0" collapsed="false">
      <c r="U152" s="283"/>
      <c r="AK152" s="287"/>
      <c r="AL152" s="17"/>
    </row>
    <row r="153" customFormat="false" ht="15" hidden="false" customHeight="true" outlineLevel="0" collapsed="false">
      <c r="U153" s="283"/>
      <c r="AK153" s="287"/>
      <c r="AL153" s="17"/>
    </row>
    <row r="154" customFormat="false" ht="15" hidden="false" customHeight="true" outlineLevel="0" collapsed="false">
      <c r="U154" s="283"/>
      <c r="AK154" s="303"/>
      <c r="AL154" s="17"/>
    </row>
    <row r="155" customFormat="false" ht="15" hidden="false" customHeight="true" outlineLevel="0" collapsed="false">
      <c r="U155" s="283"/>
      <c r="AL155" s="17"/>
    </row>
    <row r="156" customFormat="false" ht="15" hidden="false" customHeight="true" outlineLevel="0" collapsed="false">
      <c r="U156" s="283"/>
      <c r="AK156" s="268"/>
      <c r="AL156" s="17"/>
    </row>
    <row r="157" customFormat="false" ht="15" hidden="false" customHeight="true" outlineLevel="0" collapsed="false">
      <c r="U157" s="283"/>
      <c r="AK157" s="287"/>
      <c r="AL157" s="17"/>
    </row>
    <row r="158" customFormat="false" ht="15" hidden="false" customHeight="true" outlineLevel="0" collapsed="false">
      <c r="U158" s="283"/>
      <c r="AK158" s="287"/>
      <c r="AL158" s="17"/>
    </row>
    <row r="159" customFormat="false" ht="15" hidden="false" customHeight="true" outlineLevel="0" collapsed="false">
      <c r="U159" s="283"/>
      <c r="AK159" s="287"/>
      <c r="AL159" s="17"/>
    </row>
    <row r="160" customFormat="false" ht="15" hidden="false" customHeight="true" outlineLevel="0" collapsed="false">
      <c r="U160" s="283"/>
      <c r="AK160" s="287"/>
      <c r="AL160" s="17"/>
    </row>
    <row r="161" customFormat="false" ht="15" hidden="false" customHeight="true" outlineLevel="0" collapsed="false">
      <c r="U161" s="283"/>
      <c r="AK161" s="287"/>
      <c r="AL161" s="17"/>
    </row>
    <row r="162" customFormat="false" ht="15" hidden="false" customHeight="true" outlineLevel="0" collapsed="false">
      <c r="U162" s="283"/>
      <c r="AK162" s="287"/>
      <c r="AL162" s="17"/>
    </row>
    <row r="163" customFormat="false" ht="15" hidden="false" customHeight="true" outlineLevel="0" collapsed="false">
      <c r="U163" s="283"/>
      <c r="AK163" s="287"/>
      <c r="AL163" s="17"/>
    </row>
    <row r="164" customFormat="false" ht="15" hidden="false" customHeight="true" outlineLevel="0" collapsed="false">
      <c r="U164" s="283"/>
      <c r="AK164" s="287"/>
      <c r="AL164" s="17"/>
    </row>
    <row r="165" customFormat="false" ht="15" hidden="false" customHeight="true" outlineLevel="0" collapsed="false">
      <c r="U165" s="283"/>
      <c r="AK165" s="287"/>
      <c r="AL165" s="17"/>
    </row>
    <row r="166" customFormat="false" ht="15" hidden="false" customHeight="true" outlineLevel="0" collapsed="false">
      <c r="U166" s="283"/>
      <c r="AK166" s="287"/>
      <c r="AL166" s="17"/>
    </row>
    <row r="167" customFormat="false" ht="15" hidden="false" customHeight="true" outlineLevel="0" collapsed="false">
      <c r="U167" s="283"/>
      <c r="AK167" s="287"/>
      <c r="AL167" s="17"/>
    </row>
    <row r="168" customFormat="false" ht="15" hidden="false" customHeight="true" outlineLevel="0" collapsed="false">
      <c r="U168" s="283"/>
      <c r="AK168" s="287"/>
      <c r="AL168" s="17"/>
    </row>
    <row r="169" customFormat="false" ht="15" hidden="false" customHeight="true" outlineLevel="0" collapsed="false">
      <c r="U169" s="283"/>
      <c r="AK169" s="303"/>
      <c r="AL169" s="17"/>
    </row>
    <row r="170" customFormat="false" ht="15" hidden="false" customHeight="true" outlineLevel="0" collapsed="false">
      <c r="U170" s="283"/>
      <c r="AL170" s="17"/>
    </row>
    <row r="171" customFormat="false" ht="15" hidden="false" customHeight="true" outlineLevel="0" collapsed="false">
      <c r="U171" s="283"/>
      <c r="AK171" s="268"/>
      <c r="AL171" s="17"/>
    </row>
    <row r="172" customFormat="false" ht="15" hidden="false" customHeight="true" outlineLevel="0" collapsed="false">
      <c r="U172" s="283"/>
      <c r="AK172" s="287"/>
      <c r="AL172" s="17"/>
    </row>
    <row r="173" customFormat="false" ht="15" hidden="false" customHeight="true" outlineLevel="0" collapsed="false">
      <c r="U173" s="283"/>
      <c r="AK173" s="287"/>
      <c r="AL173" s="17"/>
    </row>
    <row r="174" customFormat="false" ht="15" hidden="false" customHeight="true" outlineLevel="0" collapsed="false">
      <c r="U174" s="283"/>
      <c r="AK174" s="287"/>
      <c r="AL174" s="17"/>
    </row>
    <row r="175" customFormat="false" ht="15" hidden="false" customHeight="true" outlineLevel="0" collapsed="false">
      <c r="U175" s="283"/>
      <c r="AK175" s="287"/>
      <c r="AL175" s="17"/>
    </row>
    <row r="176" customFormat="false" ht="15" hidden="false" customHeight="true" outlineLevel="0" collapsed="false">
      <c r="U176" s="283"/>
      <c r="AK176" s="287"/>
      <c r="AL176" s="17"/>
    </row>
    <row r="177" customFormat="false" ht="15" hidden="false" customHeight="true" outlineLevel="0" collapsed="false">
      <c r="U177" s="283"/>
      <c r="AK177" s="287"/>
      <c r="AL177" s="17"/>
    </row>
    <row r="178" customFormat="false" ht="15" hidden="false" customHeight="true" outlineLevel="0" collapsed="false">
      <c r="U178" s="283"/>
      <c r="AK178" s="287"/>
      <c r="AL178" s="17"/>
    </row>
    <row r="179" customFormat="false" ht="15" hidden="false" customHeight="true" outlineLevel="0" collapsed="false">
      <c r="U179" s="283"/>
      <c r="AK179" s="287"/>
      <c r="AL179" s="17"/>
    </row>
    <row r="180" customFormat="false" ht="15" hidden="false" customHeight="true" outlineLevel="0" collapsed="false">
      <c r="U180" s="283"/>
      <c r="AK180" s="287"/>
      <c r="AL180" s="17"/>
    </row>
    <row r="181" customFormat="false" ht="15" hidden="false" customHeight="true" outlineLevel="0" collapsed="false">
      <c r="U181" s="283"/>
      <c r="AK181" s="287"/>
      <c r="AL181" s="17"/>
    </row>
    <row r="182" customFormat="false" ht="15" hidden="false" customHeight="true" outlineLevel="0" collapsed="false">
      <c r="U182" s="283"/>
      <c r="AK182" s="287"/>
      <c r="AL182" s="17"/>
    </row>
    <row r="183" customFormat="false" ht="15" hidden="false" customHeight="true" outlineLevel="0" collapsed="false">
      <c r="U183" s="283"/>
      <c r="AK183" s="287"/>
      <c r="AL183" s="17"/>
    </row>
    <row r="184" customFormat="false" ht="15" hidden="false" customHeight="true" outlineLevel="0" collapsed="false">
      <c r="U184" s="283"/>
      <c r="AK184" s="303"/>
      <c r="AL184" s="17"/>
    </row>
    <row r="185" customFormat="false" ht="15" hidden="false" customHeight="true" outlineLevel="0" collapsed="false">
      <c r="U185" s="283"/>
      <c r="AL185" s="17"/>
    </row>
    <row r="186" customFormat="false" ht="15" hidden="false" customHeight="true" outlineLevel="0" collapsed="false">
      <c r="U186" s="283"/>
      <c r="AK186" s="268"/>
      <c r="AL186" s="17"/>
    </row>
    <row r="187" customFormat="false" ht="15" hidden="false" customHeight="true" outlineLevel="0" collapsed="false">
      <c r="U187" s="283"/>
      <c r="AK187" s="287"/>
      <c r="AL187" s="17"/>
    </row>
    <row r="188" customFormat="false" ht="15" hidden="false" customHeight="true" outlineLevel="0" collapsed="false">
      <c r="U188" s="283"/>
      <c r="AK188" s="287"/>
      <c r="AL188" s="17"/>
    </row>
    <row r="189" customFormat="false" ht="15" hidden="false" customHeight="true" outlineLevel="0" collapsed="false">
      <c r="U189" s="283"/>
      <c r="AK189" s="287"/>
      <c r="AL189" s="17"/>
    </row>
    <row r="190" customFormat="false" ht="15" hidden="false" customHeight="true" outlineLevel="0" collapsed="false">
      <c r="U190" s="283"/>
      <c r="AK190" s="287"/>
      <c r="AL190" s="17"/>
    </row>
    <row r="191" customFormat="false" ht="15" hidden="false" customHeight="true" outlineLevel="0" collapsed="false">
      <c r="U191" s="283"/>
      <c r="AK191" s="287"/>
      <c r="AL191" s="17"/>
    </row>
    <row r="192" customFormat="false" ht="15" hidden="false" customHeight="true" outlineLevel="0" collapsed="false">
      <c r="U192" s="283"/>
      <c r="AK192" s="287"/>
      <c r="AL192" s="17"/>
    </row>
    <row r="193" customFormat="false" ht="15" hidden="false" customHeight="true" outlineLevel="0" collapsed="false">
      <c r="U193" s="283"/>
      <c r="AK193" s="287"/>
      <c r="AL193" s="17"/>
    </row>
    <row r="194" customFormat="false" ht="15" hidden="false" customHeight="true" outlineLevel="0" collapsed="false">
      <c r="U194" s="283"/>
      <c r="AK194" s="287"/>
      <c r="AL194" s="17"/>
    </row>
    <row r="195" customFormat="false" ht="15" hidden="false" customHeight="true" outlineLevel="0" collapsed="false">
      <c r="U195" s="283"/>
      <c r="AK195" s="287"/>
      <c r="AL195" s="17"/>
    </row>
    <row r="196" customFormat="false" ht="15" hidden="false" customHeight="true" outlineLevel="0" collapsed="false">
      <c r="U196" s="283"/>
      <c r="AK196" s="287"/>
      <c r="AL196" s="17"/>
    </row>
    <row r="197" customFormat="false" ht="15" hidden="false" customHeight="true" outlineLevel="0" collapsed="false">
      <c r="U197" s="283"/>
      <c r="AK197" s="287"/>
      <c r="AL197" s="17"/>
    </row>
    <row r="198" customFormat="false" ht="15" hidden="false" customHeight="true" outlineLevel="0" collapsed="false">
      <c r="U198" s="283"/>
      <c r="AK198" s="287"/>
      <c r="AL198" s="17"/>
    </row>
    <row r="199" customFormat="false" ht="15" hidden="false" customHeight="true" outlineLevel="0" collapsed="false">
      <c r="U199" s="283"/>
      <c r="AK199" s="303"/>
      <c r="AL199" s="17"/>
    </row>
    <row r="200" customFormat="false" ht="15" hidden="false" customHeight="true" outlineLevel="0" collapsed="false">
      <c r="U200" s="283"/>
      <c r="AL200" s="17"/>
    </row>
    <row r="201" customFormat="false" ht="15" hidden="false" customHeight="true" outlineLevel="0" collapsed="false">
      <c r="U201" s="283"/>
      <c r="AK201" s="268"/>
      <c r="AL201" s="17"/>
    </row>
    <row r="202" customFormat="false" ht="15" hidden="false" customHeight="true" outlineLevel="0" collapsed="false">
      <c r="U202" s="283"/>
      <c r="AK202" s="287"/>
      <c r="AL202" s="17"/>
    </row>
    <row r="203" customFormat="false" ht="15" hidden="false" customHeight="true" outlineLevel="0" collapsed="false">
      <c r="U203" s="283"/>
      <c r="AK203" s="287"/>
      <c r="AL203" s="17"/>
    </row>
    <row r="204" customFormat="false" ht="15" hidden="false" customHeight="true" outlineLevel="0" collapsed="false">
      <c r="U204" s="283"/>
      <c r="AK204" s="287"/>
      <c r="AL204" s="17"/>
    </row>
    <row r="205" customFormat="false" ht="15" hidden="false" customHeight="true" outlineLevel="0" collapsed="false">
      <c r="U205" s="283"/>
      <c r="AK205" s="287"/>
      <c r="AL205" s="17"/>
    </row>
    <row r="206" customFormat="false" ht="15" hidden="false" customHeight="true" outlineLevel="0" collapsed="false">
      <c r="AK206" s="287"/>
      <c r="AL206" s="17"/>
    </row>
    <row r="207" customFormat="false" ht="15" hidden="false" customHeight="true" outlineLevel="0" collapsed="false">
      <c r="AK207" s="287"/>
      <c r="AL207" s="17"/>
    </row>
    <row r="208" customFormat="false" ht="15" hidden="false" customHeight="true" outlineLevel="0" collapsed="false">
      <c r="AK208" s="287"/>
      <c r="AL208" s="17"/>
    </row>
    <row r="209" customFormat="false" ht="15" hidden="false" customHeight="true" outlineLevel="0" collapsed="false">
      <c r="AK209" s="287"/>
      <c r="AL209" s="17"/>
    </row>
    <row r="210" customFormat="false" ht="15" hidden="false" customHeight="true" outlineLevel="0" collapsed="false">
      <c r="E210" s="223"/>
      <c r="AK210" s="287"/>
      <c r="AL210" s="17"/>
    </row>
    <row r="211" customFormat="false" ht="15" hidden="false" customHeight="true" outlineLevel="0" collapsed="false">
      <c r="AK211" s="287"/>
      <c r="AL211" s="17"/>
    </row>
    <row r="212" customFormat="false" ht="15" hidden="false" customHeight="true" outlineLevel="0" collapsed="false">
      <c r="AK212" s="287"/>
      <c r="AL212" s="17"/>
    </row>
    <row r="213" customFormat="false" ht="15" hidden="false" customHeight="true" outlineLevel="0" collapsed="false">
      <c r="AK213" s="287"/>
      <c r="AL213" s="17"/>
    </row>
    <row r="214" customFormat="false" ht="15" hidden="false" customHeight="true" outlineLevel="0" collapsed="false">
      <c r="AK214" s="303"/>
      <c r="AL214" s="17"/>
    </row>
    <row r="215" customFormat="false" ht="15" hidden="false" customHeight="true" outlineLevel="0" collapsed="false">
      <c r="AL215" s="17"/>
    </row>
    <row r="216" customFormat="false" ht="15" hidden="false" customHeight="true" outlineLevel="0" collapsed="false">
      <c r="AK216" s="268"/>
      <c r="AL216" s="17"/>
    </row>
    <row r="217" customFormat="false" ht="15" hidden="false" customHeight="true" outlineLevel="0" collapsed="false">
      <c r="AK217" s="287"/>
      <c r="AL217" s="17"/>
    </row>
    <row r="218" customFormat="false" ht="15" hidden="false" customHeight="true" outlineLevel="0" collapsed="false">
      <c r="AK218" s="287"/>
      <c r="AL218" s="17"/>
    </row>
    <row r="219" customFormat="false" ht="15" hidden="false" customHeight="true" outlineLevel="0" collapsed="false">
      <c r="AK219" s="287"/>
      <c r="AL219" s="17"/>
    </row>
    <row r="220" customFormat="false" ht="15" hidden="false" customHeight="true" outlineLevel="0" collapsed="false">
      <c r="AK220" s="287"/>
      <c r="AL220" s="17"/>
    </row>
    <row r="221" customFormat="false" ht="15" hidden="false" customHeight="true" outlineLevel="0" collapsed="false">
      <c r="AK221" s="287"/>
      <c r="AL221" s="17"/>
    </row>
    <row r="222" customFormat="false" ht="15" hidden="false" customHeight="true" outlineLevel="0" collapsed="false">
      <c r="AK222" s="287"/>
      <c r="AL222" s="17"/>
    </row>
    <row r="223" customFormat="false" ht="15" hidden="false" customHeight="true" outlineLevel="0" collapsed="false">
      <c r="AK223" s="287"/>
      <c r="AL223" s="17"/>
    </row>
    <row r="224" customFormat="false" ht="15" hidden="false" customHeight="true" outlineLevel="0" collapsed="false">
      <c r="AK224" s="287"/>
      <c r="AL224" s="17"/>
    </row>
    <row r="225" customFormat="false" ht="15" hidden="false" customHeight="true" outlineLevel="0" collapsed="false">
      <c r="AK225" s="287"/>
      <c r="AL225" s="17"/>
    </row>
    <row r="226" customFormat="false" ht="15" hidden="false" customHeight="true" outlineLevel="0" collapsed="false">
      <c r="AK226" s="287"/>
      <c r="AL226" s="17"/>
    </row>
    <row r="227" customFormat="false" ht="15" hidden="false" customHeight="true" outlineLevel="0" collapsed="false">
      <c r="AK227" s="287"/>
      <c r="AL227" s="17"/>
    </row>
    <row r="228" customFormat="false" ht="15" hidden="false" customHeight="true" outlineLevel="0" collapsed="false">
      <c r="AK228" s="287"/>
      <c r="AL228" s="17"/>
    </row>
    <row r="229" customFormat="false" ht="15" hidden="false" customHeight="true" outlineLevel="0" collapsed="false">
      <c r="AK229" s="303"/>
      <c r="AL229" s="17"/>
    </row>
    <row r="230" customFormat="false" ht="15" hidden="false" customHeight="true" outlineLevel="0" collapsed="false">
      <c r="AL230" s="17"/>
    </row>
    <row r="231" customFormat="false" ht="15" hidden="false" customHeight="true" outlineLevel="0" collapsed="false">
      <c r="AK231" s="268"/>
      <c r="AL231" s="17"/>
    </row>
    <row r="232" customFormat="false" ht="15" hidden="false" customHeight="true" outlineLevel="0" collapsed="false">
      <c r="AK232" s="287"/>
      <c r="AL232" s="17"/>
    </row>
    <row r="233" customFormat="false" ht="15" hidden="false" customHeight="true" outlineLevel="0" collapsed="false">
      <c r="AK233" s="287"/>
      <c r="AL233" s="17"/>
    </row>
    <row r="234" customFormat="false" ht="15" hidden="false" customHeight="true" outlineLevel="0" collapsed="false">
      <c r="AK234" s="287"/>
      <c r="AL234" s="17"/>
    </row>
    <row r="235" customFormat="false" ht="15" hidden="false" customHeight="true" outlineLevel="0" collapsed="false">
      <c r="AK235" s="287"/>
      <c r="AL235" s="17"/>
    </row>
    <row r="236" customFormat="false" ht="15" hidden="false" customHeight="true" outlineLevel="0" collapsed="false">
      <c r="AK236" s="287"/>
      <c r="AL236" s="17"/>
    </row>
    <row r="237" customFormat="false" ht="15" hidden="false" customHeight="true" outlineLevel="0" collapsed="false">
      <c r="AK237" s="287"/>
      <c r="AL237" s="17"/>
    </row>
    <row r="238" customFormat="false" ht="15" hidden="false" customHeight="true" outlineLevel="0" collapsed="false">
      <c r="AK238" s="287"/>
      <c r="AL238" s="17"/>
    </row>
    <row r="239" customFormat="false" ht="15" hidden="false" customHeight="true" outlineLevel="0" collapsed="false">
      <c r="AK239" s="287"/>
      <c r="AL239" s="17"/>
    </row>
    <row r="240" customFormat="false" ht="15" hidden="false" customHeight="true" outlineLevel="0" collapsed="false">
      <c r="AK240" s="287"/>
      <c r="AL240" s="17"/>
    </row>
    <row r="241" customFormat="false" ht="15" hidden="false" customHeight="true" outlineLevel="0" collapsed="false">
      <c r="AK241" s="287"/>
      <c r="AL241" s="17"/>
    </row>
    <row r="242" customFormat="false" ht="15" hidden="false" customHeight="true" outlineLevel="0" collapsed="false">
      <c r="AK242" s="287"/>
      <c r="AL242" s="17"/>
    </row>
    <row r="243" customFormat="false" ht="15" hidden="false" customHeight="true" outlineLevel="0" collapsed="false">
      <c r="AK243" s="287"/>
      <c r="AL243" s="17"/>
    </row>
    <row r="244" customFormat="false" ht="15" hidden="false" customHeight="true" outlineLevel="0" collapsed="false">
      <c r="AK244" s="303"/>
      <c r="AL244" s="17"/>
    </row>
    <row r="245" customFormat="false" ht="15" hidden="false" customHeight="true" outlineLevel="0" collapsed="false">
      <c r="AL245" s="17"/>
    </row>
    <row r="246" customFormat="false" ht="15" hidden="false" customHeight="true" outlineLevel="0" collapsed="false">
      <c r="AK246" s="268"/>
      <c r="AL246" s="17"/>
    </row>
    <row r="247" customFormat="false" ht="15" hidden="false" customHeight="true" outlineLevel="0" collapsed="false">
      <c r="AK247" s="287"/>
      <c r="AL247" s="17"/>
    </row>
    <row r="248" customFormat="false" ht="15" hidden="false" customHeight="true" outlineLevel="0" collapsed="false">
      <c r="AK248" s="287"/>
      <c r="AL248" s="17"/>
    </row>
    <row r="249" customFormat="false" ht="15" hidden="false" customHeight="true" outlineLevel="0" collapsed="false">
      <c r="AK249" s="287"/>
      <c r="AL249" s="17"/>
    </row>
    <row r="250" customFormat="false" ht="15" hidden="false" customHeight="true" outlineLevel="0" collapsed="false">
      <c r="AK250" s="287"/>
      <c r="AL250" s="17"/>
    </row>
    <row r="251" customFormat="false" ht="15" hidden="false" customHeight="true" outlineLevel="0" collapsed="false">
      <c r="AK251" s="287"/>
      <c r="AL251" s="17"/>
    </row>
    <row r="252" customFormat="false" ht="15" hidden="false" customHeight="true" outlineLevel="0" collapsed="false">
      <c r="AK252" s="287"/>
      <c r="AL252" s="17"/>
    </row>
    <row r="253" customFormat="false" ht="15" hidden="false" customHeight="true" outlineLevel="0" collapsed="false">
      <c r="AK253" s="287"/>
      <c r="AL253" s="17"/>
    </row>
    <row r="254" customFormat="false" ht="15" hidden="false" customHeight="true" outlineLevel="0" collapsed="false">
      <c r="AK254" s="287"/>
      <c r="AL254" s="17"/>
    </row>
    <row r="255" customFormat="false" ht="15" hidden="false" customHeight="true" outlineLevel="0" collapsed="false">
      <c r="AK255" s="287"/>
      <c r="AL255" s="17"/>
    </row>
    <row r="256" customFormat="false" ht="15" hidden="false" customHeight="true" outlineLevel="0" collapsed="false">
      <c r="AK256" s="287"/>
      <c r="AL256" s="17"/>
    </row>
    <row r="257" customFormat="false" ht="15" hidden="false" customHeight="true" outlineLevel="0" collapsed="false">
      <c r="AK257" s="287"/>
      <c r="AL257" s="17"/>
    </row>
    <row r="258" customFormat="false" ht="15" hidden="false" customHeight="true" outlineLevel="0" collapsed="false">
      <c r="AK258" s="287"/>
      <c r="AL258" s="17"/>
    </row>
    <row r="259" customFormat="false" ht="15" hidden="false" customHeight="true" outlineLevel="0" collapsed="false">
      <c r="AK259" s="303"/>
      <c r="AL259" s="17"/>
    </row>
    <row r="260" customFormat="false" ht="15" hidden="false" customHeight="true" outlineLevel="0" collapsed="false">
      <c r="AL260" s="17"/>
    </row>
    <row r="261" customFormat="false" ht="15" hidden="false" customHeight="true" outlineLevel="0" collapsed="false">
      <c r="AK261" s="268"/>
      <c r="AL261" s="17"/>
    </row>
    <row r="262" customFormat="false" ht="15" hidden="false" customHeight="true" outlineLevel="0" collapsed="false">
      <c r="AK262" s="287"/>
      <c r="AL262" s="17"/>
    </row>
    <row r="263" customFormat="false" ht="15" hidden="false" customHeight="true" outlineLevel="0" collapsed="false">
      <c r="AK263" s="287"/>
      <c r="AL263" s="17"/>
    </row>
    <row r="264" customFormat="false" ht="15" hidden="false" customHeight="true" outlineLevel="0" collapsed="false">
      <c r="AK264" s="287"/>
      <c r="AL264" s="17"/>
    </row>
    <row r="265" customFormat="false" ht="15" hidden="false" customHeight="true" outlineLevel="0" collapsed="false">
      <c r="AK265" s="287"/>
      <c r="AL265" s="17"/>
    </row>
    <row r="266" customFormat="false" ht="15" hidden="false" customHeight="true" outlineLevel="0" collapsed="false">
      <c r="AK266" s="287"/>
      <c r="AL266" s="17"/>
    </row>
    <row r="267" customFormat="false" ht="15" hidden="false" customHeight="true" outlineLevel="0" collapsed="false">
      <c r="AK267" s="287"/>
      <c r="AL267" s="17"/>
    </row>
    <row r="268" customFormat="false" ht="15" hidden="false" customHeight="true" outlineLevel="0" collapsed="false">
      <c r="AK268" s="287"/>
      <c r="AL268" s="17"/>
    </row>
    <row r="269" customFormat="false" ht="15" hidden="false" customHeight="true" outlineLevel="0" collapsed="false">
      <c r="AK269" s="287"/>
      <c r="AL269" s="17"/>
    </row>
    <row r="270" customFormat="false" ht="15" hidden="false" customHeight="true" outlineLevel="0" collapsed="false">
      <c r="AK270" s="287"/>
      <c r="AL270" s="17"/>
    </row>
    <row r="271" customFormat="false" ht="15" hidden="false" customHeight="true" outlineLevel="0" collapsed="false">
      <c r="AK271" s="287"/>
      <c r="AL271" s="17"/>
    </row>
    <row r="272" customFormat="false" ht="15" hidden="false" customHeight="true" outlineLevel="0" collapsed="false">
      <c r="AK272" s="287"/>
      <c r="AL272" s="17"/>
    </row>
    <row r="273" customFormat="false" ht="15" hidden="false" customHeight="true" outlineLevel="0" collapsed="false">
      <c r="AK273" s="287"/>
      <c r="AL273" s="17"/>
    </row>
    <row r="274" customFormat="false" ht="15" hidden="false" customHeight="true" outlineLevel="0" collapsed="false">
      <c r="AK274" s="303"/>
      <c r="AL274" s="17"/>
    </row>
    <row r="275" customFormat="false" ht="15" hidden="false" customHeight="true" outlineLevel="0" collapsed="false">
      <c r="AL275" s="17"/>
    </row>
    <row r="276" customFormat="false" ht="15" hidden="false" customHeight="true" outlineLevel="0" collapsed="false">
      <c r="AK276" s="268"/>
      <c r="AL276" s="17"/>
    </row>
    <row r="277" customFormat="false" ht="15" hidden="false" customHeight="true" outlineLevel="0" collapsed="false">
      <c r="AK277" s="287"/>
      <c r="AL277" s="17"/>
    </row>
    <row r="278" customFormat="false" ht="15" hidden="false" customHeight="true" outlineLevel="0" collapsed="false">
      <c r="AK278" s="287"/>
      <c r="AL278" s="17"/>
    </row>
    <row r="279" customFormat="false" ht="15" hidden="false" customHeight="true" outlineLevel="0" collapsed="false">
      <c r="AK279" s="287"/>
      <c r="AL279" s="17"/>
    </row>
    <row r="280" customFormat="false" ht="15" hidden="false" customHeight="true" outlineLevel="0" collapsed="false">
      <c r="AK280" s="287"/>
      <c r="AL280" s="17"/>
    </row>
    <row r="281" customFormat="false" ht="15" hidden="false" customHeight="true" outlineLevel="0" collapsed="false">
      <c r="AK281" s="287"/>
      <c r="AL281" s="17"/>
    </row>
    <row r="282" customFormat="false" ht="15" hidden="false" customHeight="true" outlineLevel="0" collapsed="false">
      <c r="AK282" s="287"/>
      <c r="AL282" s="17"/>
    </row>
    <row r="283" customFormat="false" ht="15" hidden="false" customHeight="true" outlineLevel="0" collapsed="false">
      <c r="AK283" s="287"/>
      <c r="AL283" s="17"/>
    </row>
    <row r="284" customFormat="false" ht="15" hidden="false" customHeight="true" outlineLevel="0" collapsed="false">
      <c r="AK284" s="287"/>
      <c r="AL284" s="17"/>
    </row>
    <row r="285" customFormat="false" ht="15" hidden="false" customHeight="true" outlineLevel="0" collapsed="false">
      <c r="AK285" s="287"/>
      <c r="AL285" s="17"/>
    </row>
    <row r="286" customFormat="false" ht="15" hidden="false" customHeight="true" outlineLevel="0" collapsed="false">
      <c r="AK286" s="287"/>
      <c r="AL286" s="17"/>
    </row>
    <row r="287" customFormat="false" ht="15" hidden="false" customHeight="true" outlineLevel="0" collapsed="false">
      <c r="AK287" s="287"/>
      <c r="AL287" s="17"/>
    </row>
    <row r="288" customFormat="false" ht="15" hidden="false" customHeight="true" outlineLevel="0" collapsed="false">
      <c r="AK288" s="287"/>
      <c r="AL288" s="17"/>
    </row>
    <row r="289" customFormat="false" ht="15" hidden="false" customHeight="true" outlineLevel="0" collapsed="false">
      <c r="AK289" s="303"/>
      <c r="AL289" s="17"/>
    </row>
    <row r="290" customFormat="false" ht="15" hidden="false" customHeight="true" outlineLevel="0" collapsed="false">
      <c r="AL290" s="17"/>
    </row>
    <row r="291" customFormat="false" ht="15" hidden="false" customHeight="true" outlineLevel="0" collapsed="false">
      <c r="AK291" s="268"/>
      <c r="AL291" s="17"/>
    </row>
    <row r="292" customFormat="false" ht="15" hidden="false" customHeight="true" outlineLevel="0" collapsed="false">
      <c r="AK292" s="287"/>
      <c r="AL292" s="17"/>
    </row>
    <row r="293" customFormat="false" ht="15" hidden="false" customHeight="true" outlineLevel="0" collapsed="false">
      <c r="AK293" s="287"/>
      <c r="AL293" s="17"/>
    </row>
    <row r="294" customFormat="false" ht="15" hidden="false" customHeight="true" outlineLevel="0" collapsed="false">
      <c r="AK294" s="287"/>
      <c r="AL294" s="17"/>
    </row>
    <row r="295" customFormat="false" ht="15" hidden="false" customHeight="true" outlineLevel="0" collapsed="false">
      <c r="AK295" s="287"/>
      <c r="AL295" s="17"/>
    </row>
    <row r="296" customFormat="false" ht="15" hidden="false" customHeight="true" outlineLevel="0" collapsed="false">
      <c r="AK296" s="287"/>
      <c r="AL296" s="17"/>
    </row>
    <row r="297" customFormat="false" ht="15" hidden="false" customHeight="true" outlineLevel="0" collapsed="false">
      <c r="AK297" s="287"/>
      <c r="AL297" s="17"/>
    </row>
    <row r="298" customFormat="false" ht="15" hidden="false" customHeight="true" outlineLevel="0" collapsed="false">
      <c r="AK298" s="287"/>
      <c r="AL298" s="17"/>
    </row>
    <row r="299" customFormat="false" ht="15" hidden="false" customHeight="true" outlineLevel="0" collapsed="false">
      <c r="AK299" s="287"/>
      <c r="AL299" s="17"/>
    </row>
    <row r="300" customFormat="false" ht="15" hidden="false" customHeight="true" outlineLevel="0" collapsed="false">
      <c r="AK300" s="287"/>
      <c r="AL300" s="17"/>
    </row>
    <row r="301" customFormat="false" ht="15" hidden="false" customHeight="true" outlineLevel="0" collapsed="false">
      <c r="AK301" s="287"/>
      <c r="AL301" s="17"/>
    </row>
    <row r="302" customFormat="false" ht="15" hidden="false" customHeight="true" outlineLevel="0" collapsed="false">
      <c r="AK302" s="287"/>
      <c r="AL302" s="17"/>
    </row>
    <row r="303" customFormat="false" ht="15" hidden="false" customHeight="true" outlineLevel="0" collapsed="false">
      <c r="AK303" s="287"/>
      <c r="AL303" s="17"/>
    </row>
    <row r="304" customFormat="false" ht="15" hidden="false" customHeight="true" outlineLevel="0" collapsed="false">
      <c r="AK304" s="303"/>
      <c r="AL304" s="17"/>
    </row>
    <row r="305" customFormat="false" ht="15" hidden="false" customHeight="true" outlineLevel="0" collapsed="false">
      <c r="AL305" s="17"/>
    </row>
    <row r="306" customFormat="false" ht="15" hidden="false" customHeight="true" outlineLevel="0" collapsed="false">
      <c r="AK306" s="268"/>
      <c r="AL306" s="17"/>
    </row>
    <row r="307" customFormat="false" ht="15" hidden="false" customHeight="true" outlineLevel="0" collapsed="false">
      <c r="AK307" s="287"/>
      <c r="AL307" s="17"/>
    </row>
    <row r="308" customFormat="false" ht="15" hidden="false" customHeight="true" outlineLevel="0" collapsed="false">
      <c r="AK308" s="287"/>
      <c r="AL308" s="17"/>
    </row>
    <row r="309" customFormat="false" ht="15" hidden="false" customHeight="true" outlineLevel="0" collapsed="false">
      <c r="AK309" s="287"/>
      <c r="AL309" s="17"/>
    </row>
    <row r="310" customFormat="false" ht="15" hidden="false" customHeight="true" outlineLevel="0" collapsed="false">
      <c r="AK310" s="287"/>
      <c r="AL310" s="17"/>
    </row>
    <row r="311" customFormat="false" ht="15" hidden="false" customHeight="true" outlineLevel="0" collapsed="false">
      <c r="AK311" s="287"/>
      <c r="AL311" s="17"/>
    </row>
    <row r="312" customFormat="false" ht="15" hidden="false" customHeight="true" outlineLevel="0" collapsed="false">
      <c r="AK312" s="287"/>
      <c r="AL312" s="17"/>
    </row>
    <row r="313" customFormat="false" ht="15" hidden="false" customHeight="true" outlineLevel="0" collapsed="false">
      <c r="AK313" s="287"/>
      <c r="AL313" s="17"/>
    </row>
    <row r="314" customFormat="false" ht="15" hidden="false" customHeight="true" outlineLevel="0" collapsed="false">
      <c r="AK314" s="287"/>
      <c r="AL314" s="17"/>
    </row>
    <row r="315" customFormat="false" ht="15" hidden="false" customHeight="true" outlineLevel="0" collapsed="false">
      <c r="AK315" s="287"/>
      <c r="AL315" s="17"/>
    </row>
    <row r="316" customFormat="false" ht="15" hidden="false" customHeight="true" outlineLevel="0" collapsed="false">
      <c r="AK316" s="287"/>
      <c r="AL316" s="17"/>
    </row>
    <row r="317" customFormat="false" ht="15" hidden="false" customHeight="true" outlineLevel="0" collapsed="false">
      <c r="AK317" s="287"/>
      <c r="AL317" s="17"/>
    </row>
    <row r="318" customFormat="false" ht="15" hidden="false" customHeight="true" outlineLevel="0" collapsed="false">
      <c r="AK318" s="287"/>
      <c r="AL318" s="17"/>
    </row>
    <row r="319" customFormat="false" ht="15" hidden="false" customHeight="true" outlineLevel="0" collapsed="false">
      <c r="AK319" s="303"/>
      <c r="AL319" s="17"/>
    </row>
    <row r="320" customFormat="false" ht="15" hidden="false" customHeight="true" outlineLevel="0" collapsed="false">
      <c r="AL320" s="17"/>
    </row>
    <row r="321" customFormat="false" ht="15" hidden="false" customHeight="true" outlineLevel="0" collapsed="false">
      <c r="AK321" s="268"/>
      <c r="AL321" s="17"/>
    </row>
    <row r="322" customFormat="false" ht="15" hidden="false" customHeight="true" outlineLevel="0" collapsed="false">
      <c r="AK322" s="287"/>
      <c r="AL322" s="17"/>
    </row>
    <row r="323" customFormat="false" ht="15" hidden="false" customHeight="true" outlineLevel="0" collapsed="false">
      <c r="AK323" s="287"/>
      <c r="AL323" s="17"/>
    </row>
    <row r="324" customFormat="false" ht="15" hidden="false" customHeight="true" outlineLevel="0" collapsed="false">
      <c r="AK324" s="287"/>
      <c r="AL324" s="17"/>
    </row>
    <row r="325" customFormat="false" ht="15" hidden="false" customHeight="true" outlineLevel="0" collapsed="false">
      <c r="AK325" s="287"/>
      <c r="AL325" s="17"/>
    </row>
    <row r="326" customFormat="false" ht="15" hidden="false" customHeight="true" outlineLevel="0" collapsed="false">
      <c r="AK326" s="287"/>
      <c r="AL326" s="17"/>
    </row>
    <row r="327" customFormat="false" ht="15" hidden="false" customHeight="true" outlineLevel="0" collapsed="false">
      <c r="AK327" s="287"/>
      <c r="AL327" s="17"/>
    </row>
    <row r="328" customFormat="false" ht="15" hidden="false" customHeight="true" outlineLevel="0" collapsed="false">
      <c r="AK328" s="287"/>
      <c r="AL328" s="17"/>
    </row>
    <row r="329" customFormat="false" ht="15" hidden="false" customHeight="true" outlineLevel="0" collapsed="false">
      <c r="AK329" s="287"/>
      <c r="AL329" s="17"/>
    </row>
    <row r="330" customFormat="false" ht="15" hidden="false" customHeight="true" outlineLevel="0" collapsed="false">
      <c r="AK330" s="287"/>
      <c r="AL330" s="17"/>
    </row>
    <row r="331" customFormat="false" ht="15" hidden="false" customHeight="true" outlineLevel="0" collapsed="false">
      <c r="AK331" s="287"/>
      <c r="AL331" s="17"/>
    </row>
    <row r="332" customFormat="false" ht="15" hidden="false" customHeight="true" outlineLevel="0" collapsed="false">
      <c r="AK332" s="287"/>
      <c r="AL332" s="17"/>
    </row>
    <row r="333" customFormat="false" ht="15" hidden="false" customHeight="true" outlineLevel="0" collapsed="false">
      <c r="AK333" s="287"/>
      <c r="AL333" s="17"/>
    </row>
    <row r="334" customFormat="false" ht="15" hidden="false" customHeight="true" outlineLevel="0" collapsed="false">
      <c r="AK334" s="303"/>
      <c r="AL334" s="17"/>
    </row>
    <row r="335" customFormat="false" ht="15" hidden="false" customHeight="true" outlineLevel="0" collapsed="false">
      <c r="AL335" s="17"/>
    </row>
    <row r="336" customFormat="false" ht="15" hidden="false" customHeight="true" outlineLevel="0" collapsed="false">
      <c r="AK336" s="268"/>
      <c r="AL336" s="17"/>
    </row>
    <row r="337" customFormat="false" ht="15" hidden="false" customHeight="true" outlineLevel="0" collapsed="false">
      <c r="AK337" s="287"/>
      <c r="AL337" s="17"/>
    </row>
    <row r="338" customFormat="false" ht="15" hidden="false" customHeight="true" outlineLevel="0" collapsed="false">
      <c r="AK338" s="287"/>
      <c r="AL338" s="17"/>
    </row>
    <row r="339" customFormat="false" ht="15" hidden="false" customHeight="true" outlineLevel="0" collapsed="false">
      <c r="AK339" s="287"/>
      <c r="AL339" s="17"/>
    </row>
    <row r="340" customFormat="false" ht="15" hidden="false" customHeight="true" outlineLevel="0" collapsed="false">
      <c r="AK340" s="287"/>
      <c r="AL340" s="17"/>
    </row>
    <row r="341" customFormat="false" ht="15" hidden="false" customHeight="true" outlineLevel="0" collapsed="false">
      <c r="AK341" s="287"/>
      <c r="AL341" s="17"/>
    </row>
    <row r="342" customFormat="false" ht="15" hidden="false" customHeight="true" outlineLevel="0" collapsed="false">
      <c r="AK342" s="287"/>
      <c r="AL342" s="17"/>
    </row>
    <row r="343" customFormat="false" ht="15" hidden="false" customHeight="true" outlineLevel="0" collapsed="false">
      <c r="AK343" s="287"/>
      <c r="AL343" s="17"/>
    </row>
    <row r="344" customFormat="false" ht="15" hidden="false" customHeight="true" outlineLevel="0" collapsed="false">
      <c r="AK344" s="287"/>
      <c r="AL344" s="17"/>
    </row>
    <row r="345" customFormat="false" ht="15" hidden="false" customHeight="true" outlineLevel="0" collapsed="false">
      <c r="AK345" s="287"/>
      <c r="AL345" s="17"/>
    </row>
    <row r="346" customFormat="false" ht="15" hidden="false" customHeight="true" outlineLevel="0" collapsed="false">
      <c r="AK346" s="287"/>
      <c r="AL346" s="17"/>
    </row>
    <row r="347" customFormat="false" ht="15" hidden="false" customHeight="true" outlineLevel="0" collapsed="false">
      <c r="AK347" s="287"/>
      <c r="AL347" s="17"/>
    </row>
    <row r="348" customFormat="false" ht="15" hidden="false" customHeight="true" outlineLevel="0" collapsed="false">
      <c r="AK348" s="287"/>
      <c r="AL348" s="17"/>
    </row>
    <row r="349" customFormat="false" ht="15" hidden="false" customHeight="true" outlineLevel="0" collapsed="false">
      <c r="AK349" s="303"/>
      <c r="AL349" s="17"/>
    </row>
    <row r="350" customFormat="false" ht="15" hidden="false" customHeight="true" outlineLevel="0" collapsed="false">
      <c r="AL350" s="17"/>
    </row>
    <row r="351" customFormat="false" ht="15" hidden="false" customHeight="true" outlineLevel="0" collapsed="false">
      <c r="AK351" s="268"/>
      <c r="AL351" s="17"/>
    </row>
    <row r="352" customFormat="false" ht="15" hidden="false" customHeight="true" outlineLevel="0" collapsed="false">
      <c r="AK352" s="287"/>
      <c r="AL352" s="17"/>
    </row>
    <row r="353" customFormat="false" ht="15" hidden="false" customHeight="true" outlineLevel="0" collapsed="false">
      <c r="AK353" s="287"/>
      <c r="AL353" s="17"/>
    </row>
    <row r="354" customFormat="false" ht="15" hidden="false" customHeight="true" outlineLevel="0" collapsed="false">
      <c r="AK354" s="287"/>
      <c r="AL354" s="17"/>
    </row>
    <row r="355" customFormat="false" ht="15" hidden="false" customHeight="true" outlineLevel="0" collapsed="false">
      <c r="AK355" s="287"/>
      <c r="AL355" s="17"/>
    </row>
    <row r="356" customFormat="false" ht="15" hidden="false" customHeight="true" outlineLevel="0" collapsed="false">
      <c r="AK356" s="287"/>
      <c r="AL356" s="17"/>
    </row>
    <row r="357" customFormat="false" ht="15" hidden="false" customHeight="true" outlineLevel="0" collapsed="false">
      <c r="AK357" s="287"/>
      <c r="AL357" s="17"/>
    </row>
    <row r="358" customFormat="false" ht="15" hidden="false" customHeight="true" outlineLevel="0" collapsed="false">
      <c r="AK358" s="287"/>
      <c r="AL358" s="17"/>
    </row>
    <row r="359" customFormat="false" ht="15" hidden="false" customHeight="true" outlineLevel="0" collapsed="false">
      <c r="AK359" s="287"/>
      <c r="AL359" s="17"/>
    </row>
    <row r="360" customFormat="false" ht="15" hidden="false" customHeight="true" outlineLevel="0" collapsed="false">
      <c r="AK360" s="287"/>
      <c r="AL360" s="17"/>
    </row>
    <row r="361" customFormat="false" ht="15" hidden="false" customHeight="true" outlineLevel="0" collapsed="false">
      <c r="AK361" s="287"/>
      <c r="AL361" s="17"/>
    </row>
    <row r="362" customFormat="false" ht="15" hidden="false" customHeight="true" outlineLevel="0" collapsed="false">
      <c r="AK362" s="287"/>
      <c r="AL362" s="17"/>
    </row>
    <row r="363" customFormat="false" ht="15" hidden="false" customHeight="true" outlineLevel="0" collapsed="false">
      <c r="AK363" s="287"/>
      <c r="AL363" s="17"/>
    </row>
    <row r="364" customFormat="false" ht="15" hidden="false" customHeight="true" outlineLevel="0" collapsed="false">
      <c r="AK364" s="303"/>
      <c r="AL364" s="17"/>
    </row>
    <row r="365" customFormat="false" ht="15" hidden="false" customHeight="true" outlineLevel="0" collapsed="false">
      <c r="AL365" s="17"/>
    </row>
    <row r="366" customFormat="false" ht="15" hidden="false" customHeight="true" outlineLevel="0" collapsed="false">
      <c r="AK366" s="268"/>
      <c r="AL366" s="17"/>
    </row>
    <row r="367" customFormat="false" ht="15" hidden="false" customHeight="true" outlineLevel="0" collapsed="false">
      <c r="AK367" s="287"/>
      <c r="AL367" s="17"/>
    </row>
    <row r="368" customFormat="false" ht="15" hidden="false" customHeight="true" outlineLevel="0" collapsed="false">
      <c r="AK368" s="287"/>
      <c r="AL368" s="17"/>
    </row>
    <row r="369" customFormat="false" ht="15" hidden="false" customHeight="true" outlineLevel="0" collapsed="false">
      <c r="AK369" s="287"/>
      <c r="AL369" s="17"/>
    </row>
    <row r="370" customFormat="false" ht="15" hidden="false" customHeight="true" outlineLevel="0" collapsed="false">
      <c r="AK370" s="287"/>
      <c r="AL370" s="17"/>
    </row>
    <row r="371" customFormat="false" ht="15" hidden="false" customHeight="true" outlineLevel="0" collapsed="false">
      <c r="AK371" s="287"/>
      <c r="AL371" s="17"/>
    </row>
    <row r="372" customFormat="false" ht="15" hidden="false" customHeight="true" outlineLevel="0" collapsed="false">
      <c r="AK372" s="287"/>
      <c r="AL372" s="17"/>
    </row>
    <row r="373" customFormat="false" ht="15" hidden="false" customHeight="true" outlineLevel="0" collapsed="false">
      <c r="AK373" s="287"/>
      <c r="AL373" s="17"/>
    </row>
    <row r="374" customFormat="false" ht="15" hidden="false" customHeight="true" outlineLevel="0" collapsed="false">
      <c r="AK374" s="287"/>
      <c r="AL374" s="17"/>
    </row>
    <row r="375" customFormat="false" ht="15" hidden="false" customHeight="true" outlineLevel="0" collapsed="false">
      <c r="AK375" s="287"/>
      <c r="AL375" s="17"/>
    </row>
    <row r="376" customFormat="false" ht="15" hidden="false" customHeight="true" outlineLevel="0" collapsed="false">
      <c r="AK376" s="287"/>
      <c r="AL376" s="17"/>
    </row>
    <row r="377" customFormat="false" ht="15" hidden="false" customHeight="true" outlineLevel="0" collapsed="false">
      <c r="AK377" s="287"/>
      <c r="AL377" s="17"/>
    </row>
    <row r="378" customFormat="false" ht="15" hidden="false" customHeight="true" outlineLevel="0" collapsed="false">
      <c r="AK378" s="287"/>
      <c r="AL378" s="17"/>
    </row>
    <row r="379" customFormat="false" ht="15" hidden="false" customHeight="true" outlineLevel="0" collapsed="false">
      <c r="AK379" s="303"/>
      <c r="AL379" s="17"/>
    </row>
    <row r="380" customFormat="false" ht="15" hidden="false" customHeight="true" outlineLevel="0" collapsed="false">
      <c r="AL380" s="17"/>
    </row>
    <row r="381" customFormat="false" ht="15" hidden="false" customHeight="true" outlineLevel="0" collapsed="false">
      <c r="AK381" s="268"/>
      <c r="AL381" s="17"/>
    </row>
    <row r="382" customFormat="false" ht="15" hidden="false" customHeight="true" outlineLevel="0" collapsed="false">
      <c r="AK382" s="287"/>
      <c r="AL382" s="17"/>
    </row>
    <row r="383" customFormat="false" ht="15" hidden="false" customHeight="true" outlineLevel="0" collapsed="false">
      <c r="AK383" s="287"/>
      <c r="AL383" s="17"/>
    </row>
    <row r="384" customFormat="false" ht="15" hidden="false" customHeight="true" outlineLevel="0" collapsed="false">
      <c r="AK384" s="287"/>
      <c r="AL384" s="17"/>
    </row>
    <row r="385" customFormat="false" ht="15" hidden="false" customHeight="true" outlineLevel="0" collapsed="false">
      <c r="AK385" s="287"/>
      <c r="AL385" s="17"/>
    </row>
    <row r="386" customFormat="false" ht="15" hidden="false" customHeight="true" outlineLevel="0" collapsed="false">
      <c r="AK386" s="287"/>
      <c r="AL386" s="17"/>
    </row>
    <row r="387" customFormat="false" ht="15" hidden="false" customHeight="true" outlineLevel="0" collapsed="false">
      <c r="AK387" s="287"/>
      <c r="AL387" s="17"/>
    </row>
    <row r="388" customFormat="false" ht="15" hidden="false" customHeight="true" outlineLevel="0" collapsed="false">
      <c r="AK388" s="287"/>
      <c r="AL388" s="17"/>
    </row>
    <row r="389" customFormat="false" ht="15" hidden="false" customHeight="true" outlineLevel="0" collapsed="false">
      <c r="AK389" s="287"/>
      <c r="AL389" s="17"/>
    </row>
    <row r="390" customFormat="false" ht="15" hidden="false" customHeight="true" outlineLevel="0" collapsed="false">
      <c r="AK390" s="287"/>
      <c r="AL390" s="17"/>
    </row>
    <row r="391" customFormat="false" ht="15" hidden="false" customHeight="true" outlineLevel="0" collapsed="false">
      <c r="AK391" s="287"/>
      <c r="AL391" s="17"/>
    </row>
    <row r="392" customFormat="false" ht="15" hidden="false" customHeight="true" outlineLevel="0" collapsed="false">
      <c r="AK392" s="287"/>
      <c r="AL392" s="17"/>
    </row>
    <row r="393" customFormat="false" ht="15" hidden="false" customHeight="true" outlineLevel="0" collapsed="false">
      <c r="AK393" s="287"/>
      <c r="AL393" s="17"/>
    </row>
    <row r="394" customFormat="false" ht="15" hidden="false" customHeight="true" outlineLevel="0" collapsed="false">
      <c r="AK394" s="303"/>
      <c r="AL394" s="17"/>
    </row>
    <row r="395" customFormat="false" ht="15" hidden="false" customHeight="true" outlineLevel="0" collapsed="false">
      <c r="AL395" s="17"/>
    </row>
    <row r="396" customFormat="false" ht="15" hidden="false" customHeight="true" outlineLevel="0" collapsed="false">
      <c r="AK396" s="268"/>
      <c r="AL396" s="17"/>
    </row>
    <row r="397" customFormat="false" ht="15" hidden="false" customHeight="true" outlineLevel="0" collapsed="false">
      <c r="AK397" s="287"/>
      <c r="AL397" s="17"/>
    </row>
    <row r="398" customFormat="false" ht="15" hidden="false" customHeight="true" outlineLevel="0" collapsed="false">
      <c r="AK398" s="287"/>
      <c r="AL398" s="17"/>
    </row>
    <row r="399" customFormat="false" ht="15" hidden="false" customHeight="true" outlineLevel="0" collapsed="false">
      <c r="AK399" s="287"/>
      <c r="AL399" s="17"/>
    </row>
    <row r="400" customFormat="false" ht="15" hidden="false" customHeight="true" outlineLevel="0" collapsed="false">
      <c r="AK400" s="287"/>
      <c r="AL400" s="17"/>
    </row>
    <row r="401" customFormat="false" ht="15" hidden="false" customHeight="true" outlineLevel="0" collapsed="false">
      <c r="AK401" s="287"/>
      <c r="AL401" s="17"/>
    </row>
    <row r="402" customFormat="false" ht="15" hidden="false" customHeight="true" outlineLevel="0" collapsed="false">
      <c r="AK402" s="287"/>
      <c r="AL402" s="17"/>
    </row>
    <row r="403" customFormat="false" ht="15" hidden="false" customHeight="true" outlineLevel="0" collapsed="false">
      <c r="AK403" s="287"/>
      <c r="AL403" s="17"/>
    </row>
    <row r="404" customFormat="false" ht="15" hidden="false" customHeight="true" outlineLevel="0" collapsed="false">
      <c r="AK404" s="287"/>
      <c r="AL404" s="17"/>
    </row>
    <row r="405" customFormat="false" ht="15" hidden="false" customHeight="true" outlineLevel="0" collapsed="false">
      <c r="AK405" s="287"/>
      <c r="AL405" s="17"/>
    </row>
    <row r="406" customFormat="false" ht="15" hidden="false" customHeight="true" outlineLevel="0" collapsed="false">
      <c r="AK406" s="287"/>
      <c r="AL406" s="17"/>
    </row>
    <row r="407" customFormat="false" ht="15" hidden="false" customHeight="true" outlineLevel="0" collapsed="false">
      <c r="AK407" s="287"/>
      <c r="AL407" s="17"/>
    </row>
    <row r="408" customFormat="false" ht="15" hidden="false" customHeight="true" outlineLevel="0" collapsed="false">
      <c r="AK408" s="287"/>
      <c r="AL408" s="17"/>
    </row>
    <row r="409" customFormat="false" ht="15" hidden="false" customHeight="true" outlineLevel="0" collapsed="false">
      <c r="AK409" s="303"/>
      <c r="AL409" s="17"/>
    </row>
    <row r="410" customFormat="false" ht="15" hidden="false" customHeight="true" outlineLevel="0" collapsed="false">
      <c r="AL410" s="17"/>
    </row>
    <row r="411" customFormat="false" ht="15" hidden="false" customHeight="true" outlineLevel="0" collapsed="false">
      <c r="AK411" s="268"/>
      <c r="AL411" s="17"/>
    </row>
    <row r="412" customFormat="false" ht="15" hidden="false" customHeight="true" outlineLevel="0" collapsed="false">
      <c r="AK412" s="287"/>
      <c r="AL412" s="17"/>
    </row>
    <row r="413" customFormat="false" ht="15" hidden="false" customHeight="true" outlineLevel="0" collapsed="false">
      <c r="AK413" s="287"/>
      <c r="AL413" s="17"/>
    </row>
    <row r="414" customFormat="false" ht="15" hidden="false" customHeight="true" outlineLevel="0" collapsed="false">
      <c r="AK414" s="287"/>
      <c r="AL414" s="17"/>
    </row>
    <row r="415" customFormat="false" ht="15" hidden="false" customHeight="true" outlineLevel="0" collapsed="false">
      <c r="AK415" s="287"/>
      <c r="AL415" s="17"/>
    </row>
    <row r="416" customFormat="false" ht="15" hidden="false" customHeight="true" outlineLevel="0" collapsed="false">
      <c r="AK416" s="287"/>
      <c r="AL416" s="17"/>
    </row>
    <row r="417" customFormat="false" ht="15" hidden="false" customHeight="true" outlineLevel="0" collapsed="false">
      <c r="AK417" s="287"/>
      <c r="AL417" s="17"/>
    </row>
    <row r="418" customFormat="false" ht="15" hidden="false" customHeight="true" outlineLevel="0" collapsed="false">
      <c r="AK418" s="287"/>
      <c r="AL418" s="17"/>
    </row>
    <row r="419" customFormat="false" ht="15" hidden="false" customHeight="true" outlineLevel="0" collapsed="false">
      <c r="AK419" s="287"/>
      <c r="AL419" s="17"/>
    </row>
    <row r="420" customFormat="false" ht="15" hidden="false" customHeight="true" outlineLevel="0" collapsed="false">
      <c r="AK420" s="287"/>
      <c r="AL420" s="17"/>
    </row>
    <row r="421" customFormat="false" ht="15" hidden="false" customHeight="true" outlineLevel="0" collapsed="false">
      <c r="AK421" s="287"/>
      <c r="AL421" s="17"/>
    </row>
    <row r="422" customFormat="false" ht="15" hidden="false" customHeight="true" outlineLevel="0" collapsed="false">
      <c r="AK422" s="287"/>
      <c r="AL422" s="17"/>
    </row>
    <row r="423" customFormat="false" ht="15" hidden="false" customHeight="true" outlineLevel="0" collapsed="false">
      <c r="AK423" s="287"/>
      <c r="AL423" s="17"/>
    </row>
    <row r="424" customFormat="false" ht="15" hidden="false" customHeight="true" outlineLevel="0" collapsed="false">
      <c r="AK424" s="303"/>
      <c r="AL424" s="17"/>
    </row>
    <row r="425" customFormat="false" ht="15" hidden="false" customHeight="true" outlineLevel="0" collapsed="false">
      <c r="AL425" s="17"/>
    </row>
    <row r="426" customFormat="false" ht="15" hidden="false" customHeight="true" outlineLevel="0" collapsed="false">
      <c r="AK426" s="268"/>
      <c r="AL426" s="17"/>
    </row>
    <row r="427" customFormat="false" ht="15" hidden="false" customHeight="true" outlineLevel="0" collapsed="false">
      <c r="AK427" s="287"/>
      <c r="AL427" s="17"/>
    </row>
    <row r="428" customFormat="false" ht="15" hidden="false" customHeight="true" outlineLevel="0" collapsed="false">
      <c r="AK428" s="287"/>
      <c r="AL428" s="17"/>
    </row>
    <row r="429" customFormat="false" ht="15" hidden="false" customHeight="true" outlineLevel="0" collapsed="false">
      <c r="AK429" s="287"/>
      <c r="AL429" s="17"/>
    </row>
    <row r="430" customFormat="false" ht="15" hidden="false" customHeight="true" outlineLevel="0" collapsed="false">
      <c r="AK430" s="287"/>
      <c r="AL430" s="17"/>
    </row>
    <row r="431" customFormat="false" ht="15" hidden="false" customHeight="true" outlineLevel="0" collapsed="false">
      <c r="AK431" s="287"/>
      <c r="AL431" s="17"/>
    </row>
    <row r="432" customFormat="false" ht="15" hidden="false" customHeight="true" outlineLevel="0" collapsed="false">
      <c r="AK432" s="287"/>
      <c r="AL432" s="17"/>
    </row>
    <row r="433" customFormat="false" ht="15" hidden="false" customHeight="true" outlineLevel="0" collapsed="false">
      <c r="AK433" s="287"/>
      <c r="AL433" s="17"/>
    </row>
    <row r="434" customFormat="false" ht="15" hidden="false" customHeight="true" outlineLevel="0" collapsed="false">
      <c r="AK434" s="287"/>
      <c r="AL434" s="17"/>
    </row>
    <row r="435" customFormat="false" ht="15" hidden="false" customHeight="true" outlineLevel="0" collapsed="false">
      <c r="AK435" s="287"/>
      <c r="AL435" s="17"/>
    </row>
    <row r="436" customFormat="false" ht="15" hidden="false" customHeight="true" outlineLevel="0" collapsed="false">
      <c r="AK436" s="287"/>
      <c r="AL436" s="17"/>
    </row>
    <row r="437" customFormat="false" ht="15" hidden="false" customHeight="true" outlineLevel="0" collapsed="false">
      <c r="AK437" s="287"/>
      <c r="AL437" s="17"/>
    </row>
    <row r="438" customFormat="false" ht="15" hidden="false" customHeight="true" outlineLevel="0" collapsed="false">
      <c r="AK438" s="287"/>
      <c r="AL438" s="17"/>
    </row>
    <row r="439" customFormat="false" ht="15" hidden="false" customHeight="true" outlineLevel="0" collapsed="false">
      <c r="AK439" s="303"/>
      <c r="AL439" s="17"/>
    </row>
    <row r="440" customFormat="false" ht="15" hidden="false" customHeight="true" outlineLevel="0" collapsed="false">
      <c r="AL440" s="17"/>
    </row>
    <row r="441" customFormat="false" ht="15" hidden="false" customHeight="true" outlineLevel="0" collapsed="false">
      <c r="AK441" s="268"/>
      <c r="AL441" s="17"/>
    </row>
    <row r="442" customFormat="false" ht="15" hidden="false" customHeight="true" outlineLevel="0" collapsed="false">
      <c r="AK442" s="287"/>
      <c r="AL442" s="17"/>
    </row>
    <row r="443" customFormat="false" ht="15" hidden="false" customHeight="true" outlineLevel="0" collapsed="false">
      <c r="AK443" s="287"/>
      <c r="AL443" s="17"/>
    </row>
    <row r="444" customFormat="false" ht="15" hidden="false" customHeight="true" outlineLevel="0" collapsed="false">
      <c r="AK444" s="287"/>
      <c r="AL444" s="17"/>
    </row>
    <row r="445" customFormat="false" ht="15" hidden="false" customHeight="true" outlineLevel="0" collapsed="false">
      <c r="AK445" s="287"/>
      <c r="AL445" s="17"/>
    </row>
    <row r="446" customFormat="false" ht="15" hidden="false" customHeight="true" outlineLevel="0" collapsed="false">
      <c r="AK446" s="287"/>
      <c r="AL446" s="17"/>
    </row>
    <row r="447" customFormat="false" ht="15" hidden="false" customHeight="true" outlineLevel="0" collapsed="false">
      <c r="AK447" s="287"/>
      <c r="AL447" s="17"/>
    </row>
    <row r="448" customFormat="false" ht="15" hidden="false" customHeight="true" outlineLevel="0" collapsed="false">
      <c r="AK448" s="287"/>
      <c r="AL448" s="17"/>
    </row>
    <row r="449" customFormat="false" ht="15" hidden="false" customHeight="true" outlineLevel="0" collapsed="false">
      <c r="AK449" s="287"/>
      <c r="AL449" s="17"/>
    </row>
    <row r="450" customFormat="false" ht="15" hidden="false" customHeight="true" outlineLevel="0" collapsed="false">
      <c r="AK450" s="287"/>
      <c r="AL450" s="17"/>
    </row>
    <row r="451" customFormat="false" ht="15" hidden="false" customHeight="true" outlineLevel="0" collapsed="false">
      <c r="AK451" s="287"/>
      <c r="AL451" s="17"/>
    </row>
    <row r="452" customFormat="false" ht="15" hidden="false" customHeight="true" outlineLevel="0" collapsed="false">
      <c r="AK452" s="287"/>
      <c r="AL452" s="17"/>
    </row>
    <row r="453" customFormat="false" ht="15" hidden="false" customHeight="true" outlineLevel="0" collapsed="false">
      <c r="AK453" s="287"/>
      <c r="AL453" s="17"/>
    </row>
    <row r="454" customFormat="false" ht="15" hidden="false" customHeight="true" outlineLevel="0" collapsed="false">
      <c r="AK454" s="303"/>
      <c r="AL454" s="17"/>
    </row>
    <row r="455" customFormat="false" ht="15" hidden="false" customHeight="true" outlineLevel="0" collapsed="false">
      <c r="AL455" s="17"/>
    </row>
    <row r="456" customFormat="false" ht="15" hidden="false" customHeight="true" outlineLevel="0" collapsed="false">
      <c r="AK456" s="268"/>
      <c r="AL456" s="17"/>
    </row>
    <row r="457" customFormat="false" ht="15" hidden="false" customHeight="true" outlineLevel="0" collapsed="false">
      <c r="AK457" s="287"/>
      <c r="AL457" s="17"/>
    </row>
    <row r="458" customFormat="false" ht="15" hidden="false" customHeight="true" outlineLevel="0" collapsed="false">
      <c r="AK458" s="287"/>
      <c r="AL458" s="17"/>
    </row>
    <row r="459" customFormat="false" ht="15" hidden="false" customHeight="true" outlineLevel="0" collapsed="false">
      <c r="AK459" s="287"/>
      <c r="AL459" s="17"/>
    </row>
    <row r="460" customFormat="false" ht="15" hidden="false" customHeight="true" outlineLevel="0" collapsed="false">
      <c r="AK460" s="287"/>
      <c r="AL460" s="17"/>
    </row>
    <row r="461" customFormat="false" ht="15" hidden="false" customHeight="true" outlineLevel="0" collapsed="false">
      <c r="AK461" s="287"/>
      <c r="AL461" s="17"/>
    </row>
    <row r="462" customFormat="false" ht="15" hidden="false" customHeight="true" outlineLevel="0" collapsed="false">
      <c r="AK462" s="287"/>
      <c r="AL462" s="17"/>
    </row>
    <row r="463" customFormat="false" ht="15" hidden="false" customHeight="true" outlineLevel="0" collapsed="false">
      <c r="AK463" s="287"/>
      <c r="AL463" s="17"/>
    </row>
    <row r="464" customFormat="false" ht="15" hidden="false" customHeight="true" outlineLevel="0" collapsed="false">
      <c r="AK464" s="287"/>
      <c r="AL464" s="17"/>
    </row>
    <row r="465" customFormat="false" ht="15" hidden="false" customHeight="true" outlineLevel="0" collapsed="false">
      <c r="AK465" s="287"/>
      <c r="AL465" s="17"/>
    </row>
    <row r="466" customFormat="false" ht="15" hidden="false" customHeight="true" outlineLevel="0" collapsed="false">
      <c r="AK466" s="287"/>
      <c r="AL466" s="17"/>
    </row>
    <row r="467" customFormat="false" ht="15" hidden="false" customHeight="true" outlineLevel="0" collapsed="false">
      <c r="AK467" s="287"/>
      <c r="AL467" s="17"/>
    </row>
    <row r="468" customFormat="false" ht="15" hidden="false" customHeight="true" outlineLevel="0" collapsed="false">
      <c r="AK468" s="287"/>
      <c r="AL468" s="17"/>
    </row>
    <row r="469" customFormat="false" ht="15" hidden="false" customHeight="true" outlineLevel="0" collapsed="false">
      <c r="AK469" s="303"/>
      <c r="AL469" s="17"/>
    </row>
    <row r="470" customFormat="false" ht="15" hidden="false" customHeight="true" outlineLevel="0" collapsed="false">
      <c r="AK470" s="303"/>
      <c r="AL470" s="17"/>
    </row>
    <row r="471" customFormat="false" ht="15" hidden="false" customHeight="true" outlineLevel="0" collapsed="false">
      <c r="AK471" s="268"/>
      <c r="AL471" s="17"/>
    </row>
    <row r="472" customFormat="false" ht="15" hidden="false" customHeight="true" outlineLevel="0" collapsed="false">
      <c r="AK472" s="287"/>
      <c r="AL472" s="17"/>
    </row>
    <row r="473" customFormat="false" ht="15" hidden="false" customHeight="true" outlineLevel="0" collapsed="false">
      <c r="AK473" s="287"/>
      <c r="AL473" s="17"/>
    </row>
    <row r="474" customFormat="false" ht="15" hidden="false" customHeight="true" outlineLevel="0" collapsed="false">
      <c r="AK474" s="287"/>
      <c r="AL474" s="17"/>
    </row>
    <row r="475" customFormat="false" ht="15" hidden="false" customHeight="true" outlineLevel="0" collapsed="false">
      <c r="AK475" s="287"/>
      <c r="AL475" s="17"/>
    </row>
    <row r="476" customFormat="false" ht="15" hidden="false" customHeight="true" outlineLevel="0" collapsed="false">
      <c r="AK476" s="287"/>
      <c r="AL476" s="17"/>
    </row>
    <row r="477" customFormat="false" ht="15" hidden="false" customHeight="true" outlineLevel="0" collapsed="false">
      <c r="AK477" s="287"/>
      <c r="AL477" s="17"/>
    </row>
    <row r="478" customFormat="false" ht="15" hidden="false" customHeight="true" outlineLevel="0" collapsed="false">
      <c r="AK478" s="287"/>
      <c r="AL478" s="17"/>
    </row>
    <row r="479" customFormat="false" ht="15" hidden="false" customHeight="true" outlineLevel="0" collapsed="false">
      <c r="AK479" s="287"/>
      <c r="AL479" s="17"/>
    </row>
    <row r="480" customFormat="false" ht="15" hidden="false" customHeight="true" outlineLevel="0" collapsed="false">
      <c r="AK480" s="287"/>
      <c r="AL480" s="17"/>
    </row>
    <row r="481" customFormat="false" ht="15" hidden="false" customHeight="true" outlineLevel="0" collapsed="false">
      <c r="AK481" s="287"/>
      <c r="AL481" s="17"/>
    </row>
    <row r="482" customFormat="false" ht="15" hidden="false" customHeight="true" outlineLevel="0" collapsed="false">
      <c r="AK482" s="287"/>
      <c r="AL482" s="17"/>
    </row>
    <row r="483" customFormat="false" ht="15" hidden="false" customHeight="true" outlineLevel="0" collapsed="false">
      <c r="AK483" s="287"/>
      <c r="AL483" s="17"/>
    </row>
    <row r="484" customFormat="false" ht="15" hidden="false" customHeight="true" outlineLevel="0" collapsed="false">
      <c r="AK484" s="303"/>
      <c r="AL484" s="17"/>
    </row>
    <row r="485" customFormat="false" ht="15" hidden="false" customHeight="true" outlineLevel="0" collapsed="false">
      <c r="AK485" s="303"/>
      <c r="AL485" s="17"/>
    </row>
    <row r="486" customFormat="false" ht="15" hidden="false" customHeight="true" outlineLevel="0" collapsed="false">
      <c r="AK486" s="268"/>
      <c r="AL486" s="17"/>
    </row>
    <row r="487" customFormat="false" ht="15" hidden="false" customHeight="true" outlineLevel="0" collapsed="false">
      <c r="AK487" s="287"/>
      <c r="AL487" s="17"/>
    </row>
    <row r="488" customFormat="false" ht="15" hidden="false" customHeight="true" outlineLevel="0" collapsed="false">
      <c r="AK488" s="287"/>
      <c r="AL488" s="17"/>
    </row>
    <row r="489" customFormat="false" ht="15" hidden="false" customHeight="true" outlineLevel="0" collapsed="false">
      <c r="AK489" s="287"/>
      <c r="AL489" s="17"/>
    </row>
    <row r="490" customFormat="false" ht="15" hidden="false" customHeight="true" outlineLevel="0" collapsed="false">
      <c r="AK490" s="287"/>
      <c r="AL490" s="17"/>
    </row>
    <row r="491" customFormat="false" ht="15" hidden="false" customHeight="true" outlineLevel="0" collapsed="false">
      <c r="AK491" s="287"/>
      <c r="AL491" s="17"/>
    </row>
    <row r="492" customFormat="false" ht="15" hidden="false" customHeight="true" outlineLevel="0" collapsed="false">
      <c r="AK492" s="287"/>
      <c r="AL492" s="17"/>
    </row>
    <row r="493" customFormat="false" ht="15" hidden="false" customHeight="true" outlineLevel="0" collapsed="false">
      <c r="AK493" s="287"/>
      <c r="AL493" s="17"/>
    </row>
    <row r="494" customFormat="false" ht="15" hidden="false" customHeight="true" outlineLevel="0" collapsed="false">
      <c r="AK494" s="287"/>
      <c r="AL494" s="17"/>
    </row>
    <row r="495" customFormat="false" ht="15" hidden="false" customHeight="true" outlineLevel="0" collapsed="false">
      <c r="AK495" s="287"/>
      <c r="AL495" s="17"/>
    </row>
    <row r="496" customFormat="false" ht="15" hidden="false" customHeight="true" outlineLevel="0" collapsed="false">
      <c r="AK496" s="287"/>
      <c r="AL496" s="17"/>
    </row>
    <row r="497" customFormat="false" ht="15" hidden="false" customHeight="true" outlineLevel="0" collapsed="false">
      <c r="AK497" s="287"/>
      <c r="AL497" s="17"/>
    </row>
    <row r="498" customFormat="false" ht="15" hidden="false" customHeight="true" outlineLevel="0" collapsed="false">
      <c r="AK498" s="287"/>
      <c r="AL498" s="17"/>
    </row>
    <row r="499" customFormat="false" ht="15" hidden="false" customHeight="true" outlineLevel="0" collapsed="false">
      <c r="AK499" s="303"/>
      <c r="AL499" s="17"/>
    </row>
    <row r="500" customFormat="false" ht="15" hidden="false" customHeight="true" outlineLevel="0" collapsed="false">
      <c r="AK500" s="303"/>
      <c r="AL500" s="17"/>
    </row>
    <row r="501" customFormat="false" ht="15" hidden="false" customHeight="true" outlineLevel="0" collapsed="false">
      <c r="AK501" s="268"/>
      <c r="AL501" s="17"/>
    </row>
    <row r="502" customFormat="false" ht="15" hidden="false" customHeight="true" outlineLevel="0" collapsed="false">
      <c r="AK502" s="287"/>
      <c r="AL502" s="17"/>
    </row>
    <row r="503" customFormat="false" ht="15" hidden="false" customHeight="true" outlineLevel="0" collapsed="false">
      <c r="AK503" s="287"/>
      <c r="AL503" s="17"/>
    </row>
    <row r="504" customFormat="false" ht="15" hidden="false" customHeight="true" outlineLevel="0" collapsed="false">
      <c r="AK504" s="287"/>
      <c r="AL504" s="17"/>
    </row>
    <row r="505" customFormat="false" ht="15" hidden="false" customHeight="true" outlineLevel="0" collapsed="false">
      <c r="AK505" s="287"/>
      <c r="AL505" s="17"/>
    </row>
    <row r="506" customFormat="false" ht="15" hidden="false" customHeight="true" outlineLevel="0" collapsed="false">
      <c r="AK506" s="287"/>
      <c r="AL506" s="17"/>
    </row>
    <row r="507" customFormat="false" ht="15" hidden="false" customHeight="true" outlineLevel="0" collapsed="false">
      <c r="AK507" s="287"/>
      <c r="AL507" s="17"/>
    </row>
    <row r="508" customFormat="false" ht="15" hidden="false" customHeight="true" outlineLevel="0" collapsed="false">
      <c r="AK508" s="287"/>
      <c r="AL508" s="17"/>
    </row>
    <row r="509" customFormat="false" ht="15" hidden="false" customHeight="true" outlineLevel="0" collapsed="false">
      <c r="AK509" s="287"/>
      <c r="AL509" s="17"/>
    </row>
    <row r="510" customFormat="false" ht="15" hidden="false" customHeight="true" outlineLevel="0" collapsed="false">
      <c r="AK510" s="287"/>
      <c r="AL510" s="17"/>
    </row>
    <row r="511" customFormat="false" ht="15" hidden="false" customHeight="true" outlineLevel="0" collapsed="false">
      <c r="AK511" s="287"/>
      <c r="AL511" s="17"/>
    </row>
    <row r="512" customFormat="false" ht="15" hidden="false" customHeight="true" outlineLevel="0" collapsed="false">
      <c r="AK512" s="287"/>
      <c r="AL512" s="17"/>
    </row>
    <row r="513" customFormat="false" ht="15" hidden="false" customHeight="true" outlineLevel="0" collapsed="false">
      <c r="AK513" s="287"/>
      <c r="AL513" s="17"/>
    </row>
    <row r="514" customFormat="false" ht="15" hidden="false" customHeight="true" outlineLevel="0" collapsed="false">
      <c r="AK514" s="303"/>
      <c r="AL514" s="17"/>
    </row>
    <row r="515" customFormat="false" ht="15" hidden="false" customHeight="true" outlineLevel="0" collapsed="false">
      <c r="AK515" s="303"/>
      <c r="AL515" s="17"/>
    </row>
    <row r="516" customFormat="false" ht="15" hidden="false" customHeight="true" outlineLevel="0" collapsed="false">
      <c r="AK516" s="268"/>
      <c r="AL516" s="17"/>
    </row>
    <row r="517" customFormat="false" ht="15" hidden="false" customHeight="true" outlineLevel="0" collapsed="false">
      <c r="AK517" s="287"/>
      <c r="AL517" s="17"/>
    </row>
    <row r="518" customFormat="false" ht="15" hidden="false" customHeight="true" outlineLevel="0" collapsed="false">
      <c r="AK518" s="287"/>
      <c r="AL518" s="17"/>
    </row>
    <row r="519" customFormat="false" ht="15" hidden="false" customHeight="true" outlineLevel="0" collapsed="false">
      <c r="AK519" s="287"/>
      <c r="AL519" s="17"/>
    </row>
    <row r="520" customFormat="false" ht="15" hidden="false" customHeight="true" outlineLevel="0" collapsed="false">
      <c r="AK520" s="287"/>
      <c r="AL520" s="17"/>
    </row>
    <row r="521" customFormat="false" ht="15" hidden="false" customHeight="true" outlineLevel="0" collapsed="false">
      <c r="AK521" s="287"/>
      <c r="AL521" s="17"/>
    </row>
    <row r="522" customFormat="false" ht="15" hidden="false" customHeight="true" outlineLevel="0" collapsed="false">
      <c r="AK522" s="287"/>
      <c r="AL522" s="17"/>
    </row>
    <row r="523" customFormat="false" ht="15" hidden="false" customHeight="true" outlineLevel="0" collapsed="false">
      <c r="AK523" s="287"/>
      <c r="AL523" s="17"/>
    </row>
    <row r="524" customFormat="false" ht="15" hidden="false" customHeight="true" outlineLevel="0" collapsed="false">
      <c r="AK524" s="287"/>
      <c r="AL524" s="17"/>
    </row>
    <row r="525" customFormat="false" ht="15" hidden="false" customHeight="true" outlineLevel="0" collapsed="false">
      <c r="AK525" s="287"/>
      <c r="AL525" s="17"/>
    </row>
    <row r="526" customFormat="false" ht="15" hidden="false" customHeight="true" outlineLevel="0" collapsed="false">
      <c r="AK526" s="287"/>
      <c r="AL526" s="17"/>
    </row>
    <row r="527" customFormat="false" ht="15" hidden="false" customHeight="true" outlineLevel="0" collapsed="false">
      <c r="AK527" s="287"/>
      <c r="AL527" s="17"/>
    </row>
    <row r="528" customFormat="false" ht="15" hidden="false" customHeight="true" outlineLevel="0" collapsed="false">
      <c r="AK528" s="287"/>
      <c r="AL528" s="17"/>
    </row>
    <row r="529" customFormat="false" ht="15" hidden="false" customHeight="true" outlineLevel="0" collapsed="false">
      <c r="AK529" s="303"/>
      <c r="AL529" s="17"/>
    </row>
    <row r="530" customFormat="false" ht="15" hidden="false" customHeight="true" outlineLevel="0" collapsed="false">
      <c r="AK530" s="303"/>
      <c r="AL530" s="17"/>
    </row>
    <row r="531" customFormat="false" ht="15" hidden="false" customHeight="true" outlineLevel="0" collapsed="false">
      <c r="AK531" s="268"/>
      <c r="AL531" s="17"/>
    </row>
    <row r="532" customFormat="false" ht="15" hidden="false" customHeight="true" outlineLevel="0" collapsed="false">
      <c r="AK532" s="287"/>
      <c r="AL532" s="17"/>
    </row>
    <row r="533" customFormat="false" ht="15" hidden="false" customHeight="true" outlineLevel="0" collapsed="false">
      <c r="AK533" s="287"/>
      <c r="AL533" s="17"/>
    </row>
    <row r="534" customFormat="false" ht="15" hidden="false" customHeight="true" outlineLevel="0" collapsed="false">
      <c r="AK534" s="287"/>
      <c r="AL534" s="17"/>
    </row>
    <row r="535" customFormat="false" ht="15" hidden="false" customHeight="true" outlineLevel="0" collapsed="false">
      <c r="AK535" s="287"/>
      <c r="AL535" s="17"/>
    </row>
    <row r="536" customFormat="false" ht="15" hidden="false" customHeight="true" outlineLevel="0" collapsed="false">
      <c r="AK536" s="287"/>
      <c r="AL536" s="17"/>
    </row>
    <row r="537" customFormat="false" ht="15" hidden="false" customHeight="true" outlineLevel="0" collapsed="false">
      <c r="AK537" s="287"/>
      <c r="AL537" s="17"/>
    </row>
    <row r="538" customFormat="false" ht="15" hidden="false" customHeight="true" outlineLevel="0" collapsed="false">
      <c r="AK538" s="287"/>
      <c r="AL538" s="17"/>
    </row>
    <row r="539" customFormat="false" ht="15" hidden="false" customHeight="true" outlineLevel="0" collapsed="false">
      <c r="AK539" s="287"/>
      <c r="AL539" s="17"/>
    </row>
    <row r="540" customFormat="false" ht="15" hidden="false" customHeight="true" outlineLevel="0" collapsed="false">
      <c r="AK540" s="287"/>
      <c r="AL540" s="17"/>
    </row>
    <row r="541" customFormat="false" ht="15" hidden="false" customHeight="true" outlineLevel="0" collapsed="false">
      <c r="AK541" s="287"/>
      <c r="AL541" s="17"/>
    </row>
    <row r="542" customFormat="false" ht="15" hidden="false" customHeight="true" outlineLevel="0" collapsed="false">
      <c r="AK542" s="287"/>
      <c r="AL542" s="17"/>
    </row>
    <row r="543" customFormat="false" ht="15" hidden="false" customHeight="true" outlineLevel="0" collapsed="false">
      <c r="AK543" s="287"/>
      <c r="AL543" s="17"/>
    </row>
    <row r="544" customFormat="false" ht="15" hidden="false" customHeight="true" outlineLevel="0" collapsed="false">
      <c r="AK544" s="303"/>
      <c r="AL544" s="17"/>
    </row>
    <row r="545" customFormat="false" ht="15" hidden="false" customHeight="true" outlineLevel="0" collapsed="false">
      <c r="AK545" s="303"/>
      <c r="AL545" s="17"/>
    </row>
    <row r="546" customFormat="false" ht="15" hidden="false" customHeight="true" outlineLevel="0" collapsed="false">
      <c r="AK546" s="268"/>
      <c r="AL546" s="17"/>
    </row>
    <row r="547" customFormat="false" ht="15" hidden="false" customHeight="true" outlineLevel="0" collapsed="false">
      <c r="AK547" s="287"/>
      <c r="AL547" s="17"/>
    </row>
    <row r="548" customFormat="false" ht="15" hidden="false" customHeight="true" outlineLevel="0" collapsed="false">
      <c r="AK548" s="287"/>
      <c r="AL548" s="17"/>
    </row>
    <row r="549" customFormat="false" ht="15" hidden="false" customHeight="true" outlineLevel="0" collapsed="false">
      <c r="AK549" s="287"/>
      <c r="AL549" s="17"/>
    </row>
    <row r="550" customFormat="false" ht="15" hidden="false" customHeight="true" outlineLevel="0" collapsed="false">
      <c r="AK550" s="287"/>
      <c r="AL550" s="17"/>
    </row>
    <row r="551" customFormat="false" ht="15" hidden="false" customHeight="true" outlineLevel="0" collapsed="false">
      <c r="AK551" s="287"/>
      <c r="AL551" s="17"/>
    </row>
    <row r="552" customFormat="false" ht="15" hidden="false" customHeight="true" outlineLevel="0" collapsed="false">
      <c r="AK552" s="287"/>
      <c r="AL552" s="17"/>
    </row>
    <row r="553" customFormat="false" ht="15" hidden="false" customHeight="true" outlineLevel="0" collapsed="false">
      <c r="AK553" s="287"/>
      <c r="AL553" s="17"/>
    </row>
    <row r="554" customFormat="false" ht="15" hidden="false" customHeight="true" outlineLevel="0" collapsed="false">
      <c r="AK554" s="287"/>
      <c r="AL554" s="17"/>
    </row>
    <row r="555" customFormat="false" ht="15" hidden="false" customHeight="true" outlineLevel="0" collapsed="false">
      <c r="AK555" s="287"/>
      <c r="AL555" s="17"/>
    </row>
    <row r="556" customFormat="false" ht="15" hidden="false" customHeight="true" outlineLevel="0" collapsed="false">
      <c r="AK556" s="287"/>
      <c r="AL556" s="17"/>
    </row>
    <row r="557" customFormat="false" ht="15" hidden="false" customHeight="true" outlineLevel="0" collapsed="false">
      <c r="AK557" s="287"/>
      <c r="AL557" s="17"/>
    </row>
    <row r="558" customFormat="false" ht="15" hidden="false" customHeight="true" outlineLevel="0" collapsed="false">
      <c r="AK558" s="287"/>
      <c r="AL558" s="17"/>
    </row>
    <row r="559" customFormat="false" ht="15" hidden="false" customHeight="true" outlineLevel="0" collapsed="false">
      <c r="AK559" s="303"/>
      <c r="AL559" s="17"/>
    </row>
    <row r="560" customFormat="false" ht="15" hidden="false" customHeight="true" outlineLevel="0" collapsed="false">
      <c r="AK560" s="303"/>
      <c r="AL560" s="17"/>
    </row>
    <row r="561" customFormat="false" ht="15" hidden="false" customHeight="true" outlineLevel="0" collapsed="false">
      <c r="AK561" s="268"/>
      <c r="AL561" s="17"/>
    </row>
    <row r="562" customFormat="false" ht="15" hidden="false" customHeight="true" outlineLevel="0" collapsed="false">
      <c r="AK562" s="287"/>
      <c r="AL562" s="17"/>
    </row>
    <row r="563" customFormat="false" ht="15" hidden="false" customHeight="true" outlineLevel="0" collapsed="false">
      <c r="AK563" s="287"/>
      <c r="AL563" s="17"/>
    </row>
    <row r="564" customFormat="false" ht="15" hidden="false" customHeight="true" outlineLevel="0" collapsed="false">
      <c r="AK564" s="287"/>
      <c r="AL564" s="17"/>
    </row>
    <row r="565" customFormat="false" ht="15" hidden="false" customHeight="true" outlineLevel="0" collapsed="false">
      <c r="AK565" s="287"/>
      <c r="AL565" s="17"/>
    </row>
    <row r="566" customFormat="false" ht="15" hidden="false" customHeight="true" outlineLevel="0" collapsed="false">
      <c r="AK566" s="287"/>
      <c r="AL566" s="17"/>
    </row>
    <row r="567" customFormat="false" ht="15" hidden="false" customHeight="true" outlineLevel="0" collapsed="false">
      <c r="AK567" s="287"/>
      <c r="AL567" s="17"/>
    </row>
    <row r="568" customFormat="false" ht="15" hidden="false" customHeight="true" outlineLevel="0" collapsed="false">
      <c r="AK568" s="287"/>
      <c r="AL568" s="17"/>
    </row>
    <row r="569" customFormat="false" ht="15" hidden="false" customHeight="true" outlineLevel="0" collapsed="false">
      <c r="AK569" s="287"/>
      <c r="AL569" s="17"/>
    </row>
    <row r="570" customFormat="false" ht="15" hidden="false" customHeight="true" outlineLevel="0" collapsed="false">
      <c r="AK570" s="287"/>
      <c r="AL570" s="17"/>
    </row>
    <row r="571" customFormat="false" ht="15" hidden="false" customHeight="true" outlineLevel="0" collapsed="false">
      <c r="AK571" s="287"/>
      <c r="AL571" s="17"/>
    </row>
    <row r="572" customFormat="false" ht="15" hidden="false" customHeight="true" outlineLevel="0" collapsed="false">
      <c r="AK572" s="287"/>
      <c r="AL572" s="17"/>
    </row>
    <row r="573" customFormat="false" ht="15" hidden="false" customHeight="true" outlineLevel="0" collapsed="false">
      <c r="AK573" s="287"/>
      <c r="AL573" s="17"/>
    </row>
    <row r="574" customFormat="false" ht="15" hidden="false" customHeight="true" outlineLevel="0" collapsed="false">
      <c r="AK574" s="303"/>
      <c r="AL574" s="17"/>
    </row>
    <row r="575" customFormat="false" ht="15" hidden="false" customHeight="true" outlineLevel="0" collapsed="false">
      <c r="AK575" s="303"/>
      <c r="AL575" s="17"/>
    </row>
    <row r="576" customFormat="false" ht="15" hidden="false" customHeight="true" outlineLevel="0" collapsed="false">
      <c r="AK576" s="268"/>
      <c r="AL576" s="17"/>
    </row>
    <row r="577" customFormat="false" ht="15" hidden="false" customHeight="true" outlineLevel="0" collapsed="false">
      <c r="AK577" s="287"/>
      <c r="AL577" s="17"/>
    </row>
    <row r="578" customFormat="false" ht="15" hidden="false" customHeight="true" outlineLevel="0" collapsed="false">
      <c r="AK578" s="287"/>
      <c r="AL578" s="17"/>
    </row>
    <row r="579" customFormat="false" ht="15" hidden="false" customHeight="true" outlineLevel="0" collapsed="false">
      <c r="AK579" s="287"/>
      <c r="AL579" s="17"/>
    </row>
    <row r="580" customFormat="false" ht="15" hidden="false" customHeight="true" outlineLevel="0" collapsed="false">
      <c r="AK580" s="287"/>
      <c r="AL580" s="17"/>
    </row>
    <row r="581" customFormat="false" ht="15" hidden="false" customHeight="true" outlineLevel="0" collapsed="false">
      <c r="AK581" s="287"/>
      <c r="AL581" s="17"/>
    </row>
    <row r="582" customFormat="false" ht="15" hidden="false" customHeight="true" outlineLevel="0" collapsed="false">
      <c r="AK582" s="287"/>
      <c r="AL582" s="17"/>
    </row>
    <row r="583" customFormat="false" ht="15" hidden="false" customHeight="true" outlineLevel="0" collapsed="false">
      <c r="AK583" s="287"/>
      <c r="AL583" s="17"/>
    </row>
    <row r="584" customFormat="false" ht="15" hidden="false" customHeight="true" outlineLevel="0" collapsed="false">
      <c r="AK584" s="287"/>
      <c r="AL584" s="17"/>
    </row>
    <row r="585" customFormat="false" ht="15" hidden="false" customHeight="true" outlineLevel="0" collapsed="false">
      <c r="AK585" s="287"/>
      <c r="AL585" s="17"/>
    </row>
    <row r="586" customFormat="false" ht="15" hidden="false" customHeight="true" outlineLevel="0" collapsed="false">
      <c r="AK586" s="287"/>
      <c r="AL586" s="17"/>
    </row>
    <row r="587" customFormat="false" ht="15" hidden="false" customHeight="true" outlineLevel="0" collapsed="false">
      <c r="AK587" s="287"/>
      <c r="AL587" s="17"/>
    </row>
    <row r="588" customFormat="false" ht="15" hidden="false" customHeight="true" outlineLevel="0" collapsed="false">
      <c r="AK588" s="287"/>
      <c r="AL588" s="17"/>
    </row>
    <row r="589" customFormat="false" ht="15" hidden="false" customHeight="true" outlineLevel="0" collapsed="false">
      <c r="AK589" s="303"/>
      <c r="AL589" s="17"/>
    </row>
    <row r="590" customFormat="false" ht="15" hidden="false" customHeight="true" outlineLevel="0" collapsed="false">
      <c r="AK590" s="303"/>
      <c r="AL590" s="17"/>
    </row>
    <row r="591" customFormat="false" ht="15" hidden="false" customHeight="true" outlineLevel="0" collapsed="false">
      <c r="AK591" s="268"/>
      <c r="AL591" s="17"/>
    </row>
    <row r="592" customFormat="false" ht="15" hidden="false" customHeight="true" outlineLevel="0" collapsed="false">
      <c r="AK592" s="287"/>
      <c r="AL592" s="17"/>
    </row>
    <row r="593" customFormat="false" ht="15" hidden="false" customHeight="true" outlineLevel="0" collapsed="false">
      <c r="AK593" s="287"/>
      <c r="AL593" s="17"/>
    </row>
    <row r="594" customFormat="false" ht="15" hidden="false" customHeight="true" outlineLevel="0" collapsed="false">
      <c r="AK594" s="287"/>
      <c r="AL594" s="17"/>
    </row>
    <row r="595" customFormat="false" ht="15" hidden="false" customHeight="true" outlineLevel="0" collapsed="false">
      <c r="AK595" s="287"/>
      <c r="AL595" s="17"/>
    </row>
    <row r="596" customFormat="false" ht="15" hidden="false" customHeight="true" outlineLevel="0" collapsed="false">
      <c r="AK596" s="287"/>
      <c r="AL596" s="17"/>
    </row>
    <row r="597" customFormat="false" ht="15" hidden="false" customHeight="true" outlineLevel="0" collapsed="false">
      <c r="AK597" s="287"/>
      <c r="AL597" s="17"/>
    </row>
    <row r="598" customFormat="false" ht="15" hidden="false" customHeight="true" outlineLevel="0" collapsed="false">
      <c r="AK598" s="287"/>
      <c r="AL598" s="17"/>
    </row>
    <row r="599" customFormat="false" ht="15" hidden="false" customHeight="true" outlineLevel="0" collapsed="false">
      <c r="AK599" s="287"/>
      <c r="AL599" s="17"/>
    </row>
    <row r="600" customFormat="false" ht="15" hidden="false" customHeight="true" outlineLevel="0" collapsed="false">
      <c r="AK600" s="287"/>
      <c r="AL600" s="17"/>
    </row>
    <row r="601" customFormat="false" ht="15" hidden="false" customHeight="true" outlineLevel="0" collapsed="false">
      <c r="AK601" s="287"/>
      <c r="AL601" s="17"/>
    </row>
    <row r="602" customFormat="false" ht="15" hidden="false" customHeight="true" outlineLevel="0" collapsed="false">
      <c r="AK602" s="287"/>
      <c r="AL602" s="17"/>
    </row>
    <row r="603" customFormat="false" ht="15" hidden="false" customHeight="true" outlineLevel="0" collapsed="false">
      <c r="AK603" s="287"/>
      <c r="AL603" s="17"/>
    </row>
    <row r="604" customFormat="false" ht="15" hidden="false" customHeight="true" outlineLevel="0" collapsed="false">
      <c r="AK604" s="303"/>
      <c r="AL604" s="17"/>
    </row>
    <row r="605" customFormat="false" ht="15" hidden="false" customHeight="true" outlineLevel="0" collapsed="false">
      <c r="AK605" s="303"/>
      <c r="AL605" s="17"/>
    </row>
    <row r="606" customFormat="false" ht="15" hidden="false" customHeight="true" outlineLevel="0" collapsed="false">
      <c r="AK606" s="268"/>
      <c r="AL606" s="17"/>
    </row>
    <row r="607" customFormat="false" ht="15" hidden="false" customHeight="true" outlineLevel="0" collapsed="false">
      <c r="AK607" s="287"/>
      <c r="AL607" s="17"/>
    </row>
    <row r="608" customFormat="false" ht="15" hidden="false" customHeight="true" outlineLevel="0" collapsed="false">
      <c r="AK608" s="287"/>
      <c r="AL608" s="17"/>
    </row>
    <row r="609" customFormat="false" ht="15" hidden="false" customHeight="true" outlineLevel="0" collapsed="false">
      <c r="AK609" s="287"/>
      <c r="AL609" s="17"/>
    </row>
    <row r="610" customFormat="false" ht="15" hidden="false" customHeight="true" outlineLevel="0" collapsed="false">
      <c r="AK610" s="287"/>
      <c r="AL610" s="17"/>
    </row>
    <row r="611" customFormat="false" ht="15" hidden="false" customHeight="true" outlineLevel="0" collapsed="false">
      <c r="AK611" s="287"/>
      <c r="AL611" s="17"/>
    </row>
    <row r="612" customFormat="false" ht="15" hidden="false" customHeight="true" outlineLevel="0" collapsed="false">
      <c r="AK612" s="287"/>
      <c r="AL612" s="17"/>
    </row>
    <row r="613" customFormat="false" ht="15" hidden="false" customHeight="true" outlineLevel="0" collapsed="false">
      <c r="AK613" s="287"/>
      <c r="AL613" s="17"/>
    </row>
    <row r="614" customFormat="false" ht="15" hidden="false" customHeight="true" outlineLevel="0" collapsed="false">
      <c r="AK614" s="287"/>
      <c r="AL614" s="17"/>
    </row>
    <row r="615" customFormat="false" ht="15" hidden="false" customHeight="true" outlineLevel="0" collapsed="false">
      <c r="AK615" s="287"/>
      <c r="AL615" s="17"/>
    </row>
    <row r="616" customFormat="false" ht="15" hidden="false" customHeight="true" outlineLevel="0" collapsed="false">
      <c r="AK616" s="287"/>
      <c r="AL616" s="17"/>
    </row>
    <row r="617" customFormat="false" ht="15" hidden="false" customHeight="true" outlineLevel="0" collapsed="false">
      <c r="AK617" s="287"/>
      <c r="AL617" s="17"/>
    </row>
    <row r="618" customFormat="false" ht="15" hidden="false" customHeight="true" outlineLevel="0" collapsed="false">
      <c r="AK618" s="287"/>
      <c r="AL618" s="17"/>
    </row>
    <row r="619" customFormat="false" ht="15" hidden="false" customHeight="true" outlineLevel="0" collapsed="false">
      <c r="AK619" s="303"/>
      <c r="AL619" s="17"/>
    </row>
    <row r="620" customFormat="false" ht="15" hidden="false" customHeight="true" outlineLevel="0" collapsed="false">
      <c r="AL620" s="17"/>
    </row>
    <row r="621" customFormat="false" ht="15" hidden="false" customHeight="true" outlineLevel="0" collapsed="false">
      <c r="AK621" s="268"/>
      <c r="AL621" s="17"/>
    </row>
    <row r="622" customFormat="false" ht="15" hidden="false" customHeight="true" outlineLevel="0" collapsed="false">
      <c r="AK622" s="287"/>
      <c r="AL622" s="17"/>
    </row>
    <row r="623" customFormat="false" ht="15" hidden="false" customHeight="true" outlineLevel="0" collapsed="false">
      <c r="AK623" s="287"/>
      <c r="AL623" s="17"/>
    </row>
    <row r="624" customFormat="false" ht="15" hidden="false" customHeight="true" outlineLevel="0" collapsed="false">
      <c r="AK624" s="287"/>
      <c r="AL624" s="17"/>
    </row>
    <row r="625" customFormat="false" ht="15" hidden="false" customHeight="true" outlineLevel="0" collapsed="false">
      <c r="AK625" s="287"/>
      <c r="AL625" s="17"/>
    </row>
    <row r="626" customFormat="false" ht="15" hidden="false" customHeight="true" outlineLevel="0" collapsed="false">
      <c r="AK626" s="287"/>
      <c r="AL626" s="17"/>
    </row>
    <row r="627" customFormat="false" ht="15" hidden="false" customHeight="true" outlineLevel="0" collapsed="false">
      <c r="AK627" s="287"/>
      <c r="AL627" s="17"/>
    </row>
    <row r="628" customFormat="false" ht="15" hidden="false" customHeight="true" outlineLevel="0" collapsed="false">
      <c r="AK628" s="287"/>
      <c r="AL628" s="17"/>
    </row>
    <row r="629" customFormat="false" ht="15" hidden="false" customHeight="true" outlineLevel="0" collapsed="false">
      <c r="AK629" s="287"/>
      <c r="AL629" s="17"/>
    </row>
    <row r="630" customFormat="false" ht="15" hidden="false" customHeight="true" outlineLevel="0" collapsed="false">
      <c r="AK630" s="287"/>
      <c r="AL630" s="17"/>
    </row>
    <row r="631" customFormat="false" ht="15" hidden="false" customHeight="true" outlineLevel="0" collapsed="false">
      <c r="AK631" s="287"/>
      <c r="AL631" s="17"/>
    </row>
    <row r="632" customFormat="false" ht="15" hidden="false" customHeight="true" outlineLevel="0" collapsed="false">
      <c r="AK632" s="287"/>
      <c r="AL632" s="17"/>
    </row>
    <row r="633" customFormat="false" ht="15" hidden="false" customHeight="true" outlineLevel="0" collapsed="false">
      <c r="AK633" s="287"/>
      <c r="AL633" s="17"/>
    </row>
    <row r="634" customFormat="false" ht="15" hidden="false" customHeight="true" outlineLevel="0" collapsed="false">
      <c r="AK634" s="303"/>
      <c r="AL634" s="17"/>
    </row>
    <row r="635" customFormat="false" ht="15" hidden="false" customHeight="true" outlineLevel="0" collapsed="false">
      <c r="AL635" s="17"/>
    </row>
    <row r="636" customFormat="false" ht="15" hidden="false" customHeight="true" outlineLevel="0" collapsed="false">
      <c r="AK636" s="268"/>
      <c r="AL636" s="17"/>
    </row>
    <row r="637" customFormat="false" ht="15" hidden="false" customHeight="true" outlineLevel="0" collapsed="false">
      <c r="AK637" s="287"/>
      <c r="AL637" s="17"/>
    </row>
    <row r="638" customFormat="false" ht="15" hidden="false" customHeight="true" outlineLevel="0" collapsed="false">
      <c r="AK638" s="287"/>
      <c r="AL638" s="17"/>
    </row>
    <row r="639" customFormat="false" ht="15" hidden="false" customHeight="true" outlineLevel="0" collapsed="false">
      <c r="AK639" s="287"/>
      <c r="AL639" s="17"/>
    </row>
    <row r="640" customFormat="false" ht="15" hidden="false" customHeight="true" outlineLevel="0" collapsed="false">
      <c r="AK640" s="287"/>
      <c r="AL640" s="17"/>
    </row>
    <row r="641" customFormat="false" ht="15" hidden="false" customHeight="true" outlineLevel="0" collapsed="false">
      <c r="AK641" s="287"/>
      <c r="AL641" s="17"/>
    </row>
    <row r="642" customFormat="false" ht="15" hidden="false" customHeight="true" outlineLevel="0" collapsed="false">
      <c r="AK642" s="287"/>
      <c r="AL642" s="17"/>
    </row>
    <row r="643" customFormat="false" ht="15" hidden="false" customHeight="true" outlineLevel="0" collapsed="false">
      <c r="AK643" s="287"/>
      <c r="AL643" s="17"/>
    </row>
    <row r="644" customFormat="false" ht="15" hidden="false" customHeight="true" outlineLevel="0" collapsed="false">
      <c r="AK644" s="287"/>
      <c r="AL644" s="17"/>
    </row>
    <row r="645" customFormat="false" ht="15" hidden="false" customHeight="true" outlineLevel="0" collapsed="false">
      <c r="AK645" s="287"/>
      <c r="AL645" s="17"/>
    </row>
    <row r="646" customFormat="false" ht="15" hidden="false" customHeight="true" outlineLevel="0" collapsed="false">
      <c r="AK646" s="287"/>
      <c r="AL646" s="17"/>
    </row>
    <row r="647" customFormat="false" ht="15" hidden="false" customHeight="true" outlineLevel="0" collapsed="false">
      <c r="AK647" s="287"/>
      <c r="AL647" s="17"/>
    </row>
    <row r="648" customFormat="false" ht="15" hidden="false" customHeight="true" outlineLevel="0" collapsed="false">
      <c r="AK648" s="287"/>
      <c r="AL648" s="17"/>
    </row>
    <row r="649" customFormat="false" ht="15" hidden="false" customHeight="true" outlineLevel="0" collapsed="false">
      <c r="AK649" s="303"/>
      <c r="AL649" s="17"/>
    </row>
    <row r="650" customFormat="false" ht="15" hidden="false" customHeight="true" outlineLevel="0" collapsed="false">
      <c r="AL650" s="17"/>
    </row>
    <row r="651" customFormat="false" ht="15" hidden="false" customHeight="true" outlineLevel="0" collapsed="false">
      <c r="AK651" s="268"/>
      <c r="AL651" s="17"/>
    </row>
    <row r="652" customFormat="false" ht="15" hidden="false" customHeight="true" outlineLevel="0" collapsed="false">
      <c r="AK652" s="287"/>
      <c r="AL652" s="17"/>
    </row>
    <row r="653" customFormat="false" ht="15" hidden="false" customHeight="true" outlineLevel="0" collapsed="false">
      <c r="AK653" s="287"/>
      <c r="AL653" s="17"/>
    </row>
    <row r="654" customFormat="false" ht="15" hidden="false" customHeight="true" outlineLevel="0" collapsed="false">
      <c r="AK654" s="287"/>
      <c r="AL654" s="17"/>
    </row>
    <row r="655" customFormat="false" ht="15" hidden="false" customHeight="true" outlineLevel="0" collapsed="false">
      <c r="AK655" s="287"/>
      <c r="AL655" s="17"/>
    </row>
    <row r="656" customFormat="false" ht="15" hidden="false" customHeight="true" outlineLevel="0" collapsed="false">
      <c r="AK656" s="287"/>
      <c r="AL656" s="17"/>
    </row>
    <row r="657" customFormat="false" ht="15" hidden="false" customHeight="true" outlineLevel="0" collapsed="false">
      <c r="AK657" s="287"/>
      <c r="AL657" s="17"/>
    </row>
    <row r="658" customFormat="false" ht="15" hidden="false" customHeight="true" outlineLevel="0" collapsed="false">
      <c r="AK658" s="287"/>
      <c r="AL658" s="17"/>
    </row>
    <row r="659" customFormat="false" ht="15" hidden="false" customHeight="true" outlineLevel="0" collapsed="false">
      <c r="AK659" s="287"/>
      <c r="AL659" s="17"/>
    </row>
    <row r="660" customFormat="false" ht="15" hidden="false" customHeight="true" outlineLevel="0" collapsed="false">
      <c r="AK660" s="287"/>
      <c r="AL660" s="17"/>
    </row>
    <row r="661" customFormat="false" ht="15" hidden="false" customHeight="true" outlineLevel="0" collapsed="false">
      <c r="AK661" s="287"/>
      <c r="AL661" s="17"/>
    </row>
    <row r="662" customFormat="false" ht="15" hidden="false" customHeight="true" outlineLevel="0" collapsed="false">
      <c r="AK662" s="287"/>
      <c r="AL662" s="17"/>
    </row>
    <row r="663" customFormat="false" ht="15" hidden="false" customHeight="true" outlineLevel="0" collapsed="false">
      <c r="AK663" s="287"/>
      <c r="AL663" s="17"/>
    </row>
    <row r="664" customFormat="false" ht="15" hidden="false" customHeight="true" outlineLevel="0" collapsed="false">
      <c r="AK664" s="303"/>
      <c r="AL664" s="17"/>
    </row>
    <row r="665" customFormat="false" ht="15" hidden="false" customHeight="true" outlineLevel="0" collapsed="false">
      <c r="AL665" s="17"/>
    </row>
    <row r="666" customFormat="false" ht="15" hidden="false" customHeight="true" outlineLevel="0" collapsed="false">
      <c r="AK666" s="268"/>
      <c r="AL666" s="17"/>
    </row>
    <row r="667" customFormat="false" ht="15" hidden="false" customHeight="true" outlineLevel="0" collapsed="false">
      <c r="AK667" s="287"/>
      <c r="AL667" s="17"/>
    </row>
    <row r="668" customFormat="false" ht="15" hidden="false" customHeight="true" outlineLevel="0" collapsed="false">
      <c r="AK668" s="287"/>
      <c r="AL668" s="17"/>
    </row>
    <row r="669" customFormat="false" ht="15" hidden="false" customHeight="true" outlineLevel="0" collapsed="false">
      <c r="AK669" s="287"/>
      <c r="AL669" s="17"/>
    </row>
    <row r="670" customFormat="false" ht="15" hidden="false" customHeight="true" outlineLevel="0" collapsed="false">
      <c r="AK670" s="287"/>
      <c r="AL670" s="17"/>
    </row>
    <row r="671" customFormat="false" ht="15" hidden="false" customHeight="true" outlineLevel="0" collapsed="false">
      <c r="AK671" s="287"/>
      <c r="AL671" s="17"/>
    </row>
    <row r="672" customFormat="false" ht="15" hidden="false" customHeight="true" outlineLevel="0" collapsed="false">
      <c r="AK672" s="287"/>
      <c r="AL672" s="17"/>
    </row>
    <row r="673" customFormat="false" ht="15" hidden="false" customHeight="true" outlineLevel="0" collapsed="false">
      <c r="AK673" s="287"/>
      <c r="AL673" s="17"/>
    </row>
    <row r="674" customFormat="false" ht="15" hidden="false" customHeight="true" outlineLevel="0" collapsed="false">
      <c r="AK674" s="287"/>
      <c r="AL674" s="17"/>
    </row>
    <row r="675" customFormat="false" ht="15" hidden="false" customHeight="true" outlineLevel="0" collapsed="false">
      <c r="AK675" s="287"/>
      <c r="AL675" s="17"/>
    </row>
    <row r="676" customFormat="false" ht="15" hidden="false" customHeight="true" outlineLevel="0" collapsed="false">
      <c r="AK676" s="287"/>
      <c r="AL676" s="17"/>
    </row>
    <row r="677" customFormat="false" ht="15" hidden="false" customHeight="true" outlineLevel="0" collapsed="false">
      <c r="AK677" s="287"/>
      <c r="AL677" s="17"/>
    </row>
    <row r="678" customFormat="false" ht="15" hidden="false" customHeight="true" outlineLevel="0" collapsed="false">
      <c r="AK678" s="287"/>
      <c r="AL678" s="17"/>
    </row>
    <row r="679" customFormat="false" ht="15" hidden="false" customHeight="true" outlineLevel="0" collapsed="false">
      <c r="AK679" s="303"/>
      <c r="AL679" s="17"/>
    </row>
    <row r="680" customFormat="false" ht="15" hidden="false" customHeight="true" outlineLevel="0" collapsed="false">
      <c r="AL680" s="17"/>
    </row>
    <row r="681" customFormat="false" ht="15" hidden="false" customHeight="true" outlineLevel="0" collapsed="false">
      <c r="AK681" s="268"/>
      <c r="AL681" s="17"/>
    </row>
    <row r="682" customFormat="false" ht="15" hidden="false" customHeight="true" outlineLevel="0" collapsed="false">
      <c r="AK682" s="287"/>
      <c r="AL682" s="17"/>
    </row>
    <row r="683" customFormat="false" ht="15" hidden="false" customHeight="true" outlineLevel="0" collapsed="false">
      <c r="AK683" s="287"/>
      <c r="AL683" s="17"/>
    </row>
    <row r="684" customFormat="false" ht="15" hidden="false" customHeight="true" outlineLevel="0" collapsed="false">
      <c r="AK684" s="287"/>
      <c r="AL684" s="17"/>
    </row>
    <row r="685" customFormat="false" ht="15" hidden="false" customHeight="true" outlineLevel="0" collapsed="false">
      <c r="AK685" s="287"/>
      <c r="AL685" s="17"/>
    </row>
    <row r="686" customFormat="false" ht="15" hidden="false" customHeight="true" outlineLevel="0" collapsed="false">
      <c r="AK686" s="287"/>
      <c r="AL686" s="17"/>
    </row>
    <row r="687" customFormat="false" ht="15" hidden="false" customHeight="true" outlineLevel="0" collapsed="false">
      <c r="AK687" s="287"/>
      <c r="AL687" s="17"/>
    </row>
    <row r="688" customFormat="false" ht="15" hidden="false" customHeight="true" outlineLevel="0" collapsed="false">
      <c r="AK688" s="287"/>
      <c r="AL688" s="17"/>
    </row>
    <row r="689" customFormat="false" ht="15" hidden="false" customHeight="true" outlineLevel="0" collapsed="false">
      <c r="AK689" s="287"/>
      <c r="AL689" s="17"/>
    </row>
    <row r="690" customFormat="false" ht="15" hidden="false" customHeight="true" outlineLevel="0" collapsed="false">
      <c r="AK690" s="287"/>
      <c r="AL690" s="17"/>
    </row>
    <row r="691" customFormat="false" ht="15" hidden="false" customHeight="true" outlineLevel="0" collapsed="false">
      <c r="AK691" s="287"/>
      <c r="AL691" s="17"/>
    </row>
    <row r="692" customFormat="false" ht="15" hidden="false" customHeight="true" outlineLevel="0" collapsed="false">
      <c r="AK692" s="287"/>
      <c r="AL692" s="17"/>
    </row>
    <row r="693" customFormat="false" ht="15" hidden="false" customHeight="true" outlineLevel="0" collapsed="false">
      <c r="AK693" s="287"/>
      <c r="AL693" s="17"/>
    </row>
    <row r="694" customFormat="false" ht="15" hidden="false" customHeight="true" outlineLevel="0" collapsed="false">
      <c r="AK694" s="303"/>
      <c r="AL694" s="17"/>
    </row>
    <row r="695" customFormat="false" ht="15" hidden="false" customHeight="true" outlineLevel="0" collapsed="false">
      <c r="AL695" s="17"/>
    </row>
    <row r="696" customFormat="false" ht="15" hidden="false" customHeight="true" outlineLevel="0" collapsed="false">
      <c r="AK696" s="268"/>
      <c r="AL696" s="17"/>
    </row>
    <row r="697" customFormat="false" ht="15" hidden="false" customHeight="true" outlineLevel="0" collapsed="false">
      <c r="AK697" s="287"/>
      <c r="AL697" s="17"/>
    </row>
    <row r="698" customFormat="false" ht="15" hidden="false" customHeight="true" outlineLevel="0" collapsed="false">
      <c r="AK698" s="287"/>
      <c r="AL698" s="17"/>
    </row>
    <row r="699" customFormat="false" ht="15" hidden="false" customHeight="true" outlineLevel="0" collapsed="false">
      <c r="AK699" s="287"/>
      <c r="AL699" s="17"/>
    </row>
    <row r="700" customFormat="false" ht="15" hidden="false" customHeight="true" outlineLevel="0" collapsed="false">
      <c r="AK700" s="287"/>
      <c r="AL700" s="17"/>
    </row>
    <row r="701" customFormat="false" ht="15" hidden="false" customHeight="true" outlineLevel="0" collapsed="false">
      <c r="AK701" s="287"/>
      <c r="AL701" s="17"/>
    </row>
    <row r="702" customFormat="false" ht="15" hidden="false" customHeight="true" outlineLevel="0" collapsed="false">
      <c r="AK702" s="287"/>
      <c r="AL702" s="17"/>
    </row>
    <row r="703" customFormat="false" ht="15" hidden="false" customHeight="true" outlineLevel="0" collapsed="false">
      <c r="AK703" s="287"/>
      <c r="AL703" s="17"/>
    </row>
    <row r="704" customFormat="false" ht="15" hidden="false" customHeight="true" outlineLevel="0" collapsed="false">
      <c r="AK704" s="287"/>
      <c r="AL704" s="17"/>
    </row>
    <row r="705" customFormat="false" ht="15" hidden="false" customHeight="true" outlineLevel="0" collapsed="false">
      <c r="AK705" s="287"/>
      <c r="AL705" s="17"/>
    </row>
    <row r="706" customFormat="false" ht="15" hidden="false" customHeight="true" outlineLevel="0" collapsed="false">
      <c r="AK706" s="287"/>
      <c r="AL706" s="17"/>
    </row>
    <row r="707" customFormat="false" ht="15" hidden="false" customHeight="true" outlineLevel="0" collapsed="false">
      <c r="AK707" s="287"/>
      <c r="AL707" s="17"/>
    </row>
    <row r="708" customFormat="false" ht="15" hidden="false" customHeight="true" outlineLevel="0" collapsed="false">
      <c r="AK708" s="287"/>
      <c r="AL708" s="17"/>
    </row>
    <row r="709" customFormat="false" ht="15" hidden="false" customHeight="true" outlineLevel="0" collapsed="false">
      <c r="AK709" s="303"/>
      <c r="AL709" s="17"/>
    </row>
    <row r="710" customFormat="false" ht="15" hidden="false" customHeight="true" outlineLevel="0" collapsed="false">
      <c r="AK710" s="303"/>
      <c r="AL710" s="17"/>
    </row>
    <row r="711" customFormat="false" ht="15" hidden="false" customHeight="true" outlineLevel="0" collapsed="false">
      <c r="AK711" s="268"/>
      <c r="AL711" s="17"/>
    </row>
    <row r="712" customFormat="false" ht="15" hidden="false" customHeight="true" outlineLevel="0" collapsed="false">
      <c r="AK712" s="287"/>
      <c r="AL712" s="17"/>
    </row>
    <row r="713" customFormat="false" ht="15" hidden="false" customHeight="true" outlineLevel="0" collapsed="false">
      <c r="AK713" s="287"/>
      <c r="AL713" s="17"/>
    </row>
    <row r="714" customFormat="false" ht="15" hidden="false" customHeight="true" outlineLevel="0" collapsed="false">
      <c r="AK714" s="287"/>
      <c r="AL714" s="17"/>
    </row>
    <row r="715" customFormat="false" ht="15" hidden="false" customHeight="true" outlineLevel="0" collapsed="false">
      <c r="AK715" s="287"/>
      <c r="AL715" s="17"/>
    </row>
    <row r="716" customFormat="false" ht="15" hidden="false" customHeight="true" outlineLevel="0" collapsed="false">
      <c r="AK716" s="287"/>
      <c r="AL716" s="17"/>
    </row>
    <row r="717" customFormat="false" ht="15" hidden="false" customHeight="true" outlineLevel="0" collapsed="false">
      <c r="AK717" s="287"/>
      <c r="AL717" s="17"/>
    </row>
    <row r="718" customFormat="false" ht="15" hidden="false" customHeight="true" outlineLevel="0" collapsed="false">
      <c r="AK718" s="287"/>
      <c r="AL718" s="17"/>
    </row>
    <row r="719" customFormat="false" ht="15" hidden="false" customHeight="true" outlineLevel="0" collapsed="false">
      <c r="AK719" s="287"/>
      <c r="AL719" s="17"/>
    </row>
    <row r="720" customFormat="false" ht="15" hidden="false" customHeight="true" outlineLevel="0" collapsed="false">
      <c r="AK720" s="287"/>
      <c r="AL720" s="17"/>
    </row>
    <row r="721" customFormat="false" ht="15" hidden="false" customHeight="true" outlineLevel="0" collapsed="false">
      <c r="AK721" s="287"/>
      <c r="AL721" s="17"/>
    </row>
    <row r="722" customFormat="false" ht="15" hidden="false" customHeight="true" outlineLevel="0" collapsed="false">
      <c r="AK722" s="287"/>
      <c r="AL722" s="17"/>
    </row>
    <row r="723" customFormat="false" ht="15" hidden="false" customHeight="true" outlineLevel="0" collapsed="false">
      <c r="AK723" s="287"/>
      <c r="AL723" s="17"/>
    </row>
    <row r="724" customFormat="false" ht="15" hidden="false" customHeight="true" outlineLevel="0" collapsed="false">
      <c r="AK724" s="303"/>
      <c r="AL724" s="17"/>
    </row>
    <row r="725" customFormat="false" ht="15" hidden="false" customHeight="true" outlineLevel="0" collapsed="false">
      <c r="AK725" s="303"/>
      <c r="AL725" s="17"/>
    </row>
    <row r="726" customFormat="false" ht="15" hidden="false" customHeight="true" outlineLevel="0" collapsed="false">
      <c r="AK726" s="268"/>
      <c r="AL726" s="17"/>
    </row>
    <row r="727" customFormat="false" ht="15" hidden="false" customHeight="true" outlineLevel="0" collapsed="false">
      <c r="AK727" s="287"/>
      <c r="AL727" s="17"/>
    </row>
    <row r="728" customFormat="false" ht="15" hidden="false" customHeight="true" outlineLevel="0" collapsed="false">
      <c r="AK728" s="287"/>
      <c r="AL728" s="17"/>
    </row>
    <row r="729" customFormat="false" ht="15" hidden="false" customHeight="true" outlineLevel="0" collapsed="false">
      <c r="AK729" s="287"/>
      <c r="AL729" s="17"/>
    </row>
    <row r="730" customFormat="false" ht="15" hidden="false" customHeight="true" outlineLevel="0" collapsed="false">
      <c r="AK730" s="287"/>
      <c r="AL730" s="17"/>
    </row>
    <row r="731" customFormat="false" ht="15" hidden="false" customHeight="true" outlineLevel="0" collapsed="false">
      <c r="AK731" s="287"/>
      <c r="AL731" s="17"/>
    </row>
    <row r="732" customFormat="false" ht="15" hidden="false" customHeight="true" outlineLevel="0" collapsed="false">
      <c r="AK732" s="287"/>
      <c r="AL732" s="17"/>
    </row>
    <row r="733" customFormat="false" ht="15" hidden="false" customHeight="true" outlineLevel="0" collapsed="false">
      <c r="AK733" s="287"/>
      <c r="AL733" s="17"/>
    </row>
    <row r="734" customFormat="false" ht="15" hidden="false" customHeight="true" outlineLevel="0" collapsed="false">
      <c r="AK734" s="287"/>
      <c r="AL734" s="17"/>
    </row>
    <row r="735" customFormat="false" ht="15" hidden="false" customHeight="true" outlineLevel="0" collapsed="false">
      <c r="AK735" s="287"/>
      <c r="AL735" s="17"/>
    </row>
    <row r="736" customFormat="false" ht="15" hidden="false" customHeight="true" outlineLevel="0" collapsed="false">
      <c r="AK736" s="287"/>
      <c r="AL736" s="17"/>
    </row>
    <row r="737" customFormat="false" ht="15" hidden="false" customHeight="true" outlineLevel="0" collapsed="false">
      <c r="AK737" s="287"/>
      <c r="AL737" s="17"/>
    </row>
    <row r="738" customFormat="false" ht="15" hidden="false" customHeight="true" outlineLevel="0" collapsed="false">
      <c r="AK738" s="287"/>
      <c r="AL738" s="17"/>
    </row>
    <row r="739" customFormat="false" ht="15" hidden="false" customHeight="true" outlineLevel="0" collapsed="false">
      <c r="AK739" s="303"/>
      <c r="AL739" s="17"/>
    </row>
    <row r="740" customFormat="false" ht="15" hidden="false" customHeight="true" outlineLevel="0" collapsed="false">
      <c r="AK740" s="303"/>
      <c r="AL740" s="17"/>
    </row>
    <row r="741" customFormat="false" ht="15" hidden="false" customHeight="true" outlineLevel="0" collapsed="false">
      <c r="AK741" s="268"/>
      <c r="AL741" s="17"/>
    </row>
    <row r="742" customFormat="false" ht="15" hidden="false" customHeight="true" outlineLevel="0" collapsed="false">
      <c r="AK742" s="287"/>
      <c r="AL742" s="17"/>
    </row>
    <row r="743" customFormat="false" ht="15" hidden="false" customHeight="true" outlineLevel="0" collapsed="false">
      <c r="AK743" s="287"/>
      <c r="AL743" s="17"/>
    </row>
    <row r="744" customFormat="false" ht="15" hidden="false" customHeight="true" outlineLevel="0" collapsed="false">
      <c r="AK744" s="287"/>
      <c r="AL744" s="17"/>
    </row>
    <row r="745" customFormat="false" ht="15" hidden="false" customHeight="true" outlineLevel="0" collapsed="false">
      <c r="AK745" s="287"/>
      <c r="AL745" s="17"/>
    </row>
    <row r="746" customFormat="false" ht="15" hidden="false" customHeight="true" outlineLevel="0" collapsed="false">
      <c r="AK746" s="287"/>
      <c r="AL746" s="17"/>
    </row>
    <row r="747" customFormat="false" ht="15" hidden="false" customHeight="true" outlineLevel="0" collapsed="false">
      <c r="AK747" s="287"/>
      <c r="AL747" s="17"/>
    </row>
    <row r="748" customFormat="false" ht="15" hidden="false" customHeight="true" outlineLevel="0" collapsed="false">
      <c r="AK748" s="287"/>
      <c r="AL748" s="17"/>
    </row>
    <row r="749" customFormat="false" ht="15" hidden="false" customHeight="true" outlineLevel="0" collapsed="false">
      <c r="AK749" s="287"/>
      <c r="AL749" s="17"/>
    </row>
    <row r="750" customFormat="false" ht="15" hidden="false" customHeight="true" outlineLevel="0" collapsed="false">
      <c r="AK750" s="287"/>
      <c r="AL750" s="17"/>
    </row>
    <row r="751" customFormat="false" ht="15" hidden="false" customHeight="true" outlineLevel="0" collapsed="false">
      <c r="AK751" s="287"/>
      <c r="AL751" s="17"/>
    </row>
    <row r="752" customFormat="false" ht="15" hidden="false" customHeight="true" outlineLevel="0" collapsed="false">
      <c r="AK752" s="287"/>
      <c r="AL752" s="17"/>
    </row>
    <row r="753" customFormat="false" ht="15" hidden="false" customHeight="true" outlineLevel="0" collapsed="false">
      <c r="AK753" s="287"/>
      <c r="AL753" s="17"/>
    </row>
    <row r="754" customFormat="false" ht="15" hidden="false" customHeight="true" outlineLevel="0" collapsed="false">
      <c r="AK754" s="303"/>
      <c r="AL754" s="17"/>
    </row>
    <row r="755" customFormat="false" ht="15" hidden="false" customHeight="true" outlineLevel="0" collapsed="false">
      <c r="AK755" s="303"/>
      <c r="AL755" s="17"/>
    </row>
    <row r="756" customFormat="false" ht="15" hidden="false" customHeight="true" outlineLevel="0" collapsed="false">
      <c r="AK756" s="268"/>
      <c r="AL756" s="17"/>
    </row>
    <row r="757" customFormat="false" ht="15" hidden="false" customHeight="true" outlineLevel="0" collapsed="false">
      <c r="AK757" s="287"/>
      <c r="AL757" s="17"/>
    </row>
    <row r="758" customFormat="false" ht="15" hidden="false" customHeight="true" outlineLevel="0" collapsed="false">
      <c r="AK758" s="287"/>
      <c r="AL758" s="17"/>
    </row>
    <row r="759" customFormat="false" ht="15" hidden="false" customHeight="true" outlineLevel="0" collapsed="false">
      <c r="AK759" s="287"/>
      <c r="AL759" s="17"/>
    </row>
    <row r="760" customFormat="false" ht="15" hidden="false" customHeight="true" outlineLevel="0" collapsed="false">
      <c r="AK760" s="287"/>
      <c r="AL760" s="17"/>
    </row>
    <row r="761" customFormat="false" ht="15" hidden="false" customHeight="true" outlineLevel="0" collapsed="false">
      <c r="AK761" s="287"/>
      <c r="AL761" s="17"/>
    </row>
    <row r="762" customFormat="false" ht="15" hidden="false" customHeight="true" outlineLevel="0" collapsed="false">
      <c r="AK762" s="287"/>
      <c r="AL762" s="313"/>
    </row>
    <row r="763" customFormat="false" ht="15" hidden="false" customHeight="true" outlineLevel="0" collapsed="false">
      <c r="AK763" s="287"/>
      <c r="AL763" s="313"/>
    </row>
    <row r="764" customFormat="false" ht="15" hidden="false" customHeight="true" outlineLevel="0" collapsed="false">
      <c r="AK764" s="287"/>
      <c r="AL764" s="313"/>
    </row>
    <row r="765" customFormat="false" ht="15" hidden="false" customHeight="true" outlineLevel="0" collapsed="false">
      <c r="AK765" s="287"/>
      <c r="AL765" s="313"/>
    </row>
    <row r="766" customFormat="false" ht="15" hidden="false" customHeight="true" outlineLevel="0" collapsed="false">
      <c r="AK766" s="287"/>
    </row>
    <row r="767" customFormat="false" ht="15" hidden="false" customHeight="true" outlineLevel="0" collapsed="false">
      <c r="AK767" s="287"/>
    </row>
    <row r="768" customFormat="false" ht="15" hidden="false" customHeight="true" outlineLevel="0" collapsed="false">
      <c r="AK768" s="287"/>
    </row>
    <row r="769" customFormat="false" ht="15" hidden="false" customHeight="true" outlineLevel="0" collapsed="false">
      <c r="AK769" s="303"/>
    </row>
    <row r="770" customFormat="false" ht="15" hidden="false" customHeight="true" outlineLevel="0" collapsed="false">
      <c r="AK770" s="303"/>
    </row>
    <row r="771" customFormat="false" ht="15" hidden="false" customHeight="true" outlineLevel="0" collapsed="false">
      <c r="AK771" s="268"/>
    </row>
    <row r="772" customFormat="false" ht="15" hidden="false" customHeight="true" outlineLevel="0" collapsed="false">
      <c r="AK772" s="287"/>
    </row>
    <row r="773" customFormat="false" ht="15" hidden="false" customHeight="true" outlineLevel="0" collapsed="false">
      <c r="AK773" s="287"/>
    </row>
    <row r="774" customFormat="false" ht="15" hidden="false" customHeight="true" outlineLevel="0" collapsed="false">
      <c r="AK774" s="287"/>
    </row>
    <row r="775" customFormat="false" ht="15" hidden="false" customHeight="true" outlineLevel="0" collapsed="false">
      <c r="AK775" s="287"/>
    </row>
    <row r="776" customFormat="false" ht="15" hidden="false" customHeight="true" outlineLevel="0" collapsed="false">
      <c r="AK776" s="287"/>
    </row>
    <row r="777" customFormat="false" ht="15" hidden="false" customHeight="true" outlineLevel="0" collapsed="false">
      <c r="AK777" s="287"/>
    </row>
    <row r="778" customFormat="false" ht="15" hidden="false" customHeight="true" outlineLevel="0" collapsed="false">
      <c r="AK778" s="287"/>
    </row>
    <row r="779" customFormat="false" ht="15" hidden="false" customHeight="true" outlineLevel="0" collapsed="false">
      <c r="AK779" s="287"/>
    </row>
    <row r="780" customFormat="false" ht="15" hidden="false" customHeight="true" outlineLevel="0" collapsed="false">
      <c r="AK780" s="287"/>
    </row>
    <row r="781" customFormat="false" ht="15" hidden="false" customHeight="true" outlineLevel="0" collapsed="false">
      <c r="AK781" s="287"/>
    </row>
    <row r="782" customFormat="false" ht="15" hidden="false" customHeight="true" outlineLevel="0" collapsed="false">
      <c r="AK782" s="287"/>
    </row>
    <row r="783" customFormat="false" ht="15" hidden="false" customHeight="true" outlineLevel="0" collapsed="false">
      <c r="AK783" s="287"/>
    </row>
    <row r="784" customFormat="false" ht="15" hidden="false" customHeight="true" outlineLevel="0" collapsed="false">
      <c r="AK784" s="303"/>
    </row>
    <row r="785" customFormat="false" ht="15" hidden="false" customHeight="true" outlineLevel="0" collapsed="false">
      <c r="AK785" s="303"/>
    </row>
    <row r="786" customFormat="false" ht="15" hidden="false" customHeight="true" outlineLevel="0" collapsed="false">
      <c r="AK786" s="268"/>
    </row>
    <row r="787" customFormat="false" ht="15" hidden="false" customHeight="true" outlineLevel="0" collapsed="false">
      <c r="AK787" s="287"/>
    </row>
    <row r="788" customFormat="false" ht="15" hidden="false" customHeight="true" outlineLevel="0" collapsed="false">
      <c r="AK788" s="287"/>
    </row>
    <row r="789" customFormat="false" ht="15" hidden="false" customHeight="true" outlineLevel="0" collapsed="false">
      <c r="AK789" s="287"/>
    </row>
    <row r="790" customFormat="false" ht="15" hidden="false" customHeight="true" outlineLevel="0" collapsed="false">
      <c r="AK790" s="287"/>
    </row>
    <row r="791" customFormat="false" ht="15" hidden="false" customHeight="true" outlineLevel="0" collapsed="false">
      <c r="AK791" s="287"/>
    </row>
    <row r="792" customFormat="false" ht="15" hidden="false" customHeight="true" outlineLevel="0" collapsed="false">
      <c r="AK792" s="287"/>
    </row>
    <row r="793" customFormat="false" ht="15" hidden="false" customHeight="true" outlineLevel="0" collapsed="false">
      <c r="AK793" s="287"/>
    </row>
    <row r="794" customFormat="false" ht="15" hidden="false" customHeight="true" outlineLevel="0" collapsed="false">
      <c r="AK794" s="287"/>
    </row>
    <row r="795" customFormat="false" ht="15" hidden="false" customHeight="true" outlineLevel="0" collapsed="false">
      <c r="AK795" s="287"/>
    </row>
    <row r="796" customFormat="false" ht="15" hidden="false" customHeight="true" outlineLevel="0" collapsed="false">
      <c r="AK796" s="287"/>
    </row>
    <row r="797" customFormat="false" ht="15" hidden="false" customHeight="true" outlineLevel="0" collapsed="false">
      <c r="AK797" s="287"/>
    </row>
    <row r="798" customFormat="false" ht="15" hidden="false" customHeight="true" outlineLevel="0" collapsed="false">
      <c r="AK798" s="287"/>
    </row>
    <row r="799" customFormat="false" ht="15" hidden="false" customHeight="true" outlineLevel="0" collapsed="false">
      <c r="AK799" s="303"/>
    </row>
    <row r="800" customFormat="false" ht="15" hidden="false" customHeight="true" outlineLevel="0" collapsed="false">
      <c r="AK800" s="303"/>
    </row>
    <row r="801" customFormat="false" ht="15" hidden="false" customHeight="true" outlineLevel="0" collapsed="false">
      <c r="AK801" s="268"/>
    </row>
    <row r="802" customFormat="false" ht="15" hidden="false" customHeight="true" outlineLevel="0" collapsed="false">
      <c r="AK802" s="287"/>
    </row>
    <row r="803" customFormat="false" ht="15" hidden="false" customHeight="true" outlineLevel="0" collapsed="false">
      <c r="AK803" s="287"/>
    </row>
    <row r="804" customFormat="false" ht="15" hidden="false" customHeight="true" outlineLevel="0" collapsed="false">
      <c r="AK804" s="287"/>
    </row>
    <row r="805" customFormat="false" ht="15" hidden="false" customHeight="true" outlineLevel="0" collapsed="false">
      <c r="AK805" s="287"/>
    </row>
    <row r="806" customFormat="false" ht="15" hidden="false" customHeight="true" outlineLevel="0" collapsed="false">
      <c r="AK806" s="287"/>
    </row>
    <row r="807" customFormat="false" ht="15" hidden="false" customHeight="true" outlineLevel="0" collapsed="false">
      <c r="AK807" s="287"/>
    </row>
    <row r="808" customFormat="false" ht="15" hidden="false" customHeight="true" outlineLevel="0" collapsed="false">
      <c r="AK808" s="287"/>
    </row>
    <row r="809" customFormat="false" ht="15" hidden="false" customHeight="true" outlineLevel="0" collapsed="false">
      <c r="AK809" s="287"/>
    </row>
    <row r="810" customFormat="false" ht="15" hidden="false" customHeight="true" outlineLevel="0" collapsed="false">
      <c r="AK810" s="287"/>
    </row>
    <row r="811" customFormat="false" ht="15" hidden="false" customHeight="true" outlineLevel="0" collapsed="false">
      <c r="AK811" s="287"/>
    </row>
    <row r="812" customFormat="false" ht="15" hidden="false" customHeight="true" outlineLevel="0" collapsed="false">
      <c r="AK812" s="287"/>
    </row>
    <row r="813" customFormat="false" ht="15" hidden="false" customHeight="true" outlineLevel="0" collapsed="false">
      <c r="AK813" s="287"/>
    </row>
    <row r="814" customFormat="false" ht="15" hidden="false" customHeight="true" outlineLevel="0" collapsed="false">
      <c r="AK814" s="303"/>
    </row>
    <row r="815" customFormat="false" ht="15" hidden="false" customHeight="true" outlineLevel="0" collapsed="false">
      <c r="AK815" s="303"/>
    </row>
    <row r="816" customFormat="false" ht="15" hidden="false" customHeight="true" outlineLevel="0" collapsed="false">
      <c r="AK816" s="268"/>
    </row>
    <row r="817" customFormat="false" ht="15" hidden="false" customHeight="true" outlineLevel="0" collapsed="false">
      <c r="AK817" s="287"/>
    </row>
    <row r="818" customFormat="false" ht="15" hidden="false" customHeight="true" outlineLevel="0" collapsed="false">
      <c r="AK818" s="287"/>
    </row>
    <row r="819" customFormat="false" ht="15" hidden="false" customHeight="true" outlineLevel="0" collapsed="false">
      <c r="AK819" s="287"/>
    </row>
    <row r="820" customFormat="false" ht="15" hidden="false" customHeight="true" outlineLevel="0" collapsed="false">
      <c r="AK820" s="287"/>
    </row>
    <row r="821" customFormat="false" ht="15" hidden="false" customHeight="true" outlineLevel="0" collapsed="false">
      <c r="AK821" s="287"/>
    </row>
    <row r="822" customFormat="false" ht="15" hidden="false" customHeight="true" outlineLevel="0" collapsed="false">
      <c r="AK822" s="287"/>
    </row>
    <row r="823" customFormat="false" ht="15" hidden="false" customHeight="true" outlineLevel="0" collapsed="false">
      <c r="AK823" s="287"/>
    </row>
    <row r="824" customFormat="false" ht="15" hidden="false" customHeight="true" outlineLevel="0" collapsed="false">
      <c r="AK824" s="287"/>
    </row>
    <row r="825" customFormat="false" ht="15" hidden="false" customHeight="true" outlineLevel="0" collapsed="false">
      <c r="AK825" s="287"/>
    </row>
    <row r="826" customFormat="false" ht="15" hidden="false" customHeight="true" outlineLevel="0" collapsed="false">
      <c r="AK826" s="287"/>
    </row>
    <row r="827" customFormat="false" ht="15" hidden="false" customHeight="true" outlineLevel="0" collapsed="false">
      <c r="AK827" s="287"/>
    </row>
    <row r="828" customFormat="false" ht="15" hidden="false" customHeight="true" outlineLevel="0" collapsed="false">
      <c r="AK828" s="287"/>
    </row>
    <row r="829" customFormat="false" ht="15" hidden="false" customHeight="true" outlineLevel="0" collapsed="false">
      <c r="AK829" s="303"/>
    </row>
    <row r="830" customFormat="false" ht="15" hidden="false" customHeight="true" outlineLevel="0" collapsed="false">
      <c r="AK830" s="303"/>
    </row>
    <row r="831" customFormat="false" ht="15" hidden="false" customHeight="true" outlineLevel="0" collapsed="false">
      <c r="AK831" s="268"/>
    </row>
    <row r="832" customFormat="false" ht="15" hidden="false" customHeight="true" outlineLevel="0" collapsed="false">
      <c r="AK832" s="287"/>
    </row>
    <row r="833" customFormat="false" ht="15" hidden="false" customHeight="true" outlineLevel="0" collapsed="false">
      <c r="AK833" s="287"/>
    </row>
    <row r="834" customFormat="false" ht="15" hidden="false" customHeight="true" outlineLevel="0" collapsed="false">
      <c r="AK834" s="287"/>
    </row>
    <row r="835" customFormat="false" ht="15" hidden="false" customHeight="true" outlineLevel="0" collapsed="false">
      <c r="AK835" s="287"/>
    </row>
    <row r="836" customFormat="false" ht="15" hidden="false" customHeight="true" outlineLevel="0" collapsed="false">
      <c r="AK836" s="287"/>
    </row>
    <row r="837" customFormat="false" ht="15" hidden="false" customHeight="true" outlineLevel="0" collapsed="false">
      <c r="AK837" s="287"/>
    </row>
    <row r="838" customFormat="false" ht="15" hidden="false" customHeight="true" outlineLevel="0" collapsed="false">
      <c r="AK838" s="287"/>
    </row>
    <row r="839" customFormat="false" ht="15" hidden="false" customHeight="true" outlineLevel="0" collapsed="false">
      <c r="AK839" s="287"/>
    </row>
    <row r="840" customFormat="false" ht="15" hidden="false" customHeight="true" outlineLevel="0" collapsed="false">
      <c r="AK840" s="287"/>
    </row>
    <row r="841" customFormat="false" ht="15" hidden="false" customHeight="true" outlineLevel="0" collapsed="false">
      <c r="AK841" s="287"/>
    </row>
    <row r="842" customFormat="false" ht="15" hidden="false" customHeight="true" outlineLevel="0" collapsed="false">
      <c r="AK842" s="287"/>
    </row>
    <row r="843" customFormat="false" ht="15" hidden="false" customHeight="true" outlineLevel="0" collapsed="false">
      <c r="AK843" s="287"/>
    </row>
    <row r="844" customFormat="false" ht="15" hidden="false" customHeight="true" outlineLevel="0" collapsed="false">
      <c r="AK844" s="303"/>
    </row>
    <row r="845" customFormat="false" ht="15" hidden="false" customHeight="true" outlineLevel="0" collapsed="false">
      <c r="AK845" s="303"/>
    </row>
    <row r="846" customFormat="false" ht="15" hidden="false" customHeight="true" outlineLevel="0" collapsed="false">
      <c r="AK846" s="303"/>
    </row>
    <row r="847" customFormat="false" ht="15" hidden="false" customHeight="true" outlineLevel="0" collapsed="false">
      <c r="AK847" s="303"/>
    </row>
    <row r="848" customFormat="false" ht="15" hidden="false" customHeight="true" outlineLevel="0" collapsed="false">
      <c r="AK848" s="313"/>
    </row>
    <row r="849" customFormat="false" ht="15" hidden="false" customHeight="true" outlineLevel="0" collapsed="false">
      <c r="AK849" s="313"/>
    </row>
    <row r="850" customFormat="false" ht="15" hidden="false" customHeight="true" outlineLevel="0" collapsed="false">
      <c r="AK850" s="313"/>
    </row>
    <row r="851" customFormat="false" ht="15" hidden="false" customHeight="true" outlineLevel="0" collapsed="false">
      <c r="AK851" s="313"/>
    </row>
    <row r="852" customFormat="false" ht="15" hidden="false" customHeight="true" outlineLevel="0" collapsed="false">
      <c r="AK852" s="313"/>
    </row>
    <row r="853" customFormat="false" ht="15" hidden="false" customHeight="true" outlineLevel="0" collapsed="false">
      <c r="AK853" s="313"/>
    </row>
    <row r="854" customFormat="false" ht="15" hidden="false" customHeight="true" outlineLevel="0" collapsed="false">
      <c r="AK854" s="313"/>
    </row>
    <row r="855" customFormat="false" ht="15" hidden="false" customHeight="true" outlineLevel="0" collapsed="false">
      <c r="AK855" s="313"/>
    </row>
    <row r="856" customFormat="false" ht="15" hidden="false" customHeight="true" outlineLevel="0" collapsed="false">
      <c r="AK856" s="313"/>
    </row>
    <row r="857" customFormat="false" ht="15" hidden="false" customHeight="true" outlineLevel="0" collapsed="false">
      <c r="AK857" s="313"/>
    </row>
    <row r="858" customFormat="false" ht="15" hidden="false" customHeight="true" outlineLevel="0" collapsed="false">
      <c r="AK858" s="313"/>
    </row>
    <row r="859" customFormat="false" ht="15" hidden="false" customHeight="true" outlineLevel="0" collapsed="false">
      <c r="AK859" s="313"/>
    </row>
    <row r="860" customFormat="false" ht="15" hidden="false" customHeight="true" outlineLevel="0" collapsed="false">
      <c r="AK860" s="319"/>
    </row>
    <row r="861" customFormat="false" ht="15" hidden="false" customHeight="true" outlineLevel="0" collapsed="false">
      <c r="AK861" s="319"/>
    </row>
    <row r="863" customFormat="false" ht="15" hidden="false" customHeight="true" outlineLevel="0" collapsed="false">
      <c r="AK863" s="328"/>
    </row>
    <row r="865" customFormat="false" ht="15" hidden="false" customHeight="true" outlineLevel="0" collapsed="false">
      <c r="AK865" s="316"/>
    </row>
  </sheetData>
  <mergeCells count="9">
    <mergeCell ref="A1:C1"/>
    <mergeCell ref="I2:T2"/>
    <mergeCell ref="A3:A5"/>
    <mergeCell ref="B3:B5"/>
    <mergeCell ref="C3:C5"/>
    <mergeCell ref="D3:D5"/>
    <mergeCell ref="E3:E5"/>
    <mergeCell ref="F3:F5"/>
    <mergeCell ref="G3:G5"/>
  </mergeCells>
  <conditionalFormatting sqref="AL1:AL1048576">
    <cfRule type="cellIs" priority="2" operator="equal" aboveAverage="0" equalAverage="0" bottom="0" percent="0" rank="0" text="" dxfId="0">
      <formula>"ERROR"</formula>
    </cfRule>
  </conditionalFormatting>
  <conditionalFormatting sqref="AL7">
    <cfRule type="cellIs" priority="3" operator="equal" aboveAverage="0" equalAverage="0" bottom="0" percent="0" rank="0" text="" dxfId="0">
      <formula>"error"</formula>
    </cfRule>
  </conditionalFormatting>
  <conditionalFormatting sqref="I7:T100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1">
      <formula>1</formula>
    </cfRule>
  </conditionalFormatting>
  <dataValidations count="2">
    <dataValidation allowBlank="true" errorStyle="stop" operator="between" showDropDown="false" showErrorMessage="true" showInputMessage="true" sqref="H7 K7 X7 Z7" type="list">
      <formula1>$BS$15:$BS$16</formula1>
      <formula2>0</formula2>
    </dataValidation>
    <dataValidation allowBlank="true" errorStyle="stop" operator="between" showDropDown="false" showErrorMessage="true" showInputMessage="true" sqref="Y7" type="list">
      <formula1>$BS$9:$BS$11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18" width="13.44"/>
    <col collapsed="false" customWidth="true" hidden="false" outlineLevel="0" max="2" min="2" style="17" width="8.34"/>
    <col collapsed="false" customWidth="true" hidden="false" outlineLevel="0" max="3" min="3" style="17" width="55"/>
    <col collapsed="false" customWidth="true" hidden="false" outlineLevel="0" max="4" min="4" style="341" width="14.33"/>
    <col collapsed="false" customWidth="true" hidden="false" outlineLevel="0" max="5" min="5" style="200" width="14.33"/>
    <col collapsed="false" customWidth="true" hidden="false" outlineLevel="0" max="7" min="6" style="17" width="19.33"/>
    <col collapsed="false" customWidth="true" hidden="false" outlineLevel="0" max="8" min="8" style="17" width="4.67"/>
    <col collapsed="false" customWidth="true" hidden="false" outlineLevel="0" max="20" min="9" style="146" width="13"/>
    <col collapsed="false" customWidth="true" hidden="false" outlineLevel="0" max="21" min="21" style="146" width="4.67"/>
    <col collapsed="false" customWidth="true" hidden="false" outlineLevel="0" max="36" min="22" style="146" width="13"/>
    <col collapsed="false" customWidth="true" hidden="false" outlineLevel="0" max="37" min="37" style="146" width="4.67"/>
    <col collapsed="false" customWidth="true" hidden="false" outlineLevel="0" max="38" min="38" style="146" width="13"/>
    <col collapsed="false" customWidth="false" hidden="false" outlineLevel="0" max="16384" min="39" style="17" width="8.88"/>
  </cols>
  <sheetData>
    <row r="1" s="22" customFormat="true" ht="15" hidden="false" customHeight="true" outlineLevel="0" collapsed="false">
      <c r="A1" s="238" t="s">
        <v>365</v>
      </c>
      <c r="B1" s="238"/>
      <c r="C1" s="238"/>
      <c r="D1" s="342"/>
      <c r="E1" s="343"/>
      <c r="F1" s="342"/>
      <c r="G1" s="342"/>
      <c r="H1" s="240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147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147"/>
      <c r="AI1" s="147"/>
      <c r="AJ1" s="147"/>
      <c r="AK1" s="240"/>
      <c r="AL1" s="239"/>
    </row>
    <row r="2" customFormat="false" ht="15" hidden="false" customHeight="true" outlineLevel="0" collapsed="false">
      <c r="I2" s="244" t="s">
        <v>212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AK2" s="246"/>
      <c r="AL2" s="246"/>
    </row>
    <row r="3" customFormat="false" ht="44.25" hidden="false" customHeight="true" outlineLevel="0" collapsed="false">
      <c r="A3" s="345" t="s">
        <v>263</v>
      </c>
      <c r="B3" s="345" t="s">
        <v>264</v>
      </c>
      <c r="C3" s="345" t="s">
        <v>265</v>
      </c>
      <c r="D3" s="345" t="s">
        <v>266</v>
      </c>
      <c r="E3" s="345" t="s">
        <v>267</v>
      </c>
      <c r="F3" s="345" t="s">
        <v>268</v>
      </c>
      <c r="G3" s="345" t="s">
        <v>269</v>
      </c>
      <c r="H3" s="395"/>
      <c r="I3" s="251" t="str">
        <f aca="false">IF(Summary!$B$15&gt;0,Summary!$B$15,"")</f>
        <v>Automated Document Intelligence Platform</v>
      </c>
      <c r="J3" s="251" t="str">
        <f aca="false">IF(Summary!$B$16&gt;0,Summary!$B$16,"")</f>
        <v>Real-Time Anomaly Detection Engine</v>
      </c>
      <c r="K3" s="251" t="str">
        <f aca="false">IF(Summary!$B$17&gt;0,Summary!$B$17,"")</f>
        <v>Natural Language Query Interface</v>
      </c>
      <c r="L3" s="251" t="str">
        <f aca="false">IF(Summary!$B$18&gt;0,Summary!$B$18,"")</f>
        <v>Predictive Maintenance ML Pipeline</v>
      </c>
      <c r="M3" s="251" t="str">
        <f aca="false">IF(Summary!$B$19&gt;0,Summary!$B$19,"")</f>
        <v>Privacy-Preserving Data Linkage</v>
      </c>
      <c r="N3" s="251" t="str">
        <f aca="false">IF(Summary!$B$20&gt;0,Summary!$B$20,"")</f>
        <v/>
      </c>
      <c r="O3" s="251" t="str">
        <f aca="false">IF(Summary!$B$21&gt;0,Summary!$B$21,"")</f>
        <v/>
      </c>
      <c r="P3" s="251" t="str">
        <f aca="false">IF(Summary!$B$22&gt;0,Summary!$B$22,"")</f>
        <v/>
      </c>
      <c r="Q3" s="251" t="str">
        <f aca="false">IF(Summary!$B$23&gt;0,Summary!$B$23,"")</f>
        <v/>
      </c>
      <c r="R3" s="251" t="str">
        <f aca="false">IF(Summary!$B$24&gt;0,Summary!$B$24,"")</f>
        <v/>
      </c>
      <c r="S3" s="251" t="str">
        <f aca="false">IF(Summary!$B$25&gt;0,Summary!$B$25,"")</f>
        <v/>
      </c>
      <c r="T3" s="251" t="str">
        <f aca="false">IF(Summary!$B$26&gt;0,Summary!$B$26,"")</f>
        <v/>
      </c>
      <c r="U3" s="332"/>
      <c r="V3" s="402" t="str">
        <f aca="false">IF(Summary!$B$15&gt;0,Summary!$B$15,"")</f>
        <v>Automated Document Intelligence Platform</v>
      </c>
      <c r="W3" s="402" t="str">
        <f aca="false">IF(Summary!$B$16&gt;0,Summary!$B$16,"")</f>
        <v>Real-Time Anomaly Detection Engine</v>
      </c>
      <c r="X3" s="402" t="str">
        <f aca="false">IF(Summary!$B$17&gt;0,Summary!$B$17,"")</f>
        <v>Natural Language Query Interface</v>
      </c>
      <c r="Y3" s="402" t="str">
        <f aca="false">IF(Summary!$B$18&gt;0,Summary!$B$18,"")</f>
        <v>Predictive Maintenance ML Pipeline</v>
      </c>
      <c r="Z3" s="402" t="str">
        <f aca="false">IF(Summary!$B$19&gt;0,Summary!$B$19,"")</f>
        <v>Privacy-Preserving Data Linkage</v>
      </c>
      <c r="AA3" s="402" t="str">
        <f aca="false">IF(Summary!$B$20&gt;0,Summary!$B$20,"")</f>
        <v/>
      </c>
      <c r="AB3" s="402" t="str">
        <f aca="false">IF(Summary!$B$21&gt;0,Summary!$B$21,"")</f>
        <v/>
      </c>
      <c r="AC3" s="402" t="str">
        <f aca="false">IF(Summary!$B$22&gt;0,Summary!$B$22,"")</f>
        <v/>
      </c>
      <c r="AD3" s="402" t="str">
        <f aca="false">IF(Summary!$B$23&gt;0,Summary!$B$23,"")</f>
        <v/>
      </c>
      <c r="AE3" s="402" t="str">
        <f aca="false">IF(Summary!$B$24&gt;0,Summary!$B$24,"")</f>
        <v/>
      </c>
      <c r="AF3" s="402" t="str">
        <f aca="false">IF(Summary!$B$25&gt;0,Summary!$B$25,"")</f>
        <v/>
      </c>
      <c r="AG3" s="402" t="str">
        <f aca="false">IF(Summary!$B$26&gt;0,Summary!$B$26,"")</f>
        <v/>
      </c>
      <c r="AH3" s="251" t="s">
        <v>72</v>
      </c>
      <c r="AI3" s="251" t="s">
        <v>69</v>
      </c>
      <c r="AJ3" s="251" t="s">
        <v>74</v>
      </c>
      <c r="AK3" s="249"/>
      <c r="AL3" s="251" t="s">
        <v>104</v>
      </c>
    </row>
    <row r="4" customFormat="false" ht="15" hidden="false" customHeight="true" outlineLevel="0" collapsed="false">
      <c r="A4" s="345"/>
      <c r="B4" s="345"/>
      <c r="C4" s="345"/>
      <c r="D4" s="345"/>
      <c r="E4" s="345"/>
      <c r="F4" s="345"/>
      <c r="G4" s="345"/>
      <c r="H4" s="395"/>
      <c r="I4" s="331" t="str">
        <f aca="false">IF(ISBLANK(Summary!$C$15),"", IF(Summary!$C$15="No", "SME", IF(AND(Summary!$C$15="Yes", Summary!$D$15="Yes"), "De Minimis", "RDEC")))</f>
        <v>SME</v>
      </c>
      <c r="J4" s="331" t="str">
        <f aca="false">IF(ISBLANK(Summary!$C$16),"", IF(Summary!$C$16="No", "SME", IF(AND(Summary!$C$16="Yes", Summary!$D$16="Yes"), "De Minimis", "RDEC")))</f>
        <v>SME</v>
      </c>
      <c r="K4" s="331" t="str">
        <f aca="false">IF(ISBLANK(Summary!$C$17),"", IF(Summary!$C$17="No", "SME", IF(AND(Summary!$C$17="Yes", Summary!$D$17="Yes"), "De Minimis", "RDEC")))</f>
        <v>SME</v>
      </c>
      <c r="L4" s="331" t="str">
        <f aca="false">IF(ISBLANK(Summary!$C$18),"", IF(Summary!$C$18="No", "SME", IF(AND(Summary!$C$18="Yes", Summary!$D$18="Yes"), "De Minimis", "RDEC")))</f>
        <v>RDEC</v>
      </c>
      <c r="M4" s="331" t="str">
        <f aca="false">IF(ISBLANK(Summary!$C$19),"", IF(Summary!$C$19="No", "SME", IF(AND(Summary!$C$19="Yes", Summary!$D$19="Yes"), "De Minimis", "RDEC")))</f>
        <v>SME</v>
      </c>
      <c r="N4" s="331" t="str">
        <f aca="false">IF(ISBLANK(Summary!$C$20),"", IF(Summary!$C$20="No", "SME", IF(AND(Summary!$C$20="Yes", Summary!$D$20="Yes"), "De Minimis", "RDEC")))</f>
        <v/>
      </c>
      <c r="O4" s="331" t="str">
        <f aca="false">IF(ISBLANK(Summary!$C$21),"", IF(Summary!$C$21="No", "SME", IF(AND(Summary!$C$21="Yes", Summary!$D$21="Yes"), "De Minimis", "RDEC")))</f>
        <v/>
      </c>
      <c r="P4" s="331" t="str">
        <f aca="false">IF(ISBLANK(Summary!$C$22),"", IF(Summary!$C$22="No", "SME", IF(AND(Summary!$C$22="Yes", Summary!$D$22="Yes"), "De Minimis", "RDEC")))</f>
        <v/>
      </c>
      <c r="Q4" s="331" t="str">
        <f aca="false">IF(ISBLANK(Summary!$C$23),"", IF(Summary!$C$23="No", "SME", IF(AND(Summary!$C$23="Yes", Summary!$D$23="Yes"), "De Minimis", "RDEC")))</f>
        <v/>
      </c>
      <c r="R4" s="331" t="str">
        <f aca="false">IF(ISBLANK(Summary!$C$24),"", IF(Summary!$C$24="No", "SME", IF(AND(Summary!$C$24="Yes", Summary!$D$24="Yes"), "De Minimis", "RDEC")))</f>
        <v/>
      </c>
      <c r="S4" s="331" t="str">
        <f aca="false">IF(ISBLANK(Summary!$C$25),"", IF(Summary!$C$25="No", "SME", IF(AND(Summary!$C$25="Yes", Summary!$D$25="Yes"), "De Minimis", "RDEC")))</f>
        <v/>
      </c>
      <c r="T4" s="331" t="str">
        <f aca="false">IF(ISBLANK(Summary!$C$26),"", IF(Summary!$C$26="No", "SME", IF(AND(Summary!$C$26="Yes", Summary!$D$26="Yes"), "De Minimis", "RDEC")))</f>
        <v/>
      </c>
      <c r="U4" s="332"/>
      <c r="V4" s="403" t="str">
        <f aca="false">IF(ISBLANK(Summary!$C$15),"", IF(Summary!$C$15="No", "SME", IF(AND(Summary!$C$15="Yes", Summary!$D$15="Yes"), "De Minimis", "RDEC")))</f>
        <v>SME</v>
      </c>
      <c r="W4" s="403" t="str">
        <f aca="false">IF(ISBLANK(Summary!$C$16),"", IF(Summary!$C$16="No", "SME", IF(AND(Summary!$C$16="Yes", Summary!$D$16="Yes"), "De Minimis", "RDEC")))</f>
        <v>SME</v>
      </c>
      <c r="X4" s="403" t="str">
        <f aca="false">IF(ISBLANK(Summary!$C$17),"", IF(Summary!$C$17="No", "SME", IF(AND(Summary!$C$17="Yes", Summary!$D$17="Yes"), "De Minimis", "RDEC")))</f>
        <v>SME</v>
      </c>
      <c r="Y4" s="403" t="str">
        <f aca="false">IF(ISBLANK(Summary!$C$18),"", IF(Summary!$C$18="No", "SME", IF(AND(Summary!$C$18="Yes", Summary!$D$18="Yes"), "De Minimis", "RDEC")))</f>
        <v>RDEC</v>
      </c>
      <c r="Z4" s="403" t="str">
        <f aca="false">IF(ISBLANK(Summary!$C$19),"", IF(Summary!$C$19="No", "SME", IF(AND(Summary!$C$19="Yes", Summary!$D$19="Yes"), "De Minimis", "RDEC")))</f>
        <v>SME</v>
      </c>
      <c r="AA4" s="403" t="str">
        <f aca="false">IF(ISBLANK(Summary!$C$20),"", IF(Summary!$C$20="No", "SME", IF(AND(Summary!$C$20="Yes", Summary!$D$20="Yes"), "De Minimis", "RDEC")))</f>
        <v/>
      </c>
      <c r="AB4" s="403" t="str">
        <f aca="false">IF(ISBLANK(Summary!$C$21),"", IF(Summary!$C$21="No", "SME", IF(AND(Summary!$C$21="Yes", Summary!$D$21="Yes"), "De Minimis", "RDEC")))</f>
        <v/>
      </c>
      <c r="AC4" s="403" t="str">
        <f aca="false">IF(ISBLANK(Summary!$C$22),"", IF(Summary!$C$22="No", "SME", IF(AND(Summary!$C$22="Yes", Summary!$D$22="Yes"), "De Minimis", "RDEC")))</f>
        <v/>
      </c>
      <c r="AD4" s="403" t="str">
        <f aca="false">IF(ISBLANK(Summary!$C$23),"", IF(Summary!$C$23="No", "SME", IF(AND(Summary!$C$23="Yes", Summary!$D$23="Yes"), "De Minimis", "RDEC")))</f>
        <v/>
      </c>
      <c r="AE4" s="403" t="str">
        <f aca="false">IF(ISBLANK(Summary!$C$24),"", IF(Summary!$C$24="No", "SME", IF(AND(Summary!$C$24="Yes", Summary!$D$24="Yes"), "De Minimis", "RDEC")))</f>
        <v/>
      </c>
      <c r="AF4" s="403" t="str">
        <f aca="false">IF(ISBLANK(Summary!$C$25),"", IF(Summary!$C$25="No", "SME", IF(AND(Summary!$C$25="Yes", Summary!$D$25="Yes"), "De Minimis", "RDEC")))</f>
        <v/>
      </c>
      <c r="AG4" s="403" t="str">
        <f aca="false">IF(ISBLANK(Summary!$C$26),"", IF(Summary!$C$26="No", "SME", IF(AND(Summary!$C$26="Yes", Summary!$D$26="Yes"), "De Minimis", "RDEC")))</f>
        <v/>
      </c>
      <c r="AH4" s="258"/>
      <c r="AI4" s="258"/>
      <c r="AJ4" s="258"/>
      <c r="AK4" s="252"/>
      <c r="AL4" s="258"/>
    </row>
    <row r="5" customFormat="false" ht="15" hidden="false" customHeight="true" outlineLevel="0" collapsed="false">
      <c r="A5" s="345"/>
      <c r="B5" s="345"/>
      <c r="C5" s="345"/>
      <c r="D5" s="345"/>
      <c r="E5" s="345"/>
      <c r="F5" s="345"/>
      <c r="G5" s="345"/>
      <c r="I5" s="348" t="s">
        <v>229</v>
      </c>
      <c r="J5" s="348" t="s">
        <v>229</v>
      </c>
      <c r="K5" s="348" t="s">
        <v>229</v>
      </c>
      <c r="L5" s="348" t="s">
        <v>229</v>
      </c>
      <c r="M5" s="348" t="s">
        <v>229</v>
      </c>
      <c r="N5" s="348" t="s">
        <v>229</v>
      </c>
      <c r="O5" s="348" t="s">
        <v>229</v>
      </c>
      <c r="P5" s="348" t="s">
        <v>229</v>
      </c>
      <c r="Q5" s="348" t="s">
        <v>229</v>
      </c>
      <c r="R5" s="348" t="s">
        <v>229</v>
      </c>
      <c r="S5" s="348" t="s">
        <v>229</v>
      </c>
      <c r="T5" s="348" t="s">
        <v>229</v>
      </c>
      <c r="U5" s="190"/>
      <c r="V5" s="404" t="s">
        <v>230</v>
      </c>
      <c r="W5" s="404" t="s">
        <v>230</v>
      </c>
      <c r="X5" s="404" t="s">
        <v>230</v>
      </c>
      <c r="Y5" s="404" t="s">
        <v>230</v>
      </c>
      <c r="Z5" s="404" t="s">
        <v>230</v>
      </c>
      <c r="AA5" s="404" t="s">
        <v>230</v>
      </c>
      <c r="AB5" s="404" t="s">
        <v>230</v>
      </c>
      <c r="AC5" s="404" t="s">
        <v>230</v>
      </c>
      <c r="AD5" s="404" t="s">
        <v>230</v>
      </c>
      <c r="AE5" s="404" t="s">
        <v>230</v>
      </c>
      <c r="AF5" s="404" t="s">
        <v>230</v>
      </c>
      <c r="AG5" s="404" t="s">
        <v>230</v>
      </c>
      <c r="AH5" s="264" t="s">
        <v>230</v>
      </c>
      <c r="AI5" s="264" t="s">
        <v>230</v>
      </c>
      <c r="AJ5" s="264" t="s">
        <v>230</v>
      </c>
      <c r="AK5" s="259"/>
      <c r="AL5" s="265" t="s">
        <v>231</v>
      </c>
    </row>
    <row r="6" customFormat="false" ht="15" hidden="false" customHeight="true" outlineLevel="0" collapsed="false"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68"/>
      <c r="AL6" s="268"/>
    </row>
    <row r="7" customFormat="false" ht="7.5" hidden="false" customHeight="true" outlineLevel="0" collapsed="false">
      <c r="A7" s="340"/>
      <c r="H7" s="350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283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3"/>
      <c r="AI7" s="353"/>
      <c r="AJ7" s="353"/>
      <c r="AK7" s="287"/>
      <c r="AL7" s="354"/>
    </row>
    <row r="8" customFormat="false" ht="15" hidden="false" customHeight="true" outlineLevel="0" collapsed="false">
      <c r="A8" s="340" t="n">
        <v>45327</v>
      </c>
      <c r="B8" s="17" t="s">
        <v>308</v>
      </c>
      <c r="C8" s="17" t="s">
        <v>366</v>
      </c>
      <c r="D8" s="341" t="s">
        <v>367</v>
      </c>
      <c r="E8" s="200" t="n">
        <v>1200</v>
      </c>
      <c r="F8" s="17" t="n">
        <v>7900</v>
      </c>
      <c r="H8" s="350"/>
      <c r="I8" s="282" t="n">
        <v>0.3</v>
      </c>
      <c r="J8" s="282" t="n">
        <v>0.4</v>
      </c>
      <c r="K8" s="282" t="n">
        <v>0.3</v>
      </c>
      <c r="L8" s="282"/>
      <c r="M8" s="282"/>
      <c r="N8" s="282"/>
      <c r="O8" s="282"/>
      <c r="P8" s="282"/>
      <c r="Q8" s="282"/>
      <c r="R8" s="282"/>
      <c r="S8" s="282"/>
      <c r="T8" s="282"/>
      <c r="U8" s="283"/>
      <c r="V8" s="284" t="n">
        <f aca="false">IFERROR(I8*$E8, "")</f>
        <v>360</v>
      </c>
      <c r="W8" s="284" t="n">
        <f aca="false">IFERROR(J8*$E8, "")</f>
        <v>480</v>
      </c>
      <c r="X8" s="284" t="n">
        <f aca="false">IFERROR(K8*$E8, "")</f>
        <v>360</v>
      </c>
      <c r="Y8" s="284" t="n">
        <f aca="false">IFERROR(L8*$E8, "")</f>
        <v>0</v>
      </c>
      <c r="Z8" s="284" t="n">
        <f aca="false">IFERROR(M8*$E8, "")</f>
        <v>0</v>
      </c>
      <c r="AA8" s="284" t="n">
        <f aca="false">IFERROR(N8*$E8, "")</f>
        <v>0</v>
      </c>
      <c r="AB8" s="284" t="n">
        <f aca="false">IFERROR(O8*$E8, "")</f>
        <v>0</v>
      </c>
      <c r="AC8" s="284" t="n">
        <f aca="false">IFERROR(P8*$E8, "")</f>
        <v>0</v>
      </c>
      <c r="AD8" s="284" t="n">
        <f aca="false">IFERROR(Q8*$E8, "")</f>
        <v>0</v>
      </c>
      <c r="AE8" s="284" t="n">
        <f aca="false">IFERROR(R8*$E8, "")</f>
        <v>0</v>
      </c>
      <c r="AF8" s="284" t="n">
        <f aca="false">IFERROR(S8*$E8, "")</f>
        <v>0</v>
      </c>
      <c r="AG8" s="284" t="n">
        <f aca="false">IFERROR(T8*$E8, "")</f>
        <v>0</v>
      </c>
      <c r="AH8" s="286" t="n">
        <f aca="false">IFERROR(SUMIF($V$4:$AG$4, "RDEC", V8:AG8), "")</f>
        <v>0</v>
      </c>
      <c r="AI8" s="286" t="n">
        <f aca="false">IFERROR(SUMIF($V$4:$AG$4, "SME", V8:AG8), "")</f>
        <v>1200</v>
      </c>
      <c r="AJ8" s="286" t="n">
        <f aca="false">IFERROR(SUMIF($V$4:$AG$4, "De Minimis", V8:AG8), "")</f>
        <v>0</v>
      </c>
      <c r="AK8" s="287"/>
      <c r="AL8" s="288" t="str">
        <f aca="false">IF((SUM(I8:T8)&gt;1),"ERROR","")</f>
        <v/>
      </c>
    </row>
    <row r="9" customFormat="false" ht="15" hidden="false" customHeight="true" outlineLevel="0" collapsed="false">
      <c r="A9" s="340" t="n">
        <v>45371</v>
      </c>
      <c r="B9" s="17" t="s">
        <v>308</v>
      </c>
      <c r="C9" s="17" t="s">
        <v>368</v>
      </c>
      <c r="D9" s="341" t="s">
        <v>369</v>
      </c>
      <c r="E9" s="200" t="n">
        <v>1800</v>
      </c>
      <c r="F9" s="17" t="n">
        <v>7900</v>
      </c>
      <c r="H9" s="350"/>
      <c r="I9" s="282"/>
      <c r="J9" s="282" t="n">
        <v>0.5</v>
      </c>
      <c r="K9" s="282"/>
      <c r="L9" s="282" t="n">
        <v>0.25</v>
      </c>
      <c r="M9" s="282" t="n">
        <v>0.25</v>
      </c>
      <c r="N9" s="282"/>
      <c r="O9" s="282"/>
      <c r="P9" s="282"/>
      <c r="Q9" s="282"/>
      <c r="R9" s="282"/>
      <c r="S9" s="282"/>
      <c r="T9" s="282"/>
      <c r="U9" s="283"/>
      <c r="V9" s="284" t="n">
        <f aca="false">IFERROR(I9*$E9, "")</f>
        <v>0</v>
      </c>
      <c r="W9" s="284" t="n">
        <f aca="false">IFERROR(J9*$E9, "")</f>
        <v>900</v>
      </c>
      <c r="X9" s="284" t="n">
        <f aca="false">IFERROR(K9*$E9, "")</f>
        <v>0</v>
      </c>
      <c r="Y9" s="284" t="n">
        <f aca="false">IFERROR(L9*$E9, "")</f>
        <v>450</v>
      </c>
      <c r="Z9" s="284" t="n">
        <f aca="false">IFERROR(M9*$E9, "")</f>
        <v>450</v>
      </c>
      <c r="AA9" s="284" t="n">
        <f aca="false">IFERROR(N9*$E9, "")</f>
        <v>0</v>
      </c>
      <c r="AB9" s="284" t="n">
        <f aca="false">IFERROR(O9*$E9, "")</f>
        <v>0</v>
      </c>
      <c r="AC9" s="284" t="n">
        <f aca="false">IFERROR(P9*$E9, "")</f>
        <v>0</v>
      </c>
      <c r="AD9" s="284" t="n">
        <f aca="false">IFERROR(Q9*$E9, "")</f>
        <v>0</v>
      </c>
      <c r="AE9" s="284" t="n">
        <f aca="false">IFERROR(R9*$E9, "")</f>
        <v>0</v>
      </c>
      <c r="AF9" s="284" t="n">
        <f aca="false">IFERROR(S9*$E9, "")</f>
        <v>0</v>
      </c>
      <c r="AG9" s="284" t="n">
        <f aca="false">IFERROR(T9*$E9, "")</f>
        <v>0</v>
      </c>
      <c r="AH9" s="286" t="n">
        <f aca="false">IFERROR(SUMIF($V$4:$AG$4, "RDEC", V9:AG9), "")</f>
        <v>450</v>
      </c>
      <c r="AI9" s="286" t="n">
        <f aca="false">IFERROR(SUMIF($V$4:$AG$4, "SME", V9:AG9), "")</f>
        <v>1350</v>
      </c>
      <c r="AJ9" s="286" t="n">
        <f aca="false">IFERROR(SUMIF($V$4:$AG$4, "De Minimis", V9:AG9), "")</f>
        <v>0</v>
      </c>
      <c r="AK9" s="287"/>
      <c r="AL9" s="288" t="str">
        <f aca="false">IF((SUM(I9:T9)&gt;1),"ERROR","")</f>
        <v/>
      </c>
    </row>
    <row r="10" customFormat="false" ht="15" hidden="false" customHeight="true" outlineLevel="0" collapsed="false">
      <c r="A10" s="340" t="n">
        <v>45427</v>
      </c>
      <c r="B10" s="17" t="s">
        <v>308</v>
      </c>
      <c r="C10" s="17" t="s">
        <v>370</v>
      </c>
      <c r="D10" s="341" t="s">
        <v>371</v>
      </c>
      <c r="E10" s="200" t="n">
        <v>2500</v>
      </c>
      <c r="F10" s="17" t="n">
        <v>7901</v>
      </c>
      <c r="H10" s="350"/>
      <c r="I10" s="282" t="n">
        <v>0.2</v>
      </c>
      <c r="J10" s="282"/>
      <c r="K10" s="282" t="n">
        <v>0.2</v>
      </c>
      <c r="L10" s="282"/>
      <c r="M10" s="282" t="n">
        <v>0.6</v>
      </c>
      <c r="N10" s="282"/>
      <c r="O10" s="282"/>
      <c r="P10" s="282"/>
      <c r="Q10" s="282"/>
      <c r="R10" s="282"/>
      <c r="S10" s="282"/>
      <c r="T10" s="282"/>
      <c r="U10" s="283"/>
      <c r="V10" s="284" t="n">
        <f aca="false">IFERROR(I10*$E10, "")</f>
        <v>500</v>
      </c>
      <c r="W10" s="284" t="n">
        <f aca="false">IFERROR(J10*$E10, "")</f>
        <v>0</v>
      </c>
      <c r="X10" s="284" t="n">
        <f aca="false">IFERROR(K10*$E10, "")</f>
        <v>500</v>
      </c>
      <c r="Y10" s="284" t="n">
        <f aca="false">IFERROR(L10*$E10, "")</f>
        <v>0</v>
      </c>
      <c r="Z10" s="284" t="n">
        <f aca="false">IFERROR(M10*$E10, "")</f>
        <v>1500</v>
      </c>
      <c r="AA10" s="284" t="n">
        <f aca="false">IFERROR(N10*$E10, "")</f>
        <v>0</v>
      </c>
      <c r="AB10" s="284" t="n">
        <f aca="false">IFERROR(O10*$E10, "")</f>
        <v>0</v>
      </c>
      <c r="AC10" s="284" t="n">
        <f aca="false">IFERROR(P10*$E10, "")</f>
        <v>0</v>
      </c>
      <c r="AD10" s="284" t="n">
        <f aca="false">IFERROR(Q10*$E10, "")</f>
        <v>0</v>
      </c>
      <c r="AE10" s="284" t="n">
        <f aca="false">IFERROR(R10*$E10, "")</f>
        <v>0</v>
      </c>
      <c r="AF10" s="284" t="n">
        <f aca="false">IFERROR(S10*$E10, "")</f>
        <v>0</v>
      </c>
      <c r="AG10" s="284" t="n">
        <f aca="false">IFERROR(T10*$E10, "")</f>
        <v>0</v>
      </c>
      <c r="AH10" s="286" t="n">
        <f aca="false">IFERROR(SUMIF($V$4:$AG$4, "RDEC", V10:AG10), "")</f>
        <v>0</v>
      </c>
      <c r="AI10" s="286" t="n">
        <f aca="false">IFERROR(SUMIF($V$4:$AG$4, "SME", V10:AG10), "")</f>
        <v>2500</v>
      </c>
      <c r="AJ10" s="286" t="n">
        <f aca="false">IFERROR(SUMIF($V$4:$AG$4, "De Minimis", V10:AG10), "")</f>
        <v>0</v>
      </c>
      <c r="AK10" s="287"/>
      <c r="AL10" s="288" t="str">
        <f aca="false">IF((SUM(I10:T10)&gt;1),"ERROR","")</f>
        <v/>
      </c>
    </row>
    <row r="11" customFormat="false" ht="15" hidden="false" customHeight="true" outlineLevel="0" collapsed="false">
      <c r="A11" s="340" t="n">
        <v>45481</v>
      </c>
      <c r="B11" s="17" t="s">
        <v>308</v>
      </c>
      <c r="C11" s="17" t="s">
        <v>372</v>
      </c>
      <c r="D11" s="341" t="s">
        <v>373</v>
      </c>
      <c r="E11" s="200" t="n">
        <v>1600</v>
      </c>
      <c r="F11" s="17" t="n">
        <v>7900</v>
      </c>
      <c r="H11" s="350"/>
      <c r="I11" s="282" t="n">
        <v>0.4</v>
      </c>
      <c r="J11" s="282" t="n">
        <v>0.3</v>
      </c>
      <c r="K11" s="282" t="n">
        <v>0.3</v>
      </c>
      <c r="L11" s="282"/>
      <c r="M11" s="282"/>
      <c r="N11" s="282"/>
      <c r="O11" s="282"/>
      <c r="P11" s="282"/>
      <c r="Q11" s="282"/>
      <c r="R11" s="282"/>
      <c r="S11" s="282"/>
      <c r="T11" s="282"/>
      <c r="U11" s="283"/>
      <c r="V11" s="284" t="n">
        <f aca="false">IFERROR(I11*$E11, "")</f>
        <v>640</v>
      </c>
      <c r="W11" s="284" t="n">
        <f aca="false">IFERROR(J11*$E11, "")</f>
        <v>480</v>
      </c>
      <c r="X11" s="284" t="n">
        <f aca="false">IFERROR(K11*$E11, "")</f>
        <v>480</v>
      </c>
      <c r="Y11" s="284" t="n">
        <f aca="false">IFERROR(L11*$E11, "")</f>
        <v>0</v>
      </c>
      <c r="Z11" s="284" t="n">
        <f aca="false">IFERROR(M11*$E11, "")</f>
        <v>0</v>
      </c>
      <c r="AA11" s="284" t="n">
        <f aca="false">IFERROR(N11*$E11, "")</f>
        <v>0</v>
      </c>
      <c r="AB11" s="284" t="n">
        <f aca="false">IFERROR(O11*$E11, "")</f>
        <v>0</v>
      </c>
      <c r="AC11" s="284" t="n">
        <f aca="false">IFERROR(P11*$E11, "")</f>
        <v>0</v>
      </c>
      <c r="AD11" s="284" t="n">
        <f aca="false">IFERROR(Q11*$E11, "")</f>
        <v>0</v>
      </c>
      <c r="AE11" s="284" t="n">
        <f aca="false">IFERROR(R11*$E11, "")</f>
        <v>0</v>
      </c>
      <c r="AF11" s="284" t="n">
        <f aca="false">IFERROR(S11*$E11, "")</f>
        <v>0</v>
      </c>
      <c r="AG11" s="284" t="n">
        <f aca="false">IFERROR(T11*$E11, "")</f>
        <v>0</v>
      </c>
      <c r="AH11" s="286" t="n">
        <f aca="false">IFERROR(SUMIF($V$4:$AG$4, "RDEC", V11:AG11), "")</f>
        <v>0</v>
      </c>
      <c r="AI11" s="286" t="n">
        <f aca="false">IFERROR(SUMIF($V$4:$AG$4, "SME", V11:AG11), "")</f>
        <v>1600</v>
      </c>
      <c r="AJ11" s="286" t="n">
        <f aca="false">IFERROR(SUMIF($V$4:$AG$4, "De Minimis", V11:AG11), "")</f>
        <v>0</v>
      </c>
      <c r="AK11" s="287"/>
      <c r="AL11" s="288" t="str">
        <f aca="false">IF((SUM(I11:T11)&gt;1),"ERROR","")</f>
        <v/>
      </c>
    </row>
    <row r="12" customFormat="false" ht="15" hidden="false" customHeight="true" outlineLevel="0" collapsed="false">
      <c r="A12" s="340" t="n">
        <v>45560</v>
      </c>
      <c r="B12" s="17" t="s">
        <v>308</v>
      </c>
      <c r="C12" s="17" t="s">
        <v>374</v>
      </c>
      <c r="D12" s="341" t="s">
        <v>375</v>
      </c>
      <c r="E12" s="200" t="n">
        <v>950</v>
      </c>
      <c r="F12" s="17" t="n">
        <v>7900</v>
      </c>
      <c r="H12" s="350"/>
      <c r="I12" s="282" t="n">
        <v>0.3</v>
      </c>
      <c r="J12" s="282"/>
      <c r="K12" s="282" t="n">
        <v>0.7</v>
      </c>
      <c r="L12" s="282"/>
      <c r="M12" s="282"/>
      <c r="N12" s="282"/>
      <c r="O12" s="282"/>
      <c r="P12" s="282"/>
      <c r="Q12" s="282"/>
      <c r="R12" s="282"/>
      <c r="S12" s="282"/>
      <c r="T12" s="282"/>
      <c r="U12" s="283"/>
      <c r="V12" s="284" t="n">
        <f aca="false">IFERROR(I12*$E12, "")</f>
        <v>285</v>
      </c>
      <c r="W12" s="284" t="n">
        <f aca="false">IFERROR(J12*$E12, "")</f>
        <v>0</v>
      </c>
      <c r="X12" s="284" t="n">
        <f aca="false">IFERROR(K12*$E12, "")</f>
        <v>665</v>
      </c>
      <c r="Y12" s="284" t="n">
        <f aca="false">IFERROR(L12*$E12, "")</f>
        <v>0</v>
      </c>
      <c r="Z12" s="284" t="n">
        <f aca="false">IFERROR(M12*$E12, "")</f>
        <v>0</v>
      </c>
      <c r="AA12" s="284" t="n">
        <f aca="false">IFERROR(N12*$E12, "")</f>
        <v>0</v>
      </c>
      <c r="AB12" s="284" t="n">
        <f aca="false">IFERROR(O12*$E12, "")</f>
        <v>0</v>
      </c>
      <c r="AC12" s="284" t="n">
        <f aca="false">IFERROR(P12*$E12, "")</f>
        <v>0</v>
      </c>
      <c r="AD12" s="284" t="n">
        <f aca="false">IFERROR(Q12*$E12, "")</f>
        <v>0</v>
      </c>
      <c r="AE12" s="284" t="n">
        <f aca="false">IFERROR(R12*$E12, "")</f>
        <v>0</v>
      </c>
      <c r="AF12" s="284" t="n">
        <f aca="false">IFERROR(S12*$E12, "")</f>
        <v>0</v>
      </c>
      <c r="AG12" s="284" t="n">
        <f aca="false">IFERROR(T12*$E12, "")</f>
        <v>0</v>
      </c>
      <c r="AH12" s="286" t="n">
        <f aca="false">IFERROR(SUMIF($V$4:$AG$4, "RDEC", V12:AG12), "")</f>
        <v>0</v>
      </c>
      <c r="AI12" s="286" t="n">
        <f aca="false">IFERROR(SUMIF($V$4:$AG$4, "SME", V12:AG12), "")</f>
        <v>950</v>
      </c>
      <c r="AJ12" s="286" t="n">
        <f aca="false">IFERROR(SUMIF($V$4:$AG$4, "De Minimis", V12:AG12), "")</f>
        <v>0</v>
      </c>
      <c r="AK12" s="287"/>
      <c r="AL12" s="288" t="str">
        <f aca="false">IF((SUM(I12:T12)&gt;1),"ERROR","")</f>
        <v/>
      </c>
    </row>
    <row r="13" customFormat="false" ht="15" hidden="false" customHeight="true" outlineLevel="0" collapsed="false">
      <c r="A13" s="340" t="n">
        <v>45608</v>
      </c>
      <c r="B13" s="17" t="s">
        <v>308</v>
      </c>
      <c r="C13" s="17" t="s">
        <v>376</v>
      </c>
      <c r="D13" s="341" t="s">
        <v>377</v>
      </c>
      <c r="E13" s="200" t="n">
        <v>1400</v>
      </c>
      <c r="F13" s="17" t="n">
        <v>7902</v>
      </c>
      <c r="H13" s="350"/>
      <c r="I13" s="282" t="n">
        <v>0.25</v>
      </c>
      <c r="J13" s="282" t="n">
        <v>0.25</v>
      </c>
      <c r="K13" s="282" t="n">
        <v>0.25</v>
      </c>
      <c r="L13" s="282" t="n">
        <v>0.25</v>
      </c>
      <c r="M13" s="282"/>
      <c r="N13" s="282"/>
      <c r="O13" s="282"/>
      <c r="P13" s="282"/>
      <c r="Q13" s="282"/>
      <c r="R13" s="282"/>
      <c r="S13" s="282"/>
      <c r="T13" s="282"/>
      <c r="U13" s="283"/>
      <c r="V13" s="284" t="n">
        <f aca="false">IFERROR(I13*$E13, "")</f>
        <v>350</v>
      </c>
      <c r="W13" s="284" t="n">
        <f aca="false">IFERROR(J13*$E13, "")</f>
        <v>350</v>
      </c>
      <c r="X13" s="284" t="n">
        <f aca="false">IFERROR(K13*$E13, "")</f>
        <v>350</v>
      </c>
      <c r="Y13" s="284" t="n">
        <f aca="false">IFERROR(L13*$E13, "")</f>
        <v>350</v>
      </c>
      <c r="Z13" s="284" t="n">
        <f aca="false">IFERROR(M13*$E13, "")</f>
        <v>0</v>
      </c>
      <c r="AA13" s="284" t="n">
        <f aca="false">IFERROR(N13*$E13, "")</f>
        <v>0</v>
      </c>
      <c r="AB13" s="284" t="n">
        <f aca="false">IFERROR(O13*$E13, "")</f>
        <v>0</v>
      </c>
      <c r="AC13" s="284" t="n">
        <f aca="false">IFERROR(P13*$E13, "")</f>
        <v>0</v>
      </c>
      <c r="AD13" s="284" t="n">
        <f aca="false">IFERROR(Q13*$E13, "")</f>
        <v>0</v>
      </c>
      <c r="AE13" s="284" t="n">
        <f aca="false">IFERROR(R13*$E13, "")</f>
        <v>0</v>
      </c>
      <c r="AF13" s="284" t="n">
        <f aca="false">IFERROR(S13*$E13, "")</f>
        <v>0</v>
      </c>
      <c r="AG13" s="284" t="n">
        <f aca="false">IFERROR(T13*$E13, "")</f>
        <v>0</v>
      </c>
      <c r="AH13" s="286" t="n">
        <f aca="false">IFERROR(SUMIF($V$4:$AG$4, "RDEC", V13:AG13), "")</f>
        <v>350</v>
      </c>
      <c r="AI13" s="286" t="n">
        <f aca="false">IFERROR(SUMIF($V$4:$AG$4, "SME", V13:AG13), "")</f>
        <v>1050</v>
      </c>
      <c r="AJ13" s="286" t="n">
        <f aca="false">IFERROR(SUMIF($V$4:$AG$4, "De Minimis", V13:AG13), "")</f>
        <v>0</v>
      </c>
      <c r="AK13" s="287"/>
      <c r="AL13" s="288" t="str">
        <f aca="false">IF((SUM(I13:T13)&gt;1),"ERROR","")</f>
        <v/>
      </c>
    </row>
    <row r="14" customFormat="false" ht="15" hidden="false" customHeight="true" outlineLevel="0" collapsed="false">
      <c r="A14" s="340"/>
      <c r="H14" s="350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3"/>
      <c r="V14" s="284" t="n">
        <f aca="false">IFERROR(I14*$E14, "")</f>
        <v>0</v>
      </c>
      <c r="W14" s="284" t="n">
        <f aca="false">IFERROR(J14*$E14, "")</f>
        <v>0</v>
      </c>
      <c r="X14" s="284" t="n">
        <f aca="false">IFERROR(K14*$E14, "")</f>
        <v>0</v>
      </c>
      <c r="Y14" s="284" t="n">
        <f aca="false">IFERROR(L14*$E14, "")</f>
        <v>0</v>
      </c>
      <c r="Z14" s="284" t="n">
        <f aca="false">IFERROR(M14*$E14, "")</f>
        <v>0</v>
      </c>
      <c r="AA14" s="284" t="n">
        <f aca="false">IFERROR(N14*$E14, "")</f>
        <v>0</v>
      </c>
      <c r="AB14" s="284" t="n">
        <f aca="false">IFERROR(O14*$E14, "")</f>
        <v>0</v>
      </c>
      <c r="AC14" s="284" t="n">
        <f aca="false">IFERROR(P14*$E14, "")</f>
        <v>0</v>
      </c>
      <c r="AD14" s="284" t="n">
        <f aca="false">IFERROR(Q14*$E14, "")</f>
        <v>0</v>
      </c>
      <c r="AE14" s="284" t="n">
        <f aca="false">IFERROR(R14*$E14, "")</f>
        <v>0</v>
      </c>
      <c r="AF14" s="284" t="n">
        <f aca="false">IFERROR(S14*$E14, "")</f>
        <v>0</v>
      </c>
      <c r="AG14" s="284" t="n">
        <f aca="false">IFERROR(T14*$E14, "")</f>
        <v>0</v>
      </c>
      <c r="AH14" s="286" t="n">
        <f aca="false">IFERROR(SUMIF($V$4:$AG$4, "RDEC", V14:AG14), "")</f>
        <v>0</v>
      </c>
      <c r="AI14" s="286" t="n">
        <f aca="false">IFERROR(SUMIF($V$4:$AG$4, "SME", V14:AG14), "")</f>
        <v>0</v>
      </c>
      <c r="AJ14" s="286" t="n">
        <f aca="false">IFERROR(SUMIF($V$4:$AG$4, "De Minimis", V14:AG14), "")</f>
        <v>0</v>
      </c>
      <c r="AK14" s="287"/>
      <c r="AL14" s="288" t="str">
        <f aca="false">IF((SUM(I14:T14)&gt;1),"ERROR","")</f>
        <v/>
      </c>
    </row>
    <row r="15" customFormat="false" ht="15" hidden="false" customHeight="true" outlineLevel="0" collapsed="false">
      <c r="A15" s="340"/>
      <c r="H15" s="350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3"/>
      <c r="V15" s="284" t="n">
        <f aca="false">IFERROR(I15*$E15, "")</f>
        <v>0</v>
      </c>
      <c r="W15" s="284" t="n">
        <f aca="false">IFERROR(J15*$E15, "")</f>
        <v>0</v>
      </c>
      <c r="X15" s="284" t="n">
        <f aca="false">IFERROR(K15*$E15, "")</f>
        <v>0</v>
      </c>
      <c r="Y15" s="284" t="n">
        <f aca="false">IFERROR(L15*$E15, "")</f>
        <v>0</v>
      </c>
      <c r="Z15" s="284" t="n">
        <f aca="false">IFERROR(M15*$E15, "")</f>
        <v>0</v>
      </c>
      <c r="AA15" s="284" t="n">
        <f aca="false">IFERROR(N15*$E15, "")</f>
        <v>0</v>
      </c>
      <c r="AB15" s="284" t="n">
        <f aca="false">IFERROR(O15*$E15, "")</f>
        <v>0</v>
      </c>
      <c r="AC15" s="284" t="n">
        <f aca="false">IFERROR(P15*$E15, "")</f>
        <v>0</v>
      </c>
      <c r="AD15" s="284" t="n">
        <f aca="false">IFERROR(Q15*$E15, "")</f>
        <v>0</v>
      </c>
      <c r="AE15" s="284" t="n">
        <f aca="false">IFERROR(R15*$E15, "")</f>
        <v>0</v>
      </c>
      <c r="AF15" s="284" t="n">
        <f aca="false">IFERROR(S15*$E15, "")</f>
        <v>0</v>
      </c>
      <c r="AG15" s="284" t="n">
        <f aca="false">IFERROR(T15*$E15, "")</f>
        <v>0</v>
      </c>
      <c r="AH15" s="286" t="n">
        <f aca="false">IFERROR(SUMIF($V$4:$AG$4, "RDEC", V15:AG15), "")</f>
        <v>0</v>
      </c>
      <c r="AI15" s="286" t="n">
        <f aca="false">IFERROR(SUMIF($V$4:$AG$4, "SME", V15:AG15), "")</f>
        <v>0</v>
      </c>
      <c r="AJ15" s="286" t="n">
        <f aca="false">IFERROR(SUMIF($V$4:$AG$4, "De Minimis", V15:AG15), "")</f>
        <v>0</v>
      </c>
      <c r="AK15" s="287"/>
      <c r="AL15" s="288" t="str">
        <f aca="false">IF((SUM(I15:T15)&gt;1),"ERROR","")</f>
        <v/>
      </c>
    </row>
    <row r="16" customFormat="false" ht="15" hidden="false" customHeight="true" outlineLevel="0" collapsed="false">
      <c r="A16" s="340"/>
      <c r="H16" s="350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3"/>
      <c r="V16" s="284" t="n">
        <f aca="false">IFERROR(I16*$E16, "")</f>
        <v>0</v>
      </c>
      <c r="W16" s="284" t="n">
        <f aca="false">IFERROR(J16*$E16, "")</f>
        <v>0</v>
      </c>
      <c r="X16" s="284" t="n">
        <f aca="false">IFERROR(K16*$E16, "")</f>
        <v>0</v>
      </c>
      <c r="Y16" s="284" t="n">
        <f aca="false">IFERROR(L16*$E16, "")</f>
        <v>0</v>
      </c>
      <c r="Z16" s="284" t="n">
        <f aca="false">IFERROR(M16*$E16, "")</f>
        <v>0</v>
      </c>
      <c r="AA16" s="284" t="n">
        <f aca="false">IFERROR(N16*$E16, "")</f>
        <v>0</v>
      </c>
      <c r="AB16" s="284" t="n">
        <f aca="false">IFERROR(O16*$E16, "")</f>
        <v>0</v>
      </c>
      <c r="AC16" s="284" t="n">
        <f aca="false">IFERROR(P16*$E16, "")</f>
        <v>0</v>
      </c>
      <c r="AD16" s="284" t="n">
        <f aca="false">IFERROR(Q16*$E16, "")</f>
        <v>0</v>
      </c>
      <c r="AE16" s="284" t="n">
        <f aca="false">IFERROR(R16*$E16, "")</f>
        <v>0</v>
      </c>
      <c r="AF16" s="284" t="n">
        <f aca="false">IFERROR(S16*$E16, "")</f>
        <v>0</v>
      </c>
      <c r="AG16" s="284" t="n">
        <f aca="false">IFERROR(T16*$E16, "")</f>
        <v>0</v>
      </c>
      <c r="AH16" s="286" t="n">
        <f aca="false">IFERROR(SUMIF($V$4:$AG$4, "RDEC", V16:AG16), "")</f>
        <v>0</v>
      </c>
      <c r="AI16" s="286" t="n">
        <f aca="false">IFERROR(SUMIF($V$4:$AG$4, "SME", V16:AG16), "")</f>
        <v>0</v>
      </c>
      <c r="AJ16" s="286" t="n">
        <f aca="false">IFERROR(SUMIF($V$4:$AG$4, "De Minimis", V16:AG16), "")</f>
        <v>0</v>
      </c>
      <c r="AK16" s="287"/>
      <c r="AL16" s="288" t="str">
        <f aca="false">IF((SUM(I16:T16)&gt;1),"ERROR","")</f>
        <v/>
      </c>
    </row>
    <row r="17" customFormat="false" ht="15" hidden="false" customHeight="true" outlineLevel="0" collapsed="false">
      <c r="A17" s="340"/>
      <c r="H17" s="350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3"/>
      <c r="V17" s="284" t="n">
        <f aca="false">IFERROR(I17*$E17, "")</f>
        <v>0</v>
      </c>
      <c r="W17" s="284" t="n">
        <f aca="false">IFERROR(J17*$E17, "")</f>
        <v>0</v>
      </c>
      <c r="X17" s="284" t="n">
        <f aca="false">IFERROR(K17*$E17, "")</f>
        <v>0</v>
      </c>
      <c r="Y17" s="284" t="n">
        <f aca="false">IFERROR(L17*$E17, "")</f>
        <v>0</v>
      </c>
      <c r="Z17" s="284" t="n">
        <f aca="false">IFERROR(M17*$E17, "")</f>
        <v>0</v>
      </c>
      <c r="AA17" s="284" t="n">
        <f aca="false">IFERROR(N17*$E17, "")</f>
        <v>0</v>
      </c>
      <c r="AB17" s="284" t="n">
        <f aca="false">IFERROR(O17*$E17, "")</f>
        <v>0</v>
      </c>
      <c r="AC17" s="284" t="n">
        <f aca="false">IFERROR(P17*$E17, "")</f>
        <v>0</v>
      </c>
      <c r="AD17" s="284" t="n">
        <f aca="false">IFERROR(Q17*$E17, "")</f>
        <v>0</v>
      </c>
      <c r="AE17" s="284" t="n">
        <f aca="false">IFERROR(R17*$E17, "")</f>
        <v>0</v>
      </c>
      <c r="AF17" s="284" t="n">
        <f aca="false">IFERROR(S17*$E17, "")</f>
        <v>0</v>
      </c>
      <c r="AG17" s="284" t="n">
        <f aca="false">IFERROR(T17*$E17, "")</f>
        <v>0</v>
      </c>
      <c r="AH17" s="286" t="n">
        <f aca="false">IFERROR(SUMIF($V$4:$AG$4, "RDEC", V17:AG17), "")</f>
        <v>0</v>
      </c>
      <c r="AI17" s="286" t="n">
        <f aca="false">IFERROR(SUMIF($V$4:$AG$4, "SME", V17:AG17), "")</f>
        <v>0</v>
      </c>
      <c r="AJ17" s="286" t="n">
        <f aca="false">IFERROR(SUMIF($V$4:$AG$4, "De Minimis", V17:AG17), "")</f>
        <v>0</v>
      </c>
      <c r="AK17" s="287"/>
      <c r="AL17" s="288" t="str">
        <f aca="false">IF((SUM(I17:T17)&gt;1),"ERROR","")</f>
        <v/>
      </c>
    </row>
    <row r="18" customFormat="false" ht="15" hidden="false" customHeight="true" outlineLevel="0" collapsed="false">
      <c r="A18" s="340"/>
      <c r="H18" s="350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3"/>
      <c r="V18" s="284" t="n">
        <f aca="false">IFERROR(I18*$E18, "")</f>
        <v>0</v>
      </c>
      <c r="W18" s="284" t="n">
        <f aca="false">IFERROR(J18*$E18, "")</f>
        <v>0</v>
      </c>
      <c r="X18" s="284" t="n">
        <f aca="false">IFERROR(K18*$E18, "")</f>
        <v>0</v>
      </c>
      <c r="Y18" s="284" t="n">
        <f aca="false">IFERROR(L18*$E18, "")</f>
        <v>0</v>
      </c>
      <c r="Z18" s="284" t="n">
        <f aca="false">IFERROR(M18*$E18, "")</f>
        <v>0</v>
      </c>
      <c r="AA18" s="284" t="n">
        <f aca="false">IFERROR(N18*$E18, "")</f>
        <v>0</v>
      </c>
      <c r="AB18" s="284" t="n">
        <f aca="false">IFERROR(O18*$E18, "")</f>
        <v>0</v>
      </c>
      <c r="AC18" s="284" t="n">
        <f aca="false">IFERROR(P18*$E18, "")</f>
        <v>0</v>
      </c>
      <c r="AD18" s="284" t="n">
        <f aca="false">IFERROR(Q18*$E18, "")</f>
        <v>0</v>
      </c>
      <c r="AE18" s="284" t="n">
        <f aca="false">IFERROR(R18*$E18, "")</f>
        <v>0</v>
      </c>
      <c r="AF18" s="284" t="n">
        <f aca="false">IFERROR(S18*$E18, "")</f>
        <v>0</v>
      </c>
      <c r="AG18" s="284" t="n">
        <f aca="false">IFERROR(T18*$E18, "")</f>
        <v>0</v>
      </c>
      <c r="AH18" s="286" t="n">
        <f aca="false">IFERROR(SUMIF($V$4:$AG$4, "RDEC", V18:AG18), "")</f>
        <v>0</v>
      </c>
      <c r="AI18" s="286" t="n">
        <f aca="false">IFERROR(SUMIF($V$4:$AG$4, "SME", V18:AG18), "")</f>
        <v>0</v>
      </c>
      <c r="AJ18" s="286" t="n">
        <f aca="false">IFERROR(SUMIF($V$4:$AG$4, "De Minimis", V18:AG18), "")</f>
        <v>0</v>
      </c>
      <c r="AK18" s="287"/>
      <c r="AL18" s="288" t="str">
        <f aca="false">IF((SUM(I18:T18)&gt;1),"ERROR","")</f>
        <v/>
      </c>
    </row>
    <row r="19" customFormat="false" ht="15" hidden="false" customHeight="true" outlineLevel="0" collapsed="false">
      <c r="A19" s="340"/>
      <c r="H19" s="350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3"/>
      <c r="V19" s="284" t="n">
        <f aca="false">IFERROR(I19*$E19, "")</f>
        <v>0</v>
      </c>
      <c r="W19" s="284" t="n">
        <f aca="false">IFERROR(J19*$E19, "")</f>
        <v>0</v>
      </c>
      <c r="X19" s="284" t="n">
        <f aca="false">IFERROR(K19*$E19, "")</f>
        <v>0</v>
      </c>
      <c r="Y19" s="284" t="n">
        <f aca="false">IFERROR(L19*$E19, "")</f>
        <v>0</v>
      </c>
      <c r="Z19" s="284" t="n">
        <f aca="false">IFERROR(M19*$E19, "")</f>
        <v>0</v>
      </c>
      <c r="AA19" s="284" t="n">
        <f aca="false">IFERROR(N19*$E19, "")</f>
        <v>0</v>
      </c>
      <c r="AB19" s="284" t="n">
        <f aca="false">IFERROR(O19*$E19, "")</f>
        <v>0</v>
      </c>
      <c r="AC19" s="284" t="n">
        <f aca="false">IFERROR(P19*$E19, "")</f>
        <v>0</v>
      </c>
      <c r="AD19" s="284" t="n">
        <f aca="false">IFERROR(Q19*$E19, "")</f>
        <v>0</v>
      </c>
      <c r="AE19" s="284" t="n">
        <f aca="false">IFERROR(R19*$E19, "")</f>
        <v>0</v>
      </c>
      <c r="AF19" s="284" t="n">
        <f aca="false">IFERROR(S19*$E19, "")</f>
        <v>0</v>
      </c>
      <c r="AG19" s="284" t="n">
        <f aca="false">IFERROR(T19*$E19, "")</f>
        <v>0</v>
      </c>
      <c r="AH19" s="286" t="n">
        <f aca="false">IFERROR(SUMIF($V$4:$AG$4, "RDEC", V19:AG19), "")</f>
        <v>0</v>
      </c>
      <c r="AI19" s="286" t="n">
        <f aca="false">IFERROR(SUMIF($V$4:$AG$4, "SME", V19:AG19), "")</f>
        <v>0</v>
      </c>
      <c r="AJ19" s="286" t="n">
        <f aca="false">IFERROR(SUMIF($V$4:$AG$4, "De Minimis", V19:AG19), "")</f>
        <v>0</v>
      </c>
      <c r="AK19" s="303"/>
      <c r="AL19" s="288" t="str">
        <f aca="false">IF((SUM(I19:T19)&gt;1),"ERROR","")</f>
        <v/>
      </c>
    </row>
    <row r="20" customFormat="false" ht="15" hidden="false" customHeight="true" outlineLevel="0" collapsed="false">
      <c r="A20" s="340"/>
      <c r="H20" s="350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3"/>
      <c r="V20" s="284" t="n">
        <f aca="false">IFERROR(I20*$E20, "")</f>
        <v>0</v>
      </c>
      <c r="W20" s="284" t="n">
        <f aca="false">IFERROR(J20*$E20, "")</f>
        <v>0</v>
      </c>
      <c r="X20" s="284" t="n">
        <f aca="false">IFERROR(K20*$E20, "")</f>
        <v>0</v>
      </c>
      <c r="Y20" s="284" t="n">
        <f aca="false">IFERROR(L20*$E20, "")</f>
        <v>0</v>
      </c>
      <c r="Z20" s="284" t="n">
        <f aca="false">IFERROR(M20*$E20, "")</f>
        <v>0</v>
      </c>
      <c r="AA20" s="284" t="n">
        <f aca="false">IFERROR(N20*$E20, "")</f>
        <v>0</v>
      </c>
      <c r="AB20" s="284" t="n">
        <f aca="false">IFERROR(O20*$E20, "")</f>
        <v>0</v>
      </c>
      <c r="AC20" s="284" t="n">
        <f aca="false">IFERROR(P20*$E20, "")</f>
        <v>0</v>
      </c>
      <c r="AD20" s="284" t="n">
        <f aca="false">IFERROR(Q20*$E20, "")</f>
        <v>0</v>
      </c>
      <c r="AE20" s="284" t="n">
        <f aca="false">IFERROR(R20*$E20, "")</f>
        <v>0</v>
      </c>
      <c r="AF20" s="284" t="n">
        <f aca="false">IFERROR(S20*$E20, "")</f>
        <v>0</v>
      </c>
      <c r="AG20" s="284" t="n">
        <f aca="false">IFERROR(T20*$E20, "")</f>
        <v>0</v>
      </c>
      <c r="AH20" s="286" t="n">
        <f aca="false">IFERROR(SUMIF($V$4:$AG$4, "RDEC", V20:AG20), "")</f>
        <v>0</v>
      </c>
      <c r="AI20" s="286" t="n">
        <f aca="false">IFERROR(SUMIF($V$4:$AG$4, "SME", V20:AG20), "")</f>
        <v>0</v>
      </c>
      <c r="AJ20" s="286" t="n">
        <f aca="false">IFERROR(SUMIF($V$4:$AG$4, "De Minimis", V20:AG20), "")</f>
        <v>0</v>
      </c>
      <c r="AK20" s="303"/>
      <c r="AL20" s="288" t="str">
        <f aca="false">IF((SUM(I20:T20)&gt;1),"ERROR","")</f>
        <v/>
      </c>
    </row>
    <row r="21" customFormat="false" ht="15" hidden="false" customHeight="true" outlineLevel="0" collapsed="false">
      <c r="A21" s="340"/>
      <c r="H21" s="350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3"/>
      <c r="V21" s="284" t="n">
        <f aca="false">IFERROR(I21*$E21, "")</f>
        <v>0</v>
      </c>
      <c r="W21" s="284" t="n">
        <f aca="false">IFERROR(J21*$E21, "")</f>
        <v>0</v>
      </c>
      <c r="X21" s="284" t="n">
        <f aca="false">IFERROR(K21*$E21, "")</f>
        <v>0</v>
      </c>
      <c r="Y21" s="284" t="n">
        <f aca="false">IFERROR(L21*$E21, "")</f>
        <v>0</v>
      </c>
      <c r="Z21" s="284" t="n">
        <f aca="false">IFERROR(M21*$E21, "")</f>
        <v>0</v>
      </c>
      <c r="AA21" s="284" t="n">
        <f aca="false">IFERROR(N21*$E21, "")</f>
        <v>0</v>
      </c>
      <c r="AB21" s="284" t="n">
        <f aca="false">IFERROR(O21*$E21, "")</f>
        <v>0</v>
      </c>
      <c r="AC21" s="284" t="n">
        <f aca="false">IFERROR(P21*$E21, "")</f>
        <v>0</v>
      </c>
      <c r="AD21" s="284" t="n">
        <f aca="false">IFERROR(Q21*$E21, "")</f>
        <v>0</v>
      </c>
      <c r="AE21" s="284" t="n">
        <f aca="false">IFERROR(R21*$E21, "")</f>
        <v>0</v>
      </c>
      <c r="AF21" s="284" t="n">
        <f aca="false">IFERROR(S21*$E21, "")</f>
        <v>0</v>
      </c>
      <c r="AG21" s="284" t="n">
        <f aca="false">IFERROR(T21*$E21, "")</f>
        <v>0</v>
      </c>
      <c r="AH21" s="286" t="n">
        <f aca="false">IFERROR(SUMIF($V$4:$AG$4, "RDEC", V21:AG21), "")</f>
        <v>0</v>
      </c>
      <c r="AI21" s="286" t="n">
        <f aca="false">IFERROR(SUMIF($V$4:$AG$4, "SME", V21:AG21), "")</f>
        <v>0</v>
      </c>
      <c r="AJ21" s="286" t="n">
        <f aca="false">IFERROR(SUMIF($V$4:$AG$4, "De Minimis", V21:AG21), "")</f>
        <v>0</v>
      </c>
      <c r="AK21" s="268"/>
      <c r="AL21" s="288" t="str">
        <f aca="false">IF((SUM(I21:T21)&gt;1),"ERROR","")</f>
        <v/>
      </c>
    </row>
    <row r="22" customFormat="false" ht="15" hidden="false" customHeight="true" outlineLevel="0" collapsed="false">
      <c r="A22" s="340"/>
      <c r="H22" s="350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3"/>
      <c r="V22" s="284" t="n">
        <f aca="false">IFERROR(I22*$E22, "")</f>
        <v>0</v>
      </c>
      <c r="W22" s="284" t="n">
        <f aca="false">IFERROR(J22*$E22, "")</f>
        <v>0</v>
      </c>
      <c r="X22" s="284" t="n">
        <f aca="false">IFERROR(K22*$E22, "")</f>
        <v>0</v>
      </c>
      <c r="Y22" s="284" t="n">
        <f aca="false">IFERROR(L22*$E22, "")</f>
        <v>0</v>
      </c>
      <c r="Z22" s="284" t="n">
        <f aca="false">IFERROR(M22*$E22, "")</f>
        <v>0</v>
      </c>
      <c r="AA22" s="284" t="n">
        <f aca="false">IFERROR(N22*$E22, "")</f>
        <v>0</v>
      </c>
      <c r="AB22" s="284" t="n">
        <f aca="false">IFERROR(O22*$E22, "")</f>
        <v>0</v>
      </c>
      <c r="AC22" s="284" t="n">
        <f aca="false">IFERROR(P22*$E22, "")</f>
        <v>0</v>
      </c>
      <c r="AD22" s="284" t="n">
        <f aca="false">IFERROR(Q22*$E22, "")</f>
        <v>0</v>
      </c>
      <c r="AE22" s="284" t="n">
        <f aca="false">IFERROR(R22*$E22, "")</f>
        <v>0</v>
      </c>
      <c r="AF22" s="284" t="n">
        <f aca="false">IFERROR(S22*$E22, "")</f>
        <v>0</v>
      </c>
      <c r="AG22" s="284" t="n">
        <f aca="false">IFERROR(T22*$E22, "")</f>
        <v>0</v>
      </c>
      <c r="AH22" s="286" t="n">
        <f aca="false">IFERROR(SUMIF($V$4:$AG$4, "RDEC", V22:AG22), "")</f>
        <v>0</v>
      </c>
      <c r="AI22" s="286" t="n">
        <f aca="false">IFERROR(SUMIF($V$4:$AG$4, "SME", V22:AG22), "")</f>
        <v>0</v>
      </c>
      <c r="AJ22" s="286" t="n">
        <f aca="false">IFERROR(SUMIF($V$4:$AG$4, "De Minimis", V22:AG22), "")</f>
        <v>0</v>
      </c>
      <c r="AK22" s="287"/>
      <c r="AL22" s="288" t="str">
        <f aca="false">IF((SUM(I22:T22)&gt;1),"ERROR","")</f>
        <v/>
      </c>
    </row>
    <row r="23" customFormat="false" ht="15" hidden="false" customHeight="true" outlineLevel="0" collapsed="false">
      <c r="A23" s="340"/>
      <c r="H23" s="350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3"/>
      <c r="V23" s="284" t="n">
        <f aca="false">IFERROR(I23*$E23, "")</f>
        <v>0</v>
      </c>
      <c r="W23" s="284" t="n">
        <f aca="false">IFERROR(J23*$E23, "")</f>
        <v>0</v>
      </c>
      <c r="X23" s="284" t="n">
        <f aca="false">IFERROR(K23*$E23, "")</f>
        <v>0</v>
      </c>
      <c r="Y23" s="284" t="n">
        <f aca="false">IFERROR(L23*$E23, "")</f>
        <v>0</v>
      </c>
      <c r="Z23" s="284" t="n">
        <f aca="false">IFERROR(M23*$E23, "")</f>
        <v>0</v>
      </c>
      <c r="AA23" s="284" t="n">
        <f aca="false">IFERROR(N23*$E23, "")</f>
        <v>0</v>
      </c>
      <c r="AB23" s="284" t="n">
        <f aca="false">IFERROR(O23*$E23, "")</f>
        <v>0</v>
      </c>
      <c r="AC23" s="284" t="n">
        <f aca="false">IFERROR(P23*$E23, "")</f>
        <v>0</v>
      </c>
      <c r="AD23" s="284" t="n">
        <f aca="false">IFERROR(Q23*$E23, "")</f>
        <v>0</v>
      </c>
      <c r="AE23" s="284" t="n">
        <f aca="false">IFERROR(R23*$E23, "")</f>
        <v>0</v>
      </c>
      <c r="AF23" s="284" t="n">
        <f aca="false">IFERROR(S23*$E23, "")</f>
        <v>0</v>
      </c>
      <c r="AG23" s="284" t="n">
        <f aca="false">IFERROR(T23*$E23, "")</f>
        <v>0</v>
      </c>
      <c r="AH23" s="286" t="n">
        <f aca="false">IFERROR(SUMIF($V$4:$AG$4, "RDEC", V23:AG23), "")</f>
        <v>0</v>
      </c>
      <c r="AI23" s="286" t="n">
        <f aca="false">IFERROR(SUMIF($V$4:$AG$4, "SME", V23:AG23), "")</f>
        <v>0</v>
      </c>
      <c r="AJ23" s="286" t="n">
        <f aca="false">IFERROR(SUMIF($V$4:$AG$4, "De Minimis", V23:AG23), "")</f>
        <v>0</v>
      </c>
      <c r="AK23" s="287"/>
      <c r="AL23" s="288" t="str">
        <f aca="false">IF((SUM(I23:T23)&gt;1),"ERROR","")</f>
        <v/>
      </c>
    </row>
    <row r="24" customFormat="false" ht="15" hidden="false" customHeight="true" outlineLevel="0" collapsed="false">
      <c r="A24" s="340"/>
      <c r="H24" s="350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3"/>
      <c r="V24" s="284" t="n">
        <f aca="false">IFERROR(I24*$E24, "")</f>
        <v>0</v>
      </c>
      <c r="W24" s="284" t="n">
        <f aca="false">IFERROR(J24*$E24, "")</f>
        <v>0</v>
      </c>
      <c r="X24" s="284" t="n">
        <f aca="false">IFERROR(K24*$E24, "")</f>
        <v>0</v>
      </c>
      <c r="Y24" s="284" t="n">
        <f aca="false">IFERROR(L24*$E24, "")</f>
        <v>0</v>
      </c>
      <c r="Z24" s="284" t="n">
        <f aca="false">IFERROR(M24*$E24, "")</f>
        <v>0</v>
      </c>
      <c r="AA24" s="284" t="n">
        <f aca="false">IFERROR(N24*$E24, "")</f>
        <v>0</v>
      </c>
      <c r="AB24" s="284" t="n">
        <f aca="false">IFERROR(O24*$E24, "")</f>
        <v>0</v>
      </c>
      <c r="AC24" s="284" t="n">
        <f aca="false">IFERROR(P24*$E24, "")</f>
        <v>0</v>
      </c>
      <c r="AD24" s="284" t="n">
        <f aca="false">IFERROR(Q24*$E24, "")</f>
        <v>0</v>
      </c>
      <c r="AE24" s="284" t="n">
        <f aca="false">IFERROR(R24*$E24, "")</f>
        <v>0</v>
      </c>
      <c r="AF24" s="284" t="n">
        <f aca="false">IFERROR(S24*$E24, "")</f>
        <v>0</v>
      </c>
      <c r="AG24" s="284" t="n">
        <f aca="false">IFERROR(T24*$E24, "")</f>
        <v>0</v>
      </c>
      <c r="AH24" s="286" t="n">
        <f aca="false">IFERROR(SUMIF($V$4:$AG$4, "RDEC", V24:AG24), "")</f>
        <v>0</v>
      </c>
      <c r="AI24" s="286" t="n">
        <f aca="false">IFERROR(SUMIF($V$4:$AG$4, "SME", V24:AG24), "")</f>
        <v>0</v>
      </c>
      <c r="AJ24" s="286" t="n">
        <f aca="false">IFERROR(SUMIF($V$4:$AG$4, "De Minimis", V24:AG24), "")</f>
        <v>0</v>
      </c>
      <c r="AK24" s="287"/>
      <c r="AL24" s="288" t="str">
        <f aca="false">IF((SUM(I24:T24)&gt;1),"ERROR","")</f>
        <v/>
      </c>
    </row>
    <row r="25" customFormat="false" ht="15" hidden="false" customHeight="true" outlineLevel="0" collapsed="false">
      <c r="A25" s="340"/>
      <c r="H25" s="350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3"/>
      <c r="V25" s="284" t="n">
        <f aca="false">IFERROR(I25*$E25, "")</f>
        <v>0</v>
      </c>
      <c r="W25" s="284" t="n">
        <f aca="false">IFERROR(J25*$E25, "")</f>
        <v>0</v>
      </c>
      <c r="X25" s="284" t="n">
        <f aca="false">IFERROR(K25*$E25, "")</f>
        <v>0</v>
      </c>
      <c r="Y25" s="284" t="n">
        <f aca="false">IFERROR(L25*$E25, "")</f>
        <v>0</v>
      </c>
      <c r="Z25" s="284" t="n">
        <f aca="false">IFERROR(M25*$E25, "")</f>
        <v>0</v>
      </c>
      <c r="AA25" s="284" t="n">
        <f aca="false">IFERROR(N25*$E25, "")</f>
        <v>0</v>
      </c>
      <c r="AB25" s="284" t="n">
        <f aca="false">IFERROR(O25*$E25, "")</f>
        <v>0</v>
      </c>
      <c r="AC25" s="284" t="n">
        <f aca="false">IFERROR(P25*$E25, "")</f>
        <v>0</v>
      </c>
      <c r="AD25" s="284" t="n">
        <f aca="false">IFERROR(Q25*$E25, "")</f>
        <v>0</v>
      </c>
      <c r="AE25" s="284" t="n">
        <f aca="false">IFERROR(R25*$E25, "")</f>
        <v>0</v>
      </c>
      <c r="AF25" s="284" t="n">
        <f aca="false">IFERROR(S25*$E25, "")</f>
        <v>0</v>
      </c>
      <c r="AG25" s="284" t="n">
        <f aca="false">IFERROR(T25*$E25, "")</f>
        <v>0</v>
      </c>
      <c r="AH25" s="286" t="n">
        <f aca="false">IFERROR(SUMIF($V$4:$AG$4, "RDEC", V25:AG25), "")</f>
        <v>0</v>
      </c>
      <c r="AI25" s="286" t="n">
        <f aca="false">IFERROR(SUMIF($V$4:$AG$4, "SME", V25:AG25), "")</f>
        <v>0</v>
      </c>
      <c r="AJ25" s="286" t="n">
        <f aca="false">IFERROR(SUMIF($V$4:$AG$4, "De Minimis", V25:AG25), "")</f>
        <v>0</v>
      </c>
      <c r="AK25" s="287"/>
      <c r="AL25" s="288" t="str">
        <f aca="false">IF((SUM(I25:T25)&gt;1),"ERROR","")</f>
        <v/>
      </c>
    </row>
    <row r="26" customFormat="false" ht="15" hidden="false" customHeight="true" outlineLevel="0" collapsed="false">
      <c r="A26" s="340"/>
      <c r="H26" s="350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3"/>
      <c r="V26" s="284" t="n">
        <f aca="false">IFERROR(I26*$E26, "")</f>
        <v>0</v>
      </c>
      <c r="W26" s="284" t="n">
        <f aca="false">IFERROR(J26*$E26, "")</f>
        <v>0</v>
      </c>
      <c r="X26" s="284" t="n">
        <f aca="false">IFERROR(K26*$E26, "")</f>
        <v>0</v>
      </c>
      <c r="Y26" s="284" t="n">
        <f aca="false">IFERROR(L26*$E26, "")</f>
        <v>0</v>
      </c>
      <c r="Z26" s="284" t="n">
        <f aca="false">IFERROR(M26*$E26, "")</f>
        <v>0</v>
      </c>
      <c r="AA26" s="284" t="n">
        <f aca="false">IFERROR(N26*$E26, "")</f>
        <v>0</v>
      </c>
      <c r="AB26" s="284" t="n">
        <f aca="false">IFERROR(O26*$E26, "")</f>
        <v>0</v>
      </c>
      <c r="AC26" s="284" t="n">
        <f aca="false">IFERROR(P26*$E26, "")</f>
        <v>0</v>
      </c>
      <c r="AD26" s="284" t="n">
        <f aca="false">IFERROR(Q26*$E26, "")</f>
        <v>0</v>
      </c>
      <c r="AE26" s="284" t="n">
        <f aca="false">IFERROR(R26*$E26, "")</f>
        <v>0</v>
      </c>
      <c r="AF26" s="284" t="n">
        <f aca="false">IFERROR(S26*$E26, "")</f>
        <v>0</v>
      </c>
      <c r="AG26" s="284" t="n">
        <f aca="false">IFERROR(T26*$E26, "")</f>
        <v>0</v>
      </c>
      <c r="AH26" s="286" t="n">
        <f aca="false">IFERROR(SUMIF($V$4:$AG$4, "RDEC", V26:AG26), "")</f>
        <v>0</v>
      </c>
      <c r="AI26" s="286" t="n">
        <f aca="false">IFERROR(SUMIF($V$4:$AG$4, "SME", V26:AG26), "")</f>
        <v>0</v>
      </c>
      <c r="AJ26" s="286" t="n">
        <f aca="false">IFERROR(SUMIF($V$4:$AG$4, "De Minimis", V26:AG26), "")</f>
        <v>0</v>
      </c>
      <c r="AK26" s="287"/>
      <c r="AL26" s="288" t="str">
        <f aca="false">IF((SUM(I26:T26)&gt;1),"ERROR","")</f>
        <v/>
      </c>
    </row>
    <row r="27" customFormat="false" ht="15" hidden="false" customHeight="true" outlineLevel="0" collapsed="false">
      <c r="A27" s="340"/>
      <c r="H27" s="350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3"/>
      <c r="V27" s="284" t="n">
        <f aca="false">IFERROR(I27*$E27, "")</f>
        <v>0</v>
      </c>
      <c r="W27" s="284" t="n">
        <f aca="false">IFERROR(J27*$E27, "")</f>
        <v>0</v>
      </c>
      <c r="X27" s="284" t="n">
        <f aca="false">IFERROR(K27*$E27, "")</f>
        <v>0</v>
      </c>
      <c r="Y27" s="284" t="n">
        <f aca="false">IFERROR(L27*$E27, "")</f>
        <v>0</v>
      </c>
      <c r="Z27" s="284" t="n">
        <f aca="false">IFERROR(M27*$E27, "")</f>
        <v>0</v>
      </c>
      <c r="AA27" s="284" t="n">
        <f aca="false">IFERROR(N27*$E27, "")</f>
        <v>0</v>
      </c>
      <c r="AB27" s="284" t="n">
        <f aca="false">IFERROR(O27*$E27, "")</f>
        <v>0</v>
      </c>
      <c r="AC27" s="284" t="n">
        <f aca="false">IFERROR(P27*$E27, "")</f>
        <v>0</v>
      </c>
      <c r="AD27" s="284" t="n">
        <f aca="false">IFERROR(Q27*$E27, "")</f>
        <v>0</v>
      </c>
      <c r="AE27" s="284" t="n">
        <f aca="false">IFERROR(R27*$E27, "")</f>
        <v>0</v>
      </c>
      <c r="AF27" s="284" t="n">
        <f aca="false">IFERROR(S27*$E27, "")</f>
        <v>0</v>
      </c>
      <c r="AG27" s="284" t="n">
        <f aca="false">IFERROR(T27*$E27, "")</f>
        <v>0</v>
      </c>
      <c r="AH27" s="286" t="n">
        <f aca="false">IFERROR(SUMIF($V$4:$AG$4, "RDEC", V27:AG27), "")</f>
        <v>0</v>
      </c>
      <c r="AI27" s="286" t="n">
        <f aca="false">IFERROR(SUMIF($V$4:$AG$4, "SME", V27:AG27), "")</f>
        <v>0</v>
      </c>
      <c r="AJ27" s="286" t="n">
        <f aca="false">IFERROR(SUMIF($V$4:$AG$4, "De Minimis", V27:AG27), "")</f>
        <v>0</v>
      </c>
      <c r="AK27" s="287"/>
      <c r="AL27" s="288" t="str">
        <f aca="false">IF((SUM(I27:T27)&gt;1),"ERROR","")</f>
        <v/>
      </c>
    </row>
    <row r="28" customFormat="false" ht="15" hidden="false" customHeight="true" outlineLevel="0" collapsed="false">
      <c r="A28" s="340"/>
      <c r="H28" s="350"/>
      <c r="I28" s="282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3"/>
      <c r="V28" s="284" t="n">
        <f aca="false">IFERROR(I28*$E28, "")</f>
        <v>0</v>
      </c>
      <c r="W28" s="284" t="n">
        <f aca="false">IFERROR(J28*$E28, "")</f>
        <v>0</v>
      </c>
      <c r="X28" s="284" t="n">
        <f aca="false">IFERROR(K28*$E28, "")</f>
        <v>0</v>
      </c>
      <c r="Y28" s="284" t="n">
        <f aca="false">IFERROR(L28*$E28, "")</f>
        <v>0</v>
      </c>
      <c r="Z28" s="284" t="n">
        <f aca="false">IFERROR(M28*$E28, "")</f>
        <v>0</v>
      </c>
      <c r="AA28" s="284" t="n">
        <f aca="false">IFERROR(N28*$E28, "")</f>
        <v>0</v>
      </c>
      <c r="AB28" s="284" t="n">
        <f aca="false">IFERROR(O28*$E28, "")</f>
        <v>0</v>
      </c>
      <c r="AC28" s="284" t="n">
        <f aca="false">IFERROR(P28*$E28, "")</f>
        <v>0</v>
      </c>
      <c r="AD28" s="284" t="n">
        <f aca="false">IFERROR(Q28*$E28, "")</f>
        <v>0</v>
      </c>
      <c r="AE28" s="284" t="n">
        <f aca="false">IFERROR(R28*$E28, "")</f>
        <v>0</v>
      </c>
      <c r="AF28" s="284" t="n">
        <f aca="false">IFERROR(S28*$E28, "")</f>
        <v>0</v>
      </c>
      <c r="AG28" s="284" t="n">
        <f aca="false">IFERROR(T28*$E28, "")</f>
        <v>0</v>
      </c>
      <c r="AH28" s="286" t="n">
        <f aca="false">IFERROR(SUMIF($V$4:$AG$4, "RDEC", V28:AG28), "")</f>
        <v>0</v>
      </c>
      <c r="AI28" s="286" t="n">
        <f aca="false">IFERROR(SUMIF($V$4:$AG$4, "SME", V28:AG28), "")</f>
        <v>0</v>
      </c>
      <c r="AJ28" s="286" t="n">
        <f aca="false">IFERROR(SUMIF($V$4:$AG$4, "De Minimis", V28:AG28), "")</f>
        <v>0</v>
      </c>
      <c r="AK28" s="287"/>
      <c r="AL28" s="288" t="str">
        <f aca="false">IF((SUM(I28:T28)&gt;1),"ERROR","")</f>
        <v/>
      </c>
    </row>
    <row r="29" customFormat="false" ht="15" hidden="false" customHeight="true" outlineLevel="0" collapsed="false">
      <c r="A29" s="340"/>
      <c r="H29" s="350"/>
      <c r="I29" s="282"/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3"/>
      <c r="V29" s="284" t="n">
        <f aca="false">IFERROR(I29*$E29, "")</f>
        <v>0</v>
      </c>
      <c r="W29" s="284" t="n">
        <f aca="false">IFERROR(J29*$E29, "")</f>
        <v>0</v>
      </c>
      <c r="X29" s="284" t="n">
        <f aca="false">IFERROR(K29*$E29, "")</f>
        <v>0</v>
      </c>
      <c r="Y29" s="284" t="n">
        <f aca="false">IFERROR(L29*$E29, "")</f>
        <v>0</v>
      </c>
      <c r="Z29" s="284" t="n">
        <f aca="false">IFERROR(M29*$E29, "")</f>
        <v>0</v>
      </c>
      <c r="AA29" s="284" t="n">
        <f aca="false">IFERROR(N29*$E29, "")</f>
        <v>0</v>
      </c>
      <c r="AB29" s="284" t="n">
        <f aca="false">IFERROR(O29*$E29, "")</f>
        <v>0</v>
      </c>
      <c r="AC29" s="284" t="n">
        <f aca="false">IFERROR(P29*$E29, "")</f>
        <v>0</v>
      </c>
      <c r="AD29" s="284" t="n">
        <f aca="false">IFERROR(Q29*$E29, "")</f>
        <v>0</v>
      </c>
      <c r="AE29" s="284" t="n">
        <f aca="false">IFERROR(R29*$E29, "")</f>
        <v>0</v>
      </c>
      <c r="AF29" s="284" t="n">
        <f aca="false">IFERROR(S29*$E29, "")</f>
        <v>0</v>
      </c>
      <c r="AG29" s="284" t="n">
        <f aca="false">IFERROR(T29*$E29, "")</f>
        <v>0</v>
      </c>
      <c r="AH29" s="286" t="n">
        <f aca="false">IFERROR(SUMIF($V$4:$AG$4, "RDEC", V29:AG29), "")</f>
        <v>0</v>
      </c>
      <c r="AI29" s="286" t="n">
        <f aca="false">IFERROR(SUMIF($V$4:$AG$4, "SME", V29:AG29), "")</f>
        <v>0</v>
      </c>
      <c r="AJ29" s="286" t="n">
        <f aca="false">IFERROR(SUMIF($V$4:$AG$4, "De Minimis", V29:AG29), "")</f>
        <v>0</v>
      </c>
      <c r="AK29" s="287"/>
      <c r="AL29" s="288" t="str">
        <f aca="false">IF((SUM(I29:T29)&gt;1),"ERROR","")</f>
        <v/>
      </c>
    </row>
    <row r="30" customFormat="false" ht="15" hidden="false" customHeight="true" outlineLevel="0" collapsed="false">
      <c r="A30" s="340"/>
      <c r="H30" s="350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3"/>
      <c r="V30" s="284" t="n">
        <f aca="false">IFERROR(I30*$E30, "")</f>
        <v>0</v>
      </c>
      <c r="W30" s="284" t="n">
        <f aca="false">IFERROR(J30*$E30, "")</f>
        <v>0</v>
      </c>
      <c r="X30" s="284" t="n">
        <f aca="false">IFERROR(K30*$E30, "")</f>
        <v>0</v>
      </c>
      <c r="Y30" s="284" t="n">
        <f aca="false">IFERROR(L30*$E30, "")</f>
        <v>0</v>
      </c>
      <c r="Z30" s="284" t="n">
        <f aca="false">IFERROR(M30*$E30, "")</f>
        <v>0</v>
      </c>
      <c r="AA30" s="284" t="n">
        <f aca="false">IFERROR(N30*$E30, "")</f>
        <v>0</v>
      </c>
      <c r="AB30" s="284" t="n">
        <f aca="false">IFERROR(O30*$E30, "")</f>
        <v>0</v>
      </c>
      <c r="AC30" s="284" t="n">
        <f aca="false">IFERROR(P30*$E30, "")</f>
        <v>0</v>
      </c>
      <c r="AD30" s="284" t="n">
        <f aca="false">IFERROR(Q30*$E30, "")</f>
        <v>0</v>
      </c>
      <c r="AE30" s="284" t="n">
        <f aca="false">IFERROR(R30*$E30, "")</f>
        <v>0</v>
      </c>
      <c r="AF30" s="284" t="n">
        <f aca="false">IFERROR(S30*$E30, "")</f>
        <v>0</v>
      </c>
      <c r="AG30" s="284" t="n">
        <f aca="false">IFERROR(T30*$E30, "")</f>
        <v>0</v>
      </c>
      <c r="AH30" s="286" t="n">
        <f aca="false">IFERROR(SUMIF($V$4:$AG$4, "RDEC", V30:AG30), "")</f>
        <v>0</v>
      </c>
      <c r="AI30" s="286" t="n">
        <f aca="false">IFERROR(SUMIF($V$4:$AG$4, "SME", V30:AG30), "")</f>
        <v>0</v>
      </c>
      <c r="AJ30" s="286" t="n">
        <f aca="false">IFERROR(SUMIF($V$4:$AG$4, "De Minimis", V30:AG30), "")</f>
        <v>0</v>
      </c>
      <c r="AK30" s="287"/>
      <c r="AL30" s="288" t="str">
        <f aca="false">IF((SUM(I30:T30)&gt;1),"ERROR","")</f>
        <v/>
      </c>
    </row>
    <row r="31" customFormat="false" ht="15" hidden="false" customHeight="true" outlineLevel="0" collapsed="false">
      <c r="A31" s="340"/>
      <c r="H31" s="350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3"/>
      <c r="V31" s="284" t="n">
        <f aca="false">IFERROR(I31*$E31, "")</f>
        <v>0</v>
      </c>
      <c r="W31" s="284" t="n">
        <f aca="false">IFERROR(J31*$E31, "")</f>
        <v>0</v>
      </c>
      <c r="X31" s="284" t="n">
        <f aca="false">IFERROR(K31*$E31, "")</f>
        <v>0</v>
      </c>
      <c r="Y31" s="284" t="n">
        <f aca="false">IFERROR(L31*$E31, "")</f>
        <v>0</v>
      </c>
      <c r="Z31" s="284" t="n">
        <f aca="false">IFERROR(M31*$E31, "")</f>
        <v>0</v>
      </c>
      <c r="AA31" s="284" t="n">
        <f aca="false">IFERROR(N31*$E31, "")</f>
        <v>0</v>
      </c>
      <c r="AB31" s="284" t="n">
        <f aca="false">IFERROR(O31*$E31, "")</f>
        <v>0</v>
      </c>
      <c r="AC31" s="284" t="n">
        <f aca="false">IFERROR(P31*$E31, "")</f>
        <v>0</v>
      </c>
      <c r="AD31" s="284" t="n">
        <f aca="false">IFERROR(Q31*$E31, "")</f>
        <v>0</v>
      </c>
      <c r="AE31" s="284" t="n">
        <f aca="false">IFERROR(R31*$E31, "")</f>
        <v>0</v>
      </c>
      <c r="AF31" s="284" t="n">
        <f aca="false">IFERROR(S31*$E31, "")</f>
        <v>0</v>
      </c>
      <c r="AG31" s="284" t="n">
        <f aca="false">IFERROR(T31*$E31, "")</f>
        <v>0</v>
      </c>
      <c r="AH31" s="286" t="n">
        <f aca="false">IFERROR(SUMIF($V$4:$AG$4, "RDEC", V31:AG31), "")</f>
        <v>0</v>
      </c>
      <c r="AI31" s="286" t="n">
        <f aca="false">IFERROR(SUMIF($V$4:$AG$4, "SME", V31:AG31), "")</f>
        <v>0</v>
      </c>
      <c r="AJ31" s="286" t="n">
        <f aca="false">IFERROR(SUMIF($V$4:$AG$4, "De Minimis", V31:AG31), "")</f>
        <v>0</v>
      </c>
      <c r="AK31" s="287"/>
      <c r="AL31" s="288" t="str">
        <f aca="false">IF((SUM(I31:T31)&gt;1),"ERROR","")</f>
        <v/>
      </c>
    </row>
    <row r="32" customFormat="false" ht="15" hidden="false" customHeight="true" outlineLevel="0" collapsed="false">
      <c r="A32" s="340"/>
      <c r="H32" s="350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3"/>
      <c r="V32" s="284" t="n">
        <f aca="false">IFERROR(I32*$E32, "")</f>
        <v>0</v>
      </c>
      <c r="W32" s="284" t="n">
        <f aca="false">IFERROR(J32*$E32, "")</f>
        <v>0</v>
      </c>
      <c r="X32" s="284" t="n">
        <f aca="false">IFERROR(K32*$E32, "")</f>
        <v>0</v>
      </c>
      <c r="Y32" s="284" t="n">
        <f aca="false">IFERROR(L32*$E32, "")</f>
        <v>0</v>
      </c>
      <c r="Z32" s="284" t="n">
        <f aca="false">IFERROR(M32*$E32, "")</f>
        <v>0</v>
      </c>
      <c r="AA32" s="284" t="n">
        <f aca="false">IFERROR(N32*$E32, "")</f>
        <v>0</v>
      </c>
      <c r="AB32" s="284" t="n">
        <f aca="false">IFERROR(O32*$E32, "")</f>
        <v>0</v>
      </c>
      <c r="AC32" s="284" t="n">
        <f aca="false">IFERROR(P32*$E32, "")</f>
        <v>0</v>
      </c>
      <c r="AD32" s="284" t="n">
        <f aca="false">IFERROR(Q32*$E32, "")</f>
        <v>0</v>
      </c>
      <c r="AE32" s="284" t="n">
        <f aca="false">IFERROR(R32*$E32, "")</f>
        <v>0</v>
      </c>
      <c r="AF32" s="284" t="n">
        <f aca="false">IFERROR(S32*$E32, "")</f>
        <v>0</v>
      </c>
      <c r="AG32" s="284" t="n">
        <f aca="false">IFERROR(T32*$E32, "")</f>
        <v>0</v>
      </c>
      <c r="AH32" s="286" t="n">
        <f aca="false">IFERROR(SUMIF($V$4:$AG$4, "RDEC", V32:AG32), "")</f>
        <v>0</v>
      </c>
      <c r="AI32" s="286" t="n">
        <f aca="false">IFERROR(SUMIF($V$4:$AG$4, "SME", V32:AG32), "")</f>
        <v>0</v>
      </c>
      <c r="AJ32" s="286" t="n">
        <f aca="false">IFERROR(SUMIF($V$4:$AG$4, "De Minimis", V32:AG32), "")</f>
        <v>0</v>
      </c>
      <c r="AK32" s="287"/>
      <c r="AL32" s="288" t="str">
        <f aca="false">IF((SUM(I32:T32)&gt;1),"ERROR","")</f>
        <v/>
      </c>
    </row>
    <row r="33" customFormat="false" ht="15" hidden="false" customHeight="true" outlineLevel="0" collapsed="false">
      <c r="A33" s="340"/>
      <c r="H33" s="350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3"/>
      <c r="V33" s="284" t="n">
        <f aca="false">IFERROR(I33*$E33, "")</f>
        <v>0</v>
      </c>
      <c r="W33" s="284" t="n">
        <f aca="false">IFERROR(J33*$E33, "")</f>
        <v>0</v>
      </c>
      <c r="X33" s="284" t="n">
        <f aca="false">IFERROR(K33*$E33, "")</f>
        <v>0</v>
      </c>
      <c r="Y33" s="284" t="n">
        <f aca="false">IFERROR(L33*$E33, "")</f>
        <v>0</v>
      </c>
      <c r="Z33" s="284" t="n">
        <f aca="false">IFERROR(M33*$E33, "")</f>
        <v>0</v>
      </c>
      <c r="AA33" s="284" t="n">
        <f aca="false">IFERROR(N33*$E33, "")</f>
        <v>0</v>
      </c>
      <c r="AB33" s="284" t="n">
        <f aca="false">IFERROR(O33*$E33, "")</f>
        <v>0</v>
      </c>
      <c r="AC33" s="284" t="n">
        <f aca="false">IFERROR(P33*$E33, "")</f>
        <v>0</v>
      </c>
      <c r="AD33" s="284" t="n">
        <f aca="false">IFERROR(Q33*$E33, "")</f>
        <v>0</v>
      </c>
      <c r="AE33" s="284" t="n">
        <f aca="false">IFERROR(R33*$E33, "")</f>
        <v>0</v>
      </c>
      <c r="AF33" s="284" t="n">
        <f aca="false">IFERROR(S33*$E33, "")</f>
        <v>0</v>
      </c>
      <c r="AG33" s="284" t="n">
        <f aca="false">IFERROR(T33*$E33, "")</f>
        <v>0</v>
      </c>
      <c r="AH33" s="286" t="n">
        <f aca="false">IFERROR(SUMIF($V$4:$AG$4, "RDEC", V33:AG33), "")</f>
        <v>0</v>
      </c>
      <c r="AI33" s="286" t="n">
        <f aca="false">IFERROR(SUMIF($V$4:$AG$4, "SME", V33:AG33), "")</f>
        <v>0</v>
      </c>
      <c r="AJ33" s="286" t="n">
        <f aca="false">IFERROR(SUMIF($V$4:$AG$4, "De Minimis", V33:AG33), "")</f>
        <v>0</v>
      </c>
      <c r="AK33" s="287"/>
      <c r="AL33" s="288" t="str">
        <f aca="false">IF((SUM(I33:T33)&gt;1),"ERROR","")</f>
        <v/>
      </c>
    </row>
    <row r="34" customFormat="false" ht="15" hidden="false" customHeight="true" outlineLevel="0" collapsed="false">
      <c r="A34" s="340"/>
      <c r="H34" s="350"/>
      <c r="I34" s="282"/>
      <c r="J34" s="282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3"/>
      <c r="V34" s="284" t="n">
        <f aca="false">IFERROR(I34*$E34, "")</f>
        <v>0</v>
      </c>
      <c r="W34" s="284" t="n">
        <f aca="false">IFERROR(J34*$E34, "")</f>
        <v>0</v>
      </c>
      <c r="X34" s="284" t="n">
        <f aca="false">IFERROR(K34*$E34, "")</f>
        <v>0</v>
      </c>
      <c r="Y34" s="284" t="n">
        <f aca="false">IFERROR(L34*$E34, "")</f>
        <v>0</v>
      </c>
      <c r="Z34" s="284" t="n">
        <f aca="false">IFERROR(M34*$E34, "")</f>
        <v>0</v>
      </c>
      <c r="AA34" s="284" t="n">
        <f aca="false">IFERROR(N34*$E34, "")</f>
        <v>0</v>
      </c>
      <c r="AB34" s="284" t="n">
        <f aca="false">IFERROR(O34*$E34, "")</f>
        <v>0</v>
      </c>
      <c r="AC34" s="284" t="n">
        <f aca="false">IFERROR(P34*$E34, "")</f>
        <v>0</v>
      </c>
      <c r="AD34" s="284" t="n">
        <f aca="false">IFERROR(Q34*$E34, "")</f>
        <v>0</v>
      </c>
      <c r="AE34" s="284" t="n">
        <f aca="false">IFERROR(R34*$E34, "")</f>
        <v>0</v>
      </c>
      <c r="AF34" s="284" t="n">
        <f aca="false">IFERROR(S34*$E34, "")</f>
        <v>0</v>
      </c>
      <c r="AG34" s="284" t="n">
        <f aca="false">IFERROR(T34*$E34, "")</f>
        <v>0</v>
      </c>
      <c r="AH34" s="286" t="n">
        <f aca="false">IFERROR(SUMIF($V$4:$AG$4, "RDEC", V34:AG34), "")</f>
        <v>0</v>
      </c>
      <c r="AI34" s="286" t="n">
        <f aca="false">IFERROR(SUMIF($V$4:$AG$4, "SME", V34:AG34), "")</f>
        <v>0</v>
      </c>
      <c r="AJ34" s="286" t="n">
        <f aca="false">IFERROR(SUMIF($V$4:$AG$4, "De Minimis", V34:AG34), "")</f>
        <v>0</v>
      </c>
      <c r="AK34" s="303"/>
      <c r="AL34" s="288" t="str">
        <f aca="false">IF((SUM(I34:T34)&gt;1),"ERROR","")</f>
        <v/>
      </c>
    </row>
    <row r="35" customFormat="false" ht="15" hidden="false" customHeight="true" outlineLevel="0" collapsed="false">
      <c r="A35" s="340"/>
      <c r="H35" s="350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3"/>
      <c r="V35" s="284" t="n">
        <f aca="false">IFERROR(I35*$E35, "")</f>
        <v>0</v>
      </c>
      <c r="W35" s="284" t="n">
        <f aca="false">IFERROR(J35*$E35, "")</f>
        <v>0</v>
      </c>
      <c r="X35" s="284" t="n">
        <f aca="false">IFERROR(K35*$E35, "")</f>
        <v>0</v>
      </c>
      <c r="Y35" s="284" t="n">
        <f aca="false">IFERROR(L35*$E35, "")</f>
        <v>0</v>
      </c>
      <c r="Z35" s="284" t="n">
        <f aca="false">IFERROR(M35*$E35, "")</f>
        <v>0</v>
      </c>
      <c r="AA35" s="284" t="n">
        <f aca="false">IFERROR(N35*$E35, "")</f>
        <v>0</v>
      </c>
      <c r="AB35" s="284" t="n">
        <f aca="false">IFERROR(O35*$E35, "")</f>
        <v>0</v>
      </c>
      <c r="AC35" s="284" t="n">
        <f aca="false">IFERROR(P35*$E35, "")</f>
        <v>0</v>
      </c>
      <c r="AD35" s="284" t="n">
        <f aca="false">IFERROR(Q35*$E35, "")</f>
        <v>0</v>
      </c>
      <c r="AE35" s="284" t="n">
        <f aca="false">IFERROR(R35*$E35, "")</f>
        <v>0</v>
      </c>
      <c r="AF35" s="284" t="n">
        <f aca="false">IFERROR(S35*$E35, "")</f>
        <v>0</v>
      </c>
      <c r="AG35" s="284" t="n">
        <f aca="false">IFERROR(T35*$E35, "")</f>
        <v>0</v>
      </c>
      <c r="AH35" s="286" t="n">
        <f aca="false">IFERROR(SUMIF($V$4:$AG$4, "RDEC", V35:AG35), "")</f>
        <v>0</v>
      </c>
      <c r="AI35" s="286" t="n">
        <f aca="false">IFERROR(SUMIF($V$4:$AG$4, "SME", V35:AG35), "")</f>
        <v>0</v>
      </c>
      <c r="AJ35" s="286" t="n">
        <f aca="false">IFERROR(SUMIF($V$4:$AG$4, "De Minimis", V35:AG35), "")</f>
        <v>0</v>
      </c>
      <c r="AK35" s="303"/>
      <c r="AL35" s="288" t="str">
        <f aca="false">IF((SUM(I35:T35)&gt;1),"ERROR","")</f>
        <v/>
      </c>
    </row>
    <row r="36" customFormat="false" ht="15" hidden="false" customHeight="true" outlineLevel="0" collapsed="false">
      <c r="A36" s="340"/>
      <c r="H36" s="350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3"/>
      <c r="V36" s="284" t="n">
        <f aca="false">IFERROR(I36*$E36, "")</f>
        <v>0</v>
      </c>
      <c r="W36" s="284" t="n">
        <f aca="false">IFERROR(J36*$E36, "")</f>
        <v>0</v>
      </c>
      <c r="X36" s="284" t="n">
        <f aca="false">IFERROR(K36*$E36, "")</f>
        <v>0</v>
      </c>
      <c r="Y36" s="284" t="n">
        <f aca="false">IFERROR(L36*$E36, "")</f>
        <v>0</v>
      </c>
      <c r="Z36" s="284" t="n">
        <f aca="false">IFERROR(M36*$E36, "")</f>
        <v>0</v>
      </c>
      <c r="AA36" s="284" t="n">
        <f aca="false">IFERROR(N36*$E36, "")</f>
        <v>0</v>
      </c>
      <c r="AB36" s="284" t="n">
        <f aca="false">IFERROR(O36*$E36, "")</f>
        <v>0</v>
      </c>
      <c r="AC36" s="284" t="n">
        <f aca="false">IFERROR(P36*$E36, "")</f>
        <v>0</v>
      </c>
      <c r="AD36" s="284" t="n">
        <f aca="false">IFERROR(Q36*$E36, "")</f>
        <v>0</v>
      </c>
      <c r="AE36" s="284" t="n">
        <f aca="false">IFERROR(R36*$E36, "")</f>
        <v>0</v>
      </c>
      <c r="AF36" s="284" t="n">
        <f aca="false">IFERROR(S36*$E36, "")</f>
        <v>0</v>
      </c>
      <c r="AG36" s="284" t="n">
        <f aca="false">IFERROR(T36*$E36, "")</f>
        <v>0</v>
      </c>
      <c r="AH36" s="286" t="n">
        <f aca="false">IFERROR(SUMIF($V$4:$AG$4, "RDEC", V36:AG36), "")</f>
        <v>0</v>
      </c>
      <c r="AI36" s="286" t="n">
        <f aca="false">IFERROR(SUMIF($V$4:$AG$4, "SME", V36:AG36), "")</f>
        <v>0</v>
      </c>
      <c r="AJ36" s="286" t="n">
        <f aca="false">IFERROR(SUMIF($V$4:$AG$4, "De Minimis", V36:AG36), "")</f>
        <v>0</v>
      </c>
      <c r="AK36" s="268"/>
      <c r="AL36" s="288" t="str">
        <f aca="false">IF((SUM(I36:T36)&gt;1),"ERROR","")</f>
        <v/>
      </c>
    </row>
    <row r="37" customFormat="false" ht="15" hidden="false" customHeight="true" outlineLevel="0" collapsed="false">
      <c r="A37" s="340"/>
      <c r="H37" s="350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3"/>
      <c r="V37" s="284" t="n">
        <f aca="false">IFERROR(I37*$E37, "")</f>
        <v>0</v>
      </c>
      <c r="W37" s="284" t="n">
        <f aca="false">IFERROR(J37*$E37, "")</f>
        <v>0</v>
      </c>
      <c r="X37" s="284" t="n">
        <f aca="false">IFERROR(K37*$E37, "")</f>
        <v>0</v>
      </c>
      <c r="Y37" s="284" t="n">
        <f aca="false">IFERROR(L37*$E37, "")</f>
        <v>0</v>
      </c>
      <c r="Z37" s="284" t="n">
        <f aca="false">IFERROR(M37*$E37, "")</f>
        <v>0</v>
      </c>
      <c r="AA37" s="284" t="n">
        <f aca="false">IFERROR(N37*$E37, "")</f>
        <v>0</v>
      </c>
      <c r="AB37" s="284" t="n">
        <f aca="false">IFERROR(O37*$E37, "")</f>
        <v>0</v>
      </c>
      <c r="AC37" s="284" t="n">
        <f aca="false">IFERROR(P37*$E37, "")</f>
        <v>0</v>
      </c>
      <c r="AD37" s="284" t="n">
        <f aca="false">IFERROR(Q37*$E37, "")</f>
        <v>0</v>
      </c>
      <c r="AE37" s="284" t="n">
        <f aca="false">IFERROR(R37*$E37, "")</f>
        <v>0</v>
      </c>
      <c r="AF37" s="284" t="n">
        <f aca="false">IFERROR(S37*$E37, "")</f>
        <v>0</v>
      </c>
      <c r="AG37" s="284" t="n">
        <f aca="false">IFERROR(T37*$E37, "")</f>
        <v>0</v>
      </c>
      <c r="AH37" s="286" t="n">
        <f aca="false">IFERROR(SUMIF($V$4:$AG$4, "RDEC", V37:AG37), "")</f>
        <v>0</v>
      </c>
      <c r="AI37" s="286" t="n">
        <f aca="false">IFERROR(SUMIF($V$4:$AG$4, "SME", V37:AG37), "")</f>
        <v>0</v>
      </c>
      <c r="AJ37" s="286" t="n">
        <f aca="false">IFERROR(SUMIF($V$4:$AG$4, "De Minimis", V37:AG37), "")</f>
        <v>0</v>
      </c>
      <c r="AK37" s="287"/>
      <c r="AL37" s="288" t="str">
        <f aca="false">IF((SUM(I37:T37)&gt;1),"ERROR","")</f>
        <v/>
      </c>
    </row>
    <row r="38" customFormat="false" ht="15" hidden="false" customHeight="true" outlineLevel="0" collapsed="false">
      <c r="A38" s="340"/>
      <c r="H38" s="350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3"/>
      <c r="V38" s="284" t="n">
        <f aca="false">IFERROR(I38*$E38, "")</f>
        <v>0</v>
      </c>
      <c r="W38" s="284" t="n">
        <f aca="false">IFERROR(J38*$E38, "")</f>
        <v>0</v>
      </c>
      <c r="X38" s="284" t="n">
        <f aca="false">IFERROR(K38*$E38, "")</f>
        <v>0</v>
      </c>
      <c r="Y38" s="284" t="n">
        <f aca="false">IFERROR(L38*$E38, "")</f>
        <v>0</v>
      </c>
      <c r="Z38" s="284" t="n">
        <f aca="false">IFERROR(M38*$E38, "")</f>
        <v>0</v>
      </c>
      <c r="AA38" s="284" t="n">
        <f aca="false">IFERROR(N38*$E38, "")</f>
        <v>0</v>
      </c>
      <c r="AB38" s="284" t="n">
        <f aca="false">IFERROR(O38*$E38, "")</f>
        <v>0</v>
      </c>
      <c r="AC38" s="284" t="n">
        <f aca="false">IFERROR(P38*$E38, "")</f>
        <v>0</v>
      </c>
      <c r="AD38" s="284" t="n">
        <f aca="false">IFERROR(Q38*$E38, "")</f>
        <v>0</v>
      </c>
      <c r="AE38" s="284" t="n">
        <f aca="false">IFERROR(R38*$E38, "")</f>
        <v>0</v>
      </c>
      <c r="AF38" s="284" t="n">
        <f aca="false">IFERROR(S38*$E38, "")</f>
        <v>0</v>
      </c>
      <c r="AG38" s="284" t="n">
        <f aca="false">IFERROR(T38*$E38, "")</f>
        <v>0</v>
      </c>
      <c r="AH38" s="286" t="n">
        <f aca="false">IFERROR(SUMIF($V$4:$AG$4, "RDEC", V38:AG38), "")</f>
        <v>0</v>
      </c>
      <c r="AI38" s="286" t="n">
        <f aca="false">IFERROR(SUMIF($V$4:$AG$4, "SME", V38:AG38), "")</f>
        <v>0</v>
      </c>
      <c r="AJ38" s="286" t="n">
        <f aca="false">IFERROR(SUMIF($V$4:$AG$4, "De Minimis", V38:AG38), "")</f>
        <v>0</v>
      </c>
      <c r="AK38" s="287"/>
      <c r="AL38" s="288" t="str">
        <f aca="false">IF((SUM(I38:T38)&gt;1),"ERROR","")</f>
        <v/>
      </c>
    </row>
    <row r="39" customFormat="false" ht="15" hidden="false" customHeight="true" outlineLevel="0" collapsed="false">
      <c r="A39" s="340"/>
      <c r="H39" s="350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3"/>
      <c r="V39" s="284" t="n">
        <f aca="false">IFERROR(I39*$E39, "")</f>
        <v>0</v>
      </c>
      <c r="W39" s="284" t="n">
        <f aca="false">IFERROR(J39*$E39, "")</f>
        <v>0</v>
      </c>
      <c r="X39" s="284" t="n">
        <f aca="false">IFERROR(K39*$E39, "")</f>
        <v>0</v>
      </c>
      <c r="Y39" s="284" t="n">
        <f aca="false">IFERROR(L39*$E39, "")</f>
        <v>0</v>
      </c>
      <c r="Z39" s="284" t="n">
        <f aca="false">IFERROR(M39*$E39, "")</f>
        <v>0</v>
      </c>
      <c r="AA39" s="284" t="n">
        <f aca="false">IFERROR(N39*$E39, "")</f>
        <v>0</v>
      </c>
      <c r="AB39" s="284" t="n">
        <f aca="false">IFERROR(O39*$E39, "")</f>
        <v>0</v>
      </c>
      <c r="AC39" s="284" t="n">
        <f aca="false">IFERROR(P39*$E39, "")</f>
        <v>0</v>
      </c>
      <c r="AD39" s="284" t="n">
        <f aca="false">IFERROR(Q39*$E39, "")</f>
        <v>0</v>
      </c>
      <c r="AE39" s="284" t="n">
        <f aca="false">IFERROR(R39*$E39, "")</f>
        <v>0</v>
      </c>
      <c r="AF39" s="284" t="n">
        <f aca="false">IFERROR(S39*$E39, "")</f>
        <v>0</v>
      </c>
      <c r="AG39" s="284" t="n">
        <f aca="false">IFERROR(T39*$E39, "")</f>
        <v>0</v>
      </c>
      <c r="AH39" s="286" t="n">
        <f aca="false">IFERROR(SUMIF($V$4:$AG$4, "RDEC", V39:AG39), "")</f>
        <v>0</v>
      </c>
      <c r="AI39" s="286" t="n">
        <f aca="false">IFERROR(SUMIF($V$4:$AG$4, "SME", V39:AG39), "")</f>
        <v>0</v>
      </c>
      <c r="AJ39" s="286" t="n">
        <f aca="false">IFERROR(SUMIF($V$4:$AG$4, "De Minimis", V39:AG39), "")</f>
        <v>0</v>
      </c>
      <c r="AK39" s="287"/>
      <c r="AL39" s="288" t="str">
        <f aca="false">IF((SUM(I39:T39)&gt;1),"ERROR","")</f>
        <v/>
      </c>
    </row>
    <row r="40" customFormat="false" ht="15" hidden="false" customHeight="true" outlineLevel="0" collapsed="false">
      <c r="A40" s="340"/>
      <c r="H40" s="350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3"/>
      <c r="V40" s="284" t="n">
        <f aca="false">IFERROR(I40*$E40, "")</f>
        <v>0</v>
      </c>
      <c r="W40" s="284" t="n">
        <f aca="false">IFERROR(J40*$E40, "")</f>
        <v>0</v>
      </c>
      <c r="X40" s="284" t="n">
        <f aca="false">IFERROR(K40*$E40, "")</f>
        <v>0</v>
      </c>
      <c r="Y40" s="284" t="n">
        <f aca="false">IFERROR(L40*$E40, "")</f>
        <v>0</v>
      </c>
      <c r="Z40" s="284" t="n">
        <f aca="false">IFERROR(M40*$E40, "")</f>
        <v>0</v>
      </c>
      <c r="AA40" s="284" t="n">
        <f aca="false">IFERROR(N40*$E40, "")</f>
        <v>0</v>
      </c>
      <c r="AB40" s="284" t="n">
        <f aca="false">IFERROR(O40*$E40, "")</f>
        <v>0</v>
      </c>
      <c r="AC40" s="284" t="n">
        <f aca="false">IFERROR(P40*$E40, "")</f>
        <v>0</v>
      </c>
      <c r="AD40" s="284" t="n">
        <f aca="false">IFERROR(Q40*$E40, "")</f>
        <v>0</v>
      </c>
      <c r="AE40" s="284" t="n">
        <f aca="false">IFERROR(R40*$E40, "")</f>
        <v>0</v>
      </c>
      <c r="AF40" s="284" t="n">
        <f aca="false">IFERROR(S40*$E40, "")</f>
        <v>0</v>
      </c>
      <c r="AG40" s="284" t="n">
        <f aca="false">IFERROR(T40*$E40, "")</f>
        <v>0</v>
      </c>
      <c r="AH40" s="286" t="n">
        <f aca="false">IFERROR(SUMIF($V$4:$AG$4, "RDEC", V40:AG40), "")</f>
        <v>0</v>
      </c>
      <c r="AI40" s="286" t="n">
        <f aca="false">IFERROR(SUMIF($V$4:$AG$4, "SME", V40:AG40), "")</f>
        <v>0</v>
      </c>
      <c r="AJ40" s="286" t="n">
        <f aca="false">IFERROR(SUMIF($V$4:$AG$4, "De Minimis", V40:AG40), "")</f>
        <v>0</v>
      </c>
      <c r="AK40" s="287"/>
      <c r="AL40" s="288" t="str">
        <f aca="false">IF((SUM(I40:T40)&gt;1),"ERROR","")</f>
        <v/>
      </c>
    </row>
    <row r="41" customFormat="false" ht="15" hidden="false" customHeight="true" outlineLevel="0" collapsed="false">
      <c r="A41" s="340"/>
      <c r="H41" s="350"/>
      <c r="I41" s="282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3"/>
      <c r="V41" s="284" t="n">
        <f aca="false">IFERROR(I41*$E41, "")</f>
        <v>0</v>
      </c>
      <c r="W41" s="284" t="n">
        <f aca="false">IFERROR(J41*$E41, "")</f>
        <v>0</v>
      </c>
      <c r="X41" s="284" t="n">
        <f aca="false">IFERROR(K41*$E41, "")</f>
        <v>0</v>
      </c>
      <c r="Y41" s="284" t="n">
        <f aca="false">IFERROR(L41*$E41, "")</f>
        <v>0</v>
      </c>
      <c r="Z41" s="284" t="n">
        <f aca="false">IFERROR(M41*$E41, "")</f>
        <v>0</v>
      </c>
      <c r="AA41" s="284" t="n">
        <f aca="false">IFERROR(N41*$E41, "")</f>
        <v>0</v>
      </c>
      <c r="AB41" s="284" t="n">
        <f aca="false">IFERROR(O41*$E41, "")</f>
        <v>0</v>
      </c>
      <c r="AC41" s="284" t="n">
        <f aca="false">IFERROR(P41*$E41, "")</f>
        <v>0</v>
      </c>
      <c r="AD41" s="284" t="n">
        <f aca="false">IFERROR(Q41*$E41, "")</f>
        <v>0</v>
      </c>
      <c r="AE41" s="284" t="n">
        <f aca="false">IFERROR(R41*$E41, "")</f>
        <v>0</v>
      </c>
      <c r="AF41" s="284" t="n">
        <f aca="false">IFERROR(S41*$E41, "")</f>
        <v>0</v>
      </c>
      <c r="AG41" s="284" t="n">
        <f aca="false">IFERROR(T41*$E41, "")</f>
        <v>0</v>
      </c>
      <c r="AH41" s="286" t="n">
        <f aca="false">IFERROR(SUMIF($V$4:$AG$4, "RDEC", V41:AG41), "")</f>
        <v>0</v>
      </c>
      <c r="AI41" s="286" t="n">
        <f aca="false">IFERROR(SUMIF($V$4:$AG$4, "SME", V41:AG41), "")</f>
        <v>0</v>
      </c>
      <c r="AJ41" s="286" t="n">
        <f aca="false">IFERROR(SUMIF($V$4:$AG$4, "De Minimis", V41:AG41), "")</f>
        <v>0</v>
      </c>
      <c r="AK41" s="287"/>
      <c r="AL41" s="288" t="str">
        <f aca="false">IF((SUM(I41:T41)&gt;1),"ERROR","")</f>
        <v/>
      </c>
    </row>
    <row r="42" customFormat="false" ht="15" hidden="false" customHeight="true" outlineLevel="0" collapsed="false">
      <c r="A42" s="340"/>
      <c r="H42" s="350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3"/>
      <c r="V42" s="284" t="n">
        <f aca="false">IFERROR(I42*$E42, "")</f>
        <v>0</v>
      </c>
      <c r="W42" s="284" t="n">
        <f aca="false">IFERROR(J42*$E42, "")</f>
        <v>0</v>
      </c>
      <c r="X42" s="284" t="n">
        <f aca="false">IFERROR(K42*$E42, "")</f>
        <v>0</v>
      </c>
      <c r="Y42" s="284" t="n">
        <f aca="false">IFERROR(L42*$E42, "")</f>
        <v>0</v>
      </c>
      <c r="Z42" s="284" t="n">
        <f aca="false">IFERROR(M42*$E42, "")</f>
        <v>0</v>
      </c>
      <c r="AA42" s="284" t="n">
        <f aca="false">IFERROR(N42*$E42, "")</f>
        <v>0</v>
      </c>
      <c r="AB42" s="284" t="n">
        <f aca="false">IFERROR(O42*$E42, "")</f>
        <v>0</v>
      </c>
      <c r="AC42" s="284" t="n">
        <f aca="false">IFERROR(P42*$E42, "")</f>
        <v>0</v>
      </c>
      <c r="AD42" s="284" t="n">
        <f aca="false">IFERROR(Q42*$E42, "")</f>
        <v>0</v>
      </c>
      <c r="AE42" s="284" t="n">
        <f aca="false">IFERROR(R42*$E42, "")</f>
        <v>0</v>
      </c>
      <c r="AF42" s="284" t="n">
        <f aca="false">IFERROR(S42*$E42, "")</f>
        <v>0</v>
      </c>
      <c r="AG42" s="284" t="n">
        <f aca="false">IFERROR(T42*$E42, "")</f>
        <v>0</v>
      </c>
      <c r="AH42" s="286" t="n">
        <f aca="false">IFERROR(SUMIF($V$4:$AG$4, "RDEC", V42:AG42), "")</f>
        <v>0</v>
      </c>
      <c r="AI42" s="286" t="n">
        <f aca="false">IFERROR(SUMIF($V$4:$AG$4, "SME", V42:AG42), "")</f>
        <v>0</v>
      </c>
      <c r="AJ42" s="286" t="n">
        <f aca="false">IFERROR(SUMIF($V$4:$AG$4, "De Minimis", V42:AG42), "")</f>
        <v>0</v>
      </c>
      <c r="AK42" s="287"/>
      <c r="AL42" s="288" t="str">
        <f aca="false">IF((SUM(I42:T42)&gt;1),"ERROR","")</f>
        <v/>
      </c>
    </row>
    <row r="43" customFormat="false" ht="15" hidden="false" customHeight="true" outlineLevel="0" collapsed="false">
      <c r="A43" s="340"/>
      <c r="H43" s="350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3"/>
      <c r="V43" s="284" t="n">
        <f aca="false">IFERROR(I43*$E43, "")</f>
        <v>0</v>
      </c>
      <c r="W43" s="284" t="n">
        <f aca="false">IFERROR(J43*$E43, "")</f>
        <v>0</v>
      </c>
      <c r="X43" s="284" t="n">
        <f aca="false">IFERROR(K43*$E43, "")</f>
        <v>0</v>
      </c>
      <c r="Y43" s="284" t="n">
        <f aca="false">IFERROR(L43*$E43, "")</f>
        <v>0</v>
      </c>
      <c r="Z43" s="284" t="n">
        <f aca="false">IFERROR(M43*$E43, "")</f>
        <v>0</v>
      </c>
      <c r="AA43" s="284" t="n">
        <f aca="false">IFERROR(N43*$E43, "")</f>
        <v>0</v>
      </c>
      <c r="AB43" s="284" t="n">
        <f aca="false">IFERROR(O43*$E43, "")</f>
        <v>0</v>
      </c>
      <c r="AC43" s="284" t="n">
        <f aca="false">IFERROR(P43*$E43, "")</f>
        <v>0</v>
      </c>
      <c r="AD43" s="284" t="n">
        <f aca="false">IFERROR(Q43*$E43, "")</f>
        <v>0</v>
      </c>
      <c r="AE43" s="284" t="n">
        <f aca="false">IFERROR(R43*$E43, "")</f>
        <v>0</v>
      </c>
      <c r="AF43" s="284" t="n">
        <f aca="false">IFERROR(S43*$E43, "")</f>
        <v>0</v>
      </c>
      <c r="AG43" s="284" t="n">
        <f aca="false">IFERROR(T43*$E43, "")</f>
        <v>0</v>
      </c>
      <c r="AH43" s="286" t="n">
        <f aca="false">IFERROR(SUMIF($V$4:$AG$4, "RDEC", V43:AG43), "")</f>
        <v>0</v>
      </c>
      <c r="AI43" s="286" t="n">
        <f aca="false">IFERROR(SUMIF($V$4:$AG$4, "SME", V43:AG43), "")</f>
        <v>0</v>
      </c>
      <c r="AJ43" s="286" t="n">
        <f aca="false">IFERROR(SUMIF($V$4:$AG$4, "De Minimis", V43:AG43), "")</f>
        <v>0</v>
      </c>
      <c r="AK43" s="287"/>
      <c r="AL43" s="288" t="str">
        <f aca="false">IF((SUM(I43:T43)&gt;1),"ERROR","")</f>
        <v/>
      </c>
    </row>
    <row r="44" customFormat="false" ht="15" hidden="false" customHeight="true" outlineLevel="0" collapsed="false">
      <c r="A44" s="340"/>
      <c r="H44" s="350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3"/>
      <c r="V44" s="284" t="n">
        <f aca="false">IFERROR(I44*$E44, "")</f>
        <v>0</v>
      </c>
      <c r="W44" s="284" t="n">
        <f aca="false">IFERROR(J44*$E44, "")</f>
        <v>0</v>
      </c>
      <c r="X44" s="284" t="n">
        <f aca="false">IFERROR(K44*$E44, "")</f>
        <v>0</v>
      </c>
      <c r="Y44" s="284" t="n">
        <f aca="false">IFERROR(L44*$E44, "")</f>
        <v>0</v>
      </c>
      <c r="Z44" s="284" t="n">
        <f aca="false">IFERROR(M44*$E44, "")</f>
        <v>0</v>
      </c>
      <c r="AA44" s="284" t="n">
        <f aca="false">IFERROR(N44*$E44, "")</f>
        <v>0</v>
      </c>
      <c r="AB44" s="284" t="n">
        <f aca="false">IFERROR(O44*$E44, "")</f>
        <v>0</v>
      </c>
      <c r="AC44" s="284" t="n">
        <f aca="false">IFERROR(P44*$E44, "")</f>
        <v>0</v>
      </c>
      <c r="AD44" s="284" t="n">
        <f aca="false">IFERROR(Q44*$E44, "")</f>
        <v>0</v>
      </c>
      <c r="AE44" s="284" t="n">
        <f aca="false">IFERROR(R44*$E44, "")</f>
        <v>0</v>
      </c>
      <c r="AF44" s="284" t="n">
        <f aca="false">IFERROR(S44*$E44, "")</f>
        <v>0</v>
      </c>
      <c r="AG44" s="284" t="n">
        <f aca="false">IFERROR(T44*$E44, "")</f>
        <v>0</v>
      </c>
      <c r="AH44" s="286" t="n">
        <f aca="false">IFERROR(SUMIF($V$4:$AG$4, "RDEC", V44:AG44), "")</f>
        <v>0</v>
      </c>
      <c r="AI44" s="286" t="n">
        <f aca="false">IFERROR(SUMIF($V$4:$AG$4, "SME", V44:AG44), "")</f>
        <v>0</v>
      </c>
      <c r="AJ44" s="286" t="n">
        <f aca="false">IFERROR(SUMIF($V$4:$AG$4, "De Minimis", V44:AG44), "")</f>
        <v>0</v>
      </c>
      <c r="AK44" s="287"/>
      <c r="AL44" s="288" t="str">
        <f aca="false">IF((SUM(I44:T44)&gt;1),"ERROR","")</f>
        <v/>
      </c>
    </row>
    <row r="45" customFormat="false" ht="15" hidden="false" customHeight="true" outlineLevel="0" collapsed="false">
      <c r="A45" s="340"/>
      <c r="H45" s="350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3"/>
      <c r="V45" s="284" t="n">
        <f aca="false">IFERROR(I45*$E45, "")</f>
        <v>0</v>
      </c>
      <c r="W45" s="284" t="n">
        <f aca="false">IFERROR(J45*$E45, "")</f>
        <v>0</v>
      </c>
      <c r="X45" s="284" t="n">
        <f aca="false">IFERROR(K45*$E45, "")</f>
        <v>0</v>
      </c>
      <c r="Y45" s="284" t="n">
        <f aca="false">IFERROR(L45*$E45, "")</f>
        <v>0</v>
      </c>
      <c r="Z45" s="284" t="n">
        <f aca="false">IFERROR(M45*$E45, "")</f>
        <v>0</v>
      </c>
      <c r="AA45" s="284" t="n">
        <f aca="false">IFERROR(N45*$E45, "")</f>
        <v>0</v>
      </c>
      <c r="AB45" s="284" t="n">
        <f aca="false">IFERROR(O45*$E45, "")</f>
        <v>0</v>
      </c>
      <c r="AC45" s="284" t="n">
        <f aca="false">IFERROR(P45*$E45, "")</f>
        <v>0</v>
      </c>
      <c r="AD45" s="284" t="n">
        <f aca="false">IFERROR(Q45*$E45, "")</f>
        <v>0</v>
      </c>
      <c r="AE45" s="284" t="n">
        <f aca="false">IFERROR(R45*$E45, "")</f>
        <v>0</v>
      </c>
      <c r="AF45" s="284" t="n">
        <f aca="false">IFERROR(S45*$E45, "")</f>
        <v>0</v>
      </c>
      <c r="AG45" s="284" t="n">
        <f aca="false">IFERROR(T45*$E45, "")</f>
        <v>0</v>
      </c>
      <c r="AH45" s="286" t="n">
        <f aca="false">IFERROR(SUMIF($V$4:$AG$4, "RDEC", V45:AG45), "")</f>
        <v>0</v>
      </c>
      <c r="AI45" s="286" t="n">
        <f aca="false">IFERROR(SUMIF($V$4:$AG$4, "SME", V45:AG45), "")</f>
        <v>0</v>
      </c>
      <c r="AJ45" s="286" t="n">
        <f aca="false">IFERROR(SUMIF($V$4:$AG$4, "De Minimis", V45:AG45), "")</f>
        <v>0</v>
      </c>
      <c r="AK45" s="287"/>
      <c r="AL45" s="288" t="str">
        <f aca="false">IF((SUM(I45:T45)&gt;1),"ERROR","")</f>
        <v/>
      </c>
    </row>
    <row r="46" customFormat="false" ht="15" hidden="false" customHeight="true" outlineLevel="0" collapsed="false">
      <c r="A46" s="340"/>
      <c r="H46" s="350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3"/>
      <c r="V46" s="284" t="n">
        <f aca="false">IFERROR(I46*$E46, "")</f>
        <v>0</v>
      </c>
      <c r="W46" s="284" t="n">
        <f aca="false">IFERROR(J46*$E46, "")</f>
        <v>0</v>
      </c>
      <c r="X46" s="284" t="n">
        <f aca="false">IFERROR(K46*$E46, "")</f>
        <v>0</v>
      </c>
      <c r="Y46" s="284" t="n">
        <f aca="false">IFERROR(L46*$E46, "")</f>
        <v>0</v>
      </c>
      <c r="Z46" s="284" t="n">
        <f aca="false">IFERROR(M46*$E46, "")</f>
        <v>0</v>
      </c>
      <c r="AA46" s="284" t="n">
        <f aca="false">IFERROR(N46*$E46, "")</f>
        <v>0</v>
      </c>
      <c r="AB46" s="284" t="n">
        <f aca="false">IFERROR(O46*$E46, "")</f>
        <v>0</v>
      </c>
      <c r="AC46" s="284" t="n">
        <f aca="false">IFERROR(P46*$E46, "")</f>
        <v>0</v>
      </c>
      <c r="AD46" s="284" t="n">
        <f aca="false">IFERROR(Q46*$E46, "")</f>
        <v>0</v>
      </c>
      <c r="AE46" s="284" t="n">
        <f aca="false">IFERROR(R46*$E46, "")</f>
        <v>0</v>
      </c>
      <c r="AF46" s="284" t="n">
        <f aca="false">IFERROR(S46*$E46, "")</f>
        <v>0</v>
      </c>
      <c r="AG46" s="284" t="n">
        <f aca="false">IFERROR(T46*$E46, "")</f>
        <v>0</v>
      </c>
      <c r="AH46" s="286" t="n">
        <f aca="false">IFERROR(SUMIF($V$4:$AG$4, "RDEC", V46:AG46), "")</f>
        <v>0</v>
      </c>
      <c r="AI46" s="286" t="n">
        <f aca="false">IFERROR(SUMIF($V$4:$AG$4, "SME", V46:AG46), "")</f>
        <v>0</v>
      </c>
      <c r="AJ46" s="286" t="n">
        <f aca="false">IFERROR(SUMIF($V$4:$AG$4, "De Minimis", V46:AG46), "")</f>
        <v>0</v>
      </c>
      <c r="AK46" s="287"/>
      <c r="AL46" s="288" t="str">
        <f aca="false">IF((SUM(I46:T46)&gt;1),"ERROR","")</f>
        <v/>
      </c>
    </row>
    <row r="47" customFormat="false" ht="15" hidden="false" customHeight="true" outlineLevel="0" collapsed="false">
      <c r="A47" s="340"/>
      <c r="H47" s="350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3"/>
      <c r="V47" s="284" t="n">
        <f aca="false">IFERROR(I47*$E47, "")</f>
        <v>0</v>
      </c>
      <c r="W47" s="284" t="n">
        <f aca="false">IFERROR(J47*$E47, "")</f>
        <v>0</v>
      </c>
      <c r="X47" s="284" t="n">
        <f aca="false">IFERROR(K47*$E47, "")</f>
        <v>0</v>
      </c>
      <c r="Y47" s="284" t="n">
        <f aca="false">IFERROR(L47*$E47, "")</f>
        <v>0</v>
      </c>
      <c r="Z47" s="284" t="n">
        <f aca="false">IFERROR(M47*$E47, "")</f>
        <v>0</v>
      </c>
      <c r="AA47" s="284" t="n">
        <f aca="false">IFERROR(N47*$E47, "")</f>
        <v>0</v>
      </c>
      <c r="AB47" s="284" t="n">
        <f aca="false">IFERROR(O47*$E47, "")</f>
        <v>0</v>
      </c>
      <c r="AC47" s="284" t="n">
        <f aca="false">IFERROR(P47*$E47, "")</f>
        <v>0</v>
      </c>
      <c r="AD47" s="284" t="n">
        <f aca="false">IFERROR(Q47*$E47, "")</f>
        <v>0</v>
      </c>
      <c r="AE47" s="284" t="n">
        <f aca="false">IFERROR(R47*$E47, "")</f>
        <v>0</v>
      </c>
      <c r="AF47" s="284" t="n">
        <f aca="false">IFERROR(S47*$E47, "")</f>
        <v>0</v>
      </c>
      <c r="AG47" s="284" t="n">
        <f aca="false">IFERROR(T47*$E47, "")</f>
        <v>0</v>
      </c>
      <c r="AH47" s="286" t="n">
        <f aca="false">IFERROR(SUMIF($V$4:$AG$4, "RDEC", V47:AG47), "")</f>
        <v>0</v>
      </c>
      <c r="AI47" s="286" t="n">
        <f aca="false">IFERROR(SUMIF($V$4:$AG$4, "SME", V47:AG47), "")</f>
        <v>0</v>
      </c>
      <c r="AJ47" s="286" t="n">
        <f aca="false">IFERROR(SUMIF($V$4:$AG$4, "De Minimis", V47:AG47), "")</f>
        <v>0</v>
      </c>
      <c r="AK47" s="287"/>
      <c r="AL47" s="288" t="str">
        <f aca="false">IF((SUM(I47:T47)&gt;1),"ERROR","")</f>
        <v/>
      </c>
    </row>
    <row r="48" customFormat="false" ht="15" hidden="false" customHeight="true" outlineLevel="0" collapsed="false">
      <c r="A48" s="340"/>
      <c r="H48" s="350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3"/>
      <c r="V48" s="284" t="n">
        <f aca="false">IFERROR(I48*$E48, "")</f>
        <v>0</v>
      </c>
      <c r="W48" s="284" t="n">
        <f aca="false">IFERROR(J48*$E48, "")</f>
        <v>0</v>
      </c>
      <c r="X48" s="284" t="n">
        <f aca="false">IFERROR(K48*$E48, "")</f>
        <v>0</v>
      </c>
      <c r="Y48" s="284" t="n">
        <f aca="false">IFERROR(L48*$E48, "")</f>
        <v>0</v>
      </c>
      <c r="Z48" s="284" t="n">
        <f aca="false">IFERROR(M48*$E48, "")</f>
        <v>0</v>
      </c>
      <c r="AA48" s="284" t="n">
        <f aca="false">IFERROR(N48*$E48, "")</f>
        <v>0</v>
      </c>
      <c r="AB48" s="284" t="n">
        <f aca="false">IFERROR(O48*$E48, "")</f>
        <v>0</v>
      </c>
      <c r="AC48" s="284" t="n">
        <f aca="false">IFERROR(P48*$E48, "")</f>
        <v>0</v>
      </c>
      <c r="AD48" s="284" t="n">
        <f aca="false">IFERROR(Q48*$E48, "")</f>
        <v>0</v>
      </c>
      <c r="AE48" s="284" t="n">
        <f aca="false">IFERROR(R48*$E48, "")</f>
        <v>0</v>
      </c>
      <c r="AF48" s="284" t="n">
        <f aca="false">IFERROR(S48*$E48, "")</f>
        <v>0</v>
      </c>
      <c r="AG48" s="284" t="n">
        <f aca="false">IFERROR(T48*$E48, "")</f>
        <v>0</v>
      </c>
      <c r="AH48" s="286" t="n">
        <f aca="false">IFERROR(SUMIF($V$4:$AG$4, "RDEC", V48:AG48), "")</f>
        <v>0</v>
      </c>
      <c r="AI48" s="286" t="n">
        <f aca="false">IFERROR(SUMIF($V$4:$AG$4, "SME", V48:AG48), "")</f>
        <v>0</v>
      </c>
      <c r="AJ48" s="286" t="n">
        <f aca="false">IFERROR(SUMIF($V$4:$AG$4, "De Minimis", V48:AG48), "")</f>
        <v>0</v>
      </c>
      <c r="AK48" s="287"/>
      <c r="AL48" s="288" t="str">
        <f aca="false">IF((SUM(I48:T48)&gt;1),"ERROR","")</f>
        <v/>
      </c>
    </row>
    <row r="49" customFormat="false" ht="15" hidden="false" customHeight="true" outlineLevel="0" collapsed="false">
      <c r="A49" s="340"/>
      <c r="H49" s="350"/>
      <c r="I49" s="282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3"/>
      <c r="V49" s="284" t="n">
        <f aca="false">IFERROR(I49*$E49, "")</f>
        <v>0</v>
      </c>
      <c r="W49" s="284" t="n">
        <f aca="false">IFERROR(J49*$E49, "")</f>
        <v>0</v>
      </c>
      <c r="X49" s="284" t="n">
        <f aca="false">IFERROR(K49*$E49, "")</f>
        <v>0</v>
      </c>
      <c r="Y49" s="284" t="n">
        <f aca="false">IFERROR(L49*$E49, "")</f>
        <v>0</v>
      </c>
      <c r="Z49" s="284" t="n">
        <f aca="false">IFERROR(M49*$E49, "")</f>
        <v>0</v>
      </c>
      <c r="AA49" s="284" t="n">
        <f aca="false">IFERROR(N49*$E49, "")</f>
        <v>0</v>
      </c>
      <c r="AB49" s="284" t="n">
        <f aca="false">IFERROR(O49*$E49, "")</f>
        <v>0</v>
      </c>
      <c r="AC49" s="284" t="n">
        <f aca="false">IFERROR(P49*$E49, "")</f>
        <v>0</v>
      </c>
      <c r="AD49" s="284" t="n">
        <f aca="false">IFERROR(Q49*$E49, "")</f>
        <v>0</v>
      </c>
      <c r="AE49" s="284" t="n">
        <f aca="false">IFERROR(R49*$E49, "")</f>
        <v>0</v>
      </c>
      <c r="AF49" s="284" t="n">
        <f aca="false">IFERROR(S49*$E49, "")</f>
        <v>0</v>
      </c>
      <c r="AG49" s="284" t="n">
        <f aca="false">IFERROR(T49*$E49, "")</f>
        <v>0</v>
      </c>
      <c r="AH49" s="286" t="n">
        <f aca="false">IFERROR(SUMIF($V$4:$AG$4, "RDEC", V49:AG49), "")</f>
        <v>0</v>
      </c>
      <c r="AI49" s="286" t="n">
        <f aca="false">IFERROR(SUMIF($V$4:$AG$4, "SME", V49:AG49), "")</f>
        <v>0</v>
      </c>
      <c r="AJ49" s="286" t="n">
        <f aca="false">IFERROR(SUMIF($V$4:$AG$4, "De Minimis", V49:AG49), "")</f>
        <v>0</v>
      </c>
      <c r="AK49" s="303"/>
      <c r="AL49" s="288" t="str">
        <f aca="false">IF((SUM(I49:T49)&gt;1),"ERROR","")</f>
        <v/>
      </c>
    </row>
    <row r="50" customFormat="false" ht="15" hidden="false" customHeight="true" outlineLevel="0" collapsed="false">
      <c r="A50" s="340"/>
      <c r="H50" s="350"/>
      <c r="I50" s="291"/>
      <c r="J50" s="291"/>
      <c r="K50" s="291"/>
      <c r="L50" s="291"/>
      <c r="M50" s="291"/>
      <c r="N50" s="291"/>
      <c r="O50" s="291"/>
      <c r="P50" s="291"/>
      <c r="Q50" s="291"/>
      <c r="R50" s="291"/>
      <c r="S50" s="291"/>
      <c r="T50" s="291"/>
      <c r="U50" s="283"/>
      <c r="V50" s="292"/>
      <c r="W50" s="292"/>
      <c r="X50" s="292"/>
      <c r="Y50" s="292"/>
      <c r="Z50" s="292"/>
      <c r="AA50" s="292"/>
      <c r="AB50" s="292"/>
      <c r="AC50" s="292"/>
      <c r="AD50" s="292"/>
      <c r="AE50" s="292"/>
      <c r="AF50" s="292"/>
      <c r="AG50" s="292"/>
      <c r="AH50" s="294"/>
      <c r="AI50" s="294"/>
      <c r="AJ50" s="294"/>
      <c r="AL50" s="356"/>
    </row>
    <row r="51" customFormat="false" ht="15" hidden="false" customHeight="true" outlineLevel="0" collapsed="false">
      <c r="A51" s="340"/>
      <c r="H51" s="350"/>
      <c r="I51" s="323"/>
      <c r="J51" s="323"/>
      <c r="K51" s="323"/>
      <c r="L51" s="323"/>
      <c r="M51" s="323"/>
      <c r="N51" s="323"/>
      <c r="O51" s="323"/>
      <c r="P51" s="323"/>
      <c r="Q51" s="323"/>
      <c r="R51" s="323"/>
      <c r="S51" s="323"/>
      <c r="T51" s="323"/>
      <c r="V51" s="287"/>
      <c r="W51" s="287"/>
      <c r="X51" s="287"/>
      <c r="Y51" s="287"/>
      <c r="Z51" s="287"/>
      <c r="AA51" s="287"/>
      <c r="AB51" s="287"/>
      <c r="AC51" s="287"/>
      <c r="AD51" s="287"/>
      <c r="AE51" s="287"/>
      <c r="AF51" s="287"/>
      <c r="AG51" s="287"/>
      <c r="AH51" s="287"/>
      <c r="AI51" s="287"/>
      <c r="AJ51" s="287"/>
      <c r="AK51" s="268"/>
      <c r="AL51" s="17"/>
    </row>
    <row r="52" s="40" customFormat="true" ht="15" hidden="false" customHeight="true" outlineLevel="0" collapsed="false">
      <c r="A52" s="358" t="s">
        <v>82</v>
      </c>
      <c r="D52" s="198"/>
      <c r="E52" s="223" t="n">
        <f aca="false">SUM(E6:E51)</f>
        <v>9450</v>
      </c>
      <c r="H52" s="359"/>
      <c r="I52" s="360" t="n">
        <f aca="false">IFERROR(V52/$E$52,0)</f>
        <v>0.225925925925926</v>
      </c>
      <c r="J52" s="360" t="n">
        <f aca="false">IFERROR(W52/$E$52,0)</f>
        <v>0.233862433862434</v>
      </c>
      <c r="K52" s="360" t="n">
        <f aca="false">IFERROR(X52/$E$52,0)</f>
        <v>0.249206349206349</v>
      </c>
      <c r="L52" s="360" t="n">
        <f aca="false">IFERROR(Y52/$E$52,0)</f>
        <v>0.0846560846560847</v>
      </c>
      <c r="M52" s="360" t="n">
        <f aca="false">IFERROR(Z52/$E$52,0)</f>
        <v>0.206349206349206</v>
      </c>
      <c r="N52" s="360" t="n">
        <f aca="false">IFERROR(AA52/$E$52,0)</f>
        <v>0</v>
      </c>
      <c r="O52" s="360" t="n">
        <f aca="false">IFERROR(AB52/$E$52,0)</f>
        <v>0</v>
      </c>
      <c r="P52" s="360" t="n">
        <f aca="false">IFERROR(AC52/$E$52,0)</f>
        <v>0</v>
      </c>
      <c r="Q52" s="360" t="n">
        <f aca="false">IFERROR(AD52/$E$52,0)</f>
        <v>0</v>
      </c>
      <c r="R52" s="360" t="n">
        <f aca="false">IFERROR(AE52/$E$52,0)</f>
        <v>0</v>
      </c>
      <c r="S52" s="360" t="n">
        <f aca="false">IFERROR(AF52/$E$52,0)</f>
        <v>0</v>
      </c>
      <c r="T52" s="360" t="n">
        <f aca="false">IFERROR(AG52/$E$52,0)</f>
        <v>0</v>
      </c>
      <c r="U52" s="190"/>
      <c r="V52" s="361" t="n">
        <f aca="false">SUM(V7:V50)</f>
        <v>2135</v>
      </c>
      <c r="W52" s="361" t="n">
        <f aca="false">SUM(W7:W50)</f>
        <v>2210</v>
      </c>
      <c r="X52" s="361" t="n">
        <f aca="false">SUM(X7:X50)</f>
        <v>2355</v>
      </c>
      <c r="Y52" s="361" t="n">
        <f aca="false">SUM(Y7:Y50)</f>
        <v>800</v>
      </c>
      <c r="Z52" s="361" t="n">
        <f aca="false">SUM(Z7:Z50)</f>
        <v>1950</v>
      </c>
      <c r="AA52" s="361" t="n">
        <f aca="false">SUM(AA7:AA50)</f>
        <v>0</v>
      </c>
      <c r="AB52" s="361" t="n">
        <f aca="false">SUM(AB7:AB50)</f>
        <v>0</v>
      </c>
      <c r="AC52" s="361" t="n">
        <f aca="false">SUM(AC7:AC50)</f>
        <v>0</v>
      </c>
      <c r="AD52" s="361" t="n">
        <f aca="false">SUM(AD7:AD50)</f>
        <v>0</v>
      </c>
      <c r="AE52" s="361" t="n">
        <f aca="false">SUM(AE7:AE50)</f>
        <v>0</v>
      </c>
      <c r="AF52" s="361" t="n">
        <f aca="false">SUM(AF7:AF50)</f>
        <v>0</v>
      </c>
      <c r="AG52" s="361" t="n">
        <f aca="false">SUM(AG7:AG50)</f>
        <v>0</v>
      </c>
      <c r="AH52" s="362" t="n">
        <f aca="false">SUM(AH7:AH50)</f>
        <v>800</v>
      </c>
      <c r="AI52" s="362" t="n">
        <f aca="false">SUM(AI7:AI50)</f>
        <v>8650</v>
      </c>
      <c r="AJ52" s="362" t="n">
        <f aca="false">SUM(AJ7:AJ50)</f>
        <v>0</v>
      </c>
      <c r="AK52" s="287"/>
      <c r="AL52" s="17"/>
    </row>
    <row r="53" customFormat="false" ht="15" hidden="false" customHeight="true" outlineLevel="0" collapsed="false">
      <c r="A53" s="340"/>
      <c r="I53" s="323"/>
      <c r="J53" s="323"/>
      <c r="K53" s="323"/>
      <c r="L53" s="323"/>
      <c r="M53" s="323"/>
      <c r="N53" s="323"/>
      <c r="O53" s="323"/>
      <c r="P53" s="323"/>
      <c r="Q53" s="323"/>
      <c r="R53" s="323"/>
      <c r="S53" s="323"/>
      <c r="T53" s="323"/>
      <c r="AK53" s="287"/>
      <c r="AL53" s="17"/>
    </row>
    <row r="54" customFormat="false" ht="15" hidden="false" customHeight="true" outlineLevel="0" collapsed="false">
      <c r="A54" s="340"/>
      <c r="AK54" s="287"/>
      <c r="AL54" s="17"/>
    </row>
    <row r="55" customFormat="false" ht="15" hidden="false" customHeight="true" outlineLevel="0" collapsed="false">
      <c r="A55" s="340"/>
      <c r="AK55" s="287"/>
      <c r="AL55" s="17"/>
    </row>
    <row r="56" customFormat="false" ht="15" hidden="false" customHeight="true" outlineLevel="0" collapsed="false">
      <c r="A56" s="340"/>
      <c r="AK56" s="287"/>
      <c r="AL56" s="17"/>
    </row>
    <row r="57" customFormat="false" ht="15" hidden="false" customHeight="true" outlineLevel="0" collapsed="false">
      <c r="A57" s="340"/>
      <c r="AK57" s="287"/>
      <c r="AL57" s="17"/>
    </row>
    <row r="58" customFormat="false" ht="15" hidden="false" customHeight="true" outlineLevel="0" collapsed="false">
      <c r="A58" s="340"/>
      <c r="AK58" s="287"/>
      <c r="AL58" s="17"/>
    </row>
    <row r="59" customFormat="false" ht="15" hidden="false" customHeight="true" outlineLevel="0" collapsed="false">
      <c r="A59" s="340"/>
      <c r="AK59" s="287"/>
      <c r="AL59" s="17"/>
    </row>
    <row r="60" customFormat="false" ht="15" hidden="false" customHeight="true" outlineLevel="0" collapsed="false">
      <c r="A60" s="340"/>
      <c r="AK60" s="287"/>
      <c r="AL60" s="17"/>
    </row>
    <row r="61" customFormat="false" ht="15" hidden="false" customHeight="true" outlineLevel="0" collapsed="false">
      <c r="A61" s="340"/>
      <c r="AK61" s="287"/>
      <c r="AL61" s="17"/>
    </row>
    <row r="62" customFormat="false" ht="15" hidden="false" customHeight="true" outlineLevel="0" collapsed="false">
      <c r="A62" s="340"/>
      <c r="AK62" s="287"/>
      <c r="AL62" s="17"/>
    </row>
    <row r="63" customFormat="false" ht="15" hidden="false" customHeight="true" outlineLevel="0" collapsed="false">
      <c r="A63" s="340"/>
      <c r="AK63" s="287"/>
      <c r="AL63" s="17"/>
    </row>
    <row r="64" customFormat="false" ht="15" hidden="false" customHeight="true" outlineLevel="0" collapsed="false">
      <c r="A64" s="340"/>
      <c r="AK64" s="303"/>
      <c r="AL64" s="17"/>
    </row>
    <row r="65" customFormat="false" ht="15" hidden="false" customHeight="true" outlineLevel="0" collapsed="false">
      <c r="A65" s="340"/>
      <c r="AL65" s="17"/>
    </row>
    <row r="66" customFormat="false" ht="15" hidden="false" customHeight="true" outlineLevel="0" collapsed="false">
      <c r="A66" s="340"/>
      <c r="AK66" s="268"/>
      <c r="AL66" s="17"/>
    </row>
    <row r="67" customFormat="false" ht="15" hidden="false" customHeight="true" outlineLevel="0" collapsed="false">
      <c r="A67" s="340"/>
      <c r="AK67" s="287"/>
      <c r="AL67" s="17"/>
    </row>
    <row r="68" customFormat="false" ht="15" hidden="false" customHeight="true" outlineLevel="0" collapsed="false">
      <c r="A68" s="340"/>
      <c r="AK68" s="287"/>
      <c r="AL68" s="17"/>
    </row>
    <row r="69" customFormat="false" ht="15" hidden="false" customHeight="true" outlineLevel="0" collapsed="false">
      <c r="A69" s="340"/>
      <c r="AK69" s="287"/>
      <c r="AL69" s="17"/>
    </row>
    <row r="70" customFormat="false" ht="15" hidden="false" customHeight="true" outlineLevel="0" collapsed="false">
      <c r="A70" s="340"/>
      <c r="AK70" s="287"/>
      <c r="AL70" s="17"/>
    </row>
    <row r="71" customFormat="false" ht="15" hidden="false" customHeight="true" outlineLevel="0" collapsed="false">
      <c r="A71" s="340"/>
      <c r="AK71" s="287"/>
      <c r="AL71" s="17"/>
    </row>
    <row r="72" customFormat="false" ht="15" hidden="false" customHeight="true" outlineLevel="0" collapsed="false">
      <c r="A72" s="340"/>
      <c r="AK72" s="287"/>
      <c r="AL72" s="17"/>
    </row>
    <row r="73" customFormat="false" ht="15" hidden="false" customHeight="true" outlineLevel="0" collapsed="false">
      <c r="A73" s="340"/>
      <c r="AK73" s="287"/>
      <c r="AL73" s="17"/>
    </row>
    <row r="74" customFormat="false" ht="15" hidden="false" customHeight="true" outlineLevel="0" collapsed="false">
      <c r="A74" s="340"/>
      <c r="AK74" s="287"/>
      <c r="AL74" s="17"/>
    </row>
    <row r="75" customFormat="false" ht="15" hidden="false" customHeight="true" outlineLevel="0" collapsed="false">
      <c r="A75" s="340"/>
      <c r="AK75" s="287"/>
      <c r="AL75" s="17"/>
    </row>
    <row r="76" customFormat="false" ht="15" hidden="false" customHeight="true" outlineLevel="0" collapsed="false">
      <c r="A76" s="340"/>
      <c r="AK76" s="287"/>
      <c r="AL76" s="17"/>
    </row>
    <row r="77" customFormat="false" ht="15" hidden="false" customHeight="true" outlineLevel="0" collapsed="false">
      <c r="A77" s="340"/>
      <c r="AK77" s="287"/>
      <c r="AL77" s="17"/>
    </row>
    <row r="78" customFormat="false" ht="15" hidden="false" customHeight="true" outlineLevel="0" collapsed="false">
      <c r="A78" s="340"/>
      <c r="AK78" s="287"/>
      <c r="AL78" s="17"/>
    </row>
    <row r="79" customFormat="false" ht="15" hidden="false" customHeight="true" outlineLevel="0" collapsed="false">
      <c r="A79" s="340"/>
      <c r="AK79" s="303"/>
      <c r="AL79" s="17"/>
    </row>
    <row r="80" customFormat="false" ht="15" hidden="false" customHeight="true" outlineLevel="0" collapsed="false">
      <c r="A80" s="340"/>
      <c r="AL80" s="17"/>
    </row>
    <row r="81" customFormat="false" ht="15" hidden="false" customHeight="true" outlineLevel="0" collapsed="false">
      <c r="A81" s="340"/>
      <c r="AK81" s="268"/>
      <c r="AL81" s="17"/>
    </row>
    <row r="82" customFormat="false" ht="15" hidden="false" customHeight="true" outlineLevel="0" collapsed="false">
      <c r="A82" s="340"/>
      <c r="AK82" s="287"/>
      <c r="AL82" s="17"/>
    </row>
    <row r="83" customFormat="false" ht="15" hidden="false" customHeight="true" outlineLevel="0" collapsed="false">
      <c r="A83" s="340"/>
      <c r="AK83" s="287"/>
      <c r="AL83" s="17"/>
    </row>
    <row r="84" customFormat="false" ht="15" hidden="false" customHeight="true" outlineLevel="0" collapsed="false">
      <c r="A84" s="340"/>
      <c r="AK84" s="287"/>
      <c r="AL84" s="17"/>
    </row>
    <row r="85" customFormat="false" ht="15" hidden="false" customHeight="true" outlineLevel="0" collapsed="false">
      <c r="A85" s="340"/>
      <c r="AK85" s="287"/>
      <c r="AL85" s="17"/>
    </row>
    <row r="86" customFormat="false" ht="15" hidden="false" customHeight="true" outlineLevel="0" collapsed="false">
      <c r="A86" s="340"/>
      <c r="AK86" s="287"/>
      <c r="AL86" s="17"/>
    </row>
    <row r="87" customFormat="false" ht="15" hidden="false" customHeight="true" outlineLevel="0" collapsed="false">
      <c r="A87" s="340"/>
      <c r="AK87" s="287"/>
      <c r="AL87" s="17"/>
    </row>
    <row r="88" customFormat="false" ht="15" hidden="false" customHeight="true" outlineLevel="0" collapsed="false">
      <c r="A88" s="340"/>
      <c r="AK88" s="287"/>
      <c r="AL88" s="17"/>
    </row>
    <row r="89" customFormat="false" ht="15" hidden="false" customHeight="true" outlineLevel="0" collapsed="false">
      <c r="A89" s="340"/>
      <c r="AK89" s="287"/>
      <c r="AL89" s="17"/>
    </row>
    <row r="90" customFormat="false" ht="15" hidden="false" customHeight="true" outlineLevel="0" collapsed="false">
      <c r="A90" s="340"/>
      <c r="AK90" s="287"/>
      <c r="AL90" s="17"/>
    </row>
    <row r="91" customFormat="false" ht="15" hidden="false" customHeight="true" outlineLevel="0" collapsed="false">
      <c r="A91" s="340"/>
      <c r="AK91" s="287"/>
      <c r="AL91" s="17"/>
    </row>
    <row r="92" customFormat="false" ht="15" hidden="false" customHeight="true" outlineLevel="0" collapsed="false">
      <c r="A92" s="340"/>
      <c r="AK92" s="287"/>
      <c r="AL92" s="17"/>
    </row>
    <row r="93" customFormat="false" ht="15" hidden="false" customHeight="true" outlineLevel="0" collapsed="false">
      <c r="A93" s="340"/>
      <c r="AK93" s="287"/>
      <c r="AL93" s="17"/>
    </row>
    <row r="94" customFormat="false" ht="15" hidden="false" customHeight="true" outlineLevel="0" collapsed="false">
      <c r="A94" s="340"/>
      <c r="AK94" s="303"/>
      <c r="AL94" s="17"/>
    </row>
    <row r="95" customFormat="false" ht="15" hidden="false" customHeight="true" outlineLevel="0" collapsed="false">
      <c r="A95" s="340"/>
      <c r="AL95" s="17"/>
    </row>
    <row r="96" customFormat="false" ht="15" hidden="false" customHeight="true" outlineLevel="0" collapsed="false">
      <c r="A96" s="340"/>
      <c r="AK96" s="268"/>
      <c r="AL96" s="17"/>
    </row>
    <row r="97" customFormat="false" ht="15" hidden="false" customHeight="true" outlineLevel="0" collapsed="false">
      <c r="A97" s="340"/>
      <c r="AK97" s="287"/>
      <c r="AL97" s="17"/>
    </row>
    <row r="98" customFormat="false" ht="15" hidden="false" customHeight="true" outlineLevel="0" collapsed="false">
      <c r="A98" s="340"/>
      <c r="AK98" s="287"/>
      <c r="AL98" s="17"/>
    </row>
    <row r="99" customFormat="false" ht="15" hidden="false" customHeight="true" outlineLevel="0" collapsed="false">
      <c r="A99" s="340"/>
      <c r="AK99" s="287"/>
      <c r="AL99" s="17"/>
    </row>
    <row r="100" customFormat="false" ht="15" hidden="false" customHeight="true" outlineLevel="0" collapsed="false">
      <c r="E100" s="17"/>
      <c r="H100" s="146"/>
      <c r="AJ100" s="17"/>
      <c r="AK100" s="287"/>
      <c r="AL100" s="17"/>
    </row>
    <row r="101" customFormat="false" ht="15" hidden="false" customHeight="true" outlineLevel="0" collapsed="false">
      <c r="A101" s="246"/>
      <c r="B101" s="40"/>
      <c r="C101" s="40"/>
      <c r="D101" s="198"/>
      <c r="E101" s="17"/>
      <c r="H101" s="146"/>
      <c r="AJ101" s="17"/>
      <c r="AK101" s="287"/>
      <c r="AL101" s="17"/>
    </row>
    <row r="102" customFormat="false" ht="15" hidden="false" customHeight="true" outlineLevel="0" collapsed="false">
      <c r="E102" s="17"/>
      <c r="H102" s="146"/>
      <c r="AJ102" s="17"/>
      <c r="AK102" s="287"/>
      <c r="AL102" s="17"/>
    </row>
    <row r="103" customFormat="false" ht="15" hidden="false" customHeight="true" outlineLevel="0" collapsed="false">
      <c r="E103" s="17"/>
      <c r="H103" s="146"/>
      <c r="AJ103" s="17"/>
      <c r="AK103" s="287"/>
      <c r="AL103" s="17"/>
    </row>
    <row r="104" customFormat="false" ht="15" hidden="false" customHeight="true" outlineLevel="0" collapsed="false">
      <c r="E104" s="17"/>
      <c r="H104" s="146"/>
      <c r="AJ104" s="17"/>
      <c r="AK104" s="287"/>
      <c r="AL104" s="17"/>
    </row>
    <row r="105" customFormat="false" ht="15" hidden="false" customHeight="true" outlineLevel="0" collapsed="false">
      <c r="E105" s="17"/>
      <c r="H105" s="146"/>
      <c r="AJ105" s="17"/>
      <c r="AK105" s="287"/>
      <c r="AL105" s="17"/>
    </row>
    <row r="106" customFormat="false" ht="15" hidden="false" customHeight="true" outlineLevel="0" collapsed="false">
      <c r="E106" s="17"/>
      <c r="H106" s="146"/>
      <c r="AJ106" s="17"/>
      <c r="AK106" s="287"/>
      <c r="AL106" s="17"/>
    </row>
    <row r="107" customFormat="false" ht="15" hidden="false" customHeight="true" outlineLevel="0" collapsed="false">
      <c r="AK107" s="287"/>
      <c r="AL107" s="17"/>
    </row>
    <row r="108" customFormat="false" ht="15" hidden="false" customHeight="true" outlineLevel="0" collapsed="false">
      <c r="AK108" s="287"/>
      <c r="AL108" s="17"/>
    </row>
    <row r="109" customFormat="false" ht="15" hidden="false" customHeight="true" outlineLevel="0" collapsed="false">
      <c r="AK109" s="303"/>
      <c r="AL109" s="17"/>
    </row>
    <row r="110" customFormat="false" ht="15" hidden="false" customHeight="true" outlineLevel="0" collapsed="false">
      <c r="AL110" s="17"/>
    </row>
    <row r="111" customFormat="false" ht="15" hidden="false" customHeight="true" outlineLevel="0" collapsed="false">
      <c r="AK111" s="268"/>
      <c r="AL111" s="17"/>
    </row>
    <row r="112" customFormat="false" ht="15" hidden="false" customHeight="true" outlineLevel="0" collapsed="false">
      <c r="AK112" s="287"/>
      <c r="AL112" s="17"/>
    </row>
    <row r="113" customFormat="false" ht="15" hidden="false" customHeight="true" outlineLevel="0" collapsed="false">
      <c r="AK113" s="287"/>
      <c r="AL113" s="17"/>
    </row>
    <row r="114" customFormat="false" ht="15" hidden="false" customHeight="true" outlineLevel="0" collapsed="false">
      <c r="AK114" s="287"/>
      <c r="AL114" s="17"/>
    </row>
    <row r="115" customFormat="false" ht="15" hidden="false" customHeight="true" outlineLevel="0" collapsed="false">
      <c r="AK115" s="287"/>
      <c r="AL115" s="17"/>
    </row>
    <row r="116" customFormat="false" ht="15" hidden="false" customHeight="true" outlineLevel="0" collapsed="false">
      <c r="AK116" s="287"/>
      <c r="AL116" s="17"/>
    </row>
    <row r="117" customFormat="false" ht="15" hidden="false" customHeight="true" outlineLevel="0" collapsed="false">
      <c r="AK117" s="287"/>
      <c r="AL117" s="17"/>
    </row>
    <row r="118" customFormat="false" ht="15" hidden="false" customHeight="true" outlineLevel="0" collapsed="false">
      <c r="AK118" s="287"/>
      <c r="AL118" s="17"/>
    </row>
    <row r="119" customFormat="false" ht="15" hidden="false" customHeight="true" outlineLevel="0" collapsed="false">
      <c r="AK119" s="287"/>
      <c r="AL119" s="17"/>
    </row>
    <row r="120" customFormat="false" ht="15" hidden="false" customHeight="true" outlineLevel="0" collapsed="false">
      <c r="AK120" s="287"/>
      <c r="AL120" s="17"/>
    </row>
    <row r="121" customFormat="false" ht="15" hidden="false" customHeight="true" outlineLevel="0" collapsed="false">
      <c r="AK121" s="287"/>
      <c r="AL121" s="17"/>
    </row>
    <row r="122" customFormat="false" ht="15" hidden="false" customHeight="true" outlineLevel="0" collapsed="false">
      <c r="AK122" s="287"/>
      <c r="AL122" s="17"/>
    </row>
    <row r="123" customFormat="false" ht="15" hidden="false" customHeight="true" outlineLevel="0" collapsed="false">
      <c r="AK123" s="287"/>
      <c r="AL123" s="17"/>
    </row>
    <row r="124" customFormat="false" ht="15" hidden="false" customHeight="true" outlineLevel="0" collapsed="false">
      <c r="AK124" s="303"/>
      <c r="AL124" s="17"/>
    </row>
    <row r="125" customFormat="false" ht="15" hidden="false" customHeight="true" outlineLevel="0" collapsed="false">
      <c r="AL125" s="17"/>
    </row>
    <row r="126" customFormat="false" ht="15" hidden="false" customHeight="true" outlineLevel="0" collapsed="false">
      <c r="AK126" s="268"/>
      <c r="AL126" s="17"/>
    </row>
    <row r="127" customFormat="false" ht="15" hidden="false" customHeight="true" outlineLevel="0" collapsed="false">
      <c r="AK127" s="287"/>
      <c r="AL127" s="17"/>
    </row>
    <row r="128" customFormat="false" ht="15" hidden="false" customHeight="true" outlineLevel="0" collapsed="false">
      <c r="AK128" s="287"/>
      <c r="AL128" s="17"/>
    </row>
    <row r="129" customFormat="false" ht="15" hidden="false" customHeight="true" outlineLevel="0" collapsed="false">
      <c r="AK129" s="287"/>
      <c r="AL129" s="17"/>
    </row>
    <row r="130" customFormat="false" ht="15" hidden="false" customHeight="true" outlineLevel="0" collapsed="false">
      <c r="AK130" s="287"/>
      <c r="AL130" s="17"/>
    </row>
    <row r="131" customFormat="false" ht="15" hidden="false" customHeight="true" outlineLevel="0" collapsed="false">
      <c r="AK131" s="287"/>
      <c r="AL131" s="17"/>
    </row>
    <row r="132" customFormat="false" ht="15" hidden="false" customHeight="true" outlineLevel="0" collapsed="false">
      <c r="AK132" s="287"/>
      <c r="AL132" s="17"/>
    </row>
    <row r="133" customFormat="false" ht="15" hidden="false" customHeight="true" outlineLevel="0" collapsed="false">
      <c r="AK133" s="287"/>
      <c r="AL133" s="17"/>
    </row>
    <row r="134" customFormat="false" ht="15" hidden="false" customHeight="true" outlineLevel="0" collapsed="false">
      <c r="AK134" s="287"/>
      <c r="AL134" s="17"/>
    </row>
    <row r="135" customFormat="false" ht="15" hidden="false" customHeight="true" outlineLevel="0" collapsed="false">
      <c r="AK135" s="287"/>
      <c r="AL135" s="17"/>
    </row>
    <row r="136" customFormat="false" ht="15" hidden="false" customHeight="true" outlineLevel="0" collapsed="false">
      <c r="AK136" s="287"/>
      <c r="AL136" s="17"/>
    </row>
    <row r="137" customFormat="false" ht="15" hidden="false" customHeight="true" outlineLevel="0" collapsed="false">
      <c r="AK137" s="287"/>
      <c r="AL137" s="17"/>
    </row>
    <row r="138" customFormat="false" ht="15" hidden="false" customHeight="true" outlineLevel="0" collapsed="false">
      <c r="AK138" s="287"/>
      <c r="AL138" s="17"/>
    </row>
    <row r="139" customFormat="false" ht="15" hidden="false" customHeight="true" outlineLevel="0" collapsed="false">
      <c r="AK139" s="303"/>
      <c r="AL139" s="17"/>
    </row>
    <row r="140" customFormat="false" ht="15" hidden="false" customHeight="true" outlineLevel="0" collapsed="false">
      <c r="AL140" s="17"/>
    </row>
    <row r="141" customFormat="false" ht="15" hidden="false" customHeight="true" outlineLevel="0" collapsed="false">
      <c r="AK141" s="268"/>
      <c r="AL141" s="17"/>
    </row>
    <row r="142" customFormat="false" ht="15" hidden="false" customHeight="true" outlineLevel="0" collapsed="false">
      <c r="AK142" s="287"/>
      <c r="AL142" s="17"/>
    </row>
    <row r="143" customFormat="false" ht="15" hidden="false" customHeight="true" outlineLevel="0" collapsed="false">
      <c r="AK143" s="287"/>
      <c r="AL143" s="17"/>
    </row>
    <row r="144" customFormat="false" ht="15" hidden="false" customHeight="true" outlineLevel="0" collapsed="false">
      <c r="AK144" s="287"/>
      <c r="AL144" s="17"/>
    </row>
    <row r="145" customFormat="false" ht="15" hidden="false" customHeight="true" outlineLevel="0" collapsed="false">
      <c r="AK145" s="287"/>
      <c r="AL145" s="17"/>
    </row>
    <row r="146" customFormat="false" ht="15" hidden="false" customHeight="true" outlineLevel="0" collapsed="false">
      <c r="AK146" s="287"/>
      <c r="AL146" s="17"/>
    </row>
    <row r="147" customFormat="false" ht="15" hidden="false" customHeight="true" outlineLevel="0" collapsed="false">
      <c r="AK147" s="287"/>
      <c r="AL147" s="17"/>
    </row>
    <row r="148" customFormat="false" ht="15" hidden="false" customHeight="true" outlineLevel="0" collapsed="false">
      <c r="AK148" s="287"/>
      <c r="AL148" s="17"/>
    </row>
    <row r="149" customFormat="false" ht="15" hidden="false" customHeight="true" outlineLevel="0" collapsed="false">
      <c r="AK149" s="287"/>
      <c r="AL149" s="17"/>
    </row>
    <row r="150" customFormat="false" ht="15" hidden="false" customHeight="true" outlineLevel="0" collapsed="false">
      <c r="AK150" s="287"/>
      <c r="AL150" s="17"/>
    </row>
    <row r="151" customFormat="false" ht="15" hidden="false" customHeight="true" outlineLevel="0" collapsed="false">
      <c r="AK151" s="287"/>
      <c r="AL151" s="17"/>
    </row>
    <row r="152" customFormat="false" ht="15" hidden="false" customHeight="true" outlineLevel="0" collapsed="false">
      <c r="AK152" s="287"/>
      <c r="AL152" s="17"/>
    </row>
    <row r="153" customFormat="false" ht="15" hidden="false" customHeight="true" outlineLevel="0" collapsed="false">
      <c r="AK153" s="287"/>
      <c r="AL153" s="17"/>
    </row>
    <row r="154" customFormat="false" ht="15" hidden="false" customHeight="true" outlineLevel="0" collapsed="false">
      <c r="AK154" s="303"/>
      <c r="AL154" s="17"/>
    </row>
    <row r="155" customFormat="false" ht="15" hidden="false" customHeight="true" outlineLevel="0" collapsed="false">
      <c r="AL155" s="17"/>
    </row>
    <row r="156" customFormat="false" ht="15" hidden="false" customHeight="true" outlineLevel="0" collapsed="false">
      <c r="AK156" s="268"/>
      <c r="AL156" s="17"/>
    </row>
    <row r="157" customFormat="false" ht="15" hidden="false" customHeight="true" outlineLevel="0" collapsed="false">
      <c r="AK157" s="287"/>
      <c r="AL157" s="17"/>
    </row>
    <row r="158" customFormat="false" ht="15" hidden="false" customHeight="true" outlineLevel="0" collapsed="false">
      <c r="AK158" s="287"/>
      <c r="AL158" s="17"/>
    </row>
    <row r="159" customFormat="false" ht="15" hidden="false" customHeight="true" outlineLevel="0" collapsed="false">
      <c r="AK159" s="287"/>
      <c r="AL159" s="17"/>
    </row>
    <row r="160" customFormat="false" ht="15" hidden="false" customHeight="true" outlineLevel="0" collapsed="false">
      <c r="AK160" s="287"/>
      <c r="AL160" s="17"/>
    </row>
    <row r="161" customFormat="false" ht="15" hidden="false" customHeight="true" outlineLevel="0" collapsed="false">
      <c r="AK161" s="287"/>
      <c r="AL161" s="17"/>
    </row>
    <row r="162" customFormat="false" ht="15" hidden="false" customHeight="true" outlineLevel="0" collapsed="false">
      <c r="AK162" s="287"/>
      <c r="AL162" s="17"/>
    </row>
    <row r="163" customFormat="false" ht="15" hidden="false" customHeight="true" outlineLevel="0" collapsed="false">
      <c r="AK163" s="287"/>
      <c r="AL163" s="17"/>
    </row>
    <row r="164" customFormat="false" ht="15" hidden="false" customHeight="true" outlineLevel="0" collapsed="false">
      <c r="AK164" s="287"/>
      <c r="AL164" s="17"/>
    </row>
    <row r="165" customFormat="false" ht="15" hidden="false" customHeight="true" outlineLevel="0" collapsed="false">
      <c r="AK165" s="287"/>
      <c r="AL165" s="17"/>
    </row>
    <row r="166" customFormat="false" ht="15" hidden="false" customHeight="true" outlineLevel="0" collapsed="false">
      <c r="AK166" s="287"/>
      <c r="AL166" s="17"/>
    </row>
    <row r="167" customFormat="false" ht="15" hidden="false" customHeight="true" outlineLevel="0" collapsed="false">
      <c r="AK167" s="287"/>
      <c r="AL167" s="17"/>
    </row>
    <row r="168" customFormat="false" ht="15" hidden="false" customHeight="true" outlineLevel="0" collapsed="false">
      <c r="AK168" s="287"/>
      <c r="AL168" s="17"/>
    </row>
    <row r="169" customFormat="false" ht="15" hidden="false" customHeight="true" outlineLevel="0" collapsed="false">
      <c r="AK169" s="303"/>
      <c r="AL169" s="17"/>
    </row>
    <row r="170" customFormat="false" ht="15" hidden="false" customHeight="true" outlineLevel="0" collapsed="false">
      <c r="AL170" s="17"/>
    </row>
    <row r="171" customFormat="false" ht="15" hidden="false" customHeight="true" outlineLevel="0" collapsed="false">
      <c r="AK171" s="268"/>
      <c r="AL171" s="17"/>
    </row>
    <row r="172" customFormat="false" ht="15" hidden="false" customHeight="true" outlineLevel="0" collapsed="false">
      <c r="AK172" s="287"/>
      <c r="AL172" s="17"/>
    </row>
    <row r="173" customFormat="false" ht="15" hidden="false" customHeight="true" outlineLevel="0" collapsed="false">
      <c r="AK173" s="287"/>
      <c r="AL173" s="17"/>
    </row>
    <row r="174" customFormat="false" ht="15" hidden="false" customHeight="true" outlineLevel="0" collapsed="false">
      <c r="AK174" s="287"/>
      <c r="AL174" s="17"/>
    </row>
    <row r="175" customFormat="false" ht="15" hidden="false" customHeight="true" outlineLevel="0" collapsed="false">
      <c r="AK175" s="287"/>
      <c r="AL175" s="17"/>
    </row>
    <row r="176" customFormat="false" ht="15" hidden="false" customHeight="true" outlineLevel="0" collapsed="false">
      <c r="AK176" s="287"/>
      <c r="AL176" s="17"/>
    </row>
    <row r="177" customFormat="false" ht="15" hidden="false" customHeight="true" outlineLevel="0" collapsed="false">
      <c r="AK177" s="287"/>
      <c r="AL177" s="17"/>
    </row>
    <row r="178" customFormat="false" ht="15" hidden="false" customHeight="true" outlineLevel="0" collapsed="false">
      <c r="AK178" s="287"/>
      <c r="AL178" s="17"/>
    </row>
    <row r="179" customFormat="false" ht="15" hidden="false" customHeight="true" outlineLevel="0" collapsed="false">
      <c r="AK179" s="287"/>
      <c r="AL179" s="17"/>
    </row>
    <row r="180" customFormat="false" ht="15" hidden="false" customHeight="true" outlineLevel="0" collapsed="false">
      <c r="AK180" s="287"/>
      <c r="AL180" s="17"/>
    </row>
    <row r="181" customFormat="false" ht="15" hidden="false" customHeight="true" outlineLevel="0" collapsed="false">
      <c r="AK181" s="287"/>
      <c r="AL181" s="17"/>
    </row>
    <row r="182" customFormat="false" ht="15" hidden="false" customHeight="true" outlineLevel="0" collapsed="false">
      <c r="AK182" s="287"/>
      <c r="AL182" s="17"/>
    </row>
    <row r="183" customFormat="false" ht="15" hidden="false" customHeight="true" outlineLevel="0" collapsed="false">
      <c r="AK183" s="287"/>
      <c r="AL183" s="17"/>
    </row>
    <row r="184" customFormat="false" ht="15" hidden="false" customHeight="true" outlineLevel="0" collapsed="false">
      <c r="AK184" s="303"/>
      <c r="AL184" s="17"/>
    </row>
    <row r="185" customFormat="false" ht="15" hidden="false" customHeight="true" outlineLevel="0" collapsed="false">
      <c r="AL185" s="17"/>
    </row>
    <row r="186" customFormat="false" ht="15" hidden="false" customHeight="true" outlineLevel="0" collapsed="false">
      <c r="AK186" s="268"/>
      <c r="AL186" s="17"/>
    </row>
    <row r="187" customFormat="false" ht="15" hidden="false" customHeight="true" outlineLevel="0" collapsed="false">
      <c r="AK187" s="287"/>
      <c r="AL187" s="17"/>
    </row>
    <row r="188" customFormat="false" ht="15" hidden="false" customHeight="true" outlineLevel="0" collapsed="false">
      <c r="AK188" s="287"/>
      <c r="AL188" s="17"/>
    </row>
    <row r="189" customFormat="false" ht="15" hidden="false" customHeight="true" outlineLevel="0" collapsed="false">
      <c r="AK189" s="287"/>
      <c r="AL189" s="17"/>
    </row>
    <row r="190" customFormat="false" ht="15" hidden="false" customHeight="true" outlineLevel="0" collapsed="false">
      <c r="AK190" s="287"/>
      <c r="AL190" s="17"/>
    </row>
    <row r="191" customFormat="false" ht="15" hidden="false" customHeight="true" outlineLevel="0" collapsed="false">
      <c r="AK191" s="287"/>
      <c r="AL191" s="17"/>
    </row>
    <row r="192" customFormat="false" ht="15" hidden="false" customHeight="true" outlineLevel="0" collapsed="false">
      <c r="AK192" s="287"/>
      <c r="AL192" s="17"/>
    </row>
    <row r="193" customFormat="false" ht="15" hidden="false" customHeight="true" outlineLevel="0" collapsed="false">
      <c r="AK193" s="287"/>
      <c r="AL193" s="17"/>
    </row>
    <row r="194" customFormat="false" ht="15" hidden="false" customHeight="true" outlineLevel="0" collapsed="false">
      <c r="AK194" s="287"/>
      <c r="AL194" s="17"/>
    </row>
    <row r="195" customFormat="false" ht="15" hidden="false" customHeight="true" outlineLevel="0" collapsed="false">
      <c r="AK195" s="287"/>
      <c r="AL195" s="17"/>
    </row>
    <row r="196" customFormat="false" ht="15" hidden="false" customHeight="true" outlineLevel="0" collapsed="false">
      <c r="AK196" s="287"/>
      <c r="AL196" s="17"/>
    </row>
    <row r="197" customFormat="false" ht="15" hidden="false" customHeight="true" outlineLevel="0" collapsed="false">
      <c r="AK197" s="287"/>
      <c r="AL197" s="17"/>
    </row>
    <row r="198" customFormat="false" ht="15" hidden="false" customHeight="true" outlineLevel="0" collapsed="false">
      <c r="AK198" s="287"/>
      <c r="AL198" s="17"/>
    </row>
    <row r="199" customFormat="false" ht="15" hidden="false" customHeight="true" outlineLevel="0" collapsed="false">
      <c r="AK199" s="303"/>
      <c r="AL199" s="17"/>
    </row>
    <row r="200" customFormat="false" ht="15" hidden="false" customHeight="true" outlineLevel="0" collapsed="false">
      <c r="AL200" s="17"/>
    </row>
    <row r="201" customFormat="false" ht="15" hidden="false" customHeight="true" outlineLevel="0" collapsed="false">
      <c r="AK201" s="268"/>
      <c r="AL201" s="17"/>
    </row>
    <row r="202" customFormat="false" ht="15" hidden="false" customHeight="true" outlineLevel="0" collapsed="false">
      <c r="AK202" s="287"/>
      <c r="AL202" s="17"/>
    </row>
    <row r="203" customFormat="false" ht="15" hidden="false" customHeight="true" outlineLevel="0" collapsed="false">
      <c r="AK203" s="287"/>
      <c r="AL203" s="17"/>
    </row>
    <row r="204" customFormat="false" ht="15" hidden="false" customHeight="true" outlineLevel="0" collapsed="false">
      <c r="AK204" s="287"/>
      <c r="AL204" s="17"/>
    </row>
    <row r="205" customFormat="false" ht="15" hidden="false" customHeight="true" outlineLevel="0" collapsed="false">
      <c r="AK205" s="287"/>
      <c r="AL205" s="17"/>
    </row>
    <row r="206" customFormat="false" ht="15" hidden="false" customHeight="true" outlineLevel="0" collapsed="false">
      <c r="AK206" s="287"/>
      <c r="AL206" s="17"/>
    </row>
    <row r="207" customFormat="false" ht="15" hidden="false" customHeight="true" outlineLevel="0" collapsed="false">
      <c r="AK207" s="287"/>
      <c r="AL207" s="17"/>
    </row>
    <row r="208" customFormat="false" ht="15" hidden="false" customHeight="true" outlineLevel="0" collapsed="false">
      <c r="AK208" s="287"/>
      <c r="AL208" s="17"/>
    </row>
    <row r="209" customFormat="false" ht="15" hidden="false" customHeight="true" outlineLevel="0" collapsed="false">
      <c r="AK209" s="287"/>
      <c r="AL209" s="17"/>
    </row>
    <row r="210" customFormat="false" ht="15" hidden="false" customHeight="true" outlineLevel="0" collapsed="false">
      <c r="E210" s="223"/>
      <c r="AK210" s="287"/>
      <c r="AL210" s="17"/>
    </row>
    <row r="211" customFormat="false" ht="15" hidden="false" customHeight="true" outlineLevel="0" collapsed="false">
      <c r="AK211" s="287"/>
      <c r="AL211" s="17"/>
    </row>
    <row r="212" customFormat="false" ht="15" hidden="false" customHeight="true" outlineLevel="0" collapsed="false">
      <c r="AK212" s="287"/>
      <c r="AL212" s="17"/>
    </row>
    <row r="213" customFormat="false" ht="15" hidden="false" customHeight="true" outlineLevel="0" collapsed="false">
      <c r="AK213" s="287"/>
      <c r="AL213" s="17"/>
    </row>
    <row r="214" customFormat="false" ht="15" hidden="false" customHeight="true" outlineLevel="0" collapsed="false">
      <c r="AK214" s="303"/>
      <c r="AL214" s="17"/>
    </row>
    <row r="215" customFormat="false" ht="15" hidden="false" customHeight="true" outlineLevel="0" collapsed="false">
      <c r="AL215" s="17"/>
    </row>
    <row r="216" customFormat="false" ht="15" hidden="false" customHeight="true" outlineLevel="0" collapsed="false">
      <c r="AK216" s="268"/>
      <c r="AL216" s="17"/>
    </row>
    <row r="217" customFormat="false" ht="15" hidden="false" customHeight="true" outlineLevel="0" collapsed="false">
      <c r="AK217" s="287"/>
      <c r="AL217" s="17"/>
    </row>
    <row r="218" customFormat="false" ht="15" hidden="false" customHeight="true" outlineLevel="0" collapsed="false">
      <c r="AK218" s="287"/>
      <c r="AL218" s="17"/>
    </row>
    <row r="219" customFormat="false" ht="15" hidden="false" customHeight="true" outlineLevel="0" collapsed="false">
      <c r="AK219" s="287"/>
      <c r="AL219" s="17"/>
    </row>
    <row r="220" customFormat="false" ht="15" hidden="false" customHeight="true" outlineLevel="0" collapsed="false">
      <c r="AK220" s="287"/>
      <c r="AL220" s="17"/>
    </row>
    <row r="221" customFormat="false" ht="15" hidden="false" customHeight="true" outlineLevel="0" collapsed="false">
      <c r="AK221" s="287"/>
      <c r="AL221" s="17"/>
    </row>
    <row r="222" customFormat="false" ht="15" hidden="false" customHeight="true" outlineLevel="0" collapsed="false">
      <c r="AK222" s="287"/>
      <c r="AL222" s="17"/>
    </row>
    <row r="223" customFormat="false" ht="15" hidden="false" customHeight="true" outlineLevel="0" collapsed="false">
      <c r="AK223" s="287"/>
      <c r="AL223" s="17"/>
    </row>
    <row r="224" customFormat="false" ht="15" hidden="false" customHeight="true" outlineLevel="0" collapsed="false">
      <c r="AK224" s="287"/>
      <c r="AL224" s="17"/>
    </row>
    <row r="225" customFormat="false" ht="15" hidden="false" customHeight="true" outlineLevel="0" collapsed="false">
      <c r="AK225" s="287"/>
      <c r="AL225" s="17"/>
    </row>
    <row r="226" customFormat="false" ht="15" hidden="false" customHeight="true" outlineLevel="0" collapsed="false">
      <c r="AK226" s="287"/>
      <c r="AL226" s="17"/>
    </row>
    <row r="227" customFormat="false" ht="15" hidden="false" customHeight="true" outlineLevel="0" collapsed="false">
      <c r="AK227" s="287"/>
      <c r="AL227" s="17"/>
    </row>
    <row r="228" customFormat="false" ht="15" hidden="false" customHeight="true" outlineLevel="0" collapsed="false">
      <c r="AK228" s="287"/>
      <c r="AL228" s="17"/>
    </row>
    <row r="229" customFormat="false" ht="15" hidden="false" customHeight="true" outlineLevel="0" collapsed="false">
      <c r="AK229" s="303"/>
      <c r="AL229" s="17"/>
    </row>
    <row r="230" customFormat="false" ht="15" hidden="false" customHeight="true" outlineLevel="0" collapsed="false">
      <c r="AL230" s="17"/>
    </row>
    <row r="231" customFormat="false" ht="15" hidden="false" customHeight="true" outlineLevel="0" collapsed="false">
      <c r="AK231" s="268"/>
      <c r="AL231" s="17"/>
    </row>
    <row r="232" customFormat="false" ht="15" hidden="false" customHeight="true" outlineLevel="0" collapsed="false">
      <c r="AK232" s="287"/>
      <c r="AL232" s="17"/>
    </row>
    <row r="233" customFormat="false" ht="15" hidden="false" customHeight="true" outlineLevel="0" collapsed="false">
      <c r="AK233" s="287"/>
      <c r="AL233" s="17"/>
    </row>
    <row r="234" customFormat="false" ht="15" hidden="false" customHeight="true" outlineLevel="0" collapsed="false">
      <c r="AK234" s="287"/>
      <c r="AL234" s="17"/>
    </row>
    <row r="235" customFormat="false" ht="15" hidden="false" customHeight="true" outlineLevel="0" collapsed="false">
      <c r="AK235" s="287"/>
      <c r="AL235" s="17"/>
    </row>
    <row r="236" customFormat="false" ht="15" hidden="false" customHeight="true" outlineLevel="0" collapsed="false">
      <c r="AK236" s="287"/>
      <c r="AL236" s="17"/>
    </row>
    <row r="237" customFormat="false" ht="15" hidden="false" customHeight="true" outlineLevel="0" collapsed="false">
      <c r="AK237" s="287"/>
      <c r="AL237" s="17"/>
    </row>
    <row r="238" customFormat="false" ht="15" hidden="false" customHeight="true" outlineLevel="0" collapsed="false">
      <c r="AK238" s="287"/>
      <c r="AL238" s="17"/>
    </row>
    <row r="239" customFormat="false" ht="15" hidden="false" customHeight="true" outlineLevel="0" collapsed="false">
      <c r="AK239" s="287"/>
      <c r="AL239" s="17"/>
    </row>
    <row r="240" customFormat="false" ht="15" hidden="false" customHeight="true" outlineLevel="0" collapsed="false">
      <c r="AK240" s="287"/>
      <c r="AL240" s="17"/>
    </row>
    <row r="241" customFormat="false" ht="15" hidden="false" customHeight="true" outlineLevel="0" collapsed="false">
      <c r="AK241" s="287"/>
      <c r="AL241" s="17"/>
    </row>
    <row r="242" customFormat="false" ht="15" hidden="false" customHeight="true" outlineLevel="0" collapsed="false">
      <c r="AK242" s="287"/>
      <c r="AL242" s="17"/>
    </row>
    <row r="243" customFormat="false" ht="15" hidden="false" customHeight="true" outlineLevel="0" collapsed="false">
      <c r="AK243" s="287"/>
      <c r="AL243" s="17"/>
    </row>
    <row r="244" customFormat="false" ht="15" hidden="false" customHeight="true" outlineLevel="0" collapsed="false">
      <c r="AK244" s="303"/>
      <c r="AL244" s="17"/>
    </row>
    <row r="245" customFormat="false" ht="15" hidden="false" customHeight="true" outlineLevel="0" collapsed="false">
      <c r="AL245" s="17"/>
    </row>
    <row r="246" customFormat="false" ht="15" hidden="false" customHeight="true" outlineLevel="0" collapsed="false">
      <c r="AK246" s="268"/>
      <c r="AL246" s="17"/>
    </row>
    <row r="247" customFormat="false" ht="15" hidden="false" customHeight="true" outlineLevel="0" collapsed="false">
      <c r="AK247" s="287"/>
      <c r="AL247" s="17"/>
    </row>
    <row r="248" customFormat="false" ht="15" hidden="false" customHeight="true" outlineLevel="0" collapsed="false">
      <c r="AK248" s="287"/>
      <c r="AL248" s="17"/>
    </row>
    <row r="249" customFormat="false" ht="15" hidden="false" customHeight="true" outlineLevel="0" collapsed="false">
      <c r="AK249" s="287"/>
      <c r="AL249" s="17"/>
    </row>
    <row r="250" customFormat="false" ht="15" hidden="false" customHeight="true" outlineLevel="0" collapsed="false">
      <c r="AK250" s="287"/>
      <c r="AL250" s="17"/>
    </row>
    <row r="251" customFormat="false" ht="15" hidden="false" customHeight="true" outlineLevel="0" collapsed="false">
      <c r="AK251" s="287"/>
      <c r="AL251" s="17"/>
    </row>
    <row r="252" customFormat="false" ht="15" hidden="false" customHeight="true" outlineLevel="0" collapsed="false">
      <c r="AK252" s="287"/>
      <c r="AL252" s="17"/>
    </row>
    <row r="253" customFormat="false" ht="15" hidden="false" customHeight="true" outlineLevel="0" collapsed="false">
      <c r="AK253" s="287"/>
      <c r="AL253" s="17"/>
    </row>
    <row r="254" customFormat="false" ht="15" hidden="false" customHeight="true" outlineLevel="0" collapsed="false">
      <c r="AK254" s="287"/>
      <c r="AL254" s="17"/>
    </row>
    <row r="255" customFormat="false" ht="15" hidden="false" customHeight="true" outlineLevel="0" collapsed="false">
      <c r="AK255" s="287"/>
      <c r="AL255" s="17"/>
    </row>
    <row r="256" customFormat="false" ht="15" hidden="false" customHeight="true" outlineLevel="0" collapsed="false">
      <c r="AK256" s="287"/>
      <c r="AL256" s="17"/>
    </row>
    <row r="257" customFormat="false" ht="15" hidden="false" customHeight="true" outlineLevel="0" collapsed="false">
      <c r="AK257" s="287"/>
      <c r="AL257" s="17"/>
    </row>
    <row r="258" customFormat="false" ht="15" hidden="false" customHeight="true" outlineLevel="0" collapsed="false">
      <c r="AK258" s="287"/>
      <c r="AL258" s="17"/>
    </row>
    <row r="259" customFormat="false" ht="15" hidden="false" customHeight="true" outlineLevel="0" collapsed="false">
      <c r="AK259" s="303"/>
      <c r="AL259" s="17"/>
    </row>
    <row r="260" customFormat="false" ht="15" hidden="false" customHeight="true" outlineLevel="0" collapsed="false">
      <c r="AL260" s="17"/>
    </row>
    <row r="261" customFormat="false" ht="15" hidden="false" customHeight="true" outlineLevel="0" collapsed="false">
      <c r="AK261" s="268"/>
      <c r="AL261" s="17"/>
    </row>
    <row r="262" customFormat="false" ht="15" hidden="false" customHeight="true" outlineLevel="0" collapsed="false">
      <c r="AK262" s="287"/>
      <c r="AL262" s="17"/>
    </row>
    <row r="263" customFormat="false" ht="15" hidden="false" customHeight="true" outlineLevel="0" collapsed="false">
      <c r="AK263" s="287"/>
      <c r="AL263" s="17"/>
    </row>
    <row r="264" customFormat="false" ht="15" hidden="false" customHeight="true" outlineLevel="0" collapsed="false">
      <c r="AK264" s="287"/>
      <c r="AL264" s="17"/>
    </row>
    <row r="265" customFormat="false" ht="15" hidden="false" customHeight="true" outlineLevel="0" collapsed="false">
      <c r="AK265" s="287"/>
      <c r="AL265" s="17"/>
    </row>
    <row r="266" customFormat="false" ht="15" hidden="false" customHeight="true" outlineLevel="0" collapsed="false">
      <c r="AK266" s="287"/>
      <c r="AL266" s="17"/>
    </row>
    <row r="267" customFormat="false" ht="15" hidden="false" customHeight="true" outlineLevel="0" collapsed="false">
      <c r="AK267" s="287"/>
      <c r="AL267" s="17"/>
    </row>
    <row r="268" customFormat="false" ht="15" hidden="false" customHeight="true" outlineLevel="0" collapsed="false">
      <c r="AK268" s="287"/>
      <c r="AL268" s="17"/>
    </row>
    <row r="269" customFormat="false" ht="15" hidden="false" customHeight="true" outlineLevel="0" collapsed="false">
      <c r="AK269" s="287"/>
      <c r="AL269" s="17"/>
    </row>
    <row r="270" customFormat="false" ht="15" hidden="false" customHeight="true" outlineLevel="0" collapsed="false">
      <c r="AK270" s="287"/>
      <c r="AL270" s="17"/>
    </row>
    <row r="271" customFormat="false" ht="15" hidden="false" customHeight="true" outlineLevel="0" collapsed="false">
      <c r="AK271" s="287"/>
      <c r="AL271" s="17"/>
    </row>
    <row r="272" customFormat="false" ht="15" hidden="false" customHeight="true" outlineLevel="0" collapsed="false">
      <c r="AK272" s="287"/>
      <c r="AL272" s="17"/>
    </row>
    <row r="273" customFormat="false" ht="15" hidden="false" customHeight="true" outlineLevel="0" collapsed="false">
      <c r="AK273" s="287"/>
      <c r="AL273" s="17"/>
    </row>
    <row r="274" customFormat="false" ht="15" hidden="false" customHeight="true" outlineLevel="0" collapsed="false">
      <c r="AK274" s="303"/>
      <c r="AL274" s="17"/>
    </row>
    <row r="275" customFormat="false" ht="15" hidden="false" customHeight="true" outlineLevel="0" collapsed="false">
      <c r="AL275" s="17"/>
    </row>
    <row r="276" customFormat="false" ht="15" hidden="false" customHeight="true" outlineLevel="0" collapsed="false">
      <c r="AK276" s="268"/>
      <c r="AL276" s="17"/>
    </row>
    <row r="277" customFormat="false" ht="15" hidden="false" customHeight="true" outlineLevel="0" collapsed="false">
      <c r="AK277" s="287"/>
      <c r="AL277" s="17"/>
    </row>
    <row r="278" customFormat="false" ht="15" hidden="false" customHeight="true" outlineLevel="0" collapsed="false">
      <c r="AK278" s="287"/>
      <c r="AL278" s="17"/>
    </row>
    <row r="279" customFormat="false" ht="15" hidden="false" customHeight="true" outlineLevel="0" collapsed="false">
      <c r="AK279" s="287"/>
      <c r="AL279" s="17"/>
    </row>
    <row r="280" customFormat="false" ht="15" hidden="false" customHeight="true" outlineLevel="0" collapsed="false">
      <c r="AK280" s="287"/>
      <c r="AL280" s="17"/>
    </row>
    <row r="281" customFormat="false" ht="15" hidden="false" customHeight="true" outlineLevel="0" collapsed="false">
      <c r="AK281" s="287"/>
      <c r="AL281" s="17"/>
    </row>
    <row r="282" customFormat="false" ht="15" hidden="false" customHeight="true" outlineLevel="0" collapsed="false">
      <c r="AK282" s="287"/>
      <c r="AL282" s="17"/>
    </row>
    <row r="283" customFormat="false" ht="15" hidden="false" customHeight="true" outlineLevel="0" collapsed="false">
      <c r="AK283" s="287"/>
      <c r="AL283" s="17"/>
    </row>
    <row r="284" customFormat="false" ht="15" hidden="false" customHeight="true" outlineLevel="0" collapsed="false">
      <c r="AK284" s="287"/>
      <c r="AL284" s="17"/>
    </row>
    <row r="285" customFormat="false" ht="15" hidden="false" customHeight="true" outlineLevel="0" collapsed="false">
      <c r="AK285" s="287"/>
      <c r="AL285" s="17"/>
    </row>
    <row r="286" customFormat="false" ht="15" hidden="false" customHeight="true" outlineLevel="0" collapsed="false">
      <c r="AK286" s="287"/>
      <c r="AL286" s="17"/>
    </row>
    <row r="287" customFormat="false" ht="15" hidden="false" customHeight="true" outlineLevel="0" collapsed="false">
      <c r="AK287" s="287"/>
      <c r="AL287" s="17"/>
    </row>
    <row r="288" customFormat="false" ht="15" hidden="false" customHeight="true" outlineLevel="0" collapsed="false">
      <c r="AK288" s="287"/>
      <c r="AL288" s="17"/>
    </row>
    <row r="289" customFormat="false" ht="15" hidden="false" customHeight="true" outlineLevel="0" collapsed="false">
      <c r="AK289" s="303"/>
      <c r="AL289" s="17"/>
    </row>
    <row r="290" customFormat="false" ht="15" hidden="false" customHeight="true" outlineLevel="0" collapsed="false">
      <c r="AL290" s="17"/>
    </row>
    <row r="291" customFormat="false" ht="15" hidden="false" customHeight="true" outlineLevel="0" collapsed="false">
      <c r="AK291" s="268"/>
      <c r="AL291" s="17"/>
    </row>
    <row r="292" customFormat="false" ht="15" hidden="false" customHeight="true" outlineLevel="0" collapsed="false">
      <c r="AK292" s="287"/>
      <c r="AL292" s="17"/>
    </row>
    <row r="293" customFormat="false" ht="15" hidden="false" customHeight="true" outlineLevel="0" collapsed="false">
      <c r="AK293" s="287"/>
      <c r="AL293" s="17"/>
    </row>
    <row r="294" customFormat="false" ht="15" hidden="false" customHeight="true" outlineLevel="0" collapsed="false">
      <c r="AK294" s="287"/>
      <c r="AL294" s="17"/>
    </row>
    <row r="295" customFormat="false" ht="15" hidden="false" customHeight="true" outlineLevel="0" collapsed="false">
      <c r="AK295" s="287"/>
      <c r="AL295" s="17"/>
    </row>
    <row r="296" customFormat="false" ht="15" hidden="false" customHeight="true" outlineLevel="0" collapsed="false">
      <c r="AK296" s="287"/>
      <c r="AL296" s="17"/>
    </row>
    <row r="297" customFormat="false" ht="15" hidden="false" customHeight="true" outlineLevel="0" collapsed="false">
      <c r="AK297" s="287"/>
      <c r="AL297" s="17"/>
    </row>
    <row r="298" customFormat="false" ht="15" hidden="false" customHeight="true" outlineLevel="0" collapsed="false">
      <c r="AK298" s="287"/>
      <c r="AL298" s="17"/>
    </row>
    <row r="299" customFormat="false" ht="15" hidden="false" customHeight="true" outlineLevel="0" collapsed="false">
      <c r="AK299" s="287"/>
      <c r="AL299" s="17"/>
    </row>
    <row r="300" customFormat="false" ht="15" hidden="false" customHeight="true" outlineLevel="0" collapsed="false">
      <c r="AK300" s="287"/>
      <c r="AL300" s="17"/>
    </row>
    <row r="301" customFormat="false" ht="15" hidden="false" customHeight="true" outlineLevel="0" collapsed="false">
      <c r="AK301" s="287"/>
      <c r="AL301" s="17"/>
    </row>
    <row r="302" customFormat="false" ht="15" hidden="false" customHeight="true" outlineLevel="0" collapsed="false">
      <c r="AK302" s="287"/>
      <c r="AL302" s="17"/>
    </row>
    <row r="303" customFormat="false" ht="15" hidden="false" customHeight="true" outlineLevel="0" collapsed="false">
      <c r="AK303" s="287"/>
      <c r="AL303" s="17"/>
    </row>
    <row r="304" customFormat="false" ht="15" hidden="false" customHeight="true" outlineLevel="0" collapsed="false">
      <c r="AK304" s="303"/>
      <c r="AL304" s="17"/>
    </row>
    <row r="305" customFormat="false" ht="15" hidden="false" customHeight="true" outlineLevel="0" collapsed="false">
      <c r="AL305" s="17"/>
    </row>
    <row r="306" customFormat="false" ht="15" hidden="false" customHeight="true" outlineLevel="0" collapsed="false">
      <c r="AK306" s="268"/>
      <c r="AL306" s="17"/>
    </row>
    <row r="307" customFormat="false" ht="15" hidden="false" customHeight="true" outlineLevel="0" collapsed="false">
      <c r="AK307" s="287"/>
      <c r="AL307" s="17"/>
    </row>
    <row r="308" customFormat="false" ht="15" hidden="false" customHeight="true" outlineLevel="0" collapsed="false">
      <c r="AK308" s="287"/>
      <c r="AL308" s="17"/>
    </row>
    <row r="309" customFormat="false" ht="15" hidden="false" customHeight="true" outlineLevel="0" collapsed="false">
      <c r="AK309" s="287"/>
      <c r="AL309" s="17"/>
    </row>
    <row r="310" customFormat="false" ht="15" hidden="false" customHeight="true" outlineLevel="0" collapsed="false">
      <c r="AK310" s="287"/>
      <c r="AL310" s="17"/>
    </row>
    <row r="311" customFormat="false" ht="15" hidden="false" customHeight="true" outlineLevel="0" collapsed="false">
      <c r="AK311" s="287"/>
      <c r="AL311" s="17"/>
    </row>
    <row r="312" customFormat="false" ht="15" hidden="false" customHeight="true" outlineLevel="0" collapsed="false">
      <c r="AK312" s="287"/>
      <c r="AL312" s="17"/>
    </row>
    <row r="313" customFormat="false" ht="15" hidden="false" customHeight="true" outlineLevel="0" collapsed="false">
      <c r="AK313" s="287"/>
      <c r="AL313" s="17"/>
    </row>
    <row r="314" customFormat="false" ht="15" hidden="false" customHeight="true" outlineLevel="0" collapsed="false">
      <c r="AK314" s="287"/>
      <c r="AL314" s="17"/>
    </row>
    <row r="315" customFormat="false" ht="15" hidden="false" customHeight="true" outlineLevel="0" collapsed="false">
      <c r="AK315" s="287"/>
      <c r="AL315" s="17"/>
    </row>
    <row r="316" customFormat="false" ht="15" hidden="false" customHeight="true" outlineLevel="0" collapsed="false">
      <c r="AK316" s="287"/>
      <c r="AL316" s="17"/>
    </row>
    <row r="317" customFormat="false" ht="15" hidden="false" customHeight="true" outlineLevel="0" collapsed="false">
      <c r="AK317" s="287"/>
      <c r="AL317" s="17"/>
    </row>
    <row r="318" customFormat="false" ht="15" hidden="false" customHeight="true" outlineLevel="0" collapsed="false">
      <c r="AK318" s="287"/>
      <c r="AL318" s="17"/>
    </row>
    <row r="319" customFormat="false" ht="15" hidden="false" customHeight="true" outlineLevel="0" collapsed="false">
      <c r="AK319" s="303"/>
      <c r="AL319" s="17"/>
    </row>
    <row r="320" customFormat="false" ht="15" hidden="false" customHeight="true" outlineLevel="0" collapsed="false">
      <c r="AL320" s="17"/>
    </row>
    <row r="321" customFormat="false" ht="15" hidden="false" customHeight="true" outlineLevel="0" collapsed="false">
      <c r="AK321" s="268"/>
      <c r="AL321" s="17"/>
    </row>
    <row r="322" customFormat="false" ht="15" hidden="false" customHeight="true" outlineLevel="0" collapsed="false">
      <c r="AK322" s="287"/>
      <c r="AL322" s="17"/>
    </row>
    <row r="323" customFormat="false" ht="15" hidden="false" customHeight="true" outlineLevel="0" collapsed="false">
      <c r="AK323" s="287"/>
      <c r="AL323" s="17"/>
    </row>
    <row r="324" customFormat="false" ht="15" hidden="false" customHeight="true" outlineLevel="0" collapsed="false">
      <c r="AK324" s="287"/>
      <c r="AL324" s="17"/>
    </row>
    <row r="325" customFormat="false" ht="15" hidden="false" customHeight="true" outlineLevel="0" collapsed="false">
      <c r="AK325" s="287"/>
      <c r="AL325" s="17"/>
    </row>
    <row r="326" customFormat="false" ht="15" hidden="false" customHeight="true" outlineLevel="0" collapsed="false">
      <c r="AK326" s="287"/>
      <c r="AL326" s="17"/>
    </row>
    <row r="327" customFormat="false" ht="15" hidden="false" customHeight="true" outlineLevel="0" collapsed="false">
      <c r="AK327" s="287"/>
      <c r="AL327" s="17"/>
    </row>
    <row r="328" customFormat="false" ht="15" hidden="false" customHeight="true" outlineLevel="0" collapsed="false">
      <c r="AK328" s="287"/>
      <c r="AL328" s="17"/>
    </row>
    <row r="329" customFormat="false" ht="15" hidden="false" customHeight="true" outlineLevel="0" collapsed="false">
      <c r="AK329" s="287"/>
      <c r="AL329" s="17"/>
    </row>
    <row r="330" customFormat="false" ht="15" hidden="false" customHeight="true" outlineLevel="0" collapsed="false">
      <c r="AK330" s="287"/>
      <c r="AL330" s="17"/>
    </row>
    <row r="331" customFormat="false" ht="15" hidden="false" customHeight="true" outlineLevel="0" collapsed="false">
      <c r="AK331" s="287"/>
      <c r="AL331" s="17"/>
    </row>
    <row r="332" customFormat="false" ht="15" hidden="false" customHeight="true" outlineLevel="0" collapsed="false">
      <c r="AK332" s="287"/>
      <c r="AL332" s="17"/>
    </row>
    <row r="333" customFormat="false" ht="15" hidden="false" customHeight="true" outlineLevel="0" collapsed="false">
      <c r="AK333" s="287"/>
      <c r="AL333" s="17"/>
    </row>
    <row r="334" customFormat="false" ht="15" hidden="false" customHeight="true" outlineLevel="0" collapsed="false">
      <c r="AK334" s="303"/>
      <c r="AL334" s="17"/>
    </row>
    <row r="335" customFormat="false" ht="15" hidden="false" customHeight="true" outlineLevel="0" collapsed="false">
      <c r="AL335" s="17"/>
    </row>
    <row r="336" customFormat="false" ht="15" hidden="false" customHeight="true" outlineLevel="0" collapsed="false">
      <c r="AK336" s="268"/>
      <c r="AL336" s="17"/>
    </row>
    <row r="337" customFormat="false" ht="15" hidden="false" customHeight="true" outlineLevel="0" collapsed="false">
      <c r="AK337" s="287"/>
      <c r="AL337" s="17"/>
    </row>
    <row r="338" customFormat="false" ht="15" hidden="false" customHeight="true" outlineLevel="0" collapsed="false">
      <c r="AK338" s="287"/>
      <c r="AL338" s="17"/>
    </row>
    <row r="339" customFormat="false" ht="15" hidden="false" customHeight="true" outlineLevel="0" collapsed="false">
      <c r="AK339" s="287"/>
      <c r="AL339" s="17"/>
    </row>
    <row r="340" customFormat="false" ht="15" hidden="false" customHeight="true" outlineLevel="0" collapsed="false">
      <c r="AK340" s="287"/>
      <c r="AL340" s="17"/>
    </row>
    <row r="341" customFormat="false" ht="15" hidden="false" customHeight="true" outlineLevel="0" collapsed="false">
      <c r="AK341" s="287"/>
      <c r="AL341" s="17"/>
    </row>
    <row r="342" customFormat="false" ht="15" hidden="false" customHeight="true" outlineLevel="0" collapsed="false">
      <c r="AK342" s="287"/>
      <c r="AL342" s="17"/>
    </row>
    <row r="343" customFormat="false" ht="15" hidden="false" customHeight="true" outlineLevel="0" collapsed="false">
      <c r="AK343" s="287"/>
      <c r="AL343" s="17"/>
    </row>
    <row r="344" customFormat="false" ht="15" hidden="false" customHeight="true" outlineLevel="0" collapsed="false">
      <c r="AK344" s="287"/>
      <c r="AL344" s="17"/>
    </row>
    <row r="345" customFormat="false" ht="15" hidden="false" customHeight="true" outlineLevel="0" collapsed="false">
      <c r="AK345" s="287"/>
      <c r="AL345" s="17"/>
    </row>
    <row r="346" customFormat="false" ht="15" hidden="false" customHeight="true" outlineLevel="0" collapsed="false">
      <c r="AK346" s="287"/>
      <c r="AL346" s="17"/>
    </row>
    <row r="347" customFormat="false" ht="15" hidden="false" customHeight="true" outlineLevel="0" collapsed="false">
      <c r="AK347" s="287"/>
      <c r="AL347" s="17"/>
    </row>
    <row r="348" customFormat="false" ht="15" hidden="false" customHeight="true" outlineLevel="0" collapsed="false">
      <c r="AK348" s="287"/>
      <c r="AL348" s="17"/>
    </row>
    <row r="349" customFormat="false" ht="15" hidden="false" customHeight="true" outlineLevel="0" collapsed="false">
      <c r="AK349" s="303"/>
      <c r="AL349" s="17"/>
    </row>
    <row r="350" customFormat="false" ht="15" hidden="false" customHeight="true" outlineLevel="0" collapsed="false">
      <c r="AL350" s="17"/>
    </row>
    <row r="351" customFormat="false" ht="15" hidden="false" customHeight="true" outlineLevel="0" collapsed="false">
      <c r="AK351" s="268"/>
      <c r="AL351" s="17"/>
    </row>
    <row r="352" customFormat="false" ht="15" hidden="false" customHeight="true" outlineLevel="0" collapsed="false">
      <c r="AK352" s="287"/>
      <c r="AL352" s="17"/>
    </row>
    <row r="353" customFormat="false" ht="15" hidden="false" customHeight="true" outlineLevel="0" collapsed="false">
      <c r="AK353" s="287"/>
      <c r="AL353" s="17"/>
    </row>
    <row r="354" customFormat="false" ht="15" hidden="false" customHeight="true" outlineLevel="0" collapsed="false">
      <c r="AK354" s="287"/>
      <c r="AL354" s="17"/>
    </row>
    <row r="355" customFormat="false" ht="15" hidden="false" customHeight="true" outlineLevel="0" collapsed="false">
      <c r="AK355" s="287"/>
      <c r="AL355" s="17"/>
    </row>
    <row r="356" customFormat="false" ht="15" hidden="false" customHeight="true" outlineLevel="0" collapsed="false">
      <c r="AK356" s="287"/>
      <c r="AL356" s="17"/>
    </row>
    <row r="357" customFormat="false" ht="15" hidden="false" customHeight="true" outlineLevel="0" collapsed="false">
      <c r="AK357" s="287"/>
      <c r="AL357" s="17"/>
    </row>
    <row r="358" customFormat="false" ht="15" hidden="false" customHeight="true" outlineLevel="0" collapsed="false">
      <c r="AK358" s="287"/>
      <c r="AL358" s="17"/>
    </row>
    <row r="359" customFormat="false" ht="15" hidden="false" customHeight="true" outlineLevel="0" collapsed="false">
      <c r="AK359" s="287"/>
      <c r="AL359" s="17"/>
    </row>
    <row r="360" customFormat="false" ht="15" hidden="false" customHeight="true" outlineLevel="0" collapsed="false">
      <c r="AK360" s="287"/>
      <c r="AL360" s="17"/>
    </row>
    <row r="361" customFormat="false" ht="15" hidden="false" customHeight="true" outlineLevel="0" collapsed="false">
      <c r="AK361" s="287"/>
      <c r="AL361" s="17"/>
    </row>
    <row r="362" customFormat="false" ht="15" hidden="false" customHeight="true" outlineLevel="0" collapsed="false">
      <c r="AK362" s="287"/>
      <c r="AL362" s="17"/>
    </row>
    <row r="363" customFormat="false" ht="15" hidden="false" customHeight="true" outlineLevel="0" collapsed="false">
      <c r="AK363" s="287"/>
      <c r="AL363" s="17"/>
    </row>
    <row r="364" customFormat="false" ht="15" hidden="false" customHeight="true" outlineLevel="0" collapsed="false">
      <c r="AK364" s="303"/>
      <c r="AL364" s="17"/>
    </row>
    <row r="365" customFormat="false" ht="15" hidden="false" customHeight="true" outlineLevel="0" collapsed="false">
      <c r="AL365" s="17"/>
    </row>
    <row r="366" customFormat="false" ht="15" hidden="false" customHeight="true" outlineLevel="0" collapsed="false">
      <c r="AK366" s="268"/>
      <c r="AL366" s="17"/>
    </row>
    <row r="367" customFormat="false" ht="15" hidden="false" customHeight="true" outlineLevel="0" collapsed="false">
      <c r="AK367" s="287"/>
      <c r="AL367" s="17"/>
    </row>
    <row r="368" customFormat="false" ht="15" hidden="false" customHeight="true" outlineLevel="0" collapsed="false">
      <c r="AK368" s="287"/>
      <c r="AL368" s="17"/>
    </row>
    <row r="369" customFormat="false" ht="15" hidden="false" customHeight="true" outlineLevel="0" collapsed="false">
      <c r="AK369" s="287"/>
      <c r="AL369" s="17"/>
    </row>
    <row r="370" customFormat="false" ht="15" hidden="false" customHeight="true" outlineLevel="0" collapsed="false">
      <c r="AK370" s="287"/>
      <c r="AL370" s="17"/>
    </row>
    <row r="371" customFormat="false" ht="15" hidden="false" customHeight="true" outlineLevel="0" collapsed="false">
      <c r="AK371" s="287"/>
      <c r="AL371" s="17"/>
    </row>
    <row r="372" customFormat="false" ht="15" hidden="false" customHeight="true" outlineLevel="0" collapsed="false">
      <c r="AK372" s="287"/>
      <c r="AL372" s="17"/>
    </row>
    <row r="373" customFormat="false" ht="15" hidden="false" customHeight="true" outlineLevel="0" collapsed="false">
      <c r="AK373" s="287"/>
      <c r="AL373" s="17"/>
    </row>
    <row r="374" customFormat="false" ht="15" hidden="false" customHeight="true" outlineLevel="0" collapsed="false">
      <c r="AK374" s="287"/>
      <c r="AL374" s="17"/>
    </row>
    <row r="375" customFormat="false" ht="15" hidden="false" customHeight="true" outlineLevel="0" collapsed="false">
      <c r="AK375" s="287"/>
      <c r="AL375" s="17"/>
    </row>
    <row r="376" customFormat="false" ht="15" hidden="false" customHeight="true" outlineLevel="0" collapsed="false">
      <c r="AK376" s="287"/>
      <c r="AL376" s="17"/>
    </row>
    <row r="377" customFormat="false" ht="15" hidden="false" customHeight="true" outlineLevel="0" collapsed="false">
      <c r="AK377" s="287"/>
      <c r="AL377" s="17"/>
    </row>
    <row r="378" customFormat="false" ht="15" hidden="false" customHeight="true" outlineLevel="0" collapsed="false">
      <c r="AK378" s="287"/>
      <c r="AL378" s="17"/>
    </row>
    <row r="379" customFormat="false" ht="15" hidden="false" customHeight="true" outlineLevel="0" collapsed="false">
      <c r="AK379" s="303"/>
      <c r="AL379" s="17"/>
    </row>
    <row r="380" customFormat="false" ht="15" hidden="false" customHeight="true" outlineLevel="0" collapsed="false">
      <c r="AL380" s="17"/>
    </row>
    <row r="381" customFormat="false" ht="15" hidden="false" customHeight="true" outlineLevel="0" collapsed="false">
      <c r="AK381" s="268"/>
      <c r="AL381" s="17"/>
    </row>
    <row r="382" customFormat="false" ht="15" hidden="false" customHeight="true" outlineLevel="0" collapsed="false">
      <c r="AK382" s="287"/>
      <c r="AL382" s="17"/>
    </row>
    <row r="383" customFormat="false" ht="15" hidden="false" customHeight="true" outlineLevel="0" collapsed="false">
      <c r="AK383" s="287"/>
      <c r="AL383" s="17"/>
    </row>
    <row r="384" customFormat="false" ht="15" hidden="false" customHeight="true" outlineLevel="0" collapsed="false">
      <c r="AK384" s="287"/>
      <c r="AL384" s="17"/>
    </row>
    <row r="385" customFormat="false" ht="15" hidden="false" customHeight="true" outlineLevel="0" collapsed="false">
      <c r="AK385" s="287"/>
      <c r="AL385" s="17"/>
    </row>
    <row r="386" customFormat="false" ht="15" hidden="false" customHeight="true" outlineLevel="0" collapsed="false">
      <c r="AK386" s="287"/>
      <c r="AL386" s="17"/>
    </row>
    <row r="387" customFormat="false" ht="15" hidden="false" customHeight="true" outlineLevel="0" collapsed="false">
      <c r="AK387" s="287"/>
      <c r="AL387" s="17"/>
    </row>
    <row r="388" customFormat="false" ht="15" hidden="false" customHeight="true" outlineLevel="0" collapsed="false">
      <c r="AK388" s="287"/>
      <c r="AL388" s="17"/>
    </row>
    <row r="389" customFormat="false" ht="15" hidden="false" customHeight="true" outlineLevel="0" collapsed="false">
      <c r="AK389" s="287"/>
      <c r="AL389" s="17"/>
    </row>
    <row r="390" customFormat="false" ht="15" hidden="false" customHeight="true" outlineLevel="0" collapsed="false">
      <c r="AK390" s="287"/>
      <c r="AL390" s="17"/>
    </row>
    <row r="391" customFormat="false" ht="15" hidden="false" customHeight="true" outlineLevel="0" collapsed="false">
      <c r="AK391" s="287"/>
      <c r="AL391" s="17"/>
    </row>
    <row r="392" customFormat="false" ht="15" hidden="false" customHeight="true" outlineLevel="0" collapsed="false">
      <c r="AK392" s="287"/>
      <c r="AL392" s="17"/>
    </row>
    <row r="393" customFormat="false" ht="15" hidden="false" customHeight="true" outlineLevel="0" collapsed="false">
      <c r="AK393" s="287"/>
      <c r="AL393" s="17"/>
    </row>
    <row r="394" customFormat="false" ht="15" hidden="false" customHeight="true" outlineLevel="0" collapsed="false">
      <c r="AK394" s="303"/>
      <c r="AL394" s="17"/>
    </row>
    <row r="395" customFormat="false" ht="15" hidden="false" customHeight="true" outlineLevel="0" collapsed="false">
      <c r="AL395" s="17"/>
    </row>
    <row r="396" customFormat="false" ht="15" hidden="false" customHeight="true" outlineLevel="0" collapsed="false">
      <c r="AK396" s="268"/>
      <c r="AL396" s="17"/>
    </row>
    <row r="397" customFormat="false" ht="15" hidden="false" customHeight="true" outlineLevel="0" collapsed="false">
      <c r="AK397" s="287"/>
      <c r="AL397" s="17"/>
    </row>
    <row r="398" customFormat="false" ht="15" hidden="false" customHeight="true" outlineLevel="0" collapsed="false">
      <c r="AK398" s="287"/>
      <c r="AL398" s="17"/>
    </row>
    <row r="399" customFormat="false" ht="15" hidden="false" customHeight="true" outlineLevel="0" collapsed="false">
      <c r="AK399" s="287"/>
      <c r="AL399" s="17"/>
    </row>
    <row r="400" customFormat="false" ht="15" hidden="false" customHeight="true" outlineLevel="0" collapsed="false">
      <c r="AK400" s="287"/>
      <c r="AL400" s="17"/>
    </row>
    <row r="401" customFormat="false" ht="15" hidden="false" customHeight="true" outlineLevel="0" collapsed="false">
      <c r="AK401" s="287"/>
      <c r="AL401" s="17"/>
    </row>
    <row r="402" customFormat="false" ht="15" hidden="false" customHeight="true" outlineLevel="0" collapsed="false">
      <c r="AK402" s="287"/>
      <c r="AL402" s="17"/>
    </row>
    <row r="403" customFormat="false" ht="15" hidden="false" customHeight="true" outlineLevel="0" collapsed="false">
      <c r="AK403" s="287"/>
      <c r="AL403" s="17"/>
    </row>
    <row r="404" customFormat="false" ht="15" hidden="false" customHeight="true" outlineLevel="0" collapsed="false">
      <c r="AK404" s="287"/>
      <c r="AL404" s="17"/>
    </row>
    <row r="405" customFormat="false" ht="15" hidden="false" customHeight="true" outlineLevel="0" collapsed="false">
      <c r="AK405" s="287"/>
      <c r="AL405" s="17"/>
    </row>
    <row r="406" customFormat="false" ht="15" hidden="false" customHeight="true" outlineLevel="0" collapsed="false">
      <c r="AK406" s="287"/>
      <c r="AL406" s="17"/>
    </row>
    <row r="407" customFormat="false" ht="15" hidden="false" customHeight="true" outlineLevel="0" collapsed="false">
      <c r="AK407" s="287"/>
      <c r="AL407" s="17"/>
    </row>
    <row r="408" customFormat="false" ht="15" hidden="false" customHeight="true" outlineLevel="0" collapsed="false">
      <c r="AK408" s="287"/>
      <c r="AL408" s="17"/>
    </row>
    <row r="409" customFormat="false" ht="15" hidden="false" customHeight="true" outlineLevel="0" collapsed="false">
      <c r="AK409" s="303"/>
      <c r="AL409" s="17"/>
    </row>
    <row r="410" customFormat="false" ht="15" hidden="false" customHeight="true" outlineLevel="0" collapsed="false">
      <c r="AL410" s="17"/>
    </row>
    <row r="411" customFormat="false" ht="15" hidden="false" customHeight="true" outlineLevel="0" collapsed="false">
      <c r="AK411" s="268"/>
      <c r="AL411" s="17"/>
    </row>
    <row r="412" customFormat="false" ht="15" hidden="false" customHeight="true" outlineLevel="0" collapsed="false">
      <c r="AK412" s="287"/>
      <c r="AL412" s="17"/>
    </row>
    <row r="413" customFormat="false" ht="15" hidden="false" customHeight="true" outlineLevel="0" collapsed="false">
      <c r="AK413" s="287"/>
      <c r="AL413" s="17"/>
    </row>
    <row r="414" customFormat="false" ht="15" hidden="false" customHeight="true" outlineLevel="0" collapsed="false">
      <c r="AK414" s="287"/>
      <c r="AL414" s="17"/>
    </row>
    <row r="415" customFormat="false" ht="15" hidden="false" customHeight="true" outlineLevel="0" collapsed="false">
      <c r="AK415" s="287"/>
      <c r="AL415" s="17"/>
    </row>
    <row r="416" customFormat="false" ht="15" hidden="false" customHeight="true" outlineLevel="0" collapsed="false">
      <c r="AK416" s="287"/>
      <c r="AL416" s="17"/>
    </row>
    <row r="417" customFormat="false" ht="15" hidden="false" customHeight="true" outlineLevel="0" collapsed="false">
      <c r="AK417" s="287"/>
      <c r="AL417" s="17"/>
    </row>
    <row r="418" customFormat="false" ht="15" hidden="false" customHeight="true" outlineLevel="0" collapsed="false">
      <c r="AK418" s="287"/>
      <c r="AL418" s="17"/>
    </row>
    <row r="419" customFormat="false" ht="15" hidden="false" customHeight="true" outlineLevel="0" collapsed="false">
      <c r="AK419" s="287"/>
      <c r="AL419" s="17"/>
    </row>
    <row r="420" customFormat="false" ht="15" hidden="false" customHeight="true" outlineLevel="0" collapsed="false">
      <c r="AK420" s="287"/>
      <c r="AL420" s="17"/>
    </row>
    <row r="421" customFormat="false" ht="15" hidden="false" customHeight="true" outlineLevel="0" collapsed="false">
      <c r="AK421" s="287"/>
      <c r="AL421" s="17"/>
    </row>
    <row r="422" customFormat="false" ht="15" hidden="false" customHeight="true" outlineLevel="0" collapsed="false">
      <c r="AK422" s="287"/>
      <c r="AL422" s="17"/>
    </row>
    <row r="423" customFormat="false" ht="15" hidden="false" customHeight="true" outlineLevel="0" collapsed="false">
      <c r="AK423" s="287"/>
      <c r="AL423" s="17"/>
    </row>
    <row r="424" customFormat="false" ht="15" hidden="false" customHeight="true" outlineLevel="0" collapsed="false">
      <c r="AK424" s="303"/>
      <c r="AL424" s="17"/>
    </row>
    <row r="425" customFormat="false" ht="15" hidden="false" customHeight="true" outlineLevel="0" collapsed="false">
      <c r="AL425" s="17"/>
    </row>
    <row r="426" customFormat="false" ht="15" hidden="false" customHeight="true" outlineLevel="0" collapsed="false">
      <c r="AK426" s="268"/>
      <c r="AL426" s="17"/>
    </row>
    <row r="427" customFormat="false" ht="15" hidden="false" customHeight="true" outlineLevel="0" collapsed="false">
      <c r="AK427" s="287"/>
      <c r="AL427" s="17"/>
    </row>
    <row r="428" customFormat="false" ht="15" hidden="false" customHeight="true" outlineLevel="0" collapsed="false">
      <c r="AK428" s="287"/>
      <c r="AL428" s="17"/>
    </row>
    <row r="429" customFormat="false" ht="15" hidden="false" customHeight="true" outlineLevel="0" collapsed="false">
      <c r="AK429" s="287"/>
      <c r="AL429" s="17"/>
    </row>
    <row r="430" customFormat="false" ht="15" hidden="false" customHeight="true" outlineLevel="0" collapsed="false">
      <c r="AK430" s="287"/>
      <c r="AL430" s="17"/>
    </row>
    <row r="431" customFormat="false" ht="15" hidden="false" customHeight="true" outlineLevel="0" collapsed="false">
      <c r="AK431" s="287"/>
      <c r="AL431" s="17"/>
    </row>
    <row r="432" customFormat="false" ht="15" hidden="false" customHeight="true" outlineLevel="0" collapsed="false">
      <c r="AK432" s="287"/>
      <c r="AL432" s="17"/>
    </row>
    <row r="433" customFormat="false" ht="15" hidden="false" customHeight="true" outlineLevel="0" collapsed="false">
      <c r="AK433" s="287"/>
      <c r="AL433" s="17"/>
    </row>
    <row r="434" customFormat="false" ht="15" hidden="false" customHeight="true" outlineLevel="0" collapsed="false">
      <c r="AK434" s="287"/>
      <c r="AL434" s="17"/>
    </row>
    <row r="435" customFormat="false" ht="15" hidden="false" customHeight="true" outlineLevel="0" collapsed="false">
      <c r="AK435" s="287"/>
      <c r="AL435" s="17"/>
    </row>
    <row r="436" customFormat="false" ht="15" hidden="false" customHeight="true" outlineLevel="0" collapsed="false">
      <c r="AK436" s="287"/>
      <c r="AL436" s="17"/>
    </row>
    <row r="437" customFormat="false" ht="15" hidden="false" customHeight="true" outlineLevel="0" collapsed="false">
      <c r="AK437" s="287"/>
      <c r="AL437" s="17"/>
    </row>
    <row r="438" customFormat="false" ht="15" hidden="false" customHeight="true" outlineLevel="0" collapsed="false">
      <c r="AK438" s="287"/>
      <c r="AL438" s="17"/>
    </row>
    <row r="439" customFormat="false" ht="15" hidden="false" customHeight="true" outlineLevel="0" collapsed="false">
      <c r="AK439" s="303"/>
      <c r="AL439" s="17"/>
    </row>
    <row r="440" customFormat="false" ht="15" hidden="false" customHeight="true" outlineLevel="0" collapsed="false">
      <c r="AL440" s="17"/>
    </row>
    <row r="441" customFormat="false" ht="15" hidden="false" customHeight="true" outlineLevel="0" collapsed="false">
      <c r="AK441" s="268"/>
      <c r="AL441" s="17"/>
    </row>
    <row r="442" customFormat="false" ht="15" hidden="false" customHeight="true" outlineLevel="0" collapsed="false">
      <c r="AK442" s="287"/>
      <c r="AL442" s="17"/>
    </row>
    <row r="443" customFormat="false" ht="15" hidden="false" customHeight="true" outlineLevel="0" collapsed="false">
      <c r="AK443" s="287"/>
      <c r="AL443" s="17"/>
    </row>
    <row r="444" customFormat="false" ht="15" hidden="false" customHeight="true" outlineLevel="0" collapsed="false">
      <c r="AK444" s="287"/>
      <c r="AL444" s="17"/>
    </row>
    <row r="445" customFormat="false" ht="15" hidden="false" customHeight="true" outlineLevel="0" collapsed="false">
      <c r="AK445" s="287"/>
      <c r="AL445" s="17"/>
    </row>
    <row r="446" customFormat="false" ht="15" hidden="false" customHeight="true" outlineLevel="0" collapsed="false">
      <c r="AK446" s="287"/>
      <c r="AL446" s="17"/>
    </row>
    <row r="447" customFormat="false" ht="15" hidden="false" customHeight="true" outlineLevel="0" collapsed="false">
      <c r="AK447" s="287"/>
      <c r="AL447" s="17"/>
    </row>
    <row r="448" customFormat="false" ht="15" hidden="false" customHeight="true" outlineLevel="0" collapsed="false">
      <c r="AK448" s="287"/>
      <c r="AL448" s="17"/>
    </row>
    <row r="449" customFormat="false" ht="15" hidden="false" customHeight="true" outlineLevel="0" collapsed="false">
      <c r="AK449" s="287"/>
      <c r="AL449" s="17"/>
    </row>
    <row r="450" customFormat="false" ht="15" hidden="false" customHeight="true" outlineLevel="0" collapsed="false">
      <c r="AK450" s="287"/>
      <c r="AL450" s="17"/>
    </row>
    <row r="451" customFormat="false" ht="15" hidden="false" customHeight="true" outlineLevel="0" collapsed="false">
      <c r="AK451" s="287"/>
      <c r="AL451" s="17"/>
    </row>
    <row r="452" customFormat="false" ht="15" hidden="false" customHeight="true" outlineLevel="0" collapsed="false">
      <c r="AK452" s="287"/>
      <c r="AL452" s="17"/>
    </row>
    <row r="453" customFormat="false" ht="15" hidden="false" customHeight="true" outlineLevel="0" collapsed="false">
      <c r="AK453" s="287"/>
      <c r="AL453" s="17"/>
    </row>
    <row r="454" customFormat="false" ht="15" hidden="false" customHeight="true" outlineLevel="0" collapsed="false">
      <c r="AK454" s="303"/>
      <c r="AL454" s="17"/>
    </row>
    <row r="455" customFormat="false" ht="15" hidden="false" customHeight="true" outlineLevel="0" collapsed="false">
      <c r="AL455" s="17"/>
    </row>
    <row r="456" customFormat="false" ht="15" hidden="false" customHeight="true" outlineLevel="0" collapsed="false">
      <c r="AK456" s="268"/>
      <c r="AL456" s="17"/>
    </row>
    <row r="457" customFormat="false" ht="15" hidden="false" customHeight="true" outlineLevel="0" collapsed="false">
      <c r="AK457" s="287"/>
      <c r="AL457" s="17"/>
    </row>
    <row r="458" customFormat="false" ht="15" hidden="false" customHeight="true" outlineLevel="0" collapsed="false">
      <c r="AK458" s="287"/>
      <c r="AL458" s="17"/>
    </row>
    <row r="459" customFormat="false" ht="15" hidden="false" customHeight="true" outlineLevel="0" collapsed="false">
      <c r="AK459" s="287"/>
      <c r="AL459" s="17"/>
    </row>
    <row r="460" customFormat="false" ht="15" hidden="false" customHeight="true" outlineLevel="0" collapsed="false">
      <c r="AK460" s="287"/>
      <c r="AL460" s="17"/>
    </row>
    <row r="461" customFormat="false" ht="15" hidden="false" customHeight="true" outlineLevel="0" collapsed="false">
      <c r="AK461" s="287"/>
      <c r="AL461" s="17"/>
    </row>
    <row r="462" customFormat="false" ht="15" hidden="false" customHeight="true" outlineLevel="0" collapsed="false">
      <c r="AK462" s="287"/>
      <c r="AL462" s="17"/>
    </row>
    <row r="463" customFormat="false" ht="15" hidden="false" customHeight="true" outlineLevel="0" collapsed="false">
      <c r="AK463" s="287"/>
      <c r="AL463" s="17"/>
    </row>
    <row r="464" customFormat="false" ht="15" hidden="false" customHeight="true" outlineLevel="0" collapsed="false">
      <c r="AK464" s="287"/>
      <c r="AL464" s="17"/>
    </row>
    <row r="465" customFormat="false" ht="15" hidden="false" customHeight="true" outlineLevel="0" collapsed="false">
      <c r="AK465" s="287"/>
      <c r="AL465" s="17"/>
    </row>
    <row r="466" customFormat="false" ht="15" hidden="false" customHeight="true" outlineLevel="0" collapsed="false">
      <c r="AK466" s="287"/>
      <c r="AL466" s="17"/>
    </row>
    <row r="467" customFormat="false" ht="15" hidden="false" customHeight="true" outlineLevel="0" collapsed="false">
      <c r="AK467" s="287"/>
      <c r="AL467" s="17"/>
    </row>
    <row r="468" customFormat="false" ht="15" hidden="false" customHeight="true" outlineLevel="0" collapsed="false">
      <c r="AK468" s="287"/>
      <c r="AL468" s="17"/>
    </row>
    <row r="469" customFormat="false" ht="15" hidden="false" customHeight="true" outlineLevel="0" collapsed="false">
      <c r="AK469" s="303"/>
      <c r="AL469" s="17"/>
    </row>
    <row r="470" customFormat="false" ht="15" hidden="false" customHeight="true" outlineLevel="0" collapsed="false">
      <c r="AK470" s="303"/>
      <c r="AL470" s="17"/>
    </row>
    <row r="471" customFormat="false" ht="15" hidden="false" customHeight="true" outlineLevel="0" collapsed="false">
      <c r="AK471" s="268"/>
      <c r="AL471" s="17"/>
    </row>
    <row r="472" customFormat="false" ht="15" hidden="false" customHeight="true" outlineLevel="0" collapsed="false">
      <c r="AK472" s="287"/>
      <c r="AL472" s="17"/>
    </row>
    <row r="473" customFormat="false" ht="15" hidden="false" customHeight="true" outlineLevel="0" collapsed="false">
      <c r="AK473" s="287"/>
      <c r="AL473" s="17"/>
    </row>
    <row r="474" customFormat="false" ht="15" hidden="false" customHeight="true" outlineLevel="0" collapsed="false">
      <c r="AK474" s="287"/>
      <c r="AL474" s="17"/>
    </row>
    <row r="475" customFormat="false" ht="15" hidden="false" customHeight="true" outlineLevel="0" collapsed="false">
      <c r="AK475" s="287"/>
      <c r="AL475" s="17"/>
    </row>
    <row r="476" customFormat="false" ht="15" hidden="false" customHeight="true" outlineLevel="0" collapsed="false">
      <c r="AK476" s="287"/>
      <c r="AL476" s="17"/>
    </row>
    <row r="477" customFormat="false" ht="15" hidden="false" customHeight="true" outlineLevel="0" collapsed="false">
      <c r="AK477" s="287"/>
      <c r="AL477" s="17"/>
    </row>
    <row r="478" customFormat="false" ht="15" hidden="false" customHeight="true" outlineLevel="0" collapsed="false">
      <c r="AK478" s="287"/>
      <c r="AL478" s="17"/>
    </row>
    <row r="479" customFormat="false" ht="15" hidden="false" customHeight="true" outlineLevel="0" collapsed="false">
      <c r="AK479" s="287"/>
      <c r="AL479" s="17"/>
    </row>
    <row r="480" customFormat="false" ht="15" hidden="false" customHeight="true" outlineLevel="0" collapsed="false">
      <c r="AK480" s="287"/>
      <c r="AL480" s="17"/>
    </row>
    <row r="481" customFormat="false" ht="15" hidden="false" customHeight="true" outlineLevel="0" collapsed="false">
      <c r="AK481" s="287"/>
      <c r="AL481" s="17"/>
    </row>
    <row r="482" customFormat="false" ht="15" hidden="false" customHeight="true" outlineLevel="0" collapsed="false">
      <c r="AK482" s="287"/>
      <c r="AL482" s="17"/>
    </row>
    <row r="483" customFormat="false" ht="15" hidden="false" customHeight="true" outlineLevel="0" collapsed="false">
      <c r="AK483" s="287"/>
      <c r="AL483" s="17"/>
    </row>
    <row r="484" customFormat="false" ht="15" hidden="false" customHeight="true" outlineLevel="0" collapsed="false">
      <c r="AK484" s="303"/>
      <c r="AL484" s="17"/>
    </row>
    <row r="485" customFormat="false" ht="15" hidden="false" customHeight="true" outlineLevel="0" collapsed="false">
      <c r="AK485" s="303"/>
      <c r="AL485" s="17"/>
    </row>
    <row r="486" customFormat="false" ht="15" hidden="false" customHeight="true" outlineLevel="0" collapsed="false">
      <c r="AK486" s="268"/>
      <c r="AL486" s="17"/>
    </row>
    <row r="487" customFormat="false" ht="15" hidden="false" customHeight="true" outlineLevel="0" collapsed="false">
      <c r="AK487" s="287"/>
      <c r="AL487" s="17"/>
    </row>
    <row r="488" customFormat="false" ht="15" hidden="false" customHeight="true" outlineLevel="0" collapsed="false">
      <c r="AK488" s="287"/>
      <c r="AL488" s="17"/>
    </row>
    <row r="489" customFormat="false" ht="15" hidden="false" customHeight="true" outlineLevel="0" collapsed="false">
      <c r="AK489" s="287"/>
      <c r="AL489" s="17"/>
    </row>
    <row r="490" customFormat="false" ht="15" hidden="false" customHeight="true" outlineLevel="0" collapsed="false">
      <c r="AK490" s="287"/>
      <c r="AL490" s="17"/>
    </row>
    <row r="491" customFormat="false" ht="15" hidden="false" customHeight="true" outlineLevel="0" collapsed="false">
      <c r="AK491" s="287"/>
      <c r="AL491" s="17"/>
    </row>
    <row r="492" customFormat="false" ht="15" hidden="false" customHeight="true" outlineLevel="0" collapsed="false">
      <c r="AK492" s="287"/>
      <c r="AL492" s="17"/>
    </row>
    <row r="493" customFormat="false" ht="15" hidden="false" customHeight="true" outlineLevel="0" collapsed="false">
      <c r="AK493" s="287"/>
      <c r="AL493" s="17"/>
    </row>
    <row r="494" customFormat="false" ht="15" hidden="false" customHeight="true" outlineLevel="0" collapsed="false">
      <c r="AK494" s="287"/>
      <c r="AL494" s="17"/>
    </row>
    <row r="495" customFormat="false" ht="15" hidden="false" customHeight="true" outlineLevel="0" collapsed="false">
      <c r="AK495" s="287"/>
      <c r="AL495" s="17"/>
    </row>
    <row r="496" customFormat="false" ht="15" hidden="false" customHeight="true" outlineLevel="0" collapsed="false">
      <c r="AK496" s="287"/>
      <c r="AL496" s="17"/>
    </row>
    <row r="497" customFormat="false" ht="15" hidden="false" customHeight="true" outlineLevel="0" collapsed="false">
      <c r="AK497" s="287"/>
      <c r="AL497" s="17"/>
    </row>
    <row r="498" customFormat="false" ht="15" hidden="false" customHeight="true" outlineLevel="0" collapsed="false">
      <c r="AK498" s="287"/>
      <c r="AL498" s="17"/>
    </row>
    <row r="499" customFormat="false" ht="15" hidden="false" customHeight="true" outlineLevel="0" collapsed="false">
      <c r="AK499" s="303"/>
      <c r="AL499" s="17"/>
    </row>
    <row r="500" customFormat="false" ht="15" hidden="false" customHeight="true" outlineLevel="0" collapsed="false">
      <c r="AK500" s="303"/>
      <c r="AL500" s="17"/>
    </row>
    <row r="501" customFormat="false" ht="15" hidden="false" customHeight="true" outlineLevel="0" collapsed="false">
      <c r="AK501" s="268"/>
      <c r="AL501" s="17"/>
    </row>
    <row r="502" customFormat="false" ht="15" hidden="false" customHeight="true" outlineLevel="0" collapsed="false">
      <c r="AK502" s="287"/>
      <c r="AL502" s="17"/>
    </row>
    <row r="503" customFormat="false" ht="15" hidden="false" customHeight="true" outlineLevel="0" collapsed="false">
      <c r="AK503" s="287"/>
      <c r="AL503" s="17"/>
    </row>
    <row r="504" customFormat="false" ht="15" hidden="false" customHeight="true" outlineLevel="0" collapsed="false">
      <c r="AK504" s="287"/>
      <c r="AL504" s="17"/>
    </row>
    <row r="505" customFormat="false" ht="15" hidden="false" customHeight="true" outlineLevel="0" collapsed="false">
      <c r="AK505" s="287"/>
      <c r="AL505" s="17"/>
    </row>
    <row r="506" customFormat="false" ht="15" hidden="false" customHeight="true" outlineLevel="0" collapsed="false">
      <c r="AK506" s="287"/>
      <c r="AL506" s="17"/>
    </row>
    <row r="507" customFormat="false" ht="15" hidden="false" customHeight="true" outlineLevel="0" collapsed="false">
      <c r="AK507" s="287"/>
      <c r="AL507" s="17"/>
    </row>
    <row r="508" customFormat="false" ht="15" hidden="false" customHeight="true" outlineLevel="0" collapsed="false">
      <c r="AK508" s="287"/>
      <c r="AL508" s="17"/>
    </row>
    <row r="509" customFormat="false" ht="15" hidden="false" customHeight="true" outlineLevel="0" collapsed="false">
      <c r="AK509" s="287"/>
      <c r="AL509" s="17"/>
    </row>
    <row r="510" customFormat="false" ht="15" hidden="false" customHeight="true" outlineLevel="0" collapsed="false">
      <c r="AK510" s="287"/>
      <c r="AL510" s="17"/>
    </row>
    <row r="511" customFormat="false" ht="15" hidden="false" customHeight="true" outlineLevel="0" collapsed="false">
      <c r="AK511" s="287"/>
      <c r="AL511" s="17"/>
    </row>
    <row r="512" customFormat="false" ht="15" hidden="false" customHeight="true" outlineLevel="0" collapsed="false">
      <c r="AK512" s="287"/>
      <c r="AL512" s="17"/>
    </row>
    <row r="513" customFormat="false" ht="15" hidden="false" customHeight="true" outlineLevel="0" collapsed="false">
      <c r="AK513" s="287"/>
      <c r="AL513" s="17"/>
    </row>
    <row r="514" customFormat="false" ht="15" hidden="false" customHeight="true" outlineLevel="0" collapsed="false">
      <c r="AK514" s="303"/>
      <c r="AL514" s="17"/>
    </row>
    <row r="515" customFormat="false" ht="15" hidden="false" customHeight="true" outlineLevel="0" collapsed="false">
      <c r="AK515" s="303"/>
      <c r="AL515" s="17"/>
    </row>
    <row r="516" customFormat="false" ht="15" hidden="false" customHeight="true" outlineLevel="0" collapsed="false">
      <c r="AK516" s="268"/>
      <c r="AL516" s="17"/>
    </row>
    <row r="517" customFormat="false" ht="15" hidden="false" customHeight="true" outlineLevel="0" collapsed="false">
      <c r="AK517" s="287"/>
      <c r="AL517" s="17"/>
    </row>
    <row r="518" customFormat="false" ht="15" hidden="false" customHeight="true" outlineLevel="0" collapsed="false">
      <c r="AK518" s="287"/>
      <c r="AL518" s="17"/>
    </row>
    <row r="519" customFormat="false" ht="15" hidden="false" customHeight="true" outlineLevel="0" collapsed="false">
      <c r="AK519" s="287"/>
      <c r="AL519" s="17"/>
    </row>
    <row r="520" customFormat="false" ht="15" hidden="false" customHeight="true" outlineLevel="0" collapsed="false">
      <c r="AK520" s="287"/>
      <c r="AL520" s="17"/>
    </row>
    <row r="521" customFormat="false" ht="15" hidden="false" customHeight="true" outlineLevel="0" collapsed="false">
      <c r="AK521" s="287"/>
      <c r="AL521" s="17"/>
    </row>
    <row r="522" customFormat="false" ht="15" hidden="false" customHeight="true" outlineLevel="0" collapsed="false">
      <c r="AK522" s="287"/>
      <c r="AL522" s="17"/>
    </row>
    <row r="523" customFormat="false" ht="15" hidden="false" customHeight="true" outlineLevel="0" collapsed="false">
      <c r="AK523" s="287"/>
      <c r="AL523" s="17"/>
    </row>
    <row r="524" customFormat="false" ht="15" hidden="false" customHeight="true" outlineLevel="0" collapsed="false">
      <c r="AK524" s="287"/>
      <c r="AL524" s="17"/>
    </row>
    <row r="525" customFormat="false" ht="15" hidden="false" customHeight="true" outlineLevel="0" collapsed="false">
      <c r="AK525" s="287"/>
      <c r="AL525" s="17"/>
    </row>
    <row r="526" customFormat="false" ht="15" hidden="false" customHeight="true" outlineLevel="0" collapsed="false">
      <c r="AK526" s="287"/>
      <c r="AL526" s="17"/>
    </row>
    <row r="527" customFormat="false" ht="15" hidden="false" customHeight="true" outlineLevel="0" collapsed="false">
      <c r="AK527" s="287"/>
      <c r="AL527" s="17"/>
    </row>
    <row r="528" customFormat="false" ht="15" hidden="false" customHeight="true" outlineLevel="0" collapsed="false">
      <c r="AK528" s="287"/>
      <c r="AL528" s="17"/>
    </row>
    <row r="529" customFormat="false" ht="15" hidden="false" customHeight="true" outlineLevel="0" collapsed="false">
      <c r="AK529" s="303"/>
      <c r="AL529" s="17"/>
    </row>
    <row r="530" customFormat="false" ht="15" hidden="false" customHeight="true" outlineLevel="0" collapsed="false">
      <c r="AK530" s="303"/>
      <c r="AL530" s="17"/>
    </row>
    <row r="531" customFormat="false" ht="15" hidden="false" customHeight="true" outlineLevel="0" collapsed="false">
      <c r="AK531" s="268"/>
      <c r="AL531" s="17"/>
    </row>
    <row r="532" customFormat="false" ht="15" hidden="false" customHeight="true" outlineLevel="0" collapsed="false">
      <c r="AK532" s="287"/>
      <c r="AL532" s="17"/>
    </row>
    <row r="533" customFormat="false" ht="15" hidden="false" customHeight="true" outlineLevel="0" collapsed="false">
      <c r="AK533" s="287"/>
      <c r="AL533" s="17"/>
    </row>
    <row r="534" customFormat="false" ht="15" hidden="false" customHeight="true" outlineLevel="0" collapsed="false">
      <c r="AK534" s="287"/>
      <c r="AL534" s="17"/>
    </row>
    <row r="535" customFormat="false" ht="15" hidden="false" customHeight="true" outlineLevel="0" collapsed="false">
      <c r="AK535" s="287"/>
      <c r="AL535" s="17"/>
    </row>
    <row r="536" customFormat="false" ht="15" hidden="false" customHeight="true" outlineLevel="0" collapsed="false">
      <c r="AK536" s="287"/>
      <c r="AL536" s="17"/>
    </row>
    <row r="537" customFormat="false" ht="15" hidden="false" customHeight="true" outlineLevel="0" collapsed="false">
      <c r="AK537" s="287"/>
      <c r="AL537" s="17"/>
    </row>
    <row r="538" customFormat="false" ht="15" hidden="false" customHeight="true" outlineLevel="0" collapsed="false">
      <c r="AK538" s="287"/>
      <c r="AL538" s="17"/>
    </row>
    <row r="539" customFormat="false" ht="15" hidden="false" customHeight="true" outlineLevel="0" collapsed="false">
      <c r="AK539" s="287"/>
      <c r="AL539" s="17"/>
    </row>
    <row r="540" customFormat="false" ht="15" hidden="false" customHeight="true" outlineLevel="0" collapsed="false">
      <c r="AK540" s="287"/>
      <c r="AL540" s="17"/>
    </row>
    <row r="541" customFormat="false" ht="15" hidden="false" customHeight="true" outlineLevel="0" collapsed="false">
      <c r="AK541" s="287"/>
      <c r="AL541" s="17"/>
    </row>
    <row r="542" customFormat="false" ht="15" hidden="false" customHeight="true" outlineLevel="0" collapsed="false">
      <c r="AK542" s="287"/>
      <c r="AL542" s="17"/>
    </row>
    <row r="543" customFormat="false" ht="15" hidden="false" customHeight="true" outlineLevel="0" collapsed="false">
      <c r="AK543" s="287"/>
      <c r="AL543" s="17"/>
    </row>
    <row r="544" customFormat="false" ht="15" hidden="false" customHeight="true" outlineLevel="0" collapsed="false">
      <c r="AK544" s="303"/>
      <c r="AL544" s="17"/>
    </row>
    <row r="545" customFormat="false" ht="15" hidden="false" customHeight="true" outlineLevel="0" collapsed="false">
      <c r="AK545" s="303"/>
      <c r="AL545" s="17"/>
    </row>
    <row r="546" customFormat="false" ht="15" hidden="false" customHeight="true" outlineLevel="0" collapsed="false">
      <c r="AK546" s="268"/>
      <c r="AL546" s="17"/>
    </row>
    <row r="547" customFormat="false" ht="15" hidden="false" customHeight="true" outlineLevel="0" collapsed="false">
      <c r="AK547" s="287"/>
      <c r="AL547" s="17"/>
    </row>
    <row r="548" customFormat="false" ht="15" hidden="false" customHeight="true" outlineLevel="0" collapsed="false">
      <c r="AK548" s="287"/>
      <c r="AL548" s="17"/>
    </row>
    <row r="549" customFormat="false" ht="15" hidden="false" customHeight="true" outlineLevel="0" collapsed="false">
      <c r="AK549" s="287"/>
      <c r="AL549" s="17"/>
    </row>
    <row r="550" customFormat="false" ht="15" hidden="false" customHeight="true" outlineLevel="0" collapsed="false">
      <c r="AK550" s="287"/>
      <c r="AL550" s="17"/>
    </row>
    <row r="551" customFormat="false" ht="15" hidden="false" customHeight="true" outlineLevel="0" collapsed="false">
      <c r="AK551" s="287"/>
      <c r="AL551" s="17"/>
    </row>
    <row r="552" customFormat="false" ht="15" hidden="false" customHeight="true" outlineLevel="0" collapsed="false">
      <c r="AK552" s="287"/>
      <c r="AL552" s="17"/>
    </row>
    <row r="553" customFormat="false" ht="15" hidden="false" customHeight="true" outlineLevel="0" collapsed="false">
      <c r="AK553" s="287"/>
      <c r="AL553" s="17"/>
    </row>
    <row r="554" customFormat="false" ht="15" hidden="false" customHeight="true" outlineLevel="0" collapsed="false">
      <c r="AK554" s="287"/>
      <c r="AL554" s="17"/>
    </row>
    <row r="555" customFormat="false" ht="15" hidden="false" customHeight="true" outlineLevel="0" collapsed="false">
      <c r="AK555" s="287"/>
      <c r="AL555" s="17"/>
    </row>
    <row r="556" customFormat="false" ht="15" hidden="false" customHeight="true" outlineLevel="0" collapsed="false">
      <c r="AK556" s="287"/>
      <c r="AL556" s="17"/>
    </row>
    <row r="557" customFormat="false" ht="15" hidden="false" customHeight="true" outlineLevel="0" collapsed="false">
      <c r="AK557" s="287"/>
      <c r="AL557" s="17"/>
    </row>
    <row r="558" customFormat="false" ht="15" hidden="false" customHeight="true" outlineLevel="0" collapsed="false">
      <c r="AK558" s="287"/>
      <c r="AL558" s="17"/>
    </row>
    <row r="559" customFormat="false" ht="15" hidden="false" customHeight="true" outlineLevel="0" collapsed="false">
      <c r="AK559" s="303"/>
      <c r="AL559" s="17"/>
    </row>
    <row r="560" customFormat="false" ht="15" hidden="false" customHeight="true" outlineLevel="0" collapsed="false">
      <c r="AK560" s="303"/>
      <c r="AL560" s="17"/>
    </row>
    <row r="561" customFormat="false" ht="15" hidden="false" customHeight="true" outlineLevel="0" collapsed="false">
      <c r="AK561" s="268"/>
      <c r="AL561" s="17"/>
    </row>
    <row r="562" customFormat="false" ht="15" hidden="false" customHeight="true" outlineLevel="0" collapsed="false">
      <c r="AK562" s="287"/>
      <c r="AL562" s="17"/>
    </row>
    <row r="563" customFormat="false" ht="15" hidden="false" customHeight="true" outlineLevel="0" collapsed="false">
      <c r="AK563" s="287"/>
      <c r="AL563" s="17"/>
    </row>
    <row r="564" customFormat="false" ht="15" hidden="false" customHeight="true" outlineLevel="0" collapsed="false">
      <c r="AK564" s="287"/>
      <c r="AL564" s="17"/>
    </row>
    <row r="565" customFormat="false" ht="15" hidden="false" customHeight="true" outlineLevel="0" collapsed="false">
      <c r="AK565" s="287"/>
      <c r="AL565" s="17"/>
    </row>
    <row r="566" customFormat="false" ht="15" hidden="false" customHeight="true" outlineLevel="0" collapsed="false">
      <c r="AK566" s="287"/>
      <c r="AL566" s="17"/>
    </row>
    <row r="567" customFormat="false" ht="15" hidden="false" customHeight="true" outlineLevel="0" collapsed="false">
      <c r="AK567" s="287"/>
      <c r="AL567" s="17"/>
    </row>
    <row r="568" customFormat="false" ht="15" hidden="false" customHeight="true" outlineLevel="0" collapsed="false">
      <c r="AK568" s="287"/>
      <c r="AL568" s="17"/>
    </row>
    <row r="569" customFormat="false" ht="15" hidden="false" customHeight="true" outlineLevel="0" collapsed="false">
      <c r="AK569" s="287"/>
      <c r="AL569" s="17"/>
    </row>
    <row r="570" customFormat="false" ht="15" hidden="false" customHeight="true" outlineLevel="0" collapsed="false">
      <c r="AK570" s="287"/>
      <c r="AL570" s="17"/>
    </row>
    <row r="571" customFormat="false" ht="15" hidden="false" customHeight="true" outlineLevel="0" collapsed="false">
      <c r="AK571" s="287"/>
      <c r="AL571" s="17"/>
    </row>
    <row r="572" customFormat="false" ht="15" hidden="false" customHeight="true" outlineLevel="0" collapsed="false">
      <c r="AK572" s="287"/>
      <c r="AL572" s="17"/>
    </row>
    <row r="573" customFormat="false" ht="15" hidden="false" customHeight="true" outlineLevel="0" collapsed="false">
      <c r="AK573" s="287"/>
      <c r="AL573" s="17"/>
    </row>
    <row r="574" customFormat="false" ht="15" hidden="false" customHeight="true" outlineLevel="0" collapsed="false">
      <c r="AK574" s="303"/>
      <c r="AL574" s="17"/>
    </row>
    <row r="575" customFormat="false" ht="15" hidden="false" customHeight="true" outlineLevel="0" collapsed="false">
      <c r="AK575" s="303"/>
      <c r="AL575" s="17"/>
    </row>
    <row r="576" customFormat="false" ht="15" hidden="false" customHeight="true" outlineLevel="0" collapsed="false">
      <c r="AK576" s="268"/>
      <c r="AL576" s="17"/>
    </row>
    <row r="577" customFormat="false" ht="15" hidden="false" customHeight="true" outlineLevel="0" collapsed="false">
      <c r="AK577" s="287"/>
      <c r="AL577" s="17"/>
    </row>
    <row r="578" customFormat="false" ht="15" hidden="false" customHeight="true" outlineLevel="0" collapsed="false">
      <c r="AK578" s="287"/>
      <c r="AL578" s="17"/>
    </row>
    <row r="579" customFormat="false" ht="15" hidden="false" customHeight="true" outlineLevel="0" collapsed="false">
      <c r="AK579" s="287"/>
      <c r="AL579" s="17"/>
    </row>
    <row r="580" customFormat="false" ht="15" hidden="false" customHeight="true" outlineLevel="0" collapsed="false">
      <c r="AK580" s="287"/>
      <c r="AL580" s="17"/>
    </row>
    <row r="581" customFormat="false" ht="15" hidden="false" customHeight="true" outlineLevel="0" collapsed="false">
      <c r="AK581" s="287"/>
      <c r="AL581" s="17"/>
    </row>
    <row r="582" customFormat="false" ht="15" hidden="false" customHeight="true" outlineLevel="0" collapsed="false">
      <c r="AK582" s="287"/>
      <c r="AL582" s="17"/>
    </row>
    <row r="583" customFormat="false" ht="15" hidden="false" customHeight="true" outlineLevel="0" collapsed="false">
      <c r="AK583" s="287"/>
      <c r="AL583" s="17"/>
    </row>
    <row r="584" customFormat="false" ht="15" hidden="false" customHeight="true" outlineLevel="0" collapsed="false">
      <c r="AK584" s="287"/>
      <c r="AL584" s="17"/>
    </row>
    <row r="585" customFormat="false" ht="15" hidden="false" customHeight="true" outlineLevel="0" collapsed="false">
      <c r="AK585" s="287"/>
      <c r="AL585" s="17"/>
    </row>
    <row r="586" customFormat="false" ht="15" hidden="false" customHeight="true" outlineLevel="0" collapsed="false">
      <c r="AK586" s="287"/>
      <c r="AL586" s="17"/>
    </row>
    <row r="587" customFormat="false" ht="15" hidden="false" customHeight="true" outlineLevel="0" collapsed="false">
      <c r="AK587" s="287"/>
      <c r="AL587" s="17"/>
    </row>
    <row r="588" customFormat="false" ht="15" hidden="false" customHeight="true" outlineLevel="0" collapsed="false">
      <c r="AK588" s="287"/>
      <c r="AL588" s="17"/>
    </row>
    <row r="589" customFormat="false" ht="15" hidden="false" customHeight="true" outlineLevel="0" collapsed="false">
      <c r="AK589" s="303"/>
      <c r="AL589" s="17"/>
    </row>
    <row r="590" customFormat="false" ht="15" hidden="false" customHeight="true" outlineLevel="0" collapsed="false">
      <c r="AK590" s="303"/>
      <c r="AL590" s="17"/>
    </row>
    <row r="591" customFormat="false" ht="15" hidden="false" customHeight="true" outlineLevel="0" collapsed="false">
      <c r="AK591" s="268"/>
      <c r="AL591" s="17"/>
    </row>
    <row r="592" customFormat="false" ht="15" hidden="false" customHeight="true" outlineLevel="0" collapsed="false">
      <c r="AK592" s="287"/>
      <c r="AL592" s="17"/>
    </row>
    <row r="593" customFormat="false" ht="15" hidden="false" customHeight="true" outlineLevel="0" collapsed="false">
      <c r="AK593" s="287"/>
      <c r="AL593" s="17"/>
    </row>
    <row r="594" customFormat="false" ht="15" hidden="false" customHeight="true" outlineLevel="0" collapsed="false">
      <c r="AK594" s="287"/>
      <c r="AL594" s="17"/>
    </row>
    <row r="595" customFormat="false" ht="15" hidden="false" customHeight="true" outlineLevel="0" collapsed="false">
      <c r="AK595" s="287"/>
      <c r="AL595" s="17"/>
    </row>
    <row r="596" customFormat="false" ht="15" hidden="false" customHeight="true" outlineLevel="0" collapsed="false">
      <c r="AK596" s="287"/>
      <c r="AL596" s="17"/>
    </row>
    <row r="597" customFormat="false" ht="15" hidden="false" customHeight="true" outlineLevel="0" collapsed="false">
      <c r="AK597" s="287"/>
      <c r="AL597" s="17"/>
    </row>
    <row r="598" customFormat="false" ht="15" hidden="false" customHeight="true" outlineLevel="0" collapsed="false">
      <c r="AK598" s="287"/>
      <c r="AL598" s="17"/>
    </row>
    <row r="599" customFormat="false" ht="15" hidden="false" customHeight="true" outlineLevel="0" collapsed="false">
      <c r="AK599" s="287"/>
      <c r="AL599" s="17"/>
    </row>
    <row r="600" customFormat="false" ht="15" hidden="false" customHeight="true" outlineLevel="0" collapsed="false">
      <c r="AK600" s="287"/>
      <c r="AL600" s="17"/>
    </row>
    <row r="601" customFormat="false" ht="15" hidden="false" customHeight="true" outlineLevel="0" collapsed="false">
      <c r="AK601" s="287"/>
      <c r="AL601" s="17"/>
    </row>
    <row r="602" customFormat="false" ht="15" hidden="false" customHeight="true" outlineLevel="0" collapsed="false">
      <c r="AK602" s="287"/>
      <c r="AL602" s="17"/>
    </row>
    <row r="603" customFormat="false" ht="15" hidden="false" customHeight="true" outlineLevel="0" collapsed="false">
      <c r="AK603" s="287"/>
      <c r="AL603" s="17"/>
    </row>
    <row r="604" customFormat="false" ht="15" hidden="false" customHeight="true" outlineLevel="0" collapsed="false">
      <c r="AK604" s="303"/>
      <c r="AL604" s="17"/>
    </row>
    <row r="605" customFormat="false" ht="15" hidden="false" customHeight="true" outlineLevel="0" collapsed="false">
      <c r="AK605" s="303"/>
      <c r="AL605" s="17"/>
    </row>
    <row r="606" customFormat="false" ht="15" hidden="false" customHeight="true" outlineLevel="0" collapsed="false">
      <c r="AK606" s="268"/>
      <c r="AL606" s="17"/>
    </row>
    <row r="607" customFormat="false" ht="15" hidden="false" customHeight="true" outlineLevel="0" collapsed="false">
      <c r="AK607" s="287"/>
      <c r="AL607" s="17"/>
    </row>
    <row r="608" customFormat="false" ht="15" hidden="false" customHeight="true" outlineLevel="0" collapsed="false">
      <c r="AK608" s="287"/>
      <c r="AL608" s="17"/>
    </row>
    <row r="609" customFormat="false" ht="15" hidden="false" customHeight="true" outlineLevel="0" collapsed="false">
      <c r="AK609" s="287"/>
      <c r="AL609" s="17"/>
    </row>
    <row r="610" customFormat="false" ht="15" hidden="false" customHeight="true" outlineLevel="0" collapsed="false">
      <c r="AK610" s="287"/>
      <c r="AL610" s="17"/>
    </row>
    <row r="611" customFormat="false" ht="15" hidden="false" customHeight="true" outlineLevel="0" collapsed="false">
      <c r="AK611" s="287"/>
      <c r="AL611" s="17"/>
    </row>
    <row r="612" customFormat="false" ht="15" hidden="false" customHeight="true" outlineLevel="0" collapsed="false">
      <c r="AK612" s="287"/>
      <c r="AL612" s="17"/>
    </row>
    <row r="613" customFormat="false" ht="15" hidden="false" customHeight="true" outlineLevel="0" collapsed="false">
      <c r="AK613" s="287"/>
      <c r="AL613" s="17"/>
    </row>
    <row r="614" customFormat="false" ht="15" hidden="false" customHeight="true" outlineLevel="0" collapsed="false">
      <c r="AK614" s="287"/>
      <c r="AL614" s="17"/>
    </row>
    <row r="615" customFormat="false" ht="15" hidden="false" customHeight="true" outlineLevel="0" collapsed="false">
      <c r="AK615" s="287"/>
      <c r="AL615" s="17"/>
    </row>
    <row r="616" customFormat="false" ht="15" hidden="false" customHeight="true" outlineLevel="0" collapsed="false">
      <c r="AK616" s="287"/>
      <c r="AL616" s="17"/>
    </row>
    <row r="617" customFormat="false" ht="15" hidden="false" customHeight="true" outlineLevel="0" collapsed="false">
      <c r="AK617" s="287"/>
      <c r="AL617" s="17"/>
    </row>
    <row r="618" customFormat="false" ht="15" hidden="false" customHeight="true" outlineLevel="0" collapsed="false">
      <c r="AK618" s="287"/>
      <c r="AL618" s="17"/>
    </row>
    <row r="619" customFormat="false" ht="15" hidden="false" customHeight="true" outlineLevel="0" collapsed="false">
      <c r="AK619" s="303"/>
      <c r="AL619" s="17"/>
    </row>
    <row r="620" customFormat="false" ht="15" hidden="false" customHeight="true" outlineLevel="0" collapsed="false">
      <c r="AL620" s="17"/>
    </row>
    <row r="621" customFormat="false" ht="15" hidden="false" customHeight="true" outlineLevel="0" collapsed="false">
      <c r="AK621" s="268"/>
      <c r="AL621" s="17"/>
    </row>
    <row r="622" customFormat="false" ht="15" hidden="false" customHeight="true" outlineLevel="0" collapsed="false">
      <c r="AK622" s="287"/>
      <c r="AL622" s="17"/>
    </row>
    <row r="623" customFormat="false" ht="15" hidden="false" customHeight="true" outlineLevel="0" collapsed="false">
      <c r="AK623" s="287"/>
      <c r="AL623" s="17"/>
    </row>
    <row r="624" customFormat="false" ht="15" hidden="false" customHeight="true" outlineLevel="0" collapsed="false">
      <c r="AK624" s="287"/>
      <c r="AL624" s="17"/>
    </row>
    <row r="625" customFormat="false" ht="15" hidden="false" customHeight="true" outlineLevel="0" collapsed="false">
      <c r="AK625" s="287"/>
      <c r="AL625" s="17"/>
    </row>
    <row r="626" customFormat="false" ht="15" hidden="false" customHeight="true" outlineLevel="0" collapsed="false">
      <c r="AK626" s="287"/>
      <c r="AL626" s="17"/>
    </row>
    <row r="627" customFormat="false" ht="15" hidden="false" customHeight="true" outlineLevel="0" collapsed="false">
      <c r="AK627" s="287"/>
      <c r="AL627" s="17"/>
    </row>
    <row r="628" customFormat="false" ht="15" hidden="false" customHeight="true" outlineLevel="0" collapsed="false">
      <c r="AK628" s="287"/>
      <c r="AL628" s="17"/>
    </row>
    <row r="629" customFormat="false" ht="15" hidden="false" customHeight="true" outlineLevel="0" collapsed="false">
      <c r="AK629" s="287"/>
      <c r="AL629" s="17"/>
    </row>
    <row r="630" customFormat="false" ht="15" hidden="false" customHeight="true" outlineLevel="0" collapsed="false">
      <c r="AK630" s="287"/>
      <c r="AL630" s="17"/>
    </row>
    <row r="631" customFormat="false" ht="15" hidden="false" customHeight="true" outlineLevel="0" collapsed="false">
      <c r="AK631" s="287"/>
      <c r="AL631" s="17"/>
    </row>
    <row r="632" customFormat="false" ht="15" hidden="false" customHeight="true" outlineLevel="0" collapsed="false">
      <c r="AK632" s="287"/>
      <c r="AL632" s="17"/>
    </row>
    <row r="633" customFormat="false" ht="15" hidden="false" customHeight="true" outlineLevel="0" collapsed="false">
      <c r="AK633" s="287"/>
      <c r="AL633" s="17"/>
    </row>
    <row r="634" customFormat="false" ht="15" hidden="false" customHeight="true" outlineLevel="0" collapsed="false">
      <c r="AK634" s="303"/>
      <c r="AL634" s="17"/>
    </row>
    <row r="635" customFormat="false" ht="15" hidden="false" customHeight="true" outlineLevel="0" collapsed="false">
      <c r="AL635" s="17"/>
    </row>
    <row r="636" customFormat="false" ht="15" hidden="false" customHeight="true" outlineLevel="0" collapsed="false">
      <c r="AK636" s="268"/>
      <c r="AL636" s="17"/>
    </row>
    <row r="637" customFormat="false" ht="15" hidden="false" customHeight="true" outlineLevel="0" collapsed="false">
      <c r="AK637" s="287"/>
      <c r="AL637" s="17"/>
    </row>
    <row r="638" customFormat="false" ht="15" hidden="false" customHeight="true" outlineLevel="0" collapsed="false">
      <c r="AK638" s="287"/>
      <c r="AL638" s="17"/>
    </row>
    <row r="639" customFormat="false" ht="15" hidden="false" customHeight="true" outlineLevel="0" collapsed="false">
      <c r="AK639" s="287"/>
      <c r="AL639" s="17"/>
    </row>
    <row r="640" customFormat="false" ht="15" hidden="false" customHeight="true" outlineLevel="0" collapsed="false">
      <c r="AK640" s="287"/>
      <c r="AL640" s="17"/>
    </row>
    <row r="641" customFormat="false" ht="15" hidden="false" customHeight="true" outlineLevel="0" collapsed="false">
      <c r="AK641" s="287"/>
      <c r="AL641" s="17"/>
    </row>
    <row r="642" customFormat="false" ht="15" hidden="false" customHeight="true" outlineLevel="0" collapsed="false">
      <c r="AK642" s="287"/>
      <c r="AL642" s="17"/>
    </row>
    <row r="643" customFormat="false" ht="15" hidden="false" customHeight="true" outlineLevel="0" collapsed="false">
      <c r="AK643" s="287"/>
      <c r="AL643" s="17"/>
    </row>
    <row r="644" customFormat="false" ht="15" hidden="false" customHeight="true" outlineLevel="0" collapsed="false">
      <c r="AK644" s="287"/>
      <c r="AL644" s="17"/>
    </row>
    <row r="645" customFormat="false" ht="15" hidden="false" customHeight="true" outlineLevel="0" collapsed="false">
      <c r="AK645" s="287"/>
      <c r="AL645" s="17"/>
    </row>
    <row r="646" customFormat="false" ht="15" hidden="false" customHeight="true" outlineLevel="0" collapsed="false">
      <c r="AK646" s="287"/>
      <c r="AL646" s="17"/>
    </row>
    <row r="647" customFormat="false" ht="15" hidden="false" customHeight="true" outlineLevel="0" collapsed="false">
      <c r="AK647" s="287"/>
      <c r="AL647" s="17"/>
    </row>
    <row r="648" customFormat="false" ht="15" hidden="false" customHeight="true" outlineLevel="0" collapsed="false">
      <c r="AK648" s="287"/>
      <c r="AL648" s="17"/>
    </row>
    <row r="649" customFormat="false" ht="15" hidden="false" customHeight="true" outlineLevel="0" collapsed="false">
      <c r="AK649" s="303"/>
      <c r="AL649" s="17"/>
    </row>
    <row r="650" customFormat="false" ht="15" hidden="false" customHeight="true" outlineLevel="0" collapsed="false">
      <c r="AL650" s="17"/>
    </row>
    <row r="651" customFormat="false" ht="15" hidden="false" customHeight="true" outlineLevel="0" collapsed="false">
      <c r="AK651" s="268"/>
      <c r="AL651" s="17"/>
    </row>
    <row r="652" customFormat="false" ht="15" hidden="false" customHeight="true" outlineLevel="0" collapsed="false">
      <c r="AK652" s="287"/>
      <c r="AL652" s="17"/>
    </row>
    <row r="653" customFormat="false" ht="15" hidden="false" customHeight="true" outlineLevel="0" collapsed="false">
      <c r="AK653" s="287"/>
      <c r="AL653" s="17"/>
    </row>
    <row r="654" customFormat="false" ht="15" hidden="false" customHeight="true" outlineLevel="0" collapsed="false">
      <c r="AK654" s="287"/>
      <c r="AL654" s="17"/>
    </row>
    <row r="655" customFormat="false" ht="15" hidden="false" customHeight="true" outlineLevel="0" collapsed="false">
      <c r="AK655" s="287"/>
      <c r="AL655" s="17"/>
    </row>
    <row r="656" customFormat="false" ht="15" hidden="false" customHeight="true" outlineLevel="0" collapsed="false">
      <c r="AK656" s="287"/>
      <c r="AL656" s="17"/>
    </row>
    <row r="657" customFormat="false" ht="15" hidden="false" customHeight="true" outlineLevel="0" collapsed="false">
      <c r="AK657" s="287"/>
      <c r="AL657" s="17"/>
    </row>
    <row r="658" customFormat="false" ht="15" hidden="false" customHeight="true" outlineLevel="0" collapsed="false">
      <c r="AK658" s="287"/>
      <c r="AL658" s="17"/>
    </row>
    <row r="659" customFormat="false" ht="15" hidden="false" customHeight="true" outlineLevel="0" collapsed="false">
      <c r="AK659" s="287"/>
      <c r="AL659" s="17"/>
    </row>
    <row r="660" customFormat="false" ht="15" hidden="false" customHeight="true" outlineLevel="0" collapsed="false">
      <c r="AK660" s="287"/>
      <c r="AL660" s="17"/>
    </row>
    <row r="661" customFormat="false" ht="15" hidden="false" customHeight="true" outlineLevel="0" collapsed="false">
      <c r="AK661" s="287"/>
      <c r="AL661" s="17"/>
    </row>
    <row r="662" customFormat="false" ht="15" hidden="false" customHeight="true" outlineLevel="0" collapsed="false">
      <c r="AK662" s="287"/>
      <c r="AL662" s="17"/>
    </row>
    <row r="663" customFormat="false" ht="15" hidden="false" customHeight="true" outlineLevel="0" collapsed="false">
      <c r="AK663" s="287"/>
      <c r="AL663" s="17"/>
    </row>
    <row r="664" customFormat="false" ht="15" hidden="false" customHeight="true" outlineLevel="0" collapsed="false">
      <c r="AK664" s="303"/>
      <c r="AL664" s="17"/>
    </row>
    <row r="665" customFormat="false" ht="15" hidden="false" customHeight="true" outlineLevel="0" collapsed="false">
      <c r="AL665" s="17"/>
    </row>
    <row r="666" customFormat="false" ht="15" hidden="false" customHeight="true" outlineLevel="0" collapsed="false">
      <c r="AK666" s="268"/>
      <c r="AL666" s="17"/>
    </row>
    <row r="667" customFormat="false" ht="15" hidden="false" customHeight="true" outlineLevel="0" collapsed="false">
      <c r="AK667" s="287"/>
      <c r="AL667" s="17"/>
    </row>
    <row r="668" customFormat="false" ht="15" hidden="false" customHeight="true" outlineLevel="0" collapsed="false">
      <c r="AK668" s="287"/>
      <c r="AL668" s="17"/>
    </row>
    <row r="669" customFormat="false" ht="15" hidden="false" customHeight="true" outlineLevel="0" collapsed="false">
      <c r="AK669" s="287"/>
      <c r="AL669" s="17"/>
    </row>
    <row r="670" customFormat="false" ht="15" hidden="false" customHeight="true" outlineLevel="0" collapsed="false">
      <c r="AK670" s="287"/>
      <c r="AL670" s="17"/>
    </row>
    <row r="671" customFormat="false" ht="15" hidden="false" customHeight="true" outlineLevel="0" collapsed="false">
      <c r="AK671" s="287"/>
      <c r="AL671" s="17"/>
    </row>
    <row r="672" customFormat="false" ht="15" hidden="false" customHeight="true" outlineLevel="0" collapsed="false">
      <c r="AK672" s="287"/>
      <c r="AL672" s="17"/>
    </row>
    <row r="673" customFormat="false" ht="15" hidden="false" customHeight="true" outlineLevel="0" collapsed="false">
      <c r="AK673" s="287"/>
      <c r="AL673" s="17"/>
    </row>
    <row r="674" customFormat="false" ht="15" hidden="false" customHeight="true" outlineLevel="0" collapsed="false">
      <c r="AK674" s="287"/>
      <c r="AL674" s="17"/>
    </row>
    <row r="675" customFormat="false" ht="15" hidden="false" customHeight="true" outlineLevel="0" collapsed="false">
      <c r="AK675" s="287"/>
      <c r="AL675" s="17"/>
    </row>
    <row r="676" customFormat="false" ht="15" hidden="false" customHeight="true" outlineLevel="0" collapsed="false">
      <c r="AK676" s="287"/>
      <c r="AL676" s="17"/>
    </row>
    <row r="677" customFormat="false" ht="15" hidden="false" customHeight="true" outlineLevel="0" collapsed="false">
      <c r="AK677" s="287"/>
      <c r="AL677" s="17"/>
    </row>
    <row r="678" customFormat="false" ht="15" hidden="false" customHeight="true" outlineLevel="0" collapsed="false">
      <c r="AK678" s="287"/>
      <c r="AL678" s="17"/>
    </row>
    <row r="679" customFormat="false" ht="15" hidden="false" customHeight="true" outlineLevel="0" collapsed="false">
      <c r="AK679" s="303"/>
      <c r="AL679" s="17"/>
    </row>
    <row r="680" customFormat="false" ht="15" hidden="false" customHeight="true" outlineLevel="0" collapsed="false">
      <c r="AL680" s="17"/>
    </row>
    <row r="681" customFormat="false" ht="15" hidden="false" customHeight="true" outlineLevel="0" collapsed="false">
      <c r="AK681" s="268"/>
      <c r="AL681" s="17"/>
    </row>
    <row r="682" customFormat="false" ht="15" hidden="false" customHeight="true" outlineLevel="0" collapsed="false">
      <c r="AK682" s="287"/>
      <c r="AL682" s="17"/>
    </row>
    <row r="683" customFormat="false" ht="15" hidden="false" customHeight="true" outlineLevel="0" collapsed="false">
      <c r="AK683" s="287"/>
      <c r="AL683" s="17"/>
    </row>
    <row r="684" customFormat="false" ht="15" hidden="false" customHeight="true" outlineLevel="0" collapsed="false">
      <c r="AK684" s="287"/>
      <c r="AL684" s="17"/>
    </row>
    <row r="685" customFormat="false" ht="15" hidden="false" customHeight="true" outlineLevel="0" collapsed="false">
      <c r="AK685" s="287"/>
      <c r="AL685" s="17"/>
    </row>
    <row r="686" customFormat="false" ht="15" hidden="false" customHeight="true" outlineLevel="0" collapsed="false">
      <c r="AK686" s="287"/>
      <c r="AL686" s="17"/>
    </row>
    <row r="687" customFormat="false" ht="15" hidden="false" customHeight="true" outlineLevel="0" collapsed="false">
      <c r="AK687" s="287"/>
      <c r="AL687" s="17"/>
    </row>
    <row r="688" customFormat="false" ht="15" hidden="false" customHeight="true" outlineLevel="0" collapsed="false">
      <c r="AK688" s="287"/>
      <c r="AL688" s="17"/>
    </row>
    <row r="689" customFormat="false" ht="15" hidden="false" customHeight="true" outlineLevel="0" collapsed="false">
      <c r="AK689" s="287"/>
      <c r="AL689" s="17"/>
    </row>
    <row r="690" customFormat="false" ht="15" hidden="false" customHeight="true" outlineLevel="0" collapsed="false">
      <c r="AK690" s="287"/>
      <c r="AL690" s="17"/>
    </row>
    <row r="691" customFormat="false" ht="15" hidden="false" customHeight="true" outlineLevel="0" collapsed="false">
      <c r="AK691" s="287"/>
      <c r="AL691" s="17"/>
    </row>
    <row r="692" customFormat="false" ht="15" hidden="false" customHeight="true" outlineLevel="0" collapsed="false">
      <c r="AK692" s="287"/>
      <c r="AL692" s="17"/>
    </row>
    <row r="693" customFormat="false" ht="15" hidden="false" customHeight="true" outlineLevel="0" collapsed="false">
      <c r="AK693" s="287"/>
      <c r="AL693" s="17"/>
    </row>
    <row r="694" customFormat="false" ht="15" hidden="false" customHeight="true" outlineLevel="0" collapsed="false">
      <c r="AK694" s="303"/>
      <c r="AL694" s="17"/>
    </row>
    <row r="695" customFormat="false" ht="15" hidden="false" customHeight="true" outlineLevel="0" collapsed="false">
      <c r="AL695" s="17"/>
    </row>
    <row r="696" customFormat="false" ht="15" hidden="false" customHeight="true" outlineLevel="0" collapsed="false">
      <c r="AK696" s="268"/>
      <c r="AL696" s="17"/>
    </row>
    <row r="697" customFormat="false" ht="15" hidden="false" customHeight="true" outlineLevel="0" collapsed="false">
      <c r="AK697" s="287"/>
      <c r="AL697" s="17"/>
    </row>
    <row r="698" customFormat="false" ht="15" hidden="false" customHeight="true" outlineLevel="0" collapsed="false">
      <c r="AK698" s="287"/>
      <c r="AL698" s="17"/>
    </row>
    <row r="699" customFormat="false" ht="15" hidden="false" customHeight="true" outlineLevel="0" collapsed="false">
      <c r="AK699" s="287"/>
      <c r="AL699" s="17"/>
    </row>
    <row r="700" customFormat="false" ht="15" hidden="false" customHeight="true" outlineLevel="0" collapsed="false">
      <c r="AK700" s="287"/>
      <c r="AL700" s="17"/>
    </row>
    <row r="701" customFormat="false" ht="15" hidden="false" customHeight="true" outlineLevel="0" collapsed="false">
      <c r="AK701" s="287"/>
      <c r="AL701" s="17"/>
    </row>
    <row r="702" customFormat="false" ht="15" hidden="false" customHeight="true" outlineLevel="0" collapsed="false">
      <c r="AK702" s="287"/>
      <c r="AL702" s="17"/>
    </row>
    <row r="703" customFormat="false" ht="15" hidden="false" customHeight="true" outlineLevel="0" collapsed="false">
      <c r="AK703" s="287"/>
      <c r="AL703" s="17"/>
    </row>
    <row r="704" customFormat="false" ht="15" hidden="false" customHeight="true" outlineLevel="0" collapsed="false">
      <c r="AK704" s="287"/>
      <c r="AL704" s="17"/>
    </row>
    <row r="705" customFormat="false" ht="15" hidden="false" customHeight="true" outlineLevel="0" collapsed="false">
      <c r="AK705" s="287"/>
      <c r="AL705" s="17"/>
    </row>
    <row r="706" customFormat="false" ht="15" hidden="false" customHeight="true" outlineLevel="0" collapsed="false">
      <c r="AK706" s="287"/>
      <c r="AL706" s="17"/>
    </row>
    <row r="707" customFormat="false" ht="15" hidden="false" customHeight="true" outlineLevel="0" collapsed="false">
      <c r="AK707" s="287"/>
      <c r="AL707" s="17"/>
    </row>
    <row r="708" customFormat="false" ht="15" hidden="false" customHeight="true" outlineLevel="0" collapsed="false">
      <c r="AK708" s="287"/>
      <c r="AL708" s="17"/>
    </row>
    <row r="709" customFormat="false" ht="15" hidden="false" customHeight="true" outlineLevel="0" collapsed="false">
      <c r="AK709" s="303"/>
      <c r="AL709" s="17"/>
    </row>
    <row r="710" customFormat="false" ht="15" hidden="false" customHeight="true" outlineLevel="0" collapsed="false">
      <c r="AK710" s="303"/>
      <c r="AL710" s="17"/>
    </row>
    <row r="711" customFormat="false" ht="15" hidden="false" customHeight="true" outlineLevel="0" collapsed="false">
      <c r="AK711" s="268"/>
      <c r="AL711" s="17"/>
    </row>
    <row r="712" customFormat="false" ht="15" hidden="false" customHeight="true" outlineLevel="0" collapsed="false">
      <c r="AK712" s="287"/>
      <c r="AL712" s="17"/>
    </row>
    <row r="713" customFormat="false" ht="15" hidden="false" customHeight="true" outlineLevel="0" collapsed="false">
      <c r="AK713" s="287"/>
      <c r="AL713" s="313"/>
    </row>
    <row r="714" customFormat="false" ht="15" hidden="false" customHeight="true" outlineLevel="0" collapsed="false">
      <c r="AK714" s="287"/>
      <c r="AL714" s="313"/>
    </row>
    <row r="715" customFormat="false" ht="15" hidden="false" customHeight="true" outlineLevel="0" collapsed="false">
      <c r="AK715" s="287"/>
      <c r="AL715" s="313"/>
    </row>
    <row r="716" customFormat="false" ht="15" hidden="false" customHeight="true" outlineLevel="0" collapsed="false">
      <c r="AK716" s="287"/>
      <c r="AL716" s="313"/>
    </row>
    <row r="717" customFormat="false" ht="15" hidden="false" customHeight="true" outlineLevel="0" collapsed="false">
      <c r="AK717" s="287"/>
    </row>
    <row r="718" customFormat="false" ht="15" hidden="false" customHeight="true" outlineLevel="0" collapsed="false">
      <c r="AK718" s="287"/>
    </row>
    <row r="719" customFormat="false" ht="15" hidden="false" customHeight="true" outlineLevel="0" collapsed="false">
      <c r="AK719" s="287"/>
    </row>
    <row r="720" customFormat="false" ht="15" hidden="false" customHeight="true" outlineLevel="0" collapsed="false">
      <c r="AK720" s="287"/>
    </row>
    <row r="721" customFormat="false" ht="15" hidden="false" customHeight="true" outlineLevel="0" collapsed="false">
      <c r="AK721" s="287"/>
    </row>
    <row r="722" customFormat="false" ht="15" hidden="false" customHeight="true" outlineLevel="0" collapsed="false">
      <c r="AK722" s="287"/>
    </row>
    <row r="723" customFormat="false" ht="15" hidden="false" customHeight="true" outlineLevel="0" collapsed="false">
      <c r="AK723" s="287"/>
    </row>
    <row r="724" customFormat="false" ht="15" hidden="false" customHeight="true" outlineLevel="0" collapsed="false">
      <c r="AK724" s="303"/>
    </row>
    <row r="725" customFormat="false" ht="15" hidden="false" customHeight="true" outlineLevel="0" collapsed="false">
      <c r="AK725" s="303"/>
    </row>
    <row r="726" customFormat="false" ht="15" hidden="false" customHeight="true" outlineLevel="0" collapsed="false">
      <c r="AK726" s="268"/>
    </row>
    <row r="727" customFormat="false" ht="15" hidden="false" customHeight="true" outlineLevel="0" collapsed="false">
      <c r="AK727" s="287"/>
    </row>
    <row r="728" customFormat="false" ht="15" hidden="false" customHeight="true" outlineLevel="0" collapsed="false">
      <c r="AK728" s="287"/>
    </row>
    <row r="729" customFormat="false" ht="15" hidden="false" customHeight="true" outlineLevel="0" collapsed="false">
      <c r="AK729" s="287"/>
    </row>
    <row r="730" customFormat="false" ht="15" hidden="false" customHeight="true" outlineLevel="0" collapsed="false">
      <c r="AK730" s="287"/>
    </row>
    <row r="731" customFormat="false" ht="15" hidden="false" customHeight="true" outlineLevel="0" collapsed="false">
      <c r="AK731" s="287"/>
    </row>
    <row r="732" customFormat="false" ht="15" hidden="false" customHeight="true" outlineLevel="0" collapsed="false">
      <c r="AK732" s="287"/>
    </row>
    <row r="733" customFormat="false" ht="15" hidden="false" customHeight="true" outlineLevel="0" collapsed="false">
      <c r="AK733" s="287"/>
    </row>
    <row r="734" customFormat="false" ht="15" hidden="false" customHeight="true" outlineLevel="0" collapsed="false">
      <c r="AK734" s="287"/>
    </row>
    <row r="735" customFormat="false" ht="15" hidden="false" customHeight="true" outlineLevel="0" collapsed="false">
      <c r="AK735" s="287"/>
    </row>
    <row r="736" customFormat="false" ht="15" hidden="false" customHeight="true" outlineLevel="0" collapsed="false">
      <c r="AK736" s="287"/>
    </row>
    <row r="737" customFormat="false" ht="15" hidden="false" customHeight="true" outlineLevel="0" collapsed="false">
      <c r="AK737" s="287"/>
    </row>
    <row r="738" customFormat="false" ht="15" hidden="false" customHeight="true" outlineLevel="0" collapsed="false">
      <c r="AK738" s="287"/>
    </row>
    <row r="739" customFormat="false" ht="15" hidden="false" customHeight="true" outlineLevel="0" collapsed="false">
      <c r="AK739" s="303"/>
    </row>
    <row r="740" customFormat="false" ht="15" hidden="false" customHeight="true" outlineLevel="0" collapsed="false">
      <c r="AK740" s="303"/>
    </row>
    <row r="741" customFormat="false" ht="15" hidden="false" customHeight="true" outlineLevel="0" collapsed="false">
      <c r="AK741" s="268"/>
    </row>
    <row r="742" customFormat="false" ht="15" hidden="false" customHeight="true" outlineLevel="0" collapsed="false">
      <c r="AK742" s="287"/>
    </row>
    <row r="743" customFormat="false" ht="15" hidden="false" customHeight="true" outlineLevel="0" collapsed="false">
      <c r="AK743" s="287"/>
    </row>
    <row r="744" customFormat="false" ht="15" hidden="false" customHeight="true" outlineLevel="0" collapsed="false">
      <c r="AK744" s="287"/>
    </row>
    <row r="745" customFormat="false" ht="15" hidden="false" customHeight="true" outlineLevel="0" collapsed="false">
      <c r="AK745" s="287"/>
    </row>
    <row r="746" customFormat="false" ht="15" hidden="false" customHeight="true" outlineLevel="0" collapsed="false">
      <c r="AK746" s="287"/>
    </row>
    <row r="747" customFormat="false" ht="15" hidden="false" customHeight="true" outlineLevel="0" collapsed="false">
      <c r="AK747" s="287"/>
    </row>
    <row r="748" customFormat="false" ht="15" hidden="false" customHeight="true" outlineLevel="0" collapsed="false">
      <c r="AK748" s="287"/>
    </row>
    <row r="749" customFormat="false" ht="15" hidden="false" customHeight="true" outlineLevel="0" collapsed="false">
      <c r="AK749" s="287"/>
    </row>
    <row r="750" customFormat="false" ht="15" hidden="false" customHeight="true" outlineLevel="0" collapsed="false">
      <c r="AK750" s="287"/>
    </row>
    <row r="751" customFormat="false" ht="15" hidden="false" customHeight="true" outlineLevel="0" collapsed="false">
      <c r="AK751" s="287"/>
    </row>
    <row r="752" customFormat="false" ht="15" hidden="false" customHeight="true" outlineLevel="0" collapsed="false">
      <c r="AK752" s="287"/>
    </row>
    <row r="753" customFormat="false" ht="15" hidden="false" customHeight="true" outlineLevel="0" collapsed="false">
      <c r="AK753" s="287"/>
    </row>
    <row r="754" customFormat="false" ht="15" hidden="false" customHeight="true" outlineLevel="0" collapsed="false">
      <c r="AK754" s="303"/>
    </row>
    <row r="755" customFormat="false" ht="15" hidden="false" customHeight="true" outlineLevel="0" collapsed="false">
      <c r="AK755" s="303"/>
    </row>
    <row r="756" customFormat="false" ht="15" hidden="false" customHeight="true" outlineLevel="0" collapsed="false">
      <c r="AK756" s="268"/>
    </row>
    <row r="757" customFormat="false" ht="15" hidden="false" customHeight="true" outlineLevel="0" collapsed="false">
      <c r="AK757" s="287"/>
    </row>
    <row r="758" customFormat="false" ht="15" hidden="false" customHeight="true" outlineLevel="0" collapsed="false">
      <c r="AK758" s="287"/>
    </row>
    <row r="759" customFormat="false" ht="15" hidden="false" customHeight="true" outlineLevel="0" collapsed="false">
      <c r="AK759" s="287"/>
    </row>
    <row r="760" customFormat="false" ht="15" hidden="false" customHeight="true" outlineLevel="0" collapsed="false">
      <c r="AK760" s="287"/>
    </row>
    <row r="761" customFormat="false" ht="15" hidden="false" customHeight="true" outlineLevel="0" collapsed="false">
      <c r="AK761" s="287"/>
    </row>
    <row r="762" customFormat="false" ht="15" hidden="false" customHeight="true" outlineLevel="0" collapsed="false">
      <c r="AK762" s="287"/>
    </row>
    <row r="763" customFormat="false" ht="15" hidden="false" customHeight="true" outlineLevel="0" collapsed="false">
      <c r="AK763" s="287"/>
    </row>
    <row r="764" customFormat="false" ht="15" hidden="false" customHeight="true" outlineLevel="0" collapsed="false">
      <c r="AK764" s="287"/>
    </row>
    <row r="765" customFormat="false" ht="15" hidden="false" customHeight="true" outlineLevel="0" collapsed="false">
      <c r="AK765" s="287"/>
    </row>
    <row r="766" customFormat="false" ht="15" hidden="false" customHeight="true" outlineLevel="0" collapsed="false">
      <c r="AK766" s="287"/>
    </row>
    <row r="767" customFormat="false" ht="15" hidden="false" customHeight="true" outlineLevel="0" collapsed="false">
      <c r="AK767" s="287"/>
    </row>
    <row r="768" customFormat="false" ht="15" hidden="false" customHeight="true" outlineLevel="0" collapsed="false">
      <c r="AK768" s="287"/>
    </row>
    <row r="769" customFormat="false" ht="15" hidden="false" customHeight="true" outlineLevel="0" collapsed="false">
      <c r="AK769" s="303"/>
    </row>
    <row r="770" customFormat="false" ht="15" hidden="false" customHeight="true" outlineLevel="0" collapsed="false">
      <c r="AK770" s="303"/>
    </row>
    <row r="771" customFormat="false" ht="15" hidden="false" customHeight="true" outlineLevel="0" collapsed="false">
      <c r="AK771" s="268"/>
    </row>
    <row r="772" customFormat="false" ht="15" hidden="false" customHeight="true" outlineLevel="0" collapsed="false">
      <c r="AK772" s="287"/>
    </row>
    <row r="773" customFormat="false" ht="15" hidden="false" customHeight="true" outlineLevel="0" collapsed="false">
      <c r="AK773" s="287"/>
    </row>
    <row r="774" customFormat="false" ht="15" hidden="false" customHeight="true" outlineLevel="0" collapsed="false">
      <c r="AK774" s="287"/>
    </row>
    <row r="775" customFormat="false" ht="15" hidden="false" customHeight="true" outlineLevel="0" collapsed="false">
      <c r="AK775" s="287"/>
    </row>
    <row r="776" customFormat="false" ht="15" hidden="false" customHeight="true" outlineLevel="0" collapsed="false">
      <c r="AK776" s="287"/>
    </row>
    <row r="777" customFormat="false" ht="15" hidden="false" customHeight="true" outlineLevel="0" collapsed="false">
      <c r="AK777" s="287"/>
    </row>
    <row r="778" customFormat="false" ht="15" hidden="false" customHeight="true" outlineLevel="0" collapsed="false">
      <c r="AK778" s="287"/>
    </row>
    <row r="779" customFormat="false" ht="15" hidden="false" customHeight="true" outlineLevel="0" collapsed="false">
      <c r="AK779" s="287"/>
    </row>
    <row r="780" customFormat="false" ht="15" hidden="false" customHeight="true" outlineLevel="0" collapsed="false">
      <c r="AK780" s="287"/>
    </row>
    <row r="781" customFormat="false" ht="15" hidden="false" customHeight="true" outlineLevel="0" collapsed="false">
      <c r="AK781" s="287"/>
    </row>
    <row r="782" customFormat="false" ht="15" hidden="false" customHeight="true" outlineLevel="0" collapsed="false">
      <c r="AK782" s="287"/>
    </row>
    <row r="783" customFormat="false" ht="15" hidden="false" customHeight="true" outlineLevel="0" collapsed="false">
      <c r="AK783" s="287"/>
    </row>
    <row r="784" customFormat="false" ht="15" hidden="false" customHeight="true" outlineLevel="0" collapsed="false">
      <c r="AK784" s="303"/>
    </row>
    <row r="785" customFormat="false" ht="15" hidden="false" customHeight="true" outlineLevel="0" collapsed="false">
      <c r="AK785" s="303"/>
    </row>
    <row r="786" customFormat="false" ht="15" hidden="false" customHeight="true" outlineLevel="0" collapsed="false">
      <c r="AK786" s="268"/>
    </row>
    <row r="787" customFormat="false" ht="15" hidden="false" customHeight="true" outlineLevel="0" collapsed="false">
      <c r="AK787" s="287"/>
    </row>
    <row r="788" customFormat="false" ht="15" hidden="false" customHeight="true" outlineLevel="0" collapsed="false">
      <c r="AK788" s="287"/>
    </row>
    <row r="789" customFormat="false" ht="15" hidden="false" customHeight="true" outlineLevel="0" collapsed="false">
      <c r="AK789" s="287"/>
    </row>
    <row r="790" customFormat="false" ht="15" hidden="false" customHeight="true" outlineLevel="0" collapsed="false">
      <c r="AK790" s="287"/>
    </row>
    <row r="791" customFormat="false" ht="15" hidden="false" customHeight="true" outlineLevel="0" collapsed="false">
      <c r="AK791" s="287"/>
    </row>
    <row r="792" customFormat="false" ht="15" hidden="false" customHeight="true" outlineLevel="0" collapsed="false">
      <c r="AK792" s="287"/>
    </row>
    <row r="793" customFormat="false" ht="15" hidden="false" customHeight="true" outlineLevel="0" collapsed="false">
      <c r="AK793" s="287"/>
    </row>
    <row r="794" customFormat="false" ht="15" hidden="false" customHeight="true" outlineLevel="0" collapsed="false">
      <c r="AK794" s="287"/>
    </row>
    <row r="795" customFormat="false" ht="15" hidden="false" customHeight="true" outlineLevel="0" collapsed="false">
      <c r="AK795" s="287"/>
    </row>
    <row r="796" customFormat="false" ht="15" hidden="false" customHeight="true" outlineLevel="0" collapsed="false">
      <c r="AK796" s="287"/>
    </row>
    <row r="797" customFormat="false" ht="15" hidden="false" customHeight="true" outlineLevel="0" collapsed="false">
      <c r="AK797" s="287"/>
    </row>
    <row r="798" customFormat="false" ht="15" hidden="false" customHeight="true" outlineLevel="0" collapsed="false">
      <c r="AK798" s="287"/>
    </row>
    <row r="799" customFormat="false" ht="15" hidden="false" customHeight="true" outlineLevel="0" collapsed="false">
      <c r="AK799" s="303"/>
    </row>
    <row r="800" customFormat="false" ht="15" hidden="false" customHeight="true" outlineLevel="0" collapsed="false">
      <c r="AK800" s="303"/>
    </row>
    <row r="801" customFormat="false" ht="15" hidden="false" customHeight="true" outlineLevel="0" collapsed="false">
      <c r="AK801" s="268"/>
    </row>
    <row r="802" customFormat="false" ht="15" hidden="false" customHeight="true" outlineLevel="0" collapsed="false">
      <c r="AK802" s="287"/>
    </row>
    <row r="803" customFormat="false" ht="15" hidden="false" customHeight="true" outlineLevel="0" collapsed="false">
      <c r="AK803" s="287"/>
    </row>
    <row r="804" customFormat="false" ht="15" hidden="false" customHeight="true" outlineLevel="0" collapsed="false">
      <c r="AK804" s="287"/>
    </row>
    <row r="805" customFormat="false" ht="15" hidden="false" customHeight="true" outlineLevel="0" collapsed="false">
      <c r="AK805" s="287"/>
    </row>
    <row r="806" customFormat="false" ht="15" hidden="false" customHeight="true" outlineLevel="0" collapsed="false">
      <c r="AK806" s="287"/>
    </row>
    <row r="807" customFormat="false" ht="15" hidden="false" customHeight="true" outlineLevel="0" collapsed="false">
      <c r="AK807" s="287"/>
    </row>
    <row r="808" customFormat="false" ht="15" hidden="false" customHeight="true" outlineLevel="0" collapsed="false">
      <c r="AK808" s="287"/>
    </row>
    <row r="809" customFormat="false" ht="15" hidden="false" customHeight="true" outlineLevel="0" collapsed="false">
      <c r="AK809" s="287"/>
    </row>
    <row r="810" customFormat="false" ht="15" hidden="false" customHeight="true" outlineLevel="0" collapsed="false">
      <c r="AK810" s="287"/>
    </row>
    <row r="811" customFormat="false" ht="15" hidden="false" customHeight="true" outlineLevel="0" collapsed="false">
      <c r="AK811" s="287"/>
    </row>
    <row r="812" customFormat="false" ht="15" hidden="false" customHeight="true" outlineLevel="0" collapsed="false">
      <c r="AK812" s="287"/>
    </row>
    <row r="813" customFormat="false" ht="15" hidden="false" customHeight="true" outlineLevel="0" collapsed="false">
      <c r="AK813" s="287"/>
    </row>
    <row r="814" customFormat="false" ht="15" hidden="false" customHeight="true" outlineLevel="0" collapsed="false">
      <c r="AK814" s="303"/>
    </row>
    <row r="815" customFormat="false" ht="15" hidden="false" customHeight="true" outlineLevel="0" collapsed="false">
      <c r="AK815" s="303"/>
    </row>
    <row r="816" customFormat="false" ht="15" hidden="false" customHeight="true" outlineLevel="0" collapsed="false">
      <c r="AK816" s="268"/>
    </row>
    <row r="817" customFormat="false" ht="15" hidden="false" customHeight="true" outlineLevel="0" collapsed="false">
      <c r="AK817" s="287"/>
    </row>
    <row r="818" customFormat="false" ht="15" hidden="false" customHeight="true" outlineLevel="0" collapsed="false">
      <c r="AK818" s="287"/>
    </row>
    <row r="819" customFormat="false" ht="15" hidden="false" customHeight="true" outlineLevel="0" collapsed="false">
      <c r="AK819" s="287"/>
    </row>
    <row r="820" customFormat="false" ht="15" hidden="false" customHeight="true" outlineLevel="0" collapsed="false">
      <c r="AK820" s="287"/>
    </row>
    <row r="821" customFormat="false" ht="15" hidden="false" customHeight="true" outlineLevel="0" collapsed="false">
      <c r="AK821" s="287"/>
    </row>
    <row r="822" customFormat="false" ht="15" hidden="false" customHeight="true" outlineLevel="0" collapsed="false">
      <c r="AK822" s="287"/>
    </row>
    <row r="823" customFormat="false" ht="15" hidden="false" customHeight="true" outlineLevel="0" collapsed="false">
      <c r="AK823" s="287"/>
    </row>
    <row r="824" customFormat="false" ht="15" hidden="false" customHeight="true" outlineLevel="0" collapsed="false">
      <c r="AK824" s="287"/>
    </row>
    <row r="825" customFormat="false" ht="15" hidden="false" customHeight="true" outlineLevel="0" collapsed="false">
      <c r="AK825" s="287"/>
    </row>
    <row r="826" customFormat="false" ht="15" hidden="false" customHeight="true" outlineLevel="0" collapsed="false">
      <c r="AK826" s="287"/>
    </row>
    <row r="827" customFormat="false" ht="15" hidden="false" customHeight="true" outlineLevel="0" collapsed="false">
      <c r="AK827" s="287"/>
    </row>
    <row r="828" customFormat="false" ht="15" hidden="false" customHeight="true" outlineLevel="0" collapsed="false">
      <c r="AK828" s="287"/>
    </row>
    <row r="829" customFormat="false" ht="15" hidden="false" customHeight="true" outlineLevel="0" collapsed="false">
      <c r="AK829" s="303"/>
    </row>
    <row r="830" customFormat="false" ht="15" hidden="false" customHeight="true" outlineLevel="0" collapsed="false">
      <c r="AK830" s="303"/>
    </row>
    <row r="831" customFormat="false" ht="15" hidden="false" customHeight="true" outlineLevel="0" collapsed="false">
      <c r="AK831" s="268"/>
    </row>
    <row r="832" customFormat="false" ht="15" hidden="false" customHeight="true" outlineLevel="0" collapsed="false">
      <c r="AK832" s="287"/>
    </row>
    <row r="833" customFormat="false" ht="15" hidden="false" customHeight="true" outlineLevel="0" collapsed="false">
      <c r="AK833" s="287"/>
    </row>
    <row r="834" customFormat="false" ht="15" hidden="false" customHeight="true" outlineLevel="0" collapsed="false">
      <c r="AK834" s="287"/>
    </row>
    <row r="835" customFormat="false" ht="15" hidden="false" customHeight="true" outlineLevel="0" collapsed="false">
      <c r="AK835" s="287"/>
    </row>
    <row r="836" customFormat="false" ht="15" hidden="false" customHeight="true" outlineLevel="0" collapsed="false">
      <c r="AK836" s="287"/>
    </row>
    <row r="837" customFormat="false" ht="15" hidden="false" customHeight="true" outlineLevel="0" collapsed="false">
      <c r="AK837" s="287"/>
    </row>
    <row r="838" customFormat="false" ht="15" hidden="false" customHeight="true" outlineLevel="0" collapsed="false">
      <c r="AK838" s="287"/>
    </row>
    <row r="839" customFormat="false" ht="15" hidden="false" customHeight="true" outlineLevel="0" collapsed="false">
      <c r="AK839" s="287"/>
    </row>
    <row r="840" customFormat="false" ht="15" hidden="false" customHeight="true" outlineLevel="0" collapsed="false">
      <c r="AK840" s="287"/>
    </row>
    <row r="841" customFormat="false" ht="15" hidden="false" customHeight="true" outlineLevel="0" collapsed="false">
      <c r="AK841" s="287"/>
    </row>
    <row r="842" customFormat="false" ht="15" hidden="false" customHeight="true" outlineLevel="0" collapsed="false">
      <c r="AK842" s="287"/>
    </row>
    <row r="843" customFormat="false" ht="15" hidden="false" customHeight="true" outlineLevel="0" collapsed="false">
      <c r="AK843" s="287"/>
    </row>
    <row r="844" customFormat="false" ht="15" hidden="false" customHeight="true" outlineLevel="0" collapsed="false">
      <c r="AK844" s="303"/>
    </row>
    <row r="845" customFormat="false" ht="15" hidden="false" customHeight="true" outlineLevel="0" collapsed="false">
      <c r="AK845" s="303"/>
    </row>
    <row r="846" customFormat="false" ht="15" hidden="false" customHeight="true" outlineLevel="0" collapsed="false">
      <c r="AK846" s="303"/>
    </row>
    <row r="847" customFormat="false" ht="15" hidden="false" customHeight="true" outlineLevel="0" collapsed="false">
      <c r="AK847" s="303"/>
    </row>
    <row r="848" customFormat="false" ht="15" hidden="false" customHeight="true" outlineLevel="0" collapsed="false">
      <c r="AK848" s="313"/>
    </row>
    <row r="849" customFormat="false" ht="15" hidden="false" customHeight="true" outlineLevel="0" collapsed="false">
      <c r="AK849" s="313"/>
    </row>
    <row r="850" customFormat="false" ht="15" hidden="false" customHeight="true" outlineLevel="0" collapsed="false">
      <c r="AK850" s="313"/>
    </row>
    <row r="851" customFormat="false" ht="15" hidden="false" customHeight="true" outlineLevel="0" collapsed="false">
      <c r="AK851" s="313"/>
    </row>
    <row r="852" customFormat="false" ht="15" hidden="false" customHeight="true" outlineLevel="0" collapsed="false">
      <c r="AK852" s="313"/>
    </row>
    <row r="853" customFormat="false" ht="15" hidden="false" customHeight="true" outlineLevel="0" collapsed="false">
      <c r="AK853" s="313"/>
    </row>
    <row r="854" customFormat="false" ht="15" hidden="false" customHeight="true" outlineLevel="0" collapsed="false">
      <c r="AK854" s="313"/>
    </row>
    <row r="855" customFormat="false" ht="15" hidden="false" customHeight="true" outlineLevel="0" collapsed="false">
      <c r="AK855" s="313"/>
    </row>
    <row r="856" customFormat="false" ht="15" hidden="false" customHeight="true" outlineLevel="0" collapsed="false">
      <c r="AK856" s="313"/>
    </row>
    <row r="857" customFormat="false" ht="15" hidden="false" customHeight="true" outlineLevel="0" collapsed="false">
      <c r="AK857" s="313"/>
    </row>
    <row r="858" customFormat="false" ht="15" hidden="false" customHeight="true" outlineLevel="0" collapsed="false">
      <c r="AK858" s="313"/>
    </row>
    <row r="859" customFormat="false" ht="15" hidden="false" customHeight="true" outlineLevel="0" collapsed="false">
      <c r="AK859" s="313"/>
    </row>
    <row r="860" customFormat="false" ht="15" hidden="false" customHeight="true" outlineLevel="0" collapsed="false">
      <c r="AK860" s="319"/>
    </row>
    <row r="861" customFormat="false" ht="15" hidden="false" customHeight="true" outlineLevel="0" collapsed="false">
      <c r="AK861" s="319"/>
    </row>
    <row r="863" customFormat="false" ht="15" hidden="false" customHeight="true" outlineLevel="0" collapsed="false">
      <c r="AK863" s="328"/>
    </row>
    <row r="865" customFormat="false" ht="15" hidden="false" customHeight="true" outlineLevel="0" collapsed="false">
      <c r="AK865" s="316"/>
    </row>
  </sheetData>
  <mergeCells count="9">
    <mergeCell ref="A1:C1"/>
    <mergeCell ref="I2:T2"/>
    <mergeCell ref="A3:A5"/>
    <mergeCell ref="B3:B5"/>
    <mergeCell ref="C3:C5"/>
    <mergeCell ref="D3:D5"/>
    <mergeCell ref="E3:E5"/>
    <mergeCell ref="F3:F5"/>
    <mergeCell ref="G3:G5"/>
  </mergeCells>
  <conditionalFormatting sqref="AL1:AL1048576">
    <cfRule type="cellIs" priority="2" operator="equal" aboveAverage="0" equalAverage="0" bottom="0" percent="0" rank="0" text="" dxfId="0">
      <formula>"ERROR"</formula>
    </cfRule>
  </conditionalFormatting>
  <conditionalFormatting sqref="AL7">
    <cfRule type="cellIs" priority="3" operator="equal" aboveAverage="0" equalAverage="0" bottom="0" percent="0" rank="0" text="" dxfId="0">
      <formula>"error"</formula>
    </cfRule>
  </conditionalFormatting>
  <conditionalFormatting sqref="I7:T51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1">
      <formula>1</formula>
    </cfRule>
  </conditionalFormatting>
  <dataValidations count="2">
    <dataValidation allowBlank="true" errorStyle="stop" operator="between" showDropDown="false" showErrorMessage="true" showInputMessage="true" sqref="Y7" type="list">
      <formula1>$BS$9:$BS$11</formula1>
      <formula2>0</formula2>
    </dataValidation>
    <dataValidation allowBlank="true" errorStyle="stop" operator="between" showDropDown="false" showErrorMessage="true" showInputMessage="true" sqref="H7 K7 X7 Z7" type="list">
      <formula1>$BS$15:$BS$16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9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340" width="13.44"/>
    <col collapsed="false" customWidth="true" hidden="false" outlineLevel="0" max="2" min="2" style="17" width="8.34"/>
    <col collapsed="false" customWidth="true" hidden="false" outlineLevel="0" max="3" min="3" style="17" width="55"/>
    <col collapsed="false" customWidth="true" hidden="false" outlineLevel="0" max="4" min="4" style="341" width="14.33"/>
    <col collapsed="false" customWidth="true" hidden="false" outlineLevel="0" max="5" min="5" style="17" width="14.33"/>
    <col collapsed="false" customWidth="true" hidden="false" outlineLevel="0" max="7" min="6" style="17" width="19.33"/>
    <col collapsed="false" customWidth="true" hidden="false" outlineLevel="0" max="8" min="8" style="17" width="4.67"/>
    <col collapsed="false" customWidth="true" hidden="false" outlineLevel="0" max="20" min="9" style="146" width="13"/>
    <col collapsed="false" customWidth="true" hidden="false" outlineLevel="0" max="21" min="21" style="146" width="4.67"/>
    <col collapsed="false" customWidth="true" hidden="false" outlineLevel="0" max="36" min="22" style="146" width="13"/>
    <col collapsed="false" customWidth="true" hidden="false" outlineLevel="0" max="37" min="37" style="146" width="4.67"/>
    <col collapsed="false" customWidth="true" hidden="false" outlineLevel="0" max="38" min="38" style="146" width="13"/>
    <col collapsed="false" customWidth="false" hidden="false" outlineLevel="0" max="16384" min="39" style="17" width="8.88"/>
  </cols>
  <sheetData>
    <row r="1" s="22" customFormat="true" ht="15" hidden="false" customHeight="true" outlineLevel="0" collapsed="false">
      <c r="A1" s="238" t="s">
        <v>91</v>
      </c>
      <c r="B1" s="238"/>
      <c r="C1" s="238"/>
      <c r="D1" s="342"/>
      <c r="E1" s="239"/>
      <c r="F1" s="342"/>
      <c r="G1" s="342"/>
      <c r="H1" s="240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147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147"/>
      <c r="AI1" s="147"/>
      <c r="AJ1" s="147"/>
      <c r="AK1" s="240"/>
      <c r="AL1" s="239"/>
    </row>
    <row r="2" customFormat="false" ht="15" hidden="false" customHeight="true" outlineLevel="0" collapsed="false">
      <c r="I2" s="244" t="s">
        <v>212</v>
      </c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AK2" s="246"/>
      <c r="AL2" s="246"/>
    </row>
    <row r="3" customFormat="false" ht="45" hidden="false" customHeight="true" outlineLevel="0" collapsed="false">
      <c r="A3" s="345" t="s">
        <v>263</v>
      </c>
      <c r="B3" s="345" t="s">
        <v>264</v>
      </c>
      <c r="C3" s="345" t="s">
        <v>265</v>
      </c>
      <c r="D3" s="345" t="s">
        <v>266</v>
      </c>
      <c r="E3" s="345" t="s">
        <v>267</v>
      </c>
      <c r="F3" s="345" t="s">
        <v>268</v>
      </c>
      <c r="G3" s="345" t="s">
        <v>269</v>
      </c>
      <c r="H3" s="395"/>
      <c r="I3" s="251" t="str">
        <f aca="false">IF(Summary!$B$15&gt;0,Summary!$B$15,"")</f>
        <v>Automated Document Intelligence Platform</v>
      </c>
      <c r="J3" s="251" t="str">
        <f aca="false">IF(Summary!$B$16&gt;0,Summary!$B$16,"")</f>
        <v>Real-Time Anomaly Detection Engine</v>
      </c>
      <c r="K3" s="251" t="str">
        <f aca="false">IF(Summary!$B$17&gt;0,Summary!$B$17,"")</f>
        <v>Natural Language Query Interface</v>
      </c>
      <c r="L3" s="251" t="str">
        <f aca="false">IF(Summary!$B$18&gt;0,Summary!$B$18,"")</f>
        <v>Predictive Maintenance ML Pipeline</v>
      </c>
      <c r="M3" s="251" t="str">
        <f aca="false">IF(Summary!$B$19&gt;0,Summary!$B$19,"")</f>
        <v>Privacy-Preserving Data Linkage</v>
      </c>
      <c r="N3" s="251" t="str">
        <f aca="false">IF(Summary!$B$20&gt;0,Summary!$B$20,"")</f>
        <v/>
      </c>
      <c r="O3" s="251" t="str">
        <f aca="false">IF(Summary!$B$21&gt;0,Summary!$B$21,"")</f>
        <v/>
      </c>
      <c r="P3" s="251" t="str">
        <f aca="false">IF(Summary!$B$22&gt;0,Summary!$B$22,"")</f>
        <v/>
      </c>
      <c r="Q3" s="251" t="str">
        <f aca="false">IF(Summary!$B$23&gt;0,Summary!$B$23,"")</f>
        <v/>
      </c>
      <c r="R3" s="251" t="str">
        <f aca="false">IF(Summary!$B$24&gt;0,Summary!$B$24,"")</f>
        <v/>
      </c>
      <c r="S3" s="251" t="str">
        <f aca="false">IF(Summary!$B$25&gt;0,Summary!$B$25,"")</f>
        <v/>
      </c>
      <c r="T3" s="251" t="str">
        <f aca="false">IF(Summary!$B$26&gt;0,Summary!$B$26,"")</f>
        <v/>
      </c>
      <c r="U3" s="332"/>
      <c r="V3" s="251" t="str">
        <f aca="false">IF(Summary!$B$15&gt;0,Summary!$B$15,"")</f>
        <v>Automated Document Intelligence Platform</v>
      </c>
      <c r="W3" s="251" t="str">
        <f aca="false">IF(Summary!$B$16&gt;0,Summary!$B$16,"")</f>
        <v>Real-Time Anomaly Detection Engine</v>
      </c>
      <c r="X3" s="251" t="str">
        <f aca="false">IF(Summary!$B$17&gt;0,Summary!$B$17,"")</f>
        <v>Natural Language Query Interface</v>
      </c>
      <c r="Y3" s="251" t="str">
        <f aca="false">IF(Summary!$B$18&gt;0,Summary!$B$18,"")</f>
        <v>Predictive Maintenance ML Pipeline</v>
      </c>
      <c r="Z3" s="251" t="str">
        <f aca="false">IF(Summary!$B$19&gt;0,Summary!$B$19,"")</f>
        <v>Privacy-Preserving Data Linkage</v>
      </c>
      <c r="AA3" s="251" t="str">
        <f aca="false">IF(Summary!$B$20&gt;0,Summary!$B$20,"")</f>
        <v/>
      </c>
      <c r="AB3" s="251" t="str">
        <f aca="false">IF(Summary!$B$21&gt;0,Summary!$B$21,"")</f>
        <v/>
      </c>
      <c r="AC3" s="251" t="str">
        <f aca="false">IF(Summary!$B$22&gt;0,Summary!$B$22,"")</f>
        <v/>
      </c>
      <c r="AD3" s="251" t="str">
        <f aca="false">IF(Summary!$B$23&gt;0,Summary!$B$23,"")</f>
        <v/>
      </c>
      <c r="AE3" s="251" t="str">
        <f aca="false">IF(Summary!$B$24&gt;0,Summary!$B$24,"")</f>
        <v/>
      </c>
      <c r="AF3" s="251" t="str">
        <f aca="false">IF(Summary!$B$25&gt;0,Summary!$B$25,"")</f>
        <v/>
      </c>
      <c r="AG3" s="251" t="str">
        <f aca="false">IF(Summary!$B$26&gt;0,Summary!$B$26,"")</f>
        <v/>
      </c>
      <c r="AH3" s="251" t="s">
        <v>72</v>
      </c>
      <c r="AI3" s="251" t="s">
        <v>69</v>
      </c>
      <c r="AJ3" s="251" t="s">
        <v>74</v>
      </c>
      <c r="AK3" s="249"/>
      <c r="AL3" s="251" t="s">
        <v>104</v>
      </c>
    </row>
    <row r="4" customFormat="false" ht="15" hidden="false" customHeight="true" outlineLevel="0" collapsed="false">
      <c r="A4" s="345"/>
      <c r="B4" s="345"/>
      <c r="C4" s="345"/>
      <c r="D4" s="345"/>
      <c r="E4" s="345"/>
      <c r="F4" s="345"/>
      <c r="G4" s="345"/>
      <c r="H4" s="395"/>
      <c r="I4" s="331" t="str">
        <f aca="false">IF(ISBLANK(Summary!$C$15),"", IF(Summary!$C$15="No", "SME", IF(AND(Summary!$C$15="Yes", Summary!$D$15="Yes"), "De Minimis", "RDEC")))</f>
        <v>SME</v>
      </c>
      <c r="J4" s="331" t="str">
        <f aca="false">IF(ISBLANK(Summary!$C$16),"", IF(Summary!$C$16="No", "SME", IF(AND(Summary!$C$16="Yes", Summary!$D$16="Yes"), "De Minimis", "RDEC")))</f>
        <v>SME</v>
      </c>
      <c r="K4" s="331" t="str">
        <f aca="false">IF(ISBLANK(Summary!$C$17),"", IF(Summary!$C$17="No", "SME", IF(AND(Summary!$C$17="Yes", Summary!$D$17="Yes"), "De Minimis", "RDEC")))</f>
        <v>SME</v>
      </c>
      <c r="L4" s="331" t="str">
        <f aca="false">IF(ISBLANK(Summary!$C$18),"", IF(Summary!$C$18="No", "SME", IF(AND(Summary!$C$18="Yes", Summary!$D$18="Yes"), "De Minimis", "RDEC")))</f>
        <v>RDEC</v>
      </c>
      <c r="M4" s="331" t="str">
        <f aca="false">IF(ISBLANK(Summary!$C$19),"", IF(Summary!$C$19="No", "SME", IF(AND(Summary!$C$19="Yes", Summary!$D$19="Yes"), "De Minimis", "RDEC")))</f>
        <v>SME</v>
      </c>
      <c r="N4" s="331" t="str">
        <f aca="false">IF(ISBLANK(Summary!$C$20),"", IF(Summary!$C$20="No", "SME", IF(AND(Summary!$C$20="Yes", Summary!$D$20="Yes"), "De Minimis", "RDEC")))</f>
        <v/>
      </c>
      <c r="O4" s="331" t="str">
        <f aca="false">IF(ISBLANK(Summary!$C$21),"", IF(Summary!$C$21="No", "SME", IF(AND(Summary!$C$21="Yes", Summary!$D$21="Yes"), "De Minimis", "RDEC")))</f>
        <v/>
      </c>
      <c r="P4" s="331" t="str">
        <f aca="false">IF(ISBLANK(Summary!$C$22),"", IF(Summary!$C$22="No", "SME", IF(AND(Summary!$C$22="Yes", Summary!$D$22="Yes"), "De Minimis", "RDEC")))</f>
        <v/>
      </c>
      <c r="Q4" s="331" t="str">
        <f aca="false">IF(ISBLANK(Summary!$C$23),"", IF(Summary!$C$23="No", "SME", IF(AND(Summary!$C$23="Yes", Summary!$D$23="Yes"), "De Minimis", "RDEC")))</f>
        <v/>
      </c>
      <c r="R4" s="331" t="str">
        <f aca="false">IF(ISBLANK(Summary!$C$24),"", IF(Summary!$C$24="No", "SME", IF(AND(Summary!$C$24="Yes", Summary!$D$24="Yes"), "De Minimis", "RDEC")))</f>
        <v/>
      </c>
      <c r="S4" s="331" t="str">
        <f aca="false">IF(ISBLANK(Summary!$C$25),"", IF(Summary!$C$25="No", "SME", IF(AND(Summary!$C$25="Yes", Summary!$D$25="Yes"), "De Minimis", "RDEC")))</f>
        <v/>
      </c>
      <c r="T4" s="331" t="str">
        <f aca="false">IF(ISBLANK(Summary!$C$26),"", IF(Summary!$C$26="No", "SME", IF(AND(Summary!$C$26="Yes", Summary!$D$26="Yes"), "De Minimis", "RDEC")))</f>
        <v/>
      </c>
      <c r="U4" s="332"/>
      <c r="V4" s="331" t="str">
        <f aca="false">IF(ISBLANK(Summary!$C$15),"", IF(Summary!$C$15="No", "SME", IF(AND(Summary!$C$15="Yes", Summary!$D$15="Yes"), "De Minimis", "RDEC")))</f>
        <v>SME</v>
      </c>
      <c r="W4" s="331" t="str">
        <f aca="false">IF(ISBLANK(Summary!$C$16),"", IF(Summary!$C$16="No", "SME", IF(AND(Summary!$C$16="Yes", Summary!$D$16="Yes"), "De Minimis", "RDEC")))</f>
        <v>SME</v>
      </c>
      <c r="X4" s="331" t="str">
        <f aca="false">IF(ISBLANK(Summary!$C$17),"", IF(Summary!$C$17="No", "SME", IF(AND(Summary!$C$17="Yes", Summary!$D$17="Yes"), "De Minimis", "RDEC")))</f>
        <v>SME</v>
      </c>
      <c r="Y4" s="331" t="str">
        <f aca="false">IF(ISBLANK(Summary!$C$18),"", IF(Summary!$C$18="No", "SME", IF(AND(Summary!$C$18="Yes", Summary!$D$18="Yes"), "De Minimis", "RDEC")))</f>
        <v>RDEC</v>
      </c>
      <c r="Z4" s="331" t="str">
        <f aca="false">IF(ISBLANK(Summary!$C$19),"", IF(Summary!$C$19="No", "SME", IF(AND(Summary!$C$19="Yes", Summary!$D$19="Yes"), "De Minimis", "RDEC")))</f>
        <v>SME</v>
      </c>
      <c r="AA4" s="331" t="str">
        <f aca="false">IF(ISBLANK(Summary!$C$20),"", IF(Summary!$C$20="No", "SME", IF(AND(Summary!$C$20="Yes", Summary!$D$20="Yes"), "De Minimis", "RDEC")))</f>
        <v/>
      </c>
      <c r="AB4" s="331" t="str">
        <f aca="false">IF(ISBLANK(Summary!$C$21),"", IF(Summary!$C$21="No", "SME", IF(AND(Summary!$C$21="Yes", Summary!$D$21="Yes"), "De Minimis", "RDEC")))</f>
        <v/>
      </c>
      <c r="AC4" s="331" t="str">
        <f aca="false">IF(ISBLANK(Summary!$C$22),"", IF(Summary!$C$22="No", "SME", IF(AND(Summary!$C$22="Yes", Summary!$D$22="Yes"), "De Minimis", "RDEC")))</f>
        <v/>
      </c>
      <c r="AD4" s="331" t="str">
        <f aca="false">IF(ISBLANK(Summary!$C$23),"", IF(Summary!$C$23="No", "SME", IF(AND(Summary!$C$23="Yes", Summary!$D$23="Yes"), "De Minimis", "RDEC")))</f>
        <v/>
      </c>
      <c r="AE4" s="331" t="str">
        <f aca="false">IF(ISBLANK(Summary!$C$24),"", IF(Summary!$C$24="No", "SME", IF(AND(Summary!$C$24="Yes", Summary!$D$24="Yes"), "De Minimis", "RDEC")))</f>
        <v/>
      </c>
      <c r="AF4" s="331" t="str">
        <f aca="false">IF(ISBLANK(Summary!$C$25),"", IF(Summary!$C$25="No", "SME", IF(AND(Summary!$C$25="Yes", Summary!$D$25="Yes"), "De Minimis", "RDEC")))</f>
        <v/>
      </c>
      <c r="AG4" s="331" t="str">
        <f aca="false">IF(ISBLANK(Summary!$C$26),"", IF(Summary!$C$26="No", "SME", IF(AND(Summary!$C$26="Yes", Summary!$D$26="Yes"), "De Minimis", "RDEC")))</f>
        <v/>
      </c>
      <c r="AH4" s="258"/>
      <c r="AI4" s="258"/>
      <c r="AJ4" s="258"/>
      <c r="AK4" s="252"/>
      <c r="AL4" s="258"/>
    </row>
    <row r="5" customFormat="false" ht="15" hidden="false" customHeight="true" outlineLevel="0" collapsed="false">
      <c r="A5" s="345"/>
      <c r="B5" s="345"/>
      <c r="C5" s="345"/>
      <c r="D5" s="345"/>
      <c r="E5" s="345"/>
      <c r="F5" s="345"/>
      <c r="G5" s="345"/>
      <c r="I5" s="262" t="s">
        <v>229</v>
      </c>
      <c r="J5" s="262" t="s">
        <v>229</v>
      </c>
      <c r="K5" s="262" t="s">
        <v>229</v>
      </c>
      <c r="L5" s="262" t="s">
        <v>229</v>
      </c>
      <c r="M5" s="262" t="s">
        <v>229</v>
      </c>
      <c r="N5" s="262" t="s">
        <v>229</v>
      </c>
      <c r="O5" s="262" t="s">
        <v>229</v>
      </c>
      <c r="P5" s="262" t="s">
        <v>229</v>
      </c>
      <c r="Q5" s="262" t="s">
        <v>229</v>
      </c>
      <c r="R5" s="262" t="s">
        <v>229</v>
      </c>
      <c r="S5" s="262" t="s">
        <v>229</v>
      </c>
      <c r="T5" s="262" t="s">
        <v>229</v>
      </c>
      <c r="U5" s="190"/>
      <c r="V5" s="375" t="s">
        <v>230</v>
      </c>
      <c r="W5" s="375" t="s">
        <v>230</v>
      </c>
      <c r="X5" s="375" t="s">
        <v>230</v>
      </c>
      <c r="Y5" s="375" t="s">
        <v>230</v>
      </c>
      <c r="Z5" s="375" t="s">
        <v>230</v>
      </c>
      <c r="AA5" s="375" t="s">
        <v>230</v>
      </c>
      <c r="AB5" s="375" t="s">
        <v>230</v>
      </c>
      <c r="AC5" s="375" t="s">
        <v>230</v>
      </c>
      <c r="AD5" s="375" t="s">
        <v>230</v>
      </c>
      <c r="AE5" s="375" t="s">
        <v>230</v>
      </c>
      <c r="AF5" s="375" t="s">
        <v>230</v>
      </c>
      <c r="AG5" s="375" t="s">
        <v>230</v>
      </c>
      <c r="AH5" s="405" t="s">
        <v>230</v>
      </c>
      <c r="AI5" s="405" t="s">
        <v>230</v>
      </c>
      <c r="AJ5" s="405" t="s">
        <v>230</v>
      </c>
      <c r="AK5" s="259"/>
      <c r="AL5" s="265" t="s">
        <v>231</v>
      </c>
    </row>
    <row r="6" customFormat="false" ht="15" hidden="false" customHeight="true" outlineLevel="0" collapsed="false"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68"/>
      <c r="AL6" s="268"/>
    </row>
    <row r="7" customFormat="false" ht="7.5" hidden="false" customHeight="true" outlineLevel="0" collapsed="false">
      <c r="E7" s="200"/>
      <c r="H7" s="350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283"/>
      <c r="V7" s="352"/>
      <c r="W7" s="352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3"/>
      <c r="AI7" s="353"/>
      <c r="AJ7" s="353"/>
      <c r="AK7" s="287"/>
      <c r="AL7" s="354"/>
    </row>
    <row r="8" customFormat="false" ht="15" hidden="false" customHeight="true" outlineLevel="0" collapsed="false">
      <c r="A8" s="355" t="n">
        <v>45292</v>
      </c>
      <c r="B8" s="17" t="s">
        <v>308</v>
      </c>
      <c r="C8" s="17" t="s">
        <v>378</v>
      </c>
      <c r="D8" s="341" t="s">
        <v>379</v>
      </c>
      <c r="E8" s="200" t="n">
        <v>4800</v>
      </c>
      <c r="F8" s="17" t="n">
        <v>7700</v>
      </c>
      <c r="H8" s="350"/>
      <c r="I8" s="282" t="n">
        <v>0.25</v>
      </c>
      <c r="J8" s="282" t="n">
        <v>0.25</v>
      </c>
      <c r="K8" s="282" t="n">
        <v>0.25</v>
      </c>
      <c r="L8" s="282" t="n">
        <v>0.15</v>
      </c>
      <c r="M8" s="282" t="n">
        <v>0.1</v>
      </c>
      <c r="N8" s="282"/>
      <c r="O8" s="282"/>
      <c r="P8" s="282"/>
      <c r="Q8" s="282"/>
      <c r="R8" s="282"/>
      <c r="S8" s="282"/>
      <c r="T8" s="282"/>
      <c r="U8" s="283"/>
      <c r="V8" s="284" t="n">
        <f aca="false">IFERROR(I8*$E8, "")</f>
        <v>1200</v>
      </c>
      <c r="W8" s="284" t="n">
        <f aca="false">IFERROR(J8*$E8, "")</f>
        <v>1200</v>
      </c>
      <c r="X8" s="284" t="n">
        <f aca="false">IFERROR(K8*$E8, "")</f>
        <v>1200</v>
      </c>
      <c r="Y8" s="284" t="n">
        <f aca="false">IFERROR(L8*$E8, "")</f>
        <v>720</v>
      </c>
      <c r="Z8" s="284" t="n">
        <f aca="false">IFERROR(M8*$E8, "")</f>
        <v>480</v>
      </c>
      <c r="AA8" s="284" t="n">
        <f aca="false">IFERROR(N8*$E8, "")</f>
        <v>0</v>
      </c>
      <c r="AB8" s="284" t="n">
        <f aca="false">IFERROR(O8*$E8, "")</f>
        <v>0</v>
      </c>
      <c r="AC8" s="284" t="n">
        <f aca="false">IFERROR(P8*$E8, "")</f>
        <v>0</v>
      </c>
      <c r="AD8" s="284" t="n">
        <f aca="false">IFERROR(Q8*$E8, "")</f>
        <v>0</v>
      </c>
      <c r="AE8" s="284" t="n">
        <f aca="false">IFERROR(R8*$E8, "")</f>
        <v>0</v>
      </c>
      <c r="AF8" s="284" t="n">
        <f aca="false">IFERROR(S8*$E8, "")</f>
        <v>0</v>
      </c>
      <c r="AG8" s="284" t="n">
        <f aca="false">IFERROR(T8*$E8, "")</f>
        <v>0</v>
      </c>
      <c r="AH8" s="286" t="n">
        <f aca="false">IFERROR(SUMIF($V$4:$AG$4, "RDEC", V8:AG8), "")</f>
        <v>720</v>
      </c>
      <c r="AI8" s="286" t="n">
        <f aca="false">IFERROR(SUMIF($V$4:$AG$4, "SME", V8:AG8), "")</f>
        <v>4080</v>
      </c>
      <c r="AJ8" s="286" t="n">
        <f aca="false">IFERROR(SUMIF($V$4:$AG$4, "De Minimis", V8:AG8), "")</f>
        <v>0</v>
      </c>
      <c r="AK8" s="287"/>
      <c r="AL8" s="288" t="str">
        <f aca="false">IF((SUM(I8:T8)&gt;1),"ERROR","")</f>
        <v/>
      </c>
    </row>
    <row r="9" customFormat="false" ht="15" hidden="false" customHeight="true" outlineLevel="0" collapsed="false">
      <c r="A9" s="355" t="n">
        <v>45306</v>
      </c>
      <c r="B9" s="17" t="s">
        <v>308</v>
      </c>
      <c r="C9" s="17" t="s">
        <v>380</v>
      </c>
      <c r="D9" s="341" t="s">
        <v>381</v>
      </c>
      <c r="E9" s="200" t="n">
        <v>3200</v>
      </c>
      <c r="F9" s="17" t="n">
        <v>7700</v>
      </c>
      <c r="H9" s="350"/>
      <c r="I9" s="282" t="n">
        <v>0.3</v>
      </c>
      <c r="J9" s="282" t="n">
        <v>0.2</v>
      </c>
      <c r="K9" s="282" t="n">
        <v>0.2</v>
      </c>
      <c r="L9" s="282" t="n">
        <v>0.15</v>
      </c>
      <c r="M9" s="282" t="n">
        <v>0.15</v>
      </c>
      <c r="N9" s="282"/>
      <c r="O9" s="282"/>
      <c r="P9" s="282"/>
      <c r="Q9" s="282"/>
      <c r="R9" s="282"/>
      <c r="S9" s="282"/>
      <c r="T9" s="282"/>
      <c r="U9" s="283"/>
      <c r="V9" s="284" t="n">
        <f aca="false">IFERROR(I9*$E9, "")</f>
        <v>960</v>
      </c>
      <c r="W9" s="284" t="n">
        <f aca="false">IFERROR(J9*$E9, "")</f>
        <v>640</v>
      </c>
      <c r="X9" s="284" t="n">
        <f aca="false">IFERROR(K9*$E9, "")</f>
        <v>640</v>
      </c>
      <c r="Y9" s="284" t="n">
        <f aca="false">IFERROR(L9*$E9, "")</f>
        <v>480</v>
      </c>
      <c r="Z9" s="284" t="n">
        <f aca="false">IFERROR(M9*$E9, "")</f>
        <v>480</v>
      </c>
      <c r="AA9" s="284" t="n">
        <f aca="false">IFERROR(N9*$E9, "")</f>
        <v>0</v>
      </c>
      <c r="AB9" s="284" t="n">
        <f aca="false">IFERROR(O9*$E9, "")</f>
        <v>0</v>
      </c>
      <c r="AC9" s="284" t="n">
        <f aca="false">IFERROR(P9*$E9, "")</f>
        <v>0</v>
      </c>
      <c r="AD9" s="284" t="n">
        <f aca="false">IFERROR(Q9*$E9, "")</f>
        <v>0</v>
      </c>
      <c r="AE9" s="284" t="n">
        <f aca="false">IFERROR(R9*$E9, "")</f>
        <v>0</v>
      </c>
      <c r="AF9" s="284" t="n">
        <f aca="false">IFERROR(S9*$E9, "")</f>
        <v>0</v>
      </c>
      <c r="AG9" s="284" t="n">
        <f aca="false">IFERROR(T9*$E9, "")</f>
        <v>0</v>
      </c>
      <c r="AH9" s="286" t="n">
        <f aca="false">IFERROR(SUMIF($V$4:$AG$4, "RDEC", V9:AG9), "")</f>
        <v>480</v>
      </c>
      <c r="AI9" s="286" t="n">
        <f aca="false">IFERROR(SUMIF($V$4:$AG$4, "SME", V9:AG9), "")</f>
        <v>2720</v>
      </c>
      <c r="AJ9" s="286" t="n">
        <f aca="false">IFERROR(SUMIF($V$4:$AG$4, "De Minimis", V9:AG9), "")</f>
        <v>0</v>
      </c>
      <c r="AK9" s="287"/>
      <c r="AL9" s="288" t="str">
        <f aca="false">IF((SUM(I9:T9)&gt;1),"ERROR","")</f>
        <v/>
      </c>
    </row>
    <row r="10" customFormat="false" ht="15" hidden="false" customHeight="true" outlineLevel="0" collapsed="false">
      <c r="A10" s="355" t="n">
        <v>45323</v>
      </c>
      <c r="B10" s="17" t="s">
        <v>308</v>
      </c>
      <c r="C10" s="17" t="s">
        <v>382</v>
      </c>
      <c r="D10" s="341" t="s">
        <v>383</v>
      </c>
      <c r="E10" s="200" t="n">
        <v>2400</v>
      </c>
      <c r="F10" s="17" t="n">
        <v>7701</v>
      </c>
      <c r="H10" s="350"/>
      <c r="I10" s="282"/>
      <c r="J10" s="282" t="n">
        <v>0.5</v>
      </c>
      <c r="K10" s="282"/>
      <c r="L10" s="282" t="n">
        <v>0.3</v>
      </c>
      <c r="M10" s="282" t="n">
        <v>0.2</v>
      </c>
      <c r="N10" s="282"/>
      <c r="O10" s="282"/>
      <c r="P10" s="282"/>
      <c r="Q10" s="282"/>
      <c r="R10" s="282"/>
      <c r="S10" s="282"/>
      <c r="T10" s="282"/>
      <c r="U10" s="283"/>
      <c r="V10" s="284" t="n">
        <f aca="false">IFERROR(I10*$E10, "")</f>
        <v>0</v>
      </c>
      <c r="W10" s="284" t="n">
        <f aca="false">IFERROR(J10*$E10, "")</f>
        <v>1200</v>
      </c>
      <c r="X10" s="284" t="n">
        <f aca="false">IFERROR(K10*$E10, "")</f>
        <v>0</v>
      </c>
      <c r="Y10" s="284" t="n">
        <f aca="false">IFERROR(L10*$E10, "")</f>
        <v>720</v>
      </c>
      <c r="Z10" s="284" t="n">
        <f aca="false">IFERROR(M10*$E10, "")</f>
        <v>480</v>
      </c>
      <c r="AA10" s="284" t="n">
        <f aca="false">IFERROR(N10*$E10, "")</f>
        <v>0</v>
      </c>
      <c r="AB10" s="284" t="n">
        <f aca="false">IFERROR(O10*$E10, "")</f>
        <v>0</v>
      </c>
      <c r="AC10" s="284" t="n">
        <f aca="false">IFERROR(P10*$E10, "")</f>
        <v>0</v>
      </c>
      <c r="AD10" s="284" t="n">
        <f aca="false">IFERROR(Q10*$E10, "")</f>
        <v>0</v>
      </c>
      <c r="AE10" s="284" t="n">
        <f aca="false">IFERROR(R10*$E10, "")</f>
        <v>0</v>
      </c>
      <c r="AF10" s="284" t="n">
        <f aca="false">IFERROR(S10*$E10, "")</f>
        <v>0</v>
      </c>
      <c r="AG10" s="284" t="n">
        <f aca="false">IFERROR(T10*$E10, "")</f>
        <v>0</v>
      </c>
      <c r="AH10" s="286" t="n">
        <f aca="false">IFERROR(SUMIF($V$4:$AG$4, "RDEC", V10:AG10), "")</f>
        <v>720</v>
      </c>
      <c r="AI10" s="286" t="n">
        <f aca="false">IFERROR(SUMIF($V$4:$AG$4, "SME", V10:AG10), "")</f>
        <v>1680</v>
      </c>
      <c r="AJ10" s="286" t="n">
        <f aca="false">IFERROR(SUMIF($V$4:$AG$4, "De Minimis", V10:AG10), "")</f>
        <v>0</v>
      </c>
      <c r="AK10" s="287"/>
      <c r="AL10" s="288" t="str">
        <f aca="false">IF((SUM(I10:T10)&gt;1),"ERROR","")</f>
        <v/>
      </c>
    </row>
    <row r="11" customFormat="false" ht="15" hidden="false" customHeight="true" outlineLevel="0" collapsed="false">
      <c r="A11" s="355" t="n">
        <v>45352</v>
      </c>
      <c r="B11" s="17" t="s">
        <v>308</v>
      </c>
      <c r="C11" s="17" t="s">
        <v>384</v>
      </c>
      <c r="D11" s="341" t="s">
        <v>385</v>
      </c>
      <c r="E11" s="200" t="n">
        <v>5600</v>
      </c>
      <c r="F11" s="17" t="n">
        <v>7702</v>
      </c>
      <c r="H11" s="350"/>
      <c r="I11" s="282" t="n">
        <v>0.35</v>
      </c>
      <c r="J11" s="282" t="n">
        <v>0.25</v>
      </c>
      <c r="K11" s="282" t="n">
        <v>0.2</v>
      </c>
      <c r="L11" s="282"/>
      <c r="M11" s="282" t="n">
        <v>0.2</v>
      </c>
      <c r="N11" s="282"/>
      <c r="O11" s="282"/>
      <c r="P11" s="282"/>
      <c r="Q11" s="282"/>
      <c r="R11" s="282"/>
      <c r="S11" s="282"/>
      <c r="T11" s="282"/>
      <c r="U11" s="283"/>
      <c r="V11" s="284" t="n">
        <f aca="false">IFERROR(I11*$E11, "")</f>
        <v>1960</v>
      </c>
      <c r="W11" s="284" t="n">
        <f aca="false">IFERROR(J11*$E11, "")</f>
        <v>1400</v>
      </c>
      <c r="X11" s="284" t="n">
        <f aca="false">IFERROR(K11*$E11, "")</f>
        <v>1120</v>
      </c>
      <c r="Y11" s="284" t="n">
        <f aca="false">IFERROR(L11*$E11, "")</f>
        <v>0</v>
      </c>
      <c r="Z11" s="284" t="n">
        <f aca="false">IFERROR(M11*$E11, "")</f>
        <v>1120</v>
      </c>
      <c r="AA11" s="284" t="n">
        <f aca="false">IFERROR(N11*$E11, "")</f>
        <v>0</v>
      </c>
      <c r="AB11" s="284" t="n">
        <f aca="false">IFERROR(O11*$E11, "")</f>
        <v>0</v>
      </c>
      <c r="AC11" s="284" t="n">
        <f aca="false">IFERROR(P11*$E11, "")</f>
        <v>0</v>
      </c>
      <c r="AD11" s="284" t="n">
        <f aca="false">IFERROR(Q11*$E11, "")</f>
        <v>0</v>
      </c>
      <c r="AE11" s="284" t="n">
        <f aca="false">IFERROR(R11*$E11, "")</f>
        <v>0</v>
      </c>
      <c r="AF11" s="284" t="n">
        <f aca="false">IFERROR(S11*$E11, "")</f>
        <v>0</v>
      </c>
      <c r="AG11" s="284" t="n">
        <f aca="false">IFERROR(T11*$E11, "")</f>
        <v>0</v>
      </c>
      <c r="AH11" s="286" t="n">
        <f aca="false">IFERROR(SUMIF($V$4:$AG$4, "RDEC", V11:AG11), "")</f>
        <v>0</v>
      </c>
      <c r="AI11" s="286" t="n">
        <f aca="false">IFERROR(SUMIF($V$4:$AG$4, "SME", V11:AG11), "")</f>
        <v>5600</v>
      </c>
      <c r="AJ11" s="286" t="n">
        <f aca="false">IFERROR(SUMIF($V$4:$AG$4, "De Minimis", V11:AG11), "")</f>
        <v>0</v>
      </c>
      <c r="AK11" s="287"/>
      <c r="AL11" s="288" t="str">
        <f aca="false">IF((SUM(I11:T11)&gt;1),"ERROR","")</f>
        <v/>
      </c>
    </row>
    <row r="12" customFormat="false" ht="15" hidden="false" customHeight="true" outlineLevel="0" collapsed="false">
      <c r="A12" s="355" t="n">
        <v>45383</v>
      </c>
      <c r="B12" s="17" t="s">
        <v>308</v>
      </c>
      <c r="C12" s="17" t="s">
        <v>386</v>
      </c>
      <c r="D12" s="341" t="s">
        <v>387</v>
      </c>
      <c r="E12" s="200" t="n">
        <v>3600</v>
      </c>
      <c r="F12" s="17" t="n">
        <v>7703</v>
      </c>
      <c r="H12" s="350"/>
      <c r="I12" s="282" t="n">
        <v>0.25</v>
      </c>
      <c r="J12" s="282" t="n">
        <v>0.25</v>
      </c>
      <c r="K12" s="282" t="n">
        <v>0.25</v>
      </c>
      <c r="L12" s="282" t="n">
        <v>0.25</v>
      </c>
      <c r="M12" s="282"/>
      <c r="N12" s="282"/>
      <c r="O12" s="282"/>
      <c r="P12" s="282"/>
      <c r="Q12" s="282"/>
      <c r="R12" s="282"/>
      <c r="S12" s="282"/>
      <c r="T12" s="282"/>
      <c r="U12" s="283"/>
      <c r="V12" s="284" t="n">
        <f aca="false">IFERROR(I12*$E12, "")</f>
        <v>900</v>
      </c>
      <c r="W12" s="284" t="n">
        <f aca="false">IFERROR(J12*$E12, "")</f>
        <v>900</v>
      </c>
      <c r="X12" s="284" t="n">
        <f aca="false">IFERROR(K12*$E12, "")</f>
        <v>900</v>
      </c>
      <c r="Y12" s="284" t="n">
        <f aca="false">IFERROR(L12*$E12, "")</f>
        <v>900</v>
      </c>
      <c r="Z12" s="284" t="n">
        <f aca="false">IFERROR(M12*$E12, "")</f>
        <v>0</v>
      </c>
      <c r="AA12" s="284" t="n">
        <f aca="false">IFERROR(N12*$E12, "")</f>
        <v>0</v>
      </c>
      <c r="AB12" s="284" t="n">
        <f aca="false">IFERROR(O12*$E12, "")</f>
        <v>0</v>
      </c>
      <c r="AC12" s="284" t="n">
        <f aca="false">IFERROR(P12*$E12, "")</f>
        <v>0</v>
      </c>
      <c r="AD12" s="284" t="n">
        <f aca="false">IFERROR(Q12*$E12, "")</f>
        <v>0</v>
      </c>
      <c r="AE12" s="284" t="n">
        <f aca="false">IFERROR(R12*$E12, "")</f>
        <v>0</v>
      </c>
      <c r="AF12" s="284" t="n">
        <f aca="false">IFERROR(S12*$E12, "")</f>
        <v>0</v>
      </c>
      <c r="AG12" s="284" t="n">
        <f aca="false">IFERROR(T12*$E12, "")</f>
        <v>0</v>
      </c>
      <c r="AH12" s="286" t="n">
        <f aca="false">IFERROR(SUMIF($V$4:$AG$4, "RDEC", V12:AG12), "")</f>
        <v>900</v>
      </c>
      <c r="AI12" s="286" t="n">
        <f aca="false">IFERROR(SUMIF($V$4:$AG$4, "SME", V12:AG12), "")</f>
        <v>2700</v>
      </c>
      <c r="AJ12" s="286" t="n">
        <f aca="false">IFERROR(SUMIF($V$4:$AG$4, "De Minimis", V12:AG12), "")</f>
        <v>0</v>
      </c>
      <c r="AK12" s="287"/>
      <c r="AL12" s="288" t="str">
        <f aca="false">IF((SUM(I12:T12)&gt;1),"ERROR","")</f>
        <v/>
      </c>
    </row>
    <row r="13" customFormat="false" ht="15" hidden="false" customHeight="true" outlineLevel="0" collapsed="false">
      <c r="A13" s="355" t="n">
        <v>45444</v>
      </c>
      <c r="B13" s="17" t="s">
        <v>308</v>
      </c>
      <c r="C13" s="17" t="s">
        <v>388</v>
      </c>
      <c r="D13" s="341" t="s">
        <v>389</v>
      </c>
      <c r="E13" s="200" t="n">
        <v>6200</v>
      </c>
      <c r="F13" s="17" t="n">
        <v>7702</v>
      </c>
      <c r="H13" s="350"/>
      <c r="I13" s="282" t="n">
        <v>0.3</v>
      </c>
      <c r="J13" s="282" t="n">
        <v>0.25</v>
      </c>
      <c r="K13" s="282" t="n">
        <v>0.25</v>
      </c>
      <c r="L13" s="282"/>
      <c r="M13" s="282" t="n">
        <v>0.2</v>
      </c>
      <c r="N13" s="282"/>
      <c r="O13" s="282"/>
      <c r="P13" s="282"/>
      <c r="Q13" s="282"/>
      <c r="R13" s="282"/>
      <c r="S13" s="282"/>
      <c r="T13" s="282"/>
      <c r="U13" s="283"/>
      <c r="V13" s="284" t="n">
        <f aca="false">IFERROR(I13*$E13, "")</f>
        <v>1860</v>
      </c>
      <c r="W13" s="284" t="n">
        <f aca="false">IFERROR(J13*$E13, "")</f>
        <v>1550</v>
      </c>
      <c r="X13" s="284" t="n">
        <f aca="false">IFERROR(K13*$E13, "")</f>
        <v>1550</v>
      </c>
      <c r="Y13" s="284" t="n">
        <f aca="false">IFERROR(L13*$E13, "")</f>
        <v>0</v>
      </c>
      <c r="Z13" s="284" t="n">
        <f aca="false">IFERROR(M13*$E13, "")</f>
        <v>1240</v>
      </c>
      <c r="AA13" s="284" t="n">
        <f aca="false">IFERROR(N13*$E13, "")</f>
        <v>0</v>
      </c>
      <c r="AB13" s="284" t="n">
        <f aca="false">IFERROR(O13*$E13, "")</f>
        <v>0</v>
      </c>
      <c r="AC13" s="284" t="n">
        <f aca="false">IFERROR(P13*$E13, "")</f>
        <v>0</v>
      </c>
      <c r="AD13" s="284" t="n">
        <f aca="false">IFERROR(Q13*$E13, "")</f>
        <v>0</v>
      </c>
      <c r="AE13" s="284" t="n">
        <f aca="false">IFERROR(R13*$E13, "")</f>
        <v>0</v>
      </c>
      <c r="AF13" s="284" t="n">
        <f aca="false">IFERROR(S13*$E13, "")</f>
        <v>0</v>
      </c>
      <c r="AG13" s="284" t="n">
        <f aca="false">IFERROR(T13*$E13, "")</f>
        <v>0</v>
      </c>
      <c r="AH13" s="286" t="n">
        <f aca="false">IFERROR(SUMIF($V$4:$AG$4, "RDEC", V13:AG13), "")</f>
        <v>0</v>
      </c>
      <c r="AI13" s="286" t="n">
        <f aca="false">IFERROR(SUMIF($V$4:$AG$4, "SME", V13:AG13), "")</f>
        <v>6200</v>
      </c>
      <c r="AJ13" s="286" t="n">
        <f aca="false">IFERROR(SUMIF($V$4:$AG$4, "De Minimis", V13:AG13), "")</f>
        <v>0</v>
      </c>
      <c r="AK13" s="287"/>
      <c r="AL13" s="288" t="str">
        <f aca="false">IF((SUM(I13:T13)&gt;1),"ERROR","")</f>
        <v/>
      </c>
    </row>
    <row r="14" customFormat="false" ht="15" hidden="false" customHeight="true" outlineLevel="0" collapsed="false">
      <c r="A14" s="355" t="n">
        <v>45474</v>
      </c>
      <c r="B14" s="17" t="s">
        <v>308</v>
      </c>
      <c r="C14" s="17" t="s">
        <v>390</v>
      </c>
      <c r="D14" s="341" t="s">
        <v>391</v>
      </c>
      <c r="E14" s="200" t="n">
        <v>1800</v>
      </c>
      <c r="F14" s="17" t="n">
        <v>7704</v>
      </c>
      <c r="H14" s="350"/>
      <c r="I14" s="282" t="n">
        <v>0.4</v>
      </c>
      <c r="J14" s="282" t="n">
        <v>0.3</v>
      </c>
      <c r="K14" s="282"/>
      <c r="L14" s="282" t="n">
        <v>0.3</v>
      </c>
      <c r="M14" s="282"/>
      <c r="N14" s="282"/>
      <c r="O14" s="282"/>
      <c r="P14" s="282"/>
      <c r="Q14" s="282"/>
      <c r="R14" s="282"/>
      <c r="S14" s="282"/>
      <c r="T14" s="282"/>
      <c r="U14" s="283"/>
      <c r="V14" s="284" t="n">
        <f aca="false">IFERROR(I14*$E14, "")</f>
        <v>720</v>
      </c>
      <c r="W14" s="284" t="n">
        <f aca="false">IFERROR(J14*$E14, "")</f>
        <v>540</v>
      </c>
      <c r="X14" s="284" t="n">
        <f aca="false">IFERROR(K14*$E14, "")</f>
        <v>0</v>
      </c>
      <c r="Y14" s="284" t="n">
        <f aca="false">IFERROR(L14*$E14, "")</f>
        <v>540</v>
      </c>
      <c r="Z14" s="284" t="n">
        <f aca="false">IFERROR(M14*$E14, "")</f>
        <v>0</v>
      </c>
      <c r="AA14" s="284" t="n">
        <f aca="false">IFERROR(N14*$E14, "")</f>
        <v>0</v>
      </c>
      <c r="AB14" s="284" t="n">
        <f aca="false">IFERROR(O14*$E14, "")</f>
        <v>0</v>
      </c>
      <c r="AC14" s="284" t="n">
        <f aca="false">IFERROR(P14*$E14, "")</f>
        <v>0</v>
      </c>
      <c r="AD14" s="284" t="n">
        <f aca="false">IFERROR(Q14*$E14, "")</f>
        <v>0</v>
      </c>
      <c r="AE14" s="284" t="n">
        <f aca="false">IFERROR(R14*$E14, "")</f>
        <v>0</v>
      </c>
      <c r="AF14" s="284" t="n">
        <f aca="false">IFERROR(S14*$E14, "")</f>
        <v>0</v>
      </c>
      <c r="AG14" s="284" t="n">
        <f aca="false">IFERROR(T14*$E14, "")</f>
        <v>0</v>
      </c>
      <c r="AH14" s="286" t="n">
        <f aca="false">IFERROR(SUMIF($V$4:$AG$4, "RDEC", V14:AG14), "")</f>
        <v>540</v>
      </c>
      <c r="AI14" s="286" t="n">
        <f aca="false">IFERROR(SUMIF($V$4:$AG$4, "SME", V14:AG14), "")</f>
        <v>1260</v>
      </c>
      <c r="AJ14" s="286" t="n">
        <f aca="false">IFERROR(SUMIF($V$4:$AG$4, "De Minimis", V14:AG14), "")</f>
        <v>0</v>
      </c>
      <c r="AK14" s="287"/>
      <c r="AL14" s="288" t="str">
        <f aca="false">IF((SUM(I14:T14)&gt;1),"ERROR","")</f>
        <v/>
      </c>
    </row>
    <row r="15" customFormat="false" ht="15" hidden="false" customHeight="true" outlineLevel="0" collapsed="false">
      <c r="A15" s="355" t="n">
        <v>45536</v>
      </c>
      <c r="B15" s="17" t="s">
        <v>308</v>
      </c>
      <c r="C15" s="17" t="s">
        <v>392</v>
      </c>
      <c r="D15" s="341" t="s">
        <v>393</v>
      </c>
      <c r="E15" s="200" t="n">
        <v>6800</v>
      </c>
      <c r="F15" s="17" t="n">
        <v>7702</v>
      </c>
      <c r="H15" s="350"/>
      <c r="I15" s="282" t="n">
        <v>0.25</v>
      </c>
      <c r="J15" s="282" t="n">
        <v>0.25</v>
      </c>
      <c r="K15" s="282" t="n">
        <v>0.25</v>
      </c>
      <c r="L15" s="282"/>
      <c r="M15" s="282" t="n">
        <v>0.25</v>
      </c>
      <c r="N15" s="282"/>
      <c r="O15" s="282"/>
      <c r="P15" s="282"/>
      <c r="Q15" s="282"/>
      <c r="R15" s="282"/>
      <c r="S15" s="282"/>
      <c r="T15" s="282"/>
      <c r="U15" s="283"/>
      <c r="V15" s="284" t="n">
        <f aca="false">IFERROR(I15*$E15, "")</f>
        <v>1700</v>
      </c>
      <c r="W15" s="284" t="n">
        <f aca="false">IFERROR(J15*$E15, "")</f>
        <v>1700</v>
      </c>
      <c r="X15" s="284" t="n">
        <f aca="false">IFERROR(K15*$E15, "")</f>
        <v>1700</v>
      </c>
      <c r="Y15" s="284" t="n">
        <f aca="false">IFERROR(L15*$E15, "")</f>
        <v>0</v>
      </c>
      <c r="Z15" s="284" t="n">
        <f aca="false">IFERROR(M15*$E15, "")</f>
        <v>1700</v>
      </c>
      <c r="AA15" s="284" t="n">
        <f aca="false">IFERROR(N15*$E15, "")</f>
        <v>0</v>
      </c>
      <c r="AB15" s="284" t="n">
        <f aca="false">IFERROR(O15*$E15, "")</f>
        <v>0</v>
      </c>
      <c r="AC15" s="284" t="n">
        <f aca="false">IFERROR(P15*$E15, "")</f>
        <v>0</v>
      </c>
      <c r="AD15" s="284" t="n">
        <f aca="false">IFERROR(Q15*$E15, "")</f>
        <v>0</v>
      </c>
      <c r="AE15" s="284" t="n">
        <f aca="false">IFERROR(R15*$E15, "")</f>
        <v>0</v>
      </c>
      <c r="AF15" s="284" t="n">
        <f aca="false">IFERROR(S15*$E15, "")</f>
        <v>0</v>
      </c>
      <c r="AG15" s="284" t="n">
        <f aca="false">IFERROR(T15*$E15, "")</f>
        <v>0</v>
      </c>
      <c r="AH15" s="286" t="n">
        <f aca="false">IFERROR(SUMIF($V$4:$AG$4, "RDEC", V15:AG15), "")</f>
        <v>0</v>
      </c>
      <c r="AI15" s="286" t="n">
        <f aca="false">IFERROR(SUMIF($V$4:$AG$4, "SME", V15:AG15), "")</f>
        <v>6800</v>
      </c>
      <c r="AJ15" s="286" t="n">
        <f aca="false">IFERROR(SUMIF($V$4:$AG$4, "De Minimis", V15:AG15), "")</f>
        <v>0</v>
      </c>
      <c r="AK15" s="287"/>
      <c r="AL15" s="288" t="str">
        <f aca="false">IF((SUM(I15:T15)&gt;1),"ERROR","")</f>
        <v/>
      </c>
    </row>
    <row r="16" customFormat="false" ht="15" hidden="false" customHeight="true" outlineLevel="0" collapsed="false">
      <c r="A16" s="355" t="n">
        <v>45566</v>
      </c>
      <c r="B16" s="17" t="s">
        <v>308</v>
      </c>
      <c r="C16" s="17" t="s">
        <v>394</v>
      </c>
      <c r="D16" s="341" t="s">
        <v>395</v>
      </c>
      <c r="E16" s="200" t="n">
        <v>1440</v>
      </c>
      <c r="F16" s="17" t="n">
        <v>7705</v>
      </c>
      <c r="H16" s="350"/>
      <c r="I16" s="282" t="n">
        <v>0.3</v>
      </c>
      <c r="J16" s="282"/>
      <c r="K16" s="282" t="n">
        <v>0.5</v>
      </c>
      <c r="L16" s="282" t="n">
        <v>0.2</v>
      </c>
      <c r="M16" s="282"/>
      <c r="N16" s="282"/>
      <c r="O16" s="282"/>
      <c r="P16" s="282"/>
      <c r="Q16" s="282"/>
      <c r="R16" s="282"/>
      <c r="S16" s="282"/>
      <c r="T16" s="282"/>
      <c r="U16" s="283"/>
      <c r="V16" s="284" t="n">
        <f aca="false">IFERROR(I16*$E16, "")</f>
        <v>432</v>
      </c>
      <c r="W16" s="284" t="n">
        <f aca="false">IFERROR(J16*$E16, "")</f>
        <v>0</v>
      </c>
      <c r="X16" s="284" t="n">
        <f aca="false">IFERROR(K16*$E16, "")</f>
        <v>720</v>
      </c>
      <c r="Y16" s="284" t="n">
        <f aca="false">IFERROR(L16*$E16, "")</f>
        <v>288</v>
      </c>
      <c r="Z16" s="284" t="n">
        <f aca="false">IFERROR(M16*$E16, "")</f>
        <v>0</v>
      </c>
      <c r="AA16" s="284" t="n">
        <f aca="false">IFERROR(N16*$E16, "")</f>
        <v>0</v>
      </c>
      <c r="AB16" s="284" t="n">
        <f aca="false">IFERROR(O16*$E16, "")</f>
        <v>0</v>
      </c>
      <c r="AC16" s="284" t="n">
        <f aca="false">IFERROR(P16*$E16, "")</f>
        <v>0</v>
      </c>
      <c r="AD16" s="284" t="n">
        <f aca="false">IFERROR(Q16*$E16, "")</f>
        <v>0</v>
      </c>
      <c r="AE16" s="284" t="n">
        <f aca="false">IFERROR(R16*$E16, "")</f>
        <v>0</v>
      </c>
      <c r="AF16" s="284" t="n">
        <f aca="false">IFERROR(S16*$E16, "")</f>
        <v>0</v>
      </c>
      <c r="AG16" s="284" t="n">
        <f aca="false">IFERROR(T16*$E16, "")</f>
        <v>0</v>
      </c>
      <c r="AH16" s="286" t="n">
        <f aca="false">IFERROR(SUMIF($V$4:$AG$4, "RDEC", V16:AG16), "")</f>
        <v>288</v>
      </c>
      <c r="AI16" s="286" t="n">
        <f aca="false">IFERROR(SUMIF($V$4:$AG$4, "SME", V16:AG16), "")</f>
        <v>1152</v>
      </c>
      <c r="AJ16" s="286" t="n">
        <f aca="false">IFERROR(SUMIF($V$4:$AG$4, "De Minimis", V16:AG16), "")</f>
        <v>0</v>
      </c>
      <c r="AK16" s="287"/>
      <c r="AL16" s="288" t="str">
        <f aca="false">IF((SUM(I16:T16)&gt;1),"ERROR","")</f>
        <v/>
      </c>
    </row>
    <row r="17" customFormat="false" ht="15" hidden="false" customHeight="true" outlineLevel="0" collapsed="false">
      <c r="A17" s="355" t="n">
        <v>45627</v>
      </c>
      <c r="B17" s="17" t="s">
        <v>308</v>
      </c>
      <c r="C17" s="17" t="s">
        <v>396</v>
      </c>
      <c r="D17" s="341" t="s">
        <v>397</v>
      </c>
      <c r="E17" s="200" t="n">
        <v>7200</v>
      </c>
      <c r="F17" s="17" t="n">
        <v>7702</v>
      </c>
      <c r="H17" s="350"/>
      <c r="I17" s="282" t="n">
        <v>0.2</v>
      </c>
      <c r="J17" s="282" t="n">
        <v>0.25</v>
      </c>
      <c r="K17" s="282" t="n">
        <v>0.25</v>
      </c>
      <c r="L17" s="282" t="n">
        <v>0.1</v>
      </c>
      <c r="M17" s="282" t="n">
        <v>0.2</v>
      </c>
      <c r="N17" s="282"/>
      <c r="O17" s="282"/>
      <c r="P17" s="282"/>
      <c r="Q17" s="282"/>
      <c r="R17" s="282"/>
      <c r="S17" s="282"/>
      <c r="T17" s="282"/>
      <c r="U17" s="283"/>
      <c r="V17" s="284" t="n">
        <f aca="false">IFERROR(I17*$E17, "")</f>
        <v>1440</v>
      </c>
      <c r="W17" s="284" t="n">
        <f aca="false">IFERROR(J17*$E17, "")</f>
        <v>1800</v>
      </c>
      <c r="X17" s="284" t="n">
        <f aca="false">IFERROR(K17*$E17, "")</f>
        <v>1800</v>
      </c>
      <c r="Y17" s="284" t="n">
        <f aca="false">IFERROR(L17*$E17, "")</f>
        <v>720</v>
      </c>
      <c r="Z17" s="284" t="n">
        <f aca="false">IFERROR(M17*$E17, "")</f>
        <v>1440</v>
      </c>
      <c r="AA17" s="284" t="n">
        <f aca="false">IFERROR(N17*$E17, "")</f>
        <v>0</v>
      </c>
      <c r="AB17" s="284" t="n">
        <f aca="false">IFERROR(O17*$E17, "")</f>
        <v>0</v>
      </c>
      <c r="AC17" s="284" t="n">
        <f aca="false">IFERROR(P17*$E17, "")</f>
        <v>0</v>
      </c>
      <c r="AD17" s="284" t="n">
        <f aca="false">IFERROR(Q17*$E17, "")</f>
        <v>0</v>
      </c>
      <c r="AE17" s="284" t="n">
        <f aca="false">IFERROR(R17*$E17, "")</f>
        <v>0</v>
      </c>
      <c r="AF17" s="284" t="n">
        <f aca="false">IFERROR(S17*$E17, "")</f>
        <v>0</v>
      </c>
      <c r="AG17" s="284" t="n">
        <f aca="false">IFERROR(T17*$E17, "")</f>
        <v>0</v>
      </c>
      <c r="AH17" s="286" t="n">
        <f aca="false">IFERROR(SUMIF($V$4:$AG$4, "RDEC", V17:AG17), "")</f>
        <v>720</v>
      </c>
      <c r="AI17" s="286" t="n">
        <f aca="false">IFERROR(SUMIF($V$4:$AG$4, "SME", V17:AG17), "")</f>
        <v>6480</v>
      </c>
      <c r="AJ17" s="286" t="n">
        <f aca="false">IFERROR(SUMIF($V$4:$AG$4, "De Minimis", V17:AG17), "")</f>
        <v>0</v>
      </c>
      <c r="AK17" s="287"/>
      <c r="AL17" s="288" t="str">
        <f aca="false">IF((SUM(I17:T17)&gt;1),"ERROR","")</f>
        <v/>
      </c>
    </row>
    <row r="18" customFormat="false" ht="15" hidden="false" customHeight="true" outlineLevel="0" collapsed="false">
      <c r="E18" s="200"/>
      <c r="H18" s="350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3"/>
      <c r="V18" s="284" t="n">
        <f aca="false">IFERROR(I18*$E18, "")</f>
        <v>0</v>
      </c>
      <c r="W18" s="284" t="n">
        <f aca="false">IFERROR(J18*$E18, "")</f>
        <v>0</v>
      </c>
      <c r="X18" s="284" t="n">
        <f aca="false">IFERROR(K18*$E18, "")</f>
        <v>0</v>
      </c>
      <c r="Y18" s="284" t="n">
        <f aca="false">IFERROR(L18*$E18, "")</f>
        <v>0</v>
      </c>
      <c r="Z18" s="284" t="n">
        <f aca="false">IFERROR(M18*$E18, "")</f>
        <v>0</v>
      </c>
      <c r="AA18" s="284" t="n">
        <f aca="false">IFERROR(N18*$E18, "")</f>
        <v>0</v>
      </c>
      <c r="AB18" s="284" t="n">
        <f aca="false">IFERROR(O18*$E18, "")</f>
        <v>0</v>
      </c>
      <c r="AC18" s="284" t="n">
        <f aca="false">IFERROR(P18*$E18, "")</f>
        <v>0</v>
      </c>
      <c r="AD18" s="284" t="n">
        <f aca="false">IFERROR(Q18*$E18, "")</f>
        <v>0</v>
      </c>
      <c r="AE18" s="284" t="n">
        <f aca="false">IFERROR(R18*$E18, "")</f>
        <v>0</v>
      </c>
      <c r="AF18" s="284" t="n">
        <f aca="false">IFERROR(S18*$E18, "")</f>
        <v>0</v>
      </c>
      <c r="AG18" s="284" t="n">
        <f aca="false">IFERROR(T18*$E18, "")</f>
        <v>0</v>
      </c>
      <c r="AH18" s="286" t="n">
        <f aca="false">IFERROR(SUMIF($V$4:$AG$4, "RDEC", V18:AG18), "")</f>
        <v>0</v>
      </c>
      <c r="AI18" s="286" t="n">
        <f aca="false">IFERROR(SUMIF($V$4:$AG$4, "SME", V18:AG18), "")</f>
        <v>0</v>
      </c>
      <c r="AJ18" s="286" t="n">
        <f aca="false">IFERROR(SUMIF($V$4:$AG$4, "De Minimis", V18:AG18), "")</f>
        <v>0</v>
      </c>
      <c r="AK18" s="287"/>
      <c r="AL18" s="288" t="str">
        <f aca="false">IF((SUM(I18:T18)&gt;1),"ERROR","")</f>
        <v/>
      </c>
    </row>
    <row r="19" customFormat="false" ht="15" hidden="false" customHeight="true" outlineLevel="0" collapsed="false">
      <c r="E19" s="200"/>
      <c r="H19" s="350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3"/>
      <c r="V19" s="284" t="n">
        <f aca="false">IFERROR(I19*$E19, "")</f>
        <v>0</v>
      </c>
      <c r="W19" s="284" t="n">
        <f aca="false">IFERROR(J19*$E19, "")</f>
        <v>0</v>
      </c>
      <c r="X19" s="284" t="n">
        <f aca="false">IFERROR(K19*$E19, "")</f>
        <v>0</v>
      </c>
      <c r="Y19" s="284" t="n">
        <f aca="false">IFERROR(L19*$E19, "")</f>
        <v>0</v>
      </c>
      <c r="Z19" s="284" t="n">
        <f aca="false">IFERROR(M19*$E19, "")</f>
        <v>0</v>
      </c>
      <c r="AA19" s="284" t="n">
        <f aca="false">IFERROR(N19*$E19, "")</f>
        <v>0</v>
      </c>
      <c r="AB19" s="284" t="n">
        <f aca="false">IFERROR(O19*$E19, "")</f>
        <v>0</v>
      </c>
      <c r="AC19" s="284" t="n">
        <f aca="false">IFERROR(P19*$E19, "")</f>
        <v>0</v>
      </c>
      <c r="AD19" s="284" t="n">
        <f aca="false">IFERROR(Q19*$E19, "")</f>
        <v>0</v>
      </c>
      <c r="AE19" s="284" t="n">
        <f aca="false">IFERROR(R19*$E19, "")</f>
        <v>0</v>
      </c>
      <c r="AF19" s="284" t="n">
        <f aca="false">IFERROR(S19*$E19, "")</f>
        <v>0</v>
      </c>
      <c r="AG19" s="284" t="n">
        <f aca="false">IFERROR(T19*$E19, "")</f>
        <v>0</v>
      </c>
      <c r="AH19" s="286" t="n">
        <f aca="false">IFERROR(SUMIF($V$4:$AG$4, "RDEC", V19:AG19), "")</f>
        <v>0</v>
      </c>
      <c r="AI19" s="286" t="n">
        <f aca="false">IFERROR(SUMIF($V$4:$AG$4, "SME", V19:AG19), "")</f>
        <v>0</v>
      </c>
      <c r="AJ19" s="286" t="n">
        <f aca="false">IFERROR(SUMIF($V$4:$AG$4, "De Minimis", V19:AG19), "")</f>
        <v>0</v>
      </c>
      <c r="AK19" s="303"/>
      <c r="AL19" s="288" t="str">
        <f aca="false">IF((SUM(I19:T19)&gt;1),"ERROR","")</f>
        <v/>
      </c>
    </row>
    <row r="20" customFormat="false" ht="15" hidden="false" customHeight="true" outlineLevel="0" collapsed="false">
      <c r="E20" s="200"/>
      <c r="H20" s="350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3"/>
      <c r="V20" s="284" t="n">
        <f aca="false">IFERROR(I20*$E20, "")</f>
        <v>0</v>
      </c>
      <c r="W20" s="284" t="n">
        <f aca="false">IFERROR(J20*$E20, "")</f>
        <v>0</v>
      </c>
      <c r="X20" s="284" t="n">
        <f aca="false">IFERROR(K20*$E20, "")</f>
        <v>0</v>
      </c>
      <c r="Y20" s="284" t="n">
        <f aca="false">IFERROR(L20*$E20, "")</f>
        <v>0</v>
      </c>
      <c r="Z20" s="284" t="n">
        <f aca="false">IFERROR(M20*$E20, "")</f>
        <v>0</v>
      </c>
      <c r="AA20" s="284" t="n">
        <f aca="false">IFERROR(N20*$E20, "")</f>
        <v>0</v>
      </c>
      <c r="AB20" s="284" t="n">
        <f aca="false">IFERROR(O20*$E20, "")</f>
        <v>0</v>
      </c>
      <c r="AC20" s="284" t="n">
        <f aca="false">IFERROR(P20*$E20, "")</f>
        <v>0</v>
      </c>
      <c r="AD20" s="284" t="n">
        <f aca="false">IFERROR(Q20*$E20, "")</f>
        <v>0</v>
      </c>
      <c r="AE20" s="284" t="n">
        <f aca="false">IFERROR(R20*$E20, "")</f>
        <v>0</v>
      </c>
      <c r="AF20" s="284" t="n">
        <f aca="false">IFERROR(S20*$E20, "")</f>
        <v>0</v>
      </c>
      <c r="AG20" s="284" t="n">
        <f aca="false">IFERROR(T20*$E20, "")</f>
        <v>0</v>
      </c>
      <c r="AH20" s="286" t="n">
        <f aca="false">IFERROR(SUMIF($V$4:$AG$4, "RDEC", V20:AG20), "")</f>
        <v>0</v>
      </c>
      <c r="AI20" s="286" t="n">
        <f aca="false">IFERROR(SUMIF($V$4:$AG$4, "SME", V20:AG20), "")</f>
        <v>0</v>
      </c>
      <c r="AJ20" s="286" t="n">
        <f aca="false">IFERROR(SUMIF($V$4:$AG$4, "De Minimis", V20:AG20), "")</f>
        <v>0</v>
      </c>
      <c r="AK20" s="303"/>
      <c r="AL20" s="288" t="str">
        <f aca="false">IF((SUM(I20:T20)&gt;1),"ERROR","")</f>
        <v/>
      </c>
    </row>
    <row r="21" customFormat="false" ht="15" hidden="false" customHeight="true" outlineLevel="0" collapsed="false">
      <c r="E21" s="200"/>
      <c r="H21" s="350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3"/>
      <c r="V21" s="284" t="n">
        <f aca="false">IFERROR(I21*$E21, "")</f>
        <v>0</v>
      </c>
      <c r="W21" s="284" t="n">
        <f aca="false">IFERROR(J21*$E21, "")</f>
        <v>0</v>
      </c>
      <c r="X21" s="284" t="n">
        <f aca="false">IFERROR(K21*$E21, "")</f>
        <v>0</v>
      </c>
      <c r="Y21" s="284" t="n">
        <f aca="false">IFERROR(L21*$E21, "")</f>
        <v>0</v>
      </c>
      <c r="Z21" s="284" t="n">
        <f aca="false">IFERROR(M21*$E21, "")</f>
        <v>0</v>
      </c>
      <c r="AA21" s="284" t="n">
        <f aca="false">IFERROR(N21*$E21, "")</f>
        <v>0</v>
      </c>
      <c r="AB21" s="284" t="n">
        <f aca="false">IFERROR(O21*$E21, "")</f>
        <v>0</v>
      </c>
      <c r="AC21" s="284" t="n">
        <f aca="false">IFERROR(P21*$E21, "")</f>
        <v>0</v>
      </c>
      <c r="AD21" s="284" t="n">
        <f aca="false">IFERROR(Q21*$E21, "")</f>
        <v>0</v>
      </c>
      <c r="AE21" s="284" t="n">
        <f aca="false">IFERROR(R21*$E21, "")</f>
        <v>0</v>
      </c>
      <c r="AF21" s="284" t="n">
        <f aca="false">IFERROR(S21*$E21, "")</f>
        <v>0</v>
      </c>
      <c r="AG21" s="284" t="n">
        <f aca="false">IFERROR(T21*$E21, "")</f>
        <v>0</v>
      </c>
      <c r="AH21" s="286" t="n">
        <f aca="false">IFERROR(SUMIF($V$4:$AG$4, "RDEC", V21:AG21), "")</f>
        <v>0</v>
      </c>
      <c r="AI21" s="286" t="n">
        <f aca="false">IFERROR(SUMIF($V$4:$AG$4, "SME", V21:AG21), "")</f>
        <v>0</v>
      </c>
      <c r="AJ21" s="286" t="n">
        <f aca="false">IFERROR(SUMIF($V$4:$AG$4, "De Minimis", V21:AG21), "")</f>
        <v>0</v>
      </c>
      <c r="AK21" s="268"/>
      <c r="AL21" s="288" t="str">
        <f aca="false">IF((SUM(I21:T21)&gt;1),"ERROR","")</f>
        <v/>
      </c>
    </row>
    <row r="22" customFormat="false" ht="15" hidden="false" customHeight="true" outlineLevel="0" collapsed="false">
      <c r="E22" s="200"/>
      <c r="H22" s="350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3"/>
      <c r="V22" s="284" t="n">
        <f aca="false">IFERROR(I22*$E22, "")</f>
        <v>0</v>
      </c>
      <c r="W22" s="284" t="n">
        <f aca="false">IFERROR(J22*$E22, "")</f>
        <v>0</v>
      </c>
      <c r="X22" s="284" t="n">
        <f aca="false">IFERROR(K22*$E22, "")</f>
        <v>0</v>
      </c>
      <c r="Y22" s="284" t="n">
        <f aca="false">IFERROR(L22*$E22, "")</f>
        <v>0</v>
      </c>
      <c r="Z22" s="284" t="n">
        <f aca="false">IFERROR(M22*$E22, "")</f>
        <v>0</v>
      </c>
      <c r="AA22" s="284" t="n">
        <f aca="false">IFERROR(N22*$E22, "")</f>
        <v>0</v>
      </c>
      <c r="AB22" s="284" t="n">
        <f aca="false">IFERROR(O22*$E22, "")</f>
        <v>0</v>
      </c>
      <c r="AC22" s="284" t="n">
        <f aca="false">IFERROR(P22*$E22, "")</f>
        <v>0</v>
      </c>
      <c r="AD22" s="284" t="n">
        <f aca="false">IFERROR(Q22*$E22, "")</f>
        <v>0</v>
      </c>
      <c r="AE22" s="284" t="n">
        <f aca="false">IFERROR(R22*$E22, "")</f>
        <v>0</v>
      </c>
      <c r="AF22" s="284" t="n">
        <f aca="false">IFERROR(S22*$E22, "")</f>
        <v>0</v>
      </c>
      <c r="AG22" s="284" t="n">
        <f aca="false">IFERROR(T22*$E22, "")</f>
        <v>0</v>
      </c>
      <c r="AH22" s="286" t="n">
        <f aca="false">IFERROR(SUMIF($V$4:$AG$4, "RDEC", V22:AG22), "")</f>
        <v>0</v>
      </c>
      <c r="AI22" s="286" t="n">
        <f aca="false">IFERROR(SUMIF($V$4:$AG$4, "SME", V22:AG22), "")</f>
        <v>0</v>
      </c>
      <c r="AJ22" s="286" t="n">
        <f aca="false">IFERROR(SUMIF($V$4:$AG$4, "De Minimis", V22:AG22), "")</f>
        <v>0</v>
      </c>
      <c r="AK22" s="287"/>
      <c r="AL22" s="288" t="str">
        <f aca="false">IF((SUM(I22:T22)&gt;1),"ERROR","")</f>
        <v/>
      </c>
    </row>
    <row r="23" customFormat="false" ht="15" hidden="false" customHeight="true" outlineLevel="0" collapsed="false">
      <c r="E23" s="200"/>
      <c r="H23" s="350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3"/>
      <c r="V23" s="284" t="n">
        <f aca="false">IFERROR(I23*$E23, "")</f>
        <v>0</v>
      </c>
      <c r="W23" s="284" t="n">
        <f aca="false">IFERROR(J23*$E23, "")</f>
        <v>0</v>
      </c>
      <c r="X23" s="284" t="n">
        <f aca="false">IFERROR(K23*$E23, "")</f>
        <v>0</v>
      </c>
      <c r="Y23" s="284" t="n">
        <f aca="false">IFERROR(L23*$E23, "")</f>
        <v>0</v>
      </c>
      <c r="Z23" s="284" t="n">
        <f aca="false">IFERROR(M23*$E23, "")</f>
        <v>0</v>
      </c>
      <c r="AA23" s="284" t="n">
        <f aca="false">IFERROR(N23*$E23, "")</f>
        <v>0</v>
      </c>
      <c r="AB23" s="284" t="n">
        <f aca="false">IFERROR(O23*$E23, "")</f>
        <v>0</v>
      </c>
      <c r="AC23" s="284" t="n">
        <f aca="false">IFERROR(P23*$E23, "")</f>
        <v>0</v>
      </c>
      <c r="AD23" s="284" t="n">
        <f aca="false">IFERROR(Q23*$E23, "")</f>
        <v>0</v>
      </c>
      <c r="AE23" s="284" t="n">
        <f aca="false">IFERROR(R23*$E23, "")</f>
        <v>0</v>
      </c>
      <c r="AF23" s="284" t="n">
        <f aca="false">IFERROR(S23*$E23, "")</f>
        <v>0</v>
      </c>
      <c r="AG23" s="284" t="n">
        <f aca="false">IFERROR(T23*$E23, "")</f>
        <v>0</v>
      </c>
      <c r="AH23" s="286" t="n">
        <f aca="false">IFERROR(SUMIF($V$4:$AG$4, "RDEC", V23:AG23), "")</f>
        <v>0</v>
      </c>
      <c r="AI23" s="286" t="n">
        <f aca="false">IFERROR(SUMIF($V$4:$AG$4, "SME", V23:AG23), "")</f>
        <v>0</v>
      </c>
      <c r="AJ23" s="286" t="n">
        <f aca="false">IFERROR(SUMIF($V$4:$AG$4, "De Minimis", V23:AG23), "")</f>
        <v>0</v>
      </c>
      <c r="AK23" s="287"/>
      <c r="AL23" s="288" t="str">
        <f aca="false">IF((SUM(I23:T23)&gt;1),"ERROR","")</f>
        <v/>
      </c>
    </row>
    <row r="24" customFormat="false" ht="15" hidden="false" customHeight="true" outlineLevel="0" collapsed="false">
      <c r="E24" s="200"/>
      <c r="H24" s="350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3"/>
      <c r="V24" s="284" t="n">
        <f aca="false">IFERROR(I24*$E24, "")</f>
        <v>0</v>
      </c>
      <c r="W24" s="284" t="n">
        <f aca="false">IFERROR(J24*$E24, "")</f>
        <v>0</v>
      </c>
      <c r="X24" s="284" t="n">
        <f aca="false">IFERROR(K24*$E24, "")</f>
        <v>0</v>
      </c>
      <c r="Y24" s="284" t="n">
        <f aca="false">IFERROR(L24*$E24, "")</f>
        <v>0</v>
      </c>
      <c r="Z24" s="284" t="n">
        <f aca="false">IFERROR(M24*$E24, "")</f>
        <v>0</v>
      </c>
      <c r="AA24" s="284" t="n">
        <f aca="false">IFERROR(N24*$E24, "")</f>
        <v>0</v>
      </c>
      <c r="AB24" s="284" t="n">
        <f aca="false">IFERROR(O24*$E24, "")</f>
        <v>0</v>
      </c>
      <c r="AC24" s="284" t="n">
        <f aca="false">IFERROR(P24*$E24, "")</f>
        <v>0</v>
      </c>
      <c r="AD24" s="284" t="n">
        <f aca="false">IFERROR(Q24*$E24, "")</f>
        <v>0</v>
      </c>
      <c r="AE24" s="284" t="n">
        <f aca="false">IFERROR(R24*$E24, "")</f>
        <v>0</v>
      </c>
      <c r="AF24" s="284" t="n">
        <f aca="false">IFERROR(S24*$E24, "")</f>
        <v>0</v>
      </c>
      <c r="AG24" s="284" t="n">
        <f aca="false">IFERROR(T24*$E24, "")</f>
        <v>0</v>
      </c>
      <c r="AH24" s="286" t="n">
        <f aca="false">IFERROR(SUMIF($V$4:$AG$4, "RDEC", V24:AG24), "")</f>
        <v>0</v>
      </c>
      <c r="AI24" s="286" t="n">
        <f aca="false">IFERROR(SUMIF($V$4:$AG$4, "SME", V24:AG24), "")</f>
        <v>0</v>
      </c>
      <c r="AJ24" s="286" t="n">
        <f aca="false">IFERROR(SUMIF($V$4:$AG$4, "De Minimis", V24:AG24), "")</f>
        <v>0</v>
      </c>
      <c r="AK24" s="287"/>
      <c r="AL24" s="288" t="str">
        <f aca="false">IF((SUM(I24:T24)&gt;1),"ERROR","")</f>
        <v/>
      </c>
    </row>
    <row r="25" customFormat="false" ht="15" hidden="false" customHeight="true" outlineLevel="0" collapsed="false">
      <c r="E25" s="200"/>
      <c r="H25" s="350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3"/>
      <c r="V25" s="284" t="n">
        <f aca="false">IFERROR(I25*$E25, "")</f>
        <v>0</v>
      </c>
      <c r="W25" s="284" t="n">
        <f aca="false">IFERROR(J25*$E25, "")</f>
        <v>0</v>
      </c>
      <c r="X25" s="284" t="n">
        <f aca="false">IFERROR(K25*$E25, "")</f>
        <v>0</v>
      </c>
      <c r="Y25" s="284" t="n">
        <f aca="false">IFERROR(L25*$E25, "")</f>
        <v>0</v>
      </c>
      <c r="Z25" s="284" t="n">
        <f aca="false">IFERROR(M25*$E25, "")</f>
        <v>0</v>
      </c>
      <c r="AA25" s="284" t="n">
        <f aca="false">IFERROR(N25*$E25, "")</f>
        <v>0</v>
      </c>
      <c r="AB25" s="284" t="n">
        <f aca="false">IFERROR(O25*$E25, "")</f>
        <v>0</v>
      </c>
      <c r="AC25" s="284" t="n">
        <f aca="false">IFERROR(P25*$E25, "")</f>
        <v>0</v>
      </c>
      <c r="AD25" s="284" t="n">
        <f aca="false">IFERROR(Q25*$E25, "")</f>
        <v>0</v>
      </c>
      <c r="AE25" s="284" t="n">
        <f aca="false">IFERROR(R25*$E25, "")</f>
        <v>0</v>
      </c>
      <c r="AF25" s="284" t="n">
        <f aca="false">IFERROR(S25*$E25, "")</f>
        <v>0</v>
      </c>
      <c r="AG25" s="284" t="n">
        <f aca="false">IFERROR(T25*$E25, "")</f>
        <v>0</v>
      </c>
      <c r="AH25" s="286" t="n">
        <f aca="false">IFERROR(SUMIF($V$4:$AG$4, "RDEC", V25:AG25), "")</f>
        <v>0</v>
      </c>
      <c r="AI25" s="286" t="n">
        <f aca="false">IFERROR(SUMIF($V$4:$AG$4, "SME", V25:AG25), "")</f>
        <v>0</v>
      </c>
      <c r="AJ25" s="286" t="n">
        <f aca="false">IFERROR(SUMIF($V$4:$AG$4, "De Minimis", V25:AG25), "")</f>
        <v>0</v>
      </c>
      <c r="AK25" s="287"/>
      <c r="AL25" s="288" t="str">
        <f aca="false">IF((SUM(I25:T25)&gt;1),"ERROR","")</f>
        <v/>
      </c>
    </row>
    <row r="26" customFormat="false" ht="15" hidden="false" customHeight="true" outlineLevel="0" collapsed="false">
      <c r="E26" s="200"/>
      <c r="H26" s="350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3"/>
      <c r="V26" s="284" t="n">
        <f aca="false">IFERROR(I26*$E26, "")</f>
        <v>0</v>
      </c>
      <c r="W26" s="284" t="n">
        <f aca="false">IFERROR(J26*$E26, "")</f>
        <v>0</v>
      </c>
      <c r="X26" s="284" t="n">
        <f aca="false">IFERROR(K26*$E26, "")</f>
        <v>0</v>
      </c>
      <c r="Y26" s="284" t="n">
        <f aca="false">IFERROR(L26*$E26, "")</f>
        <v>0</v>
      </c>
      <c r="Z26" s="284" t="n">
        <f aca="false">IFERROR(M26*$E26, "")</f>
        <v>0</v>
      </c>
      <c r="AA26" s="284" t="n">
        <f aca="false">IFERROR(N26*$E26, "")</f>
        <v>0</v>
      </c>
      <c r="AB26" s="284" t="n">
        <f aca="false">IFERROR(O26*$E26, "")</f>
        <v>0</v>
      </c>
      <c r="AC26" s="284" t="n">
        <f aca="false">IFERROR(P26*$E26, "")</f>
        <v>0</v>
      </c>
      <c r="AD26" s="284" t="n">
        <f aca="false">IFERROR(Q26*$E26, "")</f>
        <v>0</v>
      </c>
      <c r="AE26" s="284" t="n">
        <f aca="false">IFERROR(R26*$E26, "")</f>
        <v>0</v>
      </c>
      <c r="AF26" s="284" t="n">
        <f aca="false">IFERROR(S26*$E26, "")</f>
        <v>0</v>
      </c>
      <c r="AG26" s="284" t="n">
        <f aca="false">IFERROR(T26*$E26, "")</f>
        <v>0</v>
      </c>
      <c r="AH26" s="286" t="n">
        <f aca="false">IFERROR(SUMIF($V$4:$AG$4, "RDEC", V26:AG26), "")</f>
        <v>0</v>
      </c>
      <c r="AI26" s="286" t="n">
        <f aca="false">IFERROR(SUMIF($V$4:$AG$4, "SME", V26:AG26), "")</f>
        <v>0</v>
      </c>
      <c r="AJ26" s="286" t="n">
        <f aca="false">IFERROR(SUMIF($V$4:$AG$4, "De Minimis", V26:AG26), "")</f>
        <v>0</v>
      </c>
      <c r="AK26" s="287"/>
      <c r="AL26" s="288" t="str">
        <f aca="false">IF((SUM(I26:T26)&gt;1),"ERROR","")</f>
        <v/>
      </c>
    </row>
    <row r="27" customFormat="false" ht="15" hidden="false" customHeight="true" outlineLevel="0" collapsed="false">
      <c r="E27" s="200"/>
      <c r="H27" s="350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3"/>
      <c r="V27" s="284" t="n">
        <f aca="false">IFERROR(I27*$E27, "")</f>
        <v>0</v>
      </c>
      <c r="W27" s="284" t="n">
        <f aca="false">IFERROR(J27*$E27, "")</f>
        <v>0</v>
      </c>
      <c r="X27" s="284" t="n">
        <f aca="false">IFERROR(K27*$E27, "")</f>
        <v>0</v>
      </c>
      <c r="Y27" s="284" t="n">
        <f aca="false">IFERROR(L27*$E27, "")</f>
        <v>0</v>
      </c>
      <c r="Z27" s="284" t="n">
        <f aca="false">IFERROR(M27*$E27, "")</f>
        <v>0</v>
      </c>
      <c r="AA27" s="284" t="n">
        <f aca="false">IFERROR(N27*$E27, "")</f>
        <v>0</v>
      </c>
      <c r="AB27" s="284" t="n">
        <f aca="false">IFERROR(O27*$E27, "")</f>
        <v>0</v>
      </c>
      <c r="AC27" s="284" t="n">
        <f aca="false">IFERROR(P27*$E27, "")</f>
        <v>0</v>
      </c>
      <c r="AD27" s="284" t="n">
        <f aca="false">IFERROR(Q27*$E27, "")</f>
        <v>0</v>
      </c>
      <c r="AE27" s="284" t="n">
        <f aca="false">IFERROR(R27*$E27, "")</f>
        <v>0</v>
      </c>
      <c r="AF27" s="284" t="n">
        <f aca="false">IFERROR(S27*$E27, "")</f>
        <v>0</v>
      </c>
      <c r="AG27" s="284" t="n">
        <f aca="false">IFERROR(T27*$E27, "")</f>
        <v>0</v>
      </c>
      <c r="AH27" s="286" t="n">
        <f aca="false">IFERROR(SUMIF($V$4:$AG$4, "RDEC", V27:AG27), "")</f>
        <v>0</v>
      </c>
      <c r="AI27" s="286" t="n">
        <f aca="false">IFERROR(SUMIF($V$4:$AG$4, "SME", V27:AG27), "")</f>
        <v>0</v>
      </c>
      <c r="AJ27" s="286" t="n">
        <f aca="false">IFERROR(SUMIF($V$4:$AG$4, "De Minimis", V27:AG27), "")</f>
        <v>0</v>
      </c>
      <c r="AK27" s="287"/>
      <c r="AL27" s="288" t="str">
        <f aca="false">IF((SUM(I27:T27)&gt;1),"ERROR","")</f>
        <v/>
      </c>
    </row>
    <row r="28" customFormat="false" ht="15" hidden="false" customHeight="true" outlineLevel="0" collapsed="false">
      <c r="E28" s="200"/>
      <c r="H28" s="350"/>
      <c r="I28" s="282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3"/>
      <c r="V28" s="284" t="n">
        <f aca="false">IFERROR(I28*$E28, "")</f>
        <v>0</v>
      </c>
      <c r="W28" s="284" t="n">
        <f aca="false">IFERROR(J28*$E28, "")</f>
        <v>0</v>
      </c>
      <c r="X28" s="284" t="n">
        <f aca="false">IFERROR(K28*$E28, "")</f>
        <v>0</v>
      </c>
      <c r="Y28" s="284" t="n">
        <f aca="false">IFERROR(L28*$E28, "")</f>
        <v>0</v>
      </c>
      <c r="Z28" s="284" t="n">
        <f aca="false">IFERROR(M28*$E28, "")</f>
        <v>0</v>
      </c>
      <c r="AA28" s="284" t="n">
        <f aca="false">IFERROR(N28*$E28, "")</f>
        <v>0</v>
      </c>
      <c r="AB28" s="284" t="n">
        <f aca="false">IFERROR(O28*$E28, "")</f>
        <v>0</v>
      </c>
      <c r="AC28" s="284" t="n">
        <f aca="false">IFERROR(P28*$E28, "")</f>
        <v>0</v>
      </c>
      <c r="AD28" s="284" t="n">
        <f aca="false">IFERROR(Q28*$E28, "")</f>
        <v>0</v>
      </c>
      <c r="AE28" s="284" t="n">
        <f aca="false">IFERROR(R28*$E28, "")</f>
        <v>0</v>
      </c>
      <c r="AF28" s="284" t="n">
        <f aca="false">IFERROR(S28*$E28, "")</f>
        <v>0</v>
      </c>
      <c r="AG28" s="284" t="n">
        <f aca="false">IFERROR(T28*$E28, "")</f>
        <v>0</v>
      </c>
      <c r="AH28" s="286" t="n">
        <f aca="false">IFERROR(SUMIF($V$4:$AG$4, "RDEC", V28:AG28), "")</f>
        <v>0</v>
      </c>
      <c r="AI28" s="286" t="n">
        <f aca="false">IFERROR(SUMIF($V$4:$AG$4, "SME", V28:AG28), "")</f>
        <v>0</v>
      </c>
      <c r="AJ28" s="286" t="n">
        <f aca="false">IFERROR(SUMIF($V$4:$AG$4, "De Minimis", V28:AG28), "")</f>
        <v>0</v>
      </c>
      <c r="AK28" s="287"/>
      <c r="AL28" s="288" t="str">
        <f aca="false">IF((SUM(I28:T28)&gt;1),"ERROR","")</f>
        <v/>
      </c>
    </row>
    <row r="29" customFormat="false" ht="15" hidden="false" customHeight="true" outlineLevel="0" collapsed="false">
      <c r="E29" s="200"/>
      <c r="H29" s="350"/>
      <c r="I29" s="282"/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3"/>
      <c r="V29" s="284" t="n">
        <f aca="false">IFERROR(I29*$E29, "")</f>
        <v>0</v>
      </c>
      <c r="W29" s="284" t="n">
        <f aca="false">IFERROR(J29*$E29, "")</f>
        <v>0</v>
      </c>
      <c r="X29" s="284" t="n">
        <f aca="false">IFERROR(K29*$E29, "")</f>
        <v>0</v>
      </c>
      <c r="Y29" s="284" t="n">
        <f aca="false">IFERROR(L29*$E29, "")</f>
        <v>0</v>
      </c>
      <c r="Z29" s="284" t="n">
        <f aca="false">IFERROR(M29*$E29, "")</f>
        <v>0</v>
      </c>
      <c r="AA29" s="284" t="n">
        <f aca="false">IFERROR(N29*$E29, "")</f>
        <v>0</v>
      </c>
      <c r="AB29" s="284" t="n">
        <f aca="false">IFERROR(O29*$E29, "")</f>
        <v>0</v>
      </c>
      <c r="AC29" s="284" t="n">
        <f aca="false">IFERROR(P29*$E29, "")</f>
        <v>0</v>
      </c>
      <c r="AD29" s="284" t="n">
        <f aca="false">IFERROR(Q29*$E29, "")</f>
        <v>0</v>
      </c>
      <c r="AE29" s="284" t="n">
        <f aca="false">IFERROR(R29*$E29, "")</f>
        <v>0</v>
      </c>
      <c r="AF29" s="284" t="n">
        <f aca="false">IFERROR(S29*$E29, "")</f>
        <v>0</v>
      </c>
      <c r="AG29" s="284" t="n">
        <f aca="false">IFERROR(T29*$E29, "")</f>
        <v>0</v>
      </c>
      <c r="AH29" s="286" t="n">
        <f aca="false">IFERROR(SUMIF($V$4:$AG$4, "RDEC", V29:AG29), "")</f>
        <v>0</v>
      </c>
      <c r="AI29" s="286" t="n">
        <f aca="false">IFERROR(SUMIF($V$4:$AG$4, "SME", V29:AG29), "")</f>
        <v>0</v>
      </c>
      <c r="AJ29" s="286" t="n">
        <f aca="false">IFERROR(SUMIF($V$4:$AG$4, "De Minimis", V29:AG29), "")</f>
        <v>0</v>
      </c>
      <c r="AK29" s="287"/>
      <c r="AL29" s="288" t="str">
        <f aca="false">IF((SUM(I29:T29)&gt;1),"ERROR","")</f>
        <v/>
      </c>
    </row>
    <row r="30" customFormat="false" ht="15" hidden="false" customHeight="true" outlineLevel="0" collapsed="false">
      <c r="E30" s="200"/>
      <c r="H30" s="350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3"/>
      <c r="V30" s="284" t="n">
        <f aca="false">IFERROR(I30*$E30, "")</f>
        <v>0</v>
      </c>
      <c r="W30" s="284" t="n">
        <f aca="false">IFERROR(J30*$E30, "")</f>
        <v>0</v>
      </c>
      <c r="X30" s="284" t="n">
        <f aca="false">IFERROR(K30*$E30, "")</f>
        <v>0</v>
      </c>
      <c r="Y30" s="284" t="n">
        <f aca="false">IFERROR(L30*$E30, "")</f>
        <v>0</v>
      </c>
      <c r="Z30" s="284" t="n">
        <f aca="false">IFERROR(M30*$E30, "")</f>
        <v>0</v>
      </c>
      <c r="AA30" s="284" t="n">
        <f aca="false">IFERROR(N30*$E30, "")</f>
        <v>0</v>
      </c>
      <c r="AB30" s="284" t="n">
        <f aca="false">IFERROR(O30*$E30, "")</f>
        <v>0</v>
      </c>
      <c r="AC30" s="284" t="n">
        <f aca="false">IFERROR(P30*$E30, "")</f>
        <v>0</v>
      </c>
      <c r="AD30" s="284" t="n">
        <f aca="false">IFERROR(Q30*$E30, "")</f>
        <v>0</v>
      </c>
      <c r="AE30" s="284" t="n">
        <f aca="false">IFERROR(R30*$E30, "")</f>
        <v>0</v>
      </c>
      <c r="AF30" s="284" t="n">
        <f aca="false">IFERROR(S30*$E30, "")</f>
        <v>0</v>
      </c>
      <c r="AG30" s="284" t="n">
        <f aca="false">IFERROR(T30*$E30, "")</f>
        <v>0</v>
      </c>
      <c r="AH30" s="286" t="n">
        <f aca="false">IFERROR(SUMIF($V$4:$AG$4, "RDEC", V30:AG30), "")</f>
        <v>0</v>
      </c>
      <c r="AI30" s="286" t="n">
        <f aca="false">IFERROR(SUMIF($V$4:$AG$4, "SME", V30:AG30), "")</f>
        <v>0</v>
      </c>
      <c r="AJ30" s="286" t="n">
        <f aca="false">IFERROR(SUMIF($V$4:$AG$4, "De Minimis", V30:AG30), "")</f>
        <v>0</v>
      </c>
      <c r="AK30" s="287"/>
      <c r="AL30" s="288" t="str">
        <f aca="false">IF((SUM(I30:T30)&gt;1),"ERROR","")</f>
        <v/>
      </c>
    </row>
    <row r="31" customFormat="false" ht="15" hidden="false" customHeight="true" outlineLevel="0" collapsed="false">
      <c r="E31" s="200"/>
      <c r="H31" s="350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3"/>
      <c r="V31" s="284" t="n">
        <f aca="false">IFERROR(I31*$E31, "")</f>
        <v>0</v>
      </c>
      <c r="W31" s="284" t="n">
        <f aca="false">IFERROR(J31*$E31, "")</f>
        <v>0</v>
      </c>
      <c r="X31" s="284" t="n">
        <f aca="false">IFERROR(K31*$E31, "")</f>
        <v>0</v>
      </c>
      <c r="Y31" s="284" t="n">
        <f aca="false">IFERROR(L31*$E31, "")</f>
        <v>0</v>
      </c>
      <c r="Z31" s="284" t="n">
        <f aca="false">IFERROR(M31*$E31, "")</f>
        <v>0</v>
      </c>
      <c r="AA31" s="284" t="n">
        <f aca="false">IFERROR(N31*$E31, "")</f>
        <v>0</v>
      </c>
      <c r="AB31" s="284" t="n">
        <f aca="false">IFERROR(O31*$E31, "")</f>
        <v>0</v>
      </c>
      <c r="AC31" s="284" t="n">
        <f aca="false">IFERROR(P31*$E31, "")</f>
        <v>0</v>
      </c>
      <c r="AD31" s="284" t="n">
        <f aca="false">IFERROR(Q31*$E31, "")</f>
        <v>0</v>
      </c>
      <c r="AE31" s="284" t="n">
        <f aca="false">IFERROR(R31*$E31, "")</f>
        <v>0</v>
      </c>
      <c r="AF31" s="284" t="n">
        <f aca="false">IFERROR(S31*$E31, "")</f>
        <v>0</v>
      </c>
      <c r="AG31" s="284" t="n">
        <f aca="false">IFERROR(T31*$E31, "")</f>
        <v>0</v>
      </c>
      <c r="AH31" s="286" t="n">
        <f aca="false">IFERROR(SUMIF($V$4:$AG$4, "RDEC", V31:AG31), "")</f>
        <v>0</v>
      </c>
      <c r="AI31" s="286" t="n">
        <f aca="false">IFERROR(SUMIF($V$4:$AG$4, "SME", V31:AG31), "")</f>
        <v>0</v>
      </c>
      <c r="AJ31" s="286" t="n">
        <f aca="false">IFERROR(SUMIF($V$4:$AG$4, "De Minimis", V31:AG31), "")</f>
        <v>0</v>
      </c>
      <c r="AK31" s="287"/>
      <c r="AL31" s="288" t="str">
        <f aca="false">IF((SUM(I31:T31)&gt;1),"ERROR","")</f>
        <v/>
      </c>
    </row>
    <row r="32" customFormat="false" ht="15" hidden="false" customHeight="true" outlineLevel="0" collapsed="false">
      <c r="E32" s="200"/>
      <c r="H32" s="350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3"/>
      <c r="V32" s="284" t="n">
        <f aca="false">IFERROR(I32*$E32, "")</f>
        <v>0</v>
      </c>
      <c r="W32" s="284" t="n">
        <f aca="false">IFERROR(J32*$E32, "")</f>
        <v>0</v>
      </c>
      <c r="X32" s="284" t="n">
        <f aca="false">IFERROR(K32*$E32, "")</f>
        <v>0</v>
      </c>
      <c r="Y32" s="284" t="n">
        <f aca="false">IFERROR(L32*$E32, "")</f>
        <v>0</v>
      </c>
      <c r="Z32" s="284" t="n">
        <f aca="false">IFERROR(M32*$E32, "")</f>
        <v>0</v>
      </c>
      <c r="AA32" s="284" t="n">
        <f aca="false">IFERROR(N32*$E32, "")</f>
        <v>0</v>
      </c>
      <c r="AB32" s="284" t="n">
        <f aca="false">IFERROR(O32*$E32, "")</f>
        <v>0</v>
      </c>
      <c r="AC32" s="284" t="n">
        <f aca="false">IFERROR(P32*$E32, "")</f>
        <v>0</v>
      </c>
      <c r="AD32" s="284" t="n">
        <f aca="false">IFERROR(Q32*$E32, "")</f>
        <v>0</v>
      </c>
      <c r="AE32" s="284" t="n">
        <f aca="false">IFERROR(R32*$E32, "")</f>
        <v>0</v>
      </c>
      <c r="AF32" s="284" t="n">
        <f aca="false">IFERROR(S32*$E32, "")</f>
        <v>0</v>
      </c>
      <c r="AG32" s="284" t="n">
        <f aca="false">IFERROR(T32*$E32, "")</f>
        <v>0</v>
      </c>
      <c r="AH32" s="286" t="n">
        <f aca="false">IFERROR(SUMIF($V$4:$AG$4, "RDEC", V32:AG32), "")</f>
        <v>0</v>
      </c>
      <c r="AI32" s="286" t="n">
        <f aca="false">IFERROR(SUMIF($V$4:$AG$4, "SME", V32:AG32), "")</f>
        <v>0</v>
      </c>
      <c r="AJ32" s="286" t="n">
        <f aca="false">IFERROR(SUMIF($V$4:$AG$4, "De Minimis", V32:AG32), "")</f>
        <v>0</v>
      </c>
      <c r="AK32" s="287"/>
      <c r="AL32" s="288" t="str">
        <f aca="false">IF((SUM(I32:T32)&gt;1),"ERROR","")</f>
        <v/>
      </c>
    </row>
    <row r="33" customFormat="false" ht="15" hidden="false" customHeight="true" outlineLevel="0" collapsed="false">
      <c r="E33" s="200"/>
      <c r="H33" s="350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3"/>
      <c r="V33" s="284" t="n">
        <f aca="false">IFERROR(I33*$E33, "")</f>
        <v>0</v>
      </c>
      <c r="W33" s="284" t="n">
        <f aca="false">IFERROR(J33*$E33, "")</f>
        <v>0</v>
      </c>
      <c r="X33" s="284" t="n">
        <f aca="false">IFERROR(K33*$E33, "")</f>
        <v>0</v>
      </c>
      <c r="Y33" s="284" t="n">
        <f aca="false">IFERROR(L33*$E33, "")</f>
        <v>0</v>
      </c>
      <c r="Z33" s="284" t="n">
        <f aca="false">IFERROR(M33*$E33, "")</f>
        <v>0</v>
      </c>
      <c r="AA33" s="284" t="n">
        <f aca="false">IFERROR(N33*$E33, "")</f>
        <v>0</v>
      </c>
      <c r="AB33" s="284" t="n">
        <f aca="false">IFERROR(O33*$E33, "")</f>
        <v>0</v>
      </c>
      <c r="AC33" s="284" t="n">
        <f aca="false">IFERROR(P33*$E33, "")</f>
        <v>0</v>
      </c>
      <c r="AD33" s="284" t="n">
        <f aca="false">IFERROR(Q33*$E33, "")</f>
        <v>0</v>
      </c>
      <c r="AE33" s="284" t="n">
        <f aca="false">IFERROR(R33*$E33, "")</f>
        <v>0</v>
      </c>
      <c r="AF33" s="284" t="n">
        <f aca="false">IFERROR(S33*$E33, "")</f>
        <v>0</v>
      </c>
      <c r="AG33" s="284" t="n">
        <f aca="false">IFERROR(T33*$E33, "")</f>
        <v>0</v>
      </c>
      <c r="AH33" s="286" t="n">
        <f aca="false">IFERROR(SUMIF($V$4:$AG$4, "RDEC", V33:AG33), "")</f>
        <v>0</v>
      </c>
      <c r="AI33" s="286" t="n">
        <f aca="false">IFERROR(SUMIF($V$4:$AG$4, "SME", V33:AG33), "")</f>
        <v>0</v>
      </c>
      <c r="AJ33" s="286" t="n">
        <f aca="false">IFERROR(SUMIF($V$4:$AG$4, "De Minimis", V33:AG33), "")</f>
        <v>0</v>
      </c>
      <c r="AK33" s="287"/>
      <c r="AL33" s="288" t="str">
        <f aca="false">IF((SUM(I33:T33)&gt;1),"ERROR","")</f>
        <v/>
      </c>
    </row>
    <row r="34" customFormat="false" ht="15" hidden="false" customHeight="true" outlineLevel="0" collapsed="false">
      <c r="E34" s="200"/>
      <c r="H34" s="350"/>
      <c r="I34" s="282"/>
      <c r="J34" s="282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3"/>
      <c r="V34" s="284" t="n">
        <f aca="false">IFERROR(I34*$E34, "")</f>
        <v>0</v>
      </c>
      <c r="W34" s="284" t="n">
        <f aca="false">IFERROR(J34*$E34, "")</f>
        <v>0</v>
      </c>
      <c r="X34" s="284" t="n">
        <f aca="false">IFERROR(K34*$E34, "")</f>
        <v>0</v>
      </c>
      <c r="Y34" s="284" t="n">
        <f aca="false">IFERROR(L34*$E34, "")</f>
        <v>0</v>
      </c>
      <c r="Z34" s="284" t="n">
        <f aca="false">IFERROR(M34*$E34, "")</f>
        <v>0</v>
      </c>
      <c r="AA34" s="284" t="n">
        <f aca="false">IFERROR(N34*$E34, "")</f>
        <v>0</v>
      </c>
      <c r="AB34" s="284" t="n">
        <f aca="false">IFERROR(O34*$E34, "")</f>
        <v>0</v>
      </c>
      <c r="AC34" s="284" t="n">
        <f aca="false">IFERROR(P34*$E34, "")</f>
        <v>0</v>
      </c>
      <c r="AD34" s="284" t="n">
        <f aca="false">IFERROR(Q34*$E34, "")</f>
        <v>0</v>
      </c>
      <c r="AE34" s="284" t="n">
        <f aca="false">IFERROR(R34*$E34, "")</f>
        <v>0</v>
      </c>
      <c r="AF34" s="284" t="n">
        <f aca="false">IFERROR(S34*$E34, "")</f>
        <v>0</v>
      </c>
      <c r="AG34" s="284" t="n">
        <f aca="false">IFERROR(T34*$E34, "")</f>
        <v>0</v>
      </c>
      <c r="AH34" s="286" t="n">
        <f aca="false">IFERROR(SUMIF($V$4:$AG$4, "RDEC", V34:AG34), "")</f>
        <v>0</v>
      </c>
      <c r="AI34" s="286" t="n">
        <f aca="false">IFERROR(SUMIF($V$4:$AG$4, "SME", V34:AG34), "")</f>
        <v>0</v>
      </c>
      <c r="AJ34" s="286" t="n">
        <f aca="false">IFERROR(SUMIF($V$4:$AG$4, "De Minimis", V34:AG34), "")</f>
        <v>0</v>
      </c>
      <c r="AK34" s="303"/>
      <c r="AL34" s="288" t="str">
        <f aca="false">IF((SUM(I34:T34)&gt;1),"ERROR","")</f>
        <v/>
      </c>
    </row>
    <row r="35" customFormat="false" ht="15" hidden="false" customHeight="true" outlineLevel="0" collapsed="false">
      <c r="E35" s="200"/>
      <c r="H35" s="350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3"/>
      <c r="V35" s="284" t="n">
        <f aca="false">IFERROR(I35*$E35, "")</f>
        <v>0</v>
      </c>
      <c r="W35" s="284" t="n">
        <f aca="false">IFERROR(J35*$E35, "")</f>
        <v>0</v>
      </c>
      <c r="X35" s="284" t="n">
        <f aca="false">IFERROR(K35*$E35, "")</f>
        <v>0</v>
      </c>
      <c r="Y35" s="284" t="n">
        <f aca="false">IFERROR(L35*$E35, "")</f>
        <v>0</v>
      </c>
      <c r="Z35" s="284" t="n">
        <f aca="false">IFERROR(M35*$E35, "")</f>
        <v>0</v>
      </c>
      <c r="AA35" s="284" t="n">
        <f aca="false">IFERROR(N35*$E35, "")</f>
        <v>0</v>
      </c>
      <c r="AB35" s="284" t="n">
        <f aca="false">IFERROR(O35*$E35, "")</f>
        <v>0</v>
      </c>
      <c r="AC35" s="284" t="n">
        <f aca="false">IFERROR(P35*$E35, "")</f>
        <v>0</v>
      </c>
      <c r="AD35" s="284" t="n">
        <f aca="false">IFERROR(Q35*$E35, "")</f>
        <v>0</v>
      </c>
      <c r="AE35" s="284" t="n">
        <f aca="false">IFERROR(R35*$E35, "")</f>
        <v>0</v>
      </c>
      <c r="AF35" s="284" t="n">
        <f aca="false">IFERROR(S35*$E35, "")</f>
        <v>0</v>
      </c>
      <c r="AG35" s="284" t="n">
        <f aca="false">IFERROR(T35*$E35, "")</f>
        <v>0</v>
      </c>
      <c r="AH35" s="286" t="n">
        <f aca="false">IFERROR(SUMIF($V$4:$AG$4, "RDEC", V35:AG35), "")</f>
        <v>0</v>
      </c>
      <c r="AI35" s="286" t="n">
        <f aca="false">IFERROR(SUMIF($V$4:$AG$4, "SME", V35:AG35), "")</f>
        <v>0</v>
      </c>
      <c r="AJ35" s="286" t="n">
        <f aca="false">IFERROR(SUMIF($V$4:$AG$4, "De Minimis", V35:AG35), "")</f>
        <v>0</v>
      </c>
      <c r="AK35" s="303"/>
      <c r="AL35" s="288" t="str">
        <f aca="false">IF((SUM(I35:T35)&gt;1),"ERROR","")</f>
        <v/>
      </c>
    </row>
    <row r="36" customFormat="false" ht="15" hidden="false" customHeight="true" outlineLevel="0" collapsed="false">
      <c r="E36" s="200"/>
      <c r="H36" s="350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3"/>
      <c r="V36" s="284" t="n">
        <f aca="false">IFERROR(I36*$E36, "")</f>
        <v>0</v>
      </c>
      <c r="W36" s="284" t="n">
        <f aca="false">IFERROR(J36*$E36, "")</f>
        <v>0</v>
      </c>
      <c r="X36" s="284" t="n">
        <f aca="false">IFERROR(K36*$E36, "")</f>
        <v>0</v>
      </c>
      <c r="Y36" s="284" t="n">
        <f aca="false">IFERROR(L36*$E36, "")</f>
        <v>0</v>
      </c>
      <c r="Z36" s="284" t="n">
        <f aca="false">IFERROR(M36*$E36, "")</f>
        <v>0</v>
      </c>
      <c r="AA36" s="284" t="n">
        <f aca="false">IFERROR(N36*$E36, "")</f>
        <v>0</v>
      </c>
      <c r="AB36" s="284" t="n">
        <f aca="false">IFERROR(O36*$E36, "")</f>
        <v>0</v>
      </c>
      <c r="AC36" s="284" t="n">
        <f aca="false">IFERROR(P36*$E36, "")</f>
        <v>0</v>
      </c>
      <c r="AD36" s="284" t="n">
        <f aca="false">IFERROR(Q36*$E36, "")</f>
        <v>0</v>
      </c>
      <c r="AE36" s="284" t="n">
        <f aca="false">IFERROR(R36*$E36, "")</f>
        <v>0</v>
      </c>
      <c r="AF36" s="284" t="n">
        <f aca="false">IFERROR(S36*$E36, "")</f>
        <v>0</v>
      </c>
      <c r="AG36" s="284" t="n">
        <f aca="false">IFERROR(T36*$E36, "")</f>
        <v>0</v>
      </c>
      <c r="AH36" s="286" t="n">
        <f aca="false">IFERROR(SUMIF($V$4:$AG$4, "RDEC", V36:AG36), "")</f>
        <v>0</v>
      </c>
      <c r="AI36" s="286" t="n">
        <f aca="false">IFERROR(SUMIF($V$4:$AG$4, "SME", V36:AG36), "")</f>
        <v>0</v>
      </c>
      <c r="AJ36" s="286" t="n">
        <f aca="false">IFERROR(SUMIF($V$4:$AG$4, "De Minimis", V36:AG36), "")</f>
        <v>0</v>
      </c>
      <c r="AK36" s="268"/>
      <c r="AL36" s="288" t="str">
        <f aca="false">IF((SUM(I36:T36)&gt;1),"ERROR","")</f>
        <v/>
      </c>
    </row>
    <row r="37" customFormat="false" ht="15" hidden="false" customHeight="true" outlineLevel="0" collapsed="false">
      <c r="E37" s="200"/>
      <c r="H37" s="350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3"/>
      <c r="V37" s="284" t="n">
        <f aca="false">IFERROR(I37*$E37, "")</f>
        <v>0</v>
      </c>
      <c r="W37" s="284" t="n">
        <f aca="false">IFERROR(J37*$E37, "")</f>
        <v>0</v>
      </c>
      <c r="X37" s="284" t="n">
        <f aca="false">IFERROR(K37*$E37, "")</f>
        <v>0</v>
      </c>
      <c r="Y37" s="284" t="n">
        <f aca="false">IFERROR(L37*$E37, "")</f>
        <v>0</v>
      </c>
      <c r="Z37" s="284" t="n">
        <f aca="false">IFERROR(M37*$E37, "")</f>
        <v>0</v>
      </c>
      <c r="AA37" s="284" t="n">
        <f aca="false">IFERROR(N37*$E37, "")</f>
        <v>0</v>
      </c>
      <c r="AB37" s="284" t="n">
        <f aca="false">IFERROR(O37*$E37, "")</f>
        <v>0</v>
      </c>
      <c r="AC37" s="284" t="n">
        <f aca="false">IFERROR(P37*$E37, "")</f>
        <v>0</v>
      </c>
      <c r="AD37" s="284" t="n">
        <f aca="false">IFERROR(Q37*$E37, "")</f>
        <v>0</v>
      </c>
      <c r="AE37" s="284" t="n">
        <f aca="false">IFERROR(R37*$E37, "")</f>
        <v>0</v>
      </c>
      <c r="AF37" s="284" t="n">
        <f aca="false">IFERROR(S37*$E37, "")</f>
        <v>0</v>
      </c>
      <c r="AG37" s="284" t="n">
        <f aca="false">IFERROR(T37*$E37, "")</f>
        <v>0</v>
      </c>
      <c r="AH37" s="286" t="n">
        <f aca="false">IFERROR(SUMIF($V$4:$AG$4, "RDEC", V37:AG37), "")</f>
        <v>0</v>
      </c>
      <c r="AI37" s="286" t="n">
        <f aca="false">IFERROR(SUMIF($V$4:$AG$4, "SME", V37:AG37), "")</f>
        <v>0</v>
      </c>
      <c r="AJ37" s="286" t="n">
        <f aca="false">IFERROR(SUMIF($V$4:$AG$4, "De Minimis", V37:AG37), "")</f>
        <v>0</v>
      </c>
      <c r="AK37" s="287"/>
      <c r="AL37" s="288" t="str">
        <f aca="false">IF((SUM(I37:T37)&gt;1),"ERROR","")</f>
        <v/>
      </c>
    </row>
    <row r="38" customFormat="false" ht="15" hidden="false" customHeight="true" outlineLevel="0" collapsed="false">
      <c r="E38" s="200"/>
      <c r="H38" s="350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3"/>
      <c r="V38" s="284" t="n">
        <f aca="false">IFERROR(I38*$E38, "")</f>
        <v>0</v>
      </c>
      <c r="W38" s="284" t="n">
        <f aca="false">IFERROR(J38*$E38, "")</f>
        <v>0</v>
      </c>
      <c r="X38" s="284" t="n">
        <f aca="false">IFERROR(K38*$E38, "")</f>
        <v>0</v>
      </c>
      <c r="Y38" s="284" t="n">
        <f aca="false">IFERROR(L38*$E38, "")</f>
        <v>0</v>
      </c>
      <c r="Z38" s="284" t="n">
        <f aca="false">IFERROR(M38*$E38, "")</f>
        <v>0</v>
      </c>
      <c r="AA38" s="284" t="n">
        <f aca="false">IFERROR(N38*$E38, "")</f>
        <v>0</v>
      </c>
      <c r="AB38" s="284" t="n">
        <f aca="false">IFERROR(O38*$E38, "")</f>
        <v>0</v>
      </c>
      <c r="AC38" s="284" t="n">
        <f aca="false">IFERROR(P38*$E38, "")</f>
        <v>0</v>
      </c>
      <c r="AD38" s="284" t="n">
        <f aca="false">IFERROR(Q38*$E38, "")</f>
        <v>0</v>
      </c>
      <c r="AE38" s="284" t="n">
        <f aca="false">IFERROR(R38*$E38, "")</f>
        <v>0</v>
      </c>
      <c r="AF38" s="284" t="n">
        <f aca="false">IFERROR(S38*$E38, "")</f>
        <v>0</v>
      </c>
      <c r="AG38" s="284" t="n">
        <f aca="false">IFERROR(T38*$E38, "")</f>
        <v>0</v>
      </c>
      <c r="AH38" s="286" t="n">
        <f aca="false">IFERROR(SUMIF($V$4:$AG$4, "RDEC", V38:AG38), "")</f>
        <v>0</v>
      </c>
      <c r="AI38" s="286" t="n">
        <f aca="false">IFERROR(SUMIF($V$4:$AG$4, "SME", V38:AG38), "")</f>
        <v>0</v>
      </c>
      <c r="AJ38" s="286" t="n">
        <f aca="false">IFERROR(SUMIF($V$4:$AG$4, "De Minimis", V38:AG38), "")</f>
        <v>0</v>
      </c>
      <c r="AK38" s="287"/>
      <c r="AL38" s="288" t="str">
        <f aca="false">IF((SUM(I38:T38)&gt;1),"ERROR","")</f>
        <v/>
      </c>
    </row>
    <row r="39" customFormat="false" ht="15" hidden="false" customHeight="true" outlineLevel="0" collapsed="false">
      <c r="E39" s="200"/>
      <c r="H39" s="350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3"/>
      <c r="V39" s="284" t="n">
        <f aca="false">IFERROR(I39*$E39, "")</f>
        <v>0</v>
      </c>
      <c r="W39" s="284" t="n">
        <f aca="false">IFERROR(J39*$E39, "")</f>
        <v>0</v>
      </c>
      <c r="X39" s="284" t="n">
        <f aca="false">IFERROR(K39*$E39, "")</f>
        <v>0</v>
      </c>
      <c r="Y39" s="284" t="n">
        <f aca="false">IFERROR(L39*$E39, "")</f>
        <v>0</v>
      </c>
      <c r="Z39" s="284" t="n">
        <f aca="false">IFERROR(M39*$E39, "")</f>
        <v>0</v>
      </c>
      <c r="AA39" s="284" t="n">
        <f aca="false">IFERROR(N39*$E39, "")</f>
        <v>0</v>
      </c>
      <c r="AB39" s="284" t="n">
        <f aca="false">IFERROR(O39*$E39, "")</f>
        <v>0</v>
      </c>
      <c r="AC39" s="284" t="n">
        <f aca="false">IFERROR(P39*$E39, "")</f>
        <v>0</v>
      </c>
      <c r="AD39" s="284" t="n">
        <f aca="false">IFERROR(Q39*$E39, "")</f>
        <v>0</v>
      </c>
      <c r="AE39" s="284" t="n">
        <f aca="false">IFERROR(R39*$E39, "")</f>
        <v>0</v>
      </c>
      <c r="AF39" s="284" t="n">
        <f aca="false">IFERROR(S39*$E39, "")</f>
        <v>0</v>
      </c>
      <c r="AG39" s="284" t="n">
        <f aca="false">IFERROR(T39*$E39, "")</f>
        <v>0</v>
      </c>
      <c r="AH39" s="286" t="n">
        <f aca="false">IFERROR(SUMIF($V$4:$AG$4, "RDEC", V39:AG39), "")</f>
        <v>0</v>
      </c>
      <c r="AI39" s="286" t="n">
        <f aca="false">IFERROR(SUMIF($V$4:$AG$4, "SME", V39:AG39), "")</f>
        <v>0</v>
      </c>
      <c r="AJ39" s="286" t="n">
        <f aca="false">IFERROR(SUMIF($V$4:$AG$4, "De Minimis", V39:AG39), "")</f>
        <v>0</v>
      </c>
      <c r="AK39" s="287"/>
      <c r="AL39" s="288" t="str">
        <f aca="false">IF((SUM(I39:T39)&gt;1),"ERROR","")</f>
        <v/>
      </c>
    </row>
    <row r="40" customFormat="false" ht="15" hidden="false" customHeight="true" outlineLevel="0" collapsed="false">
      <c r="E40" s="200"/>
      <c r="H40" s="350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3"/>
      <c r="V40" s="284" t="n">
        <f aca="false">IFERROR(I40*$E40, "")</f>
        <v>0</v>
      </c>
      <c r="W40" s="284" t="n">
        <f aca="false">IFERROR(J40*$E40, "")</f>
        <v>0</v>
      </c>
      <c r="X40" s="284" t="n">
        <f aca="false">IFERROR(K40*$E40, "")</f>
        <v>0</v>
      </c>
      <c r="Y40" s="284" t="n">
        <f aca="false">IFERROR(L40*$E40, "")</f>
        <v>0</v>
      </c>
      <c r="Z40" s="284" t="n">
        <f aca="false">IFERROR(M40*$E40, "")</f>
        <v>0</v>
      </c>
      <c r="AA40" s="284" t="n">
        <f aca="false">IFERROR(N40*$E40, "")</f>
        <v>0</v>
      </c>
      <c r="AB40" s="284" t="n">
        <f aca="false">IFERROR(O40*$E40, "")</f>
        <v>0</v>
      </c>
      <c r="AC40" s="284" t="n">
        <f aca="false">IFERROR(P40*$E40, "")</f>
        <v>0</v>
      </c>
      <c r="AD40" s="284" t="n">
        <f aca="false">IFERROR(Q40*$E40, "")</f>
        <v>0</v>
      </c>
      <c r="AE40" s="284" t="n">
        <f aca="false">IFERROR(R40*$E40, "")</f>
        <v>0</v>
      </c>
      <c r="AF40" s="284" t="n">
        <f aca="false">IFERROR(S40*$E40, "")</f>
        <v>0</v>
      </c>
      <c r="AG40" s="284" t="n">
        <f aca="false">IFERROR(T40*$E40, "")</f>
        <v>0</v>
      </c>
      <c r="AH40" s="286" t="n">
        <f aca="false">IFERROR(SUMIF($V$4:$AG$4, "RDEC", V40:AG40), "")</f>
        <v>0</v>
      </c>
      <c r="AI40" s="286" t="n">
        <f aca="false">IFERROR(SUMIF($V$4:$AG$4, "SME", V40:AG40), "")</f>
        <v>0</v>
      </c>
      <c r="AJ40" s="286" t="n">
        <f aca="false">IFERROR(SUMIF($V$4:$AG$4, "De Minimis", V40:AG40), "")</f>
        <v>0</v>
      </c>
      <c r="AK40" s="287"/>
      <c r="AL40" s="288" t="str">
        <f aca="false">IF((SUM(I40:T40)&gt;1),"ERROR","")</f>
        <v/>
      </c>
    </row>
    <row r="41" customFormat="false" ht="15" hidden="false" customHeight="true" outlineLevel="0" collapsed="false">
      <c r="E41" s="200"/>
      <c r="H41" s="350"/>
      <c r="I41" s="282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3"/>
      <c r="V41" s="284" t="n">
        <f aca="false">IFERROR(I41*$E41, "")</f>
        <v>0</v>
      </c>
      <c r="W41" s="284" t="n">
        <f aca="false">IFERROR(J41*$E41, "")</f>
        <v>0</v>
      </c>
      <c r="X41" s="284" t="n">
        <f aca="false">IFERROR(K41*$E41, "")</f>
        <v>0</v>
      </c>
      <c r="Y41" s="284" t="n">
        <f aca="false">IFERROR(L41*$E41, "")</f>
        <v>0</v>
      </c>
      <c r="Z41" s="284" t="n">
        <f aca="false">IFERROR(M41*$E41, "")</f>
        <v>0</v>
      </c>
      <c r="AA41" s="284" t="n">
        <f aca="false">IFERROR(N41*$E41, "")</f>
        <v>0</v>
      </c>
      <c r="AB41" s="284" t="n">
        <f aca="false">IFERROR(O41*$E41, "")</f>
        <v>0</v>
      </c>
      <c r="AC41" s="284" t="n">
        <f aca="false">IFERROR(P41*$E41, "")</f>
        <v>0</v>
      </c>
      <c r="AD41" s="284" t="n">
        <f aca="false">IFERROR(Q41*$E41, "")</f>
        <v>0</v>
      </c>
      <c r="AE41" s="284" t="n">
        <f aca="false">IFERROR(R41*$E41, "")</f>
        <v>0</v>
      </c>
      <c r="AF41" s="284" t="n">
        <f aca="false">IFERROR(S41*$E41, "")</f>
        <v>0</v>
      </c>
      <c r="AG41" s="284" t="n">
        <f aca="false">IFERROR(T41*$E41, "")</f>
        <v>0</v>
      </c>
      <c r="AH41" s="286" t="n">
        <f aca="false">IFERROR(SUMIF($V$4:$AG$4, "RDEC", V41:AG41), "")</f>
        <v>0</v>
      </c>
      <c r="AI41" s="286" t="n">
        <f aca="false">IFERROR(SUMIF($V$4:$AG$4, "SME", V41:AG41), "")</f>
        <v>0</v>
      </c>
      <c r="AJ41" s="286" t="n">
        <f aca="false">IFERROR(SUMIF($V$4:$AG$4, "De Minimis", V41:AG41), "")</f>
        <v>0</v>
      </c>
      <c r="AK41" s="287"/>
      <c r="AL41" s="288" t="str">
        <f aca="false">IF((SUM(I41:T41)&gt;1),"ERROR","")</f>
        <v/>
      </c>
    </row>
    <row r="42" customFormat="false" ht="15" hidden="false" customHeight="true" outlineLevel="0" collapsed="false">
      <c r="E42" s="200"/>
      <c r="H42" s="350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3"/>
      <c r="V42" s="284" t="n">
        <f aca="false">IFERROR(I42*$E42, "")</f>
        <v>0</v>
      </c>
      <c r="W42" s="284" t="n">
        <f aca="false">IFERROR(J42*$E42, "")</f>
        <v>0</v>
      </c>
      <c r="X42" s="284" t="n">
        <f aca="false">IFERROR(K42*$E42, "")</f>
        <v>0</v>
      </c>
      <c r="Y42" s="284" t="n">
        <f aca="false">IFERROR(L42*$E42, "")</f>
        <v>0</v>
      </c>
      <c r="Z42" s="284" t="n">
        <f aca="false">IFERROR(M42*$E42, "")</f>
        <v>0</v>
      </c>
      <c r="AA42" s="284" t="n">
        <f aca="false">IFERROR(N42*$E42, "")</f>
        <v>0</v>
      </c>
      <c r="AB42" s="284" t="n">
        <f aca="false">IFERROR(O42*$E42, "")</f>
        <v>0</v>
      </c>
      <c r="AC42" s="284" t="n">
        <f aca="false">IFERROR(P42*$E42, "")</f>
        <v>0</v>
      </c>
      <c r="AD42" s="284" t="n">
        <f aca="false">IFERROR(Q42*$E42, "")</f>
        <v>0</v>
      </c>
      <c r="AE42" s="284" t="n">
        <f aca="false">IFERROR(R42*$E42, "")</f>
        <v>0</v>
      </c>
      <c r="AF42" s="284" t="n">
        <f aca="false">IFERROR(S42*$E42, "")</f>
        <v>0</v>
      </c>
      <c r="AG42" s="284" t="n">
        <f aca="false">IFERROR(T42*$E42, "")</f>
        <v>0</v>
      </c>
      <c r="AH42" s="286" t="n">
        <f aca="false">IFERROR(SUMIF($V$4:$AG$4, "RDEC", V42:AG42), "")</f>
        <v>0</v>
      </c>
      <c r="AI42" s="286" t="n">
        <f aca="false">IFERROR(SUMIF($V$4:$AG$4, "SME", V42:AG42), "")</f>
        <v>0</v>
      </c>
      <c r="AJ42" s="286" t="n">
        <f aca="false">IFERROR(SUMIF($V$4:$AG$4, "De Minimis", V42:AG42), "")</f>
        <v>0</v>
      </c>
      <c r="AK42" s="287"/>
      <c r="AL42" s="288" t="str">
        <f aca="false">IF((SUM(I42:T42)&gt;1),"ERROR","")</f>
        <v/>
      </c>
    </row>
    <row r="43" customFormat="false" ht="15" hidden="false" customHeight="true" outlineLevel="0" collapsed="false">
      <c r="E43" s="200"/>
      <c r="H43" s="350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3"/>
      <c r="V43" s="284" t="n">
        <f aca="false">IFERROR(I43*$E43, "")</f>
        <v>0</v>
      </c>
      <c r="W43" s="284" t="n">
        <f aca="false">IFERROR(J43*$E43, "")</f>
        <v>0</v>
      </c>
      <c r="X43" s="284" t="n">
        <f aca="false">IFERROR(K43*$E43, "")</f>
        <v>0</v>
      </c>
      <c r="Y43" s="284" t="n">
        <f aca="false">IFERROR(L43*$E43, "")</f>
        <v>0</v>
      </c>
      <c r="Z43" s="284" t="n">
        <f aca="false">IFERROR(M43*$E43, "")</f>
        <v>0</v>
      </c>
      <c r="AA43" s="284" t="n">
        <f aca="false">IFERROR(N43*$E43, "")</f>
        <v>0</v>
      </c>
      <c r="AB43" s="284" t="n">
        <f aca="false">IFERROR(O43*$E43, "")</f>
        <v>0</v>
      </c>
      <c r="AC43" s="284" t="n">
        <f aca="false">IFERROR(P43*$E43, "")</f>
        <v>0</v>
      </c>
      <c r="AD43" s="284" t="n">
        <f aca="false">IFERROR(Q43*$E43, "")</f>
        <v>0</v>
      </c>
      <c r="AE43" s="284" t="n">
        <f aca="false">IFERROR(R43*$E43, "")</f>
        <v>0</v>
      </c>
      <c r="AF43" s="284" t="n">
        <f aca="false">IFERROR(S43*$E43, "")</f>
        <v>0</v>
      </c>
      <c r="AG43" s="284" t="n">
        <f aca="false">IFERROR(T43*$E43, "")</f>
        <v>0</v>
      </c>
      <c r="AH43" s="286" t="n">
        <f aca="false">IFERROR(SUMIF($V$4:$AG$4, "RDEC", V43:AG43), "")</f>
        <v>0</v>
      </c>
      <c r="AI43" s="286" t="n">
        <f aca="false">IFERROR(SUMIF($V$4:$AG$4, "SME", V43:AG43), "")</f>
        <v>0</v>
      </c>
      <c r="AJ43" s="286" t="n">
        <f aca="false">IFERROR(SUMIF($V$4:$AG$4, "De Minimis", V43:AG43), "")</f>
        <v>0</v>
      </c>
      <c r="AK43" s="287"/>
      <c r="AL43" s="288" t="str">
        <f aca="false">IF((SUM(I43:T43)&gt;1),"ERROR","")</f>
        <v/>
      </c>
    </row>
    <row r="44" customFormat="false" ht="15" hidden="false" customHeight="true" outlineLevel="0" collapsed="false">
      <c r="E44" s="200"/>
      <c r="H44" s="350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3"/>
      <c r="V44" s="284" t="n">
        <f aca="false">IFERROR(I44*$E44, "")</f>
        <v>0</v>
      </c>
      <c r="W44" s="284" t="n">
        <f aca="false">IFERROR(J44*$E44, "")</f>
        <v>0</v>
      </c>
      <c r="X44" s="284" t="n">
        <f aca="false">IFERROR(K44*$E44, "")</f>
        <v>0</v>
      </c>
      <c r="Y44" s="284" t="n">
        <f aca="false">IFERROR(L44*$E44, "")</f>
        <v>0</v>
      </c>
      <c r="Z44" s="284" t="n">
        <f aca="false">IFERROR(M44*$E44, "")</f>
        <v>0</v>
      </c>
      <c r="AA44" s="284" t="n">
        <f aca="false">IFERROR(N44*$E44, "")</f>
        <v>0</v>
      </c>
      <c r="AB44" s="284" t="n">
        <f aca="false">IFERROR(O44*$E44, "")</f>
        <v>0</v>
      </c>
      <c r="AC44" s="284" t="n">
        <f aca="false">IFERROR(P44*$E44, "")</f>
        <v>0</v>
      </c>
      <c r="AD44" s="284" t="n">
        <f aca="false">IFERROR(Q44*$E44, "")</f>
        <v>0</v>
      </c>
      <c r="AE44" s="284" t="n">
        <f aca="false">IFERROR(R44*$E44, "")</f>
        <v>0</v>
      </c>
      <c r="AF44" s="284" t="n">
        <f aca="false">IFERROR(S44*$E44, "")</f>
        <v>0</v>
      </c>
      <c r="AG44" s="284" t="n">
        <f aca="false">IFERROR(T44*$E44, "")</f>
        <v>0</v>
      </c>
      <c r="AH44" s="286" t="n">
        <f aca="false">IFERROR(SUMIF($V$4:$AG$4, "RDEC", V44:AG44), "")</f>
        <v>0</v>
      </c>
      <c r="AI44" s="286" t="n">
        <f aca="false">IFERROR(SUMIF($V$4:$AG$4, "SME", V44:AG44), "")</f>
        <v>0</v>
      </c>
      <c r="AJ44" s="286" t="n">
        <f aca="false">IFERROR(SUMIF($V$4:$AG$4, "De Minimis", V44:AG44), "")</f>
        <v>0</v>
      </c>
      <c r="AK44" s="287"/>
      <c r="AL44" s="288" t="str">
        <f aca="false">IF((SUM(I44:T44)&gt;1),"ERROR","")</f>
        <v/>
      </c>
    </row>
    <row r="45" customFormat="false" ht="15" hidden="false" customHeight="true" outlineLevel="0" collapsed="false">
      <c r="E45" s="200"/>
      <c r="H45" s="350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3"/>
      <c r="V45" s="284" t="n">
        <f aca="false">IFERROR(I45*$E45, "")</f>
        <v>0</v>
      </c>
      <c r="W45" s="284" t="n">
        <f aca="false">IFERROR(J45*$E45, "")</f>
        <v>0</v>
      </c>
      <c r="X45" s="284" t="n">
        <f aca="false">IFERROR(K45*$E45, "")</f>
        <v>0</v>
      </c>
      <c r="Y45" s="284" t="n">
        <f aca="false">IFERROR(L45*$E45, "")</f>
        <v>0</v>
      </c>
      <c r="Z45" s="284" t="n">
        <f aca="false">IFERROR(M45*$E45, "")</f>
        <v>0</v>
      </c>
      <c r="AA45" s="284" t="n">
        <f aca="false">IFERROR(N45*$E45, "")</f>
        <v>0</v>
      </c>
      <c r="AB45" s="284" t="n">
        <f aca="false">IFERROR(O45*$E45, "")</f>
        <v>0</v>
      </c>
      <c r="AC45" s="284" t="n">
        <f aca="false">IFERROR(P45*$E45, "")</f>
        <v>0</v>
      </c>
      <c r="AD45" s="284" t="n">
        <f aca="false">IFERROR(Q45*$E45, "")</f>
        <v>0</v>
      </c>
      <c r="AE45" s="284" t="n">
        <f aca="false">IFERROR(R45*$E45, "")</f>
        <v>0</v>
      </c>
      <c r="AF45" s="284" t="n">
        <f aca="false">IFERROR(S45*$E45, "")</f>
        <v>0</v>
      </c>
      <c r="AG45" s="284" t="n">
        <f aca="false">IFERROR(T45*$E45, "")</f>
        <v>0</v>
      </c>
      <c r="AH45" s="286" t="n">
        <f aca="false">IFERROR(SUMIF($V$4:$AG$4, "RDEC", V45:AG45), "")</f>
        <v>0</v>
      </c>
      <c r="AI45" s="286" t="n">
        <f aca="false">IFERROR(SUMIF($V$4:$AG$4, "SME", V45:AG45), "")</f>
        <v>0</v>
      </c>
      <c r="AJ45" s="286" t="n">
        <f aca="false">IFERROR(SUMIF($V$4:$AG$4, "De Minimis", V45:AG45), "")</f>
        <v>0</v>
      </c>
      <c r="AK45" s="287"/>
      <c r="AL45" s="288" t="str">
        <f aca="false">IF((SUM(I45:T45)&gt;1),"ERROR","")</f>
        <v/>
      </c>
    </row>
    <row r="46" customFormat="false" ht="15" hidden="false" customHeight="true" outlineLevel="0" collapsed="false">
      <c r="E46" s="200"/>
      <c r="H46" s="350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3"/>
      <c r="V46" s="284" t="n">
        <f aca="false">IFERROR(I46*$E46, "")</f>
        <v>0</v>
      </c>
      <c r="W46" s="284" t="n">
        <f aca="false">IFERROR(J46*$E46, "")</f>
        <v>0</v>
      </c>
      <c r="X46" s="284" t="n">
        <f aca="false">IFERROR(K46*$E46, "")</f>
        <v>0</v>
      </c>
      <c r="Y46" s="284" t="n">
        <f aca="false">IFERROR(L46*$E46, "")</f>
        <v>0</v>
      </c>
      <c r="Z46" s="284" t="n">
        <f aca="false">IFERROR(M46*$E46, "")</f>
        <v>0</v>
      </c>
      <c r="AA46" s="284" t="n">
        <f aca="false">IFERROR(N46*$E46, "")</f>
        <v>0</v>
      </c>
      <c r="AB46" s="284" t="n">
        <f aca="false">IFERROR(O46*$E46, "")</f>
        <v>0</v>
      </c>
      <c r="AC46" s="284" t="n">
        <f aca="false">IFERROR(P46*$E46, "")</f>
        <v>0</v>
      </c>
      <c r="AD46" s="284" t="n">
        <f aca="false">IFERROR(Q46*$E46, "")</f>
        <v>0</v>
      </c>
      <c r="AE46" s="284" t="n">
        <f aca="false">IFERROR(R46*$E46, "")</f>
        <v>0</v>
      </c>
      <c r="AF46" s="284" t="n">
        <f aca="false">IFERROR(S46*$E46, "")</f>
        <v>0</v>
      </c>
      <c r="AG46" s="284" t="n">
        <f aca="false">IFERROR(T46*$E46, "")</f>
        <v>0</v>
      </c>
      <c r="AH46" s="286" t="n">
        <f aca="false">IFERROR(SUMIF($V$4:$AG$4, "RDEC", V46:AG46), "")</f>
        <v>0</v>
      </c>
      <c r="AI46" s="286" t="n">
        <f aca="false">IFERROR(SUMIF($V$4:$AG$4, "SME", V46:AG46), "")</f>
        <v>0</v>
      </c>
      <c r="AJ46" s="286" t="n">
        <f aca="false">IFERROR(SUMIF($V$4:$AG$4, "De Minimis", V46:AG46), "")</f>
        <v>0</v>
      </c>
      <c r="AK46" s="287"/>
      <c r="AL46" s="288" t="str">
        <f aca="false">IF((SUM(I46:T46)&gt;1),"ERROR","")</f>
        <v/>
      </c>
    </row>
    <row r="47" customFormat="false" ht="15" hidden="false" customHeight="true" outlineLevel="0" collapsed="false">
      <c r="E47" s="200"/>
      <c r="H47" s="350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3"/>
      <c r="V47" s="284" t="n">
        <f aca="false">IFERROR(I47*$E47, "")</f>
        <v>0</v>
      </c>
      <c r="W47" s="284" t="n">
        <f aca="false">IFERROR(J47*$E47, "")</f>
        <v>0</v>
      </c>
      <c r="X47" s="284" t="n">
        <f aca="false">IFERROR(K47*$E47, "")</f>
        <v>0</v>
      </c>
      <c r="Y47" s="284" t="n">
        <f aca="false">IFERROR(L47*$E47, "")</f>
        <v>0</v>
      </c>
      <c r="Z47" s="284" t="n">
        <f aca="false">IFERROR(M47*$E47, "")</f>
        <v>0</v>
      </c>
      <c r="AA47" s="284" t="n">
        <f aca="false">IFERROR(N47*$E47, "")</f>
        <v>0</v>
      </c>
      <c r="AB47" s="284" t="n">
        <f aca="false">IFERROR(O47*$E47, "")</f>
        <v>0</v>
      </c>
      <c r="AC47" s="284" t="n">
        <f aca="false">IFERROR(P47*$E47, "")</f>
        <v>0</v>
      </c>
      <c r="AD47" s="284" t="n">
        <f aca="false">IFERROR(Q47*$E47, "")</f>
        <v>0</v>
      </c>
      <c r="AE47" s="284" t="n">
        <f aca="false">IFERROR(R47*$E47, "")</f>
        <v>0</v>
      </c>
      <c r="AF47" s="284" t="n">
        <f aca="false">IFERROR(S47*$E47, "")</f>
        <v>0</v>
      </c>
      <c r="AG47" s="284" t="n">
        <f aca="false">IFERROR(T47*$E47, "")</f>
        <v>0</v>
      </c>
      <c r="AH47" s="286" t="n">
        <f aca="false">IFERROR(SUMIF($V$4:$AG$4, "RDEC", V47:AG47), "")</f>
        <v>0</v>
      </c>
      <c r="AI47" s="286" t="n">
        <f aca="false">IFERROR(SUMIF($V$4:$AG$4, "SME", V47:AG47), "")</f>
        <v>0</v>
      </c>
      <c r="AJ47" s="286" t="n">
        <f aca="false">IFERROR(SUMIF($V$4:$AG$4, "De Minimis", V47:AG47), "")</f>
        <v>0</v>
      </c>
      <c r="AK47" s="287"/>
      <c r="AL47" s="288" t="str">
        <f aca="false">IF((SUM(I47:T47)&gt;1),"ERROR","")</f>
        <v/>
      </c>
    </row>
    <row r="48" customFormat="false" ht="15" hidden="false" customHeight="true" outlineLevel="0" collapsed="false">
      <c r="E48" s="200"/>
      <c r="H48" s="350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3"/>
      <c r="V48" s="284" t="n">
        <f aca="false">IFERROR(I48*$E48, "")</f>
        <v>0</v>
      </c>
      <c r="W48" s="284" t="n">
        <f aca="false">IFERROR(J48*$E48, "")</f>
        <v>0</v>
      </c>
      <c r="X48" s="284" t="n">
        <f aca="false">IFERROR(K48*$E48, "")</f>
        <v>0</v>
      </c>
      <c r="Y48" s="284" t="n">
        <f aca="false">IFERROR(L48*$E48, "")</f>
        <v>0</v>
      </c>
      <c r="Z48" s="284" t="n">
        <f aca="false">IFERROR(M48*$E48, "")</f>
        <v>0</v>
      </c>
      <c r="AA48" s="284" t="n">
        <f aca="false">IFERROR(N48*$E48, "")</f>
        <v>0</v>
      </c>
      <c r="AB48" s="284" t="n">
        <f aca="false">IFERROR(O48*$E48, "")</f>
        <v>0</v>
      </c>
      <c r="AC48" s="284" t="n">
        <f aca="false">IFERROR(P48*$E48, "")</f>
        <v>0</v>
      </c>
      <c r="AD48" s="284" t="n">
        <f aca="false">IFERROR(Q48*$E48, "")</f>
        <v>0</v>
      </c>
      <c r="AE48" s="284" t="n">
        <f aca="false">IFERROR(R48*$E48, "")</f>
        <v>0</v>
      </c>
      <c r="AF48" s="284" t="n">
        <f aca="false">IFERROR(S48*$E48, "")</f>
        <v>0</v>
      </c>
      <c r="AG48" s="284" t="n">
        <f aca="false">IFERROR(T48*$E48, "")</f>
        <v>0</v>
      </c>
      <c r="AH48" s="286" t="n">
        <f aca="false">IFERROR(SUMIF($V$4:$AG$4, "RDEC", V48:AG48), "")</f>
        <v>0</v>
      </c>
      <c r="AI48" s="286" t="n">
        <f aca="false">IFERROR(SUMIF($V$4:$AG$4, "SME", V48:AG48), "")</f>
        <v>0</v>
      </c>
      <c r="AJ48" s="286" t="n">
        <f aca="false">IFERROR(SUMIF($V$4:$AG$4, "De Minimis", V48:AG48), "")</f>
        <v>0</v>
      </c>
      <c r="AK48" s="287"/>
      <c r="AL48" s="288" t="str">
        <f aca="false">IF((SUM(I48:T48)&gt;1),"ERROR","")</f>
        <v/>
      </c>
    </row>
    <row r="49" customFormat="false" ht="15" hidden="false" customHeight="true" outlineLevel="0" collapsed="false">
      <c r="E49" s="200"/>
      <c r="H49" s="350"/>
      <c r="I49" s="282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3"/>
      <c r="V49" s="284" t="n">
        <f aca="false">IFERROR(I49*$E49, "")</f>
        <v>0</v>
      </c>
      <c r="W49" s="284" t="n">
        <f aca="false">IFERROR(J49*$E49, "")</f>
        <v>0</v>
      </c>
      <c r="X49" s="284" t="n">
        <f aca="false">IFERROR(K49*$E49, "")</f>
        <v>0</v>
      </c>
      <c r="Y49" s="284" t="n">
        <f aca="false">IFERROR(L49*$E49, "")</f>
        <v>0</v>
      </c>
      <c r="Z49" s="284" t="n">
        <f aca="false">IFERROR(M49*$E49, "")</f>
        <v>0</v>
      </c>
      <c r="AA49" s="284" t="n">
        <f aca="false">IFERROR(N49*$E49, "")</f>
        <v>0</v>
      </c>
      <c r="AB49" s="284" t="n">
        <f aca="false">IFERROR(O49*$E49, "")</f>
        <v>0</v>
      </c>
      <c r="AC49" s="284" t="n">
        <f aca="false">IFERROR(P49*$E49, "")</f>
        <v>0</v>
      </c>
      <c r="AD49" s="284" t="n">
        <f aca="false">IFERROR(Q49*$E49, "")</f>
        <v>0</v>
      </c>
      <c r="AE49" s="284" t="n">
        <f aca="false">IFERROR(R49*$E49, "")</f>
        <v>0</v>
      </c>
      <c r="AF49" s="284" t="n">
        <f aca="false">IFERROR(S49*$E49, "")</f>
        <v>0</v>
      </c>
      <c r="AG49" s="284" t="n">
        <f aca="false">IFERROR(T49*$E49, "")</f>
        <v>0</v>
      </c>
      <c r="AH49" s="286" t="n">
        <f aca="false">IFERROR(SUMIF($V$4:$AG$4, "RDEC", V49:AG49), "")</f>
        <v>0</v>
      </c>
      <c r="AI49" s="286" t="n">
        <f aca="false">IFERROR(SUMIF($V$4:$AG$4, "SME", V49:AG49), "")</f>
        <v>0</v>
      </c>
      <c r="AJ49" s="286" t="n">
        <f aca="false">IFERROR(SUMIF($V$4:$AG$4, "De Minimis", V49:AG49), "")</f>
        <v>0</v>
      </c>
      <c r="AK49" s="303"/>
      <c r="AL49" s="288" t="str">
        <f aca="false">IF((SUM(I49:T49)&gt;1),"ERROR","")</f>
        <v/>
      </c>
    </row>
    <row r="50" customFormat="false" ht="15" hidden="false" customHeight="true" outlineLevel="0" collapsed="false">
      <c r="E50" s="200"/>
      <c r="H50" s="350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3"/>
      <c r="V50" s="284" t="n">
        <f aca="false">IFERROR(I50*$E50, "")</f>
        <v>0</v>
      </c>
      <c r="W50" s="284" t="n">
        <f aca="false">IFERROR(J50*$E50, "")</f>
        <v>0</v>
      </c>
      <c r="X50" s="284" t="n">
        <f aca="false">IFERROR(K50*$E50, "")</f>
        <v>0</v>
      </c>
      <c r="Y50" s="284" t="n">
        <f aca="false">IFERROR(L50*$E50, "")</f>
        <v>0</v>
      </c>
      <c r="Z50" s="284" t="n">
        <f aca="false">IFERROR(M50*$E50, "")</f>
        <v>0</v>
      </c>
      <c r="AA50" s="284" t="n">
        <f aca="false">IFERROR(N50*$E50, "")</f>
        <v>0</v>
      </c>
      <c r="AB50" s="284" t="n">
        <f aca="false">IFERROR(O50*$E50, "")</f>
        <v>0</v>
      </c>
      <c r="AC50" s="284" t="n">
        <f aca="false">IFERROR(P50*$E50, "")</f>
        <v>0</v>
      </c>
      <c r="AD50" s="284" t="n">
        <f aca="false">IFERROR(Q50*$E50, "")</f>
        <v>0</v>
      </c>
      <c r="AE50" s="284" t="n">
        <f aca="false">IFERROR(R50*$E50, "")</f>
        <v>0</v>
      </c>
      <c r="AF50" s="284" t="n">
        <f aca="false">IFERROR(S50*$E50, "")</f>
        <v>0</v>
      </c>
      <c r="AG50" s="284" t="n">
        <f aca="false">IFERROR(T50*$E50, "")</f>
        <v>0</v>
      </c>
      <c r="AH50" s="286" t="n">
        <f aca="false">IFERROR(SUMIF($V$4:$AG$4, "RDEC", V50:AG50), "")</f>
        <v>0</v>
      </c>
      <c r="AI50" s="286" t="n">
        <f aca="false">IFERROR(SUMIF($V$4:$AG$4, "SME", V50:AG50), "")</f>
        <v>0</v>
      </c>
      <c r="AJ50" s="286" t="n">
        <f aca="false">IFERROR(SUMIF($V$4:$AG$4, "De Minimis", V50:AG50), "")</f>
        <v>0</v>
      </c>
      <c r="AL50" s="288" t="str">
        <f aca="false">IF((SUM(I50:T50)&gt;1),"ERROR","")</f>
        <v/>
      </c>
    </row>
    <row r="51" customFormat="false" ht="15" hidden="false" customHeight="true" outlineLevel="0" collapsed="false">
      <c r="E51" s="200"/>
      <c r="H51" s="350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3"/>
      <c r="V51" s="284" t="n">
        <f aca="false">IFERROR(I51*$E51, "")</f>
        <v>0</v>
      </c>
      <c r="W51" s="284" t="n">
        <f aca="false">IFERROR(J51*$E51, "")</f>
        <v>0</v>
      </c>
      <c r="X51" s="284" t="n">
        <f aca="false">IFERROR(K51*$E51, "")</f>
        <v>0</v>
      </c>
      <c r="Y51" s="284" t="n">
        <f aca="false">IFERROR(L51*$E51, "")</f>
        <v>0</v>
      </c>
      <c r="Z51" s="284" t="n">
        <f aca="false">IFERROR(M51*$E51, "")</f>
        <v>0</v>
      </c>
      <c r="AA51" s="284" t="n">
        <f aca="false">IFERROR(N51*$E51, "")</f>
        <v>0</v>
      </c>
      <c r="AB51" s="284" t="n">
        <f aca="false">IFERROR(O51*$E51, "")</f>
        <v>0</v>
      </c>
      <c r="AC51" s="284" t="n">
        <f aca="false">IFERROR(P51*$E51, "")</f>
        <v>0</v>
      </c>
      <c r="AD51" s="284" t="n">
        <f aca="false">IFERROR(Q51*$E51, "")</f>
        <v>0</v>
      </c>
      <c r="AE51" s="284" t="n">
        <f aca="false">IFERROR(R51*$E51, "")</f>
        <v>0</v>
      </c>
      <c r="AF51" s="284" t="n">
        <f aca="false">IFERROR(S51*$E51, "")</f>
        <v>0</v>
      </c>
      <c r="AG51" s="284" t="n">
        <f aca="false">IFERROR(T51*$E51, "")</f>
        <v>0</v>
      </c>
      <c r="AH51" s="286" t="n">
        <f aca="false">IFERROR(SUMIF($V$4:$AG$4, "RDEC", V51:AG51), "")</f>
        <v>0</v>
      </c>
      <c r="AI51" s="286" t="n">
        <f aca="false">IFERROR(SUMIF($V$4:$AG$4, "SME", V51:AG51), "")</f>
        <v>0</v>
      </c>
      <c r="AJ51" s="286" t="n">
        <f aca="false">IFERROR(SUMIF($V$4:$AG$4, "De Minimis", V51:AG51), "")</f>
        <v>0</v>
      </c>
      <c r="AK51" s="268"/>
      <c r="AL51" s="288" t="str">
        <f aca="false">IF((SUM(I51:T51)&gt;1),"ERROR","")</f>
        <v/>
      </c>
    </row>
    <row r="52" customFormat="false" ht="15" hidden="false" customHeight="true" outlineLevel="0" collapsed="false">
      <c r="E52" s="200"/>
      <c r="H52" s="350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3"/>
      <c r="V52" s="284" t="n">
        <f aca="false">IFERROR(I52*$E52, "")</f>
        <v>0</v>
      </c>
      <c r="W52" s="284" t="n">
        <f aca="false">IFERROR(J52*$E52, "")</f>
        <v>0</v>
      </c>
      <c r="X52" s="284" t="n">
        <f aca="false">IFERROR(K52*$E52, "")</f>
        <v>0</v>
      </c>
      <c r="Y52" s="284" t="n">
        <f aca="false">IFERROR(L52*$E52, "")</f>
        <v>0</v>
      </c>
      <c r="Z52" s="284" t="n">
        <f aca="false">IFERROR(M52*$E52, "")</f>
        <v>0</v>
      </c>
      <c r="AA52" s="284" t="n">
        <f aca="false">IFERROR(N52*$E52, "")</f>
        <v>0</v>
      </c>
      <c r="AB52" s="284" t="n">
        <f aca="false">IFERROR(O52*$E52, "")</f>
        <v>0</v>
      </c>
      <c r="AC52" s="284" t="n">
        <f aca="false">IFERROR(P52*$E52, "")</f>
        <v>0</v>
      </c>
      <c r="AD52" s="284" t="n">
        <f aca="false">IFERROR(Q52*$E52, "")</f>
        <v>0</v>
      </c>
      <c r="AE52" s="284" t="n">
        <f aca="false">IFERROR(R52*$E52, "")</f>
        <v>0</v>
      </c>
      <c r="AF52" s="284" t="n">
        <f aca="false">IFERROR(S52*$E52, "")</f>
        <v>0</v>
      </c>
      <c r="AG52" s="284" t="n">
        <f aca="false">IFERROR(T52*$E52, "")</f>
        <v>0</v>
      </c>
      <c r="AH52" s="286" t="n">
        <f aca="false">IFERROR(SUMIF($V$4:$AG$4, "RDEC", V52:AG52), "")</f>
        <v>0</v>
      </c>
      <c r="AI52" s="286" t="n">
        <f aca="false">IFERROR(SUMIF($V$4:$AG$4, "SME", V52:AG52), "")</f>
        <v>0</v>
      </c>
      <c r="AJ52" s="286" t="n">
        <f aca="false">IFERROR(SUMIF($V$4:$AG$4, "De Minimis", V52:AG52), "")</f>
        <v>0</v>
      </c>
      <c r="AK52" s="287"/>
      <c r="AL52" s="288" t="str">
        <f aca="false">IF((SUM(I52:T52)&gt;1),"ERROR","")</f>
        <v/>
      </c>
    </row>
    <row r="53" customFormat="false" ht="15" hidden="false" customHeight="true" outlineLevel="0" collapsed="false">
      <c r="E53" s="200"/>
      <c r="H53" s="350"/>
      <c r="I53" s="282"/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3"/>
      <c r="V53" s="284" t="n">
        <f aca="false">IFERROR(I53*$E53, "")</f>
        <v>0</v>
      </c>
      <c r="W53" s="284" t="n">
        <f aca="false">IFERROR(J53*$E53, "")</f>
        <v>0</v>
      </c>
      <c r="X53" s="284" t="n">
        <f aca="false">IFERROR(K53*$E53, "")</f>
        <v>0</v>
      </c>
      <c r="Y53" s="284" t="n">
        <f aca="false">IFERROR(L53*$E53, "")</f>
        <v>0</v>
      </c>
      <c r="Z53" s="284" t="n">
        <f aca="false">IFERROR(M53*$E53, "")</f>
        <v>0</v>
      </c>
      <c r="AA53" s="284" t="n">
        <f aca="false">IFERROR(N53*$E53, "")</f>
        <v>0</v>
      </c>
      <c r="AB53" s="284" t="n">
        <f aca="false">IFERROR(O53*$E53, "")</f>
        <v>0</v>
      </c>
      <c r="AC53" s="284" t="n">
        <f aca="false">IFERROR(P53*$E53, "")</f>
        <v>0</v>
      </c>
      <c r="AD53" s="284" t="n">
        <f aca="false">IFERROR(Q53*$E53, "")</f>
        <v>0</v>
      </c>
      <c r="AE53" s="284" t="n">
        <f aca="false">IFERROR(R53*$E53, "")</f>
        <v>0</v>
      </c>
      <c r="AF53" s="284" t="n">
        <f aca="false">IFERROR(S53*$E53, "")</f>
        <v>0</v>
      </c>
      <c r="AG53" s="284" t="n">
        <f aca="false">IFERROR(T53*$E53, "")</f>
        <v>0</v>
      </c>
      <c r="AH53" s="286" t="n">
        <f aca="false">IFERROR(SUMIF($V$4:$AG$4, "RDEC", V53:AG53), "")</f>
        <v>0</v>
      </c>
      <c r="AI53" s="286" t="n">
        <f aca="false">IFERROR(SUMIF($V$4:$AG$4, "SME", V53:AG53), "")</f>
        <v>0</v>
      </c>
      <c r="AJ53" s="286" t="n">
        <f aca="false">IFERROR(SUMIF($V$4:$AG$4, "De Minimis", V53:AG53), "")</f>
        <v>0</v>
      </c>
      <c r="AK53" s="287"/>
      <c r="AL53" s="288" t="str">
        <f aca="false">IF((SUM(I53:T53)&gt;1),"ERROR","")</f>
        <v/>
      </c>
    </row>
    <row r="54" customFormat="false" ht="15" hidden="false" customHeight="true" outlineLevel="0" collapsed="false">
      <c r="E54" s="200"/>
      <c r="H54" s="350"/>
      <c r="I54" s="282"/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3"/>
      <c r="V54" s="284" t="n">
        <f aca="false">IFERROR(I54*$E54, "")</f>
        <v>0</v>
      </c>
      <c r="W54" s="284" t="n">
        <f aca="false">IFERROR(J54*$E54, "")</f>
        <v>0</v>
      </c>
      <c r="X54" s="284" t="n">
        <f aca="false">IFERROR(K54*$E54, "")</f>
        <v>0</v>
      </c>
      <c r="Y54" s="284" t="n">
        <f aca="false">IFERROR(L54*$E54, "")</f>
        <v>0</v>
      </c>
      <c r="Z54" s="284" t="n">
        <f aca="false">IFERROR(M54*$E54, "")</f>
        <v>0</v>
      </c>
      <c r="AA54" s="284" t="n">
        <f aca="false">IFERROR(N54*$E54, "")</f>
        <v>0</v>
      </c>
      <c r="AB54" s="284" t="n">
        <f aca="false">IFERROR(O54*$E54, "")</f>
        <v>0</v>
      </c>
      <c r="AC54" s="284" t="n">
        <f aca="false">IFERROR(P54*$E54, "")</f>
        <v>0</v>
      </c>
      <c r="AD54" s="284" t="n">
        <f aca="false">IFERROR(Q54*$E54, "")</f>
        <v>0</v>
      </c>
      <c r="AE54" s="284" t="n">
        <f aca="false">IFERROR(R54*$E54, "")</f>
        <v>0</v>
      </c>
      <c r="AF54" s="284" t="n">
        <f aca="false">IFERROR(S54*$E54, "")</f>
        <v>0</v>
      </c>
      <c r="AG54" s="284" t="n">
        <f aca="false">IFERROR(T54*$E54, "")</f>
        <v>0</v>
      </c>
      <c r="AH54" s="286" t="n">
        <f aca="false">IFERROR(SUMIF($V$4:$AG$4, "RDEC", V54:AG54), "")</f>
        <v>0</v>
      </c>
      <c r="AI54" s="286" t="n">
        <f aca="false">IFERROR(SUMIF($V$4:$AG$4, "SME", V54:AG54), "")</f>
        <v>0</v>
      </c>
      <c r="AJ54" s="286" t="n">
        <f aca="false">IFERROR(SUMIF($V$4:$AG$4, "De Minimis", V54:AG54), "")</f>
        <v>0</v>
      </c>
      <c r="AK54" s="287"/>
      <c r="AL54" s="288" t="str">
        <f aca="false">IF((SUM(I54:T54)&gt;1),"ERROR","")</f>
        <v/>
      </c>
    </row>
    <row r="55" customFormat="false" ht="15" hidden="false" customHeight="true" outlineLevel="0" collapsed="false">
      <c r="E55" s="200"/>
      <c r="H55" s="350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3"/>
      <c r="V55" s="284" t="n">
        <f aca="false">IFERROR(I55*$E55, "")</f>
        <v>0</v>
      </c>
      <c r="W55" s="284" t="n">
        <f aca="false">IFERROR(J55*$E55, "")</f>
        <v>0</v>
      </c>
      <c r="X55" s="284" t="n">
        <f aca="false">IFERROR(K55*$E55, "")</f>
        <v>0</v>
      </c>
      <c r="Y55" s="284" t="n">
        <f aca="false">IFERROR(L55*$E55, "")</f>
        <v>0</v>
      </c>
      <c r="Z55" s="284" t="n">
        <f aca="false">IFERROR(M55*$E55, "")</f>
        <v>0</v>
      </c>
      <c r="AA55" s="284" t="n">
        <f aca="false">IFERROR(N55*$E55, "")</f>
        <v>0</v>
      </c>
      <c r="AB55" s="284" t="n">
        <f aca="false">IFERROR(O55*$E55, "")</f>
        <v>0</v>
      </c>
      <c r="AC55" s="284" t="n">
        <f aca="false">IFERROR(P55*$E55, "")</f>
        <v>0</v>
      </c>
      <c r="AD55" s="284" t="n">
        <f aca="false">IFERROR(Q55*$E55, "")</f>
        <v>0</v>
      </c>
      <c r="AE55" s="284" t="n">
        <f aca="false">IFERROR(R55*$E55, "")</f>
        <v>0</v>
      </c>
      <c r="AF55" s="284" t="n">
        <f aca="false">IFERROR(S55*$E55, "")</f>
        <v>0</v>
      </c>
      <c r="AG55" s="284" t="n">
        <f aca="false">IFERROR(T55*$E55, "")</f>
        <v>0</v>
      </c>
      <c r="AH55" s="286" t="n">
        <f aca="false">IFERROR(SUMIF($V$4:$AG$4, "RDEC", V55:AG55), "")</f>
        <v>0</v>
      </c>
      <c r="AI55" s="286" t="n">
        <f aca="false">IFERROR(SUMIF($V$4:$AG$4, "SME", V55:AG55), "")</f>
        <v>0</v>
      </c>
      <c r="AJ55" s="286" t="n">
        <f aca="false">IFERROR(SUMIF($V$4:$AG$4, "De Minimis", V55:AG55), "")</f>
        <v>0</v>
      </c>
      <c r="AK55" s="287"/>
      <c r="AL55" s="288" t="str">
        <f aca="false">IF((SUM(I55:T55)&gt;1),"ERROR","")</f>
        <v/>
      </c>
    </row>
    <row r="56" customFormat="false" ht="15" hidden="false" customHeight="true" outlineLevel="0" collapsed="false">
      <c r="E56" s="200"/>
      <c r="H56" s="350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3"/>
      <c r="V56" s="284" t="n">
        <f aca="false">IFERROR(I56*$E56, "")</f>
        <v>0</v>
      </c>
      <c r="W56" s="284" t="n">
        <f aca="false">IFERROR(J56*$E56, "")</f>
        <v>0</v>
      </c>
      <c r="X56" s="284" t="n">
        <f aca="false">IFERROR(K56*$E56, "")</f>
        <v>0</v>
      </c>
      <c r="Y56" s="284" t="n">
        <f aca="false">IFERROR(L56*$E56, "")</f>
        <v>0</v>
      </c>
      <c r="Z56" s="284" t="n">
        <f aca="false">IFERROR(M56*$E56, "")</f>
        <v>0</v>
      </c>
      <c r="AA56" s="284" t="n">
        <f aca="false">IFERROR(N56*$E56, "")</f>
        <v>0</v>
      </c>
      <c r="AB56" s="284" t="n">
        <f aca="false">IFERROR(O56*$E56, "")</f>
        <v>0</v>
      </c>
      <c r="AC56" s="284" t="n">
        <f aca="false">IFERROR(P56*$E56, "")</f>
        <v>0</v>
      </c>
      <c r="AD56" s="284" t="n">
        <f aca="false">IFERROR(Q56*$E56, "")</f>
        <v>0</v>
      </c>
      <c r="AE56" s="284" t="n">
        <f aca="false">IFERROR(R56*$E56, "")</f>
        <v>0</v>
      </c>
      <c r="AF56" s="284" t="n">
        <f aca="false">IFERROR(S56*$E56, "")</f>
        <v>0</v>
      </c>
      <c r="AG56" s="284" t="n">
        <f aca="false">IFERROR(T56*$E56, "")</f>
        <v>0</v>
      </c>
      <c r="AH56" s="286" t="n">
        <f aca="false">IFERROR(SUMIF($V$4:$AG$4, "RDEC", V56:AG56), "")</f>
        <v>0</v>
      </c>
      <c r="AI56" s="286" t="n">
        <f aca="false">IFERROR(SUMIF($V$4:$AG$4, "SME", V56:AG56), "")</f>
        <v>0</v>
      </c>
      <c r="AJ56" s="286" t="n">
        <f aca="false">IFERROR(SUMIF($V$4:$AG$4, "De Minimis", V56:AG56), "")</f>
        <v>0</v>
      </c>
      <c r="AK56" s="287"/>
      <c r="AL56" s="288" t="str">
        <f aca="false">IF((SUM(I56:T56)&gt;1),"ERROR","")</f>
        <v/>
      </c>
    </row>
    <row r="57" customFormat="false" ht="15" hidden="false" customHeight="true" outlineLevel="0" collapsed="false">
      <c r="E57" s="200"/>
      <c r="H57" s="350"/>
      <c r="I57" s="282"/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3"/>
      <c r="V57" s="284" t="n">
        <f aca="false">IFERROR(I57*$E57, "")</f>
        <v>0</v>
      </c>
      <c r="W57" s="284" t="n">
        <f aca="false">IFERROR(J57*$E57, "")</f>
        <v>0</v>
      </c>
      <c r="X57" s="284" t="n">
        <f aca="false">IFERROR(K57*$E57, "")</f>
        <v>0</v>
      </c>
      <c r="Y57" s="284" t="n">
        <f aca="false">IFERROR(L57*$E57, "")</f>
        <v>0</v>
      </c>
      <c r="Z57" s="284" t="n">
        <f aca="false">IFERROR(M57*$E57, "")</f>
        <v>0</v>
      </c>
      <c r="AA57" s="284" t="n">
        <f aca="false">IFERROR(N57*$E57, "")</f>
        <v>0</v>
      </c>
      <c r="AB57" s="284" t="n">
        <f aca="false">IFERROR(O57*$E57, "")</f>
        <v>0</v>
      </c>
      <c r="AC57" s="284" t="n">
        <f aca="false">IFERROR(P57*$E57, "")</f>
        <v>0</v>
      </c>
      <c r="AD57" s="284" t="n">
        <f aca="false">IFERROR(Q57*$E57, "")</f>
        <v>0</v>
      </c>
      <c r="AE57" s="284" t="n">
        <f aca="false">IFERROR(R57*$E57, "")</f>
        <v>0</v>
      </c>
      <c r="AF57" s="284" t="n">
        <f aca="false">IFERROR(S57*$E57, "")</f>
        <v>0</v>
      </c>
      <c r="AG57" s="284" t="n">
        <f aca="false">IFERROR(T57*$E57, "")</f>
        <v>0</v>
      </c>
      <c r="AH57" s="286" t="n">
        <f aca="false">IFERROR(SUMIF($V$4:$AG$4, "RDEC", V57:AG57), "")</f>
        <v>0</v>
      </c>
      <c r="AI57" s="286" t="n">
        <f aca="false">IFERROR(SUMIF($V$4:$AG$4, "SME", V57:AG57), "")</f>
        <v>0</v>
      </c>
      <c r="AJ57" s="286" t="n">
        <f aca="false">IFERROR(SUMIF($V$4:$AG$4, "De Minimis", V57:AG57), "")</f>
        <v>0</v>
      </c>
      <c r="AK57" s="287"/>
      <c r="AL57" s="288" t="str">
        <f aca="false">IF((SUM(I57:T57)&gt;1),"ERROR","")</f>
        <v/>
      </c>
    </row>
    <row r="58" customFormat="false" ht="15" hidden="false" customHeight="true" outlineLevel="0" collapsed="false">
      <c r="E58" s="200"/>
      <c r="H58" s="350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3"/>
      <c r="V58" s="284" t="n">
        <f aca="false">IFERROR(I58*$E58, "")</f>
        <v>0</v>
      </c>
      <c r="W58" s="284" t="n">
        <f aca="false">IFERROR(J58*$E58, "")</f>
        <v>0</v>
      </c>
      <c r="X58" s="284" t="n">
        <f aca="false">IFERROR(K58*$E58, "")</f>
        <v>0</v>
      </c>
      <c r="Y58" s="284" t="n">
        <f aca="false">IFERROR(L58*$E58, "")</f>
        <v>0</v>
      </c>
      <c r="Z58" s="284" t="n">
        <f aca="false">IFERROR(M58*$E58, "")</f>
        <v>0</v>
      </c>
      <c r="AA58" s="284" t="n">
        <f aca="false">IFERROR(N58*$E58, "")</f>
        <v>0</v>
      </c>
      <c r="AB58" s="284" t="n">
        <f aca="false">IFERROR(O58*$E58, "")</f>
        <v>0</v>
      </c>
      <c r="AC58" s="284" t="n">
        <f aca="false">IFERROR(P58*$E58, "")</f>
        <v>0</v>
      </c>
      <c r="AD58" s="284" t="n">
        <f aca="false">IFERROR(Q58*$E58, "")</f>
        <v>0</v>
      </c>
      <c r="AE58" s="284" t="n">
        <f aca="false">IFERROR(R58*$E58, "")</f>
        <v>0</v>
      </c>
      <c r="AF58" s="284" t="n">
        <f aca="false">IFERROR(S58*$E58, "")</f>
        <v>0</v>
      </c>
      <c r="AG58" s="284" t="n">
        <f aca="false">IFERROR(T58*$E58, "")</f>
        <v>0</v>
      </c>
      <c r="AH58" s="286" t="n">
        <f aca="false">IFERROR(SUMIF($V$4:$AG$4, "RDEC", V58:AG58), "")</f>
        <v>0</v>
      </c>
      <c r="AI58" s="286" t="n">
        <f aca="false">IFERROR(SUMIF($V$4:$AG$4, "SME", V58:AG58), "")</f>
        <v>0</v>
      </c>
      <c r="AJ58" s="286" t="n">
        <f aca="false">IFERROR(SUMIF($V$4:$AG$4, "De Minimis", V58:AG58), "")</f>
        <v>0</v>
      </c>
      <c r="AK58" s="287"/>
      <c r="AL58" s="288" t="str">
        <f aca="false">IF((SUM(I58:T58)&gt;1),"ERROR","")</f>
        <v/>
      </c>
    </row>
    <row r="59" customFormat="false" ht="15" hidden="false" customHeight="true" outlineLevel="0" collapsed="false">
      <c r="E59" s="200"/>
      <c r="H59" s="350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3"/>
      <c r="V59" s="284" t="n">
        <f aca="false">IFERROR(I59*$E59, "")</f>
        <v>0</v>
      </c>
      <c r="W59" s="284" t="n">
        <f aca="false">IFERROR(J59*$E59, "")</f>
        <v>0</v>
      </c>
      <c r="X59" s="284" t="n">
        <f aca="false">IFERROR(K59*$E59, "")</f>
        <v>0</v>
      </c>
      <c r="Y59" s="284" t="n">
        <f aca="false">IFERROR(L59*$E59, "")</f>
        <v>0</v>
      </c>
      <c r="Z59" s="284" t="n">
        <f aca="false">IFERROR(M59*$E59, "")</f>
        <v>0</v>
      </c>
      <c r="AA59" s="284" t="n">
        <f aca="false">IFERROR(N59*$E59, "")</f>
        <v>0</v>
      </c>
      <c r="AB59" s="284" t="n">
        <f aca="false">IFERROR(O59*$E59, "")</f>
        <v>0</v>
      </c>
      <c r="AC59" s="284" t="n">
        <f aca="false">IFERROR(P59*$E59, "")</f>
        <v>0</v>
      </c>
      <c r="AD59" s="284" t="n">
        <f aca="false">IFERROR(Q59*$E59, "")</f>
        <v>0</v>
      </c>
      <c r="AE59" s="284" t="n">
        <f aca="false">IFERROR(R59*$E59, "")</f>
        <v>0</v>
      </c>
      <c r="AF59" s="284" t="n">
        <f aca="false">IFERROR(S59*$E59, "")</f>
        <v>0</v>
      </c>
      <c r="AG59" s="284" t="n">
        <f aca="false">IFERROR(T59*$E59, "")</f>
        <v>0</v>
      </c>
      <c r="AH59" s="286" t="n">
        <f aca="false">IFERROR(SUMIF($V$4:$AG$4, "RDEC", V59:AG59), "")</f>
        <v>0</v>
      </c>
      <c r="AI59" s="286" t="n">
        <f aca="false">IFERROR(SUMIF($V$4:$AG$4, "SME", V59:AG59), "")</f>
        <v>0</v>
      </c>
      <c r="AJ59" s="286" t="n">
        <f aca="false">IFERROR(SUMIF($V$4:$AG$4, "De Minimis", V59:AG59), "")</f>
        <v>0</v>
      </c>
      <c r="AK59" s="287"/>
      <c r="AL59" s="288" t="str">
        <f aca="false">IF((SUM(I59:T59)&gt;1),"ERROR","")</f>
        <v/>
      </c>
    </row>
    <row r="60" customFormat="false" ht="15" hidden="false" customHeight="true" outlineLevel="0" collapsed="false">
      <c r="E60" s="200"/>
      <c r="H60" s="350"/>
      <c r="I60" s="282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3"/>
      <c r="V60" s="284" t="n">
        <f aca="false">IFERROR(I60*$E60, "")</f>
        <v>0</v>
      </c>
      <c r="W60" s="284" t="n">
        <f aca="false">IFERROR(J60*$E60, "")</f>
        <v>0</v>
      </c>
      <c r="X60" s="284" t="n">
        <f aca="false">IFERROR(K60*$E60, "")</f>
        <v>0</v>
      </c>
      <c r="Y60" s="284" t="n">
        <f aca="false">IFERROR(L60*$E60, "")</f>
        <v>0</v>
      </c>
      <c r="Z60" s="284" t="n">
        <f aca="false">IFERROR(M60*$E60, "")</f>
        <v>0</v>
      </c>
      <c r="AA60" s="284" t="n">
        <f aca="false">IFERROR(N60*$E60, "")</f>
        <v>0</v>
      </c>
      <c r="AB60" s="284" t="n">
        <f aca="false">IFERROR(O60*$E60, "")</f>
        <v>0</v>
      </c>
      <c r="AC60" s="284" t="n">
        <f aca="false">IFERROR(P60*$E60, "")</f>
        <v>0</v>
      </c>
      <c r="AD60" s="284" t="n">
        <f aca="false">IFERROR(Q60*$E60, "")</f>
        <v>0</v>
      </c>
      <c r="AE60" s="284" t="n">
        <f aca="false">IFERROR(R60*$E60, "")</f>
        <v>0</v>
      </c>
      <c r="AF60" s="284" t="n">
        <f aca="false">IFERROR(S60*$E60, "")</f>
        <v>0</v>
      </c>
      <c r="AG60" s="284" t="n">
        <f aca="false">IFERROR(T60*$E60, "")</f>
        <v>0</v>
      </c>
      <c r="AH60" s="286" t="n">
        <f aca="false">IFERROR(SUMIF($V$4:$AG$4, "RDEC", V60:AG60), "")</f>
        <v>0</v>
      </c>
      <c r="AI60" s="286" t="n">
        <f aca="false">IFERROR(SUMIF($V$4:$AG$4, "SME", V60:AG60), "")</f>
        <v>0</v>
      </c>
      <c r="AJ60" s="286" t="n">
        <f aca="false">IFERROR(SUMIF($V$4:$AG$4, "De Minimis", V60:AG60), "")</f>
        <v>0</v>
      </c>
      <c r="AK60" s="287"/>
      <c r="AL60" s="288" t="str">
        <f aca="false">IF((SUM(I60:T60)&gt;1),"ERROR","")</f>
        <v/>
      </c>
    </row>
    <row r="61" customFormat="false" ht="15" hidden="false" customHeight="true" outlineLevel="0" collapsed="false">
      <c r="E61" s="200"/>
      <c r="H61" s="350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3"/>
      <c r="V61" s="284" t="n">
        <f aca="false">IFERROR(I61*$E61, "")</f>
        <v>0</v>
      </c>
      <c r="W61" s="284" t="n">
        <f aca="false">IFERROR(J61*$E61, "")</f>
        <v>0</v>
      </c>
      <c r="X61" s="284" t="n">
        <f aca="false">IFERROR(K61*$E61, "")</f>
        <v>0</v>
      </c>
      <c r="Y61" s="284" t="n">
        <f aca="false">IFERROR(L61*$E61, "")</f>
        <v>0</v>
      </c>
      <c r="Z61" s="284" t="n">
        <f aca="false">IFERROR(M61*$E61, "")</f>
        <v>0</v>
      </c>
      <c r="AA61" s="284" t="n">
        <f aca="false">IFERROR(N61*$E61, "")</f>
        <v>0</v>
      </c>
      <c r="AB61" s="284" t="n">
        <f aca="false">IFERROR(O61*$E61, "")</f>
        <v>0</v>
      </c>
      <c r="AC61" s="284" t="n">
        <f aca="false">IFERROR(P61*$E61, "")</f>
        <v>0</v>
      </c>
      <c r="AD61" s="284" t="n">
        <f aca="false">IFERROR(Q61*$E61, "")</f>
        <v>0</v>
      </c>
      <c r="AE61" s="284" t="n">
        <f aca="false">IFERROR(R61*$E61, "")</f>
        <v>0</v>
      </c>
      <c r="AF61" s="284" t="n">
        <f aca="false">IFERROR(S61*$E61, "")</f>
        <v>0</v>
      </c>
      <c r="AG61" s="284" t="n">
        <f aca="false">IFERROR(T61*$E61, "")</f>
        <v>0</v>
      </c>
      <c r="AH61" s="286" t="n">
        <f aca="false">IFERROR(SUMIF($V$4:$AG$4, "RDEC", V61:AG61), "")</f>
        <v>0</v>
      </c>
      <c r="AI61" s="286" t="n">
        <f aca="false">IFERROR(SUMIF($V$4:$AG$4, "SME", V61:AG61), "")</f>
        <v>0</v>
      </c>
      <c r="AJ61" s="286" t="n">
        <f aca="false">IFERROR(SUMIF($V$4:$AG$4, "De Minimis", V61:AG61), "")</f>
        <v>0</v>
      </c>
      <c r="AK61" s="287"/>
      <c r="AL61" s="288" t="str">
        <f aca="false">IF((SUM(I61:T61)&gt;1),"ERROR","")</f>
        <v/>
      </c>
    </row>
    <row r="62" customFormat="false" ht="15" hidden="false" customHeight="true" outlineLevel="0" collapsed="false">
      <c r="E62" s="200"/>
      <c r="H62" s="350"/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3"/>
      <c r="V62" s="284" t="n">
        <f aca="false">IFERROR(I62*$E62, "")</f>
        <v>0</v>
      </c>
      <c r="W62" s="284" t="n">
        <f aca="false">IFERROR(J62*$E62, "")</f>
        <v>0</v>
      </c>
      <c r="X62" s="284" t="n">
        <f aca="false">IFERROR(K62*$E62, "")</f>
        <v>0</v>
      </c>
      <c r="Y62" s="284" t="n">
        <f aca="false">IFERROR(L62*$E62, "")</f>
        <v>0</v>
      </c>
      <c r="Z62" s="284" t="n">
        <f aca="false">IFERROR(M62*$E62, "")</f>
        <v>0</v>
      </c>
      <c r="AA62" s="284" t="n">
        <f aca="false">IFERROR(N62*$E62, "")</f>
        <v>0</v>
      </c>
      <c r="AB62" s="284" t="n">
        <f aca="false">IFERROR(O62*$E62, "")</f>
        <v>0</v>
      </c>
      <c r="AC62" s="284" t="n">
        <f aca="false">IFERROR(P62*$E62, "")</f>
        <v>0</v>
      </c>
      <c r="AD62" s="284" t="n">
        <f aca="false">IFERROR(Q62*$E62, "")</f>
        <v>0</v>
      </c>
      <c r="AE62" s="284" t="n">
        <f aca="false">IFERROR(R62*$E62, "")</f>
        <v>0</v>
      </c>
      <c r="AF62" s="284" t="n">
        <f aca="false">IFERROR(S62*$E62, "")</f>
        <v>0</v>
      </c>
      <c r="AG62" s="284" t="n">
        <f aca="false">IFERROR(T62*$E62, "")</f>
        <v>0</v>
      </c>
      <c r="AH62" s="286" t="n">
        <f aca="false">IFERROR(SUMIF($V$4:$AG$4, "RDEC", V62:AG62), "")</f>
        <v>0</v>
      </c>
      <c r="AI62" s="286" t="n">
        <f aca="false">IFERROR(SUMIF($V$4:$AG$4, "SME", V62:AG62), "")</f>
        <v>0</v>
      </c>
      <c r="AJ62" s="286" t="n">
        <f aca="false">IFERROR(SUMIF($V$4:$AG$4, "De Minimis", V62:AG62), "")</f>
        <v>0</v>
      </c>
      <c r="AK62" s="287"/>
      <c r="AL62" s="288" t="str">
        <f aca="false">IF((SUM(I62:T62)&gt;1),"ERROR","")</f>
        <v/>
      </c>
    </row>
    <row r="63" customFormat="false" ht="15" hidden="false" customHeight="true" outlineLevel="0" collapsed="false">
      <c r="E63" s="200"/>
      <c r="H63" s="350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3"/>
      <c r="V63" s="284" t="n">
        <f aca="false">IFERROR(I63*$E63, "")</f>
        <v>0</v>
      </c>
      <c r="W63" s="284" t="n">
        <f aca="false">IFERROR(J63*$E63, "")</f>
        <v>0</v>
      </c>
      <c r="X63" s="284" t="n">
        <f aca="false">IFERROR(K63*$E63, "")</f>
        <v>0</v>
      </c>
      <c r="Y63" s="284" t="n">
        <f aca="false">IFERROR(L63*$E63, "")</f>
        <v>0</v>
      </c>
      <c r="Z63" s="284" t="n">
        <f aca="false">IFERROR(M63*$E63, "")</f>
        <v>0</v>
      </c>
      <c r="AA63" s="284" t="n">
        <f aca="false">IFERROR(N63*$E63, "")</f>
        <v>0</v>
      </c>
      <c r="AB63" s="284" t="n">
        <f aca="false">IFERROR(O63*$E63, "")</f>
        <v>0</v>
      </c>
      <c r="AC63" s="284" t="n">
        <f aca="false">IFERROR(P63*$E63, "")</f>
        <v>0</v>
      </c>
      <c r="AD63" s="284" t="n">
        <f aca="false">IFERROR(Q63*$E63, "")</f>
        <v>0</v>
      </c>
      <c r="AE63" s="284" t="n">
        <f aca="false">IFERROR(R63*$E63, "")</f>
        <v>0</v>
      </c>
      <c r="AF63" s="284" t="n">
        <f aca="false">IFERROR(S63*$E63, "")</f>
        <v>0</v>
      </c>
      <c r="AG63" s="284" t="n">
        <f aca="false">IFERROR(T63*$E63, "")</f>
        <v>0</v>
      </c>
      <c r="AH63" s="286" t="n">
        <f aca="false">IFERROR(SUMIF($V$4:$AG$4, "RDEC", V63:AG63), "")</f>
        <v>0</v>
      </c>
      <c r="AI63" s="286" t="n">
        <f aca="false">IFERROR(SUMIF($V$4:$AG$4, "SME", V63:AG63), "")</f>
        <v>0</v>
      </c>
      <c r="AJ63" s="286" t="n">
        <f aca="false">IFERROR(SUMIF($V$4:$AG$4, "De Minimis", V63:AG63), "")</f>
        <v>0</v>
      </c>
      <c r="AK63" s="287"/>
      <c r="AL63" s="288" t="str">
        <f aca="false">IF((SUM(I63:T63)&gt;1),"ERROR","")</f>
        <v/>
      </c>
    </row>
    <row r="64" customFormat="false" ht="15" hidden="false" customHeight="true" outlineLevel="0" collapsed="false">
      <c r="E64" s="200"/>
      <c r="H64" s="350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3"/>
      <c r="V64" s="284" t="n">
        <f aca="false">IFERROR(I64*$E64, "")</f>
        <v>0</v>
      </c>
      <c r="W64" s="284" t="n">
        <f aca="false">IFERROR(J64*$E64, "")</f>
        <v>0</v>
      </c>
      <c r="X64" s="284" t="n">
        <f aca="false">IFERROR(K64*$E64, "")</f>
        <v>0</v>
      </c>
      <c r="Y64" s="284" t="n">
        <f aca="false">IFERROR(L64*$E64, "")</f>
        <v>0</v>
      </c>
      <c r="Z64" s="284" t="n">
        <f aca="false">IFERROR(M64*$E64, "")</f>
        <v>0</v>
      </c>
      <c r="AA64" s="284" t="n">
        <f aca="false">IFERROR(N64*$E64, "")</f>
        <v>0</v>
      </c>
      <c r="AB64" s="284" t="n">
        <f aca="false">IFERROR(O64*$E64, "")</f>
        <v>0</v>
      </c>
      <c r="AC64" s="284" t="n">
        <f aca="false">IFERROR(P64*$E64, "")</f>
        <v>0</v>
      </c>
      <c r="AD64" s="284" t="n">
        <f aca="false">IFERROR(Q64*$E64, "")</f>
        <v>0</v>
      </c>
      <c r="AE64" s="284" t="n">
        <f aca="false">IFERROR(R64*$E64, "")</f>
        <v>0</v>
      </c>
      <c r="AF64" s="284" t="n">
        <f aca="false">IFERROR(S64*$E64, "")</f>
        <v>0</v>
      </c>
      <c r="AG64" s="284" t="n">
        <f aca="false">IFERROR(T64*$E64, "")</f>
        <v>0</v>
      </c>
      <c r="AH64" s="286" t="n">
        <f aca="false">IFERROR(SUMIF($V$4:$AG$4, "RDEC", V64:AG64), "")</f>
        <v>0</v>
      </c>
      <c r="AI64" s="286" t="n">
        <f aca="false">IFERROR(SUMIF($V$4:$AG$4, "SME", V64:AG64), "")</f>
        <v>0</v>
      </c>
      <c r="AJ64" s="286" t="n">
        <f aca="false">IFERROR(SUMIF($V$4:$AG$4, "De Minimis", V64:AG64), "")</f>
        <v>0</v>
      </c>
      <c r="AK64" s="303"/>
      <c r="AL64" s="288" t="str">
        <f aca="false">IF((SUM(I64:T64)&gt;1),"ERROR","")</f>
        <v/>
      </c>
    </row>
    <row r="65" customFormat="false" ht="15" hidden="false" customHeight="true" outlineLevel="0" collapsed="false">
      <c r="E65" s="200"/>
      <c r="H65" s="350"/>
      <c r="I65" s="282"/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3"/>
      <c r="V65" s="284" t="n">
        <f aca="false">IFERROR(I65*$E65, "")</f>
        <v>0</v>
      </c>
      <c r="W65" s="284" t="n">
        <f aca="false">IFERROR(J65*$E65, "")</f>
        <v>0</v>
      </c>
      <c r="X65" s="284" t="n">
        <f aca="false">IFERROR(K65*$E65, "")</f>
        <v>0</v>
      </c>
      <c r="Y65" s="284" t="n">
        <f aca="false">IFERROR(L65*$E65, "")</f>
        <v>0</v>
      </c>
      <c r="Z65" s="284" t="n">
        <f aca="false">IFERROR(M65*$E65, "")</f>
        <v>0</v>
      </c>
      <c r="AA65" s="284" t="n">
        <f aca="false">IFERROR(N65*$E65, "")</f>
        <v>0</v>
      </c>
      <c r="AB65" s="284" t="n">
        <f aca="false">IFERROR(O65*$E65, "")</f>
        <v>0</v>
      </c>
      <c r="AC65" s="284" t="n">
        <f aca="false">IFERROR(P65*$E65, "")</f>
        <v>0</v>
      </c>
      <c r="AD65" s="284" t="n">
        <f aca="false">IFERROR(Q65*$E65, "")</f>
        <v>0</v>
      </c>
      <c r="AE65" s="284" t="n">
        <f aca="false">IFERROR(R65*$E65, "")</f>
        <v>0</v>
      </c>
      <c r="AF65" s="284" t="n">
        <f aca="false">IFERROR(S65*$E65, "")</f>
        <v>0</v>
      </c>
      <c r="AG65" s="284" t="n">
        <f aca="false">IFERROR(T65*$E65, "")</f>
        <v>0</v>
      </c>
      <c r="AH65" s="286" t="n">
        <f aca="false">IFERROR(SUMIF($V$4:$AG$4, "RDEC", V65:AG65), "")</f>
        <v>0</v>
      </c>
      <c r="AI65" s="286" t="n">
        <f aca="false">IFERROR(SUMIF($V$4:$AG$4, "SME", V65:AG65), "")</f>
        <v>0</v>
      </c>
      <c r="AJ65" s="286" t="n">
        <f aca="false">IFERROR(SUMIF($V$4:$AG$4, "De Minimis", V65:AG65), "")</f>
        <v>0</v>
      </c>
      <c r="AL65" s="288" t="str">
        <f aca="false">IF((SUM(I65:T65)&gt;1),"ERROR","")</f>
        <v/>
      </c>
    </row>
    <row r="66" customFormat="false" ht="15" hidden="false" customHeight="true" outlineLevel="0" collapsed="false">
      <c r="E66" s="200"/>
      <c r="H66" s="350"/>
      <c r="I66" s="282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3"/>
      <c r="V66" s="284" t="n">
        <f aca="false">IFERROR(I66*$E66, "")</f>
        <v>0</v>
      </c>
      <c r="W66" s="284" t="n">
        <f aca="false">IFERROR(J66*$E66, "")</f>
        <v>0</v>
      </c>
      <c r="X66" s="284" t="n">
        <f aca="false">IFERROR(K66*$E66, "")</f>
        <v>0</v>
      </c>
      <c r="Y66" s="284" t="n">
        <f aca="false">IFERROR(L66*$E66, "")</f>
        <v>0</v>
      </c>
      <c r="Z66" s="284" t="n">
        <f aca="false">IFERROR(M66*$E66, "")</f>
        <v>0</v>
      </c>
      <c r="AA66" s="284" t="n">
        <f aca="false">IFERROR(N66*$E66, "")</f>
        <v>0</v>
      </c>
      <c r="AB66" s="284" t="n">
        <f aca="false">IFERROR(O66*$E66, "")</f>
        <v>0</v>
      </c>
      <c r="AC66" s="284" t="n">
        <f aca="false">IFERROR(P66*$E66, "")</f>
        <v>0</v>
      </c>
      <c r="AD66" s="284" t="n">
        <f aca="false">IFERROR(Q66*$E66, "")</f>
        <v>0</v>
      </c>
      <c r="AE66" s="284" t="n">
        <f aca="false">IFERROR(R66*$E66, "")</f>
        <v>0</v>
      </c>
      <c r="AF66" s="284" t="n">
        <f aca="false">IFERROR(S66*$E66, "")</f>
        <v>0</v>
      </c>
      <c r="AG66" s="284" t="n">
        <f aca="false">IFERROR(T66*$E66, "")</f>
        <v>0</v>
      </c>
      <c r="AH66" s="286" t="n">
        <f aca="false">IFERROR(SUMIF($V$4:$AG$4, "RDEC", V66:AG66), "")</f>
        <v>0</v>
      </c>
      <c r="AI66" s="286" t="n">
        <f aca="false">IFERROR(SUMIF($V$4:$AG$4, "SME", V66:AG66), "")</f>
        <v>0</v>
      </c>
      <c r="AJ66" s="286" t="n">
        <f aca="false">IFERROR(SUMIF($V$4:$AG$4, "De Minimis", V66:AG66), "")</f>
        <v>0</v>
      </c>
      <c r="AK66" s="268"/>
      <c r="AL66" s="288" t="str">
        <f aca="false">IF((SUM(I66:T66)&gt;1),"ERROR","")</f>
        <v/>
      </c>
    </row>
    <row r="67" customFormat="false" ht="15" hidden="false" customHeight="true" outlineLevel="0" collapsed="false">
      <c r="E67" s="200"/>
      <c r="H67" s="350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3"/>
      <c r="V67" s="284" t="n">
        <f aca="false">IFERROR(I67*$E67, "")</f>
        <v>0</v>
      </c>
      <c r="W67" s="284" t="n">
        <f aca="false">IFERROR(J67*$E67, "")</f>
        <v>0</v>
      </c>
      <c r="X67" s="284" t="n">
        <f aca="false">IFERROR(K67*$E67, "")</f>
        <v>0</v>
      </c>
      <c r="Y67" s="284" t="n">
        <f aca="false">IFERROR(L67*$E67, "")</f>
        <v>0</v>
      </c>
      <c r="Z67" s="284" t="n">
        <f aca="false">IFERROR(M67*$E67, "")</f>
        <v>0</v>
      </c>
      <c r="AA67" s="284" t="n">
        <f aca="false">IFERROR(N67*$E67, "")</f>
        <v>0</v>
      </c>
      <c r="AB67" s="284" t="n">
        <f aca="false">IFERROR(O67*$E67, "")</f>
        <v>0</v>
      </c>
      <c r="AC67" s="284" t="n">
        <f aca="false">IFERROR(P67*$E67, "")</f>
        <v>0</v>
      </c>
      <c r="AD67" s="284" t="n">
        <f aca="false">IFERROR(Q67*$E67, "")</f>
        <v>0</v>
      </c>
      <c r="AE67" s="284" t="n">
        <f aca="false">IFERROR(R67*$E67, "")</f>
        <v>0</v>
      </c>
      <c r="AF67" s="284" t="n">
        <f aca="false">IFERROR(S67*$E67, "")</f>
        <v>0</v>
      </c>
      <c r="AG67" s="284" t="n">
        <f aca="false">IFERROR(T67*$E67, "")</f>
        <v>0</v>
      </c>
      <c r="AH67" s="286" t="n">
        <f aca="false">IFERROR(SUMIF($V$4:$AG$4, "RDEC", V67:AG67), "")</f>
        <v>0</v>
      </c>
      <c r="AI67" s="286" t="n">
        <f aca="false">IFERROR(SUMIF($V$4:$AG$4, "SME", V67:AG67), "")</f>
        <v>0</v>
      </c>
      <c r="AJ67" s="286" t="n">
        <f aca="false">IFERROR(SUMIF($V$4:$AG$4, "De Minimis", V67:AG67), "")</f>
        <v>0</v>
      </c>
      <c r="AK67" s="287"/>
      <c r="AL67" s="288" t="str">
        <f aca="false">IF((SUM(I67:T67)&gt;1),"ERROR","")</f>
        <v/>
      </c>
    </row>
    <row r="68" customFormat="false" ht="15" hidden="false" customHeight="true" outlineLevel="0" collapsed="false">
      <c r="E68" s="200"/>
      <c r="H68" s="350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3"/>
      <c r="V68" s="284" t="n">
        <f aca="false">IFERROR(I68*$E68, "")</f>
        <v>0</v>
      </c>
      <c r="W68" s="284" t="n">
        <f aca="false">IFERROR(J68*$E68, "")</f>
        <v>0</v>
      </c>
      <c r="X68" s="284" t="n">
        <f aca="false">IFERROR(K68*$E68, "")</f>
        <v>0</v>
      </c>
      <c r="Y68" s="284" t="n">
        <f aca="false">IFERROR(L68*$E68, "")</f>
        <v>0</v>
      </c>
      <c r="Z68" s="284" t="n">
        <f aca="false">IFERROR(M68*$E68, "")</f>
        <v>0</v>
      </c>
      <c r="AA68" s="284" t="n">
        <f aca="false">IFERROR(N68*$E68, "")</f>
        <v>0</v>
      </c>
      <c r="AB68" s="284" t="n">
        <f aca="false">IFERROR(O68*$E68, "")</f>
        <v>0</v>
      </c>
      <c r="AC68" s="284" t="n">
        <f aca="false">IFERROR(P68*$E68, "")</f>
        <v>0</v>
      </c>
      <c r="AD68" s="284" t="n">
        <f aca="false">IFERROR(Q68*$E68, "")</f>
        <v>0</v>
      </c>
      <c r="AE68" s="284" t="n">
        <f aca="false">IFERROR(R68*$E68, "")</f>
        <v>0</v>
      </c>
      <c r="AF68" s="284" t="n">
        <f aca="false">IFERROR(S68*$E68, "")</f>
        <v>0</v>
      </c>
      <c r="AG68" s="284" t="n">
        <f aca="false">IFERROR(T68*$E68, "")</f>
        <v>0</v>
      </c>
      <c r="AH68" s="286" t="n">
        <f aca="false">IFERROR(SUMIF($V$4:$AG$4, "RDEC", V68:AG68), "")</f>
        <v>0</v>
      </c>
      <c r="AI68" s="286" t="n">
        <f aca="false">IFERROR(SUMIF($V$4:$AG$4, "SME", V68:AG68), "")</f>
        <v>0</v>
      </c>
      <c r="AJ68" s="286" t="n">
        <f aca="false">IFERROR(SUMIF($V$4:$AG$4, "De Minimis", V68:AG68), "")</f>
        <v>0</v>
      </c>
      <c r="AK68" s="287"/>
      <c r="AL68" s="288" t="str">
        <f aca="false">IF((SUM(I68:T68)&gt;1),"ERROR","")</f>
        <v/>
      </c>
    </row>
    <row r="69" customFormat="false" ht="15" hidden="false" customHeight="true" outlineLevel="0" collapsed="false">
      <c r="E69" s="200"/>
      <c r="H69" s="350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3"/>
      <c r="V69" s="284" t="n">
        <f aca="false">IFERROR(I69*$E69, "")</f>
        <v>0</v>
      </c>
      <c r="W69" s="284" t="n">
        <f aca="false">IFERROR(J69*$E69, "")</f>
        <v>0</v>
      </c>
      <c r="X69" s="284" t="n">
        <f aca="false">IFERROR(K69*$E69, "")</f>
        <v>0</v>
      </c>
      <c r="Y69" s="284" t="n">
        <f aca="false">IFERROR(L69*$E69, "")</f>
        <v>0</v>
      </c>
      <c r="Z69" s="284" t="n">
        <f aca="false">IFERROR(M69*$E69, "")</f>
        <v>0</v>
      </c>
      <c r="AA69" s="284" t="n">
        <f aca="false">IFERROR(N69*$E69, "")</f>
        <v>0</v>
      </c>
      <c r="AB69" s="284" t="n">
        <f aca="false">IFERROR(O69*$E69, "")</f>
        <v>0</v>
      </c>
      <c r="AC69" s="284" t="n">
        <f aca="false">IFERROR(P69*$E69, "")</f>
        <v>0</v>
      </c>
      <c r="AD69" s="284" t="n">
        <f aca="false">IFERROR(Q69*$E69, "")</f>
        <v>0</v>
      </c>
      <c r="AE69" s="284" t="n">
        <f aca="false">IFERROR(R69*$E69, "")</f>
        <v>0</v>
      </c>
      <c r="AF69" s="284" t="n">
        <f aca="false">IFERROR(S69*$E69, "")</f>
        <v>0</v>
      </c>
      <c r="AG69" s="284" t="n">
        <f aca="false">IFERROR(T69*$E69, "")</f>
        <v>0</v>
      </c>
      <c r="AH69" s="286" t="n">
        <f aca="false">IFERROR(SUMIF($V$4:$AG$4, "RDEC", V69:AG69), "")</f>
        <v>0</v>
      </c>
      <c r="AI69" s="286" t="n">
        <f aca="false">IFERROR(SUMIF($V$4:$AG$4, "SME", V69:AG69), "")</f>
        <v>0</v>
      </c>
      <c r="AJ69" s="286" t="n">
        <f aca="false">IFERROR(SUMIF($V$4:$AG$4, "De Minimis", V69:AG69), "")</f>
        <v>0</v>
      </c>
      <c r="AK69" s="287"/>
      <c r="AL69" s="288" t="str">
        <f aca="false">IF((SUM(I69:T69)&gt;1),"ERROR","")</f>
        <v/>
      </c>
    </row>
    <row r="70" customFormat="false" ht="15" hidden="false" customHeight="true" outlineLevel="0" collapsed="false">
      <c r="E70" s="200"/>
      <c r="H70" s="350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3"/>
      <c r="V70" s="284" t="n">
        <f aca="false">IFERROR(I70*$E70, "")</f>
        <v>0</v>
      </c>
      <c r="W70" s="284" t="n">
        <f aca="false">IFERROR(J70*$E70, "")</f>
        <v>0</v>
      </c>
      <c r="X70" s="284" t="n">
        <f aca="false">IFERROR(K70*$E70, "")</f>
        <v>0</v>
      </c>
      <c r="Y70" s="284" t="n">
        <f aca="false">IFERROR(L70*$E70, "")</f>
        <v>0</v>
      </c>
      <c r="Z70" s="284" t="n">
        <f aca="false">IFERROR(M70*$E70, "")</f>
        <v>0</v>
      </c>
      <c r="AA70" s="284" t="n">
        <f aca="false">IFERROR(N70*$E70, "")</f>
        <v>0</v>
      </c>
      <c r="AB70" s="284" t="n">
        <f aca="false">IFERROR(O70*$E70, "")</f>
        <v>0</v>
      </c>
      <c r="AC70" s="284" t="n">
        <f aca="false">IFERROR(P70*$E70, "")</f>
        <v>0</v>
      </c>
      <c r="AD70" s="284" t="n">
        <f aca="false">IFERROR(Q70*$E70, "")</f>
        <v>0</v>
      </c>
      <c r="AE70" s="284" t="n">
        <f aca="false">IFERROR(R70*$E70, "")</f>
        <v>0</v>
      </c>
      <c r="AF70" s="284" t="n">
        <f aca="false">IFERROR(S70*$E70, "")</f>
        <v>0</v>
      </c>
      <c r="AG70" s="284" t="n">
        <f aca="false">IFERROR(T70*$E70, "")</f>
        <v>0</v>
      </c>
      <c r="AH70" s="286" t="n">
        <f aca="false">IFERROR(SUMIF($V$4:$AG$4, "RDEC", V70:AG70), "")</f>
        <v>0</v>
      </c>
      <c r="AI70" s="286" t="n">
        <f aca="false">IFERROR(SUMIF($V$4:$AG$4, "SME", V70:AG70), "")</f>
        <v>0</v>
      </c>
      <c r="AJ70" s="286" t="n">
        <f aca="false">IFERROR(SUMIF($V$4:$AG$4, "De Minimis", V70:AG70), "")</f>
        <v>0</v>
      </c>
      <c r="AK70" s="287"/>
      <c r="AL70" s="288" t="str">
        <f aca="false">IF((SUM(I70:T70)&gt;1),"ERROR","")</f>
        <v/>
      </c>
    </row>
    <row r="71" customFormat="false" ht="15" hidden="false" customHeight="true" outlineLevel="0" collapsed="false">
      <c r="E71" s="200"/>
      <c r="H71" s="350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3"/>
      <c r="V71" s="284" t="n">
        <f aca="false">IFERROR(I71*$E71, "")</f>
        <v>0</v>
      </c>
      <c r="W71" s="284" t="n">
        <f aca="false">IFERROR(J71*$E71, "")</f>
        <v>0</v>
      </c>
      <c r="X71" s="284" t="n">
        <f aca="false">IFERROR(K71*$E71, "")</f>
        <v>0</v>
      </c>
      <c r="Y71" s="284" t="n">
        <f aca="false">IFERROR(L71*$E71, "")</f>
        <v>0</v>
      </c>
      <c r="Z71" s="284" t="n">
        <f aca="false">IFERROR(M71*$E71, "")</f>
        <v>0</v>
      </c>
      <c r="AA71" s="284" t="n">
        <f aca="false">IFERROR(N71*$E71, "")</f>
        <v>0</v>
      </c>
      <c r="AB71" s="284" t="n">
        <f aca="false">IFERROR(O71*$E71, "")</f>
        <v>0</v>
      </c>
      <c r="AC71" s="284" t="n">
        <f aca="false">IFERROR(P71*$E71, "")</f>
        <v>0</v>
      </c>
      <c r="AD71" s="284" t="n">
        <f aca="false">IFERROR(Q71*$E71, "")</f>
        <v>0</v>
      </c>
      <c r="AE71" s="284" t="n">
        <f aca="false">IFERROR(R71*$E71, "")</f>
        <v>0</v>
      </c>
      <c r="AF71" s="284" t="n">
        <f aca="false">IFERROR(S71*$E71, "")</f>
        <v>0</v>
      </c>
      <c r="AG71" s="284" t="n">
        <f aca="false">IFERROR(T71*$E71, "")</f>
        <v>0</v>
      </c>
      <c r="AH71" s="286" t="n">
        <f aca="false">IFERROR(SUMIF($V$4:$AG$4, "RDEC", V71:AG71), "")</f>
        <v>0</v>
      </c>
      <c r="AI71" s="286" t="n">
        <f aca="false">IFERROR(SUMIF($V$4:$AG$4, "SME", V71:AG71), "")</f>
        <v>0</v>
      </c>
      <c r="AJ71" s="286" t="n">
        <f aca="false">IFERROR(SUMIF($V$4:$AG$4, "De Minimis", V71:AG71), "")</f>
        <v>0</v>
      </c>
      <c r="AK71" s="287"/>
      <c r="AL71" s="288" t="str">
        <f aca="false">IF((SUM(I71:T71)&gt;1),"ERROR","")</f>
        <v/>
      </c>
    </row>
    <row r="72" customFormat="false" ht="15" hidden="false" customHeight="true" outlineLevel="0" collapsed="false">
      <c r="E72" s="200"/>
      <c r="H72" s="350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3"/>
      <c r="V72" s="284" t="n">
        <f aca="false">IFERROR(I72*$E72, "")</f>
        <v>0</v>
      </c>
      <c r="W72" s="284" t="n">
        <f aca="false">IFERROR(J72*$E72, "")</f>
        <v>0</v>
      </c>
      <c r="X72" s="284" t="n">
        <f aca="false">IFERROR(K72*$E72, "")</f>
        <v>0</v>
      </c>
      <c r="Y72" s="284" t="n">
        <f aca="false">IFERROR(L72*$E72, "")</f>
        <v>0</v>
      </c>
      <c r="Z72" s="284" t="n">
        <f aca="false">IFERROR(M72*$E72, "")</f>
        <v>0</v>
      </c>
      <c r="AA72" s="284" t="n">
        <f aca="false">IFERROR(N72*$E72, "")</f>
        <v>0</v>
      </c>
      <c r="AB72" s="284" t="n">
        <f aca="false">IFERROR(O72*$E72, "")</f>
        <v>0</v>
      </c>
      <c r="AC72" s="284" t="n">
        <f aca="false">IFERROR(P72*$E72, "")</f>
        <v>0</v>
      </c>
      <c r="AD72" s="284" t="n">
        <f aca="false">IFERROR(Q72*$E72, "")</f>
        <v>0</v>
      </c>
      <c r="AE72" s="284" t="n">
        <f aca="false">IFERROR(R72*$E72, "")</f>
        <v>0</v>
      </c>
      <c r="AF72" s="284" t="n">
        <f aca="false">IFERROR(S72*$E72, "")</f>
        <v>0</v>
      </c>
      <c r="AG72" s="284" t="n">
        <f aca="false">IFERROR(T72*$E72, "")</f>
        <v>0</v>
      </c>
      <c r="AH72" s="286" t="n">
        <f aca="false">IFERROR(SUMIF($V$4:$AG$4, "RDEC", V72:AG72), "")</f>
        <v>0</v>
      </c>
      <c r="AI72" s="286" t="n">
        <f aca="false">IFERROR(SUMIF($V$4:$AG$4, "SME", V72:AG72), "")</f>
        <v>0</v>
      </c>
      <c r="AJ72" s="286" t="n">
        <f aca="false">IFERROR(SUMIF($V$4:$AG$4, "De Minimis", V72:AG72), "")</f>
        <v>0</v>
      </c>
      <c r="AK72" s="287"/>
      <c r="AL72" s="288" t="str">
        <f aca="false">IF((SUM(I72:T72)&gt;1),"ERROR","")</f>
        <v/>
      </c>
    </row>
    <row r="73" customFormat="false" ht="15" hidden="false" customHeight="true" outlineLevel="0" collapsed="false">
      <c r="E73" s="200"/>
      <c r="H73" s="350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3"/>
      <c r="V73" s="284" t="n">
        <f aca="false">IFERROR(I73*$E73, "")</f>
        <v>0</v>
      </c>
      <c r="W73" s="284" t="n">
        <f aca="false">IFERROR(J73*$E73, "")</f>
        <v>0</v>
      </c>
      <c r="X73" s="284" t="n">
        <f aca="false">IFERROR(K73*$E73, "")</f>
        <v>0</v>
      </c>
      <c r="Y73" s="284" t="n">
        <f aca="false">IFERROR(L73*$E73, "")</f>
        <v>0</v>
      </c>
      <c r="Z73" s="284" t="n">
        <f aca="false">IFERROR(M73*$E73, "")</f>
        <v>0</v>
      </c>
      <c r="AA73" s="284" t="n">
        <f aca="false">IFERROR(N73*$E73, "")</f>
        <v>0</v>
      </c>
      <c r="AB73" s="284" t="n">
        <f aca="false">IFERROR(O73*$E73, "")</f>
        <v>0</v>
      </c>
      <c r="AC73" s="284" t="n">
        <f aca="false">IFERROR(P73*$E73, "")</f>
        <v>0</v>
      </c>
      <c r="AD73" s="284" t="n">
        <f aca="false">IFERROR(Q73*$E73, "")</f>
        <v>0</v>
      </c>
      <c r="AE73" s="284" t="n">
        <f aca="false">IFERROR(R73*$E73, "")</f>
        <v>0</v>
      </c>
      <c r="AF73" s="284" t="n">
        <f aca="false">IFERROR(S73*$E73, "")</f>
        <v>0</v>
      </c>
      <c r="AG73" s="284" t="n">
        <f aca="false">IFERROR(T73*$E73, "")</f>
        <v>0</v>
      </c>
      <c r="AH73" s="286" t="n">
        <f aca="false">IFERROR(SUMIF($V$4:$AG$4, "RDEC", V73:AG73), "")</f>
        <v>0</v>
      </c>
      <c r="AI73" s="286" t="n">
        <f aca="false">IFERROR(SUMIF($V$4:$AG$4, "SME", V73:AG73), "")</f>
        <v>0</v>
      </c>
      <c r="AJ73" s="286" t="n">
        <f aca="false">IFERROR(SUMIF($V$4:$AG$4, "De Minimis", V73:AG73), "")</f>
        <v>0</v>
      </c>
      <c r="AK73" s="287"/>
      <c r="AL73" s="288" t="str">
        <f aca="false">IF((SUM(I73:T73)&gt;1),"ERROR","")</f>
        <v/>
      </c>
    </row>
    <row r="74" customFormat="false" ht="15" hidden="false" customHeight="true" outlineLevel="0" collapsed="false">
      <c r="E74" s="200"/>
      <c r="H74" s="350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3"/>
      <c r="V74" s="284" t="n">
        <f aca="false">IFERROR(I74*$E74, "")</f>
        <v>0</v>
      </c>
      <c r="W74" s="284" t="n">
        <f aca="false">IFERROR(J74*$E74, "")</f>
        <v>0</v>
      </c>
      <c r="X74" s="284" t="n">
        <f aca="false">IFERROR(K74*$E74, "")</f>
        <v>0</v>
      </c>
      <c r="Y74" s="284" t="n">
        <f aca="false">IFERROR(L74*$E74, "")</f>
        <v>0</v>
      </c>
      <c r="Z74" s="284" t="n">
        <f aca="false">IFERROR(M74*$E74, "")</f>
        <v>0</v>
      </c>
      <c r="AA74" s="284" t="n">
        <f aca="false">IFERROR(N74*$E74, "")</f>
        <v>0</v>
      </c>
      <c r="AB74" s="284" t="n">
        <f aca="false">IFERROR(O74*$E74, "")</f>
        <v>0</v>
      </c>
      <c r="AC74" s="284" t="n">
        <f aca="false">IFERROR(P74*$E74, "")</f>
        <v>0</v>
      </c>
      <c r="AD74" s="284" t="n">
        <f aca="false">IFERROR(Q74*$E74, "")</f>
        <v>0</v>
      </c>
      <c r="AE74" s="284" t="n">
        <f aca="false">IFERROR(R74*$E74, "")</f>
        <v>0</v>
      </c>
      <c r="AF74" s="284" t="n">
        <f aca="false">IFERROR(S74*$E74, "")</f>
        <v>0</v>
      </c>
      <c r="AG74" s="284" t="n">
        <f aca="false">IFERROR(T74*$E74, "")</f>
        <v>0</v>
      </c>
      <c r="AH74" s="286" t="n">
        <f aca="false">IFERROR(SUMIF($V$4:$AG$4, "RDEC", V74:AG74), "")</f>
        <v>0</v>
      </c>
      <c r="AI74" s="286" t="n">
        <f aca="false">IFERROR(SUMIF($V$4:$AG$4, "SME", V74:AG74), "")</f>
        <v>0</v>
      </c>
      <c r="AJ74" s="286" t="n">
        <f aca="false">IFERROR(SUMIF($V$4:$AG$4, "De Minimis", V74:AG74), "")</f>
        <v>0</v>
      </c>
      <c r="AK74" s="287"/>
      <c r="AL74" s="288" t="str">
        <f aca="false">IF((SUM(I74:T74)&gt;1),"ERROR","")</f>
        <v/>
      </c>
    </row>
    <row r="75" customFormat="false" ht="15" hidden="false" customHeight="true" outlineLevel="0" collapsed="false">
      <c r="E75" s="200"/>
      <c r="H75" s="350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3"/>
      <c r="V75" s="284" t="n">
        <f aca="false">IFERROR(I75*$E75, "")</f>
        <v>0</v>
      </c>
      <c r="W75" s="284" t="n">
        <f aca="false">IFERROR(J75*$E75, "")</f>
        <v>0</v>
      </c>
      <c r="X75" s="284" t="n">
        <f aca="false">IFERROR(K75*$E75, "")</f>
        <v>0</v>
      </c>
      <c r="Y75" s="284" t="n">
        <f aca="false">IFERROR(L75*$E75, "")</f>
        <v>0</v>
      </c>
      <c r="Z75" s="284" t="n">
        <f aca="false">IFERROR(M75*$E75, "")</f>
        <v>0</v>
      </c>
      <c r="AA75" s="284" t="n">
        <f aca="false">IFERROR(N75*$E75, "")</f>
        <v>0</v>
      </c>
      <c r="AB75" s="284" t="n">
        <f aca="false">IFERROR(O75*$E75, "")</f>
        <v>0</v>
      </c>
      <c r="AC75" s="284" t="n">
        <f aca="false">IFERROR(P75*$E75, "")</f>
        <v>0</v>
      </c>
      <c r="AD75" s="284" t="n">
        <f aca="false">IFERROR(Q75*$E75, "")</f>
        <v>0</v>
      </c>
      <c r="AE75" s="284" t="n">
        <f aca="false">IFERROR(R75*$E75, "")</f>
        <v>0</v>
      </c>
      <c r="AF75" s="284" t="n">
        <f aca="false">IFERROR(S75*$E75, "")</f>
        <v>0</v>
      </c>
      <c r="AG75" s="284" t="n">
        <f aca="false">IFERROR(T75*$E75, "")</f>
        <v>0</v>
      </c>
      <c r="AH75" s="286" t="n">
        <f aca="false">IFERROR(SUMIF($V$4:$AG$4, "RDEC", V75:AG75), "")</f>
        <v>0</v>
      </c>
      <c r="AI75" s="286" t="n">
        <f aca="false">IFERROR(SUMIF($V$4:$AG$4, "SME", V75:AG75), "")</f>
        <v>0</v>
      </c>
      <c r="AJ75" s="286" t="n">
        <f aca="false">IFERROR(SUMIF($V$4:$AG$4, "De Minimis", V75:AG75), "")</f>
        <v>0</v>
      </c>
      <c r="AK75" s="287"/>
      <c r="AL75" s="288" t="str">
        <f aca="false">IF((SUM(I75:T75)&gt;1),"ERROR","")</f>
        <v/>
      </c>
    </row>
    <row r="76" customFormat="false" ht="15" hidden="false" customHeight="true" outlineLevel="0" collapsed="false">
      <c r="E76" s="200"/>
      <c r="H76" s="350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3"/>
      <c r="V76" s="284" t="n">
        <f aca="false">IFERROR(I76*$E76, "")</f>
        <v>0</v>
      </c>
      <c r="W76" s="284" t="n">
        <f aca="false">IFERROR(J76*$E76, "")</f>
        <v>0</v>
      </c>
      <c r="X76" s="284" t="n">
        <f aca="false">IFERROR(K76*$E76, "")</f>
        <v>0</v>
      </c>
      <c r="Y76" s="284" t="n">
        <f aca="false">IFERROR(L76*$E76, "")</f>
        <v>0</v>
      </c>
      <c r="Z76" s="284" t="n">
        <f aca="false">IFERROR(M76*$E76, "")</f>
        <v>0</v>
      </c>
      <c r="AA76" s="284" t="n">
        <f aca="false">IFERROR(N76*$E76, "")</f>
        <v>0</v>
      </c>
      <c r="AB76" s="284" t="n">
        <f aca="false">IFERROR(O76*$E76, "")</f>
        <v>0</v>
      </c>
      <c r="AC76" s="284" t="n">
        <f aca="false">IFERROR(P76*$E76, "")</f>
        <v>0</v>
      </c>
      <c r="AD76" s="284" t="n">
        <f aca="false">IFERROR(Q76*$E76, "")</f>
        <v>0</v>
      </c>
      <c r="AE76" s="284" t="n">
        <f aca="false">IFERROR(R76*$E76, "")</f>
        <v>0</v>
      </c>
      <c r="AF76" s="284" t="n">
        <f aca="false">IFERROR(S76*$E76, "")</f>
        <v>0</v>
      </c>
      <c r="AG76" s="284" t="n">
        <f aca="false">IFERROR(T76*$E76, "")</f>
        <v>0</v>
      </c>
      <c r="AH76" s="286" t="n">
        <f aca="false">IFERROR(SUMIF($V$4:$AG$4, "RDEC", V76:AG76), "")</f>
        <v>0</v>
      </c>
      <c r="AI76" s="286" t="n">
        <f aca="false">IFERROR(SUMIF($V$4:$AG$4, "SME", V76:AG76), "")</f>
        <v>0</v>
      </c>
      <c r="AJ76" s="286" t="n">
        <f aca="false">IFERROR(SUMIF($V$4:$AG$4, "De Minimis", V76:AG76), "")</f>
        <v>0</v>
      </c>
      <c r="AK76" s="287"/>
      <c r="AL76" s="288" t="str">
        <f aca="false">IF((SUM(I76:T76)&gt;1),"ERROR","")</f>
        <v/>
      </c>
    </row>
    <row r="77" customFormat="false" ht="15" hidden="false" customHeight="true" outlineLevel="0" collapsed="false">
      <c r="E77" s="200"/>
      <c r="H77" s="350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3"/>
      <c r="V77" s="284" t="n">
        <f aca="false">IFERROR(I77*$E77, "")</f>
        <v>0</v>
      </c>
      <c r="W77" s="284" t="n">
        <f aca="false">IFERROR(J77*$E77, "")</f>
        <v>0</v>
      </c>
      <c r="X77" s="284" t="n">
        <f aca="false">IFERROR(K77*$E77, "")</f>
        <v>0</v>
      </c>
      <c r="Y77" s="284" t="n">
        <f aca="false">IFERROR(L77*$E77, "")</f>
        <v>0</v>
      </c>
      <c r="Z77" s="284" t="n">
        <f aca="false">IFERROR(M77*$E77, "")</f>
        <v>0</v>
      </c>
      <c r="AA77" s="284" t="n">
        <f aca="false">IFERROR(N77*$E77, "")</f>
        <v>0</v>
      </c>
      <c r="AB77" s="284" t="n">
        <f aca="false">IFERROR(O77*$E77, "")</f>
        <v>0</v>
      </c>
      <c r="AC77" s="284" t="n">
        <f aca="false">IFERROR(P77*$E77, "")</f>
        <v>0</v>
      </c>
      <c r="AD77" s="284" t="n">
        <f aca="false">IFERROR(Q77*$E77, "")</f>
        <v>0</v>
      </c>
      <c r="AE77" s="284" t="n">
        <f aca="false">IFERROR(R77*$E77, "")</f>
        <v>0</v>
      </c>
      <c r="AF77" s="284" t="n">
        <f aca="false">IFERROR(S77*$E77, "")</f>
        <v>0</v>
      </c>
      <c r="AG77" s="284" t="n">
        <f aca="false">IFERROR(T77*$E77, "")</f>
        <v>0</v>
      </c>
      <c r="AH77" s="286" t="n">
        <f aca="false">IFERROR(SUMIF($V$4:$AG$4, "RDEC", V77:AG77), "")</f>
        <v>0</v>
      </c>
      <c r="AI77" s="286" t="n">
        <f aca="false">IFERROR(SUMIF($V$4:$AG$4, "SME", V77:AG77), "")</f>
        <v>0</v>
      </c>
      <c r="AJ77" s="286" t="n">
        <f aca="false">IFERROR(SUMIF($V$4:$AG$4, "De Minimis", V77:AG77), "")</f>
        <v>0</v>
      </c>
      <c r="AK77" s="287"/>
      <c r="AL77" s="288" t="str">
        <f aca="false">IF((SUM(I77:T77)&gt;1),"ERROR","")</f>
        <v/>
      </c>
    </row>
    <row r="78" customFormat="false" ht="15" hidden="false" customHeight="true" outlineLevel="0" collapsed="false">
      <c r="E78" s="200"/>
      <c r="H78" s="350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3"/>
      <c r="V78" s="284" t="n">
        <f aca="false">IFERROR(I78*$E78, "")</f>
        <v>0</v>
      </c>
      <c r="W78" s="284" t="n">
        <f aca="false">IFERROR(J78*$E78, "")</f>
        <v>0</v>
      </c>
      <c r="X78" s="284" t="n">
        <f aca="false">IFERROR(K78*$E78, "")</f>
        <v>0</v>
      </c>
      <c r="Y78" s="284" t="n">
        <f aca="false">IFERROR(L78*$E78, "")</f>
        <v>0</v>
      </c>
      <c r="Z78" s="284" t="n">
        <f aca="false">IFERROR(M78*$E78, "")</f>
        <v>0</v>
      </c>
      <c r="AA78" s="284" t="n">
        <f aca="false">IFERROR(N78*$E78, "")</f>
        <v>0</v>
      </c>
      <c r="AB78" s="284" t="n">
        <f aca="false">IFERROR(O78*$E78, "")</f>
        <v>0</v>
      </c>
      <c r="AC78" s="284" t="n">
        <f aca="false">IFERROR(P78*$E78, "")</f>
        <v>0</v>
      </c>
      <c r="AD78" s="284" t="n">
        <f aca="false">IFERROR(Q78*$E78, "")</f>
        <v>0</v>
      </c>
      <c r="AE78" s="284" t="n">
        <f aca="false">IFERROR(R78*$E78, "")</f>
        <v>0</v>
      </c>
      <c r="AF78" s="284" t="n">
        <f aca="false">IFERROR(S78*$E78, "")</f>
        <v>0</v>
      </c>
      <c r="AG78" s="284" t="n">
        <f aca="false">IFERROR(T78*$E78, "")</f>
        <v>0</v>
      </c>
      <c r="AH78" s="286" t="n">
        <f aca="false">IFERROR(SUMIF($V$4:$AG$4, "RDEC", V78:AG78), "")</f>
        <v>0</v>
      </c>
      <c r="AI78" s="286" t="n">
        <f aca="false">IFERROR(SUMIF($V$4:$AG$4, "SME", V78:AG78), "")</f>
        <v>0</v>
      </c>
      <c r="AJ78" s="286" t="n">
        <f aca="false">IFERROR(SUMIF($V$4:$AG$4, "De Minimis", V78:AG78), "")</f>
        <v>0</v>
      </c>
      <c r="AK78" s="287"/>
      <c r="AL78" s="288" t="str">
        <f aca="false">IF((SUM(I78:T78)&gt;1),"ERROR","")</f>
        <v/>
      </c>
    </row>
    <row r="79" customFormat="false" ht="15" hidden="false" customHeight="true" outlineLevel="0" collapsed="false">
      <c r="E79" s="200"/>
      <c r="H79" s="350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3"/>
      <c r="V79" s="284" t="n">
        <f aca="false">IFERROR(I79*$E79, "")</f>
        <v>0</v>
      </c>
      <c r="W79" s="284" t="n">
        <f aca="false">IFERROR(J79*$E79, "")</f>
        <v>0</v>
      </c>
      <c r="X79" s="284" t="n">
        <f aca="false">IFERROR(K79*$E79, "")</f>
        <v>0</v>
      </c>
      <c r="Y79" s="284" t="n">
        <f aca="false">IFERROR(L79*$E79, "")</f>
        <v>0</v>
      </c>
      <c r="Z79" s="284" t="n">
        <f aca="false">IFERROR(M79*$E79, "")</f>
        <v>0</v>
      </c>
      <c r="AA79" s="284" t="n">
        <f aca="false">IFERROR(N79*$E79, "")</f>
        <v>0</v>
      </c>
      <c r="AB79" s="284" t="n">
        <f aca="false">IFERROR(O79*$E79, "")</f>
        <v>0</v>
      </c>
      <c r="AC79" s="284" t="n">
        <f aca="false">IFERROR(P79*$E79, "")</f>
        <v>0</v>
      </c>
      <c r="AD79" s="284" t="n">
        <f aca="false">IFERROR(Q79*$E79, "")</f>
        <v>0</v>
      </c>
      <c r="AE79" s="284" t="n">
        <f aca="false">IFERROR(R79*$E79, "")</f>
        <v>0</v>
      </c>
      <c r="AF79" s="284" t="n">
        <f aca="false">IFERROR(S79*$E79, "")</f>
        <v>0</v>
      </c>
      <c r="AG79" s="284" t="n">
        <f aca="false">IFERROR(T79*$E79, "")</f>
        <v>0</v>
      </c>
      <c r="AH79" s="286" t="n">
        <f aca="false">IFERROR(SUMIF($V$4:$AG$4, "RDEC", V79:AG79), "")</f>
        <v>0</v>
      </c>
      <c r="AI79" s="286" t="n">
        <f aca="false">IFERROR(SUMIF($V$4:$AG$4, "SME", V79:AG79), "")</f>
        <v>0</v>
      </c>
      <c r="AJ79" s="286" t="n">
        <f aca="false">IFERROR(SUMIF($V$4:$AG$4, "De Minimis", V79:AG79), "")</f>
        <v>0</v>
      </c>
      <c r="AK79" s="303"/>
      <c r="AL79" s="288" t="str">
        <f aca="false">IF((SUM(I79:T79)&gt;1),"ERROR","")</f>
        <v/>
      </c>
    </row>
    <row r="80" customFormat="false" ht="15" hidden="false" customHeight="true" outlineLevel="0" collapsed="false">
      <c r="E80" s="200"/>
      <c r="H80" s="350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3"/>
      <c r="V80" s="284" t="n">
        <f aca="false">IFERROR(I80*$E80, "")</f>
        <v>0</v>
      </c>
      <c r="W80" s="284" t="n">
        <f aca="false">IFERROR(J80*$E80, "")</f>
        <v>0</v>
      </c>
      <c r="X80" s="284" t="n">
        <f aca="false">IFERROR(K80*$E80, "")</f>
        <v>0</v>
      </c>
      <c r="Y80" s="284" t="n">
        <f aca="false">IFERROR(L80*$E80, "")</f>
        <v>0</v>
      </c>
      <c r="Z80" s="284" t="n">
        <f aca="false">IFERROR(M80*$E80, "")</f>
        <v>0</v>
      </c>
      <c r="AA80" s="284" t="n">
        <f aca="false">IFERROR(N80*$E80, "")</f>
        <v>0</v>
      </c>
      <c r="AB80" s="284" t="n">
        <f aca="false">IFERROR(O80*$E80, "")</f>
        <v>0</v>
      </c>
      <c r="AC80" s="284" t="n">
        <f aca="false">IFERROR(P80*$E80, "")</f>
        <v>0</v>
      </c>
      <c r="AD80" s="284" t="n">
        <f aca="false">IFERROR(Q80*$E80, "")</f>
        <v>0</v>
      </c>
      <c r="AE80" s="284" t="n">
        <f aca="false">IFERROR(R80*$E80, "")</f>
        <v>0</v>
      </c>
      <c r="AF80" s="284" t="n">
        <f aca="false">IFERROR(S80*$E80, "")</f>
        <v>0</v>
      </c>
      <c r="AG80" s="284" t="n">
        <f aca="false">IFERROR(T80*$E80, "")</f>
        <v>0</v>
      </c>
      <c r="AH80" s="286" t="n">
        <f aca="false">IFERROR(SUMIF($V$4:$AG$4, "RDEC", V80:AG80), "")</f>
        <v>0</v>
      </c>
      <c r="AI80" s="286" t="n">
        <f aca="false">IFERROR(SUMIF($V$4:$AG$4, "SME", V80:AG80), "")</f>
        <v>0</v>
      </c>
      <c r="AJ80" s="286" t="n">
        <f aca="false">IFERROR(SUMIF($V$4:$AG$4, "De Minimis", V80:AG80), "")</f>
        <v>0</v>
      </c>
      <c r="AL80" s="288" t="str">
        <f aca="false">IF((SUM(I80:T80)&gt;1),"ERROR","")</f>
        <v/>
      </c>
    </row>
    <row r="81" customFormat="false" ht="15" hidden="false" customHeight="true" outlineLevel="0" collapsed="false">
      <c r="E81" s="200"/>
      <c r="H81" s="350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3"/>
      <c r="V81" s="284" t="n">
        <f aca="false">IFERROR(I81*$E81, "")</f>
        <v>0</v>
      </c>
      <c r="W81" s="284" t="n">
        <f aca="false">IFERROR(J81*$E81, "")</f>
        <v>0</v>
      </c>
      <c r="X81" s="284" t="n">
        <f aca="false">IFERROR(K81*$E81, "")</f>
        <v>0</v>
      </c>
      <c r="Y81" s="284" t="n">
        <f aca="false">IFERROR(L81*$E81, "")</f>
        <v>0</v>
      </c>
      <c r="Z81" s="284" t="n">
        <f aca="false">IFERROR(M81*$E81, "")</f>
        <v>0</v>
      </c>
      <c r="AA81" s="284" t="n">
        <f aca="false">IFERROR(N81*$E81, "")</f>
        <v>0</v>
      </c>
      <c r="AB81" s="284" t="n">
        <f aca="false">IFERROR(O81*$E81, "")</f>
        <v>0</v>
      </c>
      <c r="AC81" s="284" t="n">
        <f aca="false">IFERROR(P81*$E81, "")</f>
        <v>0</v>
      </c>
      <c r="AD81" s="284" t="n">
        <f aca="false">IFERROR(Q81*$E81, "")</f>
        <v>0</v>
      </c>
      <c r="AE81" s="284" t="n">
        <f aca="false">IFERROR(R81*$E81, "")</f>
        <v>0</v>
      </c>
      <c r="AF81" s="284" t="n">
        <f aca="false">IFERROR(S81*$E81, "")</f>
        <v>0</v>
      </c>
      <c r="AG81" s="284" t="n">
        <f aca="false">IFERROR(T81*$E81, "")</f>
        <v>0</v>
      </c>
      <c r="AH81" s="286" t="n">
        <f aca="false">IFERROR(SUMIF($V$4:$AG$4, "RDEC", V81:AG81), "")</f>
        <v>0</v>
      </c>
      <c r="AI81" s="286" t="n">
        <f aca="false">IFERROR(SUMIF($V$4:$AG$4, "SME", V81:AG81), "")</f>
        <v>0</v>
      </c>
      <c r="AJ81" s="286" t="n">
        <f aca="false">IFERROR(SUMIF($V$4:$AG$4, "De Minimis", V81:AG81), "")</f>
        <v>0</v>
      </c>
      <c r="AK81" s="268"/>
      <c r="AL81" s="288" t="str">
        <f aca="false">IF((SUM(I81:T81)&gt;1),"ERROR","")</f>
        <v/>
      </c>
    </row>
    <row r="82" customFormat="false" ht="15" hidden="false" customHeight="true" outlineLevel="0" collapsed="false">
      <c r="E82" s="200"/>
      <c r="H82" s="350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3"/>
      <c r="V82" s="284" t="n">
        <f aca="false">IFERROR(I82*$E82, "")</f>
        <v>0</v>
      </c>
      <c r="W82" s="284" t="n">
        <f aca="false">IFERROR(J82*$E82, "")</f>
        <v>0</v>
      </c>
      <c r="X82" s="284" t="n">
        <f aca="false">IFERROR(K82*$E82, "")</f>
        <v>0</v>
      </c>
      <c r="Y82" s="284" t="n">
        <f aca="false">IFERROR(L82*$E82, "")</f>
        <v>0</v>
      </c>
      <c r="Z82" s="284" t="n">
        <f aca="false">IFERROR(M82*$E82, "")</f>
        <v>0</v>
      </c>
      <c r="AA82" s="284" t="n">
        <f aca="false">IFERROR(N82*$E82, "")</f>
        <v>0</v>
      </c>
      <c r="AB82" s="284" t="n">
        <f aca="false">IFERROR(O82*$E82, "")</f>
        <v>0</v>
      </c>
      <c r="AC82" s="284" t="n">
        <f aca="false">IFERROR(P82*$E82, "")</f>
        <v>0</v>
      </c>
      <c r="AD82" s="284" t="n">
        <f aca="false">IFERROR(Q82*$E82, "")</f>
        <v>0</v>
      </c>
      <c r="AE82" s="284" t="n">
        <f aca="false">IFERROR(R82*$E82, "")</f>
        <v>0</v>
      </c>
      <c r="AF82" s="284" t="n">
        <f aca="false">IFERROR(S82*$E82, "")</f>
        <v>0</v>
      </c>
      <c r="AG82" s="284" t="n">
        <f aca="false">IFERROR(T82*$E82, "")</f>
        <v>0</v>
      </c>
      <c r="AH82" s="286" t="n">
        <f aca="false">IFERROR(SUMIF($V$4:$AG$4, "RDEC", V82:AG82), "")</f>
        <v>0</v>
      </c>
      <c r="AI82" s="286" t="n">
        <f aca="false">IFERROR(SUMIF($V$4:$AG$4, "SME", V82:AG82), "")</f>
        <v>0</v>
      </c>
      <c r="AJ82" s="286" t="n">
        <f aca="false">IFERROR(SUMIF($V$4:$AG$4, "De Minimis", V82:AG82), "")</f>
        <v>0</v>
      </c>
      <c r="AK82" s="287"/>
      <c r="AL82" s="288" t="str">
        <f aca="false">IF((SUM(I82:T82)&gt;1),"ERROR","")</f>
        <v/>
      </c>
    </row>
    <row r="83" customFormat="false" ht="15" hidden="false" customHeight="true" outlineLevel="0" collapsed="false">
      <c r="E83" s="200"/>
      <c r="H83" s="350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3"/>
      <c r="V83" s="284" t="n">
        <f aca="false">IFERROR(I83*$E83, "")</f>
        <v>0</v>
      </c>
      <c r="W83" s="284" t="n">
        <f aca="false">IFERROR(J83*$E83, "")</f>
        <v>0</v>
      </c>
      <c r="X83" s="284" t="n">
        <f aca="false">IFERROR(K83*$E83, "")</f>
        <v>0</v>
      </c>
      <c r="Y83" s="284" t="n">
        <f aca="false">IFERROR(L83*$E83, "")</f>
        <v>0</v>
      </c>
      <c r="Z83" s="284" t="n">
        <f aca="false">IFERROR(M83*$E83, "")</f>
        <v>0</v>
      </c>
      <c r="AA83" s="284" t="n">
        <f aca="false">IFERROR(N83*$E83, "")</f>
        <v>0</v>
      </c>
      <c r="AB83" s="284" t="n">
        <f aca="false">IFERROR(O83*$E83, "")</f>
        <v>0</v>
      </c>
      <c r="AC83" s="284" t="n">
        <f aca="false">IFERROR(P83*$E83, "")</f>
        <v>0</v>
      </c>
      <c r="AD83" s="284" t="n">
        <f aca="false">IFERROR(Q83*$E83, "")</f>
        <v>0</v>
      </c>
      <c r="AE83" s="284" t="n">
        <f aca="false">IFERROR(R83*$E83, "")</f>
        <v>0</v>
      </c>
      <c r="AF83" s="284" t="n">
        <f aca="false">IFERROR(S83*$E83, "")</f>
        <v>0</v>
      </c>
      <c r="AG83" s="284" t="n">
        <f aca="false">IFERROR(T83*$E83, "")</f>
        <v>0</v>
      </c>
      <c r="AH83" s="286" t="n">
        <f aca="false">IFERROR(SUMIF($V$4:$AG$4, "RDEC", V83:AG83), "")</f>
        <v>0</v>
      </c>
      <c r="AI83" s="286" t="n">
        <f aca="false">IFERROR(SUMIF($V$4:$AG$4, "SME", V83:AG83), "")</f>
        <v>0</v>
      </c>
      <c r="AJ83" s="286" t="n">
        <f aca="false">IFERROR(SUMIF($V$4:$AG$4, "De Minimis", V83:AG83), "")</f>
        <v>0</v>
      </c>
      <c r="AK83" s="287"/>
      <c r="AL83" s="288" t="str">
        <f aca="false">IF((SUM(I83:T83)&gt;1),"ERROR","")</f>
        <v/>
      </c>
    </row>
    <row r="84" customFormat="false" ht="15" hidden="false" customHeight="true" outlineLevel="0" collapsed="false">
      <c r="E84" s="200"/>
      <c r="H84" s="350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3"/>
      <c r="V84" s="284" t="n">
        <f aca="false">IFERROR(I84*$E84, "")</f>
        <v>0</v>
      </c>
      <c r="W84" s="284" t="n">
        <f aca="false">IFERROR(J84*$E84, "")</f>
        <v>0</v>
      </c>
      <c r="X84" s="284" t="n">
        <f aca="false">IFERROR(K84*$E84, "")</f>
        <v>0</v>
      </c>
      <c r="Y84" s="284" t="n">
        <f aca="false">IFERROR(L84*$E84, "")</f>
        <v>0</v>
      </c>
      <c r="Z84" s="284" t="n">
        <f aca="false">IFERROR(M84*$E84, "")</f>
        <v>0</v>
      </c>
      <c r="AA84" s="284" t="n">
        <f aca="false">IFERROR(N84*$E84, "")</f>
        <v>0</v>
      </c>
      <c r="AB84" s="284" t="n">
        <f aca="false">IFERROR(O84*$E84, "")</f>
        <v>0</v>
      </c>
      <c r="AC84" s="284" t="n">
        <f aca="false">IFERROR(P84*$E84, "")</f>
        <v>0</v>
      </c>
      <c r="AD84" s="284" t="n">
        <f aca="false">IFERROR(Q84*$E84, "")</f>
        <v>0</v>
      </c>
      <c r="AE84" s="284" t="n">
        <f aca="false">IFERROR(R84*$E84, "")</f>
        <v>0</v>
      </c>
      <c r="AF84" s="284" t="n">
        <f aca="false">IFERROR(S84*$E84, "")</f>
        <v>0</v>
      </c>
      <c r="AG84" s="284" t="n">
        <f aca="false">IFERROR(T84*$E84, "")</f>
        <v>0</v>
      </c>
      <c r="AH84" s="286" t="n">
        <f aca="false">IFERROR(SUMIF($V$4:$AG$4, "RDEC", V84:AG84), "")</f>
        <v>0</v>
      </c>
      <c r="AI84" s="286" t="n">
        <f aca="false">IFERROR(SUMIF($V$4:$AG$4, "SME", V84:AG84), "")</f>
        <v>0</v>
      </c>
      <c r="AJ84" s="286" t="n">
        <f aca="false">IFERROR(SUMIF($V$4:$AG$4, "De Minimis", V84:AG84), "")</f>
        <v>0</v>
      </c>
      <c r="AK84" s="287"/>
      <c r="AL84" s="288" t="str">
        <f aca="false">IF((SUM(I84:T84)&gt;1),"ERROR","")</f>
        <v/>
      </c>
    </row>
    <row r="85" customFormat="false" ht="15" hidden="false" customHeight="true" outlineLevel="0" collapsed="false">
      <c r="E85" s="200"/>
      <c r="H85" s="350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3"/>
      <c r="V85" s="284" t="n">
        <f aca="false">IFERROR(I85*$E85, "")</f>
        <v>0</v>
      </c>
      <c r="W85" s="284" t="n">
        <f aca="false">IFERROR(J85*$E85, "")</f>
        <v>0</v>
      </c>
      <c r="X85" s="284" t="n">
        <f aca="false">IFERROR(K85*$E85, "")</f>
        <v>0</v>
      </c>
      <c r="Y85" s="284" t="n">
        <f aca="false">IFERROR(L85*$E85, "")</f>
        <v>0</v>
      </c>
      <c r="Z85" s="284" t="n">
        <f aca="false">IFERROR(M85*$E85, "")</f>
        <v>0</v>
      </c>
      <c r="AA85" s="284" t="n">
        <f aca="false">IFERROR(N85*$E85, "")</f>
        <v>0</v>
      </c>
      <c r="AB85" s="284" t="n">
        <f aca="false">IFERROR(O85*$E85, "")</f>
        <v>0</v>
      </c>
      <c r="AC85" s="284" t="n">
        <f aca="false">IFERROR(P85*$E85, "")</f>
        <v>0</v>
      </c>
      <c r="AD85" s="284" t="n">
        <f aca="false">IFERROR(Q85*$E85, "")</f>
        <v>0</v>
      </c>
      <c r="AE85" s="284" t="n">
        <f aca="false">IFERROR(R85*$E85, "")</f>
        <v>0</v>
      </c>
      <c r="AF85" s="284" t="n">
        <f aca="false">IFERROR(S85*$E85, "")</f>
        <v>0</v>
      </c>
      <c r="AG85" s="284" t="n">
        <f aca="false">IFERROR(T85*$E85, "")</f>
        <v>0</v>
      </c>
      <c r="AH85" s="286" t="n">
        <f aca="false">IFERROR(SUMIF($V$4:$AG$4, "RDEC", V85:AG85), "")</f>
        <v>0</v>
      </c>
      <c r="AI85" s="286" t="n">
        <f aca="false">IFERROR(SUMIF($V$4:$AG$4, "SME", V85:AG85), "")</f>
        <v>0</v>
      </c>
      <c r="AJ85" s="286" t="n">
        <f aca="false">IFERROR(SUMIF($V$4:$AG$4, "De Minimis", V85:AG85), "")</f>
        <v>0</v>
      </c>
      <c r="AK85" s="287"/>
      <c r="AL85" s="288" t="str">
        <f aca="false">IF((SUM(I85:T85)&gt;1),"ERROR","")</f>
        <v/>
      </c>
    </row>
    <row r="86" customFormat="false" ht="15" hidden="false" customHeight="true" outlineLevel="0" collapsed="false">
      <c r="E86" s="200"/>
      <c r="H86" s="350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3"/>
      <c r="V86" s="284" t="n">
        <f aca="false">IFERROR(I86*$E86, "")</f>
        <v>0</v>
      </c>
      <c r="W86" s="284" t="n">
        <f aca="false">IFERROR(J86*$E86, "")</f>
        <v>0</v>
      </c>
      <c r="X86" s="284" t="n">
        <f aca="false">IFERROR(K86*$E86, "")</f>
        <v>0</v>
      </c>
      <c r="Y86" s="284" t="n">
        <f aca="false">IFERROR(L86*$E86, "")</f>
        <v>0</v>
      </c>
      <c r="Z86" s="284" t="n">
        <f aca="false">IFERROR(M86*$E86, "")</f>
        <v>0</v>
      </c>
      <c r="AA86" s="284" t="n">
        <f aca="false">IFERROR(N86*$E86, "")</f>
        <v>0</v>
      </c>
      <c r="AB86" s="284" t="n">
        <f aca="false">IFERROR(O86*$E86, "")</f>
        <v>0</v>
      </c>
      <c r="AC86" s="284" t="n">
        <f aca="false">IFERROR(P86*$E86, "")</f>
        <v>0</v>
      </c>
      <c r="AD86" s="284" t="n">
        <f aca="false">IFERROR(Q86*$E86, "")</f>
        <v>0</v>
      </c>
      <c r="AE86" s="284" t="n">
        <f aca="false">IFERROR(R86*$E86, "")</f>
        <v>0</v>
      </c>
      <c r="AF86" s="284" t="n">
        <f aca="false">IFERROR(S86*$E86, "")</f>
        <v>0</v>
      </c>
      <c r="AG86" s="284" t="n">
        <f aca="false">IFERROR(T86*$E86, "")</f>
        <v>0</v>
      </c>
      <c r="AH86" s="286" t="n">
        <f aca="false">IFERROR(SUMIF($V$4:$AG$4, "RDEC", V86:AG86), "")</f>
        <v>0</v>
      </c>
      <c r="AI86" s="286" t="n">
        <f aca="false">IFERROR(SUMIF($V$4:$AG$4, "SME", V86:AG86), "")</f>
        <v>0</v>
      </c>
      <c r="AJ86" s="286" t="n">
        <f aca="false">IFERROR(SUMIF($V$4:$AG$4, "De Minimis", V86:AG86), "")</f>
        <v>0</v>
      </c>
      <c r="AK86" s="287"/>
      <c r="AL86" s="288" t="str">
        <f aca="false">IF((SUM(I86:T86)&gt;1),"ERROR","")</f>
        <v/>
      </c>
    </row>
    <row r="87" customFormat="false" ht="15" hidden="false" customHeight="true" outlineLevel="0" collapsed="false">
      <c r="E87" s="200"/>
      <c r="H87" s="350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3"/>
      <c r="V87" s="284" t="n">
        <f aca="false">IFERROR(I87*$E87, "")</f>
        <v>0</v>
      </c>
      <c r="W87" s="284" t="n">
        <f aca="false">IFERROR(J87*$E87, "")</f>
        <v>0</v>
      </c>
      <c r="X87" s="284" t="n">
        <f aca="false">IFERROR(K87*$E87, "")</f>
        <v>0</v>
      </c>
      <c r="Y87" s="284" t="n">
        <f aca="false">IFERROR(L87*$E87, "")</f>
        <v>0</v>
      </c>
      <c r="Z87" s="284" t="n">
        <f aca="false">IFERROR(M87*$E87, "")</f>
        <v>0</v>
      </c>
      <c r="AA87" s="284" t="n">
        <f aca="false">IFERROR(N87*$E87, "")</f>
        <v>0</v>
      </c>
      <c r="AB87" s="284" t="n">
        <f aca="false">IFERROR(O87*$E87, "")</f>
        <v>0</v>
      </c>
      <c r="AC87" s="284" t="n">
        <f aca="false">IFERROR(P87*$E87, "")</f>
        <v>0</v>
      </c>
      <c r="AD87" s="284" t="n">
        <f aca="false">IFERROR(Q87*$E87, "")</f>
        <v>0</v>
      </c>
      <c r="AE87" s="284" t="n">
        <f aca="false">IFERROR(R87*$E87, "")</f>
        <v>0</v>
      </c>
      <c r="AF87" s="284" t="n">
        <f aca="false">IFERROR(S87*$E87, "")</f>
        <v>0</v>
      </c>
      <c r="AG87" s="284" t="n">
        <f aca="false">IFERROR(T87*$E87, "")</f>
        <v>0</v>
      </c>
      <c r="AH87" s="286" t="n">
        <f aca="false">IFERROR(SUMIF($V$4:$AG$4, "RDEC", V87:AG87), "")</f>
        <v>0</v>
      </c>
      <c r="AI87" s="286" t="n">
        <f aca="false">IFERROR(SUMIF($V$4:$AG$4, "SME", V87:AG87), "")</f>
        <v>0</v>
      </c>
      <c r="AJ87" s="286" t="n">
        <f aca="false">IFERROR(SUMIF($V$4:$AG$4, "De Minimis", V87:AG87), "")</f>
        <v>0</v>
      </c>
      <c r="AK87" s="287"/>
      <c r="AL87" s="288" t="str">
        <f aca="false">IF((SUM(I87:T87)&gt;1),"ERROR","")</f>
        <v/>
      </c>
    </row>
    <row r="88" customFormat="false" ht="15" hidden="false" customHeight="true" outlineLevel="0" collapsed="false">
      <c r="E88" s="200"/>
      <c r="H88" s="350"/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3"/>
      <c r="V88" s="284" t="n">
        <f aca="false">IFERROR(I88*$E88, "")</f>
        <v>0</v>
      </c>
      <c r="W88" s="284" t="n">
        <f aca="false">IFERROR(J88*$E88, "")</f>
        <v>0</v>
      </c>
      <c r="X88" s="284" t="n">
        <f aca="false">IFERROR(K88*$E88, "")</f>
        <v>0</v>
      </c>
      <c r="Y88" s="284" t="n">
        <f aca="false">IFERROR(L88*$E88, "")</f>
        <v>0</v>
      </c>
      <c r="Z88" s="284" t="n">
        <f aca="false">IFERROR(M88*$E88, "")</f>
        <v>0</v>
      </c>
      <c r="AA88" s="284" t="n">
        <f aca="false">IFERROR(N88*$E88, "")</f>
        <v>0</v>
      </c>
      <c r="AB88" s="284" t="n">
        <f aca="false">IFERROR(O88*$E88, "")</f>
        <v>0</v>
      </c>
      <c r="AC88" s="284" t="n">
        <f aca="false">IFERROR(P88*$E88, "")</f>
        <v>0</v>
      </c>
      <c r="AD88" s="284" t="n">
        <f aca="false">IFERROR(Q88*$E88, "")</f>
        <v>0</v>
      </c>
      <c r="AE88" s="284" t="n">
        <f aca="false">IFERROR(R88*$E88, "")</f>
        <v>0</v>
      </c>
      <c r="AF88" s="284" t="n">
        <f aca="false">IFERROR(S88*$E88, "")</f>
        <v>0</v>
      </c>
      <c r="AG88" s="284" t="n">
        <f aca="false">IFERROR(T88*$E88, "")</f>
        <v>0</v>
      </c>
      <c r="AH88" s="286" t="n">
        <f aca="false">IFERROR(SUMIF($V$4:$AG$4, "RDEC", V88:AG88), "")</f>
        <v>0</v>
      </c>
      <c r="AI88" s="286" t="n">
        <f aca="false">IFERROR(SUMIF($V$4:$AG$4, "SME", V88:AG88), "")</f>
        <v>0</v>
      </c>
      <c r="AJ88" s="286" t="n">
        <f aca="false">IFERROR(SUMIF($V$4:$AG$4, "De Minimis", V88:AG88), "")</f>
        <v>0</v>
      </c>
      <c r="AK88" s="287"/>
      <c r="AL88" s="288" t="str">
        <f aca="false">IF((SUM(I88:T88)&gt;1),"ERROR","")</f>
        <v/>
      </c>
    </row>
    <row r="89" customFormat="false" ht="15" hidden="false" customHeight="true" outlineLevel="0" collapsed="false">
      <c r="E89" s="200"/>
      <c r="H89" s="350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3"/>
      <c r="V89" s="284" t="n">
        <f aca="false">IFERROR(I89*$E89, "")</f>
        <v>0</v>
      </c>
      <c r="W89" s="284" t="n">
        <f aca="false">IFERROR(J89*$E89, "")</f>
        <v>0</v>
      </c>
      <c r="X89" s="284" t="n">
        <f aca="false">IFERROR(K89*$E89, "")</f>
        <v>0</v>
      </c>
      <c r="Y89" s="284" t="n">
        <f aca="false">IFERROR(L89*$E89, "")</f>
        <v>0</v>
      </c>
      <c r="Z89" s="284" t="n">
        <f aca="false">IFERROR(M89*$E89, "")</f>
        <v>0</v>
      </c>
      <c r="AA89" s="284" t="n">
        <f aca="false">IFERROR(N89*$E89, "")</f>
        <v>0</v>
      </c>
      <c r="AB89" s="284" t="n">
        <f aca="false">IFERROR(O89*$E89, "")</f>
        <v>0</v>
      </c>
      <c r="AC89" s="284" t="n">
        <f aca="false">IFERROR(P89*$E89, "")</f>
        <v>0</v>
      </c>
      <c r="AD89" s="284" t="n">
        <f aca="false">IFERROR(Q89*$E89, "")</f>
        <v>0</v>
      </c>
      <c r="AE89" s="284" t="n">
        <f aca="false">IFERROR(R89*$E89, "")</f>
        <v>0</v>
      </c>
      <c r="AF89" s="284" t="n">
        <f aca="false">IFERROR(S89*$E89, "")</f>
        <v>0</v>
      </c>
      <c r="AG89" s="284" t="n">
        <f aca="false">IFERROR(T89*$E89, "")</f>
        <v>0</v>
      </c>
      <c r="AH89" s="286" t="n">
        <f aca="false">IFERROR(SUMIF($V$4:$AG$4, "RDEC", V89:AG89), "")</f>
        <v>0</v>
      </c>
      <c r="AI89" s="286" t="n">
        <f aca="false">IFERROR(SUMIF($V$4:$AG$4, "SME", V89:AG89), "")</f>
        <v>0</v>
      </c>
      <c r="AJ89" s="286" t="n">
        <f aca="false">IFERROR(SUMIF($V$4:$AG$4, "De Minimis", V89:AG89), "")</f>
        <v>0</v>
      </c>
      <c r="AK89" s="287"/>
      <c r="AL89" s="288" t="str">
        <f aca="false">IF((SUM(I89:T89)&gt;1),"ERROR","")</f>
        <v/>
      </c>
    </row>
    <row r="90" customFormat="false" ht="15" hidden="false" customHeight="true" outlineLevel="0" collapsed="false">
      <c r="E90" s="200"/>
      <c r="H90" s="350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3"/>
      <c r="V90" s="284" t="n">
        <f aca="false">IFERROR(I90*$E90, "")</f>
        <v>0</v>
      </c>
      <c r="W90" s="284" t="n">
        <f aca="false">IFERROR(J90*$E90, "")</f>
        <v>0</v>
      </c>
      <c r="X90" s="284" t="n">
        <f aca="false">IFERROR(K90*$E90, "")</f>
        <v>0</v>
      </c>
      <c r="Y90" s="284" t="n">
        <f aca="false">IFERROR(L90*$E90, "")</f>
        <v>0</v>
      </c>
      <c r="Z90" s="284" t="n">
        <f aca="false">IFERROR(M90*$E90, "")</f>
        <v>0</v>
      </c>
      <c r="AA90" s="284" t="n">
        <f aca="false">IFERROR(N90*$E90, "")</f>
        <v>0</v>
      </c>
      <c r="AB90" s="284" t="n">
        <f aca="false">IFERROR(O90*$E90, "")</f>
        <v>0</v>
      </c>
      <c r="AC90" s="284" t="n">
        <f aca="false">IFERROR(P90*$E90, "")</f>
        <v>0</v>
      </c>
      <c r="AD90" s="284" t="n">
        <f aca="false">IFERROR(Q90*$E90, "")</f>
        <v>0</v>
      </c>
      <c r="AE90" s="284" t="n">
        <f aca="false">IFERROR(R90*$E90, "")</f>
        <v>0</v>
      </c>
      <c r="AF90" s="284" t="n">
        <f aca="false">IFERROR(S90*$E90, "")</f>
        <v>0</v>
      </c>
      <c r="AG90" s="284" t="n">
        <f aca="false">IFERROR(T90*$E90, "")</f>
        <v>0</v>
      </c>
      <c r="AH90" s="286" t="n">
        <f aca="false">IFERROR(SUMIF($V$4:$AG$4, "RDEC", V90:AG90), "")</f>
        <v>0</v>
      </c>
      <c r="AI90" s="286" t="n">
        <f aca="false">IFERROR(SUMIF($V$4:$AG$4, "SME", V90:AG90), "")</f>
        <v>0</v>
      </c>
      <c r="AJ90" s="286" t="n">
        <f aca="false">IFERROR(SUMIF($V$4:$AG$4, "De Minimis", V90:AG90), "")</f>
        <v>0</v>
      </c>
      <c r="AK90" s="287"/>
      <c r="AL90" s="288" t="str">
        <f aca="false">IF((SUM(I90:T90)&gt;1),"ERROR","")</f>
        <v/>
      </c>
    </row>
    <row r="91" customFormat="false" ht="15" hidden="false" customHeight="true" outlineLevel="0" collapsed="false">
      <c r="E91" s="200"/>
      <c r="H91" s="350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3"/>
      <c r="V91" s="284" t="n">
        <f aca="false">IFERROR(I91*$E91, "")</f>
        <v>0</v>
      </c>
      <c r="W91" s="284" t="n">
        <f aca="false">IFERROR(J91*$E91, "")</f>
        <v>0</v>
      </c>
      <c r="X91" s="284" t="n">
        <f aca="false">IFERROR(K91*$E91, "")</f>
        <v>0</v>
      </c>
      <c r="Y91" s="284" t="n">
        <f aca="false">IFERROR(L91*$E91, "")</f>
        <v>0</v>
      </c>
      <c r="Z91" s="284" t="n">
        <f aca="false">IFERROR(M91*$E91, "")</f>
        <v>0</v>
      </c>
      <c r="AA91" s="284" t="n">
        <f aca="false">IFERROR(N91*$E91, "")</f>
        <v>0</v>
      </c>
      <c r="AB91" s="284" t="n">
        <f aca="false">IFERROR(O91*$E91, "")</f>
        <v>0</v>
      </c>
      <c r="AC91" s="284" t="n">
        <f aca="false">IFERROR(P91*$E91, "")</f>
        <v>0</v>
      </c>
      <c r="AD91" s="284" t="n">
        <f aca="false">IFERROR(Q91*$E91, "")</f>
        <v>0</v>
      </c>
      <c r="AE91" s="284" t="n">
        <f aca="false">IFERROR(R91*$E91, "")</f>
        <v>0</v>
      </c>
      <c r="AF91" s="284" t="n">
        <f aca="false">IFERROR(S91*$E91, "")</f>
        <v>0</v>
      </c>
      <c r="AG91" s="284" t="n">
        <f aca="false">IFERROR(T91*$E91, "")</f>
        <v>0</v>
      </c>
      <c r="AH91" s="286" t="n">
        <f aca="false">IFERROR(SUMIF($V$4:$AG$4, "RDEC", V91:AG91), "")</f>
        <v>0</v>
      </c>
      <c r="AI91" s="286" t="n">
        <f aca="false">IFERROR(SUMIF($V$4:$AG$4, "SME", V91:AG91), "")</f>
        <v>0</v>
      </c>
      <c r="AJ91" s="286" t="n">
        <f aca="false">IFERROR(SUMIF($V$4:$AG$4, "De Minimis", V91:AG91), "")</f>
        <v>0</v>
      </c>
      <c r="AK91" s="287"/>
      <c r="AL91" s="288" t="str">
        <f aca="false">IF((SUM(I91:T91)&gt;1),"ERROR","")</f>
        <v/>
      </c>
    </row>
    <row r="92" customFormat="false" ht="15" hidden="false" customHeight="true" outlineLevel="0" collapsed="false">
      <c r="E92" s="200"/>
      <c r="H92" s="350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3"/>
      <c r="V92" s="284" t="n">
        <f aca="false">IFERROR(I92*$E92, "")</f>
        <v>0</v>
      </c>
      <c r="W92" s="284" t="n">
        <f aca="false">IFERROR(J92*$E92, "")</f>
        <v>0</v>
      </c>
      <c r="X92" s="284" t="n">
        <f aca="false">IFERROR(K92*$E92, "")</f>
        <v>0</v>
      </c>
      <c r="Y92" s="284" t="n">
        <f aca="false">IFERROR(L92*$E92, "")</f>
        <v>0</v>
      </c>
      <c r="Z92" s="284" t="n">
        <f aca="false">IFERROR(M92*$E92, "")</f>
        <v>0</v>
      </c>
      <c r="AA92" s="284" t="n">
        <f aca="false">IFERROR(N92*$E92, "")</f>
        <v>0</v>
      </c>
      <c r="AB92" s="284" t="n">
        <f aca="false">IFERROR(O92*$E92, "")</f>
        <v>0</v>
      </c>
      <c r="AC92" s="284" t="n">
        <f aca="false">IFERROR(P92*$E92, "")</f>
        <v>0</v>
      </c>
      <c r="AD92" s="284" t="n">
        <f aca="false">IFERROR(Q92*$E92, "")</f>
        <v>0</v>
      </c>
      <c r="AE92" s="284" t="n">
        <f aca="false">IFERROR(R92*$E92, "")</f>
        <v>0</v>
      </c>
      <c r="AF92" s="284" t="n">
        <f aca="false">IFERROR(S92*$E92, "")</f>
        <v>0</v>
      </c>
      <c r="AG92" s="284" t="n">
        <f aca="false">IFERROR(T92*$E92, "")</f>
        <v>0</v>
      </c>
      <c r="AH92" s="286" t="n">
        <f aca="false">IFERROR(SUMIF($V$4:$AG$4, "RDEC", V92:AG92), "")</f>
        <v>0</v>
      </c>
      <c r="AI92" s="286" t="n">
        <f aca="false">IFERROR(SUMIF($V$4:$AG$4, "SME", V92:AG92), "")</f>
        <v>0</v>
      </c>
      <c r="AJ92" s="286" t="n">
        <f aca="false">IFERROR(SUMIF($V$4:$AG$4, "De Minimis", V92:AG92), "")</f>
        <v>0</v>
      </c>
      <c r="AK92" s="287"/>
      <c r="AL92" s="288" t="str">
        <f aca="false">IF((SUM(I92:T92)&gt;1),"ERROR","")</f>
        <v/>
      </c>
    </row>
    <row r="93" customFormat="false" ht="15" hidden="false" customHeight="true" outlineLevel="0" collapsed="false">
      <c r="E93" s="200"/>
      <c r="H93" s="350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3"/>
      <c r="V93" s="284" t="n">
        <f aca="false">IFERROR(I93*$E93, "")</f>
        <v>0</v>
      </c>
      <c r="W93" s="284" t="n">
        <f aca="false">IFERROR(J93*$E93, "")</f>
        <v>0</v>
      </c>
      <c r="X93" s="284" t="n">
        <f aca="false">IFERROR(K93*$E93, "")</f>
        <v>0</v>
      </c>
      <c r="Y93" s="284" t="n">
        <f aca="false">IFERROR(L93*$E93, "")</f>
        <v>0</v>
      </c>
      <c r="Z93" s="284" t="n">
        <f aca="false">IFERROR(M93*$E93, "")</f>
        <v>0</v>
      </c>
      <c r="AA93" s="284" t="n">
        <f aca="false">IFERROR(N93*$E93, "")</f>
        <v>0</v>
      </c>
      <c r="AB93" s="284" t="n">
        <f aca="false">IFERROR(O93*$E93, "")</f>
        <v>0</v>
      </c>
      <c r="AC93" s="284" t="n">
        <f aca="false">IFERROR(P93*$E93, "")</f>
        <v>0</v>
      </c>
      <c r="AD93" s="284" t="n">
        <f aca="false">IFERROR(Q93*$E93, "")</f>
        <v>0</v>
      </c>
      <c r="AE93" s="284" t="n">
        <f aca="false">IFERROR(R93*$E93, "")</f>
        <v>0</v>
      </c>
      <c r="AF93" s="284" t="n">
        <f aca="false">IFERROR(S93*$E93, "")</f>
        <v>0</v>
      </c>
      <c r="AG93" s="284" t="n">
        <f aca="false">IFERROR(T93*$E93, "")</f>
        <v>0</v>
      </c>
      <c r="AH93" s="286" t="n">
        <f aca="false">IFERROR(SUMIF($V$4:$AG$4, "RDEC", V93:AG93), "")</f>
        <v>0</v>
      </c>
      <c r="AI93" s="286" t="n">
        <f aca="false">IFERROR(SUMIF($V$4:$AG$4, "SME", V93:AG93), "")</f>
        <v>0</v>
      </c>
      <c r="AJ93" s="286" t="n">
        <f aca="false">IFERROR(SUMIF($V$4:$AG$4, "De Minimis", V93:AG93), "")</f>
        <v>0</v>
      </c>
      <c r="AK93" s="287"/>
      <c r="AL93" s="288" t="str">
        <f aca="false">IF((SUM(I93:T93)&gt;1),"ERROR","")</f>
        <v/>
      </c>
    </row>
    <row r="94" customFormat="false" ht="15" hidden="false" customHeight="true" outlineLevel="0" collapsed="false">
      <c r="E94" s="200"/>
      <c r="H94" s="350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3"/>
      <c r="V94" s="284" t="n">
        <f aca="false">IFERROR(I94*$E94, "")</f>
        <v>0</v>
      </c>
      <c r="W94" s="284" t="n">
        <f aca="false">IFERROR(J94*$E94, "")</f>
        <v>0</v>
      </c>
      <c r="X94" s="284" t="n">
        <f aca="false">IFERROR(K94*$E94, "")</f>
        <v>0</v>
      </c>
      <c r="Y94" s="284" t="n">
        <f aca="false">IFERROR(L94*$E94, "")</f>
        <v>0</v>
      </c>
      <c r="Z94" s="284" t="n">
        <f aca="false">IFERROR(M94*$E94, "")</f>
        <v>0</v>
      </c>
      <c r="AA94" s="284" t="n">
        <f aca="false">IFERROR(N94*$E94, "")</f>
        <v>0</v>
      </c>
      <c r="AB94" s="284" t="n">
        <f aca="false">IFERROR(O94*$E94, "")</f>
        <v>0</v>
      </c>
      <c r="AC94" s="284" t="n">
        <f aca="false">IFERROR(P94*$E94, "")</f>
        <v>0</v>
      </c>
      <c r="AD94" s="284" t="n">
        <f aca="false">IFERROR(Q94*$E94, "")</f>
        <v>0</v>
      </c>
      <c r="AE94" s="284" t="n">
        <f aca="false">IFERROR(R94*$E94, "")</f>
        <v>0</v>
      </c>
      <c r="AF94" s="284" t="n">
        <f aca="false">IFERROR(S94*$E94, "")</f>
        <v>0</v>
      </c>
      <c r="AG94" s="284" t="n">
        <f aca="false">IFERROR(T94*$E94, "")</f>
        <v>0</v>
      </c>
      <c r="AH94" s="286" t="n">
        <f aca="false">IFERROR(SUMIF($V$4:$AG$4, "RDEC", V94:AG94), "")</f>
        <v>0</v>
      </c>
      <c r="AI94" s="286" t="n">
        <f aca="false">IFERROR(SUMIF($V$4:$AG$4, "SME", V94:AG94), "")</f>
        <v>0</v>
      </c>
      <c r="AJ94" s="286" t="n">
        <f aca="false">IFERROR(SUMIF($V$4:$AG$4, "De Minimis", V94:AG94), "")</f>
        <v>0</v>
      </c>
      <c r="AK94" s="303"/>
      <c r="AL94" s="288" t="str">
        <f aca="false">IF((SUM(I94:T94)&gt;1),"ERROR","")</f>
        <v/>
      </c>
    </row>
    <row r="95" customFormat="false" ht="15" hidden="false" customHeight="true" outlineLevel="0" collapsed="false">
      <c r="E95" s="200"/>
      <c r="H95" s="350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3"/>
      <c r="V95" s="284" t="n">
        <f aca="false">IFERROR(I95*$E95, "")</f>
        <v>0</v>
      </c>
      <c r="W95" s="284" t="n">
        <f aca="false">IFERROR(J95*$E95, "")</f>
        <v>0</v>
      </c>
      <c r="X95" s="284" t="n">
        <f aca="false">IFERROR(K95*$E95, "")</f>
        <v>0</v>
      </c>
      <c r="Y95" s="284" t="n">
        <f aca="false">IFERROR(L95*$E95, "")</f>
        <v>0</v>
      </c>
      <c r="Z95" s="284" t="n">
        <f aca="false">IFERROR(M95*$E95, "")</f>
        <v>0</v>
      </c>
      <c r="AA95" s="284" t="n">
        <f aca="false">IFERROR(N95*$E95, "")</f>
        <v>0</v>
      </c>
      <c r="AB95" s="284" t="n">
        <f aca="false">IFERROR(O95*$E95, "")</f>
        <v>0</v>
      </c>
      <c r="AC95" s="284" t="n">
        <f aca="false">IFERROR(P95*$E95, "")</f>
        <v>0</v>
      </c>
      <c r="AD95" s="284" t="n">
        <f aca="false">IFERROR(Q95*$E95, "")</f>
        <v>0</v>
      </c>
      <c r="AE95" s="284" t="n">
        <f aca="false">IFERROR(R95*$E95, "")</f>
        <v>0</v>
      </c>
      <c r="AF95" s="284" t="n">
        <f aca="false">IFERROR(S95*$E95, "")</f>
        <v>0</v>
      </c>
      <c r="AG95" s="284" t="n">
        <f aca="false">IFERROR(T95*$E95, "")</f>
        <v>0</v>
      </c>
      <c r="AH95" s="286" t="n">
        <f aca="false">IFERROR(SUMIF($V$4:$AG$4, "RDEC", V95:AG95), "")</f>
        <v>0</v>
      </c>
      <c r="AI95" s="286" t="n">
        <f aca="false">IFERROR(SUMIF($V$4:$AG$4, "SME", V95:AG95), "")</f>
        <v>0</v>
      </c>
      <c r="AJ95" s="286" t="n">
        <f aca="false">IFERROR(SUMIF($V$4:$AG$4, "De Minimis", V95:AG95), "")</f>
        <v>0</v>
      </c>
      <c r="AL95" s="288" t="str">
        <f aca="false">IF((SUM(I95:T95)&gt;1),"ERROR","")</f>
        <v/>
      </c>
    </row>
    <row r="96" customFormat="false" ht="15" hidden="false" customHeight="true" outlineLevel="0" collapsed="false">
      <c r="E96" s="200"/>
      <c r="H96" s="350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3"/>
      <c r="V96" s="284" t="n">
        <f aca="false">IFERROR(I96*$E96, "")</f>
        <v>0</v>
      </c>
      <c r="W96" s="284" t="n">
        <f aca="false">IFERROR(J96*$E96, "")</f>
        <v>0</v>
      </c>
      <c r="X96" s="284" t="n">
        <f aca="false">IFERROR(K96*$E96, "")</f>
        <v>0</v>
      </c>
      <c r="Y96" s="284" t="n">
        <f aca="false">IFERROR(L96*$E96, "")</f>
        <v>0</v>
      </c>
      <c r="Z96" s="284" t="n">
        <f aca="false">IFERROR(M96*$E96, "")</f>
        <v>0</v>
      </c>
      <c r="AA96" s="284" t="n">
        <f aca="false">IFERROR(N96*$E96, "")</f>
        <v>0</v>
      </c>
      <c r="AB96" s="284" t="n">
        <f aca="false">IFERROR(O96*$E96, "")</f>
        <v>0</v>
      </c>
      <c r="AC96" s="284" t="n">
        <f aca="false">IFERROR(P96*$E96, "")</f>
        <v>0</v>
      </c>
      <c r="AD96" s="284" t="n">
        <f aca="false">IFERROR(Q96*$E96, "")</f>
        <v>0</v>
      </c>
      <c r="AE96" s="284" t="n">
        <f aca="false">IFERROR(R96*$E96, "")</f>
        <v>0</v>
      </c>
      <c r="AF96" s="284" t="n">
        <f aca="false">IFERROR(S96*$E96, "")</f>
        <v>0</v>
      </c>
      <c r="AG96" s="284" t="n">
        <f aca="false">IFERROR(T96*$E96, "")</f>
        <v>0</v>
      </c>
      <c r="AH96" s="286" t="n">
        <f aca="false">IFERROR(SUMIF($V$4:$AG$4, "RDEC", V96:AG96), "")</f>
        <v>0</v>
      </c>
      <c r="AI96" s="286" t="n">
        <f aca="false">IFERROR(SUMIF($V$4:$AG$4, "SME", V96:AG96), "")</f>
        <v>0</v>
      </c>
      <c r="AJ96" s="286" t="n">
        <f aca="false">IFERROR(SUMIF($V$4:$AG$4, "De Minimis", V96:AG96), "")</f>
        <v>0</v>
      </c>
      <c r="AK96" s="268"/>
      <c r="AL96" s="288" t="str">
        <f aca="false">IF((SUM(I96:T96)&gt;1),"ERROR","")</f>
        <v/>
      </c>
    </row>
    <row r="97" customFormat="false" ht="15" hidden="false" customHeight="true" outlineLevel="0" collapsed="false">
      <c r="E97" s="200"/>
      <c r="H97" s="350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3"/>
      <c r="V97" s="284" t="n">
        <f aca="false">IFERROR(I97*$E97, "")</f>
        <v>0</v>
      </c>
      <c r="W97" s="284" t="n">
        <f aca="false">IFERROR(J97*$E97, "")</f>
        <v>0</v>
      </c>
      <c r="X97" s="284" t="n">
        <f aca="false">IFERROR(K97*$E97, "")</f>
        <v>0</v>
      </c>
      <c r="Y97" s="284" t="n">
        <f aca="false">IFERROR(L97*$E97, "")</f>
        <v>0</v>
      </c>
      <c r="Z97" s="284" t="n">
        <f aca="false">IFERROR(M97*$E97, "")</f>
        <v>0</v>
      </c>
      <c r="AA97" s="284" t="n">
        <f aca="false">IFERROR(N97*$E97, "")</f>
        <v>0</v>
      </c>
      <c r="AB97" s="284" t="n">
        <f aca="false">IFERROR(O97*$E97, "")</f>
        <v>0</v>
      </c>
      <c r="AC97" s="284" t="n">
        <f aca="false">IFERROR(P97*$E97, "")</f>
        <v>0</v>
      </c>
      <c r="AD97" s="284" t="n">
        <f aca="false">IFERROR(Q97*$E97, "")</f>
        <v>0</v>
      </c>
      <c r="AE97" s="284" t="n">
        <f aca="false">IFERROR(R97*$E97, "")</f>
        <v>0</v>
      </c>
      <c r="AF97" s="284" t="n">
        <f aca="false">IFERROR(S97*$E97, "")</f>
        <v>0</v>
      </c>
      <c r="AG97" s="284" t="n">
        <f aca="false">IFERROR(T97*$E97, "")</f>
        <v>0</v>
      </c>
      <c r="AH97" s="286" t="n">
        <f aca="false">IFERROR(SUMIF($V$4:$AG$4, "RDEC", V97:AG97), "")</f>
        <v>0</v>
      </c>
      <c r="AI97" s="286" t="n">
        <f aca="false">IFERROR(SUMIF($V$4:$AG$4, "SME", V97:AG97), "")</f>
        <v>0</v>
      </c>
      <c r="AJ97" s="286" t="n">
        <f aca="false">IFERROR(SUMIF($V$4:$AG$4, "De Minimis", V97:AG97), "")</f>
        <v>0</v>
      </c>
      <c r="AK97" s="287"/>
      <c r="AL97" s="288" t="str">
        <f aca="false">IF((SUM(I97:T97)&gt;1),"ERROR","")</f>
        <v/>
      </c>
    </row>
    <row r="98" customFormat="false" ht="15" hidden="false" customHeight="true" outlineLevel="0" collapsed="false">
      <c r="E98" s="200"/>
      <c r="H98" s="350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3"/>
      <c r="V98" s="284" t="n">
        <f aca="false">IFERROR(I98*$E98, "")</f>
        <v>0</v>
      </c>
      <c r="W98" s="284" t="n">
        <f aca="false">IFERROR(J98*$E98, "")</f>
        <v>0</v>
      </c>
      <c r="X98" s="284" t="n">
        <f aca="false">IFERROR(K98*$E98, "")</f>
        <v>0</v>
      </c>
      <c r="Y98" s="284" t="n">
        <f aca="false">IFERROR(L98*$E98, "")</f>
        <v>0</v>
      </c>
      <c r="Z98" s="284" t="n">
        <f aca="false">IFERROR(M98*$E98, "")</f>
        <v>0</v>
      </c>
      <c r="AA98" s="284" t="n">
        <f aca="false">IFERROR(N98*$E98, "")</f>
        <v>0</v>
      </c>
      <c r="AB98" s="284" t="n">
        <f aca="false">IFERROR(O98*$E98, "")</f>
        <v>0</v>
      </c>
      <c r="AC98" s="284" t="n">
        <f aca="false">IFERROR(P98*$E98, "")</f>
        <v>0</v>
      </c>
      <c r="AD98" s="284" t="n">
        <f aca="false">IFERROR(Q98*$E98, "")</f>
        <v>0</v>
      </c>
      <c r="AE98" s="284" t="n">
        <f aca="false">IFERROR(R98*$E98, "")</f>
        <v>0</v>
      </c>
      <c r="AF98" s="284" t="n">
        <f aca="false">IFERROR(S98*$E98, "")</f>
        <v>0</v>
      </c>
      <c r="AG98" s="284" t="n">
        <f aca="false">IFERROR(T98*$E98, "")</f>
        <v>0</v>
      </c>
      <c r="AH98" s="286" t="n">
        <f aca="false">IFERROR(SUMIF($V$4:$AG$4, "RDEC", V98:AG98), "")</f>
        <v>0</v>
      </c>
      <c r="AI98" s="286" t="n">
        <f aca="false">IFERROR(SUMIF($V$4:$AG$4, "SME", V98:AG98), "")</f>
        <v>0</v>
      </c>
      <c r="AJ98" s="286" t="n">
        <f aca="false">IFERROR(SUMIF($V$4:$AG$4, "De Minimis", V98:AG98), "")</f>
        <v>0</v>
      </c>
      <c r="AK98" s="287"/>
      <c r="AL98" s="288" t="str">
        <f aca="false">IF((SUM(I98:T98)&gt;1),"ERROR","")</f>
        <v/>
      </c>
    </row>
    <row r="99" customFormat="false" ht="15" hidden="false" customHeight="true" outlineLevel="0" collapsed="false">
      <c r="E99" s="200"/>
      <c r="H99" s="350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3"/>
      <c r="V99" s="284" t="n">
        <f aca="false">IFERROR(I99*$E99, "")</f>
        <v>0</v>
      </c>
      <c r="W99" s="284" t="n">
        <f aca="false">IFERROR(J99*$E99, "")</f>
        <v>0</v>
      </c>
      <c r="X99" s="284" t="n">
        <f aca="false">IFERROR(K99*$E99, "")</f>
        <v>0</v>
      </c>
      <c r="Y99" s="284" t="n">
        <f aca="false">IFERROR(L99*$E99, "")</f>
        <v>0</v>
      </c>
      <c r="Z99" s="284" t="n">
        <f aca="false">IFERROR(M99*$E99, "")</f>
        <v>0</v>
      </c>
      <c r="AA99" s="284" t="n">
        <f aca="false">IFERROR(N99*$E99, "")</f>
        <v>0</v>
      </c>
      <c r="AB99" s="284" t="n">
        <f aca="false">IFERROR(O99*$E99, "")</f>
        <v>0</v>
      </c>
      <c r="AC99" s="284" t="n">
        <f aca="false">IFERROR(P99*$E99, "")</f>
        <v>0</v>
      </c>
      <c r="AD99" s="284" t="n">
        <f aca="false">IFERROR(Q99*$E99, "")</f>
        <v>0</v>
      </c>
      <c r="AE99" s="284" t="n">
        <f aca="false">IFERROR(R99*$E99, "")</f>
        <v>0</v>
      </c>
      <c r="AF99" s="284" t="n">
        <f aca="false">IFERROR(S99*$E99, "")</f>
        <v>0</v>
      </c>
      <c r="AG99" s="284" t="n">
        <f aca="false">IFERROR(T99*$E99, "")</f>
        <v>0</v>
      </c>
      <c r="AH99" s="286" t="n">
        <f aca="false">IFERROR(SUMIF($V$4:$AG$4, "RDEC", V99:AG99), "")</f>
        <v>0</v>
      </c>
      <c r="AI99" s="286" t="n">
        <f aca="false">IFERROR(SUMIF($V$4:$AG$4, "SME", V99:AG99), "")</f>
        <v>0</v>
      </c>
      <c r="AJ99" s="286" t="n">
        <f aca="false">IFERROR(SUMIF($V$4:$AG$4, "De Minimis", V99:AG99), "")</f>
        <v>0</v>
      </c>
      <c r="AK99" s="287"/>
      <c r="AL99" s="288" t="str">
        <f aca="false">IF((SUM(I99:T99)&gt;1),"ERROR","")</f>
        <v/>
      </c>
    </row>
    <row r="100" customFormat="false" ht="15" hidden="false" customHeight="true" outlineLevel="0" collapsed="false">
      <c r="E100" s="200"/>
      <c r="H100" s="350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3"/>
      <c r="V100" s="284" t="n">
        <f aca="false">IFERROR(I100*$E100, "")</f>
        <v>0</v>
      </c>
      <c r="W100" s="284" t="n">
        <f aca="false">IFERROR(J100*$E100, "")</f>
        <v>0</v>
      </c>
      <c r="X100" s="284" t="n">
        <f aca="false">IFERROR(K100*$E100, "")</f>
        <v>0</v>
      </c>
      <c r="Y100" s="284" t="n">
        <f aca="false">IFERROR(L100*$E100, "")</f>
        <v>0</v>
      </c>
      <c r="Z100" s="284" t="n">
        <f aca="false">IFERROR(M100*$E100, "")</f>
        <v>0</v>
      </c>
      <c r="AA100" s="284" t="n">
        <f aca="false">IFERROR(N100*$E100, "")</f>
        <v>0</v>
      </c>
      <c r="AB100" s="284" t="n">
        <f aca="false">IFERROR(O100*$E100, "")</f>
        <v>0</v>
      </c>
      <c r="AC100" s="284" t="n">
        <f aca="false">IFERROR(P100*$E100, "")</f>
        <v>0</v>
      </c>
      <c r="AD100" s="284" t="n">
        <f aca="false">IFERROR(Q100*$E100, "")</f>
        <v>0</v>
      </c>
      <c r="AE100" s="284" t="n">
        <f aca="false">IFERROR(R100*$E100, "")</f>
        <v>0</v>
      </c>
      <c r="AF100" s="284" t="n">
        <f aca="false">IFERROR(S100*$E100, "")</f>
        <v>0</v>
      </c>
      <c r="AG100" s="284" t="n">
        <f aca="false">IFERROR(T100*$E100, "")</f>
        <v>0</v>
      </c>
      <c r="AH100" s="286" t="n">
        <f aca="false">IFERROR(SUMIF($V$4:$AG$4, "RDEC", V100:AG100), "")</f>
        <v>0</v>
      </c>
      <c r="AI100" s="286" t="n">
        <f aca="false">IFERROR(SUMIF($V$4:$AG$4, "SME", V100:AG100), "")</f>
        <v>0</v>
      </c>
      <c r="AJ100" s="286" t="n">
        <f aca="false">IFERROR(SUMIF($V$4:$AG$4, "De Minimis", V100:AG100), "")</f>
        <v>0</v>
      </c>
      <c r="AK100" s="287"/>
      <c r="AL100" s="288" t="str">
        <f aca="false">IF((SUM(I100:T100)&gt;1),"ERROR","")</f>
        <v/>
      </c>
    </row>
    <row r="101" customFormat="false" ht="15" hidden="false" customHeight="true" outlineLevel="0" collapsed="false">
      <c r="E101" s="200"/>
      <c r="H101" s="350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3"/>
      <c r="V101" s="284" t="n">
        <f aca="false">IFERROR(I101*$E101, "")</f>
        <v>0</v>
      </c>
      <c r="W101" s="284" t="n">
        <f aca="false">IFERROR(J101*$E101, "")</f>
        <v>0</v>
      </c>
      <c r="X101" s="284" t="n">
        <f aca="false">IFERROR(K101*$E101, "")</f>
        <v>0</v>
      </c>
      <c r="Y101" s="284" t="n">
        <f aca="false">IFERROR(L101*$E101, "")</f>
        <v>0</v>
      </c>
      <c r="Z101" s="284" t="n">
        <f aca="false">IFERROR(M101*$E101, "")</f>
        <v>0</v>
      </c>
      <c r="AA101" s="284" t="n">
        <f aca="false">IFERROR(N101*$E101, "")</f>
        <v>0</v>
      </c>
      <c r="AB101" s="284" t="n">
        <f aca="false">IFERROR(O101*$E101, "")</f>
        <v>0</v>
      </c>
      <c r="AC101" s="284" t="n">
        <f aca="false">IFERROR(P101*$E101, "")</f>
        <v>0</v>
      </c>
      <c r="AD101" s="284" t="n">
        <f aca="false">IFERROR(Q101*$E101, "")</f>
        <v>0</v>
      </c>
      <c r="AE101" s="284" t="n">
        <f aca="false">IFERROR(R101*$E101, "")</f>
        <v>0</v>
      </c>
      <c r="AF101" s="284" t="n">
        <f aca="false">IFERROR(S101*$E101, "")</f>
        <v>0</v>
      </c>
      <c r="AG101" s="284" t="n">
        <f aca="false">IFERROR(T101*$E101, "")</f>
        <v>0</v>
      </c>
      <c r="AH101" s="286" t="n">
        <f aca="false">IFERROR(SUMIF($V$4:$AG$4, "RDEC", V101:AG101), "")</f>
        <v>0</v>
      </c>
      <c r="AI101" s="286" t="n">
        <f aca="false">IFERROR(SUMIF($V$4:$AG$4, "SME", V101:AG101), "")</f>
        <v>0</v>
      </c>
      <c r="AJ101" s="286" t="n">
        <f aca="false">IFERROR(SUMIF($V$4:$AG$4, "De Minimis", V101:AG101), "")</f>
        <v>0</v>
      </c>
      <c r="AK101" s="287"/>
      <c r="AL101" s="288" t="str">
        <f aca="false">IF((SUM(I101:T101)&gt;1),"ERROR","")</f>
        <v/>
      </c>
    </row>
    <row r="102" customFormat="false" ht="15" hidden="false" customHeight="true" outlineLevel="0" collapsed="false">
      <c r="E102" s="200"/>
      <c r="H102" s="350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3"/>
      <c r="V102" s="284" t="n">
        <f aca="false">IFERROR(I102*$E102, "")</f>
        <v>0</v>
      </c>
      <c r="W102" s="284" t="n">
        <f aca="false">IFERROR(J102*$E102, "")</f>
        <v>0</v>
      </c>
      <c r="X102" s="284" t="n">
        <f aca="false">IFERROR(K102*$E102, "")</f>
        <v>0</v>
      </c>
      <c r="Y102" s="284" t="n">
        <f aca="false">IFERROR(L102*$E102, "")</f>
        <v>0</v>
      </c>
      <c r="Z102" s="284" t="n">
        <f aca="false">IFERROR(M102*$E102, "")</f>
        <v>0</v>
      </c>
      <c r="AA102" s="284" t="n">
        <f aca="false">IFERROR(N102*$E102, "")</f>
        <v>0</v>
      </c>
      <c r="AB102" s="284" t="n">
        <f aca="false">IFERROR(O102*$E102, "")</f>
        <v>0</v>
      </c>
      <c r="AC102" s="284" t="n">
        <f aca="false">IFERROR(P102*$E102, "")</f>
        <v>0</v>
      </c>
      <c r="AD102" s="284" t="n">
        <f aca="false">IFERROR(Q102*$E102, "")</f>
        <v>0</v>
      </c>
      <c r="AE102" s="284" t="n">
        <f aca="false">IFERROR(R102*$E102, "")</f>
        <v>0</v>
      </c>
      <c r="AF102" s="284" t="n">
        <f aca="false">IFERROR(S102*$E102, "")</f>
        <v>0</v>
      </c>
      <c r="AG102" s="284" t="n">
        <f aca="false">IFERROR(T102*$E102, "")</f>
        <v>0</v>
      </c>
      <c r="AH102" s="286" t="n">
        <f aca="false">IFERROR(SUMIF($V$4:$AG$4, "RDEC", V102:AG102), "")</f>
        <v>0</v>
      </c>
      <c r="AI102" s="286" t="n">
        <f aca="false">IFERROR(SUMIF($V$4:$AG$4, "SME", V102:AG102), "")</f>
        <v>0</v>
      </c>
      <c r="AJ102" s="286" t="n">
        <f aca="false">IFERROR(SUMIF($V$4:$AG$4, "De Minimis", V102:AG102), "")</f>
        <v>0</v>
      </c>
      <c r="AK102" s="287"/>
      <c r="AL102" s="288" t="str">
        <f aca="false">IF((SUM(I102:T102)&gt;1),"ERROR","")</f>
        <v/>
      </c>
    </row>
    <row r="103" customFormat="false" ht="15" hidden="false" customHeight="true" outlineLevel="0" collapsed="false">
      <c r="E103" s="200"/>
      <c r="H103" s="350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3"/>
      <c r="V103" s="284" t="n">
        <f aca="false">IFERROR(I103*$E103, "")</f>
        <v>0</v>
      </c>
      <c r="W103" s="284" t="n">
        <f aca="false">IFERROR(J103*$E103, "")</f>
        <v>0</v>
      </c>
      <c r="X103" s="284" t="n">
        <f aca="false">IFERROR(K103*$E103, "")</f>
        <v>0</v>
      </c>
      <c r="Y103" s="284" t="n">
        <f aca="false">IFERROR(L103*$E103, "")</f>
        <v>0</v>
      </c>
      <c r="Z103" s="284" t="n">
        <f aca="false">IFERROR(M103*$E103, "")</f>
        <v>0</v>
      </c>
      <c r="AA103" s="284" t="n">
        <f aca="false">IFERROR(N103*$E103, "")</f>
        <v>0</v>
      </c>
      <c r="AB103" s="284" t="n">
        <f aca="false">IFERROR(O103*$E103, "")</f>
        <v>0</v>
      </c>
      <c r="AC103" s="284" t="n">
        <f aca="false">IFERROR(P103*$E103, "")</f>
        <v>0</v>
      </c>
      <c r="AD103" s="284" t="n">
        <f aca="false">IFERROR(Q103*$E103, "")</f>
        <v>0</v>
      </c>
      <c r="AE103" s="284" t="n">
        <f aca="false">IFERROR(R103*$E103, "")</f>
        <v>0</v>
      </c>
      <c r="AF103" s="284" t="n">
        <f aca="false">IFERROR(S103*$E103, "")</f>
        <v>0</v>
      </c>
      <c r="AG103" s="284" t="n">
        <f aca="false">IFERROR(T103*$E103, "")</f>
        <v>0</v>
      </c>
      <c r="AH103" s="286" t="n">
        <f aca="false">IFERROR(SUMIF($V$4:$AG$4, "RDEC", V103:AG103), "")</f>
        <v>0</v>
      </c>
      <c r="AI103" s="286" t="n">
        <f aca="false">IFERROR(SUMIF($V$4:$AG$4, "SME", V103:AG103), "")</f>
        <v>0</v>
      </c>
      <c r="AJ103" s="286" t="n">
        <f aca="false">IFERROR(SUMIF($V$4:$AG$4, "De Minimis", V103:AG103), "")</f>
        <v>0</v>
      </c>
      <c r="AK103" s="287"/>
      <c r="AL103" s="288" t="str">
        <f aca="false">IF((SUM(I103:T103)&gt;1),"ERROR","")</f>
        <v/>
      </c>
    </row>
    <row r="104" customFormat="false" ht="15" hidden="false" customHeight="true" outlineLevel="0" collapsed="false">
      <c r="E104" s="200"/>
      <c r="H104" s="350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3"/>
      <c r="V104" s="284" t="n">
        <f aca="false">IFERROR(I104*$E104, "")</f>
        <v>0</v>
      </c>
      <c r="W104" s="284" t="n">
        <f aca="false">IFERROR(J104*$E104, "")</f>
        <v>0</v>
      </c>
      <c r="X104" s="284" t="n">
        <f aca="false">IFERROR(K104*$E104, "")</f>
        <v>0</v>
      </c>
      <c r="Y104" s="284" t="n">
        <f aca="false">IFERROR(L104*$E104, "")</f>
        <v>0</v>
      </c>
      <c r="Z104" s="284" t="n">
        <f aca="false">IFERROR(M104*$E104, "")</f>
        <v>0</v>
      </c>
      <c r="AA104" s="284" t="n">
        <f aca="false">IFERROR(N104*$E104, "")</f>
        <v>0</v>
      </c>
      <c r="AB104" s="284" t="n">
        <f aca="false">IFERROR(O104*$E104, "")</f>
        <v>0</v>
      </c>
      <c r="AC104" s="284" t="n">
        <f aca="false">IFERROR(P104*$E104, "")</f>
        <v>0</v>
      </c>
      <c r="AD104" s="284" t="n">
        <f aca="false">IFERROR(Q104*$E104, "")</f>
        <v>0</v>
      </c>
      <c r="AE104" s="284" t="n">
        <f aca="false">IFERROR(R104*$E104, "")</f>
        <v>0</v>
      </c>
      <c r="AF104" s="284" t="n">
        <f aca="false">IFERROR(S104*$E104, "")</f>
        <v>0</v>
      </c>
      <c r="AG104" s="284" t="n">
        <f aca="false">IFERROR(T104*$E104, "")</f>
        <v>0</v>
      </c>
      <c r="AH104" s="286" t="n">
        <f aca="false">IFERROR(SUMIF($V$4:$AG$4, "RDEC", V104:AG104), "")</f>
        <v>0</v>
      </c>
      <c r="AI104" s="286" t="n">
        <f aca="false">IFERROR(SUMIF($V$4:$AG$4, "SME", V104:AG104), "")</f>
        <v>0</v>
      </c>
      <c r="AJ104" s="286" t="n">
        <f aca="false">IFERROR(SUMIF($V$4:$AG$4, "De Minimis", V104:AG104), "")</f>
        <v>0</v>
      </c>
      <c r="AK104" s="287"/>
      <c r="AL104" s="288" t="str">
        <f aca="false">IF((SUM(I104:T104)&gt;1),"ERROR","")</f>
        <v/>
      </c>
    </row>
    <row r="105" customFormat="false" ht="15" hidden="false" customHeight="true" outlineLevel="0" collapsed="false">
      <c r="E105" s="200"/>
      <c r="H105" s="350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3"/>
      <c r="V105" s="284" t="n">
        <f aca="false">IFERROR(I105*$E105, "")</f>
        <v>0</v>
      </c>
      <c r="W105" s="284" t="n">
        <f aca="false">IFERROR(J105*$E105, "")</f>
        <v>0</v>
      </c>
      <c r="X105" s="284" t="n">
        <f aca="false">IFERROR(K105*$E105, "")</f>
        <v>0</v>
      </c>
      <c r="Y105" s="284" t="n">
        <f aca="false">IFERROR(L105*$E105, "")</f>
        <v>0</v>
      </c>
      <c r="Z105" s="284" t="n">
        <f aca="false">IFERROR(M105*$E105, "")</f>
        <v>0</v>
      </c>
      <c r="AA105" s="284" t="n">
        <f aca="false">IFERROR(N105*$E105, "")</f>
        <v>0</v>
      </c>
      <c r="AB105" s="284" t="n">
        <f aca="false">IFERROR(O105*$E105, "")</f>
        <v>0</v>
      </c>
      <c r="AC105" s="284" t="n">
        <f aca="false">IFERROR(P105*$E105, "")</f>
        <v>0</v>
      </c>
      <c r="AD105" s="284" t="n">
        <f aca="false">IFERROR(Q105*$E105, "")</f>
        <v>0</v>
      </c>
      <c r="AE105" s="284" t="n">
        <f aca="false">IFERROR(R105*$E105, "")</f>
        <v>0</v>
      </c>
      <c r="AF105" s="284" t="n">
        <f aca="false">IFERROR(S105*$E105, "")</f>
        <v>0</v>
      </c>
      <c r="AG105" s="284" t="n">
        <f aca="false">IFERROR(T105*$E105, "")</f>
        <v>0</v>
      </c>
      <c r="AH105" s="286" t="n">
        <f aca="false">IFERROR(SUMIF($V$4:$AG$4, "RDEC", V105:AG105), "")</f>
        <v>0</v>
      </c>
      <c r="AI105" s="286" t="n">
        <f aca="false">IFERROR(SUMIF($V$4:$AG$4, "SME", V105:AG105), "")</f>
        <v>0</v>
      </c>
      <c r="AJ105" s="286" t="n">
        <f aca="false">IFERROR(SUMIF($V$4:$AG$4, "De Minimis", V105:AG105), "")</f>
        <v>0</v>
      </c>
      <c r="AK105" s="287"/>
      <c r="AL105" s="288" t="str">
        <f aca="false">IF((SUM(I105:T105)&gt;1),"ERROR","")</f>
        <v/>
      </c>
    </row>
    <row r="106" customFormat="false" ht="15" hidden="false" customHeight="true" outlineLevel="0" collapsed="false">
      <c r="E106" s="200"/>
      <c r="H106" s="350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3"/>
      <c r="V106" s="284" t="n">
        <f aca="false">IFERROR(I106*$E106, "")</f>
        <v>0</v>
      </c>
      <c r="W106" s="284" t="n">
        <f aca="false">IFERROR(J106*$E106, "")</f>
        <v>0</v>
      </c>
      <c r="X106" s="284" t="n">
        <f aca="false">IFERROR(K106*$E106, "")</f>
        <v>0</v>
      </c>
      <c r="Y106" s="284" t="n">
        <f aca="false">IFERROR(L106*$E106, "")</f>
        <v>0</v>
      </c>
      <c r="Z106" s="284" t="n">
        <f aca="false">IFERROR(M106*$E106, "")</f>
        <v>0</v>
      </c>
      <c r="AA106" s="284" t="n">
        <f aca="false">IFERROR(N106*$E106, "")</f>
        <v>0</v>
      </c>
      <c r="AB106" s="284" t="n">
        <f aca="false">IFERROR(O106*$E106, "")</f>
        <v>0</v>
      </c>
      <c r="AC106" s="284" t="n">
        <f aca="false">IFERROR(P106*$E106, "")</f>
        <v>0</v>
      </c>
      <c r="AD106" s="284" t="n">
        <f aca="false">IFERROR(Q106*$E106, "")</f>
        <v>0</v>
      </c>
      <c r="AE106" s="284" t="n">
        <f aca="false">IFERROR(R106*$E106, "")</f>
        <v>0</v>
      </c>
      <c r="AF106" s="284" t="n">
        <f aca="false">IFERROR(S106*$E106, "")</f>
        <v>0</v>
      </c>
      <c r="AG106" s="284" t="n">
        <f aca="false">IFERROR(T106*$E106, "")</f>
        <v>0</v>
      </c>
      <c r="AH106" s="286" t="n">
        <f aca="false">IFERROR(SUMIF($V$4:$AG$4, "RDEC", V106:AG106), "")</f>
        <v>0</v>
      </c>
      <c r="AI106" s="286" t="n">
        <f aca="false">IFERROR(SUMIF($V$4:$AG$4, "SME", V106:AG106), "")</f>
        <v>0</v>
      </c>
      <c r="AJ106" s="286" t="n">
        <f aca="false">IFERROR(SUMIF($V$4:$AG$4, "De Minimis", V106:AG106), "")</f>
        <v>0</v>
      </c>
      <c r="AK106" s="287"/>
      <c r="AL106" s="288" t="str">
        <f aca="false">IF((SUM(I106:T106)&gt;1),"ERROR","")</f>
        <v/>
      </c>
    </row>
    <row r="107" customFormat="false" ht="15" hidden="false" customHeight="true" outlineLevel="0" collapsed="false">
      <c r="E107" s="200"/>
      <c r="H107" s="350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3"/>
      <c r="V107" s="284" t="n">
        <f aca="false">IFERROR(I107*$E107, "")</f>
        <v>0</v>
      </c>
      <c r="W107" s="284" t="n">
        <f aca="false">IFERROR(J107*$E107, "")</f>
        <v>0</v>
      </c>
      <c r="X107" s="284" t="n">
        <f aca="false">IFERROR(K107*$E107, "")</f>
        <v>0</v>
      </c>
      <c r="Y107" s="284" t="n">
        <f aca="false">IFERROR(L107*$E107, "")</f>
        <v>0</v>
      </c>
      <c r="Z107" s="284" t="n">
        <f aca="false">IFERROR(M107*$E107, "")</f>
        <v>0</v>
      </c>
      <c r="AA107" s="284" t="n">
        <f aca="false">IFERROR(N107*$E107, "")</f>
        <v>0</v>
      </c>
      <c r="AB107" s="284" t="n">
        <f aca="false">IFERROR(O107*$E107, "")</f>
        <v>0</v>
      </c>
      <c r="AC107" s="284" t="n">
        <f aca="false">IFERROR(P107*$E107, "")</f>
        <v>0</v>
      </c>
      <c r="AD107" s="284" t="n">
        <f aca="false">IFERROR(Q107*$E107, "")</f>
        <v>0</v>
      </c>
      <c r="AE107" s="284" t="n">
        <f aca="false">IFERROR(R107*$E107, "")</f>
        <v>0</v>
      </c>
      <c r="AF107" s="284" t="n">
        <f aca="false">IFERROR(S107*$E107, "")</f>
        <v>0</v>
      </c>
      <c r="AG107" s="284" t="n">
        <f aca="false">IFERROR(T107*$E107, "")</f>
        <v>0</v>
      </c>
      <c r="AH107" s="286" t="n">
        <f aca="false">IFERROR(SUMIF($V$4:$AG$4, "RDEC", V107:AG107), "")</f>
        <v>0</v>
      </c>
      <c r="AI107" s="286" t="n">
        <f aca="false">IFERROR(SUMIF($V$4:$AG$4, "SME", V107:AG107), "")</f>
        <v>0</v>
      </c>
      <c r="AJ107" s="286" t="n">
        <f aca="false">IFERROR(SUMIF($V$4:$AG$4, "De Minimis", V107:AG107), "")</f>
        <v>0</v>
      </c>
      <c r="AK107" s="287"/>
      <c r="AL107" s="288" t="str">
        <f aca="false">IF((SUM(I107:T107)&gt;1),"ERROR","")</f>
        <v/>
      </c>
    </row>
    <row r="108" customFormat="false" ht="15" hidden="false" customHeight="true" outlineLevel="0" collapsed="false">
      <c r="E108" s="200"/>
      <c r="H108" s="350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3"/>
      <c r="V108" s="284" t="n">
        <f aca="false">IFERROR(I108*$E108, "")</f>
        <v>0</v>
      </c>
      <c r="W108" s="284" t="n">
        <f aca="false">IFERROR(J108*$E108, "")</f>
        <v>0</v>
      </c>
      <c r="X108" s="284" t="n">
        <f aca="false">IFERROR(K108*$E108, "")</f>
        <v>0</v>
      </c>
      <c r="Y108" s="284" t="n">
        <f aca="false">IFERROR(L108*$E108, "")</f>
        <v>0</v>
      </c>
      <c r="Z108" s="284" t="n">
        <f aca="false">IFERROR(M108*$E108, "")</f>
        <v>0</v>
      </c>
      <c r="AA108" s="284" t="n">
        <f aca="false">IFERROR(N108*$E108, "")</f>
        <v>0</v>
      </c>
      <c r="AB108" s="284" t="n">
        <f aca="false">IFERROR(O108*$E108, "")</f>
        <v>0</v>
      </c>
      <c r="AC108" s="284" t="n">
        <f aca="false">IFERROR(P108*$E108, "")</f>
        <v>0</v>
      </c>
      <c r="AD108" s="284" t="n">
        <f aca="false">IFERROR(Q108*$E108, "")</f>
        <v>0</v>
      </c>
      <c r="AE108" s="284" t="n">
        <f aca="false">IFERROR(R108*$E108, "")</f>
        <v>0</v>
      </c>
      <c r="AF108" s="284" t="n">
        <f aca="false">IFERROR(S108*$E108, "")</f>
        <v>0</v>
      </c>
      <c r="AG108" s="284" t="n">
        <f aca="false">IFERROR(T108*$E108, "")</f>
        <v>0</v>
      </c>
      <c r="AH108" s="286" t="n">
        <f aca="false">IFERROR(SUMIF($V$4:$AG$4, "RDEC", V108:AG108), "")</f>
        <v>0</v>
      </c>
      <c r="AI108" s="286" t="n">
        <f aca="false">IFERROR(SUMIF($V$4:$AG$4, "SME", V108:AG108), "")</f>
        <v>0</v>
      </c>
      <c r="AJ108" s="286" t="n">
        <f aca="false">IFERROR(SUMIF($V$4:$AG$4, "De Minimis", V108:AG108), "")</f>
        <v>0</v>
      </c>
      <c r="AK108" s="287"/>
      <c r="AL108" s="288" t="str">
        <f aca="false">IF((SUM(I108:T108)&gt;1),"ERROR","")</f>
        <v/>
      </c>
    </row>
    <row r="109" customFormat="false" ht="15" hidden="false" customHeight="true" outlineLevel="0" collapsed="false">
      <c r="E109" s="200"/>
      <c r="H109" s="350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3"/>
      <c r="V109" s="284" t="n">
        <f aca="false">IFERROR(I109*$E109, "")</f>
        <v>0</v>
      </c>
      <c r="W109" s="284" t="n">
        <f aca="false">IFERROR(J109*$E109, "")</f>
        <v>0</v>
      </c>
      <c r="X109" s="284" t="n">
        <f aca="false">IFERROR(K109*$E109, "")</f>
        <v>0</v>
      </c>
      <c r="Y109" s="284" t="n">
        <f aca="false">IFERROR(L109*$E109, "")</f>
        <v>0</v>
      </c>
      <c r="Z109" s="284" t="n">
        <f aca="false">IFERROR(M109*$E109, "")</f>
        <v>0</v>
      </c>
      <c r="AA109" s="284" t="n">
        <f aca="false">IFERROR(N109*$E109, "")</f>
        <v>0</v>
      </c>
      <c r="AB109" s="284" t="n">
        <f aca="false">IFERROR(O109*$E109, "")</f>
        <v>0</v>
      </c>
      <c r="AC109" s="284" t="n">
        <f aca="false">IFERROR(P109*$E109, "")</f>
        <v>0</v>
      </c>
      <c r="AD109" s="284" t="n">
        <f aca="false">IFERROR(Q109*$E109, "")</f>
        <v>0</v>
      </c>
      <c r="AE109" s="284" t="n">
        <f aca="false">IFERROR(R109*$E109, "")</f>
        <v>0</v>
      </c>
      <c r="AF109" s="284" t="n">
        <f aca="false">IFERROR(S109*$E109, "")</f>
        <v>0</v>
      </c>
      <c r="AG109" s="284" t="n">
        <f aca="false">IFERROR(T109*$E109, "")</f>
        <v>0</v>
      </c>
      <c r="AH109" s="286" t="n">
        <f aca="false">IFERROR(SUMIF($V$4:$AG$4, "RDEC", V109:AG109), "")</f>
        <v>0</v>
      </c>
      <c r="AI109" s="286" t="n">
        <f aca="false">IFERROR(SUMIF($V$4:$AG$4, "SME", V109:AG109), "")</f>
        <v>0</v>
      </c>
      <c r="AJ109" s="286" t="n">
        <f aca="false">IFERROR(SUMIF($V$4:$AG$4, "De Minimis", V109:AG109), "")</f>
        <v>0</v>
      </c>
      <c r="AK109" s="303"/>
      <c r="AL109" s="288" t="str">
        <f aca="false">IF((SUM(I109:T109)&gt;1),"ERROR","")</f>
        <v/>
      </c>
    </row>
    <row r="110" customFormat="false" ht="15" hidden="false" customHeight="true" outlineLevel="0" collapsed="false">
      <c r="E110" s="200"/>
      <c r="H110" s="350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3"/>
      <c r="V110" s="284" t="n">
        <f aca="false">IFERROR(I110*$E110, "")</f>
        <v>0</v>
      </c>
      <c r="W110" s="284" t="n">
        <f aca="false">IFERROR(J110*$E110, "")</f>
        <v>0</v>
      </c>
      <c r="X110" s="284" t="n">
        <f aca="false">IFERROR(K110*$E110, "")</f>
        <v>0</v>
      </c>
      <c r="Y110" s="284" t="n">
        <f aca="false">IFERROR(L110*$E110, "")</f>
        <v>0</v>
      </c>
      <c r="Z110" s="284" t="n">
        <f aca="false">IFERROR(M110*$E110, "")</f>
        <v>0</v>
      </c>
      <c r="AA110" s="284" t="n">
        <f aca="false">IFERROR(N110*$E110, "")</f>
        <v>0</v>
      </c>
      <c r="AB110" s="284" t="n">
        <f aca="false">IFERROR(O110*$E110, "")</f>
        <v>0</v>
      </c>
      <c r="AC110" s="284" t="n">
        <f aca="false">IFERROR(P110*$E110, "")</f>
        <v>0</v>
      </c>
      <c r="AD110" s="284" t="n">
        <f aca="false">IFERROR(Q110*$E110, "")</f>
        <v>0</v>
      </c>
      <c r="AE110" s="284" t="n">
        <f aca="false">IFERROR(R110*$E110, "")</f>
        <v>0</v>
      </c>
      <c r="AF110" s="284" t="n">
        <f aca="false">IFERROR(S110*$E110, "")</f>
        <v>0</v>
      </c>
      <c r="AG110" s="284" t="n">
        <f aca="false">IFERROR(T110*$E110, "")</f>
        <v>0</v>
      </c>
      <c r="AH110" s="286" t="n">
        <f aca="false">IFERROR(SUMIF($V$4:$AG$4, "RDEC", V110:AG110), "")</f>
        <v>0</v>
      </c>
      <c r="AI110" s="286" t="n">
        <f aca="false">IFERROR(SUMIF($V$4:$AG$4, "SME", V110:AG110), "")</f>
        <v>0</v>
      </c>
      <c r="AJ110" s="286" t="n">
        <f aca="false">IFERROR(SUMIF($V$4:$AG$4, "De Minimis", V110:AG110), "")</f>
        <v>0</v>
      </c>
      <c r="AL110" s="288" t="str">
        <f aca="false">IF((SUM(I110:T110)&gt;1),"ERROR","")</f>
        <v/>
      </c>
    </row>
    <row r="111" customFormat="false" ht="15" hidden="false" customHeight="true" outlineLevel="0" collapsed="false">
      <c r="E111" s="200"/>
      <c r="H111" s="350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3"/>
      <c r="V111" s="284" t="n">
        <f aca="false">IFERROR(I111*$E111, "")</f>
        <v>0</v>
      </c>
      <c r="W111" s="284" t="n">
        <f aca="false">IFERROR(J111*$E111, "")</f>
        <v>0</v>
      </c>
      <c r="X111" s="284" t="n">
        <f aca="false">IFERROR(K111*$E111, "")</f>
        <v>0</v>
      </c>
      <c r="Y111" s="284" t="n">
        <f aca="false">IFERROR(L111*$E111, "")</f>
        <v>0</v>
      </c>
      <c r="Z111" s="284" t="n">
        <f aca="false">IFERROR(M111*$E111, "")</f>
        <v>0</v>
      </c>
      <c r="AA111" s="284" t="n">
        <f aca="false">IFERROR(N111*$E111, "")</f>
        <v>0</v>
      </c>
      <c r="AB111" s="284" t="n">
        <f aca="false">IFERROR(O111*$E111, "")</f>
        <v>0</v>
      </c>
      <c r="AC111" s="284" t="n">
        <f aca="false">IFERROR(P111*$E111, "")</f>
        <v>0</v>
      </c>
      <c r="AD111" s="284" t="n">
        <f aca="false">IFERROR(Q111*$E111, "")</f>
        <v>0</v>
      </c>
      <c r="AE111" s="284" t="n">
        <f aca="false">IFERROR(R111*$E111, "")</f>
        <v>0</v>
      </c>
      <c r="AF111" s="284" t="n">
        <f aca="false">IFERROR(S111*$E111, "")</f>
        <v>0</v>
      </c>
      <c r="AG111" s="284" t="n">
        <f aca="false">IFERROR(T111*$E111, "")</f>
        <v>0</v>
      </c>
      <c r="AH111" s="286" t="n">
        <f aca="false">IFERROR(SUMIF($V$4:$AG$4, "RDEC", V111:AG111), "")</f>
        <v>0</v>
      </c>
      <c r="AI111" s="286" t="n">
        <f aca="false">IFERROR(SUMIF($V$4:$AG$4, "SME", V111:AG111), "")</f>
        <v>0</v>
      </c>
      <c r="AJ111" s="286" t="n">
        <f aca="false">IFERROR(SUMIF($V$4:$AG$4, "De Minimis", V111:AG111), "")</f>
        <v>0</v>
      </c>
      <c r="AK111" s="268"/>
      <c r="AL111" s="288" t="str">
        <f aca="false">IF((SUM(I111:T111)&gt;1),"ERROR","")</f>
        <v/>
      </c>
    </row>
    <row r="112" customFormat="false" ht="15" hidden="false" customHeight="true" outlineLevel="0" collapsed="false">
      <c r="E112" s="200"/>
      <c r="H112" s="350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3"/>
      <c r="V112" s="284" t="n">
        <f aca="false">IFERROR(I112*$E112, "")</f>
        <v>0</v>
      </c>
      <c r="W112" s="284" t="n">
        <f aca="false">IFERROR(J112*$E112, "")</f>
        <v>0</v>
      </c>
      <c r="X112" s="284" t="n">
        <f aca="false">IFERROR(K112*$E112, "")</f>
        <v>0</v>
      </c>
      <c r="Y112" s="284" t="n">
        <f aca="false">IFERROR(L112*$E112, "")</f>
        <v>0</v>
      </c>
      <c r="Z112" s="284" t="n">
        <f aca="false">IFERROR(M112*$E112, "")</f>
        <v>0</v>
      </c>
      <c r="AA112" s="284" t="n">
        <f aca="false">IFERROR(N112*$E112, "")</f>
        <v>0</v>
      </c>
      <c r="AB112" s="284" t="n">
        <f aca="false">IFERROR(O112*$E112, "")</f>
        <v>0</v>
      </c>
      <c r="AC112" s="284" t="n">
        <f aca="false">IFERROR(P112*$E112, "")</f>
        <v>0</v>
      </c>
      <c r="AD112" s="284" t="n">
        <f aca="false">IFERROR(Q112*$E112, "")</f>
        <v>0</v>
      </c>
      <c r="AE112" s="284" t="n">
        <f aca="false">IFERROR(R112*$E112, "")</f>
        <v>0</v>
      </c>
      <c r="AF112" s="284" t="n">
        <f aca="false">IFERROR(S112*$E112, "")</f>
        <v>0</v>
      </c>
      <c r="AG112" s="284" t="n">
        <f aca="false">IFERROR(T112*$E112, "")</f>
        <v>0</v>
      </c>
      <c r="AH112" s="286" t="n">
        <f aca="false">IFERROR(SUMIF($V$4:$AG$4, "RDEC", V112:AG112), "")</f>
        <v>0</v>
      </c>
      <c r="AI112" s="286" t="n">
        <f aca="false">IFERROR(SUMIF($V$4:$AG$4, "SME", V112:AG112), "")</f>
        <v>0</v>
      </c>
      <c r="AJ112" s="286" t="n">
        <f aca="false">IFERROR(SUMIF($V$4:$AG$4, "De Minimis", V112:AG112), "")</f>
        <v>0</v>
      </c>
      <c r="AK112" s="287"/>
      <c r="AL112" s="288" t="str">
        <f aca="false">IF((SUM(I112:T112)&gt;1),"ERROR","")</f>
        <v/>
      </c>
    </row>
    <row r="113" customFormat="false" ht="15" hidden="false" customHeight="true" outlineLevel="0" collapsed="false">
      <c r="E113" s="200"/>
      <c r="H113" s="350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3"/>
      <c r="V113" s="284" t="n">
        <f aca="false">IFERROR(I113*$E113, "")</f>
        <v>0</v>
      </c>
      <c r="W113" s="284" t="n">
        <f aca="false">IFERROR(J113*$E113, "")</f>
        <v>0</v>
      </c>
      <c r="X113" s="284" t="n">
        <f aca="false">IFERROR(K113*$E113, "")</f>
        <v>0</v>
      </c>
      <c r="Y113" s="284" t="n">
        <f aca="false">IFERROR(L113*$E113, "")</f>
        <v>0</v>
      </c>
      <c r="Z113" s="284" t="n">
        <f aca="false">IFERROR(M113*$E113, "")</f>
        <v>0</v>
      </c>
      <c r="AA113" s="284" t="n">
        <f aca="false">IFERROR(N113*$E113, "")</f>
        <v>0</v>
      </c>
      <c r="AB113" s="284" t="n">
        <f aca="false">IFERROR(O113*$E113, "")</f>
        <v>0</v>
      </c>
      <c r="AC113" s="284" t="n">
        <f aca="false">IFERROR(P113*$E113, "")</f>
        <v>0</v>
      </c>
      <c r="AD113" s="284" t="n">
        <f aca="false">IFERROR(Q113*$E113, "")</f>
        <v>0</v>
      </c>
      <c r="AE113" s="284" t="n">
        <f aca="false">IFERROR(R113*$E113, "")</f>
        <v>0</v>
      </c>
      <c r="AF113" s="284" t="n">
        <f aca="false">IFERROR(S113*$E113, "")</f>
        <v>0</v>
      </c>
      <c r="AG113" s="284" t="n">
        <f aca="false">IFERROR(T113*$E113, "")</f>
        <v>0</v>
      </c>
      <c r="AH113" s="286" t="n">
        <f aca="false">IFERROR(SUMIF($V$4:$AG$4, "RDEC", V113:AG113), "")</f>
        <v>0</v>
      </c>
      <c r="AI113" s="286" t="n">
        <f aca="false">IFERROR(SUMIF($V$4:$AG$4, "SME", V113:AG113), "")</f>
        <v>0</v>
      </c>
      <c r="AJ113" s="286" t="n">
        <f aca="false">IFERROR(SUMIF($V$4:$AG$4, "De Minimis", V113:AG113), "")</f>
        <v>0</v>
      </c>
      <c r="AK113" s="287"/>
      <c r="AL113" s="288" t="str">
        <f aca="false">IF((SUM(I113:T113)&gt;1),"ERROR","")</f>
        <v/>
      </c>
    </row>
    <row r="114" customFormat="false" ht="15" hidden="false" customHeight="true" outlineLevel="0" collapsed="false">
      <c r="E114" s="200"/>
      <c r="H114" s="350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3"/>
      <c r="V114" s="284" t="n">
        <f aca="false">IFERROR(I114*$E114, "")</f>
        <v>0</v>
      </c>
      <c r="W114" s="284" t="n">
        <f aca="false">IFERROR(J114*$E114, "")</f>
        <v>0</v>
      </c>
      <c r="X114" s="284" t="n">
        <f aca="false">IFERROR(K114*$E114, "")</f>
        <v>0</v>
      </c>
      <c r="Y114" s="284" t="n">
        <f aca="false">IFERROR(L114*$E114, "")</f>
        <v>0</v>
      </c>
      <c r="Z114" s="284" t="n">
        <f aca="false">IFERROR(M114*$E114, "")</f>
        <v>0</v>
      </c>
      <c r="AA114" s="284" t="n">
        <f aca="false">IFERROR(N114*$E114, "")</f>
        <v>0</v>
      </c>
      <c r="AB114" s="284" t="n">
        <f aca="false">IFERROR(O114*$E114, "")</f>
        <v>0</v>
      </c>
      <c r="AC114" s="284" t="n">
        <f aca="false">IFERROR(P114*$E114, "")</f>
        <v>0</v>
      </c>
      <c r="AD114" s="284" t="n">
        <f aca="false">IFERROR(Q114*$E114, "")</f>
        <v>0</v>
      </c>
      <c r="AE114" s="284" t="n">
        <f aca="false">IFERROR(R114*$E114, "")</f>
        <v>0</v>
      </c>
      <c r="AF114" s="284" t="n">
        <f aca="false">IFERROR(S114*$E114, "")</f>
        <v>0</v>
      </c>
      <c r="AG114" s="284" t="n">
        <f aca="false">IFERROR(T114*$E114, "")</f>
        <v>0</v>
      </c>
      <c r="AH114" s="286" t="n">
        <f aca="false">IFERROR(SUMIF($V$4:$AG$4, "RDEC", V114:AG114), "")</f>
        <v>0</v>
      </c>
      <c r="AI114" s="286" t="n">
        <f aca="false">IFERROR(SUMIF($V$4:$AG$4, "SME", V114:AG114), "")</f>
        <v>0</v>
      </c>
      <c r="AJ114" s="286" t="n">
        <f aca="false">IFERROR(SUMIF($V$4:$AG$4, "De Minimis", V114:AG114), "")</f>
        <v>0</v>
      </c>
      <c r="AK114" s="287"/>
      <c r="AL114" s="288" t="str">
        <f aca="false">IF((SUM(I114:T114)&gt;1),"ERROR","")</f>
        <v/>
      </c>
    </row>
    <row r="115" customFormat="false" ht="15" hidden="false" customHeight="true" outlineLevel="0" collapsed="false">
      <c r="E115" s="200"/>
      <c r="H115" s="350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3"/>
      <c r="V115" s="284" t="n">
        <f aca="false">IFERROR(I115*$E115, "")</f>
        <v>0</v>
      </c>
      <c r="W115" s="284" t="n">
        <f aca="false">IFERROR(J115*$E115, "")</f>
        <v>0</v>
      </c>
      <c r="X115" s="284" t="n">
        <f aca="false">IFERROR(K115*$E115, "")</f>
        <v>0</v>
      </c>
      <c r="Y115" s="284" t="n">
        <f aca="false">IFERROR(L115*$E115, "")</f>
        <v>0</v>
      </c>
      <c r="Z115" s="284" t="n">
        <f aca="false">IFERROR(M115*$E115, "")</f>
        <v>0</v>
      </c>
      <c r="AA115" s="284" t="n">
        <f aca="false">IFERROR(N115*$E115, "")</f>
        <v>0</v>
      </c>
      <c r="AB115" s="284" t="n">
        <f aca="false">IFERROR(O115*$E115, "")</f>
        <v>0</v>
      </c>
      <c r="AC115" s="284" t="n">
        <f aca="false">IFERROR(P115*$E115, "")</f>
        <v>0</v>
      </c>
      <c r="AD115" s="284" t="n">
        <f aca="false">IFERROR(Q115*$E115, "")</f>
        <v>0</v>
      </c>
      <c r="AE115" s="284" t="n">
        <f aca="false">IFERROR(R115*$E115, "")</f>
        <v>0</v>
      </c>
      <c r="AF115" s="284" t="n">
        <f aca="false">IFERROR(S115*$E115, "")</f>
        <v>0</v>
      </c>
      <c r="AG115" s="284" t="n">
        <f aca="false">IFERROR(T115*$E115, "")</f>
        <v>0</v>
      </c>
      <c r="AH115" s="286" t="n">
        <f aca="false">IFERROR(SUMIF($V$4:$AG$4, "RDEC", V115:AG115), "")</f>
        <v>0</v>
      </c>
      <c r="AI115" s="286" t="n">
        <f aca="false">IFERROR(SUMIF($V$4:$AG$4, "SME", V115:AG115), "")</f>
        <v>0</v>
      </c>
      <c r="AJ115" s="286" t="n">
        <f aca="false">IFERROR(SUMIF($V$4:$AG$4, "De Minimis", V115:AG115), "")</f>
        <v>0</v>
      </c>
      <c r="AK115" s="287"/>
      <c r="AL115" s="288" t="str">
        <f aca="false">IF((SUM(I115:T115)&gt;1),"ERROR","")</f>
        <v/>
      </c>
    </row>
    <row r="116" customFormat="false" ht="15" hidden="false" customHeight="true" outlineLevel="0" collapsed="false">
      <c r="E116" s="200"/>
      <c r="H116" s="350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3"/>
      <c r="V116" s="284" t="n">
        <f aca="false">IFERROR(I116*$E116, "")</f>
        <v>0</v>
      </c>
      <c r="W116" s="284" t="n">
        <f aca="false">IFERROR(J116*$E116, "")</f>
        <v>0</v>
      </c>
      <c r="X116" s="284" t="n">
        <f aca="false">IFERROR(K116*$E116, "")</f>
        <v>0</v>
      </c>
      <c r="Y116" s="284" t="n">
        <f aca="false">IFERROR(L116*$E116, "")</f>
        <v>0</v>
      </c>
      <c r="Z116" s="284" t="n">
        <f aca="false">IFERROR(M116*$E116, "")</f>
        <v>0</v>
      </c>
      <c r="AA116" s="284" t="n">
        <f aca="false">IFERROR(N116*$E116, "")</f>
        <v>0</v>
      </c>
      <c r="AB116" s="284" t="n">
        <f aca="false">IFERROR(O116*$E116, "")</f>
        <v>0</v>
      </c>
      <c r="AC116" s="284" t="n">
        <f aca="false">IFERROR(P116*$E116, "")</f>
        <v>0</v>
      </c>
      <c r="AD116" s="284" t="n">
        <f aca="false">IFERROR(Q116*$E116, "")</f>
        <v>0</v>
      </c>
      <c r="AE116" s="284" t="n">
        <f aca="false">IFERROR(R116*$E116, "")</f>
        <v>0</v>
      </c>
      <c r="AF116" s="284" t="n">
        <f aca="false">IFERROR(S116*$E116, "")</f>
        <v>0</v>
      </c>
      <c r="AG116" s="284" t="n">
        <f aca="false">IFERROR(T116*$E116, "")</f>
        <v>0</v>
      </c>
      <c r="AH116" s="286" t="n">
        <f aca="false">IFERROR(SUMIF($V$4:$AG$4, "RDEC", V116:AG116), "")</f>
        <v>0</v>
      </c>
      <c r="AI116" s="286" t="n">
        <f aca="false">IFERROR(SUMIF($V$4:$AG$4, "SME", V116:AG116), "")</f>
        <v>0</v>
      </c>
      <c r="AJ116" s="286" t="n">
        <f aca="false">IFERROR(SUMIF($V$4:$AG$4, "De Minimis", V116:AG116), "")</f>
        <v>0</v>
      </c>
      <c r="AK116" s="287"/>
      <c r="AL116" s="288" t="str">
        <f aca="false">IF((SUM(I116:T116)&gt;1),"ERROR","")</f>
        <v/>
      </c>
    </row>
    <row r="117" customFormat="false" ht="15" hidden="false" customHeight="true" outlineLevel="0" collapsed="false">
      <c r="E117" s="200"/>
      <c r="H117" s="350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3"/>
      <c r="V117" s="284" t="n">
        <f aca="false">IFERROR(I117*$E117, "")</f>
        <v>0</v>
      </c>
      <c r="W117" s="284" t="n">
        <f aca="false">IFERROR(J117*$E117, "")</f>
        <v>0</v>
      </c>
      <c r="X117" s="284" t="n">
        <f aca="false">IFERROR(K117*$E117, "")</f>
        <v>0</v>
      </c>
      <c r="Y117" s="284" t="n">
        <f aca="false">IFERROR(L117*$E117, "")</f>
        <v>0</v>
      </c>
      <c r="Z117" s="284" t="n">
        <f aca="false">IFERROR(M117*$E117, "")</f>
        <v>0</v>
      </c>
      <c r="AA117" s="284" t="n">
        <f aca="false">IFERROR(N117*$E117, "")</f>
        <v>0</v>
      </c>
      <c r="AB117" s="284" t="n">
        <f aca="false">IFERROR(O117*$E117, "")</f>
        <v>0</v>
      </c>
      <c r="AC117" s="284" t="n">
        <f aca="false">IFERROR(P117*$E117, "")</f>
        <v>0</v>
      </c>
      <c r="AD117" s="284" t="n">
        <f aca="false">IFERROR(Q117*$E117, "")</f>
        <v>0</v>
      </c>
      <c r="AE117" s="284" t="n">
        <f aca="false">IFERROR(R117*$E117, "")</f>
        <v>0</v>
      </c>
      <c r="AF117" s="284" t="n">
        <f aca="false">IFERROR(S117*$E117, "")</f>
        <v>0</v>
      </c>
      <c r="AG117" s="284" t="n">
        <f aca="false">IFERROR(T117*$E117, "")</f>
        <v>0</v>
      </c>
      <c r="AH117" s="286" t="n">
        <f aca="false">IFERROR(SUMIF($V$4:$AG$4, "RDEC", V117:AG117), "")</f>
        <v>0</v>
      </c>
      <c r="AI117" s="286" t="n">
        <f aca="false">IFERROR(SUMIF($V$4:$AG$4, "SME", V117:AG117), "")</f>
        <v>0</v>
      </c>
      <c r="AJ117" s="286" t="n">
        <f aca="false">IFERROR(SUMIF($V$4:$AG$4, "De Minimis", V117:AG117), "")</f>
        <v>0</v>
      </c>
      <c r="AK117" s="287"/>
      <c r="AL117" s="288" t="str">
        <f aca="false">IF((SUM(I117:T117)&gt;1),"ERROR","")</f>
        <v/>
      </c>
    </row>
    <row r="118" customFormat="false" ht="15" hidden="false" customHeight="true" outlineLevel="0" collapsed="false">
      <c r="E118" s="200"/>
      <c r="H118" s="350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3"/>
      <c r="V118" s="284" t="n">
        <f aca="false">IFERROR(I118*$E118, "")</f>
        <v>0</v>
      </c>
      <c r="W118" s="284" t="n">
        <f aca="false">IFERROR(J118*$E118, "")</f>
        <v>0</v>
      </c>
      <c r="X118" s="284" t="n">
        <f aca="false">IFERROR(K118*$E118, "")</f>
        <v>0</v>
      </c>
      <c r="Y118" s="284" t="n">
        <f aca="false">IFERROR(L118*$E118, "")</f>
        <v>0</v>
      </c>
      <c r="Z118" s="284" t="n">
        <f aca="false">IFERROR(M118*$E118, "")</f>
        <v>0</v>
      </c>
      <c r="AA118" s="284" t="n">
        <f aca="false">IFERROR(N118*$E118, "")</f>
        <v>0</v>
      </c>
      <c r="AB118" s="284" t="n">
        <f aca="false">IFERROR(O118*$E118, "")</f>
        <v>0</v>
      </c>
      <c r="AC118" s="284" t="n">
        <f aca="false">IFERROR(P118*$E118, "")</f>
        <v>0</v>
      </c>
      <c r="AD118" s="284" t="n">
        <f aca="false">IFERROR(Q118*$E118, "")</f>
        <v>0</v>
      </c>
      <c r="AE118" s="284" t="n">
        <f aca="false">IFERROR(R118*$E118, "")</f>
        <v>0</v>
      </c>
      <c r="AF118" s="284" t="n">
        <f aca="false">IFERROR(S118*$E118, "")</f>
        <v>0</v>
      </c>
      <c r="AG118" s="284" t="n">
        <f aca="false">IFERROR(T118*$E118, "")</f>
        <v>0</v>
      </c>
      <c r="AH118" s="286" t="n">
        <f aca="false">IFERROR(SUMIF($V$4:$AG$4, "RDEC", V118:AG118), "")</f>
        <v>0</v>
      </c>
      <c r="AI118" s="286" t="n">
        <f aca="false">IFERROR(SUMIF($V$4:$AG$4, "SME", V118:AG118), "")</f>
        <v>0</v>
      </c>
      <c r="AJ118" s="286" t="n">
        <f aca="false">IFERROR(SUMIF($V$4:$AG$4, "De Minimis", V118:AG118), "")</f>
        <v>0</v>
      </c>
      <c r="AK118" s="287"/>
      <c r="AL118" s="288" t="str">
        <f aca="false">IF((SUM(I118:T118)&gt;1),"ERROR","")</f>
        <v/>
      </c>
    </row>
    <row r="119" customFormat="false" ht="15" hidden="false" customHeight="true" outlineLevel="0" collapsed="false">
      <c r="E119" s="200"/>
      <c r="H119" s="350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3"/>
      <c r="V119" s="284" t="n">
        <f aca="false">IFERROR(I119*$E119, "")</f>
        <v>0</v>
      </c>
      <c r="W119" s="284" t="n">
        <f aca="false">IFERROR(J119*$E119, "")</f>
        <v>0</v>
      </c>
      <c r="X119" s="284" t="n">
        <f aca="false">IFERROR(K119*$E119, "")</f>
        <v>0</v>
      </c>
      <c r="Y119" s="284" t="n">
        <f aca="false">IFERROR(L119*$E119, "")</f>
        <v>0</v>
      </c>
      <c r="Z119" s="284" t="n">
        <f aca="false">IFERROR(M119*$E119, "")</f>
        <v>0</v>
      </c>
      <c r="AA119" s="284" t="n">
        <f aca="false">IFERROR(N119*$E119, "")</f>
        <v>0</v>
      </c>
      <c r="AB119" s="284" t="n">
        <f aca="false">IFERROR(O119*$E119, "")</f>
        <v>0</v>
      </c>
      <c r="AC119" s="284" t="n">
        <f aca="false">IFERROR(P119*$E119, "")</f>
        <v>0</v>
      </c>
      <c r="AD119" s="284" t="n">
        <f aca="false">IFERROR(Q119*$E119, "")</f>
        <v>0</v>
      </c>
      <c r="AE119" s="284" t="n">
        <f aca="false">IFERROR(R119*$E119, "")</f>
        <v>0</v>
      </c>
      <c r="AF119" s="284" t="n">
        <f aca="false">IFERROR(S119*$E119, "")</f>
        <v>0</v>
      </c>
      <c r="AG119" s="284" t="n">
        <f aca="false">IFERROR(T119*$E119, "")</f>
        <v>0</v>
      </c>
      <c r="AH119" s="286" t="n">
        <f aca="false">IFERROR(SUMIF($V$4:$AG$4, "RDEC", V119:AG119), "")</f>
        <v>0</v>
      </c>
      <c r="AI119" s="286" t="n">
        <f aca="false">IFERROR(SUMIF($V$4:$AG$4, "SME", V119:AG119), "")</f>
        <v>0</v>
      </c>
      <c r="AJ119" s="286" t="n">
        <f aca="false">IFERROR(SUMIF($V$4:$AG$4, "De Minimis", V119:AG119), "")</f>
        <v>0</v>
      </c>
      <c r="AK119" s="287"/>
      <c r="AL119" s="288" t="str">
        <f aca="false">IF((SUM(I119:T119)&gt;1),"ERROR","")</f>
        <v/>
      </c>
    </row>
    <row r="120" customFormat="false" ht="15" hidden="false" customHeight="true" outlineLevel="0" collapsed="false">
      <c r="E120" s="200"/>
      <c r="H120" s="350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3"/>
      <c r="V120" s="284" t="n">
        <f aca="false">IFERROR(I120*$E120, "")</f>
        <v>0</v>
      </c>
      <c r="W120" s="284" t="n">
        <f aca="false">IFERROR(J120*$E120, "")</f>
        <v>0</v>
      </c>
      <c r="X120" s="284" t="n">
        <f aca="false">IFERROR(K120*$E120, "")</f>
        <v>0</v>
      </c>
      <c r="Y120" s="284" t="n">
        <f aca="false">IFERROR(L120*$E120, "")</f>
        <v>0</v>
      </c>
      <c r="Z120" s="284" t="n">
        <f aca="false">IFERROR(M120*$E120, "")</f>
        <v>0</v>
      </c>
      <c r="AA120" s="284" t="n">
        <f aca="false">IFERROR(N120*$E120, "")</f>
        <v>0</v>
      </c>
      <c r="AB120" s="284" t="n">
        <f aca="false">IFERROR(O120*$E120, "")</f>
        <v>0</v>
      </c>
      <c r="AC120" s="284" t="n">
        <f aca="false">IFERROR(P120*$E120, "")</f>
        <v>0</v>
      </c>
      <c r="AD120" s="284" t="n">
        <f aca="false">IFERROR(Q120*$E120, "")</f>
        <v>0</v>
      </c>
      <c r="AE120" s="284" t="n">
        <f aca="false">IFERROR(R120*$E120, "")</f>
        <v>0</v>
      </c>
      <c r="AF120" s="284" t="n">
        <f aca="false">IFERROR(S120*$E120, "")</f>
        <v>0</v>
      </c>
      <c r="AG120" s="284" t="n">
        <f aca="false">IFERROR(T120*$E120, "")</f>
        <v>0</v>
      </c>
      <c r="AH120" s="286" t="n">
        <f aca="false">IFERROR(SUMIF($V$4:$AG$4, "RDEC", V120:AG120), "")</f>
        <v>0</v>
      </c>
      <c r="AI120" s="286" t="n">
        <f aca="false">IFERROR(SUMIF($V$4:$AG$4, "SME", V120:AG120), "")</f>
        <v>0</v>
      </c>
      <c r="AJ120" s="286" t="n">
        <f aca="false">IFERROR(SUMIF($V$4:$AG$4, "De Minimis", V120:AG120), "")</f>
        <v>0</v>
      </c>
      <c r="AK120" s="287"/>
      <c r="AL120" s="288" t="str">
        <f aca="false">IF((SUM(I120:T120)&gt;1),"ERROR","")</f>
        <v/>
      </c>
    </row>
    <row r="121" customFormat="false" ht="15" hidden="false" customHeight="true" outlineLevel="0" collapsed="false">
      <c r="E121" s="200"/>
      <c r="H121" s="350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3"/>
      <c r="V121" s="284" t="n">
        <f aca="false">IFERROR(I121*$E121, "")</f>
        <v>0</v>
      </c>
      <c r="W121" s="284" t="n">
        <f aca="false">IFERROR(J121*$E121, "")</f>
        <v>0</v>
      </c>
      <c r="X121" s="284" t="n">
        <f aca="false">IFERROR(K121*$E121, "")</f>
        <v>0</v>
      </c>
      <c r="Y121" s="284" t="n">
        <f aca="false">IFERROR(L121*$E121, "")</f>
        <v>0</v>
      </c>
      <c r="Z121" s="284" t="n">
        <f aca="false">IFERROR(M121*$E121, "")</f>
        <v>0</v>
      </c>
      <c r="AA121" s="284" t="n">
        <f aca="false">IFERROR(N121*$E121, "")</f>
        <v>0</v>
      </c>
      <c r="AB121" s="284" t="n">
        <f aca="false">IFERROR(O121*$E121, "")</f>
        <v>0</v>
      </c>
      <c r="AC121" s="284" t="n">
        <f aca="false">IFERROR(P121*$E121, "")</f>
        <v>0</v>
      </c>
      <c r="AD121" s="284" t="n">
        <f aca="false">IFERROR(Q121*$E121, "")</f>
        <v>0</v>
      </c>
      <c r="AE121" s="284" t="n">
        <f aca="false">IFERROR(R121*$E121, "")</f>
        <v>0</v>
      </c>
      <c r="AF121" s="284" t="n">
        <f aca="false">IFERROR(S121*$E121, "")</f>
        <v>0</v>
      </c>
      <c r="AG121" s="284" t="n">
        <f aca="false">IFERROR(T121*$E121, "")</f>
        <v>0</v>
      </c>
      <c r="AH121" s="286" t="n">
        <f aca="false">IFERROR(SUMIF($V$4:$AG$4, "RDEC", V121:AG121), "")</f>
        <v>0</v>
      </c>
      <c r="AI121" s="286" t="n">
        <f aca="false">IFERROR(SUMIF($V$4:$AG$4, "SME", V121:AG121), "")</f>
        <v>0</v>
      </c>
      <c r="AJ121" s="286" t="n">
        <f aca="false">IFERROR(SUMIF($V$4:$AG$4, "De Minimis", V121:AG121), "")</f>
        <v>0</v>
      </c>
      <c r="AK121" s="287"/>
      <c r="AL121" s="288" t="str">
        <f aca="false">IF((SUM(I121:T121)&gt;1),"ERROR","")</f>
        <v/>
      </c>
    </row>
    <row r="122" customFormat="false" ht="15" hidden="false" customHeight="true" outlineLevel="0" collapsed="false">
      <c r="E122" s="200"/>
      <c r="H122" s="350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3"/>
      <c r="V122" s="284" t="n">
        <f aca="false">IFERROR(I122*$E122, "")</f>
        <v>0</v>
      </c>
      <c r="W122" s="284" t="n">
        <f aca="false">IFERROR(J122*$E122, "")</f>
        <v>0</v>
      </c>
      <c r="X122" s="284" t="n">
        <f aca="false">IFERROR(K122*$E122, "")</f>
        <v>0</v>
      </c>
      <c r="Y122" s="284" t="n">
        <f aca="false">IFERROR(L122*$E122, "")</f>
        <v>0</v>
      </c>
      <c r="Z122" s="284" t="n">
        <f aca="false">IFERROR(M122*$E122, "")</f>
        <v>0</v>
      </c>
      <c r="AA122" s="284" t="n">
        <f aca="false">IFERROR(N122*$E122, "")</f>
        <v>0</v>
      </c>
      <c r="AB122" s="284" t="n">
        <f aca="false">IFERROR(O122*$E122, "")</f>
        <v>0</v>
      </c>
      <c r="AC122" s="284" t="n">
        <f aca="false">IFERROR(P122*$E122, "")</f>
        <v>0</v>
      </c>
      <c r="AD122" s="284" t="n">
        <f aca="false">IFERROR(Q122*$E122, "")</f>
        <v>0</v>
      </c>
      <c r="AE122" s="284" t="n">
        <f aca="false">IFERROR(R122*$E122, "")</f>
        <v>0</v>
      </c>
      <c r="AF122" s="284" t="n">
        <f aca="false">IFERROR(S122*$E122, "")</f>
        <v>0</v>
      </c>
      <c r="AG122" s="284" t="n">
        <f aca="false">IFERROR(T122*$E122, "")</f>
        <v>0</v>
      </c>
      <c r="AH122" s="286" t="n">
        <f aca="false">IFERROR(SUMIF($V$4:$AG$4, "RDEC", V122:AG122), "")</f>
        <v>0</v>
      </c>
      <c r="AI122" s="286" t="n">
        <f aca="false">IFERROR(SUMIF($V$4:$AG$4, "SME", V122:AG122), "")</f>
        <v>0</v>
      </c>
      <c r="AJ122" s="286" t="n">
        <f aca="false">IFERROR(SUMIF($V$4:$AG$4, "De Minimis", V122:AG122), "")</f>
        <v>0</v>
      </c>
      <c r="AK122" s="287"/>
      <c r="AL122" s="288" t="str">
        <f aca="false">IF((SUM(I122:T122)&gt;1),"ERROR","")</f>
        <v/>
      </c>
    </row>
    <row r="123" customFormat="false" ht="15" hidden="false" customHeight="true" outlineLevel="0" collapsed="false">
      <c r="E123" s="200"/>
      <c r="H123" s="350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3"/>
      <c r="V123" s="284" t="n">
        <f aca="false">IFERROR(I123*$E123, "")</f>
        <v>0</v>
      </c>
      <c r="W123" s="284" t="n">
        <f aca="false">IFERROR(J123*$E123, "")</f>
        <v>0</v>
      </c>
      <c r="X123" s="284" t="n">
        <f aca="false">IFERROR(K123*$E123, "")</f>
        <v>0</v>
      </c>
      <c r="Y123" s="284" t="n">
        <f aca="false">IFERROR(L123*$E123, "")</f>
        <v>0</v>
      </c>
      <c r="Z123" s="284" t="n">
        <f aca="false">IFERROR(M123*$E123, "")</f>
        <v>0</v>
      </c>
      <c r="AA123" s="284" t="n">
        <f aca="false">IFERROR(N123*$E123, "")</f>
        <v>0</v>
      </c>
      <c r="AB123" s="284" t="n">
        <f aca="false">IFERROR(O123*$E123, "")</f>
        <v>0</v>
      </c>
      <c r="AC123" s="284" t="n">
        <f aca="false">IFERROR(P123*$E123, "")</f>
        <v>0</v>
      </c>
      <c r="AD123" s="284" t="n">
        <f aca="false">IFERROR(Q123*$E123, "")</f>
        <v>0</v>
      </c>
      <c r="AE123" s="284" t="n">
        <f aca="false">IFERROR(R123*$E123, "")</f>
        <v>0</v>
      </c>
      <c r="AF123" s="284" t="n">
        <f aca="false">IFERROR(S123*$E123, "")</f>
        <v>0</v>
      </c>
      <c r="AG123" s="284" t="n">
        <f aca="false">IFERROR(T123*$E123, "")</f>
        <v>0</v>
      </c>
      <c r="AH123" s="286" t="n">
        <f aca="false">IFERROR(SUMIF($V$4:$AG$4, "RDEC", V123:AG123), "")</f>
        <v>0</v>
      </c>
      <c r="AI123" s="286" t="n">
        <f aca="false">IFERROR(SUMIF($V$4:$AG$4, "SME", V123:AG123), "")</f>
        <v>0</v>
      </c>
      <c r="AJ123" s="286" t="n">
        <f aca="false">IFERROR(SUMIF($V$4:$AG$4, "De Minimis", V123:AG123), "")</f>
        <v>0</v>
      </c>
      <c r="AK123" s="287"/>
      <c r="AL123" s="288" t="str">
        <f aca="false">IF((SUM(I123:T123)&gt;1),"ERROR","")</f>
        <v/>
      </c>
    </row>
    <row r="124" customFormat="false" ht="15" hidden="false" customHeight="true" outlineLevel="0" collapsed="false">
      <c r="E124" s="200"/>
      <c r="H124" s="350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3"/>
      <c r="V124" s="284" t="n">
        <f aca="false">IFERROR(I124*$E124, "")</f>
        <v>0</v>
      </c>
      <c r="W124" s="284" t="n">
        <f aca="false">IFERROR(J124*$E124, "")</f>
        <v>0</v>
      </c>
      <c r="X124" s="284" t="n">
        <f aca="false">IFERROR(K124*$E124, "")</f>
        <v>0</v>
      </c>
      <c r="Y124" s="284" t="n">
        <f aca="false">IFERROR(L124*$E124, "")</f>
        <v>0</v>
      </c>
      <c r="Z124" s="284" t="n">
        <f aca="false">IFERROR(M124*$E124, "")</f>
        <v>0</v>
      </c>
      <c r="AA124" s="284" t="n">
        <f aca="false">IFERROR(N124*$E124, "")</f>
        <v>0</v>
      </c>
      <c r="AB124" s="284" t="n">
        <f aca="false">IFERROR(O124*$E124, "")</f>
        <v>0</v>
      </c>
      <c r="AC124" s="284" t="n">
        <f aca="false">IFERROR(P124*$E124, "")</f>
        <v>0</v>
      </c>
      <c r="AD124" s="284" t="n">
        <f aca="false">IFERROR(Q124*$E124, "")</f>
        <v>0</v>
      </c>
      <c r="AE124" s="284" t="n">
        <f aca="false">IFERROR(R124*$E124, "")</f>
        <v>0</v>
      </c>
      <c r="AF124" s="284" t="n">
        <f aca="false">IFERROR(S124*$E124, "")</f>
        <v>0</v>
      </c>
      <c r="AG124" s="284" t="n">
        <f aca="false">IFERROR(T124*$E124, "")</f>
        <v>0</v>
      </c>
      <c r="AH124" s="286" t="n">
        <f aca="false">IFERROR(SUMIF($V$4:$AG$4, "RDEC", V124:AG124), "")</f>
        <v>0</v>
      </c>
      <c r="AI124" s="286" t="n">
        <f aca="false">IFERROR(SUMIF($V$4:$AG$4, "SME", V124:AG124), "")</f>
        <v>0</v>
      </c>
      <c r="AJ124" s="286" t="n">
        <f aca="false">IFERROR(SUMIF($V$4:$AG$4, "De Minimis", V124:AG124), "")</f>
        <v>0</v>
      </c>
      <c r="AK124" s="303"/>
      <c r="AL124" s="288" t="str">
        <f aca="false">IF((SUM(I124:T124)&gt;1),"ERROR","")</f>
        <v/>
      </c>
    </row>
    <row r="125" customFormat="false" ht="15" hidden="false" customHeight="true" outlineLevel="0" collapsed="false">
      <c r="E125" s="200"/>
      <c r="H125" s="350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3"/>
      <c r="V125" s="284" t="n">
        <f aca="false">IFERROR(I125*$E125, "")</f>
        <v>0</v>
      </c>
      <c r="W125" s="284" t="n">
        <f aca="false">IFERROR(J125*$E125, "")</f>
        <v>0</v>
      </c>
      <c r="X125" s="284" t="n">
        <f aca="false">IFERROR(K125*$E125, "")</f>
        <v>0</v>
      </c>
      <c r="Y125" s="284" t="n">
        <f aca="false">IFERROR(L125*$E125, "")</f>
        <v>0</v>
      </c>
      <c r="Z125" s="284" t="n">
        <f aca="false">IFERROR(M125*$E125, "")</f>
        <v>0</v>
      </c>
      <c r="AA125" s="284" t="n">
        <f aca="false">IFERROR(N125*$E125, "")</f>
        <v>0</v>
      </c>
      <c r="AB125" s="284" t="n">
        <f aca="false">IFERROR(O125*$E125, "")</f>
        <v>0</v>
      </c>
      <c r="AC125" s="284" t="n">
        <f aca="false">IFERROR(P125*$E125, "")</f>
        <v>0</v>
      </c>
      <c r="AD125" s="284" t="n">
        <f aca="false">IFERROR(Q125*$E125, "")</f>
        <v>0</v>
      </c>
      <c r="AE125" s="284" t="n">
        <f aca="false">IFERROR(R125*$E125, "")</f>
        <v>0</v>
      </c>
      <c r="AF125" s="284" t="n">
        <f aca="false">IFERROR(S125*$E125, "")</f>
        <v>0</v>
      </c>
      <c r="AG125" s="284" t="n">
        <f aca="false">IFERROR(T125*$E125, "")</f>
        <v>0</v>
      </c>
      <c r="AH125" s="286" t="n">
        <f aca="false">IFERROR(SUMIF($V$4:$AG$4, "RDEC", V125:AG125), "")</f>
        <v>0</v>
      </c>
      <c r="AI125" s="286" t="n">
        <f aca="false">IFERROR(SUMIF($V$4:$AG$4, "SME", V125:AG125), "")</f>
        <v>0</v>
      </c>
      <c r="AJ125" s="286" t="n">
        <f aca="false">IFERROR(SUMIF($V$4:$AG$4, "De Minimis", V125:AG125), "")</f>
        <v>0</v>
      </c>
      <c r="AL125" s="288" t="str">
        <f aca="false">IF((SUM(I125:T125)&gt;1),"ERROR","")</f>
        <v/>
      </c>
    </row>
    <row r="126" customFormat="false" ht="15" hidden="false" customHeight="true" outlineLevel="0" collapsed="false">
      <c r="E126" s="200"/>
      <c r="H126" s="350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3"/>
      <c r="V126" s="284" t="n">
        <f aca="false">IFERROR(I126*$E126, "")</f>
        <v>0</v>
      </c>
      <c r="W126" s="284" t="n">
        <f aca="false">IFERROR(J126*$E126, "")</f>
        <v>0</v>
      </c>
      <c r="X126" s="284" t="n">
        <f aca="false">IFERROR(K126*$E126, "")</f>
        <v>0</v>
      </c>
      <c r="Y126" s="284" t="n">
        <f aca="false">IFERROR(L126*$E126, "")</f>
        <v>0</v>
      </c>
      <c r="Z126" s="284" t="n">
        <f aca="false">IFERROR(M126*$E126, "")</f>
        <v>0</v>
      </c>
      <c r="AA126" s="284" t="n">
        <f aca="false">IFERROR(N126*$E126, "")</f>
        <v>0</v>
      </c>
      <c r="AB126" s="284" t="n">
        <f aca="false">IFERROR(O126*$E126, "")</f>
        <v>0</v>
      </c>
      <c r="AC126" s="284" t="n">
        <f aca="false">IFERROR(P126*$E126, "")</f>
        <v>0</v>
      </c>
      <c r="AD126" s="284" t="n">
        <f aca="false">IFERROR(Q126*$E126, "")</f>
        <v>0</v>
      </c>
      <c r="AE126" s="284" t="n">
        <f aca="false">IFERROR(R126*$E126, "")</f>
        <v>0</v>
      </c>
      <c r="AF126" s="284" t="n">
        <f aca="false">IFERROR(S126*$E126, "")</f>
        <v>0</v>
      </c>
      <c r="AG126" s="284" t="n">
        <f aca="false">IFERROR(T126*$E126, "")</f>
        <v>0</v>
      </c>
      <c r="AH126" s="286" t="n">
        <f aca="false">IFERROR(SUMIF($V$4:$AG$4, "RDEC", V126:AG126), "")</f>
        <v>0</v>
      </c>
      <c r="AI126" s="286" t="n">
        <f aca="false">IFERROR(SUMIF($V$4:$AG$4, "SME", V126:AG126), "")</f>
        <v>0</v>
      </c>
      <c r="AJ126" s="286" t="n">
        <f aca="false">IFERROR(SUMIF($V$4:$AG$4, "De Minimis", V126:AG126), "")</f>
        <v>0</v>
      </c>
      <c r="AK126" s="268"/>
      <c r="AL126" s="288" t="str">
        <f aca="false">IF((SUM(I126:T126)&gt;1),"ERROR","")</f>
        <v/>
      </c>
    </row>
    <row r="127" customFormat="false" ht="15" hidden="false" customHeight="true" outlineLevel="0" collapsed="false">
      <c r="E127" s="200"/>
      <c r="H127" s="350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3"/>
      <c r="V127" s="284" t="n">
        <f aca="false">IFERROR(I127*$E127, "")</f>
        <v>0</v>
      </c>
      <c r="W127" s="284" t="n">
        <f aca="false">IFERROR(J127*$E127, "")</f>
        <v>0</v>
      </c>
      <c r="X127" s="284" t="n">
        <f aca="false">IFERROR(K127*$E127, "")</f>
        <v>0</v>
      </c>
      <c r="Y127" s="284" t="n">
        <f aca="false">IFERROR(L127*$E127, "")</f>
        <v>0</v>
      </c>
      <c r="Z127" s="284" t="n">
        <f aca="false">IFERROR(M127*$E127, "")</f>
        <v>0</v>
      </c>
      <c r="AA127" s="284" t="n">
        <f aca="false">IFERROR(N127*$E127, "")</f>
        <v>0</v>
      </c>
      <c r="AB127" s="284" t="n">
        <f aca="false">IFERROR(O127*$E127, "")</f>
        <v>0</v>
      </c>
      <c r="AC127" s="284" t="n">
        <f aca="false">IFERROR(P127*$E127, "")</f>
        <v>0</v>
      </c>
      <c r="AD127" s="284" t="n">
        <f aca="false">IFERROR(Q127*$E127, "")</f>
        <v>0</v>
      </c>
      <c r="AE127" s="284" t="n">
        <f aca="false">IFERROR(R127*$E127, "")</f>
        <v>0</v>
      </c>
      <c r="AF127" s="284" t="n">
        <f aca="false">IFERROR(S127*$E127, "")</f>
        <v>0</v>
      </c>
      <c r="AG127" s="284" t="n">
        <f aca="false">IFERROR(T127*$E127, "")</f>
        <v>0</v>
      </c>
      <c r="AH127" s="286" t="n">
        <f aca="false">IFERROR(SUMIF($V$4:$AG$4, "RDEC", V127:AG127), "")</f>
        <v>0</v>
      </c>
      <c r="AI127" s="286" t="n">
        <f aca="false">IFERROR(SUMIF($V$4:$AG$4, "SME", V127:AG127), "")</f>
        <v>0</v>
      </c>
      <c r="AJ127" s="286" t="n">
        <f aca="false">IFERROR(SUMIF($V$4:$AG$4, "De Minimis", V127:AG127), "")</f>
        <v>0</v>
      </c>
      <c r="AK127" s="287"/>
      <c r="AL127" s="288" t="str">
        <f aca="false">IF((SUM(I127:T127)&gt;1),"ERROR","")</f>
        <v/>
      </c>
    </row>
    <row r="128" customFormat="false" ht="15" hidden="false" customHeight="true" outlineLevel="0" collapsed="false">
      <c r="E128" s="200"/>
      <c r="H128" s="350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3"/>
      <c r="V128" s="284" t="n">
        <f aca="false">IFERROR(I128*$E128, "")</f>
        <v>0</v>
      </c>
      <c r="W128" s="284" t="n">
        <f aca="false">IFERROR(J128*$E128, "")</f>
        <v>0</v>
      </c>
      <c r="X128" s="284" t="n">
        <f aca="false">IFERROR(K128*$E128, "")</f>
        <v>0</v>
      </c>
      <c r="Y128" s="284" t="n">
        <f aca="false">IFERROR(L128*$E128, "")</f>
        <v>0</v>
      </c>
      <c r="Z128" s="284" t="n">
        <f aca="false">IFERROR(M128*$E128, "")</f>
        <v>0</v>
      </c>
      <c r="AA128" s="284" t="n">
        <f aca="false">IFERROR(N128*$E128, "")</f>
        <v>0</v>
      </c>
      <c r="AB128" s="284" t="n">
        <f aca="false">IFERROR(O128*$E128, "")</f>
        <v>0</v>
      </c>
      <c r="AC128" s="284" t="n">
        <f aca="false">IFERROR(P128*$E128, "")</f>
        <v>0</v>
      </c>
      <c r="AD128" s="284" t="n">
        <f aca="false">IFERROR(Q128*$E128, "")</f>
        <v>0</v>
      </c>
      <c r="AE128" s="284" t="n">
        <f aca="false">IFERROR(R128*$E128, "")</f>
        <v>0</v>
      </c>
      <c r="AF128" s="284" t="n">
        <f aca="false">IFERROR(S128*$E128, "")</f>
        <v>0</v>
      </c>
      <c r="AG128" s="284" t="n">
        <f aca="false">IFERROR(T128*$E128, "")</f>
        <v>0</v>
      </c>
      <c r="AH128" s="286" t="n">
        <f aca="false">IFERROR(SUMIF($V$4:$AG$4, "RDEC", V128:AG128), "")</f>
        <v>0</v>
      </c>
      <c r="AI128" s="286" t="n">
        <f aca="false">IFERROR(SUMIF($V$4:$AG$4, "SME", V128:AG128), "")</f>
        <v>0</v>
      </c>
      <c r="AJ128" s="286" t="n">
        <f aca="false">IFERROR(SUMIF($V$4:$AG$4, "De Minimis", V128:AG128), "")</f>
        <v>0</v>
      </c>
      <c r="AK128" s="287"/>
      <c r="AL128" s="288" t="str">
        <f aca="false">IF((SUM(I128:T128)&gt;1),"ERROR","")</f>
        <v/>
      </c>
    </row>
    <row r="129" customFormat="false" ht="15" hidden="false" customHeight="true" outlineLevel="0" collapsed="false">
      <c r="E129" s="200"/>
      <c r="H129" s="350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3"/>
      <c r="V129" s="284" t="n">
        <f aca="false">IFERROR(I129*$E129, "")</f>
        <v>0</v>
      </c>
      <c r="W129" s="284" t="n">
        <f aca="false">IFERROR(J129*$E129, "")</f>
        <v>0</v>
      </c>
      <c r="X129" s="284" t="n">
        <f aca="false">IFERROR(K129*$E129, "")</f>
        <v>0</v>
      </c>
      <c r="Y129" s="284" t="n">
        <f aca="false">IFERROR(L129*$E129, "")</f>
        <v>0</v>
      </c>
      <c r="Z129" s="284" t="n">
        <f aca="false">IFERROR(M129*$E129, "")</f>
        <v>0</v>
      </c>
      <c r="AA129" s="284" t="n">
        <f aca="false">IFERROR(N129*$E129, "")</f>
        <v>0</v>
      </c>
      <c r="AB129" s="284" t="n">
        <f aca="false">IFERROR(O129*$E129, "")</f>
        <v>0</v>
      </c>
      <c r="AC129" s="284" t="n">
        <f aca="false">IFERROR(P129*$E129, "")</f>
        <v>0</v>
      </c>
      <c r="AD129" s="284" t="n">
        <f aca="false">IFERROR(Q129*$E129, "")</f>
        <v>0</v>
      </c>
      <c r="AE129" s="284" t="n">
        <f aca="false">IFERROR(R129*$E129, "")</f>
        <v>0</v>
      </c>
      <c r="AF129" s="284" t="n">
        <f aca="false">IFERROR(S129*$E129, "")</f>
        <v>0</v>
      </c>
      <c r="AG129" s="284" t="n">
        <f aca="false">IFERROR(T129*$E129, "")</f>
        <v>0</v>
      </c>
      <c r="AH129" s="286" t="n">
        <f aca="false">IFERROR(SUMIF($V$4:$AG$4, "RDEC", V129:AG129), "")</f>
        <v>0</v>
      </c>
      <c r="AI129" s="286" t="n">
        <f aca="false">IFERROR(SUMIF($V$4:$AG$4, "SME", V129:AG129), "")</f>
        <v>0</v>
      </c>
      <c r="AJ129" s="286" t="n">
        <f aca="false">IFERROR(SUMIF($V$4:$AG$4, "De Minimis", V129:AG129), "")</f>
        <v>0</v>
      </c>
      <c r="AK129" s="287"/>
      <c r="AL129" s="288" t="str">
        <f aca="false">IF((SUM(I129:T129)&gt;1),"ERROR","")</f>
        <v/>
      </c>
    </row>
    <row r="130" customFormat="false" ht="15" hidden="false" customHeight="true" outlineLevel="0" collapsed="false">
      <c r="E130" s="200"/>
      <c r="H130" s="350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3"/>
      <c r="V130" s="284" t="n">
        <f aca="false">IFERROR(I130*$E130, "")</f>
        <v>0</v>
      </c>
      <c r="W130" s="284" t="n">
        <f aca="false">IFERROR(J130*$E130, "")</f>
        <v>0</v>
      </c>
      <c r="X130" s="284" t="n">
        <f aca="false">IFERROR(K130*$E130, "")</f>
        <v>0</v>
      </c>
      <c r="Y130" s="284" t="n">
        <f aca="false">IFERROR(L130*$E130, "")</f>
        <v>0</v>
      </c>
      <c r="Z130" s="284" t="n">
        <f aca="false">IFERROR(M130*$E130, "")</f>
        <v>0</v>
      </c>
      <c r="AA130" s="284" t="n">
        <f aca="false">IFERROR(N130*$E130, "")</f>
        <v>0</v>
      </c>
      <c r="AB130" s="284" t="n">
        <f aca="false">IFERROR(O130*$E130, "")</f>
        <v>0</v>
      </c>
      <c r="AC130" s="284" t="n">
        <f aca="false">IFERROR(P130*$E130, "")</f>
        <v>0</v>
      </c>
      <c r="AD130" s="284" t="n">
        <f aca="false">IFERROR(Q130*$E130, "")</f>
        <v>0</v>
      </c>
      <c r="AE130" s="284" t="n">
        <f aca="false">IFERROR(R130*$E130, "")</f>
        <v>0</v>
      </c>
      <c r="AF130" s="284" t="n">
        <f aca="false">IFERROR(S130*$E130, "")</f>
        <v>0</v>
      </c>
      <c r="AG130" s="284" t="n">
        <f aca="false">IFERROR(T130*$E130, "")</f>
        <v>0</v>
      </c>
      <c r="AH130" s="286" t="n">
        <f aca="false">IFERROR(SUMIF($V$4:$AG$4, "RDEC", V130:AG130), "")</f>
        <v>0</v>
      </c>
      <c r="AI130" s="286" t="n">
        <f aca="false">IFERROR(SUMIF($V$4:$AG$4, "SME", V130:AG130), "")</f>
        <v>0</v>
      </c>
      <c r="AJ130" s="286" t="n">
        <f aca="false">IFERROR(SUMIF($V$4:$AG$4, "De Minimis", V130:AG130), "")</f>
        <v>0</v>
      </c>
      <c r="AK130" s="287"/>
      <c r="AL130" s="288" t="str">
        <f aca="false">IF((SUM(I130:T130)&gt;1),"ERROR","")</f>
        <v/>
      </c>
    </row>
    <row r="131" customFormat="false" ht="15" hidden="false" customHeight="true" outlineLevel="0" collapsed="false">
      <c r="E131" s="200"/>
      <c r="H131" s="350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3"/>
      <c r="V131" s="284" t="n">
        <f aca="false">IFERROR(I131*$E131, "")</f>
        <v>0</v>
      </c>
      <c r="W131" s="284" t="n">
        <f aca="false">IFERROR(J131*$E131, "")</f>
        <v>0</v>
      </c>
      <c r="X131" s="284" t="n">
        <f aca="false">IFERROR(K131*$E131, "")</f>
        <v>0</v>
      </c>
      <c r="Y131" s="284" t="n">
        <f aca="false">IFERROR(L131*$E131, "")</f>
        <v>0</v>
      </c>
      <c r="Z131" s="284" t="n">
        <f aca="false">IFERROR(M131*$E131, "")</f>
        <v>0</v>
      </c>
      <c r="AA131" s="284" t="n">
        <f aca="false">IFERROR(N131*$E131, "")</f>
        <v>0</v>
      </c>
      <c r="AB131" s="284" t="n">
        <f aca="false">IFERROR(O131*$E131, "")</f>
        <v>0</v>
      </c>
      <c r="AC131" s="284" t="n">
        <f aca="false">IFERROR(P131*$E131, "")</f>
        <v>0</v>
      </c>
      <c r="AD131" s="284" t="n">
        <f aca="false">IFERROR(Q131*$E131, "")</f>
        <v>0</v>
      </c>
      <c r="AE131" s="284" t="n">
        <f aca="false">IFERROR(R131*$E131, "")</f>
        <v>0</v>
      </c>
      <c r="AF131" s="284" t="n">
        <f aca="false">IFERROR(S131*$E131, "")</f>
        <v>0</v>
      </c>
      <c r="AG131" s="284" t="n">
        <f aca="false">IFERROR(T131*$E131, "")</f>
        <v>0</v>
      </c>
      <c r="AH131" s="286" t="n">
        <f aca="false">IFERROR(SUMIF($V$4:$AG$4, "RDEC", V131:AG131), "")</f>
        <v>0</v>
      </c>
      <c r="AI131" s="286" t="n">
        <f aca="false">IFERROR(SUMIF($V$4:$AG$4, "SME", V131:AG131), "")</f>
        <v>0</v>
      </c>
      <c r="AJ131" s="286" t="n">
        <f aca="false">IFERROR(SUMIF($V$4:$AG$4, "De Minimis", V131:AG131), "")</f>
        <v>0</v>
      </c>
      <c r="AK131" s="287"/>
      <c r="AL131" s="288" t="str">
        <f aca="false">IF((SUM(I131:T131)&gt;1),"ERROR","")</f>
        <v/>
      </c>
    </row>
    <row r="132" customFormat="false" ht="15" hidden="false" customHeight="true" outlineLevel="0" collapsed="false">
      <c r="E132" s="200"/>
      <c r="H132" s="350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3"/>
      <c r="V132" s="284" t="n">
        <f aca="false">IFERROR(I132*$E132, "")</f>
        <v>0</v>
      </c>
      <c r="W132" s="284" t="n">
        <f aca="false">IFERROR(J132*$E132, "")</f>
        <v>0</v>
      </c>
      <c r="X132" s="284" t="n">
        <f aca="false">IFERROR(K132*$E132, "")</f>
        <v>0</v>
      </c>
      <c r="Y132" s="284" t="n">
        <f aca="false">IFERROR(L132*$E132, "")</f>
        <v>0</v>
      </c>
      <c r="Z132" s="284" t="n">
        <f aca="false">IFERROR(M132*$E132, "")</f>
        <v>0</v>
      </c>
      <c r="AA132" s="284" t="n">
        <f aca="false">IFERROR(N132*$E132, "")</f>
        <v>0</v>
      </c>
      <c r="AB132" s="284" t="n">
        <f aca="false">IFERROR(O132*$E132, "")</f>
        <v>0</v>
      </c>
      <c r="AC132" s="284" t="n">
        <f aca="false">IFERROR(P132*$E132, "")</f>
        <v>0</v>
      </c>
      <c r="AD132" s="284" t="n">
        <f aca="false">IFERROR(Q132*$E132, "")</f>
        <v>0</v>
      </c>
      <c r="AE132" s="284" t="n">
        <f aca="false">IFERROR(R132*$E132, "")</f>
        <v>0</v>
      </c>
      <c r="AF132" s="284" t="n">
        <f aca="false">IFERROR(S132*$E132, "")</f>
        <v>0</v>
      </c>
      <c r="AG132" s="284" t="n">
        <f aca="false">IFERROR(T132*$E132, "")</f>
        <v>0</v>
      </c>
      <c r="AH132" s="286" t="n">
        <f aca="false">IFERROR(SUMIF($V$4:$AG$4, "RDEC", V132:AG132), "")</f>
        <v>0</v>
      </c>
      <c r="AI132" s="286" t="n">
        <f aca="false">IFERROR(SUMIF($V$4:$AG$4, "SME", V132:AG132), "")</f>
        <v>0</v>
      </c>
      <c r="AJ132" s="286" t="n">
        <f aca="false">IFERROR(SUMIF($V$4:$AG$4, "De Minimis", V132:AG132), "")</f>
        <v>0</v>
      </c>
      <c r="AK132" s="287"/>
      <c r="AL132" s="288" t="str">
        <f aca="false">IF((SUM(I132:T132)&gt;1),"ERROR","")</f>
        <v/>
      </c>
    </row>
    <row r="133" customFormat="false" ht="15" hidden="false" customHeight="true" outlineLevel="0" collapsed="false">
      <c r="E133" s="200"/>
      <c r="H133" s="350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3"/>
      <c r="V133" s="284" t="n">
        <f aca="false">IFERROR(I133*$E133, "")</f>
        <v>0</v>
      </c>
      <c r="W133" s="284" t="n">
        <f aca="false">IFERROR(J133*$E133, "")</f>
        <v>0</v>
      </c>
      <c r="X133" s="284" t="n">
        <f aca="false">IFERROR(K133*$E133, "")</f>
        <v>0</v>
      </c>
      <c r="Y133" s="284" t="n">
        <f aca="false">IFERROR(L133*$E133, "")</f>
        <v>0</v>
      </c>
      <c r="Z133" s="284" t="n">
        <f aca="false">IFERROR(M133*$E133, "")</f>
        <v>0</v>
      </c>
      <c r="AA133" s="284" t="n">
        <f aca="false">IFERROR(N133*$E133, "")</f>
        <v>0</v>
      </c>
      <c r="AB133" s="284" t="n">
        <f aca="false">IFERROR(O133*$E133, "")</f>
        <v>0</v>
      </c>
      <c r="AC133" s="284" t="n">
        <f aca="false">IFERROR(P133*$E133, "")</f>
        <v>0</v>
      </c>
      <c r="AD133" s="284" t="n">
        <f aca="false">IFERROR(Q133*$E133, "")</f>
        <v>0</v>
      </c>
      <c r="AE133" s="284" t="n">
        <f aca="false">IFERROR(R133*$E133, "")</f>
        <v>0</v>
      </c>
      <c r="AF133" s="284" t="n">
        <f aca="false">IFERROR(S133*$E133, "")</f>
        <v>0</v>
      </c>
      <c r="AG133" s="284" t="n">
        <f aca="false">IFERROR(T133*$E133, "")</f>
        <v>0</v>
      </c>
      <c r="AH133" s="286" t="n">
        <f aca="false">IFERROR(SUMIF($V$4:$AG$4, "RDEC", V133:AG133), "")</f>
        <v>0</v>
      </c>
      <c r="AI133" s="286" t="n">
        <f aca="false">IFERROR(SUMIF($V$4:$AG$4, "SME", V133:AG133), "")</f>
        <v>0</v>
      </c>
      <c r="AJ133" s="286" t="n">
        <f aca="false">IFERROR(SUMIF($V$4:$AG$4, "De Minimis", V133:AG133), "")</f>
        <v>0</v>
      </c>
      <c r="AK133" s="287"/>
      <c r="AL133" s="288" t="str">
        <f aca="false">IF((SUM(I133:T133)&gt;1),"ERROR","")</f>
        <v/>
      </c>
    </row>
    <row r="134" customFormat="false" ht="15" hidden="false" customHeight="true" outlineLevel="0" collapsed="false">
      <c r="E134" s="200"/>
      <c r="H134" s="350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3"/>
      <c r="V134" s="284" t="n">
        <f aca="false">IFERROR(I134*$E134, "")</f>
        <v>0</v>
      </c>
      <c r="W134" s="284" t="n">
        <f aca="false">IFERROR(J134*$E134, "")</f>
        <v>0</v>
      </c>
      <c r="X134" s="284" t="n">
        <f aca="false">IFERROR(K134*$E134, "")</f>
        <v>0</v>
      </c>
      <c r="Y134" s="284" t="n">
        <f aca="false">IFERROR(L134*$E134, "")</f>
        <v>0</v>
      </c>
      <c r="Z134" s="284" t="n">
        <f aca="false">IFERROR(M134*$E134, "")</f>
        <v>0</v>
      </c>
      <c r="AA134" s="284" t="n">
        <f aca="false">IFERROR(N134*$E134, "")</f>
        <v>0</v>
      </c>
      <c r="AB134" s="284" t="n">
        <f aca="false">IFERROR(O134*$E134, "")</f>
        <v>0</v>
      </c>
      <c r="AC134" s="284" t="n">
        <f aca="false">IFERROR(P134*$E134, "")</f>
        <v>0</v>
      </c>
      <c r="AD134" s="284" t="n">
        <f aca="false">IFERROR(Q134*$E134, "")</f>
        <v>0</v>
      </c>
      <c r="AE134" s="284" t="n">
        <f aca="false">IFERROR(R134*$E134, "")</f>
        <v>0</v>
      </c>
      <c r="AF134" s="284" t="n">
        <f aca="false">IFERROR(S134*$E134, "")</f>
        <v>0</v>
      </c>
      <c r="AG134" s="284" t="n">
        <f aca="false">IFERROR(T134*$E134, "")</f>
        <v>0</v>
      </c>
      <c r="AH134" s="286" t="n">
        <f aca="false">IFERROR(SUMIF($V$4:$AG$4, "RDEC", V134:AG134), "")</f>
        <v>0</v>
      </c>
      <c r="AI134" s="286" t="n">
        <f aca="false">IFERROR(SUMIF($V$4:$AG$4, "SME", V134:AG134), "")</f>
        <v>0</v>
      </c>
      <c r="AJ134" s="286" t="n">
        <f aca="false">IFERROR(SUMIF($V$4:$AG$4, "De Minimis", V134:AG134), "")</f>
        <v>0</v>
      </c>
      <c r="AK134" s="287"/>
      <c r="AL134" s="288" t="str">
        <f aca="false">IF((SUM(I134:T134)&gt;1),"ERROR","")</f>
        <v/>
      </c>
    </row>
    <row r="135" customFormat="false" ht="15" hidden="false" customHeight="true" outlineLevel="0" collapsed="false">
      <c r="E135" s="200"/>
      <c r="H135" s="350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3"/>
      <c r="V135" s="284" t="n">
        <f aca="false">IFERROR(I135*$E135, "")</f>
        <v>0</v>
      </c>
      <c r="W135" s="284" t="n">
        <f aca="false">IFERROR(J135*$E135, "")</f>
        <v>0</v>
      </c>
      <c r="X135" s="284" t="n">
        <f aca="false">IFERROR(K135*$E135, "")</f>
        <v>0</v>
      </c>
      <c r="Y135" s="284" t="n">
        <f aca="false">IFERROR(L135*$E135, "")</f>
        <v>0</v>
      </c>
      <c r="Z135" s="284" t="n">
        <f aca="false">IFERROR(M135*$E135, "")</f>
        <v>0</v>
      </c>
      <c r="AA135" s="284" t="n">
        <f aca="false">IFERROR(N135*$E135, "")</f>
        <v>0</v>
      </c>
      <c r="AB135" s="284" t="n">
        <f aca="false">IFERROR(O135*$E135, "")</f>
        <v>0</v>
      </c>
      <c r="AC135" s="284" t="n">
        <f aca="false">IFERROR(P135*$E135, "")</f>
        <v>0</v>
      </c>
      <c r="AD135" s="284" t="n">
        <f aca="false">IFERROR(Q135*$E135, "")</f>
        <v>0</v>
      </c>
      <c r="AE135" s="284" t="n">
        <f aca="false">IFERROR(R135*$E135, "")</f>
        <v>0</v>
      </c>
      <c r="AF135" s="284" t="n">
        <f aca="false">IFERROR(S135*$E135, "")</f>
        <v>0</v>
      </c>
      <c r="AG135" s="284" t="n">
        <f aca="false">IFERROR(T135*$E135, "")</f>
        <v>0</v>
      </c>
      <c r="AH135" s="286" t="n">
        <f aca="false">IFERROR(SUMIF($V$4:$AG$4, "RDEC", V135:AG135), "")</f>
        <v>0</v>
      </c>
      <c r="AI135" s="286" t="n">
        <f aca="false">IFERROR(SUMIF($V$4:$AG$4, "SME", V135:AG135), "")</f>
        <v>0</v>
      </c>
      <c r="AJ135" s="286" t="n">
        <f aca="false">IFERROR(SUMIF($V$4:$AG$4, "De Minimis", V135:AG135), "")</f>
        <v>0</v>
      </c>
      <c r="AK135" s="287"/>
      <c r="AL135" s="288" t="str">
        <f aca="false">IF((SUM(I135:T135)&gt;1),"ERROR","")</f>
        <v/>
      </c>
    </row>
    <row r="136" customFormat="false" ht="15" hidden="false" customHeight="true" outlineLevel="0" collapsed="false">
      <c r="E136" s="200"/>
      <c r="H136" s="350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3"/>
      <c r="V136" s="284" t="n">
        <f aca="false">IFERROR(I136*$E136, "")</f>
        <v>0</v>
      </c>
      <c r="W136" s="284" t="n">
        <f aca="false">IFERROR(J136*$E136, "")</f>
        <v>0</v>
      </c>
      <c r="X136" s="284" t="n">
        <f aca="false">IFERROR(K136*$E136, "")</f>
        <v>0</v>
      </c>
      <c r="Y136" s="284" t="n">
        <f aca="false">IFERROR(L136*$E136, "")</f>
        <v>0</v>
      </c>
      <c r="Z136" s="284" t="n">
        <f aca="false">IFERROR(M136*$E136, "")</f>
        <v>0</v>
      </c>
      <c r="AA136" s="284" t="n">
        <f aca="false">IFERROR(N136*$E136, "")</f>
        <v>0</v>
      </c>
      <c r="AB136" s="284" t="n">
        <f aca="false">IFERROR(O136*$E136, "")</f>
        <v>0</v>
      </c>
      <c r="AC136" s="284" t="n">
        <f aca="false">IFERROR(P136*$E136, "")</f>
        <v>0</v>
      </c>
      <c r="AD136" s="284" t="n">
        <f aca="false">IFERROR(Q136*$E136, "")</f>
        <v>0</v>
      </c>
      <c r="AE136" s="284" t="n">
        <f aca="false">IFERROR(R136*$E136, "")</f>
        <v>0</v>
      </c>
      <c r="AF136" s="284" t="n">
        <f aca="false">IFERROR(S136*$E136, "")</f>
        <v>0</v>
      </c>
      <c r="AG136" s="284" t="n">
        <f aca="false">IFERROR(T136*$E136, "")</f>
        <v>0</v>
      </c>
      <c r="AH136" s="286" t="n">
        <f aca="false">IFERROR(SUMIF($V$4:$AG$4, "RDEC", V136:AG136), "")</f>
        <v>0</v>
      </c>
      <c r="AI136" s="286" t="n">
        <f aca="false">IFERROR(SUMIF($V$4:$AG$4, "SME", V136:AG136), "")</f>
        <v>0</v>
      </c>
      <c r="AJ136" s="286" t="n">
        <f aca="false">IFERROR(SUMIF($V$4:$AG$4, "De Minimis", V136:AG136), "")</f>
        <v>0</v>
      </c>
      <c r="AK136" s="287"/>
      <c r="AL136" s="288" t="str">
        <f aca="false">IF((SUM(I136:T136)&gt;1),"ERROR","")</f>
        <v/>
      </c>
    </row>
    <row r="137" customFormat="false" ht="15" hidden="false" customHeight="true" outlineLevel="0" collapsed="false">
      <c r="E137" s="200"/>
      <c r="H137" s="350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3"/>
      <c r="V137" s="284" t="n">
        <f aca="false">IFERROR(I137*$E137, "")</f>
        <v>0</v>
      </c>
      <c r="W137" s="284" t="n">
        <f aca="false">IFERROR(J137*$E137, "")</f>
        <v>0</v>
      </c>
      <c r="X137" s="284" t="n">
        <f aca="false">IFERROR(K137*$E137, "")</f>
        <v>0</v>
      </c>
      <c r="Y137" s="284" t="n">
        <f aca="false">IFERROR(L137*$E137, "")</f>
        <v>0</v>
      </c>
      <c r="Z137" s="284" t="n">
        <f aca="false">IFERROR(M137*$E137, "")</f>
        <v>0</v>
      </c>
      <c r="AA137" s="284" t="n">
        <f aca="false">IFERROR(N137*$E137, "")</f>
        <v>0</v>
      </c>
      <c r="AB137" s="284" t="n">
        <f aca="false">IFERROR(O137*$E137, "")</f>
        <v>0</v>
      </c>
      <c r="AC137" s="284" t="n">
        <f aca="false">IFERROR(P137*$E137, "")</f>
        <v>0</v>
      </c>
      <c r="AD137" s="284" t="n">
        <f aca="false">IFERROR(Q137*$E137, "")</f>
        <v>0</v>
      </c>
      <c r="AE137" s="284" t="n">
        <f aca="false">IFERROR(R137*$E137, "")</f>
        <v>0</v>
      </c>
      <c r="AF137" s="284" t="n">
        <f aca="false">IFERROR(S137*$E137, "")</f>
        <v>0</v>
      </c>
      <c r="AG137" s="284" t="n">
        <f aca="false">IFERROR(T137*$E137, "")</f>
        <v>0</v>
      </c>
      <c r="AH137" s="286" t="n">
        <f aca="false">IFERROR(SUMIF($V$4:$AG$4, "RDEC", V137:AG137), "")</f>
        <v>0</v>
      </c>
      <c r="AI137" s="286" t="n">
        <f aca="false">IFERROR(SUMIF($V$4:$AG$4, "SME", V137:AG137), "")</f>
        <v>0</v>
      </c>
      <c r="AJ137" s="286" t="n">
        <f aca="false">IFERROR(SUMIF($V$4:$AG$4, "De Minimis", V137:AG137), "")</f>
        <v>0</v>
      </c>
      <c r="AK137" s="287"/>
      <c r="AL137" s="288" t="str">
        <f aca="false">IF((SUM(I137:T137)&gt;1),"ERROR","")</f>
        <v/>
      </c>
    </row>
    <row r="138" customFormat="false" ht="15" hidden="false" customHeight="true" outlineLevel="0" collapsed="false">
      <c r="E138" s="200"/>
      <c r="H138" s="350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3"/>
      <c r="V138" s="284" t="n">
        <f aca="false">IFERROR(I138*$E138, "")</f>
        <v>0</v>
      </c>
      <c r="W138" s="284" t="n">
        <f aca="false">IFERROR(J138*$E138, "")</f>
        <v>0</v>
      </c>
      <c r="X138" s="284" t="n">
        <f aca="false">IFERROR(K138*$E138, "")</f>
        <v>0</v>
      </c>
      <c r="Y138" s="284" t="n">
        <f aca="false">IFERROR(L138*$E138, "")</f>
        <v>0</v>
      </c>
      <c r="Z138" s="284" t="n">
        <f aca="false">IFERROR(M138*$E138, "")</f>
        <v>0</v>
      </c>
      <c r="AA138" s="284" t="n">
        <f aca="false">IFERROR(N138*$E138, "")</f>
        <v>0</v>
      </c>
      <c r="AB138" s="284" t="n">
        <f aca="false">IFERROR(O138*$E138, "")</f>
        <v>0</v>
      </c>
      <c r="AC138" s="284" t="n">
        <f aca="false">IFERROR(P138*$E138, "")</f>
        <v>0</v>
      </c>
      <c r="AD138" s="284" t="n">
        <f aca="false">IFERROR(Q138*$E138, "")</f>
        <v>0</v>
      </c>
      <c r="AE138" s="284" t="n">
        <f aca="false">IFERROR(R138*$E138, "")</f>
        <v>0</v>
      </c>
      <c r="AF138" s="284" t="n">
        <f aca="false">IFERROR(S138*$E138, "")</f>
        <v>0</v>
      </c>
      <c r="AG138" s="284" t="n">
        <f aca="false">IFERROR(T138*$E138, "")</f>
        <v>0</v>
      </c>
      <c r="AH138" s="286" t="n">
        <f aca="false">IFERROR(SUMIF($V$4:$AG$4, "RDEC", V138:AG138), "")</f>
        <v>0</v>
      </c>
      <c r="AI138" s="286" t="n">
        <f aca="false">IFERROR(SUMIF($V$4:$AG$4, "SME", V138:AG138), "")</f>
        <v>0</v>
      </c>
      <c r="AJ138" s="286" t="n">
        <f aca="false">IFERROR(SUMIF($V$4:$AG$4, "De Minimis", V138:AG138), "")</f>
        <v>0</v>
      </c>
      <c r="AK138" s="287"/>
      <c r="AL138" s="288" t="str">
        <f aca="false">IF((SUM(I138:T138)&gt;1),"ERROR","")</f>
        <v/>
      </c>
    </row>
    <row r="139" customFormat="false" ht="15" hidden="false" customHeight="true" outlineLevel="0" collapsed="false">
      <c r="E139" s="200"/>
      <c r="H139" s="350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3"/>
      <c r="V139" s="284" t="n">
        <f aca="false">IFERROR(I139*$E139, "")</f>
        <v>0</v>
      </c>
      <c r="W139" s="284" t="n">
        <f aca="false">IFERROR(J139*$E139, "")</f>
        <v>0</v>
      </c>
      <c r="X139" s="284" t="n">
        <f aca="false">IFERROR(K139*$E139, "")</f>
        <v>0</v>
      </c>
      <c r="Y139" s="284" t="n">
        <f aca="false">IFERROR(L139*$E139, "")</f>
        <v>0</v>
      </c>
      <c r="Z139" s="284" t="n">
        <f aca="false">IFERROR(M139*$E139, "")</f>
        <v>0</v>
      </c>
      <c r="AA139" s="284" t="n">
        <f aca="false">IFERROR(N139*$E139, "")</f>
        <v>0</v>
      </c>
      <c r="AB139" s="284" t="n">
        <f aca="false">IFERROR(O139*$E139, "")</f>
        <v>0</v>
      </c>
      <c r="AC139" s="284" t="n">
        <f aca="false">IFERROR(P139*$E139, "")</f>
        <v>0</v>
      </c>
      <c r="AD139" s="284" t="n">
        <f aca="false">IFERROR(Q139*$E139, "")</f>
        <v>0</v>
      </c>
      <c r="AE139" s="284" t="n">
        <f aca="false">IFERROR(R139*$E139, "")</f>
        <v>0</v>
      </c>
      <c r="AF139" s="284" t="n">
        <f aca="false">IFERROR(S139*$E139, "")</f>
        <v>0</v>
      </c>
      <c r="AG139" s="284" t="n">
        <f aca="false">IFERROR(T139*$E139, "")</f>
        <v>0</v>
      </c>
      <c r="AH139" s="286" t="n">
        <f aca="false">IFERROR(SUMIF($V$4:$AG$4, "RDEC", V139:AG139), "")</f>
        <v>0</v>
      </c>
      <c r="AI139" s="286" t="n">
        <f aca="false">IFERROR(SUMIF($V$4:$AG$4, "SME", V139:AG139), "")</f>
        <v>0</v>
      </c>
      <c r="AJ139" s="286" t="n">
        <f aca="false">IFERROR(SUMIF($V$4:$AG$4, "De Minimis", V139:AG139), "")</f>
        <v>0</v>
      </c>
      <c r="AK139" s="303"/>
      <c r="AL139" s="288" t="str">
        <f aca="false">IF((SUM(I139:T139)&gt;1),"ERROR","")</f>
        <v/>
      </c>
    </row>
    <row r="140" customFormat="false" ht="15" hidden="false" customHeight="true" outlineLevel="0" collapsed="false">
      <c r="E140" s="200"/>
      <c r="H140" s="350"/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3"/>
      <c r="V140" s="284" t="n">
        <f aca="false">IFERROR(I140*$E140, "")</f>
        <v>0</v>
      </c>
      <c r="W140" s="284" t="n">
        <f aca="false">IFERROR(J140*$E140, "")</f>
        <v>0</v>
      </c>
      <c r="X140" s="284" t="n">
        <f aca="false">IFERROR(K140*$E140, "")</f>
        <v>0</v>
      </c>
      <c r="Y140" s="284" t="n">
        <f aca="false">IFERROR(L140*$E140, "")</f>
        <v>0</v>
      </c>
      <c r="Z140" s="284" t="n">
        <f aca="false">IFERROR(M140*$E140, "")</f>
        <v>0</v>
      </c>
      <c r="AA140" s="284" t="n">
        <f aca="false">IFERROR(N140*$E140, "")</f>
        <v>0</v>
      </c>
      <c r="AB140" s="284" t="n">
        <f aca="false">IFERROR(O140*$E140, "")</f>
        <v>0</v>
      </c>
      <c r="AC140" s="284" t="n">
        <f aca="false">IFERROR(P140*$E140, "")</f>
        <v>0</v>
      </c>
      <c r="AD140" s="284" t="n">
        <f aca="false">IFERROR(Q140*$E140, "")</f>
        <v>0</v>
      </c>
      <c r="AE140" s="284" t="n">
        <f aca="false">IFERROR(R140*$E140, "")</f>
        <v>0</v>
      </c>
      <c r="AF140" s="284" t="n">
        <f aca="false">IFERROR(S140*$E140, "")</f>
        <v>0</v>
      </c>
      <c r="AG140" s="284" t="n">
        <f aca="false">IFERROR(T140*$E140, "")</f>
        <v>0</v>
      </c>
      <c r="AH140" s="286" t="n">
        <f aca="false">IFERROR(SUMIF($V$4:$AG$4, "RDEC", V140:AG140), "")</f>
        <v>0</v>
      </c>
      <c r="AI140" s="286" t="n">
        <f aca="false">IFERROR(SUMIF($V$4:$AG$4, "SME", V140:AG140), "")</f>
        <v>0</v>
      </c>
      <c r="AJ140" s="286" t="n">
        <f aca="false">IFERROR(SUMIF($V$4:$AG$4, "De Minimis", V140:AG140), "")</f>
        <v>0</v>
      </c>
      <c r="AL140" s="288" t="str">
        <f aca="false">IF((SUM(I140:T140)&gt;1),"ERROR","")</f>
        <v/>
      </c>
    </row>
    <row r="141" customFormat="false" ht="15" hidden="false" customHeight="true" outlineLevel="0" collapsed="false">
      <c r="E141" s="200"/>
      <c r="H141" s="350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3"/>
      <c r="V141" s="284" t="n">
        <f aca="false">IFERROR(I141*$E141, "")</f>
        <v>0</v>
      </c>
      <c r="W141" s="284" t="n">
        <f aca="false">IFERROR(J141*$E141, "")</f>
        <v>0</v>
      </c>
      <c r="X141" s="284" t="n">
        <f aca="false">IFERROR(K141*$E141, "")</f>
        <v>0</v>
      </c>
      <c r="Y141" s="284" t="n">
        <f aca="false">IFERROR(L141*$E141, "")</f>
        <v>0</v>
      </c>
      <c r="Z141" s="284" t="n">
        <f aca="false">IFERROR(M141*$E141, "")</f>
        <v>0</v>
      </c>
      <c r="AA141" s="284" t="n">
        <f aca="false">IFERROR(N141*$E141, "")</f>
        <v>0</v>
      </c>
      <c r="AB141" s="284" t="n">
        <f aca="false">IFERROR(O141*$E141, "")</f>
        <v>0</v>
      </c>
      <c r="AC141" s="284" t="n">
        <f aca="false">IFERROR(P141*$E141, "")</f>
        <v>0</v>
      </c>
      <c r="AD141" s="284" t="n">
        <f aca="false">IFERROR(Q141*$E141, "")</f>
        <v>0</v>
      </c>
      <c r="AE141" s="284" t="n">
        <f aca="false">IFERROR(R141*$E141, "")</f>
        <v>0</v>
      </c>
      <c r="AF141" s="284" t="n">
        <f aca="false">IFERROR(S141*$E141, "")</f>
        <v>0</v>
      </c>
      <c r="AG141" s="284" t="n">
        <f aca="false">IFERROR(T141*$E141, "")</f>
        <v>0</v>
      </c>
      <c r="AH141" s="286" t="n">
        <f aca="false">IFERROR(SUMIF($V$4:$AG$4, "RDEC", V141:AG141), "")</f>
        <v>0</v>
      </c>
      <c r="AI141" s="286" t="n">
        <f aca="false">IFERROR(SUMIF($V$4:$AG$4, "SME", V141:AG141), "")</f>
        <v>0</v>
      </c>
      <c r="AJ141" s="286" t="n">
        <f aca="false">IFERROR(SUMIF($V$4:$AG$4, "De Minimis", V141:AG141), "")</f>
        <v>0</v>
      </c>
      <c r="AK141" s="268"/>
      <c r="AL141" s="288" t="str">
        <f aca="false">IF((SUM(I141:T141)&gt;1),"ERROR","")</f>
        <v/>
      </c>
    </row>
    <row r="142" customFormat="false" ht="15" hidden="false" customHeight="true" outlineLevel="0" collapsed="false">
      <c r="E142" s="200"/>
      <c r="H142" s="350"/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3"/>
      <c r="V142" s="284" t="n">
        <f aca="false">IFERROR(I142*$E142, "")</f>
        <v>0</v>
      </c>
      <c r="W142" s="284" t="n">
        <f aca="false">IFERROR(J142*$E142, "")</f>
        <v>0</v>
      </c>
      <c r="X142" s="284" t="n">
        <f aca="false">IFERROR(K142*$E142, "")</f>
        <v>0</v>
      </c>
      <c r="Y142" s="284" t="n">
        <f aca="false">IFERROR(L142*$E142, "")</f>
        <v>0</v>
      </c>
      <c r="Z142" s="284" t="n">
        <f aca="false">IFERROR(M142*$E142, "")</f>
        <v>0</v>
      </c>
      <c r="AA142" s="284" t="n">
        <f aca="false">IFERROR(N142*$E142, "")</f>
        <v>0</v>
      </c>
      <c r="AB142" s="284" t="n">
        <f aca="false">IFERROR(O142*$E142, "")</f>
        <v>0</v>
      </c>
      <c r="AC142" s="284" t="n">
        <f aca="false">IFERROR(P142*$E142, "")</f>
        <v>0</v>
      </c>
      <c r="AD142" s="284" t="n">
        <f aca="false">IFERROR(Q142*$E142, "")</f>
        <v>0</v>
      </c>
      <c r="AE142" s="284" t="n">
        <f aca="false">IFERROR(R142*$E142, "")</f>
        <v>0</v>
      </c>
      <c r="AF142" s="284" t="n">
        <f aca="false">IFERROR(S142*$E142, "")</f>
        <v>0</v>
      </c>
      <c r="AG142" s="284" t="n">
        <f aca="false">IFERROR(T142*$E142, "")</f>
        <v>0</v>
      </c>
      <c r="AH142" s="286" t="n">
        <f aca="false">IFERROR(SUMIF($V$4:$AG$4, "RDEC", V142:AG142), "")</f>
        <v>0</v>
      </c>
      <c r="AI142" s="286" t="n">
        <f aca="false">IFERROR(SUMIF($V$4:$AG$4, "SME", V142:AG142), "")</f>
        <v>0</v>
      </c>
      <c r="AJ142" s="286" t="n">
        <f aca="false">IFERROR(SUMIF($V$4:$AG$4, "De Minimis", V142:AG142), "")</f>
        <v>0</v>
      </c>
      <c r="AK142" s="287"/>
      <c r="AL142" s="288" t="str">
        <f aca="false">IF((SUM(I142:T142)&gt;1),"ERROR","")</f>
        <v/>
      </c>
    </row>
    <row r="143" customFormat="false" ht="15" hidden="false" customHeight="true" outlineLevel="0" collapsed="false">
      <c r="E143" s="200"/>
      <c r="H143" s="350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3"/>
      <c r="V143" s="284" t="n">
        <f aca="false">IFERROR(I143*$E143, "")</f>
        <v>0</v>
      </c>
      <c r="W143" s="284" t="n">
        <f aca="false">IFERROR(J143*$E143, "")</f>
        <v>0</v>
      </c>
      <c r="X143" s="284" t="n">
        <f aca="false">IFERROR(K143*$E143, "")</f>
        <v>0</v>
      </c>
      <c r="Y143" s="284" t="n">
        <f aca="false">IFERROR(L143*$E143, "")</f>
        <v>0</v>
      </c>
      <c r="Z143" s="284" t="n">
        <f aca="false">IFERROR(M143*$E143, "")</f>
        <v>0</v>
      </c>
      <c r="AA143" s="284" t="n">
        <f aca="false">IFERROR(N143*$E143, "")</f>
        <v>0</v>
      </c>
      <c r="AB143" s="284" t="n">
        <f aca="false">IFERROR(O143*$E143, "")</f>
        <v>0</v>
      </c>
      <c r="AC143" s="284" t="n">
        <f aca="false">IFERROR(P143*$E143, "")</f>
        <v>0</v>
      </c>
      <c r="AD143" s="284" t="n">
        <f aca="false">IFERROR(Q143*$E143, "")</f>
        <v>0</v>
      </c>
      <c r="AE143" s="284" t="n">
        <f aca="false">IFERROR(R143*$E143, "")</f>
        <v>0</v>
      </c>
      <c r="AF143" s="284" t="n">
        <f aca="false">IFERROR(S143*$E143, "")</f>
        <v>0</v>
      </c>
      <c r="AG143" s="284" t="n">
        <f aca="false">IFERROR(T143*$E143, "")</f>
        <v>0</v>
      </c>
      <c r="AH143" s="286" t="n">
        <f aca="false">IFERROR(SUMIF($V$4:$AG$4, "RDEC", V143:AG143), "")</f>
        <v>0</v>
      </c>
      <c r="AI143" s="286" t="n">
        <f aca="false">IFERROR(SUMIF($V$4:$AG$4, "SME", V143:AG143), "")</f>
        <v>0</v>
      </c>
      <c r="AJ143" s="286" t="n">
        <f aca="false">IFERROR(SUMIF($V$4:$AG$4, "De Minimis", V143:AG143), "")</f>
        <v>0</v>
      </c>
      <c r="AK143" s="287"/>
      <c r="AL143" s="288" t="str">
        <f aca="false">IF((SUM(I143:T143)&gt;1),"ERROR","")</f>
        <v/>
      </c>
    </row>
    <row r="144" customFormat="false" ht="15" hidden="false" customHeight="true" outlineLevel="0" collapsed="false">
      <c r="E144" s="200"/>
      <c r="H144" s="350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3"/>
      <c r="V144" s="284" t="n">
        <f aca="false">IFERROR(I144*$E144, "")</f>
        <v>0</v>
      </c>
      <c r="W144" s="284" t="n">
        <f aca="false">IFERROR(J144*$E144, "")</f>
        <v>0</v>
      </c>
      <c r="X144" s="284" t="n">
        <f aca="false">IFERROR(K144*$E144, "")</f>
        <v>0</v>
      </c>
      <c r="Y144" s="284" t="n">
        <f aca="false">IFERROR(L144*$E144, "")</f>
        <v>0</v>
      </c>
      <c r="Z144" s="284" t="n">
        <f aca="false">IFERROR(M144*$E144, "")</f>
        <v>0</v>
      </c>
      <c r="AA144" s="284" t="n">
        <f aca="false">IFERROR(N144*$E144, "")</f>
        <v>0</v>
      </c>
      <c r="AB144" s="284" t="n">
        <f aca="false">IFERROR(O144*$E144, "")</f>
        <v>0</v>
      </c>
      <c r="AC144" s="284" t="n">
        <f aca="false">IFERROR(P144*$E144, "")</f>
        <v>0</v>
      </c>
      <c r="AD144" s="284" t="n">
        <f aca="false">IFERROR(Q144*$E144, "")</f>
        <v>0</v>
      </c>
      <c r="AE144" s="284" t="n">
        <f aca="false">IFERROR(R144*$E144, "")</f>
        <v>0</v>
      </c>
      <c r="AF144" s="284" t="n">
        <f aca="false">IFERROR(S144*$E144, "")</f>
        <v>0</v>
      </c>
      <c r="AG144" s="284" t="n">
        <f aca="false">IFERROR(T144*$E144, "")</f>
        <v>0</v>
      </c>
      <c r="AH144" s="286" t="n">
        <f aca="false">IFERROR(SUMIF($V$4:$AG$4, "RDEC", V144:AG144), "")</f>
        <v>0</v>
      </c>
      <c r="AI144" s="286" t="n">
        <f aca="false">IFERROR(SUMIF($V$4:$AG$4, "SME", V144:AG144), "")</f>
        <v>0</v>
      </c>
      <c r="AJ144" s="286" t="n">
        <f aca="false">IFERROR(SUMIF($V$4:$AG$4, "De Minimis", V144:AG144), "")</f>
        <v>0</v>
      </c>
      <c r="AK144" s="287"/>
      <c r="AL144" s="288" t="str">
        <f aca="false">IF((SUM(I144:T144)&gt;1),"ERROR","")</f>
        <v/>
      </c>
    </row>
    <row r="145" customFormat="false" ht="15" hidden="false" customHeight="true" outlineLevel="0" collapsed="false">
      <c r="E145" s="200"/>
      <c r="H145" s="350"/>
      <c r="I145" s="282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3"/>
      <c r="V145" s="284" t="n">
        <f aca="false">IFERROR(I145*$E145, "")</f>
        <v>0</v>
      </c>
      <c r="W145" s="284" t="n">
        <f aca="false">IFERROR(J145*$E145, "")</f>
        <v>0</v>
      </c>
      <c r="X145" s="284" t="n">
        <f aca="false">IFERROR(K145*$E145, "")</f>
        <v>0</v>
      </c>
      <c r="Y145" s="284" t="n">
        <f aca="false">IFERROR(L145*$E145, "")</f>
        <v>0</v>
      </c>
      <c r="Z145" s="284" t="n">
        <f aca="false">IFERROR(M145*$E145, "")</f>
        <v>0</v>
      </c>
      <c r="AA145" s="284" t="n">
        <f aca="false">IFERROR(N145*$E145, "")</f>
        <v>0</v>
      </c>
      <c r="AB145" s="284" t="n">
        <f aca="false">IFERROR(O145*$E145, "")</f>
        <v>0</v>
      </c>
      <c r="AC145" s="284" t="n">
        <f aca="false">IFERROR(P145*$E145, "")</f>
        <v>0</v>
      </c>
      <c r="AD145" s="284" t="n">
        <f aca="false">IFERROR(Q145*$E145, "")</f>
        <v>0</v>
      </c>
      <c r="AE145" s="284" t="n">
        <f aca="false">IFERROR(R145*$E145, "")</f>
        <v>0</v>
      </c>
      <c r="AF145" s="284" t="n">
        <f aca="false">IFERROR(S145*$E145, "")</f>
        <v>0</v>
      </c>
      <c r="AG145" s="284" t="n">
        <f aca="false">IFERROR(T145*$E145, "")</f>
        <v>0</v>
      </c>
      <c r="AH145" s="286" t="n">
        <f aca="false">IFERROR(SUMIF($V$4:$AG$4, "RDEC", V145:AG145), "")</f>
        <v>0</v>
      </c>
      <c r="AI145" s="286" t="n">
        <f aca="false">IFERROR(SUMIF($V$4:$AG$4, "SME", V145:AG145), "")</f>
        <v>0</v>
      </c>
      <c r="AJ145" s="286" t="n">
        <f aca="false">IFERROR(SUMIF($V$4:$AG$4, "De Minimis", V145:AG145), "")</f>
        <v>0</v>
      </c>
      <c r="AK145" s="287"/>
      <c r="AL145" s="288" t="str">
        <f aca="false">IF((SUM(I145:T145)&gt;1),"ERROR","")</f>
        <v/>
      </c>
    </row>
    <row r="146" customFormat="false" ht="15" hidden="false" customHeight="true" outlineLevel="0" collapsed="false">
      <c r="E146" s="200"/>
      <c r="H146" s="350"/>
      <c r="I146" s="282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3"/>
      <c r="V146" s="284" t="n">
        <f aca="false">IFERROR(I146*$E146, "")</f>
        <v>0</v>
      </c>
      <c r="W146" s="284" t="n">
        <f aca="false">IFERROR(J146*$E146, "")</f>
        <v>0</v>
      </c>
      <c r="X146" s="284" t="n">
        <f aca="false">IFERROR(K146*$E146, "")</f>
        <v>0</v>
      </c>
      <c r="Y146" s="284" t="n">
        <f aca="false">IFERROR(L146*$E146, "")</f>
        <v>0</v>
      </c>
      <c r="Z146" s="284" t="n">
        <f aca="false">IFERROR(M146*$E146, "")</f>
        <v>0</v>
      </c>
      <c r="AA146" s="284" t="n">
        <f aca="false">IFERROR(N146*$E146, "")</f>
        <v>0</v>
      </c>
      <c r="AB146" s="284" t="n">
        <f aca="false">IFERROR(O146*$E146, "")</f>
        <v>0</v>
      </c>
      <c r="AC146" s="284" t="n">
        <f aca="false">IFERROR(P146*$E146, "")</f>
        <v>0</v>
      </c>
      <c r="AD146" s="284" t="n">
        <f aca="false">IFERROR(Q146*$E146, "")</f>
        <v>0</v>
      </c>
      <c r="AE146" s="284" t="n">
        <f aca="false">IFERROR(R146*$E146, "")</f>
        <v>0</v>
      </c>
      <c r="AF146" s="284" t="n">
        <f aca="false">IFERROR(S146*$E146, "")</f>
        <v>0</v>
      </c>
      <c r="AG146" s="284" t="n">
        <f aca="false">IFERROR(T146*$E146, "")</f>
        <v>0</v>
      </c>
      <c r="AH146" s="286" t="n">
        <f aca="false">IFERROR(SUMIF($V$4:$AG$4, "RDEC", V146:AG146), "")</f>
        <v>0</v>
      </c>
      <c r="AI146" s="286" t="n">
        <f aca="false">IFERROR(SUMIF($V$4:$AG$4, "SME", V146:AG146), "")</f>
        <v>0</v>
      </c>
      <c r="AJ146" s="286" t="n">
        <f aca="false">IFERROR(SUMIF($V$4:$AG$4, "De Minimis", V146:AG146), "")</f>
        <v>0</v>
      </c>
      <c r="AK146" s="287"/>
      <c r="AL146" s="288" t="str">
        <f aca="false">IF((SUM(I146:T146)&gt;1),"ERROR","")</f>
        <v/>
      </c>
    </row>
    <row r="147" customFormat="false" ht="15" hidden="false" customHeight="true" outlineLevel="0" collapsed="false">
      <c r="E147" s="200"/>
      <c r="H147" s="350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3"/>
      <c r="V147" s="284" t="n">
        <f aca="false">IFERROR(I147*$E147, "")</f>
        <v>0</v>
      </c>
      <c r="W147" s="284" t="n">
        <f aca="false">IFERROR(J147*$E147, "")</f>
        <v>0</v>
      </c>
      <c r="X147" s="284" t="n">
        <f aca="false">IFERROR(K147*$E147, "")</f>
        <v>0</v>
      </c>
      <c r="Y147" s="284" t="n">
        <f aca="false">IFERROR(L147*$E147, "")</f>
        <v>0</v>
      </c>
      <c r="Z147" s="284" t="n">
        <f aca="false">IFERROR(M147*$E147, "")</f>
        <v>0</v>
      </c>
      <c r="AA147" s="284" t="n">
        <f aca="false">IFERROR(N147*$E147, "")</f>
        <v>0</v>
      </c>
      <c r="AB147" s="284" t="n">
        <f aca="false">IFERROR(O147*$E147, "")</f>
        <v>0</v>
      </c>
      <c r="AC147" s="284" t="n">
        <f aca="false">IFERROR(P147*$E147, "")</f>
        <v>0</v>
      </c>
      <c r="AD147" s="284" t="n">
        <f aca="false">IFERROR(Q147*$E147, "")</f>
        <v>0</v>
      </c>
      <c r="AE147" s="284" t="n">
        <f aca="false">IFERROR(R147*$E147, "")</f>
        <v>0</v>
      </c>
      <c r="AF147" s="284" t="n">
        <f aca="false">IFERROR(S147*$E147, "")</f>
        <v>0</v>
      </c>
      <c r="AG147" s="284" t="n">
        <f aca="false">IFERROR(T147*$E147, "")</f>
        <v>0</v>
      </c>
      <c r="AH147" s="286" t="n">
        <f aca="false">IFERROR(SUMIF($V$4:$AG$4, "RDEC", V147:AG147), "")</f>
        <v>0</v>
      </c>
      <c r="AI147" s="286" t="n">
        <f aca="false">IFERROR(SUMIF($V$4:$AG$4, "SME", V147:AG147), "")</f>
        <v>0</v>
      </c>
      <c r="AJ147" s="286" t="n">
        <f aca="false">IFERROR(SUMIF($V$4:$AG$4, "De Minimis", V147:AG147), "")</f>
        <v>0</v>
      </c>
      <c r="AK147" s="287"/>
      <c r="AL147" s="288" t="str">
        <f aca="false">IF((SUM(I147:T147)&gt;1),"ERROR","")</f>
        <v/>
      </c>
    </row>
    <row r="148" customFormat="false" ht="15" hidden="false" customHeight="true" outlineLevel="0" collapsed="false">
      <c r="E148" s="200"/>
      <c r="H148" s="350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3"/>
      <c r="V148" s="284" t="n">
        <f aca="false">IFERROR(I148*$E148, "")</f>
        <v>0</v>
      </c>
      <c r="W148" s="284" t="n">
        <f aca="false">IFERROR(J148*$E148, "")</f>
        <v>0</v>
      </c>
      <c r="X148" s="284" t="n">
        <f aca="false">IFERROR(K148*$E148, "")</f>
        <v>0</v>
      </c>
      <c r="Y148" s="284" t="n">
        <f aca="false">IFERROR(L148*$E148, "")</f>
        <v>0</v>
      </c>
      <c r="Z148" s="284" t="n">
        <f aca="false">IFERROR(M148*$E148, "")</f>
        <v>0</v>
      </c>
      <c r="AA148" s="284" t="n">
        <f aca="false">IFERROR(N148*$E148, "")</f>
        <v>0</v>
      </c>
      <c r="AB148" s="284" t="n">
        <f aca="false">IFERROR(O148*$E148, "")</f>
        <v>0</v>
      </c>
      <c r="AC148" s="284" t="n">
        <f aca="false">IFERROR(P148*$E148, "")</f>
        <v>0</v>
      </c>
      <c r="AD148" s="284" t="n">
        <f aca="false">IFERROR(Q148*$E148, "")</f>
        <v>0</v>
      </c>
      <c r="AE148" s="284" t="n">
        <f aca="false">IFERROR(R148*$E148, "")</f>
        <v>0</v>
      </c>
      <c r="AF148" s="284" t="n">
        <f aca="false">IFERROR(S148*$E148, "")</f>
        <v>0</v>
      </c>
      <c r="AG148" s="284" t="n">
        <f aca="false">IFERROR(T148*$E148, "")</f>
        <v>0</v>
      </c>
      <c r="AH148" s="286" t="n">
        <f aca="false">IFERROR(SUMIF($V$4:$AG$4, "RDEC", V148:AG148), "")</f>
        <v>0</v>
      </c>
      <c r="AI148" s="286" t="n">
        <f aca="false">IFERROR(SUMIF($V$4:$AG$4, "SME", V148:AG148), "")</f>
        <v>0</v>
      </c>
      <c r="AJ148" s="286" t="n">
        <f aca="false">IFERROR(SUMIF($V$4:$AG$4, "De Minimis", V148:AG148), "")</f>
        <v>0</v>
      </c>
      <c r="AK148" s="287"/>
      <c r="AL148" s="288" t="str">
        <f aca="false">IF((SUM(I148:T148)&gt;1),"ERROR","")</f>
        <v/>
      </c>
    </row>
    <row r="149" customFormat="false" ht="15" hidden="false" customHeight="true" outlineLevel="0" collapsed="false">
      <c r="E149" s="200"/>
      <c r="H149" s="350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3"/>
      <c r="V149" s="284" t="n">
        <f aca="false">IFERROR(I149*$E149, "")</f>
        <v>0</v>
      </c>
      <c r="W149" s="284" t="n">
        <f aca="false">IFERROR(J149*$E149, "")</f>
        <v>0</v>
      </c>
      <c r="X149" s="284" t="n">
        <f aca="false">IFERROR(K149*$E149, "")</f>
        <v>0</v>
      </c>
      <c r="Y149" s="284" t="n">
        <f aca="false">IFERROR(L149*$E149, "")</f>
        <v>0</v>
      </c>
      <c r="Z149" s="284" t="n">
        <f aca="false">IFERROR(M149*$E149, "")</f>
        <v>0</v>
      </c>
      <c r="AA149" s="284" t="n">
        <f aca="false">IFERROR(N149*$E149, "")</f>
        <v>0</v>
      </c>
      <c r="AB149" s="284" t="n">
        <f aca="false">IFERROR(O149*$E149, "")</f>
        <v>0</v>
      </c>
      <c r="AC149" s="284" t="n">
        <f aca="false">IFERROR(P149*$E149, "")</f>
        <v>0</v>
      </c>
      <c r="AD149" s="284" t="n">
        <f aca="false">IFERROR(Q149*$E149, "")</f>
        <v>0</v>
      </c>
      <c r="AE149" s="284" t="n">
        <f aca="false">IFERROR(R149*$E149, "")</f>
        <v>0</v>
      </c>
      <c r="AF149" s="284" t="n">
        <f aca="false">IFERROR(S149*$E149, "")</f>
        <v>0</v>
      </c>
      <c r="AG149" s="284" t="n">
        <f aca="false">IFERROR(T149*$E149, "")</f>
        <v>0</v>
      </c>
      <c r="AH149" s="286" t="n">
        <f aca="false">IFERROR(SUMIF($V$4:$AG$4, "RDEC", V149:AG149), "")</f>
        <v>0</v>
      </c>
      <c r="AI149" s="286" t="n">
        <f aca="false">IFERROR(SUMIF($V$4:$AG$4, "SME", V149:AG149), "")</f>
        <v>0</v>
      </c>
      <c r="AJ149" s="286" t="n">
        <f aca="false">IFERROR(SUMIF($V$4:$AG$4, "De Minimis", V149:AG149), "")</f>
        <v>0</v>
      </c>
      <c r="AK149" s="287"/>
      <c r="AL149" s="288" t="str">
        <f aca="false">IF((SUM(I149:T149)&gt;1),"ERROR","")</f>
        <v/>
      </c>
    </row>
    <row r="150" customFormat="false" ht="15" hidden="false" customHeight="true" outlineLevel="0" collapsed="false">
      <c r="E150" s="200"/>
      <c r="H150" s="350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3"/>
      <c r="V150" s="284" t="n">
        <f aca="false">IFERROR(I150*$E150, "")</f>
        <v>0</v>
      </c>
      <c r="W150" s="284" t="n">
        <f aca="false">IFERROR(J150*$E150, "")</f>
        <v>0</v>
      </c>
      <c r="X150" s="284" t="n">
        <f aca="false">IFERROR(K150*$E150, "")</f>
        <v>0</v>
      </c>
      <c r="Y150" s="284" t="n">
        <f aca="false">IFERROR(L150*$E150, "")</f>
        <v>0</v>
      </c>
      <c r="Z150" s="284" t="n">
        <f aca="false">IFERROR(M150*$E150, "")</f>
        <v>0</v>
      </c>
      <c r="AA150" s="284" t="n">
        <f aca="false">IFERROR(N150*$E150, "")</f>
        <v>0</v>
      </c>
      <c r="AB150" s="284" t="n">
        <f aca="false">IFERROR(O150*$E150, "")</f>
        <v>0</v>
      </c>
      <c r="AC150" s="284" t="n">
        <f aca="false">IFERROR(P150*$E150, "")</f>
        <v>0</v>
      </c>
      <c r="AD150" s="284" t="n">
        <f aca="false">IFERROR(Q150*$E150, "")</f>
        <v>0</v>
      </c>
      <c r="AE150" s="284" t="n">
        <f aca="false">IFERROR(R150*$E150, "")</f>
        <v>0</v>
      </c>
      <c r="AF150" s="284" t="n">
        <f aca="false">IFERROR(S150*$E150, "")</f>
        <v>0</v>
      </c>
      <c r="AG150" s="284" t="n">
        <f aca="false">IFERROR(T150*$E150, "")</f>
        <v>0</v>
      </c>
      <c r="AH150" s="286" t="n">
        <f aca="false">IFERROR(SUMIF($V$4:$AG$4, "RDEC", V150:AG150), "")</f>
        <v>0</v>
      </c>
      <c r="AI150" s="286" t="n">
        <f aca="false">IFERROR(SUMIF($V$4:$AG$4, "SME", V150:AG150), "")</f>
        <v>0</v>
      </c>
      <c r="AJ150" s="286" t="n">
        <f aca="false">IFERROR(SUMIF($V$4:$AG$4, "De Minimis", V150:AG150), "")</f>
        <v>0</v>
      </c>
      <c r="AK150" s="287"/>
      <c r="AL150" s="288" t="str">
        <f aca="false">IF((SUM(I150:T150)&gt;1),"ERROR","")</f>
        <v/>
      </c>
    </row>
    <row r="151" customFormat="false" ht="15" hidden="false" customHeight="true" outlineLevel="0" collapsed="false">
      <c r="E151" s="200"/>
      <c r="H151" s="350"/>
      <c r="I151" s="282"/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3"/>
      <c r="V151" s="284" t="n">
        <f aca="false">IFERROR(I151*$E151, "")</f>
        <v>0</v>
      </c>
      <c r="W151" s="284" t="n">
        <f aca="false">IFERROR(J151*$E151, "")</f>
        <v>0</v>
      </c>
      <c r="X151" s="284" t="n">
        <f aca="false">IFERROR(K151*$E151, "")</f>
        <v>0</v>
      </c>
      <c r="Y151" s="284" t="n">
        <f aca="false">IFERROR(L151*$E151, "")</f>
        <v>0</v>
      </c>
      <c r="Z151" s="284" t="n">
        <f aca="false">IFERROR(M151*$E151, "")</f>
        <v>0</v>
      </c>
      <c r="AA151" s="284" t="n">
        <f aca="false">IFERROR(N151*$E151, "")</f>
        <v>0</v>
      </c>
      <c r="AB151" s="284" t="n">
        <f aca="false">IFERROR(O151*$E151, "")</f>
        <v>0</v>
      </c>
      <c r="AC151" s="284" t="n">
        <f aca="false">IFERROR(P151*$E151, "")</f>
        <v>0</v>
      </c>
      <c r="AD151" s="284" t="n">
        <f aca="false">IFERROR(Q151*$E151, "")</f>
        <v>0</v>
      </c>
      <c r="AE151" s="284" t="n">
        <f aca="false">IFERROR(R151*$E151, "")</f>
        <v>0</v>
      </c>
      <c r="AF151" s="284" t="n">
        <f aca="false">IFERROR(S151*$E151, "")</f>
        <v>0</v>
      </c>
      <c r="AG151" s="284" t="n">
        <f aca="false">IFERROR(T151*$E151, "")</f>
        <v>0</v>
      </c>
      <c r="AH151" s="286" t="n">
        <f aca="false">IFERROR(SUMIF($V$4:$AG$4, "RDEC", V151:AG151), "")</f>
        <v>0</v>
      </c>
      <c r="AI151" s="286" t="n">
        <f aca="false">IFERROR(SUMIF($V$4:$AG$4, "SME", V151:AG151), "")</f>
        <v>0</v>
      </c>
      <c r="AJ151" s="286" t="n">
        <f aca="false">IFERROR(SUMIF($V$4:$AG$4, "De Minimis", V151:AG151), "")</f>
        <v>0</v>
      </c>
      <c r="AK151" s="287"/>
      <c r="AL151" s="288" t="str">
        <f aca="false">IF((SUM(I151:T151)&gt;1),"ERROR","")</f>
        <v/>
      </c>
    </row>
    <row r="152" customFormat="false" ht="15" hidden="false" customHeight="true" outlineLevel="0" collapsed="false">
      <c r="E152" s="200"/>
      <c r="H152" s="350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3"/>
      <c r="V152" s="284" t="n">
        <f aca="false">IFERROR(I152*$E152, "")</f>
        <v>0</v>
      </c>
      <c r="W152" s="284" t="n">
        <f aca="false">IFERROR(J152*$E152, "")</f>
        <v>0</v>
      </c>
      <c r="X152" s="284" t="n">
        <f aca="false">IFERROR(K152*$E152, "")</f>
        <v>0</v>
      </c>
      <c r="Y152" s="284" t="n">
        <f aca="false">IFERROR(L152*$E152, "")</f>
        <v>0</v>
      </c>
      <c r="Z152" s="284" t="n">
        <f aca="false">IFERROR(M152*$E152, "")</f>
        <v>0</v>
      </c>
      <c r="AA152" s="284" t="n">
        <f aca="false">IFERROR(N152*$E152, "")</f>
        <v>0</v>
      </c>
      <c r="AB152" s="284" t="n">
        <f aca="false">IFERROR(O152*$E152, "")</f>
        <v>0</v>
      </c>
      <c r="AC152" s="284" t="n">
        <f aca="false">IFERROR(P152*$E152, "")</f>
        <v>0</v>
      </c>
      <c r="AD152" s="284" t="n">
        <f aca="false">IFERROR(Q152*$E152, "")</f>
        <v>0</v>
      </c>
      <c r="AE152" s="284" t="n">
        <f aca="false">IFERROR(R152*$E152, "")</f>
        <v>0</v>
      </c>
      <c r="AF152" s="284" t="n">
        <f aca="false">IFERROR(S152*$E152, "")</f>
        <v>0</v>
      </c>
      <c r="AG152" s="284" t="n">
        <f aca="false">IFERROR(T152*$E152, "")</f>
        <v>0</v>
      </c>
      <c r="AH152" s="286" t="n">
        <f aca="false">IFERROR(SUMIF($V$4:$AG$4, "RDEC", V152:AG152), "")</f>
        <v>0</v>
      </c>
      <c r="AI152" s="286" t="n">
        <f aca="false">IFERROR(SUMIF($V$4:$AG$4, "SME", V152:AG152), "")</f>
        <v>0</v>
      </c>
      <c r="AJ152" s="286" t="n">
        <f aca="false">IFERROR(SUMIF($V$4:$AG$4, "De Minimis", V152:AG152), "")</f>
        <v>0</v>
      </c>
      <c r="AK152" s="287"/>
      <c r="AL152" s="288" t="str">
        <f aca="false">IF((SUM(I152:T152)&gt;1),"ERROR","")</f>
        <v/>
      </c>
    </row>
    <row r="153" customFormat="false" ht="15" hidden="false" customHeight="true" outlineLevel="0" collapsed="false">
      <c r="E153" s="200"/>
      <c r="H153" s="350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3"/>
      <c r="V153" s="284" t="n">
        <f aca="false">IFERROR(I153*$E153, "")</f>
        <v>0</v>
      </c>
      <c r="W153" s="284" t="n">
        <f aca="false">IFERROR(J153*$E153, "")</f>
        <v>0</v>
      </c>
      <c r="X153" s="284" t="n">
        <f aca="false">IFERROR(K153*$E153, "")</f>
        <v>0</v>
      </c>
      <c r="Y153" s="284" t="n">
        <f aca="false">IFERROR(L153*$E153, "")</f>
        <v>0</v>
      </c>
      <c r="Z153" s="284" t="n">
        <f aca="false">IFERROR(M153*$E153, "")</f>
        <v>0</v>
      </c>
      <c r="AA153" s="284" t="n">
        <f aca="false">IFERROR(N153*$E153, "")</f>
        <v>0</v>
      </c>
      <c r="AB153" s="284" t="n">
        <f aca="false">IFERROR(O153*$E153, "")</f>
        <v>0</v>
      </c>
      <c r="AC153" s="284" t="n">
        <f aca="false">IFERROR(P153*$E153, "")</f>
        <v>0</v>
      </c>
      <c r="AD153" s="284" t="n">
        <f aca="false">IFERROR(Q153*$E153, "")</f>
        <v>0</v>
      </c>
      <c r="AE153" s="284" t="n">
        <f aca="false">IFERROR(R153*$E153, "")</f>
        <v>0</v>
      </c>
      <c r="AF153" s="284" t="n">
        <f aca="false">IFERROR(S153*$E153, "")</f>
        <v>0</v>
      </c>
      <c r="AG153" s="284" t="n">
        <f aca="false">IFERROR(T153*$E153, "")</f>
        <v>0</v>
      </c>
      <c r="AH153" s="286" t="n">
        <f aca="false">IFERROR(SUMIF($V$4:$AG$4, "RDEC", V153:AG153), "")</f>
        <v>0</v>
      </c>
      <c r="AI153" s="286" t="n">
        <f aca="false">IFERROR(SUMIF($V$4:$AG$4, "SME", V153:AG153), "")</f>
        <v>0</v>
      </c>
      <c r="AJ153" s="286" t="n">
        <f aca="false">IFERROR(SUMIF($V$4:$AG$4, "De Minimis", V153:AG153), "")</f>
        <v>0</v>
      </c>
      <c r="AK153" s="287"/>
      <c r="AL153" s="288" t="str">
        <f aca="false">IF((SUM(I153:T153)&gt;1),"ERROR","")</f>
        <v/>
      </c>
    </row>
    <row r="154" customFormat="false" ht="15" hidden="false" customHeight="true" outlineLevel="0" collapsed="false">
      <c r="E154" s="200"/>
      <c r="H154" s="350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3"/>
      <c r="V154" s="284" t="n">
        <f aca="false">IFERROR(I154*$E154, "")</f>
        <v>0</v>
      </c>
      <c r="W154" s="284" t="n">
        <f aca="false">IFERROR(J154*$E154, "")</f>
        <v>0</v>
      </c>
      <c r="X154" s="284" t="n">
        <f aca="false">IFERROR(K154*$E154, "")</f>
        <v>0</v>
      </c>
      <c r="Y154" s="284" t="n">
        <f aca="false">IFERROR(L154*$E154, "")</f>
        <v>0</v>
      </c>
      <c r="Z154" s="284" t="n">
        <f aca="false">IFERROR(M154*$E154, "")</f>
        <v>0</v>
      </c>
      <c r="AA154" s="284" t="n">
        <f aca="false">IFERROR(N154*$E154, "")</f>
        <v>0</v>
      </c>
      <c r="AB154" s="284" t="n">
        <f aca="false">IFERROR(O154*$E154, "")</f>
        <v>0</v>
      </c>
      <c r="AC154" s="284" t="n">
        <f aca="false">IFERROR(P154*$E154, "")</f>
        <v>0</v>
      </c>
      <c r="AD154" s="284" t="n">
        <f aca="false">IFERROR(Q154*$E154, "")</f>
        <v>0</v>
      </c>
      <c r="AE154" s="284" t="n">
        <f aca="false">IFERROR(R154*$E154, "")</f>
        <v>0</v>
      </c>
      <c r="AF154" s="284" t="n">
        <f aca="false">IFERROR(S154*$E154, "")</f>
        <v>0</v>
      </c>
      <c r="AG154" s="284" t="n">
        <f aca="false">IFERROR(T154*$E154, "")</f>
        <v>0</v>
      </c>
      <c r="AH154" s="286" t="n">
        <f aca="false">IFERROR(SUMIF($V$4:$AG$4, "RDEC", V154:AG154), "")</f>
        <v>0</v>
      </c>
      <c r="AI154" s="286" t="n">
        <f aca="false">IFERROR(SUMIF($V$4:$AG$4, "SME", V154:AG154), "")</f>
        <v>0</v>
      </c>
      <c r="AJ154" s="286" t="n">
        <f aca="false">IFERROR(SUMIF($V$4:$AG$4, "De Minimis", V154:AG154), "")</f>
        <v>0</v>
      </c>
      <c r="AK154" s="303"/>
      <c r="AL154" s="288" t="str">
        <f aca="false">IF((SUM(I154:T154)&gt;1),"ERROR","")</f>
        <v/>
      </c>
    </row>
    <row r="155" customFormat="false" ht="15" hidden="false" customHeight="true" outlineLevel="0" collapsed="false">
      <c r="E155" s="200"/>
      <c r="H155" s="350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3"/>
      <c r="V155" s="284" t="n">
        <f aca="false">IFERROR(I155*$E155, "")</f>
        <v>0</v>
      </c>
      <c r="W155" s="284" t="n">
        <f aca="false">IFERROR(J155*$E155, "")</f>
        <v>0</v>
      </c>
      <c r="X155" s="284" t="n">
        <f aca="false">IFERROR(K155*$E155, "")</f>
        <v>0</v>
      </c>
      <c r="Y155" s="284" t="n">
        <f aca="false">IFERROR(L155*$E155, "")</f>
        <v>0</v>
      </c>
      <c r="Z155" s="284" t="n">
        <f aca="false">IFERROR(M155*$E155, "")</f>
        <v>0</v>
      </c>
      <c r="AA155" s="284" t="n">
        <f aca="false">IFERROR(N155*$E155, "")</f>
        <v>0</v>
      </c>
      <c r="AB155" s="284" t="n">
        <f aca="false">IFERROR(O155*$E155, "")</f>
        <v>0</v>
      </c>
      <c r="AC155" s="284" t="n">
        <f aca="false">IFERROR(P155*$E155, "")</f>
        <v>0</v>
      </c>
      <c r="AD155" s="284" t="n">
        <f aca="false">IFERROR(Q155*$E155, "")</f>
        <v>0</v>
      </c>
      <c r="AE155" s="284" t="n">
        <f aca="false">IFERROR(R155*$E155, "")</f>
        <v>0</v>
      </c>
      <c r="AF155" s="284" t="n">
        <f aca="false">IFERROR(S155*$E155, "")</f>
        <v>0</v>
      </c>
      <c r="AG155" s="284" t="n">
        <f aca="false">IFERROR(T155*$E155, "")</f>
        <v>0</v>
      </c>
      <c r="AH155" s="286" t="n">
        <f aca="false">IFERROR(SUMIF($V$4:$AG$4, "RDEC", V155:AG155), "")</f>
        <v>0</v>
      </c>
      <c r="AI155" s="286" t="n">
        <f aca="false">IFERROR(SUMIF($V$4:$AG$4, "SME", V155:AG155), "")</f>
        <v>0</v>
      </c>
      <c r="AJ155" s="286" t="n">
        <f aca="false">IFERROR(SUMIF($V$4:$AG$4, "De Minimis", V155:AG155), "")</f>
        <v>0</v>
      </c>
      <c r="AL155" s="288" t="str">
        <f aca="false">IF((SUM(I155:T155)&gt;1),"ERROR","")</f>
        <v/>
      </c>
    </row>
    <row r="156" customFormat="false" ht="15" hidden="false" customHeight="true" outlineLevel="0" collapsed="false">
      <c r="E156" s="200"/>
      <c r="H156" s="350"/>
      <c r="I156" s="282"/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3"/>
      <c r="V156" s="284" t="n">
        <f aca="false">IFERROR(I156*$E156, "")</f>
        <v>0</v>
      </c>
      <c r="W156" s="284" t="n">
        <f aca="false">IFERROR(J156*$E156, "")</f>
        <v>0</v>
      </c>
      <c r="X156" s="284" t="n">
        <f aca="false">IFERROR(K156*$E156, "")</f>
        <v>0</v>
      </c>
      <c r="Y156" s="284" t="n">
        <f aca="false">IFERROR(L156*$E156, "")</f>
        <v>0</v>
      </c>
      <c r="Z156" s="284" t="n">
        <f aca="false">IFERROR(M156*$E156, "")</f>
        <v>0</v>
      </c>
      <c r="AA156" s="284" t="n">
        <f aca="false">IFERROR(N156*$E156, "")</f>
        <v>0</v>
      </c>
      <c r="AB156" s="284" t="n">
        <f aca="false">IFERROR(O156*$E156, "")</f>
        <v>0</v>
      </c>
      <c r="AC156" s="284" t="n">
        <f aca="false">IFERROR(P156*$E156, "")</f>
        <v>0</v>
      </c>
      <c r="AD156" s="284" t="n">
        <f aca="false">IFERROR(Q156*$E156, "")</f>
        <v>0</v>
      </c>
      <c r="AE156" s="284" t="n">
        <f aca="false">IFERROR(R156*$E156, "")</f>
        <v>0</v>
      </c>
      <c r="AF156" s="284" t="n">
        <f aca="false">IFERROR(S156*$E156, "")</f>
        <v>0</v>
      </c>
      <c r="AG156" s="284" t="n">
        <f aca="false">IFERROR(T156*$E156, "")</f>
        <v>0</v>
      </c>
      <c r="AH156" s="286" t="n">
        <f aca="false">IFERROR(SUMIF($V$4:$AG$4, "RDEC", V156:AG156), "")</f>
        <v>0</v>
      </c>
      <c r="AI156" s="286" t="n">
        <f aca="false">IFERROR(SUMIF($V$4:$AG$4, "SME", V156:AG156), "")</f>
        <v>0</v>
      </c>
      <c r="AJ156" s="286" t="n">
        <f aca="false">IFERROR(SUMIF($V$4:$AG$4, "De Minimis", V156:AG156), "")</f>
        <v>0</v>
      </c>
      <c r="AK156" s="268"/>
      <c r="AL156" s="288" t="str">
        <f aca="false">IF((SUM(I156:T156)&gt;1),"ERROR","")</f>
        <v/>
      </c>
    </row>
    <row r="157" customFormat="false" ht="15" hidden="false" customHeight="true" outlineLevel="0" collapsed="false">
      <c r="E157" s="200"/>
      <c r="H157" s="350"/>
      <c r="I157" s="282"/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3"/>
      <c r="V157" s="284" t="n">
        <f aca="false">IFERROR(I157*$E157, "")</f>
        <v>0</v>
      </c>
      <c r="W157" s="284" t="n">
        <f aca="false">IFERROR(J157*$E157, "")</f>
        <v>0</v>
      </c>
      <c r="X157" s="284" t="n">
        <f aca="false">IFERROR(K157*$E157, "")</f>
        <v>0</v>
      </c>
      <c r="Y157" s="284" t="n">
        <f aca="false">IFERROR(L157*$E157, "")</f>
        <v>0</v>
      </c>
      <c r="Z157" s="284" t="n">
        <f aca="false">IFERROR(M157*$E157, "")</f>
        <v>0</v>
      </c>
      <c r="AA157" s="284" t="n">
        <f aca="false">IFERROR(N157*$E157, "")</f>
        <v>0</v>
      </c>
      <c r="AB157" s="284" t="n">
        <f aca="false">IFERROR(O157*$E157, "")</f>
        <v>0</v>
      </c>
      <c r="AC157" s="284" t="n">
        <f aca="false">IFERROR(P157*$E157, "")</f>
        <v>0</v>
      </c>
      <c r="AD157" s="284" t="n">
        <f aca="false">IFERROR(Q157*$E157, "")</f>
        <v>0</v>
      </c>
      <c r="AE157" s="284" t="n">
        <f aca="false">IFERROR(R157*$E157, "")</f>
        <v>0</v>
      </c>
      <c r="AF157" s="284" t="n">
        <f aca="false">IFERROR(S157*$E157, "")</f>
        <v>0</v>
      </c>
      <c r="AG157" s="284" t="n">
        <f aca="false">IFERROR(T157*$E157, "")</f>
        <v>0</v>
      </c>
      <c r="AH157" s="286" t="n">
        <f aca="false">IFERROR(SUMIF($V$4:$AG$4, "RDEC", V157:AG157), "")</f>
        <v>0</v>
      </c>
      <c r="AI157" s="286" t="n">
        <f aca="false">IFERROR(SUMIF($V$4:$AG$4, "SME", V157:AG157), "")</f>
        <v>0</v>
      </c>
      <c r="AJ157" s="286" t="n">
        <f aca="false">IFERROR(SUMIF($V$4:$AG$4, "De Minimis", V157:AG157), "")</f>
        <v>0</v>
      </c>
      <c r="AK157" s="287"/>
      <c r="AL157" s="288" t="str">
        <f aca="false">IF((SUM(I157:T157)&gt;1),"ERROR","")</f>
        <v/>
      </c>
    </row>
    <row r="158" customFormat="false" ht="15" hidden="false" customHeight="true" outlineLevel="0" collapsed="false">
      <c r="E158" s="200"/>
      <c r="H158" s="350"/>
      <c r="I158" s="282"/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3"/>
      <c r="V158" s="284" t="n">
        <f aca="false">IFERROR(I158*$E158, "")</f>
        <v>0</v>
      </c>
      <c r="W158" s="284" t="n">
        <f aca="false">IFERROR(J158*$E158, "")</f>
        <v>0</v>
      </c>
      <c r="X158" s="284" t="n">
        <f aca="false">IFERROR(K158*$E158, "")</f>
        <v>0</v>
      </c>
      <c r="Y158" s="284" t="n">
        <f aca="false">IFERROR(L158*$E158, "")</f>
        <v>0</v>
      </c>
      <c r="Z158" s="284" t="n">
        <f aca="false">IFERROR(M158*$E158, "")</f>
        <v>0</v>
      </c>
      <c r="AA158" s="284" t="n">
        <f aca="false">IFERROR(N158*$E158, "")</f>
        <v>0</v>
      </c>
      <c r="AB158" s="284" t="n">
        <f aca="false">IFERROR(O158*$E158, "")</f>
        <v>0</v>
      </c>
      <c r="AC158" s="284" t="n">
        <f aca="false">IFERROR(P158*$E158, "")</f>
        <v>0</v>
      </c>
      <c r="AD158" s="284" t="n">
        <f aca="false">IFERROR(Q158*$E158, "")</f>
        <v>0</v>
      </c>
      <c r="AE158" s="284" t="n">
        <f aca="false">IFERROR(R158*$E158, "")</f>
        <v>0</v>
      </c>
      <c r="AF158" s="284" t="n">
        <f aca="false">IFERROR(S158*$E158, "")</f>
        <v>0</v>
      </c>
      <c r="AG158" s="284" t="n">
        <f aca="false">IFERROR(T158*$E158, "")</f>
        <v>0</v>
      </c>
      <c r="AH158" s="286" t="n">
        <f aca="false">IFERROR(SUMIF($V$4:$AG$4, "RDEC", V158:AG158), "")</f>
        <v>0</v>
      </c>
      <c r="AI158" s="286" t="n">
        <f aca="false">IFERROR(SUMIF($V$4:$AG$4, "SME", V158:AG158), "")</f>
        <v>0</v>
      </c>
      <c r="AJ158" s="286" t="n">
        <f aca="false">IFERROR(SUMIF($V$4:$AG$4, "De Minimis", V158:AG158), "")</f>
        <v>0</v>
      </c>
      <c r="AK158" s="287"/>
      <c r="AL158" s="288" t="str">
        <f aca="false">IF((SUM(I158:T158)&gt;1),"ERROR","")</f>
        <v/>
      </c>
    </row>
    <row r="159" customFormat="false" ht="15" hidden="false" customHeight="true" outlineLevel="0" collapsed="false">
      <c r="E159" s="200"/>
      <c r="H159" s="350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3"/>
      <c r="V159" s="284" t="n">
        <f aca="false">IFERROR(I159*$E159, "")</f>
        <v>0</v>
      </c>
      <c r="W159" s="284" t="n">
        <f aca="false">IFERROR(J159*$E159, "")</f>
        <v>0</v>
      </c>
      <c r="X159" s="284" t="n">
        <f aca="false">IFERROR(K159*$E159, "")</f>
        <v>0</v>
      </c>
      <c r="Y159" s="284" t="n">
        <f aca="false">IFERROR(L159*$E159, "")</f>
        <v>0</v>
      </c>
      <c r="Z159" s="284" t="n">
        <f aca="false">IFERROR(M159*$E159, "")</f>
        <v>0</v>
      </c>
      <c r="AA159" s="284" t="n">
        <f aca="false">IFERROR(N159*$E159, "")</f>
        <v>0</v>
      </c>
      <c r="AB159" s="284" t="n">
        <f aca="false">IFERROR(O159*$E159, "")</f>
        <v>0</v>
      </c>
      <c r="AC159" s="284" t="n">
        <f aca="false">IFERROR(P159*$E159, "")</f>
        <v>0</v>
      </c>
      <c r="AD159" s="284" t="n">
        <f aca="false">IFERROR(Q159*$E159, "")</f>
        <v>0</v>
      </c>
      <c r="AE159" s="284" t="n">
        <f aca="false">IFERROR(R159*$E159, "")</f>
        <v>0</v>
      </c>
      <c r="AF159" s="284" t="n">
        <f aca="false">IFERROR(S159*$E159, "")</f>
        <v>0</v>
      </c>
      <c r="AG159" s="284" t="n">
        <f aca="false">IFERROR(T159*$E159, "")</f>
        <v>0</v>
      </c>
      <c r="AH159" s="286" t="n">
        <f aca="false">IFERROR(SUMIF($V$4:$AG$4, "RDEC", V159:AG159), "")</f>
        <v>0</v>
      </c>
      <c r="AI159" s="286" t="n">
        <f aca="false">IFERROR(SUMIF($V$4:$AG$4, "SME", V159:AG159), "")</f>
        <v>0</v>
      </c>
      <c r="AJ159" s="286" t="n">
        <f aca="false">IFERROR(SUMIF($V$4:$AG$4, "De Minimis", V159:AG159), "")</f>
        <v>0</v>
      </c>
      <c r="AK159" s="287"/>
      <c r="AL159" s="288" t="str">
        <f aca="false">IF((SUM(I159:T159)&gt;1),"ERROR","")</f>
        <v/>
      </c>
    </row>
    <row r="160" customFormat="false" ht="15" hidden="false" customHeight="true" outlineLevel="0" collapsed="false">
      <c r="E160" s="200"/>
      <c r="H160" s="350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3"/>
      <c r="V160" s="284" t="n">
        <f aca="false">IFERROR(I160*$E160, "")</f>
        <v>0</v>
      </c>
      <c r="W160" s="284" t="n">
        <f aca="false">IFERROR(J160*$E160, "")</f>
        <v>0</v>
      </c>
      <c r="X160" s="284" t="n">
        <f aca="false">IFERROR(K160*$E160, "")</f>
        <v>0</v>
      </c>
      <c r="Y160" s="284" t="n">
        <f aca="false">IFERROR(L160*$E160, "")</f>
        <v>0</v>
      </c>
      <c r="Z160" s="284" t="n">
        <f aca="false">IFERROR(M160*$E160, "")</f>
        <v>0</v>
      </c>
      <c r="AA160" s="284" t="n">
        <f aca="false">IFERROR(N160*$E160, "")</f>
        <v>0</v>
      </c>
      <c r="AB160" s="284" t="n">
        <f aca="false">IFERROR(O160*$E160, "")</f>
        <v>0</v>
      </c>
      <c r="AC160" s="284" t="n">
        <f aca="false">IFERROR(P160*$E160, "")</f>
        <v>0</v>
      </c>
      <c r="AD160" s="284" t="n">
        <f aca="false">IFERROR(Q160*$E160, "")</f>
        <v>0</v>
      </c>
      <c r="AE160" s="284" t="n">
        <f aca="false">IFERROR(R160*$E160, "")</f>
        <v>0</v>
      </c>
      <c r="AF160" s="284" t="n">
        <f aca="false">IFERROR(S160*$E160, "")</f>
        <v>0</v>
      </c>
      <c r="AG160" s="284" t="n">
        <f aca="false">IFERROR(T160*$E160, "")</f>
        <v>0</v>
      </c>
      <c r="AH160" s="286" t="n">
        <f aca="false">IFERROR(SUMIF($V$4:$AG$4, "RDEC", V160:AG160), "")</f>
        <v>0</v>
      </c>
      <c r="AI160" s="286" t="n">
        <f aca="false">IFERROR(SUMIF($V$4:$AG$4, "SME", V160:AG160), "")</f>
        <v>0</v>
      </c>
      <c r="AJ160" s="286" t="n">
        <f aca="false">IFERROR(SUMIF($V$4:$AG$4, "De Minimis", V160:AG160), "")</f>
        <v>0</v>
      </c>
      <c r="AK160" s="287"/>
      <c r="AL160" s="288" t="str">
        <f aca="false">IF((SUM(I160:T160)&gt;1),"ERROR","")</f>
        <v/>
      </c>
    </row>
    <row r="161" customFormat="false" ht="15" hidden="false" customHeight="true" outlineLevel="0" collapsed="false">
      <c r="E161" s="200"/>
      <c r="H161" s="350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3"/>
      <c r="V161" s="284" t="n">
        <f aca="false">IFERROR(I161*$E161, "")</f>
        <v>0</v>
      </c>
      <c r="W161" s="284" t="n">
        <f aca="false">IFERROR(J161*$E161, "")</f>
        <v>0</v>
      </c>
      <c r="X161" s="284" t="n">
        <f aca="false">IFERROR(K161*$E161, "")</f>
        <v>0</v>
      </c>
      <c r="Y161" s="284" t="n">
        <f aca="false">IFERROR(L161*$E161, "")</f>
        <v>0</v>
      </c>
      <c r="Z161" s="284" t="n">
        <f aca="false">IFERROR(M161*$E161, "")</f>
        <v>0</v>
      </c>
      <c r="AA161" s="284" t="n">
        <f aca="false">IFERROR(N161*$E161, "")</f>
        <v>0</v>
      </c>
      <c r="AB161" s="284" t="n">
        <f aca="false">IFERROR(O161*$E161, "")</f>
        <v>0</v>
      </c>
      <c r="AC161" s="284" t="n">
        <f aca="false">IFERROR(P161*$E161, "")</f>
        <v>0</v>
      </c>
      <c r="AD161" s="284" t="n">
        <f aca="false">IFERROR(Q161*$E161, "")</f>
        <v>0</v>
      </c>
      <c r="AE161" s="284" t="n">
        <f aca="false">IFERROR(R161*$E161, "")</f>
        <v>0</v>
      </c>
      <c r="AF161" s="284" t="n">
        <f aca="false">IFERROR(S161*$E161, "")</f>
        <v>0</v>
      </c>
      <c r="AG161" s="284" t="n">
        <f aca="false">IFERROR(T161*$E161, "")</f>
        <v>0</v>
      </c>
      <c r="AH161" s="286" t="n">
        <f aca="false">IFERROR(SUMIF($V$4:$AG$4, "RDEC", V161:AG161), "")</f>
        <v>0</v>
      </c>
      <c r="AI161" s="286" t="n">
        <f aca="false">IFERROR(SUMIF($V$4:$AG$4, "SME", V161:AG161), "")</f>
        <v>0</v>
      </c>
      <c r="AJ161" s="286" t="n">
        <f aca="false">IFERROR(SUMIF($V$4:$AG$4, "De Minimis", V161:AG161), "")</f>
        <v>0</v>
      </c>
      <c r="AK161" s="287"/>
      <c r="AL161" s="288" t="str">
        <f aca="false">IF((SUM(I161:T161)&gt;1),"ERROR","")</f>
        <v/>
      </c>
    </row>
    <row r="162" customFormat="false" ht="15" hidden="false" customHeight="true" outlineLevel="0" collapsed="false">
      <c r="E162" s="200"/>
      <c r="H162" s="350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3"/>
      <c r="V162" s="284" t="n">
        <f aca="false">IFERROR(I162*$E162, "")</f>
        <v>0</v>
      </c>
      <c r="W162" s="284" t="n">
        <f aca="false">IFERROR(J162*$E162, "")</f>
        <v>0</v>
      </c>
      <c r="X162" s="284" t="n">
        <f aca="false">IFERROR(K162*$E162, "")</f>
        <v>0</v>
      </c>
      <c r="Y162" s="284" t="n">
        <f aca="false">IFERROR(L162*$E162, "")</f>
        <v>0</v>
      </c>
      <c r="Z162" s="284" t="n">
        <f aca="false">IFERROR(M162*$E162, "")</f>
        <v>0</v>
      </c>
      <c r="AA162" s="284" t="n">
        <f aca="false">IFERROR(N162*$E162, "")</f>
        <v>0</v>
      </c>
      <c r="AB162" s="284" t="n">
        <f aca="false">IFERROR(O162*$E162, "")</f>
        <v>0</v>
      </c>
      <c r="AC162" s="284" t="n">
        <f aca="false">IFERROR(P162*$E162, "")</f>
        <v>0</v>
      </c>
      <c r="AD162" s="284" t="n">
        <f aca="false">IFERROR(Q162*$E162, "")</f>
        <v>0</v>
      </c>
      <c r="AE162" s="284" t="n">
        <f aca="false">IFERROR(R162*$E162, "")</f>
        <v>0</v>
      </c>
      <c r="AF162" s="284" t="n">
        <f aca="false">IFERROR(S162*$E162, "")</f>
        <v>0</v>
      </c>
      <c r="AG162" s="284" t="n">
        <f aca="false">IFERROR(T162*$E162, "")</f>
        <v>0</v>
      </c>
      <c r="AH162" s="286" t="n">
        <f aca="false">IFERROR(SUMIF($V$4:$AG$4, "RDEC", V162:AG162), "")</f>
        <v>0</v>
      </c>
      <c r="AI162" s="286" t="n">
        <f aca="false">IFERROR(SUMIF($V$4:$AG$4, "SME", V162:AG162), "")</f>
        <v>0</v>
      </c>
      <c r="AJ162" s="286" t="n">
        <f aca="false">IFERROR(SUMIF($V$4:$AG$4, "De Minimis", V162:AG162), "")</f>
        <v>0</v>
      </c>
      <c r="AK162" s="287"/>
      <c r="AL162" s="288" t="str">
        <f aca="false">IF((SUM(I162:T162)&gt;1),"ERROR","")</f>
        <v/>
      </c>
    </row>
    <row r="163" customFormat="false" ht="15" hidden="false" customHeight="true" outlineLevel="0" collapsed="false">
      <c r="E163" s="200"/>
      <c r="H163" s="350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3"/>
      <c r="V163" s="284" t="n">
        <f aca="false">IFERROR(I163*$E163, "")</f>
        <v>0</v>
      </c>
      <c r="W163" s="284" t="n">
        <f aca="false">IFERROR(J163*$E163, "")</f>
        <v>0</v>
      </c>
      <c r="X163" s="284" t="n">
        <f aca="false">IFERROR(K163*$E163, "")</f>
        <v>0</v>
      </c>
      <c r="Y163" s="284" t="n">
        <f aca="false">IFERROR(L163*$E163, "")</f>
        <v>0</v>
      </c>
      <c r="Z163" s="284" t="n">
        <f aca="false">IFERROR(M163*$E163, "")</f>
        <v>0</v>
      </c>
      <c r="AA163" s="284" t="n">
        <f aca="false">IFERROR(N163*$E163, "")</f>
        <v>0</v>
      </c>
      <c r="AB163" s="284" t="n">
        <f aca="false">IFERROR(O163*$E163, "")</f>
        <v>0</v>
      </c>
      <c r="AC163" s="284" t="n">
        <f aca="false">IFERROR(P163*$E163, "")</f>
        <v>0</v>
      </c>
      <c r="AD163" s="284" t="n">
        <f aca="false">IFERROR(Q163*$E163, "")</f>
        <v>0</v>
      </c>
      <c r="AE163" s="284" t="n">
        <f aca="false">IFERROR(R163*$E163, "")</f>
        <v>0</v>
      </c>
      <c r="AF163" s="284" t="n">
        <f aca="false">IFERROR(S163*$E163, "")</f>
        <v>0</v>
      </c>
      <c r="AG163" s="284" t="n">
        <f aca="false">IFERROR(T163*$E163, "")</f>
        <v>0</v>
      </c>
      <c r="AH163" s="286" t="n">
        <f aca="false">IFERROR(SUMIF($V$4:$AG$4, "RDEC", V163:AG163), "")</f>
        <v>0</v>
      </c>
      <c r="AI163" s="286" t="n">
        <f aca="false">IFERROR(SUMIF($V$4:$AG$4, "SME", V163:AG163), "")</f>
        <v>0</v>
      </c>
      <c r="AJ163" s="286" t="n">
        <f aca="false">IFERROR(SUMIF($V$4:$AG$4, "De Minimis", V163:AG163), "")</f>
        <v>0</v>
      </c>
      <c r="AK163" s="287"/>
      <c r="AL163" s="288" t="str">
        <f aca="false">IF((SUM(I163:T163)&gt;1),"ERROR","")</f>
        <v/>
      </c>
    </row>
    <row r="164" customFormat="false" ht="15" hidden="false" customHeight="true" outlineLevel="0" collapsed="false">
      <c r="E164" s="200"/>
      <c r="H164" s="350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3"/>
      <c r="V164" s="284" t="n">
        <f aca="false">IFERROR(I164*$E164, "")</f>
        <v>0</v>
      </c>
      <c r="W164" s="284" t="n">
        <f aca="false">IFERROR(J164*$E164, "")</f>
        <v>0</v>
      </c>
      <c r="X164" s="284" t="n">
        <f aca="false">IFERROR(K164*$E164, "")</f>
        <v>0</v>
      </c>
      <c r="Y164" s="284" t="n">
        <f aca="false">IFERROR(L164*$E164, "")</f>
        <v>0</v>
      </c>
      <c r="Z164" s="284" t="n">
        <f aca="false">IFERROR(M164*$E164, "")</f>
        <v>0</v>
      </c>
      <c r="AA164" s="284" t="n">
        <f aca="false">IFERROR(N164*$E164, "")</f>
        <v>0</v>
      </c>
      <c r="AB164" s="284" t="n">
        <f aca="false">IFERROR(O164*$E164, "")</f>
        <v>0</v>
      </c>
      <c r="AC164" s="284" t="n">
        <f aca="false">IFERROR(P164*$E164, "")</f>
        <v>0</v>
      </c>
      <c r="AD164" s="284" t="n">
        <f aca="false">IFERROR(Q164*$E164, "")</f>
        <v>0</v>
      </c>
      <c r="AE164" s="284" t="n">
        <f aca="false">IFERROR(R164*$E164, "")</f>
        <v>0</v>
      </c>
      <c r="AF164" s="284" t="n">
        <f aca="false">IFERROR(S164*$E164, "")</f>
        <v>0</v>
      </c>
      <c r="AG164" s="284" t="n">
        <f aca="false">IFERROR(T164*$E164, "")</f>
        <v>0</v>
      </c>
      <c r="AH164" s="286" t="n">
        <f aca="false">IFERROR(SUMIF($V$4:$AG$4, "RDEC", V164:AG164), "")</f>
        <v>0</v>
      </c>
      <c r="AI164" s="286" t="n">
        <f aca="false">IFERROR(SUMIF($V$4:$AG$4, "SME", V164:AG164), "")</f>
        <v>0</v>
      </c>
      <c r="AJ164" s="286" t="n">
        <f aca="false">IFERROR(SUMIF($V$4:$AG$4, "De Minimis", V164:AG164), "")</f>
        <v>0</v>
      </c>
      <c r="AK164" s="287"/>
      <c r="AL164" s="288" t="str">
        <f aca="false">IF((SUM(I164:T164)&gt;1),"ERROR","")</f>
        <v/>
      </c>
    </row>
    <row r="165" customFormat="false" ht="15" hidden="false" customHeight="true" outlineLevel="0" collapsed="false">
      <c r="E165" s="200"/>
      <c r="H165" s="350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3"/>
      <c r="V165" s="284" t="n">
        <f aca="false">IFERROR(I165*$E165, "")</f>
        <v>0</v>
      </c>
      <c r="W165" s="284" t="n">
        <f aca="false">IFERROR(J165*$E165, "")</f>
        <v>0</v>
      </c>
      <c r="X165" s="284" t="n">
        <f aca="false">IFERROR(K165*$E165, "")</f>
        <v>0</v>
      </c>
      <c r="Y165" s="284" t="n">
        <f aca="false">IFERROR(L165*$E165, "")</f>
        <v>0</v>
      </c>
      <c r="Z165" s="284" t="n">
        <f aca="false">IFERROR(M165*$E165, "")</f>
        <v>0</v>
      </c>
      <c r="AA165" s="284" t="n">
        <f aca="false">IFERROR(N165*$E165, "")</f>
        <v>0</v>
      </c>
      <c r="AB165" s="284" t="n">
        <f aca="false">IFERROR(O165*$E165, "")</f>
        <v>0</v>
      </c>
      <c r="AC165" s="284" t="n">
        <f aca="false">IFERROR(P165*$E165, "")</f>
        <v>0</v>
      </c>
      <c r="AD165" s="284" t="n">
        <f aca="false">IFERROR(Q165*$E165, "")</f>
        <v>0</v>
      </c>
      <c r="AE165" s="284" t="n">
        <f aca="false">IFERROR(R165*$E165, "")</f>
        <v>0</v>
      </c>
      <c r="AF165" s="284" t="n">
        <f aca="false">IFERROR(S165*$E165, "")</f>
        <v>0</v>
      </c>
      <c r="AG165" s="284" t="n">
        <f aca="false">IFERROR(T165*$E165, "")</f>
        <v>0</v>
      </c>
      <c r="AH165" s="286" t="n">
        <f aca="false">IFERROR(SUMIF($V$4:$AG$4, "RDEC", V165:AG165), "")</f>
        <v>0</v>
      </c>
      <c r="AI165" s="286" t="n">
        <f aca="false">IFERROR(SUMIF($V$4:$AG$4, "SME", V165:AG165), "")</f>
        <v>0</v>
      </c>
      <c r="AJ165" s="286" t="n">
        <f aca="false">IFERROR(SUMIF($V$4:$AG$4, "De Minimis", V165:AG165), "")</f>
        <v>0</v>
      </c>
      <c r="AK165" s="287"/>
      <c r="AL165" s="288" t="str">
        <f aca="false">IF((SUM(I165:T165)&gt;1),"ERROR","")</f>
        <v/>
      </c>
    </row>
    <row r="166" customFormat="false" ht="15" hidden="false" customHeight="true" outlineLevel="0" collapsed="false">
      <c r="E166" s="200"/>
      <c r="H166" s="350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3"/>
      <c r="V166" s="284" t="n">
        <f aca="false">IFERROR(I166*$E166, "")</f>
        <v>0</v>
      </c>
      <c r="W166" s="284" t="n">
        <f aca="false">IFERROR(J166*$E166, "")</f>
        <v>0</v>
      </c>
      <c r="X166" s="284" t="n">
        <f aca="false">IFERROR(K166*$E166, "")</f>
        <v>0</v>
      </c>
      <c r="Y166" s="284" t="n">
        <f aca="false">IFERROR(L166*$E166, "")</f>
        <v>0</v>
      </c>
      <c r="Z166" s="284" t="n">
        <f aca="false">IFERROR(M166*$E166, "")</f>
        <v>0</v>
      </c>
      <c r="AA166" s="284" t="n">
        <f aca="false">IFERROR(N166*$E166, "")</f>
        <v>0</v>
      </c>
      <c r="AB166" s="284" t="n">
        <f aca="false">IFERROR(O166*$E166, "")</f>
        <v>0</v>
      </c>
      <c r="AC166" s="284" t="n">
        <f aca="false">IFERROR(P166*$E166, "")</f>
        <v>0</v>
      </c>
      <c r="AD166" s="284" t="n">
        <f aca="false">IFERROR(Q166*$E166, "")</f>
        <v>0</v>
      </c>
      <c r="AE166" s="284" t="n">
        <f aca="false">IFERROR(R166*$E166, "")</f>
        <v>0</v>
      </c>
      <c r="AF166" s="284" t="n">
        <f aca="false">IFERROR(S166*$E166, "")</f>
        <v>0</v>
      </c>
      <c r="AG166" s="284" t="n">
        <f aca="false">IFERROR(T166*$E166, "")</f>
        <v>0</v>
      </c>
      <c r="AH166" s="286" t="n">
        <f aca="false">IFERROR(SUMIF($V$4:$AG$4, "RDEC", V166:AG166), "")</f>
        <v>0</v>
      </c>
      <c r="AI166" s="286" t="n">
        <f aca="false">IFERROR(SUMIF($V$4:$AG$4, "SME", V166:AG166), "")</f>
        <v>0</v>
      </c>
      <c r="AJ166" s="286" t="n">
        <f aca="false">IFERROR(SUMIF($V$4:$AG$4, "De Minimis", V166:AG166), "")</f>
        <v>0</v>
      </c>
      <c r="AK166" s="287"/>
      <c r="AL166" s="288" t="str">
        <f aca="false">IF((SUM(I166:T166)&gt;1),"ERROR","")</f>
        <v/>
      </c>
    </row>
    <row r="167" customFormat="false" ht="15" hidden="false" customHeight="true" outlineLevel="0" collapsed="false">
      <c r="E167" s="200"/>
      <c r="H167" s="350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3"/>
      <c r="V167" s="284" t="n">
        <f aca="false">IFERROR(I167*$E167, "")</f>
        <v>0</v>
      </c>
      <c r="W167" s="284" t="n">
        <f aca="false">IFERROR(J167*$E167, "")</f>
        <v>0</v>
      </c>
      <c r="X167" s="284" t="n">
        <f aca="false">IFERROR(K167*$E167, "")</f>
        <v>0</v>
      </c>
      <c r="Y167" s="284" t="n">
        <f aca="false">IFERROR(L167*$E167, "")</f>
        <v>0</v>
      </c>
      <c r="Z167" s="284" t="n">
        <f aca="false">IFERROR(M167*$E167, "")</f>
        <v>0</v>
      </c>
      <c r="AA167" s="284" t="n">
        <f aca="false">IFERROR(N167*$E167, "")</f>
        <v>0</v>
      </c>
      <c r="AB167" s="284" t="n">
        <f aca="false">IFERROR(O167*$E167, "")</f>
        <v>0</v>
      </c>
      <c r="AC167" s="284" t="n">
        <f aca="false">IFERROR(P167*$E167, "")</f>
        <v>0</v>
      </c>
      <c r="AD167" s="284" t="n">
        <f aca="false">IFERROR(Q167*$E167, "")</f>
        <v>0</v>
      </c>
      <c r="AE167" s="284" t="n">
        <f aca="false">IFERROR(R167*$E167, "")</f>
        <v>0</v>
      </c>
      <c r="AF167" s="284" t="n">
        <f aca="false">IFERROR(S167*$E167, "")</f>
        <v>0</v>
      </c>
      <c r="AG167" s="284" t="n">
        <f aca="false">IFERROR(T167*$E167, "")</f>
        <v>0</v>
      </c>
      <c r="AH167" s="286" t="n">
        <f aca="false">IFERROR(SUMIF($V$4:$AG$4, "RDEC", V167:AG167), "")</f>
        <v>0</v>
      </c>
      <c r="AI167" s="286" t="n">
        <f aca="false">IFERROR(SUMIF($V$4:$AG$4, "SME", V167:AG167), "")</f>
        <v>0</v>
      </c>
      <c r="AJ167" s="286" t="n">
        <f aca="false">IFERROR(SUMIF($V$4:$AG$4, "De Minimis", V167:AG167), "")</f>
        <v>0</v>
      </c>
      <c r="AK167" s="287"/>
      <c r="AL167" s="288" t="str">
        <f aca="false">IF((SUM(I167:T167)&gt;1),"ERROR","")</f>
        <v/>
      </c>
    </row>
    <row r="168" customFormat="false" ht="15" hidden="false" customHeight="true" outlineLevel="0" collapsed="false">
      <c r="E168" s="200"/>
      <c r="H168" s="350"/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3"/>
      <c r="V168" s="284" t="n">
        <f aca="false">IFERROR(I168*$E168, "")</f>
        <v>0</v>
      </c>
      <c r="W168" s="284" t="n">
        <f aca="false">IFERROR(J168*$E168, "")</f>
        <v>0</v>
      </c>
      <c r="X168" s="284" t="n">
        <f aca="false">IFERROR(K168*$E168, "")</f>
        <v>0</v>
      </c>
      <c r="Y168" s="284" t="n">
        <f aca="false">IFERROR(L168*$E168, "")</f>
        <v>0</v>
      </c>
      <c r="Z168" s="284" t="n">
        <f aca="false">IFERROR(M168*$E168, "")</f>
        <v>0</v>
      </c>
      <c r="AA168" s="284" t="n">
        <f aca="false">IFERROR(N168*$E168, "")</f>
        <v>0</v>
      </c>
      <c r="AB168" s="284" t="n">
        <f aca="false">IFERROR(O168*$E168, "")</f>
        <v>0</v>
      </c>
      <c r="AC168" s="284" t="n">
        <f aca="false">IFERROR(P168*$E168, "")</f>
        <v>0</v>
      </c>
      <c r="AD168" s="284" t="n">
        <f aca="false">IFERROR(Q168*$E168, "")</f>
        <v>0</v>
      </c>
      <c r="AE168" s="284" t="n">
        <f aca="false">IFERROR(R168*$E168, "")</f>
        <v>0</v>
      </c>
      <c r="AF168" s="284" t="n">
        <f aca="false">IFERROR(S168*$E168, "")</f>
        <v>0</v>
      </c>
      <c r="AG168" s="284" t="n">
        <f aca="false">IFERROR(T168*$E168, "")</f>
        <v>0</v>
      </c>
      <c r="AH168" s="286" t="n">
        <f aca="false">IFERROR(SUMIF($V$4:$AG$4, "RDEC", V168:AG168), "")</f>
        <v>0</v>
      </c>
      <c r="AI168" s="286" t="n">
        <f aca="false">IFERROR(SUMIF($V$4:$AG$4, "SME", V168:AG168), "")</f>
        <v>0</v>
      </c>
      <c r="AJ168" s="286" t="n">
        <f aca="false">IFERROR(SUMIF($V$4:$AG$4, "De Minimis", V168:AG168), "")</f>
        <v>0</v>
      </c>
      <c r="AK168" s="287"/>
      <c r="AL168" s="288" t="str">
        <f aca="false">IF((SUM(I168:T168)&gt;1),"ERROR","")</f>
        <v/>
      </c>
    </row>
    <row r="169" customFormat="false" ht="15" hidden="false" customHeight="true" outlineLevel="0" collapsed="false">
      <c r="E169" s="200"/>
      <c r="H169" s="350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3"/>
      <c r="V169" s="284" t="n">
        <f aca="false">IFERROR(I169*$E169, "")</f>
        <v>0</v>
      </c>
      <c r="W169" s="284" t="n">
        <f aca="false">IFERROR(J169*$E169, "")</f>
        <v>0</v>
      </c>
      <c r="X169" s="284" t="n">
        <f aca="false">IFERROR(K169*$E169, "")</f>
        <v>0</v>
      </c>
      <c r="Y169" s="284" t="n">
        <f aca="false">IFERROR(L169*$E169, "")</f>
        <v>0</v>
      </c>
      <c r="Z169" s="284" t="n">
        <f aca="false">IFERROR(M169*$E169, "")</f>
        <v>0</v>
      </c>
      <c r="AA169" s="284" t="n">
        <f aca="false">IFERROR(N169*$E169, "")</f>
        <v>0</v>
      </c>
      <c r="AB169" s="284" t="n">
        <f aca="false">IFERROR(O169*$E169, "")</f>
        <v>0</v>
      </c>
      <c r="AC169" s="284" t="n">
        <f aca="false">IFERROR(P169*$E169, "")</f>
        <v>0</v>
      </c>
      <c r="AD169" s="284" t="n">
        <f aca="false">IFERROR(Q169*$E169, "")</f>
        <v>0</v>
      </c>
      <c r="AE169" s="284" t="n">
        <f aca="false">IFERROR(R169*$E169, "")</f>
        <v>0</v>
      </c>
      <c r="AF169" s="284" t="n">
        <f aca="false">IFERROR(S169*$E169, "")</f>
        <v>0</v>
      </c>
      <c r="AG169" s="284" t="n">
        <f aca="false">IFERROR(T169*$E169, "")</f>
        <v>0</v>
      </c>
      <c r="AH169" s="286" t="n">
        <f aca="false">IFERROR(SUMIF($V$4:$AG$4, "RDEC", V169:AG169), "")</f>
        <v>0</v>
      </c>
      <c r="AI169" s="286" t="n">
        <f aca="false">IFERROR(SUMIF($V$4:$AG$4, "SME", V169:AG169), "")</f>
        <v>0</v>
      </c>
      <c r="AJ169" s="286" t="n">
        <f aca="false">IFERROR(SUMIF($V$4:$AG$4, "De Minimis", V169:AG169), "")</f>
        <v>0</v>
      </c>
      <c r="AK169" s="303"/>
      <c r="AL169" s="288" t="str">
        <f aca="false">IF((SUM(I169:T169)&gt;1),"ERROR","")</f>
        <v/>
      </c>
    </row>
    <row r="170" customFormat="false" ht="15" hidden="false" customHeight="true" outlineLevel="0" collapsed="false">
      <c r="E170" s="200"/>
      <c r="H170" s="350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3"/>
      <c r="V170" s="284" t="n">
        <f aca="false">IFERROR(I170*$E170, "")</f>
        <v>0</v>
      </c>
      <c r="W170" s="284" t="n">
        <f aca="false">IFERROR(J170*$E170, "")</f>
        <v>0</v>
      </c>
      <c r="X170" s="284" t="n">
        <f aca="false">IFERROR(K170*$E170, "")</f>
        <v>0</v>
      </c>
      <c r="Y170" s="284" t="n">
        <f aca="false">IFERROR(L170*$E170, "")</f>
        <v>0</v>
      </c>
      <c r="Z170" s="284" t="n">
        <f aca="false">IFERROR(M170*$E170, "")</f>
        <v>0</v>
      </c>
      <c r="AA170" s="284" t="n">
        <f aca="false">IFERROR(N170*$E170, "")</f>
        <v>0</v>
      </c>
      <c r="AB170" s="284" t="n">
        <f aca="false">IFERROR(O170*$E170, "")</f>
        <v>0</v>
      </c>
      <c r="AC170" s="284" t="n">
        <f aca="false">IFERROR(P170*$E170, "")</f>
        <v>0</v>
      </c>
      <c r="AD170" s="284" t="n">
        <f aca="false">IFERROR(Q170*$E170, "")</f>
        <v>0</v>
      </c>
      <c r="AE170" s="284" t="n">
        <f aca="false">IFERROR(R170*$E170, "")</f>
        <v>0</v>
      </c>
      <c r="AF170" s="284" t="n">
        <f aca="false">IFERROR(S170*$E170, "")</f>
        <v>0</v>
      </c>
      <c r="AG170" s="284" t="n">
        <f aca="false">IFERROR(T170*$E170, "")</f>
        <v>0</v>
      </c>
      <c r="AH170" s="286" t="n">
        <f aca="false">IFERROR(SUMIF($V$4:$AG$4, "RDEC", V170:AG170), "")</f>
        <v>0</v>
      </c>
      <c r="AI170" s="286" t="n">
        <f aca="false">IFERROR(SUMIF($V$4:$AG$4, "SME", V170:AG170), "")</f>
        <v>0</v>
      </c>
      <c r="AJ170" s="286" t="n">
        <f aca="false">IFERROR(SUMIF($V$4:$AG$4, "De Minimis", V170:AG170), "")</f>
        <v>0</v>
      </c>
      <c r="AL170" s="288" t="str">
        <f aca="false">IF((SUM(I170:T170)&gt;1),"ERROR","")</f>
        <v/>
      </c>
    </row>
    <row r="171" customFormat="false" ht="15" hidden="false" customHeight="true" outlineLevel="0" collapsed="false">
      <c r="E171" s="200"/>
      <c r="H171" s="350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3"/>
      <c r="V171" s="284" t="n">
        <f aca="false">IFERROR(I171*$E171, "")</f>
        <v>0</v>
      </c>
      <c r="W171" s="284" t="n">
        <f aca="false">IFERROR(J171*$E171, "")</f>
        <v>0</v>
      </c>
      <c r="X171" s="284" t="n">
        <f aca="false">IFERROR(K171*$E171, "")</f>
        <v>0</v>
      </c>
      <c r="Y171" s="284" t="n">
        <f aca="false">IFERROR(L171*$E171, "")</f>
        <v>0</v>
      </c>
      <c r="Z171" s="284" t="n">
        <f aca="false">IFERROR(M171*$E171, "")</f>
        <v>0</v>
      </c>
      <c r="AA171" s="284" t="n">
        <f aca="false">IFERROR(N171*$E171, "")</f>
        <v>0</v>
      </c>
      <c r="AB171" s="284" t="n">
        <f aca="false">IFERROR(O171*$E171, "")</f>
        <v>0</v>
      </c>
      <c r="AC171" s="284" t="n">
        <f aca="false">IFERROR(P171*$E171, "")</f>
        <v>0</v>
      </c>
      <c r="AD171" s="284" t="n">
        <f aca="false">IFERROR(Q171*$E171, "")</f>
        <v>0</v>
      </c>
      <c r="AE171" s="284" t="n">
        <f aca="false">IFERROR(R171*$E171, "")</f>
        <v>0</v>
      </c>
      <c r="AF171" s="284" t="n">
        <f aca="false">IFERROR(S171*$E171, "")</f>
        <v>0</v>
      </c>
      <c r="AG171" s="284" t="n">
        <f aca="false">IFERROR(T171*$E171, "")</f>
        <v>0</v>
      </c>
      <c r="AH171" s="286" t="n">
        <f aca="false">IFERROR(SUMIF($V$4:$AG$4, "RDEC", V171:AG171), "")</f>
        <v>0</v>
      </c>
      <c r="AI171" s="286" t="n">
        <f aca="false">IFERROR(SUMIF($V$4:$AG$4, "SME", V171:AG171), "")</f>
        <v>0</v>
      </c>
      <c r="AJ171" s="286" t="n">
        <f aca="false">IFERROR(SUMIF($V$4:$AG$4, "De Minimis", V171:AG171), "")</f>
        <v>0</v>
      </c>
      <c r="AK171" s="268"/>
      <c r="AL171" s="288" t="str">
        <f aca="false">IF((SUM(I171:T171)&gt;1),"ERROR","")</f>
        <v/>
      </c>
    </row>
    <row r="172" customFormat="false" ht="15" hidden="false" customHeight="true" outlineLevel="0" collapsed="false">
      <c r="E172" s="200"/>
      <c r="H172" s="350"/>
      <c r="I172" s="282"/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3"/>
      <c r="V172" s="284" t="n">
        <f aca="false">IFERROR(I172*$E172, "")</f>
        <v>0</v>
      </c>
      <c r="W172" s="284" t="n">
        <f aca="false">IFERROR(J172*$E172, "")</f>
        <v>0</v>
      </c>
      <c r="X172" s="284" t="n">
        <f aca="false">IFERROR(K172*$E172, "")</f>
        <v>0</v>
      </c>
      <c r="Y172" s="284" t="n">
        <f aca="false">IFERROR(L172*$E172, "")</f>
        <v>0</v>
      </c>
      <c r="Z172" s="284" t="n">
        <f aca="false">IFERROR(M172*$E172, "")</f>
        <v>0</v>
      </c>
      <c r="AA172" s="284" t="n">
        <f aca="false">IFERROR(N172*$E172, "")</f>
        <v>0</v>
      </c>
      <c r="AB172" s="284" t="n">
        <f aca="false">IFERROR(O172*$E172, "")</f>
        <v>0</v>
      </c>
      <c r="AC172" s="284" t="n">
        <f aca="false">IFERROR(P172*$E172, "")</f>
        <v>0</v>
      </c>
      <c r="AD172" s="284" t="n">
        <f aca="false">IFERROR(Q172*$E172, "")</f>
        <v>0</v>
      </c>
      <c r="AE172" s="284" t="n">
        <f aca="false">IFERROR(R172*$E172, "")</f>
        <v>0</v>
      </c>
      <c r="AF172" s="284" t="n">
        <f aca="false">IFERROR(S172*$E172, "")</f>
        <v>0</v>
      </c>
      <c r="AG172" s="284" t="n">
        <f aca="false">IFERROR(T172*$E172, "")</f>
        <v>0</v>
      </c>
      <c r="AH172" s="286" t="n">
        <f aca="false">IFERROR(SUMIF($V$4:$AG$4, "RDEC", V172:AG172), "")</f>
        <v>0</v>
      </c>
      <c r="AI172" s="286" t="n">
        <f aca="false">IFERROR(SUMIF($V$4:$AG$4, "SME", V172:AG172), "")</f>
        <v>0</v>
      </c>
      <c r="AJ172" s="286" t="n">
        <f aca="false">IFERROR(SUMIF($V$4:$AG$4, "De Minimis", V172:AG172), "")</f>
        <v>0</v>
      </c>
      <c r="AK172" s="287"/>
      <c r="AL172" s="288" t="str">
        <f aca="false">IF((SUM(I172:T172)&gt;1),"ERROR","")</f>
        <v/>
      </c>
    </row>
    <row r="173" customFormat="false" ht="15" hidden="false" customHeight="true" outlineLevel="0" collapsed="false">
      <c r="E173" s="200"/>
      <c r="H173" s="350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3"/>
      <c r="V173" s="284" t="n">
        <f aca="false">IFERROR(I173*$E173, "")</f>
        <v>0</v>
      </c>
      <c r="W173" s="284" t="n">
        <f aca="false">IFERROR(J173*$E173, "")</f>
        <v>0</v>
      </c>
      <c r="X173" s="284" t="n">
        <f aca="false">IFERROR(K173*$E173, "")</f>
        <v>0</v>
      </c>
      <c r="Y173" s="284" t="n">
        <f aca="false">IFERROR(L173*$E173, "")</f>
        <v>0</v>
      </c>
      <c r="Z173" s="284" t="n">
        <f aca="false">IFERROR(M173*$E173, "")</f>
        <v>0</v>
      </c>
      <c r="AA173" s="284" t="n">
        <f aca="false">IFERROR(N173*$E173, "")</f>
        <v>0</v>
      </c>
      <c r="AB173" s="284" t="n">
        <f aca="false">IFERROR(O173*$E173, "")</f>
        <v>0</v>
      </c>
      <c r="AC173" s="284" t="n">
        <f aca="false">IFERROR(P173*$E173, "")</f>
        <v>0</v>
      </c>
      <c r="AD173" s="284" t="n">
        <f aca="false">IFERROR(Q173*$E173, "")</f>
        <v>0</v>
      </c>
      <c r="AE173" s="284" t="n">
        <f aca="false">IFERROR(R173*$E173, "")</f>
        <v>0</v>
      </c>
      <c r="AF173" s="284" t="n">
        <f aca="false">IFERROR(S173*$E173, "")</f>
        <v>0</v>
      </c>
      <c r="AG173" s="284" t="n">
        <f aca="false">IFERROR(T173*$E173, "")</f>
        <v>0</v>
      </c>
      <c r="AH173" s="286" t="n">
        <f aca="false">IFERROR(SUMIF($V$4:$AG$4, "RDEC", V173:AG173), "")</f>
        <v>0</v>
      </c>
      <c r="AI173" s="286" t="n">
        <f aca="false">IFERROR(SUMIF($V$4:$AG$4, "SME", V173:AG173), "")</f>
        <v>0</v>
      </c>
      <c r="AJ173" s="286" t="n">
        <f aca="false">IFERROR(SUMIF($V$4:$AG$4, "De Minimis", V173:AG173), "")</f>
        <v>0</v>
      </c>
      <c r="AK173" s="287"/>
      <c r="AL173" s="288" t="str">
        <f aca="false">IF((SUM(I173:T173)&gt;1),"ERROR","")</f>
        <v/>
      </c>
    </row>
    <row r="174" customFormat="false" ht="15" hidden="false" customHeight="true" outlineLevel="0" collapsed="false">
      <c r="E174" s="200"/>
      <c r="H174" s="350"/>
      <c r="I174" s="282"/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3"/>
      <c r="V174" s="284" t="n">
        <f aca="false">IFERROR(I174*$E174, "")</f>
        <v>0</v>
      </c>
      <c r="W174" s="284" t="n">
        <f aca="false">IFERROR(J174*$E174, "")</f>
        <v>0</v>
      </c>
      <c r="X174" s="284" t="n">
        <f aca="false">IFERROR(K174*$E174, "")</f>
        <v>0</v>
      </c>
      <c r="Y174" s="284" t="n">
        <f aca="false">IFERROR(L174*$E174, "")</f>
        <v>0</v>
      </c>
      <c r="Z174" s="284" t="n">
        <f aca="false">IFERROR(M174*$E174, "")</f>
        <v>0</v>
      </c>
      <c r="AA174" s="284" t="n">
        <f aca="false">IFERROR(N174*$E174, "")</f>
        <v>0</v>
      </c>
      <c r="AB174" s="284" t="n">
        <f aca="false">IFERROR(O174*$E174, "")</f>
        <v>0</v>
      </c>
      <c r="AC174" s="284" t="n">
        <f aca="false">IFERROR(P174*$E174, "")</f>
        <v>0</v>
      </c>
      <c r="AD174" s="284" t="n">
        <f aca="false">IFERROR(Q174*$E174, "")</f>
        <v>0</v>
      </c>
      <c r="AE174" s="284" t="n">
        <f aca="false">IFERROR(R174*$E174, "")</f>
        <v>0</v>
      </c>
      <c r="AF174" s="284" t="n">
        <f aca="false">IFERROR(S174*$E174, "")</f>
        <v>0</v>
      </c>
      <c r="AG174" s="284" t="n">
        <f aca="false">IFERROR(T174*$E174, "")</f>
        <v>0</v>
      </c>
      <c r="AH174" s="286" t="n">
        <f aca="false">IFERROR(SUMIF($V$4:$AG$4, "RDEC", V174:AG174), "")</f>
        <v>0</v>
      </c>
      <c r="AI174" s="286" t="n">
        <f aca="false">IFERROR(SUMIF($V$4:$AG$4, "SME", V174:AG174), "")</f>
        <v>0</v>
      </c>
      <c r="AJ174" s="286" t="n">
        <f aca="false">IFERROR(SUMIF($V$4:$AG$4, "De Minimis", V174:AG174), "")</f>
        <v>0</v>
      </c>
      <c r="AK174" s="287"/>
      <c r="AL174" s="288" t="str">
        <f aca="false">IF((SUM(I174:T174)&gt;1),"ERROR","")</f>
        <v/>
      </c>
    </row>
    <row r="175" customFormat="false" ht="15" hidden="false" customHeight="true" outlineLevel="0" collapsed="false">
      <c r="E175" s="200"/>
      <c r="H175" s="350"/>
      <c r="I175" s="282"/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3"/>
      <c r="V175" s="284" t="n">
        <f aca="false">IFERROR(I175*$E175, "")</f>
        <v>0</v>
      </c>
      <c r="W175" s="284" t="n">
        <f aca="false">IFERROR(J175*$E175, "")</f>
        <v>0</v>
      </c>
      <c r="X175" s="284" t="n">
        <f aca="false">IFERROR(K175*$E175, "")</f>
        <v>0</v>
      </c>
      <c r="Y175" s="284" t="n">
        <f aca="false">IFERROR(L175*$E175, "")</f>
        <v>0</v>
      </c>
      <c r="Z175" s="284" t="n">
        <f aca="false">IFERROR(M175*$E175, "")</f>
        <v>0</v>
      </c>
      <c r="AA175" s="284" t="n">
        <f aca="false">IFERROR(N175*$E175, "")</f>
        <v>0</v>
      </c>
      <c r="AB175" s="284" t="n">
        <f aca="false">IFERROR(O175*$E175, "")</f>
        <v>0</v>
      </c>
      <c r="AC175" s="284" t="n">
        <f aca="false">IFERROR(P175*$E175, "")</f>
        <v>0</v>
      </c>
      <c r="AD175" s="284" t="n">
        <f aca="false">IFERROR(Q175*$E175, "")</f>
        <v>0</v>
      </c>
      <c r="AE175" s="284" t="n">
        <f aca="false">IFERROR(R175*$E175, "")</f>
        <v>0</v>
      </c>
      <c r="AF175" s="284" t="n">
        <f aca="false">IFERROR(S175*$E175, "")</f>
        <v>0</v>
      </c>
      <c r="AG175" s="284" t="n">
        <f aca="false">IFERROR(T175*$E175, "")</f>
        <v>0</v>
      </c>
      <c r="AH175" s="286" t="n">
        <f aca="false">IFERROR(SUMIF($V$4:$AG$4, "RDEC", V175:AG175), "")</f>
        <v>0</v>
      </c>
      <c r="AI175" s="286" t="n">
        <f aca="false">IFERROR(SUMIF($V$4:$AG$4, "SME", V175:AG175), "")</f>
        <v>0</v>
      </c>
      <c r="AJ175" s="286" t="n">
        <f aca="false">IFERROR(SUMIF($V$4:$AG$4, "De Minimis", V175:AG175), "")</f>
        <v>0</v>
      </c>
      <c r="AK175" s="287"/>
      <c r="AL175" s="288" t="str">
        <f aca="false">IF((SUM(I175:T175)&gt;1),"ERROR","")</f>
        <v/>
      </c>
    </row>
    <row r="176" customFormat="false" ht="15" hidden="false" customHeight="true" outlineLevel="0" collapsed="false">
      <c r="E176" s="200"/>
      <c r="H176" s="350"/>
      <c r="I176" s="282"/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3"/>
      <c r="V176" s="284" t="n">
        <f aca="false">IFERROR(I176*$E176, "")</f>
        <v>0</v>
      </c>
      <c r="W176" s="284" t="n">
        <f aca="false">IFERROR(J176*$E176, "")</f>
        <v>0</v>
      </c>
      <c r="X176" s="284" t="n">
        <f aca="false">IFERROR(K176*$E176, "")</f>
        <v>0</v>
      </c>
      <c r="Y176" s="284" t="n">
        <f aca="false">IFERROR(L176*$E176, "")</f>
        <v>0</v>
      </c>
      <c r="Z176" s="284" t="n">
        <f aca="false">IFERROR(M176*$E176, "")</f>
        <v>0</v>
      </c>
      <c r="AA176" s="284" t="n">
        <f aca="false">IFERROR(N176*$E176, "")</f>
        <v>0</v>
      </c>
      <c r="AB176" s="284" t="n">
        <f aca="false">IFERROR(O176*$E176, "")</f>
        <v>0</v>
      </c>
      <c r="AC176" s="284" t="n">
        <f aca="false">IFERROR(P176*$E176, "")</f>
        <v>0</v>
      </c>
      <c r="AD176" s="284" t="n">
        <f aca="false">IFERROR(Q176*$E176, "")</f>
        <v>0</v>
      </c>
      <c r="AE176" s="284" t="n">
        <f aca="false">IFERROR(R176*$E176, "")</f>
        <v>0</v>
      </c>
      <c r="AF176" s="284" t="n">
        <f aca="false">IFERROR(S176*$E176, "")</f>
        <v>0</v>
      </c>
      <c r="AG176" s="284" t="n">
        <f aca="false">IFERROR(T176*$E176, "")</f>
        <v>0</v>
      </c>
      <c r="AH176" s="286" t="n">
        <f aca="false">IFERROR(SUMIF($V$4:$AG$4, "RDEC", V176:AG176), "")</f>
        <v>0</v>
      </c>
      <c r="AI176" s="286" t="n">
        <f aca="false">IFERROR(SUMIF($V$4:$AG$4, "SME", V176:AG176), "")</f>
        <v>0</v>
      </c>
      <c r="AJ176" s="286" t="n">
        <f aca="false">IFERROR(SUMIF($V$4:$AG$4, "De Minimis", V176:AG176), "")</f>
        <v>0</v>
      </c>
      <c r="AK176" s="287"/>
      <c r="AL176" s="288" t="str">
        <f aca="false">IF((SUM(I176:T176)&gt;1),"ERROR","")</f>
        <v/>
      </c>
    </row>
    <row r="177" customFormat="false" ht="15" hidden="false" customHeight="true" outlineLevel="0" collapsed="false">
      <c r="E177" s="200"/>
      <c r="H177" s="350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3"/>
      <c r="V177" s="284" t="n">
        <f aca="false">IFERROR(I177*$E177, "")</f>
        <v>0</v>
      </c>
      <c r="W177" s="284" t="n">
        <f aca="false">IFERROR(J177*$E177, "")</f>
        <v>0</v>
      </c>
      <c r="X177" s="284" t="n">
        <f aca="false">IFERROR(K177*$E177, "")</f>
        <v>0</v>
      </c>
      <c r="Y177" s="284" t="n">
        <f aca="false">IFERROR(L177*$E177, "")</f>
        <v>0</v>
      </c>
      <c r="Z177" s="284" t="n">
        <f aca="false">IFERROR(M177*$E177, "")</f>
        <v>0</v>
      </c>
      <c r="AA177" s="284" t="n">
        <f aca="false">IFERROR(N177*$E177, "")</f>
        <v>0</v>
      </c>
      <c r="AB177" s="284" t="n">
        <f aca="false">IFERROR(O177*$E177, "")</f>
        <v>0</v>
      </c>
      <c r="AC177" s="284" t="n">
        <f aca="false">IFERROR(P177*$E177, "")</f>
        <v>0</v>
      </c>
      <c r="AD177" s="284" t="n">
        <f aca="false">IFERROR(Q177*$E177, "")</f>
        <v>0</v>
      </c>
      <c r="AE177" s="284" t="n">
        <f aca="false">IFERROR(R177*$E177, "")</f>
        <v>0</v>
      </c>
      <c r="AF177" s="284" t="n">
        <f aca="false">IFERROR(S177*$E177, "")</f>
        <v>0</v>
      </c>
      <c r="AG177" s="284" t="n">
        <f aca="false">IFERROR(T177*$E177, "")</f>
        <v>0</v>
      </c>
      <c r="AH177" s="286" t="n">
        <f aca="false">IFERROR(SUMIF($V$4:$AG$4, "RDEC", V177:AG177), "")</f>
        <v>0</v>
      </c>
      <c r="AI177" s="286" t="n">
        <f aca="false">IFERROR(SUMIF($V$4:$AG$4, "SME", V177:AG177), "")</f>
        <v>0</v>
      </c>
      <c r="AJ177" s="286" t="n">
        <f aca="false">IFERROR(SUMIF($V$4:$AG$4, "De Minimis", V177:AG177), "")</f>
        <v>0</v>
      </c>
      <c r="AK177" s="287"/>
      <c r="AL177" s="288" t="str">
        <f aca="false">IF((SUM(I177:T177)&gt;1),"ERROR","")</f>
        <v/>
      </c>
    </row>
    <row r="178" customFormat="false" ht="15" hidden="false" customHeight="true" outlineLevel="0" collapsed="false">
      <c r="E178" s="200"/>
      <c r="H178" s="350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3"/>
      <c r="V178" s="284" t="n">
        <f aca="false">IFERROR(I178*$E178, "")</f>
        <v>0</v>
      </c>
      <c r="W178" s="284" t="n">
        <f aca="false">IFERROR(J178*$E178, "")</f>
        <v>0</v>
      </c>
      <c r="X178" s="284" t="n">
        <f aca="false">IFERROR(K178*$E178, "")</f>
        <v>0</v>
      </c>
      <c r="Y178" s="284" t="n">
        <f aca="false">IFERROR(L178*$E178, "")</f>
        <v>0</v>
      </c>
      <c r="Z178" s="284" t="n">
        <f aca="false">IFERROR(M178*$E178, "")</f>
        <v>0</v>
      </c>
      <c r="AA178" s="284" t="n">
        <f aca="false">IFERROR(N178*$E178, "")</f>
        <v>0</v>
      </c>
      <c r="AB178" s="284" t="n">
        <f aca="false">IFERROR(O178*$E178, "")</f>
        <v>0</v>
      </c>
      <c r="AC178" s="284" t="n">
        <f aca="false">IFERROR(P178*$E178, "")</f>
        <v>0</v>
      </c>
      <c r="AD178" s="284" t="n">
        <f aca="false">IFERROR(Q178*$E178, "")</f>
        <v>0</v>
      </c>
      <c r="AE178" s="284" t="n">
        <f aca="false">IFERROR(R178*$E178, "")</f>
        <v>0</v>
      </c>
      <c r="AF178" s="284" t="n">
        <f aca="false">IFERROR(S178*$E178, "")</f>
        <v>0</v>
      </c>
      <c r="AG178" s="284" t="n">
        <f aca="false">IFERROR(T178*$E178, "")</f>
        <v>0</v>
      </c>
      <c r="AH178" s="286" t="n">
        <f aca="false">IFERROR(SUMIF($V$4:$AG$4, "RDEC", V178:AG178), "")</f>
        <v>0</v>
      </c>
      <c r="AI178" s="286" t="n">
        <f aca="false">IFERROR(SUMIF($V$4:$AG$4, "SME", V178:AG178), "")</f>
        <v>0</v>
      </c>
      <c r="AJ178" s="286" t="n">
        <f aca="false">IFERROR(SUMIF($V$4:$AG$4, "De Minimis", V178:AG178), "")</f>
        <v>0</v>
      </c>
      <c r="AK178" s="287"/>
      <c r="AL178" s="288" t="str">
        <f aca="false">IF((SUM(I178:T178)&gt;1),"ERROR","")</f>
        <v/>
      </c>
    </row>
    <row r="179" customFormat="false" ht="15" hidden="false" customHeight="true" outlineLevel="0" collapsed="false">
      <c r="E179" s="200"/>
      <c r="H179" s="350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3"/>
      <c r="V179" s="284" t="n">
        <f aca="false">IFERROR(I179*$E179, "")</f>
        <v>0</v>
      </c>
      <c r="W179" s="284" t="n">
        <f aca="false">IFERROR(J179*$E179, "")</f>
        <v>0</v>
      </c>
      <c r="X179" s="284" t="n">
        <f aca="false">IFERROR(K179*$E179, "")</f>
        <v>0</v>
      </c>
      <c r="Y179" s="284" t="n">
        <f aca="false">IFERROR(L179*$E179, "")</f>
        <v>0</v>
      </c>
      <c r="Z179" s="284" t="n">
        <f aca="false">IFERROR(M179*$E179, "")</f>
        <v>0</v>
      </c>
      <c r="AA179" s="284" t="n">
        <f aca="false">IFERROR(N179*$E179, "")</f>
        <v>0</v>
      </c>
      <c r="AB179" s="284" t="n">
        <f aca="false">IFERROR(O179*$E179, "")</f>
        <v>0</v>
      </c>
      <c r="AC179" s="284" t="n">
        <f aca="false">IFERROR(P179*$E179, "")</f>
        <v>0</v>
      </c>
      <c r="AD179" s="284" t="n">
        <f aca="false">IFERROR(Q179*$E179, "")</f>
        <v>0</v>
      </c>
      <c r="AE179" s="284" t="n">
        <f aca="false">IFERROR(R179*$E179, "")</f>
        <v>0</v>
      </c>
      <c r="AF179" s="284" t="n">
        <f aca="false">IFERROR(S179*$E179, "")</f>
        <v>0</v>
      </c>
      <c r="AG179" s="284" t="n">
        <f aca="false">IFERROR(T179*$E179, "")</f>
        <v>0</v>
      </c>
      <c r="AH179" s="286" t="n">
        <f aca="false">IFERROR(SUMIF($V$4:$AG$4, "RDEC", V179:AG179), "")</f>
        <v>0</v>
      </c>
      <c r="AI179" s="286" t="n">
        <f aca="false">IFERROR(SUMIF($V$4:$AG$4, "SME", V179:AG179), "")</f>
        <v>0</v>
      </c>
      <c r="AJ179" s="286" t="n">
        <f aca="false">IFERROR(SUMIF($V$4:$AG$4, "De Minimis", V179:AG179), "")</f>
        <v>0</v>
      </c>
      <c r="AK179" s="287"/>
      <c r="AL179" s="288" t="str">
        <f aca="false">IF((SUM(I179:T179)&gt;1),"ERROR","")</f>
        <v/>
      </c>
    </row>
    <row r="180" customFormat="false" ht="15" hidden="false" customHeight="true" outlineLevel="0" collapsed="false">
      <c r="E180" s="200"/>
      <c r="H180" s="350"/>
      <c r="I180" s="282"/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3"/>
      <c r="V180" s="284" t="n">
        <f aca="false">IFERROR(I180*$E180, "")</f>
        <v>0</v>
      </c>
      <c r="W180" s="284" t="n">
        <f aca="false">IFERROR(J180*$E180, "")</f>
        <v>0</v>
      </c>
      <c r="X180" s="284" t="n">
        <f aca="false">IFERROR(K180*$E180, "")</f>
        <v>0</v>
      </c>
      <c r="Y180" s="284" t="n">
        <f aca="false">IFERROR(L180*$E180, "")</f>
        <v>0</v>
      </c>
      <c r="Z180" s="284" t="n">
        <f aca="false">IFERROR(M180*$E180, "")</f>
        <v>0</v>
      </c>
      <c r="AA180" s="284" t="n">
        <f aca="false">IFERROR(N180*$E180, "")</f>
        <v>0</v>
      </c>
      <c r="AB180" s="284" t="n">
        <f aca="false">IFERROR(O180*$E180, "")</f>
        <v>0</v>
      </c>
      <c r="AC180" s="284" t="n">
        <f aca="false">IFERROR(P180*$E180, "")</f>
        <v>0</v>
      </c>
      <c r="AD180" s="284" t="n">
        <f aca="false">IFERROR(Q180*$E180, "")</f>
        <v>0</v>
      </c>
      <c r="AE180" s="284" t="n">
        <f aca="false">IFERROR(R180*$E180, "")</f>
        <v>0</v>
      </c>
      <c r="AF180" s="284" t="n">
        <f aca="false">IFERROR(S180*$E180, "")</f>
        <v>0</v>
      </c>
      <c r="AG180" s="284" t="n">
        <f aca="false">IFERROR(T180*$E180, "")</f>
        <v>0</v>
      </c>
      <c r="AH180" s="286" t="n">
        <f aca="false">IFERROR(SUMIF($V$4:$AG$4, "RDEC", V180:AG180), "")</f>
        <v>0</v>
      </c>
      <c r="AI180" s="286" t="n">
        <f aca="false">IFERROR(SUMIF($V$4:$AG$4, "SME", V180:AG180), "")</f>
        <v>0</v>
      </c>
      <c r="AJ180" s="286" t="n">
        <f aca="false">IFERROR(SUMIF($V$4:$AG$4, "De Minimis", V180:AG180), "")</f>
        <v>0</v>
      </c>
      <c r="AK180" s="287"/>
      <c r="AL180" s="288" t="str">
        <f aca="false">IF((SUM(I180:T180)&gt;1),"ERROR","")</f>
        <v/>
      </c>
    </row>
    <row r="181" customFormat="false" ht="15" hidden="false" customHeight="true" outlineLevel="0" collapsed="false">
      <c r="E181" s="200"/>
      <c r="H181" s="350"/>
      <c r="I181" s="282"/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3"/>
      <c r="V181" s="284" t="n">
        <f aca="false">IFERROR(I181*$E181, "")</f>
        <v>0</v>
      </c>
      <c r="W181" s="284" t="n">
        <f aca="false">IFERROR(J181*$E181, "")</f>
        <v>0</v>
      </c>
      <c r="X181" s="284" t="n">
        <f aca="false">IFERROR(K181*$E181, "")</f>
        <v>0</v>
      </c>
      <c r="Y181" s="284" t="n">
        <f aca="false">IFERROR(L181*$E181, "")</f>
        <v>0</v>
      </c>
      <c r="Z181" s="284" t="n">
        <f aca="false">IFERROR(M181*$E181, "")</f>
        <v>0</v>
      </c>
      <c r="AA181" s="284" t="n">
        <f aca="false">IFERROR(N181*$E181, "")</f>
        <v>0</v>
      </c>
      <c r="AB181" s="284" t="n">
        <f aca="false">IFERROR(O181*$E181, "")</f>
        <v>0</v>
      </c>
      <c r="AC181" s="284" t="n">
        <f aca="false">IFERROR(P181*$E181, "")</f>
        <v>0</v>
      </c>
      <c r="AD181" s="284" t="n">
        <f aca="false">IFERROR(Q181*$E181, "")</f>
        <v>0</v>
      </c>
      <c r="AE181" s="284" t="n">
        <f aca="false">IFERROR(R181*$E181, "")</f>
        <v>0</v>
      </c>
      <c r="AF181" s="284" t="n">
        <f aca="false">IFERROR(S181*$E181, "")</f>
        <v>0</v>
      </c>
      <c r="AG181" s="284" t="n">
        <f aca="false">IFERROR(T181*$E181, "")</f>
        <v>0</v>
      </c>
      <c r="AH181" s="286" t="n">
        <f aca="false">IFERROR(SUMIF($V$4:$AG$4, "RDEC", V181:AG181), "")</f>
        <v>0</v>
      </c>
      <c r="AI181" s="286" t="n">
        <f aca="false">IFERROR(SUMIF($V$4:$AG$4, "SME", V181:AG181), "")</f>
        <v>0</v>
      </c>
      <c r="AJ181" s="286" t="n">
        <f aca="false">IFERROR(SUMIF($V$4:$AG$4, "De Minimis", V181:AG181), "")</f>
        <v>0</v>
      </c>
      <c r="AK181" s="287"/>
      <c r="AL181" s="288" t="str">
        <f aca="false">IF((SUM(I181:T181)&gt;1),"ERROR","")</f>
        <v/>
      </c>
    </row>
    <row r="182" customFormat="false" ht="15" hidden="false" customHeight="true" outlineLevel="0" collapsed="false">
      <c r="E182" s="200"/>
      <c r="H182" s="350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3"/>
      <c r="V182" s="284" t="n">
        <f aca="false">IFERROR(I182*$E182, "")</f>
        <v>0</v>
      </c>
      <c r="W182" s="284" t="n">
        <f aca="false">IFERROR(J182*$E182, "")</f>
        <v>0</v>
      </c>
      <c r="X182" s="284" t="n">
        <f aca="false">IFERROR(K182*$E182, "")</f>
        <v>0</v>
      </c>
      <c r="Y182" s="284" t="n">
        <f aca="false">IFERROR(L182*$E182, "")</f>
        <v>0</v>
      </c>
      <c r="Z182" s="284" t="n">
        <f aca="false">IFERROR(M182*$E182, "")</f>
        <v>0</v>
      </c>
      <c r="AA182" s="284" t="n">
        <f aca="false">IFERROR(N182*$E182, "")</f>
        <v>0</v>
      </c>
      <c r="AB182" s="284" t="n">
        <f aca="false">IFERROR(O182*$E182, "")</f>
        <v>0</v>
      </c>
      <c r="AC182" s="284" t="n">
        <f aca="false">IFERROR(P182*$E182, "")</f>
        <v>0</v>
      </c>
      <c r="AD182" s="284" t="n">
        <f aca="false">IFERROR(Q182*$E182, "")</f>
        <v>0</v>
      </c>
      <c r="AE182" s="284" t="n">
        <f aca="false">IFERROR(R182*$E182, "")</f>
        <v>0</v>
      </c>
      <c r="AF182" s="284" t="n">
        <f aca="false">IFERROR(S182*$E182, "")</f>
        <v>0</v>
      </c>
      <c r="AG182" s="284" t="n">
        <f aca="false">IFERROR(T182*$E182, "")</f>
        <v>0</v>
      </c>
      <c r="AH182" s="286" t="n">
        <f aca="false">IFERROR(SUMIF($V$4:$AG$4, "RDEC", V182:AG182), "")</f>
        <v>0</v>
      </c>
      <c r="AI182" s="286" t="n">
        <f aca="false">IFERROR(SUMIF($V$4:$AG$4, "SME", V182:AG182), "")</f>
        <v>0</v>
      </c>
      <c r="AJ182" s="286" t="n">
        <f aca="false">IFERROR(SUMIF($V$4:$AG$4, "De Minimis", V182:AG182), "")</f>
        <v>0</v>
      </c>
      <c r="AK182" s="287"/>
      <c r="AL182" s="288" t="str">
        <f aca="false">IF((SUM(I182:T182)&gt;1),"ERROR","")</f>
        <v/>
      </c>
    </row>
    <row r="183" customFormat="false" ht="15" hidden="false" customHeight="true" outlineLevel="0" collapsed="false">
      <c r="E183" s="200"/>
      <c r="H183" s="350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3"/>
      <c r="V183" s="284" t="n">
        <f aca="false">IFERROR(I183*$E183, "")</f>
        <v>0</v>
      </c>
      <c r="W183" s="284" t="n">
        <f aca="false">IFERROR(J183*$E183, "")</f>
        <v>0</v>
      </c>
      <c r="X183" s="284" t="n">
        <f aca="false">IFERROR(K183*$E183, "")</f>
        <v>0</v>
      </c>
      <c r="Y183" s="284" t="n">
        <f aca="false">IFERROR(L183*$E183, "")</f>
        <v>0</v>
      </c>
      <c r="Z183" s="284" t="n">
        <f aca="false">IFERROR(M183*$E183, "")</f>
        <v>0</v>
      </c>
      <c r="AA183" s="284" t="n">
        <f aca="false">IFERROR(N183*$E183, "")</f>
        <v>0</v>
      </c>
      <c r="AB183" s="284" t="n">
        <f aca="false">IFERROR(O183*$E183, "")</f>
        <v>0</v>
      </c>
      <c r="AC183" s="284" t="n">
        <f aca="false">IFERROR(P183*$E183, "")</f>
        <v>0</v>
      </c>
      <c r="AD183" s="284" t="n">
        <f aca="false">IFERROR(Q183*$E183, "")</f>
        <v>0</v>
      </c>
      <c r="AE183" s="284" t="n">
        <f aca="false">IFERROR(R183*$E183, "")</f>
        <v>0</v>
      </c>
      <c r="AF183" s="284" t="n">
        <f aca="false">IFERROR(S183*$E183, "")</f>
        <v>0</v>
      </c>
      <c r="AG183" s="284" t="n">
        <f aca="false">IFERROR(T183*$E183, "")</f>
        <v>0</v>
      </c>
      <c r="AH183" s="286" t="n">
        <f aca="false">IFERROR(SUMIF($V$4:$AG$4, "RDEC", V183:AG183), "")</f>
        <v>0</v>
      </c>
      <c r="AI183" s="286" t="n">
        <f aca="false">IFERROR(SUMIF($V$4:$AG$4, "SME", V183:AG183), "")</f>
        <v>0</v>
      </c>
      <c r="AJ183" s="286" t="n">
        <f aca="false">IFERROR(SUMIF($V$4:$AG$4, "De Minimis", V183:AG183), "")</f>
        <v>0</v>
      </c>
      <c r="AK183" s="287"/>
      <c r="AL183" s="288" t="str">
        <f aca="false">IF((SUM(I183:T183)&gt;1),"ERROR","")</f>
        <v/>
      </c>
    </row>
    <row r="184" customFormat="false" ht="15" hidden="false" customHeight="true" outlineLevel="0" collapsed="false">
      <c r="E184" s="200"/>
      <c r="H184" s="350"/>
      <c r="I184" s="282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3"/>
      <c r="V184" s="284" t="n">
        <f aca="false">IFERROR(I184*$E184, "")</f>
        <v>0</v>
      </c>
      <c r="W184" s="284" t="n">
        <f aca="false">IFERROR(J184*$E184, "")</f>
        <v>0</v>
      </c>
      <c r="X184" s="284" t="n">
        <f aca="false">IFERROR(K184*$E184, "")</f>
        <v>0</v>
      </c>
      <c r="Y184" s="284" t="n">
        <f aca="false">IFERROR(L184*$E184, "")</f>
        <v>0</v>
      </c>
      <c r="Z184" s="284" t="n">
        <f aca="false">IFERROR(M184*$E184, "")</f>
        <v>0</v>
      </c>
      <c r="AA184" s="284" t="n">
        <f aca="false">IFERROR(N184*$E184, "")</f>
        <v>0</v>
      </c>
      <c r="AB184" s="284" t="n">
        <f aca="false">IFERROR(O184*$E184, "")</f>
        <v>0</v>
      </c>
      <c r="AC184" s="284" t="n">
        <f aca="false">IFERROR(P184*$E184, "")</f>
        <v>0</v>
      </c>
      <c r="AD184" s="284" t="n">
        <f aca="false">IFERROR(Q184*$E184, "")</f>
        <v>0</v>
      </c>
      <c r="AE184" s="284" t="n">
        <f aca="false">IFERROR(R184*$E184, "")</f>
        <v>0</v>
      </c>
      <c r="AF184" s="284" t="n">
        <f aca="false">IFERROR(S184*$E184, "")</f>
        <v>0</v>
      </c>
      <c r="AG184" s="284" t="n">
        <f aca="false">IFERROR(T184*$E184, "")</f>
        <v>0</v>
      </c>
      <c r="AH184" s="286" t="n">
        <f aca="false">IFERROR(SUMIF($V$4:$AG$4, "RDEC", V184:AG184), "")</f>
        <v>0</v>
      </c>
      <c r="AI184" s="286" t="n">
        <f aca="false">IFERROR(SUMIF($V$4:$AG$4, "SME", V184:AG184), "")</f>
        <v>0</v>
      </c>
      <c r="AJ184" s="286" t="n">
        <f aca="false">IFERROR(SUMIF($V$4:$AG$4, "De Minimis", V184:AG184), "")</f>
        <v>0</v>
      </c>
      <c r="AK184" s="303"/>
      <c r="AL184" s="288" t="str">
        <f aca="false">IF((SUM(I184:T184)&gt;1),"ERROR","")</f>
        <v/>
      </c>
    </row>
    <row r="185" customFormat="false" ht="15" hidden="false" customHeight="true" outlineLevel="0" collapsed="false">
      <c r="E185" s="200"/>
      <c r="H185" s="350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3"/>
      <c r="V185" s="284" t="n">
        <f aca="false">IFERROR(I185*$E185, "")</f>
        <v>0</v>
      </c>
      <c r="W185" s="284" t="n">
        <f aca="false">IFERROR(J185*$E185, "")</f>
        <v>0</v>
      </c>
      <c r="X185" s="284" t="n">
        <f aca="false">IFERROR(K185*$E185, "")</f>
        <v>0</v>
      </c>
      <c r="Y185" s="284" t="n">
        <f aca="false">IFERROR(L185*$E185, "")</f>
        <v>0</v>
      </c>
      <c r="Z185" s="284" t="n">
        <f aca="false">IFERROR(M185*$E185, "")</f>
        <v>0</v>
      </c>
      <c r="AA185" s="284" t="n">
        <f aca="false">IFERROR(N185*$E185, "")</f>
        <v>0</v>
      </c>
      <c r="AB185" s="284" t="n">
        <f aca="false">IFERROR(O185*$E185, "")</f>
        <v>0</v>
      </c>
      <c r="AC185" s="284" t="n">
        <f aca="false">IFERROR(P185*$E185, "")</f>
        <v>0</v>
      </c>
      <c r="AD185" s="284" t="n">
        <f aca="false">IFERROR(Q185*$E185, "")</f>
        <v>0</v>
      </c>
      <c r="AE185" s="284" t="n">
        <f aca="false">IFERROR(R185*$E185, "")</f>
        <v>0</v>
      </c>
      <c r="AF185" s="284" t="n">
        <f aca="false">IFERROR(S185*$E185, "")</f>
        <v>0</v>
      </c>
      <c r="AG185" s="284" t="n">
        <f aca="false">IFERROR(T185*$E185, "")</f>
        <v>0</v>
      </c>
      <c r="AH185" s="286" t="n">
        <f aca="false">IFERROR(SUMIF($V$4:$AG$4, "RDEC", V185:AG185), "")</f>
        <v>0</v>
      </c>
      <c r="AI185" s="286" t="n">
        <f aca="false">IFERROR(SUMIF($V$4:$AG$4, "SME", V185:AG185), "")</f>
        <v>0</v>
      </c>
      <c r="AJ185" s="286" t="n">
        <f aca="false">IFERROR(SUMIF($V$4:$AG$4, "De Minimis", V185:AG185), "")</f>
        <v>0</v>
      </c>
      <c r="AL185" s="288" t="str">
        <f aca="false">IF((SUM(I185:T185)&gt;1),"ERROR","")</f>
        <v/>
      </c>
    </row>
    <row r="186" customFormat="false" ht="15" hidden="false" customHeight="true" outlineLevel="0" collapsed="false">
      <c r="E186" s="200"/>
      <c r="H186" s="350"/>
      <c r="I186" s="282"/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3"/>
      <c r="V186" s="284" t="n">
        <f aca="false">IFERROR(I186*$E186, "")</f>
        <v>0</v>
      </c>
      <c r="W186" s="284" t="n">
        <f aca="false">IFERROR(J186*$E186, "")</f>
        <v>0</v>
      </c>
      <c r="X186" s="284" t="n">
        <f aca="false">IFERROR(K186*$E186, "")</f>
        <v>0</v>
      </c>
      <c r="Y186" s="284" t="n">
        <f aca="false">IFERROR(L186*$E186, "")</f>
        <v>0</v>
      </c>
      <c r="Z186" s="284" t="n">
        <f aca="false">IFERROR(M186*$E186, "")</f>
        <v>0</v>
      </c>
      <c r="AA186" s="284" t="n">
        <f aca="false">IFERROR(N186*$E186, "")</f>
        <v>0</v>
      </c>
      <c r="AB186" s="284" t="n">
        <f aca="false">IFERROR(O186*$E186, "")</f>
        <v>0</v>
      </c>
      <c r="AC186" s="284" t="n">
        <f aca="false">IFERROR(P186*$E186, "")</f>
        <v>0</v>
      </c>
      <c r="AD186" s="284" t="n">
        <f aca="false">IFERROR(Q186*$E186, "")</f>
        <v>0</v>
      </c>
      <c r="AE186" s="284" t="n">
        <f aca="false">IFERROR(R186*$E186, "")</f>
        <v>0</v>
      </c>
      <c r="AF186" s="284" t="n">
        <f aca="false">IFERROR(S186*$E186, "")</f>
        <v>0</v>
      </c>
      <c r="AG186" s="284" t="n">
        <f aca="false">IFERROR(T186*$E186, "")</f>
        <v>0</v>
      </c>
      <c r="AH186" s="286" t="n">
        <f aca="false">IFERROR(SUMIF($V$4:$AG$4, "RDEC", V186:AG186), "")</f>
        <v>0</v>
      </c>
      <c r="AI186" s="286" t="n">
        <f aca="false">IFERROR(SUMIF($V$4:$AG$4, "SME", V186:AG186), "")</f>
        <v>0</v>
      </c>
      <c r="AJ186" s="286" t="n">
        <f aca="false">IFERROR(SUMIF($V$4:$AG$4, "De Minimis", V186:AG186), "")</f>
        <v>0</v>
      </c>
      <c r="AK186" s="268"/>
      <c r="AL186" s="288" t="str">
        <f aca="false">IF((SUM(I186:T186)&gt;1),"ERROR","")</f>
        <v/>
      </c>
    </row>
    <row r="187" customFormat="false" ht="15" hidden="false" customHeight="true" outlineLevel="0" collapsed="false">
      <c r="E187" s="200"/>
      <c r="H187" s="350"/>
      <c r="I187" s="282"/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3"/>
      <c r="V187" s="284" t="n">
        <f aca="false">IFERROR(I187*$E187, "")</f>
        <v>0</v>
      </c>
      <c r="W187" s="284" t="n">
        <f aca="false">IFERROR(J187*$E187, "")</f>
        <v>0</v>
      </c>
      <c r="X187" s="284" t="n">
        <f aca="false">IFERROR(K187*$E187, "")</f>
        <v>0</v>
      </c>
      <c r="Y187" s="284" t="n">
        <f aca="false">IFERROR(L187*$E187, "")</f>
        <v>0</v>
      </c>
      <c r="Z187" s="284" t="n">
        <f aca="false">IFERROR(M187*$E187, "")</f>
        <v>0</v>
      </c>
      <c r="AA187" s="284" t="n">
        <f aca="false">IFERROR(N187*$E187, "")</f>
        <v>0</v>
      </c>
      <c r="AB187" s="284" t="n">
        <f aca="false">IFERROR(O187*$E187, "")</f>
        <v>0</v>
      </c>
      <c r="AC187" s="284" t="n">
        <f aca="false">IFERROR(P187*$E187, "")</f>
        <v>0</v>
      </c>
      <c r="AD187" s="284" t="n">
        <f aca="false">IFERROR(Q187*$E187, "")</f>
        <v>0</v>
      </c>
      <c r="AE187" s="284" t="n">
        <f aca="false">IFERROR(R187*$E187, "")</f>
        <v>0</v>
      </c>
      <c r="AF187" s="284" t="n">
        <f aca="false">IFERROR(S187*$E187, "")</f>
        <v>0</v>
      </c>
      <c r="AG187" s="284" t="n">
        <f aca="false">IFERROR(T187*$E187, "")</f>
        <v>0</v>
      </c>
      <c r="AH187" s="286" t="n">
        <f aca="false">IFERROR(SUMIF($V$4:$AG$4, "RDEC", V187:AG187), "")</f>
        <v>0</v>
      </c>
      <c r="AI187" s="286" t="n">
        <f aca="false">IFERROR(SUMIF($V$4:$AG$4, "SME", V187:AG187), "")</f>
        <v>0</v>
      </c>
      <c r="AJ187" s="286" t="n">
        <f aca="false">IFERROR(SUMIF($V$4:$AG$4, "De Minimis", V187:AG187), "")</f>
        <v>0</v>
      </c>
      <c r="AK187" s="287"/>
      <c r="AL187" s="288" t="str">
        <f aca="false">IF((SUM(I187:T187)&gt;1),"ERROR","")</f>
        <v/>
      </c>
    </row>
    <row r="188" customFormat="false" ht="15" hidden="false" customHeight="true" outlineLevel="0" collapsed="false">
      <c r="E188" s="200"/>
      <c r="H188" s="350"/>
      <c r="I188" s="282"/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3"/>
      <c r="V188" s="284" t="n">
        <f aca="false">IFERROR(I188*$E188, "")</f>
        <v>0</v>
      </c>
      <c r="W188" s="284" t="n">
        <f aca="false">IFERROR(J188*$E188, "")</f>
        <v>0</v>
      </c>
      <c r="X188" s="284" t="n">
        <f aca="false">IFERROR(K188*$E188, "")</f>
        <v>0</v>
      </c>
      <c r="Y188" s="284" t="n">
        <f aca="false">IFERROR(L188*$E188, "")</f>
        <v>0</v>
      </c>
      <c r="Z188" s="284" t="n">
        <f aca="false">IFERROR(M188*$E188, "")</f>
        <v>0</v>
      </c>
      <c r="AA188" s="284" t="n">
        <f aca="false">IFERROR(N188*$E188, "")</f>
        <v>0</v>
      </c>
      <c r="AB188" s="284" t="n">
        <f aca="false">IFERROR(O188*$E188, "")</f>
        <v>0</v>
      </c>
      <c r="AC188" s="284" t="n">
        <f aca="false">IFERROR(P188*$E188, "")</f>
        <v>0</v>
      </c>
      <c r="AD188" s="284" t="n">
        <f aca="false">IFERROR(Q188*$E188, "")</f>
        <v>0</v>
      </c>
      <c r="AE188" s="284" t="n">
        <f aca="false">IFERROR(R188*$E188, "")</f>
        <v>0</v>
      </c>
      <c r="AF188" s="284" t="n">
        <f aca="false">IFERROR(S188*$E188, "")</f>
        <v>0</v>
      </c>
      <c r="AG188" s="284" t="n">
        <f aca="false">IFERROR(T188*$E188, "")</f>
        <v>0</v>
      </c>
      <c r="AH188" s="286" t="n">
        <f aca="false">IFERROR(SUMIF($V$4:$AG$4, "RDEC", V188:AG188), "")</f>
        <v>0</v>
      </c>
      <c r="AI188" s="286" t="n">
        <f aca="false">IFERROR(SUMIF($V$4:$AG$4, "SME", V188:AG188), "")</f>
        <v>0</v>
      </c>
      <c r="AJ188" s="286" t="n">
        <f aca="false">IFERROR(SUMIF($V$4:$AG$4, "De Minimis", V188:AG188), "")</f>
        <v>0</v>
      </c>
      <c r="AK188" s="287"/>
      <c r="AL188" s="288" t="str">
        <f aca="false">IF((SUM(I188:T188)&gt;1),"ERROR","")</f>
        <v/>
      </c>
    </row>
    <row r="189" customFormat="false" ht="15" hidden="false" customHeight="true" outlineLevel="0" collapsed="false">
      <c r="E189" s="200"/>
      <c r="H189" s="350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3"/>
      <c r="V189" s="284" t="n">
        <f aca="false">IFERROR(I189*$E189, "")</f>
        <v>0</v>
      </c>
      <c r="W189" s="284" t="n">
        <f aca="false">IFERROR(J189*$E189, "")</f>
        <v>0</v>
      </c>
      <c r="X189" s="284" t="n">
        <f aca="false">IFERROR(K189*$E189, "")</f>
        <v>0</v>
      </c>
      <c r="Y189" s="284" t="n">
        <f aca="false">IFERROR(L189*$E189, "")</f>
        <v>0</v>
      </c>
      <c r="Z189" s="284" t="n">
        <f aca="false">IFERROR(M189*$E189, "")</f>
        <v>0</v>
      </c>
      <c r="AA189" s="284" t="n">
        <f aca="false">IFERROR(N189*$E189, "")</f>
        <v>0</v>
      </c>
      <c r="AB189" s="284" t="n">
        <f aca="false">IFERROR(O189*$E189, "")</f>
        <v>0</v>
      </c>
      <c r="AC189" s="284" t="n">
        <f aca="false">IFERROR(P189*$E189, "")</f>
        <v>0</v>
      </c>
      <c r="AD189" s="284" t="n">
        <f aca="false">IFERROR(Q189*$E189, "")</f>
        <v>0</v>
      </c>
      <c r="AE189" s="284" t="n">
        <f aca="false">IFERROR(R189*$E189, "")</f>
        <v>0</v>
      </c>
      <c r="AF189" s="284" t="n">
        <f aca="false">IFERROR(S189*$E189, "")</f>
        <v>0</v>
      </c>
      <c r="AG189" s="284" t="n">
        <f aca="false">IFERROR(T189*$E189, "")</f>
        <v>0</v>
      </c>
      <c r="AH189" s="286" t="n">
        <f aca="false">IFERROR(SUMIF($V$4:$AG$4, "RDEC", V189:AG189), "")</f>
        <v>0</v>
      </c>
      <c r="AI189" s="286" t="n">
        <f aca="false">IFERROR(SUMIF($V$4:$AG$4, "SME", V189:AG189), "")</f>
        <v>0</v>
      </c>
      <c r="AJ189" s="286" t="n">
        <f aca="false">IFERROR(SUMIF($V$4:$AG$4, "De Minimis", V189:AG189), "")</f>
        <v>0</v>
      </c>
      <c r="AK189" s="287"/>
      <c r="AL189" s="288" t="str">
        <f aca="false">IF((SUM(I189:T189)&gt;1),"ERROR","")</f>
        <v/>
      </c>
    </row>
    <row r="190" customFormat="false" ht="15" hidden="false" customHeight="true" outlineLevel="0" collapsed="false">
      <c r="E190" s="200"/>
      <c r="H190" s="350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3"/>
      <c r="V190" s="284" t="n">
        <f aca="false">IFERROR(I190*$E190, "")</f>
        <v>0</v>
      </c>
      <c r="W190" s="284" t="n">
        <f aca="false">IFERROR(J190*$E190, "")</f>
        <v>0</v>
      </c>
      <c r="X190" s="284" t="n">
        <f aca="false">IFERROR(K190*$E190, "")</f>
        <v>0</v>
      </c>
      <c r="Y190" s="284" t="n">
        <f aca="false">IFERROR(L190*$E190, "")</f>
        <v>0</v>
      </c>
      <c r="Z190" s="284" t="n">
        <f aca="false">IFERROR(M190*$E190, "")</f>
        <v>0</v>
      </c>
      <c r="AA190" s="284" t="n">
        <f aca="false">IFERROR(N190*$E190, "")</f>
        <v>0</v>
      </c>
      <c r="AB190" s="284" t="n">
        <f aca="false">IFERROR(O190*$E190, "")</f>
        <v>0</v>
      </c>
      <c r="AC190" s="284" t="n">
        <f aca="false">IFERROR(P190*$E190, "")</f>
        <v>0</v>
      </c>
      <c r="AD190" s="284" t="n">
        <f aca="false">IFERROR(Q190*$E190, "")</f>
        <v>0</v>
      </c>
      <c r="AE190" s="284" t="n">
        <f aca="false">IFERROR(R190*$E190, "")</f>
        <v>0</v>
      </c>
      <c r="AF190" s="284" t="n">
        <f aca="false">IFERROR(S190*$E190, "")</f>
        <v>0</v>
      </c>
      <c r="AG190" s="284" t="n">
        <f aca="false">IFERROR(T190*$E190, "")</f>
        <v>0</v>
      </c>
      <c r="AH190" s="286" t="n">
        <f aca="false">IFERROR(SUMIF($V$4:$AG$4, "RDEC", V190:AG190), "")</f>
        <v>0</v>
      </c>
      <c r="AI190" s="286" t="n">
        <f aca="false">IFERROR(SUMIF($V$4:$AG$4, "SME", V190:AG190), "")</f>
        <v>0</v>
      </c>
      <c r="AJ190" s="286" t="n">
        <f aca="false">IFERROR(SUMIF($V$4:$AG$4, "De Minimis", V190:AG190), "")</f>
        <v>0</v>
      </c>
      <c r="AK190" s="287"/>
      <c r="AL190" s="288" t="str">
        <f aca="false">IF((SUM(I190:T190)&gt;1),"ERROR","")</f>
        <v/>
      </c>
    </row>
    <row r="191" customFormat="false" ht="15" hidden="false" customHeight="true" outlineLevel="0" collapsed="false">
      <c r="E191" s="200"/>
      <c r="H191" s="350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3"/>
      <c r="V191" s="284" t="n">
        <f aca="false">IFERROR(I191*$E191, "")</f>
        <v>0</v>
      </c>
      <c r="W191" s="284" t="n">
        <f aca="false">IFERROR(J191*$E191, "")</f>
        <v>0</v>
      </c>
      <c r="X191" s="284" t="n">
        <f aca="false">IFERROR(K191*$E191, "")</f>
        <v>0</v>
      </c>
      <c r="Y191" s="284" t="n">
        <f aca="false">IFERROR(L191*$E191, "")</f>
        <v>0</v>
      </c>
      <c r="Z191" s="284" t="n">
        <f aca="false">IFERROR(M191*$E191, "")</f>
        <v>0</v>
      </c>
      <c r="AA191" s="284" t="n">
        <f aca="false">IFERROR(N191*$E191, "")</f>
        <v>0</v>
      </c>
      <c r="AB191" s="284" t="n">
        <f aca="false">IFERROR(O191*$E191, "")</f>
        <v>0</v>
      </c>
      <c r="AC191" s="284" t="n">
        <f aca="false">IFERROR(P191*$E191, "")</f>
        <v>0</v>
      </c>
      <c r="AD191" s="284" t="n">
        <f aca="false">IFERROR(Q191*$E191, "")</f>
        <v>0</v>
      </c>
      <c r="AE191" s="284" t="n">
        <f aca="false">IFERROR(R191*$E191, "")</f>
        <v>0</v>
      </c>
      <c r="AF191" s="284" t="n">
        <f aca="false">IFERROR(S191*$E191, "")</f>
        <v>0</v>
      </c>
      <c r="AG191" s="284" t="n">
        <f aca="false">IFERROR(T191*$E191, "")</f>
        <v>0</v>
      </c>
      <c r="AH191" s="286" t="n">
        <f aca="false">IFERROR(SUMIF($V$4:$AG$4, "RDEC", V191:AG191), "")</f>
        <v>0</v>
      </c>
      <c r="AI191" s="286" t="n">
        <f aca="false">IFERROR(SUMIF($V$4:$AG$4, "SME", V191:AG191), "")</f>
        <v>0</v>
      </c>
      <c r="AJ191" s="286" t="n">
        <f aca="false">IFERROR(SUMIF($V$4:$AG$4, "De Minimis", V191:AG191), "")</f>
        <v>0</v>
      </c>
      <c r="AK191" s="287"/>
      <c r="AL191" s="288" t="str">
        <f aca="false">IF((SUM(I191:T191)&gt;1),"ERROR","")</f>
        <v/>
      </c>
    </row>
    <row r="192" customFormat="false" ht="15" hidden="false" customHeight="true" outlineLevel="0" collapsed="false">
      <c r="E192" s="200"/>
      <c r="H192" s="350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3"/>
      <c r="V192" s="284" t="n">
        <f aca="false">IFERROR(I192*$E192, "")</f>
        <v>0</v>
      </c>
      <c r="W192" s="284" t="n">
        <f aca="false">IFERROR(J192*$E192, "")</f>
        <v>0</v>
      </c>
      <c r="X192" s="284" t="n">
        <f aca="false">IFERROR(K192*$E192, "")</f>
        <v>0</v>
      </c>
      <c r="Y192" s="284" t="n">
        <f aca="false">IFERROR(L192*$E192, "")</f>
        <v>0</v>
      </c>
      <c r="Z192" s="284" t="n">
        <f aca="false">IFERROR(M192*$E192, "")</f>
        <v>0</v>
      </c>
      <c r="AA192" s="284" t="n">
        <f aca="false">IFERROR(N192*$E192, "")</f>
        <v>0</v>
      </c>
      <c r="AB192" s="284" t="n">
        <f aca="false">IFERROR(O192*$E192, "")</f>
        <v>0</v>
      </c>
      <c r="AC192" s="284" t="n">
        <f aca="false">IFERROR(P192*$E192, "")</f>
        <v>0</v>
      </c>
      <c r="AD192" s="284" t="n">
        <f aca="false">IFERROR(Q192*$E192, "")</f>
        <v>0</v>
      </c>
      <c r="AE192" s="284" t="n">
        <f aca="false">IFERROR(R192*$E192, "")</f>
        <v>0</v>
      </c>
      <c r="AF192" s="284" t="n">
        <f aca="false">IFERROR(S192*$E192, "")</f>
        <v>0</v>
      </c>
      <c r="AG192" s="284" t="n">
        <f aca="false">IFERROR(T192*$E192, "")</f>
        <v>0</v>
      </c>
      <c r="AH192" s="286" t="n">
        <f aca="false">IFERROR(SUMIF($V$4:$AG$4, "RDEC", V192:AG192), "")</f>
        <v>0</v>
      </c>
      <c r="AI192" s="286" t="n">
        <f aca="false">IFERROR(SUMIF($V$4:$AG$4, "SME", V192:AG192), "")</f>
        <v>0</v>
      </c>
      <c r="AJ192" s="286" t="n">
        <f aca="false">IFERROR(SUMIF($V$4:$AG$4, "De Minimis", V192:AG192), "")</f>
        <v>0</v>
      </c>
      <c r="AK192" s="287"/>
      <c r="AL192" s="288" t="str">
        <f aca="false">IF((SUM(I192:T192)&gt;1),"ERROR","")</f>
        <v/>
      </c>
    </row>
    <row r="193" customFormat="false" ht="15" hidden="false" customHeight="true" outlineLevel="0" collapsed="false">
      <c r="E193" s="200"/>
      <c r="H193" s="350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3"/>
      <c r="V193" s="284" t="n">
        <f aca="false">IFERROR(I193*$E193, "")</f>
        <v>0</v>
      </c>
      <c r="W193" s="284" t="n">
        <f aca="false">IFERROR(J193*$E193, "")</f>
        <v>0</v>
      </c>
      <c r="X193" s="284" t="n">
        <f aca="false">IFERROR(K193*$E193, "")</f>
        <v>0</v>
      </c>
      <c r="Y193" s="284" t="n">
        <f aca="false">IFERROR(L193*$E193, "")</f>
        <v>0</v>
      </c>
      <c r="Z193" s="284" t="n">
        <f aca="false">IFERROR(M193*$E193, "")</f>
        <v>0</v>
      </c>
      <c r="AA193" s="284" t="n">
        <f aca="false">IFERROR(N193*$E193, "")</f>
        <v>0</v>
      </c>
      <c r="AB193" s="284" t="n">
        <f aca="false">IFERROR(O193*$E193, "")</f>
        <v>0</v>
      </c>
      <c r="AC193" s="284" t="n">
        <f aca="false">IFERROR(P193*$E193, "")</f>
        <v>0</v>
      </c>
      <c r="AD193" s="284" t="n">
        <f aca="false">IFERROR(Q193*$E193, "")</f>
        <v>0</v>
      </c>
      <c r="AE193" s="284" t="n">
        <f aca="false">IFERROR(R193*$E193, "")</f>
        <v>0</v>
      </c>
      <c r="AF193" s="284" t="n">
        <f aca="false">IFERROR(S193*$E193, "")</f>
        <v>0</v>
      </c>
      <c r="AG193" s="284" t="n">
        <f aca="false">IFERROR(T193*$E193, "")</f>
        <v>0</v>
      </c>
      <c r="AH193" s="286" t="n">
        <f aca="false">IFERROR(SUMIF($V$4:$AG$4, "RDEC", V193:AG193), "")</f>
        <v>0</v>
      </c>
      <c r="AI193" s="286" t="n">
        <f aca="false">IFERROR(SUMIF($V$4:$AG$4, "SME", V193:AG193), "")</f>
        <v>0</v>
      </c>
      <c r="AJ193" s="286" t="n">
        <f aca="false">IFERROR(SUMIF($V$4:$AG$4, "De Minimis", V193:AG193), "")</f>
        <v>0</v>
      </c>
      <c r="AK193" s="287"/>
      <c r="AL193" s="288" t="str">
        <f aca="false">IF((SUM(I193:T193)&gt;1),"ERROR","")</f>
        <v/>
      </c>
    </row>
    <row r="194" customFormat="false" ht="15" hidden="false" customHeight="true" outlineLevel="0" collapsed="false">
      <c r="E194" s="200"/>
      <c r="H194" s="350"/>
      <c r="I194" s="282"/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3"/>
      <c r="V194" s="284" t="n">
        <f aca="false">IFERROR(I194*$E194, "")</f>
        <v>0</v>
      </c>
      <c r="W194" s="284" t="n">
        <f aca="false">IFERROR(J194*$E194, "")</f>
        <v>0</v>
      </c>
      <c r="X194" s="284" t="n">
        <f aca="false">IFERROR(K194*$E194, "")</f>
        <v>0</v>
      </c>
      <c r="Y194" s="284" t="n">
        <f aca="false">IFERROR(L194*$E194, "")</f>
        <v>0</v>
      </c>
      <c r="Z194" s="284" t="n">
        <f aca="false">IFERROR(M194*$E194, "")</f>
        <v>0</v>
      </c>
      <c r="AA194" s="284" t="n">
        <f aca="false">IFERROR(N194*$E194, "")</f>
        <v>0</v>
      </c>
      <c r="AB194" s="284" t="n">
        <f aca="false">IFERROR(O194*$E194, "")</f>
        <v>0</v>
      </c>
      <c r="AC194" s="284" t="n">
        <f aca="false">IFERROR(P194*$E194, "")</f>
        <v>0</v>
      </c>
      <c r="AD194" s="284" t="n">
        <f aca="false">IFERROR(Q194*$E194, "")</f>
        <v>0</v>
      </c>
      <c r="AE194" s="284" t="n">
        <f aca="false">IFERROR(R194*$E194, "")</f>
        <v>0</v>
      </c>
      <c r="AF194" s="284" t="n">
        <f aca="false">IFERROR(S194*$E194, "")</f>
        <v>0</v>
      </c>
      <c r="AG194" s="284" t="n">
        <f aca="false">IFERROR(T194*$E194, "")</f>
        <v>0</v>
      </c>
      <c r="AH194" s="286" t="n">
        <f aca="false">IFERROR(SUMIF($V$4:$AG$4, "RDEC", V194:AG194), "")</f>
        <v>0</v>
      </c>
      <c r="AI194" s="286" t="n">
        <f aca="false">IFERROR(SUMIF($V$4:$AG$4, "SME", V194:AG194), "")</f>
        <v>0</v>
      </c>
      <c r="AJ194" s="286" t="n">
        <f aca="false">IFERROR(SUMIF($V$4:$AG$4, "De Minimis", V194:AG194), "")</f>
        <v>0</v>
      </c>
      <c r="AK194" s="287"/>
      <c r="AL194" s="288" t="str">
        <f aca="false">IF((SUM(I194:T194)&gt;1),"ERROR","")</f>
        <v/>
      </c>
    </row>
    <row r="195" customFormat="false" ht="15" hidden="false" customHeight="true" outlineLevel="0" collapsed="false">
      <c r="E195" s="200"/>
      <c r="H195" s="350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3"/>
      <c r="V195" s="284" t="n">
        <f aca="false">IFERROR(I195*$E195, "")</f>
        <v>0</v>
      </c>
      <c r="W195" s="284" t="n">
        <f aca="false">IFERROR(J195*$E195, "")</f>
        <v>0</v>
      </c>
      <c r="X195" s="284" t="n">
        <f aca="false">IFERROR(K195*$E195, "")</f>
        <v>0</v>
      </c>
      <c r="Y195" s="284" t="n">
        <f aca="false">IFERROR(L195*$E195, "")</f>
        <v>0</v>
      </c>
      <c r="Z195" s="284" t="n">
        <f aca="false">IFERROR(M195*$E195, "")</f>
        <v>0</v>
      </c>
      <c r="AA195" s="284" t="n">
        <f aca="false">IFERROR(N195*$E195, "")</f>
        <v>0</v>
      </c>
      <c r="AB195" s="284" t="n">
        <f aca="false">IFERROR(O195*$E195, "")</f>
        <v>0</v>
      </c>
      <c r="AC195" s="284" t="n">
        <f aca="false">IFERROR(P195*$E195, "")</f>
        <v>0</v>
      </c>
      <c r="AD195" s="284" t="n">
        <f aca="false">IFERROR(Q195*$E195, "")</f>
        <v>0</v>
      </c>
      <c r="AE195" s="284" t="n">
        <f aca="false">IFERROR(R195*$E195, "")</f>
        <v>0</v>
      </c>
      <c r="AF195" s="284" t="n">
        <f aca="false">IFERROR(S195*$E195, "")</f>
        <v>0</v>
      </c>
      <c r="AG195" s="284" t="n">
        <f aca="false">IFERROR(T195*$E195, "")</f>
        <v>0</v>
      </c>
      <c r="AH195" s="286" t="n">
        <f aca="false">IFERROR(SUMIF($V$4:$AG$4, "RDEC", V195:AG195), "")</f>
        <v>0</v>
      </c>
      <c r="AI195" s="286" t="n">
        <f aca="false">IFERROR(SUMIF($V$4:$AG$4, "SME", V195:AG195), "")</f>
        <v>0</v>
      </c>
      <c r="AJ195" s="286" t="n">
        <f aca="false">IFERROR(SUMIF($V$4:$AG$4, "De Minimis", V195:AG195), "")</f>
        <v>0</v>
      </c>
      <c r="AK195" s="287"/>
      <c r="AL195" s="288" t="str">
        <f aca="false">IF((SUM(I195:T195)&gt;1),"ERROR","")</f>
        <v/>
      </c>
    </row>
    <row r="196" customFormat="false" ht="15" hidden="false" customHeight="true" outlineLevel="0" collapsed="false">
      <c r="E196" s="200"/>
      <c r="H196" s="350"/>
      <c r="I196" s="282"/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3"/>
      <c r="V196" s="284" t="n">
        <f aca="false">IFERROR(I196*$E196, "")</f>
        <v>0</v>
      </c>
      <c r="W196" s="284" t="n">
        <f aca="false">IFERROR(J196*$E196, "")</f>
        <v>0</v>
      </c>
      <c r="X196" s="284" t="n">
        <f aca="false">IFERROR(K196*$E196, "")</f>
        <v>0</v>
      </c>
      <c r="Y196" s="284" t="n">
        <f aca="false">IFERROR(L196*$E196, "")</f>
        <v>0</v>
      </c>
      <c r="Z196" s="284" t="n">
        <f aca="false">IFERROR(M196*$E196, "")</f>
        <v>0</v>
      </c>
      <c r="AA196" s="284" t="n">
        <f aca="false">IFERROR(N196*$E196, "")</f>
        <v>0</v>
      </c>
      <c r="AB196" s="284" t="n">
        <f aca="false">IFERROR(O196*$E196, "")</f>
        <v>0</v>
      </c>
      <c r="AC196" s="284" t="n">
        <f aca="false">IFERROR(P196*$E196, "")</f>
        <v>0</v>
      </c>
      <c r="AD196" s="284" t="n">
        <f aca="false">IFERROR(Q196*$E196, "")</f>
        <v>0</v>
      </c>
      <c r="AE196" s="284" t="n">
        <f aca="false">IFERROR(R196*$E196, "")</f>
        <v>0</v>
      </c>
      <c r="AF196" s="284" t="n">
        <f aca="false">IFERROR(S196*$E196, "")</f>
        <v>0</v>
      </c>
      <c r="AG196" s="284" t="n">
        <f aca="false">IFERROR(T196*$E196, "")</f>
        <v>0</v>
      </c>
      <c r="AH196" s="286" t="n">
        <f aca="false">IFERROR(SUMIF($V$4:$AG$4, "RDEC", V196:AG196), "")</f>
        <v>0</v>
      </c>
      <c r="AI196" s="286" t="n">
        <f aca="false">IFERROR(SUMIF($V$4:$AG$4, "SME", V196:AG196), "")</f>
        <v>0</v>
      </c>
      <c r="AJ196" s="286" t="n">
        <f aca="false">IFERROR(SUMIF($V$4:$AG$4, "De Minimis", V196:AG196), "")</f>
        <v>0</v>
      </c>
      <c r="AK196" s="287"/>
      <c r="AL196" s="288" t="str">
        <f aca="false">IF((SUM(I196:T196)&gt;1),"ERROR","")</f>
        <v/>
      </c>
    </row>
    <row r="197" customFormat="false" ht="15" hidden="false" customHeight="true" outlineLevel="0" collapsed="false">
      <c r="E197" s="200"/>
      <c r="H197" s="350"/>
      <c r="I197" s="282"/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3"/>
      <c r="V197" s="284" t="n">
        <f aca="false">IFERROR(I197*$E197, "")</f>
        <v>0</v>
      </c>
      <c r="W197" s="284" t="n">
        <f aca="false">IFERROR(J197*$E197, "")</f>
        <v>0</v>
      </c>
      <c r="X197" s="284" t="n">
        <f aca="false">IFERROR(K197*$E197, "")</f>
        <v>0</v>
      </c>
      <c r="Y197" s="284" t="n">
        <f aca="false">IFERROR(L197*$E197, "")</f>
        <v>0</v>
      </c>
      <c r="Z197" s="284" t="n">
        <f aca="false">IFERROR(M197*$E197, "")</f>
        <v>0</v>
      </c>
      <c r="AA197" s="284" t="n">
        <f aca="false">IFERROR(N197*$E197, "")</f>
        <v>0</v>
      </c>
      <c r="AB197" s="284" t="n">
        <f aca="false">IFERROR(O197*$E197, "")</f>
        <v>0</v>
      </c>
      <c r="AC197" s="284" t="n">
        <f aca="false">IFERROR(P197*$E197, "")</f>
        <v>0</v>
      </c>
      <c r="AD197" s="284" t="n">
        <f aca="false">IFERROR(Q197*$E197, "")</f>
        <v>0</v>
      </c>
      <c r="AE197" s="284" t="n">
        <f aca="false">IFERROR(R197*$E197, "")</f>
        <v>0</v>
      </c>
      <c r="AF197" s="284" t="n">
        <f aca="false">IFERROR(S197*$E197, "")</f>
        <v>0</v>
      </c>
      <c r="AG197" s="284" t="n">
        <f aca="false">IFERROR(T197*$E197, "")</f>
        <v>0</v>
      </c>
      <c r="AH197" s="286" t="n">
        <f aca="false">IFERROR(SUMIF($V$4:$AG$4, "RDEC", V197:AG197), "")</f>
        <v>0</v>
      </c>
      <c r="AI197" s="286" t="n">
        <f aca="false">IFERROR(SUMIF($V$4:$AG$4, "SME", V197:AG197), "")</f>
        <v>0</v>
      </c>
      <c r="AJ197" s="286" t="n">
        <f aca="false">IFERROR(SUMIF($V$4:$AG$4, "De Minimis", V197:AG197), "")</f>
        <v>0</v>
      </c>
      <c r="AK197" s="287"/>
      <c r="AL197" s="288" t="str">
        <f aca="false">IF((SUM(I197:T197)&gt;1),"ERROR","")</f>
        <v/>
      </c>
    </row>
    <row r="198" customFormat="false" ht="15" hidden="false" customHeight="true" outlineLevel="0" collapsed="false">
      <c r="E198" s="200"/>
      <c r="H198" s="350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3"/>
      <c r="V198" s="284" t="n">
        <f aca="false">IFERROR(I198*$E198, "")</f>
        <v>0</v>
      </c>
      <c r="W198" s="284" t="n">
        <f aca="false">IFERROR(J198*$E198, "")</f>
        <v>0</v>
      </c>
      <c r="X198" s="284" t="n">
        <f aca="false">IFERROR(K198*$E198, "")</f>
        <v>0</v>
      </c>
      <c r="Y198" s="284" t="n">
        <f aca="false">IFERROR(L198*$E198, "")</f>
        <v>0</v>
      </c>
      <c r="Z198" s="284" t="n">
        <f aca="false">IFERROR(M198*$E198, "")</f>
        <v>0</v>
      </c>
      <c r="AA198" s="284" t="n">
        <f aca="false">IFERROR(N198*$E198, "")</f>
        <v>0</v>
      </c>
      <c r="AB198" s="284" t="n">
        <f aca="false">IFERROR(O198*$E198, "")</f>
        <v>0</v>
      </c>
      <c r="AC198" s="284" t="n">
        <f aca="false">IFERROR(P198*$E198, "")</f>
        <v>0</v>
      </c>
      <c r="AD198" s="284" t="n">
        <f aca="false">IFERROR(Q198*$E198, "")</f>
        <v>0</v>
      </c>
      <c r="AE198" s="284" t="n">
        <f aca="false">IFERROR(R198*$E198, "")</f>
        <v>0</v>
      </c>
      <c r="AF198" s="284" t="n">
        <f aca="false">IFERROR(S198*$E198, "")</f>
        <v>0</v>
      </c>
      <c r="AG198" s="284" t="n">
        <f aca="false">IFERROR(T198*$E198, "")</f>
        <v>0</v>
      </c>
      <c r="AH198" s="286" t="n">
        <f aca="false">IFERROR(SUMIF($V$4:$AG$4, "RDEC", V198:AG198), "")</f>
        <v>0</v>
      </c>
      <c r="AI198" s="286" t="n">
        <f aca="false">IFERROR(SUMIF($V$4:$AG$4, "SME", V198:AG198), "")</f>
        <v>0</v>
      </c>
      <c r="AJ198" s="286" t="n">
        <f aca="false">IFERROR(SUMIF($V$4:$AG$4, "De Minimis", V198:AG198), "")</f>
        <v>0</v>
      </c>
      <c r="AK198" s="287"/>
      <c r="AL198" s="288" t="str">
        <f aca="false">IF((SUM(I198:T198)&gt;1),"ERROR","")</f>
        <v/>
      </c>
    </row>
    <row r="199" customFormat="false" ht="15" hidden="false" customHeight="true" outlineLevel="0" collapsed="false">
      <c r="E199" s="200"/>
      <c r="H199" s="350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3"/>
      <c r="V199" s="284" t="n">
        <f aca="false">IFERROR(I199*$E199, "")</f>
        <v>0</v>
      </c>
      <c r="W199" s="284" t="n">
        <f aca="false">IFERROR(J199*$E199, "")</f>
        <v>0</v>
      </c>
      <c r="X199" s="284" t="n">
        <f aca="false">IFERROR(K199*$E199, "")</f>
        <v>0</v>
      </c>
      <c r="Y199" s="284" t="n">
        <f aca="false">IFERROR(L199*$E199, "")</f>
        <v>0</v>
      </c>
      <c r="Z199" s="284" t="n">
        <f aca="false">IFERROR(M199*$E199, "")</f>
        <v>0</v>
      </c>
      <c r="AA199" s="284" t="n">
        <f aca="false">IFERROR(N199*$E199, "")</f>
        <v>0</v>
      </c>
      <c r="AB199" s="284" t="n">
        <f aca="false">IFERROR(O199*$E199, "")</f>
        <v>0</v>
      </c>
      <c r="AC199" s="284" t="n">
        <f aca="false">IFERROR(P199*$E199, "")</f>
        <v>0</v>
      </c>
      <c r="AD199" s="284" t="n">
        <f aca="false">IFERROR(Q199*$E199, "")</f>
        <v>0</v>
      </c>
      <c r="AE199" s="284" t="n">
        <f aca="false">IFERROR(R199*$E199, "")</f>
        <v>0</v>
      </c>
      <c r="AF199" s="284" t="n">
        <f aca="false">IFERROR(S199*$E199, "")</f>
        <v>0</v>
      </c>
      <c r="AG199" s="284" t="n">
        <f aca="false">IFERROR(T199*$E199, "")</f>
        <v>0</v>
      </c>
      <c r="AH199" s="286" t="n">
        <f aca="false">IFERROR(SUMIF($V$4:$AG$4, "RDEC", V199:AG199), "")</f>
        <v>0</v>
      </c>
      <c r="AI199" s="286" t="n">
        <f aca="false">IFERROR(SUMIF($V$4:$AG$4, "SME", V199:AG199), "")</f>
        <v>0</v>
      </c>
      <c r="AJ199" s="286" t="n">
        <f aca="false">IFERROR(SUMIF($V$4:$AG$4, "De Minimis", V199:AG199), "")</f>
        <v>0</v>
      </c>
      <c r="AK199" s="303"/>
      <c r="AL199" s="288" t="str">
        <f aca="false">IF((SUM(I199:T199)&gt;1),"ERROR","")</f>
        <v/>
      </c>
    </row>
    <row r="200" customFormat="false" ht="15" hidden="false" customHeight="true" outlineLevel="0" collapsed="false">
      <c r="E200" s="200"/>
      <c r="H200" s="350"/>
      <c r="I200" s="282"/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3"/>
      <c r="V200" s="284" t="n">
        <f aca="false">IFERROR(I200*$E200, "")</f>
        <v>0</v>
      </c>
      <c r="W200" s="284" t="n">
        <f aca="false">IFERROR(J200*$E200, "")</f>
        <v>0</v>
      </c>
      <c r="X200" s="284" t="n">
        <f aca="false">IFERROR(K200*$E200, "")</f>
        <v>0</v>
      </c>
      <c r="Y200" s="284" t="n">
        <f aca="false">IFERROR(L200*$E200, "")</f>
        <v>0</v>
      </c>
      <c r="Z200" s="284" t="n">
        <f aca="false">IFERROR(M200*$E200, "")</f>
        <v>0</v>
      </c>
      <c r="AA200" s="284" t="n">
        <f aca="false">IFERROR(N200*$E200, "")</f>
        <v>0</v>
      </c>
      <c r="AB200" s="284" t="n">
        <f aca="false">IFERROR(O200*$E200, "")</f>
        <v>0</v>
      </c>
      <c r="AC200" s="284" t="n">
        <f aca="false">IFERROR(P200*$E200, "")</f>
        <v>0</v>
      </c>
      <c r="AD200" s="284" t="n">
        <f aca="false">IFERROR(Q200*$E200, "")</f>
        <v>0</v>
      </c>
      <c r="AE200" s="284" t="n">
        <f aca="false">IFERROR(R200*$E200, "")</f>
        <v>0</v>
      </c>
      <c r="AF200" s="284" t="n">
        <f aca="false">IFERROR(S200*$E200, "")</f>
        <v>0</v>
      </c>
      <c r="AG200" s="284" t="n">
        <f aca="false">IFERROR(T200*$E200, "")</f>
        <v>0</v>
      </c>
      <c r="AH200" s="286" t="n">
        <f aca="false">IFERROR(SUMIF($V$4:$AG$4, "RDEC", V200:AG200), "")</f>
        <v>0</v>
      </c>
      <c r="AI200" s="286" t="n">
        <f aca="false">IFERROR(SUMIF($V$4:$AG$4, "SME", V200:AG200), "")</f>
        <v>0</v>
      </c>
      <c r="AJ200" s="286" t="n">
        <f aca="false">IFERROR(SUMIF($V$4:$AG$4, "De Minimis", V200:AG200), "")</f>
        <v>0</v>
      </c>
      <c r="AL200" s="288" t="str">
        <f aca="false">IF((SUM(I200:T200)&gt;1),"ERROR","")</f>
        <v/>
      </c>
    </row>
    <row r="201" customFormat="false" ht="15" hidden="false" customHeight="true" outlineLevel="0" collapsed="false">
      <c r="E201" s="200"/>
      <c r="H201" s="350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3"/>
      <c r="V201" s="284" t="n">
        <f aca="false">IFERROR(I201*$E201, "")</f>
        <v>0</v>
      </c>
      <c r="W201" s="284" t="n">
        <f aca="false">IFERROR(J201*$E201, "")</f>
        <v>0</v>
      </c>
      <c r="X201" s="284" t="n">
        <f aca="false">IFERROR(K201*$E201, "")</f>
        <v>0</v>
      </c>
      <c r="Y201" s="284" t="n">
        <f aca="false">IFERROR(L201*$E201, "")</f>
        <v>0</v>
      </c>
      <c r="Z201" s="284" t="n">
        <f aca="false">IFERROR(M201*$E201, "")</f>
        <v>0</v>
      </c>
      <c r="AA201" s="284" t="n">
        <f aca="false">IFERROR(N201*$E201, "")</f>
        <v>0</v>
      </c>
      <c r="AB201" s="284" t="n">
        <f aca="false">IFERROR(O201*$E201, "")</f>
        <v>0</v>
      </c>
      <c r="AC201" s="284" t="n">
        <f aca="false">IFERROR(P201*$E201, "")</f>
        <v>0</v>
      </c>
      <c r="AD201" s="284" t="n">
        <f aca="false">IFERROR(Q201*$E201, "")</f>
        <v>0</v>
      </c>
      <c r="AE201" s="284" t="n">
        <f aca="false">IFERROR(R201*$E201, "")</f>
        <v>0</v>
      </c>
      <c r="AF201" s="284" t="n">
        <f aca="false">IFERROR(S201*$E201, "")</f>
        <v>0</v>
      </c>
      <c r="AG201" s="284" t="n">
        <f aca="false">IFERROR(T201*$E201, "")</f>
        <v>0</v>
      </c>
      <c r="AH201" s="286" t="n">
        <f aca="false">IFERROR(SUMIF($V$4:$AG$4, "RDEC", V201:AG201), "")</f>
        <v>0</v>
      </c>
      <c r="AI201" s="286" t="n">
        <f aca="false">IFERROR(SUMIF($V$4:$AG$4, "SME", V201:AG201), "")</f>
        <v>0</v>
      </c>
      <c r="AJ201" s="286" t="n">
        <f aca="false">IFERROR(SUMIF($V$4:$AG$4, "De Minimis", V201:AG201), "")</f>
        <v>0</v>
      </c>
      <c r="AK201" s="268"/>
      <c r="AL201" s="288" t="str">
        <f aca="false">IF((SUM(I201:T201)&gt;1),"ERROR","")</f>
        <v/>
      </c>
    </row>
    <row r="202" customFormat="false" ht="15" hidden="false" customHeight="true" outlineLevel="0" collapsed="false">
      <c r="E202" s="200"/>
      <c r="H202" s="350"/>
      <c r="I202" s="282"/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3"/>
      <c r="V202" s="284" t="n">
        <f aca="false">IFERROR(I202*$E202, "")</f>
        <v>0</v>
      </c>
      <c r="W202" s="284" t="n">
        <f aca="false">IFERROR(J202*$E202, "")</f>
        <v>0</v>
      </c>
      <c r="X202" s="284" t="n">
        <f aca="false">IFERROR(K202*$E202, "")</f>
        <v>0</v>
      </c>
      <c r="Y202" s="284" t="n">
        <f aca="false">IFERROR(L202*$E202, "")</f>
        <v>0</v>
      </c>
      <c r="Z202" s="284" t="n">
        <f aca="false">IFERROR(M202*$E202, "")</f>
        <v>0</v>
      </c>
      <c r="AA202" s="284" t="n">
        <f aca="false">IFERROR(N202*$E202, "")</f>
        <v>0</v>
      </c>
      <c r="AB202" s="284" t="n">
        <f aca="false">IFERROR(O202*$E202, "")</f>
        <v>0</v>
      </c>
      <c r="AC202" s="284" t="n">
        <f aca="false">IFERROR(P202*$E202, "")</f>
        <v>0</v>
      </c>
      <c r="AD202" s="284" t="n">
        <f aca="false">IFERROR(Q202*$E202, "")</f>
        <v>0</v>
      </c>
      <c r="AE202" s="284" t="n">
        <f aca="false">IFERROR(R202*$E202, "")</f>
        <v>0</v>
      </c>
      <c r="AF202" s="284" t="n">
        <f aca="false">IFERROR(S202*$E202, "")</f>
        <v>0</v>
      </c>
      <c r="AG202" s="284" t="n">
        <f aca="false">IFERROR(T202*$E202, "")</f>
        <v>0</v>
      </c>
      <c r="AH202" s="286" t="n">
        <f aca="false">IFERROR(SUMIF($V$4:$AG$4, "RDEC", V202:AG202), "")</f>
        <v>0</v>
      </c>
      <c r="AI202" s="286" t="n">
        <f aca="false">IFERROR(SUMIF($V$4:$AG$4, "SME", V202:AG202), "")</f>
        <v>0</v>
      </c>
      <c r="AJ202" s="286" t="n">
        <f aca="false">IFERROR(SUMIF($V$4:$AG$4, "De Minimis", V202:AG202), "")</f>
        <v>0</v>
      </c>
      <c r="AK202" s="287"/>
      <c r="AL202" s="288" t="str">
        <f aca="false">IF((SUM(I202:T202)&gt;1),"ERROR","")</f>
        <v/>
      </c>
    </row>
    <row r="203" customFormat="false" ht="15" hidden="false" customHeight="true" outlineLevel="0" collapsed="false">
      <c r="E203" s="200"/>
      <c r="H203" s="350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3"/>
      <c r="V203" s="284" t="n">
        <f aca="false">IFERROR(I203*$E203, "")</f>
        <v>0</v>
      </c>
      <c r="W203" s="284" t="n">
        <f aca="false">IFERROR(J203*$E203, "")</f>
        <v>0</v>
      </c>
      <c r="X203" s="284" t="n">
        <f aca="false">IFERROR(K203*$E203, "")</f>
        <v>0</v>
      </c>
      <c r="Y203" s="284" t="n">
        <f aca="false">IFERROR(L203*$E203, "")</f>
        <v>0</v>
      </c>
      <c r="Z203" s="284" t="n">
        <f aca="false">IFERROR(M203*$E203, "")</f>
        <v>0</v>
      </c>
      <c r="AA203" s="284" t="n">
        <f aca="false">IFERROR(N203*$E203, "")</f>
        <v>0</v>
      </c>
      <c r="AB203" s="284" t="n">
        <f aca="false">IFERROR(O203*$E203, "")</f>
        <v>0</v>
      </c>
      <c r="AC203" s="284" t="n">
        <f aca="false">IFERROR(P203*$E203, "")</f>
        <v>0</v>
      </c>
      <c r="AD203" s="284" t="n">
        <f aca="false">IFERROR(Q203*$E203, "")</f>
        <v>0</v>
      </c>
      <c r="AE203" s="284" t="n">
        <f aca="false">IFERROR(R203*$E203, "")</f>
        <v>0</v>
      </c>
      <c r="AF203" s="284" t="n">
        <f aca="false">IFERROR(S203*$E203, "")</f>
        <v>0</v>
      </c>
      <c r="AG203" s="284" t="n">
        <f aca="false">IFERROR(T203*$E203, "")</f>
        <v>0</v>
      </c>
      <c r="AH203" s="286" t="n">
        <f aca="false">IFERROR(SUMIF($V$4:$AG$4, "RDEC", V203:AG203), "")</f>
        <v>0</v>
      </c>
      <c r="AI203" s="286" t="n">
        <f aca="false">IFERROR(SUMIF($V$4:$AG$4, "SME", V203:AG203), "")</f>
        <v>0</v>
      </c>
      <c r="AJ203" s="286" t="n">
        <f aca="false">IFERROR(SUMIF($V$4:$AG$4, "De Minimis", V203:AG203), "")</f>
        <v>0</v>
      </c>
      <c r="AK203" s="287"/>
      <c r="AL203" s="288" t="str">
        <f aca="false">IF((SUM(I203:T203)&gt;1),"ERROR","")</f>
        <v/>
      </c>
    </row>
    <row r="204" customFormat="false" ht="15" hidden="false" customHeight="true" outlineLevel="0" collapsed="false">
      <c r="E204" s="200"/>
      <c r="H204" s="350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3"/>
      <c r="V204" s="284" t="n">
        <f aca="false">IFERROR(I204*$E204, "")</f>
        <v>0</v>
      </c>
      <c r="W204" s="284" t="n">
        <f aca="false">IFERROR(J204*$E204, "")</f>
        <v>0</v>
      </c>
      <c r="X204" s="284" t="n">
        <f aca="false">IFERROR(K204*$E204, "")</f>
        <v>0</v>
      </c>
      <c r="Y204" s="284" t="n">
        <f aca="false">IFERROR(L204*$E204, "")</f>
        <v>0</v>
      </c>
      <c r="Z204" s="284" t="n">
        <f aca="false">IFERROR(M204*$E204, "")</f>
        <v>0</v>
      </c>
      <c r="AA204" s="284" t="n">
        <f aca="false">IFERROR(N204*$E204, "")</f>
        <v>0</v>
      </c>
      <c r="AB204" s="284" t="n">
        <f aca="false">IFERROR(O204*$E204, "")</f>
        <v>0</v>
      </c>
      <c r="AC204" s="284" t="n">
        <f aca="false">IFERROR(P204*$E204, "")</f>
        <v>0</v>
      </c>
      <c r="AD204" s="284" t="n">
        <f aca="false">IFERROR(Q204*$E204, "")</f>
        <v>0</v>
      </c>
      <c r="AE204" s="284" t="n">
        <f aca="false">IFERROR(R204*$E204, "")</f>
        <v>0</v>
      </c>
      <c r="AF204" s="284" t="n">
        <f aca="false">IFERROR(S204*$E204, "")</f>
        <v>0</v>
      </c>
      <c r="AG204" s="284" t="n">
        <f aca="false">IFERROR(T204*$E204, "")</f>
        <v>0</v>
      </c>
      <c r="AH204" s="286" t="n">
        <f aca="false">IFERROR(SUMIF($V$4:$AG$4, "RDEC", V204:AG204), "")</f>
        <v>0</v>
      </c>
      <c r="AI204" s="286" t="n">
        <f aca="false">IFERROR(SUMIF($V$4:$AG$4, "SME", V204:AG204), "")</f>
        <v>0</v>
      </c>
      <c r="AJ204" s="286" t="n">
        <f aca="false">IFERROR(SUMIF($V$4:$AG$4, "De Minimis", V204:AG204), "")</f>
        <v>0</v>
      </c>
      <c r="AK204" s="287"/>
      <c r="AL204" s="288" t="str">
        <f aca="false">IF((SUM(I204:T204)&gt;1),"ERROR","")</f>
        <v/>
      </c>
    </row>
    <row r="205" customFormat="false" ht="15" hidden="false" customHeight="true" outlineLevel="0" collapsed="false">
      <c r="E205" s="200"/>
      <c r="H205" s="350"/>
      <c r="I205" s="282"/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3"/>
      <c r="V205" s="284" t="n">
        <f aca="false">IFERROR(I205*$E205, "")</f>
        <v>0</v>
      </c>
      <c r="W205" s="284" t="n">
        <f aca="false">IFERROR(J205*$E205, "")</f>
        <v>0</v>
      </c>
      <c r="X205" s="284" t="n">
        <f aca="false">IFERROR(K205*$E205, "")</f>
        <v>0</v>
      </c>
      <c r="Y205" s="284" t="n">
        <f aca="false">IFERROR(L205*$E205, "")</f>
        <v>0</v>
      </c>
      <c r="Z205" s="284" t="n">
        <f aca="false">IFERROR(M205*$E205, "")</f>
        <v>0</v>
      </c>
      <c r="AA205" s="284" t="n">
        <f aca="false">IFERROR(N205*$E205, "")</f>
        <v>0</v>
      </c>
      <c r="AB205" s="284" t="n">
        <f aca="false">IFERROR(O205*$E205, "")</f>
        <v>0</v>
      </c>
      <c r="AC205" s="284" t="n">
        <f aca="false">IFERROR(P205*$E205, "")</f>
        <v>0</v>
      </c>
      <c r="AD205" s="284" t="n">
        <f aca="false">IFERROR(Q205*$E205, "")</f>
        <v>0</v>
      </c>
      <c r="AE205" s="284" t="n">
        <f aca="false">IFERROR(R205*$E205, "")</f>
        <v>0</v>
      </c>
      <c r="AF205" s="284" t="n">
        <f aca="false">IFERROR(S205*$E205, "")</f>
        <v>0</v>
      </c>
      <c r="AG205" s="284" t="n">
        <f aca="false">IFERROR(T205*$E205, "")</f>
        <v>0</v>
      </c>
      <c r="AH205" s="286" t="n">
        <f aca="false">IFERROR(SUMIF($V$4:$AG$4, "RDEC", V205:AG205), "")</f>
        <v>0</v>
      </c>
      <c r="AI205" s="286" t="n">
        <f aca="false">IFERROR(SUMIF($V$4:$AG$4, "SME", V205:AG205), "")</f>
        <v>0</v>
      </c>
      <c r="AJ205" s="286" t="n">
        <f aca="false">IFERROR(SUMIF($V$4:$AG$4, "De Minimis", V205:AG205), "")</f>
        <v>0</v>
      </c>
      <c r="AK205" s="287"/>
      <c r="AL205" s="288" t="str">
        <f aca="false">IF((SUM(I205:T205)&gt;1),"ERROR","")</f>
        <v/>
      </c>
    </row>
    <row r="206" customFormat="false" ht="15" hidden="false" customHeight="true" outlineLevel="0" collapsed="false">
      <c r="E206" s="200"/>
      <c r="H206" s="350"/>
      <c r="I206" s="282"/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3"/>
      <c r="V206" s="284" t="n">
        <f aca="false">IFERROR(I206*$E206, "")</f>
        <v>0</v>
      </c>
      <c r="W206" s="284" t="n">
        <f aca="false">IFERROR(J206*$E206, "")</f>
        <v>0</v>
      </c>
      <c r="X206" s="284" t="n">
        <f aca="false">IFERROR(K206*$E206, "")</f>
        <v>0</v>
      </c>
      <c r="Y206" s="284" t="n">
        <f aca="false">IFERROR(L206*$E206, "")</f>
        <v>0</v>
      </c>
      <c r="Z206" s="284" t="n">
        <f aca="false">IFERROR(M206*$E206, "")</f>
        <v>0</v>
      </c>
      <c r="AA206" s="284" t="n">
        <f aca="false">IFERROR(N206*$E206, "")</f>
        <v>0</v>
      </c>
      <c r="AB206" s="284" t="n">
        <f aca="false">IFERROR(O206*$E206, "")</f>
        <v>0</v>
      </c>
      <c r="AC206" s="284" t="n">
        <f aca="false">IFERROR(P206*$E206, "")</f>
        <v>0</v>
      </c>
      <c r="AD206" s="284" t="n">
        <f aca="false">IFERROR(Q206*$E206, "")</f>
        <v>0</v>
      </c>
      <c r="AE206" s="284" t="n">
        <f aca="false">IFERROR(R206*$E206, "")</f>
        <v>0</v>
      </c>
      <c r="AF206" s="284" t="n">
        <f aca="false">IFERROR(S206*$E206, "")</f>
        <v>0</v>
      </c>
      <c r="AG206" s="284" t="n">
        <f aca="false">IFERROR(T206*$E206, "")</f>
        <v>0</v>
      </c>
      <c r="AH206" s="286" t="n">
        <f aca="false">IFERROR(SUMIF($V$4:$AG$4, "RDEC", V206:AG206), "")</f>
        <v>0</v>
      </c>
      <c r="AI206" s="286" t="n">
        <f aca="false">IFERROR(SUMIF($V$4:$AG$4, "SME", V206:AG206), "")</f>
        <v>0</v>
      </c>
      <c r="AJ206" s="286" t="n">
        <f aca="false">IFERROR(SUMIF($V$4:$AG$4, "De Minimis", V206:AG206), "")</f>
        <v>0</v>
      </c>
      <c r="AK206" s="287"/>
      <c r="AL206" s="288" t="str">
        <f aca="false">IF((SUM(I206:T206)&gt;1),"ERROR","")</f>
        <v/>
      </c>
    </row>
    <row r="207" customFormat="false" ht="15" hidden="false" customHeight="true" outlineLevel="0" collapsed="false">
      <c r="E207" s="200"/>
      <c r="H207" s="350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3"/>
      <c r="V207" s="284" t="n">
        <f aca="false">IFERROR(I207*$E207, "")</f>
        <v>0</v>
      </c>
      <c r="W207" s="284" t="n">
        <f aca="false">IFERROR(J207*$E207, "")</f>
        <v>0</v>
      </c>
      <c r="X207" s="284" t="n">
        <f aca="false">IFERROR(K207*$E207, "")</f>
        <v>0</v>
      </c>
      <c r="Y207" s="284" t="n">
        <f aca="false">IFERROR(L207*$E207, "")</f>
        <v>0</v>
      </c>
      <c r="Z207" s="284" t="n">
        <f aca="false">IFERROR(M207*$E207, "")</f>
        <v>0</v>
      </c>
      <c r="AA207" s="284" t="n">
        <f aca="false">IFERROR(N207*$E207, "")</f>
        <v>0</v>
      </c>
      <c r="AB207" s="284" t="n">
        <f aca="false">IFERROR(O207*$E207, "")</f>
        <v>0</v>
      </c>
      <c r="AC207" s="284" t="n">
        <f aca="false">IFERROR(P207*$E207, "")</f>
        <v>0</v>
      </c>
      <c r="AD207" s="284" t="n">
        <f aca="false">IFERROR(Q207*$E207, "")</f>
        <v>0</v>
      </c>
      <c r="AE207" s="284" t="n">
        <f aca="false">IFERROR(R207*$E207, "")</f>
        <v>0</v>
      </c>
      <c r="AF207" s="284" t="n">
        <f aca="false">IFERROR(S207*$E207, "")</f>
        <v>0</v>
      </c>
      <c r="AG207" s="284" t="n">
        <f aca="false">IFERROR(T207*$E207, "")</f>
        <v>0</v>
      </c>
      <c r="AH207" s="286" t="n">
        <f aca="false">IFERROR(SUMIF($V$4:$AG$4, "RDEC", V207:AG207), "")</f>
        <v>0</v>
      </c>
      <c r="AI207" s="286" t="n">
        <f aca="false">IFERROR(SUMIF($V$4:$AG$4, "SME", V207:AG207), "")</f>
        <v>0</v>
      </c>
      <c r="AJ207" s="286" t="n">
        <f aca="false">IFERROR(SUMIF($V$4:$AG$4, "De Minimis", V207:AG207), "")</f>
        <v>0</v>
      </c>
      <c r="AK207" s="287"/>
      <c r="AL207" s="288" t="str">
        <f aca="false">IF((SUM(I207:T207)&gt;1),"ERROR","")</f>
        <v/>
      </c>
    </row>
    <row r="208" customFormat="false" ht="15" hidden="false" customHeight="true" outlineLevel="0" collapsed="false">
      <c r="E208" s="200"/>
      <c r="H208" s="350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3"/>
      <c r="V208" s="284" t="n">
        <f aca="false">IFERROR(I208*$E208, "")</f>
        <v>0</v>
      </c>
      <c r="W208" s="284" t="n">
        <f aca="false">IFERROR(J208*$E208, "")</f>
        <v>0</v>
      </c>
      <c r="X208" s="284" t="n">
        <f aca="false">IFERROR(K208*$E208, "")</f>
        <v>0</v>
      </c>
      <c r="Y208" s="284" t="n">
        <f aca="false">IFERROR(L208*$E208, "")</f>
        <v>0</v>
      </c>
      <c r="Z208" s="284" t="n">
        <f aca="false">IFERROR(M208*$E208, "")</f>
        <v>0</v>
      </c>
      <c r="AA208" s="284" t="n">
        <f aca="false">IFERROR(N208*$E208, "")</f>
        <v>0</v>
      </c>
      <c r="AB208" s="284" t="n">
        <f aca="false">IFERROR(O208*$E208, "")</f>
        <v>0</v>
      </c>
      <c r="AC208" s="284" t="n">
        <f aca="false">IFERROR(P208*$E208, "")</f>
        <v>0</v>
      </c>
      <c r="AD208" s="284" t="n">
        <f aca="false">IFERROR(Q208*$E208, "")</f>
        <v>0</v>
      </c>
      <c r="AE208" s="284" t="n">
        <f aca="false">IFERROR(R208*$E208, "")</f>
        <v>0</v>
      </c>
      <c r="AF208" s="284" t="n">
        <f aca="false">IFERROR(S208*$E208, "")</f>
        <v>0</v>
      </c>
      <c r="AG208" s="284" t="n">
        <f aca="false">IFERROR(T208*$E208, "")</f>
        <v>0</v>
      </c>
      <c r="AH208" s="286" t="n">
        <f aca="false">IFERROR(SUMIF($V$4:$AG$4, "RDEC", V208:AG208), "")</f>
        <v>0</v>
      </c>
      <c r="AI208" s="286" t="n">
        <f aca="false">IFERROR(SUMIF($V$4:$AG$4, "SME", V208:AG208), "")</f>
        <v>0</v>
      </c>
      <c r="AJ208" s="286" t="n">
        <f aca="false">IFERROR(SUMIF($V$4:$AG$4, "De Minimis", V208:AG208), "")</f>
        <v>0</v>
      </c>
      <c r="AK208" s="287"/>
      <c r="AL208" s="288" t="str">
        <f aca="false">IF((SUM(I208:T208)&gt;1),"ERROR","")</f>
        <v/>
      </c>
    </row>
    <row r="209" customFormat="false" ht="15" hidden="false" customHeight="true" outlineLevel="0" collapsed="false">
      <c r="E209" s="200"/>
      <c r="H209" s="350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3"/>
      <c r="V209" s="284" t="n">
        <f aca="false">IFERROR(I209*$E209, "")</f>
        <v>0</v>
      </c>
      <c r="W209" s="284" t="n">
        <f aca="false">IFERROR(J209*$E209, "")</f>
        <v>0</v>
      </c>
      <c r="X209" s="284" t="n">
        <f aca="false">IFERROR(K209*$E209, "")</f>
        <v>0</v>
      </c>
      <c r="Y209" s="284" t="n">
        <f aca="false">IFERROR(L209*$E209, "")</f>
        <v>0</v>
      </c>
      <c r="Z209" s="284" t="n">
        <f aca="false">IFERROR(M209*$E209, "")</f>
        <v>0</v>
      </c>
      <c r="AA209" s="284" t="n">
        <f aca="false">IFERROR(N209*$E209, "")</f>
        <v>0</v>
      </c>
      <c r="AB209" s="284" t="n">
        <f aca="false">IFERROR(O209*$E209, "")</f>
        <v>0</v>
      </c>
      <c r="AC209" s="284" t="n">
        <f aca="false">IFERROR(P209*$E209, "")</f>
        <v>0</v>
      </c>
      <c r="AD209" s="284" t="n">
        <f aca="false">IFERROR(Q209*$E209, "")</f>
        <v>0</v>
      </c>
      <c r="AE209" s="284" t="n">
        <f aca="false">IFERROR(R209*$E209, "")</f>
        <v>0</v>
      </c>
      <c r="AF209" s="284" t="n">
        <f aca="false">IFERROR(S209*$E209, "")</f>
        <v>0</v>
      </c>
      <c r="AG209" s="284" t="n">
        <f aca="false">IFERROR(T209*$E209, "")</f>
        <v>0</v>
      </c>
      <c r="AH209" s="286" t="n">
        <f aca="false">IFERROR(SUMIF($V$4:$AG$4, "RDEC", V209:AG209), "")</f>
        <v>0</v>
      </c>
      <c r="AI209" s="286" t="n">
        <f aca="false">IFERROR(SUMIF($V$4:$AG$4, "SME", V209:AG209), "")</f>
        <v>0</v>
      </c>
      <c r="AJ209" s="286" t="n">
        <f aca="false">IFERROR(SUMIF($V$4:$AG$4, "De Minimis", V209:AG209), "")</f>
        <v>0</v>
      </c>
      <c r="AK209" s="287"/>
      <c r="AL209" s="288" t="str">
        <f aca="false">IF((SUM(I209:T209)&gt;1),"ERROR","")</f>
        <v/>
      </c>
    </row>
    <row r="210" customFormat="false" ht="15" hidden="false" customHeight="true" outlineLevel="0" collapsed="false">
      <c r="E210" s="200"/>
      <c r="H210" s="350"/>
      <c r="I210" s="282"/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3"/>
      <c r="V210" s="284" t="n">
        <f aca="false">IFERROR(I210*$E210, "")</f>
        <v>0</v>
      </c>
      <c r="W210" s="284" t="n">
        <f aca="false">IFERROR(J210*$E210, "")</f>
        <v>0</v>
      </c>
      <c r="X210" s="284" t="n">
        <f aca="false">IFERROR(K210*$E210, "")</f>
        <v>0</v>
      </c>
      <c r="Y210" s="284" t="n">
        <f aca="false">IFERROR(L210*$E210, "")</f>
        <v>0</v>
      </c>
      <c r="Z210" s="284" t="n">
        <f aca="false">IFERROR(M210*$E210, "")</f>
        <v>0</v>
      </c>
      <c r="AA210" s="284" t="n">
        <f aca="false">IFERROR(N210*$E210, "")</f>
        <v>0</v>
      </c>
      <c r="AB210" s="284" t="n">
        <f aca="false">IFERROR(O210*$E210, "")</f>
        <v>0</v>
      </c>
      <c r="AC210" s="284" t="n">
        <f aca="false">IFERROR(P210*$E210, "")</f>
        <v>0</v>
      </c>
      <c r="AD210" s="284" t="n">
        <f aca="false">IFERROR(Q210*$E210, "")</f>
        <v>0</v>
      </c>
      <c r="AE210" s="284" t="n">
        <f aca="false">IFERROR(R210*$E210, "")</f>
        <v>0</v>
      </c>
      <c r="AF210" s="284" t="n">
        <f aca="false">IFERROR(S210*$E210, "")</f>
        <v>0</v>
      </c>
      <c r="AG210" s="284" t="n">
        <f aca="false">IFERROR(T210*$E210, "")</f>
        <v>0</v>
      </c>
      <c r="AH210" s="286" t="n">
        <f aca="false">IFERROR(SUMIF($V$4:$AG$4, "RDEC", V210:AG210), "")</f>
        <v>0</v>
      </c>
      <c r="AI210" s="286" t="n">
        <f aca="false">IFERROR(SUMIF($V$4:$AG$4, "SME", V210:AG210), "")</f>
        <v>0</v>
      </c>
      <c r="AJ210" s="286" t="n">
        <f aca="false">IFERROR(SUMIF($V$4:$AG$4, "De Minimis", V210:AG210), "")</f>
        <v>0</v>
      </c>
      <c r="AK210" s="287"/>
      <c r="AL210" s="288" t="str">
        <f aca="false">IF((SUM(I210:T210)&gt;1),"ERROR","")</f>
        <v/>
      </c>
    </row>
    <row r="211" customFormat="false" ht="15" hidden="false" customHeight="true" outlineLevel="0" collapsed="false">
      <c r="E211" s="200"/>
      <c r="H211" s="350"/>
      <c r="I211" s="282"/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3"/>
      <c r="V211" s="284" t="n">
        <f aca="false">IFERROR(I211*$E211, "")</f>
        <v>0</v>
      </c>
      <c r="W211" s="284" t="n">
        <f aca="false">IFERROR(J211*$E211, "")</f>
        <v>0</v>
      </c>
      <c r="X211" s="284" t="n">
        <f aca="false">IFERROR(K211*$E211, "")</f>
        <v>0</v>
      </c>
      <c r="Y211" s="284" t="n">
        <f aca="false">IFERROR(L211*$E211, "")</f>
        <v>0</v>
      </c>
      <c r="Z211" s="284" t="n">
        <f aca="false">IFERROR(M211*$E211, "")</f>
        <v>0</v>
      </c>
      <c r="AA211" s="284" t="n">
        <f aca="false">IFERROR(N211*$E211, "")</f>
        <v>0</v>
      </c>
      <c r="AB211" s="284" t="n">
        <f aca="false">IFERROR(O211*$E211, "")</f>
        <v>0</v>
      </c>
      <c r="AC211" s="284" t="n">
        <f aca="false">IFERROR(P211*$E211, "")</f>
        <v>0</v>
      </c>
      <c r="AD211" s="284" t="n">
        <f aca="false">IFERROR(Q211*$E211, "")</f>
        <v>0</v>
      </c>
      <c r="AE211" s="284" t="n">
        <f aca="false">IFERROR(R211*$E211, "")</f>
        <v>0</v>
      </c>
      <c r="AF211" s="284" t="n">
        <f aca="false">IFERROR(S211*$E211, "")</f>
        <v>0</v>
      </c>
      <c r="AG211" s="284" t="n">
        <f aca="false">IFERROR(T211*$E211, "")</f>
        <v>0</v>
      </c>
      <c r="AH211" s="286" t="n">
        <f aca="false">IFERROR(SUMIF($V$4:$AG$4, "RDEC", V211:AG211), "")</f>
        <v>0</v>
      </c>
      <c r="AI211" s="286" t="n">
        <f aca="false">IFERROR(SUMIF($V$4:$AG$4, "SME", V211:AG211), "")</f>
        <v>0</v>
      </c>
      <c r="AJ211" s="286" t="n">
        <f aca="false">IFERROR(SUMIF($V$4:$AG$4, "De Minimis", V211:AG211), "")</f>
        <v>0</v>
      </c>
      <c r="AK211" s="287"/>
      <c r="AL211" s="288" t="str">
        <f aca="false">IF((SUM(I211:T211)&gt;1),"ERROR","")</f>
        <v/>
      </c>
    </row>
    <row r="212" customFormat="false" ht="15" hidden="false" customHeight="true" outlineLevel="0" collapsed="false">
      <c r="E212" s="200"/>
      <c r="H212" s="350"/>
      <c r="I212" s="282"/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3"/>
      <c r="V212" s="284" t="n">
        <f aca="false">IFERROR(I212*$E212, "")</f>
        <v>0</v>
      </c>
      <c r="W212" s="284" t="n">
        <f aca="false">IFERROR(J212*$E212, "")</f>
        <v>0</v>
      </c>
      <c r="X212" s="284" t="n">
        <f aca="false">IFERROR(K212*$E212, "")</f>
        <v>0</v>
      </c>
      <c r="Y212" s="284" t="n">
        <f aca="false">IFERROR(L212*$E212, "")</f>
        <v>0</v>
      </c>
      <c r="Z212" s="284" t="n">
        <f aca="false">IFERROR(M212*$E212, "")</f>
        <v>0</v>
      </c>
      <c r="AA212" s="284" t="n">
        <f aca="false">IFERROR(N212*$E212, "")</f>
        <v>0</v>
      </c>
      <c r="AB212" s="284" t="n">
        <f aca="false">IFERROR(O212*$E212, "")</f>
        <v>0</v>
      </c>
      <c r="AC212" s="284" t="n">
        <f aca="false">IFERROR(P212*$E212, "")</f>
        <v>0</v>
      </c>
      <c r="AD212" s="284" t="n">
        <f aca="false">IFERROR(Q212*$E212, "")</f>
        <v>0</v>
      </c>
      <c r="AE212" s="284" t="n">
        <f aca="false">IFERROR(R212*$E212, "")</f>
        <v>0</v>
      </c>
      <c r="AF212" s="284" t="n">
        <f aca="false">IFERROR(S212*$E212, "")</f>
        <v>0</v>
      </c>
      <c r="AG212" s="284" t="n">
        <f aca="false">IFERROR(T212*$E212, "")</f>
        <v>0</v>
      </c>
      <c r="AH212" s="286" t="n">
        <f aca="false">IFERROR(SUMIF($V$4:$AG$4, "RDEC", V212:AG212), "")</f>
        <v>0</v>
      </c>
      <c r="AI212" s="286" t="n">
        <f aca="false">IFERROR(SUMIF($V$4:$AG$4, "SME", V212:AG212), "")</f>
        <v>0</v>
      </c>
      <c r="AJ212" s="286" t="n">
        <f aca="false">IFERROR(SUMIF($V$4:$AG$4, "De Minimis", V212:AG212), "")</f>
        <v>0</v>
      </c>
      <c r="AK212" s="287"/>
      <c r="AL212" s="288" t="str">
        <f aca="false">IF((SUM(I212:T212)&gt;1),"ERROR","")</f>
        <v/>
      </c>
    </row>
    <row r="213" customFormat="false" ht="15" hidden="false" customHeight="true" outlineLevel="0" collapsed="false">
      <c r="E213" s="200"/>
      <c r="H213" s="350"/>
      <c r="I213" s="282"/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3"/>
      <c r="V213" s="284" t="n">
        <f aca="false">IFERROR(I213*$E213, "")</f>
        <v>0</v>
      </c>
      <c r="W213" s="284" t="n">
        <f aca="false">IFERROR(J213*$E213, "")</f>
        <v>0</v>
      </c>
      <c r="X213" s="284" t="n">
        <f aca="false">IFERROR(K213*$E213, "")</f>
        <v>0</v>
      </c>
      <c r="Y213" s="284" t="n">
        <f aca="false">IFERROR(L213*$E213, "")</f>
        <v>0</v>
      </c>
      <c r="Z213" s="284" t="n">
        <f aca="false">IFERROR(M213*$E213, "")</f>
        <v>0</v>
      </c>
      <c r="AA213" s="284" t="n">
        <f aca="false">IFERROR(N213*$E213, "")</f>
        <v>0</v>
      </c>
      <c r="AB213" s="284" t="n">
        <f aca="false">IFERROR(O213*$E213, "")</f>
        <v>0</v>
      </c>
      <c r="AC213" s="284" t="n">
        <f aca="false">IFERROR(P213*$E213, "")</f>
        <v>0</v>
      </c>
      <c r="AD213" s="284" t="n">
        <f aca="false">IFERROR(Q213*$E213, "")</f>
        <v>0</v>
      </c>
      <c r="AE213" s="284" t="n">
        <f aca="false">IFERROR(R213*$E213, "")</f>
        <v>0</v>
      </c>
      <c r="AF213" s="284" t="n">
        <f aca="false">IFERROR(S213*$E213, "")</f>
        <v>0</v>
      </c>
      <c r="AG213" s="284" t="n">
        <f aca="false">IFERROR(T213*$E213, "")</f>
        <v>0</v>
      </c>
      <c r="AH213" s="286" t="n">
        <f aca="false">IFERROR(SUMIF($V$4:$AG$4, "RDEC", V213:AG213), "")</f>
        <v>0</v>
      </c>
      <c r="AI213" s="286" t="n">
        <f aca="false">IFERROR(SUMIF($V$4:$AG$4, "SME", V213:AG213), "")</f>
        <v>0</v>
      </c>
      <c r="AJ213" s="286" t="n">
        <f aca="false">IFERROR(SUMIF($V$4:$AG$4, "De Minimis", V213:AG213), "")</f>
        <v>0</v>
      </c>
      <c r="AK213" s="287"/>
      <c r="AL213" s="288" t="str">
        <f aca="false">IF((SUM(I213:T213)&gt;1),"ERROR","")</f>
        <v/>
      </c>
    </row>
    <row r="214" customFormat="false" ht="15" hidden="false" customHeight="true" outlineLevel="0" collapsed="false">
      <c r="E214" s="200"/>
      <c r="H214" s="350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3"/>
      <c r="V214" s="284" t="n">
        <f aca="false">IFERROR(I214*$E214, "")</f>
        <v>0</v>
      </c>
      <c r="W214" s="284" t="n">
        <f aca="false">IFERROR(J214*$E214, "")</f>
        <v>0</v>
      </c>
      <c r="X214" s="284" t="n">
        <f aca="false">IFERROR(K214*$E214, "")</f>
        <v>0</v>
      </c>
      <c r="Y214" s="284" t="n">
        <f aca="false">IFERROR(L214*$E214, "")</f>
        <v>0</v>
      </c>
      <c r="Z214" s="284" t="n">
        <f aca="false">IFERROR(M214*$E214, "")</f>
        <v>0</v>
      </c>
      <c r="AA214" s="284" t="n">
        <f aca="false">IFERROR(N214*$E214, "")</f>
        <v>0</v>
      </c>
      <c r="AB214" s="284" t="n">
        <f aca="false">IFERROR(O214*$E214, "")</f>
        <v>0</v>
      </c>
      <c r="AC214" s="284" t="n">
        <f aca="false">IFERROR(P214*$E214, "")</f>
        <v>0</v>
      </c>
      <c r="AD214" s="284" t="n">
        <f aca="false">IFERROR(Q214*$E214, "")</f>
        <v>0</v>
      </c>
      <c r="AE214" s="284" t="n">
        <f aca="false">IFERROR(R214*$E214, "")</f>
        <v>0</v>
      </c>
      <c r="AF214" s="284" t="n">
        <f aca="false">IFERROR(S214*$E214, "")</f>
        <v>0</v>
      </c>
      <c r="AG214" s="284" t="n">
        <f aca="false">IFERROR(T214*$E214, "")</f>
        <v>0</v>
      </c>
      <c r="AH214" s="286" t="n">
        <f aca="false">IFERROR(SUMIF($V$4:$AG$4, "RDEC", V214:AG214), "")</f>
        <v>0</v>
      </c>
      <c r="AI214" s="286" t="n">
        <f aca="false">IFERROR(SUMIF($V$4:$AG$4, "SME", V214:AG214), "")</f>
        <v>0</v>
      </c>
      <c r="AJ214" s="286" t="n">
        <f aca="false">IFERROR(SUMIF($V$4:$AG$4, "De Minimis", V214:AG214), "")</f>
        <v>0</v>
      </c>
      <c r="AK214" s="303"/>
      <c r="AL214" s="288" t="str">
        <f aca="false">IF((SUM(I214:T214)&gt;1),"ERROR","")</f>
        <v/>
      </c>
    </row>
    <row r="215" customFormat="false" ht="15" hidden="false" customHeight="true" outlineLevel="0" collapsed="false">
      <c r="E215" s="200"/>
      <c r="H215" s="350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3"/>
      <c r="V215" s="284" t="n">
        <f aca="false">IFERROR(I215*$E215, "")</f>
        <v>0</v>
      </c>
      <c r="W215" s="284" t="n">
        <f aca="false">IFERROR(J215*$E215, "")</f>
        <v>0</v>
      </c>
      <c r="X215" s="284" t="n">
        <f aca="false">IFERROR(K215*$E215, "")</f>
        <v>0</v>
      </c>
      <c r="Y215" s="284" t="n">
        <f aca="false">IFERROR(L215*$E215, "")</f>
        <v>0</v>
      </c>
      <c r="Z215" s="284" t="n">
        <f aca="false">IFERROR(M215*$E215, "")</f>
        <v>0</v>
      </c>
      <c r="AA215" s="284" t="n">
        <f aca="false">IFERROR(N215*$E215, "")</f>
        <v>0</v>
      </c>
      <c r="AB215" s="284" t="n">
        <f aca="false">IFERROR(O215*$E215, "")</f>
        <v>0</v>
      </c>
      <c r="AC215" s="284" t="n">
        <f aca="false">IFERROR(P215*$E215, "")</f>
        <v>0</v>
      </c>
      <c r="AD215" s="284" t="n">
        <f aca="false">IFERROR(Q215*$E215, "")</f>
        <v>0</v>
      </c>
      <c r="AE215" s="284" t="n">
        <f aca="false">IFERROR(R215*$E215, "")</f>
        <v>0</v>
      </c>
      <c r="AF215" s="284" t="n">
        <f aca="false">IFERROR(S215*$E215, "")</f>
        <v>0</v>
      </c>
      <c r="AG215" s="284" t="n">
        <f aca="false">IFERROR(T215*$E215, "")</f>
        <v>0</v>
      </c>
      <c r="AH215" s="286" t="n">
        <f aca="false">IFERROR(SUMIF($V$4:$AG$4, "RDEC", V215:AG215), "")</f>
        <v>0</v>
      </c>
      <c r="AI215" s="286" t="n">
        <f aca="false">IFERROR(SUMIF($V$4:$AG$4, "SME", V215:AG215), "")</f>
        <v>0</v>
      </c>
      <c r="AJ215" s="286" t="n">
        <f aca="false">IFERROR(SUMIF($V$4:$AG$4, "De Minimis", V215:AG215), "")</f>
        <v>0</v>
      </c>
      <c r="AL215" s="288" t="str">
        <f aca="false">IF((SUM(I215:T215)&gt;1),"ERROR","")</f>
        <v/>
      </c>
    </row>
    <row r="216" customFormat="false" ht="15" hidden="false" customHeight="true" outlineLevel="0" collapsed="false">
      <c r="E216" s="200"/>
      <c r="H216" s="350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3"/>
      <c r="V216" s="284" t="n">
        <f aca="false">IFERROR(I216*$E216, "")</f>
        <v>0</v>
      </c>
      <c r="W216" s="284" t="n">
        <f aca="false">IFERROR(J216*$E216, "")</f>
        <v>0</v>
      </c>
      <c r="X216" s="284" t="n">
        <f aca="false">IFERROR(K216*$E216, "")</f>
        <v>0</v>
      </c>
      <c r="Y216" s="284" t="n">
        <f aca="false">IFERROR(L216*$E216, "")</f>
        <v>0</v>
      </c>
      <c r="Z216" s="284" t="n">
        <f aca="false">IFERROR(M216*$E216, "")</f>
        <v>0</v>
      </c>
      <c r="AA216" s="284" t="n">
        <f aca="false">IFERROR(N216*$E216, "")</f>
        <v>0</v>
      </c>
      <c r="AB216" s="284" t="n">
        <f aca="false">IFERROR(O216*$E216, "")</f>
        <v>0</v>
      </c>
      <c r="AC216" s="284" t="n">
        <f aca="false">IFERROR(P216*$E216, "")</f>
        <v>0</v>
      </c>
      <c r="AD216" s="284" t="n">
        <f aca="false">IFERROR(Q216*$E216, "")</f>
        <v>0</v>
      </c>
      <c r="AE216" s="284" t="n">
        <f aca="false">IFERROR(R216*$E216, "")</f>
        <v>0</v>
      </c>
      <c r="AF216" s="284" t="n">
        <f aca="false">IFERROR(S216*$E216, "")</f>
        <v>0</v>
      </c>
      <c r="AG216" s="284" t="n">
        <f aca="false">IFERROR(T216*$E216, "")</f>
        <v>0</v>
      </c>
      <c r="AH216" s="286" t="n">
        <f aca="false">IFERROR(SUMIF($V$4:$AG$4, "RDEC", V216:AG216), "")</f>
        <v>0</v>
      </c>
      <c r="AI216" s="286" t="n">
        <f aca="false">IFERROR(SUMIF($V$4:$AG$4, "SME", V216:AG216), "")</f>
        <v>0</v>
      </c>
      <c r="AJ216" s="286" t="n">
        <f aca="false">IFERROR(SUMIF($V$4:$AG$4, "De Minimis", V216:AG216), "")</f>
        <v>0</v>
      </c>
      <c r="AK216" s="268"/>
      <c r="AL216" s="288" t="str">
        <f aca="false">IF((SUM(I216:T216)&gt;1),"ERROR","")</f>
        <v/>
      </c>
    </row>
    <row r="217" customFormat="false" ht="15" hidden="false" customHeight="true" outlineLevel="0" collapsed="false">
      <c r="E217" s="200"/>
      <c r="H217" s="350"/>
      <c r="I217" s="282"/>
      <c r="J217" s="282"/>
      <c r="K217" s="282"/>
      <c r="L217" s="282"/>
      <c r="M217" s="282"/>
      <c r="N217" s="282"/>
      <c r="O217" s="282"/>
      <c r="P217" s="282"/>
      <c r="Q217" s="282"/>
      <c r="R217" s="282"/>
      <c r="S217" s="282"/>
      <c r="T217" s="282"/>
      <c r="U217" s="283"/>
      <c r="V217" s="284" t="n">
        <f aca="false">IFERROR(I217*$E217, "")</f>
        <v>0</v>
      </c>
      <c r="W217" s="284" t="n">
        <f aca="false">IFERROR(J217*$E217, "")</f>
        <v>0</v>
      </c>
      <c r="X217" s="284" t="n">
        <f aca="false">IFERROR(K217*$E217, "")</f>
        <v>0</v>
      </c>
      <c r="Y217" s="284" t="n">
        <f aca="false">IFERROR(L217*$E217, "")</f>
        <v>0</v>
      </c>
      <c r="Z217" s="284" t="n">
        <f aca="false">IFERROR(M217*$E217, "")</f>
        <v>0</v>
      </c>
      <c r="AA217" s="284" t="n">
        <f aca="false">IFERROR(N217*$E217, "")</f>
        <v>0</v>
      </c>
      <c r="AB217" s="284" t="n">
        <f aca="false">IFERROR(O217*$E217, "")</f>
        <v>0</v>
      </c>
      <c r="AC217" s="284" t="n">
        <f aca="false">IFERROR(P217*$E217, "")</f>
        <v>0</v>
      </c>
      <c r="AD217" s="284" t="n">
        <f aca="false">IFERROR(Q217*$E217, "")</f>
        <v>0</v>
      </c>
      <c r="AE217" s="284" t="n">
        <f aca="false">IFERROR(R217*$E217, "")</f>
        <v>0</v>
      </c>
      <c r="AF217" s="284" t="n">
        <f aca="false">IFERROR(S217*$E217, "")</f>
        <v>0</v>
      </c>
      <c r="AG217" s="284" t="n">
        <f aca="false">IFERROR(T217*$E217, "")</f>
        <v>0</v>
      </c>
      <c r="AH217" s="286" t="n">
        <f aca="false">IFERROR(SUMIF($V$4:$AG$4, "RDEC", V217:AG217), "")</f>
        <v>0</v>
      </c>
      <c r="AI217" s="286" t="n">
        <f aca="false">IFERROR(SUMIF($V$4:$AG$4, "SME", V217:AG217), "")</f>
        <v>0</v>
      </c>
      <c r="AJ217" s="286" t="n">
        <f aca="false">IFERROR(SUMIF($V$4:$AG$4, "De Minimis", V217:AG217), "")</f>
        <v>0</v>
      </c>
      <c r="AK217" s="287"/>
      <c r="AL217" s="288" t="str">
        <f aca="false">IF((SUM(I217:T217)&gt;1),"ERROR","")</f>
        <v/>
      </c>
    </row>
    <row r="218" customFormat="false" ht="15" hidden="false" customHeight="true" outlineLevel="0" collapsed="false">
      <c r="E218" s="200"/>
      <c r="H218" s="350"/>
      <c r="I218" s="282"/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3"/>
      <c r="V218" s="284" t="n">
        <f aca="false">IFERROR(I218*$E218, "")</f>
        <v>0</v>
      </c>
      <c r="W218" s="284" t="n">
        <f aca="false">IFERROR(J218*$E218, "")</f>
        <v>0</v>
      </c>
      <c r="X218" s="284" t="n">
        <f aca="false">IFERROR(K218*$E218, "")</f>
        <v>0</v>
      </c>
      <c r="Y218" s="284" t="n">
        <f aca="false">IFERROR(L218*$E218, "")</f>
        <v>0</v>
      </c>
      <c r="Z218" s="284" t="n">
        <f aca="false">IFERROR(M218*$E218, "")</f>
        <v>0</v>
      </c>
      <c r="AA218" s="284" t="n">
        <f aca="false">IFERROR(N218*$E218, "")</f>
        <v>0</v>
      </c>
      <c r="AB218" s="284" t="n">
        <f aca="false">IFERROR(O218*$E218, "")</f>
        <v>0</v>
      </c>
      <c r="AC218" s="284" t="n">
        <f aca="false">IFERROR(P218*$E218, "")</f>
        <v>0</v>
      </c>
      <c r="AD218" s="284" t="n">
        <f aca="false">IFERROR(Q218*$E218, "")</f>
        <v>0</v>
      </c>
      <c r="AE218" s="284" t="n">
        <f aca="false">IFERROR(R218*$E218, "")</f>
        <v>0</v>
      </c>
      <c r="AF218" s="284" t="n">
        <f aca="false">IFERROR(S218*$E218, "")</f>
        <v>0</v>
      </c>
      <c r="AG218" s="284" t="n">
        <f aca="false">IFERROR(T218*$E218, "")</f>
        <v>0</v>
      </c>
      <c r="AH218" s="286" t="n">
        <f aca="false">IFERROR(SUMIF($V$4:$AG$4, "RDEC", V218:AG218), "")</f>
        <v>0</v>
      </c>
      <c r="AI218" s="286" t="n">
        <f aca="false">IFERROR(SUMIF($V$4:$AG$4, "SME", V218:AG218), "")</f>
        <v>0</v>
      </c>
      <c r="AJ218" s="286" t="n">
        <f aca="false">IFERROR(SUMIF($V$4:$AG$4, "De Minimis", V218:AG218), "")</f>
        <v>0</v>
      </c>
      <c r="AK218" s="287"/>
      <c r="AL218" s="288" t="str">
        <f aca="false">IF((SUM(I218:T218)&gt;1),"ERROR","")</f>
        <v/>
      </c>
    </row>
    <row r="219" customFormat="false" ht="15" hidden="false" customHeight="true" outlineLevel="0" collapsed="false">
      <c r="E219" s="200"/>
      <c r="H219" s="350"/>
      <c r="I219" s="282"/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282"/>
      <c r="U219" s="283"/>
      <c r="V219" s="284" t="n">
        <f aca="false">IFERROR(I219*$E219, "")</f>
        <v>0</v>
      </c>
      <c r="W219" s="284" t="n">
        <f aca="false">IFERROR(J219*$E219, "")</f>
        <v>0</v>
      </c>
      <c r="X219" s="284" t="n">
        <f aca="false">IFERROR(K219*$E219, "")</f>
        <v>0</v>
      </c>
      <c r="Y219" s="284" t="n">
        <f aca="false">IFERROR(L219*$E219, "")</f>
        <v>0</v>
      </c>
      <c r="Z219" s="284" t="n">
        <f aca="false">IFERROR(M219*$E219, "")</f>
        <v>0</v>
      </c>
      <c r="AA219" s="284" t="n">
        <f aca="false">IFERROR(N219*$E219, "")</f>
        <v>0</v>
      </c>
      <c r="AB219" s="284" t="n">
        <f aca="false">IFERROR(O219*$E219, "")</f>
        <v>0</v>
      </c>
      <c r="AC219" s="284" t="n">
        <f aca="false">IFERROR(P219*$E219, "")</f>
        <v>0</v>
      </c>
      <c r="AD219" s="284" t="n">
        <f aca="false">IFERROR(Q219*$E219, "")</f>
        <v>0</v>
      </c>
      <c r="AE219" s="284" t="n">
        <f aca="false">IFERROR(R219*$E219, "")</f>
        <v>0</v>
      </c>
      <c r="AF219" s="284" t="n">
        <f aca="false">IFERROR(S219*$E219, "")</f>
        <v>0</v>
      </c>
      <c r="AG219" s="284" t="n">
        <f aca="false">IFERROR(T219*$E219, "")</f>
        <v>0</v>
      </c>
      <c r="AH219" s="286" t="n">
        <f aca="false">IFERROR(SUMIF($V$4:$AG$4, "RDEC", V219:AG219), "")</f>
        <v>0</v>
      </c>
      <c r="AI219" s="286" t="n">
        <f aca="false">IFERROR(SUMIF($V$4:$AG$4, "SME", V219:AG219), "")</f>
        <v>0</v>
      </c>
      <c r="AJ219" s="286" t="n">
        <f aca="false">IFERROR(SUMIF($V$4:$AG$4, "De Minimis", V219:AG219), "")</f>
        <v>0</v>
      </c>
      <c r="AK219" s="287"/>
      <c r="AL219" s="288" t="str">
        <f aca="false">IF((SUM(I219:T219)&gt;1),"ERROR","")</f>
        <v/>
      </c>
    </row>
    <row r="220" customFormat="false" ht="15" hidden="false" customHeight="true" outlineLevel="0" collapsed="false">
      <c r="E220" s="200"/>
      <c r="H220" s="350"/>
      <c r="I220" s="282"/>
      <c r="J220" s="282"/>
      <c r="K220" s="282"/>
      <c r="L220" s="282"/>
      <c r="M220" s="282"/>
      <c r="N220" s="282"/>
      <c r="O220" s="282"/>
      <c r="P220" s="282"/>
      <c r="Q220" s="282"/>
      <c r="R220" s="282"/>
      <c r="S220" s="282"/>
      <c r="T220" s="282"/>
      <c r="U220" s="283"/>
      <c r="V220" s="284" t="n">
        <f aca="false">IFERROR(I220*$E220, "")</f>
        <v>0</v>
      </c>
      <c r="W220" s="284" t="n">
        <f aca="false">IFERROR(J220*$E220, "")</f>
        <v>0</v>
      </c>
      <c r="X220" s="284" t="n">
        <f aca="false">IFERROR(K220*$E220, "")</f>
        <v>0</v>
      </c>
      <c r="Y220" s="284" t="n">
        <f aca="false">IFERROR(L220*$E220, "")</f>
        <v>0</v>
      </c>
      <c r="Z220" s="284" t="n">
        <f aca="false">IFERROR(M220*$E220, "")</f>
        <v>0</v>
      </c>
      <c r="AA220" s="284" t="n">
        <f aca="false">IFERROR(N220*$E220, "")</f>
        <v>0</v>
      </c>
      <c r="AB220" s="284" t="n">
        <f aca="false">IFERROR(O220*$E220, "")</f>
        <v>0</v>
      </c>
      <c r="AC220" s="284" t="n">
        <f aca="false">IFERROR(P220*$E220, "")</f>
        <v>0</v>
      </c>
      <c r="AD220" s="284" t="n">
        <f aca="false">IFERROR(Q220*$E220, "")</f>
        <v>0</v>
      </c>
      <c r="AE220" s="284" t="n">
        <f aca="false">IFERROR(R220*$E220, "")</f>
        <v>0</v>
      </c>
      <c r="AF220" s="284" t="n">
        <f aca="false">IFERROR(S220*$E220, "")</f>
        <v>0</v>
      </c>
      <c r="AG220" s="284" t="n">
        <f aca="false">IFERROR(T220*$E220, "")</f>
        <v>0</v>
      </c>
      <c r="AH220" s="286" t="n">
        <f aca="false">IFERROR(SUMIF($V$4:$AG$4, "RDEC", V220:AG220), "")</f>
        <v>0</v>
      </c>
      <c r="AI220" s="286" t="n">
        <f aca="false">IFERROR(SUMIF($V$4:$AG$4, "SME", V220:AG220), "")</f>
        <v>0</v>
      </c>
      <c r="AJ220" s="286" t="n">
        <f aca="false">IFERROR(SUMIF($V$4:$AG$4, "De Minimis", V220:AG220), "")</f>
        <v>0</v>
      </c>
      <c r="AK220" s="287"/>
      <c r="AL220" s="288" t="str">
        <f aca="false">IF((SUM(I220:T220)&gt;1),"ERROR","")</f>
        <v/>
      </c>
    </row>
    <row r="221" customFormat="false" ht="15" hidden="false" customHeight="true" outlineLevel="0" collapsed="false">
      <c r="E221" s="200"/>
      <c r="H221" s="350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3"/>
      <c r="V221" s="284" t="n">
        <f aca="false">IFERROR(I221*$E221, "")</f>
        <v>0</v>
      </c>
      <c r="W221" s="284" t="n">
        <f aca="false">IFERROR(J221*$E221, "")</f>
        <v>0</v>
      </c>
      <c r="X221" s="284" t="n">
        <f aca="false">IFERROR(K221*$E221, "")</f>
        <v>0</v>
      </c>
      <c r="Y221" s="284" t="n">
        <f aca="false">IFERROR(L221*$E221, "")</f>
        <v>0</v>
      </c>
      <c r="Z221" s="284" t="n">
        <f aca="false">IFERROR(M221*$E221, "")</f>
        <v>0</v>
      </c>
      <c r="AA221" s="284" t="n">
        <f aca="false">IFERROR(N221*$E221, "")</f>
        <v>0</v>
      </c>
      <c r="AB221" s="284" t="n">
        <f aca="false">IFERROR(O221*$E221, "")</f>
        <v>0</v>
      </c>
      <c r="AC221" s="284" t="n">
        <f aca="false">IFERROR(P221*$E221, "")</f>
        <v>0</v>
      </c>
      <c r="AD221" s="284" t="n">
        <f aca="false">IFERROR(Q221*$E221, "")</f>
        <v>0</v>
      </c>
      <c r="AE221" s="284" t="n">
        <f aca="false">IFERROR(R221*$E221, "")</f>
        <v>0</v>
      </c>
      <c r="AF221" s="284" t="n">
        <f aca="false">IFERROR(S221*$E221, "")</f>
        <v>0</v>
      </c>
      <c r="AG221" s="284" t="n">
        <f aca="false">IFERROR(T221*$E221, "")</f>
        <v>0</v>
      </c>
      <c r="AH221" s="286" t="n">
        <f aca="false">IFERROR(SUMIF($V$4:$AG$4, "RDEC", V221:AG221), "")</f>
        <v>0</v>
      </c>
      <c r="AI221" s="286" t="n">
        <f aca="false">IFERROR(SUMIF($V$4:$AG$4, "SME", V221:AG221), "")</f>
        <v>0</v>
      </c>
      <c r="AJ221" s="286" t="n">
        <f aca="false">IFERROR(SUMIF($V$4:$AG$4, "De Minimis", V221:AG221), "")</f>
        <v>0</v>
      </c>
      <c r="AK221" s="287"/>
      <c r="AL221" s="288" t="str">
        <f aca="false">IF((SUM(I221:T221)&gt;1),"ERROR","")</f>
        <v/>
      </c>
    </row>
    <row r="222" customFormat="false" ht="15" hidden="false" customHeight="true" outlineLevel="0" collapsed="false">
      <c r="E222" s="200"/>
      <c r="H222" s="350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3"/>
      <c r="V222" s="284" t="n">
        <f aca="false">IFERROR(I222*$E222, "")</f>
        <v>0</v>
      </c>
      <c r="W222" s="284" t="n">
        <f aca="false">IFERROR(J222*$E222, "")</f>
        <v>0</v>
      </c>
      <c r="X222" s="284" t="n">
        <f aca="false">IFERROR(K222*$E222, "")</f>
        <v>0</v>
      </c>
      <c r="Y222" s="284" t="n">
        <f aca="false">IFERROR(L222*$E222, "")</f>
        <v>0</v>
      </c>
      <c r="Z222" s="284" t="n">
        <f aca="false">IFERROR(M222*$E222, "")</f>
        <v>0</v>
      </c>
      <c r="AA222" s="284" t="n">
        <f aca="false">IFERROR(N222*$E222, "")</f>
        <v>0</v>
      </c>
      <c r="AB222" s="284" t="n">
        <f aca="false">IFERROR(O222*$E222, "")</f>
        <v>0</v>
      </c>
      <c r="AC222" s="284" t="n">
        <f aca="false">IFERROR(P222*$E222, "")</f>
        <v>0</v>
      </c>
      <c r="AD222" s="284" t="n">
        <f aca="false">IFERROR(Q222*$E222, "")</f>
        <v>0</v>
      </c>
      <c r="AE222" s="284" t="n">
        <f aca="false">IFERROR(R222*$E222, "")</f>
        <v>0</v>
      </c>
      <c r="AF222" s="284" t="n">
        <f aca="false">IFERROR(S222*$E222, "")</f>
        <v>0</v>
      </c>
      <c r="AG222" s="284" t="n">
        <f aca="false">IFERROR(T222*$E222, "")</f>
        <v>0</v>
      </c>
      <c r="AH222" s="286" t="n">
        <f aca="false">IFERROR(SUMIF($V$4:$AG$4, "RDEC", V222:AG222), "")</f>
        <v>0</v>
      </c>
      <c r="AI222" s="286" t="n">
        <f aca="false">IFERROR(SUMIF($V$4:$AG$4, "SME", V222:AG222), "")</f>
        <v>0</v>
      </c>
      <c r="AJ222" s="286" t="n">
        <f aca="false">IFERROR(SUMIF($V$4:$AG$4, "De Minimis", V222:AG222), "")</f>
        <v>0</v>
      </c>
      <c r="AK222" s="287"/>
      <c r="AL222" s="288" t="str">
        <f aca="false">IF((SUM(I222:T222)&gt;1),"ERROR","")</f>
        <v/>
      </c>
    </row>
    <row r="223" customFormat="false" ht="15" hidden="false" customHeight="true" outlineLevel="0" collapsed="false">
      <c r="E223" s="200"/>
      <c r="H223" s="350"/>
      <c r="I223" s="282"/>
      <c r="J223" s="282"/>
      <c r="K223" s="282"/>
      <c r="L223" s="282"/>
      <c r="M223" s="282"/>
      <c r="N223" s="282"/>
      <c r="O223" s="282"/>
      <c r="P223" s="282"/>
      <c r="Q223" s="282"/>
      <c r="R223" s="282"/>
      <c r="S223" s="282"/>
      <c r="T223" s="282"/>
      <c r="U223" s="283"/>
      <c r="V223" s="284" t="n">
        <f aca="false">IFERROR(I223*$E223, "")</f>
        <v>0</v>
      </c>
      <c r="W223" s="284" t="n">
        <f aca="false">IFERROR(J223*$E223, "")</f>
        <v>0</v>
      </c>
      <c r="X223" s="284" t="n">
        <f aca="false">IFERROR(K223*$E223, "")</f>
        <v>0</v>
      </c>
      <c r="Y223" s="284" t="n">
        <f aca="false">IFERROR(L223*$E223, "")</f>
        <v>0</v>
      </c>
      <c r="Z223" s="284" t="n">
        <f aca="false">IFERROR(M223*$E223, "")</f>
        <v>0</v>
      </c>
      <c r="AA223" s="284" t="n">
        <f aca="false">IFERROR(N223*$E223, "")</f>
        <v>0</v>
      </c>
      <c r="AB223" s="284" t="n">
        <f aca="false">IFERROR(O223*$E223, "")</f>
        <v>0</v>
      </c>
      <c r="AC223" s="284" t="n">
        <f aca="false">IFERROR(P223*$E223, "")</f>
        <v>0</v>
      </c>
      <c r="AD223" s="284" t="n">
        <f aca="false">IFERROR(Q223*$E223, "")</f>
        <v>0</v>
      </c>
      <c r="AE223" s="284" t="n">
        <f aca="false">IFERROR(R223*$E223, "")</f>
        <v>0</v>
      </c>
      <c r="AF223" s="284" t="n">
        <f aca="false">IFERROR(S223*$E223, "")</f>
        <v>0</v>
      </c>
      <c r="AG223" s="284" t="n">
        <f aca="false">IFERROR(T223*$E223, "")</f>
        <v>0</v>
      </c>
      <c r="AH223" s="286" t="n">
        <f aca="false">IFERROR(SUMIF($V$4:$AG$4, "RDEC", V223:AG223), "")</f>
        <v>0</v>
      </c>
      <c r="AI223" s="286" t="n">
        <f aca="false">IFERROR(SUMIF($V$4:$AG$4, "SME", V223:AG223), "")</f>
        <v>0</v>
      </c>
      <c r="AJ223" s="286" t="n">
        <f aca="false">IFERROR(SUMIF($V$4:$AG$4, "De Minimis", V223:AG223), "")</f>
        <v>0</v>
      </c>
      <c r="AK223" s="287"/>
      <c r="AL223" s="288" t="str">
        <f aca="false">IF((SUM(I223:T223)&gt;1),"ERROR","")</f>
        <v/>
      </c>
    </row>
    <row r="224" customFormat="false" ht="15" hidden="false" customHeight="true" outlineLevel="0" collapsed="false">
      <c r="E224" s="200"/>
      <c r="H224" s="350"/>
      <c r="I224" s="282"/>
      <c r="J224" s="282"/>
      <c r="K224" s="282"/>
      <c r="L224" s="282"/>
      <c r="M224" s="282"/>
      <c r="N224" s="282"/>
      <c r="O224" s="282"/>
      <c r="P224" s="282"/>
      <c r="Q224" s="282"/>
      <c r="R224" s="282"/>
      <c r="S224" s="282"/>
      <c r="T224" s="282"/>
      <c r="U224" s="283"/>
      <c r="V224" s="284" t="n">
        <f aca="false">IFERROR(I224*$E224, "")</f>
        <v>0</v>
      </c>
      <c r="W224" s="284" t="n">
        <f aca="false">IFERROR(J224*$E224, "")</f>
        <v>0</v>
      </c>
      <c r="X224" s="284" t="n">
        <f aca="false">IFERROR(K224*$E224, "")</f>
        <v>0</v>
      </c>
      <c r="Y224" s="284" t="n">
        <f aca="false">IFERROR(L224*$E224, "")</f>
        <v>0</v>
      </c>
      <c r="Z224" s="284" t="n">
        <f aca="false">IFERROR(M224*$E224, "")</f>
        <v>0</v>
      </c>
      <c r="AA224" s="284" t="n">
        <f aca="false">IFERROR(N224*$E224, "")</f>
        <v>0</v>
      </c>
      <c r="AB224" s="284" t="n">
        <f aca="false">IFERROR(O224*$E224, "")</f>
        <v>0</v>
      </c>
      <c r="AC224" s="284" t="n">
        <f aca="false">IFERROR(P224*$E224, "")</f>
        <v>0</v>
      </c>
      <c r="AD224" s="284" t="n">
        <f aca="false">IFERROR(Q224*$E224, "")</f>
        <v>0</v>
      </c>
      <c r="AE224" s="284" t="n">
        <f aca="false">IFERROR(R224*$E224, "")</f>
        <v>0</v>
      </c>
      <c r="AF224" s="284" t="n">
        <f aca="false">IFERROR(S224*$E224, "")</f>
        <v>0</v>
      </c>
      <c r="AG224" s="284" t="n">
        <f aca="false">IFERROR(T224*$E224, "")</f>
        <v>0</v>
      </c>
      <c r="AH224" s="286" t="n">
        <f aca="false">IFERROR(SUMIF($V$4:$AG$4, "RDEC", V224:AG224), "")</f>
        <v>0</v>
      </c>
      <c r="AI224" s="286" t="n">
        <f aca="false">IFERROR(SUMIF($V$4:$AG$4, "SME", V224:AG224), "")</f>
        <v>0</v>
      </c>
      <c r="AJ224" s="286" t="n">
        <f aca="false">IFERROR(SUMIF($V$4:$AG$4, "De Minimis", V224:AG224), "")</f>
        <v>0</v>
      </c>
      <c r="AK224" s="287"/>
      <c r="AL224" s="288" t="str">
        <f aca="false">IF((SUM(I224:T224)&gt;1),"ERROR","")</f>
        <v/>
      </c>
    </row>
    <row r="225" customFormat="false" ht="15" hidden="false" customHeight="true" outlineLevel="0" collapsed="false">
      <c r="E225" s="200"/>
      <c r="H225" s="350"/>
      <c r="I225" s="282"/>
      <c r="J225" s="282"/>
      <c r="K225" s="282"/>
      <c r="L225" s="282"/>
      <c r="M225" s="282"/>
      <c r="N225" s="282"/>
      <c r="O225" s="282"/>
      <c r="P225" s="282"/>
      <c r="Q225" s="282"/>
      <c r="R225" s="282"/>
      <c r="S225" s="282"/>
      <c r="T225" s="282"/>
      <c r="U225" s="283"/>
      <c r="V225" s="284" t="n">
        <f aca="false">IFERROR(I225*$E225, "")</f>
        <v>0</v>
      </c>
      <c r="W225" s="284" t="n">
        <f aca="false">IFERROR(J225*$E225, "")</f>
        <v>0</v>
      </c>
      <c r="X225" s="284" t="n">
        <f aca="false">IFERROR(K225*$E225, "")</f>
        <v>0</v>
      </c>
      <c r="Y225" s="284" t="n">
        <f aca="false">IFERROR(L225*$E225, "")</f>
        <v>0</v>
      </c>
      <c r="Z225" s="284" t="n">
        <f aca="false">IFERROR(M225*$E225, "")</f>
        <v>0</v>
      </c>
      <c r="AA225" s="284" t="n">
        <f aca="false">IFERROR(N225*$E225, "")</f>
        <v>0</v>
      </c>
      <c r="AB225" s="284" t="n">
        <f aca="false">IFERROR(O225*$E225, "")</f>
        <v>0</v>
      </c>
      <c r="AC225" s="284" t="n">
        <f aca="false">IFERROR(P225*$E225, "")</f>
        <v>0</v>
      </c>
      <c r="AD225" s="284" t="n">
        <f aca="false">IFERROR(Q225*$E225, "")</f>
        <v>0</v>
      </c>
      <c r="AE225" s="284" t="n">
        <f aca="false">IFERROR(R225*$E225, "")</f>
        <v>0</v>
      </c>
      <c r="AF225" s="284" t="n">
        <f aca="false">IFERROR(S225*$E225, "")</f>
        <v>0</v>
      </c>
      <c r="AG225" s="284" t="n">
        <f aca="false">IFERROR(T225*$E225, "")</f>
        <v>0</v>
      </c>
      <c r="AH225" s="286" t="n">
        <f aca="false">IFERROR(SUMIF($V$4:$AG$4, "RDEC", V225:AG225), "")</f>
        <v>0</v>
      </c>
      <c r="AI225" s="286" t="n">
        <f aca="false">IFERROR(SUMIF($V$4:$AG$4, "SME", V225:AG225), "")</f>
        <v>0</v>
      </c>
      <c r="AJ225" s="286" t="n">
        <f aca="false">IFERROR(SUMIF($V$4:$AG$4, "De Minimis", V225:AG225), "")</f>
        <v>0</v>
      </c>
      <c r="AK225" s="287"/>
      <c r="AL225" s="288" t="str">
        <f aca="false">IF((SUM(I225:T225)&gt;1),"ERROR","")</f>
        <v/>
      </c>
    </row>
    <row r="226" customFormat="false" ht="15" hidden="false" customHeight="true" outlineLevel="0" collapsed="false">
      <c r="E226" s="200"/>
      <c r="H226" s="350"/>
      <c r="I226" s="282"/>
      <c r="J226" s="282"/>
      <c r="K226" s="282"/>
      <c r="L226" s="282"/>
      <c r="M226" s="282"/>
      <c r="N226" s="282"/>
      <c r="O226" s="282"/>
      <c r="P226" s="282"/>
      <c r="Q226" s="282"/>
      <c r="R226" s="282"/>
      <c r="S226" s="282"/>
      <c r="T226" s="282"/>
      <c r="U226" s="283"/>
      <c r="V226" s="284" t="n">
        <f aca="false">IFERROR(I226*$E226, "")</f>
        <v>0</v>
      </c>
      <c r="W226" s="284" t="n">
        <f aca="false">IFERROR(J226*$E226, "")</f>
        <v>0</v>
      </c>
      <c r="X226" s="284" t="n">
        <f aca="false">IFERROR(K226*$E226, "")</f>
        <v>0</v>
      </c>
      <c r="Y226" s="284" t="n">
        <f aca="false">IFERROR(L226*$E226, "")</f>
        <v>0</v>
      </c>
      <c r="Z226" s="284" t="n">
        <f aca="false">IFERROR(M226*$E226, "")</f>
        <v>0</v>
      </c>
      <c r="AA226" s="284" t="n">
        <f aca="false">IFERROR(N226*$E226, "")</f>
        <v>0</v>
      </c>
      <c r="AB226" s="284" t="n">
        <f aca="false">IFERROR(O226*$E226, "")</f>
        <v>0</v>
      </c>
      <c r="AC226" s="284" t="n">
        <f aca="false">IFERROR(P226*$E226, "")</f>
        <v>0</v>
      </c>
      <c r="AD226" s="284" t="n">
        <f aca="false">IFERROR(Q226*$E226, "")</f>
        <v>0</v>
      </c>
      <c r="AE226" s="284" t="n">
        <f aca="false">IFERROR(R226*$E226, "")</f>
        <v>0</v>
      </c>
      <c r="AF226" s="284" t="n">
        <f aca="false">IFERROR(S226*$E226, "")</f>
        <v>0</v>
      </c>
      <c r="AG226" s="284" t="n">
        <f aca="false">IFERROR(T226*$E226, "")</f>
        <v>0</v>
      </c>
      <c r="AH226" s="286" t="n">
        <f aca="false">IFERROR(SUMIF($V$4:$AG$4, "RDEC", V226:AG226), "")</f>
        <v>0</v>
      </c>
      <c r="AI226" s="286" t="n">
        <f aca="false">IFERROR(SUMIF($V$4:$AG$4, "SME", V226:AG226), "")</f>
        <v>0</v>
      </c>
      <c r="AJ226" s="286" t="n">
        <f aca="false">IFERROR(SUMIF($V$4:$AG$4, "De Minimis", V226:AG226), "")</f>
        <v>0</v>
      </c>
      <c r="AK226" s="287"/>
      <c r="AL226" s="288" t="str">
        <f aca="false">IF((SUM(I226:T226)&gt;1),"ERROR","")</f>
        <v/>
      </c>
    </row>
    <row r="227" customFormat="false" ht="15" hidden="false" customHeight="true" outlineLevel="0" collapsed="false">
      <c r="E227" s="200"/>
      <c r="H227" s="350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3"/>
      <c r="V227" s="284" t="n">
        <f aca="false">IFERROR(I227*$E227, "")</f>
        <v>0</v>
      </c>
      <c r="W227" s="284" t="n">
        <f aca="false">IFERROR(J227*$E227, "")</f>
        <v>0</v>
      </c>
      <c r="X227" s="284" t="n">
        <f aca="false">IFERROR(K227*$E227, "")</f>
        <v>0</v>
      </c>
      <c r="Y227" s="284" t="n">
        <f aca="false">IFERROR(L227*$E227, "")</f>
        <v>0</v>
      </c>
      <c r="Z227" s="284" t="n">
        <f aca="false">IFERROR(M227*$E227, "")</f>
        <v>0</v>
      </c>
      <c r="AA227" s="284" t="n">
        <f aca="false">IFERROR(N227*$E227, "")</f>
        <v>0</v>
      </c>
      <c r="AB227" s="284" t="n">
        <f aca="false">IFERROR(O227*$E227, "")</f>
        <v>0</v>
      </c>
      <c r="AC227" s="284" t="n">
        <f aca="false">IFERROR(P227*$E227, "")</f>
        <v>0</v>
      </c>
      <c r="AD227" s="284" t="n">
        <f aca="false">IFERROR(Q227*$E227, "")</f>
        <v>0</v>
      </c>
      <c r="AE227" s="284" t="n">
        <f aca="false">IFERROR(R227*$E227, "")</f>
        <v>0</v>
      </c>
      <c r="AF227" s="284" t="n">
        <f aca="false">IFERROR(S227*$E227, "")</f>
        <v>0</v>
      </c>
      <c r="AG227" s="284" t="n">
        <f aca="false">IFERROR(T227*$E227, "")</f>
        <v>0</v>
      </c>
      <c r="AH227" s="286" t="n">
        <f aca="false">IFERROR(SUMIF($V$4:$AG$4, "RDEC", V227:AG227), "")</f>
        <v>0</v>
      </c>
      <c r="AI227" s="286" t="n">
        <f aca="false">IFERROR(SUMIF($V$4:$AG$4, "SME", V227:AG227), "")</f>
        <v>0</v>
      </c>
      <c r="AJ227" s="286" t="n">
        <f aca="false">IFERROR(SUMIF($V$4:$AG$4, "De Minimis", V227:AG227), "")</f>
        <v>0</v>
      </c>
      <c r="AK227" s="287"/>
      <c r="AL227" s="288" t="str">
        <f aca="false">IF((SUM(I227:T227)&gt;1),"ERROR","")</f>
        <v/>
      </c>
    </row>
    <row r="228" customFormat="false" ht="15" hidden="false" customHeight="true" outlineLevel="0" collapsed="false">
      <c r="E228" s="200"/>
      <c r="H228" s="350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3"/>
      <c r="V228" s="284" t="n">
        <f aca="false">IFERROR(I228*$E228, "")</f>
        <v>0</v>
      </c>
      <c r="W228" s="284" t="n">
        <f aca="false">IFERROR(J228*$E228, "")</f>
        <v>0</v>
      </c>
      <c r="X228" s="284" t="n">
        <f aca="false">IFERROR(K228*$E228, "")</f>
        <v>0</v>
      </c>
      <c r="Y228" s="284" t="n">
        <f aca="false">IFERROR(L228*$E228, "")</f>
        <v>0</v>
      </c>
      <c r="Z228" s="284" t="n">
        <f aca="false">IFERROR(M228*$E228, "")</f>
        <v>0</v>
      </c>
      <c r="AA228" s="284" t="n">
        <f aca="false">IFERROR(N228*$E228, "")</f>
        <v>0</v>
      </c>
      <c r="AB228" s="284" t="n">
        <f aca="false">IFERROR(O228*$E228, "")</f>
        <v>0</v>
      </c>
      <c r="AC228" s="284" t="n">
        <f aca="false">IFERROR(P228*$E228, "")</f>
        <v>0</v>
      </c>
      <c r="AD228" s="284" t="n">
        <f aca="false">IFERROR(Q228*$E228, "")</f>
        <v>0</v>
      </c>
      <c r="AE228" s="284" t="n">
        <f aca="false">IFERROR(R228*$E228, "")</f>
        <v>0</v>
      </c>
      <c r="AF228" s="284" t="n">
        <f aca="false">IFERROR(S228*$E228, "")</f>
        <v>0</v>
      </c>
      <c r="AG228" s="284" t="n">
        <f aca="false">IFERROR(T228*$E228, "")</f>
        <v>0</v>
      </c>
      <c r="AH228" s="286" t="n">
        <f aca="false">IFERROR(SUMIF($V$4:$AG$4, "RDEC", V228:AG228), "")</f>
        <v>0</v>
      </c>
      <c r="AI228" s="286" t="n">
        <f aca="false">IFERROR(SUMIF($V$4:$AG$4, "SME", V228:AG228), "")</f>
        <v>0</v>
      </c>
      <c r="AJ228" s="286" t="n">
        <f aca="false">IFERROR(SUMIF($V$4:$AG$4, "De Minimis", V228:AG228), "")</f>
        <v>0</v>
      </c>
      <c r="AK228" s="287"/>
      <c r="AL228" s="288" t="str">
        <f aca="false">IF((SUM(I228:T228)&gt;1),"ERROR","")</f>
        <v/>
      </c>
    </row>
    <row r="229" customFormat="false" ht="15" hidden="false" customHeight="true" outlineLevel="0" collapsed="false">
      <c r="E229" s="200"/>
      <c r="H229" s="350"/>
      <c r="I229" s="282"/>
      <c r="J229" s="282"/>
      <c r="K229" s="282"/>
      <c r="L229" s="282"/>
      <c r="M229" s="282"/>
      <c r="N229" s="282"/>
      <c r="O229" s="282"/>
      <c r="P229" s="282"/>
      <c r="Q229" s="282"/>
      <c r="R229" s="282"/>
      <c r="S229" s="282"/>
      <c r="T229" s="282"/>
      <c r="U229" s="283"/>
      <c r="V229" s="284" t="n">
        <f aca="false">IFERROR(I229*$E229, "")</f>
        <v>0</v>
      </c>
      <c r="W229" s="284" t="n">
        <f aca="false">IFERROR(J229*$E229, "")</f>
        <v>0</v>
      </c>
      <c r="X229" s="284" t="n">
        <f aca="false">IFERROR(K229*$E229, "")</f>
        <v>0</v>
      </c>
      <c r="Y229" s="284" t="n">
        <f aca="false">IFERROR(L229*$E229, "")</f>
        <v>0</v>
      </c>
      <c r="Z229" s="284" t="n">
        <f aca="false">IFERROR(M229*$E229, "")</f>
        <v>0</v>
      </c>
      <c r="AA229" s="284" t="n">
        <f aca="false">IFERROR(N229*$E229, "")</f>
        <v>0</v>
      </c>
      <c r="AB229" s="284" t="n">
        <f aca="false">IFERROR(O229*$E229, "")</f>
        <v>0</v>
      </c>
      <c r="AC229" s="284" t="n">
        <f aca="false">IFERROR(P229*$E229, "")</f>
        <v>0</v>
      </c>
      <c r="AD229" s="284" t="n">
        <f aca="false">IFERROR(Q229*$E229, "")</f>
        <v>0</v>
      </c>
      <c r="AE229" s="284" t="n">
        <f aca="false">IFERROR(R229*$E229, "")</f>
        <v>0</v>
      </c>
      <c r="AF229" s="284" t="n">
        <f aca="false">IFERROR(S229*$E229, "")</f>
        <v>0</v>
      </c>
      <c r="AG229" s="284" t="n">
        <f aca="false">IFERROR(T229*$E229, "")</f>
        <v>0</v>
      </c>
      <c r="AH229" s="286" t="n">
        <f aca="false">IFERROR(SUMIF($V$4:$AG$4, "RDEC", V229:AG229), "")</f>
        <v>0</v>
      </c>
      <c r="AI229" s="286" t="n">
        <f aca="false">IFERROR(SUMIF($V$4:$AG$4, "SME", V229:AG229), "")</f>
        <v>0</v>
      </c>
      <c r="AJ229" s="286" t="n">
        <f aca="false">IFERROR(SUMIF($V$4:$AG$4, "De Minimis", V229:AG229), "")</f>
        <v>0</v>
      </c>
      <c r="AK229" s="303"/>
      <c r="AL229" s="288" t="str">
        <f aca="false">IF((SUM(I229:T229)&gt;1),"ERROR","")</f>
        <v/>
      </c>
    </row>
    <row r="230" customFormat="false" ht="15" hidden="false" customHeight="true" outlineLevel="0" collapsed="false">
      <c r="E230" s="200"/>
      <c r="H230" s="350"/>
      <c r="I230" s="282"/>
      <c r="J230" s="282"/>
      <c r="K230" s="282"/>
      <c r="L230" s="282"/>
      <c r="M230" s="282"/>
      <c r="N230" s="282"/>
      <c r="O230" s="282"/>
      <c r="P230" s="282"/>
      <c r="Q230" s="282"/>
      <c r="R230" s="282"/>
      <c r="S230" s="282"/>
      <c r="T230" s="282"/>
      <c r="U230" s="283"/>
      <c r="V230" s="284" t="n">
        <f aca="false">IFERROR(I230*$E230, "")</f>
        <v>0</v>
      </c>
      <c r="W230" s="284" t="n">
        <f aca="false">IFERROR(J230*$E230, "")</f>
        <v>0</v>
      </c>
      <c r="X230" s="284" t="n">
        <f aca="false">IFERROR(K230*$E230, "")</f>
        <v>0</v>
      </c>
      <c r="Y230" s="284" t="n">
        <f aca="false">IFERROR(L230*$E230, "")</f>
        <v>0</v>
      </c>
      <c r="Z230" s="284" t="n">
        <f aca="false">IFERROR(M230*$E230, "")</f>
        <v>0</v>
      </c>
      <c r="AA230" s="284" t="n">
        <f aca="false">IFERROR(N230*$E230, "")</f>
        <v>0</v>
      </c>
      <c r="AB230" s="284" t="n">
        <f aca="false">IFERROR(O230*$E230, "")</f>
        <v>0</v>
      </c>
      <c r="AC230" s="284" t="n">
        <f aca="false">IFERROR(P230*$E230, "")</f>
        <v>0</v>
      </c>
      <c r="AD230" s="284" t="n">
        <f aca="false">IFERROR(Q230*$E230, "")</f>
        <v>0</v>
      </c>
      <c r="AE230" s="284" t="n">
        <f aca="false">IFERROR(R230*$E230, "")</f>
        <v>0</v>
      </c>
      <c r="AF230" s="284" t="n">
        <f aca="false">IFERROR(S230*$E230, "")</f>
        <v>0</v>
      </c>
      <c r="AG230" s="284" t="n">
        <f aca="false">IFERROR(T230*$E230, "")</f>
        <v>0</v>
      </c>
      <c r="AH230" s="286" t="n">
        <f aca="false">IFERROR(SUMIF($V$4:$AG$4, "RDEC", V230:AG230), "")</f>
        <v>0</v>
      </c>
      <c r="AI230" s="286" t="n">
        <f aca="false">IFERROR(SUMIF($V$4:$AG$4, "SME", V230:AG230), "")</f>
        <v>0</v>
      </c>
      <c r="AJ230" s="286" t="n">
        <f aca="false">IFERROR(SUMIF($V$4:$AG$4, "De Minimis", V230:AG230), "")</f>
        <v>0</v>
      </c>
      <c r="AL230" s="288" t="str">
        <f aca="false">IF((SUM(I230:T230)&gt;1),"ERROR","")</f>
        <v/>
      </c>
    </row>
    <row r="231" customFormat="false" ht="15" hidden="false" customHeight="true" outlineLevel="0" collapsed="false">
      <c r="E231" s="200"/>
      <c r="H231" s="350"/>
      <c r="I231" s="282"/>
      <c r="J231" s="282"/>
      <c r="K231" s="282"/>
      <c r="L231" s="282"/>
      <c r="M231" s="282"/>
      <c r="N231" s="282"/>
      <c r="O231" s="282"/>
      <c r="P231" s="282"/>
      <c r="Q231" s="282"/>
      <c r="R231" s="282"/>
      <c r="S231" s="282"/>
      <c r="T231" s="282"/>
      <c r="U231" s="283"/>
      <c r="V231" s="284" t="n">
        <f aca="false">IFERROR(I231*$E231, "")</f>
        <v>0</v>
      </c>
      <c r="W231" s="284" t="n">
        <f aca="false">IFERROR(J231*$E231, "")</f>
        <v>0</v>
      </c>
      <c r="X231" s="284" t="n">
        <f aca="false">IFERROR(K231*$E231, "")</f>
        <v>0</v>
      </c>
      <c r="Y231" s="284" t="n">
        <f aca="false">IFERROR(L231*$E231, "")</f>
        <v>0</v>
      </c>
      <c r="Z231" s="284" t="n">
        <f aca="false">IFERROR(M231*$E231, "")</f>
        <v>0</v>
      </c>
      <c r="AA231" s="284" t="n">
        <f aca="false">IFERROR(N231*$E231, "")</f>
        <v>0</v>
      </c>
      <c r="AB231" s="284" t="n">
        <f aca="false">IFERROR(O231*$E231, "")</f>
        <v>0</v>
      </c>
      <c r="AC231" s="284" t="n">
        <f aca="false">IFERROR(P231*$E231, "")</f>
        <v>0</v>
      </c>
      <c r="AD231" s="284" t="n">
        <f aca="false">IFERROR(Q231*$E231, "")</f>
        <v>0</v>
      </c>
      <c r="AE231" s="284" t="n">
        <f aca="false">IFERROR(R231*$E231, "")</f>
        <v>0</v>
      </c>
      <c r="AF231" s="284" t="n">
        <f aca="false">IFERROR(S231*$E231, "")</f>
        <v>0</v>
      </c>
      <c r="AG231" s="284" t="n">
        <f aca="false">IFERROR(T231*$E231, "")</f>
        <v>0</v>
      </c>
      <c r="AH231" s="286" t="n">
        <f aca="false">IFERROR(SUMIF($V$4:$AG$4, "RDEC", V231:AG231), "")</f>
        <v>0</v>
      </c>
      <c r="AI231" s="286" t="n">
        <f aca="false">IFERROR(SUMIF($V$4:$AG$4, "SME", V231:AG231), "")</f>
        <v>0</v>
      </c>
      <c r="AJ231" s="286" t="n">
        <f aca="false">IFERROR(SUMIF($V$4:$AG$4, "De Minimis", V231:AG231), "")</f>
        <v>0</v>
      </c>
      <c r="AK231" s="268"/>
      <c r="AL231" s="288" t="str">
        <f aca="false">IF((SUM(I231:T231)&gt;1),"ERROR","")</f>
        <v/>
      </c>
    </row>
    <row r="232" customFormat="false" ht="15" hidden="false" customHeight="true" outlineLevel="0" collapsed="false">
      <c r="E232" s="200"/>
      <c r="H232" s="350"/>
      <c r="I232" s="282"/>
      <c r="J232" s="282"/>
      <c r="K232" s="282"/>
      <c r="L232" s="282"/>
      <c r="M232" s="282"/>
      <c r="N232" s="282"/>
      <c r="O232" s="282"/>
      <c r="P232" s="282"/>
      <c r="Q232" s="282"/>
      <c r="R232" s="282"/>
      <c r="S232" s="282"/>
      <c r="T232" s="282"/>
      <c r="U232" s="283"/>
      <c r="V232" s="284" t="n">
        <f aca="false">IFERROR(I232*$E232, "")</f>
        <v>0</v>
      </c>
      <c r="W232" s="284" t="n">
        <f aca="false">IFERROR(J232*$E232, "")</f>
        <v>0</v>
      </c>
      <c r="X232" s="284" t="n">
        <f aca="false">IFERROR(K232*$E232, "")</f>
        <v>0</v>
      </c>
      <c r="Y232" s="284" t="n">
        <f aca="false">IFERROR(L232*$E232, "")</f>
        <v>0</v>
      </c>
      <c r="Z232" s="284" t="n">
        <f aca="false">IFERROR(M232*$E232, "")</f>
        <v>0</v>
      </c>
      <c r="AA232" s="284" t="n">
        <f aca="false">IFERROR(N232*$E232, "")</f>
        <v>0</v>
      </c>
      <c r="AB232" s="284" t="n">
        <f aca="false">IFERROR(O232*$E232, "")</f>
        <v>0</v>
      </c>
      <c r="AC232" s="284" t="n">
        <f aca="false">IFERROR(P232*$E232, "")</f>
        <v>0</v>
      </c>
      <c r="AD232" s="284" t="n">
        <f aca="false">IFERROR(Q232*$E232, "")</f>
        <v>0</v>
      </c>
      <c r="AE232" s="284" t="n">
        <f aca="false">IFERROR(R232*$E232, "")</f>
        <v>0</v>
      </c>
      <c r="AF232" s="284" t="n">
        <f aca="false">IFERROR(S232*$E232, "")</f>
        <v>0</v>
      </c>
      <c r="AG232" s="284" t="n">
        <f aca="false">IFERROR(T232*$E232, "")</f>
        <v>0</v>
      </c>
      <c r="AH232" s="286" t="n">
        <f aca="false">IFERROR(SUMIF($V$4:$AG$4, "RDEC", V232:AG232), "")</f>
        <v>0</v>
      </c>
      <c r="AI232" s="286" t="n">
        <f aca="false">IFERROR(SUMIF($V$4:$AG$4, "SME", V232:AG232), "")</f>
        <v>0</v>
      </c>
      <c r="AJ232" s="286" t="n">
        <f aca="false">IFERROR(SUMIF($V$4:$AG$4, "De Minimis", V232:AG232), "")</f>
        <v>0</v>
      </c>
      <c r="AK232" s="287"/>
      <c r="AL232" s="288" t="str">
        <f aca="false">IF((SUM(I232:T232)&gt;1),"ERROR","")</f>
        <v/>
      </c>
    </row>
    <row r="233" customFormat="false" ht="15" hidden="false" customHeight="true" outlineLevel="0" collapsed="false">
      <c r="E233" s="200"/>
      <c r="H233" s="350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3"/>
      <c r="V233" s="284" t="n">
        <f aca="false">IFERROR(I233*$E233, "")</f>
        <v>0</v>
      </c>
      <c r="W233" s="284" t="n">
        <f aca="false">IFERROR(J233*$E233, "")</f>
        <v>0</v>
      </c>
      <c r="X233" s="284" t="n">
        <f aca="false">IFERROR(K233*$E233, "")</f>
        <v>0</v>
      </c>
      <c r="Y233" s="284" t="n">
        <f aca="false">IFERROR(L233*$E233, "")</f>
        <v>0</v>
      </c>
      <c r="Z233" s="284" t="n">
        <f aca="false">IFERROR(M233*$E233, "")</f>
        <v>0</v>
      </c>
      <c r="AA233" s="284" t="n">
        <f aca="false">IFERROR(N233*$E233, "")</f>
        <v>0</v>
      </c>
      <c r="AB233" s="284" t="n">
        <f aca="false">IFERROR(O233*$E233, "")</f>
        <v>0</v>
      </c>
      <c r="AC233" s="284" t="n">
        <f aca="false">IFERROR(P233*$E233, "")</f>
        <v>0</v>
      </c>
      <c r="AD233" s="284" t="n">
        <f aca="false">IFERROR(Q233*$E233, "")</f>
        <v>0</v>
      </c>
      <c r="AE233" s="284" t="n">
        <f aca="false">IFERROR(R233*$E233, "")</f>
        <v>0</v>
      </c>
      <c r="AF233" s="284" t="n">
        <f aca="false">IFERROR(S233*$E233, "")</f>
        <v>0</v>
      </c>
      <c r="AG233" s="284" t="n">
        <f aca="false">IFERROR(T233*$E233, "")</f>
        <v>0</v>
      </c>
      <c r="AH233" s="286" t="n">
        <f aca="false">IFERROR(SUMIF($V$4:$AG$4, "RDEC", V233:AG233), "")</f>
        <v>0</v>
      </c>
      <c r="AI233" s="286" t="n">
        <f aca="false">IFERROR(SUMIF($V$4:$AG$4, "SME", V233:AG233), "")</f>
        <v>0</v>
      </c>
      <c r="AJ233" s="286" t="n">
        <f aca="false">IFERROR(SUMIF($V$4:$AG$4, "De Minimis", V233:AG233), "")</f>
        <v>0</v>
      </c>
      <c r="AK233" s="287"/>
      <c r="AL233" s="288" t="str">
        <f aca="false">IF((SUM(I233:T233)&gt;1),"ERROR","")</f>
        <v/>
      </c>
    </row>
    <row r="234" customFormat="false" ht="15" hidden="false" customHeight="true" outlineLevel="0" collapsed="false">
      <c r="E234" s="200"/>
      <c r="H234" s="350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3"/>
      <c r="V234" s="284" t="n">
        <f aca="false">IFERROR(I234*$E234, "")</f>
        <v>0</v>
      </c>
      <c r="W234" s="284" t="n">
        <f aca="false">IFERROR(J234*$E234, "")</f>
        <v>0</v>
      </c>
      <c r="X234" s="284" t="n">
        <f aca="false">IFERROR(K234*$E234, "")</f>
        <v>0</v>
      </c>
      <c r="Y234" s="284" t="n">
        <f aca="false">IFERROR(L234*$E234, "")</f>
        <v>0</v>
      </c>
      <c r="Z234" s="284" t="n">
        <f aca="false">IFERROR(M234*$E234, "")</f>
        <v>0</v>
      </c>
      <c r="AA234" s="284" t="n">
        <f aca="false">IFERROR(N234*$E234, "")</f>
        <v>0</v>
      </c>
      <c r="AB234" s="284" t="n">
        <f aca="false">IFERROR(O234*$E234, "")</f>
        <v>0</v>
      </c>
      <c r="AC234" s="284" t="n">
        <f aca="false">IFERROR(P234*$E234, "")</f>
        <v>0</v>
      </c>
      <c r="AD234" s="284" t="n">
        <f aca="false">IFERROR(Q234*$E234, "")</f>
        <v>0</v>
      </c>
      <c r="AE234" s="284" t="n">
        <f aca="false">IFERROR(R234*$E234, "")</f>
        <v>0</v>
      </c>
      <c r="AF234" s="284" t="n">
        <f aca="false">IFERROR(S234*$E234, "")</f>
        <v>0</v>
      </c>
      <c r="AG234" s="284" t="n">
        <f aca="false">IFERROR(T234*$E234, "")</f>
        <v>0</v>
      </c>
      <c r="AH234" s="286" t="n">
        <f aca="false">IFERROR(SUMIF($V$4:$AG$4, "RDEC", V234:AG234), "")</f>
        <v>0</v>
      </c>
      <c r="AI234" s="286" t="n">
        <f aca="false">IFERROR(SUMIF($V$4:$AG$4, "SME", V234:AG234), "")</f>
        <v>0</v>
      </c>
      <c r="AJ234" s="286" t="n">
        <f aca="false">IFERROR(SUMIF($V$4:$AG$4, "De Minimis", V234:AG234), "")</f>
        <v>0</v>
      </c>
      <c r="AK234" s="287"/>
      <c r="AL234" s="288" t="str">
        <f aca="false">IF((SUM(I234:T234)&gt;1),"ERROR","")</f>
        <v/>
      </c>
    </row>
    <row r="235" customFormat="false" ht="15" hidden="false" customHeight="true" outlineLevel="0" collapsed="false">
      <c r="E235" s="200"/>
      <c r="H235" s="350"/>
      <c r="I235" s="282"/>
      <c r="J235" s="282"/>
      <c r="K235" s="282"/>
      <c r="L235" s="282"/>
      <c r="M235" s="282"/>
      <c r="N235" s="282"/>
      <c r="O235" s="282"/>
      <c r="P235" s="282"/>
      <c r="Q235" s="282"/>
      <c r="R235" s="282"/>
      <c r="S235" s="282"/>
      <c r="T235" s="282"/>
      <c r="U235" s="283"/>
      <c r="V235" s="284" t="n">
        <f aca="false">IFERROR(I235*$E235, "")</f>
        <v>0</v>
      </c>
      <c r="W235" s="284" t="n">
        <f aca="false">IFERROR(J235*$E235, "")</f>
        <v>0</v>
      </c>
      <c r="X235" s="284" t="n">
        <f aca="false">IFERROR(K235*$E235, "")</f>
        <v>0</v>
      </c>
      <c r="Y235" s="284" t="n">
        <f aca="false">IFERROR(L235*$E235, "")</f>
        <v>0</v>
      </c>
      <c r="Z235" s="284" t="n">
        <f aca="false">IFERROR(M235*$E235, "")</f>
        <v>0</v>
      </c>
      <c r="AA235" s="284" t="n">
        <f aca="false">IFERROR(N235*$E235, "")</f>
        <v>0</v>
      </c>
      <c r="AB235" s="284" t="n">
        <f aca="false">IFERROR(O235*$E235, "")</f>
        <v>0</v>
      </c>
      <c r="AC235" s="284" t="n">
        <f aca="false">IFERROR(P235*$E235, "")</f>
        <v>0</v>
      </c>
      <c r="AD235" s="284" t="n">
        <f aca="false">IFERROR(Q235*$E235, "")</f>
        <v>0</v>
      </c>
      <c r="AE235" s="284" t="n">
        <f aca="false">IFERROR(R235*$E235, "")</f>
        <v>0</v>
      </c>
      <c r="AF235" s="284" t="n">
        <f aca="false">IFERROR(S235*$E235, "")</f>
        <v>0</v>
      </c>
      <c r="AG235" s="284" t="n">
        <f aca="false">IFERROR(T235*$E235, "")</f>
        <v>0</v>
      </c>
      <c r="AH235" s="286" t="n">
        <f aca="false">IFERROR(SUMIF($V$4:$AG$4, "RDEC", V235:AG235), "")</f>
        <v>0</v>
      </c>
      <c r="AI235" s="286" t="n">
        <f aca="false">IFERROR(SUMIF($V$4:$AG$4, "SME", V235:AG235), "")</f>
        <v>0</v>
      </c>
      <c r="AJ235" s="286" t="n">
        <f aca="false">IFERROR(SUMIF($V$4:$AG$4, "De Minimis", V235:AG235), "")</f>
        <v>0</v>
      </c>
      <c r="AK235" s="287"/>
      <c r="AL235" s="288" t="str">
        <f aca="false">IF((SUM(I235:T235)&gt;1),"ERROR","")</f>
        <v/>
      </c>
    </row>
    <row r="236" customFormat="false" ht="15" hidden="false" customHeight="true" outlineLevel="0" collapsed="false">
      <c r="E236" s="200"/>
      <c r="H236" s="350"/>
      <c r="I236" s="282"/>
      <c r="J236" s="282"/>
      <c r="K236" s="282"/>
      <c r="L236" s="282"/>
      <c r="M236" s="282"/>
      <c r="N236" s="282"/>
      <c r="O236" s="282"/>
      <c r="P236" s="282"/>
      <c r="Q236" s="282"/>
      <c r="R236" s="282"/>
      <c r="S236" s="282"/>
      <c r="T236" s="282"/>
      <c r="U236" s="283"/>
      <c r="V236" s="284" t="n">
        <f aca="false">IFERROR(I236*$E236, "")</f>
        <v>0</v>
      </c>
      <c r="W236" s="284" t="n">
        <f aca="false">IFERROR(J236*$E236, "")</f>
        <v>0</v>
      </c>
      <c r="X236" s="284" t="n">
        <f aca="false">IFERROR(K236*$E236, "")</f>
        <v>0</v>
      </c>
      <c r="Y236" s="284" t="n">
        <f aca="false">IFERROR(L236*$E236, "")</f>
        <v>0</v>
      </c>
      <c r="Z236" s="284" t="n">
        <f aca="false">IFERROR(M236*$E236, "")</f>
        <v>0</v>
      </c>
      <c r="AA236" s="284" t="n">
        <f aca="false">IFERROR(N236*$E236, "")</f>
        <v>0</v>
      </c>
      <c r="AB236" s="284" t="n">
        <f aca="false">IFERROR(O236*$E236, "")</f>
        <v>0</v>
      </c>
      <c r="AC236" s="284" t="n">
        <f aca="false">IFERROR(P236*$E236, "")</f>
        <v>0</v>
      </c>
      <c r="AD236" s="284" t="n">
        <f aca="false">IFERROR(Q236*$E236, "")</f>
        <v>0</v>
      </c>
      <c r="AE236" s="284" t="n">
        <f aca="false">IFERROR(R236*$E236, "")</f>
        <v>0</v>
      </c>
      <c r="AF236" s="284" t="n">
        <f aca="false">IFERROR(S236*$E236, "")</f>
        <v>0</v>
      </c>
      <c r="AG236" s="284" t="n">
        <f aca="false">IFERROR(T236*$E236, "")</f>
        <v>0</v>
      </c>
      <c r="AH236" s="286" t="n">
        <f aca="false">IFERROR(SUMIF($V$4:$AG$4, "RDEC", V236:AG236), "")</f>
        <v>0</v>
      </c>
      <c r="AI236" s="286" t="n">
        <f aca="false">IFERROR(SUMIF($V$4:$AG$4, "SME", V236:AG236), "")</f>
        <v>0</v>
      </c>
      <c r="AJ236" s="286" t="n">
        <f aca="false">IFERROR(SUMIF($V$4:$AG$4, "De Minimis", V236:AG236), "")</f>
        <v>0</v>
      </c>
      <c r="AK236" s="287"/>
      <c r="AL236" s="288" t="str">
        <f aca="false">IF((SUM(I236:T236)&gt;1),"ERROR","")</f>
        <v/>
      </c>
    </row>
    <row r="237" customFormat="false" ht="15" hidden="false" customHeight="true" outlineLevel="0" collapsed="false">
      <c r="E237" s="200"/>
      <c r="H237" s="350"/>
      <c r="I237" s="282"/>
      <c r="J237" s="282"/>
      <c r="K237" s="282"/>
      <c r="L237" s="282"/>
      <c r="M237" s="282"/>
      <c r="N237" s="282"/>
      <c r="O237" s="282"/>
      <c r="P237" s="282"/>
      <c r="Q237" s="282"/>
      <c r="R237" s="282"/>
      <c r="S237" s="282"/>
      <c r="T237" s="282"/>
      <c r="U237" s="283"/>
      <c r="V237" s="284" t="n">
        <f aca="false">IFERROR(I237*$E237, "")</f>
        <v>0</v>
      </c>
      <c r="W237" s="284" t="n">
        <f aca="false">IFERROR(J237*$E237, "")</f>
        <v>0</v>
      </c>
      <c r="X237" s="284" t="n">
        <f aca="false">IFERROR(K237*$E237, "")</f>
        <v>0</v>
      </c>
      <c r="Y237" s="284" t="n">
        <f aca="false">IFERROR(L237*$E237, "")</f>
        <v>0</v>
      </c>
      <c r="Z237" s="284" t="n">
        <f aca="false">IFERROR(M237*$E237, "")</f>
        <v>0</v>
      </c>
      <c r="AA237" s="284" t="n">
        <f aca="false">IFERROR(N237*$E237, "")</f>
        <v>0</v>
      </c>
      <c r="AB237" s="284" t="n">
        <f aca="false">IFERROR(O237*$E237, "")</f>
        <v>0</v>
      </c>
      <c r="AC237" s="284" t="n">
        <f aca="false">IFERROR(P237*$E237, "")</f>
        <v>0</v>
      </c>
      <c r="AD237" s="284" t="n">
        <f aca="false">IFERROR(Q237*$E237, "")</f>
        <v>0</v>
      </c>
      <c r="AE237" s="284" t="n">
        <f aca="false">IFERROR(R237*$E237, "")</f>
        <v>0</v>
      </c>
      <c r="AF237" s="284" t="n">
        <f aca="false">IFERROR(S237*$E237, "")</f>
        <v>0</v>
      </c>
      <c r="AG237" s="284" t="n">
        <f aca="false">IFERROR(T237*$E237, "")</f>
        <v>0</v>
      </c>
      <c r="AH237" s="286" t="n">
        <f aca="false">IFERROR(SUMIF($V$4:$AG$4, "RDEC", V237:AG237), "")</f>
        <v>0</v>
      </c>
      <c r="AI237" s="286" t="n">
        <f aca="false">IFERROR(SUMIF($V$4:$AG$4, "SME", V237:AG237), "")</f>
        <v>0</v>
      </c>
      <c r="AJ237" s="286" t="n">
        <f aca="false">IFERROR(SUMIF($V$4:$AG$4, "De Minimis", V237:AG237), "")</f>
        <v>0</v>
      </c>
      <c r="AK237" s="287"/>
      <c r="AL237" s="288" t="str">
        <f aca="false">IF((SUM(I237:T237)&gt;1),"ERROR","")</f>
        <v/>
      </c>
    </row>
    <row r="238" customFormat="false" ht="15" hidden="false" customHeight="true" outlineLevel="0" collapsed="false">
      <c r="E238" s="200"/>
      <c r="H238" s="350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3"/>
      <c r="V238" s="284" t="n">
        <f aca="false">IFERROR(I238*$E238, "")</f>
        <v>0</v>
      </c>
      <c r="W238" s="284" t="n">
        <f aca="false">IFERROR(J238*$E238, "")</f>
        <v>0</v>
      </c>
      <c r="X238" s="284" t="n">
        <f aca="false">IFERROR(K238*$E238, "")</f>
        <v>0</v>
      </c>
      <c r="Y238" s="284" t="n">
        <f aca="false">IFERROR(L238*$E238, "")</f>
        <v>0</v>
      </c>
      <c r="Z238" s="284" t="n">
        <f aca="false">IFERROR(M238*$E238, "")</f>
        <v>0</v>
      </c>
      <c r="AA238" s="284" t="n">
        <f aca="false">IFERROR(N238*$E238, "")</f>
        <v>0</v>
      </c>
      <c r="AB238" s="284" t="n">
        <f aca="false">IFERROR(O238*$E238, "")</f>
        <v>0</v>
      </c>
      <c r="AC238" s="284" t="n">
        <f aca="false">IFERROR(P238*$E238, "")</f>
        <v>0</v>
      </c>
      <c r="AD238" s="284" t="n">
        <f aca="false">IFERROR(Q238*$E238, "")</f>
        <v>0</v>
      </c>
      <c r="AE238" s="284" t="n">
        <f aca="false">IFERROR(R238*$E238, "")</f>
        <v>0</v>
      </c>
      <c r="AF238" s="284" t="n">
        <f aca="false">IFERROR(S238*$E238, "")</f>
        <v>0</v>
      </c>
      <c r="AG238" s="284" t="n">
        <f aca="false">IFERROR(T238*$E238, "")</f>
        <v>0</v>
      </c>
      <c r="AH238" s="286" t="n">
        <f aca="false">IFERROR(SUMIF($V$4:$AG$4, "RDEC", V238:AG238), "")</f>
        <v>0</v>
      </c>
      <c r="AI238" s="286" t="n">
        <f aca="false">IFERROR(SUMIF($V$4:$AG$4, "SME", V238:AG238), "")</f>
        <v>0</v>
      </c>
      <c r="AJ238" s="286" t="n">
        <f aca="false">IFERROR(SUMIF($V$4:$AG$4, "De Minimis", V238:AG238), "")</f>
        <v>0</v>
      </c>
      <c r="AK238" s="287"/>
      <c r="AL238" s="288" t="str">
        <f aca="false">IF((SUM(I238:T238)&gt;1),"ERROR","")</f>
        <v/>
      </c>
    </row>
    <row r="239" customFormat="false" ht="15" hidden="false" customHeight="true" outlineLevel="0" collapsed="false">
      <c r="E239" s="200"/>
      <c r="H239" s="350"/>
      <c r="I239" s="282"/>
      <c r="J239" s="282"/>
      <c r="K239" s="282"/>
      <c r="L239" s="282"/>
      <c r="M239" s="282"/>
      <c r="N239" s="282"/>
      <c r="O239" s="282"/>
      <c r="P239" s="282"/>
      <c r="Q239" s="282"/>
      <c r="R239" s="282"/>
      <c r="S239" s="282"/>
      <c r="T239" s="282"/>
      <c r="U239" s="283"/>
      <c r="V239" s="284" t="n">
        <f aca="false">IFERROR(I239*$E239, "")</f>
        <v>0</v>
      </c>
      <c r="W239" s="284" t="n">
        <f aca="false">IFERROR(J239*$E239, "")</f>
        <v>0</v>
      </c>
      <c r="X239" s="284" t="n">
        <f aca="false">IFERROR(K239*$E239, "")</f>
        <v>0</v>
      </c>
      <c r="Y239" s="284" t="n">
        <f aca="false">IFERROR(L239*$E239, "")</f>
        <v>0</v>
      </c>
      <c r="Z239" s="284" t="n">
        <f aca="false">IFERROR(M239*$E239, "")</f>
        <v>0</v>
      </c>
      <c r="AA239" s="284" t="n">
        <f aca="false">IFERROR(N239*$E239, "")</f>
        <v>0</v>
      </c>
      <c r="AB239" s="284" t="n">
        <f aca="false">IFERROR(O239*$E239, "")</f>
        <v>0</v>
      </c>
      <c r="AC239" s="284" t="n">
        <f aca="false">IFERROR(P239*$E239, "")</f>
        <v>0</v>
      </c>
      <c r="AD239" s="284" t="n">
        <f aca="false">IFERROR(Q239*$E239, "")</f>
        <v>0</v>
      </c>
      <c r="AE239" s="284" t="n">
        <f aca="false">IFERROR(R239*$E239, "")</f>
        <v>0</v>
      </c>
      <c r="AF239" s="284" t="n">
        <f aca="false">IFERROR(S239*$E239, "")</f>
        <v>0</v>
      </c>
      <c r="AG239" s="284" t="n">
        <f aca="false">IFERROR(T239*$E239, "")</f>
        <v>0</v>
      </c>
      <c r="AH239" s="286" t="n">
        <f aca="false">IFERROR(SUMIF($V$4:$AG$4, "RDEC", V239:AG239), "")</f>
        <v>0</v>
      </c>
      <c r="AI239" s="286" t="n">
        <f aca="false">IFERROR(SUMIF($V$4:$AG$4, "SME", V239:AG239), "")</f>
        <v>0</v>
      </c>
      <c r="AJ239" s="286" t="n">
        <f aca="false">IFERROR(SUMIF($V$4:$AG$4, "De Minimis", V239:AG239), "")</f>
        <v>0</v>
      </c>
      <c r="AK239" s="287"/>
      <c r="AL239" s="288" t="str">
        <f aca="false">IF((SUM(I239:T239)&gt;1),"ERROR","")</f>
        <v/>
      </c>
    </row>
    <row r="240" customFormat="false" ht="15" hidden="false" customHeight="true" outlineLevel="0" collapsed="false">
      <c r="E240" s="200"/>
      <c r="H240" s="350"/>
      <c r="I240" s="282"/>
      <c r="J240" s="282"/>
      <c r="K240" s="282"/>
      <c r="L240" s="282"/>
      <c r="M240" s="282"/>
      <c r="N240" s="282"/>
      <c r="O240" s="282"/>
      <c r="P240" s="282"/>
      <c r="Q240" s="282"/>
      <c r="R240" s="282"/>
      <c r="S240" s="282"/>
      <c r="T240" s="282"/>
      <c r="U240" s="283"/>
      <c r="V240" s="284" t="n">
        <f aca="false">IFERROR(I240*$E240, "")</f>
        <v>0</v>
      </c>
      <c r="W240" s="284" t="n">
        <f aca="false">IFERROR(J240*$E240, "")</f>
        <v>0</v>
      </c>
      <c r="X240" s="284" t="n">
        <f aca="false">IFERROR(K240*$E240, "")</f>
        <v>0</v>
      </c>
      <c r="Y240" s="284" t="n">
        <f aca="false">IFERROR(L240*$E240, "")</f>
        <v>0</v>
      </c>
      <c r="Z240" s="284" t="n">
        <f aca="false">IFERROR(M240*$E240, "")</f>
        <v>0</v>
      </c>
      <c r="AA240" s="284" t="n">
        <f aca="false">IFERROR(N240*$E240, "")</f>
        <v>0</v>
      </c>
      <c r="AB240" s="284" t="n">
        <f aca="false">IFERROR(O240*$E240, "")</f>
        <v>0</v>
      </c>
      <c r="AC240" s="284" t="n">
        <f aca="false">IFERROR(P240*$E240, "")</f>
        <v>0</v>
      </c>
      <c r="AD240" s="284" t="n">
        <f aca="false">IFERROR(Q240*$E240, "")</f>
        <v>0</v>
      </c>
      <c r="AE240" s="284" t="n">
        <f aca="false">IFERROR(R240*$E240, "")</f>
        <v>0</v>
      </c>
      <c r="AF240" s="284" t="n">
        <f aca="false">IFERROR(S240*$E240, "")</f>
        <v>0</v>
      </c>
      <c r="AG240" s="284" t="n">
        <f aca="false">IFERROR(T240*$E240, "")</f>
        <v>0</v>
      </c>
      <c r="AH240" s="286" t="n">
        <f aca="false">IFERROR(SUMIF($V$4:$AG$4, "RDEC", V240:AG240), "")</f>
        <v>0</v>
      </c>
      <c r="AI240" s="286" t="n">
        <f aca="false">IFERROR(SUMIF($V$4:$AG$4, "SME", V240:AG240), "")</f>
        <v>0</v>
      </c>
      <c r="AJ240" s="286" t="n">
        <f aca="false">IFERROR(SUMIF($V$4:$AG$4, "De Minimis", V240:AG240), "")</f>
        <v>0</v>
      </c>
      <c r="AK240" s="287"/>
      <c r="AL240" s="288" t="str">
        <f aca="false">IF((SUM(I240:T240)&gt;1),"ERROR","")</f>
        <v/>
      </c>
    </row>
    <row r="241" customFormat="false" ht="15" hidden="false" customHeight="true" outlineLevel="0" collapsed="false">
      <c r="E241" s="200"/>
      <c r="H241" s="350"/>
      <c r="I241" s="282"/>
      <c r="J241" s="282"/>
      <c r="K241" s="282"/>
      <c r="L241" s="282"/>
      <c r="M241" s="282"/>
      <c r="N241" s="282"/>
      <c r="O241" s="282"/>
      <c r="P241" s="282"/>
      <c r="Q241" s="282"/>
      <c r="R241" s="282"/>
      <c r="S241" s="282"/>
      <c r="T241" s="282"/>
      <c r="U241" s="283"/>
      <c r="V241" s="284" t="n">
        <f aca="false">IFERROR(I241*$E241, "")</f>
        <v>0</v>
      </c>
      <c r="W241" s="284" t="n">
        <f aca="false">IFERROR(J241*$E241, "")</f>
        <v>0</v>
      </c>
      <c r="X241" s="284" t="n">
        <f aca="false">IFERROR(K241*$E241, "")</f>
        <v>0</v>
      </c>
      <c r="Y241" s="284" t="n">
        <f aca="false">IFERROR(L241*$E241, "")</f>
        <v>0</v>
      </c>
      <c r="Z241" s="284" t="n">
        <f aca="false">IFERROR(M241*$E241, "")</f>
        <v>0</v>
      </c>
      <c r="AA241" s="284" t="n">
        <f aca="false">IFERROR(N241*$E241, "")</f>
        <v>0</v>
      </c>
      <c r="AB241" s="284" t="n">
        <f aca="false">IFERROR(O241*$E241, "")</f>
        <v>0</v>
      </c>
      <c r="AC241" s="284" t="n">
        <f aca="false">IFERROR(P241*$E241, "")</f>
        <v>0</v>
      </c>
      <c r="AD241" s="284" t="n">
        <f aca="false">IFERROR(Q241*$E241, "")</f>
        <v>0</v>
      </c>
      <c r="AE241" s="284" t="n">
        <f aca="false">IFERROR(R241*$E241, "")</f>
        <v>0</v>
      </c>
      <c r="AF241" s="284" t="n">
        <f aca="false">IFERROR(S241*$E241, "")</f>
        <v>0</v>
      </c>
      <c r="AG241" s="284" t="n">
        <f aca="false">IFERROR(T241*$E241, "")</f>
        <v>0</v>
      </c>
      <c r="AH241" s="286" t="n">
        <f aca="false">IFERROR(SUMIF($V$4:$AG$4, "RDEC", V241:AG241), "")</f>
        <v>0</v>
      </c>
      <c r="AI241" s="286" t="n">
        <f aca="false">IFERROR(SUMIF($V$4:$AG$4, "SME", V241:AG241), "")</f>
        <v>0</v>
      </c>
      <c r="AJ241" s="286" t="n">
        <f aca="false">IFERROR(SUMIF($V$4:$AG$4, "De Minimis", V241:AG241), "")</f>
        <v>0</v>
      </c>
      <c r="AK241" s="287"/>
      <c r="AL241" s="288" t="str">
        <f aca="false">IF((SUM(I241:T241)&gt;1),"ERROR","")</f>
        <v/>
      </c>
    </row>
    <row r="242" customFormat="false" ht="15" hidden="false" customHeight="true" outlineLevel="0" collapsed="false">
      <c r="E242" s="200"/>
      <c r="H242" s="350"/>
      <c r="I242" s="282"/>
      <c r="J242" s="282"/>
      <c r="K242" s="282"/>
      <c r="L242" s="282"/>
      <c r="M242" s="282"/>
      <c r="N242" s="282"/>
      <c r="O242" s="282"/>
      <c r="P242" s="282"/>
      <c r="Q242" s="282"/>
      <c r="R242" s="282"/>
      <c r="S242" s="282"/>
      <c r="T242" s="282"/>
      <c r="U242" s="283"/>
      <c r="V242" s="284" t="n">
        <f aca="false">IFERROR(I242*$E242, "")</f>
        <v>0</v>
      </c>
      <c r="W242" s="284" t="n">
        <f aca="false">IFERROR(J242*$E242, "")</f>
        <v>0</v>
      </c>
      <c r="X242" s="284" t="n">
        <f aca="false">IFERROR(K242*$E242, "")</f>
        <v>0</v>
      </c>
      <c r="Y242" s="284" t="n">
        <f aca="false">IFERROR(L242*$E242, "")</f>
        <v>0</v>
      </c>
      <c r="Z242" s="284" t="n">
        <f aca="false">IFERROR(M242*$E242, "")</f>
        <v>0</v>
      </c>
      <c r="AA242" s="284" t="n">
        <f aca="false">IFERROR(N242*$E242, "")</f>
        <v>0</v>
      </c>
      <c r="AB242" s="284" t="n">
        <f aca="false">IFERROR(O242*$E242, "")</f>
        <v>0</v>
      </c>
      <c r="AC242" s="284" t="n">
        <f aca="false">IFERROR(P242*$E242, "")</f>
        <v>0</v>
      </c>
      <c r="AD242" s="284" t="n">
        <f aca="false">IFERROR(Q242*$E242, "")</f>
        <v>0</v>
      </c>
      <c r="AE242" s="284" t="n">
        <f aca="false">IFERROR(R242*$E242, "")</f>
        <v>0</v>
      </c>
      <c r="AF242" s="284" t="n">
        <f aca="false">IFERROR(S242*$E242, "")</f>
        <v>0</v>
      </c>
      <c r="AG242" s="284" t="n">
        <f aca="false">IFERROR(T242*$E242, "")</f>
        <v>0</v>
      </c>
      <c r="AH242" s="286" t="n">
        <f aca="false">IFERROR(SUMIF($V$4:$AG$4, "RDEC", V242:AG242), "")</f>
        <v>0</v>
      </c>
      <c r="AI242" s="286" t="n">
        <f aca="false">IFERROR(SUMIF($V$4:$AG$4, "SME", V242:AG242), "")</f>
        <v>0</v>
      </c>
      <c r="AJ242" s="286" t="n">
        <f aca="false">IFERROR(SUMIF($V$4:$AG$4, "De Minimis", V242:AG242), "")</f>
        <v>0</v>
      </c>
      <c r="AK242" s="287"/>
      <c r="AL242" s="288" t="str">
        <f aca="false">IF((SUM(I242:T242)&gt;1),"ERROR","")</f>
        <v/>
      </c>
    </row>
    <row r="243" customFormat="false" ht="15" hidden="false" customHeight="true" outlineLevel="0" collapsed="false">
      <c r="E243" s="200"/>
      <c r="H243" s="350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3"/>
      <c r="V243" s="284" t="n">
        <f aca="false">IFERROR(I243*$E243, "")</f>
        <v>0</v>
      </c>
      <c r="W243" s="284" t="n">
        <f aca="false">IFERROR(J243*$E243, "")</f>
        <v>0</v>
      </c>
      <c r="X243" s="284" t="n">
        <f aca="false">IFERROR(K243*$E243, "")</f>
        <v>0</v>
      </c>
      <c r="Y243" s="284" t="n">
        <f aca="false">IFERROR(L243*$E243, "")</f>
        <v>0</v>
      </c>
      <c r="Z243" s="284" t="n">
        <f aca="false">IFERROR(M243*$E243, "")</f>
        <v>0</v>
      </c>
      <c r="AA243" s="284" t="n">
        <f aca="false">IFERROR(N243*$E243, "")</f>
        <v>0</v>
      </c>
      <c r="AB243" s="284" t="n">
        <f aca="false">IFERROR(O243*$E243, "")</f>
        <v>0</v>
      </c>
      <c r="AC243" s="284" t="n">
        <f aca="false">IFERROR(P243*$E243, "")</f>
        <v>0</v>
      </c>
      <c r="AD243" s="284" t="n">
        <f aca="false">IFERROR(Q243*$E243, "")</f>
        <v>0</v>
      </c>
      <c r="AE243" s="284" t="n">
        <f aca="false">IFERROR(R243*$E243, "")</f>
        <v>0</v>
      </c>
      <c r="AF243" s="284" t="n">
        <f aca="false">IFERROR(S243*$E243, "")</f>
        <v>0</v>
      </c>
      <c r="AG243" s="284" t="n">
        <f aca="false">IFERROR(T243*$E243, "")</f>
        <v>0</v>
      </c>
      <c r="AH243" s="286" t="n">
        <f aca="false">IFERROR(SUMIF($V$4:$AG$4, "RDEC", V243:AG243), "")</f>
        <v>0</v>
      </c>
      <c r="AI243" s="286" t="n">
        <f aca="false">IFERROR(SUMIF($V$4:$AG$4, "SME", V243:AG243), "")</f>
        <v>0</v>
      </c>
      <c r="AJ243" s="286" t="n">
        <f aca="false">IFERROR(SUMIF($V$4:$AG$4, "De Minimis", V243:AG243), "")</f>
        <v>0</v>
      </c>
      <c r="AK243" s="287"/>
      <c r="AL243" s="288" t="str">
        <f aca="false">IF((SUM(I243:T243)&gt;1),"ERROR","")</f>
        <v/>
      </c>
    </row>
    <row r="244" customFormat="false" ht="15" hidden="false" customHeight="true" outlineLevel="0" collapsed="false">
      <c r="E244" s="200"/>
      <c r="H244" s="350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3"/>
      <c r="V244" s="284" t="n">
        <f aca="false">IFERROR(I244*$E244, "")</f>
        <v>0</v>
      </c>
      <c r="W244" s="284" t="n">
        <f aca="false">IFERROR(J244*$E244, "")</f>
        <v>0</v>
      </c>
      <c r="X244" s="284" t="n">
        <f aca="false">IFERROR(K244*$E244, "")</f>
        <v>0</v>
      </c>
      <c r="Y244" s="284" t="n">
        <f aca="false">IFERROR(L244*$E244, "")</f>
        <v>0</v>
      </c>
      <c r="Z244" s="284" t="n">
        <f aca="false">IFERROR(M244*$E244, "")</f>
        <v>0</v>
      </c>
      <c r="AA244" s="284" t="n">
        <f aca="false">IFERROR(N244*$E244, "")</f>
        <v>0</v>
      </c>
      <c r="AB244" s="284" t="n">
        <f aca="false">IFERROR(O244*$E244, "")</f>
        <v>0</v>
      </c>
      <c r="AC244" s="284" t="n">
        <f aca="false">IFERROR(P244*$E244, "")</f>
        <v>0</v>
      </c>
      <c r="AD244" s="284" t="n">
        <f aca="false">IFERROR(Q244*$E244, "")</f>
        <v>0</v>
      </c>
      <c r="AE244" s="284" t="n">
        <f aca="false">IFERROR(R244*$E244, "")</f>
        <v>0</v>
      </c>
      <c r="AF244" s="284" t="n">
        <f aca="false">IFERROR(S244*$E244, "")</f>
        <v>0</v>
      </c>
      <c r="AG244" s="284" t="n">
        <f aca="false">IFERROR(T244*$E244, "")</f>
        <v>0</v>
      </c>
      <c r="AH244" s="286" t="n">
        <f aca="false">IFERROR(SUMIF($V$4:$AG$4, "RDEC", V244:AG244), "")</f>
        <v>0</v>
      </c>
      <c r="AI244" s="286" t="n">
        <f aca="false">IFERROR(SUMIF($V$4:$AG$4, "SME", V244:AG244), "")</f>
        <v>0</v>
      </c>
      <c r="AJ244" s="286" t="n">
        <f aca="false">IFERROR(SUMIF($V$4:$AG$4, "De Minimis", V244:AG244), "")</f>
        <v>0</v>
      </c>
      <c r="AK244" s="303"/>
      <c r="AL244" s="288" t="str">
        <f aca="false">IF((SUM(I244:T244)&gt;1),"ERROR","")</f>
        <v/>
      </c>
    </row>
    <row r="245" customFormat="false" ht="15" hidden="false" customHeight="true" outlineLevel="0" collapsed="false">
      <c r="E245" s="200"/>
      <c r="H245" s="350"/>
      <c r="I245" s="291"/>
      <c r="J245" s="291"/>
      <c r="K245" s="291"/>
      <c r="L245" s="291"/>
      <c r="M245" s="291"/>
      <c r="N245" s="291"/>
      <c r="O245" s="291"/>
      <c r="P245" s="291"/>
      <c r="Q245" s="291"/>
      <c r="R245" s="291"/>
      <c r="S245" s="291"/>
      <c r="T245" s="291"/>
      <c r="U245" s="283"/>
      <c r="V245" s="292"/>
      <c r="W245" s="292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4"/>
      <c r="AI245" s="294"/>
      <c r="AJ245" s="294"/>
      <c r="AL245" s="356"/>
    </row>
    <row r="246" customFormat="false" ht="15" hidden="false" customHeight="true" outlineLevel="0" collapsed="false">
      <c r="E246" s="200"/>
      <c r="H246" s="350"/>
      <c r="I246" s="323"/>
      <c r="J246" s="323"/>
      <c r="K246" s="323"/>
      <c r="L246" s="323"/>
      <c r="M246" s="323"/>
      <c r="N246" s="323"/>
      <c r="O246" s="323"/>
      <c r="P246" s="323"/>
      <c r="Q246" s="323"/>
      <c r="R246" s="323"/>
      <c r="S246" s="323"/>
      <c r="T246" s="323"/>
      <c r="V246" s="287"/>
      <c r="W246" s="287"/>
      <c r="X246" s="287"/>
      <c r="Y246" s="287"/>
      <c r="Z246" s="287"/>
      <c r="AA246" s="287"/>
      <c r="AB246" s="287"/>
      <c r="AC246" s="287"/>
      <c r="AD246" s="287"/>
      <c r="AE246" s="287"/>
      <c r="AF246" s="287"/>
      <c r="AG246" s="287"/>
      <c r="AH246" s="287"/>
      <c r="AI246" s="287"/>
      <c r="AJ246" s="287"/>
      <c r="AK246" s="268"/>
      <c r="AL246" s="17"/>
    </row>
    <row r="247" s="40" customFormat="true" ht="15" hidden="false" customHeight="true" outlineLevel="0" collapsed="false">
      <c r="A247" s="358" t="s">
        <v>82</v>
      </c>
      <c r="D247" s="198"/>
      <c r="E247" s="223" t="n">
        <f aca="false">SUM(E6:E245)</f>
        <v>43040</v>
      </c>
      <c r="H247" s="359"/>
      <c r="I247" s="360" t="n">
        <f aca="false">IFERROR(V247/$E$247, 0)</f>
        <v>0.25957249070632</v>
      </c>
      <c r="J247" s="360" t="n">
        <f aca="false">IFERROR(W247/$E$247, 0)</f>
        <v>0.253949814126394</v>
      </c>
      <c r="K247" s="360" t="n">
        <f aca="false">IFERROR(X247/$E$247, 0)</f>
        <v>0.223745353159851</v>
      </c>
      <c r="L247" s="360" t="n">
        <f aca="false">IFERROR(Y247/$E$247, 0)</f>
        <v>0.101486988847584</v>
      </c>
      <c r="M247" s="360" t="n">
        <f aca="false">IFERROR(Z247/$E$247, 0)</f>
        <v>0.161245353159851</v>
      </c>
      <c r="N247" s="360" t="n">
        <f aca="false">IFERROR(AA247/$E$247, 0)</f>
        <v>0</v>
      </c>
      <c r="O247" s="360" t="n">
        <f aca="false">IFERROR(AB247/$E$247, 0)</f>
        <v>0</v>
      </c>
      <c r="P247" s="360" t="n">
        <f aca="false">IFERROR(AC247/$E$247, 0)</f>
        <v>0</v>
      </c>
      <c r="Q247" s="360" t="n">
        <f aca="false">IFERROR(AD247/$E$247, 0)</f>
        <v>0</v>
      </c>
      <c r="R247" s="360" t="n">
        <f aca="false">IFERROR(AE247/$E$247, 0)</f>
        <v>0</v>
      </c>
      <c r="S247" s="360" t="n">
        <f aca="false">IFERROR(AF247/$E$247, 0)</f>
        <v>0</v>
      </c>
      <c r="T247" s="360" t="n">
        <f aca="false">IFERROR(AG247/$E$247, 0)</f>
        <v>0</v>
      </c>
      <c r="U247" s="190"/>
      <c r="V247" s="361" t="n">
        <f aca="false">(SUM(V7:V245))</f>
        <v>11172</v>
      </c>
      <c r="W247" s="361" t="n">
        <f aca="false">(SUM(W7:W245))</f>
        <v>10930</v>
      </c>
      <c r="X247" s="361" t="n">
        <f aca="false">(SUM(X7:X245))</f>
        <v>9630</v>
      </c>
      <c r="Y247" s="361" t="n">
        <f aca="false">(SUM(Y7:Y245))</f>
        <v>4368</v>
      </c>
      <c r="Z247" s="361" t="n">
        <f aca="false">(SUM(Z7:Z245))</f>
        <v>6940</v>
      </c>
      <c r="AA247" s="361" t="n">
        <f aca="false">(SUM(AA7:AA245))</f>
        <v>0</v>
      </c>
      <c r="AB247" s="361" t="n">
        <f aca="false">(SUM(AB7:AB245))</f>
        <v>0</v>
      </c>
      <c r="AC247" s="361" t="n">
        <f aca="false">(SUM(AC7:AC245))</f>
        <v>0</v>
      </c>
      <c r="AD247" s="361" t="n">
        <f aca="false">(SUM(AD7:AD245))</f>
        <v>0</v>
      </c>
      <c r="AE247" s="361" t="n">
        <f aca="false">(SUM(AE7:AE245))</f>
        <v>0</v>
      </c>
      <c r="AF247" s="361" t="n">
        <f aca="false">(SUM(AF7:AF245))</f>
        <v>0</v>
      </c>
      <c r="AG247" s="361" t="n">
        <f aca="false">(SUM(AG7:AG245))</f>
        <v>0</v>
      </c>
      <c r="AH247" s="362" t="n">
        <f aca="false">SUM(AH7:AH245)</f>
        <v>4368</v>
      </c>
      <c r="AI247" s="362" t="n">
        <f aca="false">SUM(AI7:AI245)</f>
        <v>38672</v>
      </c>
      <c r="AJ247" s="362" t="n">
        <f aca="false">SUM(AJ7:AJ245)</f>
        <v>0</v>
      </c>
      <c r="AK247" s="287"/>
      <c r="AL247" s="17"/>
    </row>
    <row r="248" customFormat="false" ht="15" hidden="false" customHeight="true" outlineLevel="0" collapsed="false">
      <c r="AK248" s="287"/>
      <c r="AL248" s="17"/>
    </row>
    <row r="249" customFormat="false" ht="15" hidden="false" customHeight="true" outlineLevel="0" collapsed="false">
      <c r="AK249" s="287"/>
      <c r="AL249" s="17"/>
    </row>
    <row r="250" customFormat="false" ht="15" hidden="false" customHeight="true" outlineLevel="0" collapsed="false">
      <c r="AK250" s="287"/>
      <c r="AL250" s="17"/>
    </row>
    <row r="251" customFormat="false" ht="15" hidden="false" customHeight="true" outlineLevel="0" collapsed="false">
      <c r="AK251" s="287"/>
      <c r="AL251" s="17"/>
    </row>
    <row r="252" customFormat="false" ht="15" hidden="false" customHeight="true" outlineLevel="0" collapsed="false">
      <c r="AK252" s="287"/>
      <c r="AL252" s="17"/>
    </row>
    <row r="253" customFormat="false" ht="15" hidden="false" customHeight="true" outlineLevel="0" collapsed="false">
      <c r="AK253" s="287"/>
      <c r="AL253" s="17"/>
    </row>
    <row r="254" customFormat="false" ht="15" hidden="false" customHeight="true" outlineLevel="0" collapsed="false">
      <c r="AK254" s="287"/>
      <c r="AL254" s="17"/>
    </row>
    <row r="255" customFormat="false" ht="15" hidden="false" customHeight="true" outlineLevel="0" collapsed="false">
      <c r="AK255" s="287"/>
      <c r="AL255" s="17"/>
    </row>
    <row r="256" customFormat="false" ht="15" hidden="false" customHeight="true" outlineLevel="0" collapsed="false">
      <c r="AK256" s="287"/>
      <c r="AL256" s="17"/>
    </row>
    <row r="257" customFormat="false" ht="15" hidden="false" customHeight="true" outlineLevel="0" collapsed="false">
      <c r="AK257" s="287"/>
      <c r="AL257" s="17"/>
    </row>
    <row r="258" customFormat="false" ht="15" hidden="false" customHeight="true" outlineLevel="0" collapsed="false">
      <c r="AK258" s="287"/>
      <c r="AL258" s="17"/>
    </row>
    <row r="259" customFormat="false" ht="15" hidden="false" customHeight="true" outlineLevel="0" collapsed="false">
      <c r="AK259" s="303"/>
      <c r="AL259" s="17"/>
    </row>
    <row r="260" customFormat="false" ht="15" hidden="false" customHeight="true" outlineLevel="0" collapsed="false">
      <c r="AL260" s="17"/>
    </row>
    <row r="261" customFormat="false" ht="15" hidden="false" customHeight="true" outlineLevel="0" collapsed="false">
      <c r="AK261" s="268"/>
      <c r="AL261" s="17"/>
    </row>
    <row r="262" customFormat="false" ht="15" hidden="false" customHeight="true" outlineLevel="0" collapsed="false">
      <c r="AK262" s="287"/>
      <c r="AL262" s="17"/>
    </row>
    <row r="263" customFormat="false" ht="15" hidden="false" customHeight="true" outlineLevel="0" collapsed="false">
      <c r="AK263" s="287"/>
      <c r="AL263" s="17"/>
    </row>
    <row r="264" customFormat="false" ht="15" hidden="false" customHeight="true" outlineLevel="0" collapsed="false">
      <c r="AK264" s="287"/>
      <c r="AL264" s="17"/>
    </row>
    <row r="265" customFormat="false" ht="15" hidden="false" customHeight="true" outlineLevel="0" collapsed="false">
      <c r="AK265" s="287"/>
      <c r="AL265" s="17"/>
    </row>
    <row r="266" customFormat="false" ht="15" hidden="false" customHeight="true" outlineLevel="0" collapsed="false">
      <c r="AK266" s="287"/>
      <c r="AL266" s="17"/>
    </row>
    <row r="267" customFormat="false" ht="15" hidden="false" customHeight="true" outlineLevel="0" collapsed="false">
      <c r="AK267" s="287"/>
      <c r="AL267" s="17"/>
    </row>
    <row r="268" customFormat="false" ht="15" hidden="false" customHeight="true" outlineLevel="0" collapsed="false">
      <c r="AK268" s="287"/>
      <c r="AL268" s="17"/>
    </row>
    <row r="269" customFormat="false" ht="15" hidden="false" customHeight="true" outlineLevel="0" collapsed="false">
      <c r="AK269" s="287"/>
      <c r="AL269" s="17"/>
    </row>
    <row r="270" customFormat="false" ht="15" hidden="false" customHeight="true" outlineLevel="0" collapsed="false">
      <c r="AK270" s="287"/>
      <c r="AL270" s="17"/>
    </row>
    <row r="271" customFormat="false" ht="15" hidden="false" customHeight="true" outlineLevel="0" collapsed="false">
      <c r="AK271" s="287"/>
      <c r="AL271" s="17"/>
    </row>
    <row r="272" customFormat="false" ht="15" hidden="false" customHeight="true" outlineLevel="0" collapsed="false">
      <c r="AK272" s="287"/>
      <c r="AL272" s="17"/>
    </row>
    <row r="273" customFormat="false" ht="15" hidden="false" customHeight="true" outlineLevel="0" collapsed="false">
      <c r="AK273" s="287"/>
      <c r="AL273" s="17"/>
    </row>
    <row r="274" customFormat="false" ht="15" hidden="false" customHeight="true" outlineLevel="0" collapsed="false">
      <c r="AK274" s="303"/>
      <c r="AL274" s="17"/>
    </row>
    <row r="275" customFormat="false" ht="15" hidden="false" customHeight="true" outlineLevel="0" collapsed="false">
      <c r="AL275" s="17"/>
    </row>
    <row r="276" customFormat="false" ht="15" hidden="false" customHeight="true" outlineLevel="0" collapsed="false">
      <c r="AK276" s="268"/>
      <c r="AL276" s="17"/>
    </row>
    <row r="277" customFormat="false" ht="15" hidden="false" customHeight="true" outlineLevel="0" collapsed="false">
      <c r="AK277" s="287"/>
      <c r="AL277" s="17"/>
    </row>
    <row r="278" customFormat="false" ht="15" hidden="false" customHeight="true" outlineLevel="0" collapsed="false">
      <c r="AK278" s="287"/>
      <c r="AL278" s="17"/>
    </row>
    <row r="279" customFormat="false" ht="15" hidden="false" customHeight="true" outlineLevel="0" collapsed="false">
      <c r="AK279" s="287"/>
      <c r="AL279" s="17"/>
    </row>
    <row r="280" customFormat="false" ht="15" hidden="false" customHeight="true" outlineLevel="0" collapsed="false">
      <c r="AK280" s="287"/>
      <c r="AL280" s="17"/>
    </row>
    <row r="281" customFormat="false" ht="15" hidden="false" customHeight="true" outlineLevel="0" collapsed="false">
      <c r="AK281" s="287"/>
      <c r="AL281" s="17"/>
    </row>
    <row r="282" customFormat="false" ht="15" hidden="false" customHeight="true" outlineLevel="0" collapsed="false">
      <c r="AK282" s="287"/>
      <c r="AL282" s="17"/>
    </row>
    <row r="283" customFormat="false" ht="15" hidden="false" customHeight="true" outlineLevel="0" collapsed="false">
      <c r="AK283" s="287"/>
      <c r="AL283" s="17"/>
    </row>
    <row r="284" customFormat="false" ht="15" hidden="false" customHeight="true" outlineLevel="0" collapsed="false">
      <c r="AK284" s="287"/>
      <c r="AL284" s="17"/>
    </row>
    <row r="285" customFormat="false" ht="15" hidden="false" customHeight="true" outlineLevel="0" collapsed="false">
      <c r="AK285" s="287"/>
      <c r="AL285" s="17"/>
    </row>
    <row r="286" customFormat="false" ht="15" hidden="false" customHeight="true" outlineLevel="0" collapsed="false">
      <c r="AK286" s="287"/>
      <c r="AL286" s="17"/>
    </row>
    <row r="287" customFormat="false" ht="15" hidden="false" customHeight="true" outlineLevel="0" collapsed="false">
      <c r="AK287" s="287"/>
      <c r="AL287" s="17"/>
    </row>
    <row r="288" customFormat="false" ht="15" hidden="false" customHeight="true" outlineLevel="0" collapsed="false">
      <c r="AK288" s="287"/>
      <c r="AL288" s="17"/>
    </row>
    <row r="289" customFormat="false" ht="15" hidden="false" customHeight="true" outlineLevel="0" collapsed="false">
      <c r="AK289" s="303"/>
      <c r="AL289" s="17"/>
    </row>
    <row r="290" customFormat="false" ht="15" hidden="false" customHeight="true" outlineLevel="0" collapsed="false">
      <c r="AL290" s="17"/>
    </row>
    <row r="291" customFormat="false" ht="15" hidden="false" customHeight="true" outlineLevel="0" collapsed="false">
      <c r="AK291" s="268"/>
      <c r="AL291" s="17"/>
    </row>
    <row r="292" customFormat="false" ht="15" hidden="false" customHeight="true" outlineLevel="0" collapsed="false">
      <c r="AK292" s="287"/>
      <c r="AL292" s="17"/>
    </row>
    <row r="293" customFormat="false" ht="15" hidden="false" customHeight="true" outlineLevel="0" collapsed="false">
      <c r="AK293" s="287"/>
      <c r="AL293" s="17"/>
    </row>
    <row r="294" customFormat="false" ht="15" hidden="false" customHeight="true" outlineLevel="0" collapsed="false">
      <c r="AK294" s="287"/>
      <c r="AL294" s="17"/>
    </row>
    <row r="295" customFormat="false" ht="15" hidden="false" customHeight="true" outlineLevel="0" collapsed="false">
      <c r="AK295" s="287"/>
      <c r="AL295" s="17"/>
    </row>
    <row r="296" customFormat="false" ht="15" hidden="false" customHeight="true" outlineLevel="0" collapsed="false">
      <c r="AK296" s="287"/>
      <c r="AL296" s="17"/>
    </row>
    <row r="297" customFormat="false" ht="15" hidden="false" customHeight="true" outlineLevel="0" collapsed="false">
      <c r="AK297" s="287"/>
      <c r="AL297" s="17"/>
    </row>
    <row r="298" customFormat="false" ht="15" hidden="false" customHeight="true" outlineLevel="0" collapsed="false">
      <c r="AK298" s="287"/>
      <c r="AL298" s="17"/>
    </row>
    <row r="299" customFormat="false" ht="15" hidden="false" customHeight="true" outlineLevel="0" collapsed="false">
      <c r="AK299" s="287"/>
      <c r="AL299" s="17"/>
    </row>
    <row r="300" customFormat="false" ht="15" hidden="false" customHeight="true" outlineLevel="0" collapsed="false">
      <c r="AK300" s="287"/>
      <c r="AL300" s="17"/>
    </row>
    <row r="301" customFormat="false" ht="15" hidden="false" customHeight="true" outlineLevel="0" collapsed="false">
      <c r="AK301" s="287"/>
      <c r="AL301" s="17"/>
    </row>
    <row r="302" customFormat="false" ht="15" hidden="false" customHeight="true" outlineLevel="0" collapsed="false">
      <c r="AK302" s="287"/>
      <c r="AL302" s="17"/>
    </row>
    <row r="303" customFormat="false" ht="15" hidden="false" customHeight="true" outlineLevel="0" collapsed="false">
      <c r="AK303" s="287"/>
      <c r="AL303" s="17"/>
    </row>
    <row r="304" customFormat="false" ht="15" hidden="false" customHeight="true" outlineLevel="0" collapsed="false">
      <c r="AK304" s="303"/>
      <c r="AL304" s="17"/>
    </row>
    <row r="305" customFormat="false" ht="15" hidden="false" customHeight="true" outlineLevel="0" collapsed="false">
      <c r="AL305" s="17"/>
    </row>
    <row r="306" customFormat="false" ht="15" hidden="false" customHeight="true" outlineLevel="0" collapsed="false">
      <c r="AK306" s="268"/>
      <c r="AL306" s="17"/>
    </row>
    <row r="307" customFormat="false" ht="15" hidden="false" customHeight="true" outlineLevel="0" collapsed="false">
      <c r="AK307" s="287"/>
      <c r="AL307" s="17"/>
    </row>
    <row r="308" customFormat="false" ht="15" hidden="false" customHeight="true" outlineLevel="0" collapsed="false">
      <c r="AK308" s="287"/>
      <c r="AL308" s="17"/>
    </row>
    <row r="309" customFormat="false" ht="15" hidden="false" customHeight="true" outlineLevel="0" collapsed="false">
      <c r="AK309" s="287"/>
      <c r="AL309" s="17"/>
    </row>
    <row r="310" customFormat="false" ht="15" hidden="false" customHeight="true" outlineLevel="0" collapsed="false">
      <c r="AK310" s="287"/>
      <c r="AL310" s="17"/>
    </row>
    <row r="311" customFormat="false" ht="15" hidden="false" customHeight="true" outlineLevel="0" collapsed="false">
      <c r="AK311" s="287"/>
      <c r="AL311" s="17"/>
    </row>
    <row r="312" customFormat="false" ht="15" hidden="false" customHeight="true" outlineLevel="0" collapsed="false">
      <c r="AK312" s="287"/>
      <c r="AL312" s="17"/>
    </row>
    <row r="313" customFormat="false" ht="15" hidden="false" customHeight="true" outlineLevel="0" collapsed="false">
      <c r="AK313" s="287"/>
      <c r="AL313" s="17"/>
    </row>
    <row r="314" customFormat="false" ht="15" hidden="false" customHeight="true" outlineLevel="0" collapsed="false">
      <c r="AK314" s="287"/>
      <c r="AL314" s="17"/>
    </row>
    <row r="315" customFormat="false" ht="15" hidden="false" customHeight="true" outlineLevel="0" collapsed="false">
      <c r="AK315" s="287"/>
      <c r="AL315" s="17"/>
    </row>
    <row r="316" customFormat="false" ht="15" hidden="false" customHeight="true" outlineLevel="0" collapsed="false">
      <c r="AK316" s="287"/>
      <c r="AL316" s="17"/>
    </row>
    <row r="317" customFormat="false" ht="15" hidden="false" customHeight="true" outlineLevel="0" collapsed="false">
      <c r="AK317" s="287"/>
      <c r="AL317" s="17"/>
    </row>
    <row r="318" customFormat="false" ht="15" hidden="false" customHeight="true" outlineLevel="0" collapsed="false">
      <c r="AK318" s="287"/>
      <c r="AL318" s="17"/>
    </row>
    <row r="319" customFormat="false" ht="15" hidden="false" customHeight="true" outlineLevel="0" collapsed="false">
      <c r="AK319" s="303"/>
      <c r="AL319" s="17"/>
    </row>
    <row r="320" customFormat="false" ht="15" hidden="false" customHeight="true" outlineLevel="0" collapsed="false">
      <c r="AL320" s="17"/>
    </row>
    <row r="321" customFormat="false" ht="15" hidden="false" customHeight="true" outlineLevel="0" collapsed="false">
      <c r="AK321" s="268"/>
      <c r="AL321" s="17"/>
    </row>
    <row r="322" customFormat="false" ht="15" hidden="false" customHeight="true" outlineLevel="0" collapsed="false">
      <c r="AK322" s="287"/>
      <c r="AL322" s="17"/>
    </row>
    <row r="323" customFormat="false" ht="15" hidden="false" customHeight="true" outlineLevel="0" collapsed="false">
      <c r="AK323" s="287"/>
      <c r="AL323" s="17"/>
    </row>
    <row r="324" customFormat="false" ht="15" hidden="false" customHeight="true" outlineLevel="0" collapsed="false">
      <c r="AK324" s="287"/>
      <c r="AL324" s="17"/>
    </row>
    <row r="325" customFormat="false" ht="15" hidden="false" customHeight="true" outlineLevel="0" collapsed="false">
      <c r="AK325" s="287"/>
      <c r="AL325" s="17"/>
    </row>
    <row r="326" customFormat="false" ht="15" hidden="false" customHeight="true" outlineLevel="0" collapsed="false">
      <c r="AK326" s="287"/>
      <c r="AL326" s="17"/>
    </row>
    <row r="327" customFormat="false" ht="15" hidden="false" customHeight="true" outlineLevel="0" collapsed="false">
      <c r="AK327" s="287"/>
      <c r="AL327" s="17"/>
    </row>
    <row r="328" customFormat="false" ht="15" hidden="false" customHeight="true" outlineLevel="0" collapsed="false">
      <c r="AK328" s="287"/>
      <c r="AL328" s="17"/>
    </row>
    <row r="329" customFormat="false" ht="15" hidden="false" customHeight="true" outlineLevel="0" collapsed="false">
      <c r="AK329" s="287"/>
      <c r="AL329" s="17"/>
    </row>
    <row r="330" customFormat="false" ht="15" hidden="false" customHeight="true" outlineLevel="0" collapsed="false">
      <c r="AK330" s="287"/>
      <c r="AL330" s="17"/>
    </row>
    <row r="331" customFormat="false" ht="15" hidden="false" customHeight="true" outlineLevel="0" collapsed="false">
      <c r="AK331" s="287"/>
      <c r="AL331" s="17"/>
    </row>
    <row r="332" customFormat="false" ht="15" hidden="false" customHeight="true" outlineLevel="0" collapsed="false">
      <c r="AK332" s="287"/>
      <c r="AL332" s="17"/>
    </row>
    <row r="333" customFormat="false" ht="15" hidden="false" customHeight="true" outlineLevel="0" collapsed="false">
      <c r="AK333" s="287"/>
      <c r="AL333" s="17"/>
    </row>
    <row r="334" customFormat="false" ht="15" hidden="false" customHeight="true" outlineLevel="0" collapsed="false">
      <c r="AK334" s="303"/>
      <c r="AL334" s="17"/>
    </row>
    <row r="335" customFormat="false" ht="15" hidden="false" customHeight="true" outlineLevel="0" collapsed="false">
      <c r="AL335" s="17"/>
    </row>
    <row r="336" customFormat="false" ht="15" hidden="false" customHeight="true" outlineLevel="0" collapsed="false">
      <c r="AK336" s="268"/>
      <c r="AL336" s="17"/>
    </row>
    <row r="337" customFormat="false" ht="15" hidden="false" customHeight="true" outlineLevel="0" collapsed="false">
      <c r="AK337" s="287"/>
      <c r="AL337" s="17"/>
    </row>
    <row r="338" customFormat="false" ht="15" hidden="false" customHeight="true" outlineLevel="0" collapsed="false">
      <c r="AK338" s="287"/>
      <c r="AL338" s="17"/>
    </row>
    <row r="339" customFormat="false" ht="15" hidden="false" customHeight="true" outlineLevel="0" collapsed="false">
      <c r="AK339" s="287"/>
      <c r="AL339" s="17"/>
    </row>
    <row r="340" customFormat="false" ht="15" hidden="false" customHeight="true" outlineLevel="0" collapsed="false">
      <c r="AK340" s="287"/>
      <c r="AL340" s="17"/>
    </row>
    <row r="341" customFormat="false" ht="15" hidden="false" customHeight="true" outlineLevel="0" collapsed="false">
      <c r="AK341" s="287"/>
      <c r="AL341" s="17"/>
    </row>
    <row r="342" customFormat="false" ht="15" hidden="false" customHeight="true" outlineLevel="0" collapsed="false">
      <c r="AK342" s="287"/>
      <c r="AL342" s="17"/>
    </row>
    <row r="343" customFormat="false" ht="15" hidden="false" customHeight="true" outlineLevel="0" collapsed="false">
      <c r="AK343" s="287"/>
      <c r="AL343" s="17"/>
    </row>
    <row r="344" customFormat="false" ht="15" hidden="false" customHeight="true" outlineLevel="0" collapsed="false">
      <c r="AK344" s="287"/>
      <c r="AL344" s="17"/>
    </row>
    <row r="345" customFormat="false" ht="15" hidden="false" customHeight="true" outlineLevel="0" collapsed="false">
      <c r="AK345" s="287"/>
      <c r="AL345" s="17"/>
    </row>
    <row r="346" customFormat="false" ht="15" hidden="false" customHeight="true" outlineLevel="0" collapsed="false">
      <c r="AK346" s="287"/>
      <c r="AL346" s="17"/>
    </row>
    <row r="347" customFormat="false" ht="15" hidden="false" customHeight="true" outlineLevel="0" collapsed="false">
      <c r="AK347" s="287"/>
      <c r="AL347" s="17"/>
    </row>
    <row r="348" customFormat="false" ht="15" hidden="false" customHeight="true" outlineLevel="0" collapsed="false">
      <c r="AK348" s="287"/>
      <c r="AL348" s="17"/>
    </row>
    <row r="349" customFormat="false" ht="15" hidden="false" customHeight="true" outlineLevel="0" collapsed="false">
      <c r="AK349" s="303"/>
      <c r="AL349" s="17"/>
    </row>
    <row r="350" customFormat="false" ht="15" hidden="false" customHeight="true" outlineLevel="0" collapsed="false">
      <c r="AL350" s="17"/>
    </row>
    <row r="351" customFormat="false" ht="15" hidden="false" customHeight="true" outlineLevel="0" collapsed="false">
      <c r="AK351" s="268"/>
      <c r="AL351" s="17"/>
    </row>
    <row r="352" customFormat="false" ht="15" hidden="false" customHeight="true" outlineLevel="0" collapsed="false">
      <c r="AK352" s="287"/>
      <c r="AL352" s="17"/>
    </row>
    <row r="353" customFormat="false" ht="15" hidden="false" customHeight="true" outlineLevel="0" collapsed="false">
      <c r="AK353" s="287"/>
      <c r="AL353" s="17"/>
    </row>
    <row r="354" customFormat="false" ht="15" hidden="false" customHeight="true" outlineLevel="0" collapsed="false">
      <c r="AK354" s="287"/>
      <c r="AL354" s="17"/>
    </row>
    <row r="355" customFormat="false" ht="15" hidden="false" customHeight="true" outlineLevel="0" collapsed="false">
      <c r="AK355" s="287"/>
      <c r="AL355" s="17"/>
    </row>
    <row r="356" customFormat="false" ht="15" hidden="false" customHeight="true" outlineLevel="0" collapsed="false">
      <c r="AK356" s="287"/>
      <c r="AL356" s="17"/>
    </row>
    <row r="357" customFormat="false" ht="15" hidden="false" customHeight="true" outlineLevel="0" collapsed="false">
      <c r="AK357" s="287"/>
      <c r="AL357" s="17"/>
    </row>
    <row r="358" customFormat="false" ht="15" hidden="false" customHeight="true" outlineLevel="0" collapsed="false">
      <c r="AK358" s="287"/>
      <c r="AL358" s="17"/>
    </row>
    <row r="359" customFormat="false" ht="15" hidden="false" customHeight="true" outlineLevel="0" collapsed="false">
      <c r="AK359" s="287"/>
      <c r="AL359" s="17"/>
    </row>
    <row r="360" customFormat="false" ht="15" hidden="false" customHeight="true" outlineLevel="0" collapsed="false">
      <c r="AK360" s="287"/>
      <c r="AL360" s="17"/>
    </row>
    <row r="361" customFormat="false" ht="15" hidden="false" customHeight="true" outlineLevel="0" collapsed="false">
      <c r="AK361" s="287"/>
      <c r="AL361" s="17"/>
    </row>
    <row r="362" customFormat="false" ht="15" hidden="false" customHeight="true" outlineLevel="0" collapsed="false">
      <c r="AK362" s="287"/>
      <c r="AL362" s="17"/>
    </row>
    <row r="363" customFormat="false" ht="15" hidden="false" customHeight="true" outlineLevel="0" collapsed="false">
      <c r="AK363" s="287"/>
      <c r="AL363" s="17"/>
    </row>
    <row r="364" customFormat="false" ht="15" hidden="false" customHeight="true" outlineLevel="0" collapsed="false">
      <c r="AK364" s="303"/>
      <c r="AL364" s="17"/>
    </row>
    <row r="365" customFormat="false" ht="15" hidden="false" customHeight="true" outlineLevel="0" collapsed="false">
      <c r="AL365" s="17"/>
    </row>
    <row r="366" customFormat="false" ht="15" hidden="false" customHeight="true" outlineLevel="0" collapsed="false">
      <c r="AK366" s="268"/>
      <c r="AL366" s="17"/>
    </row>
    <row r="367" customFormat="false" ht="15" hidden="false" customHeight="true" outlineLevel="0" collapsed="false">
      <c r="AK367" s="287"/>
      <c r="AL367" s="17"/>
    </row>
    <row r="368" customFormat="false" ht="15" hidden="false" customHeight="true" outlineLevel="0" collapsed="false">
      <c r="AK368" s="287"/>
      <c r="AL368" s="17"/>
    </row>
    <row r="369" customFormat="false" ht="15" hidden="false" customHeight="true" outlineLevel="0" collapsed="false">
      <c r="AK369" s="287"/>
      <c r="AL369" s="17"/>
    </row>
    <row r="370" customFormat="false" ht="15" hidden="false" customHeight="true" outlineLevel="0" collapsed="false">
      <c r="AK370" s="287"/>
      <c r="AL370" s="17"/>
    </row>
    <row r="371" customFormat="false" ht="15" hidden="false" customHeight="true" outlineLevel="0" collapsed="false">
      <c r="AK371" s="287"/>
      <c r="AL371" s="17"/>
    </row>
    <row r="372" customFormat="false" ht="15" hidden="false" customHeight="true" outlineLevel="0" collapsed="false">
      <c r="AK372" s="287"/>
      <c r="AL372" s="17"/>
    </row>
    <row r="373" customFormat="false" ht="15" hidden="false" customHeight="true" outlineLevel="0" collapsed="false">
      <c r="AK373" s="287"/>
      <c r="AL373" s="17"/>
    </row>
    <row r="374" customFormat="false" ht="15" hidden="false" customHeight="true" outlineLevel="0" collapsed="false">
      <c r="AK374" s="287"/>
      <c r="AL374" s="17"/>
    </row>
    <row r="375" customFormat="false" ht="15" hidden="false" customHeight="true" outlineLevel="0" collapsed="false">
      <c r="AK375" s="287"/>
      <c r="AL375" s="17"/>
    </row>
    <row r="376" customFormat="false" ht="15" hidden="false" customHeight="true" outlineLevel="0" collapsed="false">
      <c r="AK376" s="287"/>
      <c r="AL376" s="17"/>
    </row>
    <row r="377" customFormat="false" ht="15" hidden="false" customHeight="true" outlineLevel="0" collapsed="false">
      <c r="AK377" s="287"/>
      <c r="AL377" s="17"/>
    </row>
    <row r="378" customFormat="false" ht="15" hidden="false" customHeight="true" outlineLevel="0" collapsed="false">
      <c r="AK378" s="287"/>
      <c r="AL378" s="17"/>
    </row>
    <row r="379" customFormat="false" ht="15" hidden="false" customHeight="true" outlineLevel="0" collapsed="false">
      <c r="AK379" s="303"/>
      <c r="AL379" s="17"/>
    </row>
    <row r="380" customFormat="false" ht="15" hidden="false" customHeight="true" outlineLevel="0" collapsed="false">
      <c r="AL380" s="17"/>
    </row>
    <row r="381" customFormat="false" ht="15" hidden="false" customHeight="true" outlineLevel="0" collapsed="false">
      <c r="AK381" s="268"/>
      <c r="AL381" s="17"/>
    </row>
    <row r="382" customFormat="false" ht="15" hidden="false" customHeight="true" outlineLevel="0" collapsed="false">
      <c r="AK382" s="287"/>
      <c r="AL382" s="17"/>
    </row>
    <row r="383" customFormat="false" ht="15" hidden="false" customHeight="true" outlineLevel="0" collapsed="false">
      <c r="AK383" s="287"/>
      <c r="AL383" s="17"/>
    </row>
    <row r="384" customFormat="false" ht="15" hidden="false" customHeight="true" outlineLevel="0" collapsed="false">
      <c r="AK384" s="287"/>
      <c r="AL384" s="17"/>
    </row>
    <row r="385" customFormat="false" ht="15" hidden="false" customHeight="true" outlineLevel="0" collapsed="false">
      <c r="AK385" s="287"/>
      <c r="AL385" s="17"/>
    </row>
    <row r="386" customFormat="false" ht="15" hidden="false" customHeight="true" outlineLevel="0" collapsed="false">
      <c r="AK386" s="287"/>
      <c r="AL386" s="17"/>
    </row>
    <row r="387" customFormat="false" ht="15" hidden="false" customHeight="true" outlineLevel="0" collapsed="false">
      <c r="AK387" s="287"/>
      <c r="AL387" s="17"/>
    </row>
    <row r="388" customFormat="false" ht="15" hidden="false" customHeight="true" outlineLevel="0" collapsed="false">
      <c r="AK388" s="287"/>
      <c r="AL388" s="17"/>
    </row>
    <row r="389" customFormat="false" ht="15" hidden="false" customHeight="true" outlineLevel="0" collapsed="false">
      <c r="AK389" s="287"/>
      <c r="AL389" s="17"/>
    </row>
    <row r="390" customFormat="false" ht="15" hidden="false" customHeight="true" outlineLevel="0" collapsed="false">
      <c r="AK390" s="287"/>
      <c r="AL390" s="17"/>
    </row>
    <row r="391" customFormat="false" ht="15" hidden="false" customHeight="true" outlineLevel="0" collapsed="false">
      <c r="AK391" s="287"/>
      <c r="AL391" s="17"/>
    </row>
    <row r="392" customFormat="false" ht="15" hidden="false" customHeight="true" outlineLevel="0" collapsed="false">
      <c r="AK392" s="287"/>
      <c r="AL392" s="17"/>
    </row>
    <row r="393" customFormat="false" ht="15" hidden="false" customHeight="true" outlineLevel="0" collapsed="false">
      <c r="AK393" s="287"/>
      <c r="AL393" s="17"/>
    </row>
    <row r="394" customFormat="false" ht="15" hidden="false" customHeight="true" outlineLevel="0" collapsed="false">
      <c r="AK394" s="303"/>
      <c r="AL394" s="17"/>
    </row>
    <row r="395" customFormat="false" ht="15" hidden="false" customHeight="true" outlineLevel="0" collapsed="false">
      <c r="AL395" s="17"/>
    </row>
    <row r="396" customFormat="false" ht="15" hidden="false" customHeight="true" outlineLevel="0" collapsed="false">
      <c r="AK396" s="268"/>
      <c r="AL396" s="17"/>
    </row>
    <row r="397" customFormat="false" ht="15" hidden="false" customHeight="true" outlineLevel="0" collapsed="false">
      <c r="AK397" s="287"/>
      <c r="AL397" s="17"/>
    </row>
    <row r="398" customFormat="false" ht="15" hidden="false" customHeight="true" outlineLevel="0" collapsed="false">
      <c r="AK398" s="287"/>
      <c r="AL398" s="17"/>
    </row>
    <row r="399" customFormat="false" ht="15" hidden="false" customHeight="true" outlineLevel="0" collapsed="false">
      <c r="AK399" s="287"/>
      <c r="AL399" s="17"/>
    </row>
    <row r="400" customFormat="false" ht="15" hidden="false" customHeight="true" outlineLevel="0" collapsed="false">
      <c r="AK400" s="287"/>
      <c r="AL400" s="17"/>
    </row>
    <row r="401" customFormat="false" ht="15" hidden="false" customHeight="true" outlineLevel="0" collapsed="false">
      <c r="AK401" s="287"/>
      <c r="AL401" s="17"/>
    </row>
    <row r="402" customFormat="false" ht="15" hidden="false" customHeight="true" outlineLevel="0" collapsed="false">
      <c r="AK402" s="287"/>
      <c r="AL402" s="17"/>
    </row>
    <row r="403" customFormat="false" ht="15" hidden="false" customHeight="true" outlineLevel="0" collapsed="false">
      <c r="AK403" s="287"/>
      <c r="AL403" s="17"/>
    </row>
    <row r="404" customFormat="false" ht="15" hidden="false" customHeight="true" outlineLevel="0" collapsed="false">
      <c r="AK404" s="287"/>
      <c r="AL404" s="17"/>
    </row>
    <row r="405" customFormat="false" ht="15" hidden="false" customHeight="true" outlineLevel="0" collapsed="false">
      <c r="AK405" s="287"/>
      <c r="AL405" s="17"/>
    </row>
    <row r="406" customFormat="false" ht="15" hidden="false" customHeight="true" outlineLevel="0" collapsed="false">
      <c r="AK406" s="287"/>
      <c r="AL406" s="17"/>
    </row>
    <row r="407" customFormat="false" ht="15" hidden="false" customHeight="true" outlineLevel="0" collapsed="false">
      <c r="AK407" s="287"/>
      <c r="AL407" s="17"/>
    </row>
    <row r="408" customFormat="false" ht="15" hidden="false" customHeight="true" outlineLevel="0" collapsed="false">
      <c r="AK408" s="287"/>
      <c r="AL408" s="17"/>
    </row>
    <row r="409" customFormat="false" ht="15" hidden="false" customHeight="true" outlineLevel="0" collapsed="false">
      <c r="AK409" s="303"/>
      <c r="AL409" s="17"/>
    </row>
    <row r="410" customFormat="false" ht="15" hidden="false" customHeight="true" outlineLevel="0" collapsed="false">
      <c r="AL410" s="17"/>
    </row>
    <row r="411" customFormat="false" ht="15" hidden="false" customHeight="true" outlineLevel="0" collapsed="false">
      <c r="AK411" s="268"/>
      <c r="AL411" s="17"/>
    </row>
    <row r="412" customFormat="false" ht="15" hidden="false" customHeight="true" outlineLevel="0" collapsed="false">
      <c r="AK412" s="287"/>
      <c r="AL412" s="17"/>
    </row>
    <row r="413" customFormat="false" ht="15" hidden="false" customHeight="true" outlineLevel="0" collapsed="false">
      <c r="AK413" s="287"/>
      <c r="AL413" s="17"/>
    </row>
    <row r="414" customFormat="false" ht="15" hidden="false" customHeight="true" outlineLevel="0" collapsed="false">
      <c r="AK414" s="287"/>
      <c r="AL414" s="17"/>
    </row>
    <row r="415" customFormat="false" ht="15" hidden="false" customHeight="true" outlineLevel="0" collapsed="false">
      <c r="AK415" s="287"/>
      <c r="AL415" s="17"/>
    </row>
    <row r="416" customFormat="false" ht="15" hidden="false" customHeight="true" outlineLevel="0" collapsed="false">
      <c r="AK416" s="287"/>
      <c r="AL416" s="17"/>
    </row>
    <row r="417" customFormat="false" ht="15" hidden="false" customHeight="true" outlineLevel="0" collapsed="false">
      <c r="AK417" s="287"/>
      <c r="AL417" s="17"/>
    </row>
    <row r="418" customFormat="false" ht="15" hidden="false" customHeight="true" outlineLevel="0" collapsed="false">
      <c r="AK418" s="287"/>
      <c r="AL418" s="17"/>
    </row>
    <row r="419" customFormat="false" ht="15" hidden="false" customHeight="true" outlineLevel="0" collapsed="false">
      <c r="AK419" s="287"/>
      <c r="AL419" s="17"/>
    </row>
    <row r="420" customFormat="false" ht="15" hidden="false" customHeight="true" outlineLevel="0" collapsed="false">
      <c r="AK420" s="287"/>
      <c r="AL420" s="17"/>
    </row>
    <row r="421" customFormat="false" ht="15" hidden="false" customHeight="true" outlineLevel="0" collapsed="false">
      <c r="AK421" s="287"/>
      <c r="AL421" s="17"/>
    </row>
    <row r="422" customFormat="false" ht="15" hidden="false" customHeight="true" outlineLevel="0" collapsed="false">
      <c r="AK422" s="287"/>
      <c r="AL422" s="17"/>
    </row>
    <row r="423" customFormat="false" ht="15" hidden="false" customHeight="true" outlineLevel="0" collapsed="false">
      <c r="AK423" s="287"/>
      <c r="AL423" s="17"/>
    </row>
    <row r="424" customFormat="false" ht="15" hidden="false" customHeight="true" outlineLevel="0" collapsed="false">
      <c r="AK424" s="303"/>
      <c r="AL424" s="17"/>
    </row>
    <row r="425" customFormat="false" ht="15" hidden="false" customHeight="true" outlineLevel="0" collapsed="false">
      <c r="AL425" s="17"/>
    </row>
    <row r="426" customFormat="false" ht="15" hidden="false" customHeight="true" outlineLevel="0" collapsed="false">
      <c r="AK426" s="268"/>
      <c r="AL426" s="17"/>
    </row>
    <row r="427" customFormat="false" ht="15" hidden="false" customHeight="true" outlineLevel="0" collapsed="false">
      <c r="AK427" s="287"/>
      <c r="AL427" s="17"/>
    </row>
    <row r="428" customFormat="false" ht="15" hidden="false" customHeight="true" outlineLevel="0" collapsed="false">
      <c r="AK428" s="287"/>
      <c r="AL428" s="17"/>
    </row>
    <row r="429" customFormat="false" ht="15" hidden="false" customHeight="true" outlineLevel="0" collapsed="false">
      <c r="AK429" s="287"/>
      <c r="AL429" s="17"/>
    </row>
    <row r="430" customFormat="false" ht="15" hidden="false" customHeight="true" outlineLevel="0" collapsed="false">
      <c r="AK430" s="287"/>
      <c r="AL430" s="17"/>
    </row>
    <row r="431" customFormat="false" ht="15" hidden="false" customHeight="true" outlineLevel="0" collapsed="false">
      <c r="AK431" s="287"/>
      <c r="AL431" s="17"/>
    </row>
    <row r="432" customFormat="false" ht="15" hidden="false" customHeight="true" outlineLevel="0" collapsed="false">
      <c r="AK432" s="287"/>
      <c r="AL432" s="17"/>
    </row>
    <row r="433" customFormat="false" ht="15" hidden="false" customHeight="true" outlineLevel="0" collapsed="false">
      <c r="AK433" s="287"/>
      <c r="AL433" s="17"/>
    </row>
    <row r="434" customFormat="false" ht="15" hidden="false" customHeight="true" outlineLevel="0" collapsed="false">
      <c r="AK434" s="287"/>
      <c r="AL434" s="17"/>
    </row>
    <row r="435" customFormat="false" ht="15" hidden="false" customHeight="true" outlineLevel="0" collapsed="false">
      <c r="AK435" s="287"/>
      <c r="AL435" s="17"/>
    </row>
    <row r="436" customFormat="false" ht="15" hidden="false" customHeight="true" outlineLevel="0" collapsed="false">
      <c r="AK436" s="287"/>
      <c r="AL436" s="17"/>
    </row>
    <row r="437" customFormat="false" ht="15" hidden="false" customHeight="true" outlineLevel="0" collapsed="false">
      <c r="AK437" s="287"/>
      <c r="AL437" s="17"/>
    </row>
    <row r="438" customFormat="false" ht="15" hidden="false" customHeight="true" outlineLevel="0" collapsed="false">
      <c r="AK438" s="287"/>
      <c r="AL438" s="17"/>
    </row>
    <row r="439" customFormat="false" ht="15" hidden="false" customHeight="true" outlineLevel="0" collapsed="false">
      <c r="AK439" s="303"/>
      <c r="AL439" s="17"/>
    </row>
    <row r="440" customFormat="false" ht="15" hidden="false" customHeight="true" outlineLevel="0" collapsed="false">
      <c r="AL440" s="17"/>
    </row>
    <row r="441" customFormat="false" ht="15" hidden="false" customHeight="true" outlineLevel="0" collapsed="false">
      <c r="AK441" s="268"/>
      <c r="AL441" s="17"/>
    </row>
    <row r="442" customFormat="false" ht="15" hidden="false" customHeight="true" outlineLevel="0" collapsed="false">
      <c r="AK442" s="287"/>
      <c r="AL442" s="17"/>
    </row>
    <row r="443" customFormat="false" ht="15" hidden="false" customHeight="true" outlineLevel="0" collapsed="false">
      <c r="AK443" s="287"/>
      <c r="AL443" s="17"/>
    </row>
    <row r="444" customFormat="false" ht="15" hidden="false" customHeight="true" outlineLevel="0" collapsed="false">
      <c r="AK444" s="287"/>
      <c r="AL444" s="17"/>
    </row>
    <row r="445" customFormat="false" ht="15" hidden="false" customHeight="true" outlineLevel="0" collapsed="false">
      <c r="AK445" s="287"/>
      <c r="AL445" s="17"/>
    </row>
    <row r="446" customFormat="false" ht="15" hidden="false" customHeight="true" outlineLevel="0" collapsed="false">
      <c r="AK446" s="287"/>
      <c r="AL446" s="17"/>
    </row>
    <row r="447" customFormat="false" ht="15" hidden="false" customHeight="true" outlineLevel="0" collapsed="false">
      <c r="AK447" s="287"/>
      <c r="AL447" s="17"/>
    </row>
    <row r="448" customFormat="false" ht="15" hidden="false" customHeight="true" outlineLevel="0" collapsed="false">
      <c r="AK448" s="287"/>
      <c r="AL448" s="17"/>
    </row>
    <row r="449" customFormat="false" ht="15" hidden="false" customHeight="true" outlineLevel="0" collapsed="false">
      <c r="AK449" s="287"/>
      <c r="AL449" s="17"/>
    </row>
    <row r="450" customFormat="false" ht="15" hidden="false" customHeight="true" outlineLevel="0" collapsed="false">
      <c r="AK450" s="287"/>
      <c r="AL450" s="17"/>
    </row>
    <row r="451" customFormat="false" ht="15" hidden="false" customHeight="true" outlineLevel="0" collapsed="false">
      <c r="AK451" s="287"/>
      <c r="AL451" s="17"/>
    </row>
    <row r="452" customFormat="false" ht="15" hidden="false" customHeight="true" outlineLevel="0" collapsed="false">
      <c r="AK452" s="287"/>
      <c r="AL452" s="17"/>
    </row>
    <row r="453" customFormat="false" ht="15" hidden="false" customHeight="true" outlineLevel="0" collapsed="false">
      <c r="AK453" s="287"/>
      <c r="AL453" s="17"/>
    </row>
    <row r="454" customFormat="false" ht="15" hidden="false" customHeight="true" outlineLevel="0" collapsed="false">
      <c r="AK454" s="303"/>
      <c r="AL454" s="17"/>
    </row>
    <row r="455" customFormat="false" ht="15" hidden="false" customHeight="true" outlineLevel="0" collapsed="false">
      <c r="AL455" s="17"/>
    </row>
    <row r="456" customFormat="false" ht="15" hidden="false" customHeight="true" outlineLevel="0" collapsed="false">
      <c r="AK456" s="268"/>
      <c r="AL456" s="17"/>
    </row>
    <row r="457" customFormat="false" ht="15" hidden="false" customHeight="true" outlineLevel="0" collapsed="false">
      <c r="AK457" s="287"/>
      <c r="AL457" s="17"/>
    </row>
    <row r="458" customFormat="false" ht="15" hidden="false" customHeight="true" outlineLevel="0" collapsed="false">
      <c r="AK458" s="287"/>
      <c r="AL458" s="17"/>
    </row>
    <row r="459" customFormat="false" ht="15" hidden="false" customHeight="true" outlineLevel="0" collapsed="false">
      <c r="AK459" s="287"/>
      <c r="AL459" s="17"/>
    </row>
    <row r="460" customFormat="false" ht="15" hidden="false" customHeight="true" outlineLevel="0" collapsed="false">
      <c r="AK460" s="287"/>
      <c r="AL460" s="17"/>
    </row>
    <row r="461" customFormat="false" ht="15" hidden="false" customHeight="true" outlineLevel="0" collapsed="false">
      <c r="AK461" s="287"/>
      <c r="AL461" s="17"/>
    </row>
    <row r="462" customFormat="false" ht="15" hidden="false" customHeight="true" outlineLevel="0" collapsed="false">
      <c r="AK462" s="287"/>
      <c r="AL462" s="17"/>
    </row>
    <row r="463" customFormat="false" ht="15" hidden="false" customHeight="true" outlineLevel="0" collapsed="false">
      <c r="AK463" s="287"/>
      <c r="AL463" s="17"/>
    </row>
    <row r="464" customFormat="false" ht="15" hidden="false" customHeight="true" outlineLevel="0" collapsed="false">
      <c r="AK464" s="287"/>
      <c r="AL464" s="17"/>
    </row>
    <row r="465" customFormat="false" ht="15" hidden="false" customHeight="true" outlineLevel="0" collapsed="false">
      <c r="AK465" s="287"/>
      <c r="AL465" s="17"/>
    </row>
    <row r="466" customFormat="false" ht="15" hidden="false" customHeight="true" outlineLevel="0" collapsed="false">
      <c r="AK466" s="287"/>
      <c r="AL466" s="17"/>
    </row>
    <row r="467" customFormat="false" ht="15" hidden="false" customHeight="true" outlineLevel="0" collapsed="false">
      <c r="AK467" s="287"/>
      <c r="AL467" s="17"/>
    </row>
    <row r="468" customFormat="false" ht="15" hidden="false" customHeight="true" outlineLevel="0" collapsed="false">
      <c r="AK468" s="287"/>
      <c r="AL468" s="17"/>
    </row>
    <row r="469" customFormat="false" ht="15" hidden="false" customHeight="true" outlineLevel="0" collapsed="false">
      <c r="AK469" s="303"/>
      <c r="AL469" s="17"/>
    </row>
    <row r="470" customFormat="false" ht="15" hidden="false" customHeight="true" outlineLevel="0" collapsed="false">
      <c r="AK470" s="303"/>
      <c r="AL470" s="17"/>
    </row>
    <row r="471" customFormat="false" ht="15" hidden="false" customHeight="true" outlineLevel="0" collapsed="false">
      <c r="AK471" s="268"/>
      <c r="AL471" s="17"/>
    </row>
    <row r="472" customFormat="false" ht="15" hidden="false" customHeight="true" outlineLevel="0" collapsed="false">
      <c r="AK472" s="287"/>
      <c r="AL472" s="17"/>
    </row>
    <row r="473" customFormat="false" ht="15" hidden="false" customHeight="true" outlineLevel="0" collapsed="false">
      <c r="AK473" s="287"/>
      <c r="AL473" s="17"/>
    </row>
    <row r="474" customFormat="false" ht="15" hidden="false" customHeight="true" outlineLevel="0" collapsed="false">
      <c r="AK474" s="287"/>
      <c r="AL474" s="17"/>
    </row>
    <row r="475" customFormat="false" ht="15" hidden="false" customHeight="true" outlineLevel="0" collapsed="false">
      <c r="AK475" s="287"/>
      <c r="AL475" s="17"/>
    </row>
    <row r="476" customFormat="false" ht="15" hidden="false" customHeight="true" outlineLevel="0" collapsed="false">
      <c r="AK476" s="287"/>
      <c r="AL476" s="17"/>
    </row>
    <row r="477" customFormat="false" ht="15" hidden="false" customHeight="true" outlineLevel="0" collapsed="false">
      <c r="AK477" s="287"/>
      <c r="AL477" s="17"/>
    </row>
    <row r="478" customFormat="false" ht="15" hidden="false" customHeight="true" outlineLevel="0" collapsed="false">
      <c r="AK478" s="287"/>
      <c r="AL478" s="17"/>
    </row>
    <row r="479" customFormat="false" ht="15" hidden="false" customHeight="true" outlineLevel="0" collapsed="false">
      <c r="AK479" s="287"/>
      <c r="AL479" s="17"/>
    </row>
    <row r="480" customFormat="false" ht="15" hidden="false" customHeight="true" outlineLevel="0" collapsed="false">
      <c r="AK480" s="287"/>
      <c r="AL480" s="17"/>
    </row>
    <row r="481" customFormat="false" ht="15" hidden="false" customHeight="true" outlineLevel="0" collapsed="false">
      <c r="AK481" s="287"/>
      <c r="AL481" s="17"/>
    </row>
    <row r="482" customFormat="false" ht="15" hidden="false" customHeight="true" outlineLevel="0" collapsed="false">
      <c r="AK482" s="287"/>
      <c r="AL482" s="17"/>
    </row>
    <row r="483" customFormat="false" ht="15" hidden="false" customHeight="true" outlineLevel="0" collapsed="false">
      <c r="AK483" s="287"/>
      <c r="AL483" s="17"/>
    </row>
    <row r="484" customFormat="false" ht="15" hidden="false" customHeight="true" outlineLevel="0" collapsed="false">
      <c r="AK484" s="303"/>
      <c r="AL484" s="17"/>
    </row>
    <row r="485" customFormat="false" ht="15" hidden="false" customHeight="true" outlineLevel="0" collapsed="false">
      <c r="AK485" s="303"/>
      <c r="AL485" s="17"/>
    </row>
    <row r="486" customFormat="false" ht="15" hidden="false" customHeight="true" outlineLevel="0" collapsed="false">
      <c r="AK486" s="268"/>
      <c r="AL486" s="17"/>
    </row>
    <row r="487" customFormat="false" ht="15" hidden="false" customHeight="true" outlineLevel="0" collapsed="false">
      <c r="AK487" s="287"/>
      <c r="AL487" s="17"/>
    </row>
    <row r="488" customFormat="false" ht="15" hidden="false" customHeight="true" outlineLevel="0" collapsed="false">
      <c r="AK488" s="287"/>
      <c r="AL488" s="17"/>
    </row>
    <row r="489" customFormat="false" ht="15" hidden="false" customHeight="true" outlineLevel="0" collapsed="false">
      <c r="AK489" s="287"/>
      <c r="AL489" s="17"/>
    </row>
    <row r="490" customFormat="false" ht="15" hidden="false" customHeight="true" outlineLevel="0" collapsed="false">
      <c r="AK490" s="287"/>
      <c r="AL490" s="17"/>
    </row>
    <row r="491" customFormat="false" ht="15" hidden="false" customHeight="true" outlineLevel="0" collapsed="false">
      <c r="AK491" s="287"/>
      <c r="AL491" s="17"/>
    </row>
    <row r="492" customFormat="false" ht="15" hidden="false" customHeight="true" outlineLevel="0" collapsed="false">
      <c r="AK492" s="287"/>
      <c r="AL492" s="17"/>
    </row>
    <row r="493" customFormat="false" ht="15" hidden="false" customHeight="true" outlineLevel="0" collapsed="false">
      <c r="AK493" s="287"/>
      <c r="AL493" s="17"/>
    </row>
    <row r="494" customFormat="false" ht="15" hidden="false" customHeight="true" outlineLevel="0" collapsed="false">
      <c r="AK494" s="287"/>
      <c r="AL494" s="17"/>
    </row>
    <row r="495" customFormat="false" ht="15" hidden="false" customHeight="true" outlineLevel="0" collapsed="false">
      <c r="AK495" s="287"/>
      <c r="AL495" s="17"/>
    </row>
    <row r="496" customFormat="false" ht="15" hidden="false" customHeight="true" outlineLevel="0" collapsed="false">
      <c r="AK496" s="287"/>
      <c r="AL496" s="17"/>
    </row>
    <row r="497" customFormat="false" ht="15" hidden="false" customHeight="true" outlineLevel="0" collapsed="false">
      <c r="AK497" s="287"/>
      <c r="AL497" s="17"/>
    </row>
    <row r="498" customFormat="false" ht="15" hidden="false" customHeight="true" outlineLevel="0" collapsed="false">
      <c r="AK498" s="287"/>
      <c r="AL498" s="17"/>
    </row>
    <row r="499" customFormat="false" ht="15" hidden="false" customHeight="true" outlineLevel="0" collapsed="false">
      <c r="AK499" s="303"/>
      <c r="AL499" s="17"/>
    </row>
    <row r="500" customFormat="false" ht="15" hidden="false" customHeight="true" outlineLevel="0" collapsed="false">
      <c r="AK500" s="303"/>
      <c r="AL500" s="17"/>
    </row>
    <row r="501" customFormat="false" ht="15" hidden="false" customHeight="true" outlineLevel="0" collapsed="false">
      <c r="AK501" s="268"/>
      <c r="AL501" s="17"/>
    </row>
    <row r="502" customFormat="false" ht="15" hidden="false" customHeight="true" outlineLevel="0" collapsed="false">
      <c r="AK502" s="287"/>
      <c r="AL502" s="17"/>
    </row>
    <row r="503" customFormat="false" ht="15" hidden="false" customHeight="true" outlineLevel="0" collapsed="false">
      <c r="AK503" s="287"/>
      <c r="AL503" s="17"/>
    </row>
    <row r="504" customFormat="false" ht="15" hidden="false" customHeight="true" outlineLevel="0" collapsed="false">
      <c r="AK504" s="287"/>
      <c r="AL504" s="17"/>
    </row>
    <row r="505" customFormat="false" ht="15" hidden="false" customHeight="true" outlineLevel="0" collapsed="false">
      <c r="AK505" s="287"/>
      <c r="AL505" s="17"/>
    </row>
    <row r="506" customFormat="false" ht="15" hidden="false" customHeight="true" outlineLevel="0" collapsed="false">
      <c r="AK506" s="287"/>
      <c r="AL506" s="17"/>
    </row>
    <row r="507" customFormat="false" ht="15" hidden="false" customHeight="true" outlineLevel="0" collapsed="false">
      <c r="AK507" s="287"/>
      <c r="AL507" s="17"/>
    </row>
    <row r="508" customFormat="false" ht="15" hidden="false" customHeight="true" outlineLevel="0" collapsed="false">
      <c r="AK508" s="287"/>
      <c r="AL508" s="17"/>
    </row>
    <row r="509" customFormat="false" ht="15" hidden="false" customHeight="true" outlineLevel="0" collapsed="false">
      <c r="AK509" s="287"/>
      <c r="AL509" s="17"/>
    </row>
    <row r="510" customFormat="false" ht="15" hidden="false" customHeight="true" outlineLevel="0" collapsed="false">
      <c r="AK510" s="287"/>
      <c r="AL510" s="17"/>
    </row>
    <row r="511" customFormat="false" ht="15" hidden="false" customHeight="true" outlineLevel="0" collapsed="false">
      <c r="AK511" s="287"/>
      <c r="AL511" s="17"/>
    </row>
    <row r="512" customFormat="false" ht="15" hidden="false" customHeight="true" outlineLevel="0" collapsed="false">
      <c r="AK512" s="287"/>
      <c r="AL512" s="17"/>
    </row>
    <row r="513" customFormat="false" ht="15" hidden="false" customHeight="true" outlineLevel="0" collapsed="false">
      <c r="AK513" s="287"/>
      <c r="AL513" s="17"/>
    </row>
    <row r="514" customFormat="false" ht="15" hidden="false" customHeight="true" outlineLevel="0" collapsed="false">
      <c r="AK514" s="303"/>
      <c r="AL514" s="17"/>
    </row>
    <row r="515" customFormat="false" ht="15" hidden="false" customHeight="true" outlineLevel="0" collapsed="false">
      <c r="AK515" s="303"/>
      <c r="AL515" s="17"/>
    </row>
    <row r="516" customFormat="false" ht="15" hidden="false" customHeight="true" outlineLevel="0" collapsed="false">
      <c r="AK516" s="268"/>
      <c r="AL516" s="17"/>
    </row>
    <row r="517" customFormat="false" ht="15" hidden="false" customHeight="true" outlineLevel="0" collapsed="false">
      <c r="AK517" s="287"/>
      <c r="AL517" s="17"/>
    </row>
    <row r="518" customFormat="false" ht="15" hidden="false" customHeight="true" outlineLevel="0" collapsed="false">
      <c r="AK518" s="287"/>
      <c r="AL518" s="17"/>
    </row>
    <row r="519" customFormat="false" ht="15" hidden="false" customHeight="true" outlineLevel="0" collapsed="false">
      <c r="AK519" s="287"/>
      <c r="AL519" s="17"/>
    </row>
    <row r="520" customFormat="false" ht="15" hidden="false" customHeight="true" outlineLevel="0" collapsed="false">
      <c r="AK520" s="287"/>
      <c r="AL520" s="17"/>
    </row>
    <row r="521" customFormat="false" ht="15" hidden="false" customHeight="true" outlineLevel="0" collapsed="false">
      <c r="AK521" s="287"/>
      <c r="AL521" s="17"/>
    </row>
    <row r="522" customFormat="false" ht="15" hidden="false" customHeight="true" outlineLevel="0" collapsed="false">
      <c r="AK522" s="287"/>
      <c r="AL522" s="17"/>
    </row>
    <row r="523" customFormat="false" ht="15" hidden="false" customHeight="true" outlineLevel="0" collapsed="false">
      <c r="AK523" s="287"/>
      <c r="AL523" s="17"/>
    </row>
    <row r="524" customFormat="false" ht="15" hidden="false" customHeight="true" outlineLevel="0" collapsed="false">
      <c r="AK524" s="287"/>
      <c r="AL524" s="17"/>
    </row>
    <row r="525" customFormat="false" ht="15" hidden="false" customHeight="true" outlineLevel="0" collapsed="false">
      <c r="AK525" s="287"/>
      <c r="AL525" s="17"/>
    </row>
    <row r="526" customFormat="false" ht="15" hidden="false" customHeight="true" outlineLevel="0" collapsed="false">
      <c r="AK526" s="287"/>
      <c r="AL526" s="17"/>
    </row>
    <row r="527" customFormat="false" ht="15" hidden="false" customHeight="true" outlineLevel="0" collapsed="false">
      <c r="AK527" s="287"/>
      <c r="AL527" s="17"/>
    </row>
    <row r="528" customFormat="false" ht="15" hidden="false" customHeight="true" outlineLevel="0" collapsed="false">
      <c r="AK528" s="287"/>
      <c r="AL528" s="17"/>
    </row>
    <row r="529" customFormat="false" ht="15" hidden="false" customHeight="true" outlineLevel="0" collapsed="false">
      <c r="AK529" s="303"/>
      <c r="AL529" s="17"/>
    </row>
    <row r="530" customFormat="false" ht="15" hidden="false" customHeight="true" outlineLevel="0" collapsed="false">
      <c r="AK530" s="303"/>
      <c r="AL530" s="17"/>
    </row>
    <row r="531" customFormat="false" ht="15" hidden="false" customHeight="true" outlineLevel="0" collapsed="false">
      <c r="AK531" s="268"/>
      <c r="AL531" s="17"/>
    </row>
    <row r="532" customFormat="false" ht="15" hidden="false" customHeight="true" outlineLevel="0" collapsed="false">
      <c r="AK532" s="287"/>
      <c r="AL532" s="17"/>
    </row>
    <row r="533" customFormat="false" ht="15" hidden="false" customHeight="true" outlineLevel="0" collapsed="false">
      <c r="AK533" s="287"/>
      <c r="AL533" s="17"/>
    </row>
    <row r="534" customFormat="false" ht="15" hidden="false" customHeight="true" outlineLevel="0" collapsed="false">
      <c r="AK534" s="287"/>
      <c r="AL534" s="17"/>
    </row>
    <row r="535" customFormat="false" ht="15" hidden="false" customHeight="true" outlineLevel="0" collapsed="false">
      <c r="AK535" s="287"/>
      <c r="AL535" s="17"/>
    </row>
    <row r="536" customFormat="false" ht="15" hidden="false" customHeight="true" outlineLevel="0" collapsed="false">
      <c r="AK536" s="287"/>
      <c r="AL536" s="17"/>
    </row>
    <row r="537" customFormat="false" ht="15" hidden="false" customHeight="true" outlineLevel="0" collapsed="false">
      <c r="AK537" s="287"/>
      <c r="AL537" s="17"/>
    </row>
    <row r="538" customFormat="false" ht="15" hidden="false" customHeight="true" outlineLevel="0" collapsed="false">
      <c r="AK538" s="287"/>
      <c r="AL538" s="17"/>
    </row>
    <row r="539" customFormat="false" ht="15" hidden="false" customHeight="true" outlineLevel="0" collapsed="false">
      <c r="AK539" s="287"/>
      <c r="AL539" s="17"/>
    </row>
    <row r="540" customFormat="false" ht="15" hidden="false" customHeight="true" outlineLevel="0" collapsed="false">
      <c r="AK540" s="287"/>
      <c r="AL540" s="17"/>
    </row>
    <row r="541" customFormat="false" ht="15" hidden="false" customHeight="true" outlineLevel="0" collapsed="false">
      <c r="AK541" s="287"/>
      <c r="AL541" s="17"/>
    </row>
    <row r="542" customFormat="false" ht="15" hidden="false" customHeight="true" outlineLevel="0" collapsed="false">
      <c r="AK542" s="287"/>
      <c r="AL542" s="17"/>
    </row>
    <row r="543" customFormat="false" ht="15" hidden="false" customHeight="true" outlineLevel="0" collapsed="false">
      <c r="AK543" s="287"/>
      <c r="AL543" s="17"/>
    </row>
    <row r="544" customFormat="false" ht="15" hidden="false" customHeight="true" outlineLevel="0" collapsed="false">
      <c r="AK544" s="303"/>
      <c r="AL544" s="17"/>
    </row>
    <row r="545" customFormat="false" ht="15" hidden="false" customHeight="true" outlineLevel="0" collapsed="false">
      <c r="AK545" s="303"/>
      <c r="AL545" s="17"/>
    </row>
    <row r="546" customFormat="false" ht="15" hidden="false" customHeight="true" outlineLevel="0" collapsed="false">
      <c r="AK546" s="268"/>
      <c r="AL546" s="17"/>
    </row>
    <row r="547" customFormat="false" ht="15" hidden="false" customHeight="true" outlineLevel="0" collapsed="false">
      <c r="AK547" s="287"/>
      <c r="AL547" s="17"/>
    </row>
    <row r="548" customFormat="false" ht="15" hidden="false" customHeight="true" outlineLevel="0" collapsed="false">
      <c r="AK548" s="287"/>
      <c r="AL548" s="17"/>
    </row>
    <row r="549" customFormat="false" ht="15" hidden="false" customHeight="true" outlineLevel="0" collapsed="false">
      <c r="AK549" s="287"/>
      <c r="AL549" s="17"/>
    </row>
    <row r="550" customFormat="false" ht="15" hidden="false" customHeight="true" outlineLevel="0" collapsed="false">
      <c r="AK550" s="287"/>
      <c r="AL550" s="17"/>
    </row>
    <row r="551" customFormat="false" ht="15" hidden="false" customHeight="true" outlineLevel="0" collapsed="false">
      <c r="AK551" s="287"/>
      <c r="AL551" s="17"/>
    </row>
    <row r="552" customFormat="false" ht="15" hidden="false" customHeight="true" outlineLevel="0" collapsed="false">
      <c r="AK552" s="287"/>
      <c r="AL552" s="17"/>
    </row>
    <row r="553" customFormat="false" ht="15" hidden="false" customHeight="true" outlineLevel="0" collapsed="false">
      <c r="AK553" s="287"/>
      <c r="AL553" s="17"/>
    </row>
    <row r="554" customFormat="false" ht="15" hidden="false" customHeight="true" outlineLevel="0" collapsed="false">
      <c r="AK554" s="287"/>
      <c r="AL554" s="17"/>
    </row>
    <row r="555" customFormat="false" ht="15" hidden="false" customHeight="true" outlineLevel="0" collapsed="false">
      <c r="AK555" s="287"/>
      <c r="AL555" s="17"/>
    </row>
    <row r="556" customFormat="false" ht="15" hidden="false" customHeight="true" outlineLevel="0" collapsed="false">
      <c r="AK556" s="287"/>
      <c r="AL556" s="17"/>
    </row>
    <row r="557" customFormat="false" ht="15" hidden="false" customHeight="true" outlineLevel="0" collapsed="false">
      <c r="AK557" s="287"/>
      <c r="AL557" s="17"/>
    </row>
    <row r="558" customFormat="false" ht="15" hidden="false" customHeight="true" outlineLevel="0" collapsed="false">
      <c r="AK558" s="287"/>
      <c r="AL558" s="17"/>
    </row>
    <row r="559" customFormat="false" ht="15" hidden="false" customHeight="true" outlineLevel="0" collapsed="false">
      <c r="AK559" s="303"/>
      <c r="AL559" s="17"/>
    </row>
    <row r="560" customFormat="false" ht="15" hidden="false" customHeight="true" outlineLevel="0" collapsed="false">
      <c r="AK560" s="303"/>
      <c r="AL560" s="17"/>
    </row>
    <row r="561" customFormat="false" ht="15" hidden="false" customHeight="true" outlineLevel="0" collapsed="false">
      <c r="AK561" s="268"/>
      <c r="AL561" s="17"/>
    </row>
    <row r="562" customFormat="false" ht="15" hidden="false" customHeight="true" outlineLevel="0" collapsed="false">
      <c r="AK562" s="287"/>
      <c r="AL562" s="17"/>
    </row>
    <row r="563" customFormat="false" ht="15" hidden="false" customHeight="true" outlineLevel="0" collapsed="false">
      <c r="AK563" s="287"/>
      <c r="AL563" s="17"/>
    </row>
    <row r="564" customFormat="false" ht="15" hidden="false" customHeight="true" outlineLevel="0" collapsed="false">
      <c r="AK564" s="287"/>
      <c r="AL564" s="17"/>
    </row>
    <row r="565" customFormat="false" ht="15" hidden="false" customHeight="true" outlineLevel="0" collapsed="false">
      <c r="AK565" s="287"/>
      <c r="AL565" s="17"/>
    </row>
    <row r="566" customFormat="false" ht="15" hidden="false" customHeight="true" outlineLevel="0" collapsed="false">
      <c r="AK566" s="287"/>
      <c r="AL566" s="17"/>
    </row>
    <row r="567" customFormat="false" ht="15" hidden="false" customHeight="true" outlineLevel="0" collapsed="false">
      <c r="AK567" s="287"/>
      <c r="AL567" s="17"/>
    </row>
    <row r="568" customFormat="false" ht="15" hidden="false" customHeight="true" outlineLevel="0" collapsed="false">
      <c r="AK568" s="287"/>
      <c r="AL568" s="17"/>
    </row>
    <row r="569" customFormat="false" ht="15" hidden="false" customHeight="true" outlineLevel="0" collapsed="false">
      <c r="AK569" s="287"/>
      <c r="AL569" s="17"/>
    </row>
    <row r="570" customFormat="false" ht="15" hidden="false" customHeight="true" outlineLevel="0" collapsed="false">
      <c r="AK570" s="287"/>
      <c r="AL570" s="17"/>
    </row>
    <row r="571" customFormat="false" ht="15" hidden="false" customHeight="true" outlineLevel="0" collapsed="false">
      <c r="AK571" s="287"/>
      <c r="AL571" s="17"/>
    </row>
    <row r="572" customFormat="false" ht="15" hidden="false" customHeight="true" outlineLevel="0" collapsed="false">
      <c r="AK572" s="287"/>
      <c r="AL572" s="17"/>
    </row>
    <row r="573" customFormat="false" ht="15" hidden="false" customHeight="true" outlineLevel="0" collapsed="false">
      <c r="AK573" s="287"/>
      <c r="AL573" s="17"/>
    </row>
    <row r="574" customFormat="false" ht="15" hidden="false" customHeight="true" outlineLevel="0" collapsed="false">
      <c r="AK574" s="303"/>
      <c r="AL574" s="17"/>
    </row>
    <row r="575" customFormat="false" ht="15" hidden="false" customHeight="true" outlineLevel="0" collapsed="false">
      <c r="AK575" s="303"/>
      <c r="AL575" s="17"/>
    </row>
    <row r="576" customFormat="false" ht="15" hidden="false" customHeight="true" outlineLevel="0" collapsed="false">
      <c r="AK576" s="268"/>
      <c r="AL576" s="17"/>
    </row>
    <row r="577" customFormat="false" ht="15" hidden="false" customHeight="true" outlineLevel="0" collapsed="false">
      <c r="AK577" s="287"/>
      <c r="AL577" s="17"/>
    </row>
    <row r="578" customFormat="false" ht="15" hidden="false" customHeight="true" outlineLevel="0" collapsed="false">
      <c r="AK578" s="287"/>
      <c r="AL578" s="17"/>
    </row>
    <row r="579" customFormat="false" ht="15" hidden="false" customHeight="true" outlineLevel="0" collapsed="false">
      <c r="AK579" s="287"/>
      <c r="AL579" s="17"/>
    </row>
    <row r="580" customFormat="false" ht="15" hidden="false" customHeight="true" outlineLevel="0" collapsed="false">
      <c r="AK580" s="287"/>
      <c r="AL580" s="17"/>
    </row>
    <row r="581" customFormat="false" ht="15" hidden="false" customHeight="true" outlineLevel="0" collapsed="false">
      <c r="AK581" s="287"/>
      <c r="AL581" s="17"/>
    </row>
    <row r="582" customFormat="false" ht="15" hidden="false" customHeight="true" outlineLevel="0" collapsed="false">
      <c r="AK582" s="287"/>
      <c r="AL582" s="17"/>
    </row>
    <row r="583" customFormat="false" ht="15" hidden="false" customHeight="true" outlineLevel="0" collapsed="false">
      <c r="AK583" s="287"/>
      <c r="AL583" s="17"/>
    </row>
    <row r="584" customFormat="false" ht="15" hidden="false" customHeight="true" outlineLevel="0" collapsed="false">
      <c r="AK584" s="287"/>
      <c r="AL584" s="17"/>
    </row>
    <row r="585" customFormat="false" ht="15" hidden="false" customHeight="true" outlineLevel="0" collapsed="false">
      <c r="AK585" s="287"/>
      <c r="AL585" s="17"/>
    </row>
    <row r="586" customFormat="false" ht="15" hidden="false" customHeight="true" outlineLevel="0" collapsed="false">
      <c r="AK586" s="287"/>
      <c r="AL586" s="17"/>
    </row>
    <row r="587" customFormat="false" ht="15" hidden="false" customHeight="true" outlineLevel="0" collapsed="false">
      <c r="AK587" s="287"/>
      <c r="AL587" s="17"/>
    </row>
    <row r="588" customFormat="false" ht="15" hidden="false" customHeight="true" outlineLevel="0" collapsed="false">
      <c r="AK588" s="287"/>
      <c r="AL588" s="17"/>
    </row>
    <row r="589" customFormat="false" ht="15" hidden="false" customHeight="true" outlineLevel="0" collapsed="false">
      <c r="AK589" s="303"/>
      <c r="AL589" s="17"/>
    </row>
    <row r="590" customFormat="false" ht="15" hidden="false" customHeight="true" outlineLevel="0" collapsed="false">
      <c r="AK590" s="303"/>
      <c r="AL590" s="17"/>
    </row>
    <row r="591" customFormat="false" ht="15" hidden="false" customHeight="true" outlineLevel="0" collapsed="false">
      <c r="AK591" s="268"/>
      <c r="AL591" s="17"/>
    </row>
    <row r="592" customFormat="false" ht="15" hidden="false" customHeight="true" outlineLevel="0" collapsed="false">
      <c r="AK592" s="287"/>
      <c r="AL592" s="17"/>
    </row>
    <row r="593" customFormat="false" ht="15" hidden="false" customHeight="true" outlineLevel="0" collapsed="false">
      <c r="AK593" s="287"/>
      <c r="AL593" s="17"/>
    </row>
    <row r="594" customFormat="false" ht="15" hidden="false" customHeight="true" outlineLevel="0" collapsed="false">
      <c r="AK594" s="287"/>
      <c r="AL594" s="17"/>
    </row>
    <row r="595" customFormat="false" ht="15" hidden="false" customHeight="true" outlineLevel="0" collapsed="false">
      <c r="AK595" s="287"/>
      <c r="AL595" s="17"/>
    </row>
    <row r="596" customFormat="false" ht="15" hidden="false" customHeight="true" outlineLevel="0" collapsed="false">
      <c r="AK596" s="287"/>
      <c r="AL596" s="17"/>
    </row>
    <row r="597" customFormat="false" ht="15" hidden="false" customHeight="true" outlineLevel="0" collapsed="false">
      <c r="AK597" s="287"/>
      <c r="AL597" s="17"/>
    </row>
    <row r="598" customFormat="false" ht="15" hidden="false" customHeight="true" outlineLevel="0" collapsed="false">
      <c r="AK598" s="287"/>
      <c r="AL598" s="17"/>
    </row>
    <row r="599" customFormat="false" ht="15" hidden="false" customHeight="true" outlineLevel="0" collapsed="false">
      <c r="AK599" s="287"/>
      <c r="AL599" s="17"/>
    </row>
    <row r="600" customFormat="false" ht="15" hidden="false" customHeight="true" outlineLevel="0" collapsed="false">
      <c r="AK600" s="287"/>
      <c r="AL600" s="17"/>
    </row>
    <row r="601" customFormat="false" ht="15" hidden="false" customHeight="true" outlineLevel="0" collapsed="false">
      <c r="AK601" s="287"/>
      <c r="AL601" s="17"/>
    </row>
    <row r="602" customFormat="false" ht="15" hidden="false" customHeight="true" outlineLevel="0" collapsed="false">
      <c r="AK602" s="287"/>
      <c r="AL602" s="17"/>
    </row>
    <row r="603" customFormat="false" ht="15" hidden="false" customHeight="true" outlineLevel="0" collapsed="false">
      <c r="AK603" s="287"/>
      <c r="AL603" s="17"/>
    </row>
    <row r="604" customFormat="false" ht="15" hidden="false" customHeight="true" outlineLevel="0" collapsed="false">
      <c r="AK604" s="303"/>
      <c r="AL604" s="17"/>
    </row>
    <row r="605" customFormat="false" ht="15" hidden="false" customHeight="true" outlineLevel="0" collapsed="false">
      <c r="AK605" s="303"/>
      <c r="AL605" s="17"/>
    </row>
    <row r="606" customFormat="false" ht="15" hidden="false" customHeight="true" outlineLevel="0" collapsed="false">
      <c r="AK606" s="268"/>
      <c r="AL606" s="17"/>
    </row>
    <row r="607" customFormat="false" ht="15" hidden="false" customHeight="true" outlineLevel="0" collapsed="false">
      <c r="AK607" s="287"/>
      <c r="AL607" s="17"/>
    </row>
    <row r="608" customFormat="false" ht="15" hidden="false" customHeight="true" outlineLevel="0" collapsed="false">
      <c r="AK608" s="287"/>
      <c r="AL608" s="17"/>
    </row>
    <row r="609" customFormat="false" ht="15" hidden="false" customHeight="true" outlineLevel="0" collapsed="false">
      <c r="AK609" s="287"/>
      <c r="AL609" s="17"/>
    </row>
    <row r="610" customFormat="false" ht="15" hidden="false" customHeight="true" outlineLevel="0" collapsed="false">
      <c r="AK610" s="287"/>
      <c r="AL610" s="17"/>
    </row>
    <row r="611" customFormat="false" ht="15" hidden="false" customHeight="true" outlineLevel="0" collapsed="false">
      <c r="AK611" s="287"/>
      <c r="AL611" s="17"/>
    </row>
    <row r="612" customFormat="false" ht="15" hidden="false" customHeight="true" outlineLevel="0" collapsed="false">
      <c r="AK612" s="287"/>
      <c r="AL612" s="17"/>
    </row>
    <row r="613" customFormat="false" ht="15" hidden="false" customHeight="true" outlineLevel="0" collapsed="false">
      <c r="AK613" s="287"/>
      <c r="AL613" s="17"/>
    </row>
    <row r="614" customFormat="false" ht="15" hidden="false" customHeight="true" outlineLevel="0" collapsed="false">
      <c r="AK614" s="287"/>
      <c r="AL614" s="17"/>
    </row>
    <row r="615" customFormat="false" ht="15" hidden="false" customHeight="true" outlineLevel="0" collapsed="false">
      <c r="AK615" s="287"/>
      <c r="AL615" s="17"/>
    </row>
    <row r="616" customFormat="false" ht="15" hidden="false" customHeight="true" outlineLevel="0" collapsed="false">
      <c r="AK616" s="287"/>
      <c r="AL616" s="17"/>
    </row>
    <row r="617" customFormat="false" ht="15" hidden="false" customHeight="true" outlineLevel="0" collapsed="false">
      <c r="AK617" s="287"/>
      <c r="AL617" s="17"/>
    </row>
    <row r="618" customFormat="false" ht="15" hidden="false" customHeight="true" outlineLevel="0" collapsed="false">
      <c r="AK618" s="287"/>
      <c r="AL618" s="17"/>
    </row>
    <row r="619" customFormat="false" ht="15" hidden="false" customHeight="true" outlineLevel="0" collapsed="false">
      <c r="AK619" s="303"/>
      <c r="AL619" s="17"/>
    </row>
    <row r="620" customFormat="false" ht="15" hidden="false" customHeight="true" outlineLevel="0" collapsed="false">
      <c r="AL620" s="17"/>
    </row>
    <row r="621" customFormat="false" ht="15" hidden="false" customHeight="true" outlineLevel="0" collapsed="false">
      <c r="AK621" s="268"/>
      <c r="AL621" s="17"/>
    </row>
    <row r="622" customFormat="false" ht="15" hidden="false" customHeight="true" outlineLevel="0" collapsed="false">
      <c r="AK622" s="287"/>
      <c r="AL622" s="17"/>
    </row>
    <row r="623" customFormat="false" ht="15" hidden="false" customHeight="true" outlineLevel="0" collapsed="false">
      <c r="AK623" s="287"/>
      <c r="AL623" s="17"/>
    </row>
    <row r="624" customFormat="false" ht="15" hidden="false" customHeight="true" outlineLevel="0" collapsed="false">
      <c r="AK624" s="287"/>
      <c r="AL624" s="17"/>
    </row>
    <row r="625" customFormat="false" ht="15" hidden="false" customHeight="true" outlineLevel="0" collapsed="false">
      <c r="AK625" s="287"/>
      <c r="AL625" s="17"/>
    </row>
    <row r="626" customFormat="false" ht="15" hidden="false" customHeight="true" outlineLevel="0" collapsed="false">
      <c r="AK626" s="287"/>
      <c r="AL626" s="17"/>
    </row>
    <row r="627" customFormat="false" ht="15" hidden="false" customHeight="true" outlineLevel="0" collapsed="false">
      <c r="AK627" s="287"/>
      <c r="AL627" s="17"/>
    </row>
    <row r="628" customFormat="false" ht="15" hidden="false" customHeight="true" outlineLevel="0" collapsed="false">
      <c r="AK628" s="287"/>
      <c r="AL628" s="17"/>
    </row>
    <row r="629" customFormat="false" ht="15" hidden="false" customHeight="true" outlineLevel="0" collapsed="false">
      <c r="AK629" s="287"/>
      <c r="AL629" s="17"/>
    </row>
    <row r="630" customFormat="false" ht="15" hidden="false" customHeight="true" outlineLevel="0" collapsed="false">
      <c r="AK630" s="287"/>
      <c r="AL630" s="17"/>
    </row>
    <row r="631" customFormat="false" ht="15" hidden="false" customHeight="true" outlineLevel="0" collapsed="false">
      <c r="AK631" s="287"/>
      <c r="AL631" s="17"/>
    </row>
    <row r="632" customFormat="false" ht="15" hidden="false" customHeight="true" outlineLevel="0" collapsed="false">
      <c r="AK632" s="287"/>
      <c r="AL632" s="17"/>
    </row>
    <row r="633" customFormat="false" ht="15" hidden="false" customHeight="true" outlineLevel="0" collapsed="false">
      <c r="AK633" s="287"/>
      <c r="AL633" s="17"/>
    </row>
    <row r="634" customFormat="false" ht="15" hidden="false" customHeight="true" outlineLevel="0" collapsed="false">
      <c r="AK634" s="303"/>
      <c r="AL634" s="17"/>
    </row>
    <row r="635" customFormat="false" ht="15" hidden="false" customHeight="true" outlineLevel="0" collapsed="false">
      <c r="AL635" s="17"/>
    </row>
    <row r="636" customFormat="false" ht="15" hidden="false" customHeight="true" outlineLevel="0" collapsed="false">
      <c r="AK636" s="268"/>
      <c r="AL636" s="17"/>
    </row>
    <row r="637" customFormat="false" ht="15" hidden="false" customHeight="true" outlineLevel="0" collapsed="false">
      <c r="AK637" s="287"/>
      <c r="AL637" s="17"/>
    </row>
    <row r="638" customFormat="false" ht="15" hidden="false" customHeight="true" outlineLevel="0" collapsed="false">
      <c r="AK638" s="287"/>
      <c r="AL638" s="17"/>
    </row>
    <row r="639" customFormat="false" ht="15" hidden="false" customHeight="true" outlineLevel="0" collapsed="false">
      <c r="AK639" s="287"/>
      <c r="AL639" s="17"/>
    </row>
    <row r="640" customFormat="false" ht="15" hidden="false" customHeight="true" outlineLevel="0" collapsed="false">
      <c r="AK640" s="287"/>
      <c r="AL640" s="17"/>
    </row>
    <row r="641" customFormat="false" ht="15" hidden="false" customHeight="true" outlineLevel="0" collapsed="false">
      <c r="AK641" s="287"/>
      <c r="AL641" s="17"/>
    </row>
    <row r="642" customFormat="false" ht="15" hidden="false" customHeight="true" outlineLevel="0" collapsed="false">
      <c r="AK642" s="287"/>
      <c r="AL642" s="17"/>
    </row>
    <row r="643" customFormat="false" ht="15" hidden="false" customHeight="true" outlineLevel="0" collapsed="false">
      <c r="AK643" s="287"/>
      <c r="AL643" s="17"/>
    </row>
    <row r="644" customFormat="false" ht="15" hidden="false" customHeight="true" outlineLevel="0" collapsed="false">
      <c r="AK644" s="287"/>
      <c r="AL644" s="17"/>
    </row>
    <row r="645" customFormat="false" ht="15" hidden="false" customHeight="true" outlineLevel="0" collapsed="false">
      <c r="AK645" s="287"/>
      <c r="AL645" s="17"/>
    </row>
    <row r="646" customFormat="false" ht="15" hidden="false" customHeight="true" outlineLevel="0" collapsed="false">
      <c r="AK646" s="287"/>
      <c r="AL646" s="17"/>
    </row>
    <row r="647" customFormat="false" ht="15" hidden="false" customHeight="true" outlineLevel="0" collapsed="false">
      <c r="AK647" s="287"/>
      <c r="AL647" s="17"/>
    </row>
    <row r="648" customFormat="false" ht="15" hidden="false" customHeight="true" outlineLevel="0" collapsed="false">
      <c r="AK648" s="287"/>
      <c r="AL648" s="17"/>
    </row>
    <row r="649" customFormat="false" ht="15" hidden="false" customHeight="true" outlineLevel="0" collapsed="false">
      <c r="AK649" s="303"/>
      <c r="AL649" s="17"/>
    </row>
    <row r="650" customFormat="false" ht="15" hidden="false" customHeight="true" outlineLevel="0" collapsed="false">
      <c r="AL650" s="17"/>
    </row>
    <row r="651" customFormat="false" ht="15" hidden="false" customHeight="true" outlineLevel="0" collapsed="false">
      <c r="AK651" s="268"/>
      <c r="AL651" s="17"/>
    </row>
    <row r="652" customFormat="false" ht="15" hidden="false" customHeight="true" outlineLevel="0" collapsed="false">
      <c r="AK652" s="287"/>
      <c r="AL652" s="17"/>
    </row>
    <row r="653" customFormat="false" ht="15" hidden="false" customHeight="true" outlineLevel="0" collapsed="false">
      <c r="AK653" s="287"/>
      <c r="AL653" s="17"/>
    </row>
    <row r="654" customFormat="false" ht="15" hidden="false" customHeight="true" outlineLevel="0" collapsed="false">
      <c r="AK654" s="287"/>
      <c r="AL654" s="17"/>
    </row>
    <row r="655" customFormat="false" ht="15" hidden="false" customHeight="true" outlineLevel="0" collapsed="false">
      <c r="AK655" s="287"/>
      <c r="AL655" s="17"/>
    </row>
    <row r="656" customFormat="false" ht="15" hidden="false" customHeight="true" outlineLevel="0" collapsed="false">
      <c r="AK656" s="287"/>
      <c r="AL656" s="17"/>
    </row>
    <row r="657" customFormat="false" ht="15" hidden="false" customHeight="true" outlineLevel="0" collapsed="false">
      <c r="AK657" s="287"/>
      <c r="AL657" s="17"/>
    </row>
    <row r="658" customFormat="false" ht="15" hidden="false" customHeight="true" outlineLevel="0" collapsed="false">
      <c r="AK658" s="287"/>
      <c r="AL658" s="17"/>
    </row>
    <row r="659" customFormat="false" ht="15" hidden="false" customHeight="true" outlineLevel="0" collapsed="false">
      <c r="AK659" s="287"/>
      <c r="AL659" s="17"/>
    </row>
    <row r="660" customFormat="false" ht="15" hidden="false" customHeight="true" outlineLevel="0" collapsed="false">
      <c r="AK660" s="287"/>
      <c r="AL660" s="17"/>
    </row>
    <row r="661" customFormat="false" ht="15" hidden="false" customHeight="true" outlineLevel="0" collapsed="false">
      <c r="AK661" s="287"/>
      <c r="AL661" s="17"/>
    </row>
    <row r="662" customFormat="false" ht="15" hidden="false" customHeight="true" outlineLevel="0" collapsed="false">
      <c r="AK662" s="287"/>
      <c r="AL662" s="17"/>
    </row>
    <row r="663" customFormat="false" ht="15" hidden="false" customHeight="true" outlineLevel="0" collapsed="false">
      <c r="AK663" s="287"/>
      <c r="AL663" s="17"/>
    </row>
    <row r="664" customFormat="false" ht="15" hidden="false" customHeight="true" outlineLevel="0" collapsed="false">
      <c r="AK664" s="303"/>
      <c r="AL664" s="17"/>
    </row>
    <row r="665" customFormat="false" ht="15" hidden="false" customHeight="true" outlineLevel="0" collapsed="false">
      <c r="AL665" s="17"/>
    </row>
    <row r="666" customFormat="false" ht="15" hidden="false" customHeight="true" outlineLevel="0" collapsed="false">
      <c r="AK666" s="268"/>
      <c r="AL666" s="17"/>
    </row>
    <row r="667" customFormat="false" ht="15" hidden="false" customHeight="true" outlineLevel="0" collapsed="false">
      <c r="AK667" s="287"/>
      <c r="AL667" s="17"/>
    </row>
    <row r="668" customFormat="false" ht="15" hidden="false" customHeight="true" outlineLevel="0" collapsed="false">
      <c r="AK668" s="287"/>
      <c r="AL668" s="17"/>
    </row>
    <row r="669" customFormat="false" ht="15" hidden="false" customHeight="true" outlineLevel="0" collapsed="false">
      <c r="AK669" s="287"/>
      <c r="AL669" s="17"/>
    </row>
    <row r="670" customFormat="false" ht="15" hidden="false" customHeight="true" outlineLevel="0" collapsed="false">
      <c r="AK670" s="287"/>
      <c r="AL670" s="17"/>
    </row>
    <row r="671" customFormat="false" ht="15" hidden="false" customHeight="true" outlineLevel="0" collapsed="false">
      <c r="AK671" s="287"/>
      <c r="AL671" s="17"/>
    </row>
    <row r="672" customFormat="false" ht="15" hidden="false" customHeight="true" outlineLevel="0" collapsed="false">
      <c r="AK672" s="287"/>
      <c r="AL672" s="17"/>
    </row>
    <row r="673" customFormat="false" ht="15" hidden="false" customHeight="true" outlineLevel="0" collapsed="false">
      <c r="AK673" s="287"/>
      <c r="AL673" s="17"/>
    </row>
    <row r="674" customFormat="false" ht="15" hidden="false" customHeight="true" outlineLevel="0" collapsed="false">
      <c r="AK674" s="287"/>
      <c r="AL674" s="17"/>
    </row>
    <row r="675" customFormat="false" ht="15" hidden="false" customHeight="true" outlineLevel="0" collapsed="false">
      <c r="AK675" s="287"/>
      <c r="AL675" s="17"/>
    </row>
    <row r="676" customFormat="false" ht="15" hidden="false" customHeight="true" outlineLevel="0" collapsed="false">
      <c r="AK676" s="287"/>
      <c r="AL676" s="17"/>
    </row>
    <row r="677" customFormat="false" ht="15" hidden="false" customHeight="true" outlineLevel="0" collapsed="false">
      <c r="AK677" s="287"/>
      <c r="AL677" s="17"/>
    </row>
    <row r="678" customFormat="false" ht="15" hidden="false" customHeight="true" outlineLevel="0" collapsed="false">
      <c r="AK678" s="287"/>
      <c r="AL678" s="17"/>
    </row>
    <row r="679" customFormat="false" ht="15" hidden="false" customHeight="true" outlineLevel="0" collapsed="false">
      <c r="AK679" s="303"/>
      <c r="AL679" s="17"/>
    </row>
    <row r="680" customFormat="false" ht="15" hidden="false" customHeight="true" outlineLevel="0" collapsed="false">
      <c r="AL680" s="17"/>
    </row>
    <row r="681" customFormat="false" ht="15" hidden="false" customHeight="true" outlineLevel="0" collapsed="false">
      <c r="AK681" s="268"/>
      <c r="AL681" s="17"/>
    </row>
    <row r="682" customFormat="false" ht="15" hidden="false" customHeight="true" outlineLevel="0" collapsed="false">
      <c r="AK682" s="287"/>
      <c r="AL682" s="17"/>
    </row>
    <row r="683" customFormat="false" ht="15" hidden="false" customHeight="true" outlineLevel="0" collapsed="false">
      <c r="AK683" s="287"/>
      <c r="AL683" s="17"/>
    </row>
    <row r="684" customFormat="false" ht="15" hidden="false" customHeight="true" outlineLevel="0" collapsed="false">
      <c r="AK684" s="287"/>
      <c r="AL684" s="17"/>
    </row>
    <row r="685" customFormat="false" ht="15" hidden="false" customHeight="true" outlineLevel="0" collapsed="false">
      <c r="AK685" s="287"/>
      <c r="AL685" s="17"/>
    </row>
    <row r="686" customFormat="false" ht="15" hidden="false" customHeight="true" outlineLevel="0" collapsed="false">
      <c r="AK686" s="287"/>
      <c r="AL686" s="17"/>
    </row>
    <row r="687" customFormat="false" ht="15" hidden="false" customHeight="true" outlineLevel="0" collapsed="false">
      <c r="AK687" s="287"/>
      <c r="AL687" s="17"/>
    </row>
    <row r="688" customFormat="false" ht="15" hidden="false" customHeight="true" outlineLevel="0" collapsed="false">
      <c r="AK688" s="287"/>
      <c r="AL688" s="17"/>
    </row>
    <row r="689" customFormat="false" ht="15" hidden="false" customHeight="true" outlineLevel="0" collapsed="false">
      <c r="AK689" s="287"/>
      <c r="AL689" s="17"/>
    </row>
    <row r="690" customFormat="false" ht="15" hidden="false" customHeight="true" outlineLevel="0" collapsed="false">
      <c r="AK690" s="287"/>
      <c r="AL690" s="17"/>
    </row>
    <row r="691" customFormat="false" ht="15" hidden="false" customHeight="true" outlineLevel="0" collapsed="false">
      <c r="AK691" s="287"/>
      <c r="AL691" s="17"/>
    </row>
    <row r="692" customFormat="false" ht="15" hidden="false" customHeight="true" outlineLevel="0" collapsed="false">
      <c r="AK692" s="287"/>
      <c r="AL692" s="17"/>
    </row>
    <row r="693" customFormat="false" ht="15" hidden="false" customHeight="true" outlineLevel="0" collapsed="false">
      <c r="AK693" s="287"/>
      <c r="AL693" s="17"/>
    </row>
    <row r="694" customFormat="false" ht="15" hidden="false" customHeight="true" outlineLevel="0" collapsed="false">
      <c r="AK694" s="303"/>
      <c r="AL694" s="17"/>
    </row>
    <row r="695" customFormat="false" ht="15" hidden="false" customHeight="true" outlineLevel="0" collapsed="false">
      <c r="AL695" s="17"/>
    </row>
    <row r="696" customFormat="false" ht="15" hidden="false" customHeight="true" outlineLevel="0" collapsed="false">
      <c r="AK696" s="268"/>
      <c r="AL696" s="17"/>
    </row>
    <row r="697" customFormat="false" ht="15" hidden="false" customHeight="true" outlineLevel="0" collapsed="false">
      <c r="AK697" s="287"/>
      <c r="AL697" s="17"/>
    </row>
    <row r="698" customFormat="false" ht="15" hidden="false" customHeight="true" outlineLevel="0" collapsed="false">
      <c r="AK698" s="287"/>
      <c r="AL698" s="17"/>
    </row>
    <row r="699" customFormat="false" ht="15" hidden="false" customHeight="true" outlineLevel="0" collapsed="false">
      <c r="AK699" s="287"/>
      <c r="AL699" s="17"/>
    </row>
    <row r="700" customFormat="false" ht="15" hidden="false" customHeight="true" outlineLevel="0" collapsed="false">
      <c r="AK700" s="287"/>
      <c r="AL700" s="17"/>
    </row>
    <row r="701" customFormat="false" ht="15" hidden="false" customHeight="true" outlineLevel="0" collapsed="false">
      <c r="AK701" s="287"/>
      <c r="AL701" s="17"/>
    </row>
    <row r="702" customFormat="false" ht="15" hidden="false" customHeight="true" outlineLevel="0" collapsed="false">
      <c r="AK702" s="287"/>
      <c r="AL702" s="17"/>
    </row>
    <row r="703" customFormat="false" ht="15" hidden="false" customHeight="true" outlineLevel="0" collapsed="false">
      <c r="AK703" s="287"/>
      <c r="AL703" s="17"/>
    </row>
    <row r="704" customFormat="false" ht="15" hidden="false" customHeight="true" outlineLevel="0" collapsed="false">
      <c r="AK704" s="287"/>
      <c r="AL704" s="17"/>
    </row>
    <row r="705" customFormat="false" ht="15" hidden="false" customHeight="true" outlineLevel="0" collapsed="false">
      <c r="AK705" s="287"/>
      <c r="AL705" s="17"/>
    </row>
    <row r="706" customFormat="false" ht="15" hidden="false" customHeight="true" outlineLevel="0" collapsed="false">
      <c r="AK706" s="287"/>
      <c r="AL706" s="17"/>
    </row>
    <row r="707" customFormat="false" ht="15" hidden="false" customHeight="true" outlineLevel="0" collapsed="false">
      <c r="AK707" s="287"/>
      <c r="AL707" s="17"/>
    </row>
    <row r="708" customFormat="false" ht="15" hidden="false" customHeight="true" outlineLevel="0" collapsed="false">
      <c r="AK708" s="287"/>
      <c r="AL708" s="17"/>
    </row>
    <row r="709" customFormat="false" ht="15" hidden="false" customHeight="true" outlineLevel="0" collapsed="false">
      <c r="AK709" s="303"/>
      <c r="AL709" s="17"/>
    </row>
    <row r="710" customFormat="false" ht="15" hidden="false" customHeight="true" outlineLevel="0" collapsed="false">
      <c r="AK710" s="303"/>
      <c r="AL710" s="17"/>
    </row>
    <row r="711" customFormat="false" ht="15" hidden="false" customHeight="true" outlineLevel="0" collapsed="false">
      <c r="AK711" s="268"/>
      <c r="AL711" s="17"/>
    </row>
    <row r="712" customFormat="false" ht="15" hidden="false" customHeight="true" outlineLevel="0" collapsed="false">
      <c r="AK712" s="287"/>
      <c r="AL712" s="17"/>
    </row>
    <row r="713" customFormat="false" ht="15" hidden="false" customHeight="true" outlineLevel="0" collapsed="false">
      <c r="AK713" s="287"/>
      <c r="AL713" s="17"/>
    </row>
    <row r="714" customFormat="false" ht="15" hidden="false" customHeight="true" outlineLevel="0" collapsed="false">
      <c r="AK714" s="287"/>
      <c r="AL714" s="17"/>
    </row>
    <row r="715" customFormat="false" ht="15" hidden="false" customHeight="true" outlineLevel="0" collapsed="false">
      <c r="AK715" s="287"/>
      <c r="AL715" s="17"/>
    </row>
    <row r="716" customFormat="false" ht="15" hidden="false" customHeight="true" outlineLevel="0" collapsed="false">
      <c r="AK716" s="287"/>
      <c r="AL716" s="17"/>
    </row>
    <row r="717" customFormat="false" ht="15" hidden="false" customHeight="true" outlineLevel="0" collapsed="false">
      <c r="AK717" s="287"/>
      <c r="AL717" s="17"/>
    </row>
    <row r="718" customFormat="false" ht="15" hidden="false" customHeight="true" outlineLevel="0" collapsed="false">
      <c r="AK718" s="287"/>
      <c r="AL718" s="17"/>
    </row>
    <row r="719" customFormat="false" ht="15" hidden="false" customHeight="true" outlineLevel="0" collapsed="false">
      <c r="AK719" s="287"/>
      <c r="AL719" s="17"/>
    </row>
    <row r="720" customFormat="false" ht="15" hidden="false" customHeight="true" outlineLevel="0" collapsed="false">
      <c r="AK720" s="287"/>
      <c r="AL720" s="17"/>
    </row>
    <row r="721" customFormat="false" ht="15" hidden="false" customHeight="true" outlineLevel="0" collapsed="false">
      <c r="AK721" s="287"/>
      <c r="AL721" s="17"/>
    </row>
    <row r="722" customFormat="false" ht="15" hidden="false" customHeight="true" outlineLevel="0" collapsed="false">
      <c r="AK722" s="287"/>
      <c r="AL722" s="17"/>
    </row>
    <row r="723" customFormat="false" ht="15" hidden="false" customHeight="true" outlineLevel="0" collapsed="false">
      <c r="AK723" s="287"/>
      <c r="AL723" s="17"/>
    </row>
    <row r="724" customFormat="false" ht="15" hidden="false" customHeight="true" outlineLevel="0" collapsed="false">
      <c r="AK724" s="303"/>
      <c r="AL724" s="17"/>
    </row>
    <row r="725" customFormat="false" ht="15" hidden="false" customHeight="true" outlineLevel="0" collapsed="false">
      <c r="AK725" s="303"/>
      <c r="AL725" s="17"/>
    </row>
    <row r="726" customFormat="false" ht="15" hidden="false" customHeight="true" outlineLevel="0" collapsed="false">
      <c r="AK726" s="268"/>
      <c r="AL726" s="17"/>
    </row>
    <row r="727" customFormat="false" ht="15" hidden="false" customHeight="true" outlineLevel="0" collapsed="false">
      <c r="AK727" s="287"/>
      <c r="AL727" s="17"/>
    </row>
    <row r="728" customFormat="false" ht="15" hidden="false" customHeight="true" outlineLevel="0" collapsed="false">
      <c r="AK728" s="287"/>
      <c r="AL728" s="17"/>
    </row>
    <row r="729" customFormat="false" ht="15" hidden="false" customHeight="true" outlineLevel="0" collapsed="false">
      <c r="AK729" s="287"/>
      <c r="AL729" s="17"/>
    </row>
    <row r="730" customFormat="false" ht="15" hidden="false" customHeight="true" outlineLevel="0" collapsed="false">
      <c r="AK730" s="287"/>
      <c r="AL730" s="17"/>
    </row>
    <row r="731" customFormat="false" ht="15" hidden="false" customHeight="true" outlineLevel="0" collapsed="false">
      <c r="AK731" s="287"/>
      <c r="AL731" s="17"/>
    </row>
    <row r="732" customFormat="false" ht="15" hidden="false" customHeight="true" outlineLevel="0" collapsed="false">
      <c r="AK732" s="287"/>
      <c r="AL732" s="17"/>
    </row>
    <row r="733" customFormat="false" ht="15" hidden="false" customHeight="true" outlineLevel="0" collapsed="false">
      <c r="AK733" s="287"/>
      <c r="AL733" s="17"/>
    </row>
    <row r="734" customFormat="false" ht="15" hidden="false" customHeight="true" outlineLevel="0" collapsed="false">
      <c r="AK734" s="287"/>
      <c r="AL734" s="17"/>
    </row>
    <row r="735" customFormat="false" ht="15" hidden="false" customHeight="true" outlineLevel="0" collapsed="false">
      <c r="AK735" s="287"/>
      <c r="AL735" s="17"/>
    </row>
    <row r="736" customFormat="false" ht="15" hidden="false" customHeight="true" outlineLevel="0" collapsed="false">
      <c r="AK736" s="287"/>
      <c r="AL736" s="17"/>
    </row>
    <row r="737" customFormat="false" ht="15" hidden="false" customHeight="true" outlineLevel="0" collapsed="false">
      <c r="AK737" s="287"/>
      <c r="AL737" s="17"/>
    </row>
    <row r="738" customFormat="false" ht="15" hidden="false" customHeight="true" outlineLevel="0" collapsed="false">
      <c r="AK738" s="287"/>
      <c r="AL738" s="17"/>
    </row>
    <row r="739" customFormat="false" ht="15" hidden="false" customHeight="true" outlineLevel="0" collapsed="false">
      <c r="AK739" s="303"/>
      <c r="AL739" s="17"/>
    </row>
    <row r="740" customFormat="false" ht="15" hidden="false" customHeight="true" outlineLevel="0" collapsed="false">
      <c r="AK740" s="303"/>
      <c r="AL740" s="17"/>
    </row>
    <row r="741" customFormat="false" ht="15" hidden="false" customHeight="true" outlineLevel="0" collapsed="false">
      <c r="AK741" s="268"/>
      <c r="AL741" s="17"/>
    </row>
    <row r="742" customFormat="false" ht="15" hidden="false" customHeight="true" outlineLevel="0" collapsed="false">
      <c r="AK742" s="287"/>
      <c r="AL742" s="17"/>
    </row>
    <row r="743" customFormat="false" ht="15" hidden="false" customHeight="true" outlineLevel="0" collapsed="false">
      <c r="AK743" s="287"/>
      <c r="AL743" s="17"/>
    </row>
    <row r="744" customFormat="false" ht="15" hidden="false" customHeight="true" outlineLevel="0" collapsed="false">
      <c r="AK744" s="287"/>
      <c r="AL744" s="17"/>
    </row>
    <row r="745" customFormat="false" ht="15" hidden="false" customHeight="true" outlineLevel="0" collapsed="false">
      <c r="AK745" s="287"/>
      <c r="AL745" s="17"/>
    </row>
    <row r="746" customFormat="false" ht="15" hidden="false" customHeight="true" outlineLevel="0" collapsed="false">
      <c r="AK746" s="287"/>
      <c r="AL746" s="17"/>
    </row>
    <row r="747" customFormat="false" ht="15" hidden="false" customHeight="true" outlineLevel="0" collapsed="false">
      <c r="AK747" s="287"/>
      <c r="AL747" s="17"/>
    </row>
    <row r="748" customFormat="false" ht="15" hidden="false" customHeight="true" outlineLevel="0" collapsed="false">
      <c r="AK748" s="287"/>
      <c r="AL748" s="17"/>
    </row>
    <row r="749" customFormat="false" ht="15" hidden="false" customHeight="true" outlineLevel="0" collapsed="false">
      <c r="AK749" s="287"/>
      <c r="AL749" s="17"/>
    </row>
    <row r="750" customFormat="false" ht="15" hidden="false" customHeight="true" outlineLevel="0" collapsed="false">
      <c r="AK750" s="287"/>
      <c r="AL750" s="17"/>
    </row>
    <row r="751" customFormat="false" ht="15" hidden="false" customHeight="true" outlineLevel="0" collapsed="false">
      <c r="AK751" s="287"/>
      <c r="AL751" s="17"/>
    </row>
    <row r="752" customFormat="false" ht="15" hidden="false" customHeight="true" outlineLevel="0" collapsed="false">
      <c r="AK752" s="287"/>
      <c r="AL752" s="17"/>
    </row>
    <row r="753" customFormat="false" ht="15" hidden="false" customHeight="true" outlineLevel="0" collapsed="false">
      <c r="AK753" s="287"/>
      <c r="AL753" s="17"/>
    </row>
    <row r="754" customFormat="false" ht="15" hidden="false" customHeight="true" outlineLevel="0" collapsed="false">
      <c r="AK754" s="303"/>
      <c r="AL754" s="17"/>
    </row>
    <row r="755" customFormat="false" ht="15" hidden="false" customHeight="true" outlineLevel="0" collapsed="false">
      <c r="AK755" s="303"/>
      <c r="AL755" s="17"/>
    </row>
    <row r="756" customFormat="false" ht="15" hidden="false" customHeight="true" outlineLevel="0" collapsed="false">
      <c r="AK756" s="268"/>
      <c r="AL756" s="17"/>
    </row>
    <row r="757" customFormat="false" ht="15" hidden="false" customHeight="true" outlineLevel="0" collapsed="false">
      <c r="AK757" s="287"/>
      <c r="AL757" s="17"/>
    </row>
    <row r="758" customFormat="false" ht="15" hidden="false" customHeight="true" outlineLevel="0" collapsed="false">
      <c r="AK758" s="287"/>
      <c r="AL758" s="17"/>
    </row>
    <row r="759" customFormat="false" ht="15" hidden="false" customHeight="true" outlineLevel="0" collapsed="false">
      <c r="AK759" s="287"/>
      <c r="AL759" s="17"/>
    </row>
    <row r="760" customFormat="false" ht="15" hidden="false" customHeight="true" outlineLevel="0" collapsed="false">
      <c r="AK760" s="287"/>
      <c r="AL760" s="17"/>
    </row>
    <row r="761" customFormat="false" ht="15" hidden="false" customHeight="true" outlineLevel="0" collapsed="false">
      <c r="AK761" s="287"/>
      <c r="AL761" s="17"/>
    </row>
    <row r="762" customFormat="false" ht="15" hidden="false" customHeight="true" outlineLevel="0" collapsed="false">
      <c r="AK762" s="287"/>
      <c r="AL762" s="17"/>
    </row>
    <row r="763" customFormat="false" ht="15" hidden="false" customHeight="true" outlineLevel="0" collapsed="false">
      <c r="AK763" s="287"/>
      <c r="AL763" s="17"/>
    </row>
    <row r="764" customFormat="false" ht="15" hidden="false" customHeight="true" outlineLevel="0" collapsed="false">
      <c r="AK764" s="287"/>
      <c r="AL764" s="17"/>
    </row>
    <row r="765" customFormat="false" ht="15" hidden="false" customHeight="true" outlineLevel="0" collapsed="false">
      <c r="AK765" s="287"/>
      <c r="AL765" s="17"/>
    </row>
    <row r="766" customFormat="false" ht="15" hidden="false" customHeight="true" outlineLevel="0" collapsed="false">
      <c r="AK766" s="287"/>
      <c r="AL766" s="17"/>
    </row>
    <row r="767" customFormat="false" ht="15" hidden="false" customHeight="true" outlineLevel="0" collapsed="false">
      <c r="AK767" s="287"/>
      <c r="AL767" s="17"/>
    </row>
    <row r="768" customFormat="false" ht="15" hidden="false" customHeight="true" outlineLevel="0" collapsed="false">
      <c r="AK768" s="287"/>
      <c r="AL768" s="17"/>
    </row>
    <row r="769" customFormat="false" ht="15" hidden="false" customHeight="true" outlineLevel="0" collapsed="false">
      <c r="AK769" s="303"/>
      <c r="AL769" s="17"/>
    </row>
    <row r="770" customFormat="false" ht="15" hidden="false" customHeight="true" outlineLevel="0" collapsed="false">
      <c r="AK770" s="303"/>
      <c r="AL770" s="17"/>
    </row>
    <row r="771" customFormat="false" ht="15" hidden="false" customHeight="true" outlineLevel="0" collapsed="false">
      <c r="AK771" s="268"/>
      <c r="AL771" s="17"/>
    </row>
    <row r="772" customFormat="false" ht="15" hidden="false" customHeight="true" outlineLevel="0" collapsed="false">
      <c r="AK772" s="287"/>
      <c r="AL772" s="17"/>
    </row>
    <row r="773" customFormat="false" ht="15" hidden="false" customHeight="true" outlineLevel="0" collapsed="false">
      <c r="AK773" s="287"/>
      <c r="AL773" s="17"/>
    </row>
    <row r="774" customFormat="false" ht="15" hidden="false" customHeight="true" outlineLevel="0" collapsed="false">
      <c r="AK774" s="287"/>
      <c r="AL774" s="17"/>
    </row>
    <row r="775" customFormat="false" ht="15" hidden="false" customHeight="true" outlineLevel="0" collapsed="false">
      <c r="AK775" s="287"/>
      <c r="AL775" s="17"/>
    </row>
    <row r="776" customFormat="false" ht="15" hidden="false" customHeight="true" outlineLevel="0" collapsed="false">
      <c r="AK776" s="287"/>
      <c r="AL776" s="17"/>
    </row>
    <row r="777" customFormat="false" ht="15" hidden="false" customHeight="true" outlineLevel="0" collapsed="false">
      <c r="AK777" s="287"/>
      <c r="AL777" s="17"/>
    </row>
    <row r="778" customFormat="false" ht="15" hidden="false" customHeight="true" outlineLevel="0" collapsed="false">
      <c r="AK778" s="287"/>
      <c r="AL778" s="17"/>
    </row>
    <row r="779" customFormat="false" ht="15" hidden="false" customHeight="true" outlineLevel="0" collapsed="false">
      <c r="AK779" s="287"/>
      <c r="AL779" s="17"/>
    </row>
    <row r="780" customFormat="false" ht="15" hidden="false" customHeight="true" outlineLevel="0" collapsed="false">
      <c r="AK780" s="287"/>
      <c r="AL780" s="17"/>
    </row>
    <row r="781" customFormat="false" ht="15" hidden="false" customHeight="true" outlineLevel="0" collapsed="false">
      <c r="AK781" s="287"/>
      <c r="AL781" s="17"/>
    </row>
    <row r="782" customFormat="false" ht="15" hidden="false" customHeight="true" outlineLevel="0" collapsed="false">
      <c r="AK782" s="287"/>
      <c r="AL782" s="17"/>
    </row>
    <row r="783" customFormat="false" ht="15" hidden="false" customHeight="true" outlineLevel="0" collapsed="false">
      <c r="AK783" s="287"/>
      <c r="AL783" s="17"/>
    </row>
    <row r="784" customFormat="false" ht="15" hidden="false" customHeight="true" outlineLevel="0" collapsed="false">
      <c r="AK784" s="303"/>
      <c r="AL784" s="17"/>
    </row>
    <row r="785" customFormat="false" ht="15" hidden="false" customHeight="true" outlineLevel="0" collapsed="false">
      <c r="AK785" s="303"/>
      <c r="AL785" s="17"/>
    </row>
    <row r="786" customFormat="false" ht="15" hidden="false" customHeight="true" outlineLevel="0" collapsed="false">
      <c r="AK786" s="268"/>
      <c r="AL786" s="17"/>
    </row>
    <row r="787" customFormat="false" ht="15" hidden="false" customHeight="true" outlineLevel="0" collapsed="false">
      <c r="AK787" s="287"/>
      <c r="AL787" s="17"/>
    </row>
    <row r="788" customFormat="false" ht="15" hidden="false" customHeight="true" outlineLevel="0" collapsed="false">
      <c r="AK788" s="287"/>
      <c r="AL788" s="17"/>
    </row>
    <row r="789" customFormat="false" ht="15" hidden="false" customHeight="true" outlineLevel="0" collapsed="false">
      <c r="AK789" s="287"/>
      <c r="AL789" s="17"/>
    </row>
    <row r="790" customFormat="false" ht="15" hidden="false" customHeight="true" outlineLevel="0" collapsed="false">
      <c r="AK790" s="287"/>
      <c r="AL790" s="17"/>
    </row>
    <row r="791" customFormat="false" ht="15" hidden="false" customHeight="true" outlineLevel="0" collapsed="false">
      <c r="AK791" s="287"/>
      <c r="AL791" s="17"/>
    </row>
    <row r="792" customFormat="false" ht="15" hidden="false" customHeight="true" outlineLevel="0" collapsed="false">
      <c r="AK792" s="287"/>
      <c r="AL792" s="17"/>
    </row>
    <row r="793" customFormat="false" ht="15" hidden="false" customHeight="true" outlineLevel="0" collapsed="false">
      <c r="AK793" s="287"/>
      <c r="AL793" s="17"/>
    </row>
    <row r="794" customFormat="false" ht="15" hidden="false" customHeight="true" outlineLevel="0" collapsed="false">
      <c r="AK794" s="287"/>
      <c r="AL794" s="17"/>
    </row>
    <row r="795" customFormat="false" ht="15" hidden="false" customHeight="true" outlineLevel="0" collapsed="false">
      <c r="AK795" s="287"/>
      <c r="AL795" s="17"/>
    </row>
    <row r="796" customFormat="false" ht="15" hidden="false" customHeight="true" outlineLevel="0" collapsed="false">
      <c r="AK796" s="287"/>
      <c r="AL796" s="17"/>
    </row>
    <row r="797" customFormat="false" ht="15" hidden="false" customHeight="true" outlineLevel="0" collapsed="false">
      <c r="AK797" s="287"/>
      <c r="AL797" s="17"/>
    </row>
    <row r="798" customFormat="false" ht="15" hidden="false" customHeight="true" outlineLevel="0" collapsed="false">
      <c r="AK798" s="287"/>
      <c r="AL798" s="17"/>
    </row>
    <row r="799" customFormat="false" ht="15" hidden="false" customHeight="true" outlineLevel="0" collapsed="false">
      <c r="AK799" s="303"/>
      <c r="AL799" s="17"/>
    </row>
    <row r="800" customFormat="false" ht="15" hidden="false" customHeight="true" outlineLevel="0" collapsed="false">
      <c r="AK800" s="303"/>
      <c r="AL800" s="17"/>
    </row>
    <row r="801" customFormat="false" ht="15" hidden="false" customHeight="true" outlineLevel="0" collapsed="false">
      <c r="AK801" s="268"/>
      <c r="AL801" s="17"/>
    </row>
    <row r="802" customFormat="false" ht="15" hidden="false" customHeight="true" outlineLevel="0" collapsed="false">
      <c r="AK802" s="287"/>
      <c r="AL802" s="17"/>
    </row>
    <row r="803" customFormat="false" ht="15" hidden="false" customHeight="true" outlineLevel="0" collapsed="false">
      <c r="AK803" s="287"/>
      <c r="AL803" s="17"/>
    </row>
    <row r="804" customFormat="false" ht="15" hidden="false" customHeight="true" outlineLevel="0" collapsed="false">
      <c r="AK804" s="287"/>
      <c r="AL804" s="17"/>
    </row>
    <row r="805" customFormat="false" ht="15" hidden="false" customHeight="true" outlineLevel="0" collapsed="false">
      <c r="AK805" s="287"/>
      <c r="AL805" s="17"/>
    </row>
    <row r="806" customFormat="false" ht="15" hidden="false" customHeight="true" outlineLevel="0" collapsed="false">
      <c r="AK806" s="287"/>
      <c r="AL806" s="17"/>
    </row>
    <row r="807" customFormat="false" ht="15" hidden="false" customHeight="true" outlineLevel="0" collapsed="false">
      <c r="AK807" s="287"/>
      <c r="AL807" s="17"/>
    </row>
    <row r="808" customFormat="false" ht="15" hidden="false" customHeight="true" outlineLevel="0" collapsed="false">
      <c r="AK808" s="287"/>
      <c r="AL808" s="17"/>
    </row>
    <row r="809" customFormat="false" ht="15" hidden="false" customHeight="true" outlineLevel="0" collapsed="false">
      <c r="AK809" s="287"/>
      <c r="AL809" s="17"/>
    </row>
    <row r="810" customFormat="false" ht="15" hidden="false" customHeight="true" outlineLevel="0" collapsed="false">
      <c r="AK810" s="287"/>
      <c r="AL810" s="17"/>
    </row>
    <row r="811" customFormat="false" ht="15" hidden="false" customHeight="true" outlineLevel="0" collapsed="false">
      <c r="AK811" s="287"/>
      <c r="AL811" s="17"/>
    </row>
    <row r="812" customFormat="false" ht="15" hidden="false" customHeight="true" outlineLevel="0" collapsed="false">
      <c r="AK812" s="287"/>
      <c r="AL812" s="17"/>
    </row>
    <row r="813" customFormat="false" ht="15" hidden="false" customHeight="true" outlineLevel="0" collapsed="false">
      <c r="AK813" s="287"/>
      <c r="AL813" s="17"/>
    </row>
    <row r="814" customFormat="false" ht="15" hidden="false" customHeight="true" outlineLevel="0" collapsed="false">
      <c r="AK814" s="303"/>
      <c r="AL814" s="17"/>
    </row>
    <row r="815" customFormat="false" ht="15" hidden="false" customHeight="true" outlineLevel="0" collapsed="false">
      <c r="AK815" s="303"/>
      <c r="AL815" s="17"/>
    </row>
    <row r="816" customFormat="false" ht="15" hidden="false" customHeight="true" outlineLevel="0" collapsed="false">
      <c r="AK816" s="268"/>
      <c r="AL816" s="17"/>
    </row>
    <row r="817" customFormat="false" ht="15" hidden="false" customHeight="true" outlineLevel="0" collapsed="false">
      <c r="AK817" s="287"/>
      <c r="AL817" s="17"/>
    </row>
    <row r="818" customFormat="false" ht="15" hidden="false" customHeight="true" outlineLevel="0" collapsed="false">
      <c r="AK818" s="287"/>
      <c r="AL818" s="17"/>
    </row>
    <row r="819" customFormat="false" ht="15" hidden="false" customHeight="true" outlineLevel="0" collapsed="false">
      <c r="AK819" s="287"/>
      <c r="AL819" s="17"/>
    </row>
    <row r="820" customFormat="false" ht="15" hidden="false" customHeight="true" outlineLevel="0" collapsed="false">
      <c r="AK820" s="287"/>
      <c r="AL820" s="17"/>
    </row>
    <row r="821" customFormat="false" ht="15" hidden="false" customHeight="true" outlineLevel="0" collapsed="false">
      <c r="AK821" s="287"/>
      <c r="AL821" s="17"/>
    </row>
    <row r="822" customFormat="false" ht="15" hidden="false" customHeight="true" outlineLevel="0" collapsed="false">
      <c r="AK822" s="287"/>
      <c r="AL822" s="17"/>
    </row>
    <row r="823" customFormat="false" ht="15" hidden="false" customHeight="true" outlineLevel="0" collapsed="false">
      <c r="AK823" s="287"/>
      <c r="AL823" s="17"/>
    </row>
    <row r="824" customFormat="false" ht="15" hidden="false" customHeight="true" outlineLevel="0" collapsed="false">
      <c r="AK824" s="287"/>
      <c r="AL824" s="17"/>
    </row>
    <row r="825" customFormat="false" ht="15" hidden="false" customHeight="true" outlineLevel="0" collapsed="false">
      <c r="AK825" s="287"/>
      <c r="AL825" s="17"/>
    </row>
    <row r="826" customFormat="false" ht="15" hidden="false" customHeight="true" outlineLevel="0" collapsed="false">
      <c r="AK826" s="287"/>
      <c r="AL826" s="17"/>
    </row>
    <row r="827" customFormat="false" ht="15" hidden="false" customHeight="true" outlineLevel="0" collapsed="false">
      <c r="AK827" s="287"/>
      <c r="AL827" s="17"/>
    </row>
    <row r="828" customFormat="false" ht="15" hidden="false" customHeight="true" outlineLevel="0" collapsed="false">
      <c r="AK828" s="287"/>
      <c r="AL828" s="17"/>
    </row>
    <row r="829" customFormat="false" ht="15" hidden="false" customHeight="true" outlineLevel="0" collapsed="false">
      <c r="AK829" s="303"/>
      <c r="AL829" s="17"/>
    </row>
    <row r="830" customFormat="false" ht="15" hidden="false" customHeight="true" outlineLevel="0" collapsed="false">
      <c r="AK830" s="303"/>
      <c r="AL830" s="17"/>
    </row>
    <row r="831" customFormat="false" ht="15" hidden="false" customHeight="true" outlineLevel="0" collapsed="false">
      <c r="AK831" s="268"/>
      <c r="AL831" s="17"/>
    </row>
    <row r="832" customFormat="false" ht="15" hidden="false" customHeight="true" outlineLevel="0" collapsed="false">
      <c r="AK832" s="287"/>
      <c r="AL832" s="17"/>
    </row>
    <row r="833" customFormat="false" ht="15" hidden="false" customHeight="true" outlineLevel="0" collapsed="false">
      <c r="AK833" s="287"/>
      <c r="AL833" s="17"/>
    </row>
    <row r="834" customFormat="false" ht="15" hidden="false" customHeight="true" outlineLevel="0" collapsed="false">
      <c r="AK834" s="287"/>
      <c r="AL834" s="17"/>
    </row>
    <row r="835" customFormat="false" ht="15" hidden="false" customHeight="true" outlineLevel="0" collapsed="false">
      <c r="AK835" s="287"/>
      <c r="AL835" s="17"/>
    </row>
    <row r="836" customFormat="false" ht="15" hidden="false" customHeight="true" outlineLevel="0" collapsed="false">
      <c r="AK836" s="287"/>
      <c r="AL836" s="17"/>
    </row>
    <row r="837" customFormat="false" ht="15" hidden="false" customHeight="true" outlineLevel="0" collapsed="false">
      <c r="AK837" s="287"/>
      <c r="AL837" s="17"/>
    </row>
    <row r="838" customFormat="false" ht="15" hidden="false" customHeight="true" outlineLevel="0" collapsed="false">
      <c r="AK838" s="287"/>
      <c r="AL838" s="17"/>
    </row>
    <row r="839" customFormat="false" ht="15" hidden="false" customHeight="true" outlineLevel="0" collapsed="false">
      <c r="AK839" s="287"/>
      <c r="AL839" s="17"/>
    </row>
    <row r="840" customFormat="false" ht="15" hidden="false" customHeight="true" outlineLevel="0" collapsed="false">
      <c r="AK840" s="287"/>
      <c r="AL840" s="17"/>
    </row>
    <row r="841" customFormat="false" ht="15" hidden="false" customHeight="true" outlineLevel="0" collapsed="false">
      <c r="AK841" s="287"/>
      <c r="AL841" s="17"/>
    </row>
    <row r="842" customFormat="false" ht="15" hidden="false" customHeight="true" outlineLevel="0" collapsed="false">
      <c r="AK842" s="287"/>
      <c r="AL842" s="17"/>
    </row>
    <row r="843" customFormat="false" ht="15" hidden="false" customHeight="true" outlineLevel="0" collapsed="false">
      <c r="AK843" s="287"/>
      <c r="AL843" s="17"/>
    </row>
    <row r="844" customFormat="false" ht="15" hidden="false" customHeight="true" outlineLevel="0" collapsed="false">
      <c r="AK844" s="303"/>
      <c r="AL844" s="17"/>
    </row>
    <row r="845" customFormat="false" ht="15" hidden="false" customHeight="true" outlineLevel="0" collapsed="false">
      <c r="AK845" s="303"/>
      <c r="AL845" s="17"/>
    </row>
    <row r="846" customFormat="false" ht="15" hidden="false" customHeight="true" outlineLevel="0" collapsed="false">
      <c r="AK846" s="303"/>
      <c r="AL846" s="17"/>
    </row>
    <row r="847" customFormat="false" ht="15" hidden="false" customHeight="true" outlineLevel="0" collapsed="false">
      <c r="AK847" s="303"/>
      <c r="AL847" s="17"/>
    </row>
    <row r="848" customFormat="false" ht="15" hidden="false" customHeight="true" outlineLevel="0" collapsed="false">
      <c r="AK848" s="313"/>
      <c r="AL848" s="17"/>
    </row>
    <row r="849" customFormat="false" ht="15" hidden="false" customHeight="true" outlineLevel="0" collapsed="false">
      <c r="AK849" s="313"/>
      <c r="AL849" s="17"/>
    </row>
    <row r="850" customFormat="false" ht="15" hidden="false" customHeight="true" outlineLevel="0" collapsed="false">
      <c r="AK850" s="313"/>
      <c r="AL850" s="17"/>
    </row>
    <row r="851" customFormat="false" ht="15" hidden="false" customHeight="true" outlineLevel="0" collapsed="false">
      <c r="AK851" s="313"/>
      <c r="AL851" s="17"/>
    </row>
    <row r="852" customFormat="false" ht="15" hidden="false" customHeight="true" outlineLevel="0" collapsed="false">
      <c r="AK852" s="313"/>
      <c r="AL852" s="17"/>
    </row>
    <row r="853" customFormat="false" ht="15" hidden="false" customHeight="true" outlineLevel="0" collapsed="false">
      <c r="AK853" s="313"/>
      <c r="AL853" s="17"/>
    </row>
    <row r="854" customFormat="false" ht="15" hidden="false" customHeight="true" outlineLevel="0" collapsed="false">
      <c r="AK854" s="313"/>
      <c r="AL854" s="17"/>
    </row>
    <row r="855" customFormat="false" ht="15" hidden="false" customHeight="true" outlineLevel="0" collapsed="false">
      <c r="AK855" s="313"/>
      <c r="AL855" s="17"/>
    </row>
    <row r="856" customFormat="false" ht="15" hidden="false" customHeight="true" outlineLevel="0" collapsed="false">
      <c r="AK856" s="313"/>
      <c r="AL856" s="17"/>
    </row>
    <row r="857" customFormat="false" ht="15" hidden="false" customHeight="true" outlineLevel="0" collapsed="false">
      <c r="AK857" s="313"/>
      <c r="AL857" s="17"/>
    </row>
    <row r="858" customFormat="false" ht="15" hidden="false" customHeight="true" outlineLevel="0" collapsed="false">
      <c r="AK858" s="313"/>
      <c r="AL858" s="17"/>
    </row>
    <row r="859" customFormat="false" ht="15" hidden="false" customHeight="true" outlineLevel="0" collapsed="false">
      <c r="AK859" s="313"/>
      <c r="AL859" s="17"/>
    </row>
    <row r="860" customFormat="false" ht="15" hidden="false" customHeight="true" outlineLevel="0" collapsed="false">
      <c r="AK860" s="319"/>
      <c r="AL860" s="17"/>
    </row>
    <row r="861" customFormat="false" ht="15" hidden="false" customHeight="true" outlineLevel="0" collapsed="false">
      <c r="AK861" s="319"/>
      <c r="AL861" s="17"/>
    </row>
    <row r="862" customFormat="false" ht="15" hidden="false" customHeight="true" outlineLevel="0" collapsed="false">
      <c r="AL862" s="17"/>
    </row>
    <row r="863" customFormat="false" ht="15" hidden="false" customHeight="true" outlineLevel="0" collapsed="false">
      <c r="AK863" s="328"/>
      <c r="AL863" s="17"/>
    </row>
    <row r="864" customFormat="false" ht="15" hidden="false" customHeight="true" outlineLevel="0" collapsed="false">
      <c r="AL864" s="17"/>
    </row>
    <row r="865" customFormat="false" ht="15" hidden="false" customHeight="true" outlineLevel="0" collapsed="false">
      <c r="AK865" s="316"/>
      <c r="AL865" s="17"/>
    </row>
    <row r="866" customFormat="false" ht="15" hidden="false" customHeight="true" outlineLevel="0" collapsed="false">
      <c r="AL866" s="17"/>
    </row>
    <row r="867" customFormat="false" ht="15" hidden="false" customHeight="true" outlineLevel="0" collapsed="false">
      <c r="AL867" s="17"/>
    </row>
    <row r="868" customFormat="false" ht="15" hidden="false" customHeight="true" outlineLevel="0" collapsed="false">
      <c r="AL868" s="17"/>
    </row>
    <row r="869" customFormat="false" ht="15" hidden="false" customHeight="true" outlineLevel="0" collapsed="false">
      <c r="AL869" s="17"/>
    </row>
    <row r="870" customFormat="false" ht="15" hidden="false" customHeight="true" outlineLevel="0" collapsed="false">
      <c r="AL870" s="17"/>
    </row>
    <row r="871" customFormat="false" ht="15" hidden="false" customHeight="true" outlineLevel="0" collapsed="false">
      <c r="AL871" s="17"/>
    </row>
    <row r="872" customFormat="false" ht="15" hidden="false" customHeight="true" outlineLevel="0" collapsed="false">
      <c r="AL872" s="17"/>
    </row>
    <row r="873" customFormat="false" ht="15" hidden="false" customHeight="true" outlineLevel="0" collapsed="false">
      <c r="AL873" s="17"/>
    </row>
    <row r="874" customFormat="false" ht="15" hidden="false" customHeight="true" outlineLevel="0" collapsed="false">
      <c r="AL874" s="17"/>
    </row>
    <row r="875" customFormat="false" ht="15" hidden="false" customHeight="true" outlineLevel="0" collapsed="false">
      <c r="AL875" s="17"/>
    </row>
    <row r="876" customFormat="false" ht="15" hidden="false" customHeight="true" outlineLevel="0" collapsed="false">
      <c r="AL876" s="17"/>
    </row>
    <row r="877" customFormat="false" ht="15" hidden="false" customHeight="true" outlineLevel="0" collapsed="false">
      <c r="AL877" s="17"/>
    </row>
    <row r="878" customFormat="false" ht="15" hidden="false" customHeight="true" outlineLevel="0" collapsed="false">
      <c r="AL878" s="17"/>
    </row>
    <row r="879" customFormat="false" ht="15" hidden="false" customHeight="true" outlineLevel="0" collapsed="false">
      <c r="AL879" s="17"/>
    </row>
    <row r="880" customFormat="false" ht="15" hidden="false" customHeight="true" outlineLevel="0" collapsed="false">
      <c r="AL880" s="17"/>
    </row>
    <row r="881" customFormat="false" ht="15" hidden="false" customHeight="true" outlineLevel="0" collapsed="false">
      <c r="AL881" s="17"/>
    </row>
    <row r="882" customFormat="false" ht="15" hidden="false" customHeight="true" outlineLevel="0" collapsed="false">
      <c r="AL882" s="17"/>
    </row>
    <row r="883" customFormat="false" ht="15" hidden="false" customHeight="true" outlineLevel="0" collapsed="false">
      <c r="AL883" s="17"/>
    </row>
    <row r="884" customFormat="false" ht="15" hidden="false" customHeight="true" outlineLevel="0" collapsed="false">
      <c r="AL884" s="17"/>
    </row>
    <row r="885" customFormat="false" ht="15" hidden="false" customHeight="true" outlineLevel="0" collapsed="false">
      <c r="AL885" s="17"/>
    </row>
    <row r="886" customFormat="false" ht="15" hidden="false" customHeight="true" outlineLevel="0" collapsed="false">
      <c r="AL886" s="17"/>
    </row>
    <row r="887" customFormat="false" ht="15" hidden="false" customHeight="true" outlineLevel="0" collapsed="false">
      <c r="AL887" s="17"/>
    </row>
    <row r="888" customFormat="false" ht="15" hidden="false" customHeight="true" outlineLevel="0" collapsed="false">
      <c r="AL888" s="17"/>
    </row>
    <row r="889" customFormat="false" ht="15" hidden="false" customHeight="true" outlineLevel="0" collapsed="false">
      <c r="AL889" s="17"/>
    </row>
    <row r="890" customFormat="false" ht="15" hidden="false" customHeight="true" outlineLevel="0" collapsed="false">
      <c r="AL890" s="17"/>
    </row>
    <row r="891" customFormat="false" ht="15" hidden="false" customHeight="true" outlineLevel="0" collapsed="false">
      <c r="AL891" s="17"/>
    </row>
    <row r="892" customFormat="false" ht="15" hidden="false" customHeight="true" outlineLevel="0" collapsed="false">
      <c r="AL892" s="17"/>
    </row>
    <row r="893" customFormat="false" ht="15" hidden="false" customHeight="true" outlineLevel="0" collapsed="false">
      <c r="AL893" s="17"/>
    </row>
    <row r="894" customFormat="false" ht="15" hidden="false" customHeight="true" outlineLevel="0" collapsed="false">
      <c r="AL894" s="17"/>
    </row>
    <row r="895" customFormat="false" ht="15" hidden="false" customHeight="true" outlineLevel="0" collapsed="false">
      <c r="AL895" s="17"/>
    </row>
    <row r="896" customFormat="false" ht="15" hidden="false" customHeight="true" outlineLevel="0" collapsed="false">
      <c r="AL896" s="17"/>
    </row>
    <row r="897" customFormat="false" ht="15" hidden="false" customHeight="true" outlineLevel="0" collapsed="false">
      <c r="AL897" s="17"/>
    </row>
    <row r="898" customFormat="false" ht="15" hidden="false" customHeight="true" outlineLevel="0" collapsed="false">
      <c r="AL898" s="17"/>
    </row>
    <row r="899" customFormat="false" ht="15" hidden="false" customHeight="true" outlineLevel="0" collapsed="false">
      <c r="AL899" s="17"/>
    </row>
    <row r="900" customFormat="false" ht="15" hidden="false" customHeight="true" outlineLevel="0" collapsed="false">
      <c r="AL900" s="17"/>
    </row>
    <row r="901" customFormat="false" ht="15" hidden="false" customHeight="true" outlineLevel="0" collapsed="false">
      <c r="AL901" s="17"/>
    </row>
    <row r="902" customFormat="false" ht="15" hidden="false" customHeight="true" outlineLevel="0" collapsed="false">
      <c r="AL902" s="17"/>
    </row>
    <row r="903" customFormat="false" ht="15" hidden="false" customHeight="true" outlineLevel="0" collapsed="false">
      <c r="AL903" s="17"/>
    </row>
    <row r="904" customFormat="false" ht="15" hidden="false" customHeight="true" outlineLevel="0" collapsed="false">
      <c r="AL904" s="17"/>
    </row>
    <row r="905" customFormat="false" ht="15" hidden="false" customHeight="true" outlineLevel="0" collapsed="false">
      <c r="AL905" s="17"/>
    </row>
    <row r="906" customFormat="false" ht="15" hidden="false" customHeight="true" outlineLevel="0" collapsed="false">
      <c r="AL906" s="17"/>
    </row>
    <row r="907" customFormat="false" ht="15" hidden="false" customHeight="true" outlineLevel="0" collapsed="false">
      <c r="AL907" s="17"/>
    </row>
    <row r="908" customFormat="false" ht="15" hidden="false" customHeight="true" outlineLevel="0" collapsed="false">
      <c r="AL908" s="313"/>
    </row>
    <row r="909" customFormat="false" ht="15" hidden="false" customHeight="true" outlineLevel="0" collapsed="false">
      <c r="AL909" s="313"/>
    </row>
    <row r="910" customFormat="false" ht="15" hidden="false" customHeight="true" outlineLevel="0" collapsed="false">
      <c r="AL910" s="313"/>
    </row>
    <row r="911" customFormat="false" ht="15" hidden="false" customHeight="true" outlineLevel="0" collapsed="false">
      <c r="AL911" s="313"/>
    </row>
  </sheetData>
  <mergeCells count="9">
    <mergeCell ref="A1:C1"/>
    <mergeCell ref="I2:T2"/>
    <mergeCell ref="A3:A5"/>
    <mergeCell ref="B3:B5"/>
    <mergeCell ref="C3:C5"/>
    <mergeCell ref="D3:D5"/>
    <mergeCell ref="E3:E5"/>
    <mergeCell ref="F3:F5"/>
    <mergeCell ref="G3:G5"/>
  </mergeCells>
  <conditionalFormatting sqref="AL1:AL1048576">
    <cfRule type="cellIs" priority="2" operator="equal" aboveAverage="0" equalAverage="0" bottom="0" percent="0" rank="0" text="" dxfId="0">
      <formula>"ERROR"</formula>
    </cfRule>
  </conditionalFormatting>
  <conditionalFormatting sqref="AL7">
    <cfRule type="cellIs" priority="3" operator="equal" aboveAverage="0" equalAverage="0" bottom="0" percent="0" rank="0" text="" dxfId="0">
      <formula>"error"</formula>
    </cfRule>
  </conditionalFormatting>
  <conditionalFormatting sqref="I7:T246">
    <cfRule type="cellIs" priority="4" operator="lessThan" aboveAverage="0" equalAverage="0" bottom="0" percent="0" rank="0" text="" dxfId="1">
      <formula>0</formula>
    </cfRule>
    <cfRule type="cellIs" priority="5" operator="greaterThan" aboveAverage="0" equalAverage="0" bottom="0" percent="0" rank="0" text="" dxfId="1">
      <formula>1</formula>
    </cfRule>
  </conditionalFormatting>
  <dataValidations count="2">
    <dataValidation allowBlank="true" errorStyle="stop" operator="between" showDropDown="false" showErrorMessage="true" showInputMessage="true" sqref="H7 K7 X7 Z7" type="list">
      <formula1>$BS$15:$BS$16</formula1>
      <formula2>0</formula2>
    </dataValidation>
    <dataValidation allowBlank="true" errorStyle="stop" operator="between" showDropDown="false" showErrorMessage="true" showInputMessage="true" sqref="Y7" type="list">
      <formula1>$BS$9:$BS$11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17" width="13.44"/>
    <col collapsed="false" customWidth="true" hidden="false" outlineLevel="0" max="2" min="2" style="17" width="8.34"/>
    <col collapsed="false" customWidth="true" hidden="false" outlineLevel="0" max="3" min="3" style="17" width="55"/>
    <col collapsed="false" customWidth="true" hidden="false" outlineLevel="0" max="4" min="4" style="341" width="14.33"/>
    <col collapsed="false" customWidth="true" hidden="false" outlineLevel="0" max="5" min="5" style="17" width="14.33"/>
    <col collapsed="false" customWidth="true" hidden="false" outlineLevel="0" max="7" min="6" style="17" width="19.33"/>
    <col collapsed="false" customWidth="true" hidden="false" outlineLevel="0" max="8" min="8" style="17" width="4.67"/>
    <col collapsed="false" customWidth="true" hidden="false" outlineLevel="0" max="9" min="9" style="18" width="24.44"/>
    <col collapsed="false" customWidth="true" hidden="false" outlineLevel="0" max="10" min="10" style="17" width="4.67"/>
    <col collapsed="false" customWidth="true" hidden="false" outlineLevel="0" max="22" min="11" style="146" width="13"/>
    <col collapsed="false" customWidth="true" hidden="false" outlineLevel="0" max="23" min="23" style="146" width="4.67"/>
    <col collapsed="false" customWidth="true" hidden="false" outlineLevel="0" max="38" min="24" style="146" width="13"/>
    <col collapsed="false" customWidth="true" hidden="false" outlineLevel="0" max="39" min="39" style="146" width="4.67"/>
    <col collapsed="false" customWidth="true" hidden="false" outlineLevel="0" max="40" min="40" style="146" width="13"/>
    <col collapsed="false" customWidth="false" hidden="false" outlineLevel="0" max="16384" min="41" style="17" width="8.88"/>
  </cols>
  <sheetData>
    <row r="1" s="22" customFormat="true" ht="15" hidden="false" customHeight="true" outlineLevel="0" collapsed="false">
      <c r="A1" s="238" t="s">
        <v>86</v>
      </c>
      <c r="B1" s="238"/>
      <c r="C1" s="238"/>
      <c r="D1" s="342"/>
      <c r="E1" s="239"/>
      <c r="F1" s="342"/>
      <c r="G1" s="342"/>
      <c r="H1" s="239"/>
      <c r="I1" s="406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40"/>
      <c r="AN1" s="239"/>
    </row>
    <row r="2" customFormat="false" ht="15" hidden="false" customHeight="true" outlineLevel="0" collapsed="false">
      <c r="I2" s="244" t="s">
        <v>212</v>
      </c>
      <c r="K2" s="244" t="s">
        <v>212</v>
      </c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AM2" s="246"/>
      <c r="AN2" s="246"/>
    </row>
    <row r="3" customFormat="false" ht="46.5" hidden="false" customHeight="true" outlineLevel="0" collapsed="false">
      <c r="A3" s="345" t="s">
        <v>263</v>
      </c>
      <c r="B3" s="345" t="s">
        <v>264</v>
      </c>
      <c r="C3" s="345" t="s">
        <v>265</v>
      </c>
      <c r="D3" s="345" t="s">
        <v>266</v>
      </c>
      <c r="E3" s="345" t="s">
        <v>267</v>
      </c>
      <c r="F3" s="345" t="s">
        <v>337</v>
      </c>
      <c r="G3" s="345" t="s">
        <v>269</v>
      </c>
      <c r="H3" s="395"/>
      <c r="I3" s="407" t="s">
        <v>398</v>
      </c>
      <c r="J3" s="395"/>
      <c r="K3" s="251" t="str">
        <f aca="false">IF(Summary!$B$15&gt;0,Summary!$B$15,"")</f>
        <v>Automated Document Intelligence Platform</v>
      </c>
      <c r="L3" s="251" t="str">
        <f aca="false">IF(Summary!$B$16&gt;0,Summary!$B$16,"")</f>
        <v>Real-Time Anomaly Detection Engine</v>
      </c>
      <c r="M3" s="251" t="str">
        <f aca="false">IF(Summary!$B$17&gt;0,Summary!$B$17,"")</f>
        <v>Natural Language Query Interface</v>
      </c>
      <c r="N3" s="251" t="str">
        <f aca="false">IF(Summary!$B$18&gt;0,Summary!$B$18,"")</f>
        <v>Predictive Maintenance ML Pipeline</v>
      </c>
      <c r="O3" s="251" t="str">
        <f aca="false">IF(Summary!$B$19&gt;0,Summary!$B$19,"")</f>
        <v>Privacy-Preserving Data Linkage</v>
      </c>
      <c r="P3" s="251" t="str">
        <f aca="false">IF(Summary!$B$20&gt;0,Summary!$B$20,"")</f>
        <v/>
      </c>
      <c r="Q3" s="251" t="str">
        <f aca="false">IF(Summary!$B$21&gt;0,Summary!$B$21,"")</f>
        <v/>
      </c>
      <c r="R3" s="251" t="str">
        <f aca="false">IF(Summary!$B$22&gt;0,Summary!$B$22,"")</f>
        <v/>
      </c>
      <c r="S3" s="251" t="str">
        <f aca="false">IF(Summary!$B$23&gt;0,Summary!$B$23,"")</f>
        <v/>
      </c>
      <c r="T3" s="251" t="str">
        <f aca="false">IF(Summary!$B$24&gt;0,Summary!$B$24,"")</f>
        <v/>
      </c>
      <c r="U3" s="251" t="str">
        <f aca="false">IF(Summary!$B$25&gt;0,Summary!$B$25,"")</f>
        <v/>
      </c>
      <c r="V3" s="251" t="str">
        <f aca="false">IF(Summary!$B$26&gt;0,Summary!$B$26,"")</f>
        <v/>
      </c>
      <c r="W3" s="252"/>
      <c r="X3" s="251" t="str">
        <f aca="false">IF(Summary!$B$15&gt;0,Summary!$B$15,"")</f>
        <v>Automated Document Intelligence Platform</v>
      </c>
      <c r="Y3" s="251" t="str">
        <f aca="false">IF(Summary!$B$16&gt;0,Summary!$B$16,"")</f>
        <v>Real-Time Anomaly Detection Engine</v>
      </c>
      <c r="Z3" s="251" t="str">
        <f aca="false">IF(Summary!$B$17&gt;0,Summary!$B$17,"")</f>
        <v>Natural Language Query Interface</v>
      </c>
      <c r="AA3" s="251" t="str">
        <f aca="false">IF(Summary!$B$18&gt;0,Summary!$B$18,"")</f>
        <v>Predictive Maintenance ML Pipeline</v>
      </c>
      <c r="AB3" s="251" t="str">
        <f aca="false">IF(Summary!$B$19&gt;0,Summary!$B$19,"")</f>
        <v>Privacy-Preserving Data Linkage</v>
      </c>
      <c r="AC3" s="251" t="str">
        <f aca="false">IF(Summary!$B$20&gt;0,Summary!$B$20,"")</f>
        <v/>
      </c>
      <c r="AD3" s="251" t="str">
        <f aca="false">IF(Summary!$B$21&gt;0,Summary!$B$21,"")</f>
        <v/>
      </c>
      <c r="AE3" s="251" t="str">
        <f aca="false">IF(Summary!$B$22&gt;0,Summary!$B$22,"")</f>
        <v/>
      </c>
      <c r="AF3" s="251" t="str">
        <f aca="false">IF(Summary!$B$23&gt;0,Summary!$B$23,"")</f>
        <v/>
      </c>
      <c r="AG3" s="251" t="str">
        <f aca="false">IF(Summary!$B$24&gt;0,Summary!$B$24,"")</f>
        <v/>
      </c>
      <c r="AH3" s="251" t="str">
        <f aca="false">IF(Summary!$B$25&gt;0,Summary!$B$25,"")</f>
        <v/>
      </c>
      <c r="AI3" s="251" t="str">
        <f aca="false">IF(Summary!$B$26&gt;0,Summary!$B$26,"")</f>
        <v/>
      </c>
      <c r="AJ3" s="251" t="s">
        <v>72</v>
      </c>
      <c r="AK3" s="251" t="s">
        <v>69</v>
      </c>
      <c r="AL3" s="251" t="s">
        <v>74</v>
      </c>
      <c r="AM3" s="249"/>
      <c r="AN3" s="251" t="s">
        <v>104</v>
      </c>
    </row>
    <row r="4" customFormat="false" ht="15" hidden="false" customHeight="true" outlineLevel="0" collapsed="false">
      <c r="A4" s="345"/>
      <c r="B4" s="345"/>
      <c r="C4" s="345"/>
      <c r="D4" s="345"/>
      <c r="E4" s="345"/>
      <c r="F4" s="345"/>
      <c r="G4" s="345"/>
      <c r="H4" s="395"/>
      <c r="I4" s="408"/>
      <c r="J4" s="395"/>
      <c r="K4" s="331" t="str">
        <f aca="false">IF(ISBLANK(Summary!$C$15),"", IF(Summary!$C$15="No", "SME", IF(AND(Summary!$C$15="Yes", Summary!$D$15="Yes"), "De Minimis", "RDEC")))</f>
        <v>SME</v>
      </c>
      <c r="L4" s="331" t="str">
        <f aca="false">IF(ISBLANK(Summary!$C$16),"", IF(Summary!$C$16="No", "SME", IF(AND(Summary!$C$16="Yes", Summary!$D$16="Yes"), "De Minimis", "RDEC")))</f>
        <v>SME</v>
      </c>
      <c r="M4" s="331" t="str">
        <f aca="false">IF(ISBLANK(Summary!$C$17),"", IF(Summary!$C$17="No", "SME", IF(AND(Summary!$C$17="Yes", Summary!$D$17="Yes"), "De Minimis", "RDEC")))</f>
        <v>SME</v>
      </c>
      <c r="N4" s="331" t="str">
        <f aca="false">IF(ISBLANK(Summary!$C$18),"", IF(Summary!$C$18="No", "SME", IF(AND(Summary!$C$18="Yes", Summary!$D$18="Yes"), "De Minimis", "RDEC")))</f>
        <v>RDEC</v>
      </c>
      <c r="O4" s="331" t="str">
        <f aca="false">IF(ISBLANK(Summary!$C$19),"", IF(Summary!$C$19="No", "SME", IF(AND(Summary!$C$19="Yes", Summary!$D$19="Yes"), "De Minimis", "RDEC")))</f>
        <v>SME</v>
      </c>
      <c r="P4" s="331" t="str">
        <f aca="false">IF(ISBLANK(Summary!$C$20),"", IF(Summary!$C$20="No", "SME", IF(AND(Summary!$C$20="Yes", Summary!$D$20="Yes"), "De Minimis", "RDEC")))</f>
        <v/>
      </c>
      <c r="Q4" s="331" t="str">
        <f aca="false">IF(ISBLANK(Summary!$C$21),"", IF(Summary!$C$21="No", "SME", IF(AND(Summary!$C$21="Yes", Summary!$D$21="Yes"), "De Minimis", "RDEC")))</f>
        <v/>
      </c>
      <c r="R4" s="331" t="str">
        <f aca="false">IF(ISBLANK(Summary!$C$22),"", IF(Summary!$C$22="No", "SME", IF(AND(Summary!$C$22="Yes", Summary!$D$22="Yes"), "De Minimis", "RDEC")))</f>
        <v/>
      </c>
      <c r="S4" s="331" t="str">
        <f aca="false">IF(ISBLANK(Summary!$C$23),"", IF(Summary!$C$23="No", "SME", IF(AND(Summary!$C$23="Yes", Summary!$D$23="Yes"), "De Minimis", "RDEC")))</f>
        <v/>
      </c>
      <c r="T4" s="331" t="str">
        <f aca="false">IF(ISBLANK(Summary!$C$24),"", IF(Summary!$C$24="No", "SME", IF(AND(Summary!$C$24="Yes", Summary!$D$24="Yes"), "De Minimis", "RDEC")))</f>
        <v/>
      </c>
      <c r="U4" s="331" t="str">
        <f aca="false">IF(ISBLANK(Summary!$C$25),"", IF(Summary!$C$25="No", "SME", IF(AND(Summary!$C$25="Yes", Summary!$D$25="Yes"), "De Minimis", "RDEC")))</f>
        <v/>
      </c>
      <c r="V4" s="331" t="str">
        <f aca="false">IF(ISBLANK(Summary!$C$26),"", IF(Summary!$C$26="No", "SME", IF(AND(Summary!$C$26="Yes", Summary!$D$26="Yes"), "De Minimis", "RDEC")))</f>
        <v/>
      </c>
      <c r="W4" s="252"/>
      <c r="X4" s="331" t="str">
        <f aca="false">IF(ISBLANK(Summary!$C$15),"", IF(Summary!$C$15="No", "SME", IF(AND(Summary!$C$15="Yes", Summary!$D$15="Yes"), "De Minimis", "RDEC")))</f>
        <v>SME</v>
      </c>
      <c r="Y4" s="331" t="str">
        <f aca="false">IF(ISBLANK(Summary!$C$16),"", IF(Summary!$C$16="No", "SME", IF(AND(Summary!$C$16="Yes", Summary!$D$16="Yes"), "De Minimis", "RDEC")))</f>
        <v>SME</v>
      </c>
      <c r="Z4" s="331" t="str">
        <f aca="false">IF(ISBLANK(Summary!$C$17),"", IF(Summary!$C$17="No", "SME", IF(AND(Summary!$C$17="Yes", Summary!$D$17="Yes"), "De Minimis", "RDEC")))</f>
        <v>SME</v>
      </c>
      <c r="AA4" s="331" t="str">
        <f aca="false">IF(ISBLANK(Summary!$C$18),"", IF(Summary!$C$18="No", "SME", IF(AND(Summary!$C$18="Yes", Summary!$D$18="Yes"), "De Minimis", "RDEC")))</f>
        <v>RDEC</v>
      </c>
      <c r="AB4" s="331" t="str">
        <f aca="false">IF(ISBLANK(Summary!$C$19),"", IF(Summary!$C$19="No", "SME", IF(AND(Summary!$C$19="Yes", Summary!$D$19="Yes"), "De Minimis", "RDEC")))</f>
        <v>SME</v>
      </c>
      <c r="AC4" s="331" t="str">
        <f aca="false">IF(ISBLANK(Summary!$C$20),"", IF(Summary!$C$20="No", "SME", IF(AND(Summary!$C$20="Yes", Summary!$D$20="Yes"), "De Minimis", "RDEC")))</f>
        <v/>
      </c>
      <c r="AD4" s="331" t="str">
        <f aca="false">IF(ISBLANK(Summary!$C$21),"", IF(Summary!$C$21="No", "SME", IF(AND(Summary!$C$21="Yes", Summary!$D$21="Yes"), "De Minimis", "RDEC")))</f>
        <v/>
      </c>
      <c r="AE4" s="331" t="str">
        <f aca="false">IF(ISBLANK(Summary!$C$22),"", IF(Summary!$C$22="No", "SME", IF(AND(Summary!$C$22="Yes", Summary!$D$22="Yes"), "De Minimis", "RDEC")))</f>
        <v/>
      </c>
      <c r="AF4" s="331" t="str">
        <f aca="false">IF(ISBLANK(Summary!$C$23),"", IF(Summary!$C$23="No", "SME", IF(AND(Summary!$C$23="Yes", Summary!$D$23="Yes"), "De Minimis", "RDEC")))</f>
        <v/>
      </c>
      <c r="AG4" s="331" t="str">
        <f aca="false">IF(ISBLANK(Summary!$C$24),"", IF(Summary!$C$24="No", "SME", IF(AND(Summary!$C$24="Yes", Summary!$D$24="Yes"), "De Minimis", "RDEC")))</f>
        <v/>
      </c>
      <c r="AH4" s="331" t="str">
        <f aca="false">IF(ISBLANK(Summary!$C$25),"", IF(Summary!$C$25="No", "SME", IF(AND(Summary!$C$25="Yes", Summary!$D$25="Yes"), "De Minimis", "RDEC")))</f>
        <v/>
      </c>
      <c r="AI4" s="331" t="str">
        <f aca="false">IF(ISBLANK(Summary!$C$26),"", IF(Summary!$C$26="No", "SME", IF(AND(Summary!$C$26="Yes", Summary!$D$26="Yes"), "De Minimis", "RDEC")))</f>
        <v/>
      </c>
      <c r="AJ4" s="258"/>
      <c r="AK4" s="258"/>
      <c r="AL4" s="258"/>
      <c r="AM4" s="252"/>
      <c r="AN4" s="258"/>
    </row>
    <row r="5" customFormat="false" ht="15" hidden="false" customHeight="true" outlineLevel="0" collapsed="false">
      <c r="A5" s="345"/>
      <c r="B5" s="345"/>
      <c r="C5" s="345"/>
      <c r="D5" s="345"/>
      <c r="E5" s="345"/>
      <c r="F5" s="345"/>
      <c r="G5" s="345"/>
      <c r="I5" s="409" t="s">
        <v>96</v>
      </c>
      <c r="K5" s="262" t="s">
        <v>229</v>
      </c>
      <c r="L5" s="262" t="s">
        <v>229</v>
      </c>
      <c r="M5" s="262" t="s">
        <v>229</v>
      </c>
      <c r="N5" s="262" t="s">
        <v>229</v>
      </c>
      <c r="O5" s="262" t="s">
        <v>229</v>
      </c>
      <c r="P5" s="262" t="s">
        <v>229</v>
      </c>
      <c r="Q5" s="262" t="s">
        <v>229</v>
      </c>
      <c r="R5" s="262" t="s">
        <v>229</v>
      </c>
      <c r="S5" s="262" t="s">
        <v>229</v>
      </c>
      <c r="T5" s="262" t="s">
        <v>229</v>
      </c>
      <c r="U5" s="262" t="s">
        <v>229</v>
      </c>
      <c r="V5" s="262" t="s">
        <v>229</v>
      </c>
      <c r="W5" s="259"/>
      <c r="X5" s="263" t="s">
        <v>230</v>
      </c>
      <c r="Y5" s="263" t="s">
        <v>230</v>
      </c>
      <c r="Z5" s="263" t="s">
        <v>230</v>
      </c>
      <c r="AA5" s="263" t="s">
        <v>230</v>
      </c>
      <c r="AB5" s="263" t="s">
        <v>230</v>
      </c>
      <c r="AC5" s="263" t="s">
        <v>230</v>
      </c>
      <c r="AD5" s="263" t="s">
        <v>230</v>
      </c>
      <c r="AE5" s="263" t="s">
        <v>230</v>
      </c>
      <c r="AF5" s="263" t="s">
        <v>230</v>
      </c>
      <c r="AG5" s="263" t="s">
        <v>230</v>
      </c>
      <c r="AH5" s="263" t="s">
        <v>230</v>
      </c>
      <c r="AI5" s="263" t="s">
        <v>230</v>
      </c>
      <c r="AJ5" s="264" t="s">
        <v>230</v>
      </c>
      <c r="AK5" s="264" t="s">
        <v>230</v>
      </c>
      <c r="AL5" s="264" t="s">
        <v>230</v>
      </c>
      <c r="AM5" s="259"/>
      <c r="AN5" s="265" t="s">
        <v>231</v>
      </c>
    </row>
    <row r="6" customFormat="false" ht="15" hidden="false" customHeight="true" outlineLevel="0" collapsed="false">
      <c r="I6" s="410"/>
      <c r="K6" s="283"/>
      <c r="L6" s="283"/>
      <c r="M6" s="283"/>
      <c r="N6" s="283"/>
      <c r="O6" s="283"/>
      <c r="P6" s="283"/>
      <c r="Q6" s="283"/>
      <c r="R6" s="283"/>
      <c r="S6" s="283"/>
      <c r="T6" s="283"/>
      <c r="U6" s="283"/>
      <c r="V6" s="283"/>
      <c r="W6" s="283"/>
      <c r="X6" s="283"/>
      <c r="Y6" s="283"/>
      <c r="Z6" s="283"/>
      <c r="AA6" s="283"/>
      <c r="AB6" s="283"/>
      <c r="AC6" s="283"/>
      <c r="AD6" s="283"/>
      <c r="AE6" s="283"/>
      <c r="AF6" s="283"/>
      <c r="AG6" s="283"/>
      <c r="AH6" s="283"/>
      <c r="AI6" s="283"/>
      <c r="AJ6" s="283"/>
      <c r="AK6" s="283"/>
      <c r="AL6" s="283"/>
      <c r="AM6" s="268"/>
      <c r="AN6" s="268"/>
    </row>
    <row r="7" customFormat="false" ht="7.5" hidden="false" customHeight="true" outlineLevel="0" collapsed="false">
      <c r="A7" s="411"/>
      <c r="E7" s="200"/>
      <c r="H7" s="350"/>
      <c r="I7" s="412"/>
      <c r="J7" s="350"/>
      <c r="K7" s="413"/>
      <c r="L7" s="413"/>
      <c r="M7" s="413"/>
      <c r="N7" s="413"/>
      <c r="O7" s="413"/>
      <c r="P7" s="413"/>
      <c r="Q7" s="413"/>
      <c r="R7" s="413"/>
      <c r="S7" s="413"/>
      <c r="T7" s="413"/>
      <c r="U7" s="413"/>
      <c r="V7" s="413"/>
      <c r="W7" s="283"/>
      <c r="X7" s="352"/>
      <c r="Y7" s="352"/>
      <c r="Z7" s="352"/>
      <c r="AA7" s="352"/>
      <c r="AB7" s="352"/>
      <c r="AC7" s="352"/>
      <c r="AD7" s="352"/>
      <c r="AE7" s="352"/>
      <c r="AF7" s="352"/>
      <c r="AG7" s="352"/>
      <c r="AH7" s="352"/>
      <c r="AI7" s="352"/>
      <c r="AJ7" s="353"/>
      <c r="AK7" s="353"/>
      <c r="AL7" s="353"/>
      <c r="AM7" s="287"/>
      <c r="AN7" s="354"/>
    </row>
    <row r="8" customFormat="false" ht="15" hidden="false" customHeight="true" outlineLevel="0" collapsed="false">
      <c r="A8" s="411" t="n">
        <v>45311</v>
      </c>
      <c r="B8" s="17" t="s">
        <v>308</v>
      </c>
      <c r="C8" s="17" t="s">
        <v>399</v>
      </c>
      <c r="D8" s="341" t="s">
        <v>400</v>
      </c>
      <c r="E8" s="200" t="n">
        <v>8500</v>
      </c>
      <c r="F8" s="17" t="n">
        <v>7500</v>
      </c>
      <c r="H8" s="350"/>
      <c r="I8" s="414" t="s">
        <v>249</v>
      </c>
      <c r="J8" s="350"/>
      <c r="K8" s="415" t="n">
        <v>0.6</v>
      </c>
      <c r="L8" s="415"/>
      <c r="M8" s="415" t="n">
        <v>0.3</v>
      </c>
      <c r="N8" s="415" t="n">
        <v>0.1</v>
      </c>
      <c r="O8" s="415"/>
      <c r="P8" s="415"/>
      <c r="Q8" s="415"/>
      <c r="R8" s="415"/>
      <c r="S8" s="415"/>
      <c r="T8" s="415"/>
      <c r="U8" s="415"/>
      <c r="V8" s="415"/>
      <c r="W8" s="283"/>
      <c r="X8" s="284" t="n">
        <f aca="false">IFERROR(K8*$E8, "")</f>
        <v>5100</v>
      </c>
      <c r="Y8" s="284" t="n">
        <f aca="false">IFERROR(L8*$E8, "")</f>
        <v>0</v>
      </c>
      <c r="Z8" s="284" t="n">
        <f aca="false">IFERROR(M8*$E8, "")</f>
        <v>2550</v>
      </c>
      <c r="AA8" s="284" t="n">
        <f aca="false">IFERROR(N8*$E8, "")</f>
        <v>850</v>
      </c>
      <c r="AB8" s="284" t="n">
        <f aca="false">IFERROR(O8*$E8, "")</f>
        <v>0</v>
      </c>
      <c r="AC8" s="284" t="n">
        <f aca="false">IFERROR(P8*$E8, "")</f>
        <v>0</v>
      </c>
      <c r="AD8" s="284" t="n">
        <f aca="false">IFERROR(Q8*$E8, "")</f>
        <v>0</v>
      </c>
      <c r="AE8" s="284" t="n">
        <f aca="false">IFERROR(R8*$E8, "")</f>
        <v>0</v>
      </c>
      <c r="AF8" s="284" t="n">
        <f aca="false">IFERROR(S8*$E8, "")</f>
        <v>0</v>
      </c>
      <c r="AG8" s="284" t="n">
        <f aca="false">IFERROR(T8*$E8, "")</f>
        <v>0</v>
      </c>
      <c r="AH8" s="284" t="n">
        <f aca="false">IFERROR(U8*$E8, "")</f>
        <v>0</v>
      </c>
      <c r="AI8" s="284" t="n">
        <f aca="false">IFERROR(V8*$E8, "")</f>
        <v>0</v>
      </c>
      <c r="AJ8" s="286" t="n">
        <f aca="false">IFERROR(SUMIF($X$4:$AI$4, "RDEC", X8:AI8), "")</f>
        <v>850</v>
      </c>
      <c r="AK8" s="286" t="n">
        <f aca="false">IFERROR(SUMIF($X$4:$AI$4, "SME", X8:AI8), "")</f>
        <v>7650</v>
      </c>
      <c r="AL8" s="286" t="n">
        <f aca="false">IFERROR(SUMIF($X$4:$AI$4, "De Minimis", X8:AI8), "")</f>
        <v>0</v>
      </c>
      <c r="AM8" s="287"/>
      <c r="AN8" s="288" t="str">
        <f aca="false">IF((SUM(K8:V8)&gt;1),"ERROR","")</f>
        <v/>
      </c>
    </row>
    <row r="9" customFormat="false" ht="15" hidden="false" customHeight="true" outlineLevel="0" collapsed="false">
      <c r="A9" s="411" t="n">
        <v>45366</v>
      </c>
      <c r="B9" s="17" t="s">
        <v>308</v>
      </c>
      <c r="C9" s="17" t="s">
        <v>401</v>
      </c>
      <c r="D9" s="341" t="s">
        <v>402</v>
      </c>
      <c r="E9" s="200" t="n">
        <v>2400</v>
      </c>
      <c r="F9" s="17" t="n">
        <v>7501</v>
      </c>
      <c r="H9" s="350"/>
      <c r="I9" s="414" t="s">
        <v>403</v>
      </c>
      <c r="J9" s="350"/>
      <c r="K9" s="415" t="n">
        <v>0.25</v>
      </c>
      <c r="L9" s="415" t="n">
        <v>0.25</v>
      </c>
      <c r="M9" s="415" t="n">
        <v>0.25</v>
      </c>
      <c r="N9" s="415"/>
      <c r="O9" s="415" t="n">
        <v>0.25</v>
      </c>
      <c r="P9" s="415"/>
      <c r="Q9" s="415"/>
      <c r="R9" s="415"/>
      <c r="S9" s="415"/>
      <c r="T9" s="415"/>
      <c r="U9" s="415"/>
      <c r="V9" s="415"/>
      <c r="W9" s="283"/>
      <c r="X9" s="284" t="n">
        <f aca="false">IFERROR(K9*$E9, "")</f>
        <v>600</v>
      </c>
      <c r="Y9" s="284" t="n">
        <f aca="false">IFERROR(L9*$E9, "")</f>
        <v>600</v>
      </c>
      <c r="Z9" s="284" t="n">
        <f aca="false">IFERROR(M9*$E9, "")</f>
        <v>600</v>
      </c>
      <c r="AA9" s="284" t="n">
        <f aca="false">IFERROR(N9*$E9, "")</f>
        <v>0</v>
      </c>
      <c r="AB9" s="284" t="n">
        <f aca="false">IFERROR(O9*$E9, "")</f>
        <v>600</v>
      </c>
      <c r="AC9" s="284" t="n">
        <f aca="false">IFERROR(P9*$E9, "")</f>
        <v>0</v>
      </c>
      <c r="AD9" s="284" t="n">
        <f aca="false">IFERROR(Q9*$E9, "")</f>
        <v>0</v>
      </c>
      <c r="AE9" s="284" t="n">
        <f aca="false">IFERROR(R9*$E9, "")</f>
        <v>0</v>
      </c>
      <c r="AF9" s="284" t="n">
        <f aca="false">IFERROR(S9*$E9, "")</f>
        <v>0</v>
      </c>
      <c r="AG9" s="284" t="n">
        <f aca="false">IFERROR(T9*$E9, "")</f>
        <v>0</v>
      </c>
      <c r="AH9" s="284" t="n">
        <f aca="false">IFERROR(U9*$E9, "")</f>
        <v>0</v>
      </c>
      <c r="AI9" s="284" t="n">
        <f aca="false">IFERROR(V9*$E9, "")</f>
        <v>0</v>
      </c>
      <c r="AJ9" s="286" t="n">
        <f aca="false">IFERROR(SUMIF($X$4:$AI$4, "RDEC", X9:AI9), "")</f>
        <v>0</v>
      </c>
      <c r="AK9" s="286" t="n">
        <f aca="false">IFERROR(SUMIF($X$4:$AI$4, "SME", X9:AI9), "")</f>
        <v>2400</v>
      </c>
      <c r="AL9" s="286" t="n">
        <f aca="false">IFERROR(SUMIF($X$4:$AI$4, "De Minimis", X9:AI9), "")</f>
        <v>0</v>
      </c>
      <c r="AM9" s="287"/>
      <c r="AN9" s="288" t="str">
        <f aca="false">IF((SUM(K9:V9)&gt;1),"ERROR","")</f>
        <v/>
      </c>
    </row>
    <row r="10" customFormat="false" ht="15" hidden="false" customHeight="true" outlineLevel="0" collapsed="false">
      <c r="A10" s="411" t="n">
        <v>45422</v>
      </c>
      <c r="B10" s="17" t="s">
        <v>308</v>
      </c>
      <c r="C10" s="17" t="s">
        <v>404</v>
      </c>
      <c r="D10" s="341" t="s">
        <v>405</v>
      </c>
      <c r="E10" s="200" t="n">
        <v>3000</v>
      </c>
      <c r="F10" s="17" t="n">
        <v>7502</v>
      </c>
      <c r="H10" s="350"/>
      <c r="I10" s="414" t="s">
        <v>247</v>
      </c>
      <c r="J10" s="350"/>
      <c r="K10" s="415" t="n">
        <v>0.15</v>
      </c>
      <c r="L10" s="415" t="n">
        <v>0.2</v>
      </c>
      <c r="M10" s="415"/>
      <c r="N10" s="415" t="n">
        <v>0.15</v>
      </c>
      <c r="O10" s="415" t="n">
        <v>0.4</v>
      </c>
      <c r="P10" s="415"/>
      <c r="Q10" s="415"/>
      <c r="R10" s="415"/>
      <c r="S10" s="415"/>
      <c r="T10" s="415"/>
      <c r="U10" s="415"/>
      <c r="V10" s="415"/>
      <c r="W10" s="283"/>
      <c r="X10" s="284" t="n">
        <f aca="false">IFERROR(K10*$E10, "")</f>
        <v>450</v>
      </c>
      <c r="Y10" s="284" t="n">
        <f aca="false">IFERROR(L10*$E10, "")</f>
        <v>600</v>
      </c>
      <c r="Z10" s="284" t="n">
        <f aca="false">IFERROR(M10*$E10, "")</f>
        <v>0</v>
      </c>
      <c r="AA10" s="284" t="n">
        <f aca="false">IFERROR(N10*$E10, "")</f>
        <v>450</v>
      </c>
      <c r="AB10" s="284" t="n">
        <f aca="false">IFERROR(O10*$E10, "")</f>
        <v>1200</v>
      </c>
      <c r="AC10" s="284" t="n">
        <f aca="false">IFERROR(P10*$E10, "")</f>
        <v>0</v>
      </c>
      <c r="AD10" s="284" t="n">
        <f aca="false">IFERROR(Q10*$E10, "")</f>
        <v>0</v>
      </c>
      <c r="AE10" s="284" t="n">
        <f aca="false">IFERROR(R10*$E10, "")</f>
        <v>0</v>
      </c>
      <c r="AF10" s="284" t="n">
        <f aca="false">IFERROR(S10*$E10, "")</f>
        <v>0</v>
      </c>
      <c r="AG10" s="284" t="n">
        <f aca="false">IFERROR(T10*$E10, "")</f>
        <v>0</v>
      </c>
      <c r="AH10" s="284" t="n">
        <f aca="false">IFERROR(U10*$E10, "")</f>
        <v>0</v>
      </c>
      <c r="AI10" s="284" t="n">
        <f aca="false">IFERROR(V10*$E10, "")</f>
        <v>0</v>
      </c>
      <c r="AJ10" s="286" t="n">
        <f aca="false">IFERROR(SUMIF($X$4:$AI$4, "RDEC", X10:AI10), "")</f>
        <v>450</v>
      </c>
      <c r="AK10" s="286" t="n">
        <f aca="false">IFERROR(SUMIF($X$4:$AI$4, "SME", X10:AI10), "")</f>
        <v>2250</v>
      </c>
      <c r="AL10" s="286" t="n">
        <f aca="false">IFERROR(SUMIF($X$4:$AI$4, "De Minimis", X10:AI10), "")</f>
        <v>0</v>
      </c>
      <c r="AM10" s="287"/>
      <c r="AN10" s="288" t="str">
        <f aca="false">IF((SUM(K10:V10)&gt;1),"ERROR","")</f>
        <v/>
      </c>
    </row>
    <row r="11" customFormat="false" ht="15" hidden="false" customHeight="true" outlineLevel="0" collapsed="false">
      <c r="A11" s="411" t="n">
        <v>45536</v>
      </c>
      <c r="B11" s="17" t="s">
        <v>308</v>
      </c>
      <c r="C11" s="17" t="s">
        <v>406</v>
      </c>
      <c r="D11" s="341" t="s">
        <v>407</v>
      </c>
      <c r="E11" s="200" t="n">
        <v>1800</v>
      </c>
      <c r="F11" s="17" t="n">
        <v>7503</v>
      </c>
      <c r="H11" s="350"/>
      <c r="I11" s="414" t="s">
        <v>408</v>
      </c>
      <c r="J11" s="350"/>
      <c r="K11" s="415" t="n">
        <v>0.3</v>
      </c>
      <c r="L11" s="415" t="n">
        <v>0.3</v>
      </c>
      <c r="M11" s="415" t="n">
        <v>0.2</v>
      </c>
      <c r="N11" s="415"/>
      <c r="O11" s="415" t="n">
        <v>0.2</v>
      </c>
      <c r="P11" s="415"/>
      <c r="Q11" s="415"/>
      <c r="R11" s="415"/>
      <c r="S11" s="415"/>
      <c r="T11" s="415"/>
      <c r="U11" s="415"/>
      <c r="V11" s="415"/>
      <c r="W11" s="283"/>
      <c r="X11" s="284" t="n">
        <f aca="false">IFERROR(K11*$E11, "")</f>
        <v>540</v>
      </c>
      <c r="Y11" s="284" t="n">
        <f aca="false">IFERROR(L11*$E11, "")</f>
        <v>540</v>
      </c>
      <c r="Z11" s="284" t="n">
        <f aca="false">IFERROR(M11*$E11, "")</f>
        <v>360</v>
      </c>
      <c r="AA11" s="284" t="n">
        <f aca="false">IFERROR(N11*$E11, "")</f>
        <v>0</v>
      </c>
      <c r="AB11" s="284" t="n">
        <f aca="false">IFERROR(O11*$E11, "")</f>
        <v>360</v>
      </c>
      <c r="AC11" s="284" t="n">
        <f aca="false">IFERROR(P11*$E11, "")</f>
        <v>0</v>
      </c>
      <c r="AD11" s="284" t="n">
        <f aca="false">IFERROR(Q11*$E11, "")</f>
        <v>0</v>
      </c>
      <c r="AE11" s="284" t="n">
        <f aca="false">IFERROR(R11*$E11, "")</f>
        <v>0</v>
      </c>
      <c r="AF11" s="284" t="n">
        <f aca="false">IFERROR(S11*$E11, "")</f>
        <v>0</v>
      </c>
      <c r="AG11" s="284" t="n">
        <f aca="false">IFERROR(T11*$E11, "")</f>
        <v>0</v>
      </c>
      <c r="AH11" s="284" t="n">
        <f aca="false">IFERROR(U11*$E11, "")</f>
        <v>0</v>
      </c>
      <c r="AI11" s="284" t="n">
        <f aca="false">IFERROR(V11*$E11, "")</f>
        <v>0</v>
      </c>
      <c r="AJ11" s="286" t="n">
        <f aca="false">IFERROR(SUMIF($X$4:$AI$4, "RDEC", X11:AI11), "")</f>
        <v>0</v>
      </c>
      <c r="AK11" s="286" t="n">
        <f aca="false">IFERROR(SUMIF($X$4:$AI$4, "SME", X11:AI11), "")</f>
        <v>1800</v>
      </c>
      <c r="AL11" s="286" t="n">
        <f aca="false">IFERROR(SUMIF($X$4:$AI$4, "De Minimis", X11:AI11), "")</f>
        <v>0</v>
      </c>
      <c r="AM11" s="287"/>
      <c r="AN11" s="288" t="str">
        <f aca="false">IF((SUM(K11:V11)&gt;1),"ERROR","")</f>
        <v/>
      </c>
    </row>
    <row r="12" customFormat="false" ht="15" hidden="false" customHeight="true" outlineLevel="0" collapsed="false">
      <c r="A12" s="411"/>
      <c r="E12" s="200"/>
      <c r="H12" s="350"/>
      <c r="I12" s="414"/>
      <c r="J12" s="350"/>
      <c r="K12" s="415"/>
      <c r="L12" s="415"/>
      <c r="M12" s="415"/>
      <c r="N12" s="415"/>
      <c r="O12" s="415"/>
      <c r="P12" s="415"/>
      <c r="Q12" s="415"/>
      <c r="R12" s="415"/>
      <c r="S12" s="415"/>
      <c r="T12" s="415"/>
      <c r="U12" s="415"/>
      <c r="V12" s="415"/>
      <c r="W12" s="283"/>
      <c r="X12" s="284" t="n">
        <f aca="false">IFERROR(K12*$E12, "")</f>
        <v>0</v>
      </c>
      <c r="Y12" s="284" t="n">
        <f aca="false">IFERROR(L12*$E12, "")</f>
        <v>0</v>
      </c>
      <c r="Z12" s="284" t="n">
        <f aca="false">IFERROR(M12*$E12, "")</f>
        <v>0</v>
      </c>
      <c r="AA12" s="284" t="n">
        <f aca="false">IFERROR(N12*$E12, "")</f>
        <v>0</v>
      </c>
      <c r="AB12" s="284" t="n">
        <f aca="false">IFERROR(O12*$E12, "")</f>
        <v>0</v>
      </c>
      <c r="AC12" s="284" t="n">
        <f aca="false">IFERROR(P12*$E12, "")</f>
        <v>0</v>
      </c>
      <c r="AD12" s="284" t="n">
        <f aca="false">IFERROR(Q12*$E12, "")</f>
        <v>0</v>
      </c>
      <c r="AE12" s="284" t="n">
        <f aca="false">IFERROR(R12*$E12, "")</f>
        <v>0</v>
      </c>
      <c r="AF12" s="284" t="n">
        <f aca="false">IFERROR(S12*$E12, "")</f>
        <v>0</v>
      </c>
      <c r="AG12" s="284" t="n">
        <f aca="false">IFERROR(T12*$E12, "")</f>
        <v>0</v>
      </c>
      <c r="AH12" s="284" t="n">
        <f aca="false">IFERROR(U12*$E12, "")</f>
        <v>0</v>
      </c>
      <c r="AI12" s="284" t="n">
        <f aca="false">IFERROR(V12*$E12, "")</f>
        <v>0</v>
      </c>
      <c r="AJ12" s="286" t="n">
        <f aca="false">IFERROR(SUMIF($X$4:$AI$4, "RDEC", X12:AI12), "")</f>
        <v>0</v>
      </c>
      <c r="AK12" s="286" t="n">
        <f aca="false">IFERROR(SUMIF($X$4:$AI$4, "SME", X12:AI12), "")</f>
        <v>0</v>
      </c>
      <c r="AL12" s="286" t="n">
        <f aca="false">IFERROR(SUMIF($X$4:$AI$4, "De Minimis", X12:AI12), "")</f>
        <v>0</v>
      </c>
      <c r="AM12" s="287"/>
      <c r="AN12" s="288" t="str">
        <f aca="false">IF((SUM(K12:V12)&gt;1),"ERROR","")</f>
        <v/>
      </c>
    </row>
    <row r="13" customFormat="false" ht="15" hidden="false" customHeight="true" outlineLevel="0" collapsed="false">
      <c r="A13" s="411"/>
      <c r="E13" s="200"/>
      <c r="H13" s="350"/>
      <c r="I13" s="414"/>
      <c r="J13" s="350"/>
      <c r="K13" s="415"/>
      <c r="L13" s="415"/>
      <c r="M13" s="415"/>
      <c r="N13" s="415"/>
      <c r="O13" s="415"/>
      <c r="P13" s="415"/>
      <c r="Q13" s="415"/>
      <c r="R13" s="415"/>
      <c r="S13" s="415"/>
      <c r="T13" s="415"/>
      <c r="U13" s="415"/>
      <c r="V13" s="415"/>
      <c r="W13" s="283"/>
      <c r="X13" s="284" t="n">
        <f aca="false">IFERROR(K13*$E13, "")</f>
        <v>0</v>
      </c>
      <c r="Y13" s="284" t="n">
        <f aca="false">IFERROR(L13*$E13, "")</f>
        <v>0</v>
      </c>
      <c r="Z13" s="284" t="n">
        <f aca="false">IFERROR(M13*$E13, "")</f>
        <v>0</v>
      </c>
      <c r="AA13" s="284" t="n">
        <f aca="false">IFERROR(N13*$E13, "")</f>
        <v>0</v>
      </c>
      <c r="AB13" s="284" t="n">
        <f aca="false">IFERROR(O13*$E13, "")</f>
        <v>0</v>
      </c>
      <c r="AC13" s="284" t="n">
        <f aca="false">IFERROR(P13*$E13, "")</f>
        <v>0</v>
      </c>
      <c r="AD13" s="284" t="n">
        <f aca="false">IFERROR(Q13*$E13, "")</f>
        <v>0</v>
      </c>
      <c r="AE13" s="284" t="n">
        <f aca="false">IFERROR(R13*$E13, "")</f>
        <v>0</v>
      </c>
      <c r="AF13" s="284" t="n">
        <f aca="false">IFERROR(S13*$E13, "")</f>
        <v>0</v>
      </c>
      <c r="AG13" s="284" t="n">
        <f aca="false">IFERROR(T13*$E13, "")</f>
        <v>0</v>
      </c>
      <c r="AH13" s="284" t="n">
        <f aca="false">IFERROR(U13*$E13, "")</f>
        <v>0</v>
      </c>
      <c r="AI13" s="284" t="n">
        <f aca="false">IFERROR(V13*$E13, "")</f>
        <v>0</v>
      </c>
      <c r="AJ13" s="286" t="n">
        <f aca="false">IFERROR(SUMIF($X$4:$AI$4, "RDEC", X13:AI13), "")</f>
        <v>0</v>
      </c>
      <c r="AK13" s="286" t="n">
        <f aca="false">IFERROR(SUMIF($X$4:$AI$4, "SME", X13:AI13), "")</f>
        <v>0</v>
      </c>
      <c r="AL13" s="286" t="n">
        <f aca="false">IFERROR(SUMIF($X$4:$AI$4, "De Minimis", X13:AI13), "")</f>
        <v>0</v>
      </c>
      <c r="AM13" s="287"/>
      <c r="AN13" s="288" t="str">
        <f aca="false">IF((SUM(K13:V13)&gt;1),"ERROR","")</f>
        <v/>
      </c>
    </row>
    <row r="14" customFormat="false" ht="15" hidden="false" customHeight="true" outlineLevel="0" collapsed="false">
      <c r="A14" s="411"/>
      <c r="E14" s="200"/>
      <c r="H14" s="350"/>
      <c r="I14" s="414"/>
      <c r="J14" s="350"/>
      <c r="K14" s="415"/>
      <c r="L14" s="415"/>
      <c r="M14" s="415"/>
      <c r="N14" s="415"/>
      <c r="O14" s="415"/>
      <c r="P14" s="415"/>
      <c r="Q14" s="415"/>
      <c r="R14" s="415"/>
      <c r="S14" s="415"/>
      <c r="T14" s="415"/>
      <c r="U14" s="415"/>
      <c r="V14" s="415"/>
      <c r="W14" s="283"/>
      <c r="X14" s="284" t="n">
        <f aca="false">IFERROR(K14*$E14, "")</f>
        <v>0</v>
      </c>
      <c r="Y14" s="284" t="n">
        <f aca="false">IFERROR(L14*$E14, "")</f>
        <v>0</v>
      </c>
      <c r="Z14" s="284" t="n">
        <f aca="false">IFERROR(M14*$E14, "")</f>
        <v>0</v>
      </c>
      <c r="AA14" s="284" t="n">
        <f aca="false">IFERROR(N14*$E14, "")</f>
        <v>0</v>
      </c>
      <c r="AB14" s="284" t="n">
        <f aca="false">IFERROR(O14*$E14, "")</f>
        <v>0</v>
      </c>
      <c r="AC14" s="284" t="n">
        <f aca="false">IFERROR(P14*$E14, "")</f>
        <v>0</v>
      </c>
      <c r="AD14" s="284" t="n">
        <f aca="false">IFERROR(Q14*$E14, "")</f>
        <v>0</v>
      </c>
      <c r="AE14" s="284" t="n">
        <f aca="false">IFERROR(R14*$E14, "")</f>
        <v>0</v>
      </c>
      <c r="AF14" s="284" t="n">
        <f aca="false">IFERROR(S14*$E14, "")</f>
        <v>0</v>
      </c>
      <c r="AG14" s="284" t="n">
        <f aca="false">IFERROR(T14*$E14, "")</f>
        <v>0</v>
      </c>
      <c r="AH14" s="284" t="n">
        <f aca="false">IFERROR(U14*$E14, "")</f>
        <v>0</v>
      </c>
      <c r="AI14" s="284" t="n">
        <f aca="false">IFERROR(V14*$E14, "")</f>
        <v>0</v>
      </c>
      <c r="AJ14" s="286" t="n">
        <f aca="false">IFERROR(SUMIF($X$4:$AI$4, "RDEC", X14:AI14), "")</f>
        <v>0</v>
      </c>
      <c r="AK14" s="286" t="n">
        <f aca="false">IFERROR(SUMIF($X$4:$AI$4, "SME", X14:AI14), "")</f>
        <v>0</v>
      </c>
      <c r="AL14" s="286" t="n">
        <f aca="false">IFERROR(SUMIF($X$4:$AI$4, "De Minimis", X14:AI14), "")</f>
        <v>0</v>
      </c>
      <c r="AM14" s="287"/>
      <c r="AN14" s="288" t="str">
        <f aca="false">IF((SUM(K14:V14)&gt;1),"ERROR","")</f>
        <v/>
      </c>
    </row>
    <row r="15" customFormat="false" ht="15" hidden="false" customHeight="true" outlineLevel="0" collapsed="false">
      <c r="A15" s="411"/>
      <c r="E15" s="200"/>
      <c r="H15" s="350"/>
      <c r="I15" s="414"/>
      <c r="J15" s="350"/>
      <c r="K15" s="415"/>
      <c r="L15" s="415"/>
      <c r="M15" s="415"/>
      <c r="N15" s="415"/>
      <c r="O15" s="415"/>
      <c r="P15" s="415"/>
      <c r="Q15" s="415"/>
      <c r="R15" s="415"/>
      <c r="S15" s="415"/>
      <c r="T15" s="415"/>
      <c r="U15" s="415"/>
      <c r="V15" s="415"/>
      <c r="W15" s="283"/>
      <c r="X15" s="284" t="n">
        <f aca="false">IFERROR(K15*$E15, "")</f>
        <v>0</v>
      </c>
      <c r="Y15" s="284" t="n">
        <f aca="false">IFERROR(L15*$E15, "")</f>
        <v>0</v>
      </c>
      <c r="Z15" s="284" t="n">
        <f aca="false">IFERROR(M15*$E15, "")</f>
        <v>0</v>
      </c>
      <c r="AA15" s="284" t="n">
        <f aca="false">IFERROR(N15*$E15, "")</f>
        <v>0</v>
      </c>
      <c r="AB15" s="284" t="n">
        <f aca="false">IFERROR(O15*$E15, "")</f>
        <v>0</v>
      </c>
      <c r="AC15" s="284" t="n">
        <f aca="false">IFERROR(P15*$E15, "")</f>
        <v>0</v>
      </c>
      <c r="AD15" s="284" t="n">
        <f aca="false">IFERROR(Q15*$E15, "")</f>
        <v>0</v>
      </c>
      <c r="AE15" s="284" t="n">
        <f aca="false">IFERROR(R15*$E15, "")</f>
        <v>0</v>
      </c>
      <c r="AF15" s="284" t="n">
        <f aca="false">IFERROR(S15*$E15, "")</f>
        <v>0</v>
      </c>
      <c r="AG15" s="284" t="n">
        <f aca="false">IFERROR(T15*$E15, "")</f>
        <v>0</v>
      </c>
      <c r="AH15" s="284" t="n">
        <f aca="false">IFERROR(U15*$E15, "")</f>
        <v>0</v>
      </c>
      <c r="AI15" s="284" t="n">
        <f aca="false">IFERROR(V15*$E15, "")</f>
        <v>0</v>
      </c>
      <c r="AJ15" s="286" t="n">
        <f aca="false">IFERROR(SUMIF($X$4:$AI$4, "RDEC", X15:AI15), "")</f>
        <v>0</v>
      </c>
      <c r="AK15" s="286" t="n">
        <f aca="false">IFERROR(SUMIF($X$4:$AI$4, "SME", X15:AI15), "")</f>
        <v>0</v>
      </c>
      <c r="AL15" s="286" t="n">
        <f aca="false">IFERROR(SUMIF($X$4:$AI$4, "De Minimis", X15:AI15), "")</f>
        <v>0</v>
      </c>
      <c r="AM15" s="287"/>
      <c r="AN15" s="288" t="str">
        <f aca="false">IF((SUM(K15:V15)&gt;1),"ERROR","")</f>
        <v/>
      </c>
    </row>
    <row r="16" customFormat="false" ht="15" hidden="false" customHeight="true" outlineLevel="0" collapsed="false">
      <c r="A16" s="411"/>
      <c r="E16" s="200"/>
      <c r="H16" s="350"/>
      <c r="I16" s="414"/>
      <c r="J16" s="350"/>
      <c r="K16" s="415"/>
      <c r="L16" s="415"/>
      <c r="M16" s="415"/>
      <c r="N16" s="415"/>
      <c r="O16" s="415"/>
      <c r="P16" s="415"/>
      <c r="Q16" s="415"/>
      <c r="R16" s="415"/>
      <c r="S16" s="415"/>
      <c r="T16" s="415"/>
      <c r="U16" s="415"/>
      <c r="V16" s="415"/>
      <c r="W16" s="283"/>
      <c r="X16" s="284" t="n">
        <f aca="false">IFERROR(K16*$E16, "")</f>
        <v>0</v>
      </c>
      <c r="Y16" s="284" t="n">
        <f aca="false">IFERROR(L16*$E16, "")</f>
        <v>0</v>
      </c>
      <c r="Z16" s="284" t="n">
        <f aca="false">IFERROR(M16*$E16, "")</f>
        <v>0</v>
      </c>
      <c r="AA16" s="284" t="n">
        <f aca="false">IFERROR(N16*$E16, "")</f>
        <v>0</v>
      </c>
      <c r="AB16" s="284" t="n">
        <f aca="false">IFERROR(O16*$E16, "")</f>
        <v>0</v>
      </c>
      <c r="AC16" s="284" t="n">
        <f aca="false">IFERROR(P16*$E16, "")</f>
        <v>0</v>
      </c>
      <c r="AD16" s="284" t="n">
        <f aca="false">IFERROR(Q16*$E16, "")</f>
        <v>0</v>
      </c>
      <c r="AE16" s="284" t="n">
        <f aca="false">IFERROR(R16*$E16, "")</f>
        <v>0</v>
      </c>
      <c r="AF16" s="284" t="n">
        <f aca="false">IFERROR(S16*$E16, "")</f>
        <v>0</v>
      </c>
      <c r="AG16" s="284" t="n">
        <f aca="false">IFERROR(T16*$E16, "")</f>
        <v>0</v>
      </c>
      <c r="AH16" s="284" t="n">
        <f aca="false">IFERROR(U16*$E16, "")</f>
        <v>0</v>
      </c>
      <c r="AI16" s="284" t="n">
        <f aca="false">IFERROR(V16*$E16, "")</f>
        <v>0</v>
      </c>
      <c r="AJ16" s="286" t="n">
        <f aca="false">IFERROR(SUMIF($X$4:$AI$4, "RDEC", X16:AI16), "")</f>
        <v>0</v>
      </c>
      <c r="AK16" s="286" t="n">
        <f aca="false">IFERROR(SUMIF($X$4:$AI$4, "SME", X16:AI16), "")</f>
        <v>0</v>
      </c>
      <c r="AL16" s="286" t="n">
        <f aca="false">IFERROR(SUMIF($X$4:$AI$4, "De Minimis", X16:AI16), "")</f>
        <v>0</v>
      </c>
      <c r="AM16" s="287"/>
      <c r="AN16" s="288" t="str">
        <f aca="false">IF((SUM(K16:V16)&gt;1),"ERROR","")</f>
        <v/>
      </c>
    </row>
    <row r="17" customFormat="false" ht="15" hidden="false" customHeight="true" outlineLevel="0" collapsed="false">
      <c r="A17" s="411"/>
      <c r="E17" s="200"/>
      <c r="H17" s="350"/>
      <c r="I17" s="414"/>
      <c r="J17" s="350"/>
      <c r="K17" s="415"/>
      <c r="L17" s="415"/>
      <c r="M17" s="415"/>
      <c r="N17" s="415"/>
      <c r="O17" s="415"/>
      <c r="P17" s="415"/>
      <c r="Q17" s="415"/>
      <c r="R17" s="415"/>
      <c r="S17" s="415"/>
      <c r="T17" s="415"/>
      <c r="U17" s="415"/>
      <c r="V17" s="415"/>
      <c r="W17" s="283"/>
      <c r="X17" s="284" t="n">
        <f aca="false">IFERROR(K17*$E17, "")</f>
        <v>0</v>
      </c>
      <c r="Y17" s="284" t="n">
        <f aca="false">IFERROR(L17*$E17, "")</f>
        <v>0</v>
      </c>
      <c r="Z17" s="284" t="n">
        <f aca="false">IFERROR(M17*$E17, "")</f>
        <v>0</v>
      </c>
      <c r="AA17" s="284" t="n">
        <f aca="false">IFERROR(N17*$E17, "")</f>
        <v>0</v>
      </c>
      <c r="AB17" s="284" t="n">
        <f aca="false">IFERROR(O17*$E17, "")</f>
        <v>0</v>
      </c>
      <c r="AC17" s="284" t="n">
        <f aca="false">IFERROR(P17*$E17, "")</f>
        <v>0</v>
      </c>
      <c r="AD17" s="284" t="n">
        <f aca="false">IFERROR(Q17*$E17, "")</f>
        <v>0</v>
      </c>
      <c r="AE17" s="284" t="n">
        <f aca="false">IFERROR(R17*$E17, "")</f>
        <v>0</v>
      </c>
      <c r="AF17" s="284" t="n">
        <f aca="false">IFERROR(S17*$E17, "")</f>
        <v>0</v>
      </c>
      <c r="AG17" s="284" t="n">
        <f aca="false">IFERROR(T17*$E17, "")</f>
        <v>0</v>
      </c>
      <c r="AH17" s="284" t="n">
        <f aca="false">IFERROR(U17*$E17, "")</f>
        <v>0</v>
      </c>
      <c r="AI17" s="284" t="n">
        <f aca="false">IFERROR(V17*$E17, "")</f>
        <v>0</v>
      </c>
      <c r="AJ17" s="286" t="n">
        <f aca="false">IFERROR(SUMIF($X$4:$AI$4, "RDEC", X17:AI17), "")</f>
        <v>0</v>
      </c>
      <c r="AK17" s="286" t="n">
        <f aca="false">IFERROR(SUMIF($X$4:$AI$4, "SME", X17:AI17), "")</f>
        <v>0</v>
      </c>
      <c r="AL17" s="286" t="n">
        <f aca="false">IFERROR(SUMIF($X$4:$AI$4, "De Minimis", X17:AI17), "")</f>
        <v>0</v>
      </c>
      <c r="AM17" s="287"/>
      <c r="AN17" s="288" t="str">
        <f aca="false">IF((SUM(K17:V17)&gt;1),"ERROR","")</f>
        <v/>
      </c>
    </row>
    <row r="18" customFormat="false" ht="15" hidden="false" customHeight="true" outlineLevel="0" collapsed="false">
      <c r="A18" s="411"/>
      <c r="E18" s="200"/>
      <c r="H18" s="350"/>
      <c r="I18" s="414"/>
      <c r="J18" s="350"/>
      <c r="K18" s="415"/>
      <c r="L18" s="415"/>
      <c r="M18" s="415"/>
      <c r="N18" s="415"/>
      <c r="O18" s="415"/>
      <c r="P18" s="415"/>
      <c r="Q18" s="415"/>
      <c r="R18" s="415"/>
      <c r="S18" s="415"/>
      <c r="T18" s="415"/>
      <c r="U18" s="415"/>
      <c r="V18" s="415"/>
      <c r="W18" s="283"/>
      <c r="X18" s="284" t="n">
        <f aca="false">IFERROR(K18*$E18, "")</f>
        <v>0</v>
      </c>
      <c r="Y18" s="284" t="n">
        <f aca="false">IFERROR(L18*$E18, "")</f>
        <v>0</v>
      </c>
      <c r="Z18" s="284" t="n">
        <f aca="false">IFERROR(M18*$E18, "")</f>
        <v>0</v>
      </c>
      <c r="AA18" s="284" t="n">
        <f aca="false">IFERROR(N18*$E18, "")</f>
        <v>0</v>
      </c>
      <c r="AB18" s="284" t="n">
        <f aca="false">IFERROR(O18*$E18, "")</f>
        <v>0</v>
      </c>
      <c r="AC18" s="284" t="n">
        <f aca="false">IFERROR(P18*$E18, "")</f>
        <v>0</v>
      </c>
      <c r="AD18" s="284" t="n">
        <f aca="false">IFERROR(Q18*$E18, "")</f>
        <v>0</v>
      </c>
      <c r="AE18" s="284" t="n">
        <f aca="false">IFERROR(R18*$E18, "")</f>
        <v>0</v>
      </c>
      <c r="AF18" s="284" t="n">
        <f aca="false">IFERROR(S18*$E18, "")</f>
        <v>0</v>
      </c>
      <c r="AG18" s="284" t="n">
        <f aca="false">IFERROR(T18*$E18, "")</f>
        <v>0</v>
      </c>
      <c r="AH18" s="284" t="n">
        <f aca="false">IFERROR(U18*$E18, "")</f>
        <v>0</v>
      </c>
      <c r="AI18" s="284" t="n">
        <f aca="false">IFERROR(V18*$E18, "")</f>
        <v>0</v>
      </c>
      <c r="AJ18" s="286" t="n">
        <f aca="false">IFERROR(SUMIF($X$4:$AI$4, "RDEC", X18:AI18), "")</f>
        <v>0</v>
      </c>
      <c r="AK18" s="286" t="n">
        <f aca="false">IFERROR(SUMIF($X$4:$AI$4, "SME", X18:AI18), "")</f>
        <v>0</v>
      </c>
      <c r="AL18" s="286" t="n">
        <f aca="false">IFERROR(SUMIF($X$4:$AI$4, "De Minimis", X18:AI18), "")</f>
        <v>0</v>
      </c>
      <c r="AM18" s="287"/>
      <c r="AN18" s="288" t="str">
        <f aca="false">IF((SUM(K18:V18)&gt;1),"ERROR","")</f>
        <v/>
      </c>
    </row>
    <row r="19" customFormat="false" ht="15" hidden="false" customHeight="true" outlineLevel="0" collapsed="false">
      <c r="A19" s="411"/>
      <c r="E19" s="200"/>
      <c r="H19" s="350"/>
      <c r="I19" s="414"/>
      <c r="J19" s="350"/>
      <c r="K19" s="41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283"/>
      <c r="X19" s="284" t="n">
        <f aca="false">IFERROR(K19*$E19, "")</f>
        <v>0</v>
      </c>
      <c r="Y19" s="284" t="n">
        <f aca="false">IFERROR(L19*$E19, "")</f>
        <v>0</v>
      </c>
      <c r="Z19" s="284" t="n">
        <f aca="false">IFERROR(M19*$E19, "")</f>
        <v>0</v>
      </c>
      <c r="AA19" s="284" t="n">
        <f aca="false">IFERROR(N19*$E19, "")</f>
        <v>0</v>
      </c>
      <c r="AB19" s="284" t="n">
        <f aca="false">IFERROR(O19*$E19, "")</f>
        <v>0</v>
      </c>
      <c r="AC19" s="284" t="n">
        <f aca="false">IFERROR(P19*$E19, "")</f>
        <v>0</v>
      </c>
      <c r="AD19" s="284" t="n">
        <f aca="false">IFERROR(Q19*$E19, "")</f>
        <v>0</v>
      </c>
      <c r="AE19" s="284" t="n">
        <f aca="false">IFERROR(R19*$E19, "")</f>
        <v>0</v>
      </c>
      <c r="AF19" s="284" t="n">
        <f aca="false">IFERROR(S19*$E19, "")</f>
        <v>0</v>
      </c>
      <c r="AG19" s="284" t="n">
        <f aca="false">IFERROR(T19*$E19, "")</f>
        <v>0</v>
      </c>
      <c r="AH19" s="284" t="n">
        <f aca="false">IFERROR(U19*$E19, "")</f>
        <v>0</v>
      </c>
      <c r="AI19" s="284" t="n">
        <f aca="false">IFERROR(V19*$E19, "")</f>
        <v>0</v>
      </c>
      <c r="AJ19" s="286" t="n">
        <f aca="false">IFERROR(SUMIF($X$4:$AI$4, "RDEC", X19:AI19), "")</f>
        <v>0</v>
      </c>
      <c r="AK19" s="286" t="n">
        <f aca="false">IFERROR(SUMIF($X$4:$AI$4, "SME", X19:AI19), "")</f>
        <v>0</v>
      </c>
      <c r="AL19" s="286" t="n">
        <f aca="false">IFERROR(SUMIF($X$4:$AI$4, "De Minimis", X19:AI19), "")</f>
        <v>0</v>
      </c>
      <c r="AM19" s="303"/>
      <c r="AN19" s="288" t="str">
        <f aca="false">IF((SUM(K19:V19)&gt;1),"ERROR","")</f>
        <v/>
      </c>
    </row>
    <row r="20" customFormat="false" ht="15" hidden="false" customHeight="true" outlineLevel="0" collapsed="false">
      <c r="A20" s="411"/>
      <c r="E20" s="200"/>
      <c r="H20" s="350"/>
      <c r="I20" s="414"/>
      <c r="J20" s="350"/>
      <c r="K20" s="415"/>
      <c r="L20" s="415"/>
      <c r="M20" s="415"/>
      <c r="N20" s="415"/>
      <c r="O20" s="415"/>
      <c r="P20" s="415"/>
      <c r="Q20" s="415"/>
      <c r="R20" s="415"/>
      <c r="S20" s="415"/>
      <c r="T20" s="415"/>
      <c r="U20" s="415"/>
      <c r="V20" s="415"/>
      <c r="W20" s="283"/>
      <c r="X20" s="284" t="n">
        <f aca="false">IFERROR(K20*$E20, "")</f>
        <v>0</v>
      </c>
      <c r="Y20" s="284" t="n">
        <f aca="false">IFERROR(L20*$E20, "")</f>
        <v>0</v>
      </c>
      <c r="Z20" s="284" t="n">
        <f aca="false">IFERROR(M20*$E20, "")</f>
        <v>0</v>
      </c>
      <c r="AA20" s="284" t="n">
        <f aca="false">IFERROR(N20*$E20, "")</f>
        <v>0</v>
      </c>
      <c r="AB20" s="284" t="n">
        <f aca="false">IFERROR(O20*$E20, "")</f>
        <v>0</v>
      </c>
      <c r="AC20" s="284" t="n">
        <f aca="false">IFERROR(P20*$E20, "")</f>
        <v>0</v>
      </c>
      <c r="AD20" s="284" t="n">
        <f aca="false">IFERROR(Q20*$E20, "")</f>
        <v>0</v>
      </c>
      <c r="AE20" s="284" t="n">
        <f aca="false">IFERROR(R20*$E20, "")</f>
        <v>0</v>
      </c>
      <c r="AF20" s="284" t="n">
        <f aca="false">IFERROR(S20*$E20, "")</f>
        <v>0</v>
      </c>
      <c r="AG20" s="284" t="n">
        <f aca="false">IFERROR(T20*$E20, "")</f>
        <v>0</v>
      </c>
      <c r="AH20" s="284" t="n">
        <f aca="false">IFERROR(U20*$E20, "")</f>
        <v>0</v>
      </c>
      <c r="AI20" s="284" t="n">
        <f aca="false">IFERROR(V20*$E20, "")</f>
        <v>0</v>
      </c>
      <c r="AJ20" s="286" t="n">
        <f aca="false">IFERROR(SUMIF($X$4:$AI$4, "RDEC", X20:AI20), "")</f>
        <v>0</v>
      </c>
      <c r="AK20" s="286" t="n">
        <f aca="false">IFERROR(SUMIF($X$4:$AI$4, "SME", X20:AI20), "")</f>
        <v>0</v>
      </c>
      <c r="AL20" s="286" t="n">
        <f aca="false">IFERROR(SUMIF($X$4:$AI$4, "De Minimis", X20:AI20), "")</f>
        <v>0</v>
      </c>
      <c r="AM20" s="303"/>
      <c r="AN20" s="288" t="str">
        <f aca="false">IF((SUM(K20:V20)&gt;1),"ERROR","")</f>
        <v/>
      </c>
    </row>
    <row r="21" customFormat="false" ht="15" hidden="false" customHeight="true" outlineLevel="0" collapsed="false">
      <c r="A21" s="411"/>
      <c r="E21" s="200"/>
      <c r="H21" s="350"/>
      <c r="I21" s="414"/>
      <c r="J21" s="350"/>
      <c r="K21" s="415"/>
      <c r="L21" s="415"/>
      <c r="M21" s="415"/>
      <c r="N21" s="415"/>
      <c r="O21" s="415"/>
      <c r="P21" s="415"/>
      <c r="Q21" s="415"/>
      <c r="R21" s="415"/>
      <c r="S21" s="415"/>
      <c r="T21" s="415"/>
      <c r="U21" s="415"/>
      <c r="V21" s="415"/>
      <c r="W21" s="283"/>
      <c r="X21" s="284" t="n">
        <f aca="false">IFERROR(K21*$E21, "")</f>
        <v>0</v>
      </c>
      <c r="Y21" s="284" t="n">
        <f aca="false">IFERROR(L21*$E21, "")</f>
        <v>0</v>
      </c>
      <c r="Z21" s="284" t="n">
        <f aca="false">IFERROR(M21*$E21, "")</f>
        <v>0</v>
      </c>
      <c r="AA21" s="284" t="n">
        <f aca="false">IFERROR(N21*$E21, "")</f>
        <v>0</v>
      </c>
      <c r="AB21" s="284" t="n">
        <f aca="false">IFERROR(O21*$E21, "")</f>
        <v>0</v>
      </c>
      <c r="AC21" s="284" t="n">
        <f aca="false">IFERROR(P21*$E21, "")</f>
        <v>0</v>
      </c>
      <c r="AD21" s="284" t="n">
        <f aca="false">IFERROR(Q21*$E21, "")</f>
        <v>0</v>
      </c>
      <c r="AE21" s="284" t="n">
        <f aca="false">IFERROR(R21*$E21, "")</f>
        <v>0</v>
      </c>
      <c r="AF21" s="284" t="n">
        <f aca="false">IFERROR(S21*$E21, "")</f>
        <v>0</v>
      </c>
      <c r="AG21" s="284" t="n">
        <f aca="false">IFERROR(T21*$E21, "")</f>
        <v>0</v>
      </c>
      <c r="AH21" s="284" t="n">
        <f aca="false">IFERROR(U21*$E21, "")</f>
        <v>0</v>
      </c>
      <c r="AI21" s="284" t="n">
        <f aca="false">IFERROR(V21*$E21, "")</f>
        <v>0</v>
      </c>
      <c r="AJ21" s="286" t="n">
        <f aca="false">IFERROR(SUMIF($X$4:$AI$4, "RDEC", X21:AI21), "")</f>
        <v>0</v>
      </c>
      <c r="AK21" s="286" t="n">
        <f aca="false">IFERROR(SUMIF($X$4:$AI$4, "SME", X21:AI21), "")</f>
        <v>0</v>
      </c>
      <c r="AL21" s="286" t="n">
        <f aca="false">IFERROR(SUMIF($X$4:$AI$4, "De Minimis", X21:AI21), "")</f>
        <v>0</v>
      </c>
      <c r="AM21" s="268"/>
      <c r="AN21" s="288" t="str">
        <f aca="false">IF((SUM(K21:V21)&gt;1),"ERROR","")</f>
        <v/>
      </c>
    </row>
    <row r="22" customFormat="false" ht="15" hidden="false" customHeight="true" outlineLevel="0" collapsed="false">
      <c r="A22" s="411"/>
      <c r="E22" s="200"/>
      <c r="H22" s="350"/>
      <c r="I22" s="414"/>
      <c r="J22" s="350"/>
      <c r="K22" s="415"/>
      <c r="L22" s="415"/>
      <c r="M22" s="415"/>
      <c r="N22" s="415"/>
      <c r="O22" s="415"/>
      <c r="P22" s="415"/>
      <c r="Q22" s="415"/>
      <c r="R22" s="415"/>
      <c r="S22" s="415"/>
      <c r="T22" s="415"/>
      <c r="U22" s="415"/>
      <c r="V22" s="415"/>
      <c r="W22" s="283"/>
      <c r="X22" s="284" t="n">
        <f aca="false">IFERROR(K22*$E22, "")</f>
        <v>0</v>
      </c>
      <c r="Y22" s="284" t="n">
        <f aca="false">IFERROR(L22*$E22, "")</f>
        <v>0</v>
      </c>
      <c r="Z22" s="284" t="n">
        <f aca="false">IFERROR(M22*$E22, "")</f>
        <v>0</v>
      </c>
      <c r="AA22" s="284" t="n">
        <f aca="false">IFERROR(N22*$E22, "")</f>
        <v>0</v>
      </c>
      <c r="AB22" s="284" t="n">
        <f aca="false">IFERROR(O22*$E22, "")</f>
        <v>0</v>
      </c>
      <c r="AC22" s="284" t="n">
        <f aca="false">IFERROR(P22*$E22, "")</f>
        <v>0</v>
      </c>
      <c r="AD22" s="284" t="n">
        <f aca="false">IFERROR(Q22*$E22, "")</f>
        <v>0</v>
      </c>
      <c r="AE22" s="284" t="n">
        <f aca="false">IFERROR(R22*$E22, "")</f>
        <v>0</v>
      </c>
      <c r="AF22" s="284" t="n">
        <f aca="false">IFERROR(S22*$E22, "")</f>
        <v>0</v>
      </c>
      <c r="AG22" s="284" t="n">
        <f aca="false">IFERROR(T22*$E22, "")</f>
        <v>0</v>
      </c>
      <c r="AH22" s="284" t="n">
        <f aca="false">IFERROR(U22*$E22, "")</f>
        <v>0</v>
      </c>
      <c r="AI22" s="284" t="n">
        <f aca="false">IFERROR(V22*$E22, "")</f>
        <v>0</v>
      </c>
      <c r="AJ22" s="286" t="n">
        <f aca="false">IFERROR(SUMIF($X$4:$AI$4, "RDEC", X22:AI22), "")</f>
        <v>0</v>
      </c>
      <c r="AK22" s="286" t="n">
        <f aca="false">IFERROR(SUMIF($X$4:$AI$4, "SME", X22:AI22), "")</f>
        <v>0</v>
      </c>
      <c r="AL22" s="286" t="n">
        <f aca="false">IFERROR(SUMIF($X$4:$AI$4, "De Minimis", X22:AI22), "")</f>
        <v>0</v>
      </c>
      <c r="AM22" s="287"/>
      <c r="AN22" s="288" t="str">
        <f aca="false">IF((SUM(K22:V22)&gt;1),"ERROR","")</f>
        <v/>
      </c>
    </row>
    <row r="23" customFormat="false" ht="15" hidden="false" customHeight="true" outlineLevel="0" collapsed="false">
      <c r="A23" s="411"/>
      <c r="E23" s="200"/>
      <c r="H23" s="350"/>
      <c r="I23" s="414"/>
      <c r="J23" s="350"/>
      <c r="K23" s="415"/>
      <c r="L23" s="415"/>
      <c r="M23" s="415"/>
      <c r="N23" s="415"/>
      <c r="O23" s="415"/>
      <c r="P23" s="415"/>
      <c r="Q23" s="415"/>
      <c r="R23" s="415"/>
      <c r="S23" s="415"/>
      <c r="T23" s="415"/>
      <c r="U23" s="415"/>
      <c r="V23" s="415"/>
      <c r="W23" s="283"/>
      <c r="X23" s="284" t="n">
        <f aca="false">IFERROR(K23*$E23, "")</f>
        <v>0</v>
      </c>
      <c r="Y23" s="284" t="n">
        <f aca="false">IFERROR(L23*$E23, "")</f>
        <v>0</v>
      </c>
      <c r="Z23" s="284" t="n">
        <f aca="false">IFERROR(M23*$E23, "")</f>
        <v>0</v>
      </c>
      <c r="AA23" s="284" t="n">
        <f aca="false">IFERROR(N23*$E23, "")</f>
        <v>0</v>
      </c>
      <c r="AB23" s="284" t="n">
        <f aca="false">IFERROR(O23*$E23, "")</f>
        <v>0</v>
      </c>
      <c r="AC23" s="284" t="n">
        <f aca="false">IFERROR(P23*$E23, "")</f>
        <v>0</v>
      </c>
      <c r="AD23" s="284" t="n">
        <f aca="false">IFERROR(Q23*$E23, "")</f>
        <v>0</v>
      </c>
      <c r="AE23" s="284" t="n">
        <f aca="false">IFERROR(R23*$E23, "")</f>
        <v>0</v>
      </c>
      <c r="AF23" s="284" t="n">
        <f aca="false">IFERROR(S23*$E23, "")</f>
        <v>0</v>
      </c>
      <c r="AG23" s="284" t="n">
        <f aca="false">IFERROR(T23*$E23, "")</f>
        <v>0</v>
      </c>
      <c r="AH23" s="284" t="n">
        <f aca="false">IFERROR(U23*$E23, "")</f>
        <v>0</v>
      </c>
      <c r="AI23" s="284" t="n">
        <f aca="false">IFERROR(V23*$E23, "")</f>
        <v>0</v>
      </c>
      <c r="AJ23" s="286" t="n">
        <f aca="false">IFERROR(SUMIF($X$4:$AI$4, "RDEC", X23:AI23), "")</f>
        <v>0</v>
      </c>
      <c r="AK23" s="286" t="n">
        <f aca="false">IFERROR(SUMIF($X$4:$AI$4, "SME", X23:AI23), "")</f>
        <v>0</v>
      </c>
      <c r="AL23" s="286" t="n">
        <f aca="false">IFERROR(SUMIF($X$4:$AI$4, "De Minimis", X23:AI23), "")</f>
        <v>0</v>
      </c>
      <c r="AM23" s="287"/>
      <c r="AN23" s="288" t="str">
        <f aca="false">IF((SUM(K23:V23)&gt;1),"ERROR","")</f>
        <v/>
      </c>
    </row>
    <row r="24" customFormat="false" ht="15" hidden="false" customHeight="true" outlineLevel="0" collapsed="false">
      <c r="A24" s="411"/>
      <c r="E24" s="200"/>
      <c r="H24" s="350"/>
      <c r="I24" s="414"/>
      <c r="J24" s="350"/>
      <c r="K24" s="415"/>
      <c r="L24" s="415"/>
      <c r="M24" s="415"/>
      <c r="N24" s="415"/>
      <c r="O24" s="415"/>
      <c r="P24" s="415"/>
      <c r="Q24" s="415"/>
      <c r="R24" s="415"/>
      <c r="S24" s="415"/>
      <c r="T24" s="415"/>
      <c r="U24" s="415"/>
      <c r="V24" s="415"/>
      <c r="W24" s="283"/>
      <c r="X24" s="284" t="n">
        <f aca="false">IFERROR(K24*$E24, "")</f>
        <v>0</v>
      </c>
      <c r="Y24" s="284" t="n">
        <f aca="false">IFERROR(L24*$E24, "")</f>
        <v>0</v>
      </c>
      <c r="Z24" s="284" t="n">
        <f aca="false">IFERROR(M24*$E24, "")</f>
        <v>0</v>
      </c>
      <c r="AA24" s="284" t="n">
        <f aca="false">IFERROR(N24*$E24, "")</f>
        <v>0</v>
      </c>
      <c r="AB24" s="284" t="n">
        <f aca="false">IFERROR(O24*$E24, "")</f>
        <v>0</v>
      </c>
      <c r="AC24" s="284" t="n">
        <f aca="false">IFERROR(P24*$E24, "")</f>
        <v>0</v>
      </c>
      <c r="AD24" s="284" t="n">
        <f aca="false">IFERROR(Q24*$E24, "")</f>
        <v>0</v>
      </c>
      <c r="AE24" s="284" t="n">
        <f aca="false">IFERROR(R24*$E24, "")</f>
        <v>0</v>
      </c>
      <c r="AF24" s="284" t="n">
        <f aca="false">IFERROR(S24*$E24, "")</f>
        <v>0</v>
      </c>
      <c r="AG24" s="284" t="n">
        <f aca="false">IFERROR(T24*$E24, "")</f>
        <v>0</v>
      </c>
      <c r="AH24" s="284" t="n">
        <f aca="false">IFERROR(U24*$E24, "")</f>
        <v>0</v>
      </c>
      <c r="AI24" s="284" t="n">
        <f aca="false">IFERROR(V24*$E24, "")</f>
        <v>0</v>
      </c>
      <c r="AJ24" s="286" t="n">
        <f aca="false">IFERROR(SUMIF($X$4:$AI$4, "RDEC", X24:AI24), "")</f>
        <v>0</v>
      </c>
      <c r="AK24" s="286" t="n">
        <f aca="false">IFERROR(SUMIF($X$4:$AI$4, "SME", X24:AI24), "")</f>
        <v>0</v>
      </c>
      <c r="AL24" s="286" t="n">
        <f aca="false">IFERROR(SUMIF($X$4:$AI$4, "De Minimis", X24:AI24), "")</f>
        <v>0</v>
      </c>
      <c r="AM24" s="287"/>
      <c r="AN24" s="288" t="str">
        <f aca="false">IF((SUM(K24:V24)&gt;1),"ERROR","")</f>
        <v/>
      </c>
    </row>
    <row r="25" customFormat="false" ht="15" hidden="false" customHeight="true" outlineLevel="0" collapsed="false">
      <c r="A25" s="411"/>
      <c r="E25" s="200"/>
      <c r="H25" s="350"/>
      <c r="I25" s="414"/>
      <c r="J25" s="350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415"/>
      <c r="V25" s="415"/>
      <c r="W25" s="283"/>
      <c r="X25" s="284" t="n">
        <f aca="false">IFERROR(K25*$E25, "")</f>
        <v>0</v>
      </c>
      <c r="Y25" s="284" t="n">
        <f aca="false">IFERROR(L25*$E25, "")</f>
        <v>0</v>
      </c>
      <c r="Z25" s="284" t="n">
        <f aca="false">IFERROR(M25*$E25, "")</f>
        <v>0</v>
      </c>
      <c r="AA25" s="284" t="n">
        <f aca="false">IFERROR(N25*$E25, "")</f>
        <v>0</v>
      </c>
      <c r="AB25" s="284" t="n">
        <f aca="false">IFERROR(O25*$E25, "")</f>
        <v>0</v>
      </c>
      <c r="AC25" s="284" t="n">
        <f aca="false">IFERROR(P25*$E25, "")</f>
        <v>0</v>
      </c>
      <c r="AD25" s="284" t="n">
        <f aca="false">IFERROR(Q25*$E25, "")</f>
        <v>0</v>
      </c>
      <c r="AE25" s="284" t="n">
        <f aca="false">IFERROR(R25*$E25, "")</f>
        <v>0</v>
      </c>
      <c r="AF25" s="284" t="n">
        <f aca="false">IFERROR(S25*$E25, "")</f>
        <v>0</v>
      </c>
      <c r="AG25" s="284" t="n">
        <f aca="false">IFERROR(T25*$E25, "")</f>
        <v>0</v>
      </c>
      <c r="AH25" s="284" t="n">
        <f aca="false">IFERROR(U25*$E25, "")</f>
        <v>0</v>
      </c>
      <c r="AI25" s="284" t="n">
        <f aca="false">IFERROR(V25*$E25, "")</f>
        <v>0</v>
      </c>
      <c r="AJ25" s="286" t="n">
        <f aca="false">IFERROR(SUMIF($X$4:$AI$4, "RDEC", X25:AI25), "")</f>
        <v>0</v>
      </c>
      <c r="AK25" s="286" t="n">
        <f aca="false">IFERROR(SUMIF($X$4:$AI$4, "SME", X25:AI25), "")</f>
        <v>0</v>
      </c>
      <c r="AL25" s="286" t="n">
        <f aca="false">IFERROR(SUMIF($X$4:$AI$4, "De Minimis", X25:AI25), "")</f>
        <v>0</v>
      </c>
      <c r="AM25" s="287"/>
      <c r="AN25" s="288" t="str">
        <f aca="false">IF((SUM(K25:V25)&gt;1),"ERROR","")</f>
        <v/>
      </c>
    </row>
    <row r="26" customFormat="false" ht="15" hidden="false" customHeight="true" outlineLevel="0" collapsed="false">
      <c r="A26" s="411"/>
      <c r="E26" s="200"/>
      <c r="H26" s="350"/>
      <c r="I26" s="414"/>
      <c r="J26" s="350"/>
      <c r="K26" s="415"/>
      <c r="L26" s="415"/>
      <c r="M26" s="415"/>
      <c r="N26" s="415"/>
      <c r="O26" s="415"/>
      <c r="P26" s="415"/>
      <c r="Q26" s="415"/>
      <c r="R26" s="415"/>
      <c r="S26" s="415"/>
      <c r="T26" s="415"/>
      <c r="U26" s="415"/>
      <c r="V26" s="415"/>
      <c r="W26" s="283"/>
      <c r="X26" s="284" t="n">
        <f aca="false">IFERROR(K26*$E26, "")</f>
        <v>0</v>
      </c>
      <c r="Y26" s="284" t="n">
        <f aca="false">IFERROR(L26*$E26, "")</f>
        <v>0</v>
      </c>
      <c r="Z26" s="284" t="n">
        <f aca="false">IFERROR(M26*$E26, "")</f>
        <v>0</v>
      </c>
      <c r="AA26" s="284" t="n">
        <f aca="false">IFERROR(N26*$E26, "")</f>
        <v>0</v>
      </c>
      <c r="AB26" s="284" t="n">
        <f aca="false">IFERROR(O26*$E26, "")</f>
        <v>0</v>
      </c>
      <c r="AC26" s="284" t="n">
        <f aca="false">IFERROR(P26*$E26, "")</f>
        <v>0</v>
      </c>
      <c r="AD26" s="284" t="n">
        <f aca="false">IFERROR(Q26*$E26, "")</f>
        <v>0</v>
      </c>
      <c r="AE26" s="284" t="n">
        <f aca="false">IFERROR(R26*$E26, "")</f>
        <v>0</v>
      </c>
      <c r="AF26" s="284" t="n">
        <f aca="false">IFERROR(S26*$E26, "")</f>
        <v>0</v>
      </c>
      <c r="AG26" s="284" t="n">
        <f aca="false">IFERROR(T26*$E26, "")</f>
        <v>0</v>
      </c>
      <c r="AH26" s="284" t="n">
        <f aca="false">IFERROR(U26*$E26, "")</f>
        <v>0</v>
      </c>
      <c r="AI26" s="284" t="n">
        <f aca="false">IFERROR(V26*$E26, "")</f>
        <v>0</v>
      </c>
      <c r="AJ26" s="286" t="n">
        <f aca="false">IFERROR(SUMIF($X$4:$AI$4, "RDEC", X26:AI26), "")</f>
        <v>0</v>
      </c>
      <c r="AK26" s="286" t="n">
        <f aca="false">IFERROR(SUMIF($X$4:$AI$4, "SME", X26:AI26), "")</f>
        <v>0</v>
      </c>
      <c r="AL26" s="286" t="n">
        <f aca="false">IFERROR(SUMIF($X$4:$AI$4, "De Minimis", X26:AI26), "")</f>
        <v>0</v>
      </c>
      <c r="AM26" s="287"/>
      <c r="AN26" s="288" t="str">
        <f aca="false">IF((SUM(K26:V26)&gt;1),"ERROR","")</f>
        <v/>
      </c>
    </row>
    <row r="27" customFormat="false" ht="15" hidden="false" customHeight="true" outlineLevel="0" collapsed="false">
      <c r="A27" s="411"/>
      <c r="E27" s="200"/>
      <c r="H27" s="350"/>
      <c r="I27" s="414"/>
      <c r="J27" s="350"/>
      <c r="K27" s="415"/>
      <c r="L27" s="415"/>
      <c r="M27" s="415"/>
      <c r="N27" s="415"/>
      <c r="O27" s="415"/>
      <c r="P27" s="415"/>
      <c r="Q27" s="415"/>
      <c r="R27" s="415"/>
      <c r="S27" s="415"/>
      <c r="T27" s="415"/>
      <c r="U27" s="415"/>
      <c r="V27" s="415"/>
      <c r="W27" s="283"/>
      <c r="X27" s="284" t="n">
        <f aca="false">IFERROR(K27*$E27, "")</f>
        <v>0</v>
      </c>
      <c r="Y27" s="284" t="n">
        <f aca="false">IFERROR(L27*$E27, "")</f>
        <v>0</v>
      </c>
      <c r="Z27" s="284" t="n">
        <f aca="false">IFERROR(M27*$E27, "")</f>
        <v>0</v>
      </c>
      <c r="AA27" s="284" t="n">
        <f aca="false">IFERROR(N27*$E27, "")</f>
        <v>0</v>
      </c>
      <c r="AB27" s="284" t="n">
        <f aca="false">IFERROR(O27*$E27, "")</f>
        <v>0</v>
      </c>
      <c r="AC27" s="284" t="n">
        <f aca="false">IFERROR(P27*$E27, "")</f>
        <v>0</v>
      </c>
      <c r="AD27" s="284" t="n">
        <f aca="false">IFERROR(Q27*$E27, "")</f>
        <v>0</v>
      </c>
      <c r="AE27" s="284" t="n">
        <f aca="false">IFERROR(R27*$E27, "")</f>
        <v>0</v>
      </c>
      <c r="AF27" s="284" t="n">
        <f aca="false">IFERROR(S27*$E27, "")</f>
        <v>0</v>
      </c>
      <c r="AG27" s="284" t="n">
        <f aca="false">IFERROR(T27*$E27, "")</f>
        <v>0</v>
      </c>
      <c r="AH27" s="284" t="n">
        <f aca="false">IFERROR(U27*$E27, "")</f>
        <v>0</v>
      </c>
      <c r="AI27" s="284" t="n">
        <f aca="false">IFERROR(V27*$E27, "")</f>
        <v>0</v>
      </c>
      <c r="AJ27" s="286" t="n">
        <f aca="false">IFERROR(SUMIF($X$4:$AI$4, "RDEC", X27:AI27), "")</f>
        <v>0</v>
      </c>
      <c r="AK27" s="286" t="n">
        <f aca="false">IFERROR(SUMIF($X$4:$AI$4, "SME", X27:AI27), "")</f>
        <v>0</v>
      </c>
      <c r="AL27" s="286" t="n">
        <f aca="false">IFERROR(SUMIF($X$4:$AI$4, "De Minimis", X27:AI27), "")</f>
        <v>0</v>
      </c>
      <c r="AM27" s="287"/>
      <c r="AN27" s="288" t="str">
        <f aca="false">IF((SUM(K27:V27)&gt;1),"ERROR","")</f>
        <v/>
      </c>
    </row>
    <row r="28" customFormat="false" ht="15" hidden="false" customHeight="true" outlineLevel="0" collapsed="false">
      <c r="A28" s="411"/>
      <c r="E28" s="200"/>
      <c r="H28" s="350"/>
      <c r="I28" s="414"/>
      <c r="J28" s="350"/>
      <c r="K28" s="415"/>
      <c r="L28" s="415"/>
      <c r="M28" s="415"/>
      <c r="N28" s="415"/>
      <c r="O28" s="415"/>
      <c r="P28" s="415"/>
      <c r="Q28" s="415"/>
      <c r="R28" s="415"/>
      <c r="S28" s="415"/>
      <c r="T28" s="415"/>
      <c r="U28" s="415"/>
      <c r="V28" s="415"/>
      <c r="W28" s="283"/>
      <c r="X28" s="284" t="n">
        <f aca="false">IFERROR(K28*$E28, "")</f>
        <v>0</v>
      </c>
      <c r="Y28" s="284" t="n">
        <f aca="false">IFERROR(L28*$E28, "")</f>
        <v>0</v>
      </c>
      <c r="Z28" s="284" t="n">
        <f aca="false">IFERROR(M28*$E28, "")</f>
        <v>0</v>
      </c>
      <c r="AA28" s="284" t="n">
        <f aca="false">IFERROR(N28*$E28, "")</f>
        <v>0</v>
      </c>
      <c r="AB28" s="284" t="n">
        <f aca="false">IFERROR(O28*$E28, "")</f>
        <v>0</v>
      </c>
      <c r="AC28" s="284" t="n">
        <f aca="false">IFERROR(P28*$E28, "")</f>
        <v>0</v>
      </c>
      <c r="AD28" s="284" t="n">
        <f aca="false">IFERROR(Q28*$E28, "")</f>
        <v>0</v>
      </c>
      <c r="AE28" s="284" t="n">
        <f aca="false">IFERROR(R28*$E28, "")</f>
        <v>0</v>
      </c>
      <c r="AF28" s="284" t="n">
        <f aca="false">IFERROR(S28*$E28, "")</f>
        <v>0</v>
      </c>
      <c r="AG28" s="284" t="n">
        <f aca="false">IFERROR(T28*$E28, "")</f>
        <v>0</v>
      </c>
      <c r="AH28" s="284" t="n">
        <f aca="false">IFERROR(U28*$E28, "")</f>
        <v>0</v>
      </c>
      <c r="AI28" s="284" t="n">
        <f aca="false">IFERROR(V28*$E28, "")</f>
        <v>0</v>
      </c>
      <c r="AJ28" s="286" t="n">
        <f aca="false">IFERROR(SUMIF($X$4:$AI$4, "RDEC", X28:AI28), "")</f>
        <v>0</v>
      </c>
      <c r="AK28" s="286" t="n">
        <f aca="false">IFERROR(SUMIF($X$4:$AI$4, "SME", X28:AI28), "")</f>
        <v>0</v>
      </c>
      <c r="AL28" s="286" t="n">
        <f aca="false">IFERROR(SUMIF($X$4:$AI$4, "De Minimis", X28:AI28), "")</f>
        <v>0</v>
      </c>
      <c r="AM28" s="287"/>
      <c r="AN28" s="288" t="str">
        <f aca="false">IF((SUM(K28:V28)&gt;1),"ERROR","")</f>
        <v/>
      </c>
    </row>
    <row r="29" customFormat="false" ht="15" hidden="false" customHeight="true" outlineLevel="0" collapsed="false">
      <c r="A29" s="411"/>
      <c r="E29" s="200"/>
      <c r="H29" s="350"/>
      <c r="I29" s="414"/>
      <c r="J29" s="350"/>
      <c r="K29" s="415"/>
      <c r="L29" s="415"/>
      <c r="M29" s="415"/>
      <c r="N29" s="415"/>
      <c r="O29" s="415"/>
      <c r="P29" s="415"/>
      <c r="Q29" s="415"/>
      <c r="R29" s="415"/>
      <c r="S29" s="415"/>
      <c r="T29" s="415"/>
      <c r="U29" s="415"/>
      <c r="V29" s="415"/>
      <c r="W29" s="283"/>
      <c r="X29" s="284" t="n">
        <f aca="false">IFERROR(K29*$E29, "")</f>
        <v>0</v>
      </c>
      <c r="Y29" s="284" t="n">
        <f aca="false">IFERROR(L29*$E29, "")</f>
        <v>0</v>
      </c>
      <c r="Z29" s="284" t="n">
        <f aca="false">IFERROR(M29*$E29, "")</f>
        <v>0</v>
      </c>
      <c r="AA29" s="284" t="n">
        <f aca="false">IFERROR(N29*$E29, "")</f>
        <v>0</v>
      </c>
      <c r="AB29" s="284" t="n">
        <f aca="false">IFERROR(O29*$E29, "")</f>
        <v>0</v>
      </c>
      <c r="AC29" s="284" t="n">
        <f aca="false">IFERROR(P29*$E29, "")</f>
        <v>0</v>
      </c>
      <c r="AD29" s="284" t="n">
        <f aca="false">IFERROR(Q29*$E29, "")</f>
        <v>0</v>
      </c>
      <c r="AE29" s="284" t="n">
        <f aca="false">IFERROR(R29*$E29, "")</f>
        <v>0</v>
      </c>
      <c r="AF29" s="284" t="n">
        <f aca="false">IFERROR(S29*$E29, "")</f>
        <v>0</v>
      </c>
      <c r="AG29" s="284" t="n">
        <f aca="false">IFERROR(T29*$E29, "")</f>
        <v>0</v>
      </c>
      <c r="AH29" s="284" t="n">
        <f aca="false">IFERROR(U29*$E29, "")</f>
        <v>0</v>
      </c>
      <c r="AI29" s="284" t="n">
        <f aca="false">IFERROR(V29*$E29, "")</f>
        <v>0</v>
      </c>
      <c r="AJ29" s="286" t="n">
        <f aca="false">IFERROR(SUMIF($X$4:$AI$4, "RDEC", X29:AI29), "")</f>
        <v>0</v>
      </c>
      <c r="AK29" s="286" t="n">
        <f aca="false">IFERROR(SUMIF($X$4:$AI$4, "SME", X29:AI29), "")</f>
        <v>0</v>
      </c>
      <c r="AL29" s="286" t="n">
        <f aca="false">IFERROR(SUMIF($X$4:$AI$4, "De Minimis", X29:AI29), "")</f>
        <v>0</v>
      </c>
      <c r="AM29" s="287"/>
      <c r="AN29" s="288" t="str">
        <f aca="false">IF((SUM(K29:V29)&gt;1),"ERROR","")</f>
        <v/>
      </c>
    </row>
    <row r="30" customFormat="false" ht="15" hidden="false" customHeight="true" outlineLevel="0" collapsed="false">
      <c r="A30" s="411"/>
      <c r="E30" s="200"/>
      <c r="H30" s="350"/>
      <c r="I30" s="414"/>
      <c r="J30" s="350"/>
      <c r="K30" s="415"/>
      <c r="L30" s="415"/>
      <c r="M30" s="415"/>
      <c r="N30" s="415"/>
      <c r="O30" s="415"/>
      <c r="P30" s="415"/>
      <c r="Q30" s="415"/>
      <c r="R30" s="415"/>
      <c r="S30" s="415"/>
      <c r="T30" s="415"/>
      <c r="U30" s="415"/>
      <c r="V30" s="415"/>
      <c r="W30" s="283"/>
      <c r="X30" s="284" t="n">
        <f aca="false">IFERROR(K30*$E30, "")</f>
        <v>0</v>
      </c>
      <c r="Y30" s="284" t="n">
        <f aca="false">IFERROR(L30*$E30, "")</f>
        <v>0</v>
      </c>
      <c r="Z30" s="284" t="n">
        <f aca="false">IFERROR(M30*$E30, "")</f>
        <v>0</v>
      </c>
      <c r="AA30" s="284" t="n">
        <f aca="false">IFERROR(N30*$E30, "")</f>
        <v>0</v>
      </c>
      <c r="AB30" s="284" t="n">
        <f aca="false">IFERROR(O30*$E30, "")</f>
        <v>0</v>
      </c>
      <c r="AC30" s="284" t="n">
        <f aca="false">IFERROR(P30*$E30, "")</f>
        <v>0</v>
      </c>
      <c r="AD30" s="284" t="n">
        <f aca="false">IFERROR(Q30*$E30, "")</f>
        <v>0</v>
      </c>
      <c r="AE30" s="284" t="n">
        <f aca="false">IFERROR(R30*$E30, "")</f>
        <v>0</v>
      </c>
      <c r="AF30" s="284" t="n">
        <f aca="false">IFERROR(S30*$E30, "")</f>
        <v>0</v>
      </c>
      <c r="AG30" s="284" t="n">
        <f aca="false">IFERROR(T30*$E30, "")</f>
        <v>0</v>
      </c>
      <c r="AH30" s="284" t="n">
        <f aca="false">IFERROR(U30*$E30, "")</f>
        <v>0</v>
      </c>
      <c r="AI30" s="284" t="n">
        <f aca="false">IFERROR(V30*$E30, "")</f>
        <v>0</v>
      </c>
      <c r="AJ30" s="286" t="n">
        <f aca="false">IFERROR(SUMIF($X$4:$AI$4, "RDEC", X30:AI30), "")</f>
        <v>0</v>
      </c>
      <c r="AK30" s="286" t="n">
        <f aca="false">IFERROR(SUMIF($X$4:$AI$4, "SME", X30:AI30), "")</f>
        <v>0</v>
      </c>
      <c r="AL30" s="286" t="n">
        <f aca="false">IFERROR(SUMIF($X$4:$AI$4, "De Minimis", X30:AI30), "")</f>
        <v>0</v>
      </c>
      <c r="AM30" s="287"/>
      <c r="AN30" s="288" t="str">
        <f aca="false">IF((SUM(K30:V30)&gt;1),"ERROR","")</f>
        <v/>
      </c>
    </row>
    <row r="31" customFormat="false" ht="15" hidden="false" customHeight="true" outlineLevel="0" collapsed="false">
      <c r="A31" s="411"/>
      <c r="E31" s="200"/>
      <c r="H31" s="350"/>
      <c r="I31" s="414"/>
      <c r="J31" s="350"/>
      <c r="K31" s="415"/>
      <c r="L31" s="415"/>
      <c r="M31" s="415"/>
      <c r="N31" s="415"/>
      <c r="O31" s="415"/>
      <c r="P31" s="415"/>
      <c r="Q31" s="415"/>
      <c r="R31" s="415"/>
      <c r="S31" s="415"/>
      <c r="T31" s="415"/>
      <c r="U31" s="415"/>
      <c r="V31" s="415"/>
      <c r="W31" s="283"/>
      <c r="X31" s="284" t="n">
        <f aca="false">IFERROR(K31*$E31, "")</f>
        <v>0</v>
      </c>
      <c r="Y31" s="284" t="n">
        <f aca="false">IFERROR(L31*$E31, "")</f>
        <v>0</v>
      </c>
      <c r="Z31" s="284" t="n">
        <f aca="false">IFERROR(M31*$E31, "")</f>
        <v>0</v>
      </c>
      <c r="AA31" s="284" t="n">
        <f aca="false">IFERROR(N31*$E31, "")</f>
        <v>0</v>
      </c>
      <c r="AB31" s="284" t="n">
        <f aca="false">IFERROR(O31*$E31, "")</f>
        <v>0</v>
      </c>
      <c r="AC31" s="284" t="n">
        <f aca="false">IFERROR(P31*$E31, "")</f>
        <v>0</v>
      </c>
      <c r="AD31" s="284" t="n">
        <f aca="false">IFERROR(Q31*$E31, "")</f>
        <v>0</v>
      </c>
      <c r="AE31" s="284" t="n">
        <f aca="false">IFERROR(R31*$E31, "")</f>
        <v>0</v>
      </c>
      <c r="AF31" s="284" t="n">
        <f aca="false">IFERROR(S31*$E31, "")</f>
        <v>0</v>
      </c>
      <c r="AG31" s="284" t="n">
        <f aca="false">IFERROR(T31*$E31, "")</f>
        <v>0</v>
      </c>
      <c r="AH31" s="284" t="n">
        <f aca="false">IFERROR(U31*$E31, "")</f>
        <v>0</v>
      </c>
      <c r="AI31" s="284" t="n">
        <f aca="false">IFERROR(V31*$E31, "")</f>
        <v>0</v>
      </c>
      <c r="AJ31" s="286" t="n">
        <f aca="false">IFERROR(SUMIF($X$4:$AI$4, "RDEC", X31:AI31), "")</f>
        <v>0</v>
      </c>
      <c r="AK31" s="286" t="n">
        <f aca="false">IFERROR(SUMIF($X$4:$AI$4, "SME", X31:AI31), "")</f>
        <v>0</v>
      </c>
      <c r="AL31" s="286" t="n">
        <f aca="false">IFERROR(SUMIF($X$4:$AI$4, "De Minimis", X31:AI31), "")</f>
        <v>0</v>
      </c>
      <c r="AM31" s="287"/>
      <c r="AN31" s="288" t="str">
        <f aca="false">IF((SUM(K31:V31)&gt;1),"ERROR","")</f>
        <v/>
      </c>
    </row>
    <row r="32" customFormat="false" ht="15" hidden="false" customHeight="true" outlineLevel="0" collapsed="false">
      <c r="A32" s="411"/>
      <c r="E32" s="200"/>
      <c r="H32" s="350"/>
      <c r="I32" s="414"/>
      <c r="J32" s="350"/>
      <c r="K32" s="415"/>
      <c r="L32" s="415"/>
      <c r="M32" s="415"/>
      <c r="N32" s="415"/>
      <c r="O32" s="415"/>
      <c r="P32" s="415"/>
      <c r="Q32" s="415"/>
      <c r="R32" s="415"/>
      <c r="S32" s="415"/>
      <c r="T32" s="415"/>
      <c r="U32" s="415"/>
      <c r="V32" s="415"/>
      <c r="W32" s="283"/>
      <c r="X32" s="284" t="n">
        <f aca="false">IFERROR(K32*$E32, "")</f>
        <v>0</v>
      </c>
      <c r="Y32" s="284" t="n">
        <f aca="false">IFERROR(L32*$E32, "")</f>
        <v>0</v>
      </c>
      <c r="Z32" s="284" t="n">
        <f aca="false">IFERROR(M32*$E32, "")</f>
        <v>0</v>
      </c>
      <c r="AA32" s="284" t="n">
        <f aca="false">IFERROR(N32*$E32, "")</f>
        <v>0</v>
      </c>
      <c r="AB32" s="284" t="n">
        <f aca="false">IFERROR(O32*$E32, "")</f>
        <v>0</v>
      </c>
      <c r="AC32" s="284" t="n">
        <f aca="false">IFERROR(P32*$E32, "")</f>
        <v>0</v>
      </c>
      <c r="AD32" s="284" t="n">
        <f aca="false">IFERROR(Q32*$E32, "")</f>
        <v>0</v>
      </c>
      <c r="AE32" s="284" t="n">
        <f aca="false">IFERROR(R32*$E32, "")</f>
        <v>0</v>
      </c>
      <c r="AF32" s="284" t="n">
        <f aca="false">IFERROR(S32*$E32, "")</f>
        <v>0</v>
      </c>
      <c r="AG32" s="284" t="n">
        <f aca="false">IFERROR(T32*$E32, "")</f>
        <v>0</v>
      </c>
      <c r="AH32" s="284" t="n">
        <f aca="false">IFERROR(U32*$E32, "")</f>
        <v>0</v>
      </c>
      <c r="AI32" s="284" t="n">
        <f aca="false">IFERROR(V32*$E32, "")</f>
        <v>0</v>
      </c>
      <c r="AJ32" s="286" t="n">
        <f aca="false">IFERROR(SUMIF($X$4:$AI$4, "RDEC", X32:AI32), "")</f>
        <v>0</v>
      </c>
      <c r="AK32" s="286" t="n">
        <f aca="false">IFERROR(SUMIF($X$4:$AI$4, "SME", X32:AI32), "")</f>
        <v>0</v>
      </c>
      <c r="AL32" s="286" t="n">
        <f aca="false">IFERROR(SUMIF($X$4:$AI$4, "De Minimis", X32:AI32), "")</f>
        <v>0</v>
      </c>
      <c r="AM32" s="287"/>
      <c r="AN32" s="288" t="str">
        <f aca="false">IF((SUM(K32:V32)&gt;1),"ERROR","")</f>
        <v/>
      </c>
    </row>
    <row r="33" customFormat="false" ht="15" hidden="false" customHeight="true" outlineLevel="0" collapsed="false">
      <c r="A33" s="411"/>
      <c r="E33" s="200"/>
      <c r="H33" s="350"/>
      <c r="I33" s="414"/>
      <c r="J33" s="350"/>
      <c r="K33" s="415"/>
      <c r="L33" s="415"/>
      <c r="M33" s="415"/>
      <c r="N33" s="415"/>
      <c r="O33" s="415"/>
      <c r="P33" s="415"/>
      <c r="Q33" s="415"/>
      <c r="R33" s="415"/>
      <c r="S33" s="415"/>
      <c r="T33" s="415"/>
      <c r="U33" s="415"/>
      <c r="V33" s="415"/>
      <c r="W33" s="283"/>
      <c r="X33" s="284" t="n">
        <f aca="false">IFERROR(K33*$E33, "")</f>
        <v>0</v>
      </c>
      <c r="Y33" s="284" t="n">
        <f aca="false">IFERROR(L33*$E33, "")</f>
        <v>0</v>
      </c>
      <c r="Z33" s="284" t="n">
        <f aca="false">IFERROR(M33*$E33, "")</f>
        <v>0</v>
      </c>
      <c r="AA33" s="284" t="n">
        <f aca="false">IFERROR(N33*$E33, "")</f>
        <v>0</v>
      </c>
      <c r="AB33" s="284" t="n">
        <f aca="false">IFERROR(O33*$E33, "")</f>
        <v>0</v>
      </c>
      <c r="AC33" s="284" t="n">
        <f aca="false">IFERROR(P33*$E33, "")</f>
        <v>0</v>
      </c>
      <c r="AD33" s="284" t="n">
        <f aca="false">IFERROR(Q33*$E33, "")</f>
        <v>0</v>
      </c>
      <c r="AE33" s="284" t="n">
        <f aca="false">IFERROR(R33*$E33, "")</f>
        <v>0</v>
      </c>
      <c r="AF33" s="284" t="n">
        <f aca="false">IFERROR(S33*$E33, "")</f>
        <v>0</v>
      </c>
      <c r="AG33" s="284" t="n">
        <f aca="false">IFERROR(T33*$E33, "")</f>
        <v>0</v>
      </c>
      <c r="AH33" s="284" t="n">
        <f aca="false">IFERROR(U33*$E33, "")</f>
        <v>0</v>
      </c>
      <c r="AI33" s="284" t="n">
        <f aca="false">IFERROR(V33*$E33, "")</f>
        <v>0</v>
      </c>
      <c r="AJ33" s="286" t="n">
        <f aca="false">IFERROR(SUMIF($X$4:$AI$4, "RDEC", X33:AI33), "")</f>
        <v>0</v>
      </c>
      <c r="AK33" s="286" t="n">
        <f aca="false">IFERROR(SUMIF($X$4:$AI$4, "SME", X33:AI33), "")</f>
        <v>0</v>
      </c>
      <c r="AL33" s="286" t="n">
        <f aca="false">IFERROR(SUMIF($X$4:$AI$4, "De Minimis", X33:AI33), "")</f>
        <v>0</v>
      </c>
      <c r="AM33" s="287"/>
      <c r="AN33" s="288" t="str">
        <f aca="false">IF((SUM(K33:V33)&gt;1),"ERROR","")</f>
        <v/>
      </c>
    </row>
    <row r="34" customFormat="false" ht="15" hidden="false" customHeight="true" outlineLevel="0" collapsed="false">
      <c r="A34" s="411"/>
      <c r="E34" s="200"/>
      <c r="H34" s="350"/>
      <c r="I34" s="414"/>
      <c r="J34" s="350"/>
      <c r="K34" s="415"/>
      <c r="L34" s="415"/>
      <c r="M34" s="415"/>
      <c r="N34" s="415"/>
      <c r="O34" s="415"/>
      <c r="P34" s="415"/>
      <c r="Q34" s="415"/>
      <c r="R34" s="415"/>
      <c r="S34" s="415"/>
      <c r="T34" s="415"/>
      <c r="U34" s="415"/>
      <c r="V34" s="415"/>
      <c r="W34" s="283"/>
      <c r="X34" s="284" t="n">
        <f aca="false">IFERROR(K34*$E34, "")</f>
        <v>0</v>
      </c>
      <c r="Y34" s="284" t="n">
        <f aca="false">IFERROR(L34*$E34, "")</f>
        <v>0</v>
      </c>
      <c r="Z34" s="284" t="n">
        <f aca="false">IFERROR(M34*$E34, "")</f>
        <v>0</v>
      </c>
      <c r="AA34" s="284" t="n">
        <f aca="false">IFERROR(N34*$E34, "")</f>
        <v>0</v>
      </c>
      <c r="AB34" s="284" t="n">
        <f aca="false">IFERROR(O34*$E34, "")</f>
        <v>0</v>
      </c>
      <c r="AC34" s="284" t="n">
        <f aca="false">IFERROR(P34*$E34, "")</f>
        <v>0</v>
      </c>
      <c r="AD34" s="284" t="n">
        <f aca="false">IFERROR(Q34*$E34, "")</f>
        <v>0</v>
      </c>
      <c r="AE34" s="284" t="n">
        <f aca="false">IFERROR(R34*$E34, "")</f>
        <v>0</v>
      </c>
      <c r="AF34" s="284" t="n">
        <f aca="false">IFERROR(S34*$E34, "")</f>
        <v>0</v>
      </c>
      <c r="AG34" s="284" t="n">
        <f aca="false">IFERROR(T34*$E34, "")</f>
        <v>0</v>
      </c>
      <c r="AH34" s="284" t="n">
        <f aca="false">IFERROR(U34*$E34, "")</f>
        <v>0</v>
      </c>
      <c r="AI34" s="284" t="n">
        <f aca="false">IFERROR(V34*$E34, "")</f>
        <v>0</v>
      </c>
      <c r="AJ34" s="286" t="n">
        <f aca="false">IFERROR(SUMIF($X$4:$AI$4, "RDEC", X34:AI34), "")</f>
        <v>0</v>
      </c>
      <c r="AK34" s="286" t="n">
        <f aca="false">IFERROR(SUMIF($X$4:$AI$4, "SME", X34:AI34), "")</f>
        <v>0</v>
      </c>
      <c r="AL34" s="286" t="n">
        <f aca="false">IFERROR(SUMIF($X$4:$AI$4, "De Minimis", X34:AI34), "")</f>
        <v>0</v>
      </c>
      <c r="AM34" s="303"/>
      <c r="AN34" s="288" t="str">
        <f aca="false">IF((SUM(K34:V34)&gt;1),"ERROR","")</f>
        <v/>
      </c>
    </row>
    <row r="35" customFormat="false" ht="15" hidden="false" customHeight="true" outlineLevel="0" collapsed="false">
      <c r="A35" s="411"/>
      <c r="E35" s="200"/>
      <c r="H35" s="350"/>
      <c r="I35" s="414"/>
      <c r="J35" s="350"/>
      <c r="K35" s="415"/>
      <c r="L35" s="415"/>
      <c r="M35" s="415"/>
      <c r="N35" s="415"/>
      <c r="O35" s="415"/>
      <c r="P35" s="415"/>
      <c r="Q35" s="415"/>
      <c r="R35" s="415"/>
      <c r="S35" s="415"/>
      <c r="T35" s="415"/>
      <c r="U35" s="415"/>
      <c r="V35" s="415"/>
      <c r="W35" s="283"/>
      <c r="X35" s="284" t="n">
        <f aca="false">IFERROR(K35*$E35, "")</f>
        <v>0</v>
      </c>
      <c r="Y35" s="284" t="n">
        <f aca="false">IFERROR(L35*$E35, "")</f>
        <v>0</v>
      </c>
      <c r="Z35" s="284" t="n">
        <f aca="false">IFERROR(M35*$E35, "")</f>
        <v>0</v>
      </c>
      <c r="AA35" s="284" t="n">
        <f aca="false">IFERROR(N35*$E35, "")</f>
        <v>0</v>
      </c>
      <c r="AB35" s="284" t="n">
        <f aca="false">IFERROR(O35*$E35, "")</f>
        <v>0</v>
      </c>
      <c r="AC35" s="284" t="n">
        <f aca="false">IFERROR(P35*$E35, "")</f>
        <v>0</v>
      </c>
      <c r="AD35" s="284" t="n">
        <f aca="false">IFERROR(Q35*$E35, "")</f>
        <v>0</v>
      </c>
      <c r="AE35" s="284" t="n">
        <f aca="false">IFERROR(R35*$E35, "")</f>
        <v>0</v>
      </c>
      <c r="AF35" s="284" t="n">
        <f aca="false">IFERROR(S35*$E35, "")</f>
        <v>0</v>
      </c>
      <c r="AG35" s="284" t="n">
        <f aca="false">IFERROR(T35*$E35, "")</f>
        <v>0</v>
      </c>
      <c r="AH35" s="284" t="n">
        <f aca="false">IFERROR(U35*$E35, "")</f>
        <v>0</v>
      </c>
      <c r="AI35" s="284" t="n">
        <f aca="false">IFERROR(V35*$E35, "")</f>
        <v>0</v>
      </c>
      <c r="AJ35" s="286" t="n">
        <f aca="false">IFERROR(SUMIF($X$4:$AI$4, "RDEC", X35:AI35), "")</f>
        <v>0</v>
      </c>
      <c r="AK35" s="286" t="n">
        <f aca="false">IFERROR(SUMIF($X$4:$AI$4, "SME", X35:AI35), "")</f>
        <v>0</v>
      </c>
      <c r="AL35" s="286" t="n">
        <f aca="false">IFERROR(SUMIF($X$4:$AI$4, "De Minimis", X35:AI35), "")</f>
        <v>0</v>
      </c>
      <c r="AM35" s="303"/>
      <c r="AN35" s="288" t="str">
        <f aca="false">IF((SUM(K35:V35)&gt;1),"ERROR","")</f>
        <v/>
      </c>
    </row>
    <row r="36" customFormat="false" ht="15" hidden="false" customHeight="true" outlineLevel="0" collapsed="false">
      <c r="A36" s="411"/>
      <c r="E36" s="200"/>
      <c r="H36" s="350"/>
      <c r="I36" s="414"/>
      <c r="J36" s="350"/>
      <c r="K36" s="415"/>
      <c r="L36" s="415"/>
      <c r="M36" s="415"/>
      <c r="N36" s="415"/>
      <c r="O36" s="415"/>
      <c r="P36" s="415"/>
      <c r="Q36" s="415"/>
      <c r="R36" s="415"/>
      <c r="S36" s="415"/>
      <c r="T36" s="415"/>
      <c r="U36" s="415"/>
      <c r="V36" s="415"/>
      <c r="W36" s="283"/>
      <c r="X36" s="284" t="n">
        <f aca="false">IFERROR(K36*$E36, "")</f>
        <v>0</v>
      </c>
      <c r="Y36" s="284" t="n">
        <f aca="false">IFERROR(L36*$E36, "")</f>
        <v>0</v>
      </c>
      <c r="Z36" s="284" t="n">
        <f aca="false">IFERROR(M36*$E36, "")</f>
        <v>0</v>
      </c>
      <c r="AA36" s="284" t="n">
        <f aca="false">IFERROR(N36*$E36, "")</f>
        <v>0</v>
      </c>
      <c r="AB36" s="284" t="n">
        <f aca="false">IFERROR(O36*$E36, "")</f>
        <v>0</v>
      </c>
      <c r="AC36" s="284" t="n">
        <f aca="false">IFERROR(P36*$E36, "")</f>
        <v>0</v>
      </c>
      <c r="AD36" s="284" t="n">
        <f aca="false">IFERROR(Q36*$E36, "")</f>
        <v>0</v>
      </c>
      <c r="AE36" s="284" t="n">
        <f aca="false">IFERROR(R36*$E36, "")</f>
        <v>0</v>
      </c>
      <c r="AF36" s="284" t="n">
        <f aca="false">IFERROR(S36*$E36, "")</f>
        <v>0</v>
      </c>
      <c r="AG36" s="284" t="n">
        <f aca="false">IFERROR(T36*$E36, "")</f>
        <v>0</v>
      </c>
      <c r="AH36" s="284" t="n">
        <f aca="false">IFERROR(U36*$E36, "")</f>
        <v>0</v>
      </c>
      <c r="AI36" s="284" t="n">
        <f aca="false">IFERROR(V36*$E36, "")</f>
        <v>0</v>
      </c>
      <c r="AJ36" s="286" t="n">
        <f aca="false">IFERROR(SUMIF($X$4:$AI$4, "RDEC", X36:AI36), "")</f>
        <v>0</v>
      </c>
      <c r="AK36" s="286" t="n">
        <f aca="false">IFERROR(SUMIF($X$4:$AI$4, "SME", X36:AI36), "")</f>
        <v>0</v>
      </c>
      <c r="AL36" s="286" t="n">
        <f aca="false">IFERROR(SUMIF($X$4:$AI$4, "De Minimis", X36:AI36), "")</f>
        <v>0</v>
      </c>
      <c r="AM36" s="268"/>
      <c r="AN36" s="288" t="str">
        <f aca="false">IF((SUM(K36:V36)&gt;1),"ERROR","")</f>
        <v/>
      </c>
    </row>
    <row r="37" customFormat="false" ht="15" hidden="false" customHeight="true" outlineLevel="0" collapsed="false">
      <c r="A37" s="411"/>
      <c r="E37" s="200"/>
      <c r="H37" s="350"/>
      <c r="I37" s="414"/>
      <c r="J37" s="350"/>
      <c r="K37" s="415"/>
      <c r="L37" s="415"/>
      <c r="M37" s="415"/>
      <c r="N37" s="415"/>
      <c r="O37" s="415"/>
      <c r="P37" s="415"/>
      <c r="Q37" s="415"/>
      <c r="R37" s="415"/>
      <c r="S37" s="415"/>
      <c r="T37" s="415"/>
      <c r="U37" s="415"/>
      <c r="V37" s="415"/>
      <c r="W37" s="283"/>
      <c r="X37" s="284" t="n">
        <f aca="false">IFERROR(K37*$E37, "")</f>
        <v>0</v>
      </c>
      <c r="Y37" s="284" t="n">
        <f aca="false">IFERROR(L37*$E37, "")</f>
        <v>0</v>
      </c>
      <c r="Z37" s="284" t="n">
        <f aca="false">IFERROR(M37*$E37, "")</f>
        <v>0</v>
      </c>
      <c r="AA37" s="284" t="n">
        <f aca="false">IFERROR(N37*$E37, "")</f>
        <v>0</v>
      </c>
      <c r="AB37" s="284" t="n">
        <f aca="false">IFERROR(O37*$E37, "")</f>
        <v>0</v>
      </c>
      <c r="AC37" s="284" t="n">
        <f aca="false">IFERROR(P37*$E37, "")</f>
        <v>0</v>
      </c>
      <c r="AD37" s="284" t="n">
        <f aca="false">IFERROR(Q37*$E37, "")</f>
        <v>0</v>
      </c>
      <c r="AE37" s="284" t="n">
        <f aca="false">IFERROR(R37*$E37, "")</f>
        <v>0</v>
      </c>
      <c r="AF37" s="284" t="n">
        <f aca="false">IFERROR(S37*$E37, "")</f>
        <v>0</v>
      </c>
      <c r="AG37" s="284" t="n">
        <f aca="false">IFERROR(T37*$E37, "")</f>
        <v>0</v>
      </c>
      <c r="AH37" s="284" t="n">
        <f aca="false">IFERROR(U37*$E37, "")</f>
        <v>0</v>
      </c>
      <c r="AI37" s="284" t="n">
        <f aca="false">IFERROR(V37*$E37, "")</f>
        <v>0</v>
      </c>
      <c r="AJ37" s="286" t="n">
        <f aca="false">IFERROR(SUMIF($X$4:$AI$4, "RDEC", X37:AI37), "")</f>
        <v>0</v>
      </c>
      <c r="AK37" s="286" t="n">
        <f aca="false">IFERROR(SUMIF($X$4:$AI$4, "SME", X37:AI37), "")</f>
        <v>0</v>
      </c>
      <c r="AL37" s="286" t="n">
        <f aca="false">IFERROR(SUMIF($X$4:$AI$4, "De Minimis", X37:AI37), "")</f>
        <v>0</v>
      </c>
      <c r="AM37" s="287"/>
      <c r="AN37" s="288" t="str">
        <f aca="false">IF((SUM(K37:V37)&gt;1),"ERROR","")</f>
        <v/>
      </c>
    </row>
    <row r="38" customFormat="false" ht="15" hidden="false" customHeight="true" outlineLevel="0" collapsed="false">
      <c r="A38" s="411"/>
      <c r="E38" s="200"/>
      <c r="H38" s="350"/>
      <c r="I38" s="414"/>
      <c r="J38" s="350"/>
      <c r="K38" s="415"/>
      <c r="L38" s="415"/>
      <c r="M38" s="415"/>
      <c r="N38" s="415"/>
      <c r="O38" s="415"/>
      <c r="P38" s="415"/>
      <c r="Q38" s="415"/>
      <c r="R38" s="415"/>
      <c r="S38" s="415"/>
      <c r="T38" s="415"/>
      <c r="U38" s="415"/>
      <c r="V38" s="415"/>
      <c r="W38" s="283"/>
      <c r="X38" s="284" t="n">
        <f aca="false">IFERROR(K38*$E38, "")</f>
        <v>0</v>
      </c>
      <c r="Y38" s="284" t="n">
        <f aca="false">IFERROR(L38*$E38, "")</f>
        <v>0</v>
      </c>
      <c r="Z38" s="284" t="n">
        <f aca="false">IFERROR(M38*$E38, "")</f>
        <v>0</v>
      </c>
      <c r="AA38" s="284" t="n">
        <f aca="false">IFERROR(N38*$E38, "")</f>
        <v>0</v>
      </c>
      <c r="AB38" s="284" t="n">
        <f aca="false">IFERROR(O38*$E38, "")</f>
        <v>0</v>
      </c>
      <c r="AC38" s="284" t="n">
        <f aca="false">IFERROR(P38*$E38, "")</f>
        <v>0</v>
      </c>
      <c r="AD38" s="284" t="n">
        <f aca="false">IFERROR(Q38*$E38, "")</f>
        <v>0</v>
      </c>
      <c r="AE38" s="284" t="n">
        <f aca="false">IFERROR(R38*$E38, "")</f>
        <v>0</v>
      </c>
      <c r="AF38" s="284" t="n">
        <f aca="false">IFERROR(S38*$E38, "")</f>
        <v>0</v>
      </c>
      <c r="AG38" s="284" t="n">
        <f aca="false">IFERROR(T38*$E38, "")</f>
        <v>0</v>
      </c>
      <c r="AH38" s="284" t="n">
        <f aca="false">IFERROR(U38*$E38, "")</f>
        <v>0</v>
      </c>
      <c r="AI38" s="284" t="n">
        <f aca="false">IFERROR(V38*$E38, "")</f>
        <v>0</v>
      </c>
      <c r="AJ38" s="286" t="n">
        <f aca="false">IFERROR(SUMIF($X$4:$AI$4, "RDEC", X38:AI38), "")</f>
        <v>0</v>
      </c>
      <c r="AK38" s="286" t="n">
        <f aca="false">IFERROR(SUMIF($X$4:$AI$4, "SME", X38:AI38), "")</f>
        <v>0</v>
      </c>
      <c r="AL38" s="286" t="n">
        <f aca="false">IFERROR(SUMIF($X$4:$AI$4, "De Minimis", X38:AI38), "")</f>
        <v>0</v>
      </c>
      <c r="AM38" s="287"/>
      <c r="AN38" s="288" t="str">
        <f aca="false">IF((SUM(K38:V38)&gt;1),"ERROR","")</f>
        <v/>
      </c>
    </row>
    <row r="39" customFormat="false" ht="15" hidden="false" customHeight="true" outlineLevel="0" collapsed="false">
      <c r="A39" s="411"/>
      <c r="E39" s="200"/>
      <c r="H39" s="350"/>
      <c r="I39" s="414"/>
      <c r="J39" s="350"/>
      <c r="K39" s="415"/>
      <c r="L39" s="415"/>
      <c r="M39" s="415"/>
      <c r="N39" s="415"/>
      <c r="O39" s="415"/>
      <c r="P39" s="415"/>
      <c r="Q39" s="415"/>
      <c r="R39" s="415"/>
      <c r="S39" s="415"/>
      <c r="T39" s="415"/>
      <c r="U39" s="415"/>
      <c r="V39" s="415"/>
      <c r="W39" s="283"/>
      <c r="X39" s="284" t="n">
        <f aca="false">IFERROR(K39*$E39, "")</f>
        <v>0</v>
      </c>
      <c r="Y39" s="284" t="n">
        <f aca="false">IFERROR(L39*$E39, "")</f>
        <v>0</v>
      </c>
      <c r="Z39" s="284" t="n">
        <f aca="false">IFERROR(M39*$E39, "")</f>
        <v>0</v>
      </c>
      <c r="AA39" s="284" t="n">
        <f aca="false">IFERROR(N39*$E39, "")</f>
        <v>0</v>
      </c>
      <c r="AB39" s="284" t="n">
        <f aca="false">IFERROR(O39*$E39, "")</f>
        <v>0</v>
      </c>
      <c r="AC39" s="284" t="n">
        <f aca="false">IFERROR(P39*$E39, "")</f>
        <v>0</v>
      </c>
      <c r="AD39" s="284" t="n">
        <f aca="false">IFERROR(Q39*$E39, "")</f>
        <v>0</v>
      </c>
      <c r="AE39" s="284" t="n">
        <f aca="false">IFERROR(R39*$E39, "")</f>
        <v>0</v>
      </c>
      <c r="AF39" s="284" t="n">
        <f aca="false">IFERROR(S39*$E39, "")</f>
        <v>0</v>
      </c>
      <c r="AG39" s="284" t="n">
        <f aca="false">IFERROR(T39*$E39, "")</f>
        <v>0</v>
      </c>
      <c r="AH39" s="284" t="n">
        <f aca="false">IFERROR(U39*$E39, "")</f>
        <v>0</v>
      </c>
      <c r="AI39" s="284" t="n">
        <f aca="false">IFERROR(V39*$E39, "")</f>
        <v>0</v>
      </c>
      <c r="AJ39" s="286" t="n">
        <f aca="false">IFERROR(SUMIF($X$4:$AI$4, "RDEC", X39:AI39), "")</f>
        <v>0</v>
      </c>
      <c r="AK39" s="286" t="n">
        <f aca="false">IFERROR(SUMIF($X$4:$AI$4, "SME", X39:AI39), "")</f>
        <v>0</v>
      </c>
      <c r="AL39" s="286" t="n">
        <f aca="false">IFERROR(SUMIF($X$4:$AI$4, "De Minimis", X39:AI39), "")</f>
        <v>0</v>
      </c>
      <c r="AM39" s="287"/>
      <c r="AN39" s="288" t="str">
        <f aca="false">IF((SUM(K39:V39)&gt;1),"ERROR","")</f>
        <v/>
      </c>
    </row>
    <row r="40" customFormat="false" ht="15" hidden="false" customHeight="true" outlineLevel="0" collapsed="false">
      <c r="A40" s="411"/>
      <c r="E40" s="200"/>
      <c r="H40" s="350"/>
      <c r="I40" s="414"/>
      <c r="J40" s="350"/>
      <c r="K40" s="415"/>
      <c r="L40" s="415"/>
      <c r="M40" s="415"/>
      <c r="N40" s="415"/>
      <c r="O40" s="415"/>
      <c r="P40" s="415"/>
      <c r="Q40" s="415"/>
      <c r="R40" s="415"/>
      <c r="S40" s="415"/>
      <c r="T40" s="415"/>
      <c r="U40" s="415"/>
      <c r="V40" s="415"/>
      <c r="W40" s="283"/>
      <c r="X40" s="284" t="n">
        <f aca="false">IFERROR(K40*$E40, "")</f>
        <v>0</v>
      </c>
      <c r="Y40" s="284" t="n">
        <f aca="false">IFERROR(L40*$E40, "")</f>
        <v>0</v>
      </c>
      <c r="Z40" s="284" t="n">
        <f aca="false">IFERROR(M40*$E40, "")</f>
        <v>0</v>
      </c>
      <c r="AA40" s="284" t="n">
        <f aca="false">IFERROR(N40*$E40, "")</f>
        <v>0</v>
      </c>
      <c r="AB40" s="284" t="n">
        <f aca="false">IFERROR(O40*$E40, "")</f>
        <v>0</v>
      </c>
      <c r="AC40" s="284" t="n">
        <f aca="false">IFERROR(P40*$E40, "")</f>
        <v>0</v>
      </c>
      <c r="AD40" s="284" t="n">
        <f aca="false">IFERROR(Q40*$E40, "")</f>
        <v>0</v>
      </c>
      <c r="AE40" s="284" t="n">
        <f aca="false">IFERROR(R40*$E40, "")</f>
        <v>0</v>
      </c>
      <c r="AF40" s="284" t="n">
        <f aca="false">IFERROR(S40*$E40, "")</f>
        <v>0</v>
      </c>
      <c r="AG40" s="284" t="n">
        <f aca="false">IFERROR(T40*$E40, "")</f>
        <v>0</v>
      </c>
      <c r="AH40" s="284" t="n">
        <f aca="false">IFERROR(U40*$E40, "")</f>
        <v>0</v>
      </c>
      <c r="AI40" s="284" t="n">
        <f aca="false">IFERROR(V40*$E40, "")</f>
        <v>0</v>
      </c>
      <c r="AJ40" s="286" t="n">
        <f aca="false">IFERROR(SUMIF($X$4:$AI$4, "RDEC", X40:AI40), "")</f>
        <v>0</v>
      </c>
      <c r="AK40" s="286" t="n">
        <f aca="false">IFERROR(SUMIF($X$4:$AI$4, "SME", X40:AI40), "")</f>
        <v>0</v>
      </c>
      <c r="AL40" s="286" t="n">
        <f aca="false">IFERROR(SUMIF($X$4:$AI$4, "De Minimis", X40:AI40), "")</f>
        <v>0</v>
      </c>
      <c r="AM40" s="287"/>
      <c r="AN40" s="288" t="str">
        <f aca="false">IF((SUM(K40:V40)&gt;1),"ERROR","")</f>
        <v/>
      </c>
    </row>
    <row r="41" customFormat="false" ht="15" hidden="false" customHeight="true" outlineLevel="0" collapsed="false">
      <c r="A41" s="411"/>
      <c r="E41" s="200"/>
      <c r="H41" s="350"/>
      <c r="I41" s="414"/>
      <c r="J41" s="350"/>
      <c r="K41" s="415"/>
      <c r="L41" s="415"/>
      <c r="M41" s="415"/>
      <c r="N41" s="415"/>
      <c r="O41" s="415"/>
      <c r="P41" s="415"/>
      <c r="Q41" s="415"/>
      <c r="R41" s="415"/>
      <c r="S41" s="415"/>
      <c r="T41" s="415"/>
      <c r="U41" s="415"/>
      <c r="V41" s="415"/>
      <c r="W41" s="283"/>
      <c r="X41" s="284" t="n">
        <f aca="false">IFERROR(K41*$E41, "")</f>
        <v>0</v>
      </c>
      <c r="Y41" s="284" t="n">
        <f aca="false">IFERROR(L41*$E41, "")</f>
        <v>0</v>
      </c>
      <c r="Z41" s="284" t="n">
        <f aca="false">IFERROR(M41*$E41, "")</f>
        <v>0</v>
      </c>
      <c r="AA41" s="284" t="n">
        <f aca="false">IFERROR(N41*$E41, "")</f>
        <v>0</v>
      </c>
      <c r="AB41" s="284" t="n">
        <f aca="false">IFERROR(O41*$E41, "")</f>
        <v>0</v>
      </c>
      <c r="AC41" s="284" t="n">
        <f aca="false">IFERROR(P41*$E41, "")</f>
        <v>0</v>
      </c>
      <c r="AD41" s="284" t="n">
        <f aca="false">IFERROR(Q41*$E41, "")</f>
        <v>0</v>
      </c>
      <c r="AE41" s="284" t="n">
        <f aca="false">IFERROR(R41*$E41, "")</f>
        <v>0</v>
      </c>
      <c r="AF41" s="284" t="n">
        <f aca="false">IFERROR(S41*$E41, "")</f>
        <v>0</v>
      </c>
      <c r="AG41" s="284" t="n">
        <f aca="false">IFERROR(T41*$E41, "")</f>
        <v>0</v>
      </c>
      <c r="AH41" s="284" t="n">
        <f aca="false">IFERROR(U41*$E41, "")</f>
        <v>0</v>
      </c>
      <c r="AI41" s="284" t="n">
        <f aca="false">IFERROR(V41*$E41, "")</f>
        <v>0</v>
      </c>
      <c r="AJ41" s="286" t="n">
        <f aca="false">IFERROR(SUMIF($X$4:$AI$4, "RDEC", X41:AI41), "")</f>
        <v>0</v>
      </c>
      <c r="AK41" s="286" t="n">
        <f aca="false">IFERROR(SUMIF($X$4:$AI$4, "SME", X41:AI41), "")</f>
        <v>0</v>
      </c>
      <c r="AL41" s="286" t="n">
        <f aca="false">IFERROR(SUMIF($X$4:$AI$4, "De Minimis", X41:AI41), "")</f>
        <v>0</v>
      </c>
      <c r="AM41" s="287"/>
      <c r="AN41" s="288" t="str">
        <f aca="false">IF((SUM(K41:V41)&gt;1),"ERROR","")</f>
        <v/>
      </c>
    </row>
    <row r="42" customFormat="false" ht="15" hidden="false" customHeight="true" outlineLevel="0" collapsed="false">
      <c r="A42" s="411"/>
      <c r="E42" s="200"/>
      <c r="H42" s="350"/>
      <c r="I42" s="414"/>
      <c r="J42" s="350"/>
      <c r="K42" s="415"/>
      <c r="L42" s="415"/>
      <c r="M42" s="415"/>
      <c r="N42" s="415"/>
      <c r="O42" s="415"/>
      <c r="P42" s="415"/>
      <c r="Q42" s="415"/>
      <c r="R42" s="415"/>
      <c r="S42" s="415"/>
      <c r="T42" s="415"/>
      <c r="U42" s="415"/>
      <c r="V42" s="415"/>
      <c r="W42" s="283"/>
      <c r="X42" s="284" t="n">
        <f aca="false">IFERROR(K42*$E42, "")</f>
        <v>0</v>
      </c>
      <c r="Y42" s="284" t="n">
        <f aca="false">IFERROR(L42*$E42, "")</f>
        <v>0</v>
      </c>
      <c r="Z42" s="284" t="n">
        <f aca="false">IFERROR(M42*$E42, "")</f>
        <v>0</v>
      </c>
      <c r="AA42" s="284" t="n">
        <f aca="false">IFERROR(N42*$E42, "")</f>
        <v>0</v>
      </c>
      <c r="AB42" s="284" t="n">
        <f aca="false">IFERROR(O42*$E42, "")</f>
        <v>0</v>
      </c>
      <c r="AC42" s="284" t="n">
        <f aca="false">IFERROR(P42*$E42, "")</f>
        <v>0</v>
      </c>
      <c r="AD42" s="284" t="n">
        <f aca="false">IFERROR(Q42*$E42, "")</f>
        <v>0</v>
      </c>
      <c r="AE42" s="284" t="n">
        <f aca="false">IFERROR(R42*$E42, "")</f>
        <v>0</v>
      </c>
      <c r="AF42" s="284" t="n">
        <f aca="false">IFERROR(S42*$E42, "")</f>
        <v>0</v>
      </c>
      <c r="AG42" s="284" t="n">
        <f aca="false">IFERROR(T42*$E42, "")</f>
        <v>0</v>
      </c>
      <c r="AH42" s="284" t="n">
        <f aca="false">IFERROR(U42*$E42, "")</f>
        <v>0</v>
      </c>
      <c r="AI42" s="284" t="n">
        <f aca="false">IFERROR(V42*$E42, "")</f>
        <v>0</v>
      </c>
      <c r="AJ42" s="286" t="n">
        <f aca="false">IFERROR(SUMIF($X$4:$AI$4, "RDEC", X42:AI42), "")</f>
        <v>0</v>
      </c>
      <c r="AK42" s="286" t="n">
        <f aca="false">IFERROR(SUMIF($X$4:$AI$4, "SME", X42:AI42), "")</f>
        <v>0</v>
      </c>
      <c r="AL42" s="286" t="n">
        <f aca="false">IFERROR(SUMIF($X$4:$AI$4, "De Minimis", X42:AI42), "")</f>
        <v>0</v>
      </c>
      <c r="AM42" s="287"/>
      <c r="AN42" s="288" t="str">
        <f aca="false">IF((SUM(K42:V42)&gt;1),"ERROR","")</f>
        <v/>
      </c>
    </row>
    <row r="43" customFormat="false" ht="15" hidden="false" customHeight="true" outlineLevel="0" collapsed="false">
      <c r="A43" s="411"/>
      <c r="E43" s="200"/>
      <c r="H43" s="350"/>
      <c r="I43" s="414"/>
      <c r="J43" s="350"/>
      <c r="K43" s="415"/>
      <c r="L43" s="415"/>
      <c r="M43" s="415"/>
      <c r="N43" s="415"/>
      <c r="O43" s="415"/>
      <c r="P43" s="415"/>
      <c r="Q43" s="415"/>
      <c r="R43" s="415"/>
      <c r="S43" s="415"/>
      <c r="T43" s="415"/>
      <c r="U43" s="415"/>
      <c r="V43" s="415"/>
      <c r="W43" s="283"/>
      <c r="X43" s="284" t="n">
        <f aca="false">IFERROR(K43*$E43, "")</f>
        <v>0</v>
      </c>
      <c r="Y43" s="284" t="n">
        <f aca="false">IFERROR(L43*$E43, "")</f>
        <v>0</v>
      </c>
      <c r="Z43" s="284" t="n">
        <f aca="false">IFERROR(M43*$E43, "")</f>
        <v>0</v>
      </c>
      <c r="AA43" s="284" t="n">
        <f aca="false">IFERROR(N43*$E43, "")</f>
        <v>0</v>
      </c>
      <c r="AB43" s="284" t="n">
        <f aca="false">IFERROR(O43*$E43, "")</f>
        <v>0</v>
      </c>
      <c r="AC43" s="284" t="n">
        <f aca="false">IFERROR(P43*$E43, "")</f>
        <v>0</v>
      </c>
      <c r="AD43" s="284" t="n">
        <f aca="false">IFERROR(Q43*$E43, "")</f>
        <v>0</v>
      </c>
      <c r="AE43" s="284" t="n">
        <f aca="false">IFERROR(R43*$E43, "")</f>
        <v>0</v>
      </c>
      <c r="AF43" s="284" t="n">
        <f aca="false">IFERROR(S43*$E43, "")</f>
        <v>0</v>
      </c>
      <c r="AG43" s="284" t="n">
        <f aca="false">IFERROR(T43*$E43, "")</f>
        <v>0</v>
      </c>
      <c r="AH43" s="284" t="n">
        <f aca="false">IFERROR(U43*$E43, "")</f>
        <v>0</v>
      </c>
      <c r="AI43" s="284" t="n">
        <f aca="false">IFERROR(V43*$E43, "")</f>
        <v>0</v>
      </c>
      <c r="AJ43" s="286" t="n">
        <f aca="false">IFERROR(SUMIF($X$4:$AI$4, "RDEC", X43:AI43), "")</f>
        <v>0</v>
      </c>
      <c r="AK43" s="286" t="n">
        <f aca="false">IFERROR(SUMIF($X$4:$AI$4, "SME", X43:AI43), "")</f>
        <v>0</v>
      </c>
      <c r="AL43" s="286" t="n">
        <f aca="false">IFERROR(SUMIF($X$4:$AI$4, "De Minimis", X43:AI43), "")</f>
        <v>0</v>
      </c>
      <c r="AM43" s="287"/>
      <c r="AN43" s="288" t="str">
        <f aca="false">IF((SUM(K43:V43)&gt;1),"ERROR","")</f>
        <v/>
      </c>
    </row>
    <row r="44" customFormat="false" ht="15" hidden="false" customHeight="true" outlineLevel="0" collapsed="false">
      <c r="A44" s="411"/>
      <c r="E44" s="200"/>
      <c r="H44" s="350"/>
      <c r="I44" s="414"/>
      <c r="J44" s="350"/>
      <c r="K44" s="415"/>
      <c r="L44" s="415"/>
      <c r="M44" s="415"/>
      <c r="N44" s="415"/>
      <c r="O44" s="415"/>
      <c r="P44" s="415"/>
      <c r="Q44" s="415"/>
      <c r="R44" s="415"/>
      <c r="S44" s="415"/>
      <c r="T44" s="415"/>
      <c r="U44" s="415"/>
      <c r="V44" s="415"/>
      <c r="W44" s="283"/>
      <c r="X44" s="284" t="n">
        <f aca="false">IFERROR(K44*$E44, "")</f>
        <v>0</v>
      </c>
      <c r="Y44" s="284" t="n">
        <f aca="false">IFERROR(L44*$E44, "")</f>
        <v>0</v>
      </c>
      <c r="Z44" s="284" t="n">
        <f aca="false">IFERROR(M44*$E44, "")</f>
        <v>0</v>
      </c>
      <c r="AA44" s="284" t="n">
        <f aca="false">IFERROR(N44*$E44, "")</f>
        <v>0</v>
      </c>
      <c r="AB44" s="284" t="n">
        <f aca="false">IFERROR(O44*$E44, "")</f>
        <v>0</v>
      </c>
      <c r="AC44" s="284" t="n">
        <f aca="false">IFERROR(P44*$E44, "")</f>
        <v>0</v>
      </c>
      <c r="AD44" s="284" t="n">
        <f aca="false">IFERROR(Q44*$E44, "")</f>
        <v>0</v>
      </c>
      <c r="AE44" s="284" t="n">
        <f aca="false">IFERROR(R44*$E44, "")</f>
        <v>0</v>
      </c>
      <c r="AF44" s="284" t="n">
        <f aca="false">IFERROR(S44*$E44, "")</f>
        <v>0</v>
      </c>
      <c r="AG44" s="284" t="n">
        <f aca="false">IFERROR(T44*$E44, "")</f>
        <v>0</v>
      </c>
      <c r="AH44" s="284" t="n">
        <f aca="false">IFERROR(U44*$E44, "")</f>
        <v>0</v>
      </c>
      <c r="AI44" s="284" t="n">
        <f aca="false">IFERROR(V44*$E44, "")</f>
        <v>0</v>
      </c>
      <c r="AJ44" s="286" t="n">
        <f aca="false">IFERROR(SUMIF($X$4:$AI$4, "RDEC", X44:AI44), "")</f>
        <v>0</v>
      </c>
      <c r="AK44" s="286" t="n">
        <f aca="false">IFERROR(SUMIF($X$4:$AI$4, "SME", X44:AI44), "")</f>
        <v>0</v>
      </c>
      <c r="AL44" s="286" t="n">
        <f aca="false">IFERROR(SUMIF($X$4:$AI$4, "De Minimis", X44:AI44), "")</f>
        <v>0</v>
      </c>
      <c r="AM44" s="287"/>
      <c r="AN44" s="288" t="str">
        <f aca="false">IF((SUM(K44:V44)&gt;1),"ERROR","")</f>
        <v/>
      </c>
    </row>
    <row r="45" customFormat="false" ht="15" hidden="false" customHeight="true" outlineLevel="0" collapsed="false">
      <c r="A45" s="411"/>
      <c r="E45" s="200"/>
      <c r="H45" s="350"/>
      <c r="I45" s="414"/>
      <c r="J45" s="350"/>
      <c r="K45" s="415"/>
      <c r="L45" s="415"/>
      <c r="M45" s="415"/>
      <c r="N45" s="415"/>
      <c r="O45" s="415"/>
      <c r="P45" s="415"/>
      <c r="Q45" s="415"/>
      <c r="R45" s="415"/>
      <c r="S45" s="415"/>
      <c r="T45" s="415"/>
      <c r="U45" s="415"/>
      <c r="V45" s="415"/>
      <c r="W45" s="283"/>
      <c r="X45" s="284" t="n">
        <f aca="false">IFERROR(K45*$E45, "")</f>
        <v>0</v>
      </c>
      <c r="Y45" s="284" t="n">
        <f aca="false">IFERROR(L45*$E45, "")</f>
        <v>0</v>
      </c>
      <c r="Z45" s="284" t="n">
        <f aca="false">IFERROR(M45*$E45, "")</f>
        <v>0</v>
      </c>
      <c r="AA45" s="284" t="n">
        <f aca="false">IFERROR(N45*$E45, "")</f>
        <v>0</v>
      </c>
      <c r="AB45" s="284" t="n">
        <f aca="false">IFERROR(O45*$E45, "")</f>
        <v>0</v>
      </c>
      <c r="AC45" s="284" t="n">
        <f aca="false">IFERROR(P45*$E45, "")</f>
        <v>0</v>
      </c>
      <c r="AD45" s="284" t="n">
        <f aca="false">IFERROR(Q45*$E45, "")</f>
        <v>0</v>
      </c>
      <c r="AE45" s="284" t="n">
        <f aca="false">IFERROR(R45*$E45, "")</f>
        <v>0</v>
      </c>
      <c r="AF45" s="284" t="n">
        <f aca="false">IFERROR(S45*$E45, "")</f>
        <v>0</v>
      </c>
      <c r="AG45" s="284" t="n">
        <f aca="false">IFERROR(T45*$E45, "")</f>
        <v>0</v>
      </c>
      <c r="AH45" s="284" t="n">
        <f aca="false">IFERROR(U45*$E45, "")</f>
        <v>0</v>
      </c>
      <c r="AI45" s="284" t="n">
        <f aca="false">IFERROR(V45*$E45, "")</f>
        <v>0</v>
      </c>
      <c r="AJ45" s="286" t="n">
        <f aca="false">IFERROR(SUMIF($X$4:$AI$4, "RDEC", X45:AI45), "")</f>
        <v>0</v>
      </c>
      <c r="AK45" s="286" t="n">
        <f aca="false">IFERROR(SUMIF($X$4:$AI$4, "SME", X45:AI45), "")</f>
        <v>0</v>
      </c>
      <c r="AL45" s="286" t="n">
        <f aca="false">IFERROR(SUMIF($X$4:$AI$4, "De Minimis", X45:AI45), "")</f>
        <v>0</v>
      </c>
      <c r="AM45" s="287"/>
      <c r="AN45" s="288" t="str">
        <f aca="false">IF((SUM(K45:V45)&gt;1),"ERROR","")</f>
        <v/>
      </c>
    </row>
    <row r="46" customFormat="false" ht="15" hidden="false" customHeight="true" outlineLevel="0" collapsed="false">
      <c r="A46" s="411"/>
      <c r="E46" s="200"/>
      <c r="H46" s="350"/>
      <c r="I46" s="414"/>
      <c r="J46" s="350"/>
      <c r="K46" s="415"/>
      <c r="L46" s="415"/>
      <c r="M46" s="415"/>
      <c r="N46" s="415"/>
      <c r="O46" s="415"/>
      <c r="P46" s="415"/>
      <c r="Q46" s="415"/>
      <c r="R46" s="415"/>
      <c r="S46" s="415"/>
      <c r="T46" s="415"/>
      <c r="U46" s="415"/>
      <c r="V46" s="415"/>
      <c r="W46" s="283"/>
      <c r="X46" s="284" t="n">
        <f aca="false">IFERROR(K46*$E46, "")</f>
        <v>0</v>
      </c>
      <c r="Y46" s="284" t="n">
        <f aca="false">IFERROR(L46*$E46, "")</f>
        <v>0</v>
      </c>
      <c r="Z46" s="284" t="n">
        <f aca="false">IFERROR(M46*$E46, "")</f>
        <v>0</v>
      </c>
      <c r="AA46" s="284" t="n">
        <f aca="false">IFERROR(N46*$E46, "")</f>
        <v>0</v>
      </c>
      <c r="AB46" s="284" t="n">
        <f aca="false">IFERROR(O46*$E46, "")</f>
        <v>0</v>
      </c>
      <c r="AC46" s="284" t="n">
        <f aca="false">IFERROR(P46*$E46, "")</f>
        <v>0</v>
      </c>
      <c r="AD46" s="284" t="n">
        <f aca="false">IFERROR(Q46*$E46, "")</f>
        <v>0</v>
      </c>
      <c r="AE46" s="284" t="n">
        <f aca="false">IFERROR(R46*$E46, "")</f>
        <v>0</v>
      </c>
      <c r="AF46" s="284" t="n">
        <f aca="false">IFERROR(S46*$E46, "")</f>
        <v>0</v>
      </c>
      <c r="AG46" s="284" t="n">
        <f aca="false">IFERROR(T46*$E46, "")</f>
        <v>0</v>
      </c>
      <c r="AH46" s="284" t="n">
        <f aca="false">IFERROR(U46*$E46, "")</f>
        <v>0</v>
      </c>
      <c r="AI46" s="284" t="n">
        <f aca="false">IFERROR(V46*$E46, "")</f>
        <v>0</v>
      </c>
      <c r="AJ46" s="286" t="n">
        <f aca="false">IFERROR(SUMIF($X$4:$AI$4, "RDEC", X46:AI46), "")</f>
        <v>0</v>
      </c>
      <c r="AK46" s="286" t="n">
        <f aca="false">IFERROR(SUMIF($X$4:$AI$4, "SME", X46:AI46), "")</f>
        <v>0</v>
      </c>
      <c r="AL46" s="286" t="n">
        <f aca="false">IFERROR(SUMIF($X$4:$AI$4, "De Minimis", X46:AI46), "")</f>
        <v>0</v>
      </c>
      <c r="AM46" s="287"/>
      <c r="AN46" s="288" t="str">
        <f aca="false">IF((SUM(K46:V46)&gt;1),"ERROR","")</f>
        <v/>
      </c>
    </row>
    <row r="47" customFormat="false" ht="15" hidden="false" customHeight="true" outlineLevel="0" collapsed="false">
      <c r="A47" s="411"/>
      <c r="E47" s="200"/>
      <c r="H47" s="350"/>
      <c r="I47" s="414"/>
      <c r="J47" s="350"/>
      <c r="K47" s="415"/>
      <c r="L47" s="415"/>
      <c r="M47" s="415"/>
      <c r="N47" s="415"/>
      <c r="O47" s="415"/>
      <c r="P47" s="415"/>
      <c r="Q47" s="415"/>
      <c r="R47" s="415"/>
      <c r="S47" s="415"/>
      <c r="T47" s="415"/>
      <c r="U47" s="415"/>
      <c r="V47" s="415"/>
      <c r="W47" s="283"/>
      <c r="X47" s="284" t="n">
        <f aca="false">IFERROR(K47*$E47, "")</f>
        <v>0</v>
      </c>
      <c r="Y47" s="284" t="n">
        <f aca="false">IFERROR(L47*$E47, "")</f>
        <v>0</v>
      </c>
      <c r="Z47" s="284" t="n">
        <f aca="false">IFERROR(M47*$E47, "")</f>
        <v>0</v>
      </c>
      <c r="AA47" s="284" t="n">
        <f aca="false">IFERROR(N47*$E47, "")</f>
        <v>0</v>
      </c>
      <c r="AB47" s="284" t="n">
        <f aca="false">IFERROR(O47*$E47, "")</f>
        <v>0</v>
      </c>
      <c r="AC47" s="284" t="n">
        <f aca="false">IFERROR(P47*$E47, "")</f>
        <v>0</v>
      </c>
      <c r="AD47" s="284" t="n">
        <f aca="false">IFERROR(Q47*$E47, "")</f>
        <v>0</v>
      </c>
      <c r="AE47" s="284" t="n">
        <f aca="false">IFERROR(R47*$E47, "")</f>
        <v>0</v>
      </c>
      <c r="AF47" s="284" t="n">
        <f aca="false">IFERROR(S47*$E47, "")</f>
        <v>0</v>
      </c>
      <c r="AG47" s="284" t="n">
        <f aca="false">IFERROR(T47*$E47, "")</f>
        <v>0</v>
      </c>
      <c r="AH47" s="284" t="n">
        <f aca="false">IFERROR(U47*$E47, "")</f>
        <v>0</v>
      </c>
      <c r="AI47" s="284" t="n">
        <f aca="false">IFERROR(V47*$E47, "")</f>
        <v>0</v>
      </c>
      <c r="AJ47" s="286" t="n">
        <f aca="false">IFERROR(SUMIF($X$4:$AI$4, "RDEC", X47:AI47), "")</f>
        <v>0</v>
      </c>
      <c r="AK47" s="286" t="n">
        <f aca="false">IFERROR(SUMIF($X$4:$AI$4, "SME", X47:AI47), "")</f>
        <v>0</v>
      </c>
      <c r="AL47" s="286" t="n">
        <f aca="false">IFERROR(SUMIF($X$4:$AI$4, "De Minimis", X47:AI47), "")</f>
        <v>0</v>
      </c>
      <c r="AM47" s="287"/>
      <c r="AN47" s="288" t="str">
        <f aca="false">IF((SUM(K47:V47)&gt;1),"ERROR","")</f>
        <v/>
      </c>
    </row>
    <row r="48" customFormat="false" ht="15" hidden="false" customHeight="true" outlineLevel="0" collapsed="false">
      <c r="A48" s="411"/>
      <c r="E48" s="200"/>
      <c r="H48" s="350"/>
      <c r="I48" s="416"/>
      <c r="J48" s="350"/>
      <c r="K48" s="417"/>
      <c r="L48" s="417"/>
      <c r="M48" s="417"/>
      <c r="N48" s="417"/>
      <c r="O48" s="417"/>
      <c r="P48" s="417"/>
      <c r="Q48" s="417"/>
      <c r="R48" s="417"/>
      <c r="S48" s="417"/>
      <c r="T48" s="417"/>
      <c r="U48" s="417"/>
      <c r="V48" s="417"/>
      <c r="W48" s="283"/>
      <c r="X48" s="292"/>
      <c r="Y48" s="292"/>
      <c r="Z48" s="292"/>
      <c r="AA48" s="292"/>
      <c r="AB48" s="292"/>
      <c r="AC48" s="292"/>
      <c r="AD48" s="292"/>
      <c r="AE48" s="292"/>
      <c r="AF48" s="292"/>
      <c r="AG48" s="292"/>
      <c r="AH48" s="292"/>
      <c r="AI48" s="292"/>
      <c r="AJ48" s="294"/>
      <c r="AK48" s="294"/>
      <c r="AL48" s="294"/>
      <c r="AM48" s="287"/>
      <c r="AN48" s="356"/>
    </row>
    <row r="49" customFormat="false" ht="15" hidden="false" customHeight="true" outlineLevel="0" collapsed="false">
      <c r="A49" s="418"/>
      <c r="E49" s="200"/>
      <c r="H49" s="350"/>
      <c r="J49" s="350"/>
      <c r="X49" s="287"/>
      <c r="Y49" s="287"/>
      <c r="Z49" s="287"/>
      <c r="AA49" s="287"/>
      <c r="AB49" s="287"/>
      <c r="AC49" s="287"/>
      <c r="AD49" s="287"/>
      <c r="AE49" s="287"/>
      <c r="AF49" s="287"/>
      <c r="AG49" s="287"/>
      <c r="AH49" s="287"/>
      <c r="AI49" s="287"/>
      <c r="AJ49" s="287"/>
      <c r="AK49" s="287"/>
      <c r="AL49" s="287"/>
      <c r="AM49" s="303"/>
      <c r="AN49" s="17"/>
    </row>
    <row r="50" s="40" customFormat="true" ht="15" hidden="false" customHeight="true" outlineLevel="0" collapsed="false">
      <c r="A50" s="40" t="s">
        <v>82</v>
      </c>
      <c r="D50" s="198"/>
      <c r="E50" s="223" t="n">
        <f aca="false">SUM(E6:E48)</f>
        <v>15700</v>
      </c>
      <c r="H50" s="359"/>
      <c r="I50" s="18"/>
      <c r="J50" s="359"/>
      <c r="K50" s="419" t="n">
        <f aca="false">IFERROR(X50/$E$50,0)</f>
        <v>0.426114649681529</v>
      </c>
      <c r="L50" s="419" t="n">
        <f aca="false">IFERROR(Y50/$E$50,0)</f>
        <v>0.110828025477707</v>
      </c>
      <c r="M50" s="419" t="n">
        <f aca="false">IFERROR(Z50/$E$50,0)</f>
        <v>0.223566878980892</v>
      </c>
      <c r="N50" s="419" t="n">
        <f aca="false">IFERROR(AA50/$E$50,0)</f>
        <v>0.0828025477707006</v>
      </c>
      <c r="O50" s="419" t="n">
        <f aca="false">IFERROR(AB50/$E$50,0)</f>
        <v>0.137579617834395</v>
      </c>
      <c r="P50" s="419" t="n">
        <f aca="false">IFERROR(AC50/$E$50,0)</f>
        <v>0</v>
      </c>
      <c r="Q50" s="419" t="n">
        <f aca="false">IFERROR(AD50/$E$50,0)</f>
        <v>0</v>
      </c>
      <c r="R50" s="419" t="n">
        <f aca="false">IFERROR(AE50/$E$50,0)</f>
        <v>0</v>
      </c>
      <c r="S50" s="419" t="n">
        <f aca="false">IFERROR(AF50/$E$50,0)</f>
        <v>0</v>
      </c>
      <c r="T50" s="419" t="n">
        <f aca="false">IFERROR(AG50/$E$50,0)</f>
        <v>0</v>
      </c>
      <c r="U50" s="419" t="n">
        <f aca="false">IFERROR(AH50/$E$50,0)</f>
        <v>0</v>
      </c>
      <c r="V50" s="419" t="n">
        <f aca="false">IFERROR(AI50/$E$50,0)</f>
        <v>0</v>
      </c>
      <c r="W50" s="190"/>
      <c r="X50" s="361" t="n">
        <f aca="false">(SUM(X7:X48))</f>
        <v>6690</v>
      </c>
      <c r="Y50" s="361" t="n">
        <f aca="false">(SUM(Y7:Y48))</f>
        <v>1740</v>
      </c>
      <c r="Z50" s="361" t="n">
        <f aca="false">(SUM(Z7:Z48))</f>
        <v>3510</v>
      </c>
      <c r="AA50" s="361" t="n">
        <f aca="false">(SUM(AA7:AA48))</f>
        <v>1300</v>
      </c>
      <c r="AB50" s="361" t="n">
        <f aca="false">(SUM(AB7:AB48))</f>
        <v>2160</v>
      </c>
      <c r="AC50" s="361" t="n">
        <f aca="false">(SUM(AC7:AC48))</f>
        <v>0</v>
      </c>
      <c r="AD50" s="361" t="n">
        <f aca="false">(SUM(AD7:AD48))</f>
        <v>0</v>
      </c>
      <c r="AE50" s="361" t="n">
        <f aca="false">(SUM(AE7:AE48))</f>
        <v>0</v>
      </c>
      <c r="AF50" s="361" t="n">
        <f aca="false">(SUM(AF7:AF48))</f>
        <v>0</v>
      </c>
      <c r="AG50" s="361" t="n">
        <f aca="false">(SUM(AG7:AG48))</f>
        <v>0</v>
      </c>
      <c r="AH50" s="361" t="n">
        <f aca="false">(SUM(AH7:AH48))</f>
        <v>0</v>
      </c>
      <c r="AI50" s="361" t="n">
        <f aca="false">(SUM(AI7:AI48))</f>
        <v>0</v>
      </c>
      <c r="AJ50" s="362" t="n">
        <f aca="false">SUM(AJ7:AJ48)</f>
        <v>1300</v>
      </c>
      <c r="AK50" s="362" t="n">
        <f aca="false">SUM(AK7:AK48)</f>
        <v>14100</v>
      </c>
      <c r="AL50" s="362" t="n">
        <f aca="false">SUM(AL7:AL48)</f>
        <v>0</v>
      </c>
      <c r="AM50" s="146"/>
      <c r="AN50" s="17"/>
    </row>
    <row r="51" customFormat="false" ht="15" hidden="false" customHeight="true" outlineLevel="0" collapsed="false">
      <c r="E51" s="200"/>
      <c r="AM51" s="268"/>
      <c r="AN51" s="17"/>
    </row>
    <row r="52" customFormat="false" ht="15" hidden="false" customHeight="true" outlineLevel="0" collapsed="false">
      <c r="AM52" s="287"/>
      <c r="AN52" s="17"/>
    </row>
    <row r="53" customFormat="false" ht="15" hidden="false" customHeight="true" outlineLevel="0" collapsed="false">
      <c r="AM53" s="287"/>
      <c r="AN53" s="17"/>
    </row>
    <row r="54" customFormat="false" ht="15" hidden="false" customHeight="true" outlineLevel="0" collapsed="false">
      <c r="AM54" s="287"/>
      <c r="AN54" s="17"/>
    </row>
    <row r="55" customFormat="false" ht="15" hidden="false" customHeight="true" outlineLevel="0" collapsed="false">
      <c r="AM55" s="287"/>
      <c r="AN55" s="17"/>
    </row>
    <row r="56" customFormat="false" ht="15" hidden="false" customHeight="true" outlineLevel="0" collapsed="false">
      <c r="AM56" s="287"/>
      <c r="AN56" s="17"/>
    </row>
    <row r="57" customFormat="false" ht="15" hidden="false" customHeight="true" outlineLevel="0" collapsed="false">
      <c r="AM57" s="287"/>
      <c r="AN57" s="17"/>
    </row>
    <row r="58" customFormat="false" ht="15" hidden="false" customHeight="true" outlineLevel="0" collapsed="false">
      <c r="AM58" s="287"/>
      <c r="AN58" s="17"/>
    </row>
    <row r="59" customFormat="false" ht="15" hidden="false" customHeight="true" outlineLevel="0" collapsed="false">
      <c r="AM59" s="287"/>
      <c r="AN59" s="17"/>
    </row>
    <row r="60" customFormat="false" ht="15" hidden="false" customHeight="true" outlineLevel="0" collapsed="false">
      <c r="AM60" s="287"/>
      <c r="AN60" s="17"/>
    </row>
    <row r="61" customFormat="false" ht="15" hidden="false" customHeight="true" outlineLevel="0" collapsed="false">
      <c r="AM61" s="287"/>
      <c r="AN61" s="17"/>
    </row>
    <row r="62" customFormat="false" ht="15" hidden="false" customHeight="true" outlineLevel="0" collapsed="false">
      <c r="AM62" s="287"/>
      <c r="AN62" s="17"/>
    </row>
    <row r="63" customFormat="false" ht="15" hidden="false" customHeight="true" outlineLevel="0" collapsed="false">
      <c r="AM63" s="287"/>
      <c r="AN63" s="17"/>
    </row>
    <row r="64" customFormat="false" ht="15" hidden="false" customHeight="true" outlineLevel="0" collapsed="false">
      <c r="AM64" s="303"/>
      <c r="AN64" s="17"/>
    </row>
    <row r="65" customFormat="false" ht="15" hidden="false" customHeight="true" outlineLevel="0" collapsed="false">
      <c r="AN65" s="17"/>
    </row>
    <row r="66" customFormat="false" ht="15" hidden="false" customHeight="true" outlineLevel="0" collapsed="false">
      <c r="AM66" s="268"/>
      <c r="AN66" s="17"/>
    </row>
    <row r="67" customFormat="false" ht="15" hidden="false" customHeight="true" outlineLevel="0" collapsed="false">
      <c r="AM67" s="287"/>
      <c r="AN67" s="17"/>
    </row>
    <row r="68" customFormat="false" ht="15" hidden="false" customHeight="true" outlineLevel="0" collapsed="false">
      <c r="AM68" s="287"/>
      <c r="AN68" s="17"/>
    </row>
    <row r="69" customFormat="false" ht="15" hidden="false" customHeight="true" outlineLevel="0" collapsed="false">
      <c r="AM69" s="287"/>
      <c r="AN69" s="17"/>
    </row>
    <row r="70" customFormat="false" ht="15" hidden="false" customHeight="true" outlineLevel="0" collapsed="false">
      <c r="AM70" s="287"/>
      <c r="AN70" s="17"/>
    </row>
    <row r="71" customFormat="false" ht="15" hidden="false" customHeight="true" outlineLevel="0" collapsed="false">
      <c r="AM71" s="287"/>
      <c r="AN71" s="17"/>
    </row>
    <row r="72" customFormat="false" ht="15" hidden="false" customHeight="true" outlineLevel="0" collapsed="false">
      <c r="AM72" s="287"/>
      <c r="AN72" s="17"/>
    </row>
    <row r="73" customFormat="false" ht="15" hidden="false" customHeight="true" outlineLevel="0" collapsed="false">
      <c r="AM73" s="287"/>
      <c r="AN73" s="17"/>
    </row>
    <row r="74" customFormat="false" ht="15" hidden="false" customHeight="true" outlineLevel="0" collapsed="false">
      <c r="AM74" s="287"/>
      <c r="AN74" s="17"/>
    </row>
    <row r="75" customFormat="false" ht="15" hidden="false" customHeight="true" outlineLevel="0" collapsed="false">
      <c r="AM75" s="287"/>
      <c r="AN75" s="17"/>
    </row>
    <row r="76" customFormat="false" ht="15" hidden="false" customHeight="true" outlineLevel="0" collapsed="false">
      <c r="AM76" s="287"/>
      <c r="AN76" s="17"/>
    </row>
    <row r="77" customFormat="false" ht="15" hidden="false" customHeight="true" outlineLevel="0" collapsed="false">
      <c r="AM77" s="287"/>
      <c r="AN77" s="17"/>
    </row>
    <row r="78" customFormat="false" ht="15" hidden="false" customHeight="true" outlineLevel="0" collapsed="false">
      <c r="AM78" s="287"/>
      <c r="AN78" s="17"/>
    </row>
    <row r="79" customFormat="false" ht="15" hidden="false" customHeight="true" outlineLevel="0" collapsed="false">
      <c r="AM79" s="303"/>
      <c r="AN79" s="17"/>
    </row>
    <row r="80" customFormat="false" ht="15" hidden="false" customHeight="true" outlineLevel="0" collapsed="false">
      <c r="AN80" s="17"/>
    </row>
    <row r="81" customFormat="false" ht="15" hidden="false" customHeight="true" outlineLevel="0" collapsed="false">
      <c r="AM81" s="268"/>
      <c r="AN81" s="17"/>
    </row>
    <row r="82" customFormat="false" ht="15" hidden="false" customHeight="true" outlineLevel="0" collapsed="false">
      <c r="AM82" s="287"/>
      <c r="AN82" s="17"/>
    </row>
    <row r="83" customFormat="false" ht="15" hidden="false" customHeight="true" outlineLevel="0" collapsed="false">
      <c r="AM83" s="287"/>
      <c r="AN83" s="17"/>
    </row>
    <row r="84" customFormat="false" ht="15" hidden="false" customHeight="true" outlineLevel="0" collapsed="false">
      <c r="AM84" s="287"/>
      <c r="AN84" s="17"/>
    </row>
    <row r="85" customFormat="false" ht="15" hidden="false" customHeight="true" outlineLevel="0" collapsed="false">
      <c r="AM85" s="287"/>
      <c r="AN85" s="17"/>
    </row>
    <row r="86" customFormat="false" ht="15" hidden="false" customHeight="true" outlineLevel="0" collapsed="false">
      <c r="AM86" s="287"/>
      <c r="AN86" s="17"/>
    </row>
    <row r="87" customFormat="false" ht="15" hidden="false" customHeight="true" outlineLevel="0" collapsed="false">
      <c r="AM87" s="287"/>
      <c r="AN87" s="17"/>
    </row>
    <row r="88" customFormat="false" ht="15" hidden="false" customHeight="true" outlineLevel="0" collapsed="false">
      <c r="AM88" s="287"/>
      <c r="AN88" s="17"/>
    </row>
    <row r="89" customFormat="false" ht="15" hidden="false" customHeight="true" outlineLevel="0" collapsed="false">
      <c r="AM89" s="287"/>
      <c r="AN89" s="17"/>
    </row>
    <row r="90" customFormat="false" ht="15" hidden="false" customHeight="true" outlineLevel="0" collapsed="false">
      <c r="AM90" s="287"/>
      <c r="AN90" s="17"/>
    </row>
    <row r="91" customFormat="false" ht="15" hidden="false" customHeight="true" outlineLevel="0" collapsed="false">
      <c r="AM91" s="287"/>
      <c r="AN91" s="17"/>
    </row>
    <row r="92" customFormat="false" ht="15" hidden="false" customHeight="true" outlineLevel="0" collapsed="false">
      <c r="AM92" s="287"/>
      <c r="AN92" s="17"/>
    </row>
    <row r="93" customFormat="false" ht="15" hidden="false" customHeight="true" outlineLevel="0" collapsed="false">
      <c r="AM93" s="287"/>
      <c r="AN93" s="17"/>
    </row>
    <row r="94" customFormat="false" ht="15" hidden="false" customHeight="true" outlineLevel="0" collapsed="false">
      <c r="AM94" s="303"/>
      <c r="AN94" s="17"/>
    </row>
    <row r="95" customFormat="false" ht="15" hidden="false" customHeight="true" outlineLevel="0" collapsed="false">
      <c r="AN95" s="17"/>
    </row>
    <row r="96" customFormat="false" ht="15" hidden="false" customHeight="true" outlineLevel="0" collapsed="false">
      <c r="AM96" s="268"/>
      <c r="AN96" s="17"/>
    </row>
    <row r="97" customFormat="false" ht="15" hidden="false" customHeight="true" outlineLevel="0" collapsed="false">
      <c r="AM97" s="287"/>
      <c r="AN97" s="17"/>
    </row>
    <row r="98" customFormat="false" ht="15" hidden="false" customHeight="true" outlineLevel="0" collapsed="false">
      <c r="AM98" s="287"/>
      <c r="AN98" s="17"/>
    </row>
    <row r="99" customFormat="false" ht="15" hidden="false" customHeight="true" outlineLevel="0" collapsed="false">
      <c r="AM99" s="287"/>
      <c r="AN99" s="17"/>
    </row>
    <row r="100" customFormat="false" ht="15" hidden="false" customHeight="true" outlineLevel="0" collapsed="false">
      <c r="AM100" s="287"/>
      <c r="AN100" s="17"/>
    </row>
    <row r="101" customFormat="false" ht="15" hidden="false" customHeight="true" outlineLevel="0" collapsed="false">
      <c r="AM101" s="287"/>
      <c r="AN101" s="17"/>
    </row>
    <row r="102" customFormat="false" ht="15" hidden="false" customHeight="true" outlineLevel="0" collapsed="false">
      <c r="AM102" s="287"/>
      <c r="AN102" s="17"/>
    </row>
    <row r="103" customFormat="false" ht="15" hidden="false" customHeight="true" outlineLevel="0" collapsed="false">
      <c r="AM103" s="287"/>
      <c r="AN103" s="17"/>
    </row>
    <row r="104" customFormat="false" ht="15" hidden="false" customHeight="true" outlineLevel="0" collapsed="false">
      <c r="AM104" s="287"/>
      <c r="AN104" s="17"/>
    </row>
    <row r="105" customFormat="false" ht="15" hidden="false" customHeight="true" outlineLevel="0" collapsed="false">
      <c r="AM105" s="287"/>
      <c r="AN105" s="17"/>
    </row>
    <row r="106" customFormat="false" ht="15" hidden="false" customHeight="true" outlineLevel="0" collapsed="false">
      <c r="AM106" s="287"/>
      <c r="AN106" s="17"/>
    </row>
    <row r="107" customFormat="false" ht="15" hidden="false" customHeight="true" outlineLevel="0" collapsed="false">
      <c r="AM107" s="287"/>
      <c r="AN107" s="17"/>
    </row>
    <row r="108" customFormat="false" ht="15" hidden="false" customHeight="true" outlineLevel="0" collapsed="false">
      <c r="AM108" s="287"/>
      <c r="AN108" s="17"/>
    </row>
    <row r="109" customFormat="false" ht="15" hidden="false" customHeight="true" outlineLevel="0" collapsed="false">
      <c r="AM109" s="303"/>
      <c r="AN109" s="17"/>
    </row>
    <row r="110" customFormat="false" ht="15" hidden="false" customHeight="true" outlineLevel="0" collapsed="false">
      <c r="AN110" s="17"/>
    </row>
    <row r="111" customFormat="false" ht="15" hidden="false" customHeight="true" outlineLevel="0" collapsed="false">
      <c r="AM111" s="268"/>
      <c r="AN111" s="17"/>
    </row>
    <row r="112" customFormat="false" ht="15" hidden="false" customHeight="true" outlineLevel="0" collapsed="false">
      <c r="AM112" s="287"/>
      <c r="AN112" s="17"/>
    </row>
    <row r="113" customFormat="false" ht="15" hidden="false" customHeight="true" outlineLevel="0" collapsed="false">
      <c r="AM113" s="287"/>
      <c r="AN113" s="17"/>
    </row>
    <row r="114" customFormat="false" ht="15" hidden="false" customHeight="true" outlineLevel="0" collapsed="false">
      <c r="AM114" s="287"/>
      <c r="AN114" s="17"/>
    </row>
    <row r="115" customFormat="false" ht="15" hidden="false" customHeight="true" outlineLevel="0" collapsed="false">
      <c r="AM115" s="287"/>
      <c r="AN115" s="17"/>
    </row>
    <row r="116" customFormat="false" ht="15" hidden="false" customHeight="true" outlineLevel="0" collapsed="false">
      <c r="AM116" s="287"/>
      <c r="AN116" s="17"/>
    </row>
    <row r="117" customFormat="false" ht="15" hidden="false" customHeight="true" outlineLevel="0" collapsed="false">
      <c r="AM117" s="287"/>
      <c r="AN117" s="17"/>
    </row>
    <row r="118" customFormat="false" ht="15" hidden="false" customHeight="true" outlineLevel="0" collapsed="false">
      <c r="AM118" s="287"/>
      <c r="AN118" s="17"/>
    </row>
    <row r="119" customFormat="false" ht="15" hidden="false" customHeight="true" outlineLevel="0" collapsed="false">
      <c r="AM119" s="287"/>
      <c r="AN119" s="17"/>
    </row>
    <row r="120" customFormat="false" ht="15" hidden="false" customHeight="true" outlineLevel="0" collapsed="false">
      <c r="AM120" s="287"/>
      <c r="AN120" s="17"/>
    </row>
    <row r="121" customFormat="false" ht="15" hidden="false" customHeight="true" outlineLevel="0" collapsed="false">
      <c r="AM121" s="287"/>
      <c r="AN121" s="17"/>
    </row>
    <row r="122" customFormat="false" ht="15" hidden="false" customHeight="true" outlineLevel="0" collapsed="false">
      <c r="AM122" s="287"/>
      <c r="AN122" s="17"/>
    </row>
    <row r="123" customFormat="false" ht="15" hidden="false" customHeight="true" outlineLevel="0" collapsed="false">
      <c r="AM123" s="287"/>
      <c r="AN123" s="17"/>
    </row>
    <row r="124" customFormat="false" ht="15" hidden="false" customHeight="true" outlineLevel="0" collapsed="false">
      <c r="AM124" s="303"/>
      <c r="AN124" s="17"/>
    </row>
    <row r="125" customFormat="false" ht="15" hidden="false" customHeight="true" outlineLevel="0" collapsed="false">
      <c r="AN125" s="17"/>
    </row>
    <row r="126" customFormat="false" ht="15" hidden="false" customHeight="true" outlineLevel="0" collapsed="false">
      <c r="AM126" s="268"/>
      <c r="AN126" s="17"/>
    </row>
    <row r="127" customFormat="false" ht="15" hidden="false" customHeight="true" outlineLevel="0" collapsed="false">
      <c r="AM127" s="287"/>
      <c r="AN127" s="17"/>
    </row>
    <row r="128" customFormat="false" ht="15" hidden="false" customHeight="true" outlineLevel="0" collapsed="false">
      <c r="AM128" s="287"/>
      <c r="AN128" s="17"/>
    </row>
    <row r="129" customFormat="false" ht="15" hidden="false" customHeight="true" outlineLevel="0" collapsed="false">
      <c r="AM129" s="287"/>
      <c r="AN129" s="17"/>
    </row>
    <row r="130" customFormat="false" ht="15" hidden="false" customHeight="true" outlineLevel="0" collapsed="false">
      <c r="AM130" s="287"/>
      <c r="AN130" s="17"/>
    </row>
    <row r="131" customFormat="false" ht="15" hidden="false" customHeight="true" outlineLevel="0" collapsed="false">
      <c r="AM131" s="287"/>
      <c r="AN131" s="17"/>
    </row>
    <row r="132" customFormat="false" ht="15" hidden="false" customHeight="true" outlineLevel="0" collapsed="false">
      <c r="AM132" s="287"/>
      <c r="AN132" s="17"/>
    </row>
    <row r="133" customFormat="false" ht="15" hidden="false" customHeight="true" outlineLevel="0" collapsed="false">
      <c r="AM133" s="287"/>
      <c r="AN133" s="17"/>
    </row>
    <row r="134" customFormat="false" ht="15" hidden="false" customHeight="true" outlineLevel="0" collapsed="false">
      <c r="AM134" s="287"/>
      <c r="AN134" s="17"/>
    </row>
    <row r="135" customFormat="false" ht="15" hidden="false" customHeight="true" outlineLevel="0" collapsed="false">
      <c r="AM135" s="287"/>
      <c r="AN135" s="17"/>
    </row>
    <row r="136" customFormat="false" ht="15" hidden="false" customHeight="true" outlineLevel="0" collapsed="false">
      <c r="AM136" s="287"/>
      <c r="AN136" s="17"/>
    </row>
    <row r="137" customFormat="false" ht="15" hidden="false" customHeight="true" outlineLevel="0" collapsed="false">
      <c r="AM137" s="287"/>
      <c r="AN137" s="17"/>
    </row>
    <row r="138" customFormat="false" ht="15" hidden="false" customHeight="true" outlineLevel="0" collapsed="false">
      <c r="AM138" s="287"/>
      <c r="AN138" s="17"/>
    </row>
    <row r="139" customFormat="false" ht="15" hidden="false" customHeight="true" outlineLevel="0" collapsed="false">
      <c r="AM139" s="303"/>
      <c r="AN139" s="17"/>
    </row>
    <row r="140" customFormat="false" ht="15" hidden="false" customHeight="true" outlineLevel="0" collapsed="false">
      <c r="AN140" s="17"/>
    </row>
    <row r="141" customFormat="false" ht="15" hidden="false" customHeight="true" outlineLevel="0" collapsed="false">
      <c r="AM141" s="268"/>
      <c r="AN141" s="17"/>
    </row>
    <row r="142" customFormat="false" ht="15" hidden="false" customHeight="true" outlineLevel="0" collapsed="false">
      <c r="AM142" s="287"/>
      <c r="AN142" s="17"/>
    </row>
    <row r="143" customFormat="false" ht="15" hidden="false" customHeight="true" outlineLevel="0" collapsed="false">
      <c r="AM143" s="287"/>
      <c r="AN143" s="17"/>
    </row>
    <row r="144" customFormat="false" ht="15" hidden="false" customHeight="true" outlineLevel="0" collapsed="false">
      <c r="AM144" s="287"/>
      <c r="AN144" s="17"/>
    </row>
    <row r="145" customFormat="false" ht="15" hidden="false" customHeight="true" outlineLevel="0" collapsed="false">
      <c r="AM145" s="287"/>
      <c r="AN145" s="17"/>
    </row>
    <row r="146" customFormat="false" ht="15" hidden="false" customHeight="true" outlineLevel="0" collapsed="false">
      <c r="AM146" s="287"/>
      <c r="AN146" s="17"/>
    </row>
    <row r="147" customFormat="false" ht="15" hidden="false" customHeight="true" outlineLevel="0" collapsed="false">
      <c r="AM147" s="287"/>
      <c r="AN147" s="17"/>
    </row>
    <row r="148" customFormat="false" ht="15" hidden="false" customHeight="true" outlineLevel="0" collapsed="false">
      <c r="AM148" s="287"/>
      <c r="AN148" s="17"/>
    </row>
    <row r="149" customFormat="false" ht="15" hidden="false" customHeight="true" outlineLevel="0" collapsed="false">
      <c r="AM149" s="287"/>
      <c r="AN149" s="17"/>
    </row>
    <row r="150" customFormat="false" ht="15" hidden="false" customHeight="true" outlineLevel="0" collapsed="false">
      <c r="AM150" s="287"/>
      <c r="AN150" s="17"/>
    </row>
    <row r="151" customFormat="false" ht="15" hidden="false" customHeight="true" outlineLevel="0" collapsed="false">
      <c r="AM151" s="287"/>
      <c r="AN151" s="17"/>
    </row>
    <row r="152" customFormat="false" ht="15" hidden="false" customHeight="true" outlineLevel="0" collapsed="false">
      <c r="AM152" s="287"/>
      <c r="AN152" s="17"/>
    </row>
    <row r="153" customFormat="false" ht="15" hidden="false" customHeight="true" outlineLevel="0" collapsed="false">
      <c r="AM153" s="287"/>
      <c r="AN153" s="17"/>
    </row>
    <row r="154" customFormat="false" ht="15" hidden="false" customHeight="true" outlineLevel="0" collapsed="false">
      <c r="AM154" s="303"/>
      <c r="AN154" s="17"/>
    </row>
    <row r="155" customFormat="false" ht="15" hidden="false" customHeight="true" outlineLevel="0" collapsed="false">
      <c r="AN155" s="17"/>
    </row>
    <row r="156" customFormat="false" ht="15" hidden="false" customHeight="true" outlineLevel="0" collapsed="false">
      <c r="AM156" s="268"/>
      <c r="AN156" s="17"/>
    </row>
    <row r="157" customFormat="false" ht="15" hidden="false" customHeight="true" outlineLevel="0" collapsed="false">
      <c r="AM157" s="287"/>
      <c r="AN157" s="17"/>
    </row>
    <row r="158" customFormat="false" ht="15" hidden="false" customHeight="true" outlineLevel="0" collapsed="false">
      <c r="AM158" s="287"/>
      <c r="AN158" s="17"/>
    </row>
    <row r="159" customFormat="false" ht="15" hidden="false" customHeight="true" outlineLevel="0" collapsed="false">
      <c r="AM159" s="287"/>
      <c r="AN159" s="17"/>
    </row>
    <row r="160" customFormat="false" ht="15" hidden="false" customHeight="true" outlineLevel="0" collapsed="false">
      <c r="AM160" s="287"/>
      <c r="AN160" s="17"/>
    </row>
    <row r="161" customFormat="false" ht="15" hidden="false" customHeight="true" outlineLevel="0" collapsed="false">
      <c r="AM161" s="287"/>
      <c r="AN161" s="17"/>
    </row>
    <row r="162" customFormat="false" ht="15" hidden="false" customHeight="true" outlineLevel="0" collapsed="false">
      <c r="AM162" s="287"/>
      <c r="AN162" s="17"/>
    </row>
    <row r="163" customFormat="false" ht="15" hidden="false" customHeight="true" outlineLevel="0" collapsed="false">
      <c r="AM163" s="287"/>
      <c r="AN163" s="17"/>
    </row>
    <row r="164" customFormat="false" ht="15" hidden="false" customHeight="true" outlineLevel="0" collapsed="false">
      <c r="AM164" s="287"/>
      <c r="AN164" s="17"/>
    </row>
    <row r="165" customFormat="false" ht="15" hidden="false" customHeight="true" outlineLevel="0" collapsed="false">
      <c r="AM165" s="287"/>
      <c r="AN165" s="17"/>
    </row>
    <row r="166" customFormat="false" ht="15" hidden="false" customHeight="true" outlineLevel="0" collapsed="false">
      <c r="AM166" s="287"/>
      <c r="AN166" s="17"/>
    </row>
    <row r="167" customFormat="false" ht="15" hidden="false" customHeight="true" outlineLevel="0" collapsed="false">
      <c r="AM167" s="287"/>
      <c r="AN167" s="17"/>
    </row>
    <row r="168" customFormat="false" ht="15" hidden="false" customHeight="true" outlineLevel="0" collapsed="false">
      <c r="AM168" s="287"/>
      <c r="AN168" s="17"/>
    </row>
    <row r="169" customFormat="false" ht="15" hidden="false" customHeight="true" outlineLevel="0" collapsed="false">
      <c r="AM169" s="303"/>
      <c r="AN169" s="17"/>
    </row>
    <row r="170" customFormat="false" ht="15" hidden="false" customHeight="true" outlineLevel="0" collapsed="false">
      <c r="AN170" s="17"/>
    </row>
    <row r="171" customFormat="false" ht="15" hidden="false" customHeight="true" outlineLevel="0" collapsed="false">
      <c r="AM171" s="268"/>
      <c r="AN171" s="17"/>
    </row>
    <row r="172" customFormat="false" ht="15" hidden="false" customHeight="true" outlineLevel="0" collapsed="false">
      <c r="AM172" s="287"/>
      <c r="AN172" s="17"/>
    </row>
    <row r="173" customFormat="false" ht="15" hidden="false" customHeight="true" outlineLevel="0" collapsed="false">
      <c r="AM173" s="287"/>
      <c r="AN173" s="17"/>
    </row>
    <row r="174" customFormat="false" ht="15" hidden="false" customHeight="true" outlineLevel="0" collapsed="false">
      <c r="AM174" s="287"/>
      <c r="AN174" s="17"/>
    </row>
    <row r="175" customFormat="false" ht="15" hidden="false" customHeight="true" outlineLevel="0" collapsed="false">
      <c r="AM175" s="287"/>
      <c r="AN175" s="17"/>
    </row>
    <row r="176" customFormat="false" ht="15" hidden="false" customHeight="true" outlineLevel="0" collapsed="false">
      <c r="AM176" s="287"/>
      <c r="AN176" s="17"/>
    </row>
    <row r="177" customFormat="false" ht="15" hidden="false" customHeight="true" outlineLevel="0" collapsed="false">
      <c r="AM177" s="287"/>
      <c r="AN177" s="17"/>
    </row>
    <row r="178" customFormat="false" ht="15" hidden="false" customHeight="true" outlineLevel="0" collapsed="false">
      <c r="AM178" s="287"/>
      <c r="AN178" s="17"/>
    </row>
    <row r="179" customFormat="false" ht="15" hidden="false" customHeight="true" outlineLevel="0" collapsed="false">
      <c r="AM179" s="287"/>
      <c r="AN179" s="17"/>
    </row>
    <row r="180" customFormat="false" ht="15" hidden="false" customHeight="true" outlineLevel="0" collapsed="false">
      <c r="AM180" s="287"/>
      <c r="AN180" s="17"/>
    </row>
    <row r="181" customFormat="false" ht="15" hidden="false" customHeight="true" outlineLevel="0" collapsed="false">
      <c r="AM181" s="287"/>
      <c r="AN181" s="17"/>
    </row>
    <row r="182" customFormat="false" ht="15" hidden="false" customHeight="true" outlineLevel="0" collapsed="false">
      <c r="AM182" s="287"/>
      <c r="AN182" s="17"/>
    </row>
    <row r="183" customFormat="false" ht="15" hidden="false" customHeight="true" outlineLevel="0" collapsed="false">
      <c r="AM183" s="287"/>
      <c r="AN183" s="17"/>
    </row>
    <row r="184" customFormat="false" ht="15" hidden="false" customHeight="true" outlineLevel="0" collapsed="false">
      <c r="AM184" s="303"/>
      <c r="AN184" s="17"/>
    </row>
    <row r="185" customFormat="false" ht="15" hidden="false" customHeight="true" outlineLevel="0" collapsed="false">
      <c r="AN185" s="17"/>
    </row>
    <row r="186" customFormat="false" ht="15" hidden="false" customHeight="true" outlineLevel="0" collapsed="false">
      <c r="AM186" s="268"/>
      <c r="AN186" s="17"/>
    </row>
    <row r="187" customFormat="false" ht="15" hidden="false" customHeight="true" outlineLevel="0" collapsed="false">
      <c r="AM187" s="287"/>
      <c r="AN187" s="17"/>
    </row>
    <row r="188" customFormat="false" ht="15" hidden="false" customHeight="true" outlineLevel="0" collapsed="false">
      <c r="AM188" s="287"/>
      <c r="AN188" s="17"/>
    </row>
    <row r="189" customFormat="false" ht="15" hidden="false" customHeight="true" outlineLevel="0" collapsed="false">
      <c r="AM189" s="287"/>
      <c r="AN189" s="17"/>
    </row>
    <row r="190" customFormat="false" ht="15" hidden="false" customHeight="true" outlineLevel="0" collapsed="false">
      <c r="AM190" s="287"/>
      <c r="AN190" s="17"/>
    </row>
    <row r="191" customFormat="false" ht="15" hidden="false" customHeight="true" outlineLevel="0" collapsed="false">
      <c r="AM191" s="287"/>
      <c r="AN191" s="17"/>
    </row>
    <row r="192" customFormat="false" ht="15" hidden="false" customHeight="true" outlineLevel="0" collapsed="false">
      <c r="AM192" s="287"/>
      <c r="AN192" s="17"/>
    </row>
    <row r="193" customFormat="false" ht="15" hidden="false" customHeight="true" outlineLevel="0" collapsed="false">
      <c r="AM193" s="287"/>
      <c r="AN193" s="17"/>
    </row>
    <row r="194" customFormat="false" ht="15" hidden="false" customHeight="true" outlineLevel="0" collapsed="false">
      <c r="AM194" s="287"/>
      <c r="AN194" s="17"/>
    </row>
    <row r="195" customFormat="false" ht="15" hidden="false" customHeight="true" outlineLevel="0" collapsed="false">
      <c r="AM195" s="287"/>
      <c r="AN195" s="17"/>
    </row>
    <row r="196" customFormat="false" ht="15" hidden="false" customHeight="true" outlineLevel="0" collapsed="false">
      <c r="AM196" s="287"/>
      <c r="AN196" s="17"/>
    </row>
    <row r="197" customFormat="false" ht="15" hidden="false" customHeight="true" outlineLevel="0" collapsed="false">
      <c r="AM197" s="287"/>
      <c r="AN197" s="17"/>
    </row>
    <row r="198" customFormat="false" ht="15" hidden="false" customHeight="true" outlineLevel="0" collapsed="false">
      <c r="AM198" s="287"/>
      <c r="AN198" s="17"/>
    </row>
    <row r="199" customFormat="false" ht="15" hidden="false" customHeight="true" outlineLevel="0" collapsed="false">
      <c r="AM199" s="303"/>
      <c r="AN199" s="17"/>
    </row>
    <row r="200" customFormat="false" ht="15" hidden="false" customHeight="true" outlineLevel="0" collapsed="false">
      <c r="AN200" s="17"/>
    </row>
    <row r="201" customFormat="false" ht="15" hidden="false" customHeight="true" outlineLevel="0" collapsed="false">
      <c r="AM201" s="268"/>
      <c r="AN201" s="17"/>
    </row>
    <row r="202" customFormat="false" ht="15" hidden="false" customHeight="true" outlineLevel="0" collapsed="false">
      <c r="AM202" s="287"/>
      <c r="AN202" s="17"/>
    </row>
    <row r="203" customFormat="false" ht="15" hidden="false" customHeight="true" outlineLevel="0" collapsed="false">
      <c r="AM203" s="287"/>
      <c r="AN203" s="17"/>
    </row>
    <row r="204" customFormat="false" ht="15" hidden="false" customHeight="true" outlineLevel="0" collapsed="false">
      <c r="AM204" s="287"/>
      <c r="AN204" s="17"/>
    </row>
    <row r="205" customFormat="false" ht="15" hidden="false" customHeight="true" outlineLevel="0" collapsed="false">
      <c r="AM205" s="287"/>
      <c r="AN205" s="17"/>
    </row>
    <row r="206" customFormat="false" ht="15" hidden="false" customHeight="true" outlineLevel="0" collapsed="false">
      <c r="AM206" s="287"/>
      <c r="AN206" s="17"/>
    </row>
    <row r="207" customFormat="false" ht="15" hidden="false" customHeight="true" outlineLevel="0" collapsed="false">
      <c r="AM207" s="287"/>
      <c r="AN207" s="17"/>
    </row>
    <row r="208" customFormat="false" ht="15" hidden="false" customHeight="true" outlineLevel="0" collapsed="false">
      <c r="AM208" s="287"/>
      <c r="AN208" s="17"/>
    </row>
    <row r="209" customFormat="false" ht="15" hidden="false" customHeight="true" outlineLevel="0" collapsed="false">
      <c r="AM209" s="287"/>
      <c r="AN209" s="17"/>
    </row>
    <row r="210" customFormat="false" ht="15" hidden="false" customHeight="true" outlineLevel="0" collapsed="false">
      <c r="AM210" s="287"/>
      <c r="AN210" s="17"/>
    </row>
    <row r="211" customFormat="false" ht="15" hidden="false" customHeight="true" outlineLevel="0" collapsed="false">
      <c r="AM211" s="287"/>
      <c r="AN211" s="17"/>
    </row>
    <row r="212" customFormat="false" ht="15" hidden="false" customHeight="true" outlineLevel="0" collapsed="false">
      <c r="AM212" s="287"/>
      <c r="AN212" s="17"/>
    </row>
    <row r="213" customFormat="false" ht="15" hidden="false" customHeight="true" outlineLevel="0" collapsed="false">
      <c r="AM213" s="287"/>
      <c r="AN213" s="17"/>
    </row>
    <row r="214" customFormat="false" ht="15" hidden="false" customHeight="true" outlineLevel="0" collapsed="false">
      <c r="AM214" s="303"/>
      <c r="AN214" s="17"/>
    </row>
    <row r="215" customFormat="false" ht="15" hidden="false" customHeight="true" outlineLevel="0" collapsed="false">
      <c r="AN215" s="17"/>
    </row>
    <row r="216" customFormat="false" ht="15" hidden="false" customHeight="true" outlineLevel="0" collapsed="false">
      <c r="AM216" s="268"/>
      <c r="AN216" s="17"/>
    </row>
    <row r="217" customFormat="false" ht="15" hidden="false" customHeight="true" outlineLevel="0" collapsed="false">
      <c r="AM217" s="287"/>
      <c r="AN217" s="17"/>
    </row>
    <row r="218" customFormat="false" ht="15" hidden="false" customHeight="true" outlineLevel="0" collapsed="false">
      <c r="AM218" s="287"/>
      <c r="AN218" s="17"/>
    </row>
    <row r="219" customFormat="false" ht="15" hidden="false" customHeight="true" outlineLevel="0" collapsed="false">
      <c r="AM219" s="287"/>
      <c r="AN219" s="17"/>
    </row>
    <row r="220" customFormat="false" ht="15" hidden="false" customHeight="true" outlineLevel="0" collapsed="false">
      <c r="AM220" s="287"/>
      <c r="AN220" s="17"/>
    </row>
    <row r="221" customFormat="false" ht="15" hidden="false" customHeight="true" outlineLevel="0" collapsed="false">
      <c r="AM221" s="287"/>
      <c r="AN221" s="17"/>
    </row>
    <row r="222" customFormat="false" ht="15" hidden="false" customHeight="true" outlineLevel="0" collapsed="false">
      <c r="AM222" s="287"/>
      <c r="AN222" s="17"/>
    </row>
    <row r="223" customFormat="false" ht="15" hidden="false" customHeight="true" outlineLevel="0" collapsed="false">
      <c r="AM223" s="287"/>
      <c r="AN223" s="17"/>
    </row>
    <row r="224" customFormat="false" ht="15" hidden="false" customHeight="true" outlineLevel="0" collapsed="false">
      <c r="AM224" s="287"/>
      <c r="AN224" s="17"/>
    </row>
    <row r="225" customFormat="false" ht="15" hidden="false" customHeight="true" outlineLevel="0" collapsed="false">
      <c r="AM225" s="287"/>
      <c r="AN225" s="17"/>
    </row>
    <row r="226" customFormat="false" ht="15" hidden="false" customHeight="true" outlineLevel="0" collapsed="false">
      <c r="AM226" s="287"/>
      <c r="AN226" s="17"/>
    </row>
    <row r="227" customFormat="false" ht="15" hidden="false" customHeight="true" outlineLevel="0" collapsed="false">
      <c r="AM227" s="287"/>
      <c r="AN227" s="17"/>
    </row>
    <row r="228" customFormat="false" ht="15" hidden="false" customHeight="true" outlineLevel="0" collapsed="false">
      <c r="AM228" s="287"/>
      <c r="AN228" s="17"/>
    </row>
    <row r="229" customFormat="false" ht="15" hidden="false" customHeight="true" outlineLevel="0" collapsed="false">
      <c r="AM229" s="303"/>
      <c r="AN229" s="17"/>
    </row>
    <row r="230" customFormat="false" ht="15" hidden="false" customHeight="true" outlineLevel="0" collapsed="false">
      <c r="AN230" s="17"/>
    </row>
    <row r="231" customFormat="false" ht="15" hidden="false" customHeight="true" outlineLevel="0" collapsed="false">
      <c r="AM231" s="268"/>
      <c r="AN231" s="17"/>
    </row>
    <row r="232" customFormat="false" ht="15" hidden="false" customHeight="true" outlineLevel="0" collapsed="false">
      <c r="AM232" s="287"/>
      <c r="AN232" s="17"/>
    </row>
    <row r="233" customFormat="false" ht="15" hidden="false" customHeight="true" outlineLevel="0" collapsed="false">
      <c r="AM233" s="287"/>
      <c r="AN233" s="17"/>
    </row>
    <row r="234" customFormat="false" ht="15" hidden="false" customHeight="true" outlineLevel="0" collapsed="false">
      <c r="AM234" s="287"/>
      <c r="AN234" s="17"/>
    </row>
    <row r="235" customFormat="false" ht="15" hidden="false" customHeight="true" outlineLevel="0" collapsed="false">
      <c r="AM235" s="287"/>
      <c r="AN235" s="17"/>
    </row>
    <row r="236" customFormat="false" ht="15" hidden="false" customHeight="true" outlineLevel="0" collapsed="false">
      <c r="AM236" s="287"/>
      <c r="AN236" s="17"/>
    </row>
    <row r="237" customFormat="false" ht="15" hidden="false" customHeight="true" outlineLevel="0" collapsed="false">
      <c r="AM237" s="287"/>
      <c r="AN237" s="17"/>
    </row>
    <row r="238" customFormat="false" ht="15" hidden="false" customHeight="true" outlineLevel="0" collapsed="false">
      <c r="AM238" s="287"/>
      <c r="AN238" s="17"/>
    </row>
    <row r="239" customFormat="false" ht="15" hidden="false" customHeight="true" outlineLevel="0" collapsed="false">
      <c r="AM239" s="287"/>
      <c r="AN239" s="17"/>
    </row>
    <row r="240" customFormat="false" ht="15" hidden="false" customHeight="true" outlineLevel="0" collapsed="false">
      <c r="AM240" s="287"/>
      <c r="AN240" s="17"/>
    </row>
    <row r="241" customFormat="false" ht="15" hidden="false" customHeight="true" outlineLevel="0" collapsed="false">
      <c r="AM241" s="287"/>
      <c r="AN241" s="17"/>
    </row>
    <row r="242" customFormat="false" ht="15" hidden="false" customHeight="true" outlineLevel="0" collapsed="false">
      <c r="AM242" s="287"/>
      <c r="AN242" s="17"/>
    </row>
    <row r="243" customFormat="false" ht="15" hidden="false" customHeight="true" outlineLevel="0" collapsed="false">
      <c r="AM243" s="287"/>
      <c r="AN243" s="17"/>
    </row>
    <row r="244" customFormat="false" ht="15" hidden="false" customHeight="true" outlineLevel="0" collapsed="false">
      <c r="AM244" s="303"/>
      <c r="AN244" s="17"/>
    </row>
    <row r="245" customFormat="false" ht="15" hidden="false" customHeight="true" outlineLevel="0" collapsed="false">
      <c r="AN245" s="17"/>
    </row>
    <row r="246" customFormat="false" ht="15" hidden="false" customHeight="true" outlineLevel="0" collapsed="false">
      <c r="AM246" s="268"/>
      <c r="AN246" s="17"/>
    </row>
    <row r="247" customFormat="false" ht="15" hidden="false" customHeight="true" outlineLevel="0" collapsed="false">
      <c r="AM247" s="287"/>
      <c r="AN247" s="17"/>
    </row>
    <row r="248" customFormat="false" ht="15" hidden="false" customHeight="true" outlineLevel="0" collapsed="false">
      <c r="AM248" s="287"/>
      <c r="AN248" s="17"/>
    </row>
    <row r="249" customFormat="false" ht="15" hidden="false" customHeight="true" outlineLevel="0" collapsed="false">
      <c r="AM249" s="287"/>
      <c r="AN249" s="17"/>
    </row>
    <row r="250" customFormat="false" ht="15" hidden="false" customHeight="true" outlineLevel="0" collapsed="false">
      <c r="AM250" s="287"/>
      <c r="AN250" s="17"/>
    </row>
    <row r="251" customFormat="false" ht="15" hidden="false" customHeight="true" outlineLevel="0" collapsed="false">
      <c r="AM251" s="287"/>
      <c r="AN251" s="17"/>
    </row>
    <row r="252" customFormat="false" ht="15" hidden="false" customHeight="true" outlineLevel="0" collapsed="false">
      <c r="AM252" s="287"/>
      <c r="AN252" s="17"/>
    </row>
    <row r="253" customFormat="false" ht="15" hidden="false" customHeight="true" outlineLevel="0" collapsed="false">
      <c r="AM253" s="287"/>
      <c r="AN253" s="17"/>
    </row>
    <row r="254" customFormat="false" ht="15" hidden="false" customHeight="true" outlineLevel="0" collapsed="false">
      <c r="AM254" s="287"/>
      <c r="AN254" s="17"/>
    </row>
    <row r="255" customFormat="false" ht="15" hidden="false" customHeight="true" outlineLevel="0" collapsed="false">
      <c r="AM255" s="287"/>
      <c r="AN255" s="17"/>
    </row>
    <row r="256" customFormat="false" ht="15" hidden="false" customHeight="true" outlineLevel="0" collapsed="false">
      <c r="AM256" s="287"/>
      <c r="AN256" s="17"/>
    </row>
    <row r="257" customFormat="false" ht="15" hidden="false" customHeight="true" outlineLevel="0" collapsed="false">
      <c r="AM257" s="287"/>
      <c r="AN257" s="17"/>
    </row>
    <row r="258" customFormat="false" ht="15" hidden="false" customHeight="true" outlineLevel="0" collapsed="false">
      <c r="AM258" s="287"/>
      <c r="AN258" s="17"/>
    </row>
    <row r="259" customFormat="false" ht="15" hidden="false" customHeight="true" outlineLevel="0" collapsed="false">
      <c r="AM259" s="303"/>
      <c r="AN259" s="17"/>
    </row>
    <row r="260" customFormat="false" ht="15" hidden="false" customHeight="true" outlineLevel="0" collapsed="false">
      <c r="AN260" s="17"/>
    </row>
    <row r="261" customFormat="false" ht="15" hidden="false" customHeight="true" outlineLevel="0" collapsed="false">
      <c r="AM261" s="268"/>
      <c r="AN261" s="17"/>
    </row>
    <row r="262" customFormat="false" ht="15" hidden="false" customHeight="true" outlineLevel="0" collapsed="false">
      <c r="AM262" s="287"/>
      <c r="AN262" s="17"/>
    </row>
    <row r="263" customFormat="false" ht="15" hidden="false" customHeight="true" outlineLevel="0" collapsed="false">
      <c r="AM263" s="287"/>
      <c r="AN263" s="17"/>
    </row>
    <row r="264" customFormat="false" ht="15" hidden="false" customHeight="true" outlineLevel="0" collapsed="false">
      <c r="AM264" s="287"/>
      <c r="AN264" s="17"/>
    </row>
    <row r="265" customFormat="false" ht="15" hidden="false" customHeight="true" outlineLevel="0" collapsed="false">
      <c r="AM265" s="287"/>
      <c r="AN265" s="17"/>
    </row>
    <row r="266" customFormat="false" ht="15" hidden="false" customHeight="true" outlineLevel="0" collapsed="false">
      <c r="AM266" s="287"/>
      <c r="AN266" s="17"/>
    </row>
    <row r="267" customFormat="false" ht="15" hidden="false" customHeight="true" outlineLevel="0" collapsed="false">
      <c r="AM267" s="287"/>
      <c r="AN267" s="17"/>
    </row>
    <row r="268" customFormat="false" ht="15" hidden="false" customHeight="true" outlineLevel="0" collapsed="false">
      <c r="AM268" s="287"/>
      <c r="AN268" s="17"/>
    </row>
    <row r="269" customFormat="false" ht="15" hidden="false" customHeight="true" outlineLevel="0" collapsed="false">
      <c r="AM269" s="287"/>
      <c r="AN269" s="17"/>
    </row>
    <row r="270" customFormat="false" ht="15" hidden="false" customHeight="true" outlineLevel="0" collapsed="false">
      <c r="AM270" s="287"/>
      <c r="AN270" s="17"/>
    </row>
    <row r="271" customFormat="false" ht="15" hidden="false" customHeight="true" outlineLevel="0" collapsed="false">
      <c r="AM271" s="287"/>
      <c r="AN271" s="17"/>
    </row>
    <row r="272" customFormat="false" ht="15" hidden="false" customHeight="true" outlineLevel="0" collapsed="false">
      <c r="AM272" s="287"/>
      <c r="AN272" s="17"/>
    </row>
    <row r="273" customFormat="false" ht="15" hidden="false" customHeight="true" outlineLevel="0" collapsed="false">
      <c r="AM273" s="287"/>
      <c r="AN273" s="17"/>
    </row>
    <row r="274" customFormat="false" ht="15" hidden="false" customHeight="true" outlineLevel="0" collapsed="false">
      <c r="AM274" s="303"/>
      <c r="AN274" s="17"/>
    </row>
    <row r="275" customFormat="false" ht="15" hidden="false" customHeight="true" outlineLevel="0" collapsed="false">
      <c r="AN275" s="17"/>
    </row>
    <row r="276" customFormat="false" ht="15" hidden="false" customHeight="true" outlineLevel="0" collapsed="false">
      <c r="AM276" s="268"/>
      <c r="AN276" s="17"/>
    </row>
    <row r="277" customFormat="false" ht="15" hidden="false" customHeight="true" outlineLevel="0" collapsed="false">
      <c r="AM277" s="287"/>
      <c r="AN277" s="17"/>
    </row>
    <row r="278" customFormat="false" ht="15" hidden="false" customHeight="true" outlineLevel="0" collapsed="false">
      <c r="AM278" s="287"/>
      <c r="AN278" s="17"/>
    </row>
    <row r="279" customFormat="false" ht="15" hidden="false" customHeight="true" outlineLevel="0" collapsed="false">
      <c r="AM279" s="287"/>
      <c r="AN279" s="17"/>
    </row>
    <row r="280" customFormat="false" ht="15" hidden="false" customHeight="true" outlineLevel="0" collapsed="false">
      <c r="AM280" s="287"/>
      <c r="AN280" s="17"/>
    </row>
    <row r="281" customFormat="false" ht="15" hidden="false" customHeight="true" outlineLevel="0" collapsed="false">
      <c r="AM281" s="287"/>
      <c r="AN281" s="17"/>
    </row>
    <row r="282" customFormat="false" ht="15" hidden="false" customHeight="true" outlineLevel="0" collapsed="false">
      <c r="AM282" s="287"/>
      <c r="AN282" s="17"/>
    </row>
    <row r="283" customFormat="false" ht="15" hidden="false" customHeight="true" outlineLevel="0" collapsed="false">
      <c r="AM283" s="287"/>
      <c r="AN283" s="17"/>
    </row>
    <row r="284" customFormat="false" ht="15" hidden="false" customHeight="true" outlineLevel="0" collapsed="false">
      <c r="AM284" s="287"/>
      <c r="AN284" s="17"/>
    </row>
    <row r="285" customFormat="false" ht="15" hidden="false" customHeight="true" outlineLevel="0" collapsed="false">
      <c r="AM285" s="287"/>
      <c r="AN285" s="17"/>
    </row>
    <row r="286" customFormat="false" ht="15" hidden="false" customHeight="true" outlineLevel="0" collapsed="false">
      <c r="AM286" s="287"/>
      <c r="AN286" s="17"/>
    </row>
    <row r="287" customFormat="false" ht="15" hidden="false" customHeight="true" outlineLevel="0" collapsed="false">
      <c r="AM287" s="287"/>
      <c r="AN287" s="17"/>
    </row>
    <row r="288" customFormat="false" ht="15" hidden="false" customHeight="true" outlineLevel="0" collapsed="false">
      <c r="AM288" s="287"/>
      <c r="AN288" s="17"/>
    </row>
    <row r="289" customFormat="false" ht="15" hidden="false" customHeight="true" outlineLevel="0" collapsed="false">
      <c r="AM289" s="303"/>
      <c r="AN289" s="17"/>
    </row>
    <row r="290" customFormat="false" ht="15" hidden="false" customHeight="true" outlineLevel="0" collapsed="false">
      <c r="AN290" s="17"/>
    </row>
    <row r="291" customFormat="false" ht="15" hidden="false" customHeight="true" outlineLevel="0" collapsed="false">
      <c r="AM291" s="268"/>
      <c r="AN291" s="17"/>
    </row>
    <row r="292" customFormat="false" ht="15" hidden="false" customHeight="true" outlineLevel="0" collapsed="false">
      <c r="AM292" s="287"/>
      <c r="AN292" s="17"/>
    </row>
    <row r="293" customFormat="false" ht="15" hidden="false" customHeight="true" outlineLevel="0" collapsed="false">
      <c r="AM293" s="287"/>
      <c r="AN293" s="17"/>
    </row>
    <row r="294" customFormat="false" ht="15" hidden="false" customHeight="true" outlineLevel="0" collapsed="false">
      <c r="AM294" s="287"/>
      <c r="AN294" s="17"/>
    </row>
    <row r="295" customFormat="false" ht="15" hidden="false" customHeight="true" outlineLevel="0" collapsed="false">
      <c r="AM295" s="287"/>
      <c r="AN295" s="17"/>
    </row>
    <row r="296" customFormat="false" ht="15" hidden="false" customHeight="true" outlineLevel="0" collapsed="false">
      <c r="AM296" s="287"/>
      <c r="AN296" s="17"/>
    </row>
    <row r="297" customFormat="false" ht="15" hidden="false" customHeight="true" outlineLevel="0" collapsed="false">
      <c r="AM297" s="287"/>
      <c r="AN297" s="17"/>
    </row>
    <row r="298" customFormat="false" ht="15" hidden="false" customHeight="true" outlineLevel="0" collapsed="false">
      <c r="AM298" s="287"/>
      <c r="AN298" s="17"/>
    </row>
    <row r="299" customFormat="false" ht="15" hidden="false" customHeight="true" outlineLevel="0" collapsed="false">
      <c r="AM299" s="287"/>
      <c r="AN299" s="17"/>
    </row>
    <row r="300" customFormat="false" ht="15" hidden="false" customHeight="true" outlineLevel="0" collapsed="false">
      <c r="AM300" s="287"/>
      <c r="AN300" s="17"/>
    </row>
    <row r="301" customFormat="false" ht="15" hidden="false" customHeight="true" outlineLevel="0" collapsed="false">
      <c r="AM301" s="287"/>
      <c r="AN301" s="17"/>
    </row>
    <row r="302" customFormat="false" ht="15" hidden="false" customHeight="true" outlineLevel="0" collapsed="false">
      <c r="AM302" s="287"/>
      <c r="AN302" s="17"/>
    </row>
    <row r="303" customFormat="false" ht="15" hidden="false" customHeight="true" outlineLevel="0" collapsed="false">
      <c r="AM303" s="287"/>
      <c r="AN303" s="17"/>
    </row>
    <row r="304" customFormat="false" ht="15" hidden="false" customHeight="true" outlineLevel="0" collapsed="false">
      <c r="AM304" s="303"/>
      <c r="AN304" s="17"/>
    </row>
    <row r="305" customFormat="false" ht="15" hidden="false" customHeight="true" outlineLevel="0" collapsed="false">
      <c r="AN305" s="17"/>
    </row>
    <row r="306" customFormat="false" ht="15" hidden="false" customHeight="true" outlineLevel="0" collapsed="false">
      <c r="AM306" s="268"/>
      <c r="AN306" s="17"/>
    </row>
    <row r="307" customFormat="false" ht="15" hidden="false" customHeight="true" outlineLevel="0" collapsed="false">
      <c r="AM307" s="287"/>
      <c r="AN307" s="17"/>
    </row>
    <row r="308" customFormat="false" ht="15" hidden="false" customHeight="true" outlineLevel="0" collapsed="false">
      <c r="AM308" s="287"/>
      <c r="AN308" s="17"/>
    </row>
    <row r="309" customFormat="false" ht="15" hidden="false" customHeight="true" outlineLevel="0" collapsed="false">
      <c r="AM309" s="287"/>
      <c r="AN309" s="17"/>
    </row>
    <row r="310" customFormat="false" ht="15" hidden="false" customHeight="true" outlineLevel="0" collapsed="false">
      <c r="AM310" s="287"/>
      <c r="AN310" s="17"/>
    </row>
    <row r="311" customFormat="false" ht="15" hidden="false" customHeight="true" outlineLevel="0" collapsed="false">
      <c r="AM311" s="287"/>
      <c r="AN311" s="17"/>
    </row>
    <row r="312" customFormat="false" ht="15" hidden="false" customHeight="true" outlineLevel="0" collapsed="false">
      <c r="AM312" s="287"/>
      <c r="AN312" s="17"/>
    </row>
    <row r="313" customFormat="false" ht="15" hidden="false" customHeight="true" outlineLevel="0" collapsed="false">
      <c r="AM313" s="287"/>
      <c r="AN313" s="17"/>
    </row>
    <row r="314" customFormat="false" ht="15" hidden="false" customHeight="true" outlineLevel="0" collapsed="false">
      <c r="AM314" s="287"/>
      <c r="AN314" s="17"/>
    </row>
    <row r="315" customFormat="false" ht="15" hidden="false" customHeight="true" outlineLevel="0" collapsed="false">
      <c r="AM315" s="287"/>
      <c r="AN315" s="17"/>
    </row>
    <row r="316" customFormat="false" ht="15" hidden="false" customHeight="true" outlineLevel="0" collapsed="false">
      <c r="AM316" s="287"/>
      <c r="AN316" s="17"/>
    </row>
    <row r="317" customFormat="false" ht="15" hidden="false" customHeight="true" outlineLevel="0" collapsed="false">
      <c r="AM317" s="287"/>
      <c r="AN317" s="17"/>
    </row>
    <row r="318" customFormat="false" ht="15" hidden="false" customHeight="true" outlineLevel="0" collapsed="false">
      <c r="AM318" s="287"/>
      <c r="AN318" s="17"/>
    </row>
    <row r="319" customFormat="false" ht="15" hidden="false" customHeight="true" outlineLevel="0" collapsed="false">
      <c r="AM319" s="303"/>
      <c r="AN319" s="17"/>
    </row>
    <row r="320" customFormat="false" ht="15" hidden="false" customHeight="true" outlineLevel="0" collapsed="false">
      <c r="AN320" s="17"/>
    </row>
    <row r="321" customFormat="false" ht="15" hidden="false" customHeight="true" outlineLevel="0" collapsed="false">
      <c r="AM321" s="268"/>
      <c r="AN321" s="17"/>
    </row>
    <row r="322" customFormat="false" ht="15" hidden="false" customHeight="true" outlineLevel="0" collapsed="false">
      <c r="AM322" s="287"/>
      <c r="AN322" s="17"/>
    </row>
    <row r="323" customFormat="false" ht="15" hidden="false" customHeight="true" outlineLevel="0" collapsed="false">
      <c r="AM323" s="287"/>
      <c r="AN323" s="17"/>
    </row>
    <row r="324" customFormat="false" ht="15" hidden="false" customHeight="true" outlineLevel="0" collapsed="false">
      <c r="AM324" s="287"/>
      <c r="AN324" s="17"/>
    </row>
    <row r="325" customFormat="false" ht="15" hidden="false" customHeight="true" outlineLevel="0" collapsed="false">
      <c r="AM325" s="287"/>
      <c r="AN325" s="17"/>
    </row>
    <row r="326" customFormat="false" ht="15" hidden="false" customHeight="true" outlineLevel="0" collapsed="false">
      <c r="AM326" s="287"/>
      <c r="AN326" s="17"/>
    </row>
    <row r="327" customFormat="false" ht="15" hidden="false" customHeight="true" outlineLevel="0" collapsed="false">
      <c r="AM327" s="287"/>
      <c r="AN327" s="17"/>
    </row>
    <row r="328" customFormat="false" ht="15" hidden="false" customHeight="true" outlineLevel="0" collapsed="false">
      <c r="AM328" s="287"/>
      <c r="AN328" s="17"/>
    </row>
    <row r="329" customFormat="false" ht="15" hidden="false" customHeight="true" outlineLevel="0" collapsed="false">
      <c r="AM329" s="287"/>
      <c r="AN329" s="17"/>
    </row>
    <row r="330" customFormat="false" ht="15" hidden="false" customHeight="true" outlineLevel="0" collapsed="false">
      <c r="AM330" s="287"/>
      <c r="AN330" s="17"/>
    </row>
    <row r="331" customFormat="false" ht="15" hidden="false" customHeight="true" outlineLevel="0" collapsed="false">
      <c r="AM331" s="287"/>
      <c r="AN331" s="17"/>
    </row>
    <row r="332" customFormat="false" ht="15" hidden="false" customHeight="true" outlineLevel="0" collapsed="false">
      <c r="AM332" s="287"/>
      <c r="AN332" s="17"/>
    </row>
    <row r="333" customFormat="false" ht="15" hidden="false" customHeight="true" outlineLevel="0" collapsed="false">
      <c r="AM333" s="287"/>
      <c r="AN333" s="17"/>
    </row>
    <row r="334" customFormat="false" ht="15" hidden="false" customHeight="true" outlineLevel="0" collapsed="false">
      <c r="AM334" s="303"/>
      <c r="AN334" s="17"/>
    </row>
    <row r="335" customFormat="false" ht="15" hidden="false" customHeight="true" outlineLevel="0" collapsed="false">
      <c r="AN335" s="17"/>
    </row>
    <row r="336" customFormat="false" ht="15" hidden="false" customHeight="true" outlineLevel="0" collapsed="false">
      <c r="AM336" s="268"/>
      <c r="AN336" s="17"/>
    </row>
    <row r="337" customFormat="false" ht="15" hidden="false" customHeight="true" outlineLevel="0" collapsed="false">
      <c r="AM337" s="287"/>
      <c r="AN337" s="17"/>
    </row>
    <row r="338" customFormat="false" ht="15" hidden="false" customHeight="true" outlineLevel="0" collapsed="false">
      <c r="AM338" s="287"/>
      <c r="AN338" s="17"/>
    </row>
    <row r="339" customFormat="false" ht="15" hidden="false" customHeight="true" outlineLevel="0" collapsed="false">
      <c r="AM339" s="287"/>
      <c r="AN339" s="17"/>
    </row>
    <row r="340" customFormat="false" ht="15" hidden="false" customHeight="true" outlineLevel="0" collapsed="false">
      <c r="AM340" s="287"/>
      <c r="AN340" s="17"/>
    </row>
    <row r="341" customFormat="false" ht="15" hidden="false" customHeight="true" outlineLevel="0" collapsed="false">
      <c r="AM341" s="287"/>
      <c r="AN341" s="17"/>
    </row>
    <row r="342" customFormat="false" ht="15" hidden="false" customHeight="true" outlineLevel="0" collapsed="false">
      <c r="AM342" s="287"/>
      <c r="AN342" s="17"/>
    </row>
    <row r="343" customFormat="false" ht="15" hidden="false" customHeight="true" outlineLevel="0" collapsed="false">
      <c r="AM343" s="287"/>
      <c r="AN343" s="17"/>
    </row>
    <row r="344" customFormat="false" ht="15" hidden="false" customHeight="true" outlineLevel="0" collapsed="false">
      <c r="AM344" s="287"/>
      <c r="AN344" s="17"/>
    </row>
    <row r="345" customFormat="false" ht="15" hidden="false" customHeight="true" outlineLevel="0" collapsed="false">
      <c r="AM345" s="287"/>
      <c r="AN345" s="17"/>
    </row>
    <row r="346" customFormat="false" ht="15" hidden="false" customHeight="true" outlineLevel="0" collapsed="false">
      <c r="AM346" s="287"/>
      <c r="AN346" s="17"/>
    </row>
    <row r="347" customFormat="false" ht="15" hidden="false" customHeight="true" outlineLevel="0" collapsed="false">
      <c r="AM347" s="287"/>
      <c r="AN347" s="17"/>
    </row>
    <row r="348" customFormat="false" ht="15" hidden="false" customHeight="true" outlineLevel="0" collapsed="false">
      <c r="AM348" s="287"/>
      <c r="AN348" s="17"/>
    </row>
    <row r="349" customFormat="false" ht="15" hidden="false" customHeight="true" outlineLevel="0" collapsed="false">
      <c r="AM349" s="303"/>
      <c r="AN349" s="17"/>
    </row>
    <row r="350" customFormat="false" ht="15" hidden="false" customHeight="true" outlineLevel="0" collapsed="false">
      <c r="AN350" s="17"/>
    </row>
    <row r="351" customFormat="false" ht="15" hidden="false" customHeight="true" outlineLevel="0" collapsed="false">
      <c r="AM351" s="268"/>
      <c r="AN351" s="17"/>
    </row>
    <row r="352" customFormat="false" ht="15" hidden="false" customHeight="true" outlineLevel="0" collapsed="false">
      <c r="AM352" s="287"/>
      <c r="AN352" s="17"/>
    </row>
    <row r="353" customFormat="false" ht="15" hidden="false" customHeight="true" outlineLevel="0" collapsed="false">
      <c r="AM353" s="287"/>
      <c r="AN353" s="17"/>
    </row>
    <row r="354" customFormat="false" ht="15" hidden="false" customHeight="true" outlineLevel="0" collapsed="false">
      <c r="AM354" s="287"/>
      <c r="AN354" s="17"/>
    </row>
    <row r="355" customFormat="false" ht="15" hidden="false" customHeight="true" outlineLevel="0" collapsed="false">
      <c r="AM355" s="287"/>
      <c r="AN355" s="17"/>
    </row>
    <row r="356" customFormat="false" ht="15" hidden="false" customHeight="true" outlineLevel="0" collapsed="false">
      <c r="AM356" s="287"/>
      <c r="AN356" s="17"/>
    </row>
    <row r="357" customFormat="false" ht="15" hidden="false" customHeight="true" outlineLevel="0" collapsed="false">
      <c r="AM357" s="287"/>
      <c r="AN357" s="17"/>
    </row>
    <row r="358" customFormat="false" ht="15" hidden="false" customHeight="true" outlineLevel="0" collapsed="false">
      <c r="AM358" s="287"/>
      <c r="AN358" s="17"/>
    </row>
    <row r="359" customFormat="false" ht="15" hidden="false" customHeight="true" outlineLevel="0" collapsed="false">
      <c r="AM359" s="287"/>
      <c r="AN359" s="17"/>
    </row>
    <row r="360" customFormat="false" ht="15" hidden="false" customHeight="true" outlineLevel="0" collapsed="false">
      <c r="AM360" s="287"/>
      <c r="AN360" s="17"/>
    </row>
    <row r="361" customFormat="false" ht="15" hidden="false" customHeight="true" outlineLevel="0" collapsed="false">
      <c r="AM361" s="287"/>
      <c r="AN361" s="17"/>
    </row>
    <row r="362" customFormat="false" ht="15" hidden="false" customHeight="true" outlineLevel="0" collapsed="false">
      <c r="AM362" s="287"/>
      <c r="AN362" s="17"/>
    </row>
    <row r="363" customFormat="false" ht="15" hidden="false" customHeight="true" outlineLevel="0" collapsed="false">
      <c r="AM363" s="287"/>
      <c r="AN363" s="17"/>
    </row>
    <row r="364" customFormat="false" ht="15" hidden="false" customHeight="true" outlineLevel="0" collapsed="false">
      <c r="AM364" s="303"/>
      <c r="AN364" s="17"/>
    </row>
    <row r="365" customFormat="false" ht="15" hidden="false" customHeight="true" outlineLevel="0" collapsed="false">
      <c r="AN365" s="17"/>
    </row>
    <row r="366" customFormat="false" ht="15" hidden="false" customHeight="true" outlineLevel="0" collapsed="false">
      <c r="AM366" s="268"/>
      <c r="AN366" s="17"/>
    </row>
    <row r="367" customFormat="false" ht="15" hidden="false" customHeight="true" outlineLevel="0" collapsed="false">
      <c r="AM367" s="287"/>
      <c r="AN367" s="17"/>
    </row>
    <row r="368" customFormat="false" ht="15" hidden="false" customHeight="true" outlineLevel="0" collapsed="false">
      <c r="AM368" s="287"/>
      <c r="AN368" s="17"/>
    </row>
    <row r="369" customFormat="false" ht="15" hidden="false" customHeight="true" outlineLevel="0" collapsed="false">
      <c r="AM369" s="287"/>
      <c r="AN369" s="17"/>
    </row>
    <row r="370" customFormat="false" ht="15" hidden="false" customHeight="true" outlineLevel="0" collapsed="false">
      <c r="AM370" s="287"/>
      <c r="AN370" s="17"/>
    </row>
    <row r="371" customFormat="false" ht="15" hidden="false" customHeight="true" outlineLevel="0" collapsed="false">
      <c r="AM371" s="287"/>
      <c r="AN371" s="17"/>
    </row>
    <row r="372" customFormat="false" ht="15" hidden="false" customHeight="true" outlineLevel="0" collapsed="false">
      <c r="AM372" s="287"/>
      <c r="AN372" s="17"/>
    </row>
    <row r="373" customFormat="false" ht="15" hidden="false" customHeight="true" outlineLevel="0" collapsed="false">
      <c r="AM373" s="287"/>
      <c r="AN373" s="17"/>
    </row>
    <row r="374" customFormat="false" ht="15" hidden="false" customHeight="true" outlineLevel="0" collapsed="false">
      <c r="AM374" s="287"/>
      <c r="AN374" s="17"/>
    </row>
    <row r="375" customFormat="false" ht="15" hidden="false" customHeight="true" outlineLevel="0" collapsed="false">
      <c r="AM375" s="287"/>
      <c r="AN375" s="17"/>
    </row>
    <row r="376" customFormat="false" ht="15" hidden="false" customHeight="true" outlineLevel="0" collapsed="false">
      <c r="AM376" s="287"/>
      <c r="AN376" s="17"/>
    </row>
    <row r="377" customFormat="false" ht="15" hidden="false" customHeight="true" outlineLevel="0" collapsed="false">
      <c r="AM377" s="287"/>
      <c r="AN377" s="17"/>
    </row>
    <row r="378" customFormat="false" ht="15" hidden="false" customHeight="true" outlineLevel="0" collapsed="false">
      <c r="AM378" s="287"/>
      <c r="AN378" s="17"/>
    </row>
    <row r="379" customFormat="false" ht="15" hidden="false" customHeight="true" outlineLevel="0" collapsed="false">
      <c r="AM379" s="303"/>
      <c r="AN379" s="17"/>
    </row>
    <row r="380" customFormat="false" ht="15" hidden="false" customHeight="true" outlineLevel="0" collapsed="false">
      <c r="AN380" s="17"/>
    </row>
    <row r="381" customFormat="false" ht="15" hidden="false" customHeight="true" outlineLevel="0" collapsed="false">
      <c r="AM381" s="268"/>
      <c r="AN381" s="17"/>
    </row>
    <row r="382" customFormat="false" ht="15" hidden="false" customHeight="true" outlineLevel="0" collapsed="false">
      <c r="AM382" s="287"/>
      <c r="AN382" s="17"/>
    </row>
    <row r="383" customFormat="false" ht="15" hidden="false" customHeight="true" outlineLevel="0" collapsed="false">
      <c r="AM383" s="287"/>
      <c r="AN383" s="17"/>
    </row>
    <row r="384" customFormat="false" ht="15" hidden="false" customHeight="true" outlineLevel="0" collapsed="false">
      <c r="AM384" s="287"/>
      <c r="AN384" s="17"/>
    </row>
    <row r="385" customFormat="false" ht="15" hidden="false" customHeight="true" outlineLevel="0" collapsed="false">
      <c r="AM385" s="287"/>
      <c r="AN385" s="17"/>
    </row>
    <row r="386" customFormat="false" ht="15" hidden="false" customHeight="true" outlineLevel="0" collapsed="false">
      <c r="AM386" s="287"/>
      <c r="AN386" s="17"/>
    </row>
    <row r="387" customFormat="false" ht="15" hidden="false" customHeight="true" outlineLevel="0" collapsed="false">
      <c r="AM387" s="287"/>
      <c r="AN387" s="17"/>
    </row>
    <row r="388" customFormat="false" ht="15" hidden="false" customHeight="true" outlineLevel="0" collapsed="false">
      <c r="AM388" s="287"/>
      <c r="AN388" s="17"/>
    </row>
    <row r="389" customFormat="false" ht="15" hidden="false" customHeight="true" outlineLevel="0" collapsed="false">
      <c r="AM389" s="287"/>
      <c r="AN389" s="17"/>
    </row>
    <row r="390" customFormat="false" ht="15" hidden="false" customHeight="true" outlineLevel="0" collapsed="false">
      <c r="AM390" s="287"/>
      <c r="AN390" s="17"/>
    </row>
    <row r="391" customFormat="false" ht="15" hidden="false" customHeight="true" outlineLevel="0" collapsed="false">
      <c r="AM391" s="287"/>
      <c r="AN391" s="17"/>
    </row>
    <row r="392" customFormat="false" ht="15" hidden="false" customHeight="true" outlineLevel="0" collapsed="false">
      <c r="AM392" s="287"/>
      <c r="AN392" s="17"/>
    </row>
    <row r="393" customFormat="false" ht="15" hidden="false" customHeight="true" outlineLevel="0" collapsed="false">
      <c r="AM393" s="287"/>
      <c r="AN393" s="17"/>
    </row>
    <row r="394" customFormat="false" ht="15" hidden="false" customHeight="true" outlineLevel="0" collapsed="false">
      <c r="AM394" s="303"/>
      <c r="AN394" s="17"/>
    </row>
    <row r="395" customFormat="false" ht="15" hidden="false" customHeight="true" outlineLevel="0" collapsed="false">
      <c r="AN395" s="17"/>
    </row>
    <row r="396" customFormat="false" ht="15" hidden="false" customHeight="true" outlineLevel="0" collapsed="false">
      <c r="AM396" s="268"/>
      <c r="AN396" s="17"/>
    </row>
    <row r="397" customFormat="false" ht="15" hidden="false" customHeight="true" outlineLevel="0" collapsed="false">
      <c r="AM397" s="287"/>
      <c r="AN397" s="17"/>
    </row>
    <row r="398" customFormat="false" ht="15" hidden="false" customHeight="true" outlineLevel="0" collapsed="false">
      <c r="AM398" s="287"/>
      <c r="AN398" s="17"/>
    </row>
    <row r="399" customFormat="false" ht="15" hidden="false" customHeight="true" outlineLevel="0" collapsed="false">
      <c r="AM399" s="287"/>
      <c r="AN399" s="17"/>
    </row>
    <row r="400" customFormat="false" ht="15" hidden="false" customHeight="true" outlineLevel="0" collapsed="false">
      <c r="AM400" s="287"/>
      <c r="AN400" s="17"/>
    </row>
    <row r="401" customFormat="false" ht="15" hidden="false" customHeight="true" outlineLevel="0" collapsed="false">
      <c r="AM401" s="287"/>
      <c r="AN401" s="17"/>
    </row>
    <row r="402" customFormat="false" ht="15" hidden="false" customHeight="true" outlineLevel="0" collapsed="false">
      <c r="AM402" s="287"/>
      <c r="AN402" s="17"/>
    </row>
    <row r="403" customFormat="false" ht="15" hidden="false" customHeight="true" outlineLevel="0" collapsed="false">
      <c r="AM403" s="287"/>
      <c r="AN403" s="17"/>
    </row>
    <row r="404" customFormat="false" ht="15" hidden="false" customHeight="true" outlineLevel="0" collapsed="false">
      <c r="AM404" s="287"/>
      <c r="AN404" s="17"/>
    </row>
    <row r="405" customFormat="false" ht="15" hidden="false" customHeight="true" outlineLevel="0" collapsed="false">
      <c r="AM405" s="287"/>
      <c r="AN405" s="17"/>
    </row>
    <row r="406" customFormat="false" ht="15" hidden="false" customHeight="true" outlineLevel="0" collapsed="false">
      <c r="AM406" s="287"/>
      <c r="AN406" s="17"/>
    </row>
    <row r="407" customFormat="false" ht="15" hidden="false" customHeight="true" outlineLevel="0" collapsed="false">
      <c r="AM407" s="287"/>
      <c r="AN407" s="17"/>
    </row>
    <row r="408" customFormat="false" ht="15" hidden="false" customHeight="true" outlineLevel="0" collapsed="false">
      <c r="AM408" s="287"/>
      <c r="AN408" s="17"/>
    </row>
    <row r="409" customFormat="false" ht="15" hidden="false" customHeight="true" outlineLevel="0" collapsed="false">
      <c r="AM409" s="303"/>
      <c r="AN409" s="17"/>
    </row>
    <row r="410" customFormat="false" ht="15" hidden="false" customHeight="true" outlineLevel="0" collapsed="false">
      <c r="AN410" s="17"/>
    </row>
    <row r="411" customFormat="false" ht="15" hidden="false" customHeight="true" outlineLevel="0" collapsed="false">
      <c r="AM411" s="268"/>
      <c r="AN411" s="17"/>
    </row>
    <row r="412" customFormat="false" ht="15" hidden="false" customHeight="true" outlineLevel="0" collapsed="false">
      <c r="AM412" s="287"/>
      <c r="AN412" s="17"/>
    </row>
    <row r="413" customFormat="false" ht="15" hidden="false" customHeight="true" outlineLevel="0" collapsed="false">
      <c r="AM413" s="287"/>
      <c r="AN413" s="17"/>
    </row>
    <row r="414" customFormat="false" ht="15" hidden="false" customHeight="true" outlineLevel="0" collapsed="false">
      <c r="AM414" s="287"/>
      <c r="AN414" s="17"/>
    </row>
    <row r="415" customFormat="false" ht="15" hidden="false" customHeight="true" outlineLevel="0" collapsed="false">
      <c r="AM415" s="287"/>
      <c r="AN415" s="17"/>
    </row>
    <row r="416" customFormat="false" ht="15" hidden="false" customHeight="true" outlineLevel="0" collapsed="false">
      <c r="AM416" s="287"/>
      <c r="AN416" s="17"/>
    </row>
    <row r="417" customFormat="false" ht="15" hidden="false" customHeight="true" outlineLevel="0" collapsed="false">
      <c r="AM417" s="287"/>
      <c r="AN417" s="17"/>
    </row>
    <row r="418" customFormat="false" ht="15" hidden="false" customHeight="true" outlineLevel="0" collapsed="false">
      <c r="AM418" s="287"/>
      <c r="AN418" s="17"/>
    </row>
    <row r="419" customFormat="false" ht="15" hidden="false" customHeight="true" outlineLevel="0" collapsed="false">
      <c r="AM419" s="287"/>
      <c r="AN419" s="17"/>
    </row>
    <row r="420" customFormat="false" ht="15" hidden="false" customHeight="true" outlineLevel="0" collapsed="false">
      <c r="AM420" s="287"/>
      <c r="AN420" s="17"/>
    </row>
    <row r="421" customFormat="false" ht="15" hidden="false" customHeight="true" outlineLevel="0" collapsed="false">
      <c r="AM421" s="287"/>
      <c r="AN421" s="17"/>
    </row>
    <row r="422" customFormat="false" ht="15" hidden="false" customHeight="true" outlineLevel="0" collapsed="false">
      <c r="AM422" s="287"/>
      <c r="AN422" s="17"/>
    </row>
    <row r="423" customFormat="false" ht="15" hidden="false" customHeight="true" outlineLevel="0" collapsed="false">
      <c r="AM423" s="287"/>
      <c r="AN423" s="17"/>
    </row>
    <row r="424" customFormat="false" ht="15" hidden="false" customHeight="true" outlineLevel="0" collapsed="false">
      <c r="AM424" s="303"/>
      <c r="AN424" s="17"/>
    </row>
    <row r="425" customFormat="false" ht="15" hidden="false" customHeight="true" outlineLevel="0" collapsed="false">
      <c r="AN425" s="17"/>
    </row>
    <row r="426" customFormat="false" ht="15" hidden="false" customHeight="true" outlineLevel="0" collapsed="false">
      <c r="AM426" s="268"/>
      <c r="AN426" s="17"/>
    </row>
    <row r="427" customFormat="false" ht="15" hidden="false" customHeight="true" outlineLevel="0" collapsed="false">
      <c r="AM427" s="287"/>
      <c r="AN427" s="17"/>
    </row>
    <row r="428" customFormat="false" ht="15" hidden="false" customHeight="true" outlineLevel="0" collapsed="false">
      <c r="AM428" s="287"/>
      <c r="AN428" s="17"/>
    </row>
    <row r="429" customFormat="false" ht="15" hidden="false" customHeight="true" outlineLevel="0" collapsed="false">
      <c r="AM429" s="287"/>
      <c r="AN429" s="17"/>
    </row>
    <row r="430" customFormat="false" ht="15" hidden="false" customHeight="true" outlineLevel="0" collapsed="false">
      <c r="AM430" s="287"/>
      <c r="AN430" s="17"/>
    </row>
    <row r="431" customFormat="false" ht="15" hidden="false" customHeight="true" outlineLevel="0" collapsed="false">
      <c r="AM431" s="287"/>
      <c r="AN431" s="17"/>
    </row>
    <row r="432" customFormat="false" ht="15" hidden="false" customHeight="true" outlineLevel="0" collapsed="false">
      <c r="AM432" s="287"/>
      <c r="AN432" s="17"/>
    </row>
    <row r="433" customFormat="false" ht="15" hidden="false" customHeight="true" outlineLevel="0" collapsed="false">
      <c r="AM433" s="287"/>
      <c r="AN433" s="17"/>
    </row>
    <row r="434" customFormat="false" ht="15" hidden="false" customHeight="true" outlineLevel="0" collapsed="false">
      <c r="AM434" s="287"/>
      <c r="AN434" s="17"/>
    </row>
    <row r="435" customFormat="false" ht="15" hidden="false" customHeight="true" outlineLevel="0" collapsed="false">
      <c r="AM435" s="287"/>
      <c r="AN435" s="17"/>
    </row>
    <row r="436" customFormat="false" ht="15" hidden="false" customHeight="true" outlineLevel="0" collapsed="false">
      <c r="AM436" s="287"/>
      <c r="AN436" s="17"/>
    </row>
    <row r="437" customFormat="false" ht="15" hidden="false" customHeight="true" outlineLevel="0" collapsed="false">
      <c r="AM437" s="287"/>
      <c r="AN437" s="17"/>
    </row>
    <row r="438" customFormat="false" ht="15" hidden="false" customHeight="true" outlineLevel="0" collapsed="false">
      <c r="AM438" s="287"/>
      <c r="AN438" s="17"/>
    </row>
    <row r="439" customFormat="false" ht="15" hidden="false" customHeight="true" outlineLevel="0" collapsed="false">
      <c r="AM439" s="303"/>
      <c r="AN439" s="17"/>
    </row>
    <row r="440" customFormat="false" ht="15" hidden="false" customHeight="true" outlineLevel="0" collapsed="false">
      <c r="AN440" s="17"/>
    </row>
    <row r="441" customFormat="false" ht="15" hidden="false" customHeight="true" outlineLevel="0" collapsed="false">
      <c r="AM441" s="268"/>
      <c r="AN441" s="17"/>
    </row>
    <row r="442" customFormat="false" ht="15" hidden="false" customHeight="true" outlineLevel="0" collapsed="false">
      <c r="AM442" s="287"/>
      <c r="AN442" s="17"/>
    </row>
    <row r="443" customFormat="false" ht="15" hidden="false" customHeight="true" outlineLevel="0" collapsed="false">
      <c r="AM443" s="287"/>
      <c r="AN443" s="17"/>
    </row>
    <row r="444" customFormat="false" ht="15" hidden="false" customHeight="true" outlineLevel="0" collapsed="false">
      <c r="AM444" s="287"/>
      <c r="AN444" s="17"/>
    </row>
    <row r="445" customFormat="false" ht="15" hidden="false" customHeight="true" outlineLevel="0" collapsed="false">
      <c r="AM445" s="287"/>
      <c r="AN445" s="17"/>
    </row>
    <row r="446" customFormat="false" ht="15" hidden="false" customHeight="true" outlineLevel="0" collapsed="false">
      <c r="AM446" s="287"/>
      <c r="AN446" s="17"/>
    </row>
    <row r="447" customFormat="false" ht="15" hidden="false" customHeight="true" outlineLevel="0" collapsed="false">
      <c r="AM447" s="287"/>
      <c r="AN447" s="17"/>
    </row>
    <row r="448" customFormat="false" ht="15" hidden="false" customHeight="true" outlineLevel="0" collapsed="false">
      <c r="AM448" s="287"/>
      <c r="AN448" s="17"/>
    </row>
    <row r="449" customFormat="false" ht="15" hidden="false" customHeight="true" outlineLevel="0" collapsed="false">
      <c r="AM449" s="287"/>
      <c r="AN449" s="17"/>
    </row>
    <row r="450" customFormat="false" ht="15" hidden="false" customHeight="true" outlineLevel="0" collapsed="false">
      <c r="AM450" s="287"/>
      <c r="AN450" s="17"/>
    </row>
    <row r="451" customFormat="false" ht="15" hidden="false" customHeight="true" outlineLevel="0" collapsed="false">
      <c r="AM451" s="287"/>
      <c r="AN451" s="17"/>
    </row>
    <row r="452" customFormat="false" ht="15" hidden="false" customHeight="true" outlineLevel="0" collapsed="false">
      <c r="AM452" s="287"/>
      <c r="AN452" s="17"/>
    </row>
    <row r="453" customFormat="false" ht="15" hidden="false" customHeight="true" outlineLevel="0" collapsed="false">
      <c r="AM453" s="287"/>
      <c r="AN453" s="17"/>
    </row>
    <row r="454" customFormat="false" ht="15" hidden="false" customHeight="true" outlineLevel="0" collapsed="false">
      <c r="AM454" s="303"/>
      <c r="AN454" s="17"/>
    </row>
    <row r="455" customFormat="false" ht="15" hidden="false" customHeight="true" outlineLevel="0" collapsed="false">
      <c r="AN455" s="17"/>
    </row>
    <row r="456" customFormat="false" ht="15" hidden="false" customHeight="true" outlineLevel="0" collapsed="false">
      <c r="AM456" s="268"/>
      <c r="AN456" s="17"/>
    </row>
    <row r="457" customFormat="false" ht="15" hidden="false" customHeight="true" outlineLevel="0" collapsed="false">
      <c r="AM457" s="287"/>
      <c r="AN457" s="17"/>
    </row>
    <row r="458" customFormat="false" ht="15" hidden="false" customHeight="true" outlineLevel="0" collapsed="false">
      <c r="AM458" s="287"/>
      <c r="AN458" s="17"/>
    </row>
    <row r="459" customFormat="false" ht="15" hidden="false" customHeight="true" outlineLevel="0" collapsed="false">
      <c r="AM459" s="287"/>
      <c r="AN459" s="17"/>
    </row>
    <row r="460" customFormat="false" ht="15" hidden="false" customHeight="true" outlineLevel="0" collapsed="false">
      <c r="AM460" s="287"/>
      <c r="AN460" s="17"/>
    </row>
    <row r="461" customFormat="false" ht="15" hidden="false" customHeight="true" outlineLevel="0" collapsed="false">
      <c r="AM461" s="287"/>
      <c r="AN461" s="17"/>
    </row>
    <row r="462" customFormat="false" ht="15" hidden="false" customHeight="true" outlineLevel="0" collapsed="false">
      <c r="AM462" s="287"/>
      <c r="AN462" s="17"/>
    </row>
    <row r="463" customFormat="false" ht="15" hidden="false" customHeight="true" outlineLevel="0" collapsed="false">
      <c r="AM463" s="287"/>
      <c r="AN463" s="17"/>
    </row>
    <row r="464" customFormat="false" ht="15" hidden="false" customHeight="true" outlineLevel="0" collapsed="false">
      <c r="AM464" s="287"/>
      <c r="AN464" s="17"/>
    </row>
    <row r="465" customFormat="false" ht="15" hidden="false" customHeight="true" outlineLevel="0" collapsed="false">
      <c r="AM465" s="287"/>
      <c r="AN465" s="17"/>
    </row>
    <row r="466" customFormat="false" ht="15" hidden="false" customHeight="true" outlineLevel="0" collapsed="false">
      <c r="AM466" s="287"/>
      <c r="AN466" s="17"/>
    </row>
    <row r="467" customFormat="false" ht="15" hidden="false" customHeight="true" outlineLevel="0" collapsed="false">
      <c r="AM467" s="287"/>
      <c r="AN467" s="17"/>
    </row>
    <row r="468" customFormat="false" ht="15" hidden="false" customHeight="true" outlineLevel="0" collapsed="false">
      <c r="AM468" s="287"/>
      <c r="AN468" s="17"/>
    </row>
    <row r="469" customFormat="false" ht="15" hidden="false" customHeight="true" outlineLevel="0" collapsed="false">
      <c r="AM469" s="303"/>
      <c r="AN469" s="17"/>
    </row>
    <row r="470" customFormat="false" ht="15" hidden="false" customHeight="true" outlineLevel="0" collapsed="false">
      <c r="AM470" s="303"/>
      <c r="AN470" s="17"/>
    </row>
    <row r="471" customFormat="false" ht="15" hidden="false" customHeight="true" outlineLevel="0" collapsed="false">
      <c r="AM471" s="268"/>
      <c r="AN471" s="17"/>
    </row>
    <row r="472" customFormat="false" ht="15" hidden="false" customHeight="true" outlineLevel="0" collapsed="false">
      <c r="AM472" s="287"/>
      <c r="AN472" s="17"/>
    </row>
    <row r="473" customFormat="false" ht="15" hidden="false" customHeight="true" outlineLevel="0" collapsed="false">
      <c r="AM473" s="287"/>
      <c r="AN473" s="17"/>
    </row>
    <row r="474" customFormat="false" ht="15" hidden="false" customHeight="true" outlineLevel="0" collapsed="false">
      <c r="AM474" s="287"/>
      <c r="AN474" s="17"/>
    </row>
    <row r="475" customFormat="false" ht="15" hidden="false" customHeight="true" outlineLevel="0" collapsed="false">
      <c r="AM475" s="287"/>
      <c r="AN475" s="17"/>
    </row>
    <row r="476" customFormat="false" ht="15" hidden="false" customHeight="true" outlineLevel="0" collapsed="false">
      <c r="AM476" s="287"/>
      <c r="AN476" s="17"/>
    </row>
    <row r="477" customFormat="false" ht="15" hidden="false" customHeight="true" outlineLevel="0" collapsed="false">
      <c r="AM477" s="287"/>
      <c r="AN477" s="17"/>
    </row>
    <row r="478" customFormat="false" ht="15" hidden="false" customHeight="true" outlineLevel="0" collapsed="false">
      <c r="AM478" s="287"/>
      <c r="AN478" s="17"/>
    </row>
    <row r="479" customFormat="false" ht="15" hidden="false" customHeight="true" outlineLevel="0" collapsed="false">
      <c r="AM479" s="287"/>
      <c r="AN479" s="17"/>
    </row>
    <row r="480" customFormat="false" ht="15" hidden="false" customHeight="true" outlineLevel="0" collapsed="false">
      <c r="AM480" s="287"/>
      <c r="AN480" s="17"/>
    </row>
    <row r="481" customFormat="false" ht="15" hidden="false" customHeight="true" outlineLevel="0" collapsed="false">
      <c r="AM481" s="287"/>
      <c r="AN481" s="17"/>
    </row>
    <row r="482" customFormat="false" ht="15" hidden="false" customHeight="true" outlineLevel="0" collapsed="false">
      <c r="AM482" s="287"/>
      <c r="AN482" s="17"/>
    </row>
    <row r="483" customFormat="false" ht="15" hidden="false" customHeight="true" outlineLevel="0" collapsed="false">
      <c r="AM483" s="287"/>
      <c r="AN483" s="17"/>
    </row>
    <row r="484" customFormat="false" ht="15" hidden="false" customHeight="true" outlineLevel="0" collapsed="false">
      <c r="AM484" s="303"/>
      <c r="AN484" s="17"/>
    </row>
    <row r="485" customFormat="false" ht="15" hidden="false" customHeight="true" outlineLevel="0" collapsed="false">
      <c r="AM485" s="303"/>
      <c r="AN485" s="17"/>
    </row>
    <row r="486" customFormat="false" ht="15" hidden="false" customHeight="true" outlineLevel="0" collapsed="false">
      <c r="AM486" s="268"/>
      <c r="AN486" s="17"/>
    </row>
    <row r="487" customFormat="false" ht="15" hidden="false" customHeight="true" outlineLevel="0" collapsed="false">
      <c r="AM487" s="287"/>
      <c r="AN487" s="17"/>
    </row>
    <row r="488" customFormat="false" ht="15" hidden="false" customHeight="true" outlineLevel="0" collapsed="false">
      <c r="AM488" s="287"/>
      <c r="AN488" s="17"/>
    </row>
    <row r="489" customFormat="false" ht="15" hidden="false" customHeight="true" outlineLevel="0" collapsed="false">
      <c r="AM489" s="287"/>
      <c r="AN489" s="17"/>
    </row>
    <row r="490" customFormat="false" ht="15" hidden="false" customHeight="true" outlineLevel="0" collapsed="false">
      <c r="AM490" s="287"/>
      <c r="AN490" s="17"/>
    </row>
    <row r="491" customFormat="false" ht="15" hidden="false" customHeight="true" outlineLevel="0" collapsed="false">
      <c r="AM491" s="287"/>
      <c r="AN491" s="17"/>
    </row>
    <row r="492" customFormat="false" ht="15" hidden="false" customHeight="true" outlineLevel="0" collapsed="false">
      <c r="AM492" s="287"/>
      <c r="AN492" s="17"/>
    </row>
    <row r="493" customFormat="false" ht="15" hidden="false" customHeight="true" outlineLevel="0" collapsed="false">
      <c r="AM493" s="287"/>
      <c r="AN493" s="17"/>
    </row>
    <row r="494" customFormat="false" ht="15" hidden="false" customHeight="true" outlineLevel="0" collapsed="false">
      <c r="AM494" s="287"/>
      <c r="AN494" s="17"/>
    </row>
    <row r="495" customFormat="false" ht="15" hidden="false" customHeight="true" outlineLevel="0" collapsed="false">
      <c r="AM495" s="287"/>
      <c r="AN495" s="17"/>
    </row>
    <row r="496" customFormat="false" ht="15" hidden="false" customHeight="true" outlineLevel="0" collapsed="false">
      <c r="AM496" s="287"/>
      <c r="AN496" s="17"/>
    </row>
    <row r="497" customFormat="false" ht="15" hidden="false" customHeight="true" outlineLevel="0" collapsed="false">
      <c r="AM497" s="287"/>
      <c r="AN497" s="17"/>
    </row>
    <row r="498" customFormat="false" ht="15" hidden="false" customHeight="true" outlineLevel="0" collapsed="false">
      <c r="AM498" s="287"/>
      <c r="AN498" s="17"/>
    </row>
    <row r="499" customFormat="false" ht="15" hidden="false" customHeight="true" outlineLevel="0" collapsed="false">
      <c r="AM499" s="303"/>
      <c r="AN499" s="17"/>
    </row>
    <row r="500" customFormat="false" ht="15" hidden="false" customHeight="true" outlineLevel="0" collapsed="false">
      <c r="AM500" s="303"/>
      <c r="AN500" s="17"/>
    </row>
    <row r="501" customFormat="false" ht="15" hidden="false" customHeight="true" outlineLevel="0" collapsed="false">
      <c r="AM501" s="268"/>
      <c r="AN501" s="17"/>
    </row>
    <row r="502" customFormat="false" ht="15" hidden="false" customHeight="true" outlineLevel="0" collapsed="false">
      <c r="AM502" s="287"/>
      <c r="AN502" s="17"/>
    </row>
    <row r="503" customFormat="false" ht="15" hidden="false" customHeight="true" outlineLevel="0" collapsed="false">
      <c r="AM503" s="287"/>
      <c r="AN503" s="17"/>
    </row>
    <row r="504" customFormat="false" ht="15" hidden="false" customHeight="true" outlineLevel="0" collapsed="false">
      <c r="AM504" s="287"/>
      <c r="AN504" s="17"/>
    </row>
    <row r="505" customFormat="false" ht="15" hidden="false" customHeight="true" outlineLevel="0" collapsed="false">
      <c r="AM505" s="287"/>
      <c r="AN505" s="17"/>
    </row>
    <row r="506" customFormat="false" ht="15" hidden="false" customHeight="true" outlineLevel="0" collapsed="false">
      <c r="AM506" s="287"/>
      <c r="AN506" s="17"/>
    </row>
    <row r="507" customFormat="false" ht="15" hidden="false" customHeight="true" outlineLevel="0" collapsed="false">
      <c r="AM507" s="287"/>
      <c r="AN507" s="17"/>
    </row>
    <row r="508" customFormat="false" ht="15" hidden="false" customHeight="true" outlineLevel="0" collapsed="false">
      <c r="AM508" s="287"/>
      <c r="AN508" s="17"/>
    </row>
    <row r="509" customFormat="false" ht="15" hidden="false" customHeight="true" outlineLevel="0" collapsed="false">
      <c r="AM509" s="287"/>
      <c r="AN509" s="17"/>
    </row>
    <row r="510" customFormat="false" ht="15" hidden="false" customHeight="true" outlineLevel="0" collapsed="false">
      <c r="AM510" s="287"/>
      <c r="AN510" s="17"/>
    </row>
    <row r="511" customFormat="false" ht="15" hidden="false" customHeight="true" outlineLevel="0" collapsed="false">
      <c r="AM511" s="287"/>
      <c r="AN511" s="17"/>
    </row>
    <row r="512" customFormat="false" ht="15" hidden="false" customHeight="true" outlineLevel="0" collapsed="false">
      <c r="AM512" s="287"/>
      <c r="AN512" s="17"/>
    </row>
    <row r="513" customFormat="false" ht="15" hidden="false" customHeight="true" outlineLevel="0" collapsed="false">
      <c r="AM513" s="287"/>
      <c r="AN513" s="17"/>
    </row>
    <row r="514" customFormat="false" ht="15" hidden="false" customHeight="true" outlineLevel="0" collapsed="false">
      <c r="AM514" s="303"/>
      <c r="AN514" s="17"/>
    </row>
    <row r="515" customFormat="false" ht="15" hidden="false" customHeight="true" outlineLevel="0" collapsed="false">
      <c r="AM515" s="303"/>
      <c r="AN515" s="17"/>
    </row>
    <row r="516" customFormat="false" ht="15" hidden="false" customHeight="true" outlineLevel="0" collapsed="false">
      <c r="AM516" s="268"/>
      <c r="AN516" s="17"/>
    </row>
    <row r="517" customFormat="false" ht="15" hidden="false" customHeight="true" outlineLevel="0" collapsed="false">
      <c r="AM517" s="287"/>
      <c r="AN517" s="17"/>
    </row>
    <row r="518" customFormat="false" ht="15" hidden="false" customHeight="true" outlineLevel="0" collapsed="false">
      <c r="AM518" s="287"/>
      <c r="AN518" s="17"/>
    </row>
    <row r="519" customFormat="false" ht="15" hidden="false" customHeight="true" outlineLevel="0" collapsed="false">
      <c r="AM519" s="287"/>
      <c r="AN519" s="17"/>
    </row>
    <row r="520" customFormat="false" ht="15" hidden="false" customHeight="true" outlineLevel="0" collapsed="false">
      <c r="AM520" s="287"/>
      <c r="AN520" s="17"/>
    </row>
    <row r="521" customFormat="false" ht="15" hidden="false" customHeight="true" outlineLevel="0" collapsed="false">
      <c r="AM521" s="287"/>
      <c r="AN521" s="17"/>
    </row>
    <row r="522" customFormat="false" ht="15" hidden="false" customHeight="true" outlineLevel="0" collapsed="false">
      <c r="AM522" s="287"/>
      <c r="AN522" s="17"/>
    </row>
    <row r="523" customFormat="false" ht="15" hidden="false" customHeight="true" outlineLevel="0" collapsed="false">
      <c r="AM523" s="287"/>
      <c r="AN523" s="17"/>
    </row>
    <row r="524" customFormat="false" ht="15" hidden="false" customHeight="true" outlineLevel="0" collapsed="false">
      <c r="AM524" s="287"/>
      <c r="AN524" s="17"/>
    </row>
    <row r="525" customFormat="false" ht="15" hidden="false" customHeight="true" outlineLevel="0" collapsed="false">
      <c r="AM525" s="287"/>
      <c r="AN525" s="17"/>
    </row>
    <row r="526" customFormat="false" ht="15" hidden="false" customHeight="true" outlineLevel="0" collapsed="false">
      <c r="AM526" s="287"/>
      <c r="AN526" s="17"/>
    </row>
    <row r="527" customFormat="false" ht="15" hidden="false" customHeight="true" outlineLevel="0" collapsed="false">
      <c r="AM527" s="287"/>
      <c r="AN527" s="17"/>
    </row>
    <row r="528" customFormat="false" ht="15" hidden="false" customHeight="true" outlineLevel="0" collapsed="false">
      <c r="AM528" s="287"/>
      <c r="AN528" s="17"/>
    </row>
    <row r="529" customFormat="false" ht="15" hidden="false" customHeight="true" outlineLevel="0" collapsed="false">
      <c r="AM529" s="303"/>
      <c r="AN529" s="17"/>
    </row>
    <row r="530" customFormat="false" ht="15" hidden="false" customHeight="true" outlineLevel="0" collapsed="false">
      <c r="AM530" s="303"/>
      <c r="AN530" s="17"/>
    </row>
    <row r="531" customFormat="false" ht="15" hidden="false" customHeight="true" outlineLevel="0" collapsed="false">
      <c r="AM531" s="268"/>
      <c r="AN531" s="17"/>
    </row>
    <row r="532" customFormat="false" ht="15" hidden="false" customHeight="true" outlineLevel="0" collapsed="false">
      <c r="AM532" s="287"/>
      <c r="AN532" s="17"/>
    </row>
    <row r="533" customFormat="false" ht="15" hidden="false" customHeight="true" outlineLevel="0" collapsed="false">
      <c r="AM533" s="287"/>
      <c r="AN533" s="17"/>
    </row>
    <row r="534" customFormat="false" ht="15" hidden="false" customHeight="true" outlineLevel="0" collapsed="false">
      <c r="AM534" s="287"/>
      <c r="AN534" s="17"/>
    </row>
    <row r="535" customFormat="false" ht="15" hidden="false" customHeight="true" outlineLevel="0" collapsed="false">
      <c r="AM535" s="287"/>
      <c r="AN535" s="17"/>
    </row>
    <row r="536" customFormat="false" ht="15" hidden="false" customHeight="true" outlineLevel="0" collapsed="false">
      <c r="AM536" s="287"/>
      <c r="AN536" s="17"/>
    </row>
    <row r="537" customFormat="false" ht="15" hidden="false" customHeight="true" outlineLevel="0" collapsed="false">
      <c r="AM537" s="287"/>
      <c r="AN537" s="17"/>
    </row>
    <row r="538" customFormat="false" ht="15" hidden="false" customHeight="true" outlineLevel="0" collapsed="false">
      <c r="AM538" s="287"/>
      <c r="AN538" s="17"/>
    </row>
    <row r="539" customFormat="false" ht="15" hidden="false" customHeight="true" outlineLevel="0" collapsed="false">
      <c r="AM539" s="287"/>
      <c r="AN539" s="17"/>
    </row>
    <row r="540" customFormat="false" ht="15" hidden="false" customHeight="true" outlineLevel="0" collapsed="false">
      <c r="AM540" s="287"/>
      <c r="AN540" s="17"/>
    </row>
    <row r="541" customFormat="false" ht="15" hidden="false" customHeight="true" outlineLevel="0" collapsed="false">
      <c r="AM541" s="287"/>
      <c r="AN541" s="17"/>
    </row>
    <row r="542" customFormat="false" ht="15" hidden="false" customHeight="true" outlineLevel="0" collapsed="false">
      <c r="AM542" s="287"/>
      <c r="AN542" s="17"/>
    </row>
    <row r="543" customFormat="false" ht="15" hidden="false" customHeight="true" outlineLevel="0" collapsed="false">
      <c r="AM543" s="287"/>
      <c r="AN543" s="17"/>
    </row>
    <row r="544" customFormat="false" ht="15" hidden="false" customHeight="true" outlineLevel="0" collapsed="false">
      <c r="AM544" s="303"/>
      <c r="AN544" s="17"/>
    </row>
    <row r="545" customFormat="false" ht="15" hidden="false" customHeight="true" outlineLevel="0" collapsed="false">
      <c r="AM545" s="303"/>
      <c r="AN545" s="17"/>
    </row>
    <row r="546" customFormat="false" ht="15" hidden="false" customHeight="true" outlineLevel="0" collapsed="false">
      <c r="AM546" s="268"/>
      <c r="AN546" s="17"/>
    </row>
    <row r="547" customFormat="false" ht="15" hidden="false" customHeight="true" outlineLevel="0" collapsed="false">
      <c r="AM547" s="287"/>
      <c r="AN547" s="17"/>
    </row>
    <row r="548" customFormat="false" ht="15" hidden="false" customHeight="true" outlineLevel="0" collapsed="false">
      <c r="AM548" s="287"/>
      <c r="AN548" s="17"/>
    </row>
    <row r="549" customFormat="false" ht="15" hidden="false" customHeight="true" outlineLevel="0" collapsed="false">
      <c r="AM549" s="287"/>
      <c r="AN549" s="17"/>
    </row>
    <row r="550" customFormat="false" ht="15" hidden="false" customHeight="true" outlineLevel="0" collapsed="false">
      <c r="AM550" s="287"/>
      <c r="AN550" s="17"/>
    </row>
    <row r="551" customFormat="false" ht="15" hidden="false" customHeight="true" outlineLevel="0" collapsed="false">
      <c r="AM551" s="287"/>
      <c r="AN551" s="17"/>
    </row>
    <row r="552" customFormat="false" ht="15" hidden="false" customHeight="true" outlineLevel="0" collapsed="false">
      <c r="AM552" s="287"/>
      <c r="AN552" s="17"/>
    </row>
    <row r="553" customFormat="false" ht="15" hidden="false" customHeight="true" outlineLevel="0" collapsed="false">
      <c r="AM553" s="287"/>
      <c r="AN553" s="17"/>
    </row>
    <row r="554" customFormat="false" ht="15" hidden="false" customHeight="true" outlineLevel="0" collapsed="false">
      <c r="AM554" s="287"/>
      <c r="AN554" s="17"/>
    </row>
    <row r="555" customFormat="false" ht="15" hidden="false" customHeight="true" outlineLevel="0" collapsed="false">
      <c r="AM555" s="287"/>
      <c r="AN555" s="17"/>
    </row>
    <row r="556" customFormat="false" ht="15" hidden="false" customHeight="true" outlineLevel="0" collapsed="false">
      <c r="AM556" s="287"/>
      <c r="AN556" s="17"/>
    </row>
    <row r="557" customFormat="false" ht="15" hidden="false" customHeight="true" outlineLevel="0" collapsed="false">
      <c r="AM557" s="287"/>
      <c r="AN557" s="17"/>
    </row>
    <row r="558" customFormat="false" ht="15" hidden="false" customHeight="true" outlineLevel="0" collapsed="false">
      <c r="AM558" s="287"/>
      <c r="AN558" s="17"/>
    </row>
    <row r="559" customFormat="false" ht="15" hidden="false" customHeight="true" outlineLevel="0" collapsed="false">
      <c r="AM559" s="303"/>
      <c r="AN559" s="17"/>
    </row>
    <row r="560" customFormat="false" ht="15" hidden="false" customHeight="true" outlineLevel="0" collapsed="false">
      <c r="AM560" s="303"/>
      <c r="AN560" s="17"/>
    </row>
    <row r="561" customFormat="false" ht="15" hidden="false" customHeight="true" outlineLevel="0" collapsed="false">
      <c r="AM561" s="268"/>
      <c r="AN561" s="17"/>
    </row>
    <row r="562" customFormat="false" ht="15" hidden="false" customHeight="true" outlineLevel="0" collapsed="false">
      <c r="AM562" s="287"/>
      <c r="AN562" s="17"/>
    </row>
    <row r="563" customFormat="false" ht="15" hidden="false" customHeight="true" outlineLevel="0" collapsed="false">
      <c r="AM563" s="287"/>
      <c r="AN563" s="17"/>
    </row>
    <row r="564" customFormat="false" ht="15" hidden="false" customHeight="true" outlineLevel="0" collapsed="false">
      <c r="AM564" s="287"/>
      <c r="AN564" s="17"/>
    </row>
    <row r="565" customFormat="false" ht="15" hidden="false" customHeight="true" outlineLevel="0" collapsed="false">
      <c r="AM565" s="287"/>
      <c r="AN565" s="17"/>
    </row>
    <row r="566" customFormat="false" ht="15" hidden="false" customHeight="true" outlineLevel="0" collapsed="false">
      <c r="AM566" s="287"/>
      <c r="AN566" s="17"/>
    </row>
    <row r="567" customFormat="false" ht="15" hidden="false" customHeight="true" outlineLevel="0" collapsed="false">
      <c r="AM567" s="287"/>
      <c r="AN567" s="17"/>
    </row>
    <row r="568" customFormat="false" ht="15" hidden="false" customHeight="true" outlineLevel="0" collapsed="false">
      <c r="AM568" s="287"/>
      <c r="AN568" s="17"/>
    </row>
    <row r="569" customFormat="false" ht="15" hidden="false" customHeight="true" outlineLevel="0" collapsed="false">
      <c r="AM569" s="287"/>
      <c r="AN569" s="17"/>
    </row>
    <row r="570" customFormat="false" ht="15" hidden="false" customHeight="true" outlineLevel="0" collapsed="false">
      <c r="AM570" s="287"/>
      <c r="AN570" s="17"/>
    </row>
    <row r="571" customFormat="false" ht="15" hidden="false" customHeight="true" outlineLevel="0" collapsed="false">
      <c r="AM571" s="287"/>
      <c r="AN571" s="17"/>
    </row>
    <row r="572" customFormat="false" ht="15" hidden="false" customHeight="true" outlineLevel="0" collapsed="false">
      <c r="AM572" s="287"/>
      <c r="AN572" s="17"/>
    </row>
    <row r="573" customFormat="false" ht="15" hidden="false" customHeight="true" outlineLevel="0" collapsed="false">
      <c r="AM573" s="287"/>
      <c r="AN573" s="17"/>
    </row>
    <row r="574" customFormat="false" ht="15" hidden="false" customHeight="true" outlineLevel="0" collapsed="false">
      <c r="AM574" s="303"/>
      <c r="AN574" s="17"/>
    </row>
    <row r="575" customFormat="false" ht="15" hidden="false" customHeight="true" outlineLevel="0" collapsed="false">
      <c r="AM575" s="303"/>
      <c r="AN575" s="17"/>
    </row>
    <row r="576" customFormat="false" ht="15" hidden="false" customHeight="true" outlineLevel="0" collapsed="false">
      <c r="AM576" s="268"/>
      <c r="AN576" s="17"/>
    </row>
    <row r="577" customFormat="false" ht="15" hidden="false" customHeight="true" outlineLevel="0" collapsed="false">
      <c r="AM577" s="287"/>
      <c r="AN577" s="17"/>
    </row>
    <row r="578" customFormat="false" ht="15" hidden="false" customHeight="true" outlineLevel="0" collapsed="false">
      <c r="AM578" s="287"/>
      <c r="AN578" s="17"/>
    </row>
    <row r="579" customFormat="false" ht="15" hidden="false" customHeight="true" outlineLevel="0" collapsed="false">
      <c r="AM579" s="287"/>
      <c r="AN579" s="17"/>
    </row>
    <row r="580" customFormat="false" ht="15" hidden="false" customHeight="true" outlineLevel="0" collapsed="false">
      <c r="AM580" s="287"/>
      <c r="AN580" s="17"/>
    </row>
    <row r="581" customFormat="false" ht="15" hidden="false" customHeight="true" outlineLevel="0" collapsed="false">
      <c r="AM581" s="287"/>
      <c r="AN581" s="17"/>
    </row>
    <row r="582" customFormat="false" ht="15" hidden="false" customHeight="true" outlineLevel="0" collapsed="false">
      <c r="AM582" s="287"/>
      <c r="AN582" s="17"/>
    </row>
    <row r="583" customFormat="false" ht="15" hidden="false" customHeight="true" outlineLevel="0" collapsed="false">
      <c r="AM583" s="287"/>
      <c r="AN583" s="17"/>
    </row>
    <row r="584" customFormat="false" ht="15" hidden="false" customHeight="true" outlineLevel="0" collapsed="false">
      <c r="AM584" s="287"/>
      <c r="AN584" s="17"/>
    </row>
    <row r="585" customFormat="false" ht="15" hidden="false" customHeight="true" outlineLevel="0" collapsed="false">
      <c r="AM585" s="287"/>
      <c r="AN585" s="17"/>
    </row>
    <row r="586" customFormat="false" ht="15" hidden="false" customHeight="true" outlineLevel="0" collapsed="false">
      <c r="AM586" s="287"/>
      <c r="AN586" s="17"/>
    </row>
    <row r="587" customFormat="false" ht="15" hidden="false" customHeight="true" outlineLevel="0" collapsed="false">
      <c r="AM587" s="287"/>
      <c r="AN587" s="17"/>
    </row>
    <row r="588" customFormat="false" ht="15" hidden="false" customHeight="true" outlineLevel="0" collapsed="false">
      <c r="AM588" s="287"/>
      <c r="AN588" s="17"/>
    </row>
    <row r="589" customFormat="false" ht="15" hidden="false" customHeight="true" outlineLevel="0" collapsed="false">
      <c r="AM589" s="303"/>
      <c r="AN589" s="17"/>
    </row>
    <row r="590" customFormat="false" ht="15" hidden="false" customHeight="true" outlineLevel="0" collapsed="false">
      <c r="AM590" s="303"/>
      <c r="AN590" s="17"/>
    </row>
    <row r="591" customFormat="false" ht="15" hidden="false" customHeight="true" outlineLevel="0" collapsed="false">
      <c r="AM591" s="268"/>
      <c r="AN591" s="17"/>
    </row>
    <row r="592" customFormat="false" ht="15" hidden="false" customHeight="true" outlineLevel="0" collapsed="false">
      <c r="AM592" s="287"/>
      <c r="AN592" s="17"/>
    </row>
    <row r="593" customFormat="false" ht="15" hidden="false" customHeight="true" outlineLevel="0" collapsed="false">
      <c r="AM593" s="287"/>
      <c r="AN593" s="17"/>
    </row>
    <row r="594" customFormat="false" ht="15" hidden="false" customHeight="true" outlineLevel="0" collapsed="false">
      <c r="AM594" s="287"/>
      <c r="AN594" s="17"/>
    </row>
    <row r="595" customFormat="false" ht="15" hidden="false" customHeight="true" outlineLevel="0" collapsed="false">
      <c r="AM595" s="287"/>
      <c r="AN595" s="17"/>
    </row>
    <row r="596" customFormat="false" ht="15" hidden="false" customHeight="true" outlineLevel="0" collapsed="false">
      <c r="AM596" s="287"/>
      <c r="AN596" s="17"/>
    </row>
    <row r="597" customFormat="false" ht="15" hidden="false" customHeight="true" outlineLevel="0" collapsed="false">
      <c r="AM597" s="287"/>
      <c r="AN597" s="17"/>
    </row>
    <row r="598" customFormat="false" ht="15" hidden="false" customHeight="true" outlineLevel="0" collapsed="false">
      <c r="AM598" s="287"/>
      <c r="AN598" s="17"/>
    </row>
    <row r="599" customFormat="false" ht="15" hidden="false" customHeight="true" outlineLevel="0" collapsed="false">
      <c r="AM599" s="287"/>
      <c r="AN599" s="17"/>
    </row>
    <row r="600" customFormat="false" ht="15" hidden="false" customHeight="true" outlineLevel="0" collapsed="false">
      <c r="AM600" s="287"/>
      <c r="AN600" s="17"/>
    </row>
    <row r="601" customFormat="false" ht="15" hidden="false" customHeight="true" outlineLevel="0" collapsed="false">
      <c r="AM601" s="287"/>
      <c r="AN601" s="17"/>
    </row>
    <row r="602" customFormat="false" ht="15" hidden="false" customHeight="true" outlineLevel="0" collapsed="false">
      <c r="AM602" s="287"/>
      <c r="AN602" s="17"/>
    </row>
    <row r="603" customFormat="false" ht="15" hidden="false" customHeight="true" outlineLevel="0" collapsed="false">
      <c r="AM603" s="287"/>
      <c r="AN603" s="17"/>
    </row>
    <row r="604" customFormat="false" ht="15" hidden="false" customHeight="true" outlineLevel="0" collapsed="false">
      <c r="AM604" s="303"/>
      <c r="AN604" s="17"/>
    </row>
    <row r="605" customFormat="false" ht="15" hidden="false" customHeight="true" outlineLevel="0" collapsed="false">
      <c r="AM605" s="303"/>
      <c r="AN605" s="17"/>
    </row>
    <row r="606" customFormat="false" ht="15" hidden="false" customHeight="true" outlineLevel="0" collapsed="false">
      <c r="AM606" s="268"/>
      <c r="AN606" s="17"/>
    </row>
    <row r="607" customFormat="false" ht="15" hidden="false" customHeight="true" outlineLevel="0" collapsed="false">
      <c r="AM607" s="287"/>
      <c r="AN607" s="17"/>
    </row>
    <row r="608" customFormat="false" ht="15" hidden="false" customHeight="true" outlineLevel="0" collapsed="false">
      <c r="AM608" s="287"/>
      <c r="AN608" s="17"/>
    </row>
    <row r="609" customFormat="false" ht="15" hidden="false" customHeight="true" outlineLevel="0" collapsed="false">
      <c r="AM609" s="287"/>
      <c r="AN609" s="17"/>
    </row>
    <row r="610" customFormat="false" ht="15" hidden="false" customHeight="true" outlineLevel="0" collapsed="false">
      <c r="AM610" s="287"/>
      <c r="AN610" s="17"/>
    </row>
    <row r="611" customFormat="false" ht="15" hidden="false" customHeight="true" outlineLevel="0" collapsed="false">
      <c r="AM611" s="287"/>
      <c r="AN611" s="17"/>
    </row>
    <row r="612" customFormat="false" ht="15" hidden="false" customHeight="true" outlineLevel="0" collapsed="false">
      <c r="AM612" s="287"/>
      <c r="AN612" s="17"/>
    </row>
    <row r="613" customFormat="false" ht="15" hidden="false" customHeight="true" outlineLevel="0" collapsed="false">
      <c r="AM613" s="287"/>
      <c r="AN613" s="17"/>
    </row>
    <row r="614" customFormat="false" ht="15" hidden="false" customHeight="true" outlineLevel="0" collapsed="false">
      <c r="AM614" s="287"/>
      <c r="AN614" s="17"/>
    </row>
    <row r="615" customFormat="false" ht="15" hidden="false" customHeight="true" outlineLevel="0" collapsed="false">
      <c r="AM615" s="287"/>
      <c r="AN615" s="17"/>
    </row>
    <row r="616" customFormat="false" ht="15" hidden="false" customHeight="true" outlineLevel="0" collapsed="false">
      <c r="AM616" s="287"/>
      <c r="AN616" s="17"/>
    </row>
    <row r="617" customFormat="false" ht="15" hidden="false" customHeight="true" outlineLevel="0" collapsed="false">
      <c r="AM617" s="287"/>
      <c r="AN617" s="17"/>
    </row>
    <row r="618" customFormat="false" ht="15" hidden="false" customHeight="true" outlineLevel="0" collapsed="false">
      <c r="AM618" s="287"/>
      <c r="AN618" s="17"/>
    </row>
    <row r="619" customFormat="false" ht="15" hidden="false" customHeight="true" outlineLevel="0" collapsed="false">
      <c r="AM619" s="303"/>
      <c r="AN619" s="17"/>
    </row>
    <row r="620" customFormat="false" ht="15" hidden="false" customHeight="true" outlineLevel="0" collapsed="false">
      <c r="AN620" s="17"/>
    </row>
    <row r="621" customFormat="false" ht="15" hidden="false" customHeight="true" outlineLevel="0" collapsed="false">
      <c r="AM621" s="268"/>
      <c r="AN621" s="17"/>
    </row>
    <row r="622" customFormat="false" ht="15" hidden="false" customHeight="true" outlineLevel="0" collapsed="false">
      <c r="AM622" s="287"/>
      <c r="AN622" s="17"/>
    </row>
    <row r="623" customFormat="false" ht="15" hidden="false" customHeight="true" outlineLevel="0" collapsed="false">
      <c r="AM623" s="287"/>
      <c r="AN623" s="17"/>
    </row>
    <row r="624" customFormat="false" ht="15" hidden="false" customHeight="true" outlineLevel="0" collapsed="false">
      <c r="AM624" s="287"/>
      <c r="AN624" s="17"/>
    </row>
    <row r="625" customFormat="false" ht="15" hidden="false" customHeight="true" outlineLevel="0" collapsed="false">
      <c r="AM625" s="287"/>
      <c r="AN625" s="17"/>
    </row>
    <row r="626" customFormat="false" ht="15" hidden="false" customHeight="true" outlineLevel="0" collapsed="false">
      <c r="AM626" s="287"/>
      <c r="AN626" s="17"/>
    </row>
    <row r="627" customFormat="false" ht="15" hidden="false" customHeight="true" outlineLevel="0" collapsed="false">
      <c r="AM627" s="287"/>
      <c r="AN627" s="17"/>
    </row>
    <row r="628" customFormat="false" ht="15" hidden="false" customHeight="true" outlineLevel="0" collapsed="false">
      <c r="AM628" s="287"/>
      <c r="AN628" s="17"/>
    </row>
    <row r="629" customFormat="false" ht="15" hidden="false" customHeight="true" outlineLevel="0" collapsed="false">
      <c r="AM629" s="287"/>
      <c r="AN629" s="17"/>
    </row>
    <row r="630" customFormat="false" ht="15" hidden="false" customHeight="true" outlineLevel="0" collapsed="false">
      <c r="AM630" s="287"/>
      <c r="AN630" s="17"/>
    </row>
    <row r="631" customFormat="false" ht="15" hidden="false" customHeight="true" outlineLevel="0" collapsed="false">
      <c r="AM631" s="287"/>
      <c r="AN631" s="17"/>
    </row>
    <row r="632" customFormat="false" ht="15" hidden="false" customHeight="true" outlineLevel="0" collapsed="false">
      <c r="AM632" s="287"/>
      <c r="AN632" s="17"/>
    </row>
    <row r="633" customFormat="false" ht="15" hidden="false" customHeight="true" outlineLevel="0" collapsed="false">
      <c r="AM633" s="287"/>
      <c r="AN633" s="17"/>
    </row>
    <row r="634" customFormat="false" ht="15" hidden="false" customHeight="true" outlineLevel="0" collapsed="false">
      <c r="AM634" s="303"/>
      <c r="AN634" s="17"/>
    </row>
    <row r="635" customFormat="false" ht="15" hidden="false" customHeight="true" outlineLevel="0" collapsed="false">
      <c r="AN635" s="17"/>
    </row>
    <row r="636" customFormat="false" ht="15" hidden="false" customHeight="true" outlineLevel="0" collapsed="false">
      <c r="AM636" s="268"/>
      <c r="AN636" s="17"/>
    </row>
    <row r="637" customFormat="false" ht="15" hidden="false" customHeight="true" outlineLevel="0" collapsed="false">
      <c r="AM637" s="287"/>
      <c r="AN637" s="17"/>
    </row>
    <row r="638" customFormat="false" ht="15" hidden="false" customHeight="true" outlineLevel="0" collapsed="false">
      <c r="AM638" s="287"/>
      <c r="AN638" s="17"/>
    </row>
    <row r="639" customFormat="false" ht="15" hidden="false" customHeight="true" outlineLevel="0" collapsed="false">
      <c r="AM639" s="287"/>
      <c r="AN639" s="17"/>
    </row>
    <row r="640" customFormat="false" ht="15" hidden="false" customHeight="true" outlineLevel="0" collapsed="false">
      <c r="AM640" s="287"/>
      <c r="AN640" s="17"/>
    </row>
    <row r="641" customFormat="false" ht="15" hidden="false" customHeight="true" outlineLevel="0" collapsed="false">
      <c r="AM641" s="287"/>
      <c r="AN641" s="17"/>
    </row>
    <row r="642" customFormat="false" ht="15" hidden="false" customHeight="true" outlineLevel="0" collapsed="false">
      <c r="AM642" s="287"/>
      <c r="AN642" s="17"/>
    </row>
    <row r="643" customFormat="false" ht="15" hidden="false" customHeight="true" outlineLevel="0" collapsed="false">
      <c r="AM643" s="287"/>
      <c r="AN643" s="17"/>
    </row>
    <row r="644" customFormat="false" ht="15" hidden="false" customHeight="true" outlineLevel="0" collapsed="false">
      <c r="AM644" s="287"/>
      <c r="AN644" s="17"/>
    </row>
    <row r="645" customFormat="false" ht="15" hidden="false" customHeight="true" outlineLevel="0" collapsed="false">
      <c r="AM645" s="287"/>
      <c r="AN645" s="17"/>
    </row>
    <row r="646" customFormat="false" ht="15" hidden="false" customHeight="true" outlineLevel="0" collapsed="false">
      <c r="AM646" s="287"/>
      <c r="AN646" s="17"/>
    </row>
    <row r="647" customFormat="false" ht="15" hidden="false" customHeight="true" outlineLevel="0" collapsed="false">
      <c r="AM647" s="287"/>
      <c r="AN647" s="17"/>
    </row>
    <row r="648" customFormat="false" ht="15" hidden="false" customHeight="true" outlineLevel="0" collapsed="false">
      <c r="AM648" s="287"/>
      <c r="AN648" s="17"/>
    </row>
    <row r="649" customFormat="false" ht="15" hidden="false" customHeight="true" outlineLevel="0" collapsed="false">
      <c r="AM649" s="303"/>
      <c r="AN649" s="17"/>
    </row>
    <row r="650" customFormat="false" ht="15" hidden="false" customHeight="true" outlineLevel="0" collapsed="false">
      <c r="AN650" s="17"/>
    </row>
    <row r="651" customFormat="false" ht="15" hidden="false" customHeight="true" outlineLevel="0" collapsed="false">
      <c r="AM651" s="268"/>
      <c r="AN651" s="17"/>
    </row>
    <row r="652" customFormat="false" ht="15" hidden="false" customHeight="true" outlineLevel="0" collapsed="false">
      <c r="AM652" s="287"/>
      <c r="AN652" s="17"/>
    </row>
    <row r="653" customFormat="false" ht="15" hidden="false" customHeight="true" outlineLevel="0" collapsed="false">
      <c r="AM653" s="287"/>
      <c r="AN653" s="17"/>
    </row>
    <row r="654" customFormat="false" ht="15" hidden="false" customHeight="true" outlineLevel="0" collapsed="false">
      <c r="AM654" s="287"/>
      <c r="AN654" s="17"/>
    </row>
    <row r="655" customFormat="false" ht="15" hidden="false" customHeight="true" outlineLevel="0" collapsed="false">
      <c r="AM655" s="287"/>
      <c r="AN655" s="17"/>
    </row>
    <row r="656" customFormat="false" ht="15" hidden="false" customHeight="true" outlineLevel="0" collapsed="false">
      <c r="AM656" s="287"/>
      <c r="AN656" s="17"/>
    </row>
    <row r="657" customFormat="false" ht="15" hidden="false" customHeight="true" outlineLevel="0" collapsed="false">
      <c r="AM657" s="287"/>
      <c r="AN657" s="17"/>
    </row>
    <row r="658" customFormat="false" ht="15" hidden="false" customHeight="true" outlineLevel="0" collapsed="false">
      <c r="AM658" s="287"/>
      <c r="AN658" s="17"/>
    </row>
    <row r="659" customFormat="false" ht="15" hidden="false" customHeight="true" outlineLevel="0" collapsed="false">
      <c r="AM659" s="287"/>
      <c r="AN659" s="17"/>
    </row>
    <row r="660" customFormat="false" ht="15" hidden="false" customHeight="true" outlineLevel="0" collapsed="false">
      <c r="AM660" s="287"/>
      <c r="AN660" s="17"/>
    </row>
    <row r="661" customFormat="false" ht="15" hidden="false" customHeight="true" outlineLevel="0" collapsed="false">
      <c r="AM661" s="287"/>
      <c r="AN661" s="17"/>
    </row>
    <row r="662" customFormat="false" ht="15" hidden="false" customHeight="true" outlineLevel="0" collapsed="false">
      <c r="AM662" s="287"/>
      <c r="AN662" s="17"/>
    </row>
    <row r="663" customFormat="false" ht="15" hidden="false" customHeight="true" outlineLevel="0" collapsed="false">
      <c r="AM663" s="287"/>
      <c r="AN663" s="17"/>
    </row>
    <row r="664" customFormat="false" ht="15" hidden="false" customHeight="true" outlineLevel="0" collapsed="false">
      <c r="AM664" s="303"/>
      <c r="AN664" s="17"/>
    </row>
    <row r="665" customFormat="false" ht="15" hidden="false" customHeight="true" outlineLevel="0" collapsed="false">
      <c r="AN665" s="17"/>
    </row>
    <row r="666" customFormat="false" ht="15" hidden="false" customHeight="true" outlineLevel="0" collapsed="false">
      <c r="AM666" s="268"/>
      <c r="AN666" s="17"/>
    </row>
    <row r="667" customFormat="false" ht="15" hidden="false" customHeight="true" outlineLevel="0" collapsed="false">
      <c r="AM667" s="287"/>
      <c r="AN667" s="17"/>
    </row>
    <row r="668" customFormat="false" ht="15" hidden="false" customHeight="true" outlineLevel="0" collapsed="false">
      <c r="AM668" s="287"/>
      <c r="AN668" s="17"/>
    </row>
    <row r="669" customFormat="false" ht="15" hidden="false" customHeight="true" outlineLevel="0" collapsed="false">
      <c r="AM669" s="287"/>
      <c r="AN669" s="17"/>
    </row>
    <row r="670" customFormat="false" ht="15" hidden="false" customHeight="true" outlineLevel="0" collapsed="false">
      <c r="AM670" s="287"/>
      <c r="AN670" s="17"/>
    </row>
    <row r="671" customFormat="false" ht="15" hidden="false" customHeight="true" outlineLevel="0" collapsed="false">
      <c r="AM671" s="287"/>
      <c r="AN671" s="17"/>
    </row>
    <row r="672" customFormat="false" ht="15" hidden="false" customHeight="true" outlineLevel="0" collapsed="false">
      <c r="AM672" s="287"/>
      <c r="AN672" s="17"/>
    </row>
    <row r="673" customFormat="false" ht="15" hidden="false" customHeight="true" outlineLevel="0" collapsed="false">
      <c r="AM673" s="287"/>
      <c r="AN673" s="17"/>
    </row>
    <row r="674" customFormat="false" ht="15" hidden="false" customHeight="true" outlineLevel="0" collapsed="false">
      <c r="AM674" s="287"/>
      <c r="AN674" s="17"/>
    </row>
    <row r="675" customFormat="false" ht="15" hidden="false" customHeight="true" outlineLevel="0" collapsed="false">
      <c r="AM675" s="287"/>
      <c r="AN675" s="17"/>
    </row>
    <row r="676" customFormat="false" ht="15" hidden="false" customHeight="true" outlineLevel="0" collapsed="false">
      <c r="AM676" s="287"/>
      <c r="AN676" s="17"/>
    </row>
    <row r="677" customFormat="false" ht="15" hidden="false" customHeight="true" outlineLevel="0" collapsed="false">
      <c r="AM677" s="287"/>
      <c r="AN677" s="17"/>
    </row>
    <row r="678" customFormat="false" ht="15" hidden="false" customHeight="true" outlineLevel="0" collapsed="false">
      <c r="AM678" s="287"/>
      <c r="AN678" s="17"/>
    </row>
    <row r="679" customFormat="false" ht="15" hidden="false" customHeight="true" outlineLevel="0" collapsed="false">
      <c r="AM679" s="303"/>
      <c r="AN679" s="17"/>
    </row>
    <row r="680" customFormat="false" ht="15" hidden="false" customHeight="true" outlineLevel="0" collapsed="false">
      <c r="AN680" s="17"/>
    </row>
    <row r="681" customFormat="false" ht="15" hidden="false" customHeight="true" outlineLevel="0" collapsed="false">
      <c r="AM681" s="268"/>
      <c r="AN681" s="17"/>
    </row>
    <row r="682" customFormat="false" ht="15" hidden="false" customHeight="true" outlineLevel="0" collapsed="false">
      <c r="AM682" s="287"/>
      <c r="AN682" s="17"/>
    </row>
    <row r="683" customFormat="false" ht="15" hidden="false" customHeight="true" outlineLevel="0" collapsed="false">
      <c r="AM683" s="287"/>
      <c r="AN683" s="17"/>
    </row>
    <row r="684" customFormat="false" ht="15" hidden="false" customHeight="true" outlineLevel="0" collapsed="false">
      <c r="AM684" s="287"/>
      <c r="AN684" s="17"/>
    </row>
    <row r="685" customFormat="false" ht="15" hidden="false" customHeight="true" outlineLevel="0" collapsed="false">
      <c r="AM685" s="287"/>
      <c r="AN685" s="17"/>
    </row>
    <row r="686" customFormat="false" ht="15" hidden="false" customHeight="true" outlineLevel="0" collapsed="false">
      <c r="AM686" s="287"/>
      <c r="AN686" s="17"/>
    </row>
    <row r="687" customFormat="false" ht="15" hidden="false" customHeight="true" outlineLevel="0" collapsed="false">
      <c r="AM687" s="287"/>
      <c r="AN687" s="17"/>
    </row>
    <row r="688" customFormat="false" ht="15" hidden="false" customHeight="true" outlineLevel="0" collapsed="false">
      <c r="AM688" s="287"/>
      <c r="AN688" s="17"/>
    </row>
    <row r="689" customFormat="false" ht="15" hidden="false" customHeight="true" outlineLevel="0" collapsed="false">
      <c r="AM689" s="287"/>
      <c r="AN689" s="17"/>
    </row>
    <row r="690" customFormat="false" ht="15" hidden="false" customHeight="true" outlineLevel="0" collapsed="false">
      <c r="AM690" s="287"/>
      <c r="AN690" s="17"/>
    </row>
    <row r="691" customFormat="false" ht="15" hidden="false" customHeight="true" outlineLevel="0" collapsed="false">
      <c r="AM691" s="287"/>
      <c r="AN691" s="17"/>
    </row>
    <row r="692" customFormat="false" ht="15" hidden="false" customHeight="true" outlineLevel="0" collapsed="false">
      <c r="AM692" s="287"/>
      <c r="AN692" s="17"/>
    </row>
    <row r="693" customFormat="false" ht="15" hidden="false" customHeight="true" outlineLevel="0" collapsed="false">
      <c r="AM693" s="287"/>
      <c r="AN693" s="17"/>
    </row>
    <row r="694" customFormat="false" ht="15" hidden="false" customHeight="true" outlineLevel="0" collapsed="false">
      <c r="AM694" s="303"/>
      <c r="AN694" s="17"/>
    </row>
    <row r="695" customFormat="false" ht="15" hidden="false" customHeight="true" outlineLevel="0" collapsed="false">
      <c r="AN695" s="17"/>
    </row>
    <row r="696" customFormat="false" ht="15" hidden="false" customHeight="true" outlineLevel="0" collapsed="false">
      <c r="AM696" s="268"/>
      <c r="AN696" s="17"/>
    </row>
    <row r="697" customFormat="false" ht="15" hidden="false" customHeight="true" outlineLevel="0" collapsed="false">
      <c r="AM697" s="287"/>
      <c r="AN697" s="17"/>
    </row>
    <row r="698" customFormat="false" ht="15" hidden="false" customHeight="true" outlineLevel="0" collapsed="false">
      <c r="AM698" s="287"/>
      <c r="AN698" s="17"/>
    </row>
    <row r="699" customFormat="false" ht="15" hidden="false" customHeight="true" outlineLevel="0" collapsed="false">
      <c r="AM699" s="287"/>
      <c r="AN699" s="17"/>
    </row>
    <row r="700" customFormat="false" ht="15" hidden="false" customHeight="true" outlineLevel="0" collapsed="false">
      <c r="AM700" s="287"/>
      <c r="AN700" s="17"/>
    </row>
    <row r="701" customFormat="false" ht="15" hidden="false" customHeight="true" outlineLevel="0" collapsed="false">
      <c r="AM701" s="287"/>
      <c r="AN701" s="17"/>
    </row>
    <row r="702" customFormat="false" ht="15" hidden="false" customHeight="true" outlineLevel="0" collapsed="false">
      <c r="AM702" s="287"/>
      <c r="AN702" s="17"/>
    </row>
    <row r="703" customFormat="false" ht="15" hidden="false" customHeight="true" outlineLevel="0" collapsed="false">
      <c r="AM703" s="287"/>
      <c r="AN703" s="17"/>
    </row>
    <row r="704" customFormat="false" ht="15" hidden="false" customHeight="true" outlineLevel="0" collapsed="false">
      <c r="AM704" s="287"/>
      <c r="AN704" s="17"/>
    </row>
    <row r="705" customFormat="false" ht="15" hidden="false" customHeight="true" outlineLevel="0" collapsed="false">
      <c r="AM705" s="287"/>
      <c r="AN705" s="17"/>
    </row>
    <row r="706" customFormat="false" ht="15" hidden="false" customHeight="true" outlineLevel="0" collapsed="false">
      <c r="AM706" s="287"/>
      <c r="AN706" s="17"/>
    </row>
    <row r="707" customFormat="false" ht="15" hidden="false" customHeight="true" outlineLevel="0" collapsed="false">
      <c r="AM707" s="287"/>
      <c r="AN707" s="17"/>
    </row>
    <row r="708" customFormat="false" ht="15" hidden="false" customHeight="true" outlineLevel="0" collapsed="false">
      <c r="AM708" s="287"/>
      <c r="AN708" s="17"/>
    </row>
    <row r="709" customFormat="false" ht="15" hidden="false" customHeight="true" outlineLevel="0" collapsed="false">
      <c r="AM709" s="303"/>
      <c r="AN709" s="17"/>
    </row>
    <row r="710" customFormat="false" ht="15" hidden="false" customHeight="true" outlineLevel="0" collapsed="false">
      <c r="AM710" s="303"/>
      <c r="AN710" s="17"/>
    </row>
    <row r="711" customFormat="false" ht="15" hidden="false" customHeight="true" outlineLevel="0" collapsed="false">
      <c r="AM711" s="268"/>
      <c r="AN711" s="313"/>
    </row>
    <row r="712" customFormat="false" ht="15" hidden="false" customHeight="true" outlineLevel="0" collapsed="false">
      <c r="AM712" s="287"/>
      <c r="AN712" s="313"/>
    </row>
    <row r="713" customFormat="false" ht="15" hidden="false" customHeight="true" outlineLevel="0" collapsed="false">
      <c r="AM713" s="287"/>
      <c r="AN713" s="313"/>
    </row>
    <row r="714" customFormat="false" ht="15" hidden="false" customHeight="true" outlineLevel="0" collapsed="false">
      <c r="AM714" s="287"/>
      <c r="AN714" s="313"/>
    </row>
    <row r="715" customFormat="false" ht="15" hidden="false" customHeight="true" outlineLevel="0" collapsed="false">
      <c r="AM715" s="287"/>
    </row>
    <row r="716" customFormat="false" ht="15" hidden="false" customHeight="true" outlineLevel="0" collapsed="false">
      <c r="AM716" s="287"/>
    </row>
    <row r="717" customFormat="false" ht="15" hidden="false" customHeight="true" outlineLevel="0" collapsed="false">
      <c r="AM717" s="287"/>
    </row>
    <row r="718" customFormat="false" ht="15" hidden="false" customHeight="true" outlineLevel="0" collapsed="false">
      <c r="AM718" s="287"/>
    </row>
    <row r="719" customFormat="false" ht="15" hidden="false" customHeight="true" outlineLevel="0" collapsed="false">
      <c r="AM719" s="287"/>
    </row>
    <row r="720" customFormat="false" ht="15" hidden="false" customHeight="true" outlineLevel="0" collapsed="false">
      <c r="AM720" s="287"/>
    </row>
    <row r="721" customFormat="false" ht="15" hidden="false" customHeight="true" outlineLevel="0" collapsed="false">
      <c r="AM721" s="287"/>
    </row>
    <row r="722" customFormat="false" ht="15" hidden="false" customHeight="true" outlineLevel="0" collapsed="false">
      <c r="AM722" s="287"/>
    </row>
    <row r="723" customFormat="false" ht="15" hidden="false" customHeight="true" outlineLevel="0" collapsed="false">
      <c r="AM723" s="287"/>
    </row>
    <row r="724" customFormat="false" ht="15" hidden="false" customHeight="true" outlineLevel="0" collapsed="false">
      <c r="AM724" s="303"/>
    </row>
    <row r="725" customFormat="false" ht="15" hidden="false" customHeight="true" outlineLevel="0" collapsed="false">
      <c r="AM725" s="303"/>
    </row>
    <row r="726" customFormat="false" ht="15" hidden="false" customHeight="true" outlineLevel="0" collapsed="false">
      <c r="AM726" s="268"/>
    </row>
    <row r="727" customFormat="false" ht="15" hidden="false" customHeight="true" outlineLevel="0" collapsed="false">
      <c r="AM727" s="287"/>
    </row>
    <row r="728" customFormat="false" ht="15" hidden="false" customHeight="true" outlineLevel="0" collapsed="false">
      <c r="AM728" s="287"/>
    </row>
    <row r="729" customFormat="false" ht="15" hidden="false" customHeight="true" outlineLevel="0" collapsed="false">
      <c r="AM729" s="287"/>
    </row>
    <row r="730" customFormat="false" ht="15" hidden="false" customHeight="true" outlineLevel="0" collapsed="false">
      <c r="AM730" s="287"/>
    </row>
    <row r="731" customFormat="false" ht="15" hidden="false" customHeight="true" outlineLevel="0" collapsed="false">
      <c r="AM731" s="287"/>
    </row>
    <row r="732" customFormat="false" ht="15" hidden="false" customHeight="true" outlineLevel="0" collapsed="false">
      <c r="AM732" s="287"/>
    </row>
    <row r="733" customFormat="false" ht="15" hidden="false" customHeight="true" outlineLevel="0" collapsed="false">
      <c r="AM733" s="287"/>
    </row>
    <row r="734" customFormat="false" ht="15" hidden="false" customHeight="true" outlineLevel="0" collapsed="false">
      <c r="AM734" s="287"/>
    </row>
    <row r="735" customFormat="false" ht="15" hidden="false" customHeight="true" outlineLevel="0" collapsed="false">
      <c r="AM735" s="287"/>
    </row>
    <row r="736" customFormat="false" ht="15" hidden="false" customHeight="true" outlineLevel="0" collapsed="false">
      <c r="AM736" s="287"/>
    </row>
    <row r="737" customFormat="false" ht="15" hidden="false" customHeight="true" outlineLevel="0" collapsed="false">
      <c r="AM737" s="287"/>
    </row>
    <row r="738" customFormat="false" ht="15" hidden="false" customHeight="true" outlineLevel="0" collapsed="false">
      <c r="AM738" s="287"/>
    </row>
    <row r="739" customFormat="false" ht="15" hidden="false" customHeight="true" outlineLevel="0" collapsed="false">
      <c r="AM739" s="303"/>
    </row>
    <row r="740" customFormat="false" ht="15" hidden="false" customHeight="true" outlineLevel="0" collapsed="false">
      <c r="AM740" s="303"/>
    </row>
    <row r="741" customFormat="false" ht="15" hidden="false" customHeight="true" outlineLevel="0" collapsed="false">
      <c r="AM741" s="268"/>
    </row>
    <row r="742" customFormat="false" ht="15" hidden="false" customHeight="true" outlineLevel="0" collapsed="false">
      <c r="AM742" s="287"/>
    </row>
    <row r="743" customFormat="false" ht="15" hidden="false" customHeight="true" outlineLevel="0" collapsed="false">
      <c r="AM743" s="287"/>
    </row>
    <row r="744" customFormat="false" ht="15" hidden="false" customHeight="true" outlineLevel="0" collapsed="false">
      <c r="AM744" s="287"/>
    </row>
    <row r="745" customFormat="false" ht="15" hidden="false" customHeight="true" outlineLevel="0" collapsed="false">
      <c r="AM745" s="287"/>
    </row>
    <row r="746" customFormat="false" ht="15" hidden="false" customHeight="true" outlineLevel="0" collapsed="false">
      <c r="AM746" s="287"/>
    </row>
    <row r="747" customFormat="false" ht="15" hidden="false" customHeight="true" outlineLevel="0" collapsed="false">
      <c r="AM747" s="287"/>
    </row>
    <row r="748" customFormat="false" ht="15" hidden="false" customHeight="true" outlineLevel="0" collapsed="false">
      <c r="AM748" s="287"/>
    </row>
    <row r="749" customFormat="false" ht="15" hidden="false" customHeight="true" outlineLevel="0" collapsed="false">
      <c r="AM749" s="287"/>
    </row>
    <row r="750" customFormat="false" ht="15" hidden="false" customHeight="true" outlineLevel="0" collapsed="false">
      <c r="AM750" s="287"/>
    </row>
    <row r="751" customFormat="false" ht="15" hidden="false" customHeight="true" outlineLevel="0" collapsed="false">
      <c r="AM751" s="287"/>
    </row>
    <row r="752" customFormat="false" ht="15" hidden="false" customHeight="true" outlineLevel="0" collapsed="false">
      <c r="AM752" s="287"/>
    </row>
    <row r="753" customFormat="false" ht="15" hidden="false" customHeight="true" outlineLevel="0" collapsed="false">
      <c r="AM753" s="287"/>
    </row>
    <row r="754" customFormat="false" ht="15" hidden="false" customHeight="true" outlineLevel="0" collapsed="false">
      <c r="AM754" s="303"/>
    </row>
    <row r="755" customFormat="false" ht="15" hidden="false" customHeight="true" outlineLevel="0" collapsed="false">
      <c r="AM755" s="303"/>
    </row>
    <row r="756" customFormat="false" ht="15" hidden="false" customHeight="true" outlineLevel="0" collapsed="false">
      <c r="AM756" s="268"/>
    </row>
    <row r="757" customFormat="false" ht="15" hidden="false" customHeight="true" outlineLevel="0" collapsed="false">
      <c r="AM757" s="287"/>
    </row>
    <row r="758" customFormat="false" ht="15" hidden="false" customHeight="true" outlineLevel="0" collapsed="false">
      <c r="AM758" s="287"/>
    </row>
    <row r="759" customFormat="false" ht="15" hidden="false" customHeight="true" outlineLevel="0" collapsed="false">
      <c r="AM759" s="287"/>
    </row>
    <row r="760" customFormat="false" ht="15" hidden="false" customHeight="true" outlineLevel="0" collapsed="false">
      <c r="AM760" s="287"/>
    </row>
    <row r="761" customFormat="false" ht="15" hidden="false" customHeight="true" outlineLevel="0" collapsed="false">
      <c r="AM761" s="287"/>
    </row>
    <row r="762" customFormat="false" ht="15" hidden="false" customHeight="true" outlineLevel="0" collapsed="false">
      <c r="AM762" s="287"/>
    </row>
    <row r="763" customFormat="false" ht="15" hidden="false" customHeight="true" outlineLevel="0" collapsed="false">
      <c r="AM763" s="287"/>
    </row>
    <row r="764" customFormat="false" ht="15" hidden="false" customHeight="true" outlineLevel="0" collapsed="false">
      <c r="AM764" s="287"/>
    </row>
    <row r="765" customFormat="false" ht="15" hidden="false" customHeight="true" outlineLevel="0" collapsed="false">
      <c r="AM765" s="287"/>
    </row>
    <row r="766" customFormat="false" ht="15" hidden="false" customHeight="true" outlineLevel="0" collapsed="false">
      <c r="AM766" s="287"/>
    </row>
    <row r="767" customFormat="false" ht="15" hidden="false" customHeight="true" outlineLevel="0" collapsed="false">
      <c r="AM767" s="287"/>
    </row>
    <row r="768" customFormat="false" ht="15" hidden="false" customHeight="true" outlineLevel="0" collapsed="false">
      <c r="AM768" s="287"/>
    </row>
    <row r="769" customFormat="false" ht="15" hidden="false" customHeight="true" outlineLevel="0" collapsed="false">
      <c r="AM769" s="303"/>
    </row>
    <row r="770" customFormat="false" ht="15" hidden="false" customHeight="true" outlineLevel="0" collapsed="false">
      <c r="AM770" s="303"/>
    </row>
    <row r="771" customFormat="false" ht="15" hidden="false" customHeight="true" outlineLevel="0" collapsed="false">
      <c r="AM771" s="268"/>
    </row>
    <row r="772" customFormat="false" ht="15" hidden="false" customHeight="true" outlineLevel="0" collapsed="false">
      <c r="AM772" s="287"/>
    </row>
    <row r="773" customFormat="false" ht="15" hidden="false" customHeight="true" outlineLevel="0" collapsed="false">
      <c r="AM773" s="287"/>
    </row>
    <row r="774" customFormat="false" ht="15" hidden="false" customHeight="true" outlineLevel="0" collapsed="false">
      <c r="AM774" s="287"/>
    </row>
    <row r="775" customFormat="false" ht="15" hidden="false" customHeight="true" outlineLevel="0" collapsed="false">
      <c r="AM775" s="287"/>
    </row>
    <row r="776" customFormat="false" ht="15" hidden="false" customHeight="true" outlineLevel="0" collapsed="false">
      <c r="AM776" s="287"/>
    </row>
    <row r="777" customFormat="false" ht="15" hidden="false" customHeight="true" outlineLevel="0" collapsed="false">
      <c r="AM777" s="287"/>
    </row>
    <row r="778" customFormat="false" ht="15" hidden="false" customHeight="true" outlineLevel="0" collapsed="false">
      <c r="AM778" s="287"/>
    </row>
    <row r="779" customFormat="false" ht="15" hidden="false" customHeight="true" outlineLevel="0" collapsed="false">
      <c r="AM779" s="287"/>
    </row>
    <row r="780" customFormat="false" ht="15" hidden="false" customHeight="true" outlineLevel="0" collapsed="false">
      <c r="AM780" s="287"/>
    </row>
    <row r="781" customFormat="false" ht="15" hidden="false" customHeight="true" outlineLevel="0" collapsed="false">
      <c r="AM781" s="287"/>
    </row>
    <row r="782" customFormat="false" ht="15" hidden="false" customHeight="true" outlineLevel="0" collapsed="false">
      <c r="AM782" s="287"/>
    </row>
    <row r="783" customFormat="false" ht="15" hidden="false" customHeight="true" outlineLevel="0" collapsed="false">
      <c r="AM783" s="287"/>
    </row>
    <row r="784" customFormat="false" ht="15" hidden="false" customHeight="true" outlineLevel="0" collapsed="false">
      <c r="AM784" s="303"/>
    </row>
    <row r="785" customFormat="false" ht="15" hidden="false" customHeight="true" outlineLevel="0" collapsed="false">
      <c r="AM785" s="303"/>
    </row>
    <row r="786" customFormat="false" ht="15" hidden="false" customHeight="true" outlineLevel="0" collapsed="false">
      <c r="AM786" s="268"/>
    </row>
    <row r="787" customFormat="false" ht="15" hidden="false" customHeight="true" outlineLevel="0" collapsed="false">
      <c r="AM787" s="287"/>
    </row>
    <row r="788" customFormat="false" ht="15" hidden="false" customHeight="true" outlineLevel="0" collapsed="false">
      <c r="AM788" s="287"/>
    </row>
    <row r="789" customFormat="false" ht="15" hidden="false" customHeight="true" outlineLevel="0" collapsed="false">
      <c r="AM789" s="287"/>
    </row>
    <row r="790" customFormat="false" ht="15" hidden="false" customHeight="true" outlineLevel="0" collapsed="false">
      <c r="AM790" s="287"/>
    </row>
    <row r="791" customFormat="false" ht="15" hidden="false" customHeight="true" outlineLevel="0" collapsed="false">
      <c r="AM791" s="287"/>
    </row>
    <row r="792" customFormat="false" ht="15" hidden="false" customHeight="true" outlineLevel="0" collapsed="false">
      <c r="AM792" s="287"/>
    </row>
    <row r="793" customFormat="false" ht="15" hidden="false" customHeight="true" outlineLevel="0" collapsed="false">
      <c r="AM793" s="287"/>
    </row>
    <row r="794" customFormat="false" ht="15" hidden="false" customHeight="true" outlineLevel="0" collapsed="false">
      <c r="AM794" s="287"/>
    </row>
    <row r="795" customFormat="false" ht="15" hidden="false" customHeight="true" outlineLevel="0" collapsed="false">
      <c r="AM795" s="287"/>
    </row>
    <row r="796" customFormat="false" ht="15" hidden="false" customHeight="true" outlineLevel="0" collapsed="false">
      <c r="AM796" s="287"/>
    </row>
    <row r="797" customFormat="false" ht="15" hidden="false" customHeight="true" outlineLevel="0" collapsed="false">
      <c r="AM797" s="287"/>
    </row>
    <row r="798" customFormat="false" ht="15" hidden="false" customHeight="true" outlineLevel="0" collapsed="false">
      <c r="AM798" s="287"/>
    </row>
    <row r="799" customFormat="false" ht="15" hidden="false" customHeight="true" outlineLevel="0" collapsed="false">
      <c r="AM799" s="303"/>
    </row>
    <row r="800" customFormat="false" ht="15" hidden="false" customHeight="true" outlineLevel="0" collapsed="false">
      <c r="AM800" s="303"/>
    </row>
    <row r="801" customFormat="false" ht="15" hidden="false" customHeight="true" outlineLevel="0" collapsed="false">
      <c r="AM801" s="268"/>
    </row>
    <row r="802" customFormat="false" ht="15" hidden="false" customHeight="true" outlineLevel="0" collapsed="false">
      <c r="AM802" s="287"/>
    </row>
    <row r="803" customFormat="false" ht="15" hidden="false" customHeight="true" outlineLevel="0" collapsed="false">
      <c r="AM803" s="287"/>
    </row>
    <row r="804" customFormat="false" ht="15" hidden="false" customHeight="true" outlineLevel="0" collapsed="false">
      <c r="AM804" s="287"/>
    </row>
    <row r="805" customFormat="false" ht="15" hidden="false" customHeight="true" outlineLevel="0" collapsed="false">
      <c r="AM805" s="287"/>
    </row>
    <row r="806" customFormat="false" ht="15" hidden="false" customHeight="true" outlineLevel="0" collapsed="false">
      <c r="AM806" s="287"/>
    </row>
    <row r="807" customFormat="false" ht="15" hidden="false" customHeight="true" outlineLevel="0" collapsed="false">
      <c r="AM807" s="287"/>
    </row>
    <row r="808" customFormat="false" ht="15" hidden="false" customHeight="true" outlineLevel="0" collapsed="false">
      <c r="AM808" s="287"/>
    </row>
    <row r="809" customFormat="false" ht="15" hidden="false" customHeight="true" outlineLevel="0" collapsed="false">
      <c r="AM809" s="287"/>
    </row>
    <row r="810" customFormat="false" ht="15" hidden="false" customHeight="true" outlineLevel="0" collapsed="false">
      <c r="AM810" s="287"/>
    </row>
    <row r="811" customFormat="false" ht="15" hidden="false" customHeight="true" outlineLevel="0" collapsed="false">
      <c r="AM811" s="287"/>
    </row>
    <row r="812" customFormat="false" ht="15" hidden="false" customHeight="true" outlineLevel="0" collapsed="false">
      <c r="AM812" s="287"/>
    </row>
    <row r="813" customFormat="false" ht="15" hidden="false" customHeight="true" outlineLevel="0" collapsed="false">
      <c r="AM813" s="287"/>
    </row>
    <row r="814" customFormat="false" ht="15" hidden="false" customHeight="true" outlineLevel="0" collapsed="false">
      <c r="AM814" s="303"/>
    </row>
    <row r="815" customFormat="false" ht="15" hidden="false" customHeight="true" outlineLevel="0" collapsed="false">
      <c r="AM815" s="303"/>
    </row>
    <row r="816" customFormat="false" ht="15" hidden="false" customHeight="true" outlineLevel="0" collapsed="false">
      <c r="AM816" s="268"/>
    </row>
    <row r="817" customFormat="false" ht="15" hidden="false" customHeight="true" outlineLevel="0" collapsed="false">
      <c r="AM817" s="287"/>
    </row>
    <row r="818" customFormat="false" ht="15" hidden="false" customHeight="true" outlineLevel="0" collapsed="false">
      <c r="AM818" s="287"/>
    </row>
    <row r="819" customFormat="false" ht="15" hidden="false" customHeight="true" outlineLevel="0" collapsed="false">
      <c r="AM819" s="287"/>
    </row>
    <row r="820" customFormat="false" ht="15" hidden="false" customHeight="true" outlineLevel="0" collapsed="false">
      <c r="AM820" s="287"/>
    </row>
    <row r="821" customFormat="false" ht="15" hidden="false" customHeight="true" outlineLevel="0" collapsed="false">
      <c r="AM821" s="287"/>
    </row>
    <row r="822" customFormat="false" ht="15" hidden="false" customHeight="true" outlineLevel="0" collapsed="false">
      <c r="AM822" s="287"/>
    </row>
    <row r="823" customFormat="false" ht="15" hidden="false" customHeight="true" outlineLevel="0" collapsed="false">
      <c r="AM823" s="287"/>
    </row>
    <row r="824" customFormat="false" ht="15" hidden="false" customHeight="true" outlineLevel="0" collapsed="false">
      <c r="AM824" s="287"/>
    </row>
    <row r="825" customFormat="false" ht="15" hidden="false" customHeight="true" outlineLevel="0" collapsed="false">
      <c r="AM825" s="287"/>
    </row>
    <row r="826" customFormat="false" ht="15" hidden="false" customHeight="true" outlineLevel="0" collapsed="false">
      <c r="AM826" s="287"/>
    </row>
    <row r="827" customFormat="false" ht="15" hidden="false" customHeight="true" outlineLevel="0" collapsed="false">
      <c r="AM827" s="287"/>
    </row>
    <row r="828" customFormat="false" ht="15" hidden="false" customHeight="true" outlineLevel="0" collapsed="false">
      <c r="AM828" s="287"/>
    </row>
    <row r="829" customFormat="false" ht="15" hidden="false" customHeight="true" outlineLevel="0" collapsed="false">
      <c r="AM829" s="303"/>
    </row>
    <row r="830" customFormat="false" ht="15" hidden="false" customHeight="true" outlineLevel="0" collapsed="false">
      <c r="AM830" s="303"/>
    </row>
    <row r="831" customFormat="false" ht="15" hidden="false" customHeight="true" outlineLevel="0" collapsed="false">
      <c r="AM831" s="268"/>
    </row>
    <row r="832" customFormat="false" ht="15" hidden="false" customHeight="true" outlineLevel="0" collapsed="false">
      <c r="AM832" s="287"/>
    </row>
    <row r="833" customFormat="false" ht="15" hidden="false" customHeight="true" outlineLevel="0" collapsed="false">
      <c r="AM833" s="287"/>
    </row>
    <row r="834" customFormat="false" ht="15" hidden="false" customHeight="true" outlineLevel="0" collapsed="false">
      <c r="AM834" s="287"/>
    </row>
    <row r="835" customFormat="false" ht="15" hidden="false" customHeight="true" outlineLevel="0" collapsed="false">
      <c r="AM835" s="287"/>
    </row>
    <row r="836" customFormat="false" ht="15" hidden="false" customHeight="true" outlineLevel="0" collapsed="false">
      <c r="AM836" s="287"/>
    </row>
    <row r="837" customFormat="false" ht="15" hidden="false" customHeight="true" outlineLevel="0" collapsed="false">
      <c r="AM837" s="287"/>
    </row>
    <row r="838" customFormat="false" ht="15" hidden="false" customHeight="true" outlineLevel="0" collapsed="false">
      <c r="AM838" s="287"/>
    </row>
    <row r="839" customFormat="false" ht="15" hidden="false" customHeight="true" outlineLevel="0" collapsed="false">
      <c r="AM839" s="287"/>
    </row>
    <row r="840" customFormat="false" ht="15" hidden="false" customHeight="true" outlineLevel="0" collapsed="false">
      <c r="AM840" s="287"/>
    </row>
    <row r="841" customFormat="false" ht="15" hidden="false" customHeight="true" outlineLevel="0" collapsed="false">
      <c r="AM841" s="287"/>
    </row>
    <row r="842" customFormat="false" ht="15" hidden="false" customHeight="true" outlineLevel="0" collapsed="false">
      <c r="AM842" s="287"/>
    </row>
    <row r="843" customFormat="false" ht="15" hidden="false" customHeight="true" outlineLevel="0" collapsed="false">
      <c r="AM843" s="287"/>
    </row>
    <row r="844" customFormat="false" ht="15" hidden="false" customHeight="true" outlineLevel="0" collapsed="false">
      <c r="AM844" s="303"/>
    </row>
    <row r="845" customFormat="false" ht="15" hidden="false" customHeight="true" outlineLevel="0" collapsed="false">
      <c r="AM845" s="303"/>
    </row>
    <row r="846" customFormat="false" ht="15" hidden="false" customHeight="true" outlineLevel="0" collapsed="false">
      <c r="AM846" s="303"/>
    </row>
    <row r="847" customFormat="false" ht="15" hidden="false" customHeight="true" outlineLevel="0" collapsed="false">
      <c r="AM847" s="303"/>
    </row>
    <row r="848" customFormat="false" ht="15" hidden="false" customHeight="true" outlineLevel="0" collapsed="false">
      <c r="AM848" s="313"/>
    </row>
    <row r="849" customFormat="false" ht="15" hidden="false" customHeight="true" outlineLevel="0" collapsed="false">
      <c r="AM849" s="313"/>
    </row>
    <row r="850" customFormat="false" ht="15" hidden="false" customHeight="true" outlineLevel="0" collapsed="false">
      <c r="AM850" s="313"/>
    </row>
    <row r="851" customFormat="false" ht="15" hidden="false" customHeight="true" outlineLevel="0" collapsed="false">
      <c r="AM851" s="313"/>
    </row>
    <row r="852" customFormat="false" ht="15" hidden="false" customHeight="true" outlineLevel="0" collapsed="false">
      <c r="AM852" s="313"/>
    </row>
    <row r="853" customFormat="false" ht="15" hidden="false" customHeight="true" outlineLevel="0" collapsed="false">
      <c r="AM853" s="313"/>
    </row>
    <row r="854" customFormat="false" ht="15" hidden="false" customHeight="true" outlineLevel="0" collapsed="false">
      <c r="AM854" s="313"/>
    </row>
    <row r="855" customFormat="false" ht="15" hidden="false" customHeight="true" outlineLevel="0" collapsed="false">
      <c r="AM855" s="313"/>
    </row>
    <row r="856" customFormat="false" ht="15" hidden="false" customHeight="true" outlineLevel="0" collapsed="false">
      <c r="AM856" s="313"/>
    </row>
    <row r="857" customFormat="false" ht="15" hidden="false" customHeight="true" outlineLevel="0" collapsed="false">
      <c r="AM857" s="313"/>
    </row>
    <row r="858" customFormat="false" ht="15" hidden="false" customHeight="true" outlineLevel="0" collapsed="false">
      <c r="AM858" s="313"/>
    </row>
    <row r="859" customFormat="false" ht="15" hidden="false" customHeight="true" outlineLevel="0" collapsed="false">
      <c r="AM859" s="313"/>
    </row>
    <row r="860" customFormat="false" ht="15" hidden="false" customHeight="true" outlineLevel="0" collapsed="false">
      <c r="AM860" s="319"/>
    </row>
    <row r="861" customFormat="false" ht="15" hidden="false" customHeight="true" outlineLevel="0" collapsed="false">
      <c r="AM861" s="319"/>
    </row>
    <row r="863" customFormat="false" ht="15" hidden="false" customHeight="true" outlineLevel="0" collapsed="false">
      <c r="AM863" s="328"/>
    </row>
    <row r="865" customFormat="false" ht="15" hidden="false" customHeight="true" outlineLevel="0" collapsed="false">
      <c r="AM865" s="316"/>
    </row>
  </sheetData>
  <mergeCells count="9">
    <mergeCell ref="A1:C1"/>
    <mergeCell ref="K2:V2"/>
    <mergeCell ref="A3:A5"/>
    <mergeCell ref="B3:B5"/>
    <mergeCell ref="C3:C5"/>
    <mergeCell ref="D3:D5"/>
    <mergeCell ref="E3:E5"/>
    <mergeCell ref="F3:F5"/>
    <mergeCell ref="G3:G5"/>
  </mergeCells>
  <conditionalFormatting sqref="AN1:AN1048576">
    <cfRule type="cellIs" priority="2" operator="equal" aboveAverage="0" equalAverage="0" bottom="0" percent="0" rank="0" text="" dxfId="0">
      <formula>"ERROR"</formula>
    </cfRule>
  </conditionalFormatting>
  <conditionalFormatting sqref="K7:V49">
    <cfRule type="cellIs" priority="3" operator="lessThan" aboveAverage="0" equalAverage="0" bottom="0" percent="0" rank="0" text="" dxfId="1">
      <formula>0</formula>
    </cfRule>
    <cfRule type="cellIs" priority="4" operator="greaterThan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C0"/>
    <pageSetUpPr fitToPage="false"/>
  </sheetPr>
  <dimension ref="A1:AV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5" customHeight="true" zeroHeight="false" outlineLevelRow="0" outlineLevelCol="0"/>
  <cols>
    <col collapsed="false" customWidth="true" hidden="false" outlineLevel="0" max="1" min="1" style="17" width="4.67"/>
    <col collapsed="false" customWidth="true" hidden="false" outlineLevel="0" max="3" min="2" style="17" width="17.88"/>
    <col collapsed="false" customWidth="true" hidden="false" outlineLevel="0" max="11" min="4" style="17" width="10.66"/>
    <col collapsed="false" customWidth="false" hidden="false" outlineLevel="0" max="14" min="12" style="17" width="8.88"/>
    <col collapsed="false" customWidth="true" hidden="false" outlineLevel="0" max="15" min="15" style="17" width="34.88"/>
    <col collapsed="false" customWidth="true" hidden="false" outlineLevel="0" max="20" min="16" style="17" width="13.34"/>
    <col collapsed="false" customWidth="false" hidden="false" outlineLevel="0" max="21" min="21" style="17" width="8.88"/>
    <col collapsed="false" customWidth="true" hidden="false" outlineLevel="0" max="22" min="22" style="17" width="34.88"/>
    <col collapsed="false" customWidth="true" hidden="false" outlineLevel="0" max="27" min="23" style="17" width="13.34"/>
    <col collapsed="false" customWidth="false" hidden="false" outlineLevel="0" max="28" min="28" style="17" width="8.88"/>
    <col collapsed="false" customWidth="true" hidden="false" outlineLevel="0" max="29" min="29" style="17" width="34.88"/>
    <col collapsed="false" customWidth="true" hidden="false" outlineLevel="0" max="34" min="30" style="17" width="13.34"/>
    <col collapsed="false" customWidth="false" hidden="false" outlineLevel="0" max="35" min="35" style="17" width="8.88"/>
    <col collapsed="false" customWidth="true" hidden="false" outlineLevel="0" max="36" min="36" style="17" width="34.88"/>
    <col collapsed="false" customWidth="true" hidden="false" outlineLevel="0" max="41" min="37" style="17" width="13.34"/>
    <col collapsed="false" customWidth="false" hidden="false" outlineLevel="0" max="42" min="42" style="17" width="8.88"/>
    <col collapsed="false" customWidth="true" hidden="false" outlineLevel="0" max="43" min="43" style="17" width="41.33"/>
    <col collapsed="false" customWidth="true" hidden="false" outlineLevel="0" max="48" min="44" style="17" width="13.34"/>
    <col collapsed="false" customWidth="false" hidden="false" outlineLevel="0" max="16384" min="49" style="17" width="8.88"/>
  </cols>
  <sheetData>
    <row r="1" s="22" customFormat="true" ht="15" hidden="false" customHeight="true" outlineLevel="0" collapsed="false">
      <c r="B1" s="57" t="s">
        <v>409</v>
      </c>
      <c r="C1" s="57"/>
      <c r="D1" s="147"/>
      <c r="E1" s="147"/>
      <c r="F1" s="147"/>
      <c r="G1" s="147"/>
      <c r="H1" s="147"/>
      <c r="I1" s="147"/>
      <c r="J1" s="147"/>
      <c r="K1" s="147"/>
      <c r="O1" s="420"/>
      <c r="V1" s="420"/>
      <c r="AC1" s="420"/>
      <c r="AJ1" s="420"/>
      <c r="AQ1" s="420"/>
    </row>
    <row r="2" s="45" customFormat="true" ht="15" hidden="false" customHeight="true" outlineLevel="0" collapsed="false">
      <c r="B2" s="421" t="s">
        <v>410</v>
      </c>
      <c r="C2" s="421" t="s">
        <v>226</v>
      </c>
      <c r="D2" s="422" t="s">
        <v>411</v>
      </c>
      <c r="E2" s="422" t="s">
        <v>412</v>
      </c>
      <c r="F2" s="422" t="s">
        <v>413</v>
      </c>
      <c r="G2" s="422" t="s">
        <v>82</v>
      </c>
      <c r="H2" s="422" t="s">
        <v>69</v>
      </c>
      <c r="I2" s="422" t="s">
        <v>414</v>
      </c>
      <c r="J2" s="422" t="s">
        <v>69</v>
      </c>
      <c r="K2" s="422" t="s">
        <v>414</v>
      </c>
      <c r="O2" s="421" t="s">
        <v>415</v>
      </c>
      <c r="P2" s="422" t="s">
        <v>416</v>
      </c>
      <c r="Q2" s="422" t="s">
        <v>69</v>
      </c>
      <c r="R2" s="422" t="s">
        <v>414</v>
      </c>
      <c r="S2" s="422" t="s">
        <v>417</v>
      </c>
      <c r="T2" s="422" t="s">
        <v>414</v>
      </c>
      <c r="V2" s="421" t="s">
        <v>86</v>
      </c>
      <c r="W2" s="422" t="s">
        <v>416</v>
      </c>
      <c r="X2" s="422" t="s">
        <v>69</v>
      </c>
      <c r="Y2" s="422" t="s">
        <v>414</v>
      </c>
      <c r="Z2" s="422" t="s">
        <v>417</v>
      </c>
      <c r="AA2" s="422" t="s">
        <v>414</v>
      </c>
      <c r="AC2" s="421" t="s">
        <v>87</v>
      </c>
      <c r="AD2" s="422" t="s">
        <v>416</v>
      </c>
      <c r="AE2" s="422" t="s">
        <v>69</v>
      </c>
      <c r="AF2" s="422" t="s">
        <v>414</v>
      </c>
      <c r="AG2" s="422" t="s">
        <v>417</v>
      </c>
      <c r="AH2" s="422" t="s">
        <v>414</v>
      </c>
      <c r="AJ2" s="421" t="s">
        <v>91</v>
      </c>
      <c r="AK2" s="422" t="s">
        <v>416</v>
      </c>
      <c r="AL2" s="422" t="s">
        <v>69</v>
      </c>
      <c r="AM2" s="422" t="s">
        <v>414</v>
      </c>
      <c r="AN2" s="422" t="s">
        <v>69</v>
      </c>
      <c r="AO2" s="422" t="s">
        <v>414</v>
      </c>
      <c r="AQ2" s="421" t="s">
        <v>92</v>
      </c>
      <c r="AR2" s="422" t="s">
        <v>416</v>
      </c>
      <c r="AS2" s="422" t="s">
        <v>69</v>
      </c>
      <c r="AT2" s="422" t="s">
        <v>414</v>
      </c>
      <c r="AU2" s="422" t="s">
        <v>69</v>
      </c>
      <c r="AV2" s="422" t="s">
        <v>414</v>
      </c>
    </row>
    <row r="3" customFormat="false" ht="15" hidden="false" customHeight="true" outlineLevel="0" collapsed="false">
      <c r="B3" s="423"/>
      <c r="C3" s="423"/>
      <c r="D3" s="424" t="s">
        <v>418</v>
      </c>
      <c r="E3" s="424" t="s">
        <v>418</v>
      </c>
      <c r="F3" s="424" t="s">
        <v>418</v>
      </c>
      <c r="G3" s="424" t="s">
        <v>418</v>
      </c>
      <c r="H3" s="424" t="s">
        <v>231</v>
      </c>
      <c r="I3" s="424" t="s">
        <v>231</v>
      </c>
      <c r="J3" s="424" t="s">
        <v>418</v>
      </c>
      <c r="K3" s="424" t="s">
        <v>418</v>
      </c>
      <c r="M3" s="17" t="s">
        <v>419</v>
      </c>
      <c r="O3" s="423"/>
      <c r="P3" s="424" t="s">
        <v>418</v>
      </c>
      <c r="Q3" s="424" t="s">
        <v>231</v>
      </c>
      <c r="R3" s="424" t="s">
        <v>231</v>
      </c>
      <c r="S3" s="424" t="s">
        <v>418</v>
      </c>
      <c r="T3" s="424" t="s">
        <v>418</v>
      </c>
      <c r="V3" s="423"/>
      <c r="W3" s="424" t="s">
        <v>418</v>
      </c>
      <c r="X3" s="424" t="s">
        <v>231</v>
      </c>
      <c r="Y3" s="424" t="s">
        <v>231</v>
      </c>
      <c r="Z3" s="424" t="s">
        <v>418</v>
      </c>
      <c r="AA3" s="424" t="s">
        <v>418</v>
      </c>
      <c r="AC3" s="423"/>
      <c r="AD3" s="424" t="s">
        <v>418</v>
      </c>
      <c r="AE3" s="424" t="s">
        <v>231</v>
      </c>
      <c r="AF3" s="424" t="s">
        <v>231</v>
      </c>
      <c r="AG3" s="424" t="s">
        <v>418</v>
      </c>
      <c r="AH3" s="424" t="s">
        <v>418</v>
      </c>
      <c r="AJ3" s="423"/>
      <c r="AK3" s="424" t="s">
        <v>418</v>
      </c>
      <c r="AL3" s="424" t="s">
        <v>231</v>
      </c>
      <c r="AM3" s="424" t="s">
        <v>231</v>
      </c>
      <c r="AN3" s="424" t="s">
        <v>418</v>
      </c>
      <c r="AO3" s="424" t="s">
        <v>418</v>
      </c>
      <c r="AQ3" s="423"/>
      <c r="AR3" s="424" t="s">
        <v>418</v>
      </c>
      <c r="AS3" s="424" t="s">
        <v>231</v>
      </c>
      <c r="AT3" s="424" t="s">
        <v>231</v>
      </c>
      <c r="AU3" s="424" t="s">
        <v>418</v>
      </c>
      <c r="AV3" s="424" t="s">
        <v>418</v>
      </c>
    </row>
    <row r="4" customFormat="false" ht="15" hidden="false" customHeight="true" outlineLevel="0" collapsed="false">
      <c r="B4" s="425"/>
      <c r="C4" s="425"/>
      <c r="D4" s="425"/>
      <c r="E4" s="425"/>
      <c r="F4" s="425"/>
      <c r="G4" s="426"/>
      <c r="H4" s="426"/>
      <c r="I4" s="425"/>
      <c r="J4" s="425"/>
      <c r="K4" s="425"/>
      <c r="M4" s="17" t="s">
        <v>420</v>
      </c>
      <c r="O4" s="425"/>
      <c r="P4" s="426"/>
      <c r="Q4" s="426"/>
      <c r="R4" s="425"/>
      <c r="S4" s="425"/>
      <c r="T4" s="425"/>
      <c r="V4" s="425"/>
      <c r="W4" s="426"/>
      <c r="X4" s="426"/>
      <c r="Y4" s="425"/>
      <c r="Z4" s="425"/>
      <c r="AA4" s="425"/>
      <c r="AC4" s="425"/>
      <c r="AD4" s="426"/>
      <c r="AE4" s="426"/>
      <c r="AF4" s="425"/>
      <c r="AG4" s="425"/>
      <c r="AH4" s="425"/>
      <c r="AJ4" s="425"/>
      <c r="AK4" s="426"/>
      <c r="AL4" s="426"/>
      <c r="AM4" s="425"/>
      <c r="AN4" s="425"/>
      <c r="AO4" s="425"/>
      <c r="AQ4" s="425"/>
      <c r="AR4" s="426"/>
      <c r="AS4" s="426"/>
      <c r="AT4" s="425"/>
      <c r="AU4" s="425"/>
      <c r="AV4" s="425"/>
    </row>
    <row r="5" customFormat="false" ht="15" hidden="false" customHeight="true" outlineLevel="0" collapsed="false">
      <c r="A5" s="17" t="n">
        <f aca="false">Staff!A6</f>
        <v>1</v>
      </c>
      <c r="B5" s="427" t="str">
        <f aca="false">Staff!B6</f>
        <v>James Harrison</v>
      </c>
      <c r="C5" s="427" t="str">
        <f aca="false">Staff!C6</f>
        <v>Chief Technology Officer</v>
      </c>
      <c r="D5" s="428" t="n">
        <f aca="false">Staff!E21</f>
        <v>0</v>
      </c>
      <c r="E5" s="428" t="n">
        <f aca="false">Staff!H21</f>
        <v>0</v>
      </c>
      <c r="F5" s="428" t="n">
        <f aca="false">Staff!I21</f>
        <v>0</v>
      </c>
      <c r="G5" s="428" t="n">
        <f aca="false">SUM(D5:F5)</f>
        <v>0</v>
      </c>
      <c r="H5" s="429" t="n">
        <f aca="false">IF(ISERR(J5/G5),0,J5/G5)</f>
        <v>0</v>
      </c>
      <c r="I5" s="429" t="n">
        <f aca="false">IF(ISERR(K5/G5),0,K5/G5)</f>
        <v>0</v>
      </c>
      <c r="J5" s="428" t="n">
        <f aca="false">Staff!AO21+Staff!BE21</f>
        <v>0</v>
      </c>
      <c r="K5" s="428" t="n">
        <f aca="false">Staff!AN21+Staff!BD21</f>
        <v>0</v>
      </c>
      <c r="O5" s="427" t="s">
        <v>421</v>
      </c>
      <c r="P5" s="428" t="n">
        <v>1000</v>
      </c>
      <c r="Q5" s="429" t="n">
        <v>0.5</v>
      </c>
      <c r="R5" s="429" t="n">
        <v>0.2</v>
      </c>
      <c r="S5" s="428" t="n">
        <f aca="false">P5*Q5</f>
        <v>500</v>
      </c>
      <c r="T5" s="428" t="n">
        <f aca="false">P5*R5</f>
        <v>200</v>
      </c>
      <c r="V5" s="427" t="s">
        <v>421</v>
      </c>
      <c r="W5" s="428" t="n">
        <v>1000</v>
      </c>
      <c r="X5" s="429" t="n">
        <v>0.5</v>
      </c>
      <c r="Y5" s="429" t="n">
        <v>0.2</v>
      </c>
      <c r="Z5" s="428" t="n">
        <f aca="false">W5*X5</f>
        <v>500</v>
      </c>
      <c r="AA5" s="428" t="n">
        <f aca="false">W5*Y5</f>
        <v>200</v>
      </c>
      <c r="AC5" s="427" t="s">
        <v>421</v>
      </c>
      <c r="AD5" s="428" t="n">
        <v>1000</v>
      </c>
      <c r="AE5" s="429" t="n">
        <v>0.5</v>
      </c>
      <c r="AF5" s="429" t="n">
        <v>0.2</v>
      </c>
      <c r="AG5" s="428" t="n">
        <f aca="false">AD5*AE5</f>
        <v>500</v>
      </c>
      <c r="AH5" s="428" t="n">
        <f aca="false">AD5*AF5</f>
        <v>200</v>
      </c>
      <c r="AJ5" s="427" t="s">
        <v>421</v>
      </c>
      <c r="AK5" s="428" t="n">
        <v>1000</v>
      </c>
      <c r="AL5" s="429" t="n">
        <v>0.5</v>
      </c>
      <c r="AM5" s="429" t="n">
        <v>0.2</v>
      </c>
      <c r="AN5" s="428" t="n">
        <f aca="false">AK5*AL5</f>
        <v>500</v>
      </c>
      <c r="AO5" s="428" t="n">
        <f aca="false">AK5*AM5</f>
        <v>200</v>
      </c>
      <c r="AQ5" s="427" t="s">
        <v>421</v>
      </c>
      <c r="AR5" s="428" t="n">
        <v>1000</v>
      </c>
      <c r="AS5" s="429" t="n">
        <v>0.5</v>
      </c>
      <c r="AT5" s="429" t="n">
        <v>0.2</v>
      </c>
      <c r="AU5" s="428" t="n">
        <f aca="false">AR5*AS5</f>
        <v>500</v>
      </c>
      <c r="AV5" s="428" t="n">
        <f aca="false">AR5*AT5</f>
        <v>200</v>
      </c>
    </row>
    <row r="6" customFormat="false" ht="15" hidden="false" customHeight="true" outlineLevel="0" collapsed="false">
      <c r="A6" s="17" t="n">
        <f aca="true">OFFSET(Staff!$A$6, $M6, 0)</f>
        <v>2</v>
      </c>
      <c r="B6" s="427" t="str">
        <f aca="true">OFFSET(Staff!$B$6, $M6, 0)</f>
        <v>Sarah Chen</v>
      </c>
      <c r="C6" s="427" t="str">
        <f aca="true">OFFSET(Staff!$C$6, $M6, 0)</f>
        <v>Senior ML Engineer</v>
      </c>
      <c r="D6" s="428" t="n">
        <f aca="true">OFFSET(Staff!$E$20, $M6, 0)</f>
        <v>78213.41</v>
      </c>
      <c r="E6" s="428" t="n">
        <f aca="true">OFFSET(Staff!$H$20, $M6, 0)</f>
        <v>9537.65</v>
      </c>
      <c r="F6" s="428" t="n">
        <f aca="true">OFFSET(Staff!$I$20, $M6, 0)</f>
        <v>3910.68</v>
      </c>
      <c r="G6" s="428" t="n">
        <f aca="false">SUM(D6:F6)</f>
        <v>91661.74</v>
      </c>
      <c r="H6" s="429" t="n">
        <f aca="false">IF(ISERR(J6/G6),0,J6/G6)</f>
        <v>0.75</v>
      </c>
      <c r="I6" s="429" t="n">
        <f aca="false">IF(ISERR(K6/G6),0,K6/G6)</f>
        <v>0</v>
      </c>
      <c r="J6" s="428" t="n">
        <f aca="true">OFFSET(Staff!$AO$20, $M6, 0)+OFFSET(Staff!$BE$20, $M6, 0)</f>
        <v>68746.305</v>
      </c>
      <c r="K6" s="428" t="n">
        <f aca="true">OFFSET(Staff!$AN$21, $M6, 0)+OFFSET(Staff!$BD$21, $M6, 0)</f>
        <v>0</v>
      </c>
      <c r="M6" s="17" t="n">
        <v>16</v>
      </c>
      <c r="O6" s="427" t="s">
        <v>421</v>
      </c>
      <c r="P6" s="428" t="n">
        <v>1000</v>
      </c>
      <c r="Q6" s="429" t="n">
        <v>0.5</v>
      </c>
      <c r="R6" s="429" t="n">
        <v>0.2</v>
      </c>
      <c r="S6" s="428" t="n">
        <f aca="false">P6*Q6</f>
        <v>500</v>
      </c>
      <c r="T6" s="428" t="n">
        <f aca="false">P6*R6</f>
        <v>200</v>
      </c>
      <c r="V6" s="427" t="s">
        <v>421</v>
      </c>
      <c r="W6" s="428" t="n">
        <v>1000</v>
      </c>
      <c r="X6" s="429" t="n">
        <v>0.5</v>
      </c>
      <c r="Y6" s="429" t="n">
        <v>0.2</v>
      </c>
      <c r="Z6" s="428" t="n">
        <f aca="false">W6*X6</f>
        <v>500</v>
      </c>
      <c r="AA6" s="428" t="n">
        <f aca="false">W6*Y6</f>
        <v>200</v>
      </c>
      <c r="AC6" s="427" t="s">
        <v>421</v>
      </c>
      <c r="AD6" s="428" t="n">
        <v>1000</v>
      </c>
      <c r="AE6" s="429" t="n">
        <v>0.5</v>
      </c>
      <c r="AF6" s="429" t="n">
        <v>0.2</v>
      </c>
      <c r="AG6" s="428" t="n">
        <f aca="false">AD6*AE6</f>
        <v>500</v>
      </c>
      <c r="AH6" s="428" t="n">
        <f aca="false">AD6*AF6</f>
        <v>200</v>
      </c>
      <c r="AJ6" s="427" t="s">
        <v>421</v>
      </c>
      <c r="AK6" s="428" t="n">
        <v>1000</v>
      </c>
      <c r="AL6" s="429" t="n">
        <v>0.5</v>
      </c>
      <c r="AM6" s="429" t="n">
        <v>0.2</v>
      </c>
      <c r="AN6" s="428" t="n">
        <f aca="false">AK6*AL6</f>
        <v>500</v>
      </c>
      <c r="AO6" s="428" t="n">
        <f aca="false">AK6*AM6</f>
        <v>200</v>
      </c>
      <c r="AQ6" s="427" t="s">
        <v>421</v>
      </c>
      <c r="AR6" s="428" t="n">
        <v>1000</v>
      </c>
      <c r="AS6" s="429" t="n">
        <v>0.5</v>
      </c>
      <c r="AT6" s="429" t="n">
        <v>0.2</v>
      </c>
      <c r="AU6" s="428" t="n">
        <f aca="false">AR6*AS6</f>
        <v>500</v>
      </c>
      <c r="AV6" s="428" t="n">
        <f aca="false">AR6*AT6</f>
        <v>200</v>
      </c>
    </row>
    <row r="7" customFormat="false" ht="15" hidden="false" customHeight="true" outlineLevel="0" collapsed="false">
      <c r="A7" s="17" t="n">
        <f aca="true">OFFSET(Staff!$A$6, $M7, 0)</f>
        <v>3</v>
      </c>
      <c r="B7" s="427" t="str">
        <f aca="true">OFFSET(Staff!$B$6, $M7, 0)</f>
        <v>David Okonkwo</v>
      </c>
      <c r="C7" s="427" t="str">
        <f aca="true">OFFSET(Staff!$C$6, $M7, 0)</f>
        <v>Backend Developer</v>
      </c>
      <c r="D7" s="428" t="n">
        <f aca="true">OFFSET(Staff!$E$20, $M7, 0)</f>
        <v>61607.16</v>
      </c>
      <c r="E7" s="428" t="n">
        <f aca="true">OFFSET(Staff!$H$20, $M7, 0)</f>
        <v>7245.99</v>
      </c>
      <c r="F7" s="428" t="n">
        <f aca="true">OFFSET(Staff!$I$20, $M7, 0)</f>
        <v>3080.36</v>
      </c>
      <c r="G7" s="428" t="n">
        <f aca="false">SUM(D7:F7)</f>
        <v>71933.51</v>
      </c>
      <c r="H7" s="429" t="n">
        <f aca="false">IF(ISERR(J7/G7),0,J7/G7)</f>
        <v>1</v>
      </c>
      <c r="I7" s="429" t="n">
        <f aca="false">IF(ISERR(K7/G7),0,K7/G7)</f>
        <v>0</v>
      </c>
      <c r="J7" s="428" t="n">
        <f aca="true">OFFSET(Staff!$AO$20, $M7, 0)+OFFSET(Staff!$BE$20, $M7, 0)</f>
        <v>71933.51</v>
      </c>
      <c r="K7" s="428" t="n">
        <f aca="true">OFFSET(Staff!$AN$21, $M7, 0)+OFFSET(Staff!$BD$21, $M7, 0)</f>
        <v>0</v>
      </c>
      <c r="M7" s="17" t="n">
        <f aca="false">+M6+16</f>
        <v>32</v>
      </c>
      <c r="O7" s="427" t="s">
        <v>421</v>
      </c>
      <c r="P7" s="428" t="n">
        <v>1000</v>
      </c>
      <c r="Q7" s="429" t="n">
        <v>0.5</v>
      </c>
      <c r="R7" s="429" t="n">
        <v>0.2</v>
      </c>
      <c r="S7" s="428" t="n">
        <f aca="false">P7*Q7</f>
        <v>500</v>
      </c>
      <c r="T7" s="428" t="n">
        <f aca="false">P7*R7</f>
        <v>200</v>
      </c>
      <c r="V7" s="427" t="s">
        <v>421</v>
      </c>
      <c r="W7" s="428" t="n">
        <v>1000</v>
      </c>
      <c r="X7" s="429" t="n">
        <v>0.5</v>
      </c>
      <c r="Y7" s="429" t="n">
        <v>0.2</v>
      </c>
      <c r="Z7" s="428" t="n">
        <f aca="false">W7*X7</f>
        <v>500</v>
      </c>
      <c r="AA7" s="428" t="n">
        <f aca="false">W7*Y7</f>
        <v>200</v>
      </c>
      <c r="AC7" s="427" t="s">
        <v>421</v>
      </c>
      <c r="AD7" s="428" t="n">
        <v>1000</v>
      </c>
      <c r="AE7" s="429" t="n">
        <v>0.5</v>
      </c>
      <c r="AF7" s="429" t="n">
        <v>0.2</v>
      </c>
      <c r="AG7" s="428" t="n">
        <f aca="false">AD7*AE7</f>
        <v>500</v>
      </c>
      <c r="AH7" s="428" t="n">
        <f aca="false">AD7*AF7</f>
        <v>200</v>
      </c>
      <c r="AJ7" s="427" t="s">
        <v>421</v>
      </c>
      <c r="AK7" s="428" t="n">
        <v>1000</v>
      </c>
      <c r="AL7" s="429" t="n">
        <v>0.5</v>
      </c>
      <c r="AM7" s="429" t="n">
        <v>0.2</v>
      </c>
      <c r="AN7" s="428" t="n">
        <f aca="false">AK7*AL7</f>
        <v>500</v>
      </c>
      <c r="AO7" s="428" t="n">
        <f aca="false">AK7*AM7</f>
        <v>200</v>
      </c>
      <c r="AQ7" s="427" t="s">
        <v>421</v>
      </c>
      <c r="AR7" s="428" t="n">
        <v>1000</v>
      </c>
      <c r="AS7" s="429" t="n">
        <v>0.5</v>
      </c>
      <c r="AT7" s="429" t="n">
        <v>0.2</v>
      </c>
      <c r="AU7" s="428" t="n">
        <f aca="false">AR7*AS7</f>
        <v>500</v>
      </c>
      <c r="AV7" s="428" t="n">
        <f aca="false">AR7*AT7</f>
        <v>200</v>
      </c>
    </row>
    <row r="8" customFormat="false" ht="15" hidden="false" customHeight="true" outlineLevel="0" collapsed="false">
      <c r="A8" s="17" t="n">
        <f aca="true">OFFSET(Staff!$A$6, $M8, 0)</f>
        <v>4</v>
      </c>
      <c r="B8" s="427" t="str">
        <f aca="true">OFFSET(Staff!$B$6, $M8, 0)</f>
        <v>Emma Whitfield</v>
      </c>
      <c r="C8" s="427" t="str">
        <f aca="true">OFFSET(Staff!$C$6, $M8, 0)</f>
        <v>Data Scientist</v>
      </c>
      <c r="D8" s="428" t="n">
        <f aca="true">OFFSET(Staff!$E$20, $M8, 0)</f>
        <v>67773.29</v>
      </c>
      <c r="E8" s="428" t="n">
        <f aca="true">OFFSET(Staff!$H$20, $M8, 0)</f>
        <v>8096.92</v>
      </c>
      <c r="F8" s="428" t="n">
        <f aca="true">OFFSET(Staff!$I$20, $M8, 0)</f>
        <v>3388.68</v>
      </c>
      <c r="G8" s="428" t="n">
        <f aca="false">SUM(D8:F8)</f>
        <v>79258.89</v>
      </c>
      <c r="H8" s="429" t="n">
        <f aca="false">IF(ISERR(J8/G8),0,J8/G8)</f>
        <v>0.65</v>
      </c>
      <c r="I8" s="429" t="n">
        <f aca="false">IF(ISERR(K8/G8),0,K8/G8)</f>
        <v>0</v>
      </c>
      <c r="J8" s="428" t="n">
        <f aca="true">OFFSET(Staff!$AO$20, $M8, 0)+OFFSET(Staff!$BE$20, $M8, 0)</f>
        <v>51518.2785</v>
      </c>
      <c r="K8" s="428" t="n">
        <f aca="true">OFFSET(Staff!$AN$21, $M8, 0)+OFFSET(Staff!$BD$21, $M8, 0)</f>
        <v>0</v>
      </c>
      <c r="M8" s="17" t="n">
        <f aca="false">+M7+16</f>
        <v>48</v>
      </c>
      <c r="O8" s="427"/>
      <c r="P8" s="428"/>
      <c r="Q8" s="429"/>
      <c r="R8" s="429"/>
      <c r="S8" s="428"/>
      <c r="T8" s="428"/>
      <c r="V8" s="427"/>
      <c r="W8" s="428"/>
      <c r="X8" s="429"/>
      <c r="Y8" s="429"/>
      <c r="Z8" s="428"/>
      <c r="AA8" s="428"/>
      <c r="AC8" s="427"/>
      <c r="AD8" s="428"/>
      <c r="AE8" s="429"/>
      <c r="AF8" s="429"/>
      <c r="AG8" s="428"/>
      <c r="AH8" s="428"/>
      <c r="AJ8" s="427"/>
      <c r="AK8" s="428"/>
      <c r="AL8" s="429"/>
      <c r="AM8" s="429"/>
      <c r="AN8" s="428"/>
      <c r="AO8" s="428"/>
      <c r="AQ8" s="427"/>
      <c r="AR8" s="428"/>
      <c r="AS8" s="429"/>
      <c r="AT8" s="429"/>
      <c r="AU8" s="428"/>
      <c r="AV8" s="428"/>
    </row>
    <row r="9" customFormat="false" ht="15" hidden="false" customHeight="true" outlineLevel="0" collapsed="false">
      <c r="A9" s="17" t="n">
        <f aca="true">OFFSET(Staff!$A$6, $M9, 0)</f>
        <v>5</v>
      </c>
      <c r="B9" s="427" t="str">
        <f aca="true">OFFSET(Staff!$B$6, $M9, 0)</f>
        <v>Raj Patel</v>
      </c>
      <c r="C9" s="427" t="str">
        <f aca="true">OFFSET(Staff!$C$6, $M9, 0)</f>
        <v>DevOps Engineer</v>
      </c>
      <c r="D9" s="428" t="n">
        <f aca="true">OFFSET(Staff!$E$20, $M9, 0)</f>
        <v>57821.14</v>
      </c>
      <c r="E9" s="428" t="n">
        <f aca="true">OFFSET(Staff!$H$20, $M9, 0)</f>
        <v>6723.52</v>
      </c>
      <c r="F9" s="428" t="n">
        <f aca="true">OFFSET(Staff!$I$20, $M9, 0)</f>
        <v>2312.84</v>
      </c>
      <c r="G9" s="428" t="n">
        <f aca="false">SUM(D9:F9)</f>
        <v>66857.5</v>
      </c>
      <c r="H9" s="429" t="n">
        <f aca="false">IF(ISERR(J9/G9),0,J9/G9)</f>
        <v>0.8</v>
      </c>
      <c r="I9" s="429" t="n">
        <f aca="false">IF(ISERR(K9/G9),0,K9/G9)</f>
        <v>0</v>
      </c>
      <c r="J9" s="428" t="n">
        <f aca="true">OFFSET(Staff!$AO$20, $M9, 0)+OFFSET(Staff!$BE$20, $M9, 0)</f>
        <v>53486</v>
      </c>
      <c r="K9" s="428" t="n">
        <f aca="true">OFFSET(Staff!$AN$21, $M9, 0)+OFFSET(Staff!$BD$21, $M9, 0)</f>
        <v>0</v>
      </c>
      <c r="M9" s="17" t="n">
        <f aca="false">+M8+16</f>
        <v>64</v>
      </c>
      <c r="O9" s="427" t="s">
        <v>422</v>
      </c>
      <c r="P9" s="428"/>
      <c r="Q9" s="429"/>
      <c r="R9" s="429"/>
      <c r="S9" s="428" t="n">
        <f aca="false">+SUM(S5:S8)*-0.35</f>
        <v>-525</v>
      </c>
      <c r="T9" s="428" t="n">
        <v>0</v>
      </c>
      <c r="V9" s="427" t="s">
        <v>422</v>
      </c>
      <c r="W9" s="428"/>
      <c r="X9" s="429"/>
      <c r="Y9" s="429"/>
      <c r="Z9" s="428" t="n">
        <f aca="false">+SUM(Z5:Z8)*-0.35</f>
        <v>-525</v>
      </c>
      <c r="AA9" s="428" t="n">
        <v>0</v>
      </c>
      <c r="AC9" s="427" t="s">
        <v>422</v>
      </c>
      <c r="AD9" s="428"/>
      <c r="AE9" s="429"/>
      <c r="AF9" s="429"/>
      <c r="AG9" s="428" t="n">
        <f aca="false">+SUM(AG5:AG8)*-0.35</f>
        <v>-525</v>
      </c>
      <c r="AH9" s="428" t="n">
        <v>0</v>
      </c>
      <c r="AJ9" s="427"/>
      <c r="AK9" s="428"/>
      <c r="AL9" s="429"/>
      <c r="AM9" s="429"/>
      <c r="AN9" s="428"/>
      <c r="AO9" s="428"/>
      <c r="AQ9" s="427"/>
      <c r="AR9" s="428"/>
      <c r="AS9" s="429"/>
      <c r="AT9" s="429"/>
      <c r="AU9" s="428"/>
      <c r="AV9" s="428"/>
    </row>
    <row r="10" customFormat="false" ht="15" hidden="false" customHeight="true" outlineLevel="0" collapsed="false">
      <c r="A10" s="17" t="n">
        <f aca="true">OFFSET(Staff!$A$6, $M10, 0)</f>
        <v>6</v>
      </c>
      <c r="B10" s="427" t="str">
        <f aca="true">OFFSET(Staff!$B$6, $M10, 0)</f>
        <v>Olivia Martinez</v>
      </c>
      <c r="C10" s="427" t="str">
        <f aca="true">OFFSET(Staff!$C$6, $M10, 0)</f>
        <v>Frontend Developer</v>
      </c>
      <c r="D10" s="428" t="n">
        <f aca="true">OFFSET(Staff!$E$20, $M10, 0)</f>
        <v>55000.87</v>
      </c>
      <c r="E10" s="428" t="n">
        <f aca="true">OFFSET(Staff!$H$20, $M10, 0)</f>
        <v>6334.32</v>
      </c>
      <c r="F10" s="428" t="n">
        <f aca="true">OFFSET(Staff!$I$20, $M10, 0)</f>
        <v>2200.02</v>
      </c>
      <c r="G10" s="428" t="n">
        <f aca="false">SUM(D10:F10)</f>
        <v>63535.21</v>
      </c>
      <c r="H10" s="429" t="n">
        <f aca="false">IF(ISERR(J10/G10),0,J10/G10)</f>
        <v>1</v>
      </c>
      <c r="I10" s="429" t="n">
        <f aca="false">IF(ISERR(K10/G10),0,K10/G10)</f>
        <v>0</v>
      </c>
      <c r="J10" s="428" t="n">
        <f aca="true">OFFSET(Staff!$AO$20, $M10, 0)+OFFSET(Staff!$BE$20, $M10, 0)</f>
        <v>63535.21</v>
      </c>
      <c r="K10" s="428" t="n">
        <f aca="true">OFFSET(Staff!$AN$21, $M10, 0)+OFFSET(Staff!$BD$21, $M10, 0)</f>
        <v>0</v>
      </c>
      <c r="M10" s="17" t="n">
        <f aca="false">+M9+16</f>
        <v>80</v>
      </c>
      <c r="O10" s="427"/>
      <c r="P10" s="428"/>
      <c r="Q10" s="429"/>
      <c r="R10" s="429"/>
      <c r="S10" s="428"/>
      <c r="T10" s="428"/>
      <c r="V10" s="427"/>
      <c r="W10" s="428"/>
      <c r="X10" s="429"/>
      <c r="Y10" s="429"/>
      <c r="Z10" s="428"/>
      <c r="AA10" s="428"/>
      <c r="AC10" s="427"/>
      <c r="AD10" s="428"/>
      <c r="AE10" s="429"/>
      <c r="AF10" s="429"/>
      <c r="AG10" s="428"/>
      <c r="AH10" s="428"/>
      <c r="AJ10" s="427"/>
      <c r="AK10" s="428"/>
      <c r="AL10" s="429"/>
      <c r="AM10" s="429"/>
      <c r="AN10" s="428"/>
      <c r="AO10" s="428"/>
      <c r="AQ10" s="427"/>
      <c r="AR10" s="428"/>
      <c r="AS10" s="429"/>
      <c r="AT10" s="429"/>
      <c r="AU10" s="428"/>
      <c r="AV10" s="428"/>
    </row>
    <row r="11" customFormat="false" ht="15" hidden="false" customHeight="true" outlineLevel="0" collapsed="false">
      <c r="A11" s="17" t="n">
        <f aca="true">OFFSET(Staff!$A$6, $M11, 0)</f>
        <v>7</v>
      </c>
      <c r="B11" s="427" t="str">
        <f aca="true">OFFSET(Staff!$B$6, $M11, 0)</f>
        <v>Tom Baker</v>
      </c>
      <c r="C11" s="427" t="str">
        <f aca="true">OFFSET(Staff!$C$6, $M11, 0)</f>
        <v>QA Engineer</v>
      </c>
      <c r="D11" s="428" t="n">
        <f aca="true">OFFSET(Staff!$E$20, $M11, 0)</f>
        <v>47858.91</v>
      </c>
      <c r="E11" s="428" t="n">
        <f aca="true">OFFSET(Staff!$H$20, $M11, 0)</f>
        <v>5348.74</v>
      </c>
      <c r="F11" s="428" t="n">
        <f aca="true">OFFSET(Staff!$I$20, $M11, 0)</f>
        <v>1914.36</v>
      </c>
      <c r="G11" s="428" t="n">
        <f aca="false">SUM(D11:F11)</f>
        <v>55122.01</v>
      </c>
      <c r="H11" s="429" t="n">
        <f aca="false">IF(ISERR(J11/G11),0,J11/G11)</f>
        <v>0.75</v>
      </c>
      <c r="I11" s="429" t="n">
        <f aca="false">IF(ISERR(K11/G11),0,K11/G11)</f>
        <v>0</v>
      </c>
      <c r="J11" s="428" t="n">
        <f aca="true">OFFSET(Staff!$AO$20, $M11, 0)+OFFSET(Staff!$BE$20, $M11, 0)</f>
        <v>41341.5075</v>
      </c>
      <c r="K11" s="428" t="n">
        <f aca="true">OFFSET(Staff!$AN$21, $M11, 0)+OFFSET(Staff!$BD$21, $M11, 0)</f>
        <v>0</v>
      </c>
      <c r="M11" s="17" t="n">
        <f aca="false">+M10+16</f>
        <v>96</v>
      </c>
      <c r="O11" s="430" t="s">
        <v>82</v>
      </c>
      <c r="P11" s="431" t="n">
        <f aca="false">SUM(P5:P10)</f>
        <v>3000</v>
      </c>
      <c r="Q11" s="432" t="n">
        <f aca="false">IF(ISERR(S11/P11),0,S11/P11)</f>
        <v>0.325</v>
      </c>
      <c r="R11" s="432" t="n">
        <f aca="false">IF(ISERR(T11/P11),0,T11/P11)</f>
        <v>0.2</v>
      </c>
      <c r="S11" s="431" t="n">
        <f aca="false">SUM(S5:S10)</f>
        <v>975</v>
      </c>
      <c r="T11" s="431" t="n">
        <f aca="false">SUM(T5:T10)</f>
        <v>600</v>
      </c>
      <c r="V11" s="430" t="s">
        <v>82</v>
      </c>
      <c r="W11" s="431" t="n">
        <f aca="false">SUM(W5:W10)</f>
        <v>3000</v>
      </c>
      <c r="X11" s="432" t="n">
        <f aca="false">IF(ISERR(Z11/W11),0,Z11/W11)</f>
        <v>0.325</v>
      </c>
      <c r="Y11" s="432" t="n">
        <f aca="false">IF(ISERR(AA11/W11),0,AA11/W11)</f>
        <v>0.2</v>
      </c>
      <c r="Z11" s="431" t="n">
        <f aca="false">SUM(Z5:Z10)</f>
        <v>975</v>
      </c>
      <c r="AA11" s="431" t="n">
        <f aca="false">SUM(AA5:AA10)</f>
        <v>600</v>
      </c>
      <c r="AC11" s="430" t="s">
        <v>82</v>
      </c>
      <c r="AD11" s="431" t="n">
        <f aca="false">SUM(AD5:AD10)</f>
        <v>3000</v>
      </c>
      <c r="AE11" s="432" t="n">
        <f aca="false">IF(ISERR(AG11/AD11),0,AG11/AD11)</f>
        <v>0.325</v>
      </c>
      <c r="AF11" s="432" t="n">
        <f aca="false">IF(ISERR(AH11/AD11),0,AH11/AD11)</f>
        <v>0.2</v>
      </c>
      <c r="AG11" s="431" t="n">
        <f aca="false">SUM(AG5:AG10)</f>
        <v>975</v>
      </c>
      <c r="AH11" s="431" t="n">
        <f aca="false">SUM(AH5:AH10)</f>
        <v>600</v>
      </c>
      <c r="AJ11" s="430" t="s">
        <v>82</v>
      </c>
      <c r="AK11" s="431" t="n">
        <f aca="false">SUM(AK5:AK10)</f>
        <v>3000</v>
      </c>
      <c r="AL11" s="432" t="n">
        <f aca="false">IF(ISERR(AN11/AK11),0,AN11/AK11)</f>
        <v>0.5</v>
      </c>
      <c r="AM11" s="432" t="n">
        <f aca="false">IF(ISERR(AO11/AK11),0,AO11/AK11)</f>
        <v>0.2</v>
      </c>
      <c r="AN11" s="431" t="n">
        <f aca="false">SUM(AN5:AN10)</f>
        <v>1500</v>
      </c>
      <c r="AO11" s="431" t="n">
        <f aca="false">SUM(AO5:AO10)</f>
        <v>600</v>
      </c>
      <c r="AQ11" s="430" t="s">
        <v>82</v>
      </c>
      <c r="AR11" s="431" t="n">
        <f aca="false">SUM(AR5:AR10)</f>
        <v>3000</v>
      </c>
      <c r="AS11" s="432" t="n">
        <f aca="false">IF(ISERR(AU11/AR11),0,AU11/AR11)</f>
        <v>0.5</v>
      </c>
      <c r="AT11" s="432" t="n">
        <f aca="false">IF(ISERR(AV11/AR11),0,AV11/AR11)</f>
        <v>0.2</v>
      </c>
      <c r="AU11" s="431" t="n">
        <f aca="false">SUM(AU5:AU10)</f>
        <v>1500</v>
      </c>
      <c r="AV11" s="431" t="n">
        <f aca="false">SUM(AV5:AV10)</f>
        <v>600</v>
      </c>
    </row>
    <row r="12" customFormat="false" ht="15" hidden="false" customHeight="true" outlineLevel="0" collapsed="false">
      <c r="A12" s="17" t="n">
        <f aca="true">OFFSET(Staff!$A$6, $M12, 0)</f>
        <v>8</v>
      </c>
      <c r="B12" s="427" t="str">
        <f aca="true">OFFSET(Staff!$B$6, $M12, 0)</f>
        <v>Aisha Begum</v>
      </c>
      <c r="C12" s="427" t="str">
        <f aca="true">OFFSET(Staff!$C$6, $M12, 0)</f>
        <v>Research Engineer</v>
      </c>
      <c r="D12" s="428" t="n">
        <f aca="true">OFFSET(Staff!$E$20, $M12, 0)</f>
        <v>71915.01</v>
      </c>
      <c r="E12" s="428" t="n">
        <f aca="true">OFFSET(Staff!$H$20, $M12, 0)</f>
        <v>8668.48</v>
      </c>
      <c r="F12" s="428" t="n">
        <f aca="true">OFFSET(Staff!$I$20, $M12, 0)</f>
        <v>3595.75</v>
      </c>
      <c r="G12" s="428" t="n">
        <f aca="false">SUM(D12:F12)</f>
        <v>84179.24</v>
      </c>
      <c r="H12" s="429" t="n">
        <f aca="false">IF(ISERR(J12/G12),0,J12/G12)</f>
        <v>0.85</v>
      </c>
      <c r="I12" s="429" t="n">
        <f aca="false">IF(ISERR(K12/G12),0,K12/G12)</f>
        <v>0</v>
      </c>
      <c r="J12" s="428" t="n">
        <f aca="true">OFFSET(Staff!$AO$20, $M12, 0)+OFFSET(Staff!$BE$20, $M12, 0)</f>
        <v>71552.354</v>
      </c>
      <c r="K12" s="428" t="n">
        <f aca="true">OFFSET(Staff!$AN$21, $M12, 0)+OFFSET(Staff!$BD$21, $M12, 0)</f>
        <v>0</v>
      </c>
      <c r="M12" s="17" t="n">
        <f aca="false">+M11+16</f>
        <v>112</v>
      </c>
    </row>
    <row r="13" customFormat="false" ht="15" hidden="false" customHeight="true" outlineLevel="0" collapsed="false">
      <c r="A13" s="17" t="n">
        <f aca="true">OFFSET(Staff!$A$6, $M13, 0)</f>
        <v>9</v>
      </c>
      <c r="B13" s="427" t="str">
        <f aca="true">OFFSET(Staff!$B$6, $M13, 0)</f>
        <v>Chris Newland</v>
      </c>
      <c r="C13" s="427" t="str">
        <f aca="true">OFFSET(Staff!$C$6, $M13, 0)</f>
        <v>Junior Developer</v>
      </c>
      <c r="D13" s="428" t="n">
        <f aca="true">OFFSET(Staff!$E$20, $M13, 0)</f>
        <v>34873.9</v>
      </c>
      <c r="E13" s="428" t="n">
        <f aca="true">OFFSET(Staff!$H$20, $M13, 0)</f>
        <v>3556.81</v>
      </c>
      <c r="F13" s="428" t="n">
        <f aca="true">OFFSET(Staff!$I$20, $M13, 0)</f>
        <v>1046.23</v>
      </c>
      <c r="G13" s="428" t="n">
        <f aca="false">SUM(D13:F13)</f>
        <v>39476.94</v>
      </c>
      <c r="H13" s="429" t="n">
        <f aca="false">IF(ISERR(J13/G13),0,J13/G13)</f>
        <v>0.9</v>
      </c>
      <c r="I13" s="429" t="n">
        <f aca="false">IF(ISERR(K13/G13),0,K13/G13)</f>
        <v>0</v>
      </c>
      <c r="J13" s="428" t="n">
        <f aca="true">OFFSET(Staff!$AO$20, $M13, 0)+OFFSET(Staff!$BE$20, $M13, 0)</f>
        <v>35529.246</v>
      </c>
      <c r="K13" s="428" t="n">
        <f aca="true">OFFSET(Staff!$AN$21, $M13, 0)+OFFSET(Staff!$BD$21, $M13, 0)</f>
        <v>0</v>
      </c>
      <c r="M13" s="17" t="n">
        <f aca="false">+M12+16</f>
        <v>128</v>
      </c>
    </row>
    <row r="14" customFormat="false" ht="15" hidden="false" customHeight="true" outlineLevel="0" collapsed="false">
      <c r="A14" s="17" t="n">
        <f aca="true">OFFSET(Staff!$A$6, $M14, 0)</f>
        <v>10</v>
      </c>
      <c r="B14" s="427" t="str">
        <f aca="true">OFFSET(Staff!$B$6, $M14, 0)</f>
        <v>Fiona Campbell</v>
      </c>
      <c r="C14" s="427" t="str">
        <f aca="true">OFFSET(Staff!$C$6, $M14, 0)</f>
        <v>Project Manager</v>
      </c>
      <c r="D14" s="428" t="n">
        <f aca="true">OFFSET(Staff!$E$20, $M14, 0)</f>
        <v>65092.61</v>
      </c>
      <c r="E14" s="428" t="n">
        <f aca="true">OFFSET(Staff!$H$20, $M14, 0)</f>
        <v>7726.98</v>
      </c>
      <c r="F14" s="428" t="n">
        <f aca="true">OFFSET(Staff!$I$20, $M14, 0)</f>
        <v>3254.63</v>
      </c>
      <c r="G14" s="428" t="n">
        <f aca="false">SUM(D14:F14)</f>
        <v>76074.22</v>
      </c>
      <c r="H14" s="429" t="n">
        <f aca="false">IF(ISERR(J14/G14),0,J14/G14)</f>
        <v>0.85</v>
      </c>
      <c r="I14" s="429" t="n">
        <f aca="false">IF(ISERR(K14/G14),0,K14/G14)</f>
        <v>0</v>
      </c>
      <c r="J14" s="428" t="n">
        <f aca="true">OFFSET(Staff!$AO$20, $M14, 0)+OFFSET(Staff!$BE$20, $M14, 0)</f>
        <v>64663.087</v>
      </c>
      <c r="K14" s="428" t="n">
        <f aca="true">OFFSET(Staff!$AN$21, $M14, 0)+OFFSET(Staff!$BD$21, $M14, 0)</f>
        <v>0</v>
      </c>
      <c r="M14" s="17" t="n">
        <f aca="false">+M13+16</f>
        <v>144</v>
      </c>
    </row>
    <row r="15" customFormat="false" ht="15" hidden="false" customHeight="true" outlineLevel="0" collapsed="false">
      <c r="A15" s="17" t="n">
        <f aca="true">OFFSET(Staff!$A$6, $M15, 0)</f>
        <v>11</v>
      </c>
      <c r="B15" s="427" t="str">
        <f aca="true">OFFSET(Staff!$B$6, $M15, 0)</f>
        <v>TBA</v>
      </c>
      <c r="C15" s="427" t="str">
        <f aca="true">OFFSET(Staff!$C$6, $M15, 0)</f>
        <v>TBA</v>
      </c>
      <c r="D15" s="428" t="n">
        <f aca="true">OFFSET(Staff!$E$20, $M15, 0)</f>
        <v>0</v>
      </c>
      <c r="E15" s="428" t="n">
        <f aca="true">OFFSET(Staff!$H$20, $M15, 0)</f>
        <v>0</v>
      </c>
      <c r="F15" s="428" t="n">
        <f aca="true">OFFSET(Staff!$I$20, $M15, 0)</f>
        <v>0</v>
      </c>
      <c r="G15" s="428" t="n">
        <f aca="false">SUM(D15:F15)</f>
        <v>0</v>
      </c>
      <c r="H15" s="429" t="n">
        <f aca="false">IF(ISERR(J15/G15),0,J15/G15)</f>
        <v>0</v>
      </c>
      <c r="I15" s="429" t="n">
        <f aca="false">IF(ISERR(K15/G15),0,K15/G15)</f>
        <v>0</v>
      </c>
      <c r="J15" s="428" t="n">
        <f aca="true">OFFSET(Staff!$AO$20, $M15, 0)+OFFSET(Staff!$BE$20, $M15, 0)</f>
        <v>0</v>
      </c>
      <c r="K15" s="428" t="n">
        <f aca="true">OFFSET(Staff!$AN$21, $M15, 0)+OFFSET(Staff!$BD$21, $M15, 0)</f>
        <v>0</v>
      </c>
      <c r="M15" s="17" t="n">
        <f aca="false">+M14+16</f>
        <v>160</v>
      </c>
    </row>
    <row r="16" customFormat="false" ht="15" hidden="false" customHeight="true" outlineLevel="0" collapsed="false">
      <c r="A16" s="17" t="n">
        <f aca="true">OFFSET(Staff!$A$6, $M16, 0)</f>
        <v>12</v>
      </c>
      <c r="B16" s="427" t="str">
        <f aca="true">OFFSET(Staff!$B$6, $M16, 0)</f>
        <v>TBA</v>
      </c>
      <c r="C16" s="427" t="str">
        <f aca="true">OFFSET(Staff!$C$6, $M16, 0)</f>
        <v>TBA</v>
      </c>
      <c r="D16" s="428" t="n">
        <f aca="true">OFFSET(Staff!$E$20, $M16, 0)</f>
        <v>0</v>
      </c>
      <c r="E16" s="428" t="n">
        <f aca="true">OFFSET(Staff!$H$20, $M16, 0)</f>
        <v>0</v>
      </c>
      <c r="F16" s="428" t="n">
        <f aca="true">OFFSET(Staff!$I$20, $M16, 0)</f>
        <v>0</v>
      </c>
      <c r="G16" s="428" t="n">
        <f aca="false">SUM(D16:F16)</f>
        <v>0</v>
      </c>
      <c r="H16" s="429" t="n">
        <f aca="false">IF(ISERR(J16/G16),0,J16/G16)</f>
        <v>0</v>
      </c>
      <c r="I16" s="429" t="n">
        <f aca="false">IF(ISERR(K16/G16),0,K16/G16)</f>
        <v>0</v>
      </c>
      <c r="J16" s="428" t="n">
        <f aca="true">OFFSET(Staff!$AO$20, $M16, 0)+OFFSET(Staff!$BE$20, $M16, 0)</f>
        <v>0</v>
      </c>
      <c r="K16" s="428" t="n">
        <f aca="true">OFFSET(Staff!$AN$21, $M16, 0)+OFFSET(Staff!$BD$21, $M16, 0)</f>
        <v>0</v>
      </c>
      <c r="M16" s="17" t="n">
        <f aca="false">+M15+16</f>
        <v>176</v>
      </c>
    </row>
    <row r="17" customFormat="false" ht="15" hidden="false" customHeight="true" outlineLevel="0" collapsed="false">
      <c r="A17" s="17" t="n">
        <f aca="true">OFFSET(Staff!$A$6, $M17, 0)</f>
        <v>13</v>
      </c>
      <c r="B17" s="427" t="str">
        <f aca="true">OFFSET(Staff!$B$6, $M17, 0)</f>
        <v>TBA</v>
      </c>
      <c r="C17" s="427" t="str">
        <f aca="true">OFFSET(Staff!$C$6, $M17, 0)</f>
        <v>TBA</v>
      </c>
      <c r="D17" s="428" t="n">
        <f aca="true">OFFSET(Staff!$E$20, $M17, 0)</f>
        <v>0</v>
      </c>
      <c r="E17" s="428" t="n">
        <f aca="true">OFFSET(Staff!$H$20, $M17, 0)</f>
        <v>0</v>
      </c>
      <c r="F17" s="428" t="n">
        <f aca="true">OFFSET(Staff!$I$20, $M17, 0)</f>
        <v>0</v>
      </c>
      <c r="G17" s="428" t="n">
        <f aca="false">SUM(D17:F17)</f>
        <v>0</v>
      </c>
      <c r="H17" s="429" t="n">
        <f aca="false">IF(ISERR(J17/G17),0,J17/G17)</f>
        <v>0</v>
      </c>
      <c r="I17" s="429" t="n">
        <f aca="false">IF(ISERR(K17/G17),0,K17/G17)</f>
        <v>0</v>
      </c>
      <c r="J17" s="428" t="n">
        <f aca="true">OFFSET(Staff!$AO$20, $M17, 0)+OFFSET(Staff!$BE$20, $M17, 0)</f>
        <v>0</v>
      </c>
      <c r="K17" s="428" t="n">
        <f aca="true">OFFSET(Staff!$AN$21, $M17, 0)+OFFSET(Staff!$BD$21, $M17, 0)</f>
        <v>0</v>
      </c>
      <c r="M17" s="17" t="n">
        <f aca="false">+M16+16</f>
        <v>192</v>
      </c>
    </row>
    <row r="18" customFormat="false" ht="15" hidden="false" customHeight="true" outlineLevel="0" collapsed="false">
      <c r="A18" s="17" t="n">
        <f aca="true">OFFSET(Staff!$A$6, $M18, 0)</f>
        <v>14</v>
      </c>
      <c r="B18" s="427" t="str">
        <f aca="true">OFFSET(Staff!$B$6, $M18, 0)</f>
        <v>TBA</v>
      </c>
      <c r="C18" s="427" t="str">
        <f aca="true">OFFSET(Staff!$C$6, $M18, 0)</f>
        <v>TBA</v>
      </c>
      <c r="D18" s="428" t="n">
        <f aca="true">OFFSET(Staff!$E$20, $M18, 0)</f>
        <v>0</v>
      </c>
      <c r="E18" s="428" t="n">
        <f aca="true">OFFSET(Staff!$H$20, $M18, 0)</f>
        <v>0</v>
      </c>
      <c r="F18" s="428" t="n">
        <f aca="true">OFFSET(Staff!$I$20, $M18, 0)</f>
        <v>0</v>
      </c>
      <c r="G18" s="428" t="n">
        <f aca="false">SUM(D18:F18)</f>
        <v>0</v>
      </c>
      <c r="H18" s="429" t="n">
        <f aca="false">IF(ISERR(J18/G18),0,J18/G18)</f>
        <v>0</v>
      </c>
      <c r="I18" s="429" t="n">
        <f aca="false">IF(ISERR(K18/G18),0,K18/G18)</f>
        <v>0</v>
      </c>
      <c r="J18" s="428" t="n">
        <f aca="true">OFFSET(Staff!$AO$20, $M18, 0)+OFFSET(Staff!$BE$20, $M18, 0)</f>
        <v>0</v>
      </c>
      <c r="K18" s="428" t="n">
        <f aca="true">OFFSET(Staff!$AN$21, $M18, 0)+OFFSET(Staff!$BD$21, $M18, 0)</f>
        <v>0</v>
      </c>
      <c r="M18" s="17" t="n">
        <f aca="false">+M17+16</f>
        <v>208</v>
      </c>
    </row>
    <row r="19" customFormat="false" ht="15" hidden="false" customHeight="true" outlineLevel="0" collapsed="false">
      <c r="A19" s="17" t="n">
        <f aca="true">OFFSET(Staff!$A$6, $M19, 0)</f>
        <v>15</v>
      </c>
      <c r="B19" s="427" t="str">
        <f aca="true">OFFSET(Staff!$B$6, $M19, 0)</f>
        <v>TBA</v>
      </c>
      <c r="C19" s="427" t="str">
        <f aca="true">OFFSET(Staff!$C$6, $M19, 0)</f>
        <v>TBA</v>
      </c>
      <c r="D19" s="428" t="n">
        <f aca="true">OFFSET(Staff!$E$20, $M19, 0)</f>
        <v>0</v>
      </c>
      <c r="E19" s="428" t="n">
        <f aca="true">OFFSET(Staff!$H$20, $M19, 0)</f>
        <v>0</v>
      </c>
      <c r="F19" s="428" t="n">
        <f aca="true">OFFSET(Staff!$I$20, $M19, 0)</f>
        <v>0</v>
      </c>
      <c r="G19" s="428" t="n">
        <f aca="false">SUM(D19:F19)</f>
        <v>0</v>
      </c>
      <c r="H19" s="429" t="n">
        <f aca="false">IF(ISERR(J19/G19),0,J19/G19)</f>
        <v>0</v>
      </c>
      <c r="I19" s="429" t="n">
        <f aca="false">IF(ISERR(K19/G19),0,K19/G19)</f>
        <v>0</v>
      </c>
      <c r="J19" s="428" t="n">
        <f aca="true">OFFSET(Staff!$AO$20, $M19, 0)+OFFSET(Staff!$BE$20, $M19, 0)</f>
        <v>0</v>
      </c>
      <c r="K19" s="428" t="n">
        <f aca="true">OFFSET(Staff!$AN$21, $M19, 0)+OFFSET(Staff!$BD$21, $M19, 0)</f>
        <v>0</v>
      </c>
      <c r="M19" s="17" t="n">
        <f aca="false">+M18+16</f>
        <v>224</v>
      </c>
    </row>
    <row r="20" customFormat="false" ht="15" hidden="false" customHeight="true" outlineLevel="0" collapsed="false">
      <c r="A20" s="17" t="n">
        <f aca="true">OFFSET(Staff!$A$6, $M20, 0)</f>
        <v>16</v>
      </c>
      <c r="B20" s="427" t="str">
        <f aca="true">OFFSET(Staff!$B$6, $M20, 0)</f>
        <v>TBA</v>
      </c>
      <c r="C20" s="427" t="str">
        <f aca="true">OFFSET(Staff!$C$6, $M20, 0)</f>
        <v>TBA</v>
      </c>
      <c r="D20" s="428" t="n">
        <f aca="true">OFFSET(Staff!$E$20, $M20, 0)</f>
        <v>0</v>
      </c>
      <c r="E20" s="428" t="n">
        <f aca="true">OFFSET(Staff!$H$20, $M20, 0)</f>
        <v>0</v>
      </c>
      <c r="F20" s="428" t="n">
        <f aca="true">OFFSET(Staff!$I$20, $M20, 0)</f>
        <v>0</v>
      </c>
      <c r="G20" s="428" t="n">
        <f aca="false">SUM(D20:F20)</f>
        <v>0</v>
      </c>
      <c r="H20" s="429" t="n">
        <f aca="false">IF(ISERR(J20/G20),0,J20/G20)</f>
        <v>0</v>
      </c>
      <c r="I20" s="429" t="n">
        <f aca="false">IF(ISERR(K20/G20),0,K20/G20)</f>
        <v>0</v>
      </c>
      <c r="J20" s="428" t="n">
        <f aca="true">OFFSET(Staff!$AO$20, $M20, 0)+OFFSET(Staff!$BE$20, $M20, 0)</f>
        <v>0</v>
      </c>
      <c r="K20" s="428" t="n">
        <f aca="true">OFFSET(Staff!$AN$21, $M20, 0)+OFFSET(Staff!$BD$21, $M20, 0)</f>
        <v>0</v>
      </c>
      <c r="M20" s="17" t="n">
        <f aca="false">+M19+16</f>
        <v>240</v>
      </c>
    </row>
    <row r="21" customFormat="false" ht="15" hidden="false" customHeight="true" outlineLevel="0" collapsed="false">
      <c r="A21" s="17" t="n">
        <f aca="true">OFFSET(Staff!$A$6, $M21, 0)</f>
        <v>17</v>
      </c>
      <c r="B21" s="427" t="str">
        <f aca="true">OFFSET(Staff!$B$6, $M21, 0)</f>
        <v>TBA</v>
      </c>
      <c r="C21" s="427" t="str">
        <f aca="true">OFFSET(Staff!$C$6, $M21, 0)</f>
        <v>TBA</v>
      </c>
      <c r="D21" s="428" t="n">
        <f aca="true">OFFSET(Staff!$E$20, $M21, 0)</f>
        <v>0</v>
      </c>
      <c r="E21" s="428" t="n">
        <f aca="true">OFFSET(Staff!$H$20, $M21, 0)</f>
        <v>0</v>
      </c>
      <c r="F21" s="428" t="n">
        <f aca="true">OFFSET(Staff!$I$20, $M21, 0)</f>
        <v>0</v>
      </c>
      <c r="G21" s="428" t="n">
        <f aca="false">SUM(D21:F21)</f>
        <v>0</v>
      </c>
      <c r="H21" s="429" t="n">
        <f aca="false">IF(ISERR(J21/G21),0,J21/G21)</f>
        <v>0</v>
      </c>
      <c r="I21" s="429" t="n">
        <f aca="false">IF(ISERR(K21/G21),0,K21/G21)</f>
        <v>0</v>
      </c>
      <c r="J21" s="428" t="n">
        <f aca="true">OFFSET(Staff!$AO$20, $M21, 0)+OFFSET(Staff!$BE$20, $M21, 0)</f>
        <v>0</v>
      </c>
      <c r="K21" s="428" t="n">
        <f aca="true">OFFSET(Staff!$AN$21, $M21, 0)+OFFSET(Staff!$BD$21, $M21, 0)</f>
        <v>0</v>
      </c>
      <c r="M21" s="17" t="n">
        <f aca="false">+M20+16</f>
        <v>256</v>
      </c>
    </row>
    <row r="22" customFormat="false" ht="15" hidden="false" customHeight="true" outlineLevel="0" collapsed="false">
      <c r="A22" s="17" t="n">
        <f aca="true">OFFSET(Staff!$A$6, $M22, 0)</f>
        <v>18</v>
      </c>
      <c r="B22" s="427" t="str">
        <f aca="true">OFFSET(Staff!$B$6, $M22, 0)</f>
        <v>TBA</v>
      </c>
      <c r="C22" s="427" t="str">
        <f aca="true">OFFSET(Staff!$C$6, $M22, 0)</f>
        <v>TBA</v>
      </c>
      <c r="D22" s="428" t="n">
        <f aca="true">OFFSET(Staff!$E$20, $M22, 0)</f>
        <v>0</v>
      </c>
      <c r="E22" s="428" t="n">
        <f aca="true">OFFSET(Staff!$H$20, $M22, 0)</f>
        <v>0</v>
      </c>
      <c r="F22" s="428" t="n">
        <f aca="true">OFFSET(Staff!$I$20, $M22, 0)</f>
        <v>0</v>
      </c>
      <c r="G22" s="428" t="n">
        <f aca="false">SUM(D22:F22)</f>
        <v>0</v>
      </c>
      <c r="H22" s="429" t="n">
        <f aca="false">IF(ISERR(J22/G22),0,J22/G22)</f>
        <v>0</v>
      </c>
      <c r="I22" s="429" t="n">
        <f aca="false">IF(ISERR(K22/G22),0,K22/G22)</f>
        <v>0</v>
      </c>
      <c r="J22" s="428" t="n">
        <f aca="true">OFFSET(Staff!$AO$20, $M22, 0)+OFFSET(Staff!$BE$20, $M22, 0)</f>
        <v>0</v>
      </c>
      <c r="K22" s="428" t="n">
        <f aca="true">OFFSET(Staff!$AN$21, $M22, 0)+OFFSET(Staff!$BD$21, $M22, 0)</f>
        <v>0</v>
      </c>
      <c r="M22" s="17" t="n">
        <f aca="false">+M21+16</f>
        <v>272</v>
      </c>
    </row>
    <row r="23" customFormat="false" ht="15" hidden="false" customHeight="true" outlineLevel="0" collapsed="false">
      <c r="A23" s="17" t="n">
        <f aca="true">OFFSET(Staff!$A$6, $M23, 0)</f>
        <v>19</v>
      </c>
      <c r="B23" s="427" t="str">
        <f aca="true">OFFSET(Staff!$B$6, $M23, 0)</f>
        <v>TBA</v>
      </c>
      <c r="C23" s="427" t="str">
        <f aca="true">OFFSET(Staff!$C$6, $M23, 0)</f>
        <v>TBA</v>
      </c>
      <c r="D23" s="428" t="n">
        <f aca="true">OFFSET(Staff!$E$20, $M23, 0)</f>
        <v>0</v>
      </c>
      <c r="E23" s="428" t="n">
        <f aca="true">OFFSET(Staff!$H$20, $M23, 0)</f>
        <v>0</v>
      </c>
      <c r="F23" s="428" t="n">
        <f aca="true">OFFSET(Staff!$I$20, $M23, 0)</f>
        <v>0</v>
      </c>
      <c r="G23" s="428" t="n">
        <f aca="false">SUM(D23:F23)</f>
        <v>0</v>
      </c>
      <c r="H23" s="429" t="n">
        <f aca="false">IF(ISERR(J23/G23),0,J23/G23)</f>
        <v>0</v>
      </c>
      <c r="I23" s="429" t="n">
        <f aca="false">IF(ISERR(K23/G23),0,K23/G23)</f>
        <v>0</v>
      </c>
      <c r="J23" s="428" t="n">
        <f aca="true">OFFSET(Staff!$AO$20, $M23, 0)+OFFSET(Staff!$BE$20, $M23, 0)</f>
        <v>0</v>
      </c>
      <c r="K23" s="428" t="n">
        <f aca="true">OFFSET(Staff!$AN$21, $M23, 0)+OFFSET(Staff!$BD$21, $M23, 0)</f>
        <v>0</v>
      </c>
      <c r="M23" s="17" t="n">
        <f aca="false">+M22+16</f>
        <v>288</v>
      </c>
    </row>
    <row r="24" customFormat="false" ht="15" hidden="false" customHeight="true" outlineLevel="0" collapsed="false">
      <c r="A24" s="17" t="n">
        <f aca="true">OFFSET(Staff!$A$6, $M24, 0)</f>
        <v>20</v>
      </c>
      <c r="B24" s="427" t="str">
        <f aca="true">OFFSET(Staff!$B$6, $M24, 0)</f>
        <v>TBA</v>
      </c>
      <c r="C24" s="427" t="str">
        <f aca="true">OFFSET(Staff!$C$6, $M24, 0)</f>
        <v>TBA</v>
      </c>
      <c r="D24" s="428" t="n">
        <f aca="true">OFFSET(Staff!$E$20, $M24, 0)</f>
        <v>0</v>
      </c>
      <c r="E24" s="428" t="n">
        <f aca="true">OFFSET(Staff!$H$20, $M24, 0)</f>
        <v>0</v>
      </c>
      <c r="F24" s="428" t="n">
        <f aca="true">OFFSET(Staff!$I$20, $M24, 0)</f>
        <v>0</v>
      </c>
      <c r="G24" s="428" t="n">
        <f aca="false">SUM(D24:F24)</f>
        <v>0</v>
      </c>
      <c r="H24" s="429" t="n">
        <f aca="false">IF(ISERR(J24/G24),0,J24/G24)</f>
        <v>0</v>
      </c>
      <c r="I24" s="429" t="n">
        <f aca="false">IF(ISERR(K24/G24),0,K24/G24)</f>
        <v>0</v>
      </c>
      <c r="J24" s="428" t="n">
        <f aca="true">OFFSET(Staff!$AO$20, $M24, 0)+OFFSET(Staff!$BE$20, $M24, 0)</f>
        <v>0</v>
      </c>
      <c r="K24" s="428" t="n">
        <f aca="true">OFFSET(Staff!$AN$21, $M24, 0)+OFFSET(Staff!$BD$21, $M24, 0)</f>
        <v>0</v>
      </c>
      <c r="M24" s="17" t="n">
        <f aca="false">+M23+16</f>
        <v>304</v>
      </c>
    </row>
    <row r="25" customFormat="false" ht="15" hidden="false" customHeight="true" outlineLevel="0" collapsed="false">
      <c r="A25" s="17" t="n">
        <f aca="true">OFFSET(Staff!$A$6, $M25, 0)</f>
        <v>21</v>
      </c>
      <c r="B25" s="427" t="str">
        <f aca="true">OFFSET(Staff!$B$6, $M25, 0)</f>
        <v>TBA</v>
      </c>
      <c r="C25" s="427" t="str">
        <f aca="true">OFFSET(Staff!$C$6, $M25, 0)</f>
        <v>TBA</v>
      </c>
      <c r="D25" s="428" t="n">
        <f aca="true">OFFSET(Staff!$E$20, $M25, 0)</f>
        <v>0</v>
      </c>
      <c r="E25" s="428" t="n">
        <f aca="true">OFFSET(Staff!$H$20, $M25, 0)</f>
        <v>0</v>
      </c>
      <c r="F25" s="428" t="n">
        <f aca="true">OFFSET(Staff!$I$20, $M25, 0)</f>
        <v>0</v>
      </c>
      <c r="G25" s="428" t="n">
        <f aca="false">SUM(D25:F25)</f>
        <v>0</v>
      </c>
      <c r="H25" s="429" t="n">
        <f aca="false">IF(ISERR(J25/G25),0,J25/G25)</f>
        <v>0</v>
      </c>
      <c r="I25" s="429" t="n">
        <f aca="false">IF(ISERR(K25/G25),0,K25/G25)</f>
        <v>0</v>
      </c>
      <c r="J25" s="428" t="n">
        <f aca="true">OFFSET(Staff!$AO$20, $M25, 0)+OFFSET(Staff!$BE$20, $M25, 0)</f>
        <v>0</v>
      </c>
      <c r="K25" s="428" t="n">
        <f aca="true">OFFSET(Staff!$AN$21, $M25, 0)+OFFSET(Staff!$BD$21, $M25, 0)</f>
        <v>0</v>
      </c>
      <c r="M25" s="17" t="n">
        <f aca="false">+M24+16</f>
        <v>320</v>
      </c>
    </row>
    <row r="26" customFormat="false" ht="15" hidden="false" customHeight="true" outlineLevel="0" collapsed="false">
      <c r="A26" s="17" t="n">
        <f aca="true">OFFSET(Staff!$A$6, $M26, 0)</f>
        <v>22</v>
      </c>
      <c r="B26" s="427" t="str">
        <f aca="true">OFFSET(Staff!$B$6, $M26, 0)</f>
        <v>TBA</v>
      </c>
      <c r="C26" s="427" t="str">
        <f aca="true">OFFSET(Staff!$C$6, $M26, 0)</f>
        <v>TBA</v>
      </c>
      <c r="D26" s="428" t="n">
        <f aca="true">OFFSET(Staff!$E$20, $M26, 0)</f>
        <v>0</v>
      </c>
      <c r="E26" s="428" t="n">
        <f aca="true">OFFSET(Staff!$H$20, $M26, 0)</f>
        <v>0</v>
      </c>
      <c r="F26" s="428" t="n">
        <f aca="true">OFFSET(Staff!$I$20, $M26, 0)</f>
        <v>0</v>
      </c>
      <c r="G26" s="428" t="n">
        <f aca="false">SUM(D26:F26)</f>
        <v>0</v>
      </c>
      <c r="H26" s="429" t="n">
        <f aca="false">IF(ISERR(J26/G26),0,J26/G26)</f>
        <v>0</v>
      </c>
      <c r="I26" s="429" t="n">
        <f aca="false">IF(ISERR(K26/G26),0,K26/G26)</f>
        <v>0</v>
      </c>
      <c r="J26" s="428" t="n">
        <f aca="true">OFFSET(Staff!$AO$20, $M26, 0)+OFFSET(Staff!$BE$20, $M26, 0)</f>
        <v>0</v>
      </c>
      <c r="K26" s="428" t="n">
        <f aca="true">OFFSET(Staff!$AN$21, $M26, 0)+OFFSET(Staff!$BD$21, $M26, 0)</f>
        <v>0</v>
      </c>
      <c r="M26" s="17" t="n">
        <f aca="false">+M25+16</f>
        <v>336</v>
      </c>
    </row>
    <row r="27" customFormat="false" ht="15" hidden="false" customHeight="true" outlineLevel="0" collapsed="false">
      <c r="A27" s="17" t="n">
        <f aca="true">OFFSET(Staff!$A$6, $M27, 0)</f>
        <v>23</v>
      </c>
      <c r="B27" s="427" t="str">
        <f aca="true">OFFSET(Staff!$B$6, $M27, 0)</f>
        <v>TBA</v>
      </c>
      <c r="C27" s="427" t="str">
        <f aca="true">OFFSET(Staff!$C$6, $M27, 0)</f>
        <v>TBA</v>
      </c>
      <c r="D27" s="428" t="n">
        <f aca="true">OFFSET(Staff!$E$20, $M27, 0)</f>
        <v>0</v>
      </c>
      <c r="E27" s="428" t="n">
        <f aca="true">OFFSET(Staff!$H$20, $M27, 0)</f>
        <v>0</v>
      </c>
      <c r="F27" s="428" t="n">
        <f aca="true">OFFSET(Staff!$I$20, $M27, 0)</f>
        <v>0</v>
      </c>
      <c r="G27" s="428" t="n">
        <f aca="false">SUM(D27:F27)</f>
        <v>0</v>
      </c>
      <c r="H27" s="429" t="n">
        <f aca="false">IF(ISERR(J27/G27),0,J27/G27)</f>
        <v>0</v>
      </c>
      <c r="I27" s="429" t="n">
        <f aca="false">IF(ISERR(K27/G27),0,K27/G27)</f>
        <v>0</v>
      </c>
      <c r="J27" s="428" t="n">
        <f aca="true">OFFSET(Staff!$AO$20, $M27, 0)+OFFSET(Staff!$BE$20, $M27, 0)</f>
        <v>0</v>
      </c>
      <c r="K27" s="428" t="n">
        <f aca="true">OFFSET(Staff!$AN$21, $M27, 0)+OFFSET(Staff!$BD$21, $M27, 0)</f>
        <v>0</v>
      </c>
      <c r="M27" s="17" t="n">
        <f aca="false">+M26+16</f>
        <v>352</v>
      </c>
    </row>
    <row r="28" customFormat="false" ht="15" hidden="false" customHeight="true" outlineLevel="0" collapsed="false">
      <c r="A28" s="17" t="n">
        <f aca="true">OFFSET(Staff!$A$6, $M28, 0)</f>
        <v>24</v>
      </c>
      <c r="B28" s="427" t="str">
        <f aca="true">OFFSET(Staff!$B$6, $M28, 0)</f>
        <v>TBA</v>
      </c>
      <c r="C28" s="427" t="str">
        <f aca="true">OFFSET(Staff!$C$6, $M28, 0)</f>
        <v>TBA</v>
      </c>
      <c r="D28" s="428" t="n">
        <f aca="true">OFFSET(Staff!$E$20, $M28, 0)</f>
        <v>0</v>
      </c>
      <c r="E28" s="428" t="n">
        <f aca="true">OFFSET(Staff!$H$20, $M28, 0)</f>
        <v>0</v>
      </c>
      <c r="F28" s="428" t="n">
        <f aca="true">OFFSET(Staff!$I$20, $M28, 0)</f>
        <v>0</v>
      </c>
      <c r="G28" s="428" t="n">
        <f aca="false">SUM(D28:F28)</f>
        <v>0</v>
      </c>
      <c r="H28" s="429" t="n">
        <f aca="false">IF(ISERR(J28/G28),0,J28/G28)</f>
        <v>0</v>
      </c>
      <c r="I28" s="429" t="n">
        <f aca="false">IF(ISERR(K28/G28),0,K28/G28)</f>
        <v>0</v>
      </c>
      <c r="J28" s="428" t="n">
        <f aca="true">OFFSET(Staff!$AO$20, $M28, 0)+OFFSET(Staff!$BE$20, $M28, 0)</f>
        <v>0</v>
      </c>
      <c r="K28" s="428" t="n">
        <f aca="true">OFFSET(Staff!$AN$21, $M28, 0)+OFFSET(Staff!$BD$21, $M28, 0)</f>
        <v>0</v>
      </c>
      <c r="M28" s="17" t="n">
        <f aca="false">+M27+16</f>
        <v>368</v>
      </c>
    </row>
    <row r="29" customFormat="false" ht="15" hidden="false" customHeight="true" outlineLevel="0" collapsed="false">
      <c r="A29" s="17" t="n">
        <f aca="true">OFFSET(Staff!$A$6, $M29, 0)</f>
        <v>25</v>
      </c>
      <c r="B29" s="427" t="str">
        <f aca="true">OFFSET(Staff!$B$6, $M29, 0)</f>
        <v>TBA</v>
      </c>
      <c r="C29" s="427" t="str">
        <f aca="true">OFFSET(Staff!$C$6, $M29, 0)</f>
        <v>TBA</v>
      </c>
      <c r="D29" s="428" t="n">
        <f aca="true">OFFSET(Staff!$E$20, $M29, 0)</f>
        <v>0</v>
      </c>
      <c r="E29" s="428" t="n">
        <f aca="true">OFFSET(Staff!$H$20, $M29, 0)</f>
        <v>0</v>
      </c>
      <c r="F29" s="428" t="n">
        <f aca="true">OFFSET(Staff!$I$20, $M29, 0)</f>
        <v>0</v>
      </c>
      <c r="G29" s="428" t="n">
        <f aca="false">SUM(D29:F29)</f>
        <v>0</v>
      </c>
      <c r="H29" s="429" t="n">
        <f aca="false">IF(ISERR(J29/G29),0,J29/G29)</f>
        <v>0</v>
      </c>
      <c r="I29" s="429" t="n">
        <f aca="false">IF(ISERR(K29/G29),0,K29/G29)</f>
        <v>0</v>
      </c>
      <c r="J29" s="428" t="n">
        <f aca="true">OFFSET(Staff!$AO$20, $M29, 0)+OFFSET(Staff!$BE$20, $M29, 0)</f>
        <v>0</v>
      </c>
      <c r="K29" s="428" t="n">
        <f aca="true">OFFSET(Staff!$AN$21, $M29, 0)+OFFSET(Staff!$BD$21, $M29, 0)</f>
        <v>0</v>
      </c>
      <c r="M29" s="17" t="n">
        <f aca="false">+M28+16</f>
        <v>384</v>
      </c>
    </row>
    <row r="30" customFormat="false" ht="15" hidden="false" customHeight="true" outlineLevel="0" collapsed="false">
      <c r="A30" s="17" t="n">
        <f aca="true">OFFSET(Staff!$A$6, $M30, 0)</f>
        <v>26</v>
      </c>
      <c r="B30" s="427" t="str">
        <f aca="true">OFFSET(Staff!$B$6, $M30, 0)</f>
        <v>TBA</v>
      </c>
      <c r="C30" s="427" t="str">
        <f aca="true">OFFSET(Staff!$C$6, $M30, 0)</f>
        <v>TBA</v>
      </c>
      <c r="D30" s="428" t="n">
        <f aca="true">OFFSET(Staff!$E$20, $M30, 0)</f>
        <v>0</v>
      </c>
      <c r="E30" s="428" t="n">
        <f aca="true">OFFSET(Staff!$H$20, $M30, 0)</f>
        <v>0</v>
      </c>
      <c r="F30" s="428" t="n">
        <f aca="true">OFFSET(Staff!$I$20, $M30, 0)</f>
        <v>0</v>
      </c>
      <c r="G30" s="428" t="n">
        <f aca="false">SUM(D30:F30)</f>
        <v>0</v>
      </c>
      <c r="H30" s="429" t="n">
        <f aca="false">IF(ISERR(J30/G30),0,J30/G30)</f>
        <v>0</v>
      </c>
      <c r="I30" s="429" t="n">
        <f aca="false">IF(ISERR(K30/G30),0,K30/G30)</f>
        <v>0</v>
      </c>
      <c r="J30" s="428" t="n">
        <f aca="true">OFFSET(Staff!$AO$20, $M30, 0)+OFFSET(Staff!$BE$20, $M30, 0)</f>
        <v>0</v>
      </c>
      <c r="K30" s="428" t="n">
        <f aca="true">OFFSET(Staff!$AN$21, $M30, 0)+OFFSET(Staff!$BD$21, $M30, 0)</f>
        <v>0</v>
      </c>
      <c r="M30" s="17" t="n">
        <f aca="false">+M29+16</f>
        <v>400</v>
      </c>
    </row>
    <row r="31" customFormat="false" ht="15" hidden="false" customHeight="true" outlineLevel="0" collapsed="false">
      <c r="A31" s="17" t="n">
        <f aca="true">OFFSET(Staff!$A$6, $M31, 0)</f>
        <v>27</v>
      </c>
      <c r="B31" s="427" t="str">
        <f aca="true">OFFSET(Staff!$B$6, $M31, 0)</f>
        <v>TBA</v>
      </c>
      <c r="C31" s="427" t="str">
        <f aca="true">OFFSET(Staff!$C$6, $M31, 0)</f>
        <v>TBA</v>
      </c>
      <c r="D31" s="428" t="n">
        <f aca="true">OFFSET(Staff!$E$20, $M31, 0)</f>
        <v>0</v>
      </c>
      <c r="E31" s="428" t="n">
        <f aca="true">OFFSET(Staff!$H$20, $M31, 0)</f>
        <v>0</v>
      </c>
      <c r="F31" s="428" t="n">
        <f aca="true">OFFSET(Staff!$I$20, $M31, 0)</f>
        <v>0</v>
      </c>
      <c r="G31" s="428" t="n">
        <f aca="false">SUM(D31:F31)</f>
        <v>0</v>
      </c>
      <c r="H31" s="429" t="n">
        <f aca="false">IF(ISERR(J31/G31),0,J31/G31)</f>
        <v>0</v>
      </c>
      <c r="I31" s="429" t="n">
        <f aca="false">IF(ISERR(K31/G31),0,K31/G31)</f>
        <v>0</v>
      </c>
      <c r="J31" s="428" t="n">
        <f aca="true">OFFSET(Staff!$AO$20, $M31, 0)+OFFSET(Staff!$BE$20, $M31, 0)</f>
        <v>0</v>
      </c>
      <c r="K31" s="428" t="n">
        <f aca="true">OFFSET(Staff!$AN$21, $M31, 0)+OFFSET(Staff!$BD$21, $M31, 0)</f>
        <v>0</v>
      </c>
      <c r="M31" s="17" t="n">
        <f aca="false">+M30+16</f>
        <v>416</v>
      </c>
    </row>
    <row r="32" customFormat="false" ht="15" hidden="false" customHeight="true" outlineLevel="0" collapsed="false">
      <c r="A32" s="17" t="n">
        <f aca="true">OFFSET(Staff!$A$6, $M32, 0)</f>
        <v>28</v>
      </c>
      <c r="B32" s="427" t="str">
        <f aca="true">OFFSET(Staff!$B$6, $M32, 0)</f>
        <v>TBA</v>
      </c>
      <c r="C32" s="427" t="str">
        <f aca="true">OFFSET(Staff!$C$6, $M32, 0)</f>
        <v>TBA</v>
      </c>
      <c r="D32" s="428" t="n">
        <f aca="true">OFFSET(Staff!$E$20, $M32, 0)</f>
        <v>0</v>
      </c>
      <c r="E32" s="428" t="n">
        <f aca="true">OFFSET(Staff!$H$20, $M32, 0)</f>
        <v>0</v>
      </c>
      <c r="F32" s="428" t="n">
        <f aca="true">OFFSET(Staff!$I$20, $M32, 0)</f>
        <v>0</v>
      </c>
      <c r="G32" s="428" t="n">
        <f aca="false">SUM(D32:F32)</f>
        <v>0</v>
      </c>
      <c r="H32" s="429" t="n">
        <f aca="false">IF(ISERR(J32/G32),0,J32/G32)</f>
        <v>0</v>
      </c>
      <c r="I32" s="429" t="n">
        <f aca="false">IF(ISERR(K32/G32),0,K32/G32)</f>
        <v>0</v>
      </c>
      <c r="J32" s="428" t="n">
        <f aca="true">OFFSET(Staff!$AO$20, $M32, 0)+OFFSET(Staff!$BE$20, $M32, 0)</f>
        <v>0</v>
      </c>
      <c r="K32" s="428" t="n">
        <f aca="true">OFFSET(Staff!$AN$21, $M32, 0)+OFFSET(Staff!$BD$21, $M32, 0)</f>
        <v>0</v>
      </c>
      <c r="M32" s="17" t="n">
        <f aca="false">+M31+16</f>
        <v>432</v>
      </c>
    </row>
    <row r="33" customFormat="false" ht="15" hidden="false" customHeight="true" outlineLevel="0" collapsed="false">
      <c r="A33" s="17" t="n">
        <f aca="true">OFFSET(Staff!$A$6, $M33, 0)</f>
        <v>29</v>
      </c>
      <c r="B33" s="427" t="str">
        <f aca="true">OFFSET(Staff!$B$6, $M33, 0)</f>
        <v>TBA</v>
      </c>
      <c r="C33" s="427" t="str">
        <f aca="true">OFFSET(Staff!$C$6, $M33, 0)</f>
        <v>TBA</v>
      </c>
      <c r="D33" s="428" t="n">
        <f aca="true">OFFSET(Staff!$E$20, $M33, 0)</f>
        <v>0</v>
      </c>
      <c r="E33" s="428" t="n">
        <f aca="true">OFFSET(Staff!$H$20, $M33, 0)</f>
        <v>0</v>
      </c>
      <c r="F33" s="428" t="n">
        <f aca="true">OFFSET(Staff!$I$20, $M33, 0)</f>
        <v>0</v>
      </c>
      <c r="G33" s="428" t="n">
        <f aca="false">SUM(D33:F33)</f>
        <v>0</v>
      </c>
      <c r="H33" s="429" t="n">
        <f aca="false">IF(ISERR(J33/G33),0,J33/G33)</f>
        <v>0</v>
      </c>
      <c r="I33" s="429" t="n">
        <f aca="false">IF(ISERR(K33/G33),0,K33/G33)</f>
        <v>0</v>
      </c>
      <c r="J33" s="428" t="n">
        <f aca="true">OFFSET(Staff!$AO$20, $M33, 0)+OFFSET(Staff!$BE$20, $M33, 0)</f>
        <v>0</v>
      </c>
      <c r="K33" s="428" t="n">
        <f aca="true">OFFSET(Staff!$AN$21, $M33, 0)+OFFSET(Staff!$BD$21, $M33, 0)</f>
        <v>0</v>
      </c>
      <c r="M33" s="17" t="n">
        <f aca="false">+M32+16</f>
        <v>448</v>
      </c>
    </row>
    <row r="34" customFormat="false" ht="15" hidden="false" customHeight="true" outlineLevel="0" collapsed="false">
      <c r="A34" s="17" t="n">
        <f aca="true">OFFSET(Staff!$A$6, $M34, 0)</f>
        <v>30</v>
      </c>
      <c r="B34" s="427" t="str">
        <f aca="true">OFFSET(Staff!$B$6, $M34, 0)</f>
        <v>TBA</v>
      </c>
      <c r="C34" s="427" t="str">
        <f aca="true">OFFSET(Staff!$C$6, $M34, 0)</f>
        <v>TBA</v>
      </c>
      <c r="D34" s="428" t="n">
        <f aca="true">OFFSET(Staff!$E$20, $M34, 0)</f>
        <v>0</v>
      </c>
      <c r="E34" s="428" t="n">
        <f aca="true">OFFSET(Staff!$H$20, $M34, 0)</f>
        <v>0</v>
      </c>
      <c r="F34" s="428" t="n">
        <f aca="true">OFFSET(Staff!$I$20, $M34, 0)</f>
        <v>0</v>
      </c>
      <c r="G34" s="428" t="n">
        <f aca="false">SUM(D34:F34)</f>
        <v>0</v>
      </c>
      <c r="H34" s="429" t="n">
        <f aca="false">IF(ISERR(J34/G34),0,J34/G34)</f>
        <v>0</v>
      </c>
      <c r="I34" s="429" t="n">
        <f aca="false">IF(ISERR(K34/G34),0,K34/G34)</f>
        <v>0</v>
      </c>
      <c r="J34" s="428" t="n">
        <f aca="true">OFFSET(Staff!$AO$20, $M34, 0)+OFFSET(Staff!$BE$20, $M34, 0)</f>
        <v>0</v>
      </c>
      <c r="K34" s="428" t="n">
        <f aca="true">OFFSET(Staff!$AN$21, $M34, 0)+OFFSET(Staff!$BD$21, $M34, 0)</f>
        <v>0</v>
      </c>
      <c r="M34" s="17" t="n">
        <f aca="false">+M33+16</f>
        <v>464</v>
      </c>
    </row>
    <row r="35" customFormat="false" ht="15" hidden="false" customHeight="true" outlineLevel="0" collapsed="false">
      <c r="A35" s="17" t="n">
        <f aca="true">OFFSET(Staff!$A$6, $M35, 0)</f>
        <v>31</v>
      </c>
      <c r="B35" s="427" t="str">
        <f aca="true">OFFSET(Staff!$B$6, $M35, 0)</f>
        <v>TBA</v>
      </c>
      <c r="C35" s="427" t="str">
        <f aca="true">OFFSET(Staff!$C$6, $M35, 0)</f>
        <v>TBA</v>
      </c>
      <c r="D35" s="428" t="n">
        <f aca="true">OFFSET(Staff!$E$20, $M35, 0)</f>
        <v>0</v>
      </c>
      <c r="E35" s="428" t="n">
        <f aca="true">OFFSET(Staff!$H$20, $M35, 0)</f>
        <v>0</v>
      </c>
      <c r="F35" s="428" t="n">
        <f aca="true">OFFSET(Staff!$I$20, $M35, 0)</f>
        <v>0</v>
      </c>
      <c r="G35" s="428" t="n">
        <f aca="false">SUM(D35:F35)</f>
        <v>0</v>
      </c>
      <c r="H35" s="429" t="n">
        <f aca="false">IF(ISERR(J35/G35),0,J35/G35)</f>
        <v>0</v>
      </c>
      <c r="I35" s="429" t="n">
        <f aca="false">IF(ISERR(K35/G35),0,K35/G35)</f>
        <v>0</v>
      </c>
      <c r="J35" s="428" t="n">
        <f aca="true">OFFSET(Staff!$AO$20, $M35, 0)+OFFSET(Staff!$BE$20, $M35, 0)</f>
        <v>0</v>
      </c>
      <c r="K35" s="428" t="n">
        <f aca="true">OFFSET(Staff!$AN$21, $M35, 0)+OFFSET(Staff!$BD$21, $M35, 0)</f>
        <v>0</v>
      </c>
      <c r="M35" s="17" t="n">
        <f aca="false">+M34+16</f>
        <v>480</v>
      </c>
    </row>
    <row r="36" customFormat="false" ht="15" hidden="false" customHeight="true" outlineLevel="0" collapsed="false">
      <c r="A36" s="17" t="n">
        <f aca="true">OFFSET(Staff!$A$6, $M36, 0)</f>
        <v>32</v>
      </c>
      <c r="B36" s="427" t="str">
        <f aca="true">OFFSET(Staff!$B$6, $M36, 0)</f>
        <v>TBA</v>
      </c>
      <c r="C36" s="427" t="str">
        <f aca="true">OFFSET(Staff!$C$6, $M36, 0)</f>
        <v>TBA</v>
      </c>
      <c r="D36" s="428" t="n">
        <f aca="true">OFFSET(Staff!$E$20, $M36, 0)</f>
        <v>0</v>
      </c>
      <c r="E36" s="428" t="n">
        <f aca="true">OFFSET(Staff!$H$20, $M36, 0)</f>
        <v>0</v>
      </c>
      <c r="F36" s="428" t="n">
        <f aca="true">OFFSET(Staff!$I$20, $M36, 0)</f>
        <v>0</v>
      </c>
      <c r="G36" s="428" t="n">
        <f aca="false">SUM(D36:F36)</f>
        <v>0</v>
      </c>
      <c r="H36" s="429" t="n">
        <f aca="false">IF(ISERR(J36/G36),0,J36/G36)</f>
        <v>0</v>
      </c>
      <c r="I36" s="429" t="n">
        <f aca="false">IF(ISERR(K36/G36),0,K36/G36)</f>
        <v>0</v>
      </c>
      <c r="J36" s="428" t="n">
        <f aca="true">OFFSET(Staff!$AO$20, $M36, 0)+OFFSET(Staff!$BE$20, $M36, 0)</f>
        <v>0</v>
      </c>
      <c r="K36" s="428" t="n">
        <f aca="true">OFFSET(Staff!$AN$21, $M36, 0)+OFFSET(Staff!$BD$21, $M36, 0)</f>
        <v>0</v>
      </c>
      <c r="M36" s="17" t="n">
        <f aca="false">+M35+16</f>
        <v>496</v>
      </c>
    </row>
    <row r="37" customFormat="false" ht="15" hidden="false" customHeight="true" outlineLevel="0" collapsed="false">
      <c r="A37" s="17" t="n">
        <f aca="true">OFFSET(Staff!$A$6, $M37, 0)</f>
        <v>33</v>
      </c>
      <c r="B37" s="427" t="str">
        <f aca="true">OFFSET(Staff!$B$6, $M37, 0)</f>
        <v>TBA</v>
      </c>
      <c r="C37" s="427" t="str">
        <f aca="true">OFFSET(Staff!$C$6, $M37, 0)</f>
        <v>TBA</v>
      </c>
      <c r="D37" s="428" t="n">
        <f aca="true">OFFSET(Staff!$E$20, $M37, 0)</f>
        <v>0</v>
      </c>
      <c r="E37" s="428" t="n">
        <f aca="true">OFFSET(Staff!$H$20, $M37, 0)</f>
        <v>0</v>
      </c>
      <c r="F37" s="428" t="n">
        <f aca="true">OFFSET(Staff!$I$20, $M37, 0)</f>
        <v>0</v>
      </c>
      <c r="G37" s="428" t="n">
        <f aca="false">SUM(D37:F37)</f>
        <v>0</v>
      </c>
      <c r="H37" s="429" t="n">
        <f aca="false">IF(ISERR(J37/G37),0,J37/G37)</f>
        <v>0</v>
      </c>
      <c r="I37" s="429" t="n">
        <f aca="false">IF(ISERR(K37/G37),0,K37/G37)</f>
        <v>0</v>
      </c>
      <c r="J37" s="428" t="n">
        <f aca="true">OFFSET(Staff!$AO$20, $M37, 0)+OFFSET(Staff!$BE$20, $M37, 0)</f>
        <v>0</v>
      </c>
      <c r="K37" s="428" t="n">
        <f aca="true">OFFSET(Staff!$AN$21, $M37, 0)+OFFSET(Staff!$BD$21, $M37, 0)</f>
        <v>0</v>
      </c>
      <c r="M37" s="17" t="n">
        <f aca="false">+M36+16</f>
        <v>512</v>
      </c>
    </row>
    <row r="38" customFormat="false" ht="15" hidden="false" customHeight="true" outlineLevel="0" collapsed="false">
      <c r="A38" s="17" t="n">
        <f aca="true">OFFSET(Staff!$A$6, $M38, 0)</f>
        <v>34</v>
      </c>
      <c r="B38" s="427" t="str">
        <f aca="true">OFFSET(Staff!$B$6, $M38, 0)</f>
        <v>TBA</v>
      </c>
      <c r="C38" s="427" t="str">
        <f aca="true">OFFSET(Staff!$C$6, $M38, 0)</f>
        <v>TBA</v>
      </c>
      <c r="D38" s="428" t="n">
        <f aca="true">OFFSET(Staff!$E$20, $M38, 0)</f>
        <v>0</v>
      </c>
      <c r="E38" s="428" t="n">
        <f aca="true">OFFSET(Staff!$H$20, $M38, 0)</f>
        <v>0</v>
      </c>
      <c r="F38" s="428" t="n">
        <f aca="true">OFFSET(Staff!$I$20, $M38, 0)</f>
        <v>0</v>
      </c>
      <c r="G38" s="428" t="n">
        <f aca="false">SUM(D38:F38)</f>
        <v>0</v>
      </c>
      <c r="H38" s="429" t="n">
        <f aca="false">IF(ISERR(J38/G38),0,J38/G38)</f>
        <v>0</v>
      </c>
      <c r="I38" s="429" t="n">
        <f aca="false">IF(ISERR(K38/G38),0,K38/G38)</f>
        <v>0</v>
      </c>
      <c r="J38" s="428" t="n">
        <f aca="true">OFFSET(Staff!$AO$20, $M38, 0)+OFFSET(Staff!$BE$20, $M38, 0)</f>
        <v>0</v>
      </c>
      <c r="K38" s="428" t="n">
        <f aca="true">OFFSET(Staff!$AN$21, $M38, 0)+OFFSET(Staff!$BD$21, $M38, 0)</f>
        <v>0</v>
      </c>
      <c r="M38" s="17" t="n">
        <f aca="false">+M37+16</f>
        <v>528</v>
      </c>
    </row>
    <row r="39" customFormat="false" ht="15" hidden="false" customHeight="true" outlineLevel="0" collapsed="false">
      <c r="A39" s="17" t="n">
        <f aca="true">OFFSET(Staff!$A$6, $M39, 0)</f>
        <v>35</v>
      </c>
      <c r="B39" s="427" t="str">
        <f aca="true">OFFSET(Staff!$B$6, $M39, 0)</f>
        <v>TBA</v>
      </c>
      <c r="C39" s="427" t="str">
        <f aca="true">OFFSET(Staff!$C$6, $M39, 0)</f>
        <v>TBA</v>
      </c>
      <c r="D39" s="428" t="n">
        <f aca="true">OFFSET(Staff!$E$20, $M39, 0)</f>
        <v>0</v>
      </c>
      <c r="E39" s="428" t="n">
        <f aca="true">OFFSET(Staff!$H$20, $M39, 0)</f>
        <v>0</v>
      </c>
      <c r="F39" s="428" t="n">
        <f aca="true">OFFSET(Staff!$I$20, $M39, 0)</f>
        <v>0</v>
      </c>
      <c r="G39" s="428" t="n">
        <f aca="false">SUM(D39:F39)</f>
        <v>0</v>
      </c>
      <c r="H39" s="429" t="n">
        <f aca="false">IF(ISERR(J39/G39),0,J39/G39)</f>
        <v>0</v>
      </c>
      <c r="I39" s="429" t="n">
        <f aca="false">IF(ISERR(K39/G39),0,K39/G39)</f>
        <v>0</v>
      </c>
      <c r="J39" s="428" t="n">
        <f aca="true">OFFSET(Staff!$AO$20, $M39, 0)+OFFSET(Staff!$BE$20, $M39, 0)</f>
        <v>0</v>
      </c>
      <c r="K39" s="428" t="n">
        <f aca="true">OFFSET(Staff!$AN$21, $M39, 0)+OFFSET(Staff!$BD$21, $M39, 0)</f>
        <v>0</v>
      </c>
      <c r="M39" s="17" t="n">
        <f aca="false">+M38+16</f>
        <v>544</v>
      </c>
    </row>
    <row r="40" customFormat="false" ht="15" hidden="false" customHeight="true" outlineLevel="0" collapsed="false">
      <c r="A40" s="17" t="n">
        <f aca="true">OFFSET(Staff!$A$6, $M40, 0)</f>
        <v>36</v>
      </c>
      <c r="B40" s="427" t="str">
        <f aca="true">OFFSET(Staff!$B$6, $M40, 0)</f>
        <v>TBA</v>
      </c>
      <c r="C40" s="427" t="str">
        <f aca="true">OFFSET(Staff!$C$6, $M40, 0)</f>
        <v>TBA</v>
      </c>
      <c r="D40" s="428" t="n">
        <f aca="true">OFFSET(Staff!$E$20, $M40, 0)</f>
        <v>0</v>
      </c>
      <c r="E40" s="428" t="n">
        <f aca="true">OFFSET(Staff!$H$20, $M40, 0)</f>
        <v>0</v>
      </c>
      <c r="F40" s="428" t="n">
        <f aca="true">OFFSET(Staff!$I$20, $M40, 0)</f>
        <v>0</v>
      </c>
      <c r="G40" s="428" t="n">
        <f aca="false">SUM(D40:F40)</f>
        <v>0</v>
      </c>
      <c r="H40" s="429" t="n">
        <f aca="false">IF(ISERR(J40/G40),0,J40/G40)</f>
        <v>0</v>
      </c>
      <c r="I40" s="429" t="n">
        <f aca="false">IF(ISERR(K40/G40),0,K40/G40)</f>
        <v>0</v>
      </c>
      <c r="J40" s="428" t="n">
        <f aca="true">OFFSET(Staff!$AO$20, $M40, 0)+OFFSET(Staff!$BE$20, $M40, 0)</f>
        <v>0</v>
      </c>
      <c r="K40" s="428" t="n">
        <f aca="true">OFFSET(Staff!$AN$21, $M40, 0)+OFFSET(Staff!$BD$21, $M40, 0)</f>
        <v>0</v>
      </c>
      <c r="M40" s="17" t="n">
        <f aca="false">+M39+16</f>
        <v>560</v>
      </c>
    </row>
    <row r="41" customFormat="false" ht="15" hidden="false" customHeight="true" outlineLevel="0" collapsed="false">
      <c r="A41" s="17" t="n">
        <f aca="true">OFFSET(Staff!$A$6, $M41, 0)</f>
        <v>37</v>
      </c>
      <c r="B41" s="427" t="str">
        <f aca="true">OFFSET(Staff!$B$6, $M41, 0)</f>
        <v>TBA</v>
      </c>
      <c r="C41" s="427" t="str">
        <f aca="true">OFFSET(Staff!$C$6, $M41, 0)</f>
        <v>TBA</v>
      </c>
      <c r="D41" s="428" t="n">
        <f aca="true">OFFSET(Staff!$E$20, $M41, 0)</f>
        <v>0</v>
      </c>
      <c r="E41" s="428" t="n">
        <f aca="true">OFFSET(Staff!$H$20, $M41, 0)</f>
        <v>0</v>
      </c>
      <c r="F41" s="428" t="n">
        <f aca="true">OFFSET(Staff!$I$20, $M41, 0)</f>
        <v>0</v>
      </c>
      <c r="G41" s="428" t="n">
        <f aca="false">SUM(D41:F41)</f>
        <v>0</v>
      </c>
      <c r="H41" s="429" t="n">
        <f aca="false">IF(ISERR(J41/G41),0,J41/G41)</f>
        <v>0</v>
      </c>
      <c r="I41" s="429" t="n">
        <f aca="false">IF(ISERR(K41/G41),0,K41/G41)</f>
        <v>0</v>
      </c>
      <c r="J41" s="428" t="n">
        <f aca="true">OFFSET(Staff!$AO$20, $M41, 0)+OFFSET(Staff!$BE$20, $M41, 0)</f>
        <v>0</v>
      </c>
      <c r="K41" s="428" t="n">
        <f aca="true">OFFSET(Staff!$AN$21, $M41, 0)+OFFSET(Staff!$BD$21, $M41, 0)</f>
        <v>0</v>
      </c>
      <c r="M41" s="17" t="n">
        <f aca="false">+M40+16</f>
        <v>576</v>
      </c>
    </row>
    <row r="42" customFormat="false" ht="15" hidden="false" customHeight="true" outlineLevel="0" collapsed="false">
      <c r="A42" s="17" t="n">
        <f aca="true">OFFSET(Staff!$A$6, $M42, 0)</f>
        <v>38</v>
      </c>
      <c r="B42" s="427" t="str">
        <f aca="true">OFFSET(Staff!$B$6, $M42, 0)</f>
        <v>TBA</v>
      </c>
      <c r="C42" s="427" t="str">
        <f aca="true">OFFSET(Staff!$C$6, $M42, 0)</f>
        <v>TBA</v>
      </c>
      <c r="D42" s="428" t="n">
        <f aca="true">OFFSET(Staff!$E$20, $M42, 0)</f>
        <v>0</v>
      </c>
      <c r="E42" s="428" t="n">
        <f aca="true">OFFSET(Staff!$H$20, $M42, 0)</f>
        <v>0</v>
      </c>
      <c r="F42" s="428" t="n">
        <f aca="true">OFFSET(Staff!$I$20, $M42, 0)</f>
        <v>0</v>
      </c>
      <c r="G42" s="428" t="n">
        <f aca="false">SUM(D42:F42)</f>
        <v>0</v>
      </c>
      <c r="H42" s="429" t="n">
        <f aca="false">IF(ISERR(J42/G42),0,J42/G42)</f>
        <v>0</v>
      </c>
      <c r="I42" s="429" t="n">
        <f aca="false">IF(ISERR(K42/G42),0,K42/G42)</f>
        <v>0</v>
      </c>
      <c r="J42" s="428" t="n">
        <f aca="true">OFFSET(Staff!$AO$20, $M42, 0)+OFFSET(Staff!$BE$20, $M42, 0)</f>
        <v>0</v>
      </c>
      <c r="K42" s="428" t="n">
        <f aca="true">OFFSET(Staff!$AN$21, $M42, 0)+OFFSET(Staff!$BD$21, $M42, 0)</f>
        <v>0</v>
      </c>
      <c r="M42" s="17" t="n">
        <f aca="false">+M41+16</f>
        <v>592</v>
      </c>
    </row>
    <row r="43" customFormat="false" ht="15" hidden="false" customHeight="true" outlineLevel="0" collapsed="false">
      <c r="A43" s="17" t="n">
        <f aca="true">OFFSET(Staff!$A$6, $M43, 0)</f>
        <v>39</v>
      </c>
      <c r="B43" s="427" t="str">
        <f aca="true">OFFSET(Staff!$B$6, $M43, 0)</f>
        <v>TBA</v>
      </c>
      <c r="C43" s="427" t="str">
        <f aca="true">OFFSET(Staff!$C$6, $M43, 0)</f>
        <v>TBA</v>
      </c>
      <c r="D43" s="428" t="n">
        <f aca="true">OFFSET(Staff!$E$20, $M43, 0)</f>
        <v>0</v>
      </c>
      <c r="E43" s="428" t="n">
        <f aca="true">OFFSET(Staff!$H$20, $M43, 0)</f>
        <v>0</v>
      </c>
      <c r="F43" s="428" t="n">
        <f aca="true">OFFSET(Staff!$I$20, $M43, 0)</f>
        <v>0</v>
      </c>
      <c r="G43" s="428" t="n">
        <f aca="false">SUM(D43:F43)</f>
        <v>0</v>
      </c>
      <c r="H43" s="429" t="n">
        <f aca="false">IF(ISERR(J43/G43),0,J43/G43)</f>
        <v>0</v>
      </c>
      <c r="I43" s="429" t="n">
        <f aca="false">IF(ISERR(K43/G43),0,K43/G43)</f>
        <v>0</v>
      </c>
      <c r="J43" s="428" t="n">
        <f aca="true">OFFSET(Staff!$AO$20, $M43, 0)+OFFSET(Staff!$BE$20, $M43, 0)</f>
        <v>0</v>
      </c>
      <c r="K43" s="428" t="n">
        <f aca="true">OFFSET(Staff!$AN$21, $M43, 0)+OFFSET(Staff!$BD$21, $M43, 0)</f>
        <v>0</v>
      </c>
      <c r="M43" s="17" t="n">
        <f aca="false">+M42+16</f>
        <v>608</v>
      </c>
    </row>
    <row r="44" customFormat="false" ht="15" hidden="false" customHeight="true" outlineLevel="0" collapsed="false">
      <c r="A44" s="17" t="n">
        <f aca="true">OFFSET(Staff!$A$6, $M44, 0)</f>
        <v>40</v>
      </c>
      <c r="B44" s="427" t="str">
        <f aca="true">OFFSET(Staff!$B$6, $M44, 0)</f>
        <v>TBA</v>
      </c>
      <c r="C44" s="427" t="str">
        <f aca="true">OFFSET(Staff!$C$6, $M44, 0)</f>
        <v>TBA</v>
      </c>
      <c r="D44" s="428" t="n">
        <f aca="true">OFFSET(Staff!$E$20, $M44, 0)</f>
        <v>0</v>
      </c>
      <c r="E44" s="428" t="n">
        <f aca="true">OFFSET(Staff!$H$20, $M44, 0)</f>
        <v>0</v>
      </c>
      <c r="F44" s="428" t="n">
        <f aca="true">OFFSET(Staff!$I$20, $M44, 0)</f>
        <v>0</v>
      </c>
      <c r="G44" s="428" t="n">
        <f aca="false">SUM(D44:F44)</f>
        <v>0</v>
      </c>
      <c r="H44" s="429" t="n">
        <f aca="false">IF(ISERR(J44/G44),0,J44/G44)</f>
        <v>0</v>
      </c>
      <c r="I44" s="429" t="n">
        <f aca="false">IF(ISERR(K44/G44),0,K44/G44)</f>
        <v>0</v>
      </c>
      <c r="J44" s="428" t="n">
        <f aca="true">OFFSET(Staff!$AO$20, $M44, 0)+OFFSET(Staff!$BE$20, $M44, 0)</f>
        <v>0</v>
      </c>
      <c r="K44" s="428" t="n">
        <f aca="true">OFFSET(Staff!$AN$21, $M44, 0)+OFFSET(Staff!$BD$21, $M44, 0)</f>
        <v>0</v>
      </c>
      <c r="M44" s="17" t="n">
        <f aca="false">+M43+16</f>
        <v>624</v>
      </c>
    </row>
    <row r="45" customFormat="false" ht="15" hidden="false" customHeight="true" outlineLevel="0" collapsed="false">
      <c r="A45" s="17" t="n">
        <f aca="true">OFFSET(Staff!$A$6, $M45, 0)</f>
        <v>41</v>
      </c>
      <c r="B45" s="427" t="str">
        <f aca="true">OFFSET(Staff!$B$6, $M45, 0)</f>
        <v>TBA</v>
      </c>
      <c r="C45" s="427" t="str">
        <f aca="true">OFFSET(Staff!$C$6, $M45, 0)</f>
        <v>TBA</v>
      </c>
      <c r="D45" s="428" t="n">
        <f aca="true">OFFSET(Staff!$E$20, $M45, 0)</f>
        <v>0</v>
      </c>
      <c r="E45" s="428" t="n">
        <f aca="true">OFFSET(Staff!$H$20, $M45, 0)</f>
        <v>0</v>
      </c>
      <c r="F45" s="428" t="n">
        <f aca="true">OFFSET(Staff!$I$20, $M45, 0)</f>
        <v>0</v>
      </c>
      <c r="G45" s="428" t="n">
        <f aca="false">SUM(D45:F45)</f>
        <v>0</v>
      </c>
      <c r="H45" s="429" t="n">
        <f aca="false">IF(ISERR(J45/G45),0,J45/G45)</f>
        <v>0</v>
      </c>
      <c r="I45" s="429" t="n">
        <f aca="false">IF(ISERR(K45/G45),0,K45/G45)</f>
        <v>0</v>
      </c>
      <c r="J45" s="428" t="n">
        <f aca="true">OFFSET(Staff!$AO$20, $M45, 0)+OFFSET(Staff!$BE$20, $M45, 0)</f>
        <v>0</v>
      </c>
      <c r="K45" s="428" t="n">
        <f aca="true">OFFSET(Staff!$AN$21, $M45, 0)+OFFSET(Staff!$BD$21, $M45, 0)</f>
        <v>0</v>
      </c>
      <c r="M45" s="17" t="n">
        <f aca="false">+M44+16</f>
        <v>640</v>
      </c>
    </row>
    <row r="46" customFormat="false" ht="15" hidden="false" customHeight="true" outlineLevel="0" collapsed="false">
      <c r="A46" s="17" t="n">
        <f aca="true">OFFSET(Staff!$A$6, $M46, 0)</f>
        <v>42</v>
      </c>
      <c r="B46" s="427" t="str">
        <f aca="true">OFFSET(Staff!$B$6, $M46, 0)</f>
        <v>TBA</v>
      </c>
      <c r="C46" s="427" t="str">
        <f aca="true">OFFSET(Staff!$C$6, $M46, 0)</f>
        <v>TBA</v>
      </c>
      <c r="D46" s="428" t="n">
        <f aca="true">OFFSET(Staff!$E$20, $M46, 0)</f>
        <v>0</v>
      </c>
      <c r="E46" s="428" t="n">
        <f aca="true">OFFSET(Staff!$H$20, $M46, 0)</f>
        <v>0</v>
      </c>
      <c r="F46" s="428" t="n">
        <f aca="true">OFFSET(Staff!$I$20, $M46, 0)</f>
        <v>0</v>
      </c>
      <c r="G46" s="428" t="n">
        <f aca="false">SUM(D46:F46)</f>
        <v>0</v>
      </c>
      <c r="H46" s="429" t="n">
        <f aca="false">IF(ISERR(J46/G46),0,J46/G46)</f>
        <v>0</v>
      </c>
      <c r="I46" s="429" t="n">
        <f aca="false">IF(ISERR(K46/G46),0,K46/G46)</f>
        <v>0</v>
      </c>
      <c r="J46" s="428" t="n">
        <f aca="true">OFFSET(Staff!$AO$20, $M46, 0)+OFFSET(Staff!$BE$20, $M46, 0)</f>
        <v>0</v>
      </c>
      <c r="K46" s="428" t="n">
        <f aca="true">OFFSET(Staff!$AN$21, $M46, 0)+OFFSET(Staff!$BD$21, $M46, 0)</f>
        <v>0</v>
      </c>
      <c r="M46" s="17" t="n">
        <f aca="false">+M45+16</f>
        <v>656</v>
      </c>
    </row>
    <row r="47" customFormat="false" ht="15" hidden="false" customHeight="true" outlineLevel="0" collapsed="false">
      <c r="A47" s="17" t="n">
        <f aca="true">OFFSET(Staff!$A$6, $M47, 0)</f>
        <v>43</v>
      </c>
      <c r="B47" s="427" t="str">
        <f aca="true">OFFSET(Staff!$B$6, $M47, 0)</f>
        <v>TBA</v>
      </c>
      <c r="C47" s="427" t="str">
        <f aca="true">OFFSET(Staff!$C$6, $M47, 0)</f>
        <v>TBA</v>
      </c>
      <c r="D47" s="428" t="n">
        <f aca="true">OFFSET(Staff!$E$20, $M47, 0)</f>
        <v>0</v>
      </c>
      <c r="E47" s="428" t="n">
        <f aca="true">OFFSET(Staff!$H$20, $M47, 0)</f>
        <v>0</v>
      </c>
      <c r="F47" s="428" t="n">
        <f aca="true">OFFSET(Staff!$I$20, $M47, 0)</f>
        <v>0</v>
      </c>
      <c r="G47" s="428" t="n">
        <f aca="false">SUM(D47:F47)</f>
        <v>0</v>
      </c>
      <c r="H47" s="429" t="n">
        <f aca="false">IF(ISERR(J47/G47),0,J47/G47)</f>
        <v>0</v>
      </c>
      <c r="I47" s="429" t="n">
        <f aca="false">IF(ISERR(K47/G47),0,K47/G47)</f>
        <v>0</v>
      </c>
      <c r="J47" s="428" t="n">
        <f aca="true">OFFSET(Staff!$AO$20, $M47, 0)+OFFSET(Staff!$BE$20, $M47, 0)</f>
        <v>0</v>
      </c>
      <c r="K47" s="428" t="n">
        <f aca="true">OFFSET(Staff!$AN$21, $M47, 0)+OFFSET(Staff!$BD$21, $M47, 0)</f>
        <v>0</v>
      </c>
      <c r="M47" s="17" t="n">
        <f aca="false">+M46+16</f>
        <v>672</v>
      </c>
    </row>
    <row r="48" customFormat="false" ht="15" hidden="false" customHeight="true" outlineLevel="0" collapsed="false">
      <c r="A48" s="17" t="n">
        <f aca="true">OFFSET(Staff!$A$6, $M48, 0)</f>
        <v>44</v>
      </c>
      <c r="B48" s="427" t="str">
        <f aca="true">OFFSET(Staff!$B$6, $M48, 0)</f>
        <v>TBA</v>
      </c>
      <c r="C48" s="427" t="str">
        <f aca="true">OFFSET(Staff!$C$6, $M48, 0)</f>
        <v>TBA</v>
      </c>
      <c r="D48" s="428" t="n">
        <f aca="true">OFFSET(Staff!$E$20, $M48, 0)</f>
        <v>0</v>
      </c>
      <c r="E48" s="428" t="n">
        <f aca="true">OFFSET(Staff!$H$20, $M48, 0)</f>
        <v>0</v>
      </c>
      <c r="F48" s="428" t="n">
        <f aca="true">OFFSET(Staff!$I$20, $M48, 0)</f>
        <v>0</v>
      </c>
      <c r="G48" s="428" t="n">
        <f aca="false">SUM(D48:F48)</f>
        <v>0</v>
      </c>
      <c r="H48" s="429" t="n">
        <f aca="false">IF(ISERR(J48/G48),0,J48/G48)</f>
        <v>0</v>
      </c>
      <c r="I48" s="429" t="n">
        <f aca="false">IF(ISERR(K48/G48),0,K48/G48)</f>
        <v>0</v>
      </c>
      <c r="J48" s="428" t="n">
        <f aca="true">OFFSET(Staff!$AO$20, $M48, 0)+OFFSET(Staff!$BE$20, $M48, 0)</f>
        <v>0</v>
      </c>
      <c r="K48" s="428" t="n">
        <f aca="true">OFFSET(Staff!$AN$21, $M48, 0)+OFFSET(Staff!$BD$21, $M48, 0)</f>
        <v>0</v>
      </c>
      <c r="M48" s="17" t="n">
        <f aca="false">+M47+16</f>
        <v>688</v>
      </c>
    </row>
    <row r="49" customFormat="false" ht="15" hidden="false" customHeight="true" outlineLevel="0" collapsed="false">
      <c r="A49" s="17" t="n">
        <f aca="true">OFFSET(Staff!$A$6, $M49, 0)</f>
        <v>45</v>
      </c>
      <c r="B49" s="427" t="str">
        <f aca="true">OFFSET(Staff!$B$6, $M49, 0)</f>
        <v>TBA</v>
      </c>
      <c r="C49" s="427" t="str">
        <f aca="true">OFFSET(Staff!$C$6, $M49, 0)</f>
        <v>TBA</v>
      </c>
      <c r="D49" s="428" t="n">
        <f aca="true">OFFSET(Staff!$E$20, $M49, 0)</f>
        <v>0</v>
      </c>
      <c r="E49" s="428" t="n">
        <f aca="true">OFFSET(Staff!$H$20, $M49, 0)</f>
        <v>0</v>
      </c>
      <c r="F49" s="428" t="n">
        <f aca="true">OFFSET(Staff!$I$20, $M49, 0)</f>
        <v>0</v>
      </c>
      <c r="G49" s="428" t="n">
        <f aca="false">SUM(D49:F49)</f>
        <v>0</v>
      </c>
      <c r="H49" s="429" t="n">
        <f aca="false">IF(ISERR(J49/G49),0,J49/G49)</f>
        <v>0</v>
      </c>
      <c r="I49" s="429" t="n">
        <f aca="false">IF(ISERR(K49/G49),0,K49/G49)</f>
        <v>0</v>
      </c>
      <c r="J49" s="428" t="n">
        <f aca="true">OFFSET(Staff!$AO$20, $M49, 0)+OFFSET(Staff!$BE$20, $M49, 0)</f>
        <v>0</v>
      </c>
      <c r="K49" s="428" t="n">
        <f aca="true">OFFSET(Staff!$AN$21, $M49, 0)+OFFSET(Staff!$BD$21, $M49, 0)</f>
        <v>0</v>
      </c>
      <c r="M49" s="17" t="n">
        <f aca="false">+M48+16</f>
        <v>704</v>
      </c>
    </row>
    <row r="50" customFormat="false" ht="15" hidden="false" customHeight="true" outlineLevel="0" collapsed="false">
      <c r="A50" s="17" t="n">
        <f aca="true">OFFSET(Staff!$A$6, $M50, 0)</f>
        <v>46</v>
      </c>
      <c r="B50" s="427" t="str">
        <f aca="true">OFFSET(Staff!$B$6, $M50, 0)</f>
        <v>TBA</v>
      </c>
      <c r="C50" s="427" t="str">
        <f aca="true">OFFSET(Staff!$C$6, $M50, 0)</f>
        <v>TBA</v>
      </c>
      <c r="D50" s="428" t="n">
        <f aca="true">OFFSET(Staff!$E$20, $M50, 0)</f>
        <v>0</v>
      </c>
      <c r="E50" s="428" t="n">
        <f aca="true">OFFSET(Staff!$H$20, $M50, 0)</f>
        <v>0</v>
      </c>
      <c r="F50" s="428" t="n">
        <f aca="true">OFFSET(Staff!$I$20, $M50, 0)</f>
        <v>0</v>
      </c>
      <c r="G50" s="428" t="n">
        <f aca="false">SUM(D50:F50)</f>
        <v>0</v>
      </c>
      <c r="H50" s="429" t="n">
        <f aca="false">IF(ISERR(J50/G50),0,J50/G50)</f>
        <v>0</v>
      </c>
      <c r="I50" s="429" t="n">
        <f aca="false">IF(ISERR(K50/G50),0,K50/G50)</f>
        <v>0</v>
      </c>
      <c r="J50" s="428" t="n">
        <f aca="true">OFFSET(Staff!$AO$20, $M50, 0)+OFFSET(Staff!$BE$20, $M50, 0)</f>
        <v>0</v>
      </c>
      <c r="K50" s="428" t="n">
        <f aca="true">OFFSET(Staff!$AN$21, $M50, 0)+OFFSET(Staff!$BD$21, $M50, 0)</f>
        <v>0</v>
      </c>
      <c r="M50" s="17" t="n">
        <f aca="false">+M49+16</f>
        <v>720</v>
      </c>
    </row>
    <row r="51" customFormat="false" ht="15" hidden="false" customHeight="true" outlineLevel="0" collapsed="false">
      <c r="A51" s="17" t="n">
        <f aca="true">OFFSET(Staff!$A$6, $M51, 0)</f>
        <v>47</v>
      </c>
      <c r="B51" s="427" t="str">
        <f aca="true">OFFSET(Staff!$B$6, $M51, 0)</f>
        <v>TBA</v>
      </c>
      <c r="C51" s="427" t="str">
        <f aca="true">OFFSET(Staff!$C$6, $M51, 0)</f>
        <v>TBA</v>
      </c>
      <c r="D51" s="428" t="n">
        <f aca="true">OFFSET(Staff!$E$20, $M51, 0)</f>
        <v>0</v>
      </c>
      <c r="E51" s="428" t="n">
        <f aca="true">OFFSET(Staff!$H$20, $M51, 0)</f>
        <v>0</v>
      </c>
      <c r="F51" s="428" t="n">
        <f aca="true">OFFSET(Staff!$I$20, $M51, 0)</f>
        <v>0</v>
      </c>
      <c r="G51" s="428" t="n">
        <f aca="false">SUM(D51:F51)</f>
        <v>0</v>
      </c>
      <c r="H51" s="429" t="n">
        <f aca="false">IF(ISERR(J51/G51),0,J51/G51)</f>
        <v>0</v>
      </c>
      <c r="I51" s="429" t="n">
        <f aca="false">IF(ISERR(K51/G51),0,K51/G51)</f>
        <v>0</v>
      </c>
      <c r="J51" s="428" t="n">
        <f aca="true">OFFSET(Staff!$AO$20, $M51, 0)+OFFSET(Staff!$BE$20, $M51, 0)</f>
        <v>0</v>
      </c>
      <c r="K51" s="428" t="n">
        <f aca="true">OFFSET(Staff!$AN$21, $M51, 0)+OFFSET(Staff!$BD$21, $M51, 0)</f>
        <v>0</v>
      </c>
      <c r="M51" s="17" t="n">
        <f aca="false">+M50+16</f>
        <v>736</v>
      </c>
    </row>
    <row r="52" customFormat="false" ht="15" hidden="false" customHeight="true" outlineLevel="0" collapsed="false">
      <c r="A52" s="17" t="n">
        <f aca="true">OFFSET(Staff!$A$6, $M52, 0)</f>
        <v>48</v>
      </c>
      <c r="B52" s="427" t="str">
        <f aca="true">OFFSET(Staff!$B$6, $M52, 0)</f>
        <v>TBA</v>
      </c>
      <c r="C52" s="427" t="str">
        <f aca="true">OFFSET(Staff!$C$6, $M52, 0)</f>
        <v>TBA</v>
      </c>
      <c r="D52" s="428" t="n">
        <f aca="true">OFFSET(Staff!$E$20, $M52, 0)</f>
        <v>0</v>
      </c>
      <c r="E52" s="428" t="n">
        <f aca="true">OFFSET(Staff!$H$20, $M52, 0)</f>
        <v>0</v>
      </c>
      <c r="F52" s="428" t="n">
        <f aca="true">OFFSET(Staff!$I$20, $M52, 0)</f>
        <v>0</v>
      </c>
      <c r="G52" s="428" t="n">
        <f aca="false">SUM(D52:F52)</f>
        <v>0</v>
      </c>
      <c r="H52" s="429" t="n">
        <f aca="false">IF(ISERR(J52/G52),0,J52/G52)</f>
        <v>0</v>
      </c>
      <c r="I52" s="429" t="n">
        <f aca="false">IF(ISERR(K52/G52),0,K52/G52)</f>
        <v>0</v>
      </c>
      <c r="J52" s="428" t="n">
        <f aca="true">OFFSET(Staff!$AO$20, $M52, 0)+OFFSET(Staff!$BE$20, $M52, 0)</f>
        <v>0</v>
      </c>
      <c r="K52" s="428" t="n">
        <f aca="true">OFFSET(Staff!$AN$21, $M52, 0)+OFFSET(Staff!$BD$21, $M52, 0)</f>
        <v>0</v>
      </c>
      <c r="M52" s="17" t="n">
        <f aca="false">+M51+16</f>
        <v>752</v>
      </c>
    </row>
    <row r="53" customFormat="false" ht="15" hidden="false" customHeight="true" outlineLevel="0" collapsed="false">
      <c r="A53" s="17" t="n">
        <f aca="true">OFFSET(Staff!$A$6, $M53, 0)</f>
        <v>49</v>
      </c>
      <c r="B53" s="427" t="str">
        <f aca="true">OFFSET(Staff!$B$6, $M53, 0)</f>
        <v>TBA</v>
      </c>
      <c r="C53" s="427" t="str">
        <f aca="true">OFFSET(Staff!$C$6, $M53, 0)</f>
        <v>TBA</v>
      </c>
      <c r="D53" s="428" t="n">
        <f aca="true">OFFSET(Staff!$E$20, $M53, 0)</f>
        <v>0</v>
      </c>
      <c r="E53" s="428" t="n">
        <f aca="true">OFFSET(Staff!$H$20, $M53, 0)</f>
        <v>0</v>
      </c>
      <c r="F53" s="428" t="n">
        <f aca="true">OFFSET(Staff!$I$20, $M53, 0)</f>
        <v>0</v>
      </c>
      <c r="G53" s="428" t="n">
        <f aca="false">SUM(D53:F53)</f>
        <v>0</v>
      </c>
      <c r="H53" s="429" t="n">
        <f aca="false">IF(ISERR(J53/G53),0,J53/G53)</f>
        <v>0</v>
      </c>
      <c r="I53" s="429" t="n">
        <f aca="false">IF(ISERR(K53/G53),0,K53/G53)</f>
        <v>0</v>
      </c>
      <c r="J53" s="428" t="n">
        <f aca="true">OFFSET(Staff!$AO$20, $M53, 0)+OFFSET(Staff!$BE$20, $M53, 0)</f>
        <v>0</v>
      </c>
      <c r="K53" s="428" t="n">
        <f aca="true">OFFSET(Staff!$AN$21, $M53, 0)+OFFSET(Staff!$BD$21, $M53, 0)</f>
        <v>0</v>
      </c>
      <c r="M53" s="17" t="n">
        <f aca="false">+M52+16</f>
        <v>768</v>
      </c>
    </row>
    <row r="54" customFormat="false" ht="15" hidden="false" customHeight="true" outlineLevel="0" collapsed="false">
      <c r="A54" s="17" t="n">
        <f aca="true">OFFSET(Staff!$A$6, $M54, 0)</f>
        <v>50</v>
      </c>
      <c r="B54" s="427" t="str">
        <f aca="true">OFFSET(Staff!$B$6, $M54, 0)</f>
        <v>TBA</v>
      </c>
      <c r="C54" s="427" t="str">
        <f aca="true">OFFSET(Staff!$C$6, $M54, 0)</f>
        <v>TBA</v>
      </c>
      <c r="D54" s="428" t="n">
        <f aca="true">OFFSET(Staff!$E$20, $M54, 0)</f>
        <v>0</v>
      </c>
      <c r="E54" s="428" t="n">
        <f aca="true">OFFSET(Staff!$H$20, $M54, 0)</f>
        <v>0</v>
      </c>
      <c r="F54" s="428" t="n">
        <f aca="true">OFFSET(Staff!$I$20, $M54, 0)</f>
        <v>0</v>
      </c>
      <c r="G54" s="428" t="n">
        <f aca="false">SUM(D54:F54)</f>
        <v>0</v>
      </c>
      <c r="H54" s="429" t="n">
        <f aca="false">IF(ISERR(J54/G54),0,J54/G54)</f>
        <v>0</v>
      </c>
      <c r="I54" s="429" t="n">
        <f aca="false">IF(ISERR(K54/G54),0,K54/G54)</f>
        <v>0</v>
      </c>
      <c r="J54" s="428" t="n">
        <f aca="true">OFFSET(Staff!$AO$20, $M54, 0)+OFFSET(Staff!$BE$20, $M54, 0)</f>
        <v>0</v>
      </c>
      <c r="K54" s="428" t="n">
        <f aca="true">OFFSET(Staff!$AN$21, $M54, 0)+OFFSET(Staff!$BD$21, $M54, 0)</f>
        <v>0</v>
      </c>
      <c r="M54" s="17" t="n">
        <f aca="false">+M53+16</f>
        <v>784</v>
      </c>
    </row>
    <row r="55" customFormat="false" ht="15" hidden="false" customHeight="true" outlineLevel="0" collapsed="false">
      <c r="A55" s="17" t="n">
        <f aca="true">OFFSET(Staff!$A$6, $M55, 0)</f>
        <v>51</v>
      </c>
      <c r="B55" s="427" t="str">
        <f aca="true">OFFSET(Staff!$B$6, $M55, 0)</f>
        <v>TBA</v>
      </c>
      <c r="C55" s="427" t="str">
        <f aca="true">OFFSET(Staff!$C$6, $M55, 0)</f>
        <v>TBA</v>
      </c>
      <c r="D55" s="428" t="n">
        <f aca="true">OFFSET(Staff!$E$20, $M55, 0)</f>
        <v>0</v>
      </c>
      <c r="E55" s="428" t="n">
        <f aca="true">OFFSET(Staff!$H$20, $M55, 0)</f>
        <v>0</v>
      </c>
      <c r="F55" s="428" t="n">
        <f aca="true">OFFSET(Staff!$I$20, $M55, 0)</f>
        <v>0</v>
      </c>
      <c r="G55" s="428" t="n">
        <f aca="false">SUM(D55:F55)</f>
        <v>0</v>
      </c>
      <c r="H55" s="429" t="n">
        <f aca="false">IF(ISERR(J55/G55),0,J55/G55)</f>
        <v>0</v>
      </c>
      <c r="I55" s="429" t="n">
        <f aca="false">IF(ISERR(K55/G55),0,K55/G55)</f>
        <v>0</v>
      </c>
      <c r="J55" s="428" t="n">
        <f aca="true">OFFSET(Staff!$AO$20, $M55, 0)+OFFSET(Staff!$BE$20, $M55, 0)</f>
        <v>0</v>
      </c>
      <c r="K55" s="428" t="n">
        <f aca="true">OFFSET(Staff!$AN$21, $M55, 0)+OFFSET(Staff!$BD$21, $M55, 0)</f>
        <v>0</v>
      </c>
      <c r="M55" s="17" t="n">
        <f aca="false">+M54+16</f>
        <v>800</v>
      </c>
    </row>
    <row r="56" customFormat="false" ht="15" hidden="false" customHeight="true" outlineLevel="0" collapsed="false">
      <c r="A56" s="17" t="n">
        <f aca="true">OFFSET(Staff!$A$6, $M56, 0)</f>
        <v>52</v>
      </c>
      <c r="B56" s="427" t="str">
        <f aca="true">OFFSET(Staff!$B$6, $M56, 0)</f>
        <v>TBA</v>
      </c>
      <c r="C56" s="427" t="str">
        <f aca="true">OFFSET(Staff!$C$6, $M56, 0)</f>
        <v>TBA</v>
      </c>
      <c r="D56" s="428" t="n">
        <f aca="true">OFFSET(Staff!$E$20, $M56, 0)</f>
        <v>0</v>
      </c>
      <c r="E56" s="428" t="n">
        <f aca="true">OFFSET(Staff!$H$20, $M56, 0)</f>
        <v>0</v>
      </c>
      <c r="F56" s="428" t="n">
        <f aca="true">OFFSET(Staff!$I$20, $M56, 0)</f>
        <v>0</v>
      </c>
      <c r="G56" s="428" t="n">
        <f aca="false">SUM(D56:F56)</f>
        <v>0</v>
      </c>
      <c r="H56" s="429" t="n">
        <f aca="false">IF(ISERR(J56/G56),0,J56/G56)</f>
        <v>0</v>
      </c>
      <c r="I56" s="429" t="n">
        <f aca="false">IF(ISERR(K56/G56),0,K56/G56)</f>
        <v>0</v>
      </c>
      <c r="J56" s="428" t="n">
        <f aca="true">OFFSET(Staff!$AO$20, $M56, 0)+OFFSET(Staff!$BE$20, $M56, 0)</f>
        <v>0</v>
      </c>
      <c r="K56" s="428" t="n">
        <f aca="true">OFFSET(Staff!$AN$21, $M56, 0)+OFFSET(Staff!$BD$21, $M56, 0)</f>
        <v>0</v>
      </c>
      <c r="M56" s="17" t="n">
        <f aca="false">+M55+16</f>
        <v>816</v>
      </c>
    </row>
    <row r="57" customFormat="false" ht="15" hidden="false" customHeight="true" outlineLevel="0" collapsed="false">
      <c r="A57" s="17" t="n">
        <f aca="true">OFFSET(Staff!$A$6, $M57, 0)</f>
        <v>53</v>
      </c>
      <c r="B57" s="427" t="str">
        <f aca="true">OFFSET(Staff!$B$6, $M57, 0)</f>
        <v>TBA</v>
      </c>
      <c r="C57" s="427" t="str">
        <f aca="true">OFFSET(Staff!$C$6, $M57, 0)</f>
        <v>TBA</v>
      </c>
      <c r="D57" s="428" t="n">
        <f aca="true">OFFSET(Staff!$E$20, $M57, 0)</f>
        <v>0</v>
      </c>
      <c r="E57" s="428" t="n">
        <f aca="true">OFFSET(Staff!$H$20, $M57, 0)</f>
        <v>0</v>
      </c>
      <c r="F57" s="428" t="n">
        <f aca="true">OFFSET(Staff!$I$20, $M57, 0)</f>
        <v>0</v>
      </c>
      <c r="G57" s="428" t="n">
        <f aca="false">SUM(D57:F57)</f>
        <v>0</v>
      </c>
      <c r="H57" s="429" t="n">
        <f aca="false">IF(ISERR(J57/G57),0,J57/G57)</f>
        <v>0</v>
      </c>
      <c r="I57" s="429" t="n">
        <f aca="false">IF(ISERR(K57/G57),0,K57/G57)</f>
        <v>0</v>
      </c>
      <c r="J57" s="428" t="n">
        <f aca="true">OFFSET(Staff!$AO$20, $M57, 0)+OFFSET(Staff!$BE$20, $M57, 0)</f>
        <v>0</v>
      </c>
      <c r="K57" s="428" t="n">
        <f aca="true">OFFSET(Staff!$AN$21, $M57, 0)+OFFSET(Staff!$BD$21, $M57, 0)</f>
        <v>0</v>
      </c>
      <c r="M57" s="17" t="n">
        <f aca="false">+M56+16</f>
        <v>832</v>
      </c>
    </row>
    <row r="58" customFormat="false" ht="15" hidden="false" customHeight="true" outlineLevel="0" collapsed="false">
      <c r="A58" s="17" t="n">
        <f aca="true">OFFSET(Staff!$A$6, $M58, 0)</f>
        <v>54</v>
      </c>
      <c r="B58" s="427" t="str">
        <f aca="true">OFFSET(Staff!$B$6, $M58, 0)</f>
        <v>TBA</v>
      </c>
      <c r="C58" s="427" t="str">
        <f aca="true">OFFSET(Staff!$C$6, $M58, 0)</f>
        <v>TBA</v>
      </c>
      <c r="D58" s="428" t="n">
        <f aca="true">OFFSET(Staff!$E$20, $M58, 0)</f>
        <v>0</v>
      </c>
      <c r="E58" s="428" t="n">
        <f aca="true">OFFSET(Staff!$H$20, $M58, 0)</f>
        <v>0</v>
      </c>
      <c r="F58" s="428" t="n">
        <f aca="true">OFFSET(Staff!$I$20, $M58, 0)</f>
        <v>0</v>
      </c>
      <c r="G58" s="428" t="n">
        <f aca="false">SUM(D58:F58)</f>
        <v>0</v>
      </c>
      <c r="H58" s="429" t="n">
        <f aca="false">IF(ISERR(J58/G58),0,J58/G58)</f>
        <v>0</v>
      </c>
      <c r="I58" s="429" t="n">
        <f aca="false">IF(ISERR(K58/G58),0,K58/G58)</f>
        <v>0</v>
      </c>
      <c r="J58" s="428" t="n">
        <f aca="true">OFFSET(Staff!$AO$20, $M58, 0)+OFFSET(Staff!$BE$20, $M58, 0)</f>
        <v>0</v>
      </c>
      <c r="K58" s="428" t="n">
        <f aca="true">OFFSET(Staff!$AN$21, $M58, 0)+OFFSET(Staff!$BD$21, $M58, 0)</f>
        <v>0</v>
      </c>
      <c r="M58" s="17" t="n">
        <f aca="false">+M57+16</f>
        <v>848</v>
      </c>
    </row>
    <row r="59" customFormat="false" ht="15" hidden="false" customHeight="true" outlineLevel="0" collapsed="false">
      <c r="A59" s="17" t="n">
        <f aca="true">OFFSET(Staff!$A$6, $M59, 0)</f>
        <v>55</v>
      </c>
      <c r="B59" s="427" t="str">
        <f aca="true">OFFSET(Staff!$B$6, $M59, 0)</f>
        <v>TBA</v>
      </c>
      <c r="C59" s="427" t="str">
        <f aca="true">OFFSET(Staff!$C$6, $M59, 0)</f>
        <v>TBA</v>
      </c>
      <c r="D59" s="428" t="n">
        <f aca="true">OFFSET(Staff!$E$20, $M59, 0)</f>
        <v>0</v>
      </c>
      <c r="E59" s="428" t="n">
        <f aca="true">OFFSET(Staff!$H$20, $M59, 0)</f>
        <v>0</v>
      </c>
      <c r="F59" s="428" t="n">
        <f aca="true">OFFSET(Staff!$I$20, $M59, 0)</f>
        <v>0</v>
      </c>
      <c r="G59" s="428" t="n">
        <f aca="false">SUM(D59:F59)</f>
        <v>0</v>
      </c>
      <c r="H59" s="429" t="n">
        <f aca="false">IF(ISERR(J59/G59),0,J59/G59)</f>
        <v>0</v>
      </c>
      <c r="I59" s="429" t="n">
        <f aca="false">IF(ISERR(K59/G59),0,K59/G59)</f>
        <v>0</v>
      </c>
      <c r="J59" s="428" t="n">
        <f aca="true">OFFSET(Staff!$AO$20, $M59, 0)+OFFSET(Staff!$BE$20, $M59, 0)</f>
        <v>0</v>
      </c>
      <c r="K59" s="428" t="n">
        <f aca="true">OFFSET(Staff!$AN$21, $M59, 0)+OFFSET(Staff!$BD$21, $M59, 0)</f>
        <v>0</v>
      </c>
      <c r="M59" s="17" t="n">
        <f aca="false">+M58+16</f>
        <v>864</v>
      </c>
    </row>
    <row r="60" customFormat="false" ht="15" hidden="false" customHeight="true" outlineLevel="0" collapsed="false">
      <c r="A60" s="17" t="n">
        <f aca="true">OFFSET(Staff!$A$6, $M60, 0)</f>
        <v>56</v>
      </c>
      <c r="B60" s="427" t="str">
        <f aca="true">OFFSET(Staff!$B$6, $M60, 0)</f>
        <v>TBA</v>
      </c>
      <c r="C60" s="427" t="str">
        <f aca="true">OFFSET(Staff!$C$6, $M60, 0)</f>
        <v>TBA</v>
      </c>
      <c r="D60" s="428" t="n">
        <f aca="true">OFFSET(Staff!$E$20, $M60, 0)</f>
        <v>0</v>
      </c>
      <c r="E60" s="428" t="n">
        <f aca="true">OFFSET(Staff!$H$20, $M60, 0)</f>
        <v>0</v>
      </c>
      <c r="F60" s="428" t="n">
        <f aca="true">OFFSET(Staff!$I$20, $M60, 0)</f>
        <v>0</v>
      </c>
      <c r="G60" s="428" t="n">
        <f aca="false">SUM(D60:F60)</f>
        <v>0</v>
      </c>
      <c r="H60" s="429" t="n">
        <f aca="false">IF(ISERR(J60/G60),0,J60/G60)</f>
        <v>0</v>
      </c>
      <c r="I60" s="429" t="n">
        <f aca="false">IF(ISERR(K60/G60),0,K60/G60)</f>
        <v>0</v>
      </c>
      <c r="J60" s="428" t="n">
        <f aca="true">OFFSET(Staff!$AO$20, $M60, 0)+OFFSET(Staff!$BE$20, $M60, 0)</f>
        <v>0</v>
      </c>
      <c r="K60" s="428" t="n">
        <f aca="true">OFFSET(Staff!$AN$21, $M60, 0)+OFFSET(Staff!$BD$21, $M60, 0)</f>
        <v>0</v>
      </c>
      <c r="M60" s="17" t="n">
        <f aca="false">+M59+16</f>
        <v>880</v>
      </c>
    </row>
    <row r="61" customFormat="false" ht="15" hidden="false" customHeight="true" outlineLevel="0" collapsed="false">
      <c r="B61" s="427"/>
      <c r="C61" s="427"/>
      <c r="D61" s="428"/>
      <c r="E61" s="428"/>
      <c r="F61" s="428"/>
      <c r="G61" s="428"/>
      <c r="H61" s="429"/>
      <c r="I61" s="429"/>
      <c r="J61" s="428"/>
      <c r="K61" s="428"/>
      <c r="L61" s="146"/>
      <c r="M61" s="146"/>
      <c r="N61" s="146"/>
      <c r="U61" s="146"/>
      <c r="AB61" s="146"/>
      <c r="AI61" s="146"/>
    </row>
    <row r="62" customFormat="false" ht="15" hidden="false" customHeight="true" outlineLevel="0" collapsed="false">
      <c r="B62" s="427" t="s">
        <v>255</v>
      </c>
      <c r="C62" s="427"/>
      <c r="D62" s="428"/>
      <c r="E62" s="428" t="n">
        <f aca="false">-Staff!H919</f>
        <v>-0</v>
      </c>
      <c r="F62" s="428"/>
      <c r="G62" s="428" t="n">
        <f aca="false">+E62</f>
        <v>-0</v>
      </c>
      <c r="H62" s="429"/>
      <c r="I62" s="429"/>
      <c r="J62" s="428" t="n">
        <f aca="false">-(Staff!BE919+Staff!AO919)</f>
        <v>-0</v>
      </c>
      <c r="K62" s="428" t="n">
        <f aca="false">-(Staff!BD919+Staff!AN919)</f>
        <v>-0</v>
      </c>
      <c r="L62" s="146"/>
      <c r="M62" s="146"/>
      <c r="N62" s="146"/>
      <c r="U62" s="146"/>
      <c r="AB62" s="146"/>
      <c r="AI62" s="146"/>
    </row>
    <row r="63" customFormat="false" ht="15" hidden="false" customHeight="true" outlineLevel="0" collapsed="false">
      <c r="B63" s="427"/>
      <c r="C63" s="427"/>
      <c r="D63" s="428"/>
      <c r="E63" s="428"/>
      <c r="F63" s="428"/>
      <c r="G63" s="428"/>
      <c r="H63" s="429"/>
      <c r="I63" s="429"/>
      <c r="J63" s="428"/>
      <c r="K63" s="428"/>
    </row>
    <row r="64" customFormat="false" ht="15" hidden="false" customHeight="true" outlineLevel="0" collapsed="false">
      <c r="B64" s="430" t="s">
        <v>82</v>
      </c>
      <c r="C64" s="430"/>
      <c r="D64" s="431" t="n">
        <f aca="false">SUM(D5:D63)</f>
        <v>540156.3</v>
      </c>
      <c r="E64" s="431" t="n">
        <f aca="false">SUM(E5:E63)</f>
        <v>63239.41</v>
      </c>
      <c r="F64" s="431" t="n">
        <f aca="false">SUM(F5:F63)</f>
        <v>24703.55</v>
      </c>
      <c r="G64" s="431" t="n">
        <f aca="false">SUM(G5:G63)</f>
        <v>628099.26</v>
      </c>
      <c r="H64" s="432" t="n">
        <f aca="false">IF(ISERR(J64/G64),0,J64/G64)</f>
        <v>0.831565217892471</v>
      </c>
      <c r="I64" s="432" t="n">
        <f aca="false">IF(ISERR(K64/G64),0,K64/G64)</f>
        <v>0</v>
      </c>
      <c r="J64" s="431" t="n">
        <f aca="false">SUM(J5:J63)</f>
        <v>522305.498</v>
      </c>
      <c r="K64" s="431" t="n">
        <f aca="false">SUM(K5:K63)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2014-05-21T20:51:18Z</dcterms:created>
  <dc:creator>Martin</dc:creator>
  <dc:description/>
  <dc:language>en-US</dc:language>
  <cp:lastModifiedBy>Janice Tang</cp:lastModifiedBy>
  <cp:lastPrinted>2017-06-09T17:37:00Z</cp:lastPrinted>
  <dcterms:modified xsi:type="dcterms:W3CDTF">2026-04-17T13:51:30Z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0x010100B96DDC224615454B831DB168A4DF60C9</vt:lpwstr>
  </property>
  <property fmtid="{D5CDD505-2E9C-101B-9397-08002B2CF9AE}" pid="4" name="MediaServiceImageTags">
    <vt:lpwstr/>
  </property>
  <property fmtid="{D5CDD505-2E9C-101B-9397-08002B2CF9AE}" pid="5" name="Order">
    <vt:lpwstr>169000.000000000</vt:lpwstr>
  </property>
  <property fmtid="{D5CDD505-2E9C-101B-9397-08002B2CF9AE}" pid="6" name="TaxCatchAll">
    <vt:lpwstr/>
  </property>
  <property fmtid="{D5CDD505-2E9C-101B-9397-08002B2CF9AE}" pid="7" name="TemplateUrl">
    <vt:lpwstr/>
  </property>
  <property fmtid="{D5CDD505-2E9C-101B-9397-08002B2CF9AE}" pid="8" name="display_urn:schemas-microsoft-com:office:office#Author">
    <vt:lpwstr>System Account</vt:lpwstr>
  </property>
  <property fmtid="{D5CDD505-2E9C-101B-9397-08002B2CF9AE}" pid="9" name="display_urn:schemas-microsoft-com:office:office#Editor">
    <vt:lpwstr>System Account</vt:lpwstr>
  </property>
  <property fmtid="{D5CDD505-2E9C-101B-9397-08002B2CF9AE}" pid="10" name="lcf76f155ced4ddcb4097134ff3c332f">
    <vt:lpwstr/>
  </property>
  <property fmtid="{D5CDD505-2E9C-101B-9397-08002B2CF9AE}" pid="11" name="xd_ProgID">
    <vt:lpwstr/>
  </property>
  <property fmtid="{D5CDD505-2E9C-101B-9397-08002B2CF9AE}" pid="12" name="xd_Signature">
    <vt:lpwstr/>
  </property>
</Properties>
</file>